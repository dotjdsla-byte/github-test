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스케줄" sheetId="2" state="visible" r:id="rId2"/>
    <sheet xmlns:r="http://schemas.openxmlformats.org/officeDocument/2006/relationships" name="중복견적" sheetId="3" state="visible" r:id="rId3"/>
    <sheet xmlns:r="http://schemas.openxmlformats.org/officeDocument/2006/relationships" name="AEOLUS" sheetId="4" state="visible" r:id="rId4"/>
    <sheet xmlns:r="http://schemas.openxmlformats.org/officeDocument/2006/relationships" name="MELICERTES" sheetId="5" state="visible" r:id="rId5"/>
    <sheet xmlns:r="http://schemas.openxmlformats.org/officeDocument/2006/relationships" name="NELEUS" sheetId="6" state="visible" r:id="rId6"/>
    <sheet xmlns:r="http://schemas.openxmlformats.org/officeDocument/2006/relationships" name="ONEIROI" sheetId="7" state="visible" r:id="rId7"/>
    <sheet xmlns:r="http://schemas.openxmlformats.org/officeDocument/2006/relationships" name="RFQ목록" sheetId="8" state="visible" r:id="rId8"/>
    <sheet xmlns:r="http://schemas.openxmlformats.org/officeDocument/2006/relationships" name="설정" sheetId="9" state="visible" r:id="rId9"/>
    <sheet xmlns:r="http://schemas.openxmlformats.org/officeDocument/2006/relationships" name="사용법" sheetId="10" state="visible" r:id="rId10"/>
  </sheets>
  <definedNames>
    <definedName name="_xlnm._FilterDatabase" localSheetId="3" hidden="1">'AEOLUS'!$A$5:$AD$205</definedName>
    <definedName name="_xlnm._FilterDatabase" localSheetId="4" hidden="1">'MELICERTES'!$A$5:$AD$205</definedName>
    <definedName name="_xlnm._FilterDatabase" localSheetId="5" hidden="1">'NELEUS'!$A$5:$AD$205</definedName>
    <definedName name="_xlnm._FilterDatabase" localSheetId="6" hidden="1">'ONEIROI'!$A$5:$AD$205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yyyy-mm-dd (aaa)"/>
    <numFmt numFmtId="166" formatCode="0&quot;일&quot;"/>
    <numFmt numFmtId="167" formatCode="&quot;D-&quot;0;&quot;D+&quot;0;&quot;D-DAY&quot;"/>
    <numFmt numFmtId="168" formatCode="0;-0;&quot;-&quot;"/>
    <numFmt numFmtId="169" formatCode="#,##0;(#,##0);&quot;-&quot;"/>
    <numFmt numFmtId="170" formatCode="#,##0.##"/>
    <numFmt numFmtId="171" formatCode="mm-dd (aaa)"/>
  </numFmts>
  <fonts count="22">
    <font>
      <name val="Calibri"/>
      <family val="2"/>
      <color theme="1"/>
      <sz val="11"/>
      <scheme val="minor"/>
    </font>
    <font>
      <name val="맑은 고딕"/>
      <b val="1"/>
      <color rgb="001F3864"/>
      <sz val="16"/>
    </font>
    <font>
      <name val="맑은 고딕"/>
      <color rgb="00595959"/>
      <sz val="9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404040"/>
      <sz val="10"/>
    </font>
    <font>
      <name val="맑은 고딕"/>
      <b val="1"/>
      <color rgb="00FFFFFF"/>
      <sz val="8"/>
    </font>
    <font>
      <name val="맑은 고딕"/>
      <b val="1"/>
      <sz val="11"/>
    </font>
    <font>
      <name val="맑은 고딕"/>
      <b val="1"/>
      <color rgb="00FFFFFF"/>
      <sz val="9"/>
    </font>
    <font>
      <name val="맑은 고딕"/>
      <b val="1"/>
      <color rgb="00C00000"/>
      <sz val="10"/>
    </font>
    <font>
      <name val="맑은 고딕"/>
      <b val="1"/>
      <color rgb="005B2C6F"/>
      <sz val="16"/>
    </font>
    <font>
      <name val="맑은 고딕"/>
      <color rgb="00808080"/>
      <sz val="8"/>
    </font>
    <font>
      <name val="맑은 고딕"/>
      <b val="1"/>
      <color rgb="00C00000"/>
      <sz val="11"/>
    </font>
    <font>
      <name val="맑은 고딕"/>
      <b val="1"/>
      <color rgb="000563C1"/>
      <sz val="10"/>
      <u val="single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b val="1"/>
      <color rgb="001F3864"/>
      <sz val="14"/>
    </font>
    <font>
      <name val="맑은 고딕"/>
      <i val="1"/>
      <color rgb="00595959"/>
      <sz val="9"/>
    </font>
    <font>
      <name val="맑은 고딕"/>
      <color rgb="000000FF"/>
      <sz val="10"/>
    </font>
    <font>
      <name val="맑은 고딕"/>
      <b val="1"/>
      <color rgb="001F3864"/>
      <sz val="10"/>
    </font>
    <font>
      <name val="맑은 고딕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595959"/>
        <bgColor rgb="00595959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44546A"/>
        <bgColor rgb="0044546A"/>
      </patternFill>
    </fill>
    <fill>
      <patternFill patternType="solid">
        <fgColor rgb="00A6A6A6"/>
        <bgColor rgb="00A6A6A6"/>
      </patternFill>
    </fill>
    <fill>
      <patternFill patternType="solid">
        <fgColor rgb="005B2C6F"/>
        <bgColor rgb="005B2C6F"/>
      </patternFill>
    </fill>
    <fill>
      <patternFill patternType="solid">
        <fgColor rgb="007030A0"/>
        <bgColor rgb="007030A0"/>
      </patternFill>
    </fill>
    <fill>
      <patternFill patternType="solid">
        <fgColor rgb="008E63B5"/>
        <bgColor rgb="008E63B5"/>
      </patternFill>
    </fill>
    <fill>
      <patternFill patternType="solid">
        <fgColor rgb="00D9E1F2"/>
        <bgColor rgb="00D9E1F2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3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71" fontId="15" fillId="0" borderId="1" applyAlignment="1" pivotButton="0" quotePrefix="0" xfId="0">
      <alignment horizontal="center" vertical="center" wrapText="1"/>
    </xf>
    <xf numFmtId="167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8" fontId="15" fillId="0" borderId="1" applyAlignment="1" pivotButton="0" quotePrefix="0" xfId="0">
      <alignment horizontal="center" vertical="center" wrapText="1"/>
    </xf>
    <xf numFmtId="169" fontId="15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171" fontId="16" fillId="11" borderId="1" applyAlignment="1" pivotButton="0" quotePrefix="0" xfId="0">
      <alignment horizontal="center" vertical="center" wrapText="1"/>
    </xf>
    <xf numFmtId="167" fontId="16" fillId="11" borderId="1" applyAlignment="1" pivotButton="0" quotePrefix="0" xfId="0">
      <alignment horizontal="center" vertical="center" wrapText="1"/>
    </xf>
    <xf numFmtId="168" fontId="16" fillId="11" borderId="1" applyAlignment="1" pivotButton="0" quotePrefix="0" xfId="0">
      <alignment horizontal="center" vertical="center" wrapText="1"/>
    </xf>
    <xf numFmtId="169" fontId="16" fillId="11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5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7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4" pivotButton="0" quotePrefix="0" xfId="0"/>
    <xf numFmtId="0" fontId="0" fillId="0" borderId="7" pivotButton="0" quotePrefix="0" xfId="0"/>
    <xf numFmtId="0" fontId="3" fillId="10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9" fontId="5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8" fillId="0" borderId="1" applyAlignment="1" pivotButton="0" quotePrefix="0" xfId="0">
      <alignment horizontal="left" vertical="center" wrapText="1"/>
    </xf>
    <xf numFmtId="167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168" fontId="8" fillId="0" borderId="1" applyAlignment="1" pivotButton="0" quotePrefix="0" xfId="0">
      <alignment horizontal="center" vertical="center" wrapText="1"/>
    </xf>
    <xf numFmtId="169" fontId="8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70" fontId="5" fillId="0" borderId="1" applyAlignment="1" pivotButton="0" quotePrefix="0" xfId="0">
      <alignment horizontal="center" vertical="center" wrapText="1"/>
    </xf>
    <xf numFmtId="3" fontId="5" fillId="5" borderId="1" applyAlignment="1" pivotButton="0" quotePrefix="0" xfId="0">
      <alignment horizontal="center" vertical="center" wrapText="1"/>
    </xf>
    <xf numFmtId="169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8" fontId="5" fillId="5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19" fillId="4" borderId="1" pivotButton="0" quotePrefix="0" xfId="0"/>
    <xf numFmtId="0" fontId="5" fillId="0" borderId="0" pivotButton="0" quotePrefix="0" xfId="0"/>
    <xf numFmtId="4" fontId="15" fillId="4" borderId="1" pivotButton="0" quotePrefix="0" xfId="0"/>
    <xf numFmtId="0" fontId="2" fillId="4" borderId="1" pivotButton="0" quotePrefix="0" xfId="0"/>
    <xf numFmtId="4" fontId="19" fillId="4" borderId="1" pivotButton="0" quotePrefix="0" xfId="0"/>
    <xf numFmtId="0" fontId="21" fillId="0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dxfs count="15"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000000"/>
      </font>
      <fill>
        <patternFill patternType="solid">
          <fgColor rgb="00FFC000"/>
          <bgColor rgb="00FFC000"/>
        </patternFill>
      </fill>
    </dxf>
    <dxf>
      <font>
        <b val="1"/>
        <color rgb="00C00000"/>
      </font>
    </dxf>
    <dxf>
      <font>
        <b val="1"/>
        <color rgb="005B2C6F"/>
      </font>
    </dxf>
    <dxf>
      <font>
        <b val="1"/>
        <color rgb="009C5700"/>
      </font>
    </dxf>
    <dxf>
      <font>
        <b val="1"/>
        <color rgb="009C0006"/>
      </font>
    </dxf>
    <dxf>
      <font>
        <color rgb="00808080"/>
      </font>
    </dxf>
    <dxf>
      <font>
        <b val="1"/>
      </font>
      <fill>
        <patternFill patternType="solid">
          <fgColor rgb="00FFC000"/>
          <bgColor rgb="00FFC000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57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404040"/>
      </font>
      <fill>
        <patternFill patternType="solid">
          <fgColor rgb="00D9D9D9"/>
          <bgColor rgb="00D9D9D9"/>
        </patternFill>
      </fill>
    </dxf>
    <dxf>
      <font>
        <color rgb="00808080"/>
      </font>
      <fill>
        <patternFill patternType="solid">
          <fgColor rgb="00EDEDED"/>
          <bgColor rgb="00EDEDED"/>
        </patternFill>
      </fill>
    </dxf>
    <dxf>
      <fill>
        <patternFill patternType="solid">
          <fgColor rgb="00E4DFEC"/>
          <bgColor rgb="00E4DFEC"/>
        </patternFill>
      </fill>
    </dxf>
    <dxf>
      <font>
        <b val="1"/>
        <color rgb="005B2C6F"/>
      </font>
      <fill>
        <patternFill patternType="solid">
          <fgColor rgb="00E4DFEC"/>
          <b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견적관리</author>
  </authors>
  <commentList>
    <comment ref="G4" authorId="0" shapeId="0">
      <text>
        <t>같은 RFQ No.+항목#는 업체가 여러 곳이어도 1품목으로 셈</t>
      </text>
    </comment>
    <comment ref="H4" authorId="0" shapeId="0">
      <text>
        <t>어느 업체든 단가를 받은 품목 수</t>
      </text>
    </comment>
    <comment ref="J4" authorId="0" shapeId="0">
      <text>
        <t>견적이 2곳 이상 들어온 품목 수 → '중복견적' 시트</t>
      </text>
    </comment>
    <comment ref="M4" authorId="0" shapeId="0">
      <text>
        <t>품목마다 원화 환산 최저가 1곳만 합산</t>
      </text>
    </comment>
    <comment ref="N4" authorId="0" shapeId="0">
      <text>
        <t>오늘 발주해도 출고 마감을 넘기는 견적 줄 수</t>
      </text>
    </comment>
    <comment ref="O4" authorId="0" shapeId="0">
      <text>
        <t>유효만료일이 지났거나 5일 이내인 견적 줄 수</t>
      </text>
    </comment>
  </commentList>
</comments>
</file>

<file path=xl/comments/comment2.xml><?xml version="1.0" encoding="utf-8"?>
<comments xmlns="http://schemas.openxmlformats.org/spreadsheetml/2006/main">
  <authors>
    <author>견적관리</author>
  </authors>
  <commentList>
    <comment ref="E4" authorId="0" shapeId="0">
      <text>
        <t>출고 후 선박까지 가는 데 걸리는 일수 (포워딩·항공 등). 비우면 0일. RMS는 부산 출고, AFS는 네덜란드 출고라 업체별로 다를 수 있음.</t>
      </text>
    </comment>
    <comment ref="F4" authorId="0" shapeId="0">
      <text>
        <t>예정일 − 운송소요일. 선박 시트의 '일정 대비'가 이 날짜와 비교합니다.</t>
      </text>
    </comment>
  </commentList>
</comments>
</file>

<file path=xl/comments/comment3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4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5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6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7.xml><?xml version="1.0" encoding="utf-8"?>
<comments xmlns="http://schemas.openxmlformats.org/spreadsheetml/2006/main">
  <authors>
    <author>견적관리</author>
  </authors>
  <commentList>
    <comment ref="I4" authorId="0" shapeId="0">
      <text>
        <t>품목수 − 견적확보 품목. 0보다 크면 아직 어느 업체에서도 단가를 못 받은 품목이 있음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AEOLUS'!A1" TargetMode="External" Id="rId1"/><Relationship Type="http://schemas.openxmlformats.org/officeDocument/2006/relationships/hyperlink" Target="#'MELICERTES'!A1" TargetMode="External" Id="rId2"/><Relationship Type="http://schemas.openxmlformats.org/officeDocument/2006/relationships/hyperlink" Target="#'NELEUS'!A1" TargetMode="External" Id="rId3"/><Relationship Type="http://schemas.openxmlformats.org/officeDocument/2006/relationships/hyperlink" Target="#'ONEIROI'!A1" TargetMode="External" Id="rId4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4" customWidth="1" min="3" max="3"/>
    <col width="11" customWidth="1" min="4" max="4"/>
    <col width="8" customWidth="1" min="5" max="5"/>
    <col width="20" customWidth="1" min="6" max="6"/>
    <col width="9" customWidth="1" min="7" max="7"/>
    <col width="8" customWidth="1" min="8" max="8"/>
    <col width="7" customWidth="1" min="9" max="9"/>
    <col width="8" customWidth="1" min="10" max="10"/>
    <col width="8" customWidth="1" min="11" max="11"/>
    <col width="8" customWidth="1" min="12" max="12"/>
    <col width="14" customWidth="1" min="13" max="13"/>
    <col width="9" customWidth="1" min="14" max="14"/>
    <col width="9" customWidth="1" min="15" max="15"/>
    <col width="8" customWidth="1" min="16" max="16"/>
  </cols>
  <sheetData>
    <row r="1">
      <c r="A1" s="1" t="inlineStr">
        <is>
          <t>선박별 견적 현황</t>
        </is>
      </c>
    </row>
    <row r="2">
      <c r="A2" s="2">
        <f>"기준일 "&amp;TEXT(TODAY(),"yyyy-mm-dd")&amp;"  ·  자동 집계 (입력 불필요)  ·  금액 = 품목별 최저가 기준 원화 환산"</f>
        <v/>
      </c>
    </row>
    <row r="3">
      <c r="A3" s="3">
        <f>"⏰ 알림:  4일 이내 "&amp;COUNTIFS(스케줄!$I$5:$I$14,"&gt;=0",스케줄!$I$5:$I$14,"&lt;=4")&amp;"척  ·  1주 이내 "&amp;COUNTIFS(스케줄!$I$5:$I$14,"&gt;4",스케줄!$I$5:$I$14,"&lt;=7")&amp;"척  ·  일정 미정 "&amp;COUNTIFS(스케줄!$A$5:$A$14,"&lt;&gt;",스케줄!$C$5:$C$14,"")&amp;"척"</f>
        <v/>
      </c>
    </row>
    <row r="4" ht="32" customHeight="1">
      <c r="A4" s="4" t="inlineStr">
        <is>
          <t>선박</t>
        </is>
      </c>
      <c r="B4" s="4" t="inlineStr">
        <is>
          <t>우선순위</t>
        </is>
      </c>
      <c r="C4" s="4" t="inlineStr">
        <is>
          <t>다음 일정</t>
        </is>
      </c>
      <c r="D4" s="4" t="inlineStr">
        <is>
          <t>예정일</t>
        </is>
      </c>
      <c r="E4" s="4" t="inlineStr">
        <is>
          <t>D-day</t>
        </is>
      </c>
      <c r="F4" s="4" t="inlineStr">
        <is>
          <t>알림</t>
        </is>
      </c>
      <c r="G4" s="4" t="inlineStr">
        <is>
          <t>품목
(중복제외)</t>
        </is>
      </c>
      <c r="H4" s="4" t="inlineStr">
        <is>
          <t>견적확보</t>
        </is>
      </c>
      <c r="I4" s="4" t="inlineStr">
        <is>
          <t>미확보</t>
        </is>
      </c>
      <c r="J4" s="4" t="inlineStr">
        <is>
          <t>중복견적</t>
        </is>
      </c>
      <c r="K4" s="4" t="inlineStr">
        <is>
          <t>확인필요
(건)</t>
        </is>
      </c>
      <c r="L4" s="4" t="inlineStr">
        <is>
          <t>공급불가
(건)</t>
        </is>
      </c>
      <c r="M4" s="4" t="inlineStr">
        <is>
          <t>최저가 합계
(KRW)</t>
        </is>
      </c>
      <c r="N4" s="4" t="inlineStr">
        <is>
          <t>일정 초과
(건)</t>
        </is>
      </c>
      <c r="O4" s="4" t="inlineStr">
        <is>
          <t>만료
임박/지남</t>
        </is>
      </c>
      <c r="P4" s="4" t="inlineStr">
        <is>
          <t>발주완료</t>
        </is>
      </c>
    </row>
    <row r="5">
      <c r="A5" s="5" t="inlineStr">
        <is>
          <t>AEOLUS</t>
        </is>
      </c>
      <c r="B5" s="6" t="inlineStr">
        <is>
          <t>Routine</t>
        </is>
      </c>
      <c r="C5" s="6">
        <f>IFERROR(IF(INDEX(스케줄!$B$5:$B$14,MATCH($A5,스케줄!$A$5:$A$14,0))="","-",INDEX(스케줄!$B$5:$B$14,MATCH($A5,스케줄!$A$5:$A$14,0))),"-")</f>
        <v/>
      </c>
      <c r="D5" s="7">
        <f>IFERROR(IF(N(INDEX(스케줄!$C$5:$C$14,MATCH($A5,스케줄!$A$5:$A$14,0)))=0,"",INDEX(스케줄!$C$5:$C$14,MATCH($A5,스케줄!$A$5:$A$14,0))),"")</f>
        <v/>
      </c>
      <c r="E5" s="8">
        <f>IFERROR(INDEX(스케줄!$I$5:$I$14,MATCH($A5,스케줄!$A$5:$A$14,0)),"")</f>
        <v/>
      </c>
      <c r="F5" s="9">
        <f>IFERROR(INDEX(스케줄!$J$5:$J$14,MATCH($A5,스케줄!$A$5:$A$14,0)),"")</f>
        <v/>
      </c>
      <c r="G5" s="10">
        <f>SUM('AEOLUS'!$AG$6:$AG$205)</f>
        <v/>
      </c>
      <c r="H5" s="10">
        <f>SUM('AEOLUS'!$AJ$6:$AJ$205)</f>
        <v/>
      </c>
      <c r="I5" s="10">
        <f>G5-H5</f>
        <v/>
      </c>
      <c r="J5" s="10">
        <f>COUNT('AEOLUS'!$AI$6:$AI$205)</f>
        <v/>
      </c>
      <c r="K5" s="10">
        <f>COUNTIF('AEOLUS'!$N$6:$N$205,"확인필요")</f>
        <v/>
      </c>
      <c r="L5" s="10">
        <f>COUNTIF('AEOLUS'!$N$6:$N$205,"공급불가")</f>
        <v/>
      </c>
      <c r="M5" s="11">
        <f>SUMIFS('AEOLUS'!$S$6:$S$205,'AEOLUS'!$AK$6:$AK$205,1)</f>
        <v/>
      </c>
      <c r="N5" s="10">
        <f>COUNTIF('AEOLUS'!$V$6:$V$205,"초과*")</f>
        <v/>
      </c>
      <c r="O5" s="10">
        <f>COUNTIFS('AEOLUS'!$AA$6:$AA$205,"&lt;="&amp;(TODAY()+5))</f>
        <v/>
      </c>
      <c r="P5" s="10">
        <f>COUNTIF('AEOLUS'!$AC$6:$AC$205,"발주완료")</f>
        <v/>
      </c>
    </row>
    <row r="6">
      <c r="A6" s="5" t="inlineStr">
        <is>
          <t>MELICERTES</t>
        </is>
      </c>
      <c r="B6" s="12" t="inlineStr">
        <is>
          <t>URGENT</t>
        </is>
      </c>
      <c r="C6" s="6">
        <f>IFERROR(IF(INDEX(스케줄!$B$5:$B$14,MATCH($A6,스케줄!$A$5:$A$14,0))="","-",INDEX(스케줄!$B$5:$B$14,MATCH($A6,스케줄!$A$5:$A$14,0))),"-")</f>
        <v/>
      </c>
      <c r="D6" s="7">
        <f>IFERROR(IF(N(INDEX(스케줄!$C$5:$C$14,MATCH($A6,스케줄!$A$5:$A$14,0)))=0,"",INDEX(스케줄!$C$5:$C$14,MATCH($A6,스케줄!$A$5:$A$14,0))),"")</f>
        <v/>
      </c>
      <c r="E6" s="8">
        <f>IFERROR(INDEX(스케줄!$I$5:$I$14,MATCH($A6,스케줄!$A$5:$A$14,0)),"")</f>
        <v/>
      </c>
      <c r="F6" s="9">
        <f>IFERROR(INDEX(스케줄!$J$5:$J$14,MATCH($A6,스케줄!$A$5:$A$14,0)),"")</f>
        <v/>
      </c>
      <c r="G6" s="10">
        <f>SUM('MELICERTES'!$AG$6:$AG$205)</f>
        <v/>
      </c>
      <c r="H6" s="10">
        <f>SUM('MELICERTES'!$AJ$6:$AJ$205)</f>
        <v/>
      </c>
      <c r="I6" s="10">
        <f>G6-H6</f>
        <v/>
      </c>
      <c r="J6" s="10">
        <f>COUNT('MELICERTES'!$AI$6:$AI$205)</f>
        <v/>
      </c>
      <c r="K6" s="10">
        <f>COUNTIF('MELICERTES'!$N$6:$N$205,"확인필요")</f>
        <v/>
      </c>
      <c r="L6" s="10">
        <f>COUNTIF('MELICERTES'!$N$6:$N$205,"공급불가")</f>
        <v/>
      </c>
      <c r="M6" s="11">
        <f>SUMIFS('MELICERTES'!$S$6:$S$205,'MELICERTES'!$AK$6:$AK$205,1)</f>
        <v/>
      </c>
      <c r="N6" s="10">
        <f>COUNTIF('MELICERTES'!$V$6:$V$205,"초과*")</f>
        <v/>
      </c>
      <c r="O6" s="10">
        <f>COUNTIFS('MELICERTES'!$AA$6:$AA$205,"&lt;="&amp;(TODAY()+5))</f>
        <v/>
      </c>
      <c r="P6" s="10">
        <f>COUNTIF('MELICERTES'!$AC$6:$AC$205,"발주완료")</f>
        <v/>
      </c>
    </row>
    <row r="7">
      <c r="A7" s="5" t="inlineStr">
        <is>
          <t>NELEUS</t>
        </is>
      </c>
      <c r="B7" s="6" t="inlineStr">
        <is>
          <t>Routine</t>
        </is>
      </c>
      <c r="C7" s="6">
        <f>IFERROR(IF(INDEX(스케줄!$B$5:$B$14,MATCH($A7,스케줄!$A$5:$A$14,0))="","-",INDEX(스케줄!$B$5:$B$14,MATCH($A7,스케줄!$A$5:$A$14,0))),"-")</f>
        <v/>
      </c>
      <c r="D7" s="7">
        <f>IFERROR(IF(N(INDEX(스케줄!$C$5:$C$14,MATCH($A7,스케줄!$A$5:$A$14,0)))=0,"",INDEX(스케줄!$C$5:$C$14,MATCH($A7,스케줄!$A$5:$A$14,0))),"")</f>
        <v/>
      </c>
      <c r="E7" s="8">
        <f>IFERROR(INDEX(스케줄!$I$5:$I$14,MATCH($A7,스케줄!$A$5:$A$14,0)),"")</f>
        <v/>
      </c>
      <c r="F7" s="9">
        <f>IFERROR(INDEX(스케줄!$J$5:$J$14,MATCH($A7,스케줄!$A$5:$A$14,0)),"")</f>
        <v/>
      </c>
      <c r="G7" s="10">
        <f>SUM('NELEUS'!$AG$6:$AG$205)</f>
        <v/>
      </c>
      <c r="H7" s="10">
        <f>SUM('NELEUS'!$AJ$6:$AJ$205)</f>
        <v/>
      </c>
      <c r="I7" s="10">
        <f>G7-H7</f>
        <v/>
      </c>
      <c r="J7" s="10">
        <f>COUNT('NELEUS'!$AI$6:$AI$205)</f>
        <v/>
      </c>
      <c r="K7" s="10">
        <f>COUNTIF('NELEUS'!$N$6:$N$205,"확인필요")</f>
        <v/>
      </c>
      <c r="L7" s="10">
        <f>COUNTIF('NELEUS'!$N$6:$N$205,"공급불가")</f>
        <v/>
      </c>
      <c r="M7" s="11">
        <f>SUMIFS('NELEUS'!$S$6:$S$205,'NELEUS'!$AK$6:$AK$205,1)</f>
        <v/>
      </c>
      <c r="N7" s="10">
        <f>COUNTIF('NELEUS'!$V$6:$V$205,"초과*")</f>
        <v/>
      </c>
      <c r="O7" s="10">
        <f>COUNTIFS('NELEUS'!$AA$6:$AA$205,"&lt;="&amp;(TODAY()+5))</f>
        <v/>
      </c>
      <c r="P7" s="10">
        <f>COUNTIF('NELEUS'!$AC$6:$AC$205,"발주완료")</f>
        <v/>
      </c>
    </row>
    <row r="8">
      <c r="A8" s="5" t="inlineStr">
        <is>
          <t>ONEIROI</t>
        </is>
      </c>
      <c r="B8" s="12" t="inlineStr">
        <is>
          <t>URGENT</t>
        </is>
      </c>
      <c r="C8" s="6">
        <f>IFERROR(IF(INDEX(스케줄!$B$5:$B$14,MATCH($A8,스케줄!$A$5:$A$14,0))="","-",INDEX(스케줄!$B$5:$B$14,MATCH($A8,스케줄!$A$5:$A$14,0))),"-")</f>
        <v/>
      </c>
      <c r="D8" s="7">
        <f>IFERROR(IF(N(INDEX(스케줄!$C$5:$C$14,MATCH($A8,스케줄!$A$5:$A$14,0)))=0,"",INDEX(스케줄!$C$5:$C$14,MATCH($A8,스케줄!$A$5:$A$14,0))),"")</f>
        <v/>
      </c>
      <c r="E8" s="8">
        <f>IFERROR(INDEX(스케줄!$I$5:$I$14,MATCH($A8,스케줄!$A$5:$A$14,0)),"")</f>
        <v/>
      </c>
      <c r="F8" s="9">
        <f>IFERROR(INDEX(스케줄!$J$5:$J$14,MATCH($A8,스케줄!$A$5:$A$14,0)),"")</f>
        <v/>
      </c>
      <c r="G8" s="10">
        <f>SUM('ONEIROI'!$AG$6:$AG$205)</f>
        <v/>
      </c>
      <c r="H8" s="10">
        <f>SUM('ONEIROI'!$AJ$6:$AJ$205)</f>
        <v/>
      </c>
      <c r="I8" s="10">
        <f>G8-H8</f>
        <v/>
      </c>
      <c r="J8" s="10">
        <f>COUNT('ONEIROI'!$AI$6:$AI$205)</f>
        <v/>
      </c>
      <c r="K8" s="10">
        <f>COUNTIF('ONEIROI'!$N$6:$N$205,"확인필요")</f>
        <v/>
      </c>
      <c r="L8" s="10">
        <f>COUNTIF('ONEIROI'!$N$6:$N$205,"공급불가")</f>
        <v/>
      </c>
      <c r="M8" s="11">
        <f>SUMIFS('ONEIROI'!$S$6:$S$205,'ONEIROI'!$AK$6:$AK$205,1)</f>
        <v/>
      </c>
      <c r="N8" s="10">
        <f>COUNTIF('ONEIROI'!$V$6:$V$205,"초과*")</f>
        <v/>
      </c>
      <c r="O8" s="10">
        <f>COUNTIFS('ONEIROI'!$AA$6:$AA$205,"&lt;="&amp;(TODAY()+5))</f>
        <v/>
      </c>
      <c r="P8" s="10">
        <f>COUNTIF('ONEIROI'!$AC$6:$AC$205,"발주완료")</f>
        <v/>
      </c>
    </row>
    <row r="9">
      <c r="A9" s="13" t="inlineStr">
        <is>
          <t>합계</t>
        </is>
      </c>
      <c r="B9" s="13" t="n"/>
      <c r="C9" s="13" t="n"/>
      <c r="D9" s="14" t="n"/>
      <c r="E9" s="15" t="n"/>
      <c r="F9" s="13" t="n"/>
      <c r="G9" s="16">
        <f>SUM(G5:G8)</f>
        <v/>
      </c>
      <c r="H9" s="16">
        <f>SUM(H5:H8)</f>
        <v/>
      </c>
      <c r="I9" s="16">
        <f>SUM(I5:I8)</f>
        <v/>
      </c>
      <c r="J9" s="16">
        <f>SUM(J5:J8)</f>
        <v/>
      </c>
      <c r="K9" s="16">
        <f>SUM(K5:K8)</f>
        <v/>
      </c>
      <c r="L9" s="16">
        <f>SUM(L5:L8)</f>
        <v/>
      </c>
      <c r="M9" s="17">
        <f>SUM(M5:M8)</f>
        <v/>
      </c>
      <c r="N9" s="16">
        <f>SUM(N5:N8)</f>
        <v/>
      </c>
      <c r="O9" s="16">
        <f>SUM(O5:O8)</f>
        <v/>
      </c>
      <c r="P9" s="16">
        <f>SUM(P5:P8)</f>
        <v/>
      </c>
    </row>
    <row r="11">
      <c r="A11" s="2" t="inlineStr">
        <is>
          <t>선박명을 누르면 해당 시트로 이동 · 일정 수정은 '스케줄' · 업체·환율은 '설정' 시트</t>
        </is>
      </c>
    </row>
  </sheetData>
  <conditionalFormatting sqref="E5:F8">
    <cfRule type="expression" priority="1" dxfId="0">
      <formula>AND(ISNUMBER($E5),$E5&gt;=0,$E5&lt;=4)</formula>
    </cfRule>
    <cfRule type="expression" priority="2" dxfId="1">
      <formula>AND(ISNUMBER($E5),$E5&gt;4,$E5&lt;=7)</formula>
    </cfRule>
  </conditionalFormatting>
  <conditionalFormatting sqref="I5:I9">
    <cfRule type="cellIs" priority="3" operator="greaterThan" dxfId="2">
      <formula>0</formula>
    </cfRule>
  </conditionalFormatting>
  <conditionalFormatting sqref="J5:J9">
    <cfRule type="cellIs" priority="4" operator="greaterThan" dxfId="3">
      <formula>0</formula>
    </cfRule>
  </conditionalFormatting>
  <conditionalFormatting sqref="K5:K9">
    <cfRule type="cellIs" priority="5" operator="greaterThan" dxfId="4">
      <formula>0</formula>
    </cfRule>
  </conditionalFormatting>
  <conditionalFormatting sqref="L5:L9">
    <cfRule type="cellIs" priority="6" operator="greaterThan" dxfId="5">
      <formula>0</formula>
    </cfRule>
  </conditionalFormatting>
  <conditionalFormatting sqref="N5:N9">
    <cfRule type="cellIs" priority="7" operator="greaterThan" dxfId="2">
      <formula>0</formula>
    </cfRule>
  </conditionalFormatting>
  <conditionalFormatting sqref="O5:O9">
    <cfRule type="cellIs" priority="8" operator="greaterThan" dxfId="2">
      <formula>0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2" customWidth="1" min="4" max="4"/>
    <col width="9" customWidth="1" min="5" max="5"/>
    <col width="12" customWidth="1" min="6" max="6"/>
    <col width="12" customWidth="1" min="7" max="7"/>
    <col width="12" customWidth="1" min="8" max="8"/>
    <col width="10" customWidth="1" min="9" max="9"/>
    <col width="24" customWidth="1" min="10" max="10"/>
    <col width="40" customWidth="1" min="11" max="11"/>
  </cols>
  <sheetData>
    <row r="1">
      <c r="A1" s="1" t="inlineStr">
        <is>
          <t>선박 스케줄 · 알림</t>
        </is>
      </c>
    </row>
    <row r="2">
      <c r="A2" s="2" t="inlineStr">
        <is>
          <t>노란 칸(일정·예정일·종료일·운송소요일)만 수정하면 D-day와 알림이 자동으로 바뀝니다 · 1주 전 = 주황, 4일 전 = 빨강 · 파일을 열 때마다 오늘 날짜 기준으로 다시 계산</t>
        </is>
      </c>
    </row>
    <row r="4" ht="32" customHeight="1">
      <c r="A4" s="4" t="inlineStr">
        <is>
          <t>선박</t>
        </is>
      </c>
      <c r="B4" s="4" t="inlineStr">
        <is>
          <t>일정</t>
        </is>
      </c>
      <c r="C4" s="4" t="inlineStr">
        <is>
          <t>예정일
(시작)</t>
        </is>
      </c>
      <c r="D4" s="4" t="inlineStr">
        <is>
          <t>종료일</t>
        </is>
      </c>
      <c r="E4" s="4" t="inlineStr">
        <is>
          <t>운송
소요(일)</t>
        </is>
      </c>
      <c r="F4" s="18" t="inlineStr">
        <is>
          <t>출고
마감</t>
        </is>
      </c>
      <c r="G4" s="18" t="inlineStr">
        <is>
          <t>1주 전
(D-7)</t>
        </is>
      </c>
      <c r="H4" s="18" t="inlineStr">
        <is>
          <t>4일 전
(D-4)</t>
        </is>
      </c>
      <c r="I4" s="18" t="inlineStr">
        <is>
          <t>남은 일수</t>
        </is>
      </c>
      <c r="J4" s="18" t="inlineStr">
        <is>
          <t>알림</t>
        </is>
      </c>
      <c r="K4" s="4" t="inlineStr">
        <is>
          <t>비고</t>
        </is>
      </c>
    </row>
    <row r="5">
      <c r="A5" s="19" t="inlineStr">
        <is>
          <t>AEOLUS</t>
        </is>
      </c>
      <c r="B5" s="20" t="inlineStr">
        <is>
          <t>한국 통과</t>
        </is>
      </c>
      <c r="C5" s="21" t="n">
        <v>46336</v>
      </c>
      <c r="D5" s="21" t="n"/>
      <c r="E5" s="22" t="n"/>
      <c r="F5" s="23">
        <f>IF(C5="","",C5-N(E5))</f>
        <v/>
      </c>
      <c r="G5" s="23">
        <f>IF(C5="","",C5-7)</f>
        <v/>
      </c>
      <c r="H5" s="23">
        <f>IF(C5="","",C5-4)</f>
        <v/>
      </c>
      <c r="I5" s="24">
        <f>IF(C5="","",C5-TODAY())</f>
        <v/>
      </c>
      <c r="J5" s="25">
        <f>IF(A5="","",IF(C5="","일정 미정 – 입력 필요",IF(I5&lt;0,IF(AND(D5&lt;&gt;"",D5&gt;=TODAY()),"진행중 (종료일까지)","지남 – 다음 일정 입력"),IF(I5=0,"오늘 도착",IF(I5&lt;=4,"4일 전 – 최종 확인",IF(I5&lt;=7,"1주 전 – 준비 시작","대기"))))))</f>
        <v/>
      </c>
      <c r="K5" s="20" t="n"/>
    </row>
    <row r="6">
      <c r="A6" s="19" t="inlineStr">
        <is>
          <t>MELICERTES</t>
        </is>
      </c>
      <c r="B6" s="20" t="n"/>
      <c r="C6" s="21" t="n"/>
      <c r="D6" s="21" t="n"/>
      <c r="E6" s="22" t="n"/>
      <c r="F6" s="23">
        <f>IF(C6="","",C6-N(E6))</f>
        <v/>
      </c>
      <c r="G6" s="23">
        <f>IF(C6="","",C6-7)</f>
        <v/>
      </c>
      <c r="H6" s="23">
        <f>IF(C6="","",C6-4)</f>
        <v/>
      </c>
      <c r="I6" s="24">
        <f>IF(C6="","",C6-TODAY())</f>
        <v/>
      </c>
      <c r="J6" s="25">
        <f>IF(A6="","",IF(C6="","일정 미정 – 입력 필요",IF(I6&lt;0,IF(AND(D6&lt;&gt;"",D6&gt;=TODAY()),"진행중 (종료일까지)","지남 – 다음 일정 입력"),IF(I6=0,"오늘 도착",IF(I6&lt;=4,"4일 전 – 최종 확인",IF(I6&lt;=7,"1주 전 – 준비 시작","대기"))))))</f>
        <v/>
      </c>
      <c r="K6" s="20" t="inlineStr">
        <is>
          <t>일정 확인 필요 (RFQ상 Sabetta ETA 19-Oct 지남)</t>
        </is>
      </c>
    </row>
    <row r="7">
      <c r="A7" s="19" t="inlineStr">
        <is>
          <t>NELEUS</t>
        </is>
      </c>
      <c r="B7" s="20" t="n"/>
      <c r="C7" s="21" t="n"/>
      <c r="D7" s="21" t="n"/>
      <c r="E7" s="22" t="n"/>
      <c r="F7" s="23">
        <f>IF(C7="","",C7-N(E7))</f>
        <v/>
      </c>
      <c r="G7" s="23">
        <f>IF(C7="","",C7-7)</f>
        <v/>
      </c>
      <c r="H7" s="23">
        <f>IF(C7="","",C7-4)</f>
        <v/>
      </c>
      <c r="I7" s="24">
        <f>IF(C7="","",C7-TODAY())</f>
        <v/>
      </c>
      <c r="J7" s="25">
        <f>IF(A7="","",IF(C7="","일정 미정 – 입력 필요",IF(I7&lt;0,IF(AND(D7&lt;&gt;"",D7&gt;=TODAY()),"진행중 (종료일까지)","지남 – 다음 일정 입력"),IF(I7=0,"오늘 도착",IF(I7&lt;=4,"4일 전 – 최종 확인",IF(I7&lt;=7,"1주 전 – 준비 시작","대기"))))))</f>
        <v/>
      </c>
      <c r="K7" s="20" t="inlineStr">
        <is>
          <t>일정 확인 필요</t>
        </is>
      </c>
    </row>
    <row r="8">
      <c r="A8" s="19" t="inlineStr">
        <is>
          <t>ONEIROI</t>
        </is>
      </c>
      <c r="B8" s="20" t="inlineStr">
        <is>
          <t>네덜란드 보급</t>
        </is>
      </c>
      <c r="C8" s="21" t="n">
        <v>46338</v>
      </c>
      <c r="D8" s="21" t="n">
        <v>46339</v>
      </c>
      <c r="E8" s="22" t="n"/>
      <c r="F8" s="23">
        <f>IF(C8="","",C8-N(E8))</f>
        <v/>
      </c>
      <c r="G8" s="23">
        <f>IF(C8="","",C8-7)</f>
        <v/>
      </c>
      <c r="H8" s="23">
        <f>IF(C8="","",C8-4)</f>
        <v/>
      </c>
      <c r="I8" s="24">
        <f>IF(C8="","",C8-TODAY())</f>
        <v/>
      </c>
      <c r="J8" s="25">
        <f>IF(A8="","",IF(C8="","일정 미정 – 입력 필요",IF(I8&lt;0,IF(AND(D8&lt;&gt;"",D8&gt;=TODAY()),"진행중 (종료일까지)","지남 – 다음 일정 입력"),IF(I8=0,"오늘 도착",IF(I8&lt;=4,"4일 전 – 최종 확인",IF(I8&lt;=7,"1주 전 – 준비 시작","대기"))))))</f>
        <v/>
      </c>
      <c r="K8" s="20" t="inlineStr">
        <is>
          <t>EXW 부산 → 네덜란드 포워딩 기간 별도</t>
        </is>
      </c>
    </row>
    <row r="9">
      <c r="A9" s="19" t="n"/>
      <c r="B9" s="20" t="n"/>
      <c r="C9" s="21" t="n"/>
      <c r="D9" s="21" t="n"/>
      <c r="E9" s="22" t="n"/>
      <c r="F9" s="23">
        <f>IF(C9="","",C9-N(E9))</f>
        <v/>
      </c>
      <c r="G9" s="23">
        <f>IF(C9="","",C9-7)</f>
        <v/>
      </c>
      <c r="H9" s="23">
        <f>IF(C9="","",C9-4)</f>
        <v/>
      </c>
      <c r="I9" s="24">
        <f>IF(C9="","",C9-TODAY())</f>
        <v/>
      </c>
      <c r="J9" s="25">
        <f>IF(A9="","",IF(C9="","일정 미정 – 입력 필요",IF(I9&lt;0,IF(AND(D9&lt;&gt;"",D9&gt;=TODAY()),"진행중 (종료일까지)","지남 – 다음 일정 입력"),IF(I9=0,"오늘 도착",IF(I9&lt;=4,"4일 전 – 최종 확인",IF(I9&lt;=7,"1주 전 – 준비 시작","대기"))))))</f>
        <v/>
      </c>
      <c r="K9" s="20" t="n"/>
    </row>
    <row r="10">
      <c r="A10" s="19" t="n"/>
      <c r="B10" s="20" t="n"/>
      <c r="C10" s="21" t="n"/>
      <c r="D10" s="21" t="n"/>
      <c r="E10" s="22" t="n"/>
      <c r="F10" s="23">
        <f>IF(C10="","",C10-N(E10))</f>
        <v/>
      </c>
      <c r="G10" s="23">
        <f>IF(C10="","",C10-7)</f>
        <v/>
      </c>
      <c r="H10" s="23">
        <f>IF(C10="","",C10-4)</f>
        <v/>
      </c>
      <c r="I10" s="24">
        <f>IF(C10="","",C10-TODAY())</f>
        <v/>
      </c>
      <c r="J10" s="25">
        <f>IF(A10="","",IF(C10="","일정 미정 – 입력 필요",IF(I10&lt;0,IF(AND(D10&lt;&gt;"",D10&gt;=TODAY()),"진행중 (종료일까지)","지남 – 다음 일정 입력"),IF(I10=0,"오늘 도착",IF(I10&lt;=4,"4일 전 – 최종 확인",IF(I10&lt;=7,"1주 전 – 준비 시작","대기"))))))</f>
        <v/>
      </c>
      <c r="K10" s="20" t="n"/>
    </row>
    <row r="11">
      <c r="A11" s="19" t="n"/>
      <c r="B11" s="20" t="n"/>
      <c r="C11" s="21" t="n"/>
      <c r="D11" s="21" t="n"/>
      <c r="E11" s="22" t="n"/>
      <c r="F11" s="23">
        <f>IF(C11="","",C11-N(E11))</f>
        <v/>
      </c>
      <c r="G11" s="23">
        <f>IF(C11="","",C11-7)</f>
        <v/>
      </c>
      <c r="H11" s="23">
        <f>IF(C11="","",C11-4)</f>
        <v/>
      </c>
      <c r="I11" s="24">
        <f>IF(C11="","",C11-TODAY())</f>
        <v/>
      </c>
      <c r="J11" s="25">
        <f>IF(A11="","",IF(C11="","일정 미정 – 입력 필요",IF(I11&lt;0,IF(AND(D11&lt;&gt;"",D11&gt;=TODAY()),"진행중 (종료일까지)","지남 – 다음 일정 입력"),IF(I11=0,"오늘 도착",IF(I11&lt;=4,"4일 전 – 최종 확인",IF(I11&lt;=7,"1주 전 – 준비 시작","대기"))))))</f>
        <v/>
      </c>
      <c r="K11" s="20" t="n"/>
    </row>
    <row r="12">
      <c r="A12" s="19" t="n"/>
      <c r="B12" s="20" t="n"/>
      <c r="C12" s="21" t="n"/>
      <c r="D12" s="21" t="n"/>
      <c r="E12" s="22" t="n"/>
      <c r="F12" s="23">
        <f>IF(C12="","",C12-N(E12))</f>
        <v/>
      </c>
      <c r="G12" s="23">
        <f>IF(C12="","",C12-7)</f>
        <v/>
      </c>
      <c r="H12" s="23">
        <f>IF(C12="","",C12-4)</f>
        <v/>
      </c>
      <c r="I12" s="24">
        <f>IF(C12="","",C12-TODAY())</f>
        <v/>
      </c>
      <c r="J12" s="25">
        <f>IF(A12="","",IF(C12="","일정 미정 – 입력 필요",IF(I12&lt;0,IF(AND(D12&lt;&gt;"",D12&gt;=TODAY()),"진행중 (종료일까지)","지남 – 다음 일정 입력"),IF(I12=0,"오늘 도착",IF(I12&lt;=4,"4일 전 – 최종 확인",IF(I12&lt;=7,"1주 전 – 준비 시작","대기"))))))</f>
        <v/>
      </c>
      <c r="K12" s="20" t="n"/>
    </row>
    <row r="13">
      <c r="A13" s="19" t="n"/>
      <c r="B13" s="20" t="n"/>
      <c r="C13" s="21" t="n"/>
      <c r="D13" s="21" t="n"/>
      <c r="E13" s="22" t="n"/>
      <c r="F13" s="23">
        <f>IF(C13="","",C13-N(E13))</f>
        <v/>
      </c>
      <c r="G13" s="23">
        <f>IF(C13="","",C13-7)</f>
        <v/>
      </c>
      <c r="H13" s="23">
        <f>IF(C13="","",C13-4)</f>
        <v/>
      </c>
      <c r="I13" s="24">
        <f>IF(C13="","",C13-TODAY())</f>
        <v/>
      </c>
      <c r="J13" s="25">
        <f>IF(A13="","",IF(C13="","일정 미정 – 입력 필요",IF(I13&lt;0,IF(AND(D13&lt;&gt;"",D13&gt;=TODAY()),"진행중 (종료일까지)","지남 – 다음 일정 입력"),IF(I13=0,"오늘 도착",IF(I13&lt;=4,"4일 전 – 최종 확인",IF(I13&lt;=7,"1주 전 – 준비 시작","대기"))))))</f>
        <v/>
      </c>
      <c r="K13" s="20" t="n"/>
    </row>
    <row r="14">
      <c r="A14" s="19" t="n"/>
      <c r="B14" s="20" t="n"/>
      <c r="C14" s="21" t="n"/>
      <c r="D14" s="21" t="n"/>
      <c r="E14" s="22" t="n"/>
      <c r="F14" s="23">
        <f>IF(C14="","",C14-N(E14))</f>
        <v/>
      </c>
      <c r="G14" s="23">
        <f>IF(C14="","",C14-7)</f>
        <v/>
      </c>
      <c r="H14" s="23">
        <f>IF(C14="","",C14-4)</f>
        <v/>
      </c>
      <c r="I14" s="24">
        <f>IF(C14="","",C14-TODAY())</f>
        <v/>
      </c>
      <c r="J14" s="25">
        <f>IF(A14="","",IF(C14="","일정 미정 – 입력 필요",IF(I14&lt;0,IF(AND(D14&lt;&gt;"",D14&gt;=TODAY()),"진행중 (종료일까지)","지남 – 다음 일정 입력"),IF(I14=0,"오늘 도착",IF(I14&lt;=4,"4일 전 – 최종 확인",IF(I14&lt;=7,"1주 전 – 준비 시작","대기"))))))</f>
        <v/>
      </c>
      <c r="K14" s="20" t="n"/>
    </row>
    <row r="16">
      <c r="A16" s="2" t="inlineStr">
        <is>
          <t>선박 1척 = 1줄 (다음 일정만). 일정이 끝나면 같은 줄의 일정·날짜를 다음 일정으로 바꿔 쓰세요.</t>
        </is>
      </c>
    </row>
  </sheetData>
  <conditionalFormatting sqref="I5:J14">
    <cfRule type="expression" priority="1" dxfId="0">
      <formula>AND(ISNUMBER($I5),$I5&gt;=0,$I5&lt;=4)</formula>
    </cfRule>
    <cfRule type="expression" priority="2" dxfId="1">
      <formula>AND(ISNUMBER($I5),$I5&gt;4,$I5&lt;=7)</formula>
    </cfRule>
    <cfRule type="expression" priority="3" dxfId="6">
      <formula>AND(ISNUMBER($I5),$I5&lt;0)</formula>
    </cfRule>
  </conditionalFormatting>
  <conditionalFormatting sqref="G5:G14">
    <cfRule type="expression" priority="4" dxfId="7">
      <formula>AND(ISNUMBER($G5),TODAY()&gt;=$G5,TODAY()&lt;=$C5)</formula>
    </cfRule>
  </conditionalFormatting>
  <conditionalFormatting sqref="H5:H14">
    <cfRule type="expression" priority="5" dxfId="0">
      <formula>AND(ISNUMBER($H5),TODAY()&gt;=$H5,TODAY()&lt;=$C5)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AF88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5" customWidth="1" min="3" max="3"/>
    <col width="5" customWidth="1" min="4" max="4"/>
    <col width="34" customWidth="1" min="5" max="5"/>
    <col width="6" customWidth="1" min="6" max="6"/>
    <col width="6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8" customWidth="1" min="16" max="16"/>
    <col width="8" customWidth="1" min="17" max="17"/>
    <col width="8" customWidth="1" min="18" max="18"/>
    <col width="8" customWidth="1" min="19" max="19"/>
    <col width="9" customWidth="1" min="20" max="20"/>
    <col width="12" customWidth="1" min="21" max="21"/>
    <col width="14" customWidth="1" min="22" max="22"/>
    <col width="12" customWidth="1" min="23" max="23"/>
    <col width="30" customWidth="1" min="24" max="24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</cols>
  <sheetData>
    <row r="1">
      <c r="A1" s="26" t="inlineStr">
        <is>
          <t>중복견적 비교 (자동)</t>
        </is>
      </c>
    </row>
    <row r="2">
      <c r="A2" s="2" t="inlineStr">
        <is>
          <t>선박 시트에서 같은 RFQ No.·항목#로 업체 견적이 2곳 이상 들어온 품목이 자동으로 모입니다 · 입력 불필요 · 단가는 원화 환산(설정 시트 환율) · 초록 = 최저가</t>
        </is>
      </c>
    </row>
    <row r="4" ht="22" customHeight="1">
      <c r="A4" s="27" t="inlineStr">
        <is>
          <t>No</t>
        </is>
      </c>
      <c r="B4" s="27" t="inlineStr">
        <is>
          <t>선박</t>
        </is>
      </c>
      <c r="C4" s="27" t="inlineStr">
        <is>
          <t>RFQ No.</t>
        </is>
      </c>
      <c r="D4" s="27" t="inlineStr">
        <is>
          <t>항목#</t>
        </is>
      </c>
      <c r="E4" s="27" t="inlineStr">
        <is>
          <t>품목</t>
        </is>
      </c>
      <c r="F4" s="27" t="inlineStr">
        <is>
          <t>수량</t>
        </is>
      </c>
      <c r="G4" s="27" t="inlineStr">
        <is>
          <t>단위</t>
        </is>
      </c>
      <c r="H4" s="28" t="inlineStr">
        <is>
          <t>견적상태</t>
        </is>
      </c>
      <c r="I4" s="29" t="n"/>
      <c r="J4" s="29" t="n"/>
      <c r="K4" s="30" t="n"/>
      <c r="L4" s="28" t="inlineStr">
        <is>
          <t>원화 단가 (KRW)</t>
        </is>
      </c>
      <c r="M4" s="29" t="n"/>
      <c r="N4" s="29" t="n"/>
      <c r="O4" s="30" t="n"/>
      <c r="P4" s="28" t="inlineStr">
        <is>
          <t>납기 (일)</t>
        </is>
      </c>
      <c r="Q4" s="29" t="n"/>
      <c r="R4" s="29" t="n"/>
      <c r="S4" s="30" t="n"/>
      <c r="T4" s="27" t="inlineStr">
        <is>
          <t>최저가
업체</t>
        </is>
      </c>
      <c r="U4" s="27" t="inlineStr">
        <is>
          <t>최저
원화 단가</t>
        </is>
      </c>
      <c r="V4" s="27" t="inlineStr">
        <is>
          <t>최저가 기준
금액 (KRW)</t>
        </is>
      </c>
      <c r="W4" s="27" t="inlineStr">
        <is>
          <t>최고-최저
차이 (KRW)</t>
        </is>
      </c>
      <c r="X4" s="27" t="inlineStr">
        <is>
          <t>메모</t>
        </is>
      </c>
    </row>
    <row r="5" ht="30" customHeight="1">
      <c r="A5" s="31" t="n"/>
      <c r="B5" s="31" t="n"/>
      <c r="C5" s="31" t="n"/>
      <c r="D5" s="31" t="n"/>
      <c r="E5" s="31" t="n"/>
      <c r="F5" s="31" t="n"/>
      <c r="G5" s="31" t="n"/>
      <c r="H5" s="32">
        <f>IF(설정!$E$5="","-",설정!$E$5)</f>
        <v/>
      </c>
      <c r="I5" s="32">
        <f>IF(설정!$E$6="","-",설정!$E$6)</f>
        <v/>
      </c>
      <c r="J5" s="32">
        <f>IF(설정!$E$7="","-",설정!$E$7)</f>
        <v/>
      </c>
      <c r="K5" s="32">
        <f>IF(설정!$E$8="","-",설정!$E$8)</f>
        <v/>
      </c>
      <c r="L5" s="32">
        <f>IF(설정!$E$5="","-",설정!$E$5)</f>
        <v/>
      </c>
      <c r="M5" s="32">
        <f>IF(설정!$E$6="","-",설정!$E$6)</f>
        <v/>
      </c>
      <c r="N5" s="32">
        <f>IF(설정!$E$7="","-",설정!$E$7)</f>
        <v/>
      </c>
      <c r="O5" s="32">
        <f>IF(설정!$E$8="","-",설정!$E$8)</f>
        <v/>
      </c>
      <c r="P5" s="32">
        <f>IF(설정!$E$5="","-",설정!$E$5)</f>
        <v/>
      </c>
      <c r="Q5" s="32">
        <f>IF(설정!$E$6="","-",설정!$E$6)</f>
        <v/>
      </c>
      <c r="R5" s="32">
        <f>IF(설정!$E$7="","-",설정!$E$7)</f>
        <v/>
      </c>
      <c r="S5" s="32">
        <f>IF(설정!$E$8="","-",설정!$E$8)</f>
        <v/>
      </c>
      <c r="T5" s="31" t="n"/>
      <c r="U5" s="31" t="n"/>
      <c r="V5" s="31" t="n"/>
      <c r="W5" s="31" t="n"/>
      <c r="X5" s="31" t="n"/>
      <c r="Z5" s="33" t="inlineStr">
        <is>
          <t>_선박</t>
        </is>
      </c>
      <c r="AA5" s="33" t="inlineStr">
        <is>
          <t>_중복수</t>
        </is>
      </c>
      <c r="AB5" s="33" t="inlineStr">
        <is>
          <t>_누적끝</t>
        </is>
      </c>
      <c r="AC5" s="33" t="inlineStr">
        <is>
          <t>_누적시작</t>
        </is>
      </c>
    </row>
    <row r="6">
      <c r="A6" s="34">
        <f>IF(AD6="","",1)</f>
        <v/>
      </c>
      <c r="B6" s="35">
        <f>IF(AD6="","",INDEX($Z$6:$Z$9,AD6))</f>
        <v/>
      </c>
      <c r="C6" s="34">
        <f>IF(AD6="","",INDEX(INDIRECT("'"&amp;$B6&amp;"'!$B$6:$B$205"),MATCH($AF6,INDIRECT("'"&amp;$B6&amp;"'!$AE$6:$AE$205"),0)))</f>
        <v/>
      </c>
      <c r="D6" s="34">
        <f>IF(AD6="","",INDEX(INDIRECT("'"&amp;$B6&amp;"'!$D$6:$D$205"),MATCH($AF6,INDIRECT("'"&amp;$B6&amp;"'!$AE$6:$AE$205"),0)))</f>
        <v/>
      </c>
      <c r="E6" s="36">
        <f>IF(AD6="","",INDEX(INDIRECT("'"&amp;$B6&amp;"'!$F$6:$F$205"),MATCH($AF6,INDIRECT("'"&amp;$B6&amp;"'!$AE$6:$AE$205"),0)))</f>
        <v/>
      </c>
      <c r="F6" s="34">
        <f>IF(AD6="","",INDEX(INDIRECT("'"&amp;$B6&amp;"'!$K$6:$K$205"),MATCH($AF6,INDIRECT("'"&amp;$B6&amp;"'!$AE$6:$AE$205"),0)))</f>
        <v/>
      </c>
      <c r="G6" s="34">
        <f>IF(AD6="","",INDEX(INDIRECT("'"&amp;$B6&amp;"'!$L$6:$L$205"),MATCH($AF6,INDIRECT("'"&amp;$B6&amp;"'!$AE$6:$AE$205"),0)))</f>
        <v/>
      </c>
      <c r="H6" s="34">
        <f>IF(OR(AD6="",H$5="-"),"",IFERROR(IF(INDEX(INDIRECT("'"&amp;$B6&amp;"'!$N$6:$N$205"),MATCH($AF6&amp;"|"&amp;H$5,INDIRECT("'"&amp;$B6&amp;"'!$AF$6:$AF$205"),0))="","",INDEX(INDIRECT("'"&amp;$B6&amp;"'!$N$6:$N$205"),MATCH($AF6&amp;"|"&amp;H$5,INDIRECT("'"&amp;$B6&amp;"'!$AF$6:$AF$205"),0))),"-"))</f>
        <v/>
      </c>
      <c r="I6" s="34">
        <f>IF(OR(AD6="",I$5="-"),"",IFERROR(IF(INDEX(INDIRECT("'"&amp;$B6&amp;"'!$N$6:$N$205"),MATCH($AF6&amp;"|"&amp;I$5,INDIRECT("'"&amp;$B6&amp;"'!$AF$6:$AF$205"),0))="","",INDEX(INDIRECT("'"&amp;$B6&amp;"'!$N$6:$N$205"),MATCH($AF6&amp;"|"&amp;I$5,INDIRECT("'"&amp;$B6&amp;"'!$AF$6:$AF$205"),0))),"-"))</f>
        <v/>
      </c>
      <c r="J6" s="34">
        <f>IF(OR(AD6="",J$5="-"),"",IFERROR(IF(INDEX(INDIRECT("'"&amp;$B6&amp;"'!$N$6:$N$205"),MATCH($AF6&amp;"|"&amp;J$5,INDIRECT("'"&amp;$B6&amp;"'!$AF$6:$AF$205"),0))="","",INDEX(INDIRECT("'"&amp;$B6&amp;"'!$N$6:$N$205"),MATCH($AF6&amp;"|"&amp;J$5,INDIRECT("'"&amp;$B6&amp;"'!$AF$6:$AF$205"),0))),"-"))</f>
        <v/>
      </c>
      <c r="K6" s="34">
        <f>IF(OR(AD6="",K$5="-"),"",IFERROR(IF(INDEX(INDIRECT("'"&amp;$B6&amp;"'!$N$6:$N$205"),MATCH($AF6&amp;"|"&amp;K$5,INDIRECT("'"&amp;$B6&amp;"'!$AF$6:$AF$205"),0))="","",INDEX(INDIRECT("'"&amp;$B6&amp;"'!$N$6:$N$205"),MATCH($AF6&amp;"|"&amp;K$5,INDIRECT("'"&amp;$B6&amp;"'!$AF$6:$AF$205"),0))),"-"))</f>
        <v/>
      </c>
      <c r="L6" s="37">
        <f>IF(OR(AD6="",L$5="-"),"",IFERROR(IF(INDEX(INDIRECT("'"&amp;$B6&amp;"'!$R$6:$R$205"),MATCH($AF6&amp;"|"&amp;L$5,INDIRECT("'"&amp;$B6&amp;"'!$AF$6:$AF$205"),0))="","",INDEX(INDIRECT("'"&amp;$B6&amp;"'!$R$6:$R$205"),MATCH($AF6&amp;"|"&amp;L$5,INDIRECT("'"&amp;$B6&amp;"'!$AF$6:$AF$205"),0))),"-"))</f>
        <v/>
      </c>
      <c r="M6" s="37">
        <f>IF(OR(AD6="",M$5="-"),"",IFERROR(IF(INDEX(INDIRECT("'"&amp;$B6&amp;"'!$R$6:$R$205"),MATCH($AF6&amp;"|"&amp;M$5,INDIRECT("'"&amp;$B6&amp;"'!$AF$6:$AF$205"),0))="","",INDEX(INDIRECT("'"&amp;$B6&amp;"'!$R$6:$R$205"),MATCH($AF6&amp;"|"&amp;M$5,INDIRECT("'"&amp;$B6&amp;"'!$AF$6:$AF$205"),0))),"-"))</f>
        <v/>
      </c>
      <c r="N6" s="37">
        <f>IF(OR(AD6="",N$5="-"),"",IFERROR(IF(INDEX(INDIRECT("'"&amp;$B6&amp;"'!$R$6:$R$205"),MATCH($AF6&amp;"|"&amp;N$5,INDIRECT("'"&amp;$B6&amp;"'!$AF$6:$AF$205"),0))="","",INDEX(INDIRECT("'"&amp;$B6&amp;"'!$R$6:$R$205"),MATCH($AF6&amp;"|"&amp;N$5,INDIRECT("'"&amp;$B6&amp;"'!$AF$6:$AF$205"),0))),"-"))</f>
        <v/>
      </c>
      <c r="O6" s="37">
        <f>IF(OR(AD6="",O$5="-"),"",IFERROR(IF(INDEX(INDIRECT("'"&amp;$B6&amp;"'!$R$6:$R$205"),MATCH($AF6&amp;"|"&amp;O$5,INDIRECT("'"&amp;$B6&amp;"'!$AF$6:$AF$205"),0))="","",INDEX(INDIRECT("'"&amp;$B6&amp;"'!$R$6:$R$205"),MATCH($AF6&amp;"|"&amp;O$5,INDIRECT("'"&amp;$B6&amp;"'!$AF$6:$AF$205"),0))),"-"))</f>
        <v/>
      </c>
      <c r="P6" s="38">
        <f>IF(OR(AD6="",P$5="-"),"",IFERROR(IF(INDEX(INDIRECT("'"&amp;$B6&amp;"'!$T$6:$T$205"),MATCH($AF6&amp;"|"&amp;P$5,INDIRECT("'"&amp;$B6&amp;"'!$AF$6:$AF$205"),0))="","",INDEX(INDIRECT("'"&amp;$B6&amp;"'!$T$6:$T$205"),MATCH($AF6&amp;"|"&amp;P$5,INDIRECT("'"&amp;$B6&amp;"'!$AF$6:$AF$205"),0))),"-"))</f>
        <v/>
      </c>
      <c r="Q6" s="38">
        <f>IF(OR(AD6="",Q$5="-"),"",IFERROR(IF(INDEX(INDIRECT("'"&amp;$B6&amp;"'!$T$6:$T$205"),MATCH($AF6&amp;"|"&amp;Q$5,INDIRECT("'"&amp;$B6&amp;"'!$AF$6:$AF$205"),0))="","",INDEX(INDIRECT("'"&amp;$B6&amp;"'!$T$6:$T$205"),MATCH($AF6&amp;"|"&amp;Q$5,INDIRECT("'"&amp;$B6&amp;"'!$AF$6:$AF$205"),0))),"-"))</f>
        <v/>
      </c>
      <c r="R6" s="38">
        <f>IF(OR(AD6="",R$5="-"),"",IFERROR(IF(INDEX(INDIRECT("'"&amp;$B6&amp;"'!$T$6:$T$205"),MATCH($AF6&amp;"|"&amp;R$5,INDIRECT("'"&amp;$B6&amp;"'!$AF$6:$AF$205"),0))="","",INDEX(INDIRECT("'"&amp;$B6&amp;"'!$T$6:$T$205"),MATCH($AF6&amp;"|"&amp;R$5,INDIRECT("'"&amp;$B6&amp;"'!$AF$6:$AF$205"),0))),"-"))</f>
        <v/>
      </c>
      <c r="S6" s="38">
        <f>IF(OR(AD6="",S$5="-"),"",IFERROR(IF(INDEX(INDIRECT("'"&amp;$B6&amp;"'!$T$6:$T$205"),MATCH($AF6&amp;"|"&amp;S$5,INDIRECT("'"&amp;$B6&amp;"'!$AF$6:$AF$205"),0))="","",INDEX(INDIRECT("'"&amp;$B6&amp;"'!$T$6:$T$205"),MATCH($AF6&amp;"|"&amp;S$5,INDIRECT("'"&amp;$B6&amp;"'!$AF$6:$AF$205"),0))),"-"))</f>
        <v/>
      </c>
      <c r="T6" s="35">
        <f>IF(U6="","",INDEX($L$5:$O$5,MATCH(U6,L6:O6,0)))</f>
        <v/>
      </c>
      <c r="U6" s="37">
        <f>IF(COUNT(L6:O6)=0,"",MIN(L6:O6))</f>
        <v/>
      </c>
      <c r="V6" s="39">
        <f>IF(U6="","",U6*F6)</f>
        <v/>
      </c>
      <c r="W6" s="39">
        <f>IF(COUNT(L6:O6)&lt;2,"",(MAX(L6:O6)-MIN(L6:O6))*F6)</f>
        <v/>
      </c>
      <c r="X6" s="20" t="n"/>
      <c r="Z6" t="inlineStr">
        <is>
          <t>AEOLUS</t>
        </is>
      </c>
      <c r="AA6">
        <f>COUNT('AEOLUS'!$AI$6:$AI$205)</f>
        <v/>
      </c>
      <c r="AB6">
        <f>SUM($AA$6:AA6)</f>
        <v/>
      </c>
      <c r="AC6">
        <f>AB6-AA6</f>
        <v/>
      </c>
      <c r="AD6">
        <f>IF(1&gt;MAX($AB$6:$AB$9),"",COUNTIF($AB$6:$AB$9,"&lt;"&amp;1)+1)</f>
        <v/>
      </c>
      <c r="AE6">
        <f>IF(AD6="","",1-INDEX($AC$6:$AC$9,AD6))</f>
        <v/>
      </c>
      <c r="AF6">
        <f>IF(AD6="","",INDEX(INDIRECT("'"&amp;$B6&amp;"'!$AE$6:$AE$205"),MATCH(AE6,INDIRECT("'"&amp;$B6&amp;"'!$AI$6:$AI$205"),0)))</f>
        <v/>
      </c>
    </row>
    <row r="7">
      <c r="A7" s="34">
        <f>IF(AD7="","",2)</f>
        <v/>
      </c>
      <c r="B7" s="35">
        <f>IF(AD7="","",INDEX($Z$6:$Z$9,AD7))</f>
        <v/>
      </c>
      <c r="C7" s="34">
        <f>IF(AD7="","",INDEX(INDIRECT("'"&amp;$B7&amp;"'!$B$6:$B$205"),MATCH($AF7,INDIRECT("'"&amp;$B7&amp;"'!$AE$6:$AE$205"),0)))</f>
        <v/>
      </c>
      <c r="D7" s="34">
        <f>IF(AD7="","",INDEX(INDIRECT("'"&amp;$B7&amp;"'!$D$6:$D$205"),MATCH($AF7,INDIRECT("'"&amp;$B7&amp;"'!$AE$6:$AE$205"),0)))</f>
        <v/>
      </c>
      <c r="E7" s="36">
        <f>IF(AD7="","",INDEX(INDIRECT("'"&amp;$B7&amp;"'!$F$6:$F$205"),MATCH($AF7,INDIRECT("'"&amp;$B7&amp;"'!$AE$6:$AE$205"),0)))</f>
        <v/>
      </c>
      <c r="F7" s="34">
        <f>IF(AD7="","",INDEX(INDIRECT("'"&amp;$B7&amp;"'!$K$6:$K$205"),MATCH($AF7,INDIRECT("'"&amp;$B7&amp;"'!$AE$6:$AE$205"),0)))</f>
        <v/>
      </c>
      <c r="G7" s="34">
        <f>IF(AD7="","",INDEX(INDIRECT("'"&amp;$B7&amp;"'!$L$6:$L$205"),MATCH($AF7,INDIRECT("'"&amp;$B7&amp;"'!$AE$6:$AE$205"),0)))</f>
        <v/>
      </c>
      <c r="H7" s="34">
        <f>IF(OR(AD7="",H$5="-"),"",IFERROR(IF(INDEX(INDIRECT("'"&amp;$B7&amp;"'!$N$6:$N$205"),MATCH($AF7&amp;"|"&amp;H$5,INDIRECT("'"&amp;$B7&amp;"'!$AF$6:$AF$205"),0))="","",INDEX(INDIRECT("'"&amp;$B7&amp;"'!$N$6:$N$205"),MATCH($AF7&amp;"|"&amp;H$5,INDIRECT("'"&amp;$B7&amp;"'!$AF$6:$AF$205"),0))),"-"))</f>
        <v/>
      </c>
      <c r="I7" s="34">
        <f>IF(OR(AD7="",I$5="-"),"",IFERROR(IF(INDEX(INDIRECT("'"&amp;$B7&amp;"'!$N$6:$N$205"),MATCH($AF7&amp;"|"&amp;I$5,INDIRECT("'"&amp;$B7&amp;"'!$AF$6:$AF$205"),0))="","",INDEX(INDIRECT("'"&amp;$B7&amp;"'!$N$6:$N$205"),MATCH($AF7&amp;"|"&amp;I$5,INDIRECT("'"&amp;$B7&amp;"'!$AF$6:$AF$205"),0))),"-"))</f>
        <v/>
      </c>
      <c r="J7" s="34">
        <f>IF(OR(AD7="",J$5="-"),"",IFERROR(IF(INDEX(INDIRECT("'"&amp;$B7&amp;"'!$N$6:$N$205"),MATCH($AF7&amp;"|"&amp;J$5,INDIRECT("'"&amp;$B7&amp;"'!$AF$6:$AF$205"),0))="","",INDEX(INDIRECT("'"&amp;$B7&amp;"'!$N$6:$N$205"),MATCH($AF7&amp;"|"&amp;J$5,INDIRECT("'"&amp;$B7&amp;"'!$AF$6:$AF$205"),0))),"-"))</f>
        <v/>
      </c>
      <c r="K7" s="34">
        <f>IF(OR(AD7="",K$5="-"),"",IFERROR(IF(INDEX(INDIRECT("'"&amp;$B7&amp;"'!$N$6:$N$205"),MATCH($AF7&amp;"|"&amp;K$5,INDIRECT("'"&amp;$B7&amp;"'!$AF$6:$AF$205"),0))="","",INDEX(INDIRECT("'"&amp;$B7&amp;"'!$N$6:$N$205"),MATCH($AF7&amp;"|"&amp;K$5,INDIRECT("'"&amp;$B7&amp;"'!$AF$6:$AF$205"),0))),"-"))</f>
        <v/>
      </c>
      <c r="L7" s="37">
        <f>IF(OR(AD7="",L$5="-"),"",IFERROR(IF(INDEX(INDIRECT("'"&amp;$B7&amp;"'!$R$6:$R$205"),MATCH($AF7&amp;"|"&amp;L$5,INDIRECT("'"&amp;$B7&amp;"'!$AF$6:$AF$205"),0))="","",INDEX(INDIRECT("'"&amp;$B7&amp;"'!$R$6:$R$205"),MATCH($AF7&amp;"|"&amp;L$5,INDIRECT("'"&amp;$B7&amp;"'!$AF$6:$AF$205"),0))),"-"))</f>
        <v/>
      </c>
      <c r="M7" s="37">
        <f>IF(OR(AD7="",M$5="-"),"",IFERROR(IF(INDEX(INDIRECT("'"&amp;$B7&amp;"'!$R$6:$R$205"),MATCH($AF7&amp;"|"&amp;M$5,INDIRECT("'"&amp;$B7&amp;"'!$AF$6:$AF$205"),0))="","",INDEX(INDIRECT("'"&amp;$B7&amp;"'!$R$6:$R$205"),MATCH($AF7&amp;"|"&amp;M$5,INDIRECT("'"&amp;$B7&amp;"'!$AF$6:$AF$205"),0))),"-"))</f>
        <v/>
      </c>
      <c r="N7" s="37">
        <f>IF(OR(AD7="",N$5="-"),"",IFERROR(IF(INDEX(INDIRECT("'"&amp;$B7&amp;"'!$R$6:$R$205"),MATCH($AF7&amp;"|"&amp;N$5,INDIRECT("'"&amp;$B7&amp;"'!$AF$6:$AF$205"),0))="","",INDEX(INDIRECT("'"&amp;$B7&amp;"'!$R$6:$R$205"),MATCH($AF7&amp;"|"&amp;N$5,INDIRECT("'"&amp;$B7&amp;"'!$AF$6:$AF$205"),0))),"-"))</f>
        <v/>
      </c>
      <c r="O7" s="37">
        <f>IF(OR(AD7="",O$5="-"),"",IFERROR(IF(INDEX(INDIRECT("'"&amp;$B7&amp;"'!$R$6:$R$205"),MATCH($AF7&amp;"|"&amp;O$5,INDIRECT("'"&amp;$B7&amp;"'!$AF$6:$AF$205"),0))="","",INDEX(INDIRECT("'"&amp;$B7&amp;"'!$R$6:$R$205"),MATCH($AF7&amp;"|"&amp;O$5,INDIRECT("'"&amp;$B7&amp;"'!$AF$6:$AF$205"),0))),"-"))</f>
        <v/>
      </c>
      <c r="P7" s="38">
        <f>IF(OR(AD7="",P$5="-"),"",IFERROR(IF(INDEX(INDIRECT("'"&amp;$B7&amp;"'!$T$6:$T$205"),MATCH($AF7&amp;"|"&amp;P$5,INDIRECT("'"&amp;$B7&amp;"'!$AF$6:$AF$205"),0))="","",INDEX(INDIRECT("'"&amp;$B7&amp;"'!$T$6:$T$205"),MATCH($AF7&amp;"|"&amp;P$5,INDIRECT("'"&amp;$B7&amp;"'!$AF$6:$AF$205"),0))),"-"))</f>
        <v/>
      </c>
      <c r="Q7" s="38">
        <f>IF(OR(AD7="",Q$5="-"),"",IFERROR(IF(INDEX(INDIRECT("'"&amp;$B7&amp;"'!$T$6:$T$205"),MATCH($AF7&amp;"|"&amp;Q$5,INDIRECT("'"&amp;$B7&amp;"'!$AF$6:$AF$205"),0))="","",INDEX(INDIRECT("'"&amp;$B7&amp;"'!$T$6:$T$205"),MATCH($AF7&amp;"|"&amp;Q$5,INDIRECT("'"&amp;$B7&amp;"'!$AF$6:$AF$205"),0))),"-"))</f>
        <v/>
      </c>
      <c r="R7" s="38">
        <f>IF(OR(AD7="",R$5="-"),"",IFERROR(IF(INDEX(INDIRECT("'"&amp;$B7&amp;"'!$T$6:$T$205"),MATCH($AF7&amp;"|"&amp;R$5,INDIRECT("'"&amp;$B7&amp;"'!$AF$6:$AF$205"),0))="","",INDEX(INDIRECT("'"&amp;$B7&amp;"'!$T$6:$T$205"),MATCH($AF7&amp;"|"&amp;R$5,INDIRECT("'"&amp;$B7&amp;"'!$AF$6:$AF$205"),0))),"-"))</f>
        <v/>
      </c>
      <c r="S7" s="38">
        <f>IF(OR(AD7="",S$5="-"),"",IFERROR(IF(INDEX(INDIRECT("'"&amp;$B7&amp;"'!$T$6:$T$205"),MATCH($AF7&amp;"|"&amp;S$5,INDIRECT("'"&amp;$B7&amp;"'!$AF$6:$AF$205"),0))="","",INDEX(INDIRECT("'"&amp;$B7&amp;"'!$T$6:$T$205"),MATCH($AF7&amp;"|"&amp;S$5,INDIRECT("'"&amp;$B7&amp;"'!$AF$6:$AF$205"),0))),"-"))</f>
        <v/>
      </c>
      <c r="T7" s="35">
        <f>IF(U7="","",INDEX($L$5:$O$5,MATCH(U7,L7:O7,0)))</f>
        <v/>
      </c>
      <c r="U7" s="37">
        <f>IF(COUNT(L7:O7)=0,"",MIN(L7:O7))</f>
        <v/>
      </c>
      <c r="V7" s="39">
        <f>IF(U7="","",U7*F7)</f>
        <v/>
      </c>
      <c r="W7" s="39">
        <f>IF(COUNT(L7:O7)&lt;2,"",(MAX(L7:O7)-MIN(L7:O7))*F7)</f>
        <v/>
      </c>
      <c r="X7" s="20" t="n"/>
      <c r="Z7" t="inlineStr">
        <is>
          <t>MELICERTES</t>
        </is>
      </c>
      <c r="AA7">
        <f>COUNT('MELICERTES'!$AI$6:$AI$205)</f>
        <v/>
      </c>
      <c r="AB7">
        <f>SUM($AA$6:AA7)</f>
        <v/>
      </c>
      <c r="AC7">
        <f>AB7-AA7</f>
        <v/>
      </c>
      <c r="AD7">
        <f>IF(2&gt;MAX($AB$6:$AB$9),"",COUNTIF($AB$6:$AB$9,"&lt;"&amp;2)+1)</f>
        <v/>
      </c>
      <c r="AE7">
        <f>IF(AD7="","",2-INDEX($AC$6:$AC$9,AD7))</f>
        <v/>
      </c>
      <c r="AF7">
        <f>IF(AD7="","",INDEX(INDIRECT("'"&amp;$B7&amp;"'!$AE$6:$AE$205"),MATCH(AE7,INDIRECT("'"&amp;$B7&amp;"'!$AI$6:$AI$205"),0)))</f>
        <v/>
      </c>
    </row>
    <row r="8">
      <c r="A8" s="34">
        <f>IF(AD8="","",3)</f>
        <v/>
      </c>
      <c r="B8" s="35">
        <f>IF(AD8="","",INDEX($Z$6:$Z$9,AD8))</f>
        <v/>
      </c>
      <c r="C8" s="34">
        <f>IF(AD8="","",INDEX(INDIRECT("'"&amp;$B8&amp;"'!$B$6:$B$205"),MATCH($AF8,INDIRECT("'"&amp;$B8&amp;"'!$AE$6:$AE$205"),0)))</f>
        <v/>
      </c>
      <c r="D8" s="34">
        <f>IF(AD8="","",INDEX(INDIRECT("'"&amp;$B8&amp;"'!$D$6:$D$205"),MATCH($AF8,INDIRECT("'"&amp;$B8&amp;"'!$AE$6:$AE$205"),0)))</f>
        <v/>
      </c>
      <c r="E8" s="36">
        <f>IF(AD8="","",INDEX(INDIRECT("'"&amp;$B8&amp;"'!$F$6:$F$205"),MATCH($AF8,INDIRECT("'"&amp;$B8&amp;"'!$AE$6:$AE$205"),0)))</f>
        <v/>
      </c>
      <c r="F8" s="34">
        <f>IF(AD8="","",INDEX(INDIRECT("'"&amp;$B8&amp;"'!$K$6:$K$205"),MATCH($AF8,INDIRECT("'"&amp;$B8&amp;"'!$AE$6:$AE$205"),0)))</f>
        <v/>
      </c>
      <c r="G8" s="34">
        <f>IF(AD8="","",INDEX(INDIRECT("'"&amp;$B8&amp;"'!$L$6:$L$205"),MATCH($AF8,INDIRECT("'"&amp;$B8&amp;"'!$AE$6:$AE$205"),0)))</f>
        <v/>
      </c>
      <c r="H8" s="34">
        <f>IF(OR(AD8="",H$5="-"),"",IFERROR(IF(INDEX(INDIRECT("'"&amp;$B8&amp;"'!$N$6:$N$205"),MATCH($AF8&amp;"|"&amp;H$5,INDIRECT("'"&amp;$B8&amp;"'!$AF$6:$AF$205"),0))="","",INDEX(INDIRECT("'"&amp;$B8&amp;"'!$N$6:$N$205"),MATCH($AF8&amp;"|"&amp;H$5,INDIRECT("'"&amp;$B8&amp;"'!$AF$6:$AF$205"),0))),"-"))</f>
        <v/>
      </c>
      <c r="I8" s="34">
        <f>IF(OR(AD8="",I$5="-"),"",IFERROR(IF(INDEX(INDIRECT("'"&amp;$B8&amp;"'!$N$6:$N$205"),MATCH($AF8&amp;"|"&amp;I$5,INDIRECT("'"&amp;$B8&amp;"'!$AF$6:$AF$205"),0))="","",INDEX(INDIRECT("'"&amp;$B8&amp;"'!$N$6:$N$205"),MATCH($AF8&amp;"|"&amp;I$5,INDIRECT("'"&amp;$B8&amp;"'!$AF$6:$AF$205"),0))),"-"))</f>
        <v/>
      </c>
      <c r="J8" s="34">
        <f>IF(OR(AD8="",J$5="-"),"",IFERROR(IF(INDEX(INDIRECT("'"&amp;$B8&amp;"'!$N$6:$N$205"),MATCH($AF8&amp;"|"&amp;J$5,INDIRECT("'"&amp;$B8&amp;"'!$AF$6:$AF$205"),0))="","",INDEX(INDIRECT("'"&amp;$B8&amp;"'!$N$6:$N$205"),MATCH($AF8&amp;"|"&amp;J$5,INDIRECT("'"&amp;$B8&amp;"'!$AF$6:$AF$205"),0))),"-"))</f>
        <v/>
      </c>
      <c r="K8" s="34">
        <f>IF(OR(AD8="",K$5="-"),"",IFERROR(IF(INDEX(INDIRECT("'"&amp;$B8&amp;"'!$N$6:$N$205"),MATCH($AF8&amp;"|"&amp;K$5,INDIRECT("'"&amp;$B8&amp;"'!$AF$6:$AF$205"),0))="","",INDEX(INDIRECT("'"&amp;$B8&amp;"'!$N$6:$N$205"),MATCH($AF8&amp;"|"&amp;K$5,INDIRECT("'"&amp;$B8&amp;"'!$AF$6:$AF$205"),0))),"-"))</f>
        <v/>
      </c>
      <c r="L8" s="37">
        <f>IF(OR(AD8="",L$5="-"),"",IFERROR(IF(INDEX(INDIRECT("'"&amp;$B8&amp;"'!$R$6:$R$205"),MATCH($AF8&amp;"|"&amp;L$5,INDIRECT("'"&amp;$B8&amp;"'!$AF$6:$AF$205"),0))="","",INDEX(INDIRECT("'"&amp;$B8&amp;"'!$R$6:$R$205"),MATCH($AF8&amp;"|"&amp;L$5,INDIRECT("'"&amp;$B8&amp;"'!$AF$6:$AF$205"),0))),"-"))</f>
        <v/>
      </c>
      <c r="M8" s="37">
        <f>IF(OR(AD8="",M$5="-"),"",IFERROR(IF(INDEX(INDIRECT("'"&amp;$B8&amp;"'!$R$6:$R$205"),MATCH($AF8&amp;"|"&amp;M$5,INDIRECT("'"&amp;$B8&amp;"'!$AF$6:$AF$205"),0))="","",INDEX(INDIRECT("'"&amp;$B8&amp;"'!$R$6:$R$205"),MATCH($AF8&amp;"|"&amp;M$5,INDIRECT("'"&amp;$B8&amp;"'!$AF$6:$AF$205"),0))),"-"))</f>
        <v/>
      </c>
      <c r="N8" s="37">
        <f>IF(OR(AD8="",N$5="-"),"",IFERROR(IF(INDEX(INDIRECT("'"&amp;$B8&amp;"'!$R$6:$R$205"),MATCH($AF8&amp;"|"&amp;N$5,INDIRECT("'"&amp;$B8&amp;"'!$AF$6:$AF$205"),0))="","",INDEX(INDIRECT("'"&amp;$B8&amp;"'!$R$6:$R$205"),MATCH($AF8&amp;"|"&amp;N$5,INDIRECT("'"&amp;$B8&amp;"'!$AF$6:$AF$205"),0))),"-"))</f>
        <v/>
      </c>
      <c r="O8" s="37">
        <f>IF(OR(AD8="",O$5="-"),"",IFERROR(IF(INDEX(INDIRECT("'"&amp;$B8&amp;"'!$R$6:$R$205"),MATCH($AF8&amp;"|"&amp;O$5,INDIRECT("'"&amp;$B8&amp;"'!$AF$6:$AF$205"),0))="","",INDEX(INDIRECT("'"&amp;$B8&amp;"'!$R$6:$R$205"),MATCH($AF8&amp;"|"&amp;O$5,INDIRECT("'"&amp;$B8&amp;"'!$AF$6:$AF$205"),0))),"-"))</f>
        <v/>
      </c>
      <c r="P8" s="38">
        <f>IF(OR(AD8="",P$5="-"),"",IFERROR(IF(INDEX(INDIRECT("'"&amp;$B8&amp;"'!$T$6:$T$205"),MATCH($AF8&amp;"|"&amp;P$5,INDIRECT("'"&amp;$B8&amp;"'!$AF$6:$AF$205"),0))="","",INDEX(INDIRECT("'"&amp;$B8&amp;"'!$T$6:$T$205"),MATCH($AF8&amp;"|"&amp;P$5,INDIRECT("'"&amp;$B8&amp;"'!$AF$6:$AF$205"),0))),"-"))</f>
        <v/>
      </c>
      <c r="Q8" s="38">
        <f>IF(OR(AD8="",Q$5="-"),"",IFERROR(IF(INDEX(INDIRECT("'"&amp;$B8&amp;"'!$T$6:$T$205"),MATCH($AF8&amp;"|"&amp;Q$5,INDIRECT("'"&amp;$B8&amp;"'!$AF$6:$AF$205"),0))="","",INDEX(INDIRECT("'"&amp;$B8&amp;"'!$T$6:$T$205"),MATCH($AF8&amp;"|"&amp;Q$5,INDIRECT("'"&amp;$B8&amp;"'!$AF$6:$AF$205"),0))),"-"))</f>
        <v/>
      </c>
      <c r="R8" s="38">
        <f>IF(OR(AD8="",R$5="-"),"",IFERROR(IF(INDEX(INDIRECT("'"&amp;$B8&amp;"'!$T$6:$T$205"),MATCH($AF8&amp;"|"&amp;R$5,INDIRECT("'"&amp;$B8&amp;"'!$AF$6:$AF$205"),0))="","",INDEX(INDIRECT("'"&amp;$B8&amp;"'!$T$6:$T$205"),MATCH($AF8&amp;"|"&amp;R$5,INDIRECT("'"&amp;$B8&amp;"'!$AF$6:$AF$205"),0))),"-"))</f>
        <v/>
      </c>
      <c r="S8" s="38">
        <f>IF(OR(AD8="",S$5="-"),"",IFERROR(IF(INDEX(INDIRECT("'"&amp;$B8&amp;"'!$T$6:$T$205"),MATCH($AF8&amp;"|"&amp;S$5,INDIRECT("'"&amp;$B8&amp;"'!$AF$6:$AF$205"),0))="","",INDEX(INDIRECT("'"&amp;$B8&amp;"'!$T$6:$T$205"),MATCH($AF8&amp;"|"&amp;S$5,INDIRECT("'"&amp;$B8&amp;"'!$AF$6:$AF$205"),0))),"-"))</f>
        <v/>
      </c>
      <c r="T8" s="35">
        <f>IF(U8="","",INDEX($L$5:$O$5,MATCH(U8,L8:O8,0)))</f>
        <v/>
      </c>
      <c r="U8" s="37">
        <f>IF(COUNT(L8:O8)=0,"",MIN(L8:O8))</f>
        <v/>
      </c>
      <c r="V8" s="39">
        <f>IF(U8="","",U8*F8)</f>
        <v/>
      </c>
      <c r="W8" s="39">
        <f>IF(COUNT(L8:O8)&lt;2,"",(MAX(L8:O8)-MIN(L8:O8))*F8)</f>
        <v/>
      </c>
      <c r="X8" s="20" t="n"/>
      <c r="Z8" t="inlineStr">
        <is>
          <t>NELEUS</t>
        </is>
      </c>
      <c r="AA8">
        <f>COUNT('NELEUS'!$AI$6:$AI$205)</f>
        <v/>
      </c>
      <c r="AB8">
        <f>SUM($AA$6:AA8)</f>
        <v/>
      </c>
      <c r="AC8">
        <f>AB8-AA8</f>
        <v/>
      </c>
      <c r="AD8">
        <f>IF(3&gt;MAX($AB$6:$AB$9),"",COUNTIF($AB$6:$AB$9,"&lt;"&amp;3)+1)</f>
        <v/>
      </c>
      <c r="AE8">
        <f>IF(AD8="","",3-INDEX($AC$6:$AC$9,AD8))</f>
        <v/>
      </c>
      <c r="AF8">
        <f>IF(AD8="","",INDEX(INDIRECT("'"&amp;$B8&amp;"'!$AE$6:$AE$205"),MATCH(AE8,INDIRECT("'"&amp;$B8&amp;"'!$AI$6:$AI$205"),0)))</f>
        <v/>
      </c>
    </row>
    <row r="9">
      <c r="A9" s="34">
        <f>IF(AD9="","",4)</f>
        <v/>
      </c>
      <c r="B9" s="35">
        <f>IF(AD9="","",INDEX($Z$6:$Z$9,AD9))</f>
        <v/>
      </c>
      <c r="C9" s="34">
        <f>IF(AD9="","",INDEX(INDIRECT("'"&amp;$B9&amp;"'!$B$6:$B$205"),MATCH($AF9,INDIRECT("'"&amp;$B9&amp;"'!$AE$6:$AE$205"),0)))</f>
        <v/>
      </c>
      <c r="D9" s="34">
        <f>IF(AD9="","",INDEX(INDIRECT("'"&amp;$B9&amp;"'!$D$6:$D$205"),MATCH($AF9,INDIRECT("'"&amp;$B9&amp;"'!$AE$6:$AE$205"),0)))</f>
        <v/>
      </c>
      <c r="E9" s="36">
        <f>IF(AD9="","",INDEX(INDIRECT("'"&amp;$B9&amp;"'!$F$6:$F$205"),MATCH($AF9,INDIRECT("'"&amp;$B9&amp;"'!$AE$6:$AE$205"),0)))</f>
        <v/>
      </c>
      <c r="F9" s="34">
        <f>IF(AD9="","",INDEX(INDIRECT("'"&amp;$B9&amp;"'!$K$6:$K$205"),MATCH($AF9,INDIRECT("'"&amp;$B9&amp;"'!$AE$6:$AE$205"),0)))</f>
        <v/>
      </c>
      <c r="G9" s="34">
        <f>IF(AD9="","",INDEX(INDIRECT("'"&amp;$B9&amp;"'!$L$6:$L$205"),MATCH($AF9,INDIRECT("'"&amp;$B9&amp;"'!$AE$6:$AE$205"),0)))</f>
        <v/>
      </c>
      <c r="H9" s="34">
        <f>IF(OR(AD9="",H$5="-"),"",IFERROR(IF(INDEX(INDIRECT("'"&amp;$B9&amp;"'!$N$6:$N$205"),MATCH($AF9&amp;"|"&amp;H$5,INDIRECT("'"&amp;$B9&amp;"'!$AF$6:$AF$205"),0))="","",INDEX(INDIRECT("'"&amp;$B9&amp;"'!$N$6:$N$205"),MATCH($AF9&amp;"|"&amp;H$5,INDIRECT("'"&amp;$B9&amp;"'!$AF$6:$AF$205"),0))),"-"))</f>
        <v/>
      </c>
      <c r="I9" s="34">
        <f>IF(OR(AD9="",I$5="-"),"",IFERROR(IF(INDEX(INDIRECT("'"&amp;$B9&amp;"'!$N$6:$N$205"),MATCH($AF9&amp;"|"&amp;I$5,INDIRECT("'"&amp;$B9&amp;"'!$AF$6:$AF$205"),0))="","",INDEX(INDIRECT("'"&amp;$B9&amp;"'!$N$6:$N$205"),MATCH($AF9&amp;"|"&amp;I$5,INDIRECT("'"&amp;$B9&amp;"'!$AF$6:$AF$205"),0))),"-"))</f>
        <v/>
      </c>
      <c r="J9" s="34">
        <f>IF(OR(AD9="",J$5="-"),"",IFERROR(IF(INDEX(INDIRECT("'"&amp;$B9&amp;"'!$N$6:$N$205"),MATCH($AF9&amp;"|"&amp;J$5,INDIRECT("'"&amp;$B9&amp;"'!$AF$6:$AF$205"),0))="","",INDEX(INDIRECT("'"&amp;$B9&amp;"'!$N$6:$N$205"),MATCH($AF9&amp;"|"&amp;J$5,INDIRECT("'"&amp;$B9&amp;"'!$AF$6:$AF$205"),0))),"-"))</f>
        <v/>
      </c>
      <c r="K9" s="34">
        <f>IF(OR(AD9="",K$5="-"),"",IFERROR(IF(INDEX(INDIRECT("'"&amp;$B9&amp;"'!$N$6:$N$205"),MATCH($AF9&amp;"|"&amp;K$5,INDIRECT("'"&amp;$B9&amp;"'!$AF$6:$AF$205"),0))="","",INDEX(INDIRECT("'"&amp;$B9&amp;"'!$N$6:$N$205"),MATCH($AF9&amp;"|"&amp;K$5,INDIRECT("'"&amp;$B9&amp;"'!$AF$6:$AF$205"),0))),"-"))</f>
        <v/>
      </c>
      <c r="L9" s="37">
        <f>IF(OR(AD9="",L$5="-"),"",IFERROR(IF(INDEX(INDIRECT("'"&amp;$B9&amp;"'!$R$6:$R$205"),MATCH($AF9&amp;"|"&amp;L$5,INDIRECT("'"&amp;$B9&amp;"'!$AF$6:$AF$205"),0))="","",INDEX(INDIRECT("'"&amp;$B9&amp;"'!$R$6:$R$205"),MATCH($AF9&amp;"|"&amp;L$5,INDIRECT("'"&amp;$B9&amp;"'!$AF$6:$AF$205"),0))),"-"))</f>
        <v/>
      </c>
      <c r="M9" s="37">
        <f>IF(OR(AD9="",M$5="-"),"",IFERROR(IF(INDEX(INDIRECT("'"&amp;$B9&amp;"'!$R$6:$R$205"),MATCH($AF9&amp;"|"&amp;M$5,INDIRECT("'"&amp;$B9&amp;"'!$AF$6:$AF$205"),0))="","",INDEX(INDIRECT("'"&amp;$B9&amp;"'!$R$6:$R$205"),MATCH($AF9&amp;"|"&amp;M$5,INDIRECT("'"&amp;$B9&amp;"'!$AF$6:$AF$205"),0))),"-"))</f>
        <v/>
      </c>
      <c r="N9" s="37">
        <f>IF(OR(AD9="",N$5="-"),"",IFERROR(IF(INDEX(INDIRECT("'"&amp;$B9&amp;"'!$R$6:$R$205"),MATCH($AF9&amp;"|"&amp;N$5,INDIRECT("'"&amp;$B9&amp;"'!$AF$6:$AF$205"),0))="","",INDEX(INDIRECT("'"&amp;$B9&amp;"'!$R$6:$R$205"),MATCH($AF9&amp;"|"&amp;N$5,INDIRECT("'"&amp;$B9&amp;"'!$AF$6:$AF$205"),0))),"-"))</f>
        <v/>
      </c>
      <c r="O9" s="37">
        <f>IF(OR(AD9="",O$5="-"),"",IFERROR(IF(INDEX(INDIRECT("'"&amp;$B9&amp;"'!$R$6:$R$205"),MATCH($AF9&amp;"|"&amp;O$5,INDIRECT("'"&amp;$B9&amp;"'!$AF$6:$AF$205"),0))="","",INDEX(INDIRECT("'"&amp;$B9&amp;"'!$R$6:$R$205"),MATCH($AF9&amp;"|"&amp;O$5,INDIRECT("'"&amp;$B9&amp;"'!$AF$6:$AF$205"),0))),"-"))</f>
        <v/>
      </c>
      <c r="P9" s="38">
        <f>IF(OR(AD9="",P$5="-"),"",IFERROR(IF(INDEX(INDIRECT("'"&amp;$B9&amp;"'!$T$6:$T$205"),MATCH($AF9&amp;"|"&amp;P$5,INDIRECT("'"&amp;$B9&amp;"'!$AF$6:$AF$205"),0))="","",INDEX(INDIRECT("'"&amp;$B9&amp;"'!$T$6:$T$205"),MATCH($AF9&amp;"|"&amp;P$5,INDIRECT("'"&amp;$B9&amp;"'!$AF$6:$AF$205"),0))),"-"))</f>
        <v/>
      </c>
      <c r="Q9" s="38">
        <f>IF(OR(AD9="",Q$5="-"),"",IFERROR(IF(INDEX(INDIRECT("'"&amp;$B9&amp;"'!$T$6:$T$205"),MATCH($AF9&amp;"|"&amp;Q$5,INDIRECT("'"&amp;$B9&amp;"'!$AF$6:$AF$205"),0))="","",INDEX(INDIRECT("'"&amp;$B9&amp;"'!$T$6:$T$205"),MATCH($AF9&amp;"|"&amp;Q$5,INDIRECT("'"&amp;$B9&amp;"'!$AF$6:$AF$205"),0))),"-"))</f>
        <v/>
      </c>
      <c r="R9" s="38">
        <f>IF(OR(AD9="",R$5="-"),"",IFERROR(IF(INDEX(INDIRECT("'"&amp;$B9&amp;"'!$T$6:$T$205"),MATCH($AF9&amp;"|"&amp;R$5,INDIRECT("'"&amp;$B9&amp;"'!$AF$6:$AF$205"),0))="","",INDEX(INDIRECT("'"&amp;$B9&amp;"'!$T$6:$T$205"),MATCH($AF9&amp;"|"&amp;R$5,INDIRECT("'"&amp;$B9&amp;"'!$AF$6:$AF$205"),0))),"-"))</f>
        <v/>
      </c>
      <c r="S9" s="38">
        <f>IF(OR(AD9="",S$5="-"),"",IFERROR(IF(INDEX(INDIRECT("'"&amp;$B9&amp;"'!$T$6:$T$205"),MATCH($AF9&amp;"|"&amp;S$5,INDIRECT("'"&amp;$B9&amp;"'!$AF$6:$AF$205"),0))="","",INDEX(INDIRECT("'"&amp;$B9&amp;"'!$T$6:$T$205"),MATCH($AF9&amp;"|"&amp;S$5,INDIRECT("'"&amp;$B9&amp;"'!$AF$6:$AF$205"),0))),"-"))</f>
        <v/>
      </c>
      <c r="T9" s="35">
        <f>IF(U9="","",INDEX($L$5:$O$5,MATCH(U9,L9:O9,0)))</f>
        <v/>
      </c>
      <c r="U9" s="37">
        <f>IF(COUNT(L9:O9)=0,"",MIN(L9:O9))</f>
        <v/>
      </c>
      <c r="V9" s="39">
        <f>IF(U9="","",U9*F9)</f>
        <v/>
      </c>
      <c r="W9" s="39">
        <f>IF(COUNT(L9:O9)&lt;2,"",(MAX(L9:O9)-MIN(L9:O9))*F9)</f>
        <v/>
      </c>
      <c r="X9" s="20" t="n"/>
      <c r="Z9" t="inlineStr">
        <is>
          <t>ONEIROI</t>
        </is>
      </c>
      <c r="AA9">
        <f>COUNT('ONEIROI'!$AI$6:$AI$205)</f>
        <v/>
      </c>
      <c r="AB9">
        <f>SUM($AA$6:AA9)</f>
        <v/>
      </c>
      <c r="AC9">
        <f>AB9-AA9</f>
        <v/>
      </c>
      <c r="AD9">
        <f>IF(4&gt;MAX($AB$6:$AB$9),"",COUNTIF($AB$6:$AB$9,"&lt;"&amp;4)+1)</f>
        <v/>
      </c>
      <c r="AE9">
        <f>IF(AD9="","",4-INDEX($AC$6:$AC$9,AD9))</f>
        <v/>
      </c>
      <c r="AF9">
        <f>IF(AD9="","",INDEX(INDIRECT("'"&amp;$B9&amp;"'!$AE$6:$AE$205"),MATCH(AE9,INDIRECT("'"&amp;$B9&amp;"'!$AI$6:$AI$205"),0)))</f>
        <v/>
      </c>
    </row>
    <row r="10">
      <c r="A10" s="34">
        <f>IF(AD10="","",5)</f>
        <v/>
      </c>
      <c r="B10" s="35">
        <f>IF(AD10="","",INDEX($Z$6:$Z$9,AD10))</f>
        <v/>
      </c>
      <c r="C10" s="34">
        <f>IF(AD10="","",INDEX(INDIRECT("'"&amp;$B10&amp;"'!$B$6:$B$205"),MATCH($AF10,INDIRECT("'"&amp;$B10&amp;"'!$AE$6:$AE$205"),0)))</f>
        <v/>
      </c>
      <c r="D10" s="34">
        <f>IF(AD10="","",INDEX(INDIRECT("'"&amp;$B10&amp;"'!$D$6:$D$205"),MATCH($AF10,INDIRECT("'"&amp;$B10&amp;"'!$AE$6:$AE$205"),0)))</f>
        <v/>
      </c>
      <c r="E10" s="36">
        <f>IF(AD10="","",INDEX(INDIRECT("'"&amp;$B10&amp;"'!$F$6:$F$205"),MATCH($AF10,INDIRECT("'"&amp;$B10&amp;"'!$AE$6:$AE$205"),0)))</f>
        <v/>
      </c>
      <c r="F10" s="34">
        <f>IF(AD10="","",INDEX(INDIRECT("'"&amp;$B10&amp;"'!$K$6:$K$205"),MATCH($AF10,INDIRECT("'"&amp;$B10&amp;"'!$AE$6:$AE$205"),0)))</f>
        <v/>
      </c>
      <c r="G10" s="34">
        <f>IF(AD10="","",INDEX(INDIRECT("'"&amp;$B10&amp;"'!$L$6:$L$205"),MATCH($AF10,INDIRECT("'"&amp;$B10&amp;"'!$AE$6:$AE$205"),0)))</f>
        <v/>
      </c>
      <c r="H10" s="34">
        <f>IF(OR(AD10="",H$5="-"),"",IFERROR(IF(INDEX(INDIRECT("'"&amp;$B10&amp;"'!$N$6:$N$205"),MATCH($AF10&amp;"|"&amp;H$5,INDIRECT("'"&amp;$B10&amp;"'!$AF$6:$AF$205"),0))="","",INDEX(INDIRECT("'"&amp;$B10&amp;"'!$N$6:$N$205"),MATCH($AF10&amp;"|"&amp;H$5,INDIRECT("'"&amp;$B10&amp;"'!$AF$6:$AF$205"),0))),"-"))</f>
        <v/>
      </c>
      <c r="I10" s="34">
        <f>IF(OR(AD10="",I$5="-"),"",IFERROR(IF(INDEX(INDIRECT("'"&amp;$B10&amp;"'!$N$6:$N$205"),MATCH($AF10&amp;"|"&amp;I$5,INDIRECT("'"&amp;$B10&amp;"'!$AF$6:$AF$205"),0))="","",INDEX(INDIRECT("'"&amp;$B10&amp;"'!$N$6:$N$205"),MATCH($AF10&amp;"|"&amp;I$5,INDIRECT("'"&amp;$B10&amp;"'!$AF$6:$AF$205"),0))),"-"))</f>
        <v/>
      </c>
      <c r="J10" s="34">
        <f>IF(OR(AD10="",J$5="-"),"",IFERROR(IF(INDEX(INDIRECT("'"&amp;$B10&amp;"'!$N$6:$N$205"),MATCH($AF10&amp;"|"&amp;J$5,INDIRECT("'"&amp;$B10&amp;"'!$AF$6:$AF$205"),0))="","",INDEX(INDIRECT("'"&amp;$B10&amp;"'!$N$6:$N$205"),MATCH($AF10&amp;"|"&amp;J$5,INDIRECT("'"&amp;$B10&amp;"'!$AF$6:$AF$205"),0))),"-"))</f>
        <v/>
      </c>
      <c r="K10" s="34">
        <f>IF(OR(AD10="",K$5="-"),"",IFERROR(IF(INDEX(INDIRECT("'"&amp;$B10&amp;"'!$N$6:$N$205"),MATCH($AF10&amp;"|"&amp;K$5,INDIRECT("'"&amp;$B10&amp;"'!$AF$6:$AF$205"),0))="","",INDEX(INDIRECT("'"&amp;$B10&amp;"'!$N$6:$N$205"),MATCH($AF10&amp;"|"&amp;K$5,INDIRECT("'"&amp;$B10&amp;"'!$AF$6:$AF$205"),0))),"-"))</f>
        <v/>
      </c>
      <c r="L10" s="37">
        <f>IF(OR(AD10="",L$5="-"),"",IFERROR(IF(INDEX(INDIRECT("'"&amp;$B10&amp;"'!$R$6:$R$205"),MATCH($AF10&amp;"|"&amp;L$5,INDIRECT("'"&amp;$B10&amp;"'!$AF$6:$AF$205"),0))="","",INDEX(INDIRECT("'"&amp;$B10&amp;"'!$R$6:$R$205"),MATCH($AF10&amp;"|"&amp;L$5,INDIRECT("'"&amp;$B10&amp;"'!$AF$6:$AF$205"),0))),"-"))</f>
        <v/>
      </c>
      <c r="M10" s="37">
        <f>IF(OR(AD10="",M$5="-"),"",IFERROR(IF(INDEX(INDIRECT("'"&amp;$B10&amp;"'!$R$6:$R$205"),MATCH($AF10&amp;"|"&amp;M$5,INDIRECT("'"&amp;$B10&amp;"'!$AF$6:$AF$205"),0))="","",INDEX(INDIRECT("'"&amp;$B10&amp;"'!$R$6:$R$205"),MATCH($AF10&amp;"|"&amp;M$5,INDIRECT("'"&amp;$B10&amp;"'!$AF$6:$AF$205"),0))),"-"))</f>
        <v/>
      </c>
      <c r="N10" s="37">
        <f>IF(OR(AD10="",N$5="-"),"",IFERROR(IF(INDEX(INDIRECT("'"&amp;$B10&amp;"'!$R$6:$R$205"),MATCH($AF10&amp;"|"&amp;N$5,INDIRECT("'"&amp;$B10&amp;"'!$AF$6:$AF$205"),0))="","",INDEX(INDIRECT("'"&amp;$B10&amp;"'!$R$6:$R$205"),MATCH($AF10&amp;"|"&amp;N$5,INDIRECT("'"&amp;$B10&amp;"'!$AF$6:$AF$205"),0))),"-"))</f>
        <v/>
      </c>
      <c r="O10" s="37">
        <f>IF(OR(AD10="",O$5="-"),"",IFERROR(IF(INDEX(INDIRECT("'"&amp;$B10&amp;"'!$R$6:$R$205"),MATCH($AF10&amp;"|"&amp;O$5,INDIRECT("'"&amp;$B10&amp;"'!$AF$6:$AF$205"),0))="","",INDEX(INDIRECT("'"&amp;$B10&amp;"'!$R$6:$R$205"),MATCH($AF10&amp;"|"&amp;O$5,INDIRECT("'"&amp;$B10&amp;"'!$AF$6:$AF$205"),0))),"-"))</f>
        <v/>
      </c>
      <c r="P10" s="38">
        <f>IF(OR(AD10="",P$5="-"),"",IFERROR(IF(INDEX(INDIRECT("'"&amp;$B10&amp;"'!$T$6:$T$205"),MATCH($AF10&amp;"|"&amp;P$5,INDIRECT("'"&amp;$B10&amp;"'!$AF$6:$AF$205"),0))="","",INDEX(INDIRECT("'"&amp;$B10&amp;"'!$T$6:$T$205"),MATCH($AF10&amp;"|"&amp;P$5,INDIRECT("'"&amp;$B10&amp;"'!$AF$6:$AF$205"),0))),"-"))</f>
        <v/>
      </c>
      <c r="Q10" s="38">
        <f>IF(OR(AD10="",Q$5="-"),"",IFERROR(IF(INDEX(INDIRECT("'"&amp;$B10&amp;"'!$T$6:$T$205"),MATCH($AF10&amp;"|"&amp;Q$5,INDIRECT("'"&amp;$B10&amp;"'!$AF$6:$AF$205"),0))="","",INDEX(INDIRECT("'"&amp;$B10&amp;"'!$T$6:$T$205"),MATCH($AF10&amp;"|"&amp;Q$5,INDIRECT("'"&amp;$B10&amp;"'!$AF$6:$AF$205"),0))),"-"))</f>
        <v/>
      </c>
      <c r="R10" s="38">
        <f>IF(OR(AD10="",R$5="-"),"",IFERROR(IF(INDEX(INDIRECT("'"&amp;$B10&amp;"'!$T$6:$T$205"),MATCH($AF10&amp;"|"&amp;R$5,INDIRECT("'"&amp;$B10&amp;"'!$AF$6:$AF$205"),0))="","",INDEX(INDIRECT("'"&amp;$B10&amp;"'!$T$6:$T$205"),MATCH($AF10&amp;"|"&amp;R$5,INDIRECT("'"&amp;$B10&amp;"'!$AF$6:$AF$205"),0))),"-"))</f>
        <v/>
      </c>
      <c r="S10" s="38">
        <f>IF(OR(AD10="",S$5="-"),"",IFERROR(IF(INDEX(INDIRECT("'"&amp;$B10&amp;"'!$T$6:$T$205"),MATCH($AF10&amp;"|"&amp;S$5,INDIRECT("'"&amp;$B10&amp;"'!$AF$6:$AF$205"),0))="","",INDEX(INDIRECT("'"&amp;$B10&amp;"'!$T$6:$T$205"),MATCH($AF10&amp;"|"&amp;S$5,INDIRECT("'"&amp;$B10&amp;"'!$AF$6:$AF$205"),0))),"-"))</f>
        <v/>
      </c>
      <c r="T10" s="35">
        <f>IF(U10="","",INDEX($L$5:$O$5,MATCH(U10,L10:O10,0)))</f>
        <v/>
      </c>
      <c r="U10" s="37">
        <f>IF(COUNT(L10:O10)=0,"",MIN(L10:O10))</f>
        <v/>
      </c>
      <c r="V10" s="39">
        <f>IF(U10="","",U10*F10)</f>
        <v/>
      </c>
      <c r="W10" s="39">
        <f>IF(COUNT(L10:O10)&lt;2,"",(MAX(L10:O10)-MIN(L10:O10))*F10)</f>
        <v/>
      </c>
      <c r="X10" s="20" t="n"/>
      <c r="AD10">
        <f>IF(5&gt;MAX($AB$6:$AB$9),"",COUNTIF($AB$6:$AB$9,"&lt;"&amp;5)+1)</f>
        <v/>
      </c>
      <c r="AE10">
        <f>IF(AD10="","",5-INDEX($AC$6:$AC$9,AD10))</f>
        <v/>
      </c>
      <c r="AF10">
        <f>IF(AD10="","",INDEX(INDIRECT("'"&amp;$B10&amp;"'!$AE$6:$AE$205"),MATCH(AE10,INDIRECT("'"&amp;$B10&amp;"'!$AI$6:$AI$205"),0)))</f>
        <v/>
      </c>
    </row>
    <row r="11">
      <c r="A11" s="34">
        <f>IF(AD11="","",6)</f>
        <v/>
      </c>
      <c r="B11" s="35">
        <f>IF(AD11="","",INDEX($Z$6:$Z$9,AD11))</f>
        <v/>
      </c>
      <c r="C11" s="34">
        <f>IF(AD11="","",INDEX(INDIRECT("'"&amp;$B11&amp;"'!$B$6:$B$205"),MATCH($AF11,INDIRECT("'"&amp;$B11&amp;"'!$AE$6:$AE$205"),0)))</f>
        <v/>
      </c>
      <c r="D11" s="34">
        <f>IF(AD11="","",INDEX(INDIRECT("'"&amp;$B11&amp;"'!$D$6:$D$205"),MATCH($AF11,INDIRECT("'"&amp;$B11&amp;"'!$AE$6:$AE$205"),0)))</f>
        <v/>
      </c>
      <c r="E11" s="36">
        <f>IF(AD11="","",INDEX(INDIRECT("'"&amp;$B11&amp;"'!$F$6:$F$205"),MATCH($AF11,INDIRECT("'"&amp;$B11&amp;"'!$AE$6:$AE$205"),0)))</f>
        <v/>
      </c>
      <c r="F11" s="34">
        <f>IF(AD11="","",INDEX(INDIRECT("'"&amp;$B11&amp;"'!$K$6:$K$205"),MATCH($AF11,INDIRECT("'"&amp;$B11&amp;"'!$AE$6:$AE$205"),0)))</f>
        <v/>
      </c>
      <c r="G11" s="34">
        <f>IF(AD11="","",INDEX(INDIRECT("'"&amp;$B11&amp;"'!$L$6:$L$205"),MATCH($AF11,INDIRECT("'"&amp;$B11&amp;"'!$AE$6:$AE$205"),0)))</f>
        <v/>
      </c>
      <c r="H11" s="34">
        <f>IF(OR(AD11="",H$5="-"),"",IFERROR(IF(INDEX(INDIRECT("'"&amp;$B11&amp;"'!$N$6:$N$205"),MATCH($AF11&amp;"|"&amp;H$5,INDIRECT("'"&amp;$B11&amp;"'!$AF$6:$AF$205"),0))="","",INDEX(INDIRECT("'"&amp;$B11&amp;"'!$N$6:$N$205"),MATCH($AF11&amp;"|"&amp;H$5,INDIRECT("'"&amp;$B11&amp;"'!$AF$6:$AF$205"),0))),"-"))</f>
        <v/>
      </c>
      <c r="I11" s="34">
        <f>IF(OR(AD11="",I$5="-"),"",IFERROR(IF(INDEX(INDIRECT("'"&amp;$B11&amp;"'!$N$6:$N$205"),MATCH($AF11&amp;"|"&amp;I$5,INDIRECT("'"&amp;$B11&amp;"'!$AF$6:$AF$205"),0))="","",INDEX(INDIRECT("'"&amp;$B11&amp;"'!$N$6:$N$205"),MATCH($AF11&amp;"|"&amp;I$5,INDIRECT("'"&amp;$B11&amp;"'!$AF$6:$AF$205"),0))),"-"))</f>
        <v/>
      </c>
      <c r="J11" s="34">
        <f>IF(OR(AD11="",J$5="-"),"",IFERROR(IF(INDEX(INDIRECT("'"&amp;$B11&amp;"'!$N$6:$N$205"),MATCH($AF11&amp;"|"&amp;J$5,INDIRECT("'"&amp;$B11&amp;"'!$AF$6:$AF$205"),0))="","",INDEX(INDIRECT("'"&amp;$B11&amp;"'!$N$6:$N$205"),MATCH($AF11&amp;"|"&amp;J$5,INDIRECT("'"&amp;$B11&amp;"'!$AF$6:$AF$205"),0))),"-"))</f>
        <v/>
      </c>
      <c r="K11" s="34">
        <f>IF(OR(AD11="",K$5="-"),"",IFERROR(IF(INDEX(INDIRECT("'"&amp;$B11&amp;"'!$N$6:$N$205"),MATCH($AF11&amp;"|"&amp;K$5,INDIRECT("'"&amp;$B11&amp;"'!$AF$6:$AF$205"),0))="","",INDEX(INDIRECT("'"&amp;$B11&amp;"'!$N$6:$N$205"),MATCH($AF11&amp;"|"&amp;K$5,INDIRECT("'"&amp;$B11&amp;"'!$AF$6:$AF$205"),0))),"-"))</f>
        <v/>
      </c>
      <c r="L11" s="37">
        <f>IF(OR(AD11="",L$5="-"),"",IFERROR(IF(INDEX(INDIRECT("'"&amp;$B11&amp;"'!$R$6:$R$205"),MATCH($AF11&amp;"|"&amp;L$5,INDIRECT("'"&amp;$B11&amp;"'!$AF$6:$AF$205"),0))="","",INDEX(INDIRECT("'"&amp;$B11&amp;"'!$R$6:$R$205"),MATCH($AF11&amp;"|"&amp;L$5,INDIRECT("'"&amp;$B11&amp;"'!$AF$6:$AF$205"),0))),"-"))</f>
        <v/>
      </c>
      <c r="M11" s="37">
        <f>IF(OR(AD11="",M$5="-"),"",IFERROR(IF(INDEX(INDIRECT("'"&amp;$B11&amp;"'!$R$6:$R$205"),MATCH($AF11&amp;"|"&amp;M$5,INDIRECT("'"&amp;$B11&amp;"'!$AF$6:$AF$205"),0))="","",INDEX(INDIRECT("'"&amp;$B11&amp;"'!$R$6:$R$205"),MATCH($AF11&amp;"|"&amp;M$5,INDIRECT("'"&amp;$B11&amp;"'!$AF$6:$AF$205"),0))),"-"))</f>
        <v/>
      </c>
      <c r="N11" s="37">
        <f>IF(OR(AD11="",N$5="-"),"",IFERROR(IF(INDEX(INDIRECT("'"&amp;$B11&amp;"'!$R$6:$R$205"),MATCH($AF11&amp;"|"&amp;N$5,INDIRECT("'"&amp;$B11&amp;"'!$AF$6:$AF$205"),0))="","",INDEX(INDIRECT("'"&amp;$B11&amp;"'!$R$6:$R$205"),MATCH($AF11&amp;"|"&amp;N$5,INDIRECT("'"&amp;$B11&amp;"'!$AF$6:$AF$205"),0))),"-"))</f>
        <v/>
      </c>
      <c r="O11" s="37">
        <f>IF(OR(AD11="",O$5="-"),"",IFERROR(IF(INDEX(INDIRECT("'"&amp;$B11&amp;"'!$R$6:$R$205"),MATCH($AF11&amp;"|"&amp;O$5,INDIRECT("'"&amp;$B11&amp;"'!$AF$6:$AF$205"),0))="","",INDEX(INDIRECT("'"&amp;$B11&amp;"'!$R$6:$R$205"),MATCH($AF11&amp;"|"&amp;O$5,INDIRECT("'"&amp;$B11&amp;"'!$AF$6:$AF$205"),0))),"-"))</f>
        <v/>
      </c>
      <c r="P11" s="38">
        <f>IF(OR(AD11="",P$5="-"),"",IFERROR(IF(INDEX(INDIRECT("'"&amp;$B11&amp;"'!$T$6:$T$205"),MATCH($AF11&amp;"|"&amp;P$5,INDIRECT("'"&amp;$B11&amp;"'!$AF$6:$AF$205"),0))="","",INDEX(INDIRECT("'"&amp;$B11&amp;"'!$T$6:$T$205"),MATCH($AF11&amp;"|"&amp;P$5,INDIRECT("'"&amp;$B11&amp;"'!$AF$6:$AF$205"),0))),"-"))</f>
        <v/>
      </c>
      <c r="Q11" s="38">
        <f>IF(OR(AD11="",Q$5="-"),"",IFERROR(IF(INDEX(INDIRECT("'"&amp;$B11&amp;"'!$T$6:$T$205"),MATCH($AF11&amp;"|"&amp;Q$5,INDIRECT("'"&amp;$B11&amp;"'!$AF$6:$AF$205"),0))="","",INDEX(INDIRECT("'"&amp;$B11&amp;"'!$T$6:$T$205"),MATCH($AF11&amp;"|"&amp;Q$5,INDIRECT("'"&amp;$B11&amp;"'!$AF$6:$AF$205"),0))),"-"))</f>
        <v/>
      </c>
      <c r="R11" s="38">
        <f>IF(OR(AD11="",R$5="-"),"",IFERROR(IF(INDEX(INDIRECT("'"&amp;$B11&amp;"'!$T$6:$T$205"),MATCH($AF11&amp;"|"&amp;R$5,INDIRECT("'"&amp;$B11&amp;"'!$AF$6:$AF$205"),0))="","",INDEX(INDIRECT("'"&amp;$B11&amp;"'!$T$6:$T$205"),MATCH($AF11&amp;"|"&amp;R$5,INDIRECT("'"&amp;$B11&amp;"'!$AF$6:$AF$205"),0))),"-"))</f>
        <v/>
      </c>
      <c r="S11" s="38">
        <f>IF(OR(AD11="",S$5="-"),"",IFERROR(IF(INDEX(INDIRECT("'"&amp;$B11&amp;"'!$T$6:$T$205"),MATCH($AF11&amp;"|"&amp;S$5,INDIRECT("'"&amp;$B11&amp;"'!$AF$6:$AF$205"),0))="","",INDEX(INDIRECT("'"&amp;$B11&amp;"'!$T$6:$T$205"),MATCH($AF11&amp;"|"&amp;S$5,INDIRECT("'"&amp;$B11&amp;"'!$AF$6:$AF$205"),0))),"-"))</f>
        <v/>
      </c>
      <c r="T11" s="35">
        <f>IF(U11="","",INDEX($L$5:$O$5,MATCH(U11,L11:O11,0)))</f>
        <v/>
      </c>
      <c r="U11" s="37">
        <f>IF(COUNT(L11:O11)=0,"",MIN(L11:O11))</f>
        <v/>
      </c>
      <c r="V11" s="39">
        <f>IF(U11="","",U11*F11)</f>
        <v/>
      </c>
      <c r="W11" s="39">
        <f>IF(COUNT(L11:O11)&lt;2,"",(MAX(L11:O11)-MIN(L11:O11))*F11)</f>
        <v/>
      </c>
      <c r="X11" s="20" t="n"/>
      <c r="AD11">
        <f>IF(6&gt;MAX($AB$6:$AB$9),"",COUNTIF($AB$6:$AB$9,"&lt;"&amp;6)+1)</f>
        <v/>
      </c>
      <c r="AE11">
        <f>IF(AD11="","",6-INDEX($AC$6:$AC$9,AD11))</f>
        <v/>
      </c>
      <c r="AF11">
        <f>IF(AD11="","",INDEX(INDIRECT("'"&amp;$B11&amp;"'!$AE$6:$AE$205"),MATCH(AE11,INDIRECT("'"&amp;$B11&amp;"'!$AI$6:$AI$205"),0)))</f>
        <v/>
      </c>
    </row>
    <row r="12">
      <c r="A12" s="34">
        <f>IF(AD12="","",7)</f>
        <v/>
      </c>
      <c r="B12" s="35">
        <f>IF(AD12="","",INDEX($Z$6:$Z$9,AD12))</f>
        <v/>
      </c>
      <c r="C12" s="34">
        <f>IF(AD12="","",INDEX(INDIRECT("'"&amp;$B12&amp;"'!$B$6:$B$205"),MATCH($AF12,INDIRECT("'"&amp;$B12&amp;"'!$AE$6:$AE$205"),0)))</f>
        <v/>
      </c>
      <c r="D12" s="34">
        <f>IF(AD12="","",INDEX(INDIRECT("'"&amp;$B12&amp;"'!$D$6:$D$205"),MATCH($AF12,INDIRECT("'"&amp;$B12&amp;"'!$AE$6:$AE$205"),0)))</f>
        <v/>
      </c>
      <c r="E12" s="36">
        <f>IF(AD12="","",INDEX(INDIRECT("'"&amp;$B12&amp;"'!$F$6:$F$205"),MATCH($AF12,INDIRECT("'"&amp;$B12&amp;"'!$AE$6:$AE$205"),0)))</f>
        <v/>
      </c>
      <c r="F12" s="34">
        <f>IF(AD12="","",INDEX(INDIRECT("'"&amp;$B12&amp;"'!$K$6:$K$205"),MATCH($AF12,INDIRECT("'"&amp;$B12&amp;"'!$AE$6:$AE$205"),0)))</f>
        <v/>
      </c>
      <c r="G12" s="34">
        <f>IF(AD12="","",INDEX(INDIRECT("'"&amp;$B12&amp;"'!$L$6:$L$205"),MATCH($AF12,INDIRECT("'"&amp;$B12&amp;"'!$AE$6:$AE$205"),0)))</f>
        <v/>
      </c>
      <c r="H12" s="34">
        <f>IF(OR(AD12="",H$5="-"),"",IFERROR(IF(INDEX(INDIRECT("'"&amp;$B12&amp;"'!$N$6:$N$205"),MATCH($AF12&amp;"|"&amp;H$5,INDIRECT("'"&amp;$B12&amp;"'!$AF$6:$AF$205"),0))="","",INDEX(INDIRECT("'"&amp;$B12&amp;"'!$N$6:$N$205"),MATCH($AF12&amp;"|"&amp;H$5,INDIRECT("'"&amp;$B12&amp;"'!$AF$6:$AF$205"),0))),"-"))</f>
        <v/>
      </c>
      <c r="I12" s="34">
        <f>IF(OR(AD12="",I$5="-"),"",IFERROR(IF(INDEX(INDIRECT("'"&amp;$B12&amp;"'!$N$6:$N$205"),MATCH($AF12&amp;"|"&amp;I$5,INDIRECT("'"&amp;$B12&amp;"'!$AF$6:$AF$205"),0))="","",INDEX(INDIRECT("'"&amp;$B12&amp;"'!$N$6:$N$205"),MATCH($AF12&amp;"|"&amp;I$5,INDIRECT("'"&amp;$B12&amp;"'!$AF$6:$AF$205"),0))),"-"))</f>
        <v/>
      </c>
      <c r="J12" s="34">
        <f>IF(OR(AD12="",J$5="-"),"",IFERROR(IF(INDEX(INDIRECT("'"&amp;$B12&amp;"'!$N$6:$N$205"),MATCH($AF12&amp;"|"&amp;J$5,INDIRECT("'"&amp;$B12&amp;"'!$AF$6:$AF$205"),0))="","",INDEX(INDIRECT("'"&amp;$B12&amp;"'!$N$6:$N$205"),MATCH($AF12&amp;"|"&amp;J$5,INDIRECT("'"&amp;$B12&amp;"'!$AF$6:$AF$205"),0))),"-"))</f>
        <v/>
      </c>
      <c r="K12" s="34">
        <f>IF(OR(AD12="",K$5="-"),"",IFERROR(IF(INDEX(INDIRECT("'"&amp;$B12&amp;"'!$N$6:$N$205"),MATCH($AF12&amp;"|"&amp;K$5,INDIRECT("'"&amp;$B12&amp;"'!$AF$6:$AF$205"),0))="","",INDEX(INDIRECT("'"&amp;$B12&amp;"'!$N$6:$N$205"),MATCH($AF12&amp;"|"&amp;K$5,INDIRECT("'"&amp;$B12&amp;"'!$AF$6:$AF$205"),0))),"-"))</f>
        <v/>
      </c>
      <c r="L12" s="37">
        <f>IF(OR(AD12="",L$5="-"),"",IFERROR(IF(INDEX(INDIRECT("'"&amp;$B12&amp;"'!$R$6:$R$205"),MATCH($AF12&amp;"|"&amp;L$5,INDIRECT("'"&amp;$B12&amp;"'!$AF$6:$AF$205"),0))="","",INDEX(INDIRECT("'"&amp;$B12&amp;"'!$R$6:$R$205"),MATCH($AF12&amp;"|"&amp;L$5,INDIRECT("'"&amp;$B12&amp;"'!$AF$6:$AF$205"),0))),"-"))</f>
        <v/>
      </c>
      <c r="M12" s="37">
        <f>IF(OR(AD12="",M$5="-"),"",IFERROR(IF(INDEX(INDIRECT("'"&amp;$B12&amp;"'!$R$6:$R$205"),MATCH($AF12&amp;"|"&amp;M$5,INDIRECT("'"&amp;$B12&amp;"'!$AF$6:$AF$205"),0))="","",INDEX(INDIRECT("'"&amp;$B12&amp;"'!$R$6:$R$205"),MATCH($AF12&amp;"|"&amp;M$5,INDIRECT("'"&amp;$B12&amp;"'!$AF$6:$AF$205"),0))),"-"))</f>
        <v/>
      </c>
      <c r="N12" s="37">
        <f>IF(OR(AD12="",N$5="-"),"",IFERROR(IF(INDEX(INDIRECT("'"&amp;$B12&amp;"'!$R$6:$R$205"),MATCH($AF12&amp;"|"&amp;N$5,INDIRECT("'"&amp;$B12&amp;"'!$AF$6:$AF$205"),0))="","",INDEX(INDIRECT("'"&amp;$B12&amp;"'!$R$6:$R$205"),MATCH($AF12&amp;"|"&amp;N$5,INDIRECT("'"&amp;$B12&amp;"'!$AF$6:$AF$205"),0))),"-"))</f>
        <v/>
      </c>
      <c r="O12" s="37">
        <f>IF(OR(AD12="",O$5="-"),"",IFERROR(IF(INDEX(INDIRECT("'"&amp;$B12&amp;"'!$R$6:$R$205"),MATCH($AF12&amp;"|"&amp;O$5,INDIRECT("'"&amp;$B12&amp;"'!$AF$6:$AF$205"),0))="","",INDEX(INDIRECT("'"&amp;$B12&amp;"'!$R$6:$R$205"),MATCH($AF12&amp;"|"&amp;O$5,INDIRECT("'"&amp;$B12&amp;"'!$AF$6:$AF$205"),0))),"-"))</f>
        <v/>
      </c>
      <c r="P12" s="38">
        <f>IF(OR(AD12="",P$5="-"),"",IFERROR(IF(INDEX(INDIRECT("'"&amp;$B12&amp;"'!$T$6:$T$205"),MATCH($AF12&amp;"|"&amp;P$5,INDIRECT("'"&amp;$B12&amp;"'!$AF$6:$AF$205"),0))="","",INDEX(INDIRECT("'"&amp;$B12&amp;"'!$T$6:$T$205"),MATCH($AF12&amp;"|"&amp;P$5,INDIRECT("'"&amp;$B12&amp;"'!$AF$6:$AF$205"),0))),"-"))</f>
        <v/>
      </c>
      <c r="Q12" s="38">
        <f>IF(OR(AD12="",Q$5="-"),"",IFERROR(IF(INDEX(INDIRECT("'"&amp;$B12&amp;"'!$T$6:$T$205"),MATCH($AF12&amp;"|"&amp;Q$5,INDIRECT("'"&amp;$B12&amp;"'!$AF$6:$AF$205"),0))="","",INDEX(INDIRECT("'"&amp;$B12&amp;"'!$T$6:$T$205"),MATCH($AF12&amp;"|"&amp;Q$5,INDIRECT("'"&amp;$B12&amp;"'!$AF$6:$AF$205"),0))),"-"))</f>
        <v/>
      </c>
      <c r="R12" s="38">
        <f>IF(OR(AD12="",R$5="-"),"",IFERROR(IF(INDEX(INDIRECT("'"&amp;$B12&amp;"'!$T$6:$T$205"),MATCH($AF12&amp;"|"&amp;R$5,INDIRECT("'"&amp;$B12&amp;"'!$AF$6:$AF$205"),0))="","",INDEX(INDIRECT("'"&amp;$B12&amp;"'!$T$6:$T$205"),MATCH($AF12&amp;"|"&amp;R$5,INDIRECT("'"&amp;$B12&amp;"'!$AF$6:$AF$205"),0))),"-"))</f>
        <v/>
      </c>
      <c r="S12" s="38">
        <f>IF(OR(AD12="",S$5="-"),"",IFERROR(IF(INDEX(INDIRECT("'"&amp;$B12&amp;"'!$T$6:$T$205"),MATCH($AF12&amp;"|"&amp;S$5,INDIRECT("'"&amp;$B12&amp;"'!$AF$6:$AF$205"),0))="","",INDEX(INDIRECT("'"&amp;$B12&amp;"'!$T$6:$T$205"),MATCH($AF12&amp;"|"&amp;S$5,INDIRECT("'"&amp;$B12&amp;"'!$AF$6:$AF$205"),0))),"-"))</f>
        <v/>
      </c>
      <c r="T12" s="35">
        <f>IF(U12="","",INDEX($L$5:$O$5,MATCH(U12,L12:O12,0)))</f>
        <v/>
      </c>
      <c r="U12" s="37">
        <f>IF(COUNT(L12:O12)=0,"",MIN(L12:O12))</f>
        <v/>
      </c>
      <c r="V12" s="39">
        <f>IF(U12="","",U12*F12)</f>
        <v/>
      </c>
      <c r="W12" s="39">
        <f>IF(COUNT(L12:O12)&lt;2,"",(MAX(L12:O12)-MIN(L12:O12))*F12)</f>
        <v/>
      </c>
      <c r="X12" s="20" t="n"/>
      <c r="AD12">
        <f>IF(7&gt;MAX($AB$6:$AB$9),"",COUNTIF($AB$6:$AB$9,"&lt;"&amp;7)+1)</f>
        <v/>
      </c>
      <c r="AE12">
        <f>IF(AD12="","",7-INDEX($AC$6:$AC$9,AD12))</f>
        <v/>
      </c>
      <c r="AF12">
        <f>IF(AD12="","",INDEX(INDIRECT("'"&amp;$B12&amp;"'!$AE$6:$AE$205"),MATCH(AE12,INDIRECT("'"&amp;$B12&amp;"'!$AI$6:$AI$205"),0)))</f>
        <v/>
      </c>
    </row>
    <row r="13">
      <c r="A13" s="34">
        <f>IF(AD13="","",8)</f>
        <v/>
      </c>
      <c r="B13" s="35">
        <f>IF(AD13="","",INDEX($Z$6:$Z$9,AD13))</f>
        <v/>
      </c>
      <c r="C13" s="34">
        <f>IF(AD13="","",INDEX(INDIRECT("'"&amp;$B13&amp;"'!$B$6:$B$205"),MATCH($AF13,INDIRECT("'"&amp;$B13&amp;"'!$AE$6:$AE$205"),0)))</f>
        <v/>
      </c>
      <c r="D13" s="34">
        <f>IF(AD13="","",INDEX(INDIRECT("'"&amp;$B13&amp;"'!$D$6:$D$205"),MATCH($AF13,INDIRECT("'"&amp;$B13&amp;"'!$AE$6:$AE$205"),0)))</f>
        <v/>
      </c>
      <c r="E13" s="36">
        <f>IF(AD13="","",INDEX(INDIRECT("'"&amp;$B13&amp;"'!$F$6:$F$205"),MATCH($AF13,INDIRECT("'"&amp;$B13&amp;"'!$AE$6:$AE$205"),0)))</f>
        <v/>
      </c>
      <c r="F13" s="34">
        <f>IF(AD13="","",INDEX(INDIRECT("'"&amp;$B13&amp;"'!$K$6:$K$205"),MATCH($AF13,INDIRECT("'"&amp;$B13&amp;"'!$AE$6:$AE$205"),0)))</f>
        <v/>
      </c>
      <c r="G13" s="34">
        <f>IF(AD13="","",INDEX(INDIRECT("'"&amp;$B13&amp;"'!$L$6:$L$205"),MATCH($AF13,INDIRECT("'"&amp;$B13&amp;"'!$AE$6:$AE$205"),0)))</f>
        <v/>
      </c>
      <c r="H13" s="34">
        <f>IF(OR(AD13="",H$5="-"),"",IFERROR(IF(INDEX(INDIRECT("'"&amp;$B13&amp;"'!$N$6:$N$205"),MATCH($AF13&amp;"|"&amp;H$5,INDIRECT("'"&amp;$B13&amp;"'!$AF$6:$AF$205"),0))="","",INDEX(INDIRECT("'"&amp;$B13&amp;"'!$N$6:$N$205"),MATCH($AF13&amp;"|"&amp;H$5,INDIRECT("'"&amp;$B13&amp;"'!$AF$6:$AF$205"),0))),"-"))</f>
        <v/>
      </c>
      <c r="I13" s="34">
        <f>IF(OR(AD13="",I$5="-"),"",IFERROR(IF(INDEX(INDIRECT("'"&amp;$B13&amp;"'!$N$6:$N$205"),MATCH($AF13&amp;"|"&amp;I$5,INDIRECT("'"&amp;$B13&amp;"'!$AF$6:$AF$205"),0))="","",INDEX(INDIRECT("'"&amp;$B13&amp;"'!$N$6:$N$205"),MATCH($AF13&amp;"|"&amp;I$5,INDIRECT("'"&amp;$B13&amp;"'!$AF$6:$AF$205"),0))),"-"))</f>
        <v/>
      </c>
      <c r="J13" s="34">
        <f>IF(OR(AD13="",J$5="-"),"",IFERROR(IF(INDEX(INDIRECT("'"&amp;$B13&amp;"'!$N$6:$N$205"),MATCH($AF13&amp;"|"&amp;J$5,INDIRECT("'"&amp;$B13&amp;"'!$AF$6:$AF$205"),0))="","",INDEX(INDIRECT("'"&amp;$B13&amp;"'!$N$6:$N$205"),MATCH($AF13&amp;"|"&amp;J$5,INDIRECT("'"&amp;$B13&amp;"'!$AF$6:$AF$205"),0))),"-"))</f>
        <v/>
      </c>
      <c r="K13" s="34">
        <f>IF(OR(AD13="",K$5="-"),"",IFERROR(IF(INDEX(INDIRECT("'"&amp;$B13&amp;"'!$N$6:$N$205"),MATCH($AF13&amp;"|"&amp;K$5,INDIRECT("'"&amp;$B13&amp;"'!$AF$6:$AF$205"),0))="","",INDEX(INDIRECT("'"&amp;$B13&amp;"'!$N$6:$N$205"),MATCH($AF13&amp;"|"&amp;K$5,INDIRECT("'"&amp;$B13&amp;"'!$AF$6:$AF$205"),0))),"-"))</f>
        <v/>
      </c>
      <c r="L13" s="37">
        <f>IF(OR(AD13="",L$5="-"),"",IFERROR(IF(INDEX(INDIRECT("'"&amp;$B13&amp;"'!$R$6:$R$205"),MATCH($AF13&amp;"|"&amp;L$5,INDIRECT("'"&amp;$B13&amp;"'!$AF$6:$AF$205"),0))="","",INDEX(INDIRECT("'"&amp;$B13&amp;"'!$R$6:$R$205"),MATCH($AF13&amp;"|"&amp;L$5,INDIRECT("'"&amp;$B13&amp;"'!$AF$6:$AF$205"),0))),"-"))</f>
        <v/>
      </c>
      <c r="M13" s="37">
        <f>IF(OR(AD13="",M$5="-"),"",IFERROR(IF(INDEX(INDIRECT("'"&amp;$B13&amp;"'!$R$6:$R$205"),MATCH($AF13&amp;"|"&amp;M$5,INDIRECT("'"&amp;$B13&amp;"'!$AF$6:$AF$205"),0))="","",INDEX(INDIRECT("'"&amp;$B13&amp;"'!$R$6:$R$205"),MATCH($AF13&amp;"|"&amp;M$5,INDIRECT("'"&amp;$B13&amp;"'!$AF$6:$AF$205"),0))),"-"))</f>
        <v/>
      </c>
      <c r="N13" s="37">
        <f>IF(OR(AD13="",N$5="-"),"",IFERROR(IF(INDEX(INDIRECT("'"&amp;$B13&amp;"'!$R$6:$R$205"),MATCH($AF13&amp;"|"&amp;N$5,INDIRECT("'"&amp;$B13&amp;"'!$AF$6:$AF$205"),0))="","",INDEX(INDIRECT("'"&amp;$B13&amp;"'!$R$6:$R$205"),MATCH($AF13&amp;"|"&amp;N$5,INDIRECT("'"&amp;$B13&amp;"'!$AF$6:$AF$205"),0))),"-"))</f>
        <v/>
      </c>
      <c r="O13" s="37">
        <f>IF(OR(AD13="",O$5="-"),"",IFERROR(IF(INDEX(INDIRECT("'"&amp;$B13&amp;"'!$R$6:$R$205"),MATCH($AF13&amp;"|"&amp;O$5,INDIRECT("'"&amp;$B13&amp;"'!$AF$6:$AF$205"),0))="","",INDEX(INDIRECT("'"&amp;$B13&amp;"'!$R$6:$R$205"),MATCH($AF13&amp;"|"&amp;O$5,INDIRECT("'"&amp;$B13&amp;"'!$AF$6:$AF$205"),0))),"-"))</f>
        <v/>
      </c>
      <c r="P13" s="38">
        <f>IF(OR(AD13="",P$5="-"),"",IFERROR(IF(INDEX(INDIRECT("'"&amp;$B13&amp;"'!$T$6:$T$205"),MATCH($AF13&amp;"|"&amp;P$5,INDIRECT("'"&amp;$B13&amp;"'!$AF$6:$AF$205"),0))="","",INDEX(INDIRECT("'"&amp;$B13&amp;"'!$T$6:$T$205"),MATCH($AF13&amp;"|"&amp;P$5,INDIRECT("'"&amp;$B13&amp;"'!$AF$6:$AF$205"),0))),"-"))</f>
        <v/>
      </c>
      <c r="Q13" s="38">
        <f>IF(OR(AD13="",Q$5="-"),"",IFERROR(IF(INDEX(INDIRECT("'"&amp;$B13&amp;"'!$T$6:$T$205"),MATCH($AF13&amp;"|"&amp;Q$5,INDIRECT("'"&amp;$B13&amp;"'!$AF$6:$AF$205"),0))="","",INDEX(INDIRECT("'"&amp;$B13&amp;"'!$T$6:$T$205"),MATCH($AF13&amp;"|"&amp;Q$5,INDIRECT("'"&amp;$B13&amp;"'!$AF$6:$AF$205"),0))),"-"))</f>
        <v/>
      </c>
      <c r="R13" s="38">
        <f>IF(OR(AD13="",R$5="-"),"",IFERROR(IF(INDEX(INDIRECT("'"&amp;$B13&amp;"'!$T$6:$T$205"),MATCH($AF13&amp;"|"&amp;R$5,INDIRECT("'"&amp;$B13&amp;"'!$AF$6:$AF$205"),0))="","",INDEX(INDIRECT("'"&amp;$B13&amp;"'!$T$6:$T$205"),MATCH($AF13&amp;"|"&amp;R$5,INDIRECT("'"&amp;$B13&amp;"'!$AF$6:$AF$205"),0))),"-"))</f>
        <v/>
      </c>
      <c r="S13" s="38">
        <f>IF(OR(AD13="",S$5="-"),"",IFERROR(IF(INDEX(INDIRECT("'"&amp;$B13&amp;"'!$T$6:$T$205"),MATCH($AF13&amp;"|"&amp;S$5,INDIRECT("'"&amp;$B13&amp;"'!$AF$6:$AF$205"),0))="","",INDEX(INDIRECT("'"&amp;$B13&amp;"'!$T$6:$T$205"),MATCH($AF13&amp;"|"&amp;S$5,INDIRECT("'"&amp;$B13&amp;"'!$AF$6:$AF$205"),0))),"-"))</f>
        <v/>
      </c>
      <c r="T13" s="35">
        <f>IF(U13="","",INDEX($L$5:$O$5,MATCH(U13,L13:O13,0)))</f>
        <v/>
      </c>
      <c r="U13" s="37">
        <f>IF(COUNT(L13:O13)=0,"",MIN(L13:O13))</f>
        <v/>
      </c>
      <c r="V13" s="39">
        <f>IF(U13="","",U13*F13)</f>
        <v/>
      </c>
      <c r="W13" s="39">
        <f>IF(COUNT(L13:O13)&lt;2,"",(MAX(L13:O13)-MIN(L13:O13))*F13)</f>
        <v/>
      </c>
      <c r="X13" s="20" t="n"/>
      <c r="AD13">
        <f>IF(8&gt;MAX($AB$6:$AB$9),"",COUNTIF($AB$6:$AB$9,"&lt;"&amp;8)+1)</f>
        <v/>
      </c>
      <c r="AE13">
        <f>IF(AD13="","",8-INDEX($AC$6:$AC$9,AD13))</f>
        <v/>
      </c>
      <c r="AF13">
        <f>IF(AD13="","",INDEX(INDIRECT("'"&amp;$B13&amp;"'!$AE$6:$AE$205"),MATCH(AE13,INDIRECT("'"&amp;$B13&amp;"'!$AI$6:$AI$205"),0)))</f>
        <v/>
      </c>
    </row>
    <row r="14">
      <c r="A14" s="34">
        <f>IF(AD14="","",9)</f>
        <v/>
      </c>
      <c r="B14" s="35">
        <f>IF(AD14="","",INDEX($Z$6:$Z$9,AD14))</f>
        <v/>
      </c>
      <c r="C14" s="34">
        <f>IF(AD14="","",INDEX(INDIRECT("'"&amp;$B14&amp;"'!$B$6:$B$205"),MATCH($AF14,INDIRECT("'"&amp;$B14&amp;"'!$AE$6:$AE$205"),0)))</f>
        <v/>
      </c>
      <c r="D14" s="34">
        <f>IF(AD14="","",INDEX(INDIRECT("'"&amp;$B14&amp;"'!$D$6:$D$205"),MATCH($AF14,INDIRECT("'"&amp;$B14&amp;"'!$AE$6:$AE$205"),0)))</f>
        <v/>
      </c>
      <c r="E14" s="36">
        <f>IF(AD14="","",INDEX(INDIRECT("'"&amp;$B14&amp;"'!$F$6:$F$205"),MATCH($AF14,INDIRECT("'"&amp;$B14&amp;"'!$AE$6:$AE$205"),0)))</f>
        <v/>
      </c>
      <c r="F14" s="34">
        <f>IF(AD14="","",INDEX(INDIRECT("'"&amp;$B14&amp;"'!$K$6:$K$205"),MATCH($AF14,INDIRECT("'"&amp;$B14&amp;"'!$AE$6:$AE$205"),0)))</f>
        <v/>
      </c>
      <c r="G14" s="34">
        <f>IF(AD14="","",INDEX(INDIRECT("'"&amp;$B14&amp;"'!$L$6:$L$205"),MATCH($AF14,INDIRECT("'"&amp;$B14&amp;"'!$AE$6:$AE$205"),0)))</f>
        <v/>
      </c>
      <c r="H14" s="34">
        <f>IF(OR(AD14="",H$5="-"),"",IFERROR(IF(INDEX(INDIRECT("'"&amp;$B14&amp;"'!$N$6:$N$205"),MATCH($AF14&amp;"|"&amp;H$5,INDIRECT("'"&amp;$B14&amp;"'!$AF$6:$AF$205"),0))="","",INDEX(INDIRECT("'"&amp;$B14&amp;"'!$N$6:$N$205"),MATCH($AF14&amp;"|"&amp;H$5,INDIRECT("'"&amp;$B14&amp;"'!$AF$6:$AF$205"),0))),"-"))</f>
        <v/>
      </c>
      <c r="I14" s="34">
        <f>IF(OR(AD14="",I$5="-"),"",IFERROR(IF(INDEX(INDIRECT("'"&amp;$B14&amp;"'!$N$6:$N$205"),MATCH($AF14&amp;"|"&amp;I$5,INDIRECT("'"&amp;$B14&amp;"'!$AF$6:$AF$205"),0))="","",INDEX(INDIRECT("'"&amp;$B14&amp;"'!$N$6:$N$205"),MATCH($AF14&amp;"|"&amp;I$5,INDIRECT("'"&amp;$B14&amp;"'!$AF$6:$AF$205"),0))),"-"))</f>
        <v/>
      </c>
      <c r="J14" s="34">
        <f>IF(OR(AD14="",J$5="-"),"",IFERROR(IF(INDEX(INDIRECT("'"&amp;$B14&amp;"'!$N$6:$N$205"),MATCH($AF14&amp;"|"&amp;J$5,INDIRECT("'"&amp;$B14&amp;"'!$AF$6:$AF$205"),0))="","",INDEX(INDIRECT("'"&amp;$B14&amp;"'!$N$6:$N$205"),MATCH($AF14&amp;"|"&amp;J$5,INDIRECT("'"&amp;$B14&amp;"'!$AF$6:$AF$205"),0))),"-"))</f>
        <v/>
      </c>
      <c r="K14" s="34">
        <f>IF(OR(AD14="",K$5="-"),"",IFERROR(IF(INDEX(INDIRECT("'"&amp;$B14&amp;"'!$N$6:$N$205"),MATCH($AF14&amp;"|"&amp;K$5,INDIRECT("'"&amp;$B14&amp;"'!$AF$6:$AF$205"),0))="","",INDEX(INDIRECT("'"&amp;$B14&amp;"'!$N$6:$N$205"),MATCH($AF14&amp;"|"&amp;K$5,INDIRECT("'"&amp;$B14&amp;"'!$AF$6:$AF$205"),0))),"-"))</f>
        <v/>
      </c>
      <c r="L14" s="37">
        <f>IF(OR(AD14="",L$5="-"),"",IFERROR(IF(INDEX(INDIRECT("'"&amp;$B14&amp;"'!$R$6:$R$205"),MATCH($AF14&amp;"|"&amp;L$5,INDIRECT("'"&amp;$B14&amp;"'!$AF$6:$AF$205"),0))="","",INDEX(INDIRECT("'"&amp;$B14&amp;"'!$R$6:$R$205"),MATCH($AF14&amp;"|"&amp;L$5,INDIRECT("'"&amp;$B14&amp;"'!$AF$6:$AF$205"),0))),"-"))</f>
        <v/>
      </c>
      <c r="M14" s="37">
        <f>IF(OR(AD14="",M$5="-"),"",IFERROR(IF(INDEX(INDIRECT("'"&amp;$B14&amp;"'!$R$6:$R$205"),MATCH($AF14&amp;"|"&amp;M$5,INDIRECT("'"&amp;$B14&amp;"'!$AF$6:$AF$205"),0))="","",INDEX(INDIRECT("'"&amp;$B14&amp;"'!$R$6:$R$205"),MATCH($AF14&amp;"|"&amp;M$5,INDIRECT("'"&amp;$B14&amp;"'!$AF$6:$AF$205"),0))),"-"))</f>
        <v/>
      </c>
      <c r="N14" s="37">
        <f>IF(OR(AD14="",N$5="-"),"",IFERROR(IF(INDEX(INDIRECT("'"&amp;$B14&amp;"'!$R$6:$R$205"),MATCH($AF14&amp;"|"&amp;N$5,INDIRECT("'"&amp;$B14&amp;"'!$AF$6:$AF$205"),0))="","",INDEX(INDIRECT("'"&amp;$B14&amp;"'!$R$6:$R$205"),MATCH($AF14&amp;"|"&amp;N$5,INDIRECT("'"&amp;$B14&amp;"'!$AF$6:$AF$205"),0))),"-"))</f>
        <v/>
      </c>
      <c r="O14" s="37">
        <f>IF(OR(AD14="",O$5="-"),"",IFERROR(IF(INDEX(INDIRECT("'"&amp;$B14&amp;"'!$R$6:$R$205"),MATCH($AF14&amp;"|"&amp;O$5,INDIRECT("'"&amp;$B14&amp;"'!$AF$6:$AF$205"),0))="","",INDEX(INDIRECT("'"&amp;$B14&amp;"'!$R$6:$R$205"),MATCH($AF14&amp;"|"&amp;O$5,INDIRECT("'"&amp;$B14&amp;"'!$AF$6:$AF$205"),0))),"-"))</f>
        <v/>
      </c>
      <c r="P14" s="38">
        <f>IF(OR(AD14="",P$5="-"),"",IFERROR(IF(INDEX(INDIRECT("'"&amp;$B14&amp;"'!$T$6:$T$205"),MATCH($AF14&amp;"|"&amp;P$5,INDIRECT("'"&amp;$B14&amp;"'!$AF$6:$AF$205"),0))="","",INDEX(INDIRECT("'"&amp;$B14&amp;"'!$T$6:$T$205"),MATCH($AF14&amp;"|"&amp;P$5,INDIRECT("'"&amp;$B14&amp;"'!$AF$6:$AF$205"),0))),"-"))</f>
        <v/>
      </c>
      <c r="Q14" s="38">
        <f>IF(OR(AD14="",Q$5="-"),"",IFERROR(IF(INDEX(INDIRECT("'"&amp;$B14&amp;"'!$T$6:$T$205"),MATCH($AF14&amp;"|"&amp;Q$5,INDIRECT("'"&amp;$B14&amp;"'!$AF$6:$AF$205"),0))="","",INDEX(INDIRECT("'"&amp;$B14&amp;"'!$T$6:$T$205"),MATCH($AF14&amp;"|"&amp;Q$5,INDIRECT("'"&amp;$B14&amp;"'!$AF$6:$AF$205"),0))),"-"))</f>
        <v/>
      </c>
      <c r="R14" s="38">
        <f>IF(OR(AD14="",R$5="-"),"",IFERROR(IF(INDEX(INDIRECT("'"&amp;$B14&amp;"'!$T$6:$T$205"),MATCH($AF14&amp;"|"&amp;R$5,INDIRECT("'"&amp;$B14&amp;"'!$AF$6:$AF$205"),0))="","",INDEX(INDIRECT("'"&amp;$B14&amp;"'!$T$6:$T$205"),MATCH($AF14&amp;"|"&amp;R$5,INDIRECT("'"&amp;$B14&amp;"'!$AF$6:$AF$205"),0))),"-"))</f>
        <v/>
      </c>
      <c r="S14" s="38">
        <f>IF(OR(AD14="",S$5="-"),"",IFERROR(IF(INDEX(INDIRECT("'"&amp;$B14&amp;"'!$T$6:$T$205"),MATCH($AF14&amp;"|"&amp;S$5,INDIRECT("'"&amp;$B14&amp;"'!$AF$6:$AF$205"),0))="","",INDEX(INDIRECT("'"&amp;$B14&amp;"'!$T$6:$T$205"),MATCH($AF14&amp;"|"&amp;S$5,INDIRECT("'"&amp;$B14&amp;"'!$AF$6:$AF$205"),0))),"-"))</f>
        <v/>
      </c>
      <c r="T14" s="35">
        <f>IF(U14="","",INDEX($L$5:$O$5,MATCH(U14,L14:O14,0)))</f>
        <v/>
      </c>
      <c r="U14" s="37">
        <f>IF(COUNT(L14:O14)=0,"",MIN(L14:O14))</f>
        <v/>
      </c>
      <c r="V14" s="39">
        <f>IF(U14="","",U14*F14)</f>
        <v/>
      </c>
      <c r="W14" s="39">
        <f>IF(COUNT(L14:O14)&lt;2,"",(MAX(L14:O14)-MIN(L14:O14))*F14)</f>
        <v/>
      </c>
      <c r="X14" s="20" t="n"/>
      <c r="AD14">
        <f>IF(9&gt;MAX($AB$6:$AB$9),"",COUNTIF($AB$6:$AB$9,"&lt;"&amp;9)+1)</f>
        <v/>
      </c>
      <c r="AE14">
        <f>IF(AD14="","",9-INDEX($AC$6:$AC$9,AD14))</f>
        <v/>
      </c>
      <c r="AF14">
        <f>IF(AD14="","",INDEX(INDIRECT("'"&amp;$B14&amp;"'!$AE$6:$AE$205"),MATCH(AE14,INDIRECT("'"&amp;$B14&amp;"'!$AI$6:$AI$205"),0)))</f>
        <v/>
      </c>
    </row>
    <row r="15">
      <c r="A15" s="34">
        <f>IF(AD15="","",10)</f>
        <v/>
      </c>
      <c r="B15" s="35">
        <f>IF(AD15="","",INDEX($Z$6:$Z$9,AD15))</f>
        <v/>
      </c>
      <c r="C15" s="34">
        <f>IF(AD15="","",INDEX(INDIRECT("'"&amp;$B15&amp;"'!$B$6:$B$205"),MATCH($AF15,INDIRECT("'"&amp;$B15&amp;"'!$AE$6:$AE$205"),0)))</f>
        <v/>
      </c>
      <c r="D15" s="34">
        <f>IF(AD15="","",INDEX(INDIRECT("'"&amp;$B15&amp;"'!$D$6:$D$205"),MATCH($AF15,INDIRECT("'"&amp;$B15&amp;"'!$AE$6:$AE$205"),0)))</f>
        <v/>
      </c>
      <c r="E15" s="36">
        <f>IF(AD15="","",INDEX(INDIRECT("'"&amp;$B15&amp;"'!$F$6:$F$205"),MATCH($AF15,INDIRECT("'"&amp;$B15&amp;"'!$AE$6:$AE$205"),0)))</f>
        <v/>
      </c>
      <c r="F15" s="34">
        <f>IF(AD15="","",INDEX(INDIRECT("'"&amp;$B15&amp;"'!$K$6:$K$205"),MATCH($AF15,INDIRECT("'"&amp;$B15&amp;"'!$AE$6:$AE$205"),0)))</f>
        <v/>
      </c>
      <c r="G15" s="34">
        <f>IF(AD15="","",INDEX(INDIRECT("'"&amp;$B15&amp;"'!$L$6:$L$205"),MATCH($AF15,INDIRECT("'"&amp;$B15&amp;"'!$AE$6:$AE$205"),0)))</f>
        <v/>
      </c>
      <c r="H15" s="34">
        <f>IF(OR(AD15="",H$5="-"),"",IFERROR(IF(INDEX(INDIRECT("'"&amp;$B15&amp;"'!$N$6:$N$205"),MATCH($AF15&amp;"|"&amp;H$5,INDIRECT("'"&amp;$B15&amp;"'!$AF$6:$AF$205"),0))="","",INDEX(INDIRECT("'"&amp;$B15&amp;"'!$N$6:$N$205"),MATCH($AF15&amp;"|"&amp;H$5,INDIRECT("'"&amp;$B15&amp;"'!$AF$6:$AF$205"),0))),"-"))</f>
        <v/>
      </c>
      <c r="I15" s="34">
        <f>IF(OR(AD15="",I$5="-"),"",IFERROR(IF(INDEX(INDIRECT("'"&amp;$B15&amp;"'!$N$6:$N$205"),MATCH($AF15&amp;"|"&amp;I$5,INDIRECT("'"&amp;$B15&amp;"'!$AF$6:$AF$205"),0))="","",INDEX(INDIRECT("'"&amp;$B15&amp;"'!$N$6:$N$205"),MATCH($AF15&amp;"|"&amp;I$5,INDIRECT("'"&amp;$B15&amp;"'!$AF$6:$AF$205"),0))),"-"))</f>
        <v/>
      </c>
      <c r="J15" s="34">
        <f>IF(OR(AD15="",J$5="-"),"",IFERROR(IF(INDEX(INDIRECT("'"&amp;$B15&amp;"'!$N$6:$N$205"),MATCH($AF15&amp;"|"&amp;J$5,INDIRECT("'"&amp;$B15&amp;"'!$AF$6:$AF$205"),0))="","",INDEX(INDIRECT("'"&amp;$B15&amp;"'!$N$6:$N$205"),MATCH($AF15&amp;"|"&amp;J$5,INDIRECT("'"&amp;$B15&amp;"'!$AF$6:$AF$205"),0))),"-"))</f>
        <v/>
      </c>
      <c r="K15" s="34">
        <f>IF(OR(AD15="",K$5="-"),"",IFERROR(IF(INDEX(INDIRECT("'"&amp;$B15&amp;"'!$N$6:$N$205"),MATCH($AF15&amp;"|"&amp;K$5,INDIRECT("'"&amp;$B15&amp;"'!$AF$6:$AF$205"),0))="","",INDEX(INDIRECT("'"&amp;$B15&amp;"'!$N$6:$N$205"),MATCH($AF15&amp;"|"&amp;K$5,INDIRECT("'"&amp;$B15&amp;"'!$AF$6:$AF$205"),0))),"-"))</f>
        <v/>
      </c>
      <c r="L15" s="37">
        <f>IF(OR(AD15="",L$5="-"),"",IFERROR(IF(INDEX(INDIRECT("'"&amp;$B15&amp;"'!$R$6:$R$205"),MATCH($AF15&amp;"|"&amp;L$5,INDIRECT("'"&amp;$B15&amp;"'!$AF$6:$AF$205"),0))="","",INDEX(INDIRECT("'"&amp;$B15&amp;"'!$R$6:$R$205"),MATCH($AF15&amp;"|"&amp;L$5,INDIRECT("'"&amp;$B15&amp;"'!$AF$6:$AF$205"),0))),"-"))</f>
        <v/>
      </c>
      <c r="M15" s="37">
        <f>IF(OR(AD15="",M$5="-"),"",IFERROR(IF(INDEX(INDIRECT("'"&amp;$B15&amp;"'!$R$6:$R$205"),MATCH($AF15&amp;"|"&amp;M$5,INDIRECT("'"&amp;$B15&amp;"'!$AF$6:$AF$205"),0))="","",INDEX(INDIRECT("'"&amp;$B15&amp;"'!$R$6:$R$205"),MATCH($AF15&amp;"|"&amp;M$5,INDIRECT("'"&amp;$B15&amp;"'!$AF$6:$AF$205"),0))),"-"))</f>
        <v/>
      </c>
      <c r="N15" s="37">
        <f>IF(OR(AD15="",N$5="-"),"",IFERROR(IF(INDEX(INDIRECT("'"&amp;$B15&amp;"'!$R$6:$R$205"),MATCH($AF15&amp;"|"&amp;N$5,INDIRECT("'"&amp;$B15&amp;"'!$AF$6:$AF$205"),0))="","",INDEX(INDIRECT("'"&amp;$B15&amp;"'!$R$6:$R$205"),MATCH($AF15&amp;"|"&amp;N$5,INDIRECT("'"&amp;$B15&amp;"'!$AF$6:$AF$205"),0))),"-"))</f>
        <v/>
      </c>
      <c r="O15" s="37">
        <f>IF(OR(AD15="",O$5="-"),"",IFERROR(IF(INDEX(INDIRECT("'"&amp;$B15&amp;"'!$R$6:$R$205"),MATCH($AF15&amp;"|"&amp;O$5,INDIRECT("'"&amp;$B15&amp;"'!$AF$6:$AF$205"),0))="","",INDEX(INDIRECT("'"&amp;$B15&amp;"'!$R$6:$R$205"),MATCH($AF15&amp;"|"&amp;O$5,INDIRECT("'"&amp;$B15&amp;"'!$AF$6:$AF$205"),0))),"-"))</f>
        <v/>
      </c>
      <c r="P15" s="38">
        <f>IF(OR(AD15="",P$5="-"),"",IFERROR(IF(INDEX(INDIRECT("'"&amp;$B15&amp;"'!$T$6:$T$205"),MATCH($AF15&amp;"|"&amp;P$5,INDIRECT("'"&amp;$B15&amp;"'!$AF$6:$AF$205"),0))="","",INDEX(INDIRECT("'"&amp;$B15&amp;"'!$T$6:$T$205"),MATCH($AF15&amp;"|"&amp;P$5,INDIRECT("'"&amp;$B15&amp;"'!$AF$6:$AF$205"),0))),"-"))</f>
        <v/>
      </c>
      <c r="Q15" s="38">
        <f>IF(OR(AD15="",Q$5="-"),"",IFERROR(IF(INDEX(INDIRECT("'"&amp;$B15&amp;"'!$T$6:$T$205"),MATCH($AF15&amp;"|"&amp;Q$5,INDIRECT("'"&amp;$B15&amp;"'!$AF$6:$AF$205"),0))="","",INDEX(INDIRECT("'"&amp;$B15&amp;"'!$T$6:$T$205"),MATCH($AF15&amp;"|"&amp;Q$5,INDIRECT("'"&amp;$B15&amp;"'!$AF$6:$AF$205"),0))),"-"))</f>
        <v/>
      </c>
      <c r="R15" s="38">
        <f>IF(OR(AD15="",R$5="-"),"",IFERROR(IF(INDEX(INDIRECT("'"&amp;$B15&amp;"'!$T$6:$T$205"),MATCH($AF15&amp;"|"&amp;R$5,INDIRECT("'"&amp;$B15&amp;"'!$AF$6:$AF$205"),0))="","",INDEX(INDIRECT("'"&amp;$B15&amp;"'!$T$6:$T$205"),MATCH($AF15&amp;"|"&amp;R$5,INDIRECT("'"&amp;$B15&amp;"'!$AF$6:$AF$205"),0))),"-"))</f>
        <v/>
      </c>
      <c r="S15" s="38">
        <f>IF(OR(AD15="",S$5="-"),"",IFERROR(IF(INDEX(INDIRECT("'"&amp;$B15&amp;"'!$T$6:$T$205"),MATCH($AF15&amp;"|"&amp;S$5,INDIRECT("'"&amp;$B15&amp;"'!$AF$6:$AF$205"),0))="","",INDEX(INDIRECT("'"&amp;$B15&amp;"'!$T$6:$T$205"),MATCH($AF15&amp;"|"&amp;S$5,INDIRECT("'"&amp;$B15&amp;"'!$AF$6:$AF$205"),0))),"-"))</f>
        <v/>
      </c>
      <c r="T15" s="35">
        <f>IF(U15="","",INDEX($L$5:$O$5,MATCH(U15,L15:O15,0)))</f>
        <v/>
      </c>
      <c r="U15" s="37">
        <f>IF(COUNT(L15:O15)=0,"",MIN(L15:O15))</f>
        <v/>
      </c>
      <c r="V15" s="39">
        <f>IF(U15="","",U15*F15)</f>
        <v/>
      </c>
      <c r="W15" s="39">
        <f>IF(COUNT(L15:O15)&lt;2,"",(MAX(L15:O15)-MIN(L15:O15))*F15)</f>
        <v/>
      </c>
      <c r="X15" s="20" t="n"/>
      <c r="AD15">
        <f>IF(10&gt;MAX($AB$6:$AB$9),"",COUNTIF($AB$6:$AB$9,"&lt;"&amp;10)+1)</f>
        <v/>
      </c>
      <c r="AE15">
        <f>IF(AD15="","",10-INDEX($AC$6:$AC$9,AD15))</f>
        <v/>
      </c>
      <c r="AF15">
        <f>IF(AD15="","",INDEX(INDIRECT("'"&amp;$B15&amp;"'!$AE$6:$AE$205"),MATCH(AE15,INDIRECT("'"&amp;$B15&amp;"'!$AI$6:$AI$205"),0)))</f>
        <v/>
      </c>
    </row>
    <row r="16">
      <c r="A16" s="34">
        <f>IF(AD16="","",11)</f>
        <v/>
      </c>
      <c r="B16" s="35">
        <f>IF(AD16="","",INDEX($Z$6:$Z$9,AD16))</f>
        <v/>
      </c>
      <c r="C16" s="34">
        <f>IF(AD16="","",INDEX(INDIRECT("'"&amp;$B16&amp;"'!$B$6:$B$205"),MATCH($AF16,INDIRECT("'"&amp;$B16&amp;"'!$AE$6:$AE$205"),0)))</f>
        <v/>
      </c>
      <c r="D16" s="34">
        <f>IF(AD16="","",INDEX(INDIRECT("'"&amp;$B16&amp;"'!$D$6:$D$205"),MATCH($AF16,INDIRECT("'"&amp;$B16&amp;"'!$AE$6:$AE$205"),0)))</f>
        <v/>
      </c>
      <c r="E16" s="36">
        <f>IF(AD16="","",INDEX(INDIRECT("'"&amp;$B16&amp;"'!$F$6:$F$205"),MATCH($AF16,INDIRECT("'"&amp;$B16&amp;"'!$AE$6:$AE$205"),0)))</f>
        <v/>
      </c>
      <c r="F16" s="34">
        <f>IF(AD16="","",INDEX(INDIRECT("'"&amp;$B16&amp;"'!$K$6:$K$205"),MATCH($AF16,INDIRECT("'"&amp;$B16&amp;"'!$AE$6:$AE$205"),0)))</f>
        <v/>
      </c>
      <c r="G16" s="34">
        <f>IF(AD16="","",INDEX(INDIRECT("'"&amp;$B16&amp;"'!$L$6:$L$205"),MATCH($AF16,INDIRECT("'"&amp;$B16&amp;"'!$AE$6:$AE$205"),0)))</f>
        <v/>
      </c>
      <c r="H16" s="34">
        <f>IF(OR(AD16="",H$5="-"),"",IFERROR(IF(INDEX(INDIRECT("'"&amp;$B16&amp;"'!$N$6:$N$205"),MATCH($AF16&amp;"|"&amp;H$5,INDIRECT("'"&amp;$B16&amp;"'!$AF$6:$AF$205"),0))="","",INDEX(INDIRECT("'"&amp;$B16&amp;"'!$N$6:$N$205"),MATCH($AF16&amp;"|"&amp;H$5,INDIRECT("'"&amp;$B16&amp;"'!$AF$6:$AF$205"),0))),"-"))</f>
        <v/>
      </c>
      <c r="I16" s="34">
        <f>IF(OR(AD16="",I$5="-"),"",IFERROR(IF(INDEX(INDIRECT("'"&amp;$B16&amp;"'!$N$6:$N$205"),MATCH($AF16&amp;"|"&amp;I$5,INDIRECT("'"&amp;$B16&amp;"'!$AF$6:$AF$205"),0))="","",INDEX(INDIRECT("'"&amp;$B16&amp;"'!$N$6:$N$205"),MATCH($AF16&amp;"|"&amp;I$5,INDIRECT("'"&amp;$B16&amp;"'!$AF$6:$AF$205"),0))),"-"))</f>
        <v/>
      </c>
      <c r="J16" s="34">
        <f>IF(OR(AD16="",J$5="-"),"",IFERROR(IF(INDEX(INDIRECT("'"&amp;$B16&amp;"'!$N$6:$N$205"),MATCH($AF16&amp;"|"&amp;J$5,INDIRECT("'"&amp;$B16&amp;"'!$AF$6:$AF$205"),0))="","",INDEX(INDIRECT("'"&amp;$B16&amp;"'!$N$6:$N$205"),MATCH($AF16&amp;"|"&amp;J$5,INDIRECT("'"&amp;$B16&amp;"'!$AF$6:$AF$205"),0))),"-"))</f>
        <v/>
      </c>
      <c r="K16" s="34">
        <f>IF(OR(AD16="",K$5="-"),"",IFERROR(IF(INDEX(INDIRECT("'"&amp;$B16&amp;"'!$N$6:$N$205"),MATCH($AF16&amp;"|"&amp;K$5,INDIRECT("'"&amp;$B16&amp;"'!$AF$6:$AF$205"),0))="","",INDEX(INDIRECT("'"&amp;$B16&amp;"'!$N$6:$N$205"),MATCH($AF16&amp;"|"&amp;K$5,INDIRECT("'"&amp;$B16&amp;"'!$AF$6:$AF$205"),0))),"-"))</f>
        <v/>
      </c>
      <c r="L16" s="37">
        <f>IF(OR(AD16="",L$5="-"),"",IFERROR(IF(INDEX(INDIRECT("'"&amp;$B16&amp;"'!$R$6:$R$205"),MATCH($AF16&amp;"|"&amp;L$5,INDIRECT("'"&amp;$B16&amp;"'!$AF$6:$AF$205"),0))="","",INDEX(INDIRECT("'"&amp;$B16&amp;"'!$R$6:$R$205"),MATCH($AF16&amp;"|"&amp;L$5,INDIRECT("'"&amp;$B16&amp;"'!$AF$6:$AF$205"),0))),"-"))</f>
        <v/>
      </c>
      <c r="M16" s="37">
        <f>IF(OR(AD16="",M$5="-"),"",IFERROR(IF(INDEX(INDIRECT("'"&amp;$B16&amp;"'!$R$6:$R$205"),MATCH($AF16&amp;"|"&amp;M$5,INDIRECT("'"&amp;$B16&amp;"'!$AF$6:$AF$205"),0))="","",INDEX(INDIRECT("'"&amp;$B16&amp;"'!$R$6:$R$205"),MATCH($AF16&amp;"|"&amp;M$5,INDIRECT("'"&amp;$B16&amp;"'!$AF$6:$AF$205"),0))),"-"))</f>
        <v/>
      </c>
      <c r="N16" s="37">
        <f>IF(OR(AD16="",N$5="-"),"",IFERROR(IF(INDEX(INDIRECT("'"&amp;$B16&amp;"'!$R$6:$R$205"),MATCH($AF16&amp;"|"&amp;N$5,INDIRECT("'"&amp;$B16&amp;"'!$AF$6:$AF$205"),0))="","",INDEX(INDIRECT("'"&amp;$B16&amp;"'!$R$6:$R$205"),MATCH($AF16&amp;"|"&amp;N$5,INDIRECT("'"&amp;$B16&amp;"'!$AF$6:$AF$205"),0))),"-"))</f>
        <v/>
      </c>
      <c r="O16" s="37">
        <f>IF(OR(AD16="",O$5="-"),"",IFERROR(IF(INDEX(INDIRECT("'"&amp;$B16&amp;"'!$R$6:$R$205"),MATCH($AF16&amp;"|"&amp;O$5,INDIRECT("'"&amp;$B16&amp;"'!$AF$6:$AF$205"),0))="","",INDEX(INDIRECT("'"&amp;$B16&amp;"'!$R$6:$R$205"),MATCH($AF16&amp;"|"&amp;O$5,INDIRECT("'"&amp;$B16&amp;"'!$AF$6:$AF$205"),0))),"-"))</f>
        <v/>
      </c>
      <c r="P16" s="38">
        <f>IF(OR(AD16="",P$5="-"),"",IFERROR(IF(INDEX(INDIRECT("'"&amp;$B16&amp;"'!$T$6:$T$205"),MATCH($AF16&amp;"|"&amp;P$5,INDIRECT("'"&amp;$B16&amp;"'!$AF$6:$AF$205"),0))="","",INDEX(INDIRECT("'"&amp;$B16&amp;"'!$T$6:$T$205"),MATCH($AF16&amp;"|"&amp;P$5,INDIRECT("'"&amp;$B16&amp;"'!$AF$6:$AF$205"),0))),"-"))</f>
        <v/>
      </c>
      <c r="Q16" s="38">
        <f>IF(OR(AD16="",Q$5="-"),"",IFERROR(IF(INDEX(INDIRECT("'"&amp;$B16&amp;"'!$T$6:$T$205"),MATCH($AF16&amp;"|"&amp;Q$5,INDIRECT("'"&amp;$B16&amp;"'!$AF$6:$AF$205"),0))="","",INDEX(INDIRECT("'"&amp;$B16&amp;"'!$T$6:$T$205"),MATCH($AF16&amp;"|"&amp;Q$5,INDIRECT("'"&amp;$B16&amp;"'!$AF$6:$AF$205"),0))),"-"))</f>
        <v/>
      </c>
      <c r="R16" s="38">
        <f>IF(OR(AD16="",R$5="-"),"",IFERROR(IF(INDEX(INDIRECT("'"&amp;$B16&amp;"'!$T$6:$T$205"),MATCH($AF16&amp;"|"&amp;R$5,INDIRECT("'"&amp;$B16&amp;"'!$AF$6:$AF$205"),0))="","",INDEX(INDIRECT("'"&amp;$B16&amp;"'!$T$6:$T$205"),MATCH($AF16&amp;"|"&amp;R$5,INDIRECT("'"&amp;$B16&amp;"'!$AF$6:$AF$205"),0))),"-"))</f>
        <v/>
      </c>
      <c r="S16" s="38">
        <f>IF(OR(AD16="",S$5="-"),"",IFERROR(IF(INDEX(INDIRECT("'"&amp;$B16&amp;"'!$T$6:$T$205"),MATCH($AF16&amp;"|"&amp;S$5,INDIRECT("'"&amp;$B16&amp;"'!$AF$6:$AF$205"),0))="","",INDEX(INDIRECT("'"&amp;$B16&amp;"'!$T$6:$T$205"),MATCH($AF16&amp;"|"&amp;S$5,INDIRECT("'"&amp;$B16&amp;"'!$AF$6:$AF$205"),0))),"-"))</f>
        <v/>
      </c>
      <c r="T16" s="35">
        <f>IF(U16="","",INDEX($L$5:$O$5,MATCH(U16,L16:O16,0)))</f>
        <v/>
      </c>
      <c r="U16" s="37">
        <f>IF(COUNT(L16:O16)=0,"",MIN(L16:O16))</f>
        <v/>
      </c>
      <c r="V16" s="39">
        <f>IF(U16="","",U16*F16)</f>
        <v/>
      </c>
      <c r="W16" s="39">
        <f>IF(COUNT(L16:O16)&lt;2,"",(MAX(L16:O16)-MIN(L16:O16))*F16)</f>
        <v/>
      </c>
      <c r="X16" s="20" t="n"/>
      <c r="AD16">
        <f>IF(11&gt;MAX($AB$6:$AB$9),"",COUNTIF($AB$6:$AB$9,"&lt;"&amp;11)+1)</f>
        <v/>
      </c>
      <c r="AE16">
        <f>IF(AD16="","",11-INDEX($AC$6:$AC$9,AD16))</f>
        <v/>
      </c>
      <c r="AF16">
        <f>IF(AD16="","",INDEX(INDIRECT("'"&amp;$B16&amp;"'!$AE$6:$AE$205"),MATCH(AE16,INDIRECT("'"&amp;$B16&amp;"'!$AI$6:$AI$205"),0)))</f>
        <v/>
      </c>
    </row>
    <row r="17">
      <c r="A17" s="34">
        <f>IF(AD17="","",12)</f>
        <v/>
      </c>
      <c r="B17" s="35">
        <f>IF(AD17="","",INDEX($Z$6:$Z$9,AD17))</f>
        <v/>
      </c>
      <c r="C17" s="34">
        <f>IF(AD17="","",INDEX(INDIRECT("'"&amp;$B17&amp;"'!$B$6:$B$205"),MATCH($AF17,INDIRECT("'"&amp;$B17&amp;"'!$AE$6:$AE$205"),0)))</f>
        <v/>
      </c>
      <c r="D17" s="34">
        <f>IF(AD17="","",INDEX(INDIRECT("'"&amp;$B17&amp;"'!$D$6:$D$205"),MATCH($AF17,INDIRECT("'"&amp;$B17&amp;"'!$AE$6:$AE$205"),0)))</f>
        <v/>
      </c>
      <c r="E17" s="36">
        <f>IF(AD17="","",INDEX(INDIRECT("'"&amp;$B17&amp;"'!$F$6:$F$205"),MATCH($AF17,INDIRECT("'"&amp;$B17&amp;"'!$AE$6:$AE$205"),0)))</f>
        <v/>
      </c>
      <c r="F17" s="34">
        <f>IF(AD17="","",INDEX(INDIRECT("'"&amp;$B17&amp;"'!$K$6:$K$205"),MATCH($AF17,INDIRECT("'"&amp;$B17&amp;"'!$AE$6:$AE$205"),0)))</f>
        <v/>
      </c>
      <c r="G17" s="34">
        <f>IF(AD17="","",INDEX(INDIRECT("'"&amp;$B17&amp;"'!$L$6:$L$205"),MATCH($AF17,INDIRECT("'"&amp;$B17&amp;"'!$AE$6:$AE$205"),0)))</f>
        <v/>
      </c>
      <c r="H17" s="34">
        <f>IF(OR(AD17="",H$5="-"),"",IFERROR(IF(INDEX(INDIRECT("'"&amp;$B17&amp;"'!$N$6:$N$205"),MATCH($AF17&amp;"|"&amp;H$5,INDIRECT("'"&amp;$B17&amp;"'!$AF$6:$AF$205"),0))="","",INDEX(INDIRECT("'"&amp;$B17&amp;"'!$N$6:$N$205"),MATCH($AF17&amp;"|"&amp;H$5,INDIRECT("'"&amp;$B17&amp;"'!$AF$6:$AF$205"),0))),"-"))</f>
        <v/>
      </c>
      <c r="I17" s="34">
        <f>IF(OR(AD17="",I$5="-"),"",IFERROR(IF(INDEX(INDIRECT("'"&amp;$B17&amp;"'!$N$6:$N$205"),MATCH($AF17&amp;"|"&amp;I$5,INDIRECT("'"&amp;$B17&amp;"'!$AF$6:$AF$205"),0))="","",INDEX(INDIRECT("'"&amp;$B17&amp;"'!$N$6:$N$205"),MATCH($AF17&amp;"|"&amp;I$5,INDIRECT("'"&amp;$B17&amp;"'!$AF$6:$AF$205"),0))),"-"))</f>
        <v/>
      </c>
      <c r="J17" s="34">
        <f>IF(OR(AD17="",J$5="-"),"",IFERROR(IF(INDEX(INDIRECT("'"&amp;$B17&amp;"'!$N$6:$N$205"),MATCH($AF17&amp;"|"&amp;J$5,INDIRECT("'"&amp;$B17&amp;"'!$AF$6:$AF$205"),0))="","",INDEX(INDIRECT("'"&amp;$B17&amp;"'!$N$6:$N$205"),MATCH($AF17&amp;"|"&amp;J$5,INDIRECT("'"&amp;$B17&amp;"'!$AF$6:$AF$205"),0))),"-"))</f>
        <v/>
      </c>
      <c r="K17" s="34">
        <f>IF(OR(AD17="",K$5="-"),"",IFERROR(IF(INDEX(INDIRECT("'"&amp;$B17&amp;"'!$N$6:$N$205"),MATCH($AF17&amp;"|"&amp;K$5,INDIRECT("'"&amp;$B17&amp;"'!$AF$6:$AF$205"),0))="","",INDEX(INDIRECT("'"&amp;$B17&amp;"'!$N$6:$N$205"),MATCH($AF17&amp;"|"&amp;K$5,INDIRECT("'"&amp;$B17&amp;"'!$AF$6:$AF$205"),0))),"-"))</f>
        <v/>
      </c>
      <c r="L17" s="37">
        <f>IF(OR(AD17="",L$5="-"),"",IFERROR(IF(INDEX(INDIRECT("'"&amp;$B17&amp;"'!$R$6:$R$205"),MATCH($AF17&amp;"|"&amp;L$5,INDIRECT("'"&amp;$B17&amp;"'!$AF$6:$AF$205"),0))="","",INDEX(INDIRECT("'"&amp;$B17&amp;"'!$R$6:$R$205"),MATCH($AF17&amp;"|"&amp;L$5,INDIRECT("'"&amp;$B17&amp;"'!$AF$6:$AF$205"),0))),"-"))</f>
        <v/>
      </c>
      <c r="M17" s="37">
        <f>IF(OR(AD17="",M$5="-"),"",IFERROR(IF(INDEX(INDIRECT("'"&amp;$B17&amp;"'!$R$6:$R$205"),MATCH($AF17&amp;"|"&amp;M$5,INDIRECT("'"&amp;$B17&amp;"'!$AF$6:$AF$205"),0))="","",INDEX(INDIRECT("'"&amp;$B17&amp;"'!$R$6:$R$205"),MATCH($AF17&amp;"|"&amp;M$5,INDIRECT("'"&amp;$B17&amp;"'!$AF$6:$AF$205"),0))),"-"))</f>
        <v/>
      </c>
      <c r="N17" s="37">
        <f>IF(OR(AD17="",N$5="-"),"",IFERROR(IF(INDEX(INDIRECT("'"&amp;$B17&amp;"'!$R$6:$R$205"),MATCH($AF17&amp;"|"&amp;N$5,INDIRECT("'"&amp;$B17&amp;"'!$AF$6:$AF$205"),0))="","",INDEX(INDIRECT("'"&amp;$B17&amp;"'!$R$6:$R$205"),MATCH($AF17&amp;"|"&amp;N$5,INDIRECT("'"&amp;$B17&amp;"'!$AF$6:$AF$205"),0))),"-"))</f>
        <v/>
      </c>
      <c r="O17" s="37">
        <f>IF(OR(AD17="",O$5="-"),"",IFERROR(IF(INDEX(INDIRECT("'"&amp;$B17&amp;"'!$R$6:$R$205"),MATCH($AF17&amp;"|"&amp;O$5,INDIRECT("'"&amp;$B17&amp;"'!$AF$6:$AF$205"),0))="","",INDEX(INDIRECT("'"&amp;$B17&amp;"'!$R$6:$R$205"),MATCH($AF17&amp;"|"&amp;O$5,INDIRECT("'"&amp;$B17&amp;"'!$AF$6:$AF$205"),0))),"-"))</f>
        <v/>
      </c>
      <c r="P17" s="38">
        <f>IF(OR(AD17="",P$5="-"),"",IFERROR(IF(INDEX(INDIRECT("'"&amp;$B17&amp;"'!$T$6:$T$205"),MATCH($AF17&amp;"|"&amp;P$5,INDIRECT("'"&amp;$B17&amp;"'!$AF$6:$AF$205"),0))="","",INDEX(INDIRECT("'"&amp;$B17&amp;"'!$T$6:$T$205"),MATCH($AF17&amp;"|"&amp;P$5,INDIRECT("'"&amp;$B17&amp;"'!$AF$6:$AF$205"),0))),"-"))</f>
        <v/>
      </c>
      <c r="Q17" s="38">
        <f>IF(OR(AD17="",Q$5="-"),"",IFERROR(IF(INDEX(INDIRECT("'"&amp;$B17&amp;"'!$T$6:$T$205"),MATCH($AF17&amp;"|"&amp;Q$5,INDIRECT("'"&amp;$B17&amp;"'!$AF$6:$AF$205"),0))="","",INDEX(INDIRECT("'"&amp;$B17&amp;"'!$T$6:$T$205"),MATCH($AF17&amp;"|"&amp;Q$5,INDIRECT("'"&amp;$B17&amp;"'!$AF$6:$AF$205"),0))),"-"))</f>
        <v/>
      </c>
      <c r="R17" s="38">
        <f>IF(OR(AD17="",R$5="-"),"",IFERROR(IF(INDEX(INDIRECT("'"&amp;$B17&amp;"'!$T$6:$T$205"),MATCH($AF17&amp;"|"&amp;R$5,INDIRECT("'"&amp;$B17&amp;"'!$AF$6:$AF$205"),0))="","",INDEX(INDIRECT("'"&amp;$B17&amp;"'!$T$6:$T$205"),MATCH($AF17&amp;"|"&amp;R$5,INDIRECT("'"&amp;$B17&amp;"'!$AF$6:$AF$205"),0))),"-"))</f>
        <v/>
      </c>
      <c r="S17" s="38">
        <f>IF(OR(AD17="",S$5="-"),"",IFERROR(IF(INDEX(INDIRECT("'"&amp;$B17&amp;"'!$T$6:$T$205"),MATCH($AF17&amp;"|"&amp;S$5,INDIRECT("'"&amp;$B17&amp;"'!$AF$6:$AF$205"),0))="","",INDEX(INDIRECT("'"&amp;$B17&amp;"'!$T$6:$T$205"),MATCH($AF17&amp;"|"&amp;S$5,INDIRECT("'"&amp;$B17&amp;"'!$AF$6:$AF$205"),0))),"-"))</f>
        <v/>
      </c>
      <c r="T17" s="35">
        <f>IF(U17="","",INDEX($L$5:$O$5,MATCH(U17,L17:O17,0)))</f>
        <v/>
      </c>
      <c r="U17" s="37">
        <f>IF(COUNT(L17:O17)=0,"",MIN(L17:O17))</f>
        <v/>
      </c>
      <c r="V17" s="39">
        <f>IF(U17="","",U17*F17)</f>
        <v/>
      </c>
      <c r="W17" s="39">
        <f>IF(COUNT(L17:O17)&lt;2,"",(MAX(L17:O17)-MIN(L17:O17))*F17)</f>
        <v/>
      </c>
      <c r="X17" s="20" t="n"/>
      <c r="AD17">
        <f>IF(12&gt;MAX($AB$6:$AB$9),"",COUNTIF($AB$6:$AB$9,"&lt;"&amp;12)+1)</f>
        <v/>
      </c>
      <c r="AE17">
        <f>IF(AD17="","",12-INDEX($AC$6:$AC$9,AD17))</f>
        <v/>
      </c>
      <c r="AF17">
        <f>IF(AD17="","",INDEX(INDIRECT("'"&amp;$B17&amp;"'!$AE$6:$AE$205"),MATCH(AE17,INDIRECT("'"&amp;$B17&amp;"'!$AI$6:$AI$205"),0)))</f>
        <v/>
      </c>
    </row>
    <row r="18">
      <c r="A18" s="34">
        <f>IF(AD18="","",13)</f>
        <v/>
      </c>
      <c r="B18" s="35">
        <f>IF(AD18="","",INDEX($Z$6:$Z$9,AD18))</f>
        <v/>
      </c>
      <c r="C18" s="34">
        <f>IF(AD18="","",INDEX(INDIRECT("'"&amp;$B18&amp;"'!$B$6:$B$205"),MATCH($AF18,INDIRECT("'"&amp;$B18&amp;"'!$AE$6:$AE$205"),0)))</f>
        <v/>
      </c>
      <c r="D18" s="34">
        <f>IF(AD18="","",INDEX(INDIRECT("'"&amp;$B18&amp;"'!$D$6:$D$205"),MATCH($AF18,INDIRECT("'"&amp;$B18&amp;"'!$AE$6:$AE$205"),0)))</f>
        <v/>
      </c>
      <c r="E18" s="36">
        <f>IF(AD18="","",INDEX(INDIRECT("'"&amp;$B18&amp;"'!$F$6:$F$205"),MATCH($AF18,INDIRECT("'"&amp;$B18&amp;"'!$AE$6:$AE$205"),0)))</f>
        <v/>
      </c>
      <c r="F18" s="34">
        <f>IF(AD18="","",INDEX(INDIRECT("'"&amp;$B18&amp;"'!$K$6:$K$205"),MATCH($AF18,INDIRECT("'"&amp;$B18&amp;"'!$AE$6:$AE$205"),0)))</f>
        <v/>
      </c>
      <c r="G18" s="34">
        <f>IF(AD18="","",INDEX(INDIRECT("'"&amp;$B18&amp;"'!$L$6:$L$205"),MATCH($AF18,INDIRECT("'"&amp;$B18&amp;"'!$AE$6:$AE$205"),0)))</f>
        <v/>
      </c>
      <c r="H18" s="34">
        <f>IF(OR(AD18="",H$5="-"),"",IFERROR(IF(INDEX(INDIRECT("'"&amp;$B18&amp;"'!$N$6:$N$205"),MATCH($AF18&amp;"|"&amp;H$5,INDIRECT("'"&amp;$B18&amp;"'!$AF$6:$AF$205"),0))="","",INDEX(INDIRECT("'"&amp;$B18&amp;"'!$N$6:$N$205"),MATCH($AF18&amp;"|"&amp;H$5,INDIRECT("'"&amp;$B18&amp;"'!$AF$6:$AF$205"),0))),"-"))</f>
        <v/>
      </c>
      <c r="I18" s="34">
        <f>IF(OR(AD18="",I$5="-"),"",IFERROR(IF(INDEX(INDIRECT("'"&amp;$B18&amp;"'!$N$6:$N$205"),MATCH($AF18&amp;"|"&amp;I$5,INDIRECT("'"&amp;$B18&amp;"'!$AF$6:$AF$205"),0))="","",INDEX(INDIRECT("'"&amp;$B18&amp;"'!$N$6:$N$205"),MATCH($AF18&amp;"|"&amp;I$5,INDIRECT("'"&amp;$B18&amp;"'!$AF$6:$AF$205"),0))),"-"))</f>
        <v/>
      </c>
      <c r="J18" s="34">
        <f>IF(OR(AD18="",J$5="-"),"",IFERROR(IF(INDEX(INDIRECT("'"&amp;$B18&amp;"'!$N$6:$N$205"),MATCH($AF18&amp;"|"&amp;J$5,INDIRECT("'"&amp;$B18&amp;"'!$AF$6:$AF$205"),0))="","",INDEX(INDIRECT("'"&amp;$B18&amp;"'!$N$6:$N$205"),MATCH($AF18&amp;"|"&amp;J$5,INDIRECT("'"&amp;$B18&amp;"'!$AF$6:$AF$205"),0))),"-"))</f>
        <v/>
      </c>
      <c r="K18" s="34">
        <f>IF(OR(AD18="",K$5="-"),"",IFERROR(IF(INDEX(INDIRECT("'"&amp;$B18&amp;"'!$N$6:$N$205"),MATCH($AF18&amp;"|"&amp;K$5,INDIRECT("'"&amp;$B18&amp;"'!$AF$6:$AF$205"),0))="","",INDEX(INDIRECT("'"&amp;$B18&amp;"'!$N$6:$N$205"),MATCH($AF18&amp;"|"&amp;K$5,INDIRECT("'"&amp;$B18&amp;"'!$AF$6:$AF$205"),0))),"-"))</f>
        <v/>
      </c>
      <c r="L18" s="37">
        <f>IF(OR(AD18="",L$5="-"),"",IFERROR(IF(INDEX(INDIRECT("'"&amp;$B18&amp;"'!$R$6:$R$205"),MATCH($AF18&amp;"|"&amp;L$5,INDIRECT("'"&amp;$B18&amp;"'!$AF$6:$AF$205"),0))="","",INDEX(INDIRECT("'"&amp;$B18&amp;"'!$R$6:$R$205"),MATCH($AF18&amp;"|"&amp;L$5,INDIRECT("'"&amp;$B18&amp;"'!$AF$6:$AF$205"),0))),"-"))</f>
        <v/>
      </c>
      <c r="M18" s="37">
        <f>IF(OR(AD18="",M$5="-"),"",IFERROR(IF(INDEX(INDIRECT("'"&amp;$B18&amp;"'!$R$6:$R$205"),MATCH($AF18&amp;"|"&amp;M$5,INDIRECT("'"&amp;$B18&amp;"'!$AF$6:$AF$205"),0))="","",INDEX(INDIRECT("'"&amp;$B18&amp;"'!$R$6:$R$205"),MATCH($AF18&amp;"|"&amp;M$5,INDIRECT("'"&amp;$B18&amp;"'!$AF$6:$AF$205"),0))),"-"))</f>
        <v/>
      </c>
      <c r="N18" s="37">
        <f>IF(OR(AD18="",N$5="-"),"",IFERROR(IF(INDEX(INDIRECT("'"&amp;$B18&amp;"'!$R$6:$R$205"),MATCH($AF18&amp;"|"&amp;N$5,INDIRECT("'"&amp;$B18&amp;"'!$AF$6:$AF$205"),0))="","",INDEX(INDIRECT("'"&amp;$B18&amp;"'!$R$6:$R$205"),MATCH($AF18&amp;"|"&amp;N$5,INDIRECT("'"&amp;$B18&amp;"'!$AF$6:$AF$205"),0))),"-"))</f>
        <v/>
      </c>
      <c r="O18" s="37">
        <f>IF(OR(AD18="",O$5="-"),"",IFERROR(IF(INDEX(INDIRECT("'"&amp;$B18&amp;"'!$R$6:$R$205"),MATCH($AF18&amp;"|"&amp;O$5,INDIRECT("'"&amp;$B18&amp;"'!$AF$6:$AF$205"),0))="","",INDEX(INDIRECT("'"&amp;$B18&amp;"'!$R$6:$R$205"),MATCH($AF18&amp;"|"&amp;O$5,INDIRECT("'"&amp;$B18&amp;"'!$AF$6:$AF$205"),0))),"-"))</f>
        <v/>
      </c>
      <c r="P18" s="38">
        <f>IF(OR(AD18="",P$5="-"),"",IFERROR(IF(INDEX(INDIRECT("'"&amp;$B18&amp;"'!$T$6:$T$205"),MATCH($AF18&amp;"|"&amp;P$5,INDIRECT("'"&amp;$B18&amp;"'!$AF$6:$AF$205"),0))="","",INDEX(INDIRECT("'"&amp;$B18&amp;"'!$T$6:$T$205"),MATCH($AF18&amp;"|"&amp;P$5,INDIRECT("'"&amp;$B18&amp;"'!$AF$6:$AF$205"),0))),"-"))</f>
        <v/>
      </c>
      <c r="Q18" s="38">
        <f>IF(OR(AD18="",Q$5="-"),"",IFERROR(IF(INDEX(INDIRECT("'"&amp;$B18&amp;"'!$T$6:$T$205"),MATCH($AF18&amp;"|"&amp;Q$5,INDIRECT("'"&amp;$B18&amp;"'!$AF$6:$AF$205"),0))="","",INDEX(INDIRECT("'"&amp;$B18&amp;"'!$T$6:$T$205"),MATCH($AF18&amp;"|"&amp;Q$5,INDIRECT("'"&amp;$B18&amp;"'!$AF$6:$AF$205"),0))),"-"))</f>
        <v/>
      </c>
      <c r="R18" s="38">
        <f>IF(OR(AD18="",R$5="-"),"",IFERROR(IF(INDEX(INDIRECT("'"&amp;$B18&amp;"'!$T$6:$T$205"),MATCH($AF18&amp;"|"&amp;R$5,INDIRECT("'"&amp;$B18&amp;"'!$AF$6:$AF$205"),0))="","",INDEX(INDIRECT("'"&amp;$B18&amp;"'!$T$6:$T$205"),MATCH($AF18&amp;"|"&amp;R$5,INDIRECT("'"&amp;$B18&amp;"'!$AF$6:$AF$205"),0))),"-"))</f>
        <v/>
      </c>
      <c r="S18" s="38">
        <f>IF(OR(AD18="",S$5="-"),"",IFERROR(IF(INDEX(INDIRECT("'"&amp;$B18&amp;"'!$T$6:$T$205"),MATCH($AF18&amp;"|"&amp;S$5,INDIRECT("'"&amp;$B18&amp;"'!$AF$6:$AF$205"),0))="","",INDEX(INDIRECT("'"&amp;$B18&amp;"'!$T$6:$T$205"),MATCH($AF18&amp;"|"&amp;S$5,INDIRECT("'"&amp;$B18&amp;"'!$AF$6:$AF$205"),0))),"-"))</f>
        <v/>
      </c>
      <c r="T18" s="35">
        <f>IF(U18="","",INDEX($L$5:$O$5,MATCH(U18,L18:O18,0)))</f>
        <v/>
      </c>
      <c r="U18" s="37">
        <f>IF(COUNT(L18:O18)=0,"",MIN(L18:O18))</f>
        <v/>
      </c>
      <c r="V18" s="39">
        <f>IF(U18="","",U18*F18)</f>
        <v/>
      </c>
      <c r="W18" s="39">
        <f>IF(COUNT(L18:O18)&lt;2,"",(MAX(L18:O18)-MIN(L18:O18))*F18)</f>
        <v/>
      </c>
      <c r="X18" s="20" t="n"/>
      <c r="AD18">
        <f>IF(13&gt;MAX($AB$6:$AB$9),"",COUNTIF($AB$6:$AB$9,"&lt;"&amp;13)+1)</f>
        <v/>
      </c>
      <c r="AE18">
        <f>IF(AD18="","",13-INDEX($AC$6:$AC$9,AD18))</f>
        <v/>
      </c>
      <c r="AF18">
        <f>IF(AD18="","",INDEX(INDIRECT("'"&amp;$B18&amp;"'!$AE$6:$AE$205"),MATCH(AE18,INDIRECT("'"&amp;$B18&amp;"'!$AI$6:$AI$205"),0)))</f>
        <v/>
      </c>
    </row>
    <row r="19">
      <c r="A19" s="34">
        <f>IF(AD19="","",14)</f>
        <v/>
      </c>
      <c r="B19" s="35">
        <f>IF(AD19="","",INDEX($Z$6:$Z$9,AD19))</f>
        <v/>
      </c>
      <c r="C19" s="34">
        <f>IF(AD19="","",INDEX(INDIRECT("'"&amp;$B19&amp;"'!$B$6:$B$205"),MATCH($AF19,INDIRECT("'"&amp;$B19&amp;"'!$AE$6:$AE$205"),0)))</f>
        <v/>
      </c>
      <c r="D19" s="34">
        <f>IF(AD19="","",INDEX(INDIRECT("'"&amp;$B19&amp;"'!$D$6:$D$205"),MATCH($AF19,INDIRECT("'"&amp;$B19&amp;"'!$AE$6:$AE$205"),0)))</f>
        <v/>
      </c>
      <c r="E19" s="36">
        <f>IF(AD19="","",INDEX(INDIRECT("'"&amp;$B19&amp;"'!$F$6:$F$205"),MATCH($AF19,INDIRECT("'"&amp;$B19&amp;"'!$AE$6:$AE$205"),0)))</f>
        <v/>
      </c>
      <c r="F19" s="34">
        <f>IF(AD19="","",INDEX(INDIRECT("'"&amp;$B19&amp;"'!$K$6:$K$205"),MATCH($AF19,INDIRECT("'"&amp;$B19&amp;"'!$AE$6:$AE$205"),0)))</f>
        <v/>
      </c>
      <c r="G19" s="34">
        <f>IF(AD19="","",INDEX(INDIRECT("'"&amp;$B19&amp;"'!$L$6:$L$205"),MATCH($AF19,INDIRECT("'"&amp;$B19&amp;"'!$AE$6:$AE$205"),0)))</f>
        <v/>
      </c>
      <c r="H19" s="34">
        <f>IF(OR(AD19="",H$5="-"),"",IFERROR(IF(INDEX(INDIRECT("'"&amp;$B19&amp;"'!$N$6:$N$205"),MATCH($AF19&amp;"|"&amp;H$5,INDIRECT("'"&amp;$B19&amp;"'!$AF$6:$AF$205"),0))="","",INDEX(INDIRECT("'"&amp;$B19&amp;"'!$N$6:$N$205"),MATCH($AF19&amp;"|"&amp;H$5,INDIRECT("'"&amp;$B19&amp;"'!$AF$6:$AF$205"),0))),"-"))</f>
        <v/>
      </c>
      <c r="I19" s="34">
        <f>IF(OR(AD19="",I$5="-"),"",IFERROR(IF(INDEX(INDIRECT("'"&amp;$B19&amp;"'!$N$6:$N$205"),MATCH($AF19&amp;"|"&amp;I$5,INDIRECT("'"&amp;$B19&amp;"'!$AF$6:$AF$205"),0))="","",INDEX(INDIRECT("'"&amp;$B19&amp;"'!$N$6:$N$205"),MATCH($AF19&amp;"|"&amp;I$5,INDIRECT("'"&amp;$B19&amp;"'!$AF$6:$AF$205"),0))),"-"))</f>
        <v/>
      </c>
      <c r="J19" s="34">
        <f>IF(OR(AD19="",J$5="-"),"",IFERROR(IF(INDEX(INDIRECT("'"&amp;$B19&amp;"'!$N$6:$N$205"),MATCH($AF19&amp;"|"&amp;J$5,INDIRECT("'"&amp;$B19&amp;"'!$AF$6:$AF$205"),0))="","",INDEX(INDIRECT("'"&amp;$B19&amp;"'!$N$6:$N$205"),MATCH($AF19&amp;"|"&amp;J$5,INDIRECT("'"&amp;$B19&amp;"'!$AF$6:$AF$205"),0))),"-"))</f>
        <v/>
      </c>
      <c r="K19" s="34">
        <f>IF(OR(AD19="",K$5="-"),"",IFERROR(IF(INDEX(INDIRECT("'"&amp;$B19&amp;"'!$N$6:$N$205"),MATCH($AF19&amp;"|"&amp;K$5,INDIRECT("'"&amp;$B19&amp;"'!$AF$6:$AF$205"),0))="","",INDEX(INDIRECT("'"&amp;$B19&amp;"'!$N$6:$N$205"),MATCH($AF19&amp;"|"&amp;K$5,INDIRECT("'"&amp;$B19&amp;"'!$AF$6:$AF$205"),0))),"-"))</f>
        <v/>
      </c>
      <c r="L19" s="37">
        <f>IF(OR(AD19="",L$5="-"),"",IFERROR(IF(INDEX(INDIRECT("'"&amp;$B19&amp;"'!$R$6:$R$205"),MATCH($AF19&amp;"|"&amp;L$5,INDIRECT("'"&amp;$B19&amp;"'!$AF$6:$AF$205"),0))="","",INDEX(INDIRECT("'"&amp;$B19&amp;"'!$R$6:$R$205"),MATCH($AF19&amp;"|"&amp;L$5,INDIRECT("'"&amp;$B19&amp;"'!$AF$6:$AF$205"),0))),"-"))</f>
        <v/>
      </c>
      <c r="M19" s="37">
        <f>IF(OR(AD19="",M$5="-"),"",IFERROR(IF(INDEX(INDIRECT("'"&amp;$B19&amp;"'!$R$6:$R$205"),MATCH($AF19&amp;"|"&amp;M$5,INDIRECT("'"&amp;$B19&amp;"'!$AF$6:$AF$205"),0))="","",INDEX(INDIRECT("'"&amp;$B19&amp;"'!$R$6:$R$205"),MATCH($AF19&amp;"|"&amp;M$5,INDIRECT("'"&amp;$B19&amp;"'!$AF$6:$AF$205"),0))),"-"))</f>
        <v/>
      </c>
      <c r="N19" s="37">
        <f>IF(OR(AD19="",N$5="-"),"",IFERROR(IF(INDEX(INDIRECT("'"&amp;$B19&amp;"'!$R$6:$R$205"),MATCH($AF19&amp;"|"&amp;N$5,INDIRECT("'"&amp;$B19&amp;"'!$AF$6:$AF$205"),0))="","",INDEX(INDIRECT("'"&amp;$B19&amp;"'!$R$6:$R$205"),MATCH($AF19&amp;"|"&amp;N$5,INDIRECT("'"&amp;$B19&amp;"'!$AF$6:$AF$205"),0))),"-"))</f>
        <v/>
      </c>
      <c r="O19" s="37">
        <f>IF(OR(AD19="",O$5="-"),"",IFERROR(IF(INDEX(INDIRECT("'"&amp;$B19&amp;"'!$R$6:$R$205"),MATCH($AF19&amp;"|"&amp;O$5,INDIRECT("'"&amp;$B19&amp;"'!$AF$6:$AF$205"),0))="","",INDEX(INDIRECT("'"&amp;$B19&amp;"'!$R$6:$R$205"),MATCH($AF19&amp;"|"&amp;O$5,INDIRECT("'"&amp;$B19&amp;"'!$AF$6:$AF$205"),0))),"-"))</f>
        <v/>
      </c>
      <c r="P19" s="38">
        <f>IF(OR(AD19="",P$5="-"),"",IFERROR(IF(INDEX(INDIRECT("'"&amp;$B19&amp;"'!$T$6:$T$205"),MATCH($AF19&amp;"|"&amp;P$5,INDIRECT("'"&amp;$B19&amp;"'!$AF$6:$AF$205"),0))="","",INDEX(INDIRECT("'"&amp;$B19&amp;"'!$T$6:$T$205"),MATCH($AF19&amp;"|"&amp;P$5,INDIRECT("'"&amp;$B19&amp;"'!$AF$6:$AF$205"),0))),"-"))</f>
        <v/>
      </c>
      <c r="Q19" s="38">
        <f>IF(OR(AD19="",Q$5="-"),"",IFERROR(IF(INDEX(INDIRECT("'"&amp;$B19&amp;"'!$T$6:$T$205"),MATCH($AF19&amp;"|"&amp;Q$5,INDIRECT("'"&amp;$B19&amp;"'!$AF$6:$AF$205"),0))="","",INDEX(INDIRECT("'"&amp;$B19&amp;"'!$T$6:$T$205"),MATCH($AF19&amp;"|"&amp;Q$5,INDIRECT("'"&amp;$B19&amp;"'!$AF$6:$AF$205"),0))),"-"))</f>
        <v/>
      </c>
      <c r="R19" s="38">
        <f>IF(OR(AD19="",R$5="-"),"",IFERROR(IF(INDEX(INDIRECT("'"&amp;$B19&amp;"'!$T$6:$T$205"),MATCH($AF19&amp;"|"&amp;R$5,INDIRECT("'"&amp;$B19&amp;"'!$AF$6:$AF$205"),0))="","",INDEX(INDIRECT("'"&amp;$B19&amp;"'!$T$6:$T$205"),MATCH($AF19&amp;"|"&amp;R$5,INDIRECT("'"&amp;$B19&amp;"'!$AF$6:$AF$205"),0))),"-"))</f>
        <v/>
      </c>
      <c r="S19" s="38">
        <f>IF(OR(AD19="",S$5="-"),"",IFERROR(IF(INDEX(INDIRECT("'"&amp;$B19&amp;"'!$T$6:$T$205"),MATCH($AF19&amp;"|"&amp;S$5,INDIRECT("'"&amp;$B19&amp;"'!$AF$6:$AF$205"),0))="","",INDEX(INDIRECT("'"&amp;$B19&amp;"'!$T$6:$T$205"),MATCH($AF19&amp;"|"&amp;S$5,INDIRECT("'"&amp;$B19&amp;"'!$AF$6:$AF$205"),0))),"-"))</f>
        <v/>
      </c>
      <c r="T19" s="35">
        <f>IF(U19="","",INDEX($L$5:$O$5,MATCH(U19,L19:O19,0)))</f>
        <v/>
      </c>
      <c r="U19" s="37">
        <f>IF(COUNT(L19:O19)=0,"",MIN(L19:O19))</f>
        <v/>
      </c>
      <c r="V19" s="39">
        <f>IF(U19="","",U19*F19)</f>
        <v/>
      </c>
      <c r="W19" s="39">
        <f>IF(COUNT(L19:O19)&lt;2,"",(MAX(L19:O19)-MIN(L19:O19))*F19)</f>
        <v/>
      </c>
      <c r="X19" s="20" t="n"/>
      <c r="AD19">
        <f>IF(14&gt;MAX($AB$6:$AB$9),"",COUNTIF($AB$6:$AB$9,"&lt;"&amp;14)+1)</f>
        <v/>
      </c>
      <c r="AE19">
        <f>IF(AD19="","",14-INDEX($AC$6:$AC$9,AD19))</f>
        <v/>
      </c>
      <c r="AF19">
        <f>IF(AD19="","",INDEX(INDIRECT("'"&amp;$B19&amp;"'!$AE$6:$AE$205"),MATCH(AE19,INDIRECT("'"&amp;$B19&amp;"'!$AI$6:$AI$205"),0)))</f>
        <v/>
      </c>
    </row>
    <row r="20">
      <c r="A20" s="34">
        <f>IF(AD20="","",15)</f>
        <v/>
      </c>
      <c r="B20" s="35">
        <f>IF(AD20="","",INDEX($Z$6:$Z$9,AD20))</f>
        <v/>
      </c>
      <c r="C20" s="34">
        <f>IF(AD20="","",INDEX(INDIRECT("'"&amp;$B20&amp;"'!$B$6:$B$205"),MATCH($AF20,INDIRECT("'"&amp;$B20&amp;"'!$AE$6:$AE$205"),0)))</f>
        <v/>
      </c>
      <c r="D20" s="34">
        <f>IF(AD20="","",INDEX(INDIRECT("'"&amp;$B20&amp;"'!$D$6:$D$205"),MATCH($AF20,INDIRECT("'"&amp;$B20&amp;"'!$AE$6:$AE$205"),0)))</f>
        <v/>
      </c>
      <c r="E20" s="36">
        <f>IF(AD20="","",INDEX(INDIRECT("'"&amp;$B20&amp;"'!$F$6:$F$205"),MATCH($AF20,INDIRECT("'"&amp;$B20&amp;"'!$AE$6:$AE$205"),0)))</f>
        <v/>
      </c>
      <c r="F20" s="34">
        <f>IF(AD20="","",INDEX(INDIRECT("'"&amp;$B20&amp;"'!$K$6:$K$205"),MATCH($AF20,INDIRECT("'"&amp;$B20&amp;"'!$AE$6:$AE$205"),0)))</f>
        <v/>
      </c>
      <c r="G20" s="34">
        <f>IF(AD20="","",INDEX(INDIRECT("'"&amp;$B20&amp;"'!$L$6:$L$205"),MATCH($AF20,INDIRECT("'"&amp;$B20&amp;"'!$AE$6:$AE$205"),0)))</f>
        <v/>
      </c>
      <c r="H20" s="34">
        <f>IF(OR(AD20="",H$5="-"),"",IFERROR(IF(INDEX(INDIRECT("'"&amp;$B20&amp;"'!$N$6:$N$205"),MATCH($AF20&amp;"|"&amp;H$5,INDIRECT("'"&amp;$B20&amp;"'!$AF$6:$AF$205"),0))="","",INDEX(INDIRECT("'"&amp;$B20&amp;"'!$N$6:$N$205"),MATCH($AF20&amp;"|"&amp;H$5,INDIRECT("'"&amp;$B20&amp;"'!$AF$6:$AF$205"),0))),"-"))</f>
        <v/>
      </c>
      <c r="I20" s="34">
        <f>IF(OR(AD20="",I$5="-"),"",IFERROR(IF(INDEX(INDIRECT("'"&amp;$B20&amp;"'!$N$6:$N$205"),MATCH($AF20&amp;"|"&amp;I$5,INDIRECT("'"&amp;$B20&amp;"'!$AF$6:$AF$205"),0))="","",INDEX(INDIRECT("'"&amp;$B20&amp;"'!$N$6:$N$205"),MATCH($AF20&amp;"|"&amp;I$5,INDIRECT("'"&amp;$B20&amp;"'!$AF$6:$AF$205"),0))),"-"))</f>
        <v/>
      </c>
      <c r="J20" s="34">
        <f>IF(OR(AD20="",J$5="-"),"",IFERROR(IF(INDEX(INDIRECT("'"&amp;$B20&amp;"'!$N$6:$N$205"),MATCH($AF20&amp;"|"&amp;J$5,INDIRECT("'"&amp;$B20&amp;"'!$AF$6:$AF$205"),0))="","",INDEX(INDIRECT("'"&amp;$B20&amp;"'!$N$6:$N$205"),MATCH($AF20&amp;"|"&amp;J$5,INDIRECT("'"&amp;$B20&amp;"'!$AF$6:$AF$205"),0))),"-"))</f>
        <v/>
      </c>
      <c r="K20" s="34">
        <f>IF(OR(AD20="",K$5="-"),"",IFERROR(IF(INDEX(INDIRECT("'"&amp;$B20&amp;"'!$N$6:$N$205"),MATCH($AF20&amp;"|"&amp;K$5,INDIRECT("'"&amp;$B20&amp;"'!$AF$6:$AF$205"),0))="","",INDEX(INDIRECT("'"&amp;$B20&amp;"'!$N$6:$N$205"),MATCH($AF20&amp;"|"&amp;K$5,INDIRECT("'"&amp;$B20&amp;"'!$AF$6:$AF$205"),0))),"-"))</f>
        <v/>
      </c>
      <c r="L20" s="37">
        <f>IF(OR(AD20="",L$5="-"),"",IFERROR(IF(INDEX(INDIRECT("'"&amp;$B20&amp;"'!$R$6:$R$205"),MATCH($AF20&amp;"|"&amp;L$5,INDIRECT("'"&amp;$B20&amp;"'!$AF$6:$AF$205"),0))="","",INDEX(INDIRECT("'"&amp;$B20&amp;"'!$R$6:$R$205"),MATCH($AF20&amp;"|"&amp;L$5,INDIRECT("'"&amp;$B20&amp;"'!$AF$6:$AF$205"),0))),"-"))</f>
        <v/>
      </c>
      <c r="M20" s="37">
        <f>IF(OR(AD20="",M$5="-"),"",IFERROR(IF(INDEX(INDIRECT("'"&amp;$B20&amp;"'!$R$6:$R$205"),MATCH($AF20&amp;"|"&amp;M$5,INDIRECT("'"&amp;$B20&amp;"'!$AF$6:$AF$205"),0))="","",INDEX(INDIRECT("'"&amp;$B20&amp;"'!$R$6:$R$205"),MATCH($AF20&amp;"|"&amp;M$5,INDIRECT("'"&amp;$B20&amp;"'!$AF$6:$AF$205"),0))),"-"))</f>
        <v/>
      </c>
      <c r="N20" s="37">
        <f>IF(OR(AD20="",N$5="-"),"",IFERROR(IF(INDEX(INDIRECT("'"&amp;$B20&amp;"'!$R$6:$R$205"),MATCH($AF20&amp;"|"&amp;N$5,INDIRECT("'"&amp;$B20&amp;"'!$AF$6:$AF$205"),0))="","",INDEX(INDIRECT("'"&amp;$B20&amp;"'!$R$6:$R$205"),MATCH($AF20&amp;"|"&amp;N$5,INDIRECT("'"&amp;$B20&amp;"'!$AF$6:$AF$205"),0))),"-"))</f>
        <v/>
      </c>
      <c r="O20" s="37">
        <f>IF(OR(AD20="",O$5="-"),"",IFERROR(IF(INDEX(INDIRECT("'"&amp;$B20&amp;"'!$R$6:$R$205"),MATCH($AF20&amp;"|"&amp;O$5,INDIRECT("'"&amp;$B20&amp;"'!$AF$6:$AF$205"),0))="","",INDEX(INDIRECT("'"&amp;$B20&amp;"'!$R$6:$R$205"),MATCH($AF20&amp;"|"&amp;O$5,INDIRECT("'"&amp;$B20&amp;"'!$AF$6:$AF$205"),0))),"-"))</f>
        <v/>
      </c>
      <c r="P20" s="38">
        <f>IF(OR(AD20="",P$5="-"),"",IFERROR(IF(INDEX(INDIRECT("'"&amp;$B20&amp;"'!$T$6:$T$205"),MATCH($AF20&amp;"|"&amp;P$5,INDIRECT("'"&amp;$B20&amp;"'!$AF$6:$AF$205"),0))="","",INDEX(INDIRECT("'"&amp;$B20&amp;"'!$T$6:$T$205"),MATCH($AF20&amp;"|"&amp;P$5,INDIRECT("'"&amp;$B20&amp;"'!$AF$6:$AF$205"),0))),"-"))</f>
        <v/>
      </c>
      <c r="Q20" s="38">
        <f>IF(OR(AD20="",Q$5="-"),"",IFERROR(IF(INDEX(INDIRECT("'"&amp;$B20&amp;"'!$T$6:$T$205"),MATCH($AF20&amp;"|"&amp;Q$5,INDIRECT("'"&amp;$B20&amp;"'!$AF$6:$AF$205"),0))="","",INDEX(INDIRECT("'"&amp;$B20&amp;"'!$T$6:$T$205"),MATCH($AF20&amp;"|"&amp;Q$5,INDIRECT("'"&amp;$B20&amp;"'!$AF$6:$AF$205"),0))),"-"))</f>
        <v/>
      </c>
      <c r="R20" s="38">
        <f>IF(OR(AD20="",R$5="-"),"",IFERROR(IF(INDEX(INDIRECT("'"&amp;$B20&amp;"'!$T$6:$T$205"),MATCH($AF20&amp;"|"&amp;R$5,INDIRECT("'"&amp;$B20&amp;"'!$AF$6:$AF$205"),0))="","",INDEX(INDIRECT("'"&amp;$B20&amp;"'!$T$6:$T$205"),MATCH($AF20&amp;"|"&amp;R$5,INDIRECT("'"&amp;$B20&amp;"'!$AF$6:$AF$205"),0))),"-"))</f>
        <v/>
      </c>
      <c r="S20" s="38">
        <f>IF(OR(AD20="",S$5="-"),"",IFERROR(IF(INDEX(INDIRECT("'"&amp;$B20&amp;"'!$T$6:$T$205"),MATCH($AF20&amp;"|"&amp;S$5,INDIRECT("'"&amp;$B20&amp;"'!$AF$6:$AF$205"),0))="","",INDEX(INDIRECT("'"&amp;$B20&amp;"'!$T$6:$T$205"),MATCH($AF20&amp;"|"&amp;S$5,INDIRECT("'"&amp;$B20&amp;"'!$AF$6:$AF$205"),0))),"-"))</f>
        <v/>
      </c>
      <c r="T20" s="35">
        <f>IF(U20="","",INDEX($L$5:$O$5,MATCH(U20,L20:O20,0)))</f>
        <v/>
      </c>
      <c r="U20" s="37">
        <f>IF(COUNT(L20:O20)=0,"",MIN(L20:O20))</f>
        <v/>
      </c>
      <c r="V20" s="39">
        <f>IF(U20="","",U20*F20)</f>
        <v/>
      </c>
      <c r="W20" s="39">
        <f>IF(COUNT(L20:O20)&lt;2,"",(MAX(L20:O20)-MIN(L20:O20))*F20)</f>
        <v/>
      </c>
      <c r="X20" s="20" t="n"/>
      <c r="AD20">
        <f>IF(15&gt;MAX($AB$6:$AB$9),"",COUNTIF($AB$6:$AB$9,"&lt;"&amp;15)+1)</f>
        <v/>
      </c>
      <c r="AE20">
        <f>IF(AD20="","",15-INDEX($AC$6:$AC$9,AD20))</f>
        <v/>
      </c>
      <c r="AF20">
        <f>IF(AD20="","",INDEX(INDIRECT("'"&amp;$B20&amp;"'!$AE$6:$AE$205"),MATCH(AE20,INDIRECT("'"&amp;$B20&amp;"'!$AI$6:$AI$205"),0)))</f>
        <v/>
      </c>
    </row>
    <row r="21">
      <c r="A21" s="34">
        <f>IF(AD21="","",16)</f>
        <v/>
      </c>
      <c r="B21" s="35">
        <f>IF(AD21="","",INDEX($Z$6:$Z$9,AD21))</f>
        <v/>
      </c>
      <c r="C21" s="34">
        <f>IF(AD21="","",INDEX(INDIRECT("'"&amp;$B21&amp;"'!$B$6:$B$205"),MATCH($AF21,INDIRECT("'"&amp;$B21&amp;"'!$AE$6:$AE$205"),0)))</f>
        <v/>
      </c>
      <c r="D21" s="34">
        <f>IF(AD21="","",INDEX(INDIRECT("'"&amp;$B21&amp;"'!$D$6:$D$205"),MATCH($AF21,INDIRECT("'"&amp;$B21&amp;"'!$AE$6:$AE$205"),0)))</f>
        <v/>
      </c>
      <c r="E21" s="36">
        <f>IF(AD21="","",INDEX(INDIRECT("'"&amp;$B21&amp;"'!$F$6:$F$205"),MATCH($AF21,INDIRECT("'"&amp;$B21&amp;"'!$AE$6:$AE$205"),0)))</f>
        <v/>
      </c>
      <c r="F21" s="34">
        <f>IF(AD21="","",INDEX(INDIRECT("'"&amp;$B21&amp;"'!$K$6:$K$205"),MATCH($AF21,INDIRECT("'"&amp;$B21&amp;"'!$AE$6:$AE$205"),0)))</f>
        <v/>
      </c>
      <c r="G21" s="34">
        <f>IF(AD21="","",INDEX(INDIRECT("'"&amp;$B21&amp;"'!$L$6:$L$205"),MATCH($AF21,INDIRECT("'"&amp;$B21&amp;"'!$AE$6:$AE$205"),0)))</f>
        <v/>
      </c>
      <c r="H21" s="34">
        <f>IF(OR(AD21="",H$5="-"),"",IFERROR(IF(INDEX(INDIRECT("'"&amp;$B21&amp;"'!$N$6:$N$205"),MATCH($AF21&amp;"|"&amp;H$5,INDIRECT("'"&amp;$B21&amp;"'!$AF$6:$AF$205"),0))="","",INDEX(INDIRECT("'"&amp;$B21&amp;"'!$N$6:$N$205"),MATCH($AF21&amp;"|"&amp;H$5,INDIRECT("'"&amp;$B21&amp;"'!$AF$6:$AF$205"),0))),"-"))</f>
        <v/>
      </c>
      <c r="I21" s="34">
        <f>IF(OR(AD21="",I$5="-"),"",IFERROR(IF(INDEX(INDIRECT("'"&amp;$B21&amp;"'!$N$6:$N$205"),MATCH($AF21&amp;"|"&amp;I$5,INDIRECT("'"&amp;$B21&amp;"'!$AF$6:$AF$205"),0))="","",INDEX(INDIRECT("'"&amp;$B21&amp;"'!$N$6:$N$205"),MATCH($AF21&amp;"|"&amp;I$5,INDIRECT("'"&amp;$B21&amp;"'!$AF$6:$AF$205"),0))),"-"))</f>
        <v/>
      </c>
      <c r="J21" s="34">
        <f>IF(OR(AD21="",J$5="-"),"",IFERROR(IF(INDEX(INDIRECT("'"&amp;$B21&amp;"'!$N$6:$N$205"),MATCH($AF21&amp;"|"&amp;J$5,INDIRECT("'"&amp;$B21&amp;"'!$AF$6:$AF$205"),0))="","",INDEX(INDIRECT("'"&amp;$B21&amp;"'!$N$6:$N$205"),MATCH($AF21&amp;"|"&amp;J$5,INDIRECT("'"&amp;$B21&amp;"'!$AF$6:$AF$205"),0))),"-"))</f>
        <v/>
      </c>
      <c r="K21" s="34">
        <f>IF(OR(AD21="",K$5="-"),"",IFERROR(IF(INDEX(INDIRECT("'"&amp;$B21&amp;"'!$N$6:$N$205"),MATCH($AF21&amp;"|"&amp;K$5,INDIRECT("'"&amp;$B21&amp;"'!$AF$6:$AF$205"),0))="","",INDEX(INDIRECT("'"&amp;$B21&amp;"'!$N$6:$N$205"),MATCH($AF21&amp;"|"&amp;K$5,INDIRECT("'"&amp;$B21&amp;"'!$AF$6:$AF$205"),0))),"-"))</f>
        <v/>
      </c>
      <c r="L21" s="37">
        <f>IF(OR(AD21="",L$5="-"),"",IFERROR(IF(INDEX(INDIRECT("'"&amp;$B21&amp;"'!$R$6:$R$205"),MATCH($AF21&amp;"|"&amp;L$5,INDIRECT("'"&amp;$B21&amp;"'!$AF$6:$AF$205"),0))="","",INDEX(INDIRECT("'"&amp;$B21&amp;"'!$R$6:$R$205"),MATCH($AF21&amp;"|"&amp;L$5,INDIRECT("'"&amp;$B21&amp;"'!$AF$6:$AF$205"),0))),"-"))</f>
        <v/>
      </c>
      <c r="M21" s="37">
        <f>IF(OR(AD21="",M$5="-"),"",IFERROR(IF(INDEX(INDIRECT("'"&amp;$B21&amp;"'!$R$6:$R$205"),MATCH($AF21&amp;"|"&amp;M$5,INDIRECT("'"&amp;$B21&amp;"'!$AF$6:$AF$205"),0))="","",INDEX(INDIRECT("'"&amp;$B21&amp;"'!$R$6:$R$205"),MATCH($AF21&amp;"|"&amp;M$5,INDIRECT("'"&amp;$B21&amp;"'!$AF$6:$AF$205"),0))),"-"))</f>
        <v/>
      </c>
      <c r="N21" s="37">
        <f>IF(OR(AD21="",N$5="-"),"",IFERROR(IF(INDEX(INDIRECT("'"&amp;$B21&amp;"'!$R$6:$R$205"),MATCH($AF21&amp;"|"&amp;N$5,INDIRECT("'"&amp;$B21&amp;"'!$AF$6:$AF$205"),0))="","",INDEX(INDIRECT("'"&amp;$B21&amp;"'!$R$6:$R$205"),MATCH($AF21&amp;"|"&amp;N$5,INDIRECT("'"&amp;$B21&amp;"'!$AF$6:$AF$205"),0))),"-"))</f>
        <v/>
      </c>
      <c r="O21" s="37">
        <f>IF(OR(AD21="",O$5="-"),"",IFERROR(IF(INDEX(INDIRECT("'"&amp;$B21&amp;"'!$R$6:$R$205"),MATCH($AF21&amp;"|"&amp;O$5,INDIRECT("'"&amp;$B21&amp;"'!$AF$6:$AF$205"),0))="","",INDEX(INDIRECT("'"&amp;$B21&amp;"'!$R$6:$R$205"),MATCH($AF21&amp;"|"&amp;O$5,INDIRECT("'"&amp;$B21&amp;"'!$AF$6:$AF$205"),0))),"-"))</f>
        <v/>
      </c>
      <c r="P21" s="38">
        <f>IF(OR(AD21="",P$5="-"),"",IFERROR(IF(INDEX(INDIRECT("'"&amp;$B21&amp;"'!$T$6:$T$205"),MATCH($AF21&amp;"|"&amp;P$5,INDIRECT("'"&amp;$B21&amp;"'!$AF$6:$AF$205"),0))="","",INDEX(INDIRECT("'"&amp;$B21&amp;"'!$T$6:$T$205"),MATCH($AF21&amp;"|"&amp;P$5,INDIRECT("'"&amp;$B21&amp;"'!$AF$6:$AF$205"),0))),"-"))</f>
        <v/>
      </c>
      <c r="Q21" s="38">
        <f>IF(OR(AD21="",Q$5="-"),"",IFERROR(IF(INDEX(INDIRECT("'"&amp;$B21&amp;"'!$T$6:$T$205"),MATCH($AF21&amp;"|"&amp;Q$5,INDIRECT("'"&amp;$B21&amp;"'!$AF$6:$AF$205"),0))="","",INDEX(INDIRECT("'"&amp;$B21&amp;"'!$T$6:$T$205"),MATCH($AF21&amp;"|"&amp;Q$5,INDIRECT("'"&amp;$B21&amp;"'!$AF$6:$AF$205"),0))),"-"))</f>
        <v/>
      </c>
      <c r="R21" s="38">
        <f>IF(OR(AD21="",R$5="-"),"",IFERROR(IF(INDEX(INDIRECT("'"&amp;$B21&amp;"'!$T$6:$T$205"),MATCH($AF21&amp;"|"&amp;R$5,INDIRECT("'"&amp;$B21&amp;"'!$AF$6:$AF$205"),0))="","",INDEX(INDIRECT("'"&amp;$B21&amp;"'!$T$6:$T$205"),MATCH($AF21&amp;"|"&amp;R$5,INDIRECT("'"&amp;$B21&amp;"'!$AF$6:$AF$205"),0))),"-"))</f>
        <v/>
      </c>
      <c r="S21" s="38">
        <f>IF(OR(AD21="",S$5="-"),"",IFERROR(IF(INDEX(INDIRECT("'"&amp;$B21&amp;"'!$T$6:$T$205"),MATCH($AF21&amp;"|"&amp;S$5,INDIRECT("'"&amp;$B21&amp;"'!$AF$6:$AF$205"),0))="","",INDEX(INDIRECT("'"&amp;$B21&amp;"'!$T$6:$T$205"),MATCH($AF21&amp;"|"&amp;S$5,INDIRECT("'"&amp;$B21&amp;"'!$AF$6:$AF$205"),0))),"-"))</f>
        <v/>
      </c>
      <c r="T21" s="35">
        <f>IF(U21="","",INDEX($L$5:$O$5,MATCH(U21,L21:O21,0)))</f>
        <v/>
      </c>
      <c r="U21" s="37">
        <f>IF(COUNT(L21:O21)=0,"",MIN(L21:O21))</f>
        <v/>
      </c>
      <c r="V21" s="39">
        <f>IF(U21="","",U21*F21)</f>
        <v/>
      </c>
      <c r="W21" s="39">
        <f>IF(COUNT(L21:O21)&lt;2,"",(MAX(L21:O21)-MIN(L21:O21))*F21)</f>
        <v/>
      </c>
      <c r="X21" s="20" t="n"/>
      <c r="AD21">
        <f>IF(16&gt;MAX($AB$6:$AB$9),"",COUNTIF($AB$6:$AB$9,"&lt;"&amp;16)+1)</f>
        <v/>
      </c>
      <c r="AE21">
        <f>IF(AD21="","",16-INDEX($AC$6:$AC$9,AD21))</f>
        <v/>
      </c>
      <c r="AF21">
        <f>IF(AD21="","",INDEX(INDIRECT("'"&amp;$B21&amp;"'!$AE$6:$AE$205"),MATCH(AE21,INDIRECT("'"&amp;$B21&amp;"'!$AI$6:$AI$205"),0)))</f>
        <v/>
      </c>
    </row>
    <row r="22">
      <c r="A22" s="34">
        <f>IF(AD22="","",17)</f>
        <v/>
      </c>
      <c r="B22" s="35">
        <f>IF(AD22="","",INDEX($Z$6:$Z$9,AD22))</f>
        <v/>
      </c>
      <c r="C22" s="34">
        <f>IF(AD22="","",INDEX(INDIRECT("'"&amp;$B22&amp;"'!$B$6:$B$205"),MATCH($AF22,INDIRECT("'"&amp;$B22&amp;"'!$AE$6:$AE$205"),0)))</f>
        <v/>
      </c>
      <c r="D22" s="34">
        <f>IF(AD22="","",INDEX(INDIRECT("'"&amp;$B22&amp;"'!$D$6:$D$205"),MATCH($AF22,INDIRECT("'"&amp;$B22&amp;"'!$AE$6:$AE$205"),0)))</f>
        <v/>
      </c>
      <c r="E22" s="36">
        <f>IF(AD22="","",INDEX(INDIRECT("'"&amp;$B22&amp;"'!$F$6:$F$205"),MATCH($AF22,INDIRECT("'"&amp;$B22&amp;"'!$AE$6:$AE$205"),0)))</f>
        <v/>
      </c>
      <c r="F22" s="34">
        <f>IF(AD22="","",INDEX(INDIRECT("'"&amp;$B22&amp;"'!$K$6:$K$205"),MATCH($AF22,INDIRECT("'"&amp;$B22&amp;"'!$AE$6:$AE$205"),0)))</f>
        <v/>
      </c>
      <c r="G22" s="34">
        <f>IF(AD22="","",INDEX(INDIRECT("'"&amp;$B22&amp;"'!$L$6:$L$205"),MATCH($AF22,INDIRECT("'"&amp;$B22&amp;"'!$AE$6:$AE$205"),0)))</f>
        <v/>
      </c>
      <c r="H22" s="34">
        <f>IF(OR(AD22="",H$5="-"),"",IFERROR(IF(INDEX(INDIRECT("'"&amp;$B22&amp;"'!$N$6:$N$205"),MATCH($AF22&amp;"|"&amp;H$5,INDIRECT("'"&amp;$B22&amp;"'!$AF$6:$AF$205"),0))="","",INDEX(INDIRECT("'"&amp;$B22&amp;"'!$N$6:$N$205"),MATCH($AF22&amp;"|"&amp;H$5,INDIRECT("'"&amp;$B22&amp;"'!$AF$6:$AF$205"),0))),"-"))</f>
        <v/>
      </c>
      <c r="I22" s="34">
        <f>IF(OR(AD22="",I$5="-"),"",IFERROR(IF(INDEX(INDIRECT("'"&amp;$B22&amp;"'!$N$6:$N$205"),MATCH($AF22&amp;"|"&amp;I$5,INDIRECT("'"&amp;$B22&amp;"'!$AF$6:$AF$205"),0))="","",INDEX(INDIRECT("'"&amp;$B22&amp;"'!$N$6:$N$205"),MATCH($AF22&amp;"|"&amp;I$5,INDIRECT("'"&amp;$B22&amp;"'!$AF$6:$AF$205"),0))),"-"))</f>
        <v/>
      </c>
      <c r="J22" s="34">
        <f>IF(OR(AD22="",J$5="-"),"",IFERROR(IF(INDEX(INDIRECT("'"&amp;$B22&amp;"'!$N$6:$N$205"),MATCH($AF22&amp;"|"&amp;J$5,INDIRECT("'"&amp;$B22&amp;"'!$AF$6:$AF$205"),0))="","",INDEX(INDIRECT("'"&amp;$B22&amp;"'!$N$6:$N$205"),MATCH($AF22&amp;"|"&amp;J$5,INDIRECT("'"&amp;$B22&amp;"'!$AF$6:$AF$205"),0))),"-"))</f>
        <v/>
      </c>
      <c r="K22" s="34">
        <f>IF(OR(AD22="",K$5="-"),"",IFERROR(IF(INDEX(INDIRECT("'"&amp;$B22&amp;"'!$N$6:$N$205"),MATCH($AF22&amp;"|"&amp;K$5,INDIRECT("'"&amp;$B22&amp;"'!$AF$6:$AF$205"),0))="","",INDEX(INDIRECT("'"&amp;$B22&amp;"'!$N$6:$N$205"),MATCH($AF22&amp;"|"&amp;K$5,INDIRECT("'"&amp;$B22&amp;"'!$AF$6:$AF$205"),0))),"-"))</f>
        <v/>
      </c>
      <c r="L22" s="37">
        <f>IF(OR(AD22="",L$5="-"),"",IFERROR(IF(INDEX(INDIRECT("'"&amp;$B22&amp;"'!$R$6:$R$205"),MATCH($AF22&amp;"|"&amp;L$5,INDIRECT("'"&amp;$B22&amp;"'!$AF$6:$AF$205"),0))="","",INDEX(INDIRECT("'"&amp;$B22&amp;"'!$R$6:$R$205"),MATCH($AF22&amp;"|"&amp;L$5,INDIRECT("'"&amp;$B22&amp;"'!$AF$6:$AF$205"),0))),"-"))</f>
        <v/>
      </c>
      <c r="M22" s="37">
        <f>IF(OR(AD22="",M$5="-"),"",IFERROR(IF(INDEX(INDIRECT("'"&amp;$B22&amp;"'!$R$6:$R$205"),MATCH($AF22&amp;"|"&amp;M$5,INDIRECT("'"&amp;$B22&amp;"'!$AF$6:$AF$205"),0))="","",INDEX(INDIRECT("'"&amp;$B22&amp;"'!$R$6:$R$205"),MATCH($AF22&amp;"|"&amp;M$5,INDIRECT("'"&amp;$B22&amp;"'!$AF$6:$AF$205"),0))),"-"))</f>
        <v/>
      </c>
      <c r="N22" s="37">
        <f>IF(OR(AD22="",N$5="-"),"",IFERROR(IF(INDEX(INDIRECT("'"&amp;$B22&amp;"'!$R$6:$R$205"),MATCH($AF22&amp;"|"&amp;N$5,INDIRECT("'"&amp;$B22&amp;"'!$AF$6:$AF$205"),0))="","",INDEX(INDIRECT("'"&amp;$B22&amp;"'!$R$6:$R$205"),MATCH($AF22&amp;"|"&amp;N$5,INDIRECT("'"&amp;$B22&amp;"'!$AF$6:$AF$205"),0))),"-"))</f>
        <v/>
      </c>
      <c r="O22" s="37">
        <f>IF(OR(AD22="",O$5="-"),"",IFERROR(IF(INDEX(INDIRECT("'"&amp;$B22&amp;"'!$R$6:$R$205"),MATCH($AF22&amp;"|"&amp;O$5,INDIRECT("'"&amp;$B22&amp;"'!$AF$6:$AF$205"),0))="","",INDEX(INDIRECT("'"&amp;$B22&amp;"'!$R$6:$R$205"),MATCH($AF22&amp;"|"&amp;O$5,INDIRECT("'"&amp;$B22&amp;"'!$AF$6:$AF$205"),0))),"-"))</f>
        <v/>
      </c>
      <c r="P22" s="38">
        <f>IF(OR(AD22="",P$5="-"),"",IFERROR(IF(INDEX(INDIRECT("'"&amp;$B22&amp;"'!$T$6:$T$205"),MATCH($AF22&amp;"|"&amp;P$5,INDIRECT("'"&amp;$B22&amp;"'!$AF$6:$AF$205"),0))="","",INDEX(INDIRECT("'"&amp;$B22&amp;"'!$T$6:$T$205"),MATCH($AF22&amp;"|"&amp;P$5,INDIRECT("'"&amp;$B22&amp;"'!$AF$6:$AF$205"),0))),"-"))</f>
        <v/>
      </c>
      <c r="Q22" s="38">
        <f>IF(OR(AD22="",Q$5="-"),"",IFERROR(IF(INDEX(INDIRECT("'"&amp;$B22&amp;"'!$T$6:$T$205"),MATCH($AF22&amp;"|"&amp;Q$5,INDIRECT("'"&amp;$B22&amp;"'!$AF$6:$AF$205"),0))="","",INDEX(INDIRECT("'"&amp;$B22&amp;"'!$T$6:$T$205"),MATCH($AF22&amp;"|"&amp;Q$5,INDIRECT("'"&amp;$B22&amp;"'!$AF$6:$AF$205"),0))),"-"))</f>
        <v/>
      </c>
      <c r="R22" s="38">
        <f>IF(OR(AD22="",R$5="-"),"",IFERROR(IF(INDEX(INDIRECT("'"&amp;$B22&amp;"'!$T$6:$T$205"),MATCH($AF22&amp;"|"&amp;R$5,INDIRECT("'"&amp;$B22&amp;"'!$AF$6:$AF$205"),0))="","",INDEX(INDIRECT("'"&amp;$B22&amp;"'!$T$6:$T$205"),MATCH($AF22&amp;"|"&amp;R$5,INDIRECT("'"&amp;$B22&amp;"'!$AF$6:$AF$205"),0))),"-"))</f>
        <v/>
      </c>
      <c r="S22" s="38">
        <f>IF(OR(AD22="",S$5="-"),"",IFERROR(IF(INDEX(INDIRECT("'"&amp;$B22&amp;"'!$T$6:$T$205"),MATCH($AF22&amp;"|"&amp;S$5,INDIRECT("'"&amp;$B22&amp;"'!$AF$6:$AF$205"),0))="","",INDEX(INDIRECT("'"&amp;$B22&amp;"'!$T$6:$T$205"),MATCH($AF22&amp;"|"&amp;S$5,INDIRECT("'"&amp;$B22&amp;"'!$AF$6:$AF$205"),0))),"-"))</f>
        <v/>
      </c>
      <c r="T22" s="35">
        <f>IF(U22="","",INDEX($L$5:$O$5,MATCH(U22,L22:O22,0)))</f>
        <v/>
      </c>
      <c r="U22" s="37">
        <f>IF(COUNT(L22:O22)=0,"",MIN(L22:O22))</f>
        <v/>
      </c>
      <c r="V22" s="39">
        <f>IF(U22="","",U22*F22)</f>
        <v/>
      </c>
      <c r="W22" s="39">
        <f>IF(COUNT(L22:O22)&lt;2,"",(MAX(L22:O22)-MIN(L22:O22))*F22)</f>
        <v/>
      </c>
      <c r="X22" s="20" t="n"/>
      <c r="AD22">
        <f>IF(17&gt;MAX($AB$6:$AB$9),"",COUNTIF($AB$6:$AB$9,"&lt;"&amp;17)+1)</f>
        <v/>
      </c>
      <c r="AE22">
        <f>IF(AD22="","",17-INDEX($AC$6:$AC$9,AD22))</f>
        <v/>
      </c>
      <c r="AF22">
        <f>IF(AD22="","",INDEX(INDIRECT("'"&amp;$B22&amp;"'!$AE$6:$AE$205"),MATCH(AE22,INDIRECT("'"&amp;$B22&amp;"'!$AI$6:$AI$205"),0)))</f>
        <v/>
      </c>
    </row>
    <row r="23">
      <c r="A23" s="34">
        <f>IF(AD23="","",18)</f>
        <v/>
      </c>
      <c r="B23" s="35">
        <f>IF(AD23="","",INDEX($Z$6:$Z$9,AD23))</f>
        <v/>
      </c>
      <c r="C23" s="34">
        <f>IF(AD23="","",INDEX(INDIRECT("'"&amp;$B23&amp;"'!$B$6:$B$205"),MATCH($AF23,INDIRECT("'"&amp;$B23&amp;"'!$AE$6:$AE$205"),0)))</f>
        <v/>
      </c>
      <c r="D23" s="34">
        <f>IF(AD23="","",INDEX(INDIRECT("'"&amp;$B23&amp;"'!$D$6:$D$205"),MATCH($AF23,INDIRECT("'"&amp;$B23&amp;"'!$AE$6:$AE$205"),0)))</f>
        <v/>
      </c>
      <c r="E23" s="36">
        <f>IF(AD23="","",INDEX(INDIRECT("'"&amp;$B23&amp;"'!$F$6:$F$205"),MATCH($AF23,INDIRECT("'"&amp;$B23&amp;"'!$AE$6:$AE$205"),0)))</f>
        <v/>
      </c>
      <c r="F23" s="34">
        <f>IF(AD23="","",INDEX(INDIRECT("'"&amp;$B23&amp;"'!$K$6:$K$205"),MATCH($AF23,INDIRECT("'"&amp;$B23&amp;"'!$AE$6:$AE$205"),0)))</f>
        <v/>
      </c>
      <c r="G23" s="34">
        <f>IF(AD23="","",INDEX(INDIRECT("'"&amp;$B23&amp;"'!$L$6:$L$205"),MATCH($AF23,INDIRECT("'"&amp;$B23&amp;"'!$AE$6:$AE$205"),0)))</f>
        <v/>
      </c>
      <c r="H23" s="34">
        <f>IF(OR(AD23="",H$5="-"),"",IFERROR(IF(INDEX(INDIRECT("'"&amp;$B23&amp;"'!$N$6:$N$205"),MATCH($AF23&amp;"|"&amp;H$5,INDIRECT("'"&amp;$B23&amp;"'!$AF$6:$AF$205"),0))="","",INDEX(INDIRECT("'"&amp;$B23&amp;"'!$N$6:$N$205"),MATCH($AF23&amp;"|"&amp;H$5,INDIRECT("'"&amp;$B23&amp;"'!$AF$6:$AF$205"),0))),"-"))</f>
        <v/>
      </c>
      <c r="I23" s="34">
        <f>IF(OR(AD23="",I$5="-"),"",IFERROR(IF(INDEX(INDIRECT("'"&amp;$B23&amp;"'!$N$6:$N$205"),MATCH($AF23&amp;"|"&amp;I$5,INDIRECT("'"&amp;$B23&amp;"'!$AF$6:$AF$205"),0))="","",INDEX(INDIRECT("'"&amp;$B23&amp;"'!$N$6:$N$205"),MATCH($AF23&amp;"|"&amp;I$5,INDIRECT("'"&amp;$B23&amp;"'!$AF$6:$AF$205"),0))),"-"))</f>
        <v/>
      </c>
      <c r="J23" s="34">
        <f>IF(OR(AD23="",J$5="-"),"",IFERROR(IF(INDEX(INDIRECT("'"&amp;$B23&amp;"'!$N$6:$N$205"),MATCH($AF23&amp;"|"&amp;J$5,INDIRECT("'"&amp;$B23&amp;"'!$AF$6:$AF$205"),0))="","",INDEX(INDIRECT("'"&amp;$B23&amp;"'!$N$6:$N$205"),MATCH($AF23&amp;"|"&amp;J$5,INDIRECT("'"&amp;$B23&amp;"'!$AF$6:$AF$205"),0))),"-"))</f>
        <v/>
      </c>
      <c r="K23" s="34">
        <f>IF(OR(AD23="",K$5="-"),"",IFERROR(IF(INDEX(INDIRECT("'"&amp;$B23&amp;"'!$N$6:$N$205"),MATCH($AF23&amp;"|"&amp;K$5,INDIRECT("'"&amp;$B23&amp;"'!$AF$6:$AF$205"),0))="","",INDEX(INDIRECT("'"&amp;$B23&amp;"'!$N$6:$N$205"),MATCH($AF23&amp;"|"&amp;K$5,INDIRECT("'"&amp;$B23&amp;"'!$AF$6:$AF$205"),0))),"-"))</f>
        <v/>
      </c>
      <c r="L23" s="37">
        <f>IF(OR(AD23="",L$5="-"),"",IFERROR(IF(INDEX(INDIRECT("'"&amp;$B23&amp;"'!$R$6:$R$205"),MATCH($AF23&amp;"|"&amp;L$5,INDIRECT("'"&amp;$B23&amp;"'!$AF$6:$AF$205"),0))="","",INDEX(INDIRECT("'"&amp;$B23&amp;"'!$R$6:$R$205"),MATCH($AF23&amp;"|"&amp;L$5,INDIRECT("'"&amp;$B23&amp;"'!$AF$6:$AF$205"),0))),"-"))</f>
        <v/>
      </c>
      <c r="M23" s="37">
        <f>IF(OR(AD23="",M$5="-"),"",IFERROR(IF(INDEX(INDIRECT("'"&amp;$B23&amp;"'!$R$6:$R$205"),MATCH($AF23&amp;"|"&amp;M$5,INDIRECT("'"&amp;$B23&amp;"'!$AF$6:$AF$205"),0))="","",INDEX(INDIRECT("'"&amp;$B23&amp;"'!$R$6:$R$205"),MATCH($AF23&amp;"|"&amp;M$5,INDIRECT("'"&amp;$B23&amp;"'!$AF$6:$AF$205"),0))),"-"))</f>
        <v/>
      </c>
      <c r="N23" s="37">
        <f>IF(OR(AD23="",N$5="-"),"",IFERROR(IF(INDEX(INDIRECT("'"&amp;$B23&amp;"'!$R$6:$R$205"),MATCH($AF23&amp;"|"&amp;N$5,INDIRECT("'"&amp;$B23&amp;"'!$AF$6:$AF$205"),0))="","",INDEX(INDIRECT("'"&amp;$B23&amp;"'!$R$6:$R$205"),MATCH($AF23&amp;"|"&amp;N$5,INDIRECT("'"&amp;$B23&amp;"'!$AF$6:$AF$205"),0))),"-"))</f>
        <v/>
      </c>
      <c r="O23" s="37">
        <f>IF(OR(AD23="",O$5="-"),"",IFERROR(IF(INDEX(INDIRECT("'"&amp;$B23&amp;"'!$R$6:$R$205"),MATCH($AF23&amp;"|"&amp;O$5,INDIRECT("'"&amp;$B23&amp;"'!$AF$6:$AF$205"),0))="","",INDEX(INDIRECT("'"&amp;$B23&amp;"'!$R$6:$R$205"),MATCH($AF23&amp;"|"&amp;O$5,INDIRECT("'"&amp;$B23&amp;"'!$AF$6:$AF$205"),0))),"-"))</f>
        <v/>
      </c>
      <c r="P23" s="38">
        <f>IF(OR(AD23="",P$5="-"),"",IFERROR(IF(INDEX(INDIRECT("'"&amp;$B23&amp;"'!$T$6:$T$205"),MATCH($AF23&amp;"|"&amp;P$5,INDIRECT("'"&amp;$B23&amp;"'!$AF$6:$AF$205"),0))="","",INDEX(INDIRECT("'"&amp;$B23&amp;"'!$T$6:$T$205"),MATCH($AF23&amp;"|"&amp;P$5,INDIRECT("'"&amp;$B23&amp;"'!$AF$6:$AF$205"),0))),"-"))</f>
        <v/>
      </c>
      <c r="Q23" s="38">
        <f>IF(OR(AD23="",Q$5="-"),"",IFERROR(IF(INDEX(INDIRECT("'"&amp;$B23&amp;"'!$T$6:$T$205"),MATCH($AF23&amp;"|"&amp;Q$5,INDIRECT("'"&amp;$B23&amp;"'!$AF$6:$AF$205"),0))="","",INDEX(INDIRECT("'"&amp;$B23&amp;"'!$T$6:$T$205"),MATCH($AF23&amp;"|"&amp;Q$5,INDIRECT("'"&amp;$B23&amp;"'!$AF$6:$AF$205"),0))),"-"))</f>
        <v/>
      </c>
      <c r="R23" s="38">
        <f>IF(OR(AD23="",R$5="-"),"",IFERROR(IF(INDEX(INDIRECT("'"&amp;$B23&amp;"'!$T$6:$T$205"),MATCH($AF23&amp;"|"&amp;R$5,INDIRECT("'"&amp;$B23&amp;"'!$AF$6:$AF$205"),0))="","",INDEX(INDIRECT("'"&amp;$B23&amp;"'!$T$6:$T$205"),MATCH($AF23&amp;"|"&amp;R$5,INDIRECT("'"&amp;$B23&amp;"'!$AF$6:$AF$205"),0))),"-"))</f>
        <v/>
      </c>
      <c r="S23" s="38">
        <f>IF(OR(AD23="",S$5="-"),"",IFERROR(IF(INDEX(INDIRECT("'"&amp;$B23&amp;"'!$T$6:$T$205"),MATCH($AF23&amp;"|"&amp;S$5,INDIRECT("'"&amp;$B23&amp;"'!$AF$6:$AF$205"),0))="","",INDEX(INDIRECT("'"&amp;$B23&amp;"'!$T$6:$T$205"),MATCH($AF23&amp;"|"&amp;S$5,INDIRECT("'"&amp;$B23&amp;"'!$AF$6:$AF$205"),0))),"-"))</f>
        <v/>
      </c>
      <c r="T23" s="35">
        <f>IF(U23="","",INDEX($L$5:$O$5,MATCH(U23,L23:O23,0)))</f>
        <v/>
      </c>
      <c r="U23" s="37">
        <f>IF(COUNT(L23:O23)=0,"",MIN(L23:O23))</f>
        <v/>
      </c>
      <c r="V23" s="39">
        <f>IF(U23="","",U23*F23)</f>
        <v/>
      </c>
      <c r="W23" s="39">
        <f>IF(COUNT(L23:O23)&lt;2,"",(MAX(L23:O23)-MIN(L23:O23))*F23)</f>
        <v/>
      </c>
      <c r="X23" s="20" t="n"/>
      <c r="AD23">
        <f>IF(18&gt;MAX($AB$6:$AB$9),"",COUNTIF($AB$6:$AB$9,"&lt;"&amp;18)+1)</f>
        <v/>
      </c>
      <c r="AE23">
        <f>IF(AD23="","",18-INDEX($AC$6:$AC$9,AD23))</f>
        <v/>
      </c>
      <c r="AF23">
        <f>IF(AD23="","",INDEX(INDIRECT("'"&amp;$B23&amp;"'!$AE$6:$AE$205"),MATCH(AE23,INDIRECT("'"&amp;$B23&amp;"'!$AI$6:$AI$205"),0)))</f>
        <v/>
      </c>
    </row>
    <row r="24">
      <c r="A24" s="34">
        <f>IF(AD24="","",19)</f>
        <v/>
      </c>
      <c r="B24" s="35">
        <f>IF(AD24="","",INDEX($Z$6:$Z$9,AD24))</f>
        <v/>
      </c>
      <c r="C24" s="34">
        <f>IF(AD24="","",INDEX(INDIRECT("'"&amp;$B24&amp;"'!$B$6:$B$205"),MATCH($AF24,INDIRECT("'"&amp;$B24&amp;"'!$AE$6:$AE$205"),0)))</f>
        <v/>
      </c>
      <c r="D24" s="34">
        <f>IF(AD24="","",INDEX(INDIRECT("'"&amp;$B24&amp;"'!$D$6:$D$205"),MATCH($AF24,INDIRECT("'"&amp;$B24&amp;"'!$AE$6:$AE$205"),0)))</f>
        <v/>
      </c>
      <c r="E24" s="36">
        <f>IF(AD24="","",INDEX(INDIRECT("'"&amp;$B24&amp;"'!$F$6:$F$205"),MATCH($AF24,INDIRECT("'"&amp;$B24&amp;"'!$AE$6:$AE$205"),0)))</f>
        <v/>
      </c>
      <c r="F24" s="34">
        <f>IF(AD24="","",INDEX(INDIRECT("'"&amp;$B24&amp;"'!$K$6:$K$205"),MATCH($AF24,INDIRECT("'"&amp;$B24&amp;"'!$AE$6:$AE$205"),0)))</f>
        <v/>
      </c>
      <c r="G24" s="34">
        <f>IF(AD24="","",INDEX(INDIRECT("'"&amp;$B24&amp;"'!$L$6:$L$205"),MATCH($AF24,INDIRECT("'"&amp;$B24&amp;"'!$AE$6:$AE$205"),0)))</f>
        <v/>
      </c>
      <c r="H24" s="34">
        <f>IF(OR(AD24="",H$5="-"),"",IFERROR(IF(INDEX(INDIRECT("'"&amp;$B24&amp;"'!$N$6:$N$205"),MATCH($AF24&amp;"|"&amp;H$5,INDIRECT("'"&amp;$B24&amp;"'!$AF$6:$AF$205"),0))="","",INDEX(INDIRECT("'"&amp;$B24&amp;"'!$N$6:$N$205"),MATCH($AF24&amp;"|"&amp;H$5,INDIRECT("'"&amp;$B24&amp;"'!$AF$6:$AF$205"),0))),"-"))</f>
        <v/>
      </c>
      <c r="I24" s="34">
        <f>IF(OR(AD24="",I$5="-"),"",IFERROR(IF(INDEX(INDIRECT("'"&amp;$B24&amp;"'!$N$6:$N$205"),MATCH($AF24&amp;"|"&amp;I$5,INDIRECT("'"&amp;$B24&amp;"'!$AF$6:$AF$205"),0))="","",INDEX(INDIRECT("'"&amp;$B24&amp;"'!$N$6:$N$205"),MATCH($AF24&amp;"|"&amp;I$5,INDIRECT("'"&amp;$B24&amp;"'!$AF$6:$AF$205"),0))),"-"))</f>
        <v/>
      </c>
      <c r="J24" s="34">
        <f>IF(OR(AD24="",J$5="-"),"",IFERROR(IF(INDEX(INDIRECT("'"&amp;$B24&amp;"'!$N$6:$N$205"),MATCH($AF24&amp;"|"&amp;J$5,INDIRECT("'"&amp;$B24&amp;"'!$AF$6:$AF$205"),0))="","",INDEX(INDIRECT("'"&amp;$B24&amp;"'!$N$6:$N$205"),MATCH($AF24&amp;"|"&amp;J$5,INDIRECT("'"&amp;$B24&amp;"'!$AF$6:$AF$205"),0))),"-"))</f>
        <v/>
      </c>
      <c r="K24" s="34">
        <f>IF(OR(AD24="",K$5="-"),"",IFERROR(IF(INDEX(INDIRECT("'"&amp;$B24&amp;"'!$N$6:$N$205"),MATCH($AF24&amp;"|"&amp;K$5,INDIRECT("'"&amp;$B24&amp;"'!$AF$6:$AF$205"),0))="","",INDEX(INDIRECT("'"&amp;$B24&amp;"'!$N$6:$N$205"),MATCH($AF24&amp;"|"&amp;K$5,INDIRECT("'"&amp;$B24&amp;"'!$AF$6:$AF$205"),0))),"-"))</f>
        <v/>
      </c>
      <c r="L24" s="37">
        <f>IF(OR(AD24="",L$5="-"),"",IFERROR(IF(INDEX(INDIRECT("'"&amp;$B24&amp;"'!$R$6:$R$205"),MATCH($AF24&amp;"|"&amp;L$5,INDIRECT("'"&amp;$B24&amp;"'!$AF$6:$AF$205"),0))="","",INDEX(INDIRECT("'"&amp;$B24&amp;"'!$R$6:$R$205"),MATCH($AF24&amp;"|"&amp;L$5,INDIRECT("'"&amp;$B24&amp;"'!$AF$6:$AF$205"),0))),"-"))</f>
        <v/>
      </c>
      <c r="M24" s="37">
        <f>IF(OR(AD24="",M$5="-"),"",IFERROR(IF(INDEX(INDIRECT("'"&amp;$B24&amp;"'!$R$6:$R$205"),MATCH($AF24&amp;"|"&amp;M$5,INDIRECT("'"&amp;$B24&amp;"'!$AF$6:$AF$205"),0))="","",INDEX(INDIRECT("'"&amp;$B24&amp;"'!$R$6:$R$205"),MATCH($AF24&amp;"|"&amp;M$5,INDIRECT("'"&amp;$B24&amp;"'!$AF$6:$AF$205"),0))),"-"))</f>
        <v/>
      </c>
      <c r="N24" s="37">
        <f>IF(OR(AD24="",N$5="-"),"",IFERROR(IF(INDEX(INDIRECT("'"&amp;$B24&amp;"'!$R$6:$R$205"),MATCH($AF24&amp;"|"&amp;N$5,INDIRECT("'"&amp;$B24&amp;"'!$AF$6:$AF$205"),0))="","",INDEX(INDIRECT("'"&amp;$B24&amp;"'!$R$6:$R$205"),MATCH($AF24&amp;"|"&amp;N$5,INDIRECT("'"&amp;$B24&amp;"'!$AF$6:$AF$205"),0))),"-"))</f>
        <v/>
      </c>
      <c r="O24" s="37">
        <f>IF(OR(AD24="",O$5="-"),"",IFERROR(IF(INDEX(INDIRECT("'"&amp;$B24&amp;"'!$R$6:$R$205"),MATCH($AF24&amp;"|"&amp;O$5,INDIRECT("'"&amp;$B24&amp;"'!$AF$6:$AF$205"),0))="","",INDEX(INDIRECT("'"&amp;$B24&amp;"'!$R$6:$R$205"),MATCH($AF24&amp;"|"&amp;O$5,INDIRECT("'"&amp;$B24&amp;"'!$AF$6:$AF$205"),0))),"-"))</f>
        <v/>
      </c>
      <c r="P24" s="38">
        <f>IF(OR(AD24="",P$5="-"),"",IFERROR(IF(INDEX(INDIRECT("'"&amp;$B24&amp;"'!$T$6:$T$205"),MATCH($AF24&amp;"|"&amp;P$5,INDIRECT("'"&amp;$B24&amp;"'!$AF$6:$AF$205"),0))="","",INDEX(INDIRECT("'"&amp;$B24&amp;"'!$T$6:$T$205"),MATCH($AF24&amp;"|"&amp;P$5,INDIRECT("'"&amp;$B24&amp;"'!$AF$6:$AF$205"),0))),"-"))</f>
        <v/>
      </c>
      <c r="Q24" s="38">
        <f>IF(OR(AD24="",Q$5="-"),"",IFERROR(IF(INDEX(INDIRECT("'"&amp;$B24&amp;"'!$T$6:$T$205"),MATCH($AF24&amp;"|"&amp;Q$5,INDIRECT("'"&amp;$B24&amp;"'!$AF$6:$AF$205"),0))="","",INDEX(INDIRECT("'"&amp;$B24&amp;"'!$T$6:$T$205"),MATCH($AF24&amp;"|"&amp;Q$5,INDIRECT("'"&amp;$B24&amp;"'!$AF$6:$AF$205"),0))),"-"))</f>
        <v/>
      </c>
      <c r="R24" s="38">
        <f>IF(OR(AD24="",R$5="-"),"",IFERROR(IF(INDEX(INDIRECT("'"&amp;$B24&amp;"'!$T$6:$T$205"),MATCH($AF24&amp;"|"&amp;R$5,INDIRECT("'"&amp;$B24&amp;"'!$AF$6:$AF$205"),0))="","",INDEX(INDIRECT("'"&amp;$B24&amp;"'!$T$6:$T$205"),MATCH($AF24&amp;"|"&amp;R$5,INDIRECT("'"&amp;$B24&amp;"'!$AF$6:$AF$205"),0))),"-"))</f>
        <v/>
      </c>
      <c r="S24" s="38">
        <f>IF(OR(AD24="",S$5="-"),"",IFERROR(IF(INDEX(INDIRECT("'"&amp;$B24&amp;"'!$T$6:$T$205"),MATCH($AF24&amp;"|"&amp;S$5,INDIRECT("'"&amp;$B24&amp;"'!$AF$6:$AF$205"),0))="","",INDEX(INDIRECT("'"&amp;$B24&amp;"'!$T$6:$T$205"),MATCH($AF24&amp;"|"&amp;S$5,INDIRECT("'"&amp;$B24&amp;"'!$AF$6:$AF$205"),0))),"-"))</f>
        <v/>
      </c>
      <c r="T24" s="35">
        <f>IF(U24="","",INDEX($L$5:$O$5,MATCH(U24,L24:O24,0)))</f>
        <v/>
      </c>
      <c r="U24" s="37">
        <f>IF(COUNT(L24:O24)=0,"",MIN(L24:O24))</f>
        <v/>
      </c>
      <c r="V24" s="39">
        <f>IF(U24="","",U24*F24)</f>
        <v/>
      </c>
      <c r="W24" s="39">
        <f>IF(COUNT(L24:O24)&lt;2,"",(MAX(L24:O24)-MIN(L24:O24))*F24)</f>
        <v/>
      </c>
      <c r="X24" s="20" t="n"/>
      <c r="AD24">
        <f>IF(19&gt;MAX($AB$6:$AB$9),"",COUNTIF($AB$6:$AB$9,"&lt;"&amp;19)+1)</f>
        <v/>
      </c>
      <c r="AE24">
        <f>IF(AD24="","",19-INDEX($AC$6:$AC$9,AD24))</f>
        <v/>
      </c>
      <c r="AF24">
        <f>IF(AD24="","",INDEX(INDIRECT("'"&amp;$B24&amp;"'!$AE$6:$AE$205"),MATCH(AE24,INDIRECT("'"&amp;$B24&amp;"'!$AI$6:$AI$205"),0)))</f>
        <v/>
      </c>
    </row>
    <row r="25">
      <c r="A25" s="34">
        <f>IF(AD25="","",20)</f>
        <v/>
      </c>
      <c r="B25" s="35">
        <f>IF(AD25="","",INDEX($Z$6:$Z$9,AD25))</f>
        <v/>
      </c>
      <c r="C25" s="34">
        <f>IF(AD25="","",INDEX(INDIRECT("'"&amp;$B25&amp;"'!$B$6:$B$205"),MATCH($AF25,INDIRECT("'"&amp;$B25&amp;"'!$AE$6:$AE$205"),0)))</f>
        <v/>
      </c>
      <c r="D25" s="34">
        <f>IF(AD25="","",INDEX(INDIRECT("'"&amp;$B25&amp;"'!$D$6:$D$205"),MATCH($AF25,INDIRECT("'"&amp;$B25&amp;"'!$AE$6:$AE$205"),0)))</f>
        <v/>
      </c>
      <c r="E25" s="36">
        <f>IF(AD25="","",INDEX(INDIRECT("'"&amp;$B25&amp;"'!$F$6:$F$205"),MATCH($AF25,INDIRECT("'"&amp;$B25&amp;"'!$AE$6:$AE$205"),0)))</f>
        <v/>
      </c>
      <c r="F25" s="34">
        <f>IF(AD25="","",INDEX(INDIRECT("'"&amp;$B25&amp;"'!$K$6:$K$205"),MATCH($AF25,INDIRECT("'"&amp;$B25&amp;"'!$AE$6:$AE$205"),0)))</f>
        <v/>
      </c>
      <c r="G25" s="34">
        <f>IF(AD25="","",INDEX(INDIRECT("'"&amp;$B25&amp;"'!$L$6:$L$205"),MATCH($AF25,INDIRECT("'"&amp;$B25&amp;"'!$AE$6:$AE$205"),0)))</f>
        <v/>
      </c>
      <c r="H25" s="34">
        <f>IF(OR(AD25="",H$5="-"),"",IFERROR(IF(INDEX(INDIRECT("'"&amp;$B25&amp;"'!$N$6:$N$205"),MATCH($AF25&amp;"|"&amp;H$5,INDIRECT("'"&amp;$B25&amp;"'!$AF$6:$AF$205"),0))="","",INDEX(INDIRECT("'"&amp;$B25&amp;"'!$N$6:$N$205"),MATCH($AF25&amp;"|"&amp;H$5,INDIRECT("'"&amp;$B25&amp;"'!$AF$6:$AF$205"),0))),"-"))</f>
        <v/>
      </c>
      <c r="I25" s="34">
        <f>IF(OR(AD25="",I$5="-"),"",IFERROR(IF(INDEX(INDIRECT("'"&amp;$B25&amp;"'!$N$6:$N$205"),MATCH($AF25&amp;"|"&amp;I$5,INDIRECT("'"&amp;$B25&amp;"'!$AF$6:$AF$205"),0))="","",INDEX(INDIRECT("'"&amp;$B25&amp;"'!$N$6:$N$205"),MATCH($AF25&amp;"|"&amp;I$5,INDIRECT("'"&amp;$B25&amp;"'!$AF$6:$AF$205"),0))),"-"))</f>
        <v/>
      </c>
      <c r="J25" s="34">
        <f>IF(OR(AD25="",J$5="-"),"",IFERROR(IF(INDEX(INDIRECT("'"&amp;$B25&amp;"'!$N$6:$N$205"),MATCH($AF25&amp;"|"&amp;J$5,INDIRECT("'"&amp;$B25&amp;"'!$AF$6:$AF$205"),0))="","",INDEX(INDIRECT("'"&amp;$B25&amp;"'!$N$6:$N$205"),MATCH($AF25&amp;"|"&amp;J$5,INDIRECT("'"&amp;$B25&amp;"'!$AF$6:$AF$205"),0))),"-"))</f>
        <v/>
      </c>
      <c r="K25" s="34">
        <f>IF(OR(AD25="",K$5="-"),"",IFERROR(IF(INDEX(INDIRECT("'"&amp;$B25&amp;"'!$N$6:$N$205"),MATCH($AF25&amp;"|"&amp;K$5,INDIRECT("'"&amp;$B25&amp;"'!$AF$6:$AF$205"),0))="","",INDEX(INDIRECT("'"&amp;$B25&amp;"'!$N$6:$N$205"),MATCH($AF25&amp;"|"&amp;K$5,INDIRECT("'"&amp;$B25&amp;"'!$AF$6:$AF$205"),0))),"-"))</f>
        <v/>
      </c>
      <c r="L25" s="37">
        <f>IF(OR(AD25="",L$5="-"),"",IFERROR(IF(INDEX(INDIRECT("'"&amp;$B25&amp;"'!$R$6:$R$205"),MATCH($AF25&amp;"|"&amp;L$5,INDIRECT("'"&amp;$B25&amp;"'!$AF$6:$AF$205"),0))="","",INDEX(INDIRECT("'"&amp;$B25&amp;"'!$R$6:$R$205"),MATCH($AF25&amp;"|"&amp;L$5,INDIRECT("'"&amp;$B25&amp;"'!$AF$6:$AF$205"),0))),"-"))</f>
        <v/>
      </c>
      <c r="M25" s="37">
        <f>IF(OR(AD25="",M$5="-"),"",IFERROR(IF(INDEX(INDIRECT("'"&amp;$B25&amp;"'!$R$6:$R$205"),MATCH($AF25&amp;"|"&amp;M$5,INDIRECT("'"&amp;$B25&amp;"'!$AF$6:$AF$205"),0))="","",INDEX(INDIRECT("'"&amp;$B25&amp;"'!$R$6:$R$205"),MATCH($AF25&amp;"|"&amp;M$5,INDIRECT("'"&amp;$B25&amp;"'!$AF$6:$AF$205"),0))),"-"))</f>
        <v/>
      </c>
      <c r="N25" s="37">
        <f>IF(OR(AD25="",N$5="-"),"",IFERROR(IF(INDEX(INDIRECT("'"&amp;$B25&amp;"'!$R$6:$R$205"),MATCH($AF25&amp;"|"&amp;N$5,INDIRECT("'"&amp;$B25&amp;"'!$AF$6:$AF$205"),0))="","",INDEX(INDIRECT("'"&amp;$B25&amp;"'!$R$6:$R$205"),MATCH($AF25&amp;"|"&amp;N$5,INDIRECT("'"&amp;$B25&amp;"'!$AF$6:$AF$205"),0))),"-"))</f>
        <v/>
      </c>
      <c r="O25" s="37">
        <f>IF(OR(AD25="",O$5="-"),"",IFERROR(IF(INDEX(INDIRECT("'"&amp;$B25&amp;"'!$R$6:$R$205"),MATCH($AF25&amp;"|"&amp;O$5,INDIRECT("'"&amp;$B25&amp;"'!$AF$6:$AF$205"),0))="","",INDEX(INDIRECT("'"&amp;$B25&amp;"'!$R$6:$R$205"),MATCH($AF25&amp;"|"&amp;O$5,INDIRECT("'"&amp;$B25&amp;"'!$AF$6:$AF$205"),0))),"-"))</f>
        <v/>
      </c>
      <c r="P25" s="38">
        <f>IF(OR(AD25="",P$5="-"),"",IFERROR(IF(INDEX(INDIRECT("'"&amp;$B25&amp;"'!$T$6:$T$205"),MATCH($AF25&amp;"|"&amp;P$5,INDIRECT("'"&amp;$B25&amp;"'!$AF$6:$AF$205"),0))="","",INDEX(INDIRECT("'"&amp;$B25&amp;"'!$T$6:$T$205"),MATCH($AF25&amp;"|"&amp;P$5,INDIRECT("'"&amp;$B25&amp;"'!$AF$6:$AF$205"),0))),"-"))</f>
        <v/>
      </c>
      <c r="Q25" s="38">
        <f>IF(OR(AD25="",Q$5="-"),"",IFERROR(IF(INDEX(INDIRECT("'"&amp;$B25&amp;"'!$T$6:$T$205"),MATCH($AF25&amp;"|"&amp;Q$5,INDIRECT("'"&amp;$B25&amp;"'!$AF$6:$AF$205"),0))="","",INDEX(INDIRECT("'"&amp;$B25&amp;"'!$T$6:$T$205"),MATCH($AF25&amp;"|"&amp;Q$5,INDIRECT("'"&amp;$B25&amp;"'!$AF$6:$AF$205"),0))),"-"))</f>
        <v/>
      </c>
      <c r="R25" s="38">
        <f>IF(OR(AD25="",R$5="-"),"",IFERROR(IF(INDEX(INDIRECT("'"&amp;$B25&amp;"'!$T$6:$T$205"),MATCH($AF25&amp;"|"&amp;R$5,INDIRECT("'"&amp;$B25&amp;"'!$AF$6:$AF$205"),0))="","",INDEX(INDIRECT("'"&amp;$B25&amp;"'!$T$6:$T$205"),MATCH($AF25&amp;"|"&amp;R$5,INDIRECT("'"&amp;$B25&amp;"'!$AF$6:$AF$205"),0))),"-"))</f>
        <v/>
      </c>
      <c r="S25" s="38">
        <f>IF(OR(AD25="",S$5="-"),"",IFERROR(IF(INDEX(INDIRECT("'"&amp;$B25&amp;"'!$T$6:$T$205"),MATCH($AF25&amp;"|"&amp;S$5,INDIRECT("'"&amp;$B25&amp;"'!$AF$6:$AF$205"),0))="","",INDEX(INDIRECT("'"&amp;$B25&amp;"'!$T$6:$T$205"),MATCH($AF25&amp;"|"&amp;S$5,INDIRECT("'"&amp;$B25&amp;"'!$AF$6:$AF$205"),0))),"-"))</f>
        <v/>
      </c>
      <c r="T25" s="35">
        <f>IF(U25="","",INDEX($L$5:$O$5,MATCH(U25,L25:O25,0)))</f>
        <v/>
      </c>
      <c r="U25" s="37">
        <f>IF(COUNT(L25:O25)=0,"",MIN(L25:O25))</f>
        <v/>
      </c>
      <c r="V25" s="39">
        <f>IF(U25="","",U25*F25)</f>
        <v/>
      </c>
      <c r="W25" s="39">
        <f>IF(COUNT(L25:O25)&lt;2,"",(MAX(L25:O25)-MIN(L25:O25))*F25)</f>
        <v/>
      </c>
      <c r="X25" s="20" t="n"/>
      <c r="AD25">
        <f>IF(20&gt;MAX($AB$6:$AB$9),"",COUNTIF($AB$6:$AB$9,"&lt;"&amp;20)+1)</f>
        <v/>
      </c>
      <c r="AE25">
        <f>IF(AD25="","",20-INDEX($AC$6:$AC$9,AD25))</f>
        <v/>
      </c>
      <c r="AF25">
        <f>IF(AD25="","",INDEX(INDIRECT("'"&amp;$B25&amp;"'!$AE$6:$AE$205"),MATCH(AE25,INDIRECT("'"&amp;$B25&amp;"'!$AI$6:$AI$205"),0)))</f>
        <v/>
      </c>
    </row>
    <row r="26">
      <c r="A26" s="34">
        <f>IF(AD26="","",21)</f>
        <v/>
      </c>
      <c r="B26" s="35">
        <f>IF(AD26="","",INDEX($Z$6:$Z$9,AD26))</f>
        <v/>
      </c>
      <c r="C26" s="34">
        <f>IF(AD26="","",INDEX(INDIRECT("'"&amp;$B26&amp;"'!$B$6:$B$205"),MATCH($AF26,INDIRECT("'"&amp;$B26&amp;"'!$AE$6:$AE$205"),0)))</f>
        <v/>
      </c>
      <c r="D26" s="34">
        <f>IF(AD26="","",INDEX(INDIRECT("'"&amp;$B26&amp;"'!$D$6:$D$205"),MATCH($AF26,INDIRECT("'"&amp;$B26&amp;"'!$AE$6:$AE$205"),0)))</f>
        <v/>
      </c>
      <c r="E26" s="36">
        <f>IF(AD26="","",INDEX(INDIRECT("'"&amp;$B26&amp;"'!$F$6:$F$205"),MATCH($AF26,INDIRECT("'"&amp;$B26&amp;"'!$AE$6:$AE$205"),0)))</f>
        <v/>
      </c>
      <c r="F26" s="34">
        <f>IF(AD26="","",INDEX(INDIRECT("'"&amp;$B26&amp;"'!$K$6:$K$205"),MATCH($AF26,INDIRECT("'"&amp;$B26&amp;"'!$AE$6:$AE$205"),0)))</f>
        <v/>
      </c>
      <c r="G26" s="34">
        <f>IF(AD26="","",INDEX(INDIRECT("'"&amp;$B26&amp;"'!$L$6:$L$205"),MATCH($AF26,INDIRECT("'"&amp;$B26&amp;"'!$AE$6:$AE$205"),0)))</f>
        <v/>
      </c>
      <c r="H26" s="34">
        <f>IF(OR(AD26="",H$5="-"),"",IFERROR(IF(INDEX(INDIRECT("'"&amp;$B26&amp;"'!$N$6:$N$205"),MATCH($AF26&amp;"|"&amp;H$5,INDIRECT("'"&amp;$B26&amp;"'!$AF$6:$AF$205"),0))="","",INDEX(INDIRECT("'"&amp;$B26&amp;"'!$N$6:$N$205"),MATCH($AF26&amp;"|"&amp;H$5,INDIRECT("'"&amp;$B26&amp;"'!$AF$6:$AF$205"),0))),"-"))</f>
        <v/>
      </c>
      <c r="I26" s="34">
        <f>IF(OR(AD26="",I$5="-"),"",IFERROR(IF(INDEX(INDIRECT("'"&amp;$B26&amp;"'!$N$6:$N$205"),MATCH($AF26&amp;"|"&amp;I$5,INDIRECT("'"&amp;$B26&amp;"'!$AF$6:$AF$205"),0))="","",INDEX(INDIRECT("'"&amp;$B26&amp;"'!$N$6:$N$205"),MATCH($AF26&amp;"|"&amp;I$5,INDIRECT("'"&amp;$B26&amp;"'!$AF$6:$AF$205"),0))),"-"))</f>
        <v/>
      </c>
      <c r="J26" s="34">
        <f>IF(OR(AD26="",J$5="-"),"",IFERROR(IF(INDEX(INDIRECT("'"&amp;$B26&amp;"'!$N$6:$N$205"),MATCH($AF26&amp;"|"&amp;J$5,INDIRECT("'"&amp;$B26&amp;"'!$AF$6:$AF$205"),0))="","",INDEX(INDIRECT("'"&amp;$B26&amp;"'!$N$6:$N$205"),MATCH($AF26&amp;"|"&amp;J$5,INDIRECT("'"&amp;$B26&amp;"'!$AF$6:$AF$205"),0))),"-"))</f>
        <v/>
      </c>
      <c r="K26" s="34">
        <f>IF(OR(AD26="",K$5="-"),"",IFERROR(IF(INDEX(INDIRECT("'"&amp;$B26&amp;"'!$N$6:$N$205"),MATCH($AF26&amp;"|"&amp;K$5,INDIRECT("'"&amp;$B26&amp;"'!$AF$6:$AF$205"),0))="","",INDEX(INDIRECT("'"&amp;$B26&amp;"'!$N$6:$N$205"),MATCH($AF26&amp;"|"&amp;K$5,INDIRECT("'"&amp;$B26&amp;"'!$AF$6:$AF$205"),0))),"-"))</f>
        <v/>
      </c>
      <c r="L26" s="37">
        <f>IF(OR(AD26="",L$5="-"),"",IFERROR(IF(INDEX(INDIRECT("'"&amp;$B26&amp;"'!$R$6:$R$205"),MATCH($AF26&amp;"|"&amp;L$5,INDIRECT("'"&amp;$B26&amp;"'!$AF$6:$AF$205"),0))="","",INDEX(INDIRECT("'"&amp;$B26&amp;"'!$R$6:$R$205"),MATCH($AF26&amp;"|"&amp;L$5,INDIRECT("'"&amp;$B26&amp;"'!$AF$6:$AF$205"),0))),"-"))</f>
        <v/>
      </c>
      <c r="M26" s="37">
        <f>IF(OR(AD26="",M$5="-"),"",IFERROR(IF(INDEX(INDIRECT("'"&amp;$B26&amp;"'!$R$6:$R$205"),MATCH($AF26&amp;"|"&amp;M$5,INDIRECT("'"&amp;$B26&amp;"'!$AF$6:$AF$205"),0))="","",INDEX(INDIRECT("'"&amp;$B26&amp;"'!$R$6:$R$205"),MATCH($AF26&amp;"|"&amp;M$5,INDIRECT("'"&amp;$B26&amp;"'!$AF$6:$AF$205"),0))),"-"))</f>
        <v/>
      </c>
      <c r="N26" s="37">
        <f>IF(OR(AD26="",N$5="-"),"",IFERROR(IF(INDEX(INDIRECT("'"&amp;$B26&amp;"'!$R$6:$R$205"),MATCH($AF26&amp;"|"&amp;N$5,INDIRECT("'"&amp;$B26&amp;"'!$AF$6:$AF$205"),0))="","",INDEX(INDIRECT("'"&amp;$B26&amp;"'!$R$6:$R$205"),MATCH($AF26&amp;"|"&amp;N$5,INDIRECT("'"&amp;$B26&amp;"'!$AF$6:$AF$205"),0))),"-"))</f>
        <v/>
      </c>
      <c r="O26" s="37">
        <f>IF(OR(AD26="",O$5="-"),"",IFERROR(IF(INDEX(INDIRECT("'"&amp;$B26&amp;"'!$R$6:$R$205"),MATCH($AF26&amp;"|"&amp;O$5,INDIRECT("'"&amp;$B26&amp;"'!$AF$6:$AF$205"),0))="","",INDEX(INDIRECT("'"&amp;$B26&amp;"'!$R$6:$R$205"),MATCH($AF26&amp;"|"&amp;O$5,INDIRECT("'"&amp;$B26&amp;"'!$AF$6:$AF$205"),0))),"-"))</f>
        <v/>
      </c>
      <c r="P26" s="38">
        <f>IF(OR(AD26="",P$5="-"),"",IFERROR(IF(INDEX(INDIRECT("'"&amp;$B26&amp;"'!$T$6:$T$205"),MATCH($AF26&amp;"|"&amp;P$5,INDIRECT("'"&amp;$B26&amp;"'!$AF$6:$AF$205"),0))="","",INDEX(INDIRECT("'"&amp;$B26&amp;"'!$T$6:$T$205"),MATCH($AF26&amp;"|"&amp;P$5,INDIRECT("'"&amp;$B26&amp;"'!$AF$6:$AF$205"),0))),"-"))</f>
        <v/>
      </c>
      <c r="Q26" s="38">
        <f>IF(OR(AD26="",Q$5="-"),"",IFERROR(IF(INDEX(INDIRECT("'"&amp;$B26&amp;"'!$T$6:$T$205"),MATCH($AF26&amp;"|"&amp;Q$5,INDIRECT("'"&amp;$B26&amp;"'!$AF$6:$AF$205"),0))="","",INDEX(INDIRECT("'"&amp;$B26&amp;"'!$T$6:$T$205"),MATCH($AF26&amp;"|"&amp;Q$5,INDIRECT("'"&amp;$B26&amp;"'!$AF$6:$AF$205"),0))),"-"))</f>
        <v/>
      </c>
      <c r="R26" s="38">
        <f>IF(OR(AD26="",R$5="-"),"",IFERROR(IF(INDEX(INDIRECT("'"&amp;$B26&amp;"'!$T$6:$T$205"),MATCH($AF26&amp;"|"&amp;R$5,INDIRECT("'"&amp;$B26&amp;"'!$AF$6:$AF$205"),0))="","",INDEX(INDIRECT("'"&amp;$B26&amp;"'!$T$6:$T$205"),MATCH($AF26&amp;"|"&amp;R$5,INDIRECT("'"&amp;$B26&amp;"'!$AF$6:$AF$205"),0))),"-"))</f>
        <v/>
      </c>
      <c r="S26" s="38">
        <f>IF(OR(AD26="",S$5="-"),"",IFERROR(IF(INDEX(INDIRECT("'"&amp;$B26&amp;"'!$T$6:$T$205"),MATCH($AF26&amp;"|"&amp;S$5,INDIRECT("'"&amp;$B26&amp;"'!$AF$6:$AF$205"),0))="","",INDEX(INDIRECT("'"&amp;$B26&amp;"'!$T$6:$T$205"),MATCH($AF26&amp;"|"&amp;S$5,INDIRECT("'"&amp;$B26&amp;"'!$AF$6:$AF$205"),0))),"-"))</f>
        <v/>
      </c>
      <c r="T26" s="35">
        <f>IF(U26="","",INDEX($L$5:$O$5,MATCH(U26,L26:O26,0)))</f>
        <v/>
      </c>
      <c r="U26" s="37">
        <f>IF(COUNT(L26:O26)=0,"",MIN(L26:O26))</f>
        <v/>
      </c>
      <c r="V26" s="39">
        <f>IF(U26="","",U26*F26)</f>
        <v/>
      </c>
      <c r="W26" s="39">
        <f>IF(COUNT(L26:O26)&lt;2,"",(MAX(L26:O26)-MIN(L26:O26))*F26)</f>
        <v/>
      </c>
      <c r="X26" s="20" t="n"/>
      <c r="AD26">
        <f>IF(21&gt;MAX($AB$6:$AB$9),"",COUNTIF($AB$6:$AB$9,"&lt;"&amp;21)+1)</f>
        <v/>
      </c>
      <c r="AE26">
        <f>IF(AD26="","",21-INDEX($AC$6:$AC$9,AD26))</f>
        <v/>
      </c>
      <c r="AF26">
        <f>IF(AD26="","",INDEX(INDIRECT("'"&amp;$B26&amp;"'!$AE$6:$AE$205"),MATCH(AE26,INDIRECT("'"&amp;$B26&amp;"'!$AI$6:$AI$205"),0)))</f>
        <v/>
      </c>
    </row>
    <row r="27">
      <c r="A27" s="34">
        <f>IF(AD27="","",22)</f>
        <v/>
      </c>
      <c r="B27" s="35">
        <f>IF(AD27="","",INDEX($Z$6:$Z$9,AD27))</f>
        <v/>
      </c>
      <c r="C27" s="34">
        <f>IF(AD27="","",INDEX(INDIRECT("'"&amp;$B27&amp;"'!$B$6:$B$205"),MATCH($AF27,INDIRECT("'"&amp;$B27&amp;"'!$AE$6:$AE$205"),0)))</f>
        <v/>
      </c>
      <c r="D27" s="34">
        <f>IF(AD27="","",INDEX(INDIRECT("'"&amp;$B27&amp;"'!$D$6:$D$205"),MATCH($AF27,INDIRECT("'"&amp;$B27&amp;"'!$AE$6:$AE$205"),0)))</f>
        <v/>
      </c>
      <c r="E27" s="36">
        <f>IF(AD27="","",INDEX(INDIRECT("'"&amp;$B27&amp;"'!$F$6:$F$205"),MATCH($AF27,INDIRECT("'"&amp;$B27&amp;"'!$AE$6:$AE$205"),0)))</f>
        <v/>
      </c>
      <c r="F27" s="34">
        <f>IF(AD27="","",INDEX(INDIRECT("'"&amp;$B27&amp;"'!$K$6:$K$205"),MATCH($AF27,INDIRECT("'"&amp;$B27&amp;"'!$AE$6:$AE$205"),0)))</f>
        <v/>
      </c>
      <c r="G27" s="34">
        <f>IF(AD27="","",INDEX(INDIRECT("'"&amp;$B27&amp;"'!$L$6:$L$205"),MATCH($AF27,INDIRECT("'"&amp;$B27&amp;"'!$AE$6:$AE$205"),0)))</f>
        <v/>
      </c>
      <c r="H27" s="34">
        <f>IF(OR(AD27="",H$5="-"),"",IFERROR(IF(INDEX(INDIRECT("'"&amp;$B27&amp;"'!$N$6:$N$205"),MATCH($AF27&amp;"|"&amp;H$5,INDIRECT("'"&amp;$B27&amp;"'!$AF$6:$AF$205"),0))="","",INDEX(INDIRECT("'"&amp;$B27&amp;"'!$N$6:$N$205"),MATCH($AF27&amp;"|"&amp;H$5,INDIRECT("'"&amp;$B27&amp;"'!$AF$6:$AF$205"),0))),"-"))</f>
        <v/>
      </c>
      <c r="I27" s="34">
        <f>IF(OR(AD27="",I$5="-"),"",IFERROR(IF(INDEX(INDIRECT("'"&amp;$B27&amp;"'!$N$6:$N$205"),MATCH($AF27&amp;"|"&amp;I$5,INDIRECT("'"&amp;$B27&amp;"'!$AF$6:$AF$205"),0))="","",INDEX(INDIRECT("'"&amp;$B27&amp;"'!$N$6:$N$205"),MATCH($AF27&amp;"|"&amp;I$5,INDIRECT("'"&amp;$B27&amp;"'!$AF$6:$AF$205"),0))),"-"))</f>
        <v/>
      </c>
      <c r="J27" s="34">
        <f>IF(OR(AD27="",J$5="-"),"",IFERROR(IF(INDEX(INDIRECT("'"&amp;$B27&amp;"'!$N$6:$N$205"),MATCH($AF27&amp;"|"&amp;J$5,INDIRECT("'"&amp;$B27&amp;"'!$AF$6:$AF$205"),0))="","",INDEX(INDIRECT("'"&amp;$B27&amp;"'!$N$6:$N$205"),MATCH($AF27&amp;"|"&amp;J$5,INDIRECT("'"&amp;$B27&amp;"'!$AF$6:$AF$205"),0))),"-"))</f>
        <v/>
      </c>
      <c r="K27" s="34">
        <f>IF(OR(AD27="",K$5="-"),"",IFERROR(IF(INDEX(INDIRECT("'"&amp;$B27&amp;"'!$N$6:$N$205"),MATCH($AF27&amp;"|"&amp;K$5,INDIRECT("'"&amp;$B27&amp;"'!$AF$6:$AF$205"),0))="","",INDEX(INDIRECT("'"&amp;$B27&amp;"'!$N$6:$N$205"),MATCH($AF27&amp;"|"&amp;K$5,INDIRECT("'"&amp;$B27&amp;"'!$AF$6:$AF$205"),0))),"-"))</f>
        <v/>
      </c>
      <c r="L27" s="37">
        <f>IF(OR(AD27="",L$5="-"),"",IFERROR(IF(INDEX(INDIRECT("'"&amp;$B27&amp;"'!$R$6:$R$205"),MATCH($AF27&amp;"|"&amp;L$5,INDIRECT("'"&amp;$B27&amp;"'!$AF$6:$AF$205"),0))="","",INDEX(INDIRECT("'"&amp;$B27&amp;"'!$R$6:$R$205"),MATCH($AF27&amp;"|"&amp;L$5,INDIRECT("'"&amp;$B27&amp;"'!$AF$6:$AF$205"),0))),"-"))</f>
        <v/>
      </c>
      <c r="M27" s="37">
        <f>IF(OR(AD27="",M$5="-"),"",IFERROR(IF(INDEX(INDIRECT("'"&amp;$B27&amp;"'!$R$6:$R$205"),MATCH($AF27&amp;"|"&amp;M$5,INDIRECT("'"&amp;$B27&amp;"'!$AF$6:$AF$205"),0))="","",INDEX(INDIRECT("'"&amp;$B27&amp;"'!$R$6:$R$205"),MATCH($AF27&amp;"|"&amp;M$5,INDIRECT("'"&amp;$B27&amp;"'!$AF$6:$AF$205"),0))),"-"))</f>
        <v/>
      </c>
      <c r="N27" s="37">
        <f>IF(OR(AD27="",N$5="-"),"",IFERROR(IF(INDEX(INDIRECT("'"&amp;$B27&amp;"'!$R$6:$R$205"),MATCH($AF27&amp;"|"&amp;N$5,INDIRECT("'"&amp;$B27&amp;"'!$AF$6:$AF$205"),0))="","",INDEX(INDIRECT("'"&amp;$B27&amp;"'!$R$6:$R$205"),MATCH($AF27&amp;"|"&amp;N$5,INDIRECT("'"&amp;$B27&amp;"'!$AF$6:$AF$205"),0))),"-"))</f>
        <v/>
      </c>
      <c r="O27" s="37">
        <f>IF(OR(AD27="",O$5="-"),"",IFERROR(IF(INDEX(INDIRECT("'"&amp;$B27&amp;"'!$R$6:$R$205"),MATCH($AF27&amp;"|"&amp;O$5,INDIRECT("'"&amp;$B27&amp;"'!$AF$6:$AF$205"),0))="","",INDEX(INDIRECT("'"&amp;$B27&amp;"'!$R$6:$R$205"),MATCH($AF27&amp;"|"&amp;O$5,INDIRECT("'"&amp;$B27&amp;"'!$AF$6:$AF$205"),0))),"-"))</f>
        <v/>
      </c>
      <c r="P27" s="38">
        <f>IF(OR(AD27="",P$5="-"),"",IFERROR(IF(INDEX(INDIRECT("'"&amp;$B27&amp;"'!$T$6:$T$205"),MATCH($AF27&amp;"|"&amp;P$5,INDIRECT("'"&amp;$B27&amp;"'!$AF$6:$AF$205"),0))="","",INDEX(INDIRECT("'"&amp;$B27&amp;"'!$T$6:$T$205"),MATCH($AF27&amp;"|"&amp;P$5,INDIRECT("'"&amp;$B27&amp;"'!$AF$6:$AF$205"),0))),"-"))</f>
        <v/>
      </c>
      <c r="Q27" s="38">
        <f>IF(OR(AD27="",Q$5="-"),"",IFERROR(IF(INDEX(INDIRECT("'"&amp;$B27&amp;"'!$T$6:$T$205"),MATCH($AF27&amp;"|"&amp;Q$5,INDIRECT("'"&amp;$B27&amp;"'!$AF$6:$AF$205"),0))="","",INDEX(INDIRECT("'"&amp;$B27&amp;"'!$T$6:$T$205"),MATCH($AF27&amp;"|"&amp;Q$5,INDIRECT("'"&amp;$B27&amp;"'!$AF$6:$AF$205"),0))),"-"))</f>
        <v/>
      </c>
      <c r="R27" s="38">
        <f>IF(OR(AD27="",R$5="-"),"",IFERROR(IF(INDEX(INDIRECT("'"&amp;$B27&amp;"'!$T$6:$T$205"),MATCH($AF27&amp;"|"&amp;R$5,INDIRECT("'"&amp;$B27&amp;"'!$AF$6:$AF$205"),0))="","",INDEX(INDIRECT("'"&amp;$B27&amp;"'!$T$6:$T$205"),MATCH($AF27&amp;"|"&amp;R$5,INDIRECT("'"&amp;$B27&amp;"'!$AF$6:$AF$205"),0))),"-"))</f>
        <v/>
      </c>
      <c r="S27" s="38">
        <f>IF(OR(AD27="",S$5="-"),"",IFERROR(IF(INDEX(INDIRECT("'"&amp;$B27&amp;"'!$T$6:$T$205"),MATCH($AF27&amp;"|"&amp;S$5,INDIRECT("'"&amp;$B27&amp;"'!$AF$6:$AF$205"),0))="","",INDEX(INDIRECT("'"&amp;$B27&amp;"'!$T$6:$T$205"),MATCH($AF27&amp;"|"&amp;S$5,INDIRECT("'"&amp;$B27&amp;"'!$AF$6:$AF$205"),0))),"-"))</f>
        <v/>
      </c>
      <c r="T27" s="35">
        <f>IF(U27="","",INDEX($L$5:$O$5,MATCH(U27,L27:O27,0)))</f>
        <v/>
      </c>
      <c r="U27" s="37">
        <f>IF(COUNT(L27:O27)=0,"",MIN(L27:O27))</f>
        <v/>
      </c>
      <c r="V27" s="39">
        <f>IF(U27="","",U27*F27)</f>
        <v/>
      </c>
      <c r="W27" s="39">
        <f>IF(COUNT(L27:O27)&lt;2,"",(MAX(L27:O27)-MIN(L27:O27))*F27)</f>
        <v/>
      </c>
      <c r="X27" s="20" t="n"/>
      <c r="AD27">
        <f>IF(22&gt;MAX($AB$6:$AB$9),"",COUNTIF($AB$6:$AB$9,"&lt;"&amp;22)+1)</f>
        <v/>
      </c>
      <c r="AE27">
        <f>IF(AD27="","",22-INDEX($AC$6:$AC$9,AD27))</f>
        <v/>
      </c>
      <c r="AF27">
        <f>IF(AD27="","",INDEX(INDIRECT("'"&amp;$B27&amp;"'!$AE$6:$AE$205"),MATCH(AE27,INDIRECT("'"&amp;$B27&amp;"'!$AI$6:$AI$205"),0)))</f>
        <v/>
      </c>
    </row>
    <row r="28">
      <c r="A28" s="34">
        <f>IF(AD28="","",23)</f>
        <v/>
      </c>
      <c r="B28" s="35">
        <f>IF(AD28="","",INDEX($Z$6:$Z$9,AD28))</f>
        <v/>
      </c>
      <c r="C28" s="34">
        <f>IF(AD28="","",INDEX(INDIRECT("'"&amp;$B28&amp;"'!$B$6:$B$205"),MATCH($AF28,INDIRECT("'"&amp;$B28&amp;"'!$AE$6:$AE$205"),0)))</f>
        <v/>
      </c>
      <c r="D28" s="34">
        <f>IF(AD28="","",INDEX(INDIRECT("'"&amp;$B28&amp;"'!$D$6:$D$205"),MATCH($AF28,INDIRECT("'"&amp;$B28&amp;"'!$AE$6:$AE$205"),0)))</f>
        <v/>
      </c>
      <c r="E28" s="36">
        <f>IF(AD28="","",INDEX(INDIRECT("'"&amp;$B28&amp;"'!$F$6:$F$205"),MATCH($AF28,INDIRECT("'"&amp;$B28&amp;"'!$AE$6:$AE$205"),0)))</f>
        <v/>
      </c>
      <c r="F28" s="34">
        <f>IF(AD28="","",INDEX(INDIRECT("'"&amp;$B28&amp;"'!$K$6:$K$205"),MATCH($AF28,INDIRECT("'"&amp;$B28&amp;"'!$AE$6:$AE$205"),0)))</f>
        <v/>
      </c>
      <c r="G28" s="34">
        <f>IF(AD28="","",INDEX(INDIRECT("'"&amp;$B28&amp;"'!$L$6:$L$205"),MATCH($AF28,INDIRECT("'"&amp;$B28&amp;"'!$AE$6:$AE$205"),0)))</f>
        <v/>
      </c>
      <c r="H28" s="34">
        <f>IF(OR(AD28="",H$5="-"),"",IFERROR(IF(INDEX(INDIRECT("'"&amp;$B28&amp;"'!$N$6:$N$205"),MATCH($AF28&amp;"|"&amp;H$5,INDIRECT("'"&amp;$B28&amp;"'!$AF$6:$AF$205"),0))="","",INDEX(INDIRECT("'"&amp;$B28&amp;"'!$N$6:$N$205"),MATCH($AF28&amp;"|"&amp;H$5,INDIRECT("'"&amp;$B28&amp;"'!$AF$6:$AF$205"),0))),"-"))</f>
        <v/>
      </c>
      <c r="I28" s="34">
        <f>IF(OR(AD28="",I$5="-"),"",IFERROR(IF(INDEX(INDIRECT("'"&amp;$B28&amp;"'!$N$6:$N$205"),MATCH($AF28&amp;"|"&amp;I$5,INDIRECT("'"&amp;$B28&amp;"'!$AF$6:$AF$205"),0))="","",INDEX(INDIRECT("'"&amp;$B28&amp;"'!$N$6:$N$205"),MATCH($AF28&amp;"|"&amp;I$5,INDIRECT("'"&amp;$B28&amp;"'!$AF$6:$AF$205"),0))),"-"))</f>
        <v/>
      </c>
      <c r="J28" s="34">
        <f>IF(OR(AD28="",J$5="-"),"",IFERROR(IF(INDEX(INDIRECT("'"&amp;$B28&amp;"'!$N$6:$N$205"),MATCH($AF28&amp;"|"&amp;J$5,INDIRECT("'"&amp;$B28&amp;"'!$AF$6:$AF$205"),0))="","",INDEX(INDIRECT("'"&amp;$B28&amp;"'!$N$6:$N$205"),MATCH($AF28&amp;"|"&amp;J$5,INDIRECT("'"&amp;$B28&amp;"'!$AF$6:$AF$205"),0))),"-"))</f>
        <v/>
      </c>
      <c r="K28" s="34">
        <f>IF(OR(AD28="",K$5="-"),"",IFERROR(IF(INDEX(INDIRECT("'"&amp;$B28&amp;"'!$N$6:$N$205"),MATCH($AF28&amp;"|"&amp;K$5,INDIRECT("'"&amp;$B28&amp;"'!$AF$6:$AF$205"),0))="","",INDEX(INDIRECT("'"&amp;$B28&amp;"'!$N$6:$N$205"),MATCH($AF28&amp;"|"&amp;K$5,INDIRECT("'"&amp;$B28&amp;"'!$AF$6:$AF$205"),0))),"-"))</f>
        <v/>
      </c>
      <c r="L28" s="37">
        <f>IF(OR(AD28="",L$5="-"),"",IFERROR(IF(INDEX(INDIRECT("'"&amp;$B28&amp;"'!$R$6:$R$205"),MATCH($AF28&amp;"|"&amp;L$5,INDIRECT("'"&amp;$B28&amp;"'!$AF$6:$AF$205"),0))="","",INDEX(INDIRECT("'"&amp;$B28&amp;"'!$R$6:$R$205"),MATCH($AF28&amp;"|"&amp;L$5,INDIRECT("'"&amp;$B28&amp;"'!$AF$6:$AF$205"),0))),"-"))</f>
        <v/>
      </c>
      <c r="M28" s="37">
        <f>IF(OR(AD28="",M$5="-"),"",IFERROR(IF(INDEX(INDIRECT("'"&amp;$B28&amp;"'!$R$6:$R$205"),MATCH($AF28&amp;"|"&amp;M$5,INDIRECT("'"&amp;$B28&amp;"'!$AF$6:$AF$205"),0))="","",INDEX(INDIRECT("'"&amp;$B28&amp;"'!$R$6:$R$205"),MATCH($AF28&amp;"|"&amp;M$5,INDIRECT("'"&amp;$B28&amp;"'!$AF$6:$AF$205"),0))),"-"))</f>
        <v/>
      </c>
      <c r="N28" s="37">
        <f>IF(OR(AD28="",N$5="-"),"",IFERROR(IF(INDEX(INDIRECT("'"&amp;$B28&amp;"'!$R$6:$R$205"),MATCH($AF28&amp;"|"&amp;N$5,INDIRECT("'"&amp;$B28&amp;"'!$AF$6:$AF$205"),0))="","",INDEX(INDIRECT("'"&amp;$B28&amp;"'!$R$6:$R$205"),MATCH($AF28&amp;"|"&amp;N$5,INDIRECT("'"&amp;$B28&amp;"'!$AF$6:$AF$205"),0))),"-"))</f>
        <v/>
      </c>
      <c r="O28" s="37">
        <f>IF(OR(AD28="",O$5="-"),"",IFERROR(IF(INDEX(INDIRECT("'"&amp;$B28&amp;"'!$R$6:$R$205"),MATCH($AF28&amp;"|"&amp;O$5,INDIRECT("'"&amp;$B28&amp;"'!$AF$6:$AF$205"),0))="","",INDEX(INDIRECT("'"&amp;$B28&amp;"'!$R$6:$R$205"),MATCH($AF28&amp;"|"&amp;O$5,INDIRECT("'"&amp;$B28&amp;"'!$AF$6:$AF$205"),0))),"-"))</f>
        <v/>
      </c>
      <c r="P28" s="38">
        <f>IF(OR(AD28="",P$5="-"),"",IFERROR(IF(INDEX(INDIRECT("'"&amp;$B28&amp;"'!$T$6:$T$205"),MATCH($AF28&amp;"|"&amp;P$5,INDIRECT("'"&amp;$B28&amp;"'!$AF$6:$AF$205"),0))="","",INDEX(INDIRECT("'"&amp;$B28&amp;"'!$T$6:$T$205"),MATCH($AF28&amp;"|"&amp;P$5,INDIRECT("'"&amp;$B28&amp;"'!$AF$6:$AF$205"),0))),"-"))</f>
        <v/>
      </c>
      <c r="Q28" s="38">
        <f>IF(OR(AD28="",Q$5="-"),"",IFERROR(IF(INDEX(INDIRECT("'"&amp;$B28&amp;"'!$T$6:$T$205"),MATCH($AF28&amp;"|"&amp;Q$5,INDIRECT("'"&amp;$B28&amp;"'!$AF$6:$AF$205"),0))="","",INDEX(INDIRECT("'"&amp;$B28&amp;"'!$T$6:$T$205"),MATCH($AF28&amp;"|"&amp;Q$5,INDIRECT("'"&amp;$B28&amp;"'!$AF$6:$AF$205"),0))),"-"))</f>
        <v/>
      </c>
      <c r="R28" s="38">
        <f>IF(OR(AD28="",R$5="-"),"",IFERROR(IF(INDEX(INDIRECT("'"&amp;$B28&amp;"'!$T$6:$T$205"),MATCH($AF28&amp;"|"&amp;R$5,INDIRECT("'"&amp;$B28&amp;"'!$AF$6:$AF$205"),0))="","",INDEX(INDIRECT("'"&amp;$B28&amp;"'!$T$6:$T$205"),MATCH($AF28&amp;"|"&amp;R$5,INDIRECT("'"&amp;$B28&amp;"'!$AF$6:$AF$205"),0))),"-"))</f>
        <v/>
      </c>
      <c r="S28" s="38">
        <f>IF(OR(AD28="",S$5="-"),"",IFERROR(IF(INDEX(INDIRECT("'"&amp;$B28&amp;"'!$T$6:$T$205"),MATCH($AF28&amp;"|"&amp;S$5,INDIRECT("'"&amp;$B28&amp;"'!$AF$6:$AF$205"),0))="","",INDEX(INDIRECT("'"&amp;$B28&amp;"'!$T$6:$T$205"),MATCH($AF28&amp;"|"&amp;S$5,INDIRECT("'"&amp;$B28&amp;"'!$AF$6:$AF$205"),0))),"-"))</f>
        <v/>
      </c>
      <c r="T28" s="35">
        <f>IF(U28="","",INDEX($L$5:$O$5,MATCH(U28,L28:O28,0)))</f>
        <v/>
      </c>
      <c r="U28" s="37">
        <f>IF(COUNT(L28:O28)=0,"",MIN(L28:O28))</f>
        <v/>
      </c>
      <c r="V28" s="39">
        <f>IF(U28="","",U28*F28)</f>
        <v/>
      </c>
      <c r="W28" s="39">
        <f>IF(COUNT(L28:O28)&lt;2,"",(MAX(L28:O28)-MIN(L28:O28))*F28)</f>
        <v/>
      </c>
      <c r="X28" s="20" t="n"/>
      <c r="AD28">
        <f>IF(23&gt;MAX($AB$6:$AB$9),"",COUNTIF($AB$6:$AB$9,"&lt;"&amp;23)+1)</f>
        <v/>
      </c>
      <c r="AE28">
        <f>IF(AD28="","",23-INDEX($AC$6:$AC$9,AD28))</f>
        <v/>
      </c>
      <c r="AF28">
        <f>IF(AD28="","",INDEX(INDIRECT("'"&amp;$B28&amp;"'!$AE$6:$AE$205"),MATCH(AE28,INDIRECT("'"&amp;$B28&amp;"'!$AI$6:$AI$205"),0)))</f>
        <v/>
      </c>
    </row>
    <row r="29">
      <c r="A29" s="34">
        <f>IF(AD29="","",24)</f>
        <v/>
      </c>
      <c r="B29" s="35">
        <f>IF(AD29="","",INDEX($Z$6:$Z$9,AD29))</f>
        <v/>
      </c>
      <c r="C29" s="34">
        <f>IF(AD29="","",INDEX(INDIRECT("'"&amp;$B29&amp;"'!$B$6:$B$205"),MATCH($AF29,INDIRECT("'"&amp;$B29&amp;"'!$AE$6:$AE$205"),0)))</f>
        <v/>
      </c>
      <c r="D29" s="34">
        <f>IF(AD29="","",INDEX(INDIRECT("'"&amp;$B29&amp;"'!$D$6:$D$205"),MATCH($AF29,INDIRECT("'"&amp;$B29&amp;"'!$AE$6:$AE$205"),0)))</f>
        <v/>
      </c>
      <c r="E29" s="36">
        <f>IF(AD29="","",INDEX(INDIRECT("'"&amp;$B29&amp;"'!$F$6:$F$205"),MATCH($AF29,INDIRECT("'"&amp;$B29&amp;"'!$AE$6:$AE$205"),0)))</f>
        <v/>
      </c>
      <c r="F29" s="34">
        <f>IF(AD29="","",INDEX(INDIRECT("'"&amp;$B29&amp;"'!$K$6:$K$205"),MATCH($AF29,INDIRECT("'"&amp;$B29&amp;"'!$AE$6:$AE$205"),0)))</f>
        <v/>
      </c>
      <c r="G29" s="34">
        <f>IF(AD29="","",INDEX(INDIRECT("'"&amp;$B29&amp;"'!$L$6:$L$205"),MATCH($AF29,INDIRECT("'"&amp;$B29&amp;"'!$AE$6:$AE$205"),0)))</f>
        <v/>
      </c>
      <c r="H29" s="34">
        <f>IF(OR(AD29="",H$5="-"),"",IFERROR(IF(INDEX(INDIRECT("'"&amp;$B29&amp;"'!$N$6:$N$205"),MATCH($AF29&amp;"|"&amp;H$5,INDIRECT("'"&amp;$B29&amp;"'!$AF$6:$AF$205"),0))="","",INDEX(INDIRECT("'"&amp;$B29&amp;"'!$N$6:$N$205"),MATCH($AF29&amp;"|"&amp;H$5,INDIRECT("'"&amp;$B29&amp;"'!$AF$6:$AF$205"),0))),"-"))</f>
        <v/>
      </c>
      <c r="I29" s="34">
        <f>IF(OR(AD29="",I$5="-"),"",IFERROR(IF(INDEX(INDIRECT("'"&amp;$B29&amp;"'!$N$6:$N$205"),MATCH($AF29&amp;"|"&amp;I$5,INDIRECT("'"&amp;$B29&amp;"'!$AF$6:$AF$205"),0))="","",INDEX(INDIRECT("'"&amp;$B29&amp;"'!$N$6:$N$205"),MATCH($AF29&amp;"|"&amp;I$5,INDIRECT("'"&amp;$B29&amp;"'!$AF$6:$AF$205"),0))),"-"))</f>
        <v/>
      </c>
      <c r="J29" s="34">
        <f>IF(OR(AD29="",J$5="-"),"",IFERROR(IF(INDEX(INDIRECT("'"&amp;$B29&amp;"'!$N$6:$N$205"),MATCH($AF29&amp;"|"&amp;J$5,INDIRECT("'"&amp;$B29&amp;"'!$AF$6:$AF$205"),0))="","",INDEX(INDIRECT("'"&amp;$B29&amp;"'!$N$6:$N$205"),MATCH($AF29&amp;"|"&amp;J$5,INDIRECT("'"&amp;$B29&amp;"'!$AF$6:$AF$205"),0))),"-"))</f>
        <v/>
      </c>
      <c r="K29" s="34">
        <f>IF(OR(AD29="",K$5="-"),"",IFERROR(IF(INDEX(INDIRECT("'"&amp;$B29&amp;"'!$N$6:$N$205"),MATCH($AF29&amp;"|"&amp;K$5,INDIRECT("'"&amp;$B29&amp;"'!$AF$6:$AF$205"),0))="","",INDEX(INDIRECT("'"&amp;$B29&amp;"'!$N$6:$N$205"),MATCH($AF29&amp;"|"&amp;K$5,INDIRECT("'"&amp;$B29&amp;"'!$AF$6:$AF$205"),0))),"-"))</f>
        <v/>
      </c>
      <c r="L29" s="37">
        <f>IF(OR(AD29="",L$5="-"),"",IFERROR(IF(INDEX(INDIRECT("'"&amp;$B29&amp;"'!$R$6:$R$205"),MATCH($AF29&amp;"|"&amp;L$5,INDIRECT("'"&amp;$B29&amp;"'!$AF$6:$AF$205"),0))="","",INDEX(INDIRECT("'"&amp;$B29&amp;"'!$R$6:$R$205"),MATCH($AF29&amp;"|"&amp;L$5,INDIRECT("'"&amp;$B29&amp;"'!$AF$6:$AF$205"),0))),"-"))</f>
        <v/>
      </c>
      <c r="M29" s="37">
        <f>IF(OR(AD29="",M$5="-"),"",IFERROR(IF(INDEX(INDIRECT("'"&amp;$B29&amp;"'!$R$6:$R$205"),MATCH($AF29&amp;"|"&amp;M$5,INDIRECT("'"&amp;$B29&amp;"'!$AF$6:$AF$205"),0))="","",INDEX(INDIRECT("'"&amp;$B29&amp;"'!$R$6:$R$205"),MATCH($AF29&amp;"|"&amp;M$5,INDIRECT("'"&amp;$B29&amp;"'!$AF$6:$AF$205"),0))),"-"))</f>
        <v/>
      </c>
      <c r="N29" s="37">
        <f>IF(OR(AD29="",N$5="-"),"",IFERROR(IF(INDEX(INDIRECT("'"&amp;$B29&amp;"'!$R$6:$R$205"),MATCH($AF29&amp;"|"&amp;N$5,INDIRECT("'"&amp;$B29&amp;"'!$AF$6:$AF$205"),0))="","",INDEX(INDIRECT("'"&amp;$B29&amp;"'!$R$6:$R$205"),MATCH($AF29&amp;"|"&amp;N$5,INDIRECT("'"&amp;$B29&amp;"'!$AF$6:$AF$205"),0))),"-"))</f>
        <v/>
      </c>
      <c r="O29" s="37">
        <f>IF(OR(AD29="",O$5="-"),"",IFERROR(IF(INDEX(INDIRECT("'"&amp;$B29&amp;"'!$R$6:$R$205"),MATCH($AF29&amp;"|"&amp;O$5,INDIRECT("'"&amp;$B29&amp;"'!$AF$6:$AF$205"),0))="","",INDEX(INDIRECT("'"&amp;$B29&amp;"'!$R$6:$R$205"),MATCH($AF29&amp;"|"&amp;O$5,INDIRECT("'"&amp;$B29&amp;"'!$AF$6:$AF$205"),0))),"-"))</f>
        <v/>
      </c>
      <c r="P29" s="38">
        <f>IF(OR(AD29="",P$5="-"),"",IFERROR(IF(INDEX(INDIRECT("'"&amp;$B29&amp;"'!$T$6:$T$205"),MATCH($AF29&amp;"|"&amp;P$5,INDIRECT("'"&amp;$B29&amp;"'!$AF$6:$AF$205"),0))="","",INDEX(INDIRECT("'"&amp;$B29&amp;"'!$T$6:$T$205"),MATCH($AF29&amp;"|"&amp;P$5,INDIRECT("'"&amp;$B29&amp;"'!$AF$6:$AF$205"),0))),"-"))</f>
        <v/>
      </c>
      <c r="Q29" s="38">
        <f>IF(OR(AD29="",Q$5="-"),"",IFERROR(IF(INDEX(INDIRECT("'"&amp;$B29&amp;"'!$T$6:$T$205"),MATCH($AF29&amp;"|"&amp;Q$5,INDIRECT("'"&amp;$B29&amp;"'!$AF$6:$AF$205"),0))="","",INDEX(INDIRECT("'"&amp;$B29&amp;"'!$T$6:$T$205"),MATCH($AF29&amp;"|"&amp;Q$5,INDIRECT("'"&amp;$B29&amp;"'!$AF$6:$AF$205"),0))),"-"))</f>
        <v/>
      </c>
      <c r="R29" s="38">
        <f>IF(OR(AD29="",R$5="-"),"",IFERROR(IF(INDEX(INDIRECT("'"&amp;$B29&amp;"'!$T$6:$T$205"),MATCH($AF29&amp;"|"&amp;R$5,INDIRECT("'"&amp;$B29&amp;"'!$AF$6:$AF$205"),0))="","",INDEX(INDIRECT("'"&amp;$B29&amp;"'!$T$6:$T$205"),MATCH($AF29&amp;"|"&amp;R$5,INDIRECT("'"&amp;$B29&amp;"'!$AF$6:$AF$205"),0))),"-"))</f>
        <v/>
      </c>
      <c r="S29" s="38">
        <f>IF(OR(AD29="",S$5="-"),"",IFERROR(IF(INDEX(INDIRECT("'"&amp;$B29&amp;"'!$T$6:$T$205"),MATCH($AF29&amp;"|"&amp;S$5,INDIRECT("'"&amp;$B29&amp;"'!$AF$6:$AF$205"),0))="","",INDEX(INDIRECT("'"&amp;$B29&amp;"'!$T$6:$T$205"),MATCH($AF29&amp;"|"&amp;S$5,INDIRECT("'"&amp;$B29&amp;"'!$AF$6:$AF$205"),0))),"-"))</f>
        <v/>
      </c>
      <c r="T29" s="35">
        <f>IF(U29="","",INDEX($L$5:$O$5,MATCH(U29,L29:O29,0)))</f>
        <v/>
      </c>
      <c r="U29" s="37">
        <f>IF(COUNT(L29:O29)=0,"",MIN(L29:O29))</f>
        <v/>
      </c>
      <c r="V29" s="39">
        <f>IF(U29="","",U29*F29)</f>
        <v/>
      </c>
      <c r="W29" s="39">
        <f>IF(COUNT(L29:O29)&lt;2,"",(MAX(L29:O29)-MIN(L29:O29))*F29)</f>
        <v/>
      </c>
      <c r="X29" s="20" t="n"/>
      <c r="AD29">
        <f>IF(24&gt;MAX($AB$6:$AB$9),"",COUNTIF($AB$6:$AB$9,"&lt;"&amp;24)+1)</f>
        <v/>
      </c>
      <c r="AE29">
        <f>IF(AD29="","",24-INDEX($AC$6:$AC$9,AD29))</f>
        <v/>
      </c>
      <c r="AF29">
        <f>IF(AD29="","",INDEX(INDIRECT("'"&amp;$B29&amp;"'!$AE$6:$AE$205"),MATCH(AE29,INDIRECT("'"&amp;$B29&amp;"'!$AI$6:$AI$205"),0)))</f>
        <v/>
      </c>
    </row>
    <row r="30">
      <c r="A30" s="34">
        <f>IF(AD30="","",25)</f>
        <v/>
      </c>
      <c r="B30" s="35">
        <f>IF(AD30="","",INDEX($Z$6:$Z$9,AD30))</f>
        <v/>
      </c>
      <c r="C30" s="34">
        <f>IF(AD30="","",INDEX(INDIRECT("'"&amp;$B30&amp;"'!$B$6:$B$205"),MATCH($AF30,INDIRECT("'"&amp;$B30&amp;"'!$AE$6:$AE$205"),0)))</f>
        <v/>
      </c>
      <c r="D30" s="34">
        <f>IF(AD30="","",INDEX(INDIRECT("'"&amp;$B30&amp;"'!$D$6:$D$205"),MATCH($AF30,INDIRECT("'"&amp;$B30&amp;"'!$AE$6:$AE$205"),0)))</f>
        <v/>
      </c>
      <c r="E30" s="36">
        <f>IF(AD30="","",INDEX(INDIRECT("'"&amp;$B30&amp;"'!$F$6:$F$205"),MATCH($AF30,INDIRECT("'"&amp;$B30&amp;"'!$AE$6:$AE$205"),0)))</f>
        <v/>
      </c>
      <c r="F30" s="34">
        <f>IF(AD30="","",INDEX(INDIRECT("'"&amp;$B30&amp;"'!$K$6:$K$205"),MATCH($AF30,INDIRECT("'"&amp;$B30&amp;"'!$AE$6:$AE$205"),0)))</f>
        <v/>
      </c>
      <c r="G30" s="34">
        <f>IF(AD30="","",INDEX(INDIRECT("'"&amp;$B30&amp;"'!$L$6:$L$205"),MATCH($AF30,INDIRECT("'"&amp;$B30&amp;"'!$AE$6:$AE$205"),0)))</f>
        <v/>
      </c>
      <c r="H30" s="34">
        <f>IF(OR(AD30="",H$5="-"),"",IFERROR(IF(INDEX(INDIRECT("'"&amp;$B30&amp;"'!$N$6:$N$205"),MATCH($AF30&amp;"|"&amp;H$5,INDIRECT("'"&amp;$B30&amp;"'!$AF$6:$AF$205"),0))="","",INDEX(INDIRECT("'"&amp;$B30&amp;"'!$N$6:$N$205"),MATCH($AF30&amp;"|"&amp;H$5,INDIRECT("'"&amp;$B30&amp;"'!$AF$6:$AF$205"),0))),"-"))</f>
        <v/>
      </c>
      <c r="I30" s="34">
        <f>IF(OR(AD30="",I$5="-"),"",IFERROR(IF(INDEX(INDIRECT("'"&amp;$B30&amp;"'!$N$6:$N$205"),MATCH($AF30&amp;"|"&amp;I$5,INDIRECT("'"&amp;$B30&amp;"'!$AF$6:$AF$205"),0))="","",INDEX(INDIRECT("'"&amp;$B30&amp;"'!$N$6:$N$205"),MATCH($AF30&amp;"|"&amp;I$5,INDIRECT("'"&amp;$B30&amp;"'!$AF$6:$AF$205"),0))),"-"))</f>
        <v/>
      </c>
      <c r="J30" s="34">
        <f>IF(OR(AD30="",J$5="-"),"",IFERROR(IF(INDEX(INDIRECT("'"&amp;$B30&amp;"'!$N$6:$N$205"),MATCH($AF30&amp;"|"&amp;J$5,INDIRECT("'"&amp;$B30&amp;"'!$AF$6:$AF$205"),0))="","",INDEX(INDIRECT("'"&amp;$B30&amp;"'!$N$6:$N$205"),MATCH($AF30&amp;"|"&amp;J$5,INDIRECT("'"&amp;$B30&amp;"'!$AF$6:$AF$205"),0))),"-"))</f>
        <v/>
      </c>
      <c r="K30" s="34">
        <f>IF(OR(AD30="",K$5="-"),"",IFERROR(IF(INDEX(INDIRECT("'"&amp;$B30&amp;"'!$N$6:$N$205"),MATCH($AF30&amp;"|"&amp;K$5,INDIRECT("'"&amp;$B30&amp;"'!$AF$6:$AF$205"),0))="","",INDEX(INDIRECT("'"&amp;$B30&amp;"'!$N$6:$N$205"),MATCH($AF30&amp;"|"&amp;K$5,INDIRECT("'"&amp;$B30&amp;"'!$AF$6:$AF$205"),0))),"-"))</f>
        <v/>
      </c>
      <c r="L30" s="37">
        <f>IF(OR(AD30="",L$5="-"),"",IFERROR(IF(INDEX(INDIRECT("'"&amp;$B30&amp;"'!$R$6:$R$205"),MATCH($AF30&amp;"|"&amp;L$5,INDIRECT("'"&amp;$B30&amp;"'!$AF$6:$AF$205"),0))="","",INDEX(INDIRECT("'"&amp;$B30&amp;"'!$R$6:$R$205"),MATCH($AF30&amp;"|"&amp;L$5,INDIRECT("'"&amp;$B30&amp;"'!$AF$6:$AF$205"),0))),"-"))</f>
        <v/>
      </c>
      <c r="M30" s="37">
        <f>IF(OR(AD30="",M$5="-"),"",IFERROR(IF(INDEX(INDIRECT("'"&amp;$B30&amp;"'!$R$6:$R$205"),MATCH($AF30&amp;"|"&amp;M$5,INDIRECT("'"&amp;$B30&amp;"'!$AF$6:$AF$205"),0))="","",INDEX(INDIRECT("'"&amp;$B30&amp;"'!$R$6:$R$205"),MATCH($AF30&amp;"|"&amp;M$5,INDIRECT("'"&amp;$B30&amp;"'!$AF$6:$AF$205"),0))),"-"))</f>
        <v/>
      </c>
      <c r="N30" s="37">
        <f>IF(OR(AD30="",N$5="-"),"",IFERROR(IF(INDEX(INDIRECT("'"&amp;$B30&amp;"'!$R$6:$R$205"),MATCH($AF30&amp;"|"&amp;N$5,INDIRECT("'"&amp;$B30&amp;"'!$AF$6:$AF$205"),0))="","",INDEX(INDIRECT("'"&amp;$B30&amp;"'!$R$6:$R$205"),MATCH($AF30&amp;"|"&amp;N$5,INDIRECT("'"&amp;$B30&amp;"'!$AF$6:$AF$205"),0))),"-"))</f>
        <v/>
      </c>
      <c r="O30" s="37">
        <f>IF(OR(AD30="",O$5="-"),"",IFERROR(IF(INDEX(INDIRECT("'"&amp;$B30&amp;"'!$R$6:$R$205"),MATCH($AF30&amp;"|"&amp;O$5,INDIRECT("'"&amp;$B30&amp;"'!$AF$6:$AF$205"),0))="","",INDEX(INDIRECT("'"&amp;$B30&amp;"'!$R$6:$R$205"),MATCH($AF30&amp;"|"&amp;O$5,INDIRECT("'"&amp;$B30&amp;"'!$AF$6:$AF$205"),0))),"-"))</f>
        <v/>
      </c>
      <c r="P30" s="38">
        <f>IF(OR(AD30="",P$5="-"),"",IFERROR(IF(INDEX(INDIRECT("'"&amp;$B30&amp;"'!$T$6:$T$205"),MATCH($AF30&amp;"|"&amp;P$5,INDIRECT("'"&amp;$B30&amp;"'!$AF$6:$AF$205"),0))="","",INDEX(INDIRECT("'"&amp;$B30&amp;"'!$T$6:$T$205"),MATCH($AF30&amp;"|"&amp;P$5,INDIRECT("'"&amp;$B30&amp;"'!$AF$6:$AF$205"),0))),"-"))</f>
        <v/>
      </c>
      <c r="Q30" s="38">
        <f>IF(OR(AD30="",Q$5="-"),"",IFERROR(IF(INDEX(INDIRECT("'"&amp;$B30&amp;"'!$T$6:$T$205"),MATCH($AF30&amp;"|"&amp;Q$5,INDIRECT("'"&amp;$B30&amp;"'!$AF$6:$AF$205"),0))="","",INDEX(INDIRECT("'"&amp;$B30&amp;"'!$T$6:$T$205"),MATCH($AF30&amp;"|"&amp;Q$5,INDIRECT("'"&amp;$B30&amp;"'!$AF$6:$AF$205"),0))),"-"))</f>
        <v/>
      </c>
      <c r="R30" s="38">
        <f>IF(OR(AD30="",R$5="-"),"",IFERROR(IF(INDEX(INDIRECT("'"&amp;$B30&amp;"'!$T$6:$T$205"),MATCH($AF30&amp;"|"&amp;R$5,INDIRECT("'"&amp;$B30&amp;"'!$AF$6:$AF$205"),0))="","",INDEX(INDIRECT("'"&amp;$B30&amp;"'!$T$6:$T$205"),MATCH($AF30&amp;"|"&amp;R$5,INDIRECT("'"&amp;$B30&amp;"'!$AF$6:$AF$205"),0))),"-"))</f>
        <v/>
      </c>
      <c r="S30" s="38">
        <f>IF(OR(AD30="",S$5="-"),"",IFERROR(IF(INDEX(INDIRECT("'"&amp;$B30&amp;"'!$T$6:$T$205"),MATCH($AF30&amp;"|"&amp;S$5,INDIRECT("'"&amp;$B30&amp;"'!$AF$6:$AF$205"),0))="","",INDEX(INDIRECT("'"&amp;$B30&amp;"'!$T$6:$T$205"),MATCH($AF30&amp;"|"&amp;S$5,INDIRECT("'"&amp;$B30&amp;"'!$AF$6:$AF$205"),0))),"-"))</f>
        <v/>
      </c>
      <c r="T30" s="35">
        <f>IF(U30="","",INDEX($L$5:$O$5,MATCH(U30,L30:O30,0)))</f>
        <v/>
      </c>
      <c r="U30" s="37">
        <f>IF(COUNT(L30:O30)=0,"",MIN(L30:O30))</f>
        <v/>
      </c>
      <c r="V30" s="39">
        <f>IF(U30="","",U30*F30)</f>
        <v/>
      </c>
      <c r="W30" s="39">
        <f>IF(COUNT(L30:O30)&lt;2,"",(MAX(L30:O30)-MIN(L30:O30))*F30)</f>
        <v/>
      </c>
      <c r="X30" s="20" t="n"/>
      <c r="AD30">
        <f>IF(25&gt;MAX($AB$6:$AB$9),"",COUNTIF($AB$6:$AB$9,"&lt;"&amp;25)+1)</f>
        <v/>
      </c>
      <c r="AE30">
        <f>IF(AD30="","",25-INDEX($AC$6:$AC$9,AD30))</f>
        <v/>
      </c>
      <c r="AF30">
        <f>IF(AD30="","",INDEX(INDIRECT("'"&amp;$B30&amp;"'!$AE$6:$AE$205"),MATCH(AE30,INDIRECT("'"&amp;$B30&amp;"'!$AI$6:$AI$205"),0)))</f>
        <v/>
      </c>
    </row>
    <row r="31">
      <c r="A31" s="34">
        <f>IF(AD31="","",26)</f>
        <v/>
      </c>
      <c r="B31" s="35">
        <f>IF(AD31="","",INDEX($Z$6:$Z$9,AD31))</f>
        <v/>
      </c>
      <c r="C31" s="34">
        <f>IF(AD31="","",INDEX(INDIRECT("'"&amp;$B31&amp;"'!$B$6:$B$205"),MATCH($AF31,INDIRECT("'"&amp;$B31&amp;"'!$AE$6:$AE$205"),0)))</f>
        <v/>
      </c>
      <c r="D31" s="34">
        <f>IF(AD31="","",INDEX(INDIRECT("'"&amp;$B31&amp;"'!$D$6:$D$205"),MATCH($AF31,INDIRECT("'"&amp;$B31&amp;"'!$AE$6:$AE$205"),0)))</f>
        <v/>
      </c>
      <c r="E31" s="36">
        <f>IF(AD31="","",INDEX(INDIRECT("'"&amp;$B31&amp;"'!$F$6:$F$205"),MATCH($AF31,INDIRECT("'"&amp;$B31&amp;"'!$AE$6:$AE$205"),0)))</f>
        <v/>
      </c>
      <c r="F31" s="34">
        <f>IF(AD31="","",INDEX(INDIRECT("'"&amp;$B31&amp;"'!$K$6:$K$205"),MATCH($AF31,INDIRECT("'"&amp;$B31&amp;"'!$AE$6:$AE$205"),0)))</f>
        <v/>
      </c>
      <c r="G31" s="34">
        <f>IF(AD31="","",INDEX(INDIRECT("'"&amp;$B31&amp;"'!$L$6:$L$205"),MATCH($AF31,INDIRECT("'"&amp;$B31&amp;"'!$AE$6:$AE$205"),0)))</f>
        <v/>
      </c>
      <c r="H31" s="34">
        <f>IF(OR(AD31="",H$5="-"),"",IFERROR(IF(INDEX(INDIRECT("'"&amp;$B31&amp;"'!$N$6:$N$205"),MATCH($AF31&amp;"|"&amp;H$5,INDIRECT("'"&amp;$B31&amp;"'!$AF$6:$AF$205"),0))="","",INDEX(INDIRECT("'"&amp;$B31&amp;"'!$N$6:$N$205"),MATCH($AF31&amp;"|"&amp;H$5,INDIRECT("'"&amp;$B31&amp;"'!$AF$6:$AF$205"),0))),"-"))</f>
        <v/>
      </c>
      <c r="I31" s="34">
        <f>IF(OR(AD31="",I$5="-"),"",IFERROR(IF(INDEX(INDIRECT("'"&amp;$B31&amp;"'!$N$6:$N$205"),MATCH($AF31&amp;"|"&amp;I$5,INDIRECT("'"&amp;$B31&amp;"'!$AF$6:$AF$205"),0))="","",INDEX(INDIRECT("'"&amp;$B31&amp;"'!$N$6:$N$205"),MATCH($AF31&amp;"|"&amp;I$5,INDIRECT("'"&amp;$B31&amp;"'!$AF$6:$AF$205"),0))),"-"))</f>
        <v/>
      </c>
      <c r="J31" s="34">
        <f>IF(OR(AD31="",J$5="-"),"",IFERROR(IF(INDEX(INDIRECT("'"&amp;$B31&amp;"'!$N$6:$N$205"),MATCH($AF31&amp;"|"&amp;J$5,INDIRECT("'"&amp;$B31&amp;"'!$AF$6:$AF$205"),0))="","",INDEX(INDIRECT("'"&amp;$B31&amp;"'!$N$6:$N$205"),MATCH($AF31&amp;"|"&amp;J$5,INDIRECT("'"&amp;$B31&amp;"'!$AF$6:$AF$205"),0))),"-"))</f>
        <v/>
      </c>
      <c r="K31" s="34">
        <f>IF(OR(AD31="",K$5="-"),"",IFERROR(IF(INDEX(INDIRECT("'"&amp;$B31&amp;"'!$N$6:$N$205"),MATCH($AF31&amp;"|"&amp;K$5,INDIRECT("'"&amp;$B31&amp;"'!$AF$6:$AF$205"),0))="","",INDEX(INDIRECT("'"&amp;$B31&amp;"'!$N$6:$N$205"),MATCH($AF31&amp;"|"&amp;K$5,INDIRECT("'"&amp;$B31&amp;"'!$AF$6:$AF$205"),0))),"-"))</f>
        <v/>
      </c>
      <c r="L31" s="37">
        <f>IF(OR(AD31="",L$5="-"),"",IFERROR(IF(INDEX(INDIRECT("'"&amp;$B31&amp;"'!$R$6:$R$205"),MATCH($AF31&amp;"|"&amp;L$5,INDIRECT("'"&amp;$B31&amp;"'!$AF$6:$AF$205"),0))="","",INDEX(INDIRECT("'"&amp;$B31&amp;"'!$R$6:$R$205"),MATCH($AF31&amp;"|"&amp;L$5,INDIRECT("'"&amp;$B31&amp;"'!$AF$6:$AF$205"),0))),"-"))</f>
        <v/>
      </c>
      <c r="M31" s="37">
        <f>IF(OR(AD31="",M$5="-"),"",IFERROR(IF(INDEX(INDIRECT("'"&amp;$B31&amp;"'!$R$6:$R$205"),MATCH($AF31&amp;"|"&amp;M$5,INDIRECT("'"&amp;$B31&amp;"'!$AF$6:$AF$205"),0))="","",INDEX(INDIRECT("'"&amp;$B31&amp;"'!$R$6:$R$205"),MATCH($AF31&amp;"|"&amp;M$5,INDIRECT("'"&amp;$B31&amp;"'!$AF$6:$AF$205"),0))),"-"))</f>
        <v/>
      </c>
      <c r="N31" s="37">
        <f>IF(OR(AD31="",N$5="-"),"",IFERROR(IF(INDEX(INDIRECT("'"&amp;$B31&amp;"'!$R$6:$R$205"),MATCH($AF31&amp;"|"&amp;N$5,INDIRECT("'"&amp;$B31&amp;"'!$AF$6:$AF$205"),0))="","",INDEX(INDIRECT("'"&amp;$B31&amp;"'!$R$6:$R$205"),MATCH($AF31&amp;"|"&amp;N$5,INDIRECT("'"&amp;$B31&amp;"'!$AF$6:$AF$205"),0))),"-"))</f>
        <v/>
      </c>
      <c r="O31" s="37">
        <f>IF(OR(AD31="",O$5="-"),"",IFERROR(IF(INDEX(INDIRECT("'"&amp;$B31&amp;"'!$R$6:$R$205"),MATCH($AF31&amp;"|"&amp;O$5,INDIRECT("'"&amp;$B31&amp;"'!$AF$6:$AF$205"),0))="","",INDEX(INDIRECT("'"&amp;$B31&amp;"'!$R$6:$R$205"),MATCH($AF31&amp;"|"&amp;O$5,INDIRECT("'"&amp;$B31&amp;"'!$AF$6:$AF$205"),0))),"-"))</f>
        <v/>
      </c>
      <c r="P31" s="38">
        <f>IF(OR(AD31="",P$5="-"),"",IFERROR(IF(INDEX(INDIRECT("'"&amp;$B31&amp;"'!$T$6:$T$205"),MATCH($AF31&amp;"|"&amp;P$5,INDIRECT("'"&amp;$B31&amp;"'!$AF$6:$AF$205"),0))="","",INDEX(INDIRECT("'"&amp;$B31&amp;"'!$T$6:$T$205"),MATCH($AF31&amp;"|"&amp;P$5,INDIRECT("'"&amp;$B31&amp;"'!$AF$6:$AF$205"),0))),"-"))</f>
        <v/>
      </c>
      <c r="Q31" s="38">
        <f>IF(OR(AD31="",Q$5="-"),"",IFERROR(IF(INDEX(INDIRECT("'"&amp;$B31&amp;"'!$T$6:$T$205"),MATCH($AF31&amp;"|"&amp;Q$5,INDIRECT("'"&amp;$B31&amp;"'!$AF$6:$AF$205"),0))="","",INDEX(INDIRECT("'"&amp;$B31&amp;"'!$T$6:$T$205"),MATCH($AF31&amp;"|"&amp;Q$5,INDIRECT("'"&amp;$B31&amp;"'!$AF$6:$AF$205"),0))),"-"))</f>
        <v/>
      </c>
      <c r="R31" s="38">
        <f>IF(OR(AD31="",R$5="-"),"",IFERROR(IF(INDEX(INDIRECT("'"&amp;$B31&amp;"'!$T$6:$T$205"),MATCH($AF31&amp;"|"&amp;R$5,INDIRECT("'"&amp;$B31&amp;"'!$AF$6:$AF$205"),0))="","",INDEX(INDIRECT("'"&amp;$B31&amp;"'!$T$6:$T$205"),MATCH($AF31&amp;"|"&amp;R$5,INDIRECT("'"&amp;$B31&amp;"'!$AF$6:$AF$205"),0))),"-"))</f>
        <v/>
      </c>
      <c r="S31" s="38">
        <f>IF(OR(AD31="",S$5="-"),"",IFERROR(IF(INDEX(INDIRECT("'"&amp;$B31&amp;"'!$T$6:$T$205"),MATCH($AF31&amp;"|"&amp;S$5,INDIRECT("'"&amp;$B31&amp;"'!$AF$6:$AF$205"),0))="","",INDEX(INDIRECT("'"&amp;$B31&amp;"'!$T$6:$T$205"),MATCH($AF31&amp;"|"&amp;S$5,INDIRECT("'"&amp;$B31&amp;"'!$AF$6:$AF$205"),0))),"-"))</f>
        <v/>
      </c>
      <c r="T31" s="35">
        <f>IF(U31="","",INDEX($L$5:$O$5,MATCH(U31,L31:O31,0)))</f>
        <v/>
      </c>
      <c r="U31" s="37">
        <f>IF(COUNT(L31:O31)=0,"",MIN(L31:O31))</f>
        <v/>
      </c>
      <c r="V31" s="39">
        <f>IF(U31="","",U31*F31)</f>
        <v/>
      </c>
      <c r="W31" s="39">
        <f>IF(COUNT(L31:O31)&lt;2,"",(MAX(L31:O31)-MIN(L31:O31))*F31)</f>
        <v/>
      </c>
      <c r="X31" s="20" t="n"/>
      <c r="AD31">
        <f>IF(26&gt;MAX($AB$6:$AB$9),"",COUNTIF($AB$6:$AB$9,"&lt;"&amp;26)+1)</f>
        <v/>
      </c>
      <c r="AE31">
        <f>IF(AD31="","",26-INDEX($AC$6:$AC$9,AD31))</f>
        <v/>
      </c>
      <c r="AF31">
        <f>IF(AD31="","",INDEX(INDIRECT("'"&amp;$B31&amp;"'!$AE$6:$AE$205"),MATCH(AE31,INDIRECT("'"&amp;$B31&amp;"'!$AI$6:$AI$205"),0)))</f>
        <v/>
      </c>
    </row>
    <row r="32">
      <c r="A32" s="34">
        <f>IF(AD32="","",27)</f>
        <v/>
      </c>
      <c r="B32" s="35">
        <f>IF(AD32="","",INDEX($Z$6:$Z$9,AD32))</f>
        <v/>
      </c>
      <c r="C32" s="34">
        <f>IF(AD32="","",INDEX(INDIRECT("'"&amp;$B32&amp;"'!$B$6:$B$205"),MATCH($AF32,INDIRECT("'"&amp;$B32&amp;"'!$AE$6:$AE$205"),0)))</f>
        <v/>
      </c>
      <c r="D32" s="34">
        <f>IF(AD32="","",INDEX(INDIRECT("'"&amp;$B32&amp;"'!$D$6:$D$205"),MATCH($AF32,INDIRECT("'"&amp;$B32&amp;"'!$AE$6:$AE$205"),0)))</f>
        <v/>
      </c>
      <c r="E32" s="36">
        <f>IF(AD32="","",INDEX(INDIRECT("'"&amp;$B32&amp;"'!$F$6:$F$205"),MATCH($AF32,INDIRECT("'"&amp;$B32&amp;"'!$AE$6:$AE$205"),0)))</f>
        <v/>
      </c>
      <c r="F32" s="34">
        <f>IF(AD32="","",INDEX(INDIRECT("'"&amp;$B32&amp;"'!$K$6:$K$205"),MATCH($AF32,INDIRECT("'"&amp;$B32&amp;"'!$AE$6:$AE$205"),0)))</f>
        <v/>
      </c>
      <c r="G32" s="34">
        <f>IF(AD32="","",INDEX(INDIRECT("'"&amp;$B32&amp;"'!$L$6:$L$205"),MATCH($AF32,INDIRECT("'"&amp;$B32&amp;"'!$AE$6:$AE$205"),0)))</f>
        <v/>
      </c>
      <c r="H32" s="34">
        <f>IF(OR(AD32="",H$5="-"),"",IFERROR(IF(INDEX(INDIRECT("'"&amp;$B32&amp;"'!$N$6:$N$205"),MATCH($AF32&amp;"|"&amp;H$5,INDIRECT("'"&amp;$B32&amp;"'!$AF$6:$AF$205"),0))="","",INDEX(INDIRECT("'"&amp;$B32&amp;"'!$N$6:$N$205"),MATCH($AF32&amp;"|"&amp;H$5,INDIRECT("'"&amp;$B32&amp;"'!$AF$6:$AF$205"),0))),"-"))</f>
        <v/>
      </c>
      <c r="I32" s="34">
        <f>IF(OR(AD32="",I$5="-"),"",IFERROR(IF(INDEX(INDIRECT("'"&amp;$B32&amp;"'!$N$6:$N$205"),MATCH($AF32&amp;"|"&amp;I$5,INDIRECT("'"&amp;$B32&amp;"'!$AF$6:$AF$205"),0))="","",INDEX(INDIRECT("'"&amp;$B32&amp;"'!$N$6:$N$205"),MATCH($AF32&amp;"|"&amp;I$5,INDIRECT("'"&amp;$B32&amp;"'!$AF$6:$AF$205"),0))),"-"))</f>
        <v/>
      </c>
      <c r="J32" s="34">
        <f>IF(OR(AD32="",J$5="-"),"",IFERROR(IF(INDEX(INDIRECT("'"&amp;$B32&amp;"'!$N$6:$N$205"),MATCH($AF32&amp;"|"&amp;J$5,INDIRECT("'"&amp;$B32&amp;"'!$AF$6:$AF$205"),0))="","",INDEX(INDIRECT("'"&amp;$B32&amp;"'!$N$6:$N$205"),MATCH($AF32&amp;"|"&amp;J$5,INDIRECT("'"&amp;$B32&amp;"'!$AF$6:$AF$205"),0))),"-"))</f>
        <v/>
      </c>
      <c r="K32" s="34">
        <f>IF(OR(AD32="",K$5="-"),"",IFERROR(IF(INDEX(INDIRECT("'"&amp;$B32&amp;"'!$N$6:$N$205"),MATCH($AF32&amp;"|"&amp;K$5,INDIRECT("'"&amp;$B32&amp;"'!$AF$6:$AF$205"),0))="","",INDEX(INDIRECT("'"&amp;$B32&amp;"'!$N$6:$N$205"),MATCH($AF32&amp;"|"&amp;K$5,INDIRECT("'"&amp;$B32&amp;"'!$AF$6:$AF$205"),0))),"-"))</f>
        <v/>
      </c>
      <c r="L32" s="37">
        <f>IF(OR(AD32="",L$5="-"),"",IFERROR(IF(INDEX(INDIRECT("'"&amp;$B32&amp;"'!$R$6:$R$205"),MATCH($AF32&amp;"|"&amp;L$5,INDIRECT("'"&amp;$B32&amp;"'!$AF$6:$AF$205"),0))="","",INDEX(INDIRECT("'"&amp;$B32&amp;"'!$R$6:$R$205"),MATCH($AF32&amp;"|"&amp;L$5,INDIRECT("'"&amp;$B32&amp;"'!$AF$6:$AF$205"),0))),"-"))</f>
        <v/>
      </c>
      <c r="M32" s="37">
        <f>IF(OR(AD32="",M$5="-"),"",IFERROR(IF(INDEX(INDIRECT("'"&amp;$B32&amp;"'!$R$6:$R$205"),MATCH($AF32&amp;"|"&amp;M$5,INDIRECT("'"&amp;$B32&amp;"'!$AF$6:$AF$205"),0))="","",INDEX(INDIRECT("'"&amp;$B32&amp;"'!$R$6:$R$205"),MATCH($AF32&amp;"|"&amp;M$5,INDIRECT("'"&amp;$B32&amp;"'!$AF$6:$AF$205"),0))),"-"))</f>
        <v/>
      </c>
      <c r="N32" s="37">
        <f>IF(OR(AD32="",N$5="-"),"",IFERROR(IF(INDEX(INDIRECT("'"&amp;$B32&amp;"'!$R$6:$R$205"),MATCH($AF32&amp;"|"&amp;N$5,INDIRECT("'"&amp;$B32&amp;"'!$AF$6:$AF$205"),0))="","",INDEX(INDIRECT("'"&amp;$B32&amp;"'!$R$6:$R$205"),MATCH($AF32&amp;"|"&amp;N$5,INDIRECT("'"&amp;$B32&amp;"'!$AF$6:$AF$205"),0))),"-"))</f>
        <v/>
      </c>
      <c r="O32" s="37">
        <f>IF(OR(AD32="",O$5="-"),"",IFERROR(IF(INDEX(INDIRECT("'"&amp;$B32&amp;"'!$R$6:$R$205"),MATCH($AF32&amp;"|"&amp;O$5,INDIRECT("'"&amp;$B32&amp;"'!$AF$6:$AF$205"),0))="","",INDEX(INDIRECT("'"&amp;$B32&amp;"'!$R$6:$R$205"),MATCH($AF32&amp;"|"&amp;O$5,INDIRECT("'"&amp;$B32&amp;"'!$AF$6:$AF$205"),0))),"-"))</f>
        <v/>
      </c>
      <c r="P32" s="38">
        <f>IF(OR(AD32="",P$5="-"),"",IFERROR(IF(INDEX(INDIRECT("'"&amp;$B32&amp;"'!$T$6:$T$205"),MATCH($AF32&amp;"|"&amp;P$5,INDIRECT("'"&amp;$B32&amp;"'!$AF$6:$AF$205"),0))="","",INDEX(INDIRECT("'"&amp;$B32&amp;"'!$T$6:$T$205"),MATCH($AF32&amp;"|"&amp;P$5,INDIRECT("'"&amp;$B32&amp;"'!$AF$6:$AF$205"),0))),"-"))</f>
        <v/>
      </c>
      <c r="Q32" s="38">
        <f>IF(OR(AD32="",Q$5="-"),"",IFERROR(IF(INDEX(INDIRECT("'"&amp;$B32&amp;"'!$T$6:$T$205"),MATCH($AF32&amp;"|"&amp;Q$5,INDIRECT("'"&amp;$B32&amp;"'!$AF$6:$AF$205"),0))="","",INDEX(INDIRECT("'"&amp;$B32&amp;"'!$T$6:$T$205"),MATCH($AF32&amp;"|"&amp;Q$5,INDIRECT("'"&amp;$B32&amp;"'!$AF$6:$AF$205"),0))),"-"))</f>
        <v/>
      </c>
      <c r="R32" s="38">
        <f>IF(OR(AD32="",R$5="-"),"",IFERROR(IF(INDEX(INDIRECT("'"&amp;$B32&amp;"'!$T$6:$T$205"),MATCH($AF32&amp;"|"&amp;R$5,INDIRECT("'"&amp;$B32&amp;"'!$AF$6:$AF$205"),0))="","",INDEX(INDIRECT("'"&amp;$B32&amp;"'!$T$6:$T$205"),MATCH($AF32&amp;"|"&amp;R$5,INDIRECT("'"&amp;$B32&amp;"'!$AF$6:$AF$205"),0))),"-"))</f>
        <v/>
      </c>
      <c r="S32" s="38">
        <f>IF(OR(AD32="",S$5="-"),"",IFERROR(IF(INDEX(INDIRECT("'"&amp;$B32&amp;"'!$T$6:$T$205"),MATCH($AF32&amp;"|"&amp;S$5,INDIRECT("'"&amp;$B32&amp;"'!$AF$6:$AF$205"),0))="","",INDEX(INDIRECT("'"&amp;$B32&amp;"'!$T$6:$T$205"),MATCH($AF32&amp;"|"&amp;S$5,INDIRECT("'"&amp;$B32&amp;"'!$AF$6:$AF$205"),0))),"-"))</f>
        <v/>
      </c>
      <c r="T32" s="35">
        <f>IF(U32="","",INDEX($L$5:$O$5,MATCH(U32,L32:O32,0)))</f>
        <v/>
      </c>
      <c r="U32" s="37">
        <f>IF(COUNT(L32:O32)=0,"",MIN(L32:O32))</f>
        <v/>
      </c>
      <c r="V32" s="39">
        <f>IF(U32="","",U32*F32)</f>
        <v/>
      </c>
      <c r="W32" s="39">
        <f>IF(COUNT(L32:O32)&lt;2,"",(MAX(L32:O32)-MIN(L32:O32))*F32)</f>
        <v/>
      </c>
      <c r="X32" s="20" t="n"/>
      <c r="AD32">
        <f>IF(27&gt;MAX($AB$6:$AB$9),"",COUNTIF($AB$6:$AB$9,"&lt;"&amp;27)+1)</f>
        <v/>
      </c>
      <c r="AE32">
        <f>IF(AD32="","",27-INDEX($AC$6:$AC$9,AD32))</f>
        <v/>
      </c>
      <c r="AF32">
        <f>IF(AD32="","",INDEX(INDIRECT("'"&amp;$B32&amp;"'!$AE$6:$AE$205"),MATCH(AE32,INDIRECT("'"&amp;$B32&amp;"'!$AI$6:$AI$205"),0)))</f>
        <v/>
      </c>
    </row>
    <row r="33">
      <c r="A33" s="34">
        <f>IF(AD33="","",28)</f>
        <v/>
      </c>
      <c r="B33" s="35">
        <f>IF(AD33="","",INDEX($Z$6:$Z$9,AD33))</f>
        <v/>
      </c>
      <c r="C33" s="34">
        <f>IF(AD33="","",INDEX(INDIRECT("'"&amp;$B33&amp;"'!$B$6:$B$205"),MATCH($AF33,INDIRECT("'"&amp;$B33&amp;"'!$AE$6:$AE$205"),0)))</f>
        <v/>
      </c>
      <c r="D33" s="34">
        <f>IF(AD33="","",INDEX(INDIRECT("'"&amp;$B33&amp;"'!$D$6:$D$205"),MATCH($AF33,INDIRECT("'"&amp;$B33&amp;"'!$AE$6:$AE$205"),0)))</f>
        <v/>
      </c>
      <c r="E33" s="36">
        <f>IF(AD33="","",INDEX(INDIRECT("'"&amp;$B33&amp;"'!$F$6:$F$205"),MATCH($AF33,INDIRECT("'"&amp;$B33&amp;"'!$AE$6:$AE$205"),0)))</f>
        <v/>
      </c>
      <c r="F33" s="34">
        <f>IF(AD33="","",INDEX(INDIRECT("'"&amp;$B33&amp;"'!$K$6:$K$205"),MATCH($AF33,INDIRECT("'"&amp;$B33&amp;"'!$AE$6:$AE$205"),0)))</f>
        <v/>
      </c>
      <c r="G33" s="34">
        <f>IF(AD33="","",INDEX(INDIRECT("'"&amp;$B33&amp;"'!$L$6:$L$205"),MATCH($AF33,INDIRECT("'"&amp;$B33&amp;"'!$AE$6:$AE$205"),0)))</f>
        <v/>
      </c>
      <c r="H33" s="34">
        <f>IF(OR(AD33="",H$5="-"),"",IFERROR(IF(INDEX(INDIRECT("'"&amp;$B33&amp;"'!$N$6:$N$205"),MATCH($AF33&amp;"|"&amp;H$5,INDIRECT("'"&amp;$B33&amp;"'!$AF$6:$AF$205"),0))="","",INDEX(INDIRECT("'"&amp;$B33&amp;"'!$N$6:$N$205"),MATCH($AF33&amp;"|"&amp;H$5,INDIRECT("'"&amp;$B33&amp;"'!$AF$6:$AF$205"),0))),"-"))</f>
        <v/>
      </c>
      <c r="I33" s="34">
        <f>IF(OR(AD33="",I$5="-"),"",IFERROR(IF(INDEX(INDIRECT("'"&amp;$B33&amp;"'!$N$6:$N$205"),MATCH($AF33&amp;"|"&amp;I$5,INDIRECT("'"&amp;$B33&amp;"'!$AF$6:$AF$205"),0))="","",INDEX(INDIRECT("'"&amp;$B33&amp;"'!$N$6:$N$205"),MATCH($AF33&amp;"|"&amp;I$5,INDIRECT("'"&amp;$B33&amp;"'!$AF$6:$AF$205"),0))),"-"))</f>
        <v/>
      </c>
      <c r="J33" s="34">
        <f>IF(OR(AD33="",J$5="-"),"",IFERROR(IF(INDEX(INDIRECT("'"&amp;$B33&amp;"'!$N$6:$N$205"),MATCH($AF33&amp;"|"&amp;J$5,INDIRECT("'"&amp;$B33&amp;"'!$AF$6:$AF$205"),0))="","",INDEX(INDIRECT("'"&amp;$B33&amp;"'!$N$6:$N$205"),MATCH($AF33&amp;"|"&amp;J$5,INDIRECT("'"&amp;$B33&amp;"'!$AF$6:$AF$205"),0))),"-"))</f>
        <v/>
      </c>
      <c r="K33" s="34">
        <f>IF(OR(AD33="",K$5="-"),"",IFERROR(IF(INDEX(INDIRECT("'"&amp;$B33&amp;"'!$N$6:$N$205"),MATCH($AF33&amp;"|"&amp;K$5,INDIRECT("'"&amp;$B33&amp;"'!$AF$6:$AF$205"),0))="","",INDEX(INDIRECT("'"&amp;$B33&amp;"'!$N$6:$N$205"),MATCH($AF33&amp;"|"&amp;K$5,INDIRECT("'"&amp;$B33&amp;"'!$AF$6:$AF$205"),0))),"-"))</f>
        <v/>
      </c>
      <c r="L33" s="37">
        <f>IF(OR(AD33="",L$5="-"),"",IFERROR(IF(INDEX(INDIRECT("'"&amp;$B33&amp;"'!$R$6:$R$205"),MATCH($AF33&amp;"|"&amp;L$5,INDIRECT("'"&amp;$B33&amp;"'!$AF$6:$AF$205"),0))="","",INDEX(INDIRECT("'"&amp;$B33&amp;"'!$R$6:$R$205"),MATCH($AF33&amp;"|"&amp;L$5,INDIRECT("'"&amp;$B33&amp;"'!$AF$6:$AF$205"),0))),"-"))</f>
        <v/>
      </c>
      <c r="M33" s="37">
        <f>IF(OR(AD33="",M$5="-"),"",IFERROR(IF(INDEX(INDIRECT("'"&amp;$B33&amp;"'!$R$6:$R$205"),MATCH($AF33&amp;"|"&amp;M$5,INDIRECT("'"&amp;$B33&amp;"'!$AF$6:$AF$205"),0))="","",INDEX(INDIRECT("'"&amp;$B33&amp;"'!$R$6:$R$205"),MATCH($AF33&amp;"|"&amp;M$5,INDIRECT("'"&amp;$B33&amp;"'!$AF$6:$AF$205"),0))),"-"))</f>
        <v/>
      </c>
      <c r="N33" s="37">
        <f>IF(OR(AD33="",N$5="-"),"",IFERROR(IF(INDEX(INDIRECT("'"&amp;$B33&amp;"'!$R$6:$R$205"),MATCH($AF33&amp;"|"&amp;N$5,INDIRECT("'"&amp;$B33&amp;"'!$AF$6:$AF$205"),0))="","",INDEX(INDIRECT("'"&amp;$B33&amp;"'!$R$6:$R$205"),MATCH($AF33&amp;"|"&amp;N$5,INDIRECT("'"&amp;$B33&amp;"'!$AF$6:$AF$205"),0))),"-"))</f>
        <v/>
      </c>
      <c r="O33" s="37">
        <f>IF(OR(AD33="",O$5="-"),"",IFERROR(IF(INDEX(INDIRECT("'"&amp;$B33&amp;"'!$R$6:$R$205"),MATCH($AF33&amp;"|"&amp;O$5,INDIRECT("'"&amp;$B33&amp;"'!$AF$6:$AF$205"),0))="","",INDEX(INDIRECT("'"&amp;$B33&amp;"'!$R$6:$R$205"),MATCH($AF33&amp;"|"&amp;O$5,INDIRECT("'"&amp;$B33&amp;"'!$AF$6:$AF$205"),0))),"-"))</f>
        <v/>
      </c>
      <c r="P33" s="38">
        <f>IF(OR(AD33="",P$5="-"),"",IFERROR(IF(INDEX(INDIRECT("'"&amp;$B33&amp;"'!$T$6:$T$205"),MATCH($AF33&amp;"|"&amp;P$5,INDIRECT("'"&amp;$B33&amp;"'!$AF$6:$AF$205"),0))="","",INDEX(INDIRECT("'"&amp;$B33&amp;"'!$T$6:$T$205"),MATCH($AF33&amp;"|"&amp;P$5,INDIRECT("'"&amp;$B33&amp;"'!$AF$6:$AF$205"),0))),"-"))</f>
        <v/>
      </c>
      <c r="Q33" s="38">
        <f>IF(OR(AD33="",Q$5="-"),"",IFERROR(IF(INDEX(INDIRECT("'"&amp;$B33&amp;"'!$T$6:$T$205"),MATCH($AF33&amp;"|"&amp;Q$5,INDIRECT("'"&amp;$B33&amp;"'!$AF$6:$AF$205"),0))="","",INDEX(INDIRECT("'"&amp;$B33&amp;"'!$T$6:$T$205"),MATCH($AF33&amp;"|"&amp;Q$5,INDIRECT("'"&amp;$B33&amp;"'!$AF$6:$AF$205"),0))),"-"))</f>
        <v/>
      </c>
      <c r="R33" s="38">
        <f>IF(OR(AD33="",R$5="-"),"",IFERROR(IF(INDEX(INDIRECT("'"&amp;$B33&amp;"'!$T$6:$T$205"),MATCH($AF33&amp;"|"&amp;R$5,INDIRECT("'"&amp;$B33&amp;"'!$AF$6:$AF$205"),0))="","",INDEX(INDIRECT("'"&amp;$B33&amp;"'!$T$6:$T$205"),MATCH($AF33&amp;"|"&amp;R$5,INDIRECT("'"&amp;$B33&amp;"'!$AF$6:$AF$205"),0))),"-"))</f>
        <v/>
      </c>
      <c r="S33" s="38">
        <f>IF(OR(AD33="",S$5="-"),"",IFERROR(IF(INDEX(INDIRECT("'"&amp;$B33&amp;"'!$T$6:$T$205"),MATCH($AF33&amp;"|"&amp;S$5,INDIRECT("'"&amp;$B33&amp;"'!$AF$6:$AF$205"),0))="","",INDEX(INDIRECT("'"&amp;$B33&amp;"'!$T$6:$T$205"),MATCH($AF33&amp;"|"&amp;S$5,INDIRECT("'"&amp;$B33&amp;"'!$AF$6:$AF$205"),0))),"-"))</f>
        <v/>
      </c>
      <c r="T33" s="35">
        <f>IF(U33="","",INDEX($L$5:$O$5,MATCH(U33,L33:O33,0)))</f>
        <v/>
      </c>
      <c r="U33" s="37">
        <f>IF(COUNT(L33:O33)=0,"",MIN(L33:O33))</f>
        <v/>
      </c>
      <c r="V33" s="39">
        <f>IF(U33="","",U33*F33)</f>
        <v/>
      </c>
      <c r="W33" s="39">
        <f>IF(COUNT(L33:O33)&lt;2,"",(MAX(L33:O33)-MIN(L33:O33))*F33)</f>
        <v/>
      </c>
      <c r="X33" s="20" t="n"/>
      <c r="AD33">
        <f>IF(28&gt;MAX($AB$6:$AB$9),"",COUNTIF($AB$6:$AB$9,"&lt;"&amp;28)+1)</f>
        <v/>
      </c>
      <c r="AE33">
        <f>IF(AD33="","",28-INDEX($AC$6:$AC$9,AD33))</f>
        <v/>
      </c>
      <c r="AF33">
        <f>IF(AD33="","",INDEX(INDIRECT("'"&amp;$B33&amp;"'!$AE$6:$AE$205"),MATCH(AE33,INDIRECT("'"&amp;$B33&amp;"'!$AI$6:$AI$205"),0)))</f>
        <v/>
      </c>
    </row>
    <row r="34">
      <c r="A34" s="34">
        <f>IF(AD34="","",29)</f>
        <v/>
      </c>
      <c r="B34" s="35">
        <f>IF(AD34="","",INDEX($Z$6:$Z$9,AD34))</f>
        <v/>
      </c>
      <c r="C34" s="34">
        <f>IF(AD34="","",INDEX(INDIRECT("'"&amp;$B34&amp;"'!$B$6:$B$205"),MATCH($AF34,INDIRECT("'"&amp;$B34&amp;"'!$AE$6:$AE$205"),0)))</f>
        <v/>
      </c>
      <c r="D34" s="34">
        <f>IF(AD34="","",INDEX(INDIRECT("'"&amp;$B34&amp;"'!$D$6:$D$205"),MATCH($AF34,INDIRECT("'"&amp;$B34&amp;"'!$AE$6:$AE$205"),0)))</f>
        <v/>
      </c>
      <c r="E34" s="36">
        <f>IF(AD34="","",INDEX(INDIRECT("'"&amp;$B34&amp;"'!$F$6:$F$205"),MATCH($AF34,INDIRECT("'"&amp;$B34&amp;"'!$AE$6:$AE$205"),0)))</f>
        <v/>
      </c>
      <c r="F34" s="34">
        <f>IF(AD34="","",INDEX(INDIRECT("'"&amp;$B34&amp;"'!$K$6:$K$205"),MATCH($AF34,INDIRECT("'"&amp;$B34&amp;"'!$AE$6:$AE$205"),0)))</f>
        <v/>
      </c>
      <c r="G34" s="34">
        <f>IF(AD34="","",INDEX(INDIRECT("'"&amp;$B34&amp;"'!$L$6:$L$205"),MATCH($AF34,INDIRECT("'"&amp;$B34&amp;"'!$AE$6:$AE$205"),0)))</f>
        <v/>
      </c>
      <c r="H34" s="34">
        <f>IF(OR(AD34="",H$5="-"),"",IFERROR(IF(INDEX(INDIRECT("'"&amp;$B34&amp;"'!$N$6:$N$205"),MATCH($AF34&amp;"|"&amp;H$5,INDIRECT("'"&amp;$B34&amp;"'!$AF$6:$AF$205"),0))="","",INDEX(INDIRECT("'"&amp;$B34&amp;"'!$N$6:$N$205"),MATCH($AF34&amp;"|"&amp;H$5,INDIRECT("'"&amp;$B34&amp;"'!$AF$6:$AF$205"),0))),"-"))</f>
        <v/>
      </c>
      <c r="I34" s="34">
        <f>IF(OR(AD34="",I$5="-"),"",IFERROR(IF(INDEX(INDIRECT("'"&amp;$B34&amp;"'!$N$6:$N$205"),MATCH($AF34&amp;"|"&amp;I$5,INDIRECT("'"&amp;$B34&amp;"'!$AF$6:$AF$205"),0))="","",INDEX(INDIRECT("'"&amp;$B34&amp;"'!$N$6:$N$205"),MATCH($AF34&amp;"|"&amp;I$5,INDIRECT("'"&amp;$B34&amp;"'!$AF$6:$AF$205"),0))),"-"))</f>
        <v/>
      </c>
      <c r="J34" s="34">
        <f>IF(OR(AD34="",J$5="-"),"",IFERROR(IF(INDEX(INDIRECT("'"&amp;$B34&amp;"'!$N$6:$N$205"),MATCH($AF34&amp;"|"&amp;J$5,INDIRECT("'"&amp;$B34&amp;"'!$AF$6:$AF$205"),0))="","",INDEX(INDIRECT("'"&amp;$B34&amp;"'!$N$6:$N$205"),MATCH($AF34&amp;"|"&amp;J$5,INDIRECT("'"&amp;$B34&amp;"'!$AF$6:$AF$205"),0))),"-"))</f>
        <v/>
      </c>
      <c r="K34" s="34">
        <f>IF(OR(AD34="",K$5="-"),"",IFERROR(IF(INDEX(INDIRECT("'"&amp;$B34&amp;"'!$N$6:$N$205"),MATCH($AF34&amp;"|"&amp;K$5,INDIRECT("'"&amp;$B34&amp;"'!$AF$6:$AF$205"),0))="","",INDEX(INDIRECT("'"&amp;$B34&amp;"'!$N$6:$N$205"),MATCH($AF34&amp;"|"&amp;K$5,INDIRECT("'"&amp;$B34&amp;"'!$AF$6:$AF$205"),0))),"-"))</f>
        <v/>
      </c>
      <c r="L34" s="37">
        <f>IF(OR(AD34="",L$5="-"),"",IFERROR(IF(INDEX(INDIRECT("'"&amp;$B34&amp;"'!$R$6:$R$205"),MATCH($AF34&amp;"|"&amp;L$5,INDIRECT("'"&amp;$B34&amp;"'!$AF$6:$AF$205"),0))="","",INDEX(INDIRECT("'"&amp;$B34&amp;"'!$R$6:$R$205"),MATCH($AF34&amp;"|"&amp;L$5,INDIRECT("'"&amp;$B34&amp;"'!$AF$6:$AF$205"),0))),"-"))</f>
        <v/>
      </c>
      <c r="M34" s="37">
        <f>IF(OR(AD34="",M$5="-"),"",IFERROR(IF(INDEX(INDIRECT("'"&amp;$B34&amp;"'!$R$6:$R$205"),MATCH($AF34&amp;"|"&amp;M$5,INDIRECT("'"&amp;$B34&amp;"'!$AF$6:$AF$205"),0))="","",INDEX(INDIRECT("'"&amp;$B34&amp;"'!$R$6:$R$205"),MATCH($AF34&amp;"|"&amp;M$5,INDIRECT("'"&amp;$B34&amp;"'!$AF$6:$AF$205"),0))),"-"))</f>
        <v/>
      </c>
      <c r="N34" s="37">
        <f>IF(OR(AD34="",N$5="-"),"",IFERROR(IF(INDEX(INDIRECT("'"&amp;$B34&amp;"'!$R$6:$R$205"),MATCH($AF34&amp;"|"&amp;N$5,INDIRECT("'"&amp;$B34&amp;"'!$AF$6:$AF$205"),0))="","",INDEX(INDIRECT("'"&amp;$B34&amp;"'!$R$6:$R$205"),MATCH($AF34&amp;"|"&amp;N$5,INDIRECT("'"&amp;$B34&amp;"'!$AF$6:$AF$205"),0))),"-"))</f>
        <v/>
      </c>
      <c r="O34" s="37">
        <f>IF(OR(AD34="",O$5="-"),"",IFERROR(IF(INDEX(INDIRECT("'"&amp;$B34&amp;"'!$R$6:$R$205"),MATCH($AF34&amp;"|"&amp;O$5,INDIRECT("'"&amp;$B34&amp;"'!$AF$6:$AF$205"),0))="","",INDEX(INDIRECT("'"&amp;$B34&amp;"'!$R$6:$R$205"),MATCH($AF34&amp;"|"&amp;O$5,INDIRECT("'"&amp;$B34&amp;"'!$AF$6:$AF$205"),0))),"-"))</f>
        <v/>
      </c>
      <c r="P34" s="38">
        <f>IF(OR(AD34="",P$5="-"),"",IFERROR(IF(INDEX(INDIRECT("'"&amp;$B34&amp;"'!$T$6:$T$205"),MATCH($AF34&amp;"|"&amp;P$5,INDIRECT("'"&amp;$B34&amp;"'!$AF$6:$AF$205"),0))="","",INDEX(INDIRECT("'"&amp;$B34&amp;"'!$T$6:$T$205"),MATCH($AF34&amp;"|"&amp;P$5,INDIRECT("'"&amp;$B34&amp;"'!$AF$6:$AF$205"),0))),"-"))</f>
        <v/>
      </c>
      <c r="Q34" s="38">
        <f>IF(OR(AD34="",Q$5="-"),"",IFERROR(IF(INDEX(INDIRECT("'"&amp;$B34&amp;"'!$T$6:$T$205"),MATCH($AF34&amp;"|"&amp;Q$5,INDIRECT("'"&amp;$B34&amp;"'!$AF$6:$AF$205"),0))="","",INDEX(INDIRECT("'"&amp;$B34&amp;"'!$T$6:$T$205"),MATCH($AF34&amp;"|"&amp;Q$5,INDIRECT("'"&amp;$B34&amp;"'!$AF$6:$AF$205"),0))),"-"))</f>
        <v/>
      </c>
      <c r="R34" s="38">
        <f>IF(OR(AD34="",R$5="-"),"",IFERROR(IF(INDEX(INDIRECT("'"&amp;$B34&amp;"'!$T$6:$T$205"),MATCH($AF34&amp;"|"&amp;R$5,INDIRECT("'"&amp;$B34&amp;"'!$AF$6:$AF$205"),0))="","",INDEX(INDIRECT("'"&amp;$B34&amp;"'!$T$6:$T$205"),MATCH($AF34&amp;"|"&amp;R$5,INDIRECT("'"&amp;$B34&amp;"'!$AF$6:$AF$205"),0))),"-"))</f>
        <v/>
      </c>
      <c r="S34" s="38">
        <f>IF(OR(AD34="",S$5="-"),"",IFERROR(IF(INDEX(INDIRECT("'"&amp;$B34&amp;"'!$T$6:$T$205"),MATCH($AF34&amp;"|"&amp;S$5,INDIRECT("'"&amp;$B34&amp;"'!$AF$6:$AF$205"),0))="","",INDEX(INDIRECT("'"&amp;$B34&amp;"'!$T$6:$T$205"),MATCH($AF34&amp;"|"&amp;S$5,INDIRECT("'"&amp;$B34&amp;"'!$AF$6:$AF$205"),0))),"-"))</f>
        <v/>
      </c>
      <c r="T34" s="35">
        <f>IF(U34="","",INDEX($L$5:$O$5,MATCH(U34,L34:O34,0)))</f>
        <v/>
      </c>
      <c r="U34" s="37">
        <f>IF(COUNT(L34:O34)=0,"",MIN(L34:O34))</f>
        <v/>
      </c>
      <c r="V34" s="39">
        <f>IF(U34="","",U34*F34)</f>
        <v/>
      </c>
      <c r="W34" s="39">
        <f>IF(COUNT(L34:O34)&lt;2,"",(MAX(L34:O34)-MIN(L34:O34))*F34)</f>
        <v/>
      </c>
      <c r="X34" s="20" t="n"/>
      <c r="AD34">
        <f>IF(29&gt;MAX($AB$6:$AB$9),"",COUNTIF($AB$6:$AB$9,"&lt;"&amp;29)+1)</f>
        <v/>
      </c>
      <c r="AE34">
        <f>IF(AD34="","",29-INDEX($AC$6:$AC$9,AD34))</f>
        <v/>
      </c>
      <c r="AF34">
        <f>IF(AD34="","",INDEX(INDIRECT("'"&amp;$B34&amp;"'!$AE$6:$AE$205"),MATCH(AE34,INDIRECT("'"&amp;$B34&amp;"'!$AI$6:$AI$205"),0)))</f>
        <v/>
      </c>
    </row>
    <row r="35">
      <c r="A35" s="34">
        <f>IF(AD35="","",30)</f>
        <v/>
      </c>
      <c r="B35" s="35">
        <f>IF(AD35="","",INDEX($Z$6:$Z$9,AD35))</f>
        <v/>
      </c>
      <c r="C35" s="34">
        <f>IF(AD35="","",INDEX(INDIRECT("'"&amp;$B35&amp;"'!$B$6:$B$205"),MATCH($AF35,INDIRECT("'"&amp;$B35&amp;"'!$AE$6:$AE$205"),0)))</f>
        <v/>
      </c>
      <c r="D35" s="34">
        <f>IF(AD35="","",INDEX(INDIRECT("'"&amp;$B35&amp;"'!$D$6:$D$205"),MATCH($AF35,INDIRECT("'"&amp;$B35&amp;"'!$AE$6:$AE$205"),0)))</f>
        <v/>
      </c>
      <c r="E35" s="36">
        <f>IF(AD35="","",INDEX(INDIRECT("'"&amp;$B35&amp;"'!$F$6:$F$205"),MATCH($AF35,INDIRECT("'"&amp;$B35&amp;"'!$AE$6:$AE$205"),0)))</f>
        <v/>
      </c>
      <c r="F35" s="34">
        <f>IF(AD35="","",INDEX(INDIRECT("'"&amp;$B35&amp;"'!$K$6:$K$205"),MATCH($AF35,INDIRECT("'"&amp;$B35&amp;"'!$AE$6:$AE$205"),0)))</f>
        <v/>
      </c>
      <c r="G35" s="34">
        <f>IF(AD35="","",INDEX(INDIRECT("'"&amp;$B35&amp;"'!$L$6:$L$205"),MATCH($AF35,INDIRECT("'"&amp;$B35&amp;"'!$AE$6:$AE$205"),0)))</f>
        <v/>
      </c>
      <c r="H35" s="34">
        <f>IF(OR(AD35="",H$5="-"),"",IFERROR(IF(INDEX(INDIRECT("'"&amp;$B35&amp;"'!$N$6:$N$205"),MATCH($AF35&amp;"|"&amp;H$5,INDIRECT("'"&amp;$B35&amp;"'!$AF$6:$AF$205"),0))="","",INDEX(INDIRECT("'"&amp;$B35&amp;"'!$N$6:$N$205"),MATCH($AF35&amp;"|"&amp;H$5,INDIRECT("'"&amp;$B35&amp;"'!$AF$6:$AF$205"),0))),"-"))</f>
        <v/>
      </c>
      <c r="I35" s="34">
        <f>IF(OR(AD35="",I$5="-"),"",IFERROR(IF(INDEX(INDIRECT("'"&amp;$B35&amp;"'!$N$6:$N$205"),MATCH($AF35&amp;"|"&amp;I$5,INDIRECT("'"&amp;$B35&amp;"'!$AF$6:$AF$205"),0))="","",INDEX(INDIRECT("'"&amp;$B35&amp;"'!$N$6:$N$205"),MATCH($AF35&amp;"|"&amp;I$5,INDIRECT("'"&amp;$B35&amp;"'!$AF$6:$AF$205"),0))),"-"))</f>
        <v/>
      </c>
      <c r="J35" s="34">
        <f>IF(OR(AD35="",J$5="-"),"",IFERROR(IF(INDEX(INDIRECT("'"&amp;$B35&amp;"'!$N$6:$N$205"),MATCH($AF35&amp;"|"&amp;J$5,INDIRECT("'"&amp;$B35&amp;"'!$AF$6:$AF$205"),0))="","",INDEX(INDIRECT("'"&amp;$B35&amp;"'!$N$6:$N$205"),MATCH($AF35&amp;"|"&amp;J$5,INDIRECT("'"&amp;$B35&amp;"'!$AF$6:$AF$205"),0))),"-"))</f>
        <v/>
      </c>
      <c r="K35" s="34">
        <f>IF(OR(AD35="",K$5="-"),"",IFERROR(IF(INDEX(INDIRECT("'"&amp;$B35&amp;"'!$N$6:$N$205"),MATCH($AF35&amp;"|"&amp;K$5,INDIRECT("'"&amp;$B35&amp;"'!$AF$6:$AF$205"),0))="","",INDEX(INDIRECT("'"&amp;$B35&amp;"'!$N$6:$N$205"),MATCH($AF35&amp;"|"&amp;K$5,INDIRECT("'"&amp;$B35&amp;"'!$AF$6:$AF$205"),0))),"-"))</f>
        <v/>
      </c>
      <c r="L35" s="37">
        <f>IF(OR(AD35="",L$5="-"),"",IFERROR(IF(INDEX(INDIRECT("'"&amp;$B35&amp;"'!$R$6:$R$205"),MATCH($AF35&amp;"|"&amp;L$5,INDIRECT("'"&amp;$B35&amp;"'!$AF$6:$AF$205"),0))="","",INDEX(INDIRECT("'"&amp;$B35&amp;"'!$R$6:$R$205"),MATCH($AF35&amp;"|"&amp;L$5,INDIRECT("'"&amp;$B35&amp;"'!$AF$6:$AF$205"),0))),"-"))</f>
        <v/>
      </c>
      <c r="M35" s="37">
        <f>IF(OR(AD35="",M$5="-"),"",IFERROR(IF(INDEX(INDIRECT("'"&amp;$B35&amp;"'!$R$6:$R$205"),MATCH($AF35&amp;"|"&amp;M$5,INDIRECT("'"&amp;$B35&amp;"'!$AF$6:$AF$205"),0))="","",INDEX(INDIRECT("'"&amp;$B35&amp;"'!$R$6:$R$205"),MATCH($AF35&amp;"|"&amp;M$5,INDIRECT("'"&amp;$B35&amp;"'!$AF$6:$AF$205"),0))),"-"))</f>
        <v/>
      </c>
      <c r="N35" s="37">
        <f>IF(OR(AD35="",N$5="-"),"",IFERROR(IF(INDEX(INDIRECT("'"&amp;$B35&amp;"'!$R$6:$R$205"),MATCH($AF35&amp;"|"&amp;N$5,INDIRECT("'"&amp;$B35&amp;"'!$AF$6:$AF$205"),0))="","",INDEX(INDIRECT("'"&amp;$B35&amp;"'!$R$6:$R$205"),MATCH($AF35&amp;"|"&amp;N$5,INDIRECT("'"&amp;$B35&amp;"'!$AF$6:$AF$205"),0))),"-"))</f>
        <v/>
      </c>
      <c r="O35" s="37">
        <f>IF(OR(AD35="",O$5="-"),"",IFERROR(IF(INDEX(INDIRECT("'"&amp;$B35&amp;"'!$R$6:$R$205"),MATCH($AF35&amp;"|"&amp;O$5,INDIRECT("'"&amp;$B35&amp;"'!$AF$6:$AF$205"),0))="","",INDEX(INDIRECT("'"&amp;$B35&amp;"'!$R$6:$R$205"),MATCH($AF35&amp;"|"&amp;O$5,INDIRECT("'"&amp;$B35&amp;"'!$AF$6:$AF$205"),0))),"-"))</f>
        <v/>
      </c>
      <c r="P35" s="38">
        <f>IF(OR(AD35="",P$5="-"),"",IFERROR(IF(INDEX(INDIRECT("'"&amp;$B35&amp;"'!$T$6:$T$205"),MATCH($AF35&amp;"|"&amp;P$5,INDIRECT("'"&amp;$B35&amp;"'!$AF$6:$AF$205"),0))="","",INDEX(INDIRECT("'"&amp;$B35&amp;"'!$T$6:$T$205"),MATCH($AF35&amp;"|"&amp;P$5,INDIRECT("'"&amp;$B35&amp;"'!$AF$6:$AF$205"),0))),"-"))</f>
        <v/>
      </c>
      <c r="Q35" s="38">
        <f>IF(OR(AD35="",Q$5="-"),"",IFERROR(IF(INDEX(INDIRECT("'"&amp;$B35&amp;"'!$T$6:$T$205"),MATCH($AF35&amp;"|"&amp;Q$5,INDIRECT("'"&amp;$B35&amp;"'!$AF$6:$AF$205"),0))="","",INDEX(INDIRECT("'"&amp;$B35&amp;"'!$T$6:$T$205"),MATCH($AF35&amp;"|"&amp;Q$5,INDIRECT("'"&amp;$B35&amp;"'!$AF$6:$AF$205"),0))),"-"))</f>
        <v/>
      </c>
      <c r="R35" s="38">
        <f>IF(OR(AD35="",R$5="-"),"",IFERROR(IF(INDEX(INDIRECT("'"&amp;$B35&amp;"'!$T$6:$T$205"),MATCH($AF35&amp;"|"&amp;R$5,INDIRECT("'"&amp;$B35&amp;"'!$AF$6:$AF$205"),0))="","",INDEX(INDIRECT("'"&amp;$B35&amp;"'!$T$6:$T$205"),MATCH($AF35&amp;"|"&amp;R$5,INDIRECT("'"&amp;$B35&amp;"'!$AF$6:$AF$205"),0))),"-"))</f>
        <v/>
      </c>
      <c r="S35" s="38">
        <f>IF(OR(AD35="",S$5="-"),"",IFERROR(IF(INDEX(INDIRECT("'"&amp;$B35&amp;"'!$T$6:$T$205"),MATCH($AF35&amp;"|"&amp;S$5,INDIRECT("'"&amp;$B35&amp;"'!$AF$6:$AF$205"),0))="","",INDEX(INDIRECT("'"&amp;$B35&amp;"'!$T$6:$T$205"),MATCH($AF35&amp;"|"&amp;S$5,INDIRECT("'"&amp;$B35&amp;"'!$AF$6:$AF$205"),0))),"-"))</f>
        <v/>
      </c>
      <c r="T35" s="35">
        <f>IF(U35="","",INDEX($L$5:$O$5,MATCH(U35,L35:O35,0)))</f>
        <v/>
      </c>
      <c r="U35" s="37">
        <f>IF(COUNT(L35:O35)=0,"",MIN(L35:O35))</f>
        <v/>
      </c>
      <c r="V35" s="39">
        <f>IF(U35="","",U35*F35)</f>
        <v/>
      </c>
      <c r="W35" s="39">
        <f>IF(COUNT(L35:O35)&lt;2,"",(MAX(L35:O35)-MIN(L35:O35))*F35)</f>
        <v/>
      </c>
      <c r="X35" s="20" t="n"/>
      <c r="AD35">
        <f>IF(30&gt;MAX($AB$6:$AB$9),"",COUNTIF($AB$6:$AB$9,"&lt;"&amp;30)+1)</f>
        <v/>
      </c>
      <c r="AE35">
        <f>IF(AD35="","",30-INDEX($AC$6:$AC$9,AD35))</f>
        <v/>
      </c>
      <c r="AF35">
        <f>IF(AD35="","",INDEX(INDIRECT("'"&amp;$B35&amp;"'!$AE$6:$AE$205"),MATCH(AE35,INDIRECT("'"&amp;$B35&amp;"'!$AI$6:$AI$205"),0)))</f>
        <v/>
      </c>
    </row>
    <row r="36">
      <c r="A36" s="34">
        <f>IF(AD36="","",31)</f>
        <v/>
      </c>
      <c r="B36" s="35">
        <f>IF(AD36="","",INDEX($Z$6:$Z$9,AD36))</f>
        <v/>
      </c>
      <c r="C36" s="34">
        <f>IF(AD36="","",INDEX(INDIRECT("'"&amp;$B36&amp;"'!$B$6:$B$205"),MATCH($AF36,INDIRECT("'"&amp;$B36&amp;"'!$AE$6:$AE$205"),0)))</f>
        <v/>
      </c>
      <c r="D36" s="34">
        <f>IF(AD36="","",INDEX(INDIRECT("'"&amp;$B36&amp;"'!$D$6:$D$205"),MATCH($AF36,INDIRECT("'"&amp;$B36&amp;"'!$AE$6:$AE$205"),0)))</f>
        <v/>
      </c>
      <c r="E36" s="36">
        <f>IF(AD36="","",INDEX(INDIRECT("'"&amp;$B36&amp;"'!$F$6:$F$205"),MATCH($AF36,INDIRECT("'"&amp;$B36&amp;"'!$AE$6:$AE$205"),0)))</f>
        <v/>
      </c>
      <c r="F36" s="34">
        <f>IF(AD36="","",INDEX(INDIRECT("'"&amp;$B36&amp;"'!$K$6:$K$205"),MATCH($AF36,INDIRECT("'"&amp;$B36&amp;"'!$AE$6:$AE$205"),0)))</f>
        <v/>
      </c>
      <c r="G36" s="34">
        <f>IF(AD36="","",INDEX(INDIRECT("'"&amp;$B36&amp;"'!$L$6:$L$205"),MATCH($AF36,INDIRECT("'"&amp;$B36&amp;"'!$AE$6:$AE$205"),0)))</f>
        <v/>
      </c>
      <c r="H36" s="34">
        <f>IF(OR(AD36="",H$5="-"),"",IFERROR(IF(INDEX(INDIRECT("'"&amp;$B36&amp;"'!$N$6:$N$205"),MATCH($AF36&amp;"|"&amp;H$5,INDIRECT("'"&amp;$B36&amp;"'!$AF$6:$AF$205"),0))="","",INDEX(INDIRECT("'"&amp;$B36&amp;"'!$N$6:$N$205"),MATCH($AF36&amp;"|"&amp;H$5,INDIRECT("'"&amp;$B36&amp;"'!$AF$6:$AF$205"),0))),"-"))</f>
        <v/>
      </c>
      <c r="I36" s="34">
        <f>IF(OR(AD36="",I$5="-"),"",IFERROR(IF(INDEX(INDIRECT("'"&amp;$B36&amp;"'!$N$6:$N$205"),MATCH($AF36&amp;"|"&amp;I$5,INDIRECT("'"&amp;$B36&amp;"'!$AF$6:$AF$205"),0))="","",INDEX(INDIRECT("'"&amp;$B36&amp;"'!$N$6:$N$205"),MATCH($AF36&amp;"|"&amp;I$5,INDIRECT("'"&amp;$B36&amp;"'!$AF$6:$AF$205"),0))),"-"))</f>
        <v/>
      </c>
      <c r="J36" s="34">
        <f>IF(OR(AD36="",J$5="-"),"",IFERROR(IF(INDEX(INDIRECT("'"&amp;$B36&amp;"'!$N$6:$N$205"),MATCH($AF36&amp;"|"&amp;J$5,INDIRECT("'"&amp;$B36&amp;"'!$AF$6:$AF$205"),0))="","",INDEX(INDIRECT("'"&amp;$B36&amp;"'!$N$6:$N$205"),MATCH($AF36&amp;"|"&amp;J$5,INDIRECT("'"&amp;$B36&amp;"'!$AF$6:$AF$205"),0))),"-"))</f>
        <v/>
      </c>
      <c r="K36" s="34">
        <f>IF(OR(AD36="",K$5="-"),"",IFERROR(IF(INDEX(INDIRECT("'"&amp;$B36&amp;"'!$N$6:$N$205"),MATCH($AF36&amp;"|"&amp;K$5,INDIRECT("'"&amp;$B36&amp;"'!$AF$6:$AF$205"),0))="","",INDEX(INDIRECT("'"&amp;$B36&amp;"'!$N$6:$N$205"),MATCH($AF36&amp;"|"&amp;K$5,INDIRECT("'"&amp;$B36&amp;"'!$AF$6:$AF$205"),0))),"-"))</f>
        <v/>
      </c>
      <c r="L36" s="37">
        <f>IF(OR(AD36="",L$5="-"),"",IFERROR(IF(INDEX(INDIRECT("'"&amp;$B36&amp;"'!$R$6:$R$205"),MATCH($AF36&amp;"|"&amp;L$5,INDIRECT("'"&amp;$B36&amp;"'!$AF$6:$AF$205"),0))="","",INDEX(INDIRECT("'"&amp;$B36&amp;"'!$R$6:$R$205"),MATCH($AF36&amp;"|"&amp;L$5,INDIRECT("'"&amp;$B36&amp;"'!$AF$6:$AF$205"),0))),"-"))</f>
        <v/>
      </c>
      <c r="M36" s="37">
        <f>IF(OR(AD36="",M$5="-"),"",IFERROR(IF(INDEX(INDIRECT("'"&amp;$B36&amp;"'!$R$6:$R$205"),MATCH($AF36&amp;"|"&amp;M$5,INDIRECT("'"&amp;$B36&amp;"'!$AF$6:$AF$205"),0))="","",INDEX(INDIRECT("'"&amp;$B36&amp;"'!$R$6:$R$205"),MATCH($AF36&amp;"|"&amp;M$5,INDIRECT("'"&amp;$B36&amp;"'!$AF$6:$AF$205"),0))),"-"))</f>
        <v/>
      </c>
      <c r="N36" s="37">
        <f>IF(OR(AD36="",N$5="-"),"",IFERROR(IF(INDEX(INDIRECT("'"&amp;$B36&amp;"'!$R$6:$R$205"),MATCH($AF36&amp;"|"&amp;N$5,INDIRECT("'"&amp;$B36&amp;"'!$AF$6:$AF$205"),0))="","",INDEX(INDIRECT("'"&amp;$B36&amp;"'!$R$6:$R$205"),MATCH($AF36&amp;"|"&amp;N$5,INDIRECT("'"&amp;$B36&amp;"'!$AF$6:$AF$205"),0))),"-"))</f>
        <v/>
      </c>
      <c r="O36" s="37">
        <f>IF(OR(AD36="",O$5="-"),"",IFERROR(IF(INDEX(INDIRECT("'"&amp;$B36&amp;"'!$R$6:$R$205"),MATCH($AF36&amp;"|"&amp;O$5,INDIRECT("'"&amp;$B36&amp;"'!$AF$6:$AF$205"),0))="","",INDEX(INDIRECT("'"&amp;$B36&amp;"'!$R$6:$R$205"),MATCH($AF36&amp;"|"&amp;O$5,INDIRECT("'"&amp;$B36&amp;"'!$AF$6:$AF$205"),0))),"-"))</f>
        <v/>
      </c>
      <c r="P36" s="38">
        <f>IF(OR(AD36="",P$5="-"),"",IFERROR(IF(INDEX(INDIRECT("'"&amp;$B36&amp;"'!$T$6:$T$205"),MATCH($AF36&amp;"|"&amp;P$5,INDIRECT("'"&amp;$B36&amp;"'!$AF$6:$AF$205"),0))="","",INDEX(INDIRECT("'"&amp;$B36&amp;"'!$T$6:$T$205"),MATCH($AF36&amp;"|"&amp;P$5,INDIRECT("'"&amp;$B36&amp;"'!$AF$6:$AF$205"),0))),"-"))</f>
        <v/>
      </c>
      <c r="Q36" s="38">
        <f>IF(OR(AD36="",Q$5="-"),"",IFERROR(IF(INDEX(INDIRECT("'"&amp;$B36&amp;"'!$T$6:$T$205"),MATCH($AF36&amp;"|"&amp;Q$5,INDIRECT("'"&amp;$B36&amp;"'!$AF$6:$AF$205"),0))="","",INDEX(INDIRECT("'"&amp;$B36&amp;"'!$T$6:$T$205"),MATCH($AF36&amp;"|"&amp;Q$5,INDIRECT("'"&amp;$B36&amp;"'!$AF$6:$AF$205"),0))),"-"))</f>
        <v/>
      </c>
      <c r="R36" s="38">
        <f>IF(OR(AD36="",R$5="-"),"",IFERROR(IF(INDEX(INDIRECT("'"&amp;$B36&amp;"'!$T$6:$T$205"),MATCH($AF36&amp;"|"&amp;R$5,INDIRECT("'"&amp;$B36&amp;"'!$AF$6:$AF$205"),0))="","",INDEX(INDIRECT("'"&amp;$B36&amp;"'!$T$6:$T$205"),MATCH($AF36&amp;"|"&amp;R$5,INDIRECT("'"&amp;$B36&amp;"'!$AF$6:$AF$205"),0))),"-"))</f>
        <v/>
      </c>
      <c r="S36" s="38">
        <f>IF(OR(AD36="",S$5="-"),"",IFERROR(IF(INDEX(INDIRECT("'"&amp;$B36&amp;"'!$T$6:$T$205"),MATCH($AF36&amp;"|"&amp;S$5,INDIRECT("'"&amp;$B36&amp;"'!$AF$6:$AF$205"),0))="","",INDEX(INDIRECT("'"&amp;$B36&amp;"'!$T$6:$T$205"),MATCH($AF36&amp;"|"&amp;S$5,INDIRECT("'"&amp;$B36&amp;"'!$AF$6:$AF$205"),0))),"-"))</f>
        <v/>
      </c>
      <c r="T36" s="35">
        <f>IF(U36="","",INDEX($L$5:$O$5,MATCH(U36,L36:O36,0)))</f>
        <v/>
      </c>
      <c r="U36" s="37">
        <f>IF(COUNT(L36:O36)=0,"",MIN(L36:O36))</f>
        <v/>
      </c>
      <c r="V36" s="39">
        <f>IF(U36="","",U36*F36)</f>
        <v/>
      </c>
      <c r="W36" s="39">
        <f>IF(COUNT(L36:O36)&lt;2,"",(MAX(L36:O36)-MIN(L36:O36))*F36)</f>
        <v/>
      </c>
      <c r="X36" s="20" t="n"/>
      <c r="AD36">
        <f>IF(31&gt;MAX($AB$6:$AB$9),"",COUNTIF($AB$6:$AB$9,"&lt;"&amp;31)+1)</f>
        <v/>
      </c>
      <c r="AE36">
        <f>IF(AD36="","",31-INDEX($AC$6:$AC$9,AD36))</f>
        <v/>
      </c>
      <c r="AF36">
        <f>IF(AD36="","",INDEX(INDIRECT("'"&amp;$B36&amp;"'!$AE$6:$AE$205"),MATCH(AE36,INDIRECT("'"&amp;$B36&amp;"'!$AI$6:$AI$205"),0)))</f>
        <v/>
      </c>
    </row>
    <row r="37">
      <c r="A37" s="34">
        <f>IF(AD37="","",32)</f>
        <v/>
      </c>
      <c r="B37" s="35">
        <f>IF(AD37="","",INDEX($Z$6:$Z$9,AD37))</f>
        <v/>
      </c>
      <c r="C37" s="34">
        <f>IF(AD37="","",INDEX(INDIRECT("'"&amp;$B37&amp;"'!$B$6:$B$205"),MATCH($AF37,INDIRECT("'"&amp;$B37&amp;"'!$AE$6:$AE$205"),0)))</f>
        <v/>
      </c>
      <c r="D37" s="34">
        <f>IF(AD37="","",INDEX(INDIRECT("'"&amp;$B37&amp;"'!$D$6:$D$205"),MATCH($AF37,INDIRECT("'"&amp;$B37&amp;"'!$AE$6:$AE$205"),0)))</f>
        <v/>
      </c>
      <c r="E37" s="36">
        <f>IF(AD37="","",INDEX(INDIRECT("'"&amp;$B37&amp;"'!$F$6:$F$205"),MATCH($AF37,INDIRECT("'"&amp;$B37&amp;"'!$AE$6:$AE$205"),0)))</f>
        <v/>
      </c>
      <c r="F37" s="34">
        <f>IF(AD37="","",INDEX(INDIRECT("'"&amp;$B37&amp;"'!$K$6:$K$205"),MATCH($AF37,INDIRECT("'"&amp;$B37&amp;"'!$AE$6:$AE$205"),0)))</f>
        <v/>
      </c>
      <c r="G37" s="34">
        <f>IF(AD37="","",INDEX(INDIRECT("'"&amp;$B37&amp;"'!$L$6:$L$205"),MATCH($AF37,INDIRECT("'"&amp;$B37&amp;"'!$AE$6:$AE$205"),0)))</f>
        <v/>
      </c>
      <c r="H37" s="34">
        <f>IF(OR(AD37="",H$5="-"),"",IFERROR(IF(INDEX(INDIRECT("'"&amp;$B37&amp;"'!$N$6:$N$205"),MATCH($AF37&amp;"|"&amp;H$5,INDIRECT("'"&amp;$B37&amp;"'!$AF$6:$AF$205"),0))="","",INDEX(INDIRECT("'"&amp;$B37&amp;"'!$N$6:$N$205"),MATCH($AF37&amp;"|"&amp;H$5,INDIRECT("'"&amp;$B37&amp;"'!$AF$6:$AF$205"),0))),"-"))</f>
        <v/>
      </c>
      <c r="I37" s="34">
        <f>IF(OR(AD37="",I$5="-"),"",IFERROR(IF(INDEX(INDIRECT("'"&amp;$B37&amp;"'!$N$6:$N$205"),MATCH($AF37&amp;"|"&amp;I$5,INDIRECT("'"&amp;$B37&amp;"'!$AF$6:$AF$205"),0))="","",INDEX(INDIRECT("'"&amp;$B37&amp;"'!$N$6:$N$205"),MATCH($AF37&amp;"|"&amp;I$5,INDIRECT("'"&amp;$B37&amp;"'!$AF$6:$AF$205"),0))),"-"))</f>
        <v/>
      </c>
      <c r="J37" s="34">
        <f>IF(OR(AD37="",J$5="-"),"",IFERROR(IF(INDEX(INDIRECT("'"&amp;$B37&amp;"'!$N$6:$N$205"),MATCH($AF37&amp;"|"&amp;J$5,INDIRECT("'"&amp;$B37&amp;"'!$AF$6:$AF$205"),0))="","",INDEX(INDIRECT("'"&amp;$B37&amp;"'!$N$6:$N$205"),MATCH($AF37&amp;"|"&amp;J$5,INDIRECT("'"&amp;$B37&amp;"'!$AF$6:$AF$205"),0))),"-"))</f>
        <v/>
      </c>
      <c r="K37" s="34">
        <f>IF(OR(AD37="",K$5="-"),"",IFERROR(IF(INDEX(INDIRECT("'"&amp;$B37&amp;"'!$N$6:$N$205"),MATCH($AF37&amp;"|"&amp;K$5,INDIRECT("'"&amp;$B37&amp;"'!$AF$6:$AF$205"),0))="","",INDEX(INDIRECT("'"&amp;$B37&amp;"'!$N$6:$N$205"),MATCH($AF37&amp;"|"&amp;K$5,INDIRECT("'"&amp;$B37&amp;"'!$AF$6:$AF$205"),0))),"-"))</f>
        <v/>
      </c>
      <c r="L37" s="37">
        <f>IF(OR(AD37="",L$5="-"),"",IFERROR(IF(INDEX(INDIRECT("'"&amp;$B37&amp;"'!$R$6:$R$205"),MATCH($AF37&amp;"|"&amp;L$5,INDIRECT("'"&amp;$B37&amp;"'!$AF$6:$AF$205"),0))="","",INDEX(INDIRECT("'"&amp;$B37&amp;"'!$R$6:$R$205"),MATCH($AF37&amp;"|"&amp;L$5,INDIRECT("'"&amp;$B37&amp;"'!$AF$6:$AF$205"),0))),"-"))</f>
        <v/>
      </c>
      <c r="M37" s="37">
        <f>IF(OR(AD37="",M$5="-"),"",IFERROR(IF(INDEX(INDIRECT("'"&amp;$B37&amp;"'!$R$6:$R$205"),MATCH($AF37&amp;"|"&amp;M$5,INDIRECT("'"&amp;$B37&amp;"'!$AF$6:$AF$205"),0))="","",INDEX(INDIRECT("'"&amp;$B37&amp;"'!$R$6:$R$205"),MATCH($AF37&amp;"|"&amp;M$5,INDIRECT("'"&amp;$B37&amp;"'!$AF$6:$AF$205"),0))),"-"))</f>
        <v/>
      </c>
      <c r="N37" s="37">
        <f>IF(OR(AD37="",N$5="-"),"",IFERROR(IF(INDEX(INDIRECT("'"&amp;$B37&amp;"'!$R$6:$R$205"),MATCH($AF37&amp;"|"&amp;N$5,INDIRECT("'"&amp;$B37&amp;"'!$AF$6:$AF$205"),0))="","",INDEX(INDIRECT("'"&amp;$B37&amp;"'!$R$6:$R$205"),MATCH($AF37&amp;"|"&amp;N$5,INDIRECT("'"&amp;$B37&amp;"'!$AF$6:$AF$205"),0))),"-"))</f>
        <v/>
      </c>
      <c r="O37" s="37">
        <f>IF(OR(AD37="",O$5="-"),"",IFERROR(IF(INDEX(INDIRECT("'"&amp;$B37&amp;"'!$R$6:$R$205"),MATCH($AF37&amp;"|"&amp;O$5,INDIRECT("'"&amp;$B37&amp;"'!$AF$6:$AF$205"),0))="","",INDEX(INDIRECT("'"&amp;$B37&amp;"'!$R$6:$R$205"),MATCH($AF37&amp;"|"&amp;O$5,INDIRECT("'"&amp;$B37&amp;"'!$AF$6:$AF$205"),0))),"-"))</f>
        <v/>
      </c>
      <c r="P37" s="38">
        <f>IF(OR(AD37="",P$5="-"),"",IFERROR(IF(INDEX(INDIRECT("'"&amp;$B37&amp;"'!$T$6:$T$205"),MATCH($AF37&amp;"|"&amp;P$5,INDIRECT("'"&amp;$B37&amp;"'!$AF$6:$AF$205"),0))="","",INDEX(INDIRECT("'"&amp;$B37&amp;"'!$T$6:$T$205"),MATCH($AF37&amp;"|"&amp;P$5,INDIRECT("'"&amp;$B37&amp;"'!$AF$6:$AF$205"),0))),"-"))</f>
        <v/>
      </c>
      <c r="Q37" s="38">
        <f>IF(OR(AD37="",Q$5="-"),"",IFERROR(IF(INDEX(INDIRECT("'"&amp;$B37&amp;"'!$T$6:$T$205"),MATCH($AF37&amp;"|"&amp;Q$5,INDIRECT("'"&amp;$B37&amp;"'!$AF$6:$AF$205"),0))="","",INDEX(INDIRECT("'"&amp;$B37&amp;"'!$T$6:$T$205"),MATCH($AF37&amp;"|"&amp;Q$5,INDIRECT("'"&amp;$B37&amp;"'!$AF$6:$AF$205"),0))),"-"))</f>
        <v/>
      </c>
      <c r="R37" s="38">
        <f>IF(OR(AD37="",R$5="-"),"",IFERROR(IF(INDEX(INDIRECT("'"&amp;$B37&amp;"'!$T$6:$T$205"),MATCH($AF37&amp;"|"&amp;R$5,INDIRECT("'"&amp;$B37&amp;"'!$AF$6:$AF$205"),0))="","",INDEX(INDIRECT("'"&amp;$B37&amp;"'!$T$6:$T$205"),MATCH($AF37&amp;"|"&amp;R$5,INDIRECT("'"&amp;$B37&amp;"'!$AF$6:$AF$205"),0))),"-"))</f>
        <v/>
      </c>
      <c r="S37" s="38">
        <f>IF(OR(AD37="",S$5="-"),"",IFERROR(IF(INDEX(INDIRECT("'"&amp;$B37&amp;"'!$T$6:$T$205"),MATCH($AF37&amp;"|"&amp;S$5,INDIRECT("'"&amp;$B37&amp;"'!$AF$6:$AF$205"),0))="","",INDEX(INDIRECT("'"&amp;$B37&amp;"'!$T$6:$T$205"),MATCH($AF37&amp;"|"&amp;S$5,INDIRECT("'"&amp;$B37&amp;"'!$AF$6:$AF$205"),0))),"-"))</f>
        <v/>
      </c>
      <c r="T37" s="35">
        <f>IF(U37="","",INDEX($L$5:$O$5,MATCH(U37,L37:O37,0)))</f>
        <v/>
      </c>
      <c r="U37" s="37">
        <f>IF(COUNT(L37:O37)=0,"",MIN(L37:O37))</f>
        <v/>
      </c>
      <c r="V37" s="39">
        <f>IF(U37="","",U37*F37)</f>
        <v/>
      </c>
      <c r="W37" s="39">
        <f>IF(COUNT(L37:O37)&lt;2,"",(MAX(L37:O37)-MIN(L37:O37))*F37)</f>
        <v/>
      </c>
      <c r="X37" s="20" t="n"/>
      <c r="AD37">
        <f>IF(32&gt;MAX($AB$6:$AB$9),"",COUNTIF($AB$6:$AB$9,"&lt;"&amp;32)+1)</f>
        <v/>
      </c>
      <c r="AE37">
        <f>IF(AD37="","",32-INDEX($AC$6:$AC$9,AD37))</f>
        <v/>
      </c>
      <c r="AF37">
        <f>IF(AD37="","",INDEX(INDIRECT("'"&amp;$B37&amp;"'!$AE$6:$AE$205"),MATCH(AE37,INDIRECT("'"&amp;$B37&amp;"'!$AI$6:$AI$205"),0)))</f>
        <v/>
      </c>
    </row>
    <row r="38">
      <c r="A38" s="34">
        <f>IF(AD38="","",33)</f>
        <v/>
      </c>
      <c r="B38" s="35">
        <f>IF(AD38="","",INDEX($Z$6:$Z$9,AD38))</f>
        <v/>
      </c>
      <c r="C38" s="34">
        <f>IF(AD38="","",INDEX(INDIRECT("'"&amp;$B38&amp;"'!$B$6:$B$205"),MATCH($AF38,INDIRECT("'"&amp;$B38&amp;"'!$AE$6:$AE$205"),0)))</f>
        <v/>
      </c>
      <c r="D38" s="34">
        <f>IF(AD38="","",INDEX(INDIRECT("'"&amp;$B38&amp;"'!$D$6:$D$205"),MATCH($AF38,INDIRECT("'"&amp;$B38&amp;"'!$AE$6:$AE$205"),0)))</f>
        <v/>
      </c>
      <c r="E38" s="36">
        <f>IF(AD38="","",INDEX(INDIRECT("'"&amp;$B38&amp;"'!$F$6:$F$205"),MATCH($AF38,INDIRECT("'"&amp;$B38&amp;"'!$AE$6:$AE$205"),0)))</f>
        <v/>
      </c>
      <c r="F38" s="34">
        <f>IF(AD38="","",INDEX(INDIRECT("'"&amp;$B38&amp;"'!$K$6:$K$205"),MATCH($AF38,INDIRECT("'"&amp;$B38&amp;"'!$AE$6:$AE$205"),0)))</f>
        <v/>
      </c>
      <c r="G38" s="34">
        <f>IF(AD38="","",INDEX(INDIRECT("'"&amp;$B38&amp;"'!$L$6:$L$205"),MATCH($AF38,INDIRECT("'"&amp;$B38&amp;"'!$AE$6:$AE$205"),0)))</f>
        <v/>
      </c>
      <c r="H38" s="34">
        <f>IF(OR(AD38="",H$5="-"),"",IFERROR(IF(INDEX(INDIRECT("'"&amp;$B38&amp;"'!$N$6:$N$205"),MATCH($AF38&amp;"|"&amp;H$5,INDIRECT("'"&amp;$B38&amp;"'!$AF$6:$AF$205"),0))="","",INDEX(INDIRECT("'"&amp;$B38&amp;"'!$N$6:$N$205"),MATCH($AF38&amp;"|"&amp;H$5,INDIRECT("'"&amp;$B38&amp;"'!$AF$6:$AF$205"),0))),"-"))</f>
        <v/>
      </c>
      <c r="I38" s="34">
        <f>IF(OR(AD38="",I$5="-"),"",IFERROR(IF(INDEX(INDIRECT("'"&amp;$B38&amp;"'!$N$6:$N$205"),MATCH($AF38&amp;"|"&amp;I$5,INDIRECT("'"&amp;$B38&amp;"'!$AF$6:$AF$205"),0))="","",INDEX(INDIRECT("'"&amp;$B38&amp;"'!$N$6:$N$205"),MATCH($AF38&amp;"|"&amp;I$5,INDIRECT("'"&amp;$B38&amp;"'!$AF$6:$AF$205"),0))),"-"))</f>
        <v/>
      </c>
      <c r="J38" s="34">
        <f>IF(OR(AD38="",J$5="-"),"",IFERROR(IF(INDEX(INDIRECT("'"&amp;$B38&amp;"'!$N$6:$N$205"),MATCH($AF38&amp;"|"&amp;J$5,INDIRECT("'"&amp;$B38&amp;"'!$AF$6:$AF$205"),0))="","",INDEX(INDIRECT("'"&amp;$B38&amp;"'!$N$6:$N$205"),MATCH($AF38&amp;"|"&amp;J$5,INDIRECT("'"&amp;$B38&amp;"'!$AF$6:$AF$205"),0))),"-"))</f>
        <v/>
      </c>
      <c r="K38" s="34">
        <f>IF(OR(AD38="",K$5="-"),"",IFERROR(IF(INDEX(INDIRECT("'"&amp;$B38&amp;"'!$N$6:$N$205"),MATCH($AF38&amp;"|"&amp;K$5,INDIRECT("'"&amp;$B38&amp;"'!$AF$6:$AF$205"),0))="","",INDEX(INDIRECT("'"&amp;$B38&amp;"'!$N$6:$N$205"),MATCH($AF38&amp;"|"&amp;K$5,INDIRECT("'"&amp;$B38&amp;"'!$AF$6:$AF$205"),0))),"-"))</f>
        <v/>
      </c>
      <c r="L38" s="37">
        <f>IF(OR(AD38="",L$5="-"),"",IFERROR(IF(INDEX(INDIRECT("'"&amp;$B38&amp;"'!$R$6:$R$205"),MATCH($AF38&amp;"|"&amp;L$5,INDIRECT("'"&amp;$B38&amp;"'!$AF$6:$AF$205"),0))="","",INDEX(INDIRECT("'"&amp;$B38&amp;"'!$R$6:$R$205"),MATCH($AF38&amp;"|"&amp;L$5,INDIRECT("'"&amp;$B38&amp;"'!$AF$6:$AF$205"),0))),"-"))</f>
        <v/>
      </c>
      <c r="M38" s="37">
        <f>IF(OR(AD38="",M$5="-"),"",IFERROR(IF(INDEX(INDIRECT("'"&amp;$B38&amp;"'!$R$6:$R$205"),MATCH($AF38&amp;"|"&amp;M$5,INDIRECT("'"&amp;$B38&amp;"'!$AF$6:$AF$205"),0))="","",INDEX(INDIRECT("'"&amp;$B38&amp;"'!$R$6:$R$205"),MATCH($AF38&amp;"|"&amp;M$5,INDIRECT("'"&amp;$B38&amp;"'!$AF$6:$AF$205"),0))),"-"))</f>
        <v/>
      </c>
      <c r="N38" s="37">
        <f>IF(OR(AD38="",N$5="-"),"",IFERROR(IF(INDEX(INDIRECT("'"&amp;$B38&amp;"'!$R$6:$R$205"),MATCH($AF38&amp;"|"&amp;N$5,INDIRECT("'"&amp;$B38&amp;"'!$AF$6:$AF$205"),0))="","",INDEX(INDIRECT("'"&amp;$B38&amp;"'!$R$6:$R$205"),MATCH($AF38&amp;"|"&amp;N$5,INDIRECT("'"&amp;$B38&amp;"'!$AF$6:$AF$205"),0))),"-"))</f>
        <v/>
      </c>
      <c r="O38" s="37">
        <f>IF(OR(AD38="",O$5="-"),"",IFERROR(IF(INDEX(INDIRECT("'"&amp;$B38&amp;"'!$R$6:$R$205"),MATCH($AF38&amp;"|"&amp;O$5,INDIRECT("'"&amp;$B38&amp;"'!$AF$6:$AF$205"),0))="","",INDEX(INDIRECT("'"&amp;$B38&amp;"'!$R$6:$R$205"),MATCH($AF38&amp;"|"&amp;O$5,INDIRECT("'"&amp;$B38&amp;"'!$AF$6:$AF$205"),0))),"-"))</f>
        <v/>
      </c>
      <c r="P38" s="38">
        <f>IF(OR(AD38="",P$5="-"),"",IFERROR(IF(INDEX(INDIRECT("'"&amp;$B38&amp;"'!$T$6:$T$205"),MATCH($AF38&amp;"|"&amp;P$5,INDIRECT("'"&amp;$B38&amp;"'!$AF$6:$AF$205"),0))="","",INDEX(INDIRECT("'"&amp;$B38&amp;"'!$T$6:$T$205"),MATCH($AF38&amp;"|"&amp;P$5,INDIRECT("'"&amp;$B38&amp;"'!$AF$6:$AF$205"),0))),"-"))</f>
        <v/>
      </c>
      <c r="Q38" s="38">
        <f>IF(OR(AD38="",Q$5="-"),"",IFERROR(IF(INDEX(INDIRECT("'"&amp;$B38&amp;"'!$T$6:$T$205"),MATCH($AF38&amp;"|"&amp;Q$5,INDIRECT("'"&amp;$B38&amp;"'!$AF$6:$AF$205"),0))="","",INDEX(INDIRECT("'"&amp;$B38&amp;"'!$T$6:$T$205"),MATCH($AF38&amp;"|"&amp;Q$5,INDIRECT("'"&amp;$B38&amp;"'!$AF$6:$AF$205"),0))),"-"))</f>
        <v/>
      </c>
      <c r="R38" s="38">
        <f>IF(OR(AD38="",R$5="-"),"",IFERROR(IF(INDEX(INDIRECT("'"&amp;$B38&amp;"'!$T$6:$T$205"),MATCH($AF38&amp;"|"&amp;R$5,INDIRECT("'"&amp;$B38&amp;"'!$AF$6:$AF$205"),0))="","",INDEX(INDIRECT("'"&amp;$B38&amp;"'!$T$6:$T$205"),MATCH($AF38&amp;"|"&amp;R$5,INDIRECT("'"&amp;$B38&amp;"'!$AF$6:$AF$205"),0))),"-"))</f>
        <v/>
      </c>
      <c r="S38" s="38">
        <f>IF(OR(AD38="",S$5="-"),"",IFERROR(IF(INDEX(INDIRECT("'"&amp;$B38&amp;"'!$T$6:$T$205"),MATCH($AF38&amp;"|"&amp;S$5,INDIRECT("'"&amp;$B38&amp;"'!$AF$6:$AF$205"),0))="","",INDEX(INDIRECT("'"&amp;$B38&amp;"'!$T$6:$T$205"),MATCH($AF38&amp;"|"&amp;S$5,INDIRECT("'"&amp;$B38&amp;"'!$AF$6:$AF$205"),0))),"-"))</f>
        <v/>
      </c>
      <c r="T38" s="35">
        <f>IF(U38="","",INDEX($L$5:$O$5,MATCH(U38,L38:O38,0)))</f>
        <v/>
      </c>
      <c r="U38" s="37">
        <f>IF(COUNT(L38:O38)=0,"",MIN(L38:O38))</f>
        <v/>
      </c>
      <c r="V38" s="39">
        <f>IF(U38="","",U38*F38)</f>
        <v/>
      </c>
      <c r="W38" s="39">
        <f>IF(COUNT(L38:O38)&lt;2,"",(MAX(L38:O38)-MIN(L38:O38))*F38)</f>
        <v/>
      </c>
      <c r="X38" s="20" t="n"/>
      <c r="AD38">
        <f>IF(33&gt;MAX($AB$6:$AB$9),"",COUNTIF($AB$6:$AB$9,"&lt;"&amp;33)+1)</f>
        <v/>
      </c>
      <c r="AE38">
        <f>IF(AD38="","",33-INDEX($AC$6:$AC$9,AD38))</f>
        <v/>
      </c>
      <c r="AF38">
        <f>IF(AD38="","",INDEX(INDIRECT("'"&amp;$B38&amp;"'!$AE$6:$AE$205"),MATCH(AE38,INDIRECT("'"&amp;$B38&amp;"'!$AI$6:$AI$205"),0)))</f>
        <v/>
      </c>
    </row>
    <row r="39">
      <c r="A39" s="34">
        <f>IF(AD39="","",34)</f>
        <v/>
      </c>
      <c r="B39" s="35">
        <f>IF(AD39="","",INDEX($Z$6:$Z$9,AD39))</f>
        <v/>
      </c>
      <c r="C39" s="34">
        <f>IF(AD39="","",INDEX(INDIRECT("'"&amp;$B39&amp;"'!$B$6:$B$205"),MATCH($AF39,INDIRECT("'"&amp;$B39&amp;"'!$AE$6:$AE$205"),0)))</f>
        <v/>
      </c>
      <c r="D39" s="34">
        <f>IF(AD39="","",INDEX(INDIRECT("'"&amp;$B39&amp;"'!$D$6:$D$205"),MATCH($AF39,INDIRECT("'"&amp;$B39&amp;"'!$AE$6:$AE$205"),0)))</f>
        <v/>
      </c>
      <c r="E39" s="36">
        <f>IF(AD39="","",INDEX(INDIRECT("'"&amp;$B39&amp;"'!$F$6:$F$205"),MATCH($AF39,INDIRECT("'"&amp;$B39&amp;"'!$AE$6:$AE$205"),0)))</f>
        <v/>
      </c>
      <c r="F39" s="34">
        <f>IF(AD39="","",INDEX(INDIRECT("'"&amp;$B39&amp;"'!$K$6:$K$205"),MATCH($AF39,INDIRECT("'"&amp;$B39&amp;"'!$AE$6:$AE$205"),0)))</f>
        <v/>
      </c>
      <c r="G39" s="34">
        <f>IF(AD39="","",INDEX(INDIRECT("'"&amp;$B39&amp;"'!$L$6:$L$205"),MATCH($AF39,INDIRECT("'"&amp;$B39&amp;"'!$AE$6:$AE$205"),0)))</f>
        <v/>
      </c>
      <c r="H39" s="34">
        <f>IF(OR(AD39="",H$5="-"),"",IFERROR(IF(INDEX(INDIRECT("'"&amp;$B39&amp;"'!$N$6:$N$205"),MATCH($AF39&amp;"|"&amp;H$5,INDIRECT("'"&amp;$B39&amp;"'!$AF$6:$AF$205"),0))="","",INDEX(INDIRECT("'"&amp;$B39&amp;"'!$N$6:$N$205"),MATCH($AF39&amp;"|"&amp;H$5,INDIRECT("'"&amp;$B39&amp;"'!$AF$6:$AF$205"),0))),"-"))</f>
        <v/>
      </c>
      <c r="I39" s="34">
        <f>IF(OR(AD39="",I$5="-"),"",IFERROR(IF(INDEX(INDIRECT("'"&amp;$B39&amp;"'!$N$6:$N$205"),MATCH($AF39&amp;"|"&amp;I$5,INDIRECT("'"&amp;$B39&amp;"'!$AF$6:$AF$205"),0))="","",INDEX(INDIRECT("'"&amp;$B39&amp;"'!$N$6:$N$205"),MATCH($AF39&amp;"|"&amp;I$5,INDIRECT("'"&amp;$B39&amp;"'!$AF$6:$AF$205"),0))),"-"))</f>
        <v/>
      </c>
      <c r="J39" s="34">
        <f>IF(OR(AD39="",J$5="-"),"",IFERROR(IF(INDEX(INDIRECT("'"&amp;$B39&amp;"'!$N$6:$N$205"),MATCH($AF39&amp;"|"&amp;J$5,INDIRECT("'"&amp;$B39&amp;"'!$AF$6:$AF$205"),0))="","",INDEX(INDIRECT("'"&amp;$B39&amp;"'!$N$6:$N$205"),MATCH($AF39&amp;"|"&amp;J$5,INDIRECT("'"&amp;$B39&amp;"'!$AF$6:$AF$205"),0))),"-"))</f>
        <v/>
      </c>
      <c r="K39" s="34">
        <f>IF(OR(AD39="",K$5="-"),"",IFERROR(IF(INDEX(INDIRECT("'"&amp;$B39&amp;"'!$N$6:$N$205"),MATCH($AF39&amp;"|"&amp;K$5,INDIRECT("'"&amp;$B39&amp;"'!$AF$6:$AF$205"),0))="","",INDEX(INDIRECT("'"&amp;$B39&amp;"'!$N$6:$N$205"),MATCH($AF39&amp;"|"&amp;K$5,INDIRECT("'"&amp;$B39&amp;"'!$AF$6:$AF$205"),0))),"-"))</f>
        <v/>
      </c>
      <c r="L39" s="37">
        <f>IF(OR(AD39="",L$5="-"),"",IFERROR(IF(INDEX(INDIRECT("'"&amp;$B39&amp;"'!$R$6:$R$205"),MATCH($AF39&amp;"|"&amp;L$5,INDIRECT("'"&amp;$B39&amp;"'!$AF$6:$AF$205"),0))="","",INDEX(INDIRECT("'"&amp;$B39&amp;"'!$R$6:$R$205"),MATCH($AF39&amp;"|"&amp;L$5,INDIRECT("'"&amp;$B39&amp;"'!$AF$6:$AF$205"),0))),"-"))</f>
        <v/>
      </c>
      <c r="M39" s="37">
        <f>IF(OR(AD39="",M$5="-"),"",IFERROR(IF(INDEX(INDIRECT("'"&amp;$B39&amp;"'!$R$6:$R$205"),MATCH($AF39&amp;"|"&amp;M$5,INDIRECT("'"&amp;$B39&amp;"'!$AF$6:$AF$205"),0))="","",INDEX(INDIRECT("'"&amp;$B39&amp;"'!$R$6:$R$205"),MATCH($AF39&amp;"|"&amp;M$5,INDIRECT("'"&amp;$B39&amp;"'!$AF$6:$AF$205"),0))),"-"))</f>
        <v/>
      </c>
      <c r="N39" s="37">
        <f>IF(OR(AD39="",N$5="-"),"",IFERROR(IF(INDEX(INDIRECT("'"&amp;$B39&amp;"'!$R$6:$R$205"),MATCH($AF39&amp;"|"&amp;N$5,INDIRECT("'"&amp;$B39&amp;"'!$AF$6:$AF$205"),0))="","",INDEX(INDIRECT("'"&amp;$B39&amp;"'!$R$6:$R$205"),MATCH($AF39&amp;"|"&amp;N$5,INDIRECT("'"&amp;$B39&amp;"'!$AF$6:$AF$205"),0))),"-"))</f>
        <v/>
      </c>
      <c r="O39" s="37">
        <f>IF(OR(AD39="",O$5="-"),"",IFERROR(IF(INDEX(INDIRECT("'"&amp;$B39&amp;"'!$R$6:$R$205"),MATCH($AF39&amp;"|"&amp;O$5,INDIRECT("'"&amp;$B39&amp;"'!$AF$6:$AF$205"),0))="","",INDEX(INDIRECT("'"&amp;$B39&amp;"'!$R$6:$R$205"),MATCH($AF39&amp;"|"&amp;O$5,INDIRECT("'"&amp;$B39&amp;"'!$AF$6:$AF$205"),0))),"-"))</f>
        <v/>
      </c>
      <c r="P39" s="38">
        <f>IF(OR(AD39="",P$5="-"),"",IFERROR(IF(INDEX(INDIRECT("'"&amp;$B39&amp;"'!$T$6:$T$205"),MATCH($AF39&amp;"|"&amp;P$5,INDIRECT("'"&amp;$B39&amp;"'!$AF$6:$AF$205"),0))="","",INDEX(INDIRECT("'"&amp;$B39&amp;"'!$T$6:$T$205"),MATCH($AF39&amp;"|"&amp;P$5,INDIRECT("'"&amp;$B39&amp;"'!$AF$6:$AF$205"),0))),"-"))</f>
        <v/>
      </c>
      <c r="Q39" s="38">
        <f>IF(OR(AD39="",Q$5="-"),"",IFERROR(IF(INDEX(INDIRECT("'"&amp;$B39&amp;"'!$T$6:$T$205"),MATCH($AF39&amp;"|"&amp;Q$5,INDIRECT("'"&amp;$B39&amp;"'!$AF$6:$AF$205"),0))="","",INDEX(INDIRECT("'"&amp;$B39&amp;"'!$T$6:$T$205"),MATCH($AF39&amp;"|"&amp;Q$5,INDIRECT("'"&amp;$B39&amp;"'!$AF$6:$AF$205"),0))),"-"))</f>
        <v/>
      </c>
      <c r="R39" s="38">
        <f>IF(OR(AD39="",R$5="-"),"",IFERROR(IF(INDEX(INDIRECT("'"&amp;$B39&amp;"'!$T$6:$T$205"),MATCH($AF39&amp;"|"&amp;R$5,INDIRECT("'"&amp;$B39&amp;"'!$AF$6:$AF$205"),0))="","",INDEX(INDIRECT("'"&amp;$B39&amp;"'!$T$6:$T$205"),MATCH($AF39&amp;"|"&amp;R$5,INDIRECT("'"&amp;$B39&amp;"'!$AF$6:$AF$205"),0))),"-"))</f>
        <v/>
      </c>
      <c r="S39" s="38">
        <f>IF(OR(AD39="",S$5="-"),"",IFERROR(IF(INDEX(INDIRECT("'"&amp;$B39&amp;"'!$T$6:$T$205"),MATCH($AF39&amp;"|"&amp;S$5,INDIRECT("'"&amp;$B39&amp;"'!$AF$6:$AF$205"),0))="","",INDEX(INDIRECT("'"&amp;$B39&amp;"'!$T$6:$T$205"),MATCH($AF39&amp;"|"&amp;S$5,INDIRECT("'"&amp;$B39&amp;"'!$AF$6:$AF$205"),0))),"-"))</f>
        <v/>
      </c>
      <c r="T39" s="35">
        <f>IF(U39="","",INDEX($L$5:$O$5,MATCH(U39,L39:O39,0)))</f>
        <v/>
      </c>
      <c r="U39" s="37">
        <f>IF(COUNT(L39:O39)=0,"",MIN(L39:O39))</f>
        <v/>
      </c>
      <c r="V39" s="39">
        <f>IF(U39="","",U39*F39)</f>
        <v/>
      </c>
      <c r="W39" s="39">
        <f>IF(COUNT(L39:O39)&lt;2,"",(MAX(L39:O39)-MIN(L39:O39))*F39)</f>
        <v/>
      </c>
      <c r="X39" s="20" t="n"/>
      <c r="AD39">
        <f>IF(34&gt;MAX($AB$6:$AB$9),"",COUNTIF($AB$6:$AB$9,"&lt;"&amp;34)+1)</f>
        <v/>
      </c>
      <c r="AE39">
        <f>IF(AD39="","",34-INDEX($AC$6:$AC$9,AD39))</f>
        <v/>
      </c>
      <c r="AF39">
        <f>IF(AD39="","",INDEX(INDIRECT("'"&amp;$B39&amp;"'!$AE$6:$AE$205"),MATCH(AE39,INDIRECT("'"&amp;$B39&amp;"'!$AI$6:$AI$205"),0)))</f>
        <v/>
      </c>
    </row>
    <row r="40">
      <c r="A40" s="34">
        <f>IF(AD40="","",35)</f>
        <v/>
      </c>
      <c r="B40" s="35">
        <f>IF(AD40="","",INDEX($Z$6:$Z$9,AD40))</f>
        <v/>
      </c>
      <c r="C40" s="34">
        <f>IF(AD40="","",INDEX(INDIRECT("'"&amp;$B40&amp;"'!$B$6:$B$205"),MATCH($AF40,INDIRECT("'"&amp;$B40&amp;"'!$AE$6:$AE$205"),0)))</f>
        <v/>
      </c>
      <c r="D40" s="34">
        <f>IF(AD40="","",INDEX(INDIRECT("'"&amp;$B40&amp;"'!$D$6:$D$205"),MATCH($AF40,INDIRECT("'"&amp;$B40&amp;"'!$AE$6:$AE$205"),0)))</f>
        <v/>
      </c>
      <c r="E40" s="36">
        <f>IF(AD40="","",INDEX(INDIRECT("'"&amp;$B40&amp;"'!$F$6:$F$205"),MATCH($AF40,INDIRECT("'"&amp;$B40&amp;"'!$AE$6:$AE$205"),0)))</f>
        <v/>
      </c>
      <c r="F40" s="34">
        <f>IF(AD40="","",INDEX(INDIRECT("'"&amp;$B40&amp;"'!$K$6:$K$205"),MATCH($AF40,INDIRECT("'"&amp;$B40&amp;"'!$AE$6:$AE$205"),0)))</f>
        <v/>
      </c>
      <c r="G40" s="34">
        <f>IF(AD40="","",INDEX(INDIRECT("'"&amp;$B40&amp;"'!$L$6:$L$205"),MATCH($AF40,INDIRECT("'"&amp;$B40&amp;"'!$AE$6:$AE$205"),0)))</f>
        <v/>
      </c>
      <c r="H40" s="34">
        <f>IF(OR(AD40="",H$5="-"),"",IFERROR(IF(INDEX(INDIRECT("'"&amp;$B40&amp;"'!$N$6:$N$205"),MATCH($AF40&amp;"|"&amp;H$5,INDIRECT("'"&amp;$B40&amp;"'!$AF$6:$AF$205"),0))="","",INDEX(INDIRECT("'"&amp;$B40&amp;"'!$N$6:$N$205"),MATCH($AF40&amp;"|"&amp;H$5,INDIRECT("'"&amp;$B40&amp;"'!$AF$6:$AF$205"),0))),"-"))</f>
        <v/>
      </c>
      <c r="I40" s="34">
        <f>IF(OR(AD40="",I$5="-"),"",IFERROR(IF(INDEX(INDIRECT("'"&amp;$B40&amp;"'!$N$6:$N$205"),MATCH($AF40&amp;"|"&amp;I$5,INDIRECT("'"&amp;$B40&amp;"'!$AF$6:$AF$205"),0))="","",INDEX(INDIRECT("'"&amp;$B40&amp;"'!$N$6:$N$205"),MATCH($AF40&amp;"|"&amp;I$5,INDIRECT("'"&amp;$B40&amp;"'!$AF$6:$AF$205"),0))),"-"))</f>
        <v/>
      </c>
      <c r="J40" s="34">
        <f>IF(OR(AD40="",J$5="-"),"",IFERROR(IF(INDEX(INDIRECT("'"&amp;$B40&amp;"'!$N$6:$N$205"),MATCH($AF40&amp;"|"&amp;J$5,INDIRECT("'"&amp;$B40&amp;"'!$AF$6:$AF$205"),0))="","",INDEX(INDIRECT("'"&amp;$B40&amp;"'!$N$6:$N$205"),MATCH($AF40&amp;"|"&amp;J$5,INDIRECT("'"&amp;$B40&amp;"'!$AF$6:$AF$205"),0))),"-"))</f>
        <v/>
      </c>
      <c r="K40" s="34">
        <f>IF(OR(AD40="",K$5="-"),"",IFERROR(IF(INDEX(INDIRECT("'"&amp;$B40&amp;"'!$N$6:$N$205"),MATCH($AF40&amp;"|"&amp;K$5,INDIRECT("'"&amp;$B40&amp;"'!$AF$6:$AF$205"),0))="","",INDEX(INDIRECT("'"&amp;$B40&amp;"'!$N$6:$N$205"),MATCH($AF40&amp;"|"&amp;K$5,INDIRECT("'"&amp;$B40&amp;"'!$AF$6:$AF$205"),0))),"-"))</f>
        <v/>
      </c>
      <c r="L40" s="37">
        <f>IF(OR(AD40="",L$5="-"),"",IFERROR(IF(INDEX(INDIRECT("'"&amp;$B40&amp;"'!$R$6:$R$205"),MATCH($AF40&amp;"|"&amp;L$5,INDIRECT("'"&amp;$B40&amp;"'!$AF$6:$AF$205"),0))="","",INDEX(INDIRECT("'"&amp;$B40&amp;"'!$R$6:$R$205"),MATCH($AF40&amp;"|"&amp;L$5,INDIRECT("'"&amp;$B40&amp;"'!$AF$6:$AF$205"),0))),"-"))</f>
        <v/>
      </c>
      <c r="M40" s="37">
        <f>IF(OR(AD40="",M$5="-"),"",IFERROR(IF(INDEX(INDIRECT("'"&amp;$B40&amp;"'!$R$6:$R$205"),MATCH($AF40&amp;"|"&amp;M$5,INDIRECT("'"&amp;$B40&amp;"'!$AF$6:$AF$205"),0))="","",INDEX(INDIRECT("'"&amp;$B40&amp;"'!$R$6:$R$205"),MATCH($AF40&amp;"|"&amp;M$5,INDIRECT("'"&amp;$B40&amp;"'!$AF$6:$AF$205"),0))),"-"))</f>
        <v/>
      </c>
      <c r="N40" s="37">
        <f>IF(OR(AD40="",N$5="-"),"",IFERROR(IF(INDEX(INDIRECT("'"&amp;$B40&amp;"'!$R$6:$R$205"),MATCH($AF40&amp;"|"&amp;N$5,INDIRECT("'"&amp;$B40&amp;"'!$AF$6:$AF$205"),0))="","",INDEX(INDIRECT("'"&amp;$B40&amp;"'!$R$6:$R$205"),MATCH($AF40&amp;"|"&amp;N$5,INDIRECT("'"&amp;$B40&amp;"'!$AF$6:$AF$205"),0))),"-"))</f>
        <v/>
      </c>
      <c r="O40" s="37">
        <f>IF(OR(AD40="",O$5="-"),"",IFERROR(IF(INDEX(INDIRECT("'"&amp;$B40&amp;"'!$R$6:$R$205"),MATCH($AF40&amp;"|"&amp;O$5,INDIRECT("'"&amp;$B40&amp;"'!$AF$6:$AF$205"),0))="","",INDEX(INDIRECT("'"&amp;$B40&amp;"'!$R$6:$R$205"),MATCH($AF40&amp;"|"&amp;O$5,INDIRECT("'"&amp;$B40&amp;"'!$AF$6:$AF$205"),0))),"-"))</f>
        <v/>
      </c>
      <c r="P40" s="38">
        <f>IF(OR(AD40="",P$5="-"),"",IFERROR(IF(INDEX(INDIRECT("'"&amp;$B40&amp;"'!$T$6:$T$205"),MATCH($AF40&amp;"|"&amp;P$5,INDIRECT("'"&amp;$B40&amp;"'!$AF$6:$AF$205"),0))="","",INDEX(INDIRECT("'"&amp;$B40&amp;"'!$T$6:$T$205"),MATCH($AF40&amp;"|"&amp;P$5,INDIRECT("'"&amp;$B40&amp;"'!$AF$6:$AF$205"),0))),"-"))</f>
        <v/>
      </c>
      <c r="Q40" s="38">
        <f>IF(OR(AD40="",Q$5="-"),"",IFERROR(IF(INDEX(INDIRECT("'"&amp;$B40&amp;"'!$T$6:$T$205"),MATCH($AF40&amp;"|"&amp;Q$5,INDIRECT("'"&amp;$B40&amp;"'!$AF$6:$AF$205"),0))="","",INDEX(INDIRECT("'"&amp;$B40&amp;"'!$T$6:$T$205"),MATCH($AF40&amp;"|"&amp;Q$5,INDIRECT("'"&amp;$B40&amp;"'!$AF$6:$AF$205"),0))),"-"))</f>
        <v/>
      </c>
      <c r="R40" s="38">
        <f>IF(OR(AD40="",R$5="-"),"",IFERROR(IF(INDEX(INDIRECT("'"&amp;$B40&amp;"'!$T$6:$T$205"),MATCH($AF40&amp;"|"&amp;R$5,INDIRECT("'"&amp;$B40&amp;"'!$AF$6:$AF$205"),0))="","",INDEX(INDIRECT("'"&amp;$B40&amp;"'!$T$6:$T$205"),MATCH($AF40&amp;"|"&amp;R$5,INDIRECT("'"&amp;$B40&amp;"'!$AF$6:$AF$205"),0))),"-"))</f>
        <v/>
      </c>
      <c r="S40" s="38">
        <f>IF(OR(AD40="",S$5="-"),"",IFERROR(IF(INDEX(INDIRECT("'"&amp;$B40&amp;"'!$T$6:$T$205"),MATCH($AF40&amp;"|"&amp;S$5,INDIRECT("'"&amp;$B40&amp;"'!$AF$6:$AF$205"),0))="","",INDEX(INDIRECT("'"&amp;$B40&amp;"'!$T$6:$T$205"),MATCH($AF40&amp;"|"&amp;S$5,INDIRECT("'"&amp;$B40&amp;"'!$AF$6:$AF$205"),0))),"-"))</f>
        <v/>
      </c>
      <c r="T40" s="35">
        <f>IF(U40="","",INDEX($L$5:$O$5,MATCH(U40,L40:O40,0)))</f>
        <v/>
      </c>
      <c r="U40" s="37">
        <f>IF(COUNT(L40:O40)=0,"",MIN(L40:O40))</f>
        <v/>
      </c>
      <c r="V40" s="39">
        <f>IF(U40="","",U40*F40)</f>
        <v/>
      </c>
      <c r="W40" s="39">
        <f>IF(COUNT(L40:O40)&lt;2,"",(MAX(L40:O40)-MIN(L40:O40))*F40)</f>
        <v/>
      </c>
      <c r="X40" s="20" t="n"/>
      <c r="AD40">
        <f>IF(35&gt;MAX($AB$6:$AB$9),"",COUNTIF($AB$6:$AB$9,"&lt;"&amp;35)+1)</f>
        <v/>
      </c>
      <c r="AE40">
        <f>IF(AD40="","",35-INDEX($AC$6:$AC$9,AD40))</f>
        <v/>
      </c>
      <c r="AF40">
        <f>IF(AD40="","",INDEX(INDIRECT("'"&amp;$B40&amp;"'!$AE$6:$AE$205"),MATCH(AE40,INDIRECT("'"&amp;$B40&amp;"'!$AI$6:$AI$205"),0)))</f>
        <v/>
      </c>
    </row>
    <row r="41">
      <c r="A41" s="34">
        <f>IF(AD41="","",36)</f>
        <v/>
      </c>
      <c r="B41" s="35">
        <f>IF(AD41="","",INDEX($Z$6:$Z$9,AD41))</f>
        <v/>
      </c>
      <c r="C41" s="34">
        <f>IF(AD41="","",INDEX(INDIRECT("'"&amp;$B41&amp;"'!$B$6:$B$205"),MATCH($AF41,INDIRECT("'"&amp;$B41&amp;"'!$AE$6:$AE$205"),0)))</f>
        <v/>
      </c>
      <c r="D41" s="34">
        <f>IF(AD41="","",INDEX(INDIRECT("'"&amp;$B41&amp;"'!$D$6:$D$205"),MATCH($AF41,INDIRECT("'"&amp;$B41&amp;"'!$AE$6:$AE$205"),0)))</f>
        <v/>
      </c>
      <c r="E41" s="36">
        <f>IF(AD41="","",INDEX(INDIRECT("'"&amp;$B41&amp;"'!$F$6:$F$205"),MATCH($AF41,INDIRECT("'"&amp;$B41&amp;"'!$AE$6:$AE$205"),0)))</f>
        <v/>
      </c>
      <c r="F41" s="34">
        <f>IF(AD41="","",INDEX(INDIRECT("'"&amp;$B41&amp;"'!$K$6:$K$205"),MATCH($AF41,INDIRECT("'"&amp;$B41&amp;"'!$AE$6:$AE$205"),0)))</f>
        <v/>
      </c>
      <c r="G41" s="34">
        <f>IF(AD41="","",INDEX(INDIRECT("'"&amp;$B41&amp;"'!$L$6:$L$205"),MATCH($AF41,INDIRECT("'"&amp;$B41&amp;"'!$AE$6:$AE$205"),0)))</f>
        <v/>
      </c>
      <c r="H41" s="34">
        <f>IF(OR(AD41="",H$5="-"),"",IFERROR(IF(INDEX(INDIRECT("'"&amp;$B41&amp;"'!$N$6:$N$205"),MATCH($AF41&amp;"|"&amp;H$5,INDIRECT("'"&amp;$B41&amp;"'!$AF$6:$AF$205"),0))="","",INDEX(INDIRECT("'"&amp;$B41&amp;"'!$N$6:$N$205"),MATCH($AF41&amp;"|"&amp;H$5,INDIRECT("'"&amp;$B41&amp;"'!$AF$6:$AF$205"),0))),"-"))</f>
        <v/>
      </c>
      <c r="I41" s="34">
        <f>IF(OR(AD41="",I$5="-"),"",IFERROR(IF(INDEX(INDIRECT("'"&amp;$B41&amp;"'!$N$6:$N$205"),MATCH($AF41&amp;"|"&amp;I$5,INDIRECT("'"&amp;$B41&amp;"'!$AF$6:$AF$205"),0))="","",INDEX(INDIRECT("'"&amp;$B41&amp;"'!$N$6:$N$205"),MATCH($AF41&amp;"|"&amp;I$5,INDIRECT("'"&amp;$B41&amp;"'!$AF$6:$AF$205"),0))),"-"))</f>
        <v/>
      </c>
      <c r="J41" s="34">
        <f>IF(OR(AD41="",J$5="-"),"",IFERROR(IF(INDEX(INDIRECT("'"&amp;$B41&amp;"'!$N$6:$N$205"),MATCH($AF41&amp;"|"&amp;J$5,INDIRECT("'"&amp;$B41&amp;"'!$AF$6:$AF$205"),0))="","",INDEX(INDIRECT("'"&amp;$B41&amp;"'!$N$6:$N$205"),MATCH($AF41&amp;"|"&amp;J$5,INDIRECT("'"&amp;$B41&amp;"'!$AF$6:$AF$205"),0))),"-"))</f>
        <v/>
      </c>
      <c r="K41" s="34">
        <f>IF(OR(AD41="",K$5="-"),"",IFERROR(IF(INDEX(INDIRECT("'"&amp;$B41&amp;"'!$N$6:$N$205"),MATCH($AF41&amp;"|"&amp;K$5,INDIRECT("'"&amp;$B41&amp;"'!$AF$6:$AF$205"),0))="","",INDEX(INDIRECT("'"&amp;$B41&amp;"'!$N$6:$N$205"),MATCH($AF41&amp;"|"&amp;K$5,INDIRECT("'"&amp;$B41&amp;"'!$AF$6:$AF$205"),0))),"-"))</f>
        <v/>
      </c>
      <c r="L41" s="37">
        <f>IF(OR(AD41="",L$5="-"),"",IFERROR(IF(INDEX(INDIRECT("'"&amp;$B41&amp;"'!$R$6:$R$205"),MATCH($AF41&amp;"|"&amp;L$5,INDIRECT("'"&amp;$B41&amp;"'!$AF$6:$AF$205"),0))="","",INDEX(INDIRECT("'"&amp;$B41&amp;"'!$R$6:$R$205"),MATCH($AF41&amp;"|"&amp;L$5,INDIRECT("'"&amp;$B41&amp;"'!$AF$6:$AF$205"),0))),"-"))</f>
        <v/>
      </c>
      <c r="M41" s="37">
        <f>IF(OR(AD41="",M$5="-"),"",IFERROR(IF(INDEX(INDIRECT("'"&amp;$B41&amp;"'!$R$6:$R$205"),MATCH($AF41&amp;"|"&amp;M$5,INDIRECT("'"&amp;$B41&amp;"'!$AF$6:$AF$205"),0))="","",INDEX(INDIRECT("'"&amp;$B41&amp;"'!$R$6:$R$205"),MATCH($AF41&amp;"|"&amp;M$5,INDIRECT("'"&amp;$B41&amp;"'!$AF$6:$AF$205"),0))),"-"))</f>
        <v/>
      </c>
      <c r="N41" s="37">
        <f>IF(OR(AD41="",N$5="-"),"",IFERROR(IF(INDEX(INDIRECT("'"&amp;$B41&amp;"'!$R$6:$R$205"),MATCH($AF41&amp;"|"&amp;N$5,INDIRECT("'"&amp;$B41&amp;"'!$AF$6:$AF$205"),0))="","",INDEX(INDIRECT("'"&amp;$B41&amp;"'!$R$6:$R$205"),MATCH($AF41&amp;"|"&amp;N$5,INDIRECT("'"&amp;$B41&amp;"'!$AF$6:$AF$205"),0))),"-"))</f>
        <v/>
      </c>
      <c r="O41" s="37">
        <f>IF(OR(AD41="",O$5="-"),"",IFERROR(IF(INDEX(INDIRECT("'"&amp;$B41&amp;"'!$R$6:$R$205"),MATCH($AF41&amp;"|"&amp;O$5,INDIRECT("'"&amp;$B41&amp;"'!$AF$6:$AF$205"),0))="","",INDEX(INDIRECT("'"&amp;$B41&amp;"'!$R$6:$R$205"),MATCH($AF41&amp;"|"&amp;O$5,INDIRECT("'"&amp;$B41&amp;"'!$AF$6:$AF$205"),0))),"-"))</f>
        <v/>
      </c>
      <c r="P41" s="38">
        <f>IF(OR(AD41="",P$5="-"),"",IFERROR(IF(INDEX(INDIRECT("'"&amp;$B41&amp;"'!$T$6:$T$205"),MATCH($AF41&amp;"|"&amp;P$5,INDIRECT("'"&amp;$B41&amp;"'!$AF$6:$AF$205"),0))="","",INDEX(INDIRECT("'"&amp;$B41&amp;"'!$T$6:$T$205"),MATCH($AF41&amp;"|"&amp;P$5,INDIRECT("'"&amp;$B41&amp;"'!$AF$6:$AF$205"),0))),"-"))</f>
        <v/>
      </c>
      <c r="Q41" s="38">
        <f>IF(OR(AD41="",Q$5="-"),"",IFERROR(IF(INDEX(INDIRECT("'"&amp;$B41&amp;"'!$T$6:$T$205"),MATCH($AF41&amp;"|"&amp;Q$5,INDIRECT("'"&amp;$B41&amp;"'!$AF$6:$AF$205"),0))="","",INDEX(INDIRECT("'"&amp;$B41&amp;"'!$T$6:$T$205"),MATCH($AF41&amp;"|"&amp;Q$5,INDIRECT("'"&amp;$B41&amp;"'!$AF$6:$AF$205"),0))),"-"))</f>
        <v/>
      </c>
      <c r="R41" s="38">
        <f>IF(OR(AD41="",R$5="-"),"",IFERROR(IF(INDEX(INDIRECT("'"&amp;$B41&amp;"'!$T$6:$T$205"),MATCH($AF41&amp;"|"&amp;R$5,INDIRECT("'"&amp;$B41&amp;"'!$AF$6:$AF$205"),0))="","",INDEX(INDIRECT("'"&amp;$B41&amp;"'!$T$6:$T$205"),MATCH($AF41&amp;"|"&amp;R$5,INDIRECT("'"&amp;$B41&amp;"'!$AF$6:$AF$205"),0))),"-"))</f>
        <v/>
      </c>
      <c r="S41" s="38">
        <f>IF(OR(AD41="",S$5="-"),"",IFERROR(IF(INDEX(INDIRECT("'"&amp;$B41&amp;"'!$T$6:$T$205"),MATCH($AF41&amp;"|"&amp;S$5,INDIRECT("'"&amp;$B41&amp;"'!$AF$6:$AF$205"),0))="","",INDEX(INDIRECT("'"&amp;$B41&amp;"'!$T$6:$T$205"),MATCH($AF41&amp;"|"&amp;S$5,INDIRECT("'"&amp;$B41&amp;"'!$AF$6:$AF$205"),0))),"-"))</f>
        <v/>
      </c>
      <c r="T41" s="35">
        <f>IF(U41="","",INDEX($L$5:$O$5,MATCH(U41,L41:O41,0)))</f>
        <v/>
      </c>
      <c r="U41" s="37">
        <f>IF(COUNT(L41:O41)=0,"",MIN(L41:O41))</f>
        <v/>
      </c>
      <c r="V41" s="39">
        <f>IF(U41="","",U41*F41)</f>
        <v/>
      </c>
      <c r="W41" s="39">
        <f>IF(COUNT(L41:O41)&lt;2,"",(MAX(L41:O41)-MIN(L41:O41))*F41)</f>
        <v/>
      </c>
      <c r="X41" s="20" t="n"/>
      <c r="AD41">
        <f>IF(36&gt;MAX($AB$6:$AB$9),"",COUNTIF($AB$6:$AB$9,"&lt;"&amp;36)+1)</f>
        <v/>
      </c>
      <c r="AE41">
        <f>IF(AD41="","",36-INDEX($AC$6:$AC$9,AD41))</f>
        <v/>
      </c>
      <c r="AF41">
        <f>IF(AD41="","",INDEX(INDIRECT("'"&amp;$B41&amp;"'!$AE$6:$AE$205"),MATCH(AE41,INDIRECT("'"&amp;$B41&amp;"'!$AI$6:$AI$205"),0)))</f>
        <v/>
      </c>
    </row>
    <row r="42">
      <c r="A42" s="34">
        <f>IF(AD42="","",37)</f>
        <v/>
      </c>
      <c r="B42" s="35">
        <f>IF(AD42="","",INDEX($Z$6:$Z$9,AD42))</f>
        <v/>
      </c>
      <c r="C42" s="34">
        <f>IF(AD42="","",INDEX(INDIRECT("'"&amp;$B42&amp;"'!$B$6:$B$205"),MATCH($AF42,INDIRECT("'"&amp;$B42&amp;"'!$AE$6:$AE$205"),0)))</f>
        <v/>
      </c>
      <c r="D42" s="34">
        <f>IF(AD42="","",INDEX(INDIRECT("'"&amp;$B42&amp;"'!$D$6:$D$205"),MATCH($AF42,INDIRECT("'"&amp;$B42&amp;"'!$AE$6:$AE$205"),0)))</f>
        <v/>
      </c>
      <c r="E42" s="36">
        <f>IF(AD42="","",INDEX(INDIRECT("'"&amp;$B42&amp;"'!$F$6:$F$205"),MATCH($AF42,INDIRECT("'"&amp;$B42&amp;"'!$AE$6:$AE$205"),0)))</f>
        <v/>
      </c>
      <c r="F42" s="34">
        <f>IF(AD42="","",INDEX(INDIRECT("'"&amp;$B42&amp;"'!$K$6:$K$205"),MATCH($AF42,INDIRECT("'"&amp;$B42&amp;"'!$AE$6:$AE$205"),0)))</f>
        <v/>
      </c>
      <c r="G42" s="34">
        <f>IF(AD42="","",INDEX(INDIRECT("'"&amp;$B42&amp;"'!$L$6:$L$205"),MATCH($AF42,INDIRECT("'"&amp;$B42&amp;"'!$AE$6:$AE$205"),0)))</f>
        <v/>
      </c>
      <c r="H42" s="34">
        <f>IF(OR(AD42="",H$5="-"),"",IFERROR(IF(INDEX(INDIRECT("'"&amp;$B42&amp;"'!$N$6:$N$205"),MATCH($AF42&amp;"|"&amp;H$5,INDIRECT("'"&amp;$B42&amp;"'!$AF$6:$AF$205"),0))="","",INDEX(INDIRECT("'"&amp;$B42&amp;"'!$N$6:$N$205"),MATCH($AF42&amp;"|"&amp;H$5,INDIRECT("'"&amp;$B42&amp;"'!$AF$6:$AF$205"),0))),"-"))</f>
        <v/>
      </c>
      <c r="I42" s="34">
        <f>IF(OR(AD42="",I$5="-"),"",IFERROR(IF(INDEX(INDIRECT("'"&amp;$B42&amp;"'!$N$6:$N$205"),MATCH($AF42&amp;"|"&amp;I$5,INDIRECT("'"&amp;$B42&amp;"'!$AF$6:$AF$205"),0))="","",INDEX(INDIRECT("'"&amp;$B42&amp;"'!$N$6:$N$205"),MATCH($AF42&amp;"|"&amp;I$5,INDIRECT("'"&amp;$B42&amp;"'!$AF$6:$AF$205"),0))),"-"))</f>
        <v/>
      </c>
      <c r="J42" s="34">
        <f>IF(OR(AD42="",J$5="-"),"",IFERROR(IF(INDEX(INDIRECT("'"&amp;$B42&amp;"'!$N$6:$N$205"),MATCH($AF42&amp;"|"&amp;J$5,INDIRECT("'"&amp;$B42&amp;"'!$AF$6:$AF$205"),0))="","",INDEX(INDIRECT("'"&amp;$B42&amp;"'!$N$6:$N$205"),MATCH($AF42&amp;"|"&amp;J$5,INDIRECT("'"&amp;$B42&amp;"'!$AF$6:$AF$205"),0))),"-"))</f>
        <v/>
      </c>
      <c r="K42" s="34">
        <f>IF(OR(AD42="",K$5="-"),"",IFERROR(IF(INDEX(INDIRECT("'"&amp;$B42&amp;"'!$N$6:$N$205"),MATCH($AF42&amp;"|"&amp;K$5,INDIRECT("'"&amp;$B42&amp;"'!$AF$6:$AF$205"),0))="","",INDEX(INDIRECT("'"&amp;$B42&amp;"'!$N$6:$N$205"),MATCH($AF42&amp;"|"&amp;K$5,INDIRECT("'"&amp;$B42&amp;"'!$AF$6:$AF$205"),0))),"-"))</f>
        <v/>
      </c>
      <c r="L42" s="37">
        <f>IF(OR(AD42="",L$5="-"),"",IFERROR(IF(INDEX(INDIRECT("'"&amp;$B42&amp;"'!$R$6:$R$205"),MATCH($AF42&amp;"|"&amp;L$5,INDIRECT("'"&amp;$B42&amp;"'!$AF$6:$AF$205"),0))="","",INDEX(INDIRECT("'"&amp;$B42&amp;"'!$R$6:$R$205"),MATCH($AF42&amp;"|"&amp;L$5,INDIRECT("'"&amp;$B42&amp;"'!$AF$6:$AF$205"),0))),"-"))</f>
        <v/>
      </c>
      <c r="M42" s="37">
        <f>IF(OR(AD42="",M$5="-"),"",IFERROR(IF(INDEX(INDIRECT("'"&amp;$B42&amp;"'!$R$6:$R$205"),MATCH($AF42&amp;"|"&amp;M$5,INDIRECT("'"&amp;$B42&amp;"'!$AF$6:$AF$205"),0))="","",INDEX(INDIRECT("'"&amp;$B42&amp;"'!$R$6:$R$205"),MATCH($AF42&amp;"|"&amp;M$5,INDIRECT("'"&amp;$B42&amp;"'!$AF$6:$AF$205"),0))),"-"))</f>
        <v/>
      </c>
      <c r="N42" s="37">
        <f>IF(OR(AD42="",N$5="-"),"",IFERROR(IF(INDEX(INDIRECT("'"&amp;$B42&amp;"'!$R$6:$R$205"),MATCH($AF42&amp;"|"&amp;N$5,INDIRECT("'"&amp;$B42&amp;"'!$AF$6:$AF$205"),0))="","",INDEX(INDIRECT("'"&amp;$B42&amp;"'!$R$6:$R$205"),MATCH($AF42&amp;"|"&amp;N$5,INDIRECT("'"&amp;$B42&amp;"'!$AF$6:$AF$205"),0))),"-"))</f>
        <v/>
      </c>
      <c r="O42" s="37">
        <f>IF(OR(AD42="",O$5="-"),"",IFERROR(IF(INDEX(INDIRECT("'"&amp;$B42&amp;"'!$R$6:$R$205"),MATCH($AF42&amp;"|"&amp;O$5,INDIRECT("'"&amp;$B42&amp;"'!$AF$6:$AF$205"),0))="","",INDEX(INDIRECT("'"&amp;$B42&amp;"'!$R$6:$R$205"),MATCH($AF42&amp;"|"&amp;O$5,INDIRECT("'"&amp;$B42&amp;"'!$AF$6:$AF$205"),0))),"-"))</f>
        <v/>
      </c>
      <c r="P42" s="38">
        <f>IF(OR(AD42="",P$5="-"),"",IFERROR(IF(INDEX(INDIRECT("'"&amp;$B42&amp;"'!$T$6:$T$205"),MATCH($AF42&amp;"|"&amp;P$5,INDIRECT("'"&amp;$B42&amp;"'!$AF$6:$AF$205"),0))="","",INDEX(INDIRECT("'"&amp;$B42&amp;"'!$T$6:$T$205"),MATCH($AF42&amp;"|"&amp;P$5,INDIRECT("'"&amp;$B42&amp;"'!$AF$6:$AF$205"),0))),"-"))</f>
        <v/>
      </c>
      <c r="Q42" s="38">
        <f>IF(OR(AD42="",Q$5="-"),"",IFERROR(IF(INDEX(INDIRECT("'"&amp;$B42&amp;"'!$T$6:$T$205"),MATCH($AF42&amp;"|"&amp;Q$5,INDIRECT("'"&amp;$B42&amp;"'!$AF$6:$AF$205"),0))="","",INDEX(INDIRECT("'"&amp;$B42&amp;"'!$T$6:$T$205"),MATCH($AF42&amp;"|"&amp;Q$5,INDIRECT("'"&amp;$B42&amp;"'!$AF$6:$AF$205"),0))),"-"))</f>
        <v/>
      </c>
      <c r="R42" s="38">
        <f>IF(OR(AD42="",R$5="-"),"",IFERROR(IF(INDEX(INDIRECT("'"&amp;$B42&amp;"'!$T$6:$T$205"),MATCH($AF42&amp;"|"&amp;R$5,INDIRECT("'"&amp;$B42&amp;"'!$AF$6:$AF$205"),0))="","",INDEX(INDIRECT("'"&amp;$B42&amp;"'!$T$6:$T$205"),MATCH($AF42&amp;"|"&amp;R$5,INDIRECT("'"&amp;$B42&amp;"'!$AF$6:$AF$205"),0))),"-"))</f>
        <v/>
      </c>
      <c r="S42" s="38">
        <f>IF(OR(AD42="",S$5="-"),"",IFERROR(IF(INDEX(INDIRECT("'"&amp;$B42&amp;"'!$T$6:$T$205"),MATCH($AF42&amp;"|"&amp;S$5,INDIRECT("'"&amp;$B42&amp;"'!$AF$6:$AF$205"),0))="","",INDEX(INDIRECT("'"&amp;$B42&amp;"'!$T$6:$T$205"),MATCH($AF42&amp;"|"&amp;S$5,INDIRECT("'"&amp;$B42&amp;"'!$AF$6:$AF$205"),0))),"-"))</f>
        <v/>
      </c>
      <c r="T42" s="35">
        <f>IF(U42="","",INDEX($L$5:$O$5,MATCH(U42,L42:O42,0)))</f>
        <v/>
      </c>
      <c r="U42" s="37">
        <f>IF(COUNT(L42:O42)=0,"",MIN(L42:O42))</f>
        <v/>
      </c>
      <c r="V42" s="39">
        <f>IF(U42="","",U42*F42)</f>
        <v/>
      </c>
      <c r="W42" s="39">
        <f>IF(COUNT(L42:O42)&lt;2,"",(MAX(L42:O42)-MIN(L42:O42))*F42)</f>
        <v/>
      </c>
      <c r="X42" s="20" t="n"/>
      <c r="AD42">
        <f>IF(37&gt;MAX($AB$6:$AB$9),"",COUNTIF($AB$6:$AB$9,"&lt;"&amp;37)+1)</f>
        <v/>
      </c>
      <c r="AE42">
        <f>IF(AD42="","",37-INDEX($AC$6:$AC$9,AD42))</f>
        <v/>
      </c>
      <c r="AF42">
        <f>IF(AD42="","",INDEX(INDIRECT("'"&amp;$B42&amp;"'!$AE$6:$AE$205"),MATCH(AE42,INDIRECT("'"&amp;$B42&amp;"'!$AI$6:$AI$205"),0)))</f>
        <v/>
      </c>
    </row>
    <row r="43">
      <c r="A43" s="34">
        <f>IF(AD43="","",38)</f>
        <v/>
      </c>
      <c r="B43" s="35">
        <f>IF(AD43="","",INDEX($Z$6:$Z$9,AD43))</f>
        <v/>
      </c>
      <c r="C43" s="34">
        <f>IF(AD43="","",INDEX(INDIRECT("'"&amp;$B43&amp;"'!$B$6:$B$205"),MATCH($AF43,INDIRECT("'"&amp;$B43&amp;"'!$AE$6:$AE$205"),0)))</f>
        <v/>
      </c>
      <c r="D43" s="34">
        <f>IF(AD43="","",INDEX(INDIRECT("'"&amp;$B43&amp;"'!$D$6:$D$205"),MATCH($AF43,INDIRECT("'"&amp;$B43&amp;"'!$AE$6:$AE$205"),0)))</f>
        <v/>
      </c>
      <c r="E43" s="36">
        <f>IF(AD43="","",INDEX(INDIRECT("'"&amp;$B43&amp;"'!$F$6:$F$205"),MATCH($AF43,INDIRECT("'"&amp;$B43&amp;"'!$AE$6:$AE$205"),0)))</f>
        <v/>
      </c>
      <c r="F43" s="34">
        <f>IF(AD43="","",INDEX(INDIRECT("'"&amp;$B43&amp;"'!$K$6:$K$205"),MATCH($AF43,INDIRECT("'"&amp;$B43&amp;"'!$AE$6:$AE$205"),0)))</f>
        <v/>
      </c>
      <c r="G43" s="34">
        <f>IF(AD43="","",INDEX(INDIRECT("'"&amp;$B43&amp;"'!$L$6:$L$205"),MATCH($AF43,INDIRECT("'"&amp;$B43&amp;"'!$AE$6:$AE$205"),0)))</f>
        <v/>
      </c>
      <c r="H43" s="34">
        <f>IF(OR(AD43="",H$5="-"),"",IFERROR(IF(INDEX(INDIRECT("'"&amp;$B43&amp;"'!$N$6:$N$205"),MATCH($AF43&amp;"|"&amp;H$5,INDIRECT("'"&amp;$B43&amp;"'!$AF$6:$AF$205"),0))="","",INDEX(INDIRECT("'"&amp;$B43&amp;"'!$N$6:$N$205"),MATCH($AF43&amp;"|"&amp;H$5,INDIRECT("'"&amp;$B43&amp;"'!$AF$6:$AF$205"),0))),"-"))</f>
        <v/>
      </c>
      <c r="I43" s="34">
        <f>IF(OR(AD43="",I$5="-"),"",IFERROR(IF(INDEX(INDIRECT("'"&amp;$B43&amp;"'!$N$6:$N$205"),MATCH($AF43&amp;"|"&amp;I$5,INDIRECT("'"&amp;$B43&amp;"'!$AF$6:$AF$205"),0))="","",INDEX(INDIRECT("'"&amp;$B43&amp;"'!$N$6:$N$205"),MATCH($AF43&amp;"|"&amp;I$5,INDIRECT("'"&amp;$B43&amp;"'!$AF$6:$AF$205"),0))),"-"))</f>
        <v/>
      </c>
      <c r="J43" s="34">
        <f>IF(OR(AD43="",J$5="-"),"",IFERROR(IF(INDEX(INDIRECT("'"&amp;$B43&amp;"'!$N$6:$N$205"),MATCH($AF43&amp;"|"&amp;J$5,INDIRECT("'"&amp;$B43&amp;"'!$AF$6:$AF$205"),0))="","",INDEX(INDIRECT("'"&amp;$B43&amp;"'!$N$6:$N$205"),MATCH($AF43&amp;"|"&amp;J$5,INDIRECT("'"&amp;$B43&amp;"'!$AF$6:$AF$205"),0))),"-"))</f>
        <v/>
      </c>
      <c r="K43" s="34">
        <f>IF(OR(AD43="",K$5="-"),"",IFERROR(IF(INDEX(INDIRECT("'"&amp;$B43&amp;"'!$N$6:$N$205"),MATCH($AF43&amp;"|"&amp;K$5,INDIRECT("'"&amp;$B43&amp;"'!$AF$6:$AF$205"),0))="","",INDEX(INDIRECT("'"&amp;$B43&amp;"'!$N$6:$N$205"),MATCH($AF43&amp;"|"&amp;K$5,INDIRECT("'"&amp;$B43&amp;"'!$AF$6:$AF$205"),0))),"-"))</f>
        <v/>
      </c>
      <c r="L43" s="37">
        <f>IF(OR(AD43="",L$5="-"),"",IFERROR(IF(INDEX(INDIRECT("'"&amp;$B43&amp;"'!$R$6:$R$205"),MATCH($AF43&amp;"|"&amp;L$5,INDIRECT("'"&amp;$B43&amp;"'!$AF$6:$AF$205"),0))="","",INDEX(INDIRECT("'"&amp;$B43&amp;"'!$R$6:$R$205"),MATCH($AF43&amp;"|"&amp;L$5,INDIRECT("'"&amp;$B43&amp;"'!$AF$6:$AF$205"),0))),"-"))</f>
        <v/>
      </c>
      <c r="M43" s="37">
        <f>IF(OR(AD43="",M$5="-"),"",IFERROR(IF(INDEX(INDIRECT("'"&amp;$B43&amp;"'!$R$6:$R$205"),MATCH($AF43&amp;"|"&amp;M$5,INDIRECT("'"&amp;$B43&amp;"'!$AF$6:$AF$205"),0))="","",INDEX(INDIRECT("'"&amp;$B43&amp;"'!$R$6:$R$205"),MATCH($AF43&amp;"|"&amp;M$5,INDIRECT("'"&amp;$B43&amp;"'!$AF$6:$AF$205"),0))),"-"))</f>
        <v/>
      </c>
      <c r="N43" s="37">
        <f>IF(OR(AD43="",N$5="-"),"",IFERROR(IF(INDEX(INDIRECT("'"&amp;$B43&amp;"'!$R$6:$R$205"),MATCH($AF43&amp;"|"&amp;N$5,INDIRECT("'"&amp;$B43&amp;"'!$AF$6:$AF$205"),0))="","",INDEX(INDIRECT("'"&amp;$B43&amp;"'!$R$6:$R$205"),MATCH($AF43&amp;"|"&amp;N$5,INDIRECT("'"&amp;$B43&amp;"'!$AF$6:$AF$205"),0))),"-"))</f>
        <v/>
      </c>
      <c r="O43" s="37">
        <f>IF(OR(AD43="",O$5="-"),"",IFERROR(IF(INDEX(INDIRECT("'"&amp;$B43&amp;"'!$R$6:$R$205"),MATCH($AF43&amp;"|"&amp;O$5,INDIRECT("'"&amp;$B43&amp;"'!$AF$6:$AF$205"),0))="","",INDEX(INDIRECT("'"&amp;$B43&amp;"'!$R$6:$R$205"),MATCH($AF43&amp;"|"&amp;O$5,INDIRECT("'"&amp;$B43&amp;"'!$AF$6:$AF$205"),0))),"-"))</f>
        <v/>
      </c>
      <c r="P43" s="38">
        <f>IF(OR(AD43="",P$5="-"),"",IFERROR(IF(INDEX(INDIRECT("'"&amp;$B43&amp;"'!$T$6:$T$205"),MATCH($AF43&amp;"|"&amp;P$5,INDIRECT("'"&amp;$B43&amp;"'!$AF$6:$AF$205"),0))="","",INDEX(INDIRECT("'"&amp;$B43&amp;"'!$T$6:$T$205"),MATCH($AF43&amp;"|"&amp;P$5,INDIRECT("'"&amp;$B43&amp;"'!$AF$6:$AF$205"),0))),"-"))</f>
        <v/>
      </c>
      <c r="Q43" s="38">
        <f>IF(OR(AD43="",Q$5="-"),"",IFERROR(IF(INDEX(INDIRECT("'"&amp;$B43&amp;"'!$T$6:$T$205"),MATCH($AF43&amp;"|"&amp;Q$5,INDIRECT("'"&amp;$B43&amp;"'!$AF$6:$AF$205"),0))="","",INDEX(INDIRECT("'"&amp;$B43&amp;"'!$T$6:$T$205"),MATCH($AF43&amp;"|"&amp;Q$5,INDIRECT("'"&amp;$B43&amp;"'!$AF$6:$AF$205"),0))),"-"))</f>
        <v/>
      </c>
      <c r="R43" s="38">
        <f>IF(OR(AD43="",R$5="-"),"",IFERROR(IF(INDEX(INDIRECT("'"&amp;$B43&amp;"'!$T$6:$T$205"),MATCH($AF43&amp;"|"&amp;R$5,INDIRECT("'"&amp;$B43&amp;"'!$AF$6:$AF$205"),0))="","",INDEX(INDIRECT("'"&amp;$B43&amp;"'!$T$6:$T$205"),MATCH($AF43&amp;"|"&amp;R$5,INDIRECT("'"&amp;$B43&amp;"'!$AF$6:$AF$205"),0))),"-"))</f>
        <v/>
      </c>
      <c r="S43" s="38">
        <f>IF(OR(AD43="",S$5="-"),"",IFERROR(IF(INDEX(INDIRECT("'"&amp;$B43&amp;"'!$T$6:$T$205"),MATCH($AF43&amp;"|"&amp;S$5,INDIRECT("'"&amp;$B43&amp;"'!$AF$6:$AF$205"),0))="","",INDEX(INDIRECT("'"&amp;$B43&amp;"'!$T$6:$T$205"),MATCH($AF43&amp;"|"&amp;S$5,INDIRECT("'"&amp;$B43&amp;"'!$AF$6:$AF$205"),0))),"-"))</f>
        <v/>
      </c>
      <c r="T43" s="35">
        <f>IF(U43="","",INDEX($L$5:$O$5,MATCH(U43,L43:O43,0)))</f>
        <v/>
      </c>
      <c r="U43" s="37">
        <f>IF(COUNT(L43:O43)=0,"",MIN(L43:O43))</f>
        <v/>
      </c>
      <c r="V43" s="39">
        <f>IF(U43="","",U43*F43)</f>
        <v/>
      </c>
      <c r="W43" s="39">
        <f>IF(COUNT(L43:O43)&lt;2,"",(MAX(L43:O43)-MIN(L43:O43))*F43)</f>
        <v/>
      </c>
      <c r="X43" s="20" t="n"/>
      <c r="AD43">
        <f>IF(38&gt;MAX($AB$6:$AB$9),"",COUNTIF($AB$6:$AB$9,"&lt;"&amp;38)+1)</f>
        <v/>
      </c>
      <c r="AE43">
        <f>IF(AD43="","",38-INDEX($AC$6:$AC$9,AD43))</f>
        <v/>
      </c>
      <c r="AF43">
        <f>IF(AD43="","",INDEX(INDIRECT("'"&amp;$B43&amp;"'!$AE$6:$AE$205"),MATCH(AE43,INDIRECT("'"&amp;$B43&amp;"'!$AI$6:$AI$205"),0)))</f>
        <v/>
      </c>
    </row>
    <row r="44">
      <c r="A44" s="34">
        <f>IF(AD44="","",39)</f>
        <v/>
      </c>
      <c r="B44" s="35">
        <f>IF(AD44="","",INDEX($Z$6:$Z$9,AD44))</f>
        <v/>
      </c>
      <c r="C44" s="34">
        <f>IF(AD44="","",INDEX(INDIRECT("'"&amp;$B44&amp;"'!$B$6:$B$205"),MATCH($AF44,INDIRECT("'"&amp;$B44&amp;"'!$AE$6:$AE$205"),0)))</f>
        <v/>
      </c>
      <c r="D44" s="34">
        <f>IF(AD44="","",INDEX(INDIRECT("'"&amp;$B44&amp;"'!$D$6:$D$205"),MATCH($AF44,INDIRECT("'"&amp;$B44&amp;"'!$AE$6:$AE$205"),0)))</f>
        <v/>
      </c>
      <c r="E44" s="36">
        <f>IF(AD44="","",INDEX(INDIRECT("'"&amp;$B44&amp;"'!$F$6:$F$205"),MATCH($AF44,INDIRECT("'"&amp;$B44&amp;"'!$AE$6:$AE$205"),0)))</f>
        <v/>
      </c>
      <c r="F44" s="34">
        <f>IF(AD44="","",INDEX(INDIRECT("'"&amp;$B44&amp;"'!$K$6:$K$205"),MATCH($AF44,INDIRECT("'"&amp;$B44&amp;"'!$AE$6:$AE$205"),0)))</f>
        <v/>
      </c>
      <c r="G44" s="34">
        <f>IF(AD44="","",INDEX(INDIRECT("'"&amp;$B44&amp;"'!$L$6:$L$205"),MATCH($AF44,INDIRECT("'"&amp;$B44&amp;"'!$AE$6:$AE$205"),0)))</f>
        <v/>
      </c>
      <c r="H44" s="34">
        <f>IF(OR(AD44="",H$5="-"),"",IFERROR(IF(INDEX(INDIRECT("'"&amp;$B44&amp;"'!$N$6:$N$205"),MATCH($AF44&amp;"|"&amp;H$5,INDIRECT("'"&amp;$B44&amp;"'!$AF$6:$AF$205"),0))="","",INDEX(INDIRECT("'"&amp;$B44&amp;"'!$N$6:$N$205"),MATCH($AF44&amp;"|"&amp;H$5,INDIRECT("'"&amp;$B44&amp;"'!$AF$6:$AF$205"),0))),"-"))</f>
        <v/>
      </c>
      <c r="I44" s="34">
        <f>IF(OR(AD44="",I$5="-"),"",IFERROR(IF(INDEX(INDIRECT("'"&amp;$B44&amp;"'!$N$6:$N$205"),MATCH($AF44&amp;"|"&amp;I$5,INDIRECT("'"&amp;$B44&amp;"'!$AF$6:$AF$205"),0))="","",INDEX(INDIRECT("'"&amp;$B44&amp;"'!$N$6:$N$205"),MATCH($AF44&amp;"|"&amp;I$5,INDIRECT("'"&amp;$B44&amp;"'!$AF$6:$AF$205"),0))),"-"))</f>
        <v/>
      </c>
      <c r="J44" s="34">
        <f>IF(OR(AD44="",J$5="-"),"",IFERROR(IF(INDEX(INDIRECT("'"&amp;$B44&amp;"'!$N$6:$N$205"),MATCH($AF44&amp;"|"&amp;J$5,INDIRECT("'"&amp;$B44&amp;"'!$AF$6:$AF$205"),0))="","",INDEX(INDIRECT("'"&amp;$B44&amp;"'!$N$6:$N$205"),MATCH($AF44&amp;"|"&amp;J$5,INDIRECT("'"&amp;$B44&amp;"'!$AF$6:$AF$205"),0))),"-"))</f>
        <v/>
      </c>
      <c r="K44" s="34">
        <f>IF(OR(AD44="",K$5="-"),"",IFERROR(IF(INDEX(INDIRECT("'"&amp;$B44&amp;"'!$N$6:$N$205"),MATCH($AF44&amp;"|"&amp;K$5,INDIRECT("'"&amp;$B44&amp;"'!$AF$6:$AF$205"),0))="","",INDEX(INDIRECT("'"&amp;$B44&amp;"'!$N$6:$N$205"),MATCH($AF44&amp;"|"&amp;K$5,INDIRECT("'"&amp;$B44&amp;"'!$AF$6:$AF$205"),0))),"-"))</f>
        <v/>
      </c>
      <c r="L44" s="37">
        <f>IF(OR(AD44="",L$5="-"),"",IFERROR(IF(INDEX(INDIRECT("'"&amp;$B44&amp;"'!$R$6:$R$205"),MATCH($AF44&amp;"|"&amp;L$5,INDIRECT("'"&amp;$B44&amp;"'!$AF$6:$AF$205"),0))="","",INDEX(INDIRECT("'"&amp;$B44&amp;"'!$R$6:$R$205"),MATCH($AF44&amp;"|"&amp;L$5,INDIRECT("'"&amp;$B44&amp;"'!$AF$6:$AF$205"),0))),"-"))</f>
        <v/>
      </c>
      <c r="M44" s="37">
        <f>IF(OR(AD44="",M$5="-"),"",IFERROR(IF(INDEX(INDIRECT("'"&amp;$B44&amp;"'!$R$6:$R$205"),MATCH($AF44&amp;"|"&amp;M$5,INDIRECT("'"&amp;$B44&amp;"'!$AF$6:$AF$205"),0))="","",INDEX(INDIRECT("'"&amp;$B44&amp;"'!$R$6:$R$205"),MATCH($AF44&amp;"|"&amp;M$5,INDIRECT("'"&amp;$B44&amp;"'!$AF$6:$AF$205"),0))),"-"))</f>
        <v/>
      </c>
      <c r="N44" s="37">
        <f>IF(OR(AD44="",N$5="-"),"",IFERROR(IF(INDEX(INDIRECT("'"&amp;$B44&amp;"'!$R$6:$R$205"),MATCH($AF44&amp;"|"&amp;N$5,INDIRECT("'"&amp;$B44&amp;"'!$AF$6:$AF$205"),0))="","",INDEX(INDIRECT("'"&amp;$B44&amp;"'!$R$6:$R$205"),MATCH($AF44&amp;"|"&amp;N$5,INDIRECT("'"&amp;$B44&amp;"'!$AF$6:$AF$205"),0))),"-"))</f>
        <v/>
      </c>
      <c r="O44" s="37">
        <f>IF(OR(AD44="",O$5="-"),"",IFERROR(IF(INDEX(INDIRECT("'"&amp;$B44&amp;"'!$R$6:$R$205"),MATCH($AF44&amp;"|"&amp;O$5,INDIRECT("'"&amp;$B44&amp;"'!$AF$6:$AF$205"),0))="","",INDEX(INDIRECT("'"&amp;$B44&amp;"'!$R$6:$R$205"),MATCH($AF44&amp;"|"&amp;O$5,INDIRECT("'"&amp;$B44&amp;"'!$AF$6:$AF$205"),0))),"-"))</f>
        <v/>
      </c>
      <c r="P44" s="38">
        <f>IF(OR(AD44="",P$5="-"),"",IFERROR(IF(INDEX(INDIRECT("'"&amp;$B44&amp;"'!$T$6:$T$205"),MATCH($AF44&amp;"|"&amp;P$5,INDIRECT("'"&amp;$B44&amp;"'!$AF$6:$AF$205"),0))="","",INDEX(INDIRECT("'"&amp;$B44&amp;"'!$T$6:$T$205"),MATCH($AF44&amp;"|"&amp;P$5,INDIRECT("'"&amp;$B44&amp;"'!$AF$6:$AF$205"),0))),"-"))</f>
        <v/>
      </c>
      <c r="Q44" s="38">
        <f>IF(OR(AD44="",Q$5="-"),"",IFERROR(IF(INDEX(INDIRECT("'"&amp;$B44&amp;"'!$T$6:$T$205"),MATCH($AF44&amp;"|"&amp;Q$5,INDIRECT("'"&amp;$B44&amp;"'!$AF$6:$AF$205"),0))="","",INDEX(INDIRECT("'"&amp;$B44&amp;"'!$T$6:$T$205"),MATCH($AF44&amp;"|"&amp;Q$5,INDIRECT("'"&amp;$B44&amp;"'!$AF$6:$AF$205"),0))),"-"))</f>
        <v/>
      </c>
      <c r="R44" s="38">
        <f>IF(OR(AD44="",R$5="-"),"",IFERROR(IF(INDEX(INDIRECT("'"&amp;$B44&amp;"'!$T$6:$T$205"),MATCH($AF44&amp;"|"&amp;R$5,INDIRECT("'"&amp;$B44&amp;"'!$AF$6:$AF$205"),0))="","",INDEX(INDIRECT("'"&amp;$B44&amp;"'!$T$6:$T$205"),MATCH($AF44&amp;"|"&amp;R$5,INDIRECT("'"&amp;$B44&amp;"'!$AF$6:$AF$205"),0))),"-"))</f>
        <v/>
      </c>
      <c r="S44" s="38">
        <f>IF(OR(AD44="",S$5="-"),"",IFERROR(IF(INDEX(INDIRECT("'"&amp;$B44&amp;"'!$T$6:$T$205"),MATCH($AF44&amp;"|"&amp;S$5,INDIRECT("'"&amp;$B44&amp;"'!$AF$6:$AF$205"),0))="","",INDEX(INDIRECT("'"&amp;$B44&amp;"'!$T$6:$T$205"),MATCH($AF44&amp;"|"&amp;S$5,INDIRECT("'"&amp;$B44&amp;"'!$AF$6:$AF$205"),0))),"-"))</f>
        <v/>
      </c>
      <c r="T44" s="35">
        <f>IF(U44="","",INDEX($L$5:$O$5,MATCH(U44,L44:O44,0)))</f>
        <v/>
      </c>
      <c r="U44" s="37">
        <f>IF(COUNT(L44:O44)=0,"",MIN(L44:O44))</f>
        <v/>
      </c>
      <c r="V44" s="39">
        <f>IF(U44="","",U44*F44)</f>
        <v/>
      </c>
      <c r="W44" s="39">
        <f>IF(COUNT(L44:O44)&lt;2,"",(MAX(L44:O44)-MIN(L44:O44))*F44)</f>
        <v/>
      </c>
      <c r="X44" s="20" t="n"/>
      <c r="AD44">
        <f>IF(39&gt;MAX($AB$6:$AB$9),"",COUNTIF($AB$6:$AB$9,"&lt;"&amp;39)+1)</f>
        <v/>
      </c>
      <c r="AE44">
        <f>IF(AD44="","",39-INDEX($AC$6:$AC$9,AD44))</f>
        <v/>
      </c>
      <c r="AF44">
        <f>IF(AD44="","",INDEX(INDIRECT("'"&amp;$B44&amp;"'!$AE$6:$AE$205"),MATCH(AE44,INDIRECT("'"&amp;$B44&amp;"'!$AI$6:$AI$205"),0)))</f>
        <v/>
      </c>
    </row>
    <row r="45">
      <c r="A45" s="34">
        <f>IF(AD45="","",40)</f>
        <v/>
      </c>
      <c r="B45" s="35">
        <f>IF(AD45="","",INDEX($Z$6:$Z$9,AD45))</f>
        <v/>
      </c>
      <c r="C45" s="34">
        <f>IF(AD45="","",INDEX(INDIRECT("'"&amp;$B45&amp;"'!$B$6:$B$205"),MATCH($AF45,INDIRECT("'"&amp;$B45&amp;"'!$AE$6:$AE$205"),0)))</f>
        <v/>
      </c>
      <c r="D45" s="34">
        <f>IF(AD45="","",INDEX(INDIRECT("'"&amp;$B45&amp;"'!$D$6:$D$205"),MATCH($AF45,INDIRECT("'"&amp;$B45&amp;"'!$AE$6:$AE$205"),0)))</f>
        <v/>
      </c>
      <c r="E45" s="36">
        <f>IF(AD45="","",INDEX(INDIRECT("'"&amp;$B45&amp;"'!$F$6:$F$205"),MATCH($AF45,INDIRECT("'"&amp;$B45&amp;"'!$AE$6:$AE$205"),0)))</f>
        <v/>
      </c>
      <c r="F45" s="34">
        <f>IF(AD45="","",INDEX(INDIRECT("'"&amp;$B45&amp;"'!$K$6:$K$205"),MATCH($AF45,INDIRECT("'"&amp;$B45&amp;"'!$AE$6:$AE$205"),0)))</f>
        <v/>
      </c>
      <c r="G45" s="34">
        <f>IF(AD45="","",INDEX(INDIRECT("'"&amp;$B45&amp;"'!$L$6:$L$205"),MATCH($AF45,INDIRECT("'"&amp;$B45&amp;"'!$AE$6:$AE$205"),0)))</f>
        <v/>
      </c>
      <c r="H45" s="34">
        <f>IF(OR(AD45="",H$5="-"),"",IFERROR(IF(INDEX(INDIRECT("'"&amp;$B45&amp;"'!$N$6:$N$205"),MATCH($AF45&amp;"|"&amp;H$5,INDIRECT("'"&amp;$B45&amp;"'!$AF$6:$AF$205"),0))="","",INDEX(INDIRECT("'"&amp;$B45&amp;"'!$N$6:$N$205"),MATCH($AF45&amp;"|"&amp;H$5,INDIRECT("'"&amp;$B45&amp;"'!$AF$6:$AF$205"),0))),"-"))</f>
        <v/>
      </c>
      <c r="I45" s="34">
        <f>IF(OR(AD45="",I$5="-"),"",IFERROR(IF(INDEX(INDIRECT("'"&amp;$B45&amp;"'!$N$6:$N$205"),MATCH($AF45&amp;"|"&amp;I$5,INDIRECT("'"&amp;$B45&amp;"'!$AF$6:$AF$205"),0))="","",INDEX(INDIRECT("'"&amp;$B45&amp;"'!$N$6:$N$205"),MATCH($AF45&amp;"|"&amp;I$5,INDIRECT("'"&amp;$B45&amp;"'!$AF$6:$AF$205"),0))),"-"))</f>
        <v/>
      </c>
      <c r="J45" s="34">
        <f>IF(OR(AD45="",J$5="-"),"",IFERROR(IF(INDEX(INDIRECT("'"&amp;$B45&amp;"'!$N$6:$N$205"),MATCH($AF45&amp;"|"&amp;J$5,INDIRECT("'"&amp;$B45&amp;"'!$AF$6:$AF$205"),0))="","",INDEX(INDIRECT("'"&amp;$B45&amp;"'!$N$6:$N$205"),MATCH($AF45&amp;"|"&amp;J$5,INDIRECT("'"&amp;$B45&amp;"'!$AF$6:$AF$205"),0))),"-"))</f>
        <v/>
      </c>
      <c r="K45" s="34">
        <f>IF(OR(AD45="",K$5="-"),"",IFERROR(IF(INDEX(INDIRECT("'"&amp;$B45&amp;"'!$N$6:$N$205"),MATCH($AF45&amp;"|"&amp;K$5,INDIRECT("'"&amp;$B45&amp;"'!$AF$6:$AF$205"),0))="","",INDEX(INDIRECT("'"&amp;$B45&amp;"'!$N$6:$N$205"),MATCH($AF45&amp;"|"&amp;K$5,INDIRECT("'"&amp;$B45&amp;"'!$AF$6:$AF$205"),0))),"-"))</f>
        <v/>
      </c>
      <c r="L45" s="37">
        <f>IF(OR(AD45="",L$5="-"),"",IFERROR(IF(INDEX(INDIRECT("'"&amp;$B45&amp;"'!$R$6:$R$205"),MATCH($AF45&amp;"|"&amp;L$5,INDIRECT("'"&amp;$B45&amp;"'!$AF$6:$AF$205"),0))="","",INDEX(INDIRECT("'"&amp;$B45&amp;"'!$R$6:$R$205"),MATCH($AF45&amp;"|"&amp;L$5,INDIRECT("'"&amp;$B45&amp;"'!$AF$6:$AF$205"),0))),"-"))</f>
        <v/>
      </c>
      <c r="M45" s="37">
        <f>IF(OR(AD45="",M$5="-"),"",IFERROR(IF(INDEX(INDIRECT("'"&amp;$B45&amp;"'!$R$6:$R$205"),MATCH($AF45&amp;"|"&amp;M$5,INDIRECT("'"&amp;$B45&amp;"'!$AF$6:$AF$205"),0))="","",INDEX(INDIRECT("'"&amp;$B45&amp;"'!$R$6:$R$205"),MATCH($AF45&amp;"|"&amp;M$5,INDIRECT("'"&amp;$B45&amp;"'!$AF$6:$AF$205"),0))),"-"))</f>
        <v/>
      </c>
      <c r="N45" s="37">
        <f>IF(OR(AD45="",N$5="-"),"",IFERROR(IF(INDEX(INDIRECT("'"&amp;$B45&amp;"'!$R$6:$R$205"),MATCH($AF45&amp;"|"&amp;N$5,INDIRECT("'"&amp;$B45&amp;"'!$AF$6:$AF$205"),0))="","",INDEX(INDIRECT("'"&amp;$B45&amp;"'!$R$6:$R$205"),MATCH($AF45&amp;"|"&amp;N$5,INDIRECT("'"&amp;$B45&amp;"'!$AF$6:$AF$205"),0))),"-"))</f>
        <v/>
      </c>
      <c r="O45" s="37">
        <f>IF(OR(AD45="",O$5="-"),"",IFERROR(IF(INDEX(INDIRECT("'"&amp;$B45&amp;"'!$R$6:$R$205"),MATCH($AF45&amp;"|"&amp;O$5,INDIRECT("'"&amp;$B45&amp;"'!$AF$6:$AF$205"),0))="","",INDEX(INDIRECT("'"&amp;$B45&amp;"'!$R$6:$R$205"),MATCH($AF45&amp;"|"&amp;O$5,INDIRECT("'"&amp;$B45&amp;"'!$AF$6:$AF$205"),0))),"-"))</f>
        <v/>
      </c>
      <c r="P45" s="38">
        <f>IF(OR(AD45="",P$5="-"),"",IFERROR(IF(INDEX(INDIRECT("'"&amp;$B45&amp;"'!$T$6:$T$205"),MATCH($AF45&amp;"|"&amp;P$5,INDIRECT("'"&amp;$B45&amp;"'!$AF$6:$AF$205"),0))="","",INDEX(INDIRECT("'"&amp;$B45&amp;"'!$T$6:$T$205"),MATCH($AF45&amp;"|"&amp;P$5,INDIRECT("'"&amp;$B45&amp;"'!$AF$6:$AF$205"),0))),"-"))</f>
        <v/>
      </c>
      <c r="Q45" s="38">
        <f>IF(OR(AD45="",Q$5="-"),"",IFERROR(IF(INDEX(INDIRECT("'"&amp;$B45&amp;"'!$T$6:$T$205"),MATCH($AF45&amp;"|"&amp;Q$5,INDIRECT("'"&amp;$B45&amp;"'!$AF$6:$AF$205"),0))="","",INDEX(INDIRECT("'"&amp;$B45&amp;"'!$T$6:$T$205"),MATCH($AF45&amp;"|"&amp;Q$5,INDIRECT("'"&amp;$B45&amp;"'!$AF$6:$AF$205"),0))),"-"))</f>
        <v/>
      </c>
      <c r="R45" s="38">
        <f>IF(OR(AD45="",R$5="-"),"",IFERROR(IF(INDEX(INDIRECT("'"&amp;$B45&amp;"'!$T$6:$T$205"),MATCH($AF45&amp;"|"&amp;R$5,INDIRECT("'"&amp;$B45&amp;"'!$AF$6:$AF$205"),0))="","",INDEX(INDIRECT("'"&amp;$B45&amp;"'!$T$6:$T$205"),MATCH($AF45&amp;"|"&amp;R$5,INDIRECT("'"&amp;$B45&amp;"'!$AF$6:$AF$205"),0))),"-"))</f>
        <v/>
      </c>
      <c r="S45" s="38">
        <f>IF(OR(AD45="",S$5="-"),"",IFERROR(IF(INDEX(INDIRECT("'"&amp;$B45&amp;"'!$T$6:$T$205"),MATCH($AF45&amp;"|"&amp;S$5,INDIRECT("'"&amp;$B45&amp;"'!$AF$6:$AF$205"),0))="","",INDEX(INDIRECT("'"&amp;$B45&amp;"'!$T$6:$T$205"),MATCH($AF45&amp;"|"&amp;S$5,INDIRECT("'"&amp;$B45&amp;"'!$AF$6:$AF$205"),0))),"-"))</f>
        <v/>
      </c>
      <c r="T45" s="35">
        <f>IF(U45="","",INDEX($L$5:$O$5,MATCH(U45,L45:O45,0)))</f>
        <v/>
      </c>
      <c r="U45" s="37">
        <f>IF(COUNT(L45:O45)=0,"",MIN(L45:O45))</f>
        <v/>
      </c>
      <c r="V45" s="39">
        <f>IF(U45="","",U45*F45)</f>
        <v/>
      </c>
      <c r="W45" s="39">
        <f>IF(COUNT(L45:O45)&lt;2,"",(MAX(L45:O45)-MIN(L45:O45))*F45)</f>
        <v/>
      </c>
      <c r="X45" s="20" t="n"/>
      <c r="AD45">
        <f>IF(40&gt;MAX($AB$6:$AB$9),"",COUNTIF($AB$6:$AB$9,"&lt;"&amp;40)+1)</f>
        <v/>
      </c>
      <c r="AE45">
        <f>IF(AD45="","",40-INDEX($AC$6:$AC$9,AD45))</f>
        <v/>
      </c>
      <c r="AF45">
        <f>IF(AD45="","",INDEX(INDIRECT("'"&amp;$B45&amp;"'!$AE$6:$AE$205"),MATCH(AE45,INDIRECT("'"&amp;$B45&amp;"'!$AI$6:$AI$205"),0)))</f>
        <v/>
      </c>
    </row>
    <row r="46">
      <c r="A46" s="34">
        <f>IF(AD46="","",41)</f>
        <v/>
      </c>
      <c r="B46" s="35">
        <f>IF(AD46="","",INDEX($Z$6:$Z$9,AD46))</f>
        <v/>
      </c>
      <c r="C46" s="34">
        <f>IF(AD46="","",INDEX(INDIRECT("'"&amp;$B46&amp;"'!$B$6:$B$205"),MATCH($AF46,INDIRECT("'"&amp;$B46&amp;"'!$AE$6:$AE$205"),0)))</f>
        <v/>
      </c>
      <c r="D46" s="34">
        <f>IF(AD46="","",INDEX(INDIRECT("'"&amp;$B46&amp;"'!$D$6:$D$205"),MATCH($AF46,INDIRECT("'"&amp;$B46&amp;"'!$AE$6:$AE$205"),0)))</f>
        <v/>
      </c>
      <c r="E46" s="36">
        <f>IF(AD46="","",INDEX(INDIRECT("'"&amp;$B46&amp;"'!$F$6:$F$205"),MATCH($AF46,INDIRECT("'"&amp;$B46&amp;"'!$AE$6:$AE$205"),0)))</f>
        <v/>
      </c>
      <c r="F46" s="34">
        <f>IF(AD46="","",INDEX(INDIRECT("'"&amp;$B46&amp;"'!$K$6:$K$205"),MATCH($AF46,INDIRECT("'"&amp;$B46&amp;"'!$AE$6:$AE$205"),0)))</f>
        <v/>
      </c>
      <c r="G46" s="34">
        <f>IF(AD46="","",INDEX(INDIRECT("'"&amp;$B46&amp;"'!$L$6:$L$205"),MATCH($AF46,INDIRECT("'"&amp;$B46&amp;"'!$AE$6:$AE$205"),0)))</f>
        <v/>
      </c>
      <c r="H46" s="34">
        <f>IF(OR(AD46="",H$5="-"),"",IFERROR(IF(INDEX(INDIRECT("'"&amp;$B46&amp;"'!$N$6:$N$205"),MATCH($AF46&amp;"|"&amp;H$5,INDIRECT("'"&amp;$B46&amp;"'!$AF$6:$AF$205"),0))="","",INDEX(INDIRECT("'"&amp;$B46&amp;"'!$N$6:$N$205"),MATCH($AF46&amp;"|"&amp;H$5,INDIRECT("'"&amp;$B46&amp;"'!$AF$6:$AF$205"),0))),"-"))</f>
        <v/>
      </c>
      <c r="I46" s="34">
        <f>IF(OR(AD46="",I$5="-"),"",IFERROR(IF(INDEX(INDIRECT("'"&amp;$B46&amp;"'!$N$6:$N$205"),MATCH($AF46&amp;"|"&amp;I$5,INDIRECT("'"&amp;$B46&amp;"'!$AF$6:$AF$205"),0))="","",INDEX(INDIRECT("'"&amp;$B46&amp;"'!$N$6:$N$205"),MATCH($AF46&amp;"|"&amp;I$5,INDIRECT("'"&amp;$B46&amp;"'!$AF$6:$AF$205"),0))),"-"))</f>
        <v/>
      </c>
      <c r="J46" s="34">
        <f>IF(OR(AD46="",J$5="-"),"",IFERROR(IF(INDEX(INDIRECT("'"&amp;$B46&amp;"'!$N$6:$N$205"),MATCH($AF46&amp;"|"&amp;J$5,INDIRECT("'"&amp;$B46&amp;"'!$AF$6:$AF$205"),0))="","",INDEX(INDIRECT("'"&amp;$B46&amp;"'!$N$6:$N$205"),MATCH($AF46&amp;"|"&amp;J$5,INDIRECT("'"&amp;$B46&amp;"'!$AF$6:$AF$205"),0))),"-"))</f>
        <v/>
      </c>
      <c r="K46" s="34">
        <f>IF(OR(AD46="",K$5="-"),"",IFERROR(IF(INDEX(INDIRECT("'"&amp;$B46&amp;"'!$N$6:$N$205"),MATCH($AF46&amp;"|"&amp;K$5,INDIRECT("'"&amp;$B46&amp;"'!$AF$6:$AF$205"),0))="","",INDEX(INDIRECT("'"&amp;$B46&amp;"'!$N$6:$N$205"),MATCH($AF46&amp;"|"&amp;K$5,INDIRECT("'"&amp;$B46&amp;"'!$AF$6:$AF$205"),0))),"-"))</f>
        <v/>
      </c>
      <c r="L46" s="37">
        <f>IF(OR(AD46="",L$5="-"),"",IFERROR(IF(INDEX(INDIRECT("'"&amp;$B46&amp;"'!$R$6:$R$205"),MATCH($AF46&amp;"|"&amp;L$5,INDIRECT("'"&amp;$B46&amp;"'!$AF$6:$AF$205"),0))="","",INDEX(INDIRECT("'"&amp;$B46&amp;"'!$R$6:$R$205"),MATCH($AF46&amp;"|"&amp;L$5,INDIRECT("'"&amp;$B46&amp;"'!$AF$6:$AF$205"),0))),"-"))</f>
        <v/>
      </c>
      <c r="M46" s="37">
        <f>IF(OR(AD46="",M$5="-"),"",IFERROR(IF(INDEX(INDIRECT("'"&amp;$B46&amp;"'!$R$6:$R$205"),MATCH($AF46&amp;"|"&amp;M$5,INDIRECT("'"&amp;$B46&amp;"'!$AF$6:$AF$205"),0))="","",INDEX(INDIRECT("'"&amp;$B46&amp;"'!$R$6:$R$205"),MATCH($AF46&amp;"|"&amp;M$5,INDIRECT("'"&amp;$B46&amp;"'!$AF$6:$AF$205"),0))),"-"))</f>
        <v/>
      </c>
      <c r="N46" s="37">
        <f>IF(OR(AD46="",N$5="-"),"",IFERROR(IF(INDEX(INDIRECT("'"&amp;$B46&amp;"'!$R$6:$R$205"),MATCH($AF46&amp;"|"&amp;N$5,INDIRECT("'"&amp;$B46&amp;"'!$AF$6:$AF$205"),0))="","",INDEX(INDIRECT("'"&amp;$B46&amp;"'!$R$6:$R$205"),MATCH($AF46&amp;"|"&amp;N$5,INDIRECT("'"&amp;$B46&amp;"'!$AF$6:$AF$205"),0))),"-"))</f>
        <v/>
      </c>
      <c r="O46" s="37">
        <f>IF(OR(AD46="",O$5="-"),"",IFERROR(IF(INDEX(INDIRECT("'"&amp;$B46&amp;"'!$R$6:$R$205"),MATCH($AF46&amp;"|"&amp;O$5,INDIRECT("'"&amp;$B46&amp;"'!$AF$6:$AF$205"),0))="","",INDEX(INDIRECT("'"&amp;$B46&amp;"'!$R$6:$R$205"),MATCH($AF46&amp;"|"&amp;O$5,INDIRECT("'"&amp;$B46&amp;"'!$AF$6:$AF$205"),0))),"-"))</f>
        <v/>
      </c>
      <c r="P46" s="38">
        <f>IF(OR(AD46="",P$5="-"),"",IFERROR(IF(INDEX(INDIRECT("'"&amp;$B46&amp;"'!$T$6:$T$205"),MATCH($AF46&amp;"|"&amp;P$5,INDIRECT("'"&amp;$B46&amp;"'!$AF$6:$AF$205"),0))="","",INDEX(INDIRECT("'"&amp;$B46&amp;"'!$T$6:$T$205"),MATCH($AF46&amp;"|"&amp;P$5,INDIRECT("'"&amp;$B46&amp;"'!$AF$6:$AF$205"),0))),"-"))</f>
        <v/>
      </c>
      <c r="Q46" s="38">
        <f>IF(OR(AD46="",Q$5="-"),"",IFERROR(IF(INDEX(INDIRECT("'"&amp;$B46&amp;"'!$T$6:$T$205"),MATCH($AF46&amp;"|"&amp;Q$5,INDIRECT("'"&amp;$B46&amp;"'!$AF$6:$AF$205"),0))="","",INDEX(INDIRECT("'"&amp;$B46&amp;"'!$T$6:$T$205"),MATCH($AF46&amp;"|"&amp;Q$5,INDIRECT("'"&amp;$B46&amp;"'!$AF$6:$AF$205"),0))),"-"))</f>
        <v/>
      </c>
      <c r="R46" s="38">
        <f>IF(OR(AD46="",R$5="-"),"",IFERROR(IF(INDEX(INDIRECT("'"&amp;$B46&amp;"'!$T$6:$T$205"),MATCH($AF46&amp;"|"&amp;R$5,INDIRECT("'"&amp;$B46&amp;"'!$AF$6:$AF$205"),0))="","",INDEX(INDIRECT("'"&amp;$B46&amp;"'!$T$6:$T$205"),MATCH($AF46&amp;"|"&amp;R$5,INDIRECT("'"&amp;$B46&amp;"'!$AF$6:$AF$205"),0))),"-"))</f>
        <v/>
      </c>
      <c r="S46" s="38">
        <f>IF(OR(AD46="",S$5="-"),"",IFERROR(IF(INDEX(INDIRECT("'"&amp;$B46&amp;"'!$T$6:$T$205"),MATCH($AF46&amp;"|"&amp;S$5,INDIRECT("'"&amp;$B46&amp;"'!$AF$6:$AF$205"),0))="","",INDEX(INDIRECT("'"&amp;$B46&amp;"'!$T$6:$T$205"),MATCH($AF46&amp;"|"&amp;S$5,INDIRECT("'"&amp;$B46&amp;"'!$AF$6:$AF$205"),0))),"-"))</f>
        <v/>
      </c>
      <c r="T46" s="35">
        <f>IF(U46="","",INDEX($L$5:$O$5,MATCH(U46,L46:O46,0)))</f>
        <v/>
      </c>
      <c r="U46" s="37">
        <f>IF(COUNT(L46:O46)=0,"",MIN(L46:O46))</f>
        <v/>
      </c>
      <c r="V46" s="39">
        <f>IF(U46="","",U46*F46)</f>
        <v/>
      </c>
      <c r="W46" s="39">
        <f>IF(COUNT(L46:O46)&lt;2,"",(MAX(L46:O46)-MIN(L46:O46))*F46)</f>
        <v/>
      </c>
      <c r="X46" s="20" t="n"/>
      <c r="AD46">
        <f>IF(41&gt;MAX($AB$6:$AB$9),"",COUNTIF($AB$6:$AB$9,"&lt;"&amp;41)+1)</f>
        <v/>
      </c>
      <c r="AE46">
        <f>IF(AD46="","",41-INDEX($AC$6:$AC$9,AD46))</f>
        <v/>
      </c>
      <c r="AF46">
        <f>IF(AD46="","",INDEX(INDIRECT("'"&amp;$B46&amp;"'!$AE$6:$AE$205"),MATCH(AE46,INDIRECT("'"&amp;$B46&amp;"'!$AI$6:$AI$205"),0)))</f>
        <v/>
      </c>
    </row>
    <row r="47">
      <c r="A47" s="34">
        <f>IF(AD47="","",42)</f>
        <v/>
      </c>
      <c r="B47" s="35">
        <f>IF(AD47="","",INDEX($Z$6:$Z$9,AD47))</f>
        <v/>
      </c>
      <c r="C47" s="34">
        <f>IF(AD47="","",INDEX(INDIRECT("'"&amp;$B47&amp;"'!$B$6:$B$205"),MATCH($AF47,INDIRECT("'"&amp;$B47&amp;"'!$AE$6:$AE$205"),0)))</f>
        <v/>
      </c>
      <c r="D47" s="34">
        <f>IF(AD47="","",INDEX(INDIRECT("'"&amp;$B47&amp;"'!$D$6:$D$205"),MATCH($AF47,INDIRECT("'"&amp;$B47&amp;"'!$AE$6:$AE$205"),0)))</f>
        <v/>
      </c>
      <c r="E47" s="36">
        <f>IF(AD47="","",INDEX(INDIRECT("'"&amp;$B47&amp;"'!$F$6:$F$205"),MATCH($AF47,INDIRECT("'"&amp;$B47&amp;"'!$AE$6:$AE$205"),0)))</f>
        <v/>
      </c>
      <c r="F47" s="34">
        <f>IF(AD47="","",INDEX(INDIRECT("'"&amp;$B47&amp;"'!$K$6:$K$205"),MATCH($AF47,INDIRECT("'"&amp;$B47&amp;"'!$AE$6:$AE$205"),0)))</f>
        <v/>
      </c>
      <c r="G47" s="34">
        <f>IF(AD47="","",INDEX(INDIRECT("'"&amp;$B47&amp;"'!$L$6:$L$205"),MATCH($AF47,INDIRECT("'"&amp;$B47&amp;"'!$AE$6:$AE$205"),0)))</f>
        <v/>
      </c>
      <c r="H47" s="34">
        <f>IF(OR(AD47="",H$5="-"),"",IFERROR(IF(INDEX(INDIRECT("'"&amp;$B47&amp;"'!$N$6:$N$205"),MATCH($AF47&amp;"|"&amp;H$5,INDIRECT("'"&amp;$B47&amp;"'!$AF$6:$AF$205"),0))="","",INDEX(INDIRECT("'"&amp;$B47&amp;"'!$N$6:$N$205"),MATCH($AF47&amp;"|"&amp;H$5,INDIRECT("'"&amp;$B47&amp;"'!$AF$6:$AF$205"),0))),"-"))</f>
        <v/>
      </c>
      <c r="I47" s="34">
        <f>IF(OR(AD47="",I$5="-"),"",IFERROR(IF(INDEX(INDIRECT("'"&amp;$B47&amp;"'!$N$6:$N$205"),MATCH($AF47&amp;"|"&amp;I$5,INDIRECT("'"&amp;$B47&amp;"'!$AF$6:$AF$205"),0))="","",INDEX(INDIRECT("'"&amp;$B47&amp;"'!$N$6:$N$205"),MATCH($AF47&amp;"|"&amp;I$5,INDIRECT("'"&amp;$B47&amp;"'!$AF$6:$AF$205"),0))),"-"))</f>
        <v/>
      </c>
      <c r="J47" s="34">
        <f>IF(OR(AD47="",J$5="-"),"",IFERROR(IF(INDEX(INDIRECT("'"&amp;$B47&amp;"'!$N$6:$N$205"),MATCH($AF47&amp;"|"&amp;J$5,INDIRECT("'"&amp;$B47&amp;"'!$AF$6:$AF$205"),0))="","",INDEX(INDIRECT("'"&amp;$B47&amp;"'!$N$6:$N$205"),MATCH($AF47&amp;"|"&amp;J$5,INDIRECT("'"&amp;$B47&amp;"'!$AF$6:$AF$205"),0))),"-"))</f>
        <v/>
      </c>
      <c r="K47" s="34">
        <f>IF(OR(AD47="",K$5="-"),"",IFERROR(IF(INDEX(INDIRECT("'"&amp;$B47&amp;"'!$N$6:$N$205"),MATCH($AF47&amp;"|"&amp;K$5,INDIRECT("'"&amp;$B47&amp;"'!$AF$6:$AF$205"),0))="","",INDEX(INDIRECT("'"&amp;$B47&amp;"'!$N$6:$N$205"),MATCH($AF47&amp;"|"&amp;K$5,INDIRECT("'"&amp;$B47&amp;"'!$AF$6:$AF$205"),0))),"-"))</f>
        <v/>
      </c>
      <c r="L47" s="37">
        <f>IF(OR(AD47="",L$5="-"),"",IFERROR(IF(INDEX(INDIRECT("'"&amp;$B47&amp;"'!$R$6:$R$205"),MATCH($AF47&amp;"|"&amp;L$5,INDIRECT("'"&amp;$B47&amp;"'!$AF$6:$AF$205"),0))="","",INDEX(INDIRECT("'"&amp;$B47&amp;"'!$R$6:$R$205"),MATCH($AF47&amp;"|"&amp;L$5,INDIRECT("'"&amp;$B47&amp;"'!$AF$6:$AF$205"),0))),"-"))</f>
        <v/>
      </c>
      <c r="M47" s="37">
        <f>IF(OR(AD47="",M$5="-"),"",IFERROR(IF(INDEX(INDIRECT("'"&amp;$B47&amp;"'!$R$6:$R$205"),MATCH($AF47&amp;"|"&amp;M$5,INDIRECT("'"&amp;$B47&amp;"'!$AF$6:$AF$205"),0))="","",INDEX(INDIRECT("'"&amp;$B47&amp;"'!$R$6:$R$205"),MATCH($AF47&amp;"|"&amp;M$5,INDIRECT("'"&amp;$B47&amp;"'!$AF$6:$AF$205"),0))),"-"))</f>
        <v/>
      </c>
      <c r="N47" s="37">
        <f>IF(OR(AD47="",N$5="-"),"",IFERROR(IF(INDEX(INDIRECT("'"&amp;$B47&amp;"'!$R$6:$R$205"),MATCH($AF47&amp;"|"&amp;N$5,INDIRECT("'"&amp;$B47&amp;"'!$AF$6:$AF$205"),0))="","",INDEX(INDIRECT("'"&amp;$B47&amp;"'!$R$6:$R$205"),MATCH($AF47&amp;"|"&amp;N$5,INDIRECT("'"&amp;$B47&amp;"'!$AF$6:$AF$205"),0))),"-"))</f>
        <v/>
      </c>
      <c r="O47" s="37">
        <f>IF(OR(AD47="",O$5="-"),"",IFERROR(IF(INDEX(INDIRECT("'"&amp;$B47&amp;"'!$R$6:$R$205"),MATCH($AF47&amp;"|"&amp;O$5,INDIRECT("'"&amp;$B47&amp;"'!$AF$6:$AF$205"),0))="","",INDEX(INDIRECT("'"&amp;$B47&amp;"'!$R$6:$R$205"),MATCH($AF47&amp;"|"&amp;O$5,INDIRECT("'"&amp;$B47&amp;"'!$AF$6:$AF$205"),0))),"-"))</f>
        <v/>
      </c>
      <c r="P47" s="38">
        <f>IF(OR(AD47="",P$5="-"),"",IFERROR(IF(INDEX(INDIRECT("'"&amp;$B47&amp;"'!$T$6:$T$205"),MATCH($AF47&amp;"|"&amp;P$5,INDIRECT("'"&amp;$B47&amp;"'!$AF$6:$AF$205"),0))="","",INDEX(INDIRECT("'"&amp;$B47&amp;"'!$T$6:$T$205"),MATCH($AF47&amp;"|"&amp;P$5,INDIRECT("'"&amp;$B47&amp;"'!$AF$6:$AF$205"),0))),"-"))</f>
        <v/>
      </c>
      <c r="Q47" s="38">
        <f>IF(OR(AD47="",Q$5="-"),"",IFERROR(IF(INDEX(INDIRECT("'"&amp;$B47&amp;"'!$T$6:$T$205"),MATCH($AF47&amp;"|"&amp;Q$5,INDIRECT("'"&amp;$B47&amp;"'!$AF$6:$AF$205"),0))="","",INDEX(INDIRECT("'"&amp;$B47&amp;"'!$T$6:$T$205"),MATCH($AF47&amp;"|"&amp;Q$5,INDIRECT("'"&amp;$B47&amp;"'!$AF$6:$AF$205"),0))),"-"))</f>
        <v/>
      </c>
      <c r="R47" s="38">
        <f>IF(OR(AD47="",R$5="-"),"",IFERROR(IF(INDEX(INDIRECT("'"&amp;$B47&amp;"'!$T$6:$T$205"),MATCH($AF47&amp;"|"&amp;R$5,INDIRECT("'"&amp;$B47&amp;"'!$AF$6:$AF$205"),0))="","",INDEX(INDIRECT("'"&amp;$B47&amp;"'!$T$6:$T$205"),MATCH($AF47&amp;"|"&amp;R$5,INDIRECT("'"&amp;$B47&amp;"'!$AF$6:$AF$205"),0))),"-"))</f>
        <v/>
      </c>
      <c r="S47" s="38">
        <f>IF(OR(AD47="",S$5="-"),"",IFERROR(IF(INDEX(INDIRECT("'"&amp;$B47&amp;"'!$T$6:$T$205"),MATCH($AF47&amp;"|"&amp;S$5,INDIRECT("'"&amp;$B47&amp;"'!$AF$6:$AF$205"),0))="","",INDEX(INDIRECT("'"&amp;$B47&amp;"'!$T$6:$T$205"),MATCH($AF47&amp;"|"&amp;S$5,INDIRECT("'"&amp;$B47&amp;"'!$AF$6:$AF$205"),0))),"-"))</f>
        <v/>
      </c>
      <c r="T47" s="35">
        <f>IF(U47="","",INDEX($L$5:$O$5,MATCH(U47,L47:O47,0)))</f>
        <v/>
      </c>
      <c r="U47" s="37">
        <f>IF(COUNT(L47:O47)=0,"",MIN(L47:O47))</f>
        <v/>
      </c>
      <c r="V47" s="39">
        <f>IF(U47="","",U47*F47)</f>
        <v/>
      </c>
      <c r="W47" s="39">
        <f>IF(COUNT(L47:O47)&lt;2,"",(MAX(L47:O47)-MIN(L47:O47))*F47)</f>
        <v/>
      </c>
      <c r="X47" s="20" t="n"/>
      <c r="AD47">
        <f>IF(42&gt;MAX($AB$6:$AB$9),"",COUNTIF($AB$6:$AB$9,"&lt;"&amp;42)+1)</f>
        <v/>
      </c>
      <c r="AE47">
        <f>IF(AD47="","",42-INDEX($AC$6:$AC$9,AD47))</f>
        <v/>
      </c>
      <c r="AF47">
        <f>IF(AD47="","",INDEX(INDIRECT("'"&amp;$B47&amp;"'!$AE$6:$AE$205"),MATCH(AE47,INDIRECT("'"&amp;$B47&amp;"'!$AI$6:$AI$205"),0)))</f>
        <v/>
      </c>
    </row>
    <row r="48">
      <c r="A48" s="34">
        <f>IF(AD48="","",43)</f>
        <v/>
      </c>
      <c r="B48" s="35">
        <f>IF(AD48="","",INDEX($Z$6:$Z$9,AD48))</f>
        <v/>
      </c>
      <c r="C48" s="34">
        <f>IF(AD48="","",INDEX(INDIRECT("'"&amp;$B48&amp;"'!$B$6:$B$205"),MATCH($AF48,INDIRECT("'"&amp;$B48&amp;"'!$AE$6:$AE$205"),0)))</f>
        <v/>
      </c>
      <c r="D48" s="34">
        <f>IF(AD48="","",INDEX(INDIRECT("'"&amp;$B48&amp;"'!$D$6:$D$205"),MATCH($AF48,INDIRECT("'"&amp;$B48&amp;"'!$AE$6:$AE$205"),0)))</f>
        <v/>
      </c>
      <c r="E48" s="36">
        <f>IF(AD48="","",INDEX(INDIRECT("'"&amp;$B48&amp;"'!$F$6:$F$205"),MATCH($AF48,INDIRECT("'"&amp;$B48&amp;"'!$AE$6:$AE$205"),0)))</f>
        <v/>
      </c>
      <c r="F48" s="34">
        <f>IF(AD48="","",INDEX(INDIRECT("'"&amp;$B48&amp;"'!$K$6:$K$205"),MATCH($AF48,INDIRECT("'"&amp;$B48&amp;"'!$AE$6:$AE$205"),0)))</f>
        <v/>
      </c>
      <c r="G48" s="34">
        <f>IF(AD48="","",INDEX(INDIRECT("'"&amp;$B48&amp;"'!$L$6:$L$205"),MATCH($AF48,INDIRECT("'"&amp;$B48&amp;"'!$AE$6:$AE$205"),0)))</f>
        <v/>
      </c>
      <c r="H48" s="34">
        <f>IF(OR(AD48="",H$5="-"),"",IFERROR(IF(INDEX(INDIRECT("'"&amp;$B48&amp;"'!$N$6:$N$205"),MATCH($AF48&amp;"|"&amp;H$5,INDIRECT("'"&amp;$B48&amp;"'!$AF$6:$AF$205"),0))="","",INDEX(INDIRECT("'"&amp;$B48&amp;"'!$N$6:$N$205"),MATCH($AF48&amp;"|"&amp;H$5,INDIRECT("'"&amp;$B48&amp;"'!$AF$6:$AF$205"),0))),"-"))</f>
        <v/>
      </c>
      <c r="I48" s="34">
        <f>IF(OR(AD48="",I$5="-"),"",IFERROR(IF(INDEX(INDIRECT("'"&amp;$B48&amp;"'!$N$6:$N$205"),MATCH($AF48&amp;"|"&amp;I$5,INDIRECT("'"&amp;$B48&amp;"'!$AF$6:$AF$205"),0))="","",INDEX(INDIRECT("'"&amp;$B48&amp;"'!$N$6:$N$205"),MATCH($AF48&amp;"|"&amp;I$5,INDIRECT("'"&amp;$B48&amp;"'!$AF$6:$AF$205"),0))),"-"))</f>
        <v/>
      </c>
      <c r="J48" s="34">
        <f>IF(OR(AD48="",J$5="-"),"",IFERROR(IF(INDEX(INDIRECT("'"&amp;$B48&amp;"'!$N$6:$N$205"),MATCH($AF48&amp;"|"&amp;J$5,INDIRECT("'"&amp;$B48&amp;"'!$AF$6:$AF$205"),0))="","",INDEX(INDIRECT("'"&amp;$B48&amp;"'!$N$6:$N$205"),MATCH($AF48&amp;"|"&amp;J$5,INDIRECT("'"&amp;$B48&amp;"'!$AF$6:$AF$205"),0))),"-"))</f>
        <v/>
      </c>
      <c r="K48" s="34">
        <f>IF(OR(AD48="",K$5="-"),"",IFERROR(IF(INDEX(INDIRECT("'"&amp;$B48&amp;"'!$N$6:$N$205"),MATCH($AF48&amp;"|"&amp;K$5,INDIRECT("'"&amp;$B48&amp;"'!$AF$6:$AF$205"),0))="","",INDEX(INDIRECT("'"&amp;$B48&amp;"'!$N$6:$N$205"),MATCH($AF48&amp;"|"&amp;K$5,INDIRECT("'"&amp;$B48&amp;"'!$AF$6:$AF$205"),0))),"-"))</f>
        <v/>
      </c>
      <c r="L48" s="37">
        <f>IF(OR(AD48="",L$5="-"),"",IFERROR(IF(INDEX(INDIRECT("'"&amp;$B48&amp;"'!$R$6:$R$205"),MATCH($AF48&amp;"|"&amp;L$5,INDIRECT("'"&amp;$B48&amp;"'!$AF$6:$AF$205"),0))="","",INDEX(INDIRECT("'"&amp;$B48&amp;"'!$R$6:$R$205"),MATCH($AF48&amp;"|"&amp;L$5,INDIRECT("'"&amp;$B48&amp;"'!$AF$6:$AF$205"),0))),"-"))</f>
        <v/>
      </c>
      <c r="M48" s="37">
        <f>IF(OR(AD48="",M$5="-"),"",IFERROR(IF(INDEX(INDIRECT("'"&amp;$B48&amp;"'!$R$6:$R$205"),MATCH($AF48&amp;"|"&amp;M$5,INDIRECT("'"&amp;$B48&amp;"'!$AF$6:$AF$205"),0))="","",INDEX(INDIRECT("'"&amp;$B48&amp;"'!$R$6:$R$205"),MATCH($AF48&amp;"|"&amp;M$5,INDIRECT("'"&amp;$B48&amp;"'!$AF$6:$AF$205"),0))),"-"))</f>
        <v/>
      </c>
      <c r="N48" s="37">
        <f>IF(OR(AD48="",N$5="-"),"",IFERROR(IF(INDEX(INDIRECT("'"&amp;$B48&amp;"'!$R$6:$R$205"),MATCH($AF48&amp;"|"&amp;N$5,INDIRECT("'"&amp;$B48&amp;"'!$AF$6:$AF$205"),0))="","",INDEX(INDIRECT("'"&amp;$B48&amp;"'!$R$6:$R$205"),MATCH($AF48&amp;"|"&amp;N$5,INDIRECT("'"&amp;$B48&amp;"'!$AF$6:$AF$205"),0))),"-"))</f>
        <v/>
      </c>
      <c r="O48" s="37">
        <f>IF(OR(AD48="",O$5="-"),"",IFERROR(IF(INDEX(INDIRECT("'"&amp;$B48&amp;"'!$R$6:$R$205"),MATCH($AF48&amp;"|"&amp;O$5,INDIRECT("'"&amp;$B48&amp;"'!$AF$6:$AF$205"),0))="","",INDEX(INDIRECT("'"&amp;$B48&amp;"'!$R$6:$R$205"),MATCH($AF48&amp;"|"&amp;O$5,INDIRECT("'"&amp;$B48&amp;"'!$AF$6:$AF$205"),0))),"-"))</f>
        <v/>
      </c>
      <c r="P48" s="38">
        <f>IF(OR(AD48="",P$5="-"),"",IFERROR(IF(INDEX(INDIRECT("'"&amp;$B48&amp;"'!$T$6:$T$205"),MATCH($AF48&amp;"|"&amp;P$5,INDIRECT("'"&amp;$B48&amp;"'!$AF$6:$AF$205"),0))="","",INDEX(INDIRECT("'"&amp;$B48&amp;"'!$T$6:$T$205"),MATCH($AF48&amp;"|"&amp;P$5,INDIRECT("'"&amp;$B48&amp;"'!$AF$6:$AF$205"),0))),"-"))</f>
        <v/>
      </c>
      <c r="Q48" s="38">
        <f>IF(OR(AD48="",Q$5="-"),"",IFERROR(IF(INDEX(INDIRECT("'"&amp;$B48&amp;"'!$T$6:$T$205"),MATCH($AF48&amp;"|"&amp;Q$5,INDIRECT("'"&amp;$B48&amp;"'!$AF$6:$AF$205"),0))="","",INDEX(INDIRECT("'"&amp;$B48&amp;"'!$T$6:$T$205"),MATCH($AF48&amp;"|"&amp;Q$5,INDIRECT("'"&amp;$B48&amp;"'!$AF$6:$AF$205"),0))),"-"))</f>
        <v/>
      </c>
      <c r="R48" s="38">
        <f>IF(OR(AD48="",R$5="-"),"",IFERROR(IF(INDEX(INDIRECT("'"&amp;$B48&amp;"'!$T$6:$T$205"),MATCH($AF48&amp;"|"&amp;R$5,INDIRECT("'"&amp;$B48&amp;"'!$AF$6:$AF$205"),0))="","",INDEX(INDIRECT("'"&amp;$B48&amp;"'!$T$6:$T$205"),MATCH($AF48&amp;"|"&amp;R$5,INDIRECT("'"&amp;$B48&amp;"'!$AF$6:$AF$205"),0))),"-"))</f>
        <v/>
      </c>
      <c r="S48" s="38">
        <f>IF(OR(AD48="",S$5="-"),"",IFERROR(IF(INDEX(INDIRECT("'"&amp;$B48&amp;"'!$T$6:$T$205"),MATCH($AF48&amp;"|"&amp;S$5,INDIRECT("'"&amp;$B48&amp;"'!$AF$6:$AF$205"),0))="","",INDEX(INDIRECT("'"&amp;$B48&amp;"'!$T$6:$T$205"),MATCH($AF48&amp;"|"&amp;S$5,INDIRECT("'"&amp;$B48&amp;"'!$AF$6:$AF$205"),0))),"-"))</f>
        <v/>
      </c>
      <c r="T48" s="35">
        <f>IF(U48="","",INDEX($L$5:$O$5,MATCH(U48,L48:O48,0)))</f>
        <v/>
      </c>
      <c r="U48" s="37">
        <f>IF(COUNT(L48:O48)=0,"",MIN(L48:O48))</f>
        <v/>
      </c>
      <c r="V48" s="39">
        <f>IF(U48="","",U48*F48)</f>
        <v/>
      </c>
      <c r="W48" s="39">
        <f>IF(COUNT(L48:O48)&lt;2,"",(MAX(L48:O48)-MIN(L48:O48))*F48)</f>
        <v/>
      </c>
      <c r="X48" s="20" t="n"/>
      <c r="AD48">
        <f>IF(43&gt;MAX($AB$6:$AB$9),"",COUNTIF($AB$6:$AB$9,"&lt;"&amp;43)+1)</f>
        <v/>
      </c>
      <c r="AE48">
        <f>IF(AD48="","",43-INDEX($AC$6:$AC$9,AD48))</f>
        <v/>
      </c>
      <c r="AF48">
        <f>IF(AD48="","",INDEX(INDIRECT("'"&amp;$B48&amp;"'!$AE$6:$AE$205"),MATCH(AE48,INDIRECT("'"&amp;$B48&amp;"'!$AI$6:$AI$205"),0)))</f>
        <v/>
      </c>
    </row>
    <row r="49">
      <c r="A49" s="34">
        <f>IF(AD49="","",44)</f>
        <v/>
      </c>
      <c r="B49" s="35">
        <f>IF(AD49="","",INDEX($Z$6:$Z$9,AD49))</f>
        <v/>
      </c>
      <c r="C49" s="34">
        <f>IF(AD49="","",INDEX(INDIRECT("'"&amp;$B49&amp;"'!$B$6:$B$205"),MATCH($AF49,INDIRECT("'"&amp;$B49&amp;"'!$AE$6:$AE$205"),0)))</f>
        <v/>
      </c>
      <c r="D49" s="34">
        <f>IF(AD49="","",INDEX(INDIRECT("'"&amp;$B49&amp;"'!$D$6:$D$205"),MATCH($AF49,INDIRECT("'"&amp;$B49&amp;"'!$AE$6:$AE$205"),0)))</f>
        <v/>
      </c>
      <c r="E49" s="36">
        <f>IF(AD49="","",INDEX(INDIRECT("'"&amp;$B49&amp;"'!$F$6:$F$205"),MATCH($AF49,INDIRECT("'"&amp;$B49&amp;"'!$AE$6:$AE$205"),0)))</f>
        <v/>
      </c>
      <c r="F49" s="34">
        <f>IF(AD49="","",INDEX(INDIRECT("'"&amp;$B49&amp;"'!$K$6:$K$205"),MATCH($AF49,INDIRECT("'"&amp;$B49&amp;"'!$AE$6:$AE$205"),0)))</f>
        <v/>
      </c>
      <c r="G49" s="34">
        <f>IF(AD49="","",INDEX(INDIRECT("'"&amp;$B49&amp;"'!$L$6:$L$205"),MATCH($AF49,INDIRECT("'"&amp;$B49&amp;"'!$AE$6:$AE$205"),0)))</f>
        <v/>
      </c>
      <c r="H49" s="34">
        <f>IF(OR(AD49="",H$5="-"),"",IFERROR(IF(INDEX(INDIRECT("'"&amp;$B49&amp;"'!$N$6:$N$205"),MATCH($AF49&amp;"|"&amp;H$5,INDIRECT("'"&amp;$B49&amp;"'!$AF$6:$AF$205"),0))="","",INDEX(INDIRECT("'"&amp;$B49&amp;"'!$N$6:$N$205"),MATCH($AF49&amp;"|"&amp;H$5,INDIRECT("'"&amp;$B49&amp;"'!$AF$6:$AF$205"),0))),"-"))</f>
        <v/>
      </c>
      <c r="I49" s="34">
        <f>IF(OR(AD49="",I$5="-"),"",IFERROR(IF(INDEX(INDIRECT("'"&amp;$B49&amp;"'!$N$6:$N$205"),MATCH($AF49&amp;"|"&amp;I$5,INDIRECT("'"&amp;$B49&amp;"'!$AF$6:$AF$205"),0))="","",INDEX(INDIRECT("'"&amp;$B49&amp;"'!$N$6:$N$205"),MATCH($AF49&amp;"|"&amp;I$5,INDIRECT("'"&amp;$B49&amp;"'!$AF$6:$AF$205"),0))),"-"))</f>
        <v/>
      </c>
      <c r="J49" s="34">
        <f>IF(OR(AD49="",J$5="-"),"",IFERROR(IF(INDEX(INDIRECT("'"&amp;$B49&amp;"'!$N$6:$N$205"),MATCH($AF49&amp;"|"&amp;J$5,INDIRECT("'"&amp;$B49&amp;"'!$AF$6:$AF$205"),0))="","",INDEX(INDIRECT("'"&amp;$B49&amp;"'!$N$6:$N$205"),MATCH($AF49&amp;"|"&amp;J$5,INDIRECT("'"&amp;$B49&amp;"'!$AF$6:$AF$205"),0))),"-"))</f>
        <v/>
      </c>
      <c r="K49" s="34">
        <f>IF(OR(AD49="",K$5="-"),"",IFERROR(IF(INDEX(INDIRECT("'"&amp;$B49&amp;"'!$N$6:$N$205"),MATCH($AF49&amp;"|"&amp;K$5,INDIRECT("'"&amp;$B49&amp;"'!$AF$6:$AF$205"),0))="","",INDEX(INDIRECT("'"&amp;$B49&amp;"'!$N$6:$N$205"),MATCH($AF49&amp;"|"&amp;K$5,INDIRECT("'"&amp;$B49&amp;"'!$AF$6:$AF$205"),0))),"-"))</f>
        <v/>
      </c>
      <c r="L49" s="37">
        <f>IF(OR(AD49="",L$5="-"),"",IFERROR(IF(INDEX(INDIRECT("'"&amp;$B49&amp;"'!$R$6:$R$205"),MATCH($AF49&amp;"|"&amp;L$5,INDIRECT("'"&amp;$B49&amp;"'!$AF$6:$AF$205"),0))="","",INDEX(INDIRECT("'"&amp;$B49&amp;"'!$R$6:$R$205"),MATCH($AF49&amp;"|"&amp;L$5,INDIRECT("'"&amp;$B49&amp;"'!$AF$6:$AF$205"),0))),"-"))</f>
        <v/>
      </c>
      <c r="M49" s="37">
        <f>IF(OR(AD49="",M$5="-"),"",IFERROR(IF(INDEX(INDIRECT("'"&amp;$B49&amp;"'!$R$6:$R$205"),MATCH($AF49&amp;"|"&amp;M$5,INDIRECT("'"&amp;$B49&amp;"'!$AF$6:$AF$205"),0))="","",INDEX(INDIRECT("'"&amp;$B49&amp;"'!$R$6:$R$205"),MATCH($AF49&amp;"|"&amp;M$5,INDIRECT("'"&amp;$B49&amp;"'!$AF$6:$AF$205"),0))),"-"))</f>
        <v/>
      </c>
      <c r="N49" s="37">
        <f>IF(OR(AD49="",N$5="-"),"",IFERROR(IF(INDEX(INDIRECT("'"&amp;$B49&amp;"'!$R$6:$R$205"),MATCH($AF49&amp;"|"&amp;N$5,INDIRECT("'"&amp;$B49&amp;"'!$AF$6:$AF$205"),0))="","",INDEX(INDIRECT("'"&amp;$B49&amp;"'!$R$6:$R$205"),MATCH($AF49&amp;"|"&amp;N$5,INDIRECT("'"&amp;$B49&amp;"'!$AF$6:$AF$205"),0))),"-"))</f>
        <v/>
      </c>
      <c r="O49" s="37">
        <f>IF(OR(AD49="",O$5="-"),"",IFERROR(IF(INDEX(INDIRECT("'"&amp;$B49&amp;"'!$R$6:$R$205"),MATCH($AF49&amp;"|"&amp;O$5,INDIRECT("'"&amp;$B49&amp;"'!$AF$6:$AF$205"),0))="","",INDEX(INDIRECT("'"&amp;$B49&amp;"'!$R$6:$R$205"),MATCH($AF49&amp;"|"&amp;O$5,INDIRECT("'"&amp;$B49&amp;"'!$AF$6:$AF$205"),0))),"-"))</f>
        <v/>
      </c>
      <c r="P49" s="38">
        <f>IF(OR(AD49="",P$5="-"),"",IFERROR(IF(INDEX(INDIRECT("'"&amp;$B49&amp;"'!$T$6:$T$205"),MATCH($AF49&amp;"|"&amp;P$5,INDIRECT("'"&amp;$B49&amp;"'!$AF$6:$AF$205"),0))="","",INDEX(INDIRECT("'"&amp;$B49&amp;"'!$T$6:$T$205"),MATCH($AF49&amp;"|"&amp;P$5,INDIRECT("'"&amp;$B49&amp;"'!$AF$6:$AF$205"),0))),"-"))</f>
        <v/>
      </c>
      <c r="Q49" s="38">
        <f>IF(OR(AD49="",Q$5="-"),"",IFERROR(IF(INDEX(INDIRECT("'"&amp;$B49&amp;"'!$T$6:$T$205"),MATCH($AF49&amp;"|"&amp;Q$5,INDIRECT("'"&amp;$B49&amp;"'!$AF$6:$AF$205"),0))="","",INDEX(INDIRECT("'"&amp;$B49&amp;"'!$T$6:$T$205"),MATCH($AF49&amp;"|"&amp;Q$5,INDIRECT("'"&amp;$B49&amp;"'!$AF$6:$AF$205"),0))),"-"))</f>
        <v/>
      </c>
      <c r="R49" s="38">
        <f>IF(OR(AD49="",R$5="-"),"",IFERROR(IF(INDEX(INDIRECT("'"&amp;$B49&amp;"'!$T$6:$T$205"),MATCH($AF49&amp;"|"&amp;R$5,INDIRECT("'"&amp;$B49&amp;"'!$AF$6:$AF$205"),0))="","",INDEX(INDIRECT("'"&amp;$B49&amp;"'!$T$6:$T$205"),MATCH($AF49&amp;"|"&amp;R$5,INDIRECT("'"&amp;$B49&amp;"'!$AF$6:$AF$205"),0))),"-"))</f>
        <v/>
      </c>
      <c r="S49" s="38">
        <f>IF(OR(AD49="",S$5="-"),"",IFERROR(IF(INDEX(INDIRECT("'"&amp;$B49&amp;"'!$T$6:$T$205"),MATCH($AF49&amp;"|"&amp;S$5,INDIRECT("'"&amp;$B49&amp;"'!$AF$6:$AF$205"),0))="","",INDEX(INDIRECT("'"&amp;$B49&amp;"'!$T$6:$T$205"),MATCH($AF49&amp;"|"&amp;S$5,INDIRECT("'"&amp;$B49&amp;"'!$AF$6:$AF$205"),0))),"-"))</f>
        <v/>
      </c>
      <c r="T49" s="35">
        <f>IF(U49="","",INDEX($L$5:$O$5,MATCH(U49,L49:O49,0)))</f>
        <v/>
      </c>
      <c r="U49" s="37">
        <f>IF(COUNT(L49:O49)=0,"",MIN(L49:O49))</f>
        <v/>
      </c>
      <c r="V49" s="39">
        <f>IF(U49="","",U49*F49)</f>
        <v/>
      </c>
      <c r="W49" s="39">
        <f>IF(COUNT(L49:O49)&lt;2,"",(MAX(L49:O49)-MIN(L49:O49))*F49)</f>
        <v/>
      </c>
      <c r="X49" s="20" t="n"/>
      <c r="AD49">
        <f>IF(44&gt;MAX($AB$6:$AB$9),"",COUNTIF($AB$6:$AB$9,"&lt;"&amp;44)+1)</f>
        <v/>
      </c>
      <c r="AE49">
        <f>IF(AD49="","",44-INDEX($AC$6:$AC$9,AD49))</f>
        <v/>
      </c>
      <c r="AF49">
        <f>IF(AD49="","",INDEX(INDIRECT("'"&amp;$B49&amp;"'!$AE$6:$AE$205"),MATCH(AE49,INDIRECT("'"&amp;$B49&amp;"'!$AI$6:$AI$205"),0)))</f>
        <v/>
      </c>
    </row>
    <row r="50">
      <c r="A50" s="34">
        <f>IF(AD50="","",45)</f>
        <v/>
      </c>
      <c r="B50" s="35">
        <f>IF(AD50="","",INDEX($Z$6:$Z$9,AD50))</f>
        <v/>
      </c>
      <c r="C50" s="34">
        <f>IF(AD50="","",INDEX(INDIRECT("'"&amp;$B50&amp;"'!$B$6:$B$205"),MATCH($AF50,INDIRECT("'"&amp;$B50&amp;"'!$AE$6:$AE$205"),0)))</f>
        <v/>
      </c>
      <c r="D50" s="34">
        <f>IF(AD50="","",INDEX(INDIRECT("'"&amp;$B50&amp;"'!$D$6:$D$205"),MATCH($AF50,INDIRECT("'"&amp;$B50&amp;"'!$AE$6:$AE$205"),0)))</f>
        <v/>
      </c>
      <c r="E50" s="36">
        <f>IF(AD50="","",INDEX(INDIRECT("'"&amp;$B50&amp;"'!$F$6:$F$205"),MATCH($AF50,INDIRECT("'"&amp;$B50&amp;"'!$AE$6:$AE$205"),0)))</f>
        <v/>
      </c>
      <c r="F50" s="34">
        <f>IF(AD50="","",INDEX(INDIRECT("'"&amp;$B50&amp;"'!$K$6:$K$205"),MATCH($AF50,INDIRECT("'"&amp;$B50&amp;"'!$AE$6:$AE$205"),0)))</f>
        <v/>
      </c>
      <c r="G50" s="34">
        <f>IF(AD50="","",INDEX(INDIRECT("'"&amp;$B50&amp;"'!$L$6:$L$205"),MATCH($AF50,INDIRECT("'"&amp;$B50&amp;"'!$AE$6:$AE$205"),0)))</f>
        <v/>
      </c>
      <c r="H50" s="34">
        <f>IF(OR(AD50="",H$5="-"),"",IFERROR(IF(INDEX(INDIRECT("'"&amp;$B50&amp;"'!$N$6:$N$205"),MATCH($AF50&amp;"|"&amp;H$5,INDIRECT("'"&amp;$B50&amp;"'!$AF$6:$AF$205"),0))="","",INDEX(INDIRECT("'"&amp;$B50&amp;"'!$N$6:$N$205"),MATCH($AF50&amp;"|"&amp;H$5,INDIRECT("'"&amp;$B50&amp;"'!$AF$6:$AF$205"),0))),"-"))</f>
        <v/>
      </c>
      <c r="I50" s="34">
        <f>IF(OR(AD50="",I$5="-"),"",IFERROR(IF(INDEX(INDIRECT("'"&amp;$B50&amp;"'!$N$6:$N$205"),MATCH($AF50&amp;"|"&amp;I$5,INDIRECT("'"&amp;$B50&amp;"'!$AF$6:$AF$205"),0))="","",INDEX(INDIRECT("'"&amp;$B50&amp;"'!$N$6:$N$205"),MATCH($AF50&amp;"|"&amp;I$5,INDIRECT("'"&amp;$B50&amp;"'!$AF$6:$AF$205"),0))),"-"))</f>
        <v/>
      </c>
      <c r="J50" s="34">
        <f>IF(OR(AD50="",J$5="-"),"",IFERROR(IF(INDEX(INDIRECT("'"&amp;$B50&amp;"'!$N$6:$N$205"),MATCH($AF50&amp;"|"&amp;J$5,INDIRECT("'"&amp;$B50&amp;"'!$AF$6:$AF$205"),0))="","",INDEX(INDIRECT("'"&amp;$B50&amp;"'!$N$6:$N$205"),MATCH($AF50&amp;"|"&amp;J$5,INDIRECT("'"&amp;$B50&amp;"'!$AF$6:$AF$205"),0))),"-"))</f>
        <v/>
      </c>
      <c r="K50" s="34">
        <f>IF(OR(AD50="",K$5="-"),"",IFERROR(IF(INDEX(INDIRECT("'"&amp;$B50&amp;"'!$N$6:$N$205"),MATCH($AF50&amp;"|"&amp;K$5,INDIRECT("'"&amp;$B50&amp;"'!$AF$6:$AF$205"),0))="","",INDEX(INDIRECT("'"&amp;$B50&amp;"'!$N$6:$N$205"),MATCH($AF50&amp;"|"&amp;K$5,INDIRECT("'"&amp;$B50&amp;"'!$AF$6:$AF$205"),0))),"-"))</f>
        <v/>
      </c>
      <c r="L50" s="37">
        <f>IF(OR(AD50="",L$5="-"),"",IFERROR(IF(INDEX(INDIRECT("'"&amp;$B50&amp;"'!$R$6:$R$205"),MATCH($AF50&amp;"|"&amp;L$5,INDIRECT("'"&amp;$B50&amp;"'!$AF$6:$AF$205"),0))="","",INDEX(INDIRECT("'"&amp;$B50&amp;"'!$R$6:$R$205"),MATCH($AF50&amp;"|"&amp;L$5,INDIRECT("'"&amp;$B50&amp;"'!$AF$6:$AF$205"),0))),"-"))</f>
        <v/>
      </c>
      <c r="M50" s="37">
        <f>IF(OR(AD50="",M$5="-"),"",IFERROR(IF(INDEX(INDIRECT("'"&amp;$B50&amp;"'!$R$6:$R$205"),MATCH($AF50&amp;"|"&amp;M$5,INDIRECT("'"&amp;$B50&amp;"'!$AF$6:$AF$205"),0))="","",INDEX(INDIRECT("'"&amp;$B50&amp;"'!$R$6:$R$205"),MATCH($AF50&amp;"|"&amp;M$5,INDIRECT("'"&amp;$B50&amp;"'!$AF$6:$AF$205"),0))),"-"))</f>
        <v/>
      </c>
      <c r="N50" s="37">
        <f>IF(OR(AD50="",N$5="-"),"",IFERROR(IF(INDEX(INDIRECT("'"&amp;$B50&amp;"'!$R$6:$R$205"),MATCH($AF50&amp;"|"&amp;N$5,INDIRECT("'"&amp;$B50&amp;"'!$AF$6:$AF$205"),0))="","",INDEX(INDIRECT("'"&amp;$B50&amp;"'!$R$6:$R$205"),MATCH($AF50&amp;"|"&amp;N$5,INDIRECT("'"&amp;$B50&amp;"'!$AF$6:$AF$205"),0))),"-"))</f>
        <v/>
      </c>
      <c r="O50" s="37">
        <f>IF(OR(AD50="",O$5="-"),"",IFERROR(IF(INDEX(INDIRECT("'"&amp;$B50&amp;"'!$R$6:$R$205"),MATCH($AF50&amp;"|"&amp;O$5,INDIRECT("'"&amp;$B50&amp;"'!$AF$6:$AF$205"),0))="","",INDEX(INDIRECT("'"&amp;$B50&amp;"'!$R$6:$R$205"),MATCH($AF50&amp;"|"&amp;O$5,INDIRECT("'"&amp;$B50&amp;"'!$AF$6:$AF$205"),0))),"-"))</f>
        <v/>
      </c>
      <c r="P50" s="38">
        <f>IF(OR(AD50="",P$5="-"),"",IFERROR(IF(INDEX(INDIRECT("'"&amp;$B50&amp;"'!$T$6:$T$205"),MATCH($AF50&amp;"|"&amp;P$5,INDIRECT("'"&amp;$B50&amp;"'!$AF$6:$AF$205"),0))="","",INDEX(INDIRECT("'"&amp;$B50&amp;"'!$T$6:$T$205"),MATCH($AF50&amp;"|"&amp;P$5,INDIRECT("'"&amp;$B50&amp;"'!$AF$6:$AF$205"),0))),"-"))</f>
        <v/>
      </c>
      <c r="Q50" s="38">
        <f>IF(OR(AD50="",Q$5="-"),"",IFERROR(IF(INDEX(INDIRECT("'"&amp;$B50&amp;"'!$T$6:$T$205"),MATCH($AF50&amp;"|"&amp;Q$5,INDIRECT("'"&amp;$B50&amp;"'!$AF$6:$AF$205"),0))="","",INDEX(INDIRECT("'"&amp;$B50&amp;"'!$T$6:$T$205"),MATCH($AF50&amp;"|"&amp;Q$5,INDIRECT("'"&amp;$B50&amp;"'!$AF$6:$AF$205"),0))),"-"))</f>
        <v/>
      </c>
      <c r="R50" s="38">
        <f>IF(OR(AD50="",R$5="-"),"",IFERROR(IF(INDEX(INDIRECT("'"&amp;$B50&amp;"'!$T$6:$T$205"),MATCH($AF50&amp;"|"&amp;R$5,INDIRECT("'"&amp;$B50&amp;"'!$AF$6:$AF$205"),0))="","",INDEX(INDIRECT("'"&amp;$B50&amp;"'!$T$6:$T$205"),MATCH($AF50&amp;"|"&amp;R$5,INDIRECT("'"&amp;$B50&amp;"'!$AF$6:$AF$205"),0))),"-"))</f>
        <v/>
      </c>
      <c r="S50" s="38">
        <f>IF(OR(AD50="",S$5="-"),"",IFERROR(IF(INDEX(INDIRECT("'"&amp;$B50&amp;"'!$T$6:$T$205"),MATCH($AF50&amp;"|"&amp;S$5,INDIRECT("'"&amp;$B50&amp;"'!$AF$6:$AF$205"),0))="","",INDEX(INDIRECT("'"&amp;$B50&amp;"'!$T$6:$T$205"),MATCH($AF50&amp;"|"&amp;S$5,INDIRECT("'"&amp;$B50&amp;"'!$AF$6:$AF$205"),0))),"-"))</f>
        <v/>
      </c>
      <c r="T50" s="35">
        <f>IF(U50="","",INDEX($L$5:$O$5,MATCH(U50,L50:O50,0)))</f>
        <v/>
      </c>
      <c r="U50" s="37">
        <f>IF(COUNT(L50:O50)=0,"",MIN(L50:O50))</f>
        <v/>
      </c>
      <c r="V50" s="39">
        <f>IF(U50="","",U50*F50)</f>
        <v/>
      </c>
      <c r="W50" s="39">
        <f>IF(COUNT(L50:O50)&lt;2,"",(MAX(L50:O50)-MIN(L50:O50))*F50)</f>
        <v/>
      </c>
      <c r="X50" s="20" t="n"/>
      <c r="AD50">
        <f>IF(45&gt;MAX($AB$6:$AB$9),"",COUNTIF($AB$6:$AB$9,"&lt;"&amp;45)+1)</f>
        <v/>
      </c>
      <c r="AE50">
        <f>IF(AD50="","",45-INDEX($AC$6:$AC$9,AD50))</f>
        <v/>
      </c>
      <c r="AF50">
        <f>IF(AD50="","",INDEX(INDIRECT("'"&amp;$B50&amp;"'!$AE$6:$AE$205"),MATCH(AE50,INDIRECT("'"&amp;$B50&amp;"'!$AI$6:$AI$205"),0)))</f>
        <v/>
      </c>
    </row>
    <row r="51">
      <c r="A51" s="34">
        <f>IF(AD51="","",46)</f>
        <v/>
      </c>
      <c r="B51" s="35">
        <f>IF(AD51="","",INDEX($Z$6:$Z$9,AD51))</f>
        <v/>
      </c>
      <c r="C51" s="34">
        <f>IF(AD51="","",INDEX(INDIRECT("'"&amp;$B51&amp;"'!$B$6:$B$205"),MATCH($AF51,INDIRECT("'"&amp;$B51&amp;"'!$AE$6:$AE$205"),0)))</f>
        <v/>
      </c>
      <c r="D51" s="34">
        <f>IF(AD51="","",INDEX(INDIRECT("'"&amp;$B51&amp;"'!$D$6:$D$205"),MATCH($AF51,INDIRECT("'"&amp;$B51&amp;"'!$AE$6:$AE$205"),0)))</f>
        <v/>
      </c>
      <c r="E51" s="36">
        <f>IF(AD51="","",INDEX(INDIRECT("'"&amp;$B51&amp;"'!$F$6:$F$205"),MATCH($AF51,INDIRECT("'"&amp;$B51&amp;"'!$AE$6:$AE$205"),0)))</f>
        <v/>
      </c>
      <c r="F51" s="34">
        <f>IF(AD51="","",INDEX(INDIRECT("'"&amp;$B51&amp;"'!$K$6:$K$205"),MATCH($AF51,INDIRECT("'"&amp;$B51&amp;"'!$AE$6:$AE$205"),0)))</f>
        <v/>
      </c>
      <c r="G51" s="34">
        <f>IF(AD51="","",INDEX(INDIRECT("'"&amp;$B51&amp;"'!$L$6:$L$205"),MATCH($AF51,INDIRECT("'"&amp;$B51&amp;"'!$AE$6:$AE$205"),0)))</f>
        <v/>
      </c>
      <c r="H51" s="34">
        <f>IF(OR(AD51="",H$5="-"),"",IFERROR(IF(INDEX(INDIRECT("'"&amp;$B51&amp;"'!$N$6:$N$205"),MATCH($AF51&amp;"|"&amp;H$5,INDIRECT("'"&amp;$B51&amp;"'!$AF$6:$AF$205"),0))="","",INDEX(INDIRECT("'"&amp;$B51&amp;"'!$N$6:$N$205"),MATCH($AF51&amp;"|"&amp;H$5,INDIRECT("'"&amp;$B51&amp;"'!$AF$6:$AF$205"),0))),"-"))</f>
        <v/>
      </c>
      <c r="I51" s="34">
        <f>IF(OR(AD51="",I$5="-"),"",IFERROR(IF(INDEX(INDIRECT("'"&amp;$B51&amp;"'!$N$6:$N$205"),MATCH($AF51&amp;"|"&amp;I$5,INDIRECT("'"&amp;$B51&amp;"'!$AF$6:$AF$205"),0))="","",INDEX(INDIRECT("'"&amp;$B51&amp;"'!$N$6:$N$205"),MATCH($AF51&amp;"|"&amp;I$5,INDIRECT("'"&amp;$B51&amp;"'!$AF$6:$AF$205"),0))),"-"))</f>
        <v/>
      </c>
      <c r="J51" s="34">
        <f>IF(OR(AD51="",J$5="-"),"",IFERROR(IF(INDEX(INDIRECT("'"&amp;$B51&amp;"'!$N$6:$N$205"),MATCH($AF51&amp;"|"&amp;J$5,INDIRECT("'"&amp;$B51&amp;"'!$AF$6:$AF$205"),0))="","",INDEX(INDIRECT("'"&amp;$B51&amp;"'!$N$6:$N$205"),MATCH($AF51&amp;"|"&amp;J$5,INDIRECT("'"&amp;$B51&amp;"'!$AF$6:$AF$205"),0))),"-"))</f>
        <v/>
      </c>
      <c r="K51" s="34">
        <f>IF(OR(AD51="",K$5="-"),"",IFERROR(IF(INDEX(INDIRECT("'"&amp;$B51&amp;"'!$N$6:$N$205"),MATCH($AF51&amp;"|"&amp;K$5,INDIRECT("'"&amp;$B51&amp;"'!$AF$6:$AF$205"),0))="","",INDEX(INDIRECT("'"&amp;$B51&amp;"'!$N$6:$N$205"),MATCH($AF51&amp;"|"&amp;K$5,INDIRECT("'"&amp;$B51&amp;"'!$AF$6:$AF$205"),0))),"-"))</f>
        <v/>
      </c>
      <c r="L51" s="37">
        <f>IF(OR(AD51="",L$5="-"),"",IFERROR(IF(INDEX(INDIRECT("'"&amp;$B51&amp;"'!$R$6:$R$205"),MATCH($AF51&amp;"|"&amp;L$5,INDIRECT("'"&amp;$B51&amp;"'!$AF$6:$AF$205"),0))="","",INDEX(INDIRECT("'"&amp;$B51&amp;"'!$R$6:$R$205"),MATCH($AF51&amp;"|"&amp;L$5,INDIRECT("'"&amp;$B51&amp;"'!$AF$6:$AF$205"),0))),"-"))</f>
        <v/>
      </c>
      <c r="M51" s="37">
        <f>IF(OR(AD51="",M$5="-"),"",IFERROR(IF(INDEX(INDIRECT("'"&amp;$B51&amp;"'!$R$6:$R$205"),MATCH($AF51&amp;"|"&amp;M$5,INDIRECT("'"&amp;$B51&amp;"'!$AF$6:$AF$205"),0))="","",INDEX(INDIRECT("'"&amp;$B51&amp;"'!$R$6:$R$205"),MATCH($AF51&amp;"|"&amp;M$5,INDIRECT("'"&amp;$B51&amp;"'!$AF$6:$AF$205"),0))),"-"))</f>
        <v/>
      </c>
      <c r="N51" s="37">
        <f>IF(OR(AD51="",N$5="-"),"",IFERROR(IF(INDEX(INDIRECT("'"&amp;$B51&amp;"'!$R$6:$R$205"),MATCH($AF51&amp;"|"&amp;N$5,INDIRECT("'"&amp;$B51&amp;"'!$AF$6:$AF$205"),0))="","",INDEX(INDIRECT("'"&amp;$B51&amp;"'!$R$6:$R$205"),MATCH($AF51&amp;"|"&amp;N$5,INDIRECT("'"&amp;$B51&amp;"'!$AF$6:$AF$205"),0))),"-"))</f>
        <v/>
      </c>
      <c r="O51" s="37">
        <f>IF(OR(AD51="",O$5="-"),"",IFERROR(IF(INDEX(INDIRECT("'"&amp;$B51&amp;"'!$R$6:$R$205"),MATCH($AF51&amp;"|"&amp;O$5,INDIRECT("'"&amp;$B51&amp;"'!$AF$6:$AF$205"),0))="","",INDEX(INDIRECT("'"&amp;$B51&amp;"'!$R$6:$R$205"),MATCH($AF51&amp;"|"&amp;O$5,INDIRECT("'"&amp;$B51&amp;"'!$AF$6:$AF$205"),0))),"-"))</f>
        <v/>
      </c>
      <c r="P51" s="38">
        <f>IF(OR(AD51="",P$5="-"),"",IFERROR(IF(INDEX(INDIRECT("'"&amp;$B51&amp;"'!$T$6:$T$205"),MATCH($AF51&amp;"|"&amp;P$5,INDIRECT("'"&amp;$B51&amp;"'!$AF$6:$AF$205"),0))="","",INDEX(INDIRECT("'"&amp;$B51&amp;"'!$T$6:$T$205"),MATCH($AF51&amp;"|"&amp;P$5,INDIRECT("'"&amp;$B51&amp;"'!$AF$6:$AF$205"),0))),"-"))</f>
        <v/>
      </c>
      <c r="Q51" s="38">
        <f>IF(OR(AD51="",Q$5="-"),"",IFERROR(IF(INDEX(INDIRECT("'"&amp;$B51&amp;"'!$T$6:$T$205"),MATCH($AF51&amp;"|"&amp;Q$5,INDIRECT("'"&amp;$B51&amp;"'!$AF$6:$AF$205"),0))="","",INDEX(INDIRECT("'"&amp;$B51&amp;"'!$T$6:$T$205"),MATCH($AF51&amp;"|"&amp;Q$5,INDIRECT("'"&amp;$B51&amp;"'!$AF$6:$AF$205"),0))),"-"))</f>
        <v/>
      </c>
      <c r="R51" s="38">
        <f>IF(OR(AD51="",R$5="-"),"",IFERROR(IF(INDEX(INDIRECT("'"&amp;$B51&amp;"'!$T$6:$T$205"),MATCH($AF51&amp;"|"&amp;R$5,INDIRECT("'"&amp;$B51&amp;"'!$AF$6:$AF$205"),0))="","",INDEX(INDIRECT("'"&amp;$B51&amp;"'!$T$6:$T$205"),MATCH($AF51&amp;"|"&amp;R$5,INDIRECT("'"&amp;$B51&amp;"'!$AF$6:$AF$205"),0))),"-"))</f>
        <v/>
      </c>
      <c r="S51" s="38">
        <f>IF(OR(AD51="",S$5="-"),"",IFERROR(IF(INDEX(INDIRECT("'"&amp;$B51&amp;"'!$T$6:$T$205"),MATCH($AF51&amp;"|"&amp;S$5,INDIRECT("'"&amp;$B51&amp;"'!$AF$6:$AF$205"),0))="","",INDEX(INDIRECT("'"&amp;$B51&amp;"'!$T$6:$T$205"),MATCH($AF51&amp;"|"&amp;S$5,INDIRECT("'"&amp;$B51&amp;"'!$AF$6:$AF$205"),0))),"-"))</f>
        <v/>
      </c>
      <c r="T51" s="35">
        <f>IF(U51="","",INDEX($L$5:$O$5,MATCH(U51,L51:O51,0)))</f>
        <v/>
      </c>
      <c r="U51" s="37">
        <f>IF(COUNT(L51:O51)=0,"",MIN(L51:O51))</f>
        <v/>
      </c>
      <c r="V51" s="39">
        <f>IF(U51="","",U51*F51)</f>
        <v/>
      </c>
      <c r="W51" s="39">
        <f>IF(COUNT(L51:O51)&lt;2,"",(MAX(L51:O51)-MIN(L51:O51))*F51)</f>
        <v/>
      </c>
      <c r="X51" s="20" t="n"/>
      <c r="AD51">
        <f>IF(46&gt;MAX($AB$6:$AB$9),"",COUNTIF($AB$6:$AB$9,"&lt;"&amp;46)+1)</f>
        <v/>
      </c>
      <c r="AE51">
        <f>IF(AD51="","",46-INDEX($AC$6:$AC$9,AD51))</f>
        <v/>
      </c>
      <c r="AF51">
        <f>IF(AD51="","",INDEX(INDIRECT("'"&amp;$B51&amp;"'!$AE$6:$AE$205"),MATCH(AE51,INDIRECT("'"&amp;$B51&amp;"'!$AI$6:$AI$205"),0)))</f>
        <v/>
      </c>
    </row>
    <row r="52">
      <c r="A52" s="34">
        <f>IF(AD52="","",47)</f>
        <v/>
      </c>
      <c r="B52" s="35">
        <f>IF(AD52="","",INDEX($Z$6:$Z$9,AD52))</f>
        <v/>
      </c>
      <c r="C52" s="34">
        <f>IF(AD52="","",INDEX(INDIRECT("'"&amp;$B52&amp;"'!$B$6:$B$205"),MATCH($AF52,INDIRECT("'"&amp;$B52&amp;"'!$AE$6:$AE$205"),0)))</f>
        <v/>
      </c>
      <c r="D52" s="34">
        <f>IF(AD52="","",INDEX(INDIRECT("'"&amp;$B52&amp;"'!$D$6:$D$205"),MATCH($AF52,INDIRECT("'"&amp;$B52&amp;"'!$AE$6:$AE$205"),0)))</f>
        <v/>
      </c>
      <c r="E52" s="36">
        <f>IF(AD52="","",INDEX(INDIRECT("'"&amp;$B52&amp;"'!$F$6:$F$205"),MATCH($AF52,INDIRECT("'"&amp;$B52&amp;"'!$AE$6:$AE$205"),0)))</f>
        <v/>
      </c>
      <c r="F52" s="34">
        <f>IF(AD52="","",INDEX(INDIRECT("'"&amp;$B52&amp;"'!$K$6:$K$205"),MATCH($AF52,INDIRECT("'"&amp;$B52&amp;"'!$AE$6:$AE$205"),0)))</f>
        <v/>
      </c>
      <c r="G52" s="34">
        <f>IF(AD52="","",INDEX(INDIRECT("'"&amp;$B52&amp;"'!$L$6:$L$205"),MATCH($AF52,INDIRECT("'"&amp;$B52&amp;"'!$AE$6:$AE$205"),0)))</f>
        <v/>
      </c>
      <c r="H52" s="34">
        <f>IF(OR(AD52="",H$5="-"),"",IFERROR(IF(INDEX(INDIRECT("'"&amp;$B52&amp;"'!$N$6:$N$205"),MATCH($AF52&amp;"|"&amp;H$5,INDIRECT("'"&amp;$B52&amp;"'!$AF$6:$AF$205"),0))="","",INDEX(INDIRECT("'"&amp;$B52&amp;"'!$N$6:$N$205"),MATCH($AF52&amp;"|"&amp;H$5,INDIRECT("'"&amp;$B52&amp;"'!$AF$6:$AF$205"),0))),"-"))</f>
        <v/>
      </c>
      <c r="I52" s="34">
        <f>IF(OR(AD52="",I$5="-"),"",IFERROR(IF(INDEX(INDIRECT("'"&amp;$B52&amp;"'!$N$6:$N$205"),MATCH($AF52&amp;"|"&amp;I$5,INDIRECT("'"&amp;$B52&amp;"'!$AF$6:$AF$205"),0))="","",INDEX(INDIRECT("'"&amp;$B52&amp;"'!$N$6:$N$205"),MATCH($AF52&amp;"|"&amp;I$5,INDIRECT("'"&amp;$B52&amp;"'!$AF$6:$AF$205"),0))),"-"))</f>
        <v/>
      </c>
      <c r="J52" s="34">
        <f>IF(OR(AD52="",J$5="-"),"",IFERROR(IF(INDEX(INDIRECT("'"&amp;$B52&amp;"'!$N$6:$N$205"),MATCH($AF52&amp;"|"&amp;J$5,INDIRECT("'"&amp;$B52&amp;"'!$AF$6:$AF$205"),0))="","",INDEX(INDIRECT("'"&amp;$B52&amp;"'!$N$6:$N$205"),MATCH($AF52&amp;"|"&amp;J$5,INDIRECT("'"&amp;$B52&amp;"'!$AF$6:$AF$205"),0))),"-"))</f>
        <v/>
      </c>
      <c r="K52" s="34">
        <f>IF(OR(AD52="",K$5="-"),"",IFERROR(IF(INDEX(INDIRECT("'"&amp;$B52&amp;"'!$N$6:$N$205"),MATCH($AF52&amp;"|"&amp;K$5,INDIRECT("'"&amp;$B52&amp;"'!$AF$6:$AF$205"),0))="","",INDEX(INDIRECT("'"&amp;$B52&amp;"'!$N$6:$N$205"),MATCH($AF52&amp;"|"&amp;K$5,INDIRECT("'"&amp;$B52&amp;"'!$AF$6:$AF$205"),0))),"-"))</f>
        <v/>
      </c>
      <c r="L52" s="37">
        <f>IF(OR(AD52="",L$5="-"),"",IFERROR(IF(INDEX(INDIRECT("'"&amp;$B52&amp;"'!$R$6:$R$205"),MATCH($AF52&amp;"|"&amp;L$5,INDIRECT("'"&amp;$B52&amp;"'!$AF$6:$AF$205"),0))="","",INDEX(INDIRECT("'"&amp;$B52&amp;"'!$R$6:$R$205"),MATCH($AF52&amp;"|"&amp;L$5,INDIRECT("'"&amp;$B52&amp;"'!$AF$6:$AF$205"),0))),"-"))</f>
        <v/>
      </c>
      <c r="M52" s="37">
        <f>IF(OR(AD52="",M$5="-"),"",IFERROR(IF(INDEX(INDIRECT("'"&amp;$B52&amp;"'!$R$6:$R$205"),MATCH($AF52&amp;"|"&amp;M$5,INDIRECT("'"&amp;$B52&amp;"'!$AF$6:$AF$205"),0))="","",INDEX(INDIRECT("'"&amp;$B52&amp;"'!$R$6:$R$205"),MATCH($AF52&amp;"|"&amp;M$5,INDIRECT("'"&amp;$B52&amp;"'!$AF$6:$AF$205"),0))),"-"))</f>
        <v/>
      </c>
      <c r="N52" s="37">
        <f>IF(OR(AD52="",N$5="-"),"",IFERROR(IF(INDEX(INDIRECT("'"&amp;$B52&amp;"'!$R$6:$R$205"),MATCH($AF52&amp;"|"&amp;N$5,INDIRECT("'"&amp;$B52&amp;"'!$AF$6:$AF$205"),0))="","",INDEX(INDIRECT("'"&amp;$B52&amp;"'!$R$6:$R$205"),MATCH($AF52&amp;"|"&amp;N$5,INDIRECT("'"&amp;$B52&amp;"'!$AF$6:$AF$205"),0))),"-"))</f>
        <v/>
      </c>
      <c r="O52" s="37">
        <f>IF(OR(AD52="",O$5="-"),"",IFERROR(IF(INDEX(INDIRECT("'"&amp;$B52&amp;"'!$R$6:$R$205"),MATCH($AF52&amp;"|"&amp;O$5,INDIRECT("'"&amp;$B52&amp;"'!$AF$6:$AF$205"),0))="","",INDEX(INDIRECT("'"&amp;$B52&amp;"'!$R$6:$R$205"),MATCH($AF52&amp;"|"&amp;O$5,INDIRECT("'"&amp;$B52&amp;"'!$AF$6:$AF$205"),0))),"-"))</f>
        <v/>
      </c>
      <c r="P52" s="38">
        <f>IF(OR(AD52="",P$5="-"),"",IFERROR(IF(INDEX(INDIRECT("'"&amp;$B52&amp;"'!$T$6:$T$205"),MATCH($AF52&amp;"|"&amp;P$5,INDIRECT("'"&amp;$B52&amp;"'!$AF$6:$AF$205"),0))="","",INDEX(INDIRECT("'"&amp;$B52&amp;"'!$T$6:$T$205"),MATCH($AF52&amp;"|"&amp;P$5,INDIRECT("'"&amp;$B52&amp;"'!$AF$6:$AF$205"),0))),"-"))</f>
        <v/>
      </c>
      <c r="Q52" s="38">
        <f>IF(OR(AD52="",Q$5="-"),"",IFERROR(IF(INDEX(INDIRECT("'"&amp;$B52&amp;"'!$T$6:$T$205"),MATCH($AF52&amp;"|"&amp;Q$5,INDIRECT("'"&amp;$B52&amp;"'!$AF$6:$AF$205"),0))="","",INDEX(INDIRECT("'"&amp;$B52&amp;"'!$T$6:$T$205"),MATCH($AF52&amp;"|"&amp;Q$5,INDIRECT("'"&amp;$B52&amp;"'!$AF$6:$AF$205"),0))),"-"))</f>
        <v/>
      </c>
      <c r="R52" s="38">
        <f>IF(OR(AD52="",R$5="-"),"",IFERROR(IF(INDEX(INDIRECT("'"&amp;$B52&amp;"'!$T$6:$T$205"),MATCH($AF52&amp;"|"&amp;R$5,INDIRECT("'"&amp;$B52&amp;"'!$AF$6:$AF$205"),0))="","",INDEX(INDIRECT("'"&amp;$B52&amp;"'!$T$6:$T$205"),MATCH($AF52&amp;"|"&amp;R$5,INDIRECT("'"&amp;$B52&amp;"'!$AF$6:$AF$205"),0))),"-"))</f>
        <v/>
      </c>
      <c r="S52" s="38">
        <f>IF(OR(AD52="",S$5="-"),"",IFERROR(IF(INDEX(INDIRECT("'"&amp;$B52&amp;"'!$T$6:$T$205"),MATCH($AF52&amp;"|"&amp;S$5,INDIRECT("'"&amp;$B52&amp;"'!$AF$6:$AF$205"),0))="","",INDEX(INDIRECT("'"&amp;$B52&amp;"'!$T$6:$T$205"),MATCH($AF52&amp;"|"&amp;S$5,INDIRECT("'"&amp;$B52&amp;"'!$AF$6:$AF$205"),0))),"-"))</f>
        <v/>
      </c>
      <c r="T52" s="35">
        <f>IF(U52="","",INDEX($L$5:$O$5,MATCH(U52,L52:O52,0)))</f>
        <v/>
      </c>
      <c r="U52" s="37">
        <f>IF(COUNT(L52:O52)=0,"",MIN(L52:O52))</f>
        <v/>
      </c>
      <c r="V52" s="39">
        <f>IF(U52="","",U52*F52)</f>
        <v/>
      </c>
      <c r="W52" s="39">
        <f>IF(COUNT(L52:O52)&lt;2,"",(MAX(L52:O52)-MIN(L52:O52))*F52)</f>
        <v/>
      </c>
      <c r="X52" s="20" t="n"/>
      <c r="AD52">
        <f>IF(47&gt;MAX($AB$6:$AB$9),"",COUNTIF($AB$6:$AB$9,"&lt;"&amp;47)+1)</f>
        <v/>
      </c>
      <c r="AE52">
        <f>IF(AD52="","",47-INDEX($AC$6:$AC$9,AD52))</f>
        <v/>
      </c>
      <c r="AF52">
        <f>IF(AD52="","",INDEX(INDIRECT("'"&amp;$B52&amp;"'!$AE$6:$AE$205"),MATCH(AE52,INDIRECT("'"&amp;$B52&amp;"'!$AI$6:$AI$205"),0)))</f>
        <v/>
      </c>
    </row>
    <row r="53">
      <c r="A53" s="34">
        <f>IF(AD53="","",48)</f>
        <v/>
      </c>
      <c r="B53" s="35">
        <f>IF(AD53="","",INDEX($Z$6:$Z$9,AD53))</f>
        <v/>
      </c>
      <c r="C53" s="34">
        <f>IF(AD53="","",INDEX(INDIRECT("'"&amp;$B53&amp;"'!$B$6:$B$205"),MATCH($AF53,INDIRECT("'"&amp;$B53&amp;"'!$AE$6:$AE$205"),0)))</f>
        <v/>
      </c>
      <c r="D53" s="34">
        <f>IF(AD53="","",INDEX(INDIRECT("'"&amp;$B53&amp;"'!$D$6:$D$205"),MATCH($AF53,INDIRECT("'"&amp;$B53&amp;"'!$AE$6:$AE$205"),0)))</f>
        <v/>
      </c>
      <c r="E53" s="36">
        <f>IF(AD53="","",INDEX(INDIRECT("'"&amp;$B53&amp;"'!$F$6:$F$205"),MATCH($AF53,INDIRECT("'"&amp;$B53&amp;"'!$AE$6:$AE$205"),0)))</f>
        <v/>
      </c>
      <c r="F53" s="34">
        <f>IF(AD53="","",INDEX(INDIRECT("'"&amp;$B53&amp;"'!$K$6:$K$205"),MATCH($AF53,INDIRECT("'"&amp;$B53&amp;"'!$AE$6:$AE$205"),0)))</f>
        <v/>
      </c>
      <c r="G53" s="34">
        <f>IF(AD53="","",INDEX(INDIRECT("'"&amp;$B53&amp;"'!$L$6:$L$205"),MATCH($AF53,INDIRECT("'"&amp;$B53&amp;"'!$AE$6:$AE$205"),0)))</f>
        <v/>
      </c>
      <c r="H53" s="34">
        <f>IF(OR(AD53="",H$5="-"),"",IFERROR(IF(INDEX(INDIRECT("'"&amp;$B53&amp;"'!$N$6:$N$205"),MATCH($AF53&amp;"|"&amp;H$5,INDIRECT("'"&amp;$B53&amp;"'!$AF$6:$AF$205"),0))="","",INDEX(INDIRECT("'"&amp;$B53&amp;"'!$N$6:$N$205"),MATCH($AF53&amp;"|"&amp;H$5,INDIRECT("'"&amp;$B53&amp;"'!$AF$6:$AF$205"),0))),"-"))</f>
        <v/>
      </c>
      <c r="I53" s="34">
        <f>IF(OR(AD53="",I$5="-"),"",IFERROR(IF(INDEX(INDIRECT("'"&amp;$B53&amp;"'!$N$6:$N$205"),MATCH($AF53&amp;"|"&amp;I$5,INDIRECT("'"&amp;$B53&amp;"'!$AF$6:$AF$205"),0))="","",INDEX(INDIRECT("'"&amp;$B53&amp;"'!$N$6:$N$205"),MATCH($AF53&amp;"|"&amp;I$5,INDIRECT("'"&amp;$B53&amp;"'!$AF$6:$AF$205"),0))),"-"))</f>
        <v/>
      </c>
      <c r="J53" s="34">
        <f>IF(OR(AD53="",J$5="-"),"",IFERROR(IF(INDEX(INDIRECT("'"&amp;$B53&amp;"'!$N$6:$N$205"),MATCH($AF53&amp;"|"&amp;J$5,INDIRECT("'"&amp;$B53&amp;"'!$AF$6:$AF$205"),0))="","",INDEX(INDIRECT("'"&amp;$B53&amp;"'!$N$6:$N$205"),MATCH($AF53&amp;"|"&amp;J$5,INDIRECT("'"&amp;$B53&amp;"'!$AF$6:$AF$205"),0))),"-"))</f>
        <v/>
      </c>
      <c r="K53" s="34">
        <f>IF(OR(AD53="",K$5="-"),"",IFERROR(IF(INDEX(INDIRECT("'"&amp;$B53&amp;"'!$N$6:$N$205"),MATCH($AF53&amp;"|"&amp;K$5,INDIRECT("'"&amp;$B53&amp;"'!$AF$6:$AF$205"),0))="","",INDEX(INDIRECT("'"&amp;$B53&amp;"'!$N$6:$N$205"),MATCH($AF53&amp;"|"&amp;K$5,INDIRECT("'"&amp;$B53&amp;"'!$AF$6:$AF$205"),0))),"-"))</f>
        <v/>
      </c>
      <c r="L53" s="37">
        <f>IF(OR(AD53="",L$5="-"),"",IFERROR(IF(INDEX(INDIRECT("'"&amp;$B53&amp;"'!$R$6:$R$205"),MATCH($AF53&amp;"|"&amp;L$5,INDIRECT("'"&amp;$B53&amp;"'!$AF$6:$AF$205"),0))="","",INDEX(INDIRECT("'"&amp;$B53&amp;"'!$R$6:$R$205"),MATCH($AF53&amp;"|"&amp;L$5,INDIRECT("'"&amp;$B53&amp;"'!$AF$6:$AF$205"),0))),"-"))</f>
        <v/>
      </c>
      <c r="M53" s="37">
        <f>IF(OR(AD53="",M$5="-"),"",IFERROR(IF(INDEX(INDIRECT("'"&amp;$B53&amp;"'!$R$6:$R$205"),MATCH($AF53&amp;"|"&amp;M$5,INDIRECT("'"&amp;$B53&amp;"'!$AF$6:$AF$205"),0))="","",INDEX(INDIRECT("'"&amp;$B53&amp;"'!$R$6:$R$205"),MATCH($AF53&amp;"|"&amp;M$5,INDIRECT("'"&amp;$B53&amp;"'!$AF$6:$AF$205"),0))),"-"))</f>
        <v/>
      </c>
      <c r="N53" s="37">
        <f>IF(OR(AD53="",N$5="-"),"",IFERROR(IF(INDEX(INDIRECT("'"&amp;$B53&amp;"'!$R$6:$R$205"),MATCH($AF53&amp;"|"&amp;N$5,INDIRECT("'"&amp;$B53&amp;"'!$AF$6:$AF$205"),0))="","",INDEX(INDIRECT("'"&amp;$B53&amp;"'!$R$6:$R$205"),MATCH($AF53&amp;"|"&amp;N$5,INDIRECT("'"&amp;$B53&amp;"'!$AF$6:$AF$205"),0))),"-"))</f>
        <v/>
      </c>
      <c r="O53" s="37">
        <f>IF(OR(AD53="",O$5="-"),"",IFERROR(IF(INDEX(INDIRECT("'"&amp;$B53&amp;"'!$R$6:$R$205"),MATCH($AF53&amp;"|"&amp;O$5,INDIRECT("'"&amp;$B53&amp;"'!$AF$6:$AF$205"),0))="","",INDEX(INDIRECT("'"&amp;$B53&amp;"'!$R$6:$R$205"),MATCH($AF53&amp;"|"&amp;O$5,INDIRECT("'"&amp;$B53&amp;"'!$AF$6:$AF$205"),0))),"-"))</f>
        <v/>
      </c>
      <c r="P53" s="38">
        <f>IF(OR(AD53="",P$5="-"),"",IFERROR(IF(INDEX(INDIRECT("'"&amp;$B53&amp;"'!$T$6:$T$205"),MATCH($AF53&amp;"|"&amp;P$5,INDIRECT("'"&amp;$B53&amp;"'!$AF$6:$AF$205"),0))="","",INDEX(INDIRECT("'"&amp;$B53&amp;"'!$T$6:$T$205"),MATCH($AF53&amp;"|"&amp;P$5,INDIRECT("'"&amp;$B53&amp;"'!$AF$6:$AF$205"),0))),"-"))</f>
        <v/>
      </c>
      <c r="Q53" s="38">
        <f>IF(OR(AD53="",Q$5="-"),"",IFERROR(IF(INDEX(INDIRECT("'"&amp;$B53&amp;"'!$T$6:$T$205"),MATCH($AF53&amp;"|"&amp;Q$5,INDIRECT("'"&amp;$B53&amp;"'!$AF$6:$AF$205"),0))="","",INDEX(INDIRECT("'"&amp;$B53&amp;"'!$T$6:$T$205"),MATCH($AF53&amp;"|"&amp;Q$5,INDIRECT("'"&amp;$B53&amp;"'!$AF$6:$AF$205"),0))),"-"))</f>
        <v/>
      </c>
      <c r="R53" s="38">
        <f>IF(OR(AD53="",R$5="-"),"",IFERROR(IF(INDEX(INDIRECT("'"&amp;$B53&amp;"'!$T$6:$T$205"),MATCH($AF53&amp;"|"&amp;R$5,INDIRECT("'"&amp;$B53&amp;"'!$AF$6:$AF$205"),0))="","",INDEX(INDIRECT("'"&amp;$B53&amp;"'!$T$6:$T$205"),MATCH($AF53&amp;"|"&amp;R$5,INDIRECT("'"&amp;$B53&amp;"'!$AF$6:$AF$205"),0))),"-"))</f>
        <v/>
      </c>
      <c r="S53" s="38">
        <f>IF(OR(AD53="",S$5="-"),"",IFERROR(IF(INDEX(INDIRECT("'"&amp;$B53&amp;"'!$T$6:$T$205"),MATCH($AF53&amp;"|"&amp;S$5,INDIRECT("'"&amp;$B53&amp;"'!$AF$6:$AF$205"),0))="","",INDEX(INDIRECT("'"&amp;$B53&amp;"'!$T$6:$T$205"),MATCH($AF53&amp;"|"&amp;S$5,INDIRECT("'"&amp;$B53&amp;"'!$AF$6:$AF$205"),0))),"-"))</f>
        <v/>
      </c>
      <c r="T53" s="35">
        <f>IF(U53="","",INDEX($L$5:$O$5,MATCH(U53,L53:O53,0)))</f>
        <v/>
      </c>
      <c r="U53" s="37">
        <f>IF(COUNT(L53:O53)=0,"",MIN(L53:O53))</f>
        <v/>
      </c>
      <c r="V53" s="39">
        <f>IF(U53="","",U53*F53)</f>
        <v/>
      </c>
      <c r="W53" s="39">
        <f>IF(COUNT(L53:O53)&lt;2,"",(MAX(L53:O53)-MIN(L53:O53))*F53)</f>
        <v/>
      </c>
      <c r="X53" s="20" t="n"/>
      <c r="AD53">
        <f>IF(48&gt;MAX($AB$6:$AB$9),"",COUNTIF($AB$6:$AB$9,"&lt;"&amp;48)+1)</f>
        <v/>
      </c>
      <c r="AE53">
        <f>IF(AD53="","",48-INDEX($AC$6:$AC$9,AD53))</f>
        <v/>
      </c>
      <c r="AF53">
        <f>IF(AD53="","",INDEX(INDIRECT("'"&amp;$B53&amp;"'!$AE$6:$AE$205"),MATCH(AE53,INDIRECT("'"&amp;$B53&amp;"'!$AI$6:$AI$205"),0)))</f>
        <v/>
      </c>
    </row>
    <row r="54">
      <c r="A54" s="34">
        <f>IF(AD54="","",49)</f>
        <v/>
      </c>
      <c r="B54" s="35">
        <f>IF(AD54="","",INDEX($Z$6:$Z$9,AD54))</f>
        <v/>
      </c>
      <c r="C54" s="34">
        <f>IF(AD54="","",INDEX(INDIRECT("'"&amp;$B54&amp;"'!$B$6:$B$205"),MATCH($AF54,INDIRECT("'"&amp;$B54&amp;"'!$AE$6:$AE$205"),0)))</f>
        <v/>
      </c>
      <c r="D54" s="34">
        <f>IF(AD54="","",INDEX(INDIRECT("'"&amp;$B54&amp;"'!$D$6:$D$205"),MATCH($AF54,INDIRECT("'"&amp;$B54&amp;"'!$AE$6:$AE$205"),0)))</f>
        <v/>
      </c>
      <c r="E54" s="36">
        <f>IF(AD54="","",INDEX(INDIRECT("'"&amp;$B54&amp;"'!$F$6:$F$205"),MATCH($AF54,INDIRECT("'"&amp;$B54&amp;"'!$AE$6:$AE$205"),0)))</f>
        <v/>
      </c>
      <c r="F54" s="34">
        <f>IF(AD54="","",INDEX(INDIRECT("'"&amp;$B54&amp;"'!$K$6:$K$205"),MATCH($AF54,INDIRECT("'"&amp;$B54&amp;"'!$AE$6:$AE$205"),0)))</f>
        <v/>
      </c>
      <c r="G54" s="34">
        <f>IF(AD54="","",INDEX(INDIRECT("'"&amp;$B54&amp;"'!$L$6:$L$205"),MATCH($AF54,INDIRECT("'"&amp;$B54&amp;"'!$AE$6:$AE$205"),0)))</f>
        <v/>
      </c>
      <c r="H54" s="34">
        <f>IF(OR(AD54="",H$5="-"),"",IFERROR(IF(INDEX(INDIRECT("'"&amp;$B54&amp;"'!$N$6:$N$205"),MATCH($AF54&amp;"|"&amp;H$5,INDIRECT("'"&amp;$B54&amp;"'!$AF$6:$AF$205"),0))="","",INDEX(INDIRECT("'"&amp;$B54&amp;"'!$N$6:$N$205"),MATCH($AF54&amp;"|"&amp;H$5,INDIRECT("'"&amp;$B54&amp;"'!$AF$6:$AF$205"),0))),"-"))</f>
        <v/>
      </c>
      <c r="I54" s="34">
        <f>IF(OR(AD54="",I$5="-"),"",IFERROR(IF(INDEX(INDIRECT("'"&amp;$B54&amp;"'!$N$6:$N$205"),MATCH($AF54&amp;"|"&amp;I$5,INDIRECT("'"&amp;$B54&amp;"'!$AF$6:$AF$205"),0))="","",INDEX(INDIRECT("'"&amp;$B54&amp;"'!$N$6:$N$205"),MATCH($AF54&amp;"|"&amp;I$5,INDIRECT("'"&amp;$B54&amp;"'!$AF$6:$AF$205"),0))),"-"))</f>
        <v/>
      </c>
      <c r="J54" s="34">
        <f>IF(OR(AD54="",J$5="-"),"",IFERROR(IF(INDEX(INDIRECT("'"&amp;$B54&amp;"'!$N$6:$N$205"),MATCH($AF54&amp;"|"&amp;J$5,INDIRECT("'"&amp;$B54&amp;"'!$AF$6:$AF$205"),0))="","",INDEX(INDIRECT("'"&amp;$B54&amp;"'!$N$6:$N$205"),MATCH($AF54&amp;"|"&amp;J$5,INDIRECT("'"&amp;$B54&amp;"'!$AF$6:$AF$205"),0))),"-"))</f>
        <v/>
      </c>
      <c r="K54" s="34">
        <f>IF(OR(AD54="",K$5="-"),"",IFERROR(IF(INDEX(INDIRECT("'"&amp;$B54&amp;"'!$N$6:$N$205"),MATCH($AF54&amp;"|"&amp;K$5,INDIRECT("'"&amp;$B54&amp;"'!$AF$6:$AF$205"),0))="","",INDEX(INDIRECT("'"&amp;$B54&amp;"'!$N$6:$N$205"),MATCH($AF54&amp;"|"&amp;K$5,INDIRECT("'"&amp;$B54&amp;"'!$AF$6:$AF$205"),0))),"-"))</f>
        <v/>
      </c>
      <c r="L54" s="37">
        <f>IF(OR(AD54="",L$5="-"),"",IFERROR(IF(INDEX(INDIRECT("'"&amp;$B54&amp;"'!$R$6:$R$205"),MATCH($AF54&amp;"|"&amp;L$5,INDIRECT("'"&amp;$B54&amp;"'!$AF$6:$AF$205"),0))="","",INDEX(INDIRECT("'"&amp;$B54&amp;"'!$R$6:$R$205"),MATCH($AF54&amp;"|"&amp;L$5,INDIRECT("'"&amp;$B54&amp;"'!$AF$6:$AF$205"),0))),"-"))</f>
        <v/>
      </c>
      <c r="M54" s="37">
        <f>IF(OR(AD54="",M$5="-"),"",IFERROR(IF(INDEX(INDIRECT("'"&amp;$B54&amp;"'!$R$6:$R$205"),MATCH($AF54&amp;"|"&amp;M$5,INDIRECT("'"&amp;$B54&amp;"'!$AF$6:$AF$205"),0))="","",INDEX(INDIRECT("'"&amp;$B54&amp;"'!$R$6:$R$205"),MATCH($AF54&amp;"|"&amp;M$5,INDIRECT("'"&amp;$B54&amp;"'!$AF$6:$AF$205"),0))),"-"))</f>
        <v/>
      </c>
      <c r="N54" s="37">
        <f>IF(OR(AD54="",N$5="-"),"",IFERROR(IF(INDEX(INDIRECT("'"&amp;$B54&amp;"'!$R$6:$R$205"),MATCH($AF54&amp;"|"&amp;N$5,INDIRECT("'"&amp;$B54&amp;"'!$AF$6:$AF$205"),0))="","",INDEX(INDIRECT("'"&amp;$B54&amp;"'!$R$6:$R$205"),MATCH($AF54&amp;"|"&amp;N$5,INDIRECT("'"&amp;$B54&amp;"'!$AF$6:$AF$205"),0))),"-"))</f>
        <v/>
      </c>
      <c r="O54" s="37">
        <f>IF(OR(AD54="",O$5="-"),"",IFERROR(IF(INDEX(INDIRECT("'"&amp;$B54&amp;"'!$R$6:$R$205"),MATCH($AF54&amp;"|"&amp;O$5,INDIRECT("'"&amp;$B54&amp;"'!$AF$6:$AF$205"),0))="","",INDEX(INDIRECT("'"&amp;$B54&amp;"'!$R$6:$R$205"),MATCH($AF54&amp;"|"&amp;O$5,INDIRECT("'"&amp;$B54&amp;"'!$AF$6:$AF$205"),0))),"-"))</f>
        <v/>
      </c>
      <c r="P54" s="38">
        <f>IF(OR(AD54="",P$5="-"),"",IFERROR(IF(INDEX(INDIRECT("'"&amp;$B54&amp;"'!$T$6:$T$205"),MATCH($AF54&amp;"|"&amp;P$5,INDIRECT("'"&amp;$B54&amp;"'!$AF$6:$AF$205"),0))="","",INDEX(INDIRECT("'"&amp;$B54&amp;"'!$T$6:$T$205"),MATCH($AF54&amp;"|"&amp;P$5,INDIRECT("'"&amp;$B54&amp;"'!$AF$6:$AF$205"),0))),"-"))</f>
        <v/>
      </c>
      <c r="Q54" s="38">
        <f>IF(OR(AD54="",Q$5="-"),"",IFERROR(IF(INDEX(INDIRECT("'"&amp;$B54&amp;"'!$T$6:$T$205"),MATCH($AF54&amp;"|"&amp;Q$5,INDIRECT("'"&amp;$B54&amp;"'!$AF$6:$AF$205"),0))="","",INDEX(INDIRECT("'"&amp;$B54&amp;"'!$T$6:$T$205"),MATCH($AF54&amp;"|"&amp;Q$5,INDIRECT("'"&amp;$B54&amp;"'!$AF$6:$AF$205"),0))),"-"))</f>
        <v/>
      </c>
      <c r="R54" s="38">
        <f>IF(OR(AD54="",R$5="-"),"",IFERROR(IF(INDEX(INDIRECT("'"&amp;$B54&amp;"'!$T$6:$T$205"),MATCH($AF54&amp;"|"&amp;R$5,INDIRECT("'"&amp;$B54&amp;"'!$AF$6:$AF$205"),0))="","",INDEX(INDIRECT("'"&amp;$B54&amp;"'!$T$6:$T$205"),MATCH($AF54&amp;"|"&amp;R$5,INDIRECT("'"&amp;$B54&amp;"'!$AF$6:$AF$205"),0))),"-"))</f>
        <v/>
      </c>
      <c r="S54" s="38">
        <f>IF(OR(AD54="",S$5="-"),"",IFERROR(IF(INDEX(INDIRECT("'"&amp;$B54&amp;"'!$T$6:$T$205"),MATCH($AF54&amp;"|"&amp;S$5,INDIRECT("'"&amp;$B54&amp;"'!$AF$6:$AF$205"),0))="","",INDEX(INDIRECT("'"&amp;$B54&amp;"'!$T$6:$T$205"),MATCH($AF54&amp;"|"&amp;S$5,INDIRECT("'"&amp;$B54&amp;"'!$AF$6:$AF$205"),0))),"-"))</f>
        <v/>
      </c>
      <c r="T54" s="35">
        <f>IF(U54="","",INDEX($L$5:$O$5,MATCH(U54,L54:O54,0)))</f>
        <v/>
      </c>
      <c r="U54" s="37">
        <f>IF(COUNT(L54:O54)=0,"",MIN(L54:O54))</f>
        <v/>
      </c>
      <c r="V54" s="39">
        <f>IF(U54="","",U54*F54)</f>
        <v/>
      </c>
      <c r="W54" s="39">
        <f>IF(COUNT(L54:O54)&lt;2,"",(MAX(L54:O54)-MIN(L54:O54))*F54)</f>
        <v/>
      </c>
      <c r="X54" s="20" t="n"/>
      <c r="AD54">
        <f>IF(49&gt;MAX($AB$6:$AB$9),"",COUNTIF($AB$6:$AB$9,"&lt;"&amp;49)+1)</f>
        <v/>
      </c>
      <c r="AE54">
        <f>IF(AD54="","",49-INDEX($AC$6:$AC$9,AD54))</f>
        <v/>
      </c>
      <c r="AF54">
        <f>IF(AD54="","",INDEX(INDIRECT("'"&amp;$B54&amp;"'!$AE$6:$AE$205"),MATCH(AE54,INDIRECT("'"&amp;$B54&amp;"'!$AI$6:$AI$205"),0)))</f>
        <v/>
      </c>
    </row>
    <row r="55">
      <c r="A55" s="34">
        <f>IF(AD55="","",50)</f>
        <v/>
      </c>
      <c r="B55" s="35">
        <f>IF(AD55="","",INDEX($Z$6:$Z$9,AD55))</f>
        <v/>
      </c>
      <c r="C55" s="34">
        <f>IF(AD55="","",INDEX(INDIRECT("'"&amp;$B55&amp;"'!$B$6:$B$205"),MATCH($AF55,INDIRECT("'"&amp;$B55&amp;"'!$AE$6:$AE$205"),0)))</f>
        <v/>
      </c>
      <c r="D55" s="34">
        <f>IF(AD55="","",INDEX(INDIRECT("'"&amp;$B55&amp;"'!$D$6:$D$205"),MATCH($AF55,INDIRECT("'"&amp;$B55&amp;"'!$AE$6:$AE$205"),0)))</f>
        <v/>
      </c>
      <c r="E55" s="36">
        <f>IF(AD55="","",INDEX(INDIRECT("'"&amp;$B55&amp;"'!$F$6:$F$205"),MATCH($AF55,INDIRECT("'"&amp;$B55&amp;"'!$AE$6:$AE$205"),0)))</f>
        <v/>
      </c>
      <c r="F55" s="34">
        <f>IF(AD55="","",INDEX(INDIRECT("'"&amp;$B55&amp;"'!$K$6:$K$205"),MATCH($AF55,INDIRECT("'"&amp;$B55&amp;"'!$AE$6:$AE$205"),0)))</f>
        <v/>
      </c>
      <c r="G55" s="34">
        <f>IF(AD55="","",INDEX(INDIRECT("'"&amp;$B55&amp;"'!$L$6:$L$205"),MATCH($AF55,INDIRECT("'"&amp;$B55&amp;"'!$AE$6:$AE$205"),0)))</f>
        <v/>
      </c>
      <c r="H55" s="34">
        <f>IF(OR(AD55="",H$5="-"),"",IFERROR(IF(INDEX(INDIRECT("'"&amp;$B55&amp;"'!$N$6:$N$205"),MATCH($AF55&amp;"|"&amp;H$5,INDIRECT("'"&amp;$B55&amp;"'!$AF$6:$AF$205"),0))="","",INDEX(INDIRECT("'"&amp;$B55&amp;"'!$N$6:$N$205"),MATCH($AF55&amp;"|"&amp;H$5,INDIRECT("'"&amp;$B55&amp;"'!$AF$6:$AF$205"),0))),"-"))</f>
        <v/>
      </c>
      <c r="I55" s="34">
        <f>IF(OR(AD55="",I$5="-"),"",IFERROR(IF(INDEX(INDIRECT("'"&amp;$B55&amp;"'!$N$6:$N$205"),MATCH($AF55&amp;"|"&amp;I$5,INDIRECT("'"&amp;$B55&amp;"'!$AF$6:$AF$205"),0))="","",INDEX(INDIRECT("'"&amp;$B55&amp;"'!$N$6:$N$205"),MATCH($AF55&amp;"|"&amp;I$5,INDIRECT("'"&amp;$B55&amp;"'!$AF$6:$AF$205"),0))),"-"))</f>
        <v/>
      </c>
      <c r="J55" s="34">
        <f>IF(OR(AD55="",J$5="-"),"",IFERROR(IF(INDEX(INDIRECT("'"&amp;$B55&amp;"'!$N$6:$N$205"),MATCH($AF55&amp;"|"&amp;J$5,INDIRECT("'"&amp;$B55&amp;"'!$AF$6:$AF$205"),0))="","",INDEX(INDIRECT("'"&amp;$B55&amp;"'!$N$6:$N$205"),MATCH($AF55&amp;"|"&amp;J$5,INDIRECT("'"&amp;$B55&amp;"'!$AF$6:$AF$205"),0))),"-"))</f>
        <v/>
      </c>
      <c r="K55" s="34">
        <f>IF(OR(AD55="",K$5="-"),"",IFERROR(IF(INDEX(INDIRECT("'"&amp;$B55&amp;"'!$N$6:$N$205"),MATCH($AF55&amp;"|"&amp;K$5,INDIRECT("'"&amp;$B55&amp;"'!$AF$6:$AF$205"),0))="","",INDEX(INDIRECT("'"&amp;$B55&amp;"'!$N$6:$N$205"),MATCH($AF55&amp;"|"&amp;K$5,INDIRECT("'"&amp;$B55&amp;"'!$AF$6:$AF$205"),0))),"-"))</f>
        <v/>
      </c>
      <c r="L55" s="37">
        <f>IF(OR(AD55="",L$5="-"),"",IFERROR(IF(INDEX(INDIRECT("'"&amp;$B55&amp;"'!$R$6:$R$205"),MATCH($AF55&amp;"|"&amp;L$5,INDIRECT("'"&amp;$B55&amp;"'!$AF$6:$AF$205"),0))="","",INDEX(INDIRECT("'"&amp;$B55&amp;"'!$R$6:$R$205"),MATCH($AF55&amp;"|"&amp;L$5,INDIRECT("'"&amp;$B55&amp;"'!$AF$6:$AF$205"),0))),"-"))</f>
        <v/>
      </c>
      <c r="M55" s="37">
        <f>IF(OR(AD55="",M$5="-"),"",IFERROR(IF(INDEX(INDIRECT("'"&amp;$B55&amp;"'!$R$6:$R$205"),MATCH($AF55&amp;"|"&amp;M$5,INDIRECT("'"&amp;$B55&amp;"'!$AF$6:$AF$205"),0))="","",INDEX(INDIRECT("'"&amp;$B55&amp;"'!$R$6:$R$205"),MATCH($AF55&amp;"|"&amp;M$5,INDIRECT("'"&amp;$B55&amp;"'!$AF$6:$AF$205"),0))),"-"))</f>
        <v/>
      </c>
      <c r="N55" s="37">
        <f>IF(OR(AD55="",N$5="-"),"",IFERROR(IF(INDEX(INDIRECT("'"&amp;$B55&amp;"'!$R$6:$R$205"),MATCH($AF55&amp;"|"&amp;N$5,INDIRECT("'"&amp;$B55&amp;"'!$AF$6:$AF$205"),0))="","",INDEX(INDIRECT("'"&amp;$B55&amp;"'!$R$6:$R$205"),MATCH($AF55&amp;"|"&amp;N$5,INDIRECT("'"&amp;$B55&amp;"'!$AF$6:$AF$205"),0))),"-"))</f>
        <v/>
      </c>
      <c r="O55" s="37">
        <f>IF(OR(AD55="",O$5="-"),"",IFERROR(IF(INDEX(INDIRECT("'"&amp;$B55&amp;"'!$R$6:$R$205"),MATCH($AF55&amp;"|"&amp;O$5,INDIRECT("'"&amp;$B55&amp;"'!$AF$6:$AF$205"),0))="","",INDEX(INDIRECT("'"&amp;$B55&amp;"'!$R$6:$R$205"),MATCH($AF55&amp;"|"&amp;O$5,INDIRECT("'"&amp;$B55&amp;"'!$AF$6:$AF$205"),0))),"-"))</f>
        <v/>
      </c>
      <c r="P55" s="38">
        <f>IF(OR(AD55="",P$5="-"),"",IFERROR(IF(INDEX(INDIRECT("'"&amp;$B55&amp;"'!$T$6:$T$205"),MATCH($AF55&amp;"|"&amp;P$5,INDIRECT("'"&amp;$B55&amp;"'!$AF$6:$AF$205"),0))="","",INDEX(INDIRECT("'"&amp;$B55&amp;"'!$T$6:$T$205"),MATCH($AF55&amp;"|"&amp;P$5,INDIRECT("'"&amp;$B55&amp;"'!$AF$6:$AF$205"),0))),"-"))</f>
        <v/>
      </c>
      <c r="Q55" s="38">
        <f>IF(OR(AD55="",Q$5="-"),"",IFERROR(IF(INDEX(INDIRECT("'"&amp;$B55&amp;"'!$T$6:$T$205"),MATCH($AF55&amp;"|"&amp;Q$5,INDIRECT("'"&amp;$B55&amp;"'!$AF$6:$AF$205"),0))="","",INDEX(INDIRECT("'"&amp;$B55&amp;"'!$T$6:$T$205"),MATCH($AF55&amp;"|"&amp;Q$5,INDIRECT("'"&amp;$B55&amp;"'!$AF$6:$AF$205"),0))),"-"))</f>
        <v/>
      </c>
      <c r="R55" s="38">
        <f>IF(OR(AD55="",R$5="-"),"",IFERROR(IF(INDEX(INDIRECT("'"&amp;$B55&amp;"'!$T$6:$T$205"),MATCH($AF55&amp;"|"&amp;R$5,INDIRECT("'"&amp;$B55&amp;"'!$AF$6:$AF$205"),0))="","",INDEX(INDIRECT("'"&amp;$B55&amp;"'!$T$6:$T$205"),MATCH($AF55&amp;"|"&amp;R$5,INDIRECT("'"&amp;$B55&amp;"'!$AF$6:$AF$205"),0))),"-"))</f>
        <v/>
      </c>
      <c r="S55" s="38">
        <f>IF(OR(AD55="",S$5="-"),"",IFERROR(IF(INDEX(INDIRECT("'"&amp;$B55&amp;"'!$T$6:$T$205"),MATCH($AF55&amp;"|"&amp;S$5,INDIRECT("'"&amp;$B55&amp;"'!$AF$6:$AF$205"),0))="","",INDEX(INDIRECT("'"&amp;$B55&amp;"'!$T$6:$T$205"),MATCH($AF55&amp;"|"&amp;S$5,INDIRECT("'"&amp;$B55&amp;"'!$AF$6:$AF$205"),0))),"-"))</f>
        <v/>
      </c>
      <c r="T55" s="35">
        <f>IF(U55="","",INDEX($L$5:$O$5,MATCH(U55,L55:O55,0)))</f>
        <v/>
      </c>
      <c r="U55" s="37">
        <f>IF(COUNT(L55:O55)=0,"",MIN(L55:O55))</f>
        <v/>
      </c>
      <c r="V55" s="39">
        <f>IF(U55="","",U55*F55)</f>
        <v/>
      </c>
      <c r="W55" s="39">
        <f>IF(COUNT(L55:O55)&lt;2,"",(MAX(L55:O55)-MIN(L55:O55))*F55)</f>
        <v/>
      </c>
      <c r="X55" s="20" t="n"/>
      <c r="AD55">
        <f>IF(50&gt;MAX($AB$6:$AB$9),"",COUNTIF($AB$6:$AB$9,"&lt;"&amp;50)+1)</f>
        <v/>
      </c>
      <c r="AE55">
        <f>IF(AD55="","",50-INDEX($AC$6:$AC$9,AD55))</f>
        <v/>
      </c>
      <c r="AF55">
        <f>IF(AD55="","",INDEX(INDIRECT("'"&amp;$B55&amp;"'!$AE$6:$AE$205"),MATCH(AE55,INDIRECT("'"&amp;$B55&amp;"'!$AI$6:$AI$205"),0)))</f>
        <v/>
      </c>
    </row>
    <row r="56">
      <c r="A56" s="34">
        <f>IF(AD56="","",51)</f>
        <v/>
      </c>
      <c r="B56" s="35">
        <f>IF(AD56="","",INDEX($Z$6:$Z$9,AD56))</f>
        <v/>
      </c>
      <c r="C56" s="34">
        <f>IF(AD56="","",INDEX(INDIRECT("'"&amp;$B56&amp;"'!$B$6:$B$205"),MATCH($AF56,INDIRECT("'"&amp;$B56&amp;"'!$AE$6:$AE$205"),0)))</f>
        <v/>
      </c>
      <c r="D56" s="34">
        <f>IF(AD56="","",INDEX(INDIRECT("'"&amp;$B56&amp;"'!$D$6:$D$205"),MATCH($AF56,INDIRECT("'"&amp;$B56&amp;"'!$AE$6:$AE$205"),0)))</f>
        <v/>
      </c>
      <c r="E56" s="36">
        <f>IF(AD56="","",INDEX(INDIRECT("'"&amp;$B56&amp;"'!$F$6:$F$205"),MATCH($AF56,INDIRECT("'"&amp;$B56&amp;"'!$AE$6:$AE$205"),0)))</f>
        <v/>
      </c>
      <c r="F56" s="34">
        <f>IF(AD56="","",INDEX(INDIRECT("'"&amp;$B56&amp;"'!$K$6:$K$205"),MATCH($AF56,INDIRECT("'"&amp;$B56&amp;"'!$AE$6:$AE$205"),0)))</f>
        <v/>
      </c>
      <c r="G56" s="34">
        <f>IF(AD56="","",INDEX(INDIRECT("'"&amp;$B56&amp;"'!$L$6:$L$205"),MATCH($AF56,INDIRECT("'"&amp;$B56&amp;"'!$AE$6:$AE$205"),0)))</f>
        <v/>
      </c>
      <c r="H56" s="34">
        <f>IF(OR(AD56="",H$5="-"),"",IFERROR(IF(INDEX(INDIRECT("'"&amp;$B56&amp;"'!$N$6:$N$205"),MATCH($AF56&amp;"|"&amp;H$5,INDIRECT("'"&amp;$B56&amp;"'!$AF$6:$AF$205"),0))="","",INDEX(INDIRECT("'"&amp;$B56&amp;"'!$N$6:$N$205"),MATCH($AF56&amp;"|"&amp;H$5,INDIRECT("'"&amp;$B56&amp;"'!$AF$6:$AF$205"),0))),"-"))</f>
        <v/>
      </c>
      <c r="I56" s="34">
        <f>IF(OR(AD56="",I$5="-"),"",IFERROR(IF(INDEX(INDIRECT("'"&amp;$B56&amp;"'!$N$6:$N$205"),MATCH($AF56&amp;"|"&amp;I$5,INDIRECT("'"&amp;$B56&amp;"'!$AF$6:$AF$205"),0))="","",INDEX(INDIRECT("'"&amp;$B56&amp;"'!$N$6:$N$205"),MATCH($AF56&amp;"|"&amp;I$5,INDIRECT("'"&amp;$B56&amp;"'!$AF$6:$AF$205"),0))),"-"))</f>
        <v/>
      </c>
      <c r="J56" s="34">
        <f>IF(OR(AD56="",J$5="-"),"",IFERROR(IF(INDEX(INDIRECT("'"&amp;$B56&amp;"'!$N$6:$N$205"),MATCH($AF56&amp;"|"&amp;J$5,INDIRECT("'"&amp;$B56&amp;"'!$AF$6:$AF$205"),0))="","",INDEX(INDIRECT("'"&amp;$B56&amp;"'!$N$6:$N$205"),MATCH($AF56&amp;"|"&amp;J$5,INDIRECT("'"&amp;$B56&amp;"'!$AF$6:$AF$205"),0))),"-"))</f>
        <v/>
      </c>
      <c r="K56" s="34">
        <f>IF(OR(AD56="",K$5="-"),"",IFERROR(IF(INDEX(INDIRECT("'"&amp;$B56&amp;"'!$N$6:$N$205"),MATCH($AF56&amp;"|"&amp;K$5,INDIRECT("'"&amp;$B56&amp;"'!$AF$6:$AF$205"),0))="","",INDEX(INDIRECT("'"&amp;$B56&amp;"'!$N$6:$N$205"),MATCH($AF56&amp;"|"&amp;K$5,INDIRECT("'"&amp;$B56&amp;"'!$AF$6:$AF$205"),0))),"-"))</f>
        <v/>
      </c>
      <c r="L56" s="37">
        <f>IF(OR(AD56="",L$5="-"),"",IFERROR(IF(INDEX(INDIRECT("'"&amp;$B56&amp;"'!$R$6:$R$205"),MATCH($AF56&amp;"|"&amp;L$5,INDIRECT("'"&amp;$B56&amp;"'!$AF$6:$AF$205"),0))="","",INDEX(INDIRECT("'"&amp;$B56&amp;"'!$R$6:$R$205"),MATCH($AF56&amp;"|"&amp;L$5,INDIRECT("'"&amp;$B56&amp;"'!$AF$6:$AF$205"),0))),"-"))</f>
        <v/>
      </c>
      <c r="M56" s="37">
        <f>IF(OR(AD56="",M$5="-"),"",IFERROR(IF(INDEX(INDIRECT("'"&amp;$B56&amp;"'!$R$6:$R$205"),MATCH($AF56&amp;"|"&amp;M$5,INDIRECT("'"&amp;$B56&amp;"'!$AF$6:$AF$205"),0))="","",INDEX(INDIRECT("'"&amp;$B56&amp;"'!$R$6:$R$205"),MATCH($AF56&amp;"|"&amp;M$5,INDIRECT("'"&amp;$B56&amp;"'!$AF$6:$AF$205"),0))),"-"))</f>
        <v/>
      </c>
      <c r="N56" s="37">
        <f>IF(OR(AD56="",N$5="-"),"",IFERROR(IF(INDEX(INDIRECT("'"&amp;$B56&amp;"'!$R$6:$R$205"),MATCH($AF56&amp;"|"&amp;N$5,INDIRECT("'"&amp;$B56&amp;"'!$AF$6:$AF$205"),0))="","",INDEX(INDIRECT("'"&amp;$B56&amp;"'!$R$6:$R$205"),MATCH($AF56&amp;"|"&amp;N$5,INDIRECT("'"&amp;$B56&amp;"'!$AF$6:$AF$205"),0))),"-"))</f>
        <v/>
      </c>
      <c r="O56" s="37">
        <f>IF(OR(AD56="",O$5="-"),"",IFERROR(IF(INDEX(INDIRECT("'"&amp;$B56&amp;"'!$R$6:$R$205"),MATCH($AF56&amp;"|"&amp;O$5,INDIRECT("'"&amp;$B56&amp;"'!$AF$6:$AF$205"),0))="","",INDEX(INDIRECT("'"&amp;$B56&amp;"'!$R$6:$R$205"),MATCH($AF56&amp;"|"&amp;O$5,INDIRECT("'"&amp;$B56&amp;"'!$AF$6:$AF$205"),0))),"-"))</f>
        <v/>
      </c>
      <c r="P56" s="38">
        <f>IF(OR(AD56="",P$5="-"),"",IFERROR(IF(INDEX(INDIRECT("'"&amp;$B56&amp;"'!$T$6:$T$205"),MATCH($AF56&amp;"|"&amp;P$5,INDIRECT("'"&amp;$B56&amp;"'!$AF$6:$AF$205"),0))="","",INDEX(INDIRECT("'"&amp;$B56&amp;"'!$T$6:$T$205"),MATCH($AF56&amp;"|"&amp;P$5,INDIRECT("'"&amp;$B56&amp;"'!$AF$6:$AF$205"),0))),"-"))</f>
        <v/>
      </c>
      <c r="Q56" s="38">
        <f>IF(OR(AD56="",Q$5="-"),"",IFERROR(IF(INDEX(INDIRECT("'"&amp;$B56&amp;"'!$T$6:$T$205"),MATCH($AF56&amp;"|"&amp;Q$5,INDIRECT("'"&amp;$B56&amp;"'!$AF$6:$AF$205"),0))="","",INDEX(INDIRECT("'"&amp;$B56&amp;"'!$T$6:$T$205"),MATCH($AF56&amp;"|"&amp;Q$5,INDIRECT("'"&amp;$B56&amp;"'!$AF$6:$AF$205"),0))),"-"))</f>
        <v/>
      </c>
      <c r="R56" s="38">
        <f>IF(OR(AD56="",R$5="-"),"",IFERROR(IF(INDEX(INDIRECT("'"&amp;$B56&amp;"'!$T$6:$T$205"),MATCH($AF56&amp;"|"&amp;R$5,INDIRECT("'"&amp;$B56&amp;"'!$AF$6:$AF$205"),0))="","",INDEX(INDIRECT("'"&amp;$B56&amp;"'!$T$6:$T$205"),MATCH($AF56&amp;"|"&amp;R$5,INDIRECT("'"&amp;$B56&amp;"'!$AF$6:$AF$205"),0))),"-"))</f>
        <v/>
      </c>
      <c r="S56" s="38">
        <f>IF(OR(AD56="",S$5="-"),"",IFERROR(IF(INDEX(INDIRECT("'"&amp;$B56&amp;"'!$T$6:$T$205"),MATCH($AF56&amp;"|"&amp;S$5,INDIRECT("'"&amp;$B56&amp;"'!$AF$6:$AF$205"),0))="","",INDEX(INDIRECT("'"&amp;$B56&amp;"'!$T$6:$T$205"),MATCH($AF56&amp;"|"&amp;S$5,INDIRECT("'"&amp;$B56&amp;"'!$AF$6:$AF$205"),0))),"-"))</f>
        <v/>
      </c>
      <c r="T56" s="35">
        <f>IF(U56="","",INDEX($L$5:$O$5,MATCH(U56,L56:O56,0)))</f>
        <v/>
      </c>
      <c r="U56" s="37">
        <f>IF(COUNT(L56:O56)=0,"",MIN(L56:O56))</f>
        <v/>
      </c>
      <c r="V56" s="39">
        <f>IF(U56="","",U56*F56)</f>
        <v/>
      </c>
      <c r="W56" s="39">
        <f>IF(COUNT(L56:O56)&lt;2,"",(MAX(L56:O56)-MIN(L56:O56))*F56)</f>
        <v/>
      </c>
      <c r="X56" s="20" t="n"/>
      <c r="AD56">
        <f>IF(51&gt;MAX($AB$6:$AB$9),"",COUNTIF($AB$6:$AB$9,"&lt;"&amp;51)+1)</f>
        <v/>
      </c>
      <c r="AE56">
        <f>IF(AD56="","",51-INDEX($AC$6:$AC$9,AD56))</f>
        <v/>
      </c>
      <c r="AF56">
        <f>IF(AD56="","",INDEX(INDIRECT("'"&amp;$B56&amp;"'!$AE$6:$AE$205"),MATCH(AE56,INDIRECT("'"&amp;$B56&amp;"'!$AI$6:$AI$205"),0)))</f>
        <v/>
      </c>
    </row>
    <row r="57">
      <c r="A57" s="34">
        <f>IF(AD57="","",52)</f>
        <v/>
      </c>
      <c r="B57" s="35">
        <f>IF(AD57="","",INDEX($Z$6:$Z$9,AD57))</f>
        <v/>
      </c>
      <c r="C57" s="34">
        <f>IF(AD57="","",INDEX(INDIRECT("'"&amp;$B57&amp;"'!$B$6:$B$205"),MATCH($AF57,INDIRECT("'"&amp;$B57&amp;"'!$AE$6:$AE$205"),0)))</f>
        <v/>
      </c>
      <c r="D57" s="34">
        <f>IF(AD57="","",INDEX(INDIRECT("'"&amp;$B57&amp;"'!$D$6:$D$205"),MATCH($AF57,INDIRECT("'"&amp;$B57&amp;"'!$AE$6:$AE$205"),0)))</f>
        <v/>
      </c>
      <c r="E57" s="36">
        <f>IF(AD57="","",INDEX(INDIRECT("'"&amp;$B57&amp;"'!$F$6:$F$205"),MATCH($AF57,INDIRECT("'"&amp;$B57&amp;"'!$AE$6:$AE$205"),0)))</f>
        <v/>
      </c>
      <c r="F57" s="34">
        <f>IF(AD57="","",INDEX(INDIRECT("'"&amp;$B57&amp;"'!$K$6:$K$205"),MATCH($AF57,INDIRECT("'"&amp;$B57&amp;"'!$AE$6:$AE$205"),0)))</f>
        <v/>
      </c>
      <c r="G57" s="34">
        <f>IF(AD57="","",INDEX(INDIRECT("'"&amp;$B57&amp;"'!$L$6:$L$205"),MATCH($AF57,INDIRECT("'"&amp;$B57&amp;"'!$AE$6:$AE$205"),0)))</f>
        <v/>
      </c>
      <c r="H57" s="34">
        <f>IF(OR(AD57="",H$5="-"),"",IFERROR(IF(INDEX(INDIRECT("'"&amp;$B57&amp;"'!$N$6:$N$205"),MATCH($AF57&amp;"|"&amp;H$5,INDIRECT("'"&amp;$B57&amp;"'!$AF$6:$AF$205"),0))="","",INDEX(INDIRECT("'"&amp;$B57&amp;"'!$N$6:$N$205"),MATCH($AF57&amp;"|"&amp;H$5,INDIRECT("'"&amp;$B57&amp;"'!$AF$6:$AF$205"),0))),"-"))</f>
        <v/>
      </c>
      <c r="I57" s="34">
        <f>IF(OR(AD57="",I$5="-"),"",IFERROR(IF(INDEX(INDIRECT("'"&amp;$B57&amp;"'!$N$6:$N$205"),MATCH($AF57&amp;"|"&amp;I$5,INDIRECT("'"&amp;$B57&amp;"'!$AF$6:$AF$205"),0))="","",INDEX(INDIRECT("'"&amp;$B57&amp;"'!$N$6:$N$205"),MATCH($AF57&amp;"|"&amp;I$5,INDIRECT("'"&amp;$B57&amp;"'!$AF$6:$AF$205"),0))),"-"))</f>
        <v/>
      </c>
      <c r="J57" s="34">
        <f>IF(OR(AD57="",J$5="-"),"",IFERROR(IF(INDEX(INDIRECT("'"&amp;$B57&amp;"'!$N$6:$N$205"),MATCH($AF57&amp;"|"&amp;J$5,INDIRECT("'"&amp;$B57&amp;"'!$AF$6:$AF$205"),0))="","",INDEX(INDIRECT("'"&amp;$B57&amp;"'!$N$6:$N$205"),MATCH($AF57&amp;"|"&amp;J$5,INDIRECT("'"&amp;$B57&amp;"'!$AF$6:$AF$205"),0))),"-"))</f>
        <v/>
      </c>
      <c r="K57" s="34">
        <f>IF(OR(AD57="",K$5="-"),"",IFERROR(IF(INDEX(INDIRECT("'"&amp;$B57&amp;"'!$N$6:$N$205"),MATCH($AF57&amp;"|"&amp;K$5,INDIRECT("'"&amp;$B57&amp;"'!$AF$6:$AF$205"),0))="","",INDEX(INDIRECT("'"&amp;$B57&amp;"'!$N$6:$N$205"),MATCH($AF57&amp;"|"&amp;K$5,INDIRECT("'"&amp;$B57&amp;"'!$AF$6:$AF$205"),0))),"-"))</f>
        <v/>
      </c>
      <c r="L57" s="37">
        <f>IF(OR(AD57="",L$5="-"),"",IFERROR(IF(INDEX(INDIRECT("'"&amp;$B57&amp;"'!$R$6:$R$205"),MATCH($AF57&amp;"|"&amp;L$5,INDIRECT("'"&amp;$B57&amp;"'!$AF$6:$AF$205"),0))="","",INDEX(INDIRECT("'"&amp;$B57&amp;"'!$R$6:$R$205"),MATCH($AF57&amp;"|"&amp;L$5,INDIRECT("'"&amp;$B57&amp;"'!$AF$6:$AF$205"),0))),"-"))</f>
        <v/>
      </c>
      <c r="M57" s="37">
        <f>IF(OR(AD57="",M$5="-"),"",IFERROR(IF(INDEX(INDIRECT("'"&amp;$B57&amp;"'!$R$6:$R$205"),MATCH($AF57&amp;"|"&amp;M$5,INDIRECT("'"&amp;$B57&amp;"'!$AF$6:$AF$205"),0))="","",INDEX(INDIRECT("'"&amp;$B57&amp;"'!$R$6:$R$205"),MATCH($AF57&amp;"|"&amp;M$5,INDIRECT("'"&amp;$B57&amp;"'!$AF$6:$AF$205"),0))),"-"))</f>
        <v/>
      </c>
      <c r="N57" s="37">
        <f>IF(OR(AD57="",N$5="-"),"",IFERROR(IF(INDEX(INDIRECT("'"&amp;$B57&amp;"'!$R$6:$R$205"),MATCH($AF57&amp;"|"&amp;N$5,INDIRECT("'"&amp;$B57&amp;"'!$AF$6:$AF$205"),0))="","",INDEX(INDIRECT("'"&amp;$B57&amp;"'!$R$6:$R$205"),MATCH($AF57&amp;"|"&amp;N$5,INDIRECT("'"&amp;$B57&amp;"'!$AF$6:$AF$205"),0))),"-"))</f>
        <v/>
      </c>
      <c r="O57" s="37">
        <f>IF(OR(AD57="",O$5="-"),"",IFERROR(IF(INDEX(INDIRECT("'"&amp;$B57&amp;"'!$R$6:$R$205"),MATCH($AF57&amp;"|"&amp;O$5,INDIRECT("'"&amp;$B57&amp;"'!$AF$6:$AF$205"),0))="","",INDEX(INDIRECT("'"&amp;$B57&amp;"'!$R$6:$R$205"),MATCH($AF57&amp;"|"&amp;O$5,INDIRECT("'"&amp;$B57&amp;"'!$AF$6:$AF$205"),0))),"-"))</f>
        <v/>
      </c>
      <c r="P57" s="38">
        <f>IF(OR(AD57="",P$5="-"),"",IFERROR(IF(INDEX(INDIRECT("'"&amp;$B57&amp;"'!$T$6:$T$205"),MATCH($AF57&amp;"|"&amp;P$5,INDIRECT("'"&amp;$B57&amp;"'!$AF$6:$AF$205"),0))="","",INDEX(INDIRECT("'"&amp;$B57&amp;"'!$T$6:$T$205"),MATCH($AF57&amp;"|"&amp;P$5,INDIRECT("'"&amp;$B57&amp;"'!$AF$6:$AF$205"),0))),"-"))</f>
        <v/>
      </c>
      <c r="Q57" s="38">
        <f>IF(OR(AD57="",Q$5="-"),"",IFERROR(IF(INDEX(INDIRECT("'"&amp;$B57&amp;"'!$T$6:$T$205"),MATCH($AF57&amp;"|"&amp;Q$5,INDIRECT("'"&amp;$B57&amp;"'!$AF$6:$AF$205"),0))="","",INDEX(INDIRECT("'"&amp;$B57&amp;"'!$T$6:$T$205"),MATCH($AF57&amp;"|"&amp;Q$5,INDIRECT("'"&amp;$B57&amp;"'!$AF$6:$AF$205"),0))),"-"))</f>
        <v/>
      </c>
      <c r="R57" s="38">
        <f>IF(OR(AD57="",R$5="-"),"",IFERROR(IF(INDEX(INDIRECT("'"&amp;$B57&amp;"'!$T$6:$T$205"),MATCH($AF57&amp;"|"&amp;R$5,INDIRECT("'"&amp;$B57&amp;"'!$AF$6:$AF$205"),0))="","",INDEX(INDIRECT("'"&amp;$B57&amp;"'!$T$6:$T$205"),MATCH($AF57&amp;"|"&amp;R$5,INDIRECT("'"&amp;$B57&amp;"'!$AF$6:$AF$205"),0))),"-"))</f>
        <v/>
      </c>
      <c r="S57" s="38">
        <f>IF(OR(AD57="",S$5="-"),"",IFERROR(IF(INDEX(INDIRECT("'"&amp;$B57&amp;"'!$T$6:$T$205"),MATCH($AF57&amp;"|"&amp;S$5,INDIRECT("'"&amp;$B57&amp;"'!$AF$6:$AF$205"),0))="","",INDEX(INDIRECT("'"&amp;$B57&amp;"'!$T$6:$T$205"),MATCH($AF57&amp;"|"&amp;S$5,INDIRECT("'"&amp;$B57&amp;"'!$AF$6:$AF$205"),0))),"-"))</f>
        <v/>
      </c>
      <c r="T57" s="35">
        <f>IF(U57="","",INDEX($L$5:$O$5,MATCH(U57,L57:O57,0)))</f>
        <v/>
      </c>
      <c r="U57" s="37">
        <f>IF(COUNT(L57:O57)=0,"",MIN(L57:O57))</f>
        <v/>
      </c>
      <c r="V57" s="39">
        <f>IF(U57="","",U57*F57)</f>
        <v/>
      </c>
      <c r="W57" s="39">
        <f>IF(COUNT(L57:O57)&lt;2,"",(MAX(L57:O57)-MIN(L57:O57))*F57)</f>
        <v/>
      </c>
      <c r="X57" s="20" t="n"/>
      <c r="AD57">
        <f>IF(52&gt;MAX($AB$6:$AB$9),"",COUNTIF($AB$6:$AB$9,"&lt;"&amp;52)+1)</f>
        <v/>
      </c>
      <c r="AE57">
        <f>IF(AD57="","",52-INDEX($AC$6:$AC$9,AD57))</f>
        <v/>
      </c>
      <c r="AF57">
        <f>IF(AD57="","",INDEX(INDIRECT("'"&amp;$B57&amp;"'!$AE$6:$AE$205"),MATCH(AE57,INDIRECT("'"&amp;$B57&amp;"'!$AI$6:$AI$205"),0)))</f>
        <v/>
      </c>
    </row>
    <row r="58">
      <c r="A58" s="34">
        <f>IF(AD58="","",53)</f>
        <v/>
      </c>
      <c r="B58" s="35">
        <f>IF(AD58="","",INDEX($Z$6:$Z$9,AD58))</f>
        <v/>
      </c>
      <c r="C58" s="34">
        <f>IF(AD58="","",INDEX(INDIRECT("'"&amp;$B58&amp;"'!$B$6:$B$205"),MATCH($AF58,INDIRECT("'"&amp;$B58&amp;"'!$AE$6:$AE$205"),0)))</f>
        <v/>
      </c>
      <c r="D58" s="34">
        <f>IF(AD58="","",INDEX(INDIRECT("'"&amp;$B58&amp;"'!$D$6:$D$205"),MATCH($AF58,INDIRECT("'"&amp;$B58&amp;"'!$AE$6:$AE$205"),0)))</f>
        <v/>
      </c>
      <c r="E58" s="36">
        <f>IF(AD58="","",INDEX(INDIRECT("'"&amp;$B58&amp;"'!$F$6:$F$205"),MATCH($AF58,INDIRECT("'"&amp;$B58&amp;"'!$AE$6:$AE$205"),0)))</f>
        <v/>
      </c>
      <c r="F58" s="34">
        <f>IF(AD58="","",INDEX(INDIRECT("'"&amp;$B58&amp;"'!$K$6:$K$205"),MATCH($AF58,INDIRECT("'"&amp;$B58&amp;"'!$AE$6:$AE$205"),0)))</f>
        <v/>
      </c>
      <c r="G58" s="34">
        <f>IF(AD58="","",INDEX(INDIRECT("'"&amp;$B58&amp;"'!$L$6:$L$205"),MATCH($AF58,INDIRECT("'"&amp;$B58&amp;"'!$AE$6:$AE$205"),0)))</f>
        <v/>
      </c>
      <c r="H58" s="34">
        <f>IF(OR(AD58="",H$5="-"),"",IFERROR(IF(INDEX(INDIRECT("'"&amp;$B58&amp;"'!$N$6:$N$205"),MATCH($AF58&amp;"|"&amp;H$5,INDIRECT("'"&amp;$B58&amp;"'!$AF$6:$AF$205"),0))="","",INDEX(INDIRECT("'"&amp;$B58&amp;"'!$N$6:$N$205"),MATCH($AF58&amp;"|"&amp;H$5,INDIRECT("'"&amp;$B58&amp;"'!$AF$6:$AF$205"),0))),"-"))</f>
        <v/>
      </c>
      <c r="I58" s="34">
        <f>IF(OR(AD58="",I$5="-"),"",IFERROR(IF(INDEX(INDIRECT("'"&amp;$B58&amp;"'!$N$6:$N$205"),MATCH($AF58&amp;"|"&amp;I$5,INDIRECT("'"&amp;$B58&amp;"'!$AF$6:$AF$205"),0))="","",INDEX(INDIRECT("'"&amp;$B58&amp;"'!$N$6:$N$205"),MATCH($AF58&amp;"|"&amp;I$5,INDIRECT("'"&amp;$B58&amp;"'!$AF$6:$AF$205"),0))),"-"))</f>
        <v/>
      </c>
      <c r="J58" s="34">
        <f>IF(OR(AD58="",J$5="-"),"",IFERROR(IF(INDEX(INDIRECT("'"&amp;$B58&amp;"'!$N$6:$N$205"),MATCH($AF58&amp;"|"&amp;J$5,INDIRECT("'"&amp;$B58&amp;"'!$AF$6:$AF$205"),0))="","",INDEX(INDIRECT("'"&amp;$B58&amp;"'!$N$6:$N$205"),MATCH($AF58&amp;"|"&amp;J$5,INDIRECT("'"&amp;$B58&amp;"'!$AF$6:$AF$205"),0))),"-"))</f>
        <v/>
      </c>
      <c r="K58" s="34">
        <f>IF(OR(AD58="",K$5="-"),"",IFERROR(IF(INDEX(INDIRECT("'"&amp;$B58&amp;"'!$N$6:$N$205"),MATCH($AF58&amp;"|"&amp;K$5,INDIRECT("'"&amp;$B58&amp;"'!$AF$6:$AF$205"),0))="","",INDEX(INDIRECT("'"&amp;$B58&amp;"'!$N$6:$N$205"),MATCH($AF58&amp;"|"&amp;K$5,INDIRECT("'"&amp;$B58&amp;"'!$AF$6:$AF$205"),0))),"-"))</f>
        <v/>
      </c>
      <c r="L58" s="37">
        <f>IF(OR(AD58="",L$5="-"),"",IFERROR(IF(INDEX(INDIRECT("'"&amp;$B58&amp;"'!$R$6:$R$205"),MATCH($AF58&amp;"|"&amp;L$5,INDIRECT("'"&amp;$B58&amp;"'!$AF$6:$AF$205"),0))="","",INDEX(INDIRECT("'"&amp;$B58&amp;"'!$R$6:$R$205"),MATCH($AF58&amp;"|"&amp;L$5,INDIRECT("'"&amp;$B58&amp;"'!$AF$6:$AF$205"),0))),"-"))</f>
        <v/>
      </c>
      <c r="M58" s="37">
        <f>IF(OR(AD58="",M$5="-"),"",IFERROR(IF(INDEX(INDIRECT("'"&amp;$B58&amp;"'!$R$6:$R$205"),MATCH($AF58&amp;"|"&amp;M$5,INDIRECT("'"&amp;$B58&amp;"'!$AF$6:$AF$205"),0))="","",INDEX(INDIRECT("'"&amp;$B58&amp;"'!$R$6:$R$205"),MATCH($AF58&amp;"|"&amp;M$5,INDIRECT("'"&amp;$B58&amp;"'!$AF$6:$AF$205"),0))),"-"))</f>
        <v/>
      </c>
      <c r="N58" s="37">
        <f>IF(OR(AD58="",N$5="-"),"",IFERROR(IF(INDEX(INDIRECT("'"&amp;$B58&amp;"'!$R$6:$R$205"),MATCH($AF58&amp;"|"&amp;N$5,INDIRECT("'"&amp;$B58&amp;"'!$AF$6:$AF$205"),0))="","",INDEX(INDIRECT("'"&amp;$B58&amp;"'!$R$6:$R$205"),MATCH($AF58&amp;"|"&amp;N$5,INDIRECT("'"&amp;$B58&amp;"'!$AF$6:$AF$205"),0))),"-"))</f>
        <v/>
      </c>
      <c r="O58" s="37">
        <f>IF(OR(AD58="",O$5="-"),"",IFERROR(IF(INDEX(INDIRECT("'"&amp;$B58&amp;"'!$R$6:$R$205"),MATCH($AF58&amp;"|"&amp;O$5,INDIRECT("'"&amp;$B58&amp;"'!$AF$6:$AF$205"),0))="","",INDEX(INDIRECT("'"&amp;$B58&amp;"'!$R$6:$R$205"),MATCH($AF58&amp;"|"&amp;O$5,INDIRECT("'"&amp;$B58&amp;"'!$AF$6:$AF$205"),0))),"-"))</f>
        <v/>
      </c>
      <c r="P58" s="38">
        <f>IF(OR(AD58="",P$5="-"),"",IFERROR(IF(INDEX(INDIRECT("'"&amp;$B58&amp;"'!$T$6:$T$205"),MATCH($AF58&amp;"|"&amp;P$5,INDIRECT("'"&amp;$B58&amp;"'!$AF$6:$AF$205"),0))="","",INDEX(INDIRECT("'"&amp;$B58&amp;"'!$T$6:$T$205"),MATCH($AF58&amp;"|"&amp;P$5,INDIRECT("'"&amp;$B58&amp;"'!$AF$6:$AF$205"),0))),"-"))</f>
        <v/>
      </c>
      <c r="Q58" s="38">
        <f>IF(OR(AD58="",Q$5="-"),"",IFERROR(IF(INDEX(INDIRECT("'"&amp;$B58&amp;"'!$T$6:$T$205"),MATCH($AF58&amp;"|"&amp;Q$5,INDIRECT("'"&amp;$B58&amp;"'!$AF$6:$AF$205"),0))="","",INDEX(INDIRECT("'"&amp;$B58&amp;"'!$T$6:$T$205"),MATCH($AF58&amp;"|"&amp;Q$5,INDIRECT("'"&amp;$B58&amp;"'!$AF$6:$AF$205"),0))),"-"))</f>
        <v/>
      </c>
      <c r="R58" s="38">
        <f>IF(OR(AD58="",R$5="-"),"",IFERROR(IF(INDEX(INDIRECT("'"&amp;$B58&amp;"'!$T$6:$T$205"),MATCH($AF58&amp;"|"&amp;R$5,INDIRECT("'"&amp;$B58&amp;"'!$AF$6:$AF$205"),0))="","",INDEX(INDIRECT("'"&amp;$B58&amp;"'!$T$6:$T$205"),MATCH($AF58&amp;"|"&amp;R$5,INDIRECT("'"&amp;$B58&amp;"'!$AF$6:$AF$205"),0))),"-"))</f>
        <v/>
      </c>
      <c r="S58" s="38">
        <f>IF(OR(AD58="",S$5="-"),"",IFERROR(IF(INDEX(INDIRECT("'"&amp;$B58&amp;"'!$T$6:$T$205"),MATCH($AF58&amp;"|"&amp;S$5,INDIRECT("'"&amp;$B58&amp;"'!$AF$6:$AF$205"),0))="","",INDEX(INDIRECT("'"&amp;$B58&amp;"'!$T$6:$T$205"),MATCH($AF58&amp;"|"&amp;S$5,INDIRECT("'"&amp;$B58&amp;"'!$AF$6:$AF$205"),0))),"-"))</f>
        <v/>
      </c>
      <c r="T58" s="35">
        <f>IF(U58="","",INDEX($L$5:$O$5,MATCH(U58,L58:O58,0)))</f>
        <v/>
      </c>
      <c r="U58" s="37">
        <f>IF(COUNT(L58:O58)=0,"",MIN(L58:O58))</f>
        <v/>
      </c>
      <c r="V58" s="39">
        <f>IF(U58="","",U58*F58)</f>
        <v/>
      </c>
      <c r="W58" s="39">
        <f>IF(COUNT(L58:O58)&lt;2,"",(MAX(L58:O58)-MIN(L58:O58))*F58)</f>
        <v/>
      </c>
      <c r="X58" s="20" t="n"/>
      <c r="AD58">
        <f>IF(53&gt;MAX($AB$6:$AB$9),"",COUNTIF($AB$6:$AB$9,"&lt;"&amp;53)+1)</f>
        <v/>
      </c>
      <c r="AE58">
        <f>IF(AD58="","",53-INDEX($AC$6:$AC$9,AD58))</f>
        <v/>
      </c>
      <c r="AF58">
        <f>IF(AD58="","",INDEX(INDIRECT("'"&amp;$B58&amp;"'!$AE$6:$AE$205"),MATCH(AE58,INDIRECT("'"&amp;$B58&amp;"'!$AI$6:$AI$205"),0)))</f>
        <v/>
      </c>
    </row>
    <row r="59">
      <c r="A59" s="34">
        <f>IF(AD59="","",54)</f>
        <v/>
      </c>
      <c r="B59" s="35">
        <f>IF(AD59="","",INDEX($Z$6:$Z$9,AD59))</f>
        <v/>
      </c>
      <c r="C59" s="34">
        <f>IF(AD59="","",INDEX(INDIRECT("'"&amp;$B59&amp;"'!$B$6:$B$205"),MATCH($AF59,INDIRECT("'"&amp;$B59&amp;"'!$AE$6:$AE$205"),0)))</f>
        <v/>
      </c>
      <c r="D59" s="34">
        <f>IF(AD59="","",INDEX(INDIRECT("'"&amp;$B59&amp;"'!$D$6:$D$205"),MATCH($AF59,INDIRECT("'"&amp;$B59&amp;"'!$AE$6:$AE$205"),0)))</f>
        <v/>
      </c>
      <c r="E59" s="36">
        <f>IF(AD59="","",INDEX(INDIRECT("'"&amp;$B59&amp;"'!$F$6:$F$205"),MATCH($AF59,INDIRECT("'"&amp;$B59&amp;"'!$AE$6:$AE$205"),0)))</f>
        <v/>
      </c>
      <c r="F59" s="34">
        <f>IF(AD59="","",INDEX(INDIRECT("'"&amp;$B59&amp;"'!$K$6:$K$205"),MATCH($AF59,INDIRECT("'"&amp;$B59&amp;"'!$AE$6:$AE$205"),0)))</f>
        <v/>
      </c>
      <c r="G59" s="34">
        <f>IF(AD59="","",INDEX(INDIRECT("'"&amp;$B59&amp;"'!$L$6:$L$205"),MATCH($AF59,INDIRECT("'"&amp;$B59&amp;"'!$AE$6:$AE$205"),0)))</f>
        <v/>
      </c>
      <c r="H59" s="34">
        <f>IF(OR(AD59="",H$5="-"),"",IFERROR(IF(INDEX(INDIRECT("'"&amp;$B59&amp;"'!$N$6:$N$205"),MATCH($AF59&amp;"|"&amp;H$5,INDIRECT("'"&amp;$B59&amp;"'!$AF$6:$AF$205"),0))="","",INDEX(INDIRECT("'"&amp;$B59&amp;"'!$N$6:$N$205"),MATCH($AF59&amp;"|"&amp;H$5,INDIRECT("'"&amp;$B59&amp;"'!$AF$6:$AF$205"),0))),"-"))</f>
        <v/>
      </c>
      <c r="I59" s="34">
        <f>IF(OR(AD59="",I$5="-"),"",IFERROR(IF(INDEX(INDIRECT("'"&amp;$B59&amp;"'!$N$6:$N$205"),MATCH($AF59&amp;"|"&amp;I$5,INDIRECT("'"&amp;$B59&amp;"'!$AF$6:$AF$205"),0))="","",INDEX(INDIRECT("'"&amp;$B59&amp;"'!$N$6:$N$205"),MATCH($AF59&amp;"|"&amp;I$5,INDIRECT("'"&amp;$B59&amp;"'!$AF$6:$AF$205"),0))),"-"))</f>
        <v/>
      </c>
      <c r="J59" s="34">
        <f>IF(OR(AD59="",J$5="-"),"",IFERROR(IF(INDEX(INDIRECT("'"&amp;$B59&amp;"'!$N$6:$N$205"),MATCH($AF59&amp;"|"&amp;J$5,INDIRECT("'"&amp;$B59&amp;"'!$AF$6:$AF$205"),0))="","",INDEX(INDIRECT("'"&amp;$B59&amp;"'!$N$6:$N$205"),MATCH($AF59&amp;"|"&amp;J$5,INDIRECT("'"&amp;$B59&amp;"'!$AF$6:$AF$205"),0))),"-"))</f>
        <v/>
      </c>
      <c r="K59" s="34">
        <f>IF(OR(AD59="",K$5="-"),"",IFERROR(IF(INDEX(INDIRECT("'"&amp;$B59&amp;"'!$N$6:$N$205"),MATCH($AF59&amp;"|"&amp;K$5,INDIRECT("'"&amp;$B59&amp;"'!$AF$6:$AF$205"),0))="","",INDEX(INDIRECT("'"&amp;$B59&amp;"'!$N$6:$N$205"),MATCH($AF59&amp;"|"&amp;K$5,INDIRECT("'"&amp;$B59&amp;"'!$AF$6:$AF$205"),0))),"-"))</f>
        <v/>
      </c>
      <c r="L59" s="37">
        <f>IF(OR(AD59="",L$5="-"),"",IFERROR(IF(INDEX(INDIRECT("'"&amp;$B59&amp;"'!$R$6:$R$205"),MATCH($AF59&amp;"|"&amp;L$5,INDIRECT("'"&amp;$B59&amp;"'!$AF$6:$AF$205"),0))="","",INDEX(INDIRECT("'"&amp;$B59&amp;"'!$R$6:$R$205"),MATCH($AF59&amp;"|"&amp;L$5,INDIRECT("'"&amp;$B59&amp;"'!$AF$6:$AF$205"),0))),"-"))</f>
        <v/>
      </c>
      <c r="M59" s="37">
        <f>IF(OR(AD59="",M$5="-"),"",IFERROR(IF(INDEX(INDIRECT("'"&amp;$B59&amp;"'!$R$6:$R$205"),MATCH($AF59&amp;"|"&amp;M$5,INDIRECT("'"&amp;$B59&amp;"'!$AF$6:$AF$205"),0))="","",INDEX(INDIRECT("'"&amp;$B59&amp;"'!$R$6:$R$205"),MATCH($AF59&amp;"|"&amp;M$5,INDIRECT("'"&amp;$B59&amp;"'!$AF$6:$AF$205"),0))),"-"))</f>
        <v/>
      </c>
      <c r="N59" s="37">
        <f>IF(OR(AD59="",N$5="-"),"",IFERROR(IF(INDEX(INDIRECT("'"&amp;$B59&amp;"'!$R$6:$R$205"),MATCH($AF59&amp;"|"&amp;N$5,INDIRECT("'"&amp;$B59&amp;"'!$AF$6:$AF$205"),0))="","",INDEX(INDIRECT("'"&amp;$B59&amp;"'!$R$6:$R$205"),MATCH($AF59&amp;"|"&amp;N$5,INDIRECT("'"&amp;$B59&amp;"'!$AF$6:$AF$205"),0))),"-"))</f>
        <v/>
      </c>
      <c r="O59" s="37">
        <f>IF(OR(AD59="",O$5="-"),"",IFERROR(IF(INDEX(INDIRECT("'"&amp;$B59&amp;"'!$R$6:$R$205"),MATCH($AF59&amp;"|"&amp;O$5,INDIRECT("'"&amp;$B59&amp;"'!$AF$6:$AF$205"),0))="","",INDEX(INDIRECT("'"&amp;$B59&amp;"'!$R$6:$R$205"),MATCH($AF59&amp;"|"&amp;O$5,INDIRECT("'"&amp;$B59&amp;"'!$AF$6:$AF$205"),0))),"-"))</f>
        <v/>
      </c>
      <c r="P59" s="38">
        <f>IF(OR(AD59="",P$5="-"),"",IFERROR(IF(INDEX(INDIRECT("'"&amp;$B59&amp;"'!$T$6:$T$205"),MATCH($AF59&amp;"|"&amp;P$5,INDIRECT("'"&amp;$B59&amp;"'!$AF$6:$AF$205"),0))="","",INDEX(INDIRECT("'"&amp;$B59&amp;"'!$T$6:$T$205"),MATCH($AF59&amp;"|"&amp;P$5,INDIRECT("'"&amp;$B59&amp;"'!$AF$6:$AF$205"),0))),"-"))</f>
        <v/>
      </c>
      <c r="Q59" s="38">
        <f>IF(OR(AD59="",Q$5="-"),"",IFERROR(IF(INDEX(INDIRECT("'"&amp;$B59&amp;"'!$T$6:$T$205"),MATCH($AF59&amp;"|"&amp;Q$5,INDIRECT("'"&amp;$B59&amp;"'!$AF$6:$AF$205"),0))="","",INDEX(INDIRECT("'"&amp;$B59&amp;"'!$T$6:$T$205"),MATCH($AF59&amp;"|"&amp;Q$5,INDIRECT("'"&amp;$B59&amp;"'!$AF$6:$AF$205"),0))),"-"))</f>
        <v/>
      </c>
      <c r="R59" s="38">
        <f>IF(OR(AD59="",R$5="-"),"",IFERROR(IF(INDEX(INDIRECT("'"&amp;$B59&amp;"'!$T$6:$T$205"),MATCH($AF59&amp;"|"&amp;R$5,INDIRECT("'"&amp;$B59&amp;"'!$AF$6:$AF$205"),0))="","",INDEX(INDIRECT("'"&amp;$B59&amp;"'!$T$6:$T$205"),MATCH($AF59&amp;"|"&amp;R$5,INDIRECT("'"&amp;$B59&amp;"'!$AF$6:$AF$205"),0))),"-"))</f>
        <v/>
      </c>
      <c r="S59" s="38">
        <f>IF(OR(AD59="",S$5="-"),"",IFERROR(IF(INDEX(INDIRECT("'"&amp;$B59&amp;"'!$T$6:$T$205"),MATCH($AF59&amp;"|"&amp;S$5,INDIRECT("'"&amp;$B59&amp;"'!$AF$6:$AF$205"),0))="","",INDEX(INDIRECT("'"&amp;$B59&amp;"'!$T$6:$T$205"),MATCH($AF59&amp;"|"&amp;S$5,INDIRECT("'"&amp;$B59&amp;"'!$AF$6:$AF$205"),0))),"-"))</f>
        <v/>
      </c>
      <c r="T59" s="35">
        <f>IF(U59="","",INDEX($L$5:$O$5,MATCH(U59,L59:O59,0)))</f>
        <v/>
      </c>
      <c r="U59" s="37">
        <f>IF(COUNT(L59:O59)=0,"",MIN(L59:O59))</f>
        <v/>
      </c>
      <c r="V59" s="39">
        <f>IF(U59="","",U59*F59)</f>
        <v/>
      </c>
      <c r="W59" s="39">
        <f>IF(COUNT(L59:O59)&lt;2,"",(MAX(L59:O59)-MIN(L59:O59))*F59)</f>
        <v/>
      </c>
      <c r="X59" s="20" t="n"/>
      <c r="AD59">
        <f>IF(54&gt;MAX($AB$6:$AB$9),"",COUNTIF($AB$6:$AB$9,"&lt;"&amp;54)+1)</f>
        <v/>
      </c>
      <c r="AE59">
        <f>IF(AD59="","",54-INDEX($AC$6:$AC$9,AD59))</f>
        <v/>
      </c>
      <c r="AF59">
        <f>IF(AD59="","",INDEX(INDIRECT("'"&amp;$B59&amp;"'!$AE$6:$AE$205"),MATCH(AE59,INDIRECT("'"&amp;$B59&amp;"'!$AI$6:$AI$205"),0)))</f>
        <v/>
      </c>
    </row>
    <row r="60">
      <c r="A60" s="34">
        <f>IF(AD60="","",55)</f>
        <v/>
      </c>
      <c r="B60" s="35">
        <f>IF(AD60="","",INDEX($Z$6:$Z$9,AD60))</f>
        <v/>
      </c>
      <c r="C60" s="34">
        <f>IF(AD60="","",INDEX(INDIRECT("'"&amp;$B60&amp;"'!$B$6:$B$205"),MATCH($AF60,INDIRECT("'"&amp;$B60&amp;"'!$AE$6:$AE$205"),0)))</f>
        <v/>
      </c>
      <c r="D60" s="34">
        <f>IF(AD60="","",INDEX(INDIRECT("'"&amp;$B60&amp;"'!$D$6:$D$205"),MATCH($AF60,INDIRECT("'"&amp;$B60&amp;"'!$AE$6:$AE$205"),0)))</f>
        <v/>
      </c>
      <c r="E60" s="36">
        <f>IF(AD60="","",INDEX(INDIRECT("'"&amp;$B60&amp;"'!$F$6:$F$205"),MATCH($AF60,INDIRECT("'"&amp;$B60&amp;"'!$AE$6:$AE$205"),0)))</f>
        <v/>
      </c>
      <c r="F60" s="34">
        <f>IF(AD60="","",INDEX(INDIRECT("'"&amp;$B60&amp;"'!$K$6:$K$205"),MATCH($AF60,INDIRECT("'"&amp;$B60&amp;"'!$AE$6:$AE$205"),0)))</f>
        <v/>
      </c>
      <c r="G60" s="34">
        <f>IF(AD60="","",INDEX(INDIRECT("'"&amp;$B60&amp;"'!$L$6:$L$205"),MATCH($AF60,INDIRECT("'"&amp;$B60&amp;"'!$AE$6:$AE$205"),0)))</f>
        <v/>
      </c>
      <c r="H60" s="34">
        <f>IF(OR(AD60="",H$5="-"),"",IFERROR(IF(INDEX(INDIRECT("'"&amp;$B60&amp;"'!$N$6:$N$205"),MATCH($AF60&amp;"|"&amp;H$5,INDIRECT("'"&amp;$B60&amp;"'!$AF$6:$AF$205"),0))="","",INDEX(INDIRECT("'"&amp;$B60&amp;"'!$N$6:$N$205"),MATCH($AF60&amp;"|"&amp;H$5,INDIRECT("'"&amp;$B60&amp;"'!$AF$6:$AF$205"),0))),"-"))</f>
        <v/>
      </c>
      <c r="I60" s="34">
        <f>IF(OR(AD60="",I$5="-"),"",IFERROR(IF(INDEX(INDIRECT("'"&amp;$B60&amp;"'!$N$6:$N$205"),MATCH($AF60&amp;"|"&amp;I$5,INDIRECT("'"&amp;$B60&amp;"'!$AF$6:$AF$205"),0))="","",INDEX(INDIRECT("'"&amp;$B60&amp;"'!$N$6:$N$205"),MATCH($AF60&amp;"|"&amp;I$5,INDIRECT("'"&amp;$B60&amp;"'!$AF$6:$AF$205"),0))),"-"))</f>
        <v/>
      </c>
      <c r="J60" s="34">
        <f>IF(OR(AD60="",J$5="-"),"",IFERROR(IF(INDEX(INDIRECT("'"&amp;$B60&amp;"'!$N$6:$N$205"),MATCH($AF60&amp;"|"&amp;J$5,INDIRECT("'"&amp;$B60&amp;"'!$AF$6:$AF$205"),0))="","",INDEX(INDIRECT("'"&amp;$B60&amp;"'!$N$6:$N$205"),MATCH($AF60&amp;"|"&amp;J$5,INDIRECT("'"&amp;$B60&amp;"'!$AF$6:$AF$205"),0))),"-"))</f>
        <v/>
      </c>
      <c r="K60" s="34">
        <f>IF(OR(AD60="",K$5="-"),"",IFERROR(IF(INDEX(INDIRECT("'"&amp;$B60&amp;"'!$N$6:$N$205"),MATCH($AF60&amp;"|"&amp;K$5,INDIRECT("'"&amp;$B60&amp;"'!$AF$6:$AF$205"),0))="","",INDEX(INDIRECT("'"&amp;$B60&amp;"'!$N$6:$N$205"),MATCH($AF60&amp;"|"&amp;K$5,INDIRECT("'"&amp;$B60&amp;"'!$AF$6:$AF$205"),0))),"-"))</f>
        <v/>
      </c>
      <c r="L60" s="37">
        <f>IF(OR(AD60="",L$5="-"),"",IFERROR(IF(INDEX(INDIRECT("'"&amp;$B60&amp;"'!$R$6:$R$205"),MATCH($AF60&amp;"|"&amp;L$5,INDIRECT("'"&amp;$B60&amp;"'!$AF$6:$AF$205"),0))="","",INDEX(INDIRECT("'"&amp;$B60&amp;"'!$R$6:$R$205"),MATCH($AF60&amp;"|"&amp;L$5,INDIRECT("'"&amp;$B60&amp;"'!$AF$6:$AF$205"),0))),"-"))</f>
        <v/>
      </c>
      <c r="M60" s="37">
        <f>IF(OR(AD60="",M$5="-"),"",IFERROR(IF(INDEX(INDIRECT("'"&amp;$B60&amp;"'!$R$6:$R$205"),MATCH($AF60&amp;"|"&amp;M$5,INDIRECT("'"&amp;$B60&amp;"'!$AF$6:$AF$205"),0))="","",INDEX(INDIRECT("'"&amp;$B60&amp;"'!$R$6:$R$205"),MATCH($AF60&amp;"|"&amp;M$5,INDIRECT("'"&amp;$B60&amp;"'!$AF$6:$AF$205"),0))),"-"))</f>
        <v/>
      </c>
      <c r="N60" s="37">
        <f>IF(OR(AD60="",N$5="-"),"",IFERROR(IF(INDEX(INDIRECT("'"&amp;$B60&amp;"'!$R$6:$R$205"),MATCH($AF60&amp;"|"&amp;N$5,INDIRECT("'"&amp;$B60&amp;"'!$AF$6:$AF$205"),0))="","",INDEX(INDIRECT("'"&amp;$B60&amp;"'!$R$6:$R$205"),MATCH($AF60&amp;"|"&amp;N$5,INDIRECT("'"&amp;$B60&amp;"'!$AF$6:$AF$205"),0))),"-"))</f>
        <v/>
      </c>
      <c r="O60" s="37">
        <f>IF(OR(AD60="",O$5="-"),"",IFERROR(IF(INDEX(INDIRECT("'"&amp;$B60&amp;"'!$R$6:$R$205"),MATCH($AF60&amp;"|"&amp;O$5,INDIRECT("'"&amp;$B60&amp;"'!$AF$6:$AF$205"),0))="","",INDEX(INDIRECT("'"&amp;$B60&amp;"'!$R$6:$R$205"),MATCH($AF60&amp;"|"&amp;O$5,INDIRECT("'"&amp;$B60&amp;"'!$AF$6:$AF$205"),0))),"-"))</f>
        <v/>
      </c>
      <c r="P60" s="38">
        <f>IF(OR(AD60="",P$5="-"),"",IFERROR(IF(INDEX(INDIRECT("'"&amp;$B60&amp;"'!$T$6:$T$205"),MATCH($AF60&amp;"|"&amp;P$5,INDIRECT("'"&amp;$B60&amp;"'!$AF$6:$AF$205"),0))="","",INDEX(INDIRECT("'"&amp;$B60&amp;"'!$T$6:$T$205"),MATCH($AF60&amp;"|"&amp;P$5,INDIRECT("'"&amp;$B60&amp;"'!$AF$6:$AF$205"),0))),"-"))</f>
        <v/>
      </c>
      <c r="Q60" s="38">
        <f>IF(OR(AD60="",Q$5="-"),"",IFERROR(IF(INDEX(INDIRECT("'"&amp;$B60&amp;"'!$T$6:$T$205"),MATCH($AF60&amp;"|"&amp;Q$5,INDIRECT("'"&amp;$B60&amp;"'!$AF$6:$AF$205"),0))="","",INDEX(INDIRECT("'"&amp;$B60&amp;"'!$T$6:$T$205"),MATCH($AF60&amp;"|"&amp;Q$5,INDIRECT("'"&amp;$B60&amp;"'!$AF$6:$AF$205"),0))),"-"))</f>
        <v/>
      </c>
      <c r="R60" s="38">
        <f>IF(OR(AD60="",R$5="-"),"",IFERROR(IF(INDEX(INDIRECT("'"&amp;$B60&amp;"'!$T$6:$T$205"),MATCH($AF60&amp;"|"&amp;R$5,INDIRECT("'"&amp;$B60&amp;"'!$AF$6:$AF$205"),0))="","",INDEX(INDIRECT("'"&amp;$B60&amp;"'!$T$6:$T$205"),MATCH($AF60&amp;"|"&amp;R$5,INDIRECT("'"&amp;$B60&amp;"'!$AF$6:$AF$205"),0))),"-"))</f>
        <v/>
      </c>
      <c r="S60" s="38">
        <f>IF(OR(AD60="",S$5="-"),"",IFERROR(IF(INDEX(INDIRECT("'"&amp;$B60&amp;"'!$T$6:$T$205"),MATCH($AF60&amp;"|"&amp;S$5,INDIRECT("'"&amp;$B60&amp;"'!$AF$6:$AF$205"),0))="","",INDEX(INDIRECT("'"&amp;$B60&amp;"'!$T$6:$T$205"),MATCH($AF60&amp;"|"&amp;S$5,INDIRECT("'"&amp;$B60&amp;"'!$AF$6:$AF$205"),0))),"-"))</f>
        <v/>
      </c>
      <c r="T60" s="35">
        <f>IF(U60="","",INDEX($L$5:$O$5,MATCH(U60,L60:O60,0)))</f>
        <v/>
      </c>
      <c r="U60" s="37">
        <f>IF(COUNT(L60:O60)=0,"",MIN(L60:O60))</f>
        <v/>
      </c>
      <c r="V60" s="39">
        <f>IF(U60="","",U60*F60)</f>
        <v/>
      </c>
      <c r="W60" s="39">
        <f>IF(COUNT(L60:O60)&lt;2,"",(MAX(L60:O60)-MIN(L60:O60))*F60)</f>
        <v/>
      </c>
      <c r="X60" s="20" t="n"/>
      <c r="AD60">
        <f>IF(55&gt;MAX($AB$6:$AB$9),"",COUNTIF($AB$6:$AB$9,"&lt;"&amp;55)+1)</f>
        <v/>
      </c>
      <c r="AE60">
        <f>IF(AD60="","",55-INDEX($AC$6:$AC$9,AD60))</f>
        <v/>
      </c>
      <c r="AF60">
        <f>IF(AD60="","",INDEX(INDIRECT("'"&amp;$B60&amp;"'!$AE$6:$AE$205"),MATCH(AE60,INDIRECT("'"&amp;$B60&amp;"'!$AI$6:$AI$205"),0)))</f>
        <v/>
      </c>
    </row>
    <row r="61">
      <c r="A61" s="34">
        <f>IF(AD61="","",56)</f>
        <v/>
      </c>
      <c r="B61" s="35">
        <f>IF(AD61="","",INDEX($Z$6:$Z$9,AD61))</f>
        <v/>
      </c>
      <c r="C61" s="34">
        <f>IF(AD61="","",INDEX(INDIRECT("'"&amp;$B61&amp;"'!$B$6:$B$205"),MATCH($AF61,INDIRECT("'"&amp;$B61&amp;"'!$AE$6:$AE$205"),0)))</f>
        <v/>
      </c>
      <c r="D61" s="34">
        <f>IF(AD61="","",INDEX(INDIRECT("'"&amp;$B61&amp;"'!$D$6:$D$205"),MATCH($AF61,INDIRECT("'"&amp;$B61&amp;"'!$AE$6:$AE$205"),0)))</f>
        <v/>
      </c>
      <c r="E61" s="36">
        <f>IF(AD61="","",INDEX(INDIRECT("'"&amp;$B61&amp;"'!$F$6:$F$205"),MATCH($AF61,INDIRECT("'"&amp;$B61&amp;"'!$AE$6:$AE$205"),0)))</f>
        <v/>
      </c>
      <c r="F61" s="34">
        <f>IF(AD61="","",INDEX(INDIRECT("'"&amp;$B61&amp;"'!$K$6:$K$205"),MATCH($AF61,INDIRECT("'"&amp;$B61&amp;"'!$AE$6:$AE$205"),0)))</f>
        <v/>
      </c>
      <c r="G61" s="34">
        <f>IF(AD61="","",INDEX(INDIRECT("'"&amp;$B61&amp;"'!$L$6:$L$205"),MATCH($AF61,INDIRECT("'"&amp;$B61&amp;"'!$AE$6:$AE$205"),0)))</f>
        <v/>
      </c>
      <c r="H61" s="34">
        <f>IF(OR(AD61="",H$5="-"),"",IFERROR(IF(INDEX(INDIRECT("'"&amp;$B61&amp;"'!$N$6:$N$205"),MATCH($AF61&amp;"|"&amp;H$5,INDIRECT("'"&amp;$B61&amp;"'!$AF$6:$AF$205"),0))="","",INDEX(INDIRECT("'"&amp;$B61&amp;"'!$N$6:$N$205"),MATCH($AF61&amp;"|"&amp;H$5,INDIRECT("'"&amp;$B61&amp;"'!$AF$6:$AF$205"),0))),"-"))</f>
        <v/>
      </c>
      <c r="I61" s="34">
        <f>IF(OR(AD61="",I$5="-"),"",IFERROR(IF(INDEX(INDIRECT("'"&amp;$B61&amp;"'!$N$6:$N$205"),MATCH($AF61&amp;"|"&amp;I$5,INDIRECT("'"&amp;$B61&amp;"'!$AF$6:$AF$205"),0))="","",INDEX(INDIRECT("'"&amp;$B61&amp;"'!$N$6:$N$205"),MATCH($AF61&amp;"|"&amp;I$5,INDIRECT("'"&amp;$B61&amp;"'!$AF$6:$AF$205"),0))),"-"))</f>
        <v/>
      </c>
      <c r="J61" s="34">
        <f>IF(OR(AD61="",J$5="-"),"",IFERROR(IF(INDEX(INDIRECT("'"&amp;$B61&amp;"'!$N$6:$N$205"),MATCH($AF61&amp;"|"&amp;J$5,INDIRECT("'"&amp;$B61&amp;"'!$AF$6:$AF$205"),0))="","",INDEX(INDIRECT("'"&amp;$B61&amp;"'!$N$6:$N$205"),MATCH($AF61&amp;"|"&amp;J$5,INDIRECT("'"&amp;$B61&amp;"'!$AF$6:$AF$205"),0))),"-"))</f>
        <v/>
      </c>
      <c r="K61" s="34">
        <f>IF(OR(AD61="",K$5="-"),"",IFERROR(IF(INDEX(INDIRECT("'"&amp;$B61&amp;"'!$N$6:$N$205"),MATCH($AF61&amp;"|"&amp;K$5,INDIRECT("'"&amp;$B61&amp;"'!$AF$6:$AF$205"),0))="","",INDEX(INDIRECT("'"&amp;$B61&amp;"'!$N$6:$N$205"),MATCH($AF61&amp;"|"&amp;K$5,INDIRECT("'"&amp;$B61&amp;"'!$AF$6:$AF$205"),0))),"-"))</f>
        <v/>
      </c>
      <c r="L61" s="37">
        <f>IF(OR(AD61="",L$5="-"),"",IFERROR(IF(INDEX(INDIRECT("'"&amp;$B61&amp;"'!$R$6:$R$205"),MATCH($AF61&amp;"|"&amp;L$5,INDIRECT("'"&amp;$B61&amp;"'!$AF$6:$AF$205"),0))="","",INDEX(INDIRECT("'"&amp;$B61&amp;"'!$R$6:$R$205"),MATCH($AF61&amp;"|"&amp;L$5,INDIRECT("'"&amp;$B61&amp;"'!$AF$6:$AF$205"),0))),"-"))</f>
        <v/>
      </c>
      <c r="M61" s="37">
        <f>IF(OR(AD61="",M$5="-"),"",IFERROR(IF(INDEX(INDIRECT("'"&amp;$B61&amp;"'!$R$6:$R$205"),MATCH($AF61&amp;"|"&amp;M$5,INDIRECT("'"&amp;$B61&amp;"'!$AF$6:$AF$205"),0))="","",INDEX(INDIRECT("'"&amp;$B61&amp;"'!$R$6:$R$205"),MATCH($AF61&amp;"|"&amp;M$5,INDIRECT("'"&amp;$B61&amp;"'!$AF$6:$AF$205"),0))),"-"))</f>
        <v/>
      </c>
      <c r="N61" s="37">
        <f>IF(OR(AD61="",N$5="-"),"",IFERROR(IF(INDEX(INDIRECT("'"&amp;$B61&amp;"'!$R$6:$R$205"),MATCH($AF61&amp;"|"&amp;N$5,INDIRECT("'"&amp;$B61&amp;"'!$AF$6:$AF$205"),0))="","",INDEX(INDIRECT("'"&amp;$B61&amp;"'!$R$6:$R$205"),MATCH($AF61&amp;"|"&amp;N$5,INDIRECT("'"&amp;$B61&amp;"'!$AF$6:$AF$205"),0))),"-"))</f>
        <v/>
      </c>
      <c r="O61" s="37">
        <f>IF(OR(AD61="",O$5="-"),"",IFERROR(IF(INDEX(INDIRECT("'"&amp;$B61&amp;"'!$R$6:$R$205"),MATCH($AF61&amp;"|"&amp;O$5,INDIRECT("'"&amp;$B61&amp;"'!$AF$6:$AF$205"),0))="","",INDEX(INDIRECT("'"&amp;$B61&amp;"'!$R$6:$R$205"),MATCH($AF61&amp;"|"&amp;O$5,INDIRECT("'"&amp;$B61&amp;"'!$AF$6:$AF$205"),0))),"-"))</f>
        <v/>
      </c>
      <c r="P61" s="38">
        <f>IF(OR(AD61="",P$5="-"),"",IFERROR(IF(INDEX(INDIRECT("'"&amp;$B61&amp;"'!$T$6:$T$205"),MATCH($AF61&amp;"|"&amp;P$5,INDIRECT("'"&amp;$B61&amp;"'!$AF$6:$AF$205"),0))="","",INDEX(INDIRECT("'"&amp;$B61&amp;"'!$T$6:$T$205"),MATCH($AF61&amp;"|"&amp;P$5,INDIRECT("'"&amp;$B61&amp;"'!$AF$6:$AF$205"),0))),"-"))</f>
        <v/>
      </c>
      <c r="Q61" s="38">
        <f>IF(OR(AD61="",Q$5="-"),"",IFERROR(IF(INDEX(INDIRECT("'"&amp;$B61&amp;"'!$T$6:$T$205"),MATCH($AF61&amp;"|"&amp;Q$5,INDIRECT("'"&amp;$B61&amp;"'!$AF$6:$AF$205"),0))="","",INDEX(INDIRECT("'"&amp;$B61&amp;"'!$T$6:$T$205"),MATCH($AF61&amp;"|"&amp;Q$5,INDIRECT("'"&amp;$B61&amp;"'!$AF$6:$AF$205"),0))),"-"))</f>
        <v/>
      </c>
      <c r="R61" s="38">
        <f>IF(OR(AD61="",R$5="-"),"",IFERROR(IF(INDEX(INDIRECT("'"&amp;$B61&amp;"'!$T$6:$T$205"),MATCH($AF61&amp;"|"&amp;R$5,INDIRECT("'"&amp;$B61&amp;"'!$AF$6:$AF$205"),0))="","",INDEX(INDIRECT("'"&amp;$B61&amp;"'!$T$6:$T$205"),MATCH($AF61&amp;"|"&amp;R$5,INDIRECT("'"&amp;$B61&amp;"'!$AF$6:$AF$205"),0))),"-"))</f>
        <v/>
      </c>
      <c r="S61" s="38">
        <f>IF(OR(AD61="",S$5="-"),"",IFERROR(IF(INDEX(INDIRECT("'"&amp;$B61&amp;"'!$T$6:$T$205"),MATCH($AF61&amp;"|"&amp;S$5,INDIRECT("'"&amp;$B61&amp;"'!$AF$6:$AF$205"),0))="","",INDEX(INDIRECT("'"&amp;$B61&amp;"'!$T$6:$T$205"),MATCH($AF61&amp;"|"&amp;S$5,INDIRECT("'"&amp;$B61&amp;"'!$AF$6:$AF$205"),0))),"-"))</f>
        <v/>
      </c>
      <c r="T61" s="35">
        <f>IF(U61="","",INDEX($L$5:$O$5,MATCH(U61,L61:O61,0)))</f>
        <v/>
      </c>
      <c r="U61" s="37">
        <f>IF(COUNT(L61:O61)=0,"",MIN(L61:O61))</f>
        <v/>
      </c>
      <c r="V61" s="39">
        <f>IF(U61="","",U61*F61)</f>
        <v/>
      </c>
      <c r="W61" s="39">
        <f>IF(COUNT(L61:O61)&lt;2,"",(MAX(L61:O61)-MIN(L61:O61))*F61)</f>
        <v/>
      </c>
      <c r="X61" s="20" t="n"/>
      <c r="AD61">
        <f>IF(56&gt;MAX($AB$6:$AB$9),"",COUNTIF($AB$6:$AB$9,"&lt;"&amp;56)+1)</f>
        <v/>
      </c>
      <c r="AE61">
        <f>IF(AD61="","",56-INDEX($AC$6:$AC$9,AD61))</f>
        <v/>
      </c>
      <c r="AF61">
        <f>IF(AD61="","",INDEX(INDIRECT("'"&amp;$B61&amp;"'!$AE$6:$AE$205"),MATCH(AE61,INDIRECT("'"&amp;$B61&amp;"'!$AI$6:$AI$205"),0)))</f>
        <v/>
      </c>
    </row>
    <row r="62">
      <c r="A62" s="34">
        <f>IF(AD62="","",57)</f>
        <v/>
      </c>
      <c r="B62" s="35">
        <f>IF(AD62="","",INDEX($Z$6:$Z$9,AD62))</f>
        <v/>
      </c>
      <c r="C62" s="34">
        <f>IF(AD62="","",INDEX(INDIRECT("'"&amp;$B62&amp;"'!$B$6:$B$205"),MATCH($AF62,INDIRECT("'"&amp;$B62&amp;"'!$AE$6:$AE$205"),0)))</f>
        <v/>
      </c>
      <c r="D62" s="34">
        <f>IF(AD62="","",INDEX(INDIRECT("'"&amp;$B62&amp;"'!$D$6:$D$205"),MATCH($AF62,INDIRECT("'"&amp;$B62&amp;"'!$AE$6:$AE$205"),0)))</f>
        <v/>
      </c>
      <c r="E62" s="36">
        <f>IF(AD62="","",INDEX(INDIRECT("'"&amp;$B62&amp;"'!$F$6:$F$205"),MATCH($AF62,INDIRECT("'"&amp;$B62&amp;"'!$AE$6:$AE$205"),0)))</f>
        <v/>
      </c>
      <c r="F62" s="34">
        <f>IF(AD62="","",INDEX(INDIRECT("'"&amp;$B62&amp;"'!$K$6:$K$205"),MATCH($AF62,INDIRECT("'"&amp;$B62&amp;"'!$AE$6:$AE$205"),0)))</f>
        <v/>
      </c>
      <c r="G62" s="34">
        <f>IF(AD62="","",INDEX(INDIRECT("'"&amp;$B62&amp;"'!$L$6:$L$205"),MATCH($AF62,INDIRECT("'"&amp;$B62&amp;"'!$AE$6:$AE$205"),0)))</f>
        <v/>
      </c>
      <c r="H62" s="34">
        <f>IF(OR(AD62="",H$5="-"),"",IFERROR(IF(INDEX(INDIRECT("'"&amp;$B62&amp;"'!$N$6:$N$205"),MATCH($AF62&amp;"|"&amp;H$5,INDIRECT("'"&amp;$B62&amp;"'!$AF$6:$AF$205"),0))="","",INDEX(INDIRECT("'"&amp;$B62&amp;"'!$N$6:$N$205"),MATCH($AF62&amp;"|"&amp;H$5,INDIRECT("'"&amp;$B62&amp;"'!$AF$6:$AF$205"),0))),"-"))</f>
        <v/>
      </c>
      <c r="I62" s="34">
        <f>IF(OR(AD62="",I$5="-"),"",IFERROR(IF(INDEX(INDIRECT("'"&amp;$B62&amp;"'!$N$6:$N$205"),MATCH($AF62&amp;"|"&amp;I$5,INDIRECT("'"&amp;$B62&amp;"'!$AF$6:$AF$205"),0))="","",INDEX(INDIRECT("'"&amp;$B62&amp;"'!$N$6:$N$205"),MATCH($AF62&amp;"|"&amp;I$5,INDIRECT("'"&amp;$B62&amp;"'!$AF$6:$AF$205"),0))),"-"))</f>
        <v/>
      </c>
      <c r="J62" s="34">
        <f>IF(OR(AD62="",J$5="-"),"",IFERROR(IF(INDEX(INDIRECT("'"&amp;$B62&amp;"'!$N$6:$N$205"),MATCH($AF62&amp;"|"&amp;J$5,INDIRECT("'"&amp;$B62&amp;"'!$AF$6:$AF$205"),0))="","",INDEX(INDIRECT("'"&amp;$B62&amp;"'!$N$6:$N$205"),MATCH($AF62&amp;"|"&amp;J$5,INDIRECT("'"&amp;$B62&amp;"'!$AF$6:$AF$205"),0))),"-"))</f>
        <v/>
      </c>
      <c r="K62" s="34">
        <f>IF(OR(AD62="",K$5="-"),"",IFERROR(IF(INDEX(INDIRECT("'"&amp;$B62&amp;"'!$N$6:$N$205"),MATCH($AF62&amp;"|"&amp;K$5,INDIRECT("'"&amp;$B62&amp;"'!$AF$6:$AF$205"),0))="","",INDEX(INDIRECT("'"&amp;$B62&amp;"'!$N$6:$N$205"),MATCH($AF62&amp;"|"&amp;K$5,INDIRECT("'"&amp;$B62&amp;"'!$AF$6:$AF$205"),0))),"-"))</f>
        <v/>
      </c>
      <c r="L62" s="37">
        <f>IF(OR(AD62="",L$5="-"),"",IFERROR(IF(INDEX(INDIRECT("'"&amp;$B62&amp;"'!$R$6:$R$205"),MATCH($AF62&amp;"|"&amp;L$5,INDIRECT("'"&amp;$B62&amp;"'!$AF$6:$AF$205"),0))="","",INDEX(INDIRECT("'"&amp;$B62&amp;"'!$R$6:$R$205"),MATCH($AF62&amp;"|"&amp;L$5,INDIRECT("'"&amp;$B62&amp;"'!$AF$6:$AF$205"),0))),"-"))</f>
        <v/>
      </c>
      <c r="M62" s="37">
        <f>IF(OR(AD62="",M$5="-"),"",IFERROR(IF(INDEX(INDIRECT("'"&amp;$B62&amp;"'!$R$6:$R$205"),MATCH($AF62&amp;"|"&amp;M$5,INDIRECT("'"&amp;$B62&amp;"'!$AF$6:$AF$205"),0))="","",INDEX(INDIRECT("'"&amp;$B62&amp;"'!$R$6:$R$205"),MATCH($AF62&amp;"|"&amp;M$5,INDIRECT("'"&amp;$B62&amp;"'!$AF$6:$AF$205"),0))),"-"))</f>
        <v/>
      </c>
      <c r="N62" s="37">
        <f>IF(OR(AD62="",N$5="-"),"",IFERROR(IF(INDEX(INDIRECT("'"&amp;$B62&amp;"'!$R$6:$R$205"),MATCH($AF62&amp;"|"&amp;N$5,INDIRECT("'"&amp;$B62&amp;"'!$AF$6:$AF$205"),0))="","",INDEX(INDIRECT("'"&amp;$B62&amp;"'!$R$6:$R$205"),MATCH($AF62&amp;"|"&amp;N$5,INDIRECT("'"&amp;$B62&amp;"'!$AF$6:$AF$205"),0))),"-"))</f>
        <v/>
      </c>
      <c r="O62" s="37">
        <f>IF(OR(AD62="",O$5="-"),"",IFERROR(IF(INDEX(INDIRECT("'"&amp;$B62&amp;"'!$R$6:$R$205"),MATCH($AF62&amp;"|"&amp;O$5,INDIRECT("'"&amp;$B62&amp;"'!$AF$6:$AF$205"),0))="","",INDEX(INDIRECT("'"&amp;$B62&amp;"'!$R$6:$R$205"),MATCH($AF62&amp;"|"&amp;O$5,INDIRECT("'"&amp;$B62&amp;"'!$AF$6:$AF$205"),0))),"-"))</f>
        <v/>
      </c>
      <c r="P62" s="38">
        <f>IF(OR(AD62="",P$5="-"),"",IFERROR(IF(INDEX(INDIRECT("'"&amp;$B62&amp;"'!$T$6:$T$205"),MATCH($AF62&amp;"|"&amp;P$5,INDIRECT("'"&amp;$B62&amp;"'!$AF$6:$AF$205"),0))="","",INDEX(INDIRECT("'"&amp;$B62&amp;"'!$T$6:$T$205"),MATCH($AF62&amp;"|"&amp;P$5,INDIRECT("'"&amp;$B62&amp;"'!$AF$6:$AF$205"),0))),"-"))</f>
        <v/>
      </c>
      <c r="Q62" s="38">
        <f>IF(OR(AD62="",Q$5="-"),"",IFERROR(IF(INDEX(INDIRECT("'"&amp;$B62&amp;"'!$T$6:$T$205"),MATCH($AF62&amp;"|"&amp;Q$5,INDIRECT("'"&amp;$B62&amp;"'!$AF$6:$AF$205"),0))="","",INDEX(INDIRECT("'"&amp;$B62&amp;"'!$T$6:$T$205"),MATCH($AF62&amp;"|"&amp;Q$5,INDIRECT("'"&amp;$B62&amp;"'!$AF$6:$AF$205"),0))),"-"))</f>
        <v/>
      </c>
      <c r="R62" s="38">
        <f>IF(OR(AD62="",R$5="-"),"",IFERROR(IF(INDEX(INDIRECT("'"&amp;$B62&amp;"'!$T$6:$T$205"),MATCH($AF62&amp;"|"&amp;R$5,INDIRECT("'"&amp;$B62&amp;"'!$AF$6:$AF$205"),0))="","",INDEX(INDIRECT("'"&amp;$B62&amp;"'!$T$6:$T$205"),MATCH($AF62&amp;"|"&amp;R$5,INDIRECT("'"&amp;$B62&amp;"'!$AF$6:$AF$205"),0))),"-"))</f>
        <v/>
      </c>
      <c r="S62" s="38">
        <f>IF(OR(AD62="",S$5="-"),"",IFERROR(IF(INDEX(INDIRECT("'"&amp;$B62&amp;"'!$T$6:$T$205"),MATCH($AF62&amp;"|"&amp;S$5,INDIRECT("'"&amp;$B62&amp;"'!$AF$6:$AF$205"),0))="","",INDEX(INDIRECT("'"&amp;$B62&amp;"'!$T$6:$T$205"),MATCH($AF62&amp;"|"&amp;S$5,INDIRECT("'"&amp;$B62&amp;"'!$AF$6:$AF$205"),0))),"-"))</f>
        <v/>
      </c>
      <c r="T62" s="35">
        <f>IF(U62="","",INDEX($L$5:$O$5,MATCH(U62,L62:O62,0)))</f>
        <v/>
      </c>
      <c r="U62" s="37">
        <f>IF(COUNT(L62:O62)=0,"",MIN(L62:O62))</f>
        <v/>
      </c>
      <c r="V62" s="39">
        <f>IF(U62="","",U62*F62)</f>
        <v/>
      </c>
      <c r="W62" s="39">
        <f>IF(COUNT(L62:O62)&lt;2,"",(MAX(L62:O62)-MIN(L62:O62))*F62)</f>
        <v/>
      </c>
      <c r="X62" s="20" t="n"/>
      <c r="AD62">
        <f>IF(57&gt;MAX($AB$6:$AB$9),"",COUNTIF($AB$6:$AB$9,"&lt;"&amp;57)+1)</f>
        <v/>
      </c>
      <c r="AE62">
        <f>IF(AD62="","",57-INDEX($AC$6:$AC$9,AD62))</f>
        <v/>
      </c>
      <c r="AF62">
        <f>IF(AD62="","",INDEX(INDIRECT("'"&amp;$B62&amp;"'!$AE$6:$AE$205"),MATCH(AE62,INDIRECT("'"&amp;$B62&amp;"'!$AI$6:$AI$205"),0)))</f>
        <v/>
      </c>
    </row>
    <row r="63">
      <c r="A63" s="34">
        <f>IF(AD63="","",58)</f>
        <v/>
      </c>
      <c r="B63" s="35">
        <f>IF(AD63="","",INDEX($Z$6:$Z$9,AD63))</f>
        <v/>
      </c>
      <c r="C63" s="34">
        <f>IF(AD63="","",INDEX(INDIRECT("'"&amp;$B63&amp;"'!$B$6:$B$205"),MATCH($AF63,INDIRECT("'"&amp;$B63&amp;"'!$AE$6:$AE$205"),0)))</f>
        <v/>
      </c>
      <c r="D63" s="34">
        <f>IF(AD63="","",INDEX(INDIRECT("'"&amp;$B63&amp;"'!$D$6:$D$205"),MATCH($AF63,INDIRECT("'"&amp;$B63&amp;"'!$AE$6:$AE$205"),0)))</f>
        <v/>
      </c>
      <c r="E63" s="36">
        <f>IF(AD63="","",INDEX(INDIRECT("'"&amp;$B63&amp;"'!$F$6:$F$205"),MATCH($AF63,INDIRECT("'"&amp;$B63&amp;"'!$AE$6:$AE$205"),0)))</f>
        <v/>
      </c>
      <c r="F63" s="34">
        <f>IF(AD63="","",INDEX(INDIRECT("'"&amp;$B63&amp;"'!$K$6:$K$205"),MATCH($AF63,INDIRECT("'"&amp;$B63&amp;"'!$AE$6:$AE$205"),0)))</f>
        <v/>
      </c>
      <c r="G63" s="34">
        <f>IF(AD63="","",INDEX(INDIRECT("'"&amp;$B63&amp;"'!$L$6:$L$205"),MATCH($AF63,INDIRECT("'"&amp;$B63&amp;"'!$AE$6:$AE$205"),0)))</f>
        <v/>
      </c>
      <c r="H63" s="34">
        <f>IF(OR(AD63="",H$5="-"),"",IFERROR(IF(INDEX(INDIRECT("'"&amp;$B63&amp;"'!$N$6:$N$205"),MATCH($AF63&amp;"|"&amp;H$5,INDIRECT("'"&amp;$B63&amp;"'!$AF$6:$AF$205"),0))="","",INDEX(INDIRECT("'"&amp;$B63&amp;"'!$N$6:$N$205"),MATCH($AF63&amp;"|"&amp;H$5,INDIRECT("'"&amp;$B63&amp;"'!$AF$6:$AF$205"),0))),"-"))</f>
        <v/>
      </c>
      <c r="I63" s="34">
        <f>IF(OR(AD63="",I$5="-"),"",IFERROR(IF(INDEX(INDIRECT("'"&amp;$B63&amp;"'!$N$6:$N$205"),MATCH($AF63&amp;"|"&amp;I$5,INDIRECT("'"&amp;$B63&amp;"'!$AF$6:$AF$205"),0))="","",INDEX(INDIRECT("'"&amp;$B63&amp;"'!$N$6:$N$205"),MATCH($AF63&amp;"|"&amp;I$5,INDIRECT("'"&amp;$B63&amp;"'!$AF$6:$AF$205"),0))),"-"))</f>
        <v/>
      </c>
      <c r="J63" s="34">
        <f>IF(OR(AD63="",J$5="-"),"",IFERROR(IF(INDEX(INDIRECT("'"&amp;$B63&amp;"'!$N$6:$N$205"),MATCH($AF63&amp;"|"&amp;J$5,INDIRECT("'"&amp;$B63&amp;"'!$AF$6:$AF$205"),0))="","",INDEX(INDIRECT("'"&amp;$B63&amp;"'!$N$6:$N$205"),MATCH($AF63&amp;"|"&amp;J$5,INDIRECT("'"&amp;$B63&amp;"'!$AF$6:$AF$205"),0))),"-"))</f>
        <v/>
      </c>
      <c r="K63" s="34">
        <f>IF(OR(AD63="",K$5="-"),"",IFERROR(IF(INDEX(INDIRECT("'"&amp;$B63&amp;"'!$N$6:$N$205"),MATCH($AF63&amp;"|"&amp;K$5,INDIRECT("'"&amp;$B63&amp;"'!$AF$6:$AF$205"),0))="","",INDEX(INDIRECT("'"&amp;$B63&amp;"'!$N$6:$N$205"),MATCH($AF63&amp;"|"&amp;K$5,INDIRECT("'"&amp;$B63&amp;"'!$AF$6:$AF$205"),0))),"-"))</f>
        <v/>
      </c>
      <c r="L63" s="37">
        <f>IF(OR(AD63="",L$5="-"),"",IFERROR(IF(INDEX(INDIRECT("'"&amp;$B63&amp;"'!$R$6:$R$205"),MATCH($AF63&amp;"|"&amp;L$5,INDIRECT("'"&amp;$B63&amp;"'!$AF$6:$AF$205"),0))="","",INDEX(INDIRECT("'"&amp;$B63&amp;"'!$R$6:$R$205"),MATCH($AF63&amp;"|"&amp;L$5,INDIRECT("'"&amp;$B63&amp;"'!$AF$6:$AF$205"),0))),"-"))</f>
        <v/>
      </c>
      <c r="M63" s="37">
        <f>IF(OR(AD63="",M$5="-"),"",IFERROR(IF(INDEX(INDIRECT("'"&amp;$B63&amp;"'!$R$6:$R$205"),MATCH($AF63&amp;"|"&amp;M$5,INDIRECT("'"&amp;$B63&amp;"'!$AF$6:$AF$205"),0))="","",INDEX(INDIRECT("'"&amp;$B63&amp;"'!$R$6:$R$205"),MATCH($AF63&amp;"|"&amp;M$5,INDIRECT("'"&amp;$B63&amp;"'!$AF$6:$AF$205"),0))),"-"))</f>
        <v/>
      </c>
      <c r="N63" s="37">
        <f>IF(OR(AD63="",N$5="-"),"",IFERROR(IF(INDEX(INDIRECT("'"&amp;$B63&amp;"'!$R$6:$R$205"),MATCH($AF63&amp;"|"&amp;N$5,INDIRECT("'"&amp;$B63&amp;"'!$AF$6:$AF$205"),0))="","",INDEX(INDIRECT("'"&amp;$B63&amp;"'!$R$6:$R$205"),MATCH($AF63&amp;"|"&amp;N$5,INDIRECT("'"&amp;$B63&amp;"'!$AF$6:$AF$205"),0))),"-"))</f>
        <v/>
      </c>
      <c r="O63" s="37">
        <f>IF(OR(AD63="",O$5="-"),"",IFERROR(IF(INDEX(INDIRECT("'"&amp;$B63&amp;"'!$R$6:$R$205"),MATCH($AF63&amp;"|"&amp;O$5,INDIRECT("'"&amp;$B63&amp;"'!$AF$6:$AF$205"),0))="","",INDEX(INDIRECT("'"&amp;$B63&amp;"'!$R$6:$R$205"),MATCH($AF63&amp;"|"&amp;O$5,INDIRECT("'"&amp;$B63&amp;"'!$AF$6:$AF$205"),0))),"-"))</f>
        <v/>
      </c>
      <c r="P63" s="38">
        <f>IF(OR(AD63="",P$5="-"),"",IFERROR(IF(INDEX(INDIRECT("'"&amp;$B63&amp;"'!$T$6:$T$205"),MATCH($AF63&amp;"|"&amp;P$5,INDIRECT("'"&amp;$B63&amp;"'!$AF$6:$AF$205"),0))="","",INDEX(INDIRECT("'"&amp;$B63&amp;"'!$T$6:$T$205"),MATCH($AF63&amp;"|"&amp;P$5,INDIRECT("'"&amp;$B63&amp;"'!$AF$6:$AF$205"),0))),"-"))</f>
        <v/>
      </c>
      <c r="Q63" s="38">
        <f>IF(OR(AD63="",Q$5="-"),"",IFERROR(IF(INDEX(INDIRECT("'"&amp;$B63&amp;"'!$T$6:$T$205"),MATCH($AF63&amp;"|"&amp;Q$5,INDIRECT("'"&amp;$B63&amp;"'!$AF$6:$AF$205"),0))="","",INDEX(INDIRECT("'"&amp;$B63&amp;"'!$T$6:$T$205"),MATCH($AF63&amp;"|"&amp;Q$5,INDIRECT("'"&amp;$B63&amp;"'!$AF$6:$AF$205"),0))),"-"))</f>
        <v/>
      </c>
      <c r="R63" s="38">
        <f>IF(OR(AD63="",R$5="-"),"",IFERROR(IF(INDEX(INDIRECT("'"&amp;$B63&amp;"'!$T$6:$T$205"),MATCH($AF63&amp;"|"&amp;R$5,INDIRECT("'"&amp;$B63&amp;"'!$AF$6:$AF$205"),0))="","",INDEX(INDIRECT("'"&amp;$B63&amp;"'!$T$6:$T$205"),MATCH($AF63&amp;"|"&amp;R$5,INDIRECT("'"&amp;$B63&amp;"'!$AF$6:$AF$205"),0))),"-"))</f>
        <v/>
      </c>
      <c r="S63" s="38">
        <f>IF(OR(AD63="",S$5="-"),"",IFERROR(IF(INDEX(INDIRECT("'"&amp;$B63&amp;"'!$T$6:$T$205"),MATCH($AF63&amp;"|"&amp;S$5,INDIRECT("'"&amp;$B63&amp;"'!$AF$6:$AF$205"),0))="","",INDEX(INDIRECT("'"&amp;$B63&amp;"'!$T$6:$T$205"),MATCH($AF63&amp;"|"&amp;S$5,INDIRECT("'"&amp;$B63&amp;"'!$AF$6:$AF$205"),0))),"-"))</f>
        <v/>
      </c>
      <c r="T63" s="35">
        <f>IF(U63="","",INDEX($L$5:$O$5,MATCH(U63,L63:O63,0)))</f>
        <v/>
      </c>
      <c r="U63" s="37">
        <f>IF(COUNT(L63:O63)=0,"",MIN(L63:O63))</f>
        <v/>
      </c>
      <c r="V63" s="39">
        <f>IF(U63="","",U63*F63)</f>
        <v/>
      </c>
      <c r="W63" s="39">
        <f>IF(COUNT(L63:O63)&lt;2,"",(MAX(L63:O63)-MIN(L63:O63))*F63)</f>
        <v/>
      </c>
      <c r="X63" s="20" t="n"/>
      <c r="AD63">
        <f>IF(58&gt;MAX($AB$6:$AB$9),"",COUNTIF($AB$6:$AB$9,"&lt;"&amp;58)+1)</f>
        <v/>
      </c>
      <c r="AE63">
        <f>IF(AD63="","",58-INDEX($AC$6:$AC$9,AD63))</f>
        <v/>
      </c>
      <c r="AF63">
        <f>IF(AD63="","",INDEX(INDIRECT("'"&amp;$B63&amp;"'!$AE$6:$AE$205"),MATCH(AE63,INDIRECT("'"&amp;$B63&amp;"'!$AI$6:$AI$205"),0)))</f>
        <v/>
      </c>
    </row>
    <row r="64">
      <c r="A64" s="34">
        <f>IF(AD64="","",59)</f>
        <v/>
      </c>
      <c r="B64" s="35">
        <f>IF(AD64="","",INDEX($Z$6:$Z$9,AD64))</f>
        <v/>
      </c>
      <c r="C64" s="34">
        <f>IF(AD64="","",INDEX(INDIRECT("'"&amp;$B64&amp;"'!$B$6:$B$205"),MATCH($AF64,INDIRECT("'"&amp;$B64&amp;"'!$AE$6:$AE$205"),0)))</f>
        <v/>
      </c>
      <c r="D64" s="34">
        <f>IF(AD64="","",INDEX(INDIRECT("'"&amp;$B64&amp;"'!$D$6:$D$205"),MATCH($AF64,INDIRECT("'"&amp;$B64&amp;"'!$AE$6:$AE$205"),0)))</f>
        <v/>
      </c>
      <c r="E64" s="36">
        <f>IF(AD64="","",INDEX(INDIRECT("'"&amp;$B64&amp;"'!$F$6:$F$205"),MATCH($AF64,INDIRECT("'"&amp;$B64&amp;"'!$AE$6:$AE$205"),0)))</f>
        <v/>
      </c>
      <c r="F64" s="34">
        <f>IF(AD64="","",INDEX(INDIRECT("'"&amp;$B64&amp;"'!$K$6:$K$205"),MATCH($AF64,INDIRECT("'"&amp;$B64&amp;"'!$AE$6:$AE$205"),0)))</f>
        <v/>
      </c>
      <c r="G64" s="34">
        <f>IF(AD64="","",INDEX(INDIRECT("'"&amp;$B64&amp;"'!$L$6:$L$205"),MATCH($AF64,INDIRECT("'"&amp;$B64&amp;"'!$AE$6:$AE$205"),0)))</f>
        <v/>
      </c>
      <c r="H64" s="34">
        <f>IF(OR(AD64="",H$5="-"),"",IFERROR(IF(INDEX(INDIRECT("'"&amp;$B64&amp;"'!$N$6:$N$205"),MATCH($AF64&amp;"|"&amp;H$5,INDIRECT("'"&amp;$B64&amp;"'!$AF$6:$AF$205"),0))="","",INDEX(INDIRECT("'"&amp;$B64&amp;"'!$N$6:$N$205"),MATCH($AF64&amp;"|"&amp;H$5,INDIRECT("'"&amp;$B64&amp;"'!$AF$6:$AF$205"),0))),"-"))</f>
        <v/>
      </c>
      <c r="I64" s="34">
        <f>IF(OR(AD64="",I$5="-"),"",IFERROR(IF(INDEX(INDIRECT("'"&amp;$B64&amp;"'!$N$6:$N$205"),MATCH($AF64&amp;"|"&amp;I$5,INDIRECT("'"&amp;$B64&amp;"'!$AF$6:$AF$205"),0))="","",INDEX(INDIRECT("'"&amp;$B64&amp;"'!$N$6:$N$205"),MATCH($AF64&amp;"|"&amp;I$5,INDIRECT("'"&amp;$B64&amp;"'!$AF$6:$AF$205"),0))),"-"))</f>
        <v/>
      </c>
      <c r="J64" s="34">
        <f>IF(OR(AD64="",J$5="-"),"",IFERROR(IF(INDEX(INDIRECT("'"&amp;$B64&amp;"'!$N$6:$N$205"),MATCH($AF64&amp;"|"&amp;J$5,INDIRECT("'"&amp;$B64&amp;"'!$AF$6:$AF$205"),0))="","",INDEX(INDIRECT("'"&amp;$B64&amp;"'!$N$6:$N$205"),MATCH($AF64&amp;"|"&amp;J$5,INDIRECT("'"&amp;$B64&amp;"'!$AF$6:$AF$205"),0))),"-"))</f>
        <v/>
      </c>
      <c r="K64" s="34">
        <f>IF(OR(AD64="",K$5="-"),"",IFERROR(IF(INDEX(INDIRECT("'"&amp;$B64&amp;"'!$N$6:$N$205"),MATCH($AF64&amp;"|"&amp;K$5,INDIRECT("'"&amp;$B64&amp;"'!$AF$6:$AF$205"),0))="","",INDEX(INDIRECT("'"&amp;$B64&amp;"'!$N$6:$N$205"),MATCH($AF64&amp;"|"&amp;K$5,INDIRECT("'"&amp;$B64&amp;"'!$AF$6:$AF$205"),0))),"-"))</f>
        <v/>
      </c>
      <c r="L64" s="37">
        <f>IF(OR(AD64="",L$5="-"),"",IFERROR(IF(INDEX(INDIRECT("'"&amp;$B64&amp;"'!$R$6:$R$205"),MATCH($AF64&amp;"|"&amp;L$5,INDIRECT("'"&amp;$B64&amp;"'!$AF$6:$AF$205"),0))="","",INDEX(INDIRECT("'"&amp;$B64&amp;"'!$R$6:$R$205"),MATCH($AF64&amp;"|"&amp;L$5,INDIRECT("'"&amp;$B64&amp;"'!$AF$6:$AF$205"),0))),"-"))</f>
        <v/>
      </c>
      <c r="M64" s="37">
        <f>IF(OR(AD64="",M$5="-"),"",IFERROR(IF(INDEX(INDIRECT("'"&amp;$B64&amp;"'!$R$6:$R$205"),MATCH($AF64&amp;"|"&amp;M$5,INDIRECT("'"&amp;$B64&amp;"'!$AF$6:$AF$205"),0))="","",INDEX(INDIRECT("'"&amp;$B64&amp;"'!$R$6:$R$205"),MATCH($AF64&amp;"|"&amp;M$5,INDIRECT("'"&amp;$B64&amp;"'!$AF$6:$AF$205"),0))),"-"))</f>
        <v/>
      </c>
      <c r="N64" s="37">
        <f>IF(OR(AD64="",N$5="-"),"",IFERROR(IF(INDEX(INDIRECT("'"&amp;$B64&amp;"'!$R$6:$R$205"),MATCH($AF64&amp;"|"&amp;N$5,INDIRECT("'"&amp;$B64&amp;"'!$AF$6:$AF$205"),0))="","",INDEX(INDIRECT("'"&amp;$B64&amp;"'!$R$6:$R$205"),MATCH($AF64&amp;"|"&amp;N$5,INDIRECT("'"&amp;$B64&amp;"'!$AF$6:$AF$205"),0))),"-"))</f>
        <v/>
      </c>
      <c r="O64" s="37">
        <f>IF(OR(AD64="",O$5="-"),"",IFERROR(IF(INDEX(INDIRECT("'"&amp;$B64&amp;"'!$R$6:$R$205"),MATCH($AF64&amp;"|"&amp;O$5,INDIRECT("'"&amp;$B64&amp;"'!$AF$6:$AF$205"),0))="","",INDEX(INDIRECT("'"&amp;$B64&amp;"'!$R$6:$R$205"),MATCH($AF64&amp;"|"&amp;O$5,INDIRECT("'"&amp;$B64&amp;"'!$AF$6:$AF$205"),0))),"-"))</f>
        <v/>
      </c>
      <c r="P64" s="38">
        <f>IF(OR(AD64="",P$5="-"),"",IFERROR(IF(INDEX(INDIRECT("'"&amp;$B64&amp;"'!$T$6:$T$205"),MATCH($AF64&amp;"|"&amp;P$5,INDIRECT("'"&amp;$B64&amp;"'!$AF$6:$AF$205"),0))="","",INDEX(INDIRECT("'"&amp;$B64&amp;"'!$T$6:$T$205"),MATCH($AF64&amp;"|"&amp;P$5,INDIRECT("'"&amp;$B64&amp;"'!$AF$6:$AF$205"),0))),"-"))</f>
        <v/>
      </c>
      <c r="Q64" s="38">
        <f>IF(OR(AD64="",Q$5="-"),"",IFERROR(IF(INDEX(INDIRECT("'"&amp;$B64&amp;"'!$T$6:$T$205"),MATCH($AF64&amp;"|"&amp;Q$5,INDIRECT("'"&amp;$B64&amp;"'!$AF$6:$AF$205"),0))="","",INDEX(INDIRECT("'"&amp;$B64&amp;"'!$T$6:$T$205"),MATCH($AF64&amp;"|"&amp;Q$5,INDIRECT("'"&amp;$B64&amp;"'!$AF$6:$AF$205"),0))),"-"))</f>
        <v/>
      </c>
      <c r="R64" s="38">
        <f>IF(OR(AD64="",R$5="-"),"",IFERROR(IF(INDEX(INDIRECT("'"&amp;$B64&amp;"'!$T$6:$T$205"),MATCH($AF64&amp;"|"&amp;R$5,INDIRECT("'"&amp;$B64&amp;"'!$AF$6:$AF$205"),0))="","",INDEX(INDIRECT("'"&amp;$B64&amp;"'!$T$6:$T$205"),MATCH($AF64&amp;"|"&amp;R$5,INDIRECT("'"&amp;$B64&amp;"'!$AF$6:$AF$205"),0))),"-"))</f>
        <v/>
      </c>
      <c r="S64" s="38">
        <f>IF(OR(AD64="",S$5="-"),"",IFERROR(IF(INDEX(INDIRECT("'"&amp;$B64&amp;"'!$T$6:$T$205"),MATCH($AF64&amp;"|"&amp;S$5,INDIRECT("'"&amp;$B64&amp;"'!$AF$6:$AF$205"),0))="","",INDEX(INDIRECT("'"&amp;$B64&amp;"'!$T$6:$T$205"),MATCH($AF64&amp;"|"&amp;S$5,INDIRECT("'"&amp;$B64&amp;"'!$AF$6:$AF$205"),0))),"-"))</f>
        <v/>
      </c>
      <c r="T64" s="35">
        <f>IF(U64="","",INDEX($L$5:$O$5,MATCH(U64,L64:O64,0)))</f>
        <v/>
      </c>
      <c r="U64" s="37">
        <f>IF(COUNT(L64:O64)=0,"",MIN(L64:O64))</f>
        <v/>
      </c>
      <c r="V64" s="39">
        <f>IF(U64="","",U64*F64)</f>
        <v/>
      </c>
      <c r="W64" s="39">
        <f>IF(COUNT(L64:O64)&lt;2,"",(MAX(L64:O64)-MIN(L64:O64))*F64)</f>
        <v/>
      </c>
      <c r="X64" s="20" t="n"/>
      <c r="AD64">
        <f>IF(59&gt;MAX($AB$6:$AB$9),"",COUNTIF($AB$6:$AB$9,"&lt;"&amp;59)+1)</f>
        <v/>
      </c>
      <c r="AE64">
        <f>IF(AD64="","",59-INDEX($AC$6:$AC$9,AD64))</f>
        <v/>
      </c>
      <c r="AF64">
        <f>IF(AD64="","",INDEX(INDIRECT("'"&amp;$B64&amp;"'!$AE$6:$AE$205"),MATCH(AE64,INDIRECT("'"&amp;$B64&amp;"'!$AI$6:$AI$205"),0)))</f>
        <v/>
      </c>
    </row>
    <row r="65">
      <c r="A65" s="34">
        <f>IF(AD65="","",60)</f>
        <v/>
      </c>
      <c r="B65" s="35">
        <f>IF(AD65="","",INDEX($Z$6:$Z$9,AD65))</f>
        <v/>
      </c>
      <c r="C65" s="34">
        <f>IF(AD65="","",INDEX(INDIRECT("'"&amp;$B65&amp;"'!$B$6:$B$205"),MATCH($AF65,INDIRECT("'"&amp;$B65&amp;"'!$AE$6:$AE$205"),0)))</f>
        <v/>
      </c>
      <c r="D65" s="34">
        <f>IF(AD65="","",INDEX(INDIRECT("'"&amp;$B65&amp;"'!$D$6:$D$205"),MATCH($AF65,INDIRECT("'"&amp;$B65&amp;"'!$AE$6:$AE$205"),0)))</f>
        <v/>
      </c>
      <c r="E65" s="36">
        <f>IF(AD65="","",INDEX(INDIRECT("'"&amp;$B65&amp;"'!$F$6:$F$205"),MATCH($AF65,INDIRECT("'"&amp;$B65&amp;"'!$AE$6:$AE$205"),0)))</f>
        <v/>
      </c>
      <c r="F65" s="34">
        <f>IF(AD65="","",INDEX(INDIRECT("'"&amp;$B65&amp;"'!$K$6:$K$205"),MATCH($AF65,INDIRECT("'"&amp;$B65&amp;"'!$AE$6:$AE$205"),0)))</f>
        <v/>
      </c>
      <c r="G65" s="34">
        <f>IF(AD65="","",INDEX(INDIRECT("'"&amp;$B65&amp;"'!$L$6:$L$205"),MATCH($AF65,INDIRECT("'"&amp;$B65&amp;"'!$AE$6:$AE$205"),0)))</f>
        <v/>
      </c>
      <c r="H65" s="34">
        <f>IF(OR(AD65="",H$5="-"),"",IFERROR(IF(INDEX(INDIRECT("'"&amp;$B65&amp;"'!$N$6:$N$205"),MATCH($AF65&amp;"|"&amp;H$5,INDIRECT("'"&amp;$B65&amp;"'!$AF$6:$AF$205"),0))="","",INDEX(INDIRECT("'"&amp;$B65&amp;"'!$N$6:$N$205"),MATCH($AF65&amp;"|"&amp;H$5,INDIRECT("'"&amp;$B65&amp;"'!$AF$6:$AF$205"),0))),"-"))</f>
        <v/>
      </c>
      <c r="I65" s="34">
        <f>IF(OR(AD65="",I$5="-"),"",IFERROR(IF(INDEX(INDIRECT("'"&amp;$B65&amp;"'!$N$6:$N$205"),MATCH($AF65&amp;"|"&amp;I$5,INDIRECT("'"&amp;$B65&amp;"'!$AF$6:$AF$205"),0))="","",INDEX(INDIRECT("'"&amp;$B65&amp;"'!$N$6:$N$205"),MATCH($AF65&amp;"|"&amp;I$5,INDIRECT("'"&amp;$B65&amp;"'!$AF$6:$AF$205"),0))),"-"))</f>
        <v/>
      </c>
      <c r="J65" s="34">
        <f>IF(OR(AD65="",J$5="-"),"",IFERROR(IF(INDEX(INDIRECT("'"&amp;$B65&amp;"'!$N$6:$N$205"),MATCH($AF65&amp;"|"&amp;J$5,INDIRECT("'"&amp;$B65&amp;"'!$AF$6:$AF$205"),0))="","",INDEX(INDIRECT("'"&amp;$B65&amp;"'!$N$6:$N$205"),MATCH($AF65&amp;"|"&amp;J$5,INDIRECT("'"&amp;$B65&amp;"'!$AF$6:$AF$205"),0))),"-"))</f>
        <v/>
      </c>
      <c r="K65" s="34">
        <f>IF(OR(AD65="",K$5="-"),"",IFERROR(IF(INDEX(INDIRECT("'"&amp;$B65&amp;"'!$N$6:$N$205"),MATCH($AF65&amp;"|"&amp;K$5,INDIRECT("'"&amp;$B65&amp;"'!$AF$6:$AF$205"),0))="","",INDEX(INDIRECT("'"&amp;$B65&amp;"'!$N$6:$N$205"),MATCH($AF65&amp;"|"&amp;K$5,INDIRECT("'"&amp;$B65&amp;"'!$AF$6:$AF$205"),0))),"-"))</f>
        <v/>
      </c>
      <c r="L65" s="37">
        <f>IF(OR(AD65="",L$5="-"),"",IFERROR(IF(INDEX(INDIRECT("'"&amp;$B65&amp;"'!$R$6:$R$205"),MATCH($AF65&amp;"|"&amp;L$5,INDIRECT("'"&amp;$B65&amp;"'!$AF$6:$AF$205"),0))="","",INDEX(INDIRECT("'"&amp;$B65&amp;"'!$R$6:$R$205"),MATCH($AF65&amp;"|"&amp;L$5,INDIRECT("'"&amp;$B65&amp;"'!$AF$6:$AF$205"),0))),"-"))</f>
        <v/>
      </c>
      <c r="M65" s="37">
        <f>IF(OR(AD65="",M$5="-"),"",IFERROR(IF(INDEX(INDIRECT("'"&amp;$B65&amp;"'!$R$6:$R$205"),MATCH($AF65&amp;"|"&amp;M$5,INDIRECT("'"&amp;$B65&amp;"'!$AF$6:$AF$205"),0))="","",INDEX(INDIRECT("'"&amp;$B65&amp;"'!$R$6:$R$205"),MATCH($AF65&amp;"|"&amp;M$5,INDIRECT("'"&amp;$B65&amp;"'!$AF$6:$AF$205"),0))),"-"))</f>
        <v/>
      </c>
      <c r="N65" s="37">
        <f>IF(OR(AD65="",N$5="-"),"",IFERROR(IF(INDEX(INDIRECT("'"&amp;$B65&amp;"'!$R$6:$R$205"),MATCH($AF65&amp;"|"&amp;N$5,INDIRECT("'"&amp;$B65&amp;"'!$AF$6:$AF$205"),0))="","",INDEX(INDIRECT("'"&amp;$B65&amp;"'!$R$6:$R$205"),MATCH($AF65&amp;"|"&amp;N$5,INDIRECT("'"&amp;$B65&amp;"'!$AF$6:$AF$205"),0))),"-"))</f>
        <v/>
      </c>
      <c r="O65" s="37">
        <f>IF(OR(AD65="",O$5="-"),"",IFERROR(IF(INDEX(INDIRECT("'"&amp;$B65&amp;"'!$R$6:$R$205"),MATCH($AF65&amp;"|"&amp;O$5,INDIRECT("'"&amp;$B65&amp;"'!$AF$6:$AF$205"),0))="","",INDEX(INDIRECT("'"&amp;$B65&amp;"'!$R$6:$R$205"),MATCH($AF65&amp;"|"&amp;O$5,INDIRECT("'"&amp;$B65&amp;"'!$AF$6:$AF$205"),0))),"-"))</f>
        <v/>
      </c>
      <c r="P65" s="38">
        <f>IF(OR(AD65="",P$5="-"),"",IFERROR(IF(INDEX(INDIRECT("'"&amp;$B65&amp;"'!$T$6:$T$205"),MATCH($AF65&amp;"|"&amp;P$5,INDIRECT("'"&amp;$B65&amp;"'!$AF$6:$AF$205"),0))="","",INDEX(INDIRECT("'"&amp;$B65&amp;"'!$T$6:$T$205"),MATCH($AF65&amp;"|"&amp;P$5,INDIRECT("'"&amp;$B65&amp;"'!$AF$6:$AF$205"),0))),"-"))</f>
        <v/>
      </c>
      <c r="Q65" s="38">
        <f>IF(OR(AD65="",Q$5="-"),"",IFERROR(IF(INDEX(INDIRECT("'"&amp;$B65&amp;"'!$T$6:$T$205"),MATCH($AF65&amp;"|"&amp;Q$5,INDIRECT("'"&amp;$B65&amp;"'!$AF$6:$AF$205"),0))="","",INDEX(INDIRECT("'"&amp;$B65&amp;"'!$T$6:$T$205"),MATCH($AF65&amp;"|"&amp;Q$5,INDIRECT("'"&amp;$B65&amp;"'!$AF$6:$AF$205"),0))),"-"))</f>
        <v/>
      </c>
      <c r="R65" s="38">
        <f>IF(OR(AD65="",R$5="-"),"",IFERROR(IF(INDEX(INDIRECT("'"&amp;$B65&amp;"'!$T$6:$T$205"),MATCH($AF65&amp;"|"&amp;R$5,INDIRECT("'"&amp;$B65&amp;"'!$AF$6:$AF$205"),0))="","",INDEX(INDIRECT("'"&amp;$B65&amp;"'!$T$6:$T$205"),MATCH($AF65&amp;"|"&amp;R$5,INDIRECT("'"&amp;$B65&amp;"'!$AF$6:$AF$205"),0))),"-"))</f>
        <v/>
      </c>
      <c r="S65" s="38">
        <f>IF(OR(AD65="",S$5="-"),"",IFERROR(IF(INDEX(INDIRECT("'"&amp;$B65&amp;"'!$T$6:$T$205"),MATCH($AF65&amp;"|"&amp;S$5,INDIRECT("'"&amp;$B65&amp;"'!$AF$6:$AF$205"),0))="","",INDEX(INDIRECT("'"&amp;$B65&amp;"'!$T$6:$T$205"),MATCH($AF65&amp;"|"&amp;S$5,INDIRECT("'"&amp;$B65&amp;"'!$AF$6:$AF$205"),0))),"-"))</f>
        <v/>
      </c>
      <c r="T65" s="35">
        <f>IF(U65="","",INDEX($L$5:$O$5,MATCH(U65,L65:O65,0)))</f>
        <v/>
      </c>
      <c r="U65" s="37">
        <f>IF(COUNT(L65:O65)=0,"",MIN(L65:O65))</f>
        <v/>
      </c>
      <c r="V65" s="39">
        <f>IF(U65="","",U65*F65)</f>
        <v/>
      </c>
      <c r="W65" s="39">
        <f>IF(COUNT(L65:O65)&lt;2,"",(MAX(L65:O65)-MIN(L65:O65))*F65)</f>
        <v/>
      </c>
      <c r="X65" s="20" t="n"/>
      <c r="AD65">
        <f>IF(60&gt;MAX($AB$6:$AB$9),"",COUNTIF($AB$6:$AB$9,"&lt;"&amp;60)+1)</f>
        <v/>
      </c>
      <c r="AE65">
        <f>IF(AD65="","",60-INDEX($AC$6:$AC$9,AD65))</f>
        <v/>
      </c>
      <c r="AF65">
        <f>IF(AD65="","",INDEX(INDIRECT("'"&amp;$B65&amp;"'!$AE$6:$AE$205"),MATCH(AE65,INDIRECT("'"&amp;$B65&amp;"'!$AI$6:$AI$205"),0)))</f>
        <v/>
      </c>
    </row>
    <row r="66">
      <c r="A66" s="34">
        <f>IF(AD66="","",61)</f>
        <v/>
      </c>
      <c r="B66" s="35">
        <f>IF(AD66="","",INDEX($Z$6:$Z$9,AD66))</f>
        <v/>
      </c>
      <c r="C66" s="34">
        <f>IF(AD66="","",INDEX(INDIRECT("'"&amp;$B66&amp;"'!$B$6:$B$205"),MATCH($AF66,INDIRECT("'"&amp;$B66&amp;"'!$AE$6:$AE$205"),0)))</f>
        <v/>
      </c>
      <c r="D66" s="34">
        <f>IF(AD66="","",INDEX(INDIRECT("'"&amp;$B66&amp;"'!$D$6:$D$205"),MATCH($AF66,INDIRECT("'"&amp;$B66&amp;"'!$AE$6:$AE$205"),0)))</f>
        <v/>
      </c>
      <c r="E66" s="36">
        <f>IF(AD66="","",INDEX(INDIRECT("'"&amp;$B66&amp;"'!$F$6:$F$205"),MATCH($AF66,INDIRECT("'"&amp;$B66&amp;"'!$AE$6:$AE$205"),0)))</f>
        <v/>
      </c>
      <c r="F66" s="34">
        <f>IF(AD66="","",INDEX(INDIRECT("'"&amp;$B66&amp;"'!$K$6:$K$205"),MATCH($AF66,INDIRECT("'"&amp;$B66&amp;"'!$AE$6:$AE$205"),0)))</f>
        <v/>
      </c>
      <c r="G66" s="34">
        <f>IF(AD66="","",INDEX(INDIRECT("'"&amp;$B66&amp;"'!$L$6:$L$205"),MATCH($AF66,INDIRECT("'"&amp;$B66&amp;"'!$AE$6:$AE$205"),0)))</f>
        <v/>
      </c>
      <c r="H66" s="34">
        <f>IF(OR(AD66="",H$5="-"),"",IFERROR(IF(INDEX(INDIRECT("'"&amp;$B66&amp;"'!$N$6:$N$205"),MATCH($AF66&amp;"|"&amp;H$5,INDIRECT("'"&amp;$B66&amp;"'!$AF$6:$AF$205"),0))="","",INDEX(INDIRECT("'"&amp;$B66&amp;"'!$N$6:$N$205"),MATCH($AF66&amp;"|"&amp;H$5,INDIRECT("'"&amp;$B66&amp;"'!$AF$6:$AF$205"),0))),"-"))</f>
        <v/>
      </c>
      <c r="I66" s="34">
        <f>IF(OR(AD66="",I$5="-"),"",IFERROR(IF(INDEX(INDIRECT("'"&amp;$B66&amp;"'!$N$6:$N$205"),MATCH($AF66&amp;"|"&amp;I$5,INDIRECT("'"&amp;$B66&amp;"'!$AF$6:$AF$205"),0))="","",INDEX(INDIRECT("'"&amp;$B66&amp;"'!$N$6:$N$205"),MATCH($AF66&amp;"|"&amp;I$5,INDIRECT("'"&amp;$B66&amp;"'!$AF$6:$AF$205"),0))),"-"))</f>
        <v/>
      </c>
      <c r="J66" s="34">
        <f>IF(OR(AD66="",J$5="-"),"",IFERROR(IF(INDEX(INDIRECT("'"&amp;$B66&amp;"'!$N$6:$N$205"),MATCH($AF66&amp;"|"&amp;J$5,INDIRECT("'"&amp;$B66&amp;"'!$AF$6:$AF$205"),0))="","",INDEX(INDIRECT("'"&amp;$B66&amp;"'!$N$6:$N$205"),MATCH($AF66&amp;"|"&amp;J$5,INDIRECT("'"&amp;$B66&amp;"'!$AF$6:$AF$205"),0))),"-"))</f>
        <v/>
      </c>
      <c r="K66" s="34">
        <f>IF(OR(AD66="",K$5="-"),"",IFERROR(IF(INDEX(INDIRECT("'"&amp;$B66&amp;"'!$N$6:$N$205"),MATCH($AF66&amp;"|"&amp;K$5,INDIRECT("'"&amp;$B66&amp;"'!$AF$6:$AF$205"),0))="","",INDEX(INDIRECT("'"&amp;$B66&amp;"'!$N$6:$N$205"),MATCH($AF66&amp;"|"&amp;K$5,INDIRECT("'"&amp;$B66&amp;"'!$AF$6:$AF$205"),0))),"-"))</f>
        <v/>
      </c>
      <c r="L66" s="37">
        <f>IF(OR(AD66="",L$5="-"),"",IFERROR(IF(INDEX(INDIRECT("'"&amp;$B66&amp;"'!$R$6:$R$205"),MATCH($AF66&amp;"|"&amp;L$5,INDIRECT("'"&amp;$B66&amp;"'!$AF$6:$AF$205"),0))="","",INDEX(INDIRECT("'"&amp;$B66&amp;"'!$R$6:$R$205"),MATCH($AF66&amp;"|"&amp;L$5,INDIRECT("'"&amp;$B66&amp;"'!$AF$6:$AF$205"),0))),"-"))</f>
        <v/>
      </c>
      <c r="M66" s="37">
        <f>IF(OR(AD66="",M$5="-"),"",IFERROR(IF(INDEX(INDIRECT("'"&amp;$B66&amp;"'!$R$6:$R$205"),MATCH($AF66&amp;"|"&amp;M$5,INDIRECT("'"&amp;$B66&amp;"'!$AF$6:$AF$205"),0))="","",INDEX(INDIRECT("'"&amp;$B66&amp;"'!$R$6:$R$205"),MATCH($AF66&amp;"|"&amp;M$5,INDIRECT("'"&amp;$B66&amp;"'!$AF$6:$AF$205"),0))),"-"))</f>
        <v/>
      </c>
      <c r="N66" s="37">
        <f>IF(OR(AD66="",N$5="-"),"",IFERROR(IF(INDEX(INDIRECT("'"&amp;$B66&amp;"'!$R$6:$R$205"),MATCH($AF66&amp;"|"&amp;N$5,INDIRECT("'"&amp;$B66&amp;"'!$AF$6:$AF$205"),0))="","",INDEX(INDIRECT("'"&amp;$B66&amp;"'!$R$6:$R$205"),MATCH($AF66&amp;"|"&amp;N$5,INDIRECT("'"&amp;$B66&amp;"'!$AF$6:$AF$205"),0))),"-"))</f>
        <v/>
      </c>
      <c r="O66" s="37">
        <f>IF(OR(AD66="",O$5="-"),"",IFERROR(IF(INDEX(INDIRECT("'"&amp;$B66&amp;"'!$R$6:$R$205"),MATCH($AF66&amp;"|"&amp;O$5,INDIRECT("'"&amp;$B66&amp;"'!$AF$6:$AF$205"),0))="","",INDEX(INDIRECT("'"&amp;$B66&amp;"'!$R$6:$R$205"),MATCH($AF66&amp;"|"&amp;O$5,INDIRECT("'"&amp;$B66&amp;"'!$AF$6:$AF$205"),0))),"-"))</f>
        <v/>
      </c>
      <c r="P66" s="38">
        <f>IF(OR(AD66="",P$5="-"),"",IFERROR(IF(INDEX(INDIRECT("'"&amp;$B66&amp;"'!$T$6:$T$205"),MATCH($AF66&amp;"|"&amp;P$5,INDIRECT("'"&amp;$B66&amp;"'!$AF$6:$AF$205"),0))="","",INDEX(INDIRECT("'"&amp;$B66&amp;"'!$T$6:$T$205"),MATCH($AF66&amp;"|"&amp;P$5,INDIRECT("'"&amp;$B66&amp;"'!$AF$6:$AF$205"),0))),"-"))</f>
        <v/>
      </c>
      <c r="Q66" s="38">
        <f>IF(OR(AD66="",Q$5="-"),"",IFERROR(IF(INDEX(INDIRECT("'"&amp;$B66&amp;"'!$T$6:$T$205"),MATCH($AF66&amp;"|"&amp;Q$5,INDIRECT("'"&amp;$B66&amp;"'!$AF$6:$AF$205"),0))="","",INDEX(INDIRECT("'"&amp;$B66&amp;"'!$T$6:$T$205"),MATCH($AF66&amp;"|"&amp;Q$5,INDIRECT("'"&amp;$B66&amp;"'!$AF$6:$AF$205"),0))),"-"))</f>
        <v/>
      </c>
      <c r="R66" s="38">
        <f>IF(OR(AD66="",R$5="-"),"",IFERROR(IF(INDEX(INDIRECT("'"&amp;$B66&amp;"'!$T$6:$T$205"),MATCH($AF66&amp;"|"&amp;R$5,INDIRECT("'"&amp;$B66&amp;"'!$AF$6:$AF$205"),0))="","",INDEX(INDIRECT("'"&amp;$B66&amp;"'!$T$6:$T$205"),MATCH($AF66&amp;"|"&amp;R$5,INDIRECT("'"&amp;$B66&amp;"'!$AF$6:$AF$205"),0))),"-"))</f>
        <v/>
      </c>
      <c r="S66" s="38">
        <f>IF(OR(AD66="",S$5="-"),"",IFERROR(IF(INDEX(INDIRECT("'"&amp;$B66&amp;"'!$T$6:$T$205"),MATCH($AF66&amp;"|"&amp;S$5,INDIRECT("'"&amp;$B66&amp;"'!$AF$6:$AF$205"),0))="","",INDEX(INDIRECT("'"&amp;$B66&amp;"'!$T$6:$T$205"),MATCH($AF66&amp;"|"&amp;S$5,INDIRECT("'"&amp;$B66&amp;"'!$AF$6:$AF$205"),0))),"-"))</f>
        <v/>
      </c>
      <c r="T66" s="35">
        <f>IF(U66="","",INDEX($L$5:$O$5,MATCH(U66,L66:O66,0)))</f>
        <v/>
      </c>
      <c r="U66" s="37">
        <f>IF(COUNT(L66:O66)=0,"",MIN(L66:O66))</f>
        <v/>
      </c>
      <c r="V66" s="39">
        <f>IF(U66="","",U66*F66)</f>
        <v/>
      </c>
      <c r="W66" s="39">
        <f>IF(COUNT(L66:O66)&lt;2,"",(MAX(L66:O66)-MIN(L66:O66))*F66)</f>
        <v/>
      </c>
      <c r="X66" s="20" t="n"/>
      <c r="AD66">
        <f>IF(61&gt;MAX($AB$6:$AB$9),"",COUNTIF($AB$6:$AB$9,"&lt;"&amp;61)+1)</f>
        <v/>
      </c>
      <c r="AE66">
        <f>IF(AD66="","",61-INDEX($AC$6:$AC$9,AD66))</f>
        <v/>
      </c>
      <c r="AF66">
        <f>IF(AD66="","",INDEX(INDIRECT("'"&amp;$B66&amp;"'!$AE$6:$AE$205"),MATCH(AE66,INDIRECT("'"&amp;$B66&amp;"'!$AI$6:$AI$205"),0)))</f>
        <v/>
      </c>
    </row>
    <row r="67">
      <c r="A67" s="34">
        <f>IF(AD67="","",62)</f>
        <v/>
      </c>
      <c r="B67" s="35">
        <f>IF(AD67="","",INDEX($Z$6:$Z$9,AD67))</f>
        <v/>
      </c>
      <c r="C67" s="34">
        <f>IF(AD67="","",INDEX(INDIRECT("'"&amp;$B67&amp;"'!$B$6:$B$205"),MATCH($AF67,INDIRECT("'"&amp;$B67&amp;"'!$AE$6:$AE$205"),0)))</f>
        <v/>
      </c>
      <c r="D67" s="34">
        <f>IF(AD67="","",INDEX(INDIRECT("'"&amp;$B67&amp;"'!$D$6:$D$205"),MATCH($AF67,INDIRECT("'"&amp;$B67&amp;"'!$AE$6:$AE$205"),0)))</f>
        <v/>
      </c>
      <c r="E67" s="36">
        <f>IF(AD67="","",INDEX(INDIRECT("'"&amp;$B67&amp;"'!$F$6:$F$205"),MATCH($AF67,INDIRECT("'"&amp;$B67&amp;"'!$AE$6:$AE$205"),0)))</f>
        <v/>
      </c>
      <c r="F67" s="34">
        <f>IF(AD67="","",INDEX(INDIRECT("'"&amp;$B67&amp;"'!$K$6:$K$205"),MATCH($AF67,INDIRECT("'"&amp;$B67&amp;"'!$AE$6:$AE$205"),0)))</f>
        <v/>
      </c>
      <c r="G67" s="34">
        <f>IF(AD67="","",INDEX(INDIRECT("'"&amp;$B67&amp;"'!$L$6:$L$205"),MATCH($AF67,INDIRECT("'"&amp;$B67&amp;"'!$AE$6:$AE$205"),0)))</f>
        <v/>
      </c>
      <c r="H67" s="34">
        <f>IF(OR(AD67="",H$5="-"),"",IFERROR(IF(INDEX(INDIRECT("'"&amp;$B67&amp;"'!$N$6:$N$205"),MATCH($AF67&amp;"|"&amp;H$5,INDIRECT("'"&amp;$B67&amp;"'!$AF$6:$AF$205"),0))="","",INDEX(INDIRECT("'"&amp;$B67&amp;"'!$N$6:$N$205"),MATCH($AF67&amp;"|"&amp;H$5,INDIRECT("'"&amp;$B67&amp;"'!$AF$6:$AF$205"),0))),"-"))</f>
        <v/>
      </c>
      <c r="I67" s="34">
        <f>IF(OR(AD67="",I$5="-"),"",IFERROR(IF(INDEX(INDIRECT("'"&amp;$B67&amp;"'!$N$6:$N$205"),MATCH($AF67&amp;"|"&amp;I$5,INDIRECT("'"&amp;$B67&amp;"'!$AF$6:$AF$205"),0))="","",INDEX(INDIRECT("'"&amp;$B67&amp;"'!$N$6:$N$205"),MATCH($AF67&amp;"|"&amp;I$5,INDIRECT("'"&amp;$B67&amp;"'!$AF$6:$AF$205"),0))),"-"))</f>
        <v/>
      </c>
      <c r="J67" s="34">
        <f>IF(OR(AD67="",J$5="-"),"",IFERROR(IF(INDEX(INDIRECT("'"&amp;$B67&amp;"'!$N$6:$N$205"),MATCH($AF67&amp;"|"&amp;J$5,INDIRECT("'"&amp;$B67&amp;"'!$AF$6:$AF$205"),0))="","",INDEX(INDIRECT("'"&amp;$B67&amp;"'!$N$6:$N$205"),MATCH($AF67&amp;"|"&amp;J$5,INDIRECT("'"&amp;$B67&amp;"'!$AF$6:$AF$205"),0))),"-"))</f>
        <v/>
      </c>
      <c r="K67" s="34">
        <f>IF(OR(AD67="",K$5="-"),"",IFERROR(IF(INDEX(INDIRECT("'"&amp;$B67&amp;"'!$N$6:$N$205"),MATCH($AF67&amp;"|"&amp;K$5,INDIRECT("'"&amp;$B67&amp;"'!$AF$6:$AF$205"),0))="","",INDEX(INDIRECT("'"&amp;$B67&amp;"'!$N$6:$N$205"),MATCH($AF67&amp;"|"&amp;K$5,INDIRECT("'"&amp;$B67&amp;"'!$AF$6:$AF$205"),0))),"-"))</f>
        <v/>
      </c>
      <c r="L67" s="37">
        <f>IF(OR(AD67="",L$5="-"),"",IFERROR(IF(INDEX(INDIRECT("'"&amp;$B67&amp;"'!$R$6:$R$205"),MATCH($AF67&amp;"|"&amp;L$5,INDIRECT("'"&amp;$B67&amp;"'!$AF$6:$AF$205"),0))="","",INDEX(INDIRECT("'"&amp;$B67&amp;"'!$R$6:$R$205"),MATCH($AF67&amp;"|"&amp;L$5,INDIRECT("'"&amp;$B67&amp;"'!$AF$6:$AF$205"),0))),"-"))</f>
        <v/>
      </c>
      <c r="M67" s="37">
        <f>IF(OR(AD67="",M$5="-"),"",IFERROR(IF(INDEX(INDIRECT("'"&amp;$B67&amp;"'!$R$6:$R$205"),MATCH($AF67&amp;"|"&amp;M$5,INDIRECT("'"&amp;$B67&amp;"'!$AF$6:$AF$205"),0))="","",INDEX(INDIRECT("'"&amp;$B67&amp;"'!$R$6:$R$205"),MATCH($AF67&amp;"|"&amp;M$5,INDIRECT("'"&amp;$B67&amp;"'!$AF$6:$AF$205"),0))),"-"))</f>
        <v/>
      </c>
      <c r="N67" s="37">
        <f>IF(OR(AD67="",N$5="-"),"",IFERROR(IF(INDEX(INDIRECT("'"&amp;$B67&amp;"'!$R$6:$R$205"),MATCH($AF67&amp;"|"&amp;N$5,INDIRECT("'"&amp;$B67&amp;"'!$AF$6:$AF$205"),0))="","",INDEX(INDIRECT("'"&amp;$B67&amp;"'!$R$6:$R$205"),MATCH($AF67&amp;"|"&amp;N$5,INDIRECT("'"&amp;$B67&amp;"'!$AF$6:$AF$205"),0))),"-"))</f>
        <v/>
      </c>
      <c r="O67" s="37">
        <f>IF(OR(AD67="",O$5="-"),"",IFERROR(IF(INDEX(INDIRECT("'"&amp;$B67&amp;"'!$R$6:$R$205"),MATCH($AF67&amp;"|"&amp;O$5,INDIRECT("'"&amp;$B67&amp;"'!$AF$6:$AF$205"),0))="","",INDEX(INDIRECT("'"&amp;$B67&amp;"'!$R$6:$R$205"),MATCH($AF67&amp;"|"&amp;O$5,INDIRECT("'"&amp;$B67&amp;"'!$AF$6:$AF$205"),0))),"-"))</f>
        <v/>
      </c>
      <c r="P67" s="38">
        <f>IF(OR(AD67="",P$5="-"),"",IFERROR(IF(INDEX(INDIRECT("'"&amp;$B67&amp;"'!$T$6:$T$205"),MATCH($AF67&amp;"|"&amp;P$5,INDIRECT("'"&amp;$B67&amp;"'!$AF$6:$AF$205"),0))="","",INDEX(INDIRECT("'"&amp;$B67&amp;"'!$T$6:$T$205"),MATCH($AF67&amp;"|"&amp;P$5,INDIRECT("'"&amp;$B67&amp;"'!$AF$6:$AF$205"),0))),"-"))</f>
        <v/>
      </c>
      <c r="Q67" s="38">
        <f>IF(OR(AD67="",Q$5="-"),"",IFERROR(IF(INDEX(INDIRECT("'"&amp;$B67&amp;"'!$T$6:$T$205"),MATCH($AF67&amp;"|"&amp;Q$5,INDIRECT("'"&amp;$B67&amp;"'!$AF$6:$AF$205"),0))="","",INDEX(INDIRECT("'"&amp;$B67&amp;"'!$T$6:$T$205"),MATCH($AF67&amp;"|"&amp;Q$5,INDIRECT("'"&amp;$B67&amp;"'!$AF$6:$AF$205"),0))),"-"))</f>
        <v/>
      </c>
      <c r="R67" s="38">
        <f>IF(OR(AD67="",R$5="-"),"",IFERROR(IF(INDEX(INDIRECT("'"&amp;$B67&amp;"'!$T$6:$T$205"),MATCH($AF67&amp;"|"&amp;R$5,INDIRECT("'"&amp;$B67&amp;"'!$AF$6:$AF$205"),0))="","",INDEX(INDIRECT("'"&amp;$B67&amp;"'!$T$6:$T$205"),MATCH($AF67&amp;"|"&amp;R$5,INDIRECT("'"&amp;$B67&amp;"'!$AF$6:$AF$205"),0))),"-"))</f>
        <v/>
      </c>
      <c r="S67" s="38">
        <f>IF(OR(AD67="",S$5="-"),"",IFERROR(IF(INDEX(INDIRECT("'"&amp;$B67&amp;"'!$T$6:$T$205"),MATCH($AF67&amp;"|"&amp;S$5,INDIRECT("'"&amp;$B67&amp;"'!$AF$6:$AF$205"),0))="","",INDEX(INDIRECT("'"&amp;$B67&amp;"'!$T$6:$T$205"),MATCH($AF67&amp;"|"&amp;S$5,INDIRECT("'"&amp;$B67&amp;"'!$AF$6:$AF$205"),0))),"-"))</f>
        <v/>
      </c>
      <c r="T67" s="35">
        <f>IF(U67="","",INDEX($L$5:$O$5,MATCH(U67,L67:O67,0)))</f>
        <v/>
      </c>
      <c r="U67" s="37">
        <f>IF(COUNT(L67:O67)=0,"",MIN(L67:O67))</f>
        <v/>
      </c>
      <c r="V67" s="39">
        <f>IF(U67="","",U67*F67)</f>
        <v/>
      </c>
      <c r="W67" s="39">
        <f>IF(COUNT(L67:O67)&lt;2,"",(MAX(L67:O67)-MIN(L67:O67))*F67)</f>
        <v/>
      </c>
      <c r="X67" s="20" t="n"/>
      <c r="AD67">
        <f>IF(62&gt;MAX($AB$6:$AB$9),"",COUNTIF($AB$6:$AB$9,"&lt;"&amp;62)+1)</f>
        <v/>
      </c>
      <c r="AE67">
        <f>IF(AD67="","",62-INDEX($AC$6:$AC$9,AD67))</f>
        <v/>
      </c>
      <c r="AF67">
        <f>IF(AD67="","",INDEX(INDIRECT("'"&amp;$B67&amp;"'!$AE$6:$AE$205"),MATCH(AE67,INDIRECT("'"&amp;$B67&amp;"'!$AI$6:$AI$205"),0)))</f>
        <v/>
      </c>
    </row>
    <row r="68">
      <c r="A68" s="34">
        <f>IF(AD68="","",63)</f>
        <v/>
      </c>
      <c r="B68" s="35">
        <f>IF(AD68="","",INDEX($Z$6:$Z$9,AD68))</f>
        <v/>
      </c>
      <c r="C68" s="34">
        <f>IF(AD68="","",INDEX(INDIRECT("'"&amp;$B68&amp;"'!$B$6:$B$205"),MATCH($AF68,INDIRECT("'"&amp;$B68&amp;"'!$AE$6:$AE$205"),0)))</f>
        <v/>
      </c>
      <c r="D68" s="34">
        <f>IF(AD68="","",INDEX(INDIRECT("'"&amp;$B68&amp;"'!$D$6:$D$205"),MATCH($AF68,INDIRECT("'"&amp;$B68&amp;"'!$AE$6:$AE$205"),0)))</f>
        <v/>
      </c>
      <c r="E68" s="36">
        <f>IF(AD68="","",INDEX(INDIRECT("'"&amp;$B68&amp;"'!$F$6:$F$205"),MATCH($AF68,INDIRECT("'"&amp;$B68&amp;"'!$AE$6:$AE$205"),0)))</f>
        <v/>
      </c>
      <c r="F68" s="34">
        <f>IF(AD68="","",INDEX(INDIRECT("'"&amp;$B68&amp;"'!$K$6:$K$205"),MATCH($AF68,INDIRECT("'"&amp;$B68&amp;"'!$AE$6:$AE$205"),0)))</f>
        <v/>
      </c>
      <c r="G68" s="34">
        <f>IF(AD68="","",INDEX(INDIRECT("'"&amp;$B68&amp;"'!$L$6:$L$205"),MATCH($AF68,INDIRECT("'"&amp;$B68&amp;"'!$AE$6:$AE$205"),0)))</f>
        <v/>
      </c>
      <c r="H68" s="34">
        <f>IF(OR(AD68="",H$5="-"),"",IFERROR(IF(INDEX(INDIRECT("'"&amp;$B68&amp;"'!$N$6:$N$205"),MATCH($AF68&amp;"|"&amp;H$5,INDIRECT("'"&amp;$B68&amp;"'!$AF$6:$AF$205"),0))="","",INDEX(INDIRECT("'"&amp;$B68&amp;"'!$N$6:$N$205"),MATCH($AF68&amp;"|"&amp;H$5,INDIRECT("'"&amp;$B68&amp;"'!$AF$6:$AF$205"),0))),"-"))</f>
        <v/>
      </c>
      <c r="I68" s="34">
        <f>IF(OR(AD68="",I$5="-"),"",IFERROR(IF(INDEX(INDIRECT("'"&amp;$B68&amp;"'!$N$6:$N$205"),MATCH($AF68&amp;"|"&amp;I$5,INDIRECT("'"&amp;$B68&amp;"'!$AF$6:$AF$205"),0))="","",INDEX(INDIRECT("'"&amp;$B68&amp;"'!$N$6:$N$205"),MATCH($AF68&amp;"|"&amp;I$5,INDIRECT("'"&amp;$B68&amp;"'!$AF$6:$AF$205"),0))),"-"))</f>
        <v/>
      </c>
      <c r="J68" s="34">
        <f>IF(OR(AD68="",J$5="-"),"",IFERROR(IF(INDEX(INDIRECT("'"&amp;$B68&amp;"'!$N$6:$N$205"),MATCH($AF68&amp;"|"&amp;J$5,INDIRECT("'"&amp;$B68&amp;"'!$AF$6:$AF$205"),0))="","",INDEX(INDIRECT("'"&amp;$B68&amp;"'!$N$6:$N$205"),MATCH($AF68&amp;"|"&amp;J$5,INDIRECT("'"&amp;$B68&amp;"'!$AF$6:$AF$205"),0))),"-"))</f>
        <v/>
      </c>
      <c r="K68" s="34">
        <f>IF(OR(AD68="",K$5="-"),"",IFERROR(IF(INDEX(INDIRECT("'"&amp;$B68&amp;"'!$N$6:$N$205"),MATCH($AF68&amp;"|"&amp;K$5,INDIRECT("'"&amp;$B68&amp;"'!$AF$6:$AF$205"),0))="","",INDEX(INDIRECT("'"&amp;$B68&amp;"'!$N$6:$N$205"),MATCH($AF68&amp;"|"&amp;K$5,INDIRECT("'"&amp;$B68&amp;"'!$AF$6:$AF$205"),0))),"-"))</f>
        <v/>
      </c>
      <c r="L68" s="37">
        <f>IF(OR(AD68="",L$5="-"),"",IFERROR(IF(INDEX(INDIRECT("'"&amp;$B68&amp;"'!$R$6:$R$205"),MATCH($AF68&amp;"|"&amp;L$5,INDIRECT("'"&amp;$B68&amp;"'!$AF$6:$AF$205"),0))="","",INDEX(INDIRECT("'"&amp;$B68&amp;"'!$R$6:$R$205"),MATCH($AF68&amp;"|"&amp;L$5,INDIRECT("'"&amp;$B68&amp;"'!$AF$6:$AF$205"),0))),"-"))</f>
        <v/>
      </c>
      <c r="M68" s="37">
        <f>IF(OR(AD68="",M$5="-"),"",IFERROR(IF(INDEX(INDIRECT("'"&amp;$B68&amp;"'!$R$6:$R$205"),MATCH($AF68&amp;"|"&amp;M$5,INDIRECT("'"&amp;$B68&amp;"'!$AF$6:$AF$205"),0))="","",INDEX(INDIRECT("'"&amp;$B68&amp;"'!$R$6:$R$205"),MATCH($AF68&amp;"|"&amp;M$5,INDIRECT("'"&amp;$B68&amp;"'!$AF$6:$AF$205"),0))),"-"))</f>
        <v/>
      </c>
      <c r="N68" s="37">
        <f>IF(OR(AD68="",N$5="-"),"",IFERROR(IF(INDEX(INDIRECT("'"&amp;$B68&amp;"'!$R$6:$R$205"),MATCH($AF68&amp;"|"&amp;N$5,INDIRECT("'"&amp;$B68&amp;"'!$AF$6:$AF$205"),0))="","",INDEX(INDIRECT("'"&amp;$B68&amp;"'!$R$6:$R$205"),MATCH($AF68&amp;"|"&amp;N$5,INDIRECT("'"&amp;$B68&amp;"'!$AF$6:$AF$205"),0))),"-"))</f>
        <v/>
      </c>
      <c r="O68" s="37">
        <f>IF(OR(AD68="",O$5="-"),"",IFERROR(IF(INDEX(INDIRECT("'"&amp;$B68&amp;"'!$R$6:$R$205"),MATCH($AF68&amp;"|"&amp;O$5,INDIRECT("'"&amp;$B68&amp;"'!$AF$6:$AF$205"),0))="","",INDEX(INDIRECT("'"&amp;$B68&amp;"'!$R$6:$R$205"),MATCH($AF68&amp;"|"&amp;O$5,INDIRECT("'"&amp;$B68&amp;"'!$AF$6:$AF$205"),0))),"-"))</f>
        <v/>
      </c>
      <c r="P68" s="38">
        <f>IF(OR(AD68="",P$5="-"),"",IFERROR(IF(INDEX(INDIRECT("'"&amp;$B68&amp;"'!$T$6:$T$205"),MATCH($AF68&amp;"|"&amp;P$5,INDIRECT("'"&amp;$B68&amp;"'!$AF$6:$AF$205"),0))="","",INDEX(INDIRECT("'"&amp;$B68&amp;"'!$T$6:$T$205"),MATCH($AF68&amp;"|"&amp;P$5,INDIRECT("'"&amp;$B68&amp;"'!$AF$6:$AF$205"),0))),"-"))</f>
        <v/>
      </c>
      <c r="Q68" s="38">
        <f>IF(OR(AD68="",Q$5="-"),"",IFERROR(IF(INDEX(INDIRECT("'"&amp;$B68&amp;"'!$T$6:$T$205"),MATCH($AF68&amp;"|"&amp;Q$5,INDIRECT("'"&amp;$B68&amp;"'!$AF$6:$AF$205"),0))="","",INDEX(INDIRECT("'"&amp;$B68&amp;"'!$T$6:$T$205"),MATCH($AF68&amp;"|"&amp;Q$5,INDIRECT("'"&amp;$B68&amp;"'!$AF$6:$AF$205"),0))),"-"))</f>
        <v/>
      </c>
      <c r="R68" s="38">
        <f>IF(OR(AD68="",R$5="-"),"",IFERROR(IF(INDEX(INDIRECT("'"&amp;$B68&amp;"'!$T$6:$T$205"),MATCH($AF68&amp;"|"&amp;R$5,INDIRECT("'"&amp;$B68&amp;"'!$AF$6:$AF$205"),0))="","",INDEX(INDIRECT("'"&amp;$B68&amp;"'!$T$6:$T$205"),MATCH($AF68&amp;"|"&amp;R$5,INDIRECT("'"&amp;$B68&amp;"'!$AF$6:$AF$205"),0))),"-"))</f>
        <v/>
      </c>
      <c r="S68" s="38">
        <f>IF(OR(AD68="",S$5="-"),"",IFERROR(IF(INDEX(INDIRECT("'"&amp;$B68&amp;"'!$T$6:$T$205"),MATCH($AF68&amp;"|"&amp;S$5,INDIRECT("'"&amp;$B68&amp;"'!$AF$6:$AF$205"),0))="","",INDEX(INDIRECT("'"&amp;$B68&amp;"'!$T$6:$T$205"),MATCH($AF68&amp;"|"&amp;S$5,INDIRECT("'"&amp;$B68&amp;"'!$AF$6:$AF$205"),0))),"-"))</f>
        <v/>
      </c>
      <c r="T68" s="35">
        <f>IF(U68="","",INDEX($L$5:$O$5,MATCH(U68,L68:O68,0)))</f>
        <v/>
      </c>
      <c r="U68" s="37">
        <f>IF(COUNT(L68:O68)=0,"",MIN(L68:O68))</f>
        <v/>
      </c>
      <c r="V68" s="39">
        <f>IF(U68="","",U68*F68)</f>
        <v/>
      </c>
      <c r="W68" s="39">
        <f>IF(COUNT(L68:O68)&lt;2,"",(MAX(L68:O68)-MIN(L68:O68))*F68)</f>
        <v/>
      </c>
      <c r="X68" s="20" t="n"/>
      <c r="AD68">
        <f>IF(63&gt;MAX($AB$6:$AB$9),"",COUNTIF($AB$6:$AB$9,"&lt;"&amp;63)+1)</f>
        <v/>
      </c>
      <c r="AE68">
        <f>IF(AD68="","",63-INDEX($AC$6:$AC$9,AD68))</f>
        <v/>
      </c>
      <c r="AF68">
        <f>IF(AD68="","",INDEX(INDIRECT("'"&amp;$B68&amp;"'!$AE$6:$AE$205"),MATCH(AE68,INDIRECT("'"&amp;$B68&amp;"'!$AI$6:$AI$205"),0)))</f>
        <v/>
      </c>
    </row>
    <row r="69">
      <c r="A69" s="34">
        <f>IF(AD69="","",64)</f>
        <v/>
      </c>
      <c r="B69" s="35">
        <f>IF(AD69="","",INDEX($Z$6:$Z$9,AD69))</f>
        <v/>
      </c>
      <c r="C69" s="34">
        <f>IF(AD69="","",INDEX(INDIRECT("'"&amp;$B69&amp;"'!$B$6:$B$205"),MATCH($AF69,INDIRECT("'"&amp;$B69&amp;"'!$AE$6:$AE$205"),0)))</f>
        <v/>
      </c>
      <c r="D69" s="34">
        <f>IF(AD69="","",INDEX(INDIRECT("'"&amp;$B69&amp;"'!$D$6:$D$205"),MATCH($AF69,INDIRECT("'"&amp;$B69&amp;"'!$AE$6:$AE$205"),0)))</f>
        <v/>
      </c>
      <c r="E69" s="36">
        <f>IF(AD69="","",INDEX(INDIRECT("'"&amp;$B69&amp;"'!$F$6:$F$205"),MATCH($AF69,INDIRECT("'"&amp;$B69&amp;"'!$AE$6:$AE$205"),0)))</f>
        <v/>
      </c>
      <c r="F69" s="34">
        <f>IF(AD69="","",INDEX(INDIRECT("'"&amp;$B69&amp;"'!$K$6:$K$205"),MATCH($AF69,INDIRECT("'"&amp;$B69&amp;"'!$AE$6:$AE$205"),0)))</f>
        <v/>
      </c>
      <c r="G69" s="34">
        <f>IF(AD69="","",INDEX(INDIRECT("'"&amp;$B69&amp;"'!$L$6:$L$205"),MATCH($AF69,INDIRECT("'"&amp;$B69&amp;"'!$AE$6:$AE$205"),0)))</f>
        <v/>
      </c>
      <c r="H69" s="34">
        <f>IF(OR(AD69="",H$5="-"),"",IFERROR(IF(INDEX(INDIRECT("'"&amp;$B69&amp;"'!$N$6:$N$205"),MATCH($AF69&amp;"|"&amp;H$5,INDIRECT("'"&amp;$B69&amp;"'!$AF$6:$AF$205"),0))="","",INDEX(INDIRECT("'"&amp;$B69&amp;"'!$N$6:$N$205"),MATCH($AF69&amp;"|"&amp;H$5,INDIRECT("'"&amp;$B69&amp;"'!$AF$6:$AF$205"),0))),"-"))</f>
        <v/>
      </c>
      <c r="I69" s="34">
        <f>IF(OR(AD69="",I$5="-"),"",IFERROR(IF(INDEX(INDIRECT("'"&amp;$B69&amp;"'!$N$6:$N$205"),MATCH($AF69&amp;"|"&amp;I$5,INDIRECT("'"&amp;$B69&amp;"'!$AF$6:$AF$205"),0))="","",INDEX(INDIRECT("'"&amp;$B69&amp;"'!$N$6:$N$205"),MATCH($AF69&amp;"|"&amp;I$5,INDIRECT("'"&amp;$B69&amp;"'!$AF$6:$AF$205"),0))),"-"))</f>
        <v/>
      </c>
      <c r="J69" s="34">
        <f>IF(OR(AD69="",J$5="-"),"",IFERROR(IF(INDEX(INDIRECT("'"&amp;$B69&amp;"'!$N$6:$N$205"),MATCH($AF69&amp;"|"&amp;J$5,INDIRECT("'"&amp;$B69&amp;"'!$AF$6:$AF$205"),0))="","",INDEX(INDIRECT("'"&amp;$B69&amp;"'!$N$6:$N$205"),MATCH($AF69&amp;"|"&amp;J$5,INDIRECT("'"&amp;$B69&amp;"'!$AF$6:$AF$205"),0))),"-"))</f>
        <v/>
      </c>
      <c r="K69" s="34">
        <f>IF(OR(AD69="",K$5="-"),"",IFERROR(IF(INDEX(INDIRECT("'"&amp;$B69&amp;"'!$N$6:$N$205"),MATCH($AF69&amp;"|"&amp;K$5,INDIRECT("'"&amp;$B69&amp;"'!$AF$6:$AF$205"),0))="","",INDEX(INDIRECT("'"&amp;$B69&amp;"'!$N$6:$N$205"),MATCH($AF69&amp;"|"&amp;K$5,INDIRECT("'"&amp;$B69&amp;"'!$AF$6:$AF$205"),0))),"-"))</f>
        <v/>
      </c>
      <c r="L69" s="37">
        <f>IF(OR(AD69="",L$5="-"),"",IFERROR(IF(INDEX(INDIRECT("'"&amp;$B69&amp;"'!$R$6:$R$205"),MATCH($AF69&amp;"|"&amp;L$5,INDIRECT("'"&amp;$B69&amp;"'!$AF$6:$AF$205"),0))="","",INDEX(INDIRECT("'"&amp;$B69&amp;"'!$R$6:$R$205"),MATCH($AF69&amp;"|"&amp;L$5,INDIRECT("'"&amp;$B69&amp;"'!$AF$6:$AF$205"),0))),"-"))</f>
        <v/>
      </c>
      <c r="M69" s="37">
        <f>IF(OR(AD69="",M$5="-"),"",IFERROR(IF(INDEX(INDIRECT("'"&amp;$B69&amp;"'!$R$6:$R$205"),MATCH($AF69&amp;"|"&amp;M$5,INDIRECT("'"&amp;$B69&amp;"'!$AF$6:$AF$205"),0))="","",INDEX(INDIRECT("'"&amp;$B69&amp;"'!$R$6:$R$205"),MATCH($AF69&amp;"|"&amp;M$5,INDIRECT("'"&amp;$B69&amp;"'!$AF$6:$AF$205"),0))),"-"))</f>
        <v/>
      </c>
      <c r="N69" s="37">
        <f>IF(OR(AD69="",N$5="-"),"",IFERROR(IF(INDEX(INDIRECT("'"&amp;$B69&amp;"'!$R$6:$R$205"),MATCH($AF69&amp;"|"&amp;N$5,INDIRECT("'"&amp;$B69&amp;"'!$AF$6:$AF$205"),0))="","",INDEX(INDIRECT("'"&amp;$B69&amp;"'!$R$6:$R$205"),MATCH($AF69&amp;"|"&amp;N$5,INDIRECT("'"&amp;$B69&amp;"'!$AF$6:$AF$205"),0))),"-"))</f>
        <v/>
      </c>
      <c r="O69" s="37">
        <f>IF(OR(AD69="",O$5="-"),"",IFERROR(IF(INDEX(INDIRECT("'"&amp;$B69&amp;"'!$R$6:$R$205"),MATCH($AF69&amp;"|"&amp;O$5,INDIRECT("'"&amp;$B69&amp;"'!$AF$6:$AF$205"),0))="","",INDEX(INDIRECT("'"&amp;$B69&amp;"'!$R$6:$R$205"),MATCH($AF69&amp;"|"&amp;O$5,INDIRECT("'"&amp;$B69&amp;"'!$AF$6:$AF$205"),0))),"-"))</f>
        <v/>
      </c>
      <c r="P69" s="38">
        <f>IF(OR(AD69="",P$5="-"),"",IFERROR(IF(INDEX(INDIRECT("'"&amp;$B69&amp;"'!$T$6:$T$205"),MATCH($AF69&amp;"|"&amp;P$5,INDIRECT("'"&amp;$B69&amp;"'!$AF$6:$AF$205"),0))="","",INDEX(INDIRECT("'"&amp;$B69&amp;"'!$T$6:$T$205"),MATCH($AF69&amp;"|"&amp;P$5,INDIRECT("'"&amp;$B69&amp;"'!$AF$6:$AF$205"),0))),"-"))</f>
        <v/>
      </c>
      <c r="Q69" s="38">
        <f>IF(OR(AD69="",Q$5="-"),"",IFERROR(IF(INDEX(INDIRECT("'"&amp;$B69&amp;"'!$T$6:$T$205"),MATCH($AF69&amp;"|"&amp;Q$5,INDIRECT("'"&amp;$B69&amp;"'!$AF$6:$AF$205"),0))="","",INDEX(INDIRECT("'"&amp;$B69&amp;"'!$T$6:$T$205"),MATCH($AF69&amp;"|"&amp;Q$5,INDIRECT("'"&amp;$B69&amp;"'!$AF$6:$AF$205"),0))),"-"))</f>
        <v/>
      </c>
      <c r="R69" s="38">
        <f>IF(OR(AD69="",R$5="-"),"",IFERROR(IF(INDEX(INDIRECT("'"&amp;$B69&amp;"'!$T$6:$T$205"),MATCH($AF69&amp;"|"&amp;R$5,INDIRECT("'"&amp;$B69&amp;"'!$AF$6:$AF$205"),0))="","",INDEX(INDIRECT("'"&amp;$B69&amp;"'!$T$6:$T$205"),MATCH($AF69&amp;"|"&amp;R$5,INDIRECT("'"&amp;$B69&amp;"'!$AF$6:$AF$205"),0))),"-"))</f>
        <v/>
      </c>
      <c r="S69" s="38">
        <f>IF(OR(AD69="",S$5="-"),"",IFERROR(IF(INDEX(INDIRECT("'"&amp;$B69&amp;"'!$T$6:$T$205"),MATCH($AF69&amp;"|"&amp;S$5,INDIRECT("'"&amp;$B69&amp;"'!$AF$6:$AF$205"),0))="","",INDEX(INDIRECT("'"&amp;$B69&amp;"'!$T$6:$T$205"),MATCH($AF69&amp;"|"&amp;S$5,INDIRECT("'"&amp;$B69&amp;"'!$AF$6:$AF$205"),0))),"-"))</f>
        <v/>
      </c>
      <c r="T69" s="35">
        <f>IF(U69="","",INDEX($L$5:$O$5,MATCH(U69,L69:O69,0)))</f>
        <v/>
      </c>
      <c r="U69" s="37">
        <f>IF(COUNT(L69:O69)=0,"",MIN(L69:O69))</f>
        <v/>
      </c>
      <c r="V69" s="39">
        <f>IF(U69="","",U69*F69)</f>
        <v/>
      </c>
      <c r="W69" s="39">
        <f>IF(COUNT(L69:O69)&lt;2,"",(MAX(L69:O69)-MIN(L69:O69))*F69)</f>
        <v/>
      </c>
      <c r="X69" s="20" t="n"/>
      <c r="AD69">
        <f>IF(64&gt;MAX($AB$6:$AB$9),"",COUNTIF($AB$6:$AB$9,"&lt;"&amp;64)+1)</f>
        <v/>
      </c>
      <c r="AE69">
        <f>IF(AD69="","",64-INDEX($AC$6:$AC$9,AD69))</f>
        <v/>
      </c>
      <c r="AF69">
        <f>IF(AD69="","",INDEX(INDIRECT("'"&amp;$B69&amp;"'!$AE$6:$AE$205"),MATCH(AE69,INDIRECT("'"&amp;$B69&amp;"'!$AI$6:$AI$205"),0)))</f>
        <v/>
      </c>
    </row>
    <row r="70">
      <c r="A70" s="34">
        <f>IF(AD70="","",65)</f>
        <v/>
      </c>
      <c r="B70" s="35">
        <f>IF(AD70="","",INDEX($Z$6:$Z$9,AD70))</f>
        <v/>
      </c>
      <c r="C70" s="34">
        <f>IF(AD70="","",INDEX(INDIRECT("'"&amp;$B70&amp;"'!$B$6:$B$205"),MATCH($AF70,INDIRECT("'"&amp;$B70&amp;"'!$AE$6:$AE$205"),0)))</f>
        <v/>
      </c>
      <c r="D70" s="34">
        <f>IF(AD70="","",INDEX(INDIRECT("'"&amp;$B70&amp;"'!$D$6:$D$205"),MATCH($AF70,INDIRECT("'"&amp;$B70&amp;"'!$AE$6:$AE$205"),0)))</f>
        <v/>
      </c>
      <c r="E70" s="36">
        <f>IF(AD70="","",INDEX(INDIRECT("'"&amp;$B70&amp;"'!$F$6:$F$205"),MATCH($AF70,INDIRECT("'"&amp;$B70&amp;"'!$AE$6:$AE$205"),0)))</f>
        <v/>
      </c>
      <c r="F70" s="34">
        <f>IF(AD70="","",INDEX(INDIRECT("'"&amp;$B70&amp;"'!$K$6:$K$205"),MATCH($AF70,INDIRECT("'"&amp;$B70&amp;"'!$AE$6:$AE$205"),0)))</f>
        <v/>
      </c>
      <c r="G70" s="34">
        <f>IF(AD70="","",INDEX(INDIRECT("'"&amp;$B70&amp;"'!$L$6:$L$205"),MATCH($AF70,INDIRECT("'"&amp;$B70&amp;"'!$AE$6:$AE$205"),0)))</f>
        <v/>
      </c>
      <c r="H70" s="34">
        <f>IF(OR(AD70="",H$5="-"),"",IFERROR(IF(INDEX(INDIRECT("'"&amp;$B70&amp;"'!$N$6:$N$205"),MATCH($AF70&amp;"|"&amp;H$5,INDIRECT("'"&amp;$B70&amp;"'!$AF$6:$AF$205"),0))="","",INDEX(INDIRECT("'"&amp;$B70&amp;"'!$N$6:$N$205"),MATCH($AF70&amp;"|"&amp;H$5,INDIRECT("'"&amp;$B70&amp;"'!$AF$6:$AF$205"),0))),"-"))</f>
        <v/>
      </c>
      <c r="I70" s="34">
        <f>IF(OR(AD70="",I$5="-"),"",IFERROR(IF(INDEX(INDIRECT("'"&amp;$B70&amp;"'!$N$6:$N$205"),MATCH($AF70&amp;"|"&amp;I$5,INDIRECT("'"&amp;$B70&amp;"'!$AF$6:$AF$205"),0))="","",INDEX(INDIRECT("'"&amp;$B70&amp;"'!$N$6:$N$205"),MATCH($AF70&amp;"|"&amp;I$5,INDIRECT("'"&amp;$B70&amp;"'!$AF$6:$AF$205"),0))),"-"))</f>
        <v/>
      </c>
      <c r="J70" s="34">
        <f>IF(OR(AD70="",J$5="-"),"",IFERROR(IF(INDEX(INDIRECT("'"&amp;$B70&amp;"'!$N$6:$N$205"),MATCH($AF70&amp;"|"&amp;J$5,INDIRECT("'"&amp;$B70&amp;"'!$AF$6:$AF$205"),0))="","",INDEX(INDIRECT("'"&amp;$B70&amp;"'!$N$6:$N$205"),MATCH($AF70&amp;"|"&amp;J$5,INDIRECT("'"&amp;$B70&amp;"'!$AF$6:$AF$205"),0))),"-"))</f>
        <v/>
      </c>
      <c r="K70" s="34">
        <f>IF(OR(AD70="",K$5="-"),"",IFERROR(IF(INDEX(INDIRECT("'"&amp;$B70&amp;"'!$N$6:$N$205"),MATCH($AF70&amp;"|"&amp;K$5,INDIRECT("'"&amp;$B70&amp;"'!$AF$6:$AF$205"),0))="","",INDEX(INDIRECT("'"&amp;$B70&amp;"'!$N$6:$N$205"),MATCH($AF70&amp;"|"&amp;K$5,INDIRECT("'"&amp;$B70&amp;"'!$AF$6:$AF$205"),0))),"-"))</f>
        <v/>
      </c>
      <c r="L70" s="37">
        <f>IF(OR(AD70="",L$5="-"),"",IFERROR(IF(INDEX(INDIRECT("'"&amp;$B70&amp;"'!$R$6:$R$205"),MATCH($AF70&amp;"|"&amp;L$5,INDIRECT("'"&amp;$B70&amp;"'!$AF$6:$AF$205"),0))="","",INDEX(INDIRECT("'"&amp;$B70&amp;"'!$R$6:$R$205"),MATCH($AF70&amp;"|"&amp;L$5,INDIRECT("'"&amp;$B70&amp;"'!$AF$6:$AF$205"),0))),"-"))</f>
        <v/>
      </c>
      <c r="M70" s="37">
        <f>IF(OR(AD70="",M$5="-"),"",IFERROR(IF(INDEX(INDIRECT("'"&amp;$B70&amp;"'!$R$6:$R$205"),MATCH($AF70&amp;"|"&amp;M$5,INDIRECT("'"&amp;$B70&amp;"'!$AF$6:$AF$205"),0))="","",INDEX(INDIRECT("'"&amp;$B70&amp;"'!$R$6:$R$205"),MATCH($AF70&amp;"|"&amp;M$5,INDIRECT("'"&amp;$B70&amp;"'!$AF$6:$AF$205"),0))),"-"))</f>
        <v/>
      </c>
      <c r="N70" s="37">
        <f>IF(OR(AD70="",N$5="-"),"",IFERROR(IF(INDEX(INDIRECT("'"&amp;$B70&amp;"'!$R$6:$R$205"),MATCH($AF70&amp;"|"&amp;N$5,INDIRECT("'"&amp;$B70&amp;"'!$AF$6:$AF$205"),0))="","",INDEX(INDIRECT("'"&amp;$B70&amp;"'!$R$6:$R$205"),MATCH($AF70&amp;"|"&amp;N$5,INDIRECT("'"&amp;$B70&amp;"'!$AF$6:$AF$205"),0))),"-"))</f>
        <v/>
      </c>
      <c r="O70" s="37">
        <f>IF(OR(AD70="",O$5="-"),"",IFERROR(IF(INDEX(INDIRECT("'"&amp;$B70&amp;"'!$R$6:$R$205"),MATCH($AF70&amp;"|"&amp;O$5,INDIRECT("'"&amp;$B70&amp;"'!$AF$6:$AF$205"),0))="","",INDEX(INDIRECT("'"&amp;$B70&amp;"'!$R$6:$R$205"),MATCH($AF70&amp;"|"&amp;O$5,INDIRECT("'"&amp;$B70&amp;"'!$AF$6:$AF$205"),0))),"-"))</f>
        <v/>
      </c>
      <c r="P70" s="38">
        <f>IF(OR(AD70="",P$5="-"),"",IFERROR(IF(INDEX(INDIRECT("'"&amp;$B70&amp;"'!$T$6:$T$205"),MATCH($AF70&amp;"|"&amp;P$5,INDIRECT("'"&amp;$B70&amp;"'!$AF$6:$AF$205"),0))="","",INDEX(INDIRECT("'"&amp;$B70&amp;"'!$T$6:$T$205"),MATCH($AF70&amp;"|"&amp;P$5,INDIRECT("'"&amp;$B70&amp;"'!$AF$6:$AF$205"),0))),"-"))</f>
        <v/>
      </c>
      <c r="Q70" s="38">
        <f>IF(OR(AD70="",Q$5="-"),"",IFERROR(IF(INDEX(INDIRECT("'"&amp;$B70&amp;"'!$T$6:$T$205"),MATCH($AF70&amp;"|"&amp;Q$5,INDIRECT("'"&amp;$B70&amp;"'!$AF$6:$AF$205"),0))="","",INDEX(INDIRECT("'"&amp;$B70&amp;"'!$T$6:$T$205"),MATCH($AF70&amp;"|"&amp;Q$5,INDIRECT("'"&amp;$B70&amp;"'!$AF$6:$AF$205"),0))),"-"))</f>
        <v/>
      </c>
      <c r="R70" s="38">
        <f>IF(OR(AD70="",R$5="-"),"",IFERROR(IF(INDEX(INDIRECT("'"&amp;$B70&amp;"'!$T$6:$T$205"),MATCH($AF70&amp;"|"&amp;R$5,INDIRECT("'"&amp;$B70&amp;"'!$AF$6:$AF$205"),0))="","",INDEX(INDIRECT("'"&amp;$B70&amp;"'!$T$6:$T$205"),MATCH($AF70&amp;"|"&amp;R$5,INDIRECT("'"&amp;$B70&amp;"'!$AF$6:$AF$205"),0))),"-"))</f>
        <v/>
      </c>
      <c r="S70" s="38">
        <f>IF(OR(AD70="",S$5="-"),"",IFERROR(IF(INDEX(INDIRECT("'"&amp;$B70&amp;"'!$T$6:$T$205"),MATCH($AF70&amp;"|"&amp;S$5,INDIRECT("'"&amp;$B70&amp;"'!$AF$6:$AF$205"),0))="","",INDEX(INDIRECT("'"&amp;$B70&amp;"'!$T$6:$T$205"),MATCH($AF70&amp;"|"&amp;S$5,INDIRECT("'"&amp;$B70&amp;"'!$AF$6:$AF$205"),0))),"-"))</f>
        <v/>
      </c>
      <c r="T70" s="35">
        <f>IF(U70="","",INDEX($L$5:$O$5,MATCH(U70,L70:O70,0)))</f>
        <v/>
      </c>
      <c r="U70" s="37">
        <f>IF(COUNT(L70:O70)=0,"",MIN(L70:O70))</f>
        <v/>
      </c>
      <c r="V70" s="39">
        <f>IF(U70="","",U70*F70)</f>
        <v/>
      </c>
      <c r="W70" s="39">
        <f>IF(COUNT(L70:O70)&lt;2,"",(MAX(L70:O70)-MIN(L70:O70))*F70)</f>
        <v/>
      </c>
      <c r="X70" s="20" t="n"/>
      <c r="AD70">
        <f>IF(65&gt;MAX($AB$6:$AB$9),"",COUNTIF($AB$6:$AB$9,"&lt;"&amp;65)+1)</f>
        <v/>
      </c>
      <c r="AE70">
        <f>IF(AD70="","",65-INDEX($AC$6:$AC$9,AD70))</f>
        <v/>
      </c>
      <c r="AF70">
        <f>IF(AD70="","",INDEX(INDIRECT("'"&amp;$B70&amp;"'!$AE$6:$AE$205"),MATCH(AE70,INDIRECT("'"&amp;$B70&amp;"'!$AI$6:$AI$205"),0)))</f>
        <v/>
      </c>
    </row>
    <row r="71">
      <c r="A71" s="34">
        <f>IF(AD71="","",66)</f>
        <v/>
      </c>
      <c r="B71" s="35">
        <f>IF(AD71="","",INDEX($Z$6:$Z$9,AD71))</f>
        <v/>
      </c>
      <c r="C71" s="34">
        <f>IF(AD71="","",INDEX(INDIRECT("'"&amp;$B71&amp;"'!$B$6:$B$205"),MATCH($AF71,INDIRECT("'"&amp;$B71&amp;"'!$AE$6:$AE$205"),0)))</f>
        <v/>
      </c>
      <c r="D71" s="34">
        <f>IF(AD71="","",INDEX(INDIRECT("'"&amp;$B71&amp;"'!$D$6:$D$205"),MATCH($AF71,INDIRECT("'"&amp;$B71&amp;"'!$AE$6:$AE$205"),0)))</f>
        <v/>
      </c>
      <c r="E71" s="36">
        <f>IF(AD71="","",INDEX(INDIRECT("'"&amp;$B71&amp;"'!$F$6:$F$205"),MATCH($AF71,INDIRECT("'"&amp;$B71&amp;"'!$AE$6:$AE$205"),0)))</f>
        <v/>
      </c>
      <c r="F71" s="34">
        <f>IF(AD71="","",INDEX(INDIRECT("'"&amp;$B71&amp;"'!$K$6:$K$205"),MATCH($AF71,INDIRECT("'"&amp;$B71&amp;"'!$AE$6:$AE$205"),0)))</f>
        <v/>
      </c>
      <c r="G71" s="34">
        <f>IF(AD71="","",INDEX(INDIRECT("'"&amp;$B71&amp;"'!$L$6:$L$205"),MATCH($AF71,INDIRECT("'"&amp;$B71&amp;"'!$AE$6:$AE$205"),0)))</f>
        <v/>
      </c>
      <c r="H71" s="34">
        <f>IF(OR(AD71="",H$5="-"),"",IFERROR(IF(INDEX(INDIRECT("'"&amp;$B71&amp;"'!$N$6:$N$205"),MATCH($AF71&amp;"|"&amp;H$5,INDIRECT("'"&amp;$B71&amp;"'!$AF$6:$AF$205"),0))="","",INDEX(INDIRECT("'"&amp;$B71&amp;"'!$N$6:$N$205"),MATCH($AF71&amp;"|"&amp;H$5,INDIRECT("'"&amp;$B71&amp;"'!$AF$6:$AF$205"),0))),"-"))</f>
        <v/>
      </c>
      <c r="I71" s="34">
        <f>IF(OR(AD71="",I$5="-"),"",IFERROR(IF(INDEX(INDIRECT("'"&amp;$B71&amp;"'!$N$6:$N$205"),MATCH($AF71&amp;"|"&amp;I$5,INDIRECT("'"&amp;$B71&amp;"'!$AF$6:$AF$205"),0))="","",INDEX(INDIRECT("'"&amp;$B71&amp;"'!$N$6:$N$205"),MATCH($AF71&amp;"|"&amp;I$5,INDIRECT("'"&amp;$B71&amp;"'!$AF$6:$AF$205"),0))),"-"))</f>
        <v/>
      </c>
      <c r="J71" s="34">
        <f>IF(OR(AD71="",J$5="-"),"",IFERROR(IF(INDEX(INDIRECT("'"&amp;$B71&amp;"'!$N$6:$N$205"),MATCH($AF71&amp;"|"&amp;J$5,INDIRECT("'"&amp;$B71&amp;"'!$AF$6:$AF$205"),0))="","",INDEX(INDIRECT("'"&amp;$B71&amp;"'!$N$6:$N$205"),MATCH($AF71&amp;"|"&amp;J$5,INDIRECT("'"&amp;$B71&amp;"'!$AF$6:$AF$205"),0))),"-"))</f>
        <v/>
      </c>
      <c r="K71" s="34">
        <f>IF(OR(AD71="",K$5="-"),"",IFERROR(IF(INDEX(INDIRECT("'"&amp;$B71&amp;"'!$N$6:$N$205"),MATCH($AF71&amp;"|"&amp;K$5,INDIRECT("'"&amp;$B71&amp;"'!$AF$6:$AF$205"),0))="","",INDEX(INDIRECT("'"&amp;$B71&amp;"'!$N$6:$N$205"),MATCH($AF71&amp;"|"&amp;K$5,INDIRECT("'"&amp;$B71&amp;"'!$AF$6:$AF$205"),0))),"-"))</f>
        <v/>
      </c>
      <c r="L71" s="37">
        <f>IF(OR(AD71="",L$5="-"),"",IFERROR(IF(INDEX(INDIRECT("'"&amp;$B71&amp;"'!$R$6:$R$205"),MATCH($AF71&amp;"|"&amp;L$5,INDIRECT("'"&amp;$B71&amp;"'!$AF$6:$AF$205"),0))="","",INDEX(INDIRECT("'"&amp;$B71&amp;"'!$R$6:$R$205"),MATCH($AF71&amp;"|"&amp;L$5,INDIRECT("'"&amp;$B71&amp;"'!$AF$6:$AF$205"),0))),"-"))</f>
        <v/>
      </c>
      <c r="M71" s="37">
        <f>IF(OR(AD71="",M$5="-"),"",IFERROR(IF(INDEX(INDIRECT("'"&amp;$B71&amp;"'!$R$6:$R$205"),MATCH($AF71&amp;"|"&amp;M$5,INDIRECT("'"&amp;$B71&amp;"'!$AF$6:$AF$205"),0))="","",INDEX(INDIRECT("'"&amp;$B71&amp;"'!$R$6:$R$205"),MATCH($AF71&amp;"|"&amp;M$5,INDIRECT("'"&amp;$B71&amp;"'!$AF$6:$AF$205"),0))),"-"))</f>
        <v/>
      </c>
      <c r="N71" s="37">
        <f>IF(OR(AD71="",N$5="-"),"",IFERROR(IF(INDEX(INDIRECT("'"&amp;$B71&amp;"'!$R$6:$R$205"),MATCH($AF71&amp;"|"&amp;N$5,INDIRECT("'"&amp;$B71&amp;"'!$AF$6:$AF$205"),0))="","",INDEX(INDIRECT("'"&amp;$B71&amp;"'!$R$6:$R$205"),MATCH($AF71&amp;"|"&amp;N$5,INDIRECT("'"&amp;$B71&amp;"'!$AF$6:$AF$205"),0))),"-"))</f>
        <v/>
      </c>
      <c r="O71" s="37">
        <f>IF(OR(AD71="",O$5="-"),"",IFERROR(IF(INDEX(INDIRECT("'"&amp;$B71&amp;"'!$R$6:$R$205"),MATCH($AF71&amp;"|"&amp;O$5,INDIRECT("'"&amp;$B71&amp;"'!$AF$6:$AF$205"),0))="","",INDEX(INDIRECT("'"&amp;$B71&amp;"'!$R$6:$R$205"),MATCH($AF71&amp;"|"&amp;O$5,INDIRECT("'"&amp;$B71&amp;"'!$AF$6:$AF$205"),0))),"-"))</f>
        <v/>
      </c>
      <c r="P71" s="38">
        <f>IF(OR(AD71="",P$5="-"),"",IFERROR(IF(INDEX(INDIRECT("'"&amp;$B71&amp;"'!$T$6:$T$205"),MATCH($AF71&amp;"|"&amp;P$5,INDIRECT("'"&amp;$B71&amp;"'!$AF$6:$AF$205"),0))="","",INDEX(INDIRECT("'"&amp;$B71&amp;"'!$T$6:$T$205"),MATCH($AF71&amp;"|"&amp;P$5,INDIRECT("'"&amp;$B71&amp;"'!$AF$6:$AF$205"),0))),"-"))</f>
        <v/>
      </c>
      <c r="Q71" s="38">
        <f>IF(OR(AD71="",Q$5="-"),"",IFERROR(IF(INDEX(INDIRECT("'"&amp;$B71&amp;"'!$T$6:$T$205"),MATCH($AF71&amp;"|"&amp;Q$5,INDIRECT("'"&amp;$B71&amp;"'!$AF$6:$AF$205"),0))="","",INDEX(INDIRECT("'"&amp;$B71&amp;"'!$T$6:$T$205"),MATCH($AF71&amp;"|"&amp;Q$5,INDIRECT("'"&amp;$B71&amp;"'!$AF$6:$AF$205"),0))),"-"))</f>
        <v/>
      </c>
      <c r="R71" s="38">
        <f>IF(OR(AD71="",R$5="-"),"",IFERROR(IF(INDEX(INDIRECT("'"&amp;$B71&amp;"'!$T$6:$T$205"),MATCH($AF71&amp;"|"&amp;R$5,INDIRECT("'"&amp;$B71&amp;"'!$AF$6:$AF$205"),0))="","",INDEX(INDIRECT("'"&amp;$B71&amp;"'!$T$6:$T$205"),MATCH($AF71&amp;"|"&amp;R$5,INDIRECT("'"&amp;$B71&amp;"'!$AF$6:$AF$205"),0))),"-"))</f>
        <v/>
      </c>
      <c r="S71" s="38">
        <f>IF(OR(AD71="",S$5="-"),"",IFERROR(IF(INDEX(INDIRECT("'"&amp;$B71&amp;"'!$T$6:$T$205"),MATCH($AF71&amp;"|"&amp;S$5,INDIRECT("'"&amp;$B71&amp;"'!$AF$6:$AF$205"),0))="","",INDEX(INDIRECT("'"&amp;$B71&amp;"'!$T$6:$T$205"),MATCH($AF71&amp;"|"&amp;S$5,INDIRECT("'"&amp;$B71&amp;"'!$AF$6:$AF$205"),0))),"-"))</f>
        <v/>
      </c>
      <c r="T71" s="35">
        <f>IF(U71="","",INDEX($L$5:$O$5,MATCH(U71,L71:O71,0)))</f>
        <v/>
      </c>
      <c r="U71" s="37">
        <f>IF(COUNT(L71:O71)=0,"",MIN(L71:O71))</f>
        <v/>
      </c>
      <c r="V71" s="39">
        <f>IF(U71="","",U71*F71)</f>
        <v/>
      </c>
      <c r="W71" s="39">
        <f>IF(COUNT(L71:O71)&lt;2,"",(MAX(L71:O71)-MIN(L71:O71))*F71)</f>
        <v/>
      </c>
      <c r="X71" s="20" t="n"/>
      <c r="AD71">
        <f>IF(66&gt;MAX($AB$6:$AB$9),"",COUNTIF($AB$6:$AB$9,"&lt;"&amp;66)+1)</f>
        <v/>
      </c>
      <c r="AE71">
        <f>IF(AD71="","",66-INDEX($AC$6:$AC$9,AD71))</f>
        <v/>
      </c>
      <c r="AF71">
        <f>IF(AD71="","",INDEX(INDIRECT("'"&amp;$B71&amp;"'!$AE$6:$AE$205"),MATCH(AE71,INDIRECT("'"&amp;$B71&amp;"'!$AI$6:$AI$205"),0)))</f>
        <v/>
      </c>
    </row>
    <row r="72">
      <c r="A72" s="34">
        <f>IF(AD72="","",67)</f>
        <v/>
      </c>
      <c r="B72" s="35">
        <f>IF(AD72="","",INDEX($Z$6:$Z$9,AD72))</f>
        <v/>
      </c>
      <c r="C72" s="34">
        <f>IF(AD72="","",INDEX(INDIRECT("'"&amp;$B72&amp;"'!$B$6:$B$205"),MATCH($AF72,INDIRECT("'"&amp;$B72&amp;"'!$AE$6:$AE$205"),0)))</f>
        <v/>
      </c>
      <c r="D72" s="34">
        <f>IF(AD72="","",INDEX(INDIRECT("'"&amp;$B72&amp;"'!$D$6:$D$205"),MATCH($AF72,INDIRECT("'"&amp;$B72&amp;"'!$AE$6:$AE$205"),0)))</f>
        <v/>
      </c>
      <c r="E72" s="36">
        <f>IF(AD72="","",INDEX(INDIRECT("'"&amp;$B72&amp;"'!$F$6:$F$205"),MATCH($AF72,INDIRECT("'"&amp;$B72&amp;"'!$AE$6:$AE$205"),0)))</f>
        <v/>
      </c>
      <c r="F72" s="34">
        <f>IF(AD72="","",INDEX(INDIRECT("'"&amp;$B72&amp;"'!$K$6:$K$205"),MATCH($AF72,INDIRECT("'"&amp;$B72&amp;"'!$AE$6:$AE$205"),0)))</f>
        <v/>
      </c>
      <c r="G72" s="34">
        <f>IF(AD72="","",INDEX(INDIRECT("'"&amp;$B72&amp;"'!$L$6:$L$205"),MATCH($AF72,INDIRECT("'"&amp;$B72&amp;"'!$AE$6:$AE$205"),0)))</f>
        <v/>
      </c>
      <c r="H72" s="34">
        <f>IF(OR(AD72="",H$5="-"),"",IFERROR(IF(INDEX(INDIRECT("'"&amp;$B72&amp;"'!$N$6:$N$205"),MATCH($AF72&amp;"|"&amp;H$5,INDIRECT("'"&amp;$B72&amp;"'!$AF$6:$AF$205"),0))="","",INDEX(INDIRECT("'"&amp;$B72&amp;"'!$N$6:$N$205"),MATCH($AF72&amp;"|"&amp;H$5,INDIRECT("'"&amp;$B72&amp;"'!$AF$6:$AF$205"),0))),"-"))</f>
        <v/>
      </c>
      <c r="I72" s="34">
        <f>IF(OR(AD72="",I$5="-"),"",IFERROR(IF(INDEX(INDIRECT("'"&amp;$B72&amp;"'!$N$6:$N$205"),MATCH($AF72&amp;"|"&amp;I$5,INDIRECT("'"&amp;$B72&amp;"'!$AF$6:$AF$205"),0))="","",INDEX(INDIRECT("'"&amp;$B72&amp;"'!$N$6:$N$205"),MATCH($AF72&amp;"|"&amp;I$5,INDIRECT("'"&amp;$B72&amp;"'!$AF$6:$AF$205"),0))),"-"))</f>
        <v/>
      </c>
      <c r="J72" s="34">
        <f>IF(OR(AD72="",J$5="-"),"",IFERROR(IF(INDEX(INDIRECT("'"&amp;$B72&amp;"'!$N$6:$N$205"),MATCH($AF72&amp;"|"&amp;J$5,INDIRECT("'"&amp;$B72&amp;"'!$AF$6:$AF$205"),0))="","",INDEX(INDIRECT("'"&amp;$B72&amp;"'!$N$6:$N$205"),MATCH($AF72&amp;"|"&amp;J$5,INDIRECT("'"&amp;$B72&amp;"'!$AF$6:$AF$205"),0))),"-"))</f>
        <v/>
      </c>
      <c r="K72" s="34">
        <f>IF(OR(AD72="",K$5="-"),"",IFERROR(IF(INDEX(INDIRECT("'"&amp;$B72&amp;"'!$N$6:$N$205"),MATCH($AF72&amp;"|"&amp;K$5,INDIRECT("'"&amp;$B72&amp;"'!$AF$6:$AF$205"),0))="","",INDEX(INDIRECT("'"&amp;$B72&amp;"'!$N$6:$N$205"),MATCH($AF72&amp;"|"&amp;K$5,INDIRECT("'"&amp;$B72&amp;"'!$AF$6:$AF$205"),0))),"-"))</f>
        <v/>
      </c>
      <c r="L72" s="37">
        <f>IF(OR(AD72="",L$5="-"),"",IFERROR(IF(INDEX(INDIRECT("'"&amp;$B72&amp;"'!$R$6:$R$205"),MATCH($AF72&amp;"|"&amp;L$5,INDIRECT("'"&amp;$B72&amp;"'!$AF$6:$AF$205"),0))="","",INDEX(INDIRECT("'"&amp;$B72&amp;"'!$R$6:$R$205"),MATCH($AF72&amp;"|"&amp;L$5,INDIRECT("'"&amp;$B72&amp;"'!$AF$6:$AF$205"),0))),"-"))</f>
        <v/>
      </c>
      <c r="M72" s="37">
        <f>IF(OR(AD72="",M$5="-"),"",IFERROR(IF(INDEX(INDIRECT("'"&amp;$B72&amp;"'!$R$6:$R$205"),MATCH($AF72&amp;"|"&amp;M$5,INDIRECT("'"&amp;$B72&amp;"'!$AF$6:$AF$205"),0))="","",INDEX(INDIRECT("'"&amp;$B72&amp;"'!$R$6:$R$205"),MATCH($AF72&amp;"|"&amp;M$5,INDIRECT("'"&amp;$B72&amp;"'!$AF$6:$AF$205"),0))),"-"))</f>
        <v/>
      </c>
      <c r="N72" s="37">
        <f>IF(OR(AD72="",N$5="-"),"",IFERROR(IF(INDEX(INDIRECT("'"&amp;$B72&amp;"'!$R$6:$R$205"),MATCH($AF72&amp;"|"&amp;N$5,INDIRECT("'"&amp;$B72&amp;"'!$AF$6:$AF$205"),0))="","",INDEX(INDIRECT("'"&amp;$B72&amp;"'!$R$6:$R$205"),MATCH($AF72&amp;"|"&amp;N$5,INDIRECT("'"&amp;$B72&amp;"'!$AF$6:$AF$205"),0))),"-"))</f>
        <v/>
      </c>
      <c r="O72" s="37">
        <f>IF(OR(AD72="",O$5="-"),"",IFERROR(IF(INDEX(INDIRECT("'"&amp;$B72&amp;"'!$R$6:$R$205"),MATCH($AF72&amp;"|"&amp;O$5,INDIRECT("'"&amp;$B72&amp;"'!$AF$6:$AF$205"),0))="","",INDEX(INDIRECT("'"&amp;$B72&amp;"'!$R$6:$R$205"),MATCH($AF72&amp;"|"&amp;O$5,INDIRECT("'"&amp;$B72&amp;"'!$AF$6:$AF$205"),0))),"-"))</f>
        <v/>
      </c>
      <c r="P72" s="38">
        <f>IF(OR(AD72="",P$5="-"),"",IFERROR(IF(INDEX(INDIRECT("'"&amp;$B72&amp;"'!$T$6:$T$205"),MATCH($AF72&amp;"|"&amp;P$5,INDIRECT("'"&amp;$B72&amp;"'!$AF$6:$AF$205"),0))="","",INDEX(INDIRECT("'"&amp;$B72&amp;"'!$T$6:$T$205"),MATCH($AF72&amp;"|"&amp;P$5,INDIRECT("'"&amp;$B72&amp;"'!$AF$6:$AF$205"),0))),"-"))</f>
        <v/>
      </c>
      <c r="Q72" s="38">
        <f>IF(OR(AD72="",Q$5="-"),"",IFERROR(IF(INDEX(INDIRECT("'"&amp;$B72&amp;"'!$T$6:$T$205"),MATCH($AF72&amp;"|"&amp;Q$5,INDIRECT("'"&amp;$B72&amp;"'!$AF$6:$AF$205"),0))="","",INDEX(INDIRECT("'"&amp;$B72&amp;"'!$T$6:$T$205"),MATCH($AF72&amp;"|"&amp;Q$5,INDIRECT("'"&amp;$B72&amp;"'!$AF$6:$AF$205"),0))),"-"))</f>
        <v/>
      </c>
      <c r="R72" s="38">
        <f>IF(OR(AD72="",R$5="-"),"",IFERROR(IF(INDEX(INDIRECT("'"&amp;$B72&amp;"'!$T$6:$T$205"),MATCH($AF72&amp;"|"&amp;R$5,INDIRECT("'"&amp;$B72&amp;"'!$AF$6:$AF$205"),0))="","",INDEX(INDIRECT("'"&amp;$B72&amp;"'!$T$6:$T$205"),MATCH($AF72&amp;"|"&amp;R$5,INDIRECT("'"&amp;$B72&amp;"'!$AF$6:$AF$205"),0))),"-"))</f>
        <v/>
      </c>
      <c r="S72" s="38">
        <f>IF(OR(AD72="",S$5="-"),"",IFERROR(IF(INDEX(INDIRECT("'"&amp;$B72&amp;"'!$T$6:$T$205"),MATCH($AF72&amp;"|"&amp;S$5,INDIRECT("'"&amp;$B72&amp;"'!$AF$6:$AF$205"),0))="","",INDEX(INDIRECT("'"&amp;$B72&amp;"'!$T$6:$T$205"),MATCH($AF72&amp;"|"&amp;S$5,INDIRECT("'"&amp;$B72&amp;"'!$AF$6:$AF$205"),0))),"-"))</f>
        <v/>
      </c>
      <c r="T72" s="35">
        <f>IF(U72="","",INDEX($L$5:$O$5,MATCH(U72,L72:O72,0)))</f>
        <v/>
      </c>
      <c r="U72" s="37">
        <f>IF(COUNT(L72:O72)=0,"",MIN(L72:O72))</f>
        <v/>
      </c>
      <c r="V72" s="39">
        <f>IF(U72="","",U72*F72)</f>
        <v/>
      </c>
      <c r="W72" s="39">
        <f>IF(COUNT(L72:O72)&lt;2,"",(MAX(L72:O72)-MIN(L72:O72))*F72)</f>
        <v/>
      </c>
      <c r="X72" s="20" t="n"/>
      <c r="AD72">
        <f>IF(67&gt;MAX($AB$6:$AB$9),"",COUNTIF($AB$6:$AB$9,"&lt;"&amp;67)+1)</f>
        <v/>
      </c>
      <c r="AE72">
        <f>IF(AD72="","",67-INDEX($AC$6:$AC$9,AD72))</f>
        <v/>
      </c>
      <c r="AF72">
        <f>IF(AD72="","",INDEX(INDIRECT("'"&amp;$B72&amp;"'!$AE$6:$AE$205"),MATCH(AE72,INDIRECT("'"&amp;$B72&amp;"'!$AI$6:$AI$205"),0)))</f>
        <v/>
      </c>
    </row>
    <row r="73">
      <c r="A73" s="34">
        <f>IF(AD73="","",68)</f>
        <v/>
      </c>
      <c r="B73" s="35">
        <f>IF(AD73="","",INDEX($Z$6:$Z$9,AD73))</f>
        <v/>
      </c>
      <c r="C73" s="34">
        <f>IF(AD73="","",INDEX(INDIRECT("'"&amp;$B73&amp;"'!$B$6:$B$205"),MATCH($AF73,INDIRECT("'"&amp;$B73&amp;"'!$AE$6:$AE$205"),0)))</f>
        <v/>
      </c>
      <c r="D73" s="34">
        <f>IF(AD73="","",INDEX(INDIRECT("'"&amp;$B73&amp;"'!$D$6:$D$205"),MATCH($AF73,INDIRECT("'"&amp;$B73&amp;"'!$AE$6:$AE$205"),0)))</f>
        <v/>
      </c>
      <c r="E73" s="36">
        <f>IF(AD73="","",INDEX(INDIRECT("'"&amp;$B73&amp;"'!$F$6:$F$205"),MATCH($AF73,INDIRECT("'"&amp;$B73&amp;"'!$AE$6:$AE$205"),0)))</f>
        <v/>
      </c>
      <c r="F73" s="34">
        <f>IF(AD73="","",INDEX(INDIRECT("'"&amp;$B73&amp;"'!$K$6:$K$205"),MATCH($AF73,INDIRECT("'"&amp;$B73&amp;"'!$AE$6:$AE$205"),0)))</f>
        <v/>
      </c>
      <c r="G73" s="34">
        <f>IF(AD73="","",INDEX(INDIRECT("'"&amp;$B73&amp;"'!$L$6:$L$205"),MATCH($AF73,INDIRECT("'"&amp;$B73&amp;"'!$AE$6:$AE$205"),0)))</f>
        <v/>
      </c>
      <c r="H73" s="34">
        <f>IF(OR(AD73="",H$5="-"),"",IFERROR(IF(INDEX(INDIRECT("'"&amp;$B73&amp;"'!$N$6:$N$205"),MATCH($AF73&amp;"|"&amp;H$5,INDIRECT("'"&amp;$B73&amp;"'!$AF$6:$AF$205"),0))="","",INDEX(INDIRECT("'"&amp;$B73&amp;"'!$N$6:$N$205"),MATCH($AF73&amp;"|"&amp;H$5,INDIRECT("'"&amp;$B73&amp;"'!$AF$6:$AF$205"),0))),"-"))</f>
        <v/>
      </c>
      <c r="I73" s="34">
        <f>IF(OR(AD73="",I$5="-"),"",IFERROR(IF(INDEX(INDIRECT("'"&amp;$B73&amp;"'!$N$6:$N$205"),MATCH($AF73&amp;"|"&amp;I$5,INDIRECT("'"&amp;$B73&amp;"'!$AF$6:$AF$205"),0))="","",INDEX(INDIRECT("'"&amp;$B73&amp;"'!$N$6:$N$205"),MATCH($AF73&amp;"|"&amp;I$5,INDIRECT("'"&amp;$B73&amp;"'!$AF$6:$AF$205"),0))),"-"))</f>
        <v/>
      </c>
      <c r="J73" s="34">
        <f>IF(OR(AD73="",J$5="-"),"",IFERROR(IF(INDEX(INDIRECT("'"&amp;$B73&amp;"'!$N$6:$N$205"),MATCH($AF73&amp;"|"&amp;J$5,INDIRECT("'"&amp;$B73&amp;"'!$AF$6:$AF$205"),0))="","",INDEX(INDIRECT("'"&amp;$B73&amp;"'!$N$6:$N$205"),MATCH($AF73&amp;"|"&amp;J$5,INDIRECT("'"&amp;$B73&amp;"'!$AF$6:$AF$205"),0))),"-"))</f>
        <v/>
      </c>
      <c r="K73" s="34">
        <f>IF(OR(AD73="",K$5="-"),"",IFERROR(IF(INDEX(INDIRECT("'"&amp;$B73&amp;"'!$N$6:$N$205"),MATCH($AF73&amp;"|"&amp;K$5,INDIRECT("'"&amp;$B73&amp;"'!$AF$6:$AF$205"),0))="","",INDEX(INDIRECT("'"&amp;$B73&amp;"'!$N$6:$N$205"),MATCH($AF73&amp;"|"&amp;K$5,INDIRECT("'"&amp;$B73&amp;"'!$AF$6:$AF$205"),0))),"-"))</f>
        <v/>
      </c>
      <c r="L73" s="37">
        <f>IF(OR(AD73="",L$5="-"),"",IFERROR(IF(INDEX(INDIRECT("'"&amp;$B73&amp;"'!$R$6:$R$205"),MATCH($AF73&amp;"|"&amp;L$5,INDIRECT("'"&amp;$B73&amp;"'!$AF$6:$AF$205"),0))="","",INDEX(INDIRECT("'"&amp;$B73&amp;"'!$R$6:$R$205"),MATCH($AF73&amp;"|"&amp;L$5,INDIRECT("'"&amp;$B73&amp;"'!$AF$6:$AF$205"),0))),"-"))</f>
        <v/>
      </c>
      <c r="M73" s="37">
        <f>IF(OR(AD73="",M$5="-"),"",IFERROR(IF(INDEX(INDIRECT("'"&amp;$B73&amp;"'!$R$6:$R$205"),MATCH($AF73&amp;"|"&amp;M$5,INDIRECT("'"&amp;$B73&amp;"'!$AF$6:$AF$205"),0))="","",INDEX(INDIRECT("'"&amp;$B73&amp;"'!$R$6:$R$205"),MATCH($AF73&amp;"|"&amp;M$5,INDIRECT("'"&amp;$B73&amp;"'!$AF$6:$AF$205"),0))),"-"))</f>
        <v/>
      </c>
      <c r="N73" s="37">
        <f>IF(OR(AD73="",N$5="-"),"",IFERROR(IF(INDEX(INDIRECT("'"&amp;$B73&amp;"'!$R$6:$R$205"),MATCH($AF73&amp;"|"&amp;N$5,INDIRECT("'"&amp;$B73&amp;"'!$AF$6:$AF$205"),0))="","",INDEX(INDIRECT("'"&amp;$B73&amp;"'!$R$6:$R$205"),MATCH($AF73&amp;"|"&amp;N$5,INDIRECT("'"&amp;$B73&amp;"'!$AF$6:$AF$205"),0))),"-"))</f>
        <v/>
      </c>
      <c r="O73" s="37">
        <f>IF(OR(AD73="",O$5="-"),"",IFERROR(IF(INDEX(INDIRECT("'"&amp;$B73&amp;"'!$R$6:$R$205"),MATCH($AF73&amp;"|"&amp;O$5,INDIRECT("'"&amp;$B73&amp;"'!$AF$6:$AF$205"),0))="","",INDEX(INDIRECT("'"&amp;$B73&amp;"'!$R$6:$R$205"),MATCH($AF73&amp;"|"&amp;O$5,INDIRECT("'"&amp;$B73&amp;"'!$AF$6:$AF$205"),0))),"-"))</f>
        <v/>
      </c>
      <c r="P73" s="38">
        <f>IF(OR(AD73="",P$5="-"),"",IFERROR(IF(INDEX(INDIRECT("'"&amp;$B73&amp;"'!$T$6:$T$205"),MATCH($AF73&amp;"|"&amp;P$5,INDIRECT("'"&amp;$B73&amp;"'!$AF$6:$AF$205"),0))="","",INDEX(INDIRECT("'"&amp;$B73&amp;"'!$T$6:$T$205"),MATCH($AF73&amp;"|"&amp;P$5,INDIRECT("'"&amp;$B73&amp;"'!$AF$6:$AF$205"),0))),"-"))</f>
        <v/>
      </c>
      <c r="Q73" s="38">
        <f>IF(OR(AD73="",Q$5="-"),"",IFERROR(IF(INDEX(INDIRECT("'"&amp;$B73&amp;"'!$T$6:$T$205"),MATCH($AF73&amp;"|"&amp;Q$5,INDIRECT("'"&amp;$B73&amp;"'!$AF$6:$AF$205"),0))="","",INDEX(INDIRECT("'"&amp;$B73&amp;"'!$T$6:$T$205"),MATCH($AF73&amp;"|"&amp;Q$5,INDIRECT("'"&amp;$B73&amp;"'!$AF$6:$AF$205"),0))),"-"))</f>
        <v/>
      </c>
      <c r="R73" s="38">
        <f>IF(OR(AD73="",R$5="-"),"",IFERROR(IF(INDEX(INDIRECT("'"&amp;$B73&amp;"'!$T$6:$T$205"),MATCH($AF73&amp;"|"&amp;R$5,INDIRECT("'"&amp;$B73&amp;"'!$AF$6:$AF$205"),0))="","",INDEX(INDIRECT("'"&amp;$B73&amp;"'!$T$6:$T$205"),MATCH($AF73&amp;"|"&amp;R$5,INDIRECT("'"&amp;$B73&amp;"'!$AF$6:$AF$205"),0))),"-"))</f>
        <v/>
      </c>
      <c r="S73" s="38">
        <f>IF(OR(AD73="",S$5="-"),"",IFERROR(IF(INDEX(INDIRECT("'"&amp;$B73&amp;"'!$T$6:$T$205"),MATCH($AF73&amp;"|"&amp;S$5,INDIRECT("'"&amp;$B73&amp;"'!$AF$6:$AF$205"),0))="","",INDEX(INDIRECT("'"&amp;$B73&amp;"'!$T$6:$T$205"),MATCH($AF73&amp;"|"&amp;S$5,INDIRECT("'"&amp;$B73&amp;"'!$AF$6:$AF$205"),0))),"-"))</f>
        <v/>
      </c>
      <c r="T73" s="35">
        <f>IF(U73="","",INDEX($L$5:$O$5,MATCH(U73,L73:O73,0)))</f>
        <v/>
      </c>
      <c r="U73" s="37">
        <f>IF(COUNT(L73:O73)=0,"",MIN(L73:O73))</f>
        <v/>
      </c>
      <c r="V73" s="39">
        <f>IF(U73="","",U73*F73)</f>
        <v/>
      </c>
      <c r="W73" s="39">
        <f>IF(COUNT(L73:O73)&lt;2,"",(MAX(L73:O73)-MIN(L73:O73))*F73)</f>
        <v/>
      </c>
      <c r="X73" s="20" t="n"/>
      <c r="AD73">
        <f>IF(68&gt;MAX($AB$6:$AB$9),"",COUNTIF($AB$6:$AB$9,"&lt;"&amp;68)+1)</f>
        <v/>
      </c>
      <c r="AE73">
        <f>IF(AD73="","",68-INDEX($AC$6:$AC$9,AD73))</f>
        <v/>
      </c>
      <c r="AF73">
        <f>IF(AD73="","",INDEX(INDIRECT("'"&amp;$B73&amp;"'!$AE$6:$AE$205"),MATCH(AE73,INDIRECT("'"&amp;$B73&amp;"'!$AI$6:$AI$205"),0)))</f>
        <v/>
      </c>
    </row>
    <row r="74">
      <c r="A74" s="34">
        <f>IF(AD74="","",69)</f>
        <v/>
      </c>
      <c r="B74" s="35">
        <f>IF(AD74="","",INDEX($Z$6:$Z$9,AD74))</f>
        <v/>
      </c>
      <c r="C74" s="34">
        <f>IF(AD74="","",INDEX(INDIRECT("'"&amp;$B74&amp;"'!$B$6:$B$205"),MATCH($AF74,INDIRECT("'"&amp;$B74&amp;"'!$AE$6:$AE$205"),0)))</f>
        <v/>
      </c>
      <c r="D74" s="34">
        <f>IF(AD74="","",INDEX(INDIRECT("'"&amp;$B74&amp;"'!$D$6:$D$205"),MATCH($AF74,INDIRECT("'"&amp;$B74&amp;"'!$AE$6:$AE$205"),0)))</f>
        <v/>
      </c>
      <c r="E74" s="36">
        <f>IF(AD74="","",INDEX(INDIRECT("'"&amp;$B74&amp;"'!$F$6:$F$205"),MATCH($AF74,INDIRECT("'"&amp;$B74&amp;"'!$AE$6:$AE$205"),0)))</f>
        <v/>
      </c>
      <c r="F74" s="34">
        <f>IF(AD74="","",INDEX(INDIRECT("'"&amp;$B74&amp;"'!$K$6:$K$205"),MATCH($AF74,INDIRECT("'"&amp;$B74&amp;"'!$AE$6:$AE$205"),0)))</f>
        <v/>
      </c>
      <c r="G74" s="34">
        <f>IF(AD74="","",INDEX(INDIRECT("'"&amp;$B74&amp;"'!$L$6:$L$205"),MATCH($AF74,INDIRECT("'"&amp;$B74&amp;"'!$AE$6:$AE$205"),0)))</f>
        <v/>
      </c>
      <c r="H74" s="34">
        <f>IF(OR(AD74="",H$5="-"),"",IFERROR(IF(INDEX(INDIRECT("'"&amp;$B74&amp;"'!$N$6:$N$205"),MATCH($AF74&amp;"|"&amp;H$5,INDIRECT("'"&amp;$B74&amp;"'!$AF$6:$AF$205"),0))="","",INDEX(INDIRECT("'"&amp;$B74&amp;"'!$N$6:$N$205"),MATCH($AF74&amp;"|"&amp;H$5,INDIRECT("'"&amp;$B74&amp;"'!$AF$6:$AF$205"),0))),"-"))</f>
        <v/>
      </c>
      <c r="I74" s="34">
        <f>IF(OR(AD74="",I$5="-"),"",IFERROR(IF(INDEX(INDIRECT("'"&amp;$B74&amp;"'!$N$6:$N$205"),MATCH($AF74&amp;"|"&amp;I$5,INDIRECT("'"&amp;$B74&amp;"'!$AF$6:$AF$205"),0))="","",INDEX(INDIRECT("'"&amp;$B74&amp;"'!$N$6:$N$205"),MATCH($AF74&amp;"|"&amp;I$5,INDIRECT("'"&amp;$B74&amp;"'!$AF$6:$AF$205"),0))),"-"))</f>
        <v/>
      </c>
      <c r="J74" s="34">
        <f>IF(OR(AD74="",J$5="-"),"",IFERROR(IF(INDEX(INDIRECT("'"&amp;$B74&amp;"'!$N$6:$N$205"),MATCH($AF74&amp;"|"&amp;J$5,INDIRECT("'"&amp;$B74&amp;"'!$AF$6:$AF$205"),0))="","",INDEX(INDIRECT("'"&amp;$B74&amp;"'!$N$6:$N$205"),MATCH($AF74&amp;"|"&amp;J$5,INDIRECT("'"&amp;$B74&amp;"'!$AF$6:$AF$205"),0))),"-"))</f>
        <v/>
      </c>
      <c r="K74" s="34">
        <f>IF(OR(AD74="",K$5="-"),"",IFERROR(IF(INDEX(INDIRECT("'"&amp;$B74&amp;"'!$N$6:$N$205"),MATCH($AF74&amp;"|"&amp;K$5,INDIRECT("'"&amp;$B74&amp;"'!$AF$6:$AF$205"),0))="","",INDEX(INDIRECT("'"&amp;$B74&amp;"'!$N$6:$N$205"),MATCH($AF74&amp;"|"&amp;K$5,INDIRECT("'"&amp;$B74&amp;"'!$AF$6:$AF$205"),0))),"-"))</f>
        <v/>
      </c>
      <c r="L74" s="37">
        <f>IF(OR(AD74="",L$5="-"),"",IFERROR(IF(INDEX(INDIRECT("'"&amp;$B74&amp;"'!$R$6:$R$205"),MATCH($AF74&amp;"|"&amp;L$5,INDIRECT("'"&amp;$B74&amp;"'!$AF$6:$AF$205"),0))="","",INDEX(INDIRECT("'"&amp;$B74&amp;"'!$R$6:$R$205"),MATCH($AF74&amp;"|"&amp;L$5,INDIRECT("'"&amp;$B74&amp;"'!$AF$6:$AF$205"),0))),"-"))</f>
        <v/>
      </c>
      <c r="M74" s="37">
        <f>IF(OR(AD74="",M$5="-"),"",IFERROR(IF(INDEX(INDIRECT("'"&amp;$B74&amp;"'!$R$6:$R$205"),MATCH($AF74&amp;"|"&amp;M$5,INDIRECT("'"&amp;$B74&amp;"'!$AF$6:$AF$205"),0))="","",INDEX(INDIRECT("'"&amp;$B74&amp;"'!$R$6:$R$205"),MATCH($AF74&amp;"|"&amp;M$5,INDIRECT("'"&amp;$B74&amp;"'!$AF$6:$AF$205"),0))),"-"))</f>
        <v/>
      </c>
      <c r="N74" s="37">
        <f>IF(OR(AD74="",N$5="-"),"",IFERROR(IF(INDEX(INDIRECT("'"&amp;$B74&amp;"'!$R$6:$R$205"),MATCH($AF74&amp;"|"&amp;N$5,INDIRECT("'"&amp;$B74&amp;"'!$AF$6:$AF$205"),0))="","",INDEX(INDIRECT("'"&amp;$B74&amp;"'!$R$6:$R$205"),MATCH($AF74&amp;"|"&amp;N$5,INDIRECT("'"&amp;$B74&amp;"'!$AF$6:$AF$205"),0))),"-"))</f>
        <v/>
      </c>
      <c r="O74" s="37">
        <f>IF(OR(AD74="",O$5="-"),"",IFERROR(IF(INDEX(INDIRECT("'"&amp;$B74&amp;"'!$R$6:$R$205"),MATCH($AF74&amp;"|"&amp;O$5,INDIRECT("'"&amp;$B74&amp;"'!$AF$6:$AF$205"),0))="","",INDEX(INDIRECT("'"&amp;$B74&amp;"'!$R$6:$R$205"),MATCH($AF74&amp;"|"&amp;O$5,INDIRECT("'"&amp;$B74&amp;"'!$AF$6:$AF$205"),0))),"-"))</f>
        <v/>
      </c>
      <c r="P74" s="38">
        <f>IF(OR(AD74="",P$5="-"),"",IFERROR(IF(INDEX(INDIRECT("'"&amp;$B74&amp;"'!$T$6:$T$205"),MATCH($AF74&amp;"|"&amp;P$5,INDIRECT("'"&amp;$B74&amp;"'!$AF$6:$AF$205"),0))="","",INDEX(INDIRECT("'"&amp;$B74&amp;"'!$T$6:$T$205"),MATCH($AF74&amp;"|"&amp;P$5,INDIRECT("'"&amp;$B74&amp;"'!$AF$6:$AF$205"),0))),"-"))</f>
        <v/>
      </c>
      <c r="Q74" s="38">
        <f>IF(OR(AD74="",Q$5="-"),"",IFERROR(IF(INDEX(INDIRECT("'"&amp;$B74&amp;"'!$T$6:$T$205"),MATCH($AF74&amp;"|"&amp;Q$5,INDIRECT("'"&amp;$B74&amp;"'!$AF$6:$AF$205"),0))="","",INDEX(INDIRECT("'"&amp;$B74&amp;"'!$T$6:$T$205"),MATCH($AF74&amp;"|"&amp;Q$5,INDIRECT("'"&amp;$B74&amp;"'!$AF$6:$AF$205"),0))),"-"))</f>
        <v/>
      </c>
      <c r="R74" s="38">
        <f>IF(OR(AD74="",R$5="-"),"",IFERROR(IF(INDEX(INDIRECT("'"&amp;$B74&amp;"'!$T$6:$T$205"),MATCH($AF74&amp;"|"&amp;R$5,INDIRECT("'"&amp;$B74&amp;"'!$AF$6:$AF$205"),0))="","",INDEX(INDIRECT("'"&amp;$B74&amp;"'!$T$6:$T$205"),MATCH($AF74&amp;"|"&amp;R$5,INDIRECT("'"&amp;$B74&amp;"'!$AF$6:$AF$205"),0))),"-"))</f>
        <v/>
      </c>
      <c r="S74" s="38">
        <f>IF(OR(AD74="",S$5="-"),"",IFERROR(IF(INDEX(INDIRECT("'"&amp;$B74&amp;"'!$T$6:$T$205"),MATCH($AF74&amp;"|"&amp;S$5,INDIRECT("'"&amp;$B74&amp;"'!$AF$6:$AF$205"),0))="","",INDEX(INDIRECT("'"&amp;$B74&amp;"'!$T$6:$T$205"),MATCH($AF74&amp;"|"&amp;S$5,INDIRECT("'"&amp;$B74&amp;"'!$AF$6:$AF$205"),0))),"-"))</f>
        <v/>
      </c>
      <c r="T74" s="35">
        <f>IF(U74="","",INDEX($L$5:$O$5,MATCH(U74,L74:O74,0)))</f>
        <v/>
      </c>
      <c r="U74" s="37">
        <f>IF(COUNT(L74:O74)=0,"",MIN(L74:O74))</f>
        <v/>
      </c>
      <c r="V74" s="39">
        <f>IF(U74="","",U74*F74)</f>
        <v/>
      </c>
      <c r="W74" s="39">
        <f>IF(COUNT(L74:O74)&lt;2,"",(MAX(L74:O74)-MIN(L74:O74))*F74)</f>
        <v/>
      </c>
      <c r="X74" s="20" t="n"/>
      <c r="AD74">
        <f>IF(69&gt;MAX($AB$6:$AB$9),"",COUNTIF($AB$6:$AB$9,"&lt;"&amp;69)+1)</f>
        <v/>
      </c>
      <c r="AE74">
        <f>IF(AD74="","",69-INDEX($AC$6:$AC$9,AD74))</f>
        <v/>
      </c>
      <c r="AF74">
        <f>IF(AD74="","",INDEX(INDIRECT("'"&amp;$B74&amp;"'!$AE$6:$AE$205"),MATCH(AE74,INDIRECT("'"&amp;$B74&amp;"'!$AI$6:$AI$205"),0)))</f>
        <v/>
      </c>
    </row>
    <row r="75">
      <c r="A75" s="34">
        <f>IF(AD75="","",70)</f>
        <v/>
      </c>
      <c r="B75" s="35">
        <f>IF(AD75="","",INDEX($Z$6:$Z$9,AD75))</f>
        <v/>
      </c>
      <c r="C75" s="34">
        <f>IF(AD75="","",INDEX(INDIRECT("'"&amp;$B75&amp;"'!$B$6:$B$205"),MATCH($AF75,INDIRECT("'"&amp;$B75&amp;"'!$AE$6:$AE$205"),0)))</f>
        <v/>
      </c>
      <c r="D75" s="34">
        <f>IF(AD75="","",INDEX(INDIRECT("'"&amp;$B75&amp;"'!$D$6:$D$205"),MATCH($AF75,INDIRECT("'"&amp;$B75&amp;"'!$AE$6:$AE$205"),0)))</f>
        <v/>
      </c>
      <c r="E75" s="36">
        <f>IF(AD75="","",INDEX(INDIRECT("'"&amp;$B75&amp;"'!$F$6:$F$205"),MATCH($AF75,INDIRECT("'"&amp;$B75&amp;"'!$AE$6:$AE$205"),0)))</f>
        <v/>
      </c>
      <c r="F75" s="34">
        <f>IF(AD75="","",INDEX(INDIRECT("'"&amp;$B75&amp;"'!$K$6:$K$205"),MATCH($AF75,INDIRECT("'"&amp;$B75&amp;"'!$AE$6:$AE$205"),0)))</f>
        <v/>
      </c>
      <c r="G75" s="34">
        <f>IF(AD75="","",INDEX(INDIRECT("'"&amp;$B75&amp;"'!$L$6:$L$205"),MATCH($AF75,INDIRECT("'"&amp;$B75&amp;"'!$AE$6:$AE$205"),0)))</f>
        <v/>
      </c>
      <c r="H75" s="34">
        <f>IF(OR(AD75="",H$5="-"),"",IFERROR(IF(INDEX(INDIRECT("'"&amp;$B75&amp;"'!$N$6:$N$205"),MATCH($AF75&amp;"|"&amp;H$5,INDIRECT("'"&amp;$B75&amp;"'!$AF$6:$AF$205"),0))="","",INDEX(INDIRECT("'"&amp;$B75&amp;"'!$N$6:$N$205"),MATCH($AF75&amp;"|"&amp;H$5,INDIRECT("'"&amp;$B75&amp;"'!$AF$6:$AF$205"),0))),"-"))</f>
        <v/>
      </c>
      <c r="I75" s="34">
        <f>IF(OR(AD75="",I$5="-"),"",IFERROR(IF(INDEX(INDIRECT("'"&amp;$B75&amp;"'!$N$6:$N$205"),MATCH($AF75&amp;"|"&amp;I$5,INDIRECT("'"&amp;$B75&amp;"'!$AF$6:$AF$205"),0))="","",INDEX(INDIRECT("'"&amp;$B75&amp;"'!$N$6:$N$205"),MATCH($AF75&amp;"|"&amp;I$5,INDIRECT("'"&amp;$B75&amp;"'!$AF$6:$AF$205"),0))),"-"))</f>
        <v/>
      </c>
      <c r="J75" s="34">
        <f>IF(OR(AD75="",J$5="-"),"",IFERROR(IF(INDEX(INDIRECT("'"&amp;$B75&amp;"'!$N$6:$N$205"),MATCH($AF75&amp;"|"&amp;J$5,INDIRECT("'"&amp;$B75&amp;"'!$AF$6:$AF$205"),0))="","",INDEX(INDIRECT("'"&amp;$B75&amp;"'!$N$6:$N$205"),MATCH($AF75&amp;"|"&amp;J$5,INDIRECT("'"&amp;$B75&amp;"'!$AF$6:$AF$205"),0))),"-"))</f>
        <v/>
      </c>
      <c r="K75" s="34">
        <f>IF(OR(AD75="",K$5="-"),"",IFERROR(IF(INDEX(INDIRECT("'"&amp;$B75&amp;"'!$N$6:$N$205"),MATCH($AF75&amp;"|"&amp;K$5,INDIRECT("'"&amp;$B75&amp;"'!$AF$6:$AF$205"),0))="","",INDEX(INDIRECT("'"&amp;$B75&amp;"'!$N$6:$N$205"),MATCH($AF75&amp;"|"&amp;K$5,INDIRECT("'"&amp;$B75&amp;"'!$AF$6:$AF$205"),0))),"-"))</f>
        <v/>
      </c>
      <c r="L75" s="37">
        <f>IF(OR(AD75="",L$5="-"),"",IFERROR(IF(INDEX(INDIRECT("'"&amp;$B75&amp;"'!$R$6:$R$205"),MATCH($AF75&amp;"|"&amp;L$5,INDIRECT("'"&amp;$B75&amp;"'!$AF$6:$AF$205"),0))="","",INDEX(INDIRECT("'"&amp;$B75&amp;"'!$R$6:$R$205"),MATCH($AF75&amp;"|"&amp;L$5,INDIRECT("'"&amp;$B75&amp;"'!$AF$6:$AF$205"),0))),"-"))</f>
        <v/>
      </c>
      <c r="M75" s="37">
        <f>IF(OR(AD75="",M$5="-"),"",IFERROR(IF(INDEX(INDIRECT("'"&amp;$B75&amp;"'!$R$6:$R$205"),MATCH($AF75&amp;"|"&amp;M$5,INDIRECT("'"&amp;$B75&amp;"'!$AF$6:$AF$205"),0))="","",INDEX(INDIRECT("'"&amp;$B75&amp;"'!$R$6:$R$205"),MATCH($AF75&amp;"|"&amp;M$5,INDIRECT("'"&amp;$B75&amp;"'!$AF$6:$AF$205"),0))),"-"))</f>
        <v/>
      </c>
      <c r="N75" s="37">
        <f>IF(OR(AD75="",N$5="-"),"",IFERROR(IF(INDEX(INDIRECT("'"&amp;$B75&amp;"'!$R$6:$R$205"),MATCH($AF75&amp;"|"&amp;N$5,INDIRECT("'"&amp;$B75&amp;"'!$AF$6:$AF$205"),0))="","",INDEX(INDIRECT("'"&amp;$B75&amp;"'!$R$6:$R$205"),MATCH($AF75&amp;"|"&amp;N$5,INDIRECT("'"&amp;$B75&amp;"'!$AF$6:$AF$205"),0))),"-"))</f>
        <v/>
      </c>
      <c r="O75" s="37">
        <f>IF(OR(AD75="",O$5="-"),"",IFERROR(IF(INDEX(INDIRECT("'"&amp;$B75&amp;"'!$R$6:$R$205"),MATCH($AF75&amp;"|"&amp;O$5,INDIRECT("'"&amp;$B75&amp;"'!$AF$6:$AF$205"),0))="","",INDEX(INDIRECT("'"&amp;$B75&amp;"'!$R$6:$R$205"),MATCH($AF75&amp;"|"&amp;O$5,INDIRECT("'"&amp;$B75&amp;"'!$AF$6:$AF$205"),0))),"-"))</f>
        <v/>
      </c>
      <c r="P75" s="38">
        <f>IF(OR(AD75="",P$5="-"),"",IFERROR(IF(INDEX(INDIRECT("'"&amp;$B75&amp;"'!$T$6:$T$205"),MATCH($AF75&amp;"|"&amp;P$5,INDIRECT("'"&amp;$B75&amp;"'!$AF$6:$AF$205"),0))="","",INDEX(INDIRECT("'"&amp;$B75&amp;"'!$T$6:$T$205"),MATCH($AF75&amp;"|"&amp;P$5,INDIRECT("'"&amp;$B75&amp;"'!$AF$6:$AF$205"),0))),"-"))</f>
        <v/>
      </c>
      <c r="Q75" s="38">
        <f>IF(OR(AD75="",Q$5="-"),"",IFERROR(IF(INDEX(INDIRECT("'"&amp;$B75&amp;"'!$T$6:$T$205"),MATCH($AF75&amp;"|"&amp;Q$5,INDIRECT("'"&amp;$B75&amp;"'!$AF$6:$AF$205"),0))="","",INDEX(INDIRECT("'"&amp;$B75&amp;"'!$T$6:$T$205"),MATCH($AF75&amp;"|"&amp;Q$5,INDIRECT("'"&amp;$B75&amp;"'!$AF$6:$AF$205"),0))),"-"))</f>
        <v/>
      </c>
      <c r="R75" s="38">
        <f>IF(OR(AD75="",R$5="-"),"",IFERROR(IF(INDEX(INDIRECT("'"&amp;$B75&amp;"'!$T$6:$T$205"),MATCH($AF75&amp;"|"&amp;R$5,INDIRECT("'"&amp;$B75&amp;"'!$AF$6:$AF$205"),0))="","",INDEX(INDIRECT("'"&amp;$B75&amp;"'!$T$6:$T$205"),MATCH($AF75&amp;"|"&amp;R$5,INDIRECT("'"&amp;$B75&amp;"'!$AF$6:$AF$205"),0))),"-"))</f>
        <v/>
      </c>
      <c r="S75" s="38">
        <f>IF(OR(AD75="",S$5="-"),"",IFERROR(IF(INDEX(INDIRECT("'"&amp;$B75&amp;"'!$T$6:$T$205"),MATCH($AF75&amp;"|"&amp;S$5,INDIRECT("'"&amp;$B75&amp;"'!$AF$6:$AF$205"),0))="","",INDEX(INDIRECT("'"&amp;$B75&amp;"'!$T$6:$T$205"),MATCH($AF75&amp;"|"&amp;S$5,INDIRECT("'"&amp;$B75&amp;"'!$AF$6:$AF$205"),0))),"-"))</f>
        <v/>
      </c>
      <c r="T75" s="35">
        <f>IF(U75="","",INDEX($L$5:$O$5,MATCH(U75,L75:O75,0)))</f>
        <v/>
      </c>
      <c r="U75" s="37">
        <f>IF(COUNT(L75:O75)=0,"",MIN(L75:O75))</f>
        <v/>
      </c>
      <c r="V75" s="39">
        <f>IF(U75="","",U75*F75)</f>
        <v/>
      </c>
      <c r="W75" s="39">
        <f>IF(COUNT(L75:O75)&lt;2,"",(MAX(L75:O75)-MIN(L75:O75))*F75)</f>
        <v/>
      </c>
      <c r="X75" s="20" t="n"/>
      <c r="AD75">
        <f>IF(70&gt;MAX($AB$6:$AB$9),"",COUNTIF($AB$6:$AB$9,"&lt;"&amp;70)+1)</f>
        <v/>
      </c>
      <c r="AE75">
        <f>IF(AD75="","",70-INDEX($AC$6:$AC$9,AD75))</f>
        <v/>
      </c>
      <c r="AF75">
        <f>IF(AD75="","",INDEX(INDIRECT("'"&amp;$B75&amp;"'!$AE$6:$AE$205"),MATCH(AE75,INDIRECT("'"&amp;$B75&amp;"'!$AI$6:$AI$205"),0)))</f>
        <v/>
      </c>
    </row>
    <row r="76">
      <c r="A76" s="34">
        <f>IF(AD76="","",71)</f>
        <v/>
      </c>
      <c r="B76" s="35">
        <f>IF(AD76="","",INDEX($Z$6:$Z$9,AD76))</f>
        <v/>
      </c>
      <c r="C76" s="34">
        <f>IF(AD76="","",INDEX(INDIRECT("'"&amp;$B76&amp;"'!$B$6:$B$205"),MATCH($AF76,INDIRECT("'"&amp;$B76&amp;"'!$AE$6:$AE$205"),0)))</f>
        <v/>
      </c>
      <c r="D76" s="34">
        <f>IF(AD76="","",INDEX(INDIRECT("'"&amp;$B76&amp;"'!$D$6:$D$205"),MATCH($AF76,INDIRECT("'"&amp;$B76&amp;"'!$AE$6:$AE$205"),0)))</f>
        <v/>
      </c>
      <c r="E76" s="36">
        <f>IF(AD76="","",INDEX(INDIRECT("'"&amp;$B76&amp;"'!$F$6:$F$205"),MATCH($AF76,INDIRECT("'"&amp;$B76&amp;"'!$AE$6:$AE$205"),0)))</f>
        <v/>
      </c>
      <c r="F76" s="34">
        <f>IF(AD76="","",INDEX(INDIRECT("'"&amp;$B76&amp;"'!$K$6:$K$205"),MATCH($AF76,INDIRECT("'"&amp;$B76&amp;"'!$AE$6:$AE$205"),0)))</f>
        <v/>
      </c>
      <c r="G76" s="34">
        <f>IF(AD76="","",INDEX(INDIRECT("'"&amp;$B76&amp;"'!$L$6:$L$205"),MATCH($AF76,INDIRECT("'"&amp;$B76&amp;"'!$AE$6:$AE$205"),0)))</f>
        <v/>
      </c>
      <c r="H76" s="34">
        <f>IF(OR(AD76="",H$5="-"),"",IFERROR(IF(INDEX(INDIRECT("'"&amp;$B76&amp;"'!$N$6:$N$205"),MATCH($AF76&amp;"|"&amp;H$5,INDIRECT("'"&amp;$B76&amp;"'!$AF$6:$AF$205"),0))="","",INDEX(INDIRECT("'"&amp;$B76&amp;"'!$N$6:$N$205"),MATCH($AF76&amp;"|"&amp;H$5,INDIRECT("'"&amp;$B76&amp;"'!$AF$6:$AF$205"),0))),"-"))</f>
        <v/>
      </c>
      <c r="I76" s="34">
        <f>IF(OR(AD76="",I$5="-"),"",IFERROR(IF(INDEX(INDIRECT("'"&amp;$B76&amp;"'!$N$6:$N$205"),MATCH($AF76&amp;"|"&amp;I$5,INDIRECT("'"&amp;$B76&amp;"'!$AF$6:$AF$205"),0))="","",INDEX(INDIRECT("'"&amp;$B76&amp;"'!$N$6:$N$205"),MATCH($AF76&amp;"|"&amp;I$5,INDIRECT("'"&amp;$B76&amp;"'!$AF$6:$AF$205"),0))),"-"))</f>
        <v/>
      </c>
      <c r="J76" s="34">
        <f>IF(OR(AD76="",J$5="-"),"",IFERROR(IF(INDEX(INDIRECT("'"&amp;$B76&amp;"'!$N$6:$N$205"),MATCH($AF76&amp;"|"&amp;J$5,INDIRECT("'"&amp;$B76&amp;"'!$AF$6:$AF$205"),0))="","",INDEX(INDIRECT("'"&amp;$B76&amp;"'!$N$6:$N$205"),MATCH($AF76&amp;"|"&amp;J$5,INDIRECT("'"&amp;$B76&amp;"'!$AF$6:$AF$205"),0))),"-"))</f>
        <v/>
      </c>
      <c r="K76" s="34">
        <f>IF(OR(AD76="",K$5="-"),"",IFERROR(IF(INDEX(INDIRECT("'"&amp;$B76&amp;"'!$N$6:$N$205"),MATCH($AF76&amp;"|"&amp;K$5,INDIRECT("'"&amp;$B76&amp;"'!$AF$6:$AF$205"),0))="","",INDEX(INDIRECT("'"&amp;$B76&amp;"'!$N$6:$N$205"),MATCH($AF76&amp;"|"&amp;K$5,INDIRECT("'"&amp;$B76&amp;"'!$AF$6:$AF$205"),0))),"-"))</f>
        <v/>
      </c>
      <c r="L76" s="37">
        <f>IF(OR(AD76="",L$5="-"),"",IFERROR(IF(INDEX(INDIRECT("'"&amp;$B76&amp;"'!$R$6:$R$205"),MATCH($AF76&amp;"|"&amp;L$5,INDIRECT("'"&amp;$B76&amp;"'!$AF$6:$AF$205"),0))="","",INDEX(INDIRECT("'"&amp;$B76&amp;"'!$R$6:$R$205"),MATCH($AF76&amp;"|"&amp;L$5,INDIRECT("'"&amp;$B76&amp;"'!$AF$6:$AF$205"),0))),"-"))</f>
        <v/>
      </c>
      <c r="M76" s="37">
        <f>IF(OR(AD76="",M$5="-"),"",IFERROR(IF(INDEX(INDIRECT("'"&amp;$B76&amp;"'!$R$6:$R$205"),MATCH($AF76&amp;"|"&amp;M$5,INDIRECT("'"&amp;$B76&amp;"'!$AF$6:$AF$205"),0))="","",INDEX(INDIRECT("'"&amp;$B76&amp;"'!$R$6:$R$205"),MATCH($AF76&amp;"|"&amp;M$5,INDIRECT("'"&amp;$B76&amp;"'!$AF$6:$AF$205"),0))),"-"))</f>
        <v/>
      </c>
      <c r="N76" s="37">
        <f>IF(OR(AD76="",N$5="-"),"",IFERROR(IF(INDEX(INDIRECT("'"&amp;$B76&amp;"'!$R$6:$R$205"),MATCH($AF76&amp;"|"&amp;N$5,INDIRECT("'"&amp;$B76&amp;"'!$AF$6:$AF$205"),0))="","",INDEX(INDIRECT("'"&amp;$B76&amp;"'!$R$6:$R$205"),MATCH($AF76&amp;"|"&amp;N$5,INDIRECT("'"&amp;$B76&amp;"'!$AF$6:$AF$205"),0))),"-"))</f>
        <v/>
      </c>
      <c r="O76" s="37">
        <f>IF(OR(AD76="",O$5="-"),"",IFERROR(IF(INDEX(INDIRECT("'"&amp;$B76&amp;"'!$R$6:$R$205"),MATCH($AF76&amp;"|"&amp;O$5,INDIRECT("'"&amp;$B76&amp;"'!$AF$6:$AF$205"),0))="","",INDEX(INDIRECT("'"&amp;$B76&amp;"'!$R$6:$R$205"),MATCH($AF76&amp;"|"&amp;O$5,INDIRECT("'"&amp;$B76&amp;"'!$AF$6:$AF$205"),0))),"-"))</f>
        <v/>
      </c>
      <c r="P76" s="38">
        <f>IF(OR(AD76="",P$5="-"),"",IFERROR(IF(INDEX(INDIRECT("'"&amp;$B76&amp;"'!$T$6:$T$205"),MATCH($AF76&amp;"|"&amp;P$5,INDIRECT("'"&amp;$B76&amp;"'!$AF$6:$AF$205"),0))="","",INDEX(INDIRECT("'"&amp;$B76&amp;"'!$T$6:$T$205"),MATCH($AF76&amp;"|"&amp;P$5,INDIRECT("'"&amp;$B76&amp;"'!$AF$6:$AF$205"),0))),"-"))</f>
        <v/>
      </c>
      <c r="Q76" s="38">
        <f>IF(OR(AD76="",Q$5="-"),"",IFERROR(IF(INDEX(INDIRECT("'"&amp;$B76&amp;"'!$T$6:$T$205"),MATCH($AF76&amp;"|"&amp;Q$5,INDIRECT("'"&amp;$B76&amp;"'!$AF$6:$AF$205"),0))="","",INDEX(INDIRECT("'"&amp;$B76&amp;"'!$T$6:$T$205"),MATCH($AF76&amp;"|"&amp;Q$5,INDIRECT("'"&amp;$B76&amp;"'!$AF$6:$AF$205"),0))),"-"))</f>
        <v/>
      </c>
      <c r="R76" s="38">
        <f>IF(OR(AD76="",R$5="-"),"",IFERROR(IF(INDEX(INDIRECT("'"&amp;$B76&amp;"'!$T$6:$T$205"),MATCH($AF76&amp;"|"&amp;R$5,INDIRECT("'"&amp;$B76&amp;"'!$AF$6:$AF$205"),0))="","",INDEX(INDIRECT("'"&amp;$B76&amp;"'!$T$6:$T$205"),MATCH($AF76&amp;"|"&amp;R$5,INDIRECT("'"&amp;$B76&amp;"'!$AF$6:$AF$205"),0))),"-"))</f>
        <v/>
      </c>
      <c r="S76" s="38">
        <f>IF(OR(AD76="",S$5="-"),"",IFERROR(IF(INDEX(INDIRECT("'"&amp;$B76&amp;"'!$T$6:$T$205"),MATCH($AF76&amp;"|"&amp;S$5,INDIRECT("'"&amp;$B76&amp;"'!$AF$6:$AF$205"),0))="","",INDEX(INDIRECT("'"&amp;$B76&amp;"'!$T$6:$T$205"),MATCH($AF76&amp;"|"&amp;S$5,INDIRECT("'"&amp;$B76&amp;"'!$AF$6:$AF$205"),0))),"-"))</f>
        <v/>
      </c>
      <c r="T76" s="35">
        <f>IF(U76="","",INDEX($L$5:$O$5,MATCH(U76,L76:O76,0)))</f>
        <v/>
      </c>
      <c r="U76" s="37">
        <f>IF(COUNT(L76:O76)=0,"",MIN(L76:O76))</f>
        <v/>
      </c>
      <c r="V76" s="39">
        <f>IF(U76="","",U76*F76)</f>
        <v/>
      </c>
      <c r="W76" s="39">
        <f>IF(COUNT(L76:O76)&lt;2,"",(MAX(L76:O76)-MIN(L76:O76))*F76)</f>
        <v/>
      </c>
      <c r="X76" s="20" t="n"/>
      <c r="AD76">
        <f>IF(71&gt;MAX($AB$6:$AB$9),"",COUNTIF($AB$6:$AB$9,"&lt;"&amp;71)+1)</f>
        <v/>
      </c>
      <c r="AE76">
        <f>IF(AD76="","",71-INDEX($AC$6:$AC$9,AD76))</f>
        <v/>
      </c>
      <c r="AF76">
        <f>IF(AD76="","",INDEX(INDIRECT("'"&amp;$B76&amp;"'!$AE$6:$AE$205"),MATCH(AE76,INDIRECT("'"&amp;$B76&amp;"'!$AI$6:$AI$205"),0)))</f>
        <v/>
      </c>
    </row>
    <row r="77">
      <c r="A77" s="34">
        <f>IF(AD77="","",72)</f>
        <v/>
      </c>
      <c r="B77" s="35">
        <f>IF(AD77="","",INDEX($Z$6:$Z$9,AD77))</f>
        <v/>
      </c>
      <c r="C77" s="34">
        <f>IF(AD77="","",INDEX(INDIRECT("'"&amp;$B77&amp;"'!$B$6:$B$205"),MATCH($AF77,INDIRECT("'"&amp;$B77&amp;"'!$AE$6:$AE$205"),0)))</f>
        <v/>
      </c>
      <c r="D77" s="34">
        <f>IF(AD77="","",INDEX(INDIRECT("'"&amp;$B77&amp;"'!$D$6:$D$205"),MATCH($AF77,INDIRECT("'"&amp;$B77&amp;"'!$AE$6:$AE$205"),0)))</f>
        <v/>
      </c>
      <c r="E77" s="36">
        <f>IF(AD77="","",INDEX(INDIRECT("'"&amp;$B77&amp;"'!$F$6:$F$205"),MATCH($AF77,INDIRECT("'"&amp;$B77&amp;"'!$AE$6:$AE$205"),0)))</f>
        <v/>
      </c>
      <c r="F77" s="34">
        <f>IF(AD77="","",INDEX(INDIRECT("'"&amp;$B77&amp;"'!$K$6:$K$205"),MATCH($AF77,INDIRECT("'"&amp;$B77&amp;"'!$AE$6:$AE$205"),0)))</f>
        <v/>
      </c>
      <c r="G77" s="34">
        <f>IF(AD77="","",INDEX(INDIRECT("'"&amp;$B77&amp;"'!$L$6:$L$205"),MATCH($AF77,INDIRECT("'"&amp;$B77&amp;"'!$AE$6:$AE$205"),0)))</f>
        <v/>
      </c>
      <c r="H77" s="34">
        <f>IF(OR(AD77="",H$5="-"),"",IFERROR(IF(INDEX(INDIRECT("'"&amp;$B77&amp;"'!$N$6:$N$205"),MATCH($AF77&amp;"|"&amp;H$5,INDIRECT("'"&amp;$B77&amp;"'!$AF$6:$AF$205"),0))="","",INDEX(INDIRECT("'"&amp;$B77&amp;"'!$N$6:$N$205"),MATCH($AF77&amp;"|"&amp;H$5,INDIRECT("'"&amp;$B77&amp;"'!$AF$6:$AF$205"),0))),"-"))</f>
        <v/>
      </c>
      <c r="I77" s="34">
        <f>IF(OR(AD77="",I$5="-"),"",IFERROR(IF(INDEX(INDIRECT("'"&amp;$B77&amp;"'!$N$6:$N$205"),MATCH($AF77&amp;"|"&amp;I$5,INDIRECT("'"&amp;$B77&amp;"'!$AF$6:$AF$205"),0))="","",INDEX(INDIRECT("'"&amp;$B77&amp;"'!$N$6:$N$205"),MATCH($AF77&amp;"|"&amp;I$5,INDIRECT("'"&amp;$B77&amp;"'!$AF$6:$AF$205"),0))),"-"))</f>
        <v/>
      </c>
      <c r="J77" s="34">
        <f>IF(OR(AD77="",J$5="-"),"",IFERROR(IF(INDEX(INDIRECT("'"&amp;$B77&amp;"'!$N$6:$N$205"),MATCH($AF77&amp;"|"&amp;J$5,INDIRECT("'"&amp;$B77&amp;"'!$AF$6:$AF$205"),0))="","",INDEX(INDIRECT("'"&amp;$B77&amp;"'!$N$6:$N$205"),MATCH($AF77&amp;"|"&amp;J$5,INDIRECT("'"&amp;$B77&amp;"'!$AF$6:$AF$205"),0))),"-"))</f>
        <v/>
      </c>
      <c r="K77" s="34">
        <f>IF(OR(AD77="",K$5="-"),"",IFERROR(IF(INDEX(INDIRECT("'"&amp;$B77&amp;"'!$N$6:$N$205"),MATCH($AF77&amp;"|"&amp;K$5,INDIRECT("'"&amp;$B77&amp;"'!$AF$6:$AF$205"),0))="","",INDEX(INDIRECT("'"&amp;$B77&amp;"'!$N$6:$N$205"),MATCH($AF77&amp;"|"&amp;K$5,INDIRECT("'"&amp;$B77&amp;"'!$AF$6:$AF$205"),0))),"-"))</f>
        <v/>
      </c>
      <c r="L77" s="37">
        <f>IF(OR(AD77="",L$5="-"),"",IFERROR(IF(INDEX(INDIRECT("'"&amp;$B77&amp;"'!$R$6:$R$205"),MATCH($AF77&amp;"|"&amp;L$5,INDIRECT("'"&amp;$B77&amp;"'!$AF$6:$AF$205"),0))="","",INDEX(INDIRECT("'"&amp;$B77&amp;"'!$R$6:$R$205"),MATCH($AF77&amp;"|"&amp;L$5,INDIRECT("'"&amp;$B77&amp;"'!$AF$6:$AF$205"),0))),"-"))</f>
        <v/>
      </c>
      <c r="M77" s="37">
        <f>IF(OR(AD77="",M$5="-"),"",IFERROR(IF(INDEX(INDIRECT("'"&amp;$B77&amp;"'!$R$6:$R$205"),MATCH($AF77&amp;"|"&amp;M$5,INDIRECT("'"&amp;$B77&amp;"'!$AF$6:$AF$205"),0))="","",INDEX(INDIRECT("'"&amp;$B77&amp;"'!$R$6:$R$205"),MATCH($AF77&amp;"|"&amp;M$5,INDIRECT("'"&amp;$B77&amp;"'!$AF$6:$AF$205"),0))),"-"))</f>
        <v/>
      </c>
      <c r="N77" s="37">
        <f>IF(OR(AD77="",N$5="-"),"",IFERROR(IF(INDEX(INDIRECT("'"&amp;$B77&amp;"'!$R$6:$R$205"),MATCH($AF77&amp;"|"&amp;N$5,INDIRECT("'"&amp;$B77&amp;"'!$AF$6:$AF$205"),0))="","",INDEX(INDIRECT("'"&amp;$B77&amp;"'!$R$6:$R$205"),MATCH($AF77&amp;"|"&amp;N$5,INDIRECT("'"&amp;$B77&amp;"'!$AF$6:$AF$205"),0))),"-"))</f>
        <v/>
      </c>
      <c r="O77" s="37">
        <f>IF(OR(AD77="",O$5="-"),"",IFERROR(IF(INDEX(INDIRECT("'"&amp;$B77&amp;"'!$R$6:$R$205"),MATCH($AF77&amp;"|"&amp;O$5,INDIRECT("'"&amp;$B77&amp;"'!$AF$6:$AF$205"),0))="","",INDEX(INDIRECT("'"&amp;$B77&amp;"'!$R$6:$R$205"),MATCH($AF77&amp;"|"&amp;O$5,INDIRECT("'"&amp;$B77&amp;"'!$AF$6:$AF$205"),0))),"-"))</f>
        <v/>
      </c>
      <c r="P77" s="38">
        <f>IF(OR(AD77="",P$5="-"),"",IFERROR(IF(INDEX(INDIRECT("'"&amp;$B77&amp;"'!$T$6:$T$205"),MATCH($AF77&amp;"|"&amp;P$5,INDIRECT("'"&amp;$B77&amp;"'!$AF$6:$AF$205"),0))="","",INDEX(INDIRECT("'"&amp;$B77&amp;"'!$T$6:$T$205"),MATCH($AF77&amp;"|"&amp;P$5,INDIRECT("'"&amp;$B77&amp;"'!$AF$6:$AF$205"),0))),"-"))</f>
        <v/>
      </c>
      <c r="Q77" s="38">
        <f>IF(OR(AD77="",Q$5="-"),"",IFERROR(IF(INDEX(INDIRECT("'"&amp;$B77&amp;"'!$T$6:$T$205"),MATCH($AF77&amp;"|"&amp;Q$5,INDIRECT("'"&amp;$B77&amp;"'!$AF$6:$AF$205"),0))="","",INDEX(INDIRECT("'"&amp;$B77&amp;"'!$T$6:$T$205"),MATCH($AF77&amp;"|"&amp;Q$5,INDIRECT("'"&amp;$B77&amp;"'!$AF$6:$AF$205"),0))),"-"))</f>
        <v/>
      </c>
      <c r="R77" s="38">
        <f>IF(OR(AD77="",R$5="-"),"",IFERROR(IF(INDEX(INDIRECT("'"&amp;$B77&amp;"'!$T$6:$T$205"),MATCH($AF77&amp;"|"&amp;R$5,INDIRECT("'"&amp;$B77&amp;"'!$AF$6:$AF$205"),0))="","",INDEX(INDIRECT("'"&amp;$B77&amp;"'!$T$6:$T$205"),MATCH($AF77&amp;"|"&amp;R$5,INDIRECT("'"&amp;$B77&amp;"'!$AF$6:$AF$205"),0))),"-"))</f>
        <v/>
      </c>
      <c r="S77" s="38">
        <f>IF(OR(AD77="",S$5="-"),"",IFERROR(IF(INDEX(INDIRECT("'"&amp;$B77&amp;"'!$T$6:$T$205"),MATCH($AF77&amp;"|"&amp;S$5,INDIRECT("'"&amp;$B77&amp;"'!$AF$6:$AF$205"),0))="","",INDEX(INDIRECT("'"&amp;$B77&amp;"'!$T$6:$T$205"),MATCH($AF77&amp;"|"&amp;S$5,INDIRECT("'"&amp;$B77&amp;"'!$AF$6:$AF$205"),0))),"-"))</f>
        <v/>
      </c>
      <c r="T77" s="35">
        <f>IF(U77="","",INDEX($L$5:$O$5,MATCH(U77,L77:O77,0)))</f>
        <v/>
      </c>
      <c r="U77" s="37">
        <f>IF(COUNT(L77:O77)=0,"",MIN(L77:O77))</f>
        <v/>
      </c>
      <c r="V77" s="39">
        <f>IF(U77="","",U77*F77)</f>
        <v/>
      </c>
      <c r="W77" s="39">
        <f>IF(COUNT(L77:O77)&lt;2,"",(MAX(L77:O77)-MIN(L77:O77))*F77)</f>
        <v/>
      </c>
      <c r="X77" s="20" t="n"/>
      <c r="AD77">
        <f>IF(72&gt;MAX($AB$6:$AB$9),"",COUNTIF($AB$6:$AB$9,"&lt;"&amp;72)+1)</f>
        <v/>
      </c>
      <c r="AE77">
        <f>IF(AD77="","",72-INDEX($AC$6:$AC$9,AD77))</f>
        <v/>
      </c>
      <c r="AF77">
        <f>IF(AD77="","",INDEX(INDIRECT("'"&amp;$B77&amp;"'!$AE$6:$AE$205"),MATCH(AE77,INDIRECT("'"&amp;$B77&amp;"'!$AI$6:$AI$205"),0)))</f>
        <v/>
      </c>
    </row>
    <row r="78">
      <c r="A78" s="34">
        <f>IF(AD78="","",73)</f>
        <v/>
      </c>
      <c r="B78" s="35">
        <f>IF(AD78="","",INDEX($Z$6:$Z$9,AD78))</f>
        <v/>
      </c>
      <c r="C78" s="34">
        <f>IF(AD78="","",INDEX(INDIRECT("'"&amp;$B78&amp;"'!$B$6:$B$205"),MATCH($AF78,INDIRECT("'"&amp;$B78&amp;"'!$AE$6:$AE$205"),0)))</f>
        <v/>
      </c>
      <c r="D78" s="34">
        <f>IF(AD78="","",INDEX(INDIRECT("'"&amp;$B78&amp;"'!$D$6:$D$205"),MATCH($AF78,INDIRECT("'"&amp;$B78&amp;"'!$AE$6:$AE$205"),0)))</f>
        <v/>
      </c>
      <c r="E78" s="36">
        <f>IF(AD78="","",INDEX(INDIRECT("'"&amp;$B78&amp;"'!$F$6:$F$205"),MATCH($AF78,INDIRECT("'"&amp;$B78&amp;"'!$AE$6:$AE$205"),0)))</f>
        <v/>
      </c>
      <c r="F78" s="34">
        <f>IF(AD78="","",INDEX(INDIRECT("'"&amp;$B78&amp;"'!$K$6:$K$205"),MATCH($AF78,INDIRECT("'"&amp;$B78&amp;"'!$AE$6:$AE$205"),0)))</f>
        <v/>
      </c>
      <c r="G78" s="34">
        <f>IF(AD78="","",INDEX(INDIRECT("'"&amp;$B78&amp;"'!$L$6:$L$205"),MATCH($AF78,INDIRECT("'"&amp;$B78&amp;"'!$AE$6:$AE$205"),0)))</f>
        <v/>
      </c>
      <c r="H78" s="34">
        <f>IF(OR(AD78="",H$5="-"),"",IFERROR(IF(INDEX(INDIRECT("'"&amp;$B78&amp;"'!$N$6:$N$205"),MATCH($AF78&amp;"|"&amp;H$5,INDIRECT("'"&amp;$B78&amp;"'!$AF$6:$AF$205"),0))="","",INDEX(INDIRECT("'"&amp;$B78&amp;"'!$N$6:$N$205"),MATCH($AF78&amp;"|"&amp;H$5,INDIRECT("'"&amp;$B78&amp;"'!$AF$6:$AF$205"),0))),"-"))</f>
        <v/>
      </c>
      <c r="I78" s="34">
        <f>IF(OR(AD78="",I$5="-"),"",IFERROR(IF(INDEX(INDIRECT("'"&amp;$B78&amp;"'!$N$6:$N$205"),MATCH($AF78&amp;"|"&amp;I$5,INDIRECT("'"&amp;$B78&amp;"'!$AF$6:$AF$205"),0))="","",INDEX(INDIRECT("'"&amp;$B78&amp;"'!$N$6:$N$205"),MATCH($AF78&amp;"|"&amp;I$5,INDIRECT("'"&amp;$B78&amp;"'!$AF$6:$AF$205"),0))),"-"))</f>
        <v/>
      </c>
      <c r="J78" s="34">
        <f>IF(OR(AD78="",J$5="-"),"",IFERROR(IF(INDEX(INDIRECT("'"&amp;$B78&amp;"'!$N$6:$N$205"),MATCH($AF78&amp;"|"&amp;J$5,INDIRECT("'"&amp;$B78&amp;"'!$AF$6:$AF$205"),0))="","",INDEX(INDIRECT("'"&amp;$B78&amp;"'!$N$6:$N$205"),MATCH($AF78&amp;"|"&amp;J$5,INDIRECT("'"&amp;$B78&amp;"'!$AF$6:$AF$205"),0))),"-"))</f>
        <v/>
      </c>
      <c r="K78" s="34">
        <f>IF(OR(AD78="",K$5="-"),"",IFERROR(IF(INDEX(INDIRECT("'"&amp;$B78&amp;"'!$N$6:$N$205"),MATCH($AF78&amp;"|"&amp;K$5,INDIRECT("'"&amp;$B78&amp;"'!$AF$6:$AF$205"),0))="","",INDEX(INDIRECT("'"&amp;$B78&amp;"'!$N$6:$N$205"),MATCH($AF78&amp;"|"&amp;K$5,INDIRECT("'"&amp;$B78&amp;"'!$AF$6:$AF$205"),0))),"-"))</f>
        <v/>
      </c>
      <c r="L78" s="37">
        <f>IF(OR(AD78="",L$5="-"),"",IFERROR(IF(INDEX(INDIRECT("'"&amp;$B78&amp;"'!$R$6:$R$205"),MATCH($AF78&amp;"|"&amp;L$5,INDIRECT("'"&amp;$B78&amp;"'!$AF$6:$AF$205"),0))="","",INDEX(INDIRECT("'"&amp;$B78&amp;"'!$R$6:$R$205"),MATCH($AF78&amp;"|"&amp;L$5,INDIRECT("'"&amp;$B78&amp;"'!$AF$6:$AF$205"),0))),"-"))</f>
        <v/>
      </c>
      <c r="M78" s="37">
        <f>IF(OR(AD78="",M$5="-"),"",IFERROR(IF(INDEX(INDIRECT("'"&amp;$B78&amp;"'!$R$6:$R$205"),MATCH($AF78&amp;"|"&amp;M$5,INDIRECT("'"&amp;$B78&amp;"'!$AF$6:$AF$205"),0))="","",INDEX(INDIRECT("'"&amp;$B78&amp;"'!$R$6:$R$205"),MATCH($AF78&amp;"|"&amp;M$5,INDIRECT("'"&amp;$B78&amp;"'!$AF$6:$AF$205"),0))),"-"))</f>
        <v/>
      </c>
      <c r="N78" s="37">
        <f>IF(OR(AD78="",N$5="-"),"",IFERROR(IF(INDEX(INDIRECT("'"&amp;$B78&amp;"'!$R$6:$R$205"),MATCH($AF78&amp;"|"&amp;N$5,INDIRECT("'"&amp;$B78&amp;"'!$AF$6:$AF$205"),0))="","",INDEX(INDIRECT("'"&amp;$B78&amp;"'!$R$6:$R$205"),MATCH($AF78&amp;"|"&amp;N$5,INDIRECT("'"&amp;$B78&amp;"'!$AF$6:$AF$205"),0))),"-"))</f>
        <v/>
      </c>
      <c r="O78" s="37">
        <f>IF(OR(AD78="",O$5="-"),"",IFERROR(IF(INDEX(INDIRECT("'"&amp;$B78&amp;"'!$R$6:$R$205"),MATCH($AF78&amp;"|"&amp;O$5,INDIRECT("'"&amp;$B78&amp;"'!$AF$6:$AF$205"),0))="","",INDEX(INDIRECT("'"&amp;$B78&amp;"'!$R$6:$R$205"),MATCH($AF78&amp;"|"&amp;O$5,INDIRECT("'"&amp;$B78&amp;"'!$AF$6:$AF$205"),0))),"-"))</f>
        <v/>
      </c>
      <c r="P78" s="38">
        <f>IF(OR(AD78="",P$5="-"),"",IFERROR(IF(INDEX(INDIRECT("'"&amp;$B78&amp;"'!$T$6:$T$205"),MATCH($AF78&amp;"|"&amp;P$5,INDIRECT("'"&amp;$B78&amp;"'!$AF$6:$AF$205"),0))="","",INDEX(INDIRECT("'"&amp;$B78&amp;"'!$T$6:$T$205"),MATCH($AF78&amp;"|"&amp;P$5,INDIRECT("'"&amp;$B78&amp;"'!$AF$6:$AF$205"),0))),"-"))</f>
        <v/>
      </c>
      <c r="Q78" s="38">
        <f>IF(OR(AD78="",Q$5="-"),"",IFERROR(IF(INDEX(INDIRECT("'"&amp;$B78&amp;"'!$T$6:$T$205"),MATCH($AF78&amp;"|"&amp;Q$5,INDIRECT("'"&amp;$B78&amp;"'!$AF$6:$AF$205"),0))="","",INDEX(INDIRECT("'"&amp;$B78&amp;"'!$T$6:$T$205"),MATCH($AF78&amp;"|"&amp;Q$5,INDIRECT("'"&amp;$B78&amp;"'!$AF$6:$AF$205"),0))),"-"))</f>
        <v/>
      </c>
      <c r="R78" s="38">
        <f>IF(OR(AD78="",R$5="-"),"",IFERROR(IF(INDEX(INDIRECT("'"&amp;$B78&amp;"'!$T$6:$T$205"),MATCH($AF78&amp;"|"&amp;R$5,INDIRECT("'"&amp;$B78&amp;"'!$AF$6:$AF$205"),0))="","",INDEX(INDIRECT("'"&amp;$B78&amp;"'!$T$6:$T$205"),MATCH($AF78&amp;"|"&amp;R$5,INDIRECT("'"&amp;$B78&amp;"'!$AF$6:$AF$205"),0))),"-"))</f>
        <v/>
      </c>
      <c r="S78" s="38">
        <f>IF(OR(AD78="",S$5="-"),"",IFERROR(IF(INDEX(INDIRECT("'"&amp;$B78&amp;"'!$T$6:$T$205"),MATCH($AF78&amp;"|"&amp;S$5,INDIRECT("'"&amp;$B78&amp;"'!$AF$6:$AF$205"),0))="","",INDEX(INDIRECT("'"&amp;$B78&amp;"'!$T$6:$T$205"),MATCH($AF78&amp;"|"&amp;S$5,INDIRECT("'"&amp;$B78&amp;"'!$AF$6:$AF$205"),0))),"-"))</f>
        <v/>
      </c>
      <c r="T78" s="35">
        <f>IF(U78="","",INDEX($L$5:$O$5,MATCH(U78,L78:O78,0)))</f>
        <v/>
      </c>
      <c r="U78" s="37">
        <f>IF(COUNT(L78:O78)=0,"",MIN(L78:O78))</f>
        <v/>
      </c>
      <c r="V78" s="39">
        <f>IF(U78="","",U78*F78)</f>
        <v/>
      </c>
      <c r="W78" s="39">
        <f>IF(COUNT(L78:O78)&lt;2,"",(MAX(L78:O78)-MIN(L78:O78))*F78)</f>
        <v/>
      </c>
      <c r="X78" s="20" t="n"/>
      <c r="AD78">
        <f>IF(73&gt;MAX($AB$6:$AB$9),"",COUNTIF($AB$6:$AB$9,"&lt;"&amp;73)+1)</f>
        <v/>
      </c>
      <c r="AE78">
        <f>IF(AD78="","",73-INDEX($AC$6:$AC$9,AD78))</f>
        <v/>
      </c>
      <c r="AF78">
        <f>IF(AD78="","",INDEX(INDIRECT("'"&amp;$B78&amp;"'!$AE$6:$AE$205"),MATCH(AE78,INDIRECT("'"&amp;$B78&amp;"'!$AI$6:$AI$205"),0)))</f>
        <v/>
      </c>
    </row>
    <row r="79">
      <c r="A79" s="34">
        <f>IF(AD79="","",74)</f>
        <v/>
      </c>
      <c r="B79" s="35">
        <f>IF(AD79="","",INDEX($Z$6:$Z$9,AD79))</f>
        <v/>
      </c>
      <c r="C79" s="34">
        <f>IF(AD79="","",INDEX(INDIRECT("'"&amp;$B79&amp;"'!$B$6:$B$205"),MATCH($AF79,INDIRECT("'"&amp;$B79&amp;"'!$AE$6:$AE$205"),0)))</f>
        <v/>
      </c>
      <c r="D79" s="34">
        <f>IF(AD79="","",INDEX(INDIRECT("'"&amp;$B79&amp;"'!$D$6:$D$205"),MATCH($AF79,INDIRECT("'"&amp;$B79&amp;"'!$AE$6:$AE$205"),0)))</f>
        <v/>
      </c>
      <c r="E79" s="36">
        <f>IF(AD79="","",INDEX(INDIRECT("'"&amp;$B79&amp;"'!$F$6:$F$205"),MATCH($AF79,INDIRECT("'"&amp;$B79&amp;"'!$AE$6:$AE$205"),0)))</f>
        <v/>
      </c>
      <c r="F79" s="34">
        <f>IF(AD79="","",INDEX(INDIRECT("'"&amp;$B79&amp;"'!$K$6:$K$205"),MATCH($AF79,INDIRECT("'"&amp;$B79&amp;"'!$AE$6:$AE$205"),0)))</f>
        <v/>
      </c>
      <c r="G79" s="34">
        <f>IF(AD79="","",INDEX(INDIRECT("'"&amp;$B79&amp;"'!$L$6:$L$205"),MATCH($AF79,INDIRECT("'"&amp;$B79&amp;"'!$AE$6:$AE$205"),0)))</f>
        <v/>
      </c>
      <c r="H79" s="34">
        <f>IF(OR(AD79="",H$5="-"),"",IFERROR(IF(INDEX(INDIRECT("'"&amp;$B79&amp;"'!$N$6:$N$205"),MATCH($AF79&amp;"|"&amp;H$5,INDIRECT("'"&amp;$B79&amp;"'!$AF$6:$AF$205"),0))="","",INDEX(INDIRECT("'"&amp;$B79&amp;"'!$N$6:$N$205"),MATCH($AF79&amp;"|"&amp;H$5,INDIRECT("'"&amp;$B79&amp;"'!$AF$6:$AF$205"),0))),"-"))</f>
        <v/>
      </c>
      <c r="I79" s="34">
        <f>IF(OR(AD79="",I$5="-"),"",IFERROR(IF(INDEX(INDIRECT("'"&amp;$B79&amp;"'!$N$6:$N$205"),MATCH($AF79&amp;"|"&amp;I$5,INDIRECT("'"&amp;$B79&amp;"'!$AF$6:$AF$205"),0))="","",INDEX(INDIRECT("'"&amp;$B79&amp;"'!$N$6:$N$205"),MATCH($AF79&amp;"|"&amp;I$5,INDIRECT("'"&amp;$B79&amp;"'!$AF$6:$AF$205"),0))),"-"))</f>
        <v/>
      </c>
      <c r="J79" s="34">
        <f>IF(OR(AD79="",J$5="-"),"",IFERROR(IF(INDEX(INDIRECT("'"&amp;$B79&amp;"'!$N$6:$N$205"),MATCH($AF79&amp;"|"&amp;J$5,INDIRECT("'"&amp;$B79&amp;"'!$AF$6:$AF$205"),0))="","",INDEX(INDIRECT("'"&amp;$B79&amp;"'!$N$6:$N$205"),MATCH($AF79&amp;"|"&amp;J$5,INDIRECT("'"&amp;$B79&amp;"'!$AF$6:$AF$205"),0))),"-"))</f>
        <v/>
      </c>
      <c r="K79" s="34">
        <f>IF(OR(AD79="",K$5="-"),"",IFERROR(IF(INDEX(INDIRECT("'"&amp;$B79&amp;"'!$N$6:$N$205"),MATCH($AF79&amp;"|"&amp;K$5,INDIRECT("'"&amp;$B79&amp;"'!$AF$6:$AF$205"),0))="","",INDEX(INDIRECT("'"&amp;$B79&amp;"'!$N$6:$N$205"),MATCH($AF79&amp;"|"&amp;K$5,INDIRECT("'"&amp;$B79&amp;"'!$AF$6:$AF$205"),0))),"-"))</f>
        <v/>
      </c>
      <c r="L79" s="37">
        <f>IF(OR(AD79="",L$5="-"),"",IFERROR(IF(INDEX(INDIRECT("'"&amp;$B79&amp;"'!$R$6:$R$205"),MATCH($AF79&amp;"|"&amp;L$5,INDIRECT("'"&amp;$B79&amp;"'!$AF$6:$AF$205"),0))="","",INDEX(INDIRECT("'"&amp;$B79&amp;"'!$R$6:$R$205"),MATCH($AF79&amp;"|"&amp;L$5,INDIRECT("'"&amp;$B79&amp;"'!$AF$6:$AF$205"),0))),"-"))</f>
        <v/>
      </c>
      <c r="M79" s="37">
        <f>IF(OR(AD79="",M$5="-"),"",IFERROR(IF(INDEX(INDIRECT("'"&amp;$B79&amp;"'!$R$6:$R$205"),MATCH($AF79&amp;"|"&amp;M$5,INDIRECT("'"&amp;$B79&amp;"'!$AF$6:$AF$205"),0))="","",INDEX(INDIRECT("'"&amp;$B79&amp;"'!$R$6:$R$205"),MATCH($AF79&amp;"|"&amp;M$5,INDIRECT("'"&amp;$B79&amp;"'!$AF$6:$AF$205"),0))),"-"))</f>
        <v/>
      </c>
      <c r="N79" s="37">
        <f>IF(OR(AD79="",N$5="-"),"",IFERROR(IF(INDEX(INDIRECT("'"&amp;$B79&amp;"'!$R$6:$R$205"),MATCH($AF79&amp;"|"&amp;N$5,INDIRECT("'"&amp;$B79&amp;"'!$AF$6:$AF$205"),0))="","",INDEX(INDIRECT("'"&amp;$B79&amp;"'!$R$6:$R$205"),MATCH($AF79&amp;"|"&amp;N$5,INDIRECT("'"&amp;$B79&amp;"'!$AF$6:$AF$205"),0))),"-"))</f>
        <v/>
      </c>
      <c r="O79" s="37">
        <f>IF(OR(AD79="",O$5="-"),"",IFERROR(IF(INDEX(INDIRECT("'"&amp;$B79&amp;"'!$R$6:$R$205"),MATCH($AF79&amp;"|"&amp;O$5,INDIRECT("'"&amp;$B79&amp;"'!$AF$6:$AF$205"),0))="","",INDEX(INDIRECT("'"&amp;$B79&amp;"'!$R$6:$R$205"),MATCH($AF79&amp;"|"&amp;O$5,INDIRECT("'"&amp;$B79&amp;"'!$AF$6:$AF$205"),0))),"-"))</f>
        <v/>
      </c>
      <c r="P79" s="38">
        <f>IF(OR(AD79="",P$5="-"),"",IFERROR(IF(INDEX(INDIRECT("'"&amp;$B79&amp;"'!$T$6:$T$205"),MATCH($AF79&amp;"|"&amp;P$5,INDIRECT("'"&amp;$B79&amp;"'!$AF$6:$AF$205"),0))="","",INDEX(INDIRECT("'"&amp;$B79&amp;"'!$T$6:$T$205"),MATCH($AF79&amp;"|"&amp;P$5,INDIRECT("'"&amp;$B79&amp;"'!$AF$6:$AF$205"),0))),"-"))</f>
        <v/>
      </c>
      <c r="Q79" s="38">
        <f>IF(OR(AD79="",Q$5="-"),"",IFERROR(IF(INDEX(INDIRECT("'"&amp;$B79&amp;"'!$T$6:$T$205"),MATCH($AF79&amp;"|"&amp;Q$5,INDIRECT("'"&amp;$B79&amp;"'!$AF$6:$AF$205"),0))="","",INDEX(INDIRECT("'"&amp;$B79&amp;"'!$T$6:$T$205"),MATCH($AF79&amp;"|"&amp;Q$5,INDIRECT("'"&amp;$B79&amp;"'!$AF$6:$AF$205"),0))),"-"))</f>
        <v/>
      </c>
      <c r="R79" s="38">
        <f>IF(OR(AD79="",R$5="-"),"",IFERROR(IF(INDEX(INDIRECT("'"&amp;$B79&amp;"'!$T$6:$T$205"),MATCH($AF79&amp;"|"&amp;R$5,INDIRECT("'"&amp;$B79&amp;"'!$AF$6:$AF$205"),0))="","",INDEX(INDIRECT("'"&amp;$B79&amp;"'!$T$6:$T$205"),MATCH($AF79&amp;"|"&amp;R$5,INDIRECT("'"&amp;$B79&amp;"'!$AF$6:$AF$205"),0))),"-"))</f>
        <v/>
      </c>
      <c r="S79" s="38">
        <f>IF(OR(AD79="",S$5="-"),"",IFERROR(IF(INDEX(INDIRECT("'"&amp;$B79&amp;"'!$T$6:$T$205"),MATCH($AF79&amp;"|"&amp;S$5,INDIRECT("'"&amp;$B79&amp;"'!$AF$6:$AF$205"),0))="","",INDEX(INDIRECT("'"&amp;$B79&amp;"'!$T$6:$T$205"),MATCH($AF79&amp;"|"&amp;S$5,INDIRECT("'"&amp;$B79&amp;"'!$AF$6:$AF$205"),0))),"-"))</f>
        <v/>
      </c>
      <c r="T79" s="35">
        <f>IF(U79="","",INDEX($L$5:$O$5,MATCH(U79,L79:O79,0)))</f>
        <v/>
      </c>
      <c r="U79" s="37">
        <f>IF(COUNT(L79:O79)=0,"",MIN(L79:O79))</f>
        <v/>
      </c>
      <c r="V79" s="39">
        <f>IF(U79="","",U79*F79)</f>
        <v/>
      </c>
      <c r="W79" s="39">
        <f>IF(COUNT(L79:O79)&lt;2,"",(MAX(L79:O79)-MIN(L79:O79))*F79)</f>
        <v/>
      </c>
      <c r="X79" s="20" t="n"/>
      <c r="AD79">
        <f>IF(74&gt;MAX($AB$6:$AB$9),"",COUNTIF($AB$6:$AB$9,"&lt;"&amp;74)+1)</f>
        <v/>
      </c>
      <c r="AE79">
        <f>IF(AD79="","",74-INDEX($AC$6:$AC$9,AD79))</f>
        <v/>
      </c>
      <c r="AF79">
        <f>IF(AD79="","",INDEX(INDIRECT("'"&amp;$B79&amp;"'!$AE$6:$AE$205"),MATCH(AE79,INDIRECT("'"&amp;$B79&amp;"'!$AI$6:$AI$205"),0)))</f>
        <v/>
      </c>
    </row>
    <row r="80">
      <c r="A80" s="34">
        <f>IF(AD80="","",75)</f>
        <v/>
      </c>
      <c r="B80" s="35">
        <f>IF(AD80="","",INDEX($Z$6:$Z$9,AD80))</f>
        <v/>
      </c>
      <c r="C80" s="34">
        <f>IF(AD80="","",INDEX(INDIRECT("'"&amp;$B80&amp;"'!$B$6:$B$205"),MATCH($AF80,INDIRECT("'"&amp;$B80&amp;"'!$AE$6:$AE$205"),0)))</f>
        <v/>
      </c>
      <c r="D80" s="34">
        <f>IF(AD80="","",INDEX(INDIRECT("'"&amp;$B80&amp;"'!$D$6:$D$205"),MATCH($AF80,INDIRECT("'"&amp;$B80&amp;"'!$AE$6:$AE$205"),0)))</f>
        <v/>
      </c>
      <c r="E80" s="36">
        <f>IF(AD80="","",INDEX(INDIRECT("'"&amp;$B80&amp;"'!$F$6:$F$205"),MATCH($AF80,INDIRECT("'"&amp;$B80&amp;"'!$AE$6:$AE$205"),0)))</f>
        <v/>
      </c>
      <c r="F80" s="34">
        <f>IF(AD80="","",INDEX(INDIRECT("'"&amp;$B80&amp;"'!$K$6:$K$205"),MATCH($AF80,INDIRECT("'"&amp;$B80&amp;"'!$AE$6:$AE$205"),0)))</f>
        <v/>
      </c>
      <c r="G80" s="34">
        <f>IF(AD80="","",INDEX(INDIRECT("'"&amp;$B80&amp;"'!$L$6:$L$205"),MATCH($AF80,INDIRECT("'"&amp;$B80&amp;"'!$AE$6:$AE$205"),0)))</f>
        <v/>
      </c>
      <c r="H80" s="34">
        <f>IF(OR(AD80="",H$5="-"),"",IFERROR(IF(INDEX(INDIRECT("'"&amp;$B80&amp;"'!$N$6:$N$205"),MATCH($AF80&amp;"|"&amp;H$5,INDIRECT("'"&amp;$B80&amp;"'!$AF$6:$AF$205"),0))="","",INDEX(INDIRECT("'"&amp;$B80&amp;"'!$N$6:$N$205"),MATCH($AF80&amp;"|"&amp;H$5,INDIRECT("'"&amp;$B80&amp;"'!$AF$6:$AF$205"),0))),"-"))</f>
        <v/>
      </c>
      <c r="I80" s="34">
        <f>IF(OR(AD80="",I$5="-"),"",IFERROR(IF(INDEX(INDIRECT("'"&amp;$B80&amp;"'!$N$6:$N$205"),MATCH($AF80&amp;"|"&amp;I$5,INDIRECT("'"&amp;$B80&amp;"'!$AF$6:$AF$205"),0))="","",INDEX(INDIRECT("'"&amp;$B80&amp;"'!$N$6:$N$205"),MATCH($AF80&amp;"|"&amp;I$5,INDIRECT("'"&amp;$B80&amp;"'!$AF$6:$AF$205"),0))),"-"))</f>
        <v/>
      </c>
      <c r="J80" s="34">
        <f>IF(OR(AD80="",J$5="-"),"",IFERROR(IF(INDEX(INDIRECT("'"&amp;$B80&amp;"'!$N$6:$N$205"),MATCH($AF80&amp;"|"&amp;J$5,INDIRECT("'"&amp;$B80&amp;"'!$AF$6:$AF$205"),0))="","",INDEX(INDIRECT("'"&amp;$B80&amp;"'!$N$6:$N$205"),MATCH($AF80&amp;"|"&amp;J$5,INDIRECT("'"&amp;$B80&amp;"'!$AF$6:$AF$205"),0))),"-"))</f>
        <v/>
      </c>
      <c r="K80" s="34">
        <f>IF(OR(AD80="",K$5="-"),"",IFERROR(IF(INDEX(INDIRECT("'"&amp;$B80&amp;"'!$N$6:$N$205"),MATCH($AF80&amp;"|"&amp;K$5,INDIRECT("'"&amp;$B80&amp;"'!$AF$6:$AF$205"),0))="","",INDEX(INDIRECT("'"&amp;$B80&amp;"'!$N$6:$N$205"),MATCH($AF80&amp;"|"&amp;K$5,INDIRECT("'"&amp;$B80&amp;"'!$AF$6:$AF$205"),0))),"-"))</f>
        <v/>
      </c>
      <c r="L80" s="37">
        <f>IF(OR(AD80="",L$5="-"),"",IFERROR(IF(INDEX(INDIRECT("'"&amp;$B80&amp;"'!$R$6:$R$205"),MATCH($AF80&amp;"|"&amp;L$5,INDIRECT("'"&amp;$B80&amp;"'!$AF$6:$AF$205"),0))="","",INDEX(INDIRECT("'"&amp;$B80&amp;"'!$R$6:$R$205"),MATCH($AF80&amp;"|"&amp;L$5,INDIRECT("'"&amp;$B80&amp;"'!$AF$6:$AF$205"),0))),"-"))</f>
        <v/>
      </c>
      <c r="M80" s="37">
        <f>IF(OR(AD80="",M$5="-"),"",IFERROR(IF(INDEX(INDIRECT("'"&amp;$B80&amp;"'!$R$6:$R$205"),MATCH($AF80&amp;"|"&amp;M$5,INDIRECT("'"&amp;$B80&amp;"'!$AF$6:$AF$205"),0))="","",INDEX(INDIRECT("'"&amp;$B80&amp;"'!$R$6:$R$205"),MATCH($AF80&amp;"|"&amp;M$5,INDIRECT("'"&amp;$B80&amp;"'!$AF$6:$AF$205"),0))),"-"))</f>
        <v/>
      </c>
      <c r="N80" s="37">
        <f>IF(OR(AD80="",N$5="-"),"",IFERROR(IF(INDEX(INDIRECT("'"&amp;$B80&amp;"'!$R$6:$R$205"),MATCH($AF80&amp;"|"&amp;N$5,INDIRECT("'"&amp;$B80&amp;"'!$AF$6:$AF$205"),0))="","",INDEX(INDIRECT("'"&amp;$B80&amp;"'!$R$6:$R$205"),MATCH($AF80&amp;"|"&amp;N$5,INDIRECT("'"&amp;$B80&amp;"'!$AF$6:$AF$205"),0))),"-"))</f>
        <v/>
      </c>
      <c r="O80" s="37">
        <f>IF(OR(AD80="",O$5="-"),"",IFERROR(IF(INDEX(INDIRECT("'"&amp;$B80&amp;"'!$R$6:$R$205"),MATCH($AF80&amp;"|"&amp;O$5,INDIRECT("'"&amp;$B80&amp;"'!$AF$6:$AF$205"),0))="","",INDEX(INDIRECT("'"&amp;$B80&amp;"'!$R$6:$R$205"),MATCH($AF80&amp;"|"&amp;O$5,INDIRECT("'"&amp;$B80&amp;"'!$AF$6:$AF$205"),0))),"-"))</f>
        <v/>
      </c>
      <c r="P80" s="38">
        <f>IF(OR(AD80="",P$5="-"),"",IFERROR(IF(INDEX(INDIRECT("'"&amp;$B80&amp;"'!$T$6:$T$205"),MATCH($AF80&amp;"|"&amp;P$5,INDIRECT("'"&amp;$B80&amp;"'!$AF$6:$AF$205"),0))="","",INDEX(INDIRECT("'"&amp;$B80&amp;"'!$T$6:$T$205"),MATCH($AF80&amp;"|"&amp;P$5,INDIRECT("'"&amp;$B80&amp;"'!$AF$6:$AF$205"),0))),"-"))</f>
        <v/>
      </c>
      <c r="Q80" s="38">
        <f>IF(OR(AD80="",Q$5="-"),"",IFERROR(IF(INDEX(INDIRECT("'"&amp;$B80&amp;"'!$T$6:$T$205"),MATCH($AF80&amp;"|"&amp;Q$5,INDIRECT("'"&amp;$B80&amp;"'!$AF$6:$AF$205"),0))="","",INDEX(INDIRECT("'"&amp;$B80&amp;"'!$T$6:$T$205"),MATCH($AF80&amp;"|"&amp;Q$5,INDIRECT("'"&amp;$B80&amp;"'!$AF$6:$AF$205"),0))),"-"))</f>
        <v/>
      </c>
      <c r="R80" s="38">
        <f>IF(OR(AD80="",R$5="-"),"",IFERROR(IF(INDEX(INDIRECT("'"&amp;$B80&amp;"'!$T$6:$T$205"),MATCH($AF80&amp;"|"&amp;R$5,INDIRECT("'"&amp;$B80&amp;"'!$AF$6:$AF$205"),0))="","",INDEX(INDIRECT("'"&amp;$B80&amp;"'!$T$6:$T$205"),MATCH($AF80&amp;"|"&amp;R$5,INDIRECT("'"&amp;$B80&amp;"'!$AF$6:$AF$205"),0))),"-"))</f>
        <v/>
      </c>
      <c r="S80" s="38">
        <f>IF(OR(AD80="",S$5="-"),"",IFERROR(IF(INDEX(INDIRECT("'"&amp;$B80&amp;"'!$T$6:$T$205"),MATCH($AF80&amp;"|"&amp;S$5,INDIRECT("'"&amp;$B80&amp;"'!$AF$6:$AF$205"),0))="","",INDEX(INDIRECT("'"&amp;$B80&amp;"'!$T$6:$T$205"),MATCH($AF80&amp;"|"&amp;S$5,INDIRECT("'"&amp;$B80&amp;"'!$AF$6:$AF$205"),0))),"-"))</f>
        <v/>
      </c>
      <c r="T80" s="35">
        <f>IF(U80="","",INDEX($L$5:$O$5,MATCH(U80,L80:O80,0)))</f>
        <v/>
      </c>
      <c r="U80" s="37">
        <f>IF(COUNT(L80:O80)=0,"",MIN(L80:O80))</f>
        <v/>
      </c>
      <c r="V80" s="39">
        <f>IF(U80="","",U80*F80)</f>
        <v/>
      </c>
      <c r="W80" s="39">
        <f>IF(COUNT(L80:O80)&lt;2,"",(MAX(L80:O80)-MIN(L80:O80))*F80)</f>
        <v/>
      </c>
      <c r="X80" s="20" t="n"/>
      <c r="AD80">
        <f>IF(75&gt;MAX($AB$6:$AB$9),"",COUNTIF($AB$6:$AB$9,"&lt;"&amp;75)+1)</f>
        <v/>
      </c>
      <c r="AE80">
        <f>IF(AD80="","",75-INDEX($AC$6:$AC$9,AD80))</f>
        <v/>
      </c>
      <c r="AF80">
        <f>IF(AD80="","",INDEX(INDIRECT("'"&amp;$B80&amp;"'!$AE$6:$AE$205"),MATCH(AE80,INDIRECT("'"&amp;$B80&amp;"'!$AI$6:$AI$205"),0)))</f>
        <v/>
      </c>
    </row>
    <row r="81">
      <c r="A81" s="34">
        <f>IF(AD81="","",76)</f>
        <v/>
      </c>
      <c r="B81" s="35">
        <f>IF(AD81="","",INDEX($Z$6:$Z$9,AD81))</f>
        <v/>
      </c>
      <c r="C81" s="34">
        <f>IF(AD81="","",INDEX(INDIRECT("'"&amp;$B81&amp;"'!$B$6:$B$205"),MATCH($AF81,INDIRECT("'"&amp;$B81&amp;"'!$AE$6:$AE$205"),0)))</f>
        <v/>
      </c>
      <c r="D81" s="34">
        <f>IF(AD81="","",INDEX(INDIRECT("'"&amp;$B81&amp;"'!$D$6:$D$205"),MATCH($AF81,INDIRECT("'"&amp;$B81&amp;"'!$AE$6:$AE$205"),0)))</f>
        <v/>
      </c>
      <c r="E81" s="36">
        <f>IF(AD81="","",INDEX(INDIRECT("'"&amp;$B81&amp;"'!$F$6:$F$205"),MATCH($AF81,INDIRECT("'"&amp;$B81&amp;"'!$AE$6:$AE$205"),0)))</f>
        <v/>
      </c>
      <c r="F81" s="34">
        <f>IF(AD81="","",INDEX(INDIRECT("'"&amp;$B81&amp;"'!$K$6:$K$205"),MATCH($AF81,INDIRECT("'"&amp;$B81&amp;"'!$AE$6:$AE$205"),0)))</f>
        <v/>
      </c>
      <c r="G81" s="34">
        <f>IF(AD81="","",INDEX(INDIRECT("'"&amp;$B81&amp;"'!$L$6:$L$205"),MATCH($AF81,INDIRECT("'"&amp;$B81&amp;"'!$AE$6:$AE$205"),0)))</f>
        <v/>
      </c>
      <c r="H81" s="34">
        <f>IF(OR(AD81="",H$5="-"),"",IFERROR(IF(INDEX(INDIRECT("'"&amp;$B81&amp;"'!$N$6:$N$205"),MATCH($AF81&amp;"|"&amp;H$5,INDIRECT("'"&amp;$B81&amp;"'!$AF$6:$AF$205"),0))="","",INDEX(INDIRECT("'"&amp;$B81&amp;"'!$N$6:$N$205"),MATCH($AF81&amp;"|"&amp;H$5,INDIRECT("'"&amp;$B81&amp;"'!$AF$6:$AF$205"),0))),"-"))</f>
        <v/>
      </c>
      <c r="I81" s="34">
        <f>IF(OR(AD81="",I$5="-"),"",IFERROR(IF(INDEX(INDIRECT("'"&amp;$B81&amp;"'!$N$6:$N$205"),MATCH($AF81&amp;"|"&amp;I$5,INDIRECT("'"&amp;$B81&amp;"'!$AF$6:$AF$205"),0))="","",INDEX(INDIRECT("'"&amp;$B81&amp;"'!$N$6:$N$205"),MATCH($AF81&amp;"|"&amp;I$5,INDIRECT("'"&amp;$B81&amp;"'!$AF$6:$AF$205"),0))),"-"))</f>
        <v/>
      </c>
      <c r="J81" s="34">
        <f>IF(OR(AD81="",J$5="-"),"",IFERROR(IF(INDEX(INDIRECT("'"&amp;$B81&amp;"'!$N$6:$N$205"),MATCH($AF81&amp;"|"&amp;J$5,INDIRECT("'"&amp;$B81&amp;"'!$AF$6:$AF$205"),0))="","",INDEX(INDIRECT("'"&amp;$B81&amp;"'!$N$6:$N$205"),MATCH($AF81&amp;"|"&amp;J$5,INDIRECT("'"&amp;$B81&amp;"'!$AF$6:$AF$205"),0))),"-"))</f>
        <v/>
      </c>
      <c r="K81" s="34">
        <f>IF(OR(AD81="",K$5="-"),"",IFERROR(IF(INDEX(INDIRECT("'"&amp;$B81&amp;"'!$N$6:$N$205"),MATCH($AF81&amp;"|"&amp;K$5,INDIRECT("'"&amp;$B81&amp;"'!$AF$6:$AF$205"),0))="","",INDEX(INDIRECT("'"&amp;$B81&amp;"'!$N$6:$N$205"),MATCH($AF81&amp;"|"&amp;K$5,INDIRECT("'"&amp;$B81&amp;"'!$AF$6:$AF$205"),0))),"-"))</f>
        <v/>
      </c>
      <c r="L81" s="37">
        <f>IF(OR(AD81="",L$5="-"),"",IFERROR(IF(INDEX(INDIRECT("'"&amp;$B81&amp;"'!$R$6:$R$205"),MATCH($AF81&amp;"|"&amp;L$5,INDIRECT("'"&amp;$B81&amp;"'!$AF$6:$AF$205"),0))="","",INDEX(INDIRECT("'"&amp;$B81&amp;"'!$R$6:$R$205"),MATCH($AF81&amp;"|"&amp;L$5,INDIRECT("'"&amp;$B81&amp;"'!$AF$6:$AF$205"),0))),"-"))</f>
        <v/>
      </c>
      <c r="M81" s="37">
        <f>IF(OR(AD81="",M$5="-"),"",IFERROR(IF(INDEX(INDIRECT("'"&amp;$B81&amp;"'!$R$6:$R$205"),MATCH($AF81&amp;"|"&amp;M$5,INDIRECT("'"&amp;$B81&amp;"'!$AF$6:$AF$205"),0))="","",INDEX(INDIRECT("'"&amp;$B81&amp;"'!$R$6:$R$205"),MATCH($AF81&amp;"|"&amp;M$5,INDIRECT("'"&amp;$B81&amp;"'!$AF$6:$AF$205"),0))),"-"))</f>
        <v/>
      </c>
      <c r="N81" s="37">
        <f>IF(OR(AD81="",N$5="-"),"",IFERROR(IF(INDEX(INDIRECT("'"&amp;$B81&amp;"'!$R$6:$R$205"),MATCH($AF81&amp;"|"&amp;N$5,INDIRECT("'"&amp;$B81&amp;"'!$AF$6:$AF$205"),0))="","",INDEX(INDIRECT("'"&amp;$B81&amp;"'!$R$6:$R$205"),MATCH($AF81&amp;"|"&amp;N$5,INDIRECT("'"&amp;$B81&amp;"'!$AF$6:$AF$205"),0))),"-"))</f>
        <v/>
      </c>
      <c r="O81" s="37">
        <f>IF(OR(AD81="",O$5="-"),"",IFERROR(IF(INDEX(INDIRECT("'"&amp;$B81&amp;"'!$R$6:$R$205"),MATCH($AF81&amp;"|"&amp;O$5,INDIRECT("'"&amp;$B81&amp;"'!$AF$6:$AF$205"),0))="","",INDEX(INDIRECT("'"&amp;$B81&amp;"'!$R$6:$R$205"),MATCH($AF81&amp;"|"&amp;O$5,INDIRECT("'"&amp;$B81&amp;"'!$AF$6:$AF$205"),0))),"-"))</f>
        <v/>
      </c>
      <c r="P81" s="38">
        <f>IF(OR(AD81="",P$5="-"),"",IFERROR(IF(INDEX(INDIRECT("'"&amp;$B81&amp;"'!$T$6:$T$205"),MATCH($AF81&amp;"|"&amp;P$5,INDIRECT("'"&amp;$B81&amp;"'!$AF$6:$AF$205"),0))="","",INDEX(INDIRECT("'"&amp;$B81&amp;"'!$T$6:$T$205"),MATCH($AF81&amp;"|"&amp;P$5,INDIRECT("'"&amp;$B81&amp;"'!$AF$6:$AF$205"),0))),"-"))</f>
        <v/>
      </c>
      <c r="Q81" s="38">
        <f>IF(OR(AD81="",Q$5="-"),"",IFERROR(IF(INDEX(INDIRECT("'"&amp;$B81&amp;"'!$T$6:$T$205"),MATCH($AF81&amp;"|"&amp;Q$5,INDIRECT("'"&amp;$B81&amp;"'!$AF$6:$AF$205"),0))="","",INDEX(INDIRECT("'"&amp;$B81&amp;"'!$T$6:$T$205"),MATCH($AF81&amp;"|"&amp;Q$5,INDIRECT("'"&amp;$B81&amp;"'!$AF$6:$AF$205"),0))),"-"))</f>
        <v/>
      </c>
      <c r="R81" s="38">
        <f>IF(OR(AD81="",R$5="-"),"",IFERROR(IF(INDEX(INDIRECT("'"&amp;$B81&amp;"'!$T$6:$T$205"),MATCH($AF81&amp;"|"&amp;R$5,INDIRECT("'"&amp;$B81&amp;"'!$AF$6:$AF$205"),0))="","",INDEX(INDIRECT("'"&amp;$B81&amp;"'!$T$6:$T$205"),MATCH($AF81&amp;"|"&amp;R$5,INDIRECT("'"&amp;$B81&amp;"'!$AF$6:$AF$205"),0))),"-"))</f>
        <v/>
      </c>
      <c r="S81" s="38">
        <f>IF(OR(AD81="",S$5="-"),"",IFERROR(IF(INDEX(INDIRECT("'"&amp;$B81&amp;"'!$T$6:$T$205"),MATCH($AF81&amp;"|"&amp;S$5,INDIRECT("'"&amp;$B81&amp;"'!$AF$6:$AF$205"),0))="","",INDEX(INDIRECT("'"&amp;$B81&amp;"'!$T$6:$T$205"),MATCH($AF81&amp;"|"&amp;S$5,INDIRECT("'"&amp;$B81&amp;"'!$AF$6:$AF$205"),0))),"-"))</f>
        <v/>
      </c>
      <c r="T81" s="35">
        <f>IF(U81="","",INDEX($L$5:$O$5,MATCH(U81,L81:O81,0)))</f>
        <v/>
      </c>
      <c r="U81" s="37">
        <f>IF(COUNT(L81:O81)=0,"",MIN(L81:O81))</f>
        <v/>
      </c>
      <c r="V81" s="39">
        <f>IF(U81="","",U81*F81)</f>
        <v/>
      </c>
      <c r="W81" s="39">
        <f>IF(COUNT(L81:O81)&lt;2,"",(MAX(L81:O81)-MIN(L81:O81))*F81)</f>
        <v/>
      </c>
      <c r="X81" s="20" t="n"/>
      <c r="AD81">
        <f>IF(76&gt;MAX($AB$6:$AB$9),"",COUNTIF($AB$6:$AB$9,"&lt;"&amp;76)+1)</f>
        <v/>
      </c>
      <c r="AE81">
        <f>IF(AD81="","",76-INDEX($AC$6:$AC$9,AD81))</f>
        <v/>
      </c>
      <c r="AF81">
        <f>IF(AD81="","",INDEX(INDIRECT("'"&amp;$B81&amp;"'!$AE$6:$AE$205"),MATCH(AE81,INDIRECT("'"&amp;$B81&amp;"'!$AI$6:$AI$205"),0)))</f>
        <v/>
      </c>
    </row>
    <row r="82">
      <c r="A82" s="34">
        <f>IF(AD82="","",77)</f>
        <v/>
      </c>
      <c r="B82" s="35">
        <f>IF(AD82="","",INDEX($Z$6:$Z$9,AD82))</f>
        <v/>
      </c>
      <c r="C82" s="34">
        <f>IF(AD82="","",INDEX(INDIRECT("'"&amp;$B82&amp;"'!$B$6:$B$205"),MATCH($AF82,INDIRECT("'"&amp;$B82&amp;"'!$AE$6:$AE$205"),0)))</f>
        <v/>
      </c>
      <c r="D82" s="34">
        <f>IF(AD82="","",INDEX(INDIRECT("'"&amp;$B82&amp;"'!$D$6:$D$205"),MATCH($AF82,INDIRECT("'"&amp;$B82&amp;"'!$AE$6:$AE$205"),0)))</f>
        <v/>
      </c>
      <c r="E82" s="36">
        <f>IF(AD82="","",INDEX(INDIRECT("'"&amp;$B82&amp;"'!$F$6:$F$205"),MATCH($AF82,INDIRECT("'"&amp;$B82&amp;"'!$AE$6:$AE$205"),0)))</f>
        <v/>
      </c>
      <c r="F82" s="34">
        <f>IF(AD82="","",INDEX(INDIRECT("'"&amp;$B82&amp;"'!$K$6:$K$205"),MATCH($AF82,INDIRECT("'"&amp;$B82&amp;"'!$AE$6:$AE$205"),0)))</f>
        <v/>
      </c>
      <c r="G82" s="34">
        <f>IF(AD82="","",INDEX(INDIRECT("'"&amp;$B82&amp;"'!$L$6:$L$205"),MATCH($AF82,INDIRECT("'"&amp;$B82&amp;"'!$AE$6:$AE$205"),0)))</f>
        <v/>
      </c>
      <c r="H82" s="34">
        <f>IF(OR(AD82="",H$5="-"),"",IFERROR(IF(INDEX(INDIRECT("'"&amp;$B82&amp;"'!$N$6:$N$205"),MATCH($AF82&amp;"|"&amp;H$5,INDIRECT("'"&amp;$B82&amp;"'!$AF$6:$AF$205"),0))="","",INDEX(INDIRECT("'"&amp;$B82&amp;"'!$N$6:$N$205"),MATCH($AF82&amp;"|"&amp;H$5,INDIRECT("'"&amp;$B82&amp;"'!$AF$6:$AF$205"),0))),"-"))</f>
        <v/>
      </c>
      <c r="I82" s="34">
        <f>IF(OR(AD82="",I$5="-"),"",IFERROR(IF(INDEX(INDIRECT("'"&amp;$B82&amp;"'!$N$6:$N$205"),MATCH($AF82&amp;"|"&amp;I$5,INDIRECT("'"&amp;$B82&amp;"'!$AF$6:$AF$205"),0))="","",INDEX(INDIRECT("'"&amp;$B82&amp;"'!$N$6:$N$205"),MATCH($AF82&amp;"|"&amp;I$5,INDIRECT("'"&amp;$B82&amp;"'!$AF$6:$AF$205"),0))),"-"))</f>
        <v/>
      </c>
      <c r="J82" s="34">
        <f>IF(OR(AD82="",J$5="-"),"",IFERROR(IF(INDEX(INDIRECT("'"&amp;$B82&amp;"'!$N$6:$N$205"),MATCH($AF82&amp;"|"&amp;J$5,INDIRECT("'"&amp;$B82&amp;"'!$AF$6:$AF$205"),0))="","",INDEX(INDIRECT("'"&amp;$B82&amp;"'!$N$6:$N$205"),MATCH($AF82&amp;"|"&amp;J$5,INDIRECT("'"&amp;$B82&amp;"'!$AF$6:$AF$205"),0))),"-"))</f>
        <v/>
      </c>
      <c r="K82" s="34">
        <f>IF(OR(AD82="",K$5="-"),"",IFERROR(IF(INDEX(INDIRECT("'"&amp;$B82&amp;"'!$N$6:$N$205"),MATCH($AF82&amp;"|"&amp;K$5,INDIRECT("'"&amp;$B82&amp;"'!$AF$6:$AF$205"),0))="","",INDEX(INDIRECT("'"&amp;$B82&amp;"'!$N$6:$N$205"),MATCH($AF82&amp;"|"&amp;K$5,INDIRECT("'"&amp;$B82&amp;"'!$AF$6:$AF$205"),0))),"-"))</f>
        <v/>
      </c>
      <c r="L82" s="37">
        <f>IF(OR(AD82="",L$5="-"),"",IFERROR(IF(INDEX(INDIRECT("'"&amp;$B82&amp;"'!$R$6:$R$205"),MATCH($AF82&amp;"|"&amp;L$5,INDIRECT("'"&amp;$B82&amp;"'!$AF$6:$AF$205"),0))="","",INDEX(INDIRECT("'"&amp;$B82&amp;"'!$R$6:$R$205"),MATCH($AF82&amp;"|"&amp;L$5,INDIRECT("'"&amp;$B82&amp;"'!$AF$6:$AF$205"),0))),"-"))</f>
        <v/>
      </c>
      <c r="M82" s="37">
        <f>IF(OR(AD82="",M$5="-"),"",IFERROR(IF(INDEX(INDIRECT("'"&amp;$B82&amp;"'!$R$6:$R$205"),MATCH($AF82&amp;"|"&amp;M$5,INDIRECT("'"&amp;$B82&amp;"'!$AF$6:$AF$205"),0))="","",INDEX(INDIRECT("'"&amp;$B82&amp;"'!$R$6:$R$205"),MATCH($AF82&amp;"|"&amp;M$5,INDIRECT("'"&amp;$B82&amp;"'!$AF$6:$AF$205"),0))),"-"))</f>
        <v/>
      </c>
      <c r="N82" s="37">
        <f>IF(OR(AD82="",N$5="-"),"",IFERROR(IF(INDEX(INDIRECT("'"&amp;$B82&amp;"'!$R$6:$R$205"),MATCH($AF82&amp;"|"&amp;N$5,INDIRECT("'"&amp;$B82&amp;"'!$AF$6:$AF$205"),0))="","",INDEX(INDIRECT("'"&amp;$B82&amp;"'!$R$6:$R$205"),MATCH($AF82&amp;"|"&amp;N$5,INDIRECT("'"&amp;$B82&amp;"'!$AF$6:$AF$205"),0))),"-"))</f>
        <v/>
      </c>
      <c r="O82" s="37">
        <f>IF(OR(AD82="",O$5="-"),"",IFERROR(IF(INDEX(INDIRECT("'"&amp;$B82&amp;"'!$R$6:$R$205"),MATCH($AF82&amp;"|"&amp;O$5,INDIRECT("'"&amp;$B82&amp;"'!$AF$6:$AF$205"),0))="","",INDEX(INDIRECT("'"&amp;$B82&amp;"'!$R$6:$R$205"),MATCH($AF82&amp;"|"&amp;O$5,INDIRECT("'"&amp;$B82&amp;"'!$AF$6:$AF$205"),0))),"-"))</f>
        <v/>
      </c>
      <c r="P82" s="38">
        <f>IF(OR(AD82="",P$5="-"),"",IFERROR(IF(INDEX(INDIRECT("'"&amp;$B82&amp;"'!$T$6:$T$205"),MATCH($AF82&amp;"|"&amp;P$5,INDIRECT("'"&amp;$B82&amp;"'!$AF$6:$AF$205"),0))="","",INDEX(INDIRECT("'"&amp;$B82&amp;"'!$T$6:$T$205"),MATCH($AF82&amp;"|"&amp;P$5,INDIRECT("'"&amp;$B82&amp;"'!$AF$6:$AF$205"),0))),"-"))</f>
        <v/>
      </c>
      <c r="Q82" s="38">
        <f>IF(OR(AD82="",Q$5="-"),"",IFERROR(IF(INDEX(INDIRECT("'"&amp;$B82&amp;"'!$T$6:$T$205"),MATCH($AF82&amp;"|"&amp;Q$5,INDIRECT("'"&amp;$B82&amp;"'!$AF$6:$AF$205"),0))="","",INDEX(INDIRECT("'"&amp;$B82&amp;"'!$T$6:$T$205"),MATCH($AF82&amp;"|"&amp;Q$5,INDIRECT("'"&amp;$B82&amp;"'!$AF$6:$AF$205"),0))),"-"))</f>
        <v/>
      </c>
      <c r="R82" s="38">
        <f>IF(OR(AD82="",R$5="-"),"",IFERROR(IF(INDEX(INDIRECT("'"&amp;$B82&amp;"'!$T$6:$T$205"),MATCH($AF82&amp;"|"&amp;R$5,INDIRECT("'"&amp;$B82&amp;"'!$AF$6:$AF$205"),0))="","",INDEX(INDIRECT("'"&amp;$B82&amp;"'!$T$6:$T$205"),MATCH($AF82&amp;"|"&amp;R$5,INDIRECT("'"&amp;$B82&amp;"'!$AF$6:$AF$205"),0))),"-"))</f>
        <v/>
      </c>
      <c r="S82" s="38">
        <f>IF(OR(AD82="",S$5="-"),"",IFERROR(IF(INDEX(INDIRECT("'"&amp;$B82&amp;"'!$T$6:$T$205"),MATCH($AF82&amp;"|"&amp;S$5,INDIRECT("'"&amp;$B82&amp;"'!$AF$6:$AF$205"),0))="","",INDEX(INDIRECT("'"&amp;$B82&amp;"'!$T$6:$T$205"),MATCH($AF82&amp;"|"&amp;S$5,INDIRECT("'"&amp;$B82&amp;"'!$AF$6:$AF$205"),0))),"-"))</f>
        <v/>
      </c>
      <c r="T82" s="35">
        <f>IF(U82="","",INDEX($L$5:$O$5,MATCH(U82,L82:O82,0)))</f>
        <v/>
      </c>
      <c r="U82" s="37">
        <f>IF(COUNT(L82:O82)=0,"",MIN(L82:O82))</f>
        <v/>
      </c>
      <c r="V82" s="39">
        <f>IF(U82="","",U82*F82)</f>
        <v/>
      </c>
      <c r="W82" s="39">
        <f>IF(COUNT(L82:O82)&lt;2,"",(MAX(L82:O82)-MIN(L82:O82))*F82)</f>
        <v/>
      </c>
      <c r="X82" s="20" t="n"/>
      <c r="AD82">
        <f>IF(77&gt;MAX($AB$6:$AB$9),"",COUNTIF($AB$6:$AB$9,"&lt;"&amp;77)+1)</f>
        <v/>
      </c>
      <c r="AE82">
        <f>IF(AD82="","",77-INDEX($AC$6:$AC$9,AD82))</f>
        <v/>
      </c>
      <c r="AF82">
        <f>IF(AD82="","",INDEX(INDIRECT("'"&amp;$B82&amp;"'!$AE$6:$AE$205"),MATCH(AE82,INDIRECT("'"&amp;$B82&amp;"'!$AI$6:$AI$205"),0)))</f>
        <v/>
      </c>
    </row>
    <row r="83">
      <c r="A83" s="34">
        <f>IF(AD83="","",78)</f>
        <v/>
      </c>
      <c r="B83" s="35">
        <f>IF(AD83="","",INDEX($Z$6:$Z$9,AD83))</f>
        <v/>
      </c>
      <c r="C83" s="34">
        <f>IF(AD83="","",INDEX(INDIRECT("'"&amp;$B83&amp;"'!$B$6:$B$205"),MATCH($AF83,INDIRECT("'"&amp;$B83&amp;"'!$AE$6:$AE$205"),0)))</f>
        <v/>
      </c>
      <c r="D83" s="34">
        <f>IF(AD83="","",INDEX(INDIRECT("'"&amp;$B83&amp;"'!$D$6:$D$205"),MATCH($AF83,INDIRECT("'"&amp;$B83&amp;"'!$AE$6:$AE$205"),0)))</f>
        <v/>
      </c>
      <c r="E83" s="36">
        <f>IF(AD83="","",INDEX(INDIRECT("'"&amp;$B83&amp;"'!$F$6:$F$205"),MATCH($AF83,INDIRECT("'"&amp;$B83&amp;"'!$AE$6:$AE$205"),0)))</f>
        <v/>
      </c>
      <c r="F83" s="34">
        <f>IF(AD83="","",INDEX(INDIRECT("'"&amp;$B83&amp;"'!$K$6:$K$205"),MATCH($AF83,INDIRECT("'"&amp;$B83&amp;"'!$AE$6:$AE$205"),0)))</f>
        <v/>
      </c>
      <c r="G83" s="34">
        <f>IF(AD83="","",INDEX(INDIRECT("'"&amp;$B83&amp;"'!$L$6:$L$205"),MATCH($AF83,INDIRECT("'"&amp;$B83&amp;"'!$AE$6:$AE$205"),0)))</f>
        <v/>
      </c>
      <c r="H83" s="34">
        <f>IF(OR(AD83="",H$5="-"),"",IFERROR(IF(INDEX(INDIRECT("'"&amp;$B83&amp;"'!$N$6:$N$205"),MATCH($AF83&amp;"|"&amp;H$5,INDIRECT("'"&amp;$B83&amp;"'!$AF$6:$AF$205"),0))="","",INDEX(INDIRECT("'"&amp;$B83&amp;"'!$N$6:$N$205"),MATCH($AF83&amp;"|"&amp;H$5,INDIRECT("'"&amp;$B83&amp;"'!$AF$6:$AF$205"),0))),"-"))</f>
        <v/>
      </c>
      <c r="I83" s="34">
        <f>IF(OR(AD83="",I$5="-"),"",IFERROR(IF(INDEX(INDIRECT("'"&amp;$B83&amp;"'!$N$6:$N$205"),MATCH($AF83&amp;"|"&amp;I$5,INDIRECT("'"&amp;$B83&amp;"'!$AF$6:$AF$205"),0))="","",INDEX(INDIRECT("'"&amp;$B83&amp;"'!$N$6:$N$205"),MATCH($AF83&amp;"|"&amp;I$5,INDIRECT("'"&amp;$B83&amp;"'!$AF$6:$AF$205"),0))),"-"))</f>
        <v/>
      </c>
      <c r="J83" s="34">
        <f>IF(OR(AD83="",J$5="-"),"",IFERROR(IF(INDEX(INDIRECT("'"&amp;$B83&amp;"'!$N$6:$N$205"),MATCH($AF83&amp;"|"&amp;J$5,INDIRECT("'"&amp;$B83&amp;"'!$AF$6:$AF$205"),0))="","",INDEX(INDIRECT("'"&amp;$B83&amp;"'!$N$6:$N$205"),MATCH($AF83&amp;"|"&amp;J$5,INDIRECT("'"&amp;$B83&amp;"'!$AF$6:$AF$205"),0))),"-"))</f>
        <v/>
      </c>
      <c r="K83" s="34">
        <f>IF(OR(AD83="",K$5="-"),"",IFERROR(IF(INDEX(INDIRECT("'"&amp;$B83&amp;"'!$N$6:$N$205"),MATCH($AF83&amp;"|"&amp;K$5,INDIRECT("'"&amp;$B83&amp;"'!$AF$6:$AF$205"),0))="","",INDEX(INDIRECT("'"&amp;$B83&amp;"'!$N$6:$N$205"),MATCH($AF83&amp;"|"&amp;K$5,INDIRECT("'"&amp;$B83&amp;"'!$AF$6:$AF$205"),0))),"-"))</f>
        <v/>
      </c>
      <c r="L83" s="37">
        <f>IF(OR(AD83="",L$5="-"),"",IFERROR(IF(INDEX(INDIRECT("'"&amp;$B83&amp;"'!$R$6:$R$205"),MATCH($AF83&amp;"|"&amp;L$5,INDIRECT("'"&amp;$B83&amp;"'!$AF$6:$AF$205"),0))="","",INDEX(INDIRECT("'"&amp;$B83&amp;"'!$R$6:$R$205"),MATCH($AF83&amp;"|"&amp;L$5,INDIRECT("'"&amp;$B83&amp;"'!$AF$6:$AF$205"),0))),"-"))</f>
        <v/>
      </c>
      <c r="M83" s="37">
        <f>IF(OR(AD83="",M$5="-"),"",IFERROR(IF(INDEX(INDIRECT("'"&amp;$B83&amp;"'!$R$6:$R$205"),MATCH($AF83&amp;"|"&amp;M$5,INDIRECT("'"&amp;$B83&amp;"'!$AF$6:$AF$205"),0))="","",INDEX(INDIRECT("'"&amp;$B83&amp;"'!$R$6:$R$205"),MATCH($AF83&amp;"|"&amp;M$5,INDIRECT("'"&amp;$B83&amp;"'!$AF$6:$AF$205"),0))),"-"))</f>
        <v/>
      </c>
      <c r="N83" s="37">
        <f>IF(OR(AD83="",N$5="-"),"",IFERROR(IF(INDEX(INDIRECT("'"&amp;$B83&amp;"'!$R$6:$R$205"),MATCH($AF83&amp;"|"&amp;N$5,INDIRECT("'"&amp;$B83&amp;"'!$AF$6:$AF$205"),0))="","",INDEX(INDIRECT("'"&amp;$B83&amp;"'!$R$6:$R$205"),MATCH($AF83&amp;"|"&amp;N$5,INDIRECT("'"&amp;$B83&amp;"'!$AF$6:$AF$205"),0))),"-"))</f>
        <v/>
      </c>
      <c r="O83" s="37">
        <f>IF(OR(AD83="",O$5="-"),"",IFERROR(IF(INDEX(INDIRECT("'"&amp;$B83&amp;"'!$R$6:$R$205"),MATCH($AF83&amp;"|"&amp;O$5,INDIRECT("'"&amp;$B83&amp;"'!$AF$6:$AF$205"),0))="","",INDEX(INDIRECT("'"&amp;$B83&amp;"'!$R$6:$R$205"),MATCH($AF83&amp;"|"&amp;O$5,INDIRECT("'"&amp;$B83&amp;"'!$AF$6:$AF$205"),0))),"-"))</f>
        <v/>
      </c>
      <c r="P83" s="38">
        <f>IF(OR(AD83="",P$5="-"),"",IFERROR(IF(INDEX(INDIRECT("'"&amp;$B83&amp;"'!$T$6:$T$205"),MATCH($AF83&amp;"|"&amp;P$5,INDIRECT("'"&amp;$B83&amp;"'!$AF$6:$AF$205"),0))="","",INDEX(INDIRECT("'"&amp;$B83&amp;"'!$T$6:$T$205"),MATCH($AF83&amp;"|"&amp;P$5,INDIRECT("'"&amp;$B83&amp;"'!$AF$6:$AF$205"),0))),"-"))</f>
        <v/>
      </c>
      <c r="Q83" s="38">
        <f>IF(OR(AD83="",Q$5="-"),"",IFERROR(IF(INDEX(INDIRECT("'"&amp;$B83&amp;"'!$T$6:$T$205"),MATCH($AF83&amp;"|"&amp;Q$5,INDIRECT("'"&amp;$B83&amp;"'!$AF$6:$AF$205"),0))="","",INDEX(INDIRECT("'"&amp;$B83&amp;"'!$T$6:$T$205"),MATCH($AF83&amp;"|"&amp;Q$5,INDIRECT("'"&amp;$B83&amp;"'!$AF$6:$AF$205"),0))),"-"))</f>
        <v/>
      </c>
      <c r="R83" s="38">
        <f>IF(OR(AD83="",R$5="-"),"",IFERROR(IF(INDEX(INDIRECT("'"&amp;$B83&amp;"'!$T$6:$T$205"),MATCH($AF83&amp;"|"&amp;R$5,INDIRECT("'"&amp;$B83&amp;"'!$AF$6:$AF$205"),0))="","",INDEX(INDIRECT("'"&amp;$B83&amp;"'!$T$6:$T$205"),MATCH($AF83&amp;"|"&amp;R$5,INDIRECT("'"&amp;$B83&amp;"'!$AF$6:$AF$205"),0))),"-"))</f>
        <v/>
      </c>
      <c r="S83" s="38">
        <f>IF(OR(AD83="",S$5="-"),"",IFERROR(IF(INDEX(INDIRECT("'"&amp;$B83&amp;"'!$T$6:$T$205"),MATCH($AF83&amp;"|"&amp;S$5,INDIRECT("'"&amp;$B83&amp;"'!$AF$6:$AF$205"),0))="","",INDEX(INDIRECT("'"&amp;$B83&amp;"'!$T$6:$T$205"),MATCH($AF83&amp;"|"&amp;S$5,INDIRECT("'"&amp;$B83&amp;"'!$AF$6:$AF$205"),0))),"-"))</f>
        <v/>
      </c>
      <c r="T83" s="35">
        <f>IF(U83="","",INDEX($L$5:$O$5,MATCH(U83,L83:O83,0)))</f>
        <v/>
      </c>
      <c r="U83" s="37">
        <f>IF(COUNT(L83:O83)=0,"",MIN(L83:O83))</f>
        <v/>
      </c>
      <c r="V83" s="39">
        <f>IF(U83="","",U83*F83)</f>
        <v/>
      </c>
      <c r="W83" s="39">
        <f>IF(COUNT(L83:O83)&lt;2,"",(MAX(L83:O83)-MIN(L83:O83))*F83)</f>
        <v/>
      </c>
      <c r="X83" s="20" t="n"/>
      <c r="AD83">
        <f>IF(78&gt;MAX($AB$6:$AB$9),"",COUNTIF($AB$6:$AB$9,"&lt;"&amp;78)+1)</f>
        <v/>
      </c>
      <c r="AE83">
        <f>IF(AD83="","",78-INDEX($AC$6:$AC$9,AD83))</f>
        <v/>
      </c>
      <c r="AF83">
        <f>IF(AD83="","",INDEX(INDIRECT("'"&amp;$B83&amp;"'!$AE$6:$AE$205"),MATCH(AE83,INDIRECT("'"&amp;$B83&amp;"'!$AI$6:$AI$205"),0)))</f>
        <v/>
      </c>
    </row>
    <row r="84">
      <c r="A84" s="34">
        <f>IF(AD84="","",79)</f>
        <v/>
      </c>
      <c r="B84" s="35">
        <f>IF(AD84="","",INDEX($Z$6:$Z$9,AD84))</f>
        <v/>
      </c>
      <c r="C84" s="34">
        <f>IF(AD84="","",INDEX(INDIRECT("'"&amp;$B84&amp;"'!$B$6:$B$205"),MATCH($AF84,INDIRECT("'"&amp;$B84&amp;"'!$AE$6:$AE$205"),0)))</f>
        <v/>
      </c>
      <c r="D84" s="34">
        <f>IF(AD84="","",INDEX(INDIRECT("'"&amp;$B84&amp;"'!$D$6:$D$205"),MATCH($AF84,INDIRECT("'"&amp;$B84&amp;"'!$AE$6:$AE$205"),0)))</f>
        <v/>
      </c>
      <c r="E84" s="36">
        <f>IF(AD84="","",INDEX(INDIRECT("'"&amp;$B84&amp;"'!$F$6:$F$205"),MATCH($AF84,INDIRECT("'"&amp;$B84&amp;"'!$AE$6:$AE$205"),0)))</f>
        <v/>
      </c>
      <c r="F84" s="34">
        <f>IF(AD84="","",INDEX(INDIRECT("'"&amp;$B84&amp;"'!$K$6:$K$205"),MATCH($AF84,INDIRECT("'"&amp;$B84&amp;"'!$AE$6:$AE$205"),0)))</f>
        <v/>
      </c>
      <c r="G84" s="34">
        <f>IF(AD84="","",INDEX(INDIRECT("'"&amp;$B84&amp;"'!$L$6:$L$205"),MATCH($AF84,INDIRECT("'"&amp;$B84&amp;"'!$AE$6:$AE$205"),0)))</f>
        <v/>
      </c>
      <c r="H84" s="34">
        <f>IF(OR(AD84="",H$5="-"),"",IFERROR(IF(INDEX(INDIRECT("'"&amp;$B84&amp;"'!$N$6:$N$205"),MATCH($AF84&amp;"|"&amp;H$5,INDIRECT("'"&amp;$B84&amp;"'!$AF$6:$AF$205"),0))="","",INDEX(INDIRECT("'"&amp;$B84&amp;"'!$N$6:$N$205"),MATCH($AF84&amp;"|"&amp;H$5,INDIRECT("'"&amp;$B84&amp;"'!$AF$6:$AF$205"),0))),"-"))</f>
        <v/>
      </c>
      <c r="I84" s="34">
        <f>IF(OR(AD84="",I$5="-"),"",IFERROR(IF(INDEX(INDIRECT("'"&amp;$B84&amp;"'!$N$6:$N$205"),MATCH($AF84&amp;"|"&amp;I$5,INDIRECT("'"&amp;$B84&amp;"'!$AF$6:$AF$205"),0))="","",INDEX(INDIRECT("'"&amp;$B84&amp;"'!$N$6:$N$205"),MATCH($AF84&amp;"|"&amp;I$5,INDIRECT("'"&amp;$B84&amp;"'!$AF$6:$AF$205"),0))),"-"))</f>
        <v/>
      </c>
      <c r="J84" s="34">
        <f>IF(OR(AD84="",J$5="-"),"",IFERROR(IF(INDEX(INDIRECT("'"&amp;$B84&amp;"'!$N$6:$N$205"),MATCH($AF84&amp;"|"&amp;J$5,INDIRECT("'"&amp;$B84&amp;"'!$AF$6:$AF$205"),0))="","",INDEX(INDIRECT("'"&amp;$B84&amp;"'!$N$6:$N$205"),MATCH($AF84&amp;"|"&amp;J$5,INDIRECT("'"&amp;$B84&amp;"'!$AF$6:$AF$205"),0))),"-"))</f>
        <v/>
      </c>
      <c r="K84" s="34">
        <f>IF(OR(AD84="",K$5="-"),"",IFERROR(IF(INDEX(INDIRECT("'"&amp;$B84&amp;"'!$N$6:$N$205"),MATCH($AF84&amp;"|"&amp;K$5,INDIRECT("'"&amp;$B84&amp;"'!$AF$6:$AF$205"),0))="","",INDEX(INDIRECT("'"&amp;$B84&amp;"'!$N$6:$N$205"),MATCH($AF84&amp;"|"&amp;K$5,INDIRECT("'"&amp;$B84&amp;"'!$AF$6:$AF$205"),0))),"-"))</f>
        <v/>
      </c>
      <c r="L84" s="37">
        <f>IF(OR(AD84="",L$5="-"),"",IFERROR(IF(INDEX(INDIRECT("'"&amp;$B84&amp;"'!$R$6:$R$205"),MATCH($AF84&amp;"|"&amp;L$5,INDIRECT("'"&amp;$B84&amp;"'!$AF$6:$AF$205"),0))="","",INDEX(INDIRECT("'"&amp;$B84&amp;"'!$R$6:$R$205"),MATCH($AF84&amp;"|"&amp;L$5,INDIRECT("'"&amp;$B84&amp;"'!$AF$6:$AF$205"),0))),"-"))</f>
        <v/>
      </c>
      <c r="M84" s="37">
        <f>IF(OR(AD84="",M$5="-"),"",IFERROR(IF(INDEX(INDIRECT("'"&amp;$B84&amp;"'!$R$6:$R$205"),MATCH($AF84&amp;"|"&amp;M$5,INDIRECT("'"&amp;$B84&amp;"'!$AF$6:$AF$205"),0))="","",INDEX(INDIRECT("'"&amp;$B84&amp;"'!$R$6:$R$205"),MATCH($AF84&amp;"|"&amp;M$5,INDIRECT("'"&amp;$B84&amp;"'!$AF$6:$AF$205"),0))),"-"))</f>
        <v/>
      </c>
      <c r="N84" s="37">
        <f>IF(OR(AD84="",N$5="-"),"",IFERROR(IF(INDEX(INDIRECT("'"&amp;$B84&amp;"'!$R$6:$R$205"),MATCH($AF84&amp;"|"&amp;N$5,INDIRECT("'"&amp;$B84&amp;"'!$AF$6:$AF$205"),0))="","",INDEX(INDIRECT("'"&amp;$B84&amp;"'!$R$6:$R$205"),MATCH($AF84&amp;"|"&amp;N$5,INDIRECT("'"&amp;$B84&amp;"'!$AF$6:$AF$205"),0))),"-"))</f>
        <v/>
      </c>
      <c r="O84" s="37">
        <f>IF(OR(AD84="",O$5="-"),"",IFERROR(IF(INDEX(INDIRECT("'"&amp;$B84&amp;"'!$R$6:$R$205"),MATCH($AF84&amp;"|"&amp;O$5,INDIRECT("'"&amp;$B84&amp;"'!$AF$6:$AF$205"),0))="","",INDEX(INDIRECT("'"&amp;$B84&amp;"'!$R$6:$R$205"),MATCH($AF84&amp;"|"&amp;O$5,INDIRECT("'"&amp;$B84&amp;"'!$AF$6:$AF$205"),0))),"-"))</f>
        <v/>
      </c>
      <c r="P84" s="38">
        <f>IF(OR(AD84="",P$5="-"),"",IFERROR(IF(INDEX(INDIRECT("'"&amp;$B84&amp;"'!$T$6:$T$205"),MATCH($AF84&amp;"|"&amp;P$5,INDIRECT("'"&amp;$B84&amp;"'!$AF$6:$AF$205"),0))="","",INDEX(INDIRECT("'"&amp;$B84&amp;"'!$T$6:$T$205"),MATCH($AF84&amp;"|"&amp;P$5,INDIRECT("'"&amp;$B84&amp;"'!$AF$6:$AF$205"),0))),"-"))</f>
        <v/>
      </c>
      <c r="Q84" s="38">
        <f>IF(OR(AD84="",Q$5="-"),"",IFERROR(IF(INDEX(INDIRECT("'"&amp;$B84&amp;"'!$T$6:$T$205"),MATCH($AF84&amp;"|"&amp;Q$5,INDIRECT("'"&amp;$B84&amp;"'!$AF$6:$AF$205"),0))="","",INDEX(INDIRECT("'"&amp;$B84&amp;"'!$T$6:$T$205"),MATCH($AF84&amp;"|"&amp;Q$5,INDIRECT("'"&amp;$B84&amp;"'!$AF$6:$AF$205"),0))),"-"))</f>
        <v/>
      </c>
      <c r="R84" s="38">
        <f>IF(OR(AD84="",R$5="-"),"",IFERROR(IF(INDEX(INDIRECT("'"&amp;$B84&amp;"'!$T$6:$T$205"),MATCH($AF84&amp;"|"&amp;R$5,INDIRECT("'"&amp;$B84&amp;"'!$AF$6:$AF$205"),0))="","",INDEX(INDIRECT("'"&amp;$B84&amp;"'!$T$6:$T$205"),MATCH($AF84&amp;"|"&amp;R$5,INDIRECT("'"&amp;$B84&amp;"'!$AF$6:$AF$205"),0))),"-"))</f>
        <v/>
      </c>
      <c r="S84" s="38">
        <f>IF(OR(AD84="",S$5="-"),"",IFERROR(IF(INDEX(INDIRECT("'"&amp;$B84&amp;"'!$T$6:$T$205"),MATCH($AF84&amp;"|"&amp;S$5,INDIRECT("'"&amp;$B84&amp;"'!$AF$6:$AF$205"),0))="","",INDEX(INDIRECT("'"&amp;$B84&amp;"'!$T$6:$T$205"),MATCH($AF84&amp;"|"&amp;S$5,INDIRECT("'"&amp;$B84&amp;"'!$AF$6:$AF$205"),0))),"-"))</f>
        <v/>
      </c>
      <c r="T84" s="35">
        <f>IF(U84="","",INDEX($L$5:$O$5,MATCH(U84,L84:O84,0)))</f>
        <v/>
      </c>
      <c r="U84" s="37">
        <f>IF(COUNT(L84:O84)=0,"",MIN(L84:O84))</f>
        <v/>
      </c>
      <c r="V84" s="39">
        <f>IF(U84="","",U84*F84)</f>
        <v/>
      </c>
      <c r="W84" s="39">
        <f>IF(COUNT(L84:O84)&lt;2,"",(MAX(L84:O84)-MIN(L84:O84))*F84)</f>
        <v/>
      </c>
      <c r="X84" s="20" t="n"/>
      <c r="AD84">
        <f>IF(79&gt;MAX($AB$6:$AB$9),"",COUNTIF($AB$6:$AB$9,"&lt;"&amp;79)+1)</f>
        <v/>
      </c>
      <c r="AE84">
        <f>IF(AD84="","",79-INDEX($AC$6:$AC$9,AD84))</f>
        <v/>
      </c>
      <c r="AF84">
        <f>IF(AD84="","",INDEX(INDIRECT("'"&amp;$B84&amp;"'!$AE$6:$AE$205"),MATCH(AE84,INDIRECT("'"&amp;$B84&amp;"'!$AI$6:$AI$205"),0)))</f>
        <v/>
      </c>
    </row>
    <row r="85">
      <c r="A85" s="34">
        <f>IF(AD85="","",80)</f>
        <v/>
      </c>
      <c r="B85" s="35">
        <f>IF(AD85="","",INDEX($Z$6:$Z$9,AD85))</f>
        <v/>
      </c>
      <c r="C85" s="34">
        <f>IF(AD85="","",INDEX(INDIRECT("'"&amp;$B85&amp;"'!$B$6:$B$205"),MATCH($AF85,INDIRECT("'"&amp;$B85&amp;"'!$AE$6:$AE$205"),0)))</f>
        <v/>
      </c>
      <c r="D85" s="34">
        <f>IF(AD85="","",INDEX(INDIRECT("'"&amp;$B85&amp;"'!$D$6:$D$205"),MATCH($AF85,INDIRECT("'"&amp;$B85&amp;"'!$AE$6:$AE$205"),0)))</f>
        <v/>
      </c>
      <c r="E85" s="36">
        <f>IF(AD85="","",INDEX(INDIRECT("'"&amp;$B85&amp;"'!$F$6:$F$205"),MATCH($AF85,INDIRECT("'"&amp;$B85&amp;"'!$AE$6:$AE$205"),0)))</f>
        <v/>
      </c>
      <c r="F85" s="34">
        <f>IF(AD85="","",INDEX(INDIRECT("'"&amp;$B85&amp;"'!$K$6:$K$205"),MATCH($AF85,INDIRECT("'"&amp;$B85&amp;"'!$AE$6:$AE$205"),0)))</f>
        <v/>
      </c>
      <c r="G85" s="34">
        <f>IF(AD85="","",INDEX(INDIRECT("'"&amp;$B85&amp;"'!$L$6:$L$205"),MATCH($AF85,INDIRECT("'"&amp;$B85&amp;"'!$AE$6:$AE$205"),0)))</f>
        <v/>
      </c>
      <c r="H85" s="34">
        <f>IF(OR(AD85="",H$5="-"),"",IFERROR(IF(INDEX(INDIRECT("'"&amp;$B85&amp;"'!$N$6:$N$205"),MATCH($AF85&amp;"|"&amp;H$5,INDIRECT("'"&amp;$B85&amp;"'!$AF$6:$AF$205"),0))="","",INDEX(INDIRECT("'"&amp;$B85&amp;"'!$N$6:$N$205"),MATCH($AF85&amp;"|"&amp;H$5,INDIRECT("'"&amp;$B85&amp;"'!$AF$6:$AF$205"),0))),"-"))</f>
        <v/>
      </c>
      <c r="I85" s="34">
        <f>IF(OR(AD85="",I$5="-"),"",IFERROR(IF(INDEX(INDIRECT("'"&amp;$B85&amp;"'!$N$6:$N$205"),MATCH($AF85&amp;"|"&amp;I$5,INDIRECT("'"&amp;$B85&amp;"'!$AF$6:$AF$205"),0))="","",INDEX(INDIRECT("'"&amp;$B85&amp;"'!$N$6:$N$205"),MATCH($AF85&amp;"|"&amp;I$5,INDIRECT("'"&amp;$B85&amp;"'!$AF$6:$AF$205"),0))),"-"))</f>
        <v/>
      </c>
      <c r="J85" s="34">
        <f>IF(OR(AD85="",J$5="-"),"",IFERROR(IF(INDEX(INDIRECT("'"&amp;$B85&amp;"'!$N$6:$N$205"),MATCH($AF85&amp;"|"&amp;J$5,INDIRECT("'"&amp;$B85&amp;"'!$AF$6:$AF$205"),0))="","",INDEX(INDIRECT("'"&amp;$B85&amp;"'!$N$6:$N$205"),MATCH($AF85&amp;"|"&amp;J$5,INDIRECT("'"&amp;$B85&amp;"'!$AF$6:$AF$205"),0))),"-"))</f>
        <v/>
      </c>
      <c r="K85" s="34">
        <f>IF(OR(AD85="",K$5="-"),"",IFERROR(IF(INDEX(INDIRECT("'"&amp;$B85&amp;"'!$N$6:$N$205"),MATCH($AF85&amp;"|"&amp;K$5,INDIRECT("'"&amp;$B85&amp;"'!$AF$6:$AF$205"),0))="","",INDEX(INDIRECT("'"&amp;$B85&amp;"'!$N$6:$N$205"),MATCH($AF85&amp;"|"&amp;K$5,INDIRECT("'"&amp;$B85&amp;"'!$AF$6:$AF$205"),0))),"-"))</f>
        <v/>
      </c>
      <c r="L85" s="37">
        <f>IF(OR(AD85="",L$5="-"),"",IFERROR(IF(INDEX(INDIRECT("'"&amp;$B85&amp;"'!$R$6:$R$205"),MATCH($AF85&amp;"|"&amp;L$5,INDIRECT("'"&amp;$B85&amp;"'!$AF$6:$AF$205"),0))="","",INDEX(INDIRECT("'"&amp;$B85&amp;"'!$R$6:$R$205"),MATCH($AF85&amp;"|"&amp;L$5,INDIRECT("'"&amp;$B85&amp;"'!$AF$6:$AF$205"),0))),"-"))</f>
        <v/>
      </c>
      <c r="M85" s="37">
        <f>IF(OR(AD85="",M$5="-"),"",IFERROR(IF(INDEX(INDIRECT("'"&amp;$B85&amp;"'!$R$6:$R$205"),MATCH($AF85&amp;"|"&amp;M$5,INDIRECT("'"&amp;$B85&amp;"'!$AF$6:$AF$205"),0))="","",INDEX(INDIRECT("'"&amp;$B85&amp;"'!$R$6:$R$205"),MATCH($AF85&amp;"|"&amp;M$5,INDIRECT("'"&amp;$B85&amp;"'!$AF$6:$AF$205"),0))),"-"))</f>
        <v/>
      </c>
      <c r="N85" s="37">
        <f>IF(OR(AD85="",N$5="-"),"",IFERROR(IF(INDEX(INDIRECT("'"&amp;$B85&amp;"'!$R$6:$R$205"),MATCH($AF85&amp;"|"&amp;N$5,INDIRECT("'"&amp;$B85&amp;"'!$AF$6:$AF$205"),0))="","",INDEX(INDIRECT("'"&amp;$B85&amp;"'!$R$6:$R$205"),MATCH($AF85&amp;"|"&amp;N$5,INDIRECT("'"&amp;$B85&amp;"'!$AF$6:$AF$205"),0))),"-"))</f>
        <v/>
      </c>
      <c r="O85" s="37">
        <f>IF(OR(AD85="",O$5="-"),"",IFERROR(IF(INDEX(INDIRECT("'"&amp;$B85&amp;"'!$R$6:$R$205"),MATCH($AF85&amp;"|"&amp;O$5,INDIRECT("'"&amp;$B85&amp;"'!$AF$6:$AF$205"),0))="","",INDEX(INDIRECT("'"&amp;$B85&amp;"'!$R$6:$R$205"),MATCH($AF85&amp;"|"&amp;O$5,INDIRECT("'"&amp;$B85&amp;"'!$AF$6:$AF$205"),0))),"-"))</f>
        <v/>
      </c>
      <c r="P85" s="38">
        <f>IF(OR(AD85="",P$5="-"),"",IFERROR(IF(INDEX(INDIRECT("'"&amp;$B85&amp;"'!$T$6:$T$205"),MATCH($AF85&amp;"|"&amp;P$5,INDIRECT("'"&amp;$B85&amp;"'!$AF$6:$AF$205"),0))="","",INDEX(INDIRECT("'"&amp;$B85&amp;"'!$T$6:$T$205"),MATCH($AF85&amp;"|"&amp;P$5,INDIRECT("'"&amp;$B85&amp;"'!$AF$6:$AF$205"),0))),"-"))</f>
        <v/>
      </c>
      <c r="Q85" s="38">
        <f>IF(OR(AD85="",Q$5="-"),"",IFERROR(IF(INDEX(INDIRECT("'"&amp;$B85&amp;"'!$T$6:$T$205"),MATCH($AF85&amp;"|"&amp;Q$5,INDIRECT("'"&amp;$B85&amp;"'!$AF$6:$AF$205"),0))="","",INDEX(INDIRECT("'"&amp;$B85&amp;"'!$T$6:$T$205"),MATCH($AF85&amp;"|"&amp;Q$5,INDIRECT("'"&amp;$B85&amp;"'!$AF$6:$AF$205"),0))),"-"))</f>
        <v/>
      </c>
      <c r="R85" s="38">
        <f>IF(OR(AD85="",R$5="-"),"",IFERROR(IF(INDEX(INDIRECT("'"&amp;$B85&amp;"'!$T$6:$T$205"),MATCH($AF85&amp;"|"&amp;R$5,INDIRECT("'"&amp;$B85&amp;"'!$AF$6:$AF$205"),0))="","",INDEX(INDIRECT("'"&amp;$B85&amp;"'!$T$6:$T$205"),MATCH($AF85&amp;"|"&amp;R$5,INDIRECT("'"&amp;$B85&amp;"'!$AF$6:$AF$205"),0))),"-"))</f>
        <v/>
      </c>
      <c r="S85" s="38">
        <f>IF(OR(AD85="",S$5="-"),"",IFERROR(IF(INDEX(INDIRECT("'"&amp;$B85&amp;"'!$T$6:$T$205"),MATCH($AF85&amp;"|"&amp;S$5,INDIRECT("'"&amp;$B85&amp;"'!$AF$6:$AF$205"),0))="","",INDEX(INDIRECT("'"&amp;$B85&amp;"'!$T$6:$T$205"),MATCH($AF85&amp;"|"&amp;S$5,INDIRECT("'"&amp;$B85&amp;"'!$AF$6:$AF$205"),0))),"-"))</f>
        <v/>
      </c>
      <c r="T85" s="35">
        <f>IF(U85="","",INDEX($L$5:$O$5,MATCH(U85,L85:O85,0)))</f>
        <v/>
      </c>
      <c r="U85" s="37">
        <f>IF(COUNT(L85:O85)=0,"",MIN(L85:O85))</f>
        <v/>
      </c>
      <c r="V85" s="39">
        <f>IF(U85="","",U85*F85)</f>
        <v/>
      </c>
      <c r="W85" s="39">
        <f>IF(COUNT(L85:O85)&lt;2,"",(MAX(L85:O85)-MIN(L85:O85))*F85)</f>
        <v/>
      </c>
      <c r="X85" s="20" t="n"/>
      <c r="AD85">
        <f>IF(80&gt;MAX($AB$6:$AB$9),"",COUNTIF($AB$6:$AB$9,"&lt;"&amp;80)+1)</f>
        <v/>
      </c>
      <c r="AE85">
        <f>IF(AD85="","",80-INDEX($AC$6:$AC$9,AD85))</f>
        <v/>
      </c>
      <c r="AF85">
        <f>IF(AD85="","",INDEX(INDIRECT("'"&amp;$B85&amp;"'!$AE$6:$AE$205"),MATCH(AE85,INDIRECT("'"&amp;$B85&amp;"'!$AI$6:$AI$205"),0)))</f>
        <v/>
      </c>
    </row>
    <row r="88">
      <c r="A88" s="2" t="inlineStr">
        <is>
          <t>※ 메모 칸(노란색)은 행 위치가 자동으로 바뀔 수 있어 참고용입니다. 확정 내용은 선박 시트 '진행상태/다음 조치'에 적어주세요.</t>
        </is>
      </c>
    </row>
  </sheetData>
  <mergeCells count="15">
    <mergeCell ref="H4:K4"/>
    <mergeCell ref="B4:B5"/>
    <mergeCell ref="C4:C5"/>
    <mergeCell ref="A4:A5"/>
    <mergeCell ref="F4:F5"/>
    <mergeCell ref="E4:E5"/>
    <mergeCell ref="D4:D5"/>
    <mergeCell ref="G4:G5"/>
    <mergeCell ref="T4:T5"/>
    <mergeCell ref="V4:V5"/>
    <mergeCell ref="L4:O4"/>
    <mergeCell ref="W4:W5"/>
    <mergeCell ref="P4:S4"/>
    <mergeCell ref="X4:X5"/>
    <mergeCell ref="U4:U5"/>
  </mergeCells>
  <conditionalFormatting sqref="H6:K85">
    <cfRule type="cellIs" priority="1" operator="equal" dxfId="8">
      <formula>"견적접수"</formula>
    </cfRule>
    <cfRule type="cellIs" priority="2" operator="equal" dxfId="9">
      <formula>"확인필요"</formula>
    </cfRule>
    <cfRule type="cellIs" priority="3" operator="equal" dxfId="10">
      <formula>"공급불가"</formula>
    </cfRule>
    <cfRule type="cellIs" priority="4" operator="equal" dxfId="11">
      <formula>"미접수"</formula>
    </cfRule>
  </conditionalFormatting>
  <conditionalFormatting sqref="L6:O85">
    <cfRule type="expression" priority="5" dxfId="8">
      <formula>AND(ISNUMBER(L6),L6=$U6)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AEOLUS</t>
        </is>
      </c>
      <c r="F1" s="40" t="inlineStr">
        <is>
          <t>IMO 9958298   ·   Routine   ·   RFQ상 납품항/ETA: TBA</t>
        </is>
      </c>
    </row>
    <row r="2" ht="24" customHeight="1">
      <c r="A2" s="41">
        <f>IFERROR(IF(N(INDEX(스케줄!$C$5:$C$14,MATCH("AEOLUS",스케줄!$A$5:$A$14,0)))=0,"다음 일정: 미정 (스케줄 시트에 입력)","다음 일정: "&amp;INDEX(스케줄!$B$5:$B$14,MATCH("AEOLUS",스케줄!$A$5:$A$14,0))&amp;"  "&amp;TEXT(INDEX(스케줄!$C$5:$C$14,MATCH("AEOLUS",스케줄!$A$5:$A$14,0)),"mm/dd")&amp;IF(N(INDEX(스케줄!$D$5:$D$14,MATCH("AEOLUS",스케줄!$A$5:$A$14,0)))=0,"","~"&amp;TEXT(INDEX(스케줄!$D$5:$D$14,MATCH("AEOLUS",스케줄!$A$5:$A$14,0)),"mm/dd"))),"")</f>
        <v/>
      </c>
      <c r="G2" s="42">
        <f>IFERROR(INDEX(스케줄!$I$5:$I$14,MATCH("AEOLUS",스케줄!$A$5:$A$14,0)),"")</f>
        <v/>
      </c>
      <c r="H2" s="43">
        <f>IFERROR(INDEX(스케줄!$J$5:$J$14,MATCH("AEOLUS",스케줄!$A$5:$A$14,0)),"")</f>
        <v/>
      </c>
      <c r="J2" s="44" t="inlineStr">
        <is>
          <t>출고 마감</t>
        </is>
      </c>
      <c r="K2" s="45">
        <f>IFERROR(INDEX(스케줄!$F$5:$F$14,MATCH("AEOLUS",스케줄!$A$5:$A$14,0)),"")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1</v>
      </c>
      <c r="E6" s="34" t="inlineStr">
        <is>
          <t>NORGREN</t>
        </is>
      </c>
      <c r="F6" s="36" t="inlineStr">
        <is>
          <t>Air filter</t>
        </is>
      </c>
      <c r="G6" s="36" t="inlineStr">
        <is>
          <t>Hanwha - MAN B&amp;W 5G70ME-C10.5-GA</t>
        </is>
      </c>
      <c r="H6" s="36" t="inlineStr">
        <is>
          <t>Plate/Drawing no. 5672-0260-0001
Part no. 57</t>
        </is>
      </c>
      <c r="I6" s="36" t="inlineStr">
        <is>
          <t>Emission Control System</t>
        </is>
      </c>
      <c r="J6" s="36" t="inlineStr">
        <is>
          <t>Filter Maker: Norgren, Type: F05G-2AN-AM3</t>
        </is>
      </c>
      <c r="K6" s="34" t="n">
        <v>8</v>
      </c>
      <c r="L6" s="34" t="inlineStr">
        <is>
          <t>set</t>
        </is>
      </c>
      <c r="M6" s="34" t="inlineStr">
        <is>
          <t>RMS</t>
        </is>
      </c>
      <c r="N6" s="34" t="inlineStr">
        <is>
          <t>견적접수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>
        <v>621000</v>
      </c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>
        <v>5</v>
      </c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inlineStr">
        <is>
          <t>OEM</t>
        </is>
      </c>
      <c r="X6" s="34" t="inlineStr">
        <is>
          <t>EX WORK BUSAN</t>
        </is>
      </c>
      <c r="Y6" s="34" t="n">
        <v>20</v>
      </c>
      <c r="Z6" s="55" t="n"/>
      <c r="AA6" s="54">
        <f>IF(OR(Z6="",Y6=""),"",Z6+Y6)</f>
        <v/>
      </c>
      <c r="AB6" s="36" t="inlineStr">
        <is>
          <t>D/T: 5 DAYS, OEM, EX WORK BUSAN [VALI: 20 DAYS]</t>
        </is>
      </c>
      <c r="AC6" s="34" t="inlineStr">
        <is>
          <t>검토중</t>
        </is>
      </c>
      <c r="AD6" s="36" t="n"/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KQU-000116304</t>
        </is>
      </c>
      <c r="C7" s="34" t="inlineStr">
        <is>
          <t>01</t>
        </is>
      </c>
      <c r="D7" s="34" t="n">
        <v>2</v>
      </c>
      <c r="E7" s="34" t="inlineStr">
        <is>
          <t>NORGREN</t>
        </is>
      </c>
      <c r="F7" s="36" t="inlineStr">
        <is>
          <t>Air filter element</t>
        </is>
      </c>
      <c r="G7" s="36" t="inlineStr">
        <is>
          <t>Hanwha - MAN B&amp;W 5G70ME-C10.5-GA</t>
        </is>
      </c>
      <c r="H7" s="36" t="inlineStr">
        <is>
          <t>Plate/Drawing no. 5672-0260-0001</t>
        </is>
      </c>
      <c r="I7" s="36" t="inlineStr">
        <is>
          <t>Emission Control System</t>
        </is>
      </c>
      <c r="J7" s="36" t="inlineStr">
        <is>
          <t>Service Kit- F05G 40 MIC / Maker part No.: 3653-28</t>
        </is>
      </c>
      <c r="K7" s="34" t="n">
        <v>100</v>
      </c>
      <c r="L7" s="34" t="inlineStr">
        <is>
          <t>pcs</t>
        </is>
      </c>
      <c r="M7" s="34" t="inlineStr">
        <is>
          <t>RMS</t>
        </is>
      </c>
      <c r="N7" s="34" t="inlineStr">
        <is>
          <t>견적접수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>
        <v>99500</v>
      </c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>
        <v>90</v>
      </c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inlineStr">
        <is>
          <t>OEM</t>
        </is>
      </c>
      <c r="X7" s="34" t="inlineStr">
        <is>
          <t>EX WORK BUSAN</t>
        </is>
      </c>
      <c r="Y7" s="34" t="n">
        <v>20</v>
      </c>
      <c r="Z7" s="55" t="n"/>
      <c r="AA7" s="54">
        <f>IF(OR(Z7="",Y7=""),"",Z7+Y7)</f>
        <v/>
      </c>
      <c r="AB7" s="36" t="inlineStr">
        <is>
          <t>D/T: 90 DAYS, OEM, EX WORK BUSAN [VALI: 20 DAYS]</t>
        </is>
      </c>
      <c r="AC7" s="34" t="inlineStr">
        <is>
          <t>검토중</t>
        </is>
      </c>
      <c r="AD7" s="36" t="n"/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KQU-000116306</t>
        </is>
      </c>
      <c r="C8" s="34" t="inlineStr">
        <is>
          <t>04</t>
        </is>
      </c>
      <c r="D8" s="34" t="n">
        <v>1</v>
      </c>
      <c r="E8" s="34" t="inlineStr">
        <is>
          <t>WAGO</t>
        </is>
      </c>
      <c r="F8" s="36" t="inlineStr">
        <is>
          <t>WAGO module for EGR system</t>
        </is>
      </c>
      <c r="G8" s="36" t="inlineStr">
        <is>
          <t>WAGO / 750-8216/040-00</t>
        </is>
      </c>
      <c r="H8" s="36" t="inlineStr">
        <is>
          <t>As attached</t>
        </is>
      </c>
      <c r="I8" s="36" t="inlineStr">
        <is>
          <t>EGR System</t>
        </is>
      </c>
      <c r="J8" s="36" t="n"/>
      <c r="K8" s="34" t="n">
        <v>1</v>
      </c>
      <c r="L8" s="34" t="inlineStr">
        <is>
          <t>set</t>
        </is>
      </c>
      <c r="M8" s="34" t="inlineStr">
        <is>
          <t>RMS</t>
        </is>
      </c>
      <c r="N8" s="34" t="inlineStr">
        <is>
          <t>견적접수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KRW</t>
        </is>
      </c>
      <c r="Q8" s="51" t="n">
        <v>2300000</v>
      </c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>
        <v>60</v>
      </c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inlineStr">
        <is>
          <t>OEM</t>
        </is>
      </c>
      <c r="X8" s="34" t="inlineStr">
        <is>
          <t>EX WORK BUSAN</t>
        </is>
      </c>
      <c r="Y8" s="34" t="n">
        <v>20</v>
      </c>
      <c r="Z8" s="55" t="n"/>
      <c r="AA8" s="54">
        <f>IF(OR(Z8="",Y8=""),"",Z8+Y8)</f>
        <v/>
      </c>
      <c r="AB8" s="36" t="inlineStr">
        <is>
          <t>D/T: 60 DAYS, OEM, EX WORK BUSAN [VALI: 20 DAYS]</t>
        </is>
      </c>
      <c r="AC8" s="34" t="inlineStr">
        <is>
          <t>검토중</t>
        </is>
      </c>
      <c r="AD8" s="36" t="n"/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KQU-000116306</t>
        </is>
      </c>
      <c r="C9" s="34" t="inlineStr">
        <is>
          <t>04</t>
        </is>
      </c>
      <c r="D9" s="34" t="n">
        <v>1</v>
      </c>
      <c r="E9" s="34" t="inlineStr">
        <is>
          <t>WAGO</t>
        </is>
      </c>
      <c r="F9" s="36" t="inlineStr">
        <is>
          <t>WAGO module for EGR system</t>
        </is>
      </c>
      <c r="G9" s="36" t="inlineStr">
        <is>
          <t>WAGO / 750-8216/040-00</t>
        </is>
      </c>
      <c r="H9" s="36" t="inlineStr">
        <is>
          <t>As attached</t>
        </is>
      </c>
      <c r="I9" s="36" t="inlineStr">
        <is>
          <t>EGR System</t>
        </is>
      </c>
      <c r="J9" s="36" t="n"/>
      <c r="K9" s="34" t="n">
        <v>1</v>
      </c>
      <c r="L9" s="34" t="inlineStr">
        <is>
          <t>set</t>
        </is>
      </c>
      <c r="M9" s="34" t="inlineStr">
        <is>
          <t>AFS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EUR</t>
        </is>
      </c>
      <c r="Q9" s="51" t="n">
        <v>1873.54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28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n"/>
      <c r="X9" s="34" t="inlineStr">
        <is>
          <t>미기재 (AFS 네덜란드)</t>
        </is>
      </c>
      <c r="Y9" s="34" t="n"/>
      <c r="Z9" s="56" t="n">
        <v>46317</v>
      </c>
      <c r="AA9" s="54">
        <f>IF(OR(Z9="",Y9=""),"",Z9+Y9)</f>
        <v/>
      </c>
      <c r="AB9" s="36" t="inlineStr">
        <is>
          <t>[AFS Q.0000122664] WAGO PFC200 750-8216 COMMUNICATION MODULE / *del time: 3-4 weeks* *item cannot be returned*</t>
        </is>
      </c>
      <c r="AC9" s="34" t="inlineStr">
        <is>
          <t>검토중</t>
        </is>
      </c>
      <c r="AD9" s="36" t="inlineStr">
        <is>
          <t>납기 3-4주 → 28일로 계산</t>
        </is>
      </c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IOB RFQ-06</t>
        </is>
      </c>
      <c r="C10" s="34" t="inlineStr">
        <is>
          <t>06</t>
        </is>
      </c>
      <c r="D10" s="34" t="n">
        <v>1</v>
      </c>
      <c r="E10" s="34" t="inlineStr">
        <is>
          <t>Endress+Hauser</t>
        </is>
      </c>
      <c r="F10" s="36" t="inlineStr">
        <is>
          <t>EGR pH sensor</t>
        </is>
      </c>
      <c r="G10" s="36" t="inlineStr">
        <is>
          <t>CPS11D-7BT21</t>
        </is>
      </c>
      <c r="H10" s="36" t="n"/>
      <c r="I10" s="36" t="inlineStr">
        <is>
          <t>EGR System</t>
        </is>
      </c>
      <c r="J10" s="36" t="inlineStr">
        <is>
          <t>AFS: 후속 모델 CPS11E-AA7BAA2 로 견적</t>
        </is>
      </c>
      <c r="K10" s="34" t="n">
        <v>8</v>
      </c>
      <c r="L10" s="34" t="inlineStr">
        <is>
          <t>PCS</t>
        </is>
      </c>
      <c r="M10" s="34" t="inlineStr">
        <is>
          <t>AFS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EUR</t>
        </is>
      </c>
      <c r="Q10" s="51" t="n">
        <v>903.3099999999999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35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inlineStr">
        <is>
          <t>대체품 (1:1)</t>
        </is>
      </c>
      <c r="X10" s="34" t="inlineStr">
        <is>
          <t>미기재 (AFS 네덜란드)</t>
        </is>
      </c>
      <c r="Y10" s="34" t="n"/>
      <c r="Z10" s="56" t="n">
        <v>46317</v>
      </c>
      <c r="AA10" s="54">
        <f>IF(OR(Z10="",Y10=""),"",Z10+Y10)</f>
        <v/>
      </c>
      <c r="AB10" s="36" t="inlineStr">
        <is>
          <t>[AFS Q.0000122666] CPS11E-1082/0 CPS11E-AA7BAA2 REPLACES CPS11D-7BT21 / *del time: apprx. 4-5 weeks* *item cannot be returned* *remarks from the supplier: The instruments you requested has been out of stock for some time; we hereby offer you a 1-on-1 replacement*</t>
        </is>
      </c>
      <c r="AC10" s="34" t="inlineStr">
        <is>
          <t>검토중</t>
        </is>
      </c>
      <c r="AD10" s="36" t="inlineStr">
        <is>
          <t>후속 모델 승인 여부 확인</t>
        </is>
      </c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IOB RFQ-06</t>
        </is>
      </c>
      <c r="C11" s="34" t="inlineStr">
        <is>
          <t>06</t>
        </is>
      </c>
      <c r="D11" s="34" t="n">
        <v>2</v>
      </c>
      <c r="E11" s="34" t="inlineStr">
        <is>
          <t>Endress+Hauser</t>
        </is>
      </c>
      <c r="F11" s="36" t="inlineStr">
        <is>
          <t>EGR PH Sensor</t>
        </is>
      </c>
      <c r="G11" s="36" t="inlineStr">
        <is>
          <t>CPS11D-7BT21</t>
        </is>
      </c>
      <c r="H11" s="36" t="inlineStr">
        <is>
          <t>Plate/Drawing no. EW-29-6549-0007-0 / RS 256-6139</t>
        </is>
      </c>
      <c r="I11" s="36" t="inlineStr">
        <is>
          <t>EGR System</t>
        </is>
      </c>
      <c r="J11" s="36" t="n"/>
      <c r="K11" s="34" t="n">
        <v>4</v>
      </c>
      <c r="L11" s="34" t="inlineStr">
        <is>
          <t>PCS</t>
        </is>
      </c>
      <c r="M11" s="34" t="inlineStr">
        <is>
          <t>AFS</t>
        </is>
      </c>
      <c r="N11" s="34" t="inlineStr">
        <is>
          <t>확인필요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EUR</t>
        </is>
      </c>
      <c r="Q11" s="51" t="n"/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/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n"/>
      <c r="X11" s="34" t="inlineStr">
        <is>
          <t>미기재 (AFS 네덜란드)</t>
        </is>
      </c>
      <c r="Y11" s="34" t="n"/>
      <c r="Z11" s="56" t="n">
        <v>46317</v>
      </c>
      <c r="AA11" s="54">
        <f>IF(OR(Z11="",Y11=""),"",Z11+Y11)</f>
        <v/>
      </c>
      <c r="AB11" s="36" t="inlineStr">
        <is>
          <t>[AFS Q.0000122666] *requested item same as above line*</t>
        </is>
      </c>
      <c r="AC11" s="34" t="inlineStr">
        <is>
          <t>정보 송부필요</t>
        </is>
      </c>
      <c r="AD11" s="36" t="inlineStr">
        <is>
          <t>AFS: 1번 줄과 같은 품목 → 1번(8개)에 포함인지, 총 12개 필요인지 확인</t>
        </is>
      </c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IOB RFQ-06</t>
        </is>
      </c>
      <c r="C12" s="34" t="inlineStr">
        <is>
          <t>06</t>
        </is>
      </c>
      <c r="D12" s="34" t="n">
        <v>3</v>
      </c>
      <c r="E12" s="34" t="n"/>
      <c r="F12" s="36" t="inlineStr">
        <is>
          <t>Buffer solution pH 7</t>
        </is>
      </c>
      <c r="G12" s="36" t="n"/>
      <c r="H12" s="36" t="n"/>
      <c r="I12" s="36" t="inlineStr">
        <is>
          <t>EGR System</t>
        </is>
      </c>
      <c r="J12" s="36" t="n"/>
      <c r="K12" s="34" t="n">
        <v>4</v>
      </c>
      <c r="L12" s="34" t="inlineStr">
        <is>
          <t>PCS</t>
        </is>
      </c>
      <c r="M12" s="34" t="inlineStr">
        <is>
          <t>AFS</t>
        </is>
      </c>
      <c r="N12" s="34" t="inlineStr">
        <is>
          <t>견적접수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EUR</t>
        </is>
      </c>
      <c r="Q12" s="51" t="n">
        <v>23.99</v>
      </c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>
        <v>1</v>
      </c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n"/>
      <c r="X12" s="34" t="inlineStr">
        <is>
          <t>미기재 (AFS 네덜란드)</t>
        </is>
      </c>
      <c r="Y12" s="34" t="n"/>
      <c r="Z12" s="56" t="n">
        <v>46317</v>
      </c>
      <c r="AA12" s="54">
        <f>IF(OR(Z12="",Y12=""),"",Z12+Y12)</f>
        <v/>
      </c>
      <c r="AB12" s="36" t="inlineStr">
        <is>
          <t>[AFS Q.0000122666] BUFFER SOLUTION FOR PH CALIBRATION - PH 7 / *del time: 1 day* *item cannot be returned*</t>
        </is>
      </c>
      <c r="AC12" s="34" t="inlineStr">
        <is>
          <t>검토중</t>
        </is>
      </c>
      <c r="AD12" s="36" t="n"/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IOB RFQ-06</t>
        </is>
      </c>
      <c r="C13" s="34" t="inlineStr">
        <is>
          <t>06</t>
        </is>
      </c>
      <c r="D13" s="34" t="n">
        <v>4</v>
      </c>
      <c r="E13" s="34" t="n"/>
      <c r="F13" s="36" t="inlineStr">
        <is>
          <t>Buffer solution pH 4</t>
        </is>
      </c>
      <c r="G13" s="36" t="n"/>
      <c r="H13" s="36" t="n"/>
      <c r="I13" s="36" t="inlineStr">
        <is>
          <t>EGR System</t>
        </is>
      </c>
      <c r="J13" s="36" t="n"/>
      <c r="K13" s="34" t="n">
        <v>4</v>
      </c>
      <c r="L13" s="34" t="inlineStr">
        <is>
          <t>PCS</t>
        </is>
      </c>
      <c r="M13" s="34" t="inlineStr">
        <is>
          <t>AFS</t>
        </is>
      </c>
      <c r="N13" s="34" t="inlineStr">
        <is>
          <t>견적접수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EUR</t>
        </is>
      </c>
      <c r="Q13" s="51" t="n">
        <v>23.99</v>
      </c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>
        <v>1</v>
      </c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n"/>
      <c r="X13" s="34" t="inlineStr">
        <is>
          <t>미기재 (AFS 네덜란드)</t>
        </is>
      </c>
      <c r="Y13" s="34" t="n"/>
      <c r="Z13" s="56" t="n">
        <v>46317</v>
      </c>
      <c r="AA13" s="54">
        <f>IF(OR(Z13="",Y13=""),"",Z13+Y13)</f>
        <v/>
      </c>
      <c r="AB13" s="36" t="inlineStr">
        <is>
          <t>[AFS Q.0000122666] BUFFER SOLUTION FOR PH CALIBRATION - PH 4 / *del time: 1 day* *item cannot be returned*</t>
        </is>
      </c>
      <c r="AC13" s="34" t="inlineStr">
        <is>
          <t>검토중</t>
        </is>
      </c>
      <c r="AD13" s="36" t="n"/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SPAN GAS</t>
        </is>
      </c>
      <c r="C14" s="34" t="inlineStr">
        <is>
          <t>SG</t>
        </is>
      </c>
      <c r="D14" s="34" t="n">
        <v>1</v>
      </c>
      <c r="E14" s="34" t="n"/>
      <c r="F14" s="36" t="inlineStr">
        <is>
          <t>SPAN GAS CYLINDER 3.4 LTR. METHANE 3.25% (65% LEL) IN NITROGEN - 150 BAR</t>
        </is>
      </c>
      <c r="G14" s="36" t="n"/>
      <c r="H14" s="36" t="n"/>
      <c r="I14" s="36" t="inlineStr">
        <is>
          <t>Gas detection (calibration)</t>
        </is>
      </c>
      <c r="J14" s="36" t="n"/>
      <c r="K14" s="34" t="n">
        <v>1</v>
      </c>
      <c r="L14" s="34" t="inlineStr">
        <is>
          <t>PCS</t>
        </is>
      </c>
      <c r="M14" s="34" t="inlineStr">
        <is>
          <t>AFS</t>
        </is>
      </c>
      <c r="N14" s="34" t="inlineStr">
        <is>
          <t>견적접수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EUR</t>
        </is>
      </c>
      <c r="Q14" s="51" t="n">
        <v>568.26</v>
      </c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>
        <v>14</v>
      </c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n"/>
      <c r="X14" s="34" t="inlineStr">
        <is>
          <t>미기재 (AFS 네덜란드)</t>
        </is>
      </c>
      <c r="Y14" s="34" t="n"/>
      <c r="Z14" s="56" t="n">
        <v>46317</v>
      </c>
      <c r="AA14" s="54">
        <f>IF(OR(Z14="",Y14=""),"",Z14+Y14)</f>
        <v/>
      </c>
      <c r="AB14" s="36" t="inlineStr">
        <is>
          <t>[AFS Q.0000123328] SPAN GAS CYLINDER 3.4 LTR. METHANE 3.25% (65% LEL) IN NITROGEN - 150 BAR / *del time: 2 weeks* *item cannot be returned*</t>
        </is>
      </c>
      <c r="AC14" s="34" t="inlineStr">
        <is>
          <t>검토중</t>
        </is>
      </c>
      <c r="AD14" s="36" t="n"/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SPAN GAS</t>
        </is>
      </c>
      <c r="C15" s="34" t="inlineStr">
        <is>
          <t>SG</t>
        </is>
      </c>
      <c r="D15" s="34" t="n">
        <v>2</v>
      </c>
      <c r="E15" s="34" t="n"/>
      <c r="F15" s="36" t="inlineStr">
        <is>
          <t>SPAN GAS CYLINDER 10 LTR. METHANE 35% VOL. IN N2 - 150 BAR W24.32 MM. X 1/14" EXT.</t>
        </is>
      </c>
      <c r="G15" s="36" t="n"/>
      <c r="H15" s="36" t="n"/>
      <c r="I15" s="36" t="inlineStr">
        <is>
          <t>Gas detection (calibration)</t>
        </is>
      </c>
      <c r="J15" s="36" t="n"/>
      <c r="K15" s="34" t="n">
        <v>1</v>
      </c>
      <c r="L15" s="34" t="inlineStr">
        <is>
          <t>PCS</t>
        </is>
      </c>
      <c r="M15" s="34" t="inlineStr">
        <is>
          <t>AFS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EUR</t>
        </is>
      </c>
      <c r="Q15" s="51" t="n">
        <v>947.1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>
        <v>14</v>
      </c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n"/>
      <c r="X15" s="34" t="inlineStr">
        <is>
          <t>미기재 (AFS 네덜란드)</t>
        </is>
      </c>
      <c r="Y15" s="34" t="n"/>
      <c r="Z15" s="56" t="n">
        <v>46317</v>
      </c>
      <c r="AA15" s="54">
        <f>IF(OR(Z15="",Y15=""),"",Z15+Y15)</f>
        <v/>
      </c>
      <c r="AB15" s="36" t="inlineStr">
        <is>
          <t>[AFS Q.0000123328] SPAN GAS CYLINDER 10 LTR. METHANE 35% VOL. IN N2 - 150 BAR W24.32 MM. X 1/14" EXT. / *del time: 2 weeks* *item cannot be returned*</t>
        </is>
      </c>
      <c r="AC15" s="34" t="inlineStr">
        <is>
          <t>검토중</t>
        </is>
      </c>
      <c r="AD15" s="36" t="n"/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SPAN GAS</t>
        </is>
      </c>
      <c r="C16" s="34" t="inlineStr">
        <is>
          <t>SG</t>
        </is>
      </c>
      <c r="D16" s="34" t="n">
        <v>3</v>
      </c>
      <c r="E16" s="34" t="n"/>
      <c r="F16" s="36" t="inlineStr">
        <is>
          <t>METHANE 10% VOL IN NITROGEN CALIBRATION TESTGAS 34 LTR.</t>
        </is>
      </c>
      <c r="G16" s="36" t="n"/>
      <c r="H16" s="36" t="n"/>
      <c r="I16" s="36" t="inlineStr">
        <is>
          <t>Gas detection (calibration)</t>
        </is>
      </c>
      <c r="J16" s="36" t="n"/>
      <c r="K16" s="34" t="n">
        <v>2</v>
      </c>
      <c r="L16" s="34" t="inlineStr">
        <is>
          <t>PCS</t>
        </is>
      </c>
      <c r="M16" s="34" t="inlineStr">
        <is>
          <t>AFS</t>
        </is>
      </c>
      <c r="N16" s="34" t="inlineStr">
        <is>
          <t>견적접수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EUR</t>
        </is>
      </c>
      <c r="Q16" s="51" t="n">
        <v>101.48</v>
      </c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/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n"/>
      <c r="X16" s="34" t="inlineStr">
        <is>
          <t>미기재 (AFS 네덜란드)</t>
        </is>
      </c>
      <c r="Y16" s="34" t="n"/>
      <c r="Z16" s="56" t="n">
        <v>46317</v>
      </c>
      <c r="AA16" s="54">
        <f>IF(OR(Z16="",Y16=""),"",Z16+Y16)</f>
        <v/>
      </c>
      <c r="AB16" s="36" t="inlineStr">
        <is>
          <t>[AFS Q.0000123328] METHANE 10% VOL IN NITROGEN CALIBRATION TESTGAS 34 LTR. / 납기 미기재</t>
        </is>
      </c>
      <c r="AC16" s="34" t="inlineStr">
        <is>
          <t>검토중</t>
        </is>
      </c>
      <c r="AD16" s="36" t="inlineStr">
        <is>
          <t>납기 미기재 – AFS 확인</t>
        </is>
      </c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SPAN GAS</t>
        </is>
      </c>
      <c r="C17" s="34" t="inlineStr">
        <is>
          <t>SG</t>
        </is>
      </c>
      <c r="D17" s="34" t="n">
        <v>4</v>
      </c>
      <c r="E17" s="34" t="n"/>
      <c r="F17" s="36" t="inlineStr">
        <is>
          <t>PURE NITROGEN 99.99% CALIBRATION TESTGAS 34 LTR.</t>
        </is>
      </c>
      <c r="G17" s="36" t="n"/>
      <c r="H17" s="36" t="n"/>
      <c r="I17" s="36" t="inlineStr">
        <is>
          <t>Gas detection (calibration)</t>
        </is>
      </c>
      <c r="J17" s="36" t="n"/>
      <c r="K17" s="34" t="n">
        <v>2</v>
      </c>
      <c r="L17" s="34" t="inlineStr">
        <is>
          <t>PCS</t>
        </is>
      </c>
      <c r="M17" s="34" t="inlineStr">
        <is>
          <t>AFS</t>
        </is>
      </c>
      <c r="N17" s="34" t="inlineStr">
        <is>
          <t>견적접수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EUR</t>
        </is>
      </c>
      <c r="Q17" s="51" t="n">
        <v>75.77</v>
      </c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/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n"/>
      <c r="X17" s="34" t="inlineStr">
        <is>
          <t>미기재 (AFS 네덜란드)</t>
        </is>
      </c>
      <c r="Y17" s="34" t="n"/>
      <c r="Z17" s="56" t="n">
        <v>46317</v>
      </c>
      <c r="AA17" s="54">
        <f>IF(OR(Z17="",Y17=""),"",Z17+Y17)</f>
        <v/>
      </c>
      <c r="AB17" s="36" t="inlineStr">
        <is>
          <t>[AFS Q.0000123328] PURE NITROGEN 99.99% CALIBRATION TESTGAS 34 LTR. / 납기 미기재</t>
        </is>
      </c>
      <c r="AC17" s="34" t="inlineStr">
        <is>
          <t>검토중</t>
        </is>
      </c>
      <c r="AD17" s="36" t="inlineStr">
        <is>
          <t>납기 미기재 – AFS 확인</t>
        </is>
      </c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n"/>
      <c r="C18" s="34" t="n"/>
      <c r="D18" s="34" t="n"/>
      <c r="E18" s="34" t="n"/>
      <c r="F18" s="36" t="n"/>
      <c r="G18" s="36" t="n"/>
      <c r="H18" s="36" t="n"/>
      <c r="I18" s="36" t="n"/>
      <c r="J18" s="36" t="n"/>
      <c r="K18" s="34" t="n"/>
      <c r="L18" s="34" t="n"/>
      <c r="M18" s="34" t="n"/>
      <c r="N18" s="34" t="n"/>
      <c r="O18" s="50">
        <f>IF(N(AH18)&gt;1,"중복 "&amp;AH18&amp;"곳"&amp;IF(AK18=1," · 최저가",IF(AND(N18="견적접수",R18&lt;&gt;"")," · 비쌈","")),"")</f>
        <v/>
      </c>
      <c r="P18" s="34" t="n"/>
      <c r="Q18" s="51" t="n"/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/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n"/>
      <c r="X18" s="34" t="n"/>
      <c r="Y18" s="34" t="n"/>
      <c r="Z18" s="56" t="n"/>
      <c r="AA18" s="54">
        <f>IF(OR(Z18="",Y18=""),"",Z18+Y18)</f>
        <v/>
      </c>
      <c r="AB18" s="36" t="n"/>
      <c r="AC18" s="34" t="n"/>
      <c r="AD18" s="36" t="n"/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n"/>
      <c r="C19" s="34" t="n"/>
      <c r="D19" s="34" t="n"/>
      <c r="E19" s="34" t="n"/>
      <c r="F19" s="36" t="n"/>
      <c r="G19" s="36" t="n"/>
      <c r="H19" s="36" t="n"/>
      <c r="I19" s="36" t="n"/>
      <c r="J19" s="36" t="n"/>
      <c r="K19" s="34" t="n"/>
      <c r="L19" s="34" t="n"/>
      <c r="M19" s="34" t="n"/>
      <c r="N19" s="34" t="n"/>
      <c r="O19" s="50">
        <f>IF(N(AH19)&gt;1,"중복 "&amp;AH19&amp;"곳"&amp;IF(AK19=1," · 최저가",IF(AND(N19="견적접수",R19&lt;&gt;"")," · 비쌈","")),"")</f>
        <v/>
      </c>
      <c r="P19" s="34" t="n"/>
      <c r="Q19" s="51" t="n"/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/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n"/>
      <c r="X19" s="34" t="n"/>
      <c r="Y19" s="34" t="n"/>
      <c r="Z19" s="56" t="n"/>
      <c r="AA19" s="54">
        <f>IF(OR(Z19="",Y19=""),"",Z19+Y19)</f>
        <v/>
      </c>
      <c r="AB19" s="36" t="n"/>
      <c r="AC19" s="34" t="n"/>
      <c r="AD19" s="36" t="n"/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n"/>
      <c r="C20" s="34" t="n"/>
      <c r="D20" s="34" t="n"/>
      <c r="E20" s="34" t="n"/>
      <c r="F20" s="36" t="n"/>
      <c r="G20" s="36" t="n"/>
      <c r="H20" s="36" t="n"/>
      <c r="I20" s="36" t="n"/>
      <c r="J20" s="36" t="n"/>
      <c r="K20" s="34" t="n"/>
      <c r="L20" s="34" t="n"/>
      <c r="M20" s="34" t="n"/>
      <c r="N20" s="34" t="n"/>
      <c r="O20" s="50">
        <f>IF(N(AH20)&gt;1,"중복 "&amp;AH20&amp;"곳"&amp;IF(AK20=1," · 최저가",IF(AND(N20="견적접수",R20&lt;&gt;"")," · 비쌈","")),"")</f>
        <v/>
      </c>
      <c r="P20" s="34" t="n"/>
      <c r="Q20" s="51" t="n"/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/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n"/>
      <c r="X20" s="34" t="n"/>
      <c r="Y20" s="34" t="n"/>
      <c r="Z20" s="56" t="n"/>
      <c r="AA20" s="54">
        <f>IF(OR(Z20="",Y20=""),"",Z20+Y20)</f>
        <v/>
      </c>
      <c r="AB20" s="36" t="n"/>
      <c r="AC20" s="34" t="n"/>
      <c r="AD20" s="36" t="n"/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n"/>
      <c r="C21" s="34" t="n"/>
      <c r="D21" s="34" t="n"/>
      <c r="E21" s="34" t="n"/>
      <c r="F21" s="36" t="n"/>
      <c r="G21" s="36" t="n"/>
      <c r="H21" s="36" t="n"/>
      <c r="I21" s="36" t="n"/>
      <c r="J21" s="36" t="n"/>
      <c r="K21" s="34" t="n"/>
      <c r="L21" s="34" t="n"/>
      <c r="M21" s="34" t="n"/>
      <c r="N21" s="34" t="n"/>
      <c r="O21" s="50">
        <f>IF(N(AH21)&gt;1,"중복 "&amp;AH21&amp;"곳"&amp;IF(AK21=1," · 최저가",IF(AND(N21="견적접수",R21&lt;&gt;"")," · 비쌈","")),"")</f>
        <v/>
      </c>
      <c r="P21" s="34" t="n"/>
      <c r="Q21" s="51" t="n"/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/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n"/>
      <c r="X21" s="34" t="n"/>
      <c r="Y21" s="34" t="n"/>
      <c r="Z21" s="56" t="n"/>
      <c r="AA21" s="54">
        <f>IF(OR(Z21="",Y21=""),"",Z21+Y21)</f>
        <v/>
      </c>
      <c r="AB21" s="36" t="n"/>
      <c r="AC21" s="34" t="n"/>
      <c r="AD21" s="36" t="n"/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n"/>
      <c r="C22" s="34" t="n"/>
      <c r="D22" s="34" t="n"/>
      <c r="E22" s="34" t="n"/>
      <c r="F22" s="36" t="n"/>
      <c r="G22" s="36" t="n"/>
      <c r="H22" s="36" t="n"/>
      <c r="I22" s="36" t="n"/>
      <c r="J22" s="36" t="n"/>
      <c r="K22" s="34" t="n"/>
      <c r="L22" s="34" t="n"/>
      <c r="M22" s="34" t="n"/>
      <c r="N22" s="34" t="n"/>
      <c r="O22" s="50">
        <f>IF(N(AH22)&gt;1,"중복 "&amp;AH22&amp;"곳"&amp;IF(AK22=1," · 최저가",IF(AND(N22="견적접수",R22&lt;&gt;"")," · 비쌈","")),"")</f>
        <v/>
      </c>
      <c r="P22" s="34" t="n"/>
      <c r="Q22" s="51" t="n"/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n"/>
      <c r="Y22" s="34" t="n"/>
      <c r="Z22" s="56" t="n"/>
      <c r="AA22" s="54">
        <f>IF(OR(Z22="",Y22=""),"",Z22+Y22)</f>
        <v/>
      </c>
      <c r="AB22" s="36" t="n"/>
      <c r="AC22" s="34" t="n"/>
      <c r="AD22" s="36" t="n"/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n"/>
      <c r="C23" s="34" t="n"/>
      <c r="D23" s="34" t="n"/>
      <c r="E23" s="34" t="n"/>
      <c r="F23" s="36" t="n"/>
      <c r="G23" s="36" t="n"/>
      <c r="H23" s="36" t="n"/>
      <c r="I23" s="36" t="n"/>
      <c r="J23" s="36" t="n"/>
      <c r="K23" s="34" t="n"/>
      <c r="L23" s="34" t="n"/>
      <c r="M23" s="34" t="n"/>
      <c r="N23" s="34" t="n"/>
      <c r="O23" s="50">
        <f>IF(N(AH23)&gt;1,"중복 "&amp;AH23&amp;"곳"&amp;IF(AK23=1," · 최저가",IF(AND(N23="견적접수",R23&lt;&gt;"")," · 비쌈","")),"")</f>
        <v/>
      </c>
      <c r="P23" s="34" t="n"/>
      <c r="Q23" s="51" t="n"/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/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n"/>
      <c r="Y23" s="34" t="n"/>
      <c r="Z23" s="56" t="n"/>
      <c r="AA23" s="54">
        <f>IF(OR(Z23="",Y23=""),"",Z23+Y23)</f>
        <v/>
      </c>
      <c r="AB23" s="36" t="n"/>
      <c r="AC23" s="34" t="n"/>
      <c r="AD23" s="36" t="n"/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n"/>
      <c r="C24" s="34" t="n"/>
      <c r="D24" s="34" t="n"/>
      <c r="E24" s="34" t="n"/>
      <c r="F24" s="36" t="n"/>
      <c r="G24" s="36" t="n"/>
      <c r="H24" s="36" t="n"/>
      <c r="I24" s="36" t="n"/>
      <c r="J24" s="36" t="n"/>
      <c r="K24" s="34" t="n"/>
      <c r="L24" s="34" t="n"/>
      <c r="M24" s="34" t="n"/>
      <c r="N24" s="34" t="n"/>
      <c r="O24" s="50">
        <f>IF(N(AH24)&gt;1,"중복 "&amp;AH24&amp;"곳"&amp;IF(AK24=1," · 최저가",IF(AND(N24="견적접수",R24&lt;&gt;"")," · 비쌈","")),"")</f>
        <v/>
      </c>
      <c r="P24" s="34" t="n"/>
      <c r="Q24" s="51" t="n"/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/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n"/>
      <c r="X24" s="34" t="n"/>
      <c r="Y24" s="34" t="n"/>
      <c r="Z24" s="56" t="n"/>
      <c r="AA24" s="54">
        <f>IF(OR(Z24="",Y24=""),"",Z24+Y24)</f>
        <v/>
      </c>
      <c r="AB24" s="36" t="n"/>
      <c r="AC24" s="34" t="n"/>
      <c r="AD24" s="36" t="n"/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n"/>
      <c r="C25" s="34" t="n"/>
      <c r="D25" s="34" t="n"/>
      <c r="E25" s="34" t="n"/>
      <c r="F25" s="36" t="n"/>
      <c r="G25" s="36" t="n"/>
      <c r="H25" s="36" t="n"/>
      <c r="I25" s="36" t="n"/>
      <c r="J25" s="36" t="n"/>
      <c r="K25" s="34" t="n"/>
      <c r="L25" s="34" t="n"/>
      <c r="M25" s="34" t="n"/>
      <c r="N25" s="34" t="n"/>
      <c r="O25" s="50">
        <f>IF(N(AH25)&gt;1,"중복 "&amp;AH25&amp;"곳"&amp;IF(AK25=1," · 최저가",IF(AND(N25="견적접수",R25&lt;&gt;"")," · 비쌈","")),"")</f>
        <v/>
      </c>
      <c r="P25" s="34" t="n"/>
      <c r="Q25" s="51" t="n"/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/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n"/>
      <c r="X25" s="34" t="n"/>
      <c r="Y25" s="34" t="n"/>
      <c r="Z25" s="56" t="n"/>
      <c r="AA25" s="54">
        <f>IF(OR(Z25="",Y25=""),"",Z25+Y25)</f>
        <v/>
      </c>
      <c r="AB25" s="36" t="n"/>
      <c r="AC25" s="34" t="n"/>
      <c r="AD25" s="36" t="n"/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n"/>
      <c r="C26" s="34" t="n"/>
      <c r="D26" s="34" t="n"/>
      <c r="E26" s="34" t="n"/>
      <c r="F26" s="36" t="n"/>
      <c r="G26" s="36" t="n"/>
      <c r="H26" s="36" t="n"/>
      <c r="I26" s="36" t="n"/>
      <c r="J26" s="36" t="n"/>
      <c r="K26" s="34" t="n"/>
      <c r="L26" s="34" t="n"/>
      <c r="M26" s="34" t="n"/>
      <c r="N26" s="34" t="n"/>
      <c r="O26" s="50">
        <f>IF(N(AH26)&gt;1,"중복 "&amp;AH26&amp;"곳"&amp;IF(AK26=1," · 최저가",IF(AND(N26="견적접수",R26&lt;&gt;"")," · 비쌈","")),"")</f>
        <v/>
      </c>
      <c r="P26" s="34" t="n"/>
      <c r="Q26" s="51" t="n"/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/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n"/>
      <c r="X26" s="34" t="n"/>
      <c r="Y26" s="34" t="n"/>
      <c r="Z26" s="56" t="n"/>
      <c r="AA26" s="54">
        <f>IF(OR(Z26="",Y26=""),"",Z26+Y26)</f>
        <v/>
      </c>
      <c r="AB26" s="36" t="n"/>
      <c r="AC26" s="34" t="n"/>
      <c r="AD26" s="36" t="n"/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n"/>
      <c r="C27" s="34" t="n"/>
      <c r="D27" s="34" t="n"/>
      <c r="E27" s="34" t="n"/>
      <c r="F27" s="36" t="n"/>
      <c r="G27" s="36" t="n"/>
      <c r="H27" s="36" t="n"/>
      <c r="I27" s="36" t="n"/>
      <c r="J27" s="36" t="n"/>
      <c r="K27" s="34" t="n"/>
      <c r="L27" s="34" t="n"/>
      <c r="M27" s="34" t="n"/>
      <c r="N27" s="34" t="n"/>
      <c r="O27" s="50">
        <f>IF(N(AH27)&gt;1,"중복 "&amp;AH27&amp;"곳"&amp;IF(AK27=1," · 최저가",IF(AND(N27="견적접수",R27&lt;&gt;"")," · 비쌈","")),"")</f>
        <v/>
      </c>
      <c r="P27" s="34" t="n"/>
      <c r="Q27" s="51" t="n"/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/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n"/>
      <c r="X27" s="34" t="n"/>
      <c r="Y27" s="34" t="n"/>
      <c r="Z27" s="56" t="n"/>
      <c r="AA27" s="54">
        <f>IF(OR(Z27="",Y27=""),"",Z27+Y27)</f>
        <v/>
      </c>
      <c r="AB27" s="36" t="n"/>
      <c r="AC27" s="34" t="n"/>
      <c r="AD27" s="36" t="n"/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n"/>
      <c r="C28" s="34" t="n"/>
      <c r="D28" s="34" t="n"/>
      <c r="E28" s="34" t="n"/>
      <c r="F28" s="36" t="n"/>
      <c r="G28" s="36" t="n"/>
      <c r="H28" s="36" t="n"/>
      <c r="I28" s="36" t="n"/>
      <c r="J28" s="36" t="n"/>
      <c r="K28" s="34" t="n"/>
      <c r="L28" s="34" t="n"/>
      <c r="M28" s="34" t="n"/>
      <c r="N28" s="34" t="n"/>
      <c r="O28" s="50">
        <f>IF(N(AH28)&gt;1,"중복 "&amp;AH28&amp;"곳"&amp;IF(AK28=1," · 최저가",IF(AND(N28="견적접수",R28&lt;&gt;"")," · 비쌈","")),"")</f>
        <v/>
      </c>
      <c r="P28" s="34" t="n"/>
      <c r="Q28" s="51" t="n"/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/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n"/>
      <c r="X28" s="34" t="n"/>
      <c r="Y28" s="34" t="n"/>
      <c r="Z28" s="56" t="n"/>
      <c r="AA28" s="54">
        <f>IF(OR(Z28="",Y28=""),"",Z28+Y28)</f>
        <v/>
      </c>
      <c r="AB28" s="36" t="n"/>
      <c r="AC28" s="34" t="n"/>
      <c r="AD28" s="36" t="n"/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n"/>
      <c r="C29" s="34" t="n"/>
      <c r="D29" s="34" t="n"/>
      <c r="E29" s="34" t="n"/>
      <c r="F29" s="36" t="n"/>
      <c r="G29" s="36" t="n"/>
      <c r="H29" s="36" t="n"/>
      <c r="I29" s="36" t="n"/>
      <c r="J29" s="36" t="n"/>
      <c r="K29" s="34" t="n"/>
      <c r="L29" s="34" t="n"/>
      <c r="M29" s="34" t="n"/>
      <c r="N29" s="34" t="n"/>
      <c r="O29" s="50">
        <f>IF(N(AH29)&gt;1,"중복 "&amp;AH29&amp;"곳"&amp;IF(AK29=1," · 최저가",IF(AND(N29="견적접수",R29&lt;&gt;"")," · 비쌈","")),"")</f>
        <v/>
      </c>
      <c r="P29" s="34" t="n"/>
      <c r="Q29" s="51" t="n"/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/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n"/>
      <c r="X29" s="34" t="n"/>
      <c r="Y29" s="34" t="n"/>
      <c r="Z29" s="56" t="n"/>
      <c r="AA29" s="54">
        <f>IF(OR(Z29="",Y29=""),"",Z29+Y29)</f>
        <v/>
      </c>
      <c r="AB29" s="36" t="n"/>
      <c r="AC29" s="34" t="n"/>
      <c r="AD29" s="36" t="n"/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n"/>
      <c r="C30" s="34" t="n"/>
      <c r="D30" s="34" t="n"/>
      <c r="E30" s="34" t="n"/>
      <c r="F30" s="36" t="n"/>
      <c r="G30" s="36" t="n"/>
      <c r="H30" s="36" t="n"/>
      <c r="I30" s="36" t="n"/>
      <c r="J30" s="36" t="n"/>
      <c r="K30" s="34" t="n"/>
      <c r="L30" s="34" t="n"/>
      <c r="M30" s="34" t="n"/>
      <c r="N30" s="34" t="n"/>
      <c r="O30" s="50">
        <f>IF(N(AH30)&gt;1,"중복 "&amp;AH30&amp;"곳"&amp;IF(AK30=1," · 최저가",IF(AND(N30="견적접수",R30&lt;&gt;"")," · 비쌈","")),"")</f>
        <v/>
      </c>
      <c r="P30" s="34" t="n"/>
      <c r="Q30" s="51" t="n"/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/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n"/>
      <c r="X30" s="34" t="n"/>
      <c r="Y30" s="34" t="n"/>
      <c r="Z30" s="56" t="n"/>
      <c r="AA30" s="54">
        <f>IF(OR(Z30="",Y30=""),"",Z30+Y30)</f>
        <v/>
      </c>
      <c r="AB30" s="36" t="n"/>
      <c r="AC30" s="34" t="n"/>
      <c r="AD30" s="36" t="n"/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n"/>
      <c r="C31" s="34" t="n"/>
      <c r="D31" s="34" t="n"/>
      <c r="E31" s="34" t="n"/>
      <c r="F31" s="36" t="n"/>
      <c r="G31" s="36" t="n"/>
      <c r="H31" s="36" t="n"/>
      <c r="I31" s="36" t="n"/>
      <c r="J31" s="36" t="n"/>
      <c r="K31" s="34" t="n"/>
      <c r="L31" s="34" t="n"/>
      <c r="M31" s="34" t="n"/>
      <c r="N31" s="34" t="n"/>
      <c r="O31" s="50">
        <f>IF(N(AH31)&gt;1,"중복 "&amp;AH31&amp;"곳"&amp;IF(AK31=1," · 최저가",IF(AND(N31="견적접수",R31&lt;&gt;"")," · 비쌈","")),"")</f>
        <v/>
      </c>
      <c r="P31" s="34" t="n"/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6" t="n"/>
      <c r="AA31" s="54">
        <f>IF(OR(Z31="",Y31=""),"",Z31+Y31)</f>
        <v/>
      </c>
      <c r="AB31" s="36" t="n"/>
      <c r="AC31" s="34" t="n"/>
      <c r="AD31" s="36" t="n"/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n"/>
      <c r="C32" s="34" t="n"/>
      <c r="D32" s="34" t="n"/>
      <c r="E32" s="34" t="n"/>
      <c r="F32" s="36" t="n"/>
      <c r="G32" s="36" t="n"/>
      <c r="H32" s="36" t="n"/>
      <c r="I32" s="36" t="n"/>
      <c r="J32" s="36" t="n"/>
      <c r="K32" s="34" t="n"/>
      <c r="L32" s="34" t="n"/>
      <c r="M32" s="34" t="n"/>
      <c r="N32" s="34" t="n"/>
      <c r="O32" s="50">
        <f>IF(N(AH32)&gt;1,"중복 "&amp;AH32&amp;"곳"&amp;IF(AK32=1," · 최저가",IF(AND(N32="견적접수",R32&lt;&gt;"")," · 비쌈","")),"")</f>
        <v/>
      </c>
      <c r="P32" s="34" t="n"/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6" t="n"/>
      <c r="AA32" s="54">
        <f>IF(OR(Z32="",Y32=""),"",Z32+Y32)</f>
        <v/>
      </c>
      <c r="AB32" s="36" t="n"/>
      <c r="AC32" s="34" t="n"/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n"/>
      <c r="C33" s="34" t="n"/>
      <c r="D33" s="34" t="n"/>
      <c r="E33" s="34" t="n"/>
      <c r="F33" s="36" t="n"/>
      <c r="G33" s="36" t="n"/>
      <c r="H33" s="36" t="n"/>
      <c r="I33" s="36" t="n"/>
      <c r="J33" s="36" t="n"/>
      <c r="K33" s="34" t="n"/>
      <c r="L33" s="34" t="n"/>
      <c r="M33" s="34" t="n"/>
      <c r="N33" s="34" t="n"/>
      <c r="O33" s="50">
        <f>IF(N(AH33)&gt;1,"중복 "&amp;AH33&amp;"곳"&amp;IF(AK33=1," · 최저가",IF(AND(N33="견적접수",R33&lt;&gt;"")," · 비쌈","")),"")</f>
        <v/>
      </c>
      <c r="P33" s="34" t="n"/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6" t="n"/>
      <c r="AA33" s="54">
        <f>IF(OR(Z33="",Y33=""),"",Z33+Y33)</f>
        <v/>
      </c>
      <c r="AB33" s="36" t="n"/>
      <c r="AC33" s="34" t="n"/>
      <c r="AD33" s="36" t="n"/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n"/>
      <c r="C34" s="34" t="n"/>
      <c r="D34" s="34" t="n"/>
      <c r="E34" s="34" t="n"/>
      <c r="F34" s="36" t="n"/>
      <c r="G34" s="36" t="n"/>
      <c r="H34" s="36" t="n"/>
      <c r="I34" s="36" t="n"/>
      <c r="J34" s="36" t="n"/>
      <c r="K34" s="34" t="n"/>
      <c r="L34" s="34" t="n"/>
      <c r="M34" s="34" t="n"/>
      <c r="N34" s="34" t="n"/>
      <c r="O34" s="50">
        <f>IF(N(AH34)&gt;1,"중복 "&amp;AH34&amp;"곳"&amp;IF(AK34=1," · 최저가",IF(AND(N34="견적접수",R34&lt;&gt;"")," · 비쌈","")),"")</f>
        <v/>
      </c>
      <c r="P34" s="34" t="n"/>
      <c r="Q34" s="51" t="n"/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/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n"/>
      <c r="X34" s="34" t="n"/>
      <c r="Y34" s="34" t="n"/>
      <c r="Z34" s="56" t="n"/>
      <c r="AA34" s="54">
        <f>IF(OR(Z34="",Y34=""),"",Z34+Y34)</f>
        <v/>
      </c>
      <c r="AB34" s="36" t="n"/>
      <c r="AC34" s="34" t="n"/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n"/>
      <c r="C35" s="34" t="n"/>
      <c r="D35" s="34" t="n"/>
      <c r="E35" s="34" t="n"/>
      <c r="F35" s="36" t="n"/>
      <c r="G35" s="36" t="n"/>
      <c r="H35" s="36" t="n"/>
      <c r="I35" s="36" t="n"/>
      <c r="J35" s="36" t="n"/>
      <c r="K35" s="34" t="n"/>
      <c r="L35" s="34" t="n"/>
      <c r="M35" s="34" t="n"/>
      <c r="N35" s="34" t="n"/>
      <c r="O35" s="50">
        <f>IF(N(AH35)&gt;1,"중복 "&amp;AH35&amp;"곳"&amp;IF(AK35=1," · 최저가",IF(AND(N35="견적접수",R35&lt;&gt;"")," · 비쌈","")),"")</f>
        <v/>
      </c>
      <c r="P35" s="34" t="n"/>
      <c r="Q35" s="51" t="n"/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/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n"/>
      <c r="X35" s="34" t="n"/>
      <c r="Y35" s="34" t="n"/>
      <c r="Z35" s="56" t="n"/>
      <c r="AA35" s="54">
        <f>IF(OR(Z35="",Y35=""),"",Z35+Y35)</f>
        <v/>
      </c>
      <c r="AB35" s="36" t="n"/>
      <c r="AC35" s="34" t="n"/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n"/>
      <c r="C36" s="34" t="n"/>
      <c r="D36" s="34" t="n"/>
      <c r="E36" s="34" t="n"/>
      <c r="F36" s="36" t="n"/>
      <c r="G36" s="36" t="n"/>
      <c r="H36" s="36" t="n"/>
      <c r="I36" s="36" t="n"/>
      <c r="J36" s="36" t="n"/>
      <c r="K36" s="34" t="n"/>
      <c r="L36" s="34" t="n"/>
      <c r="M36" s="34" t="n"/>
      <c r="N36" s="34" t="n"/>
      <c r="O36" s="50">
        <f>IF(N(AH36)&gt;1,"중복 "&amp;AH36&amp;"곳"&amp;IF(AK36=1," · 최저가",IF(AND(N36="견적접수",R36&lt;&gt;"")," · 비쌈","")),"")</f>
        <v/>
      </c>
      <c r="P36" s="34" t="n"/>
      <c r="Q36" s="51" t="n"/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/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n"/>
      <c r="X36" s="34" t="n"/>
      <c r="Y36" s="34" t="n"/>
      <c r="Z36" s="56" t="n"/>
      <c r="AA36" s="54">
        <f>IF(OR(Z36="",Y36=""),"",Z36+Y36)</f>
        <v/>
      </c>
      <c r="AB36" s="36" t="n"/>
      <c r="AC36" s="34" t="n"/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n"/>
      <c r="C37" s="34" t="n"/>
      <c r="D37" s="34" t="n"/>
      <c r="E37" s="34" t="n"/>
      <c r="F37" s="36" t="n"/>
      <c r="G37" s="36" t="n"/>
      <c r="H37" s="36" t="n"/>
      <c r="I37" s="36" t="n"/>
      <c r="J37" s="36" t="n"/>
      <c r="K37" s="34" t="n"/>
      <c r="L37" s="34" t="n"/>
      <c r="M37" s="34" t="n"/>
      <c r="N37" s="34" t="n"/>
      <c r="O37" s="50">
        <f>IF(N(AH37)&gt;1,"중복 "&amp;AH37&amp;"곳"&amp;IF(AK37=1," · 최저가",IF(AND(N37="견적접수",R37&lt;&gt;"")," · 비쌈","")),"")</f>
        <v/>
      </c>
      <c r="P37" s="34" t="n"/>
      <c r="Q37" s="51" t="n"/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/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n"/>
      <c r="X37" s="34" t="n"/>
      <c r="Y37" s="34" t="n"/>
      <c r="Z37" s="56" t="n"/>
      <c r="AA37" s="54">
        <f>IF(OR(Z37="",Y37=""),"",Z37+Y37)</f>
        <v/>
      </c>
      <c r="AB37" s="36" t="n"/>
      <c r="AC37" s="34" t="n"/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n"/>
      <c r="C38" s="34" t="n"/>
      <c r="D38" s="34" t="n"/>
      <c r="E38" s="34" t="n"/>
      <c r="F38" s="36" t="n"/>
      <c r="G38" s="36" t="n"/>
      <c r="H38" s="36" t="n"/>
      <c r="I38" s="36" t="n"/>
      <c r="J38" s="36" t="n"/>
      <c r="K38" s="34" t="n"/>
      <c r="L38" s="34" t="n"/>
      <c r="M38" s="34" t="n"/>
      <c r="N38" s="34" t="n"/>
      <c r="O38" s="50">
        <f>IF(N(AH38)&gt;1,"중복 "&amp;AH38&amp;"곳"&amp;IF(AK38=1," · 최저가",IF(AND(N38="견적접수",R38&lt;&gt;"")," · 비쌈","")),"")</f>
        <v/>
      </c>
      <c r="P38" s="34" t="n"/>
      <c r="Q38" s="51" t="n"/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/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n"/>
      <c r="X38" s="34" t="n"/>
      <c r="Y38" s="34" t="n"/>
      <c r="Z38" s="56" t="n"/>
      <c r="AA38" s="54">
        <f>IF(OR(Z38="",Y38=""),"",Z38+Y38)</f>
        <v/>
      </c>
      <c r="AB38" s="36" t="n"/>
      <c r="AC38" s="34" t="n"/>
      <c r="AD38" s="36" t="n"/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n"/>
      <c r="C39" s="34" t="n"/>
      <c r="D39" s="34" t="n"/>
      <c r="E39" s="34" t="n"/>
      <c r="F39" s="36" t="n"/>
      <c r="G39" s="36" t="n"/>
      <c r="H39" s="36" t="n"/>
      <c r="I39" s="36" t="n"/>
      <c r="J39" s="36" t="n"/>
      <c r="K39" s="34" t="n"/>
      <c r="L39" s="34" t="n"/>
      <c r="M39" s="34" t="n"/>
      <c r="N39" s="34" t="n"/>
      <c r="O39" s="50">
        <f>IF(N(AH39)&gt;1,"중복 "&amp;AH39&amp;"곳"&amp;IF(AK39=1," · 최저가",IF(AND(N39="견적접수",R39&lt;&gt;"")," · 비쌈","")),"")</f>
        <v/>
      </c>
      <c r="P39" s="34" t="n"/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6" t="n"/>
      <c r="AA39" s="54">
        <f>IF(OR(Z39="",Y39=""),"",Z39+Y39)</f>
        <v/>
      </c>
      <c r="AB39" s="36" t="n"/>
      <c r="AC39" s="34" t="n"/>
      <c r="AD39" s="36" t="n"/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n"/>
      <c r="C40" s="34" t="n"/>
      <c r="D40" s="34" t="n"/>
      <c r="E40" s="34" t="n"/>
      <c r="F40" s="36" t="n"/>
      <c r="G40" s="36" t="n"/>
      <c r="H40" s="36" t="n"/>
      <c r="I40" s="36" t="n"/>
      <c r="J40" s="36" t="n"/>
      <c r="K40" s="34" t="n"/>
      <c r="L40" s="34" t="n"/>
      <c r="M40" s="34" t="n"/>
      <c r="N40" s="34" t="n"/>
      <c r="O40" s="50">
        <f>IF(N(AH40)&gt;1,"중복 "&amp;AH40&amp;"곳"&amp;IF(AK40=1," · 최저가",IF(AND(N40="견적접수",R40&lt;&gt;"")," · 비쌈","")),"")</f>
        <v/>
      </c>
      <c r="P40" s="34" t="n"/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6" t="n"/>
      <c r="AA40" s="54">
        <f>IF(OR(Z40="",Y40=""),"",Z40+Y40)</f>
        <v/>
      </c>
      <c r="AB40" s="36" t="n"/>
      <c r="AC40" s="34" t="n"/>
      <c r="AD40" s="36" t="n"/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n"/>
      <c r="C41" s="34" t="n"/>
      <c r="D41" s="34" t="n"/>
      <c r="E41" s="34" t="n"/>
      <c r="F41" s="36" t="n"/>
      <c r="G41" s="36" t="n"/>
      <c r="H41" s="36" t="n"/>
      <c r="I41" s="36" t="n"/>
      <c r="J41" s="36" t="n"/>
      <c r="K41" s="34" t="n"/>
      <c r="L41" s="34" t="n"/>
      <c r="M41" s="34" t="n"/>
      <c r="N41" s="34" t="n"/>
      <c r="O41" s="50">
        <f>IF(N(AH41)&gt;1,"중복 "&amp;AH41&amp;"곳"&amp;IF(AK41=1," · 최저가",IF(AND(N41="견적접수",R41&lt;&gt;"")," · 비쌈","")),"")</f>
        <v/>
      </c>
      <c r="P41" s="34" t="n"/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6" t="n"/>
      <c r="AA41" s="54">
        <f>IF(OR(Z41="",Y41=""),"",Z41+Y41)</f>
        <v/>
      </c>
      <c r="AB41" s="36" t="n"/>
      <c r="AC41" s="34" t="n"/>
      <c r="AD41" s="36" t="n"/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n"/>
      <c r="C42" s="34" t="n"/>
      <c r="D42" s="34" t="n"/>
      <c r="E42" s="34" t="n"/>
      <c r="F42" s="36" t="n"/>
      <c r="G42" s="36" t="n"/>
      <c r="H42" s="36" t="n"/>
      <c r="I42" s="36" t="n"/>
      <c r="J42" s="36" t="n"/>
      <c r="K42" s="34" t="n"/>
      <c r="L42" s="34" t="n"/>
      <c r="M42" s="34" t="n"/>
      <c r="N42" s="34" t="n"/>
      <c r="O42" s="50">
        <f>IF(N(AH42)&gt;1,"중복 "&amp;AH42&amp;"곳"&amp;IF(AK42=1," · 최저가",IF(AND(N42="견적접수",R42&lt;&gt;"")," · 비쌈","")),"")</f>
        <v/>
      </c>
      <c r="P42" s="34" t="n"/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6" t="n"/>
      <c r="AA42" s="54">
        <f>IF(OR(Z42="",Y42=""),"",Z42+Y42)</f>
        <v/>
      </c>
      <c r="AB42" s="36" t="n"/>
      <c r="AC42" s="34" t="n"/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n"/>
      <c r="C43" s="34" t="n"/>
      <c r="D43" s="34" t="n"/>
      <c r="E43" s="34" t="n"/>
      <c r="F43" s="36" t="n"/>
      <c r="G43" s="36" t="n"/>
      <c r="H43" s="36" t="n"/>
      <c r="I43" s="36" t="n"/>
      <c r="J43" s="36" t="n"/>
      <c r="K43" s="34" t="n"/>
      <c r="L43" s="34" t="n"/>
      <c r="M43" s="34" t="n"/>
      <c r="N43" s="34" t="n"/>
      <c r="O43" s="50">
        <f>IF(N(AH43)&gt;1,"중복 "&amp;AH43&amp;"곳"&amp;IF(AK43=1," · 최저가",IF(AND(N43="견적접수",R43&lt;&gt;"")," · 비쌈","")),"")</f>
        <v/>
      </c>
      <c r="P43" s="34" t="n"/>
      <c r="Q43" s="51" t="n"/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/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/>
      <c r="AA43" s="54">
        <f>IF(OR(Z43="",Y43=""),"",Z43+Y43)</f>
        <v/>
      </c>
      <c r="AB43" s="36" t="n"/>
      <c r="AC43" s="34" t="n"/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n"/>
      <c r="C44" s="34" t="n"/>
      <c r="D44" s="34" t="n"/>
      <c r="E44" s="34" t="n"/>
      <c r="F44" s="36" t="n"/>
      <c r="G44" s="36" t="n"/>
      <c r="H44" s="36" t="n"/>
      <c r="I44" s="36" t="n"/>
      <c r="J44" s="36" t="n"/>
      <c r="K44" s="34" t="n"/>
      <c r="L44" s="34" t="n"/>
      <c r="M44" s="34" t="n"/>
      <c r="N44" s="34" t="n"/>
      <c r="O44" s="50">
        <f>IF(N(AH44)&gt;1,"중복 "&amp;AH44&amp;"곳"&amp;IF(AK44=1," · 최저가",IF(AND(N44="견적접수",R44&lt;&gt;"")," · 비쌈","")),"")</f>
        <v/>
      </c>
      <c r="P44" s="34" t="n"/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/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6" t="n"/>
      <c r="AA44" s="54">
        <f>IF(OR(Z44="",Y44=""),"",Z44+Y44)</f>
        <v/>
      </c>
      <c r="AB44" s="36" t="n"/>
      <c r="AC44" s="34" t="n"/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n"/>
      <c r="C45" s="34" t="n"/>
      <c r="D45" s="34" t="n"/>
      <c r="E45" s="34" t="n"/>
      <c r="F45" s="36" t="n"/>
      <c r="G45" s="36" t="n"/>
      <c r="H45" s="36" t="n"/>
      <c r="I45" s="36" t="n"/>
      <c r="J45" s="36" t="n"/>
      <c r="K45" s="34" t="n"/>
      <c r="L45" s="34" t="n"/>
      <c r="M45" s="34" t="n"/>
      <c r="N45" s="34" t="n"/>
      <c r="O45" s="50">
        <f>IF(N(AH45)&gt;1,"중복 "&amp;AH45&amp;"곳"&amp;IF(AK45=1," · 최저가",IF(AND(N45="견적접수",R45&lt;&gt;"")," · 비쌈","")),"")</f>
        <v/>
      </c>
      <c r="P45" s="34" t="n"/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6" t="n"/>
      <c r="AA45" s="54">
        <f>IF(OR(Z45="",Y45=""),"",Z45+Y45)</f>
        <v/>
      </c>
      <c r="AB45" s="36" t="n"/>
      <c r="AC45" s="34" t="n"/>
      <c r="AD45" s="36" t="n"/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n"/>
      <c r="C46" s="34" t="n"/>
      <c r="D46" s="34" t="n"/>
      <c r="E46" s="34" t="n"/>
      <c r="F46" s="36" t="n"/>
      <c r="G46" s="36" t="n"/>
      <c r="H46" s="36" t="n"/>
      <c r="I46" s="36" t="n"/>
      <c r="J46" s="36" t="n"/>
      <c r="K46" s="34" t="n"/>
      <c r="L46" s="34" t="n"/>
      <c r="M46" s="34" t="n"/>
      <c r="N46" s="34" t="n"/>
      <c r="O46" s="50">
        <f>IF(N(AH46)&gt;1,"중복 "&amp;AH46&amp;"곳"&amp;IF(AK46=1," · 최저가",IF(AND(N46="견적접수",R46&lt;&gt;"")," · 비쌈","")),"")</f>
        <v/>
      </c>
      <c r="P46" s="34" t="n"/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6" t="n"/>
      <c r="AA46" s="54">
        <f>IF(OR(Z46="",Y46=""),"",Z46+Y46)</f>
        <v/>
      </c>
      <c r="AB46" s="36" t="n"/>
      <c r="AC46" s="34" t="n"/>
      <c r="AD46" s="36" t="n"/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n"/>
      <c r="C47" s="34" t="n"/>
      <c r="D47" s="34" t="n"/>
      <c r="E47" s="34" t="n"/>
      <c r="F47" s="36" t="n"/>
      <c r="G47" s="36" t="n"/>
      <c r="H47" s="36" t="n"/>
      <c r="I47" s="36" t="n"/>
      <c r="J47" s="36" t="n"/>
      <c r="K47" s="34" t="n"/>
      <c r="L47" s="34" t="n"/>
      <c r="M47" s="34" t="n"/>
      <c r="N47" s="34" t="n"/>
      <c r="O47" s="50">
        <f>IF(N(AH47)&gt;1,"중복 "&amp;AH47&amp;"곳"&amp;IF(AK47=1," · 최저가",IF(AND(N47="견적접수",R47&lt;&gt;"")," · 비쌈","")),"")</f>
        <v/>
      </c>
      <c r="P47" s="34" t="n"/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6" t="n"/>
      <c r="AA47" s="54">
        <f>IF(OR(Z47="",Y47=""),"",Z47+Y47)</f>
        <v/>
      </c>
      <c r="AB47" s="36" t="n"/>
      <c r="AC47" s="34" t="n"/>
      <c r="AD47" s="36" t="n"/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n"/>
      <c r="C48" s="34" t="n"/>
      <c r="D48" s="34" t="n"/>
      <c r="E48" s="34" t="n"/>
      <c r="F48" s="36" t="n"/>
      <c r="G48" s="36" t="n"/>
      <c r="H48" s="36" t="n"/>
      <c r="I48" s="36" t="n"/>
      <c r="J48" s="36" t="n"/>
      <c r="K48" s="34" t="n"/>
      <c r="L48" s="34" t="n"/>
      <c r="M48" s="34" t="n"/>
      <c r="N48" s="34" t="n"/>
      <c r="O48" s="50">
        <f>IF(N(AH48)&gt;1,"중복 "&amp;AH48&amp;"곳"&amp;IF(AK48=1," · 최저가",IF(AND(N48="견적접수",R48&lt;&gt;"")," · 비쌈","")),"")</f>
        <v/>
      </c>
      <c r="P48" s="34" t="n"/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6" t="n"/>
      <c r="AA48" s="54">
        <f>IF(OR(Z48="",Y48=""),"",Z48+Y48)</f>
        <v/>
      </c>
      <c r="AB48" s="36" t="n"/>
      <c r="AC48" s="34" t="n"/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n"/>
      <c r="C49" s="34" t="n"/>
      <c r="D49" s="34" t="n"/>
      <c r="E49" s="34" t="n"/>
      <c r="F49" s="36" t="n"/>
      <c r="G49" s="36" t="n"/>
      <c r="H49" s="36" t="n"/>
      <c r="I49" s="36" t="n"/>
      <c r="J49" s="36" t="n"/>
      <c r="K49" s="34" t="n"/>
      <c r="L49" s="34" t="n"/>
      <c r="M49" s="34" t="n"/>
      <c r="N49" s="34" t="n"/>
      <c r="O49" s="50">
        <f>IF(N(AH49)&gt;1,"중복 "&amp;AH49&amp;"곳"&amp;IF(AK49=1," · 최저가",IF(AND(N49="견적접수",R49&lt;&gt;"")," · 비쌈","")),"")</f>
        <v/>
      </c>
      <c r="P49" s="34" t="n"/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6" t="n"/>
      <c r="AA49" s="54">
        <f>IF(OR(Z49="",Y49=""),"",Z49+Y49)</f>
        <v/>
      </c>
      <c r="AB49" s="36" t="n"/>
      <c r="AC49" s="34" t="n"/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n"/>
      <c r="C50" s="34" t="n"/>
      <c r="D50" s="34" t="n"/>
      <c r="E50" s="34" t="n"/>
      <c r="F50" s="36" t="n"/>
      <c r="G50" s="36" t="n"/>
      <c r="H50" s="36" t="n"/>
      <c r="I50" s="36" t="n"/>
      <c r="J50" s="36" t="n"/>
      <c r="K50" s="34" t="n"/>
      <c r="L50" s="34" t="n"/>
      <c r="M50" s="34" t="n"/>
      <c r="N50" s="34" t="n"/>
      <c r="O50" s="50">
        <f>IF(N(AH50)&gt;1,"중복 "&amp;AH50&amp;"곳"&amp;IF(AK50=1," · 최저가",IF(AND(N50="견적접수",R50&lt;&gt;"")," · 비쌈","")),"")</f>
        <v/>
      </c>
      <c r="P50" s="34" t="n"/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6" t="n"/>
      <c r="AA50" s="54">
        <f>IF(OR(Z50="",Y50=""),"",Z50+Y50)</f>
        <v/>
      </c>
      <c r="AB50" s="36" t="n"/>
      <c r="AC50" s="34" t="n"/>
      <c r="AD50" s="36" t="n"/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n"/>
      <c r="C51" s="34" t="n"/>
      <c r="D51" s="34" t="n"/>
      <c r="E51" s="34" t="n"/>
      <c r="F51" s="36" t="n"/>
      <c r="G51" s="36" t="n"/>
      <c r="H51" s="36" t="n"/>
      <c r="I51" s="36" t="n"/>
      <c r="J51" s="36" t="n"/>
      <c r="K51" s="34" t="n"/>
      <c r="L51" s="34" t="n"/>
      <c r="M51" s="34" t="n"/>
      <c r="N51" s="34" t="n"/>
      <c r="O51" s="50">
        <f>IF(N(AH51)&gt;1,"중복 "&amp;AH51&amp;"곳"&amp;IF(AK51=1," · 최저가",IF(AND(N51="견적접수",R51&lt;&gt;"")," · 비쌈","")),"")</f>
        <v/>
      </c>
      <c r="P51" s="34" t="n"/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6" t="n"/>
      <c r="AA51" s="54">
        <f>IF(OR(Z51="",Y51=""),"",Z51+Y51)</f>
        <v/>
      </c>
      <c r="AB51" s="36" t="n"/>
      <c r="AC51" s="34" t="n"/>
      <c r="AD51" s="36" t="n"/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n"/>
      <c r="C52" s="34" t="n"/>
      <c r="D52" s="34" t="n"/>
      <c r="E52" s="34" t="n"/>
      <c r="F52" s="36" t="n"/>
      <c r="G52" s="36" t="n"/>
      <c r="H52" s="36" t="n"/>
      <c r="I52" s="36" t="n"/>
      <c r="J52" s="36" t="n"/>
      <c r="K52" s="34" t="n"/>
      <c r="L52" s="34" t="n"/>
      <c r="M52" s="34" t="n"/>
      <c r="N52" s="34" t="n"/>
      <c r="O52" s="50">
        <f>IF(N(AH52)&gt;1,"중복 "&amp;AH52&amp;"곳"&amp;IF(AK52=1," · 최저가",IF(AND(N52="견적접수",R52&lt;&gt;"")," · 비쌈","")),"")</f>
        <v/>
      </c>
      <c r="P52" s="34" t="n"/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6" t="n"/>
      <c r="AA52" s="54">
        <f>IF(OR(Z52="",Y52=""),"",Z52+Y52)</f>
        <v/>
      </c>
      <c r="AB52" s="36" t="n"/>
      <c r="AC52" s="34" t="n"/>
      <c r="AD52" s="36" t="n"/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n"/>
      <c r="C53" s="34" t="n"/>
      <c r="D53" s="34" t="n"/>
      <c r="E53" s="34" t="n"/>
      <c r="F53" s="36" t="n"/>
      <c r="G53" s="36" t="n"/>
      <c r="H53" s="36" t="n"/>
      <c r="I53" s="36" t="n"/>
      <c r="J53" s="36" t="n"/>
      <c r="K53" s="34" t="n"/>
      <c r="L53" s="34" t="n"/>
      <c r="M53" s="34" t="n"/>
      <c r="N53" s="34" t="n"/>
      <c r="O53" s="50">
        <f>IF(N(AH53)&gt;1,"중복 "&amp;AH53&amp;"곳"&amp;IF(AK53=1," · 최저가",IF(AND(N53="견적접수",R53&lt;&gt;"")," · 비쌈","")),"")</f>
        <v/>
      </c>
      <c r="P53" s="34" t="n"/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6" t="n"/>
      <c r="AA53" s="54">
        <f>IF(OR(Z53="",Y53=""),"",Z53+Y53)</f>
        <v/>
      </c>
      <c r="AB53" s="36" t="n"/>
      <c r="AC53" s="34" t="n"/>
      <c r="AD53" s="36" t="n"/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n"/>
      <c r="C54" s="34" t="n"/>
      <c r="D54" s="34" t="n"/>
      <c r="E54" s="34" t="n"/>
      <c r="F54" s="36" t="n"/>
      <c r="G54" s="36" t="n"/>
      <c r="H54" s="36" t="n"/>
      <c r="I54" s="36" t="n"/>
      <c r="J54" s="36" t="n"/>
      <c r="K54" s="34" t="n"/>
      <c r="L54" s="34" t="n"/>
      <c r="M54" s="34" t="n"/>
      <c r="N54" s="34" t="n"/>
      <c r="O54" s="50">
        <f>IF(N(AH54)&gt;1,"중복 "&amp;AH54&amp;"곳"&amp;IF(AK54=1," · 최저가",IF(AND(N54="견적접수",R54&lt;&gt;"")," · 비쌈","")),"")</f>
        <v/>
      </c>
      <c r="P54" s="34" t="n"/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6" t="n"/>
      <c r="AA54" s="54">
        <f>IF(OR(Z54="",Y54=""),"",Z54+Y54)</f>
        <v/>
      </c>
      <c r="AB54" s="36" t="n"/>
      <c r="AC54" s="34" t="n"/>
      <c r="AD54" s="36" t="n"/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n"/>
      <c r="C55" s="34" t="n"/>
      <c r="D55" s="34" t="n"/>
      <c r="E55" s="34" t="n"/>
      <c r="F55" s="36" t="n"/>
      <c r="G55" s="36" t="n"/>
      <c r="H55" s="36" t="n"/>
      <c r="I55" s="36" t="n"/>
      <c r="J55" s="36" t="n"/>
      <c r="K55" s="34" t="n"/>
      <c r="L55" s="34" t="n"/>
      <c r="M55" s="34" t="n"/>
      <c r="N55" s="34" t="n"/>
      <c r="O55" s="50">
        <f>IF(N(AH55)&gt;1,"중복 "&amp;AH55&amp;"곳"&amp;IF(AK55=1," · 최저가",IF(AND(N55="견적접수",R55&lt;&gt;"")," · 비쌈","")),"")</f>
        <v/>
      </c>
      <c r="P55" s="34" t="n"/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6" t="n"/>
      <c r="AA55" s="54">
        <f>IF(OR(Z55="",Y55=""),"",Z55+Y55)</f>
        <v/>
      </c>
      <c r="AB55" s="36" t="n"/>
      <c r="AC55" s="34" t="n"/>
      <c r="AD55" s="36" t="n"/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n"/>
      <c r="C56" s="34" t="n"/>
      <c r="D56" s="34" t="n"/>
      <c r="E56" s="34" t="n"/>
      <c r="F56" s="36" t="n"/>
      <c r="G56" s="36" t="n"/>
      <c r="H56" s="36" t="n"/>
      <c r="I56" s="36" t="n"/>
      <c r="J56" s="36" t="n"/>
      <c r="K56" s="34" t="n"/>
      <c r="L56" s="34" t="n"/>
      <c r="M56" s="34" t="n"/>
      <c r="N56" s="34" t="n"/>
      <c r="O56" s="50">
        <f>IF(N(AH56)&gt;1,"중복 "&amp;AH56&amp;"곳"&amp;IF(AK56=1," · 최저가",IF(AND(N56="견적접수",R56&lt;&gt;"")," · 비쌈","")),"")</f>
        <v/>
      </c>
      <c r="P56" s="34" t="n"/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6" t="n"/>
      <c r="AA56" s="54">
        <f>IF(OR(Z56="",Y56=""),"",Z56+Y56)</f>
        <v/>
      </c>
      <c r="AB56" s="36" t="n"/>
      <c r="AC56" s="34" t="n"/>
      <c r="AD56" s="36" t="n"/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4곳)" type="list">
      <formula1>=설정!$E$5:$E$8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MELICERTES</t>
        </is>
      </c>
      <c r="F1" s="57" t="inlineStr">
        <is>
          <t>IMO 9958303   ·   URGENT   ·   RFQ상 납품항/ETA: Sabetta, ETA 19-Oct-2026</t>
        </is>
      </c>
    </row>
    <row r="2" ht="24" customHeight="1">
      <c r="A2" s="41">
        <f>IFERROR(IF(N(INDEX(스케줄!$C$5:$C$14,MATCH("MELICERTES",스케줄!$A$5:$A$14,0)))=0,"다음 일정: 미정 (스케줄 시트에 입력)","다음 일정: "&amp;INDEX(스케줄!$B$5:$B$14,MATCH("MELICERTES",스케줄!$A$5:$A$14,0))&amp;"  "&amp;TEXT(INDEX(스케줄!$C$5:$C$14,MATCH("MELICERTES",스케줄!$A$5:$A$14,0)),"mm/dd")&amp;IF(N(INDEX(스케줄!$D$5:$D$14,MATCH("MELICERTES",스케줄!$A$5:$A$14,0)))=0,"","~"&amp;TEXT(INDEX(스케줄!$D$5:$D$14,MATCH("MELICERTES",스케줄!$A$5:$A$14,0)),"mm/dd"))),"")</f>
        <v/>
      </c>
      <c r="G2" s="42">
        <f>IFERROR(INDEX(스케줄!$I$5:$I$14,MATCH("MELICERTES",스케줄!$A$5:$A$14,0)),"")</f>
        <v/>
      </c>
      <c r="H2" s="43">
        <f>IFERROR(INDEX(스케줄!$J$5:$J$14,MATCH("MELICERTES",스케줄!$A$5:$A$14,0)),"")</f>
        <v/>
      </c>
      <c r="J2" s="44" t="inlineStr">
        <is>
          <t>출고 마감</t>
        </is>
      </c>
      <c r="K2" s="45">
        <f>IFERROR(INDEX(스케줄!$F$5:$F$14,MATCH("MELICERTES",스케줄!$A$5:$A$14,0)),"")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3</v>
      </c>
      <c r="E6" s="34" t="inlineStr">
        <is>
          <t>NORGREN</t>
        </is>
      </c>
      <c r="F6" s="36" t="inlineStr">
        <is>
          <t>Air Filter Element</t>
        </is>
      </c>
      <c r="G6" s="36" t="inlineStr">
        <is>
          <t>Hanwha-Man B&amp;W 5G70ME-C10.5-GA</t>
        </is>
      </c>
      <c r="H6" s="36" t="n"/>
      <c r="I6" s="36" t="inlineStr">
        <is>
          <t>Emission Control System 5672-0260-00001</t>
        </is>
      </c>
      <c r="J6" s="36" t="inlineStr">
        <is>
          <t>Service Kit F05G 40 MIC/ MAKER: NORGREN</t>
        </is>
      </c>
      <c r="K6" s="34" t="n">
        <v>100</v>
      </c>
      <c r="L6" s="34" t="inlineStr">
        <is>
          <t>pcs</t>
        </is>
      </c>
      <c r="M6" s="34" t="inlineStr">
        <is>
          <t>RMS</t>
        </is>
      </c>
      <c r="N6" s="34" t="inlineStr">
        <is>
          <t>견적접수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>
        <v>99500</v>
      </c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>
        <v>90</v>
      </c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inlineStr">
        <is>
          <t>OEM</t>
        </is>
      </c>
      <c r="X6" s="34" t="inlineStr">
        <is>
          <t>EX WORK BUSAN</t>
        </is>
      </c>
      <c r="Y6" s="34" t="n">
        <v>20</v>
      </c>
      <c r="Z6" s="55" t="n"/>
      <c r="AA6" s="54">
        <f>IF(OR(Z6="",Y6=""),"",Z6+Y6)</f>
        <v/>
      </c>
      <c r="AB6" s="36" t="inlineStr">
        <is>
          <t>D/T: 90 DAYS, OEM, EX WORK BUSAN [VALI: 20 DAYS]</t>
        </is>
      </c>
      <c r="AC6" s="34" t="inlineStr">
        <is>
          <t>검토중</t>
        </is>
      </c>
      <c r="AD6" s="36" t="inlineStr">
        <is>
          <t>긴급 – 납기 90일, 단축 가능 여부 확인</t>
        </is>
      </c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KQU-000116305</t>
        </is>
      </c>
      <c r="C7" s="34" t="inlineStr">
        <is>
          <t>03</t>
        </is>
      </c>
      <c r="D7" s="34" t="n">
        <v>1</v>
      </c>
      <c r="E7" s="34" t="inlineStr">
        <is>
          <t>DANFOSS</t>
        </is>
      </c>
      <c r="F7" s="36" t="inlineStr">
        <is>
          <t>Pressure transmitter DANFOSS</t>
        </is>
      </c>
      <c r="G7" s="36" t="inlineStr">
        <is>
          <t>DANFOSS</t>
        </is>
      </c>
      <c r="H7" s="36" t="inlineStr">
        <is>
          <t>MBS3350 / 0...6 BAR (060G6727)</t>
        </is>
      </c>
      <c r="I7" s="36" t="inlineStr">
        <is>
          <t>Main Engine</t>
        </is>
      </c>
      <c r="J7" s="36" t="n"/>
      <c r="K7" s="34" t="n">
        <v>1</v>
      </c>
      <c r="L7" s="34" t="inlineStr">
        <is>
          <t>PCE</t>
        </is>
      </c>
      <c r="M7" s="34" t="inlineStr">
        <is>
          <t>RMS</t>
        </is>
      </c>
      <c r="N7" s="34" t="inlineStr">
        <is>
          <t>견적접수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>
        <v>261500</v>
      </c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>
        <v>90</v>
      </c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inlineStr">
        <is>
          <t>GENUINE</t>
        </is>
      </c>
      <c r="X7" s="34" t="inlineStr">
        <is>
          <t>EX WORK BUSAN</t>
        </is>
      </c>
      <c r="Y7" s="34" t="n">
        <v>20</v>
      </c>
      <c r="Z7" s="55" t="n"/>
      <c r="AA7" s="54">
        <f>IF(OR(Z7="",Y7=""),"",Z7+Y7)</f>
        <v/>
      </c>
      <c r="AB7" s="36" t="inlineStr">
        <is>
          <t>ALL; D/T: 90 DAYS, GENUINE, EX WORK BUSAN [VALI: 20 DAYS]</t>
        </is>
      </c>
      <c r="AC7" s="34" t="inlineStr">
        <is>
          <t>검토중</t>
        </is>
      </c>
      <c r="AD7" s="36" t="inlineStr">
        <is>
          <t>긴급 – 납기 90일, 단축 가능 여부 확인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KQU-000116305</t>
        </is>
      </c>
      <c r="C8" s="34" t="inlineStr">
        <is>
          <t>03</t>
        </is>
      </c>
      <c r="D8" s="34" t="n">
        <v>1</v>
      </c>
      <c r="E8" s="34" t="inlineStr">
        <is>
          <t>DANFOSS</t>
        </is>
      </c>
      <c r="F8" s="36" t="inlineStr">
        <is>
          <t>Pressure transmitter DANFOSS</t>
        </is>
      </c>
      <c r="G8" s="36" t="inlineStr">
        <is>
          <t>DANFOSS</t>
        </is>
      </c>
      <c r="H8" s="36" t="inlineStr">
        <is>
          <t>MBS3350 / 0...6 BAR (060G6727)</t>
        </is>
      </c>
      <c r="I8" s="36" t="inlineStr">
        <is>
          <t>Main Engine</t>
        </is>
      </c>
      <c r="J8" s="36" t="inlineStr">
        <is>
          <t>AFS: 060G1476 (060G6727 대체)</t>
        </is>
      </c>
      <c r="K8" s="34" t="n">
        <v>1</v>
      </c>
      <c r="L8" s="34" t="inlineStr">
        <is>
          <t>PCE</t>
        </is>
      </c>
      <c r="M8" s="34" t="inlineStr">
        <is>
          <t>AFS</t>
        </is>
      </c>
      <c r="N8" s="34" t="inlineStr">
        <is>
          <t>견적접수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EUR</t>
        </is>
      </c>
      <c r="Q8" s="51" t="n">
        <v>309.54</v>
      </c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>
        <v>49</v>
      </c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n"/>
      <c r="X8" s="34" t="inlineStr">
        <is>
          <t>미기재 (AFS 네덜란드)</t>
        </is>
      </c>
      <c r="Y8" s="34" t="n"/>
      <c r="Z8" s="56" t="n">
        <v>46317</v>
      </c>
      <c r="AA8" s="54">
        <f>IF(OR(Z8="",Y8=""),"",Z8+Y8)</f>
        <v/>
      </c>
      <c r="AB8" s="36" t="inlineStr">
        <is>
          <t>[AFS Q.0000122662] MBS3350 0-6 BAR 060G1476 (ALT. 060G6727) MBS3350-1811-A6AB08-0 / *del time: 6-7 weeks* *item cannot be returned*</t>
        </is>
      </c>
      <c r="AC8" s="34" t="inlineStr">
        <is>
          <t>검토중</t>
        </is>
      </c>
      <c r="AD8" s="36" t="inlineStr">
        <is>
          <t>대체 코드 060G1476 호환 확인</t>
        </is>
      </c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KQU-000116305</t>
        </is>
      </c>
      <c r="C9" s="34" t="inlineStr">
        <is>
          <t>03</t>
        </is>
      </c>
      <c r="D9" s="34" t="n">
        <v>2</v>
      </c>
      <c r="E9" s="34" t="inlineStr">
        <is>
          <t>DANFOSS</t>
        </is>
      </c>
      <c r="F9" s="36" t="inlineStr">
        <is>
          <t>Pressure transmitter DANFOSS</t>
        </is>
      </c>
      <c r="G9" s="36" t="inlineStr">
        <is>
          <t>DANFOSS</t>
        </is>
      </c>
      <c r="H9" s="36" t="inlineStr">
        <is>
          <t>MBS3300 / -1…15 BAR (060G6736)</t>
        </is>
      </c>
      <c r="I9" s="36" t="inlineStr">
        <is>
          <t>Main Engine</t>
        </is>
      </c>
      <c r="J9" s="36" t="n"/>
      <c r="K9" s="34" t="n">
        <v>1</v>
      </c>
      <c r="L9" s="34" t="inlineStr">
        <is>
          <t>PCE</t>
        </is>
      </c>
      <c r="M9" s="34" t="inlineStr">
        <is>
          <t>RMS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KRW</t>
        </is>
      </c>
      <c r="Q9" s="51" t="n">
        <v>250000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90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inlineStr">
        <is>
          <t>GENUINE</t>
        </is>
      </c>
      <c r="X9" s="34" t="inlineStr">
        <is>
          <t>EX WORK BUSAN</t>
        </is>
      </c>
      <c r="Y9" s="34" t="n">
        <v>20</v>
      </c>
      <c r="Z9" s="55" t="n"/>
      <c r="AA9" s="54">
        <f>IF(OR(Z9="",Y9=""),"",Z9+Y9)</f>
        <v/>
      </c>
      <c r="AB9" s="36" t="inlineStr">
        <is>
          <t>ALL; D/T: 90 DAYS, GENUINE, EX WORK BUSAN [VALI: 20 DAYS]</t>
        </is>
      </c>
      <c r="AC9" s="34" t="inlineStr">
        <is>
          <t>검토중</t>
        </is>
      </c>
      <c r="AD9" s="36" t="inlineStr">
        <is>
          <t>긴급 – 납기 90일, 단축 가능 여부 확인</t>
        </is>
      </c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KQU-000116305</t>
        </is>
      </c>
      <c r="C10" s="34" t="inlineStr">
        <is>
          <t>03</t>
        </is>
      </c>
      <c r="D10" s="34" t="n">
        <v>2</v>
      </c>
      <c r="E10" s="34" t="inlineStr">
        <is>
          <t>DANFOSS</t>
        </is>
      </c>
      <c r="F10" s="36" t="inlineStr">
        <is>
          <t>Pressure transmitter DANFOSS</t>
        </is>
      </c>
      <c r="G10" s="36" t="inlineStr">
        <is>
          <t>DANFOSS</t>
        </is>
      </c>
      <c r="H10" s="36" t="inlineStr">
        <is>
          <t>MBS3300 / -1…15 BAR (060G6736)</t>
        </is>
      </c>
      <c r="I10" s="36" t="inlineStr">
        <is>
          <t>Main Engine</t>
        </is>
      </c>
      <c r="J10" s="36" t="n"/>
      <c r="K10" s="34" t="n">
        <v>1</v>
      </c>
      <c r="L10" s="34" t="inlineStr">
        <is>
          <t>PCE</t>
        </is>
      </c>
      <c r="M10" s="34" t="inlineStr">
        <is>
          <t>AFS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EUR</t>
        </is>
      </c>
      <c r="Q10" s="51" t="n">
        <v>286.89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49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n"/>
      <c r="X10" s="34" t="inlineStr">
        <is>
          <t>미기재 (AFS 네덜란드)</t>
        </is>
      </c>
      <c r="Y10" s="34" t="n"/>
      <c r="Z10" s="56" t="n">
        <v>46317</v>
      </c>
      <c r="AA10" s="54">
        <f>IF(OR(Z10="",Y10=""),"",Z10+Y10)</f>
        <v/>
      </c>
      <c r="AB10" s="36" t="inlineStr">
        <is>
          <t>[AFS Q.0000122662] MBS3300 -1/+15 BAR 060G6736 MBS3300-8911-A6GB08-2 ATEX / *del time: 6-7 weeks* *item cannot be returned*</t>
        </is>
      </c>
      <c r="AC10" s="34" t="inlineStr">
        <is>
          <t>검토중</t>
        </is>
      </c>
      <c r="AD10" s="36" t="n"/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KQU-000116305</t>
        </is>
      </c>
      <c r="C11" s="34" t="inlineStr">
        <is>
          <t>03</t>
        </is>
      </c>
      <c r="D11" s="34" t="n">
        <v>3</v>
      </c>
      <c r="E11" s="34" t="inlineStr">
        <is>
          <t>DANFOSS</t>
        </is>
      </c>
      <c r="F11" s="36" t="inlineStr">
        <is>
          <t>Pressure transmitter DANFOSS</t>
        </is>
      </c>
      <c r="G11" s="36" t="inlineStr">
        <is>
          <t>DANFOSS</t>
        </is>
      </c>
      <c r="H11" s="36" t="inlineStr">
        <is>
          <t>MBS9300 / -0.1 ... 0.2 BAR (064G5260)</t>
        </is>
      </c>
      <c r="I11" s="36" t="inlineStr">
        <is>
          <t>Main Engine</t>
        </is>
      </c>
      <c r="J11" s="36" t="n"/>
      <c r="K11" s="34" t="n">
        <v>1</v>
      </c>
      <c r="L11" s="34" t="inlineStr">
        <is>
          <t>PCE</t>
        </is>
      </c>
      <c r="M11" s="34" t="inlineStr">
        <is>
          <t>RMS</t>
        </is>
      </c>
      <c r="N11" s="34" t="inlineStr">
        <is>
          <t>견적접수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KRW</t>
        </is>
      </c>
      <c r="Q11" s="51" t="n">
        <v>337000</v>
      </c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>
        <v>90</v>
      </c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inlineStr">
        <is>
          <t>GENUINE</t>
        </is>
      </c>
      <c r="X11" s="34" t="inlineStr">
        <is>
          <t>EX WORK BUSAN</t>
        </is>
      </c>
      <c r="Y11" s="34" t="n">
        <v>20</v>
      </c>
      <c r="Z11" s="55" t="n"/>
      <c r="AA11" s="54">
        <f>IF(OR(Z11="",Y11=""),"",Z11+Y11)</f>
        <v/>
      </c>
      <c r="AB11" s="36" t="inlineStr">
        <is>
          <t>ALL; D/T: 90 DAYS, GENUINE, EX WORK BUSAN [VALI: 20 DAYS]</t>
        </is>
      </c>
      <c r="AC11" s="34" t="inlineStr">
        <is>
          <t>검토중</t>
        </is>
      </c>
      <c r="AD11" s="36" t="inlineStr">
        <is>
          <t>긴급 – 납기 90일, 단축 가능 여부 확인</t>
        </is>
      </c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KQU-000116305</t>
        </is>
      </c>
      <c r="C12" s="34" t="inlineStr">
        <is>
          <t>03</t>
        </is>
      </c>
      <c r="D12" s="34" t="n">
        <v>3</v>
      </c>
      <c r="E12" s="34" t="inlineStr">
        <is>
          <t>DANFOSS</t>
        </is>
      </c>
      <c r="F12" s="36" t="inlineStr">
        <is>
          <t>Pressure transmitter DANFOSS</t>
        </is>
      </c>
      <c r="G12" s="36" t="inlineStr">
        <is>
          <t>DANFOSS</t>
        </is>
      </c>
      <c r="H12" s="36" t="inlineStr">
        <is>
          <t>MBS9300 / -0.1 ... 0.2 BAR (064G5260)</t>
        </is>
      </c>
      <c r="I12" s="36" t="inlineStr">
        <is>
          <t>Main Engine</t>
        </is>
      </c>
      <c r="J12" s="36" t="n"/>
      <c r="K12" s="34" t="n">
        <v>1</v>
      </c>
      <c r="L12" s="34" t="inlineStr">
        <is>
          <t>PCE</t>
        </is>
      </c>
      <c r="M12" s="34" t="inlineStr">
        <is>
          <t>AFS</t>
        </is>
      </c>
      <c r="N12" s="34" t="inlineStr">
        <is>
          <t>견적접수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EUR</t>
        </is>
      </c>
      <c r="Q12" s="51" t="n">
        <v>359.88</v>
      </c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>
        <v>49</v>
      </c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n"/>
      <c r="X12" s="34" t="inlineStr">
        <is>
          <t>미기재 (AFS 네덜란드)</t>
        </is>
      </c>
      <c r="Y12" s="34" t="n"/>
      <c r="Z12" s="56" t="n">
        <v>46317</v>
      </c>
      <c r="AA12" s="54">
        <f>IF(OR(Z12="",Y12=""),"",Z12+Y12)</f>
        <v/>
      </c>
      <c r="AB12" s="36" t="inlineStr">
        <is>
          <t>[AFS Q.0000122662] MBS9300 -100/+200 MBAR 064G5260 MBS 9300-Q911-A1GB04-1 / *del time: 6-7 weeks* *item cannot be returned*</t>
        </is>
      </c>
      <c r="AC12" s="34" t="inlineStr">
        <is>
          <t>검토중</t>
        </is>
      </c>
      <c r="AD12" s="36" t="n"/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KQU-000116306</t>
        </is>
      </c>
      <c r="C13" s="34" t="inlineStr">
        <is>
          <t>04</t>
        </is>
      </c>
      <c r="D13" s="34" t="n">
        <v>2</v>
      </c>
      <c r="E13" s="34" t="inlineStr">
        <is>
          <t>WAGO</t>
        </is>
      </c>
      <c r="F13" s="36" t="inlineStr">
        <is>
          <t>SD Card for EGR O2 sensors</t>
        </is>
      </c>
      <c r="G13" s="36" t="inlineStr">
        <is>
          <t>WAGO / 758-879/000-001</t>
        </is>
      </c>
      <c r="H13" s="36" t="n"/>
      <c r="I13" s="36" t="inlineStr">
        <is>
          <t>ME EGR O2 Sensor</t>
        </is>
      </c>
      <c r="J13" s="36" t="n"/>
      <c r="K13" s="34" t="n">
        <v>3</v>
      </c>
      <c r="L13" s="34" t="inlineStr">
        <is>
          <t>pcs</t>
        </is>
      </c>
      <c r="M13" s="34" t="inlineStr">
        <is>
          <t>RMS</t>
        </is>
      </c>
      <c r="N13" s="34" t="inlineStr">
        <is>
          <t>공급불가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KRW</t>
        </is>
      </c>
      <c r="Q13" s="51" t="n"/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/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n"/>
      <c r="X13" s="34" t="n"/>
      <c r="Y13" s="34" t="n"/>
      <c r="Z13" s="55" t="n"/>
      <c r="AA13" s="54">
        <f>IF(OR(Z13="",Y13=""),"",Z13+Y13)</f>
        <v/>
      </c>
      <c r="AB13" s="36" t="inlineStr">
        <is>
          <t>NOT AVAILABLE</t>
        </is>
      </c>
      <c r="AC13" s="34" t="inlineStr">
        <is>
          <t>타업체 문의</t>
        </is>
      </c>
      <c r="AD13" s="36" t="inlineStr">
        <is>
          <t>타 업체 견적 요청</t>
        </is>
      </c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KQU-000116306</t>
        </is>
      </c>
      <c r="C14" s="34" t="inlineStr">
        <is>
          <t>04</t>
        </is>
      </c>
      <c r="D14" s="34" t="n">
        <v>2</v>
      </c>
      <c r="E14" s="34" t="inlineStr">
        <is>
          <t>WAGO</t>
        </is>
      </c>
      <c r="F14" s="36" t="inlineStr">
        <is>
          <t>SD Card for EGR O2 sensors</t>
        </is>
      </c>
      <c r="G14" s="36" t="inlineStr">
        <is>
          <t>WAGO / 758-879/000-001</t>
        </is>
      </c>
      <c r="H14" s="36" t="n"/>
      <c r="I14" s="36" t="inlineStr">
        <is>
          <t>ME EGR O2 Sensor</t>
        </is>
      </c>
      <c r="J14" s="36" t="inlineStr">
        <is>
          <t>AFS 형번 758-879/000-000 (요청 000-001)</t>
        </is>
      </c>
      <c r="K14" s="34" t="n">
        <v>3</v>
      </c>
      <c r="L14" s="34" t="inlineStr">
        <is>
          <t>pcs</t>
        </is>
      </c>
      <c r="M14" s="34" t="inlineStr">
        <is>
          <t>AFS</t>
        </is>
      </c>
      <c r="N14" s="34" t="inlineStr">
        <is>
          <t>견적접수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EUR</t>
        </is>
      </c>
      <c r="Q14" s="51" t="n">
        <v>174.41</v>
      </c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>
        <v>42</v>
      </c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n"/>
      <c r="X14" s="34" t="inlineStr">
        <is>
          <t>미기재 (AFS 네덜란드)</t>
        </is>
      </c>
      <c r="Y14" s="34" t="n"/>
      <c r="Z14" s="56" t="n">
        <v>46317</v>
      </c>
      <c r="AA14" s="54">
        <f>IF(OR(Z14="",Y14=""),"",Z14+Y14)</f>
        <v/>
      </c>
      <c r="AB14" s="36" t="inlineStr">
        <is>
          <t>[AFS Q.0000122664] WAGO 1 GB INDUSTRIAL SD CARD 758-879/000-000 / *del time: 4-6 weeks* *item cannot be returned*</t>
        </is>
      </c>
      <c r="AC14" s="34" t="inlineStr">
        <is>
          <t>검토중</t>
        </is>
      </c>
      <c r="AD14" s="36" t="inlineStr">
        <is>
          <t>AFS 견적서엔 AEOLUS 표기 – RFQ상 MELICERTES 품목 / 형번 끝자리(000 vs 001) 확인</t>
        </is>
      </c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KQU-000116308</t>
        </is>
      </c>
      <c r="C15" s="34" t="inlineStr">
        <is>
          <t>07</t>
        </is>
      </c>
      <c r="D15" s="34" t="n">
        <v>1</v>
      </c>
      <c r="E15" s="34" t="inlineStr">
        <is>
          <t>VEGA</t>
        </is>
      </c>
      <c r="F15" s="36" t="inlineStr">
        <is>
          <t>DIFF. PRESS TRANSMITTER MASTER</t>
        </is>
      </c>
      <c r="G15" s="36" t="inlineStr">
        <is>
          <t>VEGABAR 83</t>
        </is>
      </c>
      <c r="H15" s="36" t="inlineStr">
        <is>
          <t>S/N:6290676 Order NO.:3026652/1 2022</t>
        </is>
      </c>
      <c r="I15" s="36" t="inlineStr">
        <is>
          <t>Main Engine EGR Water (1701)</t>
        </is>
      </c>
      <c r="J15" s="36" t="n"/>
      <c r="K15" s="34" t="n">
        <v>1</v>
      </c>
      <c r="L15" s="34" t="inlineStr">
        <is>
          <t>pce</t>
        </is>
      </c>
      <c r="M15" s="34" t="inlineStr">
        <is>
          <t>RMS</t>
        </is>
      </c>
      <c r="N15" s="34" t="inlineStr">
        <is>
          <t>공급불가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KRW</t>
        </is>
      </c>
      <c r="Q15" s="51" t="n"/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/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n"/>
      <c r="X15" s="34" t="n"/>
      <c r="Y15" s="34" t="n"/>
      <c r="Z15" s="55" t="n"/>
      <c r="AA15" s="54">
        <f>IF(OR(Z15="",Y15=""),"",Z15+Y15)</f>
        <v/>
      </c>
      <c r="AB15" s="36" t="inlineStr">
        <is>
          <t>NOT AVAILABLE</t>
        </is>
      </c>
      <c r="AC15" s="34" t="inlineStr">
        <is>
          <t>타업체 문의</t>
        </is>
      </c>
      <c r="AD15" s="36" t="inlineStr">
        <is>
          <t>타 업체 견적 요청</t>
        </is>
      </c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KQU-000116308</t>
        </is>
      </c>
      <c r="C16" s="34" t="inlineStr">
        <is>
          <t>07</t>
        </is>
      </c>
      <c r="D16" s="34" t="n">
        <v>1</v>
      </c>
      <c r="E16" s="34" t="inlineStr">
        <is>
          <t>VEGA</t>
        </is>
      </c>
      <c r="F16" s="36" t="inlineStr">
        <is>
          <t>DIFF. PRESS TRANSMITTER MASTER</t>
        </is>
      </c>
      <c r="G16" s="36" t="inlineStr">
        <is>
          <t>VEGABAR 83</t>
        </is>
      </c>
      <c r="H16" s="36" t="inlineStr">
        <is>
          <t>S/N:6290676 Order NO.:3026652/1 2022</t>
        </is>
      </c>
      <c r="I16" s="36" t="inlineStr">
        <is>
          <t>Main Engine EGR Water (1701)</t>
        </is>
      </c>
      <c r="J16" s="36" t="inlineStr">
        <is>
          <t>AFS 제안: VEGABAR 83 B83.AMDUSGGMSXKI1XX</t>
        </is>
      </c>
      <c r="K16" s="34" t="n">
        <v>1</v>
      </c>
      <c r="L16" s="34" t="inlineStr">
        <is>
          <t>pce</t>
        </is>
      </c>
      <c r="M16" s="34" t="inlineStr">
        <is>
          <t>AFS</t>
        </is>
      </c>
      <c r="N16" s="34" t="inlineStr">
        <is>
          <t>견적접수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EUR</t>
        </is>
      </c>
      <c r="Q16" s="51" t="n">
        <v>1441.63</v>
      </c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>
        <v>8</v>
      </c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n"/>
      <c r="X16" s="34" t="inlineStr">
        <is>
          <t>미기재 (AFS 네덜란드)</t>
        </is>
      </c>
      <c r="Y16" s="34" t="n"/>
      <c r="Z16" s="56" t="n">
        <v>46317</v>
      </c>
      <c r="AA16" s="54">
        <f>IF(OR(Z16="",Y16=""),"",Z16+Y16)</f>
        <v/>
      </c>
      <c r="AB16" s="36" t="inlineStr">
        <is>
          <t>[AFS Q.0000122667] VEGABAR 83 B83.AMDUSGGMSXKI1XX / *del time: 8 days* *item cannot be returned*</t>
        </is>
      </c>
      <c r="AC16" s="34" t="inlineStr">
        <is>
          <t>검토중</t>
        </is>
      </c>
      <c r="AD16" s="36" t="inlineStr">
        <is>
          <t>반품 불가 조건</t>
        </is>
      </c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KQU-000116308</t>
        </is>
      </c>
      <c r="C17" s="34" t="inlineStr">
        <is>
          <t>07</t>
        </is>
      </c>
      <c r="D17" s="34" t="n">
        <v>2</v>
      </c>
      <c r="E17" s="34" t="inlineStr">
        <is>
          <t>VEGA</t>
        </is>
      </c>
      <c r="F17" s="36" t="inlineStr">
        <is>
          <t>DIFF. PRESS TRANSMITTER SLAVE</t>
        </is>
      </c>
      <c r="G17" s="36" t="inlineStr">
        <is>
          <t>VEGABAR 83</t>
        </is>
      </c>
      <c r="H17" s="36" t="inlineStr">
        <is>
          <t>S/N: 60392712 Order NO.:3029976/2 2022</t>
        </is>
      </c>
      <c r="I17" s="36" t="inlineStr">
        <is>
          <t>Main Engine EGR Water (1701)</t>
        </is>
      </c>
      <c r="J17" s="36" t="n"/>
      <c r="K17" s="34" t="n">
        <v>1</v>
      </c>
      <c r="L17" s="34" t="inlineStr">
        <is>
          <t>pce</t>
        </is>
      </c>
      <c r="M17" s="34" t="inlineStr">
        <is>
          <t>RMS</t>
        </is>
      </c>
      <c r="N17" s="34" t="inlineStr">
        <is>
          <t>공급불가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KRW</t>
        </is>
      </c>
      <c r="Q17" s="51" t="n"/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/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n"/>
      <c r="X17" s="34" t="n"/>
      <c r="Y17" s="34" t="n"/>
      <c r="Z17" s="55" t="n"/>
      <c r="AA17" s="54">
        <f>IF(OR(Z17="",Y17=""),"",Z17+Y17)</f>
        <v/>
      </c>
      <c r="AB17" s="36" t="inlineStr">
        <is>
          <t>NOT AVAILABLE</t>
        </is>
      </c>
      <c r="AC17" s="34" t="inlineStr">
        <is>
          <t>타업체 문의</t>
        </is>
      </c>
      <c r="AD17" s="36" t="inlineStr">
        <is>
          <t>타 업체 견적 요청</t>
        </is>
      </c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inlineStr">
        <is>
          <t>KQU-000116308</t>
        </is>
      </c>
      <c r="C18" s="34" t="inlineStr">
        <is>
          <t>07</t>
        </is>
      </c>
      <c r="D18" s="34" t="n">
        <v>2</v>
      </c>
      <c r="E18" s="34" t="inlineStr">
        <is>
          <t>VEGA</t>
        </is>
      </c>
      <c r="F18" s="36" t="inlineStr">
        <is>
          <t>DIFF. PRESS TRANSMITTER SLAVE</t>
        </is>
      </c>
      <c r="G18" s="36" t="inlineStr">
        <is>
          <t>VEGABAR 83</t>
        </is>
      </c>
      <c r="H18" s="36" t="inlineStr">
        <is>
          <t>S/N: 60392712 Order NO.:3029976/2 2022</t>
        </is>
      </c>
      <c r="I18" s="36" t="inlineStr">
        <is>
          <t>Main Engine EGR Water (1701)</t>
        </is>
      </c>
      <c r="J18" s="36" t="inlineStr">
        <is>
          <t>AFS 제안: VEGABAR 83 B83.AMDUSGGMHXKI1AX</t>
        </is>
      </c>
      <c r="K18" s="34" t="n">
        <v>1</v>
      </c>
      <c r="L18" s="34" t="inlineStr">
        <is>
          <t>pce</t>
        </is>
      </c>
      <c r="M18" s="34" t="inlineStr">
        <is>
          <t>AFS</t>
        </is>
      </c>
      <c r="N18" s="34" t="inlineStr">
        <is>
          <t>견적접수</t>
        </is>
      </c>
      <c r="O18" s="50">
        <f>IF(N(AH18)&gt;1,"중복 "&amp;AH18&amp;"곳"&amp;IF(AK18=1," · 최저가",IF(AND(N18="견적접수",R18&lt;&gt;"")," · 비쌈","")),"")</f>
        <v/>
      </c>
      <c r="P18" s="34" t="inlineStr">
        <is>
          <t>EUR</t>
        </is>
      </c>
      <c r="Q18" s="51" t="n">
        <v>1696.66</v>
      </c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>
        <v>8</v>
      </c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n"/>
      <c r="X18" s="34" t="inlineStr">
        <is>
          <t>미기재 (AFS 네덜란드)</t>
        </is>
      </c>
      <c r="Y18" s="34" t="n"/>
      <c r="Z18" s="56" t="n">
        <v>46317</v>
      </c>
      <c r="AA18" s="54">
        <f>IF(OR(Z18="",Y18=""),"",Z18+Y18)</f>
        <v/>
      </c>
      <c r="AB18" s="36" t="inlineStr">
        <is>
          <t>[AFS Q.0000122667] VEGABAR 83 B83.AMDUSGGMHXKI1AX / *del time: 8 days* *item cannot be returned*</t>
        </is>
      </c>
      <c r="AC18" s="34" t="inlineStr">
        <is>
          <t>검토중</t>
        </is>
      </c>
      <c r="AD18" s="36" t="inlineStr">
        <is>
          <t>반품 불가 조건</t>
        </is>
      </c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inlineStr">
        <is>
          <t>KQU-000116309</t>
        </is>
      </c>
      <c r="C19" s="34" t="inlineStr">
        <is>
          <t>08</t>
        </is>
      </c>
      <c r="D19" s="34" t="n">
        <v>1</v>
      </c>
      <c r="E19" s="34" t="inlineStr">
        <is>
          <t>SIEMENS</t>
        </is>
      </c>
      <c r="F19" s="36" t="inlineStr">
        <is>
          <t>Ip Converter Siemens Sipart sp2</t>
        </is>
      </c>
      <c r="G19" s="36" t="inlineStr">
        <is>
          <t>Siemens</t>
        </is>
      </c>
      <c r="H19" s="36" t="inlineStr">
        <is>
          <t>C73451-A430-D80</t>
        </is>
      </c>
      <c r="I19" s="36" t="inlineStr">
        <is>
          <t>Main engine</t>
        </is>
      </c>
      <c r="J19" s="36" t="n"/>
      <c r="K19" s="34" t="n">
        <v>2</v>
      </c>
      <c r="L19" s="34" t="inlineStr">
        <is>
          <t>pcs</t>
        </is>
      </c>
      <c r="M19" s="34" t="inlineStr">
        <is>
          <t>RMS</t>
        </is>
      </c>
      <c r="N19" s="34" t="inlineStr">
        <is>
          <t>견적접수</t>
        </is>
      </c>
      <c r="O19" s="50">
        <f>IF(N(AH19)&gt;1,"중복 "&amp;AH19&amp;"곳"&amp;IF(AK19=1," · 최저가",IF(AND(N19="견적접수",R19&lt;&gt;"")," · 비쌈","")),"")</f>
        <v/>
      </c>
      <c r="P19" s="34" t="inlineStr">
        <is>
          <t>KRW</t>
        </is>
      </c>
      <c r="Q19" s="51" t="n">
        <v>870000</v>
      </c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>
        <v>60</v>
      </c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inlineStr">
        <is>
          <t>OEM</t>
        </is>
      </c>
      <c r="X19" s="34" t="inlineStr">
        <is>
          <t>EX WORK BUSAN</t>
        </is>
      </c>
      <c r="Y19" s="34" t="n">
        <v>20</v>
      </c>
      <c r="Z19" s="55" t="n"/>
      <c r="AA19" s="54">
        <f>IF(OR(Z19="",Y19=""),"",Z19+Y19)</f>
        <v/>
      </c>
      <c r="AB19" s="36" t="inlineStr">
        <is>
          <t>D/T: 60 DAYS, OEM, EX WORK BUSAN [VALI: 20 DAYS]</t>
        </is>
      </c>
      <c r="AC19" s="34" t="inlineStr">
        <is>
          <t>검토중</t>
        </is>
      </c>
      <c r="AD19" s="36" t="inlineStr">
        <is>
          <t>긴급 – 납기 60일, 단축 가능 여부 확인</t>
        </is>
      </c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inlineStr">
        <is>
          <t>KQU-000116313</t>
        </is>
      </c>
      <c r="C20" s="34" t="inlineStr">
        <is>
          <t>15</t>
        </is>
      </c>
      <c r="D20" s="34" t="n">
        <v>1</v>
      </c>
      <c r="E20" s="34" t="inlineStr">
        <is>
          <t>AQUAFILTER</t>
        </is>
      </c>
      <c r="F20" s="36" t="inlineStr">
        <is>
          <t>AIPRO-20M-QM</t>
        </is>
      </c>
      <c r="G20" s="36" t="inlineStr">
        <is>
          <t>TYPE: AQUAFILTER EXCITO-5-B</t>
        </is>
      </c>
      <c r="H20" s="36" t="n"/>
      <c r="I20" s="36" t="inlineStr">
        <is>
          <t>COMPONENT FOR WATER FOUNTAIN FILTERS</t>
        </is>
      </c>
      <c r="J20" s="36" t="n"/>
      <c r="K20" s="34" t="n">
        <v>6</v>
      </c>
      <c r="L20" s="34" t="inlineStr">
        <is>
          <t>PCS</t>
        </is>
      </c>
      <c r="M20" s="34" t="inlineStr">
        <is>
          <t>RMS</t>
        </is>
      </c>
      <c r="N20" s="34" t="inlineStr">
        <is>
          <t>확인필요</t>
        </is>
      </c>
      <c r="O20" s="50">
        <f>IF(N(AH20)&gt;1,"중복 "&amp;AH20&amp;"곳"&amp;IF(AK20=1," · 최저가",IF(AND(N20="견적접수",R20&lt;&gt;"")," · 비쌈","")),"")</f>
        <v/>
      </c>
      <c r="P20" s="34" t="inlineStr">
        <is>
          <t>KRW</t>
        </is>
      </c>
      <c r="Q20" s="51" t="n"/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/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n"/>
      <c r="X20" s="34" t="n"/>
      <c r="Y20" s="34" t="n"/>
      <c r="Z20" s="55" t="n"/>
      <c r="AA20" s="54">
        <f>IF(OR(Z20="",Y20=""),"",Z20+Y20)</f>
        <v/>
      </c>
      <c r="AB20" s="36" t="inlineStr">
        <is>
          <t>NEED TO CHECK ACTUAL PICTURES</t>
        </is>
      </c>
      <c r="AC20" s="34" t="inlineStr">
        <is>
          <t>정보 송부필요</t>
        </is>
      </c>
      <c r="AD20" s="36" t="inlineStr">
        <is>
          <t>실물 사진 RMS에 송부</t>
        </is>
      </c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inlineStr">
        <is>
          <t>KQU-000116313</t>
        </is>
      </c>
      <c r="C21" s="34" t="inlineStr">
        <is>
          <t>15</t>
        </is>
      </c>
      <c r="D21" s="34" t="n">
        <v>2</v>
      </c>
      <c r="E21" s="34" t="inlineStr">
        <is>
          <t>AQUAFILTER</t>
        </is>
      </c>
      <c r="F21" s="36" t="inlineStr">
        <is>
          <t>AISTRO-2-QM</t>
        </is>
      </c>
      <c r="G21" s="36" t="inlineStr">
        <is>
          <t>TYPE: AQUAFILTER EXCITO-5-B</t>
        </is>
      </c>
      <c r="H21" s="36" t="n"/>
      <c r="I21" s="36" t="inlineStr">
        <is>
          <t>COMPONENT FOR WATER FOUNTAIN FILTERS</t>
        </is>
      </c>
      <c r="J21" s="36" t="n"/>
      <c r="K21" s="34" t="n">
        <v>6</v>
      </c>
      <c r="L21" s="34" t="inlineStr">
        <is>
          <t>PCS</t>
        </is>
      </c>
      <c r="M21" s="34" t="inlineStr">
        <is>
          <t>RMS</t>
        </is>
      </c>
      <c r="N21" s="34" t="inlineStr">
        <is>
          <t>확인필요</t>
        </is>
      </c>
      <c r="O21" s="50">
        <f>IF(N(AH21)&gt;1,"중복 "&amp;AH21&amp;"곳"&amp;IF(AK21=1," · 최저가",IF(AND(N21="견적접수",R21&lt;&gt;"")," · 비쌈","")),"")</f>
        <v/>
      </c>
      <c r="P21" s="34" t="inlineStr">
        <is>
          <t>KRW</t>
        </is>
      </c>
      <c r="Q21" s="51" t="n"/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/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n"/>
      <c r="X21" s="34" t="n"/>
      <c r="Y21" s="34" t="n"/>
      <c r="Z21" s="55" t="n"/>
      <c r="AA21" s="54">
        <f>IF(OR(Z21="",Y21=""),"",Z21+Y21)</f>
        <v/>
      </c>
      <c r="AB21" s="36" t="inlineStr">
        <is>
          <t>NEED TO CHECK ACTUAL PICTURES</t>
        </is>
      </c>
      <c r="AC21" s="34" t="inlineStr">
        <is>
          <t>정보 송부필요</t>
        </is>
      </c>
      <c r="AD21" s="36" t="inlineStr">
        <is>
          <t>실물 사진 RMS에 송부</t>
        </is>
      </c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inlineStr">
        <is>
          <t>KQU-000116313</t>
        </is>
      </c>
      <c r="C22" s="34" t="inlineStr">
        <is>
          <t>15</t>
        </is>
      </c>
      <c r="D22" s="34" t="n">
        <v>3</v>
      </c>
      <c r="E22" s="34" t="inlineStr">
        <is>
          <t>AQUAFILTER</t>
        </is>
      </c>
      <c r="F22" s="36" t="inlineStr">
        <is>
          <t>AICRO-3-QM</t>
        </is>
      </c>
      <c r="G22" s="36" t="inlineStr">
        <is>
          <t>TYPE: AQUAFILTER EXCITO-5-B</t>
        </is>
      </c>
      <c r="H22" s="36" t="n"/>
      <c r="I22" s="36" t="inlineStr">
        <is>
          <t>COMPONENT FOR WATER FOUNTAIN FILTERS</t>
        </is>
      </c>
      <c r="J22" s="36" t="n"/>
      <c r="K22" s="34" t="n">
        <v>6</v>
      </c>
      <c r="L22" s="34" t="inlineStr">
        <is>
          <t>PCS</t>
        </is>
      </c>
      <c r="M22" s="34" t="inlineStr">
        <is>
          <t>RMS</t>
        </is>
      </c>
      <c r="N22" s="34" t="inlineStr">
        <is>
          <t>확인필요</t>
        </is>
      </c>
      <c r="O22" s="50">
        <f>IF(N(AH22)&gt;1,"중복 "&amp;AH22&amp;"곳"&amp;IF(AK22=1," · 최저가",IF(AND(N22="견적접수",R22&lt;&gt;"")," · 비쌈","")),"")</f>
        <v/>
      </c>
      <c r="P22" s="34" t="inlineStr">
        <is>
          <t>KRW</t>
        </is>
      </c>
      <c r="Q22" s="51" t="n"/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n"/>
      <c r="Y22" s="34" t="n"/>
      <c r="Z22" s="55" t="n"/>
      <c r="AA22" s="54">
        <f>IF(OR(Z22="",Y22=""),"",Z22+Y22)</f>
        <v/>
      </c>
      <c r="AB22" s="36" t="inlineStr">
        <is>
          <t>NEED TO CHECK ACTUAL PICTURES</t>
        </is>
      </c>
      <c r="AC22" s="34" t="inlineStr">
        <is>
          <t>정보 송부필요</t>
        </is>
      </c>
      <c r="AD22" s="36" t="inlineStr">
        <is>
          <t>실물 사진 RMS에 송부</t>
        </is>
      </c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inlineStr">
        <is>
          <t>KQU-000116313</t>
        </is>
      </c>
      <c r="C23" s="34" t="inlineStr">
        <is>
          <t>15</t>
        </is>
      </c>
      <c r="D23" s="34" t="n">
        <v>4</v>
      </c>
      <c r="E23" s="34" t="inlineStr">
        <is>
          <t>AQUAFILTER</t>
        </is>
      </c>
      <c r="F23" s="36" t="inlineStr">
        <is>
          <t>AICRO-4-QM</t>
        </is>
      </c>
      <c r="G23" s="36" t="inlineStr">
        <is>
          <t>TYPE: AQUAFILTER EXCITO-5-B</t>
        </is>
      </c>
      <c r="H23" s="36" t="n"/>
      <c r="I23" s="36" t="inlineStr">
        <is>
          <t>COMPONENT FOR WATER FOUNTAIN FILTERS</t>
        </is>
      </c>
      <c r="J23" s="36" t="n"/>
      <c r="K23" s="34" t="n">
        <v>6</v>
      </c>
      <c r="L23" s="34" t="inlineStr">
        <is>
          <t>PCS</t>
        </is>
      </c>
      <c r="M23" s="34" t="inlineStr">
        <is>
          <t>RMS</t>
        </is>
      </c>
      <c r="N23" s="34" t="inlineStr">
        <is>
          <t>확인필요</t>
        </is>
      </c>
      <c r="O23" s="50">
        <f>IF(N(AH23)&gt;1,"중복 "&amp;AH23&amp;"곳"&amp;IF(AK23=1," · 최저가",IF(AND(N23="견적접수",R23&lt;&gt;"")," · 비쌈","")),"")</f>
        <v/>
      </c>
      <c r="P23" s="34" t="inlineStr">
        <is>
          <t>KRW</t>
        </is>
      </c>
      <c r="Q23" s="51" t="n"/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/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n"/>
      <c r="Y23" s="34" t="n"/>
      <c r="Z23" s="55" t="n"/>
      <c r="AA23" s="54">
        <f>IF(OR(Z23="",Y23=""),"",Z23+Y23)</f>
        <v/>
      </c>
      <c r="AB23" s="36" t="inlineStr">
        <is>
          <t>NEED TO CHECK ACTUAL PICTURES</t>
        </is>
      </c>
      <c r="AC23" s="34" t="inlineStr">
        <is>
          <t>정보 송부필요</t>
        </is>
      </c>
      <c r="AD23" s="36" t="inlineStr">
        <is>
          <t>실물 사진 RMS에 송부</t>
        </is>
      </c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inlineStr">
        <is>
          <t>KQU-000116313</t>
        </is>
      </c>
      <c r="C24" s="34" t="inlineStr">
        <is>
          <t>15</t>
        </is>
      </c>
      <c r="D24" s="34" t="n">
        <v>5</v>
      </c>
      <c r="E24" s="34" t="inlineStr">
        <is>
          <t>AQUAFILTER</t>
        </is>
      </c>
      <c r="F24" s="36" t="inlineStr">
        <is>
          <t>UF MEMBRANE</t>
        </is>
      </c>
      <c r="G24" s="36" t="inlineStr">
        <is>
          <t>TYPE: AQUAFILTER EXCITO-5-B</t>
        </is>
      </c>
      <c r="H24" s="36" t="n"/>
      <c r="I24" s="36" t="inlineStr">
        <is>
          <t>COMPONENT FOR WATER FOUNTAIN FILTERS</t>
        </is>
      </c>
      <c r="J24" s="36" t="n"/>
      <c r="K24" s="34" t="n">
        <v>6</v>
      </c>
      <c r="L24" s="34" t="inlineStr">
        <is>
          <t>PCS</t>
        </is>
      </c>
      <c r="M24" s="34" t="inlineStr">
        <is>
          <t>RMS</t>
        </is>
      </c>
      <c r="N24" s="34" t="inlineStr">
        <is>
          <t>확인필요</t>
        </is>
      </c>
      <c r="O24" s="50">
        <f>IF(N(AH24)&gt;1,"중복 "&amp;AH24&amp;"곳"&amp;IF(AK24=1," · 최저가",IF(AND(N24="견적접수",R24&lt;&gt;"")," · 비쌈","")),"")</f>
        <v/>
      </c>
      <c r="P24" s="34" t="inlineStr">
        <is>
          <t>KRW</t>
        </is>
      </c>
      <c r="Q24" s="51" t="n"/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/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n"/>
      <c r="X24" s="34" t="n"/>
      <c r="Y24" s="34" t="n"/>
      <c r="Z24" s="55" t="n"/>
      <c r="AA24" s="54">
        <f>IF(OR(Z24="",Y24=""),"",Z24+Y24)</f>
        <v/>
      </c>
      <c r="AB24" s="36" t="inlineStr">
        <is>
          <t>NEED TO CHECK ACTUAL PICTURES</t>
        </is>
      </c>
      <c r="AC24" s="34" t="inlineStr">
        <is>
          <t>정보 송부필요</t>
        </is>
      </c>
      <c r="AD24" s="36" t="inlineStr">
        <is>
          <t>실물 사진 RMS에 송부</t>
        </is>
      </c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inlineStr">
        <is>
          <t>KQU-000116301</t>
        </is>
      </c>
      <c r="C25" s="34" t="inlineStr">
        <is>
          <t>27</t>
        </is>
      </c>
      <c r="D25" s="34" t="n">
        <v>1</v>
      </c>
      <c r="E25" s="34" t="inlineStr">
        <is>
          <t>MRC</t>
        </is>
      </c>
      <c r="F25" s="36" t="inlineStr">
        <is>
          <t>Handset with cord</t>
        </is>
      </c>
      <c r="G25" s="36" t="inlineStr">
        <is>
          <t>MRC / LVD -115D</t>
        </is>
      </c>
      <c r="H25" s="36" t="n"/>
      <c r="I25" s="36" t="inlineStr">
        <is>
          <t>Telephone system</t>
        </is>
      </c>
      <c r="J25" s="36" t="inlineStr">
        <is>
          <t>RMS: 전화기 ASSY로 견적</t>
        </is>
      </c>
      <c r="K25" s="34" t="n">
        <v>2</v>
      </c>
      <c r="L25" s="34" t="inlineStr">
        <is>
          <t>pcs</t>
        </is>
      </c>
      <c r="M25" s="34" t="inlineStr">
        <is>
          <t>RMS</t>
        </is>
      </c>
      <c r="N25" s="34" t="inlineStr">
        <is>
          <t>견적접수</t>
        </is>
      </c>
      <c r="O25" s="50">
        <f>IF(N(AH25)&gt;1,"중복 "&amp;AH25&amp;"곳"&amp;IF(AK25=1," · 최저가",IF(AND(N25="견적접수",R25&lt;&gt;"")," · 비쌈","")),"")</f>
        <v/>
      </c>
      <c r="P25" s="34" t="inlineStr">
        <is>
          <t>KRW</t>
        </is>
      </c>
      <c r="Q25" s="51" t="n">
        <v>390000</v>
      </c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>
        <v>14</v>
      </c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inlineStr">
        <is>
          <t>COMPATIBLE</t>
        </is>
      </c>
      <c r="X25" s="34" t="inlineStr">
        <is>
          <t>EX WORK BUSAN</t>
        </is>
      </c>
      <c r="Y25" s="34" t="n"/>
      <c r="Z25" s="55" t="n"/>
      <c r="AA25" s="54">
        <f>IF(OR(Z25="",Y25=""),"",Z25+Y25)</f>
        <v/>
      </c>
      <c r="AB25" s="36" t="inlineStr">
        <is>
          <t>QUOTE AS TELEPHONE ASSY &amp; NEED TO CHECK IP ADDRESS, ID &amp; PASSWORD // D/T: 10 WORKING DAYS, COMPATIBLE, EX WORK BUSAN</t>
        </is>
      </c>
      <c r="AC25" s="34" t="inlineStr">
        <is>
          <t>정보 송부필요</t>
        </is>
      </c>
      <c r="AD25" s="36" t="inlineStr">
        <is>
          <t>IP 주소·ID·비밀번호 확인해 RMS 회신 / 호환품(COMPATIBLE) 승인 여부 / 유효기간 미기재</t>
        </is>
      </c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n"/>
      <c r="C26" s="34" t="n"/>
      <c r="D26" s="34" t="n"/>
      <c r="E26" s="34" t="n"/>
      <c r="F26" s="36" t="n"/>
      <c r="G26" s="36" t="n"/>
      <c r="H26" s="36" t="n"/>
      <c r="I26" s="36" t="n"/>
      <c r="J26" s="36" t="n"/>
      <c r="K26" s="34" t="n"/>
      <c r="L26" s="34" t="n"/>
      <c r="M26" s="34" t="n"/>
      <c r="N26" s="34" t="n"/>
      <c r="O26" s="50">
        <f>IF(N(AH26)&gt;1,"중복 "&amp;AH26&amp;"곳"&amp;IF(AK26=1," · 최저가",IF(AND(N26="견적접수",R26&lt;&gt;"")," · 비쌈","")),"")</f>
        <v/>
      </c>
      <c r="P26" s="34" t="n"/>
      <c r="Q26" s="51" t="n"/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/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n"/>
      <c r="X26" s="34" t="n"/>
      <c r="Y26" s="34" t="n"/>
      <c r="Z26" s="56" t="n"/>
      <c r="AA26" s="54">
        <f>IF(OR(Z26="",Y26=""),"",Z26+Y26)</f>
        <v/>
      </c>
      <c r="AB26" s="36" t="n"/>
      <c r="AC26" s="34" t="n"/>
      <c r="AD26" s="36" t="n"/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n"/>
      <c r="C27" s="34" t="n"/>
      <c r="D27" s="34" t="n"/>
      <c r="E27" s="34" t="n"/>
      <c r="F27" s="36" t="n"/>
      <c r="G27" s="36" t="n"/>
      <c r="H27" s="36" t="n"/>
      <c r="I27" s="36" t="n"/>
      <c r="J27" s="36" t="n"/>
      <c r="K27" s="34" t="n"/>
      <c r="L27" s="34" t="n"/>
      <c r="M27" s="34" t="n"/>
      <c r="N27" s="34" t="n"/>
      <c r="O27" s="50">
        <f>IF(N(AH27)&gt;1,"중복 "&amp;AH27&amp;"곳"&amp;IF(AK27=1," · 최저가",IF(AND(N27="견적접수",R27&lt;&gt;"")," · 비쌈","")),"")</f>
        <v/>
      </c>
      <c r="P27" s="34" t="n"/>
      <c r="Q27" s="51" t="n"/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/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n"/>
      <c r="X27" s="34" t="n"/>
      <c r="Y27" s="34" t="n"/>
      <c r="Z27" s="56" t="n"/>
      <c r="AA27" s="54">
        <f>IF(OR(Z27="",Y27=""),"",Z27+Y27)</f>
        <v/>
      </c>
      <c r="AB27" s="36" t="n"/>
      <c r="AC27" s="34" t="n"/>
      <c r="AD27" s="36" t="n"/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n"/>
      <c r="C28" s="34" t="n"/>
      <c r="D28" s="34" t="n"/>
      <c r="E28" s="34" t="n"/>
      <c r="F28" s="36" t="n"/>
      <c r="G28" s="36" t="n"/>
      <c r="H28" s="36" t="n"/>
      <c r="I28" s="36" t="n"/>
      <c r="J28" s="36" t="n"/>
      <c r="K28" s="34" t="n"/>
      <c r="L28" s="34" t="n"/>
      <c r="M28" s="34" t="n"/>
      <c r="N28" s="34" t="n"/>
      <c r="O28" s="50">
        <f>IF(N(AH28)&gt;1,"중복 "&amp;AH28&amp;"곳"&amp;IF(AK28=1," · 최저가",IF(AND(N28="견적접수",R28&lt;&gt;"")," · 비쌈","")),"")</f>
        <v/>
      </c>
      <c r="P28" s="34" t="n"/>
      <c r="Q28" s="51" t="n"/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/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n"/>
      <c r="X28" s="34" t="n"/>
      <c r="Y28" s="34" t="n"/>
      <c r="Z28" s="56" t="n"/>
      <c r="AA28" s="54">
        <f>IF(OR(Z28="",Y28=""),"",Z28+Y28)</f>
        <v/>
      </c>
      <c r="AB28" s="36" t="n"/>
      <c r="AC28" s="34" t="n"/>
      <c r="AD28" s="36" t="n"/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n"/>
      <c r="C29" s="34" t="n"/>
      <c r="D29" s="34" t="n"/>
      <c r="E29" s="34" t="n"/>
      <c r="F29" s="36" t="n"/>
      <c r="G29" s="36" t="n"/>
      <c r="H29" s="36" t="n"/>
      <c r="I29" s="36" t="n"/>
      <c r="J29" s="36" t="n"/>
      <c r="K29" s="34" t="n"/>
      <c r="L29" s="34" t="n"/>
      <c r="M29" s="34" t="n"/>
      <c r="N29" s="34" t="n"/>
      <c r="O29" s="50">
        <f>IF(N(AH29)&gt;1,"중복 "&amp;AH29&amp;"곳"&amp;IF(AK29=1," · 최저가",IF(AND(N29="견적접수",R29&lt;&gt;"")," · 비쌈","")),"")</f>
        <v/>
      </c>
      <c r="P29" s="34" t="n"/>
      <c r="Q29" s="51" t="n"/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/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n"/>
      <c r="X29" s="34" t="n"/>
      <c r="Y29" s="34" t="n"/>
      <c r="Z29" s="56" t="n"/>
      <c r="AA29" s="54">
        <f>IF(OR(Z29="",Y29=""),"",Z29+Y29)</f>
        <v/>
      </c>
      <c r="AB29" s="36" t="n"/>
      <c r="AC29" s="34" t="n"/>
      <c r="AD29" s="36" t="n"/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n"/>
      <c r="C30" s="34" t="n"/>
      <c r="D30" s="34" t="n"/>
      <c r="E30" s="34" t="n"/>
      <c r="F30" s="36" t="n"/>
      <c r="G30" s="36" t="n"/>
      <c r="H30" s="36" t="n"/>
      <c r="I30" s="36" t="n"/>
      <c r="J30" s="36" t="n"/>
      <c r="K30" s="34" t="n"/>
      <c r="L30" s="34" t="n"/>
      <c r="M30" s="34" t="n"/>
      <c r="N30" s="34" t="n"/>
      <c r="O30" s="50">
        <f>IF(N(AH30)&gt;1,"중복 "&amp;AH30&amp;"곳"&amp;IF(AK30=1," · 최저가",IF(AND(N30="견적접수",R30&lt;&gt;"")," · 비쌈","")),"")</f>
        <v/>
      </c>
      <c r="P30" s="34" t="n"/>
      <c r="Q30" s="51" t="n"/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/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n"/>
      <c r="X30" s="34" t="n"/>
      <c r="Y30" s="34" t="n"/>
      <c r="Z30" s="56" t="n"/>
      <c r="AA30" s="54">
        <f>IF(OR(Z30="",Y30=""),"",Z30+Y30)</f>
        <v/>
      </c>
      <c r="AB30" s="36" t="n"/>
      <c r="AC30" s="34" t="n"/>
      <c r="AD30" s="36" t="n"/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n"/>
      <c r="C31" s="34" t="n"/>
      <c r="D31" s="34" t="n"/>
      <c r="E31" s="34" t="n"/>
      <c r="F31" s="36" t="n"/>
      <c r="G31" s="36" t="n"/>
      <c r="H31" s="36" t="n"/>
      <c r="I31" s="36" t="n"/>
      <c r="J31" s="36" t="n"/>
      <c r="K31" s="34" t="n"/>
      <c r="L31" s="34" t="n"/>
      <c r="M31" s="34" t="n"/>
      <c r="N31" s="34" t="n"/>
      <c r="O31" s="50">
        <f>IF(N(AH31)&gt;1,"중복 "&amp;AH31&amp;"곳"&amp;IF(AK31=1," · 최저가",IF(AND(N31="견적접수",R31&lt;&gt;"")," · 비쌈","")),"")</f>
        <v/>
      </c>
      <c r="P31" s="34" t="n"/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6" t="n"/>
      <c r="AA31" s="54">
        <f>IF(OR(Z31="",Y31=""),"",Z31+Y31)</f>
        <v/>
      </c>
      <c r="AB31" s="36" t="n"/>
      <c r="AC31" s="34" t="n"/>
      <c r="AD31" s="36" t="n"/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n"/>
      <c r="C32" s="34" t="n"/>
      <c r="D32" s="34" t="n"/>
      <c r="E32" s="34" t="n"/>
      <c r="F32" s="36" t="n"/>
      <c r="G32" s="36" t="n"/>
      <c r="H32" s="36" t="n"/>
      <c r="I32" s="36" t="n"/>
      <c r="J32" s="36" t="n"/>
      <c r="K32" s="34" t="n"/>
      <c r="L32" s="34" t="n"/>
      <c r="M32" s="34" t="n"/>
      <c r="N32" s="34" t="n"/>
      <c r="O32" s="50">
        <f>IF(N(AH32)&gt;1,"중복 "&amp;AH32&amp;"곳"&amp;IF(AK32=1," · 최저가",IF(AND(N32="견적접수",R32&lt;&gt;"")," · 비쌈","")),"")</f>
        <v/>
      </c>
      <c r="P32" s="34" t="n"/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6" t="n"/>
      <c r="AA32" s="54">
        <f>IF(OR(Z32="",Y32=""),"",Z32+Y32)</f>
        <v/>
      </c>
      <c r="AB32" s="36" t="n"/>
      <c r="AC32" s="34" t="n"/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n"/>
      <c r="C33" s="34" t="n"/>
      <c r="D33" s="34" t="n"/>
      <c r="E33" s="34" t="n"/>
      <c r="F33" s="36" t="n"/>
      <c r="G33" s="36" t="n"/>
      <c r="H33" s="36" t="n"/>
      <c r="I33" s="36" t="n"/>
      <c r="J33" s="36" t="n"/>
      <c r="K33" s="34" t="n"/>
      <c r="L33" s="34" t="n"/>
      <c r="M33" s="34" t="n"/>
      <c r="N33" s="34" t="n"/>
      <c r="O33" s="50">
        <f>IF(N(AH33)&gt;1,"중복 "&amp;AH33&amp;"곳"&amp;IF(AK33=1," · 최저가",IF(AND(N33="견적접수",R33&lt;&gt;"")," · 비쌈","")),"")</f>
        <v/>
      </c>
      <c r="P33" s="34" t="n"/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6" t="n"/>
      <c r="AA33" s="54">
        <f>IF(OR(Z33="",Y33=""),"",Z33+Y33)</f>
        <v/>
      </c>
      <c r="AB33" s="36" t="n"/>
      <c r="AC33" s="34" t="n"/>
      <c r="AD33" s="36" t="n"/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n"/>
      <c r="C34" s="34" t="n"/>
      <c r="D34" s="34" t="n"/>
      <c r="E34" s="34" t="n"/>
      <c r="F34" s="36" t="n"/>
      <c r="G34" s="36" t="n"/>
      <c r="H34" s="36" t="n"/>
      <c r="I34" s="36" t="n"/>
      <c r="J34" s="36" t="n"/>
      <c r="K34" s="34" t="n"/>
      <c r="L34" s="34" t="n"/>
      <c r="M34" s="34" t="n"/>
      <c r="N34" s="34" t="n"/>
      <c r="O34" s="50">
        <f>IF(N(AH34)&gt;1,"중복 "&amp;AH34&amp;"곳"&amp;IF(AK34=1," · 최저가",IF(AND(N34="견적접수",R34&lt;&gt;"")," · 비쌈","")),"")</f>
        <v/>
      </c>
      <c r="P34" s="34" t="n"/>
      <c r="Q34" s="51" t="n"/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/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n"/>
      <c r="X34" s="34" t="n"/>
      <c r="Y34" s="34" t="n"/>
      <c r="Z34" s="56" t="n"/>
      <c r="AA34" s="54">
        <f>IF(OR(Z34="",Y34=""),"",Z34+Y34)</f>
        <v/>
      </c>
      <c r="AB34" s="36" t="n"/>
      <c r="AC34" s="34" t="n"/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n"/>
      <c r="C35" s="34" t="n"/>
      <c r="D35" s="34" t="n"/>
      <c r="E35" s="34" t="n"/>
      <c r="F35" s="36" t="n"/>
      <c r="G35" s="36" t="n"/>
      <c r="H35" s="36" t="n"/>
      <c r="I35" s="36" t="n"/>
      <c r="J35" s="36" t="n"/>
      <c r="K35" s="34" t="n"/>
      <c r="L35" s="34" t="n"/>
      <c r="M35" s="34" t="n"/>
      <c r="N35" s="34" t="n"/>
      <c r="O35" s="50">
        <f>IF(N(AH35)&gt;1,"중복 "&amp;AH35&amp;"곳"&amp;IF(AK35=1," · 최저가",IF(AND(N35="견적접수",R35&lt;&gt;"")," · 비쌈","")),"")</f>
        <v/>
      </c>
      <c r="P35" s="34" t="n"/>
      <c r="Q35" s="51" t="n"/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/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n"/>
      <c r="X35" s="34" t="n"/>
      <c r="Y35" s="34" t="n"/>
      <c r="Z35" s="56" t="n"/>
      <c r="AA35" s="54">
        <f>IF(OR(Z35="",Y35=""),"",Z35+Y35)</f>
        <v/>
      </c>
      <c r="AB35" s="36" t="n"/>
      <c r="AC35" s="34" t="n"/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n"/>
      <c r="C36" s="34" t="n"/>
      <c r="D36" s="34" t="n"/>
      <c r="E36" s="34" t="n"/>
      <c r="F36" s="36" t="n"/>
      <c r="G36" s="36" t="n"/>
      <c r="H36" s="36" t="n"/>
      <c r="I36" s="36" t="n"/>
      <c r="J36" s="36" t="n"/>
      <c r="K36" s="34" t="n"/>
      <c r="L36" s="34" t="n"/>
      <c r="M36" s="34" t="n"/>
      <c r="N36" s="34" t="n"/>
      <c r="O36" s="50">
        <f>IF(N(AH36)&gt;1,"중복 "&amp;AH36&amp;"곳"&amp;IF(AK36=1," · 최저가",IF(AND(N36="견적접수",R36&lt;&gt;"")," · 비쌈","")),"")</f>
        <v/>
      </c>
      <c r="P36" s="34" t="n"/>
      <c r="Q36" s="51" t="n"/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/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n"/>
      <c r="X36" s="34" t="n"/>
      <c r="Y36" s="34" t="n"/>
      <c r="Z36" s="56" t="n"/>
      <c r="AA36" s="54">
        <f>IF(OR(Z36="",Y36=""),"",Z36+Y36)</f>
        <v/>
      </c>
      <c r="AB36" s="36" t="n"/>
      <c r="AC36" s="34" t="n"/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n"/>
      <c r="C37" s="34" t="n"/>
      <c r="D37" s="34" t="n"/>
      <c r="E37" s="34" t="n"/>
      <c r="F37" s="36" t="n"/>
      <c r="G37" s="36" t="n"/>
      <c r="H37" s="36" t="n"/>
      <c r="I37" s="36" t="n"/>
      <c r="J37" s="36" t="n"/>
      <c r="K37" s="34" t="n"/>
      <c r="L37" s="34" t="n"/>
      <c r="M37" s="34" t="n"/>
      <c r="N37" s="34" t="n"/>
      <c r="O37" s="50">
        <f>IF(N(AH37)&gt;1,"중복 "&amp;AH37&amp;"곳"&amp;IF(AK37=1," · 최저가",IF(AND(N37="견적접수",R37&lt;&gt;"")," · 비쌈","")),"")</f>
        <v/>
      </c>
      <c r="P37" s="34" t="n"/>
      <c r="Q37" s="51" t="n"/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/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n"/>
      <c r="X37" s="34" t="n"/>
      <c r="Y37" s="34" t="n"/>
      <c r="Z37" s="56" t="n"/>
      <c r="AA37" s="54">
        <f>IF(OR(Z37="",Y37=""),"",Z37+Y37)</f>
        <v/>
      </c>
      <c r="AB37" s="36" t="n"/>
      <c r="AC37" s="34" t="n"/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n"/>
      <c r="C38" s="34" t="n"/>
      <c r="D38" s="34" t="n"/>
      <c r="E38" s="34" t="n"/>
      <c r="F38" s="36" t="n"/>
      <c r="G38" s="36" t="n"/>
      <c r="H38" s="36" t="n"/>
      <c r="I38" s="36" t="n"/>
      <c r="J38" s="36" t="n"/>
      <c r="K38" s="34" t="n"/>
      <c r="L38" s="34" t="n"/>
      <c r="M38" s="34" t="n"/>
      <c r="N38" s="34" t="n"/>
      <c r="O38" s="50">
        <f>IF(N(AH38)&gt;1,"중복 "&amp;AH38&amp;"곳"&amp;IF(AK38=1," · 최저가",IF(AND(N38="견적접수",R38&lt;&gt;"")," · 비쌈","")),"")</f>
        <v/>
      </c>
      <c r="P38" s="34" t="n"/>
      <c r="Q38" s="51" t="n"/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/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n"/>
      <c r="X38" s="34" t="n"/>
      <c r="Y38" s="34" t="n"/>
      <c r="Z38" s="56" t="n"/>
      <c r="AA38" s="54">
        <f>IF(OR(Z38="",Y38=""),"",Z38+Y38)</f>
        <v/>
      </c>
      <c r="AB38" s="36" t="n"/>
      <c r="AC38" s="34" t="n"/>
      <c r="AD38" s="36" t="n"/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n"/>
      <c r="C39" s="34" t="n"/>
      <c r="D39" s="34" t="n"/>
      <c r="E39" s="34" t="n"/>
      <c r="F39" s="36" t="n"/>
      <c r="G39" s="36" t="n"/>
      <c r="H39" s="36" t="n"/>
      <c r="I39" s="36" t="n"/>
      <c r="J39" s="36" t="n"/>
      <c r="K39" s="34" t="n"/>
      <c r="L39" s="34" t="n"/>
      <c r="M39" s="34" t="n"/>
      <c r="N39" s="34" t="n"/>
      <c r="O39" s="50">
        <f>IF(N(AH39)&gt;1,"중복 "&amp;AH39&amp;"곳"&amp;IF(AK39=1," · 최저가",IF(AND(N39="견적접수",R39&lt;&gt;"")," · 비쌈","")),"")</f>
        <v/>
      </c>
      <c r="P39" s="34" t="n"/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6" t="n"/>
      <c r="AA39" s="54">
        <f>IF(OR(Z39="",Y39=""),"",Z39+Y39)</f>
        <v/>
      </c>
      <c r="AB39" s="36" t="n"/>
      <c r="AC39" s="34" t="n"/>
      <c r="AD39" s="36" t="n"/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n"/>
      <c r="C40" s="34" t="n"/>
      <c r="D40" s="34" t="n"/>
      <c r="E40" s="34" t="n"/>
      <c r="F40" s="36" t="n"/>
      <c r="G40" s="36" t="n"/>
      <c r="H40" s="36" t="n"/>
      <c r="I40" s="36" t="n"/>
      <c r="J40" s="36" t="n"/>
      <c r="K40" s="34" t="n"/>
      <c r="L40" s="34" t="n"/>
      <c r="M40" s="34" t="n"/>
      <c r="N40" s="34" t="n"/>
      <c r="O40" s="50">
        <f>IF(N(AH40)&gt;1,"중복 "&amp;AH40&amp;"곳"&amp;IF(AK40=1," · 최저가",IF(AND(N40="견적접수",R40&lt;&gt;"")," · 비쌈","")),"")</f>
        <v/>
      </c>
      <c r="P40" s="34" t="n"/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6" t="n"/>
      <c r="AA40" s="54">
        <f>IF(OR(Z40="",Y40=""),"",Z40+Y40)</f>
        <v/>
      </c>
      <c r="AB40" s="36" t="n"/>
      <c r="AC40" s="34" t="n"/>
      <c r="AD40" s="36" t="n"/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n"/>
      <c r="C41" s="34" t="n"/>
      <c r="D41" s="34" t="n"/>
      <c r="E41" s="34" t="n"/>
      <c r="F41" s="36" t="n"/>
      <c r="G41" s="36" t="n"/>
      <c r="H41" s="36" t="n"/>
      <c r="I41" s="36" t="n"/>
      <c r="J41" s="36" t="n"/>
      <c r="K41" s="34" t="n"/>
      <c r="L41" s="34" t="n"/>
      <c r="M41" s="34" t="n"/>
      <c r="N41" s="34" t="n"/>
      <c r="O41" s="50">
        <f>IF(N(AH41)&gt;1,"중복 "&amp;AH41&amp;"곳"&amp;IF(AK41=1," · 최저가",IF(AND(N41="견적접수",R41&lt;&gt;"")," · 비쌈","")),"")</f>
        <v/>
      </c>
      <c r="P41" s="34" t="n"/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6" t="n"/>
      <c r="AA41" s="54">
        <f>IF(OR(Z41="",Y41=""),"",Z41+Y41)</f>
        <v/>
      </c>
      <c r="AB41" s="36" t="n"/>
      <c r="AC41" s="34" t="n"/>
      <c r="AD41" s="36" t="n"/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n"/>
      <c r="C42" s="34" t="n"/>
      <c r="D42" s="34" t="n"/>
      <c r="E42" s="34" t="n"/>
      <c r="F42" s="36" t="n"/>
      <c r="G42" s="36" t="n"/>
      <c r="H42" s="36" t="n"/>
      <c r="I42" s="36" t="n"/>
      <c r="J42" s="36" t="n"/>
      <c r="K42" s="34" t="n"/>
      <c r="L42" s="34" t="n"/>
      <c r="M42" s="34" t="n"/>
      <c r="N42" s="34" t="n"/>
      <c r="O42" s="50">
        <f>IF(N(AH42)&gt;1,"중복 "&amp;AH42&amp;"곳"&amp;IF(AK42=1," · 최저가",IF(AND(N42="견적접수",R42&lt;&gt;"")," · 비쌈","")),"")</f>
        <v/>
      </c>
      <c r="P42" s="34" t="n"/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6" t="n"/>
      <c r="AA42" s="54">
        <f>IF(OR(Z42="",Y42=""),"",Z42+Y42)</f>
        <v/>
      </c>
      <c r="AB42" s="36" t="n"/>
      <c r="AC42" s="34" t="n"/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n"/>
      <c r="C43" s="34" t="n"/>
      <c r="D43" s="34" t="n"/>
      <c r="E43" s="34" t="n"/>
      <c r="F43" s="36" t="n"/>
      <c r="G43" s="36" t="n"/>
      <c r="H43" s="36" t="n"/>
      <c r="I43" s="36" t="n"/>
      <c r="J43" s="36" t="n"/>
      <c r="K43" s="34" t="n"/>
      <c r="L43" s="34" t="n"/>
      <c r="M43" s="34" t="n"/>
      <c r="N43" s="34" t="n"/>
      <c r="O43" s="50">
        <f>IF(N(AH43)&gt;1,"중복 "&amp;AH43&amp;"곳"&amp;IF(AK43=1," · 최저가",IF(AND(N43="견적접수",R43&lt;&gt;"")," · 비쌈","")),"")</f>
        <v/>
      </c>
      <c r="P43" s="34" t="n"/>
      <c r="Q43" s="51" t="n"/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/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/>
      <c r="AA43" s="54">
        <f>IF(OR(Z43="",Y43=""),"",Z43+Y43)</f>
        <v/>
      </c>
      <c r="AB43" s="36" t="n"/>
      <c r="AC43" s="34" t="n"/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n"/>
      <c r="C44" s="34" t="n"/>
      <c r="D44" s="34" t="n"/>
      <c r="E44" s="34" t="n"/>
      <c r="F44" s="36" t="n"/>
      <c r="G44" s="36" t="n"/>
      <c r="H44" s="36" t="n"/>
      <c r="I44" s="36" t="n"/>
      <c r="J44" s="36" t="n"/>
      <c r="K44" s="34" t="n"/>
      <c r="L44" s="34" t="n"/>
      <c r="M44" s="34" t="n"/>
      <c r="N44" s="34" t="n"/>
      <c r="O44" s="50">
        <f>IF(N(AH44)&gt;1,"중복 "&amp;AH44&amp;"곳"&amp;IF(AK44=1," · 최저가",IF(AND(N44="견적접수",R44&lt;&gt;"")," · 비쌈","")),"")</f>
        <v/>
      </c>
      <c r="P44" s="34" t="n"/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/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6" t="n"/>
      <c r="AA44" s="54">
        <f>IF(OR(Z44="",Y44=""),"",Z44+Y44)</f>
        <v/>
      </c>
      <c r="AB44" s="36" t="n"/>
      <c r="AC44" s="34" t="n"/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n"/>
      <c r="C45" s="34" t="n"/>
      <c r="D45" s="34" t="n"/>
      <c r="E45" s="34" t="n"/>
      <c r="F45" s="36" t="n"/>
      <c r="G45" s="36" t="n"/>
      <c r="H45" s="36" t="n"/>
      <c r="I45" s="36" t="n"/>
      <c r="J45" s="36" t="n"/>
      <c r="K45" s="34" t="n"/>
      <c r="L45" s="34" t="n"/>
      <c r="M45" s="34" t="n"/>
      <c r="N45" s="34" t="n"/>
      <c r="O45" s="50">
        <f>IF(N(AH45)&gt;1,"중복 "&amp;AH45&amp;"곳"&amp;IF(AK45=1," · 최저가",IF(AND(N45="견적접수",R45&lt;&gt;"")," · 비쌈","")),"")</f>
        <v/>
      </c>
      <c r="P45" s="34" t="n"/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6" t="n"/>
      <c r="AA45" s="54">
        <f>IF(OR(Z45="",Y45=""),"",Z45+Y45)</f>
        <v/>
      </c>
      <c r="AB45" s="36" t="n"/>
      <c r="AC45" s="34" t="n"/>
      <c r="AD45" s="36" t="n"/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n"/>
      <c r="C46" s="34" t="n"/>
      <c r="D46" s="34" t="n"/>
      <c r="E46" s="34" t="n"/>
      <c r="F46" s="36" t="n"/>
      <c r="G46" s="36" t="n"/>
      <c r="H46" s="36" t="n"/>
      <c r="I46" s="36" t="n"/>
      <c r="J46" s="36" t="n"/>
      <c r="K46" s="34" t="n"/>
      <c r="L46" s="34" t="n"/>
      <c r="M46" s="34" t="n"/>
      <c r="N46" s="34" t="n"/>
      <c r="O46" s="50">
        <f>IF(N(AH46)&gt;1,"중복 "&amp;AH46&amp;"곳"&amp;IF(AK46=1," · 최저가",IF(AND(N46="견적접수",R46&lt;&gt;"")," · 비쌈","")),"")</f>
        <v/>
      </c>
      <c r="P46" s="34" t="n"/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6" t="n"/>
      <c r="AA46" s="54">
        <f>IF(OR(Z46="",Y46=""),"",Z46+Y46)</f>
        <v/>
      </c>
      <c r="AB46" s="36" t="n"/>
      <c r="AC46" s="34" t="n"/>
      <c r="AD46" s="36" t="n"/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n"/>
      <c r="C47" s="34" t="n"/>
      <c r="D47" s="34" t="n"/>
      <c r="E47" s="34" t="n"/>
      <c r="F47" s="36" t="n"/>
      <c r="G47" s="36" t="n"/>
      <c r="H47" s="36" t="n"/>
      <c r="I47" s="36" t="n"/>
      <c r="J47" s="36" t="n"/>
      <c r="K47" s="34" t="n"/>
      <c r="L47" s="34" t="n"/>
      <c r="M47" s="34" t="n"/>
      <c r="N47" s="34" t="n"/>
      <c r="O47" s="50">
        <f>IF(N(AH47)&gt;1,"중복 "&amp;AH47&amp;"곳"&amp;IF(AK47=1," · 최저가",IF(AND(N47="견적접수",R47&lt;&gt;"")," · 비쌈","")),"")</f>
        <v/>
      </c>
      <c r="P47" s="34" t="n"/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6" t="n"/>
      <c r="AA47" s="54">
        <f>IF(OR(Z47="",Y47=""),"",Z47+Y47)</f>
        <v/>
      </c>
      <c r="AB47" s="36" t="n"/>
      <c r="AC47" s="34" t="n"/>
      <c r="AD47" s="36" t="n"/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n"/>
      <c r="C48" s="34" t="n"/>
      <c r="D48" s="34" t="n"/>
      <c r="E48" s="34" t="n"/>
      <c r="F48" s="36" t="n"/>
      <c r="G48" s="36" t="n"/>
      <c r="H48" s="36" t="n"/>
      <c r="I48" s="36" t="n"/>
      <c r="J48" s="36" t="n"/>
      <c r="K48" s="34" t="n"/>
      <c r="L48" s="34" t="n"/>
      <c r="M48" s="34" t="n"/>
      <c r="N48" s="34" t="n"/>
      <c r="O48" s="50">
        <f>IF(N(AH48)&gt;1,"중복 "&amp;AH48&amp;"곳"&amp;IF(AK48=1," · 최저가",IF(AND(N48="견적접수",R48&lt;&gt;"")," · 비쌈","")),"")</f>
        <v/>
      </c>
      <c r="P48" s="34" t="n"/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6" t="n"/>
      <c r="AA48" s="54">
        <f>IF(OR(Z48="",Y48=""),"",Z48+Y48)</f>
        <v/>
      </c>
      <c r="AB48" s="36" t="n"/>
      <c r="AC48" s="34" t="n"/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n"/>
      <c r="C49" s="34" t="n"/>
      <c r="D49" s="34" t="n"/>
      <c r="E49" s="34" t="n"/>
      <c r="F49" s="36" t="n"/>
      <c r="G49" s="36" t="n"/>
      <c r="H49" s="36" t="n"/>
      <c r="I49" s="36" t="n"/>
      <c r="J49" s="36" t="n"/>
      <c r="K49" s="34" t="n"/>
      <c r="L49" s="34" t="n"/>
      <c r="M49" s="34" t="n"/>
      <c r="N49" s="34" t="n"/>
      <c r="O49" s="50">
        <f>IF(N(AH49)&gt;1,"중복 "&amp;AH49&amp;"곳"&amp;IF(AK49=1," · 최저가",IF(AND(N49="견적접수",R49&lt;&gt;"")," · 비쌈","")),"")</f>
        <v/>
      </c>
      <c r="P49" s="34" t="n"/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6" t="n"/>
      <c r="AA49" s="54">
        <f>IF(OR(Z49="",Y49=""),"",Z49+Y49)</f>
        <v/>
      </c>
      <c r="AB49" s="36" t="n"/>
      <c r="AC49" s="34" t="n"/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n"/>
      <c r="C50" s="34" t="n"/>
      <c r="D50" s="34" t="n"/>
      <c r="E50" s="34" t="n"/>
      <c r="F50" s="36" t="n"/>
      <c r="G50" s="36" t="n"/>
      <c r="H50" s="36" t="n"/>
      <c r="I50" s="36" t="n"/>
      <c r="J50" s="36" t="n"/>
      <c r="K50" s="34" t="n"/>
      <c r="L50" s="34" t="n"/>
      <c r="M50" s="34" t="n"/>
      <c r="N50" s="34" t="n"/>
      <c r="O50" s="50">
        <f>IF(N(AH50)&gt;1,"중복 "&amp;AH50&amp;"곳"&amp;IF(AK50=1," · 최저가",IF(AND(N50="견적접수",R50&lt;&gt;"")," · 비쌈","")),"")</f>
        <v/>
      </c>
      <c r="P50" s="34" t="n"/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6" t="n"/>
      <c r="AA50" s="54">
        <f>IF(OR(Z50="",Y50=""),"",Z50+Y50)</f>
        <v/>
      </c>
      <c r="AB50" s="36" t="n"/>
      <c r="AC50" s="34" t="n"/>
      <c r="AD50" s="36" t="n"/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n"/>
      <c r="C51" s="34" t="n"/>
      <c r="D51" s="34" t="n"/>
      <c r="E51" s="34" t="n"/>
      <c r="F51" s="36" t="n"/>
      <c r="G51" s="36" t="n"/>
      <c r="H51" s="36" t="n"/>
      <c r="I51" s="36" t="n"/>
      <c r="J51" s="36" t="n"/>
      <c r="K51" s="34" t="n"/>
      <c r="L51" s="34" t="n"/>
      <c r="M51" s="34" t="n"/>
      <c r="N51" s="34" t="n"/>
      <c r="O51" s="50">
        <f>IF(N(AH51)&gt;1,"중복 "&amp;AH51&amp;"곳"&amp;IF(AK51=1," · 최저가",IF(AND(N51="견적접수",R51&lt;&gt;"")," · 비쌈","")),"")</f>
        <v/>
      </c>
      <c r="P51" s="34" t="n"/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6" t="n"/>
      <c r="AA51" s="54">
        <f>IF(OR(Z51="",Y51=""),"",Z51+Y51)</f>
        <v/>
      </c>
      <c r="AB51" s="36" t="n"/>
      <c r="AC51" s="34" t="n"/>
      <c r="AD51" s="36" t="n"/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n"/>
      <c r="C52" s="34" t="n"/>
      <c r="D52" s="34" t="n"/>
      <c r="E52" s="34" t="n"/>
      <c r="F52" s="36" t="n"/>
      <c r="G52" s="36" t="n"/>
      <c r="H52" s="36" t="n"/>
      <c r="I52" s="36" t="n"/>
      <c r="J52" s="36" t="n"/>
      <c r="K52" s="34" t="n"/>
      <c r="L52" s="34" t="n"/>
      <c r="M52" s="34" t="n"/>
      <c r="N52" s="34" t="n"/>
      <c r="O52" s="50">
        <f>IF(N(AH52)&gt;1,"중복 "&amp;AH52&amp;"곳"&amp;IF(AK52=1," · 최저가",IF(AND(N52="견적접수",R52&lt;&gt;"")," · 비쌈","")),"")</f>
        <v/>
      </c>
      <c r="P52" s="34" t="n"/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6" t="n"/>
      <c r="AA52" s="54">
        <f>IF(OR(Z52="",Y52=""),"",Z52+Y52)</f>
        <v/>
      </c>
      <c r="AB52" s="36" t="n"/>
      <c r="AC52" s="34" t="n"/>
      <c r="AD52" s="36" t="n"/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n"/>
      <c r="C53" s="34" t="n"/>
      <c r="D53" s="34" t="n"/>
      <c r="E53" s="34" t="n"/>
      <c r="F53" s="36" t="n"/>
      <c r="G53" s="36" t="n"/>
      <c r="H53" s="36" t="n"/>
      <c r="I53" s="36" t="n"/>
      <c r="J53" s="36" t="n"/>
      <c r="K53" s="34" t="n"/>
      <c r="L53" s="34" t="n"/>
      <c r="M53" s="34" t="n"/>
      <c r="N53" s="34" t="n"/>
      <c r="O53" s="50">
        <f>IF(N(AH53)&gt;1,"중복 "&amp;AH53&amp;"곳"&amp;IF(AK53=1," · 최저가",IF(AND(N53="견적접수",R53&lt;&gt;"")," · 비쌈","")),"")</f>
        <v/>
      </c>
      <c r="P53" s="34" t="n"/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6" t="n"/>
      <c r="AA53" s="54">
        <f>IF(OR(Z53="",Y53=""),"",Z53+Y53)</f>
        <v/>
      </c>
      <c r="AB53" s="36" t="n"/>
      <c r="AC53" s="34" t="n"/>
      <c r="AD53" s="36" t="n"/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n"/>
      <c r="C54" s="34" t="n"/>
      <c r="D54" s="34" t="n"/>
      <c r="E54" s="34" t="n"/>
      <c r="F54" s="36" t="n"/>
      <c r="G54" s="36" t="n"/>
      <c r="H54" s="36" t="n"/>
      <c r="I54" s="36" t="n"/>
      <c r="J54" s="36" t="n"/>
      <c r="K54" s="34" t="n"/>
      <c r="L54" s="34" t="n"/>
      <c r="M54" s="34" t="n"/>
      <c r="N54" s="34" t="n"/>
      <c r="O54" s="50">
        <f>IF(N(AH54)&gt;1,"중복 "&amp;AH54&amp;"곳"&amp;IF(AK54=1," · 최저가",IF(AND(N54="견적접수",R54&lt;&gt;"")," · 비쌈","")),"")</f>
        <v/>
      </c>
      <c r="P54" s="34" t="n"/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6" t="n"/>
      <c r="AA54" s="54">
        <f>IF(OR(Z54="",Y54=""),"",Z54+Y54)</f>
        <v/>
      </c>
      <c r="AB54" s="36" t="n"/>
      <c r="AC54" s="34" t="n"/>
      <c r="AD54" s="36" t="n"/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n"/>
      <c r="C55" s="34" t="n"/>
      <c r="D55" s="34" t="n"/>
      <c r="E55" s="34" t="n"/>
      <c r="F55" s="36" t="n"/>
      <c r="G55" s="36" t="n"/>
      <c r="H55" s="36" t="n"/>
      <c r="I55" s="36" t="n"/>
      <c r="J55" s="36" t="n"/>
      <c r="K55" s="34" t="n"/>
      <c r="L55" s="34" t="n"/>
      <c r="M55" s="34" t="n"/>
      <c r="N55" s="34" t="n"/>
      <c r="O55" s="50">
        <f>IF(N(AH55)&gt;1,"중복 "&amp;AH55&amp;"곳"&amp;IF(AK55=1," · 최저가",IF(AND(N55="견적접수",R55&lt;&gt;"")," · 비쌈","")),"")</f>
        <v/>
      </c>
      <c r="P55" s="34" t="n"/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6" t="n"/>
      <c r="AA55" s="54">
        <f>IF(OR(Z55="",Y55=""),"",Z55+Y55)</f>
        <v/>
      </c>
      <c r="AB55" s="36" t="n"/>
      <c r="AC55" s="34" t="n"/>
      <c r="AD55" s="36" t="n"/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n"/>
      <c r="C56" s="34" t="n"/>
      <c r="D56" s="34" t="n"/>
      <c r="E56" s="34" t="n"/>
      <c r="F56" s="36" t="n"/>
      <c r="G56" s="36" t="n"/>
      <c r="H56" s="36" t="n"/>
      <c r="I56" s="36" t="n"/>
      <c r="J56" s="36" t="n"/>
      <c r="K56" s="34" t="n"/>
      <c r="L56" s="34" t="n"/>
      <c r="M56" s="34" t="n"/>
      <c r="N56" s="34" t="n"/>
      <c r="O56" s="50">
        <f>IF(N(AH56)&gt;1,"중복 "&amp;AH56&amp;"곳"&amp;IF(AK56=1," · 최저가",IF(AND(N56="견적접수",R56&lt;&gt;"")," · 비쌈","")),"")</f>
        <v/>
      </c>
      <c r="P56" s="34" t="n"/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6" t="n"/>
      <c r="AA56" s="54">
        <f>IF(OR(Z56="",Y56=""),"",Z56+Y56)</f>
        <v/>
      </c>
      <c r="AB56" s="36" t="n"/>
      <c r="AC56" s="34" t="n"/>
      <c r="AD56" s="36" t="n"/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4곳)" type="list">
      <formula1>=설정!$E$5:$E$8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NELEUS</t>
        </is>
      </c>
      <c r="F1" s="40" t="inlineStr">
        <is>
          <t>IMO 9958315   ·   Routine   ·   RFQ상 납품항/ETA: TBA</t>
        </is>
      </c>
    </row>
    <row r="2" ht="24" customHeight="1">
      <c r="A2" s="41">
        <f>IFERROR(IF(N(INDEX(스케줄!$C$5:$C$14,MATCH("NELEUS",스케줄!$A$5:$A$14,0)))=0,"다음 일정: 미정 (스케줄 시트에 입력)","다음 일정: "&amp;INDEX(스케줄!$B$5:$B$14,MATCH("NELEUS",스케줄!$A$5:$A$14,0))&amp;"  "&amp;TEXT(INDEX(스케줄!$C$5:$C$14,MATCH("NELEUS",스케줄!$A$5:$A$14,0)),"mm/dd")&amp;IF(N(INDEX(스케줄!$D$5:$D$14,MATCH("NELEUS",스케줄!$A$5:$A$14,0)))=0,"","~"&amp;TEXT(INDEX(스케줄!$D$5:$D$14,MATCH("NELEUS",스케줄!$A$5:$A$14,0)),"mm/dd"))),"")</f>
        <v/>
      </c>
      <c r="G2" s="42">
        <f>IFERROR(INDEX(스케줄!$I$5:$I$14,MATCH("NELEUS",스케줄!$A$5:$A$14,0)),"")</f>
        <v/>
      </c>
      <c r="H2" s="43">
        <f>IFERROR(INDEX(스케줄!$J$5:$J$14,MATCH("NELEUS",스케줄!$A$5:$A$14,0)),"")</f>
        <v/>
      </c>
      <c r="J2" s="44" t="inlineStr">
        <is>
          <t>출고 마감</t>
        </is>
      </c>
      <c r="K2" s="45">
        <f>IFERROR(INDEX(스케줄!$F$5:$F$14,MATCH("NELEUS",스케줄!$A$5:$A$14,0)),"")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4</v>
      </c>
      <c r="E6" s="34" t="inlineStr">
        <is>
          <t>NORGREN</t>
        </is>
      </c>
      <c r="F6" s="36" t="inlineStr">
        <is>
          <t>Air Filter</t>
        </is>
      </c>
      <c r="G6" s="36" t="inlineStr">
        <is>
          <t>Hanwha - MAN B&amp;W 5G70ME-C10.5-GA</t>
        </is>
      </c>
      <c r="H6" s="36" t="inlineStr">
        <is>
          <t>Plate/Drawing no. 5672-0260-0001
Part no. 57</t>
        </is>
      </c>
      <c r="I6" s="36" t="inlineStr">
        <is>
          <t>Emission Control System</t>
        </is>
      </c>
      <c r="J6" s="36" t="n"/>
      <c r="K6" s="34" t="n">
        <v>6</v>
      </c>
      <c r="L6" s="34" t="inlineStr">
        <is>
          <t>set</t>
        </is>
      </c>
      <c r="M6" s="34" t="inlineStr">
        <is>
          <t>RMS</t>
        </is>
      </c>
      <c r="N6" s="34" t="inlineStr">
        <is>
          <t>확인필요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/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/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n"/>
      <c r="X6" s="34" t="n"/>
      <c r="Y6" s="34" t="n"/>
      <c r="Z6" s="55" t="n"/>
      <c r="AA6" s="54">
        <f>IF(OR(Z6="",Y6=""),"",Z6+Y6)</f>
        <v/>
      </c>
      <c r="AB6" s="36" t="inlineStr">
        <is>
          <t>NEED TO CHECK NAMEPLATE OR DETAILS</t>
        </is>
      </c>
      <c r="AC6" s="34" t="inlineStr">
        <is>
          <t>정보 송부필요</t>
        </is>
      </c>
      <c r="AD6" s="36" t="inlineStr">
        <is>
          <t>명판 사진/상세정보 RMS에 송부</t>
        </is>
      </c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KQU-000116304</t>
        </is>
      </c>
      <c r="C7" s="34" t="inlineStr">
        <is>
          <t>01</t>
        </is>
      </c>
      <c r="D7" s="34" t="n">
        <v>5</v>
      </c>
      <c r="E7" s="34" t="inlineStr">
        <is>
          <t>NORGREN</t>
        </is>
      </c>
      <c r="F7" s="36" t="inlineStr">
        <is>
          <t>Service Kit for Air Filter</t>
        </is>
      </c>
      <c r="G7" s="36" t="inlineStr">
        <is>
          <t>Norgren / Kit F05G 40 mic</t>
        </is>
      </c>
      <c r="H7" s="36" t="inlineStr">
        <is>
          <t>Part no. 3653-28</t>
        </is>
      </c>
      <c r="I7" s="36" t="inlineStr">
        <is>
          <t>Emission Control System</t>
        </is>
      </c>
      <c r="J7" s="36" t="n"/>
      <c r="K7" s="34" t="n">
        <v>40</v>
      </c>
      <c r="L7" s="34" t="inlineStr">
        <is>
          <t>pcs</t>
        </is>
      </c>
      <c r="M7" s="34" t="inlineStr">
        <is>
          <t>RMS</t>
        </is>
      </c>
      <c r="N7" s="34" t="inlineStr">
        <is>
          <t>확인필요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/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/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n"/>
      <c r="X7" s="34" t="n"/>
      <c r="Y7" s="34" t="n"/>
      <c r="Z7" s="55" t="n"/>
      <c r="AA7" s="54">
        <f>IF(OR(Z7="",Y7=""),"",Z7+Y7)</f>
        <v/>
      </c>
      <c r="AB7" s="36" t="inlineStr">
        <is>
          <t>NEED TO CHECK NAMEPLATE OR DETAILS</t>
        </is>
      </c>
      <c r="AC7" s="34" t="inlineStr">
        <is>
          <t>정보 송부필요</t>
        </is>
      </c>
      <c r="AD7" s="36" t="inlineStr">
        <is>
          <t>명판 사진/상세정보 RMS에 송부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KQU-000116305</t>
        </is>
      </c>
      <c r="C8" s="34" t="inlineStr">
        <is>
          <t>03</t>
        </is>
      </c>
      <c r="D8" s="34" t="n">
        <v>4</v>
      </c>
      <c r="E8" s="34" t="inlineStr">
        <is>
          <t>DANFOSS</t>
        </is>
      </c>
      <c r="F8" s="36" t="inlineStr">
        <is>
          <t>Pressure Transmitter</t>
        </is>
      </c>
      <c r="G8" s="36" t="inlineStr">
        <is>
          <t>Danfoss</t>
        </is>
      </c>
      <c r="H8" s="36" t="inlineStr">
        <is>
          <t>Type: MBS 3350
Code No.: 060G6529</t>
        </is>
      </c>
      <c r="I8" s="36" t="inlineStr">
        <is>
          <t>Emission Control System</t>
        </is>
      </c>
      <c r="J8" s="36" t="inlineStr">
        <is>
          <t>0...10 bar / 4...20 mA / 10-32 VDC</t>
        </is>
      </c>
      <c r="K8" s="34" t="n">
        <v>2</v>
      </c>
      <c r="L8" s="34" t="inlineStr">
        <is>
          <t>pcs</t>
        </is>
      </c>
      <c r="M8" s="34" t="inlineStr">
        <is>
          <t>RMS</t>
        </is>
      </c>
      <c r="N8" s="34" t="inlineStr">
        <is>
          <t>견적접수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KRW</t>
        </is>
      </c>
      <c r="Q8" s="51" t="n">
        <v>249000</v>
      </c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>
        <v>90</v>
      </c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inlineStr">
        <is>
          <t>GENUINE</t>
        </is>
      </c>
      <c r="X8" s="34" t="inlineStr">
        <is>
          <t>EX WORK BUSAN</t>
        </is>
      </c>
      <c r="Y8" s="34" t="n">
        <v>20</v>
      </c>
      <c r="Z8" s="55" t="n"/>
      <c r="AA8" s="54">
        <f>IF(OR(Z8="",Y8=""),"",Z8+Y8)</f>
        <v/>
      </c>
      <c r="AB8" s="36" t="inlineStr">
        <is>
          <t>ALL; D/T: 90 DAYS, GENUINE, EX WORK BUSAN [VALI: 20 DAYS]</t>
        </is>
      </c>
      <c r="AC8" s="34" t="inlineStr">
        <is>
          <t>검토중</t>
        </is>
      </c>
      <c r="AD8" s="36" t="n"/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KQU-000116305</t>
        </is>
      </c>
      <c r="C9" s="34" t="inlineStr">
        <is>
          <t>03</t>
        </is>
      </c>
      <c r="D9" s="34" t="n">
        <v>4</v>
      </c>
      <c r="E9" s="34" t="inlineStr">
        <is>
          <t>DANFOSS</t>
        </is>
      </c>
      <c r="F9" s="36" t="inlineStr">
        <is>
          <t>Pressure Transmitter</t>
        </is>
      </c>
      <c r="G9" s="36" t="inlineStr">
        <is>
          <t>Danfoss</t>
        </is>
      </c>
      <c r="H9" s="36" t="inlineStr">
        <is>
          <t>Type: MBS 3350
Code No.: 060G6529</t>
        </is>
      </c>
      <c r="I9" s="36" t="inlineStr">
        <is>
          <t>Emission Control System</t>
        </is>
      </c>
      <c r="J9" s="36" t="n"/>
      <c r="K9" s="34" t="n">
        <v>2</v>
      </c>
      <c r="L9" s="34" t="inlineStr">
        <is>
          <t>pcs</t>
        </is>
      </c>
      <c r="M9" s="34" t="inlineStr">
        <is>
          <t>AFS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EUR</t>
        </is>
      </c>
      <c r="Q9" s="51" t="n">
        <v>426.2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49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n"/>
      <c r="X9" s="34" t="inlineStr">
        <is>
          <t>미기재 (AFS 네덜란드)</t>
        </is>
      </c>
      <c r="Y9" s="34" t="n"/>
      <c r="Z9" s="56" t="n">
        <v>46317</v>
      </c>
      <c r="AA9" s="54">
        <f>IF(OR(Z9="",Y9=""),"",Z9+Y9)</f>
        <v/>
      </c>
      <c r="AB9" s="36" t="inlineStr">
        <is>
          <t>[AFS Q.0000122662] MBS3350 0-10 BAR 060G6529 MBS3350-2011-A6GB08-2 / *del time: 6-7 weeks* *item cannot be returned*</t>
        </is>
      </c>
      <c r="AC9" s="34" t="inlineStr">
        <is>
          <t>검토중</t>
        </is>
      </c>
      <c r="AD9" s="36" t="n"/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KQU-000116305</t>
        </is>
      </c>
      <c r="C10" s="34" t="inlineStr">
        <is>
          <t>03</t>
        </is>
      </c>
      <c r="D10" s="34" t="n">
        <v>5</v>
      </c>
      <c r="E10" s="34" t="inlineStr">
        <is>
          <t>DANFOSS</t>
        </is>
      </c>
      <c r="F10" s="36" t="inlineStr">
        <is>
          <t>Pressure Transmitter</t>
        </is>
      </c>
      <c r="G10" s="36" t="inlineStr">
        <is>
          <t>Danfoss</t>
        </is>
      </c>
      <c r="H10" s="36" t="inlineStr">
        <is>
          <t>Type: MBS 3300
Code No.: 060G6395</t>
        </is>
      </c>
      <c r="I10" s="36" t="inlineStr">
        <is>
          <t>Emission Control System</t>
        </is>
      </c>
      <c r="J10" s="36" t="inlineStr">
        <is>
          <t>0...10 bar / 4...20 mA / 10-32 VDC</t>
        </is>
      </c>
      <c r="K10" s="34" t="n">
        <v>2</v>
      </c>
      <c r="L10" s="34" t="inlineStr">
        <is>
          <t>pcs</t>
        </is>
      </c>
      <c r="M10" s="34" t="inlineStr">
        <is>
          <t>RMS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KRW</t>
        </is>
      </c>
      <c r="Q10" s="51" t="n">
        <v>180000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90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inlineStr">
        <is>
          <t>GENUINE</t>
        </is>
      </c>
      <c r="X10" s="34" t="inlineStr">
        <is>
          <t>EX WORK BUSAN</t>
        </is>
      </c>
      <c r="Y10" s="34" t="n">
        <v>20</v>
      </c>
      <c r="Z10" s="55" t="n"/>
      <c r="AA10" s="54">
        <f>IF(OR(Z10="",Y10=""),"",Z10+Y10)</f>
        <v/>
      </c>
      <c r="AB10" s="36" t="inlineStr">
        <is>
          <t>ALL; D/T: 90 DAYS, GENUINE, EX WORK BUSAN [VALI: 20 DAYS]</t>
        </is>
      </c>
      <c r="AC10" s="34" t="inlineStr">
        <is>
          <t>검토중</t>
        </is>
      </c>
      <c r="AD10" s="36" t="n"/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KQU-000116305</t>
        </is>
      </c>
      <c r="C11" s="34" t="inlineStr">
        <is>
          <t>03</t>
        </is>
      </c>
      <c r="D11" s="34" t="n">
        <v>5</v>
      </c>
      <c r="E11" s="34" t="inlineStr">
        <is>
          <t>DANFOSS</t>
        </is>
      </c>
      <c r="F11" s="36" t="inlineStr">
        <is>
          <t>Pressure Transmitter</t>
        </is>
      </c>
      <c r="G11" s="36" t="inlineStr">
        <is>
          <t>Danfoss</t>
        </is>
      </c>
      <c r="H11" s="36" t="inlineStr">
        <is>
          <t>Type: MBS 3300
Code No.: 060G6395</t>
        </is>
      </c>
      <c r="I11" s="36" t="inlineStr">
        <is>
          <t>Emission Control System</t>
        </is>
      </c>
      <c r="J11" s="36" t="n"/>
      <c r="K11" s="34" t="n">
        <v>2</v>
      </c>
      <c r="L11" s="34" t="inlineStr">
        <is>
          <t>pcs</t>
        </is>
      </c>
      <c r="M11" s="34" t="inlineStr">
        <is>
          <t>AFS</t>
        </is>
      </c>
      <c r="N11" s="34" t="inlineStr">
        <is>
          <t>공급불가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EUR</t>
        </is>
      </c>
      <c r="Q11" s="51" t="n"/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/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n"/>
      <c r="X11" s="34" t="inlineStr">
        <is>
          <t>미기재 (AFS 네덜란드)</t>
        </is>
      </c>
      <c r="Y11" s="34" t="n"/>
      <c r="Z11" s="56" t="n">
        <v>46317</v>
      </c>
      <c r="AA11" s="54">
        <f>IF(OR(Z11="",Y11=""),"",Z11+Y11)</f>
        <v/>
      </c>
      <c r="AB11" s="36" t="inlineStr">
        <is>
          <t>[AFS Q.0000122662] *only available with the OEM, please contact them directly*</t>
        </is>
      </c>
      <c r="AC11" s="34" t="inlineStr">
        <is>
          <t>타업체 문의</t>
        </is>
      </c>
      <c r="AD11" s="36" t="inlineStr">
        <is>
          <t>AFS: OEM 전용 품목 (RMS 견적 있음)</t>
        </is>
      </c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n"/>
      <c r="C12" s="34" t="n"/>
      <c r="D12" s="34" t="n"/>
      <c r="E12" s="34" t="n"/>
      <c r="F12" s="36" t="n"/>
      <c r="G12" s="36" t="n"/>
      <c r="H12" s="36" t="n"/>
      <c r="I12" s="36" t="n"/>
      <c r="J12" s="36" t="n"/>
      <c r="K12" s="34" t="n"/>
      <c r="L12" s="34" t="n"/>
      <c r="M12" s="34" t="n"/>
      <c r="N12" s="34" t="n"/>
      <c r="O12" s="50">
        <f>IF(N(AH12)&gt;1,"중복 "&amp;AH12&amp;"곳"&amp;IF(AK12=1," · 최저가",IF(AND(N12="견적접수",R12&lt;&gt;"")," · 비쌈","")),"")</f>
        <v/>
      </c>
      <c r="P12" s="34" t="n"/>
      <c r="Q12" s="51" t="n"/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/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n"/>
      <c r="X12" s="34" t="n"/>
      <c r="Y12" s="34" t="n"/>
      <c r="Z12" s="56" t="n"/>
      <c r="AA12" s="54">
        <f>IF(OR(Z12="",Y12=""),"",Z12+Y12)</f>
        <v/>
      </c>
      <c r="AB12" s="36" t="n"/>
      <c r="AC12" s="34" t="n"/>
      <c r="AD12" s="36" t="n"/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n"/>
      <c r="C13" s="34" t="n"/>
      <c r="D13" s="34" t="n"/>
      <c r="E13" s="34" t="n"/>
      <c r="F13" s="36" t="n"/>
      <c r="G13" s="36" t="n"/>
      <c r="H13" s="36" t="n"/>
      <c r="I13" s="36" t="n"/>
      <c r="J13" s="36" t="n"/>
      <c r="K13" s="34" t="n"/>
      <c r="L13" s="34" t="n"/>
      <c r="M13" s="34" t="n"/>
      <c r="N13" s="34" t="n"/>
      <c r="O13" s="50">
        <f>IF(N(AH13)&gt;1,"중복 "&amp;AH13&amp;"곳"&amp;IF(AK13=1," · 최저가",IF(AND(N13="견적접수",R13&lt;&gt;"")," · 비쌈","")),"")</f>
        <v/>
      </c>
      <c r="P13" s="34" t="n"/>
      <c r="Q13" s="51" t="n"/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/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n"/>
      <c r="X13" s="34" t="n"/>
      <c r="Y13" s="34" t="n"/>
      <c r="Z13" s="56" t="n"/>
      <c r="AA13" s="54">
        <f>IF(OR(Z13="",Y13=""),"",Z13+Y13)</f>
        <v/>
      </c>
      <c r="AB13" s="36" t="n"/>
      <c r="AC13" s="34" t="n"/>
      <c r="AD13" s="36" t="n"/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n"/>
      <c r="C14" s="34" t="n"/>
      <c r="D14" s="34" t="n"/>
      <c r="E14" s="34" t="n"/>
      <c r="F14" s="36" t="n"/>
      <c r="G14" s="36" t="n"/>
      <c r="H14" s="36" t="n"/>
      <c r="I14" s="36" t="n"/>
      <c r="J14" s="36" t="n"/>
      <c r="K14" s="34" t="n"/>
      <c r="L14" s="34" t="n"/>
      <c r="M14" s="34" t="n"/>
      <c r="N14" s="34" t="n"/>
      <c r="O14" s="50">
        <f>IF(N(AH14)&gt;1,"중복 "&amp;AH14&amp;"곳"&amp;IF(AK14=1," · 최저가",IF(AND(N14="견적접수",R14&lt;&gt;"")," · 비쌈","")),"")</f>
        <v/>
      </c>
      <c r="P14" s="34" t="n"/>
      <c r="Q14" s="51" t="n"/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/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n"/>
      <c r="X14" s="34" t="n"/>
      <c r="Y14" s="34" t="n"/>
      <c r="Z14" s="56" t="n"/>
      <c r="AA14" s="54">
        <f>IF(OR(Z14="",Y14=""),"",Z14+Y14)</f>
        <v/>
      </c>
      <c r="AB14" s="36" t="n"/>
      <c r="AC14" s="34" t="n"/>
      <c r="AD14" s="36" t="n"/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n"/>
      <c r="C15" s="34" t="n"/>
      <c r="D15" s="34" t="n"/>
      <c r="E15" s="34" t="n"/>
      <c r="F15" s="36" t="n"/>
      <c r="G15" s="36" t="n"/>
      <c r="H15" s="36" t="n"/>
      <c r="I15" s="36" t="n"/>
      <c r="J15" s="36" t="n"/>
      <c r="K15" s="34" t="n"/>
      <c r="L15" s="34" t="n"/>
      <c r="M15" s="34" t="n"/>
      <c r="N15" s="34" t="n"/>
      <c r="O15" s="50">
        <f>IF(N(AH15)&gt;1,"중복 "&amp;AH15&amp;"곳"&amp;IF(AK15=1," · 최저가",IF(AND(N15="견적접수",R15&lt;&gt;"")," · 비쌈","")),"")</f>
        <v/>
      </c>
      <c r="P15" s="34" t="n"/>
      <c r="Q15" s="51" t="n"/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/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n"/>
      <c r="X15" s="34" t="n"/>
      <c r="Y15" s="34" t="n"/>
      <c r="Z15" s="56" t="n"/>
      <c r="AA15" s="54">
        <f>IF(OR(Z15="",Y15=""),"",Z15+Y15)</f>
        <v/>
      </c>
      <c r="AB15" s="36" t="n"/>
      <c r="AC15" s="34" t="n"/>
      <c r="AD15" s="36" t="n"/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n"/>
      <c r="C16" s="34" t="n"/>
      <c r="D16" s="34" t="n"/>
      <c r="E16" s="34" t="n"/>
      <c r="F16" s="36" t="n"/>
      <c r="G16" s="36" t="n"/>
      <c r="H16" s="36" t="n"/>
      <c r="I16" s="36" t="n"/>
      <c r="J16" s="36" t="n"/>
      <c r="K16" s="34" t="n"/>
      <c r="L16" s="34" t="n"/>
      <c r="M16" s="34" t="n"/>
      <c r="N16" s="34" t="n"/>
      <c r="O16" s="50">
        <f>IF(N(AH16)&gt;1,"중복 "&amp;AH16&amp;"곳"&amp;IF(AK16=1," · 최저가",IF(AND(N16="견적접수",R16&lt;&gt;"")," · 비쌈","")),"")</f>
        <v/>
      </c>
      <c r="P16" s="34" t="n"/>
      <c r="Q16" s="51" t="n"/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/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n"/>
      <c r="X16" s="34" t="n"/>
      <c r="Y16" s="34" t="n"/>
      <c r="Z16" s="56" t="n"/>
      <c r="AA16" s="54">
        <f>IF(OR(Z16="",Y16=""),"",Z16+Y16)</f>
        <v/>
      </c>
      <c r="AB16" s="36" t="n"/>
      <c r="AC16" s="34" t="n"/>
      <c r="AD16" s="36" t="n"/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n"/>
      <c r="C17" s="34" t="n"/>
      <c r="D17" s="34" t="n"/>
      <c r="E17" s="34" t="n"/>
      <c r="F17" s="36" t="n"/>
      <c r="G17" s="36" t="n"/>
      <c r="H17" s="36" t="n"/>
      <c r="I17" s="36" t="n"/>
      <c r="J17" s="36" t="n"/>
      <c r="K17" s="34" t="n"/>
      <c r="L17" s="34" t="n"/>
      <c r="M17" s="34" t="n"/>
      <c r="N17" s="34" t="n"/>
      <c r="O17" s="50">
        <f>IF(N(AH17)&gt;1,"중복 "&amp;AH17&amp;"곳"&amp;IF(AK17=1," · 최저가",IF(AND(N17="견적접수",R17&lt;&gt;"")," · 비쌈","")),"")</f>
        <v/>
      </c>
      <c r="P17" s="34" t="n"/>
      <c r="Q17" s="51" t="n"/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/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n"/>
      <c r="X17" s="34" t="n"/>
      <c r="Y17" s="34" t="n"/>
      <c r="Z17" s="56" t="n"/>
      <c r="AA17" s="54">
        <f>IF(OR(Z17="",Y17=""),"",Z17+Y17)</f>
        <v/>
      </c>
      <c r="AB17" s="36" t="n"/>
      <c r="AC17" s="34" t="n"/>
      <c r="AD17" s="36" t="n"/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n"/>
      <c r="C18" s="34" t="n"/>
      <c r="D18" s="34" t="n"/>
      <c r="E18" s="34" t="n"/>
      <c r="F18" s="36" t="n"/>
      <c r="G18" s="36" t="n"/>
      <c r="H18" s="36" t="n"/>
      <c r="I18" s="36" t="n"/>
      <c r="J18" s="36" t="n"/>
      <c r="K18" s="34" t="n"/>
      <c r="L18" s="34" t="n"/>
      <c r="M18" s="34" t="n"/>
      <c r="N18" s="34" t="n"/>
      <c r="O18" s="50">
        <f>IF(N(AH18)&gt;1,"중복 "&amp;AH18&amp;"곳"&amp;IF(AK18=1," · 최저가",IF(AND(N18="견적접수",R18&lt;&gt;"")," · 비쌈","")),"")</f>
        <v/>
      </c>
      <c r="P18" s="34" t="n"/>
      <c r="Q18" s="51" t="n"/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/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n"/>
      <c r="X18" s="34" t="n"/>
      <c r="Y18" s="34" t="n"/>
      <c r="Z18" s="56" t="n"/>
      <c r="AA18" s="54">
        <f>IF(OR(Z18="",Y18=""),"",Z18+Y18)</f>
        <v/>
      </c>
      <c r="AB18" s="36" t="n"/>
      <c r="AC18" s="34" t="n"/>
      <c r="AD18" s="36" t="n"/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n"/>
      <c r="C19" s="34" t="n"/>
      <c r="D19" s="34" t="n"/>
      <c r="E19" s="34" t="n"/>
      <c r="F19" s="36" t="n"/>
      <c r="G19" s="36" t="n"/>
      <c r="H19" s="36" t="n"/>
      <c r="I19" s="36" t="n"/>
      <c r="J19" s="36" t="n"/>
      <c r="K19" s="34" t="n"/>
      <c r="L19" s="34" t="n"/>
      <c r="M19" s="34" t="n"/>
      <c r="N19" s="34" t="n"/>
      <c r="O19" s="50">
        <f>IF(N(AH19)&gt;1,"중복 "&amp;AH19&amp;"곳"&amp;IF(AK19=1," · 최저가",IF(AND(N19="견적접수",R19&lt;&gt;"")," · 비쌈","")),"")</f>
        <v/>
      </c>
      <c r="P19" s="34" t="n"/>
      <c r="Q19" s="51" t="n"/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/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n"/>
      <c r="X19" s="34" t="n"/>
      <c r="Y19" s="34" t="n"/>
      <c r="Z19" s="56" t="n"/>
      <c r="AA19" s="54">
        <f>IF(OR(Z19="",Y19=""),"",Z19+Y19)</f>
        <v/>
      </c>
      <c r="AB19" s="36" t="n"/>
      <c r="AC19" s="34" t="n"/>
      <c r="AD19" s="36" t="n"/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n"/>
      <c r="C20" s="34" t="n"/>
      <c r="D20" s="34" t="n"/>
      <c r="E20" s="34" t="n"/>
      <c r="F20" s="36" t="n"/>
      <c r="G20" s="36" t="n"/>
      <c r="H20" s="36" t="n"/>
      <c r="I20" s="36" t="n"/>
      <c r="J20" s="36" t="n"/>
      <c r="K20" s="34" t="n"/>
      <c r="L20" s="34" t="n"/>
      <c r="M20" s="34" t="n"/>
      <c r="N20" s="34" t="n"/>
      <c r="O20" s="50">
        <f>IF(N(AH20)&gt;1,"중복 "&amp;AH20&amp;"곳"&amp;IF(AK20=1," · 최저가",IF(AND(N20="견적접수",R20&lt;&gt;"")," · 비쌈","")),"")</f>
        <v/>
      </c>
      <c r="P20" s="34" t="n"/>
      <c r="Q20" s="51" t="n"/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/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n"/>
      <c r="X20" s="34" t="n"/>
      <c r="Y20" s="34" t="n"/>
      <c r="Z20" s="56" t="n"/>
      <c r="AA20" s="54">
        <f>IF(OR(Z20="",Y20=""),"",Z20+Y20)</f>
        <v/>
      </c>
      <c r="AB20" s="36" t="n"/>
      <c r="AC20" s="34" t="n"/>
      <c r="AD20" s="36" t="n"/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n"/>
      <c r="C21" s="34" t="n"/>
      <c r="D21" s="34" t="n"/>
      <c r="E21" s="34" t="n"/>
      <c r="F21" s="36" t="n"/>
      <c r="G21" s="36" t="n"/>
      <c r="H21" s="36" t="n"/>
      <c r="I21" s="36" t="n"/>
      <c r="J21" s="36" t="n"/>
      <c r="K21" s="34" t="n"/>
      <c r="L21" s="34" t="n"/>
      <c r="M21" s="34" t="n"/>
      <c r="N21" s="34" t="n"/>
      <c r="O21" s="50">
        <f>IF(N(AH21)&gt;1,"중복 "&amp;AH21&amp;"곳"&amp;IF(AK21=1," · 최저가",IF(AND(N21="견적접수",R21&lt;&gt;"")," · 비쌈","")),"")</f>
        <v/>
      </c>
      <c r="P21" s="34" t="n"/>
      <c r="Q21" s="51" t="n"/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/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n"/>
      <c r="X21" s="34" t="n"/>
      <c r="Y21" s="34" t="n"/>
      <c r="Z21" s="56" t="n"/>
      <c r="AA21" s="54">
        <f>IF(OR(Z21="",Y21=""),"",Z21+Y21)</f>
        <v/>
      </c>
      <c r="AB21" s="36" t="n"/>
      <c r="AC21" s="34" t="n"/>
      <c r="AD21" s="36" t="n"/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n"/>
      <c r="C22" s="34" t="n"/>
      <c r="D22" s="34" t="n"/>
      <c r="E22" s="34" t="n"/>
      <c r="F22" s="36" t="n"/>
      <c r="G22" s="36" t="n"/>
      <c r="H22" s="36" t="n"/>
      <c r="I22" s="36" t="n"/>
      <c r="J22" s="36" t="n"/>
      <c r="K22" s="34" t="n"/>
      <c r="L22" s="34" t="n"/>
      <c r="M22" s="34" t="n"/>
      <c r="N22" s="34" t="n"/>
      <c r="O22" s="50">
        <f>IF(N(AH22)&gt;1,"중복 "&amp;AH22&amp;"곳"&amp;IF(AK22=1," · 최저가",IF(AND(N22="견적접수",R22&lt;&gt;"")," · 비쌈","")),"")</f>
        <v/>
      </c>
      <c r="P22" s="34" t="n"/>
      <c r="Q22" s="51" t="n"/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n"/>
      <c r="Y22" s="34" t="n"/>
      <c r="Z22" s="56" t="n"/>
      <c r="AA22" s="54">
        <f>IF(OR(Z22="",Y22=""),"",Z22+Y22)</f>
        <v/>
      </c>
      <c r="AB22" s="36" t="n"/>
      <c r="AC22" s="34" t="n"/>
      <c r="AD22" s="36" t="n"/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n"/>
      <c r="C23" s="34" t="n"/>
      <c r="D23" s="34" t="n"/>
      <c r="E23" s="34" t="n"/>
      <c r="F23" s="36" t="n"/>
      <c r="G23" s="36" t="n"/>
      <c r="H23" s="36" t="n"/>
      <c r="I23" s="36" t="n"/>
      <c r="J23" s="36" t="n"/>
      <c r="K23" s="34" t="n"/>
      <c r="L23" s="34" t="n"/>
      <c r="M23" s="34" t="n"/>
      <c r="N23" s="34" t="n"/>
      <c r="O23" s="50">
        <f>IF(N(AH23)&gt;1,"중복 "&amp;AH23&amp;"곳"&amp;IF(AK23=1," · 최저가",IF(AND(N23="견적접수",R23&lt;&gt;"")," · 비쌈","")),"")</f>
        <v/>
      </c>
      <c r="P23" s="34" t="n"/>
      <c r="Q23" s="51" t="n"/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/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n"/>
      <c r="Y23" s="34" t="n"/>
      <c r="Z23" s="56" t="n"/>
      <c r="AA23" s="54">
        <f>IF(OR(Z23="",Y23=""),"",Z23+Y23)</f>
        <v/>
      </c>
      <c r="AB23" s="36" t="n"/>
      <c r="AC23" s="34" t="n"/>
      <c r="AD23" s="36" t="n"/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n"/>
      <c r="C24" s="34" t="n"/>
      <c r="D24" s="34" t="n"/>
      <c r="E24" s="34" t="n"/>
      <c r="F24" s="36" t="n"/>
      <c r="G24" s="36" t="n"/>
      <c r="H24" s="36" t="n"/>
      <c r="I24" s="36" t="n"/>
      <c r="J24" s="36" t="n"/>
      <c r="K24" s="34" t="n"/>
      <c r="L24" s="34" t="n"/>
      <c r="M24" s="34" t="n"/>
      <c r="N24" s="34" t="n"/>
      <c r="O24" s="50">
        <f>IF(N(AH24)&gt;1,"중복 "&amp;AH24&amp;"곳"&amp;IF(AK24=1," · 최저가",IF(AND(N24="견적접수",R24&lt;&gt;"")," · 비쌈","")),"")</f>
        <v/>
      </c>
      <c r="P24" s="34" t="n"/>
      <c r="Q24" s="51" t="n"/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/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n"/>
      <c r="X24" s="34" t="n"/>
      <c r="Y24" s="34" t="n"/>
      <c r="Z24" s="56" t="n"/>
      <c r="AA24" s="54">
        <f>IF(OR(Z24="",Y24=""),"",Z24+Y24)</f>
        <v/>
      </c>
      <c r="AB24" s="36" t="n"/>
      <c r="AC24" s="34" t="n"/>
      <c r="AD24" s="36" t="n"/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n"/>
      <c r="C25" s="34" t="n"/>
      <c r="D25" s="34" t="n"/>
      <c r="E25" s="34" t="n"/>
      <c r="F25" s="36" t="n"/>
      <c r="G25" s="36" t="n"/>
      <c r="H25" s="36" t="n"/>
      <c r="I25" s="36" t="n"/>
      <c r="J25" s="36" t="n"/>
      <c r="K25" s="34" t="n"/>
      <c r="L25" s="34" t="n"/>
      <c r="M25" s="34" t="n"/>
      <c r="N25" s="34" t="n"/>
      <c r="O25" s="50">
        <f>IF(N(AH25)&gt;1,"중복 "&amp;AH25&amp;"곳"&amp;IF(AK25=1," · 최저가",IF(AND(N25="견적접수",R25&lt;&gt;"")," · 비쌈","")),"")</f>
        <v/>
      </c>
      <c r="P25" s="34" t="n"/>
      <c r="Q25" s="51" t="n"/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/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n"/>
      <c r="X25" s="34" t="n"/>
      <c r="Y25" s="34" t="n"/>
      <c r="Z25" s="56" t="n"/>
      <c r="AA25" s="54">
        <f>IF(OR(Z25="",Y25=""),"",Z25+Y25)</f>
        <v/>
      </c>
      <c r="AB25" s="36" t="n"/>
      <c r="AC25" s="34" t="n"/>
      <c r="AD25" s="36" t="n"/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n"/>
      <c r="C26" s="34" t="n"/>
      <c r="D26" s="34" t="n"/>
      <c r="E26" s="34" t="n"/>
      <c r="F26" s="36" t="n"/>
      <c r="G26" s="36" t="n"/>
      <c r="H26" s="36" t="n"/>
      <c r="I26" s="36" t="n"/>
      <c r="J26" s="36" t="n"/>
      <c r="K26" s="34" t="n"/>
      <c r="L26" s="34" t="n"/>
      <c r="M26" s="34" t="n"/>
      <c r="N26" s="34" t="n"/>
      <c r="O26" s="50">
        <f>IF(N(AH26)&gt;1,"중복 "&amp;AH26&amp;"곳"&amp;IF(AK26=1," · 최저가",IF(AND(N26="견적접수",R26&lt;&gt;"")," · 비쌈","")),"")</f>
        <v/>
      </c>
      <c r="P26" s="34" t="n"/>
      <c r="Q26" s="51" t="n"/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/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n"/>
      <c r="X26" s="34" t="n"/>
      <c r="Y26" s="34" t="n"/>
      <c r="Z26" s="56" t="n"/>
      <c r="AA26" s="54">
        <f>IF(OR(Z26="",Y26=""),"",Z26+Y26)</f>
        <v/>
      </c>
      <c r="AB26" s="36" t="n"/>
      <c r="AC26" s="34" t="n"/>
      <c r="AD26" s="36" t="n"/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n"/>
      <c r="C27" s="34" t="n"/>
      <c r="D27" s="34" t="n"/>
      <c r="E27" s="34" t="n"/>
      <c r="F27" s="36" t="n"/>
      <c r="G27" s="36" t="n"/>
      <c r="H27" s="36" t="n"/>
      <c r="I27" s="36" t="n"/>
      <c r="J27" s="36" t="n"/>
      <c r="K27" s="34" t="n"/>
      <c r="L27" s="34" t="n"/>
      <c r="M27" s="34" t="n"/>
      <c r="N27" s="34" t="n"/>
      <c r="O27" s="50">
        <f>IF(N(AH27)&gt;1,"중복 "&amp;AH27&amp;"곳"&amp;IF(AK27=1," · 최저가",IF(AND(N27="견적접수",R27&lt;&gt;"")," · 비쌈","")),"")</f>
        <v/>
      </c>
      <c r="P27" s="34" t="n"/>
      <c r="Q27" s="51" t="n"/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/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n"/>
      <c r="X27" s="34" t="n"/>
      <c r="Y27" s="34" t="n"/>
      <c r="Z27" s="56" t="n"/>
      <c r="AA27" s="54">
        <f>IF(OR(Z27="",Y27=""),"",Z27+Y27)</f>
        <v/>
      </c>
      <c r="AB27" s="36" t="n"/>
      <c r="AC27" s="34" t="n"/>
      <c r="AD27" s="36" t="n"/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n"/>
      <c r="C28" s="34" t="n"/>
      <c r="D28" s="34" t="n"/>
      <c r="E28" s="34" t="n"/>
      <c r="F28" s="36" t="n"/>
      <c r="G28" s="36" t="n"/>
      <c r="H28" s="36" t="n"/>
      <c r="I28" s="36" t="n"/>
      <c r="J28" s="36" t="n"/>
      <c r="K28" s="34" t="n"/>
      <c r="L28" s="34" t="n"/>
      <c r="M28" s="34" t="n"/>
      <c r="N28" s="34" t="n"/>
      <c r="O28" s="50">
        <f>IF(N(AH28)&gt;1,"중복 "&amp;AH28&amp;"곳"&amp;IF(AK28=1," · 최저가",IF(AND(N28="견적접수",R28&lt;&gt;"")," · 비쌈","")),"")</f>
        <v/>
      </c>
      <c r="P28" s="34" t="n"/>
      <c r="Q28" s="51" t="n"/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/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n"/>
      <c r="X28" s="34" t="n"/>
      <c r="Y28" s="34" t="n"/>
      <c r="Z28" s="56" t="n"/>
      <c r="AA28" s="54">
        <f>IF(OR(Z28="",Y28=""),"",Z28+Y28)</f>
        <v/>
      </c>
      <c r="AB28" s="36" t="n"/>
      <c r="AC28" s="34" t="n"/>
      <c r="AD28" s="36" t="n"/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n"/>
      <c r="C29" s="34" t="n"/>
      <c r="D29" s="34" t="n"/>
      <c r="E29" s="34" t="n"/>
      <c r="F29" s="36" t="n"/>
      <c r="G29" s="36" t="n"/>
      <c r="H29" s="36" t="n"/>
      <c r="I29" s="36" t="n"/>
      <c r="J29" s="36" t="n"/>
      <c r="K29" s="34" t="n"/>
      <c r="L29" s="34" t="n"/>
      <c r="M29" s="34" t="n"/>
      <c r="N29" s="34" t="n"/>
      <c r="O29" s="50">
        <f>IF(N(AH29)&gt;1,"중복 "&amp;AH29&amp;"곳"&amp;IF(AK29=1," · 최저가",IF(AND(N29="견적접수",R29&lt;&gt;"")," · 비쌈","")),"")</f>
        <v/>
      </c>
      <c r="P29" s="34" t="n"/>
      <c r="Q29" s="51" t="n"/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/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n"/>
      <c r="X29" s="34" t="n"/>
      <c r="Y29" s="34" t="n"/>
      <c r="Z29" s="56" t="n"/>
      <c r="AA29" s="54">
        <f>IF(OR(Z29="",Y29=""),"",Z29+Y29)</f>
        <v/>
      </c>
      <c r="AB29" s="36" t="n"/>
      <c r="AC29" s="34" t="n"/>
      <c r="AD29" s="36" t="n"/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n"/>
      <c r="C30" s="34" t="n"/>
      <c r="D30" s="34" t="n"/>
      <c r="E30" s="34" t="n"/>
      <c r="F30" s="36" t="n"/>
      <c r="G30" s="36" t="n"/>
      <c r="H30" s="36" t="n"/>
      <c r="I30" s="36" t="n"/>
      <c r="J30" s="36" t="n"/>
      <c r="K30" s="34" t="n"/>
      <c r="L30" s="34" t="n"/>
      <c r="M30" s="34" t="n"/>
      <c r="N30" s="34" t="n"/>
      <c r="O30" s="50">
        <f>IF(N(AH30)&gt;1,"중복 "&amp;AH30&amp;"곳"&amp;IF(AK30=1," · 최저가",IF(AND(N30="견적접수",R30&lt;&gt;"")," · 비쌈","")),"")</f>
        <v/>
      </c>
      <c r="P30" s="34" t="n"/>
      <c r="Q30" s="51" t="n"/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/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n"/>
      <c r="X30" s="34" t="n"/>
      <c r="Y30" s="34" t="n"/>
      <c r="Z30" s="56" t="n"/>
      <c r="AA30" s="54">
        <f>IF(OR(Z30="",Y30=""),"",Z30+Y30)</f>
        <v/>
      </c>
      <c r="AB30" s="36" t="n"/>
      <c r="AC30" s="34" t="n"/>
      <c r="AD30" s="36" t="n"/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n"/>
      <c r="C31" s="34" t="n"/>
      <c r="D31" s="34" t="n"/>
      <c r="E31" s="34" t="n"/>
      <c r="F31" s="36" t="n"/>
      <c r="G31" s="36" t="n"/>
      <c r="H31" s="36" t="n"/>
      <c r="I31" s="36" t="n"/>
      <c r="J31" s="36" t="n"/>
      <c r="K31" s="34" t="n"/>
      <c r="L31" s="34" t="n"/>
      <c r="M31" s="34" t="n"/>
      <c r="N31" s="34" t="n"/>
      <c r="O31" s="50">
        <f>IF(N(AH31)&gt;1,"중복 "&amp;AH31&amp;"곳"&amp;IF(AK31=1," · 최저가",IF(AND(N31="견적접수",R31&lt;&gt;"")," · 비쌈","")),"")</f>
        <v/>
      </c>
      <c r="P31" s="34" t="n"/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6" t="n"/>
      <c r="AA31" s="54">
        <f>IF(OR(Z31="",Y31=""),"",Z31+Y31)</f>
        <v/>
      </c>
      <c r="AB31" s="36" t="n"/>
      <c r="AC31" s="34" t="n"/>
      <c r="AD31" s="36" t="n"/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n"/>
      <c r="C32" s="34" t="n"/>
      <c r="D32" s="34" t="n"/>
      <c r="E32" s="34" t="n"/>
      <c r="F32" s="36" t="n"/>
      <c r="G32" s="36" t="n"/>
      <c r="H32" s="36" t="n"/>
      <c r="I32" s="36" t="n"/>
      <c r="J32" s="36" t="n"/>
      <c r="K32" s="34" t="n"/>
      <c r="L32" s="34" t="n"/>
      <c r="M32" s="34" t="n"/>
      <c r="N32" s="34" t="n"/>
      <c r="O32" s="50">
        <f>IF(N(AH32)&gt;1,"중복 "&amp;AH32&amp;"곳"&amp;IF(AK32=1," · 최저가",IF(AND(N32="견적접수",R32&lt;&gt;"")," · 비쌈","")),"")</f>
        <v/>
      </c>
      <c r="P32" s="34" t="n"/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6" t="n"/>
      <c r="AA32" s="54">
        <f>IF(OR(Z32="",Y32=""),"",Z32+Y32)</f>
        <v/>
      </c>
      <c r="AB32" s="36" t="n"/>
      <c r="AC32" s="34" t="n"/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n"/>
      <c r="C33" s="34" t="n"/>
      <c r="D33" s="34" t="n"/>
      <c r="E33" s="34" t="n"/>
      <c r="F33" s="36" t="n"/>
      <c r="G33" s="36" t="n"/>
      <c r="H33" s="36" t="n"/>
      <c r="I33" s="36" t="n"/>
      <c r="J33" s="36" t="n"/>
      <c r="K33" s="34" t="n"/>
      <c r="L33" s="34" t="n"/>
      <c r="M33" s="34" t="n"/>
      <c r="N33" s="34" t="n"/>
      <c r="O33" s="50">
        <f>IF(N(AH33)&gt;1,"중복 "&amp;AH33&amp;"곳"&amp;IF(AK33=1," · 최저가",IF(AND(N33="견적접수",R33&lt;&gt;"")," · 비쌈","")),"")</f>
        <v/>
      </c>
      <c r="P33" s="34" t="n"/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6" t="n"/>
      <c r="AA33" s="54">
        <f>IF(OR(Z33="",Y33=""),"",Z33+Y33)</f>
        <v/>
      </c>
      <c r="AB33" s="36" t="n"/>
      <c r="AC33" s="34" t="n"/>
      <c r="AD33" s="36" t="n"/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n"/>
      <c r="C34" s="34" t="n"/>
      <c r="D34" s="34" t="n"/>
      <c r="E34" s="34" t="n"/>
      <c r="F34" s="36" t="n"/>
      <c r="G34" s="36" t="n"/>
      <c r="H34" s="36" t="n"/>
      <c r="I34" s="36" t="n"/>
      <c r="J34" s="36" t="n"/>
      <c r="K34" s="34" t="n"/>
      <c r="L34" s="34" t="n"/>
      <c r="M34" s="34" t="n"/>
      <c r="N34" s="34" t="n"/>
      <c r="O34" s="50">
        <f>IF(N(AH34)&gt;1,"중복 "&amp;AH34&amp;"곳"&amp;IF(AK34=1," · 최저가",IF(AND(N34="견적접수",R34&lt;&gt;"")," · 비쌈","")),"")</f>
        <v/>
      </c>
      <c r="P34" s="34" t="n"/>
      <c r="Q34" s="51" t="n"/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/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n"/>
      <c r="X34" s="34" t="n"/>
      <c r="Y34" s="34" t="n"/>
      <c r="Z34" s="56" t="n"/>
      <c r="AA34" s="54">
        <f>IF(OR(Z34="",Y34=""),"",Z34+Y34)</f>
        <v/>
      </c>
      <c r="AB34" s="36" t="n"/>
      <c r="AC34" s="34" t="n"/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n"/>
      <c r="C35" s="34" t="n"/>
      <c r="D35" s="34" t="n"/>
      <c r="E35" s="34" t="n"/>
      <c r="F35" s="36" t="n"/>
      <c r="G35" s="36" t="n"/>
      <c r="H35" s="36" t="n"/>
      <c r="I35" s="36" t="n"/>
      <c r="J35" s="36" t="n"/>
      <c r="K35" s="34" t="n"/>
      <c r="L35" s="34" t="n"/>
      <c r="M35" s="34" t="n"/>
      <c r="N35" s="34" t="n"/>
      <c r="O35" s="50">
        <f>IF(N(AH35)&gt;1,"중복 "&amp;AH35&amp;"곳"&amp;IF(AK35=1," · 최저가",IF(AND(N35="견적접수",R35&lt;&gt;"")," · 비쌈","")),"")</f>
        <v/>
      </c>
      <c r="P35" s="34" t="n"/>
      <c r="Q35" s="51" t="n"/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/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n"/>
      <c r="X35" s="34" t="n"/>
      <c r="Y35" s="34" t="n"/>
      <c r="Z35" s="56" t="n"/>
      <c r="AA35" s="54">
        <f>IF(OR(Z35="",Y35=""),"",Z35+Y35)</f>
        <v/>
      </c>
      <c r="AB35" s="36" t="n"/>
      <c r="AC35" s="34" t="n"/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n"/>
      <c r="C36" s="34" t="n"/>
      <c r="D36" s="34" t="n"/>
      <c r="E36" s="34" t="n"/>
      <c r="F36" s="36" t="n"/>
      <c r="G36" s="36" t="n"/>
      <c r="H36" s="36" t="n"/>
      <c r="I36" s="36" t="n"/>
      <c r="J36" s="36" t="n"/>
      <c r="K36" s="34" t="n"/>
      <c r="L36" s="34" t="n"/>
      <c r="M36" s="34" t="n"/>
      <c r="N36" s="34" t="n"/>
      <c r="O36" s="50">
        <f>IF(N(AH36)&gt;1,"중복 "&amp;AH36&amp;"곳"&amp;IF(AK36=1," · 최저가",IF(AND(N36="견적접수",R36&lt;&gt;"")," · 비쌈","")),"")</f>
        <v/>
      </c>
      <c r="P36" s="34" t="n"/>
      <c r="Q36" s="51" t="n"/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/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n"/>
      <c r="X36" s="34" t="n"/>
      <c r="Y36" s="34" t="n"/>
      <c r="Z36" s="56" t="n"/>
      <c r="AA36" s="54">
        <f>IF(OR(Z36="",Y36=""),"",Z36+Y36)</f>
        <v/>
      </c>
      <c r="AB36" s="36" t="n"/>
      <c r="AC36" s="34" t="n"/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n"/>
      <c r="C37" s="34" t="n"/>
      <c r="D37" s="34" t="n"/>
      <c r="E37" s="34" t="n"/>
      <c r="F37" s="36" t="n"/>
      <c r="G37" s="36" t="n"/>
      <c r="H37" s="36" t="n"/>
      <c r="I37" s="36" t="n"/>
      <c r="J37" s="36" t="n"/>
      <c r="K37" s="34" t="n"/>
      <c r="L37" s="34" t="n"/>
      <c r="M37" s="34" t="n"/>
      <c r="N37" s="34" t="n"/>
      <c r="O37" s="50">
        <f>IF(N(AH37)&gt;1,"중복 "&amp;AH37&amp;"곳"&amp;IF(AK37=1," · 최저가",IF(AND(N37="견적접수",R37&lt;&gt;"")," · 비쌈","")),"")</f>
        <v/>
      </c>
      <c r="P37" s="34" t="n"/>
      <c r="Q37" s="51" t="n"/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/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n"/>
      <c r="X37" s="34" t="n"/>
      <c r="Y37" s="34" t="n"/>
      <c r="Z37" s="56" t="n"/>
      <c r="AA37" s="54">
        <f>IF(OR(Z37="",Y37=""),"",Z37+Y37)</f>
        <v/>
      </c>
      <c r="AB37" s="36" t="n"/>
      <c r="AC37" s="34" t="n"/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n"/>
      <c r="C38" s="34" t="n"/>
      <c r="D38" s="34" t="n"/>
      <c r="E38" s="34" t="n"/>
      <c r="F38" s="36" t="n"/>
      <c r="G38" s="36" t="n"/>
      <c r="H38" s="36" t="n"/>
      <c r="I38" s="36" t="n"/>
      <c r="J38" s="36" t="n"/>
      <c r="K38" s="34" t="n"/>
      <c r="L38" s="34" t="n"/>
      <c r="M38" s="34" t="n"/>
      <c r="N38" s="34" t="n"/>
      <c r="O38" s="50">
        <f>IF(N(AH38)&gt;1,"중복 "&amp;AH38&amp;"곳"&amp;IF(AK38=1," · 최저가",IF(AND(N38="견적접수",R38&lt;&gt;"")," · 비쌈","")),"")</f>
        <v/>
      </c>
      <c r="P38" s="34" t="n"/>
      <c r="Q38" s="51" t="n"/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/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n"/>
      <c r="X38" s="34" t="n"/>
      <c r="Y38" s="34" t="n"/>
      <c r="Z38" s="56" t="n"/>
      <c r="AA38" s="54">
        <f>IF(OR(Z38="",Y38=""),"",Z38+Y38)</f>
        <v/>
      </c>
      <c r="AB38" s="36" t="n"/>
      <c r="AC38" s="34" t="n"/>
      <c r="AD38" s="36" t="n"/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n"/>
      <c r="C39" s="34" t="n"/>
      <c r="D39" s="34" t="n"/>
      <c r="E39" s="34" t="n"/>
      <c r="F39" s="36" t="n"/>
      <c r="G39" s="36" t="n"/>
      <c r="H39" s="36" t="n"/>
      <c r="I39" s="36" t="n"/>
      <c r="J39" s="36" t="n"/>
      <c r="K39" s="34" t="n"/>
      <c r="L39" s="34" t="n"/>
      <c r="M39" s="34" t="n"/>
      <c r="N39" s="34" t="n"/>
      <c r="O39" s="50">
        <f>IF(N(AH39)&gt;1,"중복 "&amp;AH39&amp;"곳"&amp;IF(AK39=1," · 최저가",IF(AND(N39="견적접수",R39&lt;&gt;"")," · 비쌈","")),"")</f>
        <v/>
      </c>
      <c r="P39" s="34" t="n"/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6" t="n"/>
      <c r="AA39" s="54">
        <f>IF(OR(Z39="",Y39=""),"",Z39+Y39)</f>
        <v/>
      </c>
      <c r="AB39" s="36" t="n"/>
      <c r="AC39" s="34" t="n"/>
      <c r="AD39" s="36" t="n"/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n"/>
      <c r="C40" s="34" t="n"/>
      <c r="D40" s="34" t="n"/>
      <c r="E40" s="34" t="n"/>
      <c r="F40" s="36" t="n"/>
      <c r="G40" s="36" t="n"/>
      <c r="H40" s="36" t="n"/>
      <c r="I40" s="36" t="n"/>
      <c r="J40" s="36" t="n"/>
      <c r="K40" s="34" t="n"/>
      <c r="L40" s="34" t="n"/>
      <c r="M40" s="34" t="n"/>
      <c r="N40" s="34" t="n"/>
      <c r="O40" s="50">
        <f>IF(N(AH40)&gt;1,"중복 "&amp;AH40&amp;"곳"&amp;IF(AK40=1," · 최저가",IF(AND(N40="견적접수",R40&lt;&gt;"")," · 비쌈","")),"")</f>
        <v/>
      </c>
      <c r="P40" s="34" t="n"/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6" t="n"/>
      <c r="AA40" s="54">
        <f>IF(OR(Z40="",Y40=""),"",Z40+Y40)</f>
        <v/>
      </c>
      <c r="AB40" s="36" t="n"/>
      <c r="AC40" s="34" t="n"/>
      <c r="AD40" s="36" t="n"/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n"/>
      <c r="C41" s="34" t="n"/>
      <c r="D41" s="34" t="n"/>
      <c r="E41" s="34" t="n"/>
      <c r="F41" s="36" t="n"/>
      <c r="G41" s="36" t="n"/>
      <c r="H41" s="36" t="n"/>
      <c r="I41" s="36" t="n"/>
      <c r="J41" s="36" t="n"/>
      <c r="K41" s="34" t="n"/>
      <c r="L41" s="34" t="n"/>
      <c r="M41" s="34" t="n"/>
      <c r="N41" s="34" t="n"/>
      <c r="O41" s="50">
        <f>IF(N(AH41)&gt;1,"중복 "&amp;AH41&amp;"곳"&amp;IF(AK41=1," · 최저가",IF(AND(N41="견적접수",R41&lt;&gt;"")," · 비쌈","")),"")</f>
        <v/>
      </c>
      <c r="P41" s="34" t="n"/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6" t="n"/>
      <c r="AA41" s="54">
        <f>IF(OR(Z41="",Y41=""),"",Z41+Y41)</f>
        <v/>
      </c>
      <c r="AB41" s="36" t="n"/>
      <c r="AC41" s="34" t="n"/>
      <c r="AD41" s="36" t="n"/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n"/>
      <c r="C42" s="34" t="n"/>
      <c r="D42" s="34" t="n"/>
      <c r="E42" s="34" t="n"/>
      <c r="F42" s="36" t="n"/>
      <c r="G42" s="36" t="n"/>
      <c r="H42" s="36" t="n"/>
      <c r="I42" s="36" t="n"/>
      <c r="J42" s="36" t="n"/>
      <c r="K42" s="34" t="n"/>
      <c r="L42" s="34" t="n"/>
      <c r="M42" s="34" t="n"/>
      <c r="N42" s="34" t="n"/>
      <c r="O42" s="50">
        <f>IF(N(AH42)&gt;1,"중복 "&amp;AH42&amp;"곳"&amp;IF(AK42=1," · 최저가",IF(AND(N42="견적접수",R42&lt;&gt;"")," · 비쌈","")),"")</f>
        <v/>
      </c>
      <c r="P42" s="34" t="n"/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6" t="n"/>
      <c r="AA42" s="54">
        <f>IF(OR(Z42="",Y42=""),"",Z42+Y42)</f>
        <v/>
      </c>
      <c r="AB42" s="36" t="n"/>
      <c r="AC42" s="34" t="n"/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n"/>
      <c r="C43" s="34" t="n"/>
      <c r="D43" s="34" t="n"/>
      <c r="E43" s="34" t="n"/>
      <c r="F43" s="36" t="n"/>
      <c r="G43" s="36" t="n"/>
      <c r="H43" s="36" t="n"/>
      <c r="I43" s="36" t="n"/>
      <c r="J43" s="36" t="n"/>
      <c r="K43" s="34" t="n"/>
      <c r="L43" s="34" t="n"/>
      <c r="M43" s="34" t="n"/>
      <c r="N43" s="34" t="n"/>
      <c r="O43" s="50">
        <f>IF(N(AH43)&gt;1,"중복 "&amp;AH43&amp;"곳"&amp;IF(AK43=1," · 최저가",IF(AND(N43="견적접수",R43&lt;&gt;"")," · 비쌈","")),"")</f>
        <v/>
      </c>
      <c r="P43" s="34" t="n"/>
      <c r="Q43" s="51" t="n"/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/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/>
      <c r="AA43" s="54">
        <f>IF(OR(Z43="",Y43=""),"",Z43+Y43)</f>
        <v/>
      </c>
      <c r="AB43" s="36" t="n"/>
      <c r="AC43" s="34" t="n"/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n"/>
      <c r="C44" s="34" t="n"/>
      <c r="D44" s="34" t="n"/>
      <c r="E44" s="34" t="n"/>
      <c r="F44" s="36" t="n"/>
      <c r="G44" s="36" t="n"/>
      <c r="H44" s="36" t="n"/>
      <c r="I44" s="36" t="n"/>
      <c r="J44" s="36" t="n"/>
      <c r="K44" s="34" t="n"/>
      <c r="L44" s="34" t="n"/>
      <c r="M44" s="34" t="n"/>
      <c r="N44" s="34" t="n"/>
      <c r="O44" s="50">
        <f>IF(N(AH44)&gt;1,"중복 "&amp;AH44&amp;"곳"&amp;IF(AK44=1," · 최저가",IF(AND(N44="견적접수",R44&lt;&gt;"")," · 비쌈","")),"")</f>
        <v/>
      </c>
      <c r="P44" s="34" t="n"/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/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6" t="n"/>
      <c r="AA44" s="54">
        <f>IF(OR(Z44="",Y44=""),"",Z44+Y44)</f>
        <v/>
      </c>
      <c r="AB44" s="36" t="n"/>
      <c r="AC44" s="34" t="n"/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n"/>
      <c r="C45" s="34" t="n"/>
      <c r="D45" s="34" t="n"/>
      <c r="E45" s="34" t="n"/>
      <c r="F45" s="36" t="n"/>
      <c r="G45" s="36" t="n"/>
      <c r="H45" s="36" t="n"/>
      <c r="I45" s="36" t="n"/>
      <c r="J45" s="36" t="n"/>
      <c r="K45" s="34" t="n"/>
      <c r="L45" s="34" t="n"/>
      <c r="M45" s="34" t="n"/>
      <c r="N45" s="34" t="n"/>
      <c r="O45" s="50">
        <f>IF(N(AH45)&gt;1,"중복 "&amp;AH45&amp;"곳"&amp;IF(AK45=1," · 최저가",IF(AND(N45="견적접수",R45&lt;&gt;"")," · 비쌈","")),"")</f>
        <v/>
      </c>
      <c r="P45" s="34" t="n"/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6" t="n"/>
      <c r="AA45" s="54">
        <f>IF(OR(Z45="",Y45=""),"",Z45+Y45)</f>
        <v/>
      </c>
      <c r="AB45" s="36" t="n"/>
      <c r="AC45" s="34" t="n"/>
      <c r="AD45" s="36" t="n"/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n"/>
      <c r="C46" s="34" t="n"/>
      <c r="D46" s="34" t="n"/>
      <c r="E46" s="34" t="n"/>
      <c r="F46" s="36" t="n"/>
      <c r="G46" s="36" t="n"/>
      <c r="H46" s="36" t="n"/>
      <c r="I46" s="36" t="n"/>
      <c r="J46" s="36" t="n"/>
      <c r="K46" s="34" t="n"/>
      <c r="L46" s="34" t="n"/>
      <c r="M46" s="34" t="n"/>
      <c r="N46" s="34" t="n"/>
      <c r="O46" s="50">
        <f>IF(N(AH46)&gt;1,"중복 "&amp;AH46&amp;"곳"&amp;IF(AK46=1," · 최저가",IF(AND(N46="견적접수",R46&lt;&gt;"")," · 비쌈","")),"")</f>
        <v/>
      </c>
      <c r="P46" s="34" t="n"/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6" t="n"/>
      <c r="AA46" s="54">
        <f>IF(OR(Z46="",Y46=""),"",Z46+Y46)</f>
        <v/>
      </c>
      <c r="AB46" s="36" t="n"/>
      <c r="AC46" s="34" t="n"/>
      <c r="AD46" s="36" t="n"/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n"/>
      <c r="C47" s="34" t="n"/>
      <c r="D47" s="34" t="n"/>
      <c r="E47" s="34" t="n"/>
      <c r="F47" s="36" t="n"/>
      <c r="G47" s="36" t="n"/>
      <c r="H47" s="36" t="n"/>
      <c r="I47" s="36" t="n"/>
      <c r="J47" s="36" t="n"/>
      <c r="K47" s="34" t="n"/>
      <c r="L47" s="34" t="n"/>
      <c r="M47" s="34" t="n"/>
      <c r="N47" s="34" t="n"/>
      <c r="O47" s="50">
        <f>IF(N(AH47)&gt;1,"중복 "&amp;AH47&amp;"곳"&amp;IF(AK47=1," · 최저가",IF(AND(N47="견적접수",R47&lt;&gt;"")," · 비쌈","")),"")</f>
        <v/>
      </c>
      <c r="P47" s="34" t="n"/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6" t="n"/>
      <c r="AA47" s="54">
        <f>IF(OR(Z47="",Y47=""),"",Z47+Y47)</f>
        <v/>
      </c>
      <c r="AB47" s="36" t="n"/>
      <c r="AC47" s="34" t="n"/>
      <c r="AD47" s="36" t="n"/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n"/>
      <c r="C48" s="34" t="n"/>
      <c r="D48" s="34" t="n"/>
      <c r="E48" s="34" t="n"/>
      <c r="F48" s="36" t="n"/>
      <c r="G48" s="36" t="n"/>
      <c r="H48" s="36" t="n"/>
      <c r="I48" s="36" t="n"/>
      <c r="J48" s="36" t="n"/>
      <c r="K48" s="34" t="n"/>
      <c r="L48" s="34" t="n"/>
      <c r="M48" s="34" t="n"/>
      <c r="N48" s="34" t="n"/>
      <c r="O48" s="50">
        <f>IF(N(AH48)&gt;1,"중복 "&amp;AH48&amp;"곳"&amp;IF(AK48=1," · 최저가",IF(AND(N48="견적접수",R48&lt;&gt;"")," · 비쌈","")),"")</f>
        <v/>
      </c>
      <c r="P48" s="34" t="n"/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6" t="n"/>
      <c r="AA48" s="54">
        <f>IF(OR(Z48="",Y48=""),"",Z48+Y48)</f>
        <v/>
      </c>
      <c r="AB48" s="36" t="n"/>
      <c r="AC48" s="34" t="n"/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n"/>
      <c r="C49" s="34" t="n"/>
      <c r="D49" s="34" t="n"/>
      <c r="E49" s="34" t="n"/>
      <c r="F49" s="36" t="n"/>
      <c r="G49" s="36" t="n"/>
      <c r="H49" s="36" t="n"/>
      <c r="I49" s="36" t="n"/>
      <c r="J49" s="36" t="n"/>
      <c r="K49" s="34" t="n"/>
      <c r="L49" s="34" t="n"/>
      <c r="M49" s="34" t="n"/>
      <c r="N49" s="34" t="n"/>
      <c r="O49" s="50">
        <f>IF(N(AH49)&gt;1,"중복 "&amp;AH49&amp;"곳"&amp;IF(AK49=1," · 최저가",IF(AND(N49="견적접수",R49&lt;&gt;"")," · 비쌈","")),"")</f>
        <v/>
      </c>
      <c r="P49" s="34" t="n"/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6" t="n"/>
      <c r="AA49" s="54">
        <f>IF(OR(Z49="",Y49=""),"",Z49+Y49)</f>
        <v/>
      </c>
      <c r="AB49" s="36" t="n"/>
      <c r="AC49" s="34" t="n"/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n"/>
      <c r="C50" s="34" t="n"/>
      <c r="D50" s="34" t="n"/>
      <c r="E50" s="34" t="n"/>
      <c r="F50" s="36" t="n"/>
      <c r="G50" s="36" t="n"/>
      <c r="H50" s="36" t="n"/>
      <c r="I50" s="36" t="n"/>
      <c r="J50" s="36" t="n"/>
      <c r="K50" s="34" t="n"/>
      <c r="L50" s="34" t="n"/>
      <c r="M50" s="34" t="n"/>
      <c r="N50" s="34" t="n"/>
      <c r="O50" s="50">
        <f>IF(N(AH50)&gt;1,"중복 "&amp;AH50&amp;"곳"&amp;IF(AK50=1," · 최저가",IF(AND(N50="견적접수",R50&lt;&gt;"")," · 비쌈","")),"")</f>
        <v/>
      </c>
      <c r="P50" s="34" t="n"/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6" t="n"/>
      <c r="AA50" s="54">
        <f>IF(OR(Z50="",Y50=""),"",Z50+Y50)</f>
        <v/>
      </c>
      <c r="AB50" s="36" t="n"/>
      <c r="AC50" s="34" t="n"/>
      <c r="AD50" s="36" t="n"/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n"/>
      <c r="C51" s="34" t="n"/>
      <c r="D51" s="34" t="n"/>
      <c r="E51" s="34" t="n"/>
      <c r="F51" s="36" t="n"/>
      <c r="G51" s="36" t="n"/>
      <c r="H51" s="36" t="n"/>
      <c r="I51" s="36" t="n"/>
      <c r="J51" s="36" t="n"/>
      <c r="K51" s="34" t="n"/>
      <c r="L51" s="34" t="n"/>
      <c r="M51" s="34" t="n"/>
      <c r="N51" s="34" t="n"/>
      <c r="O51" s="50">
        <f>IF(N(AH51)&gt;1,"중복 "&amp;AH51&amp;"곳"&amp;IF(AK51=1," · 최저가",IF(AND(N51="견적접수",R51&lt;&gt;"")," · 비쌈","")),"")</f>
        <v/>
      </c>
      <c r="P51" s="34" t="n"/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6" t="n"/>
      <c r="AA51" s="54">
        <f>IF(OR(Z51="",Y51=""),"",Z51+Y51)</f>
        <v/>
      </c>
      <c r="AB51" s="36" t="n"/>
      <c r="AC51" s="34" t="n"/>
      <c r="AD51" s="36" t="n"/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n"/>
      <c r="C52" s="34" t="n"/>
      <c r="D52" s="34" t="n"/>
      <c r="E52" s="34" t="n"/>
      <c r="F52" s="36" t="n"/>
      <c r="G52" s="36" t="n"/>
      <c r="H52" s="36" t="n"/>
      <c r="I52" s="36" t="n"/>
      <c r="J52" s="36" t="n"/>
      <c r="K52" s="34" t="n"/>
      <c r="L52" s="34" t="n"/>
      <c r="M52" s="34" t="n"/>
      <c r="N52" s="34" t="n"/>
      <c r="O52" s="50">
        <f>IF(N(AH52)&gt;1,"중복 "&amp;AH52&amp;"곳"&amp;IF(AK52=1," · 최저가",IF(AND(N52="견적접수",R52&lt;&gt;"")," · 비쌈","")),"")</f>
        <v/>
      </c>
      <c r="P52" s="34" t="n"/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6" t="n"/>
      <c r="AA52" s="54">
        <f>IF(OR(Z52="",Y52=""),"",Z52+Y52)</f>
        <v/>
      </c>
      <c r="AB52" s="36" t="n"/>
      <c r="AC52" s="34" t="n"/>
      <c r="AD52" s="36" t="n"/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n"/>
      <c r="C53" s="34" t="n"/>
      <c r="D53" s="34" t="n"/>
      <c r="E53" s="34" t="n"/>
      <c r="F53" s="36" t="n"/>
      <c r="G53" s="36" t="n"/>
      <c r="H53" s="36" t="n"/>
      <c r="I53" s="36" t="n"/>
      <c r="J53" s="36" t="n"/>
      <c r="K53" s="34" t="n"/>
      <c r="L53" s="34" t="n"/>
      <c r="M53" s="34" t="n"/>
      <c r="N53" s="34" t="n"/>
      <c r="O53" s="50">
        <f>IF(N(AH53)&gt;1,"중복 "&amp;AH53&amp;"곳"&amp;IF(AK53=1," · 최저가",IF(AND(N53="견적접수",R53&lt;&gt;"")," · 비쌈","")),"")</f>
        <v/>
      </c>
      <c r="P53" s="34" t="n"/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6" t="n"/>
      <c r="AA53" s="54">
        <f>IF(OR(Z53="",Y53=""),"",Z53+Y53)</f>
        <v/>
      </c>
      <c r="AB53" s="36" t="n"/>
      <c r="AC53" s="34" t="n"/>
      <c r="AD53" s="36" t="n"/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n"/>
      <c r="C54" s="34" t="n"/>
      <c r="D54" s="34" t="n"/>
      <c r="E54" s="34" t="n"/>
      <c r="F54" s="36" t="n"/>
      <c r="G54" s="36" t="n"/>
      <c r="H54" s="36" t="n"/>
      <c r="I54" s="36" t="n"/>
      <c r="J54" s="36" t="n"/>
      <c r="K54" s="34" t="n"/>
      <c r="L54" s="34" t="n"/>
      <c r="M54" s="34" t="n"/>
      <c r="N54" s="34" t="n"/>
      <c r="O54" s="50">
        <f>IF(N(AH54)&gt;1,"중복 "&amp;AH54&amp;"곳"&amp;IF(AK54=1," · 최저가",IF(AND(N54="견적접수",R54&lt;&gt;"")," · 비쌈","")),"")</f>
        <v/>
      </c>
      <c r="P54" s="34" t="n"/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6" t="n"/>
      <c r="AA54" s="54">
        <f>IF(OR(Z54="",Y54=""),"",Z54+Y54)</f>
        <v/>
      </c>
      <c r="AB54" s="36" t="n"/>
      <c r="AC54" s="34" t="n"/>
      <c r="AD54" s="36" t="n"/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n"/>
      <c r="C55" s="34" t="n"/>
      <c r="D55" s="34" t="n"/>
      <c r="E55" s="34" t="n"/>
      <c r="F55" s="36" t="n"/>
      <c r="G55" s="36" t="n"/>
      <c r="H55" s="36" t="n"/>
      <c r="I55" s="36" t="n"/>
      <c r="J55" s="36" t="n"/>
      <c r="K55" s="34" t="n"/>
      <c r="L55" s="34" t="n"/>
      <c r="M55" s="34" t="n"/>
      <c r="N55" s="34" t="n"/>
      <c r="O55" s="50">
        <f>IF(N(AH55)&gt;1,"중복 "&amp;AH55&amp;"곳"&amp;IF(AK55=1," · 최저가",IF(AND(N55="견적접수",R55&lt;&gt;"")," · 비쌈","")),"")</f>
        <v/>
      </c>
      <c r="P55" s="34" t="n"/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6" t="n"/>
      <c r="AA55" s="54">
        <f>IF(OR(Z55="",Y55=""),"",Z55+Y55)</f>
        <v/>
      </c>
      <c r="AB55" s="36" t="n"/>
      <c r="AC55" s="34" t="n"/>
      <c r="AD55" s="36" t="n"/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n"/>
      <c r="C56" s="34" t="n"/>
      <c r="D56" s="34" t="n"/>
      <c r="E56" s="34" t="n"/>
      <c r="F56" s="36" t="n"/>
      <c r="G56" s="36" t="n"/>
      <c r="H56" s="36" t="n"/>
      <c r="I56" s="36" t="n"/>
      <c r="J56" s="36" t="n"/>
      <c r="K56" s="34" t="n"/>
      <c r="L56" s="34" t="n"/>
      <c r="M56" s="34" t="n"/>
      <c r="N56" s="34" t="n"/>
      <c r="O56" s="50">
        <f>IF(N(AH56)&gt;1,"중복 "&amp;AH56&amp;"곳"&amp;IF(AK56=1," · 최저가",IF(AND(N56="견적접수",R56&lt;&gt;"")," · 비쌈","")),"")</f>
        <v/>
      </c>
      <c r="P56" s="34" t="n"/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6" t="n"/>
      <c r="AA56" s="54">
        <f>IF(OR(Z56="",Y56=""),"",Z56+Y56)</f>
        <v/>
      </c>
      <c r="AB56" s="36" t="n"/>
      <c r="AC56" s="34" t="n"/>
      <c r="AD56" s="36" t="n"/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4곳)" type="list">
      <formula1>=설정!$E$5:$E$8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ONEIROI</t>
        </is>
      </c>
      <c r="F1" s="57" t="inlineStr">
        <is>
          <t>IMO 9958327   ·   URGENT   ·   RFQ상 납품항/ETA: Europe - port TBA</t>
        </is>
      </c>
    </row>
    <row r="2" ht="24" customHeight="1">
      <c r="A2" s="41">
        <f>IFERROR(IF(N(INDEX(스케줄!$C$5:$C$14,MATCH("ONEIROI",스케줄!$A$5:$A$14,0)))=0,"다음 일정: 미정 (스케줄 시트에 입력)","다음 일정: "&amp;INDEX(스케줄!$B$5:$B$14,MATCH("ONEIROI",스케줄!$A$5:$A$14,0))&amp;"  "&amp;TEXT(INDEX(스케줄!$C$5:$C$14,MATCH("ONEIROI",스케줄!$A$5:$A$14,0)),"mm/dd")&amp;IF(N(INDEX(스케줄!$D$5:$D$14,MATCH("ONEIROI",스케줄!$A$5:$A$14,0)))=0,"","~"&amp;TEXT(INDEX(스케줄!$D$5:$D$14,MATCH("ONEIROI",스케줄!$A$5:$A$14,0)),"mm/dd"))),"")</f>
        <v/>
      </c>
      <c r="G2" s="42">
        <f>IFERROR(INDEX(스케줄!$I$5:$I$14,MATCH("ONEIROI",스케줄!$A$5:$A$14,0)),"")</f>
        <v/>
      </c>
      <c r="H2" s="43">
        <f>IFERROR(INDEX(스케줄!$J$5:$J$14,MATCH("ONEIROI",스케줄!$A$5:$A$14,0)),"")</f>
        <v/>
      </c>
      <c r="J2" s="44" t="inlineStr">
        <is>
          <t>출고 마감</t>
        </is>
      </c>
      <c r="K2" s="45">
        <f>IFERROR(INDEX(스케줄!$F$5:$F$14,MATCH("ONEIROI",스케줄!$A$5:$A$14,0)),"")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6</v>
      </c>
      <c r="E6" s="34" t="inlineStr">
        <is>
          <t>NORGREN</t>
        </is>
      </c>
      <c r="F6" s="36" t="inlineStr">
        <is>
          <t>AIR FILTER ELEMENT</t>
        </is>
      </c>
      <c r="G6" s="36" t="inlineStr">
        <is>
          <t>NORGREN F05G-2AN-AM3</t>
        </is>
      </c>
      <c r="H6" s="36" t="inlineStr">
        <is>
          <t>3653-28</t>
        </is>
      </c>
      <c r="I6" s="36" t="inlineStr">
        <is>
          <t>MAIN ENGINE/ EGR</t>
        </is>
      </c>
      <c r="J6" s="36" t="inlineStr">
        <is>
          <t>SERVICE KIT-F05G 40 MIC</t>
        </is>
      </c>
      <c r="K6" s="34" t="n">
        <v>100</v>
      </c>
      <c r="L6" s="34" t="inlineStr">
        <is>
          <t>EA</t>
        </is>
      </c>
      <c r="M6" s="34" t="inlineStr">
        <is>
          <t>RMS</t>
        </is>
      </c>
      <c r="N6" s="34" t="inlineStr">
        <is>
          <t>확인필요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/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/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n"/>
      <c r="X6" s="34" t="n"/>
      <c r="Y6" s="34" t="n"/>
      <c r="Z6" s="55" t="n"/>
      <c r="AA6" s="54">
        <f>IF(OR(Z6="",Y6=""),"",Z6+Y6)</f>
        <v/>
      </c>
      <c r="AB6" s="36" t="inlineStr">
        <is>
          <t>NEED TO CHECK NAMEPLATE OR DETAILS</t>
        </is>
      </c>
      <c r="AC6" s="34" t="inlineStr">
        <is>
          <t>정보 송부필요</t>
        </is>
      </c>
      <c r="AD6" s="36" t="inlineStr">
        <is>
          <t>명판 사진/상세정보 RMS에 송부</t>
        </is>
      </c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KQU-000116300</t>
        </is>
      </c>
      <c r="C7" s="34" t="inlineStr">
        <is>
          <t>10</t>
        </is>
      </c>
      <c r="D7" s="34" t="n">
        <v>1</v>
      </c>
      <c r="E7" s="34" t="inlineStr">
        <is>
          <t>HSME</t>
        </is>
      </c>
      <c r="F7" s="36" t="inlineStr">
        <is>
          <t>PMI SENSOR</t>
        </is>
      </c>
      <c r="G7" s="36" t="inlineStr">
        <is>
          <t>HSME CORPORATION/ VIHBW-M20-W27-S4</t>
        </is>
      </c>
      <c r="H7" s="36" t="inlineStr">
        <is>
          <t>VIHBW-M20-W27-S4</t>
        </is>
      </c>
      <c r="I7" s="36" t="inlineStr">
        <is>
          <t>MAIN ENGINE/ CYLINDER UNIT</t>
        </is>
      </c>
      <c r="J7" s="36" t="n"/>
      <c r="K7" s="34" t="n">
        <v>1</v>
      </c>
      <c r="L7" s="34" t="inlineStr">
        <is>
          <t>EA</t>
        </is>
      </c>
      <c r="M7" s="34" t="inlineStr">
        <is>
          <t>RMS</t>
        </is>
      </c>
      <c r="N7" s="34" t="inlineStr">
        <is>
          <t>확인필요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/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/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n"/>
      <c r="X7" s="34" t="n"/>
      <c r="Y7" s="34" t="n"/>
      <c r="Z7" s="55" t="n"/>
      <c r="AA7" s="54">
        <f>IF(OR(Z7="",Y7=""),"",Z7+Y7)</f>
        <v/>
      </c>
      <c r="AB7" s="36" t="inlineStr">
        <is>
          <t>NEED TO CHECK DETAILED PICTURES.</t>
        </is>
      </c>
      <c r="AC7" s="34" t="inlineStr">
        <is>
          <t>정보 송부필요</t>
        </is>
      </c>
      <c r="AD7" s="36" t="inlineStr">
        <is>
          <t>상세 사진 RMS에 송부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KQU-000116307</t>
        </is>
      </c>
      <c r="C8" s="34" t="inlineStr">
        <is>
          <t>11</t>
        </is>
      </c>
      <c r="D8" s="34" t="n">
        <v>1</v>
      </c>
      <c r="E8" s="34" t="inlineStr">
        <is>
          <t>GRUNDFOS</t>
        </is>
      </c>
      <c r="F8" s="36" t="inlineStr">
        <is>
          <t>IMPELLER</t>
        </is>
      </c>
      <c r="G8" s="36" t="inlineStr">
        <is>
          <t>GRUNDFOS/PN-SN A-99574543</t>
        </is>
      </c>
      <c r="H8" s="36" t="inlineStr">
        <is>
          <t>Drawings not available</t>
        </is>
      </c>
      <c r="I8" s="36" t="inlineStr">
        <is>
          <t>M/E EGR WTS. WATER SUPPLY PUMP</t>
        </is>
      </c>
      <c r="J8" s="36" t="n"/>
      <c r="K8" s="34" t="n">
        <v>1</v>
      </c>
      <c r="L8" s="34" t="inlineStr">
        <is>
          <t>pcs</t>
        </is>
      </c>
      <c r="M8" s="34" t="inlineStr">
        <is>
          <t>RMS</t>
        </is>
      </c>
      <c r="N8" s="34" t="inlineStr">
        <is>
          <t>견적접수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KRW</t>
        </is>
      </c>
      <c r="Q8" s="51" t="n">
        <v>34000</v>
      </c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>
        <v>9</v>
      </c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inlineStr">
        <is>
          <t>GENUINE</t>
        </is>
      </c>
      <c r="X8" s="34" t="inlineStr">
        <is>
          <t>EX WORK BUSAN</t>
        </is>
      </c>
      <c r="Y8" s="34" t="n">
        <v>20</v>
      </c>
      <c r="Z8" s="55" t="n"/>
      <c r="AA8" s="54">
        <f>IF(OR(Z8="",Y8=""),"",Z8+Y8)</f>
        <v/>
      </c>
      <c r="AB8" s="36" t="inlineStr">
        <is>
          <t>D/T: 7 WORKING DAYS, GENUINE, EX WORK BUSAN [VALI: 20 DAYS]</t>
        </is>
      </c>
      <c r="AC8" s="34" t="inlineStr">
        <is>
          <t>검토중</t>
        </is>
      </c>
      <c r="AD8" s="36" t="inlineStr">
        <is>
          <t>네덜란드 보급 맞춰 포워딩 확인</t>
        </is>
      </c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KQU-000116307</t>
        </is>
      </c>
      <c r="C9" s="34" t="inlineStr">
        <is>
          <t>11</t>
        </is>
      </c>
      <c r="D9" s="34" t="n">
        <v>2</v>
      </c>
      <c r="E9" s="34" t="inlineStr">
        <is>
          <t>GRUNDFOS</t>
        </is>
      </c>
      <c r="F9" s="36" t="inlineStr">
        <is>
          <t>M/SEAL</t>
        </is>
      </c>
      <c r="G9" s="36" t="inlineStr">
        <is>
          <t>GRUNDFOS/PN-SN A-99574543</t>
        </is>
      </c>
      <c r="H9" s="36" t="inlineStr">
        <is>
          <t>Drawings not available</t>
        </is>
      </c>
      <c r="I9" s="36" t="inlineStr">
        <is>
          <t>M/E EGR WTS. WATER SUPPLY PUMP</t>
        </is>
      </c>
      <c r="J9" s="36" t="n"/>
      <c r="K9" s="34" t="n">
        <v>1</v>
      </c>
      <c r="L9" s="34" t="inlineStr">
        <is>
          <t>pcs</t>
        </is>
      </c>
      <c r="M9" s="34" t="inlineStr">
        <is>
          <t>RMS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KRW</t>
        </is>
      </c>
      <c r="Q9" s="51" t="n">
        <v>290000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9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inlineStr">
        <is>
          <t>GENUINE</t>
        </is>
      </c>
      <c r="X9" s="34" t="inlineStr">
        <is>
          <t>EX WORK BUSAN</t>
        </is>
      </c>
      <c r="Y9" s="34" t="n">
        <v>20</v>
      </c>
      <c r="Z9" s="55" t="n"/>
      <c r="AA9" s="54">
        <f>IF(OR(Z9="",Y9=""),"",Z9+Y9)</f>
        <v/>
      </c>
      <c r="AB9" s="36" t="inlineStr">
        <is>
          <t>D/T: 7 WORKING DAYS, GENUINE, EX WORK BUSAN [VALI: 20 DAYS]</t>
        </is>
      </c>
      <c r="AC9" s="34" t="inlineStr">
        <is>
          <t>검토중</t>
        </is>
      </c>
      <c r="AD9" s="36" t="inlineStr">
        <is>
          <t>네덜란드 보급 맞춰 포워딩 확인</t>
        </is>
      </c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KQU-000116314</t>
        </is>
      </c>
      <c r="C10" s="34" t="inlineStr">
        <is>
          <t>25</t>
        </is>
      </c>
      <c r="D10" s="34" t="n">
        <v>1</v>
      </c>
      <c r="E10" s="34" t="inlineStr">
        <is>
          <t>HACCP MASTER</t>
        </is>
      </c>
      <c r="F10" s="36" t="inlineStr">
        <is>
          <t>Cooking Range Hot Plate</t>
        </is>
      </c>
      <c r="G10" s="36" t="inlineStr">
        <is>
          <t>HACCP MASTER / ER641</t>
        </is>
      </c>
      <c r="H10" s="36" t="inlineStr">
        <is>
          <t>A4-210x297 - 5</t>
        </is>
      </c>
      <c r="I10" s="36" t="inlineStr">
        <is>
          <t>Galley &amp; Laundry equipment. Electric Cooking Range</t>
        </is>
      </c>
      <c r="J10" s="36" t="inlineStr">
        <is>
          <t>Low insulation, Details on drawing</t>
        </is>
      </c>
      <c r="K10" s="34" t="n">
        <v>4</v>
      </c>
      <c r="L10" s="34" t="inlineStr">
        <is>
          <t>pcs</t>
        </is>
      </c>
      <c r="M10" s="34" t="inlineStr">
        <is>
          <t>RMS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KRW</t>
        </is>
      </c>
      <c r="Q10" s="51" t="n">
        <v>320000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3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inlineStr">
        <is>
          <t>GENUINE</t>
        </is>
      </c>
      <c r="X10" s="34" t="inlineStr">
        <is>
          <t>EX WORK BUSAN</t>
        </is>
      </c>
      <c r="Y10" s="34" t="n"/>
      <c r="Z10" s="55" t="n"/>
      <c r="AA10" s="54">
        <f>IF(OR(Z10="",Y10=""),"",Z10+Y10)</f>
        <v/>
      </c>
      <c r="AB10" s="36" t="inlineStr">
        <is>
          <t>D/T: 3 DAYS, GENUINE, EX WORK BUSAN</t>
        </is>
      </c>
      <c r="AC10" s="34" t="inlineStr">
        <is>
          <t>검토중</t>
        </is>
      </c>
      <c r="AD10" s="36" t="inlineStr">
        <is>
          <t>유효기간 미기재 – RMS 확인</t>
        </is>
      </c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선박요청서-30</t>
        </is>
      </c>
      <c r="C11" s="34" t="inlineStr">
        <is>
          <t>30</t>
        </is>
      </c>
      <c r="D11" s="34" t="n">
        <v>1</v>
      </c>
      <c r="E11" s="34" t="inlineStr">
        <is>
          <t>Parker</t>
        </is>
      </c>
      <c r="F11" s="36" t="inlineStr">
        <is>
          <t>Solenoid Valve for Ballast Hyd. System D1VW4CNJWF (THR TYPE)</t>
        </is>
      </c>
      <c r="G11" s="36" t="inlineStr">
        <is>
          <t>Parker</t>
        </is>
      </c>
      <c r="H11" s="36" t="inlineStr">
        <is>
          <t>VPKVVDV4301</t>
        </is>
      </c>
      <c r="I11" s="36" t="inlineStr">
        <is>
          <t>Hyd.VRC</t>
        </is>
      </c>
      <c r="J11" s="36" t="inlineStr">
        <is>
          <t>DWG:VO61-W2008-9 / RMS: 신형 D1VW004CNJW로 견적</t>
        </is>
      </c>
      <c r="K11" s="34" t="n">
        <v>3</v>
      </c>
      <c r="L11" s="34" t="inlineStr">
        <is>
          <t>pcs</t>
        </is>
      </c>
      <c r="M11" s="34" t="inlineStr">
        <is>
          <t>RMS</t>
        </is>
      </c>
      <c r="N11" s="34" t="inlineStr">
        <is>
          <t>견적접수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KRW</t>
        </is>
      </c>
      <c r="Q11" s="51" t="n">
        <v>500000</v>
      </c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>
        <v>90</v>
      </c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inlineStr">
        <is>
          <t>GENUINE</t>
        </is>
      </c>
      <c r="X11" s="34" t="inlineStr">
        <is>
          <t>EX WORK BUSAN</t>
        </is>
      </c>
      <c r="Y11" s="34" t="n">
        <v>20</v>
      </c>
      <c r="Z11" s="55" t="n"/>
      <c r="AA11" s="54">
        <f>IF(OR(Z11="",Y11=""),"",Z11+Y11)</f>
        <v/>
      </c>
      <c r="AB11" s="36" t="inlineStr">
        <is>
          <t>#1 = QUOTE AS NEW TYPE: D1VW004CNJW (OBSOLETE D1VW4CNJWF) / D/T: 90 DAYS, GENUINE, EX WORK BUSAN [VALI: 20 DAYS]</t>
        </is>
      </c>
      <c r="AC11" s="34" t="inlineStr">
        <is>
          <t>검토중</t>
        </is>
      </c>
      <c r="AD11" s="36" t="inlineStr">
        <is>
          <t>신형 대체품 호환 확인</t>
        </is>
      </c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선박요청서-30</t>
        </is>
      </c>
      <c r="C12" s="34" t="inlineStr">
        <is>
          <t>30</t>
        </is>
      </c>
      <c r="D12" s="34" t="n">
        <v>2</v>
      </c>
      <c r="E12" s="34" t="inlineStr">
        <is>
          <t>Parker</t>
        </is>
      </c>
      <c r="F12" s="36" t="inlineStr">
        <is>
          <t>Solenoid Valve for Ballast Hyd. System D1VW20DNJWF (O/S TYPE)</t>
        </is>
      </c>
      <c r="G12" s="36" t="inlineStr">
        <is>
          <t>Parker</t>
        </is>
      </c>
      <c r="H12" s="36" t="inlineStr">
        <is>
          <t>VPKVVDV4201</t>
        </is>
      </c>
      <c r="I12" s="36" t="inlineStr">
        <is>
          <t>Hyd.VRC</t>
        </is>
      </c>
      <c r="J12" s="36" t="inlineStr">
        <is>
          <t>DWG:VO61-W2008-10 / RMS: 신형 D1VW020DNJW로 견적</t>
        </is>
      </c>
      <c r="K12" s="34" t="n">
        <v>3</v>
      </c>
      <c r="L12" s="34" t="inlineStr">
        <is>
          <t>pcs</t>
        </is>
      </c>
      <c r="M12" s="34" t="inlineStr">
        <is>
          <t>RMS</t>
        </is>
      </c>
      <c r="N12" s="34" t="inlineStr">
        <is>
          <t>견적접수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KRW</t>
        </is>
      </c>
      <c r="Q12" s="51" t="n">
        <v>649000</v>
      </c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>
        <v>90</v>
      </c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inlineStr">
        <is>
          <t>GENUINE</t>
        </is>
      </c>
      <c r="X12" s="34" t="inlineStr">
        <is>
          <t>EX WORK BUSAN</t>
        </is>
      </c>
      <c r="Y12" s="34" t="n">
        <v>20</v>
      </c>
      <c r="Z12" s="55" t="n"/>
      <c r="AA12" s="54">
        <f>IF(OR(Z12="",Y12=""),"",Z12+Y12)</f>
        <v/>
      </c>
      <c r="AB12" s="36" t="inlineStr">
        <is>
          <t>#2 = QUOTE AS NEW TYPE: D1VW020DNJW (OBSOLETE D1VW020DNJW) / D/T: 90 DAYS, GENUINE, EX WORK BUSAN [VALI: 20 DAYS]</t>
        </is>
      </c>
      <c r="AC12" s="34" t="inlineStr">
        <is>
          <t>검토중</t>
        </is>
      </c>
      <c r="AD12" s="36" t="inlineStr">
        <is>
          <t>신형 대체품 호환 확인 (RMS 비고의 OBSOLETE 형번 오기 확인)</t>
        </is>
      </c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선박요청서-30</t>
        </is>
      </c>
      <c r="C13" s="34" t="inlineStr">
        <is>
          <t>30</t>
        </is>
      </c>
      <c r="D13" s="34" t="n">
        <v>3</v>
      </c>
      <c r="E13" s="34" t="n"/>
      <c r="F13" s="36" t="inlineStr">
        <is>
          <t>Solenoid Valve for Ballast Hyd. System DHW-0713P</t>
        </is>
      </c>
      <c r="G13" s="36" t="n"/>
      <c r="H13" s="36" t="inlineStr">
        <is>
          <t>VATVDV43001</t>
        </is>
      </c>
      <c r="I13" s="36" t="inlineStr">
        <is>
          <t>Hyd.VRC</t>
        </is>
      </c>
      <c r="J13" s="36" t="inlineStr">
        <is>
          <t>DWG:VO61-W2008-6</t>
        </is>
      </c>
      <c r="K13" s="34" t="n">
        <v>3</v>
      </c>
      <c r="L13" s="34" t="inlineStr">
        <is>
          <t>pcs</t>
        </is>
      </c>
      <c r="M13" s="34" t="inlineStr">
        <is>
          <t>RMS</t>
        </is>
      </c>
      <c r="N13" s="34" t="inlineStr">
        <is>
          <t>공급불가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KRW</t>
        </is>
      </c>
      <c r="Q13" s="51" t="n"/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/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n"/>
      <c r="X13" s="34" t="n"/>
      <c r="Y13" s="34" t="n"/>
      <c r="Z13" s="55" t="n"/>
      <c r="AA13" s="54">
        <f>IF(OR(Z13="",Y13=""),"",Z13+Y13)</f>
        <v/>
      </c>
      <c r="AB13" s="36" t="inlineStr">
        <is>
          <t>NOT AVAILABLE</t>
        </is>
      </c>
      <c r="AC13" s="34" t="inlineStr">
        <is>
          <t>타업체 문의</t>
        </is>
      </c>
      <c r="AD13" s="36" t="inlineStr">
        <is>
          <t>타 업체 견적 요청</t>
        </is>
      </c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선박요청서-30</t>
        </is>
      </c>
      <c r="C14" s="34" t="inlineStr">
        <is>
          <t>30</t>
        </is>
      </c>
      <c r="D14" s="34" t="n">
        <v>4</v>
      </c>
      <c r="E14" s="34" t="n"/>
      <c r="F14" s="36" t="inlineStr">
        <is>
          <t>Solenoid Valve for Ballast Hyd. System DHW-0751/2</t>
        </is>
      </c>
      <c r="G14" s="36" t="n"/>
      <c r="H14" s="36" t="inlineStr">
        <is>
          <t>VATVDV42005</t>
        </is>
      </c>
      <c r="I14" s="36" t="inlineStr">
        <is>
          <t>Hyd.VRC</t>
        </is>
      </c>
      <c r="J14" s="36" t="inlineStr">
        <is>
          <t>DWG:VO61-W2008-7</t>
        </is>
      </c>
      <c r="K14" s="34" t="n">
        <v>3</v>
      </c>
      <c r="L14" s="34" t="inlineStr">
        <is>
          <t>pcs</t>
        </is>
      </c>
      <c r="M14" s="34" t="inlineStr">
        <is>
          <t>RMS</t>
        </is>
      </c>
      <c r="N14" s="34" t="inlineStr">
        <is>
          <t>공급불가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KRW</t>
        </is>
      </c>
      <c r="Q14" s="51" t="n"/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/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n"/>
      <c r="X14" s="34" t="n"/>
      <c r="Y14" s="34" t="n"/>
      <c r="Z14" s="55" t="n"/>
      <c r="AA14" s="54">
        <f>IF(OR(Z14="",Y14=""),"",Z14+Y14)</f>
        <v/>
      </c>
      <c r="AB14" s="36" t="inlineStr">
        <is>
          <t>NOT AVAILABLE</t>
        </is>
      </c>
      <c r="AC14" s="34" t="inlineStr">
        <is>
          <t>타업체 문의</t>
        </is>
      </c>
      <c r="AD14" s="36" t="inlineStr">
        <is>
          <t>타 업체 견적 요청</t>
        </is>
      </c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선박요청서-31</t>
        </is>
      </c>
      <c r="C15" s="34" t="inlineStr">
        <is>
          <t>31</t>
        </is>
      </c>
      <c r="D15" s="34" t="n">
        <v>1</v>
      </c>
      <c r="E15" s="34" t="inlineStr">
        <is>
          <t>GRUNDFOS</t>
        </is>
      </c>
      <c r="F15" s="36" t="inlineStr">
        <is>
          <t>PUMP COMPLETE</t>
        </is>
      </c>
      <c r="G15" s="36" t="inlineStr">
        <is>
          <t>GRUNDFOS/CRN3-7</t>
        </is>
      </c>
      <c r="H15" s="36" t="n"/>
      <c r="I15" s="36" t="inlineStr">
        <is>
          <t>ME EGR WTS PUMP</t>
        </is>
      </c>
      <c r="J15" s="36" t="inlineStr">
        <is>
          <t>RMS: 모터 포함 펌프 완품으로 견적</t>
        </is>
      </c>
      <c r="K15" s="34" t="n">
        <v>1</v>
      </c>
      <c r="L15" s="34" t="inlineStr">
        <is>
          <t>SET</t>
        </is>
      </c>
      <c r="M15" s="34" t="inlineStr">
        <is>
          <t>RMS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KRW</t>
        </is>
      </c>
      <c r="Q15" s="51" t="n">
        <v>1996560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>
        <v>10</v>
      </c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inlineStr">
        <is>
          <t>GENUINE</t>
        </is>
      </c>
      <c r="X15" s="34" t="inlineStr">
        <is>
          <t>EX WORK BUSAN</t>
        </is>
      </c>
      <c r="Y15" s="34" t="n">
        <v>20</v>
      </c>
      <c r="Z15" s="55" t="n"/>
      <c r="AA15" s="54">
        <f>IF(OR(Z15="",Y15=""),"",Z15+Y15)</f>
        <v/>
      </c>
      <c r="AB15" s="36" t="inlineStr">
        <is>
          <t>#1 = QUOTE AS PUMP WITH MOTOR COMPLETE (→ Motor Rated voltage : 3 x 220-255D / 380-440Y V, 60HZ에 사용 됩니다. / ALL: D/T: 10 DAYS, GENUINE, EX WORK BUSAN [VALI: 20 DAYS]</t>
        </is>
      </c>
      <c r="AC15" s="34" t="inlineStr">
        <is>
          <t>검토중</t>
        </is>
      </c>
      <c r="AD15" s="36" t="inlineStr">
        <is>
          <t>모터 전압/60Hz 선내 사양 일치 확인</t>
        </is>
      </c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선박요청서-31</t>
        </is>
      </c>
      <c r="C16" s="34" t="inlineStr">
        <is>
          <t>31</t>
        </is>
      </c>
      <c r="D16" s="34" t="n">
        <v>2</v>
      </c>
      <c r="E16" s="34" t="inlineStr">
        <is>
          <t>GRUNDFOS</t>
        </is>
      </c>
      <c r="F16" s="36" t="inlineStr">
        <is>
          <t>O-RING</t>
        </is>
      </c>
      <c r="G16" s="36" t="inlineStr">
        <is>
          <t>GRUNDFOS/CRN3-7</t>
        </is>
      </c>
      <c r="H16" s="36" t="inlineStr">
        <is>
          <t>CRN3-7-37</t>
        </is>
      </c>
      <c r="I16" s="36" t="inlineStr">
        <is>
          <t>ME EGR WTS PUMP</t>
        </is>
      </c>
      <c r="J16" s="36" t="n"/>
      <c r="K16" s="34" t="n">
        <v>4</v>
      </c>
      <c r="L16" s="34" t="inlineStr">
        <is>
          <t>EA</t>
        </is>
      </c>
      <c r="M16" s="34" t="inlineStr">
        <is>
          <t>RMS</t>
        </is>
      </c>
      <c r="N16" s="34" t="inlineStr">
        <is>
          <t>견적접수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KRW</t>
        </is>
      </c>
      <c r="Q16" s="51" t="n">
        <v>16638</v>
      </c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>
        <v>10</v>
      </c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inlineStr">
        <is>
          <t>GENUINE</t>
        </is>
      </c>
      <c r="X16" s="34" t="inlineStr">
        <is>
          <t>EX WORK BUSAN</t>
        </is>
      </c>
      <c r="Y16" s="34" t="n">
        <v>20</v>
      </c>
      <c r="Z16" s="55" t="n"/>
      <c r="AA16" s="54">
        <f>IF(OR(Z16="",Y16=""),"",Z16+Y16)</f>
        <v/>
      </c>
      <c r="AB16" s="36" t="inlineStr">
        <is>
          <t>ALL: D/T: 10 DAYS, GENUINE, EX WORK BUSAN [VALI: 20 DAYS]</t>
        </is>
      </c>
      <c r="AC16" s="34" t="inlineStr">
        <is>
          <t>검토중</t>
        </is>
      </c>
      <c r="AD16" s="36" t="n"/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선박요청서-31</t>
        </is>
      </c>
      <c r="C17" s="34" t="inlineStr">
        <is>
          <t>31</t>
        </is>
      </c>
      <c r="D17" s="34" t="n">
        <v>3</v>
      </c>
      <c r="E17" s="34" t="inlineStr">
        <is>
          <t>GRUNDFOS</t>
        </is>
      </c>
      <c r="F17" s="36" t="inlineStr">
        <is>
          <t>CHAMBER</t>
        </is>
      </c>
      <c r="G17" s="36" t="inlineStr">
        <is>
          <t>GRUNDFOS/CRN3-7</t>
        </is>
      </c>
      <c r="H17" s="36" t="inlineStr">
        <is>
          <t>CRN3-7-4</t>
        </is>
      </c>
      <c r="I17" s="36" t="inlineStr">
        <is>
          <t>ME EGR WTS PUMP</t>
        </is>
      </c>
      <c r="J17" s="36" t="n"/>
      <c r="K17" s="34" t="n">
        <v>8</v>
      </c>
      <c r="L17" s="34" t="inlineStr">
        <is>
          <t>EA</t>
        </is>
      </c>
      <c r="M17" s="34" t="inlineStr">
        <is>
          <t>RMS</t>
        </is>
      </c>
      <c r="N17" s="34" t="inlineStr">
        <is>
          <t>견적접수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KRW</t>
        </is>
      </c>
      <c r="Q17" s="51" t="n">
        <v>44368</v>
      </c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>
        <v>10</v>
      </c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inlineStr">
        <is>
          <t>GENUINE</t>
        </is>
      </c>
      <c r="X17" s="34" t="inlineStr">
        <is>
          <t>EX WORK BUSAN</t>
        </is>
      </c>
      <c r="Y17" s="34" t="n">
        <v>20</v>
      </c>
      <c r="Z17" s="55" t="n"/>
      <c r="AA17" s="54">
        <f>IF(OR(Z17="",Y17=""),"",Z17+Y17)</f>
        <v/>
      </c>
      <c r="AB17" s="36" t="inlineStr">
        <is>
          <t>ALL: D/T: 10 DAYS, GENUINE, EX WORK BUSAN [VALI: 20 DAYS]</t>
        </is>
      </c>
      <c r="AC17" s="34" t="inlineStr">
        <is>
          <t>검토중</t>
        </is>
      </c>
      <c r="AD17" s="36" t="n"/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inlineStr">
        <is>
          <t>선박요청서-31</t>
        </is>
      </c>
      <c r="C18" s="34" t="inlineStr">
        <is>
          <t>31</t>
        </is>
      </c>
      <c r="D18" s="34" t="n">
        <v>4</v>
      </c>
      <c r="E18" s="34" t="inlineStr">
        <is>
          <t>GRUNDFOS</t>
        </is>
      </c>
      <c r="F18" s="36" t="inlineStr">
        <is>
          <t>CHAMBER WITH BEARING</t>
        </is>
      </c>
      <c r="G18" s="36" t="inlineStr">
        <is>
          <t>GRUNDFOS/CRN3-7</t>
        </is>
      </c>
      <c r="H18" s="36" t="inlineStr">
        <is>
          <t>CRN3-7-4A</t>
        </is>
      </c>
      <c r="I18" s="36" t="inlineStr">
        <is>
          <t>ME EGR WTS PUMP</t>
        </is>
      </c>
      <c r="J18" s="36" t="n"/>
      <c r="K18" s="34" t="n">
        <v>2</v>
      </c>
      <c r="L18" s="34" t="inlineStr">
        <is>
          <t>EA</t>
        </is>
      </c>
      <c r="M18" s="34" t="inlineStr">
        <is>
          <t>RMS</t>
        </is>
      </c>
      <c r="N18" s="34" t="inlineStr">
        <is>
          <t>견적접수</t>
        </is>
      </c>
      <c r="O18" s="50">
        <f>IF(N(AH18)&gt;1,"중복 "&amp;AH18&amp;"곳"&amp;IF(AK18=1," · 최저가",IF(AND(N18="견적접수",R18&lt;&gt;"")," · 비쌈","")),"")</f>
        <v/>
      </c>
      <c r="P18" s="34" t="inlineStr">
        <is>
          <t>KRW</t>
        </is>
      </c>
      <c r="Q18" s="51" t="n">
        <v>49914</v>
      </c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>
        <v>10</v>
      </c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inlineStr">
        <is>
          <t>GENUINE</t>
        </is>
      </c>
      <c r="X18" s="34" t="inlineStr">
        <is>
          <t>EX WORK BUSAN</t>
        </is>
      </c>
      <c r="Y18" s="34" t="n">
        <v>20</v>
      </c>
      <c r="Z18" s="55" t="n"/>
      <c r="AA18" s="54">
        <f>IF(OR(Z18="",Y18=""),"",Z18+Y18)</f>
        <v/>
      </c>
      <c r="AB18" s="36" t="inlineStr">
        <is>
          <t>ALL: D/T: 10 DAYS, GENUINE, EX WORK BUSAN [VALI: 20 DAYS]</t>
        </is>
      </c>
      <c r="AC18" s="34" t="inlineStr">
        <is>
          <t>검토중</t>
        </is>
      </c>
      <c r="AD18" s="36" t="n"/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inlineStr">
        <is>
          <t>선박요청서-31</t>
        </is>
      </c>
      <c r="C19" s="34" t="inlineStr">
        <is>
          <t>31</t>
        </is>
      </c>
      <c r="D19" s="34" t="n">
        <v>5</v>
      </c>
      <c r="E19" s="34" t="inlineStr">
        <is>
          <t>GRUNDFOS</t>
        </is>
      </c>
      <c r="F19" s="36" t="inlineStr">
        <is>
          <t>SPACING PIPE</t>
        </is>
      </c>
      <c r="G19" s="36" t="inlineStr">
        <is>
          <t>GRUNDFOS/CRN3-7</t>
        </is>
      </c>
      <c r="H19" s="36" t="inlineStr">
        <is>
          <t>CRN3-7-64</t>
        </is>
      </c>
      <c r="I19" s="36" t="inlineStr">
        <is>
          <t>ME EGR WTS PUMP</t>
        </is>
      </c>
      <c r="J19" s="36" t="n"/>
      <c r="K19" s="34" t="n">
        <v>7</v>
      </c>
      <c r="L19" s="34" t="inlineStr">
        <is>
          <t>EA</t>
        </is>
      </c>
      <c r="M19" s="34" t="inlineStr">
        <is>
          <t>RMS</t>
        </is>
      </c>
      <c r="N19" s="34" t="inlineStr">
        <is>
          <t>견적접수</t>
        </is>
      </c>
      <c r="O19" s="50">
        <f>IF(N(AH19)&gt;1,"중복 "&amp;AH19&amp;"곳"&amp;IF(AK19=1," · 최저가",IF(AND(N19="견적접수",R19&lt;&gt;"")," · 비쌈","")),"")</f>
        <v/>
      </c>
      <c r="P19" s="34" t="inlineStr">
        <is>
          <t>KRW</t>
        </is>
      </c>
      <c r="Q19" s="51" t="n">
        <v>9982.799999999999</v>
      </c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>
        <v>10</v>
      </c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inlineStr">
        <is>
          <t>GENUINE</t>
        </is>
      </c>
      <c r="X19" s="34" t="inlineStr">
        <is>
          <t>EX WORK BUSAN</t>
        </is>
      </c>
      <c r="Y19" s="34" t="n">
        <v>20</v>
      </c>
      <c r="Z19" s="55" t="n"/>
      <c r="AA19" s="54">
        <f>IF(OR(Z19="",Y19=""),"",Z19+Y19)</f>
        <v/>
      </c>
      <c r="AB19" s="36" t="inlineStr">
        <is>
          <t>ALL: D/T: 10 DAYS, GENUINE, EX WORK BUSAN [VALI: 20 DAYS]</t>
        </is>
      </c>
      <c r="AC19" s="34" t="inlineStr">
        <is>
          <t>검토중</t>
        </is>
      </c>
      <c r="AD19" s="36" t="n"/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inlineStr">
        <is>
          <t>선박요청서-31</t>
        </is>
      </c>
      <c r="C20" s="34" t="inlineStr">
        <is>
          <t>31</t>
        </is>
      </c>
      <c r="D20" s="34" t="n">
        <v>6</v>
      </c>
      <c r="E20" s="34" t="inlineStr">
        <is>
          <t>GRUNDFOS</t>
        </is>
      </c>
      <c r="F20" s="36" t="inlineStr">
        <is>
          <t>SPACING PIPE</t>
        </is>
      </c>
      <c r="G20" s="36" t="inlineStr">
        <is>
          <t>GRUNDFOS/CRN3-7</t>
        </is>
      </c>
      <c r="H20" s="36" t="inlineStr">
        <is>
          <t>CRN3-7-64A</t>
        </is>
      </c>
      <c r="I20" s="36" t="inlineStr">
        <is>
          <t>ME EGR WTS PUMP</t>
        </is>
      </c>
      <c r="J20" s="36" t="n"/>
      <c r="K20" s="34" t="n">
        <v>2</v>
      </c>
      <c r="L20" s="34" t="inlineStr">
        <is>
          <t>EA</t>
        </is>
      </c>
      <c r="M20" s="34" t="inlineStr">
        <is>
          <t>RMS</t>
        </is>
      </c>
      <c r="N20" s="34" t="inlineStr">
        <is>
          <t>견적접수</t>
        </is>
      </c>
      <c r="O20" s="50">
        <f>IF(N(AH20)&gt;1,"중복 "&amp;AH20&amp;"곳"&amp;IF(AK20=1," · 최저가",IF(AND(N20="견적접수",R20&lt;&gt;"")," · 비쌈","")),"")</f>
        <v/>
      </c>
      <c r="P20" s="34" t="inlineStr">
        <is>
          <t>KRW</t>
        </is>
      </c>
      <c r="Q20" s="51" t="n">
        <v>6655.2</v>
      </c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>
        <v>10</v>
      </c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inlineStr">
        <is>
          <t>GENUINE</t>
        </is>
      </c>
      <c r="X20" s="34" t="inlineStr">
        <is>
          <t>EX WORK BUSAN</t>
        </is>
      </c>
      <c r="Y20" s="34" t="n">
        <v>20</v>
      </c>
      <c r="Z20" s="55" t="n"/>
      <c r="AA20" s="54">
        <f>IF(OR(Z20="",Y20=""),"",Z20+Y20)</f>
        <v/>
      </c>
      <c r="AB20" s="36" t="inlineStr">
        <is>
          <t>ALL: D/T: 10 DAYS, GENUINE, EX WORK BUSAN [VALI: 20 DAYS]</t>
        </is>
      </c>
      <c r="AC20" s="34" t="inlineStr">
        <is>
          <t>검토중</t>
        </is>
      </c>
      <c r="AD20" s="36" t="n"/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inlineStr">
        <is>
          <t>선박요청서-31</t>
        </is>
      </c>
      <c r="C21" s="34" t="inlineStr">
        <is>
          <t>31</t>
        </is>
      </c>
      <c r="D21" s="34" t="n">
        <v>7</v>
      </c>
      <c r="E21" s="34" t="inlineStr">
        <is>
          <t>GRUNDFOS</t>
        </is>
      </c>
      <c r="F21" s="36" t="inlineStr">
        <is>
          <t>SPACING PIPE</t>
        </is>
      </c>
      <c r="G21" s="36" t="inlineStr">
        <is>
          <t>GRUNDFOS/CRN3-7</t>
        </is>
      </c>
      <c r="H21" s="36" t="inlineStr">
        <is>
          <t>CRN3-7-64C</t>
        </is>
      </c>
      <c r="I21" s="36" t="inlineStr">
        <is>
          <t>ME EGR WTS PUMP</t>
        </is>
      </c>
      <c r="J21" s="36" t="n"/>
      <c r="K21" s="34" t="n">
        <v>2</v>
      </c>
      <c r="L21" s="34" t="inlineStr">
        <is>
          <t>EA</t>
        </is>
      </c>
      <c r="M21" s="34" t="inlineStr">
        <is>
          <t>RMS</t>
        </is>
      </c>
      <c r="N21" s="34" t="inlineStr">
        <is>
          <t>견적접수</t>
        </is>
      </c>
      <c r="O21" s="50">
        <f>IF(N(AH21)&gt;1,"중복 "&amp;AH21&amp;"곳"&amp;IF(AK21=1," · 최저가",IF(AND(N21="견적접수",R21&lt;&gt;"")," · 비쌈","")),"")</f>
        <v/>
      </c>
      <c r="P21" s="34" t="inlineStr">
        <is>
          <t>KRW</t>
        </is>
      </c>
      <c r="Q21" s="51" t="n">
        <v>27730</v>
      </c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>
        <v>10</v>
      </c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inlineStr">
        <is>
          <t>GENUINE</t>
        </is>
      </c>
      <c r="X21" s="34" t="inlineStr">
        <is>
          <t>EX WORK BUSAN</t>
        </is>
      </c>
      <c r="Y21" s="34" t="n">
        <v>20</v>
      </c>
      <c r="Z21" s="55" t="n"/>
      <c r="AA21" s="54">
        <f>IF(OR(Z21="",Y21=""),"",Z21+Y21)</f>
        <v/>
      </c>
      <c r="AB21" s="36" t="inlineStr">
        <is>
          <t>ALL: D/T: 10 DAYS, GENUINE, EX WORK BUSAN [VALI: 20 DAYS]</t>
        </is>
      </c>
      <c r="AC21" s="34" t="inlineStr">
        <is>
          <t>검토중</t>
        </is>
      </c>
      <c r="AD21" s="36" t="n"/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inlineStr">
        <is>
          <t>선박요청서-31</t>
        </is>
      </c>
      <c r="C22" s="34" t="inlineStr">
        <is>
          <t>31</t>
        </is>
      </c>
      <c r="D22" s="34" t="n">
        <v>8</v>
      </c>
      <c r="E22" s="34" t="inlineStr">
        <is>
          <t>GRUNDFOS</t>
        </is>
      </c>
      <c r="F22" s="36" t="inlineStr">
        <is>
          <t>PACKING FOR IMPELLER</t>
        </is>
      </c>
      <c r="G22" s="36" t="inlineStr">
        <is>
          <t>GRUNDFOS/CRN3-8</t>
        </is>
      </c>
      <c r="H22" s="36" t="n"/>
      <c r="I22" s="36" t="inlineStr">
        <is>
          <t>ME EGR WTS PUMP</t>
        </is>
      </c>
      <c r="J22" s="36" t="n"/>
      <c r="K22" s="34" t="n">
        <v>14</v>
      </c>
      <c r="L22" s="34" t="inlineStr">
        <is>
          <t>EA</t>
        </is>
      </c>
      <c r="M22" s="34" t="inlineStr">
        <is>
          <t>RMS</t>
        </is>
      </c>
      <c r="N22" s="34" t="inlineStr">
        <is>
          <t>공급불가</t>
        </is>
      </c>
      <c r="O22" s="50">
        <f>IF(N(AH22)&gt;1,"중복 "&amp;AH22&amp;"곳"&amp;IF(AK22=1," · 최저가",IF(AND(N22="견적접수",R22&lt;&gt;"")," · 비쌈","")),"")</f>
        <v/>
      </c>
      <c r="P22" s="34" t="inlineStr">
        <is>
          <t>KRW</t>
        </is>
      </c>
      <c r="Q22" s="51" t="n"/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n"/>
      <c r="Y22" s="34" t="n"/>
      <c r="Z22" s="55" t="n"/>
      <c r="AA22" s="54">
        <f>IF(OR(Z22="",Y22=""),"",Z22+Y22)</f>
        <v/>
      </c>
      <c r="AB22" s="36" t="inlineStr">
        <is>
          <t>NOT AVAILABLE</t>
        </is>
      </c>
      <c r="AC22" s="34" t="inlineStr">
        <is>
          <t>타업체 문의</t>
        </is>
      </c>
      <c r="AD22" s="36" t="inlineStr">
        <is>
          <t>타 업체 견적 요청</t>
        </is>
      </c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inlineStr">
        <is>
          <t>선박요청서-31</t>
        </is>
      </c>
      <c r="C23" s="34" t="inlineStr">
        <is>
          <t>31</t>
        </is>
      </c>
      <c r="D23" s="34" t="n">
        <v>9</v>
      </c>
      <c r="E23" s="34" t="inlineStr">
        <is>
          <t>GRUNDFOS</t>
        </is>
      </c>
      <c r="F23" s="36" t="inlineStr">
        <is>
          <t>IMPELLER</t>
        </is>
      </c>
      <c r="G23" s="36" t="inlineStr">
        <is>
          <t>GRUNDFOS/CRN3-7</t>
        </is>
      </c>
      <c r="H23" s="36" t="inlineStr">
        <is>
          <t>CRN3-7-49</t>
        </is>
      </c>
      <c r="I23" s="36" t="inlineStr">
        <is>
          <t>ME EGR WTS PUMP</t>
        </is>
      </c>
      <c r="J23" s="36" t="n"/>
      <c r="K23" s="34" t="n">
        <v>8</v>
      </c>
      <c r="L23" s="34" t="inlineStr">
        <is>
          <t>EA</t>
        </is>
      </c>
      <c r="M23" s="34" t="inlineStr">
        <is>
          <t>RMS</t>
        </is>
      </c>
      <c r="N23" s="34" t="inlineStr">
        <is>
          <t>견적접수</t>
        </is>
      </c>
      <c r="O23" s="50">
        <f>IF(N(AH23)&gt;1,"중복 "&amp;AH23&amp;"곳"&amp;IF(AK23=1," · 최저가",IF(AND(N23="견적접수",R23&lt;&gt;"")," · 비쌈","")),"")</f>
        <v/>
      </c>
      <c r="P23" s="34" t="inlineStr">
        <is>
          <t>KRW</t>
        </is>
      </c>
      <c r="Q23" s="51" t="n">
        <v>33276</v>
      </c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>
        <v>10</v>
      </c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inlineStr">
        <is>
          <t>GENUINE</t>
        </is>
      </c>
      <c r="X23" s="34" t="inlineStr">
        <is>
          <t>EX WORK BUSAN</t>
        </is>
      </c>
      <c r="Y23" s="34" t="n">
        <v>20</v>
      </c>
      <c r="Z23" s="55" t="n"/>
      <c r="AA23" s="54">
        <f>IF(OR(Z23="",Y23=""),"",Z23+Y23)</f>
        <v/>
      </c>
      <c r="AB23" s="36" t="inlineStr">
        <is>
          <t>ALL: D/T: 10 DAYS, GENUINE, EX WORK BUSAN [VALI: 20 DAYS]</t>
        </is>
      </c>
      <c r="AC23" s="34" t="inlineStr">
        <is>
          <t>검토중</t>
        </is>
      </c>
      <c r="AD23" s="36" t="n"/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inlineStr">
        <is>
          <t>선박요청서-31</t>
        </is>
      </c>
      <c r="C24" s="34" t="inlineStr">
        <is>
          <t>31</t>
        </is>
      </c>
      <c r="D24" s="34" t="n">
        <v>10</v>
      </c>
      <c r="E24" s="34" t="inlineStr">
        <is>
          <t>GRUNDFOS</t>
        </is>
      </c>
      <c r="F24" s="36" t="inlineStr">
        <is>
          <t>IMPELLER, SPECIAL</t>
        </is>
      </c>
      <c r="G24" s="36" t="inlineStr">
        <is>
          <t>GRUNDFOS/CRN3-7</t>
        </is>
      </c>
      <c r="H24" s="36" t="inlineStr">
        <is>
          <t>CRN3-7-49G</t>
        </is>
      </c>
      <c r="I24" s="36" t="inlineStr">
        <is>
          <t>ME EGR WTS PUMP</t>
        </is>
      </c>
      <c r="J24" s="36" t="n"/>
      <c r="K24" s="34" t="n">
        <v>2</v>
      </c>
      <c r="L24" s="34" t="inlineStr">
        <is>
          <t>EA</t>
        </is>
      </c>
      <c r="M24" s="34" t="inlineStr">
        <is>
          <t>RMS</t>
        </is>
      </c>
      <c r="N24" s="34" t="inlineStr">
        <is>
          <t>공급불가</t>
        </is>
      </c>
      <c r="O24" s="50">
        <f>IF(N(AH24)&gt;1,"중복 "&amp;AH24&amp;"곳"&amp;IF(AK24=1," · 최저가",IF(AND(N24="견적접수",R24&lt;&gt;"")," · 비쌈","")),"")</f>
        <v/>
      </c>
      <c r="P24" s="34" t="inlineStr">
        <is>
          <t>KRW</t>
        </is>
      </c>
      <c r="Q24" s="51" t="n"/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/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n"/>
      <c r="X24" s="34" t="n"/>
      <c r="Y24" s="34" t="n"/>
      <c r="Z24" s="55" t="n"/>
      <c r="AA24" s="54">
        <f>IF(OR(Z24="",Y24=""),"",Z24+Y24)</f>
        <v/>
      </c>
      <c r="AB24" s="36" t="inlineStr">
        <is>
          <t>NOT AVAILABLE</t>
        </is>
      </c>
      <c r="AC24" s="34" t="inlineStr">
        <is>
          <t>타업체 문의</t>
        </is>
      </c>
      <c r="AD24" s="36" t="inlineStr">
        <is>
          <t>타 업체 견적 요청</t>
        </is>
      </c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inlineStr">
        <is>
          <t>선박요청서-31</t>
        </is>
      </c>
      <c r="C25" s="34" t="inlineStr">
        <is>
          <t>31</t>
        </is>
      </c>
      <c r="D25" s="34" t="n">
        <v>11</v>
      </c>
      <c r="E25" s="34" t="inlineStr">
        <is>
          <t>GRUNDFOS</t>
        </is>
      </c>
      <c r="F25" s="36" t="inlineStr">
        <is>
          <t>WASHER</t>
        </is>
      </c>
      <c r="G25" s="36" t="inlineStr">
        <is>
          <t>GRUNDFOS/CRN3-7</t>
        </is>
      </c>
      <c r="H25" s="36" t="inlineStr">
        <is>
          <t>CRN3-7-66</t>
        </is>
      </c>
      <c r="I25" s="36" t="inlineStr">
        <is>
          <t>ME EGR WTS PUMP</t>
        </is>
      </c>
      <c r="J25" s="36" t="n"/>
      <c r="K25" s="34" t="n">
        <v>4</v>
      </c>
      <c r="L25" s="34" t="inlineStr">
        <is>
          <t>EA</t>
        </is>
      </c>
      <c r="M25" s="34" t="inlineStr">
        <is>
          <t>RMS</t>
        </is>
      </c>
      <c r="N25" s="34" t="inlineStr">
        <is>
          <t>견적접수</t>
        </is>
      </c>
      <c r="O25" s="50">
        <f>IF(N(AH25)&gt;1,"중복 "&amp;AH25&amp;"곳"&amp;IF(AK25=1," · 최저가",IF(AND(N25="견적접수",R25&lt;&gt;"")," · 비쌈","")),"")</f>
        <v/>
      </c>
      <c r="P25" s="34" t="inlineStr">
        <is>
          <t>KRW</t>
        </is>
      </c>
      <c r="Q25" s="51" t="n">
        <v>14419.6</v>
      </c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>
        <v>10</v>
      </c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inlineStr">
        <is>
          <t>GENUINE</t>
        </is>
      </c>
      <c r="X25" s="34" t="inlineStr">
        <is>
          <t>EX WORK BUSAN</t>
        </is>
      </c>
      <c r="Y25" s="34" t="n">
        <v>20</v>
      </c>
      <c r="Z25" s="55" t="n"/>
      <c r="AA25" s="54">
        <f>IF(OR(Z25="",Y25=""),"",Z25+Y25)</f>
        <v/>
      </c>
      <c r="AB25" s="36" t="inlineStr">
        <is>
          <t>ALL: D/T: 10 DAYS, GENUINE, EX WORK BUSAN [VALI: 20 DAYS]</t>
        </is>
      </c>
      <c r="AC25" s="34" t="inlineStr">
        <is>
          <t>검토중</t>
        </is>
      </c>
      <c r="AD25" s="36" t="n"/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inlineStr">
        <is>
          <t>선박요청서-31</t>
        </is>
      </c>
      <c r="C26" s="34" t="inlineStr">
        <is>
          <t>31</t>
        </is>
      </c>
      <c r="D26" s="34" t="n">
        <v>12</v>
      </c>
      <c r="E26" s="34" t="inlineStr">
        <is>
          <t>GRUNDFOS</t>
        </is>
      </c>
      <c r="F26" s="36" t="inlineStr">
        <is>
          <t>NUT</t>
        </is>
      </c>
      <c r="G26" s="36" t="inlineStr">
        <is>
          <t>GRUNDFOS/CRN3-7</t>
        </is>
      </c>
      <c r="H26" s="36" t="inlineStr">
        <is>
          <t>CRN3-7-67</t>
        </is>
      </c>
      <c r="I26" s="36" t="inlineStr">
        <is>
          <t>ME EGR WTS PUMP</t>
        </is>
      </c>
      <c r="J26" s="36" t="n"/>
      <c r="K26" s="34" t="n">
        <v>2</v>
      </c>
      <c r="L26" s="34" t="inlineStr">
        <is>
          <t>EA</t>
        </is>
      </c>
      <c r="M26" s="34" t="inlineStr">
        <is>
          <t>RMS</t>
        </is>
      </c>
      <c r="N26" s="34" t="inlineStr">
        <is>
          <t>견적접수</t>
        </is>
      </c>
      <c r="O26" s="50">
        <f>IF(N(AH26)&gt;1,"중복 "&amp;AH26&amp;"곳"&amp;IF(AK26=1," · 최저가",IF(AND(N26="견적접수",R26&lt;&gt;"")," · 비쌈","")),"")</f>
        <v/>
      </c>
      <c r="P26" s="34" t="inlineStr">
        <is>
          <t>KRW</t>
        </is>
      </c>
      <c r="Q26" s="51" t="n">
        <v>8873.6</v>
      </c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>
        <v>10</v>
      </c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inlineStr">
        <is>
          <t>GENUINE</t>
        </is>
      </c>
      <c r="X26" s="34" t="inlineStr">
        <is>
          <t>EX WORK BUSAN</t>
        </is>
      </c>
      <c r="Y26" s="34" t="n">
        <v>20</v>
      </c>
      <c r="Z26" s="55" t="n"/>
      <c r="AA26" s="54">
        <f>IF(OR(Z26="",Y26=""),"",Z26+Y26)</f>
        <v/>
      </c>
      <c r="AB26" s="36" t="inlineStr">
        <is>
          <t>ALL: D/T: 10 DAYS, GENUINE, EX WORK BUSAN [VALI: 20 DAYS]</t>
        </is>
      </c>
      <c r="AC26" s="34" t="inlineStr">
        <is>
          <t>검토중</t>
        </is>
      </c>
      <c r="AD26" s="36" t="n"/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inlineStr">
        <is>
          <t>선박요청서-31</t>
        </is>
      </c>
      <c r="C27" s="34" t="inlineStr">
        <is>
          <t>31</t>
        </is>
      </c>
      <c r="D27" s="34" t="n">
        <v>13</v>
      </c>
      <c r="E27" s="34" t="inlineStr">
        <is>
          <t>GRUNDFOS</t>
        </is>
      </c>
      <c r="F27" s="36" t="inlineStr">
        <is>
          <t>M/SEAL</t>
        </is>
      </c>
      <c r="G27" s="36" t="inlineStr">
        <is>
          <t>GRUNDFOS/CRN3-7</t>
        </is>
      </c>
      <c r="H27" s="36" t="n"/>
      <c r="I27" s="36" t="inlineStr">
        <is>
          <t>ME EGR WTS PUMP</t>
        </is>
      </c>
      <c r="J27" s="36" t="n"/>
      <c r="K27" s="34" t="n">
        <v>2</v>
      </c>
      <c r="L27" s="34" t="inlineStr">
        <is>
          <t>SET</t>
        </is>
      </c>
      <c r="M27" s="34" t="inlineStr">
        <is>
          <t>RMS</t>
        </is>
      </c>
      <c r="N27" s="34" t="inlineStr">
        <is>
          <t>견적접수</t>
        </is>
      </c>
      <c r="O27" s="50">
        <f>IF(N(AH27)&gt;1,"중복 "&amp;AH27&amp;"곳"&amp;IF(AK27=1," · 최저가",IF(AND(N27="견적접수",R27&lt;&gt;"")," · 비쌈","")),"")</f>
        <v/>
      </c>
      <c r="P27" s="34" t="inlineStr">
        <is>
          <t>KRW</t>
        </is>
      </c>
      <c r="Q27" s="51" t="n">
        <v>288392</v>
      </c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>
        <v>10</v>
      </c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inlineStr">
        <is>
          <t>GENUINE</t>
        </is>
      </c>
      <c r="X27" s="34" t="inlineStr">
        <is>
          <t>EX WORK BUSAN</t>
        </is>
      </c>
      <c r="Y27" s="34" t="n">
        <v>20</v>
      </c>
      <c r="Z27" s="55" t="n"/>
      <c r="AA27" s="54">
        <f>IF(OR(Z27="",Y27=""),"",Z27+Y27)</f>
        <v/>
      </c>
      <c r="AB27" s="36" t="inlineStr">
        <is>
          <t>ALL: D/T: 10 DAYS, GENUINE, EX WORK BUSAN [VALI: 20 DAYS]</t>
        </is>
      </c>
      <c r="AC27" s="34" t="inlineStr">
        <is>
          <t>검토중</t>
        </is>
      </c>
      <c r="AD27" s="36" t="n"/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inlineStr">
        <is>
          <t>선박요청서-31</t>
        </is>
      </c>
      <c r="C28" s="34" t="inlineStr">
        <is>
          <t>31</t>
        </is>
      </c>
      <c r="D28" s="34" t="n">
        <v>14</v>
      </c>
      <c r="E28" s="34" t="inlineStr">
        <is>
          <t>GRUNDFOS</t>
        </is>
      </c>
      <c r="F28" s="36" t="inlineStr">
        <is>
          <t>BEARING RING</t>
        </is>
      </c>
      <c r="G28" s="36" t="inlineStr">
        <is>
          <t>GRUNDFOS/CRN3-7</t>
        </is>
      </c>
      <c r="H28" s="36" t="inlineStr">
        <is>
          <t>CRN3-7-47A</t>
        </is>
      </c>
      <c r="I28" s="36" t="inlineStr">
        <is>
          <t>ME EGR WTS PUMP</t>
        </is>
      </c>
      <c r="J28" s="36" t="n"/>
      <c r="K28" s="34" t="n">
        <v>2</v>
      </c>
      <c r="L28" s="34" t="inlineStr">
        <is>
          <t>EA</t>
        </is>
      </c>
      <c r="M28" s="34" t="inlineStr">
        <is>
          <t>RMS</t>
        </is>
      </c>
      <c r="N28" s="34" t="inlineStr">
        <is>
          <t>견적접수</t>
        </is>
      </c>
      <c r="O28" s="50">
        <f>IF(N(AH28)&gt;1,"중복 "&amp;AH28&amp;"곳"&amp;IF(AK28=1," · 최저가",IF(AND(N28="견적접수",R28&lt;&gt;"")," · 비쌈","")),"")</f>
        <v/>
      </c>
      <c r="P28" s="34" t="inlineStr">
        <is>
          <t>KRW</t>
        </is>
      </c>
      <c r="Q28" s="51" t="n">
        <v>33276</v>
      </c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>
        <v>10</v>
      </c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inlineStr">
        <is>
          <t>GENUINE</t>
        </is>
      </c>
      <c r="X28" s="34" t="inlineStr">
        <is>
          <t>EX WORK BUSAN</t>
        </is>
      </c>
      <c r="Y28" s="34" t="n">
        <v>20</v>
      </c>
      <c r="Z28" s="55" t="n"/>
      <c r="AA28" s="54">
        <f>IF(OR(Z28="",Y28=""),"",Z28+Y28)</f>
        <v/>
      </c>
      <c r="AB28" s="36" t="inlineStr">
        <is>
          <t>ALL: D/T: 10 DAYS, GENUINE, EX WORK BUSAN [VALI: 20 DAYS]</t>
        </is>
      </c>
      <c r="AC28" s="34" t="inlineStr">
        <is>
          <t>검토중</t>
        </is>
      </c>
      <c r="AD28" s="36" t="n"/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n"/>
      <c r="C29" s="34" t="n"/>
      <c r="D29" s="34" t="n"/>
      <c r="E29" s="34" t="n"/>
      <c r="F29" s="36" t="n"/>
      <c r="G29" s="36" t="n"/>
      <c r="H29" s="36" t="n"/>
      <c r="I29" s="36" t="n"/>
      <c r="J29" s="36" t="n"/>
      <c r="K29" s="34" t="n"/>
      <c r="L29" s="34" t="n"/>
      <c r="M29" s="34" t="n"/>
      <c r="N29" s="34" t="n"/>
      <c r="O29" s="50">
        <f>IF(N(AH29)&gt;1,"중복 "&amp;AH29&amp;"곳"&amp;IF(AK29=1," · 최저가",IF(AND(N29="견적접수",R29&lt;&gt;"")," · 비쌈","")),"")</f>
        <v/>
      </c>
      <c r="P29" s="34" t="n"/>
      <c r="Q29" s="51" t="n"/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/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n"/>
      <c r="X29" s="34" t="n"/>
      <c r="Y29" s="34" t="n"/>
      <c r="Z29" s="56" t="n"/>
      <c r="AA29" s="54">
        <f>IF(OR(Z29="",Y29=""),"",Z29+Y29)</f>
        <v/>
      </c>
      <c r="AB29" s="36" t="n"/>
      <c r="AC29" s="34" t="n"/>
      <c r="AD29" s="36" t="n"/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n"/>
      <c r="C30" s="34" t="n"/>
      <c r="D30" s="34" t="n"/>
      <c r="E30" s="34" t="n"/>
      <c r="F30" s="36" t="n"/>
      <c r="G30" s="36" t="n"/>
      <c r="H30" s="36" t="n"/>
      <c r="I30" s="36" t="n"/>
      <c r="J30" s="36" t="n"/>
      <c r="K30" s="34" t="n"/>
      <c r="L30" s="34" t="n"/>
      <c r="M30" s="34" t="n"/>
      <c r="N30" s="34" t="n"/>
      <c r="O30" s="50">
        <f>IF(N(AH30)&gt;1,"중복 "&amp;AH30&amp;"곳"&amp;IF(AK30=1," · 최저가",IF(AND(N30="견적접수",R30&lt;&gt;"")," · 비쌈","")),"")</f>
        <v/>
      </c>
      <c r="P30" s="34" t="n"/>
      <c r="Q30" s="51" t="n"/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/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n"/>
      <c r="X30" s="34" t="n"/>
      <c r="Y30" s="34" t="n"/>
      <c r="Z30" s="56" t="n"/>
      <c r="AA30" s="54">
        <f>IF(OR(Z30="",Y30=""),"",Z30+Y30)</f>
        <v/>
      </c>
      <c r="AB30" s="36" t="n"/>
      <c r="AC30" s="34" t="n"/>
      <c r="AD30" s="36" t="n"/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n"/>
      <c r="C31" s="34" t="n"/>
      <c r="D31" s="34" t="n"/>
      <c r="E31" s="34" t="n"/>
      <c r="F31" s="36" t="n"/>
      <c r="G31" s="36" t="n"/>
      <c r="H31" s="36" t="n"/>
      <c r="I31" s="36" t="n"/>
      <c r="J31" s="36" t="n"/>
      <c r="K31" s="34" t="n"/>
      <c r="L31" s="34" t="n"/>
      <c r="M31" s="34" t="n"/>
      <c r="N31" s="34" t="n"/>
      <c r="O31" s="50">
        <f>IF(N(AH31)&gt;1,"중복 "&amp;AH31&amp;"곳"&amp;IF(AK31=1," · 최저가",IF(AND(N31="견적접수",R31&lt;&gt;"")," · 비쌈","")),"")</f>
        <v/>
      </c>
      <c r="P31" s="34" t="n"/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6" t="n"/>
      <c r="AA31" s="54">
        <f>IF(OR(Z31="",Y31=""),"",Z31+Y31)</f>
        <v/>
      </c>
      <c r="AB31" s="36" t="n"/>
      <c r="AC31" s="34" t="n"/>
      <c r="AD31" s="36" t="n"/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n"/>
      <c r="C32" s="34" t="n"/>
      <c r="D32" s="34" t="n"/>
      <c r="E32" s="34" t="n"/>
      <c r="F32" s="36" t="n"/>
      <c r="G32" s="36" t="n"/>
      <c r="H32" s="36" t="n"/>
      <c r="I32" s="36" t="n"/>
      <c r="J32" s="36" t="n"/>
      <c r="K32" s="34" t="n"/>
      <c r="L32" s="34" t="n"/>
      <c r="M32" s="34" t="n"/>
      <c r="N32" s="34" t="n"/>
      <c r="O32" s="50">
        <f>IF(N(AH32)&gt;1,"중복 "&amp;AH32&amp;"곳"&amp;IF(AK32=1," · 최저가",IF(AND(N32="견적접수",R32&lt;&gt;"")," · 비쌈","")),"")</f>
        <v/>
      </c>
      <c r="P32" s="34" t="n"/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6" t="n"/>
      <c r="AA32" s="54">
        <f>IF(OR(Z32="",Y32=""),"",Z32+Y32)</f>
        <v/>
      </c>
      <c r="AB32" s="36" t="n"/>
      <c r="AC32" s="34" t="n"/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n"/>
      <c r="C33" s="34" t="n"/>
      <c r="D33" s="34" t="n"/>
      <c r="E33" s="34" t="n"/>
      <c r="F33" s="36" t="n"/>
      <c r="G33" s="36" t="n"/>
      <c r="H33" s="36" t="n"/>
      <c r="I33" s="36" t="n"/>
      <c r="J33" s="36" t="n"/>
      <c r="K33" s="34" t="n"/>
      <c r="L33" s="34" t="n"/>
      <c r="M33" s="34" t="n"/>
      <c r="N33" s="34" t="n"/>
      <c r="O33" s="50">
        <f>IF(N(AH33)&gt;1,"중복 "&amp;AH33&amp;"곳"&amp;IF(AK33=1," · 최저가",IF(AND(N33="견적접수",R33&lt;&gt;"")," · 비쌈","")),"")</f>
        <v/>
      </c>
      <c r="P33" s="34" t="n"/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6" t="n"/>
      <c r="AA33" s="54">
        <f>IF(OR(Z33="",Y33=""),"",Z33+Y33)</f>
        <v/>
      </c>
      <c r="AB33" s="36" t="n"/>
      <c r="AC33" s="34" t="n"/>
      <c r="AD33" s="36" t="n"/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n"/>
      <c r="C34" s="34" t="n"/>
      <c r="D34" s="34" t="n"/>
      <c r="E34" s="34" t="n"/>
      <c r="F34" s="36" t="n"/>
      <c r="G34" s="36" t="n"/>
      <c r="H34" s="36" t="n"/>
      <c r="I34" s="36" t="n"/>
      <c r="J34" s="36" t="n"/>
      <c r="K34" s="34" t="n"/>
      <c r="L34" s="34" t="n"/>
      <c r="M34" s="34" t="n"/>
      <c r="N34" s="34" t="n"/>
      <c r="O34" s="50">
        <f>IF(N(AH34)&gt;1,"중복 "&amp;AH34&amp;"곳"&amp;IF(AK34=1," · 최저가",IF(AND(N34="견적접수",R34&lt;&gt;"")," · 비쌈","")),"")</f>
        <v/>
      </c>
      <c r="P34" s="34" t="n"/>
      <c r="Q34" s="51" t="n"/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/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n"/>
      <c r="X34" s="34" t="n"/>
      <c r="Y34" s="34" t="n"/>
      <c r="Z34" s="56" t="n"/>
      <c r="AA34" s="54">
        <f>IF(OR(Z34="",Y34=""),"",Z34+Y34)</f>
        <v/>
      </c>
      <c r="AB34" s="36" t="n"/>
      <c r="AC34" s="34" t="n"/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n"/>
      <c r="C35" s="34" t="n"/>
      <c r="D35" s="34" t="n"/>
      <c r="E35" s="34" t="n"/>
      <c r="F35" s="36" t="n"/>
      <c r="G35" s="36" t="n"/>
      <c r="H35" s="36" t="n"/>
      <c r="I35" s="36" t="n"/>
      <c r="J35" s="36" t="n"/>
      <c r="K35" s="34" t="n"/>
      <c r="L35" s="34" t="n"/>
      <c r="M35" s="34" t="n"/>
      <c r="N35" s="34" t="n"/>
      <c r="O35" s="50">
        <f>IF(N(AH35)&gt;1,"중복 "&amp;AH35&amp;"곳"&amp;IF(AK35=1," · 최저가",IF(AND(N35="견적접수",R35&lt;&gt;"")," · 비쌈","")),"")</f>
        <v/>
      </c>
      <c r="P35" s="34" t="n"/>
      <c r="Q35" s="51" t="n"/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/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n"/>
      <c r="X35" s="34" t="n"/>
      <c r="Y35" s="34" t="n"/>
      <c r="Z35" s="56" t="n"/>
      <c r="AA35" s="54">
        <f>IF(OR(Z35="",Y35=""),"",Z35+Y35)</f>
        <v/>
      </c>
      <c r="AB35" s="36" t="n"/>
      <c r="AC35" s="34" t="n"/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n"/>
      <c r="C36" s="34" t="n"/>
      <c r="D36" s="34" t="n"/>
      <c r="E36" s="34" t="n"/>
      <c r="F36" s="36" t="n"/>
      <c r="G36" s="36" t="n"/>
      <c r="H36" s="36" t="n"/>
      <c r="I36" s="36" t="n"/>
      <c r="J36" s="36" t="n"/>
      <c r="K36" s="34" t="n"/>
      <c r="L36" s="34" t="n"/>
      <c r="M36" s="34" t="n"/>
      <c r="N36" s="34" t="n"/>
      <c r="O36" s="50">
        <f>IF(N(AH36)&gt;1,"중복 "&amp;AH36&amp;"곳"&amp;IF(AK36=1," · 최저가",IF(AND(N36="견적접수",R36&lt;&gt;"")," · 비쌈","")),"")</f>
        <v/>
      </c>
      <c r="P36" s="34" t="n"/>
      <c r="Q36" s="51" t="n"/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/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n"/>
      <c r="X36" s="34" t="n"/>
      <c r="Y36" s="34" t="n"/>
      <c r="Z36" s="56" t="n"/>
      <c r="AA36" s="54">
        <f>IF(OR(Z36="",Y36=""),"",Z36+Y36)</f>
        <v/>
      </c>
      <c r="AB36" s="36" t="n"/>
      <c r="AC36" s="34" t="n"/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n"/>
      <c r="C37" s="34" t="n"/>
      <c r="D37" s="34" t="n"/>
      <c r="E37" s="34" t="n"/>
      <c r="F37" s="36" t="n"/>
      <c r="G37" s="36" t="n"/>
      <c r="H37" s="36" t="n"/>
      <c r="I37" s="36" t="n"/>
      <c r="J37" s="36" t="n"/>
      <c r="K37" s="34" t="n"/>
      <c r="L37" s="34" t="n"/>
      <c r="M37" s="34" t="n"/>
      <c r="N37" s="34" t="n"/>
      <c r="O37" s="50">
        <f>IF(N(AH37)&gt;1,"중복 "&amp;AH37&amp;"곳"&amp;IF(AK37=1," · 최저가",IF(AND(N37="견적접수",R37&lt;&gt;"")," · 비쌈","")),"")</f>
        <v/>
      </c>
      <c r="P37" s="34" t="n"/>
      <c r="Q37" s="51" t="n"/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/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n"/>
      <c r="X37" s="34" t="n"/>
      <c r="Y37" s="34" t="n"/>
      <c r="Z37" s="56" t="n"/>
      <c r="AA37" s="54">
        <f>IF(OR(Z37="",Y37=""),"",Z37+Y37)</f>
        <v/>
      </c>
      <c r="AB37" s="36" t="n"/>
      <c r="AC37" s="34" t="n"/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n"/>
      <c r="C38" s="34" t="n"/>
      <c r="D38" s="34" t="n"/>
      <c r="E38" s="34" t="n"/>
      <c r="F38" s="36" t="n"/>
      <c r="G38" s="36" t="n"/>
      <c r="H38" s="36" t="n"/>
      <c r="I38" s="36" t="n"/>
      <c r="J38" s="36" t="n"/>
      <c r="K38" s="34" t="n"/>
      <c r="L38" s="34" t="n"/>
      <c r="M38" s="34" t="n"/>
      <c r="N38" s="34" t="n"/>
      <c r="O38" s="50">
        <f>IF(N(AH38)&gt;1,"중복 "&amp;AH38&amp;"곳"&amp;IF(AK38=1," · 최저가",IF(AND(N38="견적접수",R38&lt;&gt;"")," · 비쌈","")),"")</f>
        <v/>
      </c>
      <c r="P38" s="34" t="n"/>
      <c r="Q38" s="51" t="n"/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/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n"/>
      <c r="X38" s="34" t="n"/>
      <c r="Y38" s="34" t="n"/>
      <c r="Z38" s="56" t="n"/>
      <c r="AA38" s="54">
        <f>IF(OR(Z38="",Y38=""),"",Z38+Y38)</f>
        <v/>
      </c>
      <c r="AB38" s="36" t="n"/>
      <c r="AC38" s="34" t="n"/>
      <c r="AD38" s="36" t="n"/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n"/>
      <c r="C39" s="34" t="n"/>
      <c r="D39" s="34" t="n"/>
      <c r="E39" s="34" t="n"/>
      <c r="F39" s="36" t="n"/>
      <c r="G39" s="36" t="n"/>
      <c r="H39" s="36" t="n"/>
      <c r="I39" s="36" t="n"/>
      <c r="J39" s="36" t="n"/>
      <c r="K39" s="34" t="n"/>
      <c r="L39" s="34" t="n"/>
      <c r="M39" s="34" t="n"/>
      <c r="N39" s="34" t="n"/>
      <c r="O39" s="50">
        <f>IF(N(AH39)&gt;1,"중복 "&amp;AH39&amp;"곳"&amp;IF(AK39=1," · 최저가",IF(AND(N39="견적접수",R39&lt;&gt;"")," · 비쌈","")),"")</f>
        <v/>
      </c>
      <c r="P39" s="34" t="n"/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6" t="n"/>
      <c r="AA39" s="54">
        <f>IF(OR(Z39="",Y39=""),"",Z39+Y39)</f>
        <v/>
      </c>
      <c r="AB39" s="36" t="n"/>
      <c r="AC39" s="34" t="n"/>
      <c r="AD39" s="36" t="n"/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n"/>
      <c r="C40" s="34" t="n"/>
      <c r="D40" s="34" t="n"/>
      <c r="E40" s="34" t="n"/>
      <c r="F40" s="36" t="n"/>
      <c r="G40" s="36" t="n"/>
      <c r="H40" s="36" t="n"/>
      <c r="I40" s="36" t="n"/>
      <c r="J40" s="36" t="n"/>
      <c r="K40" s="34" t="n"/>
      <c r="L40" s="34" t="n"/>
      <c r="M40" s="34" t="n"/>
      <c r="N40" s="34" t="n"/>
      <c r="O40" s="50">
        <f>IF(N(AH40)&gt;1,"중복 "&amp;AH40&amp;"곳"&amp;IF(AK40=1," · 최저가",IF(AND(N40="견적접수",R40&lt;&gt;"")," · 비쌈","")),"")</f>
        <v/>
      </c>
      <c r="P40" s="34" t="n"/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6" t="n"/>
      <c r="AA40" s="54">
        <f>IF(OR(Z40="",Y40=""),"",Z40+Y40)</f>
        <v/>
      </c>
      <c r="AB40" s="36" t="n"/>
      <c r="AC40" s="34" t="n"/>
      <c r="AD40" s="36" t="n"/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n"/>
      <c r="C41" s="34" t="n"/>
      <c r="D41" s="34" t="n"/>
      <c r="E41" s="34" t="n"/>
      <c r="F41" s="36" t="n"/>
      <c r="G41" s="36" t="n"/>
      <c r="H41" s="36" t="n"/>
      <c r="I41" s="36" t="n"/>
      <c r="J41" s="36" t="n"/>
      <c r="K41" s="34" t="n"/>
      <c r="L41" s="34" t="n"/>
      <c r="M41" s="34" t="n"/>
      <c r="N41" s="34" t="n"/>
      <c r="O41" s="50">
        <f>IF(N(AH41)&gt;1,"중복 "&amp;AH41&amp;"곳"&amp;IF(AK41=1," · 최저가",IF(AND(N41="견적접수",R41&lt;&gt;"")," · 비쌈","")),"")</f>
        <v/>
      </c>
      <c r="P41" s="34" t="n"/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6" t="n"/>
      <c r="AA41" s="54">
        <f>IF(OR(Z41="",Y41=""),"",Z41+Y41)</f>
        <v/>
      </c>
      <c r="AB41" s="36" t="n"/>
      <c r="AC41" s="34" t="n"/>
      <c r="AD41" s="36" t="n"/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n"/>
      <c r="C42" s="34" t="n"/>
      <c r="D42" s="34" t="n"/>
      <c r="E42" s="34" t="n"/>
      <c r="F42" s="36" t="n"/>
      <c r="G42" s="36" t="n"/>
      <c r="H42" s="36" t="n"/>
      <c r="I42" s="36" t="n"/>
      <c r="J42" s="36" t="n"/>
      <c r="K42" s="34" t="n"/>
      <c r="L42" s="34" t="n"/>
      <c r="M42" s="34" t="n"/>
      <c r="N42" s="34" t="n"/>
      <c r="O42" s="50">
        <f>IF(N(AH42)&gt;1,"중복 "&amp;AH42&amp;"곳"&amp;IF(AK42=1," · 최저가",IF(AND(N42="견적접수",R42&lt;&gt;"")," · 비쌈","")),"")</f>
        <v/>
      </c>
      <c r="P42" s="34" t="n"/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6" t="n"/>
      <c r="AA42" s="54">
        <f>IF(OR(Z42="",Y42=""),"",Z42+Y42)</f>
        <v/>
      </c>
      <c r="AB42" s="36" t="n"/>
      <c r="AC42" s="34" t="n"/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n"/>
      <c r="C43" s="34" t="n"/>
      <c r="D43" s="34" t="n"/>
      <c r="E43" s="34" t="n"/>
      <c r="F43" s="36" t="n"/>
      <c r="G43" s="36" t="n"/>
      <c r="H43" s="36" t="n"/>
      <c r="I43" s="36" t="n"/>
      <c r="J43" s="36" t="n"/>
      <c r="K43" s="34" t="n"/>
      <c r="L43" s="34" t="n"/>
      <c r="M43" s="34" t="n"/>
      <c r="N43" s="34" t="n"/>
      <c r="O43" s="50">
        <f>IF(N(AH43)&gt;1,"중복 "&amp;AH43&amp;"곳"&amp;IF(AK43=1," · 최저가",IF(AND(N43="견적접수",R43&lt;&gt;"")," · 비쌈","")),"")</f>
        <v/>
      </c>
      <c r="P43" s="34" t="n"/>
      <c r="Q43" s="51" t="n"/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/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/>
      <c r="AA43" s="54">
        <f>IF(OR(Z43="",Y43=""),"",Z43+Y43)</f>
        <v/>
      </c>
      <c r="AB43" s="36" t="n"/>
      <c r="AC43" s="34" t="n"/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n"/>
      <c r="C44" s="34" t="n"/>
      <c r="D44" s="34" t="n"/>
      <c r="E44" s="34" t="n"/>
      <c r="F44" s="36" t="n"/>
      <c r="G44" s="36" t="n"/>
      <c r="H44" s="36" t="n"/>
      <c r="I44" s="36" t="n"/>
      <c r="J44" s="36" t="n"/>
      <c r="K44" s="34" t="n"/>
      <c r="L44" s="34" t="n"/>
      <c r="M44" s="34" t="n"/>
      <c r="N44" s="34" t="n"/>
      <c r="O44" s="50">
        <f>IF(N(AH44)&gt;1,"중복 "&amp;AH44&amp;"곳"&amp;IF(AK44=1," · 최저가",IF(AND(N44="견적접수",R44&lt;&gt;"")," · 비쌈","")),"")</f>
        <v/>
      </c>
      <c r="P44" s="34" t="n"/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/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6" t="n"/>
      <c r="AA44" s="54">
        <f>IF(OR(Z44="",Y44=""),"",Z44+Y44)</f>
        <v/>
      </c>
      <c r="AB44" s="36" t="n"/>
      <c r="AC44" s="34" t="n"/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n"/>
      <c r="C45" s="34" t="n"/>
      <c r="D45" s="34" t="n"/>
      <c r="E45" s="34" t="n"/>
      <c r="F45" s="36" t="n"/>
      <c r="G45" s="36" t="n"/>
      <c r="H45" s="36" t="n"/>
      <c r="I45" s="36" t="n"/>
      <c r="J45" s="36" t="n"/>
      <c r="K45" s="34" t="n"/>
      <c r="L45" s="34" t="n"/>
      <c r="M45" s="34" t="n"/>
      <c r="N45" s="34" t="n"/>
      <c r="O45" s="50">
        <f>IF(N(AH45)&gt;1,"중복 "&amp;AH45&amp;"곳"&amp;IF(AK45=1," · 최저가",IF(AND(N45="견적접수",R45&lt;&gt;"")," · 비쌈","")),"")</f>
        <v/>
      </c>
      <c r="P45" s="34" t="n"/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6" t="n"/>
      <c r="AA45" s="54">
        <f>IF(OR(Z45="",Y45=""),"",Z45+Y45)</f>
        <v/>
      </c>
      <c r="AB45" s="36" t="n"/>
      <c r="AC45" s="34" t="n"/>
      <c r="AD45" s="36" t="n"/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n"/>
      <c r="C46" s="34" t="n"/>
      <c r="D46" s="34" t="n"/>
      <c r="E46" s="34" t="n"/>
      <c r="F46" s="36" t="n"/>
      <c r="G46" s="36" t="n"/>
      <c r="H46" s="36" t="n"/>
      <c r="I46" s="36" t="n"/>
      <c r="J46" s="36" t="n"/>
      <c r="K46" s="34" t="n"/>
      <c r="L46" s="34" t="n"/>
      <c r="M46" s="34" t="n"/>
      <c r="N46" s="34" t="n"/>
      <c r="O46" s="50">
        <f>IF(N(AH46)&gt;1,"중복 "&amp;AH46&amp;"곳"&amp;IF(AK46=1," · 최저가",IF(AND(N46="견적접수",R46&lt;&gt;"")," · 비쌈","")),"")</f>
        <v/>
      </c>
      <c r="P46" s="34" t="n"/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6" t="n"/>
      <c r="AA46" s="54">
        <f>IF(OR(Z46="",Y46=""),"",Z46+Y46)</f>
        <v/>
      </c>
      <c r="AB46" s="36" t="n"/>
      <c r="AC46" s="34" t="n"/>
      <c r="AD46" s="36" t="n"/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n"/>
      <c r="C47" s="34" t="n"/>
      <c r="D47" s="34" t="n"/>
      <c r="E47" s="34" t="n"/>
      <c r="F47" s="36" t="n"/>
      <c r="G47" s="36" t="n"/>
      <c r="H47" s="36" t="n"/>
      <c r="I47" s="36" t="n"/>
      <c r="J47" s="36" t="n"/>
      <c r="K47" s="34" t="n"/>
      <c r="L47" s="34" t="n"/>
      <c r="M47" s="34" t="n"/>
      <c r="N47" s="34" t="n"/>
      <c r="O47" s="50">
        <f>IF(N(AH47)&gt;1,"중복 "&amp;AH47&amp;"곳"&amp;IF(AK47=1," · 최저가",IF(AND(N47="견적접수",R47&lt;&gt;"")," · 비쌈","")),"")</f>
        <v/>
      </c>
      <c r="P47" s="34" t="n"/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6" t="n"/>
      <c r="AA47" s="54">
        <f>IF(OR(Z47="",Y47=""),"",Z47+Y47)</f>
        <v/>
      </c>
      <c r="AB47" s="36" t="n"/>
      <c r="AC47" s="34" t="n"/>
      <c r="AD47" s="36" t="n"/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n"/>
      <c r="C48" s="34" t="n"/>
      <c r="D48" s="34" t="n"/>
      <c r="E48" s="34" t="n"/>
      <c r="F48" s="36" t="n"/>
      <c r="G48" s="36" t="n"/>
      <c r="H48" s="36" t="n"/>
      <c r="I48" s="36" t="n"/>
      <c r="J48" s="36" t="n"/>
      <c r="K48" s="34" t="n"/>
      <c r="L48" s="34" t="n"/>
      <c r="M48" s="34" t="n"/>
      <c r="N48" s="34" t="n"/>
      <c r="O48" s="50">
        <f>IF(N(AH48)&gt;1,"중복 "&amp;AH48&amp;"곳"&amp;IF(AK48=1," · 최저가",IF(AND(N48="견적접수",R48&lt;&gt;"")," · 비쌈","")),"")</f>
        <v/>
      </c>
      <c r="P48" s="34" t="n"/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6" t="n"/>
      <c r="AA48" s="54">
        <f>IF(OR(Z48="",Y48=""),"",Z48+Y48)</f>
        <v/>
      </c>
      <c r="AB48" s="36" t="n"/>
      <c r="AC48" s="34" t="n"/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n"/>
      <c r="C49" s="34" t="n"/>
      <c r="D49" s="34" t="n"/>
      <c r="E49" s="34" t="n"/>
      <c r="F49" s="36" t="n"/>
      <c r="G49" s="36" t="n"/>
      <c r="H49" s="36" t="n"/>
      <c r="I49" s="36" t="n"/>
      <c r="J49" s="36" t="n"/>
      <c r="K49" s="34" t="n"/>
      <c r="L49" s="34" t="n"/>
      <c r="M49" s="34" t="n"/>
      <c r="N49" s="34" t="n"/>
      <c r="O49" s="50">
        <f>IF(N(AH49)&gt;1,"중복 "&amp;AH49&amp;"곳"&amp;IF(AK49=1," · 최저가",IF(AND(N49="견적접수",R49&lt;&gt;"")," · 비쌈","")),"")</f>
        <v/>
      </c>
      <c r="P49" s="34" t="n"/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6" t="n"/>
      <c r="AA49" s="54">
        <f>IF(OR(Z49="",Y49=""),"",Z49+Y49)</f>
        <v/>
      </c>
      <c r="AB49" s="36" t="n"/>
      <c r="AC49" s="34" t="n"/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n"/>
      <c r="C50" s="34" t="n"/>
      <c r="D50" s="34" t="n"/>
      <c r="E50" s="34" t="n"/>
      <c r="F50" s="36" t="n"/>
      <c r="G50" s="36" t="n"/>
      <c r="H50" s="36" t="n"/>
      <c r="I50" s="36" t="n"/>
      <c r="J50" s="36" t="n"/>
      <c r="K50" s="34" t="n"/>
      <c r="L50" s="34" t="n"/>
      <c r="M50" s="34" t="n"/>
      <c r="N50" s="34" t="n"/>
      <c r="O50" s="50">
        <f>IF(N(AH50)&gt;1,"중복 "&amp;AH50&amp;"곳"&amp;IF(AK50=1," · 최저가",IF(AND(N50="견적접수",R50&lt;&gt;"")," · 비쌈","")),"")</f>
        <v/>
      </c>
      <c r="P50" s="34" t="n"/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6" t="n"/>
      <c r="AA50" s="54">
        <f>IF(OR(Z50="",Y50=""),"",Z50+Y50)</f>
        <v/>
      </c>
      <c r="AB50" s="36" t="n"/>
      <c r="AC50" s="34" t="n"/>
      <c r="AD50" s="36" t="n"/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n"/>
      <c r="C51" s="34" t="n"/>
      <c r="D51" s="34" t="n"/>
      <c r="E51" s="34" t="n"/>
      <c r="F51" s="36" t="n"/>
      <c r="G51" s="36" t="n"/>
      <c r="H51" s="36" t="n"/>
      <c r="I51" s="36" t="n"/>
      <c r="J51" s="36" t="n"/>
      <c r="K51" s="34" t="n"/>
      <c r="L51" s="34" t="n"/>
      <c r="M51" s="34" t="n"/>
      <c r="N51" s="34" t="n"/>
      <c r="O51" s="50">
        <f>IF(N(AH51)&gt;1,"중복 "&amp;AH51&amp;"곳"&amp;IF(AK51=1," · 최저가",IF(AND(N51="견적접수",R51&lt;&gt;"")," · 비쌈","")),"")</f>
        <v/>
      </c>
      <c r="P51" s="34" t="n"/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6" t="n"/>
      <c r="AA51" s="54">
        <f>IF(OR(Z51="",Y51=""),"",Z51+Y51)</f>
        <v/>
      </c>
      <c r="AB51" s="36" t="n"/>
      <c r="AC51" s="34" t="n"/>
      <c r="AD51" s="36" t="n"/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n"/>
      <c r="C52" s="34" t="n"/>
      <c r="D52" s="34" t="n"/>
      <c r="E52" s="34" t="n"/>
      <c r="F52" s="36" t="n"/>
      <c r="G52" s="36" t="n"/>
      <c r="H52" s="36" t="n"/>
      <c r="I52" s="36" t="n"/>
      <c r="J52" s="36" t="n"/>
      <c r="K52" s="34" t="n"/>
      <c r="L52" s="34" t="n"/>
      <c r="M52" s="34" t="n"/>
      <c r="N52" s="34" t="n"/>
      <c r="O52" s="50">
        <f>IF(N(AH52)&gt;1,"중복 "&amp;AH52&amp;"곳"&amp;IF(AK52=1," · 최저가",IF(AND(N52="견적접수",R52&lt;&gt;"")," · 비쌈","")),"")</f>
        <v/>
      </c>
      <c r="P52" s="34" t="n"/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6" t="n"/>
      <c r="AA52" s="54">
        <f>IF(OR(Z52="",Y52=""),"",Z52+Y52)</f>
        <v/>
      </c>
      <c r="AB52" s="36" t="n"/>
      <c r="AC52" s="34" t="n"/>
      <c r="AD52" s="36" t="n"/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n"/>
      <c r="C53" s="34" t="n"/>
      <c r="D53" s="34" t="n"/>
      <c r="E53" s="34" t="n"/>
      <c r="F53" s="36" t="n"/>
      <c r="G53" s="36" t="n"/>
      <c r="H53" s="36" t="n"/>
      <c r="I53" s="36" t="n"/>
      <c r="J53" s="36" t="n"/>
      <c r="K53" s="34" t="n"/>
      <c r="L53" s="34" t="n"/>
      <c r="M53" s="34" t="n"/>
      <c r="N53" s="34" t="n"/>
      <c r="O53" s="50">
        <f>IF(N(AH53)&gt;1,"중복 "&amp;AH53&amp;"곳"&amp;IF(AK53=1," · 최저가",IF(AND(N53="견적접수",R53&lt;&gt;"")," · 비쌈","")),"")</f>
        <v/>
      </c>
      <c r="P53" s="34" t="n"/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6" t="n"/>
      <c r="AA53" s="54">
        <f>IF(OR(Z53="",Y53=""),"",Z53+Y53)</f>
        <v/>
      </c>
      <c r="AB53" s="36" t="n"/>
      <c r="AC53" s="34" t="n"/>
      <c r="AD53" s="36" t="n"/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n"/>
      <c r="C54" s="34" t="n"/>
      <c r="D54" s="34" t="n"/>
      <c r="E54" s="34" t="n"/>
      <c r="F54" s="36" t="n"/>
      <c r="G54" s="36" t="n"/>
      <c r="H54" s="36" t="n"/>
      <c r="I54" s="36" t="n"/>
      <c r="J54" s="36" t="n"/>
      <c r="K54" s="34" t="n"/>
      <c r="L54" s="34" t="n"/>
      <c r="M54" s="34" t="n"/>
      <c r="N54" s="34" t="n"/>
      <c r="O54" s="50">
        <f>IF(N(AH54)&gt;1,"중복 "&amp;AH54&amp;"곳"&amp;IF(AK54=1," · 최저가",IF(AND(N54="견적접수",R54&lt;&gt;"")," · 비쌈","")),"")</f>
        <v/>
      </c>
      <c r="P54" s="34" t="n"/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6" t="n"/>
      <c r="AA54" s="54">
        <f>IF(OR(Z54="",Y54=""),"",Z54+Y54)</f>
        <v/>
      </c>
      <c r="AB54" s="36" t="n"/>
      <c r="AC54" s="34" t="n"/>
      <c r="AD54" s="36" t="n"/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n"/>
      <c r="C55" s="34" t="n"/>
      <c r="D55" s="34" t="n"/>
      <c r="E55" s="34" t="n"/>
      <c r="F55" s="36" t="n"/>
      <c r="G55" s="36" t="n"/>
      <c r="H55" s="36" t="n"/>
      <c r="I55" s="36" t="n"/>
      <c r="J55" s="36" t="n"/>
      <c r="K55" s="34" t="n"/>
      <c r="L55" s="34" t="n"/>
      <c r="M55" s="34" t="n"/>
      <c r="N55" s="34" t="n"/>
      <c r="O55" s="50">
        <f>IF(N(AH55)&gt;1,"중복 "&amp;AH55&amp;"곳"&amp;IF(AK55=1," · 최저가",IF(AND(N55="견적접수",R55&lt;&gt;"")," · 비쌈","")),"")</f>
        <v/>
      </c>
      <c r="P55" s="34" t="n"/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6" t="n"/>
      <c r="AA55" s="54">
        <f>IF(OR(Z55="",Y55=""),"",Z55+Y55)</f>
        <v/>
      </c>
      <c r="AB55" s="36" t="n"/>
      <c r="AC55" s="34" t="n"/>
      <c r="AD55" s="36" t="n"/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n"/>
      <c r="C56" s="34" t="n"/>
      <c r="D56" s="34" t="n"/>
      <c r="E56" s="34" t="n"/>
      <c r="F56" s="36" t="n"/>
      <c r="G56" s="36" t="n"/>
      <c r="H56" s="36" t="n"/>
      <c r="I56" s="36" t="n"/>
      <c r="J56" s="36" t="n"/>
      <c r="K56" s="34" t="n"/>
      <c r="L56" s="34" t="n"/>
      <c r="M56" s="34" t="n"/>
      <c r="N56" s="34" t="n"/>
      <c r="O56" s="50">
        <f>IF(N(AH56)&gt;1,"중복 "&amp;AH56&amp;"곳"&amp;IF(AK56=1," · 최저가",IF(AND(N56="견적접수",R56&lt;&gt;"")," · 비쌈","")),"")</f>
        <v/>
      </c>
      <c r="P56" s="34" t="n"/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6" t="n"/>
      <c r="AA56" s="54">
        <f>IF(OR(Z56="",Y56=""),"",Z56+Y56)</f>
        <v/>
      </c>
      <c r="AB56" s="36" t="n"/>
      <c r="AC56" s="34" t="n"/>
      <c r="AD56" s="36" t="n"/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4곳)" type="list">
      <formula1>=설정!$E$5:$E$8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4" customWidth="1" min="3" max="3"/>
    <col width="14" customWidth="1" min="4" max="4"/>
    <col width="11" customWidth="1" min="5" max="5"/>
    <col width="34" customWidth="1" min="6" max="6"/>
    <col width="7" customWidth="1" min="7" max="7"/>
    <col width="9" customWidth="1" min="8" max="8"/>
    <col width="8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14" customWidth="1" min="15" max="15"/>
    <col width="30" customWidth="1" min="16" max="16"/>
  </cols>
  <sheetData>
    <row r="1">
      <c r="A1" s="1" t="inlineStr">
        <is>
          <t>RFQ 목록 (발송한 견적요청서)</t>
        </is>
      </c>
    </row>
    <row r="2">
      <c r="A2" s="2" t="inlineStr">
        <is>
          <t>RFQ별 견적 확보 현황과 업체별 회신 줄 수 (선박 시트에서 자동 집계) · 새 RFQ는 빈 줄에 추가</t>
        </is>
      </c>
    </row>
    <row r="4" ht="32" customHeight="1">
      <c r="A4" s="4" t="inlineStr">
        <is>
          <t>파일</t>
        </is>
      </c>
      <c r="B4" s="4" t="inlineStr">
        <is>
          <t>RFQ No.</t>
        </is>
      </c>
      <c r="C4" s="4" t="inlineStr">
        <is>
          <t>Maker</t>
        </is>
      </c>
      <c r="D4" s="4" t="inlineStr">
        <is>
          <t>Category</t>
        </is>
      </c>
      <c r="E4" s="4" t="inlineStr">
        <is>
          <t>RFQ일</t>
        </is>
      </c>
      <c r="F4" s="4" t="inlineStr">
        <is>
          <t>대상 선박</t>
        </is>
      </c>
      <c r="G4" s="4" t="inlineStr">
        <is>
          <t>품목수</t>
        </is>
      </c>
      <c r="H4" s="18" t="inlineStr">
        <is>
          <t>견적확보
품목</t>
        </is>
      </c>
      <c r="I4" s="18" t="inlineStr">
        <is>
          <t>미확보</t>
        </is>
      </c>
      <c r="J4" s="18">
        <f>IF(설정!$E$5="","-",설정!$E$5&amp;" 회신")</f>
        <v/>
      </c>
      <c r="K4" s="18">
        <f>IF(설정!$E$6="","-",설정!$E$6&amp;" 회신")</f>
        <v/>
      </c>
      <c r="L4" s="18">
        <f>IF(설정!$E$7="","-",설정!$E$7&amp;" 회신")</f>
        <v/>
      </c>
      <c r="M4" s="18">
        <f>IF(설정!$E$8="","-",설정!$E$8&amp;" 회신")</f>
        <v/>
      </c>
      <c r="N4" s="18" t="inlineStr">
        <is>
          <t>중복견적
품목</t>
        </is>
      </c>
      <c r="O4" s="18" t="inlineStr">
        <is>
          <t>최저가 합계
(KRW)</t>
        </is>
      </c>
      <c r="P4" s="4" t="inlineStr">
        <is>
          <t>비고</t>
        </is>
      </c>
    </row>
    <row r="5">
      <c r="A5" s="34" t="inlineStr">
        <is>
          <t>01</t>
        </is>
      </c>
      <c r="B5" s="34" t="inlineStr">
        <is>
          <t>KQU-000116304</t>
        </is>
      </c>
      <c r="C5" s="36" t="inlineStr">
        <is>
          <t>NORGREN (EGR air filters &amp; service kits)</t>
        </is>
      </c>
      <c r="D5" s="34" t="inlineStr">
        <is>
          <t>Main Engine</t>
        </is>
      </c>
      <c r="E5" s="56" t="n">
        <v>46314</v>
      </c>
      <c r="F5" s="36" t="inlineStr">
        <is>
          <t>AEOLUS / MELICERTES / NELEUS / ONEIROI</t>
        </is>
      </c>
      <c r="G5" s="34" t="n">
        <v>6</v>
      </c>
      <c r="H5" s="58">
        <f>IF($B5="","",COUNTIFS('AEOLUS'!$B$6:$B$205,$B5,'AEOLUS'!$AJ$6:$AJ$205,1)+COUNTIFS('MELICERTES'!$B$6:$B$205,$B5,'MELICERTES'!$AJ$6:$AJ$205,1)+COUNTIFS('NELEUS'!$B$6:$B$205,$B5,'NELEUS'!$AJ$6:$AJ$205,1)+COUNTIFS('ONEIROI'!$B$6:$B$205,$B5,'ONEIROI'!$AJ$6:$AJ$205,1))</f>
        <v/>
      </c>
      <c r="I5" s="58">
        <f>IF(OR($B5="",G5=""),"",G5-H5)</f>
        <v/>
      </c>
      <c r="J5" s="58">
        <f>IF(OR($B5="",설정!$E$5=""),"",COUNTIFS('AEOLUS'!$B$6:$B$205,$B5,'AEOLUS'!$M$6:$M$205,설정!$E$5)+COUNTIFS('MELICERTES'!$B$6:$B$205,$B5,'MELICERTES'!$M$6:$M$205,설정!$E$5)+COUNTIFS('NELEUS'!$B$6:$B$205,$B5,'NELEUS'!$M$6:$M$205,설정!$E$5)+COUNTIFS('ONEIROI'!$B$6:$B$205,$B5,'ONEIROI'!$M$6:$M$205,설정!$E$5))</f>
        <v/>
      </c>
      <c r="K5" s="58">
        <f>IF(OR($B5="",설정!$E$6=""),"",COUNTIFS('AEOLUS'!$B$6:$B$205,$B5,'AEOLUS'!$M$6:$M$205,설정!$E$6)+COUNTIFS('MELICERTES'!$B$6:$B$205,$B5,'MELICERTES'!$M$6:$M$205,설정!$E$6)+COUNTIFS('NELEUS'!$B$6:$B$205,$B5,'NELEUS'!$M$6:$M$205,설정!$E$6)+COUNTIFS('ONEIROI'!$B$6:$B$205,$B5,'ONEIROI'!$M$6:$M$205,설정!$E$6))</f>
        <v/>
      </c>
      <c r="L5" s="58">
        <f>IF(OR($B5="",설정!$E$7=""),"",COUNTIFS('AEOLUS'!$B$6:$B$205,$B5,'AEOLUS'!$M$6:$M$205,설정!$E$7)+COUNTIFS('MELICERTES'!$B$6:$B$205,$B5,'MELICERTES'!$M$6:$M$205,설정!$E$7)+COUNTIFS('NELEUS'!$B$6:$B$205,$B5,'NELEUS'!$M$6:$M$205,설정!$E$7)+COUNTIFS('ONEIROI'!$B$6:$B$205,$B5,'ONEIROI'!$M$6:$M$205,설정!$E$7))</f>
        <v/>
      </c>
      <c r="M5" s="58">
        <f>IF(OR($B5="",설정!$E$8=""),"",COUNTIFS('AEOLUS'!$B$6:$B$205,$B5,'AEOLUS'!$M$6:$M$205,설정!$E$8)+COUNTIFS('MELICERTES'!$B$6:$B$205,$B5,'MELICERTES'!$M$6:$M$205,설정!$E$8)+COUNTIFS('NELEUS'!$B$6:$B$205,$B5,'NELEUS'!$M$6:$M$205,설정!$E$8)+COUNTIFS('ONEIROI'!$B$6:$B$205,$B5,'ONEIROI'!$M$6:$M$205,설정!$E$8))</f>
        <v/>
      </c>
      <c r="N5" s="58">
        <f>IF($B5="","",COUNTIFS('AEOLUS'!$B$6:$B$205,$B5,'AEOLUS'!$AI$6:$AI$205,"&gt;0")+COUNTIFS('MELICERTES'!$B$6:$B$205,$B5,'MELICERTES'!$AI$6:$AI$205,"&gt;0")+COUNTIFS('NELEUS'!$B$6:$B$205,$B5,'NELEUS'!$AI$6:$AI$205,"&gt;0")+COUNTIFS('ONEIROI'!$B$6:$B$205,$B5,'ONEIROI'!$AI$6:$AI$205,"&gt;0"))</f>
        <v/>
      </c>
      <c r="O5" s="53">
        <f>IF($B5="","",SUMIFS('AEOLUS'!$S$6:$S$205,'AEOLUS'!$B$6:$B$205,$B5,'AEOLUS'!$AK$6:$AK$205,1)+SUMIFS('MELICERTES'!$S$6:$S$205,'MELICERTES'!$B$6:$B$205,$B5,'MELICERTES'!$AK$6:$AK$205,1)+SUMIFS('NELEUS'!$S$6:$S$205,'NELEUS'!$B$6:$B$205,$B5,'NELEUS'!$AK$6:$AK$205,1)+SUMIFS('ONEIROI'!$S$6:$S$205,'ONEIROI'!$B$6:$B$205,$B5,'ONEIROI'!$AK$6:$AK$205,1))</f>
        <v/>
      </c>
      <c r="P5" s="36" t="n"/>
    </row>
    <row r="6">
      <c r="A6" s="34" t="inlineStr">
        <is>
          <t>03</t>
        </is>
      </c>
      <c r="B6" s="34" t="inlineStr">
        <is>
          <t>KQU-000116305</t>
        </is>
      </c>
      <c r="C6" s="36" t="inlineStr">
        <is>
          <t>DANFOSS (pressure transmitters)</t>
        </is>
      </c>
      <c r="D6" s="34" t="inlineStr">
        <is>
          <t>Main Engine</t>
        </is>
      </c>
      <c r="E6" s="56" t="n">
        <v>46314</v>
      </c>
      <c r="F6" s="36" t="inlineStr">
        <is>
          <t>MELICERTES / NELEUS</t>
        </is>
      </c>
      <c r="G6" s="34" t="n">
        <v>5</v>
      </c>
      <c r="H6" s="58">
        <f>IF($B6="","",COUNTIFS('AEOLUS'!$B$6:$B$205,$B6,'AEOLUS'!$AJ$6:$AJ$205,1)+COUNTIFS('MELICERTES'!$B$6:$B$205,$B6,'MELICERTES'!$AJ$6:$AJ$205,1)+COUNTIFS('NELEUS'!$B$6:$B$205,$B6,'NELEUS'!$AJ$6:$AJ$205,1)+COUNTIFS('ONEIROI'!$B$6:$B$205,$B6,'ONEIROI'!$AJ$6:$AJ$205,1))</f>
        <v/>
      </c>
      <c r="I6" s="58">
        <f>IF(OR($B6="",G6=""),"",G6-H6)</f>
        <v/>
      </c>
      <c r="J6" s="58">
        <f>IF(OR($B6="",설정!$E$5=""),"",COUNTIFS('AEOLUS'!$B$6:$B$205,$B6,'AEOLUS'!$M$6:$M$205,설정!$E$5)+COUNTIFS('MELICERTES'!$B$6:$B$205,$B6,'MELICERTES'!$M$6:$M$205,설정!$E$5)+COUNTIFS('NELEUS'!$B$6:$B$205,$B6,'NELEUS'!$M$6:$M$205,설정!$E$5)+COUNTIFS('ONEIROI'!$B$6:$B$205,$B6,'ONEIROI'!$M$6:$M$205,설정!$E$5))</f>
        <v/>
      </c>
      <c r="K6" s="58">
        <f>IF(OR($B6="",설정!$E$6=""),"",COUNTIFS('AEOLUS'!$B$6:$B$205,$B6,'AEOLUS'!$M$6:$M$205,설정!$E$6)+COUNTIFS('MELICERTES'!$B$6:$B$205,$B6,'MELICERTES'!$M$6:$M$205,설정!$E$6)+COUNTIFS('NELEUS'!$B$6:$B$205,$B6,'NELEUS'!$M$6:$M$205,설정!$E$6)+COUNTIFS('ONEIROI'!$B$6:$B$205,$B6,'ONEIROI'!$M$6:$M$205,설정!$E$6))</f>
        <v/>
      </c>
      <c r="L6" s="58">
        <f>IF(OR($B6="",설정!$E$7=""),"",COUNTIFS('AEOLUS'!$B$6:$B$205,$B6,'AEOLUS'!$M$6:$M$205,설정!$E$7)+COUNTIFS('MELICERTES'!$B$6:$B$205,$B6,'MELICERTES'!$M$6:$M$205,설정!$E$7)+COUNTIFS('NELEUS'!$B$6:$B$205,$B6,'NELEUS'!$M$6:$M$205,설정!$E$7)+COUNTIFS('ONEIROI'!$B$6:$B$205,$B6,'ONEIROI'!$M$6:$M$205,설정!$E$7))</f>
        <v/>
      </c>
      <c r="M6" s="58">
        <f>IF(OR($B6="",설정!$E$8=""),"",COUNTIFS('AEOLUS'!$B$6:$B$205,$B6,'AEOLUS'!$M$6:$M$205,설정!$E$8)+COUNTIFS('MELICERTES'!$B$6:$B$205,$B6,'MELICERTES'!$M$6:$M$205,설정!$E$8)+COUNTIFS('NELEUS'!$B$6:$B$205,$B6,'NELEUS'!$M$6:$M$205,설정!$E$8)+COUNTIFS('ONEIROI'!$B$6:$B$205,$B6,'ONEIROI'!$M$6:$M$205,설정!$E$8))</f>
        <v/>
      </c>
      <c r="N6" s="58">
        <f>IF($B6="","",COUNTIFS('AEOLUS'!$B$6:$B$205,$B6,'AEOLUS'!$AI$6:$AI$205,"&gt;0")+COUNTIFS('MELICERTES'!$B$6:$B$205,$B6,'MELICERTES'!$AI$6:$AI$205,"&gt;0")+COUNTIFS('NELEUS'!$B$6:$B$205,$B6,'NELEUS'!$AI$6:$AI$205,"&gt;0")+COUNTIFS('ONEIROI'!$B$6:$B$205,$B6,'ONEIROI'!$AI$6:$AI$205,"&gt;0"))</f>
        <v/>
      </c>
      <c r="O6" s="53">
        <f>IF($B6="","",SUMIFS('AEOLUS'!$S$6:$S$205,'AEOLUS'!$B$6:$B$205,$B6,'AEOLUS'!$AK$6:$AK$205,1)+SUMIFS('MELICERTES'!$S$6:$S$205,'MELICERTES'!$B$6:$B$205,$B6,'MELICERTES'!$AK$6:$AK$205,1)+SUMIFS('NELEUS'!$S$6:$S$205,'NELEUS'!$B$6:$B$205,$B6,'NELEUS'!$AK$6:$AK$205,1)+SUMIFS('ONEIROI'!$S$6:$S$205,'ONEIROI'!$B$6:$B$205,$B6,'ONEIROI'!$AK$6:$AK$205,1))</f>
        <v/>
      </c>
      <c r="P6" s="36" t="n"/>
    </row>
    <row r="7">
      <c r="A7" s="34" t="inlineStr">
        <is>
          <t>04</t>
        </is>
      </c>
      <c r="B7" s="34" t="inlineStr">
        <is>
          <t>KQU-000116306</t>
        </is>
      </c>
      <c r="C7" s="36" t="inlineStr">
        <is>
          <t>WAGO</t>
        </is>
      </c>
      <c r="D7" s="34" t="inlineStr">
        <is>
          <t>Main Engine</t>
        </is>
      </c>
      <c r="E7" s="56" t="n">
        <v>46314</v>
      </c>
      <c r="F7" s="36" t="inlineStr">
        <is>
          <t>AEOLUS / MELICERTES</t>
        </is>
      </c>
      <c r="G7" s="34" t="n">
        <v>2</v>
      </c>
      <c r="H7" s="58">
        <f>IF($B7="","",COUNTIFS('AEOLUS'!$B$6:$B$205,$B7,'AEOLUS'!$AJ$6:$AJ$205,1)+COUNTIFS('MELICERTES'!$B$6:$B$205,$B7,'MELICERTES'!$AJ$6:$AJ$205,1)+COUNTIFS('NELEUS'!$B$6:$B$205,$B7,'NELEUS'!$AJ$6:$AJ$205,1)+COUNTIFS('ONEIROI'!$B$6:$B$205,$B7,'ONEIROI'!$AJ$6:$AJ$205,1))</f>
        <v/>
      </c>
      <c r="I7" s="58">
        <f>IF(OR($B7="",G7=""),"",G7-H7)</f>
        <v/>
      </c>
      <c r="J7" s="58">
        <f>IF(OR($B7="",설정!$E$5=""),"",COUNTIFS('AEOLUS'!$B$6:$B$205,$B7,'AEOLUS'!$M$6:$M$205,설정!$E$5)+COUNTIFS('MELICERTES'!$B$6:$B$205,$B7,'MELICERTES'!$M$6:$M$205,설정!$E$5)+COUNTIFS('NELEUS'!$B$6:$B$205,$B7,'NELEUS'!$M$6:$M$205,설정!$E$5)+COUNTIFS('ONEIROI'!$B$6:$B$205,$B7,'ONEIROI'!$M$6:$M$205,설정!$E$5))</f>
        <v/>
      </c>
      <c r="K7" s="58">
        <f>IF(OR($B7="",설정!$E$6=""),"",COUNTIFS('AEOLUS'!$B$6:$B$205,$B7,'AEOLUS'!$M$6:$M$205,설정!$E$6)+COUNTIFS('MELICERTES'!$B$6:$B$205,$B7,'MELICERTES'!$M$6:$M$205,설정!$E$6)+COUNTIFS('NELEUS'!$B$6:$B$205,$B7,'NELEUS'!$M$6:$M$205,설정!$E$6)+COUNTIFS('ONEIROI'!$B$6:$B$205,$B7,'ONEIROI'!$M$6:$M$205,설정!$E$6))</f>
        <v/>
      </c>
      <c r="L7" s="58">
        <f>IF(OR($B7="",설정!$E$7=""),"",COUNTIFS('AEOLUS'!$B$6:$B$205,$B7,'AEOLUS'!$M$6:$M$205,설정!$E$7)+COUNTIFS('MELICERTES'!$B$6:$B$205,$B7,'MELICERTES'!$M$6:$M$205,설정!$E$7)+COUNTIFS('NELEUS'!$B$6:$B$205,$B7,'NELEUS'!$M$6:$M$205,설정!$E$7)+COUNTIFS('ONEIROI'!$B$6:$B$205,$B7,'ONEIROI'!$M$6:$M$205,설정!$E$7))</f>
        <v/>
      </c>
      <c r="M7" s="58">
        <f>IF(OR($B7="",설정!$E$8=""),"",COUNTIFS('AEOLUS'!$B$6:$B$205,$B7,'AEOLUS'!$M$6:$M$205,설정!$E$8)+COUNTIFS('MELICERTES'!$B$6:$B$205,$B7,'MELICERTES'!$M$6:$M$205,설정!$E$8)+COUNTIFS('NELEUS'!$B$6:$B$205,$B7,'NELEUS'!$M$6:$M$205,설정!$E$8)+COUNTIFS('ONEIROI'!$B$6:$B$205,$B7,'ONEIROI'!$M$6:$M$205,설정!$E$8))</f>
        <v/>
      </c>
      <c r="N7" s="58">
        <f>IF($B7="","",COUNTIFS('AEOLUS'!$B$6:$B$205,$B7,'AEOLUS'!$AI$6:$AI$205,"&gt;0")+COUNTIFS('MELICERTES'!$B$6:$B$205,$B7,'MELICERTES'!$AI$6:$AI$205,"&gt;0")+COUNTIFS('NELEUS'!$B$6:$B$205,$B7,'NELEUS'!$AI$6:$AI$205,"&gt;0")+COUNTIFS('ONEIROI'!$B$6:$B$205,$B7,'ONEIROI'!$AI$6:$AI$205,"&gt;0"))</f>
        <v/>
      </c>
      <c r="O7" s="53">
        <f>IF($B7="","",SUMIFS('AEOLUS'!$S$6:$S$205,'AEOLUS'!$B$6:$B$205,$B7,'AEOLUS'!$AK$6:$AK$205,1)+SUMIFS('MELICERTES'!$S$6:$S$205,'MELICERTES'!$B$6:$B$205,$B7,'MELICERTES'!$AK$6:$AK$205,1)+SUMIFS('NELEUS'!$S$6:$S$205,'NELEUS'!$B$6:$B$205,$B7,'NELEUS'!$AK$6:$AK$205,1)+SUMIFS('ONEIROI'!$S$6:$S$205,'ONEIROI'!$B$6:$B$205,$B7,'ONEIROI'!$AK$6:$AK$205,1))</f>
        <v/>
      </c>
      <c r="P7" s="36" t="n"/>
    </row>
    <row r="8">
      <c r="A8" s="34" t="inlineStr">
        <is>
          <t>06</t>
        </is>
      </c>
      <c r="B8" s="34" t="inlineStr">
        <is>
          <t>IOB RFQ-06</t>
        </is>
      </c>
      <c r="C8" s="36" t="inlineStr">
        <is>
          <t>pH sensor / buffer solution (EGR)</t>
        </is>
      </c>
      <c r="D8" s="34" t="inlineStr">
        <is>
          <t>Main Engine</t>
        </is>
      </c>
      <c r="E8" s="56" t="n"/>
      <c r="F8" s="36" t="inlineStr">
        <is>
          <t>AEOLUS</t>
        </is>
      </c>
      <c r="G8" s="34" t="n">
        <v>4</v>
      </c>
      <c r="H8" s="58">
        <f>IF($B8="","",COUNTIFS('AEOLUS'!$B$6:$B$205,$B8,'AEOLUS'!$AJ$6:$AJ$205,1)+COUNTIFS('MELICERTES'!$B$6:$B$205,$B8,'MELICERTES'!$AJ$6:$AJ$205,1)+COUNTIFS('NELEUS'!$B$6:$B$205,$B8,'NELEUS'!$AJ$6:$AJ$205,1)+COUNTIFS('ONEIROI'!$B$6:$B$205,$B8,'ONEIROI'!$AJ$6:$AJ$205,1))</f>
        <v/>
      </c>
      <c r="I8" s="58">
        <f>IF(OR($B8="",G8=""),"",G8-H8)</f>
        <v/>
      </c>
      <c r="J8" s="58">
        <f>IF(OR($B8="",설정!$E$5=""),"",COUNTIFS('AEOLUS'!$B$6:$B$205,$B8,'AEOLUS'!$M$6:$M$205,설정!$E$5)+COUNTIFS('MELICERTES'!$B$6:$B$205,$B8,'MELICERTES'!$M$6:$M$205,설정!$E$5)+COUNTIFS('NELEUS'!$B$6:$B$205,$B8,'NELEUS'!$M$6:$M$205,설정!$E$5)+COUNTIFS('ONEIROI'!$B$6:$B$205,$B8,'ONEIROI'!$M$6:$M$205,설정!$E$5))</f>
        <v/>
      </c>
      <c r="K8" s="58">
        <f>IF(OR($B8="",설정!$E$6=""),"",COUNTIFS('AEOLUS'!$B$6:$B$205,$B8,'AEOLUS'!$M$6:$M$205,설정!$E$6)+COUNTIFS('MELICERTES'!$B$6:$B$205,$B8,'MELICERTES'!$M$6:$M$205,설정!$E$6)+COUNTIFS('NELEUS'!$B$6:$B$205,$B8,'NELEUS'!$M$6:$M$205,설정!$E$6)+COUNTIFS('ONEIROI'!$B$6:$B$205,$B8,'ONEIROI'!$M$6:$M$205,설정!$E$6))</f>
        <v/>
      </c>
      <c r="L8" s="58">
        <f>IF(OR($B8="",설정!$E$7=""),"",COUNTIFS('AEOLUS'!$B$6:$B$205,$B8,'AEOLUS'!$M$6:$M$205,설정!$E$7)+COUNTIFS('MELICERTES'!$B$6:$B$205,$B8,'MELICERTES'!$M$6:$M$205,설정!$E$7)+COUNTIFS('NELEUS'!$B$6:$B$205,$B8,'NELEUS'!$M$6:$M$205,설정!$E$7)+COUNTIFS('ONEIROI'!$B$6:$B$205,$B8,'ONEIROI'!$M$6:$M$205,설정!$E$7))</f>
        <v/>
      </c>
      <c r="M8" s="58">
        <f>IF(OR($B8="",설정!$E$8=""),"",COUNTIFS('AEOLUS'!$B$6:$B$205,$B8,'AEOLUS'!$M$6:$M$205,설정!$E$8)+COUNTIFS('MELICERTES'!$B$6:$B$205,$B8,'MELICERTES'!$M$6:$M$205,설정!$E$8)+COUNTIFS('NELEUS'!$B$6:$B$205,$B8,'NELEUS'!$M$6:$M$205,설정!$E$8)+COUNTIFS('ONEIROI'!$B$6:$B$205,$B8,'ONEIROI'!$M$6:$M$205,설정!$E$8))</f>
        <v/>
      </c>
      <c r="N8" s="58">
        <f>IF($B8="","",COUNTIFS('AEOLUS'!$B$6:$B$205,$B8,'AEOLUS'!$AI$6:$AI$205,"&gt;0")+COUNTIFS('MELICERTES'!$B$6:$B$205,$B8,'MELICERTES'!$AI$6:$AI$205,"&gt;0")+COUNTIFS('NELEUS'!$B$6:$B$205,$B8,'NELEUS'!$AI$6:$AI$205,"&gt;0")+COUNTIFS('ONEIROI'!$B$6:$B$205,$B8,'ONEIROI'!$AI$6:$AI$205,"&gt;0"))</f>
        <v/>
      </c>
      <c r="O8" s="53">
        <f>IF($B8="","",SUMIFS('AEOLUS'!$S$6:$S$205,'AEOLUS'!$B$6:$B$205,$B8,'AEOLUS'!$AK$6:$AK$205,1)+SUMIFS('MELICERTES'!$S$6:$S$205,'MELICERTES'!$B$6:$B$205,$B8,'MELICERTES'!$AK$6:$AK$205,1)+SUMIFS('NELEUS'!$S$6:$S$205,'NELEUS'!$B$6:$B$205,$B8,'NELEUS'!$AK$6:$AK$205,1)+SUMIFS('ONEIROI'!$S$6:$S$205,'ONEIROI'!$B$6:$B$205,$B8,'ONEIROI'!$AK$6:$AK$205,1))</f>
        <v/>
      </c>
      <c r="P8" s="36" t="inlineStr">
        <is>
          <t>RFQ 원본 미보유 – AFS 견적서 기준</t>
        </is>
      </c>
    </row>
    <row r="9">
      <c r="A9" s="34" t="inlineStr">
        <is>
          <t>07</t>
        </is>
      </c>
      <c r="B9" s="34" t="inlineStr">
        <is>
          <t>KQU-000116308</t>
        </is>
      </c>
      <c r="C9" s="36" t="inlineStr">
        <is>
          <t>VEGA (VEGABAR 83)</t>
        </is>
      </c>
      <c r="D9" s="34" t="inlineStr">
        <is>
          <t>Main Engine</t>
        </is>
      </c>
      <c r="E9" s="56" t="n">
        <v>46314</v>
      </c>
      <c r="F9" s="36" t="inlineStr">
        <is>
          <t>MELICERTES</t>
        </is>
      </c>
      <c r="G9" s="34" t="n">
        <v>2</v>
      </c>
      <c r="H9" s="58">
        <f>IF($B9="","",COUNTIFS('AEOLUS'!$B$6:$B$205,$B9,'AEOLUS'!$AJ$6:$AJ$205,1)+COUNTIFS('MELICERTES'!$B$6:$B$205,$B9,'MELICERTES'!$AJ$6:$AJ$205,1)+COUNTIFS('NELEUS'!$B$6:$B$205,$B9,'NELEUS'!$AJ$6:$AJ$205,1)+COUNTIFS('ONEIROI'!$B$6:$B$205,$B9,'ONEIROI'!$AJ$6:$AJ$205,1))</f>
        <v/>
      </c>
      <c r="I9" s="58">
        <f>IF(OR($B9="",G9=""),"",G9-H9)</f>
        <v/>
      </c>
      <c r="J9" s="58">
        <f>IF(OR($B9="",설정!$E$5=""),"",COUNTIFS('AEOLUS'!$B$6:$B$205,$B9,'AEOLUS'!$M$6:$M$205,설정!$E$5)+COUNTIFS('MELICERTES'!$B$6:$B$205,$B9,'MELICERTES'!$M$6:$M$205,설정!$E$5)+COUNTIFS('NELEUS'!$B$6:$B$205,$B9,'NELEUS'!$M$6:$M$205,설정!$E$5)+COUNTIFS('ONEIROI'!$B$6:$B$205,$B9,'ONEIROI'!$M$6:$M$205,설정!$E$5))</f>
        <v/>
      </c>
      <c r="K9" s="58">
        <f>IF(OR($B9="",설정!$E$6=""),"",COUNTIFS('AEOLUS'!$B$6:$B$205,$B9,'AEOLUS'!$M$6:$M$205,설정!$E$6)+COUNTIFS('MELICERTES'!$B$6:$B$205,$B9,'MELICERTES'!$M$6:$M$205,설정!$E$6)+COUNTIFS('NELEUS'!$B$6:$B$205,$B9,'NELEUS'!$M$6:$M$205,설정!$E$6)+COUNTIFS('ONEIROI'!$B$6:$B$205,$B9,'ONEIROI'!$M$6:$M$205,설정!$E$6))</f>
        <v/>
      </c>
      <c r="L9" s="58">
        <f>IF(OR($B9="",설정!$E$7=""),"",COUNTIFS('AEOLUS'!$B$6:$B$205,$B9,'AEOLUS'!$M$6:$M$205,설정!$E$7)+COUNTIFS('MELICERTES'!$B$6:$B$205,$B9,'MELICERTES'!$M$6:$M$205,설정!$E$7)+COUNTIFS('NELEUS'!$B$6:$B$205,$B9,'NELEUS'!$M$6:$M$205,설정!$E$7)+COUNTIFS('ONEIROI'!$B$6:$B$205,$B9,'ONEIROI'!$M$6:$M$205,설정!$E$7))</f>
        <v/>
      </c>
      <c r="M9" s="58">
        <f>IF(OR($B9="",설정!$E$8=""),"",COUNTIFS('AEOLUS'!$B$6:$B$205,$B9,'AEOLUS'!$M$6:$M$205,설정!$E$8)+COUNTIFS('MELICERTES'!$B$6:$B$205,$B9,'MELICERTES'!$M$6:$M$205,설정!$E$8)+COUNTIFS('NELEUS'!$B$6:$B$205,$B9,'NELEUS'!$M$6:$M$205,설정!$E$8)+COUNTIFS('ONEIROI'!$B$6:$B$205,$B9,'ONEIROI'!$M$6:$M$205,설정!$E$8))</f>
        <v/>
      </c>
      <c r="N9" s="58">
        <f>IF($B9="","",COUNTIFS('AEOLUS'!$B$6:$B$205,$B9,'AEOLUS'!$AI$6:$AI$205,"&gt;0")+COUNTIFS('MELICERTES'!$B$6:$B$205,$B9,'MELICERTES'!$AI$6:$AI$205,"&gt;0")+COUNTIFS('NELEUS'!$B$6:$B$205,$B9,'NELEUS'!$AI$6:$AI$205,"&gt;0")+COUNTIFS('ONEIROI'!$B$6:$B$205,$B9,'ONEIROI'!$AI$6:$AI$205,"&gt;0"))</f>
        <v/>
      </c>
      <c r="O9" s="53">
        <f>IF($B9="","",SUMIFS('AEOLUS'!$S$6:$S$205,'AEOLUS'!$B$6:$B$205,$B9,'AEOLUS'!$AK$6:$AK$205,1)+SUMIFS('MELICERTES'!$S$6:$S$205,'MELICERTES'!$B$6:$B$205,$B9,'MELICERTES'!$AK$6:$AK$205,1)+SUMIFS('NELEUS'!$S$6:$S$205,'NELEUS'!$B$6:$B$205,$B9,'NELEUS'!$AK$6:$AK$205,1)+SUMIFS('ONEIROI'!$S$6:$S$205,'ONEIROI'!$B$6:$B$205,$B9,'ONEIROI'!$AK$6:$AK$205,1))</f>
        <v/>
      </c>
      <c r="P9" s="36" t="n"/>
    </row>
    <row r="10">
      <c r="A10" s="34" t="inlineStr">
        <is>
          <t>08</t>
        </is>
      </c>
      <c r="B10" s="34" t="inlineStr">
        <is>
          <t>KQU-000116309</t>
        </is>
      </c>
      <c r="C10" s="36" t="inlineStr">
        <is>
          <t>SIEMENS (SIPART PS2 I/P converter)</t>
        </is>
      </c>
      <c r="D10" s="34" t="inlineStr">
        <is>
          <t>Main Engine</t>
        </is>
      </c>
      <c r="E10" s="56" t="n">
        <v>46314</v>
      </c>
      <c r="F10" s="36" t="inlineStr">
        <is>
          <t>MELICERTES</t>
        </is>
      </c>
      <c r="G10" s="34" t="n">
        <v>1</v>
      </c>
      <c r="H10" s="58">
        <f>IF($B10="","",COUNTIFS('AEOLUS'!$B$6:$B$205,$B10,'AEOLUS'!$AJ$6:$AJ$205,1)+COUNTIFS('MELICERTES'!$B$6:$B$205,$B10,'MELICERTES'!$AJ$6:$AJ$205,1)+COUNTIFS('NELEUS'!$B$6:$B$205,$B10,'NELEUS'!$AJ$6:$AJ$205,1)+COUNTIFS('ONEIROI'!$B$6:$B$205,$B10,'ONEIROI'!$AJ$6:$AJ$205,1))</f>
        <v/>
      </c>
      <c r="I10" s="58">
        <f>IF(OR($B10="",G10=""),"",G10-H10)</f>
        <v/>
      </c>
      <c r="J10" s="58">
        <f>IF(OR($B10="",설정!$E$5=""),"",COUNTIFS('AEOLUS'!$B$6:$B$205,$B10,'AEOLUS'!$M$6:$M$205,설정!$E$5)+COUNTIFS('MELICERTES'!$B$6:$B$205,$B10,'MELICERTES'!$M$6:$M$205,설정!$E$5)+COUNTIFS('NELEUS'!$B$6:$B$205,$B10,'NELEUS'!$M$6:$M$205,설정!$E$5)+COUNTIFS('ONEIROI'!$B$6:$B$205,$B10,'ONEIROI'!$M$6:$M$205,설정!$E$5))</f>
        <v/>
      </c>
      <c r="K10" s="58">
        <f>IF(OR($B10="",설정!$E$6=""),"",COUNTIFS('AEOLUS'!$B$6:$B$205,$B10,'AEOLUS'!$M$6:$M$205,설정!$E$6)+COUNTIFS('MELICERTES'!$B$6:$B$205,$B10,'MELICERTES'!$M$6:$M$205,설정!$E$6)+COUNTIFS('NELEUS'!$B$6:$B$205,$B10,'NELEUS'!$M$6:$M$205,설정!$E$6)+COUNTIFS('ONEIROI'!$B$6:$B$205,$B10,'ONEIROI'!$M$6:$M$205,설정!$E$6))</f>
        <v/>
      </c>
      <c r="L10" s="58">
        <f>IF(OR($B10="",설정!$E$7=""),"",COUNTIFS('AEOLUS'!$B$6:$B$205,$B10,'AEOLUS'!$M$6:$M$205,설정!$E$7)+COUNTIFS('MELICERTES'!$B$6:$B$205,$B10,'MELICERTES'!$M$6:$M$205,설정!$E$7)+COUNTIFS('NELEUS'!$B$6:$B$205,$B10,'NELEUS'!$M$6:$M$205,설정!$E$7)+COUNTIFS('ONEIROI'!$B$6:$B$205,$B10,'ONEIROI'!$M$6:$M$205,설정!$E$7))</f>
        <v/>
      </c>
      <c r="M10" s="58">
        <f>IF(OR($B10="",설정!$E$8=""),"",COUNTIFS('AEOLUS'!$B$6:$B$205,$B10,'AEOLUS'!$M$6:$M$205,설정!$E$8)+COUNTIFS('MELICERTES'!$B$6:$B$205,$B10,'MELICERTES'!$M$6:$M$205,설정!$E$8)+COUNTIFS('NELEUS'!$B$6:$B$205,$B10,'NELEUS'!$M$6:$M$205,설정!$E$8)+COUNTIFS('ONEIROI'!$B$6:$B$205,$B10,'ONEIROI'!$M$6:$M$205,설정!$E$8))</f>
        <v/>
      </c>
      <c r="N10" s="58">
        <f>IF($B10="","",COUNTIFS('AEOLUS'!$B$6:$B$205,$B10,'AEOLUS'!$AI$6:$AI$205,"&gt;0")+COUNTIFS('MELICERTES'!$B$6:$B$205,$B10,'MELICERTES'!$AI$6:$AI$205,"&gt;0")+COUNTIFS('NELEUS'!$B$6:$B$205,$B10,'NELEUS'!$AI$6:$AI$205,"&gt;0")+COUNTIFS('ONEIROI'!$B$6:$B$205,$B10,'ONEIROI'!$AI$6:$AI$205,"&gt;0"))</f>
        <v/>
      </c>
      <c r="O10" s="53">
        <f>IF($B10="","",SUMIFS('AEOLUS'!$S$6:$S$205,'AEOLUS'!$B$6:$B$205,$B10,'AEOLUS'!$AK$6:$AK$205,1)+SUMIFS('MELICERTES'!$S$6:$S$205,'MELICERTES'!$B$6:$B$205,$B10,'MELICERTES'!$AK$6:$AK$205,1)+SUMIFS('NELEUS'!$S$6:$S$205,'NELEUS'!$B$6:$B$205,$B10,'NELEUS'!$AK$6:$AK$205,1)+SUMIFS('ONEIROI'!$S$6:$S$205,'ONEIROI'!$B$6:$B$205,$B10,'ONEIROI'!$AK$6:$AK$205,1))</f>
        <v/>
      </c>
      <c r="P10" s="36" t="n"/>
    </row>
    <row r="11">
      <c r="A11" s="34" t="inlineStr">
        <is>
          <t>10</t>
        </is>
      </c>
      <c r="B11" s="34" t="inlineStr">
        <is>
          <t>KQU-000116300</t>
        </is>
      </c>
      <c r="C11" s="36" t="inlineStr">
        <is>
          <t>HSME (PMI sensor)</t>
        </is>
      </c>
      <c r="D11" s="34" t="inlineStr">
        <is>
          <t>Main Engine</t>
        </is>
      </c>
      <c r="E11" s="56" t="n">
        <v>46314</v>
      </c>
      <c r="F11" s="36" t="inlineStr">
        <is>
          <t>ONEIROI</t>
        </is>
      </c>
      <c r="G11" s="34" t="n">
        <v>1</v>
      </c>
      <c r="H11" s="58">
        <f>IF($B11="","",COUNTIFS('AEOLUS'!$B$6:$B$205,$B11,'AEOLUS'!$AJ$6:$AJ$205,1)+COUNTIFS('MELICERTES'!$B$6:$B$205,$B11,'MELICERTES'!$AJ$6:$AJ$205,1)+COUNTIFS('NELEUS'!$B$6:$B$205,$B11,'NELEUS'!$AJ$6:$AJ$205,1)+COUNTIFS('ONEIROI'!$B$6:$B$205,$B11,'ONEIROI'!$AJ$6:$AJ$205,1))</f>
        <v/>
      </c>
      <c r="I11" s="58">
        <f>IF(OR($B11="",G11=""),"",G11-H11)</f>
        <v/>
      </c>
      <c r="J11" s="58">
        <f>IF(OR($B11="",설정!$E$5=""),"",COUNTIFS('AEOLUS'!$B$6:$B$205,$B11,'AEOLUS'!$M$6:$M$205,설정!$E$5)+COUNTIFS('MELICERTES'!$B$6:$B$205,$B11,'MELICERTES'!$M$6:$M$205,설정!$E$5)+COUNTIFS('NELEUS'!$B$6:$B$205,$B11,'NELEUS'!$M$6:$M$205,설정!$E$5)+COUNTIFS('ONEIROI'!$B$6:$B$205,$B11,'ONEIROI'!$M$6:$M$205,설정!$E$5))</f>
        <v/>
      </c>
      <c r="K11" s="58">
        <f>IF(OR($B11="",설정!$E$6=""),"",COUNTIFS('AEOLUS'!$B$6:$B$205,$B11,'AEOLUS'!$M$6:$M$205,설정!$E$6)+COUNTIFS('MELICERTES'!$B$6:$B$205,$B11,'MELICERTES'!$M$6:$M$205,설정!$E$6)+COUNTIFS('NELEUS'!$B$6:$B$205,$B11,'NELEUS'!$M$6:$M$205,설정!$E$6)+COUNTIFS('ONEIROI'!$B$6:$B$205,$B11,'ONEIROI'!$M$6:$M$205,설정!$E$6))</f>
        <v/>
      </c>
      <c r="L11" s="58">
        <f>IF(OR($B11="",설정!$E$7=""),"",COUNTIFS('AEOLUS'!$B$6:$B$205,$B11,'AEOLUS'!$M$6:$M$205,설정!$E$7)+COUNTIFS('MELICERTES'!$B$6:$B$205,$B11,'MELICERTES'!$M$6:$M$205,설정!$E$7)+COUNTIFS('NELEUS'!$B$6:$B$205,$B11,'NELEUS'!$M$6:$M$205,설정!$E$7)+COUNTIFS('ONEIROI'!$B$6:$B$205,$B11,'ONEIROI'!$M$6:$M$205,설정!$E$7))</f>
        <v/>
      </c>
      <c r="M11" s="58">
        <f>IF(OR($B11="",설정!$E$8=""),"",COUNTIFS('AEOLUS'!$B$6:$B$205,$B11,'AEOLUS'!$M$6:$M$205,설정!$E$8)+COUNTIFS('MELICERTES'!$B$6:$B$205,$B11,'MELICERTES'!$M$6:$M$205,설정!$E$8)+COUNTIFS('NELEUS'!$B$6:$B$205,$B11,'NELEUS'!$M$6:$M$205,설정!$E$8)+COUNTIFS('ONEIROI'!$B$6:$B$205,$B11,'ONEIROI'!$M$6:$M$205,설정!$E$8))</f>
        <v/>
      </c>
      <c r="N11" s="58">
        <f>IF($B11="","",COUNTIFS('AEOLUS'!$B$6:$B$205,$B11,'AEOLUS'!$AI$6:$AI$205,"&gt;0")+COUNTIFS('MELICERTES'!$B$6:$B$205,$B11,'MELICERTES'!$AI$6:$AI$205,"&gt;0")+COUNTIFS('NELEUS'!$B$6:$B$205,$B11,'NELEUS'!$AI$6:$AI$205,"&gt;0")+COUNTIFS('ONEIROI'!$B$6:$B$205,$B11,'ONEIROI'!$AI$6:$AI$205,"&gt;0"))</f>
        <v/>
      </c>
      <c r="O11" s="53">
        <f>IF($B11="","",SUMIFS('AEOLUS'!$S$6:$S$205,'AEOLUS'!$B$6:$B$205,$B11,'AEOLUS'!$AK$6:$AK$205,1)+SUMIFS('MELICERTES'!$S$6:$S$205,'MELICERTES'!$B$6:$B$205,$B11,'MELICERTES'!$AK$6:$AK$205,1)+SUMIFS('NELEUS'!$S$6:$S$205,'NELEUS'!$B$6:$B$205,$B11,'NELEUS'!$AK$6:$AK$205,1)+SUMIFS('ONEIROI'!$S$6:$S$205,'ONEIROI'!$B$6:$B$205,$B11,'ONEIROI'!$AK$6:$AK$205,1))</f>
        <v/>
      </c>
      <c r="P11" s="36" t="n"/>
    </row>
    <row r="12">
      <c r="A12" s="34" t="inlineStr">
        <is>
          <t>11</t>
        </is>
      </c>
      <c r="B12" s="34" t="inlineStr">
        <is>
          <t>KQU-000116307</t>
        </is>
      </c>
      <c r="C12" s="36" t="inlineStr">
        <is>
          <t>GRUNDFOS (EGR WTS water supply pump)</t>
        </is>
      </c>
      <c r="D12" s="34" t="inlineStr">
        <is>
          <t>Main Engine</t>
        </is>
      </c>
      <c r="E12" s="56" t="n">
        <v>46314</v>
      </c>
      <c r="F12" s="36" t="inlineStr">
        <is>
          <t>ONEIROI</t>
        </is>
      </c>
      <c r="G12" s="34" t="n">
        <v>2</v>
      </c>
      <c r="H12" s="58">
        <f>IF($B12="","",COUNTIFS('AEOLUS'!$B$6:$B$205,$B12,'AEOLUS'!$AJ$6:$AJ$205,1)+COUNTIFS('MELICERTES'!$B$6:$B$205,$B12,'MELICERTES'!$AJ$6:$AJ$205,1)+COUNTIFS('NELEUS'!$B$6:$B$205,$B12,'NELEUS'!$AJ$6:$AJ$205,1)+COUNTIFS('ONEIROI'!$B$6:$B$205,$B12,'ONEIROI'!$AJ$6:$AJ$205,1))</f>
        <v/>
      </c>
      <c r="I12" s="58">
        <f>IF(OR($B12="",G12=""),"",G12-H12)</f>
        <v/>
      </c>
      <c r="J12" s="58">
        <f>IF(OR($B12="",설정!$E$5=""),"",COUNTIFS('AEOLUS'!$B$6:$B$205,$B12,'AEOLUS'!$M$6:$M$205,설정!$E$5)+COUNTIFS('MELICERTES'!$B$6:$B$205,$B12,'MELICERTES'!$M$6:$M$205,설정!$E$5)+COUNTIFS('NELEUS'!$B$6:$B$205,$B12,'NELEUS'!$M$6:$M$205,설정!$E$5)+COUNTIFS('ONEIROI'!$B$6:$B$205,$B12,'ONEIROI'!$M$6:$M$205,설정!$E$5))</f>
        <v/>
      </c>
      <c r="K12" s="58">
        <f>IF(OR($B12="",설정!$E$6=""),"",COUNTIFS('AEOLUS'!$B$6:$B$205,$B12,'AEOLUS'!$M$6:$M$205,설정!$E$6)+COUNTIFS('MELICERTES'!$B$6:$B$205,$B12,'MELICERTES'!$M$6:$M$205,설정!$E$6)+COUNTIFS('NELEUS'!$B$6:$B$205,$B12,'NELEUS'!$M$6:$M$205,설정!$E$6)+COUNTIFS('ONEIROI'!$B$6:$B$205,$B12,'ONEIROI'!$M$6:$M$205,설정!$E$6))</f>
        <v/>
      </c>
      <c r="L12" s="58">
        <f>IF(OR($B12="",설정!$E$7=""),"",COUNTIFS('AEOLUS'!$B$6:$B$205,$B12,'AEOLUS'!$M$6:$M$205,설정!$E$7)+COUNTIFS('MELICERTES'!$B$6:$B$205,$B12,'MELICERTES'!$M$6:$M$205,설정!$E$7)+COUNTIFS('NELEUS'!$B$6:$B$205,$B12,'NELEUS'!$M$6:$M$205,설정!$E$7)+COUNTIFS('ONEIROI'!$B$6:$B$205,$B12,'ONEIROI'!$M$6:$M$205,설정!$E$7))</f>
        <v/>
      </c>
      <c r="M12" s="58">
        <f>IF(OR($B12="",설정!$E$8=""),"",COUNTIFS('AEOLUS'!$B$6:$B$205,$B12,'AEOLUS'!$M$6:$M$205,설정!$E$8)+COUNTIFS('MELICERTES'!$B$6:$B$205,$B12,'MELICERTES'!$M$6:$M$205,설정!$E$8)+COUNTIFS('NELEUS'!$B$6:$B$205,$B12,'NELEUS'!$M$6:$M$205,설정!$E$8)+COUNTIFS('ONEIROI'!$B$6:$B$205,$B12,'ONEIROI'!$M$6:$M$205,설정!$E$8))</f>
        <v/>
      </c>
      <c r="N12" s="58">
        <f>IF($B12="","",COUNTIFS('AEOLUS'!$B$6:$B$205,$B12,'AEOLUS'!$AI$6:$AI$205,"&gt;0")+COUNTIFS('MELICERTES'!$B$6:$B$205,$B12,'MELICERTES'!$AI$6:$AI$205,"&gt;0")+COUNTIFS('NELEUS'!$B$6:$B$205,$B12,'NELEUS'!$AI$6:$AI$205,"&gt;0")+COUNTIFS('ONEIROI'!$B$6:$B$205,$B12,'ONEIROI'!$AI$6:$AI$205,"&gt;0"))</f>
        <v/>
      </c>
      <c r="O12" s="53">
        <f>IF($B12="","",SUMIFS('AEOLUS'!$S$6:$S$205,'AEOLUS'!$B$6:$B$205,$B12,'AEOLUS'!$AK$6:$AK$205,1)+SUMIFS('MELICERTES'!$S$6:$S$205,'MELICERTES'!$B$6:$B$205,$B12,'MELICERTES'!$AK$6:$AK$205,1)+SUMIFS('NELEUS'!$S$6:$S$205,'NELEUS'!$B$6:$B$205,$B12,'NELEUS'!$AK$6:$AK$205,1)+SUMIFS('ONEIROI'!$S$6:$S$205,'ONEIROI'!$B$6:$B$205,$B12,'ONEIROI'!$AK$6:$AK$205,1))</f>
        <v/>
      </c>
      <c r="P12" s="36" t="n"/>
    </row>
    <row r="13">
      <c r="A13" s="34" t="inlineStr">
        <is>
          <t>15</t>
        </is>
      </c>
      <c r="B13" s="34" t="inlineStr">
        <is>
          <t>KQU-000116313</t>
        </is>
      </c>
      <c r="C13" s="36" t="inlineStr">
        <is>
          <t>AQUAFILTER (EXCITO-5-B)</t>
        </is>
      </c>
      <c r="D13" s="34" t="inlineStr">
        <is>
          <t>Water Fountain Filter</t>
        </is>
      </c>
      <c r="E13" s="56" t="n">
        <v>46314</v>
      </c>
      <c r="F13" s="36" t="inlineStr">
        <is>
          <t>MELICERTES</t>
        </is>
      </c>
      <c r="G13" s="34" t="n">
        <v>5</v>
      </c>
      <c r="H13" s="58">
        <f>IF($B13="","",COUNTIFS('AEOLUS'!$B$6:$B$205,$B13,'AEOLUS'!$AJ$6:$AJ$205,1)+COUNTIFS('MELICERTES'!$B$6:$B$205,$B13,'MELICERTES'!$AJ$6:$AJ$205,1)+COUNTIFS('NELEUS'!$B$6:$B$205,$B13,'NELEUS'!$AJ$6:$AJ$205,1)+COUNTIFS('ONEIROI'!$B$6:$B$205,$B13,'ONEIROI'!$AJ$6:$AJ$205,1))</f>
        <v/>
      </c>
      <c r="I13" s="58">
        <f>IF(OR($B13="",G13=""),"",G13-H13)</f>
        <v/>
      </c>
      <c r="J13" s="58">
        <f>IF(OR($B13="",설정!$E$5=""),"",COUNTIFS('AEOLUS'!$B$6:$B$205,$B13,'AEOLUS'!$M$6:$M$205,설정!$E$5)+COUNTIFS('MELICERTES'!$B$6:$B$205,$B13,'MELICERTES'!$M$6:$M$205,설정!$E$5)+COUNTIFS('NELEUS'!$B$6:$B$205,$B13,'NELEUS'!$M$6:$M$205,설정!$E$5)+COUNTIFS('ONEIROI'!$B$6:$B$205,$B13,'ONEIROI'!$M$6:$M$205,설정!$E$5))</f>
        <v/>
      </c>
      <c r="K13" s="58">
        <f>IF(OR($B13="",설정!$E$6=""),"",COUNTIFS('AEOLUS'!$B$6:$B$205,$B13,'AEOLUS'!$M$6:$M$205,설정!$E$6)+COUNTIFS('MELICERTES'!$B$6:$B$205,$B13,'MELICERTES'!$M$6:$M$205,설정!$E$6)+COUNTIFS('NELEUS'!$B$6:$B$205,$B13,'NELEUS'!$M$6:$M$205,설정!$E$6)+COUNTIFS('ONEIROI'!$B$6:$B$205,$B13,'ONEIROI'!$M$6:$M$205,설정!$E$6))</f>
        <v/>
      </c>
      <c r="L13" s="58">
        <f>IF(OR($B13="",설정!$E$7=""),"",COUNTIFS('AEOLUS'!$B$6:$B$205,$B13,'AEOLUS'!$M$6:$M$205,설정!$E$7)+COUNTIFS('MELICERTES'!$B$6:$B$205,$B13,'MELICERTES'!$M$6:$M$205,설정!$E$7)+COUNTIFS('NELEUS'!$B$6:$B$205,$B13,'NELEUS'!$M$6:$M$205,설정!$E$7)+COUNTIFS('ONEIROI'!$B$6:$B$205,$B13,'ONEIROI'!$M$6:$M$205,설정!$E$7))</f>
        <v/>
      </c>
      <c r="M13" s="58">
        <f>IF(OR($B13="",설정!$E$8=""),"",COUNTIFS('AEOLUS'!$B$6:$B$205,$B13,'AEOLUS'!$M$6:$M$205,설정!$E$8)+COUNTIFS('MELICERTES'!$B$6:$B$205,$B13,'MELICERTES'!$M$6:$M$205,설정!$E$8)+COUNTIFS('NELEUS'!$B$6:$B$205,$B13,'NELEUS'!$M$6:$M$205,설정!$E$8)+COUNTIFS('ONEIROI'!$B$6:$B$205,$B13,'ONEIROI'!$M$6:$M$205,설정!$E$8))</f>
        <v/>
      </c>
      <c r="N13" s="58">
        <f>IF($B13="","",COUNTIFS('AEOLUS'!$B$6:$B$205,$B13,'AEOLUS'!$AI$6:$AI$205,"&gt;0")+COUNTIFS('MELICERTES'!$B$6:$B$205,$B13,'MELICERTES'!$AI$6:$AI$205,"&gt;0")+COUNTIFS('NELEUS'!$B$6:$B$205,$B13,'NELEUS'!$AI$6:$AI$205,"&gt;0")+COUNTIFS('ONEIROI'!$B$6:$B$205,$B13,'ONEIROI'!$AI$6:$AI$205,"&gt;0"))</f>
        <v/>
      </c>
      <c r="O13" s="53">
        <f>IF($B13="","",SUMIFS('AEOLUS'!$S$6:$S$205,'AEOLUS'!$B$6:$B$205,$B13,'AEOLUS'!$AK$6:$AK$205,1)+SUMIFS('MELICERTES'!$S$6:$S$205,'MELICERTES'!$B$6:$B$205,$B13,'MELICERTES'!$AK$6:$AK$205,1)+SUMIFS('NELEUS'!$S$6:$S$205,'NELEUS'!$B$6:$B$205,$B13,'NELEUS'!$AK$6:$AK$205,1)+SUMIFS('ONEIROI'!$S$6:$S$205,'ONEIROI'!$B$6:$B$205,$B13,'ONEIROI'!$AK$6:$AK$205,1))</f>
        <v/>
      </c>
      <c r="P13" s="36" t="n"/>
    </row>
    <row r="14">
      <c r="A14" s="34" t="inlineStr">
        <is>
          <t>25</t>
        </is>
      </c>
      <c r="B14" s="34" t="inlineStr">
        <is>
          <t>KQU-000116314</t>
        </is>
      </c>
      <c r="C14" s="36" t="inlineStr">
        <is>
          <t>HACCP MASTER (galley)</t>
        </is>
      </c>
      <c r="D14" s="34" t="inlineStr">
        <is>
          <t>Galley Equipment</t>
        </is>
      </c>
      <c r="E14" s="56" t="n">
        <v>46314</v>
      </c>
      <c r="F14" s="36" t="inlineStr">
        <is>
          <t>ONEIROI</t>
        </is>
      </c>
      <c r="G14" s="34" t="n">
        <v>1</v>
      </c>
      <c r="H14" s="58">
        <f>IF($B14="","",COUNTIFS('AEOLUS'!$B$6:$B$205,$B14,'AEOLUS'!$AJ$6:$AJ$205,1)+COUNTIFS('MELICERTES'!$B$6:$B$205,$B14,'MELICERTES'!$AJ$6:$AJ$205,1)+COUNTIFS('NELEUS'!$B$6:$B$205,$B14,'NELEUS'!$AJ$6:$AJ$205,1)+COUNTIFS('ONEIROI'!$B$6:$B$205,$B14,'ONEIROI'!$AJ$6:$AJ$205,1))</f>
        <v/>
      </c>
      <c r="I14" s="58">
        <f>IF(OR($B14="",G14=""),"",G14-H14)</f>
        <v/>
      </c>
      <c r="J14" s="58">
        <f>IF(OR($B14="",설정!$E$5=""),"",COUNTIFS('AEOLUS'!$B$6:$B$205,$B14,'AEOLUS'!$M$6:$M$205,설정!$E$5)+COUNTIFS('MELICERTES'!$B$6:$B$205,$B14,'MELICERTES'!$M$6:$M$205,설정!$E$5)+COUNTIFS('NELEUS'!$B$6:$B$205,$B14,'NELEUS'!$M$6:$M$205,설정!$E$5)+COUNTIFS('ONEIROI'!$B$6:$B$205,$B14,'ONEIROI'!$M$6:$M$205,설정!$E$5))</f>
        <v/>
      </c>
      <c r="K14" s="58">
        <f>IF(OR($B14="",설정!$E$6=""),"",COUNTIFS('AEOLUS'!$B$6:$B$205,$B14,'AEOLUS'!$M$6:$M$205,설정!$E$6)+COUNTIFS('MELICERTES'!$B$6:$B$205,$B14,'MELICERTES'!$M$6:$M$205,설정!$E$6)+COUNTIFS('NELEUS'!$B$6:$B$205,$B14,'NELEUS'!$M$6:$M$205,설정!$E$6)+COUNTIFS('ONEIROI'!$B$6:$B$205,$B14,'ONEIROI'!$M$6:$M$205,설정!$E$6))</f>
        <v/>
      </c>
      <c r="L14" s="58">
        <f>IF(OR($B14="",설정!$E$7=""),"",COUNTIFS('AEOLUS'!$B$6:$B$205,$B14,'AEOLUS'!$M$6:$M$205,설정!$E$7)+COUNTIFS('MELICERTES'!$B$6:$B$205,$B14,'MELICERTES'!$M$6:$M$205,설정!$E$7)+COUNTIFS('NELEUS'!$B$6:$B$205,$B14,'NELEUS'!$M$6:$M$205,설정!$E$7)+COUNTIFS('ONEIROI'!$B$6:$B$205,$B14,'ONEIROI'!$M$6:$M$205,설정!$E$7))</f>
        <v/>
      </c>
      <c r="M14" s="58">
        <f>IF(OR($B14="",설정!$E$8=""),"",COUNTIFS('AEOLUS'!$B$6:$B$205,$B14,'AEOLUS'!$M$6:$M$205,설정!$E$8)+COUNTIFS('MELICERTES'!$B$6:$B$205,$B14,'MELICERTES'!$M$6:$M$205,설정!$E$8)+COUNTIFS('NELEUS'!$B$6:$B$205,$B14,'NELEUS'!$M$6:$M$205,설정!$E$8)+COUNTIFS('ONEIROI'!$B$6:$B$205,$B14,'ONEIROI'!$M$6:$M$205,설정!$E$8))</f>
        <v/>
      </c>
      <c r="N14" s="58">
        <f>IF($B14="","",COUNTIFS('AEOLUS'!$B$6:$B$205,$B14,'AEOLUS'!$AI$6:$AI$205,"&gt;0")+COUNTIFS('MELICERTES'!$B$6:$B$205,$B14,'MELICERTES'!$AI$6:$AI$205,"&gt;0")+COUNTIFS('NELEUS'!$B$6:$B$205,$B14,'NELEUS'!$AI$6:$AI$205,"&gt;0")+COUNTIFS('ONEIROI'!$B$6:$B$205,$B14,'ONEIROI'!$AI$6:$AI$205,"&gt;0"))</f>
        <v/>
      </c>
      <c r="O14" s="53">
        <f>IF($B14="","",SUMIFS('AEOLUS'!$S$6:$S$205,'AEOLUS'!$B$6:$B$205,$B14,'AEOLUS'!$AK$6:$AK$205,1)+SUMIFS('MELICERTES'!$S$6:$S$205,'MELICERTES'!$B$6:$B$205,$B14,'MELICERTES'!$AK$6:$AK$205,1)+SUMIFS('NELEUS'!$S$6:$S$205,'NELEUS'!$B$6:$B$205,$B14,'NELEUS'!$AK$6:$AK$205,1)+SUMIFS('ONEIROI'!$S$6:$S$205,'ONEIROI'!$B$6:$B$205,$B14,'ONEIROI'!$AK$6:$AK$205,1))</f>
        <v/>
      </c>
      <c r="P14" s="36" t="n"/>
    </row>
    <row r="15">
      <c r="A15" s="34" t="inlineStr">
        <is>
          <t>27</t>
        </is>
      </c>
      <c r="B15" s="34" t="inlineStr">
        <is>
          <t>KQU-000116301</t>
        </is>
      </c>
      <c r="C15" s="36" t="inlineStr">
        <is>
          <t>MRC (telephone)</t>
        </is>
      </c>
      <c r="D15" s="34" t="inlineStr">
        <is>
          <t>Telephone System</t>
        </is>
      </c>
      <c r="E15" s="56" t="n">
        <v>46314</v>
      </c>
      <c r="F15" s="36" t="inlineStr">
        <is>
          <t>MELICERTES</t>
        </is>
      </c>
      <c r="G15" s="34" t="n">
        <v>1</v>
      </c>
      <c r="H15" s="58">
        <f>IF($B15="","",COUNTIFS('AEOLUS'!$B$6:$B$205,$B15,'AEOLUS'!$AJ$6:$AJ$205,1)+COUNTIFS('MELICERTES'!$B$6:$B$205,$B15,'MELICERTES'!$AJ$6:$AJ$205,1)+COUNTIFS('NELEUS'!$B$6:$B$205,$B15,'NELEUS'!$AJ$6:$AJ$205,1)+COUNTIFS('ONEIROI'!$B$6:$B$205,$B15,'ONEIROI'!$AJ$6:$AJ$205,1))</f>
        <v/>
      </c>
      <c r="I15" s="58">
        <f>IF(OR($B15="",G15=""),"",G15-H15)</f>
        <v/>
      </c>
      <c r="J15" s="58">
        <f>IF(OR($B15="",설정!$E$5=""),"",COUNTIFS('AEOLUS'!$B$6:$B$205,$B15,'AEOLUS'!$M$6:$M$205,설정!$E$5)+COUNTIFS('MELICERTES'!$B$6:$B$205,$B15,'MELICERTES'!$M$6:$M$205,설정!$E$5)+COUNTIFS('NELEUS'!$B$6:$B$205,$B15,'NELEUS'!$M$6:$M$205,설정!$E$5)+COUNTIFS('ONEIROI'!$B$6:$B$205,$B15,'ONEIROI'!$M$6:$M$205,설정!$E$5))</f>
        <v/>
      </c>
      <c r="K15" s="58">
        <f>IF(OR($B15="",설정!$E$6=""),"",COUNTIFS('AEOLUS'!$B$6:$B$205,$B15,'AEOLUS'!$M$6:$M$205,설정!$E$6)+COUNTIFS('MELICERTES'!$B$6:$B$205,$B15,'MELICERTES'!$M$6:$M$205,설정!$E$6)+COUNTIFS('NELEUS'!$B$6:$B$205,$B15,'NELEUS'!$M$6:$M$205,설정!$E$6)+COUNTIFS('ONEIROI'!$B$6:$B$205,$B15,'ONEIROI'!$M$6:$M$205,설정!$E$6))</f>
        <v/>
      </c>
      <c r="L15" s="58">
        <f>IF(OR($B15="",설정!$E$7=""),"",COUNTIFS('AEOLUS'!$B$6:$B$205,$B15,'AEOLUS'!$M$6:$M$205,설정!$E$7)+COUNTIFS('MELICERTES'!$B$6:$B$205,$B15,'MELICERTES'!$M$6:$M$205,설정!$E$7)+COUNTIFS('NELEUS'!$B$6:$B$205,$B15,'NELEUS'!$M$6:$M$205,설정!$E$7)+COUNTIFS('ONEIROI'!$B$6:$B$205,$B15,'ONEIROI'!$M$6:$M$205,설정!$E$7))</f>
        <v/>
      </c>
      <c r="M15" s="58">
        <f>IF(OR($B15="",설정!$E$8=""),"",COUNTIFS('AEOLUS'!$B$6:$B$205,$B15,'AEOLUS'!$M$6:$M$205,설정!$E$8)+COUNTIFS('MELICERTES'!$B$6:$B$205,$B15,'MELICERTES'!$M$6:$M$205,설정!$E$8)+COUNTIFS('NELEUS'!$B$6:$B$205,$B15,'NELEUS'!$M$6:$M$205,설정!$E$8)+COUNTIFS('ONEIROI'!$B$6:$B$205,$B15,'ONEIROI'!$M$6:$M$205,설정!$E$8))</f>
        <v/>
      </c>
      <c r="N15" s="58">
        <f>IF($B15="","",COUNTIFS('AEOLUS'!$B$6:$B$205,$B15,'AEOLUS'!$AI$6:$AI$205,"&gt;0")+COUNTIFS('MELICERTES'!$B$6:$B$205,$B15,'MELICERTES'!$AI$6:$AI$205,"&gt;0")+COUNTIFS('NELEUS'!$B$6:$B$205,$B15,'NELEUS'!$AI$6:$AI$205,"&gt;0")+COUNTIFS('ONEIROI'!$B$6:$B$205,$B15,'ONEIROI'!$AI$6:$AI$205,"&gt;0"))</f>
        <v/>
      </c>
      <c r="O15" s="53">
        <f>IF($B15="","",SUMIFS('AEOLUS'!$S$6:$S$205,'AEOLUS'!$B$6:$B$205,$B15,'AEOLUS'!$AK$6:$AK$205,1)+SUMIFS('MELICERTES'!$S$6:$S$205,'MELICERTES'!$B$6:$B$205,$B15,'MELICERTES'!$AK$6:$AK$205,1)+SUMIFS('NELEUS'!$S$6:$S$205,'NELEUS'!$B$6:$B$205,$B15,'NELEUS'!$AK$6:$AK$205,1)+SUMIFS('ONEIROI'!$S$6:$S$205,'ONEIROI'!$B$6:$B$205,$B15,'ONEIROI'!$AK$6:$AK$205,1))</f>
        <v/>
      </c>
      <c r="P15" s="36" t="n"/>
    </row>
    <row r="16">
      <c r="A16" s="34" t="inlineStr">
        <is>
          <t>30</t>
        </is>
      </c>
      <c r="B16" s="34" t="inlineStr">
        <is>
          <t>선박요청서-30</t>
        </is>
      </c>
      <c r="C16" s="36" t="inlineStr">
        <is>
          <t>PARKER 외 (Ballast Hyd. solenoid valve)</t>
        </is>
      </c>
      <c r="D16" s="34" t="inlineStr">
        <is>
          <t>Hyd. VRC</t>
        </is>
      </c>
      <c r="E16" s="56" t="n"/>
      <c r="F16" s="36" t="inlineStr">
        <is>
          <t>ONEIROI</t>
        </is>
      </c>
      <c r="G16" s="34" t="n">
        <v>4</v>
      </c>
      <c r="H16" s="58">
        <f>IF($B16="","",COUNTIFS('AEOLUS'!$B$6:$B$205,$B16,'AEOLUS'!$AJ$6:$AJ$205,1)+COUNTIFS('MELICERTES'!$B$6:$B$205,$B16,'MELICERTES'!$AJ$6:$AJ$205,1)+COUNTIFS('NELEUS'!$B$6:$B$205,$B16,'NELEUS'!$AJ$6:$AJ$205,1)+COUNTIFS('ONEIROI'!$B$6:$B$205,$B16,'ONEIROI'!$AJ$6:$AJ$205,1))</f>
        <v/>
      </c>
      <c r="I16" s="58">
        <f>IF(OR($B16="",G16=""),"",G16-H16)</f>
        <v/>
      </c>
      <c r="J16" s="58">
        <f>IF(OR($B16="",설정!$E$5=""),"",COUNTIFS('AEOLUS'!$B$6:$B$205,$B16,'AEOLUS'!$M$6:$M$205,설정!$E$5)+COUNTIFS('MELICERTES'!$B$6:$B$205,$B16,'MELICERTES'!$M$6:$M$205,설정!$E$5)+COUNTIFS('NELEUS'!$B$6:$B$205,$B16,'NELEUS'!$M$6:$M$205,설정!$E$5)+COUNTIFS('ONEIROI'!$B$6:$B$205,$B16,'ONEIROI'!$M$6:$M$205,설정!$E$5))</f>
        <v/>
      </c>
      <c r="K16" s="58">
        <f>IF(OR($B16="",설정!$E$6=""),"",COUNTIFS('AEOLUS'!$B$6:$B$205,$B16,'AEOLUS'!$M$6:$M$205,설정!$E$6)+COUNTIFS('MELICERTES'!$B$6:$B$205,$B16,'MELICERTES'!$M$6:$M$205,설정!$E$6)+COUNTIFS('NELEUS'!$B$6:$B$205,$B16,'NELEUS'!$M$6:$M$205,설정!$E$6)+COUNTIFS('ONEIROI'!$B$6:$B$205,$B16,'ONEIROI'!$M$6:$M$205,설정!$E$6))</f>
        <v/>
      </c>
      <c r="L16" s="58">
        <f>IF(OR($B16="",설정!$E$7=""),"",COUNTIFS('AEOLUS'!$B$6:$B$205,$B16,'AEOLUS'!$M$6:$M$205,설정!$E$7)+COUNTIFS('MELICERTES'!$B$6:$B$205,$B16,'MELICERTES'!$M$6:$M$205,설정!$E$7)+COUNTIFS('NELEUS'!$B$6:$B$205,$B16,'NELEUS'!$M$6:$M$205,설정!$E$7)+COUNTIFS('ONEIROI'!$B$6:$B$205,$B16,'ONEIROI'!$M$6:$M$205,설정!$E$7))</f>
        <v/>
      </c>
      <c r="M16" s="58">
        <f>IF(OR($B16="",설정!$E$8=""),"",COUNTIFS('AEOLUS'!$B$6:$B$205,$B16,'AEOLUS'!$M$6:$M$205,설정!$E$8)+COUNTIFS('MELICERTES'!$B$6:$B$205,$B16,'MELICERTES'!$M$6:$M$205,설정!$E$8)+COUNTIFS('NELEUS'!$B$6:$B$205,$B16,'NELEUS'!$M$6:$M$205,설정!$E$8)+COUNTIFS('ONEIROI'!$B$6:$B$205,$B16,'ONEIROI'!$M$6:$M$205,설정!$E$8))</f>
        <v/>
      </c>
      <c r="N16" s="58">
        <f>IF($B16="","",COUNTIFS('AEOLUS'!$B$6:$B$205,$B16,'AEOLUS'!$AI$6:$AI$205,"&gt;0")+COUNTIFS('MELICERTES'!$B$6:$B$205,$B16,'MELICERTES'!$AI$6:$AI$205,"&gt;0")+COUNTIFS('NELEUS'!$B$6:$B$205,$B16,'NELEUS'!$AI$6:$AI$205,"&gt;0")+COUNTIFS('ONEIROI'!$B$6:$B$205,$B16,'ONEIROI'!$AI$6:$AI$205,"&gt;0"))</f>
        <v/>
      </c>
      <c r="O16" s="53">
        <f>IF($B16="","",SUMIFS('AEOLUS'!$S$6:$S$205,'AEOLUS'!$B$6:$B$205,$B16,'AEOLUS'!$AK$6:$AK$205,1)+SUMIFS('MELICERTES'!$S$6:$S$205,'MELICERTES'!$B$6:$B$205,$B16,'MELICERTES'!$AK$6:$AK$205,1)+SUMIFS('NELEUS'!$S$6:$S$205,'NELEUS'!$B$6:$B$205,$B16,'NELEUS'!$AK$6:$AK$205,1)+SUMIFS('ONEIROI'!$S$6:$S$205,'ONEIROI'!$B$6:$B$205,$B16,'ONEIROI'!$AK$6:$AK$205,1))</f>
        <v/>
      </c>
      <c r="P16" s="36" t="inlineStr">
        <is>
          <t>선박 요청서 양식 (RFQ No. 없음)</t>
        </is>
      </c>
    </row>
    <row r="17">
      <c r="A17" s="34" t="inlineStr">
        <is>
          <t>31</t>
        </is>
      </c>
      <c r="B17" s="34" t="inlineStr">
        <is>
          <t>선박요청서-31</t>
        </is>
      </c>
      <c r="C17" s="36" t="inlineStr">
        <is>
          <t>GRUNDFOS (EGR WTS pump CRN3-7)</t>
        </is>
      </c>
      <c r="D17" s="34" t="inlineStr">
        <is>
          <t>Main Engine</t>
        </is>
      </c>
      <c r="E17" s="56" t="n">
        <v>46314</v>
      </c>
      <c r="F17" s="36" t="inlineStr">
        <is>
          <t>ONEIROI</t>
        </is>
      </c>
      <c r="G17" s="34" t="n">
        <v>14</v>
      </c>
      <c r="H17" s="58">
        <f>IF($B17="","",COUNTIFS('AEOLUS'!$B$6:$B$205,$B17,'AEOLUS'!$AJ$6:$AJ$205,1)+COUNTIFS('MELICERTES'!$B$6:$B$205,$B17,'MELICERTES'!$AJ$6:$AJ$205,1)+COUNTIFS('NELEUS'!$B$6:$B$205,$B17,'NELEUS'!$AJ$6:$AJ$205,1)+COUNTIFS('ONEIROI'!$B$6:$B$205,$B17,'ONEIROI'!$AJ$6:$AJ$205,1))</f>
        <v/>
      </c>
      <c r="I17" s="58">
        <f>IF(OR($B17="",G17=""),"",G17-H17)</f>
        <v/>
      </c>
      <c r="J17" s="58">
        <f>IF(OR($B17="",설정!$E$5=""),"",COUNTIFS('AEOLUS'!$B$6:$B$205,$B17,'AEOLUS'!$M$6:$M$205,설정!$E$5)+COUNTIFS('MELICERTES'!$B$6:$B$205,$B17,'MELICERTES'!$M$6:$M$205,설정!$E$5)+COUNTIFS('NELEUS'!$B$6:$B$205,$B17,'NELEUS'!$M$6:$M$205,설정!$E$5)+COUNTIFS('ONEIROI'!$B$6:$B$205,$B17,'ONEIROI'!$M$6:$M$205,설정!$E$5))</f>
        <v/>
      </c>
      <c r="K17" s="58">
        <f>IF(OR($B17="",설정!$E$6=""),"",COUNTIFS('AEOLUS'!$B$6:$B$205,$B17,'AEOLUS'!$M$6:$M$205,설정!$E$6)+COUNTIFS('MELICERTES'!$B$6:$B$205,$B17,'MELICERTES'!$M$6:$M$205,설정!$E$6)+COUNTIFS('NELEUS'!$B$6:$B$205,$B17,'NELEUS'!$M$6:$M$205,설정!$E$6)+COUNTIFS('ONEIROI'!$B$6:$B$205,$B17,'ONEIROI'!$M$6:$M$205,설정!$E$6))</f>
        <v/>
      </c>
      <c r="L17" s="58">
        <f>IF(OR($B17="",설정!$E$7=""),"",COUNTIFS('AEOLUS'!$B$6:$B$205,$B17,'AEOLUS'!$M$6:$M$205,설정!$E$7)+COUNTIFS('MELICERTES'!$B$6:$B$205,$B17,'MELICERTES'!$M$6:$M$205,설정!$E$7)+COUNTIFS('NELEUS'!$B$6:$B$205,$B17,'NELEUS'!$M$6:$M$205,설정!$E$7)+COUNTIFS('ONEIROI'!$B$6:$B$205,$B17,'ONEIROI'!$M$6:$M$205,설정!$E$7))</f>
        <v/>
      </c>
      <c r="M17" s="58">
        <f>IF(OR($B17="",설정!$E$8=""),"",COUNTIFS('AEOLUS'!$B$6:$B$205,$B17,'AEOLUS'!$M$6:$M$205,설정!$E$8)+COUNTIFS('MELICERTES'!$B$6:$B$205,$B17,'MELICERTES'!$M$6:$M$205,설정!$E$8)+COUNTIFS('NELEUS'!$B$6:$B$205,$B17,'NELEUS'!$M$6:$M$205,설정!$E$8)+COUNTIFS('ONEIROI'!$B$6:$B$205,$B17,'ONEIROI'!$M$6:$M$205,설정!$E$8))</f>
        <v/>
      </c>
      <c r="N17" s="58">
        <f>IF($B17="","",COUNTIFS('AEOLUS'!$B$6:$B$205,$B17,'AEOLUS'!$AI$6:$AI$205,"&gt;0")+COUNTIFS('MELICERTES'!$B$6:$B$205,$B17,'MELICERTES'!$AI$6:$AI$205,"&gt;0")+COUNTIFS('NELEUS'!$B$6:$B$205,$B17,'NELEUS'!$AI$6:$AI$205,"&gt;0")+COUNTIFS('ONEIROI'!$B$6:$B$205,$B17,'ONEIROI'!$AI$6:$AI$205,"&gt;0"))</f>
        <v/>
      </c>
      <c r="O17" s="53">
        <f>IF($B17="","",SUMIFS('AEOLUS'!$S$6:$S$205,'AEOLUS'!$B$6:$B$205,$B17,'AEOLUS'!$AK$6:$AK$205,1)+SUMIFS('MELICERTES'!$S$6:$S$205,'MELICERTES'!$B$6:$B$205,$B17,'MELICERTES'!$AK$6:$AK$205,1)+SUMIFS('NELEUS'!$S$6:$S$205,'NELEUS'!$B$6:$B$205,$B17,'NELEUS'!$AK$6:$AK$205,1)+SUMIFS('ONEIROI'!$S$6:$S$205,'ONEIROI'!$B$6:$B$205,$B17,'ONEIROI'!$AK$6:$AK$205,1))</f>
        <v/>
      </c>
      <c r="P17" s="36" t="inlineStr">
        <is>
          <t>선박 요청서 양식 (RFQ No. 없음)</t>
        </is>
      </c>
    </row>
    <row r="18">
      <c r="A18" s="34" t="inlineStr">
        <is>
          <t>SG</t>
        </is>
      </c>
      <c r="B18" s="34" t="inlineStr">
        <is>
          <t>SPAN GAS</t>
        </is>
      </c>
      <c r="C18" s="36" t="inlineStr">
        <is>
          <t>Span gas / calibration gas</t>
        </is>
      </c>
      <c r="D18" s="34" t="inlineStr">
        <is>
          <t>Gas detection</t>
        </is>
      </c>
      <c r="E18" s="56" t="n"/>
      <c r="F18" s="36" t="inlineStr">
        <is>
          <t>AEOLUS</t>
        </is>
      </c>
      <c r="G18" s="34" t="n">
        <v>4</v>
      </c>
      <c r="H18" s="58">
        <f>IF($B18="","",COUNTIFS('AEOLUS'!$B$6:$B$205,$B18,'AEOLUS'!$AJ$6:$AJ$205,1)+COUNTIFS('MELICERTES'!$B$6:$B$205,$B18,'MELICERTES'!$AJ$6:$AJ$205,1)+COUNTIFS('NELEUS'!$B$6:$B$205,$B18,'NELEUS'!$AJ$6:$AJ$205,1)+COUNTIFS('ONEIROI'!$B$6:$B$205,$B18,'ONEIROI'!$AJ$6:$AJ$205,1))</f>
        <v/>
      </c>
      <c r="I18" s="58">
        <f>IF(OR($B18="",G18=""),"",G18-H18)</f>
        <v/>
      </c>
      <c r="J18" s="58">
        <f>IF(OR($B18="",설정!$E$5=""),"",COUNTIFS('AEOLUS'!$B$6:$B$205,$B18,'AEOLUS'!$M$6:$M$205,설정!$E$5)+COUNTIFS('MELICERTES'!$B$6:$B$205,$B18,'MELICERTES'!$M$6:$M$205,설정!$E$5)+COUNTIFS('NELEUS'!$B$6:$B$205,$B18,'NELEUS'!$M$6:$M$205,설정!$E$5)+COUNTIFS('ONEIROI'!$B$6:$B$205,$B18,'ONEIROI'!$M$6:$M$205,설정!$E$5))</f>
        <v/>
      </c>
      <c r="K18" s="58">
        <f>IF(OR($B18="",설정!$E$6=""),"",COUNTIFS('AEOLUS'!$B$6:$B$205,$B18,'AEOLUS'!$M$6:$M$205,설정!$E$6)+COUNTIFS('MELICERTES'!$B$6:$B$205,$B18,'MELICERTES'!$M$6:$M$205,설정!$E$6)+COUNTIFS('NELEUS'!$B$6:$B$205,$B18,'NELEUS'!$M$6:$M$205,설정!$E$6)+COUNTIFS('ONEIROI'!$B$6:$B$205,$B18,'ONEIROI'!$M$6:$M$205,설정!$E$6))</f>
        <v/>
      </c>
      <c r="L18" s="58">
        <f>IF(OR($B18="",설정!$E$7=""),"",COUNTIFS('AEOLUS'!$B$6:$B$205,$B18,'AEOLUS'!$M$6:$M$205,설정!$E$7)+COUNTIFS('MELICERTES'!$B$6:$B$205,$B18,'MELICERTES'!$M$6:$M$205,설정!$E$7)+COUNTIFS('NELEUS'!$B$6:$B$205,$B18,'NELEUS'!$M$6:$M$205,설정!$E$7)+COUNTIFS('ONEIROI'!$B$6:$B$205,$B18,'ONEIROI'!$M$6:$M$205,설정!$E$7))</f>
        <v/>
      </c>
      <c r="M18" s="58">
        <f>IF(OR($B18="",설정!$E$8=""),"",COUNTIFS('AEOLUS'!$B$6:$B$205,$B18,'AEOLUS'!$M$6:$M$205,설정!$E$8)+COUNTIFS('MELICERTES'!$B$6:$B$205,$B18,'MELICERTES'!$M$6:$M$205,설정!$E$8)+COUNTIFS('NELEUS'!$B$6:$B$205,$B18,'NELEUS'!$M$6:$M$205,설정!$E$8)+COUNTIFS('ONEIROI'!$B$6:$B$205,$B18,'ONEIROI'!$M$6:$M$205,설정!$E$8))</f>
        <v/>
      </c>
      <c r="N18" s="58">
        <f>IF($B18="","",COUNTIFS('AEOLUS'!$B$6:$B$205,$B18,'AEOLUS'!$AI$6:$AI$205,"&gt;0")+COUNTIFS('MELICERTES'!$B$6:$B$205,$B18,'MELICERTES'!$AI$6:$AI$205,"&gt;0")+COUNTIFS('NELEUS'!$B$6:$B$205,$B18,'NELEUS'!$AI$6:$AI$205,"&gt;0")+COUNTIFS('ONEIROI'!$B$6:$B$205,$B18,'ONEIROI'!$AI$6:$AI$205,"&gt;0"))</f>
        <v/>
      </c>
      <c r="O18" s="53">
        <f>IF($B18="","",SUMIFS('AEOLUS'!$S$6:$S$205,'AEOLUS'!$B$6:$B$205,$B18,'AEOLUS'!$AK$6:$AK$205,1)+SUMIFS('MELICERTES'!$S$6:$S$205,'MELICERTES'!$B$6:$B$205,$B18,'MELICERTES'!$AK$6:$AK$205,1)+SUMIFS('NELEUS'!$S$6:$S$205,'NELEUS'!$B$6:$B$205,$B18,'NELEUS'!$AK$6:$AK$205,1)+SUMIFS('ONEIROI'!$S$6:$S$205,'ONEIROI'!$B$6:$B$205,$B18,'ONEIROI'!$AK$6:$AK$205,1))</f>
        <v/>
      </c>
      <c r="P18" s="36" t="inlineStr">
        <is>
          <t>RFQ 번호 없음 – AFS 견적만</t>
        </is>
      </c>
    </row>
    <row r="19">
      <c r="A19" s="34" t="n"/>
      <c r="B19" s="34" t="n"/>
      <c r="C19" s="36" t="n"/>
      <c r="D19" s="34" t="n"/>
      <c r="E19" s="56" t="n"/>
      <c r="F19" s="36" t="n"/>
      <c r="G19" s="34" t="n"/>
      <c r="H19" s="58">
        <f>IF($B19="","",COUNTIFS('AEOLUS'!$B$6:$B$205,$B19,'AEOLUS'!$AJ$6:$AJ$205,1)+COUNTIFS('MELICERTES'!$B$6:$B$205,$B19,'MELICERTES'!$AJ$6:$AJ$205,1)+COUNTIFS('NELEUS'!$B$6:$B$205,$B19,'NELEUS'!$AJ$6:$AJ$205,1)+COUNTIFS('ONEIROI'!$B$6:$B$205,$B19,'ONEIROI'!$AJ$6:$AJ$205,1))</f>
        <v/>
      </c>
      <c r="I19" s="58">
        <f>IF(OR($B19="",G19=""),"",G19-H19)</f>
        <v/>
      </c>
      <c r="J19" s="58">
        <f>IF(OR($B19="",설정!$E$5=""),"",COUNTIFS('AEOLUS'!$B$6:$B$205,$B19,'AEOLUS'!$M$6:$M$205,설정!$E$5)+COUNTIFS('MELICERTES'!$B$6:$B$205,$B19,'MELICERTES'!$M$6:$M$205,설정!$E$5)+COUNTIFS('NELEUS'!$B$6:$B$205,$B19,'NELEUS'!$M$6:$M$205,설정!$E$5)+COUNTIFS('ONEIROI'!$B$6:$B$205,$B19,'ONEIROI'!$M$6:$M$205,설정!$E$5))</f>
        <v/>
      </c>
      <c r="K19" s="58">
        <f>IF(OR($B19="",설정!$E$6=""),"",COUNTIFS('AEOLUS'!$B$6:$B$205,$B19,'AEOLUS'!$M$6:$M$205,설정!$E$6)+COUNTIFS('MELICERTES'!$B$6:$B$205,$B19,'MELICERTES'!$M$6:$M$205,설정!$E$6)+COUNTIFS('NELEUS'!$B$6:$B$205,$B19,'NELEUS'!$M$6:$M$205,설정!$E$6)+COUNTIFS('ONEIROI'!$B$6:$B$205,$B19,'ONEIROI'!$M$6:$M$205,설정!$E$6))</f>
        <v/>
      </c>
      <c r="L19" s="58">
        <f>IF(OR($B19="",설정!$E$7=""),"",COUNTIFS('AEOLUS'!$B$6:$B$205,$B19,'AEOLUS'!$M$6:$M$205,설정!$E$7)+COUNTIFS('MELICERTES'!$B$6:$B$205,$B19,'MELICERTES'!$M$6:$M$205,설정!$E$7)+COUNTIFS('NELEUS'!$B$6:$B$205,$B19,'NELEUS'!$M$6:$M$205,설정!$E$7)+COUNTIFS('ONEIROI'!$B$6:$B$205,$B19,'ONEIROI'!$M$6:$M$205,설정!$E$7))</f>
        <v/>
      </c>
      <c r="M19" s="58">
        <f>IF(OR($B19="",설정!$E$8=""),"",COUNTIFS('AEOLUS'!$B$6:$B$205,$B19,'AEOLUS'!$M$6:$M$205,설정!$E$8)+COUNTIFS('MELICERTES'!$B$6:$B$205,$B19,'MELICERTES'!$M$6:$M$205,설정!$E$8)+COUNTIFS('NELEUS'!$B$6:$B$205,$B19,'NELEUS'!$M$6:$M$205,설정!$E$8)+COUNTIFS('ONEIROI'!$B$6:$B$205,$B19,'ONEIROI'!$M$6:$M$205,설정!$E$8))</f>
        <v/>
      </c>
      <c r="N19" s="58">
        <f>IF($B19="","",COUNTIFS('AEOLUS'!$B$6:$B$205,$B19,'AEOLUS'!$AI$6:$AI$205,"&gt;0")+COUNTIFS('MELICERTES'!$B$6:$B$205,$B19,'MELICERTES'!$AI$6:$AI$205,"&gt;0")+COUNTIFS('NELEUS'!$B$6:$B$205,$B19,'NELEUS'!$AI$6:$AI$205,"&gt;0")+COUNTIFS('ONEIROI'!$B$6:$B$205,$B19,'ONEIROI'!$AI$6:$AI$205,"&gt;0"))</f>
        <v/>
      </c>
      <c r="O19" s="53">
        <f>IF($B19="","",SUMIFS('AEOLUS'!$S$6:$S$205,'AEOLUS'!$B$6:$B$205,$B19,'AEOLUS'!$AK$6:$AK$205,1)+SUMIFS('MELICERTES'!$S$6:$S$205,'MELICERTES'!$B$6:$B$205,$B19,'MELICERTES'!$AK$6:$AK$205,1)+SUMIFS('NELEUS'!$S$6:$S$205,'NELEUS'!$B$6:$B$205,$B19,'NELEUS'!$AK$6:$AK$205,1)+SUMIFS('ONEIROI'!$S$6:$S$205,'ONEIROI'!$B$6:$B$205,$B19,'ONEIROI'!$AK$6:$AK$205,1))</f>
        <v/>
      </c>
      <c r="P19" s="36" t="n"/>
    </row>
    <row r="20">
      <c r="A20" s="34" t="n"/>
      <c r="B20" s="34" t="n"/>
      <c r="C20" s="36" t="n"/>
      <c r="D20" s="34" t="n"/>
      <c r="E20" s="56" t="n"/>
      <c r="F20" s="36" t="n"/>
      <c r="G20" s="34" t="n"/>
      <c r="H20" s="58">
        <f>IF($B20="","",COUNTIFS('AEOLUS'!$B$6:$B$205,$B20,'AEOLUS'!$AJ$6:$AJ$205,1)+COUNTIFS('MELICERTES'!$B$6:$B$205,$B20,'MELICERTES'!$AJ$6:$AJ$205,1)+COUNTIFS('NELEUS'!$B$6:$B$205,$B20,'NELEUS'!$AJ$6:$AJ$205,1)+COUNTIFS('ONEIROI'!$B$6:$B$205,$B20,'ONEIROI'!$AJ$6:$AJ$205,1))</f>
        <v/>
      </c>
      <c r="I20" s="58">
        <f>IF(OR($B20="",G20=""),"",G20-H20)</f>
        <v/>
      </c>
      <c r="J20" s="58">
        <f>IF(OR($B20="",설정!$E$5=""),"",COUNTIFS('AEOLUS'!$B$6:$B$205,$B20,'AEOLUS'!$M$6:$M$205,설정!$E$5)+COUNTIFS('MELICERTES'!$B$6:$B$205,$B20,'MELICERTES'!$M$6:$M$205,설정!$E$5)+COUNTIFS('NELEUS'!$B$6:$B$205,$B20,'NELEUS'!$M$6:$M$205,설정!$E$5)+COUNTIFS('ONEIROI'!$B$6:$B$205,$B20,'ONEIROI'!$M$6:$M$205,설정!$E$5))</f>
        <v/>
      </c>
      <c r="K20" s="58">
        <f>IF(OR($B20="",설정!$E$6=""),"",COUNTIFS('AEOLUS'!$B$6:$B$205,$B20,'AEOLUS'!$M$6:$M$205,설정!$E$6)+COUNTIFS('MELICERTES'!$B$6:$B$205,$B20,'MELICERTES'!$M$6:$M$205,설정!$E$6)+COUNTIFS('NELEUS'!$B$6:$B$205,$B20,'NELEUS'!$M$6:$M$205,설정!$E$6)+COUNTIFS('ONEIROI'!$B$6:$B$205,$B20,'ONEIROI'!$M$6:$M$205,설정!$E$6))</f>
        <v/>
      </c>
      <c r="L20" s="58">
        <f>IF(OR($B20="",설정!$E$7=""),"",COUNTIFS('AEOLUS'!$B$6:$B$205,$B20,'AEOLUS'!$M$6:$M$205,설정!$E$7)+COUNTIFS('MELICERTES'!$B$6:$B$205,$B20,'MELICERTES'!$M$6:$M$205,설정!$E$7)+COUNTIFS('NELEUS'!$B$6:$B$205,$B20,'NELEUS'!$M$6:$M$205,설정!$E$7)+COUNTIFS('ONEIROI'!$B$6:$B$205,$B20,'ONEIROI'!$M$6:$M$205,설정!$E$7))</f>
        <v/>
      </c>
      <c r="M20" s="58">
        <f>IF(OR($B20="",설정!$E$8=""),"",COUNTIFS('AEOLUS'!$B$6:$B$205,$B20,'AEOLUS'!$M$6:$M$205,설정!$E$8)+COUNTIFS('MELICERTES'!$B$6:$B$205,$B20,'MELICERTES'!$M$6:$M$205,설정!$E$8)+COUNTIFS('NELEUS'!$B$6:$B$205,$B20,'NELEUS'!$M$6:$M$205,설정!$E$8)+COUNTIFS('ONEIROI'!$B$6:$B$205,$B20,'ONEIROI'!$M$6:$M$205,설정!$E$8))</f>
        <v/>
      </c>
      <c r="N20" s="58">
        <f>IF($B20="","",COUNTIFS('AEOLUS'!$B$6:$B$205,$B20,'AEOLUS'!$AI$6:$AI$205,"&gt;0")+COUNTIFS('MELICERTES'!$B$6:$B$205,$B20,'MELICERTES'!$AI$6:$AI$205,"&gt;0")+COUNTIFS('NELEUS'!$B$6:$B$205,$B20,'NELEUS'!$AI$6:$AI$205,"&gt;0")+COUNTIFS('ONEIROI'!$B$6:$B$205,$B20,'ONEIROI'!$AI$6:$AI$205,"&gt;0"))</f>
        <v/>
      </c>
      <c r="O20" s="53">
        <f>IF($B20="","",SUMIFS('AEOLUS'!$S$6:$S$205,'AEOLUS'!$B$6:$B$205,$B20,'AEOLUS'!$AK$6:$AK$205,1)+SUMIFS('MELICERTES'!$S$6:$S$205,'MELICERTES'!$B$6:$B$205,$B20,'MELICERTES'!$AK$6:$AK$205,1)+SUMIFS('NELEUS'!$S$6:$S$205,'NELEUS'!$B$6:$B$205,$B20,'NELEUS'!$AK$6:$AK$205,1)+SUMIFS('ONEIROI'!$S$6:$S$205,'ONEIROI'!$B$6:$B$205,$B20,'ONEIROI'!$AK$6:$AK$205,1))</f>
        <v/>
      </c>
      <c r="P20" s="36" t="n"/>
    </row>
    <row r="21">
      <c r="A21" s="34" t="n"/>
      <c r="B21" s="34" t="n"/>
      <c r="C21" s="36" t="n"/>
      <c r="D21" s="34" t="n"/>
      <c r="E21" s="56" t="n"/>
      <c r="F21" s="36" t="n"/>
      <c r="G21" s="34" t="n"/>
      <c r="H21" s="58">
        <f>IF($B21="","",COUNTIFS('AEOLUS'!$B$6:$B$205,$B21,'AEOLUS'!$AJ$6:$AJ$205,1)+COUNTIFS('MELICERTES'!$B$6:$B$205,$B21,'MELICERTES'!$AJ$6:$AJ$205,1)+COUNTIFS('NELEUS'!$B$6:$B$205,$B21,'NELEUS'!$AJ$6:$AJ$205,1)+COUNTIFS('ONEIROI'!$B$6:$B$205,$B21,'ONEIROI'!$AJ$6:$AJ$205,1))</f>
        <v/>
      </c>
      <c r="I21" s="58">
        <f>IF(OR($B21="",G21=""),"",G21-H21)</f>
        <v/>
      </c>
      <c r="J21" s="58">
        <f>IF(OR($B21="",설정!$E$5=""),"",COUNTIFS('AEOLUS'!$B$6:$B$205,$B21,'AEOLUS'!$M$6:$M$205,설정!$E$5)+COUNTIFS('MELICERTES'!$B$6:$B$205,$B21,'MELICERTES'!$M$6:$M$205,설정!$E$5)+COUNTIFS('NELEUS'!$B$6:$B$205,$B21,'NELEUS'!$M$6:$M$205,설정!$E$5)+COUNTIFS('ONEIROI'!$B$6:$B$205,$B21,'ONEIROI'!$M$6:$M$205,설정!$E$5))</f>
        <v/>
      </c>
      <c r="K21" s="58">
        <f>IF(OR($B21="",설정!$E$6=""),"",COUNTIFS('AEOLUS'!$B$6:$B$205,$B21,'AEOLUS'!$M$6:$M$205,설정!$E$6)+COUNTIFS('MELICERTES'!$B$6:$B$205,$B21,'MELICERTES'!$M$6:$M$205,설정!$E$6)+COUNTIFS('NELEUS'!$B$6:$B$205,$B21,'NELEUS'!$M$6:$M$205,설정!$E$6)+COUNTIFS('ONEIROI'!$B$6:$B$205,$B21,'ONEIROI'!$M$6:$M$205,설정!$E$6))</f>
        <v/>
      </c>
      <c r="L21" s="58">
        <f>IF(OR($B21="",설정!$E$7=""),"",COUNTIFS('AEOLUS'!$B$6:$B$205,$B21,'AEOLUS'!$M$6:$M$205,설정!$E$7)+COUNTIFS('MELICERTES'!$B$6:$B$205,$B21,'MELICERTES'!$M$6:$M$205,설정!$E$7)+COUNTIFS('NELEUS'!$B$6:$B$205,$B21,'NELEUS'!$M$6:$M$205,설정!$E$7)+COUNTIFS('ONEIROI'!$B$6:$B$205,$B21,'ONEIROI'!$M$6:$M$205,설정!$E$7))</f>
        <v/>
      </c>
      <c r="M21" s="58">
        <f>IF(OR($B21="",설정!$E$8=""),"",COUNTIFS('AEOLUS'!$B$6:$B$205,$B21,'AEOLUS'!$M$6:$M$205,설정!$E$8)+COUNTIFS('MELICERTES'!$B$6:$B$205,$B21,'MELICERTES'!$M$6:$M$205,설정!$E$8)+COUNTIFS('NELEUS'!$B$6:$B$205,$B21,'NELEUS'!$M$6:$M$205,설정!$E$8)+COUNTIFS('ONEIROI'!$B$6:$B$205,$B21,'ONEIROI'!$M$6:$M$205,설정!$E$8))</f>
        <v/>
      </c>
      <c r="N21" s="58">
        <f>IF($B21="","",COUNTIFS('AEOLUS'!$B$6:$B$205,$B21,'AEOLUS'!$AI$6:$AI$205,"&gt;0")+COUNTIFS('MELICERTES'!$B$6:$B$205,$B21,'MELICERTES'!$AI$6:$AI$205,"&gt;0")+COUNTIFS('NELEUS'!$B$6:$B$205,$B21,'NELEUS'!$AI$6:$AI$205,"&gt;0")+COUNTIFS('ONEIROI'!$B$6:$B$205,$B21,'ONEIROI'!$AI$6:$AI$205,"&gt;0"))</f>
        <v/>
      </c>
      <c r="O21" s="53">
        <f>IF($B21="","",SUMIFS('AEOLUS'!$S$6:$S$205,'AEOLUS'!$B$6:$B$205,$B21,'AEOLUS'!$AK$6:$AK$205,1)+SUMIFS('MELICERTES'!$S$6:$S$205,'MELICERTES'!$B$6:$B$205,$B21,'MELICERTES'!$AK$6:$AK$205,1)+SUMIFS('NELEUS'!$S$6:$S$205,'NELEUS'!$B$6:$B$205,$B21,'NELEUS'!$AK$6:$AK$205,1)+SUMIFS('ONEIROI'!$S$6:$S$205,'ONEIROI'!$B$6:$B$205,$B21,'ONEIROI'!$AK$6:$AK$205,1))</f>
        <v/>
      </c>
      <c r="P21" s="36" t="n"/>
    </row>
    <row r="22">
      <c r="A22" s="34" t="n"/>
      <c r="B22" s="34" t="n"/>
      <c r="C22" s="36" t="n"/>
      <c r="D22" s="34" t="n"/>
      <c r="E22" s="56" t="n"/>
      <c r="F22" s="36" t="n"/>
      <c r="G22" s="34" t="n"/>
      <c r="H22" s="58">
        <f>IF($B22="","",COUNTIFS('AEOLUS'!$B$6:$B$205,$B22,'AEOLUS'!$AJ$6:$AJ$205,1)+COUNTIFS('MELICERTES'!$B$6:$B$205,$B22,'MELICERTES'!$AJ$6:$AJ$205,1)+COUNTIFS('NELEUS'!$B$6:$B$205,$B22,'NELEUS'!$AJ$6:$AJ$205,1)+COUNTIFS('ONEIROI'!$B$6:$B$205,$B22,'ONEIROI'!$AJ$6:$AJ$205,1))</f>
        <v/>
      </c>
      <c r="I22" s="58">
        <f>IF(OR($B22="",G22=""),"",G22-H22)</f>
        <v/>
      </c>
      <c r="J22" s="58">
        <f>IF(OR($B22="",설정!$E$5=""),"",COUNTIFS('AEOLUS'!$B$6:$B$205,$B22,'AEOLUS'!$M$6:$M$205,설정!$E$5)+COUNTIFS('MELICERTES'!$B$6:$B$205,$B22,'MELICERTES'!$M$6:$M$205,설정!$E$5)+COUNTIFS('NELEUS'!$B$6:$B$205,$B22,'NELEUS'!$M$6:$M$205,설정!$E$5)+COUNTIFS('ONEIROI'!$B$6:$B$205,$B22,'ONEIROI'!$M$6:$M$205,설정!$E$5))</f>
        <v/>
      </c>
      <c r="K22" s="58">
        <f>IF(OR($B22="",설정!$E$6=""),"",COUNTIFS('AEOLUS'!$B$6:$B$205,$B22,'AEOLUS'!$M$6:$M$205,설정!$E$6)+COUNTIFS('MELICERTES'!$B$6:$B$205,$B22,'MELICERTES'!$M$6:$M$205,설정!$E$6)+COUNTIFS('NELEUS'!$B$6:$B$205,$B22,'NELEUS'!$M$6:$M$205,설정!$E$6)+COUNTIFS('ONEIROI'!$B$6:$B$205,$B22,'ONEIROI'!$M$6:$M$205,설정!$E$6))</f>
        <v/>
      </c>
      <c r="L22" s="58">
        <f>IF(OR($B22="",설정!$E$7=""),"",COUNTIFS('AEOLUS'!$B$6:$B$205,$B22,'AEOLUS'!$M$6:$M$205,설정!$E$7)+COUNTIFS('MELICERTES'!$B$6:$B$205,$B22,'MELICERTES'!$M$6:$M$205,설정!$E$7)+COUNTIFS('NELEUS'!$B$6:$B$205,$B22,'NELEUS'!$M$6:$M$205,설정!$E$7)+COUNTIFS('ONEIROI'!$B$6:$B$205,$B22,'ONEIROI'!$M$6:$M$205,설정!$E$7))</f>
        <v/>
      </c>
      <c r="M22" s="58">
        <f>IF(OR($B22="",설정!$E$8=""),"",COUNTIFS('AEOLUS'!$B$6:$B$205,$B22,'AEOLUS'!$M$6:$M$205,설정!$E$8)+COUNTIFS('MELICERTES'!$B$6:$B$205,$B22,'MELICERTES'!$M$6:$M$205,설정!$E$8)+COUNTIFS('NELEUS'!$B$6:$B$205,$B22,'NELEUS'!$M$6:$M$205,설정!$E$8)+COUNTIFS('ONEIROI'!$B$6:$B$205,$B22,'ONEIROI'!$M$6:$M$205,설정!$E$8))</f>
        <v/>
      </c>
      <c r="N22" s="58">
        <f>IF($B22="","",COUNTIFS('AEOLUS'!$B$6:$B$205,$B22,'AEOLUS'!$AI$6:$AI$205,"&gt;0")+COUNTIFS('MELICERTES'!$B$6:$B$205,$B22,'MELICERTES'!$AI$6:$AI$205,"&gt;0")+COUNTIFS('NELEUS'!$B$6:$B$205,$B22,'NELEUS'!$AI$6:$AI$205,"&gt;0")+COUNTIFS('ONEIROI'!$B$6:$B$205,$B22,'ONEIROI'!$AI$6:$AI$205,"&gt;0"))</f>
        <v/>
      </c>
      <c r="O22" s="53">
        <f>IF($B22="","",SUMIFS('AEOLUS'!$S$6:$S$205,'AEOLUS'!$B$6:$B$205,$B22,'AEOLUS'!$AK$6:$AK$205,1)+SUMIFS('MELICERTES'!$S$6:$S$205,'MELICERTES'!$B$6:$B$205,$B22,'MELICERTES'!$AK$6:$AK$205,1)+SUMIFS('NELEUS'!$S$6:$S$205,'NELEUS'!$B$6:$B$205,$B22,'NELEUS'!$AK$6:$AK$205,1)+SUMIFS('ONEIROI'!$S$6:$S$205,'ONEIROI'!$B$6:$B$205,$B22,'ONEIROI'!$AK$6:$AK$205,1))</f>
        <v/>
      </c>
      <c r="P22" s="36" t="n"/>
    </row>
    <row r="23">
      <c r="A23" s="34" t="n"/>
      <c r="B23" s="34" t="n"/>
      <c r="C23" s="36" t="n"/>
      <c r="D23" s="34" t="n"/>
      <c r="E23" s="56" t="n"/>
      <c r="F23" s="36" t="n"/>
      <c r="G23" s="34" t="n"/>
      <c r="H23" s="58">
        <f>IF($B23="","",COUNTIFS('AEOLUS'!$B$6:$B$205,$B23,'AEOLUS'!$AJ$6:$AJ$205,1)+COUNTIFS('MELICERTES'!$B$6:$B$205,$B23,'MELICERTES'!$AJ$6:$AJ$205,1)+COUNTIFS('NELEUS'!$B$6:$B$205,$B23,'NELEUS'!$AJ$6:$AJ$205,1)+COUNTIFS('ONEIROI'!$B$6:$B$205,$B23,'ONEIROI'!$AJ$6:$AJ$205,1))</f>
        <v/>
      </c>
      <c r="I23" s="58">
        <f>IF(OR($B23="",G23=""),"",G23-H23)</f>
        <v/>
      </c>
      <c r="J23" s="58">
        <f>IF(OR($B23="",설정!$E$5=""),"",COUNTIFS('AEOLUS'!$B$6:$B$205,$B23,'AEOLUS'!$M$6:$M$205,설정!$E$5)+COUNTIFS('MELICERTES'!$B$6:$B$205,$B23,'MELICERTES'!$M$6:$M$205,설정!$E$5)+COUNTIFS('NELEUS'!$B$6:$B$205,$B23,'NELEUS'!$M$6:$M$205,설정!$E$5)+COUNTIFS('ONEIROI'!$B$6:$B$205,$B23,'ONEIROI'!$M$6:$M$205,설정!$E$5))</f>
        <v/>
      </c>
      <c r="K23" s="58">
        <f>IF(OR($B23="",설정!$E$6=""),"",COUNTIFS('AEOLUS'!$B$6:$B$205,$B23,'AEOLUS'!$M$6:$M$205,설정!$E$6)+COUNTIFS('MELICERTES'!$B$6:$B$205,$B23,'MELICERTES'!$M$6:$M$205,설정!$E$6)+COUNTIFS('NELEUS'!$B$6:$B$205,$B23,'NELEUS'!$M$6:$M$205,설정!$E$6)+COUNTIFS('ONEIROI'!$B$6:$B$205,$B23,'ONEIROI'!$M$6:$M$205,설정!$E$6))</f>
        <v/>
      </c>
      <c r="L23" s="58">
        <f>IF(OR($B23="",설정!$E$7=""),"",COUNTIFS('AEOLUS'!$B$6:$B$205,$B23,'AEOLUS'!$M$6:$M$205,설정!$E$7)+COUNTIFS('MELICERTES'!$B$6:$B$205,$B23,'MELICERTES'!$M$6:$M$205,설정!$E$7)+COUNTIFS('NELEUS'!$B$6:$B$205,$B23,'NELEUS'!$M$6:$M$205,설정!$E$7)+COUNTIFS('ONEIROI'!$B$6:$B$205,$B23,'ONEIROI'!$M$6:$M$205,설정!$E$7))</f>
        <v/>
      </c>
      <c r="M23" s="58">
        <f>IF(OR($B23="",설정!$E$8=""),"",COUNTIFS('AEOLUS'!$B$6:$B$205,$B23,'AEOLUS'!$M$6:$M$205,설정!$E$8)+COUNTIFS('MELICERTES'!$B$6:$B$205,$B23,'MELICERTES'!$M$6:$M$205,설정!$E$8)+COUNTIFS('NELEUS'!$B$6:$B$205,$B23,'NELEUS'!$M$6:$M$205,설정!$E$8)+COUNTIFS('ONEIROI'!$B$6:$B$205,$B23,'ONEIROI'!$M$6:$M$205,설정!$E$8))</f>
        <v/>
      </c>
      <c r="N23" s="58">
        <f>IF($B23="","",COUNTIFS('AEOLUS'!$B$6:$B$205,$B23,'AEOLUS'!$AI$6:$AI$205,"&gt;0")+COUNTIFS('MELICERTES'!$B$6:$B$205,$B23,'MELICERTES'!$AI$6:$AI$205,"&gt;0")+COUNTIFS('NELEUS'!$B$6:$B$205,$B23,'NELEUS'!$AI$6:$AI$205,"&gt;0")+COUNTIFS('ONEIROI'!$B$6:$B$205,$B23,'ONEIROI'!$AI$6:$AI$205,"&gt;0"))</f>
        <v/>
      </c>
      <c r="O23" s="53">
        <f>IF($B23="","",SUMIFS('AEOLUS'!$S$6:$S$205,'AEOLUS'!$B$6:$B$205,$B23,'AEOLUS'!$AK$6:$AK$205,1)+SUMIFS('MELICERTES'!$S$6:$S$205,'MELICERTES'!$B$6:$B$205,$B23,'MELICERTES'!$AK$6:$AK$205,1)+SUMIFS('NELEUS'!$S$6:$S$205,'NELEUS'!$B$6:$B$205,$B23,'NELEUS'!$AK$6:$AK$205,1)+SUMIFS('ONEIROI'!$S$6:$S$205,'ONEIROI'!$B$6:$B$205,$B23,'ONEIROI'!$AK$6:$AK$205,1))</f>
        <v/>
      </c>
      <c r="P23" s="36" t="n"/>
    </row>
    <row r="24">
      <c r="A24" s="34" t="n"/>
      <c r="B24" s="34" t="n"/>
      <c r="C24" s="36" t="n"/>
      <c r="D24" s="34" t="n"/>
      <c r="E24" s="56" t="n"/>
      <c r="F24" s="36" t="n"/>
      <c r="G24" s="34" t="n"/>
      <c r="H24" s="58">
        <f>IF($B24="","",COUNTIFS('AEOLUS'!$B$6:$B$205,$B24,'AEOLUS'!$AJ$6:$AJ$205,1)+COUNTIFS('MELICERTES'!$B$6:$B$205,$B24,'MELICERTES'!$AJ$6:$AJ$205,1)+COUNTIFS('NELEUS'!$B$6:$B$205,$B24,'NELEUS'!$AJ$6:$AJ$205,1)+COUNTIFS('ONEIROI'!$B$6:$B$205,$B24,'ONEIROI'!$AJ$6:$AJ$205,1))</f>
        <v/>
      </c>
      <c r="I24" s="58">
        <f>IF(OR($B24="",G24=""),"",G24-H24)</f>
        <v/>
      </c>
      <c r="J24" s="58">
        <f>IF(OR($B24="",설정!$E$5=""),"",COUNTIFS('AEOLUS'!$B$6:$B$205,$B24,'AEOLUS'!$M$6:$M$205,설정!$E$5)+COUNTIFS('MELICERTES'!$B$6:$B$205,$B24,'MELICERTES'!$M$6:$M$205,설정!$E$5)+COUNTIFS('NELEUS'!$B$6:$B$205,$B24,'NELEUS'!$M$6:$M$205,설정!$E$5)+COUNTIFS('ONEIROI'!$B$6:$B$205,$B24,'ONEIROI'!$M$6:$M$205,설정!$E$5))</f>
        <v/>
      </c>
      <c r="K24" s="58">
        <f>IF(OR($B24="",설정!$E$6=""),"",COUNTIFS('AEOLUS'!$B$6:$B$205,$B24,'AEOLUS'!$M$6:$M$205,설정!$E$6)+COUNTIFS('MELICERTES'!$B$6:$B$205,$B24,'MELICERTES'!$M$6:$M$205,설정!$E$6)+COUNTIFS('NELEUS'!$B$6:$B$205,$B24,'NELEUS'!$M$6:$M$205,설정!$E$6)+COUNTIFS('ONEIROI'!$B$6:$B$205,$B24,'ONEIROI'!$M$6:$M$205,설정!$E$6))</f>
        <v/>
      </c>
      <c r="L24" s="58">
        <f>IF(OR($B24="",설정!$E$7=""),"",COUNTIFS('AEOLUS'!$B$6:$B$205,$B24,'AEOLUS'!$M$6:$M$205,설정!$E$7)+COUNTIFS('MELICERTES'!$B$6:$B$205,$B24,'MELICERTES'!$M$6:$M$205,설정!$E$7)+COUNTIFS('NELEUS'!$B$6:$B$205,$B24,'NELEUS'!$M$6:$M$205,설정!$E$7)+COUNTIFS('ONEIROI'!$B$6:$B$205,$B24,'ONEIROI'!$M$6:$M$205,설정!$E$7))</f>
        <v/>
      </c>
      <c r="M24" s="58">
        <f>IF(OR($B24="",설정!$E$8=""),"",COUNTIFS('AEOLUS'!$B$6:$B$205,$B24,'AEOLUS'!$M$6:$M$205,설정!$E$8)+COUNTIFS('MELICERTES'!$B$6:$B$205,$B24,'MELICERTES'!$M$6:$M$205,설정!$E$8)+COUNTIFS('NELEUS'!$B$6:$B$205,$B24,'NELEUS'!$M$6:$M$205,설정!$E$8)+COUNTIFS('ONEIROI'!$B$6:$B$205,$B24,'ONEIROI'!$M$6:$M$205,설정!$E$8))</f>
        <v/>
      </c>
      <c r="N24" s="58">
        <f>IF($B24="","",COUNTIFS('AEOLUS'!$B$6:$B$205,$B24,'AEOLUS'!$AI$6:$AI$205,"&gt;0")+COUNTIFS('MELICERTES'!$B$6:$B$205,$B24,'MELICERTES'!$AI$6:$AI$205,"&gt;0")+COUNTIFS('NELEUS'!$B$6:$B$205,$B24,'NELEUS'!$AI$6:$AI$205,"&gt;0")+COUNTIFS('ONEIROI'!$B$6:$B$205,$B24,'ONEIROI'!$AI$6:$AI$205,"&gt;0"))</f>
        <v/>
      </c>
      <c r="O24" s="53">
        <f>IF($B24="","",SUMIFS('AEOLUS'!$S$6:$S$205,'AEOLUS'!$B$6:$B$205,$B24,'AEOLUS'!$AK$6:$AK$205,1)+SUMIFS('MELICERTES'!$S$6:$S$205,'MELICERTES'!$B$6:$B$205,$B24,'MELICERTES'!$AK$6:$AK$205,1)+SUMIFS('NELEUS'!$S$6:$S$205,'NELEUS'!$B$6:$B$205,$B24,'NELEUS'!$AK$6:$AK$205,1)+SUMIFS('ONEIROI'!$S$6:$S$205,'ONEIROI'!$B$6:$B$205,$B24,'ONEIROI'!$AK$6:$AK$205,1))</f>
        <v/>
      </c>
      <c r="P24" s="36" t="n"/>
    </row>
    <row r="25">
      <c r="A25" s="34" t="n"/>
      <c r="B25" s="34" t="n"/>
      <c r="C25" s="36" t="n"/>
      <c r="D25" s="34" t="n"/>
      <c r="E25" s="56" t="n"/>
      <c r="F25" s="36" t="n"/>
      <c r="G25" s="34" t="n"/>
      <c r="H25" s="58">
        <f>IF($B25="","",COUNTIFS('AEOLUS'!$B$6:$B$205,$B25,'AEOLUS'!$AJ$6:$AJ$205,1)+COUNTIFS('MELICERTES'!$B$6:$B$205,$B25,'MELICERTES'!$AJ$6:$AJ$205,1)+COUNTIFS('NELEUS'!$B$6:$B$205,$B25,'NELEUS'!$AJ$6:$AJ$205,1)+COUNTIFS('ONEIROI'!$B$6:$B$205,$B25,'ONEIROI'!$AJ$6:$AJ$205,1))</f>
        <v/>
      </c>
      <c r="I25" s="58">
        <f>IF(OR($B25="",G25=""),"",G25-H25)</f>
        <v/>
      </c>
      <c r="J25" s="58">
        <f>IF(OR($B25="",설정!$E$5=""),"",COUNTIFS('AEOLUS'!$B$6:$B$205,$B25,'AEOLUS'!$M$6:$M$205,설정!$E$5)+COUNTIFS('MELICERTES'!$B$6:$B$205,$B25,'MELICERTES'!$M$6:$M$205,설정!$E$5)+COUNTIFS('NELEUS'!$B$6:$B$205,$B25,'NELEUS'!$M$6:$M$205,설정!$E$5)+COUNTIFS('ONEIROI'!$B$6:$B$205,$B25,'ONEIROI'!$M$6:$M$205,설정!$E$5))</f>
        <v/>
      </c>
      <c r="K25" s="58">
        <f>IF(OR($B25="",설정!$E$6=""),"",COUNTIFS('AEOLUS'!$B$6:$B$205,$B25,'AEOLUS'!$M$6:$M$205,설정!$E$6)+COUNTIFS('MELICERTES'!$B$6:$B$205,$B25,'MELICERTES'!$M$6:$M$205,설정!$E$6)+COUNTIFS('NELEUS'!$B$6:$B$205,$B25,'NELEUS'!$M$6:$M$205,설정!$E$6)+COUNTIFS('ONEIROI'!$B$6:$B$205,$B25,'ONEIROI'!$M$6:$M$205,설정!$E$6))</f>
        <v/>
      </c>
      <c r="L25" s="58">
        <f>IF(OR($B25="",설정!$E$7=""),"",COUNTIFS('AEOLUS'!$B$6:$B$205,$B25,'AEOLUS'!$M$6:$M$205,설정!$E$7)+COUNTIFS('MELICERTES'!$B$6:$B$205,$B25,'MELICERTES'!$M$6:$M$205,설정!$E$7)+COUNTIFS('NELEUS'!$B$6:$B$205,$B25,'NELEUS'!$M$6:$M$205,설정!$E$7)+COUNTIFS('ONEIROI'!$B$6:$B$205,$B25,'ONEIROI'!$M$6:$M$205,설정!$E$7))</f>
        <v/>
      </c>
      <c r="M25" s="58">
        <f>IF(OR($B25="",설정!$E$8=""),"",COUNTIFS('AEOLUS'!$B$6:$B$205,$B25,'AEOLUS'!$M$6:$M$205,설정!$E$8)+COUNTIFS('MELICERTES'!$B$6:$B$205,$B25,'MELICERTES'!$M$6:$M$205,설정!$E$8)+COUNTIFS('NELEUS'!$B$6:$B$205,$B25,'NELEUS'!$M$6:$M$205,설정!$E$8)+COUNTIFS('ONEIROI'!$B$6:$B$205,$B25,'ONEIROI'!$M$6:$M$205,설정!$E$8))</f>
        <v/>
      </c>
      <c r="N25" s="58">
        <f>IF($B25="","",COUNTIFS('AEOLUS'!$B$6:$B$205,$B25,'AEOLUS'!$AI$6:$AI$205,"&gt;0")+COUNTIFS('MELICERTES'!$B$6:$B$205,$B25,'MELICERTES'!$AI$6:$AI$205,"&gt;0")+COUNTIFS('NELEUS'!$B$6:$B$205,$B25,'NELEUS'!$AI$6:$AI$205,"&gt;0")+COUNTIFS('ONEIROI'!$B$6:$B$205,$B25,'ONEIROI'!$AI$6:$AI$205,"&gt;0"))</f>
        <v/>
      </c>
      <c r="O25" s="53">
        <f>IF($B25="","",SUMIFS('AEOLUS'!$S$6:$S$205,'AEOLUS'!$B$6:$B$205,$B25,'AEOLUS'!$AK$6:$AK$205,1)+SUMIFS('MELICERTES'!$S$6:$S$205,'MELICERTES'!$B$6:$B$205,$B25,'MELICERTES'!$AK$6:$AK$205,1)+SUMIFS('NELEUS'!$S$6:$S$205,'NELEUS'!$B$6:$B$205,$B25,'NELEUS'!$AK$6:$AK$205,1)+SUMIFS('ONEIROI'!$S$6:$S$205,'ONEIROI'!$B$6:$B$205,$B25,'ONEIROI'!$AK$6:$AK$205,1))</f>
        <v/>
      </c>
      <c r="P25" s="36" t="n"/>
    </row>
    <row r="26">
      <c r="A26" s="34" t="n"/>
      <c r="B26" s="34" t="n"/>
      <c r="C26" s="36" t="n"/>
      <c r="D26" s="34" t="n"/>
      <c r="E26" s="56" t="n"/>
      <c r="F26" s="36" t="n"/>
      <c r="G26" s="34" t="n"/>
      <c r="H26" s="58">
        <f>IF($B26="","",COUNTIFS('AEOLUS'!$B$6:$B$205,$B26,'AEOLUS'!$AJ$6:$AJ$205,1)+COUNTIFS('MELICERTES'!$B$6:$B$205,$B26,'MELICERTES'!$AJ$6:$AJ$205,1)+COUNTIFS('NELEUS'!$B$6:$B$205,$B26,'NELEUS'!$AJ$6:$AJ$205,1)+COUNTIFS('ONEIROI'!$B$6:$B$205,$B26,'ONEIROI'!$AJ$6:$AJ$205,1))</f>
        <v/>
      </c>
      <c r="I26" s="58">
        <f>IF(OR($B26="",G26=""),"",G26-H26)</f>
        <v/>
      </c>
      <c r="J26" s="58">
        <f>IF(OR($B26="",설정!$E$5=""),"",COUNTIFS('AEOLUS'!$B$6:$B$205,$B26,'AEOLUS'!$M$6:$M$205,설정!$E$5)+COUNTIFS('MELICERTES'!$B$6:$B$205,$B26,'MELICERTES'!$M$6:$M$205,설정!$E$5)+COUNTIFS('NELEUS'!$B$6:$B$205,$B26,'NELEUS'!$M$6:$M$205,설정!$E$5)+COUNTIFS('ONEIROI'!$B$6:$B$205,$B26,'ONEIROI'!$M$6:$M$205,설정!$E$5))</f>
        <v/>
      </c>
      <c r="K26" s="58">
        <f>IF(OR($B26="",설정!$E$6=""),"",COUNTIFS('AEOLUS'!$B$6:$B$205,$B26,'AEOLUS'!$M$6:$M$205,설정!$E$6)+COUNTIFS('MELICERTES'!$B$6:$B$205,$B26,'MELICERTES'!$M$6:$M$205,설정!$E$6)+COUNTIFS('NELEUS'!$B$6:$B$205,$B26,'NELEUS'!$M$6:$M$205,설정!$E$6)+COUNTIFS('ONEIROI'!$B$6:$B$205,$B26,'ONEIROI'!$M$6:$M$205,설정!$E$6))</f>
        <v/>
      </c>
      <c r="L26" s="58">
        <f>IF(OR($B26="",설정!$E$7=""),"",COUNTIFS('AEOLUS'!$B$6:$B$205,$B26,'AEOLUS'!$M$6:$M$205,설정!$E$7)+COUNTIFS('MELICERTES'!$B$6:$B$205,$B26,'MELICERTES'!$M$6:$M$205,설정!$E$7)+COUNTIFS('NELEUS'!$B$6:$B$205,$B26,'NELEUS'!$M$6:$M$205,설정!$E$7)+COUNTIFS('ONEIROI'!$B$6:$B$205,$B26,'ONEIROI'!$M$6:$M$205,설정!$E$7))</f>
        <v/>
      </c>
      <c r="M26" s="58">
        <f>IF(OR($B26="",설정!$E$8=""),"",COUNTIFS('AEOLUS'!$B$6:$B$205,$B26,'AEOLUS'!$M$6:$M$205,설정!$E$8)+COUNTIFS('MELICERTES'!$B$6:$B$205,$B26,'MELICERTES'!$M$6:$M$205,설정!$E$8)+COUNTIFS('NELEUS'!$B$6:$B$205,$B26,'NELEUS'!$M$6:$M$205,설정!$E$8)+COUNTIFS('ONEIROI'!$B$6:$B$205,$B26,'ONEIROI'!$M$6:$M$205,설정!$E$8))</f>
        <v/>
      </c>
      <c r="N26" s="58">
        <f>IF($B26="","",COUNTIFS('AEOLUS'!$B$6:$B$205,$B26,'AEOLUS'!$AI$6:$AI$205,"&gt;0")+COUNTIFS('MELICERTES'!$B$6:$B$205,$B26,'MELICERTES'!$AI$6:$AI$205,"&gt;0")+COUNTIFS('NELEUS'!$B$6:$B$205,$B26,'NELEUS'!$AI$6:$AI$205,"&gt;0")+COUNTIFS('ONEIROI'!$B$6:$B$205,$B26,'ONEIROI'!$AI$6:$AI$205,"&gt;0"))</f>
        <v/>
      </c>
      <c r="O26" s="53">
        <f>IF($B26="","",SUMIFS('AEOLUS'!$S$6:$S$205,'AEOLUS'!$B$6:$B$205,$B26,'AEOLUS'!$AK$6:$AK$205,1)+SUMIFS('MELICERTES'!$S$6:$S$205,'MELICERTES'!$B$6:$B$205,$B26,'MELICERTES'!$AK$6:$AK$205,1)+SUMIFS('NELEUS'!$S$6:$S$205,'NELEUS'!$B$6:$B$205,$B26,'NELEUS'!$AK$6:$AK$205,1)+SUMIFS('ONEIROI'!$S$6:$S$205,'ONEIROI'!$B$6:$B$205,$B26,'ONEIROI'!$AK$6:$AK$205,1))</f>
        <v/>
      </c>
      <c r="P26" s="36" t="n"/>
    </row>
    <row r="27">
      <c r="A27" s="34" t="n"/>
      <c r="B27" s="34" t="n"/>
      <c r="C27" s="36" t="n"/>
      <c r="D27" s="34" t="n"/>
      <c r="E27" s="56" t="n"/>
      <c r="F27" s="36" t="n"/>
      <c r="G27" s="34" t="n"/>
      <c r="H27" s="58">
        <f>IF($B27="","",COUNTIFS('AEOLUS'!$B$6:$B$205,$B27,'AEOLUS'!$AJ$6:$AJ$205,1)+COUNTIFS('MELICERTES'!$B$6:$B$205,$B27,'MELICERTES'!$AJ$6:$AJ$205,1)+COUNTIFS('NELEUS'!$B$6:$B$205,$B27,'NELEUS'!$AJ$6:$AJ$205,1)+COUNTIFS('ONEIROI'!$B$6:$B$205,$B27,'ONEIROI'!$AJ$6:$AJ$205,1))</f>
        <v/>
      </c>
      <c r="I27" s="58">
        <f>IF(OR($B27="",G27=""),"",G27-H27)</f>
        <v/>
      </c>
      <c r="J27" s="58">
        <f>IF(OR($B27="",설정!$E$5=""),"",COUNTIFS('AEOLUS'!$B$6:$B$205,$B27,'AEOLUS'!$M$6:$M$205,설정!$E$5)+COUNTIFS('MELICERTES'!$B$6:$B$205,$B27,'MELICERTES'!$M$6:$M$205,설정!$E$5)+COUNTIFS('NELEUS'!$B$6:$B$205,$B27,'NELEUS'!$M$6:$M$205,설정!$E$5)+COUNTIFS('ONEIROI'!$B$6:$B$205,$B27,'ONEIROI'!$M$6:$M$205,설정!$E$5))</f>
        <v/>
      </c>
      <c r="K27" s="58">
        <f>IF(OR($B27="",설정!$E$6=""),"",COUNTIFS('AEOLUS'!$B$6:$B$205,$B27,'AEOLUS'!$M$6:$M$205,설정!$E$6)+COUNTIFS('MELICERTES'!$B$6:$B$205,$B27,'MELICERTES'!$M$6:$M$205,설정!$E$6)+COUNTIFS('NELEUS'!$B$6:$B$205,$B27,'NELEUS'!$M$6:$M$205,설정!$E$6)+COUNTIFS('ONEIROI'!$B$6:$B$205,$B27,'ONEIROI'!$M$6:$M$205,설정!$E$6))</f>
        <v/>
      </c>
      <c r="L27" s="58">
        <f>IF(OR($B27="",설정!$E$7=""),"",COUNTIFS('AEOLUS'!$B$6:$B$205,$B27,'AEOLUS'!$M$6:$M$205,설정!$E$7)+COUNTIFS('MELICERTES'!$B$6:$B$205,$B27,'MELICERTES'!$M$6:$M$205,설정!$E$7)+COUNTIFS('NELEUS'!$B$6:$B$205,$B27,'NELEUS'!$M$6:$M$205,설정!$E$7)+COUNTIFS('ONEIROI'!$B$6:$B$205,$B27,'ONEIROI'!$M$6:$M$205,설정!$E$7))</f>
        <v/>
      </c>
      <c r="M27" s="58">
        <f>IF(OR($B27="",설정!$E$8=""),"",COUNTIFS('AEOLUS'!$B$6:$B$205,$B27,'AEOLUS'!$M$6:$M$205,설정!$E$8)+COUNTIFS('MELICERTES'!$B$6:$B$205,$B27,'MELICERTES'!$M$6:$M$205,설정!$E$8)+COUNTIFS('NELEUS'!$B$6:$B$205,$B27,'NELEUS'!$M$6:$M$205,설정!$E$8)+COUNTIFS('ONEIROI'!$B$6:$B$205,$B27,'ONEIROI'!$M$6:$M$205,설정!$E$8))</f>
        <v/>
      </c>
      <c r="N27" s="58">
        <f>IF($B27="","",COUNTIFS('AEOLUS'!$B$6:$B$205,$B27,'AEOLUS'!$AI$6:$AI$205,"&gt;0")+COUNTIFS('MELICERTES'!$B$6:$B$205,$B27,'MELICERTES'!$AI$6:$AI$205,"&gt;0")+COUNTIFS('NELEUS'!$B$6:$B$205,$B27,'NELEUS'!$AI$6:$AI$205,"&gt;0")+COUNTIFS('ONEIROI'!$B$6:$B$205,$B27,'ONEIROI'!$AI$6:$AI$205,"&gt;0"))</f>
        <v/>
      </c>
      <c r="O27" s="53">
        <f>IF($B27="","",SUMIFS('AEOLUS'!$S$6:$S$205,'AEOLUS'!$B$6:$B$205,$B27,'AEOLUS'!$AK$6:$AK$205,1)+SUMIFS('MELICERTES'!$S$6:$S$205,'MELICERTES'!$B$6:$B$205,$B27,'MELICERTES'!$AK$6:$AK$205,1)+SUMIFS('NELEUS'!$S$6:$S$205,'NELEUS'!$B$6:$B$205,$B27,'NELEUS'!$AK$6:$AK$205,1)+SUMIFS('ONEIROI'!$S$6:$S$205,'ONEIROI'!$B$6:$B$205,$B27,'ONEIROI'!$AK$6:$AK$205,1))</f>
        <v/>
      </c>
      <c r="P27" s="36" t="n"/>
    </row>
    <row r="28">
      <c r="A28" s="34" t="n"/>
      <c r="B28" s="34" t="n"/>
      <c r="C28" s="36" t="n"/>
      <c r="D28" s="34" t="n"/>
      <c r="E28" s="56" t="n"/>
      <c r="F28" s="36" t="n"/>
      <c r="G28" s="34" t="n"/>
      <c r="H28" s="58">
        <f>IF($B28="","",COUNTIFS('AEOLUS'!$B$6:$B$205,$B28,'AEOLUS'!$AJ$6:$AJ$205,1)+COUNTIFS('MELICERTES'!$B$6:$B$205,$B28,'MELICERTES'!$AJ$6:$AJ$205,1)+COUNTIFS('NELEUS'!$B$6:$B$205,$B28,'NELEUS'!$AJ$6:$AJ$205,1)+COUNTIFS('ONEIROI'!$B$6:$B$205,$B28,'ONEIROI'!$AJ$6:$AJ$205,1))</f>
        <v/>
      </c>
      <c r="I28" s="58">
        <f>IF(OR($B28="",G28=""),"",G28-H28)</f>
        <v/>
      </c>
      <c r="J28" s="58">
        <f>IF(OR($B28="",설정!$E$5=""),"",COUNTIFS('AEOLUS'!$B$6:$B$205,$B28,'AEOLUS'!$M$6:$M$205,설정!$E$5)+COUNTIFS('MELICERTES'!$B$6:$B$205,$B28,'MELICERTES'!$M$6:$M$205,설정!$E$5)+COUNTIFS('NELEUS'!$B$6:$B$205,$B28,'NELEUS'!$M$6:$M$205,설정!$E$5)+COUNTIFS('ONEIROI'!$B$6:$B$205,$B28,'ONEIROI'!$M$6:$M$205,설정!$E$5))</f>
        <v/>
      </c>
      <c r="K28" s="58">
        <f>IF(OR($B28="",설정!$E$6=""),"",COUNTIFS('AEOLUS'!$B$6:$B$205,$B28,'AEOLUS'!$M$6:$M$205,설정!$E$6)+COUNTIFS('MELICERTES'!$B$6:$B$205,$B28,'MELICERTES'!$M$6:$M$205,설정!$E$6)+COUNTIFS('NELEUS'!$B$6:$B$205,$B28,'NELEUS'!$M$6:$M$205,설정!$E$6)+COUNTIFS('ONEIROI'!$B$6:$B$205,$B28,'ONEIROI'!$M$6:$M$205,설정!$E$6))</f>
        <v/>
      </c>
      <c r="L28" s="58">
        <f>IF(OR($B28="",설정!$E$7=""),"",COUNTIFS('AEOLUS'!$B$6:$B$205,$B28,'AEOLUS'!$M$6:$M$205,설정!$E$7)+COUNTIFS('MELICERTES'!$B$6:$B$205,$B28,'MELICERTES'!$M$6:$M$205,설정!$E$7)+COUNTIFS('NELEUS'!$B$6:$B$205,$B28,'NELEUS'!$M$6:$M$205,설정!$E$7)+COUNTIFS('ONEIROI'!$B$6:$B$205,$B28,'ONEIROI'!$M$6:$M$205,설정!$E$7))</f>
        <v/>
      </c>
      <c r="M28" s="58">
        <f>IF(OR($B28="",설정!$E$8=""),"",COUNTIFS('AEOLUS'!$B$6:$B$205,$B28,'AEOLUS'!$M$6:$M$205,설정!$E$8)+COUNTIFS('MELICERTES'!$B$6:$B$205,$B28,'MELICERTES'!$M$6:$M$205,설정!$E$8)+COUNTIFS('NELEUS'!$B$6:$B$205,$B28,'NELEUS'!$M$6:$M$205,설정!$E$8)+COUNTIFS('ONEIROI'!$B$6:$B$205,$B28,'ONEIROI'!$M$6:$M$205,설정!$E$8))</f>
        <v/>
      </c>
      <c r="N28" s="58">
        <f>IF($B28="","",COUNTIFS('AEOLUS'!$B$6:$B$205,$B28,'AEOLUS'!$AI$6:$AI$205,"&gt;0")+COUNTIFS('MELICERTES'!$B$6:$B$205,$B28,'MELICERTES'!$AI$6:$AI$205,"&gt;0")+COUNTIFS('NELEUS'!$B$6:$B$205,$B28,'NELEUS'!$AI$6:$AI$205,"&gt;0")+COUNTIFS('ONEIROI'!$B$6:$B$205,$B28,'ONEIROI'!$AI$6:$AI$205,"&gt;0"))</f>
        <v/>
      </c>
      <c r="O28" s="53">
        <f>IF($B28="","",SUMIFS('AEOLUS'!$S$6:$S$205,'AEOLUS'!$B$6:$B$205,$B28,'AEOLUS'!$AK$6:$AK$205,1)+SUMIFS('MELICERTES'!$S$6:$S$205,'MELICERTES'!$B$6:$B$205,$B28,'MELICERTES'!$AK$6:$AK$205,1)+SUMIFS('NELEUS'!$S$6:$S$205,'NELEUS'!$B$6:$B$205,$B28,'NELEUS'!$AK$6:$AK$205,1)+SUMIFS('ONEIROI'!$S$6:$S$205,'ONEIROI'!$B$6:$B$205,$B28,'ONEIROI'!$AK$6:$AK$205,1))</f>
        <v/>
      </c>
      <c r="P28" s="36" t="n"/>
    </row>
    <row r="29">
      <c r="A29" s="34" t="n"/>
      <c r="B29" s="34" t="n"/>
      <c r="C29" s="36" t="n"/>
      <c r="D29" s="34" t="n"/>
      <c r="E29" s="56" t="n"/>
      <c r="F29" s="36" t="n"/>
      <c r="G29" s="34" t="n"/>
      <c r="H29" s="58">
        <f>IF($B29="","",COUNTIFS('AEOLUS'!$B$6:$B$205,$B29,'AEOLUS'!$AJ$6:$AJ$205,1)+COUNTIFS('MELICERTES'!$B$6:$B$205,$B29,'MELICERTES'!$AJ$6:$AJ$205,1)+COUNTIFS('NELEUS'!$B$6:$B$205,$B29,'NELEUS'!$AJ$6:$AJ$205,1)+COUNTIFS('ONEIROI'!$B$6:$B$205,$B29,'ONEIROI'!$AJ$6:$AJ$205,1))</f>
        <v/>
      </c>
      <c r="I29" s="58">
        <f>IF(OR($B29="",G29=""),"",G29-H29)</f>
        <v/>
      </c>
      <c r="J29" s="58">
        <f>IF(OR($B29="",설정!$E$5=""),"",COUNTIFS('AEOLUS'!$B$6:$B$205,$B29,'AEOLUS'!$M$6:$M$205,설정!$E$5)+COUNTIFS('MELICERTES'!$B$6:$B$205,$B29,'MELICERTES'!$M$6:$M$205,설정!$E$5)+COUNTIFS('NELEUS'!$B$6:$B$205,$B29,'NELEUS'!$M$6:$M$205,설정!$E$5)+COUNTIFS('ONEIROI'!$B$6:$B$205,$B29,'ONEIROI'!$M$6:$M$205,설정!$E$5))</f>
        <v/>
      </c>
      <c r="K29" s="58">
        <f>IF(OR($B29="",설정!$E$6=""),"",COUNTIFS('AEOLUS'!$B$6:$B$205,$B29,'AEOLUS'!$M$6:$M$205,설정!$E$6)+COUNTIFS('MELICERTES'!$B$6:$B$205,$B29,'MELICERTES'!$M$6:$M$205,설정!$E$6)+COUNTIFS('NELEUS'!$B$6:$B$205,$B29,'NELEUS'!$M$6:$M$205,설정!$E$6)+COUNTIFS('ONEIROI'!$B$6:$B$205,$B29,'ONEIROI'!$M$6:$M$205,설정!$E$6))</f>
        <v/>
      </c>
      <c r="L29" s="58">
        <f>IF(OR($B29="",설정!$E$7=""),"",COUNTIFS('AEOLUS'!$B$6:$B$205,$B29,'AEOLUS'!$M$6:$M$205,설정!$E$7)+COUNTIFS('MELICERTES'!$B$6:$B$205,$B29,'MELICERTES'!$M$6:$M$205,설정!$E$7)+COUNTIFS('NELEUS'!$B$6:$B$205,$B29,'NELEUS'!$M$6:$M$205,설정!$E$7)+COUNTIFS('ONEIROI'!$B$6:$B$205,$B29,'ONEIROI'!$M$6:$M$205,설정!$E$7))</f>
        <v/>
      </c>
      <c r="M29" s="58">
        <f>IF(OR($B29="",설정!$E$8=""),"",COUNTIFS('AEOLUS'!$B$6:$B$205,$B29,'AEOLUS'!$M$6:$M$205,설정!$E$8)+COUNTIFS('MELICERTES'!$B$6:$B$205,$B29,'MELICERTES'!$M$6:$M$205,설정!$E$8)+COUNTIFS('NELEUS'!$B$6:$B$205,$B29,'NELEUS'!$M$6:$M$205,설정!$E$8)+COUNTIFS('ONEIROI'!$B$6:$B$205,$B29,'ONEIROI'!$M$6:$M$205,설정!$E$8))</f>
        <v/>
      </c>
      <c r="N29" s="58">
        <f>IF($B29="","",COUNTIFS('AEOLUS'!$B$6:$B$205,$B29,'AEOLUS'!$AI$6:$AI$205,"&gt;0")+COUNTIFS('MELICERTES'!$B$6:$B$205,$B29,'MELICERTES'!$AI$6:$AI$205,"&gt;0")+COUNTIFS('NELEUS'!$B$6:$B$205,$B29,'NELEUS'!$AI$6:$AI$205,"&gt;0")+COUNTIFS('ONEIROI'!$B$6:$B$205,$B29,'ONEIROI'!$AI$6:$AI$205,"&gt;0"))</f>
        <v/>
      </c>
      <c r="O29" s="53">
        <f>IF($B29="","",SUMIFS('AEOLUS'!$S$6:$S$205,'AEOLUS'!$B$6:$B$205,$B29,'AEOLUS'!$AK$6:$AK$205,1)+SUMIFS('MELICERTES'!$S$6:$S$205,'MELICERTES'!$B$6:$B$205,$B29,'MELICERTES'!$AK$6:$AK$205,1)+SUMIFS('NELEUS'!$S$6:$S$205,'NELEUS'!$B$6:$B$205,$B29,'NELEUS'!$AK$6:$AK$205,1)+SUMIFS('ONEIROI'!$S$6:$S$205,'ONEIROI'!$B$6:$B$205,$B29,'ONEIROI'!$AK$6:$AK$205,1))</f>
        <v/>
      </c>
      <c r="P29" s="36" t="n"/>
    </row>
    <row r="30">
      <c r="A30" s="34" t="n"/>
      <c r="B30" s="34" t="n"/>
      <c r="C30" s="36" t="n"/>
      <c r="D30" s="34" t="n"/>
      <c r="E30" s="56" t="n"/>
      <c r="F30" s="36" t="n"/>
      <c r="G30" s="34" t="n"/>
      <c r="H30" s="58">
        <f>IF($B30="","",COUNTIFS('AEOLUS'!$B$6:$B$205,$B30,'AEOLUS'!$AJ$6:$AJ$205,1)+COUNTIFS('MELICERTES'!$B$6:$B$205,$B30,'MELICERTES'!$AJ$6:$AJ$205,1)+COUNTIFS('NELEUS'!$B$6:$B$205,$B30,'NELEUS'!$AJ$6:$AJ$205,1)+COUNTIFS('ONEIROI'!$B$6:$B$205,$B30,'ONEIROI'!$AJ$6:$AJ$205,1))</f>
        <v/>
      </c>
      <c r="I30" s="58">
        <f>IF(OR($B30="",G30=""),"",G30-H30)</f>
        <v/>
      </c>
      <c r="J30" s="58">
        <f>IF(OR($B30="",설정!$E$5=""),"",COUNTIFS('AEOLUS'!$B$6:$B$205,$B30,'AEOLUS'!$M$6:$M$205,설정!$E$5)+COUNTIFS('MELICERTES'!$B$6:$B$205,$B30,'MELICERTES'!$M$6:$M$205,설정!$E$5)+COUNTIFS('NELEUS'!$B$6:$B$205,$B30,'NELEUS'!$M$6:$M$205,설정!$E$5)+COUNTIFS('ONEIROI'!$B$6:$B$205,$B30,'ONEIROI'!$M$6:$M$205,설정!$E$5))</f>
        <v/>
      </c>
      <c r="K30" s="58">
        <f>IF(OR($B30="",설정!$E$6=""),"",COUNTIFS('AEOLUS'!$B$6:$B$205,$B30,'AEOLUS'!$M$6:$M$205,설정!$E$6)+COUNTIFS('MELICERTES'!$B$6:$B$205,$B30,'MELICERTES'!$M$6:$M$205,설정!$E$6)+COUNTIFS('NELEUS'!$B$6:$B$205,$B30,'NELEUS'!$M$6:$M$205,설정!$E$6)+COUNTIFS('ONEIROI'!$B$6:$B$205,$B30,'ONEIROI'!$M$6:$M$205,설정!$E$6))</f>
        <v/>
      </c>
      <c r="L30" s="58">
        <f>IF(OR($B30="",설정!$E$7=""),"",COUNTIFS('AEOLUS'!$B$6:$B$205,$B30,'AEOLUS'!$M$6:$M$205,설정!$E$7)+COUNTIFS('MELICERTES'!$B$6:$B$205,$B30,'MELICERTES'!$M$6:$M$205,설정!$E$7)+COUNTIFS('NELEUS'!$B$6:$B$205,$B30,'NELEUS'!$M$6:$M$205,설정!$E$7)+COUNTIFS('ONEIROI'!$B$6:$B$205,$B30,'ONEIROI'!$M$6:$M$205,설정!$E$7))</f>
        <v/>
      </c>
      <c r="M30" s="58">
        <f>IF(OR($B30="",설정!$E$8=""),"",COUNTIFS('AEOLUS'!$B$6:$B$205,$B30,'AEOLUS'!$M$6:$M$205,설정!$E$8)+COUNTIFS('MELICERTES'!$B$6:$B$205,$B30,'MELICERTES'!$M$6:$M$205,설정!$E$8)+COUNTIFS('NELEUS'!$B$6:$B$205,$B30,'NELEUS'!$M$6:$M$205,설정!$E$8)+COUNTIFS('ONEIROI'!$B$6:$B$205,$B30,'ONEIROI'!$M$6:$M$205,설정!$E$8))</f>
        <v/>
      </c>
      <c r="N30" s="58">
        <f>IF($B30="","",COUNTIFS('AEOLUS'!$B$6:$B$205,$B30,'AEOLUS'!$AI$6:$AI$205,"&gt;0")+COUNTIFS('MELICERTES'!$B$6:$B$205,$B30,'MELICERTES'!$AI$6:$AI$205,"&gt;0")+COUNTIFS('NELEUS'!$B$6:$B$205,$B30,'NELEUS'!$AI$6:$AI$205,"&gt;0")+COUNTIFS('ONEIROI'!$B$6:$B$205,$B30,'ONEIROI'!$AI$6:$AI$205,"&gt;0"))</f>
        <v/>
      </c>
      <c r="O30" s="53">
        <f>IF($B30="","",SUMIFS('AEOLUS'!$S$6:$S$205,'AEOLUS'!$B$6:$B$205,$B30,'AEOLUS'!$AK$6:$AK$205,1)+SUMIFS('MELICERTES'!$S$6:$S$205,'MELICERTES'!$B$6:$B$205,$B30,'MELICERTES'!$AK$6:$AK$205,1)+SUMIFS('NELEUS'!$S$6:$S$205,'NELEUS'!$B$6:$B$205,$B30,'NELEUS'!$AK$6:$AK$205,1)+SUMIFS('ONEIROI'!$S$6:$S$205,'ONEIROI'!$B$6:$B$205,$B30,'ONEIROI'!$AK$6:$AK$205,1))</f>
        <v/>
      </c>
      <c r="P30" s="36" t="n"/>
    </row>
    <row r="31">
      <c r="A31" s="34" t="n"/>
      <c r="B31" s="34" t="n"/>
      <c r="C31" s="36" t="n"/>
      <c r="D31" s="34" t="n"/>
      <c r="E31" s="56" t="n"/>
      <c r="F31" s="36" t="n"/>
      <c r="G31" s="34" t="n"/>
      <c r="H31" s="58">
        <f>IF($B31="","",COUNTIFS('AEOLUS'!$B$6:$B$205,$B31,'AEOLUS'!$AJ$6:$AJ$205,1)+COUNTIFS('MELICERTES'!$B$6:$B$205,$B31,'MELICERTES'!$AJ$6:$AJ$205,1)+COUNTIFS('NELEUS'!$B$6:$B$205,$B31,'NELEUS'!$AJ$6:$AJ$205,1)+COUNTIFS('ONEIROI'!$B$6:$B$205,$B31,'ONEIROI'!$AJ$6:$AJ$205,1))</f>
        <v/>
      </c>
      <c r="I31" s="58">
        <f>IF(OR($B31="",G31=""),"",G31-H31)</f>
        <v/>
      </c>
      <c r="J31" s="58">
        <f>IF(OR($B31="",설정!$E$5=""),"",COUNTIFS('AEOLUS'!$B$6:$B$205,$B31,'AEOLUS'!$M$6:$M$205,설정!$E$5)+COUNTIFS('MELICERTES'!$B$6:$B$205,$B31,'MELICERTES'!$M$6:$M$205,설정!$E$5)+COUNTIFS('NELEUS'!$B$6:$B$205,$B31,'NELEUS'!$M$6:$M$205,설정!$E$5)+COUNTIFS('ONEIROI'!$B$6:$B$205,$B31,'ONEIROI'!$M$6:$M$205,설정!$E$5))</f>
        <v/>
      </c>
      <c r="K31" s="58">
        <f>IF(OR($B31="",설정!$E$6=""),"",COUNTIFS('AEOLUS'!$B$6:$B$205,$B31,'AEOLUS'!$M$6:$M$205,설정!$E$6)+COUNTIFS('MELICERTES'!$B$6:$B$205,$B31,'MELICERTES'!$M$6:$M$205,설정!$E$6)+COUNTIFS('NELEUS'!$B$6:$B$205,$B31,'NELEUS'!$M$6:$M$205,설정!$E$6)+COUNTIFS('ONEIROI'!$B$6:$B$205,$B31,'ONEIROI'!$M$6:$M$205,설정!$E$6))</f>
        <v/>
      </c>
      <c r="L31" s="58">
        <f>IF(OR($B31="",설정!$E$7=""),"",COUNTIFS('AEOLUS'!$B$6:$B$205,$B31,'AEOLUS'!$M$6:$M$205,설정!$E$7)+COUNTIFS('MELICERTES'!$B$6:$B$205,$B31,'MELICERTES'!$M$6:$M$205,설정!$E$7)+COUNTIFS('NELEUS'!$B$6:$B$205,$B31,'NELEUS'!$M$6:$M$205,설정!$E$7)+COUNTIFS('ONEIROI'!$B$6:$B$205,$B31,'ONEIROI'!$M$6:$M$205,설정!$E$7))</f>
        <v/>
      </c>
      <c r="M31" s="58">
        <f>IF(OR($B31="",설정!$E$8=""),"",COUNTIFS('AEOLUS'!$B$6:$B$205,$B31,'AEOLUS'!$M$6:$M$205,설정!$E$8)+COUNTIFS('MELICERTES'!$B$6:$B$205,$B31,'MELICERTES'!$M$6:$M$205,설정!$E$8)+COUNTIFS('NELEUS'!$B$6:$B$205,$B31,'NELEUS'!$M$6:$M$205,설정!$E$8)+COUNTIFS('ONEIROI'!$B$6:$B$205,$B31,'ONEIROI'!$M$6:$M$205,설정!$E$8))</f>
        <v/>
      </c>
      <c r="N31" s="58">
        <f>IF($B31="","",COUNTIFS('AEOLUS'!$B$6:$B$205,$B31,'AEOLUS'!$AI$6:$AI$205,"&gt;0")+COUNTIFS('MELICERTES'!$B$6:$B$205,$B31,'MELICERTES'!$AI$6:$AI$205,"&gt;0")+COUNTIFS('NELEUS'!$B$6:$B$205,$B31,'NELEUS'!$AI$6:$AI$205,"&gt;0")+COUNTIFS('ONEIROI'!$B$6:$B$205,$B31,'ONEIROI'!$AI$6:$AI$205,"&gt;0"))</f>
        <v/>
      </c>
      <c r="O31" s="53">
        <f>IF($B31="","",SUMIFS('AEOLUS'!$S$6:$S$205,'AEOLUS'!$B$6:$B$205,$B31,'AEOLUS'!$AK$6:$AK$205,1)+SUMIFS('MELICERTES'!$S$6:$S$205,'MELICERTES'!$B$6:$B$205,$B31,'MELICERTES'!$AK$6:$AK$205,1)+SUMIFS('NELEUS'!$S$6:$S$205,'NELEUS'!$B$6:$B$205,$B31,'NELEUS'!$AK$6:$AK$205,1)+SUMIFS('ONEIROI'!$S$6:$S$205,'ONEIROI'!$B$6:$B$205,$B31,'ONEIROI'!$AK$6:$AK$205,1))</f>
        <v/>
      </c>
      <c r="P31" s="36" t="n"/>
    </row>
    <row r="32">
      <c r="A32" s="34" t="n"/>
      <c r="B32" s="34" t="n"/>
      <c r="C32" s="36" t="n"/>
      <c r="D32" s="34" t="n"/>
      <c r="E32" s="56" t="n"/>
      <c r="F32" s="36" t="n"/>
      <c r="G32" s="34" t="n"/>
      <c r="H32" s="58">
        <f>IF($B32="","",COUNTIFS('AEOLUS'!$B$6:$B$205,$B32,'AEOLUS'!$AJ$6:$AJ$205,1)+COUNTIFS('MELICERTES'!$B$6:$B$205,$B32,'MELICERTES'!$AJ$6:$AJ$205,1)+COUNTIFS('NELEUS'!$B$6:$B$205,$B32,'NELEUS'!$AJ$6:$AJ$205,1)+COUNTIFS('ONEIROI'!$B$6:$B$205,$B32,'ONEIROI'!$AJ$6:$AJ$205,1))</f>
        <v/>
      </c>
      <c r="I32" s="58">
        <f>IF(OR($B32="",G32=""),"",G32-H32)</f>
        <v/>
      </c>
      <c r="J32" s="58">
        <f>IF(OR($B32="",설정!$E$5=""),"",COUNTIFS('AEOLUS'!$B$6:$B$205,$B32,'AEOLUS'!$M$6:$M$205,설정!$E$5)+COUNTIFS('MELICERTES'!$B$6:$B$205,$B32,'MELICERTES'!$M$6:$M$205,설정!$E$5)+COUNTIFS('NELEUS'!$B$6:$B$205,$B32,'NELEUS'!$M$6:$M$205,설정!$E$5)+COUNTIFS('ONEIROI'!$B$6:$B$205,$B32,'ONEIROI'!$M$6:$M$205,설정!$E$5))</f>
        <v/>
      </c>
      <c r="K32" s="58">
        <f>IF(OR($B32="",설정!$E$6=""),"",COUNTIFS('AEOLUS'!$B$6:$B$205,$B32,'AEOLUS'!$M$6:$M$205,설정!$E$6)+COUNTIFS('MELICERTES'!$B$6:$B$205,$B32,'MELICERTES'!$M$6:$M$205,설정!$E$6)+COUNTIFS('NELEUS'!$B$6:$B$205,$B32,'NELEUS'!$M$6:$M$205,설정!$E$6)+COUNTIFS('ONEIROI'!$B$6:$B$205,$B32,'ONEIROI'!$M$6:$M$205,설정!$E$6))</f>
        <v/>
      </c>
      <c r="L32" s="58">
        <f>IF(OR($B32="",설정!$E$7=""),"",COUNTIFS('AEOLUS'!$B$6:$B$205,$B32,'AEOLUS'!$M$6:$M$205,설정!$E$7)+COUNTIFS('MELICERTES'!$B$6:$B$205,$B32,'MELICERTES'!$M$6:$M$205,설정!$E$7)+COUNTIFS('NELEUS'!$B$6:$B$205,$B32,'NELEUS'!$M$6:$M$205,설정!$E$7)+COUNTIFS('ONEIROI'!$B$6:$B$205,$B32,'ONEIROI'!$M$6:$M$205,설정!$E$7))</f>
        <v/>
      </c>
      <c r="M32" s="58">
        <f>IF(OR($B32="",설정!$E$8=""),"",COUNTIFS('AEOLUS'!$B$6:$B$205,$B32,'AEOLUS'!$M$6:$M$205,설정!$E$8)+COUNTIFS('MELICERTES'!$B$6:$B$205,$B32,'MELICERTES'!$M$6:$M$205,설정!$E$8)+COUNTIFS('NELEUS'!$B$6:$B$205,$B32,'NELEUS'!$M$6:$M$205,설정!$E$8)+COUNTIFS('ONEIROI'!$B$6:$B$205,$B32,'ONEIROI'!$M$6:$M$205,설정!$E$8))</f>
        <v/>
      </c>
      <c r="N32" s="58">
        <f>IF($B32="","",COUNTIFS('AEOLUS'!$B$6:$B$205,$B32,'AEOLUS'!$AI$6:$AI$205,"&gt;0")+COUNTIFS('MELICERTES'!$B$6:$B$205,$B32,'MELICERTES'!$AI$6:$AI$205,"&gt;0")+COUNTIFS('NELEUS'!$B$6:$B$205,$B32,'NELEUS'!$AI$6:$AI$205,"&gt;0")+COUNTIFS('ONEIROI'!$B$6:$B$205,$B32,'ONEIROI'!$AI$6:$AI$205,"&gt;0"))</f>
        <v/>
      </c>
      <c r="O32" s="53">
        <f>IF($B32="","",SUMIFS('AEOLUS'!$S$6:$S$205,'AEOLUS'!$B$6:$B$205,$B32,'AEOLUS'!$AK$6:$AK$205,1)+SUMIFS('MELICERTES'!$S$6:$S$205,'MELICERTES'!$B$6:$B$205,$B32,'MELICERTES'!$AK$6:$AK$205,1)+SUMIFS('NELEUS'!$S$6:$S$205,'NELEUS'!$B$6:$B$205,$B32,'NELEUS'!$AK$6:$AK$205,1)+SUMIFS('ONEIROI'!$S$6:$S$205,'ONEIROI'!$B$6:$B$205,$B32,'ONEIROI'!$AK$6:$AK$205,1))</f>
        <v/>
      </c>
      <c r="P32" s="36" t="n"/>
    </row>
    <row r="33">
      <c r="A33" s="34" t="n"/>
      <c r="B33" s="34" t="n"/>
      <c r="C33" s="36" t="n"/>
      <c r="D33" s="34" t="n"/>
      <c r="E33" s="56" t="n"/>
      <c r="F33" s="36" t="n"/>
      <c r="G33" s="34" t="n"/>
      <c r="H33" s="58">
        <f>IF($B33="","",COUNTIFS('AEOLUS'!$B$6:$B$205,$B33,'AEOLUS'!$AJ$6:$AJ$205,1)+COUNTIFS('MELICERTES'!$B$6:$B$205,$B33,'MELICERTES'!$AJ$6:$AJ$205,1)+COUNTIFS('NELEUS'!$B$6:$B$205,$B33,'NELEUS'!$AJ$6:$AJ$205,1)+COUNTIFS('ONEIROI'!$B$6:$B$205,$B33,'ONEIROI'!$AJ$6:$AJ$205,1))</f>
        <v/>
      </c>
      <c r="I33" s="58">
        <f>IF(OR($B33="",G33=""),"",G33-H33)</f>
        <v/>
      </c>
      <c r="J33" s="58">
        <f>IF(OR($B33="",설정!$E$5=""),"",COUNTIFS('AEOLUS'!$B$6:$B$205,$B33,'AEOLUS'!$M$6:$M$205,설정!$E$5)+COUNTIFS('MELICERTES'!$B$6:$B$205,$B33,'MELICERTES'!$M$6:$M$205,설정!$E$5)+COUNTIFS('NELEUS'!$B$6:$B$205,$B33,'NELEUS'!$M$6:$M$205,설정!$E$5)+COUNTIFS('ONEIROI'!$B$6:$B$205,$B33,'ONEIROI'!$M$6:$M$205,설정!$E$5))</f>
        <v/>
      </c>
      <c r="K33" s="58">
        <f>IF(OR($B33="",설정!$E$6=""),"",COUNTIFS('AEOLUS'!$B$6:$B$205,$B33,'AEOLUS'!$M$6:$M$205,설정!$E$6)+COUNTIFS('MELICERTES'!$B$6:$B$205,$B33,'MELICERTES'!$M$6:$M$205,설정!$E$6)+COUNTIFS('NELEUS'!$B$6:$B$205,$B33,'NELEUS'!$M$6:$M$205,설정!$E$6)+COUNTIFS('ONEIROI'!$B$6:$B$205,$B33,'ONEIROI'!$M$6:$M$205,설정!$E$6))</f>
        <v/>
      </c>
      <c r="L33" s="58">
        <f>IF(OR($B33="",설정!$E$7=""),"",COUNTIFS('AEOLUS'!$B$6:$B$205,$B33,'AEOLUS'!$M$6:$M$205,설정!$E$7)+COUNTIFS('MELICERTES'!$B$6:$B$205,$B33,'MELICERTES'!$M$6:$M$205,설정!$E$7)+COUNTIFS('NELEUS'!$B$6:$B$205,$B33,'NELEUS'!$M$6:$M$205,설정!$E$7)+COUNTIFS('ONEIROI'!$B$6:$B$205,$B33,'ONEIROI'!$M$6:$M$205,설정!$E$7))</f>
        <v/>
      </c>
      <c r="M33" s="58">
        <f>IF(OR($B33="",설정!$E$8=""),"",COUNTIFS('AEOLUS'!$B$6:$B$205,$B33,'AEOLUS'!$M$6:$M$205,설정!$E$8)+COUNTIFS('MELICERTES'!$B$6:$B$205,$B33,'MELICERTES'!$M$6:$M$205,설정!$E$8)+COUNTIFS('NELEUS'!$B$6:$B$205,$B33,'NELEUS'!$M$6:$M$205,설정!$E$8)+COUNTIFS('ONEIROI'!$B$6:$B$205,$B33,'ONEIROI'!$M$6:$M$205,설정!$E$8))</f>
        <v/>
      </c>
      <c r="N33" s="58">
        <f>IF($B33="","",COUNTIFS('AEOLUS'!$B$6:$B$205,$B33,'AEOLUS'!$AI$6:$AI$205,"&gt;0")+COUNTIFS('MELICERTES'!$B$6:$B$205,$B33,'MELICERTES'!$AI$6:$AI$205,"&gt;0")+COUNTIFS('NELEUS'!$B$6:$B$205,$B33,'NELEUS'!$AI$6:$AI$205,"&gt;0")+COUNTIFS('ONEIROI'!$B$6:$B$205,$B33,'ONEIROI'!$AI$6:$AI$205,"&gt;0"))</f>
        <v/>
      </c>
      <c r="O33" s="53">
        <f>IF($B33="","",SUMIFS('AEOLUS'!$S$6:$S$205,'AEOLUS'!$B$6:$B$205,$B33,'AEOLUS'!$AK$6:$AK$205,1)+SUMIFS('MELICERTES'!$S$6:$S$205,'MELICERTES'!$B$6:$B$205,$B33,'MELICERTES'!$AK$6:$AK$205,1)+SUMIFS('NELEUS'!$S$6:$S$205,'NELEUS'!$B$6:$B$205,$B33,'NELEUS'!$AK$6:$AK$205,1)+SUMIFS('ONEIROI'!$S$6:$S$205,'ONEIROI'!$B$6:$B$205,$B33,'ONEIROI'!$AK$6:$AK$205,1))</f>
        <v/>
      </c>
      <c r="P33" s="36" t="n"/>
    </row>
    <row r="34">
      <c r="A34" s="34" t="n"/>
      <c r="B34" s="34" t="n"/>
      <c r="C34" s="36" t="n"/>
      <c r="D34" s="34" t="n"/>
      <c r="E34" s="56" t="n"/>
      <c r="F34" s="36" t="n"/>
      <c r="G34" s="34" t="n"/>
      <c r="H34" s="58">
        <f>IF($B34="","",COUNTIFS('AEOLUS'!$B$6:$B$205,$B34,'AEOLUS'!$AJ$6:$AJ$205,1)+COUNTIFS('MELICERTES'!$B$6:$B$205,$B34,'MELICERTES'!$AJ$6:$AJ$205,1)+COUNTIFS('NELEUS'!$B$6:$B$205,$B34,'NELEUS'!$AJ$6:$AJ$205,1)+COUNTIFS('ONEIROI'!$B$6:$B$205,$B34,'ONEIROI'!$AJ$6:$AJ$205,1))</f>
        <v/>
      </c>
      <c r="I34" s="58">
        <f>IF(OR($B34="",G34=""),"",G34-H34)</f>
        <v/>
      </c>
      <c r="J34" s="58">
        <f>IF(OR($B34="",설정!$E$5=""),"",COUNTIFS('AEOLUS'!$B$6:$B$205,$B34,'AEOLUS'!$M$6:$M$205,설정!$E$5)+COUNTIFS('MELICERTES'!$B$6:$B$205,$B34,'MELICERTES'!$M$6:$M$205,설정!$E$5)+COUNTIFS('NELEUS'!$B$6:$B$205,$B34,'NELEUS'!$M$6:$M$205,설정!$E$5)+COUNTIFS('ONEIROI'!$B$6:$B$205,$B34,'ONEIROI'!$M$6:$M$205,설정!$E$5))</f>
        <v/>
      </c>
      <c r="K34" s="58">
        <f>IF(OR($B34="",설정!$E$6=""),"",COUNTIFS('AEOLUS'!$B$6:$B$205,$B34,'AEOLUS'!$M$6:$M$205,설정!$E$6)+COUNTIFS('MELICERTES'!$B$6:$B$205,$B34,'MELICERTES'!$M$6:$M$205,설정!$E$6)+COUNTIFS('NELEUS'!$B$6:$B$205,$B34,'NELEUS'!$M$6:$M$205,설정!$E$6)+COUNTIFS('ONEIROI'!$B$6:$B$205,$B34,'ONEIROI'!$M$6:$M$205,설정!$E$6))</f>
        <v/>
      </c>
      <c r="L34" s="58">
        <f>IF(OR($B34="",설정!$E$7=""),"",COUNTIFS('AEOLUS'!$B$6:$B$205,$B34,'AEOLUS'!$M$6:$M$205,설정!$E$7)+COUNTIFS('MELICERTES'!$B$6:$B$205,$B34,'MELICERTES'!$M$6:$M$205,설정!$E$7)+COUNTIFS('NELEUS'!$B$6:$B$205,$B34,'NELEUS'!$M$6:$M$205,설정!$E$7)+COUNTIFS('ONEIROI'!$B$6:$B$205,$B34,'ONEIROI'!$M$6:$M$205,설정!$E$7))</f>
        <v/>
      </c>
      <c r="M34" s="58">
        <f>IF(OR($B34="",설정!$E$8=""),"",COUNTIFS('AEOLUS'!$B$6:$B$205,$B34,'AEOLUS'!$M$6:$M$205,설정!$E$8)+COUNTIFS('MELICERTES'!$B$6:$B$205,$B34,'MELICERTES'!$M$6:$M$205,설정!$E$8)+COUNTIFS('NELEUS'!$B$6:$B$205,$B34,'NELEUS'!$M$6:$M$205,설정!$E$8)+COUNTIFS('ONEIROI'!$B$6:$B$205,$B34,'ONEIROI'!$M$6:$M$205,설정!$E$8))</f>
        <v/>
      </c>
      <c r="N34" s="58">
        <f>IF($B34="","",COUNTIFS('AEOLUS'!$B$6:$B$205,$B34,'AEOLUS'!$AI$6:$AI$205,"&gt;0")+COUNTIFS('MELICERTES'!$B$6:$B$205,$B34,'MELICERTES'!$AI$6:$AI$205,"&gt;0")+COUNTIFS('NELEUS'!$B$6:$B$205,$B34,'NELEUS'!$AI$6:$AI$205,"&gt;0")+COUNTIFS('ONEIROI'!$B$6:$B$205,$B34,'ONEIROI'!$AI$6:$AI$205,"&gt;0"))</f>
        <v/>
      </c>
      <c r="O34" s="53">
        <f>IF($B34="","",SUMIFS('AEOLUS'!$S$6:$S$205,'AEOLUS'!$B$6:$B$205,$B34,'AEOLUS'!$AK$6:$AK$205,1)+SUMIFS('MELICERTES'!$S$6:$S$205,'MELICERTES'!$B$6:$B$205,$B34,'MELICERTES'!$AK$6:$AK$205,1)+SUMIFS('NELEUS'!$S$6:$S$205,'NELEUS'!$B$6:$B$205,$B34,'NELEUS'!$AK$6:$AK$205,1)+SUMIFS('ONEIROI'!$S$6:$S$205,'ONEIROI'!$B$6:$B$205,$B34,'ONEIROI'!$AK$6:$AK$205,1))</f>
        <v/>
      </c>
      <c r="P34" s="36" t="n"/>
    </row>
    <row r="35">
      <c r="A35" s="34" t="n"/>
      <c r="B35" s="34" t="n"/>
      <c r="C35" s="36" t="n"/>
      <c r="D35" s="34" t="n"/>
      <c r="E35" s="56" t="n"/>
      <c r="F35" s="36" t="n"/>
      <c r="G35" s="34" t="n"/>
      <c r="H35" s="58">
        <f>IF($B35="","",COUNTIFS('AEOLUS'!$B$6:$B$205,$B35,'AEOLUS'!$AJ$6:$AJ$205,1)+COUNTIFS('MELICERTES'!$B$6:$B$205,$B35,'MELICERTES'!$AJ$6:$AJ$205,1)+COUNTIFS('NELEUS'!$B$6:$B$205,$B35,'NELEUS'!$AJ$6:$AJ$205,1)+COUNTIFS('ONEIROI'!$B$6:$B$205,$B35,'ONEIROI'!$AJ$6:$AJ$205,1))</f>
        <v/>
      </c>
      <c r="I35" s="58">
        <f>IF(OR($B35="",G35=""),"",G35-H35)</f>
        <v/>
      </c>
      <c r="J35" s="58">
        <f>IF(OR($B35="",설정!$E$5=""),"",COUNTIFS('AEOLUS'!$B$6:$B$205,$B35,'AEOLUS'!$M$6:$M$205,설정!$E$5)+COUNTIFS('MELICERTES'!$B$6:$B$205,$B35,'MELICERTES'!$M$6:$M$205,설정!$E$5)+COUNTIFS('NELEUS'!$B$6:$B$205,$B35,'NELEUS'!$M$6:$M$205,설정!$E$5)+COUNTIFS('ONEIROI'!$B$6:$B$205,$B35,'ONEIROI'!$M$6:$M$205,설정!$E$5))</f>
        <v/>
      </c>
      <c r="K35" s="58">
        <f>IF(OR($B35="",설정!$E$6=""),"",COUNTIFS('AEOLUS'!$B$6:$B$205,$B35,'AEOLUS'!$M$6:$M$205,설정!$E$6)+COUNTIFS('MELICERTES'!$B$6:$B$205,$B35,'MELICERTES'!$M$6:$M$205,설정!$E$6)+COUNTIFS('NELEUS'!$B$6:$B$205,$B35,'NELEUS'!$M$6:$M$205,설정!$E$6)+COUNTIFS('ONEIROI'!$B$6:$B$205,$B35,'ONEIROI'!$M$6:$M$205,설정!$E$6))</f>
        <v/>
      </c>
      <c r="L35" s="58">
        <f>IF(OR($B35="",설정!$E$7=""),"",COUNTIFS('AEOLUS'!$B$6:$B$205,$B35,'AEOLUS'!$M$6:$M$205,설정!$E$7)+COUNTIFS('MELICERTES'!$B$6:$B$205,$B35,'MELICERTES'!$M$6:$M$205,설정!$E$7)+COUNTIFS('NELEUS'!$B$6:$B$205,$B35,'NELEUS'!$M$6:$M$205,설정!$E$7)+COUNTIFS('ONEIROI'!$B$6:$B$205,$B35,'ONEIROI'!$M$6:$M$205,설정!$E$7))</f>
        <v/>
      </c>
      <c r="M35" s="58">
        <f>IF(OR($B35="",설정!$E$8=""),"",COUNTIFS('AEOLUS'!$B$6:$B$205,$B35,'AEOLUS'!$M$6:$M$205,설정!$E$8)+COUNTIFS('MELICERTES'!$B$6:$B$205,$B35,'MELICERTES'!$M$6:$M$205,설정!$E$8)+COUNTIFS('NELEUS'!$B$6:$B$205,$B35,'NELEUS'!$M$6:$M$205,설정!$E$8)+COUNTIFS('ONEIROI'!$B$6:$B$205,$B35,'ONEIROI'!$M$6:$M$205,설정!$E$8))</f>
        <v/>
      </c>
      <c r="N35" s="58">
        <f>IF($B35="","",COUNTIFS('AEOLUS'!$B$6:$B$205,$B35,'AEOLUS'!$AI$6:$AI$205,"&gt;0")+COUNTIFS('MELICERTES'!$B$6:$B$205,$B35,'MELICERTES'!$AI$6:$AI$205,"&gt;0")+COUNTIFS('NELEUS'!$B$6:$B$205,$B35,'NELEUS'!$AI$6:$AI$205,"&gt;0")+COUNTIFS('ONEIROI'!$B$6:$B$205,$B35,'ONEIROI'!$AI$6:$AI$205,"&gt;0"))</f>
        <v/>
      </c>
      <c r="O35" s="53">
        <f>IF($B35="","",SUMIFS('AEOLUS'!$S$6:$S$205,'AEOLUS'!$B$6:$B$205,$B35,'AEOLUS'!$AK$6:$AK$205,1)+SUMIFS('MELICERTES'!$S$6:$S$205,'MELICERTES'!$B$6:$B$205,$B35,'MELICERTES'!$AK$6:$AK$205,1)+SUMIFS('NELEUS'!$S$6:$S$205,'NELEUS'!$B$6:$B$205,$B35,'NELEUS'!$AK$6:$AK$205,1)+SUMIFS('ONEIROI'!$S$6:$S$205,'ONEIROI'!$B$6:$B$205,$B35,'ONEIROI'!$AK$6:$AK$205,1))</f>
        <v/>
      </c>
      <c r="P35" s="36" t="n"/>
    </row>
    <row r="36">
      <c r="A36" s="34" t="n"/>
      <c r="B36" s="34" t="n"/>
      <c r="C36" s="36" t="n"/>
      <c r="D36" s="34" t="n"/>
      <c r="E36" s="56" t="n"/>
      <c r="F36" s="36" t="n"/>
      <c r="G36" s="34" t="n"/>
      <c r="H36" s="58">
        <f>IF($B36="","",COUNTIFS('AEOLUS'!$B$6:$B$205,$B36,'AEOLUS'!$AJ$6:$AJ$205,1)+COUNTIFS('MELICERTES'!$B$6:$B$205,$B36,'MELICERTES'!$AJ$6:$AJ$205,1)+COUNTIFS('NELEUS'!$B$6:$B$205,$B36,'NELEUS'!$AJ$6:$AJ$205,1)+COUNTIFS('ONEIROI'!$B$6:$B$205,$B36,'ONEIROI'!$AJ$6:$AJ$205,1))</f>
        <v/>
      </c>
      <c r="I36" s="58">
        <f>IF(OR($B36="",G36=""),"",G36-H36)</f>
        <v/>
      </c>
      <c r="J36" s="58">
        <f>IF(OR($B36="",설정!$E$5=""),"",COUNTIFS('AEOLUS'!$B$6:$B$205,$B36,'AEOLUS'!$M$6:$M$205,설정!$E$5)+COUNTIFS('MELICERTES'!$B$6:$B$205,$B36,'MELICERTES'!$M$6:$M$205,설정!$E$5)+COUNTIFS('NELEUS'!$B$6:$B$205,$B36,'NELEUS'!$M$6:$M$205,설정!$E$5)+COUNTIFS('ONEIROI'!$B$6:$B$205,$B36,'ONEIROI'!$M$6:$M$205,설정!$E$5))</f>
        <v/>
      </c>
      <c r="K36" s="58">
        <f>IF(OR($B36="",설정!$E$6=""),"",COUNTIFS('AEOLUS'!$B$6:$B$205,$B36,'AEOLUS'!$M$6:$M$205,설정!$E$6)+COUNTIFS('MELICERTES'!$B$6:$B$205,$B36,'MELICERTES'!$M$6:$M$205,설정!$E$6)+COUNTIFS('NELEUS'!$B$6:$B$205,$B36,'NELEUS'!$M$6:$M$205,설정!$E$6)+COUNTIFS('ONEIROI'!$B$6:$B$205,$B36,'ONEIROI'!$M$6:$M$205,설정!$E$6))</f>
        <v/>
      </c>
      <c r="L36" s="58">
        <f>IF(OR($B36="",설정!$E$7=""),"",COUNTIFS('AEOLUS'!$B$6:$B$205,$B36,'AEOLUS'!$M$6:$M$205,설정!$E$7)+COUNTIFS('MELICERTES'!$B$6:$B$205,$B36,'MELICERTES'!$M$6:$M$205,설정!$E$7)+COUNTIFS('NELEUS'!$B$6:$B$205,$B36,'NELEUS'!$M$6:$M$205,설정!$E$7)+COUNTIFS('ONEIROI'!$B$6:$B$205,$B36,'ONEIROI'!$M$6:$M$205,설정!$E$7))</f>
        <v/>
      </c>
      <c r="M36" s="58">
        <f>IF(OR($B36="",설정!$E$8=""),"",COUNTIFS('AEOLUS'!$B$6:$B$205,$B36,'AEOLUS'!$M$6:$M$205,설정!$E$8)+COUNTIFS('MELICERTES'!$B$6:$B$205,$B36,'MELICERTES'!$M$6:$M$205,설정!$E$8)+COUNTIFS('NELEUS'!$B$6:$B$205,$B36,'NELEUS'!$M$6:$M$205,설정!$E$8)+COUNTIFS('ONEIROI'!$B$6:$B$205,$B36,'ONEIROI'!$M$6:$M$205,설정!$E$8))</f>
        <v/>
      </c>
      <c r="N36" s="58">
        <f>IF($B36="","",COUNTIFS('AEOLUS'!$B$6:$B$205,$B36,'AEOLUS'!$AI$6:$AI$205,"&gt;0")+COUNTIFS('MELICERTES'!$B$6:$B$205,$B36,'MELICERTES'!$AI$6:$AI$205,"&gt;0")+COUNTIFS('NELEUS'!$B$6:$B$205,$B36,'NELEUS'!$AI$6:$AI$205,"&gt;0")+COUNTIFS('ONEIROI'!$B$6:$B$205,$B36,'ONEIROI'!$AI$6:$AI$205,"&gt;0"))</f>
        <v/>
      </c>
      <c r="O36" s="53">
        <f>IF($B36="","",SUMIFS('AEOLUS'!$S$6:$S$205,'AEOLUS'!$B$6:$B$205,$B36,'AEOLUS'!$AK$6:$AK$205,1)+SUMIFS('MELICERTES'!$S$6:$S$205,'MELICERTES'!$B$6:$B$205,$B36,'MELICERTES'!$AK$6:$AK$205,1)+SUMIFS('NELEUS'!$S$6:$S$205,'NELEUS'!$B$6:$B$205,$B36,'NELEUS'!$AK$6:$AK$205,1)+SUMIFS('ONEIROI'!$S$6:$S$205,'ONEIROI'!$B$6:$B$205,$B36,'ONEIROI'!$AK$6:$AK$205,1))</f>
        <v/>
      </c>
      <c r="P36" s="36" t="n"/>
    </row>
    <row r="37">
      <c r="A37" s="34" t="n"/>
      <c r="B37" s="34" t="n"/>
      <c r="C37" s="36" t="n"/>
      <c r="D37" s="34" t="n"/>
      <c r="E37" s="56" t="n"/>
      <c r="F37" s="36" t="n"/>
      <c r="G37" s="34" t="n"/>
      <c r="H37" s="58">
        <f>IF($B37="","",COUNTIFS('AEOLUS'!$B$6:$B$205,$B37,'AEOLUS'!$AJ$6:$AJ$205,1)+COUNTIFS('MELICERTES'!$B$6:$B$205,$B37,'MELICERTES'!$AJ$6:$AJ$205,1)+COUNTIFS('NELEUS'!$B$6:$B$205,$B37,'NELEUS'!$AJ$6:$AJ$205,1)+COUNTIFS('ONEIROI'!$B$6:$B$205,$B37,'ONEIROI'!$AJ$6:$AJ$205,1))</f>
        <v/>
      </c>
      <c r="I37" s="58">
        <f>IF(OR($B37="",G37=""),"",G37-H37)</f>
        <v/>
      </c>
      <c r="J37" s="58">
        <f>IF(OR($B37="",설정!$E$5=""),"",COUNTIFS('AEOLUS'!$B$6:$B$205,$B37,'AEOLUS'!$M$6:$M$205,설정!$E$5)+COUNTIFS('MELICERTES'!$B$6:$B$205,$B37,'MELICERTES'!$M$6:$M$205,설정!$E$5)+COUNTIFS('NELEUS'!$B$6:$B$205,$B37,'NELEUS'!$M$6:$M$205,설정!$E$5)+COUNTIFS('ONEIROI'!$B$6:$B$205,$B37,'ONEIROI'!$M$6:$M$205,설정!$E$5))</f>
        <v/>
      </c>
      <c r="K37" s="58">
        <f>IF(OR($B37="",설정!$E$6=""),"",COUNTIFS('AEOLUS'!$B$6:$B$205,$B37,'AEOLUS'!$M$6:$M$205,설정!$E$6)+COUNTIFS('MELICERTES'!$B$6:$B$205,$B37,'MELICERTES'!$M$6:$M$205,설정!$E$6)+COUNTIFS('NELEUS'!$B$6:$B$205,$B37,'NELEUS'!$M$6:$M$205,설정!$E$6)+COUNTIFS('ONEIROI'!$B$6:$B$205,$B37,'ONEIROI'!$M$6:$M$205,설정!$E$6))</f>
        <v/>
      </c>
      <c r="L37" s="58">
        <f>IF(OR($B37="",설정!$E$7=""),"",COUNTIFS('AEOLUS'!$B$6:$B$205,$B37,'AEOLUS'!$M$6:$M$205,설정!$E$7)+COUNTIFS('MELICERTES'!$B$6:$B$205,$B37,'MELICERTES'!$M$6:$M$205,설정!$E$7)+COUNTIFS('NELEUS'!$B$6:$B$205,$B37,'NELEUS'!$M$6:$M$205,설정!$E$7)+COUNTIFS('ONEIROI'!$B$6:$B$205,$B37,'ONEIROI'!$M$6:$M$205,설정!$E$7))</f>
        <v/>
      </c>
      <c r="M37" s="58">
        <f>IF(OR($B37="",설정!$E$8=""),"",COUNTIFS('AEOLUS'!$B$6:$B$205,$B37,'AEOLUS'!$M$6:$M$205,설정!$E$8)+COUNTIFS('MELICERTES'!$B$6:$B$205,$B37,'MELICERTES'!$M$6:$M$205,설정!$E$8)+COUNTIFS('NELEUS'!$B$6:$B$205,$B37,'NELEUS'!$M$6:$M$205,설정!$E$8)+COUNTIFS('ONEIROI'!$B$6:$B$205,$B37,'ONEIROI'!$M$6:$M$205,설정!$E$8))</f>
        <v/>
      </c>
      <c r="N37" s="58">
        <f>IF($B37="","",COUNTIFS('AEOLUS'!$B$6:$B$205,$B37,'AEOLUS'!$AI$6:$AI$205,"&gt;0")+COUNTIFS('MELICERTES'!$B$6:$B$205,$B37,'MELICERTES'!$AI$6:$AI$205,"&gt;0")+COUNTIFS('NELEUS'!$B$6:$B$205,$B37,'NELEUS'!$AI$6:$AI$205,"&gt;0")+COUNTIFS('ONEIROI'!$B$6:$B$205,$B37,'ONEIROI'!$AI$6:$AI$205,"&gt;0"))</f>
        <v/>
      </c>
      <c r="O37" s="53">
        <f>IF($B37="","",SUMIFS('AEOLUS'!$S$6:$S$205,'AEOLUS'!$B$6:$B$205,$B37,'AEOLUS'!$AK$6:$AK$205,1)+SUMIFS('MELICERTES'!$S$6:$S$205,'MELICERTES'!$B$6:$B$205,$B37,'MELICERTES'!$AK$6:$AK$205,1)+SUMIFS('NELEUS'!$S$6:$S$205,'NELEUS'!$B$6:$B$205,$B37,'NELEUS'!$AK$6:$AK$205,1)+SUMIFS('ONEIROI'!$S$6:$S$205,'ONEIROI'!$B$6:$B$205,$B37,'ONEIROI'!$AK$6:$AK$205,1))</f>
        <v/>
      </c>
      <c r="P37" s="36" t="n"/>
    </row>
    <row r="38">
      <c r="A38" s="34" t="n"/>
      <c r="B38" s="34" t="n"/>
      <c r="C38" s="36" t="n"/>
      <c r="D38" s="34" t="n"/>
      <c r="E38" s="56" t="n"/>
      <c r="F38" s="36" t="n"/>
      <c r="G38" s="34" t="n"/>
      <c r="H38" s="58">
        <f>IF($B38="","",COUNTIFS('AEOLUS'!$B$6:$B$205,$B38,'AEOLUS'!$AJ$6:$AJ$205,1)+COUNTIFS('MELICERTES'!$B$6:$B$205,$B38,'MELICERTES'!$AJ$6:$AJ$205,1)+COUNTIFS('NELEUS'!$B$6:$B$205,$B38,'NELEUS'!$AJ$6:$AJ$205,1)+COUNTIFS('ONEIROI'!$B$6:$B$205,$B38,'ONEIROI'!$AJ$6:$AJ$205,1))</f>
        <v/>
      </c>
      <c r="I38" s="58">
        <f>IF(OR($B38="",G38=""),"",G38-H38)</f>
        <v/>
      </c>
      <c r="J38" s="58">
        <f>IF(OR($B38="",설정!$E$5=""),"",COUNTIFS('AEOLUS'!$B$6:$B$205,$B38,'AEOLUS'!$M$6:$M$205,설정!$E$5)+COUNTIFS('MELICERTES'!$B$6:$B$205,$B38,'MELICERTES'!$M$6:$M$205,설정!$E$5)+COUNTIFS('NELEUS'!$B$6:$B$205,$B38,'NELEUS'!$M$6:$M$205,설정!$E$5)+COUNTIFS('ONEIROI'!$B$6:$B$205,$B38,'ONEIROI'!$M$6:$M$205,설정!$E$5))</f>
        <v/>
      </c>
      <c r="K38" s="58">
        <f>IF(OR($B38="",설정!$E$6=""),"",COUNTIFS('AEOLUS'!$B$6:$B$205,$B38,'AEOLUS'!$M$6:$M$205,설정!$E$6)+COUNTIFS('MELICERTES'!$B$6:$B$205,$B38,'MELICERTES'!$M$6:$M$205,설정!$E$6)+COUNTIFS('NELEUS'!$B$6:$B$205,$B38,'NELEUS'!$M$6:$M$205,설정!$E$6)+COUNTIFS('ONEIROI'!$B$6:$B$205,$B38,'ONEIROI'!$M$6:$M$205,설정!$E$6))</f>
        <v/>
      </c>
      <c r="L38" s="58">
        <f>IF(OR($B38="",설정!$E$7=""),"",COUNTIFS('AEOLUS'!$B$6:$B$205,$B38,'AEOLUS'!$M$6:$M$205,설정!$E$7)+COUNTIFS('MELICERTES'!$B$6:$B$205,$B38,'MELICERTES'!$M$6:$M$205,설정!$E$7)+COUNTIFS('NELEUS'!$B$6:$B$205,$B38,'NELEUS'!$M$6:$M$205,설정!$E$7)+COUNTIFS('ONEIROI'!$B$6:$B$205,$B38,'ONEIROI'!$M$6:$M$205,설정!$E$7))</f>
        <v/>
      </c>
      <c r="M38" s="58">
        <f>IF(OR($B38="",설정!$E$8=""),"",COUNTIFS('AEOLUS'!$B$6:$B$205,$B38,'AEOLUS'!$M$6:$M$205,설정!$E$8)+COUNTIFS('MELICERTES'!$B$6:$B$205,$B38,'MELICERTES'!$M$6:$M$205,설정!$E$8)+COUNTIFS('NELEUS'!$B$6:$B$205,$B38,'NELEUS'!$M$6:$M$205,설정!$E$8)+COUNTIFS('ONEIROI'!$B$6:$B$205,$B38,'ONEIROI'!$M$6:$M$205,설정!$E$8))</f>
        <v/>
      </c>
      <c r="N38" s="58">
        <f>IF($B38="","",COUNTIFS('AEOLUS'!$B$6:$B$205,$B38,'AEOLUS'!$AI$6:$AI$205,"&gt;0")+COUNTIFS('MELICERTES'!$B$6:$B$205,$B38,'MELICERTES'!$AI$6:$AI$205,"&gt;0")+COUNTIFS('NELEUS'!$B$6:$B$205,$B38,'NELEUS'!$AI$6:$AI$205,"&gt;0")+COUNTIFS('ONEIROI'!$B$6:$B$205,$B38,'ONEIROI'!$AI$6:$AI$205,"&gt;0"))</f>
        <v/>
      </c>
      <c r="O38" s="53">
        <f>IF($B38="","",SUMIFS('AEOLUS'!$S$6:$S$205,'AEOLUS'!$B$6:$B$205,$B38,'AEOLUS'!$AK$6:$AK$205,1)+SUMIFS('MELICERTES'!$S$6:$S$205,'MELICERTES'!$B$6:$B$205,$B38,'MELICERTES'!$AK$6:$AK$205,1)+SUMIFS('NELEUS'!$S$6:$S$205,'NELEUS'!$B$6:$B$205,$B38,'NELEUS'!$AK$6:$AK$205,1)+SUMIFS('ONEIROI'!$S$6:$S$205,'ONEIROI'!$B$6:$B$205,$B38,'ONEIROI'!$AK$6:$AK$205,1))</f>
        <v/>
      </c>
      <c r="P38" s="36" t="n"/>
    </row>
    <row r="39">
      <c r="A39" s="34" t="n"/>
      <c r="B39" s="34" t="n"/>
      <c r="C39" s="36" t="n"/>
      <c r="D39" s="34" t="n"/>
      <c r="E39" s="56" t="n"/>
      <c r="F39" s="36" t="n"/>
      <c r="G39" s="34" t="n"/>
      <c r="H39" s="58">
        <f>IF($B39="","",COUNTIFS('AEOLUS'!$B$6:$B$205,$B39,'AEOLUS'!$AJ$6:$AJ$205,1)+COUNTIFS('MELICERTES'!$B$6:$B$205,$B39,'MELICERTES'!$AJ$6:$AJ$205,1)+COUNTIFS('NELEUS'!$B$6:$B$205,$B39,'NELEUS'!$AJ$6:$AJ$205,1)+COUNTIFS('ONEIROI'!$B$6:$B$205,$B39,'ONEIROI'!$AJ$6:$AJ$205,1))</f>
        <v/>
      </c>
      <c r="I39" s="58">
        <f>IF(OR($B39="",G39=""),"",G39-H39)</f>
        <v/>
      </c>
      <c r="J39" s="58">
        <f>IF(OR($B39="",설정!$E$5=""),"",COUNTIFS('AEOLUS'!$B$6:$B$205,$B39,'AEOLUS'!$M$6:$M$205,설정!$E$5)+COUNTIFS('MELICERTES'!$B$6:$B$205,$B39,'MELICERTES'!$M$6:$M$205,설정!$E$5)+COUNTIFS('NELEUS'!$B$6:$B$205,$B39,'NELEUS'!$M$6:$M$205,설정!$E$5)+COUNTIFS('ONEIROI'!$B$6:$B$205,$B39,'ONEIROI'!$M$6:$M$205,설정!$E$5))</f>
        <v/>
      </c>
      <c r="K39" s="58">
        <f>IF(OR($B39="",설정!$E$6=""),"",COUNTIFS('AEOLUS'!$B$6:$B$205,$B39,'AEOLUS'!$M$6:$M$205,설정!$E$6)+COUNTIFS('MELICERTES'!$B$6:$B$205,$B39,'MELICERTES'!$M$6:$M$205,설정!$E$6)+COUNTIFS('NELEUS'!$B$6:$B$205,$B39,'NELEUS'!$M$6:$M$205,설정!$E$6)+COUNTIFS('ONEIROI'!$B$6:$B$205,$B39,'ONEIROI'!$M$6:$M$205,설정!$E$6))</f>
        <v/>
      </c>
      <c r="L39" s="58">
        <f>IF(OR($B39="",설정!$E$7=""),"",COUNTIFS('AEOLUS'!$B$6:$B$205,$B39,'AEOLUS'!$M$6:$M$205,설정!$E$7)+COUNTIFS('MELICERTES'!$B$6:$B$205,$B39,'MELICERTES'!$M$6:$M$205,설정!$E$7)+COUNTIFS('NELEUS'!$B$6:$B$205,$B39,'NELEUS'!$M$6:$M$205,설정!$E$7)+COUNTIFS('ONEIROI'!$B$6:$B$205,$B39,'ONEIROI'!$M$6:$M$205,설정!$E$7))</f>
        <v/>
      </c>
      <c r="M39" s="58">
        <f>IF(OR($B39="",설정!$E$8=""),"",COUNTIFS('AEOLUS'!$B$6:$B$205,$B39,'AEOLUS'!$M$6:$M$205,설정!$E$8)+COUNTIFS('MELICERTES'!$B$6:$B$205,$B39,'MELICERTES'!$M$6:$M$205,설정!$E$8)+COUNTIFS('NELEUS'!$B$6:$B$205,$B39,'NELEUS'!$M$6:$M$205,설정!$E$8)+COUNTIFS('ONEIROI'!$B$6:$B$205,$B39,'ONEIROI'!$M$6:$M$205,설정!$E$8))</f>
        <v/>
      </c>
      <c r="N39" s="58">
        <f>IF($B39="","",COUNTIFS('AEOLUS'!$B$6:$B$205,$B39,'AEOLUS'!$AI$6:$AI$205,"&gt;0")+COUNTIFS('MELICERTES'!$B$6:$B$205,$B39,'MELICERTES'!$AI$6:$AI$205,"&gt;0")+COUNTIFS('NELEUS'!$B$6:$B$205,$B39,'NELEUS'!$AI$6:$AI$205,"&gt;0")+COUNTIFS('ONEIROI'!$B$6:$B$205,$B39,'ONEIROI'!$AI$6:$AI$205,"&gt;0"))</f>
        <v/>
      </c>
      <c r="O39" s="53">
        <f>IF($B39="","",SUMIFS('AEOLUS'!$S$6:$S$205,'AEOLUS'!$B$6:$B$205,$B39,'AEOLUS'!$AK$6:$AK$205,1)+SUMIFS('MELICERTES'!$S$6:$S$205,'MELICERTES'!$B$6:$B$205,$B39,'MELICERTES'!$AK$6:$AK$205,1)+SUMIFS('NELEUS'!$S$6:$S$205,'NELEUS'!$B$6:$B$205,$B39,'NELEUS'!$AK$6:$AK$205,1)+SUMIFS('ONEIROI'!$S$6:$S$205,'ONEIROI'!$B$6:$B$205,$B39,'ONEIROI'!$AK$6:$AK$205,1))</f>
        <v/>
      </c>
      <c r="P39" s="36" t="n"/>
    </row>
    <row r="40">
      <c r="A40" s="34" t="n"/>
      <c r="B40" s="34" t="n"/>
      <c r="C40" s="36" t="n"/>
      <c r="D40" s="34" t="n"/>
      <c r="E40" s="56" t="n"/>
      <c r="F40" s="36" t="n"/>
      <c r="G40" s="34" t="n"/>
      <c r="H40" s="58">
        <f>IF($B40="","",COUNTIFS('AEOLUS'!$B$6:$B$205,$B40,'AEOLUS'!$AJ$6:$AJ$205,1)+COUNTIFS('MELICERTES'!$B$6:$B$205,$B40,'MELICERTES'!$AJ$6:$AJ$205,1)+COUNTIFS('NELEUS'!$B$6:$B$205,$B40,'NELEUS'!$AJ$6:$AJ$205,1)+COUNTIFS('ONEIROI'!$B$6:$B$205,$B40,'ONEIROI'!$AJ$6:$AJ$205,1))</f>
        <v/>
      </c>
      <c r="I40" s="58">
        <f>IF(OR($B40="",G40=""),"",G40-H40)</f>
        <v/>
      </c>
      <c r="J40" s="58">
        <f>IF(OR($B40="",설정!$E$5=""),"",COUNTIFS('AEOLUS'!$B$6:$B$205,$B40,'AEOLUS'!$M$6:$M$205,설정!$E$5)+COUNTIFS('MELICERTES'!$B$6:$B$205,$B40,'MELICERTES'!$M$6:$M$205,설정!$E$5)+COUNTIFS('NELEUS'!$B$6:$B$205,$B40,'NELEUS'!$M$6:$M$205,설정!$E$5)+COUNTIFS('ONEIROI'!$B$6:$B$205,$B40,'ONEIROI'!$M$6:$M$205,설정!$E$5))</f>
        <v/>
      </c>
      <c r="K40" s="58">
        <f>IF(OR($B40="",설정!$E$6=""),"",COUNTIFS('AEOLUS'!$B$6:$B$205,$B40,'AEOLUS'!$M$6:$M$205,설정!$E$6)+COUNTIFS('MELICERTES'!$B$6:$B$205,$B40,'MELICERTES'!$M$6:$M$205,설정!$E$6)+COUNTIFS('NELEUS'!$B$6:$B$205,$B40,'NELEUS'!$M$6:$M$205,설정!$E$6)+COUNTIFS('ONEIROI'!$B$6:$B$205,$B40,'ONEIROI'!$M$6:$M$205,설정!$E$6))</f>
        <v/>
      </c>
      <c r="L40" s="58">
        <f>IF(OR($B40="",설정!$E$7=""),"",COUNTIFS('AEOLUS'!$B$6:$B$205,$B40,'AEOLUS'!$M$6:$M$205,설정!$E$7)+COUNTIFS('MELICERTES'!$B$6:$B$205,$B40,'MELICERTES'!$M$6:$M$205,설정!$E$7)+COUNTIFS('NELEUS'!$B$6:$B$205,$B40,'NELEUS'!$M$6:$M$205,설정!$E$7)+COUNTIFS('ONEIROI'!$B$6:$B$205,$B40,'ONEIROI'!$M$6:$M$205,설정!$E$7))</f>
        <v/>
      </c>
      <c r="M40" s="58">
        <f>IF(OR($B40="",설정!$E$8=""),"",COUNTIFS('AEOLUS'!$B$6:$B$205,$B40,'AEOLUS'!$M$6:$M$205,설정!$E$8)+COUNTIFS('MELICERTES'!$B$6:$B$205,$B40,'MELICERTES'!$M$6:$M$205,설정!$E$8)+COUNTIFS('NELEUS'!$B$6:$B$205,$B40,'NELEUS'!$M$6:$M$205,설정!$E$8)+COUNTIFS('ONEIROI'!$B$6:$B$205,$B40,'ONEIROI'!$M$6:$M$205,설정!$E$8))</f>
        <v/>
      </c>
      <c r="N40" s="58">
        <f>IF($B40="","",COUNTIFS('AEOLUS'!$B$6:$B$205,$B40,'AEOLUS'!$AI$6:$AI$205,"&gt;0")+COUNTIFS('MELICERTES'!$B$6:$B$205,$B40,'MELICERTES'!$AI$6:$AI$205,"&gt;0")+COUNTIFS('NELEUS'!$B$6:$B$205,$B40,'NELEUS'!$AI$6:$AI$205,"&gt;0")+COUNTIFS('ONEIROI'!$B$6:$B$205,$B40,'ONEIROI'!$AI$6:$AI$205,"&gt;0"))</f>
        <v/>
      </c>
      <c r="O40" s="53">
        <f>IF($B40="","",SUMIFS('AEOLUS'!$S$6:$S$205,'AEOLUS'!$B$6:$B$205,$B40,'AEOLUS'!$AK$6:$AK$205,1)+SUMIFS('MELICERTES'!$S$6:$S$205,'MELICERTES'!$B$6:$B$205,$B40,'MELICERTES'!$AK$6:$AK$205,1)+SUMIFS('NELEUS'!$S$6:$S$205,'NELEUS'!$B$6:$B$205,$B40,'NELEUS'!$AK$6:$AK$205,1)+SUMIFS('ONEIROI'!$S$6:$S$205,'ONEIROI'!$B$6:$B$205,$B40,'ONEIROI'!$AK$6:$AK$205,1))</f>
        <v/>
      </c>
      <c r="P40" s="36" t="n"/>
    </row>
  </sheetData>
  <conditionalFormatting sqref="I5:I40">
    <cfRule type="cellIs" priority="1" operator="greaterThan" dxfId="2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20" customWidth="1" min="3" max="3"/>
    <col width="3" customWidth="1" min="4" max="4"/>
    <col width="20" customWidth="1" min="5" max="5"/>
    <col width="3" customWidth="1" min="6" max="6"/>
    <col width="46" customWidth="1" min="7" max="7"/>
    <col width="3" customWidth="1" min="10" max="10"/>
    <col width="8" customWidth="1" min="11" max="11"/>
    <col width="11" customWidth="1" min="12" max="12"/>
    <col width="52" customWidth="1" min="13" max="13"/>
  </cols>
  <sheetData>
    <row r="1">
      <c r="A1" s="59" t="inlineStr">
        <is>
          <t>설정 (드롭다운 목록 · 환율)</t>
        </is>
      </c>
    </row>
    <row r="2">
      <c r="A2" s="60" t="inlineStr">
        <is>
          <t>노란 칸에 항목을 추가하면 선박 시트 드롭다운에 바로 반영됩니다. 견적업체는 4곳까지 (중복견적 비교 칸 수).</t>
        </is>
      </c>
    </row>
    <row r="4">
      <c r="A4" s="4" t="inlineStr">
        <is>
          <t>견적상태 (업체 회신)</t>
        </is>
      </c>
      <c r="C4" s="4" t="inlineStr">
        <is>
          <t>진행상태 (우리 쪽)</t>
        </is>
      </c>
      <c r="E4" s="4" t="inlineStr">
        <is>
          <t>견적업체 (최대 4)</t>
        </is>
      </c>
      <c r="G4" s="61" t="inlineStr">
        <is>
          <t>견적상태 뜻</t>
        </is>
      </c>
      <c r="K4" s="4" t="inlineStr">
        <is>
          <t>통화</t>
        </is>
      </c>
      <c r="L4" s="4" t="inlineStr">
        <is>
          <t>원화 환율</t>
        </is>
      </c>
      <c r="M4" s="4" t="inlineStr">
        <is>
          <t>기준 / 출처</t>
        </is>
      </c>
    </row>
    <row r="5">
      <c r="A5" s="62" t="inlineStr">
        <is>
          <t>견적접수</t>
        </is>
      </c>
      <c r="C5" s="62" t="inlineStr">
        <is>
          <t>검토중</t>
        </is>
      </c>
      <c r="E5" s="62" t="inlineStr">
        <is>
          <t>RMS</t>
        </is>
      </c>
      <c r="G5" s="63" t="inlineStr">
        <is>
          <t>견적접수 = 단가 회신 받음</t>
        </is>
      </c>
      <c r="K5" s="62" t="inlineStr">
        <is>
          <t>KRW</t>
        </is>
      </c>
      <c r="L5" s="64" t="n">
        <v>1</v>
      </c>
      <c r="M5" s="65" t="inlineStr">
        <is>
          <t>기준</t>
        </is>
      </c>
    </row>
    <row r="6">
      <c r="A6" s="62" t="inlineStr">
        <is>
          <t>확인필요</t>
        </is>
      </c>
      <c r="C6" s="62" t="inlineStr">
        <is>
          <t>정보 송부필요</t>
        </is>
      </c>
      <c r="E6" s="62" t="inlineStr">
        <is>
          <t>AFS</t>
        </is>
      </c>
      <c r="G6" s="63" t="inlineStr">
        <is>
          <t>확인필요 = 업체가 명판/상세정보 요청 (우리가 보내야 함)</t>
        </is>
      </c>
      <c r="K6" s="62" t="inlineStr">
        <is>
          <t>EUR</t>
        </is>
      </c>
      <c r="L6" s="66" t="n">
        <v>1490</v>
      </c>
      <c r="M6" s="65" t="inlineStr">
        <is>
          <t>2026-10-20 시장환율 (exchange-rates.org) – 실제 적용 환율로 수정</t>
        </is>
      </c>
    </row>
    <row r="7">
      <c r="A7" s="62" t="inlineStr">
        <is>
          <t>공급불가</t>
        </is>
      </c>
      <c r="C7" s="62" t="inlineStr">
        <is>
          <t>타업체 문의</t>
        </is>
      </c>
      <c r="E7" s="62" t="n"/>
      <c r="G7" s="63" t="inlineStr">
        <is>
          <t>공급불가 = NOT AVAILABLE → 타 업체 문의</t>
        </is>
      </c>
      <c r="K7" s="62" t="inlineStr">
        <is>
          <t>USD</t>
        </is>
      </c>
      <c r="L7" s="66" t="n"/>
      <c r="M7" s="65" t="inlineStr">
        <is>
          <t>필요 시 입력</t>
        </is>
      </c>
    </row>
    <row r="8">
      <c r="A8" s="62" t="inlineStr">
        <is>
          <t>미접수</t>
        </is>
      </c>
      <c r="C8" s="62" t="inlineStr">
        <is>
          <t>선주 승인대기</t>
        </is>
      </c>
      <c r="E8" s="62" t="n"/>
      <c r="G8" s="63" t="inlineStr">
        <is>
          <t>미접수 = 아직 회신 없음</t>
        </is>
      </c>
      <c r="K8" s="62" t="n"/>
      <c r="L8" s="66" t="n"/>
      <c r="M8" s="65" t="n"/>
    </row>
    <row r="9">
      <c r="A9" s="62" t="n"/>
      <c r="C9" s="62" t="inlineStr">
        <is>
          <t>발주완료</t>
        </is>
      </c>
      <c r="K9" s="62" t="n"/>
      <c r="L9" s="66" t="n"/>
      <c r="M9" s="65" t="n"/>
    </row>
    <row r="10">
      <c r="A10" s="62" t="n"/>
      <c r="C10" s="62" t="inlineStr">
        <is>
          <t>보류</t>
        </is>
      </c>
    </row>
    <row r="11">
      <c r="A11" s="62" t="n"/>
      <c r="C11" s="62" t="inlineStr">
        <is>
          <t>취소</t>
        </is>
      </c>
      <c r="K11" s="2" t="inlineStr">
        <is>
          <t>환율을 바꾸면 모든 원화 환산·최저가·합계가 자동으로 다시 계산됩니다.</t>
        </is>
      </c>
    </row>
    <row r="12">
      <c r="A12" s="62" t="n"/>
      <c r="C12" s="62" t="n"/>
    </row>
    <row r="13">
      <c r="A13" s="62" t="n"/>
      <c r="C13" s="62" t="n"/>
    </row>
    <row r="14">
      <c r="A14" s="62" t="n"/>
      <c r="C14" s="62" t="n"/>
    </row>
    <row r="15">
      <c r="C15" s="62" t="n"/>
    </row>
    <row r="16">
      <c r="C16" s="6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24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1" t="inlineStr">
        <is>
          <t>사용법</t>
        </is>
      </c>
    </row>
    <row r="3">
      <c r="B3" s="67" t="inlineStr">
        <is>
          <t>구조</t>
        </is>
      </c>
    </row>
    <row r="4">
      <c r="B4" s="68" t="inlineStr">
        <is>
          <t>• 요약: 선박별 품목·견적확보·중복견적·최저가 합계, 스케줄 알림 (자동). 선박명 클릭 → 해당 시트</t>
        </is>
      </c>
    </row>
    <row r="5">
      <c r="B5" s="68" t="inlineStr">
        <is>
          <t>• 스케줄: 선박별 다음 일정. 예정일만 바꾸면 D-day·1주 전·4일 전 알림이 요약과 선박 시트 2행에 자동 표시</t>
        </is>
      </c>
    </row>
    <row r="6">
      <c r="B6" s="68" t="inlineStr">
        <is>
          <t>• 중복견적: 같은 품목에 업체 견적이 2곳 이상이면 자동으로 모여서 업체별 상태·원화 단가·납기를 나란히 비교</t>
        </is>
      </c>
    </row>
    <row r="7">
      <c r="B7" s="68" t="inlineStr">
        <is>
          <t>• AEOLUS · MELICERTES · NELEUS · ONEIROI: 견적 1줄 = 업체 1곳의 품목 1개 (빨간 탭 = URGENT 선박)</t>
        </is>
      </c>
    </row>
    <row r="8">
      <c r="B8" s="68" t="inlineStr">
        <is>
          <t>• RFQ목록: RFQ별 견적 확보 품목 수와 업체별 회신 줄 수</t>
        </is>
      </c>
    </row>
    <row r="9">
      <c r="B9" s="68" t="inlineStr"/>
    </row>
    <row r="10">
      <c r="B10" s="67" t="inlineStr">
        <is>
          <t>중복견적 (다른 업체 견적 추가)</t>
        </is>
      </c>
    </row>
    <row r="11">
      <c r="B11" s="68" t="inlineStr">
        <is>
          <t>• 선박 시트 빈 줄에 같은 RFQ No. + 같은 항목#를 넣고 견적업체·통화·단가를 입력 → '중복/비교' 칸에 '중복 2곳' 자동 표시</t>
        </is>
      </c>
    </row>
    <row r="12">
      <c r="B12" s="68" t="inlineStr">
        <is>
          <t>• 원화 환산으로 가장 싼 줄은 '최저가'(초록), 나머지는 '비쌈' 표시 · 중복 품목은 왼쪽 No·RFQ 칸이 보라색</t>
        </is>
      </c>
    </row>
    <row r="13">
      <c r="B13" s="68" t="inlineStr">
        <is>
          <t>• 중복견적 시트는 행을 직접 고칠 필요 없음 – 선박 시트만 고치면 자동 갱신</t>
        </is>
      </c>
    </row>
    <row r="14">
      <c r="B14" s="68" t="inlineStr">
        <is>
          <t>• RFQ가 없는 품목은 RFQ No.에 이름(예: SPAN GAS)을 정해 쓰고 항목#를 1,2,3… 로 매기면 같은 방식으로 비교됨</t>
        </is>
      </c>
    </row>
    <row r="15">
      <c r="B15" s="68" t="inlineStr">
        <is>
          <t>• 새 업체: 설정 시트 '견적업체'에 추가 (최대 4곳) · 새 통화: 설정 시트 환율표에 추가</t>
        </is>
      </c>
    </row>
    <row r="16">
      <c r="B16" s="68" t="inlineStr"/>
    </row>
    <row r="17">
      <c r="B17" s="67" t="inlineStr">
        <is>
          <t>스케줄 알림</t>
        </is>
      </c>
    </row>
    <row r="18">
      <c r="B18" s="68" t="inlineStr">
        <is>
          <t>• 1주 전(D-7) = 주황 / 4일 전(D-4) = 빨강. 파일을 열 때마다 오늘 날짜 기준으로 다시 계산</t>
        </is>
      </c>
    </row>
    <row r="19">
      <c r="B19" s="68" t="inlineStr">
        <is>
          <t>• 운송소요(일): 출고 후 선박까지 걸리는 기간. 넣으면 '출고 마감'이 그만큼 앞당겨짐</t>
        </is>
      </c>
    </row>
    <row r="20">
      <c r="B20" s="68" t="inlineStr">
        <is>
          <t>• 선박 시트 '일정 대비': 오늘 발주 시 (오늘+납기)가 출고 마감 안이면 가능, 넘으면 '초과 n일'</t>
        </is>
      </c>
    </row>
    <row r="21">
      <c r="B21" s="68" t="inlineStr"/>
    </row>
    <row r="22">
      <c r="B22" s="67" t="inlineStr">
        <is>
          <t>추가 / 빼기</t>
        </is>
      </c>
    </row>
    <row r="23">
      <c r="B23" s="68" t="inlineStr">
        <is>
          <t>• 빼기: 진행상태를 '취소'로 바꾸면 회색 처리 (기록 유지). 완전히 지우려면 행 삭제</t>
        </is>
      </c>
    </row>
    <row r="24">
      <c r="B24" s="68" t="inlineStr">
        <is>
          <t>• 정렬·필터는 자유롭게 해도 됨 (중복 판별은 RFQ No.+항목# 기준이라 줄 순서와 무관)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2026-10-26T00:42:40Z</dcterms:created>
  <dcterms:modified xmlns:dcterms="http://purl.org/dc/terms/" xmlns:xsi="http://www.w3.org/2001/XMLSchema-instance" xsi:type="dcterms:W3CDTF">2026-10-26T00:42:42Z</dcterms:modified>
</cp:coreProperties>
</file>