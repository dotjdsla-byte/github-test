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스케줄" sheetId="2" state="visible" r:id="rId2"/>
    <sheet xmlns:r="http://schemas.openxmlformats.org/officeDocument/2006/relationships" name="중복견적" sheetId="3" state="visible" r:id="rId3"/>
    <sheet xmlns:r="http://schemas.openxmlformats.org/officeDocument/2006/relationships" name="AEOLUS" sheetId="4" state="visible" r:id="rId4"/>
    <sheet xmlns:r="http://schemas.openxmlformats.org/officeDocument/2006/relationships" name="MELICERTES" sheetId="5" state="visible" r:id="rId5"/>
    <sheet xmlns:r="http://schemas.openxmlformats.org/officeDocument/2006/relationships" name="NELEUS" sheetId="6" state="visible" r:id="rId6"/>
    <sheet xmlns:r="http://schemas.openxmlformats.org/officeDocument/2006/relationships" name="ONEIROI" sheetId="7" state="visible" r:id="rId7"/>
    <sheet xmlns:r="http://schemas.openxmlformats.org/officeDocument/2006/relationships" name="RFQ목록" sheetId="8" state="visible" r:id="rId8"/>
    <sheet xmlns:r="http://schemas.openxmlformats.org/officeDocument/2006/relationships" name="설정" sheetId="9" state="visible" r:id="rId9"/>
    <sheet xmlns:r="http://schemas.openxmlformats.org/officeDocument/2006/relationships" name="사용법" sheetId="10" state="visible" r:id="rId10"/>
  </sheets>
  <definedNames>
    <definedName name="_xlnm._FilterDatabase" localSheetId="3" hidden="1">'AEOLUS'!$A$5:$AD$205</definedName>
    <definedName name="_xlnm._FilterDatabase" localSheetId="4" hidden="1">'MELICERTES'!$A$5:$AD$205</definedName>
    <definedName name="_xlnm._FilterDatabase" localSheetId="5" hidden="1">'NELEUS'!$A$5:$AD$205</definedName>
    <definedName name="_xlnm._FilterDatabase" localSheetId="6" hidden="1">'ONEIROI'!$A$5:$AD$205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yyyy-mm-dd (aaa)"/>
    <numFmt numFmtId="166" formatCode="0&quot;일&quot;"/>
    <numFmt numFmtId="167" formatCode="&quot;D-&quot;0;&quot;D+&quot;0;&quot;D-DAY&quot;"/>
    <numFmt numFmtId="168" formatCode="0;-0;&quot;-&quot;"/>
    <numFmt numFmtId="169" formatCode="#,##0;(#,##0);&quot;-&quot;"/>
    <numFmt numFmtId="170" formatCode="#,##0.##"/>
    <numFmt numFmtId="171" formatCode="mm-dd (aaa)"/>
  </numFmts>
  <fonts count="22">
    <font>
      <name val="Calibri"/>
      <family val="2"/>
      <color theme="1"/>
      <sz val="11"/>
      <scheme val="minor"/>
    </font>
    <font>
      <name val="맑은 고딕"/>
      <b val="1"/>
      <color rgb="001F3864"/>
      <sz val="16"/>
    </font>
    <font>
      <name val="맑은 고딕"/>
      <color rgb="00595959"/>
      <sz val="9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404040"/>
      <sz val="10"/>
    </font>
    <font>
      <name val="맑은 고딕"/>
      <b val="1"/>
      <color rgb="00FFFFFF"/>
      <sz val="8"/>
    </font>
    <font>
      <name val="맑은 고딕"/>
      <b val="1"/>
      <sz val="11"/>
    </font>
    <font>
      <name val="맑은 고딕"/>
      <b val="1"/>
      <color rgb="00FFFFFF"/>
      <sz val="9"/>
    </font>
    <font>
      <name val="맑은 고딕"/>
      <b val="1"/>
      <color rgb="00C00000"/>
      <sz val="10"/>
    </font>
    <font>
      <name val="맑은 고딕"/>
      <b val="1"/>
      <color rgb="005B2C6F"/>
      <sz val="16"/>
    </font>
    <font>
      <name val="맑은 고딕"/>
      <color rgb="00808080"/>
      <sz val="8"/>
    </font>
    <font>
      <name val="맑은 고딕"/>
      <b val="1"/>
      <color rgb="00C00000"/>
      <sz val="11"/>
    </font>
    <font>
      <name val="맑은 고딕"/>
      <b val="1"/>
      <color rgb="000563C1"/>
      <sz val="10"/>
      <u val="single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b val="1"/>
      <color rgb="001F3864"/>
      <sz val="14"/>
    </font>
    <font>
      <name val="맑은 고딕"/>
      <i val="1"/>
      <color rgb="00595959"/>
      <sz val="9"/>
    </font>
    <font>
      <name val="맑은 고딕"/>
      <color rgb="000000FF"/>
      <sz val="10"/>
    </font>
    <font>
      <name val="맑은 고딕"/>
      <b val="1"/>
      <color rgb="001F3864"/>
      <sz val="10"/>
    </font>
    <font>
      <name val="맑은 고딕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595959"/>
        <bgColor rgb="00595959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44546A"/>
        <bgColor rgb="0044546A"/>
      </patternFill>
    </fill>
    <fill>
      <patternFill patternType="solid">
        <fgColor rgb="00A6A6A6"/>
        <bgColor rgb="00A6A6A6"/>
      </patternFill>
    </fill>
    <fill>
      <patternFill patternType="solid">
        <fgColor rgb="005B2C6F"/>
        <bgColor rgb="005B2C6F"/>
      </patternFill>
    </fill>
    <fill>
      <patternFill patternType="solid">
        <fgColor rgb="007030A0"/>
        <bgColor rgb="007030A0"/>
      </patternFill>
    </fill>
    <fill>
      <patternFill patternType="solid">
        <fgColor rgb="008E63B5"/>
        <bgColor rgb="008E63B5"/>
      </patternFill>
    </fill>
    <fill>
      <patternFill patternType="solid">
        <fgColor rgb="00D9E1F2"/>
        <bgColor rgb="00D9E1F2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3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171" fontId="15" fillId="0" borderId="1" applyAlignment="1" pivotButton="0" quotePrefix="0" xfId="0">
      <alignment horizontal="center" vertical="center" wrapText="1"/>
    </xf>
    <xf numFmtId="167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8" fontId="15" fillId="0" borderId="1" applyAlignment="1" pivotButton="0" quotePrefix="0" xfId="0">
      <alignment horizontal="center" vertical="center" wrapText="1"/>
    </xf>
    <xf numFmtId="169" fontId="15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171" fontId="16" fillId="11" borderId="1" applyAlignment="1" pivotButton="0" quotePrefix="0" xfId="0">
      <alignment horizontal="center" vertical="center" wrapText="1"/>
    </xf>
    <xf numFmtId="167" fontId="16" fillId="11" borderId="1" applyAlignment="1" pivotButton="0" quotePrefix="0" xfId="0">
      <alignment horizontal="center" vertical="center" wrapText="1"/>
    </xf>
    <xf numFmtId="168" fontId="16" fillId="11" borderId="1" applyAlignment="1" pivotButton="0" quotePrefix="0" xfId="0">
      <alignment horizontal="center" vertical="center" wrapText="1"/>
    </xf>
    <xf numFmtId="169" fontId="16" fillId="11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5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7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11" fillId="0" borderId="0" pivotButton="0" quotePrefix="0" xfId="0"/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4" pivotButton="0" quotePrefix="0" xfId="0"/>
    <xf numFmtId="0" fontId="0" fillId="0" borderId="7" pivotButton="0" quotePrefix="0" xfId="0"/>
    <xf numFmtId="0" fontId="3" fillId="10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9" fontId="5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8" fillId="0" borderId="1" applyAlignment="1" pivotButton="0" quotePrefix="0" xfId="0">
      <alignment horizontal="left" vertical="center" wrapText="1"/>
    </xf>
    <xf numFmtId="167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168" fontId="8" fillId="0" borderId="1" applyAlignment="1" pivotButton="0" quotePrefix="0" xfId="0">
      <alignment horizontal="center" vertical="center" wrapText="1"/>
    </xf>
    <xf numFmtId="169" fontId="8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70" fontId="5" fillId="0" borderId="1" applyAlignment="1" pivotButton="0" quotePrefix="0" xfId="0">
      <alignment horizontal="center" vertical="center" wrapText="1"/>
    </xf>
    <xf numFmtId="3" fontId="5" fillId="5" borderId="1" applyAlignment="1" pivotButton="0" quotePrefix="0" xfId="0">
      <alignment horizontal="center" vertical="center" wrapText="1"/>
    </xf>
    <xf numFmtId="169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8" fontId="5" fillId="5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19" fillId="4" borderId="1" pivotButton="0" quotePrefix="0" xfId="0"/>
    <xf numFmtId="0" fontId="5" fillId="0" borderId="0" pivotButton="0" quotePrefix="0" xfId="0"/>
    <xf numFmtId="4" fontId="15" fillId="4" borderId="1" pivotButton="0" quotePrefix="0" xfId="0"/>
    <xf numFmtId="0" fontId="2" fillId="4" borderId="1" pivotButton="0" quotePrefix="0" xfId="0"/>
    <xf numFmtId="4" fontId="19" fillId="4" borderId="1" pivotButton="0" quotePrefix="0" xfId="0"/>
    <xf numFmtId="0" fontId="21" fillId="0" borderId="0" pivotButton="0" quotePrefix="0" xfId="0"/>
    <xf numFmtId="0" fontId="15" fillId="0" borderId="0" pivotButton="0" quotePrefix="0" xfId="0"/>
  </cellXfs>
  <cellStyles count="1">
    <cellStyle name="Normal" xfId="0" builtinId="0" hidden="0"/>
  </cellStyles>
  <dxfs count="15"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000000"/>
      </font>
      <fill>
        <patternFill patternType="solid">
          <fgColor rgb="00FFC000"/>
          <bgColor rgb="00FFC000"/>
        </patternFill>
      </fill>
    </dxf>
    <dxf>
      <font>
        <b val="1"/>
        <color rgb="00C00000"/>
      </font>
    </dxf>
    <dxf>
      <font>
        <b val="1"/>
        <color rgb="005B2C6F"/>
      </font>
    </dxf>
    <dxf>
      <font>
        <b val="1"/>
        <color rgb="009C5700"/>
      </font>
    </dxf>
    <dxf>
      <font>
        <b val="1"/>
        <color rgb="009C0006"/>
      </font>
    </dxf>
    <dxf>
      <font>
        <color rgb="00808080"/>
      </font>
    </dxf>
    <dxf>
      <font>
        <b val="1"/>
      </font>
      <fill>
        <patternFill patternType="solid">
          <fgColor rgb="00FFC000"/>
          <bgColor rgb="00FFC000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57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404040"/>
      </font>
      <fill>
        <patternFill patternType="solid">
          <fgColor rgb="00D9D9D9"/>
          <bgColor rgb="00D9D9D9"/>
        </patternFill>
      </fill>
    </dxf>
    <dxf>
      <font>
        <color rgb="00808080"/>
      </font>
      <fill>
        <patternFill patternType="solid">
          <fgColor rgb="00EDEDED"/>
          <bgColor rgb="00EDEDED"/>
        </patternFill>
      </fill>
    </dxf>
    <dxf>
      <fill>
        <patternFill patternType="solid">
          <fgColor rgb="00E4DFEC"/>
          <bgColor rgb="00E4DFEC"/>
        </patternFill>
      </fill>
    </dxf>
    <dxf>
      <font>
        <b val="1"/>
        <color rgb="005B2C6F"/>
      </font>
      <fill>
        <patternFill patternType="solid">
          <fgColor rgb="00E4DFEC"/>
          <b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견적관리</author>
  </authors>
  <commentList>
    <comment ref="G4" authorId="0" shapeId="0">
      <text>
        <t>같은 RFQ No.+항목#는 업체가 여러 곳이어도 1품목으로 셈</t>
      </text>
    </comment>
    <comment ref="H4" authorId="0" shapeId="0">
      <text>
        <t>어느 업체든 단가를 받은 품목 수</t>
      </text>
    </comment>
    <comment ref="J4" authorId="0" shapeId="0">
      <text>
        <t>견적이 2곳 이상 들어온 품목 수 → '중복견적' 시트</t>
      </text>
    </comment>
    <comment ref="M4" authorId="0" shapeId="0">
      <text>
        <t>품목마다 원화 환산 최저가 1곳만 합산</t>
      </text>
    </comment>
    <comment ref="N4" authorId="0" shapeId="0">
      <text>
        <t>오늘 발주해도 출고 마감을 넘기는 견적 줄 수</t>
      </text>
    </comment>
    <comment ref="O4" authorId="0" shapeId="0">
      <text>
        <t>유효만료일이 지났거나 5일 이내인 견적 줄 수</t>
      </text>
    </comment>
  </commentList>
</comments>
</file>

<file path=xl/comments/comment2.xml><?xml version="1.0" encoding="utf-8"?>
<comments xmlns="http://schemas.openxmlformats.org/spreadsheetml/2006/main">
  <authors>
    <author>견적관리</author>
  </authors>
  <commentList>
    <comment ref="E4" authorId="0" shapeId="0">
      <text>
        <t>출고 후 선박까지 가는 데 걸리는 일수 (포워딩·항공 등). 비우면 0일. RMS는 부산 출고, AFS는 네덜란드 출고라 업체별로 다를 수 있음.</t>
      </text>
    </comment>
    <comment ref="F4" authorId="0" shapeId="0">
      <text>
        <t>예정일 − 운송소요일. 선박 시트의 '일정 대비'가 이 날짜와 비교합니다.</t>
      </text>
    </comment>
  </commentList>
</comments>
</file>

<file path=xl/comments/comment3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4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5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6.xml><?xml version="1.0" encoding="utf-8"?>
<comments xmlns="http://schemas.openxmlformats.org/spreadsheetml/2006/main">
  <authors>
    <author>견적관리</author>
  </authors>
  <commentList>
    <comment ref="D5" authorId="0" shapeId="0">
      <text>
        <t>RFQ 안의 품목 번호. 같은 RFQ No. + 같은 항목#이면 같은 품목으로 보고 업체 견적끼리 비교합니다. RFQ가 없는 품목은 비워도 됨 (그러면 품목명으로 비교).</t>
      </text>
    </comment>
    <comment ref="O5" authorId="0" shapeId="0">
      <text>
        <t>같은 품목에 견적이 2곳 이상이면 '중복 n곳' 자동 표시. 원화 환산 최저가 줄은 '최저가'.</t>
      </text>
    </comment>
    <comment ref="R5" authorId="0" shapeId="0">
      <text>
        <t>견적통화 단가 × 설정 시트 환율</t>
      </text>
    </comment>
    <comment ref="T5" authorId="0" shapeId="0">
      <text>
        <t>견적서의 주(week) 범위는 긴 쪽으로 환산 (3-4주 → 28일), 영업일은 달력일로 환산</t>
      </text>
    </comment>
    <comment ref="U5" authorId="0" shapeId="0">
      <text>
        <t>오늘 발주 가정: 오늘 + 납기. 발주가 늦어지면 같이 밀림.</t>
      </text>
    </comment>
    <comment ref="V5" authorId="0" shapeId="0">
      <text>
        <t>준비 예상일이 2행 '출고 마감' 안에 들어오는지 (마감 = 스케줄 예정일 − 운송소요일).</t>
      </text>
    </comment>
    <comment ref="Z5" authorId="0" shapeId="0">
      <text>
        <t>노란 칸 = 견적서에 날짜가 없어 비워둠. 받은 날짜를 넣으면 만료일 계산.</t>
      </text>
    </comment>
    <comment ref="AA5" authorId="0" shapeId="0">
      <text>
        <t>접수일 + 유효일수. 빨강 = 만료, 노랑 = 5일 이내</t>
      </text>
    </comment>
  </commentList>
</comments>
</file>

<file path=xl/comments/comment7.xml><?xml version="1.0" encoding="utf-8"?>
<comments xmlns="http://schemas.openxmlformats.org/spreadsheetml/2006/main">
  <authors>
    <author>견적관리</author>
  </authors>
  <commentList>
    <comment ref="I4" authorId="0" shapeId="0">
      <text>
        <t>품목수 − 견적확보 품목. 0보다 크면 아직 어느 업체에서도 단가를 못 받은 품목이 있음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AEOLUS'!A1" TargetMode="External" Id="rId1"/><Relationship Type="http://schemas.openxmlformats.org/officeDocument/2006/relationships/hyperlink" Target="#'MELICERTES'!A1" TargetMode="External" Id="rId2"/><Relationship Type="http://schemas.openxmlformats.org/officeDocument/2006/relationships/hyperlink" Target="#'NELEUS'!A1" TargetMode="External" Id="rId3"/><Relationship Type="http://schemas.openxmlformats.org/officeDocument/2006/relationships/hyperlink" Target="#'ONEIROI'!A1" TargetMode="External" Id="rId4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4" customWidth="1" min="3" max="3"/>
    <col width="11" customWidth="1" min="4" max="4"/>
    <col width="8" customWidth="1" min="5" max="5"/>
    <col width="20" customWidth="1" min="6" max="6"/>
    <col width="9" customWidth="1" min="7" max="7"/>
    <col width="8" customWidth="1" min="8" max="8"/>
    <col width="7" customWidth="1" min="9" max="9"/>
    <col width="8" customWidth="1" min="10" max="10"/>
    <col width="8" customWidth="1" min="11" max="11"/>
    <col width="8" customWidth="1" min="12" max="12"/>
    <col width="14" customWidth="1" min="13" max="13"/>
    <col width="9" customWidth="1" min="14" max="14"/>
    <col width="9" customWidth="1" min="15" max="15"/>
    <col width="8" customWidth="1" min="16" max="16"/>
  </cols>
  <sheetData>
    <row r="1">
      <c r="A1" s="1" t="inlineStr">
        <is>
          <t>선박별 견적 현황</t>
        </is>
      </c>
    </row>
    <row r="2">
      <c r="A2" s="2">
        <f>"기준일 "&amp;TEXT(TODAY(),"yyyy-mm-dd")&amp;"  ·  자동 집계 (입력 불필요)  ·  금액 = 품목별 최저가 기준 원화 환산"</f>
        <v/>
      </c>
    </row>
    <row r="3">
      <c r="A3" s="3">
        <f>"⏰ 알림:  4일 이내 "&amp;COUNTIFS(스케줄!$I$5:$I$14,"&gt;=0",스케줄!$I$5:$I$14,"&lt;=4")&amp;"척  ·  1주 이내 "&amp;COUNTIFS(스케줄!$I$5:$I$14,"&gt;4",스케줄!$I$5:$I$14,"&lt;=7")&amp;"척  ·  일정 미정 "&amp;COUNTIFS(스케줄!$A$5:$A$14,"&lt;&gt;",스케줄!$C$5:$C$14,"")&amp;"척"</f>
        <v/>
      </c>
    </row>
    <row r="4" ht="32" customHeight="1">
      <c r="A4" s="4" t="inlineStr">
        <is>
          <t>선박</t>
        </is>
      </c>
      <c r="B4" s="4" t="inlineStr">
        <is>
          <t>우선순위</t>
        </is>
      </c>
      <c r="C4" s="4" t="inlineStr">
        <is>
          <t>다음 일정</t>
        </is>
      </c>
      <c r="D4" s="4" t="inlineStr">
        <is>
          <t>예정일</t>
        </is>
      </c>
      <c r="E4" s="4" t="inlineStr">
        <is>
          <t>D-day</t>
        </is>
      </c>
      <c r="F4" s="4" t="inlineStr">
        <is>
          <t>알림</t>
        </is>
      </c>
      <c r="G4" s="4" t="inlineStr">
        <is>
          <t>품목
(중복제외)</t>
        </is>
      </c>
      <c r="H4" s="4" t="inlineStr">
        <is>
          <t>견적확보</t>
        </is>
      </c>
      <c r="I4" s="4" t="inlineStr">
        <is>
          <t>미확보</t>
        </is>
      </c>
      <c r="J4" s="4" t="inlineStr">
        <is>
          <t>중복견적</t>
        </is>
      </c>
      <c r="K4" s="4" t="inlineStr">
        <is>
          <t>확인필요
(건)</t>
        </is>
      </c>
      <c r="L4" s="4" t="inlineStr">
        <is>
          <t>공급불가
(건)</t>
        </is>
      </c>
      <c r="M4" s="4" t="inlineStr">
        <is>
          <t>최저가 합계
(KRW)</t>
        </is>
      </c>
      <c r="N4" s="4" t="inlineStr">
        <is>
          <t>일정 초과
(건)</t>
        </is>
      </c>
      <c r="O4" s="4" t="inlineStr">
        <is>
          <t>만료
임박/지남</t>
        </is>
      </c>
      <c r="P4" s="4" t="inlineStr">
        <is>
          <t>발주완료</t>
        </is>
      </c>
    </row>
    <row r="5">
      <c r="A5" s="5" t="inlineStr">
        <is>
          <t>AEOLUS</t>
        </is>
      </c>
      <c r="B5" s="6" t="inlineStr">
        <is>
          <t>Routine</t>
        </is>
      </c>
      <c r="C5" s="6">
        <f>IFERROR(IF(INDEX(스케줄!$B$5:$B$14,MATCH($A5,스케줄!$A$5:$A$14,0))="","-",INDEX(스케줄!$B$5:$B$14,MATCH($A5,스케줄!$A$5:$A$14,0))),"-")</f>
        <v/>
      </c>
      <c r="D5" s="7">
        <f>IFERROR(IF(N(INDEX(스케줄!$C$5:$C$14,MATCH($A5,스케줄!$A$5:$A$14,0)))=0,"",INDEX(스케줄!$C$5:$C$14,MATCH($A5,스케줄!$A$5:$A$14,0))),"")</f>
        <v/>
      </c>
      <c r="E5" s="8">
        <f>IFERROR(INDEX(스케줄!$I$5:$I$14,MATCH($A5,스케줄!$A$5:$A$14,0)),"")</f>
        <v/>
      </c>
      <c r="F5" s="9">
        <f>IFERROR(INDEX(스케줄!$J$5:$J$14,MATCH($A5,스케줄!$A$5:$A$14,0)),"")</f>
        <v/>
      </c>
      <c r="G5" s="10">
        <f>SUM('AEOLUS'!$AG$6:$AG$205)</f>
        <v/>
      </c>
      <c r="H5" s="10">
        <f>SUM('AEOLUS'!$AJ$6:$AJ$205)</f>
        <v/>
      </c>
      <c r="I5" s="10">
        <f>G5-H5</f>
        <v/>
      </c>
      <c r="J5" s="10">
        <f>COUNT('AEOLUS'!$AI$6:$AI$205)</f>
        <v/>
      </c>
      <c r="K5" s="10">
        <f>COUNTIF('AEOLUS'!$N$6:$N$205,"확인필요")</f>
        <v/>
      </c>
      <c r="L5" s="10">
        <f>COUNTIF('AEOLUS'!$N$6:$N$205,"공급불가")</f>
        <v/>
      </c>
      <c r="M5" s="11">
        <f>SUMIFS('AEOLUS'!$S$6:$S$205,'AEOLUS'!$AK$6:$AK$205,1)</f>
        <v/>
      </c>
      <c r="N5" s="10">
        <f>COUNTIF('AEOLUS'!$V$6:$V$205,"초과*")</f>
        <v/>
      </c>
      <c r="O5" s="10">
        <f>COUNTIFS('AEOLUS'!$AA$6:$AA$205,"&lt;="&amp;(TODAY()+5))</f>
        <v/>
      </c>
      <c r="P5" s="10">
        <f>COUNTIF('AEOLUS'!$AC$6:$AC$205,"발주완료")</f>
        <v/>
      </c>
    </row>
    <row r="6">
      <c r="A6" s="5" t="inlineStr">
        <is>
          <t>MELICERTES</t>
        </is>
      </c>
      <c r="B6" s="12" t="inlineStr">
        <is>
          <t>URGENT</t>
        </is>
      </c>
      <c r="C6" s="6">
        <f>IFERROR(IF(INDEX(스케줄!$B$5:$B$14,MATCH($A6,스케줄!$A$5:$A$14,0))="","-",INDEX(스케줄!$B$5:$B$14,MATCH($A6,스케줄!$A$5:$A$14,0))),"-")</f>
        <v/>
      </c>
      <c r="D6" s="7">
        <f>IFERROR(IF(N(INDEX(스케줄!$C$5:$C$14,MATCH($A6,스케줄!$A$5:$A$14,0)))=0,"",INDEX(스케줄!$C$5:$C$14,MATCH($A6,스케줄!$A$5:$A$14,0))),"")</f>
        <v/>
      </c>
      <c r="E6" s="8">
        <f>IFERROR(INDEX(스케줄!$I$5:$I$14,MATCH($A6,스케줄!$A$5:$A$14,0)),"")</f>
        <v/>
      </c>
      <c r="F6" s="9">
        <f>IFERROR(INDEX(스케줄!$J$5:$J$14,MATCH($A6,스케줄!$A$5:$A$14,0)),"")</f>
        <v/>
      </c>
      <c r="G6" s="10">
        <f>SUM('MELICERTES'!$AG$6:$AG$205)</f>
        <v/>
      </c>
      <c r="H6" s="10">
        <f>SUM('MELICERTES'!$AJ$6:$AJ$205)</f>
        <v/>
      </c>
      <c r="I6" s="10">
        <f>G6-H6</f>
        <v/>
      </c>
      <c r="J6" s="10">
        <f>COUNT('MELICERTES'!$AI$6:$AI$205)</f>
        <v/>
      </c>
      <c r="K6" s="10">
        <f>COUNTIF('MELICERTES'!$N$6:$N$205,"확인필요")</f>
        <v/>
      </c>
      <c r="L6" s="10">
        <f>COUNTIF('MELICERTES'!$N$6:$N$205,"공급불가")</f>
        <v/>
      </c>
      <c r="M6" s="11">
        <f>SUMIFS('MELICERTES'!$S$6:$S$205,'MELICERTES'!$AK$6:$AK$205,1)</f>
        <v/>
      </c>
      <c r="N6" s="10">
        <f>COUNTIF('MELICERTES'!$V$6:$V$205,"초과*")</f>
        <v/>
      </c>
      <c r="O6" s="10">
        <f>COUNTIFS('MELICERTES'!$AA$6:$AA$205,"&lt;="&amp;(TODAY()+5))</f>
        <v/>
      </c>
      <c r="P6" s="10">
        <f>COUNTIF('MELICERTES'!$AC$6:$AC$205,"발주완료")</f>
        <v/>
      </c>
    </row>
    <row r="7">
      <c r="A7" s="5" t="inlineStr">
        <is>
          <t>NELEUS</t>
        </is>
      </c>
      <c r="B7" s="6" t="inlineStr">
        <is>
          <t>Routine</t>
        </is>
      </c>
      <c r="C7" s="6">
        <f>IFERROR(IF(INDEX(스케줄!$B$5:$B$14,MATCH($A7,스케줄!$A$5:$A$14,0))="","-",INDEX(스케줄!$B$5:$B$14,MATCH($A7,스케줄!$A$5:$A$14,0))),"-")</f>
        <v/>
      </c>
      <c r="D7" s="7">
        <f>IFERROR(IF(N(INDEX(스케줄!$C$5:$C$14,MATCH($A7,스케줄!$A$5:$A$14,0)))=0,"",INDEX(스케줄!$C$5:$C$14,MATCH($A7,스케줄!$A$5:$A$14,0))),"")</f>
        <v/>
      </c>
      <c r="E7" s="8">
        <f>IFERROR(INDEX(스케줄!$I$5:$I$14,MATCH($A7,스케줄!$A$5:$A$14,0)),"")</f>
        <v/>
      </c>
      <c r="F7" s="9">
        <f>IFERROR(INDEX(스케줄!$J$5:$J$14,MATCH($A7,스케줄!$A$5:$A$14,0)),"")</f>
        <v/>
      </c>
      <c r="G7" s="10">
        <f>SUM('NELEUS'!$AG$6:$AG$205)</f>
        <v/>
      </c>
      <c r="H7" s="10">
        <f>SUM('NELEUS'!$AJ$6:$AJ$205)</f>
        <v/>
      </c>
      <c r="I7" s="10">
        <f>G7-H7</f>
        <v/>
      </c>
      <c r="J7" s="10">
        <f>COUNT('NELEUS'!$AI$6:$AI$205)</f>
        <v/>
      </c>
      <c r="K7" s="10">
        <f>COUNTIF('NELEUS'!$N$6:$N$205,"확인필요")</f>
        <v/>
      </c>
      <c r="L7" s="10">
        <f>COUNTIF('NELEUS'!$N$6:$N$205,"공급불가")</f>
        <v/>
      </c>
      <c r="M7" s="11">
        <f>SUMIFS('NELEUS'!$S$6:$S$205,'NELEUS'!$AK$6:$AK$205,1)</f>
        <v/>
      </c>
      <c r="N7" s="10">
        <f>COUNTIF('NELEUS'!$V$6:$V$205,"초과*")</f>
        <v/>
      </c>
      <c r="O7" s="10">
        <f>COUNTIFS('NELEUS'!$AA$6:$AA$205,"&lt;="&amp;(TODAY()+5))</f>
        <v/>
      </c>
      <c r="P7" s="10">
        <f>COUNTIF('NELEUS'!$AC$6:$AC$205,"발주완료")</f>
        <v/>
      </c>
    </row>
    <row r="8">
      <c r="A8" s="5" t="inlineStr">
        <is>
          <t>ONEIROI</t>
        </is>
      </c>
      <c r="B8" s="12" t="inlineStr">
        <is>
          <t>URGENT</t>
        </is>
      </c>
      <c r="C8" s="6">
        <f>IFERROR(IF(INDEX(스케줄!$B$5:$B$14,MATCH($A8,스케줄!$A$5:$A$14,0))="","-",INDEX(스케줄!$B$5:$B$14,MATCH($A8,스케줄!$A$5:$A$14,0))),"-")</f>
        <v/>
      </c>
      <c r="D8" s="7">
        <f>IFERROR(IF(N(INDEX(스케줄!$C$5:$C$14,MATCH($A8,스케줄!$A$5:$A$14,0)))=0,"",INDEX(스케줄!$C$5:$C$14,MATCH($A8,스케줄!$A$5:$A$14,0))),"")</f>
        <v/>
      </c>
      <c r="E8" s="8">
        <f>IFERROR(INDEX(스케줄!$I$5:$I$14,MATCH($A8,스케줄!$A$5:$A$14,0)),"")</f>
        <v/>
      </c>
      <c r="F8" s="9">
        <f>IFERROR(INDEX(스케줄!$J$5:$J$14,MATCH($A8,스케줄!$A$5:$A$14,0)),"")</f>
        <v/>
      </c>
      <c r="G8" s="10">
        <f>SUM('ONEIROI'!$AG$6:$AG$205)</f>
        <v/>
      </c>
      <c r="H8" s="10">
        <f>SUM('ONEIROI'!$AJ$6:$AJ$205)</f>
        <v/>
      </c>
      <c r="I8" s="10">
        <f>G8-H8</f>
        <v/>
      </c>
      <c r="J8" s="10">
        <f>COUNT('ONEIROI'!$AI$6:$AI$205)</f>
        <v/>
      </c>
      <c r="K8" s="10">
        <f>COUNTIF('ONEIROI'!$N$6:$N$205,"확인필요")</f>
        <v/>
      </c>
      <c r="L8" s="10">
        <f>COUNTIF('ONEIROI'!$N$6:$N$205,"공급불가")</f>
        <v/>
      </c>
      <c r="M8" s="11">
        <f>SUMIFS('ONEIROI'!$S$6:$S$205,'ONEIROI'!$AK$6:$AK$205,1)</f>
        <v/>
      </c>
      <c r="N8" s="10">
        <f>COUNTIF('ONEIROI'!$V$6:$V$205,"초과*")</f>
        <v/>
      </c>
      <c r="O8" s="10">
        <f>COUNTIFS('ONEIROI'!$AA$6:$AA$205,"&lt;="&amp;(TODAY()+5))</f>
        <v/>
      </c>
      <c r="P8" s="10">
        <f>COUNTIF('ONEIROI'!$AC$6:$AC$205,"발주완료")</f>
        <v/>
      </c>
    </row>
    <row r="9">
      <c r="A9" s="13" t="inlineStr">
        <is>
          <t>합계</t>
        </is>
      </c>
      <c r="B9" s="13" t="n"/>
      <c r="C9" s="13" t="n"/>
      <c r="D9" s="14" t="n"/>
      <c r="E9" s="15" t="n"/>
      <c r="F9" s="13" t="n"/>
      <c r="G9" s="16">
        <f>SUM(G5:G8)</f>
        <v/>
      </c>
      <c r="H9" s="16">
        <f>SUM(H5:H8)</f>
        <v/>
      </c>
      <c r="I9" s="16">
        <f>SUM(I5:I8)</f>
        <v/>
      </c>
      <c r="J9" s="16">
        <f>SUM(J5:J8)</f>
        <v/>
      </c>
      <c r="K9" s="16">
        <f>SUM(K5:K8)</f>
        <v/>
      </c>
      <c r="L9" s="16">
        <f>SUM(L5:L8)</f>
        <v/>
      </c>
      <c r="M9" s="17">
        <f>SUM(M5:M8)</f>
        <v/>
      </c>
      <c r="N9" s="16">
        <f>SUM(N5:N8)</f>
        <v/>
      </c>
      <c r="O9" s="16">
        <f>SUM(O5:O8)</f>
        <v/>
      </c>
      <c r="P9" s="16">
        <f>SUM(P5:P8)</f>
        <v/>
      </c>
    </row>
    <row r="11">
      <c r="A11" s="2" t="inlineStr">
        <is>
          <t>선박명을 누르면 해당 시트로 이동 · 일정 수정은 '스케줄' · 업체·환율은 '설정' 시트</t>
        </is>
      </c>
    </row>
  </sheetData>
  <conditionalFormatting sqref="E5:F8">
    <cfRule type="expression" priority="1" dxfId="0">
      <formula>AND(ISNUMBER($E5),$E5&gt;=0,$E5&lt;=4)</formula>
    </cfRule>
    <cfRule type="expression" priority="2" dxfId="1">
      <formula>AND(ISNUMBER($E5),$E5&gt;4,$E5&lt;=7)</formula>
    </cfRule>
  </conditionalFormatting>
  <conditionalFormatting sqref="I5:I9">
    <cfRule type="cellIs" priority="3" operator="greaterThan" dxfId="2">
      <formula>0</formula>
    </cfRule>
  </conditionalFormatting>
  <conditionalFormatting sqref="J5:J9">
    <cfRule type="cellIs" priority="4" operator="greaterThan" dxfId="3">
      <formula>0</formula>
    </cfRule>
  </conditionalFormatting>
  <conditionalFormatting sqref="K5:K9">
    <cfRule type="cellIs" priority="5" operator="greaterThan" dxfId="4">
      <formula>0</formula>
    </cfRule>
  </conditionalFormatting>
  <conditionalFormatting sqref="L5:L9">
    <cfRule type="cellIs" priority="6" operator="greaterThan" dxfId="5">
      <formula>0</formula>
    </cfRule>
  </conditionalFormatting>
  <conditionalFormatting sqref="N5:N9">
    <cfRule type="cellIs" priority="7" operator="greaterThan" dxfId="2">
      <formula>0</formula>
    </cfRule>
  </conditionalFormatting>
  <conditionalFormatting sqref="O5:O9">
    <cfRule type="cellIs" priority="8" operator="greaterThan" dxfId="2">
      <formula>0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2" customWidth="1" min="4" max="4"/>
    <col width="9" customWidth="1" min="5" max="5"/>
    <col width="12" customWidth="1" min="6" max="6"/>
    <col width="12" customWidth="1" min="7" max="7"/>
    <col width="12" customWidth="1" min="8" max="8"/>
    <col width="10" customWidth="1" min="9" max="9"/>
    <col width="24" customWidth="1" min="10" max="10"/>
    <col width="40" customWidth="1" min="11" max="11"/>
  </cols>
  <sheetData>
    <row r="1">
      <c r="A1" s="1" t="inlineStr">
        <is>
          <t>선박 스케줄 · 알림</t>
        </is>
      </c>
    </row>
    <row r="2">
      <c r="A2" s="2" t="inlineStr">
        <is>
          <t>노란 칸(일정·예정일·종료일·운송소요일)만 수정하면 D-day와 알림이 자동으로 바뀝니다 · 1주 전 = 주황, 4일 전 = 빨강 · 파일을 열 때마다 오늘 날짜 기준으로 다시 계산</t>
        </is>
      </c>
    </row>
    <row r="4" ht="32" customHeight="1">
      <c r="A4" s="4" t="inlineStr">
        <is>
          <t>선박</t>
        </is>
      </c>
      <c r="B4" s="4" t="inlineStr">
        <is>
          <t>일정</t>
        </is>
      </c>
      <c r="C4" s="4" t="inlineStr">
        <is>
          <t>예정일
(시작)</t>
        </is>
      </c>
      <c r="D4" s="4" t="inlineStr">
        <is>
          <t>종료일</t>
        </is>
      </c>
      <c r="E4" s="4" t="inlineStr">
        <is>
          <t>운송
소요(일)</t>
        </is>
      </c>
      <c r="F4" s="18" t="inlineStr">
        <is>
          <t>출고
마감</t>
        </is>
      </c>
      <c r="G4" s="18" t="inlineStr">
        <is>
          <t>1주 전
(D-7)</t>
        </is>
      </c>
      <c r="H4" s="18" t="inlineStr">
        <is>
          <t>4일 전
(D-4)</t>
        </is>
      </c>
      <c r="I4" s="18" t="inlineStr">
        <is>
          <t>남은 일수</t>
        </is>
      </c>
      <c r="J4" s="18" t="inlineStr">
        <is>
          <t>알림</t>
        </is>
      </c>
      <c r="K4" s="4" t="inlineStr">
        <is>
          <t>비고</t>
        </is>
      </c>
    </row>
    <row r="5">
      <c r="A5" s="19" t="inlineStr">
        <is>
          <t>AEOLUS</t>
        </is>
      </c>
      <c r="B5" s="20" t="inlineStr">
        <is>
          <t>한국 통과</t>
        </is>
      </c>
      <c r="C5" s="21" t="n">
        <v>46336</v>
      </c>
      <c r="D5" s="21" t="n"/>
      <c r="E5" s="22" t="n"/>
      <c r="F5" s="23">
        <f>IF(C5="","",C5-N(E5))</f>
        <v/>
      </c>
      <c r="G5" s="23">
        <f>IF(C5="","",C5-7)</f>
        <v/>
      </c>
      <c r="H5" s="23">
        <f>IF(C5="","",C5-4)</f>
        <v/>
      </c>
      <c r="I5" s="24">
        <f>IF(C5="","",C5-TODAY())</f>
        <v/>
      </c>
      <c r="J5" s="25">
        <f>IF(A5="","",IF(C5="","일정 미정 – 입력 필요",IF(I5&lt;0,IF(AND(D5&lt;&gt;"",D5&gt;=TODAY()),"진행중 (종료일까지)","지남 – 다음 일정 입력"),IF(I5=0,"오늘 도착",IF(I5&lt;=4,"4일 전 – 최종 확인",IF(I5&lt;=7,"1주 전 – 준비 시작","대기"))))))</f>
        <v/>
      </c>
      <c r="K5" s="20" t="n"/>
    </row>
    <row r="6">
      <c r="A6" s="19" t="inlineStr">
        <is>
          <t>MELICERTES</t>
        </is>
      </c>
      <c r="B6" s="20" t="n"/>
      <c r="C6" s="21" t="n"/>
      <c r="D6" s="21" t="n"/>
      <c r="E6" s="22" t="n"/>
      <c r="F6" s="23">
        <f>IF(C6="","",C6-N(E6))</f>
        <v/>
      </c>
      <c r="G6" s="23">
        <f>IF(C6="","",C6-7)</f>
        <v/>
      </c>
      <c r="H6" s="23">
        <f>IF(C6="","",C6-4)</f>
        <v/>
      </c>
      <c r="I6" s="24">
        <f>IF(C6="","",C6-TODAY())</f>
        <v/>
      </c>
      <c r="J6" s="25">
        <f>IF(A6="","",IF(C6="","일정 미정 – 입력 필요",IF(I6&lt;0,IF(AND(D6&lt;&gt;"",D6&gt;=TODAY()),"진행중 (종료일까지)","지남 – 다음 일정 입력"),IF(I6=0,"오늘 도착",IF(I6&lt;=4,"4일 전 – 최종 확인",IF(I6&lt;=7,"1주 전 – 준비 시작","대기"))))))</f>
        <v/>
      </c>
      <c r="K6" s="20" t="inlineStr">
        <is>
          <t>일정 확인 필요 (RFQ상 Sabetta ETA 19-Oct 지남)</t>
        </is>
      </c>
    </row>
    <row r="7">
      <c r="A7" s="19" t="inlineStr">
        <is>
          <t>NELEUS</t>
        </is>
      </c>
      <c r="B7" s="20" t="n"/>
      <c r="C7" s="21" t="n"/>
      <c r="D7" s="21" t="n"/>
      <c r="E7" s="22" t="n"/>
      <c r="F7" s="23">
        <f>IF(C7="","",C7-N(E7))</f>
        <v/>
      </c>
      <c r="G7" s="23">
        <f>IF(C7="","",C7-7)</f>
        <v/>
      </c>
      <c r="H7" s="23">
        <f>IF(C7="","",C7-4)</f>
        <v/>
      </c>
      <c r="I7" s="24">
        <f>IF(C7="","",C7-TODAY())</f>
        <v/>
      </c>
      <c r="J7" s="25">
        <f>IF(A7="","",IF(C7="","일정 미정 – 입력 필요",IF(I7&lt;0,IF(AND(D7&lt;&gt;"",D7&gt;=TODAY()),"진행중 (종료일까지)","지남 – 다음 일정 입력"),IF(I7=0,"오늘 도착",IF(I7&lt;=4,"4일 전 – 최종 확인",IF(I7&lt;=7,"1주 전 – 준비 시작","대기"))))))</f>
        <v/>
      </c>
      <c r="K7" s="20" t="inlineStr">
        <is>
          <t>일정 확인 필요</t>
        </is>
      </c>
    </row>
    <row r="8">
      <c r="A8" s="19" t="inlineStr">
        <is>
          <t>ONEIROI</t>
        </is>
      </c>
      <c r="B8" s="20" t="inlineStr">
        <is>
          <t>네덜란드 보급</t>
        </is>
      </c>
      <c r="C8" s="21" t="n">
        <v>46338</v>
      </c>
      <c r="D8" s="21" t="n">
        <v>46339</v>
      </c>
      <c r="E8" s="22" t="n"/>
      <c r="F8" s="23">
        <f>IF(C8="","",C8-N(E8))</f>
        <v/>
      </c>
      <c r="G8" s="23">
        <f>IF(C8="","",C8-7)</f>
        <v/>
      </c>
      <c r="H8" s="23">
        <f>IF(C8="","",C8-4)</f>
        <v/>
      </c>
      <c r="I8" s="24">
        <f>IF(C8="","",C8-TODAY())</f>
        <v/>
      </c>
      <c r="J8" s="25">
        <f>IF(A8="","",IF(C8="","일정 미정 – 입력 필요",IF(I8&lt;0,IF(AND(D8&lt;&gt;"",D8&gt;=TODAY()),"진행중 (종료일까지)","지남 – 다음 일정 입력"),IF(I8=0,"오늘 도착",IF(I8&lt;=4,"4일 전 – 최종 확인",IF(I8&lt;=7,"1주 전 – 준비 시작","대기"))))))</f>
        <v/>
      </c>
      <c r="K8" s="20" t="inlineStr">
        <is>
          <t>EXW 부산 → 네덜란드 포워딩 기간 별도</t>
        </is>
      </c>
    </row>
    <row r="9">
      <c r="A9" s="19" t="n"/>
      <c r="B9" s="20" t="n"/>
      <c r="C9" s="21" t="n"/>
      <c r="D9" s="21" t="n"/>
      <c r="E9" s="22" t="n"/>
      <c r="F9" s="23">
        <f>IF(C9="","",C9-N(E9))</f>
        <v/>
      </c>
      <c r="G9" s="23">
        <f>IF(C9="","",C9-7)</f>
        <v/>
      </c>
      <c r="H9" s="23">
        <f>IF(C9="","",C9-4)</f>
        <v/>
      </c>
      <c r="I9" s="24">
        <f>IF(C9="","",C9-TODAY())</f>
        <v/>
      </c>
      <c r="J9" s="25">
        <f>IF(A9="","",IF(C9="","일정 미정 – 입력 필요",IF(I9&lt;0,IF(AND(D9&lt;&gt;"",D9&gt;=TODAY()),"진행중 (종료일까지)","지남 – 다음 일정 입력"),IF(I9=0,"오늘 도착",IF(I9&lt;=4,"4일 전 – 최종 확인",IF(I9&lt;=7,"1주 전 – 준비 시작","대기"))))))</f>
        <v/>
      </c>
      <c r="K9" s="20" t="n"/>
    </row>
    <row r="10">
      <c r="A10" s="19" t="n"/>
      <c r="B10" s="20" t="n"/>
      <c r="C10" s="21" t="n"/>
      <c r="D10" s="21" t="n"/>
      <c r="E10" s="22" t="n"/>
      <c r="F10" s="23">
        <f>IF(C10="","",C10-N(E10))</f>
        <v/>
      </c>
      <c r="G10" s="23">
        <f>IF(C10="","",C10-7)</f>
        <v/>
      </c>
      <c r="H10" s="23">
        <f>IF(C10="","",C10-4)</f>
        <v/>
      </c>
      <c r="I10" s="24">
        <f>IF(C10="","",C10-TODAY())</f>
        <v/>
      </c>
      <c r="J10" s="25">
        <f>IF(A10="","",IF(C10="","일정 미정 – 입력 필요",IF(I10&lt;0,IF(AND(D10&lt;&gt;"",D10&gt;=TODAY()),"진행중 (종료일까지)","지남 – 다음 일정 입력"),IF(I10=0,"오늘 도착",IF(I10&lt;=4,"4일 전 – 최종 확인",IF(I10&lt;=7,"1주 전 – 준비 시작","대기"))))))</f>
        <v/>
      </c>
      <c r="K10" s="20" t="n"/>
    </row>
    <row r="11">
      <c r="A11" s="19" t="n"/>
      <c r="B11" s="20" t="n"/>
      <c r="C11" s="21" t="n"/>
      <c r="D11" s="21" t="n"/>
      <c r="E11" s="22" t="n"/>
      <c r="F11" s="23">
        <f>IF(C11="","",C11-N(E11))</f>
        <v/>
      </c>
      <c r="G11" s="23">
        <f>IF(C11="","",C11-7)</f>
        <v/>
      </c>
      <c r="H11" s="23">
        <f>IF(C11="","",C11-4)</f>
        <v/>
      </c>
      <c r="I11" s="24">
        <f>IF(C11="","",C11-TODAY())</f>
        <v/>
      </c>
      <c r="J11" s="25">
        <f>IF(A11="","",IF(C11="","일정 미정 – 입력 필요",IF(I11&lt;0,IF(AND(D11&lt;&gt;"",D11&gt;=TODAY()),"진행중 (종료일까지)","지남 – 다음 일정 입력"),IF(I11=0,"오늘 도착",IF(I11&lt;=4,"4일 전 – 최종 확인",IF(I11&lt;=7,"1주 전 – 준비 시작","대기"))))))</f>
        <v/>
      </c>
      <c r="K11" s="20" t="n"/>
    </row>
    <row r="12">
      <c r="A12" s="19" t="n"/>
      <c r="B12" s="20" t="n"/>
      <c r="C12" s="21" t="n"/>
      <c r="D12" s="21" t="n"/>
      <c r="E12" s="22" t="n"/>
      <c r="F12" s="23">
        <f>IF(C12="","",C12-N(E12))</f>
        <v/>
      </c>
      <c r="G12" s="23">
        <f>IF(C12="","",C12-7)</f>
        <v/>
      </c>
      <c r="H12" s="23">
        <f>IF(C12="","",C12-4)</f>
        <v/>
      </c>
      <c r="I12" s="24">
        <f>IF(C12="","",C12-TODAY())</f>
        <v/>
      </c>
      <c r="J12" s="25">
        <f>IF(A12="","",IF(C12="","일정 미정 – 입력 필요",IF(I12&lt;0,IF(AND(D12&lt;&gt;"",D12&gt;=TODAY()),"진행중 (종료일까지)","지남 – 다음 일정 입력"),IF(I12=0,"오늘 도착",IF(I12&lt;=4,"4일 전 – 최종 확인",IF(I12&lt;=7,"1주 전 – 준비 시작","대기"))))))</f>
        <v/>
      </c>
      <c r="K12" s="20" t="n"/>
    </row>
    <row r="13">
      <c r="A13" s="19" t="n"/>
      <c r="B13" s="20" t="n"/>
      <c r="C13" s="21" t="n"/>
      <c r="D13" s="21" t="n"/>
      <c r="E13" s="22" t="n"/>
      <c r="F13" s="23">
        <f>IF(C13="","",C13-N(E13))</f>
        <v/>
      </c>
      <c r="G13" s="23">
        <f>IF(C13="","",C13-7)</f>
        <v/>
      </c>
      <c r="H13" s="23">
        <f>IF(C13="","",C13-4)</f>
        <v/>
      </c>
      <c r="I13" s="24">
        <f>IF(C13="","",C13-TODAY())</f>
        <v/>
      </c>
      <c r="J13" s="25">
        <f>IF(A13="","",IF(C13="","일정 미정 – 입력 필요",IF(I13&lt;0,IF(AND(D13&lt;&gt;"",D13&gt;=TODAY()),"진행중 (종료일까지)","지남 – 다음 일정 입력"),IF(I13=0,"오늘 도착",IF(I13&lt;=4,"4일 전 – 최종 확인",IF(I13&lt;=7,"1주 전 – 준비 시작","대기"))))))</f>
        <v/>
      </c>
      <c r="K13" s="20" t="n"/>
    </row>
    <row r="14">
      <c r="A14" s="19" t="n"/>
      <c r="B14" s="20" t="n"/>
      <c r="C14" s="21" t="n"/>
      <c r="D14" s="21" t="n"/>
      <c r="E14" s="22" t="n"/>
      <c r="F14" s="23">
        <f>IF(C14="","",C14-N(E14))</f>
        <v/>
      </c>
      <c r="G14" s="23">
        <f>IF(C14="","",C14-7)</f>
        <v/>
      </c>
      <c r="H14" s="23">
        <f>IF(C14="","",C14-4)</f>
        <v/>
      </c>
      <c r="I14" s="24">
        <f>IF(C14="","",C14-TODAY())</f>
        <v/>
      </c>
      <c r="J14" s="25">
        <f>IF(A14="","",IF(C14="","일정 미정 – 입력 필요",IF(I14&lt;0,IF(AND(D14&lt;&gt;"",D14&gt;=TODAY()),"진행중 (종료일까지)","지남 – 다음 일정 입력"),IF(I14=0,"오늘 도착",IF(I14&lt;=4,"4일 전 – 최종 확인",IF(I14&lt;=7,"1주 전 – 준비 시작","대기"))))))</f>
        <v/>
      </c>
      <c r="K14" s="20" t="n"/>
    </row>
    <row r="16">
      <c r="A16" s="2" t="inlineStr">
        <is>
          <t>선박 1척 = 1줄 (다음 일정만). 일정이 끝나면 같은 줄의 일정·날짜를 다음 일정으로 바꿔 쓰세요.</t>
        </is>
      </c>
    </row>
  </sheetData>
  <conditionalFormatting sqref="I5:J14">
    <cfRule type="expression" priority="1" dxfId="0">
      <formula>AND(ISNUMBER($I5),$I5&gt;=0,$I5&lt;=4)</formula>
    </cfRule>
    <cfRule type="expression" priority="2" dxfId="1">
      <formula>AND(ISNUMBER($I5),$I5&gt;4,$I5&lt;=7)</formula>
    </cfRule>
    <cfRule type="expression" priority="3" dxfId="6">
      <formula>AND(ISNUMBER($I5),$I5&lt;0)</formula>
    </cfRule>
  </conditionalFormatting>
  <conditionalFormatting sqref="G5:G14">
    <cfRule type="expression" priority="4" dxfId="7">
      <formula>AND(ISNUMBER($G5),TODAY()&gt;=$G5,TODAY()&lt;=$C5)</formula>
    </cfRule>
  </conditionalFormatting>
  <conditionalFormatting sqref="H5:H14">
    <cfRule type="expression" priority="5" dxfId="0">
      <formula>AND(ISNUMBER($H5),TODAY()&gt;=$H5,TODAY()&lt;=$C5)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AR88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5" customWidth="1" min="3" max="3"/>
    <col width="5" customWidth="1" min="4" max="4"/>
    <col width="34" customWidth="1" min="5" max="5"/>
    <col width="6" customWidth="1" min="6" max="6"/>
    <col width="6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9" customWidth="1" min="32" max="32"/>
    <col width="12" customWidth="1" min="33" max="33"/>
    <col width="14" customWidth="1" min="34" max="34"/>
    <col width="12" customWidth="1" min="35" max="35"/>
    <col width="30" customWidth="1" min="36" max="36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>
      <c r="A1" s="26" t="inlineStr">
        <is>
          <t>중복견적 비교 (자동)</t>
        </is>
      </c>
    </row>
    <row r="2">
      <c r="A2" s="2" t="inlineStr">
        <is>
          <t>선박 시트에서 같은 RFQ No.·항목#로 업체 견적이 2곳 이상 들어온 품목이 자동으로 모입니다 · 입력 불필요 · 단가는 원화 환산(설정 시트 환율) · 초록 = 최저가</t>
        </is>
      </c>
    </row>
    <row r="4" ht="22" customHeight="1">
      <c r="A4" s="27" t="inlineStr">
        <is>
          <t>No</t>
        </is>
      </c>
      <c r="B4" s="27" t="inlineStr">
        <is>
          <t>선박</t>
        </is>
      </c>
      <c r="C4" s="27" t="inlineStr">
        <is>
          <t>RFQ No.</t>
        </is>
      </c>
      <c r="D4" s="27" t="inlineStr">
        <is>
          <t>항목#</t>
        </is>
      </c>
      <c r="E4" s="27" t="inlineStr">
        <is>
          <t>품목</t>
        </is>
      </c>
      <c r="F4" s="27" t="inlineStr">
        <is>
          <t>수량</t>
        </is>
      </c>
      <c r="G4" s="27" t="inlineStr">
        <is>
          <t>단위</t>
        </is>
      </c>
      <c r="H4" s="28" t="inlineStr">
        <is>
          <t>견적상태</t>
        </is>
      </c>
      <c r="I4" s="29" t="n"/>
      <c r="J4" s="29" t="n"/>
      <c r="K4" s="29" t="n"/>
      <c r="L4" s="29" t="n"/>
      <c r="M4" s="29" t="n"/>
      <c r="N4" s="29" t="n"/>
      <c r="O4" s="30" t="n"/>
      <c r="P4" s="28" t="inlineStr">
        <is>
          <t>원화 단가 (KRW)</t>
        </is>
      </c>
      <c r="Q4" s="29" t="n"/>
      <c r="R4" s="29" t="n"/>
      <c r="S4" s="29" t="n"/>
      <c r="T4" s="29" t="n"/>
      <c r="U4" s="29" t="n"/>
      <c r="V4" s="29" t="n"/>
      <c r="W4" s="30" t="n"/>
      <c r="X4" s="28" t="inlineStr">
        <is>
          <t>납기 (일)</t>
        </is>
      </c>
      <c r="Y4" s="29" t="n"/>
      <c r="Z4" s="29" t="n"/>
      <c r="AA4" s="29" t="n"/>
      <c r="AB4" s="29" t="n"/>
      <c r="AC4" s="29" t="n"/>
      <c r="AD4" s="29" t="n"/>
      <c r="AE4" s="30" t="n"/>
      <c r="AF4" s="27" t="inlineStr">
        <is>
          <t>최저가
업체</t>
        </is>
      </c>
      <c r="AG4" s="27" t="inlineStr">
        <is>
          <t>최저
원화 단가</t>
        </is>
      </c>
      <c r="AH4" s="27" t="inlineStr">
        <is>
          <t>최저가 기준
금액 (KRW)</t>
        </is>
      </c>
      <c r="AI4" s="27" t="inlineStr">
        <is>
          <t>최고-최저
차이 (KRW)</t>
        </is>
      </c>
      <c r="AJ4" s="27" t="inlineStr">
        <is>
          <t>메모</t>
        </is>
      </c>
    </row>
    <row r="5" ht="30" customHeight="1">
      <c r="A5" s="31" t="n"/>
      <c r="B5" s="31" t="n"/>
      <c r="C5" s="31" t="n"/>
      <c r="D5" s="31" t="n"/>
      <c r="E5" s="31" t="n"/>
      <c r="F5" s="31" t="n"/>
      <c r="G5" s="31" t="n"/>
      <c r="H5" s="32">
        <f>IF(설정!$E$5="","-",설정!$E$5)</f>
        <v/>
      </c>
      <c r="I5" s="32">
        <f>IF(설정!$E$6="","-",설정!$E$6)</f>
        <v/>
      </c>
      <c r="J5" s="32">
        <f>IF(설정!$E$7="","-",설정!$E$7)</f>
        <v/>
      </c>
      <c r="K5" s="32">
        <f>IF(설정!$E$8="","-",설정!$E$8)</f>
        <v/>
      </c>
      <c r="L5" s="32">
        <f>IF(설정!$E$9="","-",설정!$E$9)</f>
        <v/>
      </c>
      <c r="M5" s="32">
        <f>IF(설정!$E$10="","-",설정!$E$10)</f>
        <v/>
      </c>
      <c r="N5" s="32">
        <f>IF(설정!$E$11="","-",설정!$E$11)</f>
        <v/>
      </c>
      <c r="O5" s="32">
        <f>IF(설정!$E$12="","-",설정!$E$12)</f>
        <v/>
      </c>
      <c r="P5" s="32">
        <f>IF(설정!$E$5="","-",설정!$E$5)</f>
        <v/>
      </c>
      <c r="Q5" s="32">
        <f>IF(설정!$E$6="","-",설정!$E$6)</f>
        <v/>
      </c>
      <c r="R5" s="32">
        <f>IF(설정!$E$7="","-",설정!$E$7)</f>
        <v/>
      </c>
      <c r="S5" s="32">
        <f>IF(설정!$E$8="","-",설정!$E$8)</f>
        <v/>
      </c>
      <c r="T5" s="32">
        <f>IF(설정!$E$9="","-",설정!$E$9)</f>
        <v/>
      </c>
      <c r="U5" s="32">
        <f>IF(설정!$E$10="","-",설정!$E$10)</f>
        <v/>
      </c>
      <c r="V5" s="32">
        <f>IF(설정!$E$11="","-",설정!$E$11)</f>
        <v/>
      </c>
      <c r="W5" s="32">
        <f>IF(설정!$E$12="","-",설정!$E$12)</f>
        <v/>
      </c>
      <c r="X5" s="32">
        <f>IF(설정!$E$5="","-",설정!$E$5)</f>
        <v/>
      </c>
      <c r="Y5" s="32">
        <f>IF(설정!$E$6="","-",설정!$E$6)</f>
        <v/>
      </c>
      <c r="Z5" s="32">
        <f>IF(설정!$E$7="","-",설정!$E$7)</f>
        <v/>
      </c>
      <c r="AA5" s="32">
        <f>IF(설정!$E$8="","-",설정!$E$8)</f>
        <v/>
      </c>
      <c r="AB5" s="32">
        <f>IF(설정!$E$9="","-",설정!$E$9)</f>
        <v/>
      </c>
      <c r="AC5" s="32">
        <f>IF(설정!$E$10="","-",설정!$E$10)</f>
        <v/>
      </c>
      <c r="AD5" s="32">
        <f>IF(설정!$E$11="","-",설정!$E$11)</f>
        <v/>
      </c>
      <c r="AE5" s="32">
        <f>IF(설정!$E$12="","-",설정!$E$12)</f>
        <v/>
      </c>
      <c r="AF5" s="31" t="n"/>
      <c r="AG5" s="31" t="n"/>
      <c r="AH5" s="31" t="n"/>
      <c r="AI5" s="31" t="n"/>
      <c r="AJ5" s="31" t="n"/>
      <c r="AL5" s="33" t="inlineStr">
        <is>
          <t>_선박</t>
        </is>
      </c>
      <c r="AM5" s="33" t="inlineStr">
        <is>
          <t>_중복수</t>
        </is>
      </c>
      <c r="AN5" s="33" t="inlineStr">
        <is>
          <t>_누적끝</t>
        </is>
      </c>
      <c r="AO5" s="33" t="inlineStr">
        <is>
          <t>_누적시작</t>
        </is>
      </c>
    </row>
    <row r="6">
      <c r="A6" s="34">
        <f>IF(AP6="","",1)</f>
        <v/>
      </c>
      <c r="B6" s="35">
        <f>IF(AP6="","",INDEX($AL$6:$AL$9,AP6))</f>
        <v/>
      </c>
      <c r="C6" s="34">
        <f>IF(AP6="","",INDEX(INDIRECT("'"&amp;$B6&amp;"'!$B$6:$B$205"),MATCH($AR6,INDIRECT("'"&amp;$B6&amp;"'!$AE$6:$AE$205"),0)))</f>
        <v/>
      </c>
      <c r="D6" s="34">
        <f>IF(AP6="","",INDEX(INDIRECT("'"&amp;$B6&amp;"'!$D$6:$D$205"),MATCH($AR6,INDIRECT("'"&amp;$B6&amp;"'!$AE$6:$AE$205"),0)))</f>
        <v/>
      </c>
      <c r="E6" s="36">
        <f>IF(AP6="","",INDEX(INDIRECT("'"&amp;$B6&amp;"'!$F$6:$F$205"),MATCH($AR6,INDIRECT("'"&amp;$B6&amp;"'!$AE$6:$AE$205"),0)))</f>
        <v/>
      </c>
      <c r="F6" s="34">
        <f>IF(AP6="","",INDEX(INDIRECT("'"&amp;$B6&amp;"'!$K$6:$K$205"),MATCH($AR6,INDIRECT("'"&amp;$B6&amp;"'!$AE$6:$AE$205"),0)))</f>
        <v/>
      </c>
      <c r="G6" s="34">
        <f>IF(AP6="","",INDEX(INDIRECT("'"&amp;$B6&amp;"'!$L$6:$L$205"),MATCH($AR6,INDIRECT("'"&amp;$B6&amp;"'!$AE$6:$AE$205"),0)))</f>
        <v/>
      </c>
      <c r="H6" s="34">
        <f>IF(OR(AP6="",H$5="-"),"",IFERROR(IF(INDEX(INDIRECT("'"&amp;$B6&amp;"'!$N$6:$N$205"),MATCH($AR6&amp;"|"&amp;H$5,INDIRECT("'"&amp;$B6&amp;"'!$AF$6:$AF$205"),0))="","",INDEX(INDIRECT("'"&amp;$B6&amp;"'!$N$6:$N$205"),MATCH($AR6&amp;"|"&amp;H$5,INDIRECT("'"&amp;$B6&amp;"'!$AF$6:$AF$205"),0))),"-"))</f>
        <v/>
      </c>
      <c r="I6" s="34">
        <f>IF(OR(AP6="",I$5="-"),"",IFERROR(IF(INDEX(INDIRECT("'"&amp;$B6&amp;"'!$N$6:$N$205"),MATCH($AR6&amp;"|"&amp;I$5,INDIRECT("'"&amp;$B6&amp;"'!$AF$6:$AF$205"),0))="","",INDEX(INDIRECT("'"&amp;$B6&amp;"'!$N$6:$N$205"),MATCH($AR6&amp;"|"&amp;I$5,INDIRECT("'"&amp;$B6&amp;"'!$AF$6:$AF$205"),0))),"-"))</f>
        <v/>
      </c>
      <c r="J6" s="34">
        <f>IF(OR(AP6="",J$5="-"),"",IFERROR(IF(INDEX(INDIRECT("'"&amp;$B6&amp;"'!$N$6:$N$205"),MATCH($AR6&amp;"|"&amp;J$5,INDIRECT("'"&amp;$B6&amp;"'!$AF$6:$AF$205"),0))="","",INDEX(INDIRECT("'"&amp;$B6&amp;"'!$N$6:$N$205"),MATCH($AR6&amp;"|"&amp;J$5,INDIRECT("'"&amp;$B6&amp;"'!$AF$6:$AF$205"),0))),"-"))</f>
        <v/>
      </c>
      <c r="K6" s="34">
        <f>IF(OR(AP6="",K$5="-"),"",IFERROR(IF(INDEX(INDIRECT("'"&amp;$B6&amp;"'!$N$6:$N$205"),MATCH($AR6&amp;"|"&amp;K$5,INDIRECT("'"&amp;$B6&amp;"'!$AF$6:$AF$205"),0))="","",INDEX(INDIRECT("'"&amp;$B6&amp;"'!$N$6:$N$205"),MATCH($AR6&amp;"|"&amp;K$5,INDIRECT("'"&amp;$B6&amp;"'!$AF$6:$AF$205"),0))),"-"))</f>
        <v/>
      </c>
      <c r="L6" s="34">
        <f>IF(OR(AP6="",L$5="-"),"",IFERROR(IF(INDEX(INDIRECT("'"&amp;$B6&amp;"'!$N$6:$N$205"),MATCH($AR6&amp;"|"&amp;L$5,INDIRECT("'"&amp;$B6&amp;"'!$AF$6:$AF$205"),0))="","",INDEX(INDIRECT("'"&amp;$B6&amp;"'!$N$6:$N$205"),MATCH($AR6&amp;"|"&amp;L$5,INDIRECT("'"&amp;$B6&amp;"'!$AF$6:$AF$205"),0))),"-"))</f>
        <v/>
      </c>
      <c r="M6" s="34">
        <f>IF(OR(AP6="",M$5="-"),"",IFERROR(IF(INDEX(INDIRECT("'"&amp;$B6&amp;"'!$N$6:$N$205"),MATCH($AR6&amp;"|"&amp;M$5,INDIRECT("'"&amp;$B6&amp;"'!$AF$6:$AF$205"),0))="","",INDEX(INDIRECT("'"&amp;$B6&amp;"'!$N$6:$N$205"),MATCH($AR6&amp;"|"&amp;M$5,INDIRECT("'"&amp;$B6&amp;"'!$AF$6:$AF$205"),0))),"-"))</f>
        <v/>
      </c>
      <c r="N6" s="34">
        <f>IF(OR(AP6="",N$5="-"),"",IFERROR(IF(INDEX(INDIRECT("'"&amp;$B6&amp;"'!$N$6:$N$205"),MATCH($AR6&amp;"|"&amp;N$5,INDIRECT("'"&amp;$B6&amp;"'!$AF$6:$AF$205"),0))="","",INDEX(INDIRECT("'"&amp;$B6&amp;"'!$N$6:$N$205"),MATCH($AR6&amp;"|"&amp;N$5,INDIRECT("'"&amp;$B6&amp;"'!$AF$6:$AF$205"),0))),"-"))</f>
        <v/>
      </c>
      <c r="O6" s="34">
        <f>IF(OR(AP6="",O$5="-"),"",IFERROR(IF(INDEX(INDIRECT("'"&amp;$B6&amp;"'!$N$6:$N$205"),MATCH($AR6&amp;"|"&amp;O$5,INDIRECT("'"&amp;$B6&amp;"'!$AF$6:$AF$205"),0))="","",INDEX(INDIRECT("'"&amp;$B6&amp;"'!$N$6:$N$205"),MATCH($AR6&amp;"|"&amp;O$5,INDIRECT("'"&amp;$B6&amp;"'!$AF$6:$AF$205"),0))),"-"))</f>
        <v/>
      </c>
      <c r="P6" s="37">
        <f>IF(OR(AP6="",P$5="-"),"",IFERROR(IF(INDEX(INDIRECT("'"&amp;$B6&amp;"'!$R$6:$R$205"),MATCH($AR6&amp;"|"&amp;P$5,INDIRECT("'"&amp;$B6&amp;"'!$AF$6:$AF$205"),0))="","",INDEX(INDIRECT("'"&amp;$B6&amp;"'!$R$6:$R$205"),MATCH($AR6&amp;"|"&amp;P$5,INDIRECT("'"&amp;$B6&amp;"'!$AF$6:$AF$205"),0))),"-"))</f>
        <v/>
      </c>
      <c r="Q6" s="37">
        <f>IF(OR(AP6="",Q$5="-"),"",IFERROR(IF(INDEX(INDIRECT("'"&amp;$B6&amp;"'!$R$6:$R$205"),MATCH($AR6&amp;"|"&amp;Q$5,INDIRECT("'"&amp;$B6&amp;"'!$AF$6:$AF$205"),0))="","",INDEX(INDIRECT("'"&amp;$B6&amp;"'!$R$6:$R$205"),MATCH($AR6&amp;"|"&amp;Q$5,INDIRECT("'"&amp;$B6&amp;"'!$AF$6:$AF$205"),0))),"-"))</f>
        <v/>
      </c>
      <c r="R6" s="37">
        <f>IF(OR(AP6="",R$5="-"),"",IFERROR(IF(INDEX(INDIRECT("'"&amp;$B6&amp;"'!$R$6:$R$205"),MATCH($AR6&amp;"|"&amp;R$5,INDIRECT("'"&amp;$B6&amp;"'!$AF$6:$AF$205"),0))="","",INDEX(INDIRECT("'"&amp;$B6&amp;"'!$R$6:$R$205"),MATCH($AR6&amp;"|"&amp;R$5,INDIRECT("'"&amp;$B6&amp;"'!$AF$6:$AF$205"),0))),"-"))</f>
        <v/>
      </c>
      <c r="S6" s="37">
        <f>IF(OR(AP6="",S$5="-"),"",IFERROR(IF(INDEX(INDIRECT("'"&amp;$B6&amp;"'!$R$6:$R$205"),MATCH($AR6&amp;"|"&amp;S$5,INDIRECT("'"&amp;$B6&amp;"'!$AF$6:$AF$205"),0))="","",INDEX(INDIRECT("'"&amp;$B6&amp;"'!$R$6:$R$205"),MATCH($AR6&amp;"|"&amp;S$5,INDIRECT("'"&amp;$B6&amp;"'!$AF$6:$AF$205"),0))),"-"))</f>
        <v/>
      </c>
      <c r="T6" s="37">
        <f>IF(OR(AP6="",T$5="-"),"",IFERROR(IF(INDEX(INDIRECT("'"&amp;$B6&amp;"'!$R$6:$R$205"),MATCH($AR6&amp;"|"&amp;T$5,INDIRECT("'"&amp;$B6&amp;"'!$AF$6:$AF$205"),0))="","",INDEX(INDIRECT("'"&amp;$B6&amp;"'!$R$6:$R$205"),MATCH($AR6&amp;"|"&amp;T$5,INDIRECT("'"&amp;$B6&amp;"'!$AF$6:$AF$205"),0))),"-"))</f>
        <v/>
      </c>
      <c r="U6" s="37">
        <f>IF(OR(AP6="",U$5="-"),"",IFERROR(IF(INDEX(INDIRECT("'"&amp;$B6&amp;"'!$R$6:$R$205"),MATCH($AR6&amp;"|"&amp;U$5,INDIRECT("'"&amp;$B6&amp;"'!$AF$6:$AF$205"),0))="","",INDEX(INDIRECT("'"&amp;$B6&amp;"'!$R$6:$R$205"),MATCH($AR6&amp;"|"&amp;U$5,INDIRECT("'"&amp;$B6&amp;"'!$AF$6:$AF$205"),0))),"-"))</f>
        <v/>
      </c>
      <c r="V6" s="37">
        <f>IF(OR(AP6="",V$5="-"),"",IFERROR(IF(INDEX(INDIRECT("'"&amp;$B6&amp;"'!$R$6:$R$205"),MATCH($AR6&amp;"|"&amp;V$5,INDIRECT("'"&amp;$B6&amp;"'!$AF$6:$AF$205"),0))="","",INDEX(INDIRECT("'"&amp;$B6&amp;"'!$R$6:$R$205"),MATCH($AR6&amp;"|"&amp;V$5,INDIRECT("'"&amp;$B6&amp;"'!$AF$6:$AF$205"),0))),"-"))</f>
        <v/>
      </c>
      <c r="W6" s="37">
        <f>IF(OR(AP6="",W$5="-"),"",IFERROR(IF(INDEX(INDIRECT("'"&amp;$B6&amp;"'!$R$6:$R$205"),MATCH($AR6&amp;"|"&amp;W$5,INDIRECT("'"&amp;$B6&amp;"'!$AF$6:$AF$205"),0))="","",INDEX(INDIRECT("'"&amp;$B6&amp;"'!$R$6:$R$205"),MATCH($AR6&amp;"|"&amp;W$5,INDIRECT("'"&amp;$B6&amp;"'!$AF$6:$AF$205"),0))),"-"))</f>
        <v/>
      </c>
      <c r="X6" s="38">
        <f>IF(OR(AP6="",X$5="-"),"",IFERROR(IF(INDEX(INDIRECT("'"&amp;$B6&amp;"'!$T$6:$T$205"),MATCH($AR6&amp;"|"&amp;X$5,INDIRECT("'"&amp;$B6&amp;"'!$AF$6:$AF$205"),0))="","",INDEX(INDIRECT("'"&amp;$B6&amp;"'!$T$6:$T$205"),MATCH($AR6&amp;"|"&amp;X$5,INDIRECT("'"&amp;$B6&amp;"'!$AF$6:$AF$205"),0))),"-"))</f>
        <v/>
      </c>
      <c r="Y6" s="38">
        <f>IF(OR(AP6="",Y$5="-"),"",IFERROR(IF(INDEX(INDIRECT("'"&amp;$B6&amp;"'!$T$6:$T$205"),MATCH($AR6&amp;"|"&amp;Y$5,INDIRECT("'"&amp;$B6&amp;"'!$AF$6:$AF$205"),0))="","",INDEX(INDIRECT("'"&amp;$B6&amp;"'!$T$6:$T$205"),MATCH($AR6&amp;"|"&amp;Y$5,INDIRECT("'"&amp;$B6&amp;"'!$AF$6:$AF$205"),0))),"-"))</f>
        <v/>
      </c>
      <c r="Z6" s="38">
        <f>IF(OR(AP6="",Z$5="-"),"",IFERROR(IF(INDEX(INDIRECT("'"&amp;$B6&amp;"'!$T$6:$T$205"),MATCH($AR6&amp;"|"&amp;Z$5,INDIRECT("'"&amp;$B6&amp;"'!$AF$6:$AF$205"),0))="","",INDEX(INDIRECT("'"&amp;$B6&amp;"'!$T$6:$T$205"),MATCH($AR6&amp;"|"&amp;Z$5,INDIRECT("'"&amp;$B6&amp;"'!$AF$6:$AF$205"),0))),"-"))</f>
        <v/>
      </c>
      <c r="AA6" s="38">
        <f>IF(OR(AP6="",AA$5="-"),"",IFERROR(IF(INDEX(INDIRECT("'"&amp;$B6&amp;"'!$T$6:$T$205"),MATCH($AR6&amp;"|"&amp;AA$5,INDIRECT("'"&amp;$B6&amp;"'!$AF$6:$AF$205"),0))="","",INDEX(INDIRECT("'"&amp;$B6&amp;"'!$T$6:$T$205"),MATCH($AR6&amp;"|"&amp;AA$5,INDIRECT("'"&amp;$B6&amp;"'!$AF$6:$AF$205"),0))),"-"))</f>
        <v/>
      </c>
      <c r="AB6" s="38">
        <f>IF(OR(AP6="",AB$5="-"),"",IFERROR(IF(INDEX(INDIRECT("'"&amp;$B6&amp;"'!$T$6:$T$205"),MATCH($AR6&amp;"|"&amp;AB$5,INDIRECT("'"&amp;$B6&amp;"'!$AF$6:$AF$205"),0))="","",INDEX(INDIRECT("'"&amp;$B6&amp;"'!$T$6:$T$205"),MATCH($AR6&amp;"|"&amp;AB$5,INDIRECT("'"&amp;$B6&amp;"'!$AF$6:$AF$205"),0))),"-"))</f>
        <v/>
      </c>
      <c r="AC6" s="38">
        <f>IF(OR(AP6="",AC$5="-"),"",IFERROR(IF(INDEX(INDIRECT("'"&amp;$B6&amp;"'!$T$6:$T$205"),MATCH($AR6&amp;"|"&amp;AC$5,INDIRECT("'"&amp;$B6&amp;"'!$AF$6:$AF$205"),0))="","",INDEX(INDIRECT("'"&amp;$B6&amp;"'!$T$6:$T$205"),MATCH($AR6&amp;"|"&amp;AC$5,INDIRECT("'"&amp;$B6&amp;"'!$AF$6:$AF$205"),0))),"-"))</f>
        <v/>
      </c>
      <c r="AD6" s="38">
        <f>IF(OR(AP6="",AD$5="-"),"",IFERROR(IF(INDEX(INDIRECT("'"&amp;$B6&amp;"'!$T$6:$T$205"),MATCH($AR6&amp;"|"&amp;AD$5,INDIRECT("'"&amp;$B6&amp;"'!$AF$6:$AF$205"),0))="","",INDEX(INDIRECT("'"&amp;$B6&amp;"'!$T$6:$T$205"),MATCH($AR6&amp;"|"&amp;AD$5,INDIRECT("'"&amp;$B6&amp;"'!$AF$6:$AF$205"),0))),"-"))</f>
        <v/>
      </c>
      <c r="AE6" s="38">
        <f>IF(OR(AP6="",AE$5="-"),"",IFERROR(IF(INDEX(INDIRECT("'"&amp;$B6&amp;"'!$T$6:$T$205"),MATCH($AR6&amp;"|"&amp;AE$5,INDIRECT("'"&amp;$B6&amp;"'!$AF$6:$AF$205"),0))="","",INDEX(INDIRECT("'"&amp;$B6&amp;"'!$T$6:$T$205"),MATCH($AR6&amp;"|"&amp;AE$5,INDIRECT("'"&amp;$B6&amp;"'!$AF$6:$AF$205"),0))),"-"))</f>
        <v/>
      </c>
      <c r="AF6" s="35">
        <f>IF(AG6="","",INDEX($P$5:$W$5,MATCH(AG6,P6:W6,0)))</f>
        <v/>
      </c>
      <c r="AG6" s="37">
        <f>IF(COUNT(P6:W6)=0,"",MIN(P6:W6))</f>
        <v/>
      </c>
      <c r="AH6" s="39">
        <f>IF(AG6="","",AG6*F6)</f>
        <v/>
      </c>
      <c r="AI6" s="39">
        <f>IF(COUNT(P6:W6)&lt;2,"",(MAX(P6:W6)-MIN(P6:W6))*F6)</f>
        <v/>
      </c>
      <c r="AJ6" s="20" t="n"/>
      <c r="AL6" t="inlineStr">
        <is>
          <t>AEOLUS</t>
        </is>
      </c>
      <c r="AM6">
        <f>COUNT('AEOLUS'!$AI$6:$AI$205)</f>
        <v/>
      </c>
      <c r="AN6">
        <f>SUM($AM$6:AM6)</f>
        <v/>
      </c>
      <c r="AO6">
        <f>AN6-AM6</f>
        <v/>
      </c>
      <c r="AP6">
        <f>IF(1&gt;MAX($AN$6:$AN$9),"",COUNTIF($AN$6:$AN$9,"&lt;"&amp;1)+1)</f>
        <v/>
      </c>
      <c r="AQ6">
        <f>IF(AP6="","",1-INDEX($AO$6:$AO$9,AP6))</f>
        <v/>
      </c>
      <c r="AR6">
        <f>IF(AP6="","",INDEX(INDIRECT("'"&amp;$B6&amp;"'!$AE$6:$AE$205"),MATCH(AQ6,INDIRECT("'"&amp;$B6&amp;"'!$AI$6:$AI$205"),0)))</f>
        <v/>
      </c>
    </row>
    <row r="7">
      <c r="A7" s="34">
        <f>IF(AP7="","",2)</f>
        <v/>
      </c>
      <c r="B7" s="35">
        <f>IF(AP7="","",INDEX($AL$6:$AL$9,AP7))</f>
        <v/>
      </c>
      <c r="C7" s="34">
        <f>IF(AP7="","",INDEX(INDIRECT("'"&amp;$B7&amp;"'!$B$6:$B$205"),MATCH($AR7,INDIRECT("'"&amp;$B7&amp;"'!$AE$6:$AE$205"),0)))</f>
        <v/>
      </c>
      <c r="D7" s="34">
        <f>IF(AP7="","",INDEX(INDIRECT("'"&amp;$B7&amp;"'!$D$6:$D$205"),MATCH($AR7,INDIRECT("'"&amp;$B7&amp;"'!$AE$6:$AE$205"),0)))</f>
        <v/>
      </c>
      <c r="E7" s="36">
        <f>IF(AP7="","",INDEX(INDIRECT("'"&amp;$B7&amp;"'!$F$6:$F$205"),MATCH($AR7,INDIRECT("'"&amp;$B7&amp;"'!$AE$6:$AE$205"),0)))</f>
        <v/>
      </c>
      <c r="F7" s="34">
        <f>IF(AP7="","",INDEX(INDIRECT("'"&amp;$B7&amp;"'!$K$6:$K$205"),MATCH($AR7,INDIRECT("'"&amp;$B7&amp;"'!$AE$6:$AE$205"),0)))</f>
        <v/>
      </c>
      <c r="G7" s="34">
        <f>IF(AP7="","",INDEX(INDIRECT("'"&amp;$B7&amp;"'!$L$6:$L$205"),MATCH($AR7,INDIRECT("'"&amp;$B7&amp;"'!$AE$6:$AE$205"),0)))</f>
        <v/>
      </c>
      <c r="H7" s="34">
        <f>IF(OR(AP7="",H$5="-"),"",IFERROR(IF(INDEX(INDIRECT("'"&amp;$B7&amp;"'!$N$6:$N$205"),MATCH($AR7&amp;"|"&amp;H$5,INDIRECT("'"&amp;$B7&amp;"'!$AF$6:$AF$205"),0))="","",INDEX(INDIRECT("'"&amp;$B7&amp;"'!$N$6:$N$205"),MATCH($AR7&amp;"|"&amp;H$5,INDIRECT("'"&amp;$B7&amp;"'!$AF$6:$AF$205"),0))),"-"))</f>
        <v/>
      </c>
      <c r="I7" s="34">
        <f>IF(OR(AP7="",I$5="-"),"",IFERROR(IF(INDEX(INDIRECT("'"&amp;$B7&amp;"'!$N$6:$N$205"),MATCH($AR7&amp;"|"&amp;I$5,INDIRECT("'"&amp;$B7&amp;"'!$AF$6:$AF$205"),0))="","",INDEX(INDIRECT("'"&amp;$B7&amp;"'!$N$6:$N$205"),MATCH($AR7&amp;"|"&amp;I$5,INDIRECT("'"&amp;$B7&amp;"'!$AF$6:$AF$205"),0))),"-"))</f>
        <v/>
      </c>
      <c r="J7" s="34">
        <f>IF(OR(AP7="",J$5="-"),"",IFERROR(IF(INDEX(INDIRECT("'"&amp;$B7&amp;"'!$N$6:$N$205"),MATCH($AR7&amp;"|"&amp;J$5,INDIRECT("'"&amp;$B7&amp;"'!$AF$6:$AF$205"),0))="","",INDEX(INDIRECT("'"&amp;$B7&amp;"'!$N$6:$N$205"),MATCH($AR7&amp;"|"&amp;J$5,INDIRECT("'"&amp;$B7&amp;"'!$AF$6:$AF$205"),0))),"-"))</f>
        <v/>
      </c>
      <c r="K7" s="34">
        <f>IF(OR(AP7="",K$5="-"),"",IFERROR(IF(INDEX(INDIRECT("'"&amp;$B7&amp;"'!$N$6:$N$205"),MATCH($AR7&amp;"|"&amp;K$5,INDIRECT("'"&amp;$B7&amp;"'!$AF$6:$AF$205"),0))="","",INDEX(INDIRECT("'"&amp;$B7&amp;"'!$N$6:$N$205"),MATCH($AR7&amp;"|"&amp;K$5,INDIRECT("'"&amp;$B7&amp;"'!$AF$6:$AF$205"),0))),"-"))</f>
        <v/>
      </c>
      <c r="L7" s="34">
        <f>IF(OR(AP7="",L$5="-"),"",IFERROR(IF(INDEX(INDIRECT("'"&amp;$B7&amp;"'!$N$6:$N$205"),MATCH($AR7&amp;"|"&amp;L$5,INDIRECT("'"&amp;$B7&amp;"'!$AF$6:$AF$205"),0))="","",INDEX(INDIRECT("'"&amp;$B7&amp;"'!$N$6:$N$205"),MATCH($AR7&amp;"|"&amp;L$5,INDIRECT("'"&amp;$B7&amp;"'!$AF$6:$AF$205"),0))),"-"))</f>
        <v/>
      </c>
      <c r="M7" s="34">
        <f>IF(OR(AP7="",M$5="-"),"",IFERROR(IF(INDEX(INDIRECT("'"&amp;$B7&amp;"'!$N$6:$N$205"),MATCH($AR7&amp;"|"&amp;M$5,INDIRECT("'"&amp;$B7&amp;"'!$AF$6:$AF$205"),0))="","",INDEX(INDIRECT("'"&amp;$B7&amp;"'!$N$6:$N$205"),MATCH($AR7&amp;"|"&amp;M$5,INDIRECT("'"&amp;$B7&amp;"'!$AF$6:$AF$205"),0))),"-"))</f>
        <v/>
      </c>
      <c r="N7" s="34">
        <f>IF(OR(AP7="",N$5="-"),"",IFERROR(IF(INDEX(INDIRECT("'"&amp;$B7&amp;"'!$N$6:$N$205"),MATCH($AR7&amp;"|"&amp;N$5,INDIRECT("'"&amp;$B7&amp;"'!$AF$6:$AF$205"),0))="","",INDEX(INDIRECT("'"&amp;$B7&amp;"'!$N$6:$N$205"),MATCH($AR7&amp;"|"&amp;N$5,INDIRECT("'"&amp;$B7&amp;"'!$AF$6:$AF$205"),0))),"-"))</f>
        <v/>
      </c>
      <c r="O7" s="34">
        <f>IF(OR(AP7="",O$5="-"),"",IFERROR(IF(INDEX(INDIRECT("'"&amp;$B7&amp;"'!$N$6:$N$205"),MATCH($AR7&amp;"|"&amp;O$5,INDIRECT("'"&amp;$B7&amp;"'!$AF$6:$AF$205"),0))="","",INDEX(INDIRECT("'"&amp;$B7&amp;"'!$N$6:$N$205"),MATCH($AR7&amp;"|"&amp;O$5,INDIRECT("'"&amp;$B7&amp;"'!$AF$6:$AF$205"),0))),"-"))</f>
        <v/>
      </c>
      <c r="P7" s="37">
        <f>IF(OR(AP7="",P$5="-"),"",IFERROR(IF(INDEX(INDIRECT("'"&amp;$B7&amp;"'!$R$6:$R$205"),MATCH($AR7&amp;"|"&amp;P$5,INDIRECT("'"&amp;$B7&amp;"'!$AF$6:$AF$205"),0))="","",INDEX(INDIRECT("'"&amp;$B7&amp;"'!$R$6:$R$205"),MATCH($AR7&amp;"|"&amp;P$5,INDIRECT("'"&amp;$B7&amp;"'!$AF$6:$AF$205"),0))),"-"))</f>
        <v/>
      </c>
      <c r="Q7" s="37">
        <f>IF(OR(AP7="",Q$5="-"),"",IFERROR(IF(INDEX(INDIRECT("'"&amp;$B7&amp;"'!$R$6:$R$205"),MATCH($AR7&amp;"|"&amp;Q$5,INDIRECT("'"&amp;$B7&amp;"'!$AF$6:$AF$205"),0))="","",INDEX(INDIRECT("'"&amp;$B7&amp;"'!$R$6:$R$205"),MATCH($AR7&amp;"|"&amp;Q$5,INDIRECT("'"&amp;$B7&amp;"'!$AF$6:$AF$205"),0))),"-"))</f>
        <v/>
      </c>
      <c r="R7" s="37">
        <f>IF(OR(AP7="",R$5="-"),"",IFERROR(IF(INDEX(INDIRECT("'"&amp;$B7&amp;"'!$R$6:$R$205"),MATCH($AR7&amp;"|"&amp;R$5,INDIRECT("'"&amp;$B7&amp;"'!$AF$6:$AF$205"),0))="","",INDEX(INDIRECT("'"&amp;$B7&amp;"'!$R$6:$R$205"),MATCH($AR7&amp;"|"&amp;R$5,INDIRECT("'"&amp;$B7&amp;"'!$AF$6:$AF$205"),0))),"-"))</f>
        <v/>
      </c>
      <c r="S7" s="37">
        <f>IF(OR(AP7="",S$5="-"),"",IFERROR(IF(INDEX(INDIRECT("'"&amp;$B7&amp;"'!$R$6:$R$205"),MATCH($AR7&amp;"|"&amp;S$5,INDIRECT("'"&amp;$B7&amp;"'!$AF$6:$AF$205"),0))="","",INDEX(INDIRECT("'"&amp;$B7&amp;"'!$R$6:$R$205"),MATCH($AR7&amp;"|"&amp;S$5,INDIRECT("'"&amp;$B7&amp;"'!$AF$6:$AF$205"),0))),"-"))</f>
        <v/>
      </c>
      <c r="T7" s="37">
        <f>IF(OR(AP7="",T$5="-"),"",IFERROR(IF(INDEX(INDIRECT("'"&amp;$B7&amp;"'!$R$6:$R$205"),MATCH($AR7&amp;"|"&amp;T$5,INDIRECT("'"&amp;$B7&amp;"'!$AF$6:$AF$205"),0))="","",INDEX(INDIRECT("'"&amp;$B7&amp;"'!$R$6:$R$205"),MATCH($AR7&amp;"|"&amp;T$5,INDIRECT("'"&amp;$B7&amp;"'!$AF$6:$AF$205"),0))),"-"))</f>
        <v/>
      </c>
      <c r="U7" s="37">
        <f>IF(OR(AP7="",U$5="-"),"",IFERROR(IF(INDEX(INDIRECT("'"&amp;$B7&amp;"'!$R$6:$R$205"),MATCH($AR7&amp;"|"&amp;U$5,INDIRECT("'"&amp;$B7&amp;"'!$AF$6:$AF$205"),0))="","",INDEX(INDIRECT("'"&amp;$B7&amp;"'!$R$6:$R$205"),MATCH($AR7&amp;"|"&amp;U$5,INDIRECT("'"&amp;$B7&amp;"'!$AF$6:$AF$205"),0))),"-"))</f>
        <v/>
      </c>
      <c r="V7" s="37">
        <f>IF(OR(AP7="",V$5="-"),"",IFERROR(IF(INDEX(INDIRECT("'"&amp;$B7&amp;"'!$R$6:$R$205"),MATCH($AR7&amp;"|"&amp;V$5,INDIRECT("'"&amp;$B7&amp;"'!$AF$6:$AF$205"),0))="","",INDEX(INDIRECT("'"&amp;$B7&amp;"'!$R$6:$R$205"),MATCH($AR7&amp;"|"&amp;V$5,INDIRECT("'"&amp;$B7&amp;"'!$AF$6:$AF$205"),0))),"-"))</f>
        <v/>
      </c>
      <c r="W7" s="37">
        <f>IF(OR(AP7="",W$5="-"),"",IFERROR(IF(INDEX(INDIRECT("'"&amp;$B7&amp;"'!$R$6:$R$205"),MATCH($AR7&amp;"|"&amp;W$5,INDIRECT("'"&amp;$B7&amp;"'!$AF$6:$AF$205"),0))="","",INDEX(INDIRECT("'"&amp;$B7&amp;"'!$R$6:$R$205"),MATCH($AR7&amp;"|"&amp;W$5,INDIRECT("'"&amp;$B7&amp;"'!$AF$6:$AF$205"),0))),"-"))</f>
        <v/>
      </c>
      <c r="X7" s="38">
        <f>IF(OR(AP7="",X$5="-"),"",IFERROR(IF(INDEX(INDIRECT("'"&amp;$B7&amp;"'!$T$6:$T$205"),MATCH($AR7&amp;"|"&amp;X$5,INDIRECT("'"&amp;$B7&amp;"'!$AF$6:$AF$205"),0))="","",INDEX(INDIRECT("'"&amp;$B7&amp;"'!$T$6:$T$205"),MATCH($AR7&amp;"|"&amp;X$5,INDIRECT("'"&amp;$B7&amp;"'!$AF$6:$AF$205"),0))),"-"))</f>
        <v/>
      </c>
      <c r="Y7" s="38">
        <f>IF(OR(AP7="",Y$5="-"),"",IFERROR(IF(INDEX(INDIRECT("'"&amp;$B7&amp;"'!$T$6:$T$205"),MATCH($AR7&amp;"|"&amp;Y$5,INDIRECT("'"&amp;$B7&amp;"'!$AF$6:$AF$205"),0))="","",INDEX(INDIRECT("'"&amp;$B7&amp;"'!$T$6:$T$205"),MATCH($AR7&amp;"|"&amp;Y$5,INDIRECT("'"&amp;$B7&amp;"'!$AF$6:$AF$205"),0))),"-"))</f>
        <v/>
      </c>
      <c r="Z7" s="38">
        <f>IF(OR(AP7="",Z$5="-"),"",IFERROR(IF(INDEX(INDIRECT("'"&amp;$B7&amp;"'!$T$6:$T$205"),MATCH($AR7&amp;"|"&amp;Z$5,INDIRECT("'"&amp;$B7&amp;"'!$AF$6:$AF$205"),0))="","",INDEX(INDIRECT("'"&amp;$B7&amp;"'!$T$6:$T$205"),MATCH($AR7&amp;"|"&amp;Z$5,INDIRECT("'"&amp;$B7&amp;"'!$AF$6:$AF$205"),0))),"-"))</f>
        <v/>
      </c>
      <c r="AA7" s="38">
        <f>IF(OR(AP7="",AA$5="-"),"",IFERROR(IF(INDEX(INDIRECT("'"&amp;$B7&amp;"'!$T$6:$T$205"),MATCH($AR7&amp;"|"&amp;AA$5,INDIRECT("'"&amp;$B7&amp;"'!$AF$6:$AF$205"),0))="","",INDEX(INDIRECT("'"&amp;$B7&amp;"'!$T$6:$T$205"),MATCH($AR7&amp;"|"&amp;AA$5,INDIRECT("'"&amp;$B7&amp;"'!$AF$6:$AF$205"),0))),"-"))</f>
        <v/>
      </c>
      <c r="AB7" s="38">
        <f>IF(OR(AP7="",AB$5="-"),"",IFERROR(IF(INDEX(INDIRECT("'"&amp;$B7&amp;"'!$T$6:$T$205"),MATCH($AR7&amp;"|"&amp;AB$5,INDIRECT("'"&amp;$B7&amp;"'!$AF$6:$AF$205"),0))="","",INDEX(INDIRECT("'"&amp;$B7&amp;"'!$T$6:$T$205"),MATCH($AR7&amp;"|"&amp;AB$5,INDIRECT("'"&amp;$B7&amp;"'!$AF$6:$AF$205"),0))),"-"))</f>
        <v/>
      </c>
      <c r="AC7" s="38">
        <f>IF(OR(AP7="",AC$5="-"),"",IFERROR(IF(INDEX(INDIRECT("'"&amp;$B7&amp;"'!$T$6:$T$205"),MATCH($AR7&amp;"|"&amp;AC$5,INDIRECT("'"&amp;$B7&amp;"'!$AF$6:$AF$205"),0))="","",INDEX(INDIRECT("'"&amp;$B7&amp;"'!$T$6:$T$205"),MATCH($AR7&amp;"|"&amp;AC$5,INDIRECT("'"&amp;$B7&amp;"'!$AF$6:$AF$205"),0))),"-"))</f>
        <v/>
      </c>
      <c r="AD7" s="38">
        <f>IF(OR(AP7="",AD$5="-"),"",IFERROR(IF(INDEX(INDIRECT("'"&amp;$B7&amp;"'!$T$6:$T$205"),MATCH($AR7&amp;"|"&amp;AD$5,INDIRECT("'"&amp;$B7&amp;"'!$AF$6:$AF$205"),0))="","",INDEX(INDIRECT("'"&amp;$B7&amp;"'!$T$6:$T$205"),MATCH($AR7&amp;"|"&amp;AD$5,INDIRECT("'"&amp;$B7&amp;"'!$AF$6:$AF$205"),0))),"-"))</f>
        <v/>
      </c>
      <c r="AE7" s="38">
        <f>IF(OR(AP7="",AE$5="-"),"",IFERROR(IF(INDEX(INDIRECT("'"&amp;$B7&amp;"'!$T$6:$T$205"),MATCH($AR7&amp;"|"&amp;AE$5,INDIRECT("'"&amp;$B7&amp;"'!$AF$6:$AF$205"),0))="","",INDEX(INDIRECT("'"&amp;$B7&amp;"'!$T$6:$T$205"),MATCH($AR7&amp;"|"&amp;AE$5,INDIRECT("'"&amp;$B7&amp;"'!$AF$6:$AF$205"),0))),"-"))</f>
        <v/>
      </c>
      <c r="AF7" s="35">
        <f>IF(AG7="","",INDEX($P$5:$W$5,MATCH(AG7,P7:W7,0)))</f>
        <v/>
      </c>
      <c r="AG7" s="37">
        <f>IF(COUNT(P7:W7)=0,"",MIN(P7:W7))</f>
        <v/>
      </c>
      <c r="AH7" s="39">
        <f>IF(AG7="","",AG7*F7)</f>
        <v/>
      </c>
      <c r="AI7" s="39">
        <f>IF(COUNT(P7:W7)&lt;2,"",(MAX(P7:W7)-MIN(P7:W7))*F7)</f>
        <v/>
      </c>
      <c r="AJ7" s="20" t="n"/>
      <c r="AL7" t="inlineStr">
        <is>
          <t>MELICERTES</t>
        </is>
      </c>
      <c r="AM7">
        <f>COUNT('MELICERTES'!$AI$6:$AI$205)</f>
        <v/>
      </c>
      <c r="AN7">
        <f>SUM($AM$6:AM7)</f>
        <v/>
      </c>
      <c r="AO7">
        <f>AN7-AM7</f>
        <v/>
      </c>
      <c r="AP7">
        <f>IF(2&gt;MAX($AN$6:$AN$9),"",COUNTIF($AN$6:$AN$9,"&lt;"&amp;2)+1)</f>
        <v/>
      </c>
      <c r="AQ7">
        <f>IF(AP7="","",2-INDEX($AO$6:$AO$9,AP7))</f>
        <v/>
      </c>
      <c r="AR7">
        <f>IF(AP7="","",INDEX(INDIRECT("'"&amp;$B7&amp;"'!$AE$6:$AE$205"),MATCH(AQ7,INDIRECT("'"&amp;$B7&amp;"'!$AI$6:$AI$205"),0)))</f>
        <v/>
      </c>
    </row>
    <row r="8">
      <c r="A8" s="34">
        <f>IF(AP8="","",3)</f>
        <v/>
      </c>
      <c r="B8" s="35">
        <f>IF(AP8="","",INDEX($AL$6:$AL$9,AP8))</f>
        <v/>
      </c>
      <c r="C8" s="34">
        <f>IF(AP8="","",INDEX(INDIRECT("'"&amp;$B8&amp;"'!$B$6:$B$205"),MATCH($AR8,INDIRECT("'"&amp;$B8&amp;"'!$AE$6:$AE$205"),0)))</f>
        <v/>
      </c>
      <c r="D8" s="34">
        <f>IF(AP8="","",INDEX(INDIRECT("'"&amp;$B8&amp;"'!$D$6:$D$205"),MATCH($AR8,INDIRECT("'"&amp;$B8&amp;"'!$AE$6:$AE$205"),0)))</f>
        <v/>
      </c>
      <c r="E8" s="36">
        <f>IF(AP8="","",INDEX(INDIRECT("'"&amp;$B8&amp;"'!$F$6:$F$205"),MATCH($AR8,INDIRECT("'"&amp;$B8&amp;"'!$AE$6:$AE$205"),0)))</f>
        <v/>
      </c>
      <c r="F8" s="34">
        <f>IF(AP8="","",INDEX(INDIRECT("'"&amp;$B8&amp;"'!$K$6:$K$205"),MATCH($AR8,INDIRECT("'"&amp;$B8&amp;"'!$AE$6:$AE$205"),0)))</f>
        <v/>
      </c>
      <c r="G8" s="34">
        <f>IF(AP8="","",INDEX(INDIRECT("'"&amp;$B8&amp;"'!$L$6:$L$205"),MATCH($AR8,INDIRECT("'"&amp;$B8&amp;"'!$AE$6:$AE$205"),0)))</f>
        <v/>
      </c>
      <c r="H8" s="34">
        <f>IF(OR(AP8="",H$5="-"),"",IFERROR(IF(INDEX(INDIRECT("'"&amp;$B8&amp;"'!$N$6:$N$205"),MATCH($AR8&amp;"|"&amp;H$5,INDIRECT("'"&amp;$B8&amp;"'!$AF$6:$AF$205"),0))="","",INDEX(INDIRECT("'"&amp;$B8&amp;"'!$N$6:$N$205"),MATCH($AR8&amp;"|"&amp;H$5,INDIRECT("'"&amp;$B8&amp;"'!$AF$6:$AF$205"),0))),"-"))</f>
        <v/>
      </c>
      <c r="I8" s="34">
        <f>IF(OR(AP8="",I$5="-"),"",IFERROR(IF(INDEX(INDIRECT("'"&amp;$B8&amp;"'!$N$6:$N$205"),MATCH($AR8&amp;"|"&amp;I$5,INDIRECT("'"&amp;$B8&amp;"'!$AF$6:$AF$205"),0))="","",INDEX(INDIRECT("'"&amp;$B8&amp;"'!$N$6:$N$205"),MATCH($AR8&amp;"|"&amp;I$5,INDIRECT("'"&amp;$B8&amp;"'!$AF$6:$AF$205"),0))),"-"))</f>
        <v/>
      </c>
      <c r="J8" s="34">
        <f>IF(OR(AP8="",J$5="-"),"",IFERROR(IF(INDEX(INDIRECT("'"&amp;$B8&amp;"'!$N$6:$N$205"),MATCH($AR8&amp;"|"&amp;J$5,INDIRECT("'"&amp;$B8&amp;"'!$AF$6:$AF$205"),0))="","",INDEX(INDIRECT("'"&amp;$B8&amp;"'!$N$6:$N$205"),MATCH($AR8&amp;"|"&amp;J$5,INDIRECT("'"&amp;$B8&amp;"'!$AF$6:$AF$205"),0))),"-"))</f>
        <v/>
      </c>
      <c r="K8" s="34">
        <f>IF(OR(AP8="",K$5="-"),"",IFERROR(IF(INDEX(INDIRECT("'"&amp;$B8&amp;"'!$N$6:$N$205"),MATCH($AR8&amp;"|"&amp;K$5,INDIRECT("'"&amp;$B8&amp;"'!$AF$6:$AF$205"),0))="","",INDEX(INDIRECT("'"&amp;$B8&amp;"'!$N$6:$N$205"),MATCH($AR8&amp;"|"&amp;K$5,INDIRECT("'"&amp;$B8&amp;"'!$AF$6:$AF$205"),0))),"-"))</f>
        <v/>
      </c>
      <c r="L8" s="34">
        <f>IF(OR(AP8="",L$5="-"),"",IFERROR(IF(INDEX(INDIRECT("'"&amp;$B8&amp;"'!$N$6:$N$205"),MATCH($AR8&amp;"|"&amp;L$5,INDIRECT("'"&amp;$B8&amp;"'!$AF$6:$AF$205"),0))="","",INDEX(INDIRECT("'"&amp;$B8&amp;"'!$N$6:$N$205"),MATCH($AR8&amp;"|"&amp;L$5,INDIRECT("'"&amp;$B8&amp;"'!$AF$6:$AF$205"),0))),"-"))</f>
        <v/>
      </c>
      <c r="M8" s="34">
        <f>IF(OR(AP8="",M$5="-"),"",IFERROR(IF(INDEX(INDIRECT("'"&amp;$B8&amp;"'!$N$6:$N$205"),MATCH($AR8&amp;"|"&amp;M$5,INDIRECT("'"&amp;$B8&amp;"'!$AF$6:$AF$205"),0))="","",INDEX(INDIRECT("'"&amp;$B8&amp;"'!$N$6:$N$205"),MATCH($AR8&amp;"|"&amp;M$5,INDIRECT("'"&amp;$B8&amp;"'!$AF$6:$AF$205"),0))),"-"))</f>
        <v/>
      </c>
      <c r="N8" s="34">
        <f>IF(OR(AP8="",N$5="-"),"",IFERROR(IF(INDEX(INDIRECT("'"&amp;$B8&amp;"'!$N$6:$N$205"),MATCH($AR8&amp;"|"&amp;N$5,INDIRECT("'"&amp;$B8&amp;"'!$AF$6:$AF$205"),0))="","",INDEX(INDIRECT("'"&amp;$B8&amp;"'!$N$6:$N$205"),MATCH($AR8&amp;"|"&amp;N$5,INDIRECT("'"&amp;$B8&amp;"'!$AF$6:$AF$205"),0))),"-"))</f>
        <v/>
      </c>
      <c r="O8" s="34">
        <f>IF(OR(AP8="",O$5="-"),"",IFERROR(IF(INDEX(INDIRECT("'"&amp;$B8&amp;"'!$N$6:$N$205"),MATCH($AR8&amp;"|"&amp;O$5,INDIRECT("'"&amp;$B8&amp;"'!$AF$6:$AF$205"),0))="","",INDEX(INDIRECT("'"&amp;$B8&amp;"'!$N$6:$N$205"),MATCH($AR8&amp;"|"&amp;O$5,INDIRECT("'"&amp;$B8&amp;"'!$AF$6:$AF$205"),0))),"-"))</f>
        <v/>
      </c>
      <c r="P8" s="37">
        <f>IF(OR(AP8="",P$5="-"),"",IFERROR(IF(INDEX(INDIRECT("'"&amp;$B8&amp;"'!$R$6:$R$205"),MATCH($AR8&amp;"|"&amp;P$5,INDIRECT("'"&amp;$B8&amp;"'!$AF$6:$AF$205"),0))="","",INDEX(INDIRECT("'"&amp;$B8&amp;"'!$R$6:$R$205"),MATCH($AR8&amp;"|"&amp;P$5,INDIRECT("'"&amp;$B8&amp;"'!$AF$6:$AF$205"),0))),"-"))</f>
        <v/>
      </c>
      <c r="Q8" s="37">
        <f>IF(OR(AP8="",Q$5="-"),"",IFERROR(IF(INDEX(INDIRECT("'"&amp;$B8&amp;"'!$R$6:$R$205"),MATCH($AR8&amp;"|"&amp;Q$5,INDIRECT("'"&amp;$B8&amp;"'!$AF$6:$AF$205"),0))="","",INDEX(INDIRECT("'"&amp;$B8&amp;"'!$R$6:$R$205"),MATCH($AR8&amp;"|"&amp;Q$5,INDIRECT("'"&amp;$B8&amp;"'!$AF$6:$AF$205"),0))),"-"))</f>
        <v/>
      </c>
      <c r="R8" s="37">
        <f>IF(OR(AP8="",R$5="-"),"",IFERROR(IF(INDEX(INDIRECT("'"&amp;$B8&amp;"'!$R$6:$R$205"),MATCH($AR8&amp;"|"&amp;R$5,INDIRECT("'"&amp;$B8&amp;"'!$AF$6:$AF$205"),0))="","",INDEX(INDIRECT("'"&amp;$B8&amp;"'!$R$6:$R$205"),MATCH($AR8&amp;"|"&amp;R$5,INDIRECT("'"&amp;$B8&amp;"'!$AF$6:$AF$205"),0))),"-"))</f>
        <v/>
      </c>
      <c r="S8" s="37">
        <f>IF(OR(AP8="",S$5="-"),"",IFERROR(IF(INDEX(INDIRECT("'"&amp;$B8&amp;"'!$R$6:$R$205"),MATCH($AR8&amp;"|"&amp;S$5,INDIRECT("'"&amp;$B8&amp;"'!$AF$6:$AF$205"),0))="","",INDEX(INDIRECT("'"&amp;$B8&amp;"'!$R$6:$R$205"),MATCH($AR8&amp;"|"&amp;S$5,INDIRECT("'"&amp;$B8&amp;"'!$AF$6:$AF$205"),0))),"-"))</f>
        <v/>
      </c>
      <c r="T8" s="37">
        <f>IF(OR(AP8="",T$5="-"),"",IFERROR(IF(INDEX(INDIRECT("'"&amp;$B8&amp;"'!$R$6:$R$205"),MATCH($AR8&amp;"|"&amp;T$5,INDIRECT("'"&amp;$B8&amp;"'!$AF$6:$AF$205"),0))="","",INDEX(INDIRECT("'"&amp;$B8&amp;"'!$R$6:$R$205"),MATCH($AR8&amp;"|"&amp;T$5,INDIRECT("'"&amp;$B8&amp;"'!$AF$6:$AF$205"),0))),"-"))</f>
        <v/>
      </c>
      <c r="U8" s="37">
        <f>IF(OR(AP8="",U$5="-"),"",IFERROR(IF(INDEX(INDIRECT("'"&amp;$B8&amp;"'!$R$6:$R$205"),MATCH($AR8&amp;"|"&amp;U$5,INDIRECT("'"&amp;$B8&amp;"'!$AF$6:$AF$205"),0))="","",INDEX(INDIRECT("'"&amp;$B8&amp;"'!$R$6:$R$205"),MATCH($AR8&amp;"|"&amp;U$5,INDIRECT("'"&amp;$B8&amp;"'!$AF$6:$AF$205"),0))),"-"))</f>
        <v/>
      </c>
      <c r="V8" s="37">
        <f>IF(OR(AP8="",V$5="-"),"",IFERROR(IF(INDEX(INDIRECT("'"&amp;$B8&amp;"'!$R$6:$R$205"),MATCH($AR8&amp;"|"&amp;V$5,INDIRECT("'"&amp;$B8&amp;"'!$AF$6:$AF$205"),0))="","",INDEX(INDIRECT("'"&amp;$B8&amp;"'!$R$6:$R$205"),MATCH($AR8&amp;"|"&amp;V$5,INDIRECT("'"&amp;$B8&amp;"'!$AF$6:$AF$205"),0))),"-"))</f>
        <v/>
      </c>
      <c r="W8" s="37">
        <f>IF(OR(AP8="",W$5="-"),"",IFERROR(IF(INDEX(INDIRECT("'"&amp;$B8&amp;"'!$R$6:$R$205"),MATCH($AR8&amp;"|"&amp;W$5,INDIRECT("'"&amp;$B8&amp;"'!$AF$6:$AF$205"),0))="","",INDEX(INDIRECT("'"&amp;$B8&amp;"'!$R$6:$R$205"),MATCH($AR8&amp;"|"&amp;W$5,INDIRECT("'"&amp;$B8&amp;"'!$AF$6:$AF$205"),0))),"-"))</f>
        <v/>
      </c>
      <c r="X8" s="38">
        <f>IF(OR(AP8="",X$5="-"),"",IFERROR(IF(INDEX(INDIRECT("'"&amp;$B8&amp;"'!$T$6:$T$205"),MATCH($AR8&amp;"|"&amp;X$5,INDIRECT("'"&amp;$B8&amp;"'!$AF$6:$AF$205"),0))="","",INDEX(INDIRECT("'"&amp;$B8&amp;"'!$T$6:$T$205"),MATCH($AR8&amp;"|"&amp;X$5,INDIRECT("'"&amp;$B8&amp;"'!$AF$6:$AF$205"),0))),"-"))</f>
        <v/>
      </c>
      <c r="Y8" s="38">
        <f>IF(OR(AP8="",Y$5="-"),"",IFERROR(IF(INDEX(INDIRECT("'"&amp;$B8&amp;"'!$T$6:$T$205"),MATCH($AR8&amp;"|"&amp;Y$5,INDIRECT("'"&amp;$B8&amp;"'!$AF$6:$AF$205"),0))="","",INDEX(INDIRECT("'"&amp;$B8&amp;"'!$T$6:$T$205"),MATCH($AR8&amp;"|"&amp;Y$5,INDIRECT("'"&amp;$B8&amp;"'!$AF$6:$AF$205"),0))),"-"))</f>
        <v/>
      </c>
      <c r="Z8" s="38">
        <f>IF(OR(AP8="",Z$5="-"),"",IFERROR(IF(INDEX(INDIRECT("'"&amp;$B8&amp;"'!$T$6:$T$205"),MATCH($AR8&amp;"|"&amp;Z$5,INDIRECT("'"&amp;$B8&amp;"'!$AF$6:$AF$205"),0))="","",INDEX(INDIRECT("'"&amp;$B8&amp;"'!$T$6:$T$205"),MATCH($AR8&amp;"|"&amp;Z$5,INDIRECT("'"&amp;$B8&amp;"'!$AF$6:$AF$205"),0))),"-"))</f>
        <v/>
      </c>
      <c r="AA8" s="38">
        <f>IF(OR(AP8="",AA$5="-"),"",IFERROR(IF(INDEX(INDIRECT("'"&amp;$B8&amp;"'!$T$6:$T$205"),MATCH($AR8&amp;"|"&amp;AA$5,INDIRECT("'"&amp;$B8&amp;"'!$AF$6:$AF$205"),0))="","",INDEX(INDIRECT("'"&amp;$B8&amp;"'!$T$6:$T$205"),MATCH($AR8&amp;"|"&amp;AA$5,INDIRECT("'"&amp;$B8&amp;"'!$AF$6:$AF$205"),0))),"-"))</f>
        <v/>
      </c>
      <c r="AB8" s="38">
        <f>IF(OR(AP8="",AB$5="-"),"",IFERROR(IF(INDEX(INDIRECT("'"&amp;$B8&amp;"'!$T$6:$T$205"),MATCH($AR8&amp;"|"&amp;AB$5,INDIRECT("'"&amp;$B8&amp;"'!$AF$6:$AF$205"),0))="","",INDEX(INDIRECT("'"&amp;$B8&amp;"'!$T$6:$T$205"),MATCH($AR8&amp;"|"&amp;AB$5,INDIRECT("'"&amp;$B8&amp;"'!$AF$6:$AF$205"),0))),"-"))</f>
        <v/>
      </c>
      <c r="AC8" s="38">
        <f>IF(OR(AP8="",AC$5="-"),"",IFERROR(IF(INDEX(INDIRECT("'"&amp;$B8&amp;"'!$T$6:$T$205"),MATCH($AR8&amp;"|"&amp;AC$5,INDIRECT("'"&amp;$B8&amp;"'!$AF$6:$AF$205"),0))="","",INDEX(INDIRECT("'"&amp;$B8&amp;"'!$T$6:$T$205"),MATCH($AR8&amp;"|"&amp;AC$5,INDIRECT("'"&amp;$B8&amp;"'!$AF$6:$AF$205"),0))),"-"))</f>
        <v/>
      </c>
      <c r="AD8" s="38">
        <f>IF(OR(AP8="",AD$5="-"),"",IFERROR(IF(INDEX(INDIRECT("'"&amp;$B8&amp;"'!$T$6:$T$205"),MATCH($AR8&amp;"|"&amp;AD$5,INDIRECT("'"&amp;$B8&amp;"'!$AF$6:$AF$205"),0))="","",INDEX(INDIRECT("'"&amp;$B8&amp;"'!$T$6:$T$205"),MATCH($AR8&amp;"|"&amp;AD$5,INDIRECT("'"&amp;$B8&amp;"'!$AF$6:$AF$205"),0))),"-"))</f>
        <v/>
      </c>
      <c r="AE8" s="38">
        <f>IF(OR(AP8="",AE$5="-"),"",IFERROR(IF(INDEX(INDIRECT("'"&amp;$B8&amp;"'!$T$6:$T$205"),MATCH($AR8&amp;"|"&amp;AE$5,INDIRECT("'"&amp;$B8&amp;"'!$AF$6:$AF$205"),0))="","",INDEX(INDIRECT("'"&amp;$B8&amp;"'!$T$6:$T$205"),MATCH($AR8&amp;"|"&amp;AE$5,INDIRECT("'"&amp;$B8&amp;"'!$AF$6:$AF$205"),0))),"-"))</f>
        <v/>
      </c>
      <c r="AF8" s="35">
        <f>IF(AG8="","",INDEX($P$5:$W$5,MATCH(AG8,P8:W8,0)))</f>
        <v/>
      </c>
      <c r="AG8" s="37">
        <f>IF(COUNT(P8:W8)=0,"",MIN(P8:W8))</f>
        <v/>
      </c>
      <c r="AH8" s="39">
        <f>IF(AG8="","",AG8*F8)</f>
        <v/>
      </c>
      <c r="AI8" s="39">
        <f>IF(COUNT(P8:W8)&lt;2,"",(MAX(P8:W8)-MIN(P8:W8))*F8)</f>
        <v/>
      </c>
      <c r="AJ8" s="20" t="n"/>
      <c r="AL8" t="inlineStr">
        <is>
          <t>NELEUS</t>
        </is>
      </c>
      <c r="AM8">
        <f>COUNT('NELEUS'!$AI$6:$AI$205)</f>
        <v/>
      </c>
      <c r="AN8">
        <f>SUM($AM$6:AM8)</f>
        <v/>
      </c>
      <c r="AO8">
        <f>AN8-AM8</f>
        <v/>
      </c>
      <c r="AP8">
        <f>IF(3&gt;MAX($AN$6:$AN$9),"",COUNTIF($AN$6:$AN$9,"&lt;"&amp;3)+1)</f>
        <v/>
      </c>
      <c r="AQ8">
        <f>IF(AP8="","",3-INDEX($AO$6:$AO$9,AP8))</f>
        <v/>
      </c>
      <c r="AR8">
        <f>IF(AP8="","",INDEX(INDIRECT("'"&amp;$B8&amp;"'!$AE$6:$AE$205"),MATCH(AQ8,INDIRECT("'"&amp;$B8&amp;"'!$AI$6:$AI$205"),0)))</f>
        <v/>
      </c>
    </row>
    <row r="9">
      <c r="A9" s="34">
        <f>IF(AP9="","",4)</f>
        <v/>
      </c>
      <c r="B9" s="35">
        <f>IF(AP9="","",INDEX($AL$6:$AL$9,AP9))</f>
        <v/>
      </c>
      <c r="C9" s="34">
        <f>IF(AP9="","",INDEX(INDIRECT("'"&amp;$B9&amp;"'!$B$6:$B$205"),MATCH($AR9,INDIRECT("'"&amp;$B9&amp;"'!$AE$6:$AE$205"),0)))</f>
        <v/>
      </c>
      <c r="D9" s="34">
        <f>IF(AP9="","",INDEX(INDIRECT("'"&amp;$B9&amp;"'!$D$6:$D$205"),MATCH($AR9,INDIRECT("'"&amp;$B9&amp;"'!$AE$6:$AE$205"),0)))</f>
        <v/>
      </c>
      <c r="E9" s="36">
        <f>IF(AP9="","",INDEX(INDIRECT("'"&amp;$B9&amp;"'!$F$6:$F$205"),MATCH($AR9,INDIRECT("'"&amp;$B9&amp;"'!$AE$6:$AE$205"),0)))</f>
        <v/>
      </c>
      <c r="F9" s="34">
        <f>IF(AP9="","",INDEX(INDIRECT("'"&amp;$B9&amp;"'!$K$6:$K$205"),MATCH($AR9,INDIRECT("'"&amp;$B9&amp;"'!$AE$6:$AE$205"),0)))</f>
        <v/>
      </c>
      <c r="G9" s="34">
        <f>IF(AP9="","",INDEX(INDIRECT("'"&amp;$B9&amp;"'!$L$6:$L$205"),MATCH($AR9,INDIRECT("'"&amp;$B9&amp;"'!$AE$6:$AE$205"),0)))</f>
        <v/>
      </c>
      <c r="H9" s="34">
        <f>IF(OR(AP9="",H$5="-"),"",IFERROR(IF(INDEX(INDIRECT("'"&amp;$B9&amp;"'!$N$6:$N$205"),MATCH($AR9&amp;"|"&amp;H$5,INDIRECT("'"&amp;$B9&amp;"'!$AF$6:$AF$205"),0))="","",INDEX(INDIRECT("'"&amp;$B9&amp;"'!$N$6:$N$205"),MATCH($AR9&amp;"|"&amp;H$5,INDIRECT("'"&amp;$B9&amp;"'!$AF$6:$AF$205"),0))),"-"))</f>
        <v/>
      </c>
      <c r="I9" s="34">
        <f>IF(OR(AP9="",I$5="-"),"",IFERROR(IF(INDEX(INDIRECT("'"&amp;$B9&amp;"'!$N$6:$N$205"),MATCH($AR9&amp;"|"&amp;I$5,INDIRECT("'"&amp;$B9&amp;"'!$AF$6:$AF$205"),0))="","",INDEX(INDIRECT("'"&amp;$B9&amp;"'!$N$6:$N$205"),MATCH($AR9&amp;"|"&amp;I$5,INDIRECT("'"&amp;$B9&amp;"'!$AF$6:$AF$205"),0))),"-"))</f>
        <v/>
      </c>
      <c r="J9" s="34">
        <f>IF(OR(AP9="",J$5="-"),"",IFERROR(IF(INDEX(INDIRECT("'"&amp;$B9&amp;"'!$N$6:$N$205"),MATCH($AR9&amp;"|"&amp;J$5,INDIRECT("'"&amp;$B9&amp;"'!$AF$6:$AF$205"),0))="","",INDEX(INDIRECT("'"&amp;$B9&amp;"'!$N$6:$N$205"),MATCH($AR9&amp;"|"&amp;J$5,INDIRECT("'"&amp;$B9&amp;"'!$AF$6:$AF$205"),0))),"-"))</f>
        <v/>
      </c>
      <c r="K9" s="34">
        <f>IF(OR(AP9="",K$5="-"),"",IFERROR(IF(INDEX(INDIRECT("'"&amp;$B9&amp;"'!$N$6:$N$205"),MATCH($AR9&amp;"|"&amp;K$5,INDIRECT("'"&amp;$B9&amp;"'!$AF$6:$AF$205"),0))="","",INDEX(INDIRECT("'"&amp;$B9&amp;"'!$N$6:$N$205"),MATCH($AR9&amp;"|"&amp;K$5,INDIRECT("'"&amp;$B9&amp;"'!$AF$6:$AF$205"),0))),"-"))</f>
        <v/>
      </c>
      <c r="L9" s="34">
        <f>IF(OR(AP9="",L$5="-"),"",IFERROR(IF(INDEX(INDIRECT("'"&amp;$B9&amp;"'!$N$6:$N$205"),MATCH($AR9&amp;"|"&amp;L$5,INDIRECT("'"&amp;$B9&amp;"'!$AF$6:$AF$205"),0))="","",INDEX(INDIRECT("'"&amp;$B9&amp;"'!$N$6:$N$205"),MATCH($AR9&amp;"|"&amp;L$5,INDIRECT("'"&amp;$B9&amp;"'!$AF$6:$AF$205"),0))),"-"))</f>
        <v/>
      </c>
      <c r="M9" s="34">
        <f>IF(OR(AP9="",M$5="-"),"",IFERROR(IF(INDEX(INDIRECT("'"&amp;$B9&amp;"'!$N$6:$N$205"),MATCH($AR9&amp;"|"&amp;M$5,INDIRECT("'"&amp;$B9&amp;"'!$AF$6:$AF$205"),0))="","",INDEX(INDIRECT("'"&amp;$B9&amp;"'!$N$6:$N$205"),MATCH($AR9&amp;"|"&amp;M$5,INDIRECT("'"&amp;$B9&amp;"'!$AF$6:$AF$205"),0))),"-"))</f>
        <v/>
      </c>
      <c r="N9" s="34">
        <f>IF(OR(AP9="",N$5="-"),"",IFERROR(IF(INDEX(INDIRECT("'"&amp;$B9&amp;"'!$N$6:$N$205"),MATCH($AR9&amp;"|"&amp;N$5,INDIRECT("'"&amp;$B9&amp;"'!$AF$6:$AF$205"),0))="","",INDEX(INDIRECT("'"&amp;$B9&amp;"'!$N$6:$N$205"),MATCH($AR9&amp;"|"&amp;N$5,INDIRECT("'"&amp;$B9&amp;"'!$AF$6:$AF$205"),0))),"-"))</f>
        <v/>
      </c>
      <c r="O9" s="34">
        <f>IF(OR(AP9="",O$5="-"),"",IFERROR(IF(INDEX(INDIRECT("'"&amp;$B9&amp;"'!$N$6:$N$205"),MATCH($AR9&amp;"|"&amp;O$5,INDIRECT("'"&amp;$B9&amp;"'!$AF$6:$AF$205"),0))="","",INDEX(INDIRECT("'"&amp;$B9&amp;"'!$N$6:$N$205"),MATCH($AR9&amp;"|"&amp;O$5,INDIRECT("'"&amp;$B9&amp;"'!$AF$6:$AF$205"),0))),"-"))</f>
        <v/>
      </c>
      <c r="P9" s="37">
        <f>IF(OR(AP9="",P$5="-"),"",IFERROR(IF(INDEX(INDIRECT("'"&amp;$B9&amp;"'!$R$6:$R$205"),MATCH($AR9&amp;"|"&amp;P$5,INDIRECT("'"&amp;$B9&amp;"'!$AF$6:$AF$205"),0))="","",INDEX(INDIRECT("'"&amp;$B9&amp;"'!$R$6:$R$205"),MATCH($AR9&amp;"|"&amp;P$5,INDIRECT("'"&amp;$B9&amp;"'!$AF$6:$AF$205"),0))),"-"))</f>
        <v/>
      </c>
      <c r="Q9" s="37">
        <f>IF(OR(AP9="",Q$5="-"),"",IFERROR(IF(INDEX(INDIRECT("'"&amp;$B9&amp;"'!$R$6:$R$205"),MATCH($AR9&amp;"|"&amp;Q$5,INDIRECT("'"&amp;$B9&amp;"'!$AF$6:$AF$205"),0))="","",INDEX(INDIRECT("'"&amp;$B9&amp;"'!$R$6:$R$205"),MATCH($AR9&amp;"|"&amp;Q$5,INDIRECT("'"&amp;$B9&amp;"'!$AF$6:$AF$205"),0))),"-"))</f>
        <v/>
      </c>
      <c r="R9" s="37">
        <f>IF(OR(AP9="",R$5="-"),"",IFERROR(IF(INDEX(INDIRECT("'"&amp;$B9&amp;"'!$R$6:$R$205"),MATCH($AR9&amp;"|"&amp;R$5,INDIRECT("'"&amp;$B9&amp;"'!$AF$6:$AF$205"),0))="","",INDEX(INDIRECT("'"&amp;$B9&amp;"'!$R$6:$R$205"),MATCH($AR9&amp;"|"&amp;R$5,INDIRECT("'"&amp;$B9&amp;"'!$AF$6:$AF$205"),0))),"-"))</f>
        <v/>
      </c>
      <c r="S9" s="37">
        <f>IF(OR(AP9="",S$5="-"),"",IFERROR(IF(INDEX(INDIRECT("'"&amp;$B9&amp;"'!$R$6:$R$205"),MATCH($AR9&amp;"|"&amp;S$5,INDIRECT("'"&amp;$B9&amp;"'!$AF$6:$AF$205"),0))="","",INDEX(INDIRECT("'"&amp;$B9&amp;"'!$R$6:$R$205"),MATCH($AR9&amp;"|"&amp;S$5,INDIRECT("'"&amp;$B9&amp;"'!$AF$6:$AF$205"),0))),"-"))</f>
        <v/>
      </c>
      <c r="T9" s="37">
        <f>IF(OR(AP9="",T$5="-"),"",IFERROR(IF(INDEX(INDIRECT("'"&amp;$B9&amp;"'!$R$6:$R$205"),MATCH($AR9&amp;"|"&amp;T$5,INDIRECT("'"&amp;$B9&amp;"'!$AF$6:$AF$205"),0))="","",INDEX(INDIRECT("'"&amp;$B9&amp;"'!$R$6:$R$205"),MATCH($AR9&amp;"|"&amp;T$5,INDIRECT("'"&amp;$B9&amp;"'!$AF$6:$AF$205"),0))),"-"))</f>
        <v/>
      </c>
      <c r="U9" s="37">
        <f>IF(OR(AP9="",U$5="-"),"",IFERROR(IF(INDEX(INDIRECT("'"&amp;$B9&amp;"'!$R$6:$R$205"),MATCH($AR9&amp;"|"&amp;U$5,INDIRECT("'"&amp;$B9&amp;"'!$AF$6:$AF$205"),0))="","",INDEX(INDIRECT("'"&amp;$B9&amp;"'!$R$6:$R$205"),MATCH($AR9&amp;"|"&amp;U$5,INDIRECT("'"&amp;$B9&amp;"'!$AF$6:$AF$205"),0))),"-"))</f>
        <v/>
      </c>
      <c r="V9" s="37">
        <f>IF(OR(AP9="",V$5="-"),"",IFERROR(IF(INDEX(INDIRECT("'"&amp;$B9&amp;"'!$R$6:$R$205"),MATCH($AR9&amp;"|"&amp;V$5,INDIRECT("'"&amp;$B9&amp;"'!$AF$6:$AF$205"),0))="","",INDEX(INDIRECT("'"&amp;$B9&amp;"'!$R$6:$R$205"),MATCH($AR9&amp;"|"&amp;V$5,INDIRECT("'"&amp;$B9&amp;"'!$AF$6:$AF$205"),0))),"-"))</f>
        <v/>
      </c>
      <c r="W9" s="37">
        <f>IF(OR(AP9="",W$5="-"),"",IFERROR(IF(INDEX(INDIRECT("'"&amp;$B9&amp;"'!$R$6:$R$205"),MATCH($AR9&amp;"|"&amp;W$5,INDIRECT("'"&amp;$B9&amp;"'!$AF$6:$AF$205"),0))="","",INDEX(INDIRECT("'"&amp;$B9&amp;"'!$R$6:$R$205"),MATCH($AR9&amp;"|"&amp;W$5,INDIRECT("'"&amp;$B9&amp;"'!$AF$6:$AF$205"),0))),"-"))</f>
        <v/>
      </c>
      <c r="X9" s="38">
        <f>IF(OR(AP9="",X$5="-"),"",IFERROR(IF(INDEX(INDIRECT("'"&amp;$B9&amp;"'!$T$6:$T$205"),MATCH($AR9&amp;"|"&amp;X$5,INDIRECT("'"&amp;$B9&amp;"'!$AF$6:$AF$205"),0))="","",INDEX(INDIRECT("'"&amp;$B9&amp;"'!$T$6:$T$205"),MATCH($AR9&amp;"|"&amp;X$5,INDIRECT("'"&amp;$B9&amp;"'!$AF$6:$AF$205"),0))),"-"))</f>
        <v/>
      </c>
      <c r="Y9" s="38">
        <f>IF(OR(AP9="",Y$5="-"),"",IFERROR(IF(INDEX(INDIRECT("'"&amp;$B9&amp;"'!$T$6:$T$205"),MATCH($AR9&amp;"|"&amp;Y$5,INDIRECT("'"&amp;$B9&amp;"'!$AF$6:$AF$205"),0))="","",INDEX(INDIRECT("'"&amp;$B9&amp;"'!$T$6:$T$205"),MATCH($AR9&amp;"|"&amp;Y$5,INDIRECT("'"&amp;$B9&amp;"'!$AF$6:$AF$205"),0))),"-"))</f>
        <v/>
      </c>
      <c r="Z9" s="38">
        <f>IF(OR(AP9="",Z$5="-"),"",IFERROR(IF(INDEX(INDIRECT("'"&amp;$B9&amp;"'!$T$6:$T$205"),MATCH($AR9&amp;"|"&amp;Z$5,INDIRECT("'"&amp;$B9&amp;"'!$AF$6:$AF$205"),0))="","",INDEX(INDIRECT("'"&amp;$B9&amp;"'!$T$6:$T$205"),MATCH($AR9&amp;"|"&amp;Z$5,INDIRECT("'"&amp;$B9&amp;"'!$AF$6:$AF$205"),0))),"-"))</f>
        <v/>
      </c>
      <c r="AA9" s="38">
        <f>IF(OR(AP9="",AA$5="-"),"",IFERROR(IF(INDEX(INDIRECT("'"&amp;$B9&amp;"'!$T$6:$T$205"),MATCH($AR9&amp;"|"&amp;AA$5,INDIRECT("'"&amp;$B9&amp;"'!$AF$6:$AF$205"),0))="","",INDEX(INDIRECT("'"&amp;$B9&amp;"'!$T$6:$T$205"),MATCH($AR9&amp;"|"&amp;AA$5,INDIRECT("'"&amp;$B9&amp;"'!$AF$6:$AF$205"),0))),"-"))</f>
        <v/>
      </c>
      <c r="AB9" s="38">
        <f>IF(OR(AP9="",AB$5="-"),"",IFERROR(IF(INDEX(INDIRECT("'"&amp;$B9&amp;"'!$T$6:$T$205"),MATCH($AR9&amp;"|"&amp;AB$5,INDIRECT("'"&amp;$B9&amp;"'!$AF$6:$AF$205"),0))="","",INDEX(INDIRECT("'"&amp;$B9&amp;"'!$T$6:$T$205"),MATCH($AR9&amp;"|"&amp;AB$5,INDIRECT("'"&amp;$B9&amp;"'!$AF$6:$AF$205"),0))),"-"))</f>
        <v/>
      </c>
      <c r="AC9" s="38">
        <f>IF(OR(AP9="",AC$5="-"),"",IFERROR(IF(INDEX(INDIRECT("'"&amp;$B9&amp;"'!$T$6:$T$205"),MATCH($AR9&amp;"|"&amp;AC$5,INDIRECT("'"&amp;$B9&amp;"'!$AF$6:$AF$205"),0))="","",INDEX(INDIRECT("'"&amp;$B9&amp;"'!$T$6:$T$205"),MATCH($AR9&amp;"|"&amp;AC$5,INDIRECT("'"&amp;$B9&amp;"'!$AF$6:$AF$205"),0))),"-"))</f>
        <v/>
      </c>
      <c r="AD9" s="38">
        <f>IF(OR(AP9="",AD$5="-"),"",IFERROR(IF(INDEX(INDIRECT("'"&amp;$B9&amp;"'!$T$6:$T$205"),MATCH($AR9&amp;"|"&amp;AD$5,INDIRECT("'"&amp;$B9&amp;"'!$AF$6:$AF$205"),0))="","",INDEX(INDIRECT("'"&amp;$B9&amp;"'!$T$6:$T$205"),MATCH($AR9&amp;"|"&amp;AD$5,INDIRECT("'"&amp;$B9&amp;"'!$AF$6:$AF$205"),0))),"-"))</f>
        <v/>
      </c>
      <c r="AE9" s="38">
        <f>IF(OR(AP9="",AE$5="-"),"",IFERROR(IF(INDEX(INDIRECT("'"&amp;$B9&amp;"'!$T$6:$T$205"),MATCH($AR9&amp;"|"&amp;AE$5,INDIRECT("'"&amp;$B9&amp;"'!$AF$6:$AF$205"),0))="","",INDEX(INDIRECT("'"&amp;$B9&amp;"'!$T$6:$T$205"),MATCH($AR9&amp;"|"&amp;AE$5,INDIRECT("'"&amp;$B9&amp;"'!$AF$6:$AF$205"),0))),"-"))</f>
        <v/>
      </c>
      <c r="AF9" s="35">
        <f>IF(AG9="","",INDEX($P$5:$W$5,MATCH(AG9,P9:W9,0)))</f>
        <v/>
      </c>
      <c r="AG9" s="37">
        <f>IF(COUNT(P9:W9)=0,"",MIN(P9:W9))</f>
        <v/>
      </c>
      <c r="AH9" s="39">
        <f>IF(AG9="","",AG9*F9)</f>
        <v/>
      </c>
      <c r="AI9" s="39">
        <f>IF(COUNT(P9:W9)&lt;2,"",(MAX(P9:W9)-MIN(P9:W9))*F9)</f>
        <v/>
      </c>
      <c r="AJ9" s="20" t="n"/>
      <c r="AL9" t="inlineStr">
        <is>
          <t>ONEIROI</t>
        </is>
      </c>
      <c r="AM9">
        <f>COUNT('ONEIROI'!$AI$6:$AI$205)</f>
        <v/>
      </c>
      <c r="AN9">
        <f>SUM($AM$6:AM9)</f>
        <v/>
      </c>
      <c r="AO9">
        <f>AN9-AM9</f>
        <v/>
      </c>
      <c r="AP9">
        <f>IF(4&gt;MAX($AN$6:$AN$9),"",COUNTIF($AN$6:$AN$9,"&lt;"&amp;4)+1)</f>
        <v/>
      </c>
      <c r="AQ9">
        <f>IF(AP9="","",4-INDEX($AO$6:$AO$9,AP9))</f>
        <v/>
      </c>
      <c r="AR9">
        <f>IF(AP9="","",INDEX(INDIRECT("'"&amp;$B9&amp;"'!$AE$6:$AE$205"),MATCH(AQ9,INDIRECT("'"&amp;$B9&amp;"'!$AI$6:$AI$205"),0)))</f>
        <v/>
      </c>
    </row>
    <row r="10">
      <c r="A10" s="34">
        <f>IF(AP10="","",5)</f>
        <v/>
      </c>
      <c r="B10" s="35">
        <f>IF(AP10="","",INDEX($AL$6:$AL$9,AP10))</f>
        <v/>
      </c>
      <c r="C10" s="34">
        <f>IF(AP10="","",INDEX(INDIRECT("'"&amp;$B10&amp;"'!$B$6:$B$205"),MATCH($AR10,INDIRECT("'"&amp;$B10&amp;"'!$AE$6:$AE$205"),0)))</f>
        <v/>
      </c>
      <c r="D10" s="34">
        <f>IF(AP10="","",INDEX(INDIRECT("'"&amp;$B10&amp;"'!$D$6:$D$205"),MATCH($AR10,INDIRECT("'"&amp;$B10&amp;"'!$AE$6:$AE$205"),0)))</f>
        <v/>
      </c>
      <c r="E10" s="36">
        <f>IF(AP10="","",INDEX(INDIRECT("'"&amp;$B10&amp;"'!$F$6:$F$205"),MATCH($AR10,INDIRECT("'"&amp;$B10&amp;"'!$AE$6:$AE$205"),0)))</f>
        <v/>
      </c>
      <c r="F10" s="34">
        <f>IF(AP10="","",INDEX(INDIRECT("'"&amp;$B10&amp;"'!$K$6:$K$205"),MATCH($AR10,INDIRECT("'"&amp;$B10&amp;"'!$AE$6:$AE$205"),0)))</f>
        <v/>
      </c>
      <c r="G10" s="34">
        <f>IF(AP10="","",INDEX(INDIRECT("'"&amp;$B10&amp;"'!$L$6:$L$205"),MATCH($AR10,INDIRECT("'"&amp;$B10&amp;"'!$AE$6:$AE$205"),0)))</f>
        <v/>
      </c>
      <c r="H10" s="34">
        <f>IF(OR(AP10="",H$5="-"),"",IFERROR(IF(INDEX(INDIRECT("'"&amp;$B10&amp;"'!$N$6:$N$205"),MATCH($AR10&amp;"|"&amp;H$5,INDIRECT("'"&amp;$B10&amp;"'!$AF$6:$AF$205"),0))="","",INDEX(INDIRECT("'"&amp;$B10&amp;"'!$N$6:$N$205"),MATCH($AR10&amp;"|"&amp;H$5,INDIRECT("'"&amp;$B10&amp;"'!$AF$6:$AF$205"),0))),"-"))</f>
        <v/>
      </c>
      <c r="I10" s="34">
        <f>IF(OR(AP10="",I$5="-"),"",IFERROR(IF(INDEX(INDIRECT("'"&amp;$B10&amp;"'!$N$6:$N$205"),MATCH($AR10&amp;"|"&amp;I$5,INDIRECT("'"&amp;$B10&amp;"'!$AF$6:$AF$205"),0))="","",INDEX(INDIRECT("'"&amp;$B10&amp;"'!$N$6:$N$205"),MATCH($AR10&amp;"|"&amp;I$5,INDIRECT("'"&amp;$B10&amp;"'!$AF$6:$AF$205"),0))),"-"))</f>
        <v/>
      </c>
      <c r="J10" s="34">
        <f>IF(OR(AP10="",J$5="-"),"",IFERROR(IF(INDEX(INDIRECT("'"&amp;$B10&amp;"'!$N$6:$N$205"),MATCH($AR10&amp;"|"&amp;J$5,INDIRECT("'"&amp;$B10&amp;"'!$AF$6:$AF$205"),0))="","",INDEX(INDIRECT("'"&amp;$B10&amp;"'!$N$6:$N$205"),MATCH($AR10&amp;"|"&amp;J$5,INDIRECT("'"&amp;$B10&amp;"'!$AF$6:$AF$205"),0))),"-"))</f>
        <v/>
      </c>
      <c r="K10" s="34">
        <f>IF(OR(AP10="",K$5="-"),"",IFERROR(IF(INDEX(INDIRECT("'"&amp;$B10&amp;"'!$N$6:$N$205"),MATCH($AR10&amp;"|"&amp;K$5,INDIRECT("'"&amp;$B10&amp;"'!$AF$6:$AF$205"),0))="","",INDEX(INDIRECT("'"&amp;$B10&amp;"'!$N$6:$N$205"),MATCH($AR10&amp;"|"&amp;K$5,INDIRECT("'"&amp;$B10&amp;"'!$AF$6:$AF$205"),0))),"-"))</f>
        <v/>
      </c>
      <c r="L10" s="34">
        <f>IF(OR(AP10="",L$5="-"),"",IFERROR(IF(INDEX(INDIRECT("'"&amp;$B10&amp;"'!$N$6:$N$205"),MATCH($AR10&amp;"|"&amp;L$5,INDIRECT("'"&amp;$B10&amp;"'!$AF$6:$AF$205"),0))="","",INDEX(INDIRECT("'"&amp;$B10&amp;"'!$N$6:$N$205"),MATCH($AR10&amp;"|"&amp;L$5,INDIRECT("'"&amp;$B10&amp;"'!$AF$6:$AF$205"),0))),"-"))</f>
        <v/>
      </c>
      <c r="M10" s="34">
        <f>IF(OR(AP10="",M$5="-"),"",IFERROR(IF(INDEX(INDIRECT("'"&amp;$B10&amp;"'!$N$6:$N$205"),MATCH($AR10&amp;"|"&amp;M$5,INDIRECT("'"&amp;$B10&amp;"'!$AF$6:$AF$205"),0))="","",INDEX(INDIRECT("'"&amp;$B10&amp;"'!$N$6:$N$205"),MATCH($AR10&amp;"|"&amp;M$5,INDIRECT("'"&amp;$B10&amp;"'!$AF$6:$AF$205"),0))),"-"))</f>
        <v/>
      </c>
      <c r="N10" s="34">
        <f>IF(OR(AP10="",N$5="-"),"",IFERROR(IF(INDEX(INDIRECT("'"&amp;$B10&amp;"'!$N$6:$N$205"),MATCH($AR10&amp;"|"&amp;N$5,INDIRECT("'"&amp;$B10&amp;"'!$AF$6:$AF$205"),0))="","",INDEX(INDIRECT("'"&amp;$B10&amp;"'!$N$6:$N$205"),MATCH($AR10&amp;"|"&amp;N$5,INDIRECT("'"&amp;$B10&amp;"'!$AF$6:$AF$205"),0))),"-"))</f>
        <v/>
      </c>
      <c r="O10" s="34">
        <f>IF(OR(AP10="",O$5="-"),"",IFERROR(IF(INDEX(INDIRECT("'"&amp;$B10&amp;"'!$N$6:$N$205"),MATCH($AR10&amp;"|"&amp;O$5,INDIRECT("'"&amp;$B10&amp;"'!$AF$6:$AF$205"),0))="","",INDEX(INDIRECT("'"&amp;$B10&amp;"'!$N$6:$N$205"),MATCH($AR10&amp;"|"&amp;O$5,INDIRECT("'"&amp;$B10&amp;"'!$AF$6:$AF$205"),0))),"-"))</f>
        <v/>
      </c>
      <c r="P10" s="37">
        <f>IF(OR(AP10="",P$5="-"),"",IFERROR(IF(INDEX(INDIRECT("'"&amp;$B10&amp;"'!$R$6:$R$205"),MATCH($AR10&amp;"|"&amp;P$5,INDIRECT("'"&amp;$B10&amp;"'!$AF$6:$AF$205"),0))="","",INDEX(INDIRECT("'"&amp;$B10&amp;"'!$R$6:$R$205"),MATCH($AR10&amp;"|"&amp;P$5,INDIRECT("'"&amp;$B10&amp;"'!$AF$6:$AF$205"),0))),"-"))</f>
        <v/>
      </c>
      <c r="Q10" s="37">
        <f>IF(OR(AP10="",Q$5="-"),"",IFERROR(IF(INDEX(INDIRECT("'"&amp;$B10&amp;"'!$R$6:$R$205"),MATCH($AR10&amp;"|"&amp;Q$5,INDIRECT("'"&amp;$B10&amp;"'!$AF$6:$AF$205"),0))="","",INDEX(INDIRECT("'"&amp;$B10&amp;"'!$R$6:$R$205"),MATCH($AR10&amp;"|"&amp;Q$5,INDIRECT("'"&amp;$B10&amp;"'!$AF$6:$AF$205"),0))),"-"))</f>
        <v/>
      </c>
      <c r="R10" s="37">
        <f>IF(OR(AP10="",R$5="-"),"",IFERROR(IF(INDEX(INDIRECT("'"&amp;$B10&amp;"'!$R$6:$R$205"),MATCH($AR10&amp;"|"&amp;R$5,INDIRECT("'"&amp;$B10&amp;"'!$AF$6:$AF$205"),0))="","",INDEX(INDIRECT("'"&amp;$B10&amp;"'!$R$6:$R$205"),MATCH($AR10&amp;"|"&amp;R$5,INDIRECT("'"&amp;$B10&amp;"'!$AF$6:$AF$205"),0))),"-"))</f>
        <v/>
      </c>
      <c r="S10" s="37">
        <f>IF(OR(AP10="",S$5="-"),"",IFERROR(IF(INDEX(INDIRECT("'"&amp;$B10&amp;"'!$R$6:$R$205"),MATCH($AR10&amp;"|"&amp;S$5,INDIRECT("'"&amp;$B10&amp;"'!$AF$6:$AF$205"),0))="","",INDEX(INDIRECT("'"&amp;$B10&amp;"'!$R$6:$R$205"),MATCH($AR10&amp;"|"&amp;S$5,INDIRECT("'"&amp;$B10&amp;"'!$AF$6:$AF$205"),0))),"-"))</f>
        <v/>
      </c>
      <c r="T10" s="37">
        <f>IF(OR(AP10="",T$5="-"),"",IFERROR(IF(INDEX(INDIRECT("'"&amp;$B10&amp;"'!$R$6:$R$205"),MATCH($AR10&amp;"|"&amp;T$5,INDIRECT("'"&amp;$B10&amp;"'!$AF$6:$AF$205"),0))="","",INDEX(INDIRECT("'"&amp;$B10&amp;"'!$R$6:$R$205"),MATCH($AR10&amp;"|"&amp;T$5,INDIRECT("'"&amp;$B10&amp;"'!$AF$6:$AF$205"),0))),"-"))</f>
        <v/>
      </c>
      <c r="U10" s="37">
        <f>IF(OR(AP10="",U$5="-"),"",IFERROR(IF(INDEX(INDIRECT("'"&amp;$B10&amp;"'!$R$6:$R$205"),MATCH($AR10&amp;"|"&amp;U$5,INDIRECT("'"&amp;$B10&amp;"'!$AF$6:$AF$205"),0))="","",INDEX(INDIRECT("'"&amp;$B10&amp;"'!$R$6:$R$205"),MATCH($AR10&amp;"|"&amp;U$5,INDIRECT("'"&amp;$B10&amp;"'!$AF$6:$AF$205"),0))),"-"))</f>
        <v/>
      </c>
      <c r="V10" s="37">
        <f>IF(OR(AP10="",V$5="-"),"",IFERROR(IF(INDEX(INDIRECT("'"&amp;$B10&amp;"'!$R$6:$R$205"),MATCH($AR10&amp;"|"&amp;V$5,INDIRECT("'"&amp;$B10&amp;"'!$AF$6:$AF$205"),0))="","",INDEX(INDIRECT("'"&amp;$B10&amp;"'!$R$6:$R$205"),MATCH($AR10&amp;"|"&amp;V$5,INDIRECT("'"&amp;$B10&amp;"'!$AF$6:$AF$205"),0))),"-"))</f>
        <v/>
      </c>
      <c r="W10" s="37">
        <f>IF(OR(AP10="",W$5="-"),"",IFERROR(IF(INDEX(INDIRECT("'"&amp;$B10&amp;"'!$R$6:$R$205"),MATCH($AR10&amp;"|"&amp;W$5,INDIRECT("'"&amp;$B10&amp;"'!$AF$6:$AF$205"),0))="","",INDEX(INDIRECT("'"&amp;$B10&amp;"'!$R$6:$R$205"),MATCH($AR10&amp;"|"&amp;W$5,INDIRECT("'"&amp;$B10&amp;"'!$AF$6:$AF$205"),0))),"-"))</f>
        <v/>
      </c>
      <c r="X10" s="38">
        <f>IF(OR(AP10="",X$5="-"),"",IFERROR(IF(INDEX(INDIRECT("'"&amp;$B10&amp;"'!$T$6:$T$205"),MATCH($AR10&amp;"|"&amp;X$5,INDIRECT("'"&amp;$B10&amp;"'!$AF$6:$AF$205"),0))="","",INDEX(INDIRECT("'"&amp;$B10&amp;"'!$T$6:$T$205"),MATCH($AR10&amp;"|"&amp;X$5,INDIRECT("'"&amp;$B10&amp;"'!$AF$6:$AF$205"),0))),"-"))</f>
        <v/>
      </c>
      <c r="Y10" s="38">
        <f>IF(OR(AP10="",Y$5="-"),"",IFERROR(IF(INDEX(INDIRECT("'"&amp;$B10&amp;"'!$T$6:$T$205"),MATCH($AR10&amp;"|"&amp;Y$5,INDIRECT("'"&amp;$B10&amp;"'!$AF$6:$AF$205"),0))="","",INDEX(INDIRECT("'"&amp;$B10&amp;"'!$T$6:$T$205"),MATCH($AR10&amp;"|"&amp;Y$5,INDIRECT("'"&amp;$B10&amp;"'!$AF$6:$AF$205"),0))),"-"))</f>
        <v/>
      </c>
      <c r="Z10" s="38">
        <f>IF(OR(AP10="",Z$5="-"),"",IFERROR(IF(INDEX(INDIRECT("'"&amp;$B10&amp;"'!$T$6:$T$205"),MATCH($AR10&amp;"|"&amp;Z$5,INDIRECT("'"&amp;$B10&amp;"'!$AF$6:$AF$205"),0))="","",INDEX(INDIRECT("'"&amp;$B10&amp;"'!$T$6:$T$205"),MATCH($AR10&amp;"|"&amp;Z$5,INDIRECT("'"&amp;$B10&amp;"'!$AF$6:$AF$205"),0))),"-"))</f>
        <v/>
      </c>
      <c r="AA10" s="38">
        <f>IF(OR(AP10="",AA$5="-"),"",IFERROR(IF(INDEX(INDIRECT("'"&amp;$B10&amp;"'!$T$6:$T$205"),MATCH($AR10&amp;"|"&amp;AA$5,INDIRECT("'"&amp;$B10&amp;"'!$AF$6:$AF$205"),0))="","",INDEX(INDIRECT("'"&amp;$B10&amp;"'!$T$6:$T$205"),MATCH($AR10&amp;"|"&amp;AA$5,INDIRECT("'"&amp;$B10&amp;"'!$AF$6:$AF$205"),0))),"-"))</f>
        <v/>
      </c>
      <c r="AB10" s="38">
        <f>IF(OR(AP10="",AB$5="-"),"",IFERROR(IF(INDEX(INDIRECT("'"&amp;$B10&amp;"'!$T$6:$T$205"),MATCH($AR10&amp;"|"&amp;AB$5,INDIRECT("'"&amp;$B10&amp;"'!$AF$6:$AF$205"),0))="","",INDEX(INDIRECT("'"&amp;$B10&amp;"'!$T$6:$T$205"),MATCH($AR10&amp;"|"&amp;AB$5,INDIRECT("'"&amp;$B10&amp;"'!$AF$6:$AF$205"),0))),"-"))</f>
        <v/>
      </c>
      <c r="AC10" s="38">
        <f>IF(OR(AP10="",AC$5="-"),"",IFERROR(IF(INDEX(INDIRECT("'"&amp;$B10&amp;"'!$T$6:$T$205"),MATCH($AR10&amp;"|"&amp;AC$5,INDIRECT("'"&amp;$B10&amp;"'!$AF$6:$AF$205"),0))="","",INDEX(INDIRECT("'"&amp;$B10&amp;"'!$T$6:$T$205"),MATCH($AR10&amp;"|"&amp;AC$5,INDIRECT("'"&amp;$B10&amp;"'!$AF$6:$AF$205"),0))),"-"))</f>
        <v/>
      </c>
      <c r="AD10" s="38">
        <f>IF(OR(AP10="",AD$5="-"),"",IFERROR(IF(INDEX(INDIRECT("'"&amp;$B10&amp;"'!$T$6:$T$205"),MATCH($AR10&amp;"|"&amp;AD$5,INDIRECT("'"&amp;$B10&amp;"'!$AF$6:$AF$205"),0))="","",INDEX(INDIRECT("'"&amp;$B10&amp;"'!$T$6:$T$205"),MATCH($AR10&amp;"|"&amp;AD$5,INDIRECT("'"&amp;$B10&amp;"'!$AF$6:$AF$205"),0))),"-"))</f>
        <v/>
      </c>
      <c r="AE10" s="38">
        <f>IF(OR(AP10="",AE$5="-"),"",IFERROR(IF(INDEX(INDIRECT("'"&amp;$B10&amp;"'!$T$6:$T$205"),MATCH($AR10&amp;"|"&amp;AE$5,INDIRECT("'"&amp;$B10&amp;"'!$AF$6:$AF$205"),0))="","",INDEX(INDIRECT("'"&amp;$B10&amp;"'!$T$6:$T$205"),MATCH($AR10&amp;"|"&amp;AE$5,INDIRECT("'"&amp;$B10&amp;"'!$AF$6:$AF$205"),0))),"-"))</f>
        <v/>
      </c>
      <c r="AF10" s="35">
        <f>IF(AG10="","",INDEX($P$5:$W$5,MATCH(AG10,P10:W10,0)))</f>
        <v/>
      </c>
      <c r="AG10" s="37">
        <f>IF(COUNT(P10:W10)=0,"",MIN(P10:W10))</f>
        <v/>
      </c>
      <c r="AH10" s="39">
        <f>IF(AG10="","",AG10*F10)</f>
        <v/>
      </c>
      <c r="AI10" s="39">
        <f>IF(COUNT(P10:W10)&lt;2,"",(MAX(P10:W10)-MIN(P10:W10))*F10)</f>
        <v/>
      </c>
      <c r="AJ10" s="20" t="n"/>
      <c r="AP10">
        <f>IF(5&gt;MAX($AN$6:$AN$9),"",COUNTIF($AN$6:$AN$9,"&lt;"&amp;5)+1)</f>
        <v/>
      </c>
      <c r="AQ10">
        <f>IF(AP10="","",5-INDEX($AO$6:$AO$9,AP10))</f>
        <v/>
      </c>
      <c r="AR10">
        <f>IF(AP10="","",INDEX(INDIRECT("'"&amp;$B10&amp;"'!$AE$6:$AE$205"),MATCH(AQ10,INDIRECT("'"&amp;$B10&amp;"'!$AI$6:$AI$205"),0)))</f>
        <v/>
      </c>
    </row>
    <row r="11">
      <c r="A11" s="34">
        <f>IF(AP11="","",6)</f>
        <v/>
      </c>
      <c r="B11" s="35">
        <f>IF(AP11="","",INDEX($AL$6:$AL$9,AP11))</f>
        <v/>
      </c>
      <c r="C11" s="34">
        <f>IF(AP11="","",INDEX(INDIRECT("'"&amp;$B11&amp;"'!$B$6:$B$205"),MATCH($AR11,INDIRECT("'"&amp;$B11&amp;"'!$AE$6:$AE$205"),0)))</f>
        <v/>
      </c>
      <c r="D11" s="34">
        <f>IF(AP11="","",INDEX(INDIRECT("'"&amp;$B11&amp;"'!$D$6:$D$205"),MATCH($AR11,INDIRECT("'"&amp;$B11&amp;"'!$AE$6:$AE$205"),0)))</f>
        <v/>
      </c>
      <c r="E11" s="36">
        <f>IF(AP11="","",INDEX(INDIRECT("'"&amp;$B11&amp;"'!$F$6:$F$205"),MATCH($AR11,INDIRECT("'"&amp;$B11&amp;"'!$AE$6:$AE$205"),0)))</f>
        <v/>
      </c>
      <c r="F11" s="34">
        <f>IF(AP11="","",INDEX(INDIRECT("'"&amp;$B11&amp;"'!$K$6:$K$205"),MATCH($AR11,INDIRECT("'"&amp;$B11&amp;"'!$AE$6:$AE$205"),0)))</f>
        <v/>
      </c>
      <c r="G11" s="34">
        <f>IF(AP11="","",INDEX(INDIRECT("'"&amp;$B11&amp;"'!$L$6:$L$205"),MATCH($AR11,INDIRECT("'"&amp;$B11&amp;"'!$AE$6:$AE$205"),0)))</f>
        <v/>
      </c>
      <c r="H11" s="34">
        <f>IF(OR(AP11="",H$5="-"),"",IFERROR(IF(INDEX(INDIRECT("'"&amp;$B11&amp;"'!$N$6:$N$205"),MATCH($AR11&amp;"|"&amp;H$5,INDIRECT("'"&amp;$B11&amp;"'!$AF$6:$AF$205"),0))="","",INDEX(INDIRECT("'"&amp;$B11&amp;"'!$N$6:$N$205"),MATCH($AR11&amp;"|"&amp;H$5,INDIRECT("'"&amp;$B11&amp;"'!$AF$6:$AF$205"),0))),"-"))</f>
        <v/>
      </c>
      <c r="I11" s="34">
        <f>IF(OR(AP11="",I$5="-"),"",IFERROR(IF(INDEX(INDIRECT("'"&amp;$B11&amp;"'!$N$6:$N$205"),MATCH($AR11&amp;"|"&amp;I$5,INDIRECT("'"&amp;$B11&amp;"'!$AF$6:$AF$205"),0))="","",INDEX(INDIRECT("'"&amp;$B11&amp;"'!$N$6:$N$205"),MATCH($AR11&amp;"|"&amp;I$5,INDIRECT("'"&amp;$B11&amp;"'!$AF$6:$AF$205"),0))),"-"))</f>
        <v/>
      </c>
      <c r="J11" s="34">
        <f>IF(OR(AP11="",J$5="-"),"",IFERROR(IF(INDEX(INDIRECT("'"&amp;$B11&amp;"'!$N$6:$N$205"),MATCH($AR11&amp;"|"&amp;J$5,INDIRECT("'"&amp;$B11&amp;"'!$AF$6:$AF$205"),0))="","",INDEX(INDIRECT("'"&amp;$B11&amp;"'!$N$6:$N$205"),MATCH($AR11&amp;"|"&amp;J$5,INDIRECT("'"&amp;$B11&amp;"'!$AF$6:$AF$205"),0))),"-"))</f>
        <v/>
      </c>
      <c r="K11" s="34">
        <f>IF(OR(AP11="",K$5="-"),"",IFERROR(IF(INDEX(INDIRECT("'"&amp;$B11&amp;"'!$N$6:$N$205"),MATCH($AR11&amp;"|"&amp;K$5,INDIRECT("'"&amp;$B11&amp;"'!$AF$6:$AF$205"),0))="","",INDEX(INDIRECT("'"&amp;$B11&amp;"'!$N$6:$N$205"),MATCH($AR11&amp;"|"&amp;K$5,INDIRECT("'"&amp;$B11&amp;"'!$AF$6:$AF$205"),0))),"-"))</f>
        <v/>
      </c>
      <c r="L11" s="34">
        <f>IF(OR(AP11="",L$5="-"),"",IFERROR(IF(INDEX(INDIRECT("'"&amp;$B11&amp;"'!$N$6:$N$205"),MATCH($AR11&amp;"|"&amp;L$5,INDIRECT("'"&amp;$B11&amp;"'!$AF$6:$AF$205"),0))="","",INDEX(INDIRECT("'"&amp;$B11&amp;"'!$N$6:$N$205"),MATCH($AR11&amp;"|"&amp;L$5,INDIRECT("'"&amp;$B11&amp;"'!$AF$6:$AF$205"),0))),"-"))</f>
        <v/>
      </c>
      <c r="M11" s="34">
        <f>IF(OR(AP11="",M$5="-"),"",IFERROR(IF(INDEX(INDIRECT("'"&amp;$B11&amp;"'!$N$6:$N$205"),MATCH($AR11&amp;"|"&amp;M$5,INDIRECT("'"&amp;$B11&amp;"'!$AF$6:$AF$205"),0))="","",INDEX(INDIRECT("'"&amp;$B11&amp;"'!$N$6:$N$205"),MATCH($AR11&amp;"|"&amp;M$5,INDIRECT("'"&amp;$B11&amp;"'!$AF$6:$AF$205"),0))),"-"))</f>
        <v/>
      </c>
      <c r="N11" s="34">
        <f>IF(OR(AP11="",N$5="-"),"",IFERROR(IF(INDEX(INDIRECT("'"&amp;$B11&amp;"'!$N$6:$N$205"),MATCH($AR11&amp;"|"&amp;N$5,INDIRECT("'"&amp;$B11&amp;"'!$AF$6:$AF$205"),0))="","",INDEX(INDIRECT("'"&amp;$B11&amp;"'!$N$6:$N$205"),MATCH($AR11&amp;"|"&amp;N$5,INDIRECT("'"&amp;$B11&amp;"'!$AF$6:$AF$205"),0))),"-"))</f>
        <v/>
      </c>
      <c r="O11" s="34">
        <f>IF(OR(AP11="",O$5="-"),"",IFERROR(IF(INDEX(INDIRECT("'"&amp;$B11&amp;"'!$N$6:$N$205"),MATCH($AR11&amp;"|"&amp;O$5,INDIRECT("'"&amp;$B11&amp;"'!$AF$6:$AF$205"),0))="","",INDEX(INDIRECT("'"&amp;$B11&amp;"'!$N$6:$N$205"),MATCH($AR11&amp;"|"&amp;O$5,INDIRECT("'"&amp;$B11&amp;"'!$AF$6:$AF$205"),0))),"-"))</f>
        <v/>
      </c>
      <c r="P11" s="37">
        <f>IF(OR(AP11="",P$5="-"),"",IFERROR(IF(INDEX(INDIRECT("'"&amp;$B11&amp;"'!$R$6:$R$205"),MATCH($AR11&amp;"|"&amp;P$5,INDIRECT("'"&amp;$B11&amp;"'!$AF$6:$AF$205"),0))="","",INDEX(INDIRECT("'"&amp;$B11&amp;"'!$R$6:$R$205"),MATCH($AR11&amp;"|"&amp;P$5,INDIRECT("'"&amp;$B11&amp;"'!$AF$6:$AF$205"),0))),"-"))</f>
        <v/>
      </c>
      <c r="Q11" s="37">
        <f>IF(OR(AP11="",Q$5="-"),"",IFERROR(IF(INDEX(INDIRECT("'"&amp;$B11&amp;"'!$R$6:$R$205"),MATCH($AR11&amp;"|"&amp;Q$5,INDIRECT("'"&amp;$B11&amp;"'!$AF$6:$AF$205"),0))="","",INDEX(INDIRECT("'"&amp;$B11&amp;"'!$R$6:$R$205"),MATCH($AR11&amp;"|"&amp;Q$5,INDIRECT("'"&amp;$B11&amp;"'!$AF$6:$AF$205"),0))),"-"))</f>
        <v/>
      </c>
      <c r="R11" s="37">
        <f>IF(OR(AP11="",R$5="-"),"",IFERROR(IF(INDEX(INDIRECT("'"&amp;$B11&amp;"'!$R$6:$R$205"),MATCH($AR11&amp;"|"&amp;R$5,INDIRECT("'"&amp;$B11&amp;"'!$AF$6:$AF$205"),0))="","",INDEX(INDIRECT("'"&amp;$B11&amp;"'!$R$6:$R$205"),MATCH($AR11&amp;"|"&amp;R$5,INDIRECT("'"&amp;$B11&amp;"'!$AF$6:$AF$205"),0))),"-"))</f>
        <v/>
      </c>
      <c r="S11" s="37">
        <f>IF(OR(AP11="",S$5="-"),"",IFERROR(IF(INDEX(INDIRECT("'"&amp;$B11&amp;"'!$R$6:$R$205"),MATCH($AR11&amp;"|"&amp;S$5,INDIRECT("'"&amp;$B11&amp;"'!$AF$6:$AF$205"),0))="","",INDEX(INDIRECT("'"&amp;$B11&amp;"'!$R$6:$R$205"),MATCH($AR11&amp;"|"&amp;S$5,INDIRECT("'"&amp;$B11&amp;"'!$AF$6:$AF$205"),0))),"-"))</f>
        <v/>
      </c>
      <c r="T11" s="37">
        <f>IF(OR(AP11="",T$5="-"),"",IFERROR(IF(INDEX(INDIRECT("'"&amp;$B11&amp;"'!$R$6:$R$205"),MATCH($AR11&amp;"|"&amp;T$5,INDIRECT("'"&amp;$B11&amp;"'!$AF$6:$AF$205"),0))="","",INDEX(INDIRECT("'"&amp;$B11&amp;"'!$R$6:$R$205"),MATCH($AR11&amp;"|"&amp;T$5,INDIRECT("'"&amp;$B11&amp;"'!$AF$6:$AF$205"),0))),"-"))</f>
        <v/>
      </c>
      <c r="U11" s="37">
        <f>IF(OR(AP11="",U$5="-"),"",IFERROR(IF(INDEX(INDIRECT("'"&amp;$B11&amp;"'!$R$6:$R$205"),MATCH($AR11&amp;"|"&amp;U$5,INDIRECT("'"&amp;$B11&amp;"'!$AF$6:$AF$205"),0))="","",INDEX(INDIRECT("'"&amp;$B11&amp;"'!$R$6:$R$205"),MATCH($AR11&amp;"|"&amp;U$5,INDIRECT("'"&amp;$B11&amp;"'!$AF$6:$AF$205"),0))),"-"))</f>
        <v/>
      </c>
      <c r="V11" s="37">
        <f>IF(OR(AP11="",V$5="-"),"",IFERROR(IF(INDEX(INDIRECT("'"&amp;$B11&amp;"'!$R$6:$R$205"),MATCH($AR11&amp;"|"&amp;V$5,INDIRECT("'"&amp;$B11&amp;"'!$AF$6:$AF$205"),0))="","",INDEX(INDIRECT("'"&amp;$B11&amp;"'!$R$6:$R$205"),MATCH($AR11&amp;"|"&amp;V$5,INDIRECT("'"&amp;$B11&amp;"'!$AF$6:$AF$205"),0))),"-"))</f>
        <v/>
      </c>
      <c r="W11" s="37">
        <f>IF(OR(AP11="",W$5="-"),"",IFERROR(IF(INDEX(INDIRECT("'"&amp;$B11&amp;"'!$R$6:$R$205"),MATCH($AR11&amp;"|"&amp;W$5,INDIRECT("'"&amp;$B11&amp;"'!$AF$6:$AF$205"),0))="","",INDEX(INDIRECT("'"&amp;$B11&amp;"'!$R$6:$R$205"),MATCH($AR11&amp;"|"&amp;W$5,INDIRECT("'"&amp;$B11&amp;"'!$AF$6:$AF$205"),0))),"-"))</f>
        <v/>
      </c>
      <c r="X11" s="38">
        <f>IF(OR(AP11="",X$5="-"),"",IFERROR(IF(INDEX(INDIRECT("'"&amp;$B11&amp;"'!$T$6:$T$205"),MATCH($AR11&amp;"|"&amp;X$5,INDIRECT("'"&amp;$B11&amp;"'!$AF$6:$AF$205"),0))="","",INDEX(INDIRECT("'"&amp;$B11&amp;"'!$T$6:$T$205"),MATCH($AR11&amp;"|"&amp;X$5,INDIRECT("'"&amp;$B11&amp;"'!$AF$6:$AF$205"),0))),"-"))</f>
        <v/>
      </c>
      <c r="Y11" s="38">
        <f>IF(OR(AP11="",Y$5="-"),"",IFERROR(IF(INDEX(INDIRECT("'"&amp;$B11&amp;"'!$T$6:$T$205"),MATCH($AR11&amp;"|"&amp;Y$5,INDIRECT("'"&amp;$B11&amp;"'!$AF$6:$AF$205"),0))="","",INDEX(INDIRECT("'"&amp;$B11&amp;"'!$T$6:$T$205"),MATCH($AR11&amp;"|"&amp;Y$5,INDIRECT("'"&amp;$B11&amp;"'!$AF$6:$AF$205"),0))),"-"))</f>
        <v/>
      </c>
      <c r="Z11" s="38">
        <f>IF(OR(AP11="",Z$5="-"),"",IFERROR(IF(INDEX(INDIRECT("'"&amp;$B11&amp;"'!$T$6:$T$205"),MATCH($AR11&amp;"|"&amp;Z$5,INDIRECT("'"&amp;$B11&amp;"'!$AF$6:$AF$205"),0))="","",INDEX(INDIRECT("'"&amp;$B11&amp;"'!$T$6:$T$205"),MATCH($AR11&amp;"|"&amp;Z$5,INDIRECT("'"&amp;$B11&amp;"'!$AF$6:$AF$205"),0))),"-"))</f>
        <v/>
      </c>
      <c r="AA11" s="38">
        <f>IF(OR(AP11="",AA$5="-"),"",IFERROR(IF(INDEX(INDIRECT("'"&amp;$B11&amp;"'!$T$6:$T$205"),MATCH($AR11&amp;"|"&amp;AA$5,INDIRECT("'"&amp;$B11&amp;"'!$AF$6:$AF$205"),0))="","",INDEX(INDIRECT("'"&amp;$B11&amp;"'!$T$6:$T$205"),MATCH($AR11&amp;"|"&amp;AA$5,INDIRECT("'"&amp;$B11&amp;"'!$AF$6:$AF$205"),0))),"-"))</f>
        <v/>
      </c>
      <c r="AB11" s="38">
        <f>IF(OR(AP11="",AB$5="-"),"",IFERROR(IF(INDEX(INDIRECT("'"&amp;$B11&amp;"'!$T$6:$T$205"),MATCH($AR11&amp;"|"&amp;AB$5,INDIRECT("'"&amp;$B11&amp;"'!$AF$6:$AF$205"),0))="","",INDEX(INDIRECT("'"&amp;$B11&amp;"'!$T$6:$T$205"),MATCH($AR11&amp;"|"&amp;AB$5,INDIRECT("'"&amp;$B11&amp;"'!$AF$6:$AF$205"),0))),"-"))</f>
        <v/>
      </c>
      <c r="AC11" s="38">
        <f>IF(OR(AP11="",AC$5="-"),"",IFERROR(IF(INDEX(INDIRECT("'"&amp;$B11&amp;"'!$T$6:$T$205"),MATCH($AR11&amp;"|"&amp;AC$5,INDIRECT("'"&amp;$B11&amp;"'!$AF$6:$AF$205"),0))="","",INDEX(INDIRECT("'"&amp;$B11&amp;"'!$T$6:$T$205"),MATCH($AR11&amp;"|"&amp;AC$5,INDIRECT("'"&amp;$B11&amp;"'!$AF$6:$AF$205"),0))),"-"))</f>
        <v/>
      </c>
      <c r="AD11" s="38">
        <f>IF(OR(AP11="",AD$5="-"),"",IFERROR(IF(INDEX(INDIRECT("'"&amp;$B11&amp;"'!$T$6:$T$205"),MATCH($AR11&amp;"|"&amp;AD$5,INDIRECT("'"&amp;$B11&amp;"'!$AF$6:$AF$205"),0))="","",INDEX(INDIRECT("'"&amp;$B11&amp;"'!$T$6:$T$205"),MATCH($AR11&amp;"|"&amp;AD$5,INDIRECT("'"&amp;$B11&amp;"'!$AF$6:$AF$205"),0))),"-"))</f>
        <v/>
      </c>
      <c r="AE11" s="38">
        <f>IF(OR(AP11="",AE$5="-"),"",IFERROR(IF(INDEX(INDIRECT("'"&amp;$B11&amp;"'!$T$6:$T$205"),MATCH($AR11&amp;"|"&amp;AE$5,INDIRECT("'"&amp;$B11&amp;"'!$AF$6:$AF$205"),0))="","",INDEX(INDIRECT("'"&amp;$B11&amp;"'!$T$6:$T$205"),MATCH($AR11&amp;"|"&amp;AE$5,INDIRECT("'"&amp;$B11&amp;"'!$AF$6:$AF$205"),0))),"-"))</f>
        <v/>
      </c>
      <c r="AF11" s="35">
        <f>IF(AG11="","",INDEX($P$5:$W$5,MATCH(AG11,P11:W11,0)))</f>
        <v/>
      </c>
      <c r="AG11" s="37">
        <f>IF(COUNT(P11:W11)=0,"",MIN(P11:W11))</f>
        <v/>
      </c>
      <c r="AH11" s="39">
        <f>IF(AG11="","",AG11*F11)</f>
        <v/>
      </c>
      <c r="AI11" s="39">
        <f>IF(COUNT(P11:W11)&lt;2,"",(MAX(P11:W11)-MIN(P11:W11))*F11)</f>
        <v/>
      </c>
      <c r="AJ11" s="20" t="n"/>
      <c r="AP11">
        <f>IF(6&gt;MAX($AN$6:$AN$9),"",COUNTIF($AN$6:$AN$9,"&lt;"&amp;6)+1)</f>
        <v/>
      </c>
      <c r="AQ11">
        <f>IF(AP11="","",6-INDEX($AO$6:$AO$9,AP11))</f>
        <v/>
      </c>
      <c r="AR11">
        <f>IF(AP11="","",INDEX(INDIRECT("'"&amp;$B11&amp;"'!$AE$6:$AE$205"),MATCH(AQ11,INDIRECT("'"&amp;$B11&amp;"'!$AI$6:$AI$205"),0)))</f>
        <v/>
      </c>
    </row>
    <row r="12">
      <c r="A12" s="34">
        <f>IF(AP12="","",7)</f>
        <v/>
      </c>
      <c r="B12" s="35">
        <f>IF(AP12="","",INDEX($AL$6:$AL$9,AP12))</f>
        <v/>
      </c>
      <c r="C12" s="34">
        <f>IF(AP12="","",INDEX(INDIRECT("'"&amp;$B12&amp;"'!$B$6:$B$205"),MATCH($AR12,INDIRECT("'"&amp;$B12&amp;"'!$AE$6:$AE$205"),0)))</f>
        <v/>
      </c>
      <c r="D12" s="34">
        <f>IF(AP12="","",INDEX(INDIRECT("'"&amp;$B12&amp;"'!$D$6:$D$205"),MATCH($AR12,INDIRECT("'"&amp;$B12&amp;"'!$AE$6:$AE$205"),0)))</f>
        <v/>
      </c>
      <c r="E12" s="36">
        <f>IF(AP12="","",INDEX(INDIRECT("'"&amp;$B12&amp;"'!$F$6:$F$205"),MATCH($AR12,INDIRECT("'"&amp;$B12&amp;"'!$AE$6:$AE$205"),0)))</f>
        <v/>
      </c>
      <c r="F12" s="34">
        <f>IF(AP12="","",INDEX(INDIRECT("'"&amp;$B12&amp;"'!$K$6:$K$205"),MATCH($AR12,INDIRECT("'"&amp;$B12&amp;"'!$AE$6:$AE$205"),0)))</f>
        <v/>
      </c>
      <c r="G12" s="34">
        <f>IF(AP12="","",INDEX(INDIRECT("'"&amp;$B12&amp;"'!$L$6:$L$205"),MATCH($AR12,INDIRECT("'"&amp;$B12&amp;"'!$AE$6:$AE$205"),0)))</f>
        <v/>
      </c>
      <c r="H12" s="34">
        <f>IF(OR(AP12="",H$5="-"),"",IFERROR(IF(INDEX(INDIRECT("'"&amp;$B12&amp;"'!$N$6:$N$205"),MATCH($AR12&amp;"|"&amp;H$5,INDIRECT("'"&amp;$B12&amp;"'!$AF$6:$AF$205"),0))="","",INDEX(INDIRECT("'"&amp;$B12&amp;"'!$N$6:$N$205"),MATCH($AR12&amp;"|"&amp;H$5,INDIRECT("'"&amp;$B12&amp;"'!$AF$6:$AF$205"),0))),"-"))</f>
        <v/>
      </c>
      <c r="I12" s="34">
        <f>IF(OR(AP12="",I$5="-"),"",IFERROR(IF(INDEX(INDIRECT("'"&amp;$B12&amp;"'!$N$6:$N$205"),MATCH($AR12&amp;"|"&amp;I$5,INDIRECT("'"&amp;$B12&amp;"'!$AF$6:$AF$205"),0))="","",INDEX(INDIRECT("'"&amp;$B12&amp;"'!$N$6:$N$205"),MATCH($AR12&amp;"|"&amp;I$5,INDIRECT("'"&amp;$B12&amp;"'!$AF$6:$AF$205"),0))),"-"))</f>
        <v/>
      </c>
      <c r="J12" s="34">
        <f>IF(OR(AP12="",J$5="-"),"",IFERROR(IF(INDEX(INDIRECT("'"&amp;$B12&amp;"'!$N$6:$N$205"),MATCH($AR12&amp;"|"&amp;J$5,INDIRECT("'"&amp;$B12&amp;"'!$AF$6:$AF$205"),0))="","",INDEX(INDIRECT("'"&amp;$B12&amp;"'!$N$6:$N$205"),MATCH($AR12&amp;"|"&amp;J$5,INDIRECT("'"&amp;$B12&amp;"'!$AF$6:$AF$205"),0))),"-"))</f>
        <v/>
      </c>
      <c r="K12" s="34">
        <f>IF(OR(AP12="",K$5="-"),"",IFERROR(IF(INDEX(INDIRECT("'"&amp;$B12&amp;"'!$N$6:$N$205"),MATCH($AR12&amp;"|"&amp;K$5,INDIRECT("'"&amp;$B12&amp;"'!$AF$6:$AF$205"),0))="","",INDEX(INDIRECT("'"&amp;$B12&amp;"'!$N$6:$N$205"),MATCH($AR12&amp;"|"&amp;K$5,INDIRECT("'"&amp;$B12&amp;"'!$AF$6:$AF$205"),0))),"-"))</f>
        <v/>
      </c>
      <c r="L12" s="34">
        <f>IF(OR(AP12="",L$5="-"),"",IFERROR(IF(INDEX(INDIRECT("'"&amp;$B12&amp;"'!$N$6:$N$205"),MATCH($AR12&amp;"|"&amp;L$5,INDIRECT("'"&amp;$B12&amp;"'!$AF$6:$AF$205"),0))="","",INDEX(INDIRECT("'"&amp;$B12&amp;"'!$N$6:$N$205"),MATCH($AR12&amp;"|"&amp;L$5,INDIRECT("'"&amp;$B12&amp;"'!$AF$6:$AF$205"),0))),"-"))</f>
        <v/>
      </c>
      <c r="M12" s="34">
        <f>IF(OR(AP12="",M$5="-"),"",IFERROR(IF(INDEX(INDIRECT("'"&amp;$B12&amp;"'!$N$6:$N$205"),MATCH($AR12&amp;"|"&amp;M$5,INDIRECT("'"&amp;$B12&amp;"'!$AF$6:$AF$205"),0))="","",INDEX(INDIRECT("'"&amp;$B12&amp;"'!$N$6:$N$205"),MATCH($AR12&amp;"|"&amp;M$5,INDIRECT("'"&amp;$B12&amp;"'!$AF$6:$AF$205"),0))),"-"))</f>
        <v/>
      </c>
      <c r="N12" s="34">
        <f>IF(OR(AP12="",N$5="-"),"",IFERROR(IF(INDEX(INDIRECT("'"&amp;$B12&amp;"'!$N$6:$N$205"),MATCH($AR12&amp;"|"&amp;N$5,INDIRECT("'"&amp;$B12&amp;"'!$AF$6:$AF$205"),0))="","",INDEX(INDIRECT("'"&amp;$B12&amp;"'!$N$6:$N$205"),MATCH($AR12&amp;"|"&amp;N$5,INDIRECT("'"&amp;$B12&amp;"'!$AF$6:$AF$205"),0))),"-"))</f>
        <v/>
      </c>
      <c r="O12" s="34">
        <f>IF(OR(AP12="",O$5="-"),"",IFERROR(IF(INDEX(INDIRECT("'"&amp;$B12&amp;"'!$N$6:$N$205"),MATCH($AR12&amp;"|"&amp;O$5,INDIRECT("'"&amp;$B12&amp;"'!$AF$6:$AF$205"),0))="","",INDEX(INDIRECT("'"&amp;$B12&amp;"'!$N$6:$N$205"),MATCH($AR12&amp;"|"&amp;O$5,INDIRECT("'"&amp;$B12&amp;"'!$AF$6:$AF$205"),0))),"-"))</f>
        <v/>
      </c>
      <c r="P12" s="37">
        <f>IF(OR(AP12="",P$5="-"),"",IFERROR(IF(INDEX(INDIRECT("'"&amp;$B12&amp;"'!$R$6:$R$205"),MATCH($AR12&amp;"|"&amp;P$5,INDIRECT("'"&amp;$B12&amp;"'!$AF$6:$AF$205"),0))="","",INDEX(INDIRECT("'"&amp;$B12&amp;"'!$R$6:$R$205"),MATCH($AR12&amp;"|"&amp;P$5,INDIRECT("'"&amp;$B12&amp;"'!$AF$6:$AF$205"),0))),"-"))</f>
        <v/>
      </c>
      <c r="Q12" s="37">
        <f>IF(OR(AP12="",Q$5="-"),"",IFERROR(IF(INDEX(INDIRECT("'"&amp;$B12&amp;"'!$R$6:$R$205"),MATCH($AR12&amp;"|"&amp;Q$5,INDIRECT("'"&amp;$B12&amp;"'!$AF$6:$AF$205"),0))="","",INDEX(INDIRECT("'"&amp;$B12&amp;"'!$R$6:$R$205"),MATCH($AR12&amp;"|"&amp;Q$5,INDIRECT("'"&amp;$B12&amp;"'!$AF$6:$AF$205"),0))),"-"))</f>
        <v/>
      </c>
      <c r="R12" s="37">
        <f>IF(OR(AP12="",R$5="-"),"",IFERROR(IF(INDEX(INDIRECT("'"&amp;$B12&amp;"'!$R$6:$R$205"),MATCH($AR12&amp;"|"&amp;R$5,INDIRECT("'"&amp;$B12&amp;"'!$AF$6:$AF$205"),0))="","",INDEX(INDIRECT("'"&amp;$B12&amp;"'!$R$6:$R$205"),MATCH($AR12&amp;"|"&amp;R$5,INDIRECT("'"&amp;$B12&amp;"'!$AF$6:$AF$205"),0))),"-"))</f>
        <v/>
      </c>
      <c r="S12" s="37">
        <f>IF(OR(AP12="",S$5="-"),"",IFERROR(IF(INDEX(INDIRECT("'"&amp;$B12&amp;"'!$R$6:$R$205"),MATCH($AR12&amp;"|"&amp;S$5,INDIRECT("'"&amp;$B12&amp;"'!$AF$6:$AF$205"),0))="","",INDEX(INDIRECT("'"&amp;$B12&amp;"'!$R$6:$R$205"),MATCH($AR12&amp;"|"&amp;S$5,INDIRECT("'"&amp;$B12&amp;"'!$AF$6:$AF$205"),0))),"-"))</f>
        <v/>
      </c>
      <c r="T12" s="37">
        <f>IF(OR(AP12="",T$5="-"),"",IFERROR(IF(INDEX(INDIRECT("'"&amp;$B12&amp;"'!$R$6:$R$205"),MATCH($AR12&amp;"|"&amp;T$5,INDIRECT("'"&amp;$B12&amp;"'!$AF$6:$AF$205"),0))="","",INDEX(INDIRECT("'"&amp;$B12&amp;"'!$R$6:$R$205"),MATCH($AR12&amp;"|"&amp;T$5,INDIRECT("'"&amp;$B12&amp;"'!$AF$6:$AF$205"),0))),"-"))</f>
        <v/>
      </c>
      <c r="U12" s="37">
        <f>IF(OR(AP12="",U$5="-"),"",IFERROR(IF(INDEX(INDIRECT("'"&amp;$B12&amp;"'!$R$6:$R$205"),MATCH($AR12&amp;"|"&amp;U$5,INDIRECT("'"&amp;$B12&amp;"'!$AF$6:$AF$205"),0))="","",INDEX(INDIRECT("'"&amp;$B12&amp;"'!$R$6:$R$205"),MATCH($AR12&amp;"|"&amp;U$5,INDIRECT("'"&amp;$B12&amp;"'!$AF$6:$AF$205"),0))),"-"))</f>
        <v/>
      </c>
      <c r="V12" s="37">
        <f>IF(OR(AP12="",V$5="-"),"",IFERROR(IF(INDEX(INDIRECT("'"&amp;$B12&amp;"'!$R$6:$R$205"),MATCH($AR12&amp;"|"&amp;V$5,INDIRECT("'"&amp;$B12&amp;"'!$AF$6:$AF$205"),0))="","",INDEX(INDIRECT("'"&amp;$B12&amp;"'!$R$6:$R$205"),MATCH($AR12&amp;"|"&amp;V$5,INDIRECT("'"&amp;$B12&amp;"'!$AF$6:$AF$205"),0))),"-"))</f>
        <v/>
      </c>
      <c r="W12" s="37">
        <f>IF(OR(AP12="",W$5="-"),"",IFERROR(IF(INDEX(INDIRECT("'"&amp;$B12&amp;"'!$R$6:$R$205"),MATCH($AR12&amp;"|"&amp;W$5,INDIRECT("'"&amp;$B12&amp;"'!$AF$6:$AF$205"),0))="","",INDEX(INDIRECT("'"&amp;$B12&amp;"'!$R$6:$R$205"),MATCH($AR12&amp;"|"&amp;W$5,INDIRECT("'"&amp;$B12&amp;"'!$AF$6:$AF$205"),0))),"-"))</f>
        <v/>
      </c>
      <c r="X12" s="38">
        <f>IF(OR(AP12="",X$5="-"),"",IFERROR(IF(INDEX(INDIRECT("'"&amp;$B12&amp;"'!$T$6:$T$205"),MATCH($AR12&amp;"|"&amp;X$5,INDIRECT("'"&amp;$B12&amp;"'!$AF$6:$AF$205"),0))="","",INDEX(INDIRECT("'"&amp;$B12&amp;"'!$T$6:$T$205"),MATCH($AR12&amp;"|"&amp;X$5,INDIRECT("'"&amp;$B12&amp;"'!$AF$6:$AF$205"),0))),"-"))</f>
        <v/>
      </c>
      <c r="Y12" s="38">
        <f>IF(OR(AP12="",Y$5="-"),"",IFERROR(IF(INDEX(INDIRECT("'"&amp;$B12&amp;"'!$T$6:$T$205"),MATCH($AR12&amp;"|"&amp;Y$5,INDIRECT("'"&amp;$B12&amp;"'!$AF$6:$AF$205"),0))="","",INDEX(INDIRECT("'"&amp;$B12&amp;"'!$T$6:$T$205"),MATCH($AR12&amp;"|"&amp;Y$5,INDIRECT("'"&amp;$B12&amp;"'!$AF$6:$AF$205"),0))),"-"))</f>
        <v/>
      </c>
      <c r="Z12" s="38">
        <f>IF(OR(AP12="",Z$5="-"),"",IFERROR(IF(INDEX(INDIRECT("'"&amp;$B12&amp;"'!$T$6:$T$205"),MATCH($AR12&amp;"|"&amp;Z$5,INDIRECT("'"&amp;$B12&amp;"'!$AF$6:$AF$205"),0))="","",INDEX(INDIRECT("'"&amp;$B12&amp;"'!$T$6:$T$205"),MATCH($AR12&amp;"|"&amp;Z$5,INDIRECT("'"&amp;$B12&amp;"'!$AF$6:$AF$205"),0))),"-"))</f>
        <v/>
      </c>
      <c r="AA12" s="38">
        <f>IF(OR(AP12="",AA$5="-"),"",IFERROR(IF(INDEX(INDIRECT("'"&amp;$B12&amp;"'!$T$6:$T$205"),MATCH($AR12&amp;"|"&amp;AA$5,INDIRECT("'"&amp;$B12&amp;"'!$AF$6:$AF$205"),0))="","",INDEX(INDIRECT("'"&amp;$B12&amp;"'!$T$6:$T$205"),MATCH($AR12&amp;"|"&amp;AA$5,INDIRECT("'"&amp;$B12&amp;"'!$AF$6:$AF$205"),0))),"-"))</f>
        <v/>
      </c>
      <c r="AB12" s="38">
        <f>IF(OR(AP12="",AB$5="-"),"",IFERROR(IF(INDEX(INDIRECT("'"&amp;$B12&amp;"'!$T$6:$T$205"),MATCH($AR12&amp;"|"&amp;AB$5,INDIRECT("'"&amp;$B12&amp;"'!$AF$6:$AF$205"),0))="","",INDEX(INDIRECT("'"&amp;$B12&amp;"'!$T$6:$T$205"),MATCH($AR12&amp;"|"&amp;AB$5,INDIRECT("'"&amp;$B12&amp;"'!$AF$6:$AF$205"),0))),"-"))</f>
        <v/>
      </c>
      <c r="AC12" s="38">
        <f>IF(OR(AP12="",AC$5="-"),"",IFERROR(IF(INDEX(INDIRECT("'"&amp;$B12&amp;"'!$T$6:$T$205"),MATCH($AR12&amp;"|"&amp;AC$5,INDIRECT("'"&amp;$B12&amp;"'!$AF$6:$AF$205"),0))="","",INDEX(INDIRECT("'"&amp;$B12&amp;"'!$T$6:$T$205"),MATCH($AR12&amp;"|"&amp;AC$5,INDIRECT("'"&amp;$B12&amp;"'!$AF$6:$AF$205"),0))),"-"))</f>
        <v/>
      </c>
      <c r="AD12" s="38">
        <f>IF(OR(AP12="",AD$5="-"),"",IFERROR(IF(INDEX(INDIRECT("'"&amp;$B12&amp;"'!$T$6:$T$205"),MATCH($AR12&amp;"|"&amp;AD$5,INDIRECT("'"&amp;$B12&amp;"'!$AF$6:$AF$205"),0))="","",INDEX(INDIRECT("'"&amp;$B12&amp;"'!$T$6:$T$205"),MATCH($AR12&amp;"|"&amp;AD$5,INDIRECT("'"&amp;$B12&amp;"'!$AF$6:$AF$205"),0))),"-"))</f>
        <v/>
      </c>
      <c r="AE12" s="38">
        <f>IF(OR(AP12="",AE$5="-"),"",IFERROR(IF(INDEX(INDIRECT("'"&amp;$B12&amp;"'!$T$6:$T$205"),MATCH($AR12&amp;"|"&amp;AE$5,INDIRECT("'"&amp;$B12&amp;"'!$AF$6:$AF$205"),0))="","",INDEX(INDIRECT("'"&amp;$B12&amp;"'!$T$6:$T$205"),MATCH($AR12&amp;"|"&amp;AE$5,INDIRECT("'"&amp;$B12&amp;"'!$AF$6:$AF$205"),0))),"-"))</f>
        <v/>
      </c>
      <c r="AF12" s="35">
        <f>IF(AG12="","",INDEX($P$5:$W$5,MATCH(AG12,P12:W12,0)))</f>
        <v/>
      </c>
      <c r="AG12" s="37">
        <f>IF(COUNT(P12:W12)=0,"",MIN(P12:W12))</f>
        <v/>
      </c>
      <c r="AH12" s="39">
        <f>IF(AG12="","",AG12*F12)</f>
        <v/>
      </c>
      <c r="AI12" s="39">
        <f>IF(COUNT(P12:W12)&lt;2,"",(MAX(P12:W12)-MIN(P12:W12))*F12)</f>
        <v/>
      </c>
      <c r="AJ12" s="20" t="n"/>
      <c r="AP12">
        <f>IF(7&gt;MAX($AN$6:$AN$9),"",COUNTIF($AN$6:$AN$9,"&lt;"&amp;7)+1)</f>
        <v/>
      </c>
      <c r="AQ12">
        <f>IF(AP12="","",7-INDEX($AO$6:$AO$9,AP12))</f>
        <v/>
      </c>
      <c r="AR12">
        <f>IF(AP12="","",INDEX(INDIRECT("'"&amp;$B12&amp;"'!$AE$6:$AE$205"),MATCH(AQ12,INDIRECT("'"&amp;$B12&amp;"'!$AI$6:$AI$205"),0)))</f>
        <v/>
      </c>
    </row>
    <row r="13">
      <c r="A13" s="34">
        <f>IF(AP13="","",8)</f>
        <v/>
      </c>
      <c r="B13" s="35">
        <f>IF(AP13="","",INDEX($AL$6:$AL$9,AP13))</f>
        <v/>
      </c>
      <c r="C13" s="34">
        <f>IF(AP13="","",INDEX(INDIRECT("'"&amp;$B13&amp;"'!$B$6:$B$205"),MATCH($AR13,INDIRECT("'"&amp;$B13&amp;"'!$AE$6:$AE$205"),0)))</f>
        <v/>
      </c>
      <c r="D13" s="34">
        <f>IF(AP13="","",INDEX(INDIRECT("'"&amp;$B13&amp;"'!$D$6:$D$205"),MATCH($AR13,INDIRECT("'"&amp;$B13&amp;"'!$AE$6:$AE$205"),0)))</f>
        <v/>
      </c>
      <c r="E13" s="36">
        <f>IF(AP13="","",INDEX(INDIRECT("'"&amp;$B13&amp;"'!$F$6:$F$205"),MATCH($AR13,INDIRECT("'"&amp;$B13&amp;"'!$AE$6:$AE$205"),0)))</f>
        <v/>
      </c>
      <c r="F13" s="34">
        <f>IF(AP13="","",INDEX(INDIRECT("'"&amp;$B13&amp;"'!$K$6:$K$205"),MATCH($AR13,INDIRECT("'"&amp;$B13&amp;"'!$AE$6:$AE$205"),0)))</f>
        <v/>
      </c>
      <c r="G13" s="34">
        <f>IF(AP13="","",INDEX(INDIRECT("'"&amp;$B13&amp;"'!$L$6:$L$205"),MATCH($AR13,INDIRECT("'"&amp;$B13&amp;"'!$AE$6:$AE$205"),0)))</f>
        <v/>
      </c>
      <c r="H13" s="34">
        <f>IF(OR(AP13="",H$5="-"),"",IFERROR(IF(INDEX(INDIRECT("'"&amp;$B13&amp;"'!$N$6:$N$205"),MATCH($AR13&amp;"|"&amp;H$5,INDIRECT("'"&amp;$B13&amp;"'!$AF$6:$AF$205"),0))="","",INDEX(INDIRECT("'"&amp;$B13&amp;"'!$N$6:$N$205"),MATCH($AR13&amp;"|"&amp;H$5,INDIRECT("'"&amp;$B13&amp;"'!$AF$6:$AF$205"),0))),"-"))</f>
        <v/>
      </c>
      <c r="I13" s="34">
        <f>IF(OR(AP13="",I$5="-"),"",IFERROR(IF(INDEX(INDIRECT("'"&amp;$B13&amp;"'!$N$6:$N$205"),MATCH($AR13&amp;"|"&amp;I$5,INDIRECT("'"&amp;$B13&amp;"'!$AF$6:$AF$205"),0))="","",INDEX(INDIRECT("'"&amp;$B13&amp;"'!$N$6:$N$205"),MATCH($AR13&amp;"|"&amp;I$5,INDIRECT("'"&amp;$B13&amp;"'!$AF$6:$AF$205"),0))),"-"))</f>
        <v/>
      </c>
      <c r="J13" s="34">
        <f>IF(OR(AP13="",J$5="-"),"",IFERROR(IF(INDEX(INDIRECT("'"&amp;$B13&amp;"'!$N$6:$N$205"),MATCH($AR13&amp;"|"&amp;J$5,INDIRECT("'"&amp;$B13&amp;"'!$AF$6:$AF$205"),0))="","",INDEX(INDIRECT("'"&amp;$B13&amp;"'!$N$6:$N$205"),MATCH($AR13&amp;"|"&amp;J$5,INDIRECT("'"&amp;$B13&amp;"'!$AF$6:$AF$205"),0))),"-"))</f>
        <v/>
      </c>
      <c r="K13" s="34">
        <f>IF(OR(AP13="",K$5="-"),"",IFERROR(IF(INDEX(INDIRECT("'"&amp;$B13&amp;"'!$N$6:$N$205"),MATCH($AR13&amp;"|"&amp;K$5,INDIRECT("'"&amp;$B13&amp;"'!$AF$6:$AF$205"),0))="","",INDEX(INDIRECT("'"&amp;$B13&amp;"'!$N$6:$N$205"),MATCH($AR13&amp;"|"&amp;K$5,INDIRECT("'"&amp;$B13&amp;"'!$AF$6:$AF$205"),0))),"-"))</f>
        <v/>
      </c>
      <c r="L13" s="34">
        <f>IF(OR(AP13="",L$5="-"),"",IFERROR(IF(INDEX(INDIRECT("'"&amp;$B13&amp;"'!$N$6:$N$205"),MATCH($AR13&amp;"|"&amp;L$5,INDIRECT("'"&amp;$B13&amp;"'!$AF$6:$AF$205"),0))="","",INDEX(INDIRECT("'"&amp;$B13&amp;"'!$N$6:$N$205"),MATCH($AR13&amp;"|"&amp;L$5,INDIRECT("'"&amp;$B13&amp;"'!$AF$6:$AF$205"),0))),"-"))</f>
        <v/>
      </c>
      <c r="M13" s="34">
        <f>IF(OR(AP13="",M$5="-"),"",IFERROR(IF(INDEX(INDIRECT("'"&amp;$B13&amp;"'!$N$6:$N$205"),MATCH($AR13&amp;"|"&amp;M$5,INDIRECT("'"&amp;$B13&amp;"'!$AF$6:$AF$205"),0))="","",INDEX(INDIRECT("'"&amp;$B13&amp;"'!$N$6:$N$205"),MATCH($AR13&amp;"|"&amp;M$5,INDIRECT("'"&amp;$B13&amp;"'!$AF$6:$AF$205"),0))),"-"))</f>
        <v/>
      </c>
      <c r="N13" s="34">
        <f>IF(OR(AP13="",N$5="-"),"",IFERROR(IF(INDEX(INDIRECT("'"&amp;$B13&amp;"'!$N$6:$N$205"),MATCH($AR13&amp;"|"&amp;N$5,INDIRECT("'"&amp;$B13&amp;"'!$AF$6:$AF$205"),0))="","",INDEX(INDIRECT("'"&amp;$B13&amp;"'!$N$6:$N$205"),MATCH($AR13&amp;"|"&amp;N$5,INDIRECT("'"&amp;$B13&amp;"'!$AF$6:$AF$205"),0))),"-"))</f>
        <v/>
      </c>
      <c r="O13" s="34">
        <f>IF(OR(AP13="",O$5="-"),"",IFERROR(IF(INDEX(INDIRECT("'"&amp;$B13&amp;"'!$N$6:$N$205"),MATCH($AR13&amp;"|"&amp;O$5,INDIRECT("'"&amp;$B13&amp;"'!$AF$6:$AF$205"),0))="","",INDEX(INDIRECT("'"&amp;$B13&amp;"'!$N$6:$N$205"),MATCH($AR13&amp;"|"&amp;O$5,INDIRECT("'"&amp;$B13&amp;"'!$AF$6:$AF$205"),0))),"-"))</f>
        <v/>
      </c>
      <c r="P13" s="37">
        <f>IF(OR(AP13="",P$5="-"),"",IFERROR(IF(INDEX(INDIRECT("'"&amp;$B13&amp;"'!$R$6:$R$205"),MATCH($AR13&amp;"|"&amp;P$5,INDIRECT("'"&amp;$B13&amp;"'!$AF$6:$AF$205"),0))="","",INDEX(INDIRECT("'"&amp;$B13&amp;"'!$R$6:$R$205"),MATCH($AR13&amp;"|"&amp;P$5,INDIRECT("'"&amp;$B13&amp;"'!$AF$6:$AF$205"),0))),"-"))</f>
        <v/>
      </c>
      <c r="Q13" s="37">
        <f>IF(OR(AP13="",Q$5="-"),"",IFERROR(IF(INDEX(INDIRECT("'"&amp;$B13&amp;"'!$R$6:$R$205"),MATCH($AR13&amp;"|"&amp;Q$5,INDIRECT("'"&amp;$B13&amp;"'!$AF$6:$AF$205"),0))="","",INDEX(INDIRECT("'"&amp;$B13&amp;"'!$R$6:$R$205"),MATCH($AR13&amp;"|"&amp;Q$5,INDIRECT("'"&amp;$B13&amp;"'!$AF$6:$AF$205"),0))),"-"))</f>
        <v/>
      </c>
      <c r="R13" s="37">
        <f>IF(OR(AP13="",R$5="-"),"",IFERROR(IF(INDEX(INDIRECT("'"&amp;$B13&amp;"'!$R$6:$R$205"),MATCH($AR13&amp;"|"&amp;R$5,INDIRECT("'"&amp;$B13&amp;"'!$AF$6:$AF$205"),0))="","",INDEX(INDIRECT("'"&amp;$B13&amp;"'!$R$6:$R$205"),MATCH($AR13&amp;"|"&amp;R$5,INDIRECT("'"&amp;$B13&amp;"'!$AF$6:$AF$205"),0))),"-"))</f>
        <v/>
      </c>
      <c r="S13" s="37">
        <f>IF(OR(AP13="",S$5="-"),"",IFERROR(IF(INDEX(INDIRECT("'"&amp;$B13&amp;"'!$R$6:$R$205"),MATCH($AR13&amp;"|"&amp;S$5,INDIRECT("'"&amp;$B13&amp;"'!$AF$6:$AF$205"),0))="","",INDEX(INDIRECT("'"&amp;$B13&amp;"'!$R$6:$R$205"),MATCH($AR13&amp;"|"&amp;S$5,INDIRECT("'"&amp;$B13&amp;"'!$AF$6:$AF$205"),0))),"-"))</f>
        <v/>
      </c>
      <c r="T13" s="37">
        <f>IF(OR(AP13="",T$5="-"),"",IFERROR(IF(INDEX(INDIRECT("'"&amp;$B13&amp;"'!$R$6:$R$205"),MATCH($AR13&amp;"|"&amp;T$5,INDIRECT("'"&amp;$B13&amp;"'!$AF$6:$AF$205"),0))="","",INDEX(INDIRECT("'"&amp;$B13&amp;"'!$R$6:$R$205"),MATCH($AR13&amp;"|"&amp;T$5,INDIRECT("'"&amp;$B13&amp;"'!$AF$6:$AF$205"),0))),"-"))</f>
        <v/>
      </c>
      <c r="U13" s="37">
        <f>IF(OR(AP13="",U$5="-"),"",IFERROR(IF(INDEX(INDIRECT("'"&amp;$B13&amp;"'!$R$6:$R$205"),MATCH($AR13&amp;"|"&amp;U$5,INDIRECT("'"&amp;$B13&amp;"'!$AF$6:$AF$205"),0))="","",INDEX(INDIRECT("'"&amp;$B13&amp;"'!$R$6:$R$205"),MATCH($AR13&amp;"|"&amp;U$5,INDIRECT("'"&amp;$B13&amp;"'!$AF$6:$AF$205"),0))),"-"))</f>
        <v/>
      </c>
      <c r="V13" s="37">
        <f>IF(OR(AP13="",V$5="-"),"",IFERROR(IF(INDEX(INDIRECT("'"&amp;$B13&amp;"'!$R$6:$R$205"),MATCH($AR13&amp;"|"&amp;V$5,INDIRECT("'"&amp;$B13&amp;"'!$AF$6:$AF$205"),0))="","",INDEX(INDIRECT("'"&amp;$B13&amp;"'!$R$6:$R$205"),MATCH($AR13&amp;"|"&amp;V$5,INDIRECT("'"&amp;$B13&amp;"'!$AF$6:$AF$205"),0))),"-"))</f>
        <v/>
      </c>
      <c r="W13" s="37">
        <f>IF(OR(AP13="",W$5="-"),"",IFERROR(IF(INDEX(INDIRECT("'"&amp;$B13&amp;"'!$R$6:$R$205"),MATCH($AR13&amp;"|"&amp;W$5,INDIRECT("'"&amp;$B13&amp;"'!$AF$6:$AF$205"),0))="","",INDEX(INDIRECT("'"&amp;$B13&amp;"'!$R$6:$R$205"),MATCH($AR13&amp;"|"&amp;W$5,INDIRECT("'"&amp;$B13&amp;"'!$AF$6:$AF$205"),0))),"-"))</f>
        <v/>
      </c>
      <c r="X13" s="38">
        <f>IF(OR(AP13="",X$5="-"),"",IFERROR(IF(INDEX(INDIRECT("'"&amp;$B13&amp;"'!$T$6:$T$205"),MATCH($AR13&amp;"|"&amp;X$5,INDIRECT("'"&amp;$B13&amp;"'!$AF$6:$AF$205"),0))="","",INDEX(INDIRECT("'"&amp;$B13&amp;"'!$T$6:$T$205"),MATCH($AR13&amp;"|"&amp;X$5,INDIRECT("'"&amp;$B13&amp;"'!$AF$6:$AF$205"),0))),"-"))</f>
        <v/>
      </c>
      <c r="Y13" s="38">
        <f>IF(OR(AP13="",Y$5="-"),"",IFERROR(IF(INDEX(INDIRECT("'"&amp;$B13&amp;"'!$T$6:$T$205"),MATCH($AR13&amp;"|"&amp;Y$5,INDIRECT("'"&amp;$B13&amp;"'!$AF$6:$AF$205"),0))="","",INDEX(INDIRECT("'"&amp;$B13&amp;"'!$T$6:$T$205"),MATCH($AR13&amp;"|"&amp;Y$5,INDIRECT("'"&amp;$B13&amp;"'!$AF$6:$AF$205"),0))),"-"))</f>
        <v/>
      </c>
      <c r="Z13" s="38">
        <f>IF(OR(AP13="",Z$5="-"),"",IFERROR(IF(INDEX(INDIRECT("'"&amp;$B13&amp;"'!$T$6:$T$205"),MATCH($AR13&amp;"|"&amp;Z$5,INDIRECT("'"&amp;$B13&amp;"'!$AF$6:$AF$205"),0))="","",INDEX(INDIRECT("'"&amp;$B13&amp;"'!$T$6:$T$205"),MATCH($AR13&amp;"|"&amp;Z$5,INDIRECT("'"&amp;$B13&amp;"'!$AF$6:$AF$205"),0))),"-"))</f>
        <v/>
      </c>
      <c r="AA13" s="38">
        <f>IF(OR(AP13="",AA$5="-"),"",IFERROR(IF(INDEX(INDIRECT("'"&amp;$B13&amp;"'!$T$6:$T$205"),MATCH($AR13&amp;"|"&amp;AA$5,INDIRECT("'"&amp;$B13&amp;"'!$AF$6:$AF$205"),0))="","",INDEX(INDIRECT("'"&amp;$B13&amp;"'!$T$6:$T$205"),MATCH($AR13&amp;"|"&amp;AA$5,INDIRECT("'"&amp;$B13&amp;"'!$AF$6:$AF$205"),0))),"-"))</f>
        <v/>
      </c>
      <c r="AB13" s="38">
        <f>IF(OR(AP13="",AB$5="-"),"",IFERROR(IF(INDEX(INDIRECT("'"&amp;$B13&amp;"'!$T$6:$T$205"),MATCH($AR13&amp;"|"&amp;AB$5,INDIRECT("'"&amp;$B13&amp;"'!$AF$6:$AF$205"),0))="","",INDEX(INDIRECT("'"&amp;$B13&amp;"'!$T$6:$T$205"),MATCH($AR13&amp;"|"&amp;AB$5,INDIRECT("'"&amp;$B13&amp;"'!$AF$6:$AF$205"),0))),"-"))</f>
        <v/>
      </c>
      <c r="AC13" s="38">
        <f>IF(OR(AP13="",AC$5="-"),"",IFERROR(IF(INDEX(INDIRECT("'"&amp;$B13&amp;"'!$T$6:$T$205"),MATCH($AR13&amp;"|"&amp;AC$5,INDIRECT("'"&amp;$B13&amp;"'!$AF$6:$AF$205"),0))="","",INDEX(INDIRECT("'"&amp;$B13&amp;"'!$T$6:$T$205"),MATCH($AR13&amp;"|"&amp;AC$5,INDIRECT("'"&amp;$B13&amp;"'!$AF$6:$AF$205"),0))),"-"))</f>
        <v/>
      </c>
      <c r="AD13" s="38">
        <f>IF(OR(AP13="",AD$5="-"),"",IFERROR(IF(INDEX(INDIRECT("'"&amp;$B13&amp;"'!$T$6:$T$205"),MATCH($AR13&amp;"|"&amp;AD$5,INDIRECT("'"&amp;$B13&amp;"'!$AF$6:$AF$205"),0))="","",INDEX(INDIRECT("'"&amp;$B13&amp;"'!$T$6:$T$205"),MATCH($AR13&amp;"|"&amp;AD$5,INDIRECT("'"&amp;$B13&amp;"'!$AF$6:$AF$205"),0))),"-"))</f>
        <v/>
      </c>
      <c r="AE13" s="38">
        <f>IF(OR(AP13="",AE$5="-"),"",IFERROR(IF(INDEX(INDIRECT("'"&amp;$B13&amp;"'!$T$6:$T$205"),MATCH($AR13&amp;"|"&amp;AE$5,INDIRECT("'"&amp;$B13&amp;"'!$AF$6:$AF$205"),0))="","",INDEX(INDIRECT("'"&amp;$B13&amp;"'!$T$6:$T$205"),MATCH($AR13&amp;"|"&amp;AE$5,INDIRECT("'"&amp;$B13&amp;"'!$AF$6:$AF$205"),0))),"-"))</f>
        <v/>
      </c>
      <c r="AF13" s="35">
        <f>IF(AG13="","",INDEX($P$5:$W$5,MATCH(AG13,P13:W13,0)))</f>
        <v/>
      </c>
      <c r="AG13" s="37">
        <f>IF(COUNT(P13:W13)=0,"",MIN(P13:W13))</f>
        <v/>
      </c>
      <c r="AH13" s="39">
        <f>IF(AG13="","",AG13*F13)</f>
        <v/>
      </c>
      <c r="AI13" s="39">
        <f>IF(COUNT(P13:W13)&lt;2,"",(MAX(P13:W13)-MIN(P13:W13))*F13)</f>
        <v/>
      </c>
      <c r="AJ13" s="20" t="n"/>
      <c r="AP13">
        <f>IF(8&gt;MAX($AN$6:$AN$9),"",COUNTIF($AN$6:$AN$9,"&lt;"&amp;8)+1)</f>
        <v/>
      </c>
      <c r="AQ13">
        <f>IF(AP13="","",8-INDEX($AO$6:$AO$9,AP13))</f>
        <v/>
      </c>
      <c r="AR13">
        <f>IF(AP13="","",INDEX(INDIRECT("'"&amp;$B13&amp;"'!$AE$6:$AE$205"),MATCH(AQ13,INDIRECT("'"&amp;$B13&amp;"'!$AI$6:$AI$205"),0)))</f>
        <v/>
      </c>
    </row>
    <row r="14">
      <c r="A14" s="34">
        <f>IF(AP14="","",9)</f>
        <v/>
      </c>
      <c r="B14" s="35">
        <f>IF(AP14="","",INDEX($AL$6:$AL$9,AP14))</f>
        <v/>
      </c>
      <c r="C14" s="34">
        <f>IF(AP14="","",INDEX(INDIRECT("'"&amp;$B14&amp;"'!$B$6:$B$205"),MATCH($AR14,INDIRECT("'"&amp;$B14&amp;"'!$AE$6:$AE$205"),0)))</f>
        <v/>
      </c>
      <c r="D14" s="34">
        <f>IF(AP14="","",INDEX(INDIRECT("'"&amp;$B14&amp;"'!$D$6:$D$205"),MATCH($AR14,INDIRECT("'"&amp;$B14&amp;"'!$AE$6:$AE$205"),0)))</f>
        <v/>
      </c>
      <c r="E14" s="36">
        <f>IF(AP14="","",INDEX(INDIRECT("'"&amp;$B14&amp;"'!$F$6:$F$205"),MATCH($AR14,INDIRECT("'"&amp;$B14&amp;"'!$AE$6:$AE$205"),0)))</f>
        <v/>
      </c>
      <c r="F14" s="34">
        <f>IF(AP14="","",INDEX(INDIRECT("'"&amp;$B14&amp;"'!$K$6:$K$205"),MATCH($AR14,INDIRECT("'"&amp;$B14&amp;"'!$AE$6:$AE$205"),0)))</f>
        <v/>
      </c>
      <c r="G14" s="34">
        <f>IF(AP14="","",INDEX(INDIRECT("'"&amp;$B14&amp;"'!$L$6:$L$205"),MATCH($AR14,INDIRECT("'"&amp;$B14&amp;"'!$AE$6:$AE$205"),0)))</f>
        <v/>
      </c>
      <c r="H14" s="34">
        <f>IF(OR(AP14="",H$5="-"),"",IFERROR(IF(INDEX(INDIRECT("'"&amp;$B14&amp;"'!$N$6:$N$205"),MATCH($AR14&amp;"|"&amp;H$5,INDIRECT("'"&amp;$B14&amp;"'!$AF$6:$AF$205"),0))="","",INDEX(INDIRECT("'"&amp;$B14&amp;"'!$N$6:$N$205"),MATCH($AR14&amp;"|"&amp;H$5,INDIRECT("'"&amp;$B14&amp;"'!$AF$6:$AF$205"),0))),"-"))</f>
        <v/>
      </c>
      <c r="I14" s="34">
        <f>IF(OR(AP14="",I$5="-"),"",IFERROR(IF(INDEX(INDIRECT("'"&amp;$B14&amp;"'!$N$6:$N$205"),MATCH($AR14&amp;"|"&amp;I$5,INDIRECT("'"&amp;$B14&amp;"'!$AF$6:$AF$205"),0))="","",INDEX(INDIRECT("'"&amp;$B14&amp;"'!$N$6:$N$205"),MATCH($AR14&amp;"|"&amp;I$5,INDIRECT("'"&amp;$B14&amp;"'!$AF$6:$AF$205"),0))),"-"))</f>
        <v/>
      </c>
      <c r="J14" s="34">
        <f>IF(OR(AP14="",J$5="-"),"",IFERROR(IF(INDEX(INDIRECT("'"&amp;$B14&amp;"'!$N$6:$N$205"),MATCH($AR14&amp;"|"&amp;J$5,INDIRECT("'"&amp;$B14&amp;"'!$AF$6:$AF$205"),0))="","",INDEX(INDIRECT("'"&amp;$B14&amp;"'!$N$6:$N$205"),MATCH($AR14&amp;"|"&amp;J$5,INDIRECT("'"&amp;$B14&amp;"'!$AF$6:$AF$205"),0))),"-"))</f>
        <v/>
      </c>
      <c r="K14" s="34">
        <f>IF(OR(AP14="",K$5="-"),"",IFERROR(IF(INDEX(INDIRECT("'"&amp;$B14&amp;"'!$N$6:$N$205"),MATCH($AR14&amp;"|"&amp;K$5,INDIRECT("'"&amp;$B14&amp;"'!$AF$6:$AF$205"),0))="","",INDEX(INDIRECT("'"&amp;$B14&amp;"'!$N$6:$N$205"),MATCH($AR14&amp;"|"&amp;K$5,INDIRECT("'"&amp;$B14&amp;"'!$AF$6:$AF$205"),0))),"-"))</f>
        <v/>
      </c>
      <c r="L14" s="34">
        <f>IF(OR(AP14="",L$5="-"),"",IFERROR(IF(INDEX(INDIRECT("'"&amp;$B14&amp;"'!$N$6:$N$205"),MATCH($AR14&amp;"|"&amp;L$5,INDIRECT("'"&amp;$B14&amp;"'!$AF$6:$AF$205"),0))="","",INDEX(INDIRECT("'"&amp;$B14&amp;"'!$N$6:$N$205"),MATCH($AR14&amp;"|"&amp;L$5,INDIRECT("'"&amp;$B14&amp;"'!$AF$6:$AF$205"),0))),"-"))</f>
        <v/>
      </c>
      <c r="M14" s="34">
        <f>IF(OR(AP14="",M$5="-"),"",IFERROR(IF(INDEX(INDIRECT("'"&amp;$B14&amp;"'!$N$6:$N$205"),MATCH($AR14&amp;"|"&amp;M$5,INDIRECT("'"&amp;$B14&amp;"'!$AF$6:$AF$205"),0))="","",INDEX(INDIRECT("'"&amp;$B14&amp;"'!$N$6:$N$205"),MATCH($AR14&amp;"|"&amp;M$5,INDIRECT("'"&amp;$B14&amp;"'!$AF$6:$AF$205"),0))),"-"))</f>
        <v/>
      </c>
      <c r="N14" s="34">
        <f>IF(OR(AP14="",N$5="-"),"",IFERROR(IF(INDEX(INDIRECT("'"&amp;$B14&amp;"'!$N$6:$N$205"),MATCH($AR14&amp;"|"&amp;N$5,INDIRECT("'"&amp;$B14&amp;"'!$AF$6:$AF$205"),0))="","",INDEX(INDIRECT("'"&amp;$B14&amp;"'!$N$6:$N$205"),MATCH($AR14&amp;"|"&amp;N$5,INDIRECT("'"&amp;$B14&amp;"'!$AF$6:$AF$205"),0))),"-"))</f>
        <v/>
      </c>
      <c r="O14" s="34">
        <f>IF(OR(AP14="",O$5="-"),"",IFERROR(IF(INDEX(INDIRECT("'"&amp;$B14&amp;"'!$N$6:$N$205"),MATCH($AR14&amp;"|"&amp;O$5,INDIRECT("'"&amp;$B14&amp;"'!$AF$6:$AF$205"),0))="","",INDEX(INDIRECT("'"&amp;$B14&amp;"'!$N$6:$N$205"),MATCH($AR14&amp;"|"&amp;O$5,INDIRECT("'"&amp;$B14&amp;"'!$AF$6:$AF$205"),0))),"-"))</f>
        <v/>
      </c>
      <c r="P14" s="37">
        <f>IF(OR(AP14="",P$5="-"),"",IFERROR(IF(INDEX(INDIRECT("'"&amp;$B14&amp;"'!$R$6:$R$205"),MATCH($AR14&amp;"|"&amp;P$5,INDIRECT("'"&amp;$B14&amp;"'!$AF$6:$AF$205"),0))="","",INDEX(INDIRECT("'"&amp;$B14&amp;"'!$R$6:$R$205"),MATCH($AR14&amp;"|"&amp;P$5,INDIRECT("'"&amp;$B14&amp;"'!$AF$6:$AF$205"),0))),"-"))</f>
        <v/>
      </c>
      <c r="Q14" s="37">
        <f>IF(OR(AP14="",Q$5="-"),"",IFERROR(IF(INDEX(INDIRECT("'"&amp;$B14&amp;"'!$R$6:$R$205"),MATCH($AR14&amp;"|"&amp;Q$5,INDIRECT("'"&amp;$B14&amp;"'!$AF$6:$AF$205"),0))="","",INDEX(INDIRECT("'"&amp;$B14&amp;"'!$R$6:$R$205"),MATCH($AR14&amp;"|"&amp;Q$5,INDIRECT("'"&amp;$B14&amp;"'!$AF$6:$AF$205"),0))),"-"))</f>
        <v/>
      </c>
      <c r="R14" s="37">
        <f>IF(OR(AP14="",R$5="-"),"",IFERROR(IF(INDEX(INDIRECT("'"&amp;$B14&amp;"'!$R$6:$R$205"),MATCH($AR14&amp;"|"&amp;R$5,INDIRECT("'"&amp;$B14&amp;"'!$AF$6:$AF$205"),0))="","",INDEX(INDIRECT("'"&amp;$B14&amp;"'!$R$6:$R$205"),MATCH($AR14&amp;"|"&amp;R$5,INDIRECT("'"&amp;$B14&amp;"'!$AF$6:$AF$205"),0))),"-"))</f>
        <v/>
      </c>
      <c r="S14" s="37">
        <f>IF(OR(AP14="",S$5="-"),"",IFERROR(IF(INDEX(INDIRECT("'"&amp;$B14&amp;"'!$R$6:$R$205"),MATCH($AR14&amp;"|"&amp;S$5,INDIRECT("'"&amp;$B14&amp;"'!$AF$6:$AF$205"),0))="","",INDEX(INDIRECT("'"&amp;$B14&amp;"'!$R$6:$R$205"),MATCH($AR14&amp;"|"&amp;S$5,INDIRECT("'"&amp;$B14&amp;"'!$AF$6:$AF$205"),0))),"-"))</f>
        <v/>
      </c>
      <c r="T14" s="37">
        <f>IF(OR(AP14="",T$5="-"),"",IFERROR(IF(INDEX(INDIRECT("'"&amp;$B14&amp;"'!$R$6:$R$205"),MATCH($AR14&amp;"|"&amp;T$5,INDIRECT("'"&amp;$B14&amp;"'!$AF$6:$AF$205"),0))="","",INDEX(INDIRECT("'"&amp;$B14&amp;"'!$R$6:$R$205"),MATCH($AR14&amp;"|"&amp;T$5,INDIRECT("'"&amp;$B14&amp;"'!$AF$6:$AF$205"),0))),"-"))</f>
        <v/>
      </c>
      <c r="U14" s="37">
        <f>IF(OR(AP14="",U$5="-"),"",IFERROR(IF(INDEX(INDIRECT("'"&amp;$B14&amp;"'!$R$6:$R$205"),MATCH($AR14&amp;"|"&amp;U$5,INDIRECT("'"&amp;$B14&amp;"'!$AF$6:$AF$205"),0))="","",INDEX(INDIRECT("'"&amp;$B14&amp;"'!$R$6:$R$205"),MATCH($AR14&amp;"|"&amp;U$5,INDIRECT("'"&amp;$B14&amp;"'!$AF$6:$AF$205"),0))),"-"))</f>
        <v/>
      </c>
      <c r="V14" s="37">
        <f>IF(OR(AP14="",V$5="-"),"",IFERROR(IF(INDEX(INDIRECT("'"&amp;$B14&amp;"'!$R$6:$R$205"),MATCH($AR14&amp;"|"&amp;V$5,INDIRECT("'"&amp;$B14&amp;"'!$AF$6:$AF$205"),0))="","",INDEX(INDIRECT("'"&amp;$B14&amp;"'!$R$6:$R$205"),MATCH($AR14&amp;"|"&amp;V$5,INDIRECT("'"&amp;$B14&amp;"'!$AF$6:$AF$205"),0))),"-"))</f>
        <v/>
      </c>
      <c r="W14" s="37">
        <f>IF(OR(AP14="",W$5="-"),"",IFERROR(IF(INDEX(INDIRECT("'"&amp;$B14&amp;"'!$R$6:$R$205"),MATCH($AR14&amp;"|"&amp;W$5,INDIRECT("'"&amp;$B14&amp;"'!$AF$6:$AF$205"),0))="","",INDEX(INDIRECT("'"&amp;$B14&amp;"'!$R$6:$R$205"),MATCH($AR14&amp;"|"&amp;W$5,INDIRECT("'"&amp;$B14&amp;"'!$AF$6:$AF$205"),0))),"-"))</f>
        <v/>
      </c>
      <c r="X14" s="38">
        <f>IF(OR(AP14="",X$5="-"),"",IFERROR(IF(INDEX(INDIRECT("'"&amp;$B14&amp;"'!$T$6:$T$205"),MATCH($AR14&amp;"|"&amp;X$5,INDIRECT("'"&amp;$B14&amp;"'!$AF$6:$AF$205"),0))="","",INDEX(INDIRECT("'"&amp;$B14&amp;"'!$T$6:$T$205"),MATCH($AR14&amp;"|"&amp;X$5,INDIRECT("'"&amp;$B14&amp;"'!$AF$6:$AF$205"),0))),"-"))</f>
        <v/>
      </c>
      <c r="Y14" s="38">
        <f>IF(OR(AP14="",Y$5="-"),"",IFERROR(IF(INDEX(INDIRECT("'"&amp;$B14&amp;"'!$T$6:$T$205"),MATCH($AR14&amp;"|"&amp;Y$5,INDIRECT("'"&amp;$B14&amp;"'!$AF$6:$AF$205"),0))="","",INDEX(INDIRECT("'"&amp;$B14&amp;"'!$T$6:$T$205"),MATCH($AR14&amp;"|"&amp;Y$5,INDIRECT("'"&amp;$B14&amp;"'!$AF$6:$AF$205"),0))),"-"))</f>
        <v/>
      </c>
      <c r="Z14" s="38">
        <f>IF(OR(AP14="",Z$5="-"),"",IFERROR(IF(INDEX(INDIRECT("'"&amp;$B14&amp;"'!$T$6:$T$205"),MATCH($AR14&amp;"|"&amp;Z$5,INDIRECT("'"&amp;$B14&amp;"'!$AF$6:$AF$205"),0))="","",INDEX(INDIRECT("'"&amp;$B14&amp;"'!$T$6:$T$205"),MATCH($AR14&amp;"|"&amp;Z$5,INDIRECT("'"&amp;$B14&amp;"'!$AF$6:$AF$205"),0))),"-"))</f>
        <v/>
      </c>
      <c r="AA14" s="38">
        <f>IF(OR(AP14="",AA$5="-"),"",IFERROR(IF(INDEX(INDIRECT("'"&amp;$B14&amp;"'!$T$6:$T$205"),MATCH($AR14&amp;"|"&amp;AA$5,INDIRECT("'"&amp;$B14&amp;"'!$AF$6:$AF$205"),0))="","",INDEX(INDIRECT("'"&amp;$B14&amp;"'!$T$6:$T$205"),MATCH($AR14&amp;"|"&amp;AA$5,INDIRECT("'"&amp;$B14&amp;"'!$AF$6:$AF$205"),0))),"-"))</f>
        <v/>
      </c>
      <c r="AB14" s="38">
        <f>IF(OR(AP14="",AB$5="-"),"",IFERROR(IF(INDEX(INDIRECT("'"&amp;$B14&amp;"'!$T$6:$T$205"),MATCH($AR14&amp;"|"&amp;AB$5,INDIRECT("'"&amp;$B14&amp;"'!$AF$6:$AF$205"),0))="","",INDEX(INDIRECT("'"&amp;$B14&amp;"'!$T$6:$T$205"),MATCH($AR14&amp;"|"&amp;AB$5,INDIRECT("'"&amp;$B14&amp;"'!$AF$6:$AF$205"),0))),"-"))</f>
        <v/>
      </c>
      <c r="AC14" s="38">
        <f>IF(OR(AP14="",AC$5="-"),"",IFERROR(IF(INDEX(INDIRECT("'"&amp;$B14&amp;"'!$T$6:$T$205"),MATCH($AR14&amp;"|"&amp;AC$5,INDIRECT("'"&amp;$B14&amp;"'!$AF$6:$AF$205"),0))="","",INDEX(INDIRECT("'"&amp;$B14&amp;"'!$T$6:$T$205"),MATCH($AR14&amp;"|"&amp;AC$5,INDIRECT("'"&amp;$B14&amp;"'!$AF$6:$AF$205"),0))),"-"))</f>
        <v/>
      </c>
      <c r="AD14" s="38">
        <f>IF(OR(AP14="",AD$5="-"),"",IFERROR(IF(INDEX(INDIRECT("'"&amp;$B14&amp;"'!$T$6:$T$205"),MATCH($AR14&amp;"|"&amp;AD$5,INDIRECT("'"&amp;$B14&amp;"'!$AF$6:$AF$205"),0))="","",INDEX(INDIRECT("'"&amp;$B14&amp;"'!$T$6:$T$205"),MATCH($AR14&amp;"|"&amp;AD$5,INDIRECT("'"&amp;$B14&amp;"'!$AF$6:$AF$205"),0))),"-"))</f>
        <v/>
      </c>
      <c r="AE14" s="38">
        <f>IF(OR(AP14="",AE$5="-"),"",IFERROR(IF(INDEX(INDIRECT("'"&amp;$B14&amp;"'!$T$6:$T$205"),MATCH($AR14&amp;"|"&amp;AE$5,INDIRECT("'"&amp;$B14&amp;"'!$AF$6:$AF$205"),0))="","",INDEX(INDIRECT("'"&amp;$B14&amp;"'!$T$6:$T$205"),MATCH($AR14&amp;"|"&amp;AE$5,INDIRECT("'"&amp;$B14&amp;"'!$AF$6:$AF$205"),0))),"-"))</f>
        <v/>
      </c>
      <c r="AF14" s="35">
        <f>IF(AG14="","",INDEX($P$5:$W$5,MATCH(AG14,P14:W14,0)))</f>
        <v/>
      </c>
      <c r="AG14" s="37">
        <f>IF(COUNT(P14:W14)=0,"",MIN(P14:W14))</f>
        <v/>
      </c>
      <c r="AH14" s="39">
        <f>IF(AG14="","",AG14*F14)</f>
        <v/>
      </c>
      <c r="AI14" s="39">
        <f>IF(COUNT(P14:W14)&lt;2,"",(MAX(P14:W14)-MIN(P14:W14))*F14)</f>
        <v/>
      </c>
      <c r="AJ14" s="20" t="n"/>
      <c r="AP14">
        <f>IF(9&gt;MAX($AN$6:$AN$9),"",COUNTIF($AN$6:$AN$9,"&lt;"&amp;9)+1)</f>
        <v/>
      </c>
      <c r="AQ14">
        <f>IF(AP14="","",9-INDEX($AO$6:$AO$9,AP14))</f>
        <v/>
      </c>
      <c r="AR14">
        <f>IF(AP14="","",INDEX(INDIRECT("'"&amp;$B14&amp;"'!$AE$6:$AE$205"),MATCH(AQ14,INDIRECT("'"&amp;$B14&amp;"'!$AI$6:$AI$205"),0)))</f>
        <v/>
      </c>
    </row>
    <row r="15">
      <c r="A15" s="34">
        <f>IF(AP15="","",10)</f>
        <v/>
      </c>
      <c r="B15" s="35">
        <f>IF(AP15="","",INDEX($AL$6:$AL$9,AP15))</f>
        <v/>
      </c>
      <c r="C15" s="34">
        <f>IF(AP15="","",INDEX(INDIRECT("'"&amp;$B15&amp;"'!$B$6:$B$205"),MATCH($AR15,INDIRECT("'"&amp;$B15&amp;"'!$AE$6:$AE$205"),0)))</f>
        <v/>
      </c>
      <c r="D15" s="34">
        <f>IF(AP15="","",INDEX(INDIRECT("'"&amp;$B15&amp;"'!$D$6:$D$205"),MATCH($AR15,INDIRECT("'"&amp;$B15&amp;"'!$AE$6:$AE$205"),0)))</f>
        <v/>
      </c>
      <c r="E15" s="36">
        <f>IF(AP15="","",INDEX(INDIRECT("'"&amp;$B15&amp;"'!$F$6:$F$205"),MATCH($AR15,INDIRECT("'"&amp;$B15&amp;"'!$AE$6:$AE$205"),0)))</f>
        <v/>
      </c>
      <c r="F15" s="34">
        <f>IF(AP15="","",INDEX(INDIRECT("'"&amp;$B15&amp;"'!$K$6:$K$205"),MATCH($AR15,INDIRECT("'"&amp;$B15&amp;"'!$AE$6:$AE$205"),0)))</f>
        <v/>
      </c>
      <c r="G15" s="34">
        <f>IF(AP15="","",INDEX(INDIRECT("'"&amp;$B15&amp;"'!$L$6:$L$205"),MATCH($AR15,INDIRECT("'"&amp;$B15&amp;"'!$AE$6:$AE$205"),0)))</f>
        <v/>
      </c>
      <c r="H15" s="34">
        <f>IF(OR(AP15="",H$5="-"),"",IFERROR(IF(INDEX(INDIRECT("'"&amp;$B15&amp;"'!$N$6:$N$205"),MATCH($AR15&amp;"|"&amp;H$5,INDIRECT("'"&amp;$B15&amp;"'!$AF$6:$AF$205"),0))="","",INDEX(INDIRECT("'"&amp;$B15&amp;"'!$N$6:$N$205"),MATCH($AR15&amp;"|"&amp;H$5,INDIRECT("'"&amp;$B15&amp;"'!$AF$6:$AF$205"),0))),"-"))</f>
        <v/>
      </c>
      <c r="I15" s="34">
        <f>IF(OR(AP15="",I$5="-"),"",IFERROR(IF(INDEX(INDIRECT("'"&amp;$B15&amp;"'!$N$6:$N$205"),MATCH($AR15&amp;"|"&amp;I$5,INDIRECT("'"&amp;$B15&amp;"'!$AF$6:$AF$205"),0))="","",INDEX(INDIRECT("'"&amp;$B15&amp;"'!$N$6:$N$205"),MATCH($AR15&amp;"|"&amp;I$5,INDIRECT("'"&amp;$B15&amp;"'!$AF$6:$AF$205"),0))),"-"))</f>
        <v/>
      </c>
      <c r="J15" s="34">
        <f>IF(OR(AP15="",J$5="-"),"",IFERROR(IF(INDEX(INDIRECT("'"&amp;$B15&amp;"'!$N$6:$N$205"),MATCH($AR15&amp;"|"&amp;J$5,INDIRECT("'"&amp;$B15&amp;"'!$AF$6:$AF$205"),0))="","",INDEX(INDIRECT("'"&amp;$B15&amp;"'!$N$6:$N$205"),MATCH($AR15&amp;"|"&amp;J$5,INDIRECT("'"&amp;$B15&amp;"'!$AF$6:$AF$205"),0))),"-"))</f>
        <v/>
      </c>
      <c r="K15" s="34">
        <f>IF(OR(AP15="",K$5="-"),"",IFERROR(IF(INDEX(INDIRECT("'"&amp;$B15&amp;"'!$N$6:$N$205"),MATCH($AR15&amp;"|"&amp;K$5,INDIRECT("'"&amp;$B15&amp;"'!$AF$6:$AF$205"),0))="","",INDEX(INDIRECT("'"&amp;$B15&amp;"'!$N$6:$N$205"),MATCH($AR15&amp;"|"&amp;K$5,INDIRECT("'"&amp;$B15&amp;"'!$AF$6:$AF$205"),0))),"-"))</f>
        <v/>
      </c>
      <c r="L15" s="34">
        <f>IF(OR(AP15="",L$5="-"),"",IFERROR(IF(INDEX(INDIRECT("'"&amp;$B15&amp;"'!$N$6:$N$205"),MATCH($AR15&amp;"|"&amp;L$5,INDIRECT("'"&amp;$B15&amp;"'!$AF$6:$AF$205"),0))="","",INDEX(INDIRECT("'"&amp;$B15&amp;"'!$N$6:$N$205"),MATCH($AR15&amp;"|"&amp;L$5,INDIRECT("'"&amp;$B15&amp;"'!$AF$6:$AF$205"),0))),"-"))</f>
        <v/>
      </c>
      <c r="M15" s="34">
        <f>IF(OR(AP15="",M$5="-"),"",IFERROR(IF(INDEX(INDIRECT("'"&amp;$B15&amp;"'!$N$6:$N$205"),MATCH($AR15&amp;"|"&amp;M$5,INDIRECT("'"&amp;$B15&amp;"'!$AF$6:$AF$205"),0))="","",INDEX(INDIRECT("'"&amp;$B15&amp;"'!$N$6:$N$205"),MATCH($AR15&amp;"|"&amp;M$5,INDIRECT("'"&amp;$B15&amp;"'!$AF$6:$AF$205"),0))),"-"))</f>
        <v/>
      </c>
      <c r="N15" s="34">
        <f>IF(OR(AP15="",N$5="-"),"",IFERROR(IF(INDEX(INDIRECT("'"&amp;$B15&amp;"'!$N$6:$N$205"),MATCH($AR15&amp;"|"&amp;N$5,INDIRECT("'"&amp;$B15&amp;"'!$AF$6:$AF$205"),0))="","",INDEX(INDIRECT("'"&amp;$B15&amp;"'!$N$6:$N$205"),MATCH($AR15&amp;"|"&amp;N$5,INDIRECT("'"&amp;$B15&amp;"'!$AF$6:$AF$205"),0))),"-"))</f>
        <v/>
      </c>
      <c r="O15" s="34">
        <f>IF(OR(AP15="",O$5="-"),"",IFERROR(IF(INDEX(INDIRECT("'"&amp;$B15&amp;"'!$N$6:$N$205"),MATCH($AR15&amp;"|"&amp;O$5,INDIRECT("'"&amp;$B15&amp;"'!$AF$6:$AF$205"),0))="","",INDEX(INDIRECT("'"&amp;$B15&amp;"'!$N$6:$N$205"),MATCH($AR15&amp;"|"&amp;O$5,INDIRECT("'"&amp;$B15&amp;"'!$AF$6:$AF$205"),0))),"-"))</f>
        <v/>
      </c>
      <c r="P15" s="37">
        <f>IF(OR(AP15="",P$5="-"),"",IFERROR(IF(INDEX(INDIRECT("'"&amp;$B15&amp;"'!$R$6:$R$205"),MATCH($AR15&amp;"|"&amp;P$5,INDIRECT("'"&amp;$B15&amp;"'!$AF$6:$AF$205"),0))="","",INDEX(INDIRECT("'"&amp;$B15&amp;"'!$R$6:$R$205"),MATCH($AR15&amp;"|"&amp;P$5,INDIRECT("'"&amp;$B15&amp;"'!$AF$6:$AF$205"),0))),"-"))</f>
        <v/>
      </c>
      <c r="Q15" s="37">
        <f>IF(OR(AP15="",Q$5="-"),"",IFERROR(IF(INDEX(INDIRECT("'"&amp;$B15&amp;"'!$R$6:$R$205"),MATCH($AR15&amp;"|"&amp;Q$5,INDIRECT("'"&amp;$B15&amp;"'!$AF$6:$AF$205"),0))="","",INDEX(INDIRECT("'"&amp;$B15&amp;"'!$R$6:$R$205"),MATCH($AR15&amp;"|"&amp;Q$5,INDIRECT("'"&amp;$B15&amp;"'!$AF$6:$AF$205"),0))),"-"))</f>
        <v/>
      </c>
      <c r="R15" s="37">
        <f>IF(OR(AP15="",R$5="-"),"",IFERROR(IF(INDEX(INDIRECT("'"&amp;$B15&amp;"'!$R$6:$R$205"),MATCH($AR15&amp;"|"&amp;R$5,INDIRECT("'"&amp;$B15&amp;"'!$AF$6:$AF$205"),0))="","",INDEX(INDIRECT("'"&amp;$B15&amp;"'!$R$6:$R$205"),MATCH($AR15&amp;"|"&amp;R$5,INDIRECT("'"&amp;$B15&amp;"'!$AF$6:$AF$205"),0))),"-"))</f>
        <v/>
      </c>
      <c r="S15" s="37">
        <f>IF(OR(AP15="",S$5="-"),"",IFERROR(IF(INDEX(INDIRECT("'"&amp;$B15&amp;"'!$R$6:$R$205"),MATCH($AR15&amp;"|"&amp;S$5,INDIRECT("'"&amp;$B15&amp;"'!$AF$6:$AF$205"),0))="","",INDEX(INDIRECT("'"&amp;$B15&amp;"'!$R$6:$R$205"),MATCH($AR15&amp;"|"&amp;S$5,INDIRECT("'"&amp;$B15&amp;"'!$AF$6:$AF$205"),0))),"-"))</f>
        <v/>
      </c>
      <c r="T15" s="37">
        <f>IF(OR(AP15="",T$5="-"),"",IFERROR(IF(INDEX(INDIRECT("'"&amp;$B15&amp;"'!$R$6:$R$205"),MATCH($AR15&amp;"|"&amp;T$5,INDIRECT("'"&amp;$B15&amp;"'!$AF$6:$AF$205"),0))="","",INDEX(INDIRECT("'"&amp;$B15&amp;"'!$R$6:$R$205"),MATCH($AR15&amp;"|"&amp;T$5,INDIRECT("'"&amp;$B15&amp;"'!$AF$6:$AF$205"),0))),"-"))</f>
        <v/>
      </c>
      <c r="U15" s="37">
        <f>IF(OR(AP15="",U$5="-"),"",IFERROR(IF(INDEX(INDIRECT("'"&amp;$B15&amp;"'!$R$6:$R$205"),MATCH($AR15&amp;"|"&amp;U$5,INDIRECT("'"&amp;$B15&amp;"'!$AF$6:$AF$205"),0))="","",INDEX(INDIRECT("'"&amp;$B15&amp;"'!$R$6:$R$205"),MATCH($AR15&amp;"|"&amp;U$5,INDIRECT("'"&amp;$B15&amp;"'!$AF$6:$AF$205"),0))),"-"))</f>
        <v/>
      </c>
      <c r="V15" s="37">
        <f>IF(OR(AP15="",V$5="-"),"",IFERROR(IF(INDEX(INDIRECT("'"&amp;$B15&amp;"'!$R$6:$R$205"),MATCH($AR15&amp;"|"&amp;V$5,INDIRECT("'"&amp;$B15&amp;"'!$AF$6:$AF$205"),0))="","",INDEX(INDIRECT("'"&amp;$B15&amp;"'!$R$6:$R$205"),MATCH($AR15&amp;"|"&amp;V$5,INDIRECT("'"&amp;$B15&amp;"'!$AF$6:$AF$205"),0))),"-"))</f>
        <v/>
      </c>
      <c r="W15" s="37">
        <f>IF(OR(AP15="",W$5="-"),"",IFERROR(IF(INDEX(INDIRECT("'"&amp;$B15&amp;"'!$R$6:$R$205"),MATCH($AR15&amp;"|"&amp;W$5,INDIRECT("'"&amp;$B15&amp;"'!$AF$6:$AF$205"),0))="","",INDEX(INDIRECT("'"&amp;$B15&amp;"'!$R$6:$R$205"),MATCH($AR15&amp;"|"&amp;W$5,INDIRECT("'"&amp;$B15&amp;"'!$AF$6:$AF$205"),0))),"-"))</f>
        <v/>
      </c>
      <c r="X15" s="38">
        <f>IF(OR(AP15="",X$5="-"),"",IFERROR(IF(INDEX(INDIRECT("'"&amp;$B15&amp;"'!$T$6:$T$205"),MATCH($AR15&amp;"|"&amp;X$5,INDIRECT("'"&amp;$B15&amp;"'!$AF$6:$AF$205"),0))="","",INDEX(INDIRECT("'"&amp;$B15&amp;"'!$T$6:$T$205"),MATCH($AR15&amp;"|"&amp;X$5,INDIRECT("'"&amp;$B15&amp;"'!$AF$6:$AF$205"),0))),"-"))</f>
        <v/>
      </c>
      <c r="Y15" s="38">
        <f>IF(OR(AP15="",Y$5="-"),"",IFERROR(IF(INDEX(INDIRECT("'"&amp;$B15&amp;"'!$T$6:$T$205"),MATCH($AR15&amp;"|"&amp;Y$5,INDIRECT("'"&amp;$B15&amp;"'!$AF$6:$AF$205"),0))="","",INDEX(INDIRECT("'"&amp;$B15&amp;"'!$T$6:$T$205"),MATCH($AR15&amp;"|"&amp;Y$5,INDIRECT("'"&amp;$B15&amp;"'!$AF$6:$AF$205"),0))),"-"))</f>
        <v/>
      </c>
      <c r="Z15" s="38">
        <f>IF(OR(AP15="",Z$5="-"),"",IFERROR(IF(INDEX(INDIRECT("'"&amp;$B15&amp;"'!$T$6:$T$205"),MATCH($AR15&amp;"|"&amp;Z$5,INDIRECT("'"&amp;$B15&amp;"'!$AF$6:$AF$205"),0))="","",INDEX(INDIRECT("'"&amp;$B15&amp;"'!$T$6:$T$205"),MATCH($AR15&amp;"|"&amp;Z$5,INDIRECT("'"&amp;$B15&amp;"'!$AF$6:$AF$205"),0))),"-"))</f>
        <v/>
      </c>
      <c r="AA15" s="38">
        <f>IF(OR(AP15="",AA$5="-"),"",IFERROR(IF(INDEX(INDIRECT("'"&amp;$B15&amp;"'!$T$6:$T$205"),MATCH($AR15&amp;"|"&amp;AA$5,INDIRECT("'"&amp;$B15&amp;"'!$AF$6:$AF$205"),0))="","",INDEX(INDIRECT("'"&amp;$B15&amp;"'!$T$6:$T$205"),MATCH($AR15&amp;"|"&amp;AA$5,INDIRECT("'"&amp;$B15&amp;"'!$AF$6:$AF$205"),0))),"-"))</f>
        <v/>
      </c>
      <c r="AB15" s="38">
        <f>IF(OR(AP15="",AB$5="-"),"",IFERROR(IF(INDEX(INDIRECT("'"&amp;$B15&amp;"'!$T$6:$T$205"),MATCH($AR15&amp;"|"&amp;AB$5,INDIRECT("'"&amp;$B15&amp;"'!$AF$6:$AF$205"),0))="","",INDEX(INDIRECT("'"&amp;$B15&amp;"'!$T$6:$T$205"),MATCH($AR15&amp;"|"&amp;AB$5,INDIRECT("'"&amp;$B15&amp;"'!$AF$6:$AF$205"),0))),"-"))</f>
        <v/>
      </c>
      <c r="AC15" s="38">
        <f>IF(OR(AP15="",AC$5="-"),"",IFERROR(IF(INDEX(INDIRECT("'"&amp;$B15&amp;"'!$T$6:$T$205"),MATCH($AR15&amp;"|"&amp;AC$5,INDIRECT("'"&amp;$B15&amp;"'!$AF$6:$AF$205"),0))="","",INDEX(INDIRECT("'"&amp;$B15&amp;"'!$T$6:$T$205"),MATCH($AR15&amp;"|"&amp;AC$5,INDIRECT("'"&amp;$B15&amp;"'!$AF$6:$AF$205"),0))),"-"))</f>
        <v/>
      </c>
      <c r="AD15" s="38">
        <f>IF(OR(AP15="",AD$5="-"),"",IFERROR(IF(INDEX(INDIRECT("'"&amp;$B15&amp;"'!$T$6:$T$205"),MATCH($AR15&amp;"|"&amp;AD$5,INDIRECT("'"&amp;$B15&amp;"'!$AF$6:$AF$205"),0))="","",INDEX(INDIRECT("'"&amp;$B15&amp;"'!$T$6:$T$205"),MATCH($AR15&amp;"|"&amp;AD$5,INDIRECT("'"&amp;$B15&amp;"'!$AF$6:$AF$205"),0))),"-"))</f>
        <v/>
      </c>
      <c r="AE15" s="38">
        <f>IF(OR(AP15="",AE$5="-"),"",IFERROR(IF(INDEX(INDIRECT("'"&amp;$B15&amp;"'!$T$6:$T$205"),MATCH($AR15&amp;"|"&amp;AE$5,INDIRECT("'"&amp;$B15&amp;"'!$AF$6:$AF$205"),0))="","",INDEX(INDIRECT("'"&amp;$B15&amp;"'!$T$6:$T$205"),MATCH($AR15&amp;"|"&amp;AE$5,INDIRECT("'"&amp;$B15&amp;"'!$AF$6:$AF$205"),0))),"-"))</f>
        <v/>
      </c>
      <c r="AF15" s="35">
        <f>IF(AG15="","",INDEX($P$5:$W$5,MATCH(AG15,P15:W15,0)))</f>
        <v/>
      </c>
      <c r="AG15" s="37">
        <f>IF(COUNT(P15:W15)=0,"",MIN(P15:W15))</f>
        <v/>
      </c>
      <c r="AH15" s="39">
        <f>IF(AG15="","",AG15*F15)</f>
        <v/>
      </c>
      <c r="AI15" s="39">
        <f>IF(COUNT(P15:W15)&lt;2,"",(MAX(P15:W15)-MIN(P15:W15))*F15)</f>
        <v/>
      </c>
      <c r="AJ15" s="20" t="n"/>
      <c r="AP15">
        <f>IF(10&gt;MAX($AN$6:$AN$9),"",COUNTIF($AN$6:$AN$9,"&lt;"&amp;10)+1)</f>
        <v/>
      </c>
      <c r="AQ15">
        <f>IF(AP15="","",10-INDEX($AO$6:$AO$9,AP15))</f>
        <v/>
      </c>
      <c r="AR15">
        <f>IF(AP15="","",INDEX(INDIRECT("'"&amp;$B15&amp;"'!$AE$6:$AE$205"),MATCH(AQ15,INDIRECT("'"&amp;$B15&amp;"'!$AI$6:$AI$205"),0)))</f>
        <v/>
      </c>
    </row>
    <row r="16">
      <c r="A16" s="34">
        <f>IF(AP16="","",11)</f>
        <v/>
      </c>
      <c r="B16" s="35">
        <f>IF(AP16="","",INDEX($AL$6:$AL$9,AP16))</f>
        <v/>
      </c>
      <c r="C16" s="34">
        <f>IF(AP16="","",INDEX(INDIRECT("'"&amp;$B16&amp;"'!$B$6:$B$205"),MATCH($AR16,INDIRECT("'"&amp;$B16&amp;"'!$AE$6:$AE$205"),0)))</f>
        <v/>
      </c>
      <c r="D16" s="34">
        <f>IF(AP16="","",INDEX(INDIRECT("'"&amp;$B16&amp;"'!$D$6:$D$205"),MATCH($AR16,INDIRECT("'"&amp;$B16&amp;"'!$AE$6:$AE$205"),0)))</f>
        <v/>
      </c>
      <c r="E16" s="36">
        <f>IF(AP16="","",INDEX(INDIRECT("'"&amp;$B16&amp;"'!$F$6:$F$205"),MATCH($AR16,INDIRECT("'"&amp;$B16&amp;"'!$AE$6:$AE$205"),0)))</f>
        <v/>
      </c>
      <c r="F16" s="34">
        <f>IF(AP16="","",INDEX(INDIRECT("'"&amp;$B16&amp;"'!$K$6:$K$205"),MATCH($AR16,INDIRECT("'"&amp;$B16&amp;"'!$AE$6:$AE$205"),0)))</f>
        <v/>
      </c>
      <c r="G16" s="34">
        <f>IF(AP16="","",INDEX(INDIRECT("'"&amp;$B16&amp;"'!$L$6:$L$205"),MATCH($AR16,INDIRECT("'"&amp;$B16&amp;"'!$AE$6:$AE$205"),0)))</f>
        <v/>
      </c>
      <c r="H16" s="34">
        <f>IF(OR(AP16="",H$5="-"),"",IFERROR(IF(INDEX(INDIRECT("'"&amp;$B16&amp;"'!$N$6:$N$205"),MATCH($AR16&amp;"|"&amp;H$5,INDIRECT("'"&amp;$B16&amp;"'!$AF$6:$AF$205"),0))="","",INDEX(INDIRECT("'"&amp;$B16&amp;"'!$N$6:$N$205"),MATCH($AR16&amp;"|"&amp;H$5,INDIRECT("'"&amp;$B16&amp;"'!$AF$6:$AF$205"),0))),"-"))</f>
        <v/>
      </c>
      <c r="I16" s="34">
        <f>IF(OR(AP16="",I$5="-"),"",IFERROR(IF(INDEX(INDIRECT("'"&amp;$B16&amp;"'!$N$6:$N$205"),MATCH($AR16&amp;"|"&amp;I$5,INDIRECT("'"&amp;$B16&amp;"'!$AF$6:$AF$205"),0))="","",INDEX(INDIRECT("'"&amp;$B16&amp;"'!$N$6:$N$205"),MATCH($AR16&amp;"|"&amp;I$5,INDIRECT("'"&amp;$B16&amp;"'!$AF$6:$AF$205"),0))),"-"))</f>
        <v/>
      </c>
      <c r="J16" s="34">
        <f>IF(OR(AP16="",J$5="-"),"",IFERROR(IF(INDEX(INDIRECT("'"&amp;$B16&amp;"'!$N$6:$N$205"),MATCH($AR16&amp;"|"&amp;J$5,INDIRECT("'"&amp;$B16&amp;"'!$AF$6:$AF$205"),0))="","",INDEX(INDIRECT("'"&amp;$B16&amp;"'!$N$6:$N$205"),MATCH($AR16&amp;"|"&amp;J$5,INDIRECT("'"&amp;$B16&amp;"'!$AF$6:$AF$205"),0))),"-"))</f>
        <v/>
      </c>
      <c r="K16" s="34">
        <f>IF(OR(AP16="",K$5="-"),"",IFERROR(IF(INDEX(INDIRECT("'"&amp;$B16&amp;"'!$N$6:$N$205"),MATCH($AR16&amp;"|"&amp;K$5,INDIRECT("'"&amp;$B16&amp;"'!$AF$6:$AF$205"),0))="","",INDEX(INDIRECT("'"&amp;$B16&amp;"'!$N$6:$N$205"),MATCH($AR16&amp;"|"&amp;K$5,INDIRECT("'"&amp;$B16&amp;"'!$AF$6:$AF$205"),0))),"-"))</f>
        <v/>
      </c>
      <c r="L16" s="34">
        <f>IF(OR(AP16="",L$5="-"),"",IFERROR(IF(INDEX(INDIRECT("'"&amp;$B16&amp;"'!$N$6:$N$205"),MATCH($AR16&amp;"|"&amp;L$5,INDIRECT("'"&amp;$B16&amp;"'!$AF$6:$AF$205"),0))="","",INDEX(INDIRECT("'"&amp;$B16&amp;"'!$N$6:$N$205"),MATCH($AR16&amp;"|"&amp;L$5,INDIRECT("'"&amp;$B16&amp;"'!$AF$6:$AF$205"),0))),"-"))</f>
        <v/>
      </c>
      <c r="M16" s="34">
        <f>IF(OR(AP16="",M$5="-"),"",IFERROR(IF(INDEX(INDIRECT("'"&amp;$B16&amp;"'!$N$6:$N$205"),MATCH($AR16&amp;"|"&amp;M$5,INDIRECT("'"&amp;$B16&amp;"'!$AF$6:$AF$205"),0))="","",INDEX(INDIRECT("'"&amp;$B16&amp;"'!$N$6:$N$205"),MATCH($AR16&amp;"|"&amp;M$5,INDIRECT("'"&amp;$B16&amp;"'!$AF$6:$AF$205"),0))),"-"))</f>
        <v/>
      </c>
      <c r="N16" s="34">
        <f>IF(OR(AP16="",N$5="-"),"",IFERROR(IF(INDEX(INDIRECT("'"&amp;$B16&amp;"'!$N$6:$N$205"),MATCH($AR16&amp;"|"&amp;N$5,INDIRECT("'"&amp;$B16&amp;"'!$AF$6:$AF$205"),0))="","",INDEX(INDIRECT("'"&amp;$B16&amp;"'!$N$6:$N$205"),MATCH($AR16&amp;"|"&amp;N$5,INDIRECT("'"&amp;$B16&amp;"'!$AF$6:$AF$205"),0))),"-"))</f>
        <v/>
      </c>
      <c r="O16" s="34">
        <f>IF(OR(AP16="",O$5="-"),"",IFERROR(IF(INDEX(INDIRECT("'"&amp;$B16&amp;"'!$N$6:$N$205"),MATCH($AR16&amp;"|"&amp;O$5,INDIRECT("'"&amp;$B16&amp;"'!$AF$6:$AF$205"),0))="","",INDEX(INDIRECT("'"&amp;$B16&amp;"'!$N$6:$N$205"),MATCH($AR16&amp;"|"&amp;O$5,INDIRECT("'"&amp;$B16&amp;"'!$AF$6:$AF$205"),0))),"-"))</f>
        <v/>
      </c>
      <c r="P16" s="37">
        <f>IF(OR(AP16="",P$5="-"),"",IFERROR(IF(INDEX(INDIRECT("'"&amp;$B16&amp;"'!$R$6:$R$205"),MATCH($AR16&amp;"|"&amp;P$5,INDIRECT("'"&amp;$B16&amp;"'!$AF$6:$AF$205"),0))="","",INDEX(INDIRECT("'"&amp;$B16&amp;"'!$R$6:$R$205"),MATCH($AR16&amp;"|"&amp;P$5,INDIRECT("'"&amp;$B16&amp;"'!$AF$6:$AF$205"),0))),"-"))</f>
        <v/>
      </c>
      <c r="Q16" s="37">
        <f>IF(OR(AP16="",Q$5="-"),"",IFERROR(IF(INDEX(INDIRECT("'"&amp;$B16&amp;"'!$R$6:$R$205"),MATCH($AR16&amp;"|"&amp;Q$5,INDIRECT("'"&amp;$B16&amp;"'!$AF$6:$AF$205"),0))="","",INDEX(INDIRECT("'"&amp;$B16&amp;"'!$R$6:$R$205"),MATCH($AR16&amp;"|"&amp;Q$5,INDIRECT("'"&amp;$B16&amp;"'!$AF$6:$AF$205"),0))),"-"))</f>
        <v/>
      </c>
      <c r="R16" s="37">
        <f>IF(OR(AP16="",R$5="-"),"",IFERROR(IF(INDEX(INDIRECT("'"&amp;$B16&amp;"'!$R$6:$R$205"),MATCH($AR16&amp;"|"&amp;R$5,INDIRECT("'"&amp;$B16&amp;"'!$AF$6:$AF$205"),0))="","",INDEX(INDIRECT("'"&amp;$B16&amp;"'!$R$6:$R$205"),MATCH($AR16&amp;"|"&amp;R$5,INDIRECT("'"&amp;$B16&amp;"'!$AF$6:$AF$205"),0))),"-"))</f>
        <v/>
      </c>
      <c r="S16" s="37">
        <f>IF(OR(AP16="",S$5="-"),"",IFERROR(IF(INDEX(INDIRECT("'"&amp;$B16&amp;"'!$R$6:$R$205"),MATCH($AR16&amp;"|"&amp;S$5,INDIRECT("'"&amp;$B16&amp;"'!$AF$6:$AF$205"),0))="","",INDEX(INDIRECT("'"&amp;$B16&amp;"'!$R$6:$R$205"),MATCH($AR16&amp;"|"&amp;S$5,INDIRECT("'"&amp;$B16&amp;"'!$AF$6:$AF$205"),0))),"-"))</f>
        <v/>
      </c>
      <c r="T16" s="37">
        <f>IF(OR(AP16="",T$5="-"),"",IFERROR(IF(INDEX(INDIRECT("'"&amp;$B16&amp;"'!$R$6:$R$205"),MATCH($AR16&amp;"|"&amp;T$5,INDIRECT("'"&amp;$B16&amp;"'!$AF$6:$AF$205"),0))="","",INDEX(INDIRECT("'"&amp;$B16&amp;"'!$R$6:$R$205"),MATCH($AR16&amp;"|"&amp;T$5,INDIRECT("'"&amp;$B16&amp;"'!$AF$6:$AF$205"),0))),"-"))</f>
        <v/>
      </c>
      <c r="U16" s="37">
        <f>IF(OR(AP16="",U$5="-"),"",IFERROR(IF(INDEX(INDIRECT("'"&amp;$B16&amp;"'!$R$6:$R$205"),MATCH($AR16&amp;"|"&amp;U$5,INDIRECT("'"&amp;$B16&amp;"'!$AF$6:$AF$205"),0))="","",INDEX(INDIRECT("'"&amp;$B16&amp;"'!$R$6:$R$205"),MATCH($AR16&amp;"|"&amp;U$5,INDIRECT("'"&amp;$B16&amp;"'!$AF$6:$AF$205"),0))),"-"))</f>
        <v/>
      </c>
      <c r="V16" s="37">
        <f>IF(OR(AP16="",V$5="-"),"",IFERROR(IF(INDEX(INDIRECT("'"&amp;$B16&amp;"'!$R$6:$R$205"),MATCH($AR16&amp;"|"&amp;V$5,INDIRECT("'"&amp;$B16&amp;"'!$AF$6:$AF$205"),0))="","",INDEX(INDIRECT("'"&amp;$B16&amp;"'!$R$6:$R$205"),MATCH($AR16&amp;"|"&amp;V$5,INDIRECT("'"&amp;$B16&amp;"'!$AF$6:$AF$205"),0))),"-"))</f>
        <v/>
      </c>
      <c r="W16" s="37">
        <f>IF(OR(AP16="",W$5="-"),"",IFERROR(IF(INDEX(INDIRECT("'"&amp;$B16&amp;"'!$R$6:$R$205"),MATCH($AR16&amp;"|"&amp;W$5,INDIRECT("'"&amp;$B16&amp;"'!$AF$6:$AF$205"),0))="","",INDEX(INDIRECT("'"&amp;$B16&amp;"'!$R$6:$R$205"),MATCH($AR16&amp;"|"&amp;W$5,INDIRECT("'"&amp;$B16&amp;"'!$AF$6:$AF$205"),0))),"-"))</f>
        <v/>
      </c>
      <c r="X16" s="38">
        <f>IF(OR(AP16="",X$5="-"),"",IFERROR(IF(INDEX(INDIRECT("'"&amp;$B16&amp;"'!$T$6:$T$205"),MATCH($AR16&amp;"|"&amp;X$5,INDIRECT("'"&amp;$B16&amp;"'!$AF$6:$AF$205"),0))="","",INDEX(INDIRECT("'"&amp;$B16&amp;"'!$T$6:$T$205"),MATCH($AR16&amp;"|"&amp;X$5,INDIRECT("'"&amp;$B16&amp;"'!$AF$6:$AF$205"),0))),"-"))</f>
        <v/>
      </c>
      <c r="Y16" s="38">
        <f>IF(OR(AP16="",Y$5="-"),"",IFERROR(IF(INDEX(INDIRECT("'"&amp;$B16&amp;"'!$T$6:$T$205"),MATCH($AR16&amp;"|"&amp;Y$5,INDIRECT("'"&amp;$B16&amp;"'!$AF$6:$AF$205"),0))="","",INDEX(INDIRECT("'"&amp;$B16&amp;"'!$T$6:$T$205"),MATCH($AR16&amp;"|"&amp;Y$5,INDIRECT("'"&amp;$B16&amp;"'!$AF$6:$AF$205"),0))),"-"))</f>
        <v/>
      </c>
      <c r="Z16" s="38">
        <f>IF(OR(AP16="",Z$5="-"),"",IFERROR(IF(INDEX(INDIRECT("'"&amp;$B16&amp;"'!$T$6:$T$205"),MATCH($AR16&amp;"|"&amp;Z$5,INDIRECT("'"&amp;$B16&amp;"'!$AF$6:$AF$205"),0))="","",INDEX(INDIRECT("'"&amp;$B16&amp;"'!$T$6:$T$205"),MATCH($AR16&amp;"|"&amp;Z$5,INDIRECT("'"&amp;$B16&amp;"'!$AF$6:$AF$205"),0))),"-"))</f>
        <v/>
      </c>
      <c r="AA16" s="38">
        <f>IF(OR(AP16="",AA$5="-"),"",IFERROR(IF(INDEX(INDIRECT("'"&amp;$B16&amp;"'!$T$6:$T$205"),MATCH($AR16&amp;"|"&amp;AA$5,INDIRECT("'"&amp;$B16&amp;"'!$AF$6:$AF$205"),0))="","",INDEX(INDIRECT("'"&amp;$B16&amp;"'!$T$6:$T$205"),MATCH($AR16&amp;"|"&amp;AA$5,INDIRECT("'"&amp;$B16&amp;"'!$AF$6:$AF$205"),0))),"-"))</f>
        <v/>
      </c>
      <c r="AB16" s="38">
        <f>IF(OR(AP16="",AB$5="-"),"",IFERROR(IF(INDEX(INDIRECT("'"&amp;$B16&amp;"'!$T$6:$T$205"),MATCH($AR16&amp;"|"&amp;AB$5,INDIRECT("'"&amp;$B16&amp;"'!$AF$6:$AF$205"),0))="","",INDEX(INDIRECT("'"&amp;$B16&amp;"'!$T$6:$T$205"),MATCH($AR16&amp;"|"&amp;AB$5,INDIRECT("'"&amp;$B16&amp;"'!$AF$6:$AF$205"),0))),"-"))</f>
        <v/>
      </c>
      <c r="AC16" s="38">
        <f>IF(OR(AP16="",AC$5="-"),"",IFERROR(IF(INDEX(INDIRECT("'"&amp;$B16&amp;"'!$T$6:$T$205"),MATCH($AR16&amp;"|"&amp;AC$5,INDIRECT("'"&amp;$B16&amp;"'!$AF$6:$AF$205"),0))="","",INDEX(INDIRECT("'"&amp;$B16&amp;"'!$T$6:$T$205"),MATCH($AR16&amp;"|"&amp;AC$5,INDIRECT("'"&amp;$B16&amp;"'!$AF$6:$AF$205"),0))),"-"))</f>
        <v/>
      </c>
      <c r="AD16" s="38">
        <f>IF(OR(AP16="",AD$5="-"),"",IFERROR(IF(INDEX(INDIRECT("'"&amp;$B16&amp;"'!$T$6:$T$205"),MATCH($AR16&amp;"|"&amp;AD$5,INDIRECT("'"&amp;$B16&amp;"'!$AF$6:$AF$205"),0))="","",INDEX(INDIRECT("'"&amp;$B16&amp;"'!$T$6:$T$205"),MATCH($AR16&amp;"|"&amp;AD$5,INDIRECT("'"&amp;$B16&amp;"'!$AF$6:$AF$205"),0))),"-"))</f>
        <v/>
      </c>
      <c r="AE16" s="38">
        <f>IF(OR(AP16="",AE$5="-"),"",IFERROR(IF(INDEX(INDIRECT("'"&amp;$B16&amp;"'!$T$6:$T$205"),MATCH($AR16&amp;"|"&amp;AE$5,INDIRECT("'"&amp;$B16&amp;"'!$AF$6:$AF$205"),0))="","",INDEX(INDIRECT("'"&amp;$B16&amp;"'!$T$6:$T$205"),MATCH($AR16&amp;"|"&amp;AE$5,INDIRECT("'"&amp;$B16&amp;"'!$AF$6:$AF$205"),0))),"-"))</f>
        <v/>
      </c>
      <c r="AF16" s="35">
        <f>IF(AG16="","",INDEX($P$5:$W$5,MATCH(AG16,P16:W16,0)))</f>
        <v/>
      </c>
      <c r="AG16" s="37">
        <f>IF(COUNT(P16:W16)=0,"",MIN(P16:W16))</f>
        <v/>
      </c>
      <c r="AH16" s="39">
        <f>IF(AG16="","",AG16*F16)</f>
        <v/>
      </c>
      <c r="AI16" s="39">
        <f>IF(COUNT(P16:W16)&lt;2,"",(MAX(P16:W16)-MIN(P16:W16))*F16)</f>
        <v/>
      </c>
      <c r="AJ16" s="20" t="n"/>
      <c r="AP16">
        <f>IF(11&gt;MAX($AN$6:$AN$9),"",COUNTIF($AN$6:$AN$9,"&lt;"&amp;11)+1)</f>
        <v/>
      </c>
      <c r="AQ16">
        <f>IF(AP16="","",11-INDEX($AO$6:$AO$9,AP16))</f>
        <v/>
      </c>
      <c r="AR16">
        <f>IF(AP16="","",INDEX(INDIRECT("'"&amp;$B16&amp;"'!$AE$6:$AE$205"),MATCH(AQ16,INDIRECT("'"&amp;$B16&amp;"'!$AI$6:$AI$205"),0)))</f>
        <v/>
      </c>
    </row>
    <row r="17">
      <c r="A17" s="34">
        <f>IF(AP17="","",12)</f>
        <v/>
      </c>
      <c r="B17" s="35">
        <f>IF(AP17="","",INDEX($AL$6:$AL$9,AP17))</f>
        <v/>
      </c>
      <c r="C17" s="34">
        <f>IF(AP17="","",INDEX(INDIRECT("'"&amp;$B17&amp;"'!$B$6:$B$205"),MATCH($AR17,INDIRECT("'"&amp;$B17&amp;"'!$AE$6:$AE$205"),0)))</f>
        <v/>
      </c>
      <c r="D17" s="34">
        <f>IF(AP17="","",INDEX(INDIRECT("'"&amp;$B17&amp;"'!$D$6:$D$205"),MATCH($AR17,INDIRECT("'"&amp;$B17&amp;"'!$AE$6:$AE$205"),0)))</f>
        <v/>
      </c>
      <c r="E17" s="36">
        <f>IF(AP17="","",INDEX(INDIRECT("'"&amp;$B17&amp;"'!$F$6:$F$205"),MATCH($AR17,INDIRECT("'"&amp;$B17&amp;"'!$AE$6:$AE$205"),0)))</f>
        <v/>
      </c>
      <c r="F17" s="34">
        <f>IF(AP17="","",INDEX(INDIRECT("'"&amp;$B17&amp;"'!$K$6:$K$205"),MATCH($AR17,INDIRECT("'"&amp;$B17&amp;"'!$AE$6:$AE$205"),0)))</f>
        <v/>
      </c>
      <c r="G17" s="34">
        <f>IF(AP17="","",INDEX(INDIRECT("'"&amp;$B17&amp;"'!$L$6:$L$205"),MATCH($AR17,INDIRECT("'"&amp;$B17&amp;"'!$AE$6:$AE$205"),0)))</f>
        <v/>
      </c>
      <c r="H17" s="34">
        <f>IF(OR(AP17="",H$5="-"),"",IFERROR(IF(INDEX(INDIRECT("'"&amp;$B17&amp;"'!$N$6:$N$205"),MATCH($AR17&amp;"|"&amp;H$5,INDIRECT("'"&amp;$B17&amp;"'!$AF$6:$AF$205"),0))="","",INDEX(INDIRECT("'"&amp;$B17&amp;"'!$N$6:$N$205"),MATCH($AR17&amp;"|"&amp;H$5,INDIRECT("'"&amp;$B17&amp;"'!$AF$6:$AF$205"),0))),"-"))</f>
        <v/>
      </c>
      <c r="I17" s="34">
        <f>IF(OR(AP17="",I$5="-"),"",IFERROR(IF(INDEX(INDIRECT("'"&amp;$B17&amp;"'!$N$6:$N$205"),MATCH($AR17&amp;"|"&amp;I$5,INDIRECT("'"&amp;$B17&amp;"'!$AF$6:$AF$205"),0))="","",INDEX(INDIRECT("'"&amp;$B17&amp;"'!$N$6:$N$205"),MATCH($AR17&amp;"|"&amp;I$5,INDIRECT("'"&amp;$B17&amp;"'!$AF$6:$AF$205"),0))),"-"))</f>
        <v/>
      </c>
      <c r="J17" s="34">
        <f>IF(OR(AP17="",J$5="-"),"",IFERROR(IF(INDEX(INDIRECT("'"&amp;$B17&amp;"'!$N$6:$N$205"),MATCH($AR17&amp;"|"&amp;J$5,INDIRECT("'"&amp;$B17&amp;"'!$AF$6:$AF$205"),0))="","",INDEX(INDIRECT("'"&amp;$B17&amp;"'!$N$6:$N$205"),MATCH($AR17&amp;"|"&amp;J$5,INDIRECT("'"&amp;$B17&amp;"'!$AF$6:$AF$205"),0))),"-"))</f>
        <v/>
      </c>
      <c r="K17" s="34">
        <f>IF(OR(AP17="",K$5="-"),"",IFERROR(IF(INDEX(INDIRECT("'"&amp;$B17&amp;"'!$N$6:$N$205"),MATCH($AR17&amp;"|"&amp;K$5,INDIRECT("'"&amp;$B17&amp;"'!$AF$6:$AF$205"),0))="","",INDEX(INDIRECT("'"&amp;$B17&amp;"'!$N$6:$N$205"),MATCH($AR17&amp;"|"&amp;K$5,INDIRECT("'"&amp;$B17&amp;"'!$AF$6:$AF$205"),0))),"-"))</f>
        <v/>
      </c>
      <c r="L17" s="34">
        <f>IF(OR(AP17="",L$5="-"),"",IFERROR(IF(INDEX(INDIRECT("'"&amp;$B17&amp;"'!$N$6:$N$205"),MATCH($AR17&amp;"|"&amp;L$5,INDIRECT("'"&amp;$B17&amp;"'!$AF$6:$AF$205"),0))="","",INDEX(INDIRECT("'"&amp;$B17&amp;"'!$N$6:$N$205"),MATCH($AR17&amp;"|"&amp;L$5,INDIRECT("'"&amp;$B17&amp;"'!$AF$6:$AF$205"),0))),"-"))</f>
        <v/>
      </c>
      <c r="M17" s="34">
        <f>IF(OR(AP17="",M$5="-"),"",IFERROR(IF(INDEX(INDIRECT("'"&amp;$B17&amp;"'!$N$6:$N$205"),MATCH($AR17&amp;"|"&amp;M$5,INDIRECT("'"&amp;$B17&amp;"'!$AF$6:$AF$205"),0))="","",INDEX(INDIRECT("'"&amp;$B17&amp;"'!$N$6:$N$205"),MATCH($AR17&amp;"|"&amp;M$5,INDIRECT("'"&amp;$B17&amp;"'!$AF$6:$AF$205"),0))),"-"))</f>
        <v/>
      </c>
      <c r="N17" s="34">
        <f>IF(OR(AP17="",N$5="-"),"",IFERROR(IF(INDEX(INDIRECT("'"&amp;$B17&amp;"'!$N$6:$N$205"),MATCH($AR17&amp;"|"&amp;N$5,INDIRECT("'"&amp;$B17&amp;"'!$AF$6:$AF$205"),0))="","",INDEX(INDIRECT("'"&amp;$B17&amp;"'!$N$6:$N$205"),MATCH($AR17&amp;"|"&amp;N$5,INDIRECT("'"&amp;$B17&amp;"'!$AF$6:$AF$205"),0))),"-"))</f>
        <v/>
      </c>
      <c r="O17" s="34">
        <f>IF(OR(AP17="",O$5="-"),"",IFERROR(IF(INDEX(INDIRECT("'"&amp;$B17&amp;"'!$N$6:$N$205"),MATCH($AR17&amp;"|"&amp;O$5,INDIRECT("'"&amp;$B17&amp;"'!$AF$6:$AF$205"),0))="","",INDEX(INDIRECT("'"&amp;$B17&amp;"'!$N$6:$N$205"),MATCH($AR17&amp;"|"&amp;O$5,INDIRECT("'"&amp;$B17&amp;"'!$AF$6:$AF$205"),0))),"-"))</f>
        <v/>
      </c>
      <c r="P17" s="37">
        <f>IF(OR(AP17="",P$5="-"),"",IFERROR(IF(INDEX(INDIRECT("'"&amp;$B17&amp;"'!$R$6:$R$205"),MATCH($AR17&amp;"|"&amp;P$5,INDIRECT("'"&amp;$B17&amp;"'!$AF$6:$AF$205"),0))="","",INDEX(INDIRECT("'"&amp;$B17&amp;"'!$R$6:$R$205"),MATCH($AR17&amp;"|"&amp;P$5,INDIRECT("'"&amp;$B17&amp;"'!$AF$6:$AF$205"),0))),"-"))</f>
        <v/>
      </c>
      <c r="Q17" s="37">
        <f>IF(OR(AP17="",Q$5="-"),"",IFERROR(IF(INDEX(INDIRECT("'"&amp;$B17&amp;"'!$R$6:$R$205"),MATCH($AR17&amp;"|"&amp;Q$5,INDIRECT("'"&amp;$B17&amp;"'!$AF$6:$AF$205"),0))="","",INDEX(INDIRECT("'"&amp;$B17&amp;"'!$R$6:$R$205"),MATCH($AR17&amp;"|"&amp;Q$5,INDIRECT("'"&amp;$B17&amp;"'!$AF$6:$AF$205"),0))),"-"))</f>
        <v/>
      </c>
      <c r="R17" s="37">
        <f>IF(OR(AP17="",R$5="-"),"",IFERROR(IF(INDEX(INDIRECT("'"&amp;$B17&amp;"'!$R$6:$R$205"),MATCH($AR17&amp;"|"&amp;R$5,INDIRECT("'"&amp;$B17&amp;"'!$AF$6:$AF$205"),0))="","",INDEX(INDIRECT("'"&amp;$B17&amp;"'!$R$6:$R$205"),MATCH($AR17&amp;"|"&amp;R$5,INDIRECT("'"&amp;$B17&amp;"'!$AF$6:$AF$205"),0))),"-"))</f>
        <v/>
      </c>
      <c r="S17" s="37">
        <f>IF(OR(AP17="",S$5="-"),"",IFERROR(IF(INDEX(INDIRECT("'"&amp;$B17&amp;"'!$R$6:$R$205"),MATCH($AR17&amp;"|"&amp;S$5,INDIRECT("'"&amp;$B17&amp;"'!$AF$6:$AF$205"),0))="","",INDEX(INDIRECT("'"&amp;$B17&amp;"'!$R$6:$R$205"),MATCH($AR17&amp;"|"&amp;S$5,INDIRECT("'"&amp;$B17&amp;"'!$AF$6:$AF$205"),0))),"-"))</f>
        <v/>
      </c>
      <c r="T17" s="37">
        <f>IF(OR(AP17="",T$5="-"),"",IFERROR(IF(INDEX(INDIRECT("'"&amp;$B17&amp;"'!$R$6:$R$205"),MATCH($AR17&amp;"|"&amp;T$5,INDIRECT("'"&amp;$B17&amp;"'!$AF$6:$AF$205"),0))="","",INDEX(INDIRECT("'"&amp;$B17&amp;"'!$R$6:$R$205"),MATCH($AR17&amp;"|"&amp;T$5,INDIRECT("'"&amp;$B17&amp;"'!$AF$6:$AF$205"),0))),"-"))</f>
        <v/>
      </c>
      <c r="U17" s="37">
        <f>IF(OR(AP17="",U$5="-"),"",IFERROR(IF(INDEX(INDIRECT("'"&amp;$B17&amp;"'!$R$6:$R$205"),MATCH($AR17&amp;"|"&amp;U$5,INDIRECT("'"&amp;$B17&amp;"'!$AF$6:$AF$205"),0))="","",INDEX(INDIRECT("'"&amp;$B17&amp;"'!$R$6:$R$205"),MATCH($AR17&amp;"|"&amp;U$5,INDIRECT("'"&amp;$B17&amp;"'!$AF$6:$AF$205"),0))),"-"))</f>
        <v/>
      </c>
      <c r="V17" s="37">
        <f>IF(OR(AP17="",V$5="-"),"",IFERROR(IF(INDEX(INDIRECT("'"&amp;$B17&amp;"'!$R$6:$R$205"),MATCH($AR17&amp;"|"&amp;V$5,INDIRECT("'"&amp;$B17&amp;"'!$AF$6:$AF$205"),0))="","",INDEX(INDIRECT("'"&amp;$B17&amp;"'!$R$6:$R$205"),MATCH($AR17&amp;"|"&amp;V$5,INDIRECT("'"&amp;$B17&amp;"'!$AF$6:$AF$205"),0))),"-"))</f>
        <v/>
      </c>
      <c r="W17" s="37">
        <f>IF(OR(AP17="",W$5="-"),"",IFERROR(IF(INDEX(INDIRECT("'"&amp;$B17&amp;"'!$R$6:$R$205"),MATCH($AR17&amp;"|"&amp;W$5,INDIRECT("'"&amp;$B17&amp;"'!$AF$6:$AF$205"),0))="","",INDEX(INDIRECT("'"&amp;$B17&amp;"'!$R$6:$R$205"),MATCH($AR17&amp;"|"&amp;W$5,INDIRECT("'"&amp;$B17&amp;"'!$AF$6:$AF$205"),0))),"-"))</f>
        <v/>
      </c>
      <c r="X17" s="38">
        <f>IF(OR(AP17="",X$5="-"),"",IFERROR(IF(INDEX(INDIRECT("'"&amp;$B17&amp;"'!$T$6:$T$205"),MATCH($AR17&amp;"|"&amp;X$5,INDIRECT("'"&amp;$B17&amp;"'!$AF$6:$AF$205"),0))="","",INDEX(INDIRECT("'"&amp;$B17&amp;"'!$T$6:$T$205"),MATCH($AR17&amp;"|"&amp;X$5,INDIRECT("'"&amp;$B17&amp;"'!$AF$6:$AF$205"),0))),"-"))</f>
        <v/>
      </c>
      <c r="Y17" s="38">
        <f>IF(OR(AP17="",Y$5="-"),"",IFERROR(IF(INDEX(INDIRECT("'"&amp;$B17&amp;"'!$T$6:$T$205"),MATCH($AR17&amp;"|"&amp;Y$5,INDIRECT("'"&amp;$B17&amp;"'!$AF$6:$AF$205"),0))="","",INDEX(INDIRECT("'"&amp;$B17&amp;"'!$T$6:$T$205"),MATCH($AR17&amp;"|"&amp;Y$5,INDIRECT("'"&amp;$B17&amp;"'!$AF$6:$AF$205"),0))),"-"))</f>
        <v/>
      </c>
      <c r="Z17" s="38">
        <f>IF(OR(AP17="",Z$5="-"),"",IFERROR(IF(INDEX(INDIRECT("'"&amp;$B17&amp;"'!$T$6:$T$205"),MATCH($AR17&amp;"|"&amp;Z$5,INDIRECT("'"&amp;$B17&amp;"'!$AF$6:$AF$205"),0))="","",INDEX(INDIRECT("'"&amp;$B17&amp;"'!$T$6:$T$205"),MATCH($AR17&amp;"|"&amp;Z$5,INDIRECT("'"&amp;$B17&amp;"'!$AF$6:$AF$205"),0))),"-"))</f>
        <v/>
      </c>
      <c r="AA17" s="38">
        <f>IF(OR(AP17="",AA$5="-"),"",IFERROR(IF(INDEX(INDIRECT("'"&amp;$B17&amp;"'!$T$6:$T$205"),MATCH($AR17&amp;"|"&amp;AA$5,INDIRECT("'"&amp;$B17&amp;"'!$AF$6:$AF$205"),0))="","",INDEX(INDIRECT("'"&amp;$B17&amp;"'!$T$6:$T$205"),MATCH($AR17&amp;"|"&amp;AA$5,INDIRECT("'"&amp;$B17&amp;"'!$AF$6:$AF$205"),0))),"-"))</f>
        <v/>
      </c>
      <c r="AB17" s="38">
        <f>IF(OR(AP17="",AB$5="-"),"",IFERROR(IF(INDEX(INDIRECT("'"&amp;$B17&amp;"'!$T$6:$T$205"),MATCH($AR17&amp;"|"&amp;AB$5,INDIRECT("'"&amp;$B17&amp;"'!$AF$6:$AF$205"),0))="","",INDEX(INDIRECT("'"&amp;$B17&amp;"'!$T$6:$T$205"),MATCH($AR17&amp;"|"&amp;AB$5,INDIRECT("'"&amp;$B17&amp;"'!$AF$6:$AF$205"),0))),"-"))</f>
        <v/>
      </c>
      <c r="AC17" s="38">
        <f>IF(OR(AP17="",AC$5="-"),"",IFERROR(IF(INDEX(INDIRECT("'"&amp;$B17&amp;"'!$T$6:$T$205"),MATCH($AR17&amp;"|"&amp;AC$5,INDIRECT("'"&amp;$B17&amp;"'!$AF$6:$AF$205"),0))="","",INDEX(INDIRECT("'"&amp;$B17&amp;"'!$T$6:$T$205"),MATCH($AR17&amp;"|"&amp;AC$5,INDIRECT("'"&amp;$B17&amp;"'!$AF$6:$AF$205"),0))),"-"))</f>
        <v/>
      </c>
      <c r="AD17" s="38">
        <f>IF(OR(AP17="",AD$5="-"),"",IFERROR(IF(INDEX(INDIRECT("'"&amp;$B17&amp;"'!$T$6:$T$205"),MATCH($AR17&amp;"|"&amp;AD$5,INDIRECT("'"&amp;$B17&amp;"'!$AF$6:$AF$205"),0))="","",INDEX(INDIRECT("'"&amp;$B17&amp;"'!$T$6:$T$205"),MATCH($AR17&amp;"|"&amp;AD$5,INDIRECT("'"&amp;$B17&amp;"'!$AF$6:$AF$205"),0))),"-"))</f>
        <v/>
      </c>
      <c r="AE17" s="38">
        <f>IF(OR(AP17="",AE$5="-"),"",IFERROR(IF(INDEX(INDIRECT("'"&amp;$B17&amp;"'!$T$6:$T$205"),MATCH($AR17&amp;"|"&amp;AE$5,INDIRECT("'"&amp;$B17&amp;"'!$AF$6:$AF$205"),0))="","",INDEX(INDIRECT("'"&amp;$B17&amp;"'!$T$6:$T$205"),MATCH($AR17&amp;"|"&amp;AE$5,INDIRECT("'"&amp;$B17&amp;"'!$AF$6:$AF$205"),0))),"-"))</f>
        <v/>
      </c>
      <c r="AF17" s="35">
        <f>IF(AG17="","",INDEX($P$5:$W$5,MATCH(AG17,P17:W17,0)))</f>
        <v/>
      </c>
      <c r="AG17" s="37">
        <f>IF(COUNT(P17:W17)=0,"",MIN(P17:W17))</f>
        <v/>
      </c>
      <c r="AH17" s="39">
        <f>IF(AG17="","",AG17*F17)</f>
        <v/>
      </c>
      <c r="AI17" s="39">
        <f>IF(COUNT(P17:W17)&lt;2,"",(MAX(P17:W17)-MIN(P17:W17))*F17)</f>
        <v/>
      </c>
      <c r="AJ17" s="20" t="n"/>
      <c r="AP17">
        <f>IF(12&gt;MAX($AN$6:$AN$9),"",COUNTIF($AN$6:$AN$9,"&lt;"&amp;12)+1)</f>
        <v/>
      </c>
      <c r="AQ17">
        <f>IF(AP17="","",12-INDEX($AO$6:$AO$9,AP17))</f>
        <v/>
      </c>
      <c r="AR17">
        <f>IF(AP17="","",INDEX(INDIRECT("'"&amp;$B17&amp;"'!$AE$6:$AE$205"),MATCH(AQ17,INDIRECT("'"&amp;$B17&amp;"'!$AI$6:$AI$205"),0)))</f>
        <v/>
      </c>
    </row>
    <row r="18">
      <c r="A18" s="34">
        <f>IF(AP18="","",13)</f>
        <v/>
      </c>
      <c r="B18" s="35">
        <f>IF(AP18="","",INDEX($AL$6:$AL$9,AP18))</f>
        <v/>
      </c>
      <c r="C18" s="34">
        <f>IF(AP18="","",INDEX(INDIRECT("'"&amp;$B18&amp;"'!$B$6:$B$205"),MATCH($AR18,INDIRECT("'"&amp;$B18&amp;"'!$AE$6:$AE$205"),0)))</f>
        <v/>
      </c>
      <c r="D18" s="34">
        <f>IF(AP18="","",INDEX(INDIRECT("'"&amp;$B18&amp;"'!$D$6:$D$205"),MATCH($AR18,INDIRECT("'"&amp;$B18&amp;"'!$AE$6:$AE$205"),0)))</f>
        <v/>
      </c>
      <c r="E18" s="36">
        <f>IF(AP18="","",INDEX(INDIRECT("'"&amp;$B18&amp;"'!$F$6:$F$205"),MATCH($AR18,INDIRECT("'"&amp;$B18&amp;"'!$AE$6:$AE$205"),0)))</f>
        <v/>
      </c>
      <c r="F18" s="34">
        <f>IF(AP18="","",INDEX(INDIRECT("'"&amp;$B18&amp;"'!$K$6:$K$205"),MATCH($AR18,INDIRECT("'"&amp;$B18&amp;"'!$AE$6:$AE$205"),0)))</f>
        <v/>
      </c>
      <c r="G18" s="34">
        <f>IF(AP18="","",INDEX(INDIRECT("'"&amp;$B18&amp;"'!$L$6:$L$205"),MATCH($AR18,INDIRECT("'"&amp;$B18&amp;"'!$AE$6:$AE$205"),0)))</f>
        <v/>
      </c>
      <c r="H18" s="34">
        <f>IF(OR(AP18="",H$5="-"),"",IFERROR(IF(INDEX(INDIRECT("'"&amp;$B18&amp;"'!$N$6:$N$205"),MATCH($AR18&amp;"|"&amp;H$5,INDIRECT("'"&amp;$B18&amp;"'!$AF$6:$AF$205"),0))="","",INDEX(INDIRECT("'"&amp;$B18&amp;"'!$N$6:$N$205"),MATCH($AR18&amp;"|"&amp;H$5,INDIRECT("'"&amp;$B18&amp;"'!$AF$6:$AF$205"),0))),"-"))</f>
        <v/>
      </c>
      <c r="I18" s="34">
        <f>IF(OR(AP18="",I$5="-"),"",IFERROR(IF(INDEX(INDIRECT("'"&amp;$B18&amp;"'!$N$6:$N$205"),MATCH($AR18&amp;"|"&amp;I$5,INDIRECT("'"&amp;$B18&amp;"'!$AF$6:$AF$205"),0))="","",INDEX(INDIRECT("'"&amp;$B18&amp;"'!$N$6:$N$205"),MATCH($AR18&amp;"|"&amp;I$5,INDIRECT("'"&amp;$B18&amp;"'!$AF$6:$AF$205"),0))),"-"))</f>
        <v/>
      </c>
      <c r="J18" s="34">
        <f>IF(OR(AP18="",J$5="-"),"",IFERROR(IF(INDEX(INDIRECT("'"&amp;$B18&amp;"'!$N$6:$N$205"),MATCH($AR18&amp;"|"&amp;J$5,INDIRECT("'"&amp;$B18&amp;"'!$AF$6:$AF$205"),0))="","",INDEX(INDIRECT("'"&amp;$B18&amp;"'!$N$6:$N$205"),MATCH($AR18&amp;"|"&amp;J$5,INDIRECT("'"&amp;$B18&amp;"'!$AF$6:$AF$205"),0))),"-"))</f>
        <v/>
      </c>
      <c r="K18" s="34">
        <f>IF(OR(AP18="",K$5="-"),"",IFERROR(IF(INDEX(INDIRECT("'"&amp;$B18&amp;"'!$N$6:$N$205"),MATCH($AR18&amp;"|"&amp;K$5,INDIRECT("'"&amp;$B18&amp;"'!$AF$6:$AF$205"),0))="","",INDEX(INDIRECT("'"&amp;$B18&amp;"'!$N$6:$N$205"),MATCH($AR18&amp;"|"&amp;K$5,INDIRECT("'"&amp;$B18&amp;"'!$AF$6:$AF$205"),0))),"-"))</f>
        <v/>
      </c>
      <c r="L18" s="34">
        <f>IF(OR(AP18="",L$5="-"),"",IFERROR(IF(INDEX(INDIRECT("'"&amp;$B18&amp;"'!$N$6:$N$205"),MATCH($AR18&amp;"|"&amp;L$5,INDIRECT("'"&amp;$B18&amp;"'!$AF$6:$AF$205"),0))="","",INDEX(INDIRECT("'"&amp;$B18&amp;"'!$N$6:$N$205"),MATCH($AR18&amp;"|"&amp;L$5,INDIRECT("'"&amp;$B18&amp;"'!$AF$6:$AF$205"),0))),"-"))</f>
        <v/>
      </c>
      <c r="M18" s="34">
        <f>IF(OR(AP18="",M$5="-"),"",IFERROR(IF(INDEX(INDIRECT("'"&amp;$B18&amp;"'!$N$6:$N$205"),MATCH($AR18&amp;"|"&amp;M$5,INDIRECT("'"&amp;$B18&amp;"'!$AF$6:$AF$205"),0))="","",INDEX(INDIRECT("'"&amp;$B18&amp;"'!$N$6:$N$205"),MATCH($AR18&amp;"|"&amp;M$5,INDIRECT("'"&amp;$B18&amp;"'!$AF$6:$AF$205"),0))),"-"))</f>
        <v/>
      </c>
      <c r="N18" s="34">
        <f>IF(OR(AP18="",N$5="-"),"",IFERROR(IF(INDEX(INDIRECT("'"&amp;$B18&amp;"'!$N$6:$N$205"),MATCH($AR18&amp;"|"&amp;N$5,INDIRECT("'"&amp;$B18&amp;"'!$AF$6:$AF$205"),0))="","",INDEX(INDIRECT("'"&amp;$B18&amp;"'!$N$6:$N$205"),MATCH($AR18&amp;"|"&amp;N$5,INDIRECT("'"&amp;$B18&amp;"'!$AF$6:$AF$205"),0))),"-"))</f>
        <v/>
      </c>
      <c r="O18" s="34">
        <f>IF(OR(AP18="",O$5="-"),"",IFERROR(IF(INDEX(INDIRECT("'"&amp;$B18&amp;"'!$N$6:$N$205"),MATCH($AR18&amp;"|"&amp;O$5,INDIRECT("'"&amp;$B18&amp;"'!$AF$6:$AF$205"),0))="","",INDEX(INDIRECT("'"&amp;$B18&amp;"'!$N$6:$N$205"),MATCH($AR18&amp;"|"&amp;O$5,INDIRECT("'"&amp;$B18&amp;"'!$AF$6:$AF$205"),0))),"-"))</f>
        <v/>
      </c>
      <c r="P18" s="37">
        <f>IF(OR(AP18="",P$5="-"),"",IFERROR(IF(INDEX(INDIRECT("'"&amp;$B18&amp;"'!$R$6:$R$205"),MATCH($AR18&amp;"|"&amp;P$5,INDIRECT("'"&amp;$B18&amp;"'!$AF$6:$AF$205"),0))="","",INDEX(INDIRECT("'"&amp;$B18&amp;"'!$R$6:$R$205"),MATCH($AR18&amp;"|"&amp;P$5,INDIRECT("'"&amp;$B18&amp;"'!$AF$6:$AF$205"),0))),"-"))</f>
        <v/>
      </c>
      <c r="Q18" s="37">
        <f>IF(OR(AP18="",Q$5="-"),"",IFERROR(IF(INDEX(INDIRECT("'"&amp;$B18&amp;"'!$R$6:$R$205"),MATCH($AR18&amp;"|"&amp;Q$5,INDIRECT("'"&amp;$B18&amp;"'!$AF$6:$AF$205"),0))="","",INDEX(INDIRECT("'"&amp;$B18&amp;"'!$R$6:$R$205"),MATCH($AR18&amp;"|"&amp;Q$5,INDIRECT("'"&amp;$B18&amp;"'!$AF$6:$AF$205"),0))),"-"))</f>
        <v/>
      </c>
      <c r="R18" s="37">
        <f>IF(OR(AP18="",R$5="-"),"",IFERROR(IF(INDEX(INDIRECT("'"&amp;$B18&amp;"'!$R$6:$R$205"),MATCH($AR18&amp;"|"&amp;R$5,INDIRECT("'"&amp;$B18&amp;"'!$AF$6:$AF$205"),0))="","",INDEX(INDIRECT("'"&amp;$B18&amp;"'!$R$6:$R$205"),MATCH($AR18&amp;"|"&amp;R$5,INDIRECT("'"&amp;$B18&amp;"'!$AF$6:$AF$205"),0))),"-"))</f>
        <v/>
      </c>
      <c r="S18" s="37">
        <f>IF(OR(AP18="",S$5="-"),"",IFERROR(IF(INDEX(INDIRECT("'"&amp;$B18&amp;"'!$R$6:$R$205"),MATCH($AR18&amp;"|"&amp;S$5,INDIRECT("'"&amp;$B18&amp;"'!$AF$6:$AF$205"),0))="","",INDEX(INDIRECT("'"&amp;$B18&amp;"'!$R$6:$R$205"),MATCH($AR18&amp;"|"&amp;S$5,INDIRECT("'"&amp;$B18&amp;"'!$AF$6:$AF$205"),0))),"-"))</f>
        <v/>
      </c>
      <c r="T18" s="37">
        <f>IF(OR(AP18="",T$5="-"),"",IFERROR(IF(INDEX(INDIRECT("'"&amp;$B18&amp;"'!$R$6:$R$205"),MATCH($AR18&amp;"|"&amp;T$5,INDIRECT("'"&amp;$B18&amp;"'!$AF$6:$AF$205"),0))="","",INDEX(INDIRECT("'"&amp;$B18&amp;"'!$R$6:$R$205"),MATCH($AR18&amp;"|"&amp;T$5,INDIRECT("'"&amp;$B18&amp;"'!$AF$6:$AF$205"),0))),"-"))</f>
        <v/>
      </c>
      <c r="U18" s="37">
        <f>IF(OR(AP18="",U$5="-"),"",IFERROR(IF(INDEX(INDIRECT("'"&amp;$B18&amp;"'!$R$6:$R$205"),MATCH($AR18&amp;"|"&amp;U$5,INDIRECT("'"&amp;$B18&amp;"'!$AF$6:$AF$205"),0))="","",INDEX(INDIRECT("'"&amp;$B18&amp;"'!$R$6:$R$205"),MATCH($AR18&amp;"|"&amp;U$5,INDIRECT("'"&amp;$B18&amp;"'!$AF$6:$AF$205"),0))),"-"))</f>
        <v/>
      </c>
      <c r="V18" s="37">
        <f>IF(OR(AP18="",V$5="-"),"",IFERROR(IF(INDEX(INDIRECT("'"&amp;$B18&amp;"'!$R$6:$R$205"),MATCH($AR18&amp;"|"&amp;V$5,INDIRECT("'"&amp;$B18&amp;"'!$AF$6:$AF$205"),0))="","",INDEX(INDIRECT("'"&amp;$B18&amp;"'!$R$6:$R$205"),MATCH($AR18&amp;"|"&amp;V$5,INDIRECT("'"&amp;$B18&amp;"'!$AF$6:$AF$205"),0))),"-"))</f>
        <v/>
      </c>
      <c r="W18" s="37">
        <f>IF(OR(AP18="",W$5="-"),"",IFERROR(IF(INDEX(INDIRECT("'"&amp;$B18&amp;"'!$R$6:$R$205"),MATCH($AR18&amp;"|"&amp;W$5,INDIRECT("'"&amp;$B18&amp;"'!$AF$6:$AF$205"),0))="","",INDEX(INDIRECT("'"&amp;$B18&amp;"'!$R$6:$R$205"),MATCH($AR18&amp;"|"&amp;W$5,INDIRECT("'"&amp;$B18&amp;"'!$AF$6:$AF$205"),0))),"-"))</f>
        <v/>
      </c>
      <c r="X18" s="38">
        <f>IF(OR(AP18="",X$5="-"),"",IFERROR(IF(INDEX(INDIRECT("'"&amp;$B18&amp;"'!$T$6:$T$205"),MATCH($AR18&amp;"|"&amp;X$5,INDIRECT("'"&amp;$B18&amp;"'!$AF$6:$AF$205"),0))="","",INDEX(INDIRECT("'"&amp;$B18&amp;"'!$T$6:$T$205"),MATCH($AR18&amp;"|"&amp;X$5,INDIRECT("'"&amp;$B18&amp;"'!$AF$6:$AF$205"),0))),"-"))</f>
        <v/>
      </c>
      <c r="Y18" s="38">
        <f>IF(OR(AP18="",Y$5="-"),"",IFERROR(IF(INDEX(INDIRECT("'"&amp;$B18&amp;"'!$T$6:$T$205"),MATCH($AR18&amp;"|"&amp;Y$5,INDIRECT("'"&amp;$B18&amp;"'!$AF$6:$AF$205"),0))="","",INDEX(INDIRECT("'"&amp;$B18&amp;"'!$T$6:$T$205"),MATCH($AR18&amp;"|"&amp;Y$5,INDIRECT("'"&amp;$B18&amp;"'!$AF$6:$AF$205"),0))),"-"))</f>
        <v/>
      </c>
      <c r="Z18" s="38">
        <f>IF(OR(AP18="",Z$5="-"),"",IFERROR(IF(INDEX(INDIRECT("'"&amp;$B18&amp;"'!$T$6:$T$205"),MATCH($AR18&amp;"|"&amp;Z$5,INDIRECT("'"&amp;$B18&amp;"'!$AF$6:$AF$205"),0))="","",INDEX(INDIRECT("'"&amp;$B18&amp;"'!$T$6:$T$205"),MATCH($AR18&amp;"|"&amp;Z$5,INDIRECT("'"&amp;$B18&amp;"'!$AF$6:$AF$205"),0))),"-"))</f>
        <v/>
      </c>
      <c r="AA18" s="38">
        <f>IF(OR(AP18="",AA$5="-"),"",IFERROR(IF(INDEX(INDIRECT("'"&amp;$B18&amp;"'!$T$6:$T$205"),MATCH($AR18&amp;"|"&amp;AA$5,INDIRECT("'"&amp;$B18&amp;"'!$AF$6:$AF$205"),0))="","",INDEX(INDIRECT("'"&amp;$B18&amp;"'!$T$6:$T$205"),MATCH($AR18&amp;"|"&amp;AA$5,INDIRECT("'"&amp;$B18&amp;"'!$AF$6:$AF$205"),0))),"-"))</f>
        <v/>
      </c>
      <c r="AB18" s="38">
        <f>IF(OR(AP18="",AB$5="-"),"",IFERROR(IF(INDEX(INDIRECT("'"&amp;$B18&amp;"'!$T$6:$T$205"),MATCH($AR18&amp;"|"&amp;AB$5,INDIRECT("'"&amp;$B18&amp;"'!$AF$6:$AF$205"),0))="","",INDEX(INDIRECT("'"&amp;$B18&amp;"'!$T$6:$T$205"),MATCH($AR18&amp;"|"&amp;AB$5,INDIRECT("'"&amp;$B18&amp;"'!$AF$6:$AF$205"),0))),"-"))</f>
        <v/>
      </c>
      <c r="AC18" s="38">
        <f>IF(OR(AP18="",AC$5="-"),"",IFERROR(IF(INDEX(INDIRECT("'"&amp;$B18&amp;"'!$T$6:$T$205"),MATCH($AR18&amp;"|"&amp;AC$5,INDIRECT("'"&amp;$B18&amp;"'!$AF$6:$AF$205"),0))="","",INDEX(INDIRECT("'"&amp;$B18&amp;"'!$T$6:$T$205"),MATCH($AR18&amp;"|"&amp;AC$5,INDIRECT("'"&amp;$B18&amp;"'!$AF$6:$AF$205"),0))),"-"))</f>
        <v/>
      </c>
      <c r="AD18" s="38">
        <f>IF(OR(AP18="",AD$5="-"),"",IFERROR(IF(INDEX(INDIRECT("'"&amp;$B18&amp;"'!$T$6:$T$205"),MATCH($AR18&amp;"|"&amp;AD$5,INDIRECT("'"&amp;$B18&amp;"'!$AF$6:$AF$205"),0))="","",INDEX(INDIRECT("'"&amp;$B18&amp;"'!$T$6:$T$205"),MATCH($AR18&amp;"|"&amp;AD$5,INDIRECT("'"&amp;$B18&amp;"'!$AF$6:$AF$205"),0))),"-"))</f>
        <v/>
      </c>
      <c r="AE18" s="38">
        <f>IF(OR(AP18="",AE$5="-"),"",IFERROR(IF(INDEX(INDIRECT("'"&amp;$B18&amp;"'!$T$6:$T$205"),MATCH($AR18&amp;"|"&amp;AE$5,INDIRECT("'"&amp;$B18&amp;"'!$AF$6:$AF$205"),0))="","",INDEX(INDIRECT("'"&amp;$B18&amp;"'!$T$6:$T$205"),MATCH($AR18&amp;"|"&amp;AE$5,INDIRECT("'"&amp;$B18&amp;"'!$AF$6:$AF$205"),0))),"-"))</f>
        <v/>
      </c>
      <c r="AF18" s="35">
        <f>IF(AG18="","",INDEX($P$5:$W$5,MATCH(AG18,P18:W18,0)))</f>
        <v/>
      </c>
      <c r="AG18" s="37">
        <f>IF(COUNT(P18:W18)=0,"",MIN(P18:W18))</f>
        <v/>
      </c>
      <c r="AH18" s="39">
        <f>IF(AG18="","",AG18*F18)</f>
        <v/>
      </c>
      <c r="AI18" s="39">
        <f>IF(COUNT(P18:W18)&lt;2,"",(MAX(P18:W18)-MIN(P18:W18))*F18)</f>
        <v/>
      </c>
      <c r="AJ18" s="20" t="n"/>
      <c r="AP18">
        <f>IF(13&gt;MAX($AN$6:$AN$9),"",COUNTIF($AN$6:$AN$9,"&lt;"&amp;13)+1)</f>
        <v/>
      </c>
      <c r="AQ18">
        <f>IF(AP18="","",13-INDEX($AO$6:$AO$9,AP18))</f>
        <v/>
      </c>
      <c r="AR18">
        <f>IF(AP18="","",INDEX(INDIRECT("'"&amp;$B18&amp;"'!$AE$6:$AE$205"),MATCH(AQ18,INDIRECT("'"&amp;$B18&amp;"'!$AI$6:$AI$205"),0)))</f>
        <v/>
      </c>
    </row>
    <row r="19">
      <c r="A19" s="34">
        <f>IF(AP19="","",14)</f>
        <v/>
      </c>
      <c r="B19" s="35">
        <f>IF(AP19="","",INDEX($AL$6:$AL$9,AP19))</f>
        <v/>
      </c>
      <c r="C19" s="34">
        <f>IF(AP19="","",INDEX(INDIRECT("'"&amp;$B19&amp;"'!$B$6:$B$205"),MATCH($AR19,INDIRECT("'"&amp;$B19&amp;"'!$AE$6:$AE$205"),0)))</f>
        <v/>
      </c>
      <c r="D19" s="34">
        <f>IF(AP19="","",INDEX(INDIRECT("'"&amp;$B19&amp;"'!$D$6:$D$205"),MATCH($AR19,INDIRECT("'"&amp;$B19&amp;"'!$AE$6:$AE$205"),0)))</f>
        <v/>
      </c>
      <c r="E19" s="36">
        <f>IF(AP19="","",INDEX(INDIRECT("'"&amp;$B19&amp;"'!$F$6:$F$205"),MATCH($AR19,INDIRECT("'"&amp;$B19&amp;"'!$AE$6:$AE$205"),0)))</f>
        <v/>
      </c>
      <c r="F19" s="34">
        <f>IF(AP19="","",INDEX(INDIRECT("'"&amp;$B19&amp;"'!$K$6:$K$205"),MATCH($AR19,INDIRECT("'"&amp;$B19&amp;"'!$AE$6:$AE$205"),0)))</f>
        <v/>
      </c>
      <c r="G19" s="34">
        <f>IF(AP19="","",INDEX(INDIRECT("'"&amp;$B19&amp;"'!$L$6:$L$205"),MATCH($AR19,INDIRECT("'"&amp;$B19&amp;"'!$AE$6:$AE$205"),0)))</f>
        <v/>
      </c>
      <c r="H19" s="34">
        <f>IF(OR(AP19="",H$5="-"),"",IFERROR(IF(INDEX(INDIRECT("'"&amp;$B19&amp;"'!$N$6:$N$205"),MATCH($AR19&amp;"|"&amp;H$5,INDIRECT("'"&amp;$B19&amp;"'!$AF$6:$AF$205"),0))="","",INDEX(INDIRECT("'"&amp;$B19&amp;"'!$N$6:$N$205"),MATCH($AR19&amp;"|"&amp;H$5,INDIRECT("'"&amp;$B19&amp;"'!$AF$6:$AF$205"),0))),"-"))</f>
        <v/>
      </c>
      <c r="I19" s="34">
        <f>IF(OR(AP19="",I$5="-"),"",IFERROR(IF(INDEX(INDIRECT("'"&amp;$B19&amp;"'!$N$6:$N$205"),MATCH($AR19&amp;"|"&amp;I$5,INDIRECT("'"&amp;$B19&amp;"'!$AF$6:$AF$205"),0))="","",INDEX(INDIRECT("'"&amp;$B19&amp;"'!$N$6:$N$205"),MATCH($AR19&amp;"|"&amp;I$5,INDIRECT("'"&amp;$B19&amp;"'!$AF$6:$AF$205"),0))),"-"))</f>
        <v/>
      </c>
      <c r="J19" s="34">
        <f>IF(OR(AP19="",J$5="-"),"",IFERROR(IF(INDEX(INDIRECT("'"&amp;$B19&amp;"'!$N$6:$N$205"),MATCH($AR19&amp;"|"&amp;J$5,INDIRECT("'"&amp;$B19&amp;"'!$AF$6:$AF$205"),0))="","",INDEX(INDIRECT("'"&amp;$B19&amp;"'!$N$6:$N$205"),MATCH($AR19&amp;"|"&amp;J$5,INDIRECT("'"&amp;$B19&amp;"'!$AF$6:$AF$205"),0))),"-"))</f>
        <v/>
      </c>
      <c r="K19" s="34">
        <f>IF(OR(AP19="",K$5="-"),"",IFERROR(IF(INDEX(INDIRECT("'"&amp;$B19&amp;"'!$N$6:$N$205"),MATCH($AR19&amp;"|"&amp;K$5,INDIRECT("'"&amp;$B19&amp;"'!$AF$6:$AF$205"),0))="","",INDEX(INDIRECT("'"&amp;$B19&amp;"'!$N$6:$N$205"),MATCH($AR19&amp;"|"&amp;K$5,INDIRECT("'"&amp;$B19&amp;"'!$AF$6:$AF$205"),0))),"-"))</f>
        <v/>
      </c>
      <c r="L19" s="34">
        <f>IF(OR(AP19="",L$5="-"),"",IFERROR(IF(INDEX(INDIRECT("'"&amp;$B19&amp;"'!$N$6:$N$205"),MATCH($AR19&amp;"|"&amp;L$5,INDIRECT("'"&amp;$B19&amp;"'!$AF$6:$AF$205"),0))="","",INDEX(INDIRECT("'"&amp;$B19&amp;"'!$N$6:$N$205"),MATCH($AR19&amp;"|"&amp;L$5,INDIRECT("'"&amp;$B19&amp;"'!$AF$6:$AF$205"),0))),"-"))</f>
        <v/>
      </c>
      <c r="M19" s="34">
        <f>IF(OR(AP19="",M$5="-"),"",IFERROR(IF(INDEX(INDIRECT("'"&amp;$B19&amp;"'!$N$6:$N$205"),MATCH($AR19&amp;"|"&amp;M$5,INDIRECT("'"&amp;$B19&amp;"'!$AF$6:$AF$205"),0))="","",INDEX(INDIRECT("'"&amp;$B19&amp;"'!$N$6:$N$205"),MATCH($AR19&amp;"|"&amp;M$5,INDIRECT("'"&amp;$B19&amp;"'!$AF$6:$AF$205"),0))),"-"))</f>
        <v/>
      </c>
      <c r="N19" s="34">
        <f>IF(OR(AP19="",N$5="-"),"",IFERROR(IF(INDEX(INDIRECT("'"&amp;$B19&amp;"'!$N$6:$N$205"),MATCH($AR19&amp;"|"&amp;N$5,INDIRECT("'"&amp;$B19&amp;"'!$AF$6:$AF$205"),0))="","",INDEX(INDIRECT("'"&amp;$B19&amp;"'!$N$6:$N$205"),MATCH($AR19&amp;"|"&amp;N$5,INDIRECT("'"&amp;$B19&amp;"'!$AF$6:$AF$205"),0))),"-"))</f>
        <v/>
      </c>
      <c r="O19" s="34">
        <f>IF(OR(AP19="",O$5="-"),"",IFERROR(IF(INDEX(INDIRECT("'"&amp;$B19&amp;"'!$N$6:$N$205"),MATCH($AR19&amp;"|"&amp;O$5,INDIRECT("'"&amp;$B19&amp;"'!$AF$6:$AF$205"),0))="","",INDEX(INDIRECT("'"&amp;$B19&amp;"'!$N$6:$N$205"),MATCH($AR19&amp;"|"&amp;O$5,INDIRECT("'"&amp;$B19&amp;"'!$AF$6:$AF$205"),0))),"-"))</f>
        <v/>
      </c>
      <c r="P19" s="37">
        <f>IF(OR(AP19="",P$5="-"),"",IFERROR(IF(INDEX(INDIRECT("'"&amp;$B19&amp;"'!$R$6:$R$205"),MATCH($AR19&amp;"|"&amp;P$5,INDIRECT("'"&amp;$B19&amp;"'!$AF$6:$AF$205"),0))="","",INDEX(INDIRECT("'"&amp;$B19&amp;"'!$R$6:$R$205"),MATCH($AR19&amp;"|"&amp;P$5,INDIRECT("'"&amp;$B19&amp;"'!$AF$6:$AF$205"),0))),"-"))</f>
        <v/>
      </c>
      <c r="Q19" s="37">
        <f>IF(OR(AP19="",Q$5="-"),"",IFERROR(IF(INDEX(INDIRECT("'"&amp;$B19&amp;"'!$R$6:$R$205"),MATCH($AR19&amp;"|"&amp;Q$5,INDIRECT("'"&amp;$B19&amp;"'!$AF$6:$AF$205"),0))="","",INDEX(INDIRECT("'"&amp;$B19&amp;"'!$R$6:$R$205"),MATCH($AR19&amp;"|"&amp;Q$5,INDIRECT("'"&amp;$B19&amp;"'!$AF$6:$AF$205"),0))),"-"))</f>
        <v/>
      </c>
      <c r="R19" s="37">
        <f>IF(OR(AP19="",R$5="-"),"",IFERROR(IF(INDEX(INDIRECT("'"&amp;$B19&amp;"'!$R$6:$R$205"),MATCH($AR19&amp;"|"&amp;R$5,INDIRECT("'"&amp;$B19&amp;"'!$AF$6:$AF$205"),0))="","",INDEX(INDIRECT("'"&amp;$B19&amp;"'!$R$6:$R$205"),MATCH($AR19&amp;"|"&amp;R$5,INDIRECT("'"&amp;$B19&amp;"'!$AF$6:$AF$205"),0))),"-"))</f>
        <v/>
      </c>
      <c r="S19" s="37">
        <f>IF(OR(AP19="",S$5="-"),"",IFERROR(IF(INDEX(INDIRECT("'"&amp;$B19&amp;"'!$R$6:$R$205"),MATCH($AR19&amp;"|"&amp;S$5,INDIRECT("'"&amp;$B19&amp;"'!$AF$6:$AF$205"),0))="","",INDEX(INDIRECT("'"&amp;$B19&amp;"'!$R$6:$R$205"),MATCH($AR19&amp;"|"&amp;S$5,INDIRECT("'"&amp;$B19&amp;"'!$AF$6:$AF$205"),0))),"-"))</f>
        <v/>
      </c>
      <c r="T19" s="37">
        <f>IF(OR(AP19="",T$5="-"),"",IFERROR(IF(INDEX(INDIRECT("'"&amp;$B19&amp;"'!$R$6:$R$205"),MATCH($AR19&amp;"|"&amp;T$5,INDIRECT("'"&amp;$B19&amp;"'!$AF$6:$AF$205"),0))="","",INDEX(INDIRECT("'"&amp;$B19&amp;"'!$R$6:$R$205"),MATCH($AR19&amp;"|"&amp;T$5,INDIRECT("'"&amp;$B19&amp;"'!$AF$6:$AF$205"),0))),"-"))</f>
        <v/>
      </c>
      <c r="U19" s="37">
        <f>IF(OR(AP19="",U$5="-"),"",IFERROR(IF(INDEX(INDIRECT("'"&amp;$B19&amp;"'!$R$6:$R$205"),MATCH($AR19&amp;"|"&amp;U$5,INDIRECT("'"&amp;$B19&amp;"'!$AF$6:$AF$205"),0))="","",INDEX(INDIRECT("'"&amp;$B19&amp;"'!$R$6:$R$205"),MATCH($AR19&amp;"|"&amp;U$5,INDIRECT("'"&amp;$B19&amp;"'!$AF$6:$AF$205"),0))),"-"))</f>
        <v/>
      </c>
      <c r="V19" s="37">
        <f>IF(OR(AP19="",V$5="-"),"",IFERROR(IF(INDEX(INDIRECT("'"&amp;$B19&amp;"'!$R$6:$R$205"),MATCH($AR19&amp;"|"&amp;V$5,INDIRECT("'"&amp;$B19&amp;"'!$AF$6:$AF$205"),0))="","",INDEX(INDIRECT("'"&amp;$B19&amp;"'!$R$6:$R$205"),MATCH($AR19&amp;"|"&amp;V$5,INDIRECT("'"&amp;$B19&amp;"'!$AF$6:$AF$205"),0))),"-"))</f>
        <v/>
      </c>
      <c r="W19" s="37">
        <f>IF(OR(AP19="",W$5="-"),"",IFERROR(IF(INDEX(INDIRECT("'"&amp;$B19&amp;"'!$R$6:$R$205"),MATCH($AR19&amp;"|"&amp;W$5,INDIRECT("'"&amp;$B19&amp;"'!$AF$6:$AF$205"),0))="","",INDEX(INDIRECT("'"&amp;$B19&amp;"'!$R$6:$R$205"),MATCH($AR19&amp;"|"&amp;W$5,INDIRECT("'"&amp;$B19&amp;"'!$AF$6:$AF$205"),0))),"-"))</f>
        <v/>
      </c>
      <c r="X19" s="38">
        <f>IF(OR(AP19="",X$5="-"),"",IFERROR(IF(INDEX(INDIRECT("'"&amp;$B19&amp;"'!$T$6:$T$205"),MATCH($AR19&amp;"|"&amp;X$5,INDIRECT("'"&amp;$B19&amp;"'!$AF$6:$AF$205"),0))="","",INDEX(INDIRECT("'"&amp;$B19&amp;"'!$T$6:$T$205"),MATCH($AR19&amp;"|"&amp;X$5,INDIRECT("'"&amp;$B19&amp;"'!$AF$6:$AF$205"),0))),"-"))</f>
        <v/>
      </c>
      <c r="Y19" s="38">
        <f>IF(OR(AP19="",Y$5="-"),"",IFERROR(IF(INDEX(INDIRECT("'"&amp;$B19&amp;"'!$T$6:$T$205"),MATCH($AR19&amp;"|"&amp;Y$5,INDIRECT("'"&amp;$B19&amp;"'!$AF$6:$AF$205"),0))="","",INDEX(INDIRECT("'"&amp;$B19&amp;"'!$T$6:$T$205"),MATCH($AR19&amp;"|"&amp;Y$5,INDIRECT("'"&amp;$B19&amp;"'!$AF$6:$AF$205"),0))),"-"))</f>
        <v/>
      </c>
      <c r="Z19" s="38">
        <f>IF(OR(AP19="",Z$5="-"),"",IFERROR(IF(INDEX(INDIRECT("'"&amp;$B19&amp;"'!$T$6:$T$205"),MATCH($AR19&amp;"|"&amp;Z$5,INDIRECT("'"&amp;$B19&amp;"'!$AF$6:$AF$205"),0))="","",INDEX(INDIRECT("'"&amp;$B19&amp;"'!$T$6:$T$205"),MATCH($AR19&amp;"|"&amp;Z$5,INDIRECT("'"&amp;$B19&amp;"'!$AF$6:$AF$205"),0))),"-"))</f>
        <v/>
      </c>
      <c r="AA19" s="38">
        <f>IF(OR(AP19="",AA$5="-"),"",IFERROR(IF(INDEX(INDIRECT("'"&amp;$B19&amp;"'!$T$6:$T$205"),MATCH($AR19&amp;"|"&amp;AA$5,INDIRECT("'"&amp;$B19&amp;"'!$AF$6:$AF$205"),0))="","",INDEX(INDIRECT("'"&amp;$B19&amp;"'!$T$6:$T$205"),MATCH($AR19&amp;"|"&amp;AA$5,INDIRECT("'"&amp;$B19&amp;"'!$AF$6:$AF$205"),0))),"-"))</f>
        <v/>
      </c>
      <c r="AB19" s="38">
        <f>IF(OR(AP19="",AB$5="-"),"",IFERROR(IF(INDEX(INDIRECT("'"&amp;$B19&amp;"'!$T$6:$T$205"),MATCH($AR19&amp;"|"&amp;AB$5,INDIRECT("'"&amp;$B19&amp;"'!$AF$6:$AF$205"),0))="","",INDEX(INDIRECT("'"&amp;$B19&amp;"'!$T$6:$T$205"),MATCH($AR19&amp;"|"&amp;AB$5,INDIRECT("'"&amp;$B19&amp;"'!$AF$6:$AF$205"),0))),"-"))</f>
        <v/>
      </c>
      <c r="AC19" s="38">
        <f>IF(OR(AP19="",AC$5="-"),"",IFERROR(IF(INDEX(INDIRECT("'"&amp;$B19&amp;"'!$T$6:$T$205"),MATCH($AR19&amp;"|"&amp;AC$5,INDIRECT("'"&amp;$B19&amp;"'!$AF$6:$AF$205"),0))="","",INDEX(INDIRECT("'"&amp;$B19&amp;"'!$T$6:$T$205"),MATCH($AR19&amp;"|"&amp;AC$5,INDIRECT("'"&amp;$B19&amp;"'!$AF$6:$AF$205"),0))),"-"))</f>
        <v/>
      </c>
      <c r="AD19" s="38">
        <f>IF(OR(AP19="",AD$5="-"),"",IFERROR(IF(INDEX(INDIRECT("'"&amp;$B19&amp;"'!$T$6:$T$205"),MATCH($AR19&amp;"|"&amp;AD$5,INDIRECT("'"&amp;$B19&amp;"'!$AF$6:$AF$205"),0))="","",INDEX(INDIRECT("'"&amp;$B19&amp;"'!$T$6:$T$205"),MATCH($AR19&amp;"|"&amp;AD$5,INDIRECT("'"&amp;$B19&amp;"'!$AF$6:$AF$205"),0))),"-"))</f>
        <v/>
      </c>
      <c r="AE19" s="38">
        <f>IF(OR(AP19="",AE$5="-"),"",IFERROR(IF(INDEX(INDIRECT("'"&amp;$B19&amp;"'!$T$6:$T$205"),MATCH($AR19&amp;"|"&amp;AE$5,INDIRECT("'"&amp;$B19&amp;"'!$AF$6:$AF$205"),0))="","",INDEX(INDIRECT("'"&amp;$B19&amp;"'!$T$6:$T$205"),MATCH($AR19&amp;"|"&amp;AE$5,INDIRECT("'"&amp;$B19&amp;"'!$AF$6:$AF$205"),0))),"-"))</f>
        <v/>
      </c>
      <c r="AF19" s="35">
        <f>IF(AG19="","",INDEX($P$5:$W$5,MATCH(AG19,P19:W19,0)))</f>
        <v/>
      </c>
      <c r="AG19" s="37">
        <f>IF(COUNT(P19:W19)=0,"",MIN(P19:W19))</f>
        <v/>
      </c>
      <c r="AH19" s="39">
        <f>IF(AG19="","",AG19*F19)</f>
        <v/>
      </c>
      <c r="AI19" s="39">
        <f>IF(COUNT(P19:W19)&lt;2,"",(MAX(P19:W19)-MIN(P19:W19))*F19)</f>
        <v/>
      </c>
      <c r="AJ19" s="20" t="n"/>
      <c r="AP19">
        <f>IF(14&gt;MAX($AN$6:$AN$9),"",COUNTIF($AN$6:$AN$9,"&lt;"&amp;14)+1)</f>
        <v/>
      </c>
      <c r="AQ19">
        <f>IF(AP19="","",14-INDEX($AO$6:$AO$9,AP19))</f>
        <v/>
      </c>
      <c r="AR19">
        <f>IF(AP19="","",INDEX(INDIRECT("'"&amp;$B19&amp;"'!$AE$6:$AE$205"),MATCH(AQ19,INDIRECT("'"&amp;$B19&amp;"'!$AI$6:$AI$205"),0)))</f>
        <v/>
      </c>
    </row>
    <row r="20">
      <c r="A20" s="34">
        <f>IF(AP20="","",15)</f>
        <v/>
      </c>
      <c r="B20" s="35">
        <f>IF(AP20="","",INDEX($AL$6:$AL$9,AP20))</f>
        <v/>
      </c>
      <c r="C20" s="34">
        <f>IF(AP20="","",INDEX(INDIRECT("'"&amp;$B20&amp;"'!$B$6:$B$205"),MATCH($AR20,INDIRECT("'"&amp;$B20&amp;"'!$AE$6:$AE$205"),0)))</f>
        <v/>
      </c>
      <c r="D20" s="34">
        <f>IF(AP20="","",INDEX(INDIRECT("'"&amp;$B20&amp;"'!$D$6:$D$205"),MATCH($AR20,INDIRECT("'"&amp;$B20&amp;"'!$AE$6:$AE$205"),0)))</f>
        <v/>
      </c>
      <c r="E20" s="36">
        <f>IF(AP20="","",INDEX(INDIRECT("'"&amp;$B20&amp;"'!$F$6:$F$205"),MATCH($AR20,INDIRECT("'"&amp;$B20&amp;"'!$AE$6:$AE$205"),0)))</f>
        <v/>
      </c>
      <c r="F20" s="34">
        <f>IF(AP20="","",INDEX(INDIRECT("'"&amp;$B20&amp;"'!$K$6:$K$205"),MATCH($AR20,INDIRECT("'"&amp;$B20&amp;"'!$AE$6:$AE$205"),0)))</f>
        <v/>
      </c>
      <c r="G20" s="34">
        <f>IF(AP20="","",INDEX(INDIRECT("'"&amp;$B20&amp;"'!$L$6:$L$205"),MATCH($AR20,INDIRECT("'"&amp;$B20&amp;"'!$AE$6:$AE$205"),0)))</f>
        <v/>
      </c>
      <c r="H20" s="34">
        <f>IF(OR(AP20="",H$5="-"),"",IFERROR(IF(INDEX(INDIRECT("'"&amp;$B20&amp;"'!$N$6:$N$205"),MATCH($AR20&amp;"|"&amp;H$5,INDIRECT("'"&amp;$B20&amp;"'!$AF$6:$AF$205"),0))="","",INDEX(INDIRECT("'"&amp;$B20&amp;"'!$N$6:$N$205"),MATCH($AR20&amp;"|"&amp;H$5,INDIRECT("'"&amp;$B20&amp;"'!$AF$6:$AF$205"),0))),"-"))</f>
        <v/>
      </c>
      <c r="I20" s="34">
        <f>IF(OR(AP20="",I$5="-"),"",IFERROR(IF(INDEX(INDIRECT("'"&amp;$B20&amp;"'!$N$6:$N$205"),MATCH($AR20&amp;"|"&amp;I$5,INDIRECT("'"&amp;$B20&amp;"'!$AF$6:$AF$205"),0))="","",INDEX(INDIRECT("'"&amp;$B20&amp;"'!$N$6:$N$205"),MATCH($AR20&amp;"|"&amp;I$5,INDIRECT("'"&amp;$B20&amp;"'!$AF$6:$AF$205"),0))),"-"))</f>
        <v/>
      </c>
      <c r="J20" s="34">
        <f>IF(OR(AP20="",J$5="-"),"",IFERROR(IF(INDEX(INDIRECT("'"&amp;$B20&amp;"'!$N$6:$N$205"),MATCH($AR20&amp;"|"&amp;J$5,INDIRECT("'"&amp;$B20&amp;"'!$AF$6:$AF$205"),0))="","",INDEX(INDIRECT("'"&amp;$B20&amp;"'!$N$6:$N$205"),MATCH($AR20&amp;"|"&amp;J$5,INDIRECT("'"&amp;$B20&amp;"'!$AF$6:$AF$205"),0))),"-"))</f>
        <v/>
      </c>
      <c r="K20" s="34">
        <f>IF(OR(AP20="",K$5="-"),"",IFERROR(IF(INDEX(INDIRECT("'"&amp;$B20&amp;"'!$N$6:$N$205"),MATCH($AR20&amp;"|"&amp;K$5,INDIRECT("'"&amp;$B20&amp;"'!$AF$6:$AF$205"),0))="","",INDEX(INDIRECT("'"&amp;$B20&amp;"'!$N$6:$N$205"),MATCH($AR20&amp;"|"&amp;K$5,INDIRECT("'"&amp;$B20&amp;"'!$AF$6:$AF$205"),0))),"-"))</f>
        <v/>
      </c>
      <c r="L20" s="34">
        <f>IF(OR(AP20="",L$5="-"),"",IFERROR(IF(INDEX(INDIRECT("'"&amp;$B20&amp;"'!$N$6:$N$205"),MATCH($AR20&amp;"|"&amp;L$5,INDIRECT("'"&amp;$B20&amp;"'!$AF$6:$AF$205"),0))="","",INDEX(INDIRECT("'"&amp;$B20&amp;"'!$N$6:$N$205"),MATCH($AR20&amp;"|"&amp;L$5,INDIRECT("'"&amp;$B20&amp;"'!$AF$6:$AF$205"),0))),"-"))</f>
        <v/>
      </c>
      <c r="M20" s="34">
        <f>IF(OR(AP20="",M$5="-"),"",IFERROR(IF(INDEX(INDIRECT("'"&amp;$B20&amp;"'!$N$6:$N$205"),MATCH($AR20&amp;"|"&amp;M$5,INDIRECT("'"&amp;$B20&amp;"'!$AF$6:$AF$205"),0))="","",INDEX(INDIRECT("'"&amp;$B20&amp;"'!$N$6:$N$205"),MATCH($AR20&amp;"|"&amp;M$5,INDIRECT("'"&amp;$B20&amp;"'!$AF$6:$AF$205"),0))),"-"))</f>
        <v/>
      </c>
      <c r="N20" s="34">
        <f>IF(OR(AP20="",N$5="-"),"",IFERROR(IF(INDEX(INDIRECT("'"&amp;$B20&amp;"'!$N$6:$N$205"),MATCH($AR20&amp;"|"&amp;N$5,INDIRECT("'"&amp;$B20&amp;"'!$AF$6:$AF$205"),0))="","",INDEX(INDIRECT("'"&amp;$B20&amp;"'!$N$6:$N$205"),MATCH($AR20&amp;"|"&amp;N$5,INDIRECT("'"&amp;$B20&amp;"'!$AF$6:$AF$205"),0))),"-"))</f>
        <v/>
      </c>
      <c r="O20" s="34">
        <f>IF(OR(AP20="",O$5="-"),"",IFERROR(IF(INDEX(INDIRECT("'"&amp;$B20&amp;"'!$N$6:$N$205"),MATCH($AR20&amp;"|"&amp;O$5,INDIRECT("'"&amp;$B20&amp;"'!$AF$6:$AF$205"),0))="","",INDEX(INDIRECT("'"&amp;$B20&amp;"'!$N$6:$N$205"),MATCH($AR20&amp;"|"&amp;O$5,INDIRECT("'"&amp;$B20&amp;"'!$AF$6:$AF$205"),0))),"-"))</f>
        <v/>
      </c>
      <c r="P20" s="37">
        <f>IF(OR(AP20="",P$5="-"),"",IFERROR(IF(INDEX(INDIRECT("'"&amp;$B20&amp;"'!$R$6:$R$205"),MATCH($AR20&amp;"|"&amp;P$5,INDIRECT("'"&amp;$B20&amp;"'!$AF$6:$AF$205"),0))="","",INDEX(INDIRECT("'"&amp;$B20&amp;"'!$R$6:$R$205"),MATCH($AR20&amp;"|"&amp;P$5,INDIRECT("'"&amp;$B20&amp;"'!$AF$6:$AF$205"),0))),"-"))</f>
        <v/>
      </c>
      <c r="Q20" s="37">
        <f>IF(OR(AP20="",Q$5="-"),"",IFERROR(IF(INDEX(INDIRECT("'"&amp;$B20&amp;"'!$R$6:$R$205"),MATCH($AR20&amp;"|"&amp;Q$5,INDIRECT("'"&amp;$B20&amp;"'!$AF$6:$AF$205"),0))="","",INDEX(INDIRECT("'"&amp;$B20&amp;"'!$R$6:$R$205"),MATCH($AR20&amp;"|"&amp;Q$5,INDIRECT("'"&amp;$B20&amp;"'!$AF$6:$AF$205"),0))),"-"))</f>
        <v/>
      </c>
      <c r="R20" s="37">
        <f>IF(OR(AP20="",R$5="-"),"",IFERROR(IF(INDEX(INDIRECT("'"&amp;$B20&amp;"'!$R$6:$R$205"),MATCH($AR20&amp;"|"&amp;R$5,INDIRECT("'"&amp;$B20&amp;"'!$AF$6:$AF$205"),0))="","",INDEX(INDIRECT("'"&amp;$B20&amp;"'!$R$6:$R$205"),MATCH($AR20&amp;"|"&amp;R$5,INDIRECT("'"&amp;$B20&amp;"'!$AF$6:$AF$205"),0))),"-"))</f>
        <v/>
      </c>
      <c r="S20" s="37">
        <f>IF(OR(AP20="",S$5="-"),"",IFERROR(IF(INDEX(INDIRECT("'"&amp;$B20&amp;"'!$R$6:$R$205"),MATCH($AR20&amp;"|"&amp;S$5,INDIRECT("'"&amp;$B20&amp;"'!$AF$6:$AF$205"),0))="","",INDEX(INDIRECT("'"&amp;$B20&amp;"'!$R$6:$R$205"),MATCH($AR20&amp;"|"&amp;S$5,INDIRECT("'"&amp;$B20&amp;"'!$AF$6:$AF$205"),0))),"-"))</f>
        <v/>
      </c>
      <c r="T20" s="37">
        <f>IF(OR(AP20="",T$5="-"),"",IFERROR(IF(INDEX(INDIRECT("'"&amp;$B20&amp;"'!$R$6:$R$205"),MATCH($AR20&amp;"|"&amp;T$5,INDIRECT("'"&amp;$B20&amp;"'!$AF$6:$AF$205"),0))="","",INDEX(INDIRECT("'"&amp;$B20&amp;"'!$R$6:$R$205"),MATCH($AR20&amp;"|"&amp;T$5,INDIRECT("'"&amp;$B20&amp;"'!$AF$6:$AF$205"),0))),"-"))</f>
        <v/>
      </c>
      <c r="U20" s="37">
        <f>IF(OR(AP20="",U$5="-"),"",IFERROR(IF(INDEX(INDIRECT("'"&amp;$B20&amp;"'!$R$6:$R$205"),MATCH($AR20&amp;"|"&amp;U$5,INDIRECT("'"&amp;$B20&amp;"'!$AF$6:$AF$205"),0))="","",INDEX(INDIRECT("'"&amp;$B20&amp;"'!$R$6:$R$205"),MATCH($AR20&amp;"|"&amp;U$5,INDIRECT("'"&amp;$B20&amp;"'!$AF$6:$AF$205"),0))),"-"))</f>
        <v/>
      </c>
      <c r="V20" s="37">
        <f>IF(OR(AP20="",V$5="-"),"",IFERROR(IF(INDEX(INDIRECT("'"&amp;$B20&amp;"'!$R$6:$R$205"),MATCH($AR20&amp;"|"&amp;V$5,INDIRECT("'"&amp;$B20&amp;"'!$AF$6:$AF$205"),0))="","",INDEX(INDIRECT("'"&amp;$B20&amp;"'!$R$6:$R$205"),MATCH($AR20&amp;"|"&amp;V$5,INDIRECT("'"&amp;$B20&amp;"'!$AF$6:$AF$205"),0))),"-"))</f>
        <v/>
      </c>
      <c r="W20" s="37">
        <f>IF(OR(AP20="",W$5="-"),"",IFERROR(IF(INDEX(INDIRECT("'"&amp;$B20&amp;"'!$R$6:$R$205"),MATCH($AR20&amp;"|"&amp;W$5,INDIRECT("'"&amp;$B20&amp;"'!$AF$6:$AF$205"),0))="","",INDEX(INDIRECT("'"&amp;$B20&amp;"'!$R$6:$R$205"),MATCH($AR20&amp;"|"&amp;W$5,INDIRECT("'"&amp;$B20&amp;"'!$AF$6:$AF$205"),0))),"-"))</f>
        <v/>
      </c>
      <c r="X20" s="38">
        <f>IF(OR(AP20="",X$5="-"),"",IFERROR(IF(INDEX(INDIRECT("'"&amp;$B20&amp;"'!$T$6:$T$205"),MATCH($AR20&amp;"|"&amp;X$5,INDIRECT("'"&amp;$B20&amp;"'!$AF$6:$AF$205"),0))="","",INDEX(INDIRECT("'"&amp;$B20&amp;"'!$T$6:$T$205"),MATCH($AR20&amp;"|"&amp;X$5,INDIRECT("'"&amp;$B20&amp;"'!$AF$6:$AF$205"),0))),"-"))</f>
        <v/>
      </c>
      <c r="Y20" s="38">
        <f>IF(OR(AP20="",Y$5="-"),"",IFERROR(IF(INDEX(INDIRECT("'"&amp;$B20&amp;"'!$T$6:$T$205"),MATCH($AR20&amp;"|"&amp;Y$5,INDIRECT("'"&amp;$B20&amp;"'!$AF$6:$AF$205"),0))="","",INDEX(INDIRECT("'"&amp;$B20&amp;"'!$T$6:$T$205"),MATCH($AR20&amp;"|"&amp;Y$5,INDIRECT("'"&amp;$B20&amp;"'!$AF$6:$AF$205"),0))),"-"))</f>
        <v/>
      </c>
      <c r="Z20" s="38">
        <f>IF(OR(AP20="",Z$5="-"),"",IFERROR(IF(INDEX(INDIRECT("'"&amp;$B20&amp;"'!$T$6:$T$205"),MATCH($AR20&amp;"|"&amp;Z$5,INDIRECT("'"&amp;$B20&amp;"'!$AF$6:$AF$205"),0))="","",INDEX(INDIRECT("'"&amp;$B20&amp;"'!$T$6:$T$205"),MATCH($AR20&amp;"|"&amp;Z$5,INDIRECT("'"&amp;$B20&amp;"'!$AF$6:$AF$205"),0))),"-"))</f>
        <v/>
      </c>
      <c r="AA20" s="38">
        <f>IF(OR(AP20="",AA$5="-"),"",IFERROR(IF(INDEX(INDIRECT("'"&amp;$B20&amp;"'!$T$6:$T$205"),MATCH($AR20&amp;"|"&amp;AA$5,INDIRECT("'"&amp;$B20&amp;"'!$AF$6:$AF$205"),0))="","",INDEX(INDIRECT("'"&amp;$B20&amp;"'!$T$6:$T$205"),MATCH($AR20&amp;"|"&amp;AA$5,INDIRECT("'"&amp;$B20&amp;"'!$AF$6:$AF$205"),0))),"-"))</f>
        <v/>
      </c>
      <c r="AB20" s="38">
        <f>IF(OR(AP20="",AB$5="-"),"",IFERROR(IF(INDEX(INDIRECT("'"&amp;$B20&amp;"'!$T$6:$T$205"),MATCH($AR20&amp;"|"&amp;AB$5,INDIRECT("'"&amp;$B20&amp;"'!$AF$6:$AF$205"),0))="","",INDEX(INDIRECT("'"&amp;$B20&amp;"'!$T$6:$T$205"),MATCH($AR20&amp;"|"&amp;AB$5,INDIRECT("'"&amp;$B20&amp;"'!$AF$6:$AF$205"),0))),"-"))</f>
        <v/>
      </c>
      <c r="AC20" s="38">
        <f>IF(OR(AP20="",AC$5="-"),"",IFERROR(IF(INDEX(INDIRECT("'"&amp;$B20&amp;"'!$T$6:$T$205"),MATCH($AR20&amp;"|"&amp;AC$5,INDIRECT("'"&amp;$B20&amp;"'!$AF$6:$AF$205"),0))="","",INDEX(INDIRECT("'"&amp;$B20&amp;"'!$T$6:$T$205"),MATCH($AR20&amp;"|"&amp;AC$5,INDIRECT("'"&amp;$B20&amp;"'!$AF$6:$AF$205"),0))),"-"))</f>
        <v/>
      </c>
      <c r="AD20" s="38">
        <f>IF(OR(AP20="",AD$5="-"),"",IFERROR(IF(INDEX(INDIRECT("'"&amp;$B20&amp;"'!$T$6:$T$205"),MATCH($AR20&amp;"|"&amp;AD$5,INDIRECT("'"&amp;$B20&amp;"'!$AF$6:$AF$205"),0))="","",INDEX(INDIRECT("'"&amp;$B20&amp;"'!$T$6:$T$205"),MATCH($AR20&amp;"|"&amp;AD$5,INDIRECT("'"&amp;$B20&amp;"'!$AF$6:$AF$205"),0))),"-"))</f>
        <v/>
      </c>
      <c r="AE20" s="38">
        <f>IF(OR(AP20="",AE$5="-"),"",IFERROR(IF(INDEX(INDIRECT("'"&amp;$B20&amp;"'!$T$6:$T$205"),MATCH($AR20&amp;"|"&amp;AE$5,INDIRECT("'"&amp;$B20&amp;"'!$AF$6:$AF$205"),0))="","",INDEX(INDIRECT("'"&amp;$B20&amp;"'!$T$6:$T$205"),MATCH($AR20&amp;"|"&amp;AE$5,INDIRECT("'"&amp;$B20&amp;"'!$AF$6:$AF$205"),0))),"-"))</f>
        <v/>
      </c>
      <c r="AF20" s="35">
        <f>IF(AG20="","",INDEX($P$5:$W$5,MATCH(AG20,P20:W20,0)))</f>
        <v/>
      </c>
      <c r="AG20" s="37">
        <f>IF(COUNT(P20:W20)=0,"",MIN(P20:W20))</f>
        <v/>
      </c>
      <c r="AH20" s="39">
        <f>IF(AG20="","",AG20*F20)</f>
        <v/>
      </c>
      <c r="AI20" s="39">
        <f>IF(COUNT(P20:W20)&lt;2,"",(MAX(P20:W20)-MIN(P20:W20))*F20)</f>
        <v/>
      </c>
      <c r="AJ20" s="20" t="n"/>
      <c r="AP20">
        <f>IF(15&gt;MAX($AN$6:$AN$9),"",COUNTIF($AN$6:$AN$9,"&lt;"&amp;15)+1)</f>
        <v/>
      </c>
      <c r="AQ20">
        <f>IF(AP20="","",15-INDEX($AO$6:$AO$9,AP20))</f>
        <v/>
      </c>
      <c r="AR20">
        <f>IF(AP20="","",INDEX(INDIRECT("'"&amp;$B20&amp;"'!$AE$6:$AE$205"),MATCH(AQ20,INDIRECT("'"&amp;$B20&amp;"'!$AI$6:$AI$205"),0)))</f>
        <v/>
      </c>
    </row>
    <row r="21">
      <c r="A21" s="34">
        <f>IF(AP21="","",16)</f>
        <v/>
      </c>
      <c r="B21" s="35">
        <f>IF(AP21="","",INDEX($AL$6:$AL$9,AP21))</f>
        <v/>
      </c>
      <c r="C21" s="34">
        <f>IF(AP21="","",INDEX(INDIRECT("'"&amp;$B21&amp;"'!$B$6:$B$205"),MATCH($AR21,INDIRECT("'"&amp;$B21&amp;"'!$AE$6:$AE$205"),0)))</f>
        <v/>
      </c>
      <c r="D21" s="34">
        <f>IF(AP21="","",INDEX(INDIRECT("'"&amp;$B21&amp;"'!$D$6:$D$205"),MATCH($AR21,INDIRECT("'"&amp;$B21&amp;"'!$AE$6:$AE$205"),0)))</f>
        <v/>
      </c>
      <c r="E21" s="36">
        <f>IF(AP21="","",INDEX(INDIRECT("'"&amp;$B21&amp;"'!$F$6:$F$205"),MATCH($AR21,INDIRECT("'"&amp;$B21&amp;"'!$AE$6:$AE$205"),0)))</f>
        <v/>
      </c>
      <c r="F21" s="34">
        <f>IF(AP21="","",INDEX(INDIRECT("'"&amp;$B21&amp;"'!$K$6:$K$205"),MATCH($AR21,INDIRECT("'"&amp;$B21&amp;"'!$AE$6:$AE$205"),0)))</f>
        <v/>
      </c>
      <c r="G21" s="34">
        <f>IF(AP21="","",INDEX(INDIRECT("'"&amp;$B21&amp;"'!$L$6:$L$205"),MATCH($AR21,INDIRECT("'"&amp;$B21&amp;"'!$AE$6:$AE$205"),0)))</f>
        <v/>
      </c>
      <c r="H21" s="34">
        <f>IF(OR(AP21="",H$5="-"),"",IFERROR(IF(INDEX(INDIRECT("'"&amp;$B21&amp;"'!$N$6:$N$205"),MATCH($AR21&amp;"|"&amp;H$5,INDIRECT("'"&amp;$B21&amp;"'!$AF$6:$AF$205"),0))="","",INDEX(INDIRECT("'"&amp;$B21&amp;"'!$N$6:$N$205"),MATCH($AR21&amp;"|"&amp;H$5,INDIRECT("'"&amp;$B21&amp;"'!$AF$6:$AF$205"),0))),"-"))</f>
        <v/>
      </c>
      <c r="I21" s="34">
        <f>IF(OR(AP21="",I$5="-"),"",IFERROR(IF(INDEX(INDIRECT("'"&amp;$B21&amp;"'!$N$6:$N$205"),MATCH($AR21&amp;"|"&amp;I$5,INDIRECT("'"&amp;$B21&amp;"'!$AF$6:$AF$205"),0))="","",INDEX(INDIRECT("'"&amp;$B21&amp;"'!$N$6:$N$205"),MATCH($AR21&amp;"|"&amp;I$5,INDIRECT("'"&amp;$B21&amp;"'!$AF$6:$AF$205"),0))),"-"))</f>
        <v/>
      </c>
      <c r="J21" s="34">
        <f>IF(OR(AP21="",J$5="-"),"",IFERROR(IF(INDEX(INDIRECT("'"&amp;$B21&amp;"'!$N$6:$N$205"),MATCH($AR21&amp;"|"&amp;J$5,INDIRECT("'"&amp;$B21&amp;"'!$AF$6:$AF$205"),0))="","",INDEX(INDIRECT("'"&amp;$B21&amp;"'!$N$6:$N$205"),MATCH($AR21&amp;"|"&amp;J$5,INDIRECT("'"&amp;$B21&amp;"'!$AF$6:$AF$205"),0))),"-"))</f>
        <v/>
      </c>
      <c r="K21" s="34">
        <f>IF(OR(AP21="",K$5="-"),"",IFERROR(IF(INDEX(INDIRECT("'"&amp;$B21&amp;"'!$N$6:$N$205"),MATCH($AR21&amp;"|"&amp;K$5,INDIRECT("'"&amp;$B21&amp;"'!$AF$6:$AF$205"),0))="","",INDEX(INDIRECT("'"&amp;$B21&amp;"'!$N$6:$N$205"),MATCH($AR21&amp;"|"&amp;K$5,INDIRECT("'"&amp;$B21&amp;"'!$AF$6:$AF$205"),0))),"-"))</f>
        <v/>
      </c>
      <c r="L21" s="34">
        <f>IF(OR(AP21="",L$5="-"),"",IFERROR(IF(INDEX(INDIRECT("'"&amp;$B21&amp;"'!$N$6:$N$205"),MATCH($AR21&amp;"|"&amp;L$5,INDIRECT("'"&amp;$B21&amp;"'!$AF$6:$AF$205"),0))="","",INDEX(INDIRECT("'"&amp;$B21&amp;"'!$N$6:$N$205"),MATCH($AR21&amp;"|"&amp;L$5,INDIRECT("'"&amp;$B21&amp;"'!$AF$6:$AF$205"),0))),"-"))</f>
        <v/>
      </c>
      <c r="M21" s="34">
        <f>IF(OR(AP21="",M$5="-"),"",IFERROR(IF(INDEX(INDIRECT("'"&amp;$B21&amp;"'!$N$6:$N$205"),MATCH($AR21&amp;"|"&amp;M$5,INDIRECT("'"&amp;$B21&amp;"'!$AF$6:$AF$205"),0))="","",INDEX(INDIRECT("'"&amp;$B21&amp;"'!$N$6:$N$205"),MATCH($AR21&amp;"|"&amp;M$5,INDIRECT("'"&amp;$B21&amp;"'!$AF$6:$AF$205"),0))),"-"))</f>
        <v/>
      </c>
      <c r="N21" s="34">
        <f>IF(OR(AP21="",N$5="-"),"",IFERROR(IF(INDEX(INDIRECT("'"&amp;$B21&amp;"'!$N$6:$N$205"),MATCH($AR21&amp;"|"&amp;N$5,INDIRECT("'"&amp;$B21&amp;"'!$AF$6:$AF$205"),0))="","",INDEX(INDIRECT("'"&amp;$B21&amp;"'!$N$6:$N$205"),MATCH($AR21&amp;"|"&amp;N$5,INDIRECT("'"&amp;$B21&amp;"'!$AF$6:$AF$205"),0))),"-"))</f>
        <v/>
      </c>
      <c r="O21" s="34">
        <f>IF(OR(AP21="",O$5="-"),"",IFERROR(IF(INDEX(INDIRECT("'"&amp;$B21&amp;"'!$N$6:$N$205"),MATCH($AR21&amp;"|"&amp;O$5,INDIRECT("'"&amp;$B21&amp;"'!$AF$6:$AF$205"),0))="","",INDEX(INDIRECT("'"&amp;$B21&amp;"'!$N$6:$N$205"),MATCH($AR21&amp;"|"&amp;O$5,INDIRECT("'"&amp;$B21&amp;"'!$AF$6:$AF$205"),0))),"-"))</f>
        <v/>
      </c>
      <c r="P21" s="37">
        <f>IF(OR(AP21="",P$5="-"),"",IFERROR(IF(INDEX(INDIRECT("'"&amp;$B21&amp;"'!$R$6:$R$205"),MATCH($AR21&amp;"|"&amp;P$5,INDIRECT("'"&amp;$B21&amp;"'!$AF$6:$AF$205"),0))="","",INDEX(INDIRECT("'"&amp;$B21&amp;"'!$R$6:$R$205"),MATCH($AR21&amp;"|"&amp;P$5,INDIRECT("'"&amp;$B21&amp;"'!$AF$6:$AF$205"),0))),"-"))</f>
        <v/>
      </c>
      <c r="Q21" s="37">
        <f>IF(OR(AP21="",Q$5="-"),"",IFERROR(IF(INDEX(INDIRECT("'"&amp;$B21&amp;"'!$R$6:$R$205"),MATCH($AR21&amp;"|"&amp;Q$5,INDIRECT("'"&amp;$B21&amp;"'!$AF$6:$AF$205"),0))="","",INDEX(INDIRECT("'"&amp;$B21&amp;"'!$R$6:$R$205"),MATCH($AR21&amp;"|"&amp;Q$5,INDIRECT("'"&amp;$B21&amp;"'!$AF$6:$AF$205"),0))),"-"))</f>
        <v/>
      </c>
      <c r="R21" s="37">
        <f>IF(OR(AP21="",R$5="-"),"",IFERROR(IF(INDEX(INDIRECT("'"&amp;$B21&amp;"'!$R$6:$R$205"),MATCH($AR21&amp;"|"&amp;R$5,INDIRECT("'"&amp;$B21&amp;"'!$AF$6:$AF$205"),0))="","",INDEX(INDIRECT("'"&amp;$B21&amp;"'!$R$6:$R$205"),MATCH($AR21&amp;"|"&amp;R$5,INDIRECT("'"&amp;$B21&amp;"'!$AF$6:$AF$205"),0))),"-"))</f>
        <v/>
      </c>
      <c r="S21" s="37">
        <f>IF(OR(AP21="",S$5="-"),"",IFERROR(IF(INDEX(INDIRECT("'"&amp;$B21&amp;"'!$R$6:$R$205"),MATCH($AR21&amp;"|"&amp;S$5,INDIRECT("'"&amp;$B21&amp;"'!$AF$6:$AF$205"),0))="","",INDEX(INDIRECT("'"&amp;$B21&amp;"'!$R$6:$R$205"),MATCH($AR21&amp;"|"&amp;S$5,INDIRECT("'"&amp;$B21&amp;"'!$AF$6:$AF$205"),0))),"-"))</f>
        <v/>
      </c>
      <c r="T21" s="37">
        <f>IF(OR(AP21="",T$5="-"),"",IFERROR(IF(INDEX(INDIRECT("'"&amp;$B21&amp;"'!$R$6:$R$205"),MATCH($AR21&amp;"|"&amp;T$5,INDIRECT("'"&amp;$B21&amp;"'!$AF$6:$AF$205"),0))="","",INDEX(INDIRECT("'"&amp;$B21&amp;"'!$R$6:$R$205"),MATCH($AR21&amp;"|"&amp;T$5,INDIRECT("'"&amp;$B21&amp;"'!$AF$6:$AF$205"),0))),"-"))</f>
        <v/>
      </c>
      <c r="U21" s="37">
        <f>IF(OR(AP21="",U$5="-"),"",IFERROR(IF(INDEX(INDIRECT("'"&amp;$B21&amp;"'!$R$6:$R$205"),MATCH($AR21&amp;"|"&amp;U$5,INDIRECT("'"&amp;$B21&amp;"'!$AF$6:$AF$205"),0))="","",INDEX(INDIRECT("'"&amp;$B21&amp;"'!$R$6:$R$205"),MATCH($AR21&amp;"|"&amp;U$5,INDIRECT("'"&amp;$B21&amp;"'!$AF$6:$AF$205"),0))),"-"))</f>
        <v/>
      </c>
      <c r="V21" s="37">
        <f>IF(OR(AP21="",V$5="-"),"",IFERROR(IF(INDEX(INDIRECT("'"&amp;$B21&amp;"'!$R$6:$R$205"),MATCH($AR21&amp;"|"&amp;V$5,INDIRECT("'"&amp;$B21&amp;"'!$AF$6:$AF$205"),0))="","",INDEX(INDIRECT("'"&amp;$B21&amp;"'!$R$6:$R$205"),MATCH($AR21&amp;"|"&amp;V$5,INDIRECT("'"&amp;$B21&amp;"'!$AF$6:$AF$205"),0))),"-"))</f>
        <v/>
      </c>
      <c r="W21" s="37">
        <f>IF(OR(AP21="",W$5="-"),"",IFERROR(IF(INDEX(INDIRECT("'"&amp;$B21&amp;"'!$R$6:$R$205"),MATCH($AR21&amp;"|"&amp;W$5,INDIRECT("'"&amp;$B21&amp;"'!$AF$6:$AF$205"),0))="","",INDEX(INDIRECT("'"&amp;$B21&amp;"'!$R$6:$R$205"),MATCH($AR21&amp;"|"&amp;W$5,INDIRECT("'"&amp;$B21&amp;"'!$AF$6:$AF$205"),0))),"-"))</f>
        <v/>
      </c>
      <c r="X21" s="38">
        <f>IF(OR(AP21="",X$5="-"),"",IFERROR(IF(INDEX(INDIRECT("'"&amp;$B21&amp;"'!$T$6:$T$205"),MATCH($AR21&amp;"|"&amp;X$5,INDIRECT("'"&amp;$B21&amp;"'!$AF$6:$AF$205"),0))="","",INDEX(INDIRECT("'"&amp;$B21&amp;"'!$T$6:$T$205"),MATCH($AR21&amp;"|"&amp;X$5,INDIRECT("'"&amp;$B21&amp;"'!$AF$6:$AF$205"),0))),"-"))</f>
        <v/>
      </c>
      <c r="Y21" s="38">
        <f>IF(OR(AP21="",Y$5="-"),"",IFERROR(IF(INDEX(INDIRECT("'"&amp;$B21&amp;"'!$T$6:$T$205"),MATCH($AR21&amp;"|"&amp;Y$5,INDIRECT("'"&amp;$B21&amp;"'!$AF$6:$AF$205"),0))="","",INDEX(INDIRECT("'"&amp;$B21&amp;"'!$T$6:$T$205"),MATCH($AR21&amp;"|"&amp;Y$5,INDIRECT("'"&amp;$B21&amp;"'!$AF$6:$AF$205"),0))),"-"))</f>
        <v/>
      </c>
      <c r="Z21" s="38">
        <f>IF(OR(AP21="",Z$5="-"),"",IFERROR(IF(INDEX(INDIRECT("'"&amp;$B21&amp;"'!$T$6:$T$205"),MATCH($AR21&amp;"|"&amp;Z$5,INDIRECT("'"&amp;$B21&amp;"'!$AF$6:$AF$205"),0))="","",INDEX(INDIRECT("'"&amp;$B21&amp;"'!$T$6:$T$205"),MATCH($AR21&amp;"|"&amp;Z$5,INDIRECT("'"&amp;$B21&amp;"'!$AF$6:$AF$205"),0))),"-"))</f>
        <v/>
      </c>
      <c r="AA21" s="38">
        <f>IF(OR(AP21="",AA$5="-"),"",IFERROR(IF(INDEX(INDIRECT("'"&amp;$B21&amp;"'!$T$6:$T$205"),MATCH($AR21&amp;"|"&amp;AA$5,INDIRECT("'"&amp;$B21&amp;"'!$AF$6:$AF$205"),0))="","",INDEX(INDIRECT("'"&amp;$B21&amp;"'!$T$6:$T$205"),MATCH($AR21&amp;"|"&amp;AA$5,INDIRECT("'"&amp;$B21&amp;"'!$AF$6:$AF$205"),0))),"-"))</f>
        <v/>
      </c>
      <c r="AB21" s="38">
        <f>IF(OR(AP21="",AB$5="-"),"",IFERROR(IF(INDEX(INDIRECT("'"&amp;$B21&amp;"'!$T$6:$T$205"),MATCH($AR21&amp;"|"&amp;AB$5,INDIRECT("'"&amp;$B21&amp;"'!$AF$6:$AF$205"),0))="","",INDEX(INDIRECT("'"&amp;$B21&amp;"'!$T$6:$T$205"),MATCH($AR21&amp;"|"&amp;AB$5,INDIRECT("'"&amp;$B21&amp;"'!$AF$6:$AF$205"),0))),"-"))</f>
        <v/>
      </c>
      <c r="AC21" s="38">
        <f>IF(OR(AP21="",AC$5="-"),"",IFERROR(IF(INDEX(INDIRECT("'"&amp;$B21&amp;"'!$T$6:$T$205"),MATCH($AR21&amp;"|"&amp;AC$5,INDIRECT("'"&amp;$B21&amp;"'!$AF$6:$AF$205"),0))="","",INDEX(INDIRECT("'"&amp;$B21&amp;"'!$T$6:$T$205"),MATCH($AR21&amp;"|"&amp;AC$5,INDIRECT("'"&amp;$B21&amp;"'!$AF$6:$AF$205"),0))),"-"))</f>
        <v/>
      </c>
      <c r="AD21" s="38">
        <f>IF(OR(AP21="",AD$5="-"),"",IFERROR(IF(INDEX(INDIRECT("'"&amp;$B21&amp;"'!$T$6:$T$205"),MATCH($AR21&amp;"|"&amp;AD$5,INDIRECT("'"&amp;$B21&amp;"'!$AF$6:$AF$205"),0))="","",INDEX(INDIRECT("'"&amp;$B21&amp;"'!$T$6:$T$205"),MATCH($AR21&amp;"|"&amp;AD$5,INDIRECT("'"&amp;$B21&amp;"'!$AF$6:$AF$205"),0))),"-"))</f>
        <v/>
      </c>
      <c r="AE21" s="38">
        <f>IF(OR(AP21="",AE$5="-"),"",IFERROR(IF(INDEX(INDIRECT("'"&amp;$B21&amp;"'!$T$6:$T$205"),MATCH($AR21&amp;"|"&amp;AE$5,INDIRECT("'"&amp;$B21&amp;"'!$AF$6:$AF$205"),0))="","",INDEX(INDIRECT("'"&amp;$B21&amp;"'!$T$6:$T$205"),MATCH($AR21&amp;"|"&amp;AE$5,INDIRECT("'"&amp;$B21&amp;"'!$AF$6:$AF$205"),0))),"-"))</f>
        <v/>
      </c>
      <c r="AF21" s="35">
        <f>IF(AG21="","",INDEX($P$5:$W$5,MATCH(AG21,P21:W21,0)))</f>
        <v/>
      </c>
      <c r="AG21" s="37">
        <f>IF(COUNT(P21:W21)=0,"",MIN(P21:W21))</f>
        <v/>
      </c>
      <c r="AH21" s="39">
        <f>IF(AG21="","",AG21*F21)</f>
        <v/>
      </c>
      <c r="AI21" s="39">
        <f>IF(COUNT(P21:W21)&lt;2,"",(MAX(P21:W21)-MIN(P21:W21))*F21)</f>
        <v/>
      </c>
      <c r="AJ21" s="20" t="n"/>
      <c r="AP21">
        <f>IF(16&gt;MAX($AN$6:$AN$9),"",COUNTIF($AN$6:$AN$9,"&lt;"&amp;16)+1)</f>
        <v/>
      </c>
      <c r="AQ21">
        <f>IF(AP21="","",16-INDEX($AO$6:$AO$9,AP21))</f>
        <v/>
      </c>
      <c r="AR21">
        <f>IF(AP21="","",INDEX(INDIRECT("'"&amp;$B21&amp;"'!$AE$6:$AE$205"),MATCH(AQ21,INDIRECT("'"&amp;$B21&amp;"'!$AI$6:$AI$205"),0)))</f>
        <v/>
      </c>
    </row>
    <row r="22">
      <c r="A22" s="34">
        <f>IF(AP22="","",17)</f>
        <v/>
      </c>
      <c r="B22" s="35">
        <f>IF(AP22="","",INDEX($AL$6:$AL$9,AP22))</f>
        <v/>
      </c>
      <c r="C22" s="34">
        <f>IF(AP22="","",INDEX(INDIRECT("'"&amp;$B22&amp;"'!$B$6:$B$205"),MATCH($AR22,INDIRECT("'"&amp;$B22&amp;"'!$AE$6:$AE$205"),0)))</f>
        <v/>
      </c>
      <c r="D22" s="34">
        <f>IF(AP22="","",INDEX(INDIRECT("'"&amp;$B22&amp;"'!$D$6:$D$205"),MATCH($AR22,INDIRECT("'"&amp;$B22&amp;"'!$AE$6:$AE$205"),0)))</f>
        <v/>
      </c>
      <c r="E22" s="36">
        <f>IF(AP22="","",INDEX(INDIRECT("'"&amp;$B22&amp;"'!$F$6:$F$205"),MATCH($AR22,INDIRECT("'"&amp;$B22&amp;"'!$AE$6:$AE$205"),0)))</f>
        <v/>
      </c>
      <c r="F22" s="34">
        <f>IF(AP22="","",INDEX(INDIRECT("'"&amp;$B22&amp;"'!$K$6:$K$205"),MATCH($AR22,INDIRECT("'"&amp;$B22&amp;"'!$AE$6:$AE$205"),0)))</f>
        <v/>
      </c>
      <c r="G22" s="34">
        <f>IF(AP22="","",INDEX(INDIRECT("'"&amp;$B22&amp;"'!$L$6:$L$205"),MATCH($AR22,INDIRECT("'"&amp;$B22&amp;"'!$AE$6:$AE$205"),0)))</f>
        <v/>
      </c>
      <c r="H22" s="34">
        <f>IF(OR(AP22="",H$5="-"),"",IFERROR(IF(INDEX(INDIRECT("'"&amp;$B22&amp;"'!$N$6:$N$205"),MATCH($AR22&amp;"|"&amp;H$5,INDIRECT("'"&amp;$B22&amp;"'!$AF$6:$AF$205"),0))="","",INDEX(INDIRECT("'"&amp;$B22&amp;"'!$N$6:$N$205"),MATCH($AR22&amp;"|"&amp;H$5,INDIRECT("'"&amp;$B22&amp;"'!$AF$6:$AF$205"),0))),"-"))</f>
        <v/>
      </c>
      <c r="I22" s="34">
        <f>IF(OR(AP22="",I$5="-"),"",IFERROR(IF(INDEX(INDIRECT("'"&amp;$B22&amp;"'!$N$6:$N$205"),MATCH($AR22&amp;"|"&amp;I$5,INDIRECT("'"&amp;$B22&amp;"'!$AF$6:$AF$205"),0))="","",INDEX(INDIRECT("'"&amp;$B22&amp;"'!$N$6:$N$205"),MATCH($AR22&amp;"|"&amp;I$5,INDIRECT("'"&amp;$B22&amp;"'!$AF$6:$AF$205"),0))),"-"))</f>
        <v/>
      </c>
      <c r="J22" s="34">
        <f>IF(OR(AP22="",J$5="-"),"",IFERROR(IF(INDEX(INDIRECT("'"&amp;$B22&amp;"'!$N$6:$N$205"),MATCH($AR22&amp;"|"&amp;J$5,INDIRECT("'"&amp;$B22&amp;"'!$AF$6:$AF$205"),0))="","",INDEX(INDIRECT("'"&amp;$B22&amp;"'!$N$6:$N$205"),MATCH($AR22&amp;"|"&amp;J$5,INDIRECT("'"&amp;$B22&amp;"'!$AF$6:$AF$205"),0))),"-"))</f>
        <v/>
      </c>
      <c r="K22" s="34">
        <f>IF(OR(AP22="",K$5="-"),"",IFERROR(IF(INDEX(INDIRECT("'"&amp;$B22&amp;"'!$N$6:$N$205"),MATCH($AR22&amp;"|"&amp;K$5,INDIRECT("'"&amp;$B22&amp;"'!$AF$6:$AF$205"),0))="","",INDEX(INDIRECT("'"&amp;$B22&amp;"'!$N$6:$N$205"),MATCH($AR22&amp;"|"&amp;K$5,INDIRECT("'"&amp;$B22&amp;"'!$AF$6:$AF$205"),0))),"-"))</f>
        <v/>
      </c>
      <c r="L22" s="34">
        <f>IF(OR(AP22="",L$5="-"),"",IFERROR(IF(INDEX(INDIRECT("'"&amp;$B22&amp;"'!$N$6:$N$205"),MATCH($AR22&amp;"|"&amp;L$5,INDIRECT("'"&amp;$B22&amp;"'!$AF$6:$AF$205"),0))="","",INDEX(INDIRECT("'"&amp;$B22&amp;"'!$N$6:$N$205"),MATCH($AR22&amp;"|"&amp;L$5,INDIRECT("'"&amp;$B22&amp;"'!$AF$6:$AF$205"),0))),"-"))</f>
        <v/>
      </c>
      <c r="M22" s="34">
        <f>IF(OR(AP22="",M$5="-"),"",IFERROR(IF(INDEX(INDIRECT("'"&amp;$B22&amp;"'!$N$6:$N$205"),MATCH($AR22&amp;"|"&amp;M$5,INDIRECT("'"&amp;$B22&amp;"'!$AF$6:$AF$205"),0))="","",INDEX(INDIRECT("'"&amp;$B22&amp;"'!$N$6:$N$205"),MATCH($AR22&amp;"|"&amp;M$5,INDIRECT("'"&amp;$B22&amp;"'!$AF$6:$AF$205"),0))),"-"))</f>
        <v/>
      </c>
      <c r="N22" s="34">
        <f>IF(OR(AP22="",N$5="-"),"",IFERROR(IF(INDEX(INDIRECT("'"&amp;$B22&amp;"'!$N$6:$N$205"),MATCH($AR22&amp;"|"&amp;N$5,INDIRECT("'"&amp;$B22&amp;"'!$AF$6:$AF$205"),0))="","",INDEX(INDIRECT("'"&amp;$B22&amp;"'!$N$6:$N$205"),MATCH($AR22&amp;"|"&amp;N$5,INDIRECT("'"&amp;$B22&amp;"'!$AF$6:$AF$205"),0))),"-"))</f>
        <v/>
      </c>
      <c r="O22" s="34">
        <f>IF(OR(AP22="",O$5="-"),"",IFERROR(IF(INDEX(INDIRECT("'"&amp;$B22&amp;"'!$N$6:$N$205"),MATCH($AR22&amp;"|"&amp;O$5,INDIRECT("'"&amp;$B22&amp;"'!$AF$6:$AF$205"),0))="","",INDEX(INDIRECT("'"&amp;$B22&amp;"'!$N$6:$N$205"),MATCH($AR22&amp;"|"&amp;O$5,INDIRECT("'"&amp;$B22&amp;"'!$AF$6:$AF$205"),0))),"-"))</f>
        <v/>
      </c>
      <c r="P22" s="37">
        <f>IF(OR(AP22="",P$5="-"),"",IFERROR(IF(INDEX(INDIRECT("'"&amp;$B22&amp;"'!$R$6:$R$205"),MATCH($AR22&amp;"|"&amp;P$5,INDIRECT("'"&amp;$B22&amp;"'!$AF$6:$AF$205"),0))="","",INDEX(INDIRECT("'"&amp;$B22&amp;"'!$R$6:$R$205"),MATCH($AR22&amp;"|"&amp;P$5,INDIRECT("'"&amp;$B22&amp;"'!$AF$6:$AF$205"),0))),"-"))</f>
        <v/>
      </c>
      <c r="Q22" s="37">
        <f>IF(OR(AP22="",Q$5="-"),"",IFERROR(IF(INDEX(INDIRECT("'"&amp;$B22&amp;"'!$R$6:$R$205"),MATCH($AR22&amp;"|"&amp;Q$5,INDIRECT("'"&amp;$B22&amp;"'!$AF$6:$AF$205"),0))="","",INDEX(INDIRECT("'"&amp;$B22&amp;"'!$R$6:$R$205"),MATCH($AR22&amp;"|"&amp;Q$5,INDIRECT("'"&amp;$B22&amp;"'!$AF$6:$AF$205"),0))),"-"))</f>
        <v/>
      </c>
      <c r="R22" s="37">
        <f>IF(OR(AP22="",R$5="-"),"",IFERROR(IF(INDEX(INDIRECT("'"&amp;$B22&amp;"'!$R$6:$R$205"),MATCH($AR22&amp;"|"&amp;R$5,INDIRECT("'"&amp;$B22&amp;"'!$AF$6:$AF$205"),0))="","",INDEX(INDIRECT("'"&amp;$B22&amp;"'!$R$6:$R$205"),MATCH($AR22&amp;"|"&amp;R$5,INDIRECT("'"&amp;$B22&amp;"'!$AF$6:$AF$205"),0))),"-"))</f>
        <v/>
      </c>
      <c r="S22" s="37">
        <f>IF(OR(AP22="",S$5="-"),"",IFERROR(IF(INDEX(INDIRECT("'"&amp;$B22&amp;"'!$R$6:$R$205"),MATCH($AR22&amp;"|"&amp;S$5,INDIRECT("'"&amp;$B22&amp;"'!$AF$6:$AF$205"),0))="","",INDEX(INDIRECT("'"&amp;$B22&amp;"'!$R$6:$R$205"),MATCH($AR22&amp;"|"&amp;S$5,INDIRECT("'"&amp;$B22&amp;"'!$AF$6:$AF$205"),0))),"-"))</f>
        <v/>
      </c>
      <c r="T22" s="37">
        <f>IF(OR(AP22="",T$5="-"),"",IFERROR(IF(INDEX(INDIRECT("'"&amp;$B22&amp;"'!$R$6:$R$205"),MATCH($AR22&amp;"|"&amp;T$5,INDIRECT("'"&amp;$B22&amp;"'!$AF$6:$AF$205"),0))="","",INDEX(INDIRECT("'"&amp;$B22&amp;"'!$R$6:$R$205"),MATCH($AR22&amp;"|"&amp;T$5,INDIRECT("'"&amp;$B22&amp;"'!$AF$6:$AF$205"),0))),"-"))</f>
        <v/>
      </c>
      <c r="U22" s="37">
        <f>IF(OR(AP22="",U$5="-"),"",IFERROR(IF(INDEX(INDIRECT("'"&amp;$B22&amp;"'!$R$6:$R$205"),MATCH($AR22&amp;"|"&amp;U$5,INDIRECT("'"&amp;$B22&amp;"'!$AF$6:$AF$205"),0))="","",INDEX(INDIRECT("'"&amp;$B22&amp;"'!$R$6:$R$205"),MATCH($AR22&amp;"|"&amp;U$5,INDIRECT("'"&amp;$B22&amp;"'!$AF$6:$AF$205"),0))),"-"))</f>
        <v/>
      </c>
      <c r="V22" s="37">
        <f>IF(OR(AP22="",V$5="-"),"",IFERROR(IF(INDEX(INDIRECT("'"&amp;$B22&amp;"'!$R$6:$R$205"),MATCH($AR22&amp;"|"&amp;V$5,INDIRECT("'"&amp;$B22&amp;"'!$AF$6:$AF$205"),0))="","",INDEX(INDIRECT("'"&amp;$B22&amp;"'!$R$6:$R$205"),MATCH($AR22&amp;"|"&amp;V$5,INDIRECT("'"&amp;$B22&amp;"'!$AF$6:$AF$205"),0))),"-"))</f>
        <v/>
      </c>
      <c r="W22" s="37">
        <f>IF(OR(AP22="",W$5="-"),"",IFERROR(IF(INDEX(INDIRECT("'"&amp;$B22&amp;"'!$R$6:$R$205"),MATCH($AR22&amp;"|"&amp;W$5,INDIRECT("'"&amp;$B22&amp;"'!$AF$6:$AF$205"),0))="","",INDEX(INDIRECT("'"&amp;$B22&amp;"'!$R$6:$R$205"),MATCH($AR22&amp;"|"&amp;W$5,INDIRECT("'"&amp;$B22&amp;"'!$AF$6:$AF$205"),0))),"-"))</f>
        <v/>
      </c>
      <c r="X22" s="38">
        <f>IF(OR(AP22="",X$5="-"),"",IFERROR(IF(INDEX(INDIRECT("'"&amp;$B22&amp;"'!$T$6:$T$205"),MATCH($AR22&amp;"|"&amp;X$5,INDIRECT("'"&amp;$B22&amp;"'!$AF$6:$AF$205"),0))="","",INDEX(INDIRECT("'"&amp;$B22&amp;"'!$T$6:$T$205"),MATCH($AR22&amp;"|"&amp;X$5,INDIRECT("'"&amp;$B22&amp;"'!$AF$6:$AF$205"),0))),"-"))</f>
        <v/>
      </c>
      <c r="Y22" s="38">
        <f>IF(OR(AP22="",Y$5="-"),"",IFERROR(IF(INDEX(INDIRECT("'"&amp;$B22&amp;"'!$T$6:$T$205"),MATCH($AR22&amp;"|"&amp;Y$5,INDIRECT("'"&amp;$B22&amp;"'!$AF$6:$AF$205"),0))="","",INDEX(INDIRECT("'"&amp;$B22&amp;"'!$T$6:$T$205"),MATCH($AR22&amp;"|"&amp;Y$5,INDIRECT("'"&amp;$B22&amp;"'!$AF$6:$AF$205"),0))),"-"))</f>
        <v/>
      </c>
      <c r="Z22" s="38">
        <f>IF(OR(AP22="",Z$5="-"),"",IFERROR(IF(INDEX(INDIRECT("'"&amp;$B22&amp;"'!$T$6:$T$205"),MATCH($AR22&amp;"|"&amp;Z$5,INDIRECT("'"&amp;$B22&amp;"'!$AF$6:$AF$205"),0))="","",INDEX(INDIRECT("'"&amp;$B22&amp;"'!$T$6:$T$205"),MATCH($AR22&amp;"|"&amp;Z$5,INDIRECT("'"&amp;$B22&amp;"'!$AF$6:$AF$205"),0))),"-"))</f>
        <v/>
      </c>
      <c r="AA22" s="38">
        <f>IF(OR(AP22="",AA$5="-"),"",IFERROR(IF(INDEX(INDIRECT("'"&amp;$B22&amp;"'!$T$6:$T$205"),MATCH($AR22&amp;"|"&amp;AA$5,INDIRECT("'"&amp;$B22&amp;"'!$AF$6:$AF$205"),0))="","",INDEX(INDIRECT("'"&amp;$B22&amp;"'!$T$6:$T$205"),MATCH($AR22&amp;"|"&amp;AA$5,INDIRECT("'"&amp;$B22&amp;"'!$AF$6:$AF$205"),0))),"-"))</f>
        <v/>
      </c>
      <c r="AB22" s="38">
        <f>IF(OR(AP22="",AB$5="-"),"",IFERROR(IF(INDEX(INDIRECT("'"&amp;$B22&amp;"'!$T$6:$T$205"),MATCH($AR22&amp;"|"&amp;AB$5,INDIRECT("'"&amp;$B22&amp;"'!$AF$6:$AF$205"),0))="","",INDEX(INDIRECT("'"&amp;$B22&amp;"'!$T$6:$T$205"),MATCH($AR22&amp;"|"&amp;AB$5,INDIRECT("'"&amp;$B22&amp;"'!$AF$6:$AF$205"),0))),"-"))</f>
        <v/>
      </c>
      <c r="AC22" s="38">
        <f>IF(OR(AP22="",AC$5="-"),"",IFERROR(IF(INDEX(INDIRECT("'"&amp;$B22&amp;"'!$T$6:$T$205"),MATCH($AR22&amp;"|"&amp;AC$5,INDIRECT("'"&amp;$B22&amp;"'!$AF$6:$AF$205"),0))="","",INDEX(INDIRECT("'"&amp;$B22&amp;"'!$T$6:$T$205"),MATCH($AR22&amp;"|"&amp;AC$5,INDIRECT("'"&amp;$B22&amp;"'!$AF$6:$AF$205"),0))),"-"))</f>
        <v/>
      </c>
      <c r="AD22" s="38">
        <f>IF(OR(AP22="",AD$5="-"),"",IFERROR(IF(INDEX(INDIRECT("'"&amp;$B22&amp;"'!$T$6:$T$205"),MATCH($AR22&amp;"|"&amp;AD$5,INDIRECT("'"&amp;$B22&amp;"'!$AF$6:$AF$205"),0))="","",INDEX(INDIRECT("'"&amp;$B22&amp;"'!$T$6:$T$205"),MATCH($AR22&amp;"|"&amp;AD$5,INDIRECT("'"&amp;$B22&amp;"'!$AF$6:$AF$205"),0))),"-"))</f>
        <v/>
      </c>
      <c r="AE22" s="38">
        <f>IF(OR(AP22="",AE$5="-"),"",IFERROR(IF(INDEX(INDIRECT("'"&amp;$B22&amp;"'!$T$6:$T$205"),MATCH($AR22&amp;"|"&amp;AE$5,INDIRECT("'"&amp;$B22&amp;"'!$AF$6:$AF$205"),0))="","",INDEX(INDIRECT("'"&amp;$B22&amp;"'!$T$6:$T$205"),MATCH($AR22&amp;"|"&amp;AE$5,INDIRECT("'"&amp;$B22&amp;"'!$AF$6:$AF$205"),0))),"-"))</f>
        <v/>
      </c>
      <c r="AF22" s="35">
        <f>IF(AG22="","",INDEX($P$5:$W$5,MATCH(AG22,P22:W22,0)))</f>
        <v/>
      </c>
      <c r="AG22" s="37">
        <f>IF(COUNT(P22:W22)=0,"",MIN(P22:W22))</f>
        <v/>
      </c>
      <c r="AH22" s="39">
        <f>IF(AG22="","",AG22*F22)</f>
        <v/>
      </c>
      <c r="AI22" s="39">
        <f>IF(COUNT(P22:W22)&lt;2,"",(MAX(P22:W22)-MIN(P22:W22))*F22)</f>
        <v/>
      </c>
      <c r="AJ22" s="20" t="n"/>
      <c r="AP22">
        <f>IF(17&gt;MAX($AN$6:$AN$9),"",COUNTIF($AN$6:$AN$9,"&lt;"&amp;17)+1)</f>
        <v/>
      </c>
      <c r="AQ22">
        <f>IF(AP22="","",17-INDEX($AO$6:$AO$9,AP22))</f>
        <v/>
      </c>
      <c r="AR22">
        <f>IF(AP22="","",INDEX(INDIRECT("'"&amp;$B22&amp;"'!$AE$6:$AE$205"),MATCH(AQ22,INDIRECT("'"&amp;$B22&amp;"'!$AI$6:$AI$205"),0)))</f>
        <v/>
      </c>
    </row>
    <row r="23">
      <c r="A23" s="34">
        <f>IF(AP23="","",18)</f>
        <v/>
      </c>
      <c r="B23" s="35">
        <f>IF(AP23="","",INDEX($AL$6:$AL$9,AP23))</f>
        <v/>
      </c>
      <c r="C23" s="34">
        <f>IF(AP23="","",INDEX(INDIRECT("'"&amp;$B23&amp;"'!$B$6:$B$205"),MATCH($AR23,INDIRECT("'"&amp;$B23&amp;"'!$AE$6:$AE$205"),0)))</f>
        <v/>
      </c>
      <c r="D23" s="34">
        <f>IF(AP23="","",INDEX(INDIRECT("'"&amp;$B23&amp;"'!$D$6:$D$205"),MATCH($AR23,INDIRECT("'"&amp;$B23&amp;"'!$AE$6:$AE$205"),0)))</f>
        <v/>
      </c>
      <c r="E23" s="36">
        <f>IF(AP23="","",INDEX(INDIRECT("'"&amp;$B23&amp;"'!$F$6:$F$205"),MATCH($AR23,INDIRECT("'"&amp;$B23&amp;"'!$AE$6:$AE$205"),0)))</f>
        <v/>
      </c>
      <c r="F23" s="34">
        <f>IF(AP23="","",INDEX(INDIRECT("'"&amp;$B23&amp;"'!$K$6:$K$205"),MATCH($AR23,INDIRECT("'"&amp;$B23&amp;"'!$AE$6:$AE$205"),0)))</f>
        <v/>
      </c>
      <c r="G23" s="34">
        <f>IF(AP23="","",INDEX(INDIRECT("'"&amp;$B23&amp;"'!$L$6:$L$205"),MATCH($AR23,INDIRECT("'"&amp;$B23&amp;"'!$AE$6:$AE$205"),0)))</f>
        <v/>
      </c>
      <c r="H23" s="34">
        <f>IF(OR(AP23="",H$5="-"),"",IFERROR(IF(INDEX(INDIRECT("'"&amp;$B23&amp;"'!$N$6:$N$205"),MATCH($AR23&amp;"|"&amp;H$5,INDIRECT("'"&amp;$B23&amp;"'!$AF$6:$AF$205"),0))="","",INDEX(INDIRECT("'"&amp;$B23&amp;"'!$N$6:$N$205"),MATCH($AR23&amp;"|"&amp;H$5,INDIRECT("'"&amp;$B23&amp;"'!$AF$6:$AF$205"),0))),"-"))</f>
        <v/>
      </c>
      <c r="I23" s="34">
        <f>IF(OR(AP23="",I$5="-"),"",IFERROR(IF(INDEX(INDIRECT("'"&amp;$B23&amp;"'!$N$6:$N$205"),MATCH($AR23&amp;"|"&amp;I$5,INDIRECT("'"&amp;$B23&amp;"'!$AF$6:$AF$205"),0))="","",INDEX(INDIRECT("'"&amp;$B23&amp;"'!$N$6:$N$205"),MATCH($AR23&amp;"|"&amp;I$5,INDIRECT("'"&amp;$B23&amp;"'!$AF$6:$AF$205"),0))),"-"))</f>
        <v/>
      </c>
      <c r="J23" s="34">
        <f>IF(OR(AP23="",J$5="-"),"",IFERROR(IF(INDEX(INDIRECT("'"&amp;$B23&amp;"'!$N$6:$N$205"),MATCH($AR23&amp;"|"&amp;J$5,INDIRECT("'"&amp;$B23&amp;"'!$AF$6:$AF$205"),0))="","",INDEX(INDIRECT("'"&amp;$B23&amp;"'!$N$6:$N$205"),MATCH($AR23&amp;"|"&amp;J$5,INDIRECT("'"&amp;$B23&amp;"'!$AF$6:$AF$205"),0))),"-"))</f>
        <v/>
      </c>
      <c r="K23" s="34">
        <f>IF(OR(AP23="",K$5="-"),"",IFERROR(IF(INDEX(INDIRECT("'"&amp;$B23&amp;"'!$N$6:$N$205"),MATCH($AR23&amp;"|"&amp;K$5,INDIRECT("'"&amp;$B23&amp;"'!$AF$6:$AF$205"),0))="","",INDEX(INDIRECT("'"&amp;$B23&amp;"'!$N$6:$N$205"),MATCH($AR23&amp;"|"&amp;K$5,INDIRECT("'"&amp;$B23&amp;"'!$AF$6:$AF$205"),0))),"-"))</f>
        <v/>
      </c>
      <c r="L23" s="34">
        <f>IF(OR(AP23="",L$5="-"),"",IFERROR(IF(INDEX(INDIRECT("'"&amp;$B23&amp;"'!$N$6:$N$205"),MATCH($AR23&amp;"|"&amp;L$5,INDIRECT("'"&amp;$B23&amp;"'!$AF$6:$AF$205"),0))="","",INDEX(INDIRECT("'"&amp;$B23&amp;"'!$N$6:$N$205"),MATCH($AR23&amp;"|"&amp;L$5,INDIRECT("'"&amp;$B23&amp;"'!$AF$6:$AF$205"),0))),"-"))</f>
        <v/>
      </c>
      <c r="M23" s="34">
        <f>IF(OR(AP23="",M$5="-"),"",IFERROR(IF(INDEX(INDIRECT("'"&amp;$B23&amp;"'!$N$6:$N$205"),MATCH($AR23&amp;"|"&amp;M$5,INDIRECT("'"&amp;$B23&amp;"'!$AF$6:$AF$205"),0))="","",INDEX(INDIRECT("'"&amp;$B23&amp;"'!$N$6:$N$205"),MATCH($AR23&amp;"|"&amp;M$5,INDIRECT("'"&amp;$B23&amp;"'!$AF$6:$AF$205"),0))),"-"))</f>
        <v/>
      </c>
      <c r="N23" s="34">
        <f>IF(OR(AP23="",N$5="-"),"",IFERROR(IF(INDEX(INDIRECT("'"&amp;$B23&amp;"'!$N$6:$N$205"),MATCH($AR23&amp;"|"&amp;N$5,INDIRECT("'"&amp;$B23&amp;"'!$AF$6:$AF$205"),0))="","",INDEX(INDIRECT("'"&amp;$B23&amp;"'!$N$6:$N$205"),MATCH($AR23&amp;"|"&amp;N$5,INDIRECT("'"&amp;$B23&amp;"'!$AF$6:$AF$205"),0))),"-"))</f>
        <v/>
      </c>
      <c r="O23" s="34">
        <f>IF(OR(AP23="",O$5="-"),"",IFERROR(IF(INDEX(INDIRECT("'"&amp;$B23&amp;"'!$N$6:$N$205"),MATCH($AR23&amp;"|"&amp;O$5,INDIRECT("'"&amp;$B23&amp;"'!$AF$6:$AF$205"),0))="","",INDEX(INDIRECT("'"&amp;$B23&amp;"'!$N$6:$N$205"),MATCH($AR23&amp;"|"&amp;O$5,INDIRECT("'"&amp;$B23&amp;"'!$AF$6:$AF$205"),0))),"-"))</f>
        <v/>
      </c>
      <c r="P23" s="37">
        <f>IF(OR(AP23="",P$5="-"),"",IFERROR(IF(INDEX(INDIRECT("'"&amp;$B23&amp;"'!$R$6:$R$205"),MATCH($AR23&amp;"|"&amp;P$5,INDIRECT("'"&amp;$B23&amp;"'!$AF$6:$AF$205"),0))="","",INDEX(INDIRECT("'"&amp;$B23&amp;"'!$R$6:$R$205"),MATCH($AR23&amp;"|"&amp;P$5,INDIRECT("'"&amp;$B23&amp;"'!$AF$6:$AF$205"),0))),"-"))</f>
        <v/>
      </c>
      <c r="Q23" s="37">
        <f>IF(OR(AP23="",Q$5="-"),"",IFERROR(IF(INDEX(INDIRECT("'"&amp;$B23&amp;"'!$R$6:$R$205"),MATCH($AR23&amp;"|"&amp;Q$5,INDIRECT("'"&amp;$B23&amp;"'!$AF$6:$AF$205"),0))="","",INDEX(INDIRECT("'"&amp;$B23&amp;"'!$R$6:$R$205"),MATCH($AR23&amp;"|"&amp;Q$5,INDIRECT("'"&amp;$B23&amp;"'!$AF$6:$AF$205"),0))),"-"))</f>
        <v/>
      </c>
      <c r="R23" s="37">
        <f>IF(OR(AP23="",R$5="-"),"",IFERROR(IF(INDEX(INDIRECT("'"&amp;$B23&amp;"'!$R$6:$R$205"),MATCH($AR23&amp;"|"&amp;R$5,INDIRECT("'"&amp;$B23&amp;"'!$AF$6:$AF$205"),0))="","",INDEX(INDIRECT("'"&amp;$B23&amp;"'!$R$6:$R$205"),MATCH($AR23&amp;"|"&amp;R$5,INDIRECT("'"&amp;$B23&amp;"'!$AF$6:$AF$205"),0))),"-"))</f>
        <v/>
      </c>
      <c r="S23" s="37">
        <f>IF(OR(AP23="",S$5="-"),"",IFERROR(IF(INDEX(INDIRECT("'"&amp;$B23&amp;"'!$R$6:$R$205"),MATCH($AR23&amp;"|"&amp;S$5,INDIRECT("'"&amp;$B23&amp;"'!$AF$6:$AF$205"),0))="","",INDEX(INDIRECT("'"&amp;$B23&amp;"'!$R$6:$R$205"),MATCH($AR23&amp;"|"&amp;S$5,INDIRECT("'"&amp;$B23&amp;"'!$AF$6:$AF$205"),0))),"-"))</f>
        <v/>
      </c>
      <c r="T23" s="37">
        <f>IF(OR(AP23="",T$5="-"),"",IFERROR(IF(INDEX(INDIRECT("'"&amp;$B23&amp;"'!$R$6:$R$205"),MATCH($AR23&amp;"|"&amp;T$5,INDIRECT("'"&amp;$B23&amp;"'!$AF$6:$AF$205"),0))="","",INDEX(INDIRECT("'"&amp;$B23&amp;"'!$R$6:$R$205"),MATCH($AR23&amp;"|"&amp;T$5,INDIRECT("'"&amp;$B23&amp;"'!$AF$6:$AF$205"),0))),"-"))</f>
        <v/>
      </c>
      <c r="U23" s="37">
        <f>IF(OR(AP23="",U$5="-"),"",IFERROR(IF(INDEX(INDIRECT("'"&amp;$B23&amp;"'!$R$6:$R$205"),MATCH($AR23&amp;"|"&amp;U$5,INDIRECT("'"&amp;$B23&amp;"'!$AF$6:$AF$205"),0))="","",INDEX(INDIRECT("'"&amp;$B23&amp;"'!$R$6:$R$205"),MATCH($AR23&amp;"|"&amp;U$5,INDIRECT("'"&amp;$B23&amp;"'!$AF$6:$AF$205"),0))),"-"))</f>
        <v/>
      </c>
      <c r="V23" s="37">
        <f>IF(OR(AP23="",V$5="-"),"",IFERROR(IF(INDEX(INDIRECT("'"&amp;$B23&amp;"'!$R$6:$R$205"),MATCH($AR23&amp;"|"&amp;V$5,INDIRECT("'"&amp;$B23&amp;"'!$AF$6:$AF$205"),0))="","",INDEX(INDIRECT("'"&amp;$B23&amp;"'!$R$6:$R$205"),MATCH($AR23&amp;"|"&amp;V$5,INDIRECT("'"&amp;$B23&amp;"'!$AF$6:$AF$205"),0))),"-"))</f>
        <v/>
      </c>
      <c r="W23" s="37">
        <f>IF(OR(AP23="",W$5="-"),"",IFERROR(IF(INDEX(INDIRECT("'"&amp;$B23&amp;"'!$R$6:$R$205"),MATCH($AR23&amp;"|"&amp;W$5,INDIRECT("'"&amp;$B23&amp;"'!$AF$6:$AF$205"),0))="","",INDEX(INDIRECT("'"&amp;$B23&amp;"'!$R$6:$R$205"),MATCH($AR23&amp;"|"&amp;W$5,INDIRECT("'"&amp;$B23&amp;"'!$AF$6:$AF$205"),0))),"-"))</f>
        <v/>
      </c>
      <c r="X23" s="38">
        <f>IF(OR(AP23="",X$5="-"),"",IFERROR(IF(INDEX(INDIRECT("'"&amp;$B23&amp;"'!$T$6:$T$205"),MATCH($AR23&amp;"|"&amp;X$5,INDIRECT("'"&amp;$B23&amp;"'!$AF$6:$AF$205"),0))="","",INDEX(INDIRECT("'"&amp;$B23&amp;"'!$T$6:$T$205"),MATCH($AR23&amp;"|"&amp;X$5,INDIRECT("'"&amp;$B23&amp;"'!$AF$6:$AF$205"),0))),"-"))</f>
        <v/>
      </c>
      <c r="Y23" s="38">
        <f>IF(OR(AP23="",Y$5="-"),"",IFERROR(IF(INDEX(INDIRECT("'"&amp;$B23&amp;"'!$T$6:$T$205"),MATCH($AR23&amp;"|"&amp;Y$5,INDIRECT("'"&amp;$B23&amp;"'!$AF$6:$AF$205"),0))="","",INDEX(INDIRECT("'"&amp;$B23&amp;"'!$T$6:$T$205"),MATCH($AR23&amp;"|"&amp;Y$5,INDIRECT("'"&amp;$B23&amp;"'!$AF$6:$AF$205"),0))),"-"))</f>
        <v/>
      </c>
      <c r="Z23" s="38">
        <f>IF(OR(AP23="",Z$5="-"),"",IFERROR(IF(INDEX(INDIRECT("'"&amp;$B23&amp;"'!$T$6:$T$205"),MATCH($AR23&amp;"|"&amp;Z$5,INDIRECT("'"&amp;$B23&amp;"'!$AF$6:$AF$205"),0))="","",INDEX(INDIRECT("'"&amp;$B23&amp;"'!$T$6:$T$205"),MATCH($AR23&amp;"|"&amp;Z$5,INDIRECT("'"&amp;$B23&amp;"'!$AF$6:$AF$205"),0))),"-"))</f>
        <v/>
      </c>
      <c r="AA23" s="38">
        <f>IF(OR(AP23="",AA$5="-"),"",IFERROR(IF(INDEX(INDIRECT("'"&amp;$B23&amp;"'!$T$6:$T$205"),MATCH($AR23&amp;"|"&amp;AA$5,INDIRECT("'"&amp;$B23&amp;"'!$AF$6:$AF$205"),0))="","",INDEX(INDIRECT("'"&amp;$B23&amp;"'!$T$6:$T$205"),MATCH($AR23&amp;"|"&amp;AA$5,INDIRECT("'"&amp;$B23&amp;"'!$AF$6:$AF$205"),0))),"-"))</f>
        <v/>
      </c>
      <c r="AB23" s="38">
        <f>IF(OR(AP23="",AB$5="-"),"",IFERROR(IF(INDEX(INDIRECT("'"&amp;$B23&amp;"'!$T$6:$T$205"),MATCH($AR23&amp;"|"&amp;AB$5,INDIRECT("'"&amp;$B23&amp;"'!$AF$6:$AF$205"),0))="","",INDEX(INDIRECT("'"&amp;$B23&amp;"'!$T$6:$T$205"),MATCH($AR23&amp;"|"&amp;AB$5,INDIRECT("'"&amp;$B23&amp;"'!$AF$6:$AF$205"),0))),"-"))</f>
        <v/>
      </c>
      <c r="AC23" s="38">
        <f>IF(OR(AP23="",AC$5="-"),"",IFERROR(IF(INDEX(INDIRECT("'"&amp;$B23&amp;"'!$T$6:$T$205"),MATCH($AR23&amp;"|"&amp;AC$5,INDIRECT("'"&amp;$B23&amp;"'!$AF$6:$AF$205"),0))="","",INDEX(INDIRECT("'"&amp;$B23&amp;"'!$T$6:$T$205"),MATCH($AR23&amp;"|"&amp;AC$5,INDIRECT("'"&amp;$B23&amp;"'!$AF$6:$AF$205"),0))),"-"))</f>
        <v/>
      </c>
      <c r="AD23" s="38">
        <f>IF(OR(AP23="",AD$5="-"),"",IFERROR(IF(INDEX(INDIRECT("'"&amp;$B23&amp;"'!$T$6:$T$205"),MATCH($AR23&amp;"|"&amp;AD$5,INDIRECT("'"&amp;$B23&amp;"'!$AF$6:$AF$205"),0))="","",INDEX(INDIRECT("'"&amp;$B23&amp;"'!$T$6:$T$205"),MATCH($AR23&amp;"|"&amp;AD$5,INDIRECT("'"&amp;$B23&amp;"'!$AF$6:$AF$205"),0))),"-"))</f>
        <v/>
      </c>
      <c r="AE23" s="38">
        <f>IF(OR(AP23="",AE$5="-"),"",IFERROR(IF(INDEX(INDIRECT("'"&amp;$B23&amp;"'!$T$6:$T$205"),MATCH($AR23&amp;"|"&amp;AE$5,INDIRECT("'"&amp;$B23&amp;"'!$AF$6:$AF$205"),0))="","",INDEX(INDIRECT("'"&amp;$B23&amp;"'!$T$6:$T$205"),MATCH($AR23&amp;"|"&amp;AE$5,INDIRECT("'"&amp;$B23&amp;"'!$AF$6:$AF$205"),0))),"-"))</f>
        <v/>
      </c>
      <c r="AF23" s="35">
        <f>IF(AG23="","",INDEX($P$5:$W$5,MATCH(AG23,P23:W23,0)))</f>
        <v/>
      </c>
      <c r="AG23" s="37">
        <f>IF(COUNT(P23:W23)=0,"",MIN(P23:W23))</f>
        <v/>
      </c>
      <c r="AH23" s="39">
        <f>IF(AG23="","",AG23*F23)</f>
        <v/>
      </c>
      <c r="AI23" s="39">
        <f>IF(COUNT(P23:W23)&lt;2,"",(MAX(P23:W23)-MIN(P23:W23))*F23)</f>
        <v/>
      </c>
      <c r="AJ23" s="20" t="n"/>
      <c r="AP23">
        <f>IF(18&gt;MAX($AN$6:$AN$9),"",COUNTIF($AN$6:$AN$9,"&lt;"&amp;18)+1)</f>
        <v/>
      </c>
      <c r="AQ23">
        <f>IF(AP23="","",18-INDEX($AO$6:$AO$9,AP23))</f>
        <v/>
      </c>
      <c r="AR23">
        <f>IF(AP23="","",INDEX(INDIRECT("'"&amp;$B23&amp;"'!$AE$6:$AE$205"),MATCH(AQ23,INDIRECT("'"&amp;$B23&amp;"'!$AI$6:$AI$205"),0)))</f>
        <v/>
      </c>
    </row>
    <row r="24">
      <c r="A24" s="34">
        <f>IF(AP24="","",19)</f>
        <v/>
      </c>
      <c r="B24" s="35">
        <f>IF(AP24="","",INDEX($AL$6:$AL$9,AP24))</f>
        <v/>
      </c>
      <c r="C24" s="34">
        <f>IF(AP24="","",INDEX(INDIRECT("'"&amp;$B24&amp;"'!$B$6:$B$205"),MATCH($AR24,INDIRECT("'"&amp;$B24&amp;"'!$AE$6:$AE$205"),0)))</f>
        <v/>
      </c>
      <c r="D24" s="34">
        <f>IF(AP24="","",INDEX(INDIRECT("'"&amp;$B24&amp;"'!$D$6:$D$205"),MATCH($AR24,INDIRECT("'"&amp;$B24&amp;"'!$AE$6:$AE$205"),0)))</f>
        <v/>
      </c>
      <c r="E24" s="36">
        <f>IF(AP24="","",INDEX(INDIRECT("'"&amp;$B24&amp;"'!$F$6:$F$205"),MATCH($AR24,INDIRECT("'"&amp;$B24&amp;"'!$AE$6:$AE$205"),0)))</f>
        <v/>
      </c>
      <c r="F24" s="34">
        <f>IF(AP24="","",INDEX(INDIRECT("'"&amp;$B24&amp;"'!$K$6:$K$205"),MATCH($AR24,INDIRECT("'"&amp;$B24&amp;"'!$AE$6:$AE$205"),0)))</f>
        <v/>
      </c>
      <c r="G24" s="34">
        <f>IF(AP24="","",INDEX(INDIRECT("'"&amp;$B24&amp;"'!$L$6:$L$205"),MATCH($AR24,INDIRECT("'"&amp;$B24&amp;"'!$AE$6:$AE$205"),0)))</f>
        <v/>
      </c>
      <c r="H24" s="34">
        <f>IF(OR(AP24="",H$5="-"),"",IFERROR(IF(INDEX(INDIRECT("'"&amp;$B24&amp;"'!$N$6:$N$205"),MATCH($AR24&amp;"|"&amp;H$5,INDIRECT("'"&amp;$B24&amp;"'!$AF$6:$AF$205"),0))="","",INDEX(INDIRECT("'"&amp;$B24&amp;"'!$N$6:$N$205"),MATCH($AR24&amp;"|"&amp;H$5,INDIRECT("'"&amp;$B24&amp;"'!$AF$6:$AF$205"),0))),"-"))</f>
        <v/>
      </c>
      <c r="I24" s="34">
        <f>IF(OR(AP24="",I$5="-"),"",IFERROR(IF(INDEX(INDIRECT("'"&amp;$B24&amp;"'!$N$6:$N$205"),MATCH($AR24&amp;"|"&amp;I$5,INDIRECT("'"&amp;$B24&amp;"'!$AF$6:$AF$205"),0))="","",INDEX(INDIRECT("'"&amp;$B24&amp;"'!$N$6:$N$205"),MATCH($AR24&amp;"|"&amp;I$5,INDIRECT("'"&amp;$B24&amp;"'!$AF$6:$AF$205"),0))),"-"))</f>
        <v/>
      </c>
      <c r="J24" s="34">
        <f>IF(OR(AP24="",J$5="-"),"",IFERROR(IF(INDEX(INDIRECT("'"&amp;$B24&amp;"'!$N$6:$N$205"),MATCH($AR24&amp;"|"&amp;J$5,INDIRECT("'"&amp;$B24&amp;"'!$AF$6:$AF$205"),0))="","",INDEX(INDIRECT("'"&amp;$B24&amp;"'!$N$6:$N$205"),MATCH($AR24&amp;"|"&amp;J$5,INDIRECT("'"&amp;$B24&amp;"'!$AF$6:$AF$205"),0))),"-"))</f>
        <v/>
      </c>
      <c r="K24" s="34">
        <f>IF(OR(AP24="",K$5="-"),"",IFERROR(IF(INDEX(INDIRECT("'"&amp;$B24&amp;"'!$N$6:$N$205"),MATCH($AR24&amp;"|"&amp;K$5,INDIRECT("'"&amp;$B24&amp;"'!$AF$6:$AF$205"),0))="","",INDEX(INDIRECT("'"&amp;$B24&amp;"'!$N$6:$N$205"),MATCH($AR24&amp;"|"&amp;K$5,INDIRECT("'"&amp;$B24&amp;"'!$AF$6:$AF$205"),0))),"-"))</f>
        <v/>
      </c>
      <c r="L24" s="34">
        <f>IF(OR(AP24="",L$5="-"),"",IFERROR(IF(INDEX(INDIRECT("'"&amp;$B24&amp;"'!$N$6:$N$205"),MATCH($AR24&amp;"|"&amp;L$5,INDIRECT("'"&amp;$B24&amp;"'!$AF$6:$AF$205"),0))="","",INDEX(INDIRECT("'"&amp;$B24&amp;"'!$N$6:$N$205"),MATCH($AR24&amp;"|"&amp;L$5,INDIRECT("'"&amp;$B24&amp;"'!$AF$6:$AF$205"),0))),"-"))</f>
        <v/>
      </c>
      <c r="M24" s="34">
        <f>IF(OR(AP24="",M$5="-"),"",IFERROR(IF(INDEX(INDIRECT("'"&amp;$B24&amp;"'!$N$6:$N$205"),MATCH($AR24&amp;"|"&amp;M$5,INDIRECT("'"&amp;$B24&amp;"'!$AF$6:$AF$205"),0))="","",INDEX(INDIRECT("'"&amp;$B24&amp;"'!$N$6:$N$205"),MATCH($AR24&amp;"|"&amp;M$5,INDIRECT("'"&amp;$B24&amp;"'!$AF$6:$AF$205"),0))),"-"))</f>
        <v/>
      </c>
      <c r="N24" s="34">
        <f>IF(OR(AP24="",N$5="-"),"",IFERROR(IF(INDEX(INDIRECT("'"&amp;$B24&amp;"'!$N$6:$N$205"),MATCH($AR24&amp;"|"&amp;N$5,INDIRECT("'"&amp;$B24&amp;"'!$AF$6:$AF$205"),0))="","",INDEX(INDIRECT("'"&amp;$B24&amp;"'!$N$6:$N$205"),MATCH($AR24&amp;"|"&amp;N$5,INDIRECT("'"&amp;$B24&amp;"'!$AF$6:$AF$205"),0))),"-"))</f>
        <v/>
      </c>
      <c r="O24" s="34">
        <f>IF(OR(AP24="",O$5="-"),"",IFERROR(IF(INDEX(INDIRECT("'"&amp;$B24&amp;"'!$N$6:$N$205"),MATCH($AR24&amp;"|"&amp;O$5,INDIRECT("'"&amp;$B24&amp;"'!$AF$6:$AF$205"),0))="","",INDEX(INDIRECT("'"&amp;$B24&amp;"'!$N$6:$N$205"),MATCH($AR24&amp;"|"&amp;O$5,INDIRECT("'"&amp;$B24&amp;"'!$AF$6:$AF$205"),0))),"-"))</f>
        <v/>
      </c>
      <c r="P24" s="37">
        <f>IF(OR(AP24="",P$5="-"),"",IFERROR(IF(INDEX(INDIRECT("'"&amp;$B24&amp;"'!$R$6:$R$205"),MATCH($AR24&amp;"|"&amp;P$5,INDIRECT("'"&amp;$B24&amp;"'!$AF$6:$AF$205"),0))="","",INDEX(INDIRECT("'"&amp;$B24&amp;"'!$R$6:$R$205"),MATCH($AR24&amp;"|"&amp;P$5,INDIRECT("'"&amp;$B24&amp;"'!$AF$6:$AF$205"),0))),"-"))</f>
        <v/>
      </c>
      <c r="Q24" s="37">
        <f>IF(OR(AP24="",Q$5="-"),"",IFERROR(IF(INDEX(INDIRECT("'"&amp;$B24&amp;"'!$R$6:$R$205"),MATCH($AR24&amp;"|"&amp;Q$5,INDIRECT("'"&amp;$B24&amp;"'!$AF$6:$AF$205"),0))="","",INDEX(INDIRECT("'"&amp;$B24&amp;"'!$R$6:$R$205"),MATCH($AR24&amp;"|"&amp;Q$5,INDIRECT("'"&amp;$B24&amp;"'!$AF$6:$AF$205"),0))),"-"))</f>
        <v/>
      </c>
      <c r="R24" s="37">
        <f>IF(OR(AP24="",R$5="-"),"",IFERROR(IF(INDEX(INDIRECT("'"&amp;$B24&amp;"'!$R$6:$R$205"),MATCH($AR24&amp;"|"&amp;R$5,INDIRECT("'"&amp;$B24&amp;"'!$AF$6:$AF$205"),0))="","",INDEX(INDIRECT("'"&amp;$B24&amp;"'!$R$6:$R$205"),MATCH($AR24&amp;"|"&amp;R$5,INDIRECT("'"&amp;$B24&amp;"'!$AF$6:$AF$205"),0))),"-"))</f>
        <v/>
      </c>
      <c r="S24" s="37">
        <f>IF(OR(AP24="",S$5="-"),"",IFERROR(IF(INDEX(INDIRECT("'"&amp;$B24&amp;"'!$R$6:$R$205"),MATCH($AR24&amp;"|"&amp;S$5,INDIRECT("'"&amp;$B24&amp;"'!$AF$6:$AF$205"),0))="","",INDEX(INDIRECT("'"&amp;$B24&amp;"'!$R$6:$R$205"),MATCH($AR24&amp;"|"&amp;S$5,INDIRECT("'"&amp;$B24&amp;"'!$AF$6:$AF$205"),0))),"-"))</f>
        <v/>
      </c>
      <c r="T24" s="37">
        <f>IF(OR(AP24="",T$5="-"),"",IFERROR(IF(INDEX(INDIRECT("'"&amp;$B24&amp;"'!$R$6:$R$205"),MATCH($AR24&amp;"|"&amp;T$5,INDIRECT("'"&amp;$B24&amp;"'!$AF$6:$AF$205"),0))="","",INDEX(INDIRECT("'"&amp;$B24&amp;"'!$R$6:$R$205"),MATCH($AR24&amp;"|"&amp;T$5,INDIRECT("'"&amp;$B24&amp;"'!$AF$6:$AF$205"),0))),"-"))</f>
        <v/>
      </c>
      <c r="U24" s="37">
        <f>IF(OR(AP24="",U$5="-"),"",IFERROR(IF(INDEX(INDIRECT("'"&amp;$B24&amp;"'!$R$6:$R$205"),MATCH($AR24&amp;"|"&amp;U$5,INDIRECT("'"&amp;$B24&amp;"'!$AF$6:$AF$205"),0))="","",INDEX(INDIRECT("'"&amp;$B24&amp;"'!$R$6:$R$205"),MATCH($AR24&amp;"|"&amp;U$5,INDIRECT("'"&amp;$B24&amp;"'!$AF$6:$AF$205"),0))),"-"))</f>
        <v/>
      </c>
      <c r="V24" s="37">
        <f>IF(OR(AP24="",V$5="-"),"",IFERROR(IF(INDEX(INDIRECT("'"&amp;$B24&amp;"'!$R$6:$R$205"),MATCH($AR24&amp;"|"&amp;V$5,INDIRECT("'"&amp;$B24&amp;"'!$AF$6:$AF$205"),0))="","",INDEX(INDIRECT("'"&amp;$B24&amp;"'!$R$6:$R$205"),MATCH($AR24&amp;"|"&amp;V$5,INDIRECT("'"&amp;$B24&amp;"'!$AF$6:$AF$205"),0))),"-"))</f>
        <v/>
      </c>
      <c r="W24" s="37">
        <f>IF(OR(AP24="",W$5="-"),"",IFERROR(IF(INDEX(INDIRECT("'"&amp;$B24&amp;"'!$R$6:$R$205"),MATCH($AR24&amp;"|"&amp;W$5,INDIRECT("'"&amp;$B24&amp;"'!$AF$6:$AF$205"),0))="","",INDEX(INDIRECT("'"&amp;$B24&amp;"'!$R$6:$R$205"),MATCH($AR24&amp;"|"&amp;W$5,INDIRECT("'"&amp;$B24&amp;"'!$AF$6:$AF$205"),0))),"-"))</f>
        <v/>
      </c>
      <c r="X24" s="38">
        <f>IF(OR(AP24="",X$5="-"),"",IFERROR(IF(INDEX(INDIRECT("'"&amp;$B24&amp;"'!$T$6:$T$205"),MATCH($AR24&amp;"|"&amp;X$5,INDIRECT("'"&amp;$B24&amp;"'!$AF$6:$AF$205"),0))="","",INDEX(INDIRECT("'"&amp;$B24&amp;"'!$T$6:$T$205"),MATCH($AR24&amp;"|"&amp;X$5,INDIRECT("'"&amp;$B24&amp;"'!$AF$6:$AF$205"),0))),"-"))</f>
        <v/>
      </c>
      <c r="Y24" s="38">
        <f>IF(OR(AP24="",Y$5="-"),"",IFERROR(IF(INDEX(INDIRECT("'"&amp;$B24&amp;"'!$T$6:$T$205"),MATCH($AR24&amp;"|"&amp;Y$5,INDIRECT("'"&amp;$B24&amp;"'!$AF$6:$AF$205"),0))="","",INDEX(INDIRECT("'"&amp;$B24&amp;"'!$T$6:$T$205"),MATCH($AR24&amp;"|"&amp;Y$5,INDIRECT("'"&amp;$B24&amp;"'!$AF$6:$AF$205"),0))),"-"))</f>
        <v/>
      </c>
      <c r="Z24" s="38">
        <f>IF(OR(AP24="",Z$5="-"),"",IFERROR(IF(INDEX(INDIRECT("'"&amp;$B24&amp;"'!$T$6:$T$205"),MATCH($AR24&amp;"|"&amp;Z$5,INDIRECT("'"&amp;$B24&amp;"'!$AF$6:$AF$205"),0))="","",INDEX(INDIRECT("'"&amp;$B24&amp;"'!$T$6:$T$205"),MATCH($AR24&amp;"|"&amp;Z$5,INDIRECT("'"&amp;$B24&amp;"'!$AF$6:$AF$205"),0))),"-"))</f>
        <v/>
      </c>
      <c r="AA24" s="38">
        <f>IF(OR(AP24="",AA$5="-"),"",IFERROR(IF(INDEX(INDIRECT("'"&amp;$B24&amp;"'!$T$6:$T$205"),MATCH($AR24&amp;"|"&amp;AA$5,INDIRECT("'"&amp;$B24&amp;"'!$AF$6:$AF$205"),0))="","",INDEX(INDIRECT("'"&amp;$B24&amp;"'!$T$6:$T$205"),MATCH($AR24&amp;"|"&amp;AA$5,INDIRECT("'"&amp;$B24&amp;"'!$AF$6:$AF$205"),0))),"-"))</f>
        <v/>
      </c>
      <c r="AB24" s="38">
        <f>IF(OR(AP24="",AB$5="-"),"",IFERROR(IF(INDEX(INDIRECT("'"&amp;$B24&amp;"'!$T$6:$T$205"),MATCH($AR24&amp;"|"&amp;AB$5,INDIRECT("'"&amp;$B24&amp;"'!$AF$6:$AF$205"),0))="","",INDEX(INDIRECT("'"&amp;$B24&amp;"'!$T$6:$T$205"),MATCH($AR24&amp;"|"&amp;AB$5,INDIRECT("'"&amp;$B24&amp;"'!$AF$6:$AF$205"),0))),"-"))</f>
        <v/>
      </c>
      <c r="AC24" s="38">
        <f>IF(OR(AP24="",AC$5="-"),"",IFERROR(IF(INDEX(INDIRECT("'"&amp;$B24&amp;"'!$T$6:$T$205"),MATCH($AR24&amp;"|"&amp;AC$5,INDIRECT("'"&amp;$B24&amp;"'!$AF$6:$AF$205"),0))="","",INDEX(INDIRECT("'"&amp;$B24&amp;"'!$T$6:$T$205"),MATCH($AR24&amp;"|"&amp;AC$5,INDIRECT("'"&amp;$B24&amp;"'!$AF$6:$AF$205"),0))),"-"))</f>
        <v/>
      </c>
      <c r="AD24" s="38">
        <f>IF(OR(AP24="",AD$5="-"),"",IFERROR(IF(INDEX(INDIRECT("'"&amp;$B24&amp;"'!$T$6:$T$205"),MATCH($AR24&amp;"|"&amp;AD$5,INDIRECT("'"&amp;$B24&amp;"'!$AF$6:$AF$205"),0))="","",INDEX(INDIRECT("'"&amp;$B24&amp;"'!$T$6:$T$205"),MATCH($AR24&amp;"|"&amp;AD$5,INDIRECT("'"&amp;$B24&amp;"'!$AF$6:$AF$205"),0))),"-"))</f>
        <v/>
      </c>
      <c r="AE24" s="38">
        <f>IF(OR(AP24="",AE$5="-"),"",IFERROR(IF(INDEX(INDIRECT("'"&amp;$B24&amp;"'!$T$6:$T$205"),MATCH($AR24&amp;"|"&amp;AE$5,INDIRECT("'"&amp;$B24&amp;"'!$AF$6:$AF$205"),0))="","",INDEX(INDIRECT("'"&amp;$B24&amp;"'!$T$6:$T$205"),MATCH($AR24&amp;"|"&amp;AE$5,INDIRECT("'"&amp;$B24&amp;"'!$AF$6:$AF$205"),0))),"-"))</f>
        <v/>
      </c>
      <c r="AF24" s="35">
        <f>IF(AG24="","",INDEX($P$5:$W$5,MATCH(AG24,P24:W24,0)))</f>
        <v/>
      </c>
      <c r="AG24" s="37">
        <f>IF(COUNT(P24:W24)=0,"",MIN(P24:W24))</f>
        <v/>
      </c>
      <c r="AH24" s="39">
        <f>IF(AG24="","",AG24*F24)</f>
        <v/>
      </c>
      <c r="AI24" s="39">
        <f>IF(COUNT(P24:W24)&lt;2,"",(MAX(P24:W24)-MIN(P24:W24))*F24)</f>
        <v/>
      </c>
      <c r="AJ24" s="20" t="n"/>
      <c r="AP24">
        <f>IF(19&gt;MAX($AN$6:$AN$9),"",COUNTIF($AN$6:$AN$9,"&lt;"&amp;19)+1)</f>
        <v/>
      </c>
      <c r="AQ24">
        <f>IF(AP24="","",19-INDEX($AO$6:$AO$9,AP24))</f>
        <v/>
      </c>
      <c r="AR24">
        <f>IF(AP24="","",INDEX(INDIRECT("'"&amp;$B24&amp;"'!$AE$6:$AE$205"),MATCH(AQ24,INDIRECT("'"&amp;$B24&amp;"'!$AI$6:$AI$205"),0)))</f>
        <v/>
      </c>
    </row>
    <row r="25">
      <c r="A25" s="34">
        <f>IF(AP25="","",20)</f>
        <v/>
      </c>
      <c r="B25" s="35">
        <f>IF(AP25="","",INDEX($AL$6:$AL$9,AP25))</f>
        <v/>
      </c>
      <c r="C25" s="34">
        <f>IF(AP25="","",INDEX(INDIRECT("'"&amp;$B25&amp;"'!$B$6:$B$205"),MATCH($AR25,INDIRECT("'"&amp;$B25&amp;"'!$AE$6:$AE$205"),0)))</f>
        <v/>
      </c>
      <c r="D25" s="34">
        <f>IF(AP25="","",INDEX(INDIRECT("'"&amp;$B25&amp;"'!$D$6:$D$205"),MATCH($AR25,INDIRECT("'"&amp;$B25&amp;"'!$AE$6:$AE$205"),0)))</f>
        <v/>
      </c>
      <c r="E25" s="36">
        <f>IF(AP25="","",INDEX(INDIRECT("'"&amp;$B25&amp;"'!$F$6:$F$205"),MATCH($AR25,INDIRECT("'"&amp;$B25&amp;"'!$AE$6:$AE$205"),0)))</f>
        <v/>
      </c>
      <c r="F25" s="34">
        <f>IF(AP25="","",INDEX(INDIRECT("'"&amp;$B25&amp;"'!$K$6:$K$205"),MATCH($AR25,INDIRECT("'"&amp;$B25&amp;"'!$AE$6:$AE$205"),0)))</f>
        <v/>
      </c>
      <c r="G25" s="34">
        <f>IF(AP25="","",INDEX(INDIRECT("'"&amp;$B25&amp;"'!$L$6:$L$205"),MATCH($AR25,INDIRECT("'"&amp;$B25&amp;"'!$AE$6:$AE$205"),0)))</f>
        <v/>
      </c>
      <c r="H25" s="34">
        <f>IF(OR(AP25="",H$5="-"),"",IFERROR(IF(INDEX(INDIRECT("'"&amp;$B25&amp;"'!$N$6:$N$205"),MATCH($AR25&amp;"|"&amp;H$5,INDIRECT("'"&amp;$B25&amp;"'!$AF$6:$AF$205"),0))="","",INDEX(INDIRECT("'"&amp;$B25&amp;"'!$N$6:$N$205"),MATCH($AR25&amp;"|"&amp;H$5,INDIRECT("'"&amp;$B25&amp;"'!$AF$6:$AF$205"),0))),"-"))</f>
        <v/>
      </c>
      <c r="I25" s="34">
        <f>IF(OR(AP25="",I$5="-"),"",IFERROR(IF(INDEX(INDIRECT("'"&amp;$B25&amp;"'!$N$6:$N$205"),MATCH($AR25&amp;"|"&amp;I$5,INDIRECT("'"&amp;$B25&amp;"'!$AF$6:$AF$205"),0))="","",INDEX(INDIRECT("'"&amp;$B25&amp;"'!$N$6:$N$205"),MATCH($AR25&amp;"|"&amp;I$5,INDIRECT("'"&amp;$B25&amp;"'!$AF$6:$AF$205"),0))),"-"))</f>
        <v/>
      </c>
      <c r="J25" s="34">
        <f>IF(OR(AP25="",J$5="-"),"",IFERROR(IF(INDEX(INDIRECT("'"&amp;$B25&amp;"'!$N$6:$N$205"),MATCH($AR25&amp;"|"&amp;J$5,INDIRECT("'"&amp;$B25&amp;"'!$AF$6:$AF$205"),0))="","",INDEX(INDIRECT("'"&amp;$B25&amp;"'!$N$6:$N$205"),MATCH($AR25&amp;"|"&amp;J$5,INDIRECT("'"&amp;$B25&amp;"'!$AF$6:$AF$205"),0))),"-"))</f>
        <v/>
      </c>
      <c r="K25" s="34">
        <f>IF(OR(AP25="",K$5="-"),"",IFERROR(IF(INDEX(INDIRECT("'"&amp;$B25&amp;"'!$N$6:$N$205"),MATCH($AR25&amp;"|"&amp;K$5,INDIRECT("'"&amp;$B25&amp;"'!$AF$6:$AF$205"),0))="","",INDEX(INDIRECT("'"&amp;$B25&amp;"'!$N$6:$N$205"),MATCH($AR25&amp;"|"&amp;K$5,INDIRECT("'"&amp;$B25&amp;"'!$AF$6:$AF$205"),0))),"-"))</f>
        <v/>
      </c>
      <c r="L25" s="34">
        <f>IF(OR(AP25="",L$5="-"),"",IFERROR(IF(INDEX(INDIRECT("'"&amp;$B25&amp;"'!$N$6:$N$205"),MATCH($AR25&amp;"|"&amp;L$5,INDIRECT("'"&amp;$B25&amp;"'!$AF$6:$AF$205"),0))="","",INDEX(INDIRECT("'"&amp;$B25&amp;"'!$N$6:$N$205"),MATCH($AR25&amp;"|"&amp;L$5,INDIRECT("'"&amp;$B25&amp;"'!$AF$6:$AF$205"),0))),"-"))</f>
        <v/>
      </c>
      <c r="M25" s="34">
        <f>IF(OR(AP25="",M$5="-"),"",IFERROR(IF(INDEX(INDIRECT("'"&amp;$B25&amp;"'!$N$6:$N$205"),MATCH($AR25&amp;"|"&amp;M$5,INDIRECT("'"&amp;$B25&amp;"'!$AF$6:$AF$205"),0))="","",INDEX(INDIRECT("'"&amp;$B25&amp;"'!$N$6:$N$205"),MATCH($AR25&amp;"|"&amp;M$5,INDIRECT("'"&amp;$B25&amp;"'!$AF$6:$AF$205"),0))),"-"))</f>
        <v/>
      </c>
      <c r="N25" s="34">
        <f>IF(OR(AP25="",N$5="-"),"",IFERROR(IF(INDEX(INDIRECT("'"&amp;$B25&amp;"'!$N$6:$N$205"),MATCH($AR25&amp;"|"&amp;N$5,INDIRECT("'"&amp;$B25&amp;"'!$AF$6:$AF$205"),0))="","",INDEX(INDIRECT("'"&amp;$B25&amp;"'!$N$6:$N$205"),MATCH($AR25&amp;"|"&amp;N$5,INDIRECT("'"&amp;$B25&amp;"'!$AF$6:$AF$205"),0))),"-"))</f>
        <v/>
      </c>
      <c r="O25" s="34">
        <f>IF(OR(AP25="",O$5="-"),"",IFERROR(IF(INDEX(INDIRECT("'"&amp;$B25&amp;"'!$N$6:$N$205"),MATCH($AR25&amp;"|"&amp;O$5,INDIRECT("'"&amp;$B25&amp;"'!$AF$6:$AF$205"),0))="","",INDEX(INDIRECT("'"&amp;$B25&amp;"'!$N$6:$N$205"),MATCH($AR25&amp;"|"&amp;O$5,INDIRECT("'"&amp;$B25&amp;"'!$AF$6:$AF$205"),0))),"-"))</f>
        <v/>
      </c>
      <c r="P25" s="37">
        <f>IF(OR(AP25="",P$5="-"),"",IFERROR(IF(INDEX(INDIRECT("'"&amp;$B25&amp;"'!$R$6:$R$205"),MATCH($AR25&amp;"|"&amp;P$5,INDIRECT("'"&amp;$B25&amp;"'!$AF$6:$AF$205"),0))="","",INDEX(INDIRECT("'"&amp;$B25&amp;"'!$R$6:$R$205"),MATCH($AR25&amp;"|"&amp;P$5,INDIRECT("'"&amp;$B25&amp;"'!$AF$6:$AF$205"),0))),"-"))</f>
        <v/>
      </c>
      <c r="Q25" s="37">
        <f>IF(OR(AP25="",Q$5="-"),"",IFERROR(IF(INDEX(INDIRECT("'"&amp;$B25&amp;"'!$R$6:$R$205"),MATCH($AR25&amp;"|"&amp;Q$5,INDIRECT("'"&amp;$B25&amp;"'!$AF$6:$AF$205"),0))="","",INDEX(INDIRECT("'"&amp;$B25&amp;"'!$R$6:$R$205"),MATCH($AR25&amp;"|"&amp;Q$5,INDIRECT("'"&amp;$B25&amp;"'!$AF$6:$AF$205"),0))),"-"))</f>
        <v/>
      </c>
      <c r="R25" s="37">
        <f>IF(OR(AP25="",R$5="-"),"",IFERROR(IF(INDEX(INDIRECT("'"&amp;$B25&amp;"'!$R$6:$R$205"),MATCH($AR25&amp;"|"&amp;R$5,INDIRECT("'"&amp;$B25&amp;"'!$AF$6:$AF$205"),0))="","",INDEX(INDIRECT("'"&amp;$B25&amp;"'!$R$6:$R$205"),MATCH($AR25&amp;"|"&amp;R$5,INDIRECT("'"&amp;$B25&amp;"'!$AF$6:$AF$205"),0))),"-"))</f>
        <v/>
      </c>
      <c r="S25" s="37">
        <f>IF(OR(AP25="",S$5="-"),"",IFERROR(IF(INDEX(INDIRECT("'"&amp;$B25&amp;"'!$R$6:$R$205"),MATCH($AR25&amp;"|"&amp;S$5,INDIRECT("'"&amp;$B25&amp;"'!$AF$6:$AF$205"),0))="","",INDEX(INDIRECT("'"&amp;$B25&amp;"'!$R$6:$R$205"),MATCH($AR25&amp;"|"&amp;S$5,INDIRECT("'"&amp;$B25&amp;"'!$AF$6:$AF$205"),0))),"-"))</f>
        <v/>
      </c>
      <c r="T25" s="37">
        <f>IF(OR(AP25="",T$5="-"),"",IFERROR(IF(INDEX(INDIRECT("'"&amp;$B25&amp;"'!$R$6:$R$205"),MATCH($AR25&amp;"|"&amp;T$5,INDIRECT("'"&amp;$B25&amp;"'!$AF$6:$AF$205"),0))="","",INDEX(INDIRECT("'"&amp;$B25&amp;"'!$R$6:$R$205"),MATCH($AR25&amp;"|"&amp;T$5,INDIRECT("'"&amp;$B25&amp;"'!$AF$6:$AF$205"),0))),"-"))</f>
        <v/>
      </c>
      <c r="U25" s="37">
        <f>IF(OR(AP25="",U$5="-"),"",IFERROR(IF(INDEX(INDIRECT("'"&amp;$B25&amp;"'!$R$6:$R$205"),MATCH($AR25&amp;"|"&amp;U$5,INDIRECT("'"&amp;$B25&amp;"'!$AF$6:$AF$205"),0))="","",INDEX(INDIRECT("'"&amp;$B25&amp;"'!$R$6:$R$205"),MATCH($AR25&amp;"|"&amp;U$5,INDIRECT("'"&amp;$B25&amp;"'!$AF$6:$AF$205"),0))),"-"))</f>
        <v/>
      </c>
      <c r="V25" s="37">
        <f>IF(OR(AP25="",V$5="-"),"",IFERROR(IF(INDEX(INDIRECT("'"&amp;$B25&amp;"'!$R$6:$R$205"),MATCH($AR25&amp;"|"&amp;V$5,INDIRECT("'"&amp;$B25&amp;"'!$AF$6:$AF$205"),0))="","",INDEX(INDIRECT("'"&amp;$B25&amp;"'!$R$6:$R$205"),MATCH($AR25&amp;"|"&amp;V$5,INDIRECT("'"&amp;$B25&amp;"'!$AF$6:$AF$205"),0))),"-"))</f>
        <v/>
      </c>
      <c r="W25" s="37">
        <f>IF(OR(AP25="",W$5="-"),"",IFERROR(IF(INDEX(INDIRECT("'"&amp;$B25&amp;"'!$R$6:$R$205"),MATCH($AR25&amp;"|"&amp;W$5,INDIRECT("'"&amp;$B25&amp;"'!$AF$6:$AF$205"),0))="","",INDEX(INDIRECT("'"&amp;$B25&amp;"'!$R$6:$R$205"),MATCH($AR25&amp;"|"&amp;W$5,INDIRECT("'"&amp;$B25&amp;"'!$AF$6:$AF$205"),0))),"-"))</f>
        <v/>
      </c>
      <c r="X25" s="38">
        <f>IF(OR(AP25="",X$5="-"),"",IFERROR(IF(INDEX(INDIRECT("'"&amp;$B25&amp;"'!$T$6:$T$205"),MATCH($AR25&amp;"|"&amp;X$5,INDIRECT("'"&amp;$B25&amp;"'!$AF$6:$AF$205"),0))="","",INDEX(INDIRECT("'"&amp;$B25&amp;"'!$T$6:$T$205"),MATCH($AR25&amp;"|"&amp;X$5,INDIRECT("'"&amp;$B25&amp;"'!$AF$6:$AF$205"),0))),"-"))</f>
        <v/>
      </c>
      <c r="Y25" s="38">
        <f>IF(OR(AP25="",Y$5="-"),"",IFERROR(IF(INDEX(INDIRECT("'"&amp;$B25&amp;"'!$T$6:$T$205"),MATCH($AR25&amp;"|"&amp;Y$5,INDIRECT("'"&amp;$B25&amp;"'!$AF$6:$AF$205"),0))="","",INDEX(INDIRECT("'"&amp;$B25&amp;"'!$T$6:$T$205"),MATCH($AR25&amp;"|"&amp;Y$5,INDIRECT("'"&amp;$B25&amp;"'!$AF$6:$AF$205"),0))),"-"))</f>
        <v/>
      </c>
      <c r="Z25" s="38">
        <f>IF(OR(AP25="",Z$5="-"),"",IFERROR(IF(INDEX(INDIRECT("'"&amp;$B25&amp;"'!$T$6:$T$205"),MATCH($AR25&amp;"|"&amp;Z$5,INDIRECT("'"&amp;$B25&amp;"'!$AF$6:$AF$205"),0))="","",INDEX(INDIRECT("'"&amp;$B25&amp;"'!$T$6:$T$205"),MATCH($AR25&amp;"|"&amp;Z$5,INDIRECT("'"&amp;$B25&amp;"'!$AF$6:$AF$205"),0))),"-"))</f>
        <v/>
      </c>
      <c r="AA25" s="38">
        <f>IF(OR(AP25="",AA$5="-"),"",IFERROR(IF(INDEX(INDIRECT("'"&amp;$B25&amp;"'!$T$6:$T$205"),MATCH($AR25&amp;"|"&amp;AA$5,INDIRECT("'"&amp;$B25&amp;"'!$AF$6:$AF$205"),0))="","",INDEX(INDIRECT("'"&amp;$B25&amp;"'!$T$6:$T$205"),MATCH($AR25&amp;"|"&amp;AA$5,INDIRECT("'"&amp;$B25&amp;"'!$AF$6:$AF$205"),0))),"-"))</f>
        <v/>
      </c>
      <c r="AB25" s="38">
        <f>IF(OR(AP25="",AB$5="-"),"",IFERROR(IF(INDEX(INDIRECT("'"&amp;$B25&amp;"'!$T$6:$T$205"),MATCH($AR25&amp;"|"&amp;AB$5,INDIRECT("'"&amp;$B25&amp;"'!$AF$6:$AF$205"),0))="","",INDEX(INDIRECT("'"&amp;$B25&amp;"'!$T$6:$T$205"),MATCH($AR25&amp;"|"&amp;AB$5,INDIRECT("'"&amp;$B25&amp;"'!$AF$6:$AF$205"),0))),"-"))</f>
        <v/>
      </c>
      <c r="AC25" s="38">
        <f>IF(OR(AP25="",AC$5="-"),"",IFERROR(IF(INDEX(INDIRECT("'"&amp;$B25&amp;"'!$T$6:$T$205"),MATCH($AR25&amp;"|"&amp;AC$5,INDIRECT("'"&amp;$B25&amp;"'!$AF$6:$AF$205"),0))="","",INDEX(INDIRECT("'"&amp;$B25&amp;"'!$T$6:$T$205"),MATCH($AR25&amp;"|"&amp;AC$5,INDIRECT("'"&amp;$B25&amp;"'!$AF$6:$AF$205"),0))),"-"))</f>
        <v/>
      </c>
      <c r="AD25" s="38">
        <f>IF(OR(AP25="",AD$5="-"),"",IFERROR(IF(INDEX(INDIRECT("'"&amp;$B25&amp;"'!$T$6:$T$205"),MATCH($AR25&amp;"|"&amp;AD$5,INDIRECT("'"&amp;$B25&amp;"'!$AF$6:$AF$205"),0))="","",INDEX(INDIRECT("'"&amp;$B25&amp;"'!$T$6:$T$205"),MATCH($AR25&amp;"|"&amp;AD$5,INDIRECT("'"&amp;$B25&amp;"'!$AF$6:$AF$205"),0))),"-"))</f>
        <v/>
      </c>
      <c r="AE25" s="38">
        <f>IF(OR(AP25="",AE$5="-"),"",IFERROR(IF(INDEX(INDIRECT("'"&amp;$B25&amp;"'!$T$6:$T$205"),MATCH($AR25&amp;"|"&amp;AE$5,INDIRECT("'"&amp;$B25&amp;"'!$AF$6:$AF$205"),0))="","",INDEX(INDIRECT("'"&amp;$B25&amp;"'!$T$6:$T$205"),MATCH($AR25&amp;"|"&amp;AE$5,INDIRECT("'"&amp;$B25&amp;"'!$AF$6:$AF$205"),0))),"-"))</f>
        <v/>
      </c>
      <c r="AF25" s="35">
        <f>IF(AG25="","",INDEX($P$5:$W$5,MATCH(AG25,P25:W25,0)))</f>
        <v/>
      </c>
      <c r="AG25" s="37">
        <f>IF(COUNT(P25:W25)=0,"",MIN(P25:W25))</f>
        <v/>
      </c>
      <c r="AH25" s="39">
        <f>IF(AG25="","",AG25*F25)</f>
        <v/>
      </c>
      <c r="AI25" s="39">
        <f>IF(COUNT(P25:W25)&lt;2,"",(MAX(P25:W25)-MIN(P25:W25))*F25)</f>
        <v/>
      </c>
      <c r="AJ25" s="20" t="n"/>
      <c r="AP25">
        <f>IF(20&gt;MAX($AN$6:$AN$9),"",COUNTIF($AN$6:$AN$9,"&lt;"&amp;20)+1)</f>
        <v/>
      </c>
      <c r="AQ25">
        <f>IF(AP25="","",20-INDEX($AO$6:$AO$9,AP25))</f>
        <v/>
      </c>
      <c r="AR25">
        <f>IF(AP25="","",INDEX(INDIRECT("'"&amp;$B25&amp;"'!$AE$6:$AE$205"),MATCH(AQ25,INDIRECT("'"&amp;$B25&amp;"'!$AI$6:$AI$205"),0)))</f>
        <v/>
      </c>
    </row>
    <row r="26">
      <c r="A26" s="34">
        <f>IF(AP26="","",21)</f>
        <v/>
      </c>
      <c r="B26" s="35">
        <f>IF(AP26="","",INDEX($AL$6:$AL$9,AP26))</f>
        <v/>
      </c>
      <c r="C26" s="34">
        <f>IF(AP26="","",INDEX(INDIRECT("'"&amp;$B26&amp;"'!$B$6:$B$205"),MATCH($AR26,INDIRECT("'"&amp;$B26&amp;"'!$AE$6:$AE$205"),0)))</f>
        <v/>
      </c>
      <c r="D26" s="34">
        <f>IF(AP26="","",INDEX(INDIRECT("'"&amp;$B26&amp;"'!$D$6:$D$205"),MATCH($AR26,INDIRECT("'"&amp;$B26&amp;"'!$AE$6:$AE$205"),0)))</f>
        <v/>
      </c>
      <c r="E26" s="36">
        <f>IF(AP26="","",INDEX(INDIRECT("'"&amp;$B26&amp;"'!$F$6:$F$205"),MATCH($AR26,INDIRECT("'"&amp;$B26&amp;"'!$AE$6:$AE$205"),0)))</f>
        <v/>
      </c>
      <c r="F26" s="34">
        <f>IF(AP26="","",INDEX(INDIRECT("'"&amp;$B26&amp;"'!$K$6:$K$205"),MATCH($AR26,INDIRECT("'"&amp;$B26&amp;"'!$AE$6:$AE$205"),0)))</f>
        <v/>
      </c>
      <c r="G26" s="34">
        <f>IF(AP26="","",INDEX(INDIRECT("'"&amp;$B26&amp;"'!$L$6:$L$205"),MATCH($AR26,INDIRECT("'"&amp;$B26&amp;"'!$AE$6:$AE$205"),0)))</f>
        <v/>
      </c>
      <c r="H26" s="34">
        <f>IF(OR(AP26="",H$5="-"),"",IFERROR(IF(INDEX(INDIRECT("'"&amp;$B26&amp;"'!$N$6:$N$205"),MATCH($AR26&amp;"|"&amp;H$5,INDIRECT("'"&amp;$B26&amp;"'!$AF$6:$AF$205"),0))="","",INDEX(INDIRECT("'"&amp;$B26&amp;"'!$N$6:$N$205"),MATCH($AR26&amp;"|"&amp;H$5,INDIRECT("'"&amp;$B26&amp;"'!$AF$6:$AF$205"),0))),"-"))</f>
        <v/>
      </c>
      <c r="I26" s="34">
        <f>IF(OR(AP26="",I$5="-"),"",IFERROR(IF(INDEX(INDIRECT("'"&amp;$B26&amp;"'!$N$6:$N$205"),MATCH($AR26&amp;"|"&amp;I$5,INDIRECT("'"&amp;$B26&amp;"'!$AF$6:$AF$205"),0))="","",INDEX(INDIRECT("'"&amp;$B26&amp;"'!$N$6:$N$205"),MATCH($AR26&amp;"|"&amp;I$5,INDIRECT("'"&amp;$B26&amp;"'!$AF$6:$AF$205"),0))),"-"))</f>
        <v/>
      </c>
      <c r="J26" s="34">
        <f>IF(OR(AP26="",J$5="-"),"",IFERROR(IF(INDEX(INDIRECT("'"&amp;$B26&amp;"'!$N$6:$N$205"),MATCH($AR26&amp;"|"&amp;J$5,INDIRECT("'"&amp;$B26&amp;"'!$AF$6:$AF$205"),0))="","",INDEX(INDIRECT("'"&amp;$B26&amp;"'!$N$6:$N$205"),MATCH($AR26&amp;"|"&amp;J$5,INDIRECT("'"&amp;$B26&amp;"'!$AF$6:$AF$205"),0))),"-"))</f>
        <v/>
      </c>
      <c r="K26" s="34">
        <f>IF(OR(AP26="",K$5="-"),"",IFERROR(IF(INDEX(INDIRECT("'"&amp;$B26&amp;"'!$N$6:$N$205"),MATCH($AR26&amp;"|"&amp;K$5,INDIRECT("'"&amp;$B26&amp;"'!$AF$6:$AF$205"),0))="","",INDEX(INDIRECT("'"&amp;$B26&amp;"'!$N$6:$N$205"),MATCH($AR26&amp;"|"&amp;K$5,INDIRECT("'"&amp;$B26&amp;"'!$AF$6:$AF$205"),0))),"-"))</f>
        <v/>
      </c>
      <c r="L26" s="34">
        <f>IF(OR(AP26="",L$5="-"),"",IFERROR(IF(INDEX(INDIRECT("'"&amp;$B26&amp;"'!$N$6:$N$205"),MATCH($AR26&amp;"|"&amp;L$5,INDIRECT("'"&amp;$B26&amp;"'!$AF$6:$AF$205"),0))="","",INDEX(INDIRECT("'"&amp;$B26&amp;"'!$N$6:$N$205"),MATCH($AR26&amp;"|"&amp;L$5,INDIRECT("'"&amp;$B26&amp;"'!$AF$6:$AF$205"),0))),"-"))</f>
        <v/>
      </c>
      <c r="M26" s="34">
        <f>IF(OR(AP26="",M$5="-"),"",IFERROR(IF(INDEX(INDIRECT("'"&amp;$B26&amp;"'!$N$6:$N$205"),MATCH($AR26&amp;"|"&amp;M$5,INDIRECT("'"&amp;$B26&amp;"'!$AF$6:$AF$205"),0))="","",INDEX(INDIRECT("'"&amp;$B26&amp;"'!$N$6:$N$205"),MATCH($AR26&amp;"|"&amp;M$5,INDIRECT("'"&amp;$B26&amp;"'!$AF$6:$AF$205"),0))),"-"))</f>
        <v/>
      </c>
      <c r="N26" s="34">
        <f>IF(OR(AP26="",N$5="-"),"",IFERROR(IF(INDEX(INDIRECT("'"&amp;$B26&amp;"'!$N$6:$N$205"),MATCH($AR26&amp;"|"&amp;N$5,INDIRECT("'"&amp;$B26&amp;"'!$AF$6:$AF$205"),0))="","",INDEX(INDIRECT("'"&amp;$B26&amp;"'!$N$6:$N$205"),MATCH($AR26&amp;"|"&amp;N$5,INDIRECT("'"&amp;$B26&amp;"'!$AF$6:$AF$205"),0))),"-"))</f>
        <v/>
      </c>
      <c r="O26" s="34">
        <f>IF(OR(AP26="",O$5="-"),"",IFERROR(IF(INDEX(INDIRECT("'"&amp;$B26&amp;"'!$N$6:$N$205"),MATCH($AR26&amp;"|"&amp;O$5,INDIRECT("'"&amp;$B26&amp;"'!$AF$6:$AF$205"),0))="","",INDEX(INDIRECT("'"&amp;$B26&amp;"'!$N$6:$N$205"),MATCH($AR26&amp;"|"&amp;O$5,INDIRECT("'"&amp;$B26&amp;"'!$AF$6:$AF$205"),0))),"-"))</f>
        <v/>
      </c>
      <c r="P26" s="37">
        <f>IF(OR(AP26="",P$5="-"),"",IFERROR(IF(INDEX(INDIRECT("'"&amp;$B26&amp;"'!$R$6:$R$205"),MATCH($AR26&amp;"|"&amp;P$5,INDIRECT("'"&amp;$B26&amp;"'!$AF$6:$AF$205"),0))="","",INDEX(INDIRECT("'"&amp;$B26&amp;"'!$R$6:$R$205"),MATCH($AR26&amp;"|"&amp;P$5,INDIRECT("'"&amp;$B26&amp;"'!$AF$6:$AF$205"),0))),"-"))</f>
        <v/>
      </c>
      <c r="Q26" s="37">
        <f>IF(OR(AP26="",Q$5="-"),"",IFERROR(IF(INDEX(INDIRECT("'"&amp;$B26&amp;"'!$R$6:$R$205"),MATCH($AR26&amp;"|"&amp;Q$5,INDIRECT("'"&amp;$B26&amp;"'!$AF$6:$AF$205"),0))="","",INDEX(INDIRECT("'"&amp;$B26&amp;"'!$R$6:$R$205"),MATCH($AR26&amp;"|"&amp;Q$5,INDIRECT("'"&amp;$B26&amp;"'!$AF$6:$AF$205"),0))),"-"))</f>
        <v/>
      </c>
      <c r="R26" s="37">
        <f>IF(OR(AP26="",R$5="-"),"",IFERROR(IF(INDEX(INDIRECT("'"&amp;$B26&amp;"'!$R$6:$R$205"),MATCH($AR26&amp;"|"&amp;R$5,INDIRECT("'"&amp;$B26&amp;"'!$AF$6:$AF$205"),0))="","",INDEX(INDIRECT("'"&amp;$B26&amp;"'!$R$6:$R$205"),MATCH($AR26&amp;"|"&amp;R$5,INDIRECT("'"&amp;$B26&amp;"'!$AF$6:$AF$205"),0))),"-"))</f>
        <v/>
      </c>
      <c r="S26" s="37">
        <f>IF(OR(AP26="",S$5="-"),"",IFERROR(IF(INDEX(INDIRECT("'"&amp;$B26&amp;"'!$R$6:$R$205"),MATCH($AR26&amp;"|"&amp;S$5,INDIRECT("'"&amp;$B26&amp;"'!$AF$6:$AF$205"),0))="","",INDEX(INDIRECT("'"&amp;$B26&amp;"'!$R$6:$R$205"),MATCH($AR26&amp;"|"&amp;S$5,INDIRECT("'"&amp;$B26&amp;"'!$AF$6:$AF$205"),0))),"-"))</f>
        <v/>
      </c>
      <c r="T26" s="37">
        <f>IF(OR(AP26="",T$5="-"),"",IFERROR(IF(INDEX(INDIRECT("'"&amp;$B26&amp;"'!$R$6:$R$205"),MATCH($AR26&amp;"|"&amp;T$5,INDIRECT("'"&amp;$B26&amp;"'!$AF$6:$AF$205"),0))="","",INDEX(INDIRECT("'"&amp;$B26&amp;"'!$R$6:$R$205"),MATCH($AR26&amp;"|"&amp;T$5,INDIRECT("'"&amp;$B26&amp;"'!$AF$6:$AF$205"),0))),"-"))</f>
        <v/>
      </c>
      <c r="U26" s="37">
        <f>IF(OR(AP26="",U$5="-"),"",IFERROR(IF(INDEX(INDIRECT("'"&amp;$B26&amp;"'!$R$6:$R$205"),MATCH($AR26&amp;"|"&amp;U$5,INDIRECT("'"&amp;$B26&amp;"'!$AF$6:$AF$205"),0))="","",INDEX(INDIRECT("'"&amp;$B26&amp;"'!$R$6:$R$205"),MATCH($AR26&amp;"|"&amp;U$5,INDIRECT("'"&amp;$B26&amp;"'!$AF$6:$AF$205"),0))),"-"))</f>
        <v/>
      </c>
      <c r="V26" s="37">
        <f>IF(OR(AP26="",V$5="-"),"",IFERROR(IF(INDEX(INDIRECT("'"&amp;$B26&amp;"'!$R$6:$R$205"),MATCH($AR26&amp;"|"&amp;V$5,INDIRECT("'"&amp;$B26&amp;"'!$AF$6:$AF$205"),0))="","",INDEX(INDIRECT("'"&amp;$B26&amp;"'!$R$6:$R$205"),MATCH($AR26&amp;"|"&amp;V$5,INDIRECT("'"&amp;$B26&amp;"'!$AF$6:$AF$205"),0))),"-"))</f>
        <v/>
      </c>
      <c r="W26" s="37">
        <f>IF(OR(AP26="",W$5="-"),"",IFERROR(IF(INDEX(INDIRECT("'"&amp;$B26&amp;"'!$R$6:$R$205"),MATCH($AR26&amp;"|"&amp;W$5,INDIRECT("'"&amp;$B26&amp;"'!$AF$6:$AF$205"),0))="","",INDEX(INDIRECT("'"&amp;$B26&amp;"'!$R$6:$R$205"),MATCH($AR26&amp;"|"&amp;W$5,INDIRECT("'"&amp;$B26&amp;"'!$AF$6:$AF$205"),0))),"-"))</f>
        <v/>
      </c>
      <c r="X26" s="38">
        <f>IF(OR(AP26="",X$5="-"),"",IFERROR(IF(INDEX(INDIRECT("'"&amp;$B26&amp;"'!$T$6:$T$205"),MATCH($AR26&amp;"|"&amp;X$5,INDIRECT("'"&amp;$B26&amp;"'!$AF$6:$AF$205"),0))="","",INDEX(INDIRECT("'"&amp;$B26&amp;"'!$T$6:$T$205"),MATCH($AR26&amp;"|"&amp;X$5,INDIRECT("'"&amp;$B26&amp;"'!$AF$6:$AF$205"),0))),"-"))</f>
        <v/>
      </c>
      <c r="Y26" s="38">
        <f>IF(OR(AP26="",Y$5="-"),"",IFERROR(IF(INDEX(INDIRECT("'"&amp;$B26&amp;"'!$T$6:$T$205"),MATCH($AR26&amp;"|"&amp;Y$5,INDIRECT("'"&amp;$B26&amp;"'!$AF$6:$AF$205"),0))="","",INDEX(INDIRECT("'"&amp;$B26&amp;"'!$T$6:$T$205"),MATCH($AR26&amp;"|"&amp;Y$5,INDIRECT("'"&amp;$B26&amp;"'!$AF$6:$AF$205"),0))),"-"))</f>
        <v/>
      </c>
      <c r="Z26" s="38">
        <f>IF(OR(AP26="",Z$5="-"),"",IFERROR(IF(INDEX(INDIRECT("'"&amp;$B26&amp;"'!$T$6:$T$205"),MATCH($AR26&amp;"|"&amp;Z$5,INDIRECT("'"&amp;$B26&amp;"'!$AF$6:$AF$205"),0))="","",INDEX(INDIRECT("'"&amp;$B26&amp;"'!$T$6:$T$205"),MATCH($AR26&amp;"|"&amp;Z$5,INDIRECT("'"&amp;$B26&amp;"'!$AF$6:$AF$205"),0))),"-"))</f>
        <v/>
      </c>
      <c r="AA26" s="38">
        <f>IF(OR(AP26="",AA$5="-"),"",IFERROR(IF(INDEX(INDIRECT("'"&amp;$B26&amp;"'!$T$6:$T$205"),MATCH($AR26&amp;"|"&amp;AA$5,INDIRECT("'"&amp;$B26&amp;"'!$AF$6:$AF$205"),0))="","",INDEX(INDIRECT("'"&amp;$B26&amp;"'!$T$6:$T$205"),MATCH($AR26&amp;"|"&amp;AA$5,INDIRECT("'"&amp;$B26&amp;"'!$AF$6:$AF$205"),0))),"-"))</f>
        <v/>
      </c>
      <c r="AB26" s="38">
        <f>IF(OR(AP26="",AB$5="-"),"",IFERROR(IF(INDEX(INDIRECT("'"&amp;$B26&amp;"'!$T$6:$T$205"),MATCH($AR26&amp;"|"&amp;AB$5,INDIRECT("'"&amp;$B26&amp;"'!$AF$6:$AF$205"),0))="","",INDEX(INDIRECT("'"&amp;$B26&amp;"'!$T$6:$T$205"),MATCH($AR26&amp;"|"&amp;AB$5,INDIRECT("'"&amp;$B26&amp;"'!$AF$6:$AF$205"),0))),"-"))</f>
        <v/>
      </c>
      <c r="AC26" s="38">
        <f>IF(OR(AP26="",AC$5="-"),"",IFERROR(IF(INDEX(INDIRECT("'"&amp;$B26&amp;"'!$T$6:$T$205"),MATCH($AR26&amp;"|"&amp;AC$5,INDIRECT("'"&amp;$B26&amp;"'!$AF$6:$AF$205"),0))="","",INDEX(INDIRECT("'"&amp;$B26&amp;"'!$T$6:$T$205"),MATCH($AR26&amp;"|"&amp;AC$5,INDIRECT("'"&amp;$B26&amp;"'!$AF$6:$AF$205"),0))),"-"))</f>
        <v/>
      </c>
      <c r="AD26" s="38">
        <f>IF(OR(AP26="",AD$5="-"),"",IFERROR(IF(INDEX(INDIRECT("'"&amp;$B26&amp;"'!$T$6:$T$205"),MATCH($AR26&amp;"|"&amp;AD$5,INDIRECT("'"&amp;$B26&amp;"'!$AF$6:$AF$205"),0))="","",INDEX(INDIRECT("'"&amp;$B26&amp;"'!$T$6:$T$205"),MATCH($AR26&amp;"|"&amp;AD$5,INDIRECT("'"&amp;$B26&amp;"'!$AF$6:$AF$205"),0))),"-"))</f>
        <v/>
      </c>
      <c r="AE26" s="38">
        <f>IF(OR(AP26="",AE$5="-"),"",IFERROR(IF(INDEX(INDIRECT("'"&amp;$B26&amp;"'!$T$6:$T$205"),MATCH($AR26&amp;"|"&amp;AE$5,INDIRECT("'"&amp;$B26&amp;"'!$AF$6:$AF$205"),0))="","",INDEX(INDIRECT("'"&amp;$B26&amp;"'!$T$6:$T$205"),MATCH($AR26&amp;"|"&amp;AE$5,INDIRECT("'"&amp;$B26&amp;"'!$AF$6:$AF$205"),0))),"-"))</f>
        <v/>
      </c>
      <c r="AF26" s="35">
        <f>IF(AG26="","",INDEX($P$5:$W$5,MATCH(AG26,P26:W26,0)))</f>
        <v/>
      </c>
      <c r="AG26" s="37">
        <f>IF(COUNT(P26:W26)=0,"",MIN(P26:W26))</f>
        <v/>
      </c>
      <c r="AH26" s="39">
        <f>IF(AG26="","",AG26*F26)</f>
        <v/>
      </c>
      <c r="AI26" s="39">
        <f>IF(COUNT(P26:W26)&lt;2,"",(MAX(P26:W26)-MIN(P26:W26))*F26)</f>
        <v/>
      </c>
      <c r="AJ26" s="20" t="n"/>
      <c r="AP26">
        <f>IF(21&gt;MAX($AN$6:$AN$9),"",COUNTIF($AN$6:$AN$9,"&lt;"&amp;21)+1)</f>
        <v/>
      </c>
      <c r="AQ26">
        <f>IF(AP26="","",21-INDEX($AO$6:$AO$9,AP26))</f>
        <v/>
      </c>
      <c r="AR26">
        <f>IF(AP26="","",INDEX(INDIRECT("'"&amp;$B26&amp;"'!$AE$6:$AE$205"),MATCH(AQ26,INDIRECT("'"&amp;$B26&amp;"'!$AI$6:$AI$205"),0)))</f>
        <v/>
      </c>
    </row>
    <row r="27">
      <c r="A27" s="34">
        <f>IF(AP27="","",22)</f>
        <v/>
      </c>
      <c r="B27" s="35">
        <f>IF(AP27="","",INDEX($AL$6:$AL$9,AP27))</f>
        <v/>
      </c>
      <c r="C27" s="34">
        <f>IF(AP27="","",INDEX(INDIRECT("'"&amp;$B27&amp;"'!$B$6:$B$205"),MATCH($AR27,INDIRECT("'"&amp;$B27&amp;"'!$AE$6:$AE$205"),0)))</f>
        <v/>
      </c>
      <c r="D27" s="34">
        <f>IF(AP27="","",INDEX(INDIRECT("'"&amp;$B27&amp;"'!$D$6:$D$205"),MATCH($AR27,INDIRECT("'"&amp;$B27&amp;"'!$AE$6:$AE$205"),0)))</f>
        <v/>
      </c>
      <c r="E27" s="36">
        <f>IF(AP27="","",INDEX(INDIRECT("'"&amp;$B27&amp;"'!$F$6:$F$205"),MATCH($AR27,INDIRECT("'"&amp;$B27&amp;"'!$AE$6:$AE$205"),0)))</f>
        <v/>
      </c>
      <c r="F27" s="34">
        <f>IF(AP27="","",INDEX(INDIRECT("'"&amp;$B27&amp;"'!$K$6:$K$205"),MATCH($AR27,INDIRECT("'"&amp;$B27&amp;"'!$AE$6:$AE$205"),0)))</f>
        <v/>
      </c>
      <c r="G27" s="34">
        <f>IF(AP27="","",INDEX(INDIRECT("'"&amp;$B27&amp;"'!$L$6:$L$205"),MATCH($AR27,INDIRECT("'"&amp;$B27&amp;"'!$AE$6:$AE$205"),0)))</f>
        <v/>
      </c>
      <c r="H27" s="34">
        <f>IF(OR(AP27="",H$5="-"),"",IFERROR(IF(INDEX(INDIRECT("'"&amp;$B27&amp;"'!$N$6:$N$205"),MATCH($AR27&amp;"|"&amp;H$5,INDIRECT("'"&amp;$B27&amp;"'!$AF$6:$AF$205"),0))="","",INDEX(INDIRECT("'"&amp;$B27&amp;"'!$N$6:$N$205"),MATCH($AR27&amp;"|"&amp;H$5,INDIRECT("'"&amp;$B27&amp;"'!$AF$6:$AF$205"),0))),"-"))</f>
        <v/>
      </c>
      <c r="I27" s="34">
        <f>IF(OR(AP27="",I$5="-"),"",IFERROR(IF(INDEX(INDIRECT("'"&amp;$B27&amp;"'!$N$6:$N$205"),MATCH($AR27&amp;"|"&amp;I$5,INDIRECT("'"&amp;$B27&amp;"'!$AF$6:$AF$205"),0))="","",INDEX(INDIRECT("'"&amp;$B27&amp;"'!$N$6:$N$205"),MATCH($AR27&amp;"|"&amp;I$5,INDIRECT("'"&amp;$B27&amp;"'!$AF$6:$AF$205"),0))),"-"))</f>
        <v/>
      </c>
      <c r="J27" s="34">
        <f>IF(OR(AP27="",J$5="-"),"",IFERROR(IF(INDEX(INDIRECT("'"&amp;$B27&amp;"'!$N$6:$N$205"),MATCH($AR27&amp;"|"&amp;J$5,INDIRECT("'"&amp;$B27&amp;"'!$AF$6:$AF$205"),0))="","",INDEX(INDIRECT("'"&amp;$B27&amp;"'!$N$6:$N$205"),MATCH($AR27&amp;"|"&amp;J$5,INDIRECT("'"&amp;$B27&amp;"'!$AF$6:$AF$205"),0))),"-"))</f>
        <v/>
      </c>
      <c r="K27" s="34">
        <f>IF(OR(AP27="",K$5="-"),"",IFERROR(IF(INDEX(INDIRECT("'"&amp;$B27&amp;"'!$N$6:$N$205"),MATCH($AR27&amp;"|"&amp;K$5,INDIRECT("'"&amp;$B27&amp;"'!$AF$6:$AF$205"),0))="","",INDEX(INDIRECT("'"&amp;$B27&amp;"'!$N$6:$N$205"),MATCH($AR27&amp;"|"&amp;K$5,INDIRECT("'"&amp;$B27&amp;"'!$AF$6:$AF$205"),0))),"-"))</f>
        <v/>
      </c>
      <c r="L27" s="34">
        <f>IF(OR(AP27="",L$5="-"),"",IFERROR(IF(INDEX(INDIRECT("'"&amp;$B27&amp;"'!$N$6:$N$205"),MATCH($AR27&amp;"|"&amp;L$5,INDIRECT("'"&amp;$B27&amp;"'!$AF$6:$AF$205"),0))="","",INDEX(INDIRECT("'"&amp;$B27&amp;"'!$N$6:$N$205"),MATCH($AR27&amp;"|"&amp;L$5,INDIRECT("'"&amp;$B27&amp;"'!$AF$6:$AF$205"),0))),"-"))</f>
        <v/>
      </c>
      <c r="M27" s="34">
        <f>IF(OR(AP27="",M$5="-"),"",IFERROR(IF(INDEX(INDIRECT("'"&amp;$B27&amp;"'!$N$6:$N$205"),MATCH($AR27&amp;"|"&amp;M$5,INDIRECT("'"&amp;$B27&amp;"'!$AF$6:$AF$205"),0))="","",INDEX(INDIRECT("'"&amp;$B27&amp;"'!$N$6:$N$205"),MATCH($AR27&amp;"|"&amp;M$5,INDIRECT("'"&amp;$B27&amp;"'!$AF$6:$AF$205"),0))),"-"))</f>
        <v/>
      </c>
      <c r="N27" s="34">
        <f>IF(OR(AP27="",N$5="-"),"",IFERROR(IF(INDEX(INDIRECT("'"&amp;$B27&amp;"'!$N$6:$N$205"),MATCH($AR27&amp;"|"&amp;N$5,INDIRECT("'"&amp;$B27&amp;"'!$AF$6:$AF$205"),0))="","",INDEX(INDIRECT("'"&amp;$B27&amp;"'!$N$6:$N$205"),MATCH($AR27&amp;"|"&amp;N$5,INDIRECT("'"&amp;$B27&amp;"'!$AF$6:$AF$205"),0))),"-"))</f>
        <v/>
      </c>
      <c r="O27" s="34">
        <f>IF(OR(AP27="",O$5="-"),"",IFERROR(IF(INDEX(INDIRECT("'"&amp;$B27&amp;"'!$N$6:$N$205"),MATCH($AR27&amp;"|"&amp;O$5,INDIRECT("'"&amp;$B27&amp;"'!$AF$6:$AF$205"),0))="","",INDEX(INDIRECT("'"&amp;$B27&amp;"'!$N$6:$N$205"),MATCH($AR27&amp;"|"&amp;O$5,INDIRECT("'"&amp;$B27&amp;"'!$AF$6:$AF$205"),0))),"-"))</f>
        <v/>
      </c>
      <c r="P27" s="37">
        <f>IF(OR(AP27="",P$5="-"),"",IFERROR(IF(INDEX(INDIRECT("'"&amp;$B27&amp;"'!$R$6:$R$205"),MATCH($AR27&amp;"|"&amp;P$5,INDIRECT("'"&amp;$B27&amp;"'!$AF$6:$AF$205"),0))="","",INDEX(INDIRECT("'"&amp;$B27&amp;"'!$R$6:$R$205"),MATCH($AR27&amp;"|"&amp;P$5,INDIRECT("'"&amp;$B27&amp;"'!$AF$6:$AF$205"),0))),"-"))</f>
        <v/>
      </c>
      <c r="Q27" s="37">
        <f>IF(OR(AP27="",Q$5="-"),"",IFERROR(IF(INDEX(INDIRECT("'"&amp;$B27&amp;"'!$R$6:$R$205"),MATCH($AR27&amp;"|"&amp;Q$5,INDIRECT("'"&amp;$B27&amp;"'!$AF$6:$AF$205"),0))="","",INDEX(INDIRECT("'"&amp;$B27&amp;"'!$R$6:$R$205"),MATCH($AR27&amp;"|"&amp;Q$5,INDIRECT("'"&amp;$B27&amp;"'!$AF$6:$AF$205"),0))),"-"))</f>
        <v/>
      </c>
      <c r="R27" s="37">
        <f>IF(OR(AP27="",R$5="-"),"",IFERROR(IF(INDEX(INDIRECT("'"&amp;$B27&amp;"'!$R$6:$R$205"),MATCH($AR27&amp;"|"&amp;R$5,INDIRECT("'"&amp;$B27&amp;"'!$AF$6:$AF$205"),0))="","",INDEX(INDIRECT("'"&amp;$B27&amp;"'!$R$6:$R$205"),MATCH($AR27&amp;"|"&amp;R$5,INDIRECT("'"&amp;$B27&amp;"'!$AF$6:$AF$205"),0))),"-"))</f>
        <v/>
      </c>
      <c r="S27" s="37">
        <f>IF(OR(AP27="",S$5="-"),"",IFERROR(IF(INDEX(INDIRECT("'"&amp;$B27&amp;"'!$R$6:$R$205"),MATCH($AR27&amp;"|"&amp;S$5,INDIRECT("'"&amp;$B27&amp;"'!$AF$6:$AF$205"),0))="","",INDEX(INDIRECT("'"&amp;$B27&amp;"'!$R$6:$R$205"),MATCH($AR27&amp;"|"&amp;S$5,INDIRECT("'"&amp;$B27&amp;"'!$AF$6:$AF$205"),0))),"-"))</f>
        <v/>
      </c>
      <c r="T27" s="37">
        <f>IF(OR(AP27="",T$5="-"),"",IFERROR(IF(INDEX(INDIRECT("'"&amp;$B27&amp;"'!$R$6:$R$205"),MATCH($AR27&amp;"|"&amp;T$5,INDIRECT("'"&amp;$B27&amp;"'!$AF$6:$AF$205"),0))="","",INDEX(INDIRECT("'"&amp;$B27&amp;"'!$R$6:$R$205"),MATCH($AR27&amp;"|"&amp;T$5,INDIRECT("'"&amp;$B27&amp;"'!$AF$6:$AF$205"),0))),"-"))</f>
        <v/>
      </c>
      <c r="U27" s="37">
        <f>IF(OR(AP27="",U$5="-"),"",IFERROR(IF(INDEX(INDIRECT("'"&amp;$B27&amp;"'!$R$6:$R$205"),MATCH($AR27&amp;"|"&amp;U$5,INDIRECT("'"&amp;$B27&amp;"'!$AF$6:$AF$205"),0))="","",INDEX(INDIRECT("'"&amp;$B27&amp;"'!$R$6:$R$205"),MATCH($AR27&amp;"|"&amp;U$5,INDIRECT("'"&amp;$B27&amp;"'!$AF$6:$AF$205"),0))),"-"))</f>
        <v/>
      </c>
      <c r="V27" s="37">
        <f>IF(OR(AP27="",V$5="-"),"",IFERROR(IF(INDEX(INDIRECT("'"&amp;$B27&amp;"'!$R$6:$R$205"),MATCH($AR27&amp;"|"&amp;V$5,INDIRECT("'"&amp;$B27&amp;"'!$AF$6:$AF$205"),0))="","",INDEX(INDIRECT("'"&amp;$B27&amp;"'!$R$6:$R$205"),MATCH($AR27&amp;"|"&amp;V$5,INDIRECT("'"&amp;$B27&amp;"'!$AF$6:$AF$205"),0))),"-"))</f>
        <v/>
      </c>
      <c r="W27" s="37">
        <f>IF(OR(AP27="",W$5="-"),"",IFERROR(IF(INDEX(INDIRECT("'"&amp;$B27&amp;"'!$R$6:$R$205"),MATCH($AR27&amp;"|"&amp;W$5,INDIRECT("'"&amp;$B27&amp;"'!$AF$6:$AF$205"),0))="","",INDEX(INDIRECT("'"&amp;$B27&amp;"'!$R$6:$R$205"),MATCH($AR27&amp;"|"&amp;W$5,INDIRECT("'"&amp;$B27&amp;"'!$AF$6:$AF$205"),0))),"-"))</f>
        <v/>
      </c>
      <c r="X27" s="38">
        <f>IF(OR(AP27="",X$5="-"),"",IFERROR(IF(INDEX(INDIRECT("'"&amp;$B27&amp;"'!$T$6:$T$205"),MATCH($AR27&amp;"|"&amp;X$5,INDIRECT("'"&amp;$B27&amp;"'!$AF$6:$AF$205"),0))="","",INDEX(INDIRECT("'"&amp;$B27&amp;"'!$T$6:$T$205"),MATCH($AR27&amp;"|"&amp;X$5,INDIRECT("'"&amp;$B27&amp;"'!$AF$6:$AF$205"),0))),"-"))</f>
        <v/>
      </c>
      <c r="Y27" s="38">
        <f>IF(OR(AP27="",Y$5="-"),"",IFERROR(IF(INDEX(INDIRECT("'"&amp;$B27&amp;"'!$T$6:$T$205"),MATCH($AR27&amp;"|"&amp;Y$5,INDIRECT("'"&amp;$B27&amp;"'!$AF$6:$AF$205"),0))="","",INDEX(INDIRECT("'"&amp;$B27&amp;"'!$T$6:$T$205"),MATCH($AR27&amp;"|"&amp;Y$5,INDIRECT("'"&amp;$B27&amp;"'!$AF$6:$AF$205"),0))),"-"))</f>
        <v/>
      </c>
      <c r="Z27" s="38">
        <f>IF(OR(AP27="",Z$5="-"),"",IFERROR(IF(INDEX(INDIRECT("'"&amp;$B27&amp;"'!$T$6:$T$205"),MATCH($AR27&amp;"|"&amp;Z$5,INDIRECT("'"&amp;$B27&amp;"'!$AF$6:$AF$205"),0))="","",INDEX(INDIRECT("'"&amp;$B27&amp;"'!$T$6:$T$205"),MATCH($AR27&amp;"|"&amp;Z$5,INDIRECT("'"&amp;$B27&amp;"'!$AF$6:$AF$205"),0))),"-"))</f>
        <v/>
      </c>
      <c r="AA27" s="38">
        <f>IF(OR(AP27="",AA$5="-"),"",IFERROR(IF(INDEX(INDIRECT("'"&amp;$B27&amp;"'!$T$6:$T$205"),MATCH($AR27&amp;"|"&amp;AA$5,INDIRECT("'"&amp;$B27&amp;"'!$AF$6:$AF$205"),0))="","",INDEX(INDIRECT("'"&amp;$B27&amp;"'!$T$6:$T$205"),MATCH($AR27&amp;"|"&amp;AA$5,INDIRECT("'"&amp;$B27&amp;"'!$AF$6:$AF$205"),0))),"-"))</f>
        <v/>
      </c>
      <c r="AB27" s="38">
        <f>IF(OR(AP27="",AB$5="-"),"",IFERROR(IF(INDEX(INDIRECT("'"&amp;$B27&amp;"'!$T$6:$T$205"),MATCH($AR27&amp;"|"&amp;AB$5,INDIRECT("'"&amp;$B27&amp;"'!$AF$6:$AF$205"),0))="","",INDEX(INDIRECT("'"&amp;$B27&amp;"'!$T$6:$T$205"),MATCH($AR27&amp;"|"&amp;AB$5,INDIRECT("'"&amp;$B27&amp;"'!$AF$6:$AF$205"),0))),"-"))</f>
        <v/>
      </c>
      <c r="AC27" s="38">
        <f>IF(OR(AP27="",AC$5="-"),"",IFERROR(IF(INDEX(INDIRECT("'"&amp;$B27&amp;"'!$T$6:$T$205"),MATCH($AR27&amp;"|"&amp;AC$5,INDIRECT("'"&amp;$B27&amp;"'!$AF$6:$AF$205"),0))="","",INDEX(INDIRECT("'"&amp;$B27&amp;"'!$T$6:$T$205"),MATCH($AR27&amp;"|"&amp;AC$5,INDIRECT("'"&amp;$B27&amp;"'!$AF$6:$AF$205"),0))),"-"))</f>
        <v/>
      </c>
      <c r="AD27" s="38">
        <f>IF(OR(AP27="",AD$5="-"),"",IFERROR(IF(INDEX(INDIRECT("'"&amp;$B27&amp;"'!$T$6:$T$205"),MATCH($AR27&amp;"|"&amp;AD$5,INDIRECT("'"&amp;$B27&amp;"'!$AF$6:$AF$205"),0))="","",INDEX(INDIRECT("'"&amp;$B27&amp;"'!$T$6:$T$205"),MATCH($AR27&amp;"|"&amp;AD$5,INDIRECT("'"&amp;$B27&amp;"'!$AF$6:$AF$205"),0))),"-"))</f>
        <v/>
      </c>
      <c r="AE27" s="38">
        <f>IF(OR(AP27="",AE$5="-"),"",IFERROR(IF(INDEX(INDIRECT("'"&amp;$B27&amp;"'!$T$6:$T$205"),MATCH($AR27&amp;"|"&amp;AE$5,INDIRECT("'"&amp;$B27&amp;"'!$AF$6:$AF$205"),0))="","",INDEX(INDIRECT("'"&amp;$B27&amp;"'!$T$6:$T$205"),MATCH($AR27&amp;"|"&amp;AE$5,INDIRECT("'"&amp;$B27&amp;"'!$AF$6:$AF$205"),0))),"-"))</f>
        <v/>
      </c>
      <c r="AF27" s="35">
        <f>IF(AG27="","",INDEX($P$5:$W$5,MATCH(AG27,P27:W27,0)))</f>
        <v/>
      </c>
      <c r="AG27" s="37">
        <f>IF(COUNT(P27:W27)=0,"",MIN(P27:W27))</f>
        <v/>
      </c>
      <c r="AH27" s="39">
        <f>IF(AG27="","",AG27*F27)</f>
        <v/>
      </c>
      <c r="AI27" s="39">
        <f>IF(COUNT(P27:W27)&lt;2,"",(MAX(P27:W27)-MIN(P27:W27))*F27)</f>
        <v/>
      </c>
      <c r="AJ27" s="20" t="n"/>
      <c r="AP27">
        <f>IF(22&gt;MAX($AN$6:$AN$9),"",COUNTIF($AN$6:$AN$9,"&lt;"&amp;22)+1)</f>
        <v/>
      </c>
      <c r="AQ27">
        <f>IF(AP27="","",22-INDEX($AO$6:$AO$9,AP27))</f>
        <v/>
      </c>
      <c r="AR27">
        <f>IF(AP27="","",INDEX(INDIRECT("'"&amp;$B27&amp;"'!$AE$6:$AE$205"),MATCH(AQ27,INDIRECT("'"&amp;$B27&amp;"'!$AI$6:$AI$205"),0)))</f>
        <v/>
      </c>
    </row>
    <row r="28">
      <c r="A28" s="34">
        <f>IF(AP28="","",23)</f>
        <v/>
      </c>
      <c r="B28" s="35">
        <f>IF(AP28="","",INDEX($AL$6:$AL$9,AP28))</f>
        <v/>
      </c>
      <c r="C28" s="34">
        <f>IF(AP28="","",INDEX(INDIRECT("'"&amp;$B28&amp;"'!$B$6:$B$205"),MATCH($AR28,INDIRECT("'"&amp;$B28&amp;"'!$AE$6:$AE$205"),0)))</f>
        <v/>
      </c>
      <c r="D28" s="34">
        <f>IF(AP28="","",INDEX(INDIRECT("'"&amp;$B28&amp;"'!$D$6:$D$205"),MATCH($AR28,INDIRECT("'"&amp;$B28&amp;"'!$AE$6:$AE$205"),0)))</f>
        <v/>
      </c>
      <c r="E28" s="36">
        <f>IF(AP28="","",INDEX(INDIRECT("'"&amp;$B28&amp;"'!$F$6:$F$205"),MATCH($AR28,INDIRECT("'"&amp;$B28&amp;"'!$AE$6:$AE$205"),0)))</f>
        <v/>
      </c>
      <c r="F28" s="34">
        <f>IF(AP28="","",INDEX(INDIRECT("'"&amp;$B28&amp;"'!$K$6:$K$205"),MATCH($AR28,INDIRECT("'"&amp;$B28&amp;"'!$AE$6:$AE$205"),0)))</f>
        <v/>
      </c>
      <c r="G28" s="34">
        <f>IF(AP28="","",INDEX(INDIRECT("'"&amp;$B28&amp;"'!$L$6:$L$205"),MATCH($AR28,INDIRECT("'"&amp;$B28&amp;"'!$AE$6:$AE$205"),0)))</f>
        <v/>
      </c>
      <c r="H28" s="34">
        <f>IF(OR(AP28="",H$5="-"),"",IFERROR(IF(INDEX(INDIRECT("'"&amp;$B28&amp;"'!$N$6:$N$205"),MATCH($AR28&amp;"|"&amp;H$5,INDIRECT("'"&amp;$B28&amp;"'!$AF$6:$AF$205"),0))="","",INDEX(INDIRECT("'"&amp;$B28&amp;"'!$N$6:$N$205"),MATCH($AR28&amp;"|"&amp;H$5,INDIRECT("'"&amp;$B28&amp;"'!$AF$6:$AF$205"),0))),"-"))</f>
        <v/>
      </c>
      <c r="I28" s="34">
        <f>IF(OR(AP28="",I$5="-"),"",IFERROR(IF(INDEX(INDIRECT("'"&amp;$B28&amp;"'!$N$6:$N$205"),MATCH($AR28&amp;"|"&amp;I$5,INDIRECT("'"&amp;$B28&amp;"'!$AF$6:$AF$205"),0))="","",INDEX(INDIRECT("'"&amp;$B28&amp;"'!$N$6:$N$205"),MATCH($AR28&amp;"|"&amp;I$5,INDIRECT("'"&amp;$B28&amp;"'!$AF$6:$AF$205"),0))),"-"))</f>
        <v/>
      </c>
      <c r="J28" s="34">
        <f>IF(OR(AP28="",J$5="-"),"",IFERROR(IF(INDEX(INDIRECT("'"&amp;$B28&amp;"'!$N$6:$N$205"),MATCH($AR28&amp;"|"&amp;J$5,INDIRECT("'"&amp;$B28&amp;"'!$AF$6:$AF$205"),0))="","",INDEX(INDIRECT("'"&amp;$B28&amp;"'!$N$6:$N$205"),MATCH($AR28&amp;"|"&amp;J$5,INDIRECT("'"&amp;$B28&amp;"'!$AF$6:$AF$205"),0))),"-"))</f>
        <v/>
      </c>
      <c r="K28" s="34">
        <f>IF(OR(AP28="",K$5="-"),"",IFERROR(IF(INDEX(INDIRECT("'"&amp;$B28&amp;"'!$N$6:$N$205"),MATCH($AR28&amp;"|"&amp;K$5,INDIRECT("'"&amp;$B28&amp;"'!$AF$6:$AF$205"),0))="","",INDEX(INDIRECT("'"&amp;$B28&amp;"'!$N$6:$N$205"),MATCH($AR28&amp;"|"&amp;K$5,INDIRECT("'"&amp;$B28&amp;"'!$AF$6:$AF$205"),0))),"-"))</f>
        <v/>
      </c>
      <c r="L28" s="34">
        <f>IF(OR(AP28="",L$5="-"),"",IFERROR(IF(INDEX(INDIRECT("'"&amp;$B28&amp;"'!$N$6:$N$205"),MATCH($AR28&amp;"|"&amp;L$5,INDIRECT("'"&amp;$B28&amp;"'!$AF$6:$AF$205"),0))="","",INDEX(INDIRECT("'"&amp;$B28&amp;"'!$N$6:$N$205"),MATCH($AR28&amp;"|"&amp;L$5,INDIRECT("'"&amp;$B28&amp;"'!$AF$6:$AF$205"),0))),"-"))</f>
        <v/>
      </c>
      <c r="M28" s="34">
        <f>IF(OR(AP28="",M$5="-"),"",IFERROR(IF(INDEX(INDIRECT("'"&amp;$B28&amp;"'!$N$6:$N$205"),MATCH($AR28&amp;"|"&amp;M$5,INDIRECT("'"&amp;$B28&amp;"'!$AF$6:$AF$205"),0))="","",INDEX(INDIRECT("'"&amp;$B28&amp;"'!$N$6:$N$205"),MATCH($AR28&amp;"|"&amp;M$5,INDIRECT("'"&amp;$B28&amp;"'!$AF$6:$AF$205"),0))),"-"))</f>
        <v/>
      </c>
      <c r="N28" s="34">
        <f>IF(OR(AP28="",N$5="-"),"",IFERROR(IF(INDEX(INDIRECT("'"&amp;$B28&amp;"'!$N$6:$N$205"),MATCH($AR28&amp;"|"&amp;N$5,INDIRECT("'"&amp;$B28&amp;"'!$AF$6:$AF$205"),0))="","",INDEX(INDIRECT("'"&amp;$B28&amp;"'!$N$6:$N$205"),MATCH($AR28&amp;"|"&amp;N$5,INDIRECT("'"&amp;$B28&amp;"'!$AF$6:$AF$205"),0))),"-"))</f>
        <v/>
      </c>
      <c r="O28" s="34">
        <f>IF(OR(AP28="",O$5="-"),"",IFERROR(IF(INDEX(INDIRECT("'"&amp;$B28&amp;"'!$N$6:$N$205"),MATCH($AR28&amp;"|"&amp;O$5,INDIRECT("'"&amp;$B28&amp;"'!$AF$6:$AF$205"),0))="","",INDEX(INDIRECT("'"&amp;$B28&amp;"'!$N$6:$N$205"),MATCH($AR28&amp;"|"&amp;O$5,INDIRECT("'"&amp;$B28&amp;"'!$AF$6:$AF$205"),0))),"-"))</f>
        <v/>
      </c>
      <c r="P28" s="37">
        <f>IF(OR(AP28="",P$5="-"),"",IFERROR(IF(INDEX(INDIRECT("'"&amp;$B28&amp;"'!$R$6:$R$205"),MATCH($AR28&amp;"|"&amp;P$5,INDIRECT("'"&amp;$B28&amp;"'!$AF$6:$AF$205"),0))="","",INDEX(INDIRECT("'"&amp;$B28&amp;"'!$R$6:$R$205"),MATCH($AR28&amp;"|"&amp;P$5,INDIRECT("'"&amp;$B28&amp;"'!$AF$6:$AF$205"),0))),"-"))</f>
        <v/>
      </c>
      <c r="Q28" s="37">
        <f>IF(OR(AP28="",Q$5="-"),"",IFERROR(IF(INDEX(INDIRECT("'"&amp;$B28&amp;"'!$R$6:$R$205"),MATCH($AR28&amp;"|"&amp;Q$5,INDIRECT("'"&amp;$B28&amp;"'!$AF$6:$AF$205"),0))="","",INDEX(INDIRECT("'"&amp;$B28&amp;"'!$R$6:$R$205"),MATCH($AR28&amp;"|"&amp;Q$5,INDIRECT("'"&amp;$B28&amp;"'!$AF$6:$AF$205"),0))),"-"))</f>
        <v/>
      </c>
      <c r="R28" s="37">
        <f>IF(OR(AP28="",R$5="-"),"",IFERROR(IF(INDEX(INDIRECT("'"&amp;$B28&amp;"'!$R$6:$R$205"),MATCH($AR28&amp;"|"&amp;R$5,INDIRECT("'"&amp;$B28&amp;"'!$AF$6:$AF$205"),0))="","",INDEX(INDIRECT("'"&amp;$B28&amp;"'!$R$6:$R$205"),MATCH($AR28&amp;"|"&amp;R$5,INDIRECT("'"&amp;$B28&amp;"'!$AF$6:$AF$205"),0))),"-"))</f>
        <v/>
      </c>
      <c r="S28" s="37">
        <f>IF(OR(AP28="",S$5="-"),"",IFERROR(IF(INDEX(INDIRECT("'"&amp;$B28&amp;"'!$R$6:$R$205"),MATCH($AR28&amp;"|"&amp;S$5,INDIRECT("'"&amp;$B28&amp;"'!$AF$6:$AF$205"),0))="","",INDEX(INDIRECT("'"&amp;$B28&amp;"'!$R$6:$R$205"),MATCH($AR28&amp;"|"&amp;S$5,INDIRECT("'"&amp;$B28&amp;"'!$AF$6:$AF$205"),0))),"-"))</f>
        <v/>
      </c>
      <c r="T28" s="37">
        <f>IF(OR(AP28="",T$5="-"),"",IFERROR(IF(INDEX(INDIRECT("'"&amp;$B28&amp;"'!$R$6:$R$205"),MATCH($AR28&amp;"|"&amp;T$5,INDIRECT("'"&amp;$B28&amp;"'!$AF$6:$AF$205"),0))="","",INDEX(INDIRECT("'"&amp;$B28&amp;"'!$R$6:$R$205"),MATCH($AR28&amp;"|"&amp;T$5,INDIRECT("'"&amp;$B28&amp;"'!$AF$6:$AF$205"),0))),"-"))</f>
        <v/>
      </c>
      <c r="U28" s="37">
        <f>IF(OR(AP28="",U$5="-"),"",IFERROR(IF(INDEX(INDIRECT("'"&amp;$B28&amp;"'!$R$6:$R$205"),MATCH($AR28&amp;"|"&amp;U$5,INDIRECT("'"&amp;$B28&amp;"'!$AF$6:$AF$205"),0))="","",INDEX(INDIRECT("'"&amp;$B28&amp;"'!$R$6:$R$205"),MATCH($AR28&amp;"|"&amp;U$5,INDIRECT("'"&amp;$B28&amp;"'!$AF$6:$AF$205"),0))),"-"))</f>
        <v/>
      </c>
      <c r="V28" s="37">
        <f>IF(OR(AP28="",V$5="-"),"",IFERROR(IF(INDEX(INDIRECT("'"&amp;$B28&amp;"'!$R$6:$R$205"),MATCH($AR28&amp;"|"&amp;V$5,INDIRECT("'"&amp;$B28&amp;"'!$AF$6:$AF$205"),0))="","",INDEX(INDIRECT("'"&amp;$B28&amp;"'!$R$6:$R$205"),MATCH($AR28&amp;"|"&amp;V$5,INDIRECT("'"&amp;$B28&amp;"'!$AF$6:$AF$205"),0))),"-"))</f>
        <v/>
      </c>
      <c r="W28" s="37">
        <f>IF(OR(AP28="",W$5="-"),"",IFERROR(IF(INDEX(INDIRECT("'"&amp;$B28&amp;"'!$R$6:$R$205"),MATCH($AR28&amp;"|"&amp;W$5,INDIRECT("'"&amp;$B28&amp;"'!$AF$6:$AF$205"),0))="","",INDEX(INDIRECT("'"&amp;$B28&amp;"'!$R$6:$R$205"),MATCH($AR28&amp;"|"&amp;W$5,INDIRECT("'"&amp;$B28&amp;"'!$AF$6:$AF$205"),0))),"-"))</f>
        <v/>
      </c>
      <c r="X28" s="38">
        <f>IF(OR(AP28="",X$5="-"),"",IFERROR(IF(INDEX(INDIRECT("'"&amp;$B28&amp;"'!$T$6:$T$205"),MATCH($AR28&amp;"|"&amp;X$5,INDIRECT("'"&amp;$B28&amp;"'!$AF$6:$AF$205"),0))="","",INDEX(INDIRECT("'"&amp;$B28&amp;"'!$T$6:$T$205"),MATCH($AR28&amp;"|"&amp;X$5,INDIRECT("'"&amp;$B28&amp;"'!$AF$6:$AF$205"),0))),"-"))</f>
        <v/>
      </c>
      <c r="Y28" s="38">
        <f>IF(OR(AP28="",Y$5="-"),"",IFERROR(IF(INDEX(INDIRECT("'"&amp;$B28&amp;"'!$T$6:$T$205"),MATCH($AR28&amp;"|"&amp;Y$5,INDIRECT("'"&amp;$B28&amp;"'!$AF$6:$AF$205"),0))="","",INDEX(INDIRECT("'"&amp;$B28&amp;"'!$T$6:$T$205"),MATCH($AR28&amp;"|"&amp;Y$5,INDIRECT("'"&amp;$B28&amp;"'!$AF$6:$AF$205"),0))),"-"))</f>
        <v/>
      </c>
      <c r="Z28" s="38">
        <f>IF(OR(AP28="",Z$5="-"),"",IFERROR(IF(INDEX(INDIRECT("'"&amp;$B28&amp;"'!$T$6:$T$205"),MATCH($AR28&amp;"|"&amp;Z$5,INDIRECT("'"&amp;$B28&amp;"'!$AF$6:$AF$205"),0))="","",INDEX(INDIRECT("'"&amp;$B28&amp;"'!$T$6:$T$205"),MATCH($AR28&amp;"|"&amp;Z$5,INDIRECT("'"&amp;$B28&amp;"'!$AF$6:$AF$205"),0))),"-"))</f>
        <v/>
      </c>
      <c r="AA28" s="38">
        <f>IF(OR(AP28="",AA$5="-"),"",IFERROR(IF(INDEX(INDIRECT("'"&amp;$B28&amp;"'!$T$6:$T$205"),MATCH($AR28&amp;"|"&amp;AA$5,INDIRECT("'"&amp;$B28&amp;"'!$AF$6:$AF$205"),0))="","",INDEX(INDIRECT("'"&amp;$B28&amp;"'!$T$6:$T$205"),MATCH($AR28&amp;"|"&amp;AA$5,INDIRECT("'"&amp;$B28&amp;"'!$AF$6:$AF$205"),0))),"-"))</f>
        <v/>
      </c>
      <c r="AB28" s="38">
        <f>IF(OR(AP28="",AB$5="-"),"",IFERROR(IF(INDEX(INDIRECT("'"&amp;$B28&amp;"'!$T$6:$T$205"),MATCH($AR28&amp;"|"&amp;AB$5,INDIRECT("'"&amp;$B28&amp;"'!$AF$6:$AF$205"),0))="","",INDEX(INDIRECT("'"&amp;$B28&amp;"'!$T$6:$T$205"),MATCH($AR28&amp;"|"&amp;AB$5,INDIRECT("'"&amp;$B28&amp;"'!$AF$6:$AF$205"),0))),"-"))</f>
        <v/>
      </c>
      <c r="AC28" s="38">
        <f>IF(OR(AP28="",AC$5="-"),"",IFERROR(IF(INDEX(INDIRECT("'"&amp;$B28&amp;"'!$T$6:$T$205"),MATCH($AR28&amp;"|"&amp;AC$5,INDIRECT("'"&amp;$B28&amp;"'!$AF$6:$AF$205"),0))="","",INDEX(INDIRECT("'"&amp;$B28&amp;"'!$T$6:$T$205"),MATCH($AR28&amp;"|"&amp;AC$5,INDIRECT("'"&amp;$B28&amp;"'!$AF$6:$AF$205"),0))),"-"))</f>
        <v/>
      </c>
      <c r="AD28" s="38">
        <f>IF(OR(AP28="",AD$5="-"),"",IFERROR(IF(INDEX(INDIRECT("'"&amp;$B28&amp;"'!$T$6:$T$205"),MATCH($AR28&amp;"|"&amp;AD$5,INDIRECT("'"&amp;$B28&amp;"'!$AF$6:$AF$205"),0))="","",INDEX(INDIRECT("'"&amp;$B28&amp;"'!$T$6:$T$205"),MATCH($AR28&amp;"|"&amp;AD$5,INDIRECT("'"&amp;$B28&amp;"'!$AF$6:$AF$205"),0))),"-"))</f>
        <v/>
      </c>
      <c r="AE28" s="38">
        <f>IF(OR(AP28="",AE$5="-"),"",IFERROR(IF(INDEX(INDIRECT("'"&amp;$B28&amp;"'!$T$6:$T$205"),MATCH($AR28&amp;"|"&amp;AE$5,INDIRECT("'"&amp;$B28&amp;"'!$AF$6:$AF$205"),0))="","",INDEX(INDIRECT("'"&amp;$B28&amp;"'!$T$6:$T$205"),MATCH($AR28&amp;"|"&amp;AE$5,INDIRECT("'"&amp;$B28&amp;"'!$AF$6:$AF$205"),0))),"-"))</f>
        <v/>
      </c>
      <c r="AF28" s="35">
        <f>IF(AG28="","",INDEX($P$5:$W$5,MATCH(AG28,P28:W28,0)))</f>
        <v/>
      </c>
      <c r="AG28" s="37">
        <f>IF(COUNT(P28:W28)=0,"",MIN(P28:W28))</f>
        <v/>
      </c>
      <c r="AH28" s="39">
        <f>IF(AG28="","",AG28*F28)</f>
        <v/>
      </c>
      <c r="AI28" s="39">
        <f>IF(COUNT(P28:W28)&lt;2,"",(MAX(P28:W28)-MIN(P28:W28))*F28)</f>
        <v/>
      </c>
      <c r="AJ28" s="20" t="n"/>
      <c r="AP28">
        <f>IF(23&gt;MAX($AN$6:$AN$9),"",COUNTIF($AN$6:$AN$9,"&lt;"&amp;23)+1)</f>
        <v/>
      </c>
      <c r="AQ28">
        <f>IF(AP28="","",23-INDEX($AO$6:$AO$9,AP28))</f>
        <v/>
      </c>
      <c r="AR28">
        <f>IF(AP28="","",INDEX(INDIRECT("'"&amp;$B28&amp;"'!$AE$6:$AE$205"),MATCH(AQ28,INDIRECT("'"&amp;$B28&amp;"'!$AI$6:$AI$205"),0)))</f>
        <v/>
      </c>
    </row>
    <row r="29">
      <c r="A29" s="34">
        <f>IF(AP29="","",24)</f>
        <v/>
      </c>
      <c r="B29" s="35">
        <f>IF(AP29="","",INDEX($AL$6:$AL$9,AP29))</f>
        <v/>
      </c>
      <c r="C29" s="34">
        <f>IF(AP29="","",INDEX(INDIRECT("'"&amp;$B29&amp;"'!$B$6:$B$205"),MATCH($AR29,INDIRECT("'"&amp;$B29&amp;"'!$AE$6:$AE$205"),0)))</f>
        <v/>
      </c>
      <c r="D29" s="34">
        <f>IF(AP29="","",INDEX(INDIRECT("'"&amp;$B29&amp;"'!$D$6:$D$205"),MATCH($AR29,INDIRECT("'"&amp;$B29&amp;"'!$AE$6:$AE$205"),0)))</f>
        <v/>
      </c>
      <c r="E29" s="36">
        <f>IF(AP29="","",INDEX(INDIRECT("'"&amp;$B29&amp;"'!$F$6:$F$205"),MATCH($AR29,INDIRECT("'"&amp;$B29&amp;"'!$AE$6:$AE$205"),0)))</f>
        <v/>
      </c>
      <c r="F29" s="34">
        <f>IF(AP29="","",INDEX(INDIRECT("'"&amp;$B29&amp;"'!$K$6:$K$205"),MATCH($AR29,INDIRECT("'"&amp;$B29&amp;"'!$AE$6:$AE$205"),0)))</f>
        <v/>
      </c>
      <c r="G29" s="34">
        <f>IF(AP29="","",INDEX(INDIRECT("'"&amp;$B29&amp;"'!$L$6:$L$205"),MATCH($AR29,INDIRECT("'"&amp;$B29&amp;"'!$AE$6:$AE$205"),0)))</f>
        <v/>
      </c>
      <c r="H29" s="34">
        <f>IF(OR(AP29="",H$5="-"),"",IFERROR(IF(INDEX(INDIRECT("'"&amp;$B29&amp;"'!$N$6:$N$205"),MATCH($AR29&amp;"|"&amp;H$5,INDIRECT("'"&amp;$B29&amp;"'!$AF$6:$AF$205"),0))="","",INDEX(INDIRECT("'"&amp;$B29&amp;"'!$N$6:$N$205"),MATCH($AR29&amp;"|"&amp;H$5,INDIRECT("'"&amp;$B29&amp;"'!$AF$6:$AF$205"),0))),"-"))</f>
        <v/>
      </c>
      <c r="I29" s="34">
        <f>IF(OR(AP29="",I$5="-"),"",IFERROR(IF(INDEX(INDIRECT("'"&amp;$B29&amp;"'!$N$6:$N$205"),MATCH($AR29&amp;"|"&amp;I$5,INDIRECT("'"&amp;$B29&amp;"'!$AF$6:$AF$205"),0))="","",INDEX(INDIRECT("'"&amp;$B29&amp;"'!$N$6:$N$205"),MATCH($AR29&amp;"|"&amp;I$5,INDIRECT("'"&amp;$B29&amp;"'!$AF$6:$AF$205"),0))),"-"))</f>
        <v/>
      </c>
      <c r="J29" s="34">
        <f>IF(OR(AP29="",J$5="-"),"",IFERROR(IF(INDEX(INDIRECT("'"&amp;$B29&amp;"'!$N$6:$N$205"),MATCH($AR29&amp;"|"&amp;J$5,INDIRECT("'"&amp;$B29&amp;"'!$AF$6:$AF$205"),0))="","",INDEX(INDIRECT("'"&amp;$B29&amp;"'!$N$6:$N$205"),MATCH($AR29&amp;"|"&amp;J$5,INDIRECT("'"&amp;$B29&amp;"'!$AF$6:$AF$205"),0))),"-"))</f>
        <v/>
      </c>
      <c r="K29" s="34">
        <f>IF(OR(AP29="",K$5="-"),"",IFERROR(IF(INDEX(INDIRECT("'"&amp;$B29&amp;"'!$N$6:$N$205"),MATCH($AR29&amp;"|"&amp;K$5,INDIRECT("'"&amp;$B29&amp;"'!$AF$6:$AF$205"),0))="","",INDEX(INDIRECT("'"&amp;$B29&amp;"'!$N$6:$N$205"),MATCH($AR29&amp;"|"&amp;K$5,INDIRECT("'"&amp;$B29&amp;"'!$AF$6:$AF$205"),0))),"-"))</f>
        <v/>
      </c>
      <c r="L29" s="34">
        <f>IF(OR(AP29="",L$5="-"),"",IFERROR(IF(INDEX(INDIRECT("'"&amp;$B29&amp;"'!$N$6:$N$205"),MATCH($AR29&amp;"|"&amp;L$5,INDIRECT("'"&amp;$B29&amp;"'!$AF$6:$AF$205"),0))="","",INDEX(INDIRECT("'"&amp;$B29&amp;"'!$N$6:$N$205"),MATCH($AR29&amp;"|"&amp;L$5,INDIRECT("'"&amp;$B29&amp;"'!$AF$6:$AF$205"),0))),"-"))</f>
        <v/>
      </c>
      <c r="M29" s="34">
        <f>IF(OR(AP29="",M$5="-"),"",IFERROR(IF(INDEX(INDIRECT("'"&amp;$B29&amp;"'!$N$6:$N$205"),MATCH($AR29&amp;"|"&amp;M$5,INDIRECT("'"&amp;$B29&amp;"'!$AF$6:$AF$205"),0))="","",INDEX(INDIRECT("'"&amp;$B29&amp;"'!$N$6:$N$205"),MATCH($AR29&amp;"|"&amp;M$5,INDIRECT("'"&amp;$B29&amp;"'!$AF$6:$AF$205"),0))),"-"))</f>
        <v/>
      </c>
      <c r="N29" s="34">
        <f>IF(OR(AP29="",N$5="-"),"",IFERROR(IF(INDEX(INDIRECT("'"&amp;$B29&amp;"'!$N$6:$N$205"),MATCH($AR29&amp;"|"&amp;N$5,INDIRECT("'"&amp;$B29&amp;"'!$AF$6:$AF$205"),0))="","",INDEX(INDIRECT("'"&amp;$B29&amp;"'!$N$6:$N$205"),MATCH($AR29&amp;"|"&amp;N$5,INDIRECT("'"&amp;$B29&amp;"'!$AF$6:$AF$205"),0))),"-"))</f>
        <v/>
      </c>
      <c r="O29" s="34">
        <f>IF(OR(AP29="",O$5="-"),"",IFERROR(IF(INDEX(INDIRECT("'"&amp;$B29&amp;"'!$N$6:$N$205"),MATCH($AR29&amp;"|"&amp;O$5,INDIRECT("'"&amp;$B29&amp;"'!$AF$6:$AF$205"),0))="","",INDEX(INDIRECT("'"&amp;$B29&amp;"'!$N$6:$N$205"),MATCH($AR29&amp;"|"&amp;O$5,INDIRECT("'"&amp;$B29&amp;"'!$AF$6:$AF$205"),0))),"-"))</f>
        <v/>
      </c>
      <c r="P29" s="37">
        <f>IF(OR(AP29="",P$5="-"),"",IFERROR(IF(INDEX(INDIRECT("'"&amp;$B29&amp;"'!$R$6:$R$205"),MATCH($AR29&amp;"|"&amp;P$5,INDIRECT("'"&amp;$B29&amp;"'!$AF$6:$AF$205"),0))="","",INDEX(INDIRECT("'"&amp;$B29&amp;"'!$R$6:$R$205"),MATCH($AR29&amp;"|"&amp;P$5,INDIRECT("'"&amp;$B29&amp;"'!$AF$6:$AF$205"),0))),"-"))</f>
        <v/>
      </c>
      <c r="Q29" s="37">
        <f>IF(OR(AP29="",Q$5="-"),"",IFERROR(IF(INDEX(INDIRECT("'"&amp;$B29&amp;"'!$R$6:$R$205"),MATCH($AR29&amp;"|"&amp;Q$5,INDIRECT("'"&amp;$B29&amp;"'!$AF$6:$AF$205"),0))="","",INDEX(INDIRECT("'"&amp;$B29&amp;"'!$R$6:$R$205"),MATCH($AR29&amp;"|"&amp;Q$5,INDIRECT("'"&amp;$B29&amp;"'!$AF$6:$AF$205"),0))),"-"))</f>
        <v/>
      </c>
      <c r="R29" s="37">
        <f>IF(OR(AP29="",R$5="-"),"",IFERROR(IF(INDEX(INDIRECT("'"&amp;$B29&amp;"'!$R$6:$R$205"),MATCH($AR29&amp;"|"&amp;R$5,INDIRECT("'"&amp;$B29&amp;"'!$AF$6:$AF$205"),0))="","",INDEX(INDIRECT("'"&amp;$B29&amp;"'!$R$6:$R$205"),MATCH($AR29&amp;"|"&amp;R$5,INDIRECT("'"&amp;$B29&amp;"'!$AF$6:$AF$205"),0))),"-"))</f>
        <v/>
      </c>
      <c r="S29" s="37">
        <f>IF(OR(AP29="",S$5="-"),"",IFERROR(IF(INDEX(INDIRECT("'"&amp;$B29&amp;"'!$R$6:$R$205"),MATCH($AR29&amp;"|"&amp;S$5,INDIRECT("'"&amp;$B29&amp;"'!$AF$6:$AF$205"),0))="","",INDEX(INDIRECT("'"&amp;$B29&amp;"'!$R$6:$R$205"),MATCH($AR29&amp;"|"&amp;S$5,INDIRECT("'"&amp;$B29&amp;"'!$AF$6:$AF$205"),0))),"-"))</f>
        <v/>
      </c>
      <c r="T29" s="37">
        <f>IF(OR(AP29="",T$5="-"),"",IFERROR(IF(INDEX(INDIRECT("'"&amp;$B29&amp;"'!$R$6:$R$205"),MATCH($AR29&amp;"|"&amp;T$5,INDIRECT("'"&amp;$B29&amp;"'!$AF$6:$AF$205"),0))="","",INDEX(INDIRECT("'"&amp;$B29&amp;"'!$R$6:$R$205"),MATCH($AR29&amp;"|"&amp;T$5,INDIRECT("'"&amp;$B29&amp;"'!$AF$6:$AF$205"),0))),"-"))</f>
        <v/>
      </c>
      <c r="U29" s="37">
        <f>IF(OR(AP29="",U$5="-"),"",IFERROR(IF(INDEX(INDIRECT("'"&amp;$B29&amp;"'!$R$6:$R$205"),MATCH($AR29&amp;"|"&amp;U$5,INDIRECT("'"&amp;$B29&amp;"'!$AF$6:$AF$205"),0))="","",INDEX(INDIRECT("'"&amp;$B29&amp;"'!$R$6:$R$205"),MATCH($AR29&amp;"|"&amp;U$5,INDIRECT("'"&amp;$B29&amp;"'!$AF$6:$AF$205"),0))),"-"))</f>
        <v/>
      </c>
      <c r="V29" s="37">
        <f>IF(OR(AP29="",V$5="-"),"",IFERROR(IF(INDEX(INDIRECT("'"&amp;$B29&amp;"'!$R$6:$R$205"),MATCH($AR29&amp;"|"&amp;V$5,INDIRECT("'"&amp;$B29&amp;"'!$AF$6:$AF$205"),0))="","",INDEX(INDIRECT("'"&amp;$B29&amp;"'!$R$6:$R$205"),MATCH($AR29&amp;"|"&amp;V$5,INDIRECT("'"&amp;$B29&amp;"'!$AF$6:$AF$205"),0))),"-"))</f>
        <v/>
      </c>
      <c r="W29" s="37">
        <f>IF(OR(AP29="",W$5="-"),"",IFERROR(IF(INDEX(INDIRECT("'"&amp;$B29&amp;"'!$R$6:$R$205"),MATCH($AR29&amp;"|"&amp;W$5,INDIRECT("'"&amp;$B29&amp;"'!$AF$6:$AF$205"),0))="","",INDEX(INDIRECT("'"&amp;$B29&amp;"'!$R$6:$R$205"),MATCH($AR29&amp;"|"&amp;W$5,INDIRECT("'"&amp;$B29&amp;"'!$AF$6:$AF$205"),0))),"-"))</f>
        <v/>
      </c>
      <c r="X29" s="38">
        <f>IF(OR(AP29="",X$5="-"),"",IFERROR(IF(INDEX(INDIRECT("'"&amp;$B29&amp;"'!$T$6:$T$205"),MATCH($AR29&amp;"|"&amp;X$5,INDIRECT("'"&amp;$B29&amp;"'!$AF$6:$AF$205"),0))="","",INDEX(INDIRECT("'"&amp;$B29&amp;"'!$T$6:$T$205"),MATCH($AR29&amp;"|"&amp;X$5,INDIRECT("'"&amp;$B29&amp;"'!$AF$6:$AF$205"),0))),"-"))</f>
        <v/>
      </c>
      <c r="Y29" s="38">
        <f>IF(OR(AP29="",Y$5="-"),"",IFERROR(IF(INDEX(INDIRECT("'"&amp;$B29&amp;"'!$T$6:$T$205"),MATCH($AR29&amp;"|"&amp;Y$5,INDIRECT("'"&amp;$B29&amp;"'!$AF$6:$AF$205"),0))="","",INDEX(INDIRECT("'"&amp;$B29&amp;"'!$T$6:$T$205"),MATCH($AR29&amp;"|"&amp;Y$5,INDIRECT("'"&amp;$B29&amp;"'!$AF$6:$AF$205"),0))),"-"))</f>
        <v/>
      </c>
      <c r="Z29" s="38">
        <f>IF(OR(AP29="",Z$5="-"),"",IFERROR(IF(INDEX(INDIRECT("'"&amp;$B29&amp;"'!$T$6:$T$205"),MATCH($AR29&amp;"|"&amp;Z$5,INDIRECT("'"&amp;$B29&amp;"'!$AF$6:$AF$205"),0))="","",INDEX(INDIRECT("'"&amp;$B29&amp;"'!$T$6:$T$205"),MATCH($AR29&amp;"|"&amp;Z$5,INDIRECT("'"&amp;$B29&amp;"'!$AF$6:$AF$205"),0))),"-"))</f>
        <v/>
      </c>
      <c r="AA29" s="38">
        <f>IF(OR(AP29="",AA$5="-"),"",IFERROR(IF(INDEX(INDIRECT("'"&amp;$B29&amp;"'!$T$6:$T$205"),MATCH($AR29&amp;"|"&amp;AA$5,INDIRECT("'"&amp;$B29&amp;"'!$AF$6:$AF$205"),0))="","",INDEX(INDIRECT("'"&amp;$B29&amp;"'!$T$6:$T$205"),MATCH($AR29&amp;"|"&amp;AA$5,INDIRECT("'"&amp;$B29&amp;"'!$AF$6:$AF$205"),0))),"-"))</f>
        <v/>
      </c>
      <c r="AB29" s="38">
        <f>IF(OR(AP29="",AB$5="-"),"",IFERROR(IF(INDEX(INDIRECT("'"&amp;$B29&amp;"'!$T$6:$T$205"),MATCH($AR29&amp;"|"&amp;AB$5,INDIRECT("'"&amp;$B29&amp;"'!$AF$6:$AF$205"),0))="","",INDEX(INDIRECT("'"&amp;$B29&amp;"'!$T$6:$T$205"),MATCH($AR29&amp;"|"&amp;AB$5,INDIRECT("'"&amp;$B29&amp;"'!$AF$6:$AF$205"),0))),"-"))</f>
        <v/>
      </c>
      <c r="AC29" s="38">
        <f>IF(OR(AP29="",AC$5="-"),"",IFERROR(IF(INDEX(INDIRECT("'"&amp;$B29&amp;"'!$T$6:$T$205"),MATCH($AR29&amp;"|"&amp;AC$5,INDIRECT("'"&amp;$B29&amp;"'!$AF$6:$AF$205"),0))="","",INDEX(INDIRECT("'"&amp;$B29&amp;"'!$T$6:$T$205"),MATCH($AR29&amp;"|"&amp;AC$5,INDIRECT("'"&amp;$B29&amp;"'!$AF$6:$AF$205"),0))),"-"))</f>
        <v/>
      </c>
      <c r="AD29" s="38">
        <f>IF(OR(AP29="",AD$5="-"),"",IFERROR(IF(INDEX(INDIRECT("'"&amp;$B29&amp;"'!$T$6:$T$205"),MATCH($AR29&amp;"|"&amp;AD$5,INDIRECT("'"&amp;$B29&amp;"'!$AF$6:$AF$205"),0))="","",INDEX(INDIRECT("'"&amp;$B29&amp;"'!$T$6:$T$205"),MATCH($AR29&amp;"|"&amp;AD$5,INDIRECT("'"&amp;$B29&amp;"'!$AF$6:$AF$205"),0))),"-"))</f>
        <v/>
      </c>
      <c r="AE29" s="38">
        <f>IF(OR(AP29="",AE$5="-"),"",IFERROR(IF(INDEX(INDIRECT("'"&amp;$B29&amp;"'!$T$6:$T$205"),MATCH($AR29&amp;"|"&amp;AE$5,INDIRECT("'"&amp;$B29&amp;"'!$AF$6:$AF$205"),0))="","",INDEX(INDIRECT("'"&amp;$B29&amp;"'!$T$6:$T$205"),MATCH($AR29&amp;"|"&amp;AE$5,INDIRECT("'"&amp;$B29&amp;"'!$AF$6:$AF$205"),0))),"-"))</f>
        <v/>
      </c>
      <c r="AF29" s="35">
        <f>IF(AG29="","",INDEX($P$5:$W$5,MATCH(AG29,P29:W29,0)))</f>
        <v/>
      </c>
      <c r="AG29" s="37">
        <f>IF(COUNT(P29:W29)=0,"",MIN(P29:W29))</f>
        <v/>
      </c>
      <c r="AH29" s="39">
        <f>IF(AG29="","",AG29*F29)</f>
        <v/>
      </c>
      <c r="AI29" s="39">
        <f>IF(COUNT(P29:W29)&lt;2,"",(MAX(P29:W29)-MIN(P29:W29))*F29)</f>
        <v/>
      </c>
      <c r="AJ29" s="20" t="n"/>
      <c r="AP29">
        <f>IF(24&gt;MAX($AN$6:$AN$9),"",COUNTIF($AN$6:$AN$9,"&lt;"&amp;24)+1)</f>
        <v/>
      </c>
      <c r="AQ29">
        <f>IF(AP29="","",24-INDEX($AO$6:$AO$9,AP29))</f>
        <v/>
      </c>
      <c r="AR29">
        <f>IF(AP29="","",INDEX(INDIRECT("'"&amp;$B29&amp;"'!$AE$6:$AE$205"),MATCH(AQ29,INDIRECT("'"&amp;$B29&amp;"'!$AI$6:$AI$205"),0)))</f>
        <v/>
      </c>
    </row>
    <row r="30">
      <c r="A30" s="34">
        <f>IF(AP30="","",25)</f>
        <v/>
      </c>
      <c r="B30" s="35">
        <f>IF(AP30="","",INDEX($AL$6:$AL$9,AP30))</f>
        <v/>
      </c>
      <c r="C30" s="34">
        <f>IF(AP30="","",INDEX(INDIRECT("'"&amp;$B30&amp;"'!$B$6:$B$205"),MATCH($AR30,INDIRECT("'"&amp;$B30&amp;"'!$AE$6:$AE$205"),0)))</f>
        <v/>
      </c>
      <c r="D30" s="34">
        <f>IF(AP30="","",INDEX(INDIRECT("'"&amp;$B30&amp;"'!$D$6:$D$205"),MATCH($AR30,INDIRECT("'"&amp;$B30&amp;"'!$AE$6:$AE$205"),0)))</f>
        <v/>
      </c>
      <c r="E30" s="36">
        <f>IF(AP30="","",INDEX(INDIRECT("'"&amp;$B30&amp;"'!$F$6:$F$205"),MATCH($AR30,INDIRECT("'"&amp;$B30&amp;"'!$AE$6:$AE$205"),0)))</f>
        <v/>
      </c>
      <c r="F30" s="34">
        <f>IF(AP30="","",INDEX(INDIRECT("'"&amp;$B30&amp;"'!$K$6:$K$205"),MATCH($AR30,INDIRECT("'"&amp;$B30&amp;"'!$AE$6:$AE$205"),0)))</f>
        <v/>
      </c>
      <c r="G30" s="34">
        <f>IF(AP30="","",INDEX(INDIRECT("'"&amp;$B30&amp;"'!$L$6:$L$205"),MATCH($AR30,INDIRECT("'"&amp;$B30&amp;"'!$AE$6:$AE$205"),0)))</f>
        <v/>
      </c>
      <c r="H30" s="34">
        <f>IF(OR(AP30="",H$5="-"),"",IFERROR(IF(INDEX(INDIRECT("'"&amp;$B30&amp;"'!$N$6:$N$205"),MATCH($AR30&amp;"|"&amp;H$5,INDIRECT("'"&amp;$B30&amp;"'!$AF$6:$AF$205"),0))="","",INDEX(INDIRECT("'"&amp;$B30&amp;"'!$N$6:$N$205"),MATCH($AR30&amp;"|"&amp;H$5,INDIRECT("'"&amp;$B30&amp;"'!$AF$6:$AF$205"),0))),"-"))</f>
        <v/>
      </c>
      <c r="I30" s="34">
        <f>IF(OR(AP30="",I$5="-"),"",IFERROR(IF(INDEX(INDIRECT("'"&amp;$B30&amp;"'!$N$6:$N$205"),MATCH($AR30&amp;"|"&amp;I$5,INDIRECT("'"&amp;$B30&amp;"'!$AF$6:$AF$205"),0))="","",INDEX(INDIRECT("'"&amp;$B30&amp;"'!$N$6:$N$205"),MATCH($AR30&amp;"|"&amp;I$5,INDIRECT("'"&amp;$B30&amp;"'!$AF$6:$AF$205"),0))),"-"))</f>
        <v/>
      </c>
      <c r="J30" s="34">
        <f>IF(OR(AP30="",J$5="-"),"",IFERROR(IF(INDEX(INDIRECT("'"&amp;$B30&amp;"'!$N$6:$N$205"),MATCH($AR30&amp;"|"&amp;J$5,INDIRECT("'"&amp;$B30&amp;"'!$AF$6:$AF$205"),0))="","",INDEX(INDIRECT("'"&amp;$B30&amp;"'!$N$6:$N$205"),MATCH($AR30&amp;"|"&amp;J$5,INDIRECT("'"&amp;$B30&amp;"'!$AF$6:$AF$205"),0))),"-"))</f>
        <v/>
      </c>
      <c r="K30" s="34">
        <f>IF(OR(AP30="",K$5="-"),"",IFERROR(IF(INDEX(INDIRECT("'"&amp;$B30&amp;"'!$N$6:$N$205"),MATCH($AR30&amp;"|"&amp;K$5,INDIRECT("'"&amp;$B30&amp;"'!$AF$6:$AF$205"),0))="","",INDEX(INDIRECT("'"&amp;$B30&amp;"'!$N$6:$N$205"),MATCH($AR30&amp;"|"&amp;K$5,INDIRECT("'"&amp;$B30&amp;"'!$AF$6:$AF$205"),0))),"-"))</f>
        <v/>
      </c>
      <c r="L30" s="34">
        <f>IF(OR(AP30="",L$5="-"),"",IFERROR(IF(INDEX(INDIRECT("'"&amp;$B30&amp;"'!$N$6:$N$205"),MATCH($AR30&amp;"|"&amp;L$5,INDIRECT("'"&amp;$B30&amp;"'!$AF$6:$AF$205"),0))="","",INDEX(INDIRECT("'"&amp;$B30&amp;"'!$N$6:$N$205"),MATCH($AR30&amp;"|"&amp;L$5,INDIRECT("'"&amp;$B30&amp;"'!$AF$6:$AF$205"),0))),"-"))</f>
        <v/>
      </c>
      <c r="M30" s="34">
        <f>IF(OR(AP30="",M$5="-"),"",IFERROR(IF(INDEX(INDIRECT("'"&amp;$B30&amp;"'!$N$6:$N$205"),MATCH($AR30&amp;"|"&amp;M$5,INDIRECT("'"&amp;$B30&amp;"'!$AF$6:$AF$205"),0))="","",INDEX(INDIRECT("'"&amp;$B30&amp;"'!$N$6:$N$205"),MATCH($AR30&amp;"|"&amp;M$5,INDIRECT("'"&amp;$B30&amp;"'!$AF$6:$AF$205"),0))),"-"))</f>
        <v/>
      </c>
      <c r="N30" s="34">
        <f>IF(OR(AP30="",N$5="-"),"",IFERROR(IF(INDEX(INDIRECT("'"&amp;$B30&amp;"'!$N$6:$N$205"),MATCH($AR30&amp;"|"&amp;N$5,INDIRECT("'"&amp;$B30&amp;"'!$AF$6:$AF$205"),0))="","",INDEX(INDIRECT("'"&amp;$B30&amp;"'!$N$6:$N$205"),MATCH($AR30&amp;"|"&amp;N$5,INDIRECT("'"&amp;$B30&amp;"'!$AF$6:$AF$205"),0))),"-"))</f>
        <v/>
      </c>
      <c r="O30" s="34">
        <f>IF(OR(AP30="",O$5="-"),"",IFERROR(IF(INDEX(INDIRECT("'"&amp;$B30&amp;"'!$N$6:$N$205"),MATCH($AR30&amp;"|"&amp;O$5,INDIRECT("'"&amp;$B30&amp;"'!$AF$6:$AF$205"),0))="","",INDEX(INDIRECT("'"&amp;$B30&amp;"'!$N$6:$N$205"),MATCH($AR30&amp;"|"&amp;O$5,INDIRECT("'"&amp;$B30&amp;"'!$AF$6:$AF$205"),0))),"-"))</f>
        <v/>
      </c>
      <c r="P30" s="37">
        <f>IF(OR(AP30="",P$5="-"),"",IFERROR(IF(INDEX(INDIRECT("'"&amp;$B30&amp;"'!$R$6:$R$205"),MATCH($AR30&amp;"|"&amp;P$5,INDIRECT("'"&amp;$B30&amp;"'!$AF$6:$AF$205"),0))="","",INDEX(INDIRECT("'"&amp;$B30&amp;"'!$R$6:$R$205"),MATCH($AR30&amp;"|"&amp;P$5,INDIRECT("'"&amp;$B30&amp;"'!$AF$6:$AF$205"),0))),"-"))</f>
        <v/>
      </c>
      <c r="Q30" s="37">
        <f>IF(OR(AP30="",Q$5="-"),"",IFERROR(IF(INDEX(INDIRECT("'"&amp;$B30&amp;"'!$R$6:$R$205"),MATCH($AR30&amp;"|"&amp;Q$5,INDIRECT("'"&amp;$B30&amp;"'!$AF$6:$AF$205"),0))="","",INDEX(INDIRECT("'"&amp;$B30&amp;"'!$R$6:$R$205"),MATCH($AR30&amp;"|"&amp;Q$5,INDIRECT("'"&amp;$B30&amp;"'!$AF$6:$AF$205"),0))),"-"))</f>
        <v/>
      </c>
      <c r="R30" s="37">
        <f>IF(OR(AP30="",R$5="-"),"",IFERROR(IF(INDEX(INDIRECT("'"&amp;$B30&amp;"'!$R$6:$R$205"),MATCH($AR30&amp;"|"&amp;R$5,INDIRECT("'"&amp;$B30&amp;"'!$AF$6:$AF$205"),0))="","",INDEX(INDIRECT("'"&amp;$B30&amp;"'!$R$6:$R$205"),MATCH($AR30&amp;"|"&amp;R$5,INDIRECT("'"&amp;$B30&amp;"'!$AF$6:$AF$205"),0))),"-"))</f>
        <v/>
      </c>
      <c r="S30" s="37">
        <f>IF(OR(AP30="",S$5="-"),"",IFERROR(IF(INDEX(INDIRECT("'"&amp;$B30&amp;"'!$R$6:$R$205"),MATCH($AR30&amp;"|"&amp;S$5,INDIRECT("'"&amp;$B30&amp;"'!$AF$6:$AF$205"),0))="","",INDEX(INDIRECT("'"&amp;$B30&amp;"'!$R$6:$R$205"),MATCH($AR30&amp;"|"&amp;S$5,INDIRECT("'"&amp;$B30&amp;"'!$AF$6:$AF$205"),0))),"-"))</f>
        <v/>
      </c>
      <c r="T30" s="37">
        <f>IF(OR(AP30="",T$5="-"),"",IFERROR(IF(INDEX(INDIRECT("'"&amp;$B30&amp;"'!$R$6:$R$205"),MATCH($AR30&amp;"|"&amp;T$5,INDIRECT("'"&amp;$B30&amp;"'!$AF$6:$AF$205"),0))="","",INDEX(INDIRECT("'"&amp;$B30&amp;"'!$R$6:$R$205"),MATCH($AR30&amp;"|"&amp;T$5,INDIRECT("'"&amp;$B30&amp;"'!$AF$6:$AF$205"),0))),"-"))</f>
        <v/>
      </c>
      <c r="U30" s="37">
        <f>IF(OR(AP30="",U$5="-"),"",IFERROR(IF(INDEX(INDIRECT("'"&amp;$B30&amp;"'!$R$6:$R$205"),MATCH($AR30&amp;"|"&amp;U$5,INDIRECT("'"&amp;$B30&amp;"'!$AF$6:$AF$205"),0))="","",INDEX(INDIRECT("'"&amp;$B30&amp;"'!$R$6:$R$205"),MATCH($AR30&amp;"|"&amp;U$5,INDIRECT("'"&amp;$B30&amp;"'!$AF$6:$AF$205"),0))),"-"))</f>
        <v/>
      </c>
      <c r="V30" s="37">
        <f>IF(OR(AP30="",V$5="-"),"",IFERROR(IF(INDEX(INDIRECT("'"&amp;$B30&amp;"'!$R$6:$R$205"),MATCH($AR30&amp;"|"&amp;V$5,INDIRECT("'"&amp;$B30&amp;"'!$AF$6:$AF$205"),0))="","",INDEX(INDIRECT("'"&amp;$B30&amp;"'!$R$6:$R$205"),MATCH($AR30&amp;"|"&amp;V$5,INDIRECT("'"&amp;$B30&amp;"'!$AF$6:$AF$205"),0))),"-"))</f>
        <v/>
      </c>
      <c r="W30" s="37">
        <f>IF(OR(AP30="",W$5="-"),"",IFERROR(IF(INDEX(INDIRECT("'"&amp;$B30&amp;"'!$R$6:$R$205"),MATCH($AR30&amp;"|"&amp;W$5,INDIRECT("'"&amp;$B30&amp;"'!$AF$6:$AF$205"),0))="","",INDEX(INDIRECT("'"&amp;$B30&amp;"'!$R$6:$R$205"),MATCH($AR30&amp;"|"&amp;W$5,INDIRECT("'"&amp;$B30&amp;"'!$AF$6:$AF$205"),0))),"-"))</f>
        <v/>
      </c>
      <c r="X30" s="38">
        <f>IF(OR(AP30="",X$5="-"),"",IFERROR(IF(INDEX(INDIRECT("'"&amp;$B30&amp;"'!$T$6:$T$205"),MATCH($AR30&amp;"|"&amp;X$5,INDIRECT("'"&amp;$B30&amp;"'!$AF$6:$AF$205"),0))="","",INDEX(INDIRECT("'"&amp;$B30&amp;"'!$T$6:$T$205"),MATCH($AR30&amp;"|"&amp;X$5,INDIRECT("'"&amp;$B30&amp;"'!$AF$6:$AF$205"),0))),"-"))</f>
        <v/>
      </c>
      <c r="Y30" s="38">
        <f>IF(OR(AP30="",Y$5="-"),"",IFERROR(IF(INDEX(INDIRECT("'"&amp;$B30&amp;"'!$T$6:$T$205"),MATCH($AR30&amp;"|"&amp;Y$5,INDIRECT("'"&amp;$B30&amp;"'!$AF$6:$AF$205"),0))="","",INDEX(INDIRECT("'"&amp;$B30&amp;"'!$T$6:$T$205"),MATCH($AR30&amp;"|"&amp;Y$5,INDIRECT("'"&amp;$B30&amp;"'!$AF$6:$AF$205"),0))),"-"))</f>
        <v/>
      </c>
      <c r="Z30" s="38">
        <f>IF(OR(AP30="",Z$5="-"),"",IFERROR(IF(INDEX(INDIRECT("'"&amp;$B30&amp;"'!$T$6:$T$205"),MATCH($AR30&amp;"|"&amp;Z$5,INDIRECT("'"&amp;$B30&amp;"'!$AF$6:$AF$205"),0))="","",INDEX(INDIRECT("'"&amp;$B30&amp;"'!$T$6:$T$205"),MATCH($AR30&amp;"|"&amp;Z$5,INDIRECT("'"&amp;$B30&amp;"'!$AF$6:$AF$205"),0))),"-"))</f>
        <v/>
      </c>
      <c r="AA30" s="38">
        <f>IF(OR(AP30="",AA$5="-"),"",IFERROR(IF(INDEX(INDIRECT("'"&amp;$B30&amp;"'!$T$6:$T$205"),MATCH($AR30&amp;"|"&amp;AA$5,INDIRECT("'"&amp;$B30&amp;"'!$AF$6:$AF$205"),0))="","",INDEX(INDIRECT("'"&amp;$B30&amp;"'!$T$6:$T$205"),MATCH($AR30&amp;"|"&amp;AA$5,INDIRECT("'"&amp;$B30&amp;"'!$AF$6:$AF$205"),0))),"-"))</f>
        <v/>
      </c>
      <c r="AB30" s="38">
        <f>IF(OR(AP30="",AB$5="-"),"",IFERROR(IF(INDEX(INDIRECT("'"&amp;$B30&amp;"'!$T$6:$T$205"),MATCH($AR30&amp;"|"&amp;AB$5,INDIRECT("'"&amp;$B30&amp;"'!$AF$6:$AF$205"),0))="","",INDEX(INDIRECT("'"&amp;$B30&amp;"'!$T$6:$T$205"),MATCH($AR30&amp;"|"&amp;AB$5,INDIRECT("'"&amp;$B30&amp;"'!$AF$6:$AF$205"),0))),"-"))</f>
        <v/>
      </c>
      <c r="AC30" s="38">
        <f>IF(OR(AP30="",AC$5="-"),"",IFERROR(IF(INDEX(INDIRECT("'"&amp;$B30&amp;"'!$T$6:$T$205"),MATCH($AR30&amp;"|"&amp;AC$5,INDIRECT("'"&amp;$B30&amp;"'!$AF$6:$AF$205"),0))="","",INDEX(INDIRECT("'"&amp;$B30&amp;"'!$T$6:$T$205"),MATCH($AR30&amp;"|"&amp;AC$5,INDIRECT("'"&amp;$B30&amp;"'!$AF$6:$AF$205"),0))),"-"))</f>
        <v/>
      </c>
      <c r="AD30" s="38">
        <f>IF(OR(AP30="",AD$5="-"),"",IFERROR(IF(INDEX(INDIRECT("'"&amp;$B30&amp;"'!$T$6:$T$205"),MATCH($AR30&amp;"|"&amp;AD$5,INDIRECT("'"&amp;$B30&amp;"'!$AF$6:$AF$205"),0))="","",INDEX(INDIRECT("'"&amp;$B30&amp;"'!$T$6:$T$205"),MATCH($AR30&amp;"|"&amp;AD$5,INDIRECT("'"&amp;$B30&amp;"'!$AF$6:$AF$205"),0))),"-"))</f>
        <v/>
      </c>
      <c r="AE30" s="38">
        <f>IF(OR(AP30="",AE$5="-"),"",IFERROR(IF(INDEX(INDIRECT("'"&amp;$B30&amp;"'!$T$6:$T$205"),MATCH($AR30&amp;"|"&amp;AE$5,INDIRECT("'"&amp;$B30&amp;"'!$AF$6:$AF$205"),0))="","",INDEX(INDIRECT("'"&amp;$B30&amp;"'!$T$6:$T$205"),MATCH($AR30&amp;"|"&amp;AE$5,INDIRECT("'"&amp;$B30&amp;"'!$AF$6:$AF$205"),0))),"-"))</f>
        <v/>
      </c>
      <c r="AF30" s="35">
        <f>IF(AG30="","",INDEX($P$5:$W$5,MATCH(AG30,P30:W30,0)))</f>
        <v/>
      </c>
      <c r="AG30" s="37">
        <f>IF(COUNT(P30:W30)=0,"",MIN(P30:W30))</f>
        <v/>
      </c>
      <c r="AH30" s="39">
        <f>IF(AG30="","",AG30*F30)</f>
        <v/>
      </c>
      <c r="AI30" s="39">
        <f>IF(COUNT(P30:W30)&lt;2,"",(MAX(P30:W30)-MIN(P30:W30))*F30)</f>
        <v/>
      </c>
      <c r="AJ30" s="20" t="n"/>
      <c r="AP30">
        <f>IF(25&gt;MAX($AN$6:$AN$9),"",COUNTIF($AN$6:$AN$9,"&lt;"&amp;25)+1)</f>
        <v/>
      </c>
      <c r="AQ30">
        <f>IF(AP30="","",25-INDEX($AO$6:$AO$9,AP30))</f>
        <v/>
      </c>
      <c r="AR30">
        <f>IF(AP30="","",INDEX(INDIRECT("'"&amp;$B30&amp;"'!$AE$6:$AE$205"),MATCH(AQ30,INDIRECT("'"&amp;$B30&amp;"'!$AI$6:$AI$205"),0)))</f>
        <v/>
      </c>
    </row>
    <row r="31">
      <c r="A31" s="34">
        <f>IF(AP31="","",26)</f>
        <v/>
      </c>
      <c r="B31" s="35">
        <f>IF(AP31="","",INDEX($AL$6:$AL$9,AP31))</f>
        <v/>
      </c>
      <c r="C31" s="34">
        <f>IF(AP31="","",INDEX(INDIRECT("'"&amp;$B31&amp;"'!$B$6:$B$205"),MATCH($AR31,INDIRECT("'"&amp;$B31&amp;"'!$AE$6:$AE$205"),0)))</f>
        <v/>
      </c>
      <c r="D31" s="34">
        <f>IF(AP31="","",INDEX(INDIRECT("'"&amp;$B31&amp;"'!$D$6:$D$205"),MATCH($AR31,INDIRECT("'"&amp;$B31&amp;"'!$AE$6:$AE$205"),0)))</f>
        <v/>
      </c>
      <c r="E31" s="36">
        <f>IF(AP31="","",INDEX(INDIRECT("'"&amp;$B31&amp;"'!$F$6:$F$205"),MATCH($AR31,INDIRECT("'"&amp;$B31&amp;"'!$AE$6:$AE$205"),0)))</f>
        <v/>
      </c>
      <c r="F31" s="34">
        <f>IF(AP31="","",INDEX(INDIRECT("'"&amp;$B31&amp;"'!$K$6:$K$205"),MATCH($AR31,INDIRECT("'"&amp;$B31&amp;"'!$AE$6:$AE$205"),0)))</f>
        <v/>
      </c>
      <c r="G31" s="34">
        <f>IF(AP31="","",INDEX(INDIRECT("'"&amp;$B31&amp;"'!$L$6:$L$205"),MATCH($AR31,INDIRECT("'"&amp;$B31&amp;"'!$AE$6:$AE$205"),0)))</f>
        <v/>
      </c>
      <c r="H31" s="34">
        <f>IF(OR(AP31="",H$5="-"),"",IFERROR(IF(INDEX(INDIRECT("'"&amp;$B31&amp;"'!$N$6:$N$205"),MATCH($AR31&amp;"|"&amp;H$5,INDIRECT("'"&amp;$B31&amp;"'!$AF$6:$AF$205"),0))="","",INDEX(INDIRECT("'"&amp;$B31&amp;"'!$N$6:$N$205"),MATCH($AR31&amp;"|"&amp;H$5,INDIRECT("'"&amp;$B31&amp;"'!$AF$6:$AF$205"),0))),"-"))</f>
        <v/>
      </c>
      <c r="I31" s="34">
        <f>IF(OR(AP31="",I$5="-"),"",IFERROR(IF(INDEX(INDIRECT("'"&amp;$B31&amp;"'!$N$6:$N$205"),MATCH($AR31&amp;"|"&amp;I$5,INDIRECT("'"&amp;$B31&amp;"'!$AF$6:$AF$205"),0))="","",INDEX(INDIRECT("'"&amp;$B31&amp;"'!$N$6:$N$205"),MATCH($AR31&amp;"|"&amp;I$5,INDIRECT("'"&amp;$B31&amp;"'!$AF$6:$AF$205"),0))),"-"))</f>
        <v/>
      </c>
      <c r="J31" s="34">
        <f>IF(OR(AP31="",J$5="-"),"",IFERROR(IF(INDEX(INDIRECT("'"&amp;$B31&amp;"'!$N$6:$N$205"),MATCH($AR31&amp;"|"&amp;J$5,INDIRECT("'"&amp;$B31&amp;"'!$AF$6:$AF$205"),0))="","",INDEX(INDIRECT("'"&amp;$B31&amp;"'!$N$6:$N$205"),MATCH($AR31&amp;"|"&amp;J$5,INDIRECT("'"&amp;$B31&amp;"'!$AF$6:$AF$205"),0))),"-"))</f>
        <v/>
      </c>
      <c r="K31" s="34">
        <f>IF(OR(AP31="",K$5="-"),"",IFERROR(IF(INDEX(INDIRECT("'"&amp;$B31&amp;"'!$N$6:$N$205"),MATCH($AR31&amp;"|"&amp;K$5,INDIRECT("'"&amp;$B31&amp;"'!$AF$6:$AF$205"),0))="","",INDEX(INDIRECT("'"&amp;$B31&amp;"'!$N$6:$N$205"),MATCH($AR31&amp;"|"&amp;K$5,INDIRECT("'"&amp;$B31&amp;"'!$AF$6:$AF$205"),0))),"-"))</f>
        <v/>
      </c>
      <c r="L31" s="34">
        <f>IF(OR(AP31="",L$5="-"),"",IFERROR(IF(INDEX(INDIRECT("'"&amp;$B31&amp;"'!$N$6:$N$205"),MATCH($AR31&amp;"|"&amp;L$5,INDIRECT("'"&amp;$B31&amp;"'!$AF$6:$AF$205"),0))="","",INDEX(INDIRECT("'"&amp;$B31&amp;"'!$N$6:$N$205"),MATCH($AR31&amp;"|"&amp;L$5,INDIRECT("'"&amp;$B31&amp;"'!$AF$6:$AF$205"),0))),"-"))</f>
        <v/>
      </c>
      <c r="M31" s="34">
        <f>IF(OR(AP31="",M$5="-"),"",IFERROR(IF(INDEX(INDIRECT("'"&amp;$B31&amp;"'!$N$6:$N$205"),MATCH($AR31&amp;"|"&amp;M$5,INDIRECT("'"&amp;$B31&amp;"'!$AF$6:$AF$205"),0))="","",INDEX(INDIRECT("'"&amp;$B31&amp;"'!$N$6:$N$205"),MATCH($AR31&amp;"|"&amp;M$5,INDIRECT("'"&amp;$B31&amp;"'!$AF$6:$AF$205"),0))),"-"))</f>
        <v/>
      </c>
      <c r="N31" s="34">
        <f>IF(OR(AP31="",N$5="-"),"",IFERROR(IF(INDEX(INDIRECT("'"&amp;$B31&amp;"'!$N$6:$N$205"),MATCH($AR31&amp;"|"&amp;N$5,INDIRECT("'"&amp;$B31&amp;"'!$AF$6:$AF$205"),0))="","",INDEX(INDIRECT("'"&amp;$B31&amp;"'!$N$6:$N$205"),MATCH($AR31&amp;"|"&amp;N$5,INDIRECT("'"&amp;$B31&amp;"'!$AF$6:$AF$205"),0))),"-"))</f>
        <v/>
      </c>
      <c r="O31" s="34">
        <f>IF(OR(AP31="",O$5="-"),"",IFERROR(IF(INDEX(INDIRECT("'"&amp;$B31&amp;"'!$N$6:$N$205"),MATCH($AR31&amp;"|"&amp;O$5,INDIRECT("'"&amp;$B31&amp;"'!$AF$6:$AF$205"),0))="","",INDEX(INDIRECT("'"&amp;$B31&amp;"'!$N$6:$N$205"),MATCH($AR31&amp;"|"&amp;O$5,INDIRECT("'"&amp;$B31&amp;"'!$AF$6:$AF$205"),0))),"-"))</f>
        <v/>
      </c>
      <c r="P31" s="37">
        <f>IF(OR(AP31="",P$5="-"),"",IFERROR(IF(INDEX(INDIRECT("'"&amp;$B31&amp;"'!$R$6:$R$205"),MATCH($AR31&amp;"|"&amp;P$5,INDIRECT("'"&amp;$B31&amp;"'!$AF$6:$AF$205"),0))="","",INDEX(INDIRECT("'"&amp;$B31&amp;"'!$R$6:$R$205"),MATCH($AR31&amp;"|"&amp;P$5,INDIRECT("'"&amp;$B31&amp;"'!$AF$6:$AF$205"),0))),"-"))</f>
        <v/>
      </c>
      <c r="Q31" s="37">
        <f>IF(OR(AP31="",Q$5="-"),"",IFERROR(IF(INDEX(INDIRECT("'"&amp;$B31&amp;"'!$R$6:$R$205"),MATCH($AR31&amp;"|"&amp;Q$5,INDIRECT("'"&amp;$B31&amp;"'!$AF$6:$AF$205"),0))="","",INDEX(INDIRECT("'"&amp;$B31&amp;"'!$R$6:$R$205"),MATCH($AR31&amp;"|"&amp;Q$5,INDIRECT("'"&amp;$B31&amp;"'!$AF$6:$AF$205"),0))),"-"))</f>
        <v/>
      </c>
      <c r="R31" s="37">
        <f>IF(OR(AP31="",R$5="-"),"",IFERROR(IF(INDEX(INDIRECT("'"&amp;$B31&amp;"'!$R$6:$R$205"),MATCH($AR31&amp;"|"&amp;R$5,INDIRECT("'"&amp;$B31&amp;"'!$AF$6:$AF$205"),0))="","",INDEX(INDIRECT("'"&amp;$B31&amp;"'!$R$6:$R$205"),MATCH($AR31&amp;"|"&amp;R$5,INDIRECT("'"&amp;$B31&amp;"'!$AF$6:$AF$205"),0))),"-"))</f>
        <v/>
      </c>
      <c r="S31" s="37">
        <f>IF(OR(AP31="",S$5="-"),"",IFERROR(IF(INDEX(INDIRECT("'"&amp;$B31&amp;"'!$R$6:$R$205"),MATCH($AR31&amp;"|"&amp;S$5,INDIRECT("'"&amp;$B31&amp;"'!$AF$6:$AF$205"),0))="","",INDEX(INDIRECT("'"&amp;$B31&amp;"'!$R$6:$R$205"),MATCH($AR31&amp;"|"&amp;S$5,INDIRECT("'"&amp;$B31&amp;"'!$AF$6:$AF$205"),0))),"-"))</f>
        <v/>
      </c>
      <c r="T31" s="37">
        <f>IF(OR(AP31="",T$5="-"),"",IFERROR(IF(INDEX(INDIRECT("'"&amp;$B31&amp;"'!$R$6:$R$205"),MATCH($AR31&amp;"|"&amp;T$5,INDIRECT("'"&amp;$B31&amp;"'!$AF$6:$AF$205"),0))="","",INDEX(INDIRECT("'"&amp;$B31&amp;"'!$R$6:$R$205"),MATCH($AR31&amp;"|"&amp;T$5,INDIRECT("'"&amp;$B31&amp;"'!$AF$6:$AF$205"),0))),"-"))</f>
        <v/>
      </c>
      <c r="U31" s="37">
        <f>IF(OR(AP31="",U$5="-"),"",IFERROR(IF(INDEX(INDIRECT("'"&amp;$B31&amp;"'!$R$6:$R$205"),MATCH($AR31&amp;"|"&amp;U$5,INDIRECT("'"&amp;$B31&amp;"'!$AF$6:$AF$205"),0))="","",INDEX(INDIRECT("'"&amp;$B31&amp;"'!$R$6:$R$205"),MATCH($AR31&amp;"|"&amp;U$5,INDIRECT("'"&amp;$B31&amp;"'!$AF$6:$AF$205"),0))),"-"))</f>
        <v/>
      </c>
      <c r="V31" s="37">
        <f>IF(OR(AP31="",V$5="-"),"",IFERROR(IF(INDEX(INDIRECT("'"&amp;$B31&amp;"'!$R$6:$R$205"),MATCH($AR31&amp;"|"&amp;V$5,INDIRECT("'"&amp;$B31&amp;"'!$AF$6:$AF$205"),0))="","",INDEX(INDIRECT("'"&amp;$B31&amp;"'!$R$6:$R$205"),MATCH($AR31&amp;"|"&amp;V$5,INDIRECT("'"&amp;$B31&amp;"'!$AF$6:$AF$205"),0))),"-"))</f>
        <v/>
      </c>
      <c r="W31" s="37">
        <f>IF(OR(AP31="",W$5="-"),"",IFERROR(IF(INDEX(INDIRECT("'"&amp;$B31&amp;"'!$R$6:$R$205"),MATCH($AR31&amp;"|"&amp;W$5,INDIRECT("'"&amp;$B31&amp;"'!$AF$6:$AF$205"),0))="","",INDEX(INDIRECT("'"&amp;$B31&amp;"'!$R$6:$R$205"),MATCH($AR31&amp;"|"&amp;W$5,INDIRECT("'"&amp;$B31&amp;"'!$AF$6:$AF$205"),0))),"-"))</f>
        <v/>
      </c>
      <c r="X31" s="38">
        <f>IF(OR(AP31="",X$5="-"),"",IFERROR(IF(INDEX(INDIRECT("'"&amp;$B31&amp;"'!$T$6:$T$205"),MATCH($AR31&amp;"|"&amp;X$5,INDIRECT("'"&amp;$B31&amp;"'!$AF$6:$AF$205"),0))="","",INDEX(INDIRECT("'"&amp;$B31&amp;"'!$T$6:$T$205"),MATCH($AR31&amp;"|"&amp;X$5,INDIRECT("'"&amp;$B31&amp;"'!$AF$6:$AF$205"),0))),"-"))</f>
        <v/>
      </c>
      <c r="Y31" s="38">
        <f>IF(OR(AP31="",Y$5="-"),"",IFERROR(IF(INDEX(INDIRECT("'"&amp;$B31&amp;"'!$T$6:$T$205"),MATCH($AR31&amp;"|"&amp;Y$5,INDIRECT("'"&amp;$B31&amp;"'!$AF$6:$AF$205"),0))="","",INDEX(INDIRECT("'"&amp;$B31&amp;"'!$T$6:$T$205"),MATCH($AR31&amp;"|"&amp;Y$5,INDIRECT("'"&amp;$B31&amp;"'!$AF$6:$AF$205"),0))),"-"))</f>
        <v/>
      </c>
      <c r="Z31" s="38">
        <f>IF(OR(AP31="",Z$5="-"),"",IFERROR(IF(INDEX(INDIRECT("'"&amp;$B31&amp;"'!$T$6:$T$205"),MATCH($AR31&amp;"|"&amp;Z$5,INDIRECT("'"&amp;$B31&amp;"'!$AF$6:$AF$205"),0))="","",INDEX(INDIRECT("'"&amp;$B31&amp;"'!$T$6:$T$205"),MATCH($AR31&amp;"|"&amp;Z$5,INDIRECT("'"&amp;$B31&amp;"'!$AF$6:$AF$205"),0))),"-"))</f>
        <v/>
      </c>
      <c r="AA31" s="38">
        <f>IF(OR(AP31="",AA$5="-"),"",IFERROR(IF(INDEX(INDIRECT("'"&amp;$B31&amp;"'!$T$6:$T$205"),MATCH($AR31&amp;"|"&amp;AA$5,INDIRECT("'"&amp;$B31&amp;"'!$AF$6:$AF$205"),0))="","",INDEX(INDIRECT("'"&amp;$B31&amp;"'!$T$6:$T$205"),MATCH($AR31&amp;"|"&amp;AA$5,INDIRECT("'"&amp;$B31&amp;"'!$AF$6:$AF$205"),0))),"-"))</f>
        <v/>
      </c>
      <c r="AB31" s="38">
        <f>IF(OR(AP31="",AB$5="-"),"",IFERROR(IF(INDEX(INDIRECT("'"&amp;$B31&amp;"'!$T$6:$T$205"),MATCH($AR31&amp;"|"&amp;AB$5,INDIRECT("'"&amp;$B31&amp;"'!$AF$6:$AF$205"),0))="","",INDEX(INDIRECT("'"&amp;$B31&amp;"'!$T$6:$T$205"),MATCH($AR31&amp;"|"&amp;AB$5,INDIRECT("'"&amp;$B31&amp;"'!$AF$6:$AF$205"),0))),"-"))</f>
        <v/>
      </c>
      <c r="AC31" s="38">
        <f>IF(OR(AP31="",AC$5="-"),"",IFERROR(IF(INDEX(INDIRECT("'"&amp;$B31&amp;"'!$T$6:$T$205"),MATCH($AR31&amp;"|"&amp;AC$5,INDIRECT("'"&amp;$B31&amp;"'!$AF$6:$AF$205"),0))="","",INDEX(INDIRECT("'"&amp;$B31&amp;"'!$T$6:$T$205"),MATCH($AR31&amp;"|"&amp;AC$5,INDIRECT("'"&amp;$B31&amp;"'!$AF$6:$AF$205"),0))),"-"))</f>
        <v/>
      </c>
      <c r="AD31" s="38">
        <f>IF(OR(AP31="",AD$5="-"),"",IFERROR(IF(INDEX(INDIRECT("'"&amp;$B31&amp;"'!$T$6:$T$205"),MATCH($AR31&amp;"|"&amp;AD$5,INDIRECT("'"&amp;$B31&amp;"'!$AF$6:$AF$205"),0))="","",INDEX(INDIRECT("'"&amp;$B31&amp;"'!$T$6:$T$205"),MATCH($AR31&amp;"|"&amp;AD$5,INDIRECT("'"&amp;$B31&amp;"'!$AF$6:$AF$205"),0))),"-"))</f>
        <v/>
      </c>
      <c r="AE31" s="38">
        <f>IF(OR(AP31="",AE$5="-"),"",IFERROR(IF(INDEX(INDIRECT("'"&amp;$B31&amp;"'!$T$6:$T$205"),MATCH($AR31&amp;"|"&amp;AE$5,INDIRECT("'"&amp;$B31&amp;"'!$AF$6:$AF$205"),0))="","",INDEX(INDIRECT("'"&amp;$B31&amp;"'!$T$6:$T$205"),MATCH($AR31&amp;"|"&amp;AE$5,INDIRECT("'"&amp;$B31&amp;"'!$AF$6:$AF$205"),0))),"-"))</f>
        <v/>
      </c>
      <c r="AF31" s="35">
        <f>IF(AG31="","",INDEX($P$5:$W$5,MATCH(AG31,P31:W31,0)))</f>
        <v/>
      </c>
      <c r="AG31" s="37">
        <f>IF(COUNT(P31:W31)=0,"",MIN(P31:W31))</f>
        <v/>
      </c>
      <c r="AH31" s="39">
        <f>IF(AG31="","",AG31*F31)</f>
        <v/>
      </c>
      <c r="AI31" s="39">
        <f>IF(COUNT(P31:W31)&lt;2,"",(MAX(P31:W31)-MIN(P31:W31))*F31)</f>
        <v/>
      </c>
      <c r="AJ31" s="20" t="n"/>
      <c r="AP31">
        <f>IF(26&gt;MAX($AN$6:$AN$9),"",COUNTIF($AN$6:$AN$9,"&lt;"&amp;26)+1)</f>
        <v/>
      </c>
      <c r="AQ31">
        <f>IF(AP31="","",26-INDEX($AO$6:$AO$9,AP31))</f>
        <v/>
      </c>
      <c r="AR31">
        <f>IF(AP31="","",INDEX(INDIRECT("'"&amp;$B31&amp;"'!$AE$6:$AE$205"),MATCH(AQ31,INDIRECT("'"&amp;$B31&amp;"'!$AI$6:$AI$205"),0)))</f>
        <v/>
      </c>
    </row>
    <row r="32">
      <c r="A32" s="34">
        <f>IF(AP32="","",27)</f>
        <v/>
      </c>
      <c r="B32" s="35">
        <f>IF(AP32="","",INDEX($AL$6:$AL$9,AP32))</f>
        <v/>
      </c>
      <c r="C32" s="34">
        <f>IF(AP32="","",INDEX(INDIRECT("'"&amp;$B32&amp;"'!$B$6:$B$205"),MATCH($AR32,INDIRECT("'"&amp;$B32&amp;"'!$AE$6:$AE$205"),0)))</f>
        <v/>
      </c>
      <c r="D32" s="34">
        <f>IF(AP32="","",INDEX(INDIRECT("'"&amp;$B32&amp;"'!$D$6:$D$205"),MATCH($AR32,INDIRECT("'"&amp;$B32&amp;"'!$AE$6:$AE$205"),0)))</f>
        <v/>
      </c>
      <c r="E32" s="36">
        <f>IF(AP32="","",INDEX(INDIRECT("'"&amp;$B32&amp;"'!$F$6:$F$205"),MATCH($AR32,INDIRECT("'"&amp;$B32&amp;"'!$AE$6:$AE$205"),0)))</f>
        <v/>
      </c>
      <c r="F32" s="34">
        <f>IF(AP32="","",INDEX(INDIRECT("'"&amp;$B32&amp;"'!$K$6:$K$205"),MATCH($AR32,INDIRECT("'"&amp;$B32&amp;"'!$AE$6:$AE$205"),0)))</f>
        <v/>
      </c>
      <c r="G32" s="34">
        <f>IF(AP32="","",INDEX(INDIRECT("'"&amp;$B32&amp;"'!$L$6:$L$205"),MATCH($AR32,INDIRECT("'"&amp;$B32&amp;"'!$AE$6:$AE$205"),0)))</f>
        <v/>
      </c>
      <c r="H32" s="34">
        <f>IF(OR(AP32="",H$5="-"),"",IFERROR(IF(INDEX(INDIRECT("'"&amp;$B32&amp;"'!$N$6:$N$205"),MATCH($AR32&amp;"|"&amp;H$5,INDIRECT("'"&amp;$B32&amp;"'!$AF$6:$AF$205"),0))="","",INDEX(INDIRECT("'"&amp;$B32&amp;"'!$N$6:$N$205"),MATCH($AR32&amp;"|"&amp;H$5,INDIRECT("'"&amp;$B32&amp;"'!$AF$6:$AF$205"),0))),"-"))</f>
        <v/>
      </c>
      <c r="I32" s="34">
        <f>IF(OR(AP32="",I$5="-"),"",IFERROR(IF(INDEX(INDIRECT("'"&amp;$B32&amp;"'!$N$6:$N$205"),MATCH($AR32&amp;"|"&amp;I$5,INDIRECT("'"&amp;$B32&amp;"'!$AF$6:$AF$205"),0))="","",INDEX(INDIRECT("'"&amp;$B32&amp;"'!$N$6:$N$205"),MATCH($AR32&amp;"|"&amp;I$5,INDIRECT("'"&amp;$B32&amp;"'!$AF$6:$AF$205"),0))),"-"))</f>
        <v/>
      </c>
      <c r="J32" s="34">
        <f>IF(OR(AP32="",J$5="-"),"",IFERROR(IF(INDEX(INDIRECT("'"&amp;$B32&amp;"'!$N$6:$N$205"),MATCH($AR32&amp;"|"&amp;J$5,INDIRECT("'"&amp;$B32&amp;"'!$AF$6:$AF$205"),0))="","",INDEX(INDIRECT("'"&amp;$B32&amp;"'!$N$6:$N$205"),MATCH($AR32&amp;"|"&amp;J$5,INDIRECT("'"&amp;$B32&amp;"'!$AF$6:$AF$205"),0))),"-"))</f>
        <v/>
      </c>
      <c r="K32" s="34">
        <f>IF(OR(AP32="",K$5="-"),"",IFERROR(IF(INDEX(INDIRECT("'"&amp;$B32&amp;"'!$N$6:$N$205"),MATCH($AR32&amp;"|"&amp;K$5,INDIRECT("'"&amp;$B32&amp;"'!$AF$6:$AF$205"),0))="","",INDEX(INDIRECT("'"&amp;$B32&amp;"'!$N$6:$N$205"),MATCH($AR32&amp;"|"&amp;K$5,INDIRECT("'"&amp;$B32&amp;"'!$AF$6:$AF$205"),0))),"-"))</f>
        <v/>
      </c>
      <c r="L32" s="34">
        <f>IF(OR(AP32="",L$5="-"),"",IFERROR(IF(INDEX(INDIRECT("'"&amp;$B32&amp;"'!$N$6:$N$205"),MATCH($AR32&amp;"|"&amp;L$5,INDIRECT("'"&amp;$B32&amp;"'!$AF$6:$AF$205"),0))="","",INDEX(INDIRECT("'"&amp;$B32&amp;"'!$N$6:$N$205"),MATCH($AR32&amp;"|"&amp;L$5,INDIRECT("'"&amp;$B32&amp;"'!$AF$6:$AF$205"),0))),"-"))</f>
        <v/>
      </c>
      <c r="M32" s="34">
        <f>IF(OR(AP32="",M$5="-"),"",IFERROR(IF(INDEX(INDIRECT("'"&amp;$B32&amp;"'!$N$6:$N$205"),MATCH($AR32&amp;"|"&amp;M$5,INDIRECT("'"&amp;$B32&amp;"'!$AF$6:$AF$205"),0))="","",INDEX(INDIRECT("'"&amp;$B32&amp;"'!$N$6:$N$205"),MATCH($AR32&amp;"|"&amp;M$5,INDIRECT("'"&amp;$B32&amp;"'!$AF$6:$AF$205"),0))),"-"))</f>
        <v/>
      </c>
      <c r="N32" s="34">
        <f>IF(OR(AP32="",N$5="-"),"",IFERROR(IF(INDEX(INDIRECT("'"&amp;$B32&amp;"'!$N$6:$N$205"),MATCH($AR32&amp;"|"&amp;N$5,INDIRECT("'"&amp;$B32&amp;"'!$AF$6:$AF$205"),0))="","",INDEX(INDIRECT("'"&amp;$B32&amp;"'!$N$6:$N$205"),MATCH($AR32&amp;"|"&amp;N$5,INDIRECT("'"&amp;$B32&amp;"'!$AF$6:$AF$205"),0))),"-"))</f>
        <v/>
      </c>
      <c r="O32" s="34">
        <f>IF(OR(AP32="",O$5="-"),"",IFERROR(IF(INDEX(INDIRECT("'"&amp;$B32&amp;"'!$N$6:$N$205"),MATCH($AR32&amp;"|"&amp;O$5,INDIRECT("'"&amp;$B32&amp;"'!$AF$6:$AF$205"),0))="","",INDEX(INDIRECT("'"&amp;$B32&amp;"'!$N$6:$N$205"),MATCH($AR32&amp;"|"&amp;O$5,INDIRECT("'"&amp;$B32&amp;"'!$AF$6:$AF$205"),0))),"-"))</f>
        <v/>
      </c>
      <c r="P32" s="37">
        <f>IF(OR(AP32="",P$5="-"),"",IFERROR(IF(INDEX(INDIRECT("'"&amp;$B32&amp;"'!$R$6:$R$205"),MATCH($AR32&amp;"|"&amp;P$5,INDIRECT("'"&amp;$B32&amp;"'!$AF$6:$AF$205"),0))="","",INDEX(INDIRECT("'"&amp;$B32&amp;"'!$R$6:$R$205"),MATCH($AR32&amp;"|"&amp;P$5,INDIRECT("'"&amp;$B32&amp;"'!$AF$6:$AF$205"),0))),"-"))</f>
        <v/>
      </c>
      <c r="Q32" s="37">
        <f>IF(OR(AP32="",Q$5="-"),"",IFERROR(IF(INDEX(INDIRECT("'"&amp;$B32&amp;"'!$R$6:$R$205"),MATCH($AR32&amp;"|"&amp;Q$5,INDIRECT("'"&amp;$B32&amp;"'!$AF$6:$AF$205"),0))="","",INDEX(INDIRECT("'"&amp;$B32&amp;"'!$R$6:$R$205"),MATCH($AR32&amp;"|"&amp;Q$5,INDIRECT("'"&amp;$B32&amp;"'!$AF$6:$AF$205"),0))),"-"))</f>
        <v/>
      </c>
      <c r="R32" s="37">
        <f>IF(OR(AP32="",R$5="-"),"",IFERROR(IF(INDEX(INDIRECT("'"&amp;$B32&amp;"'!$R$6:$R$205"),MATCH($AR32&amp;"|"&amp;R$5,INDIRECT("'"&amp;$B32&amp;"'!$AF$6:$AF$205"),0))="","",INDEX(INDIRECT("'"&amp;$B32&amp;"'!$R$6:$R$205"),MATCH($AR32&amp;"|"&amp;R$5,INDIRECT("'"&amp;$B32&amp;"'!$AF$6:$AF$205"),0))),"-"))</f>
        <v/>
      </c>
      <c r="S32" s="37">
        <f>IF(OR(AP32="",S$5="-"),"",IFERROR(IF(INDEX(INDIRECT("'"&amp;$B32&amp;"'!$R$6:$R$205"),MATCH($AR32&amp;"|"&amp;S$5,INDIRECT("'"&amp;$B32&amp;"'!$AF$6:$AF$205"),0))="","",INDEX(INDIRECT("'"&amp;$B32&amp;"'!$R$6:$R$205"),MATCH($AR32&amp;"|"&amp;S$5,INDIRECT("'"&amp;$B32&amp;"'!$AF$6:$AF$205"),0))),"-"))</f>
        <v/>
      </c>
      <c r="T32" s="37">
        <f>IF(OR(AP32="",T$5="-"),"",IFERROR(IF(INDEX(INDIRECT("'"&amp;$B32&amp;"'!$R$6:$R$205"),MATCH($AR32&amp;"|"&amp;T$5,INDIRECT("'"&amp;$B32&amp;"'!$AF$6:$AF$205"),0))="","",INDEX(INDIRECT("'"&amp;$B32&amp;"'!$R$6:$R$205"),MATCH($AR32&amp;"|"&amp;T$5,INDIRECT("'"&amp;$B32&amp;"'!$AF$6:$AF$205"),0))),"-"))</f>
        <v/>
      </c>
      <c r="U32" s="37">
        <f>IF(OR(AP32="",U$5="-"),"",IFERROR(IF(INDEX(INDIRECT("'"&amp;$B32&amp;"'!$R$6:$R$205"),MATCH($AR32&amp;"|"&amp;U$5,INDIRECT("'"&amp;$B32&amp;"'!$AF$6:$AF$205"),0))="","",INDEX(INDIRECT("'"&amp;$B32&amp;"'!$R$6:$R$205"),MATCH($AR32&amp;"|"&amp;U$5,INDIRECT("'"&amp;$B32&amp;"'!$AF$6:$AF$205"),0))),"-"))</f>
        <v/>
      </c>
      <c r="V32" s="37">
        <f>IF(OR(AP32="",V$5="-"),"",IFERROR(IF(INDEX(INDIRECT("'"&amp;$B32&amp;"'!$R$6:$R$205"),MATCH($AR32&amp;"|"&amp;V$5,INDIRECT("'"&amp;$B32&amp;"'!$AF$6:$AF$205"),0))="","",INDEX(INDIRECT("'"&amp;$B32&amp;"'!$R$6:$R$205"),MATCH($AR32&amp;"|"&amp;V$5,INDIRECT("'"&amp;$B32&amp;"'!$AF$6:$AF$205"),0))),"-"))</f>
        <v/>
      </c>
      <c r="W32" s="37">
        <f>IF(OR(AP32="",W$5="-"),"",IFERROR(IF(INDEX(INDIRECT("'"&amp;$B32&amp;"'!$R$6:$R$205"),MATCH($AR32&amp;"|"&amp;W$5,INDIRECT("'"&amp;$B32&amp;"'!$AF$6:$AF$205"),0))="","",INDEX(INDIRECT("'"&amp;$B32&amp;"'!$R$6:$R$205"),MATCH($AR32&amp;"|"&amp;W$5,INDIRECT("'"&amp;$B32&amp;"'!$AF$6:$AF$205"),0))),"-"))</f>
        <v/>
      </c>
      <c r="X32" s="38">
        <f>IF(OR(AP32="",X$5="-"),"",IFERROR(IF(INDEX(INDIRECT("'"&amp;$B32&amp;"'!$T$6:$T$205"),MATCH($AR32&amp;"|"&amp;X$5,INDIRECT("'"&amp;$B32&amp;"'!$AF$6:$AF$205"),0))="","",INDEX(INDIRECT("'"&amp;$B32&amp;"'!$T$6:$T$205"),MATCH($AR32&amp;"|"&amp;X$5,INDIRECT("'"&amp;$B32&amp;"'!$AF$6:$AF$205"),0))),"-"))</f>
        <v/>
      </c>
      <c r="Y32" s="38">
        <f>IF(OR(AP32="",Y$5="-"),"",IFERROR(IF(INDEX(INDIRECT("'"&amp;$B32&amp;"'!$T$6:$T$205"),MATCH($AR32&amp;"|"&amp;Y$5,INDIRECT("'"&amp;$B32&amp;"'!$AF$6:$AF$205"),0))="","",INDEX(INDIRECT("'"&amp;$B32&amp;"'!$T$6:$T$205"),MATCH($AR32&amp;"|"&amp;Y$5,INDIRECT("'"&amp;$B32&amp;"'!$AF$6:$AF$205"),0))),"-"))</f>
        <v/>
      </c>
      <c r="Z32" s="38">
        <f>IF(OR(AP32="",Z$5="-"),"",IFERROR(IF(INDEX(INDIRECT("'"&amp;$B32&amp;"'!$T$6:$T$205"),MATCH($AR32&amp;"|"&amp;Z$5,INDIRECT("'"&amp;$B32&amp;"'!$AF$6:$AF$205"),0))="","",INDEX(INDIRECT("'"&amp;$B32&amp;"'!$T$6:$T$205"),MATCH($AR32&amp;"|"&amp;Z$5,INDIRECT("'"&amp;$B32&amp;"'!$AF$6:$AF$205"),0))),"-"))</f>
        <v/>
      </c>
      <c r="AA32" s="38">
        <f>IF(OR(AP32="",AA$5="-"),"",IFERROR(IF(INDEX(INDIRECT("'"&amp;$B32&amp;"'!$T$6:$T$205"),MATCH($AR32&amp;"|"&amp;AA$5,INDIRECT("'"&amp;$B32&amp;"'!$AF$6:$AF$205"),0))="","",INDEX(INDIRECT("'"&amp;$B32&amp;"'!$T$6:$T$205"),MATCH($AR32&amp;"|"&amp;AA$5,INDIRECT("'"&amp;$B32&amp;"'!$AF$6:$AF$205"),0))),"-"))</f>
        <v/>
      </c>
      <c r="AB32" s="38">
        <f>IF(OR(AP32="",AB$5="-"),"",IFERROR(IF(INDEX(INDIRECT("'"&amp;$B32&amp;"'!$T$6:$T$205"),MATCH($AR32&amp;"|"&amp;AB$5,INDIRECT("'"&amp;$B32&amp;"'!$AF$6:$AF$205"),0))="","",INDEX(INDIRECT("'"&amp;$B32&amp;"'!$T$6:$T$205"),MATCH($AR32&amp;"|"&amp;AB$5,INDIRECT("'"&amp;$B32&amp;"'!$AF$6:$AF$205"),0))),"-"))</f>
        <v/>
      </c>
      <c r="AC32" s="38">
        <f>IF(OR(AP32="",AC$5="-"),"",IFERROR(IF(INDEX(INDIRECT("'"&amp;$B32&amp;"'!$T$6:$T$205"),MATCH($AR32&amp;"|"&amp;AC$5,INDIRECT("'"&amp;$B32&amp;"'!$AF$6:$AF$205"),0))="","",INDEX(INDIRECT("'"&amp;$B32&amp;"'!$T$6:$T$205"),MATCH($AR32&amp;"|"&amp;AC$5,INDIRECT("'"&amp;$B32&amp;"'!$AF$6:$AF$205"),0))),"-"))</f>
        <v/>
      </c>
      <c r="AD32" s="38">
        <f>IF(OR(AP32="",AD$5="-"),"",IFERROR(IF(INDEX(INDIRECT("'"&amp;$B32&amp;"'!$T$6:$T$205"),MATCH($AR32&amp;"|"&amp;AD$5,INDIRECT("'"&amp;$B32&amp;"'!$AF$6:$AF$205"),0))="","",INDEX(INDIRECT("'"&amp;$B32&amp;"'!$T$6:$T$205"),MATCH($AR32&amp;"|"&amp;AD$5,INDIRECT("'"&amp;$B32&amp;"'!$AF$6:$AF$205"),0))),"-"))</f>
        <v/>
      </c>
      <c r="AE32" s="38">
        <f>IF(OR(AP32="",AE$5="-"),"",IFERROR(IF(INDEX(INDIRECT("'"&amp;$B32&amp;"'!$T$6:$T$205"),MATCH($AR32&amp;"|"&amp;AE$5,INDIRECT("'"&amp;$B32&amp;"'!$AF$6:$AF$205"),0))="","",INDEX(INDIRECT("'"&amp;$B32&amp;"'!$T$6:$T$205"),MATCH($AR32&amp;"|"&amp;AE$5,INDIRECT("'"&amp;$B32&amp;"'!$AF$6:$AF$205"),0))),"-"))</f>
        <v/>
      </c>
      <c r="AF32" s="35">
        <f>IF(AG32="","",INDEX($P$5:$W$5,MATCH(AG32,P32:W32,0)))</f>
        <v/>
      </c>
      <c r="AG32" s="37">
        <f>IF(COUNT(P32:W32)=0,"",MIN(P32:W32))</f>
        <v/>
      </c>
      <c r="AH32" s="39">
        <f>IF(AG32="","",AG32*F32)</f>
        <v/>
      </c>
      <c r="AI32" s="39">
        <f>IF(COUNT(P32:W32)&lt;2,"",(MAX(P32:W32)-MIN(P32:W32))*F32)</f>
        <v/>
      </c>
      <c r="AJ32" s="20" t="n"/>
      <c r="AP32">
        <f>IF(27&gt;MAX($AN$6:$AN$9),"",COUNTIF($AN$6:$AN$9,"&lt;"&amp;27)+1)</f>
        <v/>
      </c>
      <c r="AQ32">
        <f>IF(AP32="","",27-INDEX($AO$6:$AO$9,AP32))</f>
        <v/>
      </c>
      <c r="AR32">
        <f>IF(AP32="","",INDEX(INDIRECT("'"&amp;$B32&amp;"'!$AE$6:$AE$205"),MATCH(AQ32,INDIRECT("'"&amp;$B32&amp;"'!$AI$6:$AI$205"),0)))</f>
        <v/>
      </c>
    </row>
    <row r="33">
      <c r="A33" s="34">
        <f>IF(AP33="","",28)</f>
        <v/>
      </c>
      <c r="B33" s="35">
        <f>IF(AP33="","",INDEX($AL$6:$AL$9,AP33))</f>
        <v/>
      </c>
      <c r="C33" s="34">
        <f>IF(AP33="","",INDEX(INDIRECT("'"&amp;$B33&amp;"'!$B$6:$B$205"),MATCH($AR33,INDIRECT("'"&amp;$B33&amp;"'!$AE$6:$AE$205"),0)))</f>
        <v/>
      </c>
      <c r="D33" s="34">
        <f>IF(AP33="","",INDEX(INDIRECT("'"&amp;$B33&amp;"'!$D$6:$D$205"),MATCH($AR33,INDIRECT("'"&amp;$B33&amp;"'!$AE$6:$AE$205"),0)))</f>
        <v/>
      </c>
      <c r="E33" s="36">
        <f>IF(AP33="","",INDEX(INDIRECT("'"&amp;$B33&amp;"'!$F$6:$F$205"),MATCH($AR33,INDIRECT("'"&amp;$B33&amp;"'!$AE$6:$AE$205"),0)))</f>
        <v/>
      </c>
      <c r="F33" s="34">
        <f>IF(AP33="","",INDEX(INDIRECT("'"&amp;$B33&amp;"'!$K$6:$K$205"),MATCH($AR33,INDIRECT("'"&amp;$B33&amp;"'!$AE$6:$AE$205"),0)))</f>
        <v/>
      </c>
      <c r="G33" s="34">
        <f>IF(AP33="","",INDEX(INDIRECT("'"&amp;$B33&amp;"'!$L$6:$L$205"),MATCH($AR33,INDIRECT("'"&amp;$B33&amp;"'!$AE$6:$AE$205"),0)))</f>
        <v/>
      </c>
      <c r="H33" s="34">
        <f>IF(OR(AP33="",H$5="-"),"",IFERROR(IF(INDEX(INDIRECT("'"&amp;$B33&amp;"'!$N$6:$N$205"),MATCH($AR33&amp;"|"&amp;H$5,INDIRECT("'"&amp;$B33&amp;"'!$AF$6:$AF$205"),0))="","",INDEX(INDIRECT("'"&amp;$B33&amp;"'!$N$6:$N$205"),MATCH($AR33&amp;"|"&amp;H$5,INDIRECT("'"&amp;$B33&amp;"'!$AF$6:$AF$205"),0))),"-"))</f>
        <v/>
      </c>
      <c r="I33" s="34">
        <f>IF(OR(AP33="",I$5="-"),"",IFERROR(IF(INDEX(INDIRECT("'"&amp;$B33&amp;"'!$N$6:$N$205"),MATCH($AR33&amp;"|"&amp;I$5,INDIRECT("'"&amp;$B33&amp;"'!$AF$6:$AF$205"),0))="","",INDEX(INDIRECT("'"&amp;$B33&amp;"'!$N$6:$N$205"),MATCH($AR33&amp;"|"&amp;I$5,INDIRECT("'"&amp;$B33&amp;"'!$AF$6:$AF$205"),0))),"-"))</f>
        <v/>
      </c>
      <c r="J33" s="34">
        <f>IF(OR(AP33="",J$5="-"),"",IFERROR(IF(INDEX(INDIRECT("'"&amp;$B33&amp;"'!$N$6:$N$205"),MATCH($AR33&amp;"|"&amp;J$5,INDIRECT("'"&amp;$B33&amp;"'!$AF$6:$AF$205"),0))="","",INDEX(INDIRECT("'"&amp;$B33&amp;"'!$N$6:$N$205"),MATCH($AR33&amp;"|"&amp;J$5,INDIRECT("'"&amp;$B33&amp;"'!$AF$6:$AF$205"),0))),"-"))</f>
        <v/>
      </c>
      <c r="K33" s="34">
        <f>IF(OR(AP33="",K$5="-"),"",IFERROR(IF(INDEX(INDIRECT("'"&amp;$B33&amp;"'!$N$6:$N$205"),MATCH($AR33&amp;"|"&amp;K$5,INDIRECT("'"&amp;$B33&amp;"'!$AF$6:$AF$205"),0))="","",INDEX(INDIRECT("'"&amp;$B33&amp;"'!$N$6:$N$205"),MATCH($AR33&amp;"|"&amp;K$5,INDIRECT("'"&amp;$B33&amp;"'!$AF$6:$AF$205"),0))),"-"))</f>
        <v/>
      </c>
      <c r="L33" s="34">
        <f>IF(OR(AP33="",L$5="-"),"",IFERROR(IF(INDEX(INDIRECT("'"&amp;$B33&amp;"'!$N$6:$N$205"),MATCH($AR33&amp;"|"&amp;L$5,INDIRECT("'"&amp;$B33&amp;"'!$AF$6:$AF$205"),0))="","",INDEX(INDIRECT("'"&amp;$B33&amp;"'!$N$6:$N$205"),MATCH($AR33&amp;"|"&amp;L$5,INDIRECT("'"&amp;$B33&amp;"'!$AF$6:$AF$205"),0))),"-"))</f>
        <v/>
      </c>
      <c r="M33" s="34">
        <f>IF(OR(AP33="",M$5="-"),"",IFERROR(IF(INDEX(INDIRECT("'"&amp;$B33&amp;"'!$N$6:$N$205"),MATCH($AR33&amp;"|"&amp;M$5,INDIRECT("'"&amp;$B33&amp;"'!$AF$6:$AF$205"),0))="","",INDEX(INDIRECT("'"&amp;$B33&amp;"'!$N$6:$N$205"),MATCH($AR33&amp;"|"&amp;M$5,INDIRECT("'"&amp;$B33&amp;"'!$AF$6:$AF$205"),0))),"-"))</f>
        <v/>
      </c>
      <c r="N33" s="34">
        <f>IF(OR(AP33="",N$5="-"),"",IFERROR(IF(INDEX(INDIRECT("'"&amp;$B33&amp;"'!$N$6:$N$205"),MATCH($AR33&amp;"|"&amp;N$5,INDIRECT("'"&amp;$B33&amp;"'!$AF$6:$AF$205"),0))="","",INDEX(INDIRECT("'"&amp;$B33&amp;"'!$N$6:$N$205"),MATCH($AR33&amp;"|"&amp;N$5,INDIRECT("'"&amp;$B33&amp;"'!$AF$6:$AF$205"),0))),"-"))</f>
        <v/>
      </c>
      <c r="O33" s="34">
        <f>IF(OR(AP33="",O$5="-"),"",IFERROR(IF(INDEX(INDIRECT("'"&amp;$B33&amp;"'!$N$6:$N$205"),MATCH($AR33&amp;"|"&amp;O$5,INDIRECT("'"&amp;$B33&amp;"'!$AF$6:$AF$205"),0))="","",INDEX(INDIRECT("'"&amp;$B33&amp;"'!$N$6:$N$205"),MATCH($AR33&amp;"|"&amp;O$5,INDIRECT("'"&amp;$B33&amp;"'!$AF$6:$AF$205"),0))),"-"))</f>
        <v/>
      </c>
      <c r="P33" s="37">
        <f>IF(OR(AP33="",P$5="-"),"",IFERROR(IF(INDEX(INDIRECT("'"&amp;$B33&amp;"'!$R$6:$R$205"),MATCH($AR33&amp;"|"&amp;P$5,INDIRECT("'"&amp;$B33&amp;"'!$AF$6:$AF$205"),0))="","",INDEX(INDIRECT("'"&amp;$B33&amp;"'!$R$6:$R$205"),MATCH($AR33&amp;"|"&amp;P$5,INDIRECT("'"&amp;$B33&amp;"'!$AF$6:$AF$205"),0))),"-"))</f>
        <v/>
      </c>
      <c r="Q33" s="37">
        <f>IF(OR(AP33="",Q$5="-"),"",IFERROR(IF(INDEX(INDIRECT("'"&amp;$B33&amp;"'!$R$6:$R$205"),MATCH($AR33&amp;"|"&amp;Q$5,INDIRECT("'"&amp;$B33&amp;"'!$AF$6:$AF$205"),0))="","",INDEX(INDIRECT("'"&amp;$B33&amp;"'!$R$6:$R$205"),MATCH($AR33&amp;"|"&amp;Q$5,INDIRECT("'"&amp;$B33&amp;"'!$AF$6:$AF$205"),0))),"-"))</f>
        <v/>
      </c>
      <c r="R33" s="37">
        <f>IF(OR(AP33="",R$5="-"),"",IFERROR(IF(INDEX(INDIRECT("'"&amp;$B33&amp;"'!$R$6:$R$205"),MATCH($AR33&amp;"|"&amp;R$5,INDIRECT("'"&amp;$B33&amp;"'!$AF$6:$AF$205"),0))="","",INDEX(INDIRECT("'"&amp;$B33&amp;"'!$R$6:$R$205"),MATCH($AR33&amp;"|"&amp;R$5,INDIRECT("'"&amp;$B33&amp;"'!$AF$6:$AF$205"),0))),"-"))</f>
        <v/>
      </c>
      <c r="S33" s="37">
        <f>IF(OR(AP33="",S$5="-"),"",IFERROR(IF(INDEX(INDIRECT("'"&amp;$B33&amp;"'!$R$6:$R$205"),MATCH($AR33&amp;"|"&amp;S$5,INDIRECT("'"&amp;$B33&amp;"'!$AF$6:$AF$205"),0))="","",INDEX(INDIRECT("'"&amp;$B33&amp;"'!$R$6:$R$205"),MATCH($AR33&amp;"|"&amp;S$5,INDIRECT("'"&amp;$B33&amp;"'!$AF$6:$AF$205"),0))),"-"))</f>
        <v/>
      </c>
      <c r="T33" s="37">
        <f>IF(OR(AP33="",T$5="-"),"",IFERROR(IF(INDEX(INDIRECT("'"&amp;$B33&amp;"'!$R$6:$R$205"),MATCH($AR33&amp;"|"&amp;T$5,INDIRECT("'"&amp;$B33&amp;"'!$AF$6:$AF$205"),0))="","",INDEX(INDIRECT("'"&amp;$B33&amp;"'!$R$6:$R$205"),MATCH($AR33&amp;"|"&amp;T$5,INDIRECT("'"&amp;$B33&amp;"'!$AF$6:$AF$205"),0))),"-"))</f>
        <v/>
      </c>
      <c r="U33" s="37">
        <f>IF(OR(AP33="",U$5="-"),"",IFERROR(IF(INDEX(INDIRECT("'"&amp;$B33&amp;"'!$R$6:$R$205"),MATCH($AR33&amp;"|"&amp;U$5,INDIRECT("'"&amp;$B33&amp;"'!$AF$6:$AF$205"),0))="","",INDEX(INDIRECT("'"&amp;$B33&amp;"'!$R$6:$R$205"),MATCH($AR33&amp;"|"&amp;U$5,INDIRECT("'"&amp;$B33&amp;"'!$AF$6:$AF$205"),0))),"-"))</f>
        <v/>
      </c>
      <c r="V33" s="37">
        <f>IF(OR(AP33="",V$5="-"),"",IFERROR(IF(INDEX(INDIRECT("'"&amp;$B33&amp;"'!$R$6:$R$205"),MATCH($AR33&amp;"|"&amp;V$5,INDIRECT("'"&amp;$B33&amp;"'!$AF$6:$AF$205"),0))="","",INDEX(INDIRECT("'"&amp;$B33&amp;"'!$R$6:$R$205"),MATCH($AR33&amp;"|"&amp;V$5,INDIRECT("'"&amp;$B33&amp;"'!$AF$6:$AF$205"),0))),"-"))</f>
        <v/>
      </c>
      <c r="W33" s="37">
        <f>IF(OR(AP33="",W$5="-"),"",IFERROR(IF(INDEX(INDIRECT("'"&amp;$B33&amp;"'!$R$6:$R$205"),MATCH($AR33&amp;"|"&amp;W$5,INDIRECT("'"&amp;$B33&amp;"'!$AF$6:$AF$205"),0))="","",INDEX(INDIRECT("'"&amp;$B33&amp;"'!$R$6:$R$205"),MATCH($AR33&amp;"|"&amp;W$5,INDIRECT("'"&amp;$B33&amp;"'!$AF$6:$AF$205"),0))),"-"))</f>
        <v/>
      </c>
      <c r="X33" s="38">
        <f>IF(OR(AP33="",X$5="-"),"",IFERROR(IF(INDEX(INDIRECT("'"&amp;$B33&amp;"'!$T$6:$T$205"),MATCH($AR33&amp;"|"&amp;X$5,INDIRECT("'"&amp;$B33&amp;"'!$AF$6:$AF$205"),0))="","",INDEX(INDIRECT("'"&amp;$B33&amp;"'!$T$6:$T$205"),MATCH($AR33&amp;"|"&amp;X$5,INDIRECT("'"&amp;$B33&amp;"'!$AF$6:$AF$205"),0))),"-"))</f>
        <v/>
      </c>
      <c r="Y33" s="38">
        <f>IF(OR(AP33="",Y$5="-"),"",IFERROR(IF(INDEX(INDIRECT("'"&amp;$B33&amp;"'!$T$6:$T$205"),MATCH($AR33&amp;"|"&amp;Y$5,INDIRECT("'"&amp;$B33&amp;"'!$AF$6:$AF$205"),0))="","",INDEX(INDIRECT("'"&amp;$B33&amp;"'!$T$6:$T$205"),MATCH($AR33&amp;"|"&amp;Y$5,INDIRECT("'"&amp;$B33&amp;"'!$AF$6:$AF$205"),0))),"-"))</f>
        <v/>
      </c>
      <c r="Z33" s="38">
        <f>IF(OR(AP33="",Z$5="-"),"",IFERROR(IF(INDEX(INDIRECT("'"&amp;$B33&amp;"'!$T$6:$T$205"),MATCH($AR33&amp;"|"&amp;Z$5,INDIRECT("'"&amp;$B33&amp;"'!$AF$6:$AF$205"),0))="","",INDEX(INDIRECT("'"&amp;$B33&amp;"'!$T$6:$T$205"),MATCH($AR33&amp;"|"&amp;Z$5,INDIRECT("'"&amp;$B33&amp;"'!$AF$6:$AF$205"),0))),"-"))</f>
        <v/>
      </c>
      <c r="AA33" s="38">
        <f>IF(OR(AP33="",AA$5="-"),"",IFERROR(IF(INDEX(INDIRECT("'"&amp;$B33&amp;"'!$T$6:$T$205"),MATCH($AR33&amp;"|"&amp;AA$5,INDIRECT("'"&amp;$B33&amp;"'!$AF$6:$AF$205"),0))="","",INDEX(INDIRECT("'"&amp;$B33&amp;"'!$T$6:$T$205"),MATCH($AR33&amp;"|"&amp;AA$5,INDIRECT("'"&amp;$B33&amp;"'!$AF$6:$AF$205"),0))),"-"))</f>
        <v/>
      </c>
      <c r="AB33" s="38">
        <f>IF(OR(AP33="",AB$5="-"),"",IFERROR(IF(INDEX(INDIRECT("'"&amp;$B33&amp;"'!$T$6:$T$205"),MATCH($AR33&amp;"|"&amp;AB$5,INDIRECT("'"&amp;$B33&amp;"'!$AF$6:$AF$205"),0))="","",INDEX(INDIRECT("'"&amp;$B33&amp;"'!$T$6:$T$205"),MATCH($AR33&amp;"|"&amp;AB$5,INDIRECT("'"&amp;$B33&amp;"'!$AF$6:$AF$205"),0))),"-"))</f>
        <v/>
      </c>
      <c r="AC33" s="38">
        <f>IF(OR(AP33="",AC$5="-"),"",IFERROR(IF(INDEX(INDIRECT("'"&amp;$B33&amp;"'!$T$6:$T$205"),MATCH($AR33&amp;"|"&amp;AC$5,INDIRECT("'"&amp;$B33&amp;"'!$AF$6:$AF$205"),0))="","",INDEX(INDIRECT("'"&amp;$B33&amp;"'!$T$6:$T$205"),MATCH($AR33&amp;"|"&amp;AC$5,INDIRECT("'"&amp;$B33&amp;"'!$AF$6:$AF$205"),0))),"-"))</f>
        <v/>
      </c>
      <c r="AD33" s="38">
        <f>IF(OR(AP33="",AD$5="-"),"",IFERROR(IF(INDEX(INDIRECT("'"&amp;$B33&amp;"'!$T$6:$T$205"),MATCH($AR33&amp;"|"&amp;AD$5,INDIRECT("'"&amp;$B33&amp;"'!$AF$6:$AF$205"),0))="","",INDEX(INDIRECT("'"&amp;$B33&amp;"'!$T$6:$T$205"),MATCH($AR33&amp;"|"&amp;AD$5,INDIRECT("'"&amp;$B33&amp;"'!$AF$6:$AF$205"),0))),"-"))</f>
        <v/>
      </c>
      <c r="AE33" s="38">
        <f>IF(OR(AP33="",AE$5="-"),"",IFERROR(IF(INDEX(INDIRECT("'"&amp;$B33&amp;"'!$T$6:$T$205"),MATCH($AR33&amp;"|"&amp;AE$5,INDIRECT("'"&amp;$B33&amp;"'!$AF$6:$AF$205"),0))="","",INDEX(INDIRECT("'"&amp;$B33&amp;"'!$T$6:$T$205"),MATCH($AR33&amp;"|"&amp;AE$5,INDIRECT("'"&amp;$B33&amp;"'!$AF$6:$AF$205"),0))),"-"))</f>
        <v/>
      </c>
      <c r="AF33" s="35">
        <f>IF(AG33="","",INDEX($P$5:$W$5,MATCH(AG33,P33:W33,0)))</f>
        <v/>
      </c>
      <c r="AG33" s="37">
        <f>IF(COUNT(P33:W33)=0,"",MIN(P33:W33))</f>
        <v/>
      </c>
      <c r="AH33" s="39">
        <f>IF(AG33="","",AG33*F33)</f>
        <v/>
      </c>
      <c r="AI33" s="39">
        <f>IF(COUNT(P33:W33)&lt;2,"",(MAX(P33:W33)-MIN(P33:W33))*F33)</f>
        <v/>
      </c>
      <c r="AJ33" s="20" t="n"/>
      <c r="AP33">
        <f>IF(28&gt;MAX($AN$6:$AN$9),"",COUNTIF($AN$6:$AN$9,"&lt;"&amp;28)+1)</f>
        <v/>
      </c>
      <c r="AQ33">
        <f>IF(AP33="","",28-INDEX($AO$6:$AO$9,AP33))</f>
        <v/>
      </c>
      <c r="AR33">
        <f>IF(AP33="","",INDEX(INDIRECT("'"&amp;$B33&amp;"'!$AE$6:$AE$205"),MATCH(AQ33,INDIRECT("'"&amp;$B33&amp;"'!$AI$6:$AI$205"),0)))</f>
        <v/>
      </c>
    </row>
    <row r="34">
      <c r="A34" s="34">
        <f>IF(AP34="","",29)</f>
        <v/>
      </c>
      <c r="B34" s="35">
        <f>IF(AP34="","",INDEX($AL$6:$AL$9,AP34))</f>
        <v/>
      </c>
      <c r="C34" s="34">
        <f>IF(AP34="","",INDEX(INDIRECT("'"&amp;$B34&amp;"'!$B$6:$B$205"),MATCH($AR34,INDIRECT("'"&amp;$B34&amp;"'!$AE$6:$AE$205"),0)))</f>
        <v/>
      </c>
      <c r="D34" s="34">
        <f>IF(AP34="","",INDEX(INDIRECT("'"&amp;$B34&amp;"'!$D$6:$D$205"),MATCH($AR34,INDIRECT("'"&amp;$B34&amp;"'!$AE$6:$AE$205"),0)))</f>
        <v/>
      </c>
      <c r="E34" s="36">
        <f>IF(AP34="","",INDEX(INDIRECT("'"&amp;$B34&amp;"'!$F$6:$F$205"),MATCH($AR34,INDIRECT("'"&amp;$B34&amp;"'!$AE$6:$AE$205"),0)))</f>
        <v/>
      </c>
      <c r="F34" s="34">
        <f>IF(AP34="","",INDEX(INDIRECT("'"&amp;$B34&amp;"'!$K$6:$K$205"),MATCH($AR34,INDIRECT("'"&amp;$B34&amp;"'!$AE$6:$AE$205"),0)))</f>
        <v/>
      </c>
      <c r="G34" s="34">
        <f>IF(AP34="","",INDEX(INDIRECT("'"&amp;$B34&amp;"'!$L$6:$L$205"),MATCH($AR34,INDIRECT("'"&amp;$B34&amp;"'!$AE$6:$AE$205"),0)))</f>
        <v/>
      </c>
      <c r="H34" s="34">
        <f>IF(OR(AP34="",H$5="-"),"",IFERROR(IF(INDEX(INDIRECT("'"&amp;$B34&amp;"'!$N$6:$N$205"),MATCH($AR34&amp;"|"&amp;H$5,INDIRECT("'"&amp;$B34&amp;"'!$AF$6:$AF$205"),0))="","",INDEX(INDIRECT("'"&amp;$B34&amp;"'!$N$6:$N$205"),MATCH($AR34&amp;"|"&amp;H$5,INDIRECT("'"&amp;$B34&amp;"'!$AF$6:$AF$205"),0))),"-"))</f>
        <v/>
      </c>
      <c r="I34" s="34">
        <f>IF(OR(AP34="",I$5="-"),"",IFERROR(IF(INDEX(INDIRECT("'"&amp;$B34&amp;"'!$N$6:$N$205"),MATCH($AR34&amp;"|"&amp;I$5,INDIRECT("'"&amp;$B34&amp;"'!$AF$6:$AF$205"),0))="","",INDEX(INDIRECT("'"&amp;$B34&amp;"'!$N$6:$N$205"),MATCH($AR34&amp;"|"&amp;I$5,INDIRECT("'"&amp;$B34&amp;"'!$AF$6:$AF$205"),0))),"-"))</f>
        <v/>
      </c>
      <c r="J34" s="34">
        <f>IF(OR(AP34="",J$5="-"),"",IFERROR(IF(INDEX(INDIRECT("'"&amp;$B34&amp;"'!$N$6:$N$205"),MATCH($AR34&amp;"|"&amp;J$5,INDIRECT("'"&amp;$B34&amp;"'!$AF$6:$AF$205"),0))="","",INDEX(INDIRECT("'"&amp;$B34&amp;"'!$N$6:$N$205"),MATCH($AR34&amp;"|"&amp;J$5,INDIRECT("'"&amp;$B34&amp;"'!$AF$6:$AF$205"),0))),"-"))</f>
        <v/>
      </c>
      <c r="K34" s="34">
        <f>IF(OR(AP34="",K$5="-"),"",IFERROR(IF(INDEX(INDIRECT("'"&amp;$B34&amp;"'!$N$6:$N$205"),MATCH($AR34&amp;"|"&amp;K$5,INDIRECT("'"&amp;$B34&amp;"'!$AF$6:$AF$205"),0))="","",INDEX(INDIRECT("'"&amp;$B34&amp;"'!$N$6:$N$205"),MATCH($AR34&amp;"|"&amp;K$5,INDIRECT("'"&amp;$B34&amp;"'!$AF$6:$AF$205"),0))),"-"))</f>
        <v/>
      </c>
      <c r="L34" s="34">
        <f>IF(OR(AP34="",L$5="-"),"",IFERROR(IF(INDEX(INDIRECT("'"&amp;$B34&amp;"'!$N$6:$N$205"),MATCH($AR34&amp;"|"&amp;L$5,INDIRECT("'"&amp;$B34&amp;"'!$AF$6:$AF$205"),0))="","",INDEX(INDIRECT("'"&amp;$B34&amp;"'!$N$6:$N$205"),MATCH($AR34&amp;"|"&amp;L$5,INDIRECT("'"&amp;$B34&amp;"'!$AF$6:$AF$205"),0))),"-"))</f>
        <v/>
      </c>
      <c r="M34" s="34">
        <f>IF(OR(AP34="",M$5="-"),"",IFERROR(IF(INDEX(INDIRECT("'"&amp;$B34&amp;"'!$N$6:$N$205"),MATCH($AR34&amp;"|"&amp;M$5,INDIRECT("'"&amp;$B34&amp;"'!$AF$6:$AF$205"),0))="","",INDEX(INDIRECT("'"&amp;$B34&amp;"'!$N$6:$N$205"),MATCH($AR34&amp;"|"&amp;M$5,INDIRECT("'"&amp;$B34&amp;"'!$AF$6:$AF$205"),0))),"-"))</f>
        <v/>
      </c>
      <c r="N34" s="34">
        <f>IF(OR(AP34="",N$5="-"),"",IFERROR(IF(INDEX(INDIRECT("'"&amp;$B34&amp;"'!$N$6:$N$205"),MATCH($AR34&amp;"|"&amp;N$5,INDIRECT("'"&amp;$B34&amp;"'!$AF$6:$AF$205"),0))="","",INDEX(INDIRECT("'"&amp;$B34&amp;"'!$N$6:$N$205"),MATCH($AR34&amp;"|"&amp;N$5,INDIRECT("'"&amp;$B34&amp;"'!$AF$6:$AF$205"),0))),"-"))</f>
        <v/>
      </c>
      <c r="O34" s="34">
        <f>IF(OR(AP34="",O$5="-"),"",IFERROR(IF(INDEX(INDIRECT("'"&amp;$B34&amp;"'!$N$6:$N$205"),MATCH($AR34&amp;"|"&amp;O$5,INDIRECT("'"&amp;$B34&amp;"'!$AF$6:$AF$205"),0))="","",INDEX(INDIRECT("'"&amp;$B34&amp;"'!$N$6:$N$205"),MATCH($AR34&amp;"|"&amp;O$5,INDIRECT("'"&amp;$B34&amp;"'!$AF$6:$AF$205"),0))),"-"))</f>
        <v/>
      </c>
      <c r="P34" s="37">
        <f>IF(OR(AP34="",P$5="-"),"",IFERROR(IF(INDEX(INDIRECT("'"&amp;$B34&amp;"'!$R$6:$R$205"),MATCH($AR34&amp;"|"&amp;P$5,INDIRECT("'"&amp;$B34&amp;"'!$AF$6:$AF$205"),0))="","",INDEX(INDIRECT("'"&amp;$B34&amp;"'!$R$6:$R$205"),MATCH($AR34&amp;"|"&amp;P$5,INDIRECT("'"&amp;$B34&amp;"'!$AF$6:$AF$205"),0))),"-"))</f>
        <v/>
      </c>
      <c r="Q34" s="37">
        <f>IF(OR(AP34="",Q$5="-"),"",IFERROR(IF(INDEX(INDIRECT("'"&amp;$B34&amp;"'!$R$6:$R$205"),MATCH($AR34&amp;"|"&amp;Q$5,INDIRECT("'"&amp;$B34&amp;"'!$AF$6:$AF$205"),0))="","",INDEX(INDIRECT("'"&amp;$B34&amp;"'!$R$6:$R$205"),MATCH($AR34&amp;"|"&amp;Q$5,INDIRECT("'"&amp;$B34&amp;"'!$AF$6:$AF$205"),0))),"-"))</f>
        <v/>
      </c>
      <c r="R34" s="37">
        <f>IF(OR(AP34="",R$5="-"),"",IFERROR(IF(INDEX(INDIRECT("'"&amp;$B34&amp;"'!$R$6:$R$205"),MATCH($AR34&amp;"|"&amp;R$5,INDIRECT("'"&amp;$B34&amp;"'!$AF$6:$AF$205"),0))="","",INDEX(INDIRECT("'"&amp;$B34&amp;"'!$R$6:$R$205"),MATCH($AR34&amp;"|"&amp;R$5,INDIRECT("'"&amp;$B34&amp;"'!$AF$6:$AF$205"),0))),"-"))</f>
        <v/>
      </c>
      <c r="S34" s="37">
        <f>IF(OR(AP34="",S$5="-"),"",IFERROR(IF(INDEX(INDIRECT("'"&amp;$B34&amp;"'!$R$6:$R$205"),MATCH($AR34&amp;"|"&amp;S$5,INDIRECT("'"&amp;$B34&amp;"'!$AF$6:$AF$205"),0))="","",INDEX(INDIRECT("'"&amp;$B34&amp;"'!$R$6:$R$205"),MATCH($AR34&amp;"|"&amp;S$5,INDIRECT("'"&amp;$B34&amp;"'!$AF$6:$AF$205"),0))),"-"))</f>
        <v/>
      </c>
      <c r="T34" s="37">
        <f>IF(OR(AP34="",T$5="-"),"",IFERROR(IF(INDEX(INDIRECT("'"&amp;$B34&amp;"'!$R$6:$R$205"),MATCH($AR34&amp;"|"&amp;T$5,INDIRECT("'"&amp;$B34&amp;"'!$AF$6:$AF$205"),0))="","",INDEX(INDIRECT("'"&amp;$B34&amp;"'!$R$6:$R$205"),MATCH($AR34&amp;"|"&amp;T$5,INDIRECT("'"&amp;$B34&amp;"'!$AF$6:$AF$205"),0))),"-"))</f>
        <v/>
      </c>
      <c r="U34" s="37">
        <f>IF(OR(AP34="",U$5="-"),"",IFERROR(IF(INDEX(INDIRECT("'"&amp;$B34&amp;"'!$R$6:$R$205"),MATCH($AR34&amp;"|"&amp;U$5,INDIRECT("'"&amp;$B34&amp;"'!$AF$6:$AF$205"),0))="","",INDEX(INDIRECT("'"&amp;$B34&amp;"'!$R$6:$R$205"),MATCH($AR34&amp;"|"&amp;U$5,INDIRECT("'"&amp;$B34&amp;"'!$AF$6:$AF$205"),0))),"-"))</f>
        <v/>
      </c>
      <c r="V34" s="37">
        <f>IF(OR(AP34="",V$5="-"),"",IFERROR(IF(INDEX(INDIRECT("'"&amp;$B34&amp;"'!$R$6:$R$205"),MATCH($AR34&amp;"|"&amp;V$5,INDIRECT("'"&amp;$B34&amp;"'!$AF$6:$AF$205"),0))="","",INDEX(INDIRECT("'"&amp;$B34&amp;"'!$R$6:$R$205"),MATCH($AR34&amp;"|"&amp;V$5,INDIRECT("'"&amp;$B34&amp;"'!$AF$6:$AF$205"),0))),"-"))</f>
        <v/>
      </c>
      <c r="W34" s="37">
        <f>IF(OR(AP34="",W$5="-"),"",IFERROR(IF(INDEX(INDIRECT("'"&amp;$B34&amp;"'!$R$6:$R$205"),MATCH($AR34&amp;"|"&amp;W$5,INDIRECT("'"&amp;$B34&amp;"'!$AF$6:$AF$205"),0))="","",INDEX(INDIRECT("'"&amp;$B34&amp;"'!$R$6:$R$205"),MATCH($AR34&amp;"|"&amp;W$5,INDIRECT("'"&amp;$B34&amp;"'!$AF$6:$AF$205"),0))),"-"))</f>
        <v/>
      </c>
      <c r="X34" s="38">
        <f>IF(OR(AP34="",X$5="-"),"",IFERROR(IF(INDEX(INDIRECT("'"&amp;$B34&amp;"'!$T$6:$T$205"),MATCH($AR34&amp;"|"&amp;X$5,INDIRECT("'"&amp;$B34&amp;"'!$AF$6:$AF$205"),0))="","",INDEX(INDIRECT("'"&amp;$B34&amp;"'!$T$6:$T$205"),MATCH($AR34&amp;"|"&amp;X$5,INDIRECT("'"&amp;$B34&amp;"'!$AF$6:$AF$205"),0))),"-"))</f>
        <v/>
      </c>
      <c r="Y34" s="38">
        <f>IF(OR(AP34="",Y$5="-"),"",IFERROR(IF(INDEX(INDIRECT("'"&amp;$B34&amp;"'!$T$6:$T$205"),MATCH($AR34&amp;"|"&amp;Y$5,INDIRECT("'"&amp;$B34&amp;"'!$AF$6:$AF$205"),0))="","",INDEX(INDIRECT("'"&amp;$B34&amp;"'!$T$6:$T$205"),MATCH($AR34&amp;"|"&amp;Y$5,INDIRECT("'"&amp;$B34&amp;"'!$AF$6:$AF$205"),0))),"-"))</f>
        <v/>
      </c>
      <c r="Z34" s="38">
        <f>IF(OR(AP34="",Z$5="-"),"",IFERROR(IF(INDEX(INDIRECT("'"&amp;$B34&amp;"'!$T$6:$T$205"),MATCH($AR34&amp;"|"&amp;Z$5,INDIRECT("'"&amp;$B34&amp;"'!$AF$6:$AF$205"),0))="","",INDEX(INDIRECT("'"&amp;$B34&amp;"'!$T$6:$T$205"),MATCH($AR34&amp;"|"&amp;Z$5,INDIRECT("'"&amp;$B34&amp;"'!$AF$6:$AF$205"),0))),"-"))</f>
        <v/>
      </c>
      <c r="AA34" s="38">
        <f>IF(OR(AP34="",AA$5="-"),"",IFERROR(IF(INDEX(INDIRECT("'"&amp;$B34&amp;"'!$T$6:$T$205"),MATCH($AR34&amp;"|"&amp;AA$5,INDIRECT("'"&amp;$B34&amp;"'!$AF$6:$AF$205"),0))="","",INDEX(INDIRECT("'"&amp;$B34&amp;"'!$T$6:$T$205"),MATCH($AR34&amp;"|"&amp;AA$5,INDIRECT("'"&amp;$B34&amp;"'!$AF$6:$AF$205"),0))),"-"))</f>
        <v/>
      </c>
      <c r="AB34" s="38">
        <f>IF(OR(AP34="",AB$5="-"),"",IFERROR(IF(INDEX(INDIRECT("'"&amp;$B34&amp;"'!$T$6:$T$205"),MATCH($AR34&amp;"|"&amp;AB$5,INDIRECT("'"&amp;$B34&amp;"'!$AF$6:$AF$205"),0))="","",INDEX(INDIRECT("'"&amp;$B34&amp;"'!$T$6:$T$205"),MATCH($AR34&amp;"|"&amp;AB$5,INDIRECT("'"&amp;$B34&amp;"'!$AF$6:$AF$205"),0))),"-"))</f>
        <v/>
      </c>
      <c r="AC34" s="38">
        <f>IF(OR(AP34="",AC$5="-"),"",IFERROR(IF(INDEX(INDIRECT("'"&amp;$B34&amp;"'!$T$6:$T$205"),MATCH($AR34&amp;"|"&amp;AC$5,INDIRECT("'"&amp;$B34&amp;"'!$AF$6:$AF$205"),0))="","",INDEX(INDIRECT("'"&amp;$B34&amp;"'!$T$6:$T$205"),MATCH($AR34&amp;"|"&amp;AC$5,INDIRECT("'"&amp;$B34&amp;"'!$AF$6:$AF$205"),0))),"-"))</f>
        <v/>
      </c>
      <c r="AD34" s="38">
        <f>IF(OR(AP34="",AD$5="-"),"",IFERROR(IF(INDEX(INDIRECT("'"&amp;$B34&amp;"'!$T$6:$T$205"),MATCH($AR34&amp;"|"&amp;AD$5,INDIRECT("'"&amp;$B34&amp;"'!$AF$6:$AF$205"),0))="","",INDEX(INDIRECT("'"&amp;$B34&amp;"'!$T$6:$T$205"),MATCH($AR34&amp;"|"&amp;AD$5,INDIRECT("'"&amp;$B34&amp;"'!$AF$6:$AF$205"),0))),"-"))</f>
        <v/>
      </c>
      <c r="AE34" s="38">
        <f>IF(OR(AP34="",AE$5="-"),"",IFERROR(IF(INDEX(INDIRECT("'"&amp;$B34&amp;"'!$T$6:$T$205"),MATCH($AR34&amp;"|"&amp;AE$5,INDIRECT("'"&amp;$B34&amp;"'!$AF$6:$AF$205"),0))="","",INDEX(INDIRECT("'"&amp;$B34&amp;"'!$T$6:$T$205"),MATCH($AR34&amp;"|"&amp;AE$5,INDIRECT("'"&amp;$B34&amp;"'!$AF$6:$AF$205"),0))),"-"))</f>
        <v/>
      </c>
      <c r="AF34" s="35">
        <f>IF(AG34="","",INDEX($P$5:$W$5,MATCH(AG34,P34:W34,0)))</f>
        <v/>
      </c>
      <c r="AG34" s="37">
        <f>IF(COUNT(P34:W34)=0,"",MIN(P34:W34))</f>
        <v/>
      </c>
      <c r="AH34" s="39">
        <f>IF(AG34="","",AG34*F34)</f>
        <v/>
      </c>
      <c r="AI34" s="39">
        <f>IF(COUNT(P34:W34)&lt;2,"",(MAX(P34:W34)-MIN(P34:W34))*F34)</f>
        <v/>
      </c>
      <c r="AJ34" s="20" t="n"/>
      <c r="AP34">
        <f>IF(29&gt;MAX($AN$6:$AN$9),"",COUNTIF($AN$6:$AN$9,"&lt;"&amp;29)+1)</f>
        <v/>
      </c>
      <c r="AQ34">
        <f>IF(AP34="","",29-INDEX($AO$6:$AO$9,AP34))</f>
        <v/>
      </c>
      <c r="AR34">
        <f>IF(AP34="","",INDEX(INDIRECT("'"&amp;$B34&amp;"'!$AE$6:$AE$205"),MATCH(AQ34,INDIRECT("'"&amp;$B34&amp;"'!$AI$6:$AI$205"),0)))</f>
        <v/>
      </c>
    </row>
    <row r="35">
      <c r="A35" s="34">
        <f>IF(AP35="","",30)</f>
        <v/>
      </c>
      <c r="B35" s="35">
        <f>IF(AP35="","",INDEX($AL$6:$AL$9,AP35))</f>
        <v/>
      </c>
      <c r="C35" s="34">
        <f>IF(AP35="","",INDEX(INDIRECT("'"&amp;$B35&amp;"'!$B$6:$B$205"),MATCH($AR35,INDIRECT("'"&amp;$B35&amp;"'!$AE$6:$AE$205"),0)))</f>
        <v/>
      </c>
      <c r="D35" s="34">
        <f>IF(AP35="","",INDEX(INDIRECT("'"&amp;$B35&amp;"'!$D$6:$D$205"),MATCH($AR35,INDIRECT("'"&amp;$B35&amp;"'!$AE$6:$AE$205"),0)))</f>
        <v/>
      </c>
      <c r="E35" s="36">
        <f>IF(AP35="","",INDEX(INDIRECT("'"&amp;$B35&amp;"'!$F$6:$F$205"),MATCH($AR35,INDIRECT("'"&amp;$B35&amp;"'!$AE$6:$AE$205"),0)))</f>
        <v/>
      </c>
      <c r="F35" s="34">
        <f>IF(AP35="","",INDEX(INDIRECT("'"&amp;$B35&amp;"'!$K$6:$K$205"),MATCH($AR35,INDIRECT("'"&amp;$B35&amp;"'!$AE$6:$AE$205"),0)))</f>
        <v/>
      </c>
      <c r="G35" s="34">
        <f>IF(AP35="","",INDEX(INDIRECT("'"&amp;$B35&amp;"'!$L$6:$L$205"),MATCH($AR35,INDIRECT("'"&amp;$B35&amp;"'!$AE$6:$AE$205"),0)))</f>
        <v/>
      </c>
      <c r="H35" s="34">
        <f>IF(OR(AP35="",H$5="-"),"",IFERROR(IF(INDEX(INDIRECT("'"&amp;$B35&amp;"'!$N$6:$N$205"),MATCH($AR35&amp;"|"&amp;H$5,INDIRECT("'"&amp;$B35&amp;"'!$AF$6:$AF$205"),0))="","",INDEX(INDIRECT("'"&amp;$B35&amp;"'!$N$6:$N$205"),MATCH($AR35&amp;"|"&amp;H$5,INDIRECT("'"&amp;$B35&amp;"'!$AF$6:$AF$205"),0))),"-"))</f>
        <v/>
      </c>
      <c r="I35" s="34">
        <f>IF(OR(AP35="",I$5="-"),"",IFERROR(IF(INDEX(INDIRECT("'"&amp;$B35&amp;"'!$N$6:$N$205"),MATCH($AR35&amp;"|"&amp;I$5,INDIRECT("'"&amp;$B35&amp;"'!$AF$6:$AF$205"),0))="","",INDEX(INDIRECT("'"&amp;$B35&amp;"'!$N$6:$N$205"),MATCH($AR35&amp;"|"&amp;I$5,INDIRECT("'"&amp;$B35&amp;"'!$AF$6:$AF$205"),0))),"-"))</f>
        <v/>
      </c>
      <c r="J35" s="34">
        <f>IF(OR(AP35="",J$5="-"),"",IFERROR(IF(INDEX(INDIRECT("'"&amp;$B35&amp;"'!$N$6:$N$205"),MATCH($AR35&amp;"|"&amp;J$5,INDIRECT("'"&amp;$B35&amp;"'!$AF$6:$AF$205"),0))="","",INDEX(INDIRECT("'"&amp;$B35&amp;"'!$N$6:$N$205"),MATCH($AR35&amp;"|"&amp;J$5,INDIRECT("'"&amp;$B35&amp;"'!$AF$6:$AF$205"),0))),"-"))</f>
        <v/>
      </c>
      <c r="K35" s="34">
        <f>IF(OR(AP35="",K$5="-"),"",IFERROR(IF(INDEX(INDIRECT("'"&amp;$B35&amp;"'!$N$6:$N$205"),MATCH($AR35&amp;"|"&amp;K$5,INDIRECT("'"&amp;$B35&amp;"'!$AF$6:$AF$205"),0))="","",INDEX(INDIRECT("'"&amp;$B35&amp;"'!$N$6:$N$205"),MATCH($AR35&amp;"|"&amp;K$5,INDIRECT("'"&amp;$B35&amp;"'!$AF$6:$AF$205"),0))),"-"))</f>
        <v/>
      </c>
      <c r="L35" s="34">
        <f>IF(OR(AP35="",L$5="-"),"",IFERROR(IF(INDEX(INDIRECT("'"&amp;$B35&amp;"'!$N$6:$N$205"),MATCH($AR35&amp;"|"&amp;L$5,INDIRECT("'"&amp;$B35&amp;"'!$AF$6:$AF$205"),0))="","",INDEX(INDIRECT("'"&amp;$B35&amp;"'!$N$6:$N$205"),MATCH($AR35&amp;"|"&amp;L$5,INDIRECT("'"&amp;$B35&amp;"'!$AF$6:$AF$205"),0))),"-"))</f>
        <v/>
      </c>
      <c r="M35" s="34">
        <f>IF(OR(AP35="",M$5="-"),"",IFERROR(IF(INDEX(INDIRECT("'"&amp;$B35&amp;"'!$N$6:$N$205"),MATCH($AR35&amp;"|"&amp;M$5,INDIRECT("'"&amp;$B35&amp;"'!$AF$6:$AF$205"),0))="","",INDEX(INDIRECT("'"&amp;$B35&amp;"'!$N$6:$N$205"),MATCH($AR35&amp;"|"&amp;M$5,INDIRECT("'"&amp;$B35&amp;"'!$AF$6:$AF$205"),0))),"-"))</f>
        <v/>
      </c>
      <c r="N35" s="34">
        <f>IF(OR(AP35="",N$5="-"),"",IFERROR(IF(INDEX(INDIRECT("'"&amp;$B35&amp;"'!$N$6:$N$205"),MATCH($AR35&amp;"|"&amp;N$5,INDIRECT("'"&amp;$B35&amp;"'!$AF$6:$AF$205"),0))="","",INDEX(INDIRECT("'"&amp;$B35&amp;"'!$N$6:$N$205"),MATCH($AR35&amp;"|"&amp;N$5,INDIRECT("'"&amp;$B35&amp;"'!$AF$6:$AF$205"),0))),"-"))</f>
        <v/>
      </c>
      <c r="O35" s="34">
        <f>IF(OR(AP35="",O$5="-"),"",IFERROR(IF(INDEX(INDIRECT("'"&amp;$B35&amp;"'!$N$6:$N$205"),MATCH($AR35&amp;"|"&amp;O$5,INDIRECT("'"&amp;$B35&amp;"'!$AF$6:$AF$205"),0))="","",INDEX(INDIRECT("'"&amp;$B35&amp;"'!$N$6:$N$205"),MATCH($AR35&amp;"|"&amp;O$5,INDIRECT("'"&amp;$B35&amp;"'!$AF$6:$AF$205"),0))),"-"))</f>
        <v/>
      </c>
      <c r="P35" s="37">
        <f>IF(OR(AP35="",P$5="-"),"",IFERROR(IF(INDEX(INDIRECT("'"&amp;$B35&amp;"'!$R$6:$R$205"),MATCH($AR35&amp;"|"&amp;P$5,INDIRECT("'"&amp;$B35&amp;"'!$AF$6:$AF$205"),0))="","",INDEX(INDIRECT("'"&amp;$B35&amp;"'!$R$6:$R$205"),MATCH($AR35&amp;"|"&amp;P$5,INDIRECT("'"&amp;$B35&amp;"'!$AF$6:$AF$205"),0))),"-"))</f>
        <v/>
      </c>
      <c r="Q35" s="37">
        <f>IF(OR(AP35="",Q$5="-"),"",IFERROR(IF(INDEX(INDIRECT("'"&amp;$B35&amp;"'!$R$6:$R$205"),MATCH($AR35&amp;"|"&amp;Q$5,INDIRECT("'"&amp;$B35&amp;"'!$AF$6:$AF$205"),0))="","",INDEX(INDIRECT("'"&amp;$B35&amp;"'!$R$6:$R$205"),MATCH($AR35&amp;"|"&amp;Q$5,INDIRECT("'"&amp;$B35&amp;"'!$AF$6:$AF$205"),0))),"-"))</f>
        <v/>
      </c>
      <c r="R35" s="37">
        <f>IF(OR(AP35="",R$5="-"),"",IFERROR(IF(INDEX(INDIRECT("'"&amp;$B35&amp;"'!$R$6:$R$205"),MATCH($AR35&amp;"|"&amp;R$5,INDIRECT("'"&amp;$B35&amp;"'!$AF$6:$AF$205"),0))="","",INDEX(INDIRECT("'"&amp;$B35&amp;"'!$R$6:$R$205"),MATCH($AR35&amp;"|"&amp;R$5,INDIRECT("'"&amp;$B35&amp;"'!$AF$6:$AF$205"),0))),"-"))</f>
        <v/>
      </c>
      <c r="S35" s="37">
        <f>IF(OR(AP35="",S$5="-"),"",IFERROR(IF(INDEX(INDIRECT("'"&amp;$B35&amp;"'!$R$6:$R$205"),MATCH($AR35&amp;"|"&amp;S$5,INDIRECT("'"&amp;$B35&amp;"'!$AF$6:$AF$205"),0))="","",INDEX(INDIRECT("'"&amp;$B35&amp;"'!$R$6:$R$205"),MATCH($AR35&amp;"|"&amp;S$5,INDIRECT("'"&amp;$B35&amp;"'!$AF$6:$AF$205"),0))),"-"))</f>
        <v/>
      </c>
      <c r="T35" s="37">
        <f>IF(OR(AP35="",T$5="-"),"",IFERROR(IF(INDEX(INDIRECT("'"&amp;$B35&amp;"'!$R$6:$R$205"),MATCH($AR35&amp;"|"&amp;T$5,INDIRECT("'"&amp;$B35&amp;"'!$AF$6:$AF$205"),0))="","",INDEX(INDIRECT("'"&amp;$B35&amp;"'!$R$6:$R$205"),MATCH($AR35&amp;"|"&amp;T$5,INDIRECT("'"&amp;$B35&amp;"'!$AF$6:$AF$205"),0))),"-"))</f>
        <v/>
      </c>
      <c r="U35" s="37">
        <f>IF(OR(AP35="",U$5="-"),"",IFERROR(IF(INDEX(INDIRECT("'"&amp;$B35&amp;"'!$R$6:$R$205"),MATCH($AR35&amp;"|"&amp;U$5,INDIRECT("'"&amp;$B35&amp;"'!$AF$6:$AF$205"),0))="","",INDEX(INDIRECT("'"&amp;$B35&amp;"'!$R$6:$R$205"),MATCH($AR35&amp;"|"&amp;U$5,INDIRECT("'"&amp;$B35&amp;"'!$AF$6:$AF$205"),0))),"-"))</f>
        <v/>
      </c>
      <c r="V35" s="37">
        <f>IF(OR(AP35="",V$5="-"),"",IFERROR(IF(INDEX(INDIRECT("'"&amp;$B35&amp;"'!$R$6:$R$205"),MATCH($AR35&amp;"|"&amp;V$5,INDIRECT("'"&amp;$B35&amp;"'!$AF$6:$AF$205"),0))="","",INDEX(INDIRECT("'"&amp;$B35&amp;"'!$R$6:$R$205"),MATCH($AR35&amp;"|"&amp;V$5,INDIRECT("'"&amp;$B35&amp;"'!$AF$6:$AF$205"),0))),"-"))</f>
        <v/>
      </c>
      <c r="W35" s="37">
        <f>IF(OR(AP35="",W$5="-"),"",IFERROR(IF(INDEX(INDIRECT("'"&amp;$B35&amp;"'!$R$6:$R$205"),MATCH($AR35&amp;"|"&amp;W$5,INDIRECT("'"&amp;$B35&amp;"'!$AF$6:$AF$205"),0))="","",INDEX(INDIRECT("'"&amp;$B35&amp;"'!$R$6:$R$205"),MATCH($AR35&amp;"|"&amp;W$5,INDIRECT("'"&amp;$B35&amp;"'!$AF$6:$AF$205"),0))),"-"))</f>
        <v/>
      </c>
      <c r="X35" s="38">
        <f>IF(OR(AP35="",X$5="-"),"",IFERROR(IF(INDEX(INDIRECT("'"&amp;$B35&amp;"'!$T$6:$T$205"),MATCH($AR35&amp;"|"&amp;X$5,INDIRECT("'"&amp;$B35&amp;"'!$AF$6:$AF$205"),0))="","",INDEX(INDIRECT("'"&amp;$B35&amp;"'!$T$6:$T$205"),MATCH($AR35&amp;"|"&amp;X$5,INDIRECT("'"&amp;$B35&amp;"'!$AF$6:$AF$205"),0))),"-"))</f>
        <v/>
      </c>
      <c r="Y35" s="38">
        <f>IF(OR(AP35="",Y$5="-"),"",IFERROR(IF(INDEX(INDIRECT("'"&amp;$B35&amp;"'!$T$6:$T$205"),MATCH($AR35&amp;"|"&amp;Y$5,INDIRECT("'"&amp;$B35&amp;"'!$AF$6:$AF$205"),0))="","",INDEX(INDIRECT("'"&amp;$B35&amp;"'!$T$6:$T$205"),MATCH($AR35&amp;"|"&amp;Y$5,INDIRECT("'"&amp;$B35&amp;"'!$AF$6:$AF$205"),0))),"-"))</f>
        <v/>
      </c>
      <c r="Z35" s="38">
        <f>IF(OR(AP35="",Z$5="-"),"",IFERROR(IF(INDEX(INDIRECT("'"&amp;$B35&amp;"'!$T$6:$T$205"),MATCH($AR35&amp;"|"&amp;Z$5,INDIRECT("'"&amp;$B35&amp;"'!$AF$6:$AF$205"),0))="","",INDEX(INDIRECT("'"&amp;$B35&amp;"'!$T$6:$T$205"),MATCH($AR35&amp;"|"&amp;Z$5,INDIRECT("'"&amp;$B35&amp;"'!$AF$6:$AF$205"),0))),"-"))</f>
        <v/>
      </c>
      <c r="AA35" s="38">
        <f>IF(OR(AP35="",AA$5="-"),"",IFERROR(IF(INDEX(INDIRECT("'"&amp;$B35&amp;"'!$T$6:$T$205"),MATCH($AR35&amp;"|"&amp;AA$5,INDIRECT("'"&amp;$B35&amp;"'!$AF$6:$AF$205"),0))="","",INDEX(INDIRECT("'"&amp;$B35&amp;"'!$T$6:$T$205"),MATCH($AR35&amp;"|"&amp;AA$5,INDIRECT("'"&amp;$B35&amp;"'!$AF$6:$AF$205"),0))),"-"))</f>
        <v/>
      </c>
      <c r="AB35" s="38">
        <f>IF(OR(AP35="",AB$5="-"),"",IFERROR(IF(INDEX(INDIRECT("'"&amp;$B35&amp;"'!$T$6:$T$205"),MATCH($AR35&amp;"|"&amp;AB$5,INDIRECT("'"&amp;$B35&amp;"'!$AF$6:$AF$205"),0))="","",INDEX(INDIRECT("'"&amp;$B35&amp;"'!$T$6:$T$205"),MATCH($AR35&amp;"|"&amp;AB$5,INDIRECT("'"&amp;$B35&amp;"'!$AF$6:$AF$205"),0))),"-"))</f>
        <v/>
      </c>
      <c r="AC35" s="38">
        <f>IF(OR(AP35="",AC$5="-"),"",IFERROR(IF(INDEX(INDIRECT("'"&amp;$B35&amp;"'!$T$6:$T$205"),MATCH($AR35&amp;"|"&amp;AC$5,INDIRECT("'"&amp;$B35&amp;"'!$AF$6:$AF$205"),0))="","",INDEX(INDIRECT("'"&amp;$B35&amp;"'!$T$6:$T$205"),MATCH($AR35&amp;"|"&amp;AC$5,INDIRECT("'"&amp;$B35&amp;"'!$AF$6:$AF$205"),0))),"-"))</f>
        <v/>
      </c>
      <c r="AD35" s="38">
        <f>IF(OR(AP35="",AD$5="-"),"",IFERROR(IF(INDEX(INDIRECT("'"&amp;$B35&amp;"'!$T$6:$T$205"),MATCH($AR35&amp;"|"&amp;AD$5,INDIRECT("'"&amp;$B35&amp;"'!$AF$6:$AF$205"),0))="","",INDEX(INDIRECT("'"&amp;$B35&amp;"'!$T$6:$T$205"),MATCH($AR35&amp;"|"&amp;AD$5,INDIRECT("'"&amp;$B35&amp;"'!$AF$6:$AF$205"),0))),"-"))</f>
        <v/>
      </c>
      <c r="AE35" s="38">
        <f>IF(OR(AP35="",AE$5="-"),"",IFERROR(IF(INDEX(INDIRECT("'"&amp;$B35&amp;"'!$T$6:$T$205"),MATCH($AR35&amp;"|"&amp;AE$5,INDIRECT("'"&amp;$B35&amp;"'!$AF$6:$AF$205"),0))="","",INDEX(INDIRECT("'"&amp;$B35&amp;"'!$T$6:$T$205"),MATCH($AR35&amp;"|"&amp;AE$5,INDIRECT("'"&amp;$B35&amp;"'!$AF$6:$AF$205"),0))),"-"))</f>
        <v/>
      </c>
      <c r="AF35" s="35">
        <f>IF(AG35="","",INDEX($P$5:$W$5,MATCH(AG35,P35:W35,0)))</f>
        <v/>
      </c>
      <c r="AG35" s="37">
        <f>IF(COUNT(P35:W35)=0,"",MIN(P35:W35))</f>
        <v/>
      </c>
      <c r="AH35" s="39">
        <f>IF(AG35="","",AG35*F35)</f>
        <v/>
      </c>
      <c r="AI35" s="39">
        <f>IF(COUNT(P35:W35)&lt;2,"",(MAX(P35:W35)-MIN(P35:W35))*F35)</f>
        <v/>
      </c>
      <c r="AJ35" s="20" t="n"/>
      <c r="AP35">
        <f>IF(30&gt;MAX($AN$6:$AN$9),"",COUNTIF($AN$6:$AN$9,"&lt;"&amp;30)+1)</f>
        <v/>
      </c>
      <c r="AQ35">
        <f>IF(AP35="","",30-INDEX($AO$6:$AO$9,AP35))</f>
        <v/>
      </c>
      <c r="AR35">
        <f>IF(AP35="","",INDEX(INDIRECT("'"&amp;$B35&amp;"'!$AE$6:$AE$205"),MATCH(AQ35,INDIRECT("'"&amp;$B35&amp;"'!$AI$6:$AI$205"),0)))</f>
        <v/>
      </c>
    </row>
    <row r="36">
      <c r="A36" s="34">
        <f>IF(AP36="","",31)</f>
        <v/>
      </c>
      <c r="B36" s="35">
        <f>IF(AP36="","",INDEX($AL$6:$AL$9,AP36))</f>
        <v/>
      </c>
      <c r="C36" s="34">
        <f>IF(AP36="","",INDEX(INDIRECT("'"&amp;$B36&amp;"'!$B$6:$B$205"),MATCH($AR36,INDIRECT("'"&amp;$B36&amp;"'!$AE$6:$AE$205"),0)))</f>
        <v/>
      </c>
      <c r="D36" s="34">
        <f>IF(AP36="","",INDEX(INDIRECT("'"&amp;$B36&amp;"'!$D$6:$D$205"),MATCH($AR36,INDIRECT("'"&amp;$B36&amp;"'!$AE$6:$AE$205"),0)))</f>
        <v/>
      </c>
      <c r="E36" s="36">
        <f>IF(AP36="","",INDEX(INDIRECT("'"&amp;$B36&amp;"'!$F$6:$F$205"),MATCH($AR36,INDIRECT("'"&amp;$B36&amp;"'!$AE$6:$AE$205"),0)))</f>
        <v/>
      </c>
      <c r="F36" s="34">
        <f>IF(AP36="","",INDEX(INDIRECT("'"&amp;$B36&amp;"'!$K$6:$K$205"),MATCH($AR36,INDIRECT("'"&amp;$B36&amp;"'!$AE$6:$AE$205"),0)))</f>
        <v/>
      </c>
      <c r="G36" s="34">
        <f>IF(AP36="","",INDEX(INDIRECT("'"&amp;$B36&amp;"'!$L$6:$L$205"),MATCH($AR36,INDIRECT("'"&amp;$B36&amp;"'!$AE$6:$AE$205"),0)))</f>
        <v/>
      </c>
      <c r="H36" s="34">
        <f>IF(OR(AP36="",H$5="-"),"",IFERROR(IF(INDEX(INDIRECT("'"&amp;$B36&amp;"'!$N$6:$N$205"),MATCH($AR36&amp;"|"&amp;H$5,INDIRECT("'"&amp;$B36&amp;"'!$AF$6:$AF$205"),0))="","",INDEX(INDIRECT("'"&amp;$B36&amp;"'!$N$6:$N$205"),MATCH($AR36&amp;"|"&amp;H$5,INDIRECT("'"&amp;$B36&amp;"'!$AF$6:$AF$205"),0))),"-"))</f>
        <v/>
      </c>
      <c r="I36" s="34">
        <f>IF(OR(AP36="",I$5="-"),"",IFERROR(IF(INDEX(INDIRECT("'"&amp;$B36&amp;"'!$N$6:$N$205"),MATCH($AR36&amp;"|"&amp;I$5,INDIRECT("'"&amp;$B36&amp;"'!$AF$6:$AF$205"),0))="","",INDEX(INDIRECT("'"&amp;$B36&amp;"'!$N$6:$N$205"),MATCH($AR36&amp;"|"&amp;I$5,INDIRECT("'"&amp;$B36&amp;"'!$AF$6:$AF$205"),0))),"-"))</f>
        <v/>
      </c>
      <c r="J36" s="34">
        <f>IF(OR(AP36="",J$5="-"),"",IFERROR(IF(INDEX(INDIRECT("'"&amp;$B36&amp;"'!$N$6:$N$205"),MATCH($AR36&amp;"|"&amp;J$5,INDIRECT("'"&amp;$B36&amp;"'!$AF$6:$AF$205"),0))="","",INDEX(INDIRECT("'"&amp;$B36&amp;"'!$N$6:$N$205"),MATCH($AR36&amp;"|"&amp;J$5,INDIRECT("'"&amp;$B36&amp;"'!$AF$6:$AF$205"),0))),"-"))</f>
        <v/>
      </c>
      <c r="K36" s="34">
        <f>IF(OR(AP36="",K$5="-"),"",IFERROR(IF(INDEX(INDIRECT("'"&amp;$B36&amp;"'!$N$6:$N$205"),MATCH($AR36&amp;"|"&amp;K$5,INDIRECT("'"&amp;$B36&amp;"'!$AF$6:$AF$205"),0))="","",INDEX(INDIRECT("'"&amp;$B36&amp;"'!$N$6:$N$205"),MATCH($AR36&amp;"|"&amp;K$5,INDIRECT("'"&amp;$B36&amp;"'!$AF$6:$AF$205"),0))),"-"))</f>
        <v/>
      </c>
      <c r="L36" s="34">
        <f>IF(OR(AP36="",L$5="-"),"",IFERROR(IF(INDEX(INDIRECT("'"&amp;$B36&amp;"'!$N$6:$N$205"),MATCH($AR36&amp;"|"&amp;L$5,INDIRECT("'"&amp;$B36&amp;"'!$AF$6:$AF$205"),0))="","",INDEX(INDIRECT("'"&amp;$B36&amp;"'!$N$6:$N$205"),MATCH($AR36&amp;"|"&amp;L$5,INDIRECT("'"&amp;$B36&amp;"'!$AF$6:$AF$205"),0))),"-"))</f>
        <v/>
      </c>
      <c r="M36" s="34">
        <f>IF(OR(AP36="",M$5="-"),"",IFERROR(IF(INDEX(INDIRECT("'"&amp;$B36&amp;"'!$N$6:$N$205"),MATCH($AR36&amp;"|"&amp;M$5,INDIRECT("'"&amp;$B36&amp;"'!$AF$6:$AF$205"),0))="","",INDEX(INDIRECT("'"&amp;$B36&amp;"'!$N$6:$N$205"),MATCH($AR36&amp;"|"&amp;M$5,INDIRECT("'"&amp;$B36&amp;"'!$AF$6:$AF$205"),0))),"-"))</f>
        <v/>
      </c>
      <c r="N36" s="34">
        <f>IF(OR(AP36="",N$5="-"),"",IFERROR(IF(INDEX(INDIRECT("'"&amp;$B36&amp;"'!$N$6:$N$205"),MATCH($AR36&amp;"|"&amp;N$5,INDIRECT("'"&amp;$B36&amp;"'!$AF$6:$AF$205"),0))="","",INDEX(INDIRECT("'"&amp;$B36&amp;"'!$N$6:$N$205"),MATCH($AR36&amp;"|"&amp;N$5,INDIRECT("'"&amp;$B36&amp;"'!$AF$6:$AF$205"),0))),"-"))</f>
        <v/>
      </c>
      <c r="O36" s="34">
        <f>IF(OR(AP36="",O$5="-"),"",IFERROR(IF(INDEX(INDIRECT("'"&amp;$B36&amp;"'!$N$6:$N$205"),MATCH($AR36&amp;"|"&amp;O$5,INDIRECT("'"&amp;$B36&amp;"'!$AF$6:$AF$205"),0))="","",INDEX(INDIRECT("'"&amp;$B36&amp;"'!$N$6:$N$205"),MATCH($AR36&amp;"|"&amp;O$5,INDIRECT("'"&amp;$B36&amp;"'!$AF$6:$AF$205"),0))),"-"))</f>
        <v/>
      </c>
      <c r="P36" s="37">
        <f>IF(OR(AP36="",P$5="-"),"",IFERROR(IF(INDEX(INDIRECT("'"&amp;$B36&amp;"'!$R$6:$R$205"),MATCH($AR36&amp;"|"&amp;P$5,INDIRECT("'"&amp;$B36&amp;"'!$AF$6:$AF$205"),0))="","",INDEX(INDIRECT("'"&amp;$B36&amp;"'!$R$6:$R$205"),MATCH($AR36&amp;"|"&amp;P$5,INDIRECT("'"&amp;$B36&amp;"'!$AF$6:$AF$205"),0))),"-"))</f>
        <v/>
      </c>
      <c r="Q36" s="37">
        <f>IF(OR(AP36="",Q$5="-"),"",IFERROR(IF(INDEX(INDIRECT("'"&amp;$B36&amp;"'!$R$6:$R$205"),MATCH($AR36&amp;"|"&amp;Q$5,INDIRECT("'"&amp;$B36&amp;"'!$AF$6:$AF$205"),0))="","",INDEX(INDIRECT("'"&amp;$B36&amp;"'!$R$6:$R$205"),MATCH($AR36&amp;"|"&amp;Q$5,INDIRECT("'"&amp;$B36&amp;"'!$AF$6:$AF$205"),0))),"-"))</f>
        <v/>
      </c>
      <c r="R36" s="37">
        <f>IF(OR(AP36="",R$5="-"),"",IFERROR(IF(INDEX(INDIRECT("'"&amp;$B36&amp;"'!$R$6:$R$205"),MATCH($AR36&amp;"|"&amp;R$5,INDIRECT("'"&amp;$B36&amp;"'!$AF$6:$AF$205"),0))="","",INDEX(INDIRECT("'"&amp;$B36&amp;"'!$R$6:$R$205"),MATCH($AR36&amp;"|"&amp;R$5,INDIRECT("'"&amp;$B36&amp;"'!$AF$6:$AF$205"),0))),"-"))</f>
        <v/>
      </c>
      <c r="S36" s="37">
        <f>IF(OR(AP36="",S$5="-"),"",IFERROR(IF(INDEX(INDIRECT("'"&amp;$B36&amp;"'!$R$6:$R$205"),MATCH($AR36&amp;"|"&amp;S$5,INDIRECT("'"&amp;$B36&amp;"'!$AF$6:$AF$205"),0))="","",INDEX(INDIRECT("'"&amp;$B36&amp;"'!$R$6:$R$205"),MATCH($AR36&amp;"|"&amp;S$5,INDIRECT("'"&amp;$B36&amp;"'!$AF$6:$AF$205"),0))),"-"))</f>
        <v/>
      </c>
      <c r="T36" s="37">
        <f>IF(OR(AP36="",T$5="-"),"",IFERROR(IF(INDEX(INDIRECT("'"&amp;$B36&amp;"'!$R$6:$R$205"),MATCH($AR36&amp;"|"&amp;T$5,INDIRECT("'"&amp;$B36&amp;"'!$AF$6:$AF$205"),0))="","",INDEX(INDIRECT("'"&amp;$B36&amp;"'!$R$6:$R$205"),MATCH($AR36&amp;"|"&amp;T$5,INDIRECT("'"&amp;$B36&amp;"'!$AF$6:$AF$205"),0))),"-"))</f>
        <v/>
      </c>
      <c r="U36" s="37">
        <f>IF(OR(AP36="",U$5="-"),"",IFERROR(IF(INDEX(INDIRECT("'"&amp;$B36&amp;"'!$R$6:$R$205"),MATCH($AR36&amp;"|"&amp;U$5,INDIRECT("'"&amp;$B36&amp;"'!$AF$6:$AF$205"),0))="","",INDEX(INDIRECT("'"&amp;$B36&amp;"'!$R$6:$R$205"),MATCH($AR36&amp;"|"&amp;U$5,INDIRECT("'"&amp;$B36&amp;"'!$AF$6:$AF$205"),0))),"-"))</f>
        <v/>
      </c>
      <c r="V36" s="37">
        <f>IF(OR(AP36="",V$5="-"),"",IFERROR(IF(INDEX(INDIRECT("'"&amp;$B36&amp;"'!$R$6:$R$205"),MATCH($AR36&amp;"|"&amp;V$5,INDIRECT("'"&amp;$B36&amp;"'!$AF$6:$AF$205"),0))="","",INDEX(INDIRECT("'"&amp;$B36&amp;"'!$R$6:$R$205"),MATCH($AR36&amp;"|"&amp;V$5,INDIRECT("'"&amp;$B36&amp;"'!$AF$6:$AF$205"),0))),"-"))</f>
        <v/>
      </c>
      <c r="W36" s="37">
        <f>IF(OR(AP36="",W$5="-"),"",IFERROR(IF(INDEX(INDIRECT("'"&amp;$B36&amp;"'!$R$6:$R$205"),MATCH($AR36&amp;"|"&amp;W$5,INDIRECT("'"&amp;$B36&amp;"'!$AF$6:$AF$205"),0))="","",INDEX(INDIRECT("'"&amp;$B36&amp;"'!$R$6:$R$205"),MATCH($AR36&amp;"|"&amp;W$5,INDIRECT("'"&amp;$B36&amp;"'!$AF$6:$AF$205"),0))),"-"))</f>
        <v/>
      </c>
      <c r="X36" s="38">
        <f>IF(OR(AP36="",X$5="-"),"",IFERROR(IF(INDEX(INDIRECT("'"&amp;$B36&amp;"'!$T$6:$T$205"),MATCH($AR36&amp;"|"&amp;X$5,INDIRECT("'"&amp;$B36&amp;"'!$AF$6:$AF$205"),0))="","",INDEX(INDIRECT("'"&amp;$B36&amp;"'!$T$6:$T$205"),MATCH($AR36&amp;"|"&amp;X$5,INDIRECT("'"&amp;$B36&amp;"'!$AF$6:$AF$205"),0))),"-"))</f>
        <v/>
      </c>
      <c r="Y36" s="38">
        <f>IF(OR(AP36="",Y$5="-"),"",IFERROR(IF(INDEX(INDIRECT("'"&amp;$B36&amp;"'!$T$6:$T$205"),MATCH($AR36&amp;"|"&amp;Y$5,INDIRECT("'"&amp;$B36&amp;"'!$AF$6:$AF$205"),0))="","",INDEX(INDIRECT("'"&amp;$B36&amp;"'!$T$6:$T$205"),MATCH($AR36&amp;"|"&amp;Y$5,INDIRECT("'"&amp;$B36&amp;"'!$AF$6:$AF$205"),0))),"-"))</f>
        <v/>
      </c>
      <c r="Z36" s="38">
        <f>IF(OR(AP36="",Z$5="-"),"",IFERROR(IF(INDEX(INDIRECT("'"&amp;$B36&amp;"'!$T$6:$T$205"),MATCH($AR36&amp;"|"&amp;Z$5,INDIRECT("'"&amp;$B36&amp;"'!$AF$6:$AF$205"),0))="","",INDEX(INDIRECT("'"&amp;$B36&amp;"'!$T$6:$T$205"),MATCH($AR36&amp;"|"&amp;Z$5,INDIRECT("'"&amp;$B36&amp;"'!$AF$6:$AF$205"),0))),"-"))</f>
        <v/>
      </c>
      <c r="AA36" s="38">
        <f>IF(OR(AP36="",AA$5="-"),"",IFERROR(IF(INDEX(INDIRECT("'"&amp;$B36&amp;"'!$T$6:$T$205"),MATCH($AR36&amp;"|"&amp;AA$5,INDIRECT("'"&amp;$B36&amp;"'!$AF$6:$AF$205"),0))="","",INDEX(INDIRECT("'"&amp;$B36&amp;"'!$T$6:$T$205"),MATCH($AR36&amp;"|"&amp;AA$5,INDIRECT("'"&amp;$B36&amp;"'!$AF$6:$AF$205"),0))),"-"))</f>
        <v/>
      </c>
      <c r="AB36" s="38">
        <f>IF(OR(AP36="",AB$5="-"),"",IFERROR(IF(INDEX(INDIRECT("'"&amp;$B36&amp;"'!$T$6:$T$205"),MATCH($AR36&amp;"|"&amp;AB$5,INDIRECT("'"&amp;$B36&amp;"'!$AF$6:$AF$205"),0))="","",INDEX(INDIRECT("'"&amp;$B36&amp;"'!$T$6:$T$205"),MATCH($AR36&amp;"|"&amp;AB$5,INDIRECT("'"&amp;$B36&amp;"'!$AF$6:$AF$205"),0))),"-"))</f>
        <v/>
      </c>
      <c r="AC36" s="38">
        <f>IF(OR(AP36="",AC$5="-"),"",IFERROR(IF(INDEX(INDIRECT("'"&amp;$B36&amp;"'!$T$6:$T$205"),MATCH($AR36&amp;"|"&amp;AC$5,INDIRECT("'"&amp;$B36&amp;"'!$AF$6:$AF$205"),0))="","",INDEX(INDIRECT("'"&amp;$B36&amp;"'!$T$6:$T$205"),MATCH($AR36&amp;"|"&amp;AC$5,INDIRECT("'"&amp;$B36&amp;"'!$AF$6:$AF$205"),0))),"-"))</f>
        <v/>
      </c>
      <c r="AD36" s="38">
        <f>IF(OR(AP36="",AD$5="-"),"",IFERROR(IF(INDEX(INDIRECT("'"&amp;$B36&amp;"'!$T$6:$T$205"),MATCH($AR36&amp;"|"&amp;AD$5,INDIRECT("'"&amp;$B36&amp;"'!$AF$6:$AF$205"),0))="","",INDEX(INDIRECT("'"&amp;$B36&amp;"'!$T$6:$T$205"),MATCH($AR36&amp;"|"&amp;AD$5,INDIRECT("'"&amp;$B36&amp;"'!$AF$6:$AF$205"),0))),"-"))</f>
        <v/>
      </c>
      <c r="AE36" s="38">
        <f>IF(OR(AP36="",AE$5="-"),"",IFERROR(IF(INDEX(INDIRECT("'"&amp;$B36&amp;"'!$T$6:$T$205"),MATCH($AR36&amp;"|"&amp;AE$5,INDIRECT("'"&amp;$B36&amp;"'!$AF$6:$AF$205"),0))="","",INDEX(INDIRECT("'"&amp;$B36&amp;"'!$T$6:$T$205"),MATCH($AR36&amp;"|"&amp;AE$5,INDIRECT("'"&amp;$B36&amp;"'!$AF$6:$AF$205"),0))),"-"))</f>
        <v/>
      </c>
      <c r="AF36" s="35">
        <f>IF(AG36="","",INDEX($P$5:$W$5,MATCH(AG36,P36:W36,0)))</f>
        <v/>
      </c>
      <c r="AG36" s="37">
        <f>IF(COUNT(P36:W36)=0,"",MIN(P36:W36))</f>
        <v/>
      </c>
      <c r="AH36" s="39">
        <f>IF(AG36="","",AG36*F36)</f>
        <v/>
      </c>
      <c r="AI36" s="39">
        <f>IF(COUNT(P36:W36)&lt;2,"",(MAX(P36:W36)-MIN(P36:W36))*F36)</f>
        <v/>
      </c>
      <c r="AJ36" s="20" t="n"/>
      <c r="AP36">
        <f>IF(31&gt;MAX($AN$6:$AN$9),"",COUNTIF($AN$6:$AN$9,"&lt;"&amp;31)+1)</f>
        <v/>
      </c>
      <c r="AQ36">
        <f>IF(AP36="","",31-INDEX($AO$6:$AO$9,AP36))</f>
        <v/>
      </c>
      <c r="AR36">
        <f>IF(AP36="","",INDEX(INDIRECT("'"&amp;$B36&amp;"'!$AE$6:$AE$205"),MATCH(AQ36,INDIRECT("'"&amp;$B36&amp;"'!$AI$6:$AI$205"),0)))</f>
        <v/>
      </c>
    </row>
    <row r="37">
      <c r="A37" s="34">
        <f>IF(AP37="","",32)</f>
        <v/>
      </c>
      <c r="B37" s="35">
        <f>IF(AP37="","",INDEX($AL$6:$AL$9,AP37))</f>
        <v/>
      </c>
      <c r="C37" s="34">
        <f>IF(AP37="","",INDEX(INDIRECT("'"&amp;$B37&amp;"'!$B$6:$B$205"),MATCH($AR37,INDIRECT("'"&amp;$B37&amp;"'!$AE$6:$AE$205"),0)))</f>
        <v/>
      </c>
      <c r="D37" s="34">
        <f>IF(AP37="","",INDEX(INDIRECT("'"&amp;$B37&amp;"'!$D$6:$D$205"),MATCH($AR37,INDIRECT("'"&amp;$B37&amp;"'!$AE$6:$AE$205"),0)))</f>
        <v/>
      </c>
      <c r="E37" s="36">
        <f>IF(AP37="","",INDEX(INDIRECT("'"&amp;$B37&amp;"'!$F$6:$F$205"),MATCH($AR37,INDIRECT("'"&amp;$B37&amp;"'!$AE$6:$AE$205"),0)))</f>
        <v/>
      </c>
      <c r="F37" s="34">
        <f>IF(AP37="","",INDEX(INDIRECT("'"&amp;$B37&amp;"'!$K$6:$K$205"),MATCH($AR37,INDIRECT("'"&amp;$B37&amp;"'!$AE$6:$AE$205"),0)))</f>
        <v/>
      </c>
      <c r="G37" s="34">
        <f>IF(AP37="","",INDEX(INDIRECT("'"&amp;$B37&amp;"'!$L$6:$L$205"),MATCH($AR37,INDIRECT("'"&amp;$B37&amp;"'!$AE$6:$AE$205"),0)))</f>
        <v/>
      </c>
      <c r="H37" s="34">
        <f>IF(OR(AP37="",H$5="-"),"",IFERROR(IF(INDEX(INDIRECT("'"&amp;$B37&amp;"'!$N$6:$N$205"),MATCH($AR37&amp;"|"&amp;H$5,INDIRECT("'"&amp;$B37&amp;"'!$AF$6:$AF$205"),0))="","",INDEX(INDIRECT("'"&amp;$B37&amp;"'!$N$6:$N$205"),MATCH($AR37&amp;"|"&amp;H$5,INDIRECT("'"&amp;$B37&amp;"'!$AF$6:$AF$205"),0))),"-"))</f>
        <v/>
      </c>
      <c r="I37" s="34">
        <f>IF(OR(AP37="",I$5="-"),"",IFERROR(IF(INDEX(INDIRECT("'"&amp;$B37&amp;"'!$N$6:$N$205"),MATCH($AR37&amp;"|"&amp;I$5,INDIRECT("'"&amp;$B37&amp;"'!$AF$6:$AF$205"),0))="","",INDEX(INDIRECT("'"&amp;$B37&amp;"'!$N$6:$N$205"),MATCH($AR37&amp;"|"&amp;I$5,INDIRECT("'"&amp;$B37&amp;"'!$AF$6:$AF$205"),0))),"-"))</f>
        <v/>
      </c>
      <c r="J37" s="34">
        <f>IF(OR(AP37="",J$5="-"),"",IFERROR(IF(INDEX(INDIRECT("'"&amp;$B37&amp;"'!$N$6:$N$205"),MATCH($AR37&amp;"|"&amp;J$5,INDIRECT("'"&amp;$B37&amp;"'!$AF$6:$AF$205"),0))="","",INDEX(INDIRECT("'"&amp;$B37&amp;"'!$N$6:$N$205"),MATCH($AR37&amp;"|"&amp;J$5,INDIRECT("'"&amp;$B37&amp;"'!$AF$6:$AF$205"),0))),"-"))</f>
        <v/>
      </c>
      <c r="K37" s="34">
        <f>IF(OR(AP37="",K$5="-"),"",IFERROR(IF(INDEX(INDIRECT("'"&amp;$B37&amp;"'!$N$6:$N$205"),MATCH($AR37&amp;"|"&amp;K$5,INDIRECT("'"&amp;$B37&amp;"'!$AF$6:$AF$205"),0))="","",INDEX(INDIRECT("'"&amp;$B37&amp;"'!$N$6:$N$205"),MATCH($AR37&amp;"|"&amp;K$5,INDIRECT("'"&amp;$B37&amp;"'!$AF$6:$AF$205"),0))),"-"))</f>
        <v/>
      </c>
      <c r="L37" s="34">
        <f>IF(OR(AP37="",L$5="-"),"",IFERROR(IF(INDEX(INDIRECT("'"&amp;$B37&amp;"'!$N$6:$N$205"),MATCH($AR37&amp;"|"&amp;L$5,INDIRECT("'"&amp;$B37&amp;"'!$AF$6:$AF$205"),0))="","",INDEX(INDIRECT("'"&amp;$B37&amp;"'!$N$6:$N$205"),MATCH($AR37&amp;"|"&amp;L$5,INDIRECT("'"&amp;$B37&amp;"'!$AF$6:$AF$205"),0))),"-"))</f>
        <v/>
      </c>
      <c r="M37" s="34">
        <f>IF(OR(AP37="",M$5="-"),"",IFERROR(IF(INDEX(INDIRECT("'"&amp;$B37&amp;"'!$N$6:$N$205"),MATCH($AR37&amp;"|"&amp;M$5,INDIRECT("'"&amp;$B37&amp;"'!$AF$6:$AF$205"),0))="","",INDEX(INDIRECT("'"&amp;$B37&amp;"'!$N$6:$N$205"),MATCH($AR37&amp;"|"&amp;M$5,INDIRECT("'"&amp;$B37&amp;"'!$AF$6:$AF$205"),0))),"-"))</f>
        <v/>
      </c>
      <c r="N37" s="34">
        <f>IF(OR(AP37="",N$5="-"),"",IFERROR(IF(INDEX(INDIRECT("'"&amp;$B37&amp;"'!$N$6:$N$205"),MATCH($AR37&amp;"|"&amp;N$5,INDIRECT("'"&amp;$B37&amp;"'!$AF$6:$AF$205"),0))="","",INDEX(INDIRECT("'"&amp;$B37&amp;"'!$N$6:$N$205"),MATCH($AR37&amp;"|"&amp;N$5,INDIRECT("'"&amp;$B37&amp;"'!$AF$6:$AF$205"),0))),"-"))</f>
        <v/>
      </c>
      <c r="O37" s="34">
        <f>IF(OR(AP37="",O$5="-"),"",IFERROR(IF(INDEX(INDIRECT("'"&amp;$B37&amp;"'!$N$6:$N$205"),MATCH($AR37&amp;"|"&amp;O$5,INDIRECT("'"&amp;$B37&amp;"'!$AF$6:$AF$205"),0))="","",INDEX(INDIRECT("'"&amp;$B37&amp;"'!$N$6:$N$205"),MATCH($AR37&amp;"|"&amp;O$5,INDIRECT("'"&amp;$B37&amp;"'!$AF$6:$AF$205"),0))),"-"))</f>
        <v/>
      </c>
      <c r="P37" s="37">
        <f>IF(OR(AP37="",P$5="-"),"",IFERROR(IF(INDEX(INDIRECT("'"&amp;$B37&amp;"'!$R$6:$R$205"),MATCH($AR37&amp;"|"&amp;P$5,INDIRECT("'"&amp;$B37&amp;"'!$AF$6:$AF$205"),0))="","",INDEX(INDIRECT("'"&amp;$B37&amp;"'!$R$6:$R$205"),MATCH($AR37&amp;"|"&amp;P$5,INDIRECT("'"&amp;$B37&amp;"'!$AF$6:$AF$205"),0))),"-"))</f>
        <v/>
      </c>
      <c r="Q37" s="37">
        <f>IF(OR(AP37="",Q$5="-"),"",IFERROR(IF(INDEX(INDIRECT("'"&amp;$B37&amp;"'!$R$6:$R$205"),MATCH($AR37&amp;"|"&amp;Q$5,INDIRECT("'"&amp;$B37&amp;"'!$AF$6:$AF$205"),0))="","",INDEX(INDIRECT("'"&amp;$B37&amp;"'!$R$6:$R$205"),MATCH($AR37&amp;"|"&amp;Q$5,INDIRECT("'"&amp;$B37&amp;"'!$AF$6:$AF$205"),0))),"-"))</f>
        <v/>
      </c>
      <c r="R37" s="37">
        <f>IF(OR(AP37="",R$5="-"),"",IFERROR(IF(INDEX(INDIRECT("'"&amp;$B37&amp;"'!$R$6:$R$205"),MATCH($AR37&amp;"|"&amp;R$5,INDIRECT("'"&amp;$B37&amp;"'!$AF$6:$AF$205"),0))="","",INDEX(INDIRECT("'"&amp;$B37&amp;"'!$R$6:$R$205"),MATCH($AR37&amp;"|"&amp;R$5,INDIRECT("'"&amp;$B37&amp;"'!$AF$6:$AF$205"),0))),"-"))</f>
        <v/>
      </c>
      <c r="S37" s="37">
        <f>IF(OR(AP37="",S$5="-"),"",IFERROR(IF(INDEX(INDIRECT("'"&amp;$B37&amp;"'!$R$6:$R$205"),MATCH($AR37&amp;"|"&amp;S$5,INDIRECT("'"&amp;$B37&amp;"'!$AF$6:$AF$205"),0))="","",INDEX(INDIRECT("'"&amp;$B37&amp;"'!$R$6:$R$205"),MATCH($AR37&amp;"|"&amp;S$5,INDIRECT("'"&amp;$B37&amp;"'!$AF$6:$AF$205"),0))),"-"))</f>
        <v/>
      </c>
      <c r="T37" s="37">
        <f>IF(OR(AP37="",T$5="-"),"",IFERROR(IF(INDEX(INDIRECT("'"&amp;$B37&amp;"'!$R$6:$R$205"),MATCH($AR37&amp;"|"&amp;T$5,INDIRECT("'"&amp;$B37&amp;"'!$AF$6:$AF$205"),0))="","",INDEX(INDIRECT("'"&amp;$B37&amp;"'!$R$6:$R$205"),MATCH($AR37&amp;"|"&amp;T$5,INDIRECT("'"&amp;$B37&amp;"'!$AF$6:$AF$205"),0))),"-"))</f>
        <v/>
      </c>
      <c r="U37" s="37">
        <f>IF(OR(AP37="",U$5="-"),"",IFERROR(IF(INDEX(INDIRECT("'"&amp;$B37&amp;"'!$R$6:$R$205"),MATCH($AR37&amp;"|"&amp;U$5,INDIRECT("'"&amp;$B37&amp;"'!$AF$6:$AF$205"),0))="","",INDEX(INDIRECT("'"&amp;$B37&amp;"'!$R$6:$R$205"),MATCH($AR37&amp;"|"&amp;U$5,INDIRECT("'"&amp;$B37&amp;"'!$AF$6:$AF$205"),0))),"-"))</f>
        <v/>
      </c>
      <c r="V37" s="37">
        <f>IF(OR(AP37="",V$5="-"),"",IFERROR(IF(INDEX(INDIRECT("'"&amp;$B37&amp;"'!$R$6:$R$205"),MATCH($AR37&amp;"|"&amp;V$5,INDIRECT("'"&amp;$B37&amp;"'!$AF$6:$AF$205"),0))="","",INDEX(INDIRECT("'"&amp;$B37&amp;"'!$R$6:$R$205"),MATCH($AR37&amp;"|"&amp;V$5,INDIRECT("'"&amp;$B37&amp;"'!$AF$6:$AF$205"),0))),"-"))</f>
        <v/>
      </c>
      <c r="W37" s="37">
        <f>IF(OR(AP37="",W$5="-"),"",IFERROR(IF(INDEX(INDIRECT("'"&amp;$B37&amp;"'!$R$6:$R$205"),MATCH($AR37&amp;"|"&amp;W$5,INDIRECT("'"&amp;$B37&amp;"'!$AF$6:$AF$205"),0))="","",INDEX(INDIRECT("'"&amp;$B37&amp;"'!$R$6:$R$205"),MATCH($AR37&amp;"|"&amp;W$5,INDIRECT("'"&amp;$B37&amp;"'!$AF$6:$AF$205"),0))),"-"))</f>
        <v/>
      </c>
      <c r="X37" s="38">
        <f>IF(OR(AP37="",X$5="-"),"",IFERROR(IF(INDEX(INDIRECT("'"&amp;$B37&amp;"'!$T$6:$T$205"),MATCH($AR37&amp;"|"&amp;X$5,INDIRECT("'"&amp;$B37&amp;"'!$AF$6:$AF$205"),0))="","",INDEX(INDIRECT("'"&amp;$B37&amp;"'!$T$6:$T$205"),MATCH($AR37&amp;"|"&amp;X$5,INDIRECT("'"&amp;$B37&amp;"'!$AF$6:$AF$205"),0))),"-"))</f>
        <v/>
      </c>
      <c r="Y37" s="38">
        <f>IF(OR(AP37="",Y$5="-"),"",IFERROR(IF(INDEX(INDIRECT("'"&amp;$B37&amp;"'!$T$6:$T$205"),MATCH($AR37&amp;"|"&amp;Y$5,INDIRECT("'"&amp;$B37&amp;"'!$AF$6:$AF$205"),0))="","",INDEX(INDIRECT("'"&amp;$B37&amp;"'!$T$6:$T$205"),MATCH($AR37&amp;"|"&amp;Y$5,INDIRECT("'"&amp;$B37&amp;"'!$AF$6:$AF$205"),0))),"-"))</f>
        <v/>
      </c>
      <c r="Z37" s="38">
        <f>IF(OR(AP37="",Z$5="-"),"",IFERROR(IF(INDEX(INDIRECT("'"&amp;$B37&amp;"'!$T$6:$T$205"),MATCH($AR37&amp;"|"&amp;Z$5,INDIRECT("'"&amp;$B37&amp;"'!$AF$6:$AF$205"),0))="","",INDEX(INDIRECT("'"&amp;$B37&amp;"'!$T$6:$T$205"),MATCH($AR37&amp;"|"&amp;Z$5,INDIRECT("'"&amp;$B37&amp;"'!$AF$6:$AF$205"),0))),"-"))</f>
        <v/>
      </c>
      <c r="AA37" s="38">
        <f>IF(OR(AP37="",AA$5="-"),"",IFERROR(IF(INDEX(INDIRECT("'"&amp;$B37&amp;"'!$T$6:$T$205"),MATCH($AR37&amp;"|"&amp;AA$5,INDIRECT("'"&amp;$B37&amp;"'!$AF$6:$AF$205"),0))="","",INDEX(INDIRECT("'"&amp;$B37&amp;"'!$T$6:$T$205"),MATCH($AR37&amp;"|"&amp;AA$5,INDIRECT("'"&amp;$B37&amp;"'!$AF$6:$AF$205"),0))),"-"))</f>
        <v/>
      </c>
      <c r="AB37" s="38">
        <f>IF(OR(AP37="",AB$5="-"),"",IFERROR(IF(INDEX(INDIRECT("'"&amp;$B37&amp;"'!$T$6:$T$205"),MATCH($AR37&amp;"|"&amp;AB$5,INDIRECT("'"&amp;$B37&amp;"'!$AF$6:$AF$205"),0))="","",INDEX(INDIRECT("'"&amp;$B37&amp;"'!$T$6:$T$205"),MATCH($AR37&amp;"|"&amp;AB$5,INDIRECT("'"&amp;$B37&amp;"'!$AF$6:$AF$205"),0))),"-"))</f>
        <v/>
      </c>
      <c r="AC37" s="38">
        <f>IF(OR(AP37="",AC$5="-"),"",IFERROR(IF(INDEX(INDIRECT("'"&amp;$B37&amp;"'!$T$6:$T$205"),MATCH($AR37&amp;"|"&amp;AC$5,INDIRECT("'"&amp;$B37&amp;"'!$AF$6:$AF$205"),0))="","",INDEX(INDIRECT("'"&amp;$B37&amp;"'!$T$6:$T$205"),MATCH($AR37&amp;"|"&amp;AC$5,INDIRECT("'"&amp;$B37&amp;"'!$AF$6:$AF$205"),0))),"-"))</f>
        <v/>
      </c>
      <c r="AD37" s="38">
        <f>IF(OR(AP37="",AD$5="-"),"",IFERROR(IF(INDEX(INDIRECT("'"&amp;$B37&amp;"'!$T$6:$T$205"),MATCH($AR37&amp;"|"&amp;AD$5,INDIRECT("'"&amp;$B37&amp;"'!$AF$6:$AF$205"),0))="","",INDEX(INDIRECT("'"&amp;$B37&amp;"'!$T$6:$T$205"),MATCH($AR37&amp;"|"&amp;AD$5,INDIRECT("'"&amp;$B37&amp;"'!$AF$6:$AF$205"),0))),"-"))</f>
        <v/>
      </c>
      <c r="AE37" s="38">
        <f>IF(OR(AP37="",AE$5="-"),"",IFERROR(IF(INDEX(INDIRECT("'"&amp;$B37&amp;"'!$T$6:$T$205"),MATCH($AR37&amp;"|"&amp;AE$5,INDIRECT("'"&amp;$B37&amp;"'!$AF$6:$AF$205"),0))="","",INDEX(INDIRECT("'"&amp;$B37&amp;"'!$T$6:$T$205"),MATCH($AR37&amp;"|"&amp;AE$5,INDIRECT("'"&amp;$B37&amp;"'!$AF$6:$AF$205"),0))),"-"))</f>
        <v/>
      </c>
      <c r="AF37" s="35">
        <f>IF(AG37="","",INDEX($P$5:$W$5,MATCH(AG37,P37:W37,0)))</f>
        <v/>
      </c>
      <c r="AG37" s="37">
        <f>IF(COUNT(P37:W37)=0,"",MIN(P37:W37))</f>
        <v/>
      </c>
      <c r="AH37" s="39">
        <f>IF(AG37="","",AG37*F37)</f>
        <v/>
      </c>
      <c r="AI37" s="39">
        <f>IF(COUNT(P37:W37)&lt;2,"",(MAX(P37:W37)-MIN(P37:W37))*F37)</f>
        <v/>
      </c>
      <c r="AJ37" s="20" t="n"/>
      <c r="AP37">
        <f>IF(32&gt;MAX($AN$6:$AN$9),"",COUNTIF($AN$6:$AN$9,"&lt;"&amp;32)+1)</f>
        <v/>
      </c>
      <c r="AQ37">
        <f>IF(AP37="","",32-INDEX($AO$6:$AO$9,AP37))</f>
        <v/>
      </c>
      <c r="AR37">
        <f>IF(AP37="","",INDEX(INDIRECT("'"&amp;$B37&amp;"'!$AE$6:$AE$205"),MATCH(AQ37,INDIRECT("'"&amp;$B37&amp;"'!$AI$6:$AI$205"),0)))</f>
        <v/>
      </c>
    </row>
    <row r="38">
      <c r="A38" s="34">
        <f>IF(AP38="","",33)</f>
        <v/>
      </c>
      <c r="B38" s="35">
        <f>IF(AP38="","",INDEX($AL$6:$AL$9,AP38))</f>
        <v/>
      </c>
      <c r="C38" s="34">
        <f>IF(AP38="","",INDEX(INDIRECT("'"&amp;$B38&amp;"'!$B$6:$B$205"),MATCH($AR38,INDIRECT("'"&amp;$B38&amp;"'!$AE$6:$AE$205"),0)))</f>
        <v/>
      </c>
      <c r="D38" s="34">
        <f>IF(AP38="","",INDEX(INDIRECT("'"&amp;$B38&amp;"'!$D$6:$D$205"),MATCH($AR38,INDIRECT("'"&amp;$B38&amp;"'!$AE$6:$AE$205"),0)))</f>
        <v/>
      </c>
      <c r="E38" s="36">
        <f>IF(AP38="","",INDEX(INDIRECT("'"&amp;$B38&amp;"'!$F$6:$F$205"),MATCH($AR38,INDIRECT("'"&amp;$B38&amp;"'!$AE$6:$AE$205"),0)))</f>
        <v/>
      </c>
      <c r="F38" s="34">
        <f>IF(AP38="","",INDEX(INDIRECT("'"&amp;$B38&amp;"'!$K$6:$K$205"),MATCH($AR38,INDIRECT("'"&amp;$B38&amp;"'!$AE$6:$AE$205"),0)))</f>
        <v/>
      </c>
      <c r="G38" s="34">
        <f>IF(AP38="","",INDEX(INDIRECT("'"&amp;$B38&amp;"'!$L$6:$L$205"),MATCH($AR38,INDIRECT("'"&amp;$B38&amp;"'!$AE$6:$AE$205"),0)))</f>
        <v/>
      </c>
      <c r="H38" s="34">
        <f>IF(OR(AP38="",H$5="-"),"",IFERROR(IF(INDEX(INDIRECT("'"&amp;$B38&amp;"'!$N$6:$N$205"),MATCH($AR38&amp;"|"&amp;H$5,INDIRECT("'"&amp;$B38&amp;"'!$AF$6:$AF$205"),0))="","",INDEX(INDIRECT("'"&amp;$B38&amp;"'!$N$6:$N$205"),MATCH($AR38&amp;"|"&amp;H$5,INDIRECT("'"&amp;$B38&amp;"'!$AF$6:$AF$205"),0))),"-"))</f>
        <v/>
      </c>
      <c r="I38" s="34">
        <f>IF(OR(AP38="",I$5="-"),"",IFERROR(IF(INDEX(INDIRECT("'"&amp;$B38&amp;"'!$N$6:$N$205"),MATCH($AR38&amp;"|"&amp;I$5,INDIRECT("'"&amp;$B38&amp;"'!$AF$6:$AF$205"),0))="","",INDEX(INDIRECT("'"&amp;$B38&amp;"'!$N$6:$N$205"),MATCH($AR38&amp;"|"&amp;I$5,INDIRECT("'"&amp;$B38&amp;"'!$AF$6:$AF$205"),0))),"-"))</f>
        <v/>
      </c>
      <c r="J38" s="34">
        <f>IF(OR(AP38="",J$5="-"),"",IFERROR(IF(INDEX(INDIRECT("'"&amp;$B38&amp;"'!$N$6:$N$205"),MATCH($AR38&amp;"|"&amp;J$5,INDIRECT("'"&amp;$B38&amp;"'!$AF$6:$AF$205"),0))="","",INDEX(INDIRECT("'"&amp;$B38&amp;"'!$N$6:$N$205"),MATCH($AR38&amp;"|"&amp;J$5,INDIRECT("'"&amp;$B38&amp;"'!$AF$6:$AF$205"),0))),"-"))</f>
        <v/>
      </c>
      <c r="K38" s="34">
        <f>IF(OR(AP38="",K$5="-"),"",IFERROR(IF(INDEX(INDIRECT("'"&amp;$B38&amp;"'!$N$6:$N$205"),MATCH($AR38&amp;"|"&amp;K$5,INDIRECT("'"&amp;$B38&amp;"'!$AF$6:$AF$205"),0))="","",INDEX(INDIRECT("'"&amp;$B38&amp;"'!$N$6:$N$205"),MATCH($AR38&amp;"|"&amp;K$5,INDIRECT("'"&amp;$B38&amp;"'!$AF$6:$AF$205"),0))),"-"))</f>
        <v/>
      </c>
      <c r="L38" s="34">
        <f>IF(OR(AP38="",L$5="-"),"",IFERROR(IF(INDEX(INDIRECT("'"&amp;$B38&amp;"'!$N$6:$N$205"),MATCH($AR38&amp;"|"&amp;L$5,INDIRECT("'"&amp;$B38&amp;"'!$AF$6:$AF$205"),0))="","",INDEX(INDIRECT("'"&amp;$B38&amp;"'!$N$6:$N$205"),MATCH($AR38&amp;"|"&amp;L$5,INDIRECT("'"&amp;$B38&amp;"'!$AF$6:$AF$205"),0))),"-"))</f>
        <v/>
      </c>
      <c r="M38" s="34">
        <f>IF(OR(AP38="",M$5="-"),"",IFERROR(IF(INDEX(INDIRECT("'"&amp;$B38&amp;"'!$N$6:$N$205"),MATCH($AR38&amp;"|"&amp;M$5,INDIRECT("'"&amp;$B38&amp;"'!$AF$6:$AF$205"),0))="","",INDEX(INDIRECT("'"&amp;$B38&amp;"'!$N$6:$N$205"),MATCH($AR38&amp;"|"&amp;M$5,INDIRECT("'"&amp;$B38&amp;"'!$AF$6:$AF$205"),0))),"-"))</f>
        <v/>
      </c>
      <c r="N38" s="34">
        <f>IF(OR(AP38="",N$5="-"),"",IFERROR(IF(INDEX(INDIRECT("'"&amp;$B38&amp;"'!$N$6:$N$205"),MATCH($AR38&amp;"|"&amp;N$5,INDIRECT("'"&amp;$B38&amp;"'!$AF$6:$AF$205"),0))="","",INDEX(INDIRECT("'"&amp;$B38&amp;"'!$N$6:$N$205"),MATCH($AR38&amp;"|"&amp;N$5,INDIRECT("'"&amp;$B38&amp;"'!$AF$6:$AF$205"),0))),"-"))</f>
        <v/>
      </c>
      <c r="O38" s="34">
        <f>IF(OR(AP38="",O$5="-"),"",IFERROR(IF(INDEX(INDIRECT("'"&amp;$B38&amp;"'!$N$6:$N$205"),MATCH($AR38&amp;"|"&amp;O$5,INDIRECT("'"&amp;$B38&amp;"'!$AF$6:$AF$205"),0))="","",INDEX(INDIRECT("'"&amp;$B38&amp;"'!$N$6:$N$205"),MATCH($AR38&amp;"|"&amp;O$5,INDIRECT("'"&amp;$B38&amp;"'!$AF$6:$AF$205"),0))),"-"))</f>
        <v/>
      </c>
      <c r="P38" s="37">
        <f>IF(OR(AP38="",P$5="-"),"",IFERROR(IF(INDEX(INDIRECT("'"&amp;$B38&amp;"'!$R$6:$R$205"),MATCH($AR38&amp;"|"&amp;P$5,INDIRECT("'"&amp;$B38&amp;"'!$AF$6:$AF$205"),0))="","",INDEX(INDIRECT("'"&amp;$B38&amp;"'!$R$6:$R$205"),MATCH($AR38&amp;"|"&amp;P$5,INDIRECT("'"&amp;$B38&amp;"'!$AF$6:$AF$205"),0))),"-"))</f>
        <v/>
      </c>
      <c r="Q38" s="37">
        <f>IF(OR(AP38="",Q$5="-"),"",IFERROR(IF(INDEX(INDIRECT("'"&amp;$B38&amp;"'!$R$6:$R$205"),MATCH($AR38&amp;"|"&amp;Q$5,INDIRECT("'"&amp;$B38&amp;"'!$AF$6:$AF$205"),0))="","",INDEX(INDIRECT("'"&amp;$B38&amp;"'!$R$6:$R$205"),MATCH($AR38&amp;"|"&amp;Q$5,INDIRECT("'"&amp;$B38&amp;"'!$AF$6:$AF$205"),0))),"-"))</f>
        <v/>
      </c>
      <c r="R38" s="37">
        <f>IF(OR(AP38="",R$5="-"),"",IFERROR(IF(INDEX(INDIRECT("'"&amp;$B38&amp;"'!$R$6:$R$205"),MATCH($AR38&amp;"|"&amp;R$5,INDIRECT("'"&amp;$B38&amp;"'!$AF$6:$AF$205"),0))="","",INDEX(INDIRECT("'"&amp;$B38&amp;"'!$R$6:$R$205"),MATCH($AR38&amp;"|"&amp;R$5,INDIRECT("'"&amp;$B38&amp;"'!$AF$6:$AF$205"),0))),"-"))</f>
        <v/>
      </c>
      <c r="S38" s="37">
        <f>IF(OR(AP38="",S$5="-"),"",IFERROR(IF(INDEX(INDIRECT("'"&amp;$B38&amp;"'!$R$6:$R$205"),MATCH($AR38&amp;"|"&amp;S$5,INDIRECT("'"&amp;$B38&amp;"'!$AF$6:$AF$205"),0))="","",INDEX(INDIRECT("'"&amp;$B38&amp;"'!$R$6:$R$205"),MATCH($AR38&amp;"|"&amp;S$5,INDIRECT("'"&amp;$B38&amp;"'!$AF$6:$AF$205"),0))),"-"))</f>
        <v/>
      </c>
      <c r="T38" s="37">
        <f>IF(OR(AP38="",T$5="-"),"",IFERROR(IF(INDEX(INDIRECT("'"&amp;$B38&amp;"'!$R$6:$R$205"),MATCH($AR38&amp;"|"&amp;T$5,INDIRECT("'"&amp;$B38&amp;"'!$AF$6:$AF$205"),0))="","",INDEX(INDIRECT("'"&amp;$B38&amp;"'!$R$6:$R$205"),MATCH($AR38&amp;"|"&amp;T$5,INDIRECT("'"&amp;$B38&amp;"'!$AF$6:$AF$205"),0))),"-"))</f>
        <v/>
      </c>
      <c r="U38" s="37">
        <f>IF(OR(AP38="",U$5="-"),"",IFERROR(IF(INDEX(INDIRECT("'"&amp;$B38&amp;"'!$R$6:$R$205"),MATCH($AR38&amp;"|"&amp;U$5,INDIRECT("'"&amp;$B38&amp;"'!$AF$6:$AF$205"),0))="","",INDEX(INDIRECT("'"&amp;$B38&amp;"'!$R$6:$R$205"),MATCH($AR38&amp;"|"&amp;U$5,INDIRECT("'"&amp;$B38&amp;"'!$AF$6:$AF$205"),0))),"-"))</f>
        <v/>
      </c>
      <c r="V38" s="37">
        <f>IF(OR(AP38="",V$5="-"),"",IFERROR(IF(INDEX(INDIRECT("'"&amp;$B38&amp;"'!$R$6:$R$205"),MATCH($AR38&amp;"|"&amp;V$5,INDIRECT("'"&amp;$B38&amp;"'!$AF$6:$AF$205"),0))="","",INDEX(INDIRECT("'"&amp;$B38&amp;"'!$R$6:$R$205"),MATCH($AR38&amp;"|"&amp;V$5,INDIRECT("'"&amp;$B38&amp;"'!$AF$6:$AF$205"),0))),"-"))</f>
        <v/>
      </c>
      <c r="W38" s="37">
        <f>IF(OR(AP38="",W$5="-"),"",IFERROR(IF(INDEX(INDIRECT("'"&amp;$B38&amp;"'!$R$6:$R$205"),MATCH($AR38&amp;"|"&amp;W$5,INDIRECT("'"&amp;$B38&amp;"'!$AF$6:$AF$205"),0))="","",INDEX(INDIRECT("'"&amp;$B38&amp;"'!$R$6:$R$205"),MATCH($AR38&amp;"|"&amp;W$5,INDIRECT("'"&amp;$B38&amp;"'!$AF$6:$AF$205"),0))),"-"))</f>
        <v/>
      </c>
      <c r="X38" s="38">
        <f>IF(OR(AP38="",X$5="-"),"",IFERROR(IF(INDEX(INDIRECT("'"&amp;$B38&amp;"'!$T$6:$T$205"),MATCH($AR38&amp;"|"&amp;X$5,INDIRECT("'"&amp;$B38&amp;"'!$AF$6:$AF$205"),0))="","",INDEX(INDIRECT("'"&amp;$B38&amp;"'!$T$6:$T$205"),MATCH($AR38&amp;"|"&amp;X$5,INDIRECT("'"&amp;$B38&amp;"'!$AF$6:$AF$205"),0))),"-"))</f>
        <v/>
      </c>
      <c r="Y38" s="38">
        <f>IF(OR(AP38="",Y$5="-"),"",IFERROR(IF(INDEX(INDIRECT("'"&amp;$B38&amp;"'!$T$6:$T$205"),MATCH($AR38&amp;"|"&amp;Y$5,INDIRECT("'"&amp;$B38&amp;"'!$AF$6:$AF$205"),0))="","",INDEX(INDIRECT("'"&amp;$B38&amp;"'!$T$6:$T$205"),MATCH($AR38&amp;"|"&amp;Y$5,INDIRECT("'"&amp;$B38&amp;"'!$AF$6:$AF$205"),0))),"-"))</f>
        <v/>
      </c>
      <c r="Z38" s="38">
        <f>IF(OR(AP38="",Z$5="-"),"",IFERROR(IF(INDEX(INDIRECT("'"&amp;$B38&amp;"'!$T$6:$T$205"),MATCH($AR38&amp;"|"&amp;Z$5,INDIRECT("'"&amp;$B38&amp;"'!$AF$6:$AF$205"),0))="","",INDEX(INDIRECT("'"&amp;$B38&amp;"'!$T$6:$T$205"),MATCH($AR38&amp;"|"&amp;Z$5,INDIRECT("'"&amp;$B38&amp;"'!$AF$6:$AF$205"),0))),"-"))</f>
        <v/>
      </c>
      <c r="AA38" s="38">
        <f>IF(OR(AP38="",AA$5="-"),"",IFERROR(IF(INDEX(INDIRECT("'"&amp;$B38&amp;"'!$T$6:$T$205"),MATCH($AR38&amp;"|"&amp;AA$5,INDIRECT("'"&amp;$B38&amp;"'!$AF$6:$AF$205"),0))="","",INDEX(INDIRECT("'"&amp;$B38&amp;"'!$T$6:$T$205"),MATCH($AR38&amp;"|"&amp;AA$5,INDIRECT("'"&amp;$B38&amp;"'!$AF$6:$AF$205"),0))),"-"))</f>
        <v/>
      </c>
      <c r="AB38" s="38">
        <f>IF(OR(AP38="",AB$5="-"),"",IFERROR(IF(INDEX(INDIRECT("'"&amp;$B38&amp;"'!$T$6:$T$205"),MATCH($AR38&amp;"|"&amp;AB$5,INDIRECT("'"&amp;$B38&amp;"'!$AF$6:$AF$205"),0))="","",INDEX(INDIRECT("'"&amp;$B38&amp;"'!$T$6:$T$205"),MATCH($AR38&amp;"|"&amp;AB$5,INDIRECT("'"&amp;$B38&amp;"'!$AF$6:$AF$205"),0))),"-"))</f>
        <v/>
      </c>
      <c r="AC38" s="38">
        <f>IF(OR(AP38="",AC$5="-"),"",IFERROR(IF(INDEX(INDIRECT("'"&amp;$B38&amp;"'!$T$6:$T$205"),MATCH($AR38&amp;"|"&amp;AC$5,INDIRECT("'"&amp;$B38&amp;"'!$AF$6:$AF$205"),0))="","",INDEX(INDIRECT("'"&amp;$B38&amp;"'!$T$6:$T$205"),MATCH($AR38&amp;"|"&amp;AC$5,INDIRECT("'"&amp;$B38&amp;"'!$AF$6:$AF$205"),0))),"-"))</f>
        <v/>
      </c>
      <c r="AD38" s="38">
        <f>IF(OR(AP38="",AD$5="-"),"",IFERROR(IF(INDEX(INDIRECT("'"&amp;$B38&amp;"'!$T$6:$T$205"),MATCH($AR38&amp;"|"&amp;AD$5,INDIRECT("'"&amp;$B38&amp;"'!$AF$6:$AF$205"),0))="","",INDEX(INDIRECT("'"&amp;$B38&amp;"'!$T$6:$T$205"),MATCH($AR38&amp;"|"&amp;AD$5,INDIRECT("'"&amp;$B38&amp;"'!$AF$6:$AF$205"),0))),"-"))</f>
        <v/>
      </c>
      <c r="AE38" s="38">
        <f>IF(OR(AP38="",AE$5="-"),"",IFERROR(IF(INDEX(INDIRECT("'"&amp;$B38&amp;"'!$T$6:$T$205"),MATCH($AR38&amp;"|"&amp;AE$5,INDIRECT("'"&amp;$B38&amp;"'!$AF$6:$AF$205"),0))="","",INDEX(INDIRECT("'"&amp;$B38&amp;"'!$T$6:$T$205"),MATCH($AR38&amp;"|"&amp;AE$5,INDIRECT("'"&amp;$B38&amp;"'!$AF$6:$AF$205"),0))),"-"))</f>
        <v/>
      </c>
      <c r="AF38" s="35">
        <f>IF(AG38="","",INDEX($P$5:$W$5,MATCH(AG38,P38:W38,0)))</f>
        <v/>
      </c>
      <c r="AG38" s="37">
        <f>IF(COUNT(P38:W38)=0,"",MIN(P38:W38))</f>
        <v/>
      </c>
      <c r="AH38" s="39">
        <f>IF(AG38="","",AG38*F38)</f>
        <v/>
      </c>
      <c r="AI38" s="39">
        <f>IF(COUNT(P38:W38)&lt;2,"",(MAX(P38:W38)-MIN(P38:W38))*F38)</f>
        <v/>
      </c>
      <c r="AJ38" s="20" t="n"/>
      <c r="AP38">
        <f>IF(33&gt;MAX($AN$6:$AN$9),"",COUNTIF($AN$6:$AN$9,"&lt;"&amp;33)+1)</f>
        <v/>
      </c>
      <c r="AQ38">
        <f>IF(AP38="","",33-INDEX($AO$6:$AO$9,AP38))</f>
        <v/>
      </c>
      <c r="AR38">
        <f>IF(AP38="","",INDEX(INDIRECT("'"&amp;$B38&amp;"'!$AE$6:$AE$205"),MATCH(AQ38,INDIRECT("'"&amp;$B38&amp;"'!$AI$6:$AI$205"),0)))</f>
        <v/>
      </c>
    </row>
    <row r="39">
      <c r="A39" s="34">
        <f>IF(AP39="","",34)</f>
        <v/>
      </c>
      <c r="B39" s="35">
        <f>IF(AP39="","",INDEX($AL$6:$AL$9,AP39))</f>
        <v/>
      </c>
      <c r="C39" s="34">
        <f>IF(AP39="","",INDEX(INDIRECT("'"&amp;$B39&amp;"'!$B$6:$B$205"),MATCH($AR39,INDIRECT("'"&amp;$B39&amp;"'!$AE$6:$AE$205"),0)))</f>
        <v/>
      </c>
      <c r="D39" s="34">
        <f>IF(AP39="","",INDEX(INDIRECT("'"&amp;$B39&amp;"'!$D$6:$D$205"),MATCH($AR39,INDIRECT("'"&amp;$B39&amp;"'!$AE$6:$AE$205"),0)))</f>
        <v/>
      </c>
      <c r="E39" s="36">
        <f>IF(AP39="","",INDEX(INDIRECT("'"&amp;$B39&amp;"'!$F$6:$F$205"),MATCH($AR39,INDIRECT("'"&amp;$B39&amp;"'!$AE$6:$AE$205"),0)))</f>
        <v/>
      </c>
      <c r="F39" s="34">
        <f>IF(AP39="","",INDEX(INDIRECT("'"&amp;$B39&amp;"'!$K$6:$K$205"),MATCH($AR39,INDIRECT("'"&amp;$B39&amp;"'!$AE$6:$AE$205"),0)))</f>
        <v/>
      </c>
      <c r="G39" s="34">
        <f>IF(AP39="","",INDEX(INDIRECT("'"&amp;$B39&amp;"'!$L$6:$L$205"),MATCH($AR39,INDIRECT("'"&amp;$B39&amp;"'!$AE$6:$AE$205"),0)))</f>
        <v/>
      </c>
      <c r="H39" s="34">
        <f>IF(OR(AP39="",H$5="-"),"",IFERROR(IF(INDEX(INDIRECT("'"&amp;$B39&amp;"'!$N$6:$N$205"),MATCH($AR39&amp;"|"&amp;H$5,INDIRECT("'"&amp;$B39&amp;"'!$AF$6:$AF$205"),0))="","",INDEX(INDIRECT("'"&amp;$B39&amp;"'!$N$6:$N$205"),MATCH($AR39&amp;"|"&amp;H$5,INDIRECT("'"&amp;$B39&amp;"'!$AF$6:$AF$205"),0))),"-"))</f>
        <v/>
      </c>
      <c r="I39" s="34">
        <f>IF(OR(AP39="",I$5="-"),"",IFERROR(IF(INDEX(INDIRECT("'"&amp;$B39&amp;"'!$N$6:$N$205"),MATCH($AR39&amp;"|"&amp;I$5,INDIRECT("'"&amp;$B39&amp;"'!$AF$6:$AF$205"),0))="","",INDEX(INDIRECT("'"&amp;$B39&amp;"'!$N$6:$N$205"),MATCH($AR39&amp;"|"&amp;I$5,INDIRECT("'"&amp;$B39&amp;"'!$AF$6:$AF$205"),0))),"-"))</f>
        <v/>
      </c>
      <c r="J39" s="34">
        <f>IF(OR(AP39="",J$5="-"),"",IFERROR(IF(INDEX(INDIRECT("'"&amp;$B39&amp;"'!$N$6:$N$205"),MATCH($AR39&amp;"|"&amp;J$5,INDIRECT("'"&amp;$B39&amp;"'!$AF$6:$AF$205"),0))="","",INDEX(INDIRECT("'"&amp;$B39&amp;"'!$N$6:$N$205"),MATCH($AR39&amp;"|"&amp;J$5,INDIRECT("'"&amp;$B39&amp;"'!$AF$6:$AF$205"),0))),"-"))</f>
        <v/>
      </c>
      <c r="K39" s="34">
        <f>IF(OR(AP39="",K$5="-"),"",IFERROR(IF(INDEX(INDIRECT("'"&amp;$B39&amp;"'!$N$6:$N$205"),MATCH($AR39&amp;"|"&amp;K$5,INDIRECT("'"&amp;$B39&amp;"'!$AF$6:$AF$205"),0))="","",INDEX(INDIRECT("'"&amp;$B39&amp;"'!$N$6:$N$205"),MATCH($AR39&amp;"|"&amp;K$5,INDIRECT("'"&amp;$B39&amp;"'!$AF$6:$AF$205"),0))),"-"))</f>
        <v/>
      </c>
      <c r="L39" s="34">
        <f>IF(OR(AP39="",L$5="-"),"",IFERROR(IF(INDEX(INDIRECT("'"&amp;$B39&amp;"'!$N$6:$N$205"),MATCH($AR39&amp;"|"&amp;L$5,INDIRECT("'"&amp;$B39&amp;"'!$AF$6:$AF$205"),0))="","",INDEX(INDIRECT("'"&amp;$B39&amp;"'!$N$6:$N$205"),MATCH($AR39&amp;"|"&amp;L$5,INDIRECT("'"&amp;$B39&amp;"'!$AF$6:$AF$205"),0))),"-"))</f>
        <v/>
      </c>
      <c r="M39" s="34">
        <f>IF(OR(AP39="",M$5="-"),"",IFERROR(IF(INDEX(INDIRECT("'"&amp;$B39&amp;"'!$N$6:$N$205"),MATCH($AR39&amp;"|"&amp;M$5,INDIRECT("'"&amp;$B39&amp;"'!$AF$6:$AF$205"),0))="","",INDEX(INDIRECT("'"&amp;$B39&amp;"'!$N$6:$N$205"),MATCH($AR39&amp;"|"&amp;M$5,INDIRECT("'"&amp;$B39&amp;"'!$AF$6:$AF$205"),0))),"-"))</f>
        <v/>
      </c>
      <c r="N39" s="34">
        <f>IF(OR(AP39="",N$5="-"),"",IFERROR(IF(INDEX(INDIRECT("'"&amp;$B39&amp;"'!$N$6:$N$205"),MATCH($AR39&amp;"|"&amp;N$5,INDIRECT("'"&amp;$B39&amp;"'!$AF$6:$AF$205"),0))="","",INDEX(INDIRECT("'"&amp;$B39&amp;"'!$N$6:$N$205"),MATCH($AR39&amp;"|"&amp;N$5,INDIRECT("'"&amp;$B39&amp;"'!$AF$6:$AF$205"),0))),"-"))</f>
        <v/>
      </c>
      <c r="O39" s="34">
        <f>IF(OR(AP39="",O$5="-"),"",IFERROR(IF(INDEX(INDIRECT("'"&amp;$B39&amp;"'!$N$6:$N$205"),MATCH($AR39&amp;"|"&amp;O$5,INDIRECT("'"&amp;$B39&amp;"'!$AF$6:$AF$205"),0))="","",INDEX(INDIRECT("'"&amp;$B39&amp;"'!$N$6:$N$205"),MATCH($AR39&amp;"|"&amp;O$5,INDIRECT("'"&amp;$B39&amp;"'!$AF$6:$AF$205"),0))),"-"))</f>
        <v/>
      </c>
      <c r="P39" s="37">
        <f>IF(OR(AP39="",P$5="-"),"",IFERROR(IF(INDEX(INDIRECT("'"&amp;$B39&amp;"'!$R$6:$R$205"),MATCH($AR39&amp;"|"&amp;P$5,INDIRECT("'"&amp;$B39&amp;"'!$AF$6:$AF$205"),0))="","",INDEX(INDIRECT("'"&amp;$B39&amp;"'!$R$6:$R$205"),MATCH($AR39&amp;"|"&amp;P$5,INDIRECT("'"&amp;$B39&amp;"'!$AF$6:$AF$205"),0))),"-"))</f>
        <v/>
      </c>
      <c r="Q39" s="37">
        <f>IF(OR(AP39="",Q$5="-"),"",IFERROR(IF(INDEX(INDIRECT("'"&amp;$B39&amp;"'!$R$6:$R$205"),MATCH($AR39&amp;"|"&amp;Q$5,INDIRECT("'"&amp;$B39&amp;"'!$AF$6:$AF$205"),0))="","",INDEX(INDIRECT("'"&amp;$B39&amp;"'!$R$6:$R$205"),MATCH($AR39&amp;"|"&amp;Q$5,INDIRECT("'"&amp;$B39&amp;"'!$AF$6:$AF$205"),0))),"-"))</f>
        <v/>
      </c>
      <c r="R39" s="37">
        <f>IF(OR(AP39="",R$5="-"),"",IFERROR(IF(INDEX(INDIRECT("'"&amp;$B39&amp;"'!$R$6:$R$205"),MATCH($AR39&amp;"|"&amp;R$5,INDIRECT("'"&amp;$B39&amp;"'!$AF$6:$AF$205"),0))="","",INDEX(INDIRECT("'"&amp;$B39&amp;"'!$R$6:$R$205"),MATCH($AR39&amp;"|"&amp;R$5,INDIRECT("'"&amp;$B39&amp;"'!$AF$6:$AF$205"),0))),"-"))</f>
        <v/>
      </c>
      <c r="S39" s="37">
        <f>IF(OR(AP39="",S$5="-"),"",IFERROR(IF(INDEX(INDIRECT("'"&amp;$B39&amp;"'!$R$6:$R$205"),MATCH($AR39&amp;"|"&amp;S$5,INDIRECT("'"&amp;$B39&amp;"'!$AF$6:$AF$205"),0))="","",INDEX(INDIRECT("'"&amp;$B39&amp;"'!$R$6:$R$205"),MATCH($AR39&amp;"|"&amp;S$5,INDIRECT("'"&amp;$B39&amp;"'!$AF$6:$AF$205"),0))),"-"))</f>
        <v/>
      </c>
      <c r="T39" s="37">
        <f>IF(OR(AP39="",T$5="-"),"",IFERROR(IF(INDEX(INDIRECT("'"&amp;$B39&amp;"'!$R$6:$R$205"),MATCH($AR39&amp;"|"&amp;T$5,INDIRECT("'"&amp;$B39&amp;"'!$AF$6:$AF$205"),0))="","",INDEX(INDIRECT("'"&amp;$B39&amp;"'!$R$6:$R$205"),MATCH($AR39&amp;"|"&amp;T$5,INDIRECT("'"&amp;$B39&amp;"'!$AF$6:$AF$205"),0))),"-"))</f>
        <v/>
      </c>
      <c r="U39" s="37">
        <f>IF(OR(AP39="",U$5="-"),"",IFERROR(IF(INDEX(INDIRECT("'"&amp;$B39&amp;"'!$R$6:$R$205"),MATCH($AR39&amp;"|"&amp;U$5,INDIRECT("'"&amp;$B39&amp;"'!$AF$6:$AF$205"),0))="","",INDEX(INDIRECT("'"&amp;$B39&amp;"'!$R$6:$R$205"),MATCH($AR39&amp;"|"&amp;U$5,INDIRECT("'"&amp;$B39&amp;"'!$AF$6:$AF$205"),0))),"-"))</f>
        <v/>
      </c>
      <c r="V39" s="37">
        <f>IF(OR(AP39="",V$5="-"),"",IFERROR(IF(INDEX(INDIRECT("'"&amp;$B39&amp;"'!$R$6:$R$205"),MATCH($AR39&amp;"|"&amp;V$5,INDIRECT("'"&amp;$B39&amp;"'!$AF$6:$AF$205"),0))="","",INDEX(INDIRECT("'"&amp;$B39&amp;"'!$R$6:$R$205"),MATCH($AR39&amp;"|"&amp;V$5,INDIRECT("'"&amp;$B39&amp;"'!$AF$6:$AF$205"),0))),"-"))</f>
        <v/>
      </c>
      <c r="W39" s="37">
        <f>IF(OR(AP39="",W$5="-"),"",IFERROR(IF(INDEX(INDIRECT("'"&amp;$B39&amp;"'!$R$6:$R$205"),MATCH($AR39&amp;"|"&amp;W$5,INDIRECT("'"&amp;$B39&amp;"'!$AF$6:$AF$205"),0))="","",INDEX(INDIRECT("'"&amp;$B39&amp;"'!$R$6:$R$205"),MATCH($AR39&amp;"|"&amp;W$5,INDIRECT("'"&amp;$B39&amp;"'!$AF$6:$AF$205"),0))),"-"))</f>
        <v/>
      </c>
      <c r="X39" s="38">
        <f>IF(OR(AP39="",X$5="-"),"",IFERROR(IF(INDEX(INDIRECT("'"&amp;$B39&amp;"'!$T$6:$T$205"),MATCH($AR39&amp;"|"&amp;X$5,INDIRECT("'"&amp;$B39&amp;"'!$AF$6:$AF$205"),0))="","",INDEX(INDIRECT("'"&amp;$B39&amp;"'!$T$6:$T$205"),MATCH($AR39&amp;"|"&amp;X$5,INDIRECT("'"&amp;$B39&amp;"'!$AF$6:$AF$205"),0))),"-"))</f>
        <v/>
      </c>
      <c r="Y39" s="38">
        <f>IF(OR(AP39="",Y$5="-"),"",IFERROR(IF(INDEX(INDIRECT("'"&amp;$B39&amp;"'!$T$6:$T$205"),MATCH($AR39&amp;"|"&amp;Y$5,INDIRECT("'"&amp;$B39&amp;"'!$AF$6:$AF$205"),0))="","",INDEX(INDIRECT("'"&amp;$B39&amp;"'!$T$6:$T$205"),MATCH($AR39&amp;"|"&amp;Y$5,INDIRECT("'"&amp;$B39&amp;"'!$AF$6:$AF$205"),0))),"-"))</f>
        <v/>
      </c>
      <c r="Z39" s="38">
        <f>IF(OR(AP39="",Z$5="-"),"",IFERROR(IF(INDEX(INDIRECT("'"&amp;$B39&amp;"'!$T$6:$T$205"),MATCH($AR39&amp;"|"&amp;Z$5,INDIRECT("'"&amp;$B39&amp;"'!$AF$6:$AF$205"),0))="","",INDEX(INDIRECT("'"&amp;$B39&amp;"'!$T$6:$T$205"),MATCH($AR39&amp;"|"&amp;Z$5,INDIRECT("'"&amp;$B39&amp;"'!$AF$6:$AF$205"),0))),"-"))</f>
        <v/>
      </c>
      <c r="AA39" s="38">
        <f>IF(OR(AP39="",AA$5="-"),"",IFERROR(IF(INDEX(INDIRECT("'"&amp;$B39&amp;"'!$T$6:$T$205"),MATCH($AR39&amp;"|"&amp;AA$5,INDIRECT("'"&amp;$B39&amp;"'!$AF$6:$AF$205"),0))="","",INDEX(INDIRECT("'"&amp;$B39&amp;"'!$T$6:$T$205"),MATCH($AR39&amp;"|"&amp;AA$5,INDIRECT("'"&amp;$B39&amp;"'!$AF$6:$AF$205"),0))),"-"))</f>
        <v/>
      </c>
      <c r="AB39" s="38">
        <f>IF(OR(AP39="",AB$5="-"),"",IFERROR(IF(INDEX(INDIRECT("'"&amp;$B39&amp;"'!$T$6:$T$205"),MATCH($AR39&amp;"|"&amp;AB$5,INDIRECT("'"&amp;$B39&amp;"'!$AF$6:$AF$205"),0))="","",INDEX(INDIRECT("'"&amp;$B39&amp;"'!$T$6:$T$205"),MATCH($AR39&amp;"|"&amp;AB$5,INDIRECT("'"&amp;$B39&amp;"'!$AF$6:$AF$205"),0))),"-"))</f>
        <v/>
      </c>
      <c r="AC39" s="38">
        <f>IF(OR(AP39="",AC$5="-"),"",IFERROR(IF(INDEX(INDIRECT("'"&amp;$B39&amp;"'!$T$6:$T$205"),MATCH($AR39&amp;"|"&amp;AC$5,INDIRECT("'"&amp;$B39&amp;"'!$AF$6:$AF$205"),0))="","",INDEX(INDIRECT("'"&amp;$B39&amp;"'!$T$6:$T$205"),MATCH($AR39&amp;"|"&amp;AC$5,INDIRECT("'"&amp;$B39&amp;"'!$AF$6:$AF$205"),0))),"-"))</f>
        <v/>
      </c>
      <c r="AD39" s="38">
        <f>IF(OR(AP39="",AD$5="-"),"",IFERROR(IF(INDEX(INDIRECT("'"&amp;$B39&amp;"'!$T$6:$T$205"),MATCH($AR39&amp;"|"&amp;AD$5,INDIRECT("'"&amp;$B39&amp;"'!$AF$6:$AF$205"),0))="","",INDEX(INDIRECT("'"&amp;$B39&amp;"'!$T$6:$T$205"),MATCH($AR39&amp;"|"&amp;AD$5,INDIRECT("'"&amp;$B39&amp;"'!$AF$6:$AF$205"),0))),"-"))</f>
        <v/>
      </c>
      <c r="AE39" s="38">
        <f>IF(OR(AP39="",AE$5="-"),"",IFERROR(IF(INDEX(INDIRECT("'"&amp;$B39&amp;"'!$T$6:$T$205"),MATCH($AR39&amp;"|"&amp;AE$5,INDIRECT("'"&amp;$B39&amp;"'!$AF$6:$AF$205"),0))="","",INDEX(INDIRECT("'"&amp;$B39&amp;"'!$T$6:$T$205"),MATCH($AR39&amp;"|"&amp;AE$5,INDIRECT("'"&amp;$B39&amp;"'!$AF$6:$AF$205"),0))),"-"))</f>
        <v/>
      </c>
      <c r="AF39" s="35">
        <f>IF(AG39="","",INDEX($P$5:$W$5,MATCH(AG39,P39:W39,0)))</f>
        <v/>
      </c>
      <c r="AG39" s="37">
        <f>IF(COUNT(P39:W39)=0,"",MIN(P39:W39))</f>
        <v/>
      </c>
      <c r="AH39" s="39">
        <f>IF(AG39="","",AG39*F39)</f>
        <v/>
      </c>
      <c r="AI39" s="39">
        <f>IF(COUNT(P39:W39)&lt;2,"",(MAX(P39:W39)-MIN(P39:W39))*F39)</f>
        <v/>
      </c>
      <c r="AJ39" s="20" t="n"/>
      <c r="AP39">
        <f>IF(34&gt;MAX($AN$6:$AN$9),"",COUNTIF($AN$6:$AN$9,"&lt;"&amp;34)+1)</f>
        <v/>
      </c>
      <c r="AQ39">
        <f>IF(AP39="","",34-INDEX($AO$6:$AO$9,AP39))</f>
        <v/>
      </c>
      <c r="AR39">
        <f>IF(AP39="","",INDEX(INDIRECT("'"&amp;$B39&amp;"'!$AE$6:$AE$205"),MATCH(AQ39,INDIRECT("'"&amp;$B39&amp;"'!$AI$6:$AI$205"),0)))</f>
        <v/>
      </c>
    </row>
    <row r="40">
      <c r="A40" s="34">
        <f>IF(AP40="","",35)</f>
        <v/>
      </c>
      <c r="B40" s="35">
        <f>IF(AP40="","",INDEX($AL$6:$AL$9,AP40))</f>
        <v/>
      </c>
      <c r="C40" s="34">
        <f>IF(AP40="","",INDEX(INDIRECT("'"&amp;$B40&amp;"'!$B$6:$B$205"),MATCH($AR40,INDIRECT("'"&amp;$B40&amp;"'!$AE$6:$AE$205"),0)))</f>
        <v/>
      </c>
      <c r="D40" s="34">
        <f>IF(AP40="","",INDEX(INDIRECT("'"&amp;$B40&amp;"'!$D$6:$D$205"),MATCH($AR40,INDIRECT("'"&amp;$B40&amp;"'!$AE$6:$AE$205"),0)))</f>
        <v/>
      </c>
      <c r="E40" s="36">
        <f>IF(AP40="","",INDEX(INDIRECT("'"&amp;$B40&amp;"'!$F$6:$F$205"),MATCH($AR40,INDIRECT("'"&amp;$B40&amp;"'!$AE$6:$AE$205"),0)))</f>
        <v/>
      </c>
      <c r="F40" s="34">
        <f>IF(AP40="","",INDEX(INDIRECT("'"&amp;$B40&amp;"'!$K$6:$K$205"),MATCH($AR40,INDIRECT("'"&amp;$B40&amp;"'!$AE$6:$AE$205"),0)))</f>
        <v/>
      </c>
      <c r="G40" s="34">
        <f>IF(AP40="","",INDEX(INDIRECT("'"&amp;$B40&amp;"'!$L$6:$L$205"),MATCH($AR40,INDIRECT("'"&amp;$B40&amp;"'!$AE$6:$AE$205"),0)))</f>
        <v/>
      </c>
      <c r="H40" s="34">
        <f>IF(OR(AP40="",H$5="-"),"",IFERROR(IF(INDEX(INDIRECT("'"&amp;$B40&amp;"'!$N$6:$N$205"),MATCH($AR40&amp;"|"&amp;H$5,INDIRECT("'"&amp;$B40&amp;"'!$AF$6:$AF$205"),0))="","",INDEX(INDIRECT("'"&amp;$B40&amp;"'!$N$6:$N$205"),MATCH($AR40&amp;"|"&amp;H$5,INDIRECT("'"&amp;$B40&amp;"'!$AF$6:$AF$205"),0))),"-"))</f>
        <v/>
      </c>
      <c r="I40" s="34">
        <f>IF(OR(AP40="",I$5="-"),"",IFERROR(IF(INDEX(INDIRECT("'"&amp;$B40&amp;"'!$N$6:$N$205"),MATCH($AR40&amp;"|"&amp;I$5,INDIRECT("'"&amp;$B40&amp;"'!$AF$6:$AF$205"),0))="","",INDEX(INDIRECT("'"&amp;$B40&amp;"'!$N$6:$N$205"),MATCH($AR40&amp;"|"&amp;I$5,INDIRECT("'"&amp;$B40&amp;"'!$AF$6:$AF$205"),0))),"-"))</f>
        <v/>
      </c>
      <c r="J40" s="34">
        <f>IF(OR(AP40="",J$5="-"),"",IFERROR(IF(INDEX(INDIRECT("'"&amp;$B40&amp;"'!$N$6:$N$205"),MATCH($AR40&amp;"|"&amp;J$5,INDIRECT("'"&amp;$B40&amp;"'!$AF$6:$AF$205"),0))="","",INDEX(INDIRECT("'"&amp;$B40&amp;"'!$N$6:$N$205"),MATCH($AR40&amp;"|"&amp;J$5,INDIRECT("'"&amp;$B40&amp;"'!$AF$6:$AF$205"),0))),"-"))</f>
        <v/>
      </c>
      <c r="K40" s="34">
        <f>IF(OR(AP40="",K$5="-"),"",IFERROR(IF(INDEX(INDIRECT("'"&amp;$B40&amp;"'!$N$6:$N$205"),MATCH($AR40&amp;"|"&amp;K$5,INDIRECT("'"&amp;$B40&amp;"'!$AF$6:$AF$205"),0))="","",INDEX(INDIRECT("'"&amp;$B40&amp;"'!$N$6:$N$205"),MATCH($AR40&amp;"|"&amp;K$5,INDIRECT("'"&amp;$B40&amp;"'!$AF$6:$AF$205"),0))),"-"))</f>
        <v/>
      </c>
      <c r="L40" s="34">
        <f>IF(OR(AP40="",L$5="-"),"",IFERROR(IF(INDEX(INDIRECT("'"&amp;$B40&amp;"'!$N$6:$N$205"),MATCH($AR40&amp;"|"&amp;L$5,INDIRECT("'"&amp;$B40&amp;"'!$AF$6:$AF$205"),0))="","",INDEX(INDIRECT("'"&amp;$B40&amp;"'!$N$6:$N$205"),MATCH($AR40&amp;"|"&amp;L$5,INDIRECT("'"&amp;$B40&amp;"'!$AF$6:$AF$205"),0))),"-"))</f>
        <v/>
      </c>
      <c r="M40" s="34">
        <f>IF(OR(AP40="",M$5="-"),"",IFERROR(IF(INDEX(INDIRECT("'"&amp;$B40&amp;"'!$N$6:$N$205"),MATCH($AR40&amp;"|"&amp;M$5,INDIRECT("'"&amp;$B40&amp;"'!$AF$6:$AF$205"),0))="","",INDEX(INDIRECT("'"&amp;$B40&amp;"'!$N$6:$N$205"),MATCH($AR40&amp;"|"&amp;M$5,INDIRECT("'"&amp;$B40&amp;"'!$AF$6:$AF$205"),0))),"-"))</f>
        <v/>
      </c>
      <c r="N40" s="34">
        <f>IF(OR(AP40="",N$5="-"),"",IFERROR(IF(INDEX(INDIRECT("'"&amp;$B40&amp;"'!$N$6:$N$205"),MATCH($AR40&amp;"|"&amp;N$5,INDIRECT("'"&amp;$B40&amp;"'!$AF$6:$AF$205"),0))="","",INDEX(INDIRECT("'"&amp;$B40&amp;"'!$N$6:$N$205"),MATCH($AR40&amp;"|"&amp;N$5,INDIRECT("'"&amp;$B40&amp;"'!$AF$6:$AF$205"),0))),"-"))</f>
        <v/>
      </c>
      <c r="O40" s="34">
        <f>IF(OR(AP40="",O$5="-"),"",IFERROR(IF(INDEX(INDIRECT("'"&amp;$B40&amp;"'!$N$6:$N$205"),MATCH($AR40&amp;"|"&amp;O$5,INDIRECT("'"&amp;$B40&amp;"'!$AF$6:$AF$205"),0))="","",INDEX(INDIRECT("'"&amp;$B40&amp;"'!$N$6:$N$205"),MATCH($AR40&amp;"|"&amp;O$5,INDIRECT("'"&amp;$B40&amp;"'!$AF$6:$AF$205"),0))),"-"))</f>
        <v/>
      </c>
      <c r="P40" s="37">
        <f>IF(OR(AP40="",P$5="-"),"",IFERROR(IF(INDEX(INDIRECT("'"&amp;$B40&amp;"'!$R$6:$R$205"),MATCH($AR40&amp;"|"&amp;P$5,INDIRECT("'"&amp;$B40&amp;"'!$AF$6:$AF$205"),0))="","",INDEX(INDIRECT("'"&amp;$B40&amp;"'!$R$6:$R$205"),MATCH($AR40&amp;"|"&amp;P$5,INDIRECT("'"&amp;$B40&amp;"'!$AF$6:$AF$205"),0))),"-"))</f>
        <v/>
      </c>
      <c r="Q40" s="37">
        <f>IF(OR(AP40="",Q$5="-"),"",IFERROR(IF(INDEX(INDIRECT("'"&amp;$B40&amp;"'!$R$6:$R$205"),MATCH($AR40&amp;"|"&amp;Q$5,INDIRECT("'"&amp;$B40&amp;"'!$AF$6:$AF$205"),0))="","",INDEX(INDIRECT("'"&amp;$B40&amp;"'!$R$6:$R$205"),MATCH($AR40&amp;"|"&amp;Q$5,INDIRECT("'"&amp;$B40&amp;"'!$AF$6:$AF$205"),0))),"-"))</f>
        <v/>
      </c>
      <c r="R40" s="37">
        <f>IF(OR(AP40="",R$5="-"),"",IFERROR(IF(INDEX(INDIRECT("'"&amp;$B40&amp;"'!$R$6:$R$205"),MATCH($AR40&amp;"|"&amp;R$5,INDIRECT("'"&amp;$B40&amp;"'!$AF$6:$AF$205"),0))="","",INDEX(INDIRECT("'"&amp;$B40&amp;"'!$R$6:$R$205"),MATCH($AR40&amp;"|"&amp;R$5,INDIRECT("'"&amp;$B40&amp;"'!$AF$6:$AF$205"),0))),"-"))</f>
        <v/>
      </c>
      <c r="S40" s="37">
        <f>IF(OR(AP40="",S$5="-"),"",IFERROR(IF(INDEX(INDIRECT("'"&amp;$B40&amp;"'!$R$6:$R$205"),MATCH($AR40&amp;"|"&amp;S$5,INDIRECT("'"&amp;$B40&amp;"'!$AF$6:$AF$205"),0))="","",INDEX(INDIRECT("'"&amp;$B40&amp;"'!$R$6:$R$205"),MATCH($AR40&amp;"|"&amp;S$5,INDIRECT("'"&amp;$B40&amp;"'!$AF$6:$AF$205"),0))),"-"))</f>
        <v/>
      </c>
      <c r="T40" s="37">
        <f>IF(OR(AP40="",T$5="-"),"",IFERROR(IF(INDEX(INDIRECT("'"&amp;$B40&amp;"'!$R$6:$R$205"),MATCH($AR40&amp;"|"&amp;T$5,INDIRECT("'"&amp;$B40&amp;"'!$AF$6:$AF$205"),0))="","",INDEX(INDIRECT("'"&amp;$B40&amp;"'!$R$6:$R$205"),MATCH($AR40&amp;"|"&amp;T$5,INDIRECT("'"&amp;$B40&amp;"'!$AF$6:$AF$205"),0))),"-"))</f>
        <v/>
      </c>
      <c r="U40" s="37">
        <f>IF(OR(AP40="",U$5="-"),"",IFERROR(IF(INDEX(INDIRECT("'"&amp;$B40&amp;"'!$R$6:$R$205"),MATCH($AR40&amp;"|"&amp;U$5,INDIRECT("'"&amp;$B40&amp;"'!$AF$6:$AF$205"),0))="","",INDEX(INDIRECT("'"&amp;$B40&amp;"'!$R$6:$R$205"),MATCH($AR40&amp;"|"&amp;U$5,INDIRECT("'"&amp;$B40&amp;"'!$AF$6:$AF$205"),0))),"-"))</f>
        <v/>
      </c>
      <c r="V40" s="37">
        <f>IF(OR(AP40="",V$5="-"),"",IFERROR(IF(INDEX(INDIRECT("'"&amp;$B40&amp;"'!$R$6:$R$205"),MATCH($AR40&amp;"|"&amp;V$5,INDIRECT("'"&amp;$B40&amp;"'!$AF$6:$AF$205"),0))="","",INDEX(INDIRECT("'"&amp;$B40&amp;"'!$R$6:$R$205"),MATCH($AR40&amp;"|"&amp;V$5,INDIRECT("'"&amp;$B40&amp;"'!$AF$6:$AF$205"),0))),"-"))</f>
        <v/>
      </c>
      <c r="W40" s="37">
        <f>IF(OR(AP40="",W$5="-"),"",IFERROR(IF(INDEX(INDIRECT("'"&amp;$B40&amp;"'!$R$6:$R$205"),MATCH($AR40&amp;"|"&amp;W$5,INDIRECT("'"&amp;$B40&amp;"'!$AF$6:$AF$205"),0))="","",INDEX(INDIRECT("'"&amp;$B40&amp;"'!$R$6:$R$205"),MATCH($AR40&amp;"|"&amp;W$5,INDIRECT("'"&amp;$B40&amp;"'!$AF$6:$AF$205"),0))),"-"))</f>
        <v/>
      </c>
      <c r="X40" s="38">
        <f>IF(OR(AP40="",X$5="-"),"",IFERROR(IF(INDEX(INDIRECT("'"&amp;$B40&amp;"'!$T$6:$T$205"),MATCH($AR40&amp;"|"&amp;X$5,INDIRECT("'"&amp;$B40&amp;"'!$AF$6:$AF$205"),0))="","",INDEX(INDIRECT("'"&amp;$B40&amp;"'!$T$6:$T$205"),MATCH($AR40&amp;"|"&amp;X$5,INDIRECT("'"&amp;$B40&amp;"'!$AF$6:$AF$205"),0))),"-"))</f>
        <v/>
      </c>
      <c r="Y40" s="38">
        <f>IF(OR(AP40="",Y$5="-"),"",IFERROR(IF(INDEX(INDIRECT("'"&amp;$B40&amp;"'!$T$6:$T$205"),MATCH($AR40&amp;"|"&amp;Y$5,INDIRECT("'"&amp;$B40&amp;"'!$AF$6:$AF$205"),0))="","",INDEX(INDIRECT("'"&amp;$B40&amp;"'!$T$6:$T$205"),MATCH($AR40&amp;"|"&amp;Y$5,INDIRECT("'"&amp;$B40&amp;"'!$AF$6:$AF$205"),0))),"-"))</f>
        <v/>
      </c>
      <c r="Z40" s="38">
        <f>IF(OR(AP40="",Z$5="-"),"",IFERROR(IF(INDEX(INDIRECT("'"&amp;$B40&amp;"'!$T$6:$T$205"),MATCH($AR40&amp;"|"&amp;Z$5,INDIRECT("'"&amp;$B40&amp;"'!$AF$6:$AF$205"),0))="","",INDEX(INDIRECT("'"&amp;$B40&amp;"'!$T$6:$T$205"),MATCH($AR40&amp;"|"&amp;Z$5,INDIRECT("'"&amp;$B40&amp;"'!$AF$6:$AF$205"),0))),"-"))</f>
        <v/>
      </c>
      <c r="AA40" s="38">
        <f>IF(OR(AP40="",AA$5="-"),"",IFERROR(IF(INDEX(INDIRECT("'"&amp;$B40&amp;"'!$T$6:$T$205"),MATCH($AR40&amp;"|"&amp;AA$5,INDIRECT("'"&amp;$B40&amp;"'!$AF$6:$AF$205"),0))="","",INDEX(INDIRECT("'"&amp;$B40&amp;"'!$T$6:$T$205"),MATCH($AR40&amp;"|"&amp;AA$5,INDIRECT("'"&amp;$B40&amp;"'!$AF$6:$AF$205"),0))),"-"))</f>
        <v/>
      </c>
      <c r="AB40" s="38">
        <f>IF(OR(AP40="",AB$5="-"),"",IFERROR(IF(INDEX(INDIRECT("'"&amp;$B40&amp;"'!$T$6:$T$205"),MATCH($AR40&amp;"|"&amp;AB$5,INDIRECT("'"&amp;$B40&amp;"'!$AF$6:$AF$205"),0))="","",INDEX(INDIRECT("'"&amp;$B40&amp;"'!$T$6:$T$205"),MATCH($AR40&amp;"|"&amp;AB$5,INDIRECT("'"&amp;$B40&amp;"'!$AF$6:$AF$205"),0))),"-"))</f>
        <v/>
      </c>
      <c r="AC40" s="38">
        <f>IF(OR(AP40="",AC$5="-"),"",IFERROR(IF(INDEX(INDIRECT("'"&amp;$B40&amp;"'!$T$6:$T$205"),MATCH($AR40&amp;"|"&amp;AC$5,INDIRECT("'"&amp;$B40&amp;"'!$AF$6:$AF$205"),0))="","",INDEX(INDIRECT("'"&amp;$B40&amp;"'!$T$6:$T$205"),MATCH($AR40&amp;"|"&amp;AC$5,INDIRECT("'"&amp;$B40&amp;"'!$AF$6:$AF$205"),0))),"-"))</f>
        <v/>
      </c>
      <c r="AD40" s="38">
        <f>IF(OR(AP40="",AD$5="-"),"",IFERROR(IF(INDEX(INDIRECT("'"&amp;$B40&amp;"'!$T$6:$T$205"),MATCH($AR40&amp;"|"&amp;AD$5,INDIRECT("'"&amp;$B40&amp;"'!$AF$6:$AF$205"),0))="","",INDEX(INDIRECT("'"&amp;$B40&amp;"'!$T$6:$T$205"),MATCH($AR40&amp;"|"&amp;AD$5,INDIRECT("'"&amp;$B40&amp;"'!$AF$6:$AF$205"),0))),"-"))</f>
        <v/>
      </c>
      <c r="AE40" s="38">
        <f>IF(OR(AP40="",AE$5="-"),"",IFERROR(IF(INDEX(INDIRECT("'"&amp;$B40&amp;"'!$T$6:$T$205"),MATCH($AR40&amp;"|"&amp;AE$5,INDIRECT("'"&amp;$B40&amp;"'!$AF$6:$AF$205"),0))="","",INDEX(INDIRECT("'"&amp;$B40&amp;"'!$T$6:$T$205"),MATCH($AR40&amp;"|"&amp;AE$5,INDIRECT("'"&amp;$B40&amp;"'!$AF$6:$AF$205"),0))),"-"))</f>
        <v/>
      </c>
      <c r="AF40" s="35">
        <f>IF(AG40="","",INDEX($P$5:$W$5,MATCH(AG40,P40:W40,0)))</f>
        <v/>
      </c>
      <c r="AG40" s="37">
        <f>IF(COUNT(P40:W40)=0,"",MIN(P40:W40))</f>
        <v/>
      </c>
      <c r="AH40" s="39">
        <f>IF(AG40="","",AG40*F40)</f>
        <v/>
      </c>
      <c r="AI40" s="39">
        <f>IF(COUNT(P40:W40)&lt;2,"",(MAX(P40:W40)-MIN(P40:W40))*F40)</f>
        <v/>
      </c>
      <c r="AJ40" s="20" t="n"/>
      <c r="AP40">
        <f>IF(35&gt;MAX($AN$6:$AN$9),"",COUNTIF($AN$6:$AN$9,"&lt;"&amp;35)+1)</f>
        <v/>
      </c>
      <c r="AQ40">
        <f>IF(AP40="","",35-INDEX($AO$6:$AO$9,AP40))</f>
        <v/>
      </c>
      <c r="AR40">
        <f>IF(AP40="","",INDEX(INDIRECT("'"&amp;$B40&amp;"'!$AE$6:$AE$205"),MATCH(AQ40,INDIRECT("'"&amp;$B40&amp;"'!$AI$6:$AI$205"),0)))</f>
        <v/>
      </c>
    </row>
    <row r="41">
      <c r="A41" s="34">
        <f>IF(AP41="","",36)</f>
        <v/>
      </c>
      <c r="B41" s="35">
        <f>IF(AP41="","",INDEX($AL$6:$AL$9,AP41))</f>
        <v/>
      </c>
      <c r="C41" s="34">
        <f>IF(AP41="","",INDEX(INDIRECT("'"&amp;$B41&amp;"'!$B$6:$B$205"),MATCH($AR41,INDIRECT("'"&amp;$B41&amp;"'!$AE$6:$AE$205"),0)))</f>
        <v/>
      </c>
      <c r="D41" s="34">
        <f>IF(AP41="","",INDEX(INDIRECT("'"&amp;$B41&amp;"'!$D$6:$D$205"),MATCH($AR41,INDIRECT("'"&amp;$B41&amp;"'!$AE$6:$AE$205"),0)))</f>
        <v/>
      </c>
      <c r="E41" s="36">
        <f>IF(AP41="","",INDEX(INDIRECT("'"&amp;$B41&amp;"'!$F$6:$F$205"),MATCH($AR41,INDIRECT("'"&amp;$B41&amp;"'!$AE$6:$AE$205"),0)))</f>
        <v/>
      </c>
      <c r="F41" s="34">
        <f>IF(AP41="","",INDEX(INDIRECT("'"&amp;$B41&amp;"'!$K$6:$K$205"),MATCH($AR41,INDIRECT("'"&amp;$B41&amp;"'!$AE$6:$AE$205"),0)))</f>
        <v/>
      </c>
      <c r="G41" s="34">
        <f>IF(AP41="","",INDEX(INDIRECT("'"&amp;$B41&amp;"'!$L$6:$L$205"),MATCH($AR41,INDIRECT("'"&amp;$B41&amp;"'!$AE$6:$AE$205"),0)))</f>
        <v/>
      </c>
      <c r="H41" s="34">
        <f>IF(OR(AP41="",H$5="-"),"",IFERROR(IF(INDEX(INDIRECT("'"&amp;$B41&amp;"'!$N$6:$N$205"),MATCH($AR41&amp;"|"&amp;H$5,INDIRECT("'"&amp;$B41&amp;"'!$AF$6:$AF$205"),0))="","",INDEX(INDIRECT("'"&amp;$B41&amp;"'!$N$6:$N$205"),MATCH($AR41&amp;"|"&amp;H$5,INDIRECT("'"&amp;$B41&amp;"'!$AF$6:$AF$205"),0))),"-"))</f>
        <v/>
      </c>
      <c r="I41" s="34">
        <f>IF(OR(AP41="",I$5="-"),"",IFERROR(IF(INDEX(INDIRECT("'"&amp;$B41&amp;"'!$N$6:$N$205"),MATCH($AR41&amp;"|"&amp;I$5,INDIRECT("'"&amp;$B41&amp;"'!$AF$6:$AF$205"),0))="","",INDEX(INDIRECT("'"&amp;$B41&amp;"'!$N$6:$N$205"),MATCH($AR41&amp;"|"&amp;I$5,INDIRECT("'"&amp;$B41&amp;"'!$AF$6:$AF$205"),0))),"-"))</f>
        <v/>
      </c>
      <c r="J41" s="34">
        <f>IF(OR(AP41="",J$5="-"),"",IFERROR(IF(INDEX(INDIRECT("'"&amp;$B41&amp;"'!$N$6:$N$205"),MATCH($AR41&amp;"|"&amp;J$5,INDIRECT("'"&amp;$B41&amp;"'!$AF$6:$AF$205"),0))="","",INDEX(INDIRECT("'"&amp;$B41&amp;"'!$N$6:$N$205"),MATCH($AR41&amp;"|"&amp;J$5,INDIRECT("'"&amp;$B41&amp;"'!$AF$6:$AF$205"),0))),"-"))</f>
        <v/>
      </c>
      <c r="K41" s="34">
        <f>IF(OR(AP41="",K$5="-"),"",IFERROR(IF(INDEX(INDIRECT("'"&amp;$B41&amp;"'!$N$6:$N$205"),MATCH($AR41&amp;"|"&amp;K$5,INDIRECT("'"&amp;$B41&amp;"'!$AF$6:$AF$205"),0))="","",INDEX(INDIRECT("'"&amp;$B41&amp;"'!$N$6:$N$205"),MATCH($AR41&amp;"|"&amp;K$5,INDIRECT("'"&amp;$B41&amp;"'!$AF$6:$AF$205"),0))),"-"))</f>
        <v/>
      </c>
      <c r="L41" s="34">
        <f>IF(OR(AP41="",L$5="-"),"",IFERROR(IF(INDEX(INDIRECT("'"&amp;$B41&amp;"'!$N$6:$N$205"),MATCH($AR41&amp;"|"&amp;L$5,INDIRECT("'"&amp;$B41&amp;"'!$AF$6:$AF$205"),0))="","",INDEX(INDIRECT("'"&amp;$B41&amp;"'!$N$6:$N$205"),MATCH($AR41&amp;"|"&amp;L$5,INDIRECT("'"&amp;$B41&amp;"'!$AF$6:$AF$205"),0))),"-"))</f>
        <v/>
      </c>
      <c r="M41" s="34">
        <f>IF(OR(AP41="",M$5="-"),"",IFERROR(IF(INDEX(INDIRECT("'"&amp;$B41&amp;"'!$N$6:$N$205"),MATCH($AR41&amp;"|"&amp;M$5,INDIRECT("'"&amp;$B41&amp;"'!$AF$6:$AF$205"),0))="","",INDEX(INDIRECT("'"&amp;$B41&amp;"'!$N$6:$N$205"),MATCH($AR41&amp;"|"&amp;M$5,INDIRECT("'"&amp;$B41&amp;"'!$AF$6:$AF$205"),0))),"-"))</f>
        <v/>
      </c>
      <c r="N41" s="34">
        <f>IF(OR(AP41="",N$5="-"),"",IFERROR(IF(INDEX(INDIRECT("'"&amp;$B41&amp;"'!$N$6:$N$205"),MATCH($AR41&amp;"|"&amp;N$5,INDIRECT("'"&amp;$B41&amp;"'!$AF$6:$AF$205"),0))="","",INDEX(INDIRECT("'"&amp;$B41&amp;"'!$N$6:$N$205"),MATCH($AR41&amp;"|"&amp;N$5,INDIRECT("'"&amp;$B41&amp;"'!$AF$6:$AF$205"),0))),"-"))</f>
        <v/>
      </c>
      <c r="O41" s="34">
        <f>IF(OR(AP41="",O$5="-"),"",IFERROR(IF(INDEX(INDIRECT("'"&amp;$B41&amp;"'!$N$6:$N$205"),MATCH($AR41&amp;"|"&amp;O$5,INDIRECT("'"&amp;$B41&amp;"'!$AF$6:$AF$205"),0))="","",INDEX(INDIRECT("'"&amp;$B41&amp;"'!$N$6:$N$205"),MATCH($AR41&amp;"|"&amp;O$5,INDIRECT("'"&amp;$B41&amp;"'!$AF$6:$AF$205"),0))),"-"))</f>
        <v/>
      </c>
      <c r="P41" s="37">
        <f>IF(OR(AP41="",P$5="-"),"",IFERROR(IF(INDEX(INDIRECT("'"&amp;$B41&amp;"'!$R$6:$R$205"),MATCH($AR41&amp;"|"&amp;P$5,INDIRECT("'"&amp;$B41&amp;"'!$AF$6:$AF$205"),0))="","",INDEX(INDIRECT("'"&amp;$B41&amp;"'!$R$6:$R$205"),MATCH($AR41&amp;"|"&amp;P$5,INDIRECT("'"&amp;$B41&amp;"'!$AF$6:$AF$205"),0))),"-"))</f>
        <v/>
      </c>
      <c r="Q41" s="37">
        <f>IF(OR(AP41="",Q$5="-"),"",IFERROR(IF(INDEX(INDIRECT("'"&amp;$B41&amp;"'!$R$6:$R$205"),MATCH($AR41&amp;"|"&amp;Q$5,INDIRECT("'"&amp;$B41&amp;"'!$AF$6:$AF$205"),0))="","",INDEX(INDIRECT("'"&amp;$B41&amp;"'!$R$6:$R$205"),MATCH($AR41&amp;"|"&amp;Q$5,INDIRECT("'"&amp;$B41&amp;"'!$AF$6:$AF$205"),0))),"-"))</f>
        <v/>
      </c>
      <c r="R41" s="37">
        <f>IF(OR(AP41="",R$5="-"),"",IFERROR(IF(INDEX(INDIRECT("'"&amp;$B41&amp;"'!$R$6:$R$205"),MATCH($AR41&amp;"|"&amp;R$5,INDIRECT("'"&amp;$B41&amp;"'!$AF$6:$AF$205"),0))="","",INDEX(INDIRECT("'"&amp;$B41&amp;"'!$R$6:$R$205"),MATCH($AR41&amp;"|"&amp;R$5,INDIRECT("'"&amp;$B41&amp;"'!$AF$6:$AF$205"),0))),"-"))</f>
        <v/>
      </c>
      <c r="S41" s="37">
        <f>IF(OR(AP41="",S$5="-"),"",IFERROR(IF(INDEX(INDIRECT("'"&amp;$B41&amp;"'!$R$6:$R$205"),MATCH($AR41&amp;"|"&amp;S$5,INDIRECT("'"&amp;$B41&amp;"'!$AF$6:$AF$205"),0))="","",INDEX(INDIRECT("'"&amp;$B41&amp;"'!$R$6:$R$205"),MATCH($AR41&amp;"|"&amp;S$5,INDIRECT("'"&amp;$B41&amp;"'!$AF$6:$AF$205"),0))),"-"))</f>
        <v/>
      </c>
      <c r="T41" s="37">
        <f>IF(OR(AP41="",T$5="-"),"",IFERROR(IF(INDEX(INDIRECT("'"&amp;$B41&amp;"'!$R$6:$R$205"),MATCH($AR41&amp;"|"&amp;T$5,INDIRECT("'"&amp;$B41&amp;"'!$AF$6:$AF$205"),0))="","",INDEX(INDIRECT("'"&amp;$B41&amp;"'!$R$6:$R$205"),MATCH($AR41&amp;"|"&amp;T$5,INDIRECT("'"&amp;$B41&amp;"'!$AF$6:$AF$205"),0))),"-"))</f>
        <v/>
      </c>
      <c r="U41" s="37">
        <f>IF(OR(AP41="",U$5="-"),"",IFERROR(IF(INDEX(INDIRECT("'"&amp;$B41&amp;"'!$R$6:$R$205"),MATCH($AR41&amp;"|"&amp;U$5,INDIRECT("'"&amp;$B41&amp;"'!$AF$6:$AF$205"),0))="","",INDEX(INDIRECT("'"&amp;$B41&amp;"'!$R$6:$R$205"),MATCH($AR41&amp;"|"&amp;U$5,INDIRECT("'"&amp;$B41&amp;"'!$AF$6:$AF$205"),0))),"-"))</f>
        <v/>
      </c>
      <c r="V41" s="37">
        <f>IF(OR(AP41="",V$5="-"),"",IFERROR(IF(INDEX(INDIRECT("'"&amp;$B41&amp;"'!$R$6:$R$205"),MATCH($AR41&amp;"|"&amp;V$5,INDIRECT("'"&amp;$B41&amp;"'!$AF$6:$AF$205"),0))="","",INDEX(INDIRECT("'"&amp;$B41&amp;"'!$R$6:$R$205"),MATCH($AR41&amp;"|"&amp;V$5,INDIRECT("'"&amp;$B41&amp;"'!$AF$6:$AF$205"),0))),"-"))</f>
        <v/>
      </c>
      <c r="W41" s="37">
        <f>IF(OR(AP41="",W$5="-"),"",IFERROR(IF(INDEX(INDIRECT("'"&amp;$B41&amp;"'!$R$6:$R$205"),MATCH($AR41&amp;"|"&amp;W$5,INDIRECT("'"&amp;$B41&amp;"'!$AF$6:$AF$205"),0))="","",INDEX(INDIRECT("'"&amp;$B41&amp;"'!$R$6:$R$205"),MATCH($AR41&amp;"|"&amp;W$5,INDIRECT("'"&amp;$B41&amp;"'!$AF$6:$AF$205"),0))),"-"))</f>
        <v/>
      </c>
      <c r="X41" s="38">
        <f>IF(OR(AP41="",X$5="-"),"",IFERROR(IF(INDEX(INDIRECT("'"&amp;$B41&amp;"'!$T$6:$T$205"),MATCH($AR41&amp;"|"&amp;X$5,INDIRECT("'"&amp;$B41&amp;"'!$AF$6:$AF$205"),0))="","",INDEX(INDIRECT("'"&amp;$B41&amp;"'!$T$6:$T$205"),MATCH($AR41&amp;"|"&amp;X$5,INDIRECT("'"&amp;$B41&amp;"'!$AF$6:$AF$205"),0))),"-"))</f>
        <v/>
      </c>
      <c r="Y41" s="38">
        <f>IF(OR(AP41="",Y$5="-"),"",IFERROR(IF(INDEX(INDIRECT("'"&amp;$B41&amp;"'!$T$6:$T$205"),MATCH($AR41&amp;"|"&amp;Y$5,INDIRECT("'"&amp;$B41&amp;"'!$AF$6:$AF$205"),0))="","",INDEX(INDIRECT("'"&amp;$B41&amp;"'!$T$6:$T$205"),MATCH($AR41&amp;"|"&amp;Y$5,INDIRECT("'"&amp;$B41&amp;"'!$AF$6:$AF$205"),0))),"-"))</f>
        <v/>
      </c>
      <c r="Z41" s="38">
        <f>IF(OR(AP41="",Z$5="-"),"",IFERROR(IF(INDEX(INDIRECT("'"&amp;$B41&amp;"'!$T$6:$T$205"),MATCH($AR41&amp;"|"&amp;Z$5,INDIRECT("'"&amp;$B41&amp;"'!$AF$6:$AF$205"),0))="","",INDEX(INDIRECT("'"&amp;$B41&amp;"'!$T$6:$T$205"),MATCH($AR41&amp;"|"&amp;Z$5,INDIRECT("'"&amp;$B41&amp;"'!$AF$6:$AF$205"),0))),"-"))</f>
        <v/>
      </c>
      <c r="AA41" s="38">
        <f>IF(OR(AP41="",AA$5="-"),"",IFERROR(IF(INDEX(INDIRECT("'"&amp;$B41&amp;"'!$T$6:$T$205"),MATCH($AR41&amp;"|"&amp;AA$5,INDIRECT("'"&amp;$B41&amp;"'!$AF$6:$AF$205"),0))="","",INDEX(INDIRECT("'"&amp;$B41&amp;"'!$T$6:$T$205"),MATCH($AR41&amp;"|"&amp;AA$5,INDIRECT("'"&amp;$B41&amp;"'!$AF$6:$AF$205"),0))),"-"))</f>
        <v/>
      </c>
      <c r="AB41" s="38">
        <f>IF(OR(AP41="",AB$5="-"),"",IFERROR(IF(INDEX(INDIRECT("'"&amp;$B41&amp;"'!$T$6:$T$205"),MATCH($AR41&amp;"|"&amp;AB$5,INDIRECT("'"&amp;$B41&amp;"'!$AF$6:$AF$205"),0))="","",INDEX(INDIRECT("'"&amp;$B41&amp;"'!$T$6:$T$205"),MATCH($AR41&amp;"|"&amp;AB$5,INDIRECT("'"&amp;$B41&amp;"'!$AF$6:$AF$205"),0))),"-"))</f>
        <v/>
      </c>
      <c r="AC41" s="38">
        <f>IF(OR(AP41="",AC$5="-"),"",IFERROR(IF(INDEX(INDIRECT("'"&amp;$B41&amp;"'!$T$6:$T$205"),MATCH($AR41&amp;"|"&amp;AC$5,INDIRECT("'"&amp;$B41&amp;"'!$AF$6:$AF$205"),0))="","",INDEX(INDIRECT("'"&amp;$B41&amp;"'!$T$6:$T$205"),MATCH($AR41&amp;"|"&amp;AC$5,INDIRECT("'"&amp;$B41&amp;"'!$AF$6:$AF$205"),0))),"-"))</f>
        <v/>
      </c>
      <c r="AD41" s="38">
        <f>IF(OR(AP41="",AD$5="-"),"",IFERROR(IF(INDEX(INDIRECT("'"&amp;$B41&amp;"'!$T$6:$T$205"),MATCH($AR41&amp;"|"&amp;AD$5,INDIRECT("'"&amp;$B41&amp;"'!$AF$6:$AF$205"),0))="","",INDEX(INDIRECT("'"&amp;$B41&amp;"'!$T$6:$T$205"),MATCH($AR41&amp;"|"&amp;AD$5,INDIRECT("'"&amp;$B41&amp;"'!$AF$6:$AF$205"),0))),"-"))</f>
        <v/>
      </c>
      <c r="AE41" s="38">
        <f>IF(OR(AP41="",AE$5="-"),"",IFERROR(IF(INDEX(INDIRECT("'"&amp;$B41&amp;"'!$T$6:$T$205"),MATCH($AR41&amp;"|"&amp;AE$5,INDIRECT("'"&amp;$B41&amp;"'!$AF$6:$AF$205"),0))="","",INDEX(INDIRECT("'"&amp;$B41&amp;"'!$T$6:$T$205"),MATCH($AR41&amp;"|"&amp;AE$5,INDIRECT("'"&amp;$B41&amp;"'!$AF$6:$AF$205"),0))),"-"))</f>
        <v/>
      </c>
      <c r="AF41" s="35">
        <f>IF(AG41="","",INDEX($P$5:$W$5,MATCH(AG41,P41:W41,0)))</f>
        <v/>
      </c>
      <c r="AG41" s="37">
        <f>IF(COUNT(P41:W41)=0,"",MIN(P41:W41))</f>
        <v/>
      </c>
      <c r="AH41" s="39">
        <f>IF(AG41="","",AG41*F41)</f>
        <v/>
      </c>
      <c r="AI41" s="39">
        <f>IF(COUNT(P41:W41)&lt;2,"",(MAX(P41:W41)-MIN(P41:W41))*F41)</f>
        <v/>
      </c>
      <c r="AJ41" s="20" t="n"/>
      <c r="AP41">
        <f>IF(36&gt;MAX($AN$6:$AN$9),"",COUNTIF($AN$6:$AN$9,"&lt;"&amp;36)+1)</f>
        <v/>
      </c>
      <c r="AQ41">
        <f>IF(AP41="","",36-INDEX($AO$6:$AO$9,AP41))</f>
        <v/>
      </c>
      <c r="AR41">
        <f>IF(AP41="","",INDEX(INDIRECT("'"&amp;$B41&amp;"'!$AE$6:$AE$205"),MATCH(AQ41,INDIRECT("'"&amp;$B41&amp;"'!$AI$6:$AI$205"),0)))</f>
        <v/>
      </c>
    </row>
    <row r="42">
      <c r="A42" s="34">
        <f>IF(AP42="","",37)</f>
        <v/>
      </c>
      <c r="B42" s="35">
        <f>IF(AP42="","",INDEX($AL$6:$AL$9,AP42))</f>
        <v/>
      </c>
      <c r="C42" s="34">
        <f>IF(AP42="","",INDEX(INDIRECT("'"&amp;$B42&amp;"'!$B$6:$B$205"),MATCH($AR42,INDIRECT("'"&amp;$B42&amp;"'!$AE$6:$AE$205"),0)))</f>
        <v/>
      </c>
      <c r="D42" s="34">
        <f>IF(AP42="","",INDEX(INDIRECT("'"&amp;$B42&amp;"'!$D$6:$D$205"),MATCH($AR42,INDIRECT("'"&amp;$B42&amp;"'!$AE$6:$AE$205"),0)))</f>
        <v/>
      </c>
      <c r="E42" s="36">
        <f>IF(AP42="","",INDEX(INDIRECT("'"&amp;$B42&amp;"'!$F$6:$F$205"),MATCH($AR42,INDIRECT("'"&amp;$B42&amp;"'!$AE$6:$AE$205"),0)))</f>
        <v/>
      </c>
      <c r="F42" s="34">
        <f>IF(AP42="","",INDEX(INDIRECT("'"&amp;$B42&amp;"'!$K$6:$K$205"),MATCH($AR42,INDIRECT("'"&amp;$B42&amp;"'!$AE$6:$AE$205"),0)))</f>
        <v/>
      </c>
      <c r="G42" s="34">
        <f>IF(AP42="","",INDEX(INDIRECT("'"&amp;$B42&amp;"'!$L$6:$L$205"),MATCH($AR42,INDIRECT("'"&amp;$B42&amp;"'!$AE$6:$AE$205"),0)))</f>
        <v/>
      </c>
      <c r="H42" s="34">
        <f>IF(OR(AP42="",H$5="-"),"",IFERROR(IF(INDEX(INDIRECT("'"&amp;$B42&amp;"'!$N$6:$N$205"),MATCH($AR42&amp;"|"&amp;H$5,INDIRECT("'"&amp;$B42&amp;"'!$AF$6:$AF$205"),0))="","",INDEX(INDIRECT("'"&amp;$B42&amp;"'!$N$6:$N$205"),MATCH($AR42&amp;"|"&amp;H$5,INDIRECT("'"&amp;$B42&amp;"'!$AF$6:$AF$205"),0))),"-"))</f>
        <v/>
      </c>
      <c r="I42" s="34">
        <f>IF(OR(AP42="",I$5="-"),"",IFERROR(IF(INDEX(INDIRECT("'"&amp;$B42&amp;"'!$N$6:$N$205"),MATCH($AR42&amp;"|"&amp;I$5,INDIRECT("'"&amp;$B42&amp;"'!$AF$6:$AF$205"),0))="","",INDEX(INDIRECT("'"&amp;$B42&amp;"'!$N$6:$N$205"),MATCH($AR42&amp;"|"&amp;I$5,INDIRECT("'"&amp;$B42&amp;"'!$AF$6:$AF$205"),0))),"-"))</f>
        <v/>
      </c>
      <c r="J42" s="34">
        <f>IF(OR(AP42="",J$5="-"),"",IFERROR(IF(INDEX(INDIRECT("'"&amp;$B42&amp;"'!$N$6:$N$205"),MATCH($AR42&amp;"|"&amp;J$5,INDIRECT("'"&amp;$B42&amp;"'!$AF$6:$AF$205"),0))="","",INDEX(INDIRECT("'"&amp;$B42&amp;"'!$N$6:$N$205"),MATCH($AR42&amp;"|"&amp;J$5,INDIRECT("'"&amp;$B42&amp;"'!$AF$6:$AF$205"),0))),"-"))</f>
        <v/>
      </c>
      <c r="K42" s="34">
        <f>IF(OR(AP42="",K$5="-"),"",IFERROR(IF(INDEX(INDIRECT("'"&amp;$B42&amp;"'!$N$6:$N$205"),MATCH($AR42&amp;"|"&amp;K$5,INDIRECT("'"&amp;$B42&amp;"'!$AF$6:$AF$205"),0))="","",INDEX(INDIRECT("'"&amp;$B42&amp;"'!$N$6:$N$205"),MATCH($AR42&amp;"|"&amp;K$5,INDIRECT("'"&amp;$B42&amp;"'!$AF$6:$AF$205"),0))),"-"))</f>
        <v/>
      </c>
      <c r="L42" s="34">
        <f>IF(OR(AP42="",L$5="-"),"",IFERROR(IF(INDEX(INDIRECT("'"&amp;$B42&amp;"'!$N$6:$N$205"),MATCH($AR42&amp;"|"&amp;L$5,INDIRECT("'"&amp;$B42&amp;"'!$AF$6:$AF$205"),0))="","",INDEX(INDIRECT("'"&amp;$B42&amp;"'!$N$6:$N$205"),MATCH($AR42&amp;"|"&amp;L$5,INDIRECT("'"&amp;$B42&amp;"'!$AF$6:$AF$205"),0))),"-"))</f>
        <v/>
      </c>
      <c r="M42" s="34">
        <f>IF(OR(AP42="",M$5="-"),"",IFERROR(IF(INDEX(INDIRECT("'"&amp;$B42&amp;"'!$N$6:$N$205"),MATCH($AR42&amp;"|"&amp;M$5,INDIRECT("'"&amp;$B42&amp;"'!$AF$6:$AF$205"),0))="","",INDEX(INDIRECT("'"&amp;$B42&amp;"'!$N$6:$N$205"),MATCH($AR42&amp;"|"&amp;M$5,INDIRECT("'"&amp;$B42&amp;"'!$AF$6:$AF$205"),0))),"-"))</f>
        <v/>
      </c>
      <c r="N42" s="34">
        <f>IF(OR(AP42="",N$5="-"),"",IFERROR(IF(INDEX(INDIRECT("'"&amp;$B42&amp;"'!$N$6:$N$205"),MATCH($AR42&amp;"|"&amp;N$5,INDIRECT("'"&amp;$B42&amp;"'!$AF$6:$AF$205"),0))="","",INDEX(INDIRECT("'"&amp;$B42&amp;"'!$N$6:$N$205"),MATCH($AR42&amp;"|"&amp;N$5,INDIRECT("'"&amp;$B42&amp;"'!$AF$6:$AF$205"),0))),"-"))</f>
        <v/>
      </c>
      <c r="O42" s="34">
        <f>IF(OR(AP42="",O$5="-"),"",IFERROR(IF(INDEX(INDIRECT("'"&amp;$B42&amp;"'!$N$6:$N$205"),MATCH($AR42&amp;"|"&amp;O$5,INDIRECT("'"&amp;$B42&amp;"'!$AF$6:$AF$205"),0))="","",INDEX(INDIRECT("'"&amp;$B42&amp;"'!$N$6:$N$205"),MATCH($AR42&amp;"|"&amp;O$5,INDIRECT("'"&amp;$B42&amp;"'!$AF$6:$AF$205"),0))),"-"))</f>
        <v/>
      </c>
      <c r="P42" s="37">
        <f>IF(OR(AP42="",P$5="-"),"",IFERROR(IF(INDEX(INDIRECT("'"&amp;$B42&amp;"'!$R$6:$R$205"),MATCH($AR42&amp;"|"&amp;P$5,INDIRECT("'"&amp;$B42&amp;"'!$AF$6:$AF$205"),0))="","",INDEX(INDIRECT("'"&amp;$B42&amp;"'!$R$6:$R$205"),MATCH($AR42&amp;"|"&amp;P$5,INDIRECT("'"&amp;$B42&amp;"'!$AF$6:$AF$205"),0))),"-"))</f>
        <v/>
      </c>
      <c r="Q42" s="37">
        <f>IF(OR(AP42="",Q$5="-"),"",IFERROR(IF(INDEX(INDIRECT("'"&amp;$B42&amp;"'!$R$6:$R$205"),MATCH($AR42&amp;"|"&amp;Q$5,INDIRECT("'"&amp;$B42&amp;"'!$AF$6:$AF$205"),0))="","",INDEX(INDIRECT("'"&amp;$B42&amp;"'!$R$6:$R$205"),MATCH($AR42&amp;"|"&amp;Q$5,INDIRECT("'"&amp;$B42&amp;"'!$AF$6:$AF$205"),0))),"-"))</f>
        <v/>
      </c>
      <c r="R42" s="37">
        <f>IF(OR(AP42="",R$5="-"),"",IFERROR(IF(INDEX(INDIRECT("'"&amp;$B42&amp;"'!$R$6:$R$205"),MATCH($AR42&amp;"|"&amp;R$5,INDIRECT("'"&amp;$B42&amp;"'!$AF$6:$AF$205"),0))="","",INDEX(INDIRECT("'"&amp;$B42&amp;"'!$R$6:$R$205"),MATCH($AR42&amp;"|"&amp;R$5,INDIRECT("'"&amp;$B42&amp;"'!$AF$6:$AF$205"),0))),"-"))</f>
        <v/>
      </c>
      <c r="S42" s="37">
        <f>IF(OR(AP42="",S$5="-"),"",IFERROR(IF(INDEX(INDIRECT("'"&amp;$B42&amp;"'!$R$6:$R$205"),MATCH($AR42&amp;"|"&amp;S$5,INDIRECT("'"&amp;$B42&amp;"'!$AF$6:$AF$205"),0))="","",INDEX(INDIRECT("'"&amp;$B42&amp;"'!$R$6:$R$205"),MATCH($AR42&amp;"|"&amp;S$5,INDIRECT("'"&amp;$B42&amp;"'!$AF$6:$AF$205"),0))),"-"))</f>
        <v/>
      </c>
      <c r="T42" s="37">
        <f>IF(OR(AP42="",T$5="-"),"",IFERROR(IF(INDEX(INDIRECT("'"&amp;$B42&amp;"'!$R$6:$R$205"),MATCH($AR42&amp;"|"&amp;T$5,INDIRECT("'"&amp;$B42&amp;"'!$AF$6:$AF$205"),0))="","",INDEX(INDIRECT("'"&amp;$B42&amp;"'!$R$6:$R$205"),MATCH($AR42&amp;"|"&amp;T$5,INDIRECT("'"&amp;$B42&amp;"'!$AF$6:$AF$205"),0))),"-"))</f>
        <v/>
      </c>
      <c r="U42" s="37">
        <f>IF(OR(AP42="",U$5="-"),"",IFERROR(IF(INDEX(INDIRECT("'"&amp;$B42&amp;"'!$R$6:$R$205"),MATCH($AR42&amp;"|"&amp;U$5,INDIRECT("'"&amp;$B42&amp;"'!$AF$6:$AF$205"),0))="","",INDEX(INDIRECT("'"&amp;$B42&amp;"'!$R$6:$R$205"),MATCH($AR42&amp;"|"&amp;U$5,INDIRECT("'"&amp;$B42&amp;"'!$AF$6:$AF$205"),0))),"-"))</f>
        <v/>
      </c>
      <c r="V42" s="37">
        <f>IF(OR(AP42="",V$5="-"),"",IFERROR(IF(INDEX(INDIRECT("'"&amp;$B42&amp;"'!$R$6:$R$205"),MATCH($AR42&amp;"|"&amp;V$5,INDIRECT("'"&amp;$B42&amp;"'!$AF$6:$AF$205"),0))="","",INDEX(INDIRECT("'"&amp;$B42&amp;"'!$R$6:$R$205"),MATCH($AR42&amp;"|"&amp;V$5,INDIRECT("'"&amp;$B42&amp;"'!$AF$6:$AF$205"),0))),"-"))</f>
        <v/>
      </c>
      <c r="W42" s="37">
        <f>IF(OR(AP42="",W$5="-"),"",IFERROR(IF(INDEX(INDIRECT("'"&amp;$B42&amp;"'!$R$6:$R$205"),MATCH($AR42&amp;"|"&amp;W$5,INDIRECT("'"&amp;$B42&amp;"'!$AF$6:$AF$205"),0))="","",INDEX(INDIRECT("'"&amp;$B42&amp;"'!$R$6:$R$205"),MATCH($AR42&amp;"|"&amp;W$5,INDIRECT("'"&amp;$B42&amp;"'!$AF$6:$AF$205"),0))),"-"))</f>
        <v/>
      </c>
      <c r="X42" s="38">
        <f>IF(OR(AP42="",X$5="-"),"",IFERROR(IF(INDEX(INDIRECT("'"&amp;$B42&amp;"'!$T$6:$T$205"),MATCH($AR42&amp;"|"&amp;X$5,INDIRECT("'"&amp;$B42&amp;"'!$AF$6:$AF$205"),0))="","",INDEX(INDIRECT("'"&amp;$B42&amp;"'!$T$6:$T$205"),MATCH($AR42&amp;"|"&amp;X$5,INDIRECT("'"&amp;$B42&amp;"'!$AF$6:$AF$205"),0))),"-"))</f>
        <v/>
      </c>
      <c r="Y42" s="38">
        <f>IF(OR(AP42="",Y$5="-"),"",IFERROR(IF(INDEX(INDIRECT("'"&amp;$B42&amp;"'!$T$6:$T$205"),MATCH($AR42&amp;"|"&amp;Y$5,INDIRECT("'"&amp;$B42&amp;"'!$AF$6:$AF$205"),0))="","",INDEX(INDIRECT("'"&amp;$B42&amp;"'!$T$6:$T$205"),MATCH($AR42&amp;"|"&amp;Y$5,INDIRECT("'"&amp;$B42&amp;"'!$AF$6:$AF$205"),0))),"-"))</f>
        <v/>
      </c>
      <c r="Z42" s="38">
        <f>IF(OR(AP42="",Z$5="-"),"",IFERROR(IF(INDEX(INDIRECT("'"&amp;$B42&amp;"'!$T$6:$T$205"),MATCH($AR42&amp;"|"&amp;Z$5,INDIRECT("'"&amp;$B42&amp;"'!$AF$6:$AF$205"),0))="","",INDEX(INDIRECT("'"&amp;$B42&amp;"'!$T$6:$T$205"),MATCH($AR42&amp;"|"&amp;Z$5,INDIRECT("'"&amp;$B42&amp;"'!$AF$6:$AF$205"),0))),"-"))</f>
        <v/>
      </c>
      <c r="AA42" s="38">
        <f>IF(OR(AP42="",AA$5="-"),"",IFERROR(IF(INDEX(INDIRECT("'"&amp;$B42&amp;"'!$T$6:$T$205"),MATCH($AR42&amp;"|"&amp;AA$5,INDIRECT("'"&amp;$B42&amp;"'!$AF$6:$AF$205"),0))="","",INDEX(INDIRECT("'"&amp;$B42&amp;"'!$T$6:$T$205"),MATCH($AR42&amp;"|"&amp;AA$5,INDIRECT("'"&amp;$B42&amp;"'!$AF$6:$AF$205"),0))),"-"))</f>
        <v/>
      </c>
      <c r="AB42" s="38">
        <f>IF(OR(AP42="",AB$5="-"),"",IFERROR(IF(INDEX(INDIRECT("'"&amp;$B42&amp;"'!$T$6:$T$205"),MATCH($AR42&amp;"|"&amp;AB$5,INDIRECT("'"&amp;$B42&amp;"'!$AF$6:$AF$205"),0))="","",INDEX(INDIRECT("'"&amp;$B42&amp;"'!$T$6:$T$205"),MATCH($AR42&amp;"|"&amp;AB$5,INDIRECT("'"&amp;$B42&amp;"'!$AF$6:$AF$205"),0))),"-"))</f>
        <v/>
      </c>
      <c r="AC42" s="38">
        <f>IF(OR(AP42="",AC$5="-"),"",IFERROR(IF(INDEX(INDIRECT("'"&amp;$B42&amp;"'!$T$6:$T$205"),MATCH($AR42&amp;"|"&amp;AC$5,INDIRECT("'"&amp;$B42&amp;"'!$AF$6:$AF$205"),0))="","",INDEX(INDIRECT("'"&amp;$B42&amp;"'!$T$6:$T$205"),MATCH($AR42&amp;"|"&amp;AC$5,INDIRECT("'"&amp;$B42&amp;"'!$AF$6:$AF$205"),0))),"-"))</f>
        <v/>
      </c>
      <c r="AD42" s="38">
        <f>IF(OR(AP42="",AD$5="-"),"",IFERROR(IF(INDEX(INDIRECT("'"&amp;$B42&amp;"'!$T$6:$T$205"),MATCH($AR42&amp;"|"&amp;AD$5,INDIRECT("'"&amp;$B42&amp;"'!$AF$6:$AF$205"),0))="","",INDEX(INDIRECT("'"&amp;$B42&amp;"'!$T$6:$T$205"),MATCH($AR42&amp;"|"&amp;AD$5,INDIRECT("'"&amp;$B42&amp;"'!$AF$6:$AF$205"),0))),"-"))</f>
        <v/>
      </c>
      <c r="AE42" s="38">
        <f>IF(OR(AP42="",AE$5="-"),"",IFERROR(IF(INDEX(INDIRECT("'"&amp;$B42&amp;"'!$T$6:$T$205"),MATCH($AR42&amp;"|"&amp;AE$5,INDIRECT("'"&amp;$B42&amp;"'!$AF$6:$AF$205"),0))="","",INDEX(INDIRECT("'"&amp;$B42&amp;"'!$T$6:$T$205"),MATCH($AR42&amp;"|"&amp;AE$5,INDIRECT("'"&amp;$B42&amp;"'!$AF$6:$AF$205"),0))),"-"))</f>
        <v/>
      </c>
      <c r="AF42" s="35">
        <f>IF(AG42="","",INDEX($P$5:$W$5,MATCH(AG42,P42:W42,0)))</f>
        <v/>
      </c>
      <c r="AG42" s="37">
        <f>IF(COUNT(P42:W42)=0,"",MIN(P42:W42))</f>
        <v/>
      </c>
      <c r="AH42" s="39">
        <f>IF(AG42="","",AG42*F42)</f>
        <v/>
      </c>
      <c r="AI42" s="39">
        <f>IF(COUNT(P42:W42)&lt;2,"",(MAX(P42:W42)-MIN(P42:W42))*F42)</f>
        <v/>
      </c>
      <c r="AJ42" s="20" t="n"/>
      <c r="AP42">
        <f>IF(37&gt;MAX($AN$6:$AN$9),"",COUNTIF($AN$6:$AN$9,"&lt;"&amp;37)+1)</f>
        <v/>
      </c>
      <c r="AQ42">
        <f>IF(AP42="","",37-INDEX($AO$6:$AO$9,AP42))</f>
        <v/>
      </c>
      <c r="AR42">
        <f>IF(AP42="","",INDEX(INDIRECT("'"&amp;$B42&amp;"'!$AE$6:$AE$205"),MATCH(AQ42,INDIRECT("'"&amp;$B42&amp;"'!$AI$6:$AI$205"),0)))</f>
        <v/>
      </c>
    </row>
    <row r="43">
      <c r="A43" s="34">
        <f>IF(AP43="","",38)</f>
        <v/>
      </c>
      <c r="B43" s="35">
        <f>IF(AP43="","",INDEX($AL$6:$AL$9,AP43))</f>
        <v/>
      </c>
      <c r="C43" s="34">
        <f>IF(AP43="","",INDEX(INDIRECT("'"&amp;$B43&amp;"'!$B$6:$B$205"),MATCH($AR43,INDIRECT("'"&amp;$B43&amp;"'!$AE$6:$AE$205"),0)))</f>
        <v/>
      </c>
      <c r="D43" s="34">
        <f>IF(AP43="","",INDEX(INDIRECT("'"&amp;$B43&amp;"'!$D$6:$D$205"),MATCH($AR43,INDIRECT("'"&amp;$B43&amp;"'!$AE$6:$AE$205"),0)))</f>
        <v/>
      </c>
      <c r="E43" s="36">
        <f>IF(AP43="","",INDEX(INDIRECT("'"&amp;$B43&amp;"'!$F$6:$F$205"),MATCH($AR43,INDIRECT("'"&amp;$B43&amp;"'!$AE$6:$AE$205"),0)))</f>
        <v/>
      </c>
      <c r="F43" s="34">
        <f>IF(AP43="","",INDEX(INDIRECT("'"&amp;$B43&amp;"'!$K$6:$K$205"),MATCH($AR43,INDIRECT("'"&amp;$B43&amp;"'!$AE$6:$AE$205"),0)))</f>
        <v/>
      </c>
      <c r="G43" s="34">
        <f>IF(AP43="","",INDEX(INDIRECT("'"&amp;$B43&amp;"'!$L$6:$L$205"),MATCH($AR43,INDIRECT("'"&amp;$B43&amp;"'!$AE$6:$AE$205"),0)))</f>
        <v/>
      </c>
      <c r="H43" s="34">
        <f>IF(OR(AP43="",H$5="-"),"",IFERROR(IF(INDEX(INDIRECT("'"&amp;$B43&amp;"'!$N$6:$N$205"),MATCH($AR43&amp;"|"&amp;H$5,INDIRECT("'"&amp;$B43&amp;"'!$AF$6:$AF$205"),0))="","",INDEX(INDIRECT("'"&amp;$B43&amp;"'!$N$6:$N$205"),MATCH($AR43&amp;"|"&amp;H$5,INDIRECT("'"&amp;$B43&amp;"'!$AF$6:$AF$205"),0))),"-"))</f>
        <v/>
      </c>
      <c r="I43" s="34">
        <f>IF(OR(AP43="",I$5="-"),"",IFERROR(IF(INDEX(INDIRECT("'"&amp;$B43&amp;"'!$N$6:$N$205"),MATCH($AR43&amp;"|"&amp;I$5,INDIRECT("'"&amp;$B43&amp;"'!$AF$6:$AF$205"),0))="","",INDEX(INDIRECT("'"&amp;$B43&amp;"'!$N$6:$N$205"),MATCH($AR43&amp;"|"&amp;I$5,INDIRECT("'"&amp;$B43&amp;"'!$AF$6:$AF$205"),0))),"-"))</f>
        <v/>
      </c>
      <c r="J43" s="34">
        <f>IF(OR(AP43="",J$5="-"),"",IFERROR(IF(INDEX(INDIRECT("'"&amp;$B43&amp;"'!$N$6:$N$205"),MATCH($AR43&amp;"|"&amp;J$5,INDIRECT("'"&amp;$B43&amp;"'!$AF$6:$AF$205"),0))="","",INDEX(INDIRECT("'"&amp;$B43&amp;"'!$N$6:$N$205"),MATCH($AR43&amp;"|"&amp;J$5,INDIRECT("'"&amp;$B43&amp;"'!$AF$6:$AF$205"),0))),"-"))</f>
        <v/>
      </c>
      <c r="K43" s="34">
        <f>IF(OR(AP43="",K$5="-"),"",IFERROR(IF(INDEX(INDIRECT("'"&amp;$B43&amp;"'!$N$6:$N$205"),MATCH($AR43&amp;"|"&amp;K$5,INDIRECT("'"&amp;$B43&amp;"'!$AF$6:$AF$205"),0))="","",INDEX(INDIRECT("'"&amp;$B43&amp;"'!$N$6:$N$205"),MATCH($AR43&amp;"|"&amp;K$5,INDIRECT("'"&amp;$B43&amp;"'!$AF$6:$AF$205"),0))),"-"))</f>
        <v/>
      </c>
      <c r="L43" s="34">
        <f>IF(OR(AP43="",L$5="-"),"",IFERROR(IF(INDEX(INDIRECT("'"&amp;$B43&amp;"'!$N$6:$N$205"),MATCH($AR43&amp;"|"&amp;L$5,INDIRECT("'"&amp;$B43&amp;"'!$AF$6:$AF$205"),0))="","",INDEX(INDIRECT("'"&amp;$B43&amp;"'!$N$6:$N$205"),MATCH($AR43&amp;"|"&amp;L$5,INDIRECT("'"&amp;$B43&amp;"'!$AF$6:$AF$205"),0))),"-"))</f>
        <v/>
      </c>
      <c r="M43" s="34">
        <f>IF(OR(AP43="",M$5="-"),"",IFERROR(IF(INDEX(INDIRECT("'"&amp;$B43&amp;"'!$N$6:$N$205"),MATCH($AR43&amp;"|"&amp;M$5,INDIRECT("'"&amp;$B43&amp;"'!$AF$6:$AF$205"),0))="","",INDEX(INDIRECT("'"&amp;$B43&amp;"'!$N$6:$N$205"),MATCH($AR43&amp;"|"&amp;M$5,INDIRECT("'"&amp;$B43&amp;"'!$AF$6:$AF$205"),0))),"-"))</f>
        <v/>
      </c>
      <c r="N43" s="34">
        <f>IF(OR(AP43="",N$5="-"),"",IFERROR(IF(INDEX(INDIRECT("'"&amp;$B43&amp;"'!$N$6:$N$205"),MATCH($AR43&amp;"|"&amp;N$5,INDIRECT("'"&amp;$B43&amp;"'!$AF$6:$AF$205"),0))="","",INDEX(INDIRECT("'"&amp;$B43&amp;"'!$N$6:$N$205"),MATCH($AR43&amp;"|"&amp;N$5,INDIRECT("'"&amp;$B43&amp;"'!$AF$6:$AF$205"),0))),"-"))</f>
        <v/>
      </c>
      <c r="O43" s="34">
        <f>IF(OR(AP43="",O$5="-"),"",IFERROR(IF(INDEX(INDIRECT("'"&amp;$B43&amp;"'!$N$6:$N$205"),MATCH($AR43&amp;"|"&amp;O$5,INDIRECT("'"&amp;$B43&amp;"'!$AF$6:$AF$205"),0))="","",INDEX(INDIRECT("'"&amp;$B43&amp;"'!$N$6:$N$205"),MATCH($AR43&amp;"|"&amp;O$5,INDIRECT("'"&amp;$B43&amp;"'!$AF$6:$AF$205"),0))),"-"))</f>
        <v/>
      </c>
      <c r="P43" s="37">
        <f>IF(OR(AP43="",P$5="-"),"",IFERROR(IF(INDEX(INDIRECT("'"&amp;$B43&amp;"'!$R$6:$R$205"),MATCH($AR43&amp;"|"&amp;P$5,INDIRECT("'"&amp;$B43&amp;"'!$AF$6:$AF$205"),0))="","",INDEX(INDIRECT("'"&amp;$B43&amp;"'!$R$6:$R$205"),MATCH($AR43&amp;"|"&amp;P$5,INDIRECT("'"&amp;$B43&amp;"'!$AF$6:$AF$205"),0))),"-"))</f>
        <v/>
      </c>
      <c r="Q43" s="37">
        <f>IF(OR(AP43="",Q$5="-"),"",IFERROR(IF(INDEX(INDIRECT("'"&amp;$B43&amp;"'!$R$6:$R$205"),MATCH($AR43&amp;"|"&amp;Q$5,INDIRECT("'"&amp;$B43&amp;"'!$AF$6:$AF$205"),0))="","",INDEX(INDIRECT("'"&amp;$B43&amp;"'!$R$6:$R$205"),MATCH($AR43&amp;"|"&amp;Q$5,INDIRECT("'"&amp;$B43&amp;"'!$AF$6:$AF$205"),0))),"-"))</f>
        <v/>
      </c>
      <c r="R43" s="37">
        <f>IF(OR(AP43="",R$5="-"),"",IFERROR(IF(INDEX(INDIRECT("'"&amp;$B43&amp;"'!$R$6:$R$205"),MATCH($AR43&amp;"|"&amp;R$5,INDIRECT("'"&amp;$B43&amp;"'!$AF$6:$AF$205"),0))="","",INDEX(INDIRECT("'"&amp;$B43&amp;"'!$R$6:$R$205"),MATCH($AR43&amp;"|"&amp;R$5,INDIRECT("'"&amp;$B43&amp;"'!$AF$6:$AF$205"),0))),"-"))</f>
        <v/>
      </c>
      <c r="S43" s="37">
        <f>IF(OR(AP43="",S$5="-"),"",IFERROR(IF(INDEX(INDIRECT("'"&amp;$B43&amp;"'!$R$6:$R$205"),MATCH($AR43&amp;"|"&amp;S$5,INDIRECT("'"&amp;$B43&amp;"'!$AF$6:$AF$205"),0))="","",INDEX(INDIRECT("'"&amp;$B43&amp;"'!$R$6:$R$205"),MATCH($AR43&amp;"|"&amp;S$5,INDIRECT("'"&amp;$B43&amp;"'!$AF$6:$AF$205"),0))),"-"))</f>
        <v/>
      </c>
      <c r="T43" s="37">
        <f>IF(OR(AP43="",T$5="-"),"",IFERROR(IF(INDEX(INDIRECT("'"&amp;$B43&amp;"'!$R$6:$R$205"),MATCH($AR43&amp;"|"&amp;T$5,INDIRECT("'"&amp;$B43&amp;"'!$AF$6:$AF$205"),0))="","",INDEX(INDIRECT("'"&amp;$B43&amp;"'!$R$6:$R$205"),MATCH($AR43&amp;"|"&amp;T$5,INDIRECT("'"&amp;$B43&amp;"'!$AF$6:$AF$205"),0))),"-"))</f>
        <v/>
      </c>
      <c r="U43" s="37">
        <f>IF(OR(AP43="",U$5="-"),"",IFERROR(IF(INDEX(INDIRECT("'"&amp;$B43&amp;"'!$R$6:$R$205"),MATCH($AR43&amp;"|"&amp;U$5,INDIRECT("'"&amp;$B43&amp;"'!$AF$6:$AF$205"),0))="","",INDEX(INDIRECT("'"&amp;$B43&amp;"'!$R$6:$R$205"),MATCH($AR43&amp;"|"&amp;U$5,INDIRECT("'"&amp;$B43&amp;"'!$AF$6:$AF$205"),0))),"-"))</f>
        <v/>
      </c>
      <c r="V43" s="37">
        <f>IF(OR(AP43="",V$5="-"),"",IFERROR(IF(INDEX(INDIRECT("'"&amp;$B43&amp;"'!$R$6:$R$205"),MATCH($AR43&amp;"|"&amp;V$5,INDIRECT("'"&amp;$B43&amp;"'!$AF$6:$AF$205"),0))="","",INDEX(INDIRECT("'"&amp;$B43&amp;"'!$R$6:$R$205"),MATCH($AR43&amp;"|"&amp;V$5,INDIRECT("'"&amp;$B43&amp;"'!$AF$6:$AF$205"),0))),"-"))</f>
        <v/>
      </c>
      <c r="W43" s="37">
        <f>IF(OR(AP43="",W$5="-"),"",IFERROR(IF(INDEX(INDIRECT("'"&amp;$B43&amp;"'!$R$6:$R$205"),MATCH($AR43&amp;"|"&amp;W$5,INDIRECT("'"&amp;$B43&amp;"'!$AF$6:$AF$205"),0))="","",INDEX(INDIRECT("'"&amp;$B43&amp;"'!$R$6:$R$205"),MATCH($AR43&amp;"|"&amp;W$5,INDIRECT("'"&amp;$B43&amp;"'!$AF$6:$AF$205"),0))),"-"))</f>
        <v/>
      </c>
      <c r="X43" s="38">
        <f>IF(OR(AP43="",X$5="-"),"",IFERROR(IF(INDEX(INDIRECT("'"&amp;$B43&amp;"'!$T$6:$T$205"),MATCH($AR43&amp;"|"&amp;X$5,INDIRECT("'"&amp;$B43&amp;"'!$AF$6:$AF$205"),0))="","",INDEX(INDIRECT("'"&amp;$B43&amp;"'!$T$6:$T$205"),MATCH($AR43&amp;"|"&amp;X$5,INDIRECT("'"&amp;$B43&amp;"'!$AF$6:$AF$205"),0))),"-"))</f>
        <v/>
      </c>
      <c r="Y43" s="38">
        <f>IF(OR(AP43="",Y$5="-"),"",IFERROR(IF(INDEX(INDIRECT("'"&amp;$B43&amp;"'!$T$6:$T$205"),MATCH($AR43&amp;"|"&amp;Y$5,INDIRECT("'"&amp;$B43&amp;"'!$AF$6:$AF$205"),0))="","",INDEX(INDIRECT("'"&amp;$B43&amp;"'!$T$6:$T$205"),MATCH($AR43&amp;"|"&amp;Y$5,INDIRECT("'"&amp;$B43&amp;"'!$AF$6:$AF$205"),0))),"-"))</f>
        <v/>
      </c>
      <c r="Z43" s="38">
        <f>IF(OR(AP43="",Z$5="-"),"",IFERROR(IF(INDEX(INDIRECT("'"&amp;$B43&amp;"'!$T$6:$T$205"),MATCH($AR43&amp;"|"&amp;Z$5,INDIRECT("'"&amp;$B43&amp;"'!$AF$6:$AF$205"),0))="","",INDEX(INDIRECT("'"&amp;$B43&amp;"'!$T$6:$T$205"),MATCH($AR43&amp;"|"&amp;Z$5,INDIRECT("'"&amp;$B43&amp;"'!$AF$6:$AF$205"),0))),"-"))</f>
        <v/>
      </c>
      <c r="AA43" s="38">
        <f>IF(OR(AP43="",AA$5="-"),"",IFERROR(IF(INDEX(INDIRECT("'"&amp;$B43&amp;"'!$T$6:$T$205"),MATCH($AR43&amp;"|"&amp;AA$5,INDIRECT("'"&amp;$B43&amp;"'!$AF$6:$AF$205"),0))="","",INDEX(INDIRECT("'"&amp;$B43&amp;"'!$T$6:$T$205"),MATCH($AR43&amp;"|"&amp;AA$5,INDIRECT("'"&amp;$B43&amp;"'!$AF$6:$AF$205"),0))),"-"))</f>
        <v/>
      </c>
      <c r="AB43" s="38">
        <f>IF(OR(AP43="",AB$5="-"),"",IFERROR(IF(INDEX(INDIRECT("'"&amp;$B43&amp;"'!$T$6:$T$205"),MATCH($AR43&amp;"|"&amp;AB$5,INDIRECT("'"&amp;$B43&amp;"'!$AF$6:$AF$205"),0))="","",INDEX(INDIRECT("'"&amp;$B43&amp;"'!$T$6:$T$205"),MATCH($AR43&amp;"|"&amp;AB$5,INDIRECT("'"&amp;$B43&amp;"'!$AF$6:$AF$205"),0))),"-"))</f>
        <v/>
      </c>
      <c r="AC43" s="38">
        <f>IF(OR(AP43="",AC$5="-"),"",IFERROR(IF(INDEX(INDIRECT("'"&amp;$B43&amp;"'!$T$6:$T$205"),MATCH($AR43&amp;"|"&amp;AC$5,INDIRECT("'"&amp;$B43&amp;"'!$AF$6:$AF$205"),0))="","",INDEX(INDIRECT("'"&amp;$B43&amp;"'!$T$6:$T$205"),MATCH($AR43&amp;"|"&amp;AC$5,INDIRECT("'"&amp;$B43&amp;"'!$AF$6:$AF$205"),0))),"-"))</f>
        <v/>
      </c>
      <c r="AD43" s="38">
        <f>IF(OR(AP43="",AD$5="-"),"",IFERROR(IF(INDEX(INDIRECT("'"&amp;$B43&amp;"'!$T$6:$T$205"),MATCH($AR43&amp;"|"&amp;AD$5,INDIRECT("'"&amp;$B43&amp;"'!$AF$6:$AF$205"),0))="","",INDEX(INDIRECT("'"&amp;$B43&amp;"'!$T$6:$T$205"),MATCH($AR43&amp;"|"&amp;AD$5,INDIRECT("'"&amp;$B43&amp;"'!$AF$6:$AF$205"),0))),"-"))</f>
        <v/>
      </c>
      <c r="AE43" s="38">
        <f>IF(OR(AP43="",AE$5="-"),"",IFERROR(IF(INDEX(INDIRECT("'"&amp;$B43&amp;"'!$T$6:$T$205"),MATCH($AR43&amp;"|"&amp;AE$5,INDIRECT("'"&amp;$B43&amp;"'!$AF$6:$AF$205"),0))="","",INDEX(INDIRECT("'"&amp;$B43&amp;"'!$T$6:$T$205"),MATCH($AR43&amp;"|"&amp;AE$5,INDIRECT("'"&amp;$B43&amp;"'!$AF$6:$AF$205"),0))),"-"))</f>
        <v/>
      </c>
      <c r="AF43" s="35">
        <f>IF(AG43="","",INDEX($P$5:$W$5,MATCH(AG43,P43:W43,0)))</f>
        <v/>
      </c>
      <c r="AG43" s="37">
        <f>IF(COUNT(P43:W43)=0,"",MIN(P43:W43))</f>
        <v/>
      </c>
      <c r="AH43" s="39">
        <f>IF(AG43="","",AG43*F43)</f>
        <v/>
      </c>
      <c r="AI43" s="39">
        <f>IF(COUNT(P43:W43)&lt;2,"",(MAX(P43:W43)-MIN(P43:W43))*F43)</f>
        <v/>
      </c>
      <c r="AJ43" s="20" t="n"/>
      <c r="AP43">
        <f>IF(38&gt;MAX($AN$6:$AN$9),"",COUNTIF($AN$6:$AN$9,"&lt;"&amp;38)+1)</f>
        <v/>
      </c>
      <c r="AQ43">
        <f>IF(AP43="","",38-INDEX($AO$6:$AO$9,AP43))</f>
        <v/>
      </c>
      <c r="AR43">
        <f>IF(AP43="","",INDEX(INDIRECT("'"&amp;$B43&amp;"'!$AE$6:$AE$205"),MATCH(AQ43,INDIRECT("'"&amp;$B43&amp;"'!$AI$6:$AI$205"),0)))</f>
        <v/>
      </c>
    </row>
    <row r="44">
      <c r="A44" s="34">
        <f>IF(AP44="","",39)</f>
        <v/>
      </c>
      <c r="B44" s="35">
        <f>IF(AP44="","",INDEX($AL$6:$AL$9,AP44))</f>
        <v/>
      </c>
      <c r="C44" s="34">
        <f>IF(AP44="","",INDEX(INDIRECT("'"&amp;$B44&amp;"'!$B$6:$B$205"),MATCH($AR44,INDIRECT("'"&amp;$B44&amp;"'!$AE$6:$AE$205"),0)))</f>
        <v/>
      </c>
      <c r="D44" s="34">
        <f>IF(AP44="","",INDEX(INDIRECT("'"&amp;$B44&amp;"'!$D$6:$D$205"),MATCH($AR44,INDIRECT("'"&amp;$B44&amp;"'!$AE$6:$AE$205"),0)))</f>
        <v/>
      </c>
      <c r="E44" s="36">
        <f>IF(AP44="","",INDEX(INDIRECT("'"&amp;$B44&amp;"'!$F$6:$F$205"),MATCH($AR44,INDIRECT("'"&amp;$B44&amp;"'!$AE$6:$AE$205"),0)))</f>
        <v/>
      </c>
      <c r="F44" s="34">
        <f>IF(AP44="","",INDEX(INDIRECT("'"&amp;$B44&amp;"'!$K$6:$K$205"),MATCH($AR44,INDIRECT("'"&amp;$B44&amp;"'!$AE$6:$AE$205"),0)))</f>
        <v/>
      </c>
      <c r="G44" s="34">
        <f>IF(AP44="","",INDEX(INDIRECT("'"&amp;$B44&amp;"'!$L$6:$L$205"),MATCH($AR44,INDIRECT("'"&amp;$B44&amp;"'!$AE$6:$AE$205"),0)))</f>
        <v/>
      </c>
      <c r="H44" s="34">
        <f>IF(OR(AP44="",H$5="-"),"",IFERROR(IF(INDEX(INDIRECT("'"&amp;$B44&amp;"'!$N$6:$N$205"),MATCH($AR44&amp;"|"&amp;H$5,INDIRECT("'"&amp;$B44&amp;"'!$AF$6:$AF$205"),0))="","",INDEX(INDIRECT("'"&amp;$B44&amp;"'!$N$6:$N$205"),MATCH($AR44&amp;"|"&amp;H$5,INDIRECT("'"&amp;$B44&amp;"'!$AF$6:$AF$205"),0))),"-"))</f>
        <v/>
      </c>
      <c r="I44" s="34">
        <f>IF(OR(AP44="",I$5="-"),"",IFERROR(IF(INDEX(INDIRECT("'"&amp;$B44&amp;"'!$N$6:$N$205"),MATCH($AR44&amp;"|"&amp;I$5,INDIRECT("'"&amp;$B44&amp;"'!$AF$6:$AF$205"),0))="","",INDEX(INDIRECT("'"&amp;$B44&amp;"'!$N$6:$N$205"),MATCH($AR44&amp;"|"&amp;I$5,INDIRECT("'"&amp;$B44&amp;"'!$AF$6:$AF$205"),0))),"-"))</f>
        <v/>
      </c>
      <c r="J44" s="34">
        <f>IF(OR(AP44="",J$5="-"),"",IFERROR(IF(INDEX(INDIRECT("'"&amp;$B44&amp;"'!$N$6:$N$205"),MATCH($AR44&amp;"|"&amp;J$5,INDIRECT("'"&amp;$B44&amp;"'!$AF$6:$AF$205"),0))="","",INDEX(INDIRECT("'"&amp;$B44&amp;"'!$N$6:$N$205"),MATCH($AR44&amp;"|"&amp;J$5,INDIRECT("'"&amp;$B44&amp;"'!$AF$6:$AF$205"),0))),"-"))</f>
        <v/>
      </c>
      <c r="K44" s="34">
        <f>IF(OR(AP44="",K$5="-"),"",IFERROR(IF(INDEX(INDIRECT("'"&amp;$B44&amp;"'!$N$6:$N$205"),MATCH($AR44&amp;"|"&amp;K$5,INDIRECT("'"&amp;$B44&amp;"'!$AF$6:$AF$205"),0))="","",INDEX(INDIRECT("'"&amp;$B44&amp;"'!$N$6:$N$205"),MATCH($AR44&amp;"|"&amp;K$5,INDIRECT("'"&amp;$B44&amp;"'!$AF$6:$AF$205"),0))),"-"))</f>
        <v/>
      </c>
      <c r="L44" s="34">
        <f>IF(OR(AP44="",L$5="-"),"",IFERROR(IF(INDEX(INDIRECT("'"&amp;$B44&amp;"'!$N$6:$N$205"),MATCH($AR44&amp;"|"&amp;L$5,INDIRECT("'"&amp;$B44&amp;"'!$AF$6:$AF$205"),0))="","",INDEX(INDIRECT("'"&amp;$B44&amp;"'!$N$6:$N$205"),MATCH($AR44&amp;"|"&amp;L$5,INDIRECT("'"&amp;$B44&amp;"'!$AF$6:$AF$205"),0))),"-"))</f>
        <v/>
      </c>
      <c r="M44" s="34">
        <f>IF(OR(AP44="",M$5="-"),"",IFERROR(IF(INDEX(INDIRECT("'"&amp;$B44&amp;"'!$N$6:$N$205"),MATCH($AR44&amp;"|"&amp;M$5,INDIRECT("'"&amp;$B44&amp;"'!$AF$6:$AF$205"),0))="","",INDEX(INDIRECT("'"&amp;$B44&amp;"'!$N$6:$N$205"),MATCH($AR44&amp;"|"&amp;M$5,INDIRECT("'"&amp;$B44&amp;"'!$AF$6:$AF$205"),0))),"-"))</f>
        <v/>
      </c>
      <c r="N44" s="34">
        <f>IF(OR(AP44="",N$5="-"),"",IFERROR(IF(INDEX(INDIRECT("'"&amp;$B44&amp;"'!$N$6:$N$205"),MATCH($AR44&amp;"|"&amp;N$5,INDIRECT("'"&amp;$B44&amp;"'!$AF$6:$AF$205"),0))="","",INDEX(INDIRECT("'"&amp;$B44&amp;"'!$N$6:$N$205"),MATCH($AR44&amp;"|"&amp;N$5,INDIRECT("'"&amp;$B44&amp;"'!$AF$6:$AF$205"),0))),"-"))</f>
        <v/>
      </c>
      <c r="O44" s="34">
        <f>IF(OR(AP44="",O$5="-"),"",IFERROR(IF(INDEX(INDIRECT("'"&amp;$B44&amp;"'!$N$6:$N$205"),MATCH($AR44&amp;"|"&amp;O$5,INDIRECT("'"&amp;$B44&amp;"'!$AF$6:$AF$205"),0))="","",INDEX(INDIRECT("'"&amp;$B44&amp;"'!$N$6:$N$205"),MATCH($AR44&amp;"|"&amp;O$5,INDIRECT("'"&amp;$B44&amp;"'!$AF$6:$AF$205"),0))),"-"))</f>
        <v/>
      </c>
      <c r="P44" s="37">
        <f>IF(OR(AP44="",P$5="-"),"",IFERROR(IF(INDEX(INDIRECT("'"&amp;$B44&amp;"'!$R$6:$R$205"),MATCH($AR44&amp;"|"&amp;P$5,INDIRECT("'"&amp;$B44&amp;"'!$AF$6:$AF$205"),0))="","",INDEX(INDIRECT("'"&amp;$B44&amp;"'!$R$6:$R$205"),MATCH($AR44&amp;"|"&amp;P$5,INDIRECT("'"&amp;$B44&amp;"'!$AF$6:$AF$205"),0))),"-"))</f>
        <v/>
      </c>
      <c r="Q44" s="37">
        <f>IF(OR(AP44="",Q$5="-"),"",IFERROR(IF(INDEX(INDIRECT("'"&amp;$B44&amp;"'!$R$6:$R$205"),MATCH($AR44&amp;"|"&amp;Q$5,INDIRECT("'"&amp;$B44&amp;"'!$AF$6:$AF$205"),0))="","",INDEX(INDIRECT("'"&amp;$B44&amp;"'!$R$6:$R$205"),MATCH($AR44&amp;"|"&amp;Q$5,INDIRECT("'"&amp;$B44&amp;"'!$AF$6:$AF$205"),0))),"-"))</f>
        <v/>
      </c>
      <c r="R44" s="37">
        <f>IF(OR(AP44="",R$5="-"),"",IFERROR(IF(INDEX(INDIRECT("'"&amp;$B44&amp;"'!$R$6:$R$205"),MATCH($AR44&amp;"|"&amp;R$5,INDIRECT("'"&amp;$B44&amp;"'!$AF$6:$AF$205"),0))="","",INDEX(INDIRECT("'"&amp;$B44&amp;"'!$R$6:$R$205"),MATCH($AR44&amp;"|"&amp;R$5,INDIRECT("'"&amp;$B44&amp;"'!$AF$6:$AF$205"),0))),"-"))</f>
        <v/>
      </c>
      <c r="S44" s="37">
        <f>IF(OR(AP44="",S$5="-"),"",IFERROR(IF(INDEX(INDIRECT("'"&amp;$B44&amp;"'!$R$6:$R$205"),MATCH($AR44&amp;"|"&amp;S$5,INDIRECT("'"&amp;$B44&amp;"'!$AF$6:$AF$205"),0))="","",INDEX(INDIRECT("'"&amp;$B44&amp;"'!$R$6:$R$205"),MATCH($AR44&amp;"|"&amp;S$5,INDIRECT("'"&amp;$B44&amp;"'!$AF$6:$AF$205"),0))),"-"))</f>
        <v/>
      </c>
      <c r="T44" s="37">
        <f>IF(OR(AP44="",T$5="-"),"",IFERROR(IF(INDEX(INDIRECT("'"&amp;$B44&amp;"'!$R$6:$R$205"),MATCH($AR44&amp;"|"&amp;T$5,INDIRECT("'"&amp;$B44&amp;"'!$AF$6:$AF$205"),0))="","",INDEX(INDIRECT("'"&amp;$B44&amp;"'!$R$6:$R$205"),MATCH($AR44&amp;"|"&amp;T$5,INDIRECT("'"&amp;$B44&amp;"'!$AF$6:$AF$205"),0))),"-"))</f>
        <v/>
      </c>
      <c r="U44" s="37">
        <f>IF(OR(AP44="",U$5="-"),"",IFERROR(IF(INDEX(INDIRECT("'"&amp;$B44&amp;"'!$R$6:$R$205"),MATCH($AR44&amp;"|"&amp;U$5,INDIRECT("'"&amp;$B44&amp;"'!$AF$6:$AF$205"),0))="","",INDEX(INDIRECT("'"&amp;$B44&amp;"'!$R$6:$R$205"),MATCH($AR44&amp;"|"&amp;U$5,INDIRECT("'"&amp;$B44&amp;"'!$AF$6:$AF$205"),0))),"-"))</f>
        <v/>
      </c>
      <c r="V44" s="37">
        <f>IF(OR(AP44="",V$5="-"),"",IFERROR(IF(INDEX(INDIRECT("'"&amp;$B44&amp;"'!$R$6:$R$205"),MATCH($AR44&amp;"|"&amp;V$5,INDIRECT("'"&amp;$B44&amp;"'!$AF$6:$AF$205"),0))="","",INDEX(INDIRECT("'"&amp;$B44&amp;"'!$R$6:$R$205"),MATCH($AR44&amp;"|"&amp;V$5,INDIRECT("'"&amp;$B44&amp;"'!$AF$6:$AF$205"),0))),"-"))</f>
        <v/>
      </c>
      <c r="W44" s="37">
        <f>IF(OR(AP44="",W$5="-"),"",IFERROR(IF(INDEX(INDIRECT("'"&amp;$B44&amp;"'!$R$6:$R$205"),MATCH($AR44&amp;"|"&amp;W$5,INDIRECT("'"&amp;$B44&amp;"'!$AF$6:$AF$205"),0))="","",INDEX(INDIRECT("'"&amp;$B44&amp;"'!$R$6:$R$205"),MATCH($AR44&amp;"|"&amp;W$5,INDIRECT("'"&amp;$B44&amp;"'!$AF$6:$AF$205"),0))),"-"))</f>
        <v/>
      </c>
      <c r="X44" s="38">
        <f>IF(OR(AP44="",X$5="-"),"",IFERROR(IF(INDEX(INDIRECT("'"&amp;$B44&amp;"'!$T$6:$T$205"),MATCH($AR44&amp;"|"&amp;X$5,INDIRECT("'"&amp;$B44&amp;"'!$AF$6:$AF$205"),0))="","",INDEX(INDIRECT("'"&amp;$B44&amp;"'!$T$6:$T$205"),MATCH($AR44&amp;"|"&amp;X$5,INDIRECT("'"&amp;$B44&amp;"'!$AF$6:$AF$205"),0))),"-"))</f>
        <v/>
      </c>
      <c r="Y44" s="38">
        <f>IF(OR(AP44="",Y$5="-"),"",IFERROR(IF(INDEX(INDIRECT("'"&amp;$B44&amp;"'!$T$6:$T$205"),MATCH($AR44&amp;"|"&amp;Y$5,INDIRECT("'"&amp;$B44&amp;"'!$AF$6:$AF$205"),0))="","",INDEX(INDIRECT("'"&amp;$B44&amp;"'!$T$6:$T$205"),MATCH($AR44&amp;"|"&amp;Y$5,INDIRECT("'"&amp;$B44&amp;"'!$AF$6:$AF$205"),0))),"-"))</f>
        <v/>
      </c>
      <c r="Z44" s="38">
        <f>IF(OR(AP44="",Z$5="-"),"",IFERROR(IF(INDEX(INDIRECT("'"&amp;$B44&amp;"'!$T$6:$T$205"),MATCH($AR44&amp;"|"&amp;Z$5,INDIRECT("'"&amp;$B44&amp;"'!$AF$6:$AF$205"),0))="","",INDEX(INDIRECT("'"&amp;$B44&amp;"'!$T$6:$T$205"),MATCH($AR44&amp;"|"&amp;Z$5,INDIRECT("'"&amp;$B44&amp;"'!$AF$6:$AF$205"),0))),"-"))</f>
        <v/>
      </c>
      <c r="AA44" s="38">
        <f>IF(OR(AP44="",AA$5="-"),"",IFERROR(IF(INDEX(INDIRECT("'"&amp;$B44&amp;"'!$T$6:$T$205"),MATCH($AR44&amp;"|"&amp;AA$5,INDIRECT("'"&amp;$B44&amp;"'!$AF$6:$AF$205"),0))="","",INDEX(INDIRECT("'"&amp;$B44&amp;"'!$T$6:$T$205"),MATCH($AR44&amp;"|"&amp;AA$5,INDIRECT("'"&amp;$B44&amp;"'!$AF$6:$AF$205"),0))),"-"))</f>
        <v/>
      </c>
      <c r="AB44" s="38">
        <f>IF(OR(AP44="",AB$5="-"),"",IFERROR(IF(INDEX(INDIRECT("'"&amp;$B44&amp;"'!$T$6:$T$205"),MATCH($AR44&amp;"|"&amp;AB$5,INDIRECT("'"&amp;$B44&amp;"'!$AF$6:$AF$205"),0))="","",INDEX(INDIRECT("'"&amp;$B44&amp;"'!$T$6:$T$205"),MATCH($AR44&amp;"|"&amp;AB$5,INDIRECT("'"&amp;$B44&amp;"'!$AF$6:$AF$205"),0))),"-"))</f>
        <v/>
      </c>
      <c r="AC44" s="38">
        <f>IF(OR(AP44="",AC$5="-"),"",IFERROR(IF(INDEX(INDIRECT("'"&amp;$B44&amp;"'!$T$6:$T$205"),MATCH($AR44&amp;"|"&amp;AC$5,INDIRECT("'"&amp;$B44&amp;"'!$AF$6:$AF$205"),0))="","",INDEX(INDIRECT("'"&amp;$B44&amp;"'!$T$6:$T$205"),MATCH($AR44&amp;"|"&amp;AC$5,INDIRECT("'"&amp;$B44&amp;"'!$AF$6:$AF$205"),0))),"-"))</f>
        <v/>
      </c>
      <c r="AD44" s="38">
        <f>IF(OR(AP44="",AD$5="-"),"",IFERROR(IF(INDEX(INDIRECT("'"&amp;$B44&amp;"'!$T$6:$T$205"),MATCH($AR44&amp;"|"&amp;AD$5,INDIRECT("'"&amp;$B44&amp;"'!$AF$6:$AF$205"),0))="","",INDEX(INDIRECT("'"&amp;$B44&amp;"'!$T$6:$T$205"),MATCH($AR44&amp;"|"&amp;AD$5,INDIRECT("'"&amp;$B44&amp;"'!$AF$6:$AF$205"),0))),"-"))</f>
        <v/>
      </c>
      <c r="AE44" s="38">
        <f>IF(OR(AP44="",AE$5="-"),"",IFERROR(IF(INDEX(INDIRECT("'"&amp;$B44&amp;"'!$T$6:$T$205"),MATCH($AR44&amp;"|"&amp;AE$5,INDIRECT("'"&amp;$B44&amp;"'!$AF$6:$AF$205"),0))="","",INDEX(INDIRECT("'"&amp;$B44&amp;"'!$T$6:$T$205"),MATCH($AR44&amp;"|"&amp;AE$5,INDIRECT("'"&amp;$B44&amp;"'!$AF$6:$AF$205"),0))),"-"))</f>
        <v/>
      </c>
      <c r="AF44" s="35">
        <f>IF(AG44="","",INDEX($P$5:$W$5,MATCH(AG44,P44:W44,0)))</f>
        <v/>
      </c>
      <c r="AG44" s="37">
        <f>IF(COUNT(P44:W44)=0,"",MIN(P44:W44))</f>
        <v/>
      </c>
      <c r="AH44" s="39">
        <f>IF(AG44="","",AG44*F44)</f>
        <v/>
      </c>
      <c r="AI44" s="39">
        <f>IF(COUNT(P44:W44)&lt;2,"",(MAX(P44:W44)-MIN(P44:W44))*F44)</f>
        <v/>
      </c>
      <c r="AJ44" s="20" t="n"/>
      <c r="AP44">
        <f>IF(39&gt;MAX($AN$6:$AN$9),"",COUNTIF($AN$6:$AN$9,"&lt;"&amp;39)+1)</f>
        <v/>
      </c>
      <c r="AQ44">
        <f>IF(AP44="","",39-INDEX($AO$6:$AO$9,AP44))</f>
        <v/>
      </c>
      <c r="AR44">
        <f>IF(AP44="","",INDEX(INDIRECT("'"&amp;$B44&amp;"'!$AE$6:$AE$205"),MATCH(AQ44,INDIRECT("'"&amp;$B44&amp;"'!$AI$6:$AI$205"),0)))</f>
        <v/>
      </c>
    </row>
    <row r="45">
      <c r="A45" s="34">
        <f>IF(AP45="","",40)</f>
        <v/>
      </c>
      <c r="B45" s="35">
        <f>IF(AP45="","",INDEX($AL$6:$AL$9,AP45))</f>
        <v/>
      </c>
      <c r="C45" s="34">
        <f>IF(AP45="","",INDEX(INDIRECT("'"&amp;$B45&amp;"'!$B$6:$B$205"),MATCH($AR45,INDIRECT("'"&amp;$B45&amp;"'!$AE$6:$AE$205"),0)))</f>
        <v/>
      </c>
      <c r="D45" s="34">
        <f>IF(AP45="","",INDEX(INDIRECT("'"&amp;$B45&amp;"'!$D$6:$D$205"),MATCH($AR45,INDIRECT("'"&amp;$B45&amp;"'!$AE$6:$AE$205"),0)))</f>
        <v/>
      </c>
      <c r="E45" s="36">
        <f>IF(AP45="","",INDEX(INDIRECT("'"&amp;$B45&amp;"'!$F$6:$F$205"),MATCH($AR45,INDIRECT("'"&amp;$B45&amp;"'!$AE$6:$AE$205"),0)))</f>
        <v/>
      </c>
      <c r="F45" s="34">
        <f>IF(AP45="","",INDEX(INDIRECT("'"&amp;$B45&amp;"'!$K$6:$K$205"),MATCH($AR45,INDIRECT("'"&amp;$B45&amp;"'!$AE$6:$AE$205"),0)))</f>
        <v/>
      </c>
      <c r="G45" s="34">
        <f>IF(AP45="","",INDEX(INDIRECT("'"&amp;$B45&amp;"'!$L$6:$L$205"),MATCH($AR45,INDIRECT("'"&amp;$B45&amp;"'!$AE$6:$AE$205"),0)))</f>
        <v/>
      </c>
      <c r="H45" s="34">
        <f>IF(OR(AP45="",H$5="-"),"",IFERROR(IF(INDEX(INDIRECT("'"&amp;$B45&amp;"'!$N$6:$N$205"),MATCH($AR45&amp;"|"&amp;H$5,INDIRECT("'"&amp;$B45&amp;"'!$AF$6:$AF$205"),0))="","",INDEX(INDIRECT("'"&amp;$B45&amp;"'!$N$6:$N$205"),MATCH($AR45&amp;"|"&amp;H$5,INDIRECT("'"&amp;$B45&amp;"'!$AF$6:$AF$205"),0))),"-"))</f>
        <v/>
      </c>
      <c r="I45" s="34">
        <f>IF(OR(AP45="",I$5="-"),"",IFERROR(IF(INDEX(INDIRECT("'"&amp;$B45&amp;"'!$N$6:$N$205"),MATCH($AR45&amp;"|"&amp;I$5,INDIRECT("'"&amp;$B45&amp;"'!$AF$6:$AF$205"),0))="","",INDEX(INDIRECT("'"&amp;$B45&amp;"'!$N$6:$N$205"),MATCH($AR45&amp;"|"&amp;I$5,INDIRECT("'"&amp;$B45&amp;"'!$AF$6:$AF$205"),0))),"-"))</f>
        <v/>
      </c>
      <c r="J45" s="34">
        <f>IF(OR(AP45="",J$5="-"),"",IFERROR(IF(INDEX(INDIRECT("'"&amp;$B45&amp;"'!$N$6:$N$205"),MATCH($AR45&amp;"|"&amp;J$5,INDIRECT("'"&amp;$B45&amp;"'!$AF$6:$AF$205"),0))="","",INDEX(INDIRECT("'"&amp;$B45&amp;"'!$N$6:$N$205"),MATCH($AR45&amp;"|"&amp;J$5,INDIRECT("'"&amp;$B45&amp;"'!$AF$6:$AF$205"),0))),"-"))</f>
        <v/>
      </c>
      <c r="K45" s="34">
        <f>IF(OR(AP45="",K$5="-"),"",IFERROR(IF(INDEX(INDIRECT("'"&amp;$B45&amp;"'!$N$6:$N$205"),MATCH($AR45&amp;"|"&amp;K$5,INDIRECT("'"&amp;$B45&amp;"'!$AF$6:$AF$205"),0))="","",INDEX(INDIRECT("'"&amp;$B45&amp;"'!$N$6:$N$205"),MATCH($AR45&amp;"|"&amp;K$5,INDIRECT("'"&amp;$B45&amp;"'!$AF$6:$AF$205"),0))),"-"))</f>
        <v/>
      </c>
      <c r="L45" s="34">
        <f>IF(OR(AP45="",L$5="-"),"",IFERROR(IF(INDEX(INDIRECT("'"&amp;$B45&amp;"'!$N$6:$N$205"),MATCH($AR45&amp;"|"&amp;L$5,INDIRECT("'"&amp;$B45&amp;"'!$AF$6:$AF$205"),0))="","",INDEX(INDIRECT("'"&amp;$B45&amp;"'!$N$6:$N$205"),MATCH($AR45&amp;"|"&amp;L$5,INDIRECT("'"&amp;$B45&amp;"'!$AF$6:$AF$205"),0))),"-"))</f>
        <v/>
      </c>
      <c r="M45" s="34">
        <f>IF(OR(AP45="",M$5="-"),"",IFERROR(IF(INDEX(INDIRECT("'"&amp;$B45&amp;"'!$N$6:$N$205"),MATCH($AR45&amp;"|"&amp;M$5,INDIRECT("'"&amp;$B45&amp;"'!$AF$6:$AF$205"),0))="","",INDEX(INDIRECT("'"&amp;$B45&amp;"'!$N$6:$N$205"),MATCH($AR45&amp;"|"&amp;M$5,INDIRECT("'"&amp;$B45&amp;"'!$AF$6:$AF$205"),0))),"-"))</f>
        <v/>
      </c>
      <c r="N45" s="34">
        <f>IF(OR(AP45="",N$5="-"),"",IFERROR(IF(INDEX(INDIRECT("'"&amp;$B45&amp;"'!$N$6:$N$205"),MATCH($AR45&amp;"|"&amp;N$5,INDIRECT("'"&amp;$B45&amp;"'!$AF$6:$AF$205"),0))="","",INDEX(INDIRECT("'"&amp;$B45&amp;"'!$N$6:$N$205"),MATCH($AR45&amp;"|"&amp;N$5,INDIRECT("'"&amp;$B45&amp;"'!$AF$6:$AF$205"),0))),"-"))</f>
        <v/>
      </c>
      <c r="O45" s="34">
        <f>IF(OR(AP45="",O$5="-"),"",IFERROR(IF(INDEX(INDIRECT("'"&amp;$B45&amp;"'!$N$6:$N$205"),MATCH($AR45&amp;"|"&amp;O$5,INDIRECT("'"&amp;$B45&amp;"'!$AF$6:$AF$205"),0))="","",INDEX(INDIRECT("'"&amp;$B45&amp;"'!$N$6:$N$205"),MATCH($AR45&amp;"|"&amp;O$5,INDIRECT("'"&amp;$B45&amp;"'!$AF$6:$AF$205"),0))),"-"))</f>
        <v/>
      </c>
      <c r="P45" s="37">
        <f>IF(OR(AP45="",P$5="-"),"",IFERROR(IF(INDEX(INDIRECT("'"&amp;$B45&amp;"'!$R$6:$R$205"),MATCH($AR45&amp;"|"&amp;P$5,INDIRECT("'"&amp;$B45&amp;"'!$AF$6:$AF$205"),0))="","",INDEX(INDIRECT("'"&amp;$B45&amp;"'!$R$6:$R$205"),MATCH($AR45&amp;"|"&amp;P$5,INDIRECT("'"&amp;$B45&amp;"'!$AF$6:$AF$205"),0))),"-"))</f>
        <v/>
      </c>
      <c r="Q45" s="37">
        <f>IF(OR(AP45="",Q$5="-"),"",IFERROR(IF(INDEX(INDIRECT("'"&amp;$B45&amp;"'!$R$6:$R$205"),MATCH($AR45&amp;"|"&amp;Q$5,INDIRECT("'"&amp;$B45&amp;"'!$AF$6:$AF$205"),0))="","",INDEX(INDIRECT("'"&amp;$B45&amp;"'!$R$6:$R$205"),MATCH($AR45&amp;"|"&amp;Q$5,INDIRECT("'"&amp;$B45&amp;"'!$AF$6:$AF$205"),0))),"-"))</f>
        <v/>
      </c>
      <c r="R45" s="37">
        <f>IF(OR(AP45="",R$5="-"),"",IFERROR(IF(INDEX(INDIRECT("'"&amp;$B45&amp;"'!$R$6:$R$205"),MATCH($AR45&amp;"|"&amp;R$5,INDIRECT("'"&amp;$B45&amp;"'!$AF$6:$AF$205"),0))="","",INDEX(INDIRECT("'"&amp;$B45&amp;"'!$R$6:$R$205"),MATCH($AR45&amp;"|"&amp;R$5,INDIRECT("'"&amp;$B45&amp;"'!$AF$6:$AF$205"),0))),"-"))</f>
        <v/>
      </c>
      <c r="S45" s="37">
        <f>IF(OR(AP45="",S$5="-"),"",IFERROR(IF(INDEX(INDIRECT("'"&amp;$B45&amp;"'!$R$6:$R$205"),MATCH($AR45&amp;"|"&amp;S$5,INDIRECT("'"&amp;$B45&amp;"'!$AF$6:$AF$205"),0))="","",INDEX(INDIRECT("'"&amp;$B45&amp;"'!$R$6:$R$205"),MATCH($AR45&amp;"|"&amp;S$5,INDIRECT("'"&amp;$B45&amp;"'!$AF$6:$AF$205"),0))),"-"))</f>
        <v/>
      </c>
      <c r="T45" s="37">
        <f>IF(OR(AP45="",T$5="-"),"",IFERROR(IF(INDEX(INDIRECT("'"&amp;$B45&amp;"'!$R$6:$R$205"),MATCH($AR45&amp;"|"&amp;T$5,INDIRECT("'"&amp;$B45&amp;"'!$AF$6:$AF$205"),0))="","",INDEX(INDIRECT("'"&amp;$B45&amp;"'!$R$6:$R$205"),MATCH($AR45&amp;"|"&amp;T$5,INDIRECT("'"&amp;$B45&amp;"'!$AF$6:$AF$205"),0))),"-"))</f>
        <v/>
      </c>
      <c r="U45" s="37">
        <f>IF(OR(AP45="",U$5="-"),"",IFERROR(IF(INDEX(INDIRECT("'"&amp;$B45&amp;"'!$R$6:$R$205"),MATCH($AR45&amp;"|"&amp;U$5,INDIRECT("'"&amp;$B45&amp;"'!$AF$6:$AF$205"),0))="","",INDEX(INDIRECT("'"&amp;$B45&amp;"'!$R$6:$R$205"),MATCH($AR45&amp;"|"&amp;U$5,INDIRECT("'"&amp;$B45&amp;"'!$AF$6:$AF$205"),0))),"-"))</f>
        <v/>
      </c>
      <c r="V45" s="37">
        <f>IF(OR(AP45="",V$5="-"),"",IFERROR(IF(INDEX(INDIRECT("'"&amp;$B45&amp;"'!$R$6:$R$205"),MATCH($AR45&amp;"|"&amp;V$5,INDIRECT("'"&amp;$B45&amp;"'!$AF$6:$AF$205"),0))="","",INDEX(INDIRECT("'"&amp;$B45&amp;"'!$R$6:$R$205"),MATCH($AR45&amp;"|"&amp;V$5,INDIRECT("'"&amp;$B45&amp;"'!$AF$6:$AF$205"),0))),"-"))</f>
        <v/>
      </c>
      <c r="W45" s="37">
        <f>IF(OR(AP45="",W$5="-"),"",IFERROR(IF(INDEX(INDIRECT("'"&amp;$B45&amp;"'!$R$6:$R$205"),MATCH($AR45&amp;"|"&amp;W$5,INDIRECT("'"&amp;$B45&amp;"'!$AF$6:$AF$205"),0))="","",INDEX(INDIRECT("'"&amp;$B45&amp;"'!$R$6:$R$205"),MATCH($AR45&amp;"|"&amp;W$5,INDIRECT("'"&amp;$B45&amp;"'!$AF$6:$AF$205"),0))),"-"))</f>
        <v/>
      </c>
      <c r="X45" s="38">
        <f>IF(OR(AP45="",X$5="-"),"",IFERROR(IF(INDEX(INDIRECT("'"&amp;$B45&amp;"'!$T$6:$T$205"),MATCH($AR45&amp;"|"&amp;X$5,INDIRECT("'"&amp;$B45&amp;"'!$AF$6:$AF$205"),0))="","",INDEX(INDIRECT("'"&amp;$B45&amp;"'!$T$6:$T$205"),MATCH($AR45&amp;"|"&amp;X$5,INDIRECT("'"&amp;$B45&amp;"'!$AF$6:$AF$205"),0))),"-"))</f>
        <v/>
      </c>
      <c r="Y45" s="38">
        <f>IF(OR(AP45="",Y$5="-"),"",IFERROR(IF(INDEX(INDIRECT("'"&amp;$B45&amp;"'!$T$6:$T$205"),MATCH($AR45&amp;"|"&amp;Y$5,INDIRECT("'"&amp;$B45&amp;"'!$AF$6:$AF$205"),0))="","",INDEX(INDIRECT("'"&amp;$B45&amp;"'!$T$6:$T$205"),MATCH($AR45&amp;"|"&amp;Y$5,INDIRECT("'"&amp;$B45&amp;"'!$AF$6:$AF$205"),0))),"-"))</f>
        <v/>
      </c>
      <c r="Z45" s="38">
        <f>IF(OR(AP45="",Z$5="-"),"",IFERROR(IF(INDEX(INDIRECT("'"&amp;$B45&amp;"'!$T$6:$T$205"),MATCH($AR45&amp;"|"&amp;Z$5,INDIRECT("'"&amp;$B45&amp;"'!$AF$6:$AF$205"),0))="","",INDEX(INDIRECT("'"&amp;$B45&amp;"'!$T$6:$T$205"),MATCH($AR45&amp;"|"&amp;Z$5,INDIRECT("'"&amp;$B45&amp;"'!$AF$6:$AF$205"),0))),"-"))</f>
        <v/>
      </c>
      <c r="AA45" s="38">
        <f>IF(OR(AP45="",AA$5="-"),"",IFERROR(IF(INDEX(INDIRECT("'"&amp;$B45&amp;"'!$T$6:$T$205"),MATCH($AR45&amp;"|"&amp;AA$5,INDIRECT("'"&amp;$B45&amp;"'!$AF$6:$AF$205"),0))="","",INDEX(INDIRECT("'"&amp;$B45&amp;"'!$T$6:$T$205"),MATCH($AR45&amp;"|"&amp;AA$5,INDIRECT("'"&amp;$B45&amp;"'!$AF$6:$AF$205"),0))),"-"))</f>
        <v/>
      </c>
      <c r="AB45" s="38">
        <f>IF(OR(AP45="",AB$5="-"),"",IFERROR(IF(INDEX(INDIRECT("'"&amp;$B45&amp;"'!$T$6:$T$205"),MATCH($AR45&amp;"|"&amp;AB$5,INDIRECT("'"&amp;$B45&amp;"'!$AF$6:$AF$205"),0))="","",INDEX(INDIRECT("'"&amp;$B45&amp;"'!$T$6:$T$205"),MATCH($AR45&amp;"|"&amp;AB$5,INDIRECT("'"&amp;$B45&amp;"'!$AF$6:$AF$205"),0))),"-"))</f>
        <v/>
      </c>
      <c r="AC45" s="38">
        <f>IF(OR(AP45="",AC$5="-"),"",IFERROR(IF(INDEX(INDIRECT("'"&amp;$B45&amp;"'!$T$6:$T$205"),MATCH($AR45&amp;"|"&amp;AC$5,INDIRECT("'"&amp;$B45&amp;"'!$AF$6:$AF$205"),0))="","",INDEX(INDIRECT("'"&amp;$B45&amp;"'!$T$6:$T$205"),MATCH($AR45&amp;"|"&amp;AC$5,INDIRECT("'"&amp;$B45&amp;"'!$AF$6:$AF$205"),0))),"-"))</f>
        <v/>
      </c>
      <c r="AD45" s="38">
        <f>IF(OR(AP45="",AD$5="-"),"",IFERROR(IF(INDEX(INDIRECT("'"&amp;$B45&amp;"'!$T$6:$T$205"),MATCH($AR45&amp;"|"&amp;AD$5,INDIRECT("'"&amp;$B45&amp;"'!$AF$6:$AF$205"),0))="","",INDEX(INDIRECT("'"&amp;$B45&amp;"'!$T$6:$T$205"),MATCH($AR45&amp;"|"&amp;AD$5,INDIRECT("'"&amp;$B45&amp;"'!$AF$6:$AF$205"),0))),"-"))</f>
        <v/>
      </c>
      <c r="AE45" s="38">
        <f>IF(OR(AP45="",AE$5="-"),"",IFERROR(IF(INDEX(INDIRECT("'"&amp;$B45&amp;"'!$T$6:$T$205"),MATCH($AR45&amp;"|"&amp;AE$5,INDIRECT("'"&amp;$B45&amp;"'!$AF$6:$AF$205"),0))="","",INDEX(INDIRECT("'"&amp;$B45&amp;"'!$T$6:$T$205"),MATCH($AR45&amp;"|"&amp;AE$5,INDIRECT("'"&amp;$B45&amp;"'!$AF$6:$AF$205"),0))),"-"))</f>
        <v/>
      </c>
      <c r="AF45" s="35">
        <f>IF(AG45="","",INDEX($P$5:$W$5,MATCH(AG45,P45:W45,0)))</f>
        <v/>
      </c>
      <c r="AG45" s="37">
        <f>IF(COUNT(P45:W45)=0,"",MIN(P45:W45))</f>
        <v/>
      </c>
      <c r="AH45" s="39">
        <f>IF(AG45="","",AG45*F45)</f>
        <v/>
      </c>
      <c r="AI45" s="39">
        <f>IF(COUNT(P45:W45)&lt;2,"",(MAX(P45:W45)-MIN(P45:W45))*F45)</f>
        <v/>
      </c>
      <c r="AJ45" s="20" t="n"/>
      <c r="AP45">
        <f>IF(40&gt;MAX($AN$6:$AN$9),"",COUNTIF($AN$6:$AN$9,"&lt;"&amp;40)+1)</f>
        <v/>
      </c>
      <c r="AQ45">
        <f>IF(AP45="","",40-INDEX($AO$6:$AO$9,AP45))</f>
        <v/>
      </c>
      <c r="AR45">
        <f>IF(AP45="","",INDEX(INDIRECT("'"&amp;$B45&amp;"'!$AE$6:$AE$205"),MATCH(AQ45,INDIRECT("'"&amp;$B45&amp;"'!$AI$6:$AI$205"),0)))</f>
        <v/>
      </c>
    </row>
    <row r="46">
      <c r="A46" s="34">
        <f>IF(AP46="","",41)</f>
        <v/>
      </c>
      <c r="B46" s="35">
        <f>IF(AP46="","",INDEX($AL$6:$AL$9,AP46))</f>
        <v/>
      </c>
      <c r="C46" s="34">
        <f>IF(AP46="","",INDEX(INDIRECT("'"&amp;$B46&amp;"'!$B$6:$B$205"),MATCH($AR46,INDIRECT("'"&amp;$B46&amp;"'!$AE$6:$AE$205"),0)))</f>
        <v/>
      </c>
      <c r="D46" s="34">
        <f>IF(AP46="","",INDEX(INDIRECT("'"&amp;$B46&amp;"'!$D$6:$D$205"),MATCH($AR46,INDIRECT("'"&amp;$B46&amp;"'!$AE$6:$AE$205"),0)))</f>
        <v/>
      </c>
      <c r="E46" s="36">
        <f>IF(AP46="","",INDEX(INDIRECT("'"&amp;$B46&amp;"'!$F$6:$F$205"),MATCH($AR46,INDIRECT("'"&amp;$B46&amp;"'!$AE$6:$AE$205"),0)))</f>
        <v/>
      </c>
      <c r="F46" s="34">
        <f>IF(AP46="","",INDEX(INDIRECT("'"&amp;$B46&amp;"'!$K$6:$K$205"),MATCH($AR46,INDIRECT("'"&amp;$B46&amp;"'!$AE$6:$AE$205"),0)))</f>
        <v/>
      </c>
      <c r="G46" s="34">
        <f>IF(AP46="","",INDEX(INDIRECT("'"&amp;$B46&amp;"'!$L$6:$L$205"),MATCH($AR46,INDIRECT("'"&amp;$B46&amp;"'!$AE$6:$AE$205"),0)))</f>
        <v/>
      </c>
      <c r="H46" s="34">
        <f>IF(OR(AP46="",H$5="-"),"",IFERROR(IF(INDEX(INDIRECT("'"&amp;$B46&amp;"'!$N$6:$N$205"),MATCH($AR46&amp;"|"&amp;H$5,INDIRECT("'"&amp;$B46&amp;"'!$AF$6:$AF$205"),0))="","",INDEX(INDIRECT("'"&amp;$B46&amp;"'!$N$6:$N$205"),MATCH($AR46&amp;"|"&amp;H$5,INDIRECT("'"&amp;$B46&amp;"'!$AF$6:$AF$205"),0))),"-"))</f>
        <v/>
      </c>
      <c r="I46" s="34">
        <f>IF(OR(AP46="",I$5="-"),"",IFERROR(IF(INDEX(INDIRECT("'"&amp;$B46&amp;"'!$N$6:$N$205"),MATCH($AR46&amp;"|"&amp;I$5,INDIRECT("'"&amp;$B46&amp;"'!$AF$6:$AF$205"),0))="","",INDEX(INDIRECT("'"&amp;$B46&amp;"'!$N$6:$N$205"),MATCH($AR46&amp;"|"&amp;I$5,INDIRECT("'"&amp;$B46&amp;"'!$AF$6:$AF$205"),0))),"-"))</f>
        <v/>
      </c>
      <c r="J46" s="34">
        <f>IF(OR(AP46="",J$5="-"),"",IFERROR(IF(INDEX(INDIRECT("'"&amp;$B46&amp;"'!$N$6:$N$205"),MATCH($AR46&amp;"|"&amp;J$5,INDIRECT("'"&amp;$B46&amp;"'!$AF$6:$AF$205"),0))="","",INDEX(INDIRECT("'"&amp;$B46&amp;"'!$N$6:$N$205"),MATCH($AR46&amp;"|"&amp;J$5,INDIRECT("'"&amp;$B46&amp;"'!$AF$6:$AF$205"),0))),"-"))</f>
        <v/>
      </c>
      <c r="K46" s="34">
        <f>IF(OR(AP46="",K$5="-"),"",IFERROR(IF(INDEX(INDIRECT("'"&amp;$B46&amp;"'!$N$6:$N$205"),MATCH($AR46&amp;"|"&amp;K$5,INDIRECT("'"&amp;$B46&amp;"'!$AF$6:$AF$205"),0))="","",INDEX(INDIRECT("'"&amp;$B46&amp;"'!$N$6:$N$205"),MATCH($AR46&amp;"|"&amp;K$5,INDIRECT("'"&amp;$B46&amp;"'!$AF$6:$AF$205"),0))),"-"))</f>
        <v/>
      </c>
      <c r="L46" s="34">
        <f>IF(OR(AP46="",L$5="-"),"",IFERROR(IF(INDEX(INDIRECT("'"&amp;$B46&amp;"'!$N$6:$N$205"),MATCH($AR46&amp;"|"&amp;L$5,INDIRECT("'"&amp;$B46&amp;"'!$AF$6:$AF$205"),0))="","",INDEX(INDIRECT("'"&amp;$B46&amp;"'!$N$6:$N$205"),MATCH($AR46&amp;"|"&amp;L$5,INDIRECT("'"&amp;$B46&amp;"'!$AF$6:$AF$205"),0))),"-"))</f>
        <v/>
      </c>
      <c r="M46" s="34">
        <f>IF(OR(AP46="",M$5="-"),"",IFERROR(IF(INDEX(INDIRECT("'"&amp;$B46&amp;"'!$N$6:$N$205"),MATCH($AR46&amp;"|"&amp;M$5,INDIRECT("'"&amp;$B46&amp;"'!$AF$6:$AF$205"),0))="","",INDEX(INDIRECT("'"&amp;$B46&amp;"'!$N$6:$N$205"),MATCH($AR46&amp;"|"&amp;M$5,INDIRECT("'"&amp;$B46&amp;"'!$AF$6:$AF$205"),0))),"-"))</f>
        <v/>
      </c>
      <c r="N46" s="34">
        <f>IF(OR(AP46="",N$5="-"),"",IFERROR(IF(INDEX(INDIRECT("'"&amp;$B46&amp;"'!$N$6:$N$205"),MATCH($AR46&amp;"|"&amp;N$5,INDIRECT("'"&amp;$B46&amp;"'!$AF$6:$AF$205"),0))="","",INDEX(INDIRECT("'"&amp;$B46&amp;"'!$N$6:$N$205"),MATCH($AR46&amp;"|"&amp;N$5,INDIRECT("'"&amp;$B46&amp;"'!$AF$6:$AF$205"),0))),"-"))</f>
        <v/>
      </c>
      <c r="O46" s="34">
        <f>IF(OR(AP46="",O$5="-"),"",IFERROR(IF(INDEX(INDIRECT("'"&amp;$B46&amp;"'!$N$6:$N$205"),MATCH($AR46&amp;"|"&amp;O$5,INDIRECT("'"&amp;$B46&amp;"'!$AF$6:$AF$205"),0))="","",INDEX(INDIRECT("'"&amp;$B46&amp;"'!$N$6:$N$205"),MATCH($AR46&amp;"|"&amp;O$5,INDIRECT("'"&amp;$B46&amp;"'!$AF$6:$AF$205"),0))),"-"))</f>
        <v/>
      </c>
      <c r="P46" s="37">
        <f>IF(OR(AP46="",P$5="-"),"",IFERROR(IF(INDEX(INDIRECT("'"&amp;$B46&amp;"'!$R$6:$R$205"),MATCH($AR46&amp;"|"&amp;P$5,INDIRECT("'"&amp;$B46&amp;"'!$AF$6:$AF$205"),0))="","",INDEX(INDIRECT("'"&amp;$B46&amp;"'!$R$6:$R$205"),MATCH($AR46&amp;"|"&amp;P$5,INDIRECT("'"&amp;$B46&amp;"'!$AF$6:$AF$205"),0))),"-"))</f>
        <v/>
      </c>
      <c r="Q46" s="37">
        <f>IF(OR(AP46="",Q$5="-"),"",IFERROR(IF(INDEX(INDIRECT("'"&amp;$B46&amp;"'!$R$6:$R$205"),MATCH($AR46&amp;"|"&amp;Q$5,INDIRECT("'"&amp;$B46&amp;"'!$AF$6:$AF$205"),0))="","",INDEX(INDIRECT("'"&amp;$B46&amp;"'!$R$6:$R$205"),MATCH($AR46&amp;"|"&amp;Q$5,INDIRECT("'"&amp;$B46&amp;"'!$AF$6:$AF$205"),0))),"-"))</f>
        <v/>
      </c>
      <c r="R46" s="37">
        <f>IF(OR(AP46="",R$5="-"),"",IFERROR(IF(INDEX(INDIRECT("'"&amp;$B46&amp;"'!$R$6:$R$205"),MATCH($AR46&amp;"|"&amp;R$5,INDIRECT("'"&amp;$B46&amp;"'!$AF$6:$AF$205"),0))="","",INDEX(INDIRECT("'"&amp;$B46&amp;"'!$R$6:$R$205"),MATCH($AR46&amp;"|"&amp;R$5,INDIRECT("'"&amp;$B46&amp;"'!$AF$6:$AF$205"),0))),"-"))</f>
        <v/>
      </c>
      <c r="S46" s="37">
        <f>IF(OR(AP46="",S$5="-"),"",IFERROR(IF(INDEX(INDIRECT("'"&amp;$B46&amp;"'!$R$6:$R$205"),MATCH($AR46&amp;"|"&amp;S$5,INDIRECT("'"&amp;$B46&amp;"'!$AF$6:$AF$205"),0))="","",INDEX(INDIRECT("'"&amp;$B46&amp;"'!$R$6:$R$205"),MATCH($AR46&amp;"|"&amp;S$5,INDIRECT("'"&amp;$B46&amp;"'!$AF$6:$AF$205"),0))),"-"))</f>
        <v/>
      </c>
      <c r="T46" s="37">
        <f>IF(OR(AP46="",T$5="-"),"",IFERROR(IF(INDEX(INDIRECT("'"&amp;$B46&amp;"'!$R$6:$R$205"),MATCH($AR46&amp;"|"&amp;T$5,INDIRECT("'"&amp;$B46&amp;"'!$AF$6:$AF$205"),0))="","",INDEX(INDIRECT("'"&amp;$B46&amp;"'!$R$6:$R$205"),MATCH($AR46&amp;"|"&amp;T$5,INDIRECT("'"&amp;$B46&amp;"'!$AF$6:$AF$205"),0))),"-"))</f>
        <v/>
      </c>
      <c r="U46" s="37">
        <f>IF(OR(AP46="",U$5="-"),"",IFERROR(IF(INDEX(INDIRECT("'"&amp;$B46&amp;"'!$R$6:$R$205"),MATCH($AR46&amp;"|"&amp;U$5,INDIRECT("'"&amp;$B46&amp;"'!$AF$6:$AF$205"),0))="","",INDEX(INDIRECT("'"&amp;$B46&amp;"'!$R$6:$R$205"),MATCH($AR46&amp;"|"&amp;U$5,INDIRECT("'"&amp;$B46&amp;"'!$AF$6:$AF$205"),0))),"-"))</f>
        <v/>
      </c>
      <c r="V46" s="37">
        <f>IF(OR(AP46="",V$5="-"),"",IFERROR(IF(INDEX(INDIRECT("'"&amp;$B46&amp;"'!$R$6:$R$205"),MATCH($AR46&amp;"|"&amp;V$5,INDIRECT("'"&amp;$B46&amp;"'!$AF$6:$AF$205"),0))="","",INDEX(INDIRECT("'"&amp;$B46&amp;"'!$R$6:$R$205"),MATCH($AR46&amp;"|"&amp;V$5,INDIRECT("'"&amp;$B46&amp;"'!$AF$6:$AF$205"),0))),"-"))</f>
        <v/>
      </c>
      <c r="W46" s="37">
        <f>IF(OR(AP46="",W$5="-"),"",IFERROR(IF(INDEX(INDIRECT("'"&amp;$B46&amp;"'!$R$6:$R$205"),MATCH($AR46&amp;"|"&amp;W$5,INDIRECT("'"&amp;$B46&amp;"'!$AF$6:$AF$205"),0))="","",INDEX(INDIRECT("'"&amp;$B46&amp;"'!$R$6:$R$205"),MATCH($AR46&amp;"|"&amp;W$5,INDIRECT("'"&amp;$B46&amp;"'!$AF$6:$AF$205"),0))),"-"))</f>
        <v/>
      </c>
      <c r="X46" s="38">
        <f>IF(OR(AP46="",X$5="-"),"",IFERROR(IF(INDEX(INDIRECT("'"&amp;$B46&amp;"'!$T$6:$T$205"),MATCH($AR46&amp;"|"&amp;X$5,INDIRECT("'"&amp;$B46&amp;"'!$AF$6:$AF$205"),0))="","",INDEX(INDIRECT("'"&amp;$B46&amp;"'!$T$6:$T$205"),MATCH($AR46&amp;"|"&amp;X$5,INDIRECT("'"&amp;$B46&amp;"'!$AF$6:$AF$205"),0))),"-"))</f>
        <v/>
      </c>
      <c r="Y46" s="38">
        <f>IF(OR(AP46="",Y$5="-"),"",IFERROR(IF(INDEX(INDIRECT("'"&amp;$B46&amp;"'!$T$6:$T$205"),MATCH($AR46&amp;"|"&amp;Y$5,INDIRECT("'"&amp;$B46&amp;"'!$AF$6:$AF$205"),0))="","",INDEX(INDIRECT("'"&amp;$B46&amp;"'!$T$6:$T$205"),MATCH($AR46&amp;"|"&amp;Y$5,INDIRECT("'"&amp;$B46&amp;"'!$AF$6:$AF$205"),0))),"-"))</f>
        <v/>
      </c>
      <c r="Z46" s="38">
        <f>IF(OR(AP46="",Z$5="-"),"",IFERROR(IF(INDEX(INDIRECT("'"&amp;$B46&amp;"'!$T$6:$T$205"),MATCH($AR46&amp;"|"&amp;Z$5,INDIRECT("'"&amp;$B46&amp;"'!$AF$6:$AF$205"),0))="","",INDEX(INDIRECT("'"&amp;$B46&amp;"'!$T$6:$T$205"),MATCH($AR46&amp;"|"&amp;Z$5,INDIRECT("'"&amp;$B46&amp;"'!$AF$6:$AF$205"),0))),"-"))</f>
        <v/>
      </c>
      <c r="AA46" s="38">
        <f>IF(OR(AP46="",AA$5="-"),"",IFERROR(IF(INDEX(INDIRECT("'"&amp;$B46&amp;"'!$T$6:$T$205"),MATCH($AR46&amp;"|"&amp;AA$5,INDIRECT("'"&amp;$B46&amp;"'!$AF$6:$AF$205"),0))="","",INDEX(INDIRECT("'"&amp;$B46&amp;"'!$T$6:$T$205"),MATCH($AR46&amp;"|"&amp;AA$5,INDIRECT("'"&amp;$B46&amp;"'!$AF$6:$AF$205"),0))),"-"))</f>
        <v/>
      </c>
      <c r="AB46" s="38">
        <f>IF(OR(AP46="",AB$5="-"),"",IFERROR(IF(INDEX(INDIRECT("'"&amp;$B46&amp;"'!$T$6:$T$205"),MATCH($AR46&amp;"|"&amp;AB$5,INDIRECT("'"&amp;$B46&amp;"'!$AF$6:$AF$205"),0))="","",INDEX(INDIRECT("'"&amp;$B46&amp;"'!$T$6:$T$205"),MATCH($AR46&amp;"|"&amp;AB$5,INDIRECT("'"&amp;$B46&amp;"'!$AF$6:$AF$205"),0))),"-"))</f>
        <v/>
      </c>
      <c r="AC46" s="38">
        <f>IF(OR(AP46="",AC$5="-"),"",IFERROR(IF(INDEX(INDIRECT("'"&amp;$B46&amp;"'!$T$6:$T$205"),MATCH($AR46&amp;"|"&amp;AC$5,INDIRECT("'"&amp;$B46&amp;"'!$AF$6:$AF$205"),0))="","",INDEX(INDIRECT("'"&amp;$B46&amp;"'!$T$6:$T$205"),MATCH($AR46&amp;"|"&amp;AC$5,INDIRECT("'"&amp;$B46&amp;"'!$AF$6:$AF$205"),0))),"-"))</f>
        <v/>
      </c>
      <c r="AD46" s="38">
        <f>IF(OR(AP46="",AD$5="-"),"",IFERROR(IF(INDEX(INDIRECT("'"&amp;$B46&amp;"'!$T$6:$T$205"),MATCH($AR46&amp;"|"&amp;AD$5,INDIRECT("'"&amp;$B46&amp;"'!$AF$6:$AF$205"),0))="","",INDEX(INDIRECT("'"&amp;$B46&amp;"'!$T$6:$T$205"),MATCH($AR46&amp;"|"&amp;AD$5,INDIRECT("'"&amp;$B46&amp;"'!$AF$6:$AF$205"),0))),"-"))</f>
        <v/>
      </c>
      <c r="AE46" s="38">
        <f>IF(OR(AP46="",AE$5="-"),"",IFERROR(IF(INDEX(INDIRECT("'"&amp;$B46&amp;"'!$T$6:$T$205"),MATCH($AR46&amp;"|"&amp;AE$5,INDIRECT("'"&amp;$B46&amp;"'!$AF$6:$AF$205"),0))="","",INDEX(INDIRECT("'"&amp;$B46&amp;"'!$T$6:$T$205"),MATCH($AR46&amp;"|"&amp;AE$5,INDIRECT("'"&amp;$B46&amp;"'!$AF$6:$AF$205"),0))),"-"))</f>
        <v/>
      </c>
      <c r="AF46" s="35">
        <f>IF(AG46="","",INDEX($P$5:$W$5,MATCH(AG46,P46:W46,0)))</f>
        <v/>
      </c>
      <c r="AG46" s="37">
        <f>IF(COUNT(P46:W46)=0,"",MIN(P46:W46))</f>
        <v/>
      </c>
      <c r="AH46" s="39">
        <f>IF(AG46="","",AG46*F46)</f>
        <v/>
      </c>
      <c r="AI46" s="39">
        <f>IF(COUNT(P46:W46)&lt;2,"",(MAX(P46:W46)-MIN(P46:W46))*F46)</f>
        <v/>
      </c>
      <c r="AJ46" s="20" t="n"/>
      <c r="AP46">
        <f>IF(41&gt;MAX($AN$6:$AN$9),"",COUNTIF($AN$6:$AN$9,"&lt;"&amp;41)+1)</f>
        <v/>
      </c>
      <c r="AQ46">
        <f>IF(AP46="","",41-INDEX($AO$6:$AO$9,AP46))</f>
        <v/>
      </c>
      <c r="AR46">
        <f>IF(AP46="","",INDEX(INDIRECT("'"&amp;$B46&amp;"'!$AE$6:$AE$205"),MATCH(AQ46,INDIRECT("'"&amp;$B46&amp;"'!$AI$6:$AI$205"),0)))</f>
        <v/>
      </c>
    </row>
    <row r="47">
      <c r="A47" s="34">
        <f>IF(AP47="","",42)</f>
        <v/>
      </c>
      <c r="B47" s="35">
        <f>IF(AP47="","",INDEX($AL$6:$AL$9,AP47))</f>
        <v/>
      </c>
      <c r="C47" s="34">
        <f>IF(AP47="","",INDEX(INDIRECT("'"&amp;$B47&amp;"'!$B$6:$B$205"),MATCH($AR47,INDIRECT("'"&amp;$B47&amp;"'!$AE$6:$AE$205"),0)))</f>
        <v/>
      </c>
      <c r="D47" s="34">
        <f>IF(AP47="","",INDEX(INDIRECT("'"&amp;$B47&amp;"'!$D$6:$D$205"),MATCH($AR47,INDIRECT("'"&amp;$B47&amp;"'!$AE$6:$AE$205"),0)))</f>
        <v/>
      </c>
      <c r="E47" s="36">
        <f>IF(AP47="","",INDEX(INDIRECT("'"&amp;$B47&amp;"'!$F$6:$F$205"),MATCH($AR47,INDIRECT("'"&amp;$B47&amp;"'!$AE$6:$AE$205"),0)))</f>
        <v/>
      </c>
      <c r="F47" s="34">
        <f>IF(AP47="","",INDEX(INDIRECT("'"&amp;$B47&amp;"'!$K$6:$K$205"),MATCH($AR47,INDIRECT("'"&amp;$B47&amp;"'!$AE$6:$AE$205"),0)))</f>
        <v/>
      </c>
      <c r="G47" s="34">
        <f>IF(AP47="","",INDEX(INDIRECT("'"&amp;$B47&amp;"'!$L$6:$L$205"),MATCH($AR47,INDIRECT("'"&amp;$B47&amp;"'!$AE$6:$AE$205"),0)))</f>
        <v/>
      </c>
      <c r="H47" s="34">
        <f>IF(OR(AP47="",H$5="-"),"",IFERROR(IF(INDEX(INDIRECT("'"&amp;$B47&amp;"'!$N$6:$N$205"),MATCH($AR47&amp;"|"&amp;H$5,INDIRECT("'"&amp;$B47&amp;"'!$AF$6:$AF$205"),0))="","",INDEX(INDIRECT("'"&amp;$B47&amp;"'!$N$6:$N$205"),MATCH($AR47&amp;"|"&amp;H$5,INDIRECT("'"&amp;$B47&amp;"'!$AF$6:$AF$205"),0))),"-"))</f>
        <v/>
      </c>
      <c r="I47" s="34">
        <f>IF(OR(AP47="",I$5="-"),"",IFERROR(IF(INDEX(INDIRECT("'"&amp;$B47&amp;"'!$N$6:$N$205"),MATCH($AR47&amp;"|"&amp;I$5,INDIRECT("'"&amp;$B47&amp;"'!$AF$6:$AF$205"),0))="","",INDEX(INDIRECT("'"&amp;$B47&amp;"'!$N$6:$N$205"),MATCH($AR47&amp;"|"&amp;I$5,INDIRECT("'"&amp;$B47&amp;"'!$AF$6:$AF$205"),0))),"-"))</f>
        <v/>
      </c>
      <c r="J47" s="34">
        <f>IF(OR(AP47="",J$5="-"),"",IFERROR(IF(INDEX(INDIRECT("'"&amp;$B47&amp;"'!$N$6:$N$205"),MATCH($AR47&amp;"|"&amp;J$5,INDIRECT("'"&amp;$B47&amp;"'!$AF$6:$AF$205"),0))="","",INDEX(INDIRECT("'"&amp;$B47&amp;"'!$N$6:$N$205"),MATCH($AR47&amp;"|"&amp;J$5,INDIRECT("'"&amp;$B47&amp;"'!$AF$6:$AF$205"),0))),"-"))</f>
        <v/>
      </c>
      <c r="K47" s="34">
        <f>IF(OR(AP47="",K$5="-"),"",IFERROR(IF(INDEX(INDIRECT("'"&amp;$B47&amp;"'!$N$6:$N$205"),MATCH($AR47&amp;"|"&amp;K$5,INDIRECT("'"&amp;$B47&amp;"'!$AF$6:$AF$205"),0))="","",INDEX(INDIRECT("'"&amp;$B47&amp;"'!$N$6:$N$205"),MATCH($AR47&amp;"|"&amp;K$5,INDIRECT("'"&amp;$B47&amp;"'!$AF$6:$AF$205"),0))),"-"))</f>
        <v/>
      </c>
      <c r="L47" s="34">
        <f>IF(OR(AP47="",L$5="-"),"",IFERROR(IF(INDEX(INDIRECT("'"&amp;$B47&amp;"'!$N$6:$N$205"),MATCH($AR47&amp;"|"&amp;L$5,INDIRECT("'"&amp;$B47&amp;"'!$AF$6:$AF$205"),0))="","",INDEX(INDIRECT("'"&amp;$B47&amp;"'!$N$6:$N$205"),MATCH($AR47&amp;"|"&amp;L$5,INDIRECT("'"&amp;$B47&amp;"'!$AF$6:$AF$205"),0))),"-"))</f>
        <v/>
      </c>
      <c r="M47" s="34">
        <f>IF(OR(AP47="",M$5="-"),"",IFERROR(IF(INDEX(INDIRECT("'"&amp;$B47&amp;"'!$N$6:$N$205"),MATCH($AR47&amp;"|"&amp;M$5,INDIRECT("'"&amp;$B47&amp;"'!$AF$6:$AF$205"),0))="","",INDEX(INDIRECT("'"&amp;$B47&amp;"'!$N$6:$N$205"),MATCH($AR47&amp;"|"&amp;M$5,INDIRECT("'"&amp;$B47&amp;"'!$AF$6:$AF$205"),0))),"-"))</f>
        <v/>
      </c>
      <c r="N47" s="34">
        <f>IF(OR(AP47="",N$5="-"),"",IFERROR(IF(INDEX(INDIRECT("'"&amp;$B47&amp;"'!$N$6:$N$205"),MATCH($AR47&amp;"|"&amp;N$5,INDIRECT("'"&amp;$B47&amp;"'!$AF$6:$AF$205"),0))="","",INDEX(INDIRECT("'"&amp;$B47&amp;"'!$N$6:$N$205"),MATCH($AR47&amp;"|"&amp;N$5,INDIRECT("'"&amp;$B47&amp;"'!$AF$6:$AF$205"),0))),"-"))</f>
        <v/>
      </c>
      <c r="O47" s="34">
        <f>IF(OR(AP47="",O$5="-"),"",IFERROR(IF(INDEX(INDIRECT("'"&amp;$B47&amp;"'!$N$6:$N$205"),MATCH($AR47&amp;"|"&amp;O$5,INDIRECT("'"&amp;$B47&amp;"'!$AF$6:$AF$205"),0))="","",INDEX(INDIRECT("'"&amp;$B47&amp;"'!$N$6:$N$205"),MATCH($AR47&amp;"|"&amp;O$5,INDIRECT("'"&amp;$B47&amp;"'!$AF$6:$AF$205"),0))),"-"))</f>
        <v/>
      </c>
      <c r="P47" s="37">
        <f>IF(OR(AP47="",P$5="-"),"",IFERROR(IF(INDEX(INDIRECT("'"&amp;$B47&amp;"'!$R$6:$R$205"),MATCH($AR47&amp;"|"&amp;P$5,INDIRECT("'"&amp;$B47&amp;"'!$AF$6:$AF$205"),0))="","",INDEX(INDIRECT("'"&amp;$B47&amp;"'!$R$6:$R$205"),MATCH($AR47&amp;"|"&amp;P$5,INDIRECT("'"&amp;$B47&amp;"'!$AF$6:$AF$205"),0))),"-"))</f>
        <v/>
      </c>
      <c r="Q47" s="37">
        <f>IF(OR(AP47="",Q$5="-"),"",IFERROR(IF(INDEX(INDIRECT("'"&amp;$B47&amp;"'!$R$6:$R$205"),MATCH($AR47&amp;"|"&amp;Q$5,INDIRECT("'"&amp;$B47&amp;"'!$AF$6:$AF$205"),0))="","",INDEX(INDIRECT("'"&amp;$B47&amp;"'!$R$6:$R$205"),MATCH($AR47&amp;"|"&amp;Q$5,INDIRECT("'"&amp;$B47&amp;"'!$AF$6:$AF$205"),0))),"-"))</f>
        <v/>
      </c>
      <c r="R47" s="37">
        <f>IF(OR(AP47="",R$5="-"),"",IFERROR(IF(INDEX(INDIRECT("'"&amp;$B47&amp;"'!$R$6:$R$205"),MATCH($AR47&amp;"|"&amp;R$5,INDIRECT("'"&amp;$B47&amp;"'!$AF$6:$AF$205"),0))="","",INDEX(INDIRECT("'"&amp;$B47&amp;"'!$R$6:$R$205"),MATCH($AR47&amp;"|"&amp;R$5,INDIRECT("'"&amp;$B47&amp;"'!$AF$6:$AF$205"),0))),"-"))</f>
        <v/>
      </c>
      <c r="S47" s="37">
        <f>IF(OR(AP47="",S$5="-"),"",IFERROR(IF(INDEX(INDIRECT("'"&amp;$B47&amp;"'!$R$6:$R$205"),MATCH($AR47&amp;"|"&amp;S$5,INDIRECT("'"&amp;$B47&amp;"'!$AF$6:$AF$205"),0))="","",INDEX(INDIRECT("'"&amp;$B47&amp;"'!$R$6:$R$205"),MATCH($AR47&amp;"|"&amp;S$5,INDIRECT("'"&amp;$B47&amp;"'!$AF$6:$AF$205"),0))),"-"))</f>
        <v/>
      </c>
      <c r="T47" s="37">
        <f>IF(OR(AP47="",T$5="-"),"",IFERROR(IF(INDEX(INDIRECT("'"&amp;$B47&amp;"'!$R$6:$R$205"),MATCH($AR47&amp;"|"&amp;T$5,INDIRECT("'"&amp;$B47&amp;"'!$AF$6:$AF$205"),0))="","",INDEX(INDIRECT("'"&amp;$B47&amp;"'!$R$6:$R$205"),MATCH($AR47&amp;"|"&amp;T$5,INDIRECT("'"&amp;$B47&amp;"'!$AF$6:$AF$205"),0))),"-"))</f>
        <v/>
      </c>
      <c r="U47" s="37">
        <f>IF(OR(AP47="",U$5="-"),"",IFERROR(IF(INDEX(INDIRECT("'"&amp;$B47&amp;"'!$R$6:$R$205"),MATCH($AR47&amp;"|"&amp;U$5,INDIRECT("'"&amp;$B47&amp;"'!$AF$6:$AF$205"),0))="","",INDEX(INDIRECT("'"&amp;$B47&amp;"'!$R$6:$R$205"),MATCH($AR47&amp;"|"&amp;U$5,INDIRECT("'"&amp;$B47&amp;"'!$AF$6:$AF$205"),0))),"-"))</f>
        <v/>
      </c>
      <c r="V47" s="37">
        <f>IF(OR(AP47="",V$5="-"),"",IFERROR(IF(INDEX(INDIRECT("'"&amp;$B47&amp;"'!$R$6:$R$205"),MATCH($AR47&amp;"|"&amp;V$5,INDIRECT("'"&amp;$B47&amp;"'!$AF$6:$AF$205"),0))="","",INDEX(INDIRECT("'"&amp;$B47&amp;"'!$R$6:$R$205"),MATCH($AR47&amp;"|"&amp;V$5,INDIRECT("'"&amp;$B47&amp;"'!$AF$6:$AF$205"),0))),"-"))</f>
        <v/>
      </c>
      <c r="W47" s="37">
        <f>IF(OR(AP47="",W$5="-"),"",IFERROR(IF(INDEX(INDIRECT("'"&amp;$B47&amp;"'!$R$6:$R$205"),MATCH($AR47&amp;"|"&amp;W$5,INDIRECT("'"&amp;$B47&amp;"'!$AF$6:$AF$205"),0))="","",INDEX(INDIRECT("'"&amp;$B47&amp;"'!$R$6:$R$205"),MATCH($AR47&amp;"|"&amp;W$5,INDIRECT("'"&amp;$B47&amp;"'!$AF$6:$AF$205"),0))),"-"))</f>
        <v/>
      </c>
      <c r="X47" s="38">
        <f>IF(OR(AP47="",X$5="-"),"",IFERROR(IF(INDEX(INDIRECT("'"&amp;$B47&amp;"'!$T$6:$T$205"),MATCH($AR47&amp;"|"&amp;X$5,INDIRECT("'"&amp;$B47&amp;"'!$AF$6:$AF$205"),0))="","",INDEX(INDIRECT("'"&amp;$B47&amp;"'!$T$6:$T$205"),MATCH($AR47&amp;"|"&amp;X$5,INDIRECT("'"&amp;$B47&amp;"'!$AF$6:$AF$205"),0))),"-"))</f>
        <v/>
      </c>
      <c r="Y47" s="38">
        <f>IF(OR(AP47="",Y$5="-"),"",IFERROR(IF(INDEX(INDIRECT("'"&amp;$B47&amp;"'!$T$6:$T$205"),MATCH($AR47&amp;"|"&amp;Y$5,INDIRECT("'"&amp;$B47&amp;"'!$AF$6:$AF$205"),0))="","",INDEX(INDIRECT("'"&amp;$B47&amp;"'!$T$6:$T$205"),MATCH($AR47&amp;"|"&amp;Y$5,INDIRECT("'"&amp;$B47&amp;"'!$AF$6:$AF$205"),0))),"-"))</f>
        <v/>
      </c>
      <c r="Z47" s="38">
        <f>IF(OR(AP47="",Z$5="-"),"",IFERROR(IF(INDEX(INDIRECT("'"&amp;$B47&amp;"'!$T$6:$T$205"),MATCH($AR47&amp;"|"&amp;Z$5,INDIRECT("'"&amp;$B47&amp;"'!$AF$6:$AF$205"),0))="","",INDEX(INDIRECT("'"&amp;$B47&amp;"'!$T$6:$T$205"),MATCH($AR47&amp;"|"&amp;Z$5,INDIRECT("'"&amp;$B47&amp;"'!$AF$6:$AF$205"),0))),"-"))</f>
        <v/>
      </c>
      <c r="AA47" s="38">
        <f>IF(OR(AP47="",AA$5="-"),"",IFERROR(IF(INDEX(INDIRECT("'"&amp;$B47&amp;"'!$T$6:$T$205"),MATCH($AR47&amp;"|"&amp;AA$5,INDIRECT("'"&amp;$B47&amp;"'!$AF$6:$AF$205"),0))="","",INDEX(INDIRECT("'"&amp;$B47&amp;"'!$T$6:$T$205"),MATCH($AR47&amp;"|"&amp;AA$5,INDIRECT("'"&amp;$B47&amp;"'!$AF$6:$AF$205"),0))),"-"))</f>
        <v/>
      </c>
      <c r="AB47" s="38">
        <f>IF(OR(AP47="",AB$5="-"),"",IFERROR(IF(INDEX(INDIRECT("'"&amp;$B47&amp;"'!$T$6:$T$205"),MATCH($AR47&amp;"|"&amp;AB$5,INDIRECT("'"&amp;$B47&amp;"'!$AF$6:$AF$205"),0))="","",INDEX(INDIRECT("'"&amp;$B47&amp;"'!$T$6:$T$205"),MATCH($AR47&amp;"|"&amp;AB$5,INDIRECT("'"&amp;$B47&amp;"'!$AF$6:$AF$205"),0))),"-"))</f>
        <v/>
      </c>
      <c r="AC47" s="38">
        <f>IF(OR(AP47="",AC$5="-"),"",IFERROR(IF(INDEX(INDIRECT("'"&amp;$B47&amp;"'!$T$6:$T$205"),MATCH($AR47&amp;"|"&amp;AC$5,INDIRECT("'"&amp;$B47&amp;"'!$AF$6:$AF$205"),0))="","",INDEX(INDIRECT("'"&amp;$B47&amp;"'!$T$6:$T$205"),MATCH($AR47&amp;"|"&amp;AC$5,INDIRECT("'"&amp;$B47&amp;"'!$AF$6:$AF$205"),0))),"-"))</f>
        <v/>
      </c>
      <c r="AD47" s="38">
        <f>IF(OR(AP47="",AD$5="-"),"",IFERROR(IF(INDEX(INDIRECT("'"&amp;$B47&amp;"'!$T$6:$T$205"),MATCH($AR47&amp;"|"&amp;AD$5,INDIRECT("'"&amp;$B47&amp;"'!$AF$6:$AF$205"),0))="","",INDEX(INDIRECT("'"&amp;$B47&amp;"'!$T$6:$T$205"),MATCH($AR47&amp;"|"&amp;AD$5,INDIRECT("'"&amp;$B47&amp;"'!$AF$6:$AF$205"),0))),"-"))</f>
        <v/>
      </c>
      <c r="AE47" s="38">
        <f>IF(OR(AP47="",AE$5="-"),"",IFERROR(IF(INDEX(INDIRECT("'"&amp;$B47&amp;"'!$T$6:$T$205"),MATCH($AR47&amp;"|"&amp;AE$5,INDIRECT("'"&amp;$B47&amp;"'!$AF$6:$AF$205"),0))="","",INDEX(INDIRECT("'"&amp;$B47&amp;"'!$T$6:$T$205"),MATCH($AR47&amp;"|"&amp;AE$5,INDIRECT("'"&amp;$B47&amp;"'!$AF$6:$AF$205"),0))),"-"))</f>
        <v/>
      </c>
      <c r="AF47" s="35">
        <f>IF(AG47="","",INDEX($P$5:$W$5,MATCH(AG47,P47:W47,0)))</f>
        <v/>
      </c>
      <c r="AG47" s="37">
        <f>IF(COUNT(P47:W47)=0,"",MIN(P47:W47))</f>
        <v/>
      </c>
      <c r="AH47" s="39">
        <f>IF(AG47="","",AG47*F47)</f>
        <v/>
      </c>
      <c r="AI47" s="39">
        <f>IF(COUNT(P47:W47)&lt;2,"",(MAX(P47:W47)-MIN(P47:W47))*F47)</f>
        <v/>
      </c>
      <c r="AJ47" s="20" t="n"/>
      <c r="AP47">
        <f>IF(42&gt;MAX($AN$6:$AN$9),"",COUNTIF($AN$6:$AN$9,"&lt;"&amp;42)+1)</f>
        <v/>
      </c>
      <c r="AQ47">
        <f>IF(AP47="","",42-INDEX($AO$6:$AO$9,AP47))</f>
        <v/>
      </c>
      <c r="AR47">
        <f>IF(AP47="","",INDEX(INDIRECT("'"&amp;$B47&amp;"'!$AE$6:$AE$205"),MATCH(AQ47,INDIRECT("'"&amp;$B47&amp;"'!$AI$6:$AI$205"),0)))</f>
        <v/>
      </c>
    </row>
    <row r="48">
      <c r="A48" s="34">
        <f>IF(AP48="","",43)</f>
        <v/>
      </c>
      <c r="B48" s="35">
        <f>IF(AP48="","",INDEX($AL$6:$AL$9,AP48))</f>
        <v/>
      </c>
      <c r="C48" s="34">
        <f>IF(AP48="","",INDEX(INDIRECT("'"&amp;$B48&amp;"'!$B$6:$B$205"),MATCH($AR48,INDIRECT("'"&amp;$B48&amp;"'!$AE$6:$AE$205"),0)))</f>
        <v/>
      </c>
      <c r="D48" s="34">
        <f>IF(AP48="","",INDEX(INDIRECT("'"&amp;$B48&amp;"'!$D$6:$D$205"),MATCH($AR48,INDIRECT("'"&amp;$B48&amp;"'!$AE$6:$AE$205"),0)))</f>
        <v/>
      </c>
      <c r="E48" s="36">
        <f>IF(AP48="","",INDEX(INDIRECT("'"&amp;$B48&amp;"'!$F$6:$F$205"),MATCH($AR48,INDIRECT("'"&amp;$B48&amp;"'!$AE$6:$AE$205"),0)))</f>
        <v/>
      </c>
      <c r="F48" s="34">
        <f>IF(AP48="","",INDEX(INDIRECT("'"&amp;$B48&amp;"'!$K$6:$K$205"),MATCH($AR48,INDIRECT("'"&amp;$B48&amp;"'!$AE$6:$AE$205"),0)))</f>
        <v/>
      </c>
      <c r="G48" s="34">
        <f>IF(AP48="","",INDEX(INDIRECT("'"&amp;$B48&amp;"'!$L$6:$L$205"),MATCH($AR48,INDIRECT("'"&amp;$B48&amp;"'!$AE$6:$AE$205"),0)))</f>
        <v/>
      </c>
      <c r="H48" s="34">
        <f>IF(OR(AP48="",H$5="-"),"",IFERROR(IF(INDEX(INDIRECT("'"&amp;$B48&amp;"'!$N$6:$N$205"),MATCH($AR48&amp;"|"&amp;H$5,INDIRECT("'"&amp;$B48&amp;"'!$AF$6:$AF$205"),0))="","",INDEX(INDIRECT("'"&amp;$B48&amp;"'!$N$6:$N$205"),MATCH($AR48&amp;"|"&amp;H$5,INDIRECT("'"&amp;$B48&amp;"'!$AF$6:$AF$205"),0))),"-"))</f>
        <v/>
      </c>
      <c r="I48" s="34">
        <f>IF(OR(AP48="",I$5="-"),"",IFERROR(IF(INDEX(INDIRECT("'"&amp;$B48&amp;"'!$N$6:$N$205"),MATCH($AR48&amp;"|"&amp;I$5,INDIRECT("'"&amp;$B48&amp;"'!$AF$6:$AF$205"),0))="","",INDEX(INDIRECT("'"&amp;$B48&amp;"'!$N$6:$N$205"),MATCH($AR48&amp;"|"&amp;I$5,INDIRECT("'"&amp;$B48&amp;"'!$AF$6:$AF$205"),0))),"-"))</f>
        <v/>
      </c>
      <c r="J48" s="34">
        <f>IF(OR(AP48="",J$5="-"),"",IFERROR(IF(INDEX(INDIRECT("'"&amp;$B48&amp;"'!$N$6:$N$205"),MATCH($AR48&amp;"|"&amp;J$5,INDIRECT("'"&amp;$B48&amp;"'!$AF$6:$AF$205"),0))="","",INDEX(INDIRECT("'"&amp;$B48&amp;"'!$N$6:$N$205"),MATCH($AR48&amp;"|"&amp;J$5,INDIRECT("'"&amp;$B48&amp;"'!$AF$6:$AF$205"),0))),"-"))</f>
        <v/>
      </c>
      <c r="K48" s="34">
        <f>IF(OR(AP48="",K$5="-"),"",IFERROR(IF(INDEX(INDIRECT("'"&amp;$B48&amp;"'!$N$6:$N$205"),MATCH($AR48&amp;"|"&amp;K$5,INDIRECT("'"&amp;$B48&amp;"'!$AF$6:$AF$205"),0))="","",INDEX(INDIRECT("'"&amp;$B48&amp;"'!$N$6:$N$205"),MATCH($AR48&amp;"|"&amp;K$5,INDIRECT("'"&amp;$B48&amp;"'!$AF$6:$AF$205"),0))),"-"))</f>
        <v/>
      </c>
      <c r="L48" s="34">
        <f>IF(OR(AP48="",L$5="-"),"",IFERROR(IF(INDEX(INDIRECT("'"&amp;$B48&amp;"'!$N$6:$N$205"),MATCH($AR48&amp;"|"&amp;L$5,INDIRECT("'"&amp;$B48&amp;"'!$AF$6:$AF$205"),0))="","",INDEX(INDIRECT("'"&amp;$B48&amp;"'!$N$6:$N$205"),MATCH($AR48&amp;"|"&amp;L$5,INDIRECT("'"&amp;$B48&amp;"'!$AF$6:$AF$205"),0))),"-"))</f>
        <v/>
      </c>
      <c r="M48" s="34">
        <f>IF(OR(AP48="",M$5="-"),"",IFERROR(IF(INDEX(INDIRECT("'"&amp;$B48&amp;"'!$N$6:$N$205"),MATCH($AR48&amp;"|"&amp;M$5,INDIRECT("'"&amp;$B48&amp;"'!$AF$6:$AF$205"),0))="","",INDEX(INDIRECT("'"&amp;$B48&amp;"'!$N$6:$N$205"),MATCH($AR48&amp;"|"&amp;M$5,INDIRECT("'"&amp;$B48&amp;"'!$AF$6:$AF$205"),0))),"-"))</f>
        <v/>
      </c>
      <c r="N48" s="34">
        <f>IF(OR(AP48="",N$5="-"),"",IFERROR(IF(INDEX(INDIRECT("'"&amp;$B48&amp;"'!$N$6:$N$205"),MATCH($AR48&amp;"|"&amp;N$5,INDIRECT("'"&amp;$B48&amp;"'!$AF$6:$AF$205"),0))="","",INDEX(INDIRECT("'"&amp;$B48&amp;"'!$N$6:$N$205"),MATCH($AR48&amp;"|"&amp;N$5,INDIRECT("'"&amp;$B48&amp;"'!$AF$6:$AF$205"),0))),"-"))</f>
        <v/>
      </c>
      <c r="O48" s="34">
        <f>IF(OR(AP48="",O$5="-"),"",IFERROR(IF(INDEX(INDIRECT("'"&amp;$B48&amp;"'!$N$6:$N$205"),MATCH($AR48&amp;"|"&amp;O$5,INDIRECT("'"&amp;$B48&amp;"'!$AF$6:$AF$205"),0))="","",INDEX(INDIRECT("'"&amp;$B48&amp;"'!$N$6:$N$205"),MATCH($AR48&amp;"|"&amp;O$5,INDIRECT("'"&amp;$B48&amp;"'!$AF$6:$AF$205"),0))),"-"))</f>
        <v/>
      </c>
      <c r="P48" s="37">
        <f>IF(OR(AP48="",P$5="-"),"",IFERROR(IF(INDEX(INDIRECT("'"&amp;$B48&amp;"'!$R$6:$R$205"),MATCH($AR48&amp;"|"&amp;P$5,INDIRECT("'"&amp;$B48&amp;"'!$AF$6:$AF$205"),0))="","",INDEX(INDIRECT("'"&amp;$B48&amp;"'!$R$6:$R$205"),MATCH($AR48&amp;"|"&amp;P$5,INDIRECT("'"&amp;$B48&amp;"'!$AF$6:$AF$205"),0))),"-"))</f>
        <v/>
      </c>
      <c r="Q48" s="37">
        <f>IF(OR(AP48="",Q$5="-"),"",IFERROR(IF(INDEX(INDIRECT("'"&amp;$B48&amp;"'!$R$6:$R$205"),MATCH($AR48&amp;"|"&amp;Q$5,INDIRECT("'"&amp;$B48&amp;"'!$AF$6:$AF$205"),0))="","",INDEX(INDIRECT("'"&amp;$B48&amp;"'!$R$6:$R$205"),MATCH($AR48&amp;"|"&amp;Q$5,INDIRECT("'"&amp;$B48&amp;"'!$AF$6:$AF$205"),0))),"-"))</f>
        <v/>
      </c>
      <c r="R48" s="37">
        <f>IF(OR(AP48="",R$5="-"),"",IFERROR(IF(INDEX(INDIRECT("'"&amp;$B48&amp;"'!$R$6:$R$205"),MATCH($AR48&amp;"|"&amp;R$5,INDIRECT("'"&amp;$B48&amp;"'!$AF$6:$AF$205"),0))="","",INDEX(INDIRECT("'"&amp;$B48&amp;"'!$R$6:$R$205"),MATCH($AR48&amp;"|"&amp;R$5,INDIRECT("'"&amp;$B48&amp;"'!$AF$6:$AF$205"),0))),"-"))</f>
        <v/>
      </c>
      <c r="S48" s="37">
        <f>IF(OR(AP48="",S$5="-"),"",IFERROR(IF(INDEX(INDIRECT("'"&amp;$B48&amp;"'!$R$6:$R$205"),MATCH($AR48&amp;"|"&amp;S$5,INDIRECT("'"&amp;$B48&amp;"'!$AF$6:$AF$205"),0))="","",INDEX(INDIRECT("'"&amp;$B48&amp;"'!$R$6:$R$205"),MATCH($AR48&amp;"|"&amp;S$5,INDIRECT("'"&amp;$B48&amp;"'!$AF$6:$AF$205"),0))),"-"))</f>
        <v/>
      </c>
      <c r="T48" s="37">
        <f>IF(OR(AP48="",T$5="-"),"",IFERROR(IF(INDEX(INDIRECT("'"&amp;$B48&amp;"'!$R$6:$R$205"),MATCH($AR48&amp;"|"&amp;T$5,INDIRECT("'"&amp;$B48&amp;"'!$AF$6:$AF$205"),0))="","",INDEX(INDIRECT("'"&amp;$B48&amp;"'!$R$6:$R$205"),MATCH($AR48&amp;"|"&amp;T$5,INDIRECT("'"&amp;$B48&amp;"'!$AF$6:$AF$205"),0))),"-"))</f>
        <v/>
      </c>
      <c r="U48" s="37">
        <f>IF(OR(AP48="",U$5="-"),"",IFERROR(IF(INDEX(INDIRECT("'"&amp;$B48&amp;"'!$R$6:$R$205"),MATCH($AR48&amp;"|"&amp;U$5,INDIRECT("'"&amp;$B48&amp;"'!$AF$6:$AF$205"),0))="","",INDEX(INDIRECT("'"&amp;$B48&amp;"'!$R$6:$R$205"),MATCH($AR48&amp;"|"&amp;U$5,INDIRECT("'"&amp;$B48&amp;"'!$AF$6:$AF$205"),0))),"-"))</f>
        <v/>
      </c>
      <c r="V48" s="37">
        <f>IF(OR(AP48="",V$5="-"),"",IFERROR(IF(INDEX(INDIRECT("'"&amp;$B48&amp;"'!$R$6:$R$205"),MATCH($AR48&amp;"|"&amp;V$5,INDIRECT("'"&amp;$B48&amp;"'!$AF$6:$AF$205"),0))="","",INDEX(INDIRECT("'"&amp;$B48&amp;"'!$R$6:$R$205"),MATCH($AR48&amp;"|"&amp;V$5,INDIRECT("'"&amp;$B48&amp;"'!$AF$6:$AF$205"),0))),"-"))</f>
        <v/>
      </c>
      <c r="W48" s="37">
        <f>IF(OR(AP48="",W$5="-"),"",IFERROR(IF(INDEX(INDIRECT("'"&amp;$B48&amp;"'!$R$6:$R$205"),MATCH($AR48&amp;"|"&amp;W$5,INDIRECT("'"&amp;$B48&amp;"'!$AF$6:$AF$205"),0))="","",INDEX(INDIRECT("'"&amp;$B48&amp;"'!$R$6:$R$205"),MATCH($AR48&amp;"|"&amp;W$5,INDIRECT("'"&amp;$B48&amp;"'!$AF$6:$AF$205"),0))),"-"))</f>
        <v/>
      </c>
      <c r="X48" s="38">
        <f>IF(OR(AP48="",X$5="-"),"",IFERROR(IF(INDEX(INDIRECT("'"&amp;$B48&amp;"'!$T$6:$T$205"),MATCH($AR48&amp;"|"&amp;X$5,INDIRECT("'"&amp;$B48&amp;"'!$AF$6:$AF$205"),0))="","",INDEX(INDIRECT("'"&amp;$B48&amp;"'!$T$6:$T$205"),MATCH($AR48&amp;"|"&amp;X$5,INDIRECT("'"&amp;$B48&amp;"'!$AF$6:$AF$205"),0))),"-"))</f>
        <v/>
      </c>
      <c r="Y48" s="38">
        <f>IF(OR(AP48="",Y$5="-"),"",IFERROR(IF(INDEX(INDIRECT("'"&amp;$B48&amp;"'!$T$6:$T$205"),MATCH($AR48&amp;"|"&amp;Y$5,INDIRECT("'"&amp;$B48&amp;"'!$AF$6:$AF$205"),0))="","",INDEX(INDIRECT("'"&amp;$B48&amp;"'!$T$6:$T$205"),MATCH($AR48&amp;"|"&amp;Y$5,INDIRECT("'"&amp;$B48&amp;"'!$AF$6:$AF$205"),0))),"-"))</f>
        <v/>
      </c>
      <c r="Z48" s="38">
        <f>IF(OR(AP48="",Z$5="-"),"",IFERROR(IF(INDEX(INDIRECT("'"&amp;$B48&amp;"'!$T$6:$T$205"),MATCH($AR48&amp;"|"&amp;Z$5,INDIRECT("'"&amp;$B48&amp;"'!$AF$6:$AF$205"),0))="","",INDEX(INDIRECT("'"&amp;$B48&amp;"'!$T$6:$T$205"),MATCH($AR48&amp;"|"&amp;Z$5,INDIRECT("'"&amp;$B48&amp;"'!$AF$6:$AF$205"),0))),"-"))</f>
        <v/>
      </c>
      <c r="AA48" s="38">
        <f>IF(OR(AP48="",AA$5="-"),"",IFERROR(IF(INDEX(INDIRECT("'"&amp;$B48&amp;"'!$T$6:$T$205"),MATCH($AR48&amp;"|"&amp;AA$5,INDIRECT("'"&amp;$B48&amp;"'!$AF$6:$AF$205"),0))="","",INDEX(INDIRECT("'"&amp;$B48&amp;"'!$T$6:$T$205"),MATCH($AR48&amp;"|"&amp;AA$5,INDIRECT("'"&amp;$B48&amp;"'!$AF$6:$AF$205"),0))),"-"))</f>
        <v/>
      </c>
      <c r="AB48" s="38">
        <f>IF(OR(AP48="",AB$5="-"),"",IFERROR(IF(INDEX(INDIRECT("'"&amp;$B48&amp;"'!$T$6:$T$205"),MATCH($AR48&amp;"|"&amp;AB$5,INDIRECT("'"&amp;$B48&amp;"'!$AF$6:$AF$205"),0))="","",INDEX(INDIRECT("'"&amp;$B48&amp;"'!$T$6:$T$205"),MATCH($AR48&amp;"|"&amp;AB$5,INDIRECT("'"&amp;$B48&amp;"'!$AF$6:$AF$205"),0))),"-"))</f>
        <v/>
      </c>
      <c r="AC48" s="38">
        <f>IF(OR(AP48="",AC$5="-"),"",IFERROR(IF(INDEX(INDIRECT("'"&amp;$B48&amp;"'!$T$6:$T$205"),MATCH($AR48&amp;"|"&amp;AC$5,INDIRECT("'"&amp;$B48&amp;"'!$AF$6:$AF$205"),0))="","",INDEX(INDIRECT("'"&amp;$B48&amp;"'!$T$6:$T$205"),MATCH($AR48&amp;"|"&amp;AC$5,INDIRECT("'"&amp;$B48&amp;"'!$AF$6:$AF$205"),0))),"-"))</f>
        <v/>
      </c>
      <c r="AD48" s="38">
        <f>IF(OR(AP48="",AD$5="-"),"",IFERROR(IF(INDEX(INDIRECT("'"&amp;$B48&amp;"'!$T$6:$T$205"),MATCH($AR48&amp;"|"&amp;AD$5,INDIRECT("'"&amp;$B48&amp;"'!$AF$6:$AF$205"),0))="","",INDEX(INDIRECT("'"&amp;$B48&amp;"'!$T$6:$T$205"),MATCH($AR48&amp;"|"&amp;AD$5,INDIRECT("'"&amp;$B48&amp;"'!$AF$6:$AF$205"),0))),"-"))</f>
        <v/>
      </c>
      <c r="AE48" s="38">
        <f>IF(OR(AP48="",AE$5="-"),"",IFERROR(IF(INDEX(INDIRECT("'"&amp;$B48&amp;"'!$T$6:$T$205"),MATCH($AR48&amp;"|"&amp;AE$5,INDIRECT("'"&amp;$B48&amp;"'!$AF$6:$AF$205"),0))="","",INDEX(INDIRECT("'"&amp;$B48&amp;"'!$T$6:$T$205"),MATCH($AR48&amp;"|"&amp;AE$5,INDIRECT("'"&amp;$B48&amp;"'!$AF$6:$AF$205"),0))),"-"))</f>
        <v/>
      </c>
      <c r="AF48" s="35">
        <f>IF(AG48="","",INDEX($P$5:$W$5,MATCH(AG48,P48:W48,0)))</f>
        <v/>
      </c>
      <c r="AG48" s="37">
        <f>IF(COUNT(P48:W48)=0,"",MIN(P48:W48))</f>
        <v/>
      </c>
      <c r="AH48" s="39">
        <f>IF(AG48="","",AG48*F48)</f>
        <v/>
      </c>
      <c r="AI48" s="39">
        <f>IF(COUNT(P48:W48)&lt;2,"",(MAX(P48:W48)-MIN(P48:W48))*F48)</f>
        <v/>
      </c>
      <c r="AJ48" s="20" t="n"/>
      <c r="AP48">
        <f>IF(43&gt;MAX($AN$6:$AN$9),"",COUNTIF($AN$6:$AN$9,"&lt;"&amp;43)+1)</f>
        <v/>
      </c>
      <c r="AQ48">
        <f>IF(AP48="","",43-INDEX($AO$6:$AO$9,AP48))</f>
        <v/>
      </c>
      <c r="AR48">
        <f>IF(AP48="","",INDEX(INDIRECT("'"&amp;$B48&amp;"'!$AE$6:$AE$205"),MATCH(AQ48,INDIRECT("'"&amp;$B48&amp;"'!$AI$6:$AI$205"),0)))</f>
        <v/>
      </c>
    </row>
    <row r="49">
      <c r="A49" s="34">
        <f>IF(AP49="","",44)</f>
        <v/>
      </c>
      <c r="B49" s="35">
        <f>IF(AP49="","",INDEX($AL$6:$AL$9,AP49))</f>
        <v/>
      </c>
      <c r="C49" s="34">
        <f>IF(AP49="","",INDEX(INDIRECT("'"&amp;$B49&amp;"'!$B$6:$B$205"),MATCH($AR49,INDIRECT("'"&amp;$B49&amp;"'!$AE$6:$AE$205"),0)))</f>
        <v/>
      </c>
      <c r="D49" s="34">
        <f>IF(AP49="","",INDEX(INDIRECT("'"&amp;$B49&amp;"'!$D$6:$D$205"),MATCH($AR49,INDIRECT("'"&amp;$B49&amp;"'!$AE$6:$AE$205"),0)))</f>
        <v/>
      </c>
      <c r="E49" s="36">
        <f>IF(AP49="","",INDEX(INDIRECT("'"&amp;$B49&amp;"'!$F$6:$F$205"),MATCH($AR49,INDIRECT("'"&amp;$B49&amp;"'!$AE$6:$AE$205"),0)))</f>
        <v/>
      </c>
      <c r="F49" s="34">
        <f>IF(AP49="","",INDEX(INDIRECT("'"&amp;$B49&amp;"'!$K$6:$K$205"),MATCH($AR49,INDIRECT("'"&amp;$B49&amp;"'!$AE$6:$AE$205"),0)))</f>
        <v/>
      </c>
      <c r="G49" s="34">
        <f>IF(AP49="","",INDEX(INDIRECT("'"&amp;$B49&amp;"'!$L$6:$L$205"),MATCH($AR49,INDIRECT("'"&amp;$B49&amp;"'!$AE$6:$AE$205"),0)))</f>
        <v/>
      </c>
      <c r="H49" s="34">
        <f>IF(OR(AP49="",H$5="-"),"",IFERROR(IF(INDEX(INDIRECT("'"&amp;$B49&amp;"'!$N$6:$N$205"),MATCH($AR49&amp;"|"&amp;H$5,INDIRECT("'"&amp;$B49&amp;"'!$AF$6:$AF$205"),0))="","",INDEX(INDIRECT("'"&amp;$B49&amp;"'!$N$6:$N$205"),MATCH($AR49&amp;"|"&amp;H$5,INDIRECT("'"&amp;$B49&amp;"'!$AF$6:$AF$205"),0))),"-"))</f>
        <v/>
      </c>
      <c r="I49" s="34">
        <f>IF(OR(AP49="",I$5="-"),"",IFERROR(IF(INDEX(INDIRECT("'"&amp;$B49&amp;"'!$N$6:$N$205"),MATCH($AR49&amp;"|"&amp;I$5,INDIRECT("'"&amp;$B49&amp;"'!$AF$6:$AF$205"),0))="","",INDEX(INDIRECT("'"&amp;$B49&amp;"'!$N$6:$N$205"),MATCH($AR49&amp;"|"&amp;I$5,INDIRECT("'"&amp;$B49&amp;"'!$AF$6:$AF$205"),0))),"-"))</f>
        <v/>
      </c>
      <c r="J49" s="34">
        <f>IF(OR(AP49="",J$5="-"),"",IFERROR(IF(INDEX(INDIRECT("'"&amp;$B49&amp;"'!$N$6:$N$205"),MATCH($AR49&amp;"|"&amp;J$5,INDIRECT("'"&amp;$B49&amp;"'!$AF$6:$AF$205"),0))="","",INDEX(INDIRECT("'"&amp;$B49&amp;"'!$N$6:$N$205"),MATCH($AR49&amp;"|"&amp;J$5,INDIRECT("'"&amp;$B49&amp;"'!$AF$6:$AF$205"),0))),"-"))</f>
        <v/>
      </c>
      <c r="K49" s="34">
        <f>IF(OR(AP49="",K$5="-"),"",IFERROR(IF(INDEX(INDIRECT("'"&amp;$B49&amp;"'!$N$6:$N$205"),MATCH($AR49&amp;"|"&amp;K$5,INDIRECT("'"&amp;$B49&amp;"'!$AF$6:$AF$205"),0))="","",INDEX(INDIRECT("'"&amp;$B49&amp;"'!$N$6:$N$205"),MATCH($AR49&amp;"|"&amp;K$5,INDIRECT("'"&amp;$B49&amp;"'!$AF$6:$AF$205"),0))),"-"))</f>
        <v/>
      </c>
      <c r="L49" s="34">
        <f>IF(OR(AP49="",L$5="-"),"",IFERROR(IF(INDEX(INDIRECT("'"&amp;$B49&amp;"'!$N$6:$N$205"),MATCH($AR49&amp;"|"&amp;L$5,INDIRECT("'"&amp;$B49&amp;"'!$AF$6:$AF$205"),0))="","",INDEX(INDIRECT("'"&amp;$B49&amp;"'!$N$6:$N$205"),MATCH($AR49&amp;"|"&amp;L$5,INDIRECT("'"&amp;$B49&amp;"'!$AF$6:$AF$205"),0))),"-"))</f>
        <v/>
      </c>
      <c r="M49" s="34">
        <f>IF(OR(AP49="",M$5="-"),"",IFERROR(IF(INDEX(INDIRECT("'"&amp;$B49&amp;"'!$N$6:$N$205"),MATCH($AR49&amp;"|"&amp;M$5,INDIRECT("'"&amp;$B49&amp;"'!$AF$6:$AF$205"),0))="","",INDEX(INDIRECT("'"&amp;$B49&amp;"'!$N$6:$N$205"),MATCH($AR49&amp;"|"&amp;M$5,INDIRECT("'"&amp;$B49&amp;"'!$AF$6:$AF$205"),0))),"-"))</f>
        <v/>
      </c>
      <c r="N49" s="34">
        <f>IF(OR(AP49="",N$5="-"),"",IFERROR(IF(INDEX(INDIRECT("'"&amp;$B49&amp;"'!$N$6:$N$205"),MATCH($AR49&amp;"|"&amp;N$5,INDIRECT("'"&amp;$B49&amp;"'!$AF$6:$AF$205"),0))="","",INDEX(INDIRECT("'"&amp;$B49&amp;"'!$N$6:$N$205"),MATCH($AR49&amp;"|"&amp;N$5,INDIRECT("'"&amp;$B49&amp;"'!$AF$6:$AF$205"),0))),"-"))</f>
        <v/>
      </c>
      <c r="O49" s="34">
        <f>IF(OR(AP49="",O$5="-"),"",IFERROR(IF(INDEX(INDIRECT("'"&amp;$B49&amp;"'!$N$6:$N$205"),MATCH($AR49&amp;"|"&amp;O$5,INDIRECT("'"&amp;$B49&amp;"'!$AF$6:$AF$205"),0))="","",INDEX(INDIRECT("'"&amp;$B49&amp;"'!$N$6:$N$205"),MATCH($AR49&amp;"|"&amp;O$5,INDIRECT("'"&amp;$B49&amp;"'!$AF$6:$AF$205"),0))),"-"))</f>
        <v/>
      </c>
      <c r="P49" s="37">
        <f>IF(OR(AP49="",P$5="-"),"",IFERROR(IF(INDEX(INDIRECT("'"&amp;$B49&amp;"'!$R$6:$R$205"),MATCH($AR49&amp;"|"&amp;P$5,INDIRECT("'"&amp;$B49&amp;"'!$AF$6:$AF$205"),0))="","",INDEX(INDIRECT("'"&amp;$B49&amp;"'!$R$6:$R$205"),MATCH($AR49&amp;"|"&amp;P$5,INDIRECT("'"&amp;$B49&amp;"'!$AF$6:$AF$205"),0))),"-"))</f>
        <v/>
      </c>
      <c r="Q49" s="37">
        <f>IF(OR(AP49="",Q$5="-"),"",IFERROR(IF(INDEX(INDIRECT("'"&amp;$B49&amp;"'!$R$6:$R$205"),MATCH($AR49&amp;"|"&amp;Q$5,INDIRECT("'"&amp;$B49&amp;"'!$AF$6:$AF$205"),0))="","",INDEX(INDIRECT("'"&amp;$B49&amp;"'!$R$6:$R$205"),MATCH($AR49&amp;"|"&amp;Q$5,INDIRECT("'"&amp;$B49&amp;"'!$AF$6:$AF$205"),0))),"-"))</f>
        <v/>
      </c>
      <c r="R49" s="37">
        <f>IF(OR(AP49="",R$5="-"),"",IFERROR(IF(INDEX(INDIRECT("'"&amp;$B49&amp;"'!$R$6:$R$205"),MATCH($AR49&amp;"|"&amp;R$5,INDIRECT("'"&amp;$B49&amp;"'!$AF$6:$AF$205"),0))="","",INDEX(INDIRECT("'"&amp;$B49&amp;"'!$R$6:$R$205"),MATCH($AR49&amp;"|"&amp;R$5,INDIRECT("'"&amp;$B49&amp;"'!$AF$6:$AF$205"),0))),"-"))</f>
        <v/>
      </c>
      <c r="S49" s="37">
        <f>IF(OR(AP49="",S$5="-"),"",IFERROR(IF(INDEX(INDIRECT("'"&amp;$B49&amp;"'!$R$6:$R$205"),MATCH($AR49&amp;"|"&amp;S$5,INDIRECT("'"&amp;$B49&amp;"'!$AF$6:$AF$205"),0))="","",INDEX(INDIRECT("'"&amp;$B49&amp;"'!$R$6:$R$205"),MATCH($AR49&amp;"|"&amp;S$5,INDIRECT("'"&amp;$B49&amp;"'!$AF$6:$AF$205"),0))),"-"))</f>
        <v/>
      </c>
      <c r="T49" s="37">
        <f>IF(OR(AP49="",T$5="-"),"",IFERROR(IF(INDEX(INDIRECT("'"&amp;$B49&amp;"'!$R$6:$R$205"),MATCH($AR49&amp;"|"&amp;T$5,INDIRECT("'"&amp;$B49&amp;"'!$AF$6:$AF$205"),0))="","",INDEX(INDIRECT("'"&amp;$B49&amp;"'!$R$6:$R$205"),MATCH($AR49&amp;"|"&amp;T$5,INDIRECT("'"&amp;$B49&amp;"'!$AF$6:$AF$205"),0))),"-"))</f>
        <v/>
      </c>
      <c r="U49" s="37">
        <f>IF(OR(AP49="",U$5="-"),"",IFERROR(IF(INDEX(INDIRECT("'"&amp;$B49&amp;"'!$R$6:$R$205"),MATCH($AR49&amp;"|"&amp;U$5,INDIRECT("'"&amp;$B49&amp;"'!$AF$6:$AF$205"),0))="","",INDEX(INDIRECT("'"&amp;$B49&amp;"'!$R$6:$R$205"),MATCH($AR49&amp;"|"&amp;U$5,INDIRECT("'"&amp;$B49&amp;"'!$AF$6:$AF$205"),0))),"-"))</f>
        <v/>
      </c>
      <c r="V49" s="37">
        <f>IF(OR(AP49="",V$5="-"),"",IFERROR(IF(INDEX(INDIRECT("'"&amp;$B49&amp;"'!$R$6:$R$205"),MATCH($AR49&amp;"|"&amp;V$5,INDIRECT("'"&amp;$B49&amp;"'!$AF$6:$AF$205"),0))="","",INDEX(INDIRECT("'"&amp;$B49&amp;"'!$R$6:$R$205"),MATCH($AR49&amp;"|"&amp;V$5,INDIRECT("'"&amp;$B49&amp;"'!$AF$6:$AF$205"),0))),"-"))</f>
        <v/>
      </c>
      <c r="W49" s="37">
        <f>IF(OR(AP49="",W$5="-"),"",IFERROR(IF(INDEX(INDIRECT("'"&amp;$B49&amp;"'!$R$6:$R$205"),MATCH($AR49&amp;"|"&amp;W$5,INDIRECT("'"&amp;$B49&amp;"'!$AF$6:$AF$205"),0))="","",INDEX(INDIRECT("'"&amp;$B49&amp;"'!$R$6:$R$205"),MATCH($AR49&amp;"|"&amp;W$5,INDIRECT("'"&amp;$B49&amp;"'!$AF$6:$AF$205"),0))),"-"))</f>
        <v/>
      </c>
      <c r="X49" s="38">
        <f>IF(OR(AP49="",X$5="-"),"",IFERROR(IF(INDEX(INDIRECT("'"&amp;$B49&amp;"'!$T$6:$T$205"),MATCH($AR49&amp;"|"&amp;X$5,INDIRECT("'"&amp;$B49&amp;"'!$AF$6:$AF$205"),0))="","",INDEX(INDIRECT("'"&amp;$B49&amp;"'!$T$6:$T$205"),MATCH($AR49&amp;"|"&amp;X$5,INDIRECT("'"&amp;$B49&amp;"'!$AF$6:$AF$205"),0))),"-"))</f>
        <v/>
      </c>
      <c r="Y49" s="38">
        <f>IF(OR(AP49="",Y$5="-"),"",IFERROR(IF(INDEX(INDIRECT("'"&amp;$B49&amp;"'!$T$6:$T$205"),MATCH($AR49&amp;"|"&amp;Y$5,INDIRECT("'"&amp;$B49&amp;"'!$AF$6:$AF$205"),0))="","",INDEX(INDIRECT("'"&amp;$B49&amp;"'!$T$6:$T$205"),MATCH($AR49&amp;"|"&amp;Y$5,INDIRECT("'"&amp;$B49&amp;"'!$AF$6:$AF$205"),0))),"-"))</f>
        <v/>
      </c>
      <c r="Z49" s="38">
        <f>IF(OR(AP49="",Z$5="-"),"",IFERROR(IF(INDEX(INDIRECT("'"&amp;$B49&amp;"'!$T$6:$T$205"),MATCH($AR49&amp;"|"&amp;Z$5,INDIRECT("'"&amp;$B49&amp;"'!$AF$6:$AF$205"),0))="","",INDEX(INDIRECT("'"&amp;$B49&amp;"'!$T$6:$T$205"),MATCH($AR49&amp;"|"&amp;Z$5,INDIRECT("'"&amp;$B49&amp;"'!$AF$6:$AF$205"),0))),"-"))</f>
        <v/>
      </c>
      <c r="AA49" s="38">
        <f>IF(OR(AP49="",AA$5="-"),"",IFERROR(IF(INDEX(INDIRECT("'"&amp;$B49&amp;"'!$T$6:$T$205"),MATCH($AR49&amp;"|"&amp;AA$5,INDIRECT("'"&amp;$B49&amp;"'!$AF$6:$AF$205"),0))="","",INDEX(INDIRECT("'"&amp;$B49&amp;"'!$T$6:$T$205"),MATCH($AR49&amp;"|"&amp;AA$5,INDIRECT("'"&amp;$B49&amp;"'!$AF$6:$AF$205"),0))),"-"))</f>
        <v/>
      </c>
      <c r="AB49" s="38">
        <f>IF(OR(AP49="",AB$5="-"),"",IFERROR(IF(INDEX(INDIRECT("'"&amp;$B49&amp;"'!$T$6:$T$205"),MATCH($AR49&amp;"|"&amp;AB$5,INDIRECT("'"&amp;$B49&amp;"'!$AF$6:$AF$205"),0))="","",INDEX(INDIRECT("'"&amp;$B49&amp;"'!$T$6:$T$205"),MATCH($AR49&amp;"|"&amp;AB$5,INDIRECT("'"&amp;$B49&amp;"'!$AF$6:$AF$205"),0))),"-"))</f>
        <v/>
      </c>
      <c r="AC49" s="38">
        <f>IF(OR(AP49="",AC$5="-"),"",IFERROR(IF(INDEX(INDIRECT("'"&amp;$B49&amp;"'!$T$6:$T$205"),MATCH($AR49&amp;"|"&amp;AC$5,INDIRECT("'"&amp;$B49&amp;"'!$AF$6:$AF$205"),0))="","",INDEX(INDIRECT("'"&amp;$B49&amp;"'!$T$6:$T$205"),MATCH($AR49&amp;"|"&amp;AC$5,INDIRECT("'"&amp;$B49&amp;"'!$AF$6:$AF$205"),0))),"-"))</f>
        <v/>
      </c>
      <c r="AD49" s="38">
        <f>IF(OR(AP49="",AD$5="-"),"",IFERROR(IF(INDEX(INDIRECT("'"&amp;$B49&amp;"'!$T$6:$T$205"),MATCH($AR49&amp;"|"&amp;AD$5,INDIRECT("'"&amp;$B49&amp;"'!$AF$6:$AF$205"),0))="","",INDEX(INDIRECT("'"&amp;$B49&amp;"'!$T$6:$T$205"),MATCH($AR49&amp;"|"&amp;AD$5,INDIRECT("'"&amp;$B49&amp;"'!$AF$6:$AF$205"),0))),"-"))</f>
        <v/>
      </c>
      <c r="AE49" s="38">
        <f>IF(OR(AP49="",AE$5="-"),"",IFERROR(IF(INDEX(INDIRECT("'"&amp;$B49&amp;"'!$T$6:$T$205"),MATCH($AR49&amp;"|"&amp;AE$5,INDIRECT("'"&amp;$B49&amp;"'!$AF$6:$AF$205"),0))="","",INDEX(INDIRECT("'"&amp;$B49&amp;"'!$T$6:$T$205"),MATCH($AR49&amp;"|"&amp;AE$5,INDIRECT("'"&amp;$B49&amp;"'!$AF$6:$AF$205"),0))),"-"))</f>
        <v/>
      </c>
      <c r="AF49" s="35">
        <f>IF(AG49="","",INDEX($P$5:$W$5,MATCH(AG49,P49:W49,0)))</f>
        <v/>
      </c>
      <c r="AG49" s="37">
        <f>IF(COUNT(P49:W49)=0,"",MIN(P49:W49))</f>
        <v/>
      </c>
      <c r="AH49" s="39">
        <f>IF(AG49="","",AG49*F49)</f>
        <v/>
      </c>
      <c r="AI49" s="39">
        <f>IF(COUNT(P49:W49)&lt;2,"",(MAX(P49:W49)-MIN(P49:W49))*F49)</f>
        <v/>
      </c>
      <c r="AJ49" s="20" t="n"/>
      <c r="AP49">
        <f>IF(44&gt;MAX($AN$6:$AN$9),"",COUNTIF($AN$6:$AN$9,"&lt;"&amp;44)+1)</f>
        <v/>
      </c>
      <c r="AQ49">
        <f>IF(AP49="","",44-INDEX($AO$6:$AO$9,AP49))</f>
        <v/>
      </c>
      <c r="AR49">
        <f>IF(AP49="","",INDEX(INDIRECT("'"&amp;$B49&amp;"'!$AE$6:$AE$205"),MATCH(AQ49,INDIRECT("'"&amp;$B49&amp;"'!$AI$6:$AI$205"),0)))</f>
        <v/>
      </c>
    </row>
    <row r="50">
      <c r="A50" s="34">
        <f>IF(AP50="","",45)</f>
        <v/>
      </c>
      <c r="B50" s="35">
        <f>IF(AP50="","",INDEX($AL$6:$AL$9,AP50))</f>
        <v/>
      </c>
      <c r="C50" s="34">
        <f>IF(AP50="","",INDEX(INDIRECT("'"&amp;$B50&amp;"'!$B$6:$B$205"),MATCH($AR50,INDIRECT("'"&amp;$B50&amp;"'!$AE$6:$AE$205"),0)))</f>
        <v/>
      </c>
      <c r="D50" s="34">
        <f>IF(AP50="","",INDEX(INDIRECT("'"&amp;$B50&amp;"'!$D$6:$D$205"),MATCH($AR50,INDIRECT("'"&amp;$B50&amp;"'!$AE$6:$AE$205"),0)))</f>
        <v/>
      </c>
      <c r="E50" s="36">
        <f>IF(AP50="","",INDEX(INDIRECT("'"&amp;$B50&amp;"'!$F$6:$F$205"),MATCH($AR50,INDIRECT("'"&amp;$B50&amp;"'!$AE$6:$AE$205"),0)))</f>
        <v/>
      </c>
      <c r="F50" s="34">
        <f>IF(AP50="","",INDEX(INDIRECT("'"&amp;$B50&amp;"'!$K$6:$K$205"),MATCH($AR50,INDIRECT("'"&amp;$B50&amp;"'!$AE$6:$AE$205"),0)))</f>
        <v/>
      </c>
      <c r="G50" s="34">
        <f>IF(AP50="","",INDEX(INDIRECT("'"&amp;$B50&amp;"'!$L$6:$L$205"),MATCH($AR50,INDIRECT("'"&amp;$B50&amp;"'!$AE$6:$AE$205"),0)))</f>
        <v/>
      </c>
      <c r="H50" s="34">
        <f>IF(OR(AP50="",H$5="-"),"",IFERROR(IF(INDEX(INDIRECT("'"&amp;$B50&amp;"'!$N$6:$N$205"),MATCH($AR50&amp;"|"&amp;H$5,INDIRECT("'"&amp;$B50&amp;"'!$AF$6:$AF$205"),0))="","",INDEX(INDIRECT("'"&amp;$B50&amp;"'!$N$6:$N$205"),MATCH($AR50&amp;"|"&amp;H$5,INDIRECT("'"&amp;$B50&amp;"'!$AF$6:$AF$205"),0))),"-"))</f>
        <v/>
      </c>
      <c r="I50" s="34">
        <f>IF(OR(AP50="",I$5="-"),"",IFERROR(IF(INDEX(INDIRECT("'"&amp;$B50&amp;"'!$N$6:$N$205"),MATCH($AR50&amp;"|"&amp;I$5,INDIRECT("'"&amp;$B50&amp;"'!$AF$6:$AF$205"),0))="","",INDEX(INDIRECT("'"&amp;$B50&amp;"'!$N$6:$N$205"),MATCH($AR50&amp;"|"&amp;I$5,INDIRECT("'"&amp;$B50&amp;"'!$AF$6:$AF$205"),0))),"-"))</f>
        <v/>
      </c>
      <c r="J50" s="34">
        <f>IF(OR(AP50="",J$5="-"),"",IFERROR(IF(INDEX(INDIRECT("'"&amp;$B50&amp;"'!$N$6:$N$205"),MATCH($AR50&amp;"|"&amp;J$5,INDIRECT("'"&amp;$B50&amp;"'!$AF$6:$AF$205"),0))="","",INDEX(INDIRECT("'"&amp;$B50&amp;"'!$N$6:$N$205"),MATCH($AR50&amp;"|"&amp;J$5,INDIRECT("'"&amp;$B50&amp;"'!$AF$6:$AF$205"),0))),"-"))</f>
        <v/>
      </c>
      <c r="K50" s="34">
        <f>IF(OR(AP50="",K$5="-"),"",IFERROR(IF(INDEX(INDIRECT("'"&amp;$B50&amp;"'!$N$6:$N$205"),MATCH($AR50&amp;"|"&amp;K$5,INDIRECT("'"&amp;$B50&amp;"'!$AF$6:$AF$205"),0))="","",INDEX(INDIRECT("'"&amp;$B50&amp;"'!$N$6:$N$205"),MATCH($AR50&amp;"|"&amp;K$5,INDIRECT("'"&amp;$B50&amp;"'!$AF$6:$AF$205"),0))),"-"))</f>
        <v/>
      </c>
      <c r="L50" s="34">
        <f>IF(OR(AP50="",L$5="-"),"",IFERROR(IF(INDEX(INDIRECT("'"&amp;$B50&amp;"'!$N$6:$N$205"),MATCH($AR50&amp;"|"&amp;L$5,INDIRECT("'"&amp;$B50&amp;"'!$AF$6:$AF$205"),0))="","",INDEX(INDIRECT("'"&amp;$B50&amp;"'!$N$6:$N$205"),MATCH($AR50&amp;"|"&amp;L$5,INDIRECT("'"&amp;$B50&amp;"'!$AF$6:$AF$205"),0))),"-"))</f>
        <v/>
      </c>
      <c r="M50" s="34">
        <f>IF(OR(AP50="",M$5="-"),"",IFERROR(IF(INDEX(INDIRECT("'"&amp;$B50&amp;"'!$N$6:$N$205"),MATCH($AR50&amp;"|"&amp;M$5,INDIRECT("'"&amp;$B50&amp;"'!$AF$6:$AF$205"),0))="","",INDEX(INDIRECT("'"&amp;$B50&amp;"'!$N$6:$N$205"),MATCH($AR50&amp;"|"&amp;M$5,INDIRECT("'"&amp;$B50&amp;"'!$AF$6:$AF$205"),0))),"-"))</f>
        <v/>
      </c>
      <c r="N50" s="34">
        <f>IF(OR(AP50="",N$5="-"),"",IFERROR(IF(INDEX(INDIRECT("'"&amp;$B50&amp;"'!$N$6:$N$205"),MATCH($AR50&amp;"|"&amp;N$5,INDIRECT("'"&amp;$B50&amp;"'!$AF$6:$AF$205"),0))="","",INDEX(INDIRECT("'"&amp;$B50&amp;"'!$N$6:$N$205"),MATCH($AR50&amp;"|"&amp;N$5,INDIRECT("'"&amp;$B50&amp;"'!$AF$6:$AF$205"),0))),"-"))</f>
        <v/>
      </c>
      <c r="O50" s="34">
        <f>IF(OR(AP50="",O$5="-"),"",IFERROR(IF(INDEX(INDIRECT("'"&amp;$B50&amp;"'!$N$6:$N$205"),MATCH($AR50&amp;"|"&amp;O$5,INDIRECT("'"&amp;$B50&amp;"'!$AF$6:$AF$205"),0))="","",INDEX(INDIRECT("'"&amp;$B50&amp;"'!$N$6:$N$205"),MATCH($AR50&amp;"|"&amp;O$5,INDIRECT("'"&amp;$B50&amp;"'!$AF$6:$AF$205"),0))),"-"))</f>
        <v/>
      </c>
      <c r="P50" s="37">
        <f>IF(OR(AP50="",P$5="-"),"",IFERROR(IF(INDEX(INDIRECT("'"&amp;$B50&amp;"'!$R$6:$R$205"),MATCH($AR50&amp;"|"&amp;P$5,INDIRECT("'"&amp;$B50&amp;"'!$AF$6:$AF$205"),0))="","",INDEX(INDIRECT("'"&amp;$B50&amp;"'!$R$6:$R$205"),MATCH($AR50&amp;"|"&amp;P$5,INDIRECT("'"&amp;$B50&amp;"'!$AF$6:$AF$205"),0))),"-"))</f>
        <v/>
      </c>
      <c r="Q50" s="37">
        <f>IF(OR(AP50="",Q$5="-"),"",IFERROR(IF(INDEX(INDIRECT("'"&amp;$B50&amp;"'!$R$6:$R$205"),MATCH($AR50&amp;"|"&amp;Q$5,INDIRECT("'"&amp;$B50&amp;"'!$AF$6:$AF$205"),0))="","",INDEX(INDIRECT("'"&amp;$B50&amp;"'!$R$6:$R$205"),MATCH($AR50&amp;"|"&amp;Q$5,INDIRECT("'"&amp;$B50&amp;"'!$AF$6:$AF$205"),0))),"-"))</f>
        <v/>
      </c>
      <c r="R50" s="37">
        <f>IF(OR(AP50="",R$5="-"),"",IFERROR(IF(INDEX(INDIRECT("'"&amp;$B50&amp;"'!$R$6:$R$205"),MATCH($AR50&amp;"|"&amp;R$5,INDIRECT("'"&amp;$B50&amp;"'!$AF$6:$AF$205"),0))="","",INDEX(INDIRECT("'"&amp;$B50&amp;"'!$R$6:$R$205"),MATCH($AR50&amp;"|"&amp;R$5,INDIRECT("'"&amp;$B50&amp;"'!$AF$6:$AF$205"),0))),"-"))</f>
        <v/>
      </c>
      <c r="S50" s="37">
        <f>IF(OR(AP50="",S$5="-"),"",IFERROR(IF(INDEX(INDIRECT("'"&amp;$B50&amp;"'!$R$6:$R$205"),MATCH($AR50&amp;"|"&amp;S$5,INDIRECT("'"&amp;$B50&amp;"'!$AF$6:$AF$205"),0))="","",INDEX(INDIRECT("'"&amp;$B50&amp;"'!$R$6:$R$205"),MATCH($AR50&amp;"|"&amp;S$5,INDIRECT("'"&amp;$B50&amp;"'!$AF$6:$AF$205"),0))),"-"))</f>
        <v/>
      </c>
      <c r="T50" s="37">
        <f>IF(OR(AP50="",T$5="-"),"",IFERROR(IF(INDEX(INDIRECT("'"&amp;$B50&amp;"'!$R$6:$R$205"),MATCH($AR50&amp;"|"&amp;T$5,INDIRECT("'"&amp;$B50&amp;"'!$AF$6:$AF$205"),0))="","",INDEX(INDIRECT("'"&amp;$B50&amp;"'!$R$6:$R$205"),MATCH($AR50&amp;"|"&amp;T$5,INDIRECT("'"&amp;$B50&amp;"'!$AF$6:$AF$205"),0))),"-"))</f>
        <v/>
      </c>
      <c r="U50" s="37">
        <f>IF(OR(AP50="",U$5="-"),"",IFERROR(IF(INDEX(INDIRECT("'"&amp;$B50&amp;"'!$R$6:$R$205"),MATCH($AR50&amp;"|"&amp;U$5,INDIRECT("'"&amp;$B50&amp;"'!$AF$6:$AF$205"),0))="","",INDEX(INDIRECT("'"&amp;$B50&amp;"'!$R$6:$R$205"),MATCH($AR50&amp;"|"&amp;U$5,INDIRECT("'"&amp;$B50&amp;"'!$AF$6:$AF$205"),0))),"-"))</f>
        <v/>
      </c>
      <c r="V50" s="37">
        <f>IF(OR(AP50="",V$5="-"),"",IFERROR(IF(INDEX(INDIRECT("'"&amp;$B50&amp;"'!$R$6:$R$205"),MATCH($AR50&amp;"|"&amp;V$5,INDIRECT("'"&amp;$B50&amp;"'!$AF$6:$AF$205"),0))="","",INDEX(INDIRECT("'"&amp;$B50&amp;"'!$R$6:$R$205"),MATCH($AR50&amp;"|"&amp;V$5,INDIRECT("'"&amp;$B50&amp;"'!$AF$6:$AF$205"),0))),"-"))</f>
        <v/>
      </c>
      <c r="W50" s="37">
        <f>IF(OR(AP50="",W$5="-"),"",IFERROR(IF(INDEX(INDIRECT("'"&amp;$B50&amp;"'!$R$6:$R$205"),MATCH($AR50&amp;"|"&amp;W$5,INDIRECT("'"&amp;$B50&amp;"'!$AF$6:$AF$205"),0))="","",INDEX(INDIRECT("'"&amp;$B50&amp;"'!$R$6:$R$205"),MATCH($AR50&amp;"|"&amp;W$5,INDIRECT("'"&amp;$B50&amp;"'!$AF$6:$AF$205"),0))),"-"))</f>
        <v/>
      </c>
      <c r="X50" s="38">
        <f>IF(OR(AP50="",X$5="-"),"",IFERROR(IF(INDEX(INDIRECT("'"&amp;$B50&amp;"'!$T$6:$T$205"),MATCH($AR50&amp;"|"&amp;X$5,INDIRECT("'"&amp;$B50&amp;"'!$AF$6:$AF$205"),0))="","",INDEX(INDIRECT("'"&amp;$B50&amp;"'!$T$6:$T$205"),MATCH($AR50&amp;"|"&amp;X$5,INDIRECT("'"&amp;$B50&amp;"'!$AF$6:$AF$205"),0))),"-"))</f>
        <v/>
      </c>
      <c r="Y50" s="38">
        <f>IF(OR(AP50="",Y$5="-"),"",IFERROR(IF(INDEX(INDIRECT("'"&amp;$B50&amp;"'!$T$6:$T$205"),MATCH($AR50&amp;"|"&amp;Y$5,INDIRECT("'"&amp;$B50&amp;"'!$AF$6:$AF$205"),0))="","",INDEX(INDIRECT("'"&amp;$B50&amp;"'!$T$6:$T$205"),MATCH($AR50&amp;"|"&amp;Y$5,INDIRECT("'"&amp;$B50&amp;"'!$AF$6:$AF$205"),0))),"-"))</f>
        <v/>
      </c>
      <c r="Z50" s="38">
        <f>IF(OR(AP50="",Z$5="-"),"",IFERROR(IF(INDEX(INDIRECT("'"&amp;$B50&amp;"'!$T$6:$T$205"),MATCH($AR50&amp;"|"&amp;Z$5,INDIRECT("'"&amp;$B50&amp;"'!$AF$6:$AF$205"),0))="","",INDEX(INDIRECT("'"&amp;$B50&amp;"'!$T$6:$T$205"),MATCH($AR50&amp;"|"&amp;Z$5,INDIRECT("'"&amp;$B50&amp;"'!$AF$6:$AF$205"),0))),"-"))</f>
        <v/>
      </c>
      <c r="AA50" s="38">
        <f>IF(OR(AP50="",AA$5="-"),"",IFERROR(IF(INDEX(INDIRECT("'"&amp;$B50&amp;"'!$T$6:$T$205"),MATCH($AR50&amp;"|"&amp;AA$5,INDIRECT("'"&amp;$B50&amp;"'!$AF$6:$AF$205"),0))="","",INDEX(INDIRECT("'"&amp;$B50&amp;"'!$T$6:$T$205"),MATCH($AR50&amp;"|"&amp;AA$5,INDIRECT("'"&amp;$B50&amp;"'!$AF$6:$AF$205"),0))),"-"))</f>
        <v/>
      </c>
      <c r="AB50" s="38">
        <f>IF(OR(AP50="",AB$5="-"),"",IFERROR(IF(INDEX(INDIRECT("'"&amp;$B50&amp;"'!$T$6:$T$205"),MATCH($AR50&amp;"|"&amp;AB$5,INDIRECT("'"&amp;$B50&amp;"'!$AF$6:$AF$205"),0))="","",INDEX(INDIRECT("'"&amp;$B50&amp;"'!$T$6:$T$205"),MATCH($AR50&amp;"|"&amp;AB$5,INDIRECT("'"&amp;$B50&amp;"'!$AF$6:$AF$205"),0))),"-"))</f>
        <v/>
      </c>
      <c r="AC50" s="38">
        <f>IF(OR(AP50="",AC$5="-"),"",IFERROR(IF(INDEX(INDIRECT("'"&amp;$B50&amp;"'!$T$6:$T$205"),MATCH($AR50&amp;"|"&amp;AC$5,INDIRECT("'"&amp;$B50&amp;"'!$AF$6:$AF$205"),0))="","",INDEX(INDIRECT("'"&amp;$B50&amp;"'!$T$6:$T$205"),MATCH($AR50&amp;"|"&amp;AC$5,INDIRECT("'"&amp;$B50&amp;"'!$AF$6:$AF$205"),0))),"-"))</f>
        <v/>
      </c>
      <c r="AD50" s="38">
        <f>IF(OR(AP50="",AD$5="-"),"",IFERROR(IF(INDEX(INDIRECT("'"&amp;$B50&amp;"'!$T$6:$T$205"),MATCH($AR50&amp;"|"&amp;AD$5,INDIRECT("'"&amp;$B50&amp;"'!$AF$6:$AF$205"),0))="","",INDEX(INDIRECT("'"&amp;$B50&amp;"'!$T$6:$T$205"),MATCH($AR50&amp;"|"&amp;AD$5,INDIRECT("'"&amp;$B50&amp;"'!$AF$6:$AF$205"),0))),"-"))</f>
        <v/>
      </c>
      <c r="AE50" s="38">
        <f>IF(OR(AP50="",AE$5="-"),"",IFERROR(IF(INDEX(INDIRECT("'"&amp;$B50&amp;"'!$T$6:$T$205"),MATCH($AR50&amp;"|"&amp;AE$5,INDIRECT("'"&amp;$B50&amp;"'!$AF$6:$AF$205"),0))="","",INDEX(INDIRECT("'"&amp;$B50&amp;"'!$T$6:$T$205"),MATCH($AR50&amp;"|"&amp;AE$5,INDIRECT("'"&amp;$B50&amp;"'!$AF$6:$AF$205"),0))),"-"))</f>
        <v/>
      </c>
      <c r="AF50" s="35">
        <f>IF(AG50="","",INDEX($P$5:$W$5,MATCH(AG50,P50:W50,0)))</f>
        <v/>
      </c>
      <c r="AG50" s="37">
        <f>IF(COUNT(P50:W50)=0,"",MIN(P50:W50))</f>
        <v/>
      </c>
      <c r="AH50" s="39">
        <f>IF(AG50="","",AG50*F50)</f>
        <v/>
      </c>
      <c r="AI50" s="39">
        <f>IF(COUNT(P50:W50)&lt;2,"",(MAX(P50:W50)-MIN(P50:W50))*F50)</f>
        <v/>
      </c>
      <c r="AJ50" s="20" t="n"/>
      <c r="AP50">
        <f>IF(45&gt;MAX($AN$6:$AN$9),"",COUNTIF($AN$6:$AN$9,"&lt;"&amp;45)+1)</f>
        <v/>
      </c>
      <c r="AQ50">
        <f>IF(AP50="","",45-INDEX($AO$6:$AO$9,AP50))</f>
        <v/>
      </c>
      <c r="AR50">
        <f>IF(AP50="","",INDEX(INDIRECT("'"&amp;$B50&amp;"'!$AE$6:$AE$205"),MATCH(AQ50,INDIRECT("'"&amp;$B50&amp;"'!$AI$6:$AI$205"),0)))</f>
        <v/>
      </c>
    </row>
    <row r="51">
      <c r="A51" s="34">
        <f>IF(AP51="","",46)</f>
        <v/>
      </c>
      <c r="B51" s="35">
        <f>IF(AP51="","",INDEX($AL$6:$AL$9,AP51))</f>
        <v/>
      </c>
      <c r="C51" s="34">
        <f>IF(AP51="","",INDEX(INDIRECT("'"&amp;$B51&amp;"'!$B$6:$B$205"),MATCH($AR51,INDIRECT("'"&amp;$B51&amp;"'!$AE$6:$AE$205"),0)))</f>
        <v/>
      </c>
      <c r="D51" s="34">
        <f>IF(AP51="","",INDEX(INDIRECT("'"&amp;$B51&amp;"'!$D$6:$D$205"),MATCH($AR51,INDIRECT("'"&amp;$B51&amp;"'!$AE$6:$AE$205"),0)))</f>
        <v/>
      </c>
      <c r="E51" s="36">
        <f>IF(AP51="","",INDEX(INDIRECT("'"&amp;$B51&amp;"'!$F$6:$F$205"),MATCH($AR51,INDIRECT("'"&amp;$B51&amp;"'!$AE$6:$AE$205"),0)))</f>
        <v/>
      </c>
      <c r="F51" s="34">
        <f>IF(AP51="","",INDEX(INDIRECT("'"&amp;$B51&amp;"'!$K$6:$K$205"),MATCH($AR51,INDIRECT("'"&amp;$B51&amp;"'!$AE$6:$AE$205"),0)))</f>
        <v/>
      </c>
      <c r="G51" s="34">
        <f>IF(AP51="","",INDEX(INDIRECT("'"&amp;$B51&amp;"'!$L$6:$L$205"),MATCH($AR51,INDIRECT("'"&amp;$B51&amp;"'!$AE$6:$AE$205"),0)))</f>
        <v/>
      </c>
      <c r="H51" s="34">
        <f>IF(OR(AP51="",H$5="-"),"",IFERROR(IF(INDEX(INDIRECT("'"&amp;$B51&amp;"'!$N$6:$N$205"),MATCH($AR51&amp;"|"&amp;H$5,INDIRECT("'"&amp;$B51&amp;"'!$AF$6:$AF$205"),0))="","",INDEX(INDIRECT("'"&amp;$B51&amp;"'!$N$6:$N$205"),MATCH($AR51&amp;"|"&amp;H$5,INDIRECT("'"&amp;$B51&amp;"'!$AF$6:$AF$205"),0))),"-"))</f>
        <v/>
      </c>
      <c r="I51" s="34">
        <f>IF(OR(AP51="",I$5="-"),"",IFERROR(IF(INDEX(INDIRECT("'"&amp;$B51&amp;"'!$N$6:$N$205"),MATCH($AR51&amp;"|"&amp;I$5,INDIRECT("'"&amp;$B51&amp;"'!$AF$6:$AF$205"),0))="","",INDEX(INDIRECT("'"&amp;$B51&amp;"'!$N$6:$N$205"),MATCH($AR51&amp;"|"&amp;I$5,INDIRECT("'"&amp;$B51&amp;"'!$AF$6:$AF$205"),0))),"-"))</f>
        <v/>
      </c>
      <c r="J51" s="34">
        <f>IF(OR(AP51="",J$5="-"),"",IFERROR(IF(INDEX(INDIRECT("'"&amp;$B51&amp;"'!$N$6:$N$205"),MATCH($AR51&amp;"|"&amp;J$5,INDIRECT("'"&amp;$B51&amp;"'!$AF$6:$AF$205"),0))="","",INDEX(INDIRECT("'"&amp;$B51&amp;"'!$N$6:$N$205"),MATCH($AR51&amp;"|"&amp;J$5,INDIRECT("'"&amp;$B51&amp;"'!$AF$6:$AF$205"),0))),"-"))</f>
        <v/>
      </c>
      <c r="K51" s="34">
        <f>IF(OR(AP51="",K$5="-"),"",IFERROR(IF(INDEX(INDIRECT("'"&amp;$B51&amp;"'!$N$6:$N$205"),MATCH($AR51&amp;"|"&amp;K$5,INDIRECT("'"&amp;$B51&amp;"'!$AF$6:$AF$205"),0))="","",INDEX(INDIRECT("'"&amp;$B51&amp;"'!$N$6:$N$205"),MATCH($AR51&amp;"|"&amp;K$5,INDIRECT("'"&amp;$B51&amp;"'!$AF$6:$AF$205"),0))),"-"))</f>
        <v/>
      </c>
      <c r="L51" s="34">
        <f>IF(OR(AP51="",L$5="-"),"",IFERROR(IF(INDEX(INDIRECT("'"&amp;$B51&amp;"'!$N$6:$N$205"),MATCH($AR51&amp;"|"&amp;L$5,INDIRECT("'"&amp;$B51&amp;"'!$AF$6:$AF$205"),0))="","",INDEX(INDIRECT("'"&amp;$B51&amp;"'!$N$6:$N$205"),MATCH($AR51&amp;"|"&amp;L$5,INDIRECT("'"&amp;$B51&amp;"'!$AF$6:$AF$205"),0))),"-"))</f>
        <v/>
      </c>
      <c r="M51" s="34">
        <f>IF(OR(AP51="",M$5="-"),"",IFERROR(IF(INDEX(INDIRECT("'"&amp;$B51&amp;"'!$N$6:$N$205"),MATCH($AR51&amp;"|"&amp;M$5,INDIRECT("'"&amp;$B51&amp;"'!$AF$6:$AF$205"),0))="","",INDEX(INDIRECT("'"&amp;$B51&amp;"'!$N$6:$N$205"),MATCH($AR51&amp;"|"&amp;M$5,INDIRECT("'"&amp;$B51&amp;"'!$AF$6:$AF$205"),0))),"-"))</f>
        <v/>
      </c>
      <c r="N51" s="34">
        <f>IF(OR(AP51="",N$5="-"),"",IFERROR(IF(INDEX(INDIRECT("'"&amp;$B51&amp;"'!$N$6:$N$205"),MATCH($AR51&amp;"|"&amp;N$5,INDIRECT("'"&amp;$B51&amp;"'!$AF$6:$AF$205"),0))="","",INDEX(INDIRECT("'"&amp;$B51&amp;"'!$N$6:$N$205"),MATCH($AR51&amp;"|"&amp;N$5,INDIRECT("'"&amp;$B51&amp;"'!$AF$6:$AF$205"),0))),"-"))</f>
        <v/>
      </c>
      <c r="O51" s="34">
        <f>IF(OR(AP51="",O$5="-"),"",IFERROR(IF(INDEX(INDIRECT("'"&amp;$B51&amp;"'!$N$6:$N$205"),MATCH($AR51&amp;"|"&amp;O$5,INDIRECT("'"&amp;$B51&amp;"'!$AF$6:$AF$205"),0))="","",INDEX(INDIRECT("'"&amp;$B51&amp;"'!$N$6:$N$205"),MATCH($AR51&amp;"|"&amp;O$5,INDIRECT("'"&amp;$B51&amp;"'!$AF$6:$AF$205"),0))),"-"))</f>
        <v/>
      </c>
      <c r="P51" s="37">
        <f>IF(OR(AP51="",P$5="-"),"",IFERROR(IF(INDEX(INDIRECT("'"&amp;$B51&amp;"'!$R$6:$R$205"),MATCH($AR51&amp;"|"&amp;P$5,INDIRECT("'"&amp;$B51&amp;"'!$AF$6:$AF$205"),0))="","",INDEX(INDIRECT("'"&amp;$B51&amp;"'!$R$6:$R$205"),MATCH($AR51&amp;"|"&amp;P$5,INDIRECT("'"&amp;$B51&amp;"'!$AF$6:$AF$205"),0))),"-"))</f>
        <v/>
      </c>
      <c r="Q51" s="37">
        <f>IF(OR(AP51="",Q$5="-"),"",IFERROR(IF(INDEX(INDIRECT("'"&amp;$B51&amp;"'!$R$6:$R$205"),MATCH($AR51&amp;"|"&amp;Q$5,INDIRECT("'"&amp;$B51&amp;"'!$AF$6:$AF$205"),0))="","",INDEX(INDIRECT("'"&amp;$B51&amp;"'!$R$6:$R$205"),MATCH($AR51&amp;"|"&amp;Q$5,INDIRECT("'"&amp;$B51&amp;"'!$AF$6:$AF$205"),0))),"-"))</f>
        <v/>
      </c>
      <c r="R51" s="37">
        <f>IF(OR(AP51="",R$5="-"),"",IFERROR(IF(INDEX(INDIRECT("'"&amp;$B51&amp;"'!$R$6:$R$205"),MATCH($AR51&amp;"|"&amp;R$5,INDIRECT("'"&amp;$B51&amp;"'!$AF$6:$AF$205"),0))="","",INDEX(INDIRECT("'"&amp;$B51&amp;"'!$R$6:$R$205"),MATCH($AR51&amp;"|"&amp;R$5,INDIRECT("'"&amp;$B51&amp;"'!$AF$6:$AF$205"),0))),"-"))</f>
        <v/>
      </c>
      <c r="S51" s="37">
        <f>IF(OR(AP51="",S$5="-"),"",IFERROR(IF(INDEX(INDIRECT("'"&amp;$B51&amp;"'!$R$6:$R$205"),MATCH($AR51&amp;"|"&amp;S$5,INDIRECT("'"&amp;$B51&amp;"'!$AF$6:$AF$205"),0))="","",INDEX(INDIRECT("'"&amp;$B51&amp;"'!$R$6:$R$205"),MATCH($AR51&amp;"|"&amp;S$5,INDIRECT("'"&amp;$B51&amp;"'!$AF$6:$AF$205"),0))),"-"))</f>
        <v/>
      </c>
      <c r="T51" s="37">
        <f>IF(OR(AP51="",T$5="-"),"",IFERROR(IF(INDEX(INDIRECT("'"&amp;$B51&amp;"'!$R$6:$R$205"),MATCH($AR51&amp;"|"&amp;T$5,INDIRECT("'"&amp;$B51&amp;"'!$AF$6:$AF$205"),0))="","",INDEX(INDIRECT("'"&amp;$B51&amp;"'!$R$6:$R$205"),MATCH($AR51&amp;"|"&amp;T$5,INDIRECT("'"&amp;$B51&amp;"'!$AF$6:$AF$205"),0))),"-"))</f>
        <v/>
      </c>
      <c r="U51" s="37">
        <f>IF(OR(AP51="",U$5="-"),"",IFERROR(IF(INDEX(INDIRECT("'"&amp;$B51&amp;"'!$R$6:$R$205"),MATCH($AR51&amp;"|"&amp;U$5,INDIRECT("'"&amp;$B51&amp;"'!$AF$6:$AF$205"),0))="","",INDEX(INDIRECT("'"&amp;$B51&amp;"'!$R$6:$R$205"),MATCH($AR51&amp;"|"&amp;U$5,INDIRECT("'"&amp;$B51&amp;"'!$AF$6:$AF$205"),0))),"-"))</f>
        <v/>
      </c>
      <c r="V51" s="37">
        <f>IF(OR(AP51="",V$5="-"),"",IFERROR(IF(INDEX(INDIRECT("'"&amp;$B51&amp;"'!$R$6:$R$205"),MATCH($AR51&amp;"|"&amp;V$5,INDIRECT("'"&amp;$B51&amp;"'!$AF$6:$AF$205"),0))="","",INDEX(INDIRECT("'"&amp;$B51&amp;"'!$R$6:$R$205"),MATCH($AR51&amp;"|"&amp;V$5,INDIRECT("'"&amp;$B51&amp;"'!$AF$6:$AF$205"),0))),"-"))</f>
        <v/>
      </c>
      <c r="W51" s="37">
        <f>IF(OR(AP51="",W$5="-"),"",IFERROR(IF(INDEX(INDIRECT("'"&amp;$B51&amp;"'!$R$6:$R$205"),MATCH($AR51&amp;"|"&amp;W$5,INDIRECT("'"&amp;$B51&amp;"'!$AF$6:$AF$205"),0))="","",INDEX(INDIRECT("'"&amp;$B51&amp;"'!$R$6:$R$205"),MATCH($AR51&amp;"|"&amp;W$5,INDIRECT("'"&amp;$B51&amp;"'!$AF$6:$AF$205"),0))),"-"))</f>
        <v/>
      </c>
      <c r="X51" s="38">
        <f>IF(OR(AP51="",X$5="-"),"",IFERROR(IF(INDEX(INDIRECT("'"&amp;$B51&amp;"'!$T$6:$T$205"),MATCH($AR51&amp;"|"&amp;X$5,INDIRECT("'"&amp;$B51&amp;"'!$AF$6:$AF$205"),0))="","",INDEX(INDIRECT("'"&amp;$B51&amp;"'!$T$6:$T$205"),MATCH($AR51&amp;"|"&amp;X$5,INDIRECT("'"&amp;$B51&amp;"'!$AF$6:$AF$205"),0))),"-"))</f>
        <v/>
      </c>
      <c r="Y51" s="38">
        <f>IF(OR(AP51="",Y$5="-"),"",IFERROR(IF(INDEX(INDIRECT("'"&amp;$B51&amp;"'!$T$6:$T$205"),MATCH($AR51&amp;"|"&amp;Y$5,INDIRECT("'"&amp;$B51&amp;"'!$AF$6:$AF$205"),0))="","",INDEX(INDIRECT("'"&amp;$B51&amp;"'!$T$6:$T$205"),MATCH($AR51&amp;"|"&amp;Y$5,INDIRECT("'"&amp;$B51&amp;"'!$AF$6:$AF$205"),0))),"-"))</f>
        <v/>
      </c>
      <c r="Z51" s="38">
        <f>IF(OR(AP51="",Z$5="-"),"",IFERROR(IF(INDEX(INDIRECT("'"&amp;$B51&amp;"'!$T$6:$T$205"),MATCH($AR51&amp;"|"&amp;Z$5,INDIRECT("'"&amp;$B51&amp;"'!$AF$6:$AF$205"),0))="","",INDEX(INDIRECT("'"&amp;$B51&amp;"'!$T$6:$T$205"),MATCH($AR51&amp;"|"&amp;Z$5,INDIRECT("'"&amp;$B51&amp;"'!$AF$6:$AF$205"),0))),"-"))</f>
        <v/>
      </c>
      <c r="AA51" s="38">
        <f>IF(OR(AP51="",AA$5="-"),"",IFERROR(IF(INDEX(INDIRECT("'"&amp;$B51&amp;"'!$T$6:$T$205"),MATCH($AR51&amp;"|"&amp;AA$5,INDIRECT("'"&amp;$B51&amp;"'!$AF$6:$AF$205"),0))="","",INDEX(INDIRECT("'"&amp;$B51&amp;"'!$T$6:$T$205"),MATCH($AR51&amp;"|"&amp;AA$5,INDIRECT("'"&amp;$B51&amp;"'!$AF$6:$AF$205"),0))),"-"))</f>
        <v/>
      </c>
      <c r="AB51" s="38">
        <f>IF(OR(AP51="",AB$5="-"),"",IFERROR(IF(INDEX(INDIRECT("'"&amp;$B51&amp;"'!$T$6:$T$205"),MATCH($AR51&amp;"|"&amp;AB$5,INDIRECT("'"&amp;$B51&amp;"'!$AF$6:$AF$205"),0))="","",INDEX(INDIRECT("'"&amp;$B51&amp;"'!$T$6:$T$205"),MATCH($AR51&amp;"|"&amp;AB$5,INDIRECT("'"&amp;$B51&amp;"'!$AF$6:$AF$205"),0))),"-"))</f>
        <v/>
      </c>
      <c r="AC51" s="38">
        <f>IF(OR(AP51="",AC$5="-"),"",IFERROR(IF(INDEX(INDIRECT("'"&amp;$B51&amp;"'!$T$6:$T$205"),MATCH($AR51&amp;"|"&amp;AC$5,INDIRECT("'"&amp;$B51&amp;"'!$AF$6:$AF$205"),0))="","",INDEX(INDIRECT("'"&amp;$B51&amp;"'!$T$6:$T$205"),MATCH($AR51&amp;"|"&amp;AC$5,INDIRECT("'"&amp;$B51&amp;"'!$AF$6:$AF$205"),0))),"-"))</f>
        <v/>
      </c>
      <c r="AD51" s="38">
        <f>IF(OR(AP51="",AD$5="-"),"",IFERROR(IF(INDEX(INDIRECT("'"&amp;$B51&amp;"'!$T$6:$T$205"),MATCH($AR51&amp;"|"&amp;AD$5,INDIRECT("'"&amp;$B51&amp;"'!$AF$6:$AF$205"),0))="","",INDEX(INDIRECT("'"&amp;$B51&amp;"'!$T$6:$T$205"),MATCH($AR51&amp;"|"&amp;AD$5,INDIRECT("'"&amp;$B51&amp;"'!$AF$6:$AF$205"),0))),"-"))</f>
        <v/>
      </c>
      <c r="AE51" s="38">
        <f>IF(OR(AP51="",AE$5="-"),"",IFERROR(IF(INDEX(INDIRECT("'"&amp;$B51&amp;"'!$T$6:$T$205"),MATCH($AR51&amp;"|"&amp;AE$5,INDIRECT("'"&amp;$B51&amp;"'!$AF$6:$AF$205"),0))="","",INDEX(INDIRECT("'"&amp;$B51&amp;"'!$T$6:$T$205"),MATCH($AR51&amp;"|"&amp;AE$5,INDIRECT("'"&amp;$B51&amp;"'!$AF$6:$AF$205"),0))),"-"))</f>
        <v/>
      </c>
      <c r="AF51" s="35">
        <f>IF(AG51="","",INDEX($P$5:$W$5,MATCH(AG51,P51:W51,0)))</f>
        <v/>
      </c>
      <c r="AG51" s="37">
        <f>IF(COUNT(P51:W51)=0,"",MIN(P51:W51))</f>
        <v/>
      </c>
      <c r="AH51" s="39">
        <f>IF(AG51="","",AG51*F51)</f>
        <v/>
      </c>
      <c r="AI51" s="39">
        <f>IF(COUNT(P51:W51)&lt;2,"",(MAX(P51:W51)-MIN(P51:W51))*F51)</f>
        <v/>
      </c>
      <c r="AJ51" s="20" t="n"/>
      <c r="AP51">
        <f>IF(46&gt;MAX($AN$6:$AN$9),"",COUNTIF($AN$6:$AN$9,"&lt;"&amp;46)+1)</f>
        <v/>
      </c>
      <c r="AQ51">
        <f>IF(AP51="","",46-INDEX($AO$6:$AO$9,AP51))</f>
        <v/>
      </c>
      <c r="AR51">
        <f>IF(AP51="","",INDEX(INDIRECT("'"&amp;$B51&amp;"'!$AE$6:$AE$205"),MATCH(AQ51,INDIRECT("'"&amp;$B51&amp;"'!$AI$6:$AI$205"),0)))</f>
        <v/>
      </c>
    </row>
    <row r="52">
      <c r="A52" s="34">
        <f>IF(AP52="","",47)</f>
        <v/>
      </c>
      <c r="B52" s="35">
        <f>IF(AP52="","",INDEX($AL$6:$AL$9,AP52))</f>
        <v/>
      </c>
      <c r="C52" s="34">
        <f>IF(AP52="","",INDEX(INDIRECT("'"&amp;$B52&amp;"'!$B$6:$B$205"),MATCH($AR52,INDIRECT("'"&amp;$B52&amp;"'!$AE$6:$AE$205"),0)))</f>
        <v/>
      </c>
      <c r="D52" s="34">
        <f>IF(AP52="","",INDEX(INDIRECT("'"&amp;$B52&amp;"'!$D$6:$D$205"),MATCH($AR52,INDIRECT("'"&amp;$B52&amp;"'!$AE$6:$AE$205"),0)))</f>
        <v/>
      </c>
      <c r="E52" s="36">
        <f>IF(AP52="","",INDEX(INDIRECT("'"&amp;$B52&amp;"'!$F$6:$F$205"),MATCH($AR52,INDIRECT("'"&amp;$B52&amp;"'!$AE$6:$AE$205"),0)))</f>
        <v/>
      </c>
      <c r="F52" s="34">
        <f>IF(AP52="","",INDEX(INDIRECT("'"&amp;$B52&amp;"'!$K$6:$K$205"),MATCH($AR52,INDIRECT("'"&amp;$B52&amp;"'!$AE$6:$AE$205"),0)))</f>
        <v/>
      </c>
      <c r="G52" s="34">
        <f>IF(AP52="","",INDEX(INDIRECT("'"&amp;$B52&amp;"'!$L$6:$L$205"),MATCH($AR52,INDIRECT("'"&amp;$B52&amp;"'!$AE$6:$AE$205"),0)))</f>
        <v/>
      </c>
      <c r="H52" s="34">
        <f>IF(OR(AP52="",H$5="-"),"",IFERROR(IF(INDEX(INDIRECT("'"&amp;$B52&amp;"'!$N$6:$N$205"),MATCH($AR52&amp;"|"&amp;H$5,INDIRECT("'"&amp;$B52&amp;"'!$AF$6:$AF$205"),0))="","",INDEX(INDIRECT("'"&amp;$B52&amp;"'!$N$6:$N$205"),MATCH($AR52&amp;"|"&amp;H$5,INDIRECT("'"&amp;$B52&amp;"'!$AF$6:$AF$205"),0))),"-"))</f>
        <v/>
      </c>
      <c r="I52" s="34">
        <f>IF(OR(AP52="",I$5="-"),"",IFERROR(IF(INDEX(INDIRECT("'"&amp;$B52&amp;"'!$N$6:$N$205"),MATCH($AR52&amp;"|"&amp;I$5,INDIRECT("'"&amp;$B52&amp;"'!$AF$6:$AF$205"),0))="","",INDEX(INDIRECT("'"&amp;$B52&amp;"'!$N$6:$N$205"),MATCH($AR52&amp;"|"&amp;I$5,INDIRECT("'"&amp;$B52&amp;"'!$AF$6:$AF$205"),0))),"-"))</f>
        <v/>
      </c>
      <c r="J52" s="34">
        <f>IF(OR(AP52="",J$5="-"),"",IFERROR(IF(INDEX(INDIRECT("'"&amp;$B52&amp;"'!$N$6:$N$205"),MATCH($AR52&amp;"|"&amp;J$5,INDIRECT("'"&amp;$B52&amp;"'!$AF$6:$AF$205"),0))="","",INDEX(INDIRECT("'"&amp;$B52&amp;"'!$N$6:$N$205"),MATCH($AR52&amp;"|"&amp;J$5,INDIRECT("'"&amp;$B52&amp;"'!$AF$6:$AF$205"),0))),"-"))</f>
        <v/>
      </c>
      <c r="K52" s="34">
        <f>IF(OR(AP52="",K$5="-"),"",IFERROR(IF(INDEX(INDIRECT("'"&amp;$B52&amp;"'!$N$6:$N$205"),MATCH($AR52&amp;"|"&amp;K$5,INDIRECT("'"&amp;$B52&amp;"'!$AF$6:$AF$205"),0))="","",INDEX(INDIRECT("'"&amp;$B52&amp;"'!$N$6:$N$205"),MATCH($AR52&amp;"|"&amp;K$5,INDIRECT("'"&amp;$B52&amp;"'!$AF$6:$AF$205"),0))),"-"))</f>
        <v/>
      </c>
      <c r="L52" s="34">
        <f>IF(OR(AP52="",L$5="-"),"",IFERROR(IF(INDEX(INDIRECT("'"&amp;$B52&amp;"'!$N$6:$N$205"),MATCH($AR52&amp;"|"&amp;L$5,INDIRECT("'"&amp;$B52&amp;"'!$AF$6:$AF$205"),0))="","",INDEX(INDIRECT("'"&amp;$B52&amp;"'!$N$6:$N$205"),MATCH($AR52&amp;"|"&amp;L$5,INDIRECT("'"&amp;$B52&amp;"'!$AF$6:$AF$205"),0))),"-"))</f>
        <v/>
      </c>
      <c r="M52" s="34">
        <f>IF(OR(AP52="",M$5="-"),"",IFERROR(IF(INDEX(INDIRECT("'"&amp;$B52&amp;"'!$N$6:$N$205"),MATCH($AR52&amp;"|"&amp;M$5,INDIRECT("'"&amp;$B52&amp;"'!$AF$6:$AF$205"),0))="","",INDEX(INDIRECT("'"&amp;$B52&amp;"'!$N$6:$N$205"),MATCH($AR52&amp;"|"&amp;M$5,INDIRECT("'"&amp;$B52&amp;"'!$AF$6:$AF$205"),0))),"-"))</f>
        <v/>
      </c>
      <c r="N52" s="34">
        <f>IF(OR(AP52="",N$5="-"),"",IFERROR(IF(INDEX(INDIRECT("'"&amp;$B52&amp;"'!$N$6:$N$205"),MATCH($AR52&amp;"|"&amp;N$5,INDIRECT("'"&amp;$B52&amp;"'!$AF$6:$AF$205"),0))="","",INDEX(INDIRECT("'"&amp;$B52&amp;"'!$N$6:$N$205"),MATCH($AR52&amp;"|"&amp;N$5,INDIRECT("'"&amp;$B52&amp;"'!$AF$6:$AF$205"),0))),"-"))</f>
        <v/>
      </c>
      <c r="O52" s="34">
        <f>IF(OR(AP52="",O$5="-"),"",IFERROR(IF(INDEX(INDIRECT("'"&amp;$B52&amp;"'!$N$6:$N$205"),MATCH($AR52&amp;"|"&amp;O$5,INDIRECT("'"&amp;$B52&amp;"'!$AF$6:$AF$205"),0))="","",INDEX(INDIRECT("'"&amp;$B52&amp;"'!$N$6:$N$205"),MATCH($AR52&amp;"|"&amp;O$5,INDIRECT("'"&amp;$B52&amp;"'!$AF$6:$AF$205"),0))),"-"))</f>
        <v/>
      </c>
      <c r="P52" s="37">
        <f>IF(OR(AP52="",P$5="-"),"",IFERROR(IF(INDEX(INDIRECT("'"&amp;$B52&amp;"'!$R$6:$R$205"),MATCH($AR52&amp;"|"&amp;P$5,INDIRECT("'"&amp;$B52&amp;"'!$AF$6:$AF$205"),0))="","",INDEX(INDIRECT("'"&amp;$B52&amp;"'!$R$6:$R$205"),MATCH($AR52&amp;"|"&amp;P$5,INDIRECT("'"&amp;$B52&amp;"'!$AF$6:$AF$205"),0))),"-"))</f>
        <v/>
      </c>
      <c r="Q52" s="37">
        <f>IF(OR(AP52="",Q$5="-"),"",IFERROR(IF(INDEX(INDIRECT("'"&amp;$B52&amp;"'!$R$6:$R$205"),MATCH($AR52&amp;"|"&amp;Q$5,INDIRECT("'"&amp;$B52&amp;"'!$AF$6:$AF$205"),0))="","",INDEX(INDIRECT("'"&amp;$B52&amp;"'!$R$6:$R$205"),MATCH($AR52&amp;"|"&amp;Q$5,INDIRECT("'"&amp;$B52&amp;"'!$AF$6:$AF$205"),0))),"-"))</f>
        <v/>
      </c>
      <c r="R52" s="37">
        <f>IF(OR(AP52="",R$5="-"),"",IFERROR(IF(INDEX(INDIRECT("'"&amp;$B52&amp;"'!$R$6:$R$205"),MATCH($AR52&amp;"|"&amp;R$5,INDIRECT("'"&amp;$B52&amp;"'!$AF$6:$AF$205"),0))="","",INDEX(INDIRECT("'"&amp;$B52&amp;"'!$R$6:$R$205"),MATCH($AR52&amp;"|"&amp;R$5,INDIRECT("'"&amp;$B52&amp;"'!$AF$6:$AF$205"),0))),"-"))</f>
        <v/>
      </c>
      <c r="S52" s="37">
        <f>IF(OR(AP52="",S$5="-"),"",IFERROR(IF(INDEX(INDIRECT("'"&amp;$B52&amp;"'!$R$6:$R$205"),MATCH($AR52&amp;"|"&amp;S$5,INDIRECT("'"&amp;$B52&amp;"'!$AF$6:$AF$205"),0))="","",INDEX(INDIRECT("'"&amp;$B52&amp;"'!$R$6:$R$205"),MATCH($AR52&amp;"|"&amp;S$5,INDIRECT("'"&amp;$B52&amp;"'!$AF$6:$AF$205"),0))),"-"))</f>
        <v/>
      </c>
      <c r="T52" s="37">
        <f>IF(OR(AP52="",T$5="-"),"",IFERROR(IF(INDEX(INDIRECT("'"&amp;$B52&amp;"'!$R$6:$R$205"),MATCH($AR52&amp;"|"&amp;T$5,INDIRECT("'"&amp;$B52&amp;"'!$AF$6:$AF$205"),0))="","",INDEX(INDIRECT("'"&amp;$B52&amp;"'!$R$6:$R$205"),MATCH($AR52&amp;"|"&amp;T$5,INDIRECT("'"&amp;$B52&amp;"'!$AF$6:$AF$205"),0))),"-"))</f>
        <v/>
      </c>
      <c r="U52" s="37">
        <f>IF(OR(AP52="",U$5="-"),"",IFERROR(IF(INDEX(INDIRECT("'"&amp;$B52&amp;"'!$R$6:$R$205"),MATCH($AR52&amp;"|"&amp;U$5,INDIRECT("'"&amp;$B52&amp;"'!$AF$6:$AF$205"),0))="","",INDEX(INDIRECT("'"&amp;$B52&amp;"'!$R$6:$R$205"),MATCH($AR52&amp;"|"&amp;U$5,INDIRECT("'"&amp;$B52&amp;"'!$AF$6:$AF$205"),0))),"-"))</f>
        <v/>
      </c>
      <c r="V52" s="37">
        <f>IF(OR(AP52="",V$5="-"),"",IFERROR(IF(INDEX(INDIRECT("'"&amp;$B52&amp;"'!$R$6:$R$205"),MATCH($AR52&amp;"|"&amp;V$5,INDIRECT("'"&amp;$B52&amp;"'!$AF$6:$AF$205"),0))="","",INDEX(INDIRECT("'"&amp;$B52&amp;"'!$R$6:$R$205"),MATCH($AR52&amp;"|"&amp;V$5,INDIRECT("'"&amp;$B52&amp;"'!$AF$6:$AF$205"),0))),"-"))</f>
        <v/>
      </c>
      <c r="W52" s="37">
        <f>IF(OR(AP52="",W$5="-"),"",IFERROR(IF(INDEX(INDIRECT("'"&amp;$B52&amp;"'!$R$6:$R$205"),MATCH($AR52&amp;"|"&amp;W$5,INDIRECT("'"&amp;$B52&amp;"'!$AF$6:$AF$205"),0))="","",INDEX(INDIRECT("'"&amp;$B52&amp;"'!$R$6:$R$205"),MATCH($AR52&amp;"|"&amp;W$5,INDIRECT("'"&amp;$B52&amp;"'!$AF$6:$AF$205"),0))),"-"))</f>
        <v/>
      </c>
      <c r="X52" s="38">
        <f>IF(OR(AP52="",X$5="-"),"",IFERROR(IF(INDEX(INDIRECT("'"&amp;$B52&amp;"'!$T$6:$T$205"),MATCH($AR52&amp;"|"&amp;X$5,INDIRECT("'"&amp;$B52&amp;"'!$AF$6:$AF$205"),0))="","",INDEX(INDIRECT("'"&amp;$B52&amp;"'!$T$6:$T$205"),MATCH($AR52&amp;"|"&amp;X$5,INDIRECT("'"&amp;$B52&amp;"'!$AF$6:$AF$205"),0))),"-"))</f>
        <v/>
      </c>
      <c r="Y52" s="38">
        <f>IF(OR(AP52="",Y$5="-"),"",IFERROR(IF(INDEX(INDIRECT("'"&amp;$B52&amp;"'!$T$6:$T$205"),MATCH($AR52&amp;"|"&amp;Y$5,INDIRECT("'"&amp;$B52&amp;"'!$AF$6:$AF$205"),0))="","",INDEX(INDIRECT("'"&amp;$B52&amp;"'!$T$6:$T$205"),MATCH($AR52&amp;"|"&amp;Y$5,INDIRECT("'"&amp;$B52&amp;"'!$AF$6:$AF$205"),0))),"-"))</f>
        <v/>
      </c>
      <c r="Z52" s="38">
        <f>IF(OR(AP52="",Z$5="-"),"",IFERROR(IF(INDEX(INDIRECT("'"&amp;$B52&amp;"'!$T$6:$T$205"),MATCH($AR52&amp;"|"&amp;Z$5,INDIRECT("'"&amp;$B52&amp;"'!$AF$6:$AF$205"),0))="","",INDEX(INDIRECT("'"&amp;$B52&amp;"'!$T$6:$T$205"),MATCH($AR52&amp;"|"&amp;Z$5,INDIRECT("'"&amp;$B52&amp;"'!$AF$6:$AF$205"),0))),"-"))</f>
        <v/>
      </c>
      <c r="AA52" s="38">
        <f>IF(OR(AP52="",AA$5="-"),"",IFERROR(IF(INDEX(INDIRECT("'"&amp;$B52&amp;"'!$T$6:$T$205"),MATCH($AR52&amp;"|"&amp;AA$5,INDIRECT("'"&amp;$B52&amp;"'!$AF$6:$AF$205"),0))="","",INDEX(INDIRECT("'"&amp;$B52&amp;"'!$T$6:$T$205"),MATCH($AR52&amp;"|"&amp;AA$5,INDIRECT("'"&amp;$B52&amp;"'!$AF$6:$AF$205"),0))),"-"))</f>
        <v/>
      </c>
      <c r="AB52" s="38">
        <f>IF(OR(AP52="",AB$5="-"),"",IFERROR(IF(INDEX(INDIRECT("'"&amp;$B52&amp;"'!$T$6:$T$205"),MATCH($AR52&amp;"|"&amp;AB$5,INDIRECT("'"&amp;$B52&amp;"'!$AF$6:$AF$205"),0))="","",INDEX(INDIRECT("'"&amp;$B52&amp;"'!$T$6:$T$205"),MATCH($AR52&amp;"|"&amp;AB$5,INDIRECT("'"&amp;$B52&amp;"'!$AF$6:$AF$205"),0))),"-"))</f>
        <v/>
      </c>
      <c r="AC52" s="38">
        <f>IF(OR(AP52="",AC$5="-"),"",IFERROR(IF(INDEX(INDIRECT("'"&amp;$B52&amp;"'!$T$6:$T$205"),MATCH($AR52&amp;"|"&amp;AC$5,INDIRECT("'"&amp;$B52&amp;"'!$AF$6:$AF$205"),0))="","",INDEX(INDIRECT("'"&amp;$B52&amp;"'!$T$6:$T$205"),MATCH($AR52&amp;"|"&amp;AC$5,INDIRECT("'"&amp;$B52&amp;"'!$AF$6:$AF$205"),0))),"-"))</f>
        <v/>
      </c>
      <c r="AD52" s="38">
        <f>IF(OR(AP52="",AD$5="-"),"",IFERROR(IF(INDEX(INDIRECT("'"&amp;$B52&amp;"'!$T$6:$T$205"),MATCH($AR52&amp;"|"&amp;AD$5,INDIRECT("'"&amp;$B52&amp;"'!$AF$6:$AF$205"),0))="","",INDEX(INDIRECT("'"&amp;$B52&amp;"'!$T$6:$T$205"),MATCH($AR52&amp;"|"&amp;AD$5,INDIRECT("'"&amp;$B52&amp;"'!$AF$6:$AF$205"),0))),"-"))</f>
        <v/>
      </c>
      <c r="AE52" s="38">
        <f>IF(OR(AP52="",AE$5="-"),"",IFERROR(IF(INDEX(INDIRECT("'"&amp;$B52&amp;"'!$T$6:$T$205"),MATCH($AR52&amp;"|"&amp;AE$5,INDIRECT("'"&amp;$B52&amp;"'!$AF$6:$AF$205"),0))="","",INDEX(INDIRECT("'"&amp;$B52&amp;"'!$T$6:$T$205"),MATCH($AR52&amp;"|"&amp;AE$5,INDIRECT("'"&amp;$B52&amp;"'!$AF$6:$AF$205"),0))),"-"))</f>
        <v/>
      </c>
      <c r="AF52" s="35">
        <f>IF(AG52="","",INDEX($P$5:$W$5,MATCH(AG52,P52:W52,0)))</f>
        <v/>
      </c>
      <c r="AG52" s="37">
        <f>IF(COUNT(P52:W52)=0,"",MIN(P52:W52))</f>
        <v/>
      </c>
      <c r="AH52" s="39">
        <f>IF(AG52="","",AG52*F52)</f>
        <v/>
      </c>
      <c r="AI52" s="39">
        <f>IF(COUNT(P52:W52)&lt;2,"",(MAX(P52:W52)-MIN(P52:W52))*F52)</f>
        <v/>
      </c>
      <c r="AJ52" s="20" t="n"/>
      <c r="AP52">
        <f>IF(47&gt;MAX($AN$6:$AN$9),"",COUNTIF($AN$6:$AN$9,"&lt;"&amp;47)+1)</f>
        <v/>
      </c>
      <c r="AQ52">
        <f>IF(AP52="","",47-INDEX($AO$6:$AO$9,AP52))</f>
        <v/>
      </c>
      <c r="AR52">
        <f>IF(AP52="","",INDEX(INDIRECT("'"&amp;$B52&amp;"'!$AE$6:$AE$205"),MATCH(AQ52,INDIRECT("'"&amp;$B52&amp;"'!$AI$6:$AI$205"),0)))</f>
        <v/>
      </c>
    </row>
    <row r="53">
      <c r="A53" s="34">
        <f>IF(AP53="","",48)</f>
        <v/>
      </c>
      <c r="B53" s="35">
        <f>IF(AP53="","",INDEX($AL$6:$AL$9,AP53))</f>
        <v/>
      </c>
      <c r="C53" s="34">
        <f>IF(AP53="","",INDEX(INDIRECT("'"&amp;$B53&amp;"'!$B$6:$B$205"),MATCH($AR53,INDIRECT("'"&amp;$B53&amp;"'!$AE$6:$AE$205"),0)))</f>
        <v/>
      </c>
      <c r="D53" s="34">
        <f>IF(AP53="","",INDEX(INDIRECT("'"&amp;$B53&amp;"'!$D$6:$D$205"),MATCH($AR53,INDIRECT("'"&amp;$B53&amp;"'!$AE$6:$AE$205"),0)))</f>
        <v/>
      </c>
      <c r="E53" s="36">
        <f>IF(AP53="","",INDEX(INDIRECT("'"&amp;$B53&amp;"'!$F$6:$F$205"),MATCH($AR53,INDIRECT("'"&amp;$B53&amp;"'!$AE$6:$AE$205"),0)))</f>
        <v/>
      </c>
      <c r="F53" s="34">
        <f>IF(AP53="","",INDEX(INDIRECT("'"&amp;$B53&amp;"'!$K$6:$K$205"),MATCH($AR53,INDIRECT("'"&amp;$B53&amp;"'!$AE$6:$AE$205"),0)))</f>
        <v/>
      </c>
      <c r="G53" s="34">
        <f>IF(AP53="","",INDEX(INDIRECT("'"&amp;$B53&amp;"'!$L$6:$L$205"),MATCH($AR53,INDIRECT("'"&amp;$B53&amp;"'!$AE$6:$AE$205"),0)))</f>
        <v/>
      </c>
      <c r="H53" s="34">
        <f>IF(OR(AP53="",H$5="-"),"",IFERROR(IF(INDEX(INDIRECT("'"&amp;$B53&amp;"'!$N$6:$N$205"),MATCH($AR53&amp;"|"&amp;H$5,INDIRECT("'"&amp;$B53&amp;"'!$AF$6:$AF$205"),0))="","",INDEX(INDIRECT("'"&amp;$B53&amp;"'!$N$6:$N$205"),MATCH($AR53&amp;"|"&amp;H$5,INDIRECT("'"&amp;$B53&amp;"'!$AF$6:$AF$205"),0))),"-"))</f>
        <v/>
      </c>
      <c r="I53" s="34">
        <f>IF(OR(AP53="",I$5="-"),"",IFERROR(IF(INDEX(INDIRECT("'"&amp;$B53&amp;"'!$N$6:$N$205"),MATCH($AR53&amp;"|"&amp;I$5,INDIRECT("'"&amp;$B53&amp;"'!$AF$6:$AF$205"),0))="","",INDEX(INDIRECT("'"&amp;$B53&amp;"'!$N$6:$N$205"),MATCH($AR53&amp;"|"&amp;I$5,INDIRECT("'"&amp;$B53&amp;"'!$AF$6:$AF$205"),0))),"-"))</f>
        <v/>
      </c>
      <c r="J53" s="34">
        <f>IF(OR(AP53="",J$5="-"),"",IFERROR(IF(INDEX(INDIRECT("'"&amp;$B53&amp;"'!$N$6:$N$205"),MATCH($AR53&amp;"|"&amp;J$5,INDIRECT("'"&amp;$B53&amp;"'!$AF$6:$AF$205"),0))="","",INDEX(INDIRECT("'"&amp;$B53&amp;"'!$N$6:$N$205"),MATCH($AR53&amp;"|"&amp;J$5,INDIRECT("'"&amp;$B53&amp;"'!$AF$6:$AF$205"),0))),"-"))</f>
        <v/>
      </c>
      <c r="K53" s="34">
        <f>IF(OR(AP53="",K$5="-"),"",IFERROR(IF(INDEX(INDIRECT("'"&amp;$B53&amp;"'!$N$6:$N$205"),MATCH($AR53&amp;"|"&amp;K$5,INDIRECT("'"&amp;$B53&amp;"'!$AF$6:$AF$205"),0))="","",INDEX(INDIRECT("'"&amp;$B53&amp;"'!$N$6:$N$205"),MATCH($AR53&amp;"|"&amp;K$5,INDIRECT("'"&amp;$B53&amp;"'!$AF$6:$AF$205"),0))),"-"))</f>
        <v/>
      </c>
      <c r="L53" s="34">
        <f>IF(OR(AP53="",L$5="-"),"",IFERROR(IF(INDEX(INDIRECT("'"&amp;$B53&amp;"'!$N$6:$N$205"),MATCH($AR53&amp;"|"&amp;L$5,INDIRECT("'"&amp;$B53&amp;"'!$AF$6:$AF$205"),0))="","",INDEX(INDIRECT("'"&amp;$B53&amp;"'!$N$6:$N$205"),MATCH($AR53&amp;"|"&amp;L$5,INDIRECT("'"&amp;$B53&amp;"'!$AF$6:$AF$205"),0))),"-"))</f>
        <v/>
      </c>
      <c r="M53" s="34">
        <f>IF(OR(AP53="",M$5="-"),"",IFERROR(IF(INDEX(INDIRECT("'"&amp;$B53&amp;"'!$N$6:$N$205"),MATCH($AR53&amp;"|"&amp;M$5,INDIRECT("'"&amp;$B53&amp;"'!$AF$6:$AF$205"),0))="","",INDEX(INDIRECT("'"&amp;$B53&amp;"'!$N$6:$N$205"),MATCH($AR53&amp;"|"&amp;M$5,INDIRECT("'"&amp;$B53&amp;"'!$AF$6:$AF$205"),0))),"-"))</f>
        <v/>
      </c>
      <c r="N53" s="34">
        <f>IF(OR(AP53="",N$5="-"),"",IFERROR(IF(INDEX(INDIRECT("'"&amp;$B53&amp;"'!$N$6:$N$205"),MATCH($AR53&amp;"|"&amp;N$5,INDIRECT("'"&amp;$B53&amp;"'!$AF$6:$AF$205"),0))="","",INDEX(INDIRECT("'"&amp;$B53&amp;"'!$N$6:$N$205"),MATCH($AR53&amp;"|"&amp;N$5,INDIRECT("'"&amp;$B53&amp;"'!$AF$6:$AF$205"),0))),"-"))</f>
        <v/>
      </c>
      <c r="O53" s="34">
        <f>IF(OR(AP53="",O$5="-"),"",IFERROR(IF(INDEX(INDIRECT("'"&amp;$B53&amp;"'!$N$6:$N$205"),MATCH($AR53&amp;"|"&amp;O$5,INDIRECT("'"&amp;$B53&amp;"'!$AF$6:$AF$205"),0))="","",INDEX(INDIRECT("'"&amp;$B53&amp;"'!$N$6:$N$205"),MATCH($AR53&amp;"|"&amp;O$5,INDIRECT("'"&amp;$B53&amp;"'!$AF$6:$AF$205"),0))),"-"))</f>
        <v/>
      </c>
      <c r="P53" s="37">
        <f>IF(OR(AP53="",P$5="-"),"",IFERROR(IF(INDEX(INDIRECT("'"&amp;$B53&amp;"'!$R$6:$R$205"),MATCH($AR53&amp;"|"&amp;P$5,INDIRECT("'"&amp;$B53&amp;"'!$AF$6:$AF$205"),0))="","",INDEX(INDIRECT("'"&amp;$B53&amp;"'!$R$6:$R$205"),MATCH($AR53&amp;"|"&amp;P$5,INDIRECT("'"&amp;$B53&amp;"'!$AF$6:$AF$205"),0))),"-"))</f>
        <v/>
      </c>
      <c r="Q53" s="37">
        <f>IF(OR(AP53="",Q$5="-"),"",IFERROR(IF(INDEX(INDIRECT("'"&amp;$B53&amp;"'!$R$6:$R$205"),MATCH($AR53&amp;"|"&amp;Q$5,INDIRECT("'"&amp;$B53&amp;"'!$AF$6:$AF$205"),0))="","",INDEX(INDIRECT("'"&amp;$B53&amp;"'!$R$6:$R$205"),MATCH($AR53&amp;"|"&amp;Q$5,INDIRECT("'"&amp;$B53&amp;"'!$AF$6:$AF$205"),0))),"-"))</f>
        <v/>
      </c>
      <c r="R53" s="37">
        <f>IF(OR(AP53="",R$5="-"),"",IFERROR(IF(INDEX(INDIRECT("'"&amp;$B53&amp;"'!$R$6:$R$205"),MATCH($AR53&amp;"|"&amp;R$5,INDIRECT("'"&amp;$B53&amp;"'!$AF$6:$AF$205"),0))="","",INDEX(INDIRECT("'"&amp;$B53&amp;"'!$R$6:$R$205"),MATCH($AR53&amp;"|"&amp;R$5,INDIRECT("'"&amp;$B53&amp;"'!$AF$6:$AF$205"),0))),"-"))</f>
        <v/>
      </c>
      <c r="S53" s="37">
        <f>IF(OR(AP53="",S$5="-"),"",IFERROR(IF(INDEX(INDIRECT("'"&amp;$B53&amp;"'!$R$6:$R$205"),MATCH($AR53&amp;"|"&amp;S$5,INDIRECT("'"&amp;$B53&amp;"'!$AF$6:$AF$205"),0))="","",INDEX(INDIRECT("'"&amp;$B53&amp;"'!$R$6:$R$205"),MATCH($AR53&amp;"|"&amp;S$5,INDIRECT("'"&amp;$B53&amp;"'!$AF$6:$AF$205"),0))),"-"))</f>
        <v/>
      </c>
      <c r="T53" s="37">
        <f>IF(OR(AP53="",T$5="-"),"",IFERROR(IF(INDEX(INDIRECT("'"&amp;$B53&amp;"'!$R$6:$R$205"),MATCH($AR53&amp;"|"&amp;T$5,INDIRECT("'"&amp;$B53&amp;"'!$AF$6:$AF$205"),0))="","",INDEX(INDIRECT("'"&amp;$B53&amp;"'!$R$6:$R$205"),MATCH($AR53&amp;"|"&amp;T$5,INDIRECT("'"&amp;$B53&amp;"'!$AF$6:$AF$205"),0))),"-"))</f>
        <v/>
      </c>
      <c r="U53" s="37">
        <f>IF(OR(AP53="",U$5="-"),"",IFERROR(IF(INDEX(INDIRECT("'"&amp;$B53&amp;"'!$R$6:$R$205"),MATCH($AR53&amp;"|"&amp;U$5,INDIRECT("'"&amp;$B53&amp;"'!$AF$6:$AF$205"),0))="","",INDEX(INDIRECT("'"&amp;$B53&amp;"'!$R$6:$R$205"),MATCH($AR53&amp;"|"&amp;U$5,INDIRECT("'"&amp;$B53&amp;"'!$AF$6:$AF$205"),0))),"-"))</f>
        <v/>
      </c>
      <c r="V53" s="37">
        <f>IF(OR(AP53="",V$5="-"),"",IFERROR(IF(INDEX(INDIRECT("'"&amp;$B53&amp;"'!$R$6:$R$205"),MATCH($AR53&amp;"|"&amp;V$5,INDIRECT("'"&amp;$B53&amp;"'!$AF$6:$AF$205"),0))="","",INDEX(INDIRECT("'"&amp;$B53&amp;"'!$R$6:$R$205"),MATCH($AR53&amp;"|"&amp;V$5,INDIRECT("'"&amp;$B53&amp;"'!$AF$6:$AF$205"),0))),"-"))</f>
        <v/>
      </c>
      <c r="W53" s="37">
        <f>IF(OR(AP53="",W$5="-"),"",IFERROR(IF(INDEX(INDIRECT("'"&amp;$B53&amp;"'!$R$6:$R$205"),MATCH($AR53&amp;"|"&amp;W$5,INDIRECT("'"&amp;$B53&amp;"'!$AF$6:$AF$205"),0))="","",INDEX(INDIRECT("'"&amp;$B53&amp;"'!$R$6:$R$205"),MATCH($AR53&amp;"|"&amp;W$5,INDIRECT("'"&amp;$B53&amp;"'!$AF$6:$AF$205"),0))),"-"))</f>
        <v/>
      </c>
      <c r="X53" s="38">
        <f>IF(OR(AP53="",X$5="-"),"",IFERROR(IF(INDEX(INDIRECT("'"&amp;$B53&amp;"'!$T$6:$T$205"),MATCH($AR53&amp;"|"&amp;X$5,INDIRECT("'"&amp;$B53&amp;"'!$AF$6:$AF$205"),0))="","",INDEX(INDIRECT("'"&amp;$B53&amp;"'!$T$6:$T$205"),MATCH($AR53&amp;"|"&amp;X$5,INDIRECT("'"&amp;$B53&amp;"'!$AF$6:$AF$205"),0))),"-"))</f>
        <v/>
      </c>
      <c r="Y53" s="38">
        <f>IF(OR(AP53="",Y$5="-"),"",IFERROR(IF(INDEX(INDIRECT("'"&amp;$B53&amp;"'!$T$6:$T$205"),MATCH($AR53&amp;"|"&amp;Y$5,INDIRECT("'"&amp;$B53&amp;"'!$AF$6:$AF$205"),0))="","",INDEX(INDIRECT("'"&amp;$B53&amp;"'!$T$6:$T$205"),MATCH($AR53&amp;"|"&amp;Y$5,INDIRECT("'"&amp;$B53&amp;"'!$AF$6:$AF$205"),0))),"-"))</f>
        <v/>
      </c>
      <c r="Z53" s="38">
        <f>IF(OR(AP53="",Z$5="-"),"",IFERROR(IF(INDEX(INDIRECT("'"&amp;$B53&amp;"'!$T$6:$T$205"),MATCH($AR53&amp;"|"&amp;Z$5,INDIRECT("'"&amp;$B53&amp;"'!$AF$6:$AF$205"),0))="","",INDEX(INDIRECT("'"&amp;$B53&amp;"'!$T$6:$T$205"),MATCH($AR53&amp;"|"&amp;Z$5,INDIRECT("'"&amp;$B53&amp;"'!$AF$6:$AF$205"),0))),"-"))</f>
        <v/>
      </c>
      <c r="AA53" s="38">
        <f>IF(OR(AP53="",AA$5="-"),"",IFERROR(IF(INDEX(INDIRECT("'"&amp;$B53&amp;"'!$T$6:$T$205"),MATCH($AR53&amp;"|"&amp;AA$5,INDIRECT("'"&amp;$B53&amp;"'!$AF$6:$AF$205"),0))="","",INDEX(INDIRECT("'"&amp;$B53&amp;"'!$T$6:$T$205"),MATCH($AR53&amp;"|"&amp;AA$5,INDIRECT("'"&amp;$B53&amp;"'!$AF$6:$AF$205"),0))),"-"))</f>
        <v/>
      </c>
      <c r="AB53" s="38">
        <f>IF(OR(AP53="",AB$5="-"),"",IFERROR(IF(INDEX(INDIRECT("'"&amp;$B53&amp;"'!$T$6:$T$205"),MATCH($AR53&amp;"|"&amp;AB$5,INDIRECT("'"&amp;$B53&amp;"'!$AF$6:$AF$205"),0))="","",INDEX(INDIRECT("'"&amp;$B53&amp;"'!$T$6:$T$205"),MATCH($AR53&amp;"|"&amp;AB$5,INDIRECT("'"&amp;$B53&amp;"'!$AF$6:$AF$205"),0))),"-"))</f>
        <v/>
      </c>
      <c r="AC53" s="38">
        <f>IF(OR(AP53="",AC$5="-"),"",IFERROR(IF(INDEX(INDIRECT("'"&amp;$B53&amp;"'!$T$6:$T$205"),MATCH($AR53&amp;"|"&amp;AC$5,INDIRECT("'"&amp;$B53&amp;"'!$AF$6:$AF$205"),0))="","",INDEX(INDIRECT("'"&amp;$B53&amp;"'!$T$6:$T$205"),MATCH($AR53&amp;"|"&amp;AC$5,INDIRECT("'"&amp;$B53&amp;"'!$AF$6:$AF$205"),0))),"-"))</f>
        <v/>
      </c>
      <c r="AD53" s="38">
        <f>IF(OR(AP53="",AD$5="-"),"",IFERROR(IF(INDEX(INDIRECT("'"&amp;$B53&amp;"'!$T$6:$T$205"),MATCH($AR53&amp;"|"&amp;AD$5,INDIRECT("'"&amp;$B53&amp;"'!$AF$6:$AF$205"),0))="","",INDEX(INDIRECT("'"&amp;$B53&amp;"'!$T$6:$T$205"),MATCH($AR53&amp;"|"&amp;AD$5,INDIRECT("'"&amp;$B53&amp;"'!$AF$6:$AF$205"),0))),"-"))</f>
        <v/>
      </c>
      <c r="AE53" s="38">
        <f>IF(OR(AP53="",AE$5="-"),"",IFERROR(IF(INDEX(INDIRECT("'"&amp;$B53&amp;"'!$T$6:$T$205"),MATCH($AR53&amp;"|"&amp;AE$5,INDIRECT("'"&amp;$B53&amp;"'!$AF$6:$AF$205"),0))="","",INDEX(INDIRECT("'"&amp;$B53&amp;"'!$T$6:$T$205"),MATCH($AR53&amp;"|"&amp;AE$5,INDIRECT("'"&amp;$B53&amp;"'!$AF$6:$AF$205"),0))),"-"))</f>
        <v/>
      </c>
      <c r="AF53" s="35">
        <f>IF(AG53="","",INDEX($P$5:$W$5,MATCH(AG53,P53:W53,0)))</f>
        <v/>
      </c>
      <c r="AG53" s="37">
        <f>IF(COUNT(P53:W53)=0,"",MIN(P53:W53))</f>
        <v/>
      </c>
      <c r="AH53" s="39">
        <f>IF(AG53="","",AG53*F53)</f>
        <v/>
      </c>
      <c r="AI53" s="39">
        <f>IF(COUNT(P53:W53)&lt;2,"",(MAX(P53:W53)-MIN(P53:W53))*F53)</f>
        <v/>
      </c>
      <c r="AJ53" s="20" t="n"/>
      <c r="AP53">
        <f>IF(48&gt;MAX($AN$6:$AN$9),"",COUNTIF($AN$6:$AN$9,"&lt;"&amp;48)+1)</f>
        <v/>
      </c>
      <c r="AQ53">
        <f>IF(AP53="","",48-INDEX($AO$6:$AO$9,AP53))</f>
        <v/>
      </c>
      <c r="AR53">
        <f>IF(AP53="","",INDEX(INDIRECT("'"&amp;$B53&amp;"'!$AE$6:$AE$205"),MATCH(AQ53,INDIRECT("'"&amp;$B53&amp;"'!$AI$6:$AI$205"),0)))</f>
        <v/>
      </c>
    </row>
    <row r="54">
      <c r="A54" s="34">
        <f>IF(AP54="","",49)</f>
        <v/>
      </c>
      <c r="B54" s="35">
        <f>IF(AP54="","",INDEX($AL$6:$AL$9,AP54))</f>
        <v/>
      </c>
      <c r="C54" s="34">
        <f>IF(AP54="","",INDEX(INDIRECT("'"&amp;$B54&amp;"'!$B$6:$B$205"),MATCH($AR54,INDIRECT("'"&amp;$B54&amp;"'!$AE$6:$AE$205"),0)))</f>
        <v/>
      </c>
      <c r="D54" s="34">
        <f>IF(AP54="","",INDEX(INDIRECT("'"&amp;$B54&amp;"'!$D$6:$D$205"),MATCH($AR54,INDIRECT("'"&amp;$B54&amp;"'!$AE$6:$AE$205"),0)))</f>
        <v/>
      </c>
      <c r="E54" s="36">
        <f>IF(AP54="","",INDEX(INDIRECT("'"&amp;$B54&amp;"'!$F$6:$F$205"),MATCH($AR54,INDIRECT("'"&amp;$B54&amp;"'!$AE$6:$AE$205"),0)))</f>
        <v/>
      </c>
      <c r="F54" s="34">
        <f>IF(AP54="","",INDEX(INDIRECT("'"&amp;$B54&amp;"'!$K$6:$K$205"),MATCH($AR54,INDIRECT("'"&amp;$B54&amp;"'!$AE$6:$AE$205"),0)))</f>
        <v/>
      </c>
      <c r="G54" s="34">
        <f>IF(AP54="","",INDEX(INDIRECT("'"&amp;$B54&amp;"'!$L$6:$L$205"),MATCH($AR54,INDIRECT("'"&amp;$B54&amp;"'!$AE$6:$AE$205"),0)))</f>
        <v/>
      </c>
      <c r="H54" s="34">
        <f>IF(OR(AP54="",H$5="-"),"",IFERROR(IF(INDEX(INDIRECT("'"&amp;$B54&amp;"'!$N$6:$N$205"),MATCH($AR54&amp;"|"&amp;H$5,INDIRECT("'"&amp;$B54&amp;"'!$AF$6:$AF$205"),0))="","",INDEX(INDIRECT("'"&amp;$B54&amp;"'!$N$6:$N$205"),MATCH($AR54&amp;"|"&amp;H$5,INDIRECT("'"&amp;$B54&amp;"'!$AF$6:$AF$205"),0))),"-"))</f>
        <v/>
      </c>
      <c r="I54" s="34">
        <f>IF(OR(AP54="",I$5="-"),"",IFERROR(IF(INDEX(INDIRECT("'"&amp;$B54&amp;"'!$N$6:$N$205"),MATCH($AR54&amp;"|"&amp;I$5,INDIRECT("'"&amp;$B54&amp;"'!$AF$6:$AF$205"),0))="","",INDEX(INDIRECT("'"&amp;$B54&amp;"'!$N$6:$N$205"),MATCH($AR54&amp;"|"&amp;I$5,INDIRECT("'"&amp;$B54&amp;"'!$AF$6:$AF$205"),0))),"-"))</f>
        <v/>
      </c>
      <c r="J54" s="34">
        <f>IF(OR(AP54="",J$5="-"),"",IFERROR(IF(INDEX(INDIRECT("'"&amp;$B54&amp;"'!$N$6:$N$205"),MATCH($AR54&amp;"|"&amp;J$5,INDIRECT("'"&amp;$B54&amp;"'!$AF$6:$AF$205"),0))="","",INDEX(INDIRECT("'"&amp;$B54&amp;"'!$N$6:$N$205"),MATCH($AR54&amp;"|"&amp;J$5,INDIRECT("'"&amp;$B54&amp;"'!$AF$6:$AF$205"),0))),"-"))</f>
        <v/>
      </c>
      <c r="K54" s="34">
        <f>IF(OR(AP54="",K$5="-"),"",IFERROR(IF(INDEX(INDIRECT("'"&amp;$B54&amp;"'!$N$6:$N$205"),MATCH($AR54&amp;"|"&amp;K$5,INDIRECT("'"&amp;$B54&amp;"'!$AF$6:$AF$205"),0))="","",INDEX(INDIRECT("'"&amp;$B54&amp;"'!$N$6:$N$205"),MATCH($AR54&amp;"|"&amp;K$5,INDIRECT("'"&amp;$B54&amp;"'!$AF$6:$AF$205"),0))),"-"))</f>
        <v/>
      </c>
      <c r="L54" s="34">
        <f>IF(OR(AP54="",L$5="-"),"",IFERROR(IF(INDEX(INDIRECT("'"&amp;$B54&amp;"'!$N$6:$N$205"),MATCH($AR54&amp;"|"&amp;L$5,INDIRECT("'"&amp;$B54&amp;"'!$AF$6:$AF$205"),0))="","",INDEX(INDIRECT("'"&amp;$B54&amp;"'!$N$6:$N$205"),MATCH($AR54&amp;"|"&amp;L$5,INDIRECT("'"&amp;$B54&amp;"'!$AF$6:$AF$205"),0))),"-"))</f>
        <v/>
      </c>
      <c r="M54" s="34">
        <f>IF(OR(AP54="",M$5="-"),"",IFERROR(IF(INDEX(INDIRECT("'"&amp;$B54&amp;"'!$N$6:$N$205"),MATCH($AR54&amp;"|"&amp;M$5,INDIRECT("'"&amp;$B54&amp;"'!$AF$6:$AF$205"),0))="","",INDEX(INDIRECT("'"&amp;$B54&amp;"'!$N$6:$N$205"),MATCH($AR54&amp;"|"&amp;M$5,INDIRECT("'"&amp;$B54&amp;"'!$AF$6:$AF$205"),0))),"-"))</f>
        <v/>
      </c>
      <c r="N54" s="34">
        <f>IF(OR(AP54="",N$5="-"),"",IFERROR(IF(INDEX(INDIRECT("'"&amp;$B54&amp;"'!$N$6:$N$205"),MATCH($AR54&amp;"|"&amp;N$5,INDIRECT("'"&amp;$B54&amp;"'!$AF$6:$AF$205"),0))="","",INDEX(INDIRECT("'"&amp;$B54&amp;"'!$N$6:$N$205"),MATCH($AR54&amp;"|"&amp;N$5,INDIRECT("'"&amp;$B54&amp;"'!$AF$6:$AF$205"),0))),"-"))</f>
        <v/>
      </c>
      <c r="O54" s="34">
        <f>IF(OR(AP54="",O$5="-"),"",IFERROR(IF(INDEX(INDIRECT("'"&amp;$B54&amp;"'!$N$6:$N$205"),MATCH($AR54&amp;"|"&amp;O$5,INDIRECT("'"&amp;$B54&amp;"'!$AF$6:$AF$205"),0))="","",INDEX(INDIRECT("'"&amp;$B54&amp;"'!$N$6:$N$205"),MATCH($AR54&amp;"|"&amp;O$5,INDIRECT("'"&amp;$B54&amp;"'!$AF$6:$AF$205"),0))),"-"))</f>
        <v/>
      </c>
      <c r="P54" s="37">
        <f>IF(OR(AP54="",P$5="-"),"",IFERROR(IF(INDEX(INDIRECT("'"&amp;$B54&amp;"'!$R$6:$R$205"),MATCH($AR54&amp;"|"&amp;P$5,INDIRECT("'"&amp;$B54&amp;"'!$AF$6:$AF$205"),0))="","",INDEX(INDIRECT("'"&amp;$B54&amp;"'!$R$6:$R$205"),MATCH($AR54&amp;"|"&amp;P$5,INDIRECT("'"&amp;$B54&amp;"'!$AF$6:$AF$205"),0))),"-"))</f>
        <v/>
      </c>
      <c r="Q54" s="37">
        <f>IF(OR(AP54="",Q$5="-"),"",IFERROR(IF(INDEX(INDIRECT("'"&amp;$B54&amp;"'!$R$6:$R$205"),MATCH($AR54&amp;"|"&amp;Q$5,INDIRECT("'"&amp;$B54&amp;"'!$AF$6:$AF$205"),0))="","",INDEX(INDIRECT("'"&amp;$B54&amp;"'!$R$6:$R$205"),MATCH($AR54&amp;"|"&amp;Q$5,INDIRECT("'"&amp;$B54&amp;"'!$AF$6:$AF$205"),0))),"-"))</f>
        <v/>
      </c>
      <c r="R54" s="37">
        <f>IF(OR(AP54="",R$5="-"),"",IFERROR(IF(INDEX(INDIRECT("'"&amp;$B54&amp;"'!$R$6:$R$205"),MATCH($AR54&amp;"|"&amp;R$5,INDIRECT("'"&amp;$B54&amp;"'!$AF$6:$AF$205"),0))="","",INDEX(INDIRECT("'"&amp;$B54&amp;"'!$R$6:$R$205"),MATCH($AR54&amp;"|"&amp;R$5,INDIRECT("'"&amp;$B54&amp;"'!$AF$6:$AF$205"),0))),"-"))</f>
        <v/>
      </c>
      <c r="S54" s="37">
        <f>IF(OR(AP54="",S$5="-"),"",IFERROR(IF(INDEX(INDIRECT("'"&amp;$B54&amp;"'!$R$6:$R$205"),MATCH($AR54&amp;"|"&amp;S$5,INDIRECT("'"&amp;$B54&amp;"'!$AF$6:$AF$205"),0))="","",INDEX(INDIRECT("'"&amp;$B54&amp;"'!$R$6:$R$205"),MATCH($AR54&amp;"|"&amp;S$5,INDIRECT("'"&amp;$B54&amp;"'!$AF$6:$AF$205"),0))),"-"))</f>
        <v/>
      </c>
      <c r="T54" s="37">
        <f>IF(OR(AP54="",T$5="-"),"",IFERROR(IF(INDEX(INDIRECT("'"&amp;$B54&amp;"'!$R$6:$R$205"),MATCH($AR54&amp;"|"&amp;T$5,INDIRECT("'"&amp;$B54&amp;"'!$AF$6:$AF$205"),0))="","",INDEX(INDIRECT("'"&amp;$B54&amp;"'!$R$6:$R$205"),MATCH($AR54&amp;"|"&amp;T$5,INDIRECT("'"&amp;$B54&amp;"'!$AF$6:$AF$205"),0))),"-"))</f>
        <v/>
      </c>
      <c r="U54" s="37">
        <f>IF(OR(AP54="",U$5="-"),"",IFERROR(IF(INDEX(INDIRECT("'"&amp;$B54&amp;"'!$R$6:$R$205"),MATCH($AR54&amp;"|"&amp;U$5,INDIRECT("'"&amp;$B54&amp;"'!$AF$6:$AF$205"),0))="","",INDEX(INDIRECT("'"&amp;$B54&amp;"'!$R$6:$R$205"),MATCH($AR54&amp;"|"&amp;U$5,INDIRECT("'"&amp;$B54&amp;"'!$AF$6:$AF$205"),0))),"-"))</f>
        <v/>
      </c>
      <c r="V54" s="37">
        <f>IF(OR(AP54="",V$5="-"),"",IFERROR(IF(INDEX(INDIRECT("'"&amp;$B54&amp;"'!$R$6:$R$205"),MATCH($AR54&amp;"|"&amp;V$5,INDIRECT("'"&amp;$B54&amp;"'!$AF$6:$AF$205"),0))="","",INDEX(INDIRECT("'"&amp;$B54&amp;"'!$R$6:$R$205"),MATCH($AR54&amp;"|"&amp;V$5,INDIRECT("'"&amp;$B54&amp;"'!$AF$6:$AF$205"),0))),"-"))</f>
        <v/>
      </c>
      <c r="W54" s="37">
        <f>IF(OR(AP54="",W$5="-"),"",IFERROR(IF(INDEX(INDIRECT("'"&amp;$B54&amp;"'!$R$6:$R$205"),MATCH($AR54&amp;"|"&amp;W$5,INDIRECT("'"&amp;$B54&amp;"'!$AF$6:$AF$205"),0))="","",INDEX(INDIRECT("'"&amp;$B54&amp;"'!$R$6:$R$205"),MATCH($AR54&amp;"|"&amp;W$5,INDIRECT("'"&amp;$B54&amp;"'!$AF$6:$AF$205"),0))),"-"))</f>
        <v/>
      </c>
      <c r="X54" s="38">
        <f>IF(OR(AP54="",X$5="-"),"",IFERROR(IF(INDEX(INDIRECT("'"&amp;$B54&amp;"'!$T$6:$T$205"),MATCH($AR54&amp;"|"&amp;X$5,INDIRECT("'"&amp;$B54&amp;"'!$AF$6:$AF$205"),0))="","",INDEX(INDIRECT("'"&amp;$B54&amp;"'!$T$6:$T$205"),MATCH($AR54&amp;"|"&amp;X$5,INDIRECT("'"&amp;$B54&amp;"'!$AF$6:$AF$205"),0))),"-"))</f>
        <v/>
      </c>
      <c r="Y54" s="38">
        <f>IF(OR(AP54="",Y$5="-"),"",IFERROR(IF(INDEX(INDIRECT("'"&amp;$B54&amp;"'!$T$6:$T$205"),MATCH($AR54&amp;"|"&amp;Y$5,INDIRECT("'"&amp;$B54&amp;"'!$AF$6:$AF$205"),0))="","",INDEX(INDIRECT("'"&amp;$B54&amp;"'!$T$6:$T$205"),MATCH($AR54&amp;"|"&amp;Y$5,INDIRECT("'"&amp;$B54&amp;"'!$AF$6:$AF$205"),0))),"-"))</f>
        <v/>
      </c>
      <c r="Z54" s="38">
        <f>IF(OR(AP54="",Z$5="-"),"",IFERROR(IF(INDEX(INDIRECT("'"&amp;$B54&amp;"'!$T$6:$T$205"),MATCH($AR54&amp;"|"&amp;Z$5,INDIRECT("'"&amp;$B54&amp;"'!$AF$6:$AF$205"),0))="","",INDEX(INDIRECT("'"&amp;$B54&amp;"'!$T$6:$T$205"),MATCH($AR54&amp;"|"&amp;Z$5,INDIRECT("'"&amp;$B54&amp;"'!$AF$6:$AF$205"),0))),"-"))</f>
        <v/>
      </c>
      <c r="AA54" s="38">
        <f>IF(OR(AP54="",AA$5="-"),"",IFERROR(IF(INDEX(INDIRECT("'"&amp;$B54&amp;"'!$T$6:$T$205"),MATCH($AR54&amp;"|"&amp;AA$5,INDIRECT("'"&amp;$B54&amp;"'!$AF$6:$AF$205"),0))="","",INDEX(INDIRECT("'"&amp;$B54&amp;"'!$T$6:$T$205"),MATCH($AR54&amp;"|"&amp;AA$5,INDIRECT("'"&amp;$B54&amp;"'!$AF$6:$AF$205"),0))),"-"))</f>
        <v/>
      </c>
      <c r="AB54" s="38">
        <f>IF(OR(AP54="",AB$5="-"),"",IFERROR(IF(INDEX(INDIRECT("'"&amp;$B54&amp;"'!$T$6:$T$205"),MATCH($AR54&amp;"|"&amp;AB$5,INDIRECT("'"&amp;$B54&amp;"'!$AF$6:$AF$205"),0))="","",INDEX(INDIRECT("'"&amp;$B54&amp;"'!$T$6:$T$205"),MATCH($AR54&amp;"|"&amp;AB$5,INDIRECT("'"&amp;$B54&amp;"'!$AF$6:$AF$205"),0))),"-"))</f>
        <v/>
      </c>
      <c r="AC54" s="38">
        <f>IF(OR(AP54="",AC$5="-"),"",IFERROR(IF(INDEX(INDIRECT("'"&amp;$B54&amp;"'!$T$6:$T$205"),MATCH($AR54&amp;"|"&amp;AC$5,INDIRECT("'"&amp;$B54&amp;"'!$AF$6:$AF$205"),0))="","",INDEX(INDIRECT("'"&amp;$B54&amp;"'!$T$6:$T$205"),MATCH($AR54&amp;"|"&amp;AC$5,INDIRECT("'"&amp;$B54&amp;"'!$AF$6:$AF$205"),0))),"-"))</f>
        <v/>
      </c>
      <c r="AD54" s="38">
        <f>IF(OR(AP54="",AD$5="-"),"",IFERROR(IF(INDEX(INDIRECT("'"&amp;$B54&amp;"'!$T$6:$T$205"),MATCH($AR54&amp;"|"&amp;AD$5,INDIRECT("'"&amp;$B54&amp;"'!$AF$6:$AF$205"),0))="","",INDEX(INDIRECT("'"&amp;$B54&amp;"'!$T$6:$T$205"),MATCH($AR54&amp;"|"&amp;AD$5,INDIRECT("'"&amp;$B54&amp;"'!$AF$6:$AF$205"),0))),"-"))</f>
        <v/>
      </c>
      <c r="AE54" s="38">
        <f>IF(OR(AP54="",AE$5="-"),"",IFERROR(IF(INDEX(INDIRECT("'"&amp;$B54&amp;"'!$T$6:$T$205"),MATCH($AR54&amp;"|"&amp;AE$5,INDIRECT("'"&amp;$B54&amp;"'!$AF$6:$AF$205"),0))="","",INDEX(INDIRECT("'"&amp;$B54&amp;"'!$T$6:$T$205"),MATCH($AR54&amp;"|"&amp;AE$5,INDIRECT("'"&amp;$B54&amp;"'!$AF$6:$AF$205"),0))),"-"))</f>
        <v/>
      </c>
      <c r="AF54" s="35">
        <f>IF(AG54="","",INDEX($P$5:$W$5,MATCH(AG54,P54:W54,0)))</f>
        <v/>
      </c>
      <c r="AG54" s="37">
        <f>IF(COUNT(P54:W54)=0,"",MIN(P54:W54))</f>
        <v/>
      </c>
      <c r="AH54" s="39">
        <f>IF(AG54="","",AG54*F54)</f>
        <v/>
      </c>
      <c r="AI54" s="39">
        <f>IF(COUNT(P54:W54)&lt;2,"",(MAX(P54:W54)-MIN(P54:W54))*F54)</f>
        <v/>
      </c>
      <c r="AJ54" s="20" t="n"/>
      <c r="AP54">
        <f>IF(49&gt;MAX($AN$6:$AN$9),"",COUNTIF($AN$6:$AN$9,"&lt;"&amp;49)+1)</f>
        <v/>
      </c>
      <c r="AQ54">
        <f>IF(AP54="","",49-INDEX($AO$6:$AO$9,AP54))</f>
        <v/>
      </c>
      <c r="AR54">
        <f>IF(AP54="","",INDEX(INDIRECT("'"&amp;$B54&amp;"'!$AE$6:$AE$205"),MATCH(AQ54,INDIRECT("'"&amp;$B54&amp;"'!$AI$6:$AI$205"),0)))</f>
        <v/>
      </c>
    </row>
    <row r="55">
      <c r="A55" s="34">
        <f>IF(AP55="","",50)</f>
        <v/>
      </c>
      <c r="B55" s="35">
        <f>IF(AP55="","",INDEX($AL$6:$AL$9,AP55))</f>
        <v/>
      </c>
      <c r="C55" s="34">
        <f>IF(AP55="","",INDEX(INDIRECT("'"&amp;$B55&amp;"'!$B$6:$B$205"),MATCH($AR55,INDIRECT("'"&amp;$B55&amp;"'!$AE$6:$AE$205"),0)))</f>
        <v/>
      </c>
      <c r="D55" s="34">
        <f>IF(AP55="","",INDEX(INDIRECT("'"&amp;$B55&amp;"'!$D$6:$D$205"),MATCH($AR55,INDIRECT("'"&amp;$B55&amp;"'!$AE$6:$AE$205"),0)))</f>
        <v/>
      </c>
      <c r="E55" s="36">
        <f>IF(AP55="","",INDEX(INDIRECT("'"&amp;$B55&amp;"'!$F$6:$F$205"),MATCH($AR55,INDIRECT("'"&amp;$B55&amp;"'!$AE$6:$AE$205"),0)))</f>
        <v/>
      </c>
      <c r="F55" s="34">
        <f>IF(AP55="","",INDEX(INDIRECT("'"&amp;$B55&amp;"'!$K$6:$K$205"),MATCH($AR55,INDIRECT("'"&amp;$B55&amp;"'!$AE$6:$AE$205"),0)))</f>
        <v/>
      </c>
      <c r="G55" s="34">
        <f>IF(AP55="","",INDEX(INDIRECT("'"&amp;$B55&amp;"'!$L$6:$L$205"),MATCH($AR55,INDIRECT("'"&amp;$B55&amp;"'!$AE$6:$AE$205"),0)))</f>
        <v/>
      </c>
      <c r="H55" s="34">
        <f>IF(OR(AP55="",H$5="-"),"",IFERROR(IF(INDEX(INDIRECT("'"&amp;$B55&amp;"'!$N$6:$N$205"),MATCH($AR55&amp;"|"&amp;H$5,INDIRECT("'"&amp;$B55&amp;"'!$AF$6:$AF$205"),0))="","",INDEX(INDIRECT("'"&amp;$B55&amp;"'!$N$6:$N$205"),MATCH($AR55&amp;"|"&amp;H$5,INDIRECT("'"&amp;$B55&amp;"'!$AF$6:$AF$205"),0))),"-"))</f>
        <v/>
      </c>
      <c r="I55" s="34">
        <f>IF(OR(AP55="",I$5="-"),"",IFERROR(IF(INDEX(INDIRECT("'"&amp;$B55&amp;"'!$N$6:$N$205"),MATCH($AR55&amp;"|"&amp;I$5,INDIRECT("'"&amp;$B55&amp;"'!$AF$6:$AF$205"),0))="","",INDEX(INDIRECT("'"&amp;$B55&amp;"'!$N$6:$N$205"),MATCH($AR55&amp;"|"&amp;I$5,INDIRECT("'"&amp;$B55&amp;"'!$AF$6:$AF$205"),0))),"-"))</f>
        <v/>
      </c>
      <c r="J55" s="34">
        <f>IF(OR(AP55="",J$5="-"),"",IFERROR(IF(INDEX(INDIRECT("'"&amp;$B55&amp;"'!$N$6:$N$205"),MATCH($AR55&amp;"|"&amp;J$5,INDIRECT("'"&amp;$B55&amp;"'!$AF$6:$AF$205"),0))="","",INDEX(INDIRECT("'"&amp;$B55&amp;"'!$N$6:$N$205"),MATCH($AR55&amp;"|"&amp;J$5,INDIRECT("'"&amp;$B55&amp;"'!$AF$6:$AF$205"),0))),"-"))</f>
        <v/>
      </c>
      <c r="K55" s="34">
        <f>IF(OR(AP55="",K$5="-"),"",IFERROR(IF(INDEX(INDIRECT("'"&amp;$B55&amp;"'!$N$6:$N$205"),MATCH($AR55&amp;"|"&amp;K$5,INDIRECT("'"&amp;$B55&amp;"'!$AF$6:$AF$205"),0))="","",INDEX(INDIRECT("'"&amp;$B55&amp;"'!$N$6:$N$205"),MATCH($AR55&amp;"|"&amp;K$5,INDIRECT("'"&amp;$B55&amp;"'!$AF$6:$AF$205"),0))),"-"))</f>
        <v/>
      </c>
      <c r="L55" s="34">
        <f>IF(OR(AP55="",L$5="-"),"",IFERROR(IF(INDEX(INDIRECT("'"&amp;$B55&amp;"'!$N$6:$N$205"),MATCH($AR55&amp;"|"&amp;L$5,INDIRECT("'"&amp;$B55&amp;"'!$AF$6:$AF$205"),0))="","",INDEX(INDIRECT("'"&amp;$B55&amp;"'!$N$6:$N$205"),MATCH($AR55&amp;"|"&amp;L$5,INDIRECT("'"&amp;$B55&amp;"'!$AF$6:$AF$205"),0))),"-"))</f>
        <v/>
      </c>
      <c r="M55" s="34">
        <f>IF(OR(AP55="",M$5="-"),"",IFERROR(IF(INDEX(INDIRECT("'"&amp;$B55&amp;"'!$N$6:$N$205"),MATCH($AR55&amp;"|"&amp;M$5,INDIRECT("'"&amp;$B55&amp;"'!$AF$6:$AF$205"),0))="","",INDEX(INDIRECT("'"&amp;$B55&amp;"'!$N$6:$N$205"),MATCH($AR55&amp;"|"&amp;M$5,INDIRECT("'"&amp;$B55&amp;"'!$AF$6:$AF$205"),0))),"-"))</f>
        <v/>
      </c>
      <c r="N55" s="34">
        <f>IF(OR(AP55="",N$5="-"),"",IFERROR(IF(INDEX(INDIRECT("'"&amp;$B55&amp;"'!$N$6:$N$205"),MATCH($AR55&amp;"|"&amp;N$5,INDIRECT("'"&amp;$B55&amp;"'!$AF$6:$AF$205"),0))="","",INDEX(INDIRECT("'"&amp;$B55&amp;"'!$N$6:$N$205"),MATCH($AR55&amp;"|"&amp;N$5,INDIRECT("'"&amp;$B55&amp;"'!$AF$6:$AF$205"),0))),"-"))</f>
        <v/>
      </c>
      <c r="O55" s="34">
        <f>IF(OR(AP55="",O$5="-"),"",IFERROR(IF(INDEX(INDIRECT("'"&amp;$B55&amp;"'!$N$6:$N$205"),MATCH($AR55&amp;"|"&amp;O$5,INDIRECT("'"&amp;$B55&amp;"'!$AF$6:$AF$205"),0))="","",INDEX(INDIRECT("'"&amp;$B55&amp;"'!$N$6:$N$205"),MATCH($AR55&amp;"|"&amp;O$5,INDIRECT("'"&amp;$B55&amp;"'!$AF$6:$AF$205"),0))),"-"))</f>
        <v/>
      </c>
      <c r="P55" s="37">
        <f>IF(OR(AP55="",P$5="-"),"",IFERROR(IF(INDEX(INDIRECT("'"&amp;$B55&amp;"'!$R$6:$R$205"),MATCH($AR55&amp;"|"&amp;P$5,INDIRECT("'"&amp;$B55&amp;"'!$AF$6:$AF$205"),0))="","",INDEX(INDIRECT("'"&amp;$B55&amp;"'!$R$6:$R$205"),MATCH($AR55&amp;"|"&amp;P$5,INDIRECT("'"&amp;$B55&amp;"'!$AF$6:$AF$205"),0))),"-"))</f>
        <v/>
      </c>
      <c r="Q55" s="37">
        <f>IF(OR(AP55="",Q$5="-"),"",IFERROR(IF(INDEX(INDIRECT("'"&amp;$B55&amp;"'!$R$6:$R$205"),MATCH($AR55&amp;"|"&amp;Q$5,INDIRECT("'"&amp;$B55&amp;"'!$AF$6:$AF$205"),0))="","",INDEX(INDIRECT("'"&amp;$B55&amp;"'!$R$6:$R$205"),MATCH($AR55&amp;"|"&amp;Q$5,INDIRECT("'"&amp;$B55&amp;"'!$AF$6:$AF$205"),0))),"-"))</f>
        <v/>
      </c>
      <c r="R55" s="37">
        <f>IF(OR(AP55="",R$5="-"),"",IFERROR(IF(INDEX(INDIRECT("'"&amp;$B55&amp;"'!$R$6:$R$205"),MATCH($AR55&amp;"|"&amp;R$5,INDIRECT("'"&amp;$B55&amp;"'!$AF$6:$AF$205"),0))="","",INDEX(INDIRECT("'"&amp;$B55&amp;"'!$R$6:$R$205"),MATCH($AR55&amp;"|"&amp;R$5,INDIRECT("'"&amp;$B55&amp;"'!$AF$6:$AF$205"),0))),"-"))</f>
        <v/>
      </c>
      <c r="S55" s="37">
        <f>IF(OR(AP55="",S$5="-"),"",IFERROR(IF(INDEX(INDIRECT("'"&amp;$B55&amp;"'!$R$6:$R$205"),MATCH($AR55&amp;"|"&amp;S$5,INDIRECT("'"&amp;$B55&amp;"'!$AF$6:$AF$205"),0))="","",INDEX(INDIRECT("'"&amp;$B55&amp;"'!$R$6:$R$205"),MATCH($AR55&amp;"|"&amp;S$5,INDIRECT("'"&amp;$B55&amp;"'!$AF$6:$AF$205"),0))),"-"))</f>
        <v/>
      </c>
      <c r="T55" s="37">
        <f>IF(OR(AP55="",T$5="-"),"",IFERROR(IF(INDEX(INDIRECT("'"&amp;$B55&amp;"'!$R$6:$R$205"),MATCH($AR55&amp;"|"&amp;T$5,INDIRECT("'"&amp;$B55&amp;"'!$AF$6:$AF$205"),0))="","",INDEX(INDIRECT("'"&amp;$B55&amp;"'!$R$6:$R$205"),MATCH($AR55&amp;"|"&amp;T$5,INDIRECT("'"&amp;$B55&amp;"'!$AF$6:$AF$205"),0))),"-"))</f>
        <v/>
      </c>
      <c r="U55" s="37">
        <f>IF(OR(AP55="",U$5="-"),"",IFERROR(IF(INDEX(INDIRECT("'"&amp;$B55&amp;"'!$R$6:$R$205"),MATCH($AR55&amp;"|"&amp;U$5,INDIRECT("'"&amp;$B55&amp;"'!$AF$6:$AF$205"),0))="","",INDEX(INDIRECT("'"&amp;$B55&amp;"'!$R$6:$R$205"),MATCH($AR55&amp;"|"&amp;U$5,INDIRECT("'"&amp;$B55&amp;"'!$AF$6:$AF$205"),0))),"-"))</f>
        <v/>
      </c>
      <c r="V55" s="37">
        <f>IF(OR(AP55="",V$5="-"),"",IFERROR(IF(INDEX(INDIRECT("'"&amp;$B55&amp;"'!$R$6:$R$205"),MATCH($AR55&amp;"|"&amp;V$5,INDIRECT("'"&amp;$B55&amp;"'!$AF$6:$AF$205"),0))="","",INDEX(INDIRECT("'"&amp;$B55&amp;"'!$R$6:$R$205"),MATCH($AR55&amp;"|"&amp;V$5,INDIRECT("'"&amp;$B55&amp;"'!$AF$6:$AF$205"),0))),"-"))</f>
        <v/>
      </c>
      <c r="W55" s="37">
        <f>IF(OR(AP55="",W$5="-"),"",IFERROR(IF(INDEX(INDIRECT("'"&amp;$B55&amp;"'!$R$6:$R$205"),MATCH($AR55&amp;"|"&amp;W$5,INDIRECT("'"&amp;$B55&amp;"'!$AF$6:$AF$205"),0))="","",INDEX(INDIRECT("'"&amp;$B55&amp;"'!$R$6:$R$205"),MATCH($AR55&amp;"|"&amp;W$5,INDIRECT("'"&amp;$B55&amp;"'!$AF$6:$AF$205"),0))),"-"))</f>
        <v/>
      </c>
      <c r="X55" s="38">
        <f>IF(OR(AP55="",X$5="-"),"",IFERROR(IF(INDEX(INDIRECT("'"&amp;$B55&amp;"'!$T$6:$T$205"),MATCH($AR55&amp;"|"&amp;X$5,INDIRECT("'"&amp;$B55&amp;"'!$AF$6:$AF$205"),0))="","",INDEX(INDIRECT("'"&amp;$B55&amp;"'!$T$6:$T$205"),MATCH($AR55&amp;"|"&amp;X$5,INDIRECT("'"&amp;$B55&amp;"'!$AF$6:$AF$205"),0))),"-"))</f>
        <v/>
      </c>
      <c r="Y55" s="38">
        <f>IF(OR(AP55="",Y$5="-"),"",IFERROR(IF(INDEX(INDIRECT("'"&amp;$B55&amp;"'!$T$6:$T$205"),MATCH($AR55&amp;"|"&amp;Y$5,INDIRECT("'"&amp;$B55&amp;"'!$AF$6:$AF$205"),0))="","",INDEX(INDIRECT("'"&amp;$B55&amp;"'!$T$6:$T$205"),MATCH($AR55&amp;"|"&amp;Y$5,INDIRECT("'"&amp;$B55&amp;"'!$AF$6:$AF$205"),0))),"-"))</f>
        <v/>
      </c>
      <c r="Z55" s="38">
        <f>IF(OR(AP55="",Z$5="-"),"",IFERROR(IF(INDEX(INDIRECT("'"&amp;$B55&amp;"'!$T$6:$T$205"),MATCH($AR55&amp;"|"&amp;Z$5,INDIRECT("'"&amp;$B55&amp;"'!$AF$6:$AF$205"),0))="","",INDEX(INDIRECT("'"&amp;$B55&amp;"'!$T$6:$T$205"),MATCH($AR55&amp;"|"&amp;Z$5,INDIRECT("'"&amp;$B55&amp;"'!$AF$6:$AF$205"),0))),"-"))</f>
        <v/>
      </c>
      <c r="AA55" s="38">
        <f>IF(OR(AP55="",AA$5="-"),"",IFERROR(IF(INDEX(INDIRECT("'"&amp;$B55&amp;"'!$T$6:$T$205"),MATCH($AR55&amp;"|"&amp;AA$5,INDIRECT("'"&amp;$B55&amp;"'!$AF$6:$AF$205"),0))="","",INDEX(INDIRECT("'"&amp;$B55&amp;"'!$T$6:$T$205"),MATCH($AR55&amp;"|"&amp;AA$5,INDIRECT("'"&amp;$B55&amp;"'!$AF$6:$AF$205"),0))),"-"))</f>
        <v/>
      </c>
      <c r="AB55" s="38">
        <f>IF(OR(AP55="",AB$5="-"),"",IFERROR(IF(INDEX(INDIRECT("'"&amp;$B55&amp;"'!$T$6:$T$205"),MATCH($AR55&amp;"|"&amp;AB$5,INDIRECT("'"&amp;$B55&amp;"'!$AF$6:$AF$205"),0))="","",INDEX(INDIRECT("'"&amp;$B55&amp;"'!$T$6:$T$205"),MATCH($AR55&amp;"|"&amp;AB$5,INDIRECT("'"&amp;$B55&amp;"'!$AF$6:$AF$205"),0))),"-"))</f>
        <v/>
      </c>
      <c r="AC55" s="38">
        <f>IF(OR(AP55="",AC$5="-"),"",IFERROR(IF(INDEX(INDIRECT("'"&amp;$B55&amp;"'!$T$6:$T$205"),MATCH($AR55&amp;"|"&amp;AC$5,INDIRECT("'"&amp;$B55&amp;"'!$AF$6:$AF$205"),0))="","",INDEX(INDIRECT("'"&amp;$B55&amp;"'!$T$6:$T$205"),MATCH($AR55&amp;"|"&amp;AC$5,INDIRECT("'"&amp;$B55&amp;"'!$AF$6:$AF$205"),0))),"-"))</f>
        <v/>
      </c>
      <c r="AD55" s="38">
        <f>IF(OR(AP55="",AD$5="-"),"",IFERROR(IF(INDEX(INDIRECT("'"&amp;$B55&amp;"'!$T$6:$T$205"),MATCH($AR55&amp;"|"&amp;AD$5,INDIRECT("'"&amp;$B55&amp;"'!$AF$6:$AF$205"),0))="","",INDEX(INDIRECT("'"&amp;$B55&amp;"'!$T$6:$T$205"),MATCH($AR55&amp;"|"&amp;AD$5,INDIRECT("'"&amp;$B55&amp;"'!$AF$6:$AF$205"),0))),"-"))</f>
        <v/>
      </c>
      <c r="AE55" s="38">
        <f>IF(OR(AP55="",AE$5="-"),"",IFERROR(IF(INDEX(INDIRECT("'"&amp;$B55&amp;"'!$T$6:$T$205"),MATCH($AR55&amp;"|"&amp;AE$5,INDIRECT("'"&amp;$B55&amp;"'!$AF$6:$AF$205"),0))="","",INDEX(INDIRECT("'"&amp;$B55&amp;"'!$T$6:$T$205"),MATCH($AR55&amp;"|"&amp;AE$5,INDIRECT("'"&amp;$B55&amp;"'!$AF$6:$AF$205"),0))),"-"))</f>
        <v/>
      </c>
      <c r="AF55" s="35">
        <f>IF(AG55="","",INDEX($P$5:$W$5,MATCH(AG55,P55:W55,0)))</f>
        <v/>
      </c>
      <c r="AG55" s="37">
        <f>IF(COUNT(P55:W55)=0,"",MIN(P55:W55))</f>
        <v/>
      </c>
      <c r="AH55" s="39">
        <f>IF(AG55="","",AG55*F55)</f>
        <v/>
      </c>
      <c r="AI55" s="39">
        <f>IF(COUNT(P55:W55)&lt;2,"",(MAX(P55:W55)-MIN(P55:W55))*F55)</f>
        <v/>
      </c>
      <c r="AJ55" s="20" t="n"/>
      <c r="AP55">
        <f>IF(50&gt;MAX($AN$6:$AN$9),"",COUNTIF($AN$6:$AN$9,"&lt;"&amp;50)+1)</f>
        <v/>
      </c>
      <c r="AQ55">
        <f>IF(AP55="","",50-INDEX($AO$6:$AO$9,AP55))</f>
        <v/>
      </c>
      <c r="AR55">
        <f>IF(AP55="","",INDEX(INDIRECT("'"&amp;$B55&amp;"'!$AE$6:$AE$205"),MATCH(AQ55,INDIRECT("'"&amp;$B55&amp;"'!$AI$6:$AI$205"),0)))</f>
        <v/>
      </c>
    </row>
    <row r="56">
      <c r="A56" s="34">
        <f>IF(AP56="","",51)</f>
        <v/>
      </c>
      <c r="B56" s="35">
        <f>IF(AP56="","",INDEX($AL$6:$AL$9,AP56))</f>
        <v/>
      </c>
      <c r="C56" s="34">
        <f>IF(AP56="","",INDEX(INDIRECT("'"&amp;$B56&amp;"'!$B$6:$B$205"),MATCH($AR56,INDIRECT("'"&amp;$B56&amp;"'!$AE$6:$AE$205"),0)))</f>
        <v/>
      </c>
      <c r="D56" s="34">
        <f>IF(AP56="","",INDEX(INDIRECT("'"&amp;$B56&amp;"'!$D$6:$D$205"),MATCH($AR56,INDIRECT("'"&amp;$B56&amp;"'!$AE$6:$AE$205"),0)))</f>
        <v/>
      </c>
      <c r="E56" s="36">
        <f>IF(AP56="","",INDEX(INDIRECT("'"&amp;$B56&amp;"'!$F$6:$F$205"),MATCH($AR56,INDIRECT("'"&amp;$B56&amp;"'!$AE$6:$AE$205"),0)))</f>
        <v/>
      </c>
      <c r="F56" s="34">
        <f>IF(AP56="","",INDEX(INDIRECT("'"&amp;$B56&amp;"'!$K$6:$K$205"),MATCH($AR56,INDIRECT("'"&amp;$B56&amp;"'!$AE$6:$AE$205"),0)))</f>
        <v/>
      </c>
      <c r="G56" s="34">
        <f>IF(AP56="","",INDEX(INDIRECT("'"&amp;$B56&amp;"'!$L$6:$L$205"),MATCH($AR56,INDIRECT("'"&amp;$B56&amp;"'!$AE$6:$AE$205"),0)))</f>
        <v/>
      </c>
      <c r="H56" s="34">
        <f>IF(OR(AP56="",H$5="-"),"",IFERROR(IF(INDEX(INDIRECT("'"&amp;$B56&amp;"'!$N$6:$N$205"),MATCH($AR56&amp;"|"&amp;H$5,INDIRECT("'"&amp;$B56&amp;"'!$AF$6:$AF$205"),0))="","",INDEX(INDIRECT("'"&amp;$B56&amp;"'!$N$6:$N$205"),MATCH($AR56&amp;"|"&amp;H$5,INDIRECT("'"&amp;$B56&amp;"'!$AF$6:$AF$205"),0))),"-"))</f>
        <v/>
      </c>
      <c r="I56" s="34">
        <f>IF(OR(AP56="",I$5="-"),"",IFERROR(IF(INDEX(INDIRECT("'"&amp;$B56&amp;"'!$N$6:$N$205"),MATCH($AR56&amp;"|"&amp;I$5,INDIRECT("'"&amp;$B56&amp;"'!$AF$6:$AF$205"),0))="","",INDEX(INDIRECT("'"&amp;$B56&amp;"'!$N$6:$N$205"),MATCH($AR56&amp;"|"&amp;I$5,INDIRECT("'"&amp;$B56&amp;"'!$AF$6:$AF$205"),0))),"-"))</f>
        <v/>
      </c>
      <c r="J56" s="34">
        <f>IF(OR(AP56="",J$5="-"),"",IFERROR(IF(INDEX(INDIRECT("'"&amp;$B56&amp;"'!$N$6:$N$205"),MATCH($AR56&amp;"|"&amp;J$5,INDIRECT("'"&amp;$B56&amp;"'!$AF$6:$AF$205"),0))="","",INDEX(INDIRECT("'"&amp;$B56&amp;"'!$N$6:$N$205"),MATCH($AR56&amp;"|"&amp;J$5,INDIRECT("'"&amp;$B56&amp;"'!$AF$6:$AF$205"),0))),"-"))</f>
        <v/>
      </c>
      <c r="K56" s="34">
        <f>IF(OR(AP56="",K$5="-"),"",IFERROR(IF(INDEX(INDIRECT("'"&amp;$B56&amp;"'!$N$6:$N$205"),MATCH($AR56&amp;"|"&amp;K$5,INDIRECT("'"&amp;$B56&amp;"'!$AF$6:$AF$205"),0))="","",INDEX(INDIRECT("'"&amp;$B56&amp;"'!$N$6:$N$205"),MATCH($AR56&amp;"|"&amp;K$5,INDIRECT("'"&amp;$B56&amp;"'!$AF$6:$AF$205"),0))),"-"))</f>
        <v/>
      </c>
      <c r="L56" s="34">
        <f>IF(OR(AP56="",L$5="-"),"",IFERROR(IF(INDEX(INDIRECT("'"&amp;$B56&amp;"'!$N$6:$N$205"),MATCH($AR56&amp;"|"&amp;L$5,INDIRECT("'"&amp;$B56&amp;"'!$AF$6:$AF$205"),0))="","",INDEX(INDIRECT("'"&amp;$B56&amp;"'!$N$6:$N$205"),MATCH($AR56&amp;"|"&amp;L$5,INDIRECT("'"&amp;$B56&amp;"'!$AF$6:$AF$205"),0))),"-"))</f>
        <v/>
      </c>
      <c r="M56" s="34">
        <f>IF(OR(AP56="",M$5="-"),"",IFERROR(IF(INDEX(INDIRECT("'"&amp;$B56&amp;"'!$N$6:$N$205"),MATCH($AR56&amp;"|"&amp;M$5,INDIRECT("'"&amp;$B56&amp;"'!$AF$6:$AF$205"),0))="","",INDEX(INDIRECT("'"&amp;$B56&amp;"'!$N$6:$N$205"),MATCH($AR56&amp;"|"&amp;M$5,INDIRECT("'"&amp;$B56&amp;"'!$AF$6:$AF$205"),0))),"-"))</f>
        <v/>
      </c>
      <c r="N56" s="34">
        <f>IF(OR(AP56="",N$5="-"),"",IFERROR(IF(INDEX(INDIRECT("'"&amp;$B56&amp;"'!$N$6:$N$205"),MATCH($AR56&amp;"|"&amp;N$5,INDIRECT("'"&amp;$B56&amp;"'!$AF$6:$AF$205"),0))="","",INDEX(INDIRECT("'"&amp;$B56&amp;"'!$N$6:$N$205"),MATCH($AR56&amp;"|"&amp;N$5,INDIRECT("'"&amp;$B56&amp;"'!$AF$6:$AF$205"),0))),"-"))</f>
        <v/>
      </c>
      <c r="O56" s="34">
        <f>IF(OR(AP56="",O$5="-"),"",IFERROR(IF(INDEX(INDIRECT("'"&amp;$B56&amp;"'!$N$6:$N$205"),MATCH($AR56&amp;"|"&amp;O$5,INDIRECT("'"&amp;$B56&amp;"'!$AF$6:$AF$205"),0))="","",INDEX(INDIRECT("'"&amp;$B56&amp;"'!$N$6:$N$205"),MATCH($AR56&amp;"|"&amp;O$5,INDIRECT("'"&amp;$B56&amp;"'!$AF$6:$AF$205"),0))),"-"))</f>
        <v/>
      </c>
      <c r="P56" s="37">
        <f>IF(OR(AP56="",P$5="-"),"",IFERROR(IF(INDEX(INDIRECT("'"&amp;$B56&amp;"'!$R$6:$R$205"),MATCH($AR56&amp;"|"&amp;P$5,INDIRECT("'"&amp;$B56&amp;"'!$AF$6:$AF$205"),0))="","",INDEX(INDIRECT("'"&amp;$B56&amp;"'!$R$6:$R$205"),MATCH($AR56&amp;"|"&amp;P$5,INDIRECT("'"&amp;$B56&amp;"'!$AF$6:$AF$205"),0))),"-"))</f>
        <v/>
      </c>
      <c r="Q56" s="37">
        <f>IF(OR(AP56="",Q$5="-"),"",IFERROR(IF(INDEX(INDIRECT("'"&amp;$B56&amp;"'!$R$6:$R$205"),MATCH($AR56&amp;"|"&amp;Q$5,INDIRECT("'"&amp;$B56&amp;"'!$AF$6:$AF$205"),0))="","",INDEX(INDIRECT("'"&amp;$B56&amp;"'!$R$6:$R$205"),MATCH($AR56&amp;"|"&amp;Q$5,INDIRECT("'"&amp;$B56&amp;"'!$AF$6:$AF$205"),0))),"-"))</f>
        <v/>
      </c>
      <c r="R56" s="37">
        <f>IF(OR(AP56="",R$5="-"),"",IFERROR(IF(INDEX(INDIRECT("'"&amp;$B56&amp;"'!$R$6:$R$205"),MATCH($AR56&amp;"|"&amp;R$5,INDIRECT("'"&amp;$B56&amp;"'!$AF$6:$AF$205"),0))="","",INDEX(INDIRECT("'"&amp;$B56&amp;"'!$R$6:$R$205"),MATCH($AR56&amp;"|"&amp;R$5,INDIRECT("'"&amp;$B56&amp;"'!$AF$6:$AF$205"),0))),"-"))</f>
        <v/>
      </c>
      <c r="S56" s="37">
        <f>IF(OR(AP56="",S$5="-"),"",IFERROR(IF(INDEX(INDIRECT("'"&amp;$B56&amp;"'!$R$6:$R$205"),MATCH($AR56&amp;"|"&amp;S$5,INDIRECT("'"&amp;$B56&amp;"'!$AF$6:$AF$205"),0))="","",INDEX(INDIRECT("'"&amp;$B56&amp;"'!$R$6:$R$205"),MATCH($AR56&amp;"|"&amp;S$5,INDIRECT("'"&amp;$B56&amp;"'!$AF$6:$AF$205"),0))),"-"))</f>
        <v/>
      </c>
      <c r="T56" s="37">
        <f>IF(OR(AP56="",T$5="-"),"",IFERROR(IF(INDEX(INDIRECT("'"&amp;$B56&amp;"'!$R$6:$R$205"),MATCH($AR56&amp;"|"&amp;T$5,INDIRECT("'"&amp;$B56&amp;"'!$AF$6:$AF$205"),0))="","",INDEX(INDIRECT("'"&amp;$B56&amp;"'!$R$6:$R$205"),MATCH($AR56&amp;"|"&amp;T$5,INDIRECT("'"&amp;$B56&amp;"'!$AF$6:$AF$205"),0))),"-"))</f>
        <v/>
      </c>
      <c r="U56" s="37">
        <f>IF(OR(AP56="",U$5="-"),"",IFERROR(IF(INDEX(INDIRECT("'"&amp;$B56&amp;"'!$R$6:$R$205"),MATCH($AR56&amp;"|"&amp;U$5,INDIRECT("'"&amp;$B56&amp;"'!$AF$6:$AF$205"),0))="","",INDEX(INDIRECT("'"&amp;$B56&amp;"'!$R$6:$R$205"),MATCH($AR56&amp;"|"&amp;U$5,INDIRECT("'"&amp;$B56&amp;"'!$AF$6:$AF$205"),0))),"-"))</f>
        <v/>
      </c>
      <c r="V56" s="37">
        <f>IF(OR(AP56="",V$5="-"),"",IFERROR(IF(INDEX(INDIRECT("'"&amp;$B56&amp;"'!$R$6:$R$205"),MATCH($AR56&amp;"|"&amp;V$5,INDIRECT("'"&amp;$B56&amp;"'!$AF$6:$AF$205"),0))="","",INDEX(INDIRECT("'"&amp;$B56&amp;"'!$R$6:$R$205"),MATCH($AR56&amp;"|"&amp;V$5,INDIRECT("'"&amp;$B56&amp;"'!$AF$6:$AF$205"),0))),"-"))</f>
        <v/>
      </c>
      <c r="W56" s="37">
        <f>IF(OR(AP56="",W$5="-"),"",IFERROR(IF(INDEX(INDIRECT("'"&amp;$B56&amp;"'!$R$6:$R$205"),MATCH($AR56&amp;"|"&amp;W$5,INDIRECT("'"&amp;$B56&amp;"'!$AF$6:$AF$205"),0))="","",INDEX(INDIRECT("'"&amp;$B56&amp;"'!$R$6:$R$205"),MATCH($AR56&amp;"|"&amp;W$5,INDIRECT("'"&amp;$B56&amp;"'!$AF$6:$AF$205"),0))),"-"))</f>
        <v/>
      </c>
      <c r="X56" s="38">
        <f>IF(OR(AP56="",X$5="-"),"",IFERROR(IF(INDEX(INDIRECT("'"&amp;$B56&amp;"'!$T$6:$T$205"),MATCH($AR56&amp;"|"&amp;X$5,INDIRECT("'"&amp;$B56&amp;"'!$AF$6:$AF$205"),0))="","",INDEX(INDIRECT("'"&amp;$B56&amp;"'!$T$6:$T$205"),MATCH($AR56&amp;"|"&amp;X$5,INDIRECT("'"&amp;$B56&amp;"'!$AF$6:$AF$205"),0))),"-"))</f>
        <v/>
      </c>
      <c r="Y56" s="38">
        <f>IF(OR(AP56="",Y$5="-"),"",IFERROR(IF(INDEX(INDIRECT("'"&amp;$B56&amp;"'!$T$6:$T$205"),MATCH($AR56&amp;"|"&amp;Y$5,INDIRECT("'"&amp;$B56&amp;"'!$AF$6:$AF$205"),0))="","",INDEX(INDIRECT("'"&amp;$B56&amp;"'!$T$6:$T$205"),MATCH($AR56&amp;"|"&amp;Y$5,INDIRECT("'"&amp;$B56&amp;"'!$AF$6:$AF$205"),0))),"-"))</f>
        <v/>
      </c>
      <c r="Z56" s="38">
        <f>IF(OR(AP56="",Z$5="-"),"",IFERROR(IF(INDEX(INDIRECT("'"&amp;$B56&amp;"'!$T$6:$T$205"),MATCH($AR56&amp;"|"&amp;Z$5,INDIRECT("'"&amp;$B56&amp;"'!$AF$6:$AF$205"),0))="","",INDEX(INDIRECT("'"&amp;$B56&amp;"'!$T$6:$T$205"),MATCH($AR56&amp;"|"&amp;Z$5,INDIRECT("'"&amp;$B56&amp;"'!$AF$6:$AF$205"),0))),"-"))</f>
        <v/>
      </c>
      <c r="AA56" s="38">
        <f>IF(OR(AP56="",AA$5="-"),"",IFERROR(IF(INDEX(INDIRECT("'"&amp;$B56&amp;"'!$T$6:$T$205"),MATCH($AR56&amp;"|"&amp;AA$5,INDIRECT("'"&amp;$B56&amp;"'!$AF$6:$AF$205"),0))="","",INDEX(INDIRECT("'"&amp;$B56&amp;"'!$T$6:$T$205"),MATCH($AR56&amp;"|"&amp;AA$5,INDIRECT("'"&amp;$B56&amp;"'!$AF$6:$AF$205"),0))),"-"))</f>
        <v/>
      </c>
      <c r="AB56" s="38">
        <f>IF(OR(AP56="",AB$5="-"),"",IFERROR(IF(INDEX(INDIRECT("'"&amp;$B56&amp;"'!$T$6:$T$205"),MATCH($AR56&amp;"|"&amp;AB$5,INDIRECT("'"&amp;$B56&amp;"'!$AF$6:$AF$205"),0))="","",INDEX(INDIRECT("'"&amp;$B56&amp;"'!$T$6:$T$205"),MATCH($AR56&amp;"|"&amp;AB$5,INDIRECT("'"&amp;$B56&amp;"'!$AF$6:$AF$205"),0))),"-"))</f>
        <v/>
      </c>
      <c r="AC56" s="38">
        <f>IF(OR(AP56="",AC$5="-"),"",IFERROR(IF(INDEX(INDIRECT("'"&amp;$B56&amp;"'!$T$6:$T$205"),MATCH($AR56&amp;"|"&amp;AC$5,INDIRECT("'"&amp;$B56&amp;"'!$AF$6:$AF$205"),0))="","",INDEX(INDIRECT("'"&amp;$B56&amp;"'!$T$6:$T$205"),MATCH($AR56&amp;"|"&amp;AC$5,INDIRECT("'"&amp;$B56&amp;"'!$AF$6:$AF$205"),0))),"-"))</f>
        <v/>
      </c>
      <c r="AD56" s="38">
        <f>IF(OR(AP56="",AD$5="-"),"",IFERROR(IF(INDEX(INDIRECT("'"&amp;$B56&amp;"'!$T$6:$T$205"),MATCH($AR56&amp;"|"&amp;AD$5,INDIRECT("'"&amp;$B56&amp;"'!$AF$6:$AF$205"),0))="","",INDEX(INDIRECT("'"&amp;$B56&amp;"'!$T$6:$T$205"),MATCH($AR56&amp;"|"&amp;AD$5,INDIRECT("'"&amp;$B56&amp;"'!$AF$6:$AF$205"),0))),"-"))</f>
        <v/>
      </c>
      <c r="AE56" s="38">
        <f>IF(OR(AP56="",AE$5="-"),"",IFERROR(IF(INDEX(INDIRECT("'"&amp;$B56&amp;"'!$T$6:$T$205"),MATCH($AR56&amp;"|"&amp;AE$5,INDIRECT("'"&amp;$B56&amp;"'!$AF$6:$AF$205"),0))="","",INDEX(INDIRECT("'"&amp;$B56&amp;"'!$T$6:$T$205"),MATCH($AR56&amp;"|"&amp;AE$5,INDIRECT("'"&amp;$B56&amp;"'!$AF$6:$AF$205"),0))),"-"))</f>
        <v/>
      </c>
      <c r="AF56" s="35">
        <f>IF(AG56="","",INDEX($P$5:$W$5,MATCH(AG56,P56:W56,0)))</f>
        <v/>
      </c>
      <c r="AG56" s="37">
        <f>IF(COUNT(P56:W56)=0,"",MIN(P56:W56))</f>
        <v/>
      </c>
      <c r="AH56" s="39">
        <f>IF(AG56="","",AG56*F56)</f>
        <v/>
      </c>
      <c r="AI56" s="39">
        <f>IF(COUNT(P56:W56)&lt;2,"",(MAX(P56:W56)-MIN(P56:W56))*F56)</f>
        <v/>
      </c>
      <c r="AJ56" s="20" t="n"/>
      <c r="AP56">
        <f>IF(51&gt;MAX($AN$6:$AN$9),"",COUNTIF($AN$6:$AN$9,"&lt;"&amp;51)+1)</f>
        <v/>
      </c>
      <c r="AQ56">
        <f>IF(AP56="","",51-INDEX($AO$6:$AO$9,AP56))</f>
        <v/>
      </c>
      <c r="AR56">
        <f>IF(AP56="","",INDEX(INDIRECT("'"&amp;$B56&amp;"'!$AE$6:$AE$205"),MATCH(AQ56,INDIRECT("'"&amp;$B56&amp;"'!$AI$6:$AI$205"),0)))</f>
        <v/>
      </c>
    </row>
    <row r="57">
      <c r="A57" s="34">
        <f>IF(AP57="","",52)</f>
        <v/>
      </c>
      <c r="B57" s="35">
        <f>IF(AP57="","",INDEX($AL$6:$AL$9,AP57))</f>
        <v/>
      </c>
      <c r="C57" s="34">
        <f>IF(AP57="","",INDEX(INDIRECT("'"&amp;$B57&amp;"'!$B$6:$B$205"),MATCH($AR57,INDIRECT("'"&amp;$B57&amp;"'!$AE$6:$AE$205"),0)))</f>
        <v/>
      </c>
      <c r="D57" s="34">
        <f>IF(AP57="","",INDEX(INDIRECT("'"&amp;$B57&amp;"'!$D$6:$D$205"),MATCH($AR57,INDIRECT("'"&amp;$B57&amp;"'!$AE$6:$AE$205"),0)))</f>
        <v/>
      </c>
      <c r="E57" s="36">
        <f>IF(AP57="","",INDEX(INDIRECT("'"&amp;$B57&amp;"'!$F$6:$F$205"),MATCH($AR57,INDIRECT("'"&amp;$B57&amp;"'!$AE$6:$AE$205"),0)))</f>
        <v/>
      </c>
      <c r="F57" s="34">
        <f>IF(AP57="","",INDEX(INDIRECT("'"&amp;$B57&amp;"'!$K$6:$K$205"),MATCH($AR57,INDIRECT("'"&amp;$B57&amp;"'!$AE$6:$AE$205"),0)))</f>
        <v/>
      </c>
      <c r="G57" s="34">
        <f>IF(AP57="","",INDEX(INDIRECT("'"&amp;$B57&amp;"'!$L$6:$L$205"),MATCH($AR57,INDIRECT("'"&amp;$B57&amp;"'!$AE$6:$AE$205"),0)))</f>
        <v/>
      </c>
      <c r="H57" s="34">
        <f>IF(OR(AP57="",H$5="-"),"",IFERROR(IF(INDEX(INDIRECT("'"&amp;$B57&amp;"'!$N$6:$N$205"),MATCH($AR57&amp;"|"&amp;H$5,INDIRECT("'"&amp;$B57&amp;"'!$AF$6:$AF$205"),0))="","",INDEX(INDIRECT("'"&amp;$B57&amp;"'!$N$6:$N$205"),MATCH($AR57&amp;"|"&amp;H$5,INDIRECT("'"&amp;$B57&amp;"'!$AF$6:$AF$205"),0))),"-"))</f>
        <v/>
      </c>
      <c r="I57" s="34">
        <f>IF(OR(AP57="",I$5="-"),"",IFERROR(IF(INDEX(INDIRECT("'"&amp;$B57&amp;"'!$N$6:$N$205"),MATCH($AR57&amp;"|"&amp;I$5,INDIRECT("'"&amp;$B57&amp;"'!$AF$6:$AF$205"),0))="","",INDEX(INDIRECT("'"&amp;$B57&amp;"'!$N$6:$N$205"),MATCH($AR57&amp;"|"&amp;I$5,INDIRECT("'"&amp;$B57&amp;"'!$AF$6:$AF$205"),0))),"-"))</f>
        <v/>
      </c>
      <c r="J57" s="34">
        <f>IF(OR(AP57="",J$5="-"),"",IFERROR(IF(INDEX(INDIRECT("'"&amp;$B57&amp;"'!$N$6:$N$205"),MATCH($AR57&amp;"|"&amp;J$5,INDIRECT("'"&amp;$B57&amp;"'!$AF$6:$AF$205"),0))="","",INDEX(INDIRECT("'"&amp;$B57&amp;"'!$N$6:$N$205"),MATCH($AR57&amp;"|"&amp;J$5,INDIRECT("'"&amp;$B57&amp;"'!$AF$6:$AF$205"),0))),"-"))</f>
        <v/>
      </c>
      <c r="K57" s="34">
        <f>IF(OR(AP57="",K$5="-"),"",IFERROR(IF(INDEX(INDIRECT("'"&amp;$B57&amp;"'!$N$6:$N$205"),MATCH($AR57&amp;"|"&amp;K$5,INDIRECT("'"&amp;$B57&amp;"'!$AF$6:$AF$205"),0))="","",INDEX(INDIRECT("'"&amp;$B57&amp;"'!$N$6:$N$205"),MATCH($AR57&amp;"|"&amp;K$5,INDIRECT("'"&amp;$B57&amp;"'!$AF$6:$AF$205"),0))),"-"))</f>
        <v/>
      </c>
      <c r="L57" s="34">
        <f>IF(OR(AP57="",L$5="-"),"",IFERROR(IF(INDEX(INDIRECT("'"&amp;$B57&amp;"'!$N$6:$N$205"),MATCH($AR57&amp;"|"&amp;L$5,INDIRECT("'"&amp;$B57&amp;"'!$AF$6:$AF$205"),0))="","",INDEX(INDIRECT("'"&amp;$B57&amp;"'!$N$6:$N$205"),MATCH($AR57&amp;"|"&amp;L$5,INDIRECT("'"&amp;$B57&amp;"'!$AF$6:$AF$205"),0))),"-"))</f>
        <v/>
      </c>
      <c r="M57" s="34">
        <f>IF(OR(AP57="",M$5="-"),"",IFERROR(IF(INDEX(INDIRECT("'"&amp;$B57&amp;"'!$N$6:$N$205"),MATCH($AR57&amp;"|"&amp;M$5,INDIRECT("'"&amp;$B57&amp;"'!$AF$6:$AF$205"),0))="","",INDEX(INDIRECT("'"&amp;$B57&amp;"'!$N$6:$N$205"),MATCH($AR57&amp;"|"&amp;M$5,INDIRECT("'"&amp;$B57&amp;"'!$AF$6:$AF$205"),0))),"-"))</f>
        <v/>
      </c>
      <c r="N57" s="34">
        <f>IF(OR(AP57="",N$5="-"),"",IFERROR(IF(INDEX(INDIRECT("'"&amp;$B57&amp;"'!$N$6:$N$205"),MATCH($AR57&amp;"|"&amp;N$5,INDIRECT("'"&amp;$B57&amp;"'!$AF$6:$AF$205"),0))="","",INDEX(INDIRECT("'"&amp;$B57&amp;"'!$N$6:$N$205"),MATCH($AR57&amp;"|"&amp;N$5,INDIRECT("'"&amp;$B57&amp;"'!$AF$6:$AF$205"),0))),"-"))</f>
        <v/>
      </c>
      <c r="O57" s="34">
        <f>IF(OR(AP57="",O$5="-"),"",IFERROR(IF(INDEX(INDIRECT("'"&amp;$B57&amp;"'!$N$6:$N$205"),MATCH($AR57&amp;"|"&amp;O$5,INDIRECT("'"&amp;$B57&amp;"'!$AF$6:$AF$205"),0))="","",INDEX(INDIRECT("'"&amp;$B57&amp;"'!$N$6:$N$205"),MATCH($AR57&amp;"|"&amp;O$5,INDIRECT("'"&amp;$B57&amp;"'!$AF$6:$AF$205"),0))),"-"))</f>
        <v/>
      </c>
      <c r="P57" s="37">
        <f>IF(OR(AP57="",P$5="-"),"",IFERROR(IF(INDEX(INDIRECT("'"&amp;$B57&amp;"'!$R$6:$R$205"),MATCH($AR57&amp;"|"&amp;P$5,INDIRECT("'"&amp;$B57&amp;"'!$AF$6:$AF$205"),0))="","",INDEX(INDIRECT("'"&amp;$B57&amp;"'!$R$6:$R$205"),MATCH($AR57&amp;"|"&amp;P$5,INDIRECT("'"&amp;$B57&amp;"'!$AF$6:$AF$205"),0))),"-"))</f>
        <v/>
      </c>
      <c r="Q57" s="37">
        <f>IF(OR(AP57="",Q$5="-"),"",IFERROR(IF(INDEX(INDIRECT("'"&amp;$B57&amp;"'!$R$6:$R$205"),MATCH($AR57&amp;"|"&amp;Q$5,INDIRECT("'"&amp;$B57&amp;"'!$AF$6:$AF$205"),0))="","",INDEX(INDIRECT("'"&amp;$B57&amp;"'!$R$6:$R$205"),MATCH($AR57&amp;"|"&amp;Q$5,INDIRECT("'"&amp;$B57&amp;"'!$AF$6:$AF$205"),0))),"-"))</f>
        <v/>
      </c>
      <c r="R57" s="37">
        <f>IF(OR(AP57="",R$5="-"),"",IFERROR(IF(INDEX(INDIRECT("'"&amp;$B57&amp;"'!$R$6:$R$205"),MATCH($AR57&amp;"|"&amp;R$5,INDIRECT("'"&amp;$B57&amp;"'!$AF$6:$AF$205"),0))="","",INDEX(INDIRECT("'"&amp;$B57&amp;"'!$R$6:$R$205"),MATCH($AR57&amp;"|"&amp;R$5,INDIRECT("'"&amp;$B57&amp;"'!$AF$6:$AF$205"),0))),"-"))</f>
        <v/>
      </c>
      <c r="S57" s="37">
        <f>IF(OR(AP57="",S$5="-"),"",IFERROR(IF(INDEX(INDIRECT("'"&amp;$B57&amp;"'!$R$6:$R$205"),MATCH($AR57&amp;"|"&amp;S$5,INDIRECT("'"&amp;$B57&amp;"'!$AF$6:$AF$205"),0))="","",INDEX(INDIRECT("'"&amp;$B57&amp;"'!$R$6:$R$205"),MATCH($AR57&amp;"|"&amp;S$5,INDIRECT("'"&amp;$B57&amp;"'!$AF$6:$AF$205"),0))),"-"))</f>
        <v/>
      </c>
      <c r="T57" s="37">
        <f>IF(OR(AP57="",T$5="-"),"",IFERROR(IF(INDEX(INDIRECT("'"&amp;$B57&amp;"'!$R$6:$R$205"),MATCH($AR57&amp;"|"&amp;T$5,INDIRECT("'"&amp;$B57&amp;"'!$AF$6:$AF$205"),0))="","",INDEX(INDIRECT("'"&amp;$B57&amp;"'!$R$6:$R$205"),MATCH($AR57&amp;"|"&amp;T$5,INDIRECT("'"&amp;$B57&amp;"'!$AF$6:$AF$205"),0))),"-"))</f>
        <v/>
      </c>
      <c r="U57" s="37">
        <f>IF(OR(AP57="",U$5="-"),"",IFERROR(IF(INDEX(INDIRECT("'"&amp;$B57&amp;"'!$R$6:$R$205"),MATCH($AR57&amp;"|"&amp;U$5,INDIRECT("'"&amp;$B57&amp;"'!$AF$6:$AF$205"),0))="","",INDEX(INDIRECT("'"&amp;$B57&amp;"'!$R$6:$R$205"),MATCH($AR57&amp;"|"&amp;U$5,INDIRECT("'"&amp;$B57&amp;"'!$AF$6:$AF$205"),0))),"-"))</f>
        <v/>
      </c>
      <c r="V57" s="37">
        <f>IF(OR(AP57="",V$5="-"),"",IFERROR(IF(INDEX(INDIRECT("'"&amp;$B57&amp;"'!$R$6:$R$205"),MATCH($AR57&amp;"|"&amp;V$5,INDIRECT("'"&amp;$B57&amp;"'!$AF$6:$AF$205"),0))="","",INDEX(INDIRECT("'"&amp;$B57&amp;"'!$R$6:$R$205"),MATCH($AR57&amp;"|"&amp;V$5,INDIRECT("'"&amp;$B57&amp;"'!$AF$6:$AF$205"),0))),"-"))</f>
        <v/>
      </c>
      <c r="W57" s="37">
        <f>IF(OR(AP57="",W$5="-"),"",IFERROR(IF(INDEX(INDIRECT("'"&amp;$B57&amp;"'!$R$6:$R$205"),MATCH($AR57&amp;"|"&amp;W$5,INDIRECT("'"&amp;$B57&amp;"'!$AF$6:$AF$205"),0))="","",INDEX(INDIRECT("'"&amp;$B57&amp;"'!$R$6:$R$205"),MATCH($AR57&amp;"|"&amp;W$5,INDIRECT("'"&amp;$B57&amp;"'!$AF$6:$AF$205"),0))),"-"))</f>
        <v/>
      </c>
      <c r="X57" s="38">
        <f>IF(OR(AP57="",X$5="-"),"",IFERROR(IF(INDEX(INDIRECT("'"&amp;$B57&amp;"'!$T$6:$T$205"),MATCH($AR57&amp;"|"&amp;X$5,INDIRECT("'"&amp;$B57&amp;"'!$AF$6:$AF$205"),0))="","",INDEX(INDIRECT("'"&amp;$B57&amp;"'!$T$6:$T$205"),MATCH($AR57&amp;"|"&amp;X$5,INDIRECT("'"&amp;$B57&amp;"'!$AF$6:$AF$205"),0))),"-"))</f>
        <v/>
      </c>
      <c r="Y57" s="38">
        <f>IF(OR(AP57="",Y$5="-"),"",IFERROR(IF(INDEX(INDIRECT("'"&amp;$B57&amp;"'!$T$6:$T$205"),MATCH($AR57&amp;"|"&amp;Y$5,INDIRECT("'"&amp;$B57&amp;"'!$AF$6:$AF$205"),0))="","",INDEX(INDIRECT("'"&amp;$B57&amp;"'!$T$6:$T$205"),MATCH($AR57&amp;"|"&amp;Y$5,INDIRECT("'"&amp;$B57&amp;"'!$AF$6:$AF$205"),0))),"-"))</f>
        <v/>
      </c>
      <c r="Z57" s="38">
        <f>IF(OR(AP57="",Z$5="-"),"",IFERROR(IF(INDEX(INDIRECT("'"&amp;$B57&amp;"'!$T$6:$T$205"),MATCH($AR57&amp;"|"&amp;Z$5,INDIRECT("'"&amp;$B57&amp;"'!$AF$6:$AF$205"),0))="","",INDEX(INDIRECT("'"&amp;$B57&amp;"'!$T$6:$T$205"),MATCH($AR57&amp;"|"&amp;Z$5,INDIRECT("'"&amp;$B57&amp;"'!$AF$6:$AF$205"),0))),"-"))</f>
        <v/>
      </c>
      <c r="AA57" s="38">
        <f>IF(OR(AP57="",AA$5="-"),"",IFERROR(IF(INDEX(INDIRECT("'"&amp;$B57&amp;"'!$T$6:$T$205"),MATCH($AR57&amp;"|"&amp;AA$5,INDIRECT("'"&amp;$B57&amp;"'!$AF$6:$AF$205"),0))="","",INDEX(INDIRECT("'"&amp;$B57&amp;"'!$T$6:$T$205"),MATCH($AR57&amp;"|"&amp;AA$5,INDIRECT("'"&amp;$B57&amp;"'!$AF$6:$AF$205"),0))),"-"))</f>
        <v/>
      </c>
      <c r="AB57" s="38">
        <f>IF(OR(AP57="",AB$5="-"),"",IFERROR(IF(INDEX(INDIRECT("'"&amp;$B57&amp;"'!$T$6:$T$205"),MATCH($AR57&amp;"|"&amp;AB$5,INDIRECT("'"&amp;$B57&amp;"'!$AF$6:$AF$205"),0))="","",INDEX(INDIRECT("'"&amp;$B57&amp;"'!$T$6:$T$205"),MATCH($AR57&amp;"|"&amp;AB$5,INDIRECT("'"&amp;$B57&amp;"'!$AF$6:$AF$205"),0))),"-"))</f>
        <v/>
      </c>
      <c r="AC57" s="38">
        <f>IF(OR(AP57="",AC$5="-"),"",IFERROR(IF(INDEX(INDIRECT("'"&amp;$B57&amp;"'!$T$6:$T$205"),MATCH($AR57&amp;"|"&amp;AC$5,INDIRECT("'"&amp;$B57&amp;"'!$AF$6:$AF$205"),0))="","",INDEX(INDIRECT("'"&amp;$B57&amp;"'!$T$6:$T$205"),MATCH($AR57&amp;"|"&amp;AC$5,INDIRECT("'"&amp;$B57&amp;"'!$AF$6:$AF$205"),0))),"-"))</f>
        <v/>
      </c>
      <c r="AD57" s="38">
        <f>IF(OR(AP57="",AD$5="-"),"",IFERROR(IF(INDEX(INDIRECT("'"&amp;$B57&amp;"'!$T$6:$T$205"),MATCH($AR57&amp;"|"&amp;AD$5,INDIRECT("'"&amp;$B57&amp;"'!$AF$6:$AF$205"),0))="","",INDEX(INDIRECT("'"&amp;$B57&amp;"'!$T$6:$T$205"),MATCH($AR57&amp;"|"&amp;AD$5,INDIRECT("'"&amp;$B57&amp;"'!$AF$6:$AF$205"),0))),"-"))</f>
        <v/>
      </c>
      <c r="AE57" s="38">
        <f>IF(OR(AP57="",AE$5="-"),"",IFERROR(IF(INDEX(INDIRECT("'"&amp;$B57&amp;"'!$T$6:$T$205"),MATCH($AR57&amp;"|"&amp;AE$5,INDIRECT("'"&amp;$B57&amp;"'!$AF$6:$AF$205"),0))="","",INDEX(INDIRECT("'"&amp;$B57&amp;"'!$T$6:$T$205"),MATCH($AR57&amp;"|"&amp;AE$5,INDIRECT("'"&amp;$B57&amp;"'!$AF$6:$AF$205"),0))),"-"))</f>
        <v/>
      </c>
      <c r="AF57" s="35">
        <f>IF(AG57="","",INDEX($P$5:$W$5,MATCH(AG57,P57:W57,0)))</f>
        <v/>
      </c>
      <c r="AG57" s="37">
        <f>IF(COUNT(P57:W57)=0,"",MIN(P57:W57))</f>
        <v/>
      </c>
      <c r="AH57" s="39">
        <f>IF(AG57="","",AG57*F57)</f>
        <v/>
      </c>
      <c r="AI57" s="39">
        <f>IF(COUNT(P57:W57)&lt;2,"",(MAX(P57:W57)-MIN(P57:W57))*F57)</f>
        <v/>
      </c>
      <c r="AJ57" s="20" t="n"/>
      <c r="AP57">
        <f>IF(52&gt;MAX($AN$6:$AN$9),"",COUNTIF($AN$6:$AN$9,"&lt;"&amp;52)+1)</f>
        <v/>
      </c>
      <c r="AQ57">
        <f>IF(AP57="","",52-INDEX($AO$6:$AO$9,AP57))</f>
        <v/>
      </c>
      <c r="AR57">
        <f>IF(AP57="","",INDEX(INDIRECT("'"&amp;$B57&amp;"'!$AE$6:$AE$205"),MATCH(AQ57,INDIRECT("'"&amp;$B57&amp;"'!$AI$6:$AI$205"),0)))</f>
        <v/>
      </c>
    </row>
    <row r="58">
      <c r="A58" s="34">
        <f>IF(AP58="","",53)</f>
        <v/>
      </c>
      <c r="B58" s="35">
        <f>IF(AP58="","",INDEX($AL$6:$AL$9,AP58))</f>
        <v/>
      </c>
      <c r="C58" s="34">
        <f>IF(AP58="","",INDEX(INDIRECT("'"&amp;$B58&amp;"'!$B$6:$B$205"),MATCH($AR58,INDIRECT("'"&amp;$B58&amp;"'!$AE$6:$AE$205"),0)))</f>
        <v/>
      </c>
      <c r="D58" s="34">
        <f>IF(AP58="","",INDEX(INDIRECT("'"&amp;$B58&amp;"'!$D$6:$D$205"),MATCH($AR58,INDIRECT("'"&amp;$B58&amp;"'!$AE$6:$AE$205"),0)))</f>
        <v/>
      </c>
      <c r="E58" s="36">
        <f>IF(AP58="","",INDEX(INDIRECT("'"&amp;$B58&amp;"'!$F$6:$F$205"),MATCH($AR58,INDIRECT("'"&amp;$B58&amp;"'!$AE$6:$AE$205"),0)))</f>
        <v/>
      </c>
      <c r="F58" s="34">
        <f>IF(AP58="","",INDEX(INDIRECT("'"&amp;$B58&amp;"'!$K$6:$K$205"),MATCH($AR58,INDIRECT("'"&amp;$B58&amp;"'!$AE$6:$AE$205"),0)))</f>
        <v/>
      </c>
      <c r="G58" s="34">
        <f>IF(AP58="","",INDEX(INDIRECT("'"&amp;$B58&amp;"'!$L$6:$L$205"),MATCH($AR58,INDIRECT("'"&amp;$B58&amp;"'!$AE$6:$AE$205"),0)))</f>
        <v/>
      </c>
      <c r="H58" s="34">
        <f>IF(OR(AP58="",H$5="-"),"",IFERROR(IF(INDEX(INDIRECT("'"&amp;$B58&amp;"'!$N$6:$N$205"),MATCH($AR58&amp;"|"&amp;H$5,INDIRECT("'"&amp;$B58&amp;"'!$AF$6:$AF$205"),0))="","",INDEX(INDIRECT("'"&amp;$B58&amp;"'!$N$6:$N$205"),MATCH($AR58&amp;"|"&amp;H$5,INDIRECT("'"&amp;$B58&amp;"'!$AF$6:$AF$205"),0))),"-"))</f>
        <v/>
      </c>
      <c r="I58" s="34">
        <f>IF(OR(AP58="",I$5="-"),"",IFERROR(IF(INDEX(INDIRECT("'"&amp;$B58&amp;"'!$N$6:$N$205"),MATCH($AR58&amp;"|"&amp;I$5,INDIRECT("'"&amp;$B58&amp;"'!$AF$6:$AF$205"),0))="","",INDEX(INDIRECT("'"&amp;$B58&amp;"'!$N$6:$N$205"),MATCH($AR58&amp;"|"&amp;I$5,INDIRECT("'"&amp;$B58&amp;"'!$AF$6:$AF$205"),0))),"-"))</f>
        <v/>
      </c>
      <c r="J58" s="34">
        <f>IF(OR(AP58="",J$5="-"),"",IFERROR(IF(INDEX(INDIRECT("'"&amp;$B58&amp;"'!$N$6:$N$205"),MATCH($AR58&amp;"|"&amp;J$5,INDIRECT("'"&amp;$B58&amp;"'!$AF$6:$AF$205"),0))="","",INDEX(INDIRECT("'"&amp;$B58&amp;"'!$N$6:$N$205"),MATCH($AR58&amp;"|"&amp;J$5,INDIRECT("'"&amp;$B58&amp;"'!$AF$6:$AF$205"),0))),"-"))</f>
        <v/>
      </c>
      <c r="K58" s="34">
        <f>IF(OR(AP58="",K$5="-"),"",IFERROR(IF(INDEX(INDIRECT("'"&amp;$B58&amp;"'!$N$6:$N$205"),MATCH($AR58&amp;"|"&amp;K$5,INDIRECT("'"&amp;$B58&amp;"'!$AF$6:$AF$205"),0))="","",INDEX(INDIRECT("'"&amp;$B58&amp;"'!$N$6:$N$205"),MATCH($AR58&amp;"|"&amp;K$5,INDIRECT("'"&amp;$B58&amp;"'!$AF$6:$AF$205"),0))),"-"))</f>
        <v/>
      </c>
      <c r="L58" s="34">
        <f>IF(OR(AP58="",L$5="-"),"",IFERROR(IF(INDEX(INDIRECT("'"&amp;$B58&amp;"'!$N$6:$N$205"),MATCH($AR58&amp;"|"&amp;L$5,INDIRECT("'"&amp;$B58&amp;"'!$AF$6:$AF$205"),0))="","",INDEX(INDIRECT("'"&amp;$B58&amp;"'!$N$6:$N$205"),MATCH($AR58&amp;"|"&amp;L$5,INDIRECT("'"&amp;$B58&amp;"'!$AF$6:$AF$205"),0))),"-"))</f>
        <v/>
      </c>
      <c r="M58" s="34">
        <f>IF(OR(AP58="",M$5="-"),"",IFERROR(IF(INDEX(INDIRECT("'"&amp;$B58&amp;"'!$N$6:$N$205"),MATCH($AR58&amp;"|"&amp;M$5,INDIRECT("'"&amp;$B58&amp;"'!$AF$6:$AF$205"),0))="","",INDEX(INDIRECT("'"&amp;$B58&amp;"'!$N$6:$N$205"),MATCH($AR58&amp;"|"&amp;M$5,INDIRECT("'"&amp;$B58&amp;"'!$AF$6:$AF$205"),0))),"-"))</f>
        <v/>
      </c>
      <c r="N58" s="34">
        <f>IF(OR(AP58="",N$5="-"),"",IFERROR(IF(INDEX(INDIRECT("'"&amp;$B58&amp;"'!$N$6:$N$205"),MATCH($AR58&amp;"|"&amp;N$5,INDIRECT("'"&amp;$B58&amp;"'!$AF$6:$AF$205"),0))="","",INDEX(INDIRECT("'"&amp;$B58&amp;"'!$N$6:$N$205"),MATCH($AR58&amp;"|"&amp;N$5,INDIRECT("'"&amp;$B58&amp;"'!$AF$6:$AF$205"),0))),"-"))</f>
        <v/>
      </c>
      <c r="O58" s="34">
        <f>IF(OR(AP58="",O$5="-"),"",IFERROR(IF(INDEX(INDIRECT("'"&amp;$B58&amp;"'!$N$6:$N$205"),MATCH($AR58&amp;"|"&amp;O$5,INDIRECT("'"&amp;$B58&amp;"'!$AF$6:$AF$205"),0))="","",INDEX(INDIRECT("'"&amp;$B58&amp;"'!$N$6:$N$205"),MATCH($AR58&amp;"|"&amp;O$5,INDIRECT("'"&amp;$B58&amp;"'!$AF$6:$AF$205"),0))),"-"))</f>
        <v/>
      </c>
      <c r="P58" s="37">
        <f>IF(OR(AP58="",P$5="-"),"",IFERROR(IF(INDEX(INDIRECT("'"&amp;$B58&amp;"'!$R$6:$R$205"),MATCH($AR58&amp;"|"&amp;P$5,INDIRECT("'"&amp;$B58&amp;"'!$AF$6:$AF$205"),0))="","",INDEX(INDIRECT("'"&amp;$B58&amp;"'!$R$6:$R$205"),MATCH($AR58&amp;"|"&amp;P$5,INDIRECT("'"&amp;$B58&amp;"'!$AF$6:$AF$205"),0))),"-"))</f>
        <v/>
      </c>
      <c r="Q58" s="37">
        <f>IF(OR(AP58="",Q$5="-"),"",IFERROR(IF(INDEX(INDIRECT("'"&amp;$B58&amp;"'!$R$6:$R$205"),MATCH($AR58&amp;"|"&amp;Q$5,INDIRECT("'"&amp;$B58&amp;"'!$AF$6:$AF$205"),0))="","",INDEX(INDIRECT("'"&amp;$B58&amp;"'!$R$6:$R$205"),MATCH($AR58&amp;"|"&amp;Q$5,INDIRECT("'"&amp;$B58&amp;"'!$AF$6:$AF$205"),0))),"-"))</f>
        <v/>
      </c>
      <c r="R58" s="37">
        <f>IF(OR(AP58="",R$5="-"),"",IFERROR(IF(INDEX(INDIRECT("'"&amp;$B58&amp;"'!$R$6:$R$205"),MATCH($AR58&amp;"|"&amp;R$5,INDIRECT("'"&amp;$B58&amp;"'!$AF$6:$AF$205"),0))="","",INDEX(INDIRECT("'"&amp;$B58&amp;"'!$R$6:$R$205"),MATCH($AR58&amp;"|"&amp;R$5,INDIRECT("'"&amp;$B58&amp;"'!$AF$6:$AF$205"),0))),"-"))</f>
        <v/>
      </c>
      <c r="S58" s="37">
        <f>IF(OR(AP58="",S$5="-"),"",IFERROR(IF(INDEX(INDIRECT("'"&amp;$B58&amp;"'!$R$6:$R$205"),MATCH($AR58&amp;"|"&amp;S$5,INDIRECT("'"&amp;$B58&amp;"'!$AF$6:$AF$205"),0))="","",INDEX(INDIRECT("'"&amp;$B58&amp;"'!$R$6:$R$205"),MATCH($AR58&amp;"|"&amp;S$5,INDIRECT("'"&amp;$B58&amp;"'!$AF$6:$AF$205"),0))),"-"))</f>
        <v/>
      </c>
      <c r="T58" s="37">
        <f>IF(OR(AP58="",T$5="-"),"",IFERROR(IF(INDEX(INDIRECT("'"&amp;$B58&amp;"'!$R$6:$R$205"),MATCH($AR58&amp;"|"&amp;T$5,INDIRECT("'"&amp;$B58&amp;"'!$AF$6:$AF$205"),0))="","",INDEX(INDIRECT("'"&amp;$B58&amp;"'!$R$6:$R$205"),MATCH($AR58&amp;"|"&amp;T$5,INDIRECT("'"&amp;$B58&amp;"'!$AF$6:$AF$205"),0))),"-"))</f>
        <v/>
      </c>
      <c r="U58" s="37">
        <f>IF(OR(AP58="",U$5="-"),"",IFERROR(IF(INDEX(INDIRECT("'"&amp;$B58&amp;"'!$R$6:$R$205"),MATCH($AR58&amp;"|"&amp;U$5,INDIRECT("'"&amp;$B58&amp;"'!$AF$6:$AF$205"),0))="","",INDEX(INDIRECT("'"&amp;$B58&amp;"'!$R$6:$R$205"),MATCH($AR58&amp;"|"&amp;U$5,INDIRECT("'"&amp;$B58&amp;"'!$AF$6:$AF$205"),0))),"-"))</f>
        <v/>
      </c>
      <c r="V58" s="37">
        <f>IF(OR(AP58="",V$5="-"),"",IFERROR(IF(INDEX(INDIRECT("'"&amp;$B58&amp;"'!$R$6:$R$205"),MATCH($AR58&amp;"|"&amp;V$5,INDIRECT("'"&amp;$B58&amp;"'!$AF$6:$AF$205"),0))="","",INDEX(INDIRECT("'"&amp;$B58&amp;"'!$R$6:$R$205"),MATCH($AR58&amp;"|"&amp;V$5,INDIRECT("'"&amp;$B58&amp;"'!$AF$6:$AF$205"),0))),"-"))</f>
        <v/>
      </c>
      <c r="W58" s="37">
        <f>IF(OR(AP58="",W$5="-"),"",IFERROR(IF(INDEX(INDIRECT("'"&amp;$B58&amp;"'!$R$6:$R$205"),MATCH($AR58&amp;"|"&amp;W$5,INDIRECT("'"&amp;$B58&amp;"'!$AF$6:$AF$205"),0))="","",INDEX(INDIRECT("'"&amp;$B58&amp;"'!$R$6:$R$205"),MATCH($AR58&amp;"|"&amp;W$5,INDIRECT("'"&amp;$B58&amp;"'!$AF$6:$AF$205"),0))),"-"))</f>
        <v/>
      </c>
      <c r="X58" s="38">
        <f>IF(OR(AP58="",X$5="-"),"",IFERROR(IF(INDEX(INDIRECT("'"&amp;$B58&amp;"'!$T$6:$T$205"),MATCH($AR58&amp;"|"&amp;X$5,INDIRECT("'"&amp;$B58&amp;"'!$AF$6:$AF$205"),0))="","",INDEX(INDIRECT("'"&amp;$B58&amp;"'!$T$6:$T$205"),MATCH($AR58&amp;"|"&amp;X$5,INDIRECT("'"&amp;$B58&amp;"'!$AF$6:$AF$205"),0))),"-"))</f>
        <v/>
      </c>
      <c r="Y58" s="38">
        <f>IF(OR(AP58="",Y$5="-"),"",IFERROR(IF(INDEX(INDIRECT("'"&amp;$B58&amp;"'!$T$6:$T$205"),MATCH($AR58&amp;"|"&amp;Y$5,INDIRECT("'"&amp;$B58&amp;"'!$AF$6:$AF$205"),0))="","",INDEX(INDIRECT("'"&amp;$B58&amp;"'!$T$6:$T$205"),MATCH($AR58&amp;"|"&amp;Y$5,INDIRECT("'"&amp;$B58&amp;"'!$AF$6:$AF$205"),0))),"-"))</f>
        <v/>
      </c>
      <c r="Z58" s="38">
        <f>IF(OR(AP58="",Z$5="-"),"",IFERROR(IF(INDEX(INDIRECT("'"&amp;$B58&amp;"'!$T$6:$T$205"),MATCH($AR58&amp;"|"&amp;Z$5,INDIRECT("'"&amp;$B58&amp;"'!$AF$6:$AF$205"),0))="","",INDEX(INDIRECT("'"&amp;$B58&amp;"'!$T$6:$T$205"),MATCH($AR58&amp;"|"&amp;Z$5,INDIRECT("'"&amp;$B58&amp;"'!$AF$6:$AF$205"),0))),"-"))</f>
        <v/>
      </c>
      <c r="AA58" s="38">
        <f>IF(OR(AP58="",AA$5="-"),"",IFERROR(IF(INDEX(INDIRECT("'"&amp;$B58&amp;"'!$T$6:$T$205"),MATCH($AR58&amp;"|"&amp;AA$5,INDIRECT("'"&amp;$B58&amp;"'!$AF$6:$AF$205"),0))="","",INDEX(INDIRECT("'"&amp;$B58&amp;"'!$T$6:$T$205"),MATCH($AR58&amp;"|"&amp;AA$5,INDIRECT("'"&amp;$B58&amp;"'!$AF$6:$AF$205"),0))),"-"))</f>
        <v/>
      </c>
      <c r="AB58" s="38">
        <f>IF(OR(AP58="",AB$5="-"),"",IFERROR(IF(INDEX(INDIRECT("'"&amp;$B58&amp;"'!$T$6:$T$205"),MATCH($AR58&amp;"|"&amp;AB$5,INDIRECT("'"&amp;$B58&amp;"'!$AF$6:$AF$205"),0))="","",INDEX(INDIRECT("'"&amp;$B58&amp;"'!$T$6:$T$205"),MATCH($AR58&amp;"|"&amp;AB$5,INDIRECT("'"&amp;$B58&amp;"'!$AF$6:$AF$205"),0))),"-"))</f>
        <v/>
      </c>
      <c r="AC58" s="38">
        <f>IF(OR(AP58="",AC$5="-"),"",IFERROR(IF(INDEX(INDIRECT("'"&amp;$B58&amp;"'!$T$6:$T$205"),MATCH($AR58&amp;"|"&amp;AC$5,INDIRECT("'"&amp;$B58&amp;"'!$AF$6:$AF$205"),0))="","",INDEX(INDIRECT("'"&amp;$B58&amp;"'!$T$6:$T$205"),MATCH($AR58&amp;"|"&amp;AC$5,INDIRECT("'"&amp;$B58&amp;"'!$AF$6:$AF$205"),0))),"-"))</f>
        <v/>
      </c>
      <c r="AD58" s="38">
        <f>IF(OR(AP58="",AD$5="-"),"",IFERROR(IF(INDEX(INDIRECT("'"&amp;$B58&amp;"'!$T$6:$T$205"),MATCH($AR58&amp;"|"&amp;AD$5,INDIRECT("'"&amp;$B58&amp;"'!$AF$6:$AF$205"),0))="","",INDEX(INDIRECT("'"&amp;$B58&amp;"'!$T$6:$T$205"),MATCH($AR58&amp;"|"&amp;AD$5,INDIRECT("'"&amp;$B58&amp;"'!$AF$6:$AF$205"),0))),"-"))</f>
        <v/>
      </c>
      <c r="AE58" s="38">
        <f>IF(OR(AP58="",AE$5="-"),"",IFERROR(IF(INDEX(INDIRECT("'"&amp;$B58&amp;"'!$T$6:$T$205"),MATCH($AR58&amp;"|"&amp;AE$5,INDIRECT("'"&amp;$B58&amp;"'!$AF$6:$AF$205"),0))="","",INDEX(INDIRECT("'"&amp;$B58&amp;"'!$T$6:$T$205"),MATCH($AR58&amp;"|"&amp;AE$5,INDIRECT("'"&amp;$B58&amp;"'!$AF$6:$AF$205"),0))),"-"))</f>
        <v/>
      </c>
      <c r="AF58" s="35">
        <f>IF(AG58="","",INDEX($P$5:$W$5,MATCH(AG58,P58:W58,0)))</f>
        <v/>
      </c>
      <c r="AG58" s="37">
        <f>IF(COUNT(P58:W58)=0,"",MIN(P58:W58))</f>
        <v/>
      </c>
      <c r="AH58" s="39">
        <f>IF(AG58="","",AG58*F58)</f>
        <v/>
      </c>
      <c r="AI58" s="39">
        <f>IF(COUNT(P58:W58)&lt;2,"",(MAX(P58:W58)-MIN(P58:W58))*F58)</f>
        <v/>
      </c>
      <c r="AJ58" s="20" t="n"/>
      <c r="AP58">
        <f>IF(53&gt;MAX($AN$6:$AN$9),"",COUNTIF($AN$6:$AN$9,"&lt;"&amp;53)+1)</f>
        <v/>
      </c>
      <c r="AQ58">
        <f>IF(AP58="","",53-INDEX($AO$6:$AO$9,AP58))</f>
        <v/>
      </c>
      <c r="AR58">
        <f>IF(AP58="","",INDEX(INDIRECT("'"&amp;$B58&amp;"'!$AE$6:$AE$205"),MATCH(AQ58,INDIRECT("'"&amp;$B58&amp;"'!$AI$6:$AI$205"),0)))</f>
        <v/>
      </c>
    </row>
    <row r="59">
      <c r="A59" s="34">
        <f>IF(AP59="","",54)</f>
        <v/>
      </c>
      <c r="B59" s="35">
        <f>IF(AP59="","",INDEX($AL$6:$AL$9,AP59))</f>
        <v/>
      </c>
      <c r="C59" s="34">
        <f>IF(AP59="","",INDEX(INDIRECT("'"&amp;$B59&amp;"'!$B$6:$B$205"),MATCH($AR59,INDIRECT("'"&amp;$B59&amp;"'!$AE$6:$AE$205"),0)))</f>
        <v/>
      </c>
      <c r="D59" s="34">
        <f>IF(AP59="","",INDEX(INDIRECT("'"&amp;$B59&amp;"'!$D$6:$D$205"),MATCH($AR59,INDIRECT("'"&amp;$B59&amp;"'!$AE$6:$AE$205"),0)))</f>
        <v/>
      </c>
      <c r="E59" s="36">
        <f>IF(AP59="","",INDEX(INDIRECT("'"&amp;$B59&amp;"'!$F$6:$F$205"),MATCH($AR59,INDIRECT("'"&amp;$B59&amp;"'!$AE$6:$AE$205"),0)))</f>
        <v/>
      </c>
      <c r="F59" s="34">
        <f>IF(AP59="","",INDEX(INDIRECT("'"&amp;$B59&amp;"'!$K$6:$K$205"),MATCH($AR59,INDIRECT("'"&amp;$B59&amp;"'!$AE$6:$AE$205"),0)))</f>
        <v/>
      </c>
      <c r="G59" s="34">
        <f>IF(AP59="","",INDEX(INDIRECT("'"&amp;$B59&amp;"'!$L$6:$L$205"),MATCH($AR59,INDIRECT("'"&amp;$B59&amp;"'!$AE$6:$AE$205"),0)))</f>
        <v/>
      </c>
      <c r="H59" s="34">
        <f>IF(OR(AP59="",H$5="-"),"",IFERROR(IF(INDEX(INDIRECT("'"&amp;$B59&amp;"'!$N$6:$N$205"),MATCH($AR59&amp;"|"&amp;H$5,INDIRECT("'"&amp;$B59&amp;"'!$AF$6:$AF$205"),0))="","",INDEX(INDIRECT("'"&amp;$B59&amp;"'!$N$6:$N$205"),MATCH($AR59&amp;"|"&amp;H$5,INDIRECT("'"&amp;$B59&amp;"'!$AF$6:$AF$205"),0))),"-"))</f>
        <v/>
      </c>
      <c r="I59" s="34">
        <f>IF(OR(AP59="",I$5="-"),"",IFERROR(IF(INDEX(INDIRECT("'"&amp;$B59&amp;"'!$N$6:$N$205"),MATCH($AR59&amp;"|"&amp;I$5,INDIRECT("'"&amp;$B59&amp;"'!$AF$6:$AF$205"),0))="","",INDEX(INDIRECT("'"&amp;$B59&amp;"'!$N$6:$N$205"),MATCH($AR59&amp;"|"&amp;I$5,INDIRECT("'"&amp;$B59&amp;"'!$AF$6:$AF$205"),0))),"-"))</f>
        <v/>
      </c>
      <c r="J59" s="34">
        <f>IF(OR(AP59="",J$5="-"),"",IFERROR(IF(INDEX(INDIRECT("'"&amp;$B59&amp;"'!$N$6:$N$205"),MATCH($AR59&amp;"|"&amp;J$5,INDIRECT("'"&amp;$B59&amp;"'!$AF$6:$AF$205"),0))="","",INDEX(INDIRECT("'"&amp;$B59&amp;"'!$N$6:$N$205"),MATCH($AR59&amp;"|"&amp;J$5,INDIRECT("'"&amp;$B59&amp;"'!$AF$6:$AF$205"),0))),"-"))</f>
        <v/>
      </c>
      <c r="K59" s="34">
        <f>IF(OR(AP59="",K$5="-"),"",IFERROR(IF(INDEX(INDIRECT("'"&amp;$B59&amp;"'!$N$6:$N$205"),MATCH($AR59&amp;"|"&amp;K$5,INDIRECT("'"&amp;$B59&amp;"'!$AF$6:$AF$205"),0))="","",INDEX(INDIRECT("'"&amp;$B59&amp;"'!$N$6:$N$205"),MATCH($AR59&amp;"|"&amp;K$5,INDIRECT("'"&amp;$B59&amp;"'!$AF$6:$AF$205"),0))),"-"))</f>
        <v/>
      </c>
      <c r="L59" s="34">
        <f>IF(OR(AP59="",L$5="-"),"",IFERROR(IF(INDEX(INDIRECT("'"&amp;$B59&amp;"'!$N$6:$N$205"),MATCH($AR59&amp;"|"&amp;L$5,INDIRECT("'"&amp;$B59&amp;"'!$AF$6:$AF$205"),0))="","",INDEX(INDIRECT("'"&amp;$B59&amp;"'!$N$6:$N$205"),MATCH($AR59&amp;"|"&amp;L$5,INDIRECT("'"&amp;$B59&amp;"'!$AF$6:$AF$205"),0))),"-"))</f>
        <v/>
      </c>
      <c r="M59" s="34">
        <f>IF(OR(AP59="",M$5="-"),"",IFERROR(IF(INDEX(INDIRECT("'"&amp;$B59&amp;"'!$N$6:$N$205"),MATCH($AR59&amp;"|"&amp;M$5,INDIRECT("'"&amp;$B59&amp;"'!$AF$6:$AF$205"),0))="","",INDEX(INDIRECT("'"&amp;$B59&amp;"'!$N$6:$N$205"),MATCH($AR59&amp;"|"&amp;M$5,INDIRECT("'"&amp;$B59&amp;"'!$AF$6:$AF$205"),0))),"-"))</f>
        <v/>
      </c>
      <c r="N59" s="34">
        <f>IF(OR(AP59="",N$5="-"),"",IFERROR(IF(INDEX(INDIRECT("'"&amp;$B59&amp;"'!$N$6:$N$205"),MATCH($AR59&amp;"|"&amp;N$5,INDIRECT("'"&amp;$B59&amp;"'!$AF$6:$AF$205"),0))="","",INDEX(INDIRECT("'"&amp;$B59&amp;"'!$N$6:$N$205"),MATCH($AR59&amp;"|"&amp;N$5,INDIRECT("'"&amp;$B59&amp;"'!$AF$6:$AF$205"),0))),"-"))</f>
        <v/>
      </c>
      <c r="O59" s="34">
        <f>IF(OR(AP59="",O$5="-"),"",IFERROR(IF(INDEX(INDIRECT("'"&amp;$B59&amp;"'!$N$6:$N$205"),MATCH($AR59&amp;"|"&amp;O$5,INDIRECT("'"&amp;$B59&amp;"'!$AF$6:$AF$205"),0))="","",INDEX(INDIRECT("'"&amp;$B59&amp;"'!$N$6:$N$205"),MATCH($AR59&amp;"|"&amp;O$5,INDIRECT("'"&amp;$B59&amp;"'!$AF$6:$AF$205"),0))),"-"))</f>
        <v/>
      </c>
      <c r="P59" s="37">
        <f>IF(OR(AP59="",P$5="-"),"",IFERROR(IF(INDEX(INDIRECT("'"&amp;$B59&amp;"'!$R$6:$R$205"),MATCH($AR59&amp;"|"&amp;P$5,INDIRECT("'"&amp;$B59&amp;"'!$AF$6:$AF$205"),0))="","",INDEX(INDIRECT("'"&amp;$B59&amp;"'!$R$6:$R$205"),MATCH($AR59&amp;"|"&amp;P$5,INDIRECT("'"&amp;$B59&amp;"'!$AF$6:$AF$205"),0))),"-"))</f>
        <v/>
      </c>
      <c r="Q59" s="37">
        <f>IF(OR(AP59="",Q$5="-"),"",IFERROR(IF(INDEX(INDIRECT("'"&amp;$B59&amp;"'!$R$6:$R$205"),MATCH($AR59&amp;"|"&amp;Q$5,INDIRECT("'"&amp;$B59&amp;"'!$AF$6:$AF$205"),0))="","",INDEX(INDIRECT("'"&amp;$B59&amp;"'!$R$6:$R$205"),MATCH($AR59&amp;"|"&amp;Q$5,INDIRECT("'"&amp;$B59&amp;"'!$AF$6:$AF$205"),0))),"-"))</f>
        <v/>
      </c>
      <c r="R59" s="37">
        <f>IF(OR(AP59="",R$5="-"),"",IFERROR(IF(INDEX(INDIRECT("'"&amp;$B59&amp;"'!$R$6:$R$205"),MATCH($AR59&amp;"|"&amp;R$5,INDIRECT("'"&amp;$B59&amp;"'!$AF$6:$AF$205"),0))="","",INDEX(INDIRECT("'"&amp;$B59&amp;"'!$R$6:$R$205"),MATCH($AR59&amp;"|"&amp;R$5,INDIRECT("'"&amp;$B59&amp;"'!$AF$6:$AF$205"),0))),"-"))</f>
        <v/>
      </c>
      <c r="S59" s="37">
        <f>IF(OR(AP59="",S$5="-"),"",IFERROR(IF(INDEX(INDIRECT("'"&amp;$B59&amp;"'!$R$6:$R$205"),MATCH($AR59&amp;"|"&amp;S$5,INDIRECT("'"&amp;$B59&amp;"'!$AF$6:$AF$205"),0))="","",INDEX(INDIRECT("'"&amp;$B59&amp;"'!$R$6:$R$205"),MATCH($AR59&amp;"|"&amp;S$5,INDIRECT("'"&amp;$B59&amp;"'!$AF$6:$AF$205"),0))),"-"))</f>
        <v/>
      </c>
      <c r="T59" s="37">
        <f>IF(OR(AP59="",T$5="-"),"",IFERROR(IF(INDEX(INDIRECT("'"&amp;$B59&amp;"'!$R$6:$R$205"),MATCH($AR59&amp;"|"&amp;T$5,INDIRECT("'"&amp;$B59&amp;"'!$AF$6:$AF$205"),0))="","",INDEX(INDIRECT("'"&amp;$B59&amp;"'!$R$6:$R$205"),MATCH($AR59&amp;"|"&amp;T$5,INDIRECT("'"&amp;$B59&amp;"'!$AF$6:$AF$205"),0))),"-"))</f>
        <v/>
      </c>
      <c r="U59" s="37">
        <f>IF(OR(AP59="",U$5="-"),"",IFERROR(IF(INDEX(INDIRECT("'"&amp;$B59&amp;"'!$R$6:$R$205"),MATCH($AR59&amp;"|"&amp;U$5,INDIRECT("'"&amp;$B59&amp;"'!$AF$6:$AF$205"),0))="","",INDEX(INDIRECT("'"&amp;$B59&amp;"'!$R$6:$R$205"),MATCH($AR59&amp;"|"&amp;U$5,INDIRECT("'"&amp;$B59&amp;"'!$AF$6:$AF$205"),0))),"-"))</f>
        <v/>
      </c>
      <c r="V59" s="37">
        <f>IF(OR(AP59="",V$5="-"),"",IFERROR(IF(INDEX(INDIRECT("'"&amp;$B59&amp;"'!$R$6:$R$205"),MATCH($AR59&amp;"|"&amp;V$5,INDIRECT("'"&amp;$B59&amp;"'!$AF$6:$AF$205"),0))="","",INDEX(INDIRECT("'"&amp;$B59&amp;"'!$R$6:$R$205"),MATCH($AR59&amp;"|"&amp;V$5,INDIRECT("'"&amp;$B59&amp;"'!$AF$6:$AF$205"),0))),"-"))</f>
        <v/>
      </c>
      <c r="W59" s="37">
        <f>IF(OR(AP59="",W$5="-"),"",IFERROR(IF(INDEX(INDIRECT("'"&amp;$B59&amp;"'!$R$6:$R$205"),MATCH($AR59&amp;"|"&amp;W$5,INDIRECT("'"&amp;$B59&amp;"'!$AF$6:$AF$205"),0))="","",INDEX(INDIRECT("'"&amp;$B59&amp;"'!$R$6:$R$205"),MATCH($AR59&amp;"|"&amp;W$5,INDIRECT("'"&amp;$B59&amp;"'!$AF$6:$AF$205"),0))),"-"))</f>
        <v/>
      </c>
      <c r="X59" s="38">
        <f>IF(OR(AP59="",X$5="-"),"",IFERROR(IF(INDEX(INDIRECT("'"&amp;$B59&amp;"'!$T$6:$T$205"),MATCH($AR59&amp;"|"&amp;X$5,INDIRECT("'"&amp;$B59&amp;"'!$AF$6:$AF$205"),0))="","",INDEX(INDIRECT("'"&amp;$B59&amp;"'!$T$6:$T$205"),MATCH($AR59&amp;"|"&amp;X$5,INDIRECT("'"&amp;$B59&amp;"'!$AF$6:$AF$205"),0))),"-"))</f>
        <v/>
      </c>
      <c r="Y59" s="38">
        <f>IF(OR(AP59="",Y$5="-"),"",IFERROR(IF(INDEX(INDIRECT("'"&amp;$B59&amp;"'!$T$6:$T$205"),MATCH($AR59&amp;"|"&amp;Y$5,INDIRECT("'"&amp;$B59&amp;"'!$AF$6:$AF$205"),0))="","",INDEX(INDIRECT("'"&amp;$B59&amp;"'!$T$6:$T$205"),MATCH($AR59&amp;"|"&amp;Y$5,INDIRECT("'"&amp;$B59&amp;"'!$AF$6:$AF$205"),0))),"-"))</f>
        <v/>
      </c>
      <c r="Z59" s="38">
        <f>IF(OR(AP59="",Z$5="-"),"",IFERROR(IF(INDEX(INDIRECT("'"&amp;$B59&amp;"'!$T$6:$T$205"),MATCH($AR59&amp;"|"&amp;Z$5,INDIRECT("'"&amp;$B59&amp;"'!$AF$6:$AF$205"),0))="","",INDEX(INDIRECT("'"&amp;$B59&amp;"'!$T$6:$T$205"),MATCH($AR59&amp;"|"&amp;Z$5,INDIRECT("'"&amp;$B59&amp;"'!$AF$6:$AF$205"),0))),"-"))</f>
        <v/>
      </c>
      <c r="AA59" s="38">
        <f>IF(OR(AP59="",AA$5="-"),"",IFERROR(IF(INDEX(INDIRECT("'"&amp;$B59&amp;"'!$T$6:$T$205"),MATCH($AR59&amp;"|"&amp;AA$5,INDIRECT("'"&amp;$B59&amp;"'!$AF$6:$AF$205"),0))="","",INDEX(INDIRECT("'"&amp;$B59&amp;"'!$T$6:$T$205"),MATCH($AR59&amp;"|"&amp;AA$5,INDIRECT("'"&amp;$B59&amp;"'!$AF$6:$AF$205"),0))),"-"))</f>
        <v/>
      </c>
      <c r="AB59" s="38">
        <f>IF(OR(AP59="",AB$5="-"),"",IFERROR(IF(INDEX(INDIRECT("'"&amp;$B59&amp;"'!$T$6:$T$205"),MATCH($AR59&amp;"|"&amp;AB$5,INDIRECT("'"&amp;$B59&amp;"'!$AF$6:$AF$205"),0))="","",INDEX(INDIRECT("'"&amp;$B59&amp;"'!$T$6:$T$205"),MATCH($AR59&amp;"|"&amp;AB$5,INDIRECT("'"&amp;$B59&amp;"'!$AF$6:$AF$205"),0))),"-"))</f>
        <v/>
      </c>
      <c r="AC59" s="38">
        <f>IF(OR(AP59="",AC$5="-"),"",IFERROR(IF(INDEX(INDIRECT("'"&amp;$B59&amp;"'!$T$6:$T$205"),MATCH($AR59&amp;"|"&amp;AC$5,INDIRECT("'"&amp;$B59&amp;"'!$AF$6:$AF$205"),0))="","",INDEX(INDIRECT("'"&amp;$B59&amp;"'!$T$6:$T$205"),MATCH($AR59&amp;"|"&amp;AC$5,INDIRECT("'"&amp;$B59&amp;"'!$AF$6:$AF$205"),0))),"-"))</f>
        <v/>
      </c>
      <c r="AD59" s="38">
        <f>IF(OR(AP59="",AD$5="-"),"",IFERROR(IF(INDEX(INDIRECT("'"&amp;$B59&amp;"'!$T$6:$T$205"),MATCH($AR59&amp;"|"&amp;AD$5,INDIRECT("'"&amp;$B59&amp;"'!$AF$6:$AF$205"),0))="","",INDEX(INDIRECT("'"&amp;$B59&amp;"'!$T$6:$T$205"),MATCH($AR59&amp;"|"&amp;AD$5,INDIRECT("'"&amp;$B59&amp;"'!$AF$6:$AF$205"),0))),"-"))</f>
        <v/>
      </c>
      <c r="AE59" s="38">
        <f>IF(OR(AP59="",AE$5="-"),"",IFERROR(IF(INDEX(INDIRECT("'"&amp;$B59&amp;"'!$T$6:$T$205"),MATCH($AR59&amp;"|"&amp;AE$5,INDIRECT("'"&amp;$B59&amp;"'!$AF$6:$AF$205"),0))="","",INDEX(INDIRECT("'"&amp;$B59&amp;"'!$T$6:$T$205"),MATCH($AR59&amp;"|"&amp;AE$5,INDIRECT("'"&amp;$B59&amp;"'!$AF$6:$AF$205"),0))),"-"))</f>
        <v/>
      </c>
      <c r="AF59" s="35">
        <f>IF(AG59="","",INDEX($P$5:$W$5,MATCH(AG59,P59:W59,0)))</f>
        <v/>
      </c>
      <c r="AG59" s="37">
        <f>IF(COUNT(P59:W59)=0,"",MIN(P59:W59))</f>
        <v/>
      </c>
      <c r="AH59" s="39">
        <f>IF(AG59="","",AG59*F59)</f>
        <v/>
      </c>
      <c r="AI59" s="39">
        <f>IF(COUNT(P59:W59)&lt;2,"",(MAX(P59:W59)-MIN(P59:W59))*F59)</f>
        <v/>
      </c>
      <c r="AJ59" s="20" t="n"/>
      <c r="AP59">
        <f>IF(54&gt;MAX($AN$6:$AN$9),"",COUNTIF($AN$6:$AN$9,"&lt;"&amp;54)+1)</f>
        <v/>
      </c>
      <c r="AQ59">
        <f>IF(AP59="","",54-INDEX($AO$6:$AO$9,AP59))</f>
        <v/>
      </c>
      <c r="AR59">
        <f>IF(AP59="","",INDEX(INDIRECT("'"&amp;$B59&amp;"'!$AE$6:$AE$205"),MATCH(AQ59,INDIRECT("'"&amp;$B59&amp;"'!$AI$6:$AI$205"),0)))</f>
        <v/>
      </c>
    </row>
    <row r="60">
      <c r="A60" s="34">
        <f>IF(AP60="","",55)</f>
        <v/>
      </c>
      <c r="B60" s="35">
        <f>IF(AP60="","",INDEX($AL$6:$AL$9,AP60))</f>
        <v/>
      </c>
      <c r="C60" s="34">
        <f>IF(AP60="","",INDEX(INDIRECT("'"&amp;$B60&amp;"'!$B$6:$B$205"),MATCH($AR60,INDIRECT("'"&amp;$B60&amp;"'!$AE$6:$AE$205"),0)))</f>
        <v/>
      </c>
      <c r="D60" s="34">
        <f>IF(AP60="","",INDEX(INDIRECT("'"&amp;$B60&amp;"'!$D$6:$D$205"),MATCH($AR60,INDIRECT("'"&amp;$B60&amp;"'!$AE$6:$AE$205"),0)))</f>
        <v/>
      </c>
      <c r="E60" s="36">
        <f>IF(AP60="","",INDEX(INDIRECT("'"&amp;$B60&amp;"'!$F$6:$F$205"),MATCH($AR60,INDIRECT("'"&amp;$B60&amp;"'!$AE$6:$AE$205"),0)))</f>
        <v/>
      </c>
      <c r="F60" s="34">
        <f>IF(AP60="","",INDEX(INDIRECT("'"&amp;$B60&amp;"'!$K$6:$K$205"),MATCH($AR60,INDIRECT("'"&amp;$B60&amp;"'!$AE$6:$AE$205"),0)))</f>
        <v/>
      </c>
      <c r="G60" s="34">
        <f>IF(AP60="","",INDEX(INDIRECT("'"&amp;$B60&amp;"'!$L$6:$L$205"),MATCH($AR60,INDIRECT("'"&amp;$B60&amp;"'!$AE$6:$AE$205"),0)))</f>
        <v/>
      </c>
      <c r="H60" s="34">
        <f>IF(OR(AP60="",H$5="-"),"",IFERROR(IF(INDEX(INDIRECT("'"&amp;$B60&amp;"'!$N$6:$N$205"),MATCH($AR60&amp;"|"&amp;H$5,INDIRECT("'"&amp;$B60&amp;"'!$AF$6:$AF$205"),0))="","",INDEX(INDIRECT("'"&amp;$B60&amp;"'!$N$6:$N$205"),MATCH($AR60&amp;"|"&amp;H$5,INDIRECT("'"&amp;$B60&amp;"'!$AF$6:$AF$205"),0))),"-"))</f>
        <v/>
      </c>
      <c r="I60" s="34">
        <f>IF(OR(AP60="",I$5="-"),"",IFERROR(IF(INDEX(INDIRECT("'"&amp;$B60&amp;"'!$N$6:$N$205"),MATCH($AR60&amp;"|"&amp;I$5,INDIRECT("'"&amp;$B60&amp;"'!$AF$6:$AF$205"),0))="","",INDEX(INDIRECT("'"&amp;$B60&amp;"'!$N$6:$N$205"),MATCH($AR60&amp;"|"&amp;I$5,INDIRECT("'"&amp;$B60&amp;"'!$AF$6:$AF$205"),0))),"-"))</f>
        <v/>
      </c>
      <c r="J60" s="34">
        <f>IF(OR(AP60="",J$5="-"),"",IFERROR(IF(INDEX(INDIRECT("'"&amp;$B60&amp;"'!$N$6:$N$205"),MATCH($AR60&amp;"|"&amp;J$5,INDIRECT("'"&amp;$B60&amp;"'!$AF$6:$AF$205"),0))="","",INDEX(INDIRECT("'"&amp;$B60&amp;"'!$N$6:$N$205"),MATCH($AR60&amp;"|"&amp;J$5,INDIRECT("'"&amp;$B60&amp;"'!$AF$6:$AF$205"),0))),"-"))</f>
        <v/>
      </c>
      <c r="K60" s="34">
        <f>IF(OR(AP60="",K$5="-"),"",IFERROR(IF(INDEX(INDIRECT("'"&amp;$B60&amp;"'!$N$6:$N$205"),MATCH($AR60&amp;"|"&amp;K$5,INDIRECT("'"&amp;$B60&amp;"'!$AF$6:$AF$205"),0))="","",INDEX(INDIRECT("'"&amp;$B60&amp;"'!$N$6:$N$205"),MATCH($AR60&amp;"|"&amp;K$5,INDIRECT("'"&amp;$B60&amp;"'!$AF$6:$AF$205"),0))),"-"))</f>
        <v/>
      </c>
      <c r="L60" s="34">
        <f>IF(OR(AP60="",L$5="-"),"",IFERROR(IF(INDEX(INDIRECT("'"&amp;$B60&amp;"'!$N$6:$N$205"),MATCH($AR60&amp;"|"&amp;L$5,INDIRECT("'"&amp;$B60&amp;"'!$AF$6:$AF$205"),0))="","",INDEX(INDIRECT("'"&amp;$B60&amp;"'!$N$6:$N$205"),MATCH($AR60&amp;"|"&amp;L$5,INDIRECT("'"&amp;$B60&amp;"'!$AF$6:$AF$205"),0))),"-"))</f>
        <v/>
      </c>
      <c r="M60" s="34">
        <f>IF(OR(AP60="",M$5="-"),"",IFERROR(IF(INDEX(INDIRECT("'"&amp;$B60&amp;"'!$N$6:$N$205"),MATCH($AR60&amp;"|"&amp;M$5,INDIRECT("'"&amp;$B60&amp;"'!$AF$6:$AF$205"),0))="","",INDEX(INDIRECT("'"&amp;$B60&amp;"'!$N$6:$N$205"),MATCH($AR60&amp;"|"&amp;M$5,INDIRECT("'"&amp;$B60&amp;"'!$AF$6:$AF$205"),0))),"-"))</f>
        <v/>
      </c>
      <c r="N60" s="34">
        <f>IF(OR(AP60="",N$5="-"),"",IFERROR(IF(INDEX(INDIRECT("'"&amp;$B60&amp;"'!$N$6:$N$205"),MATCH($AR60&amp;"|"&amp;N$5,INDIRECT("'"&amp;$B60&amp;"'!$AF$6:$AF$205"),0))="","",INDEX(INDIRECT("'"&amp;$B60&amp;"'!$N$6:$N$205"),MATCH($AR60&amp;"|"&amp;N$5,INDIRECT("'"&amp;$B60&amp;"'!$AF$6:$AF$205"),0))),"-"))</f>
        <v/>
      </c>
      <c r="O60" s="34">
        <f>IF(OR(AP60="",O$5="-"),"",IFERROR(IF(INDEX(INDIRECT("'"&amp;$B60&amp;"'!$N$6:$N$205"),MATCH($AR60&amp;"|"&amp;O$5,INDIRECT("'"&amp;$B60&amp;"'!$AF$6:$AF$205"),0))="","",INDEX(INDIRECT("'"&amp;$B60&amp;"'!$N$6:$N$205"),MATCH($AR60&amp;"|"&amp;O$5,INDIRECT("'"&amp;$B60&amp;"'!$AF$6:$AF$205"),0))),"-"))</f>
        <v/>
      </c>
      <c r="P60" s="37">
        <f>IF(OR(AP60="",P$5="-"),"",IFERROR(IF(INDEX(INDIRECT("'"&amp;$B60&amp;"'!$R$6:$R$205"),MATCH($AR60&amp;"|"&amp;P$5,INDIRECT("'"&amp;$B60&amp;"'!$AF$6:$AF$205"),0))="","",INDEX(INDIRECT("'"&amp;$B60&amp;"'!$R$6:$R$205"),MATCH($AR60&amp;"|"&amp;P$5,INDIRECT("'"&amp;$B60&amp;"'!$AF$6:$AF$205"),0))),"-"))</f>
        <v/>
      </c>
      <c r="Q60" s="37">
        <f>IF(OR(AP60="",Q$5="-"),"",IFERROR(IF(INDEX(INDIRECT("'"&amp;$B60&amp;"'!$R$6:$R$205"),MATCH($AR60&amp;"|"&amp;Q$5,INDIRECT("'"&amp;$B60&amp;"'!$AF$6:$AF$205"),0))="","",INDEX(INDIRECT("'"&amp;$B60&amp;"'!$R$6:$R$205"),MATCH($AR60&amp;"|"&amp;Q$5,INDIRECT("'"&amp;$B60&amp;"'!$AF$6:$AF$205"),0))),"-"))</f>
        <v/>
      </c>
      <c r="R60" s="37">
        <f>IF(OR(AP60="",R$5="-"),"",IFERROR(IF(INDEX(INDIRECT("'"&amp;$B60&amp;"'!$R$6:$R$205"),MATCH($AR60&amp;"|"&amp;R$5,INDIRECT("'"&amp;$B60&amp;"'!$AF$6:$AF$205"),0))="","",INDEX(INDIRECT("'"&amp;$B60&amp;"'!$R$6:$R$205"),MATCH($AR60&amp;"|"&amp;R$5,INDIRECT("'"&amp;$B60&amp;"'!$AF$6:$AF$205"),0))),"-"))</f>
        <v/>
      </c>
      <c r="S60" s="37">
        <f>IF(OR(AP60="",S$5="-"),"",IFERROR(IF(INDEX(INDIRECT("'"&amp;$B60&amp;"'!$R$6:$R$205"),MATCH($AR60&amp;"|"&amp;S$5,INDIRECT("'"&amp;$B60&amp;"'!$AF$6:$AF$205"),0))="","",INDEX(INDIRECT("'"&amp;$B60&amp;"'!$R$6:$R$205"),MATCH($AR60&amp;"|"&amp;S$5,INDIRECT("'"&amp;$B60&amp;"'!$AF$6:$AF$205"),0))),"-"))</f>
        <v/>
      </c>
      <c r="T60" s="37">
        <f>IF(OR(AP60="",T$5="-"),"",IFERROR(IF(INDEX(INDIRECT("'"&amp;$B60&amp;"'!$R$6:$R$205"),MATCH($AR60&amp;"|"&amp;T$5,INDIRECT("'"&amp;$B60&amp;"'!$AF$6:$AF$205"),0))="","",INDEX(INDIRECT("'"&amp;$B60&amp;"'!$R$6:$R$205"),MATCH($AR60&amp;"|"&amp;T$5,INDIRECT("'"&amp;$B60&amp;"'!$AF$6:$AF$205"),0))),"-"))</f>
        <v/>
      </c>
      <c r="U60" s="37">
        <f>IF(OR(AP60="",U$5="-"),"",IFERROR(IF(INDEX(INDIRECT("'"&amp;$B60&amp;"'!$R$6:$R$205"),MATCH($AR60&amp;"|"&amp;U$5,INDIRECT("'"&amp;$B60&amp;"'!$AF$6:$AF$205"),0))="","",INDEX(INDIRECT("'"&amp;$B60&amp;"'!$R$6:$R$205"),MATCH($AR60&amp;"|"&amp;U$5,INDIRECT("'"&amp;$B60&amp;"'!$AF$6:$AF$205"),0))),"-"))</f>
        <v/>
      </c>
      <c r="V60" s="37">
        <f>IF(OR(AP60="",V$5="-"),"",IFERROR(IF(INDEX(INDIRECT("'"&amp;$B60&amp;"'!$R$6:$R$205"),MATCH($AR60&amp;"|"&amp;V$5,INDIRECT("'"&amp;$B60&amp;"'!$AF$6:$AF$205"),0))="","",INDEX(INDIRECT("'"&amp;$B60&amp;"'!$R$6:$R$205"),MATCH($AR60&amp;"|"&amp;V$5,INDIRECT("'"&amp;$B60&amp;"'!$AF$6:$AF$205"),0))),"-"))</f>
        <v/>
      </c>
      <c r="W60" s="37">
        <f>IF(OR(AP60="",W$5="-"),"",IFERROR(IF(INDEX(INDIRECT("'"&amp;$B60&amp;"'!$R$6:$R$205"),MATCH($AR60&amp;"|"&amp;W$5,INDIRECT("'"&amp;$B60&amp;"'!$AF$6:$AF$205"),0))="","",INDEX(INDIRECT("'"&amp;$B60&amp;"'!$R$6:$R$205"),MATCH($AR60&amp;"|"&amp;W$5,INDIRECT("'"&amp;$B60&amp;"'!$AF$6:$AF$205"),0))),"-"))</f>
        <v/>
      </c>
      <c r="X60" s="38">
        <f>IF(OR(AP60="",X$5="-"),"",IFERROR(IF(INDEX(INDIRECT("'"&amp;$B60&amp;"'!$T$6:$T$205"),MATCH($AR60&amp;"|"&amp;X$5,INDIRECT("'"&amp;$B60&amp;"'!$AF$6:$AF$205"),0))="","",INDEX(INDIRECT("'"&amp;$B60&amp;"'!$T$6:$T$205"),MATCH($AR60&amp;"|"&amp;X$5,INDIRECT("'"&amp;$B60&amp;"'!$AF$6:$AF$205"),0))),"-"))</f>
        <v/>
      </c>
      <c r="Y60" s="38">
        <f>IF(OR(AP60="",Y$5="-"),"",IFERROR(IF(INDEX(INDIRECT("'"&amp;$B60&amp;"'!$T$6:$T$205"),MATCH($AR60&amp;"|"&amp;Y$5,INDIRECT("'"&amp;$B60&amp;"'!$AF$6:$AF$205"),0))="","",INDEX(INDIRECT("'"&amp;$B60&amp;"'!$T$6:$T$205"),MATCH($AR60&amp;"|"&amp;Y$5,INDIRECT("'"&amp;$B60&amp;"'!$AF$6:$AF$205"),0))),"-"))</f>
        <v/>
      </c>
      <c r="Z60" s="38">
        <f>IF(OR(AP60="",Z$5="-"),"",IFERROR(IF(INDEX(INDIRECT("'"&amp;$B60&amp;"'!$T$6:$T$205"),MATCH($AR60&amp;"|"&amp;Z$5,INDIRECT("'"&amp;$B60&amp;"'!$AF$6:$AF$205"),0))="","",INDEX(INDIRECT("'"&amp;$B60&amp;"'!$T$6:$T$205"),MATCH($AR60&amp;"|"&amp;Z$5,INDIRECT("'"&amp;$B60&amp;"'!$AF$6:$AF$205"),0))),"-"))</f>
        <v/>
      </c>
      <c r="AA60" s="38">
        <f>IF(OR(AP60="",AA$5="-"),"",IFERROR(IF(INDEX(INDIRECT("'"&amp;$B60&amp;"'!$T$6:$T$205"),MATCH($AR60&amp;"|"&amp;AA$5,INDIRECT("'"&amp;$B60&amp;"'!$AF$6:$AF$205"),0))="","",INDEX(INDIRECT("'"&amp;$B60&amp;"'!$T$6:$T$205"),MATCH($AR60&amp;"|"&amp;AA$5,INDIRECT("'"&amp;$B60&amp;"'!$AF$6:$AF$205"),0))),"-"))</f>
        <v/>
      </c>
      <c r="AB60" s="38">
        <f>IF(OR(AP60="",AB$5="-"),"",IFERROR(IF(INDEX(INDIRECT("'"&amp;$B60&amp;"'!$T$6:$T$205"),MATCH($AR60&amp;"|"&amp;AB$5,INDIRECT("'"&amp;$B60&amp;"'!$AF$6:$AF$205"),0))="","",INDEX(INDIRECT("'"&amp;$B60&amp;"'!$T$6:$T$205"),MATCH($AR60&amp;"|"&amp;AB$5,INDIRECT("'"&amp;$B60&amp;"'!$AF$6:$AF$205"),0))),"-"))</f>
        <v/>
      </c>
      <c r="AC60" s="38">
        <f>IF(OR(AP60="",AC$5="-"),"",IFERROR(IF(INDEX(INDIRECT("'"&amp;$B60&amp;"'!$T$6:$T$205"),MATCH($AR60&amp;"|"&amp;AC$5,INDIRECT("'"&amp;$B60&amp;"'!$AF$6:$AF$205"),0))="","",INDEX(INDIRECT("'"&amp;$B60&amp;"'!$T$6:$T$205"),MATCH($AR60&amp;"|"&amp;AC$5,INDIRECT("'"&amp;$B60&amp;"'!$AF$6:$AF$205"),0))),"-"))</f>
        <v/>
      </c>
      <c r="AD60" s="38">
        <f>IF(OR(AP60="",AD$5="-"),"",IFERROR(IF(INDEX(INDIRECT("'"&amp;$B60&amp;"'!$T$6:$T$205"),MATCH($AR60&amp;"|"&amp;AD$5,INDIRECT("'"&amp;$B60&amp;"'!$AF$6:$AF$205"),0))="","",INDEX(INDIRECT("'"&amp;$B60&amp;"'!$T$6:$T$205"),MATCH($AR60&amp;"|"&amp;AD$5,INDIRECT("'"&amp;$B60&amp;"'!$AF$6:$AF$205"),0))),"-"))</f>
        <v/>
      </c>
      <c r="AE60" s="38">
        <f>IF(OR(AP60="",AE$5="-"),"",IFERROR(IF(INDEX(INDIRECT("'"&amp;$B60&amp;"'!$T$6:$T$205"),MATCH($AR60&amp;"|"&amp;AE$5,INDIRECT("'"&amp;$B60&amp;"'!$AF$6:$AF$205"),0))="","",INDEX(INDIRECT("'"&amp;$B60&amp;"'!$T$6:$T$205"),MATCH($AR60&amp;"|"&amp;AE$5,INDIRECT("'"&amp;$B60&amp;"'!$AF$6:$AF$205"),0))),"-"))</f>
        <v/>
      </c>
      <c r="AF60" s="35">
        <f>IF(AG60="","",INDEX($P$5:$W$5,MATCH(AG60,P60:W60,0)))</f>
        <v/>
      </c>
      <c r="AG60" s="37">
        <f>IF(COUNT(P60:W60)=0,"",MIN(P60:W60))</f>
        <v/>
      </c>
      <c r="AH60" s="39">
        <f>IF(AG60="","",AG60*F60)</f>
        <v/>
      </c>
      <c r="AI60" s="39">
        <f>IF(COUNT(P60:W60)&lt;2,"",(MAX(P60:W60)-MIN(P60:W60))*F60)</f>
        <v/>
      </c>
      <c r="AJ60" s="20" t="n"/>
      <c r="AP60">
        <f>IF(55&gt;MAX($AN$6:$AN$9),"",COUNTIF($AN$6:$AN$9,"&lt;"&amp;55)+1)</f>
        <v/>
      </c>
      <c r="AQ60">
        <f>IF(AP60="","",55-INDEX($AO$6:$AO$9,AP60))</f>
        <v/>
      </c>
      <c r="AR60">
        <f>IF(AP60="","",INDEX(INDIRECT("'"&amp;$B60&amp;"'!$AE$6:$AE$205"),MATCH(AQ60,INDIRECT("'"&amp;$B60&amp;"'!$AI$6:$AI$205"),0)))</f>
        <v/>
      </c>
    </row>
    <row r="61">
      <c r="A61" s="34">
        <f>IF(AP61="","",56)</f>
        <v/>
      </c>
      <c r="B61" s="35">
        <f>IF(AP61="","",INDEX($AL$6:$AL$9,AP61))</f>
        <v/>
      </c>
      <c r="C61" s="34">
        <f>IF(AP61="","",INDEX(INDIRECT("'"&amp;$B61&amp;"'!$B$6:$B$205"),MATCH($AR61,INDIRECT("'"&amp;$B61&amp;"'!$AE$6:$AE$205"),0)))</f>
        <v/>
      </c>
      <c r="D61" s="34">
        <f>IF(AP61="","",INDEX(INDIRECT("'"&amp;$B61&amp;"'!$D$6:$D$205"),MATCH($AR61,INDIRECT("'"&amp;$B61&amp;"'!$AE$6:$AE$205"),0)))</f>
        <v/>
      </c>
      <c r="E61" s="36">
        <f>IF(AP61="","",INDEX(INDIRECT("'"&amp;$B61&amp;"'!$F$6:$F$205"),MATCH($AR61,INDIRECT("'"&amp;$B61&amp;"'!$AE$6:$AE$205"),0)))</f>
        <v/>
      </c>
      <c r="F61" s="34">
        <f>IF(AP61="","",INDEX(INDIRECT("'"&amp;$B61&amp;"'!$K$6:$K$205"),MATCH($AR61,INDIRECT("'"&amp;$B61&amp;"'!$AE$6:$AE$205"),0)))</f>
        <v/>
      </c>
      <c r="G61" s="34">
        <f>IF(AP61="","",INDEX(INDIRECT("'"&amp;$B61&amp;"'!$L$6:$L$205"),MATCH($AR61,INDIRECT("'"&amp;$B61&amp;"'!$AE$6:$AE$205"),0)))</f>
        <v/>
      </c>
      <c r="H61" s="34">
        <f>IF(OR(AP61="",H$5="-"),"",IFERROR(IF(INDEX(INDIRECT("'"&amp;$B61&amp;"'!$N$6:$N$205"),MATCH($AR61&amp;"|"&amp;H$5,INDIRECT("'"&amp;$B61&amp;"'!$AF$6:$AF$205"),0))="","",INDEX(INDIRECT("'"&amp;$B61&amp;"'!$N$6:$N$205"),MATCH($AR61&amp;"|"&amp;H$5,INDIRECT("'"&amp;$B61&amp;"'!$AF$6:$AF$205"),0))),"-"))</f>
        <v/>
      </c>
      <c r="I61" s="34">
        <f>IF(OR(AP61="",I$5="-"),"",IFERROR(IF(INDEX(INDIRECT("'"&amp;$B61&amp;"'!$N$6:$N$205"),MATCH($AR61&amp;"|"&amp;I$5,INDIRECT("'"&amp;$B61&amp;"'!$AF$6:$AF$205"),0))="","",INDEX(INDIRECT("'"&amp;$B61&amp;"'!$N$6:$N$205"),MATCH($AR61&amp;"|"&amp;I$5,INDIRECT("'"&amp;$B61&amp;"'!$AF$6:$AF$205"),0))),"-"))</f>
        <v/>
      </c>
      <c r="J61" s="34">
        <f>IF(OR(AP61="",J$5="-"),"",IFERROR(IF(INDEX(INDIRECT("'"&amp;$B61&amp;"'!$N$6:$N$205"),MATCH($AR61&amp;"|"&amp;J$5,INDIRECT("'"&amp;$B61&amp;"'!$AF$6:$AF$205"),0))="","",INDEX(INDIRECT("'"&amp;$B61&amp;"'!$N$6:$N$205"),MATCH($AR61&amp;"|"&amp;J$5,INDIRECT("'"&amp;$B61&amp;"'!$AF$6:$AF$205"),0))),"-"))</f>
        <v/>
      </c>
      <c r="K61" s="34">
        <f>IF(OR(AP61="",K$5="-"),"",IFERROR(IF(INDEX(INDIRECT("'"&amp;$B61&amp;"'!$N$6:$N$205"),MATCH($AR61&amp;"|"&amp;K$5,INDIRECT("'"&amp;$B61&amp;"'!$AF$6:$AF$205"),0))="","",INDEX(INDIRECT("'"&amp;$B61&amp;"'!$N$6:$N$205"),MATCH($AR61&amp;"|"&amp;K$5,INDIRECT("'"&amp;$B61&amp;"'!$AF$6:$AF$205"),0))),"-"))</f>
        <v/>
      </c>
      <c r="L61" s="34">
        <f>IF(OR(AP61="",L$5="-"),"",IFERROR(IF(INDEX(INDIRECT("'"&amp;$B61&amp;"'!$N$6:$N$205"),MATCH($AR61&amp;"|"&amp;L$5,INDIRECT("'"&amp;$B61&amp;"'!$AF$6:$AF$205"),0))="","",INDEX(INDIRECT("'"&amp;$B61&amp;"'!$N$6:$N$205"),MATCH($AR61&amp;"|"&amp;L$5,INDIRECT("'"&amp;$B61&amp;"'!$AF$6:$AF$205"),0))),"-"))</f>
        <v/>
      </c>
      <c r="M61" s="34">
        <f>IF(OR(AP61="",M$5="-"),"",IFERROR(IF(INDEX(INDIRECT("'"&amp;$B61&amp;"'!$N$6:$N$205"),MATCH($AR61&amp;"|"&amp;M$5,INDIRECT("'"&amp;$B61&amp;"'!$AF$6:$AF$205"),0))="","",INDEX(INDIRECT("'"&amp;$B61&amp;"'!$N$6:$N$205"),MATCH($AR61&amp;"|"&amp;M$5,INDIRECT("'"&amp;$B61&amp;"'!$AF$6:$AF$205"),0))),"-"))</f>
        <v/>
      </c>
      <c r="N61" s="34">
        <f>IF(OR(AP61="",N$5="-"),"",IFERROR(IF(INDEX(INDIRECT("'"&amp;$B61&amp;"'!$N$6:$N$205"),MATCH($AR61&amp;"|"&amp;N$5,INDIRECT("'"&amp;$B61&amp;"'!$AF$6:$AF$205"),0))="","",INDEX(INDIRECT("'"&amp;$B61&amp;"'!$N$6:$N$205"),MATCH($AR61&amp;"|"&amp;N$5,INDIRECT("'"&amp;$B61&amp;"'!$AF$6:$AF$205"),0))),"-"))</f>
        <v/>
      </c>
      <c r="O61" s="34">
        <f>IF(OR(AP61="",O$5="-"),"",IFERROR(IF(INDEX(INDIRECT("'"&amp;$B61&amp;"'!$N$6:$N$205"),MATCH($AR61&amp;"|"&amp;O$5,INDIRECT("'"&amp;$B61&amp;"'!$AF$6:$AF$205"),0))="","",INDEX(INDIRECT("'"&amp;$B61&amp;"'!$N$6:$N$205"),MATCH($AR61&amp;"|"&amp;O$5,INDIRECT("'"&amp;$B61&amp;"'!$AF$6:$AF$205"),0))),"-"))</f>
        <v/>
      </c>
      <c r="P61" s="37">
        <f>IF(OR(AP61="",P$5="-"),"",IFERROR(IF(INDEX(INDIRECT("'"&amp;$B61&amp;"'!$R$6:$R$205"),MATCH($AR61&amp;"|"&amp;P$5,INDIRECT("'"&amp;$B61&amp;"'!$AF$6:$AF$205"),0))="","",INDEX(INDIRECT("'"&amp;$B61&amp;"'!$R$6:$R$205"),MATCH($AR61&amp;"|"&amp;P$5,INDIRECT("'"&amp;$B61&amp;"'!$AF$6:$AF$205"),0))),"-"))</f>
        <v/>
      </c>
      <c r="Q61" s="37">
        <f>IF(OR(AP61="",Q$5="-"),"",IFERROR(IF(INDEX(INDIRECT("'"&amp;$B61&amp;"'!$R$6:$R$205"),MATCH($AR61&amp;"|"&amp;Q$5,INDIRECT("'"&amp;$B61&amp;"'!$AF$6:$AF$205"),0))="","",INDEX(INDIRECT("'"&amp;$B61&amp;"'!$R$6:$R$205"),MATCH($AR61&amp;"|"&amp;Q$5,INDIRECT("'"&amp;$B61&amp;"'!$AF$6:$AF$205"),0))),"-"))</f>
        <v/>
      </c>
      <c r="R61" s="37">
        <f>IF(OR(AP61="",R$5="-"),"",IFERROR(IF(INDEX(INDIRECT("'"&amp;$B61&amp;"'!$R$6:$R$205"),MATCH($AR61&amp;"|"&amp;R$5,INDIRECT("'"&amp;$B61&amp;"'!$AF$6:$AF$205"),0))="","",INDEX(INDIRECT("'"&amp;$B61&amp;"'!$R$6:$R$205"),MATCH($AR61&amp;"|"&amp;R$5,INDIRECT("'"&amp;$B61&amp;"'!$AF$6:$AF$205"),0))),"-"))</f>
        <v/>
      </c>
      <c r="S61" s="37">
        <f>IF(OR(AP61="",S$5="-"),"",IFERROR(IF(INDEX(INDIRECT("'"&amp;$B61&amp;"'!$R$6:$R$205"),MATCH($AR61&amp;"|"&amp;S$5,INDIRECT("'"&amp;$B61&amp;"'!$AF$6:$AF$205"),0))="","",INDEX(INDIRECT("'"&amp;$B61&amp;"'!$R$6:$R$205"),MATCH($AR61&amp;"|"&amp;S$5,INDIRECT("'"&amp;$B61&amp;"'!$AF$6:$AF$205"),0))),"-"))</f>
        <v/>
      </c>
      <c r="T61" s="37">
        <f>IF(OR(AP61="",T$5="-"),"",IFERROR(IF(INDEX(INDIRECT("'"&amp;$B61&amp;"'!$R$6:$R$205"),MATCH($AR61&amp;"|"&amp;T$5,INDIRECT("'"&amp;$B61&amp;"'!$AF$6:$AF$205"),0))="","",INDEX(INDIRECT("'"&amp;$B61&amp;"'!$R$6:$R$205"),MATCH($AR61&amp;"|"&amp;T$5,INDIRECT("'"&amp;$B61&amp;"'!$AF$6:$AF$205"),0))),"-"))</f>
        <v/>
      </c>
      <c r="U61" s="37">
        <f>IF(OR(AP61="",U$5="-"),"",IFERROR(IF(INDEX(INDIRECT("'"&amp;$B61&amp;"'!$R$6:$R$205"),MATCH($AR61&amp;"|"&amp;U$5,INDIRECT("'"&amp;$B61&amp;"'!$AF$6:$AF$205"),0))="","",INDEX(INDIRECT("'"&amp;$B61&amp;"'!$R$6:$R$205"),MATCH($AR61&amp;"|"&amp;U$5,INDIRECT("'"&amp;$B61&amp;"'!$AF$6:$AF$205"),0))),"-"))</f>
        <v/>
      </c>
      <c r="V61" s="37">
        <f>IF(OR(AP61="",V$5="-"),"",IFERROR(IF(INDEX(INDIRECT("'"&amp;$B61&amp;"'!$R$6:$R$205"),MATCH($AR61&amp;"|"&amp;V$5,INDIRECT("'"&amp;$B61&amp;"'!$AF$6:$AF$205"),0))="","",INDEX(INDIRECT("'"&amp;$B61&amp;"'!$R$6:$R$205"),MATCH($AR61&amp;"|"&amp;V$5,INDIRECT("'"&amp;$B61&amp;"'!$AF$6:$AF$205"),0))),"-"))</f>
        <v/>
      </c>
      <c r="W61" s="37">
        <f>IF(OR(AP61="",W$5="-"),"",IFERROR(IF(INDEX(INDIRECT("'"&amp;$B61&amp;"'!$R$6:$R$205"),MATCH($AR61&amp;"|"&amp;W$5,INDIRECT("'"&amp;$B61&amp;"'!$AF$6:$AF$205"),0))="","",INDEX(INDIRECT("'"&amp;$B61&amp;"'!$R$6:$R$205"),MATCH($AR61&amp;"|"&amp;W$5,INDIRECT("'"&amp;$B61&amp;"'!$AF$6:$AF$205"),0))),"-"))</f>
        <v/>
      </c>
      <c r="X61" s="38">
        <f>IF(OR(AP61="",X$5="-"),"",IFERROR(IF(INDEX(INDIRECT("'"&amp;$B61&amp;"'!$T$6:$T$205"),MATCH($AR61&amp;"|"&amp;X$5,INDIRECT("'"&amp;$B61&amp;"'!$AF$6:$AF$205"),0))="","",INDEX(INDIRECT("'"&amp;$B61&amp;"'!$T$6:$T$205"),MATCH($AR61&amp;"|"&amp;X$5,INDIRECT("'"&amp;$B61&amp;"'!$AF$6:$AF$205"),0))),"-"))</f>
        <v/>
      </c>
      <c r="Y61" s="38">
        <f>IF(OR(AP61="",Y$5="-"),"",IFERROR(IF(INDEX(INDIRECT("'"&amp;$B61&amp;"'!$T$6:$T$205"),MATCH($AR61&amp;"|"&amp;Y$5,INDIRECT("'"&amp;$B61&amp;"'!$AF$6:$AF$205"),0))="","",INDEX(INDIRECT("'"&amp;$B61&amp;"'!$T$6:$T$205"),MATCH($AR61&amp;"|"&amp;Y$5,INDIRECT("'"&amp;$B61&amp;"'!$AF$6:$AF$205"),0))),"-"))</f>
        <v/>
      </c>
      <c r="Z61" s="38">
        <f>IF(OR(AP61="",Z$5="-"),"",IFERROR(IF(INDEX(INDIRECT("'"&amp;$B61&amp;"'!$T$6:$T$205"),MATCH($AR61&amp;"|"&amp;Z$5,INDIRECT("'"&amp;$B61&amp;"'!$AF$6:$AF$205"),0))="","",INDEX(INDIRECT("'"&amp;$B61&amp;"'!$T$6:$T$205"),MATCH($AR61&amp;"|"&amp;Z$5,INDIRECT("'"&amp;$B61&amp;"'!$AF$6:$AF$205"),0))),"-"))</f>
        <v/>
      </c>
      <c r="AA61" s="38">
        <f>IF(OR(AP61="",AA$5="-"),"",IFERROR(IF(INDEX(INDIRECT("'"&amp;$B61&amp;"'!$T$6:$T$205"),MATCH($AR61&amp;"|"&amp;AA$5,INDIRECT("'"&amp;$B61&amp;"'!$AF$6:$AF$205"),0))="","",INDEX(INDIRECT("'"&amp;$B61&amp;"'!$T$6:$T$205"),MATCH($AR61&amp;"|"&amp;AA$5,INDIRECT("'"&amp;$B61&amp;"'!$AF$6:$AF$205"),0))),"-"))</f>
        <v/>
      </c>
      <c r="AB61" s="38">
        <f>IF(OR(AP61="",AB$5="-"),"",IFERROR(IF(INDEX(INDIRECT("'"&amp;$B61&amp;"'!$T$6:$T$205"),MATCH($AR61&amp;"|"&amp;AB$5,INDIRECT("'"&amp;$B61&amp;"'!$AF$6:$AF$205"),0))="","",INDEX(INDIRECT("'"&amp;$B61&amp;"'!$T$6:$T$205"),MATCH($AR61&amp;"|"&amp;AB$5,INDIRECT("'"&amp;$B61&amp;"'!$AF$6:$AF$205"),0))),"-"))</f>
        <v/>
      </c>
      <c r="AC61" s="38">
        <f>IF(OR(AP61="",AC$5="-"),"",IFERROR(IF(INDEX(INDIRECT("'"&amp;$B61&amp;"'!$T$6:$T$205"),MATCH($AR61&amp;"|"&amp;AC$5,INDIRECT("'"&amp;$B61&amp;"'!$AF$6:$AF$205"),0))="","",INDEX(INDIRECT("'"&amp;$B61&amp;"'!$T$6:$T$205"),MATCH($AR61&amp;"|"&amp;AC$5,INDIRECT("'"&amp;$B61&amp;"'!$AF$6:$AF$205"),0))),"-"))</f>
        <v/>
      </c>
      <c r="AD61" s="38">
        <f>IF(OR(AP61="",AD$5="-"),"",IFERROR(IF(INDEX(INDIRECT("'"&amp;$B61&amp;"'!$T$6:$T$205"),MATCH($AR61&amp;"|"&amp;AD$5,INDIRECT("'"&amp;$B61&amp;"'!$AF$6:$AF$205"),0))="","",INDEX(INDIRECT("'"&amp;$B61&amp;"'!$T$6:$T$205"),MATCH($AR61&amp;"|"&amp;AD$5,INDIRECT("'"&amp;$B61&amp;"'!$AF$6:$AF$205"),0))),"-"))</f>
        <v/>
      </c>
      <c r="AE61" s="38">
        <f>IF(OR(AP61="",AE$5="-"),"",IFERROR(IF(INDEX(INDIRECT("'"&amp;$B61&amp;"'!$T$6:$T$205"),MATCH($AR61&amp;"|"&amp;AE$5,INDIRECT("'"&amp;$B61&amp;"'!$AF$6:$AF$205"),0))="","",INDEX(INDIRECT("'"&amp;$B61&amp;"'!$T$6:$T$205"),MATCH($AR61&amp;"|"&amp;AE$5,INDIRECT("'"&amp;$B61&amp;"'!$AF$6:$AF$205"),0))),"-"))</f>
        <v/>
      </c>
      <c r="AF61" s="35">
        <f>IF(AG61="","",INDEX($P$5:$W$5,MATCH(AG61,P61:W61,0)))</f>
        <v/>
      </c>
      <c r="AG61" s="37">
        <f>IF(COUNT(P61:W61)=0,"",MIN(P61:W61))</f>
        <v/>
      </c>
      <c r="AH61" s="39">
        <f>IF(AG61="","",AG61*F61)</f>
        <v/>
      </c>
      <c r="AI61" s="39">
        <f>IF(COUNT(P61:W61)&lt;2,"",(MAX(P61:W61)-MIN(P61:W61))*F61)</f>
        <v/>
      </c>
      <c r="AJ61" s="20" t="n"/>
      <c r="AP61">
        <f>IF(56&gt;MAX($AN$6:$AN$9),"",COUNTIF($AN$6:$AN$9,"&lt;"&amp;56)+1)</f>
        <v/>
      </c>
      <c r="AQ61">
        <f>IF(AP61="","",56-INDEX($AO$6:$AO$9,AP61))</f>
        <v/>
      </c>
      <c r="AR61">
        <f>IF(AP61="","",INDEX(INDIRECT("'"&amp;$B61&amp;"'!$AE$6:$AE$205"),MATCH(AQ61,INDIRECT("'"&amp;$B61&amp;"'!$AI$6:$AI$205"),0)))</f>
        <v/>
      </c>
    </row>
    <row r="62">
      <c r="A62" s="34">
        <f>IF(AP62="","",57)</f>
        <v/>
      </c>
      <c r="B62" s="35">
        <f>IF(AP62="","",INDEX($AL$6:$AL$9,AP62))</f>
        <v/>
      </c>
      <c r="C62" s="34">
        <f>IF(AP62="","",INDEX(INDIRECT("'"&amp;$B62&amp;"'!$B$6:$B$205"),MATCH($AR62,INDIRECT("'"&amp;$B62&amp;"'!$AE$6:$AE$205"),0)))</f>
        <v/>
      </c>
      <c r="D62" s="34">
        <f>IF(AP62="","",INDEX(INDIRECT("'"&amp;$B62&amp;"'!$D$6:$D$205"),MATCH($AR62,INDIRECT("'"&amp;$B62&amp;"'!$AE$6:$AE$205"),0)))</f>
        <v/>
      </c>
      <c r="E62" s="36">
        <f>IF(AP62="","",INDEX(INDIRECT("'"&amp;$B62&amp;"'!$F$6:$F$205"),MATCH($AR62,INDIRECT("'"&amp;$B62&amp;"'!$AE$6:$AE$205"),0)))</f>
        <v/>
      </c>
      <c r="F62" s="34">
        <f>IF(AP62="","",INDEX(INDIRECT("'"&amp;$B62&amp;"'!$K$6:$K$205"),MATCH($AR62,INDIRECT("'"&amp;$B62&amp;"'!$AE$6:$AE$205"),0)))</f>
        <v/>
      </c>
      <c r="G62" s="34">
        <f>IF(AP62="","",INDEX(INDIRECT("'"&amp;$B62&amp;"'!$L$6:$L$205"),MATCH($AR62,INDIRECT("'"&amp;$B62&amp;"'!$AE$6:$AE$205"),0)))</f>
        <v/>
      </c>
      <c r="H62" s="34">
        <f>IF(OR(AP62="",H$5="-"),"",IFERROR(IF(INDEX(INDIRECT("'"&amp;$B62&amp;"'!$N$6:$N$205"),MATCH($AR62&amp;"|"&amp;H$5,INDIRECT("'"&amp;$B62&amp;"'!$AF$6:$AF$205"),0))="","",INDEX(INDIRECT("'"&amp;$B62&amp;"'!$N$6:$N$205"),MATCH($AR62&amp;"|"&amp;H$5,INDIRECT("'"&amp;$B62&amp;"'!$AF$6:$AF$205"),0))),"-"))</f>
        <v/>
      </c>
      <c r="I62" s="34">
        <f>IF(OR(AP62="",I$5="-"),"",IFERROR(IF(INDEX(INDIRECT("'"&amp;$B62&amp;"'!$N$6:$N$205"),MATCH($AR62&amp;"|"&amp;I$5,INDIRECT("'"&amp;$B62&amp;"'!$AF$6:$AF$205"),0))="","",INDEX(INDIRECT("'"&amp;$B62&amp;"'!$N$6:$N$205"),MATCH($AR62&amp;"|"&amp;I$5,INDIRECT("'"&amp;$B62&amp;"'!$AF$6:$AF$205"),0))),"-"))</f>
        <v/>
      </c>
      <c r="J62" s="34">
        <f>IF(OR(AP62="",J$5="-"),"",IFERROR(IF(INDEX(INDIRECT("'"&amp;$B62&amp;"'!$N$6:$N$205"),MATCH($AR62&amp;"|"&amp;J$5,INDIRECT("'"&amp;$B62&amp;"'!$AF$6:$AF$205"),0))="","",INDEX(INDIRECT("'"&amp;$B62&amp;"'!$N$6:$N$205"),MATCH($AR62&amp;"|"&amp;J$5,INDIRECT("'"&amp;$B62&amp;"'!$AF$6:$AF$205"),0))),"-"))</f>
        <v/>
      </c>
      <c r="K62" s="34">
        <f>IF(OR(AP62="",K$5="-"),"",IFERROR(IF(INDEX(INDIRECT("'"&amp;$B62&amp;"'!$N$6:$N$205"),MATCH($AR62&amp;"|"&amp;K$5,INDIRECT("'"&amp;$B62&amp;"'!$AF$6:$AF$205"),0))="","",INDEX(INDIRECT("'"&amp;$B62&amp;"'!$N$6:$N$205"),MATCH($AR62&amp;"|"&amp;K$5,INDIRECT("'"&amp;$B62&amp;"'!$AF$6:$AF$205"),0))),"-"))</f>
        <v/>
      </c>
      <c r="L62" s="34">
        <f>IF(OR(AP62="",L$5="-"),"",IFERROR(IF(INDEX(INDIRECT("'"&amp;$B62&amp;"'!$N$6:$N$205"),MATCH($AR62&amp;"|"&amp;L$5,INDIRECT("'"&amp;$B62&amp;"'!$AF$6:$AF$205"),0))="","",INDEX(INDIRECT("'"&amp;$B62&amp;"'!$N$6:$N$205"),MATCH($AR62&amp;"|"&amp;L$5,INDIRECT("'"&amp;$B62&amp;"'!$AF$6:$AF$205"),0))),"-"))</f>
        <v/>
      </c>
      <c r="M62" s="34">
        <f>IF(OR(AP62="",M$5="-"),"",IFERROR(IF(INDEX(INDIRECT("'"&amp;$B62&amp;"'!$N$6:$N$205"),MATCH($AR62&amp;"|"&amp;M$5,INDIRECT("'"&amp;$B62&amp;"'!$AF$6:$AF$205"),0))="","",INDEX(INDIRECT("'"&amp;$B62&amp;"'!$N$6:$N$205"),MATCH($AR62&amp;"|"&amp;M$5,INDIRECT("'"&amp;$B62&amp;"'!$AF$6:$AF$205"),0))),"-"))</f>
        <v/>
      </c>
      <c r="N62" s="34">
        <f>IF(OR(AP62="",N$5="-"),"",IFERROR(IF(INDEX(INDIRECT("'"&amp;$B62&amp;"'!$N$6:$N$205"),MATCH($AR62&amp;"|"&amp;N$5,INDIRECT("'"&amp;$B62&amp;"'!$AF$6:$AF$205"),0))="","",INDEX(INDIRECT("'"&amp;$B62&amp;"'!$N$6:$N$205"),MATCH($AR62&amp;"|"&amp;N$5,INDIRECT("'"&amp;$B62&amp;"'!$AF$6:$AF$205"),0))),"-"))</f>
        <v/>
      </c>
      <c r="O62" s="34">
        <f>IF(OR(AP62="",O$5="-"),"",IFERROR(IF(INDEX(INDIRECT("'"&amp;$B62&amp;"'!$N$6:$N$205"),MATCH($AR62&amp;"|"&amp;O$5,INDIRECT("'"&amp;$B62&amp;"'!$AF$6:$AF$205"),0))="","",INDEX(INDIRECT("'"&amp;$B62&amp;"'!$N$6:$N$205"),MATCH($AR62&amp;"|"&amp;O$5,INDIRECT("'"&amp;$B62&amp;"'!$AF$6:$AF$205"),0))),"-"))</f>
        <v/>
      </c>
      <c r="P62" s="37">
        <f>IF(OR(AP62="",P$5="-"),"",IFERROR(IF(INDEX(INDIRECT("'"&amp;$B62&amp;"'!$R$6:$R$205"),MATCH($AR62&amp;"|"&amp;P$5,INDIRECT("'"&amp;$B62&amp;"'!$AF$6:$AF$205"),0))="","",INDEX(INDIRECT("'"&amp;$B62&amp;"'!$R$6:$R$205"),MATCH($AR62&amp;"|"&amp;P$5,INDIRECT("'"&amp;$B62&amp;"'!$AF$6:$AF$205"),0))),"-"))</f>
        <v/>
      </c>
      <c r="Q62" s="37">
        <f>IF(OR(AP62="",Q$5="-"),"",IFERROR(IF(INDEX(INDIRECT("'"&amp;$B62&amp;"'!$R$6:$R$205"),MATCH($AR62&amp;"|"&amp;Q$5,INDIRECT("'"&amp;$B62&amp;"'!$AF$6:$AF$205"),0))="","",INDEX(INDIRECT("'"&amp;$B62&amp;"'!$R$6:$R$205"),MATCH($AR62&amp;"|"&amp;Q$5,INDIRECT("'"&amp;$B62&amp;"'!$AF$6:$AF$205"),0))),"-"))</f>
        <v/>
      </c>
      <c r="R62" s="37">
        <f>IF(OR(AP62="",R$5="-"),"",IFERROR(IF(INDEX(INDIRECT("'"&amp;$B62&amp;"'!$R$6:$R$205"),MATCH($AR62&amp;"|"&amp;R$5,INDIRECT("'"&amp;$B62&amp;"'!$AF$6:$AF$205"),0))="","",INDEX(INDIRECT("'"&amp;$B62&amp;"'!$R$6:$R$205"),MATCH($AR62&amp;"|"&amp;R$5,INDIRECT("'"&amp;$B62&amp;"'!$AF$6:$AF$205"),0))),"-"))</f>
        <v/>
      </c>
      <c r="S62" s="37">
        <f>IF(OR(AP62="",S$5="-"),"",IFERROR(IF(INDEX(INDIRECT("'"&amp;$B62&amp;"'!$R$6:$R$205"),MATCH($AR62&amp;"|"&amp;S$5,INDIRECT("'"&amp;$B62&amp;"'!$AF$6:$AF$205"),0))="","",INDEX(INDIRECT("'"&amp;$B62&amp;"'!$R$6:$R$205"),MATCH($AR62&amp;"|"&amp;S$5,INDIRECT("'"&amp;$B62&amp;"'!$AF$6:$AF$205"),0))),"-"))</f>
        <v/>
      </c>
      <c r="T62" s="37">
        <f>IF(OR(AP62="",T$5="-"),"",IFERROR(IF(INDEX(INDIRECT("'"&amp;$B62&amp;"'!$R$6:$R$205"),MATCH($AR62&amp;"|"&amp;T$5,INDIRECT("'"&amp;$B62&amp;"'!$AF$6:$AF$205"),0))="","",INDEX(INDIRECT("'"&amp;$B62&amp;"'!$R$6:$R$205"),MATCH($AR62&amp;"|"&amp;T$5,INDIRECT("'"&amp;$B62&amp;"'!$AF$6:$AF$205"),0))),"-"))</f>
        <v/>
      </c>
      <c r="U62" s="37">
        <f>IF(OR(AP62="",U$5="-"),"",IFERROR(IF(INDEX(INDIRECT("'"&amp;$B62&amp;"'!$R$6:$R$205"),MATCH($AR62&amp;"|"&amp;U$5,INDIRECT("'"&amp;$B62&amp;"'!$AF$6:$AF$205"),0))="","",INDEX(INDIRECT("'"&amp;$B62&amp;"'!$R$6:$R$205"),MATCH($AR62&amp;"|"&amp;U$5,INDIRECT("'"&amp;$B62&amp;"'!$AF$6:$AF$205"),0))),"-"))</f>
        <v/>
      </c>
      <c r="V62" s="37">
        <f>IF(OR(AP62="",V$5="-"),"",IFERROR(IF(INDEX(INDIRECT("'"&amp;$B62&amp;"'!$R$6:$R$205"),MATCH($AR62&amp;"|"&amp;V$5,INDIRECT("'"&amp;$B62&amp;"'!$AF$6:$AF$205"),0))="","",INDEX(INDIRECT("'"&amp;$B62&amp;"'!$R$6:$R$205"),MATCH($AR62&amp;"|"&amp;V$5,INDIRECT("'"&amp;$B62&amp;"'!$AF$6:$AF$205"),0))),"-"))</f>
        <v/>
      </c>
      <c r="W62" s="37">
        <f>IF(OR(AP62="",W$5="-"),"",IFERROR(IF(INDEX(INDIRECT("'"&amp;$B62&amp;"'!$R$6:$R$205"),MATCH($AR62&amp;"|"&amp;W$5,INDIRECT("'"&amp;$B62&amp;"'!$AF$6:$AF$205"),0))="","",INDEX(INDIRECT("'"&amp;$B62&amp;"'!$R$6:$R$205"),MATCH($AR62&amp;"|"&amp;W$5,INDIRECT("'"&amp;$B62&amp;"'!$AF$6:$AF$205"),0))),"-"))</f>
        <v/>
      </c>
      <c r="X62" s="38">
        <f>IF(OR(AP62="",X$5="-"),"",IFERROR(IF(INDEX(INDIRECT("'"&amp;$B62&amp;"'!$T$6:$T$205"),MATCH($AR62&amp;"|"&amp;X$5,INDIRECT("'"&amp;$B62&amp;"'!$AF$6:$AF$205"),0))="","",INDEX(INDIRECT("'"&amp;$B62&amp;"'!$T$6:$T$205"),MATCH($AR62&amp;"|"&amp;X$5,INDIRECT("'"&amp;$B62&amp;"'!$AF$6:$AF$205"),0))),"-"))</f>
        <v/>
      </c>
      <c r="Y62" s="38">
        <f>IF(OR(AP62="",Y$5="-"),"",IFERROR(IF(INDEX(INDIRECT("'"&amp;$B62&amp;"'!$T$6:$T$205"),MATCH($AR62&amp;"|"&amp;Y$5,INDIRECT("'"&amp;$B62&amp;"'!$AF$6:$AF$205"),0))="","",INDEX(INDIRECT("'"&amp;$B62&amp;"'!$T$6:$T$205"),MATCH($AR62&amp;"|"&amp;Y$5,INDIRECT("'"&amp;$B62&amp;"'!$AF$6:$AF$205"),0))),"-"))</f>
        <v/>
      </c>
      <c r="Z62" s="38">
        <f>IF(OR(AP62="",Z$5="-"),"",IFERROR(IF(INDEX(INDIRECT("'"&amp;$B62&amp;"'!$T$6:$T$205"),MATCH($AR62&amp;"|"&amp;Z$5,INDIRECT("'"&amp;$B62&amp;"'!$AF$6:$AF$205"),0))="","",INDEX(INDIRECT("'"&amp;$B62&amp;"'!$T$6:$T$205"),MATCH($AR62&amp;"|"&amp;Z$5,INDIRECT("'"&amp;$B62&amp;"'!$AF$6:$AF$205"),0))),"-"))</f>
        <v/>
      </c>
      <c r="AA62" s="38">
        <f>IF(OR(AP62="",AA$5="-"),"",IFERROR(IF(INDEX(INDIRECT("'"&amp;$B62&amp;"'!$T$6:$T$205"),MATCH($AR62&amp;"|"&amp;AA$5,INDIRECT("'"&amp;$B62&amp;"'!$AF$6:$AF$205"),0))="","",INDEX(INDIRECT("'"&amp;$B62&amp;"'!$T$6:$T$205"),MATCH($AR62&amp;"|"&amp;AA$5,INDIRECT("'"&amp;$B62&amp;"'!$AF$6:$AF$205"),0))),"-"))</f>
        <v/>
      </c>
      <c r="AB62" s="38">
        <f>IF(OR(AP62="",AB$5="-"),"",IFERROR(IF(INDEX(INDIRECT("'"&amp;$B62&amp;"'!$T$6:$T$205"),MATCH($AR62&amp;"|"&amp;AB$5,INDIRECT("'"&amp;$B62&amp;"'!$AF$6:$AF$205"),0))="","",INDEX(INDIRECT("'"&amp;$B62&amp;"'!$T$6:$T$205"),MATCH($AR62&amp;"|"&amp;AB$5,INDIRECT("'"&amp;$B62&amp;"'!$AF$6:$AF$205"),0))),"-"))</f>
        <v/>
      </c>
      <c r="AC62" s="38">
        <f>IF(OR(AP62="",AC$5="-"),"",IFERROR(IF(INDEX(INDIRECT("'"&amp;$B62&amp;"'!$T$6:$T$205"),MATCH($AR62&amp;"|"&amp;AC$5,INDIRECT("'"&amp;$B62&amp;"'!$AF$6:$AF$205"),0))="","",INDEX(INDIRECT("'"&amp;$B62&amp;"'!$T$6:$T$205"),MATCH($AR62&amp;"|"&amp;AC$5,INDIRECT("'"&amp;$B62&amp;"'!$AF$6:$AF$205"),0))),"-"))</f>
        <v/>
      </c>
      <c r="AD62" s="38">
        <f>IF(OR(AP62="",AD$5="-"),"",IFERROR(IF(INDEX(INDIRECT("'"&amp;$B62&amp;"'!$T$6:$T$205"),MATCH($AR62&amp;"|"&amp;AD$5,INDIRECT("'"&amp;$B62&amp;"'!$AF$6:$AF$205"),0))="","",INDEX(INDIRECT("'"&amp;$B62&amp;"'!$T$6:$T$205"),MATCH($AR62&amp;"|"&amp;AD$5,INDIRECT("'"&amp;$B62&amp;"'!$AF$6:$AF$205"),0))),"-"))</f>
        <v/>
      </c>
      <c r="AE62" s="38">
        <f>IF(OR(AP62="",AE$5="-"),"",IFERROR(IF(INDEX(INDIRECT("'"&amp;$B62&amp;"'!$T$6:$T$205"),MATCH($AR62&amp;"|"&amp;AE$5,INDIRECT("'"&amp;$B62&amp;"'!$AF$6:$AF$205"),0))="","",INDEX(INDIRECT("'"&amp;$B62&amp;"'!$T$6:$T$205"),MATCH($AR62&amp;"|"&amp;AE$5,INDIRECT("'"&amp;$B62&amp;"'!$AF$6:$AF$205"),0))),"-"))</f>
        <v/>
      </c>
      <c r="AF62" s="35">
        <f>IF(AG62="","",INDEX($P$5:$W$5,MATCH(AG62,P62:W62,0)))</f>
        <v/>
      </c>
      <c r="AG62" s="37">
        <f>IF(COUNT(P62:W62)=0,"",MIN(P62:W62))</f>
        <v/>
      </c>
      <c r="AH62" s="39">
        <f>IF(AG62="","",AG62*F62)</f>
        <v/>
      </c>
      <c r="AI62" s="39">
        <f>IF(COUNT(P62:W62)&lt;2,"",(MAX(P62:W62)-MIN(P62:W62))*F62)</f>
        <v/>
      </c>
      <c r="AJ62" s="20" t="n"/>
      <c r="AP62">
        <f>IF(57&gt;MAX($AN$6:$AN$9),"",COUNTIF($AN$6:$AN$9,"&lt;"&amp;57)+1)</f>
        <v/>
      </c>
      <c r="AQ62">
        <f>IF(AP62="","",57-INDEX($AO$6:$AO$9,AP62))</f>
        <v/>
      </c>
      <c r="AR62">
        <f>IF(AP62="","",INDEX(INDIRECT("'"&amp;$B62&amp;"'!$AE$6:$AE$205"),MATCH(AQ62,INDIRECT("'"&amp;$B62&amp;"'!$AI$6:$AI$205"),0)))</f>
        <v/>
      </c>
    </row>
    <row r="63">
      <c r="A63" s="34">
        <f>IF(AP63="","",58)</f>
        <v/>
      </c>
      <c r="B63" s="35">
        <f>IF(AP63="","",INDEX($AL$6:$AL$9,AP63))</f>
        <v/>
      </c>
      <c r="C63" s="34">
        <f>IF(AP63="","",INDEX(INDIRECT("'"&amp;$B63&amp;"'!$B$6:$B$205"),MATCH($AR63,INDIRECT("'"&amp;$B63&amp;"'!$AE$6:$AE$205"),0)))</f>
        <v/>
      </c>
      <c r="D63" s="34">
        <f>IF(AP63="","",INDEX(INDIRECT("'"&amp;$B63&amp;"'!$D$6:$D$205"),MATCH($AR63,INDIRECT("'"&amp;$B63&amp;"'!$AE$6:$AE$205"),0)))</f>
        <v/>
      </c>
      <c r="E63" s="36">
        <f>IF(AP63="","",INDEX(INDIRECT("'"&amp;$B63&amp;"'!$F$6:$F$205"),MATCH($AR63,INDIRECT("'"&amp;$B63&amp;"'!$AE$6:$AE$205"),0)))</f>
        <v/>
      </c>
      <c r="F63" s="34">
        <f>IF(AP63="","",INDEX(INDIRECT("'"&amp;$B63&amp;"'!$K$6:$K$205"),MATCH($AR63,INDIRECT("'"&amp;$B63&amp;"'!$AE$6:$AE$205"),0)))</f>
        <v/>
      </c>
      <c r="G63" s="34">
        <f>IF(AP63="","",INDEX(INDIRECT("'"&amp;$B63&amp;"'!$L$6:$L$205"),MATCH($AR63,INDIRECT("'"&amp;$B63&amp;"'!$AE$6:$AE$205"),0)))</f>
        <v/>
      </c>
      <c r="H63" s="34">
        <f>IF(OR(AP63="",H$5="-"),"",IFERROR(IF(INDEX(INDIRECT("'"&amp;$B63&amp;"'!$N$6:$N$205"),MATCH($AR63&amp;"|"&amp;H$5,INDIRECT("'"&amp;$B63&amp;"'!$AF$6:$AF$205"),0))="","",INDEX(INDIRECT("'"&amp;$B63&amp;"'!$N$6:$N$205"),MATCH($AR63&amp;"|"&amp;H$5,INDIRECT("'"&amp;$B63&amp;"'!$AF$6:$AF$205"),0))),"-"))</f>
        <v/>
      </c>
      <c r="I63" s="34">
        <f>IF(OR(AP63="",I$5="-"),"",IFERROR(IF(INDEX(INDIRECT("'"&amp;$B63&amp;"'!$N$6:$N$205"),MATCH($AR63&amp;"|"&amp;I$5,INDIRECT("'"&amp;$B63&amp;"'!$AF$6:$AF$205"),0))="","",INDEX(INDIRECT("'"&amp;$B63&amp;"'!$N$6:$N$205"),MATCH($AR63&amp;"|"&amp;I$5,INDIRECT("'"&amp;$B63&amp;"'!$AF$6:$AF$205"),0))),"-"))</f>
        <v/>
      </c>
      <c r="J63" s="34">
        <f>IF(OR(AP63="",J$5="-"),"",IFERROR(IF(INDEX(INDIRECT("'"&amp;$B63&amp;"'!$N$6:$N$205"),MATCH($AR63&amp;"|"&amp;J$5,INDIRECT("'"&amp;$B63&amp;"'!$AF$6:$AF$205"),0))="","",INDEX(INDIRECT("'"&amp;$B63&amp;"'!$N$6:$N$205"),MATCH($AR63&amp;"|"&amp;J$5,INDIRECT("'"&amp;$B63&amp;"'!$AF$6:$AF$205"),0))),"-"))</f>
        <v/>
      </c>
      <c r="K63" s="34">
        <f>IF(OR(AP63="",K$5="-"),"",IFERROR(IF(INDEX(INDIRECT("'"&amp;$B63&amp;"'!$N$6:$N$205"),MATCH($AR63&amp;"|"&amp;K$5,INDIRECT("'"&amp;$B63&amp;"'!$AF$6:$AF$205"),0))="","",INDEX(INDIRECT("'"&amp;$B63&amp;"'!$N$6:$N$205"),MATCH($AR63&amp;"|"&amp;K$5,INDIRECT("'"&amp;$B63&amp;"'!$AF$6:$AF$205"),0))),"-"))</f>
        <v/>
      </c>
      <c r="L63" s="34">
        <f>IF(OR(AP63="",L$5="-"),"",IFERROR(IF(INDEX(INDIRECT("'"&amp;$B63&amp;"'!$N$6:$N$205"),MATCH($AR63&amp;"|"&amp;L$5,INDIRECT("'"&amp;$B63&amp;"'!$AF$6:$AF$205"),0))="","",INDEX(INDIRECT("'"&amp;$B63&amp;"'!$N$6:$N$205"),MATCH($AR63&amp;"|"&amp;L$5,INDIRECT("'"&amp;$B63&amp;"'!$AF$6:$AF$205"),0))),"-"))</f>
        <v/>
      </c>
      <c r="M63" s="34">
        <f>IF(OR(AP63="",M$5="-"),"",IFERROR(IF(INDEX(INDIRECT("'"&amp;$B63&amp;"'!$N$6:$N$205"),MATCH($AR63&amp;"|"&amp;M$5,INDIRECT("'"&amp;$B63&amp;"'!$AF$6:$AF$205"),0))="","",INDEX(INDIRECT("'"&amp;$B63&amp;"'!$N$6:$N$205"),MATCH($AR63&amp;"|"&amp;M$5,INDIRECT("'"&amp;$B63&amp;"'!$AF$6:$AF$205"),0))),"-"))</f>
        <v/>
      </c>
      <c r="N63" s="34">
        <f>IF(OR(AP63="",N$5="-"),"",IFERROR(IF(INDEX(INDIRECT("'"&amp;$B63&amp;"'!$N$6:$N$205"),MATCH($AR63&amp;"|"&amp;N$5,INDIRECT("'"&amp;$B63&amp;"'!$AF$6:$AF$205"),0))="","",INDEX(INDIRECT("'"&amp;$B63&amp;"'!$N$6:$N$205"),MATCH($AR63&amp;"|"&amp;N$5,INDIRECT("'"&amp;$B63&amp;"'!$AF$6:$AF$205"),0))),"-"))</f>
        <v/>
      </c>
      <c r="O63" s="34">
        <f>IF(OR(AP63="",O$5="-"),"",IFERROR(IF(INDEX(INDIRECT("'"&amp;$B63&amp;"'!$N$6:$N$205"),MATCH($AR63&amp;"|"&amp;O$5,INDIRECT("'"&amp;$B63&amp;"'!$AF$6:$AF$205"),0))="","",INDEX(INDIRECT("'"&amp;$B63&amp;"'!$N$6:$N$205"),MATCH($AR63&amp;"|"&amp;O$5,INDIRECT("'"&amp;$B63&amp;"'!$AF$6:$AF$205"),0))),"-"))</f>
        <v/>
      </c>
      <c r="P63" s="37">
        <f>IF(OR(AP63="",P$5="-"),"",IFERROR(IF(INDEX(INDIRECT("'"&amp;$B63&amp;"'!$R$6:$R$205"),MATCH($AR63&amp;"|"&amp;P$5,INDIRECT("'"&amp;$B63&amp;"'!$AF$6:$AF$205"),0))="","",INDEX(INDIRECT("'"&amp;$B63&amp;"'!$R$6:$R$205"),MATCH($AR63&amp;"|"&amp;P$5,INDIRECT("'"&amp;$B63&amp;"'!$AF$6:$AF$205"),0))),"-"))</f>
        <v/>
      </c>
      <c r="Q63" s="37">
        <f>IF(OR(AP63="",Q$5="-"),"",IFERROR(IF(INDEX(INDIRECT("'"&amp;$B63&amp;"'!$R$6:$R$205"),MATCH($AR63&amp;"|"&amp;Q$5,INDIRECT("'"&amp;$B63&amp;"'!$AF$6:$AF$205"),0))="","",INDEX(INDIRECT("'"&amp;$B63&amp;"'!$R$6:$R$205"),MATCH($AR63&amp;"|"&amp;Q$5,INDIRECT("'"&amp;$B63&amp;"'!$AF$6:$AF$205"),0))),"-"))</f>
        <v/>
      </c>
      <c r="R63" s="37">
        <f>IF(OR(AP63="",R$5="-"),"",IFERROR(IF(INDEX(INDIRECT("'"&amp;$B63&amp;"'!$R$6:$R$205"),MATCH($AR63&amp;"|"&amp;R$5,INDIRECT("'"&amp;$B63&amp;"'!$AF$6:$AF$205"),0))="","",INDEX(INDIRECT("'"&amp;$B63&amp;"'!$R$6:$R$205"),MATCH($AR63&amp;"|"&amp;R$5,INDIRECT("'"&amp;$B63&amp;"'!$AF$6:$AF$205"),0))),"-"))</f>
        <v/>
      </c>
      <c r="S63" s="37">
        <f>IF(OR(AP63="",S$5="-"),"",IFERROR(IF(INDEX(INDIRECT("'"&amp;$B63&amp;"'!$R$6:$R$205"),MATCH($AR63&amp;"|"&amp;S$5,INDIRECT("'"&amp;$B63&amp;"'!$AF$6:$AF$205"),0))="","",INDEX(INDIRECT("'"&amp;$B63&amp;"'!$R$6:$R$205"),MATCH($AR63&amp;"|"&amp;S$5,INDIRECT("'"&amp;$B63&amp;"'!$AF$6:$AF$205"),0))),"-"))</f>
        <v/>
      </c>
      <c r="T63" s="37">
        <f>IF(OR(AP63="",T$5="-"),"",IFERROR(IF(INDEX(INDIRECT("'"&amp;$B63&amp;"'!$R$6:$R$205"),MATCH($AR63&amp;"|"&amp;T$5,INDIRECT("'"&amp;$B63&amp;"'!$AF$6:$AF$205"),0))="","",INDEX(INDIRECT("'"&amp;$B63&amp;"'!$R$6:$R$205"),MATCH($AR63&amp;"|"&amp;T$5,INDIRECT("'"&amp;$B63&amp;"'!$AF$6:$AF$205"),0))),"-"))</f>
        <v/>
      </c>
      <c r="U63" s="37">
        <f>IF(OR(AP63="",U$5="-"),"",IFERROR(IF(INDEX(INDIRECT("'"&amp;$B63&amp;"'!$R$6:$R$205"),MATCH($AR63&amp;"|"&amp;U$5,INDIRECT("'"&amp;$B63&amp;"'!$AF$6:$AF$205"),0))="","",INDEX(INDIRECT("'"&amp;$B63&amp;"'!$R$6:$R$205"),MATCH($AR63&amp;"|"&amp;U$5,INDIRECT("'"&amp;$B63&amp;"'!$AF$6:$AF$205"),0))),"-"))</f>
        <v/>
      </c>
      <c r="V63" s="37">
        <f>IF(OR(AP63="",V$5="-"),"",IFERROR(IF(INDEX(INDIRECT("'"&amp;$B63&amp;"'!$R$6:$R$205"),MATCH($AR63&amp;"|"&amp;V$5,INDIRECT("'"&amp;$B63&amp;"'!$AF$6:$AF$205"),0))="","",INDEX(INDIRECT("'"&amp;$B63&amp;"'!$R$6:$R$205"),MATCH($AR63&amp;"|"&amp;V$5,INDIRECT("'"&amp;$B63&amp;"'!$AF$6:$AF$205"),0))),"-"))</f>
        <v/>
      </c>
      <c r="W63" s="37">
        <f>IF(OR(AP63="",W$5="-"),"",IFERROR(IF(INDEX(INDIRECT("'"&amp;$B63&amp;"'!$R$6:$R$205"),MATCH($AR63&amp;"|"&amp;W$5,INDIRECT("'"&amp;$B63&amp;"'!$AF$6:$AF$205"),0))="","",INDEX(INDIRECT("'"&amp;$B63&amp;"'!$R$6:$R$205"),MATCH($AR63&amp;"|"&amp;W$5,INDIRECT("'"&amp;$B63&amp;"'!$AF$6:$AF$205"),0))),"-"))</f>
        <v/>
      </c>
      <c r="X63" s="38">
        <f>IF(OR(AP63="",X$5="-"),"",IFERROR(IF(INDEX(INDIRECT("'"&amp;$B63&amp;"'!$T$6:$T$205"),MATCH($AR63&amp;"|"&amp;X$5,INDIRECT("'"&amp;$B63&amp;"'!$AF$6:$AF$205"),0))="","",INDEX(INDIRECT("'"&amp;$B63&amp;"'!$T$6:$T$205"),MATCH($AR63&amp;"|"&amp;X$5,INDIRECT("'"&amp;$B63&amp;"'!$AF$6:$AF$205"),0))),"-"))</f>
        <v/>
      </c>
      <c r="Y63" s="38">
        <f>IF(OR(AP63="",Y$5="-"),"",IFERROR(IF(INDEX(INDIRECT("'"&amp;$B63&amp;"'!$T$6:$T$205"),MATCH($AR63&amp;"|"&amp;Y$5,INDIRECT("'"&amp;$B63&amp;"'!$AF$6:$AF$205"),0))="","",INDEX(INDIRECT("'"&amp;$B63&amp;"'!$T$6:$T$205"),MATCH($AR63&amp;"|"&amp;Y$5,INDIRECT("'"&amp;$B63&amp;"'!$AF$6:$AF$205"),0))),"-"))</f>
        <v/>
      </c>
      <c r="Z63" s="38">
        <f>IF(OR(AP63="",Z$5="-"),"",IFERROR(IF(INDEX(INDIRECT("'"&amp;$B63&amp;"'!$T$6:$T$205"),MATCH($AR63&amp;"|"&amp;Z$5,INDIRECT("'"&amp;$B63&amp;"'!$AF$6:$AF$205"),0))="","",INDEX(INDIRECT("'"&amp;$B63&amp;"'!$T$6:$T$205"),MATCH($AR63&amp;"|"&amp;Z$5,INDIRECT("'"&amp;$B63&amp;"'!$AF$6:$AF$205"),0))),"-"))</f>
        <v/>
      </c>
      <c r="AA63" s="38">
        <f>IF(OR(AP63="",AA$5="-"),"",IFERROR(IF(INDEX(INDIRECT("'"&amp;$B63&amp;"'!$T$6:$T$205"),MATCH($AR63&amp;"|"&amp;AA$5,INDIRECT("'"&amp;$B63&amp;"'!$AF$6:$AF$205"),0))="","",INDEX(INDIRECT("'"&amp;$B63&amp;"'!$T$6:$T$205"),MATCH($AR63&amp;"|"&amp;AA$5,INDIRECT("'"&amp;$B63&amp;"'!$AF$6:$AF$205"),0))),"-"))</f>
        <v/>
      </c>
      <c r="AB63" s="38">
        <f>IF(OR(AP63="",AB$5="-"),"",IFERROR(IF(INDEX(INDIRECT("'"&amp;$B63&amp;"'!$T$6:$T$205"),MATCH($AR63&amp;"|"&amp;AB$5,INDIRECT("'"&amp;$B63&amp;"'!$AF$6:$AF$205"),0))="","",INDEX(INDIRECT("'"&amp;$B63&amp;"'!$T$6:$T$205"),MATCH($AR63&amp;"|"&amp;AB$5,INDIRECT("'"&amp;$B63&amp;"'!$AF$6:$AF$205"),0))),"-"))</f>
        <v/>
      </c>
      <c r="AC63" s="38">
        <f>IF(OR(AP63="",AC$5="-"),"",IFERROR(IF(INDEX(INDIRECT("'"&amp;$B63&amp;"'!$T$6:$T$205"),MATCH($AR63&amp;"|"&amp;AC$5,INDIRECT("'"&amp;$B63&amp;"'!$AF$6:$AF$205"),0))="","",INDEX(INDIRECT("'"&amp;$B63&amp;"'!$T$6:$T$205"),MATCH($AR63&amp;"|"&amp;AC$5,INDIRECT("'"&amp;$B63&amp;"'!$AF$6:$AF$205"),0))),"-"))</f>
        <v/>
      </c>
      <c r="AD63" s="38">
        <f>IF(OR(AP63="",AD$5="-"),"",IFERROR(IF(INDEX(INDIRECT("'"&amp;$B63&amp;"'!$T$6:$T$205"),MATCH($AR63&amp;"|"&amp;AD$5,INDIRECT("'"&amp;$B63&amp;"'!$AF$6:$AF$205"),0))="","",INDEX(INDIRECT("'"&amp;$B63&amp;"'!$T$6:$T$205"),MATCH($AR63&amp;"|"&amp;AD$5,INDIRECT("'"&amp;$B63&amp;"'!$AF$6:$AF$205"),0))),"-"))</f>
        <v/>
      </c>
      <c r="AE63" s="38">
        <f>IF(OR(AP63="",AE$5="-"),"",IFERROR(IF(INDEX(INDIRECT("'"&amp;$B63&amp;"'!$T$6:$T$205"),MATCH($AR63&amp;"|"&amp;AE$5,INDIRECT("'"&amp;$B63&amp;"'!$AF$6:$AF$205"),0))="","",INDEX(INDIRECT("'"&amp;$B63&amp;"'!$T$6:$T$205"),MATCH($AR63&amp;"|"&amp;AE$5,INDIRECT("'"&amp;$B63&amp;"'!$AF$6:$AF$205"),0))),"-"))</f>
        <v/>
      </c>
      <c r="AF63" s="35">
        <f>IF(AG63="","",INDEX($P$5:$W$5,MATCH(AG63,P63:W63,0)))</f>
        <v/>
      </c>
      <c r="AG63" s="37">
        <f>IF(COUNT(P63:W63)=0,"",MIN(P63:W63))</f>
        <v/>
      </c>
      <c r="AH63" s="39">
        <f>IF(AG63="","",AG63*F63)</f>
        <v/>
      </c>
      <c r="AI63" s="39">
        <f>IF(COUNT(P63:W63)&lt;2,"",(MAX(P63:W63)-MIN(P63:W63))*F63)</f>
        <v/>
      </c>
      <c r="AJ63" s="20" t="n"/>
      <c r="AP63">
        <f>IF(58&gt;MAX($AN$6:$AN$9),"",COUNTIF($AN$6:$AN$9,"&lt;"&amp;58)+1)</f>
        <v/>
      </c>
      <c r="AQ63">
        <f>IF(AP63="","",58-INDEX($AO$6:$AO$9,AP63))</f>
        <v/>
      </c>
      <c r="AR63">
        <f>IF(AP63="","",INDEX(INDIRECT("'"&amp;$B63&amp;"'!$AE$6:$AE$205"),MATCH(AQ63,INDIRECT("'"&amp;$B63&amp;"'!$AI$6:$AI$205"),0)))</f>
        <v/>
      </c>
    </row>
    <row r="64">
      <c r="A64" s="34">
        <f>IF(AP64="","",59)</f>
        <v/>
      </c>
      <c r="B64" s="35">
        <f>IF(AP64="","",INDEX($AL$6:$AL$9,AP64))</f>
        <v/>
      </c>
      <c r="C64" s="34">
        <f>IF(AP64="","",INDEX(INDIRECT("'"&amp;$B64&amp;"'!$B$6:$B$205"),MATCH($AR64,INDIRECT("'"&amp;$B64&amp;"'!$AE$6:$AE$205"),0)))</f>
        <v/>
      </c>
      <c r="D64" s="34">
        <f>IF(AP64="","",INDEX(INDIRECT("'"&amp;$B64&amp;"'!$D$6:$D$205"),MATCH($AR64,INDIRECT("'"&amp;$B64&amp;"'!$AE$6:$AE$205"),0)))</f>
        <v/>
      </c>
      <c r="E64" s="36">
        <f>IF(AP64="","",INDEX(INDIRECT("'"&amp;$B64&amp;"'!$F$6:$F$205"),MATCH($AR64,INDIRECT("'"&amp;$B64&amp;"'!$AE$6:$AE$205"),0)))</f>
        <v/>
      </c>
      <c r="F64" s="34">
        <f>IF(AP64="","",INDEX(INDIRECT("'"&amp;$B64&amp;"'!$K$6:$K$205"),MATCH($AR64,INDIRECT("'"&amp;$B64&amp;"'!$AE$6:$AE$205"),0)))</f>
        <v/>
      </c>
      <c r="G64" s="34">
        <f>IF(AP64="","",INDEX(INDIRECT("'"&amp;$B64&amp;"'!$L$6:$L$205"),MATCH($AR64,INDIRECT("'"&amp;$B64&amp;"'!$AE$6:$AE$205"),0)))</f>
        <v/>
      </c>
      <c r="H64" s="34">
        <f>IF(OR(AP64="",H$5="-"),"",IFERROR(IF(INDEX(INDIRECT("'"&amp;$B64&amp;"'!$N$6:$N$205"),MATCH($AR64&amp;"|"&amp;H$5,INDIRECT("'"&amp;$B64&amp;"'!$AF$6:$AF$205"),0))="","",INDEX(INDIRECT("'"&amp;$B64&amp;"'!$N$6:$N$205"),MATCH($AR64&amp;"|"&amp;H$5,INDIRECT("'"&amp;$B64&amp;"'!$AF$6:$AF$205"),0))),"-"))</f>
        <v/>
      </c>
      <c r="I64" s="34">
        <f>IF(OR(AP64="",I$5="-"),"",IFERROR(IF(INDEX(INDIRECT("'"&amp;$B64&amp;"'!$N$6:$N$205"),MATCH($AR64&amp;"|"&amp;I$5,INDIRECT("'"&amp;$B64&amp;"'!$AF$6:$AF$205"),0))="","",INDEX(INDIRECT("'"&amp;$B64&amp;"'!$N$6:$N$205"),MATCH($AR64&amp;"|"&amp;I$5,INDIRECT("'"&amp;$B64&amp;"'!$AF$6:$AF$205"),0))),"-"))</f>
        <v/>
      </c>
      <c r="J64" s="34">
        <f>IF(OR(AP64="",J$5="-"),"",IFERROR(IF(INDEX(INDIRECT("'"&amp;$B64&amp;"'!$N$6:$N$205"),MATCH($AR64&amp;"|"&amp;J$5,INDIRECT("'"&amp;$B64&amp;"'!$AF$6:$AF$205"),0))="","",INDEX(INDIRECT("'"&amp;$B64&amp;"'!$N$6:$N$205"),MATCH($AR64&amp;"|"&amp;J$5,INDIRECT("'"&amp;$B64&amp;"'!$AF$6:$AF$205"),0))),"-"))</f>
        <v/>
      </c>
      <c r="K64" s="34">
        <f>IF(OR(AP64="",K$5="-"),"",IFERROR(IF(INDEX(INDIRECT("'"&amp;$B64&amp;"'!$N$6:$N$205"),MATCH($AR64&amp;"|"&amp;K$5,INDIRECT("'"&amp;$B64&amp;"'!$AF$6:$AF$205"),0))="","",INDEX(INDIRECT("'"&amp;$B64&amp;"'!$N$6:$N$205"),MATCH($AR64&amp;"|"&amp;K$5,INDIRECT("'"&amp;$B64&amp;"'!$AF$6:$AF$205"),0))),"-"))</f>
        <v/>
      </c>
      <c r="L64" s="34">
        <f>IF(OR(AP64="",L$5="-"),"",IFERROR(IF(INDEX(INDIRECT("'"&amp;$B64&amp;"'!$N$6:$N$205"),MATCH($AR64&amp;"|"&amp;L$5,INDIRECT("'"&amp;$B64&amp;"'!$AF$6:$AF$205"),0))="","",INDEX(INDIRECT("'"&amp;$B64&amp;"'!$N$6:$N$205"),MATCH($AR64&amp;"|"&amp;L$5,INDIRECT("'"&amp;$B64&amp;"'!$AF$6:$AF$205"),0))),"-"))</f>
        <v/>
      </c>
      <c r="M64" s="34">
        <f>IF(OR(AP64="",M$5="-"),"",IFERROR(IF(INDEX(INDIRECT("'"&amp;$B64&amp;"'!$N$6:$N$205"),MATCH($AR64&amp;"|"&amp;M$5,INDIRECT("'"&amp;$B64&amp;"'!$AF$6:$AF$205"),0))="","",INDEX(INDIRECT("'"&amp;$B64&amp;"'!$N$6:$N$205"),MATCH($AR64&amp;"|"&amp;M$5,INDIRECT("'"&amp;$B64&amp;"'!$AF$6:$AF$205"),0))),"-"))</f>
        <v/>
      </c>
      <c r="N64" s="34">
        <f>IF(OR(AP64="",N$5="-"),"",IFERROR(IF(INDEX(INDIRECT("'"&amp;$B64&amp;"'!$N$6:$N$205"),MATCH($AR64&amp;"|"&amp;N$5,INDIRECT("'"&amp;$B64&amp;"'!$AF$6:$AF$205"),0))="","",INDEX(INDIRECT("'"&amp;$B64&amp;"'!$N$6:$N$205"),MATCH($AR64&amp;"|"&amp;N$5,INDIRECT("'"&amp;$B64&amp;"'!$AF$6:$AF$205"),0))),"-"))</f>
        <v/>
      </c>
      <c r="O64" s="34">
        <f>IF(OR(AP64="",O$5="-"),"",IFERROR(IF(INDEX(INDIRECT("'"&amp;$B64&amp;"'!$N$6:$N$205"),MATCH($AR64&amp;"|"&amp;O$5,INDIRECT("'"&amp;$B64&amp;"'!$AF$6:$AF$205"),0))="","",INDEX(INDIRECT("'"&amp;$B64&amp;"'!$N$6:$N$205"),MATCH($AR64&amp;"|"&amp;O$5,INDIRECT("'"&amp;$B64&amp;"'!$AF$6:$AF$205"),0))),"-"))</f>
        <v/>
      </c>
      <c r="P64" s="37">
        <f>IF(OR(AP64="",P$5="-"),"",IFERROR(IF(INDEX(INDIRECT("'"&amp;$B64&amp;"'!$R$6:$R$205"),MATCH($AR64&amp;"|"&amp;P$5,INDIRECT("'"&amp;$B64&amp;"'!$AF$6:$AF$205"),0))="","",INDEX(INDIRECT("'"&amp;$B64&amp;"'!$R$6:$R$205"),MATCH($AR64&amp;"|"&amp;P$5,INDIRECT("'"&amp;$B64&amp;"'!$AF$6:$AF$205"),0))),"-"))</f>
        <v/>
      </c>
      <c r="Q64" s="37">
        <f>IF(OR(AP64="",Q$5="-"),"",IFERROR(IF(INDEX(INDIRECT("'"&amp;$B64&amp;"'!$R$6:$R$205"),MATCH($AR64&amp;"|"&amp;Q$5,INDIRECT("'"&amp;$B64&amp;"'!$AF$6:$AF$205"),0))="","",INDEX(INDIRECT("'"&amp;$B64&amp;"'!$R$6:$R$205"),MATCH($AR64&amp;"|"&amp;Q$5,INDIRECT("'"&amp;$B64&amp;"'!$AF$6:$AF$205"),0))),"-"))</f>
        <v/>
      </c>
      <c r="R64" s="37">
        <f>IF(OR(AP64="",R$5="-"),"",IFERROR(IF(INDEX(INDIRECT("'"&amp;$B64&amp;"'!$R$6:$R$205"),MATCH($AR64&amp;"|"&amp;R$5,INDIRECT("'"&amp;$B64&amp;"'!$AF$6:$AF$205"),0))="","",INDEX(INDIRECT("'"&amp;$B64&amp;"'!$R$6:$R$205"),MATCH($AR64&amp;"|"&amp;R$5,INDIRECT("'"&amp;$B64&amp;"'!$AF$6:$AF$205"),0))),"-"))</f>
        <v/>
      </c>
      <c r="S64" s="37">
        <f>IF(OR(AP64="",S$5="-"),"",IFERROR(IF(INDEX(INDIRECT("'"&amp;$B64&amp;"'!$R$6:$R$205"),MATCH($AR64&amp;"|"&amp;S$5,INDIRECT("'"&amp;$B64&amp;"'!$AF$6:$AF$205"),0))="","",INDEX(INDIRECT("'"&amp;$B64&amp;"'!$R$6:$R$205"),MATCH($AR64&amp;"|"&amp;S$5,INDIRECT("'"&amp;$B64&amp;"'!$AF$6:$AF$205"),0))),"-"))</f>
        <v/>
      </c>
      <c r="T64" s="37">
        <f>IF(OR(AP64="",T$5="-"),"",IFERROR(IF(INDEX(INDIRECT("'"&amp;$B64&amp;"'!$R$6:$R$205"),MATCH($AR64&amp;"|"&amp;T$5,INDIRECT("'"&amp;$B64&amp;"'!$AF$6:$AF$205"),0))="","",INDEX(INDIRECT("'"&amp;$B64&amp;"'!$R$6:$R$205"),MATCH($AR64&amp;"|"&amp;T$5,INDIRECT("'"&amp;$B64&amp;"'!$AF$6:$AF$205"),0))),"-"))</f>
        <v/>
      </c>
      <c r="U64" s="37">
        <f>IF(OR(AP64="",U$5="-"),"",IFERROR(IF(INDEX(INDIRECT("'"&amp;$B64&amp;"'!$R$6:$R$205"),MATCH($AR64&amp;"|"&amp;U$5,INDIRECT("'"&amp;$B64&amp;"'!$AF$6:$AF$205"),0))="","",INDEX(INDIRECT("'"&amp;$B64&amp;"'!$R$6:$R$205"),MATCH($AR64&amp;"|"&amp;U$5,INDIRECT("'"&amp;$B64&amp;"'!$AF$6:$AF$205"),0))),"-"))</f>
        <v/>
      </c>
      <c r="V64" s="37">
        <f>IF(OR(AP64="",V$5="-"),"",IFERROR(IF(INDEX(INDIRECT("'"&amp;$B64&amp;"'!$R$6:$R$205"),MATCH($AR64&amp;"|"&amp;V$5,INDIRECT("'"&amp;$B64&amp;"'!$AF$6:$AF$205"),0))="","",INDEX(INDIRECT("'"&amp;$B64&amp;"'!$R$6:$R$205"),MATCH($AR64&amp;"|"&amp;V$5,INDIRECT("'"&amp;$B64&amp;"'!$AF$6:$AF$205"),0))),"-"))</f>
        <v/>
      </c>
      <c r="W64" s="37">
        <f>IF(OR(AP64="",W$5="-"),"",IFERROR(IF(INDEX(INDIRECT("'"&amp;$B64&amp;"'!$R$6:$R$205"),MATCH($AR64&amp;"|"&amp;W$5,INDIRECT("'"&amp;$B64&amp;"'!$AF$6:$AF$205"),0))="","",INDEX(INDIRECT("'"&amp;$B64&amp;"'!$R$6:$R$205"),MATCH($AR64&amp;"|"&amp;W$5,INDIRECT("'"&amp;$B64&amp;"'!$AF$6:$AF$205"),0))),"-"))</f>
        <v/>
      </c>
      <c r="X64" s="38">
        <f>IF(OR(AP64="",X$5="-"),"",IFERROR(IF(INDEX(INDIRECT("'"&amp;$B64&amp;"'!$T$6:$T$205"),MATCH($AR64&amp;"|"&amp;X$5,INDIRECT("'"&amp;$B64&amp;"'!$AF$6:$AF$205"),0))="","",INDEX(INDIRECT("'"&amp;$B64&amp;"'!$T$6:$T$205"),MATCH($AR64&amp;"|"&amp;X$5,INDIRECT("'"&amp;$B64&amp;"'!$AF$6:$AF$205"),0))),"-"))</f>
        <v/>
      </c>
      <c r="Y64" s="38">
        <f>IF(OR(AP64="",Y$5="-"),"",IFERROR(IF(INDEX(INDIRECT("'"&amp;$B64&amp;"'!$T$6:$T$205"),MATCH($AR64&amp;"|"&amp;Y$5,INDIRECT("'"&amp;$B64&amp;"'!$AF$6:$AF$205"),0))="","",INDEX(INDIRECT("'"&amp;$B64&amp;"'!$T$6:$T$205"),MATCH($AR64&amp;"|"&amp;Y$5,INDIRECT("'"&amp;$B64&amp;"'!$AF$6:$AF$205"),0))),"-"))</f>
        <v/>
      </c>
      <c r="Z64" s="38">
        <f>IF(OR(AP64="",Z$5="-"),"",IFERROR(IF(INDEX(INDIRECT("'"&amp;$B64&amp;"'!$T$6:$T$205"),MATCH($AR64&amp;"|"&amp;Z$5,INDIRECT("'"&amp;$B64&amp;"'!$AF$6:$AF$205"),0))="","",INDEX(INDIRECT("'"&amp;$B64&amp;"'!$T$6:$T$205"),MATCH($AR64&amp;"|"&amp;Z$5,INDIRECT("'"&amp;$B64&amp;"'!$AF$6:$AF$205"),0))),"-"))</f>
        <v/>
      </c>
      <c r="AA64" s="38">
        <f>IF(OR(AP64="",AA$5="-"),"",IFERROR(IF(INDEX(INDIRECT("'"&amp;$B64&amp;"'!$T$6:$T$205"),MATCH($AR64&amp;"|"&amp;AA$5,INDIRECT("'"&amp;$B64&amp;"'!$AF$6:$AF$205"),0))="","",INDEX(INDIRECT("'"&amp;$B64&amp;"'!$T$6:$T$205"),MATCH($AR64&amp;"|"&amp;AA$5,INDIRECT("'"&amp;$B64&amp;"'!$AF$6:$AF$205"),0))),"-"))</f>
        <v/>
      </c>
      <c r="AB64" s="38">
        <f>IF(OR(AP64="",AB$5="-"),"",IFERROR(IF(INDEX(INDIRECT("'"&amp;$B64&amp;"'!$T$6:$T$205"),MATCH($AR64&amp;"|"&amp;AB$5,INDIRECT("'"&amp;$B64&amp;"'!$AF$6:$AF$205"),0))="","",INDEX(INDIRECT("'"&amp;$B64&amp;"'!$T$6:$T$205"),MATCH($AR64&amp;"|"&amp;AB$5,INDIRECT("'"&amp;$B64&amp;"'!$AF$6:$AF$205"),0))),"-"))</f>
        <v/>
      </c>
      <c r="AC64" s="38">
        <f>IF(OR(AP64="",AC$5="-"),"",IFERROR(IF(INDEX(INDIRECT("'"&amp;$B64&amp;"'!$T$6:$T$205"),MATCH($AR64&amp;"|"&amp;AC$5,INDIRECT("'"&amp;$B64&amp;"'!$AF$6:$AF$205"),0))="","",INDEX(INDIRECT("'"&amp;$B64&amp;"'!$T$6:$T$205"),MATCH($AR64&amp;"|"&amp;AC$5,INDIRECT("'"&amp;$B64&amp;"'!$AF$6:$AF$205"),0))),"-"))</f>
        <v/>
      </c>
      <c r="AD64" s="38">
        <f>IF(OR(AP64="",AD$5="-"),"",IFERROR(IF(INDEX(INDIRECT("'"&amp;$B64&amp;"'!$T$6:$T$205"),MATCH($AR64&amp;"|"&amp;AD$5,INDIRECT("'"&amp;$B64&amp;"'!$AF$6:$AF$205"),0))="","",INDEX(INDIRECT("'"&amp;$B64&amp;"'!$T$6:$T$205"),MATCH($AR64&amp;"|"&amp;AD$5,INDIRECT("'"&amp;$B64&amp;"'!$AF$6:$AF$205"),0))),"-"))</f>
        <v/>
      </c>
      <c r="AE64" s="38">
        <f>IF(OR(AP64="",AE$5="-"),"",IFERROR(IF(INDEX(INDIRECT("'"&amp;$B64&amp;"'!$T$6:$T$205"),MATCH($AR64&amp;"|"&amp;AE$5,INDIRECT("'"&amp;$B64&amp;"'!$AF$6:$AF$205"),0))="","",INDEX(INDIRECT("'"&amp;$B64&amp;"'!$T$6:$T$205"),MATCH($AR64&amp;"|"&amp;AE$5,INDIRECT("'"&amp;$B64&amp;"'!$AF$6:$AF$205"),0))),"-"))</f>
        <v/>
      </c>
      <c r="AF64" s="35">
        <f>IF(AG64="","",INDEX($P$5:$W$5,MATCH(AG64,P64:W64,0)))</f>
        <v/>
      </c>
      <c r="AG64" s="37">
        <f>IF(COUNT(P64:W64)=0,"",MIN(P64:W64))</f>
        <v/>
      </c>
      <c r="AH64" s="39">
        <f>IF(AG64="","",AG64*F64)</f>
        <v/>
      </c>
      <c r="AI64" s="39">
        <f>IF(COUNT(P64:W64)&lt;2,"",(MAX(P64:W64)-MIN(P64:W64))*F64)</f>
        <v/>
      </c>
      <c r="AJ64" s="20" t="n"/>
      <c r="AP64">
        <f>IF(59&gt;MAX($AN$6:$AN$9),"",COUNTIF($AN$6:$AN$9,"&lt;"&amp;59)+1)</f>
        <v/>
      </c>
      <c r="AQ64">
        <f>IF(AP64="","",59-INDEX($AO$6:$AO$9,AP64))</f>
        <v/>
      </c>
      <c r="AR64">
        <f>IF(AP64="","",INDEX(INDIRECT("'"&amp;$B64&amp;"'!$AE$6:$AE$205"),MATCH(AQ64,INDIRECT("'"&amp;$B64&amp;"'!$AI$6:$AI$205"),0)))</f>
        <v/>
      </c>
    </row>
    <row r="65">
      <c r="A65" s="34">
        <f>IF(AP65="","",60)</f>
        <v/>
      </c>
      <c r="B65" s="35">
        <f>IF(AP65="","",INDEX($AL$6:$AL$9,AP65))</f>
        <v/>
      </c>
      <c r="C65" s="34">
        <f>IF(AP65="","",INDEX(INDIRECT("'"&amp;$B65&amp;"'!$B$6:$B$205"),MATCH($AR65,INDIRECT("'"&amp;$B65&amp;"'!$AE$6:$AE$205"),0)))</f>
        <v/>
      </c>
      <c r="D65" s="34">
        <f>IF(AP65="","",INDEX(INDIRECT("'"&amp;$B65&amp;"'!$D$6:$D$205"),MATCH($AR65,INDIRECT("'"&amp;$B65&amp;"'!$AE$6:$AE$205"),0)))</f>
        <v/>
      </c>
      <c r="E65" s="36">
        <f>IF(AP65="","",INDEX(INDIRECT("'"&amp;$B65&amp;"'!$F$6:$F$205"),MATCH($AR65,INDIRECT("'"&amp;$B65&amp;"'!$AE$6:$AE$205"),0)))</f>
        <v/>
      </c>
      <c r="F65" s="34">
        <f>IF(AP65="","",INDEX(INDIRECT("'"&amp;$B65&amp;"'!$K$6:$K$205"),MATCH($AR65,INDIRECT("'"&amp;$B65&amp;"'!$AE$6:$AE$205"),0)))</f>
        <v/>
      </c>
      <c r="G65" s="34">
        <f>IF(AP65="","",INDEX(INDIRECT("'"&amp;$B65&amp;"'!$L$6:$L$205"),MATCH($AR65,INDIRECT("'"&amp;$B65&amp;"'!$AE$6:$AE$205"),0)))</f>
        <v/>
      </c>
      <c r="H65" s="34">
        <f>IF(OR(AP65="",H$5="-"),"",IFERROR(IF(INDEX(INDIRECT("'"&amp;$B65&amp;"'!$N$6:$N$205"),MATCH($AR65&amp;"|"&amp;H$5,INDIRECT("'"&amp;$B65&amp;"'!$AF$6:$AF$205"),0))="","",INDEX(INDIRECT("'"&amp;$B65&amp;"'!$N$6:$N$205"),MATCH($AR65&amp;"|"&amp;H$5,INDIRECT("'"&amp;$B65&amp;"'!$AF$6:$AF$205"),0))),"-"))</f>
        <v/>
      </c>
      <c r="I65" s="34">
        <f>IF(OR(AP65="",I$5="-"),"",IFERROR(IF(INDEX(INDIRECT("'"&amp;$B65&amp;"'!$N$6:$N$205"),MATCH($AR65&amp;"|"&amp;I$5,INDIRECT("'"&amp;$B65&amp;"'!$AF$6:$AF$205"),0))="","",INDEX(INDIRECT("'"&amp;$B65&amp;"'!$N$6:$N$205"),MATCH($AR65&amp;"|"&amp;I$5,INDIRECT("'"&amp;$B65&amp;"'!$AF$6:$AF$205"),0))),"-"))</f>
        <v/>
      </c>
      <c r="J65" s="34">
        <f>IF(OR(AP65="",J$5="-"),"",IFERROR(IF(INDEX(INDIRECT("'"&amp;$B65&amp;"'!$N$6:$N$205"),MATCH($AR65&amp;"|"&amp;J$5,INDIRECT("'"&amp;$B65&amp;"'!$AF$6:$AF$205"),0))="","",INDEX(INDIRECT("'"&amp;$B65&amp;"'!$N$6:$N$205"),MATCH($AR65&amp;"|"&amp;J$5,INDIRECT("'"&amp;$B65&amp;"'!$AF$6:$AF$205"),0))),"-"))</f>
        <v/>
      </c>
      <c r="K65" s="34">
        <f>IF(OR(AP65="",K$5="-"),"",IFERROR(IF(INDEX(INDIRECT("'"&amp;$B65&amp;"'!$N$6:$N$205"),MATCH($AR65&amp;"|"&amp;K$5,INDIRECT("'"&amp;$B65&amp;"'!$AF$6:$AF$205"),0))="","",INDEX(INDIRECT("'"&amp;$B65&amp;"'!$N$6:$N$205"),MATCH($AR65&amp;"|"&amp;K$5,INDIRECT("'"&amp;$B65&amp;"'!$AF$6:$AF$205"),0))),"-"))</f>
        <v/>
      </c>
      <c r="L65" s="34">
        <f>IF(OR(AP65="",L$5="-"),"",IFERROR(IF(INDEX(INDIRECT("'"&amp;$B65&amp;"'!$N$6:$N$205"),MATCH($AR65&amp;"|"&amp;L$5,INDIRECT("'"&amp;$B65&amp;"'!$AF$6:$AF$205"),0))="","",INDEX(INDIRECT("'"&amp;$B65&amp;"'!$N$6:$N$205"),MATCH($AR65&amp;"|"&amp;L$5,INDIRECT("'"&amp;$B65&amp;"'!$AF$6:$AF$205"),0))),"-"))</f>
        <v/>
      </c>
      <c r="M65" s="34">
        <f>IF(OR(AP65="",M$5="-"),"",IFERROR(IF(INDEX(INDIRECT("'"&amp;$B65&amp;"'!$N$6:$N$205"),MATCH($AR65&amp;"|"&amp;M$5,INDIRECT("'"&amp;$B65&amp;"'!$AF$6:$AF$205"),0))="","",INDEX(INDIRECT("'"&amp;$B65&amp;"'!$N$6:$N$205"),MATCH($AR65&amp;"|"&amp;M$5,INDIRECT("'"&amp;$B65&amp;"'!$AF$6:$AF$205"),0))),"-"))</f>
        <v/>
      </c>
      <c r="N65" s="34">
        <f>IF(OR(AP65="",N$5="-"),"",IFERROR(IF(INDEX(INDIRECT("'"&amp;$B65&amp;"'!$N$6:$N$205"),MATCH($AR65&amp;"|"&amp;N$5,INDIRECT("'"&amp;$B65&amp;"'!$AF$6:$AF$205"),0))="","",INDEX(INDIRECT("'"&amp;$B65&amp;"'!$N$6:$N$205"),MATCH($AR65&amp;"|"&amp;N$5,INDIRECT("'"&amp;$B65&amp;"'!$AF$6:$AF$205"),0))),"-"))</f>
        <v/>
      </c>
      <c r="O65" s="34">
        <f>IF(OR(AP65="",O$5="-"),"",IFERROR(IF(INDEX(INDIRECT("'"&amp;$B65&amp;"'!$N$6:$N$205"),MATCH($AR65&amp;"|"&amp;O$5,INDIRECT("'"&amp;$B65&amp;"'!$AF$6:$AF$205"),0))="","",INDEX(INDIRECT("'"&amp;$B65&amp;"'!$N$6:$N$205"),MATCH($AR65&amp;"|"&amp;O$5,INDIRECT("'"&amp;$B65&amp;"'!$AF$6:$AF$205"),0))),"-"))</f>
        <v/>
      </c>
      <c r="P65" s="37">
        <f>IF(OR(AP65="",P$5="-"),"",IFERROR(IF(INDEX(INDIRECT("'"&amp;$B65&amp;"'!$R$6:$R$205"),MATCH($AR65&amp;"|"&amp;P$5,INDIRECT("'"&amp;$B65&amp;"'!$AF$6:$AF$205"),0))="","",INDEX(INDIRECT("'"&amp;$B65&amp;"'!$R$6:$R$205"),MATCH($AR65&amp;"|"&amp;P$5,INDIRECT("'"&amp;$B65&amp;"'!$AF$6:$AF$205"),0))),"-"))</f>
        <v/>
      </c>
      <c r="Q65" s="37">
        <f>IF(OR(AP65="",Q$5="-"),"",IFERROR(IF(INDEX(INDIRECT("'"&amp;$B65&amp;"'!$R$6:$R$205"),MATCH($AR65&amp;"|"&amp;Q$5,INDIRECT("'"&amp;$B65&amp;"'!$AF$6:$AF$205"),0))="","",INDEX(INDIRECT("'"&amp;$B65&amp;"'!$R$6:$R$205"),MATCH($AR65&amp;"|"&amp;Q$5,INDIRECT("'"&amp;$B65&amp;"'!$AF$6:$AF$205"),0))),"-"))</f>
        <v/>
      </c>
      <c r="R65" s="37">
        <f>IF(OR(AP65="",R$5="-"),"",IFERROR(IF(INDEX(INDIRECT("'"&amp;$B65&amp;"'!$R$6:$R$205"),MATCH($AR65&amp;"|"&amp;R$5,INDIRECT("'"&amp;$B65&amp;"'!$AF$6:$AF$205"),0))="","",INDEX(INDIRECT("'"&amp;$B65&amp;"'!$R$6:$R$205"),MATCH($AR65&amp;"|"&amp;R$5,INDIRECT("'"&amp;$B65&amp;"'!$AF$6:$AF$205"),0))),"-"))</f>
        <v/>
      </c>
      <c r="S65" s="37">
        <f>IF(OR(AP65="",S$5="-"),"",IFERROR(IF(INDEX(INDIRECT("'"&amp;$B65&amp;"'!$R$6:$R$205"),MATCH($AR65&amp;"|"&amp;S$5,INDIRECT("'"&amp;$B65&amp;"'!$AF$6:$AF$205"),0))="","",INDEX(INDIRECT("'"&amp;$B65&amp;"'!$R$6:$R$205"),MATCH($AR65&amp;"|"&amp;S$5,INDIRECT("'"&amp;$B65&amp;"'!$AF$6:$AF$205"),0))),"-"))</f>
        <v/>
      </c>
      <c r="T65" s="37">
        <f>IF(OR(AP65="",T$5="-"),"",IFERROR(IF(INDEX(INDIRECT("'"&amp;$B65&amp;"'!$R$6:$R$205"),MATCH($AR65&amp;"|"&amp;T$5,INDIRECT("'"&amp;$B65&amp;"'!$AF$6:$AF$205"),0))="","",INDEX(INDIRECT("'"&amp;$B65&amp;"'!$R$6:$R$205"),MATCH($AR65&amp;"|"&amp;T$5,INDIRECT("'"&amp;$B65&amp;"'!$AF$6:$AF$205"),0))),"-"))</f>
        <v/>
      </c>
      <c r="U65" s="37">
        <f>IF(OR(AP65="",U$5="-"),"",IFERROR(IF(INDEX(INDIRECT("'"&amp;$B65&amp;"'!$R$6:$R$205"),MATCH($AR65&amp;"|"&amp;U$5,INDIRECT("'"&amp;$B65&amp;"'!$AF$6:$AF$205"),0))="","",INDEX(INDIRECT("'"&amp;$B65&amp;"'!$R$6:$R$205"),MATCH($AR65&amp;"|"&amp;U$5,INDIRECT("'"&amp;$B65&amp;"'!$AF$6:$AF$205"),0))),"-"))</f>
        <v/>
      </c>
      <c r="V65" s="37">
        <f>IF(OR(AP65="",V$5="-"),"",IFERROR(IF(INDEX(INDIRECT("'"&amp;$B65&amp;"'!$R$6:$R$205"),MATCH($AR65&amp;"|"&amp;V$5,INDIRECT("'"&amp;$B65&amp;"'!$AF$6:$AF$205"),0))="","",INDEX(INDIRECT("'"&amp;$B65&amp;"'!$R$6:$R$205"),MATCH($AR65&amp;"|"&amp;V$5,INDIRECT("'"&amp;$B65&amp;"'!$AF$6:$AF$205"),0))),"-"))</f>
        <v/>
      </c>
      <c r="W65" s="37">
        <f>IF(OR(AP65="",W$5="-"),"",IFERROR(IF(INDEX(INDIRECT("'"&amp;$B65&amp;"'!$R$6:$R$205"),MATCH($AR65&amp;"|"&amp;W$5,INDIRECT("'"&amp;$B65&amp;"'!$AF$6:$AF$205"),0))="","",INDEX(INDIRECT("'"&amp;$B65&amp;"'!$R$6:$R$205"),MATCH($AR65&amp;"|"&amp;W$5,INDIRECT("'"&amp;$B65&amp;"'!$AF$6:$AF$205"),0))),"-"))</f>
        <v/>
      </c>
      <c r="X65" s="38">
        <f>IF(OR(AP65="",X$5="-"),"",IFERROR(IF(INDEX(INDIRECT("'"&amp;$B65&amp;"'!$T$6:$T$205"),MATCH($AR65&amp;"|"&amp;X$5,INDIRECT("'"&amp;$B65&amp;"'!$AF$6:$AF$205"),0))="","",INDEX(INDIRECT("'"&amp;$B65&amp;"'!$T$6:$T$205"),MATCH($AR65&amp;"|"&amp;X$5,INDIRECT("'"&amp;$B65&amp;"'!$AF$6:$AF$205"),0))),"-"))</f>
        <v/>
      </c>
      <c r="Y65" s="38">
        <f>IF(OR(AP65="",Y$5="-"),"",IFERROR(IF(INDEX(INDIRECT("'"&amp;$B65&amp;"'!$T$6:$T$205"),MATCH($AR65&amp;"|"&amp;Y$5,INDIRECT("'"&amp;$B65&amp;"'!$AF$6:$AF$205"),0))="","",INDEX(INDIRECT("'"&amp;$B65&amp;"'!$T$6:$T$205"),MATCH($AR65&amp;"|"&amp;Y$5,INDIRECT("'"&amp;$B65&amp;"'!$AF$6:$AF$205"),0))),"-"))</f>
        <v/>
      </c>
      <c r="Z65" s="38">
        <f>IF(OR(AP65="",Z$5="-"),"",IFERROR(IF(INDEX(INDIRECT("'"&amp;$B65&amp;"'!$T$6:$T$205"),MATCH($AR65&amp;"|"&amp;Z$5,INDIRECT("'"&amp;$B65&amp;"'!$AF$6:$AF$205"),0))="","",INDEX(INDIRECT("'"&amp;$B65&amp;"'!$T$6:$T$205"),MATCH($AR65&amp;"|"&amp;Z$5,INDIRECT("'"&amp;$B65&amp;"'!$AF$6:$AF$205"),0))),"-"))</f>
        <v/>
      </c>
      <c r="AA65" s="38">
        <f>IF(OR(AP65="",AA$5="-"),"",IFERROR(IF(INDEX(INDIRECT("'"&amp;$B65&amp;"'!$T$6:$T$205"),MATCH($AR65&amp;"|"&amp;AA$5,INDIRECT("'"&amp;$B65&amp;"'!$AF$6:$AF$205"),0))="","",INDEX(INDIRECT("'"&amp;$B65&amp;"'!$T$6:$T$205"),MATCH($AR65&amp;"|"&amp;AA$5,INDIRECT("'"&amp;$B65&amp;"'!$AF$6:$AF$205"),0))),"-"))</f>
        <v/>
      </c>
      <c r="AB65" s="38">
        <f>IF(OR(AP65="",AB$5="-"),"",IFERROR(IF(INDEX(INDIRECT("'"&amp;$B65&amp;"'!$T$6:$T$205"),MATCH($AR65&amp;"|"&amp;AB$5,INDIRECT("'"&amp;$B65&amp;"'!$AF$6:$AF$205"),0))="","",INDEX(INDIRECT("'"&amp;$B65&amp;"'!$T$6:$T$205"),MATCH($AR65&amp;"|"&amp;AB$5,INDIRECT("'"&amp;$B65&amp;"'!$AF$6:$AF$205"),0))),"-"))</f>
        <v/>
      </c>
      <c r="AC65" s="38">
        <f>IF(OR(AP65="",AC$5="-"),"",IFERROR(IF(INDEX(INDIRECT("'"&amp;$B65&amp;"'!$T$6:$T$205"),MATCH($AR65&amp;"|"&amp;AC$5,INDIRECT("'"&amp;$B65&amp;"'!$AF$6:$AF$205"),0))="","",INDEX(INDIRECT("'"&amp;$B65&amp;"'!$T$6:$T$205"),MATCH($AR65&amp;"|"&amp;AC$5,INDIRECT("'"&amp;$B65&amp;"'!$AF$6:$AF$205"),0))),"-"))</f>
        <v/>
      </c>
      <c r="AD65" s="38">
        <f>IF(OR(AP65="",AD$5="-"),"",IFERROR(IF(INDEX(INDIRECT("'"&amp;$B65&amp;"'!$T$6:$T$205"),MATCH($AR65&amp;"|"&amp;AD$5,INDIRECT("'"&amp;$B65&amp;"'!$AF$6:$AF$205"),0))="","",INDEX(INDIRECT("'"&amp;$B65&amp;"'!$T$6:$T$205"),MATCH($AR65&amp;"|"&amp;AD$5,INDIRECT("'"&amp;$B65&amp;"'!$AF$6:$AF$205"),0))),"-"))</f>
        <v/>
      </c>
      <c r="AE65" s="38">
        <f>IF(OR(AP65="",AE$5="-"),"",IFERROR(IF(INDEX(INDIRECT("'"&amp;$B65&amp;"'!$T$6:$T$205"),MATCH($AR65&amp;"|"&amp;AE$5,INDIRECT("'"&amp;$B65&amp;"'!$AF$6:$AF$205"),0))="","",INDEX(INDIRECT("'"&amp;$B65&amp;"'!$T$6:$T$205"),MATCH($AR65&amp;"|"&amp;AE$5,INDIRECT("'"&amp;$B65&amp;"'!$AF$6:$AF$205"),0))),"-"))</f>
        <v/>
      </c>
      <c r="AF65" s="35">
        <f>IF(AG65="","",INDEX($P$5:$W$5,MATCH(AG65,P65:W65,0)))</f>
        <v/>
      </c>
      <c r="AG65" s="37">
        <f>IF(COUNT(P65:W65)=0,"",MIN(P65:W65))</f>
        <v/>
      </c>
      <c r="AH65" s="39">
        <f>IF(AG65="","",AG65*F65)</f>
        <v/>
      </c>
      <c r="AI65" s="39">
        <f>IF(COUNT(P65:W65)&lt;2,"",(MAX(P65:W65)-MIN(P65:W65))*F65)</f>
        <v/>
      </c>
      <c r="AJ65" s="20" t="n"/>
      <c r="AP65">
        <f>IF(60&gt;MAX($AN$6:$AN$9),"",COUNTIF($AN$6:$AN$9,"&lt;"&amp;60)+1)</f>
        <v/>
      </c>
      <c r="AQ65">
        <f>IF(AP65="","",60-INDEX($AO$6:$AO$9,AP65))</f>
        <v/>
      </c>
      <c r="AR65">
        <f>IF(AP65="","",INDEX(INDIRECT("'"&amp;$B65&amp;"'!$AE$6:$AE$205"),MATCH(AQ65,INDIRECT("'"&amp;$B65&amp;"'!$AI$6:$AI$205"),0)))</f>
        <v/>
      </c>
    </row>
    <row r="66">
      <c r="A66" s="34">
        <f>IF(AP66="","",61)</f>
        <v/>
      </c>
      <c r="B66" s="35">
        <f>IF(AP66="","",INDEX($AL$6:$AL$9,AP66))</f>
        <v/>
      </c>
      <c r="C66" s="34">
        <f>IF(AP66="","",INDEX(INDIRECT("'"&amp;$B66&amp;"'!$B$6:$B$205"),MATCH($AR66,INDIRECT("'"&amp;$B66&amp;"'!$AE$6:$AE$205"),0)))</f>
        <v/>
      </c>
      <c r="D66" s="34">
        <f>IF(AP66="","",INDEX(INDIRECT("'"&amp;$B66&amp;"'!$D$6:$D$205"),MATCH($AR66,INDIRECT("'"&amp;$B66&amp;"'!$AE$6:$AE$205"),0)))</f>
        <v/>
      </c>
      <c r="E66" s="36">
        <f>IF(AP66="","",INDEX(INDIRECT("'"&amp;$B66&amp;"'!$F$6:$F$205"),MATCH($AR66,INDIRECT("'"&amp;$B66&amp;"'!$AE$6:$AE$205"),0)))</f>
        <v/>
      </c>
      <c r="F66" s="34">
        <f>IF(AP66="","",INDEX(INDIRECT("'"&amp;$B66&amp;"'!$K$6:$K$205"),MATCH($AR66,INDIRECT("'"&amp;$B66&amp;"'!$AE$6:$AE$205"),0)))</f>
        <v/>
      </c>
      <c r="G66" s="34">
        <f>IF(AP66="","",INDEX(INDIRECT("'"&amp;$B66&amp;"'!$L$6:$L$205"),MATCH($AR66,INDIRECT("'"&amp;$B66&amp;"'!$AE$6:$AE$205"),0)))</f>
        <v/>
      </c>
      <c r="H66" s="34">
        <f>IF(OR(AP66="",H$5="-"),"",IFERROR(IF(INDEX(INDIRECT("'"&amp;$B66&amp;"'!$N$6:$N$205"),MATCH($AR66&amp;"|"&amp;H$5,INDIRECT("'"&amp;$B66&amp;"'!$AF$6:$AF$205"),0))="","",INDEX(INDIRECT("'"&amp;$B66&amp;"'!$N$6:$N$205"),MATCH($AR66&amp;"|"&amp;H$5,INDIRECT("'"&amp;$B66&amp;"'!$AF$6:$AF$205"),0))),"-"))</f>
        <v/>
      </c>
      <c r="I66" s="34">
        <f>IF(OR(AP66="",I$5="-"),"",IFERROR(IF(INDEX(INDIRECT("'"&amp;$B66&amp;"'!$N$6:$N$205"),MATCH($AR66&amp;"|"&amp;I$5,INDIRECT("'"&amp;$B66&amp;"'!$AF$6:$AF$205"),0))="","",INDEX(INDIRECT("'"&amp;$B66&amp;"'!$N$6:$N$205"),MATCH($AR66&amp;"|"&amp;I$5,INDIRECT("'"&amp;$B66&amp;"'!$AF$6:$AF$205"),0))),"-"))</f>
        <v/>
      </c>
      <c r="J66" s="34">
        <f>IF(OR(AP66="",J$5="-"),"",IFERROR(IF(INDEX(INDIRECT("'"&amp;$B66&amp;"'!$N$6:$N$205"),MATCH($AR66&amp;"|"&amp;J$5,INDIRECT("'"&amp;$B66&amp;"'!$AF$6:$AF$205"),0))="","",INDEX(INDIRECT("'"&amp;$B66&amp;"'!$N$6:$N$205"),MATCH($AR66&amp;"|"&amp;J$5,INDIRECT("'"&amp;$B66&amp;"'!$AF$6:$AF$205"),0))),"-"))</f>
        <v/>
      </c>
      <c r="K66" s="34">
        <f>IF(OR(AP66="",K$5="-"),"",IFERROR(IF(INDEX(INDIRECT("'"&amp;$B66&amp;"'!$N$6:$N$205"),MATCH($AR66&amp;"|"&amp;K$5,INDIRECT("'"&amp;$B66&amp;"'!$AF$6:$AF$205"),0))="","",INDEX(INDIRECT("'"&amp;$B66&amp;"'!$N$6:$N$205"),MATCH($AR66&amp;"|"&amp;K$5,INDIRECT("'"&amp;$B66&amp;"'!$AF$6:$AF$205"),0))),"-"))</f>
        <v/>
      </c>
      <c r="L66" s="34">
        <f>IF(OR(AP66="",L$5="-"),"",IFERROR(IF(INDEX(INDIRECT("'"&amp;$B66&amp;"'!$N$6:$N$205"),MATCH($AR66&amp;"|"&amp;L$5,INDIRECT("'"&amp;$B66&amp;"'!$AF$6:$AF$205"),0))="","",INDEX(INDIRECT("'"&amp;$B66&amp;"'!$N$6:$N$205"),MATCH($AR66&amp;"|"&amp;L$5,INDIRECT("'"&amp;$B66&amp;"'!$AF$6:$AF$205"),0))),"-"))</f>
        <v/>
      </c>
      <c r="M66" s="34">
        <f>IF(OR(AP66="",M$5="-"),"",IFERROR(IF(INDEX(INDIRECT("'"&amp;$B66&amp;"'!$N$6:$N$205"),MATCH($AR66&amp;"|"&amp;M$5,INDIRECT("'"&amp;$B66&amp;"'!$AF$6:$AF$205"),0))="","",INDEX(INDIRECT("'"&amp;$B66&amp;"'!$N$6:$N$205"),MATCH($AR66&amp;"|"&amp;M$5,INDIRECT("'"&amp;$B66&amp;"'!$AF$6:$AF$205"),0))),"-"))</f>
        <v/>
      </c>
      <c r="N66" s="34">
        <f>IF(OR(AP66="",N$5="-"),"",IFERROR(IF(INDEX(INDIRECT("'"&amp;$B66&amp;"'!$N$6:$N$205"),MATCH($AR66&amp;"|"&amp;N$5,INDIRECT("'"&amp;$B66&amp;"'!$AF$6:$AF$205"),0))="","",INDEX(INDIRECT("'"&amp;$B66&amp;"'!$N$6:$N$205"),MATCH($AR66&amp;"|"&amp;N$5,INDIRECT("'"&amp;$B66&amp;"'!$AF$6:$AF$205"),0))),"-"))</f>
        <v/>
      </c>
      <c r="O66" s="34">
        <f>IF(OR(AP66="",O$5="-"),"",IFERROR(IF(INDEX(INDIRECT("'"&amp;$B66&amp;"'!$N$6:$N$205"),MATCH($AR66&amp;"|"&amp;O$5,INDIRECT("'"&amp;$B66&amp;"'!$AF$6:$AF$205"),0))="","",INDEX(INDIRECT("'"&amp;$B66&amp;"'!$N$6:$N$205"),MATCH($AR66&amp;"|"&amp;O$5,INDIRECT("'"&amp;$B66&amp;"'!$AF$6:$AF$205"),0))),"-"))</f>
        <v/>
      </c>
      <c r="P66" s="37">
        <f>IF(OR(AP66="",P$5="-"),"",IFERROR(IF(INDEX(INDIRECT("'"&amp;$B66&amp;"'!$R$6:$R$205"),MATCH($AR66&amp;"|"&amp;P$5,INDIRECT("'"&amp;$B66&amp;"'!$AF$6:$AF$205"),0))="","",INDEX(INDIRECT("'"&amp;$B66&amp;"'!$R$6:$R$205"),MATCH($AR66&amp;"|"&amp;P$5,INDIRECT("'"&amp;$B66&amp;"'!$AF$6:$AF$205"),0))),"-"))</f>
        <v/>
      </c>
      <c r="Q66" s="37">
        <f>IF(OR(AP66="",Q$5="-"),"",IFERROR(IF(INDEX(INDIRECT("'"&amp;$B66&amp;"'!$R$6:$R$205"),MATCH($AR66&amp;"|"&amp;Q$5,INDIRECT("'"&amp;$B66&amp;"'!$AF$6:$AF$205"),0))="","",INDEX(INDIRECT("'"&amp;$B66&amp;"'!$R$6:$R$205"),MATCH($AR66&amp;"|"&amp;Q$5,INDIRECT("'"&amp;$B66&amp;"'!$AF$6:$AF$205"),0))),"-"))</f>
        <v/>
      </c>
      <c r="R66" s="37">
        <f>IF(OR(AP66="",R$5="-"),"",IFERROR(IF(INDEX(INDIRECT("'"&amp;$B66&amp;"'!$R$6:$R$205"),MATCH($AR66&amp;"|"&amp;R$5,INDIRECT("'"&amp;$B66&amp;"'!$AF$6:$AF$205"),0))="","",INDEX(INDIRECT("'"&amp;$B66&amp;"'!$R$6:$R$205"),MATCH($AR66&amp;"|"&amp;R$5,INDIRECT("'"&amp;$B66&amp;"'!$AF$6:$AF$205"),0))),"-"))</f>
        <v/>
      </c>
      <c r="S66" s="37">
        <f>IF(OR(AP66="",S$5="-"),"",IFERROR(IF(INDEX(INDIRECT("'"&amp;$B66&amp;"'!$R$6:$R$205"),MATCH($AR66&amp;"|"&amp;S$5,INDIRECT("'"&amp;$B66&amp;"'!$AF$6:$AF$205"),0))="","",INDEX(INDIRECT("'"&amp;$B66&amp;"'!$R$6:$R$205"),MATCH($AR66&amp;"|"&amp;S$5,INDIRECT("'"&amp;$B66&amp;"'!$AF$6:$AF$205"),0))),"-"))</f>
        <v/>
      </c>
      <c r="T66" s="37">
        <f>IF(OR(AP66="",T$5="-"),"",IFERROR(IF(INDEX(INDIRECT("'"&amp;$B66&amp;"'!$R$6:$R$205"),MATCH($AR66&amp;"|"&amp;T$5,INDIRECT("'"&amp;$B66&amp;"'!$AF$6:$AF$205"),0))="","",INDEX(INDIRECT("'"&amp;$B66&amp;"'!$R$6:$R$205"),MATCH($AR66&amp;"|"&amp;T$5,INDIRECT("'"&amp;$B66&amp;"'!$AF$6:$AF$205"),0))),"-"))</f>
        <v/>
      </c>
      <c r="U66" s="37">
        <f>IF(OR(AP66="",U$5="-"),"",IFERROR(IF(INDEX(INDIRECT("'"&amp;$B66&amp;"'!$R$6:$R$205"),MATCH($AR66&amp;"|"&amp;U$5,INDIRECT("'"&amp;$B66&amp;"'!$AF$6:$AF$205"),0))="","",INDEX(INDIRECT("'"&amp;$B66&amp;"'!$R$6:$R$205"),MATCH($AR66&amp;"|"&amp;U$5,INDIRECT("'"&amp;$B66&amp;"'!$AF$6:$AF$205"),0))),"-"))</f>
        <v/>
      </c>
      <c r="V66" s="37">
        <f>IF(OR(AP66="",V$5="-"),"",IFERROR(IF(INDEX(INDIRECT("'"&amp;$B66&amp;"'!$R$6:$R$205"),MATCH($AR66&amp;"|"&amp;V$5,INDIRECT("'"&amp;$B66&amp;"'!$AF$6:$AF$205"),0))="","",INDEX(INDIRECT("'"&amp;$B66&amp;"'!$R$6:$R$205"),MATCH($AR66&amp;"|"&amp;V$5,INDIRECT("'"&amp;$B66&amp;"'!$AF$6:$AF$205"),0))),"-"))</f>
        <v/>
      </c>
      <c r="W66" s="37">
        <f>IF(OR(AP66="",W$5="-"),"",IFERROR(IF(INDEX(INDIRECT("'"&amp;$B66&amp;"'!$R$6:$R$205"),MATCH($AR66&amp;"|"&amp;W$5,INDIRECT("'"&amp;$B66&amp;"'!$AF$6:$AF$205"),0))="","",INDEX(INDIRECT("'"&amp;$B66&amp;"'!$R$6:$R$205"),MATCH($AR66&amp;"|"&amp;W$5,INDIRECT("'"&amp;$B66&amp;"'!$AF$6:$AF$205"),0))),"-"))</f>
        <v/>
      </c>
      <c r="X66" s="38">
        <f>IF(OR(AP66="",X$5="-"),"",IFERROR(IF(INDEX(INDIRECT("'"&amp;$B66&amp;"'!$T$6:$T$205"),MATCH($AR66&amp;"|"&amp;X$5,INDIRECT("'"&amp;$B66&amp;"'!$AF$6:$AF$205"),0))="","",INDEX(INDIRECT("'"&amp;$B66&amp;"'!$T$6:$T$205"),MATCH($AR66&amp;"|"&amp;X$5,INDIRECT("'"&amp;$B66&amp;"'!$AF$6:$AF$205"),0))),"-"))</f>
        <v/>
      </c>
      <c r="Y66" s="38">
        <f>IF(OR(AP66="",Y$5="-"),"",IFERROR(IF(INDEX(INDIRECT("'"&amp;$B66&amp;"'!$T$6:$T$205"),MATCH($AR66&amp;"|"&amp;Y$5,INDIRECT("'"&amp;$B66&amp;"'!$AF$6:$AF$205"),0))="","",INDEX(INDIRECT("'"&amp;$B66&amp;"'!$T$6:$T$205"),MATCH($AR66&amp;"|"&amp;Y$5,INDIRECT("'"&amp;$B66&amp;"'!$AF$6:$AF$205"),0))),"-"))</f>
        <v/>
      </c>
      <c r="Z66" s="38">
        <f>IF(OR(AP66="",Z$5="-"),"",IFERROR(IF(INDEX(INDIRECT("'"&amp;$B66&amp;"'!$T$6:$T$205"),MATCH($AR66&amp;"|"&amp;Z$5,INDIRECT("'"&amp;$B66&amp;"'!$AF$6:$AF$205"),0))="","",INDEX(INDIRECT("'"&amp;$B66&amp;"'!$T$6:$T$205"),MATCH($AR66&amp;"|"&amp;Z$5,INDIRECT("'"&amp;$B66&amp;"'!$AF$6:$AF$205"),0))),"-"))</f>
        <v/>
      </c>
      <c r="AA66" s="38">
        <f>IF(OR(AP66="",AA$5="-"),"",IFERROR(IF(INDEX(INDIRECT("'"&amp;$B66&amp;"'!$T$6:$T$205"),MATCH($AR66&amp;"|"&amp;AA$5,INDIRECT("'"&amp;$B66&amp;"'!$AF$6:$AF$205"),0))="","",INDEX(INDIRECT("'"&amp;$B66&amp;"'!$T$6:$T$205"),MATCH($AR66&amp;"|"&amp;AA$5,INDIRECT("'"&amp;$B66&amp;"'!$AF$6:$AF$205"),0))),"-"))</f>
        <v/>
      </c>
      <c r="AB66" s="38">
        <f>IF(OR(AP66="",AB$5="-"),"",IFERROR(IF(INDEX(INDIRECT("'"&amp;$B66&amp;"'!$T$6:$T$205"),MATCH($AR66&amp;"|"&amp;AB$5,INDIRECT("'"&amp;$B66&amp;"'!$AF$6:$AF$205"),0))="","",INDEX(INDIRECT("'"&amp;$B66&amp;"'!$T$6:$T$205"),MATCH($AR66&amp;"|"&amp;AB$5,INDIRECT("'"&amp;$B66&amp;"'!$AF$6:$AF$205"),0))),"-"))</f>
        <v/>
      </c>
      <c r="AC66" s="38">
        <f>IF(OR(AP66="",AC$5="-"),"",IFERROR(IF(INDEX(INDIRECT("'"&amp;$B66&amp;"'!$T$6:$T$205"),MATCH($AR66&amp;"|"&amp;AC$5,INDIRECT("'"&amp;$B66&amp;"'!$AF$6:$AF$205"),0))="","",INDEX(INDIRECT("'"&amp;$B66&amp;"'!$T$6:$T$205"),MATCH($AR66&amp;"|"&amp;AC$5,INDIRECT("'"&amp;$B66&amp;"'!$AF$6:$AF$205"),0))),"-"))</f>
        <v/>
      </c>
      <c r="AD66" s="38">
        <f>IF(OR(AP66="",AD$5="-"),"",IFERROR(IF(INDEX(INDIRECT("'"&amp;$B66&amp;"'!$T$6:$T$205"),MATCH($AR66&amp;"|"&amp;AD$5,INDIRECT("'"&amp;$B66&amp;"'!$AF$6:$AF$205"),0))="","",INDEX(INDIRECT("'"&amp;$B66&amp;"'!$T$6:$T$205"),MATCH($AR66&amp;"|"&amp;AD$5,INDIRECT("'"&amp;$B66&amp;"'!$AF$6:$AF$205"),0))),"-"))</f>
        <v/>
      </c>
      <c r="AE66" s="38">
        <f>IF(OR(AP66="",AE$5="-"),"",IFERROR(IF(INDEX(INDIRECT("'"&amp;$B66&amp;"'!$T$6:$T$205"),MATCH($AR66&amp;"|"&amp;AE$5,INDIRECT("'"&amp;$B66&amp;"'!$AF$6:$AF$205"),0))="","",INDEX(INDIRECT("'"&amp;$B66&amp;"'!$T$6:$T$205"),MATCH($AR66&amp;"|"&amp;AE$5,INDIRECT("'"&amp;$B66&amp;"'!$AF$6:$AF$205"),0))),"-"))</f>
        <v/>
      </c>
      <c r="AF66" s="35">
        <f>IF(AG66="","",INDEX($P$5:$W$5,MATCH(AG66,P66:W66,0)))</f>
        <v/>
      </c>
      <c r="AG66" s="37">
        <f>IF(COUNT(P66:W66)=0,"",MIN(P66:W66))</f>
        <v/>
      </c>
      <c r="AH66" s="39">
        <f>IF(AG66="","",AG66*F66)</f>
        <v/>
      </c>
      <c r="AI66" s="39">
        <f>IF(COUNT(P66:W66)&lt;2,"",(MAX(P66:W66)-MIN(P66:W66))*F66)</f>
        <v/>
      </c>
      <c r="AJ66" s="20" t="n"/>
      <c r="AP66">
        <f>IF(61&gt;MAX($AN$6:$AN$9),"",COUNTIF($AN$6:$AN$9,"&lt;"&amp;61)+1)</f>
        <v/>
      </c>
      <c r="AQ66">
        <f>IF(AP66="","",61-INDEX($AO$6:$AO$9,AP66))</f>
        <v/>
      </c>
      <c r="AR66">
        <f>IF(AP66="","",INDEX(INDIRECT("'"&amp;$B66&amp;"'!$AE$6:$AE$205"),MATCH(AQ66,INDIRECT("'"&amp;$B66&amp;"'!$AI$6:$AI$205"),0)))</f>
        <v/>
      </c>
    </row>
    <row r="67">
      <c r="A67" s="34">
        <f>IF(AP67="","",62)</f>
        <v/>
      </c>
      <c r="B67" s="35">
        <f>IF(AP67="","",INDEX($AL$6:$AL$9,AP67))</f>
        <v/>
      </c>
      <c r="C67" s="34">
        <f>IF(AP67="","",INDEX(INDIRECT("'"&amp;$B67&amp;"'!$B$6:$B$205"),MATCH($AR67,INDIRECT("'"&amp;$B67&amp;"'!$AE$6:$AE$205"),0)))</f>
        <v/>
      </c>
      <c r="D67" s="34">
        <f>IF(AP67="","",INDEX(INDIRECT("'"&amp;$B67&amp;"'!$D$6:$D$205"),MATCH($AR67,INDIRECT("'"&amp;$B67&amp;"'!$AE$6:$AE$205"),0)))</f>
        <v/>
      </c>
      <c r="E67" s="36">
        <f>IF(AP67="","",INDEX(INDIRECT("'"&amp;$B67&amp;"'!$F$6:$F$205"),MATCH($AR67,INDIRECT("'"&amp;$B67&amp;"'!$AE$6:$AE$205"),0)))</f>
        <v/>
      </c>
      <c r="F67" s="34">
        <f>IF(AP67="","",INDEX(INDIRECT("'"&amp;$B67&amp;"'!$K$6:$K$205"),MATCH($AR67,INDIRECT("'"&amp;$B67&amp;"'!$AE$6:$AE$205"),0)))</f>
        <v/>
      </c>
      <c r="G67" s="34">
        <f>IF(AP67="","",INDEX(INDIRECT("'"&amp;$B67&amp;"'!$L$6:$L$205"),MATCH($AR67,INDIRECT("'"&amp;$B67&amp;"'!$AE$6:$AE$205"),0)))</f>
        <v/>
      </c>
      <c r="H67" s="34">
        <f>IF(OR(AP67="",H$5="-"),"",IFERROR(IF(INDEX(INDIRECT("'"&amp;$B67&amp;"'!$N$6:$N$205"),MATCH($AR67&amp;"|"&amp;H$5,INDIRECT("'"&amp;$B67&amp;"'!$AF$6:$AF$205"),0))="","",INDEX(INDIRECT("'"&amp;$B67&amp;"'!$N$6:$N$205"),MATCH($AR67&amp;"|"&amp;H$5,INDIRECT("'"&amp;$B67&amp;"'!$AF$6:$AF$205"),0))),"-"))</f>
        <v/>
      </c>
      <c r="I67" s="34">
        <f>IF(OR(AP67="",I$5="-"),"",IFERROR(IF(INDEX(INDIRECT("'"&amp;$B67&amp;"'!$N$6:$N$205"),MATCH($AR67&amp;"|"&amp;I$5,INDIRECT("'"&amp;$B67&amp;"'!$AF$6:$AF$205"),0))="","",INDEX(INDIRECT("'"&amp;$B67&amp;"'!$N$6:$N$205"),MATCH($AR67&amp;"|"&amp;I$5,INDIRECT("'"&amp;$B67&amp;"'!$AF$6:$AF$205"),0))),"-"))</f>
        <v/>
      </c>
      <c r="J67" s="34">
        <f>IF(OR(AP67="",J$5="-"),"",IFERROR(IF(INDEX(INDIRECT("'"&amp;$B67&amp;"'!$N$6:$N$205"),MATCH($AR67&amp;"|"&amp;J$5,INDIRECT("'"&amp;$B67&amp;"'!$AF$6:$AF$205"),0))="","",INDEX(INDIRECT("'"&amp;$B67&amp;"'!$N$6:$N$205"),MATCH($AR67&amp;"|"&amp;J$5,INDIRECT("'"&amp;$B67&amp;"'!$AF$6:$AF$205"),0))),"-"))</f>
        <v/>
      </c>
      <c r="K67" s="34">
        <f>IF(OR(AP67="",K$5="-"),"",IFERROR(IF(INDEX(INDIRECT("'"&amp;$B67&amp;"'!$N$6:$N$205"),MATCH($AR67&amp;"|"&amp;K$5,INDIRECT("'"&amp;$B67&amp;"'!$AF$6:$AF$205"),0))="","",INDEX(INDIRECT("'"&amp;$B67&amp;"'!$N$6:$N$205"),MATCH($AR67&amp;"|"&amp;K$5,INDIRECT("'"&amp;$B67&amp;"'!$AF$6:$AF$205"),0))),"-"))</f>
        <v/>
      </c>
      <c r="L67" s="34">
        <f>IF(OR(AP67="",L$5="-"),"",IFERROR(IF(INDEX(INDIRECT("'"&amp;$B67&amp;"'!$N$6:$N$205"),MATCH($AR67&amp;"|"&amp;L$5,INDIRECT("'"&amp;$B67&amp;"'!$AF$6:$AF$205"),0))="","",INDEX(INDIRECT("'"&amp;$B67&amp;"'!$N$6:$N$205"),MATCH($AR67&amp;"|"&amp;L$5,INDIRECT("'"&amp;$B67&amp;"'!$AF$6:$AF$205"),0))),"-"))</f>
        <v/>
      </c>
      <c r="M67" s="34">
        <f>IF(OR(AP67="",M$5="-"),"",IFERROR(IF(INDEX(INDIRECT("'"&amp;$B67&amp;"'!$N$6:$N$205"),MATCH($AR67&amp;"|"&amp;M$5,INDIRECT("'"&amp;$B67&amp;"'!$AF$6:$AF$205"),0))="","",INDEX(INDIRECT("'"&amp;$B67&amp;"'!$N$6:$N$205"),MATCH($AR67&amp;"|"&amp;M$5,INDIRECT("'"&amp;$B67&amp;"'!$AF$6:$AF$205"),0))),"-"))</f>
        <v/>
      </c>
      <c r="N67" s="34">
        <f>IF(OR(AP67="",N$5="-"),"",IFERROR(IF(INDEX(INDIRECT("'"&amp;$B67&amp;"'!$N$6:$N$205"),MATCH($AR67&amp;"|"&amp;N$5,INDIRECT("'"&amp;$B67&amp;"'!$AF$6:$AF$205"),0))="","",INDEX(INDIRECT("'"&amp;$B67&amp;"'!$N$6:$N$205"),MATCH($AR67&amp;"|"&amp;N$5,INDIRECT("'"&amp;$B67&amp;"'!$AF$6:$AF$205"),0))),"-"))</f>
        <v/>
      </c>
      <c r="O67" s="34">
        <f>IF(OR(AP67="",O$5="-"),"",IFERROR(IF(INDEX(INDIRECT("'"&amp;$B67&amp;"'!$N$6:$N$205"),MATCH($AR67&amp;"|"&amp;O$5,INDIRECT("'"&amp;$B67&amp;"'!$AF$6:$AF$205"),0))="","",INDEX(INDIRECT("'"&amp;$B67&amp;"'!$N$6:$N$205"),MATCH($AR67&amp;"|"&amp;O$5,INDIRECT("'"&amp;$B67&amp;"'!$AF$6:$AF$205"),0))),"-"))</f>
        <v/>
      </c>
      <c r="P67" s="37">
        <f>IF(OR(AP67="",P$5="-"),"",IFERROR(IF(INDEX(INDIRECT("'"&amp;$B67&amp;"'!$R$6:$R$205"),MATCH($AR67&amp;"|"&amp;P$5,INDIRECT("'"&amp;$B67&amp;"'!$AF$6:$AF$205"),0))="","",INDEX(INDIRECT("'"&amp;$B67&amp;"'!$R$6:$R$205"),MATCH($AR67&amp;"|"&amp;P$5,INDIRECT("'"&amp;$B67&amp;"'!$AF$6:$AF$205"),0))),"-"))</f>
        <v/>
      </c>
      <c r="Q67" s="37">
        <f>IF(OR(AP67="",Q$5="-"),"",IFERROR(IF(INDEX(INDIRECT("'"&amp;$B67&amp;"'!$R$6:$R$205"),MATCH($AR67&amp;"|"&amp;Q$5,INDIRECT("'"&amp;$B67&amp;"'!$AF$6:$AF$205"),0))="","",INDEX(INDIRECT("'"&amp;$B67&amp;"'!$R$6:$R$205"),MATCH($AR67&amp;"|"&amp;Q$5,INDIRECT("'"&amp;$B67&amp;"'!$AF$6:$AF$205"),0))),"-"))</f>
        <v/>
      </c>
      <c r="R67" s="37">
        <f>IF(OR(AP67="",R$5="-"),"",IFERROR(IF(INDEX(INDIRECT("'"&amp;$B67&amp;"'!$R$6:$R$205"),MATCH($AR67&amp;"|"&amp;R$5,INDIRECT("'"&amp;$B67&amp;"'!$AF$6:$AF$205"),0))="","",INDEX(INDIRECT("'"&amp;$B67&amp;"'!$R$6:$R$205"),MATCH($AR67&amp;"|"&amp;R$5,INDIRECT("'"&amp;$B67&amp;"'!$AF$6:$AF$205"),0))),"-"))</f>
        <v/>
      </c>
      <c r="S67" s="37">
        <f>IF(OR(AP67="",S$5="-"),"",IFERROR(IF(INDEX(INDIRECT("'"&amp;$B67&amp;"'!$R$6:$R$205"),MATCH($AR67&amp;"|"&amp;S$5,INDIRECT("'"&amp;$B67&amp;"'!$AF$6:$AF$205"),0))="","",INDEX(INDIRECT("'"&amp;$B67&amp;"'!$R$6:$R$205"),MATCH($AR67&amp;"|"&amp;S$5,INDIRECT("'"&amp;$B67&amp;"'!$AF$6:$AF$205"),0))),"-"))</f>
        <v/>
      </c>
      <c r="T67" s="37">
        <f>IF(OR(AP67="",T$5="-"),"",IFERROR(IF(INDEX(INDIRECT("'"&amp;$B67&amp;"'!$R$6:$R$205"),MATCH($AR67&amp;"|"&amp;T$5,INDIRECT("'"&amp;$B67&amp;"'!$AF$6:$AF$205"),0))="","",INDEX(INDIRECT("'"&amp;$B67&amp;"'!$R$6:$R$205"),MATCH($AR67&amp;"|"&amp;T$5,INDIRECT("'"&amp;$B67&amp;"'!$AF$6:$AF$205"),0))),"-"))</f>
        <v/>
      </c>
      <c r="U67" s="37">
        <f>IF(OR(AP67="",U$5="-"),"",IFERROR(IF(INDEX(INDIRECT("'"&amp;$B67&amp;"'!$R$6:$R$205"),MATCH($AR67&amp;"|"&amp;U$5,INDIRECT("'"&amp;$B67&amp;"'!$AF$6:$AF$205"),0))="","",INDEX(INDIRECT("'"&amp;$B67&amp;"'!$R$6:$R$205"),MATCH($AR67&amp;"|"&amp;U$5,INDIRECT("'"&amp;$B67&amp;"'!$AF$6:$AF$205"),0))),"-"))</f>
        <v/>
      </c>
      <c r="V67" s="37">
        <f>IF(OR(AP67="",V$5="-"),"",IFERROR(IF(INDEX(INDIRECT("'"&amp;$B67&amp;"'!$R$6:$R$205"),MATCH($AR67&amp;"|"&amp;V$5,INDIRECT("'"&amp;$B67&amp;"'!$AF$6:$AF$205"),0))="","",INDEX(INDIRECT("'"&amp;$B67&amp;"'!$R$6:$R$205"),MATCH($AR67&amp;"|"&amp;V$5,INDIRECT("'"&amp;$B67&amp;"'!$AF$6:$AF$205"),0))),"-"))</f>
        <v/>
      </c>
      <c r="W67" s="37">
        <f>IF(OR(AP67="",W$5="-"),"",IFERROR(IF(INDEX(INDIRECT("'"&amp;$B67&amp;"'!$R$6:$R$205"),MATCH($AR67&amp;"|"&amp;W$5,INDIRECT("'"&amp;$B67&amp;"'!$AF$6:$AF$205"),0))="","",INDEX(INDIRECT("'"&amp;$B67&amp;"'!$R$6:$R$205"),MATCH($AR67&amp;"|"&amp;W$5,INDIRECT("'"&amp;$B67&amp;"'!$AF$6:$AF$205"),0))),"-"))</f>
        <v/>
      </c>
      <c r="X67" s="38">
        <f>IF(OR(AP67="",X$5="-"),"",IFERROR(IF(INDEX(INDIRECT("'"&amp;$B67&amp;"'!$T$6:$T$205"),MATCH($AR67&amp;"|"&amp;X$5,INDIRECT("'"&amp;$B67&amp;"'!$AF$6:$AF$205"),0))="","",INDEX(INDIRECT("'"&amp;$B67&amp;"'!$T$6:$T$205"),MATCH($AR67&amp;"|"&amp;X$5,INDIRECT("'"&amp;$B67&amp;"'!$AF$6:$AF$205"),0))),"-"))</f>
        <v/>
      </c>
      <c r="Y67" s="38">
        <f>IF(OR(AP67="",Y$5="-"),"",IFERROR(IF(INDEX(INDIRECT("'"&amp;$B67&amp;"'!$T$6:$T$205"),MATCH($AR67&amp;"|"&amp;Y$5,INDIRECT("'"&amp;$B67&amp;"'!$AF$6:$AF$205"),0))="","",INDEX(INDIRECT("'"&amp;$B67&amp;"'!$T$6:$T$205"),MATCH($AR67&amp;"|"&amp;Y$5,INDIRECT("'"&amp;$B67&amp;"'!$AF$6:$AF$205"),0))),"-"))</f>
        <v/>
      </c>
      <c r="Z67" s="38">
        <f>IF(OR(AP67="",Z$5="-"),"",IFERROR(IF(INDEX(INDIRECT("'"&amp;$B67&amp;"'!$T$6:$T$205"),MATCH($AR67&amp;"|"&amp;Z$5,INDIRECT("'"&amp;$B67&amp;"'!$AF$6:$AF$205"),0))="","",INDEX(INDIRECT("'"&amp;$B67&amp;"'!$T$6:$T$205"),MATCH($AR67&amp;"|"&amp;Z$5,INDIRECT("'"&amp;$B67&amp;"'!$AF$6:$AF$205"),0))),"-"))</f>
        <v/>
      </c>
      <c r="AA67" s="38">
        <f>IF(OR(AP67="",AA$5="-"),"",IFERROR(IF(INDEX(INDIRECT("'"&amp;$B67&amp;"'!$T$6:$T$205"),MATCH($AR67&amp;"|"&amp;AA$5,INDIRECT("'"&amp;$B67&amp;"'!$AF$6:$AF$205"),0))="","",INDEX(INDIRECT("'"&amp;$B67&amp;"'!$T$6:$T$205"),MATCH($AR67&amp;"|"&amp;AA$5,INDIRECT("'"&amp;$B67&amp;"'!$AF$6:$AF$205"),0))),"-"))</f>
        <v/>
      </c>
      <c r="AB67" s="38">
        <f>IF(OR(AP67="",AB$5="-"),"",IFERROR(IF(INDEX(INDIRECT("'"&amp;$B67&amp;"'!$T$6:$T$205"),MATCH($AR67&amp;"|"&amp;AB$5,INDIRECT("'"&amp;$B67&amp;"'!$AF$6:$AF$205"),0))="","",INDEX(INDIRECT("'"&amp;$B67&amp;"'!$T$6:$T$205"),MATCH($AR67&amp;"|"&amp;AB$5,INDIRECT("'"&amp;$B67&amp;"'!$AF$6:$AF$205"),0))),"-"))</f>
        <v/>
      </c>
      <c r="AC67" s="38">
        <f>IF(OR(AP67="",AC$5="-"),"",IFERROR(IF(INDEX(INDIRECT("'"&amp;$B67&amp;"'!$T$6:$T$205"),MATCH($AR67&amp;"|"&amp;AC$5,INDIRECT("'"&amp;$B67&amp;"'!$AF$6:$AF$205"),0))="","",INDEX(INDIRECT("'"&amp;$B67&amp;"'!$T$6:$T$205"),MATCH($AR67&amp;"|"&amp;AC$5,INDIRECT("'"&amp;$B67&amp;"'!$AF$6:$AF$205"),0))),"-"))</f>
        <v/>
      </c>
      <c r="AD67" s="38">
        <f>IF(OR(AP67="",AD$5="-"),"",IFERROR(IF(INDEX(INDIRECT("'"&amp;$B67&amp;"'!$T$6:$T$205"),MATCH($AR67&amp;"|"&amp;AD$5,INDIRECT("'"&amp;$B67&amp;"'!$AF$6:$AF$205"),0))="","",INDEX(INDIRECT("'"&amp;$B67&amp;"'!$T$6:$T$205"),MATCH($AR67&amp;"|"&amp;AD$5,INDIRECT("'"&amp;$B67&amp;"'!$AF$6:$AF$205"),0))),"-"))</f>
        <v/>
      </c>
      <c r="AE67" s="38">
        <f>IF(OR(AP67="",AE$5="-"),"",IFERROR(IF(INDEX(INDIRECT("'"&amp;$B67&amp;"'!$T$6:$T$205"),MATCH($AR67&amp;"|"&amp;AE$5,INDIRECT("'"&amp;$B67&amp;"'!$AF$6:$AF$205"),0))="","",INDEX(INDIRECT("'"&amp;$B67&amp;"'!$T$6:$T$205"),MATCH($AR67&amp;"|"&amp;AE$5,INDIRECT("'"&amp;$B67&amp;"'!$AF$6:$AF$205"),0))),"-"))</f>
        <v/>
      </c>
      <c r="AF67" s="35">
        <f>IF(AG67="","",INDEX($P$5:$W$5,MATCH(AG67,P67:W67,0)))</f>
        <v/>
      </c>
      <c r="AG67" s="37">
        <f>IF(COUNT(P67:W67)=0,"",MIN(P67:W67))</f>
        <v/>
      </c>
      <c r="AH67" s="39">
        <f>IF(AG67="","",AG67*F67)</f>
        <v/>
      </c>
      <c r="AI67" s="39">
        <f>IF(COUNT(P67:W67)&lt;2,"",(MAX(P67:W67)-MIN(P67:W67))*F67)</f>
        <v/>
      </c>
      <c r="AJ67" s="20" t="n"/>
      <c r="AP67">
        <f>IF(62&gt;MAX($AN$6:$AN$9),"",COUNTIF($AN$6:$AN$9,"&lt;"&amp;62)+1)</f>
        <v/>
      </c>
      <c r="AQ67">
        <f>IF(AP67="","",62-INDEX($AO$6:$AO$9,AP67))</f>
        <v/>
      </c>
      <c r="AR67">
        <f>IF(AP67="","",INDEX(INDIRECT("'"&amp;$B67&amp;"'!$AE$6:$AE$205"),MATCH(AQ67,INDIRECT("'"&amp;$B67&amp;"'!$AI$6:$AI$205"),0)))</f>
        <v/>
      </c>
    </row>
    <row r="68">
      <c r="A68" s="34">
        <f>IF(AP68="","",63)</f>
        <v/>
      </c>
      <c r="B68" s="35">
        <f>IF(AP68="","",INDEX($AL$6:$AL$9,AP68))</f>
        <v/>
      </c>
      <c r="C68" s="34">
        <f>IF(AP68="","",INDEX(INDIRECT("'"&amp;$B68&amp;"'!$B$6:$B$205"),MATCH($AR68,INDIRECT("'"&amp;$B68&amp;"'!$AE$6:$AE$205"),0)))</f>
        <v/>
      </c>
      <c r="D68" s="34">
        <f>IF(AP68="","",INDEX(INDIRECT("'"&amp;$B68&amp;"'!$D$6:$D$205"),MATCH($AR68,INDIRECT("'"&amp;$B68&amp;"'!$AE$6:$AE$205"),0)))</f>
        <v/>
      </c>
      <c r="E68" s="36">
        <f>IF(AP68="","",INDEX(INDIRECT("'"&amp;$B68&amp;"'!$F$6:$F$205"),MATCH($AR68,INDIRECT("'"&amp;$B68&amp;"'!$AE$6:$AE$205"),0)))</f>
        <v/>
      </c>
      <c r="F68" s="34">
        <f>IF(AP68="","",INDEX(INDIRECT("'"&amp;$B68&amp;"'!$K$6:$K$205"),MATCH($AR68,INDIRECT("'"&amp;$B68&amp;"'!$AE$6:$AE$205"),0)))</f>
        <v/>
      </c>
      <c r="G68" s="34">
        <f>IF(AP68="","",INDEX(INDIRECT("'"&amp;$B68&amp;"'!$L$6:$L$205"),MATCH($AR68,INDIRECT("'"&amp;$B68&amp;"'!$AE$6:$AE$205"),0)))</f>
        <v/>
      </c>
      <c r="H68" s="34">
        <f>IF(OR(AP68="",H$5="-"),"",IFERROR(IF(INDEX(INDIRECT("'"&amp;$B68&amp;"'!$N$6:$N$205"),MATCH($AR68&amp;"|"&amp;H$5,INDIRECT("'"&amp;$B68&amp;"'!$AF$6:$AF$205"),0))="","",INDEX(INDIRECT("'"&amp;$B68&amp;"'!$N$6:$N$205"),MATCH($AR68&amp;"|"&amp;H$5,INDIRECT("'"&amp;$B68&amp;"'!$AF$6:$AF$205"),0))),"-"))</f>
        <v/>
      </c>
      <c r="I68" s="34">
        <f>IF(OR(AP68="",I$5="-"),"",IFERROR(IF(INDEX(INDIRECT("'"&amp;$B68&amp;"'!$N$6:$N$205"),MATCH($AR68&amp;"|"&amp;I$5,INDIRECT("'"&amp;$B68&amp;"'!$AF$6:$AF$205"),0))="","",INDEX(INDIRECT("'"&amp;$B68&amp;"'!$N$6:$N$205"),MATCH($AR68&amp;"|"&amp;I$5,INDIRECT("'"&amp;$B68&amp;"'!$AF$6:$AF$205"),0))),"-"))</f>
        <v/>
      </c>
      <c r="J68" s="34">
        <f>IF(OR(AP68="",J$5="-"),"",IFERROR(IF(INDEX(INDIRECT("'"&amp;$B68&amp;"'!$N$6:$N$205"),MATCH($AR68&amp;"|"&amp;J$5,INDIRECT("'"&amp;$B68&amp;"'!$AF$6:$AF$205"),0))="","",INDEX(INDIRECT("'"&amp;$B68&amp;"'!$N$6:$N$205"),MATCH($AR68&amp;"|"&amp;J$5,INDIRECT("'"&amp;$B68&amp;"'!$AF$6:$AF$205"),0))),"-"))</f>
        <v/>
      </c>
      <c r="K68" s="34">
        <f>IF(OR(AP68="",K$5="-"),"",IFERROR(IF(INDEX(INDIRECT("'"&amp;$B68&amp;"'!$N$6:$N$205"),MATCH($AR68&amp;"|"&amp;K$5,INDIRECT("'"&amp;$B68&amp;"'!$AF$6:$AF$205"),0))="","",INDEX(INDIRECT("'"&amp;$B68&amp;"'!$N$6:$N$205"),MATCH($AR68&amp;"|"&amp;K$5,INDIRECT("'"&amp;$B68&amp;"'!$AF$6:$AF$205"),0))),"-"))</f>
        <v/>
      </c>
      <c r="L68" s="34">
        <f>IF(OR(AP68="",L$5="-"),"",IFERROR(IF(INDEX(INDIRECT("'"&amp;$B68&amp;"'!$N$6:$N$205"),MATCH($AR68&amp;"|"&amp;L$5,INDIRECT("'"&amp;$B68&amp;"'!$AF$6:$AF$205"),0))="","",INDEX(INDIRECT("'"&amp;$B68&amp;"'!$N$6:$N$205"),MATCH($AR68&amp;"|"&amp;L$5,INDIRECT("'"&amp;$B68&amp;"'!$AF$6:$AF$205"),0))),"-"))</f>
        <v/>
      </c>
      <c r="M68" s="34">
        <f>IF(OR(AP68="",M$5="-"),"",IFERROR(IF(INDEX(INDIRECT("'"&amp;$B68&amp;"'!$N$6:$N$205"),MATCH($AR68&amp;"|"&amp;M$5,INDIRECT("'"&amp;$B68&amp;"'!$AF$6:$AF$205"),0))="","",INDEX(INDIRECT("'"&amp;$B68&amp;"'!$N$6:$N$205"),MATCH($AR68&amp;"|"&amp;M$5,INDIRECT("'"&amp;$B68&amp;"'!$AF$6:$AF$205"),0))),"-"))</f>
        <v/>
      </c>
      <c r="N68" s="34">
        <f>IF(OR(AP68="",N$5="-"),"",IFERROR(IF(INDEX(INDIRECT("'"&amp;$B68&amp;"'!$N$6:$N$205"),MATCH($AR68&amp;"|"&amp;N$5,INDIRECT("'"&amp;$B68&amp;"'!$AF$6:$AF$205"),0))="","",INDEX(INDIRECT("'"&amp;$B68&amp;"'!$N$6:$N$205"),MATCH($AR68&amp;"|"&amp;N$5,INDIRECT("'"&amp;$B68&amp;"'!$AF$6:$AF$205"),0))),"-"))</f>
        <v/>
      </c>
      <c r="O68" s="34">
        <f>IF(OR(AP68="",O$5="-"),"",IFERROR(IF(INDEX(INDIRECT("'"&amp;$B68&amp;"'!$N$6:$N$205"),MATCH($AR68&amp;"|"&amp;O$5,INDIRECT("'"&amp;$B68&amp;"'!$AF$6:$AF$205"),0))="","",INDEX(INDIRECT("'"&amp;$B68&amp;"'!$N$6:$N$205"),MATCH($AR68&amp;"|"&amp;O$5,INDIRECT("'"&amp;$B68&amp;"'!$AF$6:$AF$205"),0))),"-"))</f>
        <v/>
      </c>
      <c r="P68" s="37">
        <f>IF(OR(AP68="",P$5="-"),"",IFERROR(IF(INDEX(INDIRECT("'"&amp;$B68&amp;"'!$R$6:$R$205"),MATCH($AR68&amp;"|"&amp;P$5,INDIRECT("'"&amp;$B68&amp;"'!$AF$6:$AF$205"),0))="","",INDEX(INDIRECT("'"&amp;$B68&amp;"'!$R$6:$R$205"),MATCH($AR68&amp;"|"&amp;P$5,INDIRECT("'"&amp;$B68&amp;"'!$AF$6:$AF$205"),0))),"-"))</f>
        <v/>
      </c>
      <c r="Q68" s="37">
        <f>IF(OR(AP68="",Q$5="-"),"",IFERROR(IF(INDEX(INDIRECT("'"&amp;$B68&amp;"'!$R$6:$R$205"),MATCH($AR68&amp;"|"&amp;Q$5,INDIRECT("'"&amp;$B68&amp;"'!$AF$6:$AF$205"),0))="","",INDEX(INDIRECT("'"&amp;$B68&amp;"'!$R$6:$R$205"),MATCH($AR68&amp;"|"&amp;Q$5,INDIRECT("'"&amp;$B68&amp;"'!$AF$6:$AF$205"),0))),"-"))</f>
        <v/>
      </c>
      <c r="R68" s="37">
        <f>IF(OR(AP68="",R$5="-"),"",IFERROR(IF(INDEX(INDIRECT("'"&amp;$B68&amp;"'!$R$6:$R$205"),MATCH($AR68&amp;"|"&amp;R$5,INDIRECT("'"&amp;$B68&amp;"'!$AF$6:$AF$205"),0))="","",INDEX(INDIRECT("'"&amp;$B68&amp;"'!$R$6:$R$205"),MATCH($AR68&amp;"|"&amp;R$5,INDIRECT("'"&amp;$B68&amp;"'!$AF$6:$AF$205"),0))),"-"))</f>
        <v/>
      </c>
      <c r="S68" s="37">
        <f>IF(OR(AP68="",S$5="-"),"",IFERROR(IF(INDEX(INDIRECT("'"&amp;$B68&amp;"'!$R$6:$R$205"),MATCH($AR68&amp;"|"&amp;S$5,INDIRECT("'"&amp;$B68&amp;"'!$AF$6:$AF$205"),0))="","",INDEX(INDIRECT("'"&amp;$B68&amp;"'!$R$6:$R$205"),MATCH($AR68&amp;"|"&amp;S$5,INDIRECT("'"&amp;$B68&amp;"'!$AF$6:$AF$205"),0))),"-"))</f>
        <v/>
      </c>
      <c r="T68" s="37">
        <f>IF(OR(AP68="",T$5="-"),"",IFERROR(IF(INDEX(INDIRECT("'"&amp;$B68&amp;"'!$R$6:$R$205"),MATCH($AR68&amp;"|"&amp;T$5,INDIRECT("'"&amp;$B68&amp;"'!$AF$6:$AF$205"),0))="","",INDEX(INDIRECT("'"&amp;$B68&amp;"'!$R$6:$R$205"),MATCH($AR68&amp;"|"&amp;T$5,INDIRECT("'"&amp;$B68&amp;"'!$AF$6:$AF$205"),0))),"-"))</f>
        <v/>
      </c>
      <c r="U68" s="37">
        <f>IF(OR(AP68="",U$5="-"),"",IFERROR(IF(INDEX(INDIRECT("'"&amp;$B68&amp;"'!$R$6:$R$205"),MATCH($AR68&amp;"|"&amp;U$5,INDIRECT("'"&amp;$B68&amp;"'!$AF$6:$AF$205"),0))="","",INDEX(INDIRECT("'"&amp;$B68&amp;"'!$R$6:$R$205"),MATCH($AR68&amp;"|"&amp;U$5,INDIRECT("'"&amp;$B68&amp;"'!$AF$6:$AF$205"),0))),"-"))</f>
        <v/>
      </c>
      <c r="V68" s="37">
        <f>IF(OR(AP68="",V$5="-"),"",IFERROR(IF(INDEX(INDIRECT("'"&amp;$B68&amp;"'!$R$6:$R$205"),MATCH($AR68&amp;"|"&amp;V$5,INDIRECT("'"&amp;$B68&amp;"'!$AF$6:$AF$205"),0))="","",INDEX(INDIRECT("'"&amp;$B68&amp;"'!$R$6:$R$205"),MATCH($AR68&amp;"|"&amp;V$5,INDIRECT("'"&amp;$B68&amp;"'!$AF$6:$AF$205"),0))),"-"))</f>
        <v/>
      </c>
      <c r="W68" s="37">
        <f>IF(OR(AP68="",W$5="-"),"",IFERROR(IF(INDEX(INDIRECT("'"&amp;$B68&amp;"'!$R$6:$R$205"),MATCH($AR68&amp;"|"&amp;W$5,INDIRECT("'"&amp;$B68&amp;"'!$AF$6:$AF$205"),0))="","",INDEX(INDIRECT("'"&amp;$B68&amp;"'!$R$6:$R$205"),MATCH($AR68&amp;"|"&amp;W$5,INDIRECT("'"&amp;$B68&amp;"'!$AF$6:$AF$205"),0))),"-"))</f>
        <v/>
      </c>
      <c r="X68" s="38">
        <f>IF(OR(AP68="",X$5="-"),"",IFERROR(IF(INDEX(INDIRECT("'"&amp;$B68&amp;"'!$T$6:$T$205"),MATCH($AR68&amp;"|"&amp;X$5,INDIRECT("'"&amp;$B68&amp;"'!$AF$6:$AF$205"),0))="","",INDEX(INDIRECT("'"&amp;$B68&amp;"'!$T$6:$T$205"),MATCH($AR68&amp;"|"&amp;X$5,INDIRECT("'"&amp;$B68&amp;"'!$AF$6:$AF$205"),0))),"-"))</f>
        <v/>
      </c>
      <c r="Y68" s="38">
        <f>IF(OR(AP68="",Y$5="-"),"",IFERROR(IF(INDEX(INDIRECT("'"&amp;$B68&amp;"'!$T$6:$T$205"),MATCH($AR68&amp;"|"&amp;Y$5,INDIRECT("'"&amp;$B68&amp;"'!$AF$6:$AF$205"),0))="","",INDEX(INDIRECT("'"&amp;$B68&amp;"'!$T$6:$T$205"),MATCH($AR68&amp;"|"&amp;Y$5,INDIRECT("'"&amp;$B68&amp;"'!$AF$6:$AF$205"),0))),"-"))</f>
        <v/>
      </c>
      <c r="Z68" s="38">
        <f>IF(OR(AP68="",Z$5="-"),"",IFERROR(IF(INDEX(INDIRECT("'"&amp;$B68&amp;"'!$T$6:$T$205"),MATCH($AR68&amp;"|"&amp;Z$5,INDIRECT("'"&amp;$B68&amp;"'!$AF$6:$AF$205"),0))="","",INDEX(INDIRECT("'"&amp;$B68&amp;"'!$T$6:$T$205"),MATCH($AR68&amp;"|"&amp;Z$5,INDIRECT("'"&amp;$B68&amp;"'!$AF$6:$AF$205"),0))),"-"))</f>
        <v/>
      </c>
      <c r="AA68" s="38">
        <f>IF(OR(AP68="",AA$5="-"),"",IFERROR(IF(INDEX(INDIRECT("'"&amp;$B68&amp;"'!$T$6:$T$205"),MATCH($AR68&amp;"|"&amp;AA$5,INDIRECT("'"&amp;$B68&amp;"'!$AF$6:$AF$205"),0))="","",INDEX(INDIRECT("'"&amp;$B68&amp;"'!$T$6:$T$205"),MATCH($AR68&amp;"|"&amp;AA$5,INDIRECT("'"&amp;$B68&amp;"'!$AF$6:$AF$205"),0))),"-"))</f>
        <v/>
      </c>
      <c r="AB68" s="38">
        <f>IF(OR(AP68="",AB$5="-"),"",IFERROR(IF(INDEX(INDIRECT("'"&amp;$B68&amp;"'!$T$6:$T$205"),MATCH($AR68&amp;"|"&amp;AB$5,INDIRECT("'"&amp;$B68&amp;"'!$AF$6:$AF$205"),0))="","",INDEX(INDIRECT("'"&amp;$B68&amp;"'!$T$6:$T$205"),MATCH($AR68&amp;"|"&amp;AB$5,INDIRECT("'"&amp;$B68&amp;"'!$AF$6:$AF$205"),0))),"-"))</f>
        <v/>
      </c>
      <c r="AC68" s="38">
        <f>IF(OR(AP68="",AC$5="-"),"",IFERROR(IF(INDEX(INDIRECT("'"&amp;$B68&amp;"'!$T$6:$T$205"),MATCH($AR68&amp;"|"&amp;AC$5,INDIRECT("'"&amp;$B68&amp;"'!$AF$6:$AF$205"),0))="","",INDEX(INDIRECT("'"&amp;$B68&amp;"'!$T$6:$T$205"),MATCH($AR68&amp;"|"&amp;AC$5,INDIRECT("'"&amp;$B68&amp;"'!$AF$6:$AF$205"),0))),"-"))</f>
        <v/>
      </c>
      <c r="AD68" s="38">
        <f>IF(OR(AP68="",AD$5="-"),"",IFERROR(IF(INDEX(INDIRECT("'"&amp;$B68&amp;"'!$T$6:$T$205"),MATCH($AR68&amp;"|"&amp;AD$5,INDIRECT("'"&amp;$B68&amp;"'!$AF$6:$AF$205"),0))="","",INDEX(INDIRECT("'"&amp;$B68&amp;"'!$T$6:$T$205"),MATCH($AR68&amp;"|"&amp;AD$5,INDIRECT("'"&amp;$B68&amp;"'!$AF$6:$AF$205"),0))),"-"))</f>
        <v/>
      </c>
      <c r="AE68" s="38">
        <f>IF(OR(AP68="",AE$5="-"),"",IFERROR(IF(INDEX(INDIRECT("'"&amp;$B68&amp;"'!$T$6:$T$205"),MATCH($AR68&amp;"|"&amp;AE$5,INDIRECT("'"&amp;$B68&amp;"'!$AF$6:$AF$205"),0))="","",INDEX(INDIRECT("'"&amp;$B68&amp;"'!$T$6:$T$205"),MATCH($AR68&amp;"|"&amp;AE$5,INDIRECT("'"&amp;$B68&amp;"'!$AF$6:$AF$205"),0))),"-"))</f>
        <v/>
      </c>
      <c r="AF68" s="35">
        <f>IF(AG68="","",INDEX($P$5:$W$5,MATCH(AG68,P68:W68,0)))</f>
        <v/>
      </c>
      <c r="AG68" s="37">
        <f>IF(COUNT(P68:W68)=0,"",MIN(P68:W68))</f>
        <v/>
      </c>
      <c r="AH68" s="39">
        <f>IF(AG68="","",AG68*F68)</f>
        <v/>
      </c>
      <c r="AI68" s="39">
        <f>IF(COUNT(P68:W68)&lt;2,"",(MAX(P68:W68)-MIN(P68:W68))*F68)</f>
        <v/>
      </c>
      <c r="AJ68" s="20" t="n"/>
      <c r="AP68">
        <f>IF(63&gt;MAX($AN$6:$AN$9),"",COUNTIF($AN$6:$AN$9,"&lt;"&amp;63)+1)</f>
        <v/>
      </c>
      <c r="AQ68">
        <f>IF(AP68="","",63-INDEX($AO$6:$AO$9,AP68))</f>
        <v/>
      </c>
      <c r="AR68">
        <f>IF(AP68="","",INDEX(INDIRECT("'"&amp;$B68&amp;"'!$AE$6:$AE$205"),MATCH(AQ68,INDIRECT("'"&amp;$B68&amp;"'!$AI$6:$AI$205"),0)))</f>
        <v/>
      </c>
    </row>
    <row r="69">
      <c r="A69" s="34">
        <f>IF(AP69="","",64)</f>
        <v/>
      </c>
      <c r="B69" s="35">
        <f>IF(AP69="","",INDEX($AL$6:$AL$9,AP69))</f>
        <v/>
      </c>
      <c r="C69" s="34">
        <f>IF(AP69="","",INDEX(INDIRECT("'"&amp;$B69&amp;"'!$B$6:$B$205"),MATCH($AR69,INDIRECT("'"&amp;$B69&amp;"'!$AE$6:$AE$205"),0)))</f>
        <v/>
      </c>
      <c r="D69" s="34">
        <f>IF(AP69="","",INDEX(INDIRECT("'"&amp;$B69&amp;"'!$D$6:$D$205"),MATCH($AR69,INDIRECT("'"&amp;$B69&amp;"'!$AE$6:$AE$205"),0)))</f>
        <v/>
      </c>
      <c r="E69" s="36">
        <f>IF(AP69="","",INDEX(INDIRECT("'"&amp;$B69&amp;"'!$F$6:$F$205"),MATCH($AR69,INDIRECT("'"&amp;$B69&amp;"'!$AE$6:$AE$205"),0)))</f>
        <v/>
      </c>
      <c r="F69" s="34">
        <f>IF(AP69="","",INDEX(INDIRECT("'"&amp;$B69&amp;"'!$K$6:$K$205"),MATCH($AR69,INDIRECT("'"&amp;$B69&amp;"'!$AE$6:$AE$205"),0)))</f>
        <v/>
      </c>
      <c r="G69" s="34">
        <f>IF(AP69="","",INDEX(INDIRECT("'"&amp;$B69&amp;"'!$L$6:$L$205"),MATCH($AR69,INDIRECT("'"&amp;$B69&amp;"'!$AE$6:$AE$205"),0)))</f>
        <v/>
      </c>
      <c r="H69" s="34">
        <f>IF(OR(AP69="",H$5="-"),"",IFERROR(IF(INDEX(INDIRECT("'"&amp;$B69&amp;"'!$N$6:$N$205"),MATCH($AR69&amp;"|"&amp;H$5,INDIRECT("'"&amp;$B69&amp;"'!$AF$6:$AF$205"),0))="","",INDEX(INDIRECT("'"&amp;$B69&amp;"'!$N$6:$N$205"),MATCH($AR69&amp;"|"&amp;H$5,INDIRECT("'"&amp;$B69&amp;"'!$AF$6:$AF$205"),0))),"-"))</f>
        <v/>
      </c>
      <c r="I69" s="34">
        <f>IF(OR(AP69="",I$5="-"),"",IFERROR(IF(INDEX(INDIRECT("'"&amp;$B69&amp;"'!$N$6:$N$205"),MATCH($AR69&amp;"|"&amp;I$5,INDIRECT("'"&amp;$B69&amp;"'!$AF$6:$AF$205"),0))="","",INDEX(INDIRECT("'"&amp;$B69&amp;"'!$N$6:$N$205"),MATCH($AR69&amp;"|"&amp;I$5,INDIRECT("'"&amp;$B69&amp;"'!$AF$6:$AF$205"),0))),"-"))</f>
        <v/>
      </c>
      <c r="J69" s="34">
        <f>IF(OR(AP69="",J$5="-"),"",IFERROR(IF(INDEX(INDIRECT("'"&amp;$B69&amp;"'!$N$6:$N$205"),MATCH($AR69&amp;"|"&amp;J$5,INDIRECT("'"&amp;$B69&amp;"'!$AF$6:$AF$205"),0))="","",INDEX(INDIRECT("'"&amp;$B69&amp;"'!$N$6:$N$205"),MATCH($AR69&amp;"|"&amp;J$5,INDIRECT("'"&amp;$B69&amp;"'!$AF$6:$AF$205"),0))),"-"))</f>
        <v/>
      </c>
      <c r="K69" s="34">
        <f>IF(OR(AP69="",K$5="-"),"",IFERROR(IF(INDEX(INDIRECT("'"&amp;$B69&amp;"'!$N$6:$N$205"),MATCH($AR69&amp;"|"&amp;K$5,INDIRECT("'"&amp;$B69&amp;"'!$AF$6:$AF$205"),0))="","",INDEX(INDIRECT("'"&amp;$B69&amp;"'!$N$6:$N$205"),MATCH($AR69&amp;"|"&amp;K$5,INDIRECT("'"&amp;$B69&amp;"'!$AF$6:$AF$205"),0))),"-"))</f>
        <v/>
      </c>
      <c r="L69" s="34">
        <f>IF(OR(AP69="",L$5="-"),"",IFERROR(IF(INDEX(INDIRECT("'"&amp;$B69&amp;"'!$N$6:$N$205"),MATCH($AR69&amp;"|"&amp;L$5,INDIRECT("'"&amp;$B69&amp;"'!$AF$6:$AF$205"),0))="","",INDEX(INDIRECT("'"&amp;$B69&amp;"'!$N$6:$N$205"),MATCH($AR69&amp;"|"&amp;L$5,INDIRECT("'"&amp;$B69&amp;"'!$AF$6:$AF$205"),0))),"-"))</f>
        <v/>
      </c>
      <c r="M69" s="34">
        <f>IF(OR(AP69="",M$5="-"),"",IFERROR(IF(INDEX(INDIRECT("'"&amp;$B69&amp;"'!$N$6:$N$205"),MATCH($AR69&amp;"|"&amp;M$5,INDIRECT("'"&amp;$B69&amp;"'!$AF$6:$AF$205"),0))="","",INDEX(INDIRECT("'"&amp;$B69&amp;"'!$N$6:$N$205"),MATCH($AR69&amp;"|"&amp;M$5,INDIRECT("'"&amp;$B69&amp;"'!$AF$6:$AF$205"),0))),"-"))</f>
        <v/>
      </c>
      <c r="N69" s="34">
        <f>IF(OR(AP69="",N$5="-"),"",IFERROR(IF(INDEX(INDIRECT("'"&amp;$B69&amp;"'!$N$6:$N$205"),MATCH($AR69&amp;"|"&amp;N$5,INDIRECT("'"&amp;$B69&amp;"'!$AF$6:$AF$205"),0))="","",INDEX(INDIRECT("'"&amp;$B69&amp;"'!$N$6:$N$205"),MATCH($AR69&amp;"|"&amp;N$5,INDIRECT("'"&amp;$B69&amp;"'!$AF$6:$AF$205"),0))),"-"))</f>
        <v/>
      </c>
      <c r="O69" s="34">
        <f>IF(OR(AP69="",O$5="-"),"",IFERROR(IF(INDEX(INDIRECT("'"&amp;$B69&amp;"'!$N$6:$N$205"),MATCH($AR69&amp;"|"&amp;O$5,INDIRECT("'"&amp;$B69&amp;"'!$AF$6:$AF$205"),0))="","",INDEX(INDIRECT("'"&amp;$B69&amp;"'!$N$6:$N$205"),MATCH($AR69&amp;"|"&amp;O$5,INDIRECT("'"&amp;$B69&amp;"'!$AF$6:$AF$205"),0))),"-"))</f>
        <v/>
      </c>
      <c r="P69" s="37">
        <f>IF(OR(AP69="",P$5="-"),"",IFERROR(IF(INDEX(INDIRECT("'"&amp;$B69&amp;"'!$R$6:$R$205"),MATCH($AR69&amp;"|"&amp;P$5,INDIRECT("'"&amp;$B69&amp;"'!$AF$6:$AF$205"),0))="","",INDEX(INDIRECT("'"&amp;$B69&amp;"'!$R$6:$R$205"),MATCH($AR69&amp;"|"&amp;P$5,INDIRECT("'"&amp;$B69&amp;"'!$AF$6:$AF$205"),0))),"-"))</f>
        <v/>
      </c>
      <c r="Q69" s="37">
        <f>IF(OR(AP69="",Q$5="-"),"",IFERROR(IF(INDEX(INDIRECT("'"&amp;$B69&amp;"'!$R$6:$R$205"),MATCH($AR69&amp;"|"&amp;Q$5,INDIRECT("'"&amp;$B69&amp;"'!$AF$6:$AF$205"),0))="","",INDEX(INDIRECT("'"&amp;$B69&amp;"'!$R$6:$R$205"),MATCH($AR69&amp;"|"&amp;Q$5,INDIRECT("'"&amp;$B69&amp;"'!$AF$6:$AF$205"),0))),"-"))</f>
        <v/>
      </c>
      <c r="R69" s="37">
        <f>IF(OR(AP69="",R$5="-"),"",IFERROR(IF(INDEX(INDIRECT("'"&amp;$B69&amp;"'!$R$6:$R$205"),MATCH($AR69&amp;"|"&amp;R$5,INDIRECT("'"&amp;$B69&amp;"'!$AF$6:$AF$205"),0))="","",INDEX(INDIRECT("'"&amp;$B69&amp;"'!$R$6:$R$205"),MATCH($AR69&amp;"|"&amp;R$5,INDIRECT("'"&amp;$B69&amp;"'!$AF$6:$AF$205"),0))),"-"))</f>
        <v/>
      </c>
      <c r="S69" s="37">
        <f>IF(OR(AP69="",S$5="-"),"",IFERROR(IF(INDEX(INDIRECT("'"&amp;$B69&amp;"'!$R$6:$R$205"),MATCH($AR69&amp;"|"&amp;S$5,INDIRECT("'"&amp;$B69&amp;"'!$AF$6:$AF$205"),0))="","",INDEX(INDIRECT("'"&amp;$B69&amp;"'!$R$6:$R$205"),MATCH($AR69&amp;"|"&amp;S$5,INDIRECT("'"&amp;$B69&amp;"'!$AF$6:$AF$205"),0))),"-"))</f>
        <v/>
      </c>
      <c r="T69" s="37">
        <f>IF(OR(AP69="",T$5="-"),"",IFERROR(IF(INDEX(INDIRECT("'"&amp;$B69&amp;"'!$R$6:$R$205"),MATCH($AR69&amp;"|"&amp;T$5,INDIRECT("'"&amp;$B69&amp;"'!$AF$6:$AF$205"),0))="","",INDEX(INDIRECT("'"&amp;$B69&amp;"'!$R$6:$R$205"),MATCH($AR69&amp;"|"&amp;T$5,INDIRECT("'"&amp;$B69&amp;"'!$AF$6:$AF$205"),0))),"-"))</f>
        <v/>
      </c>
      <c r="U69" s="37">
        <f>IF(OR(AP69="",U$5="-"),"",IFERROR(IF(INDEX(INDIRECT("'"&amp;$B69&amp;"'!$R$6:$R$205"),MATCH($AR69&amp;"|"&amp;U$5,INDIRECT("'"&amp;$B69&amp;"'!$AF$6:$AF$205"),0))="","",INDEX(INDIRECT("'"&amp;$B69&amp;"'!$R$6:$R$205"),MATCH($AR69&amp;"|"&amp;U$5,INDIRECT("'"&amp;$B69&amp;"'!$AF$6:$AF$205"),0))),"-"))</f>
        <v/>
      </c>
      <c r="V69" s="37">
        <f>IF(OR(AP69="",V$5="-"),"",IFERROR(IF(INDEX(INDIRECT("'"&amp;$B69&amp;"'!$R$6:$R$205"),MATCH($AR69&amp;"|"&amp;V$5,INDIRECT("'"&amp;$B69&amp;"'!$AF$6:$AF$205"),0))="","",INDEX(INDIRECT("'"&amp;$B69&amp;"'!$R$6:$R$205"),MATCH($AR69&amp;"|"&amp;V$5,INDIRECT("'"&amp;$B69&amp;"'!$AF$6:$AF$205"),0))),"-"))</f>
        <v/>
      </c>
      <c r="W69" s="37">
        <f>IF(OR(AP69="",W$5="-"),"",IFERROR(IF(INDEX(INDIRECT("'"&amp;$B69&amp;"'!$R$6:$R$205"),MATCH($AR69&amp;"|"&amp;W$5,INDIRECT("'"&amp;$B69&amp;"'!$AF$6:$AF$205"),0))="","",INDEX(INDIRECT("'"&amp;$B69&amp;"'!$R$6:$R$205"),MATCH($AR69&amp;"|"&amp;W$5,INDIRECT("'"&amp;$B69&amp;"'!$AF$6:$AF$205"),0))),"-"))</f>
        <v/>
      </c>
      <c r="X69" s="38">
        <f>IF(OR(AP69="",X$5="-"),"",IFERROR(IF(INDEX(INDIRECT("'"&amp;$B69&amp;"'!$T$6:$T$205"),MATCH($AR69&amp;"|"&amp;X$5,INDIRECT("'"&amp;$B69&amp;"'!$AF$6:$AF$205"),0))="","",INDEX(INDIRECT("'"&amp;$B69&amp;"'!$T$6:$T$205"),MATCH($AR69&amp;"|"&amp;X$5,INDIRECT("'"&amp;$B69&amp;"'!$AF$6:$AF$205"),0))),"-"))</f>
        <v/>
      </c>
      <c r="Y69" s="38">
        <f>IF(OR(AP69="",Y$5="-"),"",IFERROR(IF(INDEX(INDIRECT("'"&amp;$B69&amp;"'!$T$6:$T$205"),MATCH($AR69&amp;"|"&amp;Y$5,INDIRECT("'"&amp;$B69&amp;"'!$AF$6:$AF$205"),0))="","",INDEX(INDIRECT("'"&amp;$B69&amp;"'!$T$6:$T$205"),MATCH($AR69&amp;"|"&amp;Y$5,INDIRECT("'"&amp;$B69&amp;"'!$AF$6:$AF$205"),0))),"-"))</f>
        <v/>
      </c>
      <c r="Z69" s="38">
        <f>IF(OR(AP69="",Z$5="-"),"",IFERROR(IF(INDEX(INDIRECT("'"&amp;$B69&amp;"'!$T$6:$T$205"),MATCH($AR69&amp;"|"&amp;Z$5,INDIRECT("'"&amp;$B69&amp;"'!$AF$6:$AF$205"),0))="","",INDEX(INDIRECT("'"&amp;$B69&amp;"'!$T$6:$T$205"),MATCH($AR69&amp;"|"&amp;Z$5,INDIRECT("'"&amp;$B69&amp;"'!$AF$6:$AF$205"),0))),"-"))</f>
        <v/>
      </c>
      <c r="AA69" s="38">
        <f>IF(OR(AP69="",AA$5="-"),"",IFERROR(IF(INDEX(INDIRECT("'"&amp;$B69&amp;"'!$T$6:$T$205"),MATCH($AR69&amp;"|"&amp;AA$5,INDIRECT("'"&amp;$B69&amp;"'!$AF$6:$AF$205"),0))="","",INDEX(INDIRECT("'"&amp;$B69&amp;"'!$T$6:$T$205"),MATCH($AR69&amp;"|"&amp;AA$5,INDIRECT("'"&amp;$B69&amp;"'!$AF$6:$AF$205"),0))),"-"))</f>
        <v/>
      </c>
      <c r="AB69" s="38">
        <f>IF(OR(AP69="",AB$5="-"),"",IFERROR(IF(INDEX(INDIRECT("'"&amp;$B69&amp;"'!$T$6:$T$205"),MATCH($AR69&amp;"|"&amp;AB$5,INDIRECT("'"&amp;$B69&amp;"'!$AF$6:$AF$205"),0))="","",INDEX(INDIRECT("'"&amp;$B69&amp;"'!$T$6:$T$205"),MATCH($AR69&amp;"|"&amp;AB$5,INDIRECT("'"&amp;$B69&amp;"'!$AF$6:$AF$205"),0))),"-"))</f>
        <v/>
      </c>
      <c r="AC69" s="38">
        <f>IF(OR(AP69="",AC$5="-"),"",IFERROR(IF(INDEX(INDIRECT("'"&amp;$B69&amp;"'!$T$6:$T$205"),MATCH($AR69&amp;"|"&amp;AC$5,INDIRECT("'"&amp;$B69&amp;"'!$AF$6:$AF$205"),0))="","",INDEX(INDIRECT("'"&amp;$B69&amp;"'!$T$6:$T$205"),MATCH($AR69&amp;"|"&amp;AC$5,INDIRECT("'"&amp;$B69&amp;"'!$AF$6:$AF$205"),0))),"-"))</f>
        <v/>
      </c>
      <c r="AD69" s="38">
        <f>IF(OR(AP69="",AD$5="-"),"",IFERROR(IF(INDEX(INDIRECT("'"&amp;$B69&amp;"'!$T$6:$T$205"),MATCH($AR69&amp;"|"&amp;AD$5,INDIRECT("'"&amp;$B69&amp;"'!$AF$6:$AF$205"),0))="","",INDEX(INDIRECT("'"&amp;$B69&amp;"'!$T$6:$T$205"),MATCH($AR69&amp;"|"&amp;AD$5,INDIRECT("'"&amp;$B69&amp;"'!$AF$6:$AF$205"),0))),"-"))</f>
        <v/>
      </c>
      <c r="AE69" s="38">
        <f>IF(OR(AP69="",AE$5="-"),"",IFERROR(IF(INDEX(INDIRECT("'"&amp;$B69&amp;"'!$T$6:$T$205"),MATCH($AR69&amp;"|"&amp;AE$5,INDIRECT("'"&amp;$B69&amp;"'!$AF$6:$AF$205"),0))="","",INDEX(INDIRECT("'"&amp;$B69&amp;"'!$T$6:$T$205"),MATCH($AR69&amp;"|"&amp;AE$5,INDIRECT("'"&amp;$B69&amp;"'!$AF$6:$AF$205"),0))),"-"))</f>
        <v/>
      </c>
      <c r="AF69" s="35">
        <f>IF(AG69="","",INDEX($P$5:$W$5,MATCH(AG69,P69:W69,0)))</f>
        <v/>
      </c>
      <c r="AG69" s="37">
        <f>IF(COUNT(P69:W69)=0,"",MIN(P69:W69))</f>
        <v/>
      </c>
      <c r="AH69" s="39">
        <f>IF(AG69="","",AG69*F69)</f>
        <v/>
      </c>
      <c r="AI69" s="39">
        <f>IF(COUNT(P69:W69)&lt;2,"",(MAX(P69:W69)-MIN(P69:W69))*F69)</f>
        <v/>
      </c>
      <c r="AJ69" s="20" t="n"/>
      <c r="AP69">
        <f>IF(64&gt;MAX($AN$6:$AN$9),"",COUNTIF($AN$6:$AN$9,"&lt;"&amp;64)+1)</f>
        <v/>
      </c>
      <c r="AQ69">
        <f>IF(AP69="","",64-INDEX($AO$6:$AO$9,AP69))</f>
        <v/>
      </c>
      <c r="AR69">
        <f>IF(AP69="","",INDEX(INDIRECT("'"&amp;$B69&amp;"'!$AE$6:$AE$205"),MATCH(AQ69,INDIRECT("'"&amp;$B69&amp;"'!$AI$6:$AI$205"),0)))</f>
        <v/>
      </c>
    </row>
    <row r="70">
      <c r="A70" s="34">
        <f>IF(AP70="","",65)</f>
        <v/>
      </c>
      <c r="B70" s="35">
        <f>IF(AP70="","",INDEX($AL$6:$AL$9,AP70))</f>
        <v/>
      </c>
      <c r="C70" s="34">
        <f>IF(AP70="","",INDEX(INDIRECT("'"&amp;$B70&amp;"'!$B$6:$B$205"),MATCH($AR70,INDIRECT("'"&amp;$B70&amp;"'!$AE$6:$AE$205"),0)))</f>
        <v/>
      </c>
      <c r="D70" s="34">
        <f>IF(AP70="","",INDEX(INDIRECT("'"&amp;$B70&amp;"'!$D$6:$D$205"),MATCH($AR70,INDIRECT("'"&amp;$B70&amp;"'!$AE$6:$AE$205"),0)))</f>
        <v/>
      </c>
      <c r="E70" s="36">
        <f>IF(AP70="","",INDEX(INDIRECT("'"&amp;$B70&amp;"'!$F$6:$F$205"),MATCH($AR70,INDIRECT("'"&amp;$B70&amp;"'!$AE$6:$AE$205"),0)))</f>
        <v/>
      </c>
      <c r="F70" s="34">
        <f>IF(AP70="","",INDEX(INDIRECT("'"&amp;$B70&amp;"'!$K$6:$K$205"),MATCH($AR70,INDIRECT("'"&amp;$B70&amp;"'!$AE$6:$AE$205"),0)))</f>
        <v/>
      </c>
      <c r="G70" s="34">
        <f>IF(AP70="","",INDEX(INDIRECT("'"&amp;$B70&amp;"'!$L$6:$L$205"),MATCH($AR70,INDIRECT("'"&amp;$B70&amp;"'!$AE$6:$AE$205"),0)))</f>
        <v/>
      </c>
      <c r="H70" s="34">
        <f>IF(OR(AP70="",H$5="-"),"",IFERROR(IF(INDEX(INDIRECT("'"&amp;$B70&amp;"'!$N$6:$N$205"),MATCH($AR70&amp;"|"&amp;H$5,INDIRECT("'"&amp;$B70&amp;"'!$AF$6:$AF$205"),0))="","",INDEX(INDIRECT("'"&amp;$B70&amp;"'!$N$6:$N$205"),MATCH($AR70&amp;"|"&amp;H$5,INDIRECT("'"&amp;$B70&amp;"'!$AF$6:$AF$205"),0))),"-"))</f>
        <v/>
      </c>
      <c r="I70" s="34">
        <f>IF(OR(AP70="",I$5="-"),"",IFERROR(IF(INDEX(INDIRECT("'"&amp;$B70&amp;"'!$N$6:$N$205"),MATCH($AR70&amp;"|"&amp;I$5,INDIRECT("'"&amp;$B70&amp;"'!$AF$6:$AF$205"),0))="","",INDEX(INDIRECT("'"&amp;$B70&amp;"'!$N$6:$N$205"),MATCH($AR70&amp;"|"&amp;I$5,INDIRECT("'"&amp;$B70&amp;"'!$AF$6:$AF$205"),0))),"-"))</f>
        <v/>
      </c>
      <c r="J70" s="34">
        <f>IF(OR(AP70="",J$5="-"),"",IFERROR(IF(INDEX(INDIRECT("'"&amp;$B70&amp;"'!$N$6:$N$205"),MATCH($AR70&amp;"|"&amp;J$5,INDIRECT("'"&amp;$B70&amp;"'!$AF$6:$AF$205"),0))="","",INDEX(INDIRECT("'"&amp;$B70&amp;"'!$N$6:$N$205"),MATCH($AR70&amp;"|"&amp;J$5,INDIRECT("'"&amp;$B70&amp;"'!$AF$6:$AF$205"),0))),"-"))</f>
        <v/>
      </c>
      <c r="K70" s="34">
        <f>IF(OR(AP70="",K$5="-"),"",IFERROR(IF(INDEX(INDIRECT("'"&amp;$B70&amp;"'!$N$6:$N$205"),MATCH($AR70&amp;"|"&amp;K$5,INDIRECT("'"&amp;$B70&amp;"'!$AF$6:$AF$205"),0))="","",INDEX(INDIRECT("'"&amp;$B70&amp;"'!$N$6:$N$205"),MATCH($AR70&amp;"|"&amp;K$5,INDIRECT("'"&amp;$B70&amp;"'!$AF$6:$AF$205"),0))),"-"))</f>
        <v/>
      </c>
      <c r="L70" s="34">
        <f>IF(OR(AP70="",L$5="-"),"",IFERROR(IF(INDEX(INDIRECT("'"&amp;$B70&amp;"'!$N$6:$N$205"),MATCH($AR70&amp;"|"&amp;L$5,INDIRECT("'"&amp;$B70&amp;"'!$AF$6:$AF$205"),0))="","",INDEX(INDIRECT("'"&amp;$B70&amp;"'!$N$6:$N$205"),MATCH($AR70&amp;"|"&amp;L$5,INDIRECT("'"&amp;$B70&amp;"'!$AF$6:$AF$205"),0))),"-"))</f>
        <v/>
      </c>
      <c r="M70" s="34">
        <f>IF(OR(AP70="",M$5="-"),"",IFERROR(IF(INDEX(INDIRECT("'"&amp;$B70&amp;"'!$N$6:$N$205"),MATCH($AR70&amp;"|"&amp;M$5,INDIRECT("'"&amp;$B70&amp;"'!$AF$6:$AF$205"),0))="","",INDEX(INDIRECT("'"&amp;$B70&amp;"'!$N$6:$N$205"),MATCH($AR70&amp;"|"&amp;M$5,INDIRECT("'"&amp;$B70&amp;"'!$AF$6:$AF$205"),0))),"-"))</f>
        <v/>
      </c>
      <c r="N70" s="34">
        <f>IF(OR(AP70="",N$5="-"),"",IFERROR(IF(INDEX(INDIRECT("'"&amp;$B70&amp;"'!$N$6:$N$205"),MATCH($AR70&amp;"|"&amp;N$5,INDIRECT("'"&amp;$B70&amp;"'!$AF$6:$AF$205"),0))="","",INDEX(INDIRECT("'"&amp;$B70&amp;"'!$N$6:$N$205"),MATCH($AR70&amp;"|"&amp;N$5,INDIRECT("'"&amp;$B70&amp;"'!$AF$6:$AF$205"),0))),"-"))</f>
        <v/>
      </c>
      <c r="O70" s="34">
        <f>IF(OR(AP70="",O$5="-"),"",IFERROR(IF(INDEX(INDIRECT("'"&amp;$B70&amp;"'!$N$6:$N$205"),MATCH($AR70&amp;"|"&amp;O$5,INDIRECT("'"&amp;$B70&amp;"'!$AF$6:$AF$205"),0))="","",INDEX(INDIRECT("'"&amp;$B70&amp;"'!$N$6:$N$205"),MATCH($AR70&amp;"|"&amp;O$5,INDIRECT("'"&amp;$B70&amp;"'!$AF$6:$AF$205"),0))),"-"))</f>
        <v/>
      </c>
      <c r="P70" s="37">
        <f>IF(OR(AP70="",P$5="-"),"",IFERROR(IF(INDEX(INDIRECT("'"&amp;$B70&amp;"'!$R$6:$R$205"),MATCH($AR70&amp;"|"&amp;P$5,INDIRECT("'"&amp;$B70&amp;"'!$AF$6:$AF$205"),0))="","",INDEX(INDIRECT("'"&amp;$B70&amp;"'!$R$6:$R$205"),MATCH($AR70&amp;"|"&amp;P$5,INDIRECT("'"&amp;$B70&amp;"'!$AF$6:$AF$205"),0))),"-"))</f>
        <v/>
      </c>
      <c r="Q70" s="37">
        <f>IF(OR(AP70="",Q$5="-"),"",IFERROR(IF(INDEX(INDIRECT("'"&amp;$B70&amp;"'!$R$6:$R$205"),MATCH($AR70&amp;"|"&amp;Q$5,INDIRECT("'"&amp;$B70&amp;"'!$AF$6:$AF$205"),0))="","",INDEX(INDIRECT("'"&amp;$B70&amp;"'!$R$6:$R$205"),MATCH($AR70&amp;"|"&amp;Q$5,INDIRECT("'"&amp;$B70&amp;"'!$AF$6:$AF$205"),0))),"-"))</f>
        <v/>
      </c>
      <c r="R70" s="37">
        <f>IF(OR(AP70="",R$5="-"),"",IFERROR(IF(INDEX(INDIRECT("'"&amp;$B70&amp;"'!$R$6:$R$205"),MATCH($AR70&amp;"|"&amp;R$5,INDIRECT("'"&amp;$B70&amp;"'!$AF$6:$AF$205"),0))="","",INDEX(INDIRECT("'"&amp;$B70&amp;"'!$R$6:$R$205"),MATCH($AR70&amp;"|"&amp;R$5,INDIRECT("'"&amp;$B70&amp;"'!$AF$6:$AF$205"),0))),"-"))</f>
        <v/>
      </c>
      <c r="S70" s="37">
        <f>IF(OR(AP70="",S$5="-"),"",IFERROR(IF(INDEX(INDIRECT("'"&amp;$B70&amp;"'!$R$6:$R$205"),MATCH($AR70&amp;"|"&amp;S$5,INDIRECT("'"&amp;$B70&amp;"'!$AF$6:$AF$205"),0))="","",INDEX(INDIRECT("'"&amp;$B70&amp;"'!$R$6:$R$205"),MATCH($AR70&amp;"|"&amp;S$5,INDIRECT("'"&amp;$B70&amp;"'!$AF$6:$AF$205"),0))),"-"))</f>
        <v/>
      </c>
      <c r="T70" s="37">
        <f>IF(OR(AP70="",T$5="-"),"",IFERROR(IF(INDEX(INDIRECT("'"&amp;$B70&amp;"'!$R$6:$R$205"),MATCH($AR70&amp;"|"&amp;T$5,INDIRECT("'"&amp;$B70&amp;"'!$AF$6:$AF$205"),0))="","",INDEX(INDIRECT("'"&amp;$B70&amp;"'!$R$6:$R$205"),MATCH($AR70&amp;"|"&amp;T$5,INDIRECT("'"&amp;$B70&amp;"'!$AF$6:$AF$205"),0))),"-"))</f>
        <v/>
      </c>
      <c r="U70" s="37">
        <f>IF(OR(AP70="",U$5="-"),"",IFERROR(IF(INDEX(INDIRECT("'"&amp;$B70&amp;"'!$R$6:$R$205"),MATCH($AR70&amp;"|"&amp;U$5,INDIRECT("'"&amp;$B70&amp;"'!$AF$6:$AF$205"),0))="","",INDEX(INDIRECT("'"&amp;$B70&amp;"'!$R$6:$R$205"),MATCH($AR70&amp;"|"&amp;U$5,INDIRECT("'"&amp;$B70&amp;"'!$AF$6:$AF$205"),0))),"-"))</f>
        <v/>
      </c>
      <c r="V70" s="37">
        <f>IF(OR(AP70="",V$5="-"),"",IFERROR(IF(INDEX(INDIRECT("'"&amp;$B70&amp;"'!$R$6:$R$205"),MATCH($AR70&amp;"|"&amp;V$5,INDIRECT("'"&amp;$B70&amp;"'!$AF$6:$AF$205"),0))="","",INDEX(INDIRECT("'"&amp;$B70&amp;"'!$R$6:$R$205"),MATCH($AR70&amp;"|"&amp;V$5,INDIRECT("'"&amp;$B70&amp;"'!$AF$6:$AF$205"),0))),"-"))</f>
        <v/>
      </c>
      <c r="W70" s="37">
        <f>IF(OR(AP70="",W$5="-"),"",IFERROR(IF(INDEX(INDIRECT("'"&amp;$B70&amp;"'!$R$6:$R$205"),MATCH($AR70&amp;"|"&amp;W$5,INDIRECT("'"&amp;$B70&amp;"'!$AF$6:$AF$205"),0))="","",INDEX(INDIRECT("'"&amp;$B70&amp;"'!$R$6:$R$205"),MATCH($AR70&amp;"|"&amp;W$5,INDIRECT("'"&amp;$B70&amp;"'!$AF$6:$AF$205"),0))),"-"))</f>
        <v/>
      </c>
      <c r="X70" s="38">
        <f>IF(OR(AP70="",X$5="-"),"",IFERROR(IF(INDEX(INDIRECT("'"&amp;$B70&amp;"'!$T$6:$T$205"),MATCH($AR70&amp;"|"&amp;X$5,INDIRECT("'"&amp;$B70&amp;"'!$AF$6:$AF$205"),0))="","",INDEX(INDIRECT("'"&amp;$B70&amp;"'!$T$6:$T$205"),MATCH($AR70&amp;"|"&amp;X$5,INDIRECT("'"&amp;$B70&amp;"'!$AF$6:$AF$205"),0))),"-"))</f>
        <v/>
      </c>
      <c r="Y70" s="38">
        <f>IF(OR(AP70="",Y$5="-"),"",IFERROR(IF(INDEX(INDIRECT("'"&amp;$B70&amp;"'!$T$6:$T$205"),MATCH($AR70&amp;"|"&amp;Y$5,INDIRECT("'"&amp;$B70&amp;"'!$AF$6:$AF$205"),0))="","",INDEX(INDIRECT("'"&amp;$B70&amp;"'!$T$6:$T$205"),MATCH($AR70&amp;"|"&amp;Y$5,INDIRECT("'"&amp;$B70&amp;"'!$AF$6:$AF$205"),0))),"-"))</f>
        <v/>
      </c>
      <c r="Z70" s="38">
        <f>IF(OR(AP70="",Z$5="-"),"",IFERROR(IF(INDEX(INDIRECT("'"&amp;$B70&amp;"'!$T$6:$T$205"),MATCH($AR70&amp;"|"&amp;Z$5,INDIRECT("'"&amp;$B70&amp;"'!$AF$6:$AF$205"),0))="","",INDEX(INDIRECT("'"&amp;$B70&amp;"'!$T$6:$T$205"),MATCH($AR70&amp;"|"&amp;Z$5,INDIRECT("'"&amp;$B70&amp;"'!$AF$6:$AF$205"),0))),"-"))</f>
        <v/>
      </c>
      <c r="AA70" s="38">
        <f>IF(OR(AP70="",AA$5="-"),"",IFERROR(IF(INDEX(INDIRECT("'"&amp;$B70&amp;"'!$T$6:$T$205"),MATCH($AR70&amp;"|"&amp;AA$5,INDIRECT("'"&amp;$B70&amp;"'!$AF$6:$AF$205"),0))="","",INDEX(INDIRECT("'"&amp;$B70&amp;"'!$T$6:$T$205"),MATCH($AR70&amp;"|"&amp;AA$5,INDIRECT("'"&amp;$B70&amp;"'!$AF$6:$AF$205"),0))),"-"))</f>
        <v/>
      </c>
      <c r="AB70" s="38">
        <f>IF(OR(AP70="",AB$5="-"),"",IFERROR(IF(INDEX(INDIRECT("'"&amp;$B70&amp;"'!$T$6:$T$205"),MATCH($AR70&amp;"|"&amp;AB$5,INDIRECT("'"&amp;$B70&amp;"'!$AF$6:$AF$205"),0))="","",INDEX(INDIRECT("'"&amp;$B70&amp;"'!$T$6:$T$205"),MATCH($AR70&amp;"|"&amp;AB$5,INDIRECT("'"&amp;$B70&amp;"'!$AF$6:$AF$205"),0))),"-"))</f>
        <v/>
      </c>
      <c r="AC70" s="38">
        <f>IF(OR(AP70="",AC$5="-"),"",IFERROR(IF(INDEX(INDIRECT("'"&amp;$B70&amp;"'!$T$6:$T$205"),MATCH($AR70&amp;"|"&amp;AC$5,INDIRECT("'"&amp;$B70&amp;"'!$AF$6:$AF$205"),0))="","",INDEX(INDIRECT("'"&amp;$B70&amp;"'!$T$6:$T$205"),MATCH($AR70&amp;"|"&amp;AC$5,INDIRECT("'"&amp;$B70&amp;"'!$AF$6:$AF$205"),0))),"-"))</f>
        <v/>
      </c>
      <c r="AD70" s="38">
        <f>IF(OR(AP70="",AD$5="-"),"",IFERROR(IF(INDEX(INDIRECT("'"&amp;$B70&amp;"'!$T$6:$T$205"),MATCH($AR70&amp;"|"&amp;AD$5,INDIRECT("'"&amp;$B70&amp;"'!$AF$6:$AF$205"),0))="","",INDEX(INDIRECT("'"&amp;$B70&amp;"'!$T$6:$T$205"),MATCH($AR70&amp;"|"&amp;AD$5,INDIRECT("'"&amp;$B70&amp;"'!$AF$6:$AF$205"),0))),"-"))</f>
        <v/>
      </c>
      <c r="AE70" s="38">
        <f>IF(OR(AP70="",AE$5="-"),"",IFERROR(IF(INDEX(INDIRECT("'"&amp;$B70&amp;"'!$T$6:$T$205"),MATCH($AR70&amp;"|"&amp;AE$5,INDIRECT("'"&amp;$B70&amp;"'!$AF$6:$AF$205"),0))="","",INDEX(INDIRECT("'"&amp;$B70&amp;"'!$T$6:$T$205"),MATCH($AR70&amp;"|"&amp;AE$5,INDIRECT("'"&amp;$B70&amp;"'!$AF$6:$AF$205"),0))),"-"))</f>
        <v/>
      </c>
      <c r="AF70" s="35">
        <f>IF(AG70="","",INDEX($P$5:$W$5,MATCH(AG70,P70:W70,0)))</f>
        <v/>
      </c>
      <c r="AG70" s="37">
        <f>IF(COUNT(P70:W70)=0,"",MIN(P70:W70))</f>
        <v/>
      </c>
      <c r="AH70" s="39">
        <f>IF(AG70="","",AG70*F70)</f>
        <v/>
      </c>
      <c r="AI70" s="39">
        <f>IF(COUNT(P70:W70)&lt;2,"",(MAX(P70:W70)-MIN(P70:W70))*F70)</f>
        <v/>
      </c>
      <c r="AJ70" s="20" t="n"/>
      <c r="AP70">
        <f>IF(65&gt;MAX($AN$6:$AN$9),"",COUNTIF($AN$6:$AN$9,"&lt;"&amp;65)+1)</f>
        <v/>
      </c>
      <c r="AQ70">
        <f>IF(AP70="","",65-INDEX($AO$6:$AO$9,AP70))</f>
        <v/>
      </c>
      <c r="AR70">
        <f>IF(AP70="","",INDEX(INDIRECT("'"&amp;$B70&amp;"'!$AE$6:$AE$205"),MATCH(AQ70,INDIRECT("'"&amp;$B70&amp;"'!$AI$6:$AI$205"),0)))</f>
        <v/>
      </c>
    </row>
    <row r="71">
      <c r="A71" s="34">
        <f>IF(AP71="","",66)</f>
        <v/>
      </c>
      <c r="B71" s="35">
        <f>IF(AP71="","",INDEX($AL$6:$AL$9,AP71))</f>
        <v/>
      </c>
      <c r="C71" s="34">
        <f>IF(AP71="","",INDEX(INDIRECT("'"&amp;$B71&amp;"'!$B$6:$B$205"),MATCH($AR71,INDIRECT("'"&amp;$B71&amp;"'!$AE$6:$AE$205"),0)))</f>
        <v/>
      </c>
      <c r="D71" s="34">
        <f>IF(AP71="","",INDEX(INDIRECT("'"&amp;$B71&amp;"'!$D$6:$D$205"),MATCH($AR71,INDIRECT("'"&amp;$B71&amp;"'!$AE$6:$AE$205"),0)))</f>
        <v/>
      </c>
      <c r="E71" s="36">
        <f>IF(AP71="","",INDEX(INDIRECT("'"&amp;$B71&amp;"'!$F$6:$F$205"),MATCH($AR71,INDIRECT("'"&amp;$B71&amp;"'!$AE$6:$AE$205"),0)))</f>
        <v/>
      </c>
      <c r="F71" s="34">
        <f>IF(AP71="","",INDEX(INDIRECT("'"&amp;$B71&amp;"'!$K$6:$K$205"),MATCH($AR71,INDIRECT("'"&amp;$B71&amp;"'!$AE$6:$AE$205"),0)))</f>
        <v/>
      </c>
      <c r="G71" s="34">
        <f>IF(AP71="","",INDEX(INDIRECT("'"&amp;$B71&amp;"'!$L$6:$L$205"),MATCH($AR71,INDIRECT("'"&amp;$B71&amp;"'!$AE$6:$AE$205"),0)))</f>
        <v/>
      </c>
      <c r="H71" s="34">
        <f>IF(OR(AP71="",H$5="-"),"",IFERROR(IF(INDEX(INDIRECT("'"&amp;$B71&amp;"'!$N$6:$N$205"),MATCH($AR71&amp;"|"&amp;H$5,INDIRECT("'"&amp;$B71&amp;"'!$AF$6:$AF$205"),0))="","",INDEX(INDIRECT("'"&amp;$B71&amp;"'!$N$6:$N$205"),MATCH($AR71&amp;"|"&amp;H$5,INDIRECT("'"&amp;$B71&amp;"'!$AF$6:$AF$205"),0))),"-"))</f>
        <v/>
      </c>
      <c r="I71" s="34">
        <f>IF(OR(AP71="",I$5="-"),"",IFERROR(IF(INDEX(INDIRECT("'"&amp;$B71&amp;"'!$N$6:$N$205"),MATCH($AR71&amp;"|"&amp;I$5,INDIRECT("'"&amp;$B71&amp;"'!$AF$6:$AF$205"),0))="","",INDEX(INDIRECT("'"&amp;$B71&amp;"'!$N$6:$N$205"),MATCH($AR71&amp;"|"&amp;I$5,INDIRECT("'"&amp;$B71&amp;"'!$AF$6:$AF$205"),0))),"-"))</f>
        <v/>
      </c>
      <c r="J71" s="34">
        <f>IF(OR(AP71="",J$5="-"),"",IFERROR(IF(INDEX(INDIRECT("'"&amp;$B71&amp;"'!$N$6:$N$205"),MATCH($AR71&amp;"|"&amp;J$5,INDIRECT("'"&amp;$B71&amp;"'!$AF$6:$AF$205"),0))="","",INDEX(INDIRECT("'"&amp;$B71&amp;"'!$N$6:$N$205"),MATCH($AR71&amp;"|"&amp;J$5,INDIRECT("'"&amp;$B71&amp;"'!$AF$6:$AF$205"),0))),"-"))</f>
        <v/>
      </c>
      <c r="K71" s="34">
        <f>IF(OR(AP71="",K$5="-"),"",IFERROR(IF(INDEX(INDIRECT("'"&amp;$B71&amp;"'!$N$6:$N$205"),MATCH($AR71&amp;"|"&amp;K$5,INDIRECT("'"&amp;$B71&amp;"'!$AF$6:$AF$205"),0))="","",INDEX(INDIRECT("'"&amp;$B71&amp;"'!$N$6:$N$205"),MATCH($AR71&amp;"|"&amp;K$5,INDIRECT("'"&amp;$B71&amp;"'!$AF$6:$AF$205"),0))),"-"))</f>
        <v/>
      </c>
      <c r="L71" s="34">
        <f>IF(OR(AP71="",L$5="-"),"",IFERROR(IF(INDEX(INDIRECT("'"&amp;$B71&amp;"'!$N$6:$N$205"),MATCH($AR71&amp;"|"&amp;L$5,INDIRECT("'"&amp;$B71&amp;"'!$AF$6:$AF$205"),0))="","",INDEX(INDIRECT("'"&amp;$B71&amp;"'!$N$6:$N$205"),MATCH($AR71&amp;"|"&amp;L$5,INDIRECT("'"&amp;$B71&amp;"'!$AF$6:$AF$205"),0))),"-"))</f>
        <v/>
      </c>
      <c r="M71" s="34">
        <f>IF(OR(AP71="",M$5="-"),"",IFERROR(IF(INDEX(INDIRECT("'"&amp;$B71&amp;"'!$N$6:$N$205"),MATCH($AR71&amp;"|"&amp;M$5,INDIRECT("'"&amp;$B71&amp;"'!$AF$6:$AF$205"),0))="","",INDEX(INDIRECT("'"&amp;$B71&amp;"'!$N$6:$N$205"),MATCH($AR71&amp;"|"&amp;M$5,INDIRECT("'"&amp;$B71&amp;"'!$AF$6:$AF$205"),0))),"-"))</f>
        <v/>
      </c>
      <c r="N71" s="34">
        <f>IF(OR(AP71="",N$5="-"),"",IFERROR(IF(INDEX(INDIRECT("'"&amp;$B71&amp;"'!$N$6:$N$205"),MATCH($AR71&amp;"|"&amp;N$5,INDIRECT("'"&amp;$B71&amp;"'!$AF$6:$AF$205"),0))="","",INDEX(INDIRECT("'"&amp;$B71&amp;"'!$N$6:$N$205"),MATCH($AR71&amp;"|"&amp;N$5,INDIRECT("'"&amp;$B71&amp;"'!$AF$6:$AF$205"),0))),"-"))</f>
        <v/>
      </c>
      <c r="O71" s="34">
        <f>IF(OR(AP71="",O$5="-"),"",IFERROR(IF(INDEX(INDIRECT("'"&amp;$B71&amp;"'!$N$6:$N$205"),MATCH($AR71&amp;"|"&amp;O$5,INDIRECT("'"&amp;$B71&amp;"'!$AF$6:$AF$205"),0))="","",INDEX(INDIRECT("'"&amp;$B71&amp;"'!$N$6:$N$205"),MATCH($AR71&amp;"|"&amp;O$5,INDIRECT("'"&amp;$B71&amp;"'!$AF$6:$AF$205"),0))),"-"))</f>
        <v/>
      </c>
      <c r="P71" s="37">
        <f>IF(OR(AP71="",P$5="-"),"",IFERROR(IF(INDEX(INDIRECT("'"&amp;$B71&amp;"'!$R$6:$R$205"),MATCH($AR71&amp;"|"&amp;P$5,INDIRECT("'"&amp;$B71&amp;"'!$AF$6:$AF$205"),0))="","",INDEX(INDIRECT("'"&amp;$B71&amp;"'!$R$6:$R$205"),MATCH($AR71&amp;"|"&amp;P$5,INDIRECT("'"&amp;$B71&amp;"'!$AF$6:$AF$205"),0))),"-"))</f>
        <v/>
      </c>
      <c r="Q71" s="37">
        <f>IF(OR(AP71="",Q$5="-"),"",IFERROR(IF(INDEX(INDIRECT("'"&amp;$B71&amp;"'!$R$6:$R$205"),MATCH($AR71&amp;"|"&amp;Q$5,INDIRECT("'"&amp;$B71&amp;"'!$AF$6:$AF$205"),0))="","",INDEX(INDIRECT("'"&amp;$B71&amp;"'!$R$6:$R$205"),MATCH($AR71&amp;"|"&amp;Q$5,INDIRECT("'"&amp;$B71&amp;"'!$AF$6:$AF$205"),0))),"-"))</f>
        <v/>
      </c>
      <c r="R71" s="37">
        <f>IF(OR(AP71="",R$5="-"),"",IFERROR(IF(INDEX(INDIRECT("'"&amp;$B71&amp;"'!$R$6:$R$205"),MATCH($AR71&amp;"|"&amp;R$5,INDIRECT("'"&amp;$B71&amp;"'!$AF$6:$AF$205"),0))="","",INDEX(INDIRECT("'"&amp;$B71&amp;"'!$R$6:$R$205"),MATCH($AR71&amp;"|"&amp;R$5,INDIRECT("'"&amp;$B71&amp;"'!$AF$6:$AF$205"),0))),"-"))</f>
        <v/>
      </c>
      <c r="S71" s="37">
        <f>IF(OR(AP71="",S$5="-"),"",IFERROR(IF(INDEX(INDIRECT("'"&amp;$B71&amp;"'!$R$6:$R$205"),MATCH($AR71&amp;"|"&amp;S$5,INDIRECT("'"&amp;$B71&amp;"'!$AF$6:$AF$205"),0))="","",INDEX(INDIRECT("'"&amp;$B71&amp;"'!$R$6:$R$205"),MATCH($AR71&amp;"|"&amp;S$5,INDIRECT("'"&amp;$B71&amp;"'!$AF$6:$AF$205"),0))),"-"))</f>
        <v/>
      </c>
      <c r="T71" s="37">
        <f>IF(OR(AP71="",T$5="-"),"",IFERROR(IF(INDEX(INDIRECT("'"&amp;$B71&amp;"'!$R$6:$R$205"),MATCH($AR71&amp;"|"&amp;T$5,INDIRECT("'"&amp;$B71&amp;"'!$AF$6:$AF$205"),0))="","",INDEX(INDIRECT("'"&amp;$B71&amp;"'!$R$6:$R$205"),MATCH($AR71&amp;"|"&amp;T$5,INDIRECT("'"&amp;$B71&amp;"'!$AF$6:$AF$205"),0))),"-"))</f>
        <v/>
      </c>
      <c r="U71" s="37">
        <f>IF(OR(AP71="",U$5="-"),"",IFERROR(IF(INDEX(INDIRECT("'"&amp;$B71&amp;"'!$R$6:$R$205"),MATCH($AR71&amp;"|"&amp;U$5,INDIRECT("'"&amp;$B71&amp;"'!$AF$6:$AF$205"),0))="","",INDEX(INDIRECT("'"&amp;$B71&amp;"'!$R$6:$R$205"),MATCH($AR71&amp;"|"&amp;U$5,INDIRECT("'"&amp;$B71&amp;"'!$AF$6:$AF$205"),0))),"-"))</f>
        <v/>
      </c>
      <c r="V71" s="37">
        <f>IF(OR(AP71="",V$5="-"),"",IFERROR(IF(INDEX(INDIRECT("'"&amp;$B71&amp;"'!$R$6:$R$205"),MATCH($AR71&amp;"|"&amp;V$5,INDIRECT("'"&amp;$B71&amp;"'!$AF$6:$AF$205"),0))="","",INDEX(INDIRECT("'"&amp;$B71&amp;"'!$R$6:$R$205"),MATCH($AR71&amp;"|"&amp;V$5,INDIRECT("'"&amp;$B71&amp;"'!$AF$6:$AF$205"),0))),"-"))</f>
        <v/>
      </c>
      <c r="W71" s="37">
        <f>IF(OR(AP71="",W$5="-"),"",IFERROR(IF(INDEX(INDIRECT("'"&amp;$B71&amp;"'!$R$6:$R$205"),MATCH($AR71&amp;"|"&amp;W$5,INDIRECT("'"&amp;$B71&amp;"'!$AF$6:$AF$205"),0))="","",INDEX(INDIRECT("'"&amp;$B71&amp;"'!$R$6:$R$205"),MATCH($AR71&amp;"|"&amp;W$5,INDIRECT("'"&amp;$B71&amp;"'!$AF$6:$AF$205"),0))),"-"))</f>
        <v/>
      </c>
      <c r="X71" s="38">
        <f>IF(OR(AP71="",X$5="-"),"",IFERROR(IF(INDEX(INDIRECT("'"&amp;$B71&amp;"'!$T$6:$T$205"),MATCH($AR71&amp;"|"&amp;X$5,INDIRECT("'"&amp;$B71&amp;"'!$AF$6:$AF$205"),0))="","",INDEX(INDIRECT("'"&amp;$B71&amp;"'!$T$6:$T$205"),MATCH($AR71&amp;"|"&amp;X$5,INDIRECT("'"&amp;$B71&amp;"'!$AF$6:$AF$205"),0))),"-"))</f>
        <v/>
      </c>
      <c r="Y71" s="38">
        <f>IF(OR(AP71="",Y$5="-"),"",IFERROR(IF(INDEX(INDIRECT("'"&amp;$B71&amp;"'!$T$6:$T$205"),MATCH($AR71&amp;"|"&amp;Y$5,INDIRECT("'"&amp;$B71&amp;"'!$AF$6:$AF$205"),0))="","",INDEX(INDIRECT("'"&amp;$B71&amp;"'!$T$6:$T$205"),MATCH($AR71&amp;"|"&amp;Y$5,INDIRECT("'"&amp;$B71&amp;"'!$AF$6:$AF$205"),0))),"-"))</f>
        <v/>
      </c>
      <c r="Z71" s="38">
        <f>IF(OR(AP71="",Z$5="-"),"",IFERROR(IF(INDEX(INDIRECT("'"&amp;$B71&amp;"'!$T$6:$T$205"),MATCH($AR71&amp;"|"&amp;Z$5,INDIRECT("'"&amp;$B71&amp;"'!$AF$6:$AF$205"),0))="","",INDEX(INDIRECT("'"&amp;$B71&amp;"'!$T$6:$T$205"),MATCH($AR71&amp;"|"&amp;Z$5,INDIRECT("'"&amp;$B71&amp;"'!$AF$6:$AF$205"),0))),"-"))</f>
        <v/>
      </c>
      <c r="AA71" s="38">
        <f>IF(OR(AP71="",AA$5="-"),"",IFERROR(IF(INDEX(INDIRECT("'"&amp;$B71&amp;"'!$T$6:$T$205"),MATCH($AR71&amp;"|"&amp;AA$5,INDIRECT("'"&amp;$B71&amp;"'!$AF$6:$AF$205"),0))="","",INDEX(INDIRECT("'"&amp;$B71&amp;"'!$T$6:$T$205"),MATCH($AR71&amp;"|"&amp;AA$5,INDIRECT("'"&amp;$B71&amp;"'!$AF$6:$AF$205"),0))),"-"))</f>
        <v/>
      </c>
      <c r="AB71" s="38">
        <f>IF(OR(AP71="",AB$5="-"),"",IFERROR(IF(INDEX(INDIRECT("'"&amp;$B71&amp;"'!$T$6:$T$205"),MATCH($AR71&amp;"|"&amp;AB$5,INDIRECT("'"&amp;$B71&amp;"'!$AF$6:$AF$205"),0))="","",INDEX(INDIRECT("'"&amp;$B71&amp;"'!$T$6:$T$205"),MATCH($AR71&amp;"|"&amp;AB$5,INDIRECT("'"&amp;$B71&amp;"'!$AF$6:$AF$205"),0))),"-"))</f>
        <v/>
      </c>
      <c r="AC71" s="38">
        <f>IF(OR(AP71="",AC$5="-"),"",IFERROR(IF(INDEX(INDIRECT("'"&amp;$B71&amp;"'!$T$6:$T$205"),MATCH($AR71&amp;"|"&amp;AC$5,INDIRECT("'"&amp;$B71&amp;"'!$AF$6:$AF$205"),0))="","",INDEX(INDIRECT("'"&amp;$B71&amp;"'!$T$6:$T$205"),MATCH($AR71&amp;"|"&amp;AC$5,INDIRECT("'"&amp;$B71&amp;"'!$AF$6:$AF$205"),0))),"-"))</f>
        <v/>
      </c>
      <c r="AD71" s="38">
        <f>IF(OR(AP71="",AD$5="-"),"",IFERROR(IF(INDEX(INDIRECT("'"&amp;$B71&amp;"'!$T$6:$T$205"),MATCH($AR71&amp;"|"&amp;AD$5,INDIRECT("'"&amp;$B71&amp;"'!$AF$6:$AF$205"),0))="","",INDEX(INDIRECT("'"&amp;$B71&amp;"'!$T$6:$T$205"),MATCH($AR71&amp;"|"&amp;AD$5,INDIRECT("'"&amp;$B71&amp;"'!$AF$6:$AF$205"),0))),"-"))</f>
        <v/>
      </c>
      <c r="AE71" s="38">
        <f>IF(OR(AP71="",AE$5="-"),"",IFERROR(IF(INDEX(INDIRECT("'"&amp;$B71&amp;"'!$T$6:$T$205"),MATCH($AR71&amp;"|"&amp;AE$5,INDIRECT("'"&amp;$B71&amp;"'!$AF$6:$AF$205"),0))="","",INDEX(INDIRECT("'"&amp;$B71&amp;"'!$T$6:$T$205"),MATCH($AR71&amp;"|"&amp;AE$5,INDIRECT("'"&amp;$B71&amp;"'!$AF$6:$AF$205"),0))),"-"))</f>
        <v/>
      </c>
      <c r="AF71" s="35">
        <f>IF(AG71="","",INDEX($P$5:$W$5,MATCH(AG71,P71:W71,0)))</f>
        <v/>
      </c>
      <c r="AG71" s="37">
        <f>IF(COUNT(P71:W71)=0,"",MIN(P71:W71))</f>
        <v/>
      </c>
      <c r="AH71" s="39">
        <f>IF(AG71="","",AG71*F71)</f>
        <v/>
      </c>
      <c r="AI71" s="39">
        <f>IF(COUNT(P71:W71)&lt;2,"",(MAX(P71:W71)-MIN(P71:W71))*F71)</f>
        <v/>
      </c>
      <c r="AJ71" s="20" t="n"/>
      <c r="AP71">
        <f>IF(66&gt;MAX($AN$6:$AN$9),"",COUNTIF($AN$6:$AN$9,"&lt;"&amp;66)+1)</f>
        <v/>
      </c>
      <c r="AQ71">
        <f>IF(AP71="","",66-INDEX($AO$6:$AO$9,AP71))</f>
        <v/>
      </c>
      <c r="AR71">
        <f>IF(AP71="","",INDEX(INDIRECT("'"&amp;$B71&amp;"'!$AE$6:$AE$205"),MATCH(AQ71,INDIRECT("'"&amp;$B71&amp;"'!$AI$6:$AI$205"),0)))</f>
        <v/>
      </c>
    </row>
    <row r="72">
      <c r="A72" s="34">
        <f>IF(AP72="","",67)</f>
        <v/>
      </c>
      <c r="B72" s="35">
        <f>IF(AP72="","",INDEX($AL$6:$AL$9,AP72))</f>
        <v/>
      </c>
      <c r="C72" s="34">
        <f>IF(AP72="","",INDEX(INDIRECT("'"&amp;$B72&amp;"'!$B$6:$B$205"),MATCH($AR72,INDIRECT("'"&amp;$B72&amp;"'!$AE$6:$AE$205"),0)))</f>
        <v/>
      </c>
      <c r="D72" s="34">
        <f>IF(AP72="","",INDEX(INDIRECT("'"&amp;$B72&amp;"'!$D$6:$D$205"),MATCH($AR72,INDIRECT("'"&amp;$B72&amp;"'!$AE$6:$AE$205"),0)))</f>
        <v/>
      </c>
      <c r="E72" s="36">
        <f>IF(AP72="","",INDEX(INDIRECT("'"&amp;$B72&amp;"'!$F$6:$F$205"),MATCH($AR72,INDIRECT("'"&amp;$B72&amp;"'!$AE$6:$AE$205"),0)))</f>
        <v/>
      </c>
      <c r="F72" s="34">
        <f>IF(AP72="","",INDEX(INDIRECT("'"&amp;$B72&amp;"'!$K$6:$K$205"),MATCH($AR72,INDIRECT("'"&amp;$B72&amp;"'!$AE$6:$AE$205"),0)))</f>
        <v/>
      </c>
      <c r="G72" s="34">
        <f>IF(AP72="","",INDEX(INDIRECT("'"&amp;$B72&amp;"'!$L$6:$L$205"),MATCH($AR72,INDIRECT("'"&amp;$B72&amp;"'!$AE$6:$AE$205"),0)))</f>
        <v/>
      </c>
      <c r="H72" s="34">
        <f>IF(OR(AP72="",H$5="-"),"",IFERROR(IF(INDEX(INDIRECT("'"&amp;$B72&amp;"'!$N$6:$N$205"),MATCH($AR72&amp;"|"&amp;H$5,INDIRECT("'"&amp;$B72&amp;"'!$AF$6:$AF$205"),0))="","",INDEX(INDIRECT("'"&amp;$B72&amp;"'!$N$6:$N$205"),MATCH($AR72&amp;"|"&amp;H$5,INDIRECT("'"&amp;$B72&amp;"'!$AF$6:$AF$205"),0))),"-"))</f>
        <v/>
      </c>
      <c r="I72" s="34">
        <f>IF(OR(AP72="",I$5="-"),"",IFERROR(IF(INDEX(INDIRECT("'"&amp;$B72&amp;"'!$N$6:$N$205"),MATCH($AR72&amp;"|"&amp;I$5,INDIRECT("'"&amp;$B72&amp;"'!$AF$6:$AF$205"),0))="","",INDEX(INDIRECT("'"&amp;$B72&amp;"'!$N$6:$N$205"),MATCH($AR72&amp;"|"&amp;I$5,INDIRECT("'"&amp;$B72&amp;"'!$AF$6:$AF$205"),0))),"-"))</f>
        <v/>
      </c>
      <c r="J72" s="34">
        <f>IF(OR(AP72="",J$5="-"),"",IFERROR(IF(INDEX(INDIRECT("'"&amp;$B72&amp;"'!$N$6:$N$205"),MATCH($AR72&amp;"|"&amp;J$5,INDIRECT("'"&amp;$B72&amp;"'!$AF$6:$AF$205"),0))="","",INDEX(INDIRECT("'"&amp;$B72&amp;"'!$N$6:$N$205"),MATCH($AR72&amp;"|"&amp;J$5,INDIRECT("'"&amp;$B72&amp;"'!$AF$6:$AF$205"),0))),"-"))</f>
        <v/>
      </c>
      <c r="K72" s="34">
        <f>IF(OR(AP72="",K$5="-"),"",IFERROR(IF(INDEX(INDIRECT("'"&amp;$B72&amp;"'!$N$6:$N$205"),MATCH($AR72&amp;"|"&amp;K$5,INDIRECT("'"&amp;$B72&amp;"'!$AF$6:$AF$205"),0))="","",INDEX(INDIRECT("'"&amp;$B72&amp;"'!$N$6:$N$205"),MATCH($AR72&amp;"|"&amp;K$5,INDIRECT("'"&amp;$B72&amp;"'!$AF$6:$AF$205"),0))),"-"))</f>
        <v/>
      </c>
      <c r="L72" s="34">
        <f>IF(OR(AP72="",L$5="-"),"",IFERROR(IF(INDEX(INDIRECT("'"&amp;$B72&amp;"'!$N$6:$N$205"),MATCH($AR72&amp;"|"&amp;L$5,INDIRECT("'"&amp;$B72&amp;"'!$AF$6:$AF$205"),0))="","",INDEX(INDIRECT("'"&amp;$B72&amp;"'!$N$6:$N$205"),MATCH($AR72&amp;"|"&amp;L$5,INDIRECT("'"&amp;$B72&amp;"'!$AF$6:$AF$205"),0))),"-"))</f>
        <v/>
      </c>
      <c r="M72" s="34">
        <f>IF(OR(AP72="",M$5="-"),"",IFERROR(IF(INDEX(INDIRECT("'"&amp;$B72&amp;"'!$N$6:$N$205"),MATCH($AR72&amp;"|"&amp;M$5,INDIRECT("'"&amp;$B72&amp;"'!$AF$6:$AF$205"),0))="","",INDEX(INDIRECT("'"&amp;$B72&amp;"'!$N$6:$N$205"),MATCH($AR72&amp;"|"&amp;M$5,INDIRECT("'"&amp;$B72&amp;"'!$AF$6:$AF$205"),0))),"-"))</f>
        <v/>
      </c>
      <c r="N72" s="34">
        <f>IF(OR(AP72="",N$5="-"),"",IFERROR(IF(INDEX(INDIRECT("'"&amp;$B72&amp;"'!$N$6:$N$205"),MATCH($AR72&amp;"|"&amp;N$5,INDIRECT("'"&amp;$B72&amp;"'!$AF$6:$AF$205"),0))="","",INDEX(INDIRECT("'"&amp;$B72&amp;"'!$N$6:$N$205"),MATCH($AR72&amp;"|"&amp;N$5,INDIRECT("'"&amp;$B72&amp;"'!$AF$6:$AF$205"),0))),"-"))</f>
        <v/>
      </c>
      <c r="O72" s="34">
        <f>IF(OR(AP72="",O$5="-"),"",IFERROR(IF(INDEX(INDIRECT("'"&amp;$B72&amp;"'!$N$6:$N$205"),MATCH($AR72&amp;"|"&amp;O$5,INDIRECT("'"&amp;$B72&amp;"'!$AF$6:$AF$205"),0))="","",INDEX(INDIRECT("'"&amp;$B72&amp;"'!$N$6:$N$205"),MATCH($AR72&amp;"|"&amp;O$5,INDIRECT("'"&amp;$B72&amp;"'!$AF$6:$AF$205"),0))),"-"))</f>
        <v/>
      </c>
      <c r="P72" s="37">
        <f>IF(OR(AP72="",P$5="-"),"",IFERROR(IF(INDEX(INDIRECT("'"&amp;$B72&amp;"'!$R$6:$R$205"),MATCH($AR72&amp;"|"&amp;P$5,INDIRECT("'"&amp;$B72&amp;"'!$AF$6:$AF$205"),0))="","",INDEX(INDIRECT("'"&amp;$B72&amp;"'!$R$6:$R$205"),MATCH($AR72&amp;"|"&amp;P$5,INDIRECT("'"&amp;$B72&amp;"'!$AF$6:$AF$205"),0))),"-"))</f>
        <v/>
      </c>
      <c r="Q72" s="37">
        <f>IF(OR(AP72="",Q$5="-"),"",IFERROR(IF(INDEX(INDIRECT("'"&amp;$B72&amp;"'!$R$6:$R$205"),MATCH($AR72&amp;"|"&amp;Q$5,INDIRECT("'"&amp;$B72&amp;"'!$AF$6:$AF$205"),0))="","",INDEX(INDIRECT("'"&amp;$B72&amp;"'!$R$6:$R$205"),MATCH($AR72&amp;"|"&amp;Q$5,INDIRECT("'"&amp;$B72&amp;"'!$AF$6:$AF$205"),0))),"-"))</f>
        <v/>
      </c>
      <c r="R72" s="37">
        <f>IF(OR(AP72="",R$5="-"),"",IFERROR(IF(INDEX(INDIRECT("'"&amp;$B72&amp;"'!$R$6:$R$205"),MATCH($AR72&amp;"|"&amp;R$5,INDIRECT("'"&amp;$B72&amp;"'!$AF$6:$AF$205"),0))="","",INDEX(INDIRECT("'"&amp;$B72&amp;"'!$R$6:$R$205"),MATCH($AR72&amp;"|"&amp;R$5,INDIRECT("'"&amp;$B72&amp;"'!$AF$6:$AF$205"),0))),"-"))</f>
        <v/>
      </c>
      <c r="S72" s="37">
        <f>IF(OR(AP72="",S$5="-"),"",IFERROR(IF(INDEX(INDIRECT("'"&amp;$B72&amp;"'!$R$6:$R$205"),MATCH($AR72&amp;"|"&amp;S$5,INDIRECT("'"&amp;$B72&amp;"'!$AF$6:$AF$205"),0))="","",INDEX(INDIRECT("'"&amp;$B72&amp;"'!$R$6:$R$205"),MATCH($AR72&amp;"|"&amp;S$5,INDIRECT("'"&amp;$B72&amp;"'!$AF$6:$AF$205"),0))),"-"))</f>
        <v/>
      </c>
      <c r="T72" s="37">
        <f>IF(OR(AP72="",T$5="-"),"",IFERROR(IF(INDEX(INDIRECT("'"&amp;$B72&amp;"'!$R$6:$R$205"),MATCH($AR72&amp;"|"&amp;T$5,INDIRECT("'"&amp;$B72&amp;"'!$AF$6:$AF$205"),0))="","",INDEX(INDIRECT("'"&amp;$B72&amp;"'!$R$6:$R$205"),MATCH($AR72&amp;"|"&amp;T$5,INDIRECT("'"&amp;$B72&amp;"'!$AF$6:$AF$205"),0))),"-"))</f>
        <v/>
      </c>
      <c r="U72" s="37">
        <f>IF(OR(AP72="",U$5="-"),"",IFERROR(IF(INDEX(INDIRECT("'"&amp;$B72&amp;"'!$R$6:$R$205"),MATCH($AR72&amp;"|"&amp;U$5,INDIRECT("'"&amp;$B72&amp;"'!$AF$6:$AF$205"),0))="","",INDEX(INDIRECT("'"&amp;$B72&amp;"'!$R$6:$R$205"),MATCH($AR72&amp;"|"&amp;U$5,INDIRECT("'"&amp;$B72&amp;"'!$AF$6:$AF$205"),0))),"-"))</f>
        <v/>
      </c>
      <c r="V72" s="37">
        <f>IF(OR(AP72="",V$5="-"),"",IFERROR(IF(INDEX(INDIRECT("'"&amp;$B72&amp;"'!$R$6:$R$205"),MATCH($AR72&amp;"|"&amp;V$5,INDIRECT("'"&amp;$B72&amp;"'!$AF$6:$AF$205"),0))="","",INDEX(INDIRECT("'"&amp;$B72&amp;"'!$R$6:$R$205"),MATCH($AR72&amp;"|"&amp;V$5,INDIRECT("'"&amp;$B72&amp;"'!$AF$6:$AF$205"),0))),"-"))</f>
        <v/>
      </c>
      <c r="W72" s="37">
        <f>IF(OR(AP72="",W$5="-"),"",IFERROR(IF(INDEX(INDIRECT("'"&amp;$B72&amp;"'!$R$6:$R$205"),MATCH($AR72&amp;"|"&amp;W$5,INDIRECT("'"&amp;$B72&amp;"'!$AF$6:$AF$205"),0))="","",INDEX(INDIRECT("'"&amp;$B72&amp;"'!$R$6:$R$205"),MATCH($AR72&amp;"|"&amp;W$5,INDIRECT("'"&amp;$B72&amp;"'!$AF$6:$AF$205"),0))),"-"))</f>
        <v/>
      </c>
      <c r="X72" s="38">
        <f>IF(OR(AP72="",X$5="-"),"",IFERROR(IF(INDEX(INDIRECT("'"&amp;$B72&amp;"'!$T$6:$T$205"),MATCH($AR72&amp;"|"&amp;X$5,INDIRECT("'"&amp;$B72&amp;"'!$AF$6:$AF$205"),0))="","",INDEX(INDIRECT("'"&amp;$B72&amp;"'!$T$6:$T$205"),MATCH($AR72&amp;"|"&amp;X$5,INDIRECT("'"&amp;$B72&amp;"'!$AF$6:$AF$205"),0))),"-"))</f>
        <v/>
      </c>
      <c r="Y72" s="38">
        <f>IF(OR(AP72="",Y$5="-"),"",IFERROR(IF(INDEX(INDIRECT("'"&amp;$B72&amp;"'!$T$6:$T$205"),MATCH($AR72&amp;"|"&amp;Y$5,INDIRECT("'"&amp;$B72&amp;"'!$AF$6:$AF$205"),0))="","",INDEX(INDIRECT("'"&amp;$B72&amp;"'!$T$6:$T$205"),MATCH($AR72&amp;"|"&amp;Y$5,INDIRECT("'"&amp;$B72&amp;"'!$AF$6:$AF$205"),0))),"-"))</f>
        <v/>
      </c>
      <c r="Z72" s="38">
        <f>IF(OR(AP72="",Z$5="-"),"",IFERROR(IF(INDEX(INDIRECT("'"&amp;$B72&amp;"'!$T$6:$T$205"),MATCH($AR72&amp;"|"&amp;Z$5,INDIRECT("'"&amp;$B72&amp;"'!$AF$6:$AF$205"),0))="","",INDEX(INDIRECT("'"&amp;$B72&amp;"'!$T$6:$T$205"),MATCH($AR72&amp;"|"&amp;Z$5,INDIRECT("'"&amp;$B72&amp;"'!$AF$6:$AF$205"),0))),"-"))</f>
        <v/>
      </c>
      <c r="AA72" s="38">
        <f>IF(OR(AP72="",AA$5="-"),"",IFERROR(IF(INDEX(INDIRECT("'"&amp;$B72&amp;"'!$T$6:$T$205"),MATCH($AR72&amp;"|"&amp;AA$5,INDIRECT("'"&amp;$B72&amp;"'!$AF$6:$AF$205"),0))="","",INDEX(INDIRECT("'"&amp;$B72&amp;"'!$T$6:$T$205"),MATCH($AR72&amp;"|"&amp;AA$5,INDIRECT("'"&amp;$B72&amp;"'!$AF$6:$AF$205"),0))),"-"))</f>
        <v/>
      </c>
      <c r="AB72" s="38">
        <f>IF(OR(AP72="",AB$5="-"),"",IFERROR(IF(INDEX(INDIRECT("'"&amp;$B72&amp;"'!$T$6:$T$205"),MATCH($AR72&amp;"|"&amp;AB$5,INDIRECT("'"&amp;$B72&amp;"'!$AF$6:$AF$205"),0))="","",INDEX(INDIRECT("'"&amp;$B72&amp;"'!$T$6:$T$205"),MATCH($AR72&amp;"|"&amp;AB$5,INDIRECT("'"&amp;$B72&amp;"'!$AF$6:$AF$205"),0))),"-"))</f>
        <v/>
      </c>
      <c r="AC72" s="38">
        <f>IF(OR(AP72="",AC$5="-"),"",IFERROR(IF(INDEX(INDIRECT("'"&amp;$B72&amp;"'!$T$6:$T$205"),MATCH($AR72&amp;"|"&amp;AC$5,INDIRECT("'"&amp;$B72&amp;"'!$AF$6:$AF$205"),0))="","",INDEX(INDIRECT("'"&amp;$B72&amp;"'!$T$6:$T$205"),MATCH($AR72&amp;"|"&amp;AC$5,INDIRECT("'"&amp;$B72&amp;"'!$AF$6:$AF$205"),0))),"-"))</f>
        <v/>
      </c>
      <c r="AD72" s="38">
        <f>IF(OR(AP72="",AD$5="-"),"",IFERROR(IF(INDEX(INDIRECT("'"&amp;$B72&amp;"'!$T$6:$T$205"),MATCH($AR72&amp;"|"&amp;AD$5,INDIRECT("'"&amp;$B72&amp;"'!$AF$6:$AF$205"),0))="","",INDEX(INDIRECT("'"&amp;$B72&amp;"'!$T$6:$T$205"),MATCH($AR72&amp;"|"&amp;AD$5,INDIRECT("'"&amp;$B72&amp;"'!$AF$6:$AF$205"),0))),"-"))</f>
        <v/>
      </c>
      <c r="AE72" s="38">
        <f>IF(OR(AP72="",AE$5="-"),"",IFERROR(IF(INDEX(INDIRECT("'"&amp;$B72&amp;"'!$T$6:$T$205"),MATCH($AR72&amp;"|"&amp;AE$5,INDIRECT("'"&amp;$B72&amp;"'!$AF$6:$AF$205"),0))="","",INDEX(INDIRECT("'"&amp;$B72&amp;"'!$T$6:$T$205"),MATCH($AR72&amp;"|"&amp;AE$5,INDIRECT("'"&amp;$B72&amp;"'!$AF$6:$AF$205"),0))),"-"))</f>
        <v/>
      </c>
      <c r="AF72" s="35">
        <f>IF(AG72="","",INDEX($P$5:$W$5,MATCH(AG72,P72:W72,0)))</f>
        <v/>
      </c>
      <c r="AG72" s="37">
        <f>IF(COUNT(P72:W72)=0,"",MIN(P72:W72))</f>
        <v/>
      </c>
      <c r="AH72" s="39">
        <f>IF(AG72="","",AG72*F72)</f>
        <v/>
      </c>
      <c r="AI72" s="39">
        <f>IF(COUNT(P72:W72)&lt;2,"",(MAX(P72:W72)-MIN(P72:W72))*F72)</f>
        <v/>
      </c>
      <c r="AJ72" s="20" t="n"/>
      <c r="AP72">
        <f>IF(67&gt;MAX($AN$6:$AN$9),"",COUNTIF($AN$6:$AN$9,"&lt;"&amp;67)+1)</f>
        <v/>
      </c>
      <c r="AQ72">
        <f>IF(AP72="","",67-INDEX($AO$6:$AO$9,AP72))</f>
        <v/>
      </c>
      <c r="AR72">
        <f>IF(AP72="","",INDEX(INDIRECT("'"&amp;$B72&amp;"'!$AE$6:$AE$205"),MATCH(AQ72,INDIRECT("'"&amp;$B72&amp;"'!$AI$6:$AI$205"),0)))</f>
        <v/>
      </c>
    </row>
    <row r="73">
      <c r="A73" s="34">
        <f>IF(AP73="","",68)</f>
        <v/>
      </c>
      <c r="B73" s="35">
        <f>IF(AP73="","",INDEX($AL$6:$AL$9,AP73))</f>
        <v/>
      </c>
      <c r="C73" s="34">
        <f>IF(AP73="","",INDEX(INDIRECT("'"&amp;$B73&amp;"'!$B$6:$B$205"),MATCH($AR73,INDIRECT("'"&amp;$B73&amp;"'!$AE$6:$AE$205"),0)))</f>
        <v/>
      </c>
      <c r="D73" s="34">
        <f>IF(AP73="","",INDEX(INDIRECT("'"&amp;$B73&amp;"'!$D$6:$D$205"),MATCH($AR73,INDIRECT("'"&amp;$B73&amp;"'!$AE$6:$AE$205"),0)))</f>
        <v/>
      </c>
      <c r="E73" s="36">
        <f>IF(AP73="","",INDEX(INDIRECT("'"&amp;$B73&amp;"'!$F$6:$F$205"),MATCH($AR73,INDIRECT("'"&amp;$B73&amp;"'!$AE$6:$AE$205"),0)))</f>
        <v/>
      </c>
      <c r="F73" s="34">
        <f>IF(AP73="","",INDEX(INDIRECT("'"&amp;$B73&amp;"'!$K$6:$K$205"),MATCH($AR73,INDIRECT("'"&amp;$B73&amp;"'!$AE$6:$AE$205"),0)))</f>
        <v/>
      </c>
      <c r="G73" s="34">
        <f>IF(AP73="","",INDEX(INDIRECT("'"&amp;$B73&amp;"'!$L$6:$L$205"),MATCH($AR73,INDIRECT("'"&amp;$B73&amp;"'!$AE$6:$AE$205"),0)))</f>
        <v/>
      </c>
      <c r="H73" s="34">
        <f>IF(OR(AP73="",H$5="-"),"",IFERROR(IF(INDEX(INDIRECT("'"&amp;$B73&amp;"'!$N$6:$N$205"),MATCH($AR73&amp;"|"&amp;H$5,INDIRECT("'"&amp;$B73&amp;"'!$AF$6:$AF$205"),0))="","",INDEX(INDIRECT("'"&amp;$B73&amp;"'!$N$6:$N$205"),MATCH($AR73&amp;"|"&amp;H$5,INDIRECT("'"&amp;$B73&amp;"'!$AF$6:$AF$205"),0))),"-"))</f>
        <v/>
      </c>
      <c r="I73" s="34">
        <f>IF(OR(AP73="",I$5="-"),"",IFERROR(IF(INDEX(INDIRECT("'"&amp;$B73&amp;"'!$N$6:$N$205"),MATCH($AR73&amp;"|"&amp;I$5,INDIRECT("'"&amp;$B73&amp;"'!$AF$6:$AF$205"),0))="","",INDEX(INDIRECT("'"&amp;$B73&amp;"'!$N$6:$N$205"),MATCH($AR73&amp;"|"&amp;I$5,INDIRECT("'"&amp;$B73&amp;"'!$AF$6:$AF$205"),0))),"-"))</f>
        <v/>
      </c>
      <c r="J73" s="34">
        <f>IF(OR(AP73="",J$5="-"),"",IFERROR(IF(INDEX(INDIRECT("'"&amp;$B73&amp;"'!$N$6:$N$205"),MATCH($AR73&amp;"|"&amp;J$5,INDIRECT("'"&amp;$B73&amp;"'!$AF$6:$AF$205"),0))="","",INDEX(INDIRECT("'"&amp;$B73&amp;"'!$N$6:$N$205"),MATCH($AR73&amp;"|"&amp;J$5,INDIRECT("'"&amp;$B73&amp;"'!$AF$6:$AF$205"),0))),"-"))</f>
        <v/>
      </c>
      <c r="K73" s="34">
        <f>IF(OR(AP73="",K$5="-"),"",IFERROR(IF(INDEX(INDIRECT("'"&amp;$B73&amp;"'!$N$6:$N$205"),MATCH($AR73&amp;"|"&amp;K$5,INDIRECT("'"&amp;$B73&amp;"'!$AF$6:$AF$205"),0))="","",INDEX(INDIRECT("'"&amp;$B73&amp;"'!$N$6:$N$205"),MATCH($AR73&amp;"|"&amp;K$5,INDIRECT("'"&amp;$B73&amp;"'!$AF$6:$AF$205"),0))),"-"))</f>
        <v/>
      </c>
      <c r="L73" s="34">
        <f>IF(OR(AP73="",L$5="-"),"",IFERROR(IF(INDEX(INDIRECT("'"&amp;$B73&amp;"'!$N$6:$N$205"),MATCH($AR73&amp;"|"&amp;L$5,INDIRECT("'"&amp;$B73&amp;"'!$AF$6:$AF$205"),0))="","",INDEX(INDIRECT("'"&amp;$B73&amp;"'!$N$6:$N$205"),MATCH($AR73&amp;"|"&amp;L$5,INDIRECT("'"&amp;$B73&amp;"'!$AF$6:$AF$205"),0))),"-"))</f>
        <v/>
      </c>
      <c r="M73" s="34">
        <f>IF(OR(AP73="",M$5="-"),"",IFERROR(IF(INDEX(INDIRECT("'"&amp;$B73&amp;"'!$N$6:$N$205"),MATCH($AR73&amp;"|"&amp;M$5,INDIRECT("'"&amp;$B73&amp;"'!$AF$6:$AF$205"),0))="","",INDEX(INDIRECT("'"&amp;$B73&amp;"'!$N$6:$N$205"),MATCH($AR73&amp;"|"&amp;M$5,INDIRECT("'"&amp;$B73&amp;"'!$AF$6:$AF$205"),0))),"-"))</f>
        <v/>
      </c>
      <c r="N73" s="34">
        <f>IF(OR(AP73="",N$5="-"),"",IFERROR(IF(INDEX(INDIRECT("'"&amp;$B73&amp;"'!$N$6:$N$205"),MATCH($AR73&amp;"|"&amp;N$5,INDIRECT("'"&amp;$B73&amp;"'!$AF$6:$AF$205"),0))="","",INDEX(INDIRECT("'"&amp;$B73&amp;"'!$N$6:$N$205"),MATCH($AR73&amp;"|"&amp;N$5,INDIRECT("'"&amp;$B73&amp;"'!$AF$6:$AF$205"),0))),"-"))</f>
        <v/>
      </c>
      <c r="O73" s="34">
        <f>IF(OR(AP73="",O$5="-"),"",IFERROR(IF(INDEX(INDIRECT("'"&amp;$B73&amp;"'!$N$6:$N$205"),MATCH($AR73&amp;"|"&amp;O$5,INDIRECT("'"&amp;$B73&amp;"'!$AF$6:$AF$205"),0))="","",INDEX(INDIRECT("'"&amp;$B73&amp;"'!$N$6:$N$205"),MATCH($AR73&amp;"|"&amp;O$5,INDIRECT("'"&amp;$B73&amp;"'!$AF$6:$AF$205"),0))),"-"))</f>
        <v/>
      </c>
      <c r="P73" s="37">
        <f>IF(OR(AP73="",P$5="-"),"",IFERROR(IF(INDEX(INDIRECT("'"&amp;$B73&amp;"'!$R$6:$R$205"),MATCH($AR73&amp;"|"&amp;P$5,INDIRECT("'"&amp;$B73&amp;"'!$AF$6:$AF$205"),0))="","",INDEX(INDIRECT("'"&amp;$B73&amp;"'!$R$6:$R$205"),MATCH($AR73&amp;"|"&amp;P$5,INDIRECT("'"&amp;$B73&amp;"'!$AF$6:$AF$205"),0))),"-"))</f>
        <v/>
      </c>
      <c r="Q73" s="37">
        <f>IF(OR(AP73="",Q$5="-"),"",IFERROR(IF(INDEX(INDIRECT("'"&amp;$B73&amp;"'!$R$6:$R$205"),MATCH($AR73&amp;"|"&amp;Q$5,INDIRECT("'"&amp;$B73&amp;"'!$AF$6:$AF$205"),0))="","",INDEX(INDIRECT("'"&amp;$B73&amp;"'!$R$6:$R$205"),MATCH($AR73&amp;"|"&amp;Q$5,INDIRECT("'"&amp;$B73&amp;"'!$AF$6:$AF$205"),0))),"-"))</f>
        <v/>
      </c>
      <c r="R73" s="37">
        <f>IF(OR(AP73="",R$5="-"),"",IFERROR(IF(INDEX(INDIRECT("'"&amp;$B73&amp;"'!$R$6:$R$205"),MATCH($AR73&amp;"|"&amp;R$5,INDIRECT("'"&amp;$B73&amp;"'!$AF$6:$AF$205"),0))="","",INDEX(INDIRECT("'"&amp;$B73&amp;"'!$R$6:$R$205"),MATCH($AR73&amp;"|"&amp;R$5,INDIRECT("'"&amp;$B73&amp;"'!$AF$6:$AF$205"),0))),"-"))</f>
        <v/>
      </c>
      <c r="S73" s="37">
        <f>IF(OR(AP73="",S$5="-"),"",IFERROR(IF(INDEX(INDIRECT("'"&amp;$B73&amp;"'!$R$6:$R$205"),MATCH($AR73&amp;"|"&amp;S$5,INDIRECT("'"&amp;$B73&amp;"'!$AF$6:$AF$205"),0))="","",INDEX(INDIRECT("'"&amp;$B73&amp;"'!$R$6:$R$205"),MATCH($AR73&amp;"|"&amp;S$5,INDIRECT("'"&amp;$B73&amp;"'!$AF$6:$AF$205"),0))),"-"))</f>
        <v/>
      </c>
      <c r="T73" s="37">
        <f>IF(OR(AP73="",T$5="-"),"",IFERROR(IF(INDEX(INDIRECT("'"&amp;$B73&amp;"'!$R$6:$R$205"),MATCH($AR73&amp;"|"&amp;T$5,INDIRECT("'"&amp;$B73&amp;"'!$AF$6:$AF$205"),0))="","",INDEX(INDIRECT("'"&amp;$B73&amp;"'!$R$6:$R$205"),MATCH($AR73&amp;"|"&amp;T$5,INDIRECT("'"&amp;$B73&amp;"'!$AF$6:$AF$205"),0))),"-"))</f>
        <v/>
      </c>
      <c r="U73" s="37">
        <f>IF(OR(AP73="",U$5="-"),"",IFERROR(IF(INDEX(INDIRECT("'"&amp;$B73&amp;"'!$R$6:$R$205"),MATCH($AR73&amp;"|"&amp;U$5,INDIRECT("'"&amp;$B73&amp;"'!$AF$6:$AF$205"),0))="","",INDEX(INDIRECT("'"&amp;$B73&amp;"'!$R$6:$R$205"),MATCH($AR73&amp;"|"&amp;U$5,INDIRECT("'"&amp;$B73&amp;"'!$AF$6:$AF$205"),0))),"-"))</f>
        <v/>
      </c>
      <c r="V73" s="37">
        <f>IF(OR(AP73="",V$5="-"),"",IFERROR(IF(INDEX(INDIRECT("'"&amp;$B73&amp;"'!$R$6:$R$205"),MATCH($AR73&amp;"|"&amp;V$5,INDIRECT("'"&amp;$B73&amp;"'!$AF$6:$AF$205"),0))="","",INDEX(INDIRECT("'"&amp;$B73&amp;"'!$R$6:$R$205"),MATCH($AR73&amp;"|"&amp;V$5,INDIRECT("'"&amp;$B73&amp;"'!$AF$6:$AF$205"),0))),"-"))</f>
        <v/>
      </c>
      <c r="W73" s="37">
        <f>IF(OR(AP73="",W$5="-"),"",IFERROR(IF(INDEX(INDIRECT("'"&amp;$B73&amp;"'!$R$6:$R$205"),MATCH($AR73&amp;"|"&amp;W$5,INDIRECT("'"&amp;$B73&amp;"'!$AF$6:$AF$205"),0))="","",INDEX(INDIRECT("'"&amp;$B73&amp;"'!$R$6:$R$205"),MATCH($AR73&amp;"|"&amp;W$5,INDIRECT("'"&amp;$B73&amp;"'!$AF$6:$AF$205"),0))),"-"))</f>
        <v/>
      </c>
      <c r="X73" s="38">
        <f>IF(OR(AP73="",X$5="-"),"",IFERROR(IF(INDEX(INDIRECT("'"&amp;$B73&amp;"'!$T$6:$T$205"),MATCH($AR73&amp;"|"&amp;X$5,INDIRECT("'"&amp;$B73&amp;"'!$AF$6:$AF$205"),0))="","",INDEX(INDIRECT("'"&amp;$B73&amp;"'!$T$6:$T$205"),MATCH($AR73&amp;"|"&amp;X$5,INDIRECT("'"&amp;$B73&amp;"'!$AF$6:$AF$205"),0))),"-"))</f>
        <v/>
      </c>
      <c r="Y73" s="38">
        <f>IF(OR(AP73="",Y$5="-"),"",IFERROR(IF(INDEX(INDIRECT("'"&amp;$B73&amp;"'!$T$6:$T$205"),MATCH($AR73&amp;"|"&amp;Y$5,INDIRECT("'"&amp;$B73&amp;"'!$AF$6:$AF$205"),0))="","",INDEX(INDIRECT("'"&amp;$B73&amp;"'!$T$6:$T$205"),MATCH($AR73&amp;"|"&amp;Y$5,INDIRECT("'"&amp;$B73&amp;"'!$AF$6:$AF$205"),0))),"-"))</f>
        <v/>
      </c>
      <c r="Z73" s="38">
        <f>IF(OR(AP73="",Z$5="-"),"",IFERROR(IF(INDEX(INDIRECT("'"&amp;$B73&amp;"'!$T$6:$T$205"),MATCH($AR73&amp;"|"&amp;Z$5,INDIRECT("'"&amp;$B73&amp;"'!$AF$6:$AF$205"),0))="","",INDEX(INDIRECT("'"&amp;$B73&amp;"'!$T$6:$T$205"),MATCH($AR73&amp;"|"&amp;Z$5,INDIRECT("'"&amp;$B73&amp;"'!$AF$6:$AF$205"),0))),"-"))</f>
        <v/>
      </c>
      <c r="AA73" s="38">
        <f>IF(OR(AP73="",AA$5="-"),"",IFERROR(IF(INDEX(INDIRECT("'"&amp;$B73&amp;"'!$T$6:$T$205"),MATCH($AR73&amp;"|"&amp;AA$5,INDIRECT("'"&amp;$B73&amp;"'!$AF$6:$AF$205"),0))="","",INDEX(INDIRECT("'"&amp;$B73&amp;"'!$T$6:$T$205"),MATCH($AR73&amp;"|"&amp;AA$5,INDIRECT("'"&amp;$B73&amp;"'!$AF$6:$AF$205"),0))),"-"))</f>
        <v/>
      </c>
      <c r="AB73" s="38">
        <f>IF(OR(AP73="",AB$5="-"),"",IFERROR(IF(INDEX(INDIRECT("'"&amp;$B73&amp;"'!$T$6:$T$205"),MATCH($AR73&amp;"|"&amp;AB$5,INDIRECT("'"&amp;$B73&amp;"'!$AF$6:$AF$205"),0))="","",INDEX(INDIRECT("'"&amp;$B73&amp;"'!$T$6:$T$205"),MATCH($AR73&amp;"|"&amp;AB$5,INDIRECT("'"&amp;$B73&amp;"'!$AF$6:$AF$205"),0))),"-"))</f>
        <v/>
      </c>
      <c r="AC73" s="38">
        <f>IF(OR(AP73="",AC$5="-"),"",IFERROR(IF(INDEX(INDIRECT("'"&amp;$B73&amp;"'!$T$6:$T$205"),MATCH($AR73&amp;"|"&amp;AC$5,INDIRECT("'"&amp;$B73&amp;"'!$AF$6:$AF$205"),0))="","",INDEX(INDIRECT("'"&amp;$B73&amp;"'!$T$6:$T$205"),MATCH($AR73&amp;"|"&amp;AC$5,INDIRECT("'"&amp;$B73&amp;"'!$AF$6:$AF$205"),0))),"-"))</f>
        <v/>
      </c>
      <c r="AD73" s="38">
        <f>IF(OR(AP73="",AD$5="-"),"",IFERROR(IF(INDEX(INDIRECT("'"&amp;$B73&amp;"'!$T$6:$T$205"),MATCH($AR73&amp;"|"&amp;AD$5,INDIRECT("'"&amp;$B73&amp;"'!$AF$6:$AF$205"),0))="","",INDEX(INDIRECT("'"&amp;$B73&amp;"'!$T$6:$T$205"),MATCH($AR73&amp;"|"&amp;AD$5,INDIRECT("'"&amp;$B73&amp;"'!$AF$6:$AF$205"),0))),"-"))</f>
        <v/>
      </c>
      <c r="AE73" s="38">
        <f>IF(OR(AP73="",AE$5="-"),"",IFERROR(IF(INDEX(INDIRECT("'"&amp;$B73&amp;"'!$T$6:$T$205"),MATCH($AR73&amp;"|"&amp;AE$5,INDIRECT("'"&amp;$B73&amp;"'!$AF$6:$AF$205"),0))="","",INDEX(INDIRECT("'"&amp;$B73&amp;"'!$T$6:$T$205"),MATCH($AR73&amp;"|"&amp;AE$5,INDIRECT("'"&amp;$B73&amp;"'!$AF$6:$AF$205"),0))),"-"))</f>
        <v/>
      </c>
      <c r="AF73" s="35">
        <f>IF(AG73="","",INDEX($P$5:$W$5,MATCH(AG73,P73:W73,0)))</f>
        <v/>
      </c>
      <c r="AG73" s="37">
        <f>IF(COUNT(P73:W73)=0,"",MIN(P73:W73))</f>
        <v/>
      </c>
      <c r="AH73" s="39">
        <f>IF(AG73="","",AG73*F73)</f>
        <v/>
      </c>
      <c r="AI73" s="39">
        <f>IF(COUNT(P73:W73)&lt;2,"",(MAX(P73:W73)-MIN(P73:W73))*F73)</f>
        <v/>
      </c>
      <c r="AJ73" s="20" t="n"/>
      <c r="AP73">
        <f>IF(68&gt;MAX($AN$6:$AN$9),"",COUNTIF($AN$6:$AN$9,"&lt;"&amp;68)+1)</f>
        <v/>
      </c>
      <c r="AQ73">
        <f>IF(AP73="","",68-INDEX($AO$6:$AO$9,AP73))</f>
        <v/>
      </c>
      <c r="AR73">
        <f>IF(AP73="","",INDEX(INDIRECT("'"&amp;$B73&amp;"'!$AE$6:$AE$205"),MATCH(AQ73,INDIRECT("'"&amp;$B73&amp;"'!$AI$6:$AI$205"),0)))</f>
        <v/>
      </c>
    </row>
    <row r="74">
      <c r="A74" s="34">
        <f>IF(AP74="","",69)</f>
        <v/>
      </c>
      <c r="B74" s="35">
        <f>IF(AP74="","",INDEX($AL$6:$AL$9,AP74))</f>
        <v/>
      </c>
      <c r="C74" s="34">
        <f>IF(AP74="","",INDEX(INDIRECT("'"&amp;$B74&amp;"'!$B$6:$B$205"),MATCH($AR74,INDIRECT("'"&amp;$B74&amp;"'!$AE$6:$AE$205"),0)))</f>
        <v/>
      </c>
      <c r="D74" s="34">
        <f>IF(AP74="","",INDEX(INDIRECT("'"&amp;$B74&amp;"'!$D$6:$D$205"),MATCH($AR74,INDIRECT("'"&amp;$B74&amp;"'!$AE$6:$AE$205"),0)))</f>
        <v/>
      </c>
      <c r="E74" s="36">
        <f>IF(AP74="","",INDEX(INDIRECT("'"&amp;$B74&amp;"'!$F$6:$F$205"),MATCH($AR74,INDIRECT("'"&amp;$B74&amp;"'!$AE$6:$AE$205"),0)))</f>
        <v/>
      </c>
      <c r="F74" s="34">
        <f>IF(AP74="","",INDEX(INDIRECT("'"&amp;$B74&amp;"'!$K$6:$K$205"),MATCH($AR74,INDIRECT("'"&amp;$B74&amp;"'!$AE$6:$AE$205"),0)))</f>
        <v/>
      </c>
      <c r="G74" s="34">
        <f>IF(AP74="","",INDEX(INDIRECT("'"&amp;$B74&amp;"'!$L$6:$L$205"),MATCH($AR74,INDIRECT("'"&amp;$B74&amp;"'!$AE$6:$AE$205"),0)))</f>
        <v/>
      </c>
      <c r="H74" s="34">
        <f>IF(OR(AP74="",H$5="-"),"",IFERROR(IF(INDEX(INDIRECT("'"&amp;$B74&amp;"'!$N$6:$N$205"),MATCH($AR74&amp;"|"&amp;H$5,INDIRECT("'"&amp;$B74&amp;"'!$AF$6:$AF$205"),0))="","",INDEX(INDIRECT("'"&amp;$B74&amp;"'!$N$6:$N$205"),MATCH($AR74&amp;"|"&amp;H$5,INDIRECT("'"&amp;$B74&amp;"'!$AF$6:$AF$205"),0))),"-"))</f>
        <v/>
      </c>
      <c r="I74" s="34">
        <f>IF(OR(AP74="",I$5="-"),"",IFERROR(IF(INDEX(INDIRECT("'"&amp;$B74&amp;"'!$N$6:$N$205"),MATCH($AR74&amp;"|"&amp;I$5,INDIRECT("'"&amp;$B74&amp;"'!$AF$6:$AF$205"),0))="","",INDEX(INDIRECT("'"&amp;$B74&amp;"'!$N$6:$N$205"),MATCH($AR74&amp;"|"&amp;I$5,INDIRECT("'"&amp;$B74&amp;"'!$AF$6:$AF$205"),0))),"-"))</f>
        <v/>
      </c>
      <c r="J74" s="34">
        <f>IF(OR(AP74="",J$5="-"),"",IFERROR(IF(INDEX(INDIRECT("'"&amp;$B74&amp;"'!$N$6:$N$205"),MATCH($AR74&amp;"|"&amp;J$5,INDIRECT("'"&amp;$B74&amp;"'!$AF$6:$AF$205"),0))="","",INDEX(INDIRECT("'"&amp;$B74&amp;"'!$N$6:$N$205"),MATCH($AR74&amp;"|"&amp;J$5,INDIRECT("'"&amp;$B74&amp;"'!$AF$6:$AF$205"),0))),"-"))</f>
        <v/>
      </c>
      <c r="K74" s="34">
        <f>IF(OR(AP74="",K$5="-"),"",IFERROR(IF(INDEX(INDIRECT("'"&amp;$B74&amp;"'!$N$6:$N$205"),MATCH($AR74&amp;"|"&amp;K$5,INDIRECT("'"&amp;$B74&amp;"'!$AF$6:$AF$205"),0))="","",INDEX(INDIRECT("'"&amp;$B74&amp;"'!$N$6:$N$205"),MATCH($AR74&amp;"|"&amp;K$5,INDIRECT("'"&amp;$B74&amp;"'!$AF$6:$AF$205"),0))),"-"))</f>
        <v/>
      </c>
      <c r="L74" s="34">
        <f>IF(OR(AP74="",L$5="-"),"",IFERROR(IF(INDEX(INDIRECT("'"&amp;$B74&amp;"'!$N$6:$N$205"),MATCH($AR74&amp;"|"&amp;L$5,INDIRECT("'"&amp;$B74&amp;"'!$AF$6:$AF$205"),0))="","",INDEX(INDIRECT("'"&amp;$B74&amp;"'!$N$6:$N$205"),MATCH($AR74&amp;"|"&amp;L$5,INDIRECT("'"&amp;$B74&amp;"'!$AF$6:$AF$205"),0))),"-"))</f>
        <v/>
      </c>
      <c r="M74" s="34">
        <f>IF(OR(AP74="",M$5="-"),"",IFERROR(IF(INDEX(INDIRECT("'"&amp;$B74&amp;"'!$N$6:$N$205"),MATCH($AR74&amp;"|"&amp;M$5,INDIRECT("'"&amp;$B74&amp;"'!$AF$6:$AF$205"),0))="","",INDEX(INDIRECT("'"&amp;$B74&amp;"'!$N$6:$N$205"),MATCH($AR74&amp;"|"&amp;M$5,INDIRECT("'"&amp;$B74&amp;"'!$AF$6:$AF$205"),0))),"-"))</f>
        <v/>
      </c>
      <c r="N74" s="34">
        <f>IF(OR(AP74="",N$5="-"),"",IFERROR(IF(INDEX(INDIRECT("'"&amp;$B74&amp;"'!$N$6:$N$205"),MATCH($AR74&amp;"|"&amp;N$5,INDIRECT("'"&amp;$B74&amp;"'!$AF$6:$AF$205"),0))="","",INDEX(INDIRECT("'"&amp;$B74&amp;"'!$N$6:$N$205"),MATCH($AR74&amp;"|"&amp;N$5,INDIRECT("'"&amp;$B74&amp;"'!$AF$6:$AF$205"),0))),"-"))</f>
        <v/>
      </c>
      <c r="O74" s="34">
        <f>IF(OR(AP74="",O$5="-"),"",IFERROR(IF(INDEX(INDIRECT("'"&amp;$B74&amp;"'!$N$6:$N$205"),MATCH($AR74&amp;"|"&amp;O$5,INDIRECT("'"&amp;$B74&amp;"'!$AF$6:$AF$205"),0))="","",INDEX(INDIRECT("'"&amp;$B74&amp;"'!$N$6:$N$205"),MATCH($AR74&amp;"|"&amp;O$5,INDIRECT("'"&amp;$B74&amp;"'!$AF$6:$AF$205"),0))),"-"))</f>
        <v/>
      </c>
      <c r="P74" s="37">
        <f>IF(OR(AP74="",P$5="-"),"",IFERROR(IF(INDEX(INDIRECT("'"&amp;$B74&amp;"'!$R$6:$R$205"),MATCH($AR74&amp;"|"&amp;P$5,INDIRECT("'"&amp;$B74&amp;"'!$AF$6:$AF$205"),0))="","",INDEX(INDIRECT("'"&amp;$B74&amp;"'!$R$6:$R$205"),MATCH($AR74&amp;"|"&amp;P$5,INDIRECT("'"&amp;$B74&amp;"'!$AF$6:$AF$205"),0))),"-"))</f>
        <v/>
      </c>
      <c r="Q74" s="37">
        <f>IF(OR(AP74="",Q$5="-"),"",IFERROR(IF(INDEX(INDIRECT("'"&amp;$B74&amp;"'!$R$6:$R$205"),MATCH($AR74&amp;"|"&amp;Q$5,INDIRECT("'"&amp;$B74&amp;"'!$AF$6:$AF$205"),0))="","",INDEX(INDIRECT("'"&amp;$B74&amp;"'!$R$6:$R$205"),MATCH($AR74&amp;"|"&amp;Q$5,INDIRECT("'"&amp;$B74&amp;"'!$AF$6:$AF$205"),0))),"-"))</f>
        <v/>
      </c>
      <c r="R74" s="37">
        <f>IF(OR(AP74="",R$5="-"),"",IFERROR(IF(INDEX(INDIRECT("'"&amp;$B74&amp;"'!$R$6:$R$205"),MATCH($AR74&amp;"|"&amp;R$5,INDIRECT("'"&amp;$B74&amp;"'!$AF$6:$AF$205"),0))="","",INDEX(INDIRECT("'"&amp;$B74&amp;"'!$R$6:$R$205"),MATCH($AR74&amp;"|"&amp;R$5,INDIRECT("'"&amp;$B74&amp;"'!$AF$6:$AF$205"),0))),"-"))</f>
        <v/>
      </c>
      <c r="S74" s="37">
        <f>IF(OR(AP74="",S$5="-"),"",IFERROR(IF(INDEX(INDIRECT("'"&amp;$B74&amp;"'!$R$6:$R$205"),MATCH($AR74&amp;"|"&amp;S$5,INDIRECT("'"&amp;$B74&amp;"'!$AF$6:$AF$205"),0))="","",INDEX(INDIRECT("'"&amp;$B74&amp;"'!$R$6:$R$205"),MATCH($AR74&amp;"|"&amp;S$5,INDIRECT("'"&amp;$B74&amp;"'!$AF$6:$AF$205"),0))),"-"))</f>
        <v/>
      </c>
      <c r="T74" s="37">
        <f>IF(OR(AP74="",T$5="-"),"",IFERROR(IF(INDEX(INDIRECT("'"&amp;$B74&amp;"'!$R$6:$R$205"),MATCH($AR74&amp;"|"&amp;T$5,INDIRECT("'"&amp;$B74&amp;"'!$AF$6:$AF$205"),0))="","",INDEX(INDIRECT("'"&amp;$B74&amp;"'!$R$6:$R$205"),MATCH($AR74&amp;"|"&amp;T$5,INDIRECT("'"&amp;$B74&amp;"'!$AF$6:$AF$205"),0))),"-"))</f>
        <v/>
      </c>
      <c r="U74" s="37">
        <f>IF(OR(AP74="",U$5="-"),"",IFERROR(IF(INDEX(INDIRECT("'"&amp;$B74&amp;"'!$R$6:$R$205"),MATCH($AR74&amp;"|"&amp;U$5,INDIRECT("'"&amp;$B74&amp;"'!$AF$6:$AF$205"),0))="","",INDEX(INDIRECT("'"&amp;$B74&amp;"'!$R$6:$R$205"),MATCH($AR74&amp;"|"&amp;U$5,INDIRECT("'"&amp;$B74&amp;"'!$AF$6:$AF$205"),0))),"-"))</f>
        <v/>
      </c>
      <c r="V74" s="37">
        <f>IF(OR(AP74="",V$5="-"),"",IFERROR(IF(INDEX(INDIRECT("'"&amp;$B74&amp;"'!$R$6:$R$205"),MATCH($AR74&amp;"|"&amp;V$5,INDIRECT("'"&amp;$B74&amp;"'!$AF$6:$AF$205"),0))="","",INDEX(INDIRECT("'"&amp;$B74&amp;"'!$R$6:$R$205"),MATCH($AR74&amp;"|"&amp;V$5,INDIRECT("'"&amp;$B74&amp;"'!$AF$6:$AF$205"),0))),"-"))</f>
        <v/>
      </c>
      <c r="W74" s="37">
        <f>IF(OR(AP74="",W$5="-"),"",IFERROR(IF(INDEX(INDIRECT("'"&amp;$B74&amp;"'!$R$6:$R$205"),MATCH($AR74&amp;"|"&amp;W$5,INDIRECT("'"&amp;$B74&amp;"'!$AF$6:$AF$205"),0))="","",INDEX(INDIRECT("'"&amp;$B74&amp;"'!$R$6:$R$205"),MATCH($AR74&amp;"|"&amp;W$5,INDIRECT("'"&amp;$B74&amp;"'!$AF$6:$AF$205"),0))),"-"))</f>
        <v/>
      </c>
      <c r="X74" s="38">
        <f>IF(OR(AP74="",X$5="-"),"",IFERROR(IF(INDEX(INDIRECT("'"&amp;$B74&amp;"'!$T$6:$T$205"),MATCH($AR74&amp;"|"&amp;X$5,INDIRECT("'"&amp;$B74&amp;"'!$AF$6:$AF$205"),0))="","",INDEX(INDIRECT("'"&amp;$B74&amp;"'!$T$6:$T$205"),MATCH($AR74&amp;"|"&amp;X$5,INDIRECT("'"&amp;$B74&amp;"'!$AF$6:$AF$205"),0))),"-"))</f>
        <v/>
      </c>
      <c r="Y74" s="38">
        <f>IF(OR(AP74="",Y$5="-"),"",IFERROR(IF(INDEX(INDIRECT("'"&amp;$B74&amp;"'!$T$6:$T$205"),MATCH($AR74&amp;"|"&amp;Y$5,INDIRECT("'"&amp;$B74&amp;"'!$AF$6:$AF$205"),0))="","",INDEX(INDIRECT("'"&amp;$B74&amp;"'!$T$6:$T$205"),MATCH($AR74&amp;"|"&amp;Y$5,INDIRECT("'"&amp;$B74&amp;"'!$AF$6:$AF$205"),0))),"-"))</f>
        <v/>
      </c>
      <c r="Z74" s="38">
        <f>IF(OR(AP74="",Z$5="-"),"",IFERROR(IF(INDEX(INDIRECT("'"&amp;$B74&amp;"'!$T$6:$T$205"),MATCH($AR74&amp;"|"&amp;Z$5,INDIRECT("'"&amp;$B74&amp;"'!$AF$6:$AF$205"),0))="","",INDEX(INDIRECT("'"&amp;$B74&amp;"'!$T$6:$T$205"),MATCH($AR74&amp;"|"&amp;Z$5,INDIRECT("'"&amp;$B74&amp;"'!$AF$6:$AF$205"),0))),"-"))</f>
        <v/>
      </c>
      <c r="AA74" s="38">
        <f>IF(OR(AP74="",AA$5="-"),"",IFERROR(IF(INDEX(INDIRECT("'"&amp;$B74&amp;"'!$T$6:$T$205"),MATCH($AR74&amp;"|"&amp;AA$5,INDIRECT("'"&amp;$B74&amp;"'!$AF$6:$AF$205"),0))="","",INDEX(INDIRECT("'"&amp;$B74&amp;"'!$T$6:$T$205"),MATCH($AR74&amp;"|"&amp;AA$5,INDIRECT("'"&amp;$B74&amp;"'!$AF$6:$AF$205"),0))),"-"))</f>
        <v/>
      </c>
      <c r="AB74" s="38">
        <f>IF(OR(AP74="",AB$5="-"),"",IFERROR(IF(INDEX(INDIRECT("'"&amp;$B74&amp;"'!$T$6:$T$205"),MATCH($AR74&amp;"|"&amp;AB$5,INDIRECT("'"&amp;$B74&amp;"'!$AF$6:$AF$205"),0))="","",INDEX(INDIRECT("'"&amp;$B74&amp;"'!$T$6:$T$205"),MATCH($AR74&amp;"|"&amp;AB$5,INDIRECT("'"&amp;$B74&amp;"'!$AF$6:$AF$205"),0))),"-"))</f>
        <v/>
      </c>
      <c r="AC74" s="38">
        <f>IF(OR(AP74="",AC$5="-"),"",IFERROR(IF(INDEX(INDIRECT("'"&amp;$B74&amp;"'!$T$6:$T$205"),MATCH($AR74&amp;"|"&amp;AC$5,INDIRECT("'"&amp;$B74&amp;"'!$AF$6:$AF$205"),0))="","",INDEX(INDIRECT("'"&amp;$B74&amp;"'!$T$6:$T$205"),MATCH($AR74&amp;"|"&amp;AC$5,INDIRECT("'"&amp;$B74&amp;"'!$AF$6:$AF$205"),0))),"-"))</f>
        <v/>
      </c>
      <c r="AD74" s="38">
        <f>IF(OR(AP74="",AD$5="-"),"",IFERROR(IF(INDEX(INDIRECT("'"&amp;$B74&amp;"'!$T$6:$T$205"),MATCH($AR74&amp;"|"&amp;AD$5,INDIRECT("'"&amp;$B74&amp;"'!$AF$6:$AF$205"),0))="","",INDEX(INDIRECT("'"&amp;$B74&amp;"'!$T$6:$T$205"),MATCH($AR74&amp;"|"&amp;AD$5,INDIRECT("'"&amp;$B74&amp;"'!$AF$6:$AF$205"),0))),"-"))</f>
        <v/>
      </c>
      <c r="AE74" s="38">
        <f>IF(OR(AP74="",AE$5="-"),"",IFERROR(IF(INDEX(INDIRECT("'"&amp;$B74&amp;"'!$T$6:$T$205"),MATCH($AR74&amp;"|"&amp;AE$5,INDIRECT("'"&amp;$B74&amp;"'!$AF$6:$AF$205"),0))="","",INDEX(INDIRECT("'"&amp;$B74&amp;"'!$T$6:$T$205"),MATCH($AR74&amp;"|"&amp;AE$5,INDIRECT("'"&amp;$B74&amp;"'!$AF$6:$AF$205"),0))),"-"))</f>
        <v/>
      </c>
      <c r="AF74" s="35">
        <f>IF(AG74="","",INDEX($P$5:$W$5,MATCH(AG74,P74:W74,0)))</f>
        <v/>
      </c>
      <c r="AG74" s="37">
        <f>IF(COUNT(P74:W74)=0,"",MIN(P74:W74))</f>
        <v/>
      </c>
      <c r="AH74" s="39">
        <f>IF(AG74="","",AG74*F74)</f>
        <v/>
      </c>
      <c r="AI74" s="39">
        <f>IF(COUNT(P74:W74)&lt;2,"",(MAX(P74:W74)-MIN(P74:W74))*F74)</f>
        <v/>
      </c>
      <c r="AJ74" s="20" t="n"/>
      <c r="AP74">
        <f>IF(69&gt;MAX($AN$6:$AN$9),"",COUNTIF($AN$6:$AN$9,"&lt;"&amp;69)+1)</f>
        <v/>
      </c>
      <c r="AQ74">
        <f>IF(AP74="","",69-INDEX($AO$6:$AO$9,AP74))</f>
        <v/>
      </c>
      <c r="AR74">
        <f>IF(AP74="","",INDEX(INDIRECT("'"&amp;$B74&amp;"'!$AE$6:$AE$205"),MATCH(AQ74,INDIRECT("'"&amp;$B74&amp;"'!$AI$6:$AI$205"),0)))</f>
        <v/>
      </c>
    </row>
    <row r="75">
      <c r="A75" s="34">
        <f>IF(AP75="","",70)</f>
        <v/>
      </c>
      <c r="B75" s="35">
        <f>IF(AP75="","",INDEX($AL$6:$AL$9,AP75))</f>
        <v/>
      </c>
      <c r="C75" s="34">
        <f>IF(AP75="","",INDEX(INDIRECT("'"&amp;$B75&amp;"'!$B$6:$B$205"),MATCH($AR75,INDIRECT("'"&amp;$B75&amp;"'!$AE$6:$AE$205"),0)))</f>
        <v/>
      </c>
      <c r="D75" s="34">
        <f>IF(AP75="","",INDEX(INDIRECT("'"&amp;$B75&amp;"'!$D$6:$D$205"),MATCH($AR75,INDIRECT("'"&amp;$B75&amp;"'!$AE$6:$AE$205"),0)))</f>
        <v/>
      </c>
      <c r="E75" s="36">
        <f>IF(AP75="","",INDEX(INDIRECT("'"&amp;$B75&amp;"'!$F$6:$F$205"),MATCH($AR75,INDIRECT("'"&amp;$B75&amp;"'!$AE$6:$AE$205"),0)))</f>
        <v/>
      </c>
      <c r="F75" s="34">
        <f>IF(AP75="","",INDEX(INDIRECT("'"&amp;$B75&amp;"'!$K$6:$K$205"),MATCH($AR75,INDIRECT("'"&amp;$B75&amp;"'!$AE$6:$AE$205"),0)))</f>
        <v/>
      </c>
      <c r="G75" s="34">
        <f>IF(AP75="","",INDEX(INDIRECT("'"&amp;$B75&amp;"'!$L$6:$L$205"),MATCH($AR75,INDIRECT("'"&amp;$B75&amp;"'!$AE$6:$AE$205"),0)))</f>
        <v/>
      </c>
      <c r="H75" s="34">
        <f>IF(OR(AP75="",H$5="-"),"",IFERROR(IF(INDEX(INDIRECT("'"&amp;$B75&amp;"'!$N$6:$N$205"),MATCH($AR75&amp;"|"&amp;H$5,INDIRECT("'"&amp;$B75&amp;"'!$AF$6:$AF$205"),0))="","",INDEX(INDIRECT("'"&amp;$B75&amp;"'!$N$6:$N$205"),MATCH($AR75&amp;"|"&amp;H$5,INDIRECT("'"&amp;$B75&amp;"'!$AF$6:$AF$205"),0))),"-"))</f>
        <v/>
      </c>
      <c r="I75" s="34">
        <f>IF(OR(AP75="",I$5="-"),"",IFERROR(IF(INDEX(INDIRECT("'"&amp;$B75&amp;"'!$N$6:$N$205"),MATCH($AR75&amp;"|"&amp;I$5,INDIRECT("'"&amp;$B75&amp;"'!$AF$6:$AF$205"),0))="","",INDEX(INDIRECT("'"&amp;$B75&amp;"'!$N$6:$N$205"),MATCH($AR75&amp;"|"&amp;I$5,INDIRECT("'"&amp;$B75&amp;"'!$AF$6:$AF$205"),0))),"-"))</f>
        <v/>
      </c>
      <c r="J75" s="34">
        <f>IF(OR(AP75="",J$5="-"),"",IFERROR(IF(INDEX(INDIRECT("'"&amp;$B75&amp;"'!$N$6:$N$205"),MATCH($AR75&amp;"|"&amp;J$5,INDIRECT("'"&amp;$B75&amp;"'!$AF$6:$AF$205"),0))="","",INDEX(INDIRECT("'"&amp;$B75&amp;"'!$N$6:$N$205"),MATCH($AR75&amp;"|"&amp;J$5,INDIRECT("'"&amp;$B75&amp;"'!$AF$6:$AF$205"),0))),"-"))</f>
        <v/>
      </c>
      <c r="K75" s="34">
        <f>IF(OR(AP75="",K$5="-"),"",IFERROR(IF(INDEX(INDIRECT("'"&amp;$B75&amp;"'!$N$6:$N$205"),MATCH($AR75&amp;"|"&amp;K$5,INDIRECT("'"&amp;$B75&amp;"'!$AF$6:$AF$205"),0))="","",INDEX(INDIRECT("'"&amp;$B75&amp;"'!$N$6:$N$205"),MATCH($AR75&amp;"|"&amp;K$5,INDIRECT("'"&amp;$B75&amp;"'!$AF$6:$AF$205"),0))),"-"))</f>
        <v/>
      </c>
      <c r="L75" s="34">
        <f>IF(OR(AP75="",L$5="-"),"",IFERROR(IF(INDEX(INDIRECT("'"&amp;$B75&amp;"'!$N$6:$N$205"),MATCH($AR75&amp;"|"&amp;L$5,INDIRECT("'"&amp;$B75&amp;"'!$AF$6:$AF$205"),0))="","",INDEX(INDIRECT("'"&amp;$B75&amp;"'!$N$6:$N$205"),MATCH($AR75&amp;"|"&amp;L$5,INDIRECT("'"&amp;$B75&amp;"'!$AF$6:$AF$205"),0))),"-"))</f>
        <v/>
      </c>
      <c r="M75" s="34">
        <f>IF(OR(AP75="",M$5="-"),"",IFERROR(IF(INDEX(INDIRECT("'"&amp;$B75&amp;"'!$N$6:$N$205"),MATCH($AR75&amp;"|"&amp;M$5,INDIRECT("'"&amp;$B75&amp;"'!$AF$6:$AF$205"),0))="","",INDEX(INDIRECT("'"&amp;$B75&amp;"'!$N$6:$N$205"),MATCH($AR75&amp;"|"&amp;M$5,INDIRECT("'"&amp;$B75&amp;"'!$AF$6:$AF$205"),0))),"-"))</f>
        <v/>
      </c>
      <c r="N75" s="34">
        <f>IF(OR(AP75="",N$5="-"),"",IFERROR(IF(INDEX(INDIRECT("'"&amp;$B75&amp;"'!$N$6:$N$205"),MATCH($AR75&amp;"|"&amp;N$5,INDIRECT("'"&amp;$B75&amp;"'!$AF$6:$AF$205"),0))="","",INDEX(INDIRECT("'"&amp;$B75&amp;"'!$N$6:$N$205"),MATCH($AR75&amp;"|"&amp;N$5,INDIRECT("'"&amp;$B75&amp;"'!$AF$6:$AF$205"),0))),"-"))</f>
        <v/>
      </c>
      <c r="O75" s="34">
        <f>IF(OR(AP75="",O$5="-"),"",IFERROR(IF(INDEX(INDIRECT("'"&amp;$B75&amp;"'!$N$6:$N$205"),MATCH($AR75&amp;"|"&amp;O$5,INDIRECT("'"&amp;$B75&amp;"'!$AF$6:$AF$205"),0))="","",INDEX(INDIRECT("'"&amp;$B75&amp;"'!$N$6:$N$205"),MATCH($AR75&amp;"|"&amp;O$5,INDIRECT("'"&amp;$B75&amp;"'!$AF$6:$AF$205"),0))),"-"))</f>
        <v/>
      </c>
      <c r="P75" s="37">
        <f>IF(OR(AP75="",P$5="-"),"",IFERROR(IF(INDEX(INDIRECT("'"&amp;$B75&amp;"'!$R$6:$R$205"),MATCH($AR75&amp;"|"&amp;P$5,INDIRECT("'"&amp;$B75&amp;"'!$AF$6:$AF$205"),0))="","",INDEX(INDIRECT("'"&amp;$B75&amp;"'!$R$6:$R$205"),MATCH($AR75&amp;"|"&amp;P$5,INDIRECT("'"&amp;$B75&amp;"'!$AF$6:$AF$205"),0))),"-"))</f>
        <v/>
      </c>
      <c r="Q75" s="37">
        <f>IF(OR(AP75="",Q$5="-"),"",IFERROR(IF(INDEX(INDIRECT("'"&amp;$B75&amp;"'!$R$6:$R$205"),MATCH($AR75&amp;"|"&amp;Q$5,INDIRECT("'"&amp;$B75&amp;"'!$AF$6:$AF$205"),0))="","",INDEX(INDIRECT("'"&amp;$B75&amp;"'!$R$6:$R$205"),MATCH($AR75&amp;"|"&amp;Q$5,INDIRECT("'"&amp;$B75&amp;"'!$AF$6:$AF$205"),0))),"-"))</f>
        <v/>
      </c>
      <c r="R75" s="37">
        <f>IF(OR(AP75="",R$5="-"),"",IFERROR(IF(INDEX(INDIRECT("'"&amp;$B75&amp;"'!$R$6:$R$205"),MATCH($AR75&amp;"|"&amp;R$5,INDIRECT("'"&amp;$B75&amp;"'!$AF$6:$AF$205"),0))="","",INDEX(INDIRECT("'"&amp;$B75&amp;"'!$R$6:$R$205"),MATCH($AR75&amp;"|"&amp;R$5,INDIRECT("'"&amp;$B75&amp;"'!$AF$6:$AF$205"),0))),"-"))</f>
        <v/>
      </c>
      <c r="S75" s="37">
        <f>IF(OR(AP75="",S$5="-"),"",IFERROR(IF(INDEX(INDIRECT("'"&amp;$B75&amp;"'!$R$6:$R$205"),MATCH($AR75&amp;"|"&amp;S$5,INDIRECT("'"&amp;$B75&amp;"'!$AF$6:$AF$205"),0))="","",INDEX(INDIRECT("'"&amp;$B75&amp;"'!$R$6:$R$205"),MATCH($AR75&amp;"|"&amp;S$5,INDIRECT("'"&amp;$B75&amp;"'!$AF$6:$AF$205"),0))),"-"))</f>
        <v/>
      </c>
      <c r="T75" s="37">
        <f>IF(OR(AP75="",T$5="-"),"",IFERROR(IF(INDEX(INDIRECT("'"&amp;$B75&amp;"'!$R$6:$R$205"),MATCH($AR75&amp;"|"&amp;T$5,INDIRECT("'"&amp;$B75&amp;"'!$AF$6:$AF$205"),0))="","",INDEX(INDIRECT("'"&amp;$B75&amp;"'!$R$6:$R$205"),MATCH($AR75&amp;"|"&amp;T$5,INDIRECT("'"&amp;$B75&amp;"'!$AF$6:$AF$205"),0))),"-"))</f>
        <v/>
      </c>
      <c r="U75" s="37">
        <f>IF(OR(AP75="",U$5="-"),"",IFERROR(IF(INDEX(INDIRECT("'"&amp;$B75&amp;"'!$R$6:$R$205"),MATCH($AR75&amp;"|"&amp;U$5,INDIRECT("'"&amp;$B75&amp;"'!$AF$6:$AF$205"),0))="","",INDEX(INDIRECT("'"&amp;$B75&amp;"'!$R$6:$R$205"),MATCH($AR75&amp;"|"&amp;U$5,INDIRECT("'"&amp;$B75&amp;"'!$AF$6:$AF$205"),0))),"-"))</f>
        <v/>
      </c>
      <c r="V75" s="37">
        <f>IF(OR(AP75="",V$5="-"),"",IFERROR(IF(INDEX(INDIRECT("'"&amp;$B75&amp;"'!$R$6:$R$205"),MATCH($AR75&amp;"|"&amp;V$5,INDIRECT("'"&amp;$B75&amp;"'!$AF$6:$AF$205"),0))="","",INDEX(INDIRECT("'"&amp;$B75&amp;"'!$R$6:$R$205"),MATCH($AR75&amp;"|"&amp;V$5,INDIRECT("'"&amp;$B75&amp;"'!$AF$6:$AF$205"),0))),"-"))</f>
        <v/>
      </c>
      <c r="W75" s="37">
        <f>IF(OR(AP75="",W$5="-"),"",IFERROR(IF(INDEX(INDIRECT("'"&amp;$B75&amp;"'!$R$6:$R$205"),MATCH($AR75&amp;"|"&amp;W$5,INDIRECT("'"&amp;$B75&amp;"'!$AF$6:$AF$205"),0))="","",INDEX(INDIRECT("'"&amp;$B75&amp;"'!$R$6:$R$205"),MATCH($AR75&amp;"|"&amp;W$5,INDIRECT("'"&amp;$B75&amp;"'!$AF$6:$AF$205"),0))),"-"))</f>
        <v/>
      </c>
      <c r="X75" s="38">
        <f>IF(OR(AP75="",X$5="-"),"",IFERROR(IF(INDEX(INDIRECT("'"&amp;$B75&amp;"'!$T$6:$T$205"),MATCH($AR75&amp;"|"&amp;X$5,INDIRECT("'"&amp;$B75&amp;"'!$AF$6:$AF$205"),0))="","",INDEX(INDIRECT("'"&amp;$B75&amp;"'!$T$6:$T$205"),MATCH($AR75&amp;"|"&amp;X$5,INDIRECT("'"&amp;$B75&amp;"'!$AF$6:$AF$205"),0))),"-"))</f>
        <v/>
      </c>
      <c r="Y75" s="38">
        <f>IF(OR(AP75="",Y$5="-"),"",IFERROR(IF(INDEX(INDIRECT("'"&amp;$B75&amp;"'!$T$6:$T$205"),MATCH($AR75&amp;"|"&amp;Y$5,INDIRECT("'"&amp;$B75&amp;"'!$AF$6:$AF$205"),0))="","",INDEX(INDIRECT("'"&amp;$B75&amp;"'!$T$6:$T$205"),MATCH($AR75&amp;"|"&amp;Y$5,INDIRECT("'"&amp;$B75&amp;"'!$AF$6:$AF$205"),0))),"-"))</f>
        <v/>
      </c>
      <c r="Z75" s="38">
        <f>IF(OR(AP75="",Z$5="-"),"",IFERROR(IF(INDEX(INDIRECT("'"&amp;$B75&amp;"'!$T$6:$T$205"),MATCH($AR75&amp;"|"&amp;Z$5,INDIRECT("'"&amp;$B75&amp;"'!$AF$6:$AF$205"),0))="","",INDEX(INDIRECT("'"&amp;$B75&amp;"'!$T$6:$T$205"),MATCH($AR75&amp;"|"&amp;Z$5,INDIRECT("'"&amp;$B75&amp;"'!$AF$6:$AF$205"),0))),"-"))</f>
        <v/>
      </c>
      <c r="AA75" s="38">
        <f>IF(OR(AP75="",AA$5="-"),"",IFERROR(IF(INDEX(INDIRECT("'"&amp;$B75&amp;"'!$T$6:$T$205"),MATCH($AR75&amp;"|"&amp;AA$5,INDIRECT("'"&amp;$B75&amp;"'!$AF$6:$AF$205"),0))="","",INDEX(INDIRECT("'"&amp;$B75&amp;"'!$T$6:$T$205"),MATCH($AR75&amp;"|"&amp;AA$5,INDIRECT("'"&amp;$B75&amp;"'!$AF$6:$AF$205"),0))),"-"))</f>
        <v/>
      </c>
      <c r="AB75" s="38">
        <f>IF(OR(AP75="",AB$5="-"),"",IFERROR(IF(INDEX(INDIRECT("'"&amp;$B75&amp;"'!$T$6:$T$205"),MATCH($AR75&amp;"|"&amp;AB$5,INDIRECT("'"&amp;$B75&amp;"'!$AF$6:$AF$205"),0))="","",INDEX(INDIRECT("'"&amp;$B75&amp;"'!$T$6:$T$205"),MATCH($AR75&amp;"|"&amp;AB$5,INDIRECT("'"&amp;$B75&amp;"'!$AF$6:$AF$205"),0))),"-"))</f>
        <v/>
      </c>
      <c r="AC75" s="38">
        <f>IF(OR(AP75="",AC$5="-"),"",IFERROR(IF(INDEX(INDIRECT("'"&amp;$B75&amp;"'!$T$6:$T$205"),MATCH($AR75&amp;"|"&amp;AC$5,INDIRECT("'"&amp;$B75&amp;"'!$AF$6:$AF$205"),0))="","",INDEX(INDIRECT("'"&amp;$B75&amp;"'!$T$6:$T$205"),MATCH($AR75&amp;"|"&amp;AC$5,INDIRECT("'"&amp;$B75&amp;"'!$AF$6:$AF$205"),0))),"-"))</f>
        <v/>
      </c>
      <c r="AD75" s="38">
        <f>IF(OR(AP75="",AD$5="-"),"",IFERROR(IF(INDEX(INDIRECT("'"&amp;$B75&amp;"'!$T$6:$T$205"),MATCH($AR75&amp;"|"&amp;AD$5,INDIRECT("'"&amp;$B75&amp;"'!$AF$6:$AF$205"),0))="","",INDEX(INDIRECT("'"&amp;$B75&amp;"'!$T$6:$T$205"),MATCH($AR75&amp;"|"&amp;AD$5,INDIRECT("'"&amp;$B75&amp;"'!$AF$6:$AF$205"),0))),"-"))</f>
        <v/>
      </c>
      <c r="AE75" s="38">
        <f>IF(OR(AP75="",AE$5="-"),"",IFERROR(IF(INDEX(INDIRECT("'"&amp;$B75&amp;"'!$T$6:$T$205"),MATCH($AR75&amp;"|"&amp;AE$5,INDIRECT("'"&amp;$B75&amp;"'!$AF$6:$AF$205"),0))="","",INDEX(INDIRECT("'"&amp;$B75&amp;"'!$T$6:$T$205"),MATCH($AR75&amp;"|"&amp;AE$5,INDIRECT("'"&amp;$B75&amp;"'!$AF$6:$AF$205"),0))),"-"))</f>
        <v/>
      </c>
      <c r="AF75" s="35">
        <f>IF(AG75="","",INDEX($P$5:$W$5,MATCH(AG75,P75:W75,0)))</f>
        <v/>
      </c>
      <c r="AG75" s="37">
        <f>IF(COUNT(P75:W75)=0,"",MIN(P75:W75))</f>
        <v/>
      </c>
      <c r="AH75" s="39">
        <f>IF(AG75="","",AG75*F75)</f>
        <v/>
      </c>
      <c r="AI75" s="39">
        <f>IF(COUNT(P75:W75)&lt;2,"",(MAX(P75:W75)-MIN(P75:W75))*F75)</f>
        <v/>
      </c>
      <c r="AJ75" s="20" t="n"/>
      <c r="AP75">
        <f>IF(70&gt;MAX($AN$6:$AN$9),"",COUNTIF($AN$6:$AN$9,"&lt;"&amp;70)+1)</f>
        <v/>
      </c>
      <c r="AQ75">
        <f>IF(AP75="","",70-INDEX($AO$6:$AO$9,AP75))</f>
        <v/>
      </c>
      <c r="AR75">
        <f>IF(AP75="","",INDEX(INDIRECT("'"&amp;$B75&amp;"'!$AE$6:$AE$205"),MATCH(AQ75,INDIRECT("'"&amp;$B75&amp;"'!$AI$6:$AI$205"),0)))</f>
        <v/>
      </c>
    </row>
    <row r="76">
      <c r="A76" s="34">
        <f>IF(AP76="","",71)</f>
        <v/>
      </c>
      <c r="B76" s="35">
        <f>IF(AP76="","",INDEX($AL$6:$AL$9,AP76))</f>
        <v/>
      </c>
      <c r="C76" s="34">
        <f>IF(AP76="","",INDEX(INDIRECT("'"&amp;$B76&amp;"'!$B$6:$B$205"),MATCH($AR76,INDIRECT("'"&amp;$B76&amp;"'!$AE$6:$AE$205"),0)))</f>
        <v/>
      </c>
      <c r="D76" s="34">
        <f>IF(AP76="","",INDEX(INDIRECT("'"&amp;$B76&amp;"'!$D$6:$D$205"),MATCH($AR76,INDIRECT("'"&amp;$B76&amp;"'!$AE$6:$AE$205"),0)))</f>
        <v/>
      </c>
      <c r="E76" s="36">
        <f>IF(AP76="","",INDEX(INDIRECT("'"&amp;$B76&amp;"'!$F$6:$F$205"),MATCH($AR76,INDIRECT("'"&amp;$B76&amp;"'!$AE$6:$AE$205"),0)))</f>
        <v/>
      </c>
      <c r="F76" s="34">
        <f>IF(AP76="","",INDEX(INDIRECT("'"&amp;$B76&amp;"'!$K$6:$K$205"),MATCH($AR76,INDIRECT("'"&amp;$B76&amp;"'!$AE$6:$AE$205"),0)))</f>
        <v/>
      </c>
      <c r="G76" s="34">
        <f>IF(AP76="","",INDEX(INDIRECT("'"&amp;$B76&amp;"'!$L$6:$L$205"),MATCH($AR76,INDIRECT("'"&amp;$B76&amp;"'!$AE$6:$AE$205"),0)))</f>
        <v/>
      </c>
      <c r="H76" s="34">
        <f>IF(OR(AP76="",H$5="-"),"",IFERROR(IF(INDEX(INDIRECT("'"&amp;$B76&amp;"'!$N$6:$N$205"),MATCH($AR76&amp;"|"&amp;H$5,INDIRECT("'"&amp;$B76&amp;"'!$AF$6:$AF$205"),0))="","",INDEX(INDIRECT("'"&amp;$B76&amp;"'!$N$6:$N$205"),MATCH($AR76&amp;"|"&amp;H$5,INDIRECT("'"&amp;$B76&amp;"'!$AF$6:$AF$205"),0))),"-"))</f>
        <v/>
      </c>
      <c r="I76" s="34">
        <f>IF(OR(AP76="",I$5="-"),"",IFERROR(IF(INDEX(INDIRECT("'"&amp;$B76&amp;"'!$N$6:$N$205"),MATCH($AR76&amp;"|"&amp;I$5,INDIRECT("'"&amp;$B76&amp;"'!$AF$6:$AF$205"),0))="","",INDEX(INDIRECT("'"&amp;$B76&amp;"'!$N$6:$N$205"),MATCH($AR76&amp;"|"&amp;I$5,INDIRECT("'"&amp;$B76&amp;"'!$AF$6:$AF$205"),0))),"-"))</f>
        <v/>
      </c>
      <c r="J76" s="34">
        <f>IF(OR(AP76="",J$5="-"),"",IFERROR(IF(INDEX(INDIRECT("'"&amp;$B76&amp;"'!$N$6:$N$205"),MATCH($AR76&amp;"|"&amp;J$5,INDIRECT("'"&amp;$B76&amp;"'!$AF$6:$AF$205"),0))="","",INDEX(INDIRECT("'"&amp;$B76&amp;"'!$N$6:$N$205"),MATCH($AR76&amp;"|"&amp;J$5,INDIRECT("'"&amp;$B76&amp;"'!$AF$6:$AF$205"),0))),"-"))</f>
        <v/>
      </c>
      <c r="K76" s="34">
        <f>IF(OR(AP76="",K$5="-"),"",IFERROR(IF(INDEX(INDIRECT("'"&amp;$B76&amp;"'!$N$6:$N$205"),MATCH($AR76&amp;"|"&amp;K$5,INDIRECT("'"&amp;$B76&amp;"'!$AF$6:$AF$205"),0))="","",INDEX(INDIRECT("'"&amp;$B76&amp;"'!$N$6:$N$205"),MATCH($AR76&amp;"|"&amp;K$5,INDIRECT("'"&amp;$B76&amp;"'!$AF$6:$AF$205"),0))),"-"))</f>
        <v/>
      </c>
      <c r="L76" s="34">
        <f>IF(OR(AP76="",L$5="-"),"",IFERROR(IF(INDEX(INDIRECT("'"&amp;$B76&amp;"'!$N$6:$N$205"),MATCH($AR76&amp;"|"&amp;L$5,INDIRECT("'"&amp;$B76&amp;"'!$AF$6:$AF$205"),0))="","",INDEX(INDIRECT("'"&amp;$B76&amp;"'!$N$6:$N$205"),MATCH($AR76&amp;"|"&amp;L$5,INDIRECT("'"&amp;$B76&amp;"'!$AF$6:$AF$205"),0))),"-"))</f>
        <v/>
      </c>
      <c r="M76" s="34">
        <f>IF(OR(AP76="",M$5="-"),"",IFERROR(IF(INDEX(INDIRECT("'"&amp;$B76&amp;"'!$N$6:$N$205"),MATCH($AR76&amp;"|"&amp;M$5,INDIRECT("'"&amp;$B76&amp;"'!$AF$6:$AF$205"),0))="","",INDEX(INDIRECT("'"&amp;$B76&amp;"'!$N$6:$N$205"),MATCH($AR76&amp;"|"&amp;M$5,INDIRECT("'"&amp;$B76&amp;"'!$AF$6:$AF$205"),0))),"-"))</f>
        <v/>
      </c>
      <c r="N76" s="34">
        <f>IF(OR(AP76="",N$5="-"),"",IFERROR(IF(INDEX(INDIRECT("'"&amp;$B76&amp;"'!$N$6:$N$205"),MATCH($AR76&amp;"|"&amp;N$5,INDIRECT("'"&amp;$B76&amp;"'!$AF$6:$AF$205"),0))="","",INDEX(INDIRECT("'"&amp;$B76&amp;"'!$N$6:$N$205"),MATCH($AR76&amp;"|"&amp;N$5,INDIRECT("'"&amp;$B76&amp;"'!$AF$6:$AF$205"),0))),"-"))</f>
        <v/>
      </c>
      <c r="O76" s="34">
        <f>IF(OR(AP76="",O$5="-"),"",IFERROR(IF(INDEX(INDIRECT("'"&amp;$B76&amp;"'!$N$6:$N$205"),MATCH($AR76&amp;"|"&amp;O$5,INDIRECT("'"&amp;$B76&amp;"'!$AF$6:$AF$205"),0))="","",INDEX(INDIRECT("'"&amp;$B76&amp;"'!$N$6:$N$205"),MATCH($AR76&amp;"|"&amp;O$5,INDIRECT("'"&amp;$B76&amp;"'!$AF$6:$AF$205"),0))),"-"))</f>
        <v/>
      </c>
      <c r="P76" s="37">
        <f>IF(OR(AP76="",P$5="-"),"",IFERROR(IF(INDEX(INDIRECT("'"&amp;$B76&amp;"'!$R$6:$R$205"),MATCH($AR76&amp;"|"&amp;P$5,INDIRECT("'"&amp;$B76&amp;"'!$AF$6:$AF$205"),0))="","",INDEX(INDIRECT("'"&amp;$B76&amp;"'!$R$6:$R$205"),MATCH($AR76&amp;"|"&amp;P$5,INDIRECT("'"&amp;$B76&amp;"'!$AF$6:$AF$205"),0))),"-"))</f>
        <v/>
      </c>
      <c r="Q76" s="37">
        <f>IF(OR(AP76="",Q$5="-"),"",IFERROR(IF(INDEX(INDIRECT("'"&amp;$B76&amp;"'!$R$6:$R$205"),MATCH($AR76&amp;"|"&amp;Q$5,INDIRECT("'"&amp;$B76&amp;"'!$AF$6:$AF$205"),0))="","",INDEX(INDIRECT("'"&amp;$B76&amp;"'!$R$6:$R$205"),MATCH($AR76&amp;"|"&amp;Q$5,INDIRECT("'"&amp;$B76&amp;"'!$AF$6:$AF$205"),0))),"-"))</f>
        <v/>
      </c>
      <c r="R76" s="37">
        <f>IF(OR(AP76="",R$5="-"),"",IFERROR(IF(INDEX(INDIRECT("'"&amp;$B76&amp;"'!$R$6:$R$205"),MATCH($AR76&amp;"|"&amp;R$5,INDIRECT("'"&amp;$B76&amp;"'!$AF$6:$AF$205"),0))="","",INDEX(INDIRECT("'"&amp;$B76&amp;"'!$R$6:$R$205"),MATCH($AR76&amp;"|"&amp;R$5,INDIRECT("'"&amp;$B76&amp;"'!$AF$6:$AF$205"),0))),"-"))</f>
        <v/>
      </c>
      <c r="S76" s="37">
        <f>IF(OR(AP76="",S$5="-"),"",IFERROR(IF(INDEX(INDIRECT("'"&amp;$B76&amp;"'!$R$6:$R$205"),MATCH($AR76&amp;"|"&amp;S$5,INDIRECT("'"&amp;$B76&amp;"'!$AF$6:$AF$205"),0))="","",INDEX(INDIRECT("'"&amp;$B76&amp;"'!$R$6:$R$205"),MATCH($AR76&amp;"|"&amp;S$5,INDIRECT("'"&amp;$B76&amp;"'!$AF$6:$AF$205"),0))),"-"))</f>
        <v/>
      </c>
      <c r="T76" s="37">
        <f>IF(OR(AP76="",T$5="-"),"",IFERROR(IF(INDEX(INDIRECT("'"&amp;$B76&amp;"'!$R$6:$R$205"),MATCH($AR76&amp;"|"&amp;T$5,INDIRECT("'"&amp;$B76&amp;"'!$AF$6:$AF$205"),0))="","",INDEX(INDIRECT("'"&amp;$B76&amp;"'!$R$6:$R$205"),MATCH($AR76&amp;"|"&amp;T$5,INDIRECT("'"&amp;$B76&amp;"'!$AF$6:$AF$205"),0))),"-"))</f>
        <v/>
      </c>
      <c r="U76" s="37">
        <f>IF(OR(AP76="",U$5="-"),"",IFERROR(IF(INDEX(INDIRECT("'"&amp;$B76&amp;"'!$R$6:$R$205"),MATCH($AR76&amp;"|"&amp;U$5,INDIRECT("'"&amp;$B76&amp;"'!$AF$6:$AF$205"),0))="","",INDEX(INDIRECT("'"&amp;$B76&amp;"'!$R$6:$R$205"),MATCH($AR76&amp;"|"&amp;U$5,INDIRECT("'"&amp;$B76&amp;"'!$AF$6:$AF$205"),0))),"-"))</f>
        <v/>
      </c>
      <c r="V76" s="37">
        <f>IF(OR(AP76="",V$5="-"),"",IFERROR(IF(INDEX(INDIRECT("'"&amp;$B76&amp;"'!$R$6:$R$205"),MATCH($AR76&amp;"|"&amp;V$5,INDIRECT("'"&amp;$B76&amp;"'!$AF$6:$AF$205"),0))="","",INDEX(INDIRECT("'"&amp;$B76&amp;"'!$R$6:$R$205"),MATCH($AR76&amp;"|"&amp;V$5,INDIRECT("'"&amp;$B76&amp;"'!$AF$6:$AF$205"),0))),"-"))</f>
        <v/>
      </c>
      <c r="W76" s="37">
        <f>IF(OR(AP76="",W$5="-"),"",IFERROR(IF(INDEX(INDIRECT("'"&amp;$B76&amp;"'!$R$6:$R$205"),MATCH($AR76&amp;"|"&amp;W$5,INDIRECT("'"&amp;$B76&amp;"'!$AF$6:$AF$205"),0))="","",INDEX(INDIRECT("'"&amp;$B76&amp;"'!$R$6:$R$205"),MATCH($AR76&amp;"|"&amp;W$5,INDIRECT("'"&amp;$B76&amp;"'!$AF$6:$AF$205"),0))),"-"))</f>
        <v/>
      </c>
      <c r="X76" s="38">
        <f>IF(OR(AP76="",X$5="-"),"",IFERROR(IF(INDEX(INDIRECT("'"&amp;$B76&amp;"'!$T$6:$T$205"),MATCH($AR76&amp;"|"&amp;X$5,INDIRECT("'"&amp;$B76&amp;"'!$AF$6:$AF$205"),0))="","",INDEX(INDIRECT("'"&amp;$B76&amp;"'!$T$6:$T$205"),MATCH($AR76&amp;"|"&amp;X$5,INDIRECT("'"&amp;$B76&amp;"'!$AF$6:$AF$205"),0))),"-"))</f>
        <v/>
      </c>
      <c r="Y76" s="38">
        <f>IF(OR(AP76="",Y$5="-"),"",IFERROR(IF(INDEX(INDIRECT("'"&amp;$B76&amp;"'!$T$6:$T$205"),MATCH($AR76&amp;"|"&amp;Y$5,INDIRECT("'"&amp;$B76&amp;"'!$AF$6:$AF$205"),0))="","",INDEX(INDIRECT("'"&amp;$B76&amp;"'!$T$6:$T$205"),MATCH($AR76&amp;"|"&amp;Y$5,INDIRECT("'"&amp;$B76&amp;"'!$AF$6:$AF$205"),0))),"-"))</f>
        <v/>
      </c>
      <c r="Z76" s="38">
        <f>IF(OR(AP76="",Z$5="-"),"",IFERROR(IF(INDEX(INDIRECT("'"&amp;$B76&amp;"'!$T$6:$T$205"),MATCH($AR76&amp;"|"&amp;Z$5,INDIRECT("'"&amp;$B76&amp;"'!$AF$6:$AF$205"),0))="","",INDEX(INDIRECT("'"&amp;$B76&amp;"'!$T$6:$T$205"),MATCH($AR76&amp;"|"&amp;Z$5,INDIRECT("'"&amp;$B76&amp;"'!$AF$6:$AF$205"),0))),"-"))</f>
        <v/>
      </c>
      <c r="AA76" s="38">
        <f>IF(OR(AP76="",AA$5="-"),"",IFERROR(IF(INDEX(INDIRECT("'"&amp;$B76&amp;"'!$T$6:$T$205"),MATCH($AR76&amp;"|"&amp;AA$5,INDIRECT("'"&amp;$B76&amp;"'!$AF$6:$AF$205"),0))="","",INDEX(INDIRECT("'"&amp;$B76&amp;"'!$T$6:$T$205"),MATCH($AR76&amp;"|"&amp;AA$5,INDIRECT("'"&amp;$B76&amp;"'!$AF$6:$AF$205"),0))),"-"))</f>
        <v/>
      </c>
      <c r="AB76" s="38">
        <f>IF(OR(AP76="",AB$5="-"),"",IFERROR(IF(INDEX(INDIRECT("'"&amp;$B76&amp;"'!$T$6:$T$205"),MATCH($AR76&amp;"|"&amp;AB$5,INDIRECT("'"&amp;$B76&amp;"'!$AF$6:$AF$205"),0))="","",INDEX(INDIRECT("'"&amp;$B76&amp;"'!$T$6:$T$205"),MATCH($AR76&amp;"|"&amp;AB$5,INDIRECT("'"&amp;$B76&amp;"'!$AF$6:$AF$205"),0))),"-"))</f>
        <v/>
      </c>
      <c r="AC76" s="38">
        <f>IF(OR(AP76="",AC$5="-"),"",IFERROR(IF(INDEX(INDIRECT("'"&amp;$B76&amp;"'!$T$6:$T$205"),MATCH($AR76&amp;"|"&amp;AC$5,INDIRECT("'"&amp;$B76&amp;"'!$AF$6:$AF$205"),0))="","",INDEX(INDIRECT("'"&amp;$B76&amp;"'!$T$6:$T$205"),MATCH($AR76&amp;"|"&amp;AC$5,INDIRECT("'"&amp;$B76&amp;"'!$AF$6:$AF$205"),0))),"-"))</f>
        <v/>
      </c>
      <c r="AD76" s="38">
        <f>IF(OR(AP76="",AD$5="-"),"",IFERROR(IF(INDEX(INDIRECT("'"&amp;$B76&amp;"'!$T$6:$T$205"),MATCH($AR76&amp;"|"&amp;AD$5,INDIRECT("'"&amp;$B76&amp;"'!$AF$6:$AF$205"),0))="","",INDEX(INDIRECT("'"&amp;$B76&amp;"'!$T$6:$T$205"),MATCH($AR76&amp;"|"&amp;AD$5,INDIRECT("'"&amp;$B76&amp;"'!$AF$6:$AF$205"),0))),"-"))</f>
        <v/>
      </c>
      <c r="AE76" s="38">
        <f>IF(OR(AP76="",AE$5="-"),"",IFERROR(IF(INDEX(INDIRECT("'"&amp;$B76&amp;"'!$T$6:$T$205"),MATCH($AR76&amp;"|"&amp;AE$5,INDIRECT("'"&amp;$B76&amp;"'!$AF$6:$AF$205"),0))="","",INDEX(INDIRECT("'"&amp;$B76&amp;"'!$T$6:$T$205"),MATCH($AR76&amp;"|"&amp;AE$5,INDIRECT("'"&amp;$B76&amp;"'!$AF$6:$AF$205"),0))),"-"))</f>
        <v/>
      </c>
      <c r="AF76" s="35">
        <f>IF(AG76="","",INDEX($P$5:$W$5,MATCH(AG76,P76:W76,0)))</f>
        <v/>
      </c>
      <c r="AG76" s="37">
        <f>IF(COUNT(P76:W76)=0,"",MIN(P76:W76))</f>
        <v/>
      </c>
      <c r="AH76" s="39">
        <f>IF(AG76="","",AG76*F76)</f>
        <v/>
      </c>
      <c r="AI76" s="39">
        <f>IF(COUNT(P76:W76)&lt;2,"",(MAX(P76:W76)-MIN(P76:W76))*F76)</f>
        <v/>
      </c>
      <c r="AJ76" s="20" t="n"/>
      <c r="AP76">
        <f>IF(71&gt;MAX($AN$6:$AN$9),"",COUNTIF($AN$6:$AN$9,"&lt;"&amp;71)+1)</f>
        <v/>
      </c>
      <c r="AQ76">
        <f>IF(AP76="","",71-INDEX($AO$6:$AO$9,AP76))</f>
        <v/>
      </c>
      <c r="AR76">
        <f>IF(AP76="","",INDEX(INDIRECT("'"&amp;$B76&amp;"'!$AE$6:$AE$205"),MATCH(AQ76,INDIRECT("'"&amp;$B76&amp;"'!$AI$6:$AI$205"),0)))</f>
        <v/>
      </c>
    </row>
    <row r="77">
      <c r="A77" s="34">
        <f>IF(AP77="","",72)</f>
        <v/>
      </c>
      <c r="B77" s="35">
        <f>IF(AP77="","",INDEX($AL$6:$AL$9,AP77))</f>
        <v/>
      </c>
      <c r="C77" s="34">
        <f>IF(AP77="","",INDEX(INDIRECT("'"&amp;$B77&amp;"'!$B$6:$B$205"),MATCH($AR77,INDIRECT("'"&amp;$B77&amp;"'!$AE$6:$AE$205"),0)))</f>
        <v/>
      </c>
      <c r="D77" s="34">
        <f>IF(AP77="","",INDEX(INDIRECT("'"&amp;$B77&amp;"'!$D$6:$D$205"),MATCH($AR77,INDIRECT("'"&amp;$B77&amp;"'!$AE$6:$AE$205"),0)))</f>
        <v/>
      </c>
      <c r="E77" s="36">
        <f>IF(AP77="","",INDEX(INDIRECT("'"&amp;$B77&amp;"'!$F$6:$F$205"),MATCH($AR77,INDIRECT("'"&amp;$B77&amp;"'!$AE$6:$AE$205"),0)))</f>
        <v/>
      </c>
      <c r="F77" s="34">
        <f>IF(AP77="","",INDEX(INDIRECT("'"&amp;$B77&amp;"'!$K$6:$K$205"),MATCH($AR77,INDIRECT("'"&amp;$B77&amp;"'!$AE$6:$AE$205"),0)))</f>
        <v/>
      </c>
      <c r="G77" s="34">
        <f>IF(AP77="","",INDEX(INDIRECT("'"&amp;$B77&amp;"'!$L$6:$L$205"),MATCH($AR77,INDIRECT("'"&amp;$B77&amp;"'!$AE$6:$AE$205"),0)))</f>
        <v/>
      </c>
      <c r="H77" s="34">
        <f>IF(OR(AP77="",H$5="-"),"",IFERROR(IF(INDEX(INDIRECT("'"&amp;$B77&amp;"'!$N$6:$N$205"),MATCH($AR77&amp;"|"&amp;H$5,INDIRECT("'"&amp;$B77&amp;"'!$AF$6:$AF$205"),0))="","",INDEX(INDIRECT("'"&amp;$B77&amp;"'!$N$6:$N$205"),MATCH($AR77&amp;"|"&amp;H$5,INDIRECT("'"&amp;$B77&amp;"'!$AF$6:$AF$205"),0))),"-"))</f>
        <v/>
      </c>
      <c r="I77" s="34">
        <f>IF(OR(AP77="",I$5="-"),"",IFERROR(IF(INDEX(INDIRECT("'"&amp;$B77&amp;"'!$N$6:$N$205"),MATCH($AR77&amp;"|"&amp;I$5,INDIRECT("'"&amp;$B77&amp;"'!$AF$6:$AF$205"),0))="","",INDEX(INDIRECT("'"&amp;$B77&amp;"'!$N$6:$N$205"),MATCH($AR77&amp;"|"&amp;I$5,INDIRECT("'"&amp;$B77&amp;"'!$AF$6:$AF$205"),0))),"-"))</f>
        <v/>
      </c>
      <c r="J77" s="34">
        <f>IF(OR(AP77="",J$5="-"),"",IFERROR(IF(INDEX(INDIRECT("'"&amp;$B77&amp;"'!$N$6:$N$205"),MATCH($AR77&amp;"|"&amp;J$5,INDIRECT("'"&amp;$B77&amp;"'!$AF$6:$AF$205"),0))="","",INDEX(INDIRECT("'"&amp;$B77&amp;"'!$N$6:$N$205"),MATCH($AR77&amp;"|"&amp;J$5,INDIRECT("'"&amp;$B77&amp;"'!$AF$6:$AF$205"),0))),"-"))</f>
        <v/>
      </c>
      <c r="K77" s="34">
        <f>IF(OR(AP77="",K$5="-"),"",IFERROR(IF(INDEX(INDIRECT("'"&amp;$B77&amp;"'!$N$6:$N$205"),MATCH($AR77&amp;"|"&amp;K$5,INDIRECT("'"&amp;$B77&amp;"'!$AF$6:$AF$205"),0))="","",INDEX(INDIRECT("'"&amp;$B77&amp;"'!$N$6:$N$205"),MATCH($AR77&amp;"|"&amp;K$5,INDIRECT("'"&amp;$B77&amp;"'!$AF$6:$AF$205"),0))),"-"))</f>
        <v/>
      </c>
      <c r="L77" s="34">
        <f>IF(OR(AP77="",L$5="-"),"",IFERROR(IF(INDEX(INDIRECT("'"&amp;$B77&amp;"'!$N$6:$N$205"),MATCH($AR77&amp;"|"&amp;L$5,INDIRECT("'"&amp;$B77&amp;"'!$AF$6:$AF$205"),0))="","",INDEX(INDIRECT("'"&amp;$B77&amp;"'!$N$6:$N$205"),MATCH($AR77&amp;"|"&amp;L$5,INDIRECT("'"&amp;$B77&amp;"'!$AF$6:$AF$205"),0))),"-"))</f>
        <v/>
      </c>
      <c r="M77" s="34">
        <f>IF(OR(AP77="",M$5="-"),"",IFERROR(IF(INDEX(INDIRECT("'"&amp;$B77&amp;"'!$N$6:$N$205"),MATCH($AR77&amp;"|"&amp;M$5,INDIRECT("'"&amp;$B77&amp;"'!$AF$6:$AF$205"),0))="","",INDEX(INDIRECT("'"&amp;$B77&amp;"'!$N$6:$N$205"),MATCH($AR77&amp;"|"&amp;M$5,INDIRECT("'"&amp;$B77&amp;"'!$AF$6:$AF$205"),0))),"-"))</f>
        <v/>
      </c>
      <c r="N77" s="34">
        <f>IF(OR(AP77="",N$5="-"),"",IFERROR(IF(INDEX(INDIRECT("'"&amp;$B77&amp;"'!$N$6:$N$205"),MATCH($AR77&amp;"|"&amp;N$5,INDIRECT("'"&amp;$B77&amp;"'!$AF$6:$AF$205"),0))="","",INDEX(INDIRECT("'"&amp;$B77&amp;"'!$N$6:$N$205"),MATCH($AR77&amp;"|"&amp;N$5,INDIRECT("'"&amp;$B77&amp;"'!$AF$6:$AF$205"),0))),"-"))</f>
        <v/>
      </c>
      <c r="O77" s="34">
        <f>IF(OR(AP77="",O$5="-"),"",IFERROR(IF(INDEX(INDIRECT("'"&amp;$B77&amp;"'!$N$6:$N$205"),MATCH($AR77&amp;"|"&amp;O$5,INDIRECT("'"&amp;$B77&amp;"'!$AF$6:$AF$205"),0))="","",INDEX(INDIRECT("'"&amp;$B77&amp;"'!$N$6:$N$205"),MATCH($AR77&amp;"|"&amp;O$5,INDIRECT("'"&amp;$B77&amp;"'!$AF$6:$AF$205"),0))),"-"))</f>
        <v/>
      </c>
      <c r="P77" s="37">
        <f>IF(OR(AP77="",P$5="-"),"",IFERROR(IF(INDEX(INDIRECT("'"&amp;$B77&amp;"'!$R$6:$R$205"),MATCH($AR77&amp;"|"&amp;P$5,INDIRECT("'"&amp;$B77&amp;"'!$AF$6:$AF$205"),0))="","",INDEX(INDIRECT("'"&amp;$B77&amp;"'!$R$6:$R$205"),MATCH($AR77&amp;"|"&amp;P$5,INDIRECT("'"&amp;$B77&amp;"'!$AF$6:$AF$205"),0))),"-"))</f>
        <v/>
      </c>
      <c r="Q77" s="37">
        <f>IF(OR(AP77="",Q$5="-"),"",IFERROR(IF(INDEX(INDIRECT("'"&amp;$B77&amp;"'!$R$6:$R$205"),MATCH($AR77&amp;"|"&amp;Q$5,INDIRECT("'"&amp;$B77&amp;"'!$AF$6:$AF$205"),0))="","",INDEX(INDIRECT("'"&amp;$B77&amp;"'!$R$6:$R$205"),MATCH($AR77&amp;"|"&amp;Q$5,INDIRECT("'"&amp;$B77&amp;"'!$AF$6:$AF$205"),0))),"-"))</f>
        <v/>
      </c>
      <c r="R77" s="37">
        <f>IF(OR(AP77="",R$5="-"),"",IFERROR(IF(INDEX(INDIRECT("'"&amp;$B77&amp;"'!$R$6:$R$205"),MATCH($AR77&amp;"|"&amp;R$5,INDIRECT("'"&amp;$B77&amp;"'!$AF$6:$AF$205"),0))="","",INDEX(INDIRECT("'"&amp;$B77&amp;"'!$R$6:$R$205"),MATCH($AR77&amp;"|"&amp;R$5,INDIRECT("'"&amp;$B77&amp;"'!$AF$6:$AF$205"),0))),"-"))</f>
        <v/>
      </c>
      <c r="S77" s="37">
        <f>IF(OR(AP77="",S$5="-"),"",IFERROR(IF(INDEX(INDIRECT("'"&amp;$B77&amp;"'!$R$6:$R$205"),MATCH($AR77&amp;"|"&amp;S$5,INDIRECT("'"&amp;$B77&amp;"'!$AF$6:$AF$205"),0))="","",INDEX(INDIRECT("'"&amp;$B77&amp;"'!$R$6:$R$205"),MATCH($AR77&amp;"|"&amp;S$5,INDIRECT("'"&amp;$B77&amp;"'!$AF$6:$AF$205"),0))),"-"))</f>
        <v/>
      </c>
      <c r="T77" s="37">
        <f>IF(OR(AP77="",T$5="-"),"",IFERROR(IF(INDEX(INDIRECT("'"&amp;$B77&amp;"'!$R$6:$R$205"),MATCH($AR77&amp;"|"&amp;T$5,INDIRECT("'"&amp;$B77&amp;"'!$AF$6:$AF$205"),0))="","",INDEX(INDIRECT("'"&amp;$B77&amp;"'!$R$6:$R$205"),MATCH($AR77&amp;"|"&amp;T$5,INDIRECT("'"&amp;$B77&amp;"'!$AF$6:$AF$205"),0))),"-"))</f>
        <v/>
      </c>
      <c r="U77" s="37">
        <f>IF(OR(AP77="",U$5="-"),"",IFERROR(IF(INDEX(INDIRECT("'"&amp;$B77&amp;"'!$R$6:$R$205"),MATCH($AR77&amp;"|"&amp;U$5,INDIRECT("'"&amp;$B77&amp;"'!$AF$6:$AF$205"),0))="","",INDEX(INDIRECT("'"&amp;$B77&amp;"'!$R$6:$R$205"),MATCH($AR77&amp;"|"&amp;U$5,INDIRECT("'"&amp;$B77&amp;"'!$AF$6:$AF$205"),0))),"-"))</f>
        <v/>
      </c>
      <c r="V77" s="37">
        <f>IF(OR(AP77="",V$5="-"),"",IFERROR(IF(INDEX(INDIRECT("'"&amp;$B77&amp;"'!$R$6:$R$205"),MATCH($AR77&amp;"|"&amp;V$5,INDIRECT("'"&amp;$B77&amp;"'!$AF$6:$AF$205"),0))="","",INDEX(INDIRECT("'"&amp;$B77&amp;"'!$R$6:$R$205"),MATCH($AR77&amp;"|"&amp;V$5,INDIRECT("'"&amp;$B77&amp;"'!$AF$6:$AF$205"),0))),"-"))</f>
        <v/>
      </c>
      <c r="W77" s="37">
        <f>IF(OR(AP77="",W$5="-"),"",IFERROR(IF(INDEX(INDIRECT("'"&amp;$B77&amp;"'!$R$6:$R$205"),MATCH($AR77&amp;"|"&amp;W$5,INDIRECT("'"&amp;$B77&amp;"'!$AF$6:$AF$205"),0))="","",INDEX(INDIRECT("'"&amp;$B77&amp;"'!$R$6:$R$205"),MATCH($AR77&amp;"|"&amp;W$5,INDIRECT("'"&amp;$B77&amp;"'!$AF$6:$AF$205"),0))),"-"))</f>
        <v/>
      </c>
      <c r="X77" s="38">
        <f>IF(OR(AP77="",X$5="-"),"",IFERROR(IF(INDEX(INDIRECT("'"&amp;$B77&amp;"'!$T$6:$T$205"),MATCH($AR77&amp;"|"&amp;X$5,INDIRECT("'"&amp;$B77&amp;"'!$AF$6:$AF$205"),0))="","",INDEX(INDIRECT("'"&amp;$B77&amp;"'!$T$6:$T$205"),MATCH($AR77&amp;"|"&amp;X$5,INDIRECT("'"&amp;$B77&amp;"'!$AF$6:$AF$205"),0))),"-"))</f>
        <v/>
      </c>
      <c r="Y77" s="38">
        <f>IF(OR(AP77="",Y$5="-"),"",IFERROR(IF(INDEX(INDIRECT("'"&amp;$B77&amp;"'!$T$6:$T$205"),MATCH($AR77&amp;"|"&amp;Y$5,INDIRECT("'"&amp;$B77&amp;"'!$AF$6:$AF$205"),0))="","",INDEX(INDIRECT("'"&amp;$B77&amp;"'!$T$6:$T$205"),MATCH($AR77&amp;"|"&amp;Y$5,INDIRECT("'"&amp;$B77&amp;"'!$AF$6:$AF$205"),0))),"-"))</f>
        <v/>
      </c>
      <c r="Z77" s="38">
        <f>IF(OR(AP77="",Z$5="-"),"",IFERROR(IF(INDEX(INDIRECT("'"&amp;$B77&amp;"'!$T$6:$T$205"),MATCH($AR77&amp;"|"&amp;Z$5,INDIRECT("'"&amp;$B77&amp;"'!$AF$6:$AF$205"),0))="","",INDEX(INDIRECT("'"&amp;$B77&amp;"'!$T$6:$T$205"),MATCH($AR77&amp;"|"&amp;Z$5,INDIRECT("'"&amp;$B77&amp;"'!$AF$6:$AF$205"),0))),"-"))</f>
        <v/>
      </c>
      <c r="AA77" s="38">
        <f>IF(OR(AP77="",AA$5="-"),"",IFERROR(IF(INDEX(INDIRECT("'"&amp;$B77&amp;"'!$T$6:$T$205"),MATCH($AR77&amp;"|"&amp;AA$5,INDIRECT("'"&amp;$B77&amp;"'!$AF$6:$AF$205"),0))="","",INDEX(INDIRECT("'"&amp;$B77&amp;"'!$T$6:$T$205"),MATCH($AR77&amp;"|"&amp;AA$5,INDIRECT("'"&amp;$B77&amp;"'!$AF$6:$AF$205"),0))),"-"))</f>
        <v/>
      </c>
      <c r="AB77" s="38">
        <f>IF(OR(AP77="",AB$5="-"),"",IFERROR(IF(INDEX(INDIRECT("'"&amp;$B77&amp;"'!$T$6:$T$205"),MATCH($AR77&amp;"|"&amp;AB$5,INDIRECT("'"&amp;$B77&amp;"'!$AF$6:$AF$205"),0))="","",INDEX(INDIRECT("'"&amp;$B77&amp;"'!$T$6:$T$205"),MATCH($AR77&amp;"|"&amp;AB$5,INDIRECT("'"&amp;$B77&amp;"'!$AF$6:$AF$205"),0))),"-"))</f>
        <v/>
      </c>
      <c r="AC77" s="38">
        <f>IF(OR(AP77="",AC$5="-"),"",IFERROR(IF(INDEX(INDIRECT("'"&amp;$B77&amp;"'!$T$6:$T$205"),MATCH($AR77&amp;"|"&amp;AC$5,INDIRECT("'"&amp;$B77&amp;"'!$AF$6:$AF$205"),0))="","",INDEX(INDIRECT("'"&amp;$B77&amp;"'!$T$6:$T$205"),MATCH($AR77&amp;"|"&amp;AC$5,INDIRECT("'"&amp;$B77&amp;"'!$AF$6:$AF$205"),0))),"-"))</f>
        <v/>
      </c>
      <c r="AD77" s="38">
        <f>IF(OR(AP77="",AD$5="-"),"",IFERROR(IF(INDEX(INDIRECT("'"&amp;$B77&amp;"'!$T$6:$T$205"),MATCH($AR77&amp;"|"&amp;AD$5,INDIRECT("'"&amp;$B77&amp;"'!$AF$6:$AF$205"),0))="","",INDEX(INDIRECT("'"&amp;$B77&amp;"'!$T$6:$T$205"),MATCH($AR77&amp;"|"&amp;AD$5,INDIRECT("'"&amp;$B77&amp;"'!$AF$6:$AF$205"),0))),"-"))</f>
        <v/>
      </c>
      <c r="AE77" s="38">
        <f>IF(OR(AP77="",AE$5="-"),"",IFERROR(IF(INDEX(INDIRECT("'"&amp;$B77&amp;"'!$T$6:$T$205"),MATCH($AR77&amp;"|"&amp;AE$5,INDIRECT("'"&amp;$B77&amp;"'!$AF$6:$AF$205"),0))="","",INDEX(INDIRECT("'"&amp;$B77&amp;"'!$T$6:$T$205"),MATCH($AR77&amp;"|"&amp;AE$5,INDIRECT("'"&amp;$B77&amp;"'!$AF$6:$AF$205"),0))),"-"))</f>
        <v/>
      </c>
      <c r="AF77" s="35">
        <f>IF(AG77="","",INDEX($P$5:$W$5,MATCH(AG77,P77:W77,0)))</f>
        <v/>
      </c>
      <c r="AG77" s="37">
        <f>IF(COUNT(P77:W77)=0,"",MIN(P77:W77))</f>
        <v/>
      </c>
      <c r="AH77" s="39">
        <f>IF(AG77="","",AG77*F77)</f>
        <v/>
      </c>
      <c r="AI77" s="39">
        <f>IF(COUNT(P77:W77)&lt;2,"",(MAX(P77:W77)-MIN(P77:W77))*F77)</f>
        <v/>
      </c>
      <c r="AJ77" s="20" t="n"/>
      <c r="AP77">
        <f>IF(72&gt;MAX($AN$6:$AN$9),"",COUNTIF($AN$6:$AN$9,"&lt;"&amp;72)+1)</f>
        <v/>
      </c>
      <c r="AQ77">
        <f>IF(AP77="","",72-INDEX($AO$6:$AO$9,AP77))</f>
        <v/>
      </c>
      <c r="AR77">
        <f>IF(AP77="","",INDEX(INDIRECT("'"&amp;$B77&amp;"'!$AE$6:$AE$205"),MATCH(AQ77,INDIRECT("'"&amp;$B77&amp;"'!$AI$6:$AI$205"),0)))</f>
        <v/>
      </c>
    </row>
    <row r="78">
      <c r="A78" s="34">
        <f>IF(AP78="","",73)</f>
        <v/>
      </c>
      <c r="B78" s="35">
        <f>IF(AP78="","",INDEX($AL$6:$AL$9,AP78))</f>
        <v/>
      </c>
      <c r="C78" s="34">
        <f>IF(AP78="","",INDEX(INDIRECT("'"&amp;$B78&amp;"'!$B$6:$B$205"),MATCH($AR78,INDIRECT("'"&amp;$B78&amp;"'!$AE$6:$AE$205"),0)))</f>
        <v/>
      </c>
      <c r="D78" s="34">
        <f>IF(AP78="","",INDEX(INDIRECT("'"&amp;$B78&amp;"'!$D$6:$D$205"),MATCH($AR78,INDIRECT("'"&amp;$B78&amp;"'!$AE$6:$AE$205"),0)))</f>
        <v/>
      </c>
      <c r="E78" s="36">
        <f>IF(AP78="","",INDEX(INDIRECT("'"&amp;$B78&amp;"'!$F$6:$F$205"),MATCH($AR78,INDIRECT("'"&amp;$B78&amp;"'!$AE$6:$AE$205"),0)))</f>
        <v/>
      </c>
      <c r="F78" s="34">
        <f>IF(AP78="","",INDEX(INDIRECT("'"&amp;$B78&amp;"'!$K$6:$K$205"),MATCH($AR78,INDIRECT("'"&amp;$B78&amp;"'!$AE$6:$AE$205"),0)))</f>
        <v/>
      </c>
      <c r="G78" s="34">
        <f>IF(AP78="","",INDEX(INDIRECT("'"&amp;$B78&amp;"'!$L$6:$L$205"),MATCH($AR78,INDIRECT("'"&amp;$B78&amp;"'!$AE$6:$AE$205"),0)))</f>
        <v/>
      </c>
      <c r="H78" s="34">
        <f>IF(OR(AP78="",H$5="-"),"",IFERROR(IF(INDEX(INDIRECT("'"&amp;$B78&amp;"'!$N$6:$N$205"),MATCH($AR78&amp;"|"&amp;H$5,INDIRECT("'"&amp;$B78&amp;"'!$AF$6:$AF$205"),0))="","",INDEX(INDIRECT("'"&amp;$B78&amp;"'!$N$6:$N$205"),MATCH($AR78&amp;"|"&amp;H$5,INDIRECT("'"&amp;$B78&amp;"'!$AF$6:$AF$205"),0))),"-"))</f>
        <v/>
      </c>
      <c r="I78" s="34">
        <f>IF(OR(AP78="",I$5="-"),"",IFERROR(IF(INDEX(INDIRECT("'"&amp;$B78&amp;"'!$N$6:$N$205"),MATCH($AR78&amp;"|"&amp;I$5,INDIRECT("'"&amp;$B78&amp;"'!$AF$6:$AF$205"),0))="","",INDEX(INDIRECT("'"&amp;$B78&amp;"'!$N$6:$N$205"),MATCH($AR78&amp;"|"&amp;I$5,INDIRECT("'"&amp;$B78&amp;"'!$AF$6:$AF$205"),0))),"-"))</f>
        <v/>
      </c>
      <c r="J78" s="34">
        <f>IF(OR(AP78="",J$5="-"),"",IFERROR(IF(INDEX(INDIRECT("'"&amp;$B78&amp;"'!$N$6:$N$205"),MATCH($AR78&amp;"|"&amp;J$5,INDIRECT("'"&amp;$B78&amp;"'!$AF$6:$AF$205"),0))="","",INDEX(INDIRECT("'"&amp;$B78&amp;"'!$N$6:$N$205"),MATCH($AR78&amp;"|"&amp;J$5,INDIRECT("'"&amp;$B78&amp;"'!$AF$6:$AF$205"),0))),"-"))</f>
        <v/>
      </c>
      <c r="K78" s="34">
        <f>IF(OR(AP78="",K$5="-"),"",IFERROR(IF(INDEX(INDIRECT("'"&amp;$B78&amp;"'!$N$6:$N$205"),MATCH($AR78&amp;"|"&amp;K$5,INDIRECT("'"&amp;$B78&amp;"'!$AF$6:$AF$205"),0))="","",INDEX(INDIRECT("'"&amp;$B78&amp;"'!$N$6:$N$205"),MATCH($AR78&amp;"|"&amp;K$5,INDIRECT("'"&amp;$B78&amp;"'!$AF$6:$AF$205"),0))),"-"))</f>
        <v/>
      </c>
      <c r="L78" s="34">
        <f>IF(OR(AP78="",L$5="-"),"",IFERROR(IF(INDEX(INDIRECT("'"&amp;$B78&amp;"'!$N$6:$N$205"),MATCH($AR78&amp;"|"&amp;L$5,INDIRECT("'"&amp;$B78&amp;"'!$AF$6:$AF$205"),0))="","",INDEX(INDIRECT("'"&amp;$B78&amp;"'!$N$6:$N$205"),MATCH($AR78&amp;"|"&amp;L$5,INDIRECT("'"&amp;$B78&amp;"'!$AF$6:$AF$205"),0))),"-"))</f>
        <v/>
      </c>
      <c r="M78" s="34">
        <f>IF(OR(AP78="",M$5="-"),"",IFERROR(IF(INDEX(INDIRECT("'"&amp;$B78&amp;"'!$N$6:$N$205"),MATCH($AR78&amp;"|"&amp;M$5,INDIRECT("'"&amp;$B78&amp;"'!$AF$6:$AF$205"),0))="","",INDEX(INDIRECT("'"&amp;$B78&amp;"'!$N$6:$N$205"),MATCH($AR78&amp;"|"&amp;M$5,INDIRECT("'"&amp;$B78&amp;"'!$AF$6:$AF$205"),0))),"-"))</f>
        <v/>
      </c>
      <c r="N78" s="34">
        <f>IF(OR(AP78="",N$5="-"),"",IFERROR(IF(INDEX(INDIRECT("'"&amp;$B78&amp;"'!$N$6:$N$205"),MATCH($AR78&amp;"|"&amp;N$5,INDIRECT("'"&amp;$B78&amp;"'!$AF$6:$AF$205"),0))="","",INDEX(INDIRECT("'"&amp;$B78&amp;"'!$N$6:$N$205"),MATCH($AR78&amp;"|"&amp;N$5,INDIRECT("'"&amp;$B78&amp;"'!$AF$6:$AF$205"),0))),"-"))</f>
        <v/>
      </c>
      <c r="O78" s="34">
        <f>IF(OR(AP78="",O$5="-"),"",IFERROR(IF(INDEX(INDIRECT("'"&amp;$B78&amp;"'!$N$6:$N$205"),MATCH($AR78&amp;"|"&amp;O$5,INDIRECT("'"&amp;$B78&amp;"'!$AF$6:$AF$205"),0))="","",INDEX(INDIRECT("'"&amp;$B78&amp;"'!$N$6:$N$205"),MATCH($AR78&amp;"|"&amp;O$5,INDIRECT("'"&amp;$B78&amp;"'!$AF$6:$AF$205"),0))),"-"))</f>
        <v/>
      </c>
      <c r="P78" s="37">
        <f>IF(OR(AP78="",P$5="-"),"",IFERROR(IF(INDEX(INDIRECT("'"&amp;$B78&amp;"'!$R$6:$R$205"),MATCH($AR78&amp;"|"&amp;P$5,INDIRECT("'"&amp;$B78&amp;"'!$AF$6:$AF$205"),0))="","",INDEX(INDIRECT("'"&amp;$B78&amp;"'!$R$6:$R$205"),MATCH($AR78&amp;"|"&amp;P$5,INDIRECT("'"&amp;$B78&amp;"'!$AF$6:$AF$205"),0))),"-"))</f>
        <v/>
      </c>
      <c r="Q78" s="37">
        <f>IF(OR(AP78="",Q$5="-"),"",IFERROR(IF(INDEX(INDIRECT("'"&amp;$B78&amp;"'!$R$6:$R$205"),MATCH($AR78&amp;"|"&amp;Q$5,INDIRECT("'"&amp;$B78&amp;"'!$AF$6:$AF$205"),0))="","",INDEX(INDIRECT("'"&amp;$B78&amp;"'!$R$6:$R$205"),MATCH($AR78&amp;"|"&amp;Q$5,INDIRECT("'"&amp;$B78&amp;"'!$AF$6:$AF$205"),0))),"-"))</f>
        <v/>
      </c>
      <c r="R78" s="37">
        <f>IF(OR(AP78="",R$5="-"),"",IFERROR(IF(INDEX(INDIRECT("'"&amp;$B78&amp;"'!$R$6:$R$205"),MATCH($AR78&amp;"|"&amp;R$5,INDIRECT("'"&amp;$B78&amp;"'!$AF$6:$AF$205"),0))="","",INDEX(INDIRECT("'"&amp;$B78&amp;"'!$R$6:$R$205"),MATCH($AR78&amp;"|"&amp;R$5,INDIRECT("'"&amp;$B78&amp;"'!$AF$6:$AF$205"),0))),"-"))</f>
        <v/>
      </c>
      <c r="S78" s="37">
        <f>IF(OR(AP78="",S$5="-"),"",IFERROR(IF(INDEX(INDIRECT("'"&amp;$B78&amp;"'!$R$6:$R$205"),MATCH($AR78&amp;"|"&amp;S$5,INDIRECT("'"&amp;$B78&amp;"'!$AF$6:$AF$205"),0))="","",INDEX(INDIRECT("'"&amp;$B78&amp;"'!$R$6:$R$205"),MATCH($AR78&amp;"|"&amp;S$5,INDIRECT("'"&amp;$B78&amp;"'!$AF$6:$AF$205"),0))),"-"))</f>
        <v/>
      </c>
      <c r="T78" s="37">
        <f>IF(OR(AP78="",T$5="-"),"",IFERROR(IF(INDEX(INDIRECT("'"&amp;$B78&amp;"'!$R$6:$R$205"),MATCH($AR78&amp;"|"&amp;T$5,INDIRECT("'"&amp;$B78&amp;"'!$AF$6:$AF$205"),0))="","",INDEX(INDIRECT("'"&amp;$B78&amp;"'!$R$6:$R$205"),MATCH($AR78&amp;"|"&amp;T$5,INDIRECT("'"&amp;$B78&amp;"'!$AF$6:$AF$205"),0))),"-"))</f>
        <v/>
      </c>
      <c r="U78" s="37">
        <f>IF(OR(AP78="",U$5="-"),"",IFERROR(IF(INDEX(INDIRECT("'"&amp;$B78&amp;"'!$R$6:$R$205"),MATCH($AR78&amp;"|"&amp;U$5,INDIRECT("'"&amp;$B78&amp;"'!$AF$6:$AF$205"),0))="","",INDEX(INDIRECT("'"&amp;$B78&amp;"'!$R$6:$R$205"),MATCH($AR78&amp;"|"&amp;U$5,INDIRECT("'"&amp;$B78&amp;"'!$AF$6:$AF$205"),0))),"-"))</f>
        <v/>
      </c>
      <c r="V78" s="37">
        <f>IF(OR(AP78="",V$5="-"),"",IFERROR(IF(INDEX(INDIRECT("'"&amp;$B78&amp;"'!$R$6:$R$205"),MATCH($AR78&amp;"|"&amp;V$5,INDIRECT("'"&amp;$B78&amp;"'!$AF$6:$AF$205"),0))="","",INDEX(INDIRECT("'"&amp;$B78&amp;"'!$R$6:$R$205"),MATCH($AR78&amp;"|"&amp;V$5,INDIRECT("'"&amp;$B78&amp;"'!$AF$6:$AF$205"),0))),"-"))</f>
        <v/>
      </c>
      <c r="W78" s="37">
        <f>IF(OR(AP78="",W$5="-"),"",IFERROR(IF(INDEX(INDIRECT("'"&amp;$B78&amp;"'!$R$6:$R$205"),MATCH($AR78&amp;"|"&amp;W$5,INDIRECT("'"&amp;$B78&amp;"'!$AF$6:$AF$205"),0))="","",INDEX(INDIRECT("'"&amp;$B78&amp;"'!$R$6:$R$205"),MATCH($AR78&amp;"|"&amp;W$5,INDIRECT("'"&amp;$B78&amp;"'!$AF$6:$AF$205"),0))),"-"))</f>
        <v/>
      </c>
      <c r="X78" s="38">
        <f>IF(OR(AP78="",X$5="-"),"",IFERROR(IF(INDEX(INDIRECT("'"&amp;$B78&amp;"'!$T$6:$T$205"),MATCH($AR78&amp;"|"&amp;X$5,INDIRECT("'"&amp;$B78&amp;"'!$AF$6:$AF$205"),0))="","",INDEX(INDIRECT("'"&amp;$B78&amp;"'!$T$6:$T$205"),MATCH($AR78&amp;"|"&amp;X$5,INDIRECT("'"&amp;$B78&amp;"'!$AF$6:$AF$205"),0))),"-"))</f>
        <v/>
      </c>
      <c r="Y78" s="38">
        <f>IF(OR(AP78="",Y$5="-"),"",IFERROR(IF(INDEX(INDIRECT("'"&amp;$B78&amp;"'!$T$6:$T$205"),MATCH($AR78&amp;"|"&amp;Y$5,INDIRECT("'"&amp;$B78&amp;"'!$AF$6:$AF$205"),0))="","",INDEX(INDIRECT("'"&amp;$B78&amp;"'!$T$6:$T$205"),MATCH($AR78&amp;"|"&amp;Y$5,INDIRECT("'"&amp;$B78&amp;"'!$AF$6:$AF$205"),0))),"-"))</f>
        <v/>
      </c>
      <c r="Z78" s="38">
        <f>IF(OR(AP78="",Z$5="-"),"",IFERROR(IF(INDEX(INDIRECT("'"&amp;$B78&amp;"'!$T$6:$T$205"),MATCH($AR78&amp;"|"&amp;Z$5,INDIRECT("'"&amp;$B78&amp;"'!$AF$6:$AF$205"),0))="","",INDEX(INDIRECT("'"&amp;$B78&amp;"'!$T$6:$T$205"),MATCH($AR78&amp;"|"&amp;Z$5,INDIRECT("'"&amp;$B78&amp;"'!$AF$6:$AF$205"),0))),"-"))</f>
        <v/>
      </c>
      <c r="AA78" s="38">
        <f>IF(OR(AP78="",AA$5="-"),"",IFERROR(IF(INDEX(INDIRECT("'"&amp;$B78&amp;"'!$T$6:$T$205"),MATCH($AR78&amp;"|"&amp;AA$5,INDIRECT("'"&amp;$B78&amp;"'!$AF$6:$AF$205"),0))="","",INDEX(INDIRECT("'"&amp;$B78&amp;"'!$T$6:$T$205"),MATCH($AR78&amp;"|"&amp;AA$5,INDIRECT("'"&amp;$B78&amp;"'!$AF$6:$AF$205"),0))),"-"))</f>
        <v/>
      </c>
      <c r="AB78" s="38">
        <f>IF(OR(AP78="",AB$5="-"),"",IFERROR(IF(INDEX(INDIRECT("'"&amp;$B78&amp;"'!$T$6:$T$205"),MATCH($AR78&amp;"|"&amp;AB$5,INDIRECT("'"&amp;$B78&amp;"'!$AF$6:$AF$205"),0))="","",INDEX(INDIRECT("'"&amp;$B78&amp;"'!$T$6:$T$205"),MATCH($AR78&amp;"|"&amp;AB$5,INDIRECT("'"&amp;$B78&amp;"'!$AF$6:$AF$205"),0))),"-"))</f>
        <v/>
      </c>
      <c r="AC78" s="38">
        <f>IF(OR(AP78="",AC$5="-"),"",IFERROR(IF(INDEX(INDIRECT("'"&amp;$B78&amp;"'!$T$6:$T$205"),MATCH($AR78&amp;"|"&amp;AC$5,INDIRECT("'"&amp;$B78&amp;"'!$AF$6:$AF$205"),0))="","",INDEX(INDIRECT("'"&amp;$B78&amp;"'!$T$6:$T$205"),MATCH($AR78&amp;"|"&amp;AC$5,INDIRECT("'"&amp;$B78&amp;"'!$AF$6:$AF$205"),0))),"-"))</f>
        <v/>
      </c>
      <c r="AD78" s="38">
        <f>IF(OR(AP78="",AD$5="-"),"",IFERROR(IF(INDEX(INDIRECT("'"&amp;$B78&amp;"'!$T$6:$T$205"),MATCH($AR78&amp;"|"&amp;AD$5,INDIRECT("'"&amp;$B78&amp;"'!$AF$6:$AF$205"),0))="","",INDEX(INDIRECT("'"&amp;$B78&amp;"'!$T$6:$T$205"),MATCH($AR78&amp;"|"&amp;AD$5,INDIRECT("'"&amp;$B78&amp;"'!$AF$6:$AF$205"),0))),"-"))</f>
        <v/>
      </c>
      <c r="AE78" s="38">
        <f>IF(OR(AP78="",AE$5="-"),"",IFERROR(IF(INDEX(INDIRECT("'"&amp;$B78&amp;"'!$T$6:$T$205"),MATCH($AR78&amp;"|"&amp;AE$5,INDIRECT("'"&amp;$B78&amp;"'!$AF$6:$AF$205"),0))="","",INDEX(INDIRECT("'"&amp;$B78&amp;"'!$T$6:$T$205"),MATCH($AR78&amp;"|"&amp;AE$5,INDIRECT("'"&amp;$B78&amp;"'!$AF$6:$AF$205"),0))),"-"))</f>
        <v/>
      </c>
      <c r="AF78" s="35">
        <f>IF(AG78="","",INDEX($P$5:$W$5,MATCH(AG78,P78:W78,0)))</f>
        <v/>
      </c>
      <c r="AG78" s="37">
        <f>IF(COUNT(P78:W78)=0,"",MIN(P78:W78))</f>
        <v/>
      </c>
      <c r="AH78" s="39">
        <f>IF(AG78="","",AG78*F78)</f>
        <v/>
      </c>
      <c r="AI78" s="39">
        <f>IF(COUNT(P78:W78)&lt;2,"",(MAX(P78:W78)-MIN(P78:W78))*F78)</f>
        <v/>
      </c>
      <c r="AJ78" s="20" t="n"/>
      <c r="AP78">
        <f>IF(73&gt;MAX($AN$6:$AN$9),"",COUNTIF($AN$6:$AN$9,"&lt;"&amp;73)+1)</f>
        <v/>
      </c>
      <c r="AQ78">
        <f>IF(AP78="","",73-INDEX($AO$6:$AO$9,AP78))</f>
        <v/>
      </c>
      <c r="AR78">
        <f>IF(AP78="","",INDEX(INDIRECT("'"&amp;$B78&amp;"'!$AE$6:$AE$205"),MATCH(AQ78,INDIRECT("'"&amp;$B78&amp;"'!$AI$6:$AI$205"),0)))</f>
        <v/>
      </c>
    </row>
    <row r="79">
      <c r="A79" s="34">
        <f>IF(AP79="","",74)</f>
        <v/>
      </c>
      <c r="B79" s="35">
        <f>IF(AP79="","",INDEX($AL$6:$AL$9,AP79))</f>
        <v/>
      </c>
      <c r="C79" s="34">
        <f>IF(AP79="","",INDEX(INDIRECT("'"&amp;$B79&amp;"'!$B$6:$B$205"),MATCH($AR79,INDIRECT("'"&amp;$B79&amp;"'!$AE$6:$AE$205"),0)))</f>
        <v/>
      </c>
      <c r="D79" s="34">
        <f>IF(AP79="","",INDEX(INDIRECT("'"&amp;$B79&amp;"'!$D$6:$D$205"),MATCH($AR79,INDIRECT("'"&amp;$B79&amp;"'!$AE$6:$AE$205"),0)))</f>
        <v/>
      </c>
      <c r="E79" s="36">
        <f>IF(AP79="","",INDEX(INDIRECT("'"&amp;$B79&amp;"'!$F$6:$F$205"),MATCH($AR79,INDIRECT("'"&amp;$B79&amp;"'!$AE$6:$AE$205"),0)))</f>
        <v/>
      </c>
      <c r="F79" s="34">
        <f>IF(AP79="","",INDEX(INDIRECT("'"&amp;$B79&amp;"'!$K$6:$K$205"),MATCH($AR79,INDIRECT("'"&amp;$B79&amp;"'!$AE$6:$AE$205"),0)))</f>
        <v/>
      </c>
      <c r="G79" s="34">
        <f>IF(AP79="","",INDEX(INDIRECT("'"&amp;$B79&amp;"'!$L$6:$L$205"),MATCH($AR79,INDIRECT("'"&amp;$B79&amp;"'!$AE$6:$AE$205"),0)))</f>
        <v/>
      </c>
      <c r="H79" s="34">
        <f>IF(OR(AP79="",H$5="-"),"",IFERROR(IF(INDEX(INDIRECT("'"&amp;$B79&amp;"'!$N$6:$N$205"),MATCH($AR79&amp;"|"&amp;H$5,INDIRECT("'"&amp;$B79&amp;"'!$AF$6:$AF$205"),0))="","",INDEX(INDIRECT("'"&amp;$B79&amp;"'!$N$6:$N$205"),MATCH($AR79&amp;"|"&amp;H$5,INDIRECT("'"&amp;$B79&amp;"'!$AF$6:$AF$205"),0))),"-"))</f>
        <v/>
      </c>
      <c r="I79" s="34">
        <f>IF(OR(AP79="",I$5="-"),"",IFERROR(IF(INDEX(INDIRECT("'"&amp;$B79&amp;"'!$N$6:$N$205"),MATCH($AR79&amp;"|"&amp;I$5,INDIRECT("'"&amp;$B79&amp;"'!$AF$6:$AF$205"),0))="","",INDEX(INDIRECT("'"&amp;$B79&amp;"'!$N$6:$N$205"),MATCH($AR79&amp;"|"&amp;I$5,INDIRECT("'"&amp;$B79&amp;"'!$AF$6:$AF$205"),0))),"-"))</f>
        <v/>
      </c>
      <c r="J79" s="34">
        <f>IF(OR(AP79="",J$5="-"),"",IFERROR(IF(INDEX(INDIRECT("'"&amp;$B79&amp;"'!$N$6:$N$205"),MATCH($AR79&amp;"|"&amp;J$5,INDIRECT("'"&amp;$B79&amp;"'!$AF$6:$AF$205"),0))="","",INDEX(INDIRECT("'"&amp;$B79&amp;"'!$N$6:$N$205"),MATCH($AR79&amp;"|"&amp;J$5,INDIRECT("'"&amp;$B79&amp;"'!$AF$6:$AF$205"),0))),"-"))</f>
        <v/>
      </c>
      <c r="K79" s="34">
        <f>IF(OR(AP79="",K$5="-"),"",IFERROR(IF(INDEX(INDIRECT("'"&amp;$B79&amp;"'!$N$6:$N$205"),MATCH($AR79&amp;"|"&amp;K$5,INDIRECT("'"&amp;$B79&amp;"'!$AF$6:$AF$205"),0))="","",INDEX(INDIRECT("'"&amp;$B79&amp;"'!$N$6:$N$205"),MATCH($AR79&amp;"|"&amp;K$5,INDIRECT("'"&amp;$B79&amp;"'!$AF$6:$AF$205"),0))),"-"))</f>
        <v/>
      </c>
      <c r="L79" s="34">
        <f>IF(OR(AP79="",L$5="-"),"",IFERROR(IF(INDEX(INDIRECT("'"&amp;$B79&amp;"'!$N$6:$N$205"),MATCH($AR79&amp;"|"&amp;L$5,INDIRECT("'"&amp;$B79&amp;"'!$AF$6:$AF$205"),0))="","",INDEX(INDIRECT("'"&amp;$B79&amp;"'!$N$6:$N$205"),MATCH($AR79&amp;"|"&amp;L$5,INDIRECT("'"&amp;$B79&amp;"'!$AF$6:$AF$205"),0))),"-"))</f>
        <v/>
      </c>
      <c r="M79" s="34">
        <f>IF(OR(AP79="",M$5="-"),"",IFERROR(IF(INDEX(INDIRECT("'"&amp;$B79&amp;"'!$N$6:$N$205"),MATCH($AR79&amp;"|"&amp;M$5,INDIRECT("'"&amp;$B79&amp;"'!$AF$6:$AF$205"),0))="","",INDEX(INDIRECT("'"&amp;$B79&amp;"'!$N$6:$N$205"),MATCH($AR79&amp;"|"&amp;M$5,INDIRECT("'"&amp;$B79&amp;"'!$AF$6:$AF$205"),0))),"-"))</f>
        <v/>
      </c>
      <c r="N79" s="34">
        <f>IF(OR(AP79="",N$5="-"),"",IFERROR(IF(INDEX(INDIRECT("'"&amp;$B79&amp;"'!$N$6:$N$205"),MATCH($AR79&amp;"|"&amp;N$5,INDIRECT("'"&amp;$B79&amp;"'!$AF$6:$AF$205"),0))="","",INDEX(INDIRECT("'"&amp;$B79&amp;"'!$N$6:$N$205"),MATCH($AR79&amp;"|"&amp;N$5,INDIRECT("'"&amp;$B79&amp;"'!$AF$6:$AF$205"),0))),"-"))</f>
        <v/>
      </c>
      <c r="O79" s="34">
        <f>IF(OR(AP79="",O$5="-"),"",IFERROR(IF(INDEX(INDIRECT("'"&amp;$B79&amp;"'!$N$6:$N$205"),MATCH($AR79&amp;"|"&amp;O$5,INDIRECT("'"&amp;$B79&amp;"'!$AF$6:$AF$205"),0))="","",INDEX(INDIRECT("'"&amp;$B79&amp;"'!$N$6:$N$205"),MATCH($AR79&amp;"|"&amp;O$5,INDIRECT("'"&amp;$B79&amp;"'!$AF$6:$AF$205"),0))),"-"))</f>
        <v/>
      </c>
      <c r="P79" s="37">
        <f>IF(OR(AP79="",P$5="-"),"",IFERROR(IF(INDEX(INDIRECT("'"&amp;$B79&amp;"'!$R$6:$R$205"),MATCH($AR79&amp;"|"&amp;P$5,INDIRECT("'"&amp;$B79&amp;"'!$AF$6:$AF$205"),0))="","",INDEX(INDIRECT("'"&amp;$B79&amp;"'!$R$6:$R$205"),MATCH($AR79&amp;"|"&amp;P$5,INDIRECT("'"&amp;$B79&amp;"'!$AF$6:$AF$205"),0))),"-"))</f>
        <v/>
      </c>
      <c r="Q79" s="37">
        <f>IF(OR(AP79="",Q$5="-"),"",IFERROR(IF(INDEX(INDIRECT("'"&amp;$B79&amp;"'!$R$6:$R$205"),MATCH($AR79&amp;"|"&amp;Q$5,INDIRECT("'"&amp;$B79&amp;"'!$AF$6:$AF$205"),0))="","",INDEX(INDIRECT("'"&amp;$B79&amp;"'!$R$6:$R$205"),MATCH($AR79&amp;"|"&amp;Q$5,INDIRECT("'"&amp;$B79&amp;"'!$AF$6:$AF$205"),0))),"-"))</f>
        <v/>
      </c>
      <c r="R79" s="37">
        <f>IF(OR(AP79="",R$5="-"),"",IFERROR(IF(INDEX(INDIRECT("'"&amp;$B79&amp;"'!$R$6:$R$205"),MATCH($AR79&amp;"|"&amp;R$5,INDIRECT("'"&amp;$B79&amp;"'!$AF$6:$AF$205"),0))="","",INDEX(INDIRECT("'"&amp;$B79&amp;"'!$R$6:$R$205"),MATCH($AR79&amp;"|"&amp;R$5,INDIRECT("'"&amp;$B79&amp;"'!$AF$6:$AF$205"),0))),"-"))</f>
        <v/>
      </c>
      <c r="S79" s="37">
        <f>IF(OR(AP79="",S$5="-"),"",IFERROR(IF(INDEX(INDIRECT("'"&amp;$B79&amp;"'!$R$6:$R$205"),MATCH($AR79&amp;"|"&amp;S$5,INDIRECT("'"&amp;$B79&amp;"'!$AF$6:$AF$205"),0))="","",INDEX(INDIRECT("'"&amp;$B79&amp;"'!$R$6:$R$205"),MATCH($AR79&amp;"|"&amp;S$5,INDIRECT("'"&amp;$B79&amp;"'!$AF$6:$AF$205"),0))),"-"))</f>
        <v/>
      </c>
      <c r="T79" s="37">
        <f>IF(OR(AP79="",T$5="-"),"",IFERROR(IF(INDEX(INDIRECT("'"&amp;$B79&amp;"'!$R$6:$R$205"),MATCH($AR79&amp;"|"&amp;T$5,INDIRECT("'"&amp;$B79&amp;"'!$AF$6:$AF$205"),0))="","",INDEX(INDIRECT("'"&amp;$B79&amp;"'!$R$6:$R$205"),MATCH($AR79&amp;"|"&amp;T$5,INDIRECT("'"&amp;$B79&amp;"'!$AF$6:$AF$205"),0))),"-"))</f>
        <v/>
      </c>
      <c r="U79" s="37">
        <f>IF(OR(AP79="",U$5="-"),"",IFERROR(IF(INDEX(INDIRECT("'"&amp;$B79&amp;"'!$R$6:$R$205"),MATCH($AR79&amp;"|"&amp;U$5,INDIRECT("'"&amp;$B79&amp;"'!$AF$6:$AF$205"),0))="","",INDEX(INDIRECT("'"&amp;$B79&amp;"'!$R$6:$R$205"),MATCH($AR79&amp;"|"&amp;U$5,INDIRECT("'"&amp;$B79&amp;"'!$AF$6:$AF$205"),0))),"-"))</f>
        <v/>
      </c>
      <c r="V79" s="37">
        <f>IF(OR(AP79="",V$5="-"),"",IFERROR(IF(INDEX(INDIRECT("'"&amp;$B79&amp;"'!$R$6:$R$205"),MATCH($AR79&amp;"|"&amp;V$5,INDIRECT("'"&amp;$B79&amp;"'!$AF$6:$AF$205"),0))="","",INDEX(INDIRECT("'"&amp;$B79&amp;"'!$R$6:$R$205"),MATCH($AR79&amp;"|"&amp;V$5,INDIRECT("'"&amp;$B79&amp;"'!$AF$6:$AF$205"),0))),"-"))</f>
        <v/>
      </c>
      <c r="W79" s="37">
        <f>IF(OR(AP79="",W$5="-"),"",IFERROR(IF(INDEX(INDIRECT("'"&amp;$B79&amp;"'!$R$6:$R$205"),MATCH($AR79&amp;"|"&amp;W$5,INDIRECT("'"&amp;$B79&amp;"'!$AF$6:$AF$205"),0))="","",INDEX(INDIRECT("'"&amp;$B79&amp;"'!$R$6:$R$205"),MATCH($AR79&amp;"|"&amp;W$5,INDIRECT("'"&amp;$B79&amp;"'!$AF$6:$AF$205"),0))),"-"))</f>
        <v/>
      </c>
      <c r="X79" s="38">
        <f>IF(OR(AP79="",X$5="-"),"",IFERROR(IF(INDEX(INDIRECT("'"&amp;$B79&amp;"'!$T$6:$T$205"),MATCH($AR79&amp;"|"&amp;X$5,INDIRECT("'"&amp;$B79&amp;"'!$AF$6:$AF$205"),0))="","",INDEX(INDIRECT("'"&amp;$B79&amp;"'!$T$6:$T$205"),MATCH($AR79&amp;"|"&amp;X$5,INDIRECT("'"&amp;$B79&amp;"'!$AF$6:$AF$205"),0))),"-"))</f>
        <v/>
      </c>
      <c r="Y79" s="38">
        <f>IF(OR(AP79="",Y$5="-"),"",IFERROR(IF(INDEX(INDIRECT("'"&amp;$B79&amp;"'!$T$6:$T$205"),MATCH($AR79&amp;"|"&amp;Y$5,INDIRECT("'"&amp;$B79&amp;"'!$AF$6:$AF$205"),0))="","",INDEX(INDIRECT("'"&amp;$B79&amp;"'!$T$6:$T$205"),MATCH($AR79&amp;"|"&amp;Y$5,INDIRECT("'"&amp;$B79&amp;"'!$AF$6:$AF$205"),0))),"-"))</f>
        <v/>
      </c>
      <c r="Z79" s="38">
        <f>IF(OR(AP79="",Z$5="-"),"",IFERROR(IF(INDEX(INDIRECT("'"&amp;$B79&amp;"'!$T$6:$T$205"),MATCH($AR79&amp;"|"&amp;Z$5,INDIRECT("'"&amp;$B79&amp;"'!$AF$6:$AF$205"),0))="","",INDEX(INDIRECT("'"&amp;$B79&amp;"'!$T$6:$T$205"),MATCH($AR79&amp;"|"&amp;Z$5,INDIRECT("'"&amp;$B79&amp;"'!$AF$6:$AF$205"),0))),"-"))</f>
        <v/>
      </c>
      <c r="AA79" s="38">
        <f>IF(OR(AP79="",AA$5="-"),"",IFERROR(IF(INDEX(INDIRECT("'"&amp;$B79&amp;"'!$T$6:$T$205"),MATCH($AR79&amp;"|"&amp;AA$5,INDIRECT("'"&amp;$B79&amp;"'!$AF$6:$AF$205"),0))="","",INDEX(INDIRECT("'"&amp;$B79&amp;"'!$T$6:$T$205"),MATCH($AR79&amp;"|"&amp;AA$5,INDIRECT("'"&amp;$B79&amp;"'!$AF$6:$AF$205"),0))),"-"))</f>
        <v/>
      </c>
      <c r="AB79" s="38">
        <f>IF(OR(AP79="",AB$5="-"),"",IFERROR(IF(INDEX(INDIRECT("'"&amp;$B79&amp;"'!$T$6:$T$205"),MATCH($AR79&amp;"|"&amp;AB$5,INDIRECT("'"&amp;$B79&amp;"'!$AF$6:$AF$205"),0))="","",INDEX(INDIRECT("'"&amp;$B79&amp;"'!$T$6:$T$205"),MATCH($AR79&amp;"|"&amp;AB$5,INDIRECT("'"&amp;$B79&amp;"'!$AF$6:$AF$205"),0))),"-"))</f>
        <v/>
      </c>
      <c r="AC79" s="38">
        <f>IF(OR(AP79="",AC$5="-"),"",IFERROR(IF(INDEX(INDIRECT("'"&amp;$B79&amp;"'!$T$6:$T$205"),MATCH($AR79&amp;"|"&amp;AC$5,INDIRECT("'"&amp;$B79&amp;"'!$AF$6:$AF$205"),0))="","",INDEX(INDIRECT("'"&amp;$B79&amp;"'!$T$6:$T$205"),MATCH($AR79&amp;"|"&amp;AC$5,INDIRECT("'"&amp;$B79&amp;"'!$AF$6:$AF$205"),0))),"-"))</f>
        <v/>
      </c>
      <c r="AD79" s="38">
        <f>IF(OR(AP79="",AD$5="-"),"",IFERROR(IF(INDEX(INDIRECT("'"&amp;$B79&amp;"'!$T$6:$T$205"),MATCH($AR79&amp;"|"&amp;AD$5,INDIRECT("'"&amp;$B79&amp;"'!$AF$6:$AF$205"),0))="","",INDEX(INDIRECT("'"&amp;$B79&amp;"'!$T$6:$T$205"),MATCH($AR79&amp;"|"&amp;AD$5,INDIRECT("'"&amp;$B79&amp;"'!$AF$6:$AF$205"),0))),"-"))</f>
        <v/>
      </c>
      <c r="AE79" s="38">
        <f>IF(OR(AP79="",AE$5="-"),"",IFERROR(IF(INDEX(INDIRECT("'"&amp;$B79&amp;"'!$T$6:$T$205"),MATCH($AR79&amp;"|"&amp;AE$5,INDIRECT("'"&amp;$B79&amp;"'!$AF$6:$AF$205"),0))="","",INDEX(INDIRECT("'"&amp;$B79&amp;"'!$T$6:$T$205"),MATCH($AR79&amp;"|"&amp;AE$5,INDIRECT("'"&amp;$B79&amp;"'!$AF$6:$AF$205"),0))),"-"))</f>
        <v/>
      </c>
      <c r="AF79" s="35">
        <f>IF(AG79="","",INDEX($P$5:$W$5,MATCH(AG79,P79:W79,0)))</f>
        <v/>
      </c>
      <c r="AG79" s="37">
        <f>IF(COUNT(P79:W79)=0,"",MIN(P79:W79))</f>
        <v/>
      </c>
      <c r="AH79" s="39">
        <f>IF(AG79="","",AG79*F79)</f>
        <v/>
      </c>
      <c r="AI79" s="39">
        <f>IF(COUNT(P79:W79)&lt;2,"",(MAX(P79:W79)-MIN(P79:W79))*F79)</f>
        <v/>
      </c>
      <c r="AJ79" s="20" t="n"/>
      <c r="AP79">
        <f>IF(74&gt;MAX($AN$6:$AN$9),"",COUNTIF($AN$6:$AN$9,"&lt;"&amp;74)+1)</f>
        <v/>
      </c>
      <c r="AQ79">
        <f>IF(AP79="","",74-INDEX($AO$6:$AO$9,AP79))</f>
        <v/>
      </c>
      <c r="AR79">
        <f>IF(AP79="","",INDEX(INDIRECT("'"&amp;$B79&amp;"'!$AE$6:$AE$205"),MATCH(AQ79,INDIRECT("'"&amp;$B79&amp;"'!$AI$6:$AI$205"),0)))</f>
        <v/>
      </c>
    </row>
    <row r="80">
      <c r="A80" s="34">
        <f>IF(AP80="","",75)</f>
        <v/>
      </c>
      <c r="B80" s="35">
        <f>IF(AP80="","",INDEX($AL$6:$AL$9,AP80))</f>
        <v/>
      </c>
      <c r="C80" s="34">
        <f>IF(AP80="","",INDEX(INDIRECT("'"&amp;$B80&amp;"'!$B$6:$B$205"),MATCH($AR80,INDIRECT("'"&amp;$B80&amp;"'!$AE$6:$AE$205"),0)))</f>
        <v/>
      </c>
      <c r="D80" s="34">
        <f>IF(AP80="","",INDEX(INDIRECT("'"&amp;$B80&amp;"'!$D$6:$D$205"),MATCH($AR80,INDIRECT("'"&amp;$B80&amp;"'!$AE$6:$AE$205"),0)))</f>
        <v/>
      </c>
      <c r="E80" s="36">
        <f>IF(AP80="","",INDEX(INDIRECT("'"&amp;$B80&amp;"'!$F$6:$F$205"),MATCH($AR80,INDIRECT("'"&amp;$B80&amp;"'!$AE$6:$AE$205"),0)))</f>
        <v/>
      </c>
      <c r="F80" s="34">
        <f>IF(AP80="","",INDEX(INDIRECT("'"&amp;$B80&amp;"'!$K$6:$K$205"),MATCH($AR80,INDIRECT("'"&amp;$B80&amp;"'!$AE$6:$AE$205"),0)))</f>
        <v/>
      </c>
      <c r="G80" s="34">
        <f>IF(AP80="","",INDEX(INDIRECT("'"&amp;$B80&amp;"'!$L$6:$L$205"),MATCH($AR80,INDIRECT("'"&amp;$B80&amp;"'!$AE$6:$AE$205"),0)))</f>
        <v/>
      </c>
      <c r="H80" s="34">
        <f>IF(OR(AP80="",H$5="-"),"",IFERROR(IF(INDEX(INDIRECT("'"&amp;$B80&amp;"'!$N$6:$N$205"),MATCH($AR80&amp;"|"&amp;H$5,INDIRECT("'"&amp;$B80&amp;"'!$AF$6:$AF$205"),0))="","",INDEX(INDIRECT("'"&amp;$B80&amp;"'!$N$6:$N$205"),MATCH($AR80&amp;"|"&amp;H$5,INDIRECT("'"&amp;$B80&amp;"'!$AF$6:$AF$205"),0))),"-"))</f>
        <v/>
      </c>
      <c r="I80" s="34">
        <f>IF(OR(AP80="",I$5="-"),"",IFERROR(IF(INDEX(INDIRECT("'"&amp;$B80&amp;"'!$N$6:$N$205"),MATCH($AR80&amp;"|"&amp;I$5,INDIRECT("'"&amp;$B80&amp;"'!$AF$6:$AF$205"),0))="","",INDEX(INDIRECT("'"&amp;$B80&amp;"'!$N$6:$N$205"),MATCH($AR80&amp;"|"&amp;I$5,INDIRECT("'"&amp;$B80&amp;"'!$AF$6:$AF$205"),0))),"-"))</f>
        <v/>
      </c>
      <c r="J80" s="34">
        <f>IF(OR(AP80="",J$5="-"),"",IFERROR(IF(INDEX(INDIRECT("'"&amp;$B80&amp;"'!$N$6:$N$205"),MATCH($AR80&amp;"|"&amp;J$5,INDIRECT("'"&amp;$B80&amp;"'!$AF$6:$AF$205"),0))="","",INDEX(INDIRECT("'"&amp;$B80&amp;"'!$N$6:$N$205"),MATCH($AR80&amp;"|"&amp;J$5,INDIRECT("'"&amp;$B80&amp;"'!$AF$6:$AF$205"),0))),"-"))</f>
        <v/>
      </c>
      <c r="K80" s="34">
        <f>IF(OR(AP80="",K$5="-"),"",IFERROR(IF(INDEX(INDIRECT("'"&amp;$B80&amp;"'!$N$6:$N$205"),MATCH($AR80&amp;"|"&amp;K$5,INDIRECT("'"&amp;$B80&amp;"'!$AF$6:$AF$205"),0))="","",INDEX(INDIRECT("'"&amp;$B80&amp;"'!$N$6:$N$205"),MATCH($AR80&amp;"|"&amp;K$5,INDIRECT("'"&amp;$B80&amp;"'!$AF$6:$AF$205"),0))),"-"))</f>
        <v/>
      </c>
      <c r="L80" s="34">
        <f>IF(OR(AP80="",L$5="-"),"",IFERROR(IF(INDEX(INDIRECT("'"&amp;$B80&amp;"'!$N$6:$N$205"),MATCH($AR80&amp;"|"&amp;L$5,INDIRECT("'"&amp;$B80&amp;"'!$AF$6:$AF$205"),0))="","",INDEX(INDIRECT("'"&amp;$B80&amp;"'!$N$6:$N$205"),MATCH($AR80&amp;"|"&amp;L$5,INDIRECT("'"&amp;$B80&amp;"'!$AF$6:$AF$205"),0))),"-"))</f>
        <v/>
      </c>
      <c r="M80" s="34">
        <f>IF(OR(AP80="",M$5="-"),"",IFERROR(IF(INDEX(INDIRECT("'"&amp;$B80&amp;"'!$N$6:$N$205"),MATCH($AR80&amp;"|"&amp;M$5,INDIRECT("'"&amp;$B80&amp;"'!$AF$6:$AF$205"),0))="","",INDEX(INDIRECT("'"&amp;$B80&amp;"'!$N$6:$N$205"),MATCH($AR80&amp;"|"&amp;M$5,INDIRECT("'"&amp;$B80&amp;"'!$AF$6:$AF$205"),0))),"-"))</f>
        <v/>
      </c>
      <c r="N80" s="34">
        <f>IF(OR(AP80="",N$5="-"),"",IFERROR(IF(INDEX(INDIRECT("'"&amp;$B80&amp;"'!$N$6:$N$205"),MATCH($AR80&amp;"|"&amp;N$5,INDIRECT("'"&amp;$B80&amp;"'!$AF$6:$AF$205"),0))="","",INDEX(INDIRECT("'"&amp;$B80&amp;"'!$N$6:$N$205"),MATCH($AR80&amp;"|"&amp;N$5,INDIRECT("'"&amp;$B80&amp;"'!$AF$6:$AF$205"),0))),"-"))</f>
        <v/>
      </c>
      <c r="O80" s="34">
        <f>IF(OR(AP80="",O$5="-"),"",IFERROR(IF(INDEX(INDIRECT("'"&amp;$B80&amp;"'!$N$6:$N$205"),MATCH($AR80&amp;"|"&amp;O$5,INDIRECT("'"&amp;$B80&amp;"'!$AF$6:$AF$205"),0))="","",INDEX(INDIRECT("'"&amp;$B80&amp;"'!$N$6:$N$205"),MATCH($AR80&amp;"|"&amp;O$5,INDIRECT("'"&amp;$B80&amp;"'!$AF$6:$AF$205"),0))),"-"))</f>
        <v/>
      </c>
      <c r="P80" s="37">
        <f>IF(OR(AP80="",P$5="-"),"",IFERROR(IF(INDEX(INDIRECT("'"&amp;$B80&amp;"'!$R$6:$R$205"),MATCH($AR80&amp;"|"&amp;P$5,INDIRECT("'"&amp;$B80&amp;"'!$AF$6:$AF$205"),0))="","",INDEX(INDIRECT("'"&amp;$B80&amp;"'!$R$6:$R$205"),MATCH($AR80&amp;"|"&amp;P$5,INDIRECT("'"&amp;$B80&amp;"'!$AF$6:$AF$205"),0))),"-"))</f>
        <v/>
      </c>
      <c r="Q80" s="37">
        <f>IF(OR(AP80="",Q$5="-"),"",IFERROR(IF(INDEX(INDIRECT("'"&amp;$B80&amp;"'!$R$6:$R$205"),MATCH($AR80&amp;"|"&amp;Q$5,INDIRECT("'"&amp;$B80&amp;"'!$AF$6:$AF$205"),0))="","",INDEX(INDIRECT("'"&amp;$B80&amp;"'!$R$6:$R$205"),MATCH($AR80&amp;"|"&amp;Q$5,INDIRECT("'"&amp;$B80&amp;"'!$AF$6:$AF$205"),0))),"-"))</f>
        <v/>
      </c>
      <c r="R80" s="37">
        <f>IF(OR(AP80="",R$5="-"),"",IFERROR(IF(INDEX(INDIRECT("'"&amp;$B80&amp;"'!$R$6:$R$205"),MATCH($AR80&amp;"|"&amp;R$5,INDIRECT("'"&amp;$B80&amp;"'!$AF$6:$AF$205"),0))="","",INDEX(INDIRECT("'"&amp;$B80&amp;"'!$R$6:$R$205"),MATCH($AR80&amp;"|"&amp;R$5,INDIRECT("'"&amp;$B80&amp;"'!$AF$6:$AF$205"),0))),"-"))</f>
        <v/>
      </c>
      <c r="S80" s="37">
        <f>IF(OR(AP80="",S$5="-"),"",IFERROR(IF(INDEX(INDIRECT("'"&amp;$B80&amp;"'!$R$6:$R$205"),MATCH($AR80&amp;"|"&amp;S$5,INDIRECT("'"&amp;$B80&amp;"'!$AF$6:$AF$205"),0))="","",INDEX(INDIRECT("'"&amp;$B80&amp;"'!$R$6:$R$205"),MATCH($AR80&amp;"|"&amp;S$5,INDIRECT("'"&amp;$B80&amp;"'!$AF$6:$AF$205"),0))),"-"))</f>
        <v/>
      </c>
      <c r="T80" s="37">
        <f>IF(OR(AP80="",T$5="-"),"",IFERROR(IF(INDEX(INDIRECT("'"&amp;$B80&amp;"'!$R$6:$R$205"),MATCH($AR80&amp;"|"&amp;T$5,INDIRECT("'"&amp;$B80&amp;"'!$AF$6:$AF$205"),0))="","",INDEX(INDIRECT("'"&amp;$B80&amp;"'!$R$6:$R$205"),MATCH($AR80&amp;"|"&amp;T$5,INDIRECT("'"&amp;$B80&amp;"'!$AF$6:$AF$205"),0))),"-"))</f>
        <v/>
      </c>
      <c r="U80" s="37">
        <f>IF(OR(AP80="",U$5="-"),"",IFERROR(IF(INDEX(INDIRECT("'"&amp;$B80&amp;"'!$R$6:$R$205"),MATCH($AR80&amp;"|"&amp;U$5,INDIRECT("'"&amp;$B80&amp;"'!$AF$6:$AF$205"),0))="","",INDEX(INDIRECT("'"&amp;$B80&amp;"'!$R$6:$R$205"),MATCH($AR80&amp;"|"&amp;U$5,INDIRECT("'"&amp;$B80&amp;"'!$AF$6:$AF$205"),0))),"-"))</f>
        <v/>
      </c>
      <c r="V80" s="37">
        <f>IF(OR(AP80="",V$5="-"),"",IFERROR(IF(INDEX(INDIRECT("'"&amp;$B80&amp;"'!$R$6:$R$205"),MATCH($AR80&amp;"|"&amp;V$5,INDIRECT("'"&amp;$B80&amp;"'!$AF$6:$AF$205"),0))="","",INDEX(INDIRECT("'"&amp;$B80&amp;"'!$R$6:$R$205"),MATCH($AR80&amp;"|"&amp;V$5,INDIRECT("'"&amp;$B80&amp;"'!$AF$6:$AF$205"),0))),"-"))</f>
        <v/>
      </c>
      <c r="W80" s="37">
        <f>IF(OR(AP80="",W$5="-"),"",IFERROR(IF(INDEX(INDIRECT("'"&amp;$B80&amp;"'!$R$6:$R$205"),MATCH($AR80&amp;"|"&amp;W$5,INDIRECT("'"&amp;$B80&amp;"'!$AF$6:$AF$205"),0))="","",INDEX(INDIRECT("'"&amp;$B80&amp;"'!$R$6:$R$205"),MATCH($AR80&amp;"|"&amp;W$5,INDIRECT("'"&amp;$B80&amp;"'!$AF$6:$AF$205"),0))),"-"))</f>
        <v/>
      </c>
      <c r="X80" s="38">
        <f>IF(OR(AP80="",X$5="-"),"",IFERROR(IF(INDEX(INDIRECT("'"&amp;$B80&amp;"'!$T$6:$T$205"),MATCH($AR80&amp;"|"&amp;X$5,INDIRECT("'"&amp;$B80&amp;"'!$AF$6:$AF$205"),0))="","",INDEX(INDIRECT("'"&amp;$B80&amp;"'!$T$6:$T$205"),MATCH($AR80&amp;"|"&amp;X$5,INDIRECT("'"&amp;$B80&amp;"'!$AF$6:$AF$205"),0))),"-"))</f>
        <v/>
      </c>
      <c r="Y80" s="38">
        <f>IF(OR(AP80="",Y$5="-"),"",IFERROR(IF(INDEX(INDIRECT("'"&amp;$B80&amp;"'!$T$6:$T$205"),MATCH($AR80&amp;"|"&amp;Y$5,INDIRECT("'"&amp;$B80&amp;"'!$AF$6:$AF$205"),0))="","",INDEX(INDIRECT("'"&amp;$B80&amp;"'!$T$6:$T$205"),MATCH($AR80&amp;"|"&amp;Y$5,INDIRECT("'"&amp;$B80&amp;"'!$AF$6:$AF$205"),0))),"-"))</f>
        <v/>
      </c>
      <c r="Z80" s="38">
        <f>IF(OR(AP80="",Z$5="-"),"",IFERROR(IF(INDEX(INDIRECT("'"&amp;$B80&amp;"'!$T$6:$T$205"),MATCH($AR80&amp;"|"&amp;Z$5,INDIRECT("'"&amp;$B80&amp;"'!$AF$6:$AF$205"),0))="","",INDEX(INDIRECT("'"&amp;$B80&amp;"'!$T$6:$T$205"),MATCH($AR80&amp;"|"&amp;Z$5,INDIRECT("'"&amp;$B80&amp;"'!$AF$6:$AF$205"),0))),"-"))</f>
        <v/>
      </c>
      <c r="AA80" s="38">
        <f>IF(OR(AP80="",AA$5="-"),"",IFERROR(IF(INDEX(INDIRECT("'"&amp;$B80&amp;"'!$T$6:$T$205"),MATCH($AR80&amp;"|"&amp;AA$5,INDIRECT("'"&amp;$B80&amp;"'!$AF$6:$AF$205"),0))="","",INDEX(INDIRECT("'"&amp;$B80&amp;"'!$T$6:$T$205"),MATCH($AR80&amp;"|"&amp;AA$5,INDIRECT("'"&amp;$B80&amp;"'!$AF$6:$AF$205"),0))),"-"))</f>
        <v/>
      </c>
      <c r="AB80" s="38">
        <f>IF(OR(AP80="",AB$5="-"),"",IFERROR(IF(INDEX(INDIRECT("'"&amp;$B80&amp;"'!$T$6:$T$205"),MATCH($AR80&amp;"|"&amp;AB$5,INDIRECT("'"&amp;$B80&amp;"'!$AF$6:$AF$205"),0))="","",INDEX(INDIRECT("'"&amp;$B80&amp;"'!$T$6:$T$205"),MATCH($AR80&amp;"|"&amp;AB$5,INDIRECT("'"&amp;$B80&amp;"'!$AF$6:$AF$205"),0))),"-"))</f>
        <v/>
      </c>
      <c r="AC80" s="38">
        <f>IF(OR(AP80="",AC$5="-"),"",IFERROR(IF(INDEX(INDIRECT("'"&amp;$B80&amp;"'!$T$6:$T$205"),MATCH($AR80&amp;"|"&amp;AC$5,INDIRECT("'"&amp;$B80&amp;"'!$AF$6:$AF$205"),0))="","",INDEX(INDIRECT("'"&amp;$B80&amp;"'!$T$6:$T$205"),MATCH($AR80&amp;"|"&amp;AC$5,INDIRECT("'"&amp;$B80&amp;"'!$AF$6:$AF$205"),0))),"-"))</f>
        <v/>
      </c>
      <c r="AD80" s="38">
        <f>IF(OR(AP80="",AD$5="-"),"",IFERROR(IF(INDEX(INDIRECT("'"&amp;$B80&amp;"'!$T$6:$T$205"),MATCH($AR80&amp;"|"&amp;AD$5,INDIRECT("'"&amp;$B80&amp;"'!$AF$6:$AF$205"),0))="","",INDEX(INDIRECT("'"&amp;$B80&amp;"'!$T$6:$T$205"),MATCH($AR80&amp;"|"&amp;AD$5,INDIRECT("'"&amp;$B80&amp;"'!$AF$6:$AF$205"),0))),"-"))</f>
        <v/>
      </c>
      <c r="AE80" s="38">
        <f>IF(OR(AP80="",AE$5="-"),"",IFERROR(IF(INDEX(INDIRECT("'"&amp;$B80&amp;"'!$T$6:$T$205"),MATCH($AR80&amp;"|"&amp;AE$5,INDIRECT("'"&amp;$B80&amp;"'!$AF$6:$AF$205"),0))="","",INDEX(INDIRECT("'"&amp;$B80&amp;"'!$T$6:$T$205"),MATCH($AR80&amp;"|"&amp;AE$5,INDIRECT("'"&amp;$B80&amp;"'!$AF$6:$AF$205"),0))),"-"))</f>
        <v/>
      </c>
      <c r="AF80" s="35">
        <f>IF(AG80="","",INDEX($P$5:$W$5,MATCH(AG80,P80:W80,0)))</f>
        <v/>
      </c>
      <c r="AG80" s="37">
        <f>IF(COUNT(P80:W80)=0,"",MIN(P80:W80))</f>
        <v/>
      </c>
      <c r="AH80" s="39">
        <f>IF(AG80="","",AG80*F80)</f>
        <v/>
      </c>
      <c r="AI80" s="39">
        <f>IF(COUNT(P80:W80)&lt;2,"",(MAX(P80:W80)-MIN(P80:W80))*F80)</f>
        <v/>
      </c>
      <c r="AJ80" s="20" t="n"/>
      <c r="AP80">
        <f>IF(75&gt;MAX($AN$6:$AN$9),"",COUNTIF($AN$6:$AN$9,"&lt;"&amp;75)+1)</f>
        <v/>
      </c>
      <c r="AQ80">
        <f>IF(AP80="","",75-INDEX($AO$6:$AO$9,AP80))</f>
        <v/>
      </c>
      <c r="AR80">
        <f>IF(AP80="","",INDEX(INDIRECT("'"&amp;$B80&amp;"'!$AE$6:$AE$205"),MATCH(AQ80,INDIRECT("'"&amp;$B80&amp;"'!$AI$6:$AI$205"),0)))</f>
        <v/>
      </c>
    </row>
    <row r="81">
      <c r="A81" s="34">
        <f>IF(AP81="","",76)</f>
        <v/>
      </c>
      <c r="B81" s="35">
        <f>IF(AP81="","",INDEX($AL$6:$AL$9,AP81))</f>
        <v/>
      </c>
      <c r="C81" s="34">
        <f>IF(AP81="","",INDEX(INDIRECT("'"&amp;$B81&amp;"'!$B$6:$B$205"),MATCH($AR81,INDIRECT("'"&amp;$B81&amp;"'!$AE$6:$AE$205"),0)))</f>
        <v/>
      </c>
      <c r="D81" s="34">
        <f>IF(AP81="","",INDEX(INDIRECT("'"&amp;$B81&amp;"'!$D$6:$D$205"),MATCH($AR81,INDIRECT("'"&amp;$B81&amp;"'!$AE$6:$AE$205"),0)))</f>
        <v/>
      </c>
      <c r="E81" s="36">
        <f>IF(AP81="","",INDEX(INDIRECT("'"&amp;$B81&amp;"'!$F$6:$F$205"),MATCH($AR81,INDIRECT("'"&amp;$B81&amp;"'!$AE$6:$AE$205"),0)))</f>
        <v/>
      </c>
      <c r="F81" s="34">
        <f>IF(AP81="","",INDEX(INDIRECT("'"&amp;$B81&amp;"'!$K$6:$K$205"),MATCH($AR81,INDIRECT("'"&amp;$B81&amp;"'!$AE$6:$AE$205"),0)))</f>
        <v/>
      </c>
      <c r="G81" s="34">
        <f>IF(AP81="","",INDEX(INDIRECT("'"&amp;$B81&amp;"'!$L$6:$L$205"),MATCH($AR81,INDIRECT("'"&amp;$B81&amp;"'!$AE$6:$AE$205"),0)))</f>
        <v/>
      </c>
      <c r="H81" s="34">
        <f>IF(OR(AP81="",H$5="-"),"",IFERROR(IF(INDEX(INDIRECT("'"&amp;$B81&amp;"'!$N$6:$N$205"),MATCH($AR81&amp;"|"&amp;H$5,INDIRECT("'"&amp;$B81&amp;"'!$AF$6:$AF$205"),0))="","",INDEX(INDIRECT("'"&amp;$B81&amp;"'!$N$6:$N$205"),MATCH($AR81&amp;"|"&amp;H$5,INDIRECT("'"&amp;$B81&amp;"'!$AF$6:$AF$205"),0))),"-"))</f>
        <v/>
      </c>
      <c r="I81" s="34">
        <f>IF(OR(AP81="",I$5="-"),"",IFERROR(IF(INDEX(INDIRECT("'"&amp;$B81&amp;"'!$N$6:$N$205"),MATCH($AR81&amp;"|"&amp;I$5,INDIRECT("'"&amp;$B81&amp;"'!$AF$6:$AF$205"),0))="","",INDEX(INDIRECT("'"&amp;$B81&amp;"'!$N$6:$N$205"),MATCH($AR81&amp;"|"&amp;I$5,INDIRECT("'"&amp;$B81&amp;"'!$AF$6:$AF$205"),0))),"-"))</f>
        <v/>
      </c>
      <c r="J81" s="34">
        <f>IF(OR(AP81="",J$5="-"),"",IFERROR(IF(INDEX(INDIRECT("'"&amp;$B81&amp;"'!$N$6:$N$205"),MATCH($AR81&amp;"|"&amp;J$5,INDIRECT("'"&amp;$B81&amp;"'!$AF$6:$AF$205"),0))="","",INDEX(INDIRECT("'"&amp;$B81&amp;"'!$N$6:$N$205"),MATCH($AR81&amp;"|"&amp;J$5,INDIRECT("'"&amp;$B81&amp;"'!$AF$6:$AF$205"),0))),"-"))</f>
        <v/>
      </c>
      <c r="K81" s="34">
        <f>IF(OR(AP81="",K$5="-"),"",IFERROR(IF(INDEX(INDIRECT("'"&amp;$B81&amp;"'!$N$6:$N$205"),MATCH($AR81&amp;"|"&amp;K$5,INDIRECT("'"&amp;$B81&amp;"'!$AF$6:$AF$205"),0))="","",INDEX(INDIRECT("'"&amp;$B81&amp;"'!$N$6:$N$205"),MATCH($AR81&amp;"|"&amp;K$5,INDIRECT("'"&amp;$B81&amp;"'!$AF$6:$AF$205"),0))),"-"))</f>
        <v/>
      </c>
      <c r="L81" s="34">
        <f>IF(OR(AP81="",L$5="-"),"",IFERROR(IF(INDEX(INDIRECT("'"&amp;$B81&amp;"'!$N$6:$N$205"),MATCH($AR81&amp;"|"&amp;L$5,INDIRECT("'"&amp;$B81&amp;"'!$AF$6:$AF$205"),0))="","",INDEX(INDIRECT("'"&amp;$B81&amp;"'!$N$6:$N$205"),MATCH($AR81&amp;"|"&amp;L$5,INDIRECT("'"&amp;$B81&amp;"'!$AF$6:$AF$205"),0))),"-"))</f>
        <v/>
      </c>
      <c r="M81" s="34">
        <f>IF(OR(AP81="",M$5="-"),"",IFERROR(IF(INDEX(INDIRECT("'"&amp;$B81&amp;"'!$N$6:$N$205"),MATCH($AR81&amp;"|"&amp;M$5,INDIRECT("'"&amp;$B81&amp;"'!$AF$6:$AF$205"),0))="","",INDEX(INDIRECT("'"&amp;$B81&amp;"'!$N$6:$N$205"),MATCH($AR81&amp;"|"&amp;M$5,INDIRECT("'"&amp;$B81&amp;"'!$AF$6:$AF$205"),0))),"-"))</f>
        <v/>
      </c>
      <c r="N81" s="34">
        <f>IF(OR(AP81="",N$5="-"),"",IFERROR(IF(INDEX(INDIRECT("'"&amp;$B81&amp;"'!$N$6:$N$205"),MATCH($AR81&amp;"|"&amp;N$5,INDIRECT("'"&amp;$B81&amp;"'!$AF$6:$AF$205"),0))="","",INDEX(INDIRECT("'"&amp;$B81&amp;"'!$N$6:$N$205"),MATCH($AR81&amp;"|"&amp;N$5,INDIRECT("'"&amp;$B81&amp;"'!$AF$6:$AF$205"),0))),"-"))</f>
        <v/>
      </c>
      <c r="O81" s="34">
        <f>IF(OR(AP81="",O$5="-"),"",IFERROR(IF(INDEX(INDIRECT("'"&amp;$B81&amp;"'!$N$6:$N$205"),MATCH($AR81&amp;"|"&amp;O$5,INDIRECT("'"&amp;$B81&amp;"'!$AF$6:$AF$205"),0))="","",INDEX(INDIRECT("'"&amp;$B81&amp;"'!$N$6:$N$205"),MATCH($AR81&amp;"|"&amp;O$5,INDIRECT("'"&amp;$B81&amp;"'!$AF$6:$AF$205"),0))),"-"))</f>
        <v/>
      </c>
      <c r="P81" s="37">
        <f>IF(OR(AP81="",P$5="-"),"",IFERROR(IF(INDEX(INDIRECT("'"&amp;$B81&amp;"'!$R$6:$R$205"),MATCH($AR81&amp;"|"&amp;P$5,INDIRECT("'"&amp;$B81&amp;"'!$AF$6:$AF$205"),0))="","",INDEX(INDIRECT("'"&amp;$B81&amp;"'!$R$6:$R$205"),MATCH($AR81&amp;"|"&amp;P$5,INDIRECT("'"&amp;$B81&amp;"'!$AF$6:$AF$205"),0))),"-"))</f>
        <v/>
      </c>
      <c r="Q81" s="37">
        <f>IF(OR(AP81="",Q$5="-"),"",IFERROR(IF(INDEX(INDIRECT("'"&amp;$B81&amp;"'!$R$6:$R$205"),MATCH($AR81&amp;"|"&amp;Q$5,INDIRECT("'"&amp;$B81&amp;"'!$AF$6:$AF$205"),0))="","",INDEX(INDIRECT("'"&amp;$B81&amp;"'!$R$6:$R$205"),MATCH($AR81&amp;"|"&amp;Q$5,INDIRECT("'"&amp;$B81&amp;"'!$AF$6:$AF$205"),0))),"-"))</f>
        <v/>
      </c>
      <c r="R81" s="37">
        <f>IF(OR(AP81="",R$5="-"),"",IFERROR(IF(INDEX(INDIRECT("'"&amp;$B81&amp;"'!$R$6:$R$205"),MATCH($AR81&amp;"|"&amp;R$5,INDIRECT("'"&amp;$B81&amp;"'!$AF$6:$AF$205"),0))="","",INDEX(INDIRECT("'"&amp;$B81&amp;"'!$R$6:$R$205"),MATCH($AR81&amp;"|"&amp;R$5,INDIRECT("'"&amp;$B81&amp;"'!$AF$6:$AF$205"),0))),"-"))</f>
        <v/>
      </c>
      <c r="S81" s="37">
        <f>IF(OR(AP81="",S$5="-"),"",IFERROR(IF(INDEX(INDIRECT("'"&amp;$B81&amp;"'!$R$6:$R$205"),MATCH($AR81&amp;"|"&amp;S$5,INDIRECT("'"&amp;$B81&amp;"'!$AF$6:$AF$205"),0))="","",INDEX(INDIRECT("'"&amp;$B81&amp;"'!$R$6:$R$205"),MATCH($AR81&amp;"|"&amp;S$5,INDIRECT("'"&amp;$B81&amp;"'!$AF$6:$AF$205"),0))),"-"))</f>
        <v/>
      </c>
      <c r="T81" s="37">
        <f>IF(OR(AP81="",T$5="-"),"",IFERROR(IF(INDEX(INDIRECT("'"&amp;$B81&amp;"'!$R$6:$R$205"),MATCH($AR81&amp;"|"&amp;T$5,INDIRECT("'"&amp;$B81&amp;"'!$AF$6:$AF$205"),0))="","",INDEX(INDIRECT("'"&amp;$B81&amp;"'!$R$6:$R$205"),MATCH($AR81&amp;"|"&amp;T$5,INDIRECT("'"&amp;$B81&amp;"'!$AF$6:$AF$205"),0))),"-"))</f>
        <v/>
      </c>
      <c r="U81" s="37">
        <f>IF(OR(AP81="",U$5="-"),"",IFERROR(IF(INDEX(INDIRECT("'"&amp;$B81&amp;"'!$R$6:$R$205"),MATCH($AR81&amp;"|"&amp;U$5,INDIRECT("'"&amp;$B81&amp;"'!$AF$6:$AF$205"),0))="","",INDEX(INDIRECT("'"&amp;$B81&amp;"'!$R$6:$R$205"),MATCH($AR81&amp;"|"&amp;U$5,INDIRECT("'"&amp;$B81&amp;"'!$AF$6:$AF$205"),0))),"-"))</f>
        <v/>
      </c>
      <c r="V81" s="37">
        <f>IF(OR(AP81="",V$5="-"),"",IFERROR(IF(INDEX(INDIRECT("'"&amp;$B81&amp;"'!$R$6:$R$205"),MATCH($AR81&amp;"|"&amp;V$5,INDIRECT("'"&amp;$B81&amp;"'!$AF$6:$AF$205"),0))="","",INDEX(INDIRECT("'"&amp;$B81&amp;"'!$R$6:$R$205"),MATCH($AR81&amp;"|"&amp;V$5,INDIRECT("'"&amp;$B81&amp;"'!$AF$6:$AF$205"),0))),"-"))</f>
        <v/>
      </c>
      <c r="W81" s="37">
        <f>IF(OR(AP81="",W$5="-"),"",IFERROR(IF(INDEX(INDIRECT("'"&amp;$B81&amp;"'!$R$6:$R$205"),MATCH($AR81&amp;"|"&amp;W$5,INDIRECT("'"&amp;$B81&amp;"'!$AF$6:$AF$205"),0))="","",INDEX(INDIRECT("'"&amp;$B81&amp;"'!$R$6:$R$205"),MATCH($AR81&amp;"|"&amp;W$5,INDIRECT("'"&amp;$B81&amp;"'!$AF$6:$AF$205"),0))),"-"))</f>
        <v/>
      </c>
      <c r="X81" s="38">
        <f>IF(OR(AP81="",X$5="-"),"",IFERROR(IF(INDEX(INDIRECT("'"&amp;$B81&amp;"'!$T$6:$T$205"),MATCH($AR81&amp;"|"&amp;X$5,INDIRECT("'"&amp;$B81&amp;"'!$AF$6:$AF$205"),0))="","",INDEX(INDIRECT("'"&amp;$B81&amp;"'!$T$6:$T$205"),MATCH($AR81&amp;"|"&amp;X$5,INDIRECT("'"&amp;$B81&amp;"'!$AF$6:$AF$205"),0))),"-"))</f>
        <v/>
      </c>
      <c r="Y81" s="38">
        <f>IF(OR(AP81="",Y$5="-"),"",IFERROR(IF(INDEX(INDIRECT("'"&amp;$B81&amp;"'!$T$6:$T$205"),MATCH($AR81&amp;"|"&amp;Y$5,INDIRECT("'"&amp;$B81&amp;"'!$AF$6:$AF$205"),0))="","",INDEX(INDIRECT("'"&amp;$B81&amp;"'!$T$6:$T$205"),MATCH($AR81&amp;"|"&amp;Y$5,INDIRECT("'"&amp;$B81&amp;"'!$AF$6:$AF$205"),0))),"-"))</f>
        <v/>
      </c>
      <c r="Z81" s="38">
        <f>IF(OR(AP81="",Z$5="-"),"",IFERROR(IF(INDEX(INDIRECT("'"&amp;$B81&amp;"'!$T$6:$T$205"),MATCH($AR81&amp;"|"&amp;Z$5,INDIRECT("'"&amp;$B81&amp;"'!$AF$6:$AF$205"),0))="","",INDEX(INDIRECT("'"&amp;$B81&amp;"'!$T$6:$T$205"),MATCH($AR81&amp;"|"&amp;Z$5,INDIRECT("'"&amp;$B81&amp;"'!$AF$6:$AF$205"),0))),"-"))</f>
        <v/>
      </c>
      <c r="AA81" s="38">
        <f>IF(OR(AP81="",AA$5="-"),"",IFERROR(IF(INDEX(INDIRECT("'"&amp;$B81&amp;"'!$T$6:$T$205"),MATCH($AR81&amp;"|"&amp;AA$5,INDIRECT("'"&amp;$B81&amp;"'!$AF$6:$AF$205"),0))="","",INDEX(INDIRECT("'"&amp;$B81&amp;"'!$T$6:$T$205"),MATCH($AR81&amp;"|"&amp;AA$5,INDIRECT("'"&amp;$B81&amp;"'!$AF$6:$AF$205"),0))),"-"))</f>
        <v/>
      </c>
      <c r="AB81" s="38">
        <f>IF(OR(AP81="",AB$5="-"),"",IFERROR(IF(INDEX(INDIRECT("'"&amp;$B81&amp;"'!$T$6:$T$205"),MATCH($AR81&amp;"|"&amp;AB$5,INDIRECT("'"&amp;$B81&amp;"'!$AF$6:$AF$205"),0))="","",INDEX(INDIRECT("'"&amp;$B81&amp;"'!$T$6:$T$205"),MATCH($AR81&amp;"|"&amp;AB$5,INDIRECT("'"&amp;$B81&amp;"'!$AF$6:$AF$205"),0))),"-"))</f>
        <v/>
      </c>
      <c r="AC81" s="38">
        <f>IF(OR(AP81="",AC$5="-"),"",IFERROR(IF(INDEX(INDIRECT("'"&amp;$B81&amp;"'!$T$6:$T$205"),MATCH($AR81&amp;"|"&amp;AC$5,INDIRECT("'"&amp;$B81&amp;"'!$AF$6:$AF$205"),0))="","",INDEX(INDIRECT("'"&amp;$B81&amp;"'!$T$6:$T$205"),MATCH($AR81&amp;"|"&amp;AC$5,INDIRECT("'"&amp;$B81&amp;"'!$AF$6:$AF$205"),0))),"-"))</f>
        <v/>
      </c>
      <c r="AD81" s="38">
        <f>IF(OR(AP81="",AD$5="-"),"",IFERROR(IF(INDEX(INDIRECT("'"&amp;$B81&amp;"'!$T$6:$T$205"),MATCH($AR81&amp;"|"&amp;AD$5,INDIRECT("'"&amp;$B81&amp;"'!$AF$6:$AF$205"),0))="","",INDEX(INDIRECT("'"&amp;$B81&amp;"'!$T$6:$T$205"),MATCH($AR81&amp;"|"&amp;AD$5,INDIRECT("'"&amp;$B81&amp;"'!$AF$6:$AF$205"),0))),"-"))</f>
        <v/>
      </c>
      <c r="AE81" s="38">
        <f>IF(OR(AP81="",AE$5="-"),"",IFERROR(IF(INDEX(INDIRECT("'"&amp;$B81&amp;"'!$T$6:$T$205"),MATCH($AR81&amp;"|"&amp;AE$5,INDIRECT("'"&amp;$B81&amp;"'!$AF$6:$AF$205"),0))="","",INDEX(INDIRECT("'"&amp;$B81&amp;"'!$T$6:$T$205"),MATCH($AR81&amp;"|"&amp;AE$5,INDIRECT("'"&amp;$B81&amp;"'!$AF$6:$AF$205"),0))),"-"))</f>
        <v/>
      </c>
      <c r="AF81" s="35">
        <f>IF(AG81="","",INDEX($P$5:$W$5,MATCH(AG81,P81:W81,0)))</f>
        <v/>
      </c>
      <c r="AG81" s="37">
        <f>IF(COUNT(P81:W81)=0,"",MIN(P81:W81))</f>
        <v/>
      </c>
      <c r="AH81" s="39">
        <f>IF(AG81="","",AG81*F81)</f>
        <v/>
      </c>
      <c r="AI81" s="39">
        <f>IF(COUNT(P81:W81)&lt;2,"",(MAX(P81:W81)-MIN(P81:W81))*F81)</f>
        <v/>
      </c>
      <c r="AJ81" s="20" t="n"/>
      <c r="AP81">
        <f>IF(76&gt;MAX($AN$6:$AN$9),"",COUNTIF($AN$6:$AN$9,"&lt;"&amp;76)+1)</f>
        <v/>
      </c>
      <c r="AQ81">
        <f>IF(AP81="","",76-INDEX($AO$6:$AO$9,AP81))</f>
        <v/>
      </c>
      <c r="AR81">
        <f>IF(AP81="","",INDEX(INDIRECT("'"&amp;$B81&amp;"'!$AE$6:$AE$205"),MATCH(AQ81,INDIRECT("'"&amp;$B81&amp;"'!$AI$6:$AI$205"),0)))</f>
        <v/>
      </c>
    </row>
    <row r="82">
      <c r="A82" s="34">
        <f>IF(AP82="","",77)</f>
        <v/>
      </c>
      <c r="B82" s="35">
        <f>IF(AP82="","",INDEX($AL$6:$AL$9,AP82))</f>
        <v/>
      </c>
      <c r="C82" s="34">
        <f>IF(AP82="","",INDEX(INDIRECT("'"&amp;$B82&amp;"'!$B$6:$B$205"),MATCH($AR82,INDIRECT("'"&amp;$B82&amp;"'!$AE$6:$AE$205"),0)))</f>
        <v/>
      </c>
      <c r="D82" s="34">
        <f>IF(AP82="","",INDEX(INDIRECT("'"&amp;$B82&amp;"'!$D$6:$D$205"),MATCH($AR82,INDIRECT("'"&amp;$B82&amp;"'!$AE$6:$AE$205"),0)))</f>
        <v/>
      </c>
      <c r="E82" s="36">
        <f>IF(AP82="","",INDEX(INDIRECT("'"&amp;$B82&amp;"'!$F$6:$F$205"),MATCH($AR82,INDIRECT("'"&amp;$B82&amp;"'!$AE$6:$AE$205"),0)))</f>
        <v/>
      </c>
      <c r="F82" s="34">
        <f>IF(AP82="","",INDEX(INDIRECT("'"&amp;$B82&amp;"'!$K$6:$K$205"),MATCH($AR82,INDIRECT("'"&amp;$B82&amp;"'!$AE$6:$AE$205"),0)))</f>
        <v/>
      </c>
      <c r="G82" s="34">
        <f>IF(AP82="","",INDEX(INDIRECT("'"&amp;$B82&amp;"'!$L$6:$L$205"),MATCH($AR82,INDIRECT("'"&amp;$B82&amp;"'!$AE$6:$AE$205"),0)))</f>
        <v/>
      </c>
      <c r="H82" s="34">
        <f>IF(OR(AP82="",H$5="-"),"",IFERROR(IF(INDEX(INDIRECT("'"&amp;$B82&amp;"'!$N$6:$N$205"),MATCH($AR82&amp;"|"&amp;H$5,INDIRECT("'"&amp;$B82&amp;"'!$AF$6:$AF$205"),0))="","",INDEX(INDIRECT("'"&amp;$B82&amp;"'!$N$6:$N$205"),MATCH($AR82&amp;"|"&amp;H$5,INDIRECT("'"&amp;$B82&amp;"'!$AF$6:$AF$205"),0))),"-"))</f>
        <v/>
      </c>
      <c r="I82" s="34">
        <f>IF(OR(AP82="",I$5="-"),"",IFERROR(IF(INDEX(INDIRECT("'"&amp;$B82&amp;"'!$N$6:$N$205"),MATCH($AR82&amp;"|"&amp;I$5,INDIRECT("'"&amp;$B82&amp;"'!$AF$6:$AF$205"),0))="","",INDEX(INDIRECT("'"&amp;$B82&amp;"'!$N$6:$N$205"),MATCH($AR82&amp;"|"&amp;I$5,INDIRECT("'"&amp;$B82&amp;"'!$AF$6:$AF$205"),0))),"-"))</f>
        <v/>
      </c>
      <c r="J82" s="34">
        <f>IF(OR(AP82="",J$5="-"),"",IFERROR(IF(INDEX(INDIRECT("'"&amp;$B82&amp;"'!$N$6:$N$205"),MATCH($AR82&amp;"|"&amp;J$5,INDIRECT("'"&amp;$B82&amp;"'!$AF$6:$AF$205"),0))="","",INDEX(INDIRECT("'"&amp;$B82&amp;"'!$N$6:$N$205"),MATCH($AR82&amp;"|"&amp;J$5,INDIRECT("'"&amp;$B82&amp;"'!$AF$6:$AF$205"),0))),"-"))</f>
        <v/>
      </c>
      <c r="K82" s="34">
        <f>IF(OR(AP82="",K$5="-"),"",IFERROR(IF(INDEX(INDIRECT("'"&amp;$B82&amp;"'!$N$6:$N$205"),MATCH($AR82&amp;"|"&amp;K$5,INDIRECT("'"&amp;$B82&amp;"'!$AF$6:$AF$205"),0))="","",INDEX(INDIRECT("'"&amp;$B82&amp;"'!$N$6:$N$205"),MATCH($AR82&amp;"|"&amp;K$5,INDIRECT("'"&amp;$B82&amp;"'!$AF$6:$AF$205"),0))),"-"))</f>
        <v/>
      </c>
      <c r="L82" s="34">
        <f>IF(OR(AP82="",L$5="-"),"",IFERROR(IF(INDEX(INDIRECT("'"&amp;$B82&amp;"'!$N$6:$N$205"),MATCH($AR82&amp;"|"&amp;L$5,INDIRECT("'"&amp;$B82&amp;"'!$AF$6:$AF$205"),0))="","",INDEX(INDIRECT("'"&amp;$B82&amp;"'!$N$6:$N$205"),MATCH($AR82&amp;"|"&amp;L$5,INDIRECT("'"&amp;$B82&amp;"'!$AF$6:$AF$205"),0))),"-"))</f>
        <v/>
      </c>
      <c r="M82" s="34">
        <f>IF(OR(AP82="",M$5="-"),"",IFERROR(IF(INDEX(INDIRECT("'"&amp;$B82&amp;"'!$N$6:$N$205"),MATCH($AR82&amp;"|"&amp;M$5,INDIRECT("'"&amp;$B82&amp;"'!$AF$6:$AF$205"),0))="","",INDEX(INDIRECT("'"&amp;$B82&amp;"'!$N$6:$N$205"),MATCH($AR82&amp;"|"&amp;M$5,INDIRECT("'"&amp;$B82&amp;"'!$AF$6:$AF$205"),0))),"-"))</f>
        <v/>
      </c>
      <c r="N82" s="34">
        <f>IF(OR(AP82="",N$5="-"),"",IFERROR(IF(INDEX(INDIRECT("'"&amp;$B82&amp;"'!$N$6:$N$205"),MATCH($AR82&amp;"|"&amp;N$5,INDIRECT("'"&amp;$B82&amp;"'!$AF$6:$AF$205"),0))="","",INDEX(INDIRECT("'"&amp;$B82&amp;"'!$N$6:$N$205"),MATCH($AR82&amp;"|"&amp;N$5,INDIRECT("'"&amp;$B82&amp;"'!$AF$6:$AF$205"),0))),"-"))</f>
        <v/>
      </c>
      <c r="O82" s="34">
        <f>IF(OR(AP82="",O$5="-"),"",IFERROR(IF(INDEX(INDIRECT("'"&amp;$B82&amp;"'!$N$6:$N$205"),MATCH($AR82&amp;"|"&amp;O$5,INDIRECT("'"&amp;$B82&amp;"'!$AF$6:$AF$205"),0))="","",INDEX(INDIRECT("'"&amp;$B82&amp;"'!$N$6:$N$205"),MATCH($AR82&amp;"|"&amp;O$5,INDIRECT("'"&amp;$B82&amp;"'!$AF$6:$AF$205"),0))),"-"))</f>
        <v/>
      </c>
      <c r="P82" s="37">
        <f>IF(OR(AP82="",P$5="-"),"",IFERROR(IF(INDEX(INDIRECT("'"&amp;$B82&amp;"'!$R$6:$R$205"),MATCH($AR82&amp;"|"&amp;P$5,INDIRECT("'"&amp;$B82&amp;"'!$AF$6:$AF$205"),0))="","",INDEX(INDIRECT("'"&amp;$B82&amp;"'!$R$6:$R$205"),MATCH($AR82&amp;"|"&amp;P$5,INDIRECT("'"&amp;$B82&amp;"'!$AF$6:$AF$205"),0))),"-"))</f>
        <v/>
      </c>
      <c r="Q82" s="37">
        <f>IF(OR(AP82="",Q$5="-"),"",IFERROR(IF(INDEX(INDIRECT("'"&amp;$B82&amp;"'!$R$6:$R$205"),MATCH($AR82&amp;"|"&amp;Q$5,INDIRECT("'"&amp;$B82&amp;"'!$AF$6:$AF$205"),0))="","",INDEX(INDIRECT("'"&amp;$B82&amp;"'!$R$6:$R$205"),MATCH($AR82&amp;"|"&amp;Q$5,INDIRECT("'"&amp;$B82&amp;"'!$AF$6:$AF$205"),0))),"-"))</f>
        <v/>
      </c>
      <c r="R82" s="37">
        <f>IF(OR(AP82="",R$5="-"),"",IFERROR(IF(INDEX(INDIRECT("'"&amp;$B82&amp;"'!$R$6:$R$205"),MATCH($AR82&amp;"|"&amp;R$5,INDIRECT("'"&amp;$B82&amp;"'!$AF$6:$AF$205"),0))="","",INDEX(INDIRECT("'"&amp;$B82&amp;"'!$R$6:$R$205"),MATCH($AR82&amp;"|"&amp;R$5,INDIRECT("'"&amp;$B82&amp;"'!$AF$6:$AF$205"),0))),"-"))</f>
        <v/>
      </c>
      <c r="S82" s="37">
        <f>IF(OR(AP82="",S$5="-"),"",IFERROR(IF(INDEX(INDIRECT("'"&amp;$B82&amp;"'!$R$6:$R$205"),MATCH($AR82&amp;"|"&amp;S$5,INDIRECT("'"&amp;$B82&amp;"'!$AF$6:$AF$205"),0))="","",INDEX(INDIRECT("'"&amp;$B82&amp;"'!$R$6:$R$205"),MATCH($AR82&amp;"|"&amp;S$5,INDIRECT("'"&amp;$B82&amp;"'!$AF$6:$AF$205"),0))),"-"))</f>
        <v/>
      </c>
      <c r="T82" s="37">
        <f>IF(OR(AP82="",T$5="-"),"",IFERROR(IF(INDEX(INDIRECT("'"&amp;$B82&amp;"'!$R$6:$R$205"),MATCH($AR82&amp;"|"&amp;T$5,INDIRECT("'"&amp;$B82&amp;"'!$AF$6:$AF$205"),0))="","",INDEX(INDIRECT("'"&amp;$B82&amp;"'!$R$6:$R$205"),MATCH($AR82&amp;"|"&amp;T$5,INDIRECT("'"&amp;$B82&amp;"'!$AF$6:$AF$205"),0))),"-"))</f>
        <v/>
      </c>
      <c r="U82" s="37">
        <f>IF(OR(AP82="",U$5="-"),"",IFERROR(IF(INDEX(INDIRECT("'"&amp;$B82&amp;"'!$R$6:$R$205"),MATCH($AR82&amp;"|"&amp;U$5,INDIRECT("'"&amp;$B82&amp;"'!$AF$6:$AF$205"),0))="","",INDEX(INDIRECT("'"&amp;$B82&amp;"'!$R$6:$R$205"),MATCH($AR82&amp;"|"&amp;U$5,INDIRECT("'"&amp;$B82&amp;"'!$AF$6:$AF$205"),0))),"-"))</f>
        <v/>
      </c>
      <c r="V82" s="37">
        <f>IF(OR(AP82="",V$5="-"),"",IFERROR(IF(INDEX(INDIRECT("'"&amp;$B82&amp;"'!$R$6:$R$205"),MATCH($AR82&amp;"|"&amp;V$5,INDIRECT("'"&amp;$B82&amp;"'!$AF$6:$AF$205"),0))="","",INDEX(INDIRECT("'"&amp;$B82&amp;"'!$R$6:$R$205"),MATCH($AR82&amp;"|"&amp;V$5,INDIRECT("'"&amp;$B82&amp;"'!$AF$6:$AF$205"),0))),"-"))</f>
        <v/>
      </c>
      <c r="W82" s="37">
        <f>IF(OR(AP82="",W$5="-"),"",IFERROR(IF(INDEX(INDIRECT("'"&amp;$B82&amp;"'!$R$6:$R$205"),MATCH($AR82&amp;"|"&amp;W$5,INDIRECT("'"&amp;$B82&amp;"'!$AF$6:$AF$205"),0))="","",INDEX(INDIRECT("'"&amp;$B82&amp;"'!$R$6:$R$205"),MATCH($AR82&amp;"|"&amp;W$5,INDIRECT("'"&amp;$B82&amp;"'!$AF$6:$AF$205"),0))),"-"))</f>
        <v/>
      </c>
      <c r="X82" s="38">
        <f>IF(OR(AP82="",X$5="-"),"",IFERROR(IF(INDEX(INDIRECT("'"&amp;$B82&amp;"'!$T$6:$T$205"),MATCH($AR82&amp;"|"&amp;X$5,INDIRECT("'"&amp;$B82&amp;"'!$AF$6:$AF$205"),0))="","",INDEX(INDIRECT("'"&amp;$B82&amp;"'!$T$6:$T$205"),MATCH($AR82&amp;"|"&amp;X$5,INDIRECT("'"&amp;$B82&amp;"'!$AF$6:$AF$205"),0))),"-"))</f>
        <v/>
      </c>
      <c r="Y82" s="38">
        <f>IF(OR(AP82="",Y$5="-"),"",IFERROR(IF(INDEX(INDIRECT("'"&amp;$B82&amp;"'!$T$6:$T$205"),MATCH($AR82&amp;"|"&amp;Y$5,INDIRECT("'"&amp;$B82&amp;"'!$AF$6:$AF$205"),0))="","",INDEX(INDIRECT("'"&amp;$B82&amp;"'!$T$6:$T$205"),MATCH($AR82&amp;"|"&amp;Y$5,INDIRECT("'"&amp;$B82&amp;"'!$AF$6:$AF$205"),0))),"-"))</f>
        <v/>
      </c>
      <c r="Z82" s="38">
        <f>IF(OR(AP82="",Z$5="-"),"",IFERROR(IF(INDEX(INDIRECT("'"&amp;$B82&amp;"'!$T$6:$T$205"),MATCH($AR82&amp;"|"&amp;Z$5,INDIRECT("'"&amp;$B82&amp;"'!$AF$6:$AF$205"),0))="","",INDEX(INDIRECT("'"&amp;$B82&amp;"'!$T$6:$T$205"),MATCH($AR82&amp;"|"&amp;Z$5,INDIRECT("'"&amp;$B82&amp;"'!$AF$6:$AF$205"),0))),"-"))</f>
        <v/>
      </c>
      <c r="AA82" s="38">
        <f>IF(OR(AP82="",AA$5="-"),"",IFERROR(IF(INDEX(INDIRECT("'"&amp;$B82&amp;"'!$T$6:$T$205"),MATCH($AR82&amp;"|"&amp;AA$5,INDIRECT("'"&amp;$B82&amp;"'!$AF$6:$AF$205"),0))="","",INDEX(INDIRECT("'"&amp;$B82&amp;"'!$T$6:$T$205"),MATCH($AR82&amp;"|"&amp;AA$5,INDIRECT("'"&amp;$B82&amp;"'!$AF$6:$AF$205"),0))),"-"))</f>
        <v/>
      </c>
      <c r="AB82" s="38">
        <f>IF(OR(AP82="",AB$5="-"),"",IFERROR(IF(INDEX(INDIRECT("'"&amp;$B82&amp;"'!$T$6:$T$205"),MATCH($AR82&amp;"|"&amp;AB$5,INDIRECT("'"&amp;$B82&amp;"'!$AF$6:$AF$205"),0))="","",INDEX(INDIRECT("'"&amp;$B82&amp;"'!$T$6:$T$205"),MATCH($AR82&amp;"|"&amp;AB$5,INDIRECT("'"&amp;$B82&amp;"'!$AF$6:$AF$205"),0))),"-"))</f>
        <v/>
      </c>
      <c r="AC82" s="38">
        <f>IF(OR(AP82="",AC$5="-"),"",IFERROR(IF(INDEX(INDIRECT("'"&amp;$B82&amp;"'!$T$6:$T$205"),MATCH($AR82&amp;"|"&amp;AC$5,INDIRECT("'"&amp;$B82&amp;"'!$AF$6:$AF$205"),0))="","",INDEX(INDIRECT("'"&amp;$B82&amp;"'!$T$6:$T$205"),MATCH($AR82&amp;"|"&amp;AC$5,INDIRECT("'"&amp;$B82&amp;"'!$AF$6:$AF$205"),0))),"-"))</f>
        <v/>
      </c>
      <c r="AD82" s="38">
        <f>IF(OR(AP82="",AD$5="-"),"",IFERROR(IF(INDEX(INDIRECT("'"&amp;$B82&amp;"'!$T$6:$T$205"),MATCH($AR82&amp;"|"&amp;AD$5,INDIRECT("'"&amp;$B82&amp;"'!$AF$6:$AF$205"),0))="","",INDEX(INDIRECT("'"&amp;$B82&amp;"'!$T$6:$T$205"),MATCH($AR82&amp;"|"&amp;AD$5,INDIRECT("'"&amp;$B82&amp;"'!$AF$6:$AF$205"),0))),"-"))</f>
        <v/>
      </c>
      <c r="AE82" s="38">
        <f>IF(OR(AP82="",AE$5="-"),"",IFERROR(IF(INDEX(INDIRECT("'"&amp;$B82&amp;"'!$T$6:$T$205"),MATCH($AR82&amp;"|"&amp;AE$5,INDIRECT("'"&amp;$B82&amp;"'!$AF$6:$AF$205"),0))="","",INDEX(INDIRECT("'"&amp;$B82&amp;"'!$T$6:$T$205"),MATCH($AR82&amp;"|"&amp;AE$5,INDIRECT("'"&amp;$B82&amp;"'!$AF$6:$AF$205"),0))),"-"))</f>
        <v/>
      </c>
      <c r="AF82" s="35">
        <f>IF(AG82="","",INDEX($P$5:$W$5,MATCH(AG82,P82:W82,0)))</f>
        <v/>
      </c>
      <c r="AG82" s="37">
        <f>IF(COUNT(P82:W82)=0,"",MIN(P82:W82))</f>
        <v/>
      </c>
      <c r="AH82" s="39">
        <f>IF(AG82="","",AG82*F82)</f>
        <v/>
      </c>
      <c r="AI82" s="39">
        <f>IF(COUNT(P82:W82)&lt;2,"",(MAX(P82:W82)-MIN(P82:W82))*F82)</f>
        <v/>
      </c>
      <c r="AJ82" s="20" t="n"/>
      <c r="AP82">
        <f>IF(77&gt;MAX($AN$6:$AN$9),"",COUNTIF($AN$6:$AN$9,"&lt;"&amp;77)+1)</f>
        <v/>
      </c>
      <c r="AQ82">
        <f>IF(AP82="","",77-INDEX($AO$6:$AO$9,AP82))</f>
        <v/>
      </c>
      <c r="AR82">
        <f>IF(AP82="","",INDEX(INDIRECT("'"&amp;$B82&amp;"'!$AE$6:$AE$205"),MATCH(AQ82,INDIRECT("'"&amp;$B82&amp;"'!$AI$6:$AI$205"),0)))</f>
        <v/>
      </c>
    </row>
    <row r="83">
      <c r="A83" s="34">
        <f>IF(AP83="","",78)</f>
        <v/>
      </c>
      <c r="B83" s="35">
        <f>IF(AP83="","",INDEX($AL$6:$AL$9,AP83))</f>
        <v/>
      </c>
      <c r="C83" s="34">
        <f>IF(AP83="","",INDEX(INDIRECT("'"&amp;$B83&amp;"'!$B$6:$B$205"),MATCH($AR83,INDIRECT("'"&amp;$B83&amp;"'!$AE$6:$AE$205"),0)))</f>
        <v/>
      </c>
      <c r="D83" s="34">
        <f>IF(AP83="","",INDEX(INDIRECT("'"&amp;$B83&amp;"'!$D$6:$D$205"),MATCH($AR83,INDIRECT("'"&amp;$B83&amp;"'!$AE$6:$AE$205"),0)))</f>
        <v/>
      </c>
      <c r="E83" s="36">
        <f>IF(AP83="","",INDEX(INDIRECT("'"&amp;$B83&amp;"'!$F$6:$F$205"),MATCH($AR83,INDIRECT("'"&amp;$B83&amp;"'!$AE$6:$AE$205"),0)))</f>
        <v/>
      </c>
      <c r="F83" s="34">
        <f>IF(AP83="","",INDEX(INDIRECT("'"&amp;$B83&amp;"'!$K$6:$K$205"),MATCH($AR83,INDIRECT("'"&amp;$B83&amp;"'!$AE$6:$AE$205"),0)))</f>
        <v/>
      </c>
      <c r="G83" s="34">
        <f>IF(AP83="","",INDEX(INDIRECT("'"&amp;$B83&amp;"'!$L$6:$L$205"),MATCH($AR83,INDIRECT("'"&amp;$B83&amp;"'!$AE$6:$AE$205"),0)))</f>
        <v/>
      </c>
      <c r="H83" s="34">
        <f>IF(OR(AP83="",H$5="-"),"",IFERROR(IF(INDEX(INDIRECT("'"&amp;$B83&amp;"'!$N$6:$N$205"),MATCH($AR83&amp;"|"&amp;H$5,INDIRECT("'"&amp;$B83&amp;"'!$AF$6:$AF$205"),0))="","",INDEX(INDIRECT("'"&amp;$B83&amp;"'!$N$6:$N$205"),MATCH($AR83&amp;"|"&amp;H$5,INDIRECT("'"&amp;$B83&amp;"'!$AF$6:$AF$205"),0))),"-"))</f>
        <v/>
      </c>
      <c r="I83" s="34">
        <f>IF(OR(AP83="",I$5="-"),"",IFERROR(IF(INDEX(INDIRECT("'"&amp;$B83&amp;"'!$N$6:$N$205"),MATCH($AR83&amp;"|"&amp;I$5,INDIRECT("'"&amp;$B83&amp;"'!$AF$6:$AF$205"),0))="","",INDEX(INDIRECT("'"&amp;$B83&amp;"'!$N$6:$N$205"),MATCH($AR83&amp;"|"&amp;I$5,INDIRECT("'"&amp;$B83&amp;"'!$AF$6:$AF$205"),0))),"-"))</f>
        <v/>
      </c>
      <c r="J83" s="34">
        <f>IF(OR(AP83="",J$5="-"),"",IFERROR(IF(INDEX(INDIRECT("'"&amp;$B83&amp;"'!$N$6:$N$205"),MATCH($AR83&amp;"|"&amp;J$5,INDIRECT("'"&amp;$B83&amp;"'!$AF$6:$AF$205"),0))="","",INDEX(INDIRECT("'"&amp;$B83&amp;"'!$N$6:$N$205"),MATCH($AR83&amp;"|"&amp;J$5,INDIRECT("'"&amp;$B83&amp;"'!$AF$6:$AF$205"),0))),"-"))</f>
        <v/>
      </c>
      <c r="K83" s="34">
        <f>IF(OR(AP83="",K$5="-"),"",IFERROR(IF(INDEX(INDIRECT("'"&amp;$B83&amp;"'!$N$6:$N$205"),MATCH($AR83&amp;"|"&amp;K$5,INDIRECT("'"&amp;$B83&amp;"'!$AF$6:$AF$205"),0))="","",INDEX(INDIRECT("'"&amp;$B83&amp;"'!$N$6:$N$205"),MATCH($AR83&amp;"|"&amp;K$5,INDIRECT("'"&amp;$B83&amp;"'!$AF$6:$AF$205"),0))),"-"))</f>
        <v/>
      </c>
      <c r="L83" s="34">
        <f>IF(OR(AP83="",L$5="-"),"",IFERROR(IF(INDEX(INDIRECT("'"&amp;$B83&amp;"'!$N$6:$N$205"),MATCH($AR83&amp;"|"&amp;L$5,INDIRECT("'"&amp;$B83&amp;"'!$AF$6:$AF$205"),0))="","",INDEX(INDIRECT("'"&amp;$B83&amp;"'!$N$6:$N$205"),MATCH($AR83&amp;"|"&amp;L$5,INDIRECT("'"&amp;$B83&amp;"'!$AF$6:$AF$205"),0))),"-"))</f>
        <v/>
      </c>
      <c r="M83" s="34">
        <f>IF(OR(AP83="",M$5="-"),"",IFERROR(IF(INDEX(INDIRECT("'"&amp;$B83&amp;"'!$N$6:$N$205"),MATCH($AR83&amp;"|"&amp;M$5,INDIRECT("'"&amp;$B83&amp;"'!$AF$6:$AF$205"),0))="","",INDEX(INDIRECT("'"&amp;$B83&amp;"'!$N$6:$N$205"),MATCH($AR83&amp;"|"&amp;M$5,INDIRECT("'"&amp;$B83&amp;"'!$AF$6:$AF$205"),0))),"-"))</f>
        <v/>
      </c>
      <c r="N83" s="34">
        <f>IF(OR(AP83="",N$5="-"),"",IFERROR(IF(INDEX(INDIRECT("'"&amp;$B83&amp;"'!$N$6:$N$205"),MATCH($AR83&amp;"|"&amp;N$5,INDIRECT("'"&amp;$B83&amp;"'!$AF$6:$AF$205"),0))="","",INDEX(INDIRECT("'"&amp;$B83&amp;"'!$N$6:$N$205"),MATCH($AR83&amp;"|"&amp;N$5,INDIRECT("'"&amp;$B83&amp;"'!$AF$6:$AF$205"),0))),"-"))</f>
        <v/>
      </c>
      <c r="O83" s="34">
        <f>IF(OR(AP83="",O$5="-"),"",IFERROR(IF(INDEX(INDIRECT("'"&amp;$B83&amp;"'!$N$6:$N$205"),MATCH($AR83&amp;"|"&amp;O$5,INDIRECT("'"&amp;$B83&amp;"'!$AF$6:$AF$205"),0))="","",INDEX(INDIRECT("'"&amp;$B83&amp;"'!$N$6:$N$205"),MATCH($AR83&amp;"|"&amp;O$5,INDIRECT("'"&amp;$B83&amp;"'!$AF$6:$AF$205"),0))),"-"))</f>
        <v/>
      </c>
      <c r="P83" s="37">
        <f>IF(OR(AP83="",P$5="-"),"",IFERROR(IF(INDEX(INDIRECT("'"&amp;$B83&amp;"'!$R$6:$R$205"),MATCH($AR83&amp;"|"&amp;P$5,INDIRECT("'"&amp;$B83&amp;"'!$AF$6:$AF$205"),0))="","",INDEX(INDIRECT("'"&amp;$B83&amp;"'!$R$6:$R$205"),MATCH($AR83&amp;"|"&amp;P$5,INDIRECT("'"&amp;$B83&amp;"'!$AF$6:$AF$205"),0))),"-"))</f>
        <v/>
      </c>
      <c r="Q83" s="37">
        <f>IF(OR(AP83="",Q$5="-"),"",IFERROR(IF(INDEX(INDIRECT("'"&amp;$B83&amp;"'!$R$6:$R$205"),MATCH($AR83&amp;"|"&amp;Q$5,INDIRECT("'"&amp;$B83&amp;"'!$AF$6:$AF$205"),0))="","",INDEX(INDIRECT("'"&amp;$B83&amp;"'!$R$6:$R$205"),MATCH($AR83&amp;"|"&amp;Q$5,INDIRECT("'"&amp;$B83&amp;"'!$AF$6:$AF$205"),0))),"-"))</f>
        <v/>
      </c>
      <c r="R83" s="37">
        <f>IF(OR(AP83="",R$5="-"),"",IFERROR(IF(INDEX(INDIRECT("'"&amp;$B83&amp;"'!$R$6:$R$205"),MATCH($AR83&amp;"|"&amp;R$5,INDIRECT("'"&amp;$B83&amp;"'!$AF$6:$AF$205"),0))="","",INDEX(INDIRECT("'"&amp;$B83&amp;"'!$R$6:$R$205"),MATCH($AR83&amp;"|"&amp;R$5,INDIRECT("'"&amp;$B83&amp;"'!$AF$6:$AF$205"),0))),"-"))</f>
        <v/>
      </c>
      <c r="S83" s="37">
        <f>IF(OR(AP83="",S$5="-"),"",IFERROR(IF(INDEX(INDIRECT("'"&amp;$B83&amp;"'!$R$6:$R$205"),MATCH($AR83&amp;"|"&amp;S$5,INDIRECT("'"&amp;$B83&amp;"'!$AF$6:$AF$205"),0))="","",INDEX(INDIRECT("'"&amp;$B83&amp;"'!$R$6:$R$205"),MATCH($AR83&amp;"|"&amp;S$5,INDIRECT("'"&amp;$B83&amp;"'!$AF$6:$AF$205"),0))),"-"))</f>
        <v/>
      </c>
      <c r="T83" s="37">
        <f>IF(OR(AP83="",T$5="-"),"",IFERROR(IF(INDEX(INDIRECT("'"&amp;$B83&amp;"'!$R$6:$R$205"),MATCH($AR83&amp;"|"&amp;T$5,INDIRECT("'"&amp;$B83&amp;"'!$AF$6:$AF$205"),0))="","",INDEX(INDIRECT("'"&amp;$B83&amp;"'!$R$6:$R$205"),MATCH($AR83&amp;"|"&amp;T$5,INDIRECT("'"&amp;$B83&amp;"'!$AF$6:$AF$205"),0))),"-"))</f>
        <v/>
      </c>
      <c r="U83" s="37">
        <f>IF(OR(AP83="",U$5="-"),"",IFERROR(IF(INDEX(INDIRECT("'"&amp;$B83&amp;"'!$R$6:$R$205"),MATCH($AR83&amp;"|"&amp;U$5,INDIRECT("'"&amp;$B83&amp;"'!$AF$6:$AF$205"),0))="","",INDEX(INDIRECT("'"&amp;$B83&amp;"'!$R$6:$R$205"),MATCH($AR83&amp;"|"&amp;U$5,INDIRECT("'"&amp;$B83&amp;"'!$AF$6:$AF$205"),0))),"-"))</f>
        <v/>
      </c>
      <c r="V83" s="37">
        <f>IF(OR(AP83="",V$5="-"),"",IFERROR(IF(INDEX(INDIRECT("'"&amp;$B83&amp;"'!$R$6:$R$205"),MATCH($AR83&amp;"|"&amp;V$5,INDIRECT("'"&amp;$B83&amp;"'!$AF$6:$AF$205"),0))="","",INDEX(INDIRECT("'"&amp;$B83&amp;"'!$R$6:$R$205"),MATCH($AR83&amp;"|"&amp;V$5,INDIRECT("'"&amp;$B83&amp;"'!$AF$6:$AF$205"),0))),"-"))</f>
        <v/>
      </c>
      <c r="W83" s="37">
        <f>IF(OR(AP83="",W$5="-"),"",IFERROR(IF(INDEX(INDIRECT("'"&amp;$B83&amp;"'!$R$6:$R$205"),MATCH($AR83&amp;"|"&amp;W$5,INDIRECT("'"&amp;$B83&amp;"'!$AF$6:$AF$205"),0))="","",INDEX(INDIRECT("'"&amp;$B83&amp;"'!$R$6:$R$205"),MATCH($AR83&amp;"|"&amp;W$5,INDIRECT("'"&amp;$B83&amp;"'!$AF$6:$AF$205"),0))),"-"))</f>
        <v/>
      </c>
      <c r="X83" s="38">
        <f>IF(OR(AP83="",X$5="-"),"",IFERROR(IF(INDEX(INDIRECT("'"&amp;$B83&amp;"'!$T$6:$T$205"),MATCH($AR83&amp;"|"&amp;X$5,INDIRECT("'"&amp;$B83&amp;"'!$AF$6:$AF$205"),0))="","",INDEX(INDIRECT("'"&amp;$B83&amp;"'!$T$6:$T$205"),MATCH($AR83&amp;"|"&amp;X$5,INDIRECT("'"&amp;$B83&amp;"'!$AF$6:$AF$205"),0))),"-"))</f>
        <v/>
      </c>
      <c r="Y83" s="38">
        <f>IF(OR(AP83="",Y$5="-"),"",IFERROR(IF(INDEX(INDIRECT("'"&amp;$B83&amp;"'!$T$6:$T$205"),MATCH($AR83&amp;"|"&amp;Y$5,INDIRECT("'"&amp;$B83&amp;"'!$AF$6:$AF$205"),0))="","",INDEX(INDIRECT("'"&amp;$B83&amp;"'!$T$6:$T$205"),MATCH($AR83&amp;"|"&amp;Y$5,INDIRECT("'"&amp;$B83&amp;"'!$AF$6:$AF$205"),0))),"-"))</f>
        <v/>
      </c>
      <c r="Z83" s="38">
        <f>IF(OR(AP83="",Z$5="-"),"",IFERROR(IF(INDEX(INDIRECT("'"&amp;$B83&amp;"'!$T$6:$T$205"),MATCH($AR83&amp;"|"&amp;Z$5,INDIRECT("'"&amp;$B83&amp;"'!$AF$6:$AF$205"),0))="","",INDEX(INDIRECT("'"&amp;$B83&amp;"'!$T$6:$T$205"),MATCH($AR83&amp;"|"&amp;Z$5,INDIRECT("'"&amp;$B83&amp;"'!$AF$6:$AF$205"),0))),"-"))</f>
        <v/>
      </c>
      <c r="AA83" s="38">
        <f>IF(OR(AP83="",AA$5="-"),"",IFERROR(IF(INDEX(INDIRECT("'"&amp;$B83&amp;"'!$T$6:$T$205"),MATCH($AR83&amp;"|"&amp;AA$5,INDIRECT("'"&amp;$B83&amp;"'!$AF$6:$AF$205"),0))="","",INDEX(INDIRECT("'"&amp;$B83&amp;"'!$T$6:$T$205"),MATCH($AR83&amp;"|"&amp;AA$5,INDIRECT("'"&amp;$B83&amp;"'!$AF$6:$AF$205"),0))),"-"))</f>
        <v/>
      </c>
      <c r="AB83" s="38">
        <f>IF(OR(AP83="",AB$5="-"),"",IFERROR(IF(INDEX(INDIRECT("'"&amp;$B83&amp;"'!$T$6:$T$205"),MATCH($AR83&amp;"|"&amp;AB$5,INDIRECT("'"&amp;$B83&amp;"'!$AF$6:$AF$205"),0))="","",INDEX(INDIRECT("'"&amp;$B83&amp;"'!$T$6:$T$205"),MATCH($AR83&amp;"|"&amp;AB$5,INDIRECT("'"&amp;$B83&amp;"'!$AF$6:$AF$205"),0))),"-"))</f>
        <v/>
      </c>
      <c r="AC83" s="38">
        <f>IF(OR(AP83="",AC$5="-"),"",IFERROR(IF(INDEX(INDIRECT("'"&amp;$B83&amp;"'!$T$6:$T$205"),MATCH($AR83&amp;"|"&amp;AC$5,INDIRECT("'"&amp;$B83&amp;"'!$AF$6:$AF$205"),0))="","",INDEX(INDIRECT("'"&amp;$B83&amp;"'!$T$6:$T$205"),MATCH($AR83&amp;"|"&amp;AC$5,INDIRECT("'"&amp;$B83&amp;"'!$AF$6:$AF$205"),0))),"-"))</f>
        <v/>
      </c>
      <c r="AD83" s="38">
        <f>IF(OR(AP83="",AD$5="-"),"",IFERROR(IF(INDEX(INDIRECT("'"&amp;$B83&amp;"'!$T$6:$T$205"),MATCH($AR83&amp;"|"&amp;AD$5,INDIRECT("'"&amp;$B83&amp;"'!$AF$6:$AF$205"),0))="","",INDEX(INDIRECT("'"&amp;$B83&amp;"'!$T$6:$T$205"),MATCH($AR83&amp;"|"&amp;AD$5,INDIRECT("'"&amp;$B83&amp;"'!$AF$6:$AF$205"),0))),"-"))</f>
        <v/>
      </c>
      <c r="AE83" s="38">
        <f>IF(OR(AP83="",AE$5="-"),"",IFERROR(IF(INDEX(INDIRECT("'"&amp;$B83&amp;"'!$T$6:$T$205"),MATCH($AR83&amp;"|"&amp;AE$5,INDIRECT("'"&amp;$B83&amp;"'!$AF$6:$AF$205"),0))="","",INDEX(INDIRECT("'"&amp;$B83&amp;"'!$T$6:$T$205"),MATCH($AR83&amp;"|"&amp;AE$5,INDIRECT("'"&amp;$B83&amp;"'!$AF$6:$AF$205"),0))),"-"))</f>
        <v/>
      </c>
      <c r="AF83" s="35">
        <f>IF(AG83="","",INDEX($P$5:$W$5,MATCH(AG83,P83:W83,0)))</f>
        <v/>
      </c>
      <c r="AG83" s="37">
        <f>IF(COUNT(P83:W83)=0,"",MIN(P83:W83))</f>
        <v/>
      </c>
      <c r="AH83" s="39">
        <f>IF(AG83="","",AG83*F83)</f>
        <v/>
      </c>
      <c r="AI83" s="39">
        <f>IF(COUNT(P83:W83)&lt;2,"",(MAX(P83:W83)-MIN(P83:W83))*F83)</f>
        <v/>
      </c>
      <c r="AJ83" s="20" t="n"/>
      <c r="AP83">
        <f>IF(78&gt;MAX($AN$6:$AN$9),"",COUNTIF($AN$6:$AN$9,"&lt;"&amp;78)+1)</f>
        <v/>
      </c>
      <c r="AQ83">
        <f>IF(AP83="","",78-INDEX($AO$6:$AO$9,AP83))</f>
        <v/>
      </c>
      <c r="AR83">
        <f>IF(AP83="","",INDEX(INDIRECT("'"&amp;$B83&amp;"'!$AE$6:$AE$205"),MATCH(AQ83,INDIRECT("'"&amp;$B83&amp;"'!$AI$6:$AI$205"),0)))</f>
        <v/>
      </c>
    </row>
    <row r="84">
      <c r="A84" s="34">
        <f>IF(AP84="","",79)</f>
        <v/>
      </c>
      <c r="B84" s="35">
        <f>IF(AP84="","",INDEX($AL$6:$AL$9,AP84))</f>
        <v/>
      </c>
      <c r="C84" s="34">
        <f>IF(AP84="","",INDEX(INDIRECT("'"&amp;$B84&amp;"'!$B$6:$B$205"),MATCH($AR84,INDIRECT("'"&amp;$B84&amp;"'!$AE$6:$AE$205"),0)))</f>
        <v/>
      </c>
      <c r="D84" s="34">
        <f>IF(AP84="","",INDEX(INDIRECT("'"&amp;$B84&amp;"'!$D$6:$D$205"),MATCH($AR84,INDIRECT("'"&amp;$B84&amp;"'!$AE$6:$AE$205"),0)))</f>
        <v/>
      </c>
      <c r="E84" s="36">
        <f>IF(AP84="","",INDEX(INDIRECT("'"&amp;$B84&amp;"'!$F$6:$F$205"),MATCH($AR84,INDIRECT("'"&amp;$B84&amp;"'!$AE$6:$AE$205"),0)))</f>
        <v/>
      </c>
      <c r="F84" s="34">
        <f>IF(AP84="","",INDEX(INDIRECT("'"&amp;$B84&amp;"'!$K$6:$K$205"),MATCH($AR84,INDIRECT("'"&amp;$B84&amp;"'!$AE$6:$AE$205"),0)))</f>
        <v/>
      </c>
      <c r="G84" s="34">
        <f>IF(AP84="","",INDEX(INDIRECT("'"&amp;$B84&amp;"'!$L$6:$L$205"),MATCH($AR84,INDIRECT("'"&amp;$B84&amp;"'!$AE$6:$AE$205"),0)))</f>
        <v/>
      </c>
      <c r="H84" s="34">
        <f>IF(OR(AP84="",H$5="-"),"",IFERROR(IF(INDEX(INDIRECT("'"&amp;$B84&amp;"'!$N$6:$N$205"),MATCH($AR84&amp;"|"&amp;H$5,INDIRECT("'"&amp;$B84&amp;"'!$AF$6:$AF$205"),0))="","",INDEX(INDIRECT("'"&amp;$B84&amp;"'!$N$6:$N$205"),MATCH($AR84&amp;"|"&amp;H$5,INDIRECT("'"&amp;$B84&amp;"'!$AF$6:$AF$205"),0))),"-"))</f>
        <v/>
      </c>
      <c r="I84" s="34">
        <f>IF(OR(AP84="",I$5="-"),"",IFERROR(IF(INDEX(INDIRECT("'"&amp;$B84&amp;"'!$N$6:$N$205"),MATCH($AR84&amp;"|"&amp;I$5,INDIRECT("'"&amp;$B84&amp;"'!$AF$6:$AF$205"),0))="","",INDEX(INDIRECT("'"&amp;$B84&amp;"'!$N$6:$N$205"),MATCH($AR84&amp;"|"&amp;I$5,INDIRECT("'"&amp;$B84&amp;"'!$AF$6:$AF$205"),0))),"-"))</f>
        <v/>
      </c>
      <c r="J84" s="34">
        <f>IF(OR(AP84="",J$5="-"),"",IFERROR(IF(INDEX(INDIRECT("'"&amp;$B84&amp;"'!$N$6:$N$205"),MATCH($AR84&amp;"|"&amp;J$5,INDIRECT("'"&amp;$B84&amp;"'!$AF$6:$AF$205"),0))="","",INDEX(INDIRECT("'"&amp;$B84&amp;"'!$N$6:$N$205"),MATCH($AR84&amp;"|"&amp;J$5,INDIRECT("'"&amp;$B84&amp;"'!$AF$6:$AF$205"),0))),"-"))</f>
        <v/>
      </c>
      <c r="K84" s="34">
        <f>IF(OR(AP84="",K$5="-"),"",IFERROR(IF(INDEX(INDIRECT("'"&amp;$B84&amp;"'!$N$6:$N$205"),MATCH($AR84&amp;"|"&amp;K$5,INDIRECT("'"&amp;$B84&amp;"'!$AF$6:$AF$205"),0))="","",INDEX(INDIRECT("'"&amp;$B84&amp;"'!$N$6:$N$205"),MATCH($AR84&amp;"|"&amp;K$5,INDIRECT("'"&amp;$B84&amp;"'!$AF$6:$AF$205"),0))),"-"))</f>
        <v/>
      </c>
      <c r="L84" s="34">
        <f>IF(OR(AP84="",L$5="-"),"",IFERROR(IF(INDEX(INDIRECT("'"&amp;$B84&amp;"'!$N$6:$N$205"),MATCH($AR84&amp;"|"&amp;L$5,INDIRECT("'"&amp;$B84&amp;"'!$AF$6:$AF$205"),0))="","",INDEX(INDIRECT("'"&amp;$B84&amp;"'!$N$6:$N$205"),MATCH($AR84&amp;"|"&amp;L$5,INDIRECT("'"&amp;$B84&amp;"'!$AF$6:$AF$205"),0))),"-"))</f>
        <v/>
      </c>
      <c r="M84" s="34">
        <f>IF(OR(AP84="",M$5="-"),"",IFERROR(IF(INDEX(INDIRECT("'"&amp;$B84&amp;"'!$N$6:$N$205"),MATCH($AR84&amp;"|"&amp;M$5,INDIRECT("'"&amp;$B84&amp;"'!$AF$6:$AF$205"),0))="","",INDEX(INDIRECT("'"&amp;$B84&amp;"'!$N$6:$N$205"),MATCH($AR84&amp;"|"&amp;M$5,INDIRECT("'"&amp;$B84&amp;"'!$AF$6:$AF$205"),0))),"-"))</f>
        <v/>
      </c>
      <c r="N84" s="34">
        <f>IF(OR(AP84="",N$5="-"),"",IFERROR(IF(INDEX(INDIRECT("'"&amp;$B84&amp;"'!$N$6:$N$205"),MATCH($AR84&amp;"|"&amp;N$5,INDIRECT("'"&amp;$B84&amp;"'!$AF$6:$AF$205"),0))="","",INDEX(INDIRECT("'"&amp;$B84&amp;"'!$N$6:$N$205"),MATCH($AR84&amp;"|"&amp;N$5,INDIRECT("'"&amp;$B84&amp;"'!$AF$6:$AF$205"),0))),"-"))</f>
        <v/>
      </c>
      <c r="O84" s="34">
        <f>IF(OR(AP84="",O$5="-"),"",IFERROR(IF(INDEX(INDIRECT("'"&amp;$B84&amp;"'!$N$6:$N$205"),MATCH($AR84&amp;"|"&amp;O$5,INDIRECT("'"&amp;$B84&amp;"'!$AF$6:$AF$205"),0))="","",INDEX(INDIRECT("'"&amp;$B84&amp;"'!$N$6:$N$205"),MATCH($AR84&amp;"|"&amp;O$5,INDIRECT("'"&amp;$B84&amp;"'!$AF$6:$AF$205"),0))),"-"))</f>
        <v/>
      </c>
      <c r="P84" s="37">
        <f>IF(OR(AP84="",P$5="-"),"",IFERROR(IF(INDEX(INDIRECT("'"&amp;$B84&amp;"'!$R$6:$R$205"),MATCH($AR84&amp;"|"&amp;P$5,INDIRECT("'"&amp;$B84&amp;"'!$AF$6:$AF$205"),0))="","",INDEX(INDIRECT("'"&amp;$B84&amp;"'!$R$6:$R$205"),MATCH($AR84&amp;"|"&amp;P$5,INDIRECT("'"&amp;$B84&amp;"'!$AF$6:$AF$205"),0))),"-"))</f>
        <v/>
      </c>
      <c r="Q84" s="37">
        <f>IF(OR(AP84="",Q$5="-"),"",IFERROR(IF(INDEX(INDIRECT("'"&amp;$B84&amp;"'!$R$6:$R$205"),MATCH($AR84&amp;"|"&amp;Q$5,INDIRECT("'"&amp;$B84&amp;"'!$AF$6:$AF$205"),0))="","",INDEX(INDIRECT("'"&amp;$B84&amp;"'!$R$6:$R$205"),MATCH($AR84&amp;"|"&amp;Q$5,INDIRECT("'"&amp;$B84&amp;"'!$AF$6:$AF$205"),0))),"-"))</f>
        <v/>
      </c>
      <c r="R84" s="37">
        <f>IF(OR(AP84="",R$5="-"),"",IFERROR(IF(INDEX(INDIRECT("'"&amp;$B84&amp;"'!$R$6:$R$205"),MATCH($AR84&amp;"|"&amp;R$5,INDIRECT("'"&amp;$B84&amp;"'!$AF$6:$AF$205"),0))="","",INDEX(INDIRECT("'"&amp;$B84&amp;"'!$R$6:$R$205"),MATCH($AR84&amp;"|"&amp;R$5,INDIRECT("'"&amp;$B84&amp;"'!$AF$6:$AF$205"),0))),"-"))</f>
        <v/>
      </c>
      <c r="S84" s="37">
        <f>IF(OR(AP84="",S$5="-"),"",IFERROR(IF(INDEX(INDIRECT("'"&amp;$B84&amp;"'!$R$6:$R$205"),MATCH($AR84&amp;"|"&amp;S$5,INDIRECT("'"&amp;$B84&amp;"'!$AF$6:$AF$205"),0))="","",INDEX(INDIRECT("'"&amp;$B84&amp;"'!$R$6:$R$205"),MATCH($AR84&amp;"|"&amp;S$5,INDIRECT("'"&amp;$B84&amp;"'!$AF$6:$AF$205"),0))),"-"))</f>
        <v/>
      </c>
      <c r="T84" s="37">
        <f>IF(OR(AP84="",T$5="-"),"",IFERROR(IF(INDEX(INDIRECT("'"&amp;$B84&amp;"'!$R$6:$R$205"),MATCH($AR84&amp;"|"&amp;T$5,INDIRECT("'"&amp;$B84&amp;"'!$AF$6:$AF$205"),0))="","",INDEX(INDIRECT("'"&amp;$B84&amp;"'!$R$6:$R$205"),MATCH($AR84&amp;"|"&amp;T$5,INDIRECT("'"&amp;$B84&amp;"'!$AF$6:$AF$205"),0))),"-"))</f>
        <v/>
      </c>
      <c r="U84" s="37">
        <f>IF(OR(AP84="",U$5="-"),"",IFERROR(IF(INDEX(INDIRECT("'"&amp;$B84&amp;"'!$R$6:$R$205"),MATCH($AR84&amp;"|"&amp;U$5,INDIRECT("'"&amp;$B84&amp;"'!$AF$6:$AF$205"),0))="","",INDEX(INDIRECT("'"&amp;$B84&amp;"'!$R$6:$R$205"),MATCH($AR84&amp;"|"&amp;U$5,INDIRECT("'"&amp;$B84&amp;"'!$AF$6:$AF$205"),0))),"-"))</f>
        <v/>
      </c>
      <c r="V84" s="37">
        <f>IF(OR(AP84="",V$5="-"),"",IFERROR(IF(INDEX(INDIRECT("'"&amp;$B84&amp;"'!$R$6:$R$205"),MATCH($AR84&amp;"|"&amp;V$5,INDIRECT("'"&amp;$B84&amp;"'!$AF$6:$AF$205"),0))="","",INDEX(INDIRECT("'"&amp;$B84&amp;"'!$R$6:$R$205"),MATCH($AR84&amp;"|"&amp;V$5,INDIRECT("'"&amp;$B84&amp;"'!$AF$6:$AF$205"),0))),"-"))</f>
        <v/>
      </c>
      <c r="W84" s="37">
        <f>IF(OR(AP84="",W$5="-"),"",IFERROR(IF(INDEX(INDIRECT("'"&amp;$B84&amp;"'!$R$6:$R$205"),MATCH($AR84&amp;"|"&amp;W$5,INDIRECT("'"&amp;$B84&amp;"'!$AF$6:$AF$205"),0))="","",INDEX(INDIRECT("'"&amp;$B84&amp;"'!$R$6:$R$205"),MATCH($AR84&amp;"|"&amp;W$5,INDIRECT("'"&amp;$B84&amp;"'!$AF$6:$AF$205"),0))),"-"))</f>
        <v/>
      </c>
      <c r="X84" s="38">
        <f>IF(OR(AP84="",X$5="-"),"",IFERROR(IF(INDEX(INDIRECT("'"&amp;$B84&amp;"'!$T$6:$T$205"),MATCH($AR84&amp;"|"&amp;X$5,INDIRECT("'"&amp;$B84&amp;"'!$AF$6:$AF$205"),0))="","",INDEX(INDIRECT("'"&amp;$B84&amp;"'!$T$6:$T$205"),MATCH($AR84&amp;"|"&amp;X$5,INDIRECT("'"&amp;$B84&amp;"'!$AF$6:$AF$205"),0))),"-"))</f>
        <v/>
      </c>
      <c r="Y84" s="38">
        <f>IF(OR(AP84="",Y$5="-"),"",IFERROR(IF(INDEX(INDIRECT("'"&amp;$B84&amp;"'!$T$6:$T$205"),MATCH($AR84&amp;"|"&amp;Y$5,INDIRECT("'"&amp;$B84&amp;"'!$AF$6:$AF$205"),0))="","",INDEX(INDIRECT("'"&amp;$B84&amp;"'!$T$6:$T$205"),MATCH($AR84&amp;"|"&amp;Y$5,INDIRECT("'"&amp;$B84&amp;"'!$AF$6:$AF$205"),0))),"-"))</f>
        <v/>
      </c>
      <c r="Z84" s="38">
        <f>IF(OR(AP84="",Z$5="-"),"",IFERROR(IF(INDEX(INDIRECT("'"&amp;$B84&amp;"'!$T$6:$T$205"),MATCH($AR84&amp;"|"&amp;Z$5,INDIRECT("'"&amp;$B84&amp;"'!$AF$6:$AF$205"),0))="","",INDEX(INDIRECT("'"&amp;$B84&amp;"'!$T$6:$T$205"),MATCH($AR84&amp;"|"&amp;Z$5,INDIRECT("'"&amp;$B84&amp;"'!$AF$6:$AF$205"),0))),"-"))</f>
        <v/>
      </c>
      <c r="AA84" s="38">
        <f>IF(OR(AP84="",AA$5="-"),"",IFERROR(IF(INDEX(INDIRECT("'"&amp;$B84&amp;"'!$T$6:$T$205"),MATCH($AR84&amp;"|"&amp;AA$5,INDIRECT("'"&amp;$B84&amp;"'!$AF$6:$AF$205"),0))="","",INDEX(INDIRECT("'"&amp;$B84&amp;"'!$T$6:$T$205"),MATCH($AR84&amp;"|"&amp;AA$5,INDIRECT("'"&amp;$B84&amp;"'!$AF$6:$AF$205"),0))),"-"))</f>
        <v/>
      </c>
      <c r="AB84" s="38">
        <f>IF(OR(AP84="",AB$5="-"),"",IFERROR(IF(INDEX(INDIRECT("'"&amp;$B84&amp;"'!$T$6:$T$205"),MATCH($AR84&amp;"|"&amp;AB$5,INDIRECT("'"&amp;$B84&amp;"'!$AF$6:$AF$205"),0))="","",INDEX(INDIRECT("'"&amp;$B84&amp;"'!$T$6:$T$205"),MATCH($AR84&amp;"|"&amp;AB$5,INDIRECT("'"&amp;$B84&amp;"'!$AF$6:$AF$205"),0))),"-"))</f>
        <v/>
      </c>
      <c r="AC84" s="38">
        <f>IF(OR(AP84="",AC$5="-"),"",IFERROR(IF(INDEX(INDIRECT("'"&amp;$B84&amp;"'!$T$6:$T$205"),MATCH($AR84&amp;"|"&amp;AC$5,INDIRECT("'"&amp;$B84&amp;"'!$AF$6:$AF$205"),0))="","",INDEX(INDIRECT("'"&amp;$B84&amp;"'!$T$6:$T$205"),MATCH($AR84&amp;"|"&amp;AC$5,INDIRECT("'"&amp;$B84&amp;"'!$AF$6:$AF$205"),0))),"-"))</f>
        <v/>
      </c>
      <c r="AD84" s="38">
        <f>IF(OR(AP84="",AD$5="-"),"",IFERROR(IF(INDEX(INDIRECT("'"&amp;$B84&amp;"'!$T$6:$T$205"),MATCH($AR84&amp;"|"&amp;AD$5,INDIRECT("'"&amp;$B84&amp;"'!$AF$6:$AF$205"),0))="","",INDEX(INDIRECT("'"&amp;$B84&amp;"'!$T$6:$T$205"),MATCH($AR84&amp;"|"&amp;AD$5,INDIRECT("'"&amp;$B84&amp;"'!$AF$6:$AF$205"),0))),"-"))</f>
        <v/>
      </c>
      <c r="AE84" s="38">
        <f>IF(OR(AP84="",AE$5="-"),"",IFERROR(IF(INDEX(INDIRECT("'"&amp;$B84&amp;"'!$T$6:$T$205"),MATCH($AR84&amp;"|"&amp;AE$5,INDIRECT("'"&amp;$B84&amp;"'!$AF$6:$AF$205"),0))="","",INDEX(INDIRECT("'"&amp;$B84&amp;"'!$T$6:$T$205"),MATCH($AR84&amp;"|"&amp;AE$5,INDIRECT("'"&amp;$B84&amp;"'!$AF$6:$AF$205"),0))),"-"))</f>
        <v/>
      </c>
      <c r="AF84" s="35">
        <f>IF(AG84="","",INDEX($P$5:$W$5,MATCH(AG84,P84:W84,0)))</f>
        <v/>
      </c>
      <c r="AG84" s="37">
        <f>IF(COUNT(P84:W84)=0,"",MIN(P84:W84))</f>
        <v/>
      </c>
      <c r="AH84" s="39">
        <f>IF(AG84="","",AG84*F84)</f>
        <v/>
      </c>
      <c r="AI84" s="39">
        <f>IF(COUNT(P84:W84)&lt;2,"",(MAX(P84:W84)-MIN(P84:W84))*F84)</f>
        <v/>
      </c>
      <c r="AJ84" s="20" t="n"/>
      <c r="AP84">
        <f>IF(79&gt;MAX($AN$6:$AN$9),"",COUNTIF($AN$6:$AN$9,"&lt;"&amp;79)+1)</f>
        <v/>
      </c>
      <c r="AQ84">
        <f>IF(AP84="","",79-INDEX($AO$6:$AO$9,AP84))</f>
        <v/>
      </c>
      <c r="AR84">
        <f>IF(AP84="","",INDEX(INDIRECT("'"&amp;$B84&amp;"'!$AE$6:$AE$205"),MATCH(AQ84,INDIRECT("'"&amp;$B84&amp;"'!$AI$6:$AI$205"),0)))</f>
        <v/>
      </c>
    </row>
    <row r="85">
      <c r="A85" s="34">
        <f>IF(AP85="","",80)</f>
        <v/>
      </c>
      <c r="B85" s="35">
        <f>IF(AP85="","",INDEX($AL$6:$AL$9,AP85))</f>
        <v/>
      </c>
      <c r="C85" s="34">
        <f>IF(AP85="","",INDEX(INDIRECT("'"&amp;$B85&amp;"'!$B$6:$B$205"),MATCH($AR85,INDIRECT("'"&amp;$B85&amp;"'!$AE$6:$AE$205"),0)))</f>
        <v/>
      </c>
      <c r="D85" s="34">
        <f>IF(AP85="","",INDEX(INDIRECT("'"&amp;$B85&amp;"'!$D$6:$D$205"),MATCH($AR85,INDIRECT("'"&amp;$B85&amp;"'!$AE$6:$AE$205"),0)))</f>
        <v/>
      </c>
      <c r="E85" s="36">
        <f>IF(AP85="","",INDEX(INDIRECT("'"&amp;$B85&amp;"'!$F$6:$F$205"),MATCH($AR85,INDIRECT("'"&amp;$B85&amp;"'!$AE$6:$AE$205"),0)))</f>
        <v/>
      </c>
      <c r="F85" s="34">
        <f>IF(AP85="","",INDEX(INDIRECT("'"&amp;$B85&amp;"'!$K$6:$K$205"),MATCH($AR85,INDIRECT("'"&amp;$B85&amp;"'!$AE$6:$AE$205"),0)))</f>
        <v/>
      </c>
      <c r="G85" s="34">
        <f>IF(AP85="","",INDEX(INDIRECT("'"&amp;$B85&amp;"'!$L$6:$L$205"),MATCH($AR85,INDIRECT("'"&amp;$B85&amp;"'!$AE$6:$AE$205"),0)))</f>
        <v/>
      </c>
      <c r="H85" s="34">
        <f>IF(OR(AP85="",H$5="-"),"",IFERROR(IF(INDEX(INDIRECT("'"&amp;$B85&amp;"'!$N$6:$N$205"),MATCH($AR85&amp;"|"&amp;H$5,INDIRECT("'"&amp;$B85&amp;"'!$AF$6:$AF$205"),0))="","",INDEX(INDIRECT("'"&amp;$B85&amp;"'!$N$6:$N$205"),MATCH($AR85&amp;"|"&amp;H$5,INDIRECT("'"&amp;$B85&amp;"'!$AF$6:$AF$205"),0))),"-"))</f>
        <v/>
      </c>
      <c r="I85" s="34">
        <f>IF(OR(AP85="",I$5="-"),"",IFERROR(IF(INDEX(INDIRECT("'"&amp;$B85&amp;"'!$N$6:$N$205"),MATCH($AR85&amp;"|"&amp;I$5,INDIRECT("'"&amp;$B85&amp;"'!$AF$6:$AF$205"),0))="","",INDEX(INDIRECT("'"&amp;$B85&amp;"'!$N$6:$N$205"),MATCH($AR85&amp;"|"&amp;I$5,INDIRECT("'"&amp;$B85&amp;"'!$AF$6:$AF$205"),0))),"-"))</f>
        <v/>
      </c>
      <c r="J85" s="34">
        <f>IF(OR(AP85="",J$5="-"),"",IFERROR(IF(INDEX(INDIRECT("'"&amp;$B85&amp;"'!$N$6:$N$205"),MATCH($AR85&amp;"|"&amp;J$5,INDIRECT("'"&amp;$B85&amp;"'!$AF$6:$AF$205"),0))="","",INDEX(INDIRECT("'"&amp;$B85&amp;"'!$N$6:$N$205"),MATCH($AR85&amp;"|"&amp;J$5,INDIRECT("'"&amp;$B85&amp;"'!$AF$6:$AF$205"),0))),"-"))</f>
        <v/>
      </c>
      <c r="K85" s="34">
        <f>IF(OR(AP85="",K$5="-"),"",IFERROR(IF(INDEX(INDIRECT("'"&amp;$B85&amp;"'!$N$6:$N$205"),MATCH($AR85&amp;"|"&amp;K$5,INDIRECT("'"&amp;$B85&amp;"'!$AF$6:$AF$205"),0))="","",INDEX(INDIRECT("'"&amp;$B85&amp;"'!$N$6:$N$205"),MATCH($AR85&amp;"|"&amp;K$5,INDIRECT("'"&amp;$B85&amp;"'!$AF$6:$AF$205"),0))),"-"))</f>
        <v/>
      </c>
      <c r="L85" s="34">
        <f>IF(OR(AP85="",L$5="-"),"",IFERROR(IF(INDEX(INDIRECT("'"&amp;$B85&amp;"'!$N$6:$N$205"),MATCH($AR85&amp;"|"&amp;L$5,INDIRECT("'"&amp;$B85&amp;"'!$AF$6:$AF$205"),0))="","",INDEX(INDIRECT("'"&amp;$B85&amp;"'!$N$6:$N$205"),MATCH($AR85&amp;"|"&amp;L$5,INDIRECT("'"&amp;$B85&amp;"'!$AF$6:$AF$205"),0))),"-"))</f>
        <v/>
      </c>
      <c r="M85" s="34">
        <f>IF(OR(AP85="",M$5="-"),"",IFERROR(IF(INDEX(INDIRECT("'"&amp;$B85&amp;"'!$N$6:$N$205"),MATCH($AR85&amp;"|"&amp;M$5,INDIRECT("'"&amp;$B85&amp;"'!$AF$6:$AF$205"),0))="","",INDEX(INDIRECT("'"&amp;$B85&amp;"'!$N$6:$N$205"),MATCH($AR85&amp;"|"&amp;M$5,INDIRECT("'"&amp;$B85&amp;"'!$AF$6:$AF$205"),0))),"-"))</f>
        <v/>
      </c>
      <c r="N85" s="34">
        <f>IF(OR(AP85="",N$5="-"),"",IFERROR(IF(INDEX(INDIRECT("'"&amp;$B85&amp;"'!$N$6:$N$205"),MATCH($AR85&amp;"|"&amp;N$5,INDIRECT("'"&amp;$B85&amp;"'!$AF$6:$AF$205"),0))="","",INDEX(INDIRECT("'"&amp;$B85&amp;"'!$N$6:$N$205"),MATCH($AR85&amp;"|"&amp;N$5,INDIRECT("'"&amp;$B85&amp;"'!$AF$6:$AF$205"),0))),"-"))</f>
        <v/>
      </c>
      <c r="O85" s="34">
        <f>IF(OR(AP85="",O$5="-"),"",IFERROR(IF(INDEX(INDIRECT("'"&amp;$B85&amp;"'!$N$6:$N$205"),MATCH($AR85&amp;"|"&amp;O$5,INDIRECT("'"&amp;$B85&amp;"'!$AF$6:$AF$205"),0))="","",INDEX(INDIRECT("'"&amp;$B85&amp;"'!$N$6:$N$205"),MATCH($AR85&amp;"|"&amp;O$5,INDIRECT("'"&amp;$B85&amp;"'!$AF$6:$AF$205"),0))),"-"))</f>
        <v/>
      </c>
      <c r="P85" s="37">
        <f>IF(OR(AP85="",P$5="-"),"",IFERROR(IF(INDEX(INDIRECT("'"&amp;$B85&amp;"'!$R$6:$R$205"),MATCH($AR85&amp;"|"&amp;P$5,INDIRECT("'"&amp;$B85&amp;"'!$AF$6:$AF$205"),0))="","",INDEX(INDIRECT("'"&amp;$B85&amp;"'!$R$6:$R$205"),MATCH($AR85&amp;"|"&amp;P$5,INDIRECT("'"&amp;$B85&amp;"'!$AF$6:$AF$205"),0))),"-"))</f>
        <v/>
      </c>
      <c r="Q85" s="37">
        <f>IF(OR(AP85="",Q$5="-"),"",IFERROR(IF(INDEX(INDIRECT("'"&amp;$B85&amp;"'!$R$6:$R$205"),MATCH($AR85&amp;"|"&amp;Q$5,INDIRECT("'"&amp;$B85&amp;"'!$AF$6:$AF$205"),0))="","",INDEX(INDIRECT("'"&amp;$B85&amp;"'!$R$6:$R$205"),MATCH($AR85&amp;"|"&amp;Q$5,INDIRECT("'"&amp;$B85&amp;"'!$AF$6:$AF$205"),0))),"-"))</f>
        <v/>
      </c>
      <c r="R85" s="37">
        <f>IF(OR(AP85="",R$5="-"),"",IFERROR(IF(INDEX(INDIRECT("'"&amp;$B85&amp;"'!$R$6:$R$205"),MATCH($AR85&amp;"|"&amp;R$5,INDIRECT("'"&amp;$B85&amp;"'!$AF$6:$AF$205"),0))="","",INDEX(INDIRECT("'"&amp;$B85&amp;"'!$R$6:$R$205"),MATCH($AR85&amp;"|"&amp;R$5,INDIRECT("'"&amp;$B85&amp;"'!$AF$6:$AF$205"),0))),"-"))</f>
        <v/>
      </c>
      <c r="S85" s="37">
        <f>IF(OR(AP85="",S$5="-"),"",IFERROR(IF(INDEX(INDIRECT("'"&amp;$B85&amp;"'!$R$6:$R$205"),MATCH($AR85&amp;"|"&amp;S$5,INDIRECT("'"&amp;$B85&amp;"'!$AF$6:$AF$205"),0))="","",INDEX(INDIRECT("'"&amp;$B85&amp;"'!$R$6:$R$205"),MATCH($AR85&amp;"|"&amp;S$5,INDIRECT("'"&amp;$B85&amp;"'!$AF$6:$AF$205"),0))),"-"))</f>
        <v/>
      </c>
      <c r="T85" s="37">
        <f>IF(OR(AP85="",T$5="-"),"",IFERROR(IF(INDEX(INDIRECT("'"&amp;$B85&amp;"'!$R$6:$R$205"),MATCH($AR85&amp;"|"&amp;T$5,INDIRECT("'"&amp;$B85&amp;"'!$AF$6:$AF$205"),0))="","",INDEX(INDIRECT("'"&amp;$B85&amp;"'!$R$6:$R$205"),MATCH($AR85&amp;"|"&amp;T$5,INDIRECT("'"&amp;$B85&amp;"'!$AF$6:$AF$205"),0))),"-"))</f>
        <v/>
      </c>
      <c r="U85" s="37">
        <f>IF(OR(AP85="",U$5="-"),"",IFERROR(IF(INDEX(INDIRECT("'"&amp;$B85&amp;"'!$R$6:$R$205"),MATCH($AR85&amp;"|"&amp;U$5,INDIRECT("'"&amp;$B85&amp;"'!$AF$6:$AF$205"),0))="","",INDEX(INDIRECT("'"&amp;$B85&amp;"'!$R$6:$R$205"),MATCH($AR85&amp;"|"&amp;U$5,INDIRECT("'"&amp;$B85&amp;"'!$AF$6:$AF$205"),0))),"-"))</f>
        <v/>
      </c>
      <c r="V85" s="37">
        <f>IF(OR(AP85="",V$5="-"),"",IFERROR(IF(INDEX(INDIRECT("'"&amp;$B85&amp;"'!$R$6:$R$205"),MATCH($AR85&amp;"|"&amp;V$5,INDIRECT("'"&amp;$B85&amp;"'!$AF$6:$AF$205"),0))="","",INDEX(INDIRECT("'"&amp;$B85&amp;"'!$R$6:$R$205"),MATCH($AR85&amp;"|"&amp;V$5,INDIRECT("'"&amp;$B85&amp;"'!$AF$6:$AF$205"),0))),"-"))</f>
        <v/>
      </c>
      <c r="W85" s="37">
        <f>IF(OR(AP85="",W$5="-"),"",IFERROR(IF(INDEX(INDIRECT("'"&amp;$B85&amp;"'!$R$6:$R$205"),MATCH($AR85&amp;"|"&amp;W$5,INDIRECT("'"&amp;$B85&amp;"'!$AF$6:$AF$205"),0))="","",INDEX(INDIRECT("'"&amp;$B85&amp;"'!$R$6:$R$205"),MATCH($AR85&amp;"|"&amp;W$5,INDIRECT("'"&amp;$B85&amp;"'!$AF$6:$AF$205"),0))),"-"))</f>
        <v/>
      </c>
      <c r="X85" s="38">
        <f>IF(OR(AP85="",X$5="-"),"",IFERROR(IF(INDEX(INDIRECT("'"&amp;$B85&amp;"'!$T$6:$T$205"),MATCH($AR85&amp;"|"&amp;X$5,INDIRECT("'"&amp;$B85&amp;"'!$AF$6:$AF$205"),0))="","",INDEX(INDIRECT("'"&amp;$B85&amp;"'!$T$6:$T$205"),MATCH($AR85&amp;"|"&amp;X$5,INDIRECT("'"&amp;$B85&amp;"'!$AF$6:$AF$205"),0))),"-"))</f>
        <v/>
      </c>
      <c r="Y85" s="38">
        <f>IF(OR(AP85="",Y$5="-"),"",IFERROR(IF(INDEX(INDIRECT("'"&amp;$B85&amp;"'!$T$6:$T$205"),MATCH($AR85&amp;"|"&amp;Y$5,INDIRECT("'"&amp;$B85&amp;"'!$AF$6:$AF$205"),0))="","",INDEX(INDIRECT("'"&amp;$B85&amp;"'!$T$6:$T$205"),MATCH($AR85&amp;"|"&amp;Y$5,INDIRECT("'"&amp;$B85&amp;"'!$AF$6:$AF$205"),0))),"-"))</f>
        <v/>
      </c>
      <c r="Z85" s="38">
        <f>IF(OR(AP85="",Z$5="-"),"",IFERROR(IF(INDEX(INDIRECT("'"&amp;$B85&amp;"'!$T$6:$T$205"),MATCH($AR85&amp;"|"&amp;Z$5,INDIRECT("'"&amp;$B85&amp;"'!$AF$6:$AF$205"),0))="","",INDEX(INDIRECT("'"&amp;$B85&amp;"'!$T$6:$T$205"),MATCH($AR85&amp;"|"&amp;Z$5,INDIRECT("'"&amp;$B85&amp;"'!$AF$6:$AF$205"),0))),"-"))</f>
        <v/>
      </c>
      <c r="AA85" s="38">
        <f>IF(OR(AP85="",AA$5="-"),"",IFERROR(IF(INDEX(INDIRECT("'"&amp;$B85&amp;"'!$T$6:$T$205"),MATCH($AR85&amp;"|"&amp;AA$5,INDIRECT("'"&amp;$B85&amp;"'!$AF$6:$AF$205"),0))="","",INDEX(INDIRECT("'"&amp;$B85&amp;"'!$T$6:$T$205"),MATCH($AR85&amp;"|"&amp;AA$5,INDIRECT("'"&amp;$B85&amp;"'!$AF$6:$AF$205"),0))),"-"))</f>
        <v/>
      </c>
      <c r="AB85" s="38">
        <f>IF(OR(AP85="",AB$5="-"),"",IFERROR(IF(INDEX(INDIRECT("'"&amp;$B85&amp;"'!$T$6:$T$205"),MATCH($AR85&amp;"|"&amp;AB$5,INDIRECT("'"&amp;$B85&amp;"'!$AF$6:$AF$205"),0))="","",INDEX(INDIRECT("'"&amp;$B85&amp;"'!$T$6:$T$205"),MATCH($AR85&amp;"|"&amp;AB$5,INDIRECT("'"&amp;$B85&amp;"'!$AF$6:$AF$205"),0))),"-"))</f>
        <v/>
      </c>
      <c r="AC85" s="38">
        <f>IF(OR(AP85="",AC$5="-"),"",IFERROR(IF(INDEX(INDIRECT("'"&amp;$B85&amp;"'!$T$6:$T$205"),MATCH($AR85&amp;"|"&amp;AC$5,INDIRECT("'"&amp;$B85&amp;"'!$AF$6:$AF$205"),0))="","",INDEX(INDIRECT("'"&amp;$B85&amp;"'!$T$6:$T$205"),MATCH($AR85&amp;"|"&amp;AC$5,INDIRECT("'"&amp;$B85&amp;"'!$AF$6:$AF$205"),0))),"-"))</f>
        <v/>
      </c>
      <c r="AD85" s="38">
        <f>IF(OR(AP85="",AD$5="-"),"",IFERROR(IF(INDEX(INDIRECT("'"&amp;$B85&amp;"'!$T$6:$T$205"),MATCH($AR85&amp;"|"&amp;AD$5,INDIRECT("'"&amp;$B85&amp;"'!$AF$6:$AF$205"),0))="","",INDEX(INDIRECT("'"&amp;$B85&amp;"'!$T$6:$T$205"),MATCH($AR85&amp;"|"&amp;AD$5,INDIRECT("'"&amp;$B85&amp;"'!$AF$6:$AF$205"),0))),"-"))</f>
        <v/>
      </c>
      <c r="AE85" s="38">
        <f>IF(OR(AP85="",AE$5="-"),"",IFERROR(IF(INDEX(INDIRECT("'"&amp;$B85&amp;"'!$T$6:$T$205"),MATCH($AR85&amp;"|"&amp;AE$5,INDIRECT("'"&amp;$B85&amp;"'!$AF$6:$AF$205"),0))="","",INDEX(INDIRECT("'"&amp;$B85&amp;"'!$T$6:$T$205"),MATCH($AR85&amp;"|"&amp;AE$5,INDIRECT("'"&amp;$B85&amp;"'!$AF$6:$AF$205"),0))),"-"))</f>
        <v/>
      </c>
      <c r="AF85" s="35">
        <f>IF(AG85="","",INDEX($P$5:$W$5,MATCH(AG85,P85:W85,0)))</f>
        <v/>
      </c>
      <c r="AG85" s="37">
        <f>IF(COUNT(P85:W85)=0,"",MIN(P85:W85))</f>
        <v/>
      </c>
      <c r="AH85" s="39">
        <f>IF(AG85="","",AG85*F85)</f>
        <v/>
      </c>
      <c r="AI85" s="39">
        <f>IF(COUNT(P85:W85)&lt;2,"",(MAX(P85:W85)-MIN(P85:W85))*F85)</f>
        <v/>
      </c>
      <c r="AJ85" s="20" t="n"/>
      <c r="AP85">
        <f>IF(80&gt;MAX($AN$6:$AN$9),"",COUNTIF($AN$6:$AN$9,"&lt;"&amp;80)+1)</f>
        <v/>
      </c>
      <c r="AQ85">
        <f>IF(AP85="","",80-INDEX($AO$6:$AO$9,AP85))</f>
        <v/>
      </c>
      <c r="AR85">
        <f>IF(AP85="","",INDEX(INDIRECT("'"&amp;$B85&amp;"'!$AE$6:$AE$205"),MATCH(AQ85,INDIRECT("'"&amp;$B85&amp;"'!$AI$6:$AI$205"),0)))</f>
        <v/>
      </c>
    </row>
    <row r="88">
      <c r="A88" s="2" t="inlineStr">
        <is>
          <t>※ 메모 칸(노란색)은 행 위치가 자동으로 바뀔 수 있어 참고용입니다. 확정 내용은 선박 시트 '진행상태/다음 조치'에 적어주세요.</t>
        </is>
      </c>
    </row>
  </sheetData>
  <mergeCells count="15">
    <mergeCell ref="X4:AE4"/>
    <mergeCell ref="B4:B5"/>
    <mergeCell ref="C4:C5"/>
    <mergeCell ref="A4:A5"/>
    <mergeCell ref="F4:F5"/>
    <mergeCell ref="E4:E5"/>
    <mergeCell ref="D4:D5"/>
    <mergeCell ref="G4:G5"/>
    <mergeCell ref="P4:W4"/>
    <mergeCell ref="AI4:AI5"/>
    <mergeCell ref="AF4:AF5"/>
    <mergeCell ref="AG4:AG5"/>
    <mergeCell ref="AJ4:AJ5"/>
    <mergeCell ref="AH4:AH5"/>
    <mergeCell ref="H4:O4"/>
  </mergeCells>
  <conditionalFormatting sqref="H6:O85">
    <cfRule type="cellIs" priority="1" operator="equal" dxfId="8">
      <formula>"견적접수"</formula>
    </cfRule>
    <cfRule type="cellIs" priority="2" operator="equal" dxfId="9">
      <formula>"확인필요"</formula>
    </cfRule>
    <cfRule type="cellIs" priority="3" operator="equal" dxfId="10">
      <formula>"공급불가"</formula>
    </cfRule>
    <cfRule type="cellIs" priority="4" operator="equal" dxfId="11">
      <formula>"미접수"</formula>
    </cfRule>
  </conditionalFormatting>
  <conditionalFormatting sqref="P6:W85">
    <cfRule type="expression" priority="5" dxfId="8">
      <formula>AND(ISNUMBER(P6),P6=$AG6)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AEOLUS</t>
        </is>
      </c>
      <c r="F1" s="40" t="inlineStr">
        <is>
          <t>IMO 9958298   ·   Routine   ·   RFQ상 납품항/ETA: TBA</t>
        </is>
      </c>
    </row>
    <row r="2" ht="24" customHeight="1">
      <c r="A2" s="41">
        <f>IFERROR(IF(N(INDEX(스케줄!$C$5:$C$14,MATCH("AEOLUS",스케줄!$A$5:$A$14,0)))=0,"다음 일정: 미정 (스케줄 시트에 입력)","다음 일정: "&amp;INDEX(스케줄!$B$5:$B$14,MATCH("AEOLUS",스케줄!$A$5:$A$14,0))&amp;"  "&amp;TEXT(INDEX(스케줄!$C$5:$C$14,MATCH("AEOLUS",스케줄!$A$5:$A$14,0)),"mm/dd")&amp;IF(N(INDEX(스케줄!$D$5:$D$14,MATCH("AEOLUS",스케줄!$A$5:$A$14,0)))=0,"","~"&amp;TEXT(INDEX(스케줄!$D$5:$D$14,MATCH("AEOLUS",스케줄!$A$5:$A$14,0)),"mm/dd"))),"")</f>
        <v/>
      </c>
      <c r="G2" s="42">
        <f>IFERROR(INDEX(스케줄!$I$5:$I$14,MATCH("AEOLUS",스케줄!$A$5:$A$14,0)),"")</f>
        <v/>
      </c>
      <c r="H2" s="43">
        <f>IFERROR(INDEX(스케줄!$J$5:$J$14,MATCH("AEOLUS",스케줄!$A$5:$A$14,0)),"")</f>
        <v/>
      </c>
      <c r="J2" s="44" t="inlineStr">
        <is>
          <t>출고 마감</t>
        </is>
      </c>
      <c r="K2" s="45">
        <f>IFERROR(INDEX(스케줄!$F$5:$F$14,MATCH("AEOLUS",스케줄!$A$5:$A$14,0)),"")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1</v>
      </c>
      <c r="E6" s="34" t="inlineStr">
        <is>
          <t>NORGREN</t>
        </is>
      </c>
      <c r="F6" s="36" t="inlineStr">
        <is>
          <t>Air filter</t>
        </is>
      </c>
      <c r="G6" s="36" t="inlineStr">
        <is>
          <t>Hanwha - MAN B&amp;W 5G70ME-C10.5-GA</t>
        </is>
      </c>
      <c r="H6" s="36" t="inlineStr">
        <is>
          <t>Plate/Drawing no. 5672-0260-0001
Part no. 57</t>
        </is>
      </c>
      <c r="I6" s="36" t="inlineStr">
        <is>
          <t>Emission Control System</t>
        </is>
      </c>
      <c r="J6" s="36" t="inlineStr">
        <is>
          <t>Filter Maker: Norgren, Type: F05G-2AN-AM3</t>
        </is>
      </c>
      <c r="K6" s="34" t="n">
        <v>8</v>
      </c>
      <c r="L6" s="34" t="inlineStr">
        <is>
          <t>set</t>
        </is>
      </c>
      <c r="M6" s="34" t="inlineStr">
        <is>
          <t>RMS</t>
        </is>
      </c>
      <c r="N6" s="34" t="inlineStr">
        <is>
          <t>견적접수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>
        <v>621000</v>
      </c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>
        <v>5</v>
      </c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inlineStr">
        <is>
          <t>OEM</t>
        </is>
      </c>
      <c r="X6" s="34" t="inlineStr">
        <is>
          <t>EX WORK BUSAN</t>
        </is>
      </c>
      <c r="Y6" s="34" t="n">
        <v>20</v>
      </c>
      <c r="Z6" s="55" t="n"/>
      <c r="AA6" s="54">
        <f>IF(OR(Z6="",Y6=""),"",Z6+Y6)</f>
        <v/>
      </c>
      <c r="AB6" s="36" t="inlineStr">
        <is>
          <t>D/T: 5 DAYS, OEM, EX WORK BUSAN [VALI: 20 DAYS]</t>
        </is>
      </c>
      <c r="AC6" s="34" t="inlineStr">
        <is>
          <t>검토중</t>
        </is>
      </c>
      <c r="AD6" s="36" t="n"/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KQU-000116304</t>
        </is>
      </c>
      <c r="C7" s="34" t="inlineStr">
        <is>
          <t>01</t>
        </is>
      </c>
      <c r="D7" s="34" t="n">
        <v>1</v>
      </c>
      <c r="E7" s="34" t="inlineStr">
        <is>
          <t>NORGREN</t>
        </is>
      </c>
      <c r="F7" s="36" t="inlineStr">
        <is>
          <t>Air filter</t>
        </is>
      </c>
      <c r="G7" s="36" t="inlineStr">
        <is>
          <t>Hanwha - MAN B&amp;W 5G70ME-C10.5-GA</t>
        </is>
      </c>
      <c r="H7" s="36" t="inlineStr">
        <is>
          <t>Plate/Drawing no. 5672-0260-0001
Part no. 57</t>
        </is>
      </c>
      <c r="I7" s="36" t="inlineStr">
        <is>
          <t>Emission Control System</t>
        </is>
      </c>
      <c r="J7" s="36" t="n"/>
      <c r="K7" s="34" t="n">
        <v>8</v>
      </c>
      <c r="L7" s="34" t="inlineStr">
        <is>
          <t>set</t>
        </is>
      </c>
      <c r="M7" s="34" t="inlineStr">
        <is>
          <t>OXEN</t>
        </is>
      </c>
      <c r="N7" s="34" t="inlineStr">
        <is>
          <t>견적접수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>
        <v>517500</v>
      </c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>
        <v>10</v>
      </c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n"/>
      <c r="X7" s="34" t="inlineStr">
        <is>
          <t>EXW BUSAN</t>
        </is>
      </c>
      <c r="Y7" s="34" t="n">
        <v>20</v>
      </c>
      <c r="Z7" s="55" t="n"/>
      <c r="AA7" s="54">
        <f>IF(OR(Z7="",Y7=""),"",Z7+Y7)</f>
        <v/>
      </c>
      <c r="AB7" s="36" t="inlineStr">
        <is>
          <t>[옥슨 IOB-ONR-26-1016(ME)] #8 AIR FILTER COMPLETE *NORGREEN F05G-2AN-AM3 (5672-0260-0001-057) / 10 DAYS</t>
        </is>
      </c>
      <c r="AC7" s="34" t="inlineStr">
        <is>
          <t>검토중</t>
        </is>
      </c>
      <c r="AD7" s="36" t="inlineStr">
        <is>
          <t>옥슨 견적서는 ONEIROI로 표기 – 부품번호·수량이 AEOLUS RFQ와 같아 AEOLUS로 묶음 (선박 확인)</t>
        </is>
      </c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KQU-000116304</t>
        </is>
      </c>
      <c r="C8" s="34" t="inlineStr">
        <is>
          <t>01</t>
        </is>
      </c>
      <c r="D8" s="34" t="n">
        <v>2</v>
      </c>
      <c r="E8" s="34" t="inlineStr">
        <is>
          <t>NORGREN</t>
        </is>
      </c>
      <c r="F8" s="36" t="inlineStr">
        <is>
          <t>Air filter element</t>
        </is>
      </c>
      <c r="G8" s="36" t="inlineStr">
        <is>
          <t>Hanwha - MAN B&amp;W 5G70ME-C10.5-GA</t>
        </is>
      </c>
      <c r="H8" s="36" t="inlineStr">
        <is>
          <t>Plate/Drawing no. 5672-0260-0001</t>
        </is>
      </c>
      <c r="I8" s="36" t="inlineStr">
        <is>
          <t>Emission Control System</t>
        </is>
      </c>
      <c r="J8" s="36" t="inlineStr">
        <is>
          <t>Service Kit- F05G 40 MIC / Maker part No.: 3653-28</t>
        </is>
      </c>
      <c r="K8" s="34" t="n">
        <v>100</v>
      </c>
      <c r="L8" s="34" t="inlineStr">
        <is>
          <t>pcs</t>
        </is>
      </c>
      <c r="M8" s="34" t="inlineStr">
        <is>
          <t>RMS</t>
        </is>
      </c>
      <c r="N8" s="34" t="inlineStr">
        <is>
          <t>견적접수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KRW</t>
        </is>
      </c>
      <c r="Q8" s="51" t="n">
        <v>99500</v>
      </c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>
        <v>90</v>
      </c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inlineStr">
        <is>
          <t>OEM</t>
        </is>
      </c>
      <c r="X8" s="34" t="inlineStr">
        <is>
          <t>EX WORK BUSAN</t>
        </is>
      </c>
      <c r="Y8" s="34" t="n">
        <v>20</v>
      </c>
      <c r="Z8" s="55" t="n"/>
      <c r="AA8" s="54">
        <f>IF(OR(Z8="",Y8=""),"",Z8+Y8)</f>
        <v/>
      </c>
      <c r="AB8" s="36" t="inlineStr">
        <is>
          <t>D/T: 90 DAYS, OEM, EX WORK BUSAN [VALI: 20 DAYS]</t>
        </is>
      </c>
      <c r="AC8" s="34" t="inlineStr">
        <is>
          <t>검토중</t>
        </is>
      </c>
      <c r="AD8" s="36" t="n"/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KQU-000116306</t>
        </is>
      </c>
      <c r="C9" s="34" t="inlineStr">
        <is>
          <t>04</t>
        </is>
      </c>
      <c r="D9" s="34" t="n">
        <v>1</v>
      </c>
      <c r="E9" s="34" t="inlineStr">
        <is>
          <t>WAGO</t>
        </is>
      </c>
      <c r="F9" s="36" t="inlineStr">
        <is>
          <t>WAGO module for EGR system</t>
        </is>
      </c>
      <c r="G9" s="36" t="inlineStr">
        <is>
          <t>WAGO / 750-8216/040-00</t>
        </is>
      </c>
      <c r="H9" s="36" t="inlineStr">
        <is>
          <t>As attached</t>
        </is>
      </c>
      <c r="I9" s="36" t="inlineStr">
        <is>
          <t>EGR System</t>
        </is>
      </c>
      <c r="J9" s="36" t="n"/>
      <c r="K9" s="34" t="n">
        <v>1</v>
      </c>
      <c r="L9" s="34" t="inlineStr">
        <is>
          <t>set</t>
        </is>
      </c>
      <c r="M9" s="34" t="inlineStr">
        <is>
          <t>RMS</t>
        </is>
      </c>
      <c r="N9" s="34" t="inlineStr">
        <is>
          <t>견적접수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KRW</t>
        </is>
      </c>
      <c r="Q9" s="51" t="n">
        <v>2300000</v>
      </c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>
        <v>60</v>
      </c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inlineStr">
        <is>
          <t>OEM</t>
        </is>
      </c>
      <c r="X9" s="34" t="inlineStr">
        <is>
          <t>EX WORK BUSAN</t>
        </is>
      </c>
      <c r="Y9" s="34" t="n">
        <v>20</v>
      </c>
      <c r="Z9" s="55" t="n"/>
      <c r="AA9" s="54">
        <f>IF(OR(Z9="",Y9=""),"",Z9+Y9)</f>
        <v/>
      </c>
      <c r="AB9" s="36" t="inlineStr">
        <is>
          <t>D/T: 60 DAYS, OEM, EX WORK BUSAN [VALI: 20 DAYS]</t>
        </is>
      </c>
      <c r="AC9" s="34" t="inlineStr">
        <is>
          <t>검토중</t>
        </is>
      </c>
      <c r="AD9" s="36" t="n"/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KQU-000116306</t>
        </is>
      </c>
      <c r="C10" s="34" t="inlineStr">
        <is>
          <t>04</t>
        </is>
      </c>
      <c r="D10" s="34" t="n">
        <v>1</v>
      </c>
      <c r="E10" s="34" t="inlineStr">
        <is>
          <t>WAGO</t>
        </is>
      </c>
      <c r="F10" s="36" t="inlineStr">
        <is>
          <t>WAGO module for EGR system</t>
        </is>
      </c>
      <c r="G10" s="36" t="inlineStr">
        <is>
          <t>WAGO / 750-8216/040-00</t>
        </is>
      </c>
      <c r="H10" s="36" t="inlineStr">
        <is>
          <t>As attached</t>
        </is>
      </c>
      <c r="I10" s="36" t="inlineStr">
        <is>
          <t>EGR System</t>
        </is>
      </c>
      <c r="J10" s="36" t="n"/>
      <c r="K10" s="34" t="n">
        <v>1</v>
      </c>
      <c r="L10" s="34" t="inlineStr">
        <is>
          <t>set</t>
        </is>
      </c>
      <c r="M10" s="34" t="inlineStr">
        <is>
          <t>AFS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EUR</t>
        </is>
      </c>
      <c r="Q10" s="51" t="n">
        <v>1873.54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28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n"/>
      <c r="X10" s="34" t="inlineStr">
        <is>
          <t>미기재 (AFS 네덜란드)</t>
        </is>
      </c>
      <c r="Y10" s="34" t="n"/>
      <c r="Z10" s="56" t="n">
        <v>46317</v>
      </c>
      <c r="AA10" s="54">
        <f>IF(OR(Z10="",Y10=""),"",Z10+Y10)</f>
        <v/>
      </c>
      <c r="AB10" s="36" t="inlineStr">
        <is>
          <t>[AFS Q.0000122664] WAGO PFC200 750-8216 COMMUNICATION MODULE / *del time: 3-4 weeks* *item cannot be returned*</t>
        </is>
      </c>
      <c r="AC10" s="34" t="inlineStr">
        <is>
          <t>검토중</t>
        </is>
      </c>
      <c r="AD10" s="36" t="inlineStr">
        <is>
          <t>납기 3-4주 → 28일로 계산</t>
        </is>
      </c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KQU-000116306</t>
        </is>
      </c>
      <c r="C11" s="34" t="inlineStr">
        <is>
          <t>04</t>
        </is>
      </c>
      <c r="D11" s="34" t="n">
        <v>1</v>
      </c>
      <c r="E11" s="34" t="inlineStr">
        <is>
          <t>WAGO</t>
        </is>
      </c>
      <c r="F11" s="36" t="inlineStr">
        <is>
          <t>WAGO module for EGR system</t>
        </is>
      </c>
      <c r="G11" s="36" t="inlineStr">
        <is>
          <t>WAGO / 750-8216/040-00</t>
        </is>
      </c>
      <c r="H11" s="36" t="inlineStr">
        <is>
          <t>As attached</t>
        </is>
      </c>
      <c r="I11" s="36" t="inlineStr">
        <is>
          <t>EGR System</t>
        </is>
      </c>
      <c r="J11" s="36" t="n"/>
      <c r="K11" s="34" t="n">
        <v>1</v>
      </c>
      <c r="L11" s="34" t="inlineStr">
        <is>
          <t>set</t>
        </is>
      </c>
      <c r="M11" s="34" t="inlineStr">
        <is>
          <t>OXEN</t>
        </is>
      </c>
      <c r="N11" s="34" t="inlineStr">
        <is>
          <t>미접수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KRW</t>
        </is>
      </c>
      <c r="Q11" s="51" t="n"/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/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n"/>
      <c r="X11" s="34" t="inlineStr">
        <is>
          <t>EXW BUSAN</t>
        </is>
      </c>
      <c r="Y11" s="34" t="n">
        <v>20</v>
      </c>
      <c r="Z11" s="55" t="n"/>
      <c r="AA11" s="54">
        <f>IF(OR(Z11="",Y11=""),"",Z11+Y11)</f>
        <v/>
      </c>
      <c r="AB11" s="36" t="inlineStr">
        <is>
          <t>[옥슨 IOB-ONR-26-1016(ME)] #13 WAGO module for EGR system 750-8216/040-00 – 견적중</t>
        </is>
      </c>
      <c r="AC11" s="34" t="inlineStr">
        <is>
          <t>검토중</t>
        </is>
      </c>
      <c r="AD11" s="36" t="inlineStr">
        <is>
          <t>옥슨 견적중 – 회신 대기 / 옥슨 견적서는 ONEIROI로 표기 – 부품번호·수량이 AEOLUS RFQ와 같아 AEOLUS로 묶음 (선박 확인)</t>
        </is>
      </c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IOB RFQ-06</t>
        </is>
      </c>
      <c r="C12" s="34" t="inlineStr">
        <is>
          <t>06</t>
        </is>
      </c>
      <c r="D12" s="34" t="n">
        <v>1</v>
      </c>
      <c r="E12" s="34" t="inlineStr">
        <is>
          <t>Endress+Hauser</t>
        </is>
      </c>
      <c r="F12" s="36" t="inlineStr">
        <is>
          <t>EGR pH sensor</t>
        </is>
      </c>
      <c r="G12" s="36" t="inlineStr">
        <is>
          <t>CPS11D-7BT21</t>
        </is>
      </c>
      <c r="H12" s="36" t="n"/>
      <c r="I12" s="36" t="inlineStr">
        <is>
          <t>EGR System</t>
        </is>
      </c>
      <c r="J12" s="36" t="inlineStr">
        <is>
          <t>AFS: 후속 모델 CPS11E-AA7BAA2 로 견적</t>
        </is>
      </c>
      <c r="K12" s="34" t="n">
        <v>8</v>
      </c>
      <c r="L12" s="34" t="inlineStr">
        <is>
          <t>PCS</t>
        </is>
      </c>
      <c r="M12" s="34" t="inlineStr">
        <is>
          <t>AFS</t>
        </is>
      </c>
      <c r="N12" s="34" t="inlineStr">
        <is>
          <t>견적접수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EUR</t>
        </is>
      </c>
      <c r="Q12" s="51" t="n">
        <v>903.3099999999999</v>
      </c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>
        <v>35</v>
      </c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inlineStr">
        <is>
          <t>대체품 (1:1)</t>
        </is>
      </c>
      <c r="X12" s="34" t="inlineStr">
        <is>
          <t>미기재 (AFS 네덜란드)</t>
        </is>
      </c>
      <c r="Y12" s="34" t="n"/>
      <c r="Z12" s="56" t="n">
        <v>46317</v>
      </c>
      <c r="AA12" s="54">
        <f>IF(OR(Z12="",Y12=""),"",Z12+Y12)</f>
        <v/>
      </c>
      <c r="AB12" s="36" t="inlineStr">
        <is>
          <t>[AFS Q.0000122666] CPS11E-1082/0 CPS11E-AA7BAA2 REPLACES CPS11D-7BT21 / *del time: apprx. 4-5 weeks* *item cannot be returned* *remarks from the supplier: The instruments you requested has been out of stock for some time; we hereby offer you a 1-on-1 replacement*</t>
        </is>
      </c>
      <c r="AC12" s="34" t="inlineStr">
        <is>
          <t>검토중</t>
        </is>
      </c>
      <c r="AD12" s="36" t="inlineStr">
        <is>
          <t>후속 모델 승인 여부 확인</t>
        </is>
      </c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inlineStr">
        <is>
          <t>IOB RFQ-06</t>
        </is>
      </c>
      <c r="C13" s="34" t="inlineStr">
        <is>
          <t>06</t>
        </is>
      </c>
      <c r="D13" s="34" t="n">
        <v>1</v>
      </c>
      <c r="E13" s="34" t="inlineStr">
        <is>
          <t>Endress+Hauser</t>
        </is>
      </c>
      <c r="F13" s="36" t="inlineStr">
        <is>
          <t>EGR pH sensor</t>
        </is>
      </c>
      <c r="G13" s="36" t="inlineStr">
        <is>
          <t>CPS11D-7BT21</t>
        </is>
      </c>
      <c r="H13" s="36" t="n"/>
      <c r="I13" s="36" t="inlineStr">
        <is>
          <t>EGR System</t>
        </is>
      </c>
      <c r="J13" s="36" t="inlineStr">
        <is>
          <t>옥슨: 단종 → 신형으로 견적</t>
        </is>
      </c>
      <c r="K13" s="34" t="n">
        <v>8</v>
      </c>
      <c r="L13" s="34" t="inlineStr">
        <is>
          <t>PCS</t>
        </is>
      </c>
      <c r="M13" s="34" t="inlineStr">
        <is>
          <t>OXEN</t>
        </is>
      </c>
      <c r="N13" s="34" t="inlineStr">
        <is>
          <t>견적접수</t>
        </is>
      </c>
      <c r="O13" s="50">
        <f>IF(N(AH13)&gt;1,"중복 "&amp;AH13&amp;"곳"&amp;IF(AK13=1," · 최저가",IF(AND(N13="견적접수",R13&lt;&gt;"")," · 비쌈","")),"")</f>
        <v/>
      </c>
      <c r="P13" s="34" t="inlineStr">
        <is>
          <t>KRW</t>
        </is>
      </c>
      <c r="Q13" s="51" t="n">
        <v>1265000</v>
      </c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>
        <v>10</v>
      </c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inlineStr">
        <is>
          <t>신형</t>
        </is>
      </c>
      <c r="X13" s="34" t="inlineStr">
        <is>
          <t>EXW BUSAN</t>
        </is>
      </c>
      <c r="Y13" s="34" t="n">
        <v>20</v>
      </c>
      <c r="Z13" s="55" t="n"/>
      <c r="AA13" s="54">
        <f>IF(OR(Z13="",Y13=""),"",Z13+Y13)</f>
        <v/>
      </c>
      <c r="AB13" s="36" t="inlineStr">
        <is>
          <t>[옥슨 IOB-ONR-26-1016(ME)] #9 pH SENSOR *ENDRESS+HAUSER/ CPS11D-7BT21 – 단종 NEW TYPE 견적 / 10 DAYS</t>
        </is>
      </c>
      <c r="AC13" s="34" t="inlineStr">
        <is>
          <t>검토중</t>
        </is>
      </c>
      <c r="AD13" s="36" t="inlineStr">
        <is>
          <t>옥슨 견적서는 ONEIROI로 표기 – 부품번호·수량이 AEOLUS RFQ와 같아 AEOLUS로 묶음 (선박 확인)</t>
        </is>
      </c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inlineStr">
        <is>
          <t>IOB RFQ-06</t>
        </is>
      </c>
      <c r="C14" s="34" t="inlineStr">
        <is>
          <t>06</t>
        </is>
      </c>
      <c r="D14" s="34" t="n">
        <v>2</v>
      </c>
      <c r="E14" s="34" t="inlineStr">
        <is>
          <t>Endress+Hauser</t>
        </is>
      </c>
      <c r="F14" s="36" t="inlineStr">
        <is>
          <t>EGR PH Sensor</t>
        </is>
      </c>
      <c r="G14" s="36" t="inlineStr">
        <is>
          <t>CPS11D-7BT21</t>
        </is>
      </c>
      <c r="H14" s="36" t="inlineStr">
        <is>
          <t>Plate/Drawing no. EW-29-6549-0007-0 / RS 256-6139</t>
        </is>
      </c>
      <c r="I14" s="36" t="inlineStr">
        <is>
          <t>EGR System</t>
        </is>
      </c>
      <c r="J14" s="36" t="n"/>
      <c r="K14" s="34" t="n">
        <v>4</v>
      </c>
      <c r="L14" s="34" t="inlineStr">
        <is>
          <t>PCS</t>
        </is>
      </c>
      <c r="M14" s="34" t="inlineStr">
        <is>
          <t>AFS</t>
        </is>
      </c>
      <c r="N14" s="34" t="inlineStr">
        <is>
          <t>확인필요</t>
        </is>
      </c>
      <c r="O14" s="50">
        <f>IF(N(AH14)&gt;1,"중복 "&amp;AH14&amp;"곳"&amp;IF(AK14=1," · 최저가",IF(AND(N14="견적접수",R14&lt;&gt;"")," · 비쌈","")),"")</f>
        <v/>
      </c>
      <c r="P14" s="34" t="inlineStr">
        <is>
          <t>EUR</t>
        </is>
      </c>
      <c r="Q14" s="51" t="n"/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/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n"/>
      <c r="X14" s="34" t="inlineStr">
        <is>
          <t>미기재 (AFS 네덜란드)</t>
        </is>
      </c>
      <c r="Y14" s="34" t="n"/>
      <c r="Z14" s="56" t="n">
        <v>46317</v>
      </c>
      <c r="AA14" s="54">
        <f>IF(OR(Z14="",Y14=""),"",Z14+Y14)</f>
        <v/>
      </c>
      <c r="AB14" s="36" t="inlineStr">
        <is>
          <t>[AFS Q.0000122666] *requested item same as above line*</t>
        </is>
      </c>
      <c r="AC14" s="34" t="inlineStr">
        <is>
          <t>정보 송부필요</t>
        </is>
      </c>
      <c r="AD14" s="36" t="inlineStr">
        <is>
          <t>AFS: 1번 줄과 같은 품목 → 1번(8개)에 포함인지, 총 12개 필요인지 확인</t>
        </is>
      </c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inlineStr">
        <is>
          <t>IOB RFQ-06</t>
        </is>
      </c>
      <c r="C15" s="34" t="inlineStr">
        <is>
          <t>06</t>
        </is>
      </c>
      <c r="D15" s="34" t="n">
        <v>3</v>
      </c>
      <c r="E15" s="34" t="n"/>
      <c r="F15" s="36" t="inlineStr">
        <is>
          <t>Buffer solution pH 7</t>
        </is>
      </c>
      <c r="G15" s="36" t="n"/>
      <c r="H15" s="36" t="n"/>
      <c r="I15" s="36" t="inlineStr">
        <is>
          <t>EGR System</t>
        </is>
      </c>
      <c r="J15" s="36" t="n"/>
      <c r="K15" s="34" t="n">
        <v>4</v>
      </c>
      <c r="L15" s="34" t="inlineStr">
        <is>
          <t>PCS</t>
        </is>
      </c>
      <c r="M15" s="34" t="inlineStr">
        <is>
          <t>AFS</t>
        </is>
      </c>
      <c r="N15" s="34" t="inlineStr">
        <is>
          <t>견적접수</t>
        </is>
      </c>
      <c r="O15" s="50">
        <f>IF(N(AH15)&gt;1,"중복 "&amp;AH15&amp;"곳"&amp;IF(AK15=1," · 최저가",IF(AND(N15="견적접수",R15&lt;&gt;"")," · 비쌈","")),"")</f>
        <v/>
      </c>
      <c r="P15" s="34" t="inlineStr">
        <is>
          <t>EUR</t>
        </is>
      </c>
      <c r="Q15" s="51" t="n">
        <v>23.99</v>
      </c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>
        <v>1</v>
      </c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n"/>
      <c r="X15" s="34" t="inlineStr">
        <is>
          <t>미기재 (AFS 네덜란드)</t>
        </is>
      </c>
      <c r="Y15" s="34" t="n"/>
      <c r="Z15" s="56" t="n">
        <v>46317</v>
      </c>
      <c r="AA15" s="54">
        <f>IF(OR(Z15="",Y15=""),"",Z15+Y15)</f>
        <v/>
      </c>
      <c r="AB15" s="36" t="inlineStr">
        <is>
          <t>[AFS Q.0000122666] BUFFER SOLUTION FOR PH CALIBRATION - PH 7 / *del time: 1 day* *item cannot be returned*</t>
        </is>
      </c>
      <c r="AC15" s="34" t="inlineStr">
        <is>
          <t>검토중</t>
        </is>
      </c>
      <c r="AD15" s="36" t="n"/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inlineStr">
        <is>
          <t>IOB RFQ-06</t>
        </is>
      </c>
      <c r="C16" s="34" t="inlineStr">
        <is>
          <t>06</t>
        </is>
      </c>
      <c r="D16" s="34" t="n">
        <v>3</v>
      </c>
      <c r="E16" s="34" t="n"/>
      <c r="F16" s="36" t="inlineStr">
        <is>
          <t>Buffer solution pH 7</t>
        </is>
      </c>
      <c r="G16" s="36" t="n"/>
      <c r="H16" s="36" t="n"/>
      <c r="I16" s="36" t="inlineStr">
        <is>
          <t>EGR System</t>
        </is>
      </c>
      <c r="J16" s="36" t="inlineStr">
        <is>
          <t>옥슨 수량 1 (250mL) – RFQ 4개</t>
        </is>
      </c>
      <c r="K16" s="34" t="n">
        <v>1</v>
      </c>
      <c r="L16" s="34" t="inlineStr">
        <is>
          <t>PCS</t>
        </is>
      </c>
      <c r="M16" s="34" t="inlineStr">
        <is>
          <t>OXEN</t>
        </is>
      </c>
      <c r="N16" s="34" t="inlineStr">
        <is>
          <t>견적접수</t>
        </is>
      </c>
      <c r="O16" s="50">
        <f>IF(N(AH16)&gt;1,"중복 "&amp;AH16&amp;"곳"&amp;IF(AK16=1," · 최저가",IF(AND(N16="견적접수",R16&lt;&gt;"")," · 비쌈","")),"")</f>
        <v/>
      </c>
      <c r="P16" s="34" t="inlineStr">
        <is>
          <t>KRW</t>
        </is>
      </c>
      <c r="Q16" s="51" t="n">
        <v>149500</v>
      </c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>
        <v>10</v>
      </c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n"/>
      <c r="X16" s="34" t="inlineStr">
        <is>
          <t>EXW BUSAN</t>
        </is>
      </c>
      <c r="Y16" s="34" t="n">
        <v>20</v>
      </c>
      <c r="Z16" s="55" t="n"/>
      <c r="AA16" s="54">
        <f>IF(OR(Z16="",Y16=""),"",Z16+Y16)</f>
        <v/>
      </c>
      <c r="AB16" s="36" t="inlineStr">
        <is>
          <t>[옥슨 IOB-ONR-26-1016(ME)] #12 PH 7 BUFFER SOLUTION *ENDRESS+HAUSER 250mL / 10 DAYS</t>
        </is>
      </c>
      <c r="AC16" s="34" t="inlineStr">
        <is>
          <t>검토중</t>
        </is>
      </c>
      <c r="AD16" s="36" t="inlineStr">
        <is>
          <t>옥슨 견적서는 ONEIROI로 표기 – 부품번호·수량이 AEOLUS RFQ와 같아 AEOLUS로 묶음 (선박 확인) / 수량 다름</t>
        </is>
      </c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inlineStr">
        <is>
          <t>IOB RFQ-06</t>
        </is>
      </c>
      <c r="C17" s="34" t="inlineStr">
        <is>
          <t>06</t>
        </is>
      </c>
      <c r="D17" s="34" t="n">
        <v>4</v>
      </c>
      <c r="E17" s="34" t="n"/>
      <c r="F17" s="36" t="inlineStr">
        <is>
          <t>Buffer solution pH 4</t>
        </is>
      </c>
      <c r="G17" s="36" t="n"/>
      <c r="H17" s="36" t="n"/>
      <c r="I17" s="36" t="inlineStr">
        <is>
          <t>EGR System</t>
        </is>
      </c>
      <c r="J17" s="36" t="n"/>
      <c r="K17" s="34" t="n">
        <v>4</v>
      </c>
      <c r="L17" s="34" t="inlineStr">
        <is>
          <t>PCS</t>
        </is>
      </c>
      <c r="M17" s="34" t="inlineStr">
        <is>
          <t>AFS</t>
        </is>
      </c>
      <c r="N17" s="34" t="inlineStr">
        <is>
          <t>견적접수</t>
        </is>
      </c>
      <c r="O17" s="50">
        <f>IF(N(AH17)&gt;1,"중복 "&amp;AH17&amp;"곳"&amp;IF(AK17=1," · 최저가",IF(AND(N17="견적접수",R17&lt;&gt;"")," · 비쌈","")),"")</f>
        <v/>
      </c>
      <c r="P17" s="34" t="inlineStr">
        <is>
          <t>EUR</t>
        </is>
      </c>
      <c r="Q17" s="51" t="n">
        <v>23.99</v>
      </c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>
        <v>1</v>
      </c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n"/>
      <c r="X17" s="34" t="inlineStr">
        <is>
          <t>미기재 (AFS 네덜란드)</t>
        </is>
      </c>
      <c r="Y17" s="34" t="n"/>
      <c r="Z17" s="56" t="n">
        <v>46317</v>
      </c>
      <c r="AA17" s="54">
        <f>IF(OR(Z17="",Y17=""),"",Z17+Y17)</f>
        <v/>
      </c>
      <c r="AB17" s="36" t="inlineStr">
        <is>
          <t>[AFS Q.0000122666] BUFFER SOLUTION FOR PH CALIBRATION - PH 4 / *del time: 1 day* *item cannot be returned*</t>
        </is>
      </c>
      <c r="AC17" s="34" t="inlineStr">
        <is>
          <t>검토중</t>
        </is>
      </c>
      <c r="AD17" s="36" t="n"/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inlineStr">
        <is>
          <t>IOB RFQ-06</t>
        </is>
      </c>
      <c r="C18" s="34" t="inlineStr">
        <is>
          <t>06</t>
        </is>
      </c>
      <c r="D18" s="34" t="n">
        <v>4</v>
      </c>
      <c r="E18" s="34" t="n"/>
      <c r="F18" s="36" t="inlineStr">
        <is>
          <t>Buffer solution pH 4</t>
        </is>
      </c>
      <c r="G18" s="36" t="n"/>
      <c r="H18" s="36" t="n"/>
      <c r="I18" s="36" t="inlineStr">
        <is>
          <t>EGR System</t>
        </is>
      </c>
      <c r="J18" s="36" t="inlineStr">
        <is>
          <t>옥슨 수량 1 (250mL) – RFQ 4개</t>
        </is>
      </c>
      <c r="K18" s="34" t="n">
        <v>1</v>
      </c>
      <c r="L18" s="34" t="inlineStr">
        <is>
          <t>PCS</t>
        </is>
      </c>
      <c r="M18" s="34" t="inlineStr">
        <is>
          <t>OXEN</t>
        </is>
      </c>
      <c r="N18" s="34" t="inlineStr">
        <is>
          <t>견적접수</t>
        </is>
      </c>
      <c r="O18" s="50">
        <f>IF(N(AH18)&gt;1,"중복 "&amp;AH18&amp;"곳"&amp;IF(AK18=1," · 최저가",IF(AND(N18="견적접수",R18&lt;&gt;"")," · 비쌈","")),"")</f>
        <v/>
      </c>
      <c r="P18" s="34" t="inlineStr">
        <is>
          <t>KRW</t>
        </is>
      </c>
      <c r="Q18" s="51" t="n">
        <v>149500</v>
      </c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>
        <v>10</v>
      </c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n"/>
      <c r="X18" s="34" t="inlineStr">
        <is>
          <t>EXW BUSAN</t>
        </is>
      </c>
      <c r="Y18" s="34" t="n">
        <v>20</v>
      </c>
      <c r="Z18" s="55" t="n"/>
      <c r="AA18" s="54">
        <f>IF(OR(Z18="",Y18=""),"",Z18+Y18)</f>
        <v/>
      </c>
      <c r="AB18" s="36" t="inlineStr">
        <is>
          <t>[옥슨 IOB-ONR-26-1016(ME)] #11 PH 4 BUFFER SOLUTION *ENDRESS+HAUSER 250mL / 10 DAYS</t>
        </is>
      </c>
      <c r="AC18" s="34" t="inlineStr">
        <is>
          <t>검토중</t>
        </is>
      </c>
      <c r="AD18" s="36" t="inlineStr">
        <is>
          <t>옥슨 견적서는 ONEIROI로 표기 – 부품번호·수량이 AEOLUS RFQ와 같아 AEOLUS로 묶음 (선박 확인) / 수량 다름</t>
        </is>
      </c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inlineStr">
        <is>
          <t>IOB-AEL-26-1014(OWS)</t>
        </is>
      </c>
      <c r="C19" s="34" t="inlineStr">
        <is>
          <t>-</t>
        </is>
      </c>
      <c r="D19" s="34" t="n">
        <v>1</v>
      </c>
      <c r="E19" s="34" t="inlineStr">
        <is>
          <t>SKF MARINE</t>
        </is>
      </c>
      <c r="F19" s="36" t="inlineStr">
        <is>
          <t>HycaSep Element (Long filter)</t>
        </is>
      </c>
      <c r="G19" s="36" t="inlineStr">
        <is>
          <t>SKF E5310/210930</t>
        </is>
      </c>
      <c r="H19" s="36" t="inlineStr">
        <is>
          <t>245(175912)</t>
        </is>
      </c>
      <c r="I19" s="36" t="inlineStr">
        <is>
          <t>Oily water separator</t>
        </is>
      </c>
      <c r="J19" s="36" t="n"/>
      <c r="K19" s="34" t="n">
        <v>10</v>
      </c>
      <c r="L19" s="34" t="inlineStr">
        <is>
          <t>PCS</t>
        </is>
      </c>
      <c r="M19" s="34" t="inlineStr">
        <is>
          <t>OXEN</t>
        </is>
      </c>
      <c r="N19" s="34" t="inlineStr">
        <is>
          <t>견적접수</t>
        </is>
      </c>
      <c r="O19" s="50">
        <f>IF(N(AH19)&gt;1,"중복 "&amp;AH19&amp;"곳"&amp;IF(AK19=1," · 최저가",IF(AND(N19="견적접수",R19&lt;&gt;"")," · 비쌈","")),"")</f>
        <v/>
      </c>
      <c r="P19" s="34" t="inlineStr">
        <is>
          <t>KRW</t>
        </is>
      </c>
      <c r="Q19" s="51" t="n">
        <v>386000</v>
      </c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>
        <v>10</v>
      </c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inlineStr">
        <is>
          <t>EQ (중국산 대체품)</t>
        </is>
      </c>
      <c r="X19" s="34" t="inlineStr">
        <is>
          <t>EX WORKS CHINA</t>
        </is>
      </c>
      <c r="Y19" s="34" t="n">
        <v>20</v>
      </c>
      <c r="Z19" s="55" t="n"/>
      <c r="AA19" s="54">
        <f>IF(OR(Z19="",Y19=""),"",Z19+Y19)</f>
        <v/>
      </c>
      <c r="AB19" s="36" t="inlineStr">
        <is>
          <t>[옥슨 IOB-AEL-26-1014(OWS)] HycaSep Element (Long filter) 245(175912) / ORIGIN: EQ (중국산 대체품) / EX WORKS AT CHINA – 국내 수입 운송비·통관비 별도 / Payment 1 month after delivery</t>
        </is>
      </c>
      <c r="AC19" s="34" t="inlineStr">
        <is>
          <t>검토중</t>
        </is>
      </c>
      <c r="AD19" s="36" t="inlineStr">
        <is>
          <t>중국산 대체품 승인 여부 / 운송·통관비 별도</t>
        </is>
      </c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inlineStr">
        <is>
          <t>BOSUNG-01</t>
        </is>
      </c>
      <c r="C20" s="34" t="inlineStr">
        <is>
          <t>B01</t>
        </is>
      </c>
      <c r="D20" s="34" t="n">
        <v>1</v>
      </c>
      <c r="E20" s="34" t="inlineStr">
        <is>
          <t>DONGHWA PNEUTEC</t>
        </is>
      </c>
      <c r="F20" s="36" t="inlineStr">
        <is>
          <t>TEMPERATURE SENSOR</t>
        </is>
      </c>
      <c r="G20" s="36" t="n"/>
      <c r="H20" s="36" t="inlineStr">
        <is>
          <t>PLATE/DRAWING NO. NXW55-480R P</t>
        </is>
      </c>
      <c r="I20" s="36" t="inlineStr">
        <is>
          <t>Control air compressor NEX-55WB</t>
        </is>
      </c>
      <c r="J20" s="36" t="n"/>
      <c r="K20" s="34" t="n">
        <v>1</v>
      </c>
      <c r="L20" s="34" t="inlineStr">
        <is>
          <t>EA</t>
        </is>
      </c>
      <c r="M20" s="34" t="inlineStr">
        <is>
          <t>DINTEC</t>
        </is>
      </c>
      <c r="N20" s="34" t="inlineStr">
        <is>
          <t>견적접수</t>
        </is>
      </c>
      <c r="O20" s="50">
        <f>IF(N(AH20)&gt;1,"중복 "&amp;AH20&amp;"곳"&amp;IF(AK20=1," · 최저가",IF(AND(N20="견적접수",R20&lt;&gt;"")," · 비쌈","")),"")</f>
        <v/>
      </c>
      <c r="P20" s="34" t="inlineStr">
        <is>
          <t>KRW</t>
        </is>
      </c>
      <c r="Q20" s="51" t="n">
        <v>250000</v>
      </c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>
        <v>30</v>
      </c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inlineStr">
        <is>
          <t>GENUINE</t>
        </is>
      </c>
      <c r="X20" s="34" t="inlineStr">
        <is>
          <t>EXW BUSAN</t>
        </is>
      </c>
      <c r="Y20" s="34" t="n">
        <v>30</v>
      </c>
      <c r="Z20" s="56" t="n">
        <v>46318</v>
      </c>
      <c r="AA20" s="54">
        <f>IF(OR(Z20="",Y20=""),"",Z20+Y20)</f>
        <v/>
      </c>
      <c r="AB20" s="36" t="inlineStr">
        <is>
          <t>[딘텍 DB26034454] Your ref 2026.10.19/AEOLUS / L/T 30 DAYS / 수출 시 우든박스/팔레트 포장비 실비 별도</t>
        </is>
      </c>
      <c r="AC20" s="34" t="inlineStr">
        <is>
          <t>검토중</t>
        </is>
      </c>
      <c r="AD20" s="36" t="n"/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inlineStr">
        <is>
          <t>BOSUNG-01</t>
        </is>
      </c>
      <c r="C21" s="34" t="inlineStr">
        <is>
          <t>B01</t>
        </is>
      </c>
      <c r="D21" s="34" t="n">
        <v>1</v>
      </c>
      <c r="E21" s="34" t="inlineStr">
        <is>
          <t>DONGHWA PNEUTEC</t>
        </is>
      </c>
      <c r="F21" s="36" t="inlineStr">
        <is>
          <t>TEMPERATURE SENSOR</t>
        </is>
      </c>
      <c r="G21" s="36" t="inlineStr">
        <is>
          <t>NeX-55WB</t>
        </is>
      </c>
      <c r="H21" s="36" t="inlineStr">
        <is>
          <t>Plate/Drawing no. NXW55-480R / Part no. 18</t>
        </is>
      </c>
      <c r="I21" s="36" t="inlineStr">
        <is>
          <t>Control air compressor</t>
        </is>
      </c>
      <c r="J21" s="36" t="n"/>
      <c r="K21" s="34" t="n">
        <v>1</v>
      </c>
      <c r="L21" s="34" t="inlineStr">
        <is>
          <t>EA</t>
        </is>
      </c>
      <c r="M21" s="34" t="inlineStr">
        <is>
          <t>BOSUNG</t>
        </is>
      </c>
      <c r="N21" s="34" t="inlineStr">
        <is>
          <t>미접수</t>
        </is>
      </c>
      <c r="O21" s="50">
        <f>IF(N(AH21)&gt;1,"중복 "&amp;AH21&amp;"곳"&amp;IF(AK21=1," · 최저가",IF(AND(N21="견적접수",R21&lt;&gt;"")," · 비쌈","")),"")</f>
        <v/>
      </c>
      <c r="P21" s="34" t="inlineStr">
        <is>
          <t>KRW</t>
        </is>
      </c>
      <c r="Q21" s="51" t="n"/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/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n"/>
      <c r="X21" s="34" t="n"/>
      <c r="Y21" s="34" t="n"/>
      <c r="Z21" s="55" t="n"/>
      <c r="AA21" s="54">
        <f>IF(OR(Z21="",Y21=""),"",Z21+Y21)</f>
        <v/>
      </c>
      <c r="AB21" s="36" t="inlineStr">
        <is>
          <t>[보성 RFQ 01 발송 2026-10-19] 회신 대기</t>
        </is>
      </c>
      <c r="AC21" s="34" t="inlineStr">
        <is>
          <t>검토중</t>
        </is>
      </c>
      <c r="AD21" s="36" t="inlineStr">
        <is>
          <t>보성 견적 회신 대기</t>
        </is>
      </c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inlineStr">
        <is>
          <t>BOSUNG-04</t>
        </is>
      </c>
      <c r="C22" s="34" t="inlineStr">
        <is>
          <t>B04</t>
        </is>
      </c>
      <c r="D22" s="34" t="n">
        <v>1</v>
      </c>
      <c r="E22" s="34" t="inlineStr">
        <is>
          <t>DAEYANG</t>
        </is>
      </c>
      <c r="F22" s="36" t="inlineStr">
        <is>
          <t>LED DRIVER DLD-45050-STN / 50W</t>
        </is>
      </c>
      <c r="G22" s="36" t="inlineStr">
        <is>
          <t>DLD-45050-STN (단종 → 신형)</t>
        </is>
      </c>
      <c r="H22" s="36" t="inlineStr">
        <is>
          <t>PLATE/DRAWING NO. DE-03-L22-001 / LO1180143 PART NO. 6</t>
        </is>
      </c>
      <c r="I22" s="36" t="inlineStr">
        <is>
          <t>Lighting (Electrical)</t>
        </is>
      </c>
      <c r="J22" s="36" t="inlineStr">
        <is>
          <t>원 요청번호 AEO-E-SP-26-V-0005 / 단종 – 같은 제조사 신형으로 견적 / 납기 미기재</t>
        </is>
      </c>
      <c r="K22" s="34" t="n">
        <v>10</v>
      </c>
      <c r="L22" s="34" t="inlineStr">
        <is>
          <t>PCS</t>
        </is>
      </c>
      <c r="M22" s="34" t="inlineStr">
        <is>
          <t>CENTMAR</t>
        </is>
      </c>
      <c r="N22" s="34" t="inlineStr">
        <is>
          <t>견적접수</t>
        </is>
      </c>
      <c r="O22" s="50">
        <f>IF(N(AH22)&gt;1,"중복 "&amp;AH22&amp;"곳"&amp;IF(AK22=1," · 최저가",IF(AND(N22="견적접수",R22&lt;&gt;"")," · 비쌈","")),"")</f>
        <v/>
      </c>
      <c r="P22" s="34" t="inlineStr">
        <is>
          <t>KRW</t>
        </is>
      </c>
      <c r="Q22" s="51" t="n">
        <v>37760</v>
      </c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/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inlineStr">
        <is>
          <t>신형</t>
        </is>
      </c>
      <c r="X22" s="34" t="n"/>
      <c r="Y22" s="34" t="n"/>
      <c r="Z22" s="56" t="n">
        <v>46318</v>
      </c>
      <c r="AA22" s="54">
        <f>IF(OR(Z22="",Y22=""),"",Z22+Y22)</f>
        <v/>
      </c>
      <c r="AB22" s="36" t="inlineStr">
        <is>
          <t>[중앙해사 JU26102224] LED DRIVER DLD-45050-STN / 50W – DAEYANG DLD-45050-STN (단종 → 신형) PLATE/DRAWING NO. DE-03-L22-001 / LO1180143 PART NO. 6 / 단종 – 같은 제조사 신형으로 견적 / 납기 미기재</t>
        </is>
      </c>
      <c r="AC22" s="34" t="inlineStr">
        <is>
          <t>검토중</t>
        </is>
      </c>
      <c r="AD22" s="36" t="inlineStr">
        <is>
          <t>유효기간·인도조건 미기재 – 중앙해사 확인</t>
        </is>
      </c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inlineStr">
        <is>
          <t>BOSUNG-04</t>
        </is>
      </c>
      <c r="C23" s="34" t="inlineStr">
        <is>
          <t>B04</t>
        </is>
      </c>
      <c r="D23" s="34" t="n">
        <v>1</v>
      </c>
      <c r="E23" s="34" t="inlineStr">
        <is>
          <t>DAEYANG</t>
        </is>
      </c>
      <c r="F23" s="36" t="inlineStr">
        <is>
          <t>LED DRIVER DLD-45050-STN / 50W</t>
        </is>
      </c>
      <c r="G23" s="36" t="n"/>
      <c r="H23" s="36" t="inlineStr">
        <is>
          <t>Plate/Drawing no. DE-03-L22-001 / LO1180143 Part no. 6</t>
        </is>
      </c>
      <c r="I23" s="36" t="inlineStr">
        <is>
          <t>LED driver for ceiling light</t>
        </is>
      </c>
      <c r="J23" s="36" t="n"/>
      <c r="K23" s="34" t="n">
        <v>10</v>
      </c>
      <c r="L23" s="34" t="inlineStr">
        <is>
          <t>PC</t>
        </is>
      </c>
      <c r="M23" s="34" t="inlineStr">
        <is>
          <t>BOSUNG</t>
        </is>
      </c>
      <c r="N23" s="34" t="inlineStr">
        <is>
          <t>미접수</t>
        </is>
      </c>
      <c r="O23" s="50">
        <f>IF(N(AH23)&gt;1,"중복 "&amp;AH23&amp;"곳"&amp;IF(AK23=1," · 최저가",IF(AND(N23="견적접수",R23&lt;&gt;"")," · 비쌈","")),"")</f>
        <v/>
      </c>
      <c r="P23" s="34" t="inlineStr">
        <is>
          <t>KRW</t>
        </is>
      </c>
      <c r="Q23" s="51" t="n"/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/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n"/>
      <c r="X23" s="34" t="n"/>
      <c r="Y23" s="34" t="n"/>
      <c r="Z23" s="55" t="n"/>
      <c r="AA23" s="54">
        <f>IF(OR(Z23="",Y23=""),"",Z23+Y23)</f>
        <v/>
      </c>
      <c r="AB23" s="36" t="inlineStr">
        <is>
          <t>[보성 RFQ 04 발송 2026-10-19] 회신 대기</t>
        </is>
      </c>
      <c r="AC23" s="34" t="inlineStr">
        <is>
          <t>검토중</t>
        </is>
      </c>
      <c r="AD23" s="36" t="inlineStr">
        <is>
          <t>보성 견적 회신 대기</t>
        </is>
      </c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inlineStr">
        <is>
          <t>SPAN GAS</t>
        </is>
      </c>
      <c r="C24" s="34" t="inlineStr">
        <is>
          <t>SG</t>
        </is>
      </c>
      <c r="D24" s="34" t="n">
        <v>1</v>
      </c>
      <c r="E24" s="34" t="n"/>
      <c r="F24" s="36" t="inlineStr">
        <is>
          <t>SPAN GAS CYLINDER 3.4 LTR. METHANE 3.25% (65% LEL) IN NITROGEN - 150 BAR</t>
        </is>
      </c>
      <c r="G24" s="36" t="n"/>
      <c r="H24" s="36" t="n"/>
      <c r="I24" s="36" t="inlineStr">
        <is>
          <t>Gas detection (calibration)</t>
        </is>
      </c>
      <c r="J24" s="36" t="n"/>
      <c r="K24" s="34" t="n">
        <v>1</v>
      </c>
      <c r="L24" s="34" t="inlineStr">
        <is>
          <t>PCS</t>
        </is>
      </c>
      <c r="M24" s="34" t="inlineStr">
        <is>
          <t>AFS</t>
        </is>
      </c>
      <c r="N24" s="34" t="inlineStr">
        <is>
          <t>견적접수</t>
        </is>
      </c>
      <c r="O24" s="50">
        <f>IF(N(AH24)&gt;1,"중복 "&amp;AH24&amp;"곳"&amp;IF(AK24=1," · 최저가",IF(AND(N24="견적접수",R24&lt;&gt;"")," · 비쌈","")),"")</f>
        <v/>
      </c>
      <c r="P24" s="34" t="inlineStr">
        <is>
          <t>EUR</t>
        </is>
      </c>
      <c r="Q24" s="51" t="n">
        <v>568.26</v>
      </c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>
        <v>14</v>
      </c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n"/>
      <c r="X24" s="34" t="inlineStr">
        <is>
          <t>미기재 (AFS 네덜란드)</t>
        </is>
      </c>
      <c r="Y24" s="34" t="n"/>
      <c r="Z24" s="56" t="n">
        <v>46317</v>
      </c>
      <c r="AA24" s="54">
        <f>IF(OR(Z24="",Y24=""),"",Z24+Y24)</f>
        <v/>
      </c>
      <c r="AB24" s="36" t="inlineStr">
        <is>
          <t>[AFS Q.0000123328] SPAN GAS CYLINDER 3.4 LTR. METHANE 3.25% (65% LEL) IN NITROGEN - 150 BAR / *del time: 2 weeks* *item cannot be returned*</t>
        </is>
      </c>
      <c r="AC24" s="34" t="inlineStr">
        <is>
          <t>검토중</t>
        </is>
      </c>
      <c r="AD24" s="36" t="n"/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inlineStr">
        <is>
          <t>SPAN GAS</t>
        </is>
      </c>
      <c r="C25" s="34" t="inlineStr">
        <is>
          <t>SG</t>
        </is>
      </c>
      <c r="D25" s="34" t="n">
        <v>2</v>
      </c>
      <c r="E25" s="34" t="n"/>
      <c r="F25" s="36" t="inlineStr">
        <is>
          <t>SPAN GAS CYLINDER 10 LTR. METHANE 35% VOL. IN N2 - 150 BAR W24.32 MM. X 1/14" EXT.</t>
        </is>
      </c>
      <c r="G25" s="36" t="n"/>
      <c r="H25" s="36" t="n"/>
      <c r="I25" s="36" t="inlineStr">
        <is>
          <t>Gas detection (calibration)</t>
        </is>
      </c>
      <c r="J25" s="36" t="n"/>
      <c r="K25" s="34" t="n">
        <v>1</v>
      </c>
      <c r="L25" s="34" t="inlineStr">
        <is>
          <t>PCS</t>
        </is>
      </c>
      <c r="M25" s="34" t="inlineStr">
        <is>
          <t>AFS</t>
        </is>
      </c>
      <c r="N25" s="34" t="inlineStr">
        <is>
          <t>견적접수</t>
        </is>
      </c>
      <c r="O25" s="50">
        <f>IF(N(AH25)&gt;1,"중복 "&amp;AH25&amp;"곳"&amp;IF(AK25=1," · 최저가",IF(AND(N25="견적접수",R25&lt;&gt;"")," · 비쌈","")),"")</f>
        <v/>
      </c>
      <c r="P25" s="34" t="inlineStr">
        <is>
          <t>EUR</t>
        </is>
      </c>
      <c r="Q25" s="51" t="n">
        <v>947.1</v>
      </c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>
        <v>14</v>
      </c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n"/>
      <c r="X25" s="34" t="inlineStr">
        <is>
          <t>미기재 (AFS 네덜란드)</t>
        </is>
      </c>
      <c r="Y25" s="34" t="n"/>
      <c r="Z25" s="56" t="n">
        <v>46317</v>
      </c>
      <c r="AA25" s="54">
        <f>IF(OR(Z25="",Y25=""),"",Z25+Y25)</f>
        <v/>
      </c>
      <c r="AB25" s="36" t="inlineStr">
        <is>
          <t>[AFS Q.0000123328] SPAN GAS CYLINDER 10 LTR. METHANE 35% VOL. IN N2 - 150 BAR W24.32 MM. X 1/14" EXT. / *del time: 2 weeks* *item cannot be returned*</t>
        </is>
      </c>
      <c r="AC25" s="34" t="inlineStr">
        <is>
          <t>검토중</t>
        </is>
      </c>
      <c r="AD25" s="36" t="n"/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inlineStr">
        <is>
          <t>SPAN GAS</t>
        </is>
      </c>
      <c r="C26" s="34" t="inlineStr">
        <is>
          <t>SG</t>
        </is>
      </c>
      <c r="D26" s="34" t="n">
        <v>3</v>
      </c>
      <c r="E26" s="34" t="n"/>
      <c r="F26" s="36" t="inlineStr">
        <is>
          <t>METHANE 10% VOL IN NITROGEN CALIBRATION TESTGAS 34 LTR.</t>
        </is>
      </c>
      <c r="G26" s="36" t="n"/>
      <c r="H26" s="36" t="n"/>
      <c r="I26" s="36" t="inlineStr">
        <is>
          <t>Gas detection (calibration)</t>
        </is>
      </c>
      <c r="J26" s="36" t="n"/>
      <c r="K26" s="34" t="n">
        <v>2</v>
      </c>
      <c r="L26" s="34" t="inlineStr">
        <is>
          <t>PCS</t>
        </is>
      </c>
      <c r="M26" s="34" t="inlineStr">
        <is>
          <t>AFS</t>
        </is>
      </c>
      <c r="N26" s="34" t="inlineStr">
        <is>
          <t>견적접수</t>
        </is>
      </c>
      <c r="O26" s="50">
        <f>IF(N(AH26)&gt;1,"중복 "&amp;AH26&amp;"곳"&amp;IF(AK26=1," · 최저가",IF(AND(N26="견적접수",R26&lt;&gt;"")," · 비쌈","")),"")</f>
        <v/>
      </c>
      <c r="P26" s="34" t="inlineStr">
        <is>
          <t>EUR</t>
        </is>
      </c>
      <c r="Q26" s="51" t="n">
        <v>101.48</v>
      </c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/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n"/>
      <c r="X26" s="34" t="inlineStr">
        <is>
          <t>미기재 (AFS 네덜란드)</t>
        </is>
      </c>
      <c r="Y26" s="34" t="n"/>
      <c r="Z26" s="56" t="n">
        <v>46317</v>
      </c>
      <c r="AA26" s="54">
        <f>IF(OR(Z26="",Y26=""),"",Z26+Y26)</f>
        <v/>
      </c>
      <c r="AB26" s="36" t="inlineStr">
        <is>
          <t>[AFS Q.0000123328] METHANE 10% VOL IN NITROGEN CALIBRATION TESTGAS 34 LTR. / 납기 미기재</t>
        </is>
      </c>
      <c r="AC26" s="34" t="inlineStr">
        <is>
          <t>검토중</t>
        </is>
      </c>
      <c r="AD26" s="36" t="inlineStr">
        <is>
          <t>납기 미기재 – AFS 확인</t>
        </is>
      </c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inlineStr">
        <is>
          <t>SPAN GAS</t>
        </is>
      </c>
      <c r="C27" s="34" t="inlineStr">
        <is>
          <t>SG</t>
        </is>
      </c>
      <c r="D27" s="34" t="n">
        <v>4</v>
      </c>
      <c r="E27" s="34" t="n"/>
      <c r="F27" s="36" t="inlineStr">
        <is>
          <t>PURE NITROGEN 99.99% CALIBRATION TESTGAS 34 LTR.</t>
        </is>
      </c>
      <c r="G27" s="36" t="n"/>
      <c r="H27" s="36" t="n"/>
      <c r="I27" s="36" t="inlineStr">
        <is>
          <t>Gas detection (calibration)</t>
        </is>
      </c>
      <c r="J27" s="36" t="n"/>
      <c r="K27" s="34" t="n">
        <v>2</v>
      </c>
      <c r="L27" s="34" t="inlineStr">
        <is>
          <t>PCS</t>
        </is>
      </c>
      <c r="M27" s="34" t="inlineStr">
        <is>
          <t>AFS</t>
        </is>
      </c>
      <c r="N27" s="34" t="inlineStr">
        <is>
          <t>견적접수</t>
        </is>
      </c>
      <c r="O27" s="50">
        <f>IF(N(AH27)&gt;1,"중복 "&amp;AH27&amp;"곳"&amp;IF(AK27=1," · 최저가",IF(AND(N27="견적접수",R27&lt;&gt;"")," · 비쌈","")),"")</f>
        <v/>
      </c>
      <c r="P27" s="34" t="inlineStr">
        <is>
          <t>EUR</t>
        </is>
      </c>
      <c r="Q27" s="51" t="n">
        <v>75.77</v>
      </c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/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n"/>
      <c r="X27" s="34" t="inlineStr">
        <is>
          <t>미기재 (AFS 네덜란드)</t>
        </is>
      </c>
      <c r="Y27" s="34" t="n"/>
      <c r="Z27" s="56" t="n">
        <v>46317</v>
      </c>
      <c r="AA27" s="54">
        <f>IF(OR(Z27="",Y27=""),"",Z27+Y27)</f>
        <v/>
      </c>
      <c r="AB27" s="36" t="inlineStr">
        <is>
          <t>[AFS Q.0000123328] PURE NITROGEN 99.99% CALIBRATION TESTGAS 34 LTR. / 납기 미기재</t>
        </is>
      </c>
      <c r="AC27" s="34" t="inlineStr">
        <is>
          <t>검토중</t>
        </is>
      </c>
      <c r="AD27" s="36" t="inlineStr">
        <is>
          <t>납기 미기재 – AFS 확인</t>
        </is>
      </c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n"/>
      <c r="C28" s="34" t="n"/>
      <c r="D28" s="34" t="n"/>
      <c r="E28" s="34" t="n"/>
      <c r="F28" s="36" t="n"/>
      <c r="G28" s="36" t="n"/>
      <c r="H28" s="36" t="n"/>
      <c r="I28" s="36" t="n"/>
      <c r="J28" s="36" t="n"/>
      <c r="K28" s="34" t="n"/>
      <c r="L28" s="34" t="n"/>
      <c r="M28" s="34" t="n"/>
      <c r="N28" s="34" t="n"/>
      <c r="O28" s="50">
        <f>IF(N(AH28)&gt;1,"중복 "&amp;AH28&amp;"곳"&amp;IF(AK28=1," · 최저가",IF(AND(N28="견적접수",R28&lt;&gt;"")," · 비쌈","")),"")</f>
        <v/>
      </c>
      <c r="P28" s="34" t="n"/>
      <c r="Q28" s="51" t="n"/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/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n"/>
      <c r="X28" s="34" t="n"/>
      <c r="Y28" s="34" t="n"/>
      <c r="Z28" s="56" t="n"/>
      <c r="AA28" s="54">
        <f>IF(OR(Z28="",Y28=""),"",Z28+Y28)</f>
        <v/>
      </c>
      <c r="AB28" s="36" t="n"/>
      <c r="AC28" s="34" t="n"/>
      <c r="AD28" s="36" t="n"/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n"/>
      <c r="C29" s="34" t="n"/>
      <c r="D29" s="34" t="n"/>
      <c r="E29" s="34" t="n"/>
      <c r="F29" s="36" t="n"/>
      <c r="G29" s="36" t="n"/>
      <c r="H29" s="36" t="n"/>
      <c r="I29" s="36" t="n"/>
      <c r="J29" s="36" t="n"/>
      <c r="K29" s="34" t="n"/>
      <c r="L29" s="34" t="n"/>
      <c r="M29" s="34" t="n"/>
      <c r="N29" s="34" t="n"/>
      <c r="O29" s="50">
        <f>IF(N(AH29)&gt;1,"중복 "&amp;AH29&amp;"곳"&amp;IF(AK29=1," · 최저가",IF(AND(N29="견적접수",R29&lt;&gt;"")," · 비쌈","")),"")</f>
        <v/>
      </c>
      <c r="P29" s="34" t="n"/>
      <c r="Q29" s="51" t="n"/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/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n"/>
      <c r="X29" s="34" t="n"/>
      <c r="Y29" s="34" t="n"/>
      <c r="Z29" s="56" t="n"/>
      <c r="AA29" s="54">
        <f>IF(OR(Z29="",Y29=""),"",Z29+Y29)</f>
        <v/>
      </c>
      <c r="AB29" s="36" t="n"/>
      <c r="AC29" s="34" t="n"/>
      <c r="AD29" s="36" t="n"/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n"/>
      <c r="C30" s="34" t="n"/>
      <c r="D30" s="34" t="n"/>
      <c r="E30" s="34" t="n"/>
      <c r="F30" s="36" t="n"/>
      <c r="G30" s="36" t="n"/>
      <c r="H30" s="36" t="n"/>
      <c r="I30" s="36" t="n"/>
      <c r="J30" s="36" t="n"/>
      <c r="K30" s="34" t="n"/>
      <c r="L30" s="34" t="n"/>
      <c r="M30" s="34" t="n"/>
      <c r="N30" s="34" t="n"/>
      <c r="O30" s="50">
        <f>IF(N(AH30)&gt;1,"중복 "&amp;AH30&amp;"곳"&amp;IF(AK30=1," · 최저가",IF(AND(N30="견적접수",R30&lt;&gt;"")," · 비쌈","")),"")</f>
        <v/>
      </c>
      <c r="P30" s="34" t="n"/>
      <c r="Q30" s="51" t="n"/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/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n"/>
      <c r="X30" s="34" t="n"/>
      <c r="Y30" s="34" t="n"/>
      <c r="Z30" s="56" t="n"/>
      <c r="AA30" s="54">
        <f>IF(OR(Z30="",Y30=""),"",Z30+Y30)</f>
        <v/>
      </c>
      <c r="AB30" s="36" t="n"/>
      <c r="AC30" s="34" t="n"/>
      <c r="AD30" s="36" t="n"/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n"/>
      <c r="C31" s="34" t="n"/>
      <c r="D31" s="34" t="n"/>
      <c r="E31" s="34" t="n"/>
      <c r="F31" s="36" t="n"/>
      <c r="G31" s="36" t="n"/>
      <c r="H31" s="36" t="n"/>
      <c r="I31" s="36" t="n"/>
      <c r="J31" s="36" t="n"/>
      <c r="K31" s="34" t="n"/>
      <c r="L31" s="34" t="n"/>
      <c r="M31" s="34" t="n"/>
      <c r="N31" s="34" t="n"/>
      <c r="O31" s="50">
        <f>IF(N(AH31)&gt;1,"중복 "&amp;AH31&amp;"곳"&amp;IF(AK31=1," · 최저가",IF(AND(N31="견적접수",R31&lt;&gt;"")," · 비쌈","")),"")</f>
        <v/>
      </c>
      <c r="P31" s="34" t="n"/>
      <c r="Q31" s="51" t="n"/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/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n"/>
      <c r="X31" s="34" t="n"/>
      <c r="Y31" s="34" t="n"/>
      <c r="Z31" s="56" t="n"/>
      <c r="AA31" s="54">
        <f>IF(OR(Z31="",Y31=""),"",Z31+Y31)</f>
        <v/>
      </c>
      <c r="AB31" s="36" t="n"/>
      <c r="AC31" s="34" t="n"/>
      <c r="AD31" s="36" t="n"/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n"/>
      <c r="C32" s="34" t="n"/>
      <c r="D32" s="34" t="n"/>
      <c r="E32" s="34" t="n"/>
      <c r="F32" s="36" t="n"/>
      <c r="G32" s="36" t="n"/>
      <c r="H32" s="36" t="n"/>
      <c r="I32" s="36" t="n"/>
      <c r="J32" s="36" t="n"/>
      <c r="K32" s="34" t="n"/>
      <c r="L32" s="34" t="n"/>
      <c r="M32" s="34" t="n"/>
      <c r="N32" s="34" t="n"/>
      <c r="O32" s="50">
        <f>IF(N(AH32)&gt;1,"중복 "&amp;AH32&amp;"곳"&amp;IF(AK32=1," · 최저가",IF(AND(N32="견적접수",R32&lt;&gt;"")," · 비쌈","")),"")</f>
        <v/>
      </c>
      <c r="P32" s="34" t="n"/>
      <c r="Q32" s="51" t="n"/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/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n"/>
      <c r="X32" s="34" t="n"/>
      <c r="Y32" s="34" t="n"/>
      <c r="Z32" s="56" t="n"/>
      <c r="AA32" s="54">
        <f>IF(OR(Z32="",Y32=""),"",Z32+Y32)</f>
        <v/>
      </c>
      <c r="AB32" s="36" t="n"/>
      <c r="AC32" s="34" t="n"/>
      <c r="AD32" s="36" t="n"/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n"/>
      <c r="C33" s="34" t="n"/>
      <c r="D33" s="34" t="n"/>
      <c r="E33" s="34" t="n"/>
      <c r="F33" s="36" t="n"/>
      <c r="G33" s="36" t="n"/>
      <c r="H33" s="36" t="n"/>
      <c r="I33" s="36" t="n"/>
      <c r="J33" s="36" t="n"/>
      <c r="K33" s="34" t="n"/>
      <c r="L33" s="34" t="n"/>
      <c r="M33" s="34" t="n"/>
      <c r="N33" s="34" t="n"/>
      <c r="O33" s="50">
        <f>IF(N(AH33)&gt;1,"중복 "&amp;AH33&amp;"곳"&amp;IF(AK33=1," · 최저가",IF(AND(N33="견적접수",R33&lt;&gt;"")," · 비쌈","")),"")</f>
        <v/>
      </c>
      <c r="P33" s="34" t="n"/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6" t="n"/>
      <c r="AA33" s="54">
        <f>IF(OR(Z33="",Y33=""),"",Z33+Y33)</f>
        <v/>
      </c>
      <c r="AB33" s="36" t="n"/>
      <c r="AC33" s="34" t="n"/>
      <c r="AD33" s="36" t="n"/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n"/>
      <c r="C34" s="34" t="n"/>
      <c r="D34" s="34" t="n"/>
      <c r="E34" s="34" t="n"/>
      <c r="F34" s="36" t="n"/>
      <c r="G34" s="36" t="n"/>
      <c r="H34" s="36" t="n"/>
      <c r="I34" s="36" t="n"/>
      <c r="J34" s="36" t="n"/>
      <c r="K34" s="34" t="n"/>
      <c r="L34" s="34" t="n"/>
      <c r="M34" s="34" t="n"/>
      <c r="N34" s="34" t="n"/>
      <c r="O34" s="50">
        <f>IF(N(AH34)&gt;1,"중복 "&amp;AH34&amp;"곳"&amp;IF(AK34=1," · 최저가",IF(AND(N34="견적접수",R34&lt;&gt;"")," · 비쌈","")),"")</f>
        <v/>
      </c>
      <c r="P34" s="34" t="n"/>
      <c r="Q34" s="51" t="n"/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/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n"/>
      <c r="X34" s="34" t="n"/>
      <c r="Y34" s="34" t="n"/>
      <c r="Z34" s="56" t="n"/>
      <c r="AA34" s="54">
        <f>IF(OR(Z34="",Y34=""),"",Z34+Y34)</f>
        <v/>
      </c>
      <c r="AB34" s="36" t="n"/>
      <c r="AC34" s="34" t="n"/>
      <c r="AD34" s="36" t="n"/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n"/>
      <c r="C35" s="34" t="n"/>
      <c r="D35" s="34" t="n"/>
      <c r="E35" s="34" t="n"/>
      <c r="F35" s="36" t="n"/>
      <c r="G35" s="36" t="n"/>
      <c r="H35" s="36" t="n"/>
      <c r="I35" s="36" t="n"/>
      <c r="J35" s="36" t="n"/>
      <c r="K35" s="34" t="n"/>
      <c r="L35" s="34" t="n"/>
      <c r="M35" s="34" t="n"/>
      <c r="N35" s="34" t="n"/>
      <c r="O35" s="50">
        <f>IF(N(AH35)&gt;1,"중복 "&amp;AH35&amp;"곳"&amp;IF(AK35=1," · 최저가",IF(AND(N35="견적접수",R35&lt;&gt;"")," · 비쌈","")),"")</f>
        <v/>
      </c>
      <c r="P35" s="34" t="n"/>
      <c r="Q35" s="51" t="n"/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/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n"/>
      <c r="X35" s="34" t="n"/>
      <c r="Y35" s="34" t="n"/>
      <c r="Z35" s="56" t="n"/>
      <c r="AA35" s="54">
        <f>IF(OR(Z35="",Y35=""),"",Z35+Y35)</f>
        <v/>
      </c>
      <c r="AB35" s="36" t="n"/>
      <c r="AC35" s="34" t="n"/>
      <c r="AD35" s="36" t="n"/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n"/>
      <c r="C36" s="34" t="n"/>
      <c r="D36" s="34" t="n"/>
      <c r="E36" s="34" t="n"/>
      <c r="F36" s="36" t="n"/>
      <c r="G36" s="36" t="n"/>
      <c r="H36" s="36" t="n"/>
      <c r="I36" s="36" t="n"/>
      <c r="J36" s="36" t="n"/>
      <c r="K36" s="34" t="n"/>
      <c r="L36" s="34" t="n"/>
      <c r="M36" s="34" t="n"/>
      <c r="N36" s="34" t="n"/>
      <c r="O36" s="50">
        <f>IF(N(AH36)&gt;1,"중복 "&amp;AH36&amp;"곳"&amp;IF(AK36=1," · 최저가",IF(AND(N36="견적접수",R36&lt;&gt;"")," · 비쌈","")),"")</f>
        <v/>
      </c>
      <c r="P36" s="34" t="n"/>
      <c r="Q36" s="51" t="n"/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/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n"/>
      <c r="X36" s="34" t="n"/>
      <c r="Y36" s="34" t="n"/>
      <c r="Z36" s="56" t="n"/>
      <c r="AA36" s="54">
        <f>IF(OR(Z36="",Y36=""),"",Z36+Y36)</f>
        <v/>
      </c>
      <c r="AB36" s="36" t="n"/>
      <c r="AC36" s="34" t="n"/>
      <c r="AD36" s="36" t="n"/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n"/>
      <c r="C37" s="34" t="n"/>
      <c r="D37" s="34" t="n"/>
      <c r="E37" s="34" t="n"/>
      <c r="F37" s="36" t="n"/>
      <c r="G37" s="36" t="n"/>
      <c r="H37" s="36" t="n"/>
      <c r="I37" s="36" t="n"/>
      <c r="J37" s="36" t="n"/>
      <c r="K37" s="34" t="n"/>
      <c r="L37" s="34" t="n"/>
      <c r="M37" s="34" t="n"/>
      <c r="N37" s="34" t="n"/>
      <c r="O37" s="50">
        <f>IF(N(AH37)&gt;1,"중복 "&amp;AH37&amp;"곳"&amp;IF(AK37=1," · 최저가",IF(AND(N37="견적접수",R37&lt;&gt;"")," · 비쌈","")),"")</f>
        <v/>
      </c>
      <c r="P37" s="34" t="n"/>
      <c r="Q37" s="51" t="n"/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/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n"/>
      <c r="X37" s="34" t="n"/>
      <c r="Y37" s="34" t="n"/>
      <c r="Z37" s="56" t="n"/>
      <c r="AA37" s="54">
        <f>IF(OR(Z37="",Y37=""),"",Z37+Y37)</f>
        <v/>
      </c>
      <c r="AB37" s="36" t="n"/>
      <c r="AC37" s="34" t="n"/>
      <c r="AD37" s="36" t="n"/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n"/>
      <c r="C38" s="34" t="n"/>
      <c r="D38" s="34" t="n"/>
      <c r="E38" s="34" t="n"/>
      <c r="F38" s="36" t="n"/>
      <c r="G38" s="36" t="n"/>
      <c r="H38" s="36" t="n"/>
      <c r="I38" s="36" t="n"/>
      <c r="J38" s="36" t="n"/>
      <c r="K38" s="34" t="n"/>
      <c r="L38" s="34" t="n"/>
      <c r="M38" s="34" t="n"/>
      <c r="N38" s="34" t="n"/>
      <c r="O38" s="50">
        <f>IF(N(AH38)&gt;1,"중복 "&amp;AH38&amp;"곳"&amp;IF(AK38=1," · 최저가",IF(AND(N38="견적접수",R38&lt;&gt;"")," · 비쌈","")),"")</f>
        <v/>
      </c>
      <c r="P38" s="34" t="n"/>
      <c r="Q38" s="51" t="n"/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/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n"/>
      <c r="X38" s="34" t="n"/>
      <c r="Y38" s="34" t="n"/>
      <c r="Z38" s="56" t="n"/>
      <c r="AA38" s="54">
        <f>IF(OR(Z38="",Y38=""),"",Z38+Y38)</f>
        <v/>
      </c>
      <c r="AB38" s="36" t="n"/>
      <c r="AC38" s="34" t="n"/>
      <c r="AD38" s="36" t="n"/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n"/>
      <c r="C39" s="34" t="n"/>
      <c r="D39" s="34" t="n"/>
      <c r="E39" s="34" t="n"/>
      <c r="F39" s="36" t="n"/>
      <c r="G39" s="36" t="n"/>
      <c r="H39" s="36" t="n"/>
      <c r="I39" s="36" t="n"/>
      <c r="J39" s="36" t="n"/>
      <c r="K39" s="34" t="n"/>
      <c r="L39" s="34" t="n"/>
      <c r="M39" s="34" t="n"/>
      <c r="N39" s="34" t="n"/>
      <c r="O39" s="50">
        <f>IF(N(AH39)&gt;1,"중복 "&amp;AH39&amp;"곳"&amp;IF(AK39=1," · 최저가",IF(AND(N39="견적접수",R39&lt;&gt;"")," · 비쌈","")),"")</f>
        <v/>
      </c>
      <c r="P39" s="34" t="n"/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n"/>
      <c r="Y39" s="34" t="n"/>
      <c r="Z39" s="56" t="n"/>
      <c r="AA39" s="54">
        <f>IF(OR(Z39="",Y39=""),"",Z39+Y39)</f>
        <v/>
      </c>
      <c r="AB39" s="36" t="n"/>
      <c r="AC39" s="34" t="n"/>
      <c r="AD39" s="36" t="n"/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n"/>
      <c r="C40" s="34" t="n"/>
      <c r="D40" s="34" t="n"/>
      <c r="E40" s="34" t="n"/>
      <c r="F40" s="36" t="n"/>
      <c r="G40" s="36" t="n"/>
      <c r="H40" s="36" t="n"/>
      <c r="I40" s="36" t="n"/>
      <c r="J40" s="36" t="n"/>
      <c r="K40" s="34" t="n"/>
      <c r="L40" s="34" t="n"/>
      <c r="M40" s="34" t="n"/>
      <c r="N40" s="34" t="n"/>
      <c r="O40" s="50">
        <f>IF(N(AH40)&gt;1,"중복 "&amp;AH40&amp;"곳"&amp;IF(AK40=1," · 최저가",IF(AND(N40="견적접수",R40&lt;&gt;"")," · 비쌈","")),"")</f>
        <v/>
      </c>
      <c r="P40" s="34" t="n"/>
      <c r="Q40" s="51" t="n"/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/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n"/>
      <c r="X40" s="34" t="n"/>
      <c r="Y40" s="34" t="n"/>
      <c r="Z40" s="56" t="n"/>
      <c r="AA40" s="54">
        <f>IF(OR(Z40="",Y40=""),"",Z40+Y40)</f>
        <v/>
      </c>
      <c r="AB40" s="36" t="n"/>
      <c r="AC40" s="34" t="n"/>
      <c r="AD40" s="36" t="n"/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n"/>
      <c r="C41" s="34" t="n"/>
      <c r="D41" s="34" t="n"/>
      <c r="E41" s="34" t="n"/>
      <c r="F41" s="36" t="n"/>
      <c r="G41" s="36" t="n"/>
      <c r="H41" s="36" t="n"/>
      <c r="I41" s="36" t="n"/>
      <c r="J41" s="36" t="n"/>
      <c r="K41" s="34" t="n"/>
      <c r="L41" s="34" t="n"/>
      <c r="M41" s="34" t="n"/>
      <c r="N41" s="34" t="n"/>
      <c r="O41" s="50">
        <f>IF(N(AH41)&gt;1,"중복 "&amp;AH41&amp;"곳"&amp;IF(AK41=1," · 최저가",IF(AND(N41="견적접수",R41&lt;&gt;"")," · 비쌈","")),"")</f>
        <v/>
      </c>
      <c r="P41" s="34" t="n"/>
      <c r="Q41" s="51" t="n"/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/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n"/>
      <c r="Y41" s="34" t="n"/>
      <c r="Z41" s="56" t="n"/>
      <c r="AA41" s="54">
        <f>IF(OR(Z41="",Y41=""),"",Z41+Y41)</f>
        <v/>
      </c>
      <c r="AB41" s="36" t="n"/>
      <c r="AC41" s="34" t="n"/>
      <c r="AD41" s="36" t="n"/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n"/>
      <c r="C42" s="34" t="n"/>
      <c r="D42" s="34" t="n"/>
      <c r="E42" s="34" t="n"/>
      <c r="F42" s="36" t="n"/>
      <c r="G42" s="36" t="n"/>
      <c r="H42" s="36" t="n"/>
      <c r="I42" s="36" t="n"/>
      <c r="J42" s="36" t="n"/>
      <c r="K42" s="34" t="n"/>
      <c r="L42" s="34" t="n"/>
      <c r="M42" s="34" t="n"/>
      <c r="N42" s="34" t="n"/>
      <c r="O42" s="50">
        <f>IF(N(AH42)&gt;1,"중복 "&amp;AH42&amp;"곳"&amp;IF(AK42=1," · 최저가",IF(AND(N42="견적접수",R42&lt;&gt;"")," · 비쌈","")),"")</f>
        <v/>
      </c>
      <c r="P42" s="34" t="n"/>
      <c r="Q42" s="51" t="n"/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/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n"/>
      <c r="Y42" s="34" t="n"/>
      <c r="Z42" s="56" t="n"/>
      <c r="AA42" s="54">
        <f>IF(OR(Z42="",Y42=""),"",Z42+Y42)</f>
        <v/>
      </c>
      <c r="AB42" s="36" t="n"/>
      <c r="AC42" s="34" t="n"/>
      <c r="AD42" s="36" t="n"/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n"/>
      <c r="C43" s="34" t="n"/>
      <c r="D43" s="34" t="n"/>
      <c r="E43" s="34" t="n"/>
      <c r="F43" s="36" t="n"/>
      <c r="G43" s="36" t="n"/>
      <c r="H43" s="36" t="n"/>
      <c r="I43" s="36" t="n"/>
      <c r="J43" s="36" t="n"/>
      <c r="K43" s="34" t="n"/>
      <c r="L43" s="34" t="n"/>
      <c r="M43" s="34" t="n"/>
      <c r="N43" s="34" t="n"/>
      <c r="O43" s="50">
        <f>IF(N(AH43)&gt;1,"중복 "&amp;AH43&amp;"곳"&amp;IF(AK43=1," · 최저가",IF(AND(N43="견적접수",R43&lt;&gt;"")," · 비쌈","")),"")</f>
        <v/>
      </c>
      <c r="P43" s="34" t="n"/>
      <c r="Q43" s="51" t="n"/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/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n"/>
      <c r="Y43" s="34" t="n"/>
      <c r="Z43" s="56" t="n"/>
      <c r="AA43" s="54">
        <f>IF(OR(Z43="",Y43=""),"",Z43+Y43)</f>
        <v/>
      </c>
      <c r="AB43" s="36" t="n"/>
      <c r="AC43" s="34" t="n"/>
      <c r="AD43" s="36" t="n"/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n"/>
      <c r="C44" s="34" t="n"/>
      <c r="D44" s="34" t="n"/>
      <c r="E44" s="34" t="n"/>
      <c r="F44" s="36" t="n"/>
      <c r="G44" s="36" t="n"/>
      <c r="H44" s="36" t="n"/>
      <c r="I44" s="36" t="n"/>
      <c r="J44" s="36" t="n"/>
      <c r="K44" s="34" t="n"/>
      <c r="L44" s="34" t="n"/>
      <c r="M44" s="34" t="n"/>
      <c r="N44" s="34" t="n"/>
      <c r="O44" s="50">
        <f>IF(N(AH44)&gt;1,"중복 "&amp;AH44&amp;"곳"&amp;IF(AK44=1," · 최저가",IF(AND(N44="견적접수",R44&lt;&gt;"")," · 비쌈","")),"")</f>
        <v/>
      </c>
      <c r="P44" s="34" t="n"/>
      <c r="Q44" s="51" t="n"/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/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n"/>
      <c r="Y44" s="34" t="n"/>
      <c r="Z44" s="56" t="n"/>
      <c r="AA44" s="54">
        <f>IF(OR(Z44="",Y44=""),"",Z44+Y44)</f>
        <v/>
      </c>
      <c r="AB44" s="36" t="n"/>
      <c r="AC44" s="34" t="n"/>
      <c r="AD44" s="36" t="n"/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n"/>
      <c r="C45" s="34" t="n"/>
      <c r="D45" s="34" t="n"/>
      <c r="E45" s="34" t="n"/>
      <c r="F45" s="36" t="n"/>
      <c r="G45" s="36" t="n"/>
      <c r="H45" s="36" t="n"/>
      <c r="I45" s="36" t="n"/>
      <c r="J45" s="36" t="n"/>
      <c r="K45" s="34" t="n"/>
      <c r="L45" s="34" t="n"/>
      <c r="M45" s="34" t="n"/>
      <c r="N45" s="34" t="n"/>
      <c r="O45" s="50">
        <f>IF(N(AH45)&gt;1,"중복 "&amp;AH45&amp;"곳"&amp;IF(AK45=1," · 최저가",IF(AND(N45="견적접수",R45&lt;&gt;"")," · 비쌈","")),"")</f>
        <v/>
      </c>
      <c r="P45" s="34" t="n"/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n"/>
      <c r="Y45" s="34" t="n"/>
      <c r="Z45" s="56" t="n"/>
      <c r="AA45" s="54">
        <f>IF(OR(Z45="",Y45=""),"",Z45+Y45)</f>
        <v/>
      </c>
      <c r="AB45" s="36" t="n"/>
      <c r="AC45" s="34" t="n"/>
      <c r="AD45" s="36" t="n"/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n"/>
      <c r="C46" s="34" t="n"/>
      <c r="D46" s="34" t="n"/>
      <c r="E46" s="34" t="n"/>
      <c r="F46" s="36" t="n"/>
      <c r="G46" s="36" t="n"/>
      <c r="H46" s="36" t="n"/>
      <c r="I46" s="36" t="n"/>
      <c r="J46" s="36" t="n"/>
      <c r="K46" s="34" t="n"/>
      <c r="L46" s="34" t="n"/>
      <c r="M46" s="34" t="n"/>
      <c r="N46" s="34" t="n"/>
      <c r="O46" s="50">
        <f>IF(N(AH46)&gt;1,"중복 "&amp;AH46&amp;"곳"&amp;IF(AK46=1," · 최저가",IF(AND(N46="견적접수",R46&lt;&gt;"")," · 비쌈","")),"")</f>
        <v/>
      </c>
      <c r="P46" s="34" t="n"/>
      <c r="Q46" s="51" t="n"/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/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n"/>
      <c r="Y46" s="34" t="n"/>
      <c r="Z46" s="56" t="n"/>
      <c r="AA46" s="54">
        <f>IF(OR(Z46="",Y46=""),"",Z46+Y46)</f>
        <v/>
      </c>
      <c r="AB46" s="36" t="n"/>
      <c r="AC46" s="34" t="n"/>
      <c r="AD46" s="36" t="n"/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n"/>
      <c r="C47" s="34" t="n"/>
      <c r="D47" s="34" t="n"/>
      <c r="E47" s="34" t="n"/>
      <c r="F47" s="36" t="n"/>
      <c r="G47" s="36" t="n"/>
      <c r="H47" s="36" t="n"/>
      <c r="I47" s="36" t="n"/>
      <c r="J47" s="36" t="n"/>
      <c r="K47" s="34" t="n"/>
      <c r="L47" s="34" t="n"/>
      <c r="M47" s="34" t="n"/>
      <c r="N47" s="34" t="n"/>
      <c r="O47" s="50">
        <f>IF(N(AH47)&gt;1,"중복 "&amp;AH47&amp;"곳"&amp;IF(AK47=1," · 최저가",IF(AND(N47="견적접수",R47&lt;&gt;"")," · 비쌈","")),"")</f>
        <v/>
      </c>
      <c r="P47" s="34" t="n"/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n"/>
      <c r="Y47" s="34" t="n"/>
      <c r="Z47" s="56" t="n"/>
      <c r="AA47" s="54">
        <f>IF(OR(Z47="",Y47=""),"",Z47+Y47)</f>
        <v/>
      </c>
      <c r="AB47" s="36" t="n"/>
      <c r="AC47" s="34" t="n"/>
      <c r="AD47" s="36" t="n"/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n"/>
      <c r="C48" s="34" t="n"/>
      <c r="D48" s="34" t="n"/>
      <c r="E48" s="34" t="n"/>
      <c r="F48" s="36" t="n"/>
      <c r="G48" s="36" t="n"/>
      <c r="H48" s="36" t="n"/>
      <c r="I48" s="36" t="n"/>
      <c r="J48" s="36" t="n"/>
      <c r="K48" s="34" t="n"/>
      <c r="L48" s="34" t="n"/>
      <c r="M48" s="34" t="n"/>
      <c r="N48" s="34" t="n"/>
      <c r="O48" s="50">
        <f>IF(N(AH48)&gt;1,"중복 "&amp;AH48&amp;"곳"&amp;IF(AK48=1," · 최저가",IF(AND(N48="견적접수",R48&lt;&gt;"")," · 비쌈","")),"")</f>
        <v/>
      </c>
      <c r="P48" s="34" t="n"/>
      <c r="Q48" s="51" t="n"/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/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n"/>
      <c r="Y48" s="34" t="n"/>
      <c r="Z48" s="56" t="n"/>
      <c r="AA48" s="54">
        <f>IF(OR(Z48="",Y48=""),"",Z48+Y48)</f>
        <v/>
      </c>
      <c r="AB48" s="36" t="n"/>
      <c r="AC48" s="34" t="n"/>
      <c r="AD48" s="36" t="n"/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n"/>
      <c r="C49" s="34" t="n"/>
      <c r="D49" s="34" t="n"/>
      <c r="E49" s="34" t="n"/>
      <c r="F49" s="36" t="n"/>
      <c r="G49" s="36" t="n"/>
      <c r="H49" s="36" t="n"/>
      <c r="I49" s="36" t="n"/>
      <c r="J49" s="36" t="n"/>
      <c r="K49" s="34" t="n"/>
      <c r="L49" s="34" t="n"/>
      <c r="M49" s="34" t="n"/>
      <c r="N49" s="34" t="n"/>
      <c r="O49" s="50">
        <f>IF(N(AH49)&gt;1,"중복 "&amp;AH49&amp;"곳"&amp;IF(AK49=1," · 최저가",IF(AND(N49="견적접수",R49&lt;&gt;"")," · 비쌈","")),"")</f>
        <v/>
      </c>
      <c r="P49" s="34" t="n"/>
      <c r="Q49" s="51" t="n"/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/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n"/>
      <c r="Y49" s="34" t="n"/>
      <c r="Z49" s="56" t="n"/>
      <c r="AA49" s="54">
        <f>IF(OR(Z49="",Y49=""),"",Z49+Y49)</f>
        <v/>
      </c>
      <c r="AB49" s="36" t="n"/>
      <c r="AC49" s="34" t="n"/>
      <c r="AD49" s="36" t="n"/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n"/>
      <c r="C50" s="34" t="n"/>
      <c r="D50" s="34" t="n"/>
      <c r="E50" s="34" t="n"/>
      <c r="F50" s="36" t="n"/>
      <c r="G50" s="36" t="n"/>
      <c r="H50" s="36" t="n"/>
      <c r="I50" s="36" t="n"/>
      <c r="J50" s="36" t="n"/>
      <c r="K50" s="34" t="n"/>
      <c r="L50" s="34" t="n"/>
      <c r="M50" s="34" t="n"/>
      <c r="N50" s="34" t="n"/>
      <c r="O50" s="50">
        <f>IF(N(AH50)&gt;1,"중복 "&amp;AH50&amp;"곳"&amp;IF(AK50=1," · 최저가",IF(AND(N50="견적접수",R50&lt;&gt;"")," · 비쌈","")),"")</f>
        <v/>
      </c>
      <c r="P50" s="34" t="n"/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n"/>
      <c r="Y50" s="34" t="n"/>
      <c r="Z50" s="56" t="n"/>
      <c r="AA50" s="54">
        <f>IF(OR(Z50="",Y50=""),"",Z50+Y50)</f>
        <v/>
      </c>
      <c r="AB50" s="36" t="n"/>
      <c r="AC50" s="34" t="n"/>
      <c r="AD50" s="36" t="n"/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n"/>
      <c r="C51" s="34" t="n"/>
      <c r="D51" s="34" t="n"/>
      <c r="E51" s="34" t="n"/>
      <c r="F51" s="36" t="n"/>
      <c r="G51" s="36" t="n"/>
      <c r="H51" s="36" t="n"/>
      <c r="I51" s="36" t="n"/>
      <c r="J51" s="36" t="n"/>
      <c r="K51" s="34" t="n"/>
      <c r="L51" s="34" t="n"/>
      <c r="M51" s="34" t="n"/>
      <c r="N51" s="34" t="n"/>
      <c r="O51" s="50">
        <f>IF(N(AH51)&gt;1,"중복 "&amp;AH51&amp;"곳"&amp;IF(AK51=1," · 최저가",IF(AND(N51="견적접수",R51&lt;&gt;"")," · 비쌈","")),"")</f>
        <v/>
      </c>
      <c r="P51" s="34" t="n"/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6" t="n"/>
      <c r="AA51" s="54">
        <f>IF(OR(Z51="",Y51=""),"",Z51+Y51)</f>
        <v/>
      </c>
      <c r="AB51" s="36" t="n"/>
      <c r="AC51" s="34" t="n"/>
      <c r="AD51" s="36" t="n"/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n"/>
      <c r="C52" s="34" t="n"/>
      <c r="D52" s="34" t="n"/>
      <c r="E52" s="34" t="n"/>
      <c r="F52" s="36" t="n"/>
      <c r="G52" s="36" t="n"/>
      <c r="H52" s="36" t="n"/>
      <c r="I52" s="36" t="n"/>
      <c r="J52" s="36" t="n"/>
      <c r="K52" s="34" t="n"/>
      <c r="L52" s="34" t="n"/>
      <c r="M52" s="34" t="n"/>
      <c r="N52" s="34" t="n"/>
      <c r="O52" s="50">
        <f>IF(N(AH52)&gt;1,"중복 "&amp;AH52&amp;"곳"&amp;IF(AK52=1," · 최저가",IF(AND(N52="견적접수",R52&lt;&gt;"")," · 비쌈","")),"")</f>
        <v/>
      </c>
      <c r="P52" s="34" t="n"/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6" t="n"/>
      <c r="AA52" s="54">
        <f>IF(OR(Z52="",Y52=""),"",Z52+Y52)</f>
        <v/>
      </c>
      <c r="AB52" s="36" t="n"/>
      <c r="AC52" s="34" t="n"/>
      <c r="AD52" s="36" t="n"/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n"/>
      <c r="C53" s="34" t="n"/>
      <c r="D53" s="34" t="n"/>
      <c r="E53" s="34" t="n"/>
      <c r="F53" s="36" t="n"/>
      <c r="G53" s="36" t="n"/>
      <c r="H53" s="36" t="n"/>
      <c r="I53" s="36" t="n"/>
      <c r="J53" s="36" t="n"/>
      <c r="K53" s="34" t="n"/>
      <c r="L53" s="34" t="n"/>
      <c r="M53" s="34" t="n"/>
      <c r="N53" s="34" t="n"/>
      <c r="O53" s="50">
        <f>IF(N(AH53)&gt;1,"중복 "&amp;AH53&amp;"곳"&amp;IF(AK53=1," · 최저가",IF(AND(N53="견적접수",R53&lt;&gt;"")," · 비쌈","")),"")</f>
        <v/>
      </c>
      <c r="P53" s="34" t="n"/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6" t="n"/>
      <c r="AA53" s="54">
        <f>IF(OR(Z53="",Y53=""),"",Z53+Y53)</f>
        <v/>
      </c>
      <c r="AB53" s="36" t="n"/>
      <c r="AC53" s="34" t="n"/>
      <c r="AD53" s="36" t="n"/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n"/>
      <c r="C54" s="34" t="n"/>
      <c r="D54" s="34" t="n"/>
      <c r="E54" s="34" t="n"/>
      <c r="F54" s="36" t="n"/>
      <c r="G54" s="36" t="n"/>
      <c r="H54" s="36" t="n"/>
      <c r="I54" s="36" t="n"/>
      <c r="J54" s="36" t="n"/>
      <c r="K54" s="34" t="n"/>
      <c r="L54" s="34" t="n"/>
      <c r="M54" s="34" t="n"/>
      <c r="N54" s="34" t="n"/>
      <c r="O54" s="50">
        <f>IF(N(AH54)&gt;1,"중복 "&amp;AH54&amp;"곳"&amp;IF(AK54=1," · 최저가",IF(AND(N54="견적접수",R54&lt;&gt;"")," · 비쌈","")),"")</f>
        <v/>
      </c>
      <c r="P54" s="34" t="n"/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6" t="n"/>
      <c r="AA54" s="54">
        <f>IF(OR(Z54="",Y54=""),"",Z54+Y54)</f>
        <v/>
      </c>
      <c r="AB54" s="36" t="n"/>
      <c r="AC54" s="34" t="n"/>
      <c r="AD54" s="36" t="n"/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n"/>
      <c r="C55" s="34" t="n"/>
      <c r="D55" s="34" t="n"/>
      <c r="E55" s="34" t="n"/>
      <c r="F55" s="36" t="n"/>
      <c r="G55" s="36" t="n"/>
      <c r="H55" s="36" t="n"/>
      <c r="I55" s="36" t="n"/>
      <c r="J55" s="36" t="n"/>
      <c r="K55" s="34" t="n"/>
      <c r="L55" s="34" t="n"/>
      <c r="M55" s="34" t="n"/>
      <c r="N55" s="34" t="n"/>
      <c r="O55" s="50">
        <f>IF(N(AH55)&gt;1,"중복 "&amp;AH55&amp;"곳"&amp;IF(AK55=1," · 최저가",IF(AND(N55="견적접수",R55&lt;&gt;"")," · 비쌈","")),"")</f>
        <v/>
      </c>
      <c r="P55" s="34" t="n"/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6" t="n"/>
      <c r="AA55" s="54">
        <f>IF(OR(Z55="",Y55=""),"",Z55+Y55)</f>
        <v/>
      </c>
      <c r="AB55" s="36" t="n"/>
      <c r="AC55" s="34" t="n"/>
      <c r="AD55" s="36" t="n"/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n"/>
      <c r="C56" s="34" t="n"/>
      <c r="D56" s="34" t="n"/>
      <c r="E56" s="34" t="n"/>
      <c r="F56" s="36" t="n"/>
      <c r="G56" s="36" t="n"/>
      <c r="H56" s="36" t="n"/>
      <c r="I56" s="36" t="n"/>
      <c r="J56" s="36" t="n"/>
      <c r="K56" s="34" t="n"/>
      <c r="L56" s="34" t="n"/>
      <c r="M56" s="34" t="n"/>
      <c r="N56" s="34" t="n"/>
      <c r="O56" s="50">
        <f>IF(N(AH56)&gt;1,"중복 "&amp;AH56&amp;"곳"&amp;IF(AK56=1," · 최저가",IF(AND(N56="견적접수",R56&lt;&gt;"")," · 비쌈","")),"")</f>
        <v/>
      </c>
      <c r="P56" s="34" t="n"/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6" t="n"/>
      <c r="AA56" s="54">
        <f>IF(OR(Z56="",Y56=""),"",Z56+Y56)</f>
        <v/>
      </c>
      <c r="AB56" s="36" t="n"/>
      <c r="AC56" s="34" t="n"/>
      <c r="AD56" s="36" t="n"/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n"/>
      <c r="C57" s="34" t="n"/>
      <c r="D57" s="34" t="n"/>
      <c r="E57" s="34" t="n"/>
      <c r="F57" s="36" t="n"/>
      <c r="G57" s="36" t="n"/>
      <c r="H57" s="36" t="n"/>
      <c r="I57" s="36" t="n"/>
      <c r="J57" s="36" t="n"/>
      <c r="K57" s="34" t="n"/>
      <c r="L57" s="34" t="n"/>
      <c r="M57" s="34" t="n"/>
      <c r="N57" s="34" t="n"/>
      <c r="O57" s="50">
        <f>IF(N(AH57)&gt;1,"중복 "&amp;AH57&amp;"곳"&amp;IF(AK57=1," · 최저가",IF(AND(N57="견적접수",R57&lt;&gt;"")," · 비쌈","")),"")</f>
        <v/>
      </c>
      <c r="P57" s="34" t="n"/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6" t="n"/>
      <c r="AA57" s="54">
        <f>IF(OR(Z57="",Y57=""),"",Z57+Y57)</f>
        <v/>
      </c>
      <c r="AB57" s="36" t="n"/>
      <c r="AC57" s="34" t="n"/>
      <c r="AD57" s="36" t="n"/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n"/>
      <c r="C58" s="34" t="n"/>
      <c r="D58" s="34" t="n"/>
      <c r="E58" s="34" t="n"/>
      <c r="F58" s="36" t="n"/>
      <c r="G58" s="36" t="n"/>
      <c r="H58" s="36" t="n"/>
      <c r="I58" s="36" t="n"/>
      <c r="J58" s="36" t="n"/>
      <c r="K58" s="34" t="n"/>
      <c r="L58" s="34" t="n"/>
      <c r="M58" s="34" t="n"/>
      <c r="N58" s="34" t="n"/>
      <c r="O58" s="50">
        <f>IF(N(AH58)&gt;1,"중복 "&amp;AH58&amp;"곳"&amp;IF(AK58=1," · 최저가",IF(AND(N58="견적접수",R58&lt;&gt;"")," · 비쌈","")),"")</f>
        <v/>
      </c>
      <c r="P58" s="34" t="n"/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6" t="n"/>
      <c r="AA58" s="54">
        <f>IF(OR(Z58="",Y58=""),"",Z58+Y58)</f>
        <v/>
      </c>
      <c r="AB58" s="36" t="n"/>
      <c r="AC58" s="34" t="n"/>
      <c r="AD58" s="36" t="n"/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n"/>
      <c r="C59" s="34" t="n"/>
      <c r="D59" s="34" t="n"/>
      <c r="E59" s="34" t="n"/>
      <c r="F59" s="36" t="n"/>
      <c r="G59" s="36" t="n"/>
      <c r="H59" s="36" t="n"/>
      <c r="I59" s="36" t="n"/>
      <c r="J59" s="36" t="n"/>
      <c r="K59" s="34" t="n"/>
      <c r="L59" s="34" t="n"/>
      <c r="M59" s="34" t="n"/>
      <c r="N59" s="34" t="n"/>
      <c r="O59" s="50">
        <f>IF(N(AH59)&gt;1,"중복 "&amp;AH59&amp;"곳"&amp;IF(AK59=1," · 최저가",IF(AND(N59="견적접수",R59&lt;&gt;"")," · 비쌈","")),"")</f>
        <v/>
      </c>
      <c r="P59" s="34" t="n"/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6" t="n"/>
      <c r="AA59" s="54">
        <f>IF(OR(Z59="",Y59=""),"",Z59+Y59)</f>
        <v/>
      </c>
      <c r="AB59" s="36" t="n"/>
      <c r="AC59" s="34" t="n"/>
      <c r="AD59" s="36" t="n"/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n"/>
      <c r="C60" s="34" t="n"/>
      <c r="D60" s="34" t="n"/>
      <c r="E60" s="34" t="n"/>
      <c r="F60" s="36" t="n"/>
      <c r="G60" s="36" t="n"/>
      <c r="H60" s="36" t="n"/>
      <c r="I60" s="36" t="n"/>
      <c r="J60" s="36" t="n"/>
      <c r="K60" s="34" t="n"/>
      <c r="L60" s="34" t="n"/>
      <c r="M60" s="34" t="n"/>
      <c r="N60" s="34" t="n"/>
      <c r="O60" s="50">
        <f>IF(N(AH60)&gt;1,"중복 "&amp;AH60&amp;"곳"&amp;IF(AK60=1," · 최저가",IF(AND(N60="견적접수",R60&lt;&gt;"")," · 비쌈","")),"")</f>
        <v/>
      </c>
      <c r="P60" s="34" t="n"/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6" t="n"/>
      <c r="AA60" s="54">
        <f>IF(OR(Z60="",Y60=""),"",Z60+Y60)</f>
        <v/>
      </c>
      <c r="AB60" s="36" t="n"/>
      <c r="AC60" s="34" t="n"/>
      <c r="AD60" s="36" t="n"/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n"/>
      <c r="C61" s="34" t="n"/>
      <c r="D61" s="34" t="n"/>
      <c r="E61" s="34" t="n"/>
      <c r="F61" s="36" t="n"/>
      <c r="G61" s="36" t="n"/>
      <c r="H61" s="36" t="n"/>
      <c r="I61" s="36" t="n"/>
      <c r="J61" s="36" t="n"/>
      <c r="K61" s="34" t="n"/>
      <c r="L61" s="34" t="n"/>
      <c r="M61" s="34" t="n"/>
      <c r="N61" s="34" t="n"/>
      <c r="O61" s="50">
        <f>IF(N(AH61)&gt;1,"중복 "&amp;AH61&amp;"곳"&amp;IF(AK61=1," · 최저가",IF(AND(N61="견적접수",R61&lt;&gt;"")," · 비쌈","")),"")</f>
        <v/>
      </c>
      <c r="P61" s="34" t="n"/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6" t="n"/>
      <c r="AA61" s="54">
        <f>IF(OR(Z61="",Y61=""),"",Z61+Y61)</f>
        <v/>
      </c>
      <c r="AB61" s="36" t="n"/>
      <c r="AC61" s="34" t="n"/>
      <c r="AD61" s="36" t="n"/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n"/>
      <c r="C62" s="34" t="n"/>
      <c r="D62" s="34" t="n"/>
      <c r="E62" s="34" t="n"/>
      <c r="F62" s="36" t="n"/>
      <c r="G62" s="36" t="n"/>
      <c r="H62" s="36" t="n"/>
      <c r="I62" s="36" t="n"/>
      <c r="J62" s="36" t="n"/>
      <c r="K62" s="34" t="n"/>
      <c r="L62" s="34" t="n"/>
      <c r="M62" s="34" t="n"/>
      <c r="N62" s="34" t="n"/>
      <c r="O62" s="50">
        <f>IF(N(AH62)&gt;1,"중복 "&amp;AH62&amp;"곳"&amp;IF(AK62=1," · 최저가",IF(AND(N62="견적접수",R62&lt;&gt;"")," · 비쌈","")),"")</f>
        <v/>
      </c>
      <c r="P62" s="34" t="n"/>
      <c r="Q62" s="51" t="n"/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/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/>
      <c r="AA62" s="54">
        <f>IF(OR(Z62="",Y62=""),"",Z62+Y62)</f>
        <v/>
      </c>
      <c r="AB62" s="36" t="n"/>
      <c r="AC62" s="34" t="n"/>
      <c r="AD62" s="36" t="n"/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n"/>
      <c r="C63" s="34" t="n"/>
      <c r="D63" s="34" t="n"/>
      <c r="E63" s="34" t="n"/>
      <c r="F63" s="36" t="n"/>
      <c r="G63" s="36" t="n"/>
      <c r="H63" s="36" t="n"/>
      <c r="I63" s="36" t="n"/>
      <c r="J63" s="36" t="n"/>
      <c r="K63" s="34" t="n"/>
      <c r="L63" s="34" t="n"/>
      <c r="M63" s="34" t="n"/>
      <c r="N63" s="34" t="n"/>
      <c r="O63" s="50">
        <f>IF(N(AH63)&gt;1,"중복 "&amp;AH63&amp;"곳"&amp;IF(AK63=1," · 최저가",IF(AND(N63="견적접수",R63&lt;&gt;"")," · 비쌈","")),"")</f>
        <v/>
      </c>
      <c r="P63" s="34" t="n"/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6" t="n"/>
      <c r="AA63" s="54">
        <f>IF(OR(Z63="",Y63=""),"",Z63+Y63)</f>
        <v/>
      </c>
      <c r="AB63" s="36" t="n"/>
      <c r="AC63" s="34" t="n"/>
      <c r="AD63" s="36" t="n"/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n"/>
      <c r="C64" s="34" t="n"/>
      <c r="D64" s="34" t="n"/>
      <c r="E64" s="34" t="n"/>
      <c r="F64" s="36" t="n"/>
      <c r="G64" s="36" t="n"/>
      <c r="H64" s="36" t="n"/>
      <c r="I64" s="36" t="n"/>
      <c r="J64" s="36" t="n"/>
      <c r="K64" s="34" t="n"/>
      <c r="L64" s="34" t="n"/>
      <c r="M64" s="34" t="n"/>
      <c r="N64" s="34" t="n"/>
      <c r="O64" s="50">
        <f>IF(N(AH64)&gt;1,"중복 "&amp;AH64&amp;"곳"&amp;IF(AK64=1," · 최저가",IF(AND(N64="견적접수",R64&lt;&gt;"")," · 비쌈","")),"")</f>
        <v/>
      </c>
      <c r="P64" s="34" t="n"/>
      <c r="Q64" s="51" t="n"/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/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/>
      <c r="AA64" s="54">
        <f>IF(OR(Z64="",Y64=""),"",Z64+Y64)</f>
        <v/>
      </c>
      <c r="AB64" s="36" t="n"/>
      <c r="AC64" s="34" t="n"/>
      <c r="AD64" s="36" t="n"/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n"/>
      <c r="C65" s="34" t="n"/>
      <c r="D65" s="34" t="n"/>
      <c r="E65" s="34" t="n"/>
      <c r="F65" s="36" t="n"/>
      <c r="G65" s="36" t="n"/>
      <c r="H65" s="36" t="n"/>
      <c r="I65" s="36" t="n"/>
      <c r="J65" s="36" t="n"/>
      <c r="K65" s="34" t="n"/>
      <c r="L65" s="34" t="n"/>
      <c r="M65" s="34" t="n"/>
      <c r="N65" s="34" t="n"/>
      <c r="O65" s="50">
        <f>IF(N(AH65)&gt;1,"중복 "&amp;AH65&amp;"곳"&amp;IF(AK65=1," · 최저가",IF(AND(N65="견적접수",R65&lt;&gt;"")," · 비쌈","")),"")</f>
        <v/>
      </c>
      <c r="P65" s="34" t="n"/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6" t="n"/>
      <c r="AA65" s="54">
        <f>IF(OR(Z65="",Y65=""),"",Z65+Y65)</f>
        <v/>
      </c>
      <c r="AB65" s="36" t="n"/>
      <c r="AC65" s="34" t="n"/>
      <c r="AD65" s="36" t="n"/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n"/>
      <c r="C66" s="34" t="n"/>
      <c r="D66" s="34" t="n"/>
      <c r="E66" s="34" t="n"/>
      <c r="F66" s="36" t="n"/>
      <c r="G66" s="36" t="n"/>
      <c r="H66" s="36" t="n"/>
      <c r="I66" s="36" t="n"/>
      <c r="J66" s="36" t="n"/>
      <c r="K66" s="34" t="n"/>
      <c r="L66" s="34" t="n"/>
      <c r="M66" s="34" t="n"/>
      <c r="N66" s="34" t="n"/>
      <c r="O66" s="50">
        <f>IF(N(AH66)&gt;1,"중복 "&amp;AH66&amp;"곳"&amp;IF(AK66=1," · 최저가",IF(AND(N66="견적접수",R66&lt;&gt;"")," · 비쌈","")),"")</f>
        <v/>
      </c>
      <c r="P66" s="34" t="n"/>
      <c r="Q66" s="51" t="n"/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/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/>
      <c r="AA66" s="54">
        <f>IF(OR(Z66="",Y66=""),"",Z66+Y66)</f>
        <v/>
      </c>
      <c r="AB66" s="36" t="n"/>
      <c r="AC66" s="34" t="n"/>
      <c r="AD66" s="36" t="n"/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n"/>
      <c r="C67" s="34" t="n"/>
      <c r="D67" s="34" t="n"/>
      <c r="E67" s="34" t="n"/>
      <c r="F67" s="36" t="n"/>
      <c r="G67" s="36" t="n"/>
      <c r="H67" s="36" t="n"/>
      <c r="I67" s="36" t="n"/>
      <c r="J67" s="36" t="n"/>
      <c r="K67" s="34" t="n"/>
      <c r="L67" s="34" t="n"/>
      <c r="M67" s="34" t="n"/>
      <c r="N67" s="34" t="n"/>
      <c r="O67" s="50">
        <f>IF(N(AH67)&gt;1,"중복 "&amp;AH67&amp;"곳"&amp;IF(AK67=1," · 최저가",IF(AND(N67="견적접수",R67&lt;&gt;"")," · 비쌈","")),"")</f>
        <v/>
      </c>
      <c r="P67" s="34" t="n"/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6" t="n"/>
      <c r="AA67" s="54">
        <f>IF(OR(Z67="",Y67=""),"",Z67+Y67)</f>
        <v/>
      </c>
      <c r="AB67" s="36" t="n"/>
      <c r="AC67" s="34" t="n"/>
      <c r="AD67" s="36" t="n"/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n"/>
      <c r="C68" s="34" t="n"/>
      <c r="D68" s="34" t="n"/>
      <c r="E68" s="34" t="n"/>
      <c r="F68" s="36" t="n"/>
      <c r="G68" s="36" t="n"/>
      <c r="H68" s="36" t="n"/>
      <c r="I68" s="36" t="n"/>
      <c r="J68" s="36" t="n"/>
      <c r="K68" s="34" t="n"/>
      <c r="L68" s="34" t="n"/>
      <c r="M68" s="34" t="n"/>
      <c r="N68" s="34" t="n"/>
      <c r="O68" s="50">
        <f>IF(N(AH68)&gt;1,"중복 "&amp;AH68&amp;"곳"&amp;IF(AK68=1," · 최저가",IF(AND(N68="견적접수",R68&lt;&gt;"")," · 비쌈","")),"")</f>
        <v/>
      </c>
      <c r="P68" s="34" t="n"/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6" t="n"/>
      <c r="AA68" s="54">
        <f>IF(OR(Z68="",Y68=""),"",Z68+Y68)</f>
        <v/>
      </c>
      <c r="AB68" s="36" t="n"/>
      <c r="AC68" s="34" t="n"/>
      <c r="AD68" s="36" t="n"/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8곳)" type="list">
      <formula1>=설정!$E$5:$E$12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MELICERTES</t>
        </is>
      </c>
      <c r="F1" s="57" t="inlineStr">
        <is>
          <t>IMO 9958303   ·   URGENT   ·   RFQ상 납품항/ETA: Sabetta, ETA 19-Oct-2026</t>
        </is>
      </c>
    </row>
    <row r="2" ht="24" customHeight="1">
      <c r="A2" s="41">
        <f>IFERROR(IF(N(INDEX(스케줄!$C$5:$C$14,MATCH("MELICERTES",스케줄!$A$5:$A$14,0)))=0,"다음 일정: 미정 (스케줄 시트에 입력)","다음 일정: "&amp;INDEX(스케줄!$B$5:$B$14,MATCH("MELICERTES",스케줄!$A$5:$A$14,0))&amp;"  "&amp;TEXT(INDEX(스케줄!$C$5:$C$14,MATCH("MELICERTES",스케줄!$A$5:$A$14,0)),"mm/dd")&amp;IF(N(INDEX(스케줄!$D$5:$D$14,MATCH("MELICERTES",스케줄!$A$5:$A$14,0)))=0,"","~"&amp;TEXT(INDEX(스케줄!$D$5:$D$14,MATCH("MELICERTES",스케줄!$A$5:$A$14,0)),"mm/dd"))),"")</f>
        <v/>
      </c>
      <c r="G2" s="42">
        <f>IFERROR(INDEX(스케줄!$I$5:$I$14,MATCH("MELICERTES",스케줄!$A$5:$A$14,0)),"")</f>
        <v/>
      </c>
      <c r="H2" s="43">
        <f>IFERROR(INDEX(스케줄!$J$5:$J$14,MATCH("MELICERTES",스케줄!$A$5:$A$14,0)),"")</f>
        <v/>
      </c>
      <c r="J2" s="44" t="inlineStr">
        <is>
          <t>출고 마감</t>
        </is>
      </c>
      <c r="K2" s="45">
        <f>IFERROR(INDEX(스케줄!$F$5:$F$14,MATCH("MELICERTES",스케줄!$A$5:$A$14,0)),"")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3</v>
      </c>
      <c r="E6" s="34" t="inlineStr">
        <is>
          <t>NORGREN</t>
        </is>
      </c>
      <c r="F6" s="36" t="inlineStr">
        <is>
          <t>Air Filter Element</t>
        </is>
      </c>
      <c r="G6" s="36" t="inlineStr">
        <is>
          <t>Hanwha-Man B&amp;W 5G70ME-C10.5-GA</t>
        </is>
      </c>
      <c r="H6" s="36" t="n"/>
      <c r="I6" s="36" t="inlineStr">
        <is>
          <t>Emission Control System 5672-0260-00001</t>
        </is>
      </c>
      <c r="J6" s="36" t="inlineStr">
        <is>
          <t>Service Kit F05G 40 MIC/ MAKER: NORGREN</t>
        </is>
      </c>
      <c r="K6" s="34" t="n">
        <v>100</v>
      </c>
      <c r="L6" s="34" t="inlineStr">
        <is>
          <t>pcs</t>
        </is>
      </c>
      <c r="M6" s="34" t="inlineStr">
        <is>
          <t>RMS</t>
        </is>
      </c>
      <c r="N6" s="34" t="inlineStr">
        <is>
          <t>견적접수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>
        <v>99500</v>
      </c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>
        <v>90</v>
      </c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inlineStr">
        <is>
          <t>OEM</t>
        </is>
      </c>
      <c r="X6" s="34" t="inlineStr">
        <is>
          <t>EX WORK BUSAN</t>
        </is>
      </c>
      <c r="Y6" s="34" t="n">
        <v>20</v>
      </c>
      <c r="Z6" s="55" t="n"/>
      <c r="AA6" s="54">
        <f>IF(OR(Z6="",Y6=""),"",Z6+Y6)</f>
        <v/>
      </c>
      <c r="AB6" s="36" t="inlineStr">
        <is>
          <t>D/T: 90 DAYS, OEM, EX WORK BUSAN [VALI: 20 DAYS]</t>
        </is>
      </c>
      <c r="AC6" s="34" t="inlineStr">
        <is>
          <t>검토중</t>
        </is>
      </c>
      <c r="AD6" s="36" t="inlineStr">
        <is>
          <t>긴급 – 납기 90일, 단축 가능 여부 확인</t>
        </is>
      </c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KQU-000116305</t>
        </is>
      </c>
      <c r="C7" s="34" t="inlineStr">
        <is>
          <t>03</t>
        </is>
      </c>
      <c r="D7" s="34" t="n">
        <v>1</v>
      </c>
      <c r="E7" s="34" t="inlineStr">
        <is>
          <t>DANFOSS</t>
        </is>
      </c>
      <c r="F7" s="36" t="inlineStr">
        <is>
          <t>Pressure transmitter DANFOSS</t>
        </is>
      </c>
      <c r="G7" s="36" t="inlineStr">
        <is>
          <t>DANFOSS</t>
        </is>
      </c>
      <c r="H7" s="36" t="inlineStr">
        <is>
          <t>MBS3350 / 0...6 BAR (060G6727)</t>
        </is>
      </c>
      <c r="I7" s="36" t="inlineStr">
        <is>
          <t>Main Engine</t>
        </is>
      </c>
      <c r="J7" s="36" t="n"/>
      <c r="K7" s="34" t="n">
        <v>1</v>
      </c>
      <c r="L7" s="34" t="inlineStr">
        <is>
          <t>PCE</t>
        </is>
      </c>
      <c r="M7" s="34" t="inlineStr">
        <is>
          <t>RMS</t>
        </is>
      </c>
      <c r="N7" s="34" t="inlineStr">
        <is>
          <t>견적접수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>
        <v>261500</v>
      </c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>
        <v>90</v>
      </c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inlineStr">
        <is>
          <t>GENUINE</t>
        </is>
      </c>
      <c r="X7" s="34" t="inlineStr">
        <is>
          <t>EX WORK BUSAN</t>
        </is>
      </c>
      <c r="Y7" s="34" t="n">
        <v>20</v>
      </c>
      <c r="Z7" s="55" t="n"/>
      <c r="AA7" s="54">
        <f>IF(OR(Z7="",Y7=""),"",Z7+Y7)</f>
        <v/>
      </c>
      <c r="AB7" s="36" t="inlineStr">
        <is>
          <t>ALL; D/T: 90 DAYS, GENUINE, EX WORK BUSAN [VALI: 20 DAYS]</t>
        </is>
      </c>
      <c r="AC7" s="34" t="inlineStr">
        <is>
          <t>검토중</t>
        </is>
      </c>
      <c r="AD7" s="36" t="inlineStr">
        <is>
          <t>긴급 – 납기 90일, 단축 가능 여부 확인</t>
        </is>
      </c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KQU-000116305</t>
        </is>
      </c>
      <c r="C8" s="34" t="inlineStr">
        <is>
          <t>03</t>
        </is>
      </c>
      <c r="D8" s="34" t="n">
        <v>1</v>
      </c>
      <c r="E8" s="34" t="inlineStr">
        <is>
          <t>DANFOSS</t>
        </is>
      </c>
      <c r="F8" s="36" t="inlineStr">
        <is>
          <t>Pressure transmitter DANFOSS</t>
        </is>
      </c>
      <c r="G8" s="36" t="inlineStr">
        <is>
          <t>DANFOSS</t>
        </is>
      </c>
      <c r="H8" s="36" t="inlineStr">
        <is>
          <t>MBS3350 / 0...6 BAR (060G6727)</t>
        </is>
      </c>
      <c r="I8" s="36" t="inlineStr">
        <is>
          <t>Main Engine</t>
        </is>
      </c>
      <c r="J8" s="36" t="inlineStr">
        <is>
          <t>AFS: 060G1476 (060G6727 대체)</t>
        </is>
      </c>
      <c r="K8" s="34" t="n">
        <v>1</v>
      </c>
      <c r="L8" s="34" t="inlineStr">
        <is>
          <t>PCE</t>
        </is>
      </c>
      <c r="M8" s="34" t="inlineStr">
        <is>
          <t>AFS</t>
        </is>
      </c>
      <c r="N8" s="34" t="inlineStr">
        <is>
          <t>견적접수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EUR</t>
        </is>
      </c>
      <c r="Q8" s="51" t="n">
        <v>309.54</v>
      </c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>
        <v>49</v>
      </c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n"/>
      <c r="X8" s="34" t="inlineStr">
        <is>
          <t>미기재 (AFS 네덜란드)</t>
        </is>
      </c>
      <c r="Y8" s="34" t="n"/>
      <c r="Z8" s="56" t="n">
        <v>46317</v>
      </c>
      <c r="AA8" s="54">
        <f>IF(OR(Z8="",Y8=""),"",Z8+Y8)</f>
        <v/>
      </c>
      <c r="AB8" s="36" t="inlineStr">
        <is>
          <t>[AFS Q.0000122662] MBS3350 0-6 BAR 060G1476 (ALT. 060G6727) MBS3350-1811-A6AB08-0 / *del time: 6-7 weeks* *item cannot be returned*</t>
        </is>
      </c>
      <c r="AC8" s="34" t="inlineStr">
        <is>
          <t>검토중</t>
        </is>
      </c>
      <c r="AD8" s="36" t="inlineStr">
        <is>
          <t>대체 코드 060G1476 호환 확인</t>
        </is>
      </c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KQU-000116305</t>
        </is>
      </c>
      <c r="C9" s="34" t="inlineStr">
        <is>
          <t>03</t>
        </is>
      </c>
      <c r="D9" s="34" t="n">
        <v>1</v>
      </c>
      <c r="E9" s="34" t="inlineStr">
        <is>
          <t>DANFOSS</t>
        </is>
      </c>
      <c r="F9" s="36" t="inlineStr">
        <is>
          <t>Pressure transmitter DANFOSS</t>
        </is>
      </c>
      <c r="G9" s="36" t="inlineStr">
        <is>
          <t>DANFOSS</t>
        </is>
      </c>
      <c r="H9" s="36" t="inlineStr">
        <is>
          <t>MBS3350 / 0...6 BAR (060G6727)</t>
        </is>
      </c>
      <c r="I9" s="36" t="inlineStr">
        <is>
          <t>Main Engine</t>
        </is>
      </c>
      <c r="J9" s="36" t="n"/>
      <c r="K9" s="34" t="n">
        <v>1</v>
      </c>
      <c r="L9" s="34" t="inlineStr">
        <is>
          <t>PCE</t>
        </is>
      </c>
      <c r="M9" s="34" t="inlineStr">
        <is>
          <t>DACOS</t>
        </is>
      </c>
      <c r="N9" s="34" t="inlineStr">
        <is>
          <t>견적접수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KRW</t>
        </is>
      </c>
      <c r="Q9" s="51" t="n">
        <v>235000</v>
      </c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>
        <v>70</v>
      </c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inlineStr">
        <is>
          <t>GENUINE</t>
        </is>
      </c>
      <c r="X9" s="34" t="inlineStr">
        <is>
          <t>국내 지정 도착도 (택배)</t>
        </is>
      </c>
      <c r="Y9" s="34" t="n">
        <v>7</v>
      </c>
      <c r="Z9" s="56" t="n">
        <v>46322</v>
      </c>
      <c r="AA9" s="54">
        <f>IF(OR(Z9="",Y9=""),"",Z9+Y9)</f>
        <v/>
      </c>
      <c r="AB9" s="36" t="inlineStr">
        <is>
          <t>[다코스 DCSQ261027-1] Pressure transmitter, MBS 3350 [060G6727] / L/T 8-10 WEEKS / 유효 견적 후 1주 / 국내 지정 도착도(택배) / 현금결제 / 부가세 별도</t>
        </is>
      </c>
      <c r="AC9" s="34" t="inlineStr">
        <is>
          <t>검토중</t>
        </is>
      </c>
      <c r="AD9" s="36" t="n"/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KQU-000116305</t>
        </is>
      </c>
      <c r="C10" s="34" t="inlineStr">
        <is>
          <t>03</t>
        </is>
      </c>
      <c r="D10" s="34" t="n">
        <v>2</v>
      </c>
      <c r="E10" s="34" t="inlineStr">
        <is>
          <t>DANFOSS</t>
        </is>
      </c>
      <c r="F10" s="36" t="inlineStr">
        <is>
          <t>Pressure transmitter DANFOSS</t>
        </is>
      </c>
      <c r="G10" s="36" t="inlineStr">
        <is>
          <t>DANFOSS</t>
        </is>
      </c>
      <c r="H10" s="36" t="inlineStr">
        <is>
          <t>MBS3300 / -1…15 BAR (060G6736)</t>
        </is>
      </c>
      <c r="I10" s="36" t="inlineStr">
        <is>
          <t>Main Engine</t>
        </is>
      </c>
      <c r="J10" s="36" t="n"/>
      <c r="K10" s="34" t="n">
        <v>1</v>
      </c>
      <c r="L10" s="34" t="inlineStr">
        <is>
          <t>PCE</t>
        </is>
      </c>
      <c r="M10" s="34" t="inlineStr">
        <is>
          <t>RMS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KRW</t>
        </is>
      </c>
      <c r="Q10" s="51" t="n">
        <v>250000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90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inlineStr">
        <is>
          <t>GENUINE</t>
        </is>
      </c>
      <c r="X10" s="34" t="inlineStr">
        <is>
          <t>EX WORK BUSAN</t>
        </is>
      </c>
      <c r="Y10" s="34" t="n">
        <v>20</v>
      </c>
      <c r="Z10" s="55" t="n"/>
      <c r="AA10" s="54">
        <f>IF(OR(Z10="",Y10=""),"",Z10+Y10)</f>
        <v/>
      </c>
      <c r="AB10" s="36" t="inlineStr">
        <is>
          <t>ALL; D/T: 90 DAYS, GENUINE, EX WORK BUSAN [VALI: 20 DAYS]</t>
        </is>
      </c>
      <c r="AC10" s="34" t="inlineStr">
        <is>
          <t>검토중</t>
        </is>
      </c>
      <c r="AD10" s="36" t="inlineStr">
        <is>
          <t>긴급 – 납기 90일, 단축 가능 여부 확인</t>
        </is>
      </c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KQU-000116305</t>
        </is>
      </c>
      <c r="C11" s="34" t="inlineStr">
        <is>
          <t>03</t>
        </is>
      </c>
      <c r="D11" s="34" t="n">
        <v>2</v>
      </c>
      <c r="E11" s="34" t="inlineStr">
        <is>
          <t>DANFOSS</t>
        </is>
      </c>
      <c r="F11" s="36" t="inlineStr">
        <is>
          <t>Pressure transmitter DANFOSS</t>
        </is>
      </c>
      <c r="G11" s="36" t="inlineStr">
        <is>
          <t>DANFOSS</t>
        </is>
      </c>
      <c r="H11" s="36" t="inlineStr">
        <is>
          <t>MBS3300 / -1…15 BAR (060G6736)</t>
        </is>
      </c>
      <c r="I11" s="36" t="inlineStr">
        <is>
          <t>Main Engine</t>
        </is>
      </c>
      <c r="J11" s="36" t="n"/>
      <c r="K11" s="34" t="n">
        <v>1</v>
      </c>
      <c r="L11" s="34" t="inlineStr">
        <is>
          <t>PCE</t>
        </is>
      </c>
      <c r="M11" s="34" t="inlineStr">
        <is>
          <t>AFS</t>
        </is>
      </c>
      <c r="N11" s="34" t="inlineStr">
        <is>
          <t>견적접수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EUR</t>
        </is>
      </c>
      <c r="Q11" s="51" t="n">
        <v>286.89</v>
      </c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>
        <v>49</v>
      </c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n"/>
      <c r="X11" s="34" t="inlineStr">
        <is>
          <t>미기재 (AFS 네덜란드)</t>
        </is>
      </c>
      <c r="Y11" s="34" t="n"/>
      <c r="Z11" s="56" t="n">
        <v>46317</v>
      </c>
      <c r="AA11" s="54">
        <f>IF(OR(Z11="",Y11=""),"",Z11+Y11)</f>
        <v/>
      </c>
      <c r="AB11" s="36" t="inlineStr">
        <is>
          <t>[AFS Q.0000122662] MBS3300 -1/+15 BAR 060G6736 MBS3300-8911-A6GB08-2 ATEX / *del time: 6-7 weeks* *item cannot be returned*</t>
        </is>
      </c>
      <c r="AC11" s="34" t="inlineStr">
        <is>
          <t>검토중</t>
        </is>
      </c>
      <c r="AD11" s="36" t="n"/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KQU-000116305</t>
        </is>
      </c>
      <c r="C12" s="34" t="inlineStr">
        <is>
          <t>03</t>
        </is>
      </c>
      <c r="D12" s="34" t="n">
        <v>2</v>
      </c>
      <c r="E12" s="34" t="inlineStr">
        <is>
          <t>DANFOSS</t>
        </is>
      </c>
      <c r="F12" s="36" t="inlineStr">
        <is>
          <t>Pressure transmitter DANFOSS</t>
        </is>
      </c>
      <c r="G12" s="36" t="inlineStr">
        <is>
          <t>DANFOSS</t>
        </is>
      </c>
      <c r="H12" s="36" t="inlineStr">
        <is>
          <t>MBS3300 / -1…15 BAR (060G6736)</t>
        </is>
      </c>
      <c r="I12" s="36" t="inlineStr">
        <is>
          <t>Main Engine</t>
        </is>
      </c>
      <c r="J12" s="36" t="n"/>
      <c r="K12" s="34" t="n">
        <v>1</v>
      </c>
      <c r="L12" s="34" t="inlineStr">
        <is>
          <t>PCE</t>
        </is>
      </c>
      <c r="M12" s="34" t="inlineStr">
        <is>
          <t>DACOS</t>
        </is>
      </c>
      <c r="N12" s="34" t="inlineStr">
        <is>
          <t>견적접수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KRW</t>
        </is>
      </c>
      <c r="Q12" s="51" t="n">
        <v>225000</v>
      </c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>
        <v>70</v>
      </c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inlineStr">
        <is>
          <t>GENUINE</t>
        </is>
      </c>
      <c r="X12" s="34" t="inlineStr">
        <is>
          <t>국내 지정 도착도 (택배)</t>
        </is>
      </c>
      <c r="Y12" s="34" t="n">
        <v>7</v>
      </c>
      <c r="Z12" s="56" t="n">
        <v>46322</v>
      </c>
      <c r="AA12" s="54">
        <f>IF(OR(Z12="",Y12=""),"",Z12+Y12)</f>
        <v/>
      </c>
      <c r="AB12" s="36" t="inlineStr">
        <is>
          <t>[다코스 DCSQ261027-1] Pressure transmitter, MBS 3300 [060G6736] / L/T 8-10 WEEKS / 유효 견적 후 1주 / 국내 지정 도착도(택배) / 현금결제 / 부가세 별도</t>
        </is>
      </c>
      <c r="AC12" s="34" t="inlineStr">
        <is>
          <t>검토중</t>
        </is>
      </c>
      <c r="AD12" s="36" t="n"/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inlineStr">
        <is>
          <t>KQU-000116305</t>
        </is>
      </c>
      <c r="C13" s="34" t="inlineStr">
        <is>
          <t>03</t>
        </is>
      </c>
      <c r="D13" s="34" t="n">
        <v>3</v>
      </c>
      <c r="E13" s="34" t="inlineStr">
        <is>
          <t>DANFOSS</t>
        </is>
      </c>
      <c r="F13" s="36" t="inlineStr">
        <is>
          <t>Pressure transmitter DANFOSS</t>
        </is>
      </c>
      <c r="G13" s="36" t="inlineStr">
        <is>
          <t>DANFOSS</t>
        </is>
      </c>
      <c r="H13" s="36" t="inlineStr">
        <is>
          <t>MBS9300 / -0.1 ... 0.2 BAR (064G5260)</t>
        </is>
      </c>
      <c r="I13" s="36" t="inlineStr">
        <is>
          <t>Main Engine</t>
        </is>
      </c>
      <c r="J13" s="36" t="n"/>
      <c r="K13" s="34" t="n">
        <v>1</v>
      </c>
      <c r="L13" s="34" t="inlineStr">
        <is>
          <t>PCE</t>
        </is>
      </c>
      <c r="M13" s="34" t="inlineStr">
        <is>
          <t>RMS</t>
        </is>
      </c>
      <c r="N13" s="34" t="inlineStr">
        <is>
          <t>견적접수</t>
        </is>
      </c>
      <c r="O13" s="50">
        <f>IF(N(AH13)&gt;1,"중복 "&amp;AH13&amp;"곳"&amp;IF(AK13=1," · 최저가",IF(AND(N13="견적접수",R13&lt;&gt;"")," · 비쌈","")),"")</f>
        <v/>
      </c>
      <c r="P13" s="34" t="inlineStr">
        <is>
          <t>KRW</t>
        </is>
      </c>
      <c r="Q13" s="51" t="n">
        <v>337000</v>
      </c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>
        <v>90</v>
      </c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inlineStr">
        <is>
          <t>GENUINE</t>
        </is>
      </c>
      <c r="X13" s="34" t="inlineStr">
        <is>
          <t>EX WORK BUSAN</t>
        </is>
      </c>
      <c r="Y13" s="34" t="n">
        <v>20</v>
      </c>
      <c r="Z13" s="55" t="n"/>
      <c r="AA13" s="54">
        <f>IF(OR(Z13="",Y13=""),"",Z13+Y13)</f>
        <v/>
      </c>
      <c r="AB13" s="36" t="inlineStr">
        <is>
          <t>ALL; D/T: 90 DAYS, GENUINE, EX WORK BUSAN [VALI: 20 DAYS]</t>
        </is>
      </c>
      <c r="AC13" s="34" t="inlineStr">
        <is>
          <t>검토중</t>
        </is>
      </c>
      <c r="AD13" s="36" t="inlineStr">
        <is>
          <t>긴급 – 납기 90일, 단축 가능 여부 확인</t>
        </is>
      </c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inlineStr">
        <is>
          <t>KQU-000116305</t>
        </is>
      </c>
      <c r="C14" s="34" t="inlineStr">
        <is>
          <t>03</t>
        </is>
      </c>
      <c r="D14" s="34" t="n">
        <v>3</v>
      </c>
      <c r="E14" s="34" t="inlineStr">
        <is>
          <t>DANFOSS</t>
        </is>
      </c>
      <c r="F14" s="36" t="inlineStr">
        <is>
          <t>Pressure transmitter DANFOSS</t>
        </is>
      </c>
      <c r="G14" s="36" t="inlineStr">
        <is>
          <t>DANFOSS</t>
        </is>
      </c>
      <c r="H14" s="36" t="inlineStr">
        <is>
          <t>MBS9300 / -0.1 ... 0.2 BAR (064G5260)</t>
        </is>
      </c>
      <c r="I14" s="36" t="inlineStr">
        <is>
          <t>Main Engine</t>
        </is>
      </c>
      <c r="J14" s="36" t="n"/>
      <c r="K14" s="34" t="n">
        <v>1</v>
      </c>
      <c r="L14" s="34" t="inlineStr">
        <is>
          <t>PCE</t>
        </is>
      </c>
      <c r="M14" s="34" t="inlineStr">
        <is>
          <t>AFS</t>
        </is>
      </c>
      <c r="N14" s="34" t="inlineStr">
        <is>
          <t>견적접수</t>
        </is>
      </c>
      <c r="O14" s="50">
        <f>IF(N(AH14)&gt;1,"중복 "&amp;AH14&amp;"곳"&amp;IF(AK14=1," · 최저가",IF(AND(N14="견적접수",R14&lt;&gt;"")," · 비쌈","")),"")</f>
        <v/>
      </c>
      <c r="P14" s="34" t="inlineStr">
        <is>
          <t>EUR</t>
        </is>
      </c>
      <c r="Q14" s="51" t="n">
        <v>359.88</v>
      </c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>
        <v>49</v>
      </c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n"/>
      <c r="X14" s="34" t="inlineStr">
        <is>
          <t>미기재 (AFS 네덜란드)</t>
        </is>
      </c>
      <c r="Y14" s="34" t="n"/>
      <c r="Z14" s="56" t="n">
        <v>46317</v>
      </c>
      <c r="AA14" s="54">
        <f>IF(OR(Z14="",Y14=""),"",Z14+Y14)</f>
        <v/>
      </c>
      <c r="AB14" s="36" t="inlineStr">
        <is>
          <t>[AFS Q.0000122662] MBS9300 -100/+200 MBAR 064G5260 MBS 9300-Q911-A1GB04-1 / *del time: 6-7 weeks* *item cannot be returned*</t>
        </is>
      </c>
      <c r="AC14" s="34" t="inlineStr">
        <is>
          <t>검토중</t>
        </is>
      </c>
      <c r="AD14" s="36" t="n"/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inlineStr">
        <is>
          <t>KQU-000116305</t>
        </is>
      </c>
      <c r="C15" s="34" t="inlineStr">
        <is>
          <t>03</t>
        </is>
      </c>
      <c r="D15" s="34" t="n">
        <v>3</v>
      </c>
      <c r="E15" s="34" t="inlineStr">
        <is>
          <t>DANFOSS</t>
        </is>
      </c>
      <c r="F15" s="36" t="inlineStr">
        <is>
          <t>Pressure transmitter DANFOSS</t>
        </is>
      </c>
      <c r="G15" s="36" t="inlineStr">
        <is>
          <t>DANFOSS</t>
        </is>
      </c>
      <c r="H15" s="36" t="inlineStr">
        <is>
          <t>MBS9300 / -0.1 ... 0.2 BAR (064G5260)</t>
        </is>
      </c>
      <c r="I15" s="36" t="inlineStr">
        <is>
          <t>Main Engine</t>
        </is>
      </c>
      <c r="J15" s="36" t="n"/>
      <c r="K15" s="34" t="n">
        <v>1</v>
      </c>
      <c r="L15" s="34" t="inlineStr">
        <is>
          <t>PCE</t>
        </is>
      </c>
      <c r="M15" s="34" t="inlineStr">
        <is>
          <t>DACOS</t>
        </is>
      </c>
      <c r="N15" s="34" t="inlineStr">
        <is>
          <t>견적접수</t>
        </is>
      </c>
      <c r="O15" s="50">
        <f>IF(N(AH15)&gt;1,"중복 "&amp;AH15&amp;"곳"&amp;IF(AK15=1," · 최저가",IF(AND(N15="견적접수",R15&lt;&gt;"")," · 비쌈","")),"")</f>
        <v/>
      </c>
      <c r="P15" s="34" t="inlineStr">
        <is>
          <t>KRW</t>
        </is>
      </c>
      <c r="Q15" s="51" t="n">
        <v>378000</v>
      </c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>
        <v>70</v>
      </c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inlineStr">
        <is>
          <t>GENUINE</t>
        </is>
      </c>
      <c r="X15" s="34" t="inlineStr">
        <is>
          <t>국내 지정 도착도 (택배)</t>
        </is>
      </c>
      <c r="Y15" s="34" t="n">
        <v>7</v>
      </c>
      <c r="Z15" s="56" t="n">
        <v>46322</v>
      </c>
      <c r="AA15" s="54">
        <f>IF(OR(Z15="",Y15=""),"",Z15+Y15)</f>
        <v/>
      </c>
      <c r="AB15" s="36" t="inlineStr">
        <is>
          <t>[다코스 DCSQ261027-1] Pressure transmitter, MBS 9300 [064G5260] / L/T 8-10 WEEKS / 유효 견적 후 1주 / 국내 지정 도착도(택배) / 현금결제 / 부가세 별도</t>
        </is>
      </c>
      <c r="AC15" s="34" t="inlineStr">
        <is>
          <t>검토중</t>
        </is>
      </c>
      <c r="AD15" s="36" t="n"/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inlineStr">
        <is>
          <t>KQU-000116306</t>
        </is>
      </c>
      <c r="C16" s="34" t="inlineStr">
        <is>
          <t>04</t>
        </is>
      </c>
      <c r="D16" s="34" t="n">
        <v>2</v>
      </c>
      <c r="E16" s="34" t="inlineStr">
        <is>
          <t>WAGO</t>
        </is>
      </c>
      <c r="F16" s="36" t="inlineStr">
        <is>
          <t>SD Card for EGR O2 sensors</t>
        </is>
      </c>
      <c r="G16" s="36" t="inlineStr">
        <is>
          <t>WAGO / 758-879/000-001</t>
        </is>
      </c>
      <c r="H16" s="36" t="n"/>
      <c r="I16" s="36" t="inlineStr">
        <is>
          <t>ME EGR O2 Sensor</t>
        </is>
      </c>
      <c r="J16" s="36" t="n"/>
      <c r="K16" s="34" t="n">
        <v>3</v>
      </c>
      <c r="L16" s="34" t="inlineStr">
        <is>
          <t>pcs</t>
        </is>
      </c>
      <c r="M16" s="34" t="inlineStr">
        <is>
          <t>RMS</t>
        </is>
      </c>
      <c r="N16" s="34" t="inlineStr">
        <is>
          <t>공급불가</t>
        </is>
      </c>
      <c r="O16" s="50">
        <f>IF(N(AH16)&gt;1,"중복 "&amp;AH16&amp;"곳"&amp;IF(AK16=1," · 최저가",IF(AND(N16="견적접수",R16&lt;&gt;"")," · 비쌈","")),"")</f>
        <v/>
      </c>
      <c r="P16" s="34" t="inlineStr">
        <is>
          <t>KRW</t>
        </is>
      </c>
      <c r="Q16" s="51" t="n"/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/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n"/>
      <c r="X16" s="34" t="n"/>
      <c r="Y16" s="34" t="n"/>
      <c r="Z16" s="55" t="n"/>
      <c r="AA16" s="54">
        <f>IF(OR(Z16="",Y16=""),"",Z16+Y16)</f>
        <v/>
      </c>
      <c r="AB16" s="36" t="inlineStr">
        <is>
          <t>NOT AVAILABLE</t>
        </is>
      </c>
      <c r="AC16" s="34" t="inlineStr">
        <is>
          <t>타업체 문의</t>
        </is>
      </c>
      <c r="AD16" s="36" t="inlineStr">
        <is>
          <t>타 업체 견적 요청</t>
        </is>
      </c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inlineStr">
        <is>
          <t>KQU-000116306</t>
        </is>
      </c>
      <c r="C17" s="34" t="inlineStr">
        <is>
          <t>04</t>
        </is>
      </c>
      <c r="D17" s="34" t="n">
        <v>2</v>
      </c>
      <c r="E17" s="34" t="inlineStr">
        <is>
          <t>WAGO</t>
        </is>
      </c>
      <c r="F17" s="36" t="inlineStr">
        <is>
          <t>SD Card for EGR O2 sensors</t>
        </is>
      </c>
      <c r="G17" s="36" t="inlineStr">
        <is>
          <t>WAGO / 758-879/000-001</t>
        </is>
      </c>
      <c r="H17" s="36" t="n"/>
      <c r="I17" s="36" t="inlineStr">
        <is>
          <t>ME EGR O2 Sensor</t>
        </is>
      </c>
      <c r="J17" s="36" t="inlineStr">
        <is>
          <t>AFS 형번 758-879/000-000 (요청 000-001)</t>
        </is>
      </c>
      <c r="K17" s="34" t="n">
        <v>3</v>
      </c>
      <c r="L17" s="34" t="inlineStr">
        <is>
          <t>pcs</t>
        </is>
      </c>
      <c r="M17" s="34" t="inlineStr">
        <is>
          <t>AFS</t>
        </is>
      </c>
      <c r="N17" s="34" t="inlineStr">
        <is>
          <t>견적접수</t>
        </is>
      </c>
      <c r="O17" s="50">
        <f>IF(N(AH17)&gt;1,"중복 "&amp;AH17&amp;"곳"&amp;IF(AK17=1," · 최저가",IF(AND(N17="견적접수",R17&lt;&gt;"")," · 비쌈","")),"")</f>
        <v/>
      </c>
      <c r="P17" s="34" t="inlineStr">
        <is>
          <t>EUR</t>
        </is>
      </c>
      <c r="Q17" s="51" t="n">
        <v>174.41</v>
      </c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>
        <v>42</v>
      </c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n"/>
      <c r="X17" s="34" t="inlineStr">
        <is>
          <t>미기재 (AFS 네덜란드)</t>
        </is>
      </c>
      <c r="Y17" s="34" t="n"/>
      <c r="Z17" s="56" t="n">
        <v>46317</v>
      </c>
      <c r="AA17" s="54">
        <f>IF(OR(Z17="",Y17=""),"",Z17+Y17)</f>
        <v/>
      </c>
      <c r="AB17" s="36" t="inlineStr">
        <is>
          <t>[AFS Q.0000122664] WAGO 1 GB INDUSTRIAL SD CARD 758-879/000-000 / *del time: 4-6 weeks* *item cannot be returned*</t>
        </is>
      </c>
      <c r="AC17" s="34" t="inlineStr">
        <is>
          <t>검토중</t>
        </is>
      </c>
      <c r="AD17" s="36" t="inlineStr">
        <is>
          <t>AFS 견적서엔 AEOLUS 표기 – RFQ상 MELICERTES 품목 / 형번 끝자리(000 vs 001) 확인</t>
        </is>
      </c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inlineStr">
        <is>
          <t>IOB RFQ-05</t>
        </is>
      </c>
      <c r="C18" s="34" t="inlineStr">
        <is>
          <t>05</t>
        </is>
      </c>
      <c r="D18" s="34" t="n">
        <v>1</v>
      </c>
      <c r="E18" s="34" t="inlineStr">
        <is>
          <t>PHOENIX CONTACT</t>
        </is>
      </c>
      <c r="F18" s="36" t="inlineStr">
        <is>
          <t>DC power supply unit</t>
        </is>
      </c>
      <c r="G18" s="36" t="inlineStr">
        <is>
          <t>QUINT4-PS/1AC/24DC/40</t>
        </is>
      </c>
      <c r="H18" s="36" t="inlineStr">
        <is>
          <t>2904603</t>
        </is>
      </c>
      <c r="I18" s="36" t="n"/>
      <c r="J18" s="36" t="n"/>
      <c r="K18" s="34" t="n">
        <v>1</v>
      </c>
      <c r="L18" s="34" t="inlineStr">
        <is>
          <t>PCS</t>
        </is>
      </c>
      <c r="M18" s="34" t="inlineStr">
        <is>
          <t>AFS</t>
        </is>
      </c>
      <c r="N18" s="34" t="inlineStr">
        <is>
          <t>견적접수</t>
        </is>
      </c>
      <c r="O18" s="50">
        <f>IF(N(AH18)&gt;1,"중복 "&amp;AH18&amp;"곳"&amp;IF(AK18=1," · 최저가",IF(AND(N18="견적접수",R18&lt;&gt;"")," · 비쌈","")),"")</f>
        <v/>
      </c>
      <c r="P18" s="34" t="inlineStr">
        <is>
          <t>EUR</t>
        </is>
      </c>
      <c r="Q18" s="51" t="n">
        <v>845.3200000000001</v>
      </c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>
        <v>2</v>
      </c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n"/>
      <c r="X18" s="34" t="inlineStr">
        <is>
          <t>미기재 (AFS 네덜란드)</t>
        </is>
      </c>
      <c r="Y18" s="34" t="n"/>
      <c r="Z18" s="56" t="n">
        <v>46317</v>
      </c>
      <c r="AA18" s="54">
        <f>IF(OR(Z18="",Y18=""),"",Z18+Y18)</f>
        <v/>
      </c>
      <c r="AB18" s="36" t="inlineStr">
        <is>
          <t>[AFS Q.0000122665] PHOENIX CONTACT - DC POWER SUPPLY UNIT QUINT4-PS/1AC/24DC/40 - 2904603 / *del time: 2 days* *item cannot be returned*</t>
        </is>
      </c>
      <c r="AC18" s="34" t="inlineStr">
        <is>
          <t>검토중</t>
        </is>
      </c>
      <c r="AD18" s="36" t="n"/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inlineStr">
        <is>
          <t>IOB RFQ-05</t>
        </is>
      </c>
      <c r="C19" s="34" t="inlineStr">
        <is>
          <t>05</t>
        </is>
      </c>
      <c r="D19" s="34" t="n">
        <v>2</v>
      </c>
      <c r="E19" s="34" t="inlineStr">
        <is>
          <t>PHOENIX CONTACT</t>
        </is>
      </c>
      <c r="F19" s="36" t="inlineStr">
        <is>
          <t>UPS Power Supply Unit Quint</t>
        </is>
      </c>
      <c r="G19" s="36" t="inlineStr">
        <is>
          <t>QUINT (전체 형번 필요)</t>
        </is>
      </c>
      <c r="H19" s="36" t="inlineStr">
        <is>
          <t>Part no. 6097173-1</t>
        </is>
      </c>
      <c r="I19" s="36" t="n"/>
      <c r="J19" s="36" t="n"/>
      <c r="K19" s="34" t="n">
        <v>2</v>
      </c>
      <c r="L19" s="34" t="inlineStr">
        <is>
          <t>PCS</t>
        </is>
      </c>
      <c r="M19" s="34" t="inlineStr">
        <is>
          <t>AFS</t>
        </is>
      </c>
      <c r="N19" s="34" t="inlineStr">
        <is>
          <t>확인필요</t>
        </is>
      </c>
      <c r="O19" s="50">
        <f>IF(N(AH19)&gt;1,"중복 "&amp;AH19&amp;"곳"&amp;IF(AK19=1," · 최저가",IF(AND(N19="견적접수",R19&lt;&gt;"")," · 비쌈","")),"")</f>
        <v/>
      </c>
      <c r="P19" s="34" t="inlineStr">
        <is>
          <t>EUR</t>
        </is>
      </c>
      <c r="Q19" s="51" t="n"/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/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n"/>
      <c r="X19" s="34" t="inlineStr">
        <is>
          <t>미기재 (AFS 네덜란드)</t>
        </is>
      </c>
      <c r="Y19" s="34" t="n"/>
      <c r="Z19" s="56" t="n">
        <v>46317</v>
      </c>
      <c r="AA19" s="54">
        <f>IF(OR(Z19="",Y19=""),"",Z19+Y19)</f>
        <v/>
      </c>
      <c r="AB19" s="36" t="inlineStr">
        <is>
          <t>[AFS Q.0000122665] *remarks from supplier: Quint is name of complete serie, Need complete type nr. (Like item 1)*</t>
        </is>
      </c>
      <c r="AC19" s="34" t="inlineStr">
        <is>
          <t>정보 송부필요</t>
        </is>
      </c>
      <c r="AD19" s="36" t="inlineStr">
        <is>
          <t>명판 사진으로 전체 형번(예: QUINT4-…) 확인해 AFS에 송부</t>
        </is>
      </c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inlineStr">
        <is>
          <t>KQU-000116308</t>
        </is>
      </c>
      <c r="C20" s="34" t="inlineStr">
        <is>
          <t>07</t>
        </is>
      </c>
      <c r="D20" s="34" t="n">
        <v>1</v>
      </c>
      <c r="E20" s="34" t="inlineStr">
        <is>
          <t>VEGA</t>
        </is>
      </c>
      <c r="F20" s="36" t="inlineStr">
        <is>
          <t>DIFF. PRESS TRANSMITTER MASTER</t>
        </is>
      </c>
      <c r="G20" s="36" t="inlineStr">
        <is>
          <t>VEGABAR 83</t>
        </is>
      </c>
      <c r="H20" s="36" t="inlineStr">
        <is>
          <t>S/N:6290676 Order NO.:3026652/1 2022</t>
        </is>
      </c>
      <c r="I20" s="36" t="inlineStr">
        <is>
          <t>Main Engine EGR Water (1701)</t>
        </is>
      </c>
      <c r="J20" s="36" t="n"/>
      <c r="K20" s="34" t="n">
        <v>1</v>
      </c>
      <c r="L20" s="34" t="inlineStr">
        <is>
          <t>pce</t>
        </is>
      </c>
      <c r="M20" s="34" t="inlineStr">
        <is>
          <t>RMS</t>
        </is>
      </c>
      <c r="N20" s="34" t="inlineStr">
        <is>
          <t>공급불가</t>
        </is>
      </c>
      <c r="O20" s="50">
        <f>IF(N(AH20)&gt;1,"중복 "&amp;AH20&amp;"곳"&amp;IF(AK20=1," · 최저가",IF(AND(N20="견적접수",R20&lt;&gt;"")," · 비쌈","")),"")</f>
        <v/>
      </c>
      <c r="P20" s="34" t="inlineStr">
        <is>
          <t>KRW</t>
        </is>
      </c>
      <c r="Q20" s="51" t="n"/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/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n"/>
      <c r="X20" s="34" t="n"/>
      <c r="Y20" s="34" t="n"/>
      <c r="Z20" s="55" t="n"/>
      <c r="AA20" s="54">
        <f>IF(OR(Z20="",Y20=""),"",Z20+Y20)</f>
        <v/>
      </c>
      <c r="AB20" s="36" t="inlineStr">
        <is>
          <t>NOT AVAILABLE</t>
        </is>
      </c>
      <c r="AC20" s="34" t="inlineStr">
        <is>
          <t>타업체 문의</t>
        </is>
      </c>
      <c r="AD20" s="36" t="inlineStr">
        <is>
          <t>타 업체 견적 요청</t>
        </is>
      </c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inlineStr">
        <is>
          <t>KQU-000116308</t>
        </is>
      </c>
      <c r="C21" s="34" t="inlineStr">
        <is>
          <t>07</t>
        </is>
      </c>
      <c r="D21" s="34" t="n">
        <v>1</v>
      </c>
      <c r="E21" s="34" t="inlineStr">
        <is>
          <t>VEGA</t>
        </is>
      </c>
      <c r="F21" s="36" t="inlineStr">
        <is>
          <t>DIFF. PRESS TRANSMITTER MASTER</t>
        </is>
      </c>
      <c r="G21" s="36" t="inlineStr">
        <is>
          <t>VEGABAR 83</t>
        </is>
      </c>
      <c r="H21" s="36" t="inlineStr">
        <is>
          <t>S/N:6290676 Order NO.:3026652/1 2022</t>
        </is>
      </c>
      <c r="I21" s="36" t="inlineStr">
        <is>
          <t>Main Engine EGR Water (1701)</t>
        </is>
      </c>
      <c r="J21" s="36" t="inlineStr">
        <is>
          <t>AFS 제안: VEGABAR 83 B83.AMDUSGGMSXKI1XX</t>
        </is>
      </c>
      <c r="K21" s="34" t="n">
        <v>1</v>
      </c>
      <c r="L21" s="34" t="inlineStr">
        <is>
          <t>pce</t>
        </is>
      </c>
      <c r="M21" s="34" t="inlineStr">
        <is>
          <t>AFS</t>
        </is>
      </c>
      <c r="N21" s="34" t="inlineStr">
        <is>
          <t>견적접수</t>
        </is>
      </c>
      <c r="O21" s="50">
        <f>IF(N(AH21)&gt;1,"중복 "&amp;AH21&amp;"곳"&amp;IF(AK21=1," · 최저가",IF(AND(N21="견적접수",R21&lt;&gt;"")," · 비쌈","")),"")</f>
        <v/>
      </c>
      <c r="P21" s="34" t="inlineStr">
        <is>
          <t>EUR</t>
        </is>
      </c>
      <c r="Q21" s="51" t="n">
        <v>1441.63</v>
      </c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>
        <v>8</v>
      </c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n"/>
      <c r="X21" s="34" t="inlineStr">
        <is>
          <t>미기재 (AFS 네덜란드)</t>
        </is>
      </c>
      <c r="Y21" s="34" t="n"/>
      <c r="Z21" s="56" t="n">
        <v>46317</v>
      </c>
      <c r="AA21" s="54">
        <f>IF(OR(Z21="",Y21=""),"",Z21+Y21)</f>
        <v/>
      </c>
      <c r="AB21" s="36" t="inlineStr">
        <is>
          <t>[AFS Q.0000122667] VEGABAR 83 B83.AMDUSGGMSXKI1XX / *del time: 8 days* *item cannot be returned*</t>
        </is>
      </c>
      <c r="AC21" s="34" t="inlineStr">
        <is>
          <t>검토중</t>
        </is>
      </c>
      <c r="AD21" s="36" t="inlineStr">
        <is>
          <t>반품 불가 조건</t>
        </is>
      </c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inlineStr">
        <is>
          <t>KQU-000116308</t>
        </is>
      </c>
      <c r="C22" s="34" t="inlineStr">
        <is>
          <t>07</t>
        </is>
      </c>
      <c r="D22" s="34" t="n">
        <v>2</v>
      </c>
      <c r="E22" s="34" t="inlineStr">
        <is>
          <t>VEGA</t>
        </is>
      </c>
      <c r="F22" s="36" t="inlineStr">
        <is>
          <t>DIFF. PRESS TRANSMITTER SLAVE</t>
        </is>
      </c>
      <c r="G22" s="36" t="inlineStr">
        <is>
          <t>VEGABAR 83</t>
        </is>
      </c>
      <c r="H22" s="36" t="inlineStr">
        <is>
          <t>S/N: 60392712 Order NO.:3029976/2 2022</t>
        </is>
      </c>
      <c r="I22" s="36" t="inlineStr">
        <is>
          <t>Main Engine EGR Water (1701)</t>
        </is>
      </c>
      <c r="J22" s="36" t="n"/>
      <c r="K22" s="34" t="n">
        <v>1</v>
      </c>
      <c r="L22" s="34" t="inlineStr">
        <is>
          <t>pce</t>
        </is>
      </c>
      <c r="M22" s="34" t="inlineStr">
        <is>
          <t>RMS</t>
        </is>
      </c>
      <c r="N22" s="34" t="inlineStr">
        <is>
          <t>공급불가</t>
        </is>
      </c>
      <c r="O22" s="50">
        <f>IF(N(AH22)&gt;1,"중복 "&amp;AH22&amp;"곳"&amp;IF(AK22=1," · 최저가",IF(AND(N22="견적접수",R22&lt;&gt;"")," · 비쌈","")),"")</f>
        <v/>
      </c>
      <c r="P22" s="34" t="inlineStr">
        <is>
          <t>KRW</t>
        </is>
      </c>
      <c r="Q22" s="51" t="n"/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/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n"/>
      <c r="X22" s="34" t="n"/>
      <c r="Y22" s="34" t="n"/>
      <c r="Z22" s="55" t="n"/>
      <c r="AA22" s="54">
        <f>IF(OR(Z22="",Y22=""),"",Z22+Y22)</f>
        <v/>
      </c>
      <c r="AB22" s="36" t="inlineStr">
        <is>
          <t>NOT AVAILABLE</t>
        </is>
      </c>
      <c r="AC22" s="34" t="inlineStr">
        <is>
          <t>타업체 문의</t>
        </is>
      </c>
      <c r="AD22" s="36" t="inlineStr">
        <is>
          <t>타 업체 견적 요청</t>
        </is>
      </c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inlineStr">
        <is>
          <t>KQU-000116308</t>
        </is>
      </c>
      <c r="C23" s="34" t="inlineStr">
        <is>
          <t>07</t>
        </is>
      </c>
      <c r="D23" s="34" t="n">
        <v>2</v>
      </c>
      <c r="E23" s="34" t="inlineStr">
        <is>
          <t>VEGA</t>
        </is>
      </c>
      <c r="F23" s="36" t="inlineStr">
        <is>
          <t>DIFF. PRESS TRANSMITTER SLAVE</t>
        </is>
      </c>
      <c r="G23" s="36" t="inlineStr">
        <is>
          <t>VEGABAR 83</t>
        </is>
      </c>
      <c r="H23" s="36" t="inlineStr">
        <is>
          <t>S/N: 60392712 Order NO.:3029976/2 2022</t>
        </is>
      </c>
      <c r="I23" s="36" t="inlineStr">
        <is>
          <t>Main Engine EGR Water (1701)</t>
        </is>
      </c>
      <c r="J23" s="36" t="inlineStr">
        <is>
          <t>AFS 제안: VEGABAR 83 B83.AMDUSGGMHXKI1AX</t>
        </is>
      </c>
      <c r="K23" s="34" t="n">
        <v>1</v>
      </c>
      <c r="L23" s="34" t="inlineStr">
        <is>
          <t>pce</t>
        </is>
      </c>
      <c r="M23" s="34" t="inlineStr">
        <is>
          <t>AFS</t>
        </is>
      </c>
      <c r="N23" s="34" t="inlineStr">
        <is>
          <t>견적접수</t>
        </is>
      </c>
      <c r="O23" s="50">
        <f>IF(N(AH23)&gt;1,"중복 "&amp;AH23&amp;"곳"&amp;IF(AK23=1," · 최저가",IF(AND(N23="견적접수",R23&lt;&gt;"")," · 비쌈","")),"")</f>
        <v/>
      </c>
      <c r="P23" s="34" t="inlineStr">
        <is>
          <t>EUR</t>
        </is>
      </c>
      <c r="Q23" s="51" t="n">
        <v>1696.66</v>
      </c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>
        <v>8</v>
      </c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n"/>
      <c r="X23" s="34" t="inlineStr">
        <is>
          <t>미기재 (AFS 네덜란드)</t>
        </is>
      </c>
      <c r="Y23" s="34" t="n"/>
      <c r="Z23" s="56" t="n">
        <v>46317</v>
      </c>
      <c r="AA23" s="54">
        <f>IF(OR(Z23="",Y23=""),"",Z23+Y23)</f>
        <v/>
      </c>
      <c r="AB23" s="36" t="inlineStr">
        <is>
          <t>[AFS Q.0000122667] VEGABAR 83 B83.AMDUSGGMHXKI1AX / *del time: 8 days* *item cannot be returned*</t>
        </is>
      </c>
      <c r="AC23" s="34" t="inlineStr">
        <is>
          <t>검토중</t>
        </is>
      </c>
      <c r="AD23" s="36" t="inlineStr">
        <is>
          <t>반품 불가 조건</t>
        </is>
      </c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inlineStr">
        <is>
          <t>KQU-000116309</t>
        </is>
      </c>
      <c r="C24" s="34" t="inlineStr">
        <is>
          <t>08</t>
        </is>
      </c>
      <c r="D24" s="34" t="n">
        <v>1</v>
      </c>
      <c r="E24" s="34" t="inlineStr">
        <is>
          <t>SIEMENS</t>
        </is>
      </c>
      <c r="F24" s="36" t="inlineStr">
        <is>
          <t>Ip Converter Siemens Sipart sp2</t>
        </is>
      </c>
      <c r="G24" s="36" t="inlineStr">
        <is>
          <t>Siemens</t>
        </is>
      </c>
      <c r="H24" s="36" t="inlineStr">
        <is>
          <t>C73451-A430-D80</t>
        </is>
      </c>
      <c r="I24" s="36" t="inlineStr">
        <is>
          <t>Main engine</t>
        </is>
      </c>
      <c r="J24" s="36" t="n"/>
      <c r="K24" s="34" t="n">
        <v>2</v>
      </c>
      <c r="L24" s="34" t="inlineStr">
        <is>
          <t>pcs</t>
        </is>
      </c>
      <c r="M24" s="34" t="inlineStr">
        <is>
          <t>RMS</t>
        </is>
      </c>
      <c r="N24" s="34" t="inlineStr">
        <is>
          <t>견적접수</t>
        </is>
      </c>
      <c r="O24" s="50">
        <f>IF(N(AH24)&gt;1,"중복 "&amp;AH24&amp;"곳"&amp;IF(AK24=1," · 최저가",IF(AND(N24="견적접수",R24&lt;&gt;"")," · 비쌈","")),"")</f>
        <v/>
      </c>
      <c r="P24" s="34" t="inlineStr">
        <is>
          <t>KRW</t>
        </is>
      </c>
      <c r="Q24" s="51" t="n">
        <v>870000</v>
      </c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>
        <v>60</v>
      </c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inlineStr">
        <is>
          <t>OEM</t>
        </is>
      </c>
      <c r="X24" s="34" t="inlineStr">
        <is>
          <t>EX WORK BUSAN</t>
        </is>
      </c>
      <c r="Y24" s="34" t="n">
        <v>20</v>
      </c>
      <c r="Z24" s="55" t="n"/>
      <c r="AA24" s="54">
        <f>IF(OR(Z24="",Y24=""),"",Z24+Y24)</f>
        <v/>
      </c>
      <c r="AB24" s="36" t="inlineStr">
        <is>
          <t>D/T: 60 DAYS, OEM, EX WORK BUSAN [VALI: 20 DAYS]</t>
        </is>
      </c>
      <c r="AC24" s="34" t="inlineStr">
        <is>
          <t>검토중</t>
        </is>
      </c>
      <c r="AD24" s="36" t="inlineStr">
        <is>
          <t>긴급 – 납기 60일, 단축 가능 여부 확인</t>
        </is>
      </c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inlineStr">
        <is>
          <t>KQU-000116313</t>
        </is>
      </c>
      <c r="C25" s="34" t="inlineStr">
        <is>
          <t>15</t>
        </is>
      </c>
      <c r="D25" s="34" t="n">
        <v>1</v>
      </c>
      <c r="E25" s="34" t="inlineStr">
        <is>
          <t>AQUAFILTER</t>
        </is>
      </c>
      <c r="F25" s="36" t="inlineStr">
        <is>
          <t>AIPRO-20M-QM</t>
        </is>
      </c>
      <c r="G25" s="36" t="inlineStr">
        <is>
          <t>TYPE: AQUAFILTER EXCITO-5-B</t>
        </is>
      </c>
      <c r="H25" s="36" t="n"/>
      <c r="I25" s="36" t="inlineStr">
        <is>
          <t>COMPONENT FOR WATER FOUNTAIN FILTERS</t>
        </is>
      </c>
      <c r="J25" s="36" t="n"/>
      <c r="K25" s="34" t="n">
        <v>6</v>
      </c>
      <c r="L25" s="34" t="inlineStr">
        <is>
          <t>PCS</t>
        </is>
      </c>
      <c r="M25" s="34" t="inlineStr">
        <is>
          <t>RMS</t>
        </is>
      </c>
      <c r="N25" s="34" t="inlineStr">
        <is>
          <t>확인필요</t>
        </is>
      </c>
      <c r="O25" s="50">
        <f>IF(N(AH25)&gt;1,"중복 "&amp;AH25&amp;"곳"&amp;IF(AK25=1," · 최저가",IF(AND(N25="견적접수",R25&lt;&gt;"")," · 비쌈","")),"")</f>
        <v/>
      </c>
      <c r="P25" s="34" t="inlineStr">
        <is>
          <t>KRW</t>
        </is>
      </c>
      <c r="Q25" s="51" t="n"/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/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n"/>
      <c r="X25" s="34" t="n"/>
      <c r="Y25" s="34" t="n"/>
      <c r="Z25" s="55" t="n"/>
      <c r="AA25" s="54">
        <f>IF(OR(Z25="",Y25=""),"",Z25+Y25)</f>
        <v/>
      </c>
      <c r="AB25" s="36" t="inlineStr">
        <is>
          <t>NEED TO CHECK ACTUAL PICTURES</t>
        </is>
      </c>
      <c r="AC25" s="34" t="inlineStr">
        <is>
          <t>정보 송부필요</t>
        </is>
      </c>
      <c r="AD25" s="36" t="inlineStr">
        <is>
          <t>실물 사진 RMS에 송부</t>
        </is>
      </c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inlineStr">
        <is>
          <t>KQU-000116313</t>
        </is>
      </c>
      <c r="C26" s="34" t="inlineStr">
        <is>
          <t>15</t>
        </is>
      </c>
      <c r="D26" s="34" t="n">
        <v>2</v>
      </c>
      <c r="E26" s="34" t="inlineStr">
        <is>
          <t>AQUAFILTER</t>
        </is>
      </c>
      <c r="F26" s="36" t="inlineStr">
        <is>
          <t>AISTRO-2-QM</t>
        </is>
      </c>
      <c r="G26" s="36" t="inlineStr">
        <is>
          <t>TYPE: AQUAFILTER EXCITO-5-B</t>
        </is>
      </c>
      <c r="H26" s="36" t="n"/>
      <c r="I26" s="36" t="inlineStr">
        <is>
          <t>COMPONENT FOR WATER FOUNTAIN FILTERS</t>
        </is>
      </c>
      <c r="J26" s="36" t="n"/>
      <c r="K26" s="34" t="n">
        <v>6</v>
      </c>
      <c r="L26" s="34" t="inlineStr">
        <is>
          <t>PCS</t>
        </is>
      </c>
      <c r="M26" s="34" t="inlineStr">
        <is>
          <t>RMS</t>
        </is>
      </c>
      <c r="N26" s="34" t="inlineStr">
        <is>
          <t>확인필요</t>
        </is>
      </c>
      <c r="O26" s="50">
        <f>IF(N(AH26)&gt;1,"중복 "&amp;AH26&amp;"곳"&amp;IF(AK26=1," · 최저가",IF(AND(N26="견적접수",R26&lt;&gt;"")," · 비쌈","")),"")</f>
        <v/>
      </c>
      <c r="P26" s="34" t="inlineStr">
        <is>
          <t>KRW</t>
        </is>
      </c>
      <c r="Q26" s="51" t="n"/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/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n"/>
      <c r="X26" s="34" t="n"/>
      <c r="Y26" s="34" t="n"/>
      <c r="Z26" s="55" t="n"/>
      <c r="AA26" s="54">
        <f>IF(OR(Z26="",Y26=""),"",Z26+Y26)</f>
        <v/>
      </c>
      <c r="AB26" s="36" t="inlineStr">
        <is>
          <t>NEED TO CHECK ACTUAL PICTURES</t>
        </is>
      </c>
      <c r="AC26" s="34" t="inlineStr">
        <is>
          <t>정보 송부필요</t>
        </is>
      </c>
      <c r="AD26" s="36" t="inlineStr">
        <is>
          <t>실물 사진 RMS에 송부</t>
        </is>
      </c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inlineStr">
        <is>
          <t>KQU-000116313</t>
        </is>
      </c>
      <c r="C27" s="34" t="inlineStr">
        <is>
          <t>15</t>
        </is>
      </c>
      <c r="D27" s="34" t="n">
        <v>3</v>
      </c>
      <c r="E27" s="34" t="inlineStr">
        <is>
          <t>AQUAFILTER</t>
        </is>
      </c>
      <c r="F27" s="36" t="inlineStr">
        <is>
          <t>AICRO-3-QM</t>
        </is>
      </c>
      <c r="G27" s="36" t="inlineStr">
        <is>
          <t>TYPE: AQUAFILTER EXCITO-5-B</t>
        </is>
      </c>
      <c r="H27" s="36" t="n"/>
      <c r="I27" s="36" t="inlineStr">
        <is>
          <t>COMPONENT FOR WATER FOUNTAIN FILTERS</t>
        </is>
      </c>
      <c r="J27" s="36" t="n"/>
      <c r="K27" s="34" t="n">
        <v>6</v>
      </c>
      <c r="L27" s="34" t="inlineStr">
        <is>
          <t>PCS</t>
        </is>
      </c>
      <c r="M27" s="34" t="inlineStr">
        <is>
          <t>RMS</t>
        </is>
      </c>
      <c r="N27" s="34" t="inlineStr">
        <is>
          <t>확인필요</t>
        </is>
      </c>
      <c r="O27" s="50">
        <f>IF(N(AH27)&gt;1,"중복 "&amp;AH27&amp;"곳"&amp;IF(AK27=1," · 최저가",IF(AND(N27="견적접수",R27&lt;&gt;"")," · 비쌈","")),"")</f>
        <v/>
      </c>
      <c r="P27" s="34" t="inlineStr">
        <is>
          <t>KRW</t>
        </is>
      </c>
      <c r="Q27" s="51" t="n"/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/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n"/>
      <c r="X27" s="34" t="n"/>
      <c r="Y27" s="34" t="n"/>
      <c r="Z27" s="55" t="n"/>
      <c r="AA27" s="54">
        <f>IF(OR(Z27="",Y27=""),"",Z27+Y27)</f>
        <v/>
      </c>
      <c r="AB27" s="36" t="inlineStr">
        <is>
          <t>NEED TO CHECK ACTUAL PICTURES</t>
        </is>
      </c>
      <c r="AC27" s="34" t="inlineStr">
        <is>
          <t>정보 송부필요</t>
        </is>
      </c>
      <c r="AD27" s="36" t="inlineStr">
        <is>
          <t>실물 사진 RMS에 송부</t>
        </is>
      </c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inlineStr">
        <is>
          <t>KQU-000116313</t>
        </is>
      </c>
      <c r="C28" s="34" t="inlineStr">
        <is>
          <t>15</t>
        </is>
      </c>
      <c r="D28" s="34" t="n">
        <v>4</v>
      </c>
      <c r="E28" s="34" t="inlineStr">
        <is>
          <t>AQUAFILTER</t>
        </is>
      </c>
      <c r="F28" s="36" t="inlineStr">
        <is>
          <t>AICRO-4-QM</t>
        </is>
      </c>
      <c r="G28" s="36" t="inlineStr">
        <is>
          <t>TYPE: AQUAFILTER EXCITO-5-B</t>
        </is>
      </c>
      <c r="H28" s="36" t="n"/>
      <c r="I28" s="36" t="inlineStr">
        <is>
          <t>COMPONENT FOR WATER FOUNTAIN FILTERS</t>
        </is>
      </c>
      <c r="J28" s="36" t="n"/>
      <c r="K28" s="34" t="n">
        <v>6</v>
      </c>
      <c r="L28" s="34" t="inlineStr">
        <is>
          <t>PCS</t>
        </is>
      </c>
      <c r="M28" s="34" t="inlineStr">
        <is>
          <t>RMS</t>
        </is>
      </c>
      <c r="N28" s="34" t="inlineStr">
        <is>
          <t>확인필요</t>
        </is>
      </c>
      <c r="O28" s="50">
        <f>IF(N(AH28)&gt;1,"중복 "&amp;AH28&amp;"곳"&amp;IF(AK28=1," · 최저가",IF(AND(N28="견적접수",R28&lt;&gt;"")," · 비쌈","")),"")</f>
        <v/>
      </c>
      <c r="P28" s="34" t="inlineStr">
        <is>
          <t>KRW</t>
        </is>
      </c>
      <c r="Q28" s="51" t="n"/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/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n"/>
      <c r="X28" s="34" t="n"/>
      <c r="Y28" s="34" t="n"/>
      <c r="Z28" s="55" t="n"/>
      <c r="AA28" s="54">
        <f>IF(OR(Z28="",Y28=""),"",Z28+Y28)</f>
        <v/>
      </c>
      <c r="AB28" s="36" t="inlineStr">
        <is>
          <t>NEED TO CHECK ACTUAL PICTURES</t>
        </is>
      </c>
      <c r="AC28" s="34" t="inlineStr">
        <is>
          <t>정보 송부필요</t>
        </is>
      </c>
      <c r="AD28" s="36" t="inlineStr">
        <is>
          <t>실물 사진 RMS에 송부</t>
        </is>
      </c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inlineStr">
        <is>
          <t>KQU-000116313</t>
        </is>
      </c>
      <c r="C29" s="34" t="inlineStr">
        <is>
          <t>15</t>
        </is>
      </c>
      <c r="D29" s="34" t="n">
        <v>5</v>
      </c>
      <c r="E29" s="34" t="inlineStr">
        <is>
          <t>AQUAFILTER</t>
        </is>
      </c>
      <c r="F29" s="36" t="inlineStr">
        <is>
          <t>UF MEMBRANE</t>
        </is>
      </c>
      <c r="G29" s="36" t="inlineStr">
        <is>
          <t>TYPE: AQUAFILTER EXCITO-5-B</t>
        </is>
      </c>
      <c r="H29" s="36" t="n"/>
      <c r="I29" s="36" t="inlineStr">
        <is>
          <t>COMPONENT FOR WATER FOUNTAIN FILTERS</t>
        </is>
      </c>
      <c r="J29" s="36" t="n"/>
      <c r="K29" s="34" t="n">
        <v>6</v>
      </c>
      <c r="L29" s="34" t="inlineStr">
        <is>
          <t>PCS</t>
        </is>
      </c>
      <c r="M29" s="34" t="inlineStr">
        <is>
          <t>RMS</t>
        </is>
      </c>
      <c r="N29" s="34" t="inlineStr">
        <is>
          <t>확인필요</t>
        </is>
      </c>
      <c r="O29" s="50">
        <f>IF(N(AH29)&gt;1,"중복 "&amp;AH29&amp;"곳"&amp;IF(AK29=1," · 최저가",IF(AND(N29="견적접수",R29&lt;&gt;"")," · 비쌈","")),"")</f>
        <v/>
      </c>
      <c r="P29" s="34" t="inlineStr">
        <is>
          <t>KRW</t>
        </is>
      </c>
      <c r="Q29" s="51" t="n"/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/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n"/>
      <c r="X29" s="34" t="n"/>
      <c r="Y29" s="34" t="n"/>
      <c r="Z29" s="55" t="n"/>
      <c r="AA29" s="54">
        <f>IF(OR(Z29="",Y29=""),"",Z29+Y29)</f>
        <v/>
      </c>
      <c r="AB29" s="36" t="inlineStr">
        <is>
          <t>NEED TO CHECK ACTUAL PICTURES</t>
        </is>
      </c>
      <c r="AC29" s="34" t="inlineStr">
        <is>
          <t>정보 송부필요</t>
        </is>
      </c>
      <c r="AD29" s="36" t="inlineStr">
        <is>
          <t>실물 사진 RMS에 송부</t>
        </is>
      </c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inlineStr">
        <is>
          <t>KQU-000116301</t>
        </is>
      </c>
      <c r="C30" s="34" t="inlineStr">
        <is>
          <t>27</t>
        </is>
      </c>
      <c r="D30" s="34" t="n">
        <v>1</v>
      </c>
      <c r="E30" s="34" t="inlineStr">
        <is>
          <t>MRC</t>
        </is>
      </c>
      <c r="F30" s="36" t="inlineStr">
        <is>
          <t>Handset with cord</t>
        </is>
      </c>
      <c r="G30" s="36" t="inlineStr">
        <is>
          <t>MRC / LVD -115D</t>
        </is>
      </c>
      <c r="H30" s="36" t="n"/>
      <c r="I30" s="36" t="inlineStr">
        <is>
          <t>Telephone system</t>
        </is>
      </c>
      <c r="J30" s="36" t="inlineStr">
        <is>
          <t>RMS: 전화기 ASSY로 견적</t>
        </is>
      </c>
      <c r="K30" s="34" t="n">
        <v>2</v>
      </c>
      <c r="L30" s="34" t="inlineStr">
        <is>
          <t>pcs</t>
        </is>
      </c>
      <c r="M30" s="34" t="inlineStr">
        <is>
          <t>RMS</t>
        </is>
      </c>
      <c r="N30" s="34" t="inlineStr">
        <is>
          <t>견적접수</t>
        </is>
      </c>
      <c r="O30" s="50">
        <f>IF(N(AH30)&gt;1,"중복 "&amp;AH30&amp;"곳"&amp;IF(AK30=1," · 최저가",IF(AND(N30="견적접수",R30&lt;&gt;"")," · 비쌈","")),"")</f>
        <v/>
      </c>
      <c r="P30" s="34" t="inlineStr">
        <is>
          <t>KRW</t>
        </is>
      </c>
      <c r="Q30" s="51" t="n">
        <v>390000</v>
      </c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>
        <v>14</v>
      </c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inlineStr">
        <is>
          <t>COMPATIBLE</t>
        </is>
      </c>
      <c r="X30" s="34" t="inlineStr">
        <is>
          <t>EX WORK BUSAN</t>
        </is>
      </c>
      <c r="Y30" s="34" t="n"/>
      <c r="Z30" s="55" t="n"/>
      <c r="AA30" s="54">
        <f>IF(OR(Z30="",Y30=""),"",Z30+Y30)</f>
        <v/>
      </c>
      <c r="AB30" s="36" t="inlineStr">
        <is>
          <t>QUOTE AS TELEPHONE ASSY &amp; NEED TO CHECK IP ADDRESS, ID &amp; PASSWORD // D/T: 10 WORKING DAYS, COMPATIBLE, EX WORK BUSAN</t>
        </is>
      </c>
      <c r="AC30" s="34" t="inlineStr">
        <is>
          <t>정보 송부필요</t>
        </is>
      </c>
      <c r="AD30" s="36" t="inlineStr">
        <is>
          <t>IP 주소·ID·비밀번호 확인해 RMS 회신 / 호환품(COMPATIBLE) 승인 여부 / 유효기간 미기재</t>
        </is>
      </c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inlineStr">
        <is>
          <t>BOSUNG-01</t>
        </is>
      </c>
      <c r="C31" s="34" t="inlineStr">
        <is>
          <t>B01</t>
        </is>
      </c>
      <c r="D31" s="34" t="n">
        <v>2</v>
      </c>
      <c r="E31" s="34" t="inlineStr">
        <is>
          <t>DONGHWA PNEUTEC</t>
        </is>
      </c>
      <c r="F31" s="36" t="inlineStr">
        <is>
          <t>EL Motor</t>
        </is>
      </c>
      <c r="G31" s="36" t="n"/>
      <c r="H31" s="36" t="n"/>
      <c r="I31" s="36" t="inlineStr">
        <is>
          <t>Control Service Air Compressor</t>
        </is>
      </c>
      <c r="J31" s="36" t="n"/>
      <c r="K31" s="34" t="n">
        <v>1</v>
      </c>
      <c r="L31" s="34" t="inlineStr">
        <is>
          <t>pce</t>
        </is>
      </c>
      <c r="M31" s="34" t="inlineStr">
        <is>
          <t>BOSUNG</t>
        </is>
      </c>
      <c r="N31" s="34" t="inlineStr">
        <is>
          <t>미접수</t>
        </is>
      </c>
      <c r="O31" s="50">
        <f>IF(N(AH31)&gt;1,"중복 "&amp;AH31&amp;"곳"&amp;IF(AK31=1," · 최저가",IF(AND(N31="견적접수",R31&lt;&gt;"")," · 비쌈","")),"")</f>
        <v/>
      </c>
      <c r="P31" s="34" t="inlineStr">
        <is>
          <t>KRW</t>
        </is>
      </c>
      <c r="Q31" s="51" t="n"/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/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n"/>
      <c r="X31" s="34" t="n"/>
      <c r="Y31" s="34" t="n"/>
      <c r="Z31" s="55" t="n"/>
      <c r="AA31" s="54">
        <f>IF(OR(Z31="",Y31=""),"",Z31+Y31)</f>
        <v/>
      </c>
      <c r="AB31" s="36" t="inlineStr">
        <is>
          <t>[보성 RFQ 01 발송 2026-10-19] 회신 대기</t>
        </is>
      </c>
      <c r="AC31" s="34" t="inlineStr">
        <is>
          <t>검토중</t>
        </is>
      </c>
      <c r="AD31" s="36" t="inlineStr">
        <is>
          <t>보성 견적 회신 대기</t>
        </is>
      </c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inlineStr">
        <is>
          <t>BOSUNG-01</t>
        </is>
      </c>
      <c r="C32" s="34" t="inlineStr">
        <is>
          <t>B01</t>
        </is>
      </c>
      <c r="D32" s="34" t="n">
        <v>3</v>
      </c>
      <c r="E32" s="34" t="inlineStr">
        <is>
          <t>DONGHWA PNEUTEC</t>
        </is>
      </c>
      <c r="F32" s="36" t="inlineStr">
        <is>
          <t>Impeller for EL Motor--Item NO.6</t>
        </is>
      </c>
      <c r="G32" s="36" t="n"/>
      <c r="H32" s="36" t="n"/>
      <c r="I32" s="36" t="inlineStr">
        <is>
          <t>Control Service Air Compressor</t>
        </is>
      </c>
      <c r="J32" s="36" t="n"/>
      <c r="K32" s="34" t="n">
        <v>1</v>
      </c>
      <c r="L32" s="34" t="inlineStr">
        <is>
          <t>pce</t>
        </is>
      </c>
      <c r="M32" s="34" t="inlineStr">
        <is>
          <t>BOSUNG</t>
        </is>
      </c>
      <c r="N32" s="34" t="inlineStr">
        <is>
          <t>미접수</t>
        </is>
      </c>
      <c r="O32" s="50">
        <f>IF(N(AH32)&gt;1,"중복 "&amp;AH32&amp;"곳"&amp;IF(AK32=1," · 최저가",IF(AND(N32="견적접수",R32&lt;&gt;"")," · 비쌈","")),"")</f>
        <v/>
      </c>
      <c r="P32" s="34" t="inlineStr">
        <is>
          <t>KRW</t>
        </is>
      </c>
      <c r="Q32" s="51" t="n"/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/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n"/>
      <c r="X32" s="34" t="n"/>
      <c r="Y32" s="34" t="n"/>
      <c r="Z32" s="55" t="n"/>
      <c r="AA32" s="54">
        <f>IF(OR(Z32="",Y32=""),"",Z32+Y32)</f>
        <v/>
      </c>
      <c r="AB32" s="36" t="inlineStr">
        <is>
          <t>[보성 RFQ 01 발송 2026-10-19] 회신 대기</t>
        </is>
      </c>
      <c r="AC32" s="34" t="inlineStr">
        <is>
          <t>검토중</t>
        </is>
      </c>
      <c r="AD32" s="36" t="inlineStr">
        <is>
          <t>보성 견적 회신 대기</t>
        </is>
      </c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inlineStr">
        <is>
          <t>BOSUNG-02</t>
        </is>
      </c>
      <c r="C33" s="34" t="inlineStr">
        <is>
          <t>B02</t>
        </is>
      </c>
      <c r="D33" s="34" t="n">
        <v>1</v>
      </c>
      <c r="E33" s="34" t="inlineStr">
        <is>
          <t>SAMKUN CENTURY</t>
        </is>
      </c>
      <c r="F33" s="36" t="inlineStr">
        <is>
          <t>SANITARY GASKET</t>
        </is>
      </c>
      <c r="G33" s="36" t="inlineStr">
        <is>
          <t>JSA-4999</t>
        </is>
      </c>
      <c r="H33" s="36" t="inlineStr">
        <is>
          <t>Doc. No. H20220602002-01</t>
        </is>
      </c>
      <c r="I33" s="36" t="inlineStr">
        <is>
          <t>U.V. STERILIZER</t>
        </is>
      </c>
      <c r="J33" s="36" t="inlineStr">
        <is>
          <t>80A, SILICON</t>
        </is>
      </c>
      <c r="K33" s="34" t="n">
        <v>2</v>
      </c>
      <c r="L33" s="34" t="inlineStr">
        <is>
          <t>pcs</t>
        </is>
      </c>
      <c r="M33" s="34" t="inlineStr">
        <is>
          <t>BOSUNG</t>
        </is>
      </c>
      <c r="N33" s="34" t="inlineStr">
        <is>
          <t>미접수</t>
        </is>
      </c>
      <c r="O33" s="50">
        <f>IF(N(AH33)&gt;1,"중복 "&amp;AH33&amp;"곳"&amp;IF(AK33=1," · 최저가",IF(AND(N33="견적접수",R33&lt;&gt;"")," · 비쌈","")),"")</f>
        <v/>
      </c>
      <c r="P33" s="34" t="inlineStr">
        <is>
          <t>KRW</t>
        </is>
      </c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5" t="n"/>
      <c r="AA33" s="54">
        <f>IF(OR(Z33="",Y33=""),"",Z33+Y33)</f>
        <v/>
      </c>
      <c r="AB33" s="36" t="inlineStr">
        <is>
          <t>[보성 RFQ 02 발송 2026-10-19] 회신 대기</t>
        </is>
      </c>
      <c r="AC33" s="34" t="inlineStr">
        <is>
          <t>검토중</t>
        </is>
      </c>
      <c r="AD33" s="36" t="inlineStr">
        <is>
          <t>보성 견적 회신 대기</t>
        </is>
      </c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inlineStr">
        <is>
          <t>BOSUNG-02</t>
        </is>
      </c>
      <c r="C34" s="34" t="inlineStr">
        <is>
          <t>B02</t>
        </is>
      </c>
      <c r="D34" s="34" t="n">
        <v>2</v>
      </c>
      <c r="E34" s="34" t="inlineStr">
        <is>
          <t>SAMKUN CENTURY</t>
        </is>
      </c>
      <c r="F34" s="36" t="inlineStr">
        <is>
          <t>GLAND FITTING</t>
        </is>
      </c>
      <c r="G34" s="36" t="inlineStr">
        <is>
          <t>JSA-5000</t>
        </is>
      </c>
      <c r="H34" s="36" t="inlineStr">
        <is>
          <t>Doc. No. H20220602002-02</t>
        </is>
      </c>
      <c r="I34" s="36" t="inlineStr">
        <is>
          <t>U.V. STERILIZER</t>
        </is>
      </c>
      <c r="J34" s="36" t="inlineStr">
        <is>
          <t>TOP</t>
        </is>
      </c>
      <c r="K34" s="34" t="n">
        <v>2</v>
      </c>
      <c r="L34" s="34" t="inlineStr">
        <is>
          <t>pcs</t>
        </is>
      </c>
      <c r="M34" s="34" t="inlineStr">
        <is>
          <t>BOSUNG</t>
        </is>
      </c>
      <c r="N34" s="34" t="inlineStr">
        <is>
          <t>미접수</t>
        </is>
      </c>
      <c r="O34" s="50">
        <f>IF(N(AH34)&gt;1,"중복 "&amp;AH34&amp;"곳"&amp;IF(AK34=1," · 최저가",IF(AND(N34="견적접수",R34&lt;&gt;"")," · 비쌈","")),"")</f>
        <v/>
      </c>
      <c r="P34" s="34" t="inlineStr">
        <is>
          <t>KRW</t>
        </is>
      </c>
      <c r="Q34" s="51" t="n"/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/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n"/>
      <c r="X34" s="34" t="n"/>
      <c r="Y34" s="34" t="n"/>
      <c r="Z34" s="55" t="n"/>
      <c r="AA34" s="54">
        <f>IF(OR(Z34="",Y34=""),"",Z34+Y34)</f>
        <v/>
      </c>
      <c r="AB34" s="36" t="inlineStr">
        <is>
          <t>[보성 RFQ 02 발송 2026-10-19] 회신 대기</t>
        </is>
      </c>
      <c r="AC34" s="34" t="inlineStr">
        <is>
          <t>검토중</t>
        </is>
      </c>
      <c r="AD34" s="36" t="inlineStr">
        <is>
          <t>보성 견적 회신 대기</t>
        </is>
      </c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inlineStr">
        <is>
          <t>BOSUNG-02</t>
        </is>
      </c>
      <c r="C35" s="34" t="inlineStr">
        <is>
          <t>B02</t>
        </is>
      </c>
      <c r="D35" s="34" t="n">
        <v>3</v>
      </c>
      <c r="E35" s="34" t="inlineStr">
        <is>
          <t>SAMKUN CENTURY</t>
        </is>
      </c>
      <c r="F35" s="36" t="inlineStr">
        <is>
          <t>BACKUP RING</t>
        </is>
      </c>
      <c r="G35" s="36" t="inlineStr">
        <is>
          <t>JSA-5001</t>
        </is>
      </c>
      <c r="H35" s="36" t="inlineStr">
        <is>
          <t>Doc. No. H20220602002-03</t>
        </is>
      </c>
      <c r="I35" s="36" t="inlineStr">
        <is>
          <t>U.V. STERILIZER</t>
        </is>
      </c>
      <c r="J35" s="36" t="n"/>
      <c r="K35" s="34" t="n">
        <v>4</v>
      </c>
      <c r="L35" s="34" t="inlineStr">
        <is>
          <t>pcs</t>
        </is>
      </c>
      <c r="M35" s="34" t="inlineStr">
        <is>
          <t>BOSUNG</t>
        </is>
      </c>
      <c r="N35" s="34" t="inlineStr">
        <is>
          <t>미접수</t>
        </is>
      </c>
      <c r="O35" s="50">
        <f>IF(N(AH35)&gt;1,"중복 "&amp;AH35&amp;"곳"&amp;IF(AK35=1," · 최저가",IF(AND(N35="견적접수",R35&lt;&gt;"")," · 비쌈","")),"")</f>
        <v/>
      </c>
      <c r="P35" s="34" t="inlineStr">
        <is>
          <t>KRW</t>
        </is>
      </c>
      <c r="Q35" s="51" t="n"/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/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n"/>
      <c r="X35" s="34" t="n"/>
      <c r="Y35" s="34" t="n"/>
      <c r="Z35" s="55" t="n"/>
      <c r="AA35" s="54">
        <f>IF(OR(Z35="",Y35=""),"",Z35+Y35)</f>
        <v/>
      </c>
      <c r="AB35" s="36" t="inlineStr">
        <is>
          <t>[보성 RFQ 02 발송 2026-10-19] 회신 대기</t>
        </is>
      </c>
      <c r="AC35" s="34" t="inlineStr">
        <is>
          <t>검토중</t>
        </is>
      </c>
      <c r="AD35" s="36" t="inlineStr">
        <is>
          <t>보성 견적 회신 대기</t>
        </is>
      </c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inlineStr">
        <is>
          <t>BOSUNG-02</t>
        </is>
      </c>
      <c r="C36" s="34" t="inlineStr">
        <is>
          <t>B02</t>
        </is>
      </c>
      <c r="D36" s="34" t="n">
        <v>4</v>
      </c>
      <c r="E36" s="34" t="inlineStr">
        <is>
          <t>SAMKUN CENTURY</t>
        </is>
      </c>
      <c r="F36" s="36" t="inlineStr">
        <is>
          <t>O-RING</t>
        </is>
      </c>
      <c r="G36" s="36" t="inlineStr">
        <is>
          <t>JSA-5002</t>
        </is>
      </c>
      <c r="H36" s="36" t="inlineStr">
        <is>
          <t>Doc. No. H20220602002-04</t>
        </is>
      </c>
      <c r="I36" s="36" t="inlineStr">
        <is>
          <t>U.V. STERILIZER</t>
        </is>
      </c>
      <c r="J36" s="36" t="n"/>
      <c r="K36" s="34" t="n">
        <v>4</v>
      </c>
      <c r="L36" s="34" t="inlineStr">
        <is>
          <t>pcs</t>
        </is>
      </c>
      <c r="M36" s="34" t="inlineStr">
        <is>
          <t>BOSUNG</t>
        </is>
      </c>
      <c r="N36" s="34" t="inlineStr">
        <is>
          <t>미접수</t>
        </is>
      </c>
      <c r="O36" s="50">
        <f>IF(N(AH36)&gt;1,"중복 "&amp;AH36&amp;"곳"&amp;IF(AK36=1," · 최저가",IF(AND(N36="견적접수",R36&lt;&gt;"")," · 비쌈","")),"")</f>
        <v/>
      </c>
      <c r="P36" s="34" t="inlineStr">
        <is>
          <t>KRW</t>
        </is>
      </c>
      <c r="Q36" s="51" t="n"/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/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n"/>
      <c r="X36" s="34" t="n"/>
      <c r="Y36" s="34" t="n"/>
      <c r="Z36" s="55" t="n"/>
      <c r="AA36" s="54">
        <f>IF(OR(Z36="",Y36=""),"",Z36+Y36)</f>
        <v/>
      </c>
      <c r="AB36" s="36" t="inlineStr">
        <is>
          <t>[보성 RFQ 02 발송 2026-10-19] 회신 대기</t>
        </is>
      </c>
      <c r="AC36" s="34" t="inlineStr">
        <is>
          <t>검토중</t>
        </is>
      </c>
      <c r="AD36" s="36" t="inlineStr">
        <is>
          <t>보성 견적 회신 대기</t>
        </is>
      </c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inlineStr">
        <is>
          <t>BOSUNG-02</t>
        </is>
      </c>
      <c r="C37" s="34" t="inlineStr">
        <is>
          <t>B02</t>
        </is>
      </c>
      <c r="D37" s="34" t="n">
        <v>5</v>
      </c>
      <c r="E37" s="34" t="inlineStr">
        <is>
          <t>SAMKUN CENTURY</t>
        </is>
      </c>
      <c r="F37" s="36" t="inlineStr">
        <is>
          <t>O-RING</t>
        </is>
      </c>
      <c r="G37" s="36" t="inlineStr">
        <is>
          <t>JSA-5003</t>
        </is>
      </c>
      <c r="H37" s="36" t="inlineStr">
        <is>
          <t>Doc. No. H20220602002-05</t>
        </is>
      </c>
      <c r="I37" s="36" t="inlineStr">
        <is>
          <t>U.V. STERILIZER</t>
        </is>
      </c>
      <c r="J37" s="36" t="n"/>
      <c r="K37" s="34" t="n">
        <v>4</v>
      </c>
      <c r="L37" s="34" t="inlineStr">
        <is>
          <t>pcs</t>
        </is>
      </c>
      <c r="M37" s="34" t="inlineStr">
        <is>
          <t>BOSUNG</t>
        </is>
      </c>
      <c r="N37" s="34" t="inlineStr">
        <is>
          <t>미접수</t>
        </is>
      </c>
      <c r="O37" s="50">
        <f>IF(N(AH37)&gt;1,"중복 "&amp;AH37&amp;"곳"&amp;IF(AK37=1," · 최저가",IF(AND(N37="견적접수",R37&lt;&gt;"")," · 비쌈","")),"")</f>
        <v/>
      </c>
      <c r="P37" s="34" t="inlineStr">
        <is>
          <t>KRW</t>
        </is>
      </c>
      <c r="Q37" s="51" t="n"/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/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n"/>
      <c r="X37" s="34" t="n"/>
      <c r="Y37" s="34" t="n"/>
      <c r="Z37" s="55" t="n"/>
      <c r="AA37" s="54">
        <f>IF(OR(Z37="",Y37=""),"",Z37+Y37)</f>
        <v/>
      </c>
      <c r="AB37" s="36" t="inlineStr">
        <is>
          <t>[보성 RFQ 02 발송 2026-10-19] 회신 대기</t>
        </is>
      </c>
      <c r="AC37" s="34" t="inlineStr">
        <is>
          <t>검토중</t>
        </is>
      </c>
      <c r="AD37" s="36" t="inlineStr">
        <is>
          <t>보성 견적 회신 대기</t>
        </is>
      </c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inlineStr">
        <is>
          <t>BOSUNG-02</t>
        </is>
      </c>
      <c r="C38" s="34" t="inlineStr">
        <is>
          <t>B02</t>
        </is>
      </c>
      <c r="D38" s="34" t="n">
        <v>6</v>
      </c>
      <c r="E38" s="34" t="inlineStr">
        <is>
          <t>SAMKUN CENTURY</t>
        </is>
      </c>
      <c r="F38" s="36" t="inlineStr">
        <is>
          <t>SPONGE</t>
        </is>
      </c>
      <c r="G38" s="36" t="inlineStr">
        <is>
          <t>JSA-5004</t>
        </is>
      </c>
      <c r="H38" s="36" t="inlineStr">
        <is>
          <t>Doc. No. H20220602002-06</t>
        </is>
      </c>
      <c r="I38" s="36" t="inlineStr">
        <is>
          <t>U.V. STERILIZER</t>
        </is>
      </c>
      <c r="J38" s="36" t="n"/>
      <c r="K38" s="34" t="n">
        <v>4</v>
      </c>
      <c r="L38" s="34" t="inlineStr">
        <is>
          <t>pcs</t>
        </is>
      </c>
      <c r="M38" s="34" t="inlineStr">
        <is>
          <t>BOSUNG</t>
        </is>
      </c>
      <c r="N38" s="34" t="inlineStr">
        <is>
          <t>미접수</t>
        </is>
      </c>
      <c r="O38" s="50">
        <f>IF(N(AH38)&gt;1,"중복 "&amp;AH38&amp;"곳"&amp;IF(AK38=1," · 최저가",IF(AND(N38="견적접수",R38&lt;&gt;"")," · 비쌈","")),"")</f>
        <v/>
      </c>
      <c r="P38" s="34" t="inlineStr">
        <is>
          <t>KRW</t>
        </is>
      </c>
      <c r="Q38" s="51" t="n"/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/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n"/>
      <c r="X38" s="34" t="n"/>
      <c r="Y38" s="34" t="n"/>
      <c r="Z38" s="55" t="n"/>
      <c r="AA38" s="54">
        <f>IF(OR(Z38="",Y38=""),"",Z38+Y38)</f>
        <v/>
      </c>
      <c r="AB38" s="36" t="inlineStr">
        <is>
          <t>[보성 RFQ 02 발송 2026-10-19] 회신 대기</t>
        </is>
      </c>
      <c r="AC38" s="34" t="inlineStr">
        <is>
          <t>검토중</t>
        </is>
      </c>
      <c r="AD38" s="36" t="inlineStr">
        <is>
          <t>보성 견적 회신 대기</t>
        </is>
      </c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inlineStr">
        <is>
          <t>BOSUNG-02</t>
        </is>
      </c>
      <c r="C39" s="34" t="inlineStr">
        <is>
          <t>B02</t>
        </is>
      </c>
      <c r="D39" s="34" t="n">
        <v>7</v>
      </c>
      <c r="E39" s="34" t="inlineStr">
        <is>
          <t>SAMKUN CENTURY</t>
        </is>
      </c>
      <c r="F39" s="36" t="inlineStr">
        <is>
          <t>GLAND FITTING</t>
        </is>
      </c>
      <c r="G39" s="36" t="inlineStr">
        <is>
          <t>JSA-5005</t>
        </is>
      </c>
      <c r="H39" s="36" t="inlineStr">
        <is>
          <t>Doc. No. H20220602002-07</t>
        </is>
      </c>
      <c r="I39" s="36" t="inlineStr">
        <is>
          <t>U.V. STERILIZER</t>
        </is>
      </c>
      <c r="J39" s="36" t="inlineStr">
        <is>
          <t>BOTTOM</t>
        </is>
      </c>
      <c r="K39" s="34" t="n">
        <v>2</v>
      </c>
      <c r="L39" s="34" t="inlineStr">
        <is>
          <t>pcs</t>
        </is>
      </c>
      <c r="M39" s="34" t="inlineStr">
        <is>
          <t>BOSUNG</t>
        </is>
      </c>
      <c r="N39" s="34" t="inlineStr">
        <is>
          <t>미접수</t>
        </is>
      </c>
      <c r="O39" s="50">
        <f>IF(N(AH39)&gt;1,"중복 "&amp;AH39&amp;"곳"&amp;IF(AK39=1," · 최저가",IF(AND(N39="견적접수",R39&lt;&gt;"")," · 비쌈","")),"")</f>
        <v/>
      </c>
      <c r="P39" s="34" t="inlineStr">
        <is>
          <t>KRW</t>
        </is>
      </c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n"/>
      <c r="Y39" s="34" t="n"/>
      <c r="Z39" s="55" t="n"/>
      <c r="AA39" s="54">
        <f>IF(OR(Z39="",Y39=""),"",Z39+Y39)</f>
        <v/>
      </c>
      <c r="AB39" s="36" t="inlineStr">
        <is>
          <t>[보성 RFQ 02 발송 2026-10-19] 회신 대기</t>
        </is>
      </c>
      <c r="AC39" s="34" t="inlineStr">
        <is>
          <t>검토중</t>
        </is>
      </c>
      <c r="AD39" s="36" t="inlineStr">
        <is>
          <t>보성 견적 회신 대기</t>
        </is>
      </c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inlineStr">
        <is>
          <t>BOSUNG-02</t>
        </is>
      </c>
      <c r="C40" s="34" t="inlineStr">
        <is>
          <t>B02</t>
        </is>
      </c>
      <c r="D40" s="34" t="n">
        <v>8</v>
      </c>
      <c r="E40" s="34" t="inlineStr">
        <is>
          <t>SAMKUN CENTURY</t>
        </is>
      </c>
      <c r="F40" s="36" t="inlineStr">
        <is>
          <t>U.V. LAMP, QUARTZ</t>
        </is>
      </c>
      <c r="G40" s="36" t="inlineStr">
        <is>
          <t>JSA-5006</t>
        </is>
      </c>
      <c r="H40" s="36" t="inlineStr">
        <is>
          <t>Doc. No. H20220602002-08</t>
        </is>
      </c>
      <c r="I40" s="36" t="inlineStr">
        <is>
          <t>U.V. STERILIZER</t>
        </is>
      </c>
      <c r="J40" s="36" t="n"/>
      <c r="K40" s="34" t="n">
        <v>2</v>
      </c>
      <c r="L40" s="34" t="inlineStr">
        <is>
          <t>pcs</t>
        </is>
      </c>
      <c r="M40" s="34" t="inlineStr">
        <is>
          <t>BOSUNG</t>
        </is>
      </c>
      <c r="N40" s="34" t="inlineStr">
        <is>
          <t>미접수</t>
        </is>
      </c>
      <c r="O40" s="50">
        <f>IF(N(AH40)&gt;1,"중복 "&amp;AH40&amp;"곳"&amp;IF(AK40=1," · 최저가",IF(AND(N40="견적접수",R40&lt;&gt;"")," · 비쌈","")),"")</f>
        <v/>
      </c>
      <c r="P40" s="34" t="inlineStr">
        <is>
          <t>KRW</t>
        </is>
      </c>
      <c r="Q40" s="51" t="n"/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/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n"/>
      <c r="X40" s="34" t="n"/>
      <c r="Y40" s="34" t="n"/>
      <c r="Z40" s="55" t="n"/>
      <c r="AA40" s="54">
        <f>IF(OR(Z40="",Y40=""),"",Z40+Y40)</f>
        <v/>
      </c>
      <c r="AB40" s="36" t="inlineStr">
        <is>
          <t>[보성 RFQ 02 발송 2026-10-19] 회신 대기</t>
        </is>
      </c>
      <c r="AC40" s="34" t="inlineStr">
        <is>
          <t>검토중</t>
        </is>
      </c>
      <c r="AD40" s="36" t="inlineStr">
        <is>
          <t>보성 견적 회신 대기</t>
        </is>
      </c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inlineStr">
        <is>
          <t>BOSUNG-02</t>
        </is>
      </c>
      <c r="C41" s="34" t="inlineStr">
        <is>
          <t>B02</t>
        </is>
      </c>
      <c r="D41" s="34" t="n">
        <v>9</v>
      </c>
      <c r="E41" s="34" t="inlineStr">
        <is>
          <t>SAMKUN CENTURY</t>
        </is>
      </c>
      <c r="F41" s="36" t="inlineStr">
        <is>
          <t>SLEEVE, QUARTZ</t>
        </is>
      </c>
      <c r="G41" s="36" t="inlineStr">
        <is>
          <t>JSA-5007</t>
        </is>
      </c>
      <c r="H41" s="36" t="inlineStr">
        <is>
          <t>Doc. No. H20220602002-09</t>
        </is>
      </c>
      <c r="I41" s="36" t="inlineStr">
        <is>
          <t>U.V. STERILIZER</t>
        </is>
      </c>
      <c r="J41" s="36" t="inlineStr">
        <is>
          <t>SKUV-Q</t>
        </is>
      </c>
      <c r="K41" s="34" t="n">
        <v>3</v>
      </c>
      <c r="L41" s="34" t="inlineStr">
        <is>
          <t>pcs</t>
        </is>
      </c>
      <c r="M41" s="34" t="inlineStr">
        <is>
          <t>BOSUNG</t>
        </is>
      </c>
      <c r="N41" s="34" t="inlineStr">
        <is>
          <t>미접수</t>
        </is>
      </c>
      <c r="O41" s="50">
        <f>IF(N(AH41)&gt;1,"중복 "&amp;AH41&amp;"곳"&amp;IF(AK41=1," · 최저가",IF(AND(N41="견적접수",R41&lt;&gt;"")," · 비쌈","")),"")</f>
        <v/>
      </c>
      <c r="P41" s="34" t="inlineStr">
        <is>
          <t>KRW</t>
        </is>
      </c>
      <c r="Q41" s="51" t="n"/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/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n"/>
      <c r="Y41" s="34" t="n"/>
      <c r="Z41" s="55" t="n"/>
      <c r="AA41" s="54">
        <f>IF(OR(Z41="",Y41=""),"",Z41+Y41)</f>
        <v/>
      </c>
      <c r="AB41" s="36" t="inlineStr">
        <is>
          <t>[보성 RFQ 02 발송 2026-10-19] 회신 대기</t>
        </is>
      </c>
      <c r="AC41" s="34" t="inlineStr">
        <is>
          <t>검토중</t>
        </is>
      </c>
      <c r="AD41" s="36" t="inlineStr">
        <is>
          <t>보성 견적 회신 대기</t>
        </is>
      </c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inlineStr">
        <is>
          <t>BOSUNG-02</t>
        </is>
      </c>
      <c r="C42" s="34" t="inlineStr">
        <is>
          <t>B02</t>
        </is>
      </c>
      <c r="D42" s="34" t="n">
        <v>10</v>
      </c>
      <c r="E42" s="34" t="inlineStr">
        <is>
          <t>SAMKUN CENTURY</t>
        </is>
      </c>
      <c r="F42" s="36" t="inlineStr">
        <is>
          <t>O-RING, SILICON</t>
        </is>
      </c>
      <c r="G42" s="36" t="inlineStr">
        <is>
          <t>JSA-5008</t>
        </is>
      </c>
      <c r="H42" s="36" t="inlineStr">
        <is>
          <t>Doc. No. H20220602002-10</t>
        </is>
      </c>
      <c r="I42" s="36" t="inlineStr">
        <is>
          <t>U.V. STERILIZER</t>
        </is>
      </c>
      <c r="J42" s="36" t="n"/>
      <c r="K42" s="34" t="n">
        <v>2</v>
      </c>
      <c r="L42" s="34" t="inlineStr">
        <is>
          <t>pcs</t>
        </is>
      </c>
      <c r="M42" s="34" t="inlineStr">
        <is>
          <t>BOSUNG</t>
        </is>
      </c>
      <c r="N42" s="34" t="inlineStr">
        <is>
          <t>미접수</t>
        </is>
      </c>
      <c r="O42" s="50">
        <f>IF(N(AH42)&gt;1,"중복 "&amp;AH42&amp;"곳"&amp;IF(AK42=1," · 최저가",IF(AND(N42="견적접수",R42&lt;&gt;"")," · 비쌈","")),"")</f>
        <v/>
      </c>
      <c r="P42" s="34" t="inlineStr">
        <is>
          <t>KRW</t>
        </is>
      </c>
      <c r="Q42" s="51" t="n"/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/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n"/>
      <c r="Y42" s="34" t="n"/>
      <c r="Z42" s="55" t="n"/>
      <c r="AA42" s="54">
        <f>IF(OR(Z42="",Y42=""),"",Z42+Y42)</f>
        <v/>
      </c>
      <c r="AB42" s="36" t="inlineStr">
        <is>
          <t>[보성 RFQ 02 발송 2026-10-19] 회신 대기</t>
        </is>
      </c>
      <c r="AC42" s="34" t="inlineStr">
        <is>
          <t>검토중</t>
        </is>
      </c>
      <c r="AD42" s="36" t="inlineStr">
        <is>
          <t>보성 견적 회신 대기</t>
        </is>
      </c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inlineStr">
        <is>
          <t>BOSUNG-02</t>
        </is>
      </c>
      <c r="C43" s="34" t="inlineStr">
        <is>
          <t>B02</t>
        </is>
      </c>
      <c r="D43" s="34" t="n">
        <v>11</v>
      </c>
      <c r="E43" s="34" t="inlineStr">
        <is>
          <t>SAMKUN CENTURY</t>
        </is>
      </c>
      <c r="F43" s="36" t="inlineStr">
        <is>
          <t>GLASS</t>
        </is>
      </c>
      <c r="G43" s="36" t="inlineStr">
        <is>
          <t>JSA-5009</t>
        </is>
      </c>
      <c r="H43" s="36" t="inlineStr">
        <is>
          <t>Doc. No. H20220602002-11</t>
        </is>
      </c>
      <c r="I43" s="36" t="inlineStr">
        <is>
          <t>U.V. STERILIZER</t>
        </is>
      </c>
      <c r="J43" s="36" t="n"/>
      <c r="K43" s="34" t="n">
        <v>2</v>
      </c>
      <c r="L43" s="34" t="inlineStr">
        <is>
          <t>pcs</t>
        </is>
      </c>
      <c r="M43" s="34" t="inlineStr">
        <is>
          <t>BOSUNG</t>
        </is>
      </c>
      <c r="N43" s="34" t="inlineStr">
        <is>
          <t>미접수</t>
        </is>
      </c>
      <c r="O43" s="50">
        <f>IF(N(AH43)&gt;1,"중복 "&amp;AH43&amp;"곳"&amp;IF(AK43=1," · 최저가",IF(AND(N43="견적접수",R43&lt;&gt;"")," · 비쌈","")),"")</f>
        <v/>
      </c>
      <c r="P43" s="34" t="inlineStr">
        <is>
          <t>KRW</t>
        </is>
      </c>
      <c r="Q43" s="51" t="n"/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/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n"/>
      <c r="Y43" s="34" t="n"/>
      <c r="Z43" s="55" t="n"/>
      <c r="AA43" s="54">
        <f>IF(OR(Z43="",Y43=""),"",Z43+Y43)</f>
        <v/>
      </c>
      <c r="AB43" s="36" t="inlineStr">
        <is>
          <t>[보성 RFQ 02 발송 2026-10-19] 회신 대기</t>
        </is>
      </c>
      <c r="AC43" s="34" t="inlineStr">
        <is>
          <t>검토중</t>
        </is>
      </c>
      <c r="AD43" s="36" t="inlineStr">
        <is>
          <t>보성 견적 회신 대기</t>
        </is>
      </c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inlineStr">
        <is>
          <t>BOSUNG-04</t>
        </is>
      </c>
      <c r="C44" s="34" t="inlineStr">
        <is>
          <t>B04</t>
        </is>
      </c>
      <c r="D44" s="34" t="n">
        <v>2</v>
      </c>
      <c r="E44" s="34" t="inlineStr">
        <is>
          <t>DAEYANG</t>
        </is>
      </c>
      <c r="F44" s="36" t="inlineStr">
        <is>
          <t>LED DRIVERS FOR LIGHTS</t>
        </is>
      </c>
      <c r="G44" s="36" t="n"/>
      <c r="H44" s="36" t="n"/>
      <c r="I44" s="36" t="inlineStr">
        <is>
          <t>Lighting (Electrical)</t>
        </is>
      </c>
      <c r="J44" s="36" t="inlineStr">
        <is>
          <t>형식 미기재 – 첫 견적서는 'NEED MORE DETAIL', 수정 견적에서 단가 제시</t>
        </is>
      </c>
      <c r="K44" s="34" t="n">
        <v>10</v>
      </c>
      <c r="L44" s="34" t="inlineStr">
        <is>
          <t>PCS</t>
        </is>
      </c>
      <c r="M44" s="34" t="inlineStr">
        <is>
          <t>CENTMAR</t>
        </is>
      </c>
      <c r="N44" s="34" t="inlineStr">
        <is>
          <t>견적접수</t>
        </is>
      </c>
      <c r="O44" s="50">
        <f>IF(N(AH44)&gt;1,"중복 "&amp;AH44&amp;"곳"&amp;IF(AK44=1," · 최저가",IF(AND(N44="견적접수",R44&lt;&gt;"")," · 비쌈","")),"")</f>
        <v/>
      </c>
      <c r="P44" s="34" t="inlineStr">
        <is>
          <t>KRW</t>
        </is>
      </c>
      <c r="Q44" s="51" t="n">
        <v>598900</v>
      </c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>
        <v>70</v>
      </c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n"/>
      <c r="Y44" s="34" t="n"/>
      <c r="Z44" s="56" t="n">
        <v>46318</v>
      </c>
      <c r="AA44" s="54">
        <f>IF(OR(Z44="",Y44=""),"",Z44+Y44)</f>
        <v/>
      </c>
      <c r="AB44" s="36" t="inlineStr">
        <is>
          <t>[중앙해사 JU26102222] LED DRIVERS FOR LIGHTS – DAEYANG / LEAD TIME 70 DAYS / 형식 미기재 – 첫 견적서는 'NEED MORE DETAIL', 수정 견적에서 단가 제시</t>
        </is>
      </c>
      <c r="AC44" s="34" t="inlineStr">
        <is>
          <t>검토중</t>
        </is>
      </c>
      <c r="AD44" s="36" t="inlineStr">
        <is>
          <t>유효기간·인도조건 미기재 – 중앙해사 확인 / 형식 재확인</t>
        </is>
      </c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inlineStr">
        <is>
          <t>BOSUNG-04</t>
        </is>
      </c>
      <c r="C45" s="34" t="inlineStr">
        <is>
          <t>B04</t>
        </is>
      </c>
      <c r="D45" s="34" t="n">
        <v>2</v>
      </c>
      <c r="E45" s="34" t="inlineStr">
        <is>
          <t>DAEYANG</t>
        </is>
      </c>
      <c r="F45" s="36" t="inlineStr">
        <is>
          <t>LED Drivers for Lights</t>
        </is>
      </c>
      <c r="G45" s="36" t="n"/>
      <c r="H45" s="36" t="n"/>
      <c r="I45" s="36" t="inlineStr">
        <is>
          <t>Lighting system</t>
        </is>
      </c>
      <c r="J45" s="36" t="n"/>
      <c r="K45" s="34" t="n">
        <v>10</v>
      </c>
      <c r="L45" s="34" t="inlineStr">
        <is>
          <t>pcs</t>
        </is>
      </c>
      <c r="M45" s="34" t="inlineStr">
        <is>
          <t>BOSUNG</t>
        </is>
      </c>
      <c r="N45" s="34" t="inlineStr">
        <is>
          <t>미접수</t>
        </is>
      </c>
      <c r="O45" s="50">
        <f>IF(N(AH45)&gt;1,"중복 "&amp;AH45&amp;"곳"&amp;IF(AK45=1," · 최저가",IF(AND(N45="견적접수",R45&lt;&gt;"")," · 비쌈","")),"")</f>
        <v/>
      </c>
      <c r="P45" s="34" t="inlineStr">
        <is>
          <t>KRW</t>
        </is>
      </c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n"/>
      <c r="Y45" s="34" t="n"/>
      <c r="Z45" s="55" t="n"/>
      <c r="AA45" s="54">
        <f>IF(OR(Z45="",Y45=""),"",Z45+Y45)</f>
        <v/>
      </c>
      <c r="AB45" s="36" t="inlineStr">
        <is>
          <t>[보성 RFQ 04 발송 2026-10-19] 회신 대기</t>
        </is>
      </c>
      <c r="AC45" s="34" t="inlineStr">
        <is>
          <t>검토중</t>
        </is>
      </c>
      <c r="AD45" s="36" t="inlineStr">
        <is>
          <t>보성 견적 회신 대기</t>
        </is>
      </c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inlineStr">
        <is>
          <t>BOSUNG-04</t>
        </is>
      </c>
      <c r="C46" s="34" t="inlineStr">
        <is>
          <t>B04</t>
        </is>
      </c>
      <c r="D46" s="34" t="n">
        <v>3</v>
      </c>
      <c r="E46" s="34" t="inlineStr">
        <is>
          <t>DAEYANG</t>
        </is>
      </c>
      <c r="F46" s="36" t="inlineStr">
        <is>
          <t>LED DRIVERS FOR LIGHTS</t>
        </is>
      </c>
      <c r="G46" s="36" t="n"/>
      <c r="H46" s="36" t="n"/>
      <c r="I46" s="36" t="inlineStr">
        <is>
          <t>Lighting (Electrical)</t>
        </is>
      </c>
      <c r="J46" s="36" t="inlineStr">
        <is>
          <t>형식 미기재 – 첫 견적서는 'NEED MORE DETAIL', 수정 견적에서 단가 제시</t>
        </is>
      </c>
      <c r="K46" s="34" t="n">
        <v>20</v>
      </c>
      <c r="L46" s="34" t="inlineStr">
        <is>
          <t>PCS</t>
        </is>
      </c>
      <c r="M46" s="34" t="inlineStr">
        <is>
          <t>CENTMAR</t>
        </is>
      </c>
      <c r="N46" s="34" t="inlineStr">
        <is>
          <t>견적접수</t>
        </is>
      </c>
      <c r="O46" s="50">
        <f>IF(N(AH46)&gt;1,"중복 "&amp;AH46&amp;"곳"&amp;IF(AK46=1," · 최저가",IF(AND(N46="견적접수",R46&lt;&gt;"")," · 비쌈","")),"")</f>
        <v/>
      </c>
      <c r="P46" s="34" t="inlineStr">
        <is>
          <t>KRW</t>
        </is>
      </c>
      <c r="Q46" s="51" t="n">
        <v>32210</v>
      </c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>
        <v>3</v>
      </c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n"/>
      <c r="Y46" s="34" t="n"/>
      <c r="Z46" s="56" t="n">
        <v>46318</v>
      </c>
      <c r="AA46" s="54">
        <f>IF(OR(Z46="",Y46=""),"",Z46+Y46)</f>
        <v/>
      </c>
      <c r="AB46" s="36" t="inlineStr">
        <is>
          <t>[중앙해사 JU26102222] LED DRIVERS FOR LIGHTS – DAEYANG / LEAD TIME 3 DAYS / 형식 미기재 – 첫 견적서는 'NEED MORE DETAIL', 수정 견적에서 단가 제시</t>
        </is>
      </c>
      <c r="AC46" s="34" t="inlineStr">
        <is>
          <t>검토중</t>
        </is>
      </c>
      <c r="AD46" s="36" t="inlineStr">
        <is>
          <t>유효기간·인도조건 미기재 – 중앙해사 확인 / 형식 재확인</t>
        </is>
      </c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inlineStr">
        <is>
          <t>BOSUNG-04</t>
        </is>
      </c>
      <c r="C47" s="34" t="inlineStr">
        <is>
          <t>B04</t>
        </is>
      </c>
      <c r="D47" s="34" t="n">
        <v>3</v>
      </c>
      <c r="E47" s="34" t="inlineStr">
        <is>
          <t>DAEYANG</t>
        </is>
      </c>
      <c r="F47" s="36" t="inlineStr">
        <is>
          <t>LED Drivers for Lights</t>
        </is>
      </c>
      <c r="G47" s="36" t="n"/>
      <c r="H47" s="36" t="n"/>
      <c r="I47" s="36" t="inlineStr">
        <is>
          <t>Lighting system</t>
        </is>
      </c>
      <c r="J47" s="36" t="n"/>
      <c r="K47" s="34" t="n">
        <v>20</v>
      </c>
      <c r="L47" s="34" t="inlineStr">
        <is>
          <t>pcs</t>
        </is>
      </c>
      <c r="M47" s="34" t="inlineStr">
        <is>
          <t>BOSUNG</t>
        </is>
      </c>
      <c r="N47" s="34" t="inlineStr">
        <is>
          <t>미접수</t>
        </is>
      </c>
      <c r="O47" s="50">
        <f>IF(N(AH47)&gt;1,"중복 "&amp;AH47&amp;"곳"&amp;IF(AK47=1," · 최저가",IF(AND(N47="견적접수",R47&lt;&gt;"")," · 비쌈","")),"")</f>
        <v/>
      </c>
      <c r="P47" s="34" t="inlineStr">
        <is>
          <t>KRW</t>
        </is>
      </c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n"/>
      <c r="Y47" s="34" t="n"/>
      <c r="Z47" s="55" t="n"/>
      <c r="AA47" s="54">
        <f>IF(OR(Z47="",Y47=""),"",Z47+Y47)</f>
        <v/>
      </c>
      <c r="AB47" s="36" t="inlineStr">
        <is>
          <t>[보성 RFQ 04 발송 2026-10-19] 회신 대기</t>
        </is>
      </c>
      <c r="AC47" s="34" t="inlineStr">
        <is>
          <t>검토중</t>
        </is>
      </c>
      <c r="AD47" s="36" t="inlineStr">
        <is>
          <t>보성 견적 회신 대기</t>
        </is>
      </c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inlineStr">
        <is>
          <t>BOSUNG-05</t>
        </is>
      </c>
      <c r="C48" s="34" t="inlineStr">
        <is>
          <t>B05</t>
        </is>
      </c>
      <c r="D48" s="34" t="n">
        <v>1</v>
      </c>
      <c r="E48" s="34" t="inlineStr">
        <is>
          <t>Hi-Air Korea</t>
        </is>
      </c>
      <c r="F48" s="36" t="inlineStr">
        <is>
          <t>DRIVER FOR BLDC MOTOR</t>
        </is>
      </c>
      <c r="G48" s="36" t="inlineStr">
        <is>
          <t>HIP-10WDE</t>
        </is>
      </c>
      <c r="H48" s="36" t="inlineStr">
        <is>
          <t>HDR004F100</t>
        </is>
      </c>
      <c r="I48" s="36" t="inlineStr">
        <is>
          <t>AC PACKAGE</t>
        </is>
      </c>
      <c r="J48" s="36" t="n"/>
      <c r="K48" s="34" t="n">
        <v>5</v>
      </c>
      <c r="L48" s="34" t="inlineStr">
        <is>
          <t>PCS</t>
        </is>
      </c>
      <c r="M48" s="34" t="inlineStr">
        <is>
          <t>BOSUNG</t>
        </is>
      </c>
      <c r="N48" s="34" t="inlineStr">
        <is>
          <t>미접수</t>
        </is>
      </c>
      <c r="O48" s="50">
        <f>IF(N(AH48)&gt;1,"중복 "&amp;AH48&amp;"곳"&amp;IF(AK48=1," · 최저가",IF(AND(N48="견적접수",R48&lt;&gt;"")," · 비쌈","")),"")</f>
        <v/>
      </c>
      <c r="P48" s="34" t="inlineStr">
        <is>
          <t>KRW</t>
        </is>
      </c>
      <c r="Q48" s="51" t="n"/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/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n"/>
      <c r="Y48" s="34" t="n"/>
      <c r="Z48" s="55" t="n"/>
      <c r="AA48" s="54">
        <f>IF(OR(Z48="",Y48=""),"",Z48+Y48)</f>
        <v/>
      </c>
      <c r="AB48" s="36" t="inlineStr">
        <is>
          <t>[보성 RFQ 05 발송 2026-10-19] 회신 대기</t>
        </is>
      </c>
      <c r="AC48" s="34" t="inlineStr">
        <is>
          <t>검토중</t>
        </is>
      </c>
      <c r="AD48" s="36" t="inlineStr">
        <is>
          <t>보성 견적 회신 대기</t>
        </is>
      </c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inlineStr">
        <is>
          <t>BOSUNG-06</t>
        </is>
      </c>
      <c r="C49" s="34" t="inlineStr">
        <is>
          <t>B06</t>
        </is>
      </c>
      <c r="D49" s="34" t="n">
        <v>1</v>
      </c>
      <c r="E49" s="34" t="inlineStr">
        <is>
          <t>SPECS</t>
        </is>
      </c>
      <c r="F49" s="36" t="inlineStr">
        <is>
          <t>OIL MIST DETECTOR for ME Sensor UNIT</t>
        </is>
      </c>
      <c r="G49" s="36" t="n"/>
      <c r="H49" s="36" t="inlineStr">
        <is>
          <t>SPDH - V3C001 - R0</t>
        </is>
      </c>
      <c r="I49" s="36" t="inlineStr">
        <is>
          <t>Main Engine</t>
        </is>
      </c>
      <c r="J49" s="36" t="n"/>
      <c r="K49" s="34" t="n">
        <v>1</v>
      </c>
      <c r="L49" s="34" t="inlineStr">
        <is>
          <t>pcs</t>
        </is>
      </c>
      <c r="M49" s="34" t="inlineStr">
        <is>
          <t>BOSUNG</t>
        </is>
      </c>
      <c r="N49" s="34" t="inlineStr">
        <is>
          <t>미접수</t>
        </is>
      </c>
      <c r="O49" s="50">
        <f>IF(N(AH49)&gt;1,"중복 "&amp;AH49&amp;"곳"&amp;IF(AK49=1," · 최저가",IF(AND(N49="견적접수",R49&lt;&gt;"")," · 비쌈","")),"")</f>
        <v/>
      </c>
      <c r="P49" s="34" t="inlineStr">
        <is>
          <t>KRW</t>
        </is>
      </c>
      <c r="Q49" s="51" t="n"/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/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n"/>
      <c r="Y49" s="34" t="n"/>
      <c r="Z49" s="55" t="n"/>
      <c r="AA49" s="54">
        <f>IF(OR(Z49="",Y49=""),"",Z49+Y49)</f>
        <v/>
      </c>
      <c r="AB49" s="36" t="inlineStr">
        <is>
          <t>[보성 RFQ 06 발송 2026-10-19] 회신 대기</t>
        </is>
      </c>
      <c r="AC49" s="34" t="inlineStr">
        <is>
          <t>검토중</t>
        </is>
      </c>
      <c r="AD49" s="36" t="inlineStr">
        <is>
          <t>보성 견적 회신 대기</t>
        </is>
      </c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inlineStr">
        <is>
          <t>BOSUNG-06</t>
        </is>
      </c>
      <c r="C50" s="34" t="inlineStr">
        <is>
          <t>B06</t>
        </is>
      </c>
      <c r="D50" s="34" t="n">
        <v>2</v>
      </c>
      <c r="E50" s="34" t="inlineStr">
        <is>
          <t>SPECS</t>
        </is>
      </c>
      <c r="F50" s="36" t="inlineStr">
        <is>
          <t>Suction Fan for OIL MIST DETECTOR</t>
        </is>
      </c>
      <c r="G50" s="36" t="n"/>
      <c r="H50" s="36" t="n"/>
      <c r="I50" s="36" t="inlineStr">
        <is>
          <t>Main Engine</t>
        </is>
      </c>
      <c r="J50" s="36" t="n"/>
      <c r="K50" s="34" t="n">
        <v>10</v>
      </c>
      <c r="L50" s="34" t="inlineStr">
        <is>
          <t>pcs</t>
        </is>
      </c>
      <c r="M50" s="34" t="inlineStr">
        <is>
          <t>BOSUNG</t>
        </is>
      </c>
      <c r="N50" s="34" t="inlineStr">
        <is>
          <t>미접수</t>
        </is>
      </c>
      <c r="O50" s="50">
        <f>IF(N(AH50)&gt;1,"중복 "&amp;AH50&amp;"곳"&amp;IF(AK50=1," · 최저가",IF(AND(N50="견적접수",R50&lt;&gt;"")," · 비쌈","")),"")</f>
        <v/>
      </c>
      <c r="P50" s="34" t="inlineStr">
        <is>
          <t>KRW</t>
        </is>
      </c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n"/>
      <c r="Y50" s="34" t="n"/>
      <c r="Z50" s="55" t="n"/>
      <c r="AA50" s="54">
        <f>IF(OR(Z50="",Y50=""),"",Z50+Y50)</f>
        <v/>
      </c>
      <c r="AB50" s="36" t="inlineStr">
        <is>
          <t>[보성 RFQ 06 발송 2026-10-19] 회신 대기</t>
        </is>
      </c>
      <c r="AC50" s="34" t="inlineStr">
        <is>
          <t>검토중</t>
        </is>
      </c>
      <c r="AD50" s="36" t="inlineStr">
        <is>
          <t>보성 견적 회신 대기</t>
        </is>
      </c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inlineStr">
        <is>
          <t>BOSUNG-07</t>
        </is>
      </c>
      <c r="C51" s="34" t="inlineStr">
        <is>
          <t>B07</t>
        </is>
      </c>
      <c r="D51" s="34" t="n">
        <v>1</v>
      </c>
      <c r="E51" s="34" t="inlineStr">
        <is>
          <t>HERIANA</t>
        </is>
      </c>
      <c r="F51" s="36" t="inlineStr">
        <is>
          <t>Air Temperature &amp; Humidity transmitter</t>
        </is>
      </c>
      <c r="G51" s="36" t="inlineStr">
        <is>
          <t>BTH-1300</t>
        </is>
      </c>
      <c r="H51" s="36" t="inlineStr">
        <is>
          <t>S/N: NA235680</t>
        </is>
      </c>
      <c r="I51" s="36" t="inlineStr">
        <is>
          <t>Air Temperature &amp; Humidity transmitter</t>
        </is>
      </c>
      <c r="J51" s="36" t="n"/>
      <c r="K51" s="34" t="n">
        <v>1</v>
      </c>
      <c r="L51" s="34" t="inlineStr">
        <is>
          <t>pce</t>
        </is>
      </c>
      <c r="M51" s="34" t="inlineStr">
        <is>
          <t>BOSUNG</t>
        </is>
      </c>
      <c r="N51" s="34" t="inlineStr">
        <is>
          <t>미접수</t>
        </is>
      </c>
      <c r="O51" s="50">
        <f>IF(N(AH51)&gt;1,"중복 "&amp;AH51&amp;"곳"&amp;IF(AK51=1," · 최저가",IF(AND(N51="견적접수",R51&lt;&gt;"")," · 비쌈","")),"")</f>
        <v/>
      </c>
      <c r="P51" s="34" t="inlineStr">
        <is>
          <t>KRW</t>
        </is>
      </c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5" t="n"/>
      <c r="AA51" s="54">
        <f>IF(OR(Z51="",Y51=""),"",Z51+Y51)</f>
        <v/>
      </c>
      <c r="AB51" s="36" t="inlineStr">
        <is>
          <t>[보성 RFQ 07 발송 2026-10-19] 회신 대기</t>
        </is>
      </c>
      <c r="AC51" s="34" t="inlineStr">
        <is>
          <t>검토중</t>
        </is>
      </c>
      <c r="AD51" s="36" t="inlineStr">
        <is>
          <t>보성 견적 회신 대기</t>
        </is>
      </c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inlineStr">
        <is>
          <t>BOSUNG-08</t>
        </is>
      </c>
      <c r="C52" s="34" t="inlineStr">
        <is>
          <t>B08</t>
        </is>
      </c>
      <c r="D52" s="34" t="n">
        <v>1</v>
      </c>
      <c r="E52" s="34" t="inlineStr">
        <is>
          <t>WESTRONICS</t>
        </is>
      </c>
      <c r="F52" s="36" t="inlineStr">
        <is>
          <t>Group Annunciator card (damaged) – steering gear alarm in ECR &amp; wheel house console</t>
        </is>
      </c>
      <c r="G52" s="36" t="n"/>
      <c r="H52" s="36" t="n"/>
      <c r="I52" s="36" t="inlineStr">
        <is>
          <t>ALARM MONITORING SYSTEM</t>
        </is>
      </c>
      <c r="J52" s="36" t="n"/>
      <c r="K52" s="34" t="n">
        <v>2</v>
      </c>
      <c r="L52" s="34" t="inlineStr">
        <is>
          <t>pcs</t>
        </is>
      </c>
      <c r="M52" s="34" t="inlineStr">
        <is>
          <t>BOSUNG</t>
        </is>
      </c>
      <c r="N52" s="34" t="inlineStr">
        <is>
          <t>미접수</t>
        </is>
      </c>
      <c r="O52" s="50">
        <f>IF(N(AH52)&gt;1,"중복 "&amp;AH52&amp;"곳"&amp;IF(AK52=1," · 최저가",IF(AND(N52="견적접수",R52&lt;&gt;"")," · 비쌈","")),"")</f>
        <v/>
      </c>
      <c r="P52" s="34" t="inlineStr">
        <is>
          <t>KRW</t>
        </is>
      </c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5" t="n"/>
      <c r="AA52" s="54">
        <f>IF(OR(Z52="",Y52=""),"",Z52+Y52)</f>
        <v/>
      </c>
      <c r="AB52" s="36" t="inlineStr">
        <is>
          <t>[보성 RFQ 08 발송 2026-10-19] 회신 대기</t>
        </is>
      </c>
      <c r="AC52" s="34" t="inlineStr">
        <is>
          <t>검토중</t>
        </is>
      </c>
      <c r="AD52" s="36" t="inlineStr">
        <is>
          <t>보성 견적 회신 대기</t>
        </is>
      </c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inlineStr">
        <is>
          <t>BOSUNG-09</t>
        </is>
      </c>
      <c r="C53" s="34" t="inlineStr">
        <is>
          <t>B09</t>
        </is>
      </c>
      <c r="D53" s="34" t="n">
        <v>1</v>
      </c>
      <c r="E53" s="34" t="inlineStr">
        <is>
          <t>HANLA IMS</t>
        </is>
      </c>
      <c r="F53" s="36" t="inlineStr">
        <is>
          <t>R/I converters</t>
        </is>
      </c>
      <c r="G53" s="36" t="inlineStr">
        <is>
          <t>FLT-100R</t>
        </is>
      </c>
      <c r="H53" s="36" t="n"/>
      <c r="I53" s="36" t="inlineStr">
        <is>
          <t>Tank gauging system</t>
        </is>
      </c>
      <c r="J53" s="36" t="n"/>
      <c r="K53" s="34" t="n">
        <v>3</v>
      </c>
      <c r="L53" s="34" t="inlineStr">
        <is>
          <t>PCS</t>
        </is>
      </c>
      <c r="M53" s="34" t="inlineStr">
        <is>
          <t>BOSUNG</t>
        </is>
      </c>
      <c r="N53" s="34" t="inlineStr">
        <is>
          <t>미접수</t>
        </is>
      </c>
      <c r="O53" s="50">
        <f>IF(N(AH53)&gt;1,"중복 "&amp;AH53&amp;"곳"&amp;IF(AK53=1," · 최저가",IF(AND(N53="견적접수",R53&lt;&gt;"")," · 비쌈","")),"")</f>
        <v/>
      </c>
      <c r="P53" s="34" t="inlineStr">
        <is>
          <t>KRW</t>
        </is>
      </c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5" t="n"/>
      <c r="AA53" s="54">
        <f>IF(OR(Z53="",Y53=""),"",Z53+Y53)</f>
        <v/>
      </c>
      <c r="AB53" s="36" t="inlineStr">
        <is>
          <t>[보성 RFQ 09 발송 2026-10-19] 회신 대기</t>
        </is>
      </c>
      <c r="AC53" s="34" t="inlineStr">
        <is>
          <t>검토중</t>
        </is>
      </c>
      <c r="AD53" s="36" t="inlineStr">
        <is>
          <t>보성 견적 회신 대기</t>
        </is>
      </c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inlineStr">
        <is>
          <t>BOSUNG-10</t>
        </is>
      </c>
      <c r="C54" s="34" t="inlineStr">
        <is>
          <t>B10</t>
        </is>
      </c>
      <c r="D54" s="34" t="n">
        <v>1</v>
      </c>
      <c r="E54" s="34" t="inlineStr">
        <is>
          <t>SOLO TESTER</t>
        </is>
      </c>
      <c r="F54" s="36" t="inlineStr">
        <is>
          <t>SOLO HEAT DETECTOR HEAD</t>
        </is>
      </c>
      <c r="G54" s="36" t="n"/>
      <c r="H54" s="36" t="inlineStr">
        <is>
          <t>SOLO461 CORDLESS HEAT DETECTOR TESTER</t>
        </is>
      </c>
      <c r="I54" s="36" t="inlineStr">
        <is>
          <t>FIRE DETECTION</t>
        </is>
      </c>
      <c r="J54" s="36" t="n"/>
      <c r="K54" s="34" t="n">
        <v>1</v>
      </c>
      <c r="L54" s="34" t="inlineStr">
        <is>
          <t>PCE</t>
        </is>
      </c>
      <c r="M54" s="34" t="inlineStr">
        <is>
          <t>BOSUNG</t>
        </is>
      </c>
      <c r="N54" s="34" t="inlineStr">
        <is>
          <t>미접수</t>
        </is>
      </c>
      <c r="O54" s="50">
        <f>IF(N(AH54)&gt;1,"중복 "&amp;AH54&amp;"곳"&amp;IF(AK54=1," · 최저가",IF(AND(N54="견적접수",R54&lt;&gt;"")," · 비쌈","")),"")</f>
        <v/>
      </c>
      <c r="P54" s="34" t="inlineStr">
        <is>
          <t>KRW</t>
        </is>
      </c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5" t="n"/>
      <c r="AA54" s="54">
        <f>IF(OR(Z54="",Y54=""),"",Z54+Y54)</f>
        <v/>
      </c>
      <c r="AB54" s="36" t="inlineStr">
        <is>
          <t>[보성 RFQ 10 발송 2026-10-19] 회신 대기</t>
        </is>
      </c>
      <c r="AC54" s="34" t="inlineStr">
        <is>
          <t>검토중</t>
        </is>
      </c>
      <c r="AD54" s="36" t="inlineStr">
        <is>
          <t>보성 견적 회신 대기</t>
        </is>
      </c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inlineStr">
        <is>
          <t>BOSUNG-10</t>
        </is>
      </c>
      <c r="C55" s="34" t="inlineStr">
        <is>
          <t>B10</t>
        </is>
      </c>
      <c r="D55" s="34" t="n">
        <v>2</v>
      </c>
      <c r="E55" s="34" t="inlineStr">
        <is>
          <t>SOLO TESTER</t>
        </is>
      </c>
      <c r="F55" s="36" t="inlineStr">
        <is>
          <t>ex SOLO HEAT DETECTOR, bag + heat element</t>
        </is>
      </c>
      <c r="G55" s="36" t="n"/>
      <c r="H55" s="36" t="inlineStr">
        <is>
          <t>5101516-00A</t>
        </is>
      </c>
      <c r="I55" s="36" t="inlineStr">
        <is>
          <t>FIRE DETECTION</t>
        </is>
      </c>
      <c r="J55" s="36" t="n"/>
      <c r="K55" s="34" t="n">
        <v>1</v>
      </c>
      <c r="L55" s="34" t="inlineStr">
        <is>
          <t>PCE</t>
        </is>
      </c>
      <c r="M55" s="34" t="inlineStr">
        <is>
          <t>BOSUNG</t>
        </is>
      </c>
      <c r="N55" s="34" t="inlineStr">
        <is>
          <t>미접수</t>
        </is>
      </c>
      <c r="O55" s="50">
        <f>IF(N(AH55)&gt;1,"중복 "&amp;AH55&amp;"곳"&amp;IF(AK55=1," · 최저가",IF(AND(N55="견적접수",R55&lt;&gt;"")," · 비쌈","")),"")</f>
        <v/>
      </c>
      <c r="P55" s="34" t="inlineStr">
        <is>
          <t>KRW</t>
        </is>
      </c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5" t="n"/>
      <c r="AA55" s="54">
        <f>IF(OR(Z55="",Y55=""),"",Z55+Y55)</f>
        <v/>
      </c>
      <c r="AB55" s="36" t="inlineStr">
        <is>
          <t>[보성 RFQ 10 발송 2026-10-19] 회신 대기</t>
        </is>
      </c>
      <c r="AC55" s="34" t="inlineStr">
        <is>
          <t>검토중</t>
        </is>
      </c>
      <c r="AD55" s="36" t="inlineStr">
        <is>
          <t>보성 견적 회신 대기</t>
        </is>
      </c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inlineStr">
        <is>
          <t>BOSUNG-10</t>
        </is>
      </c>
      <c r="C56" s="34" t="inlineStr">
        <is>
          <t>B10</t>
        </is>
      </c>
      <c r="D56" s="34" t="n">
        <v>3</v>
      </c>
      <c r="E56" s="34" t="inlineStr">
        <is>
          <t>SOLO TESTER</t>
        </is>
      </c>
      <c r="F56" s="36" t="inlineStr">
        <is>
          <t>SOLO HEAT DETECTOR BATTERY BATON</t>
        </is>
      </c>
      <c r="G56" s="36" t="n"/>
      <c r="H56" s="36" t="inlineStr">
        <is>
          <t>SOLO 760 BATTERY BATON</t>
        </is>
      </c>
      <c r="I56" s="36" t="inlineStr">
        <is>
          <t>FIRE DETECTION</t>
        </is>
      </c>
      <c r="J56" s="36" t="n"/>
      <c r="K56" s="34" t="n">
        <v>1</v>
      </c>
      <c r="L56" s="34" t="inlineStr">
        <is>
          <t>PCE</t>
        </is>
      </c>
      <c r="M56" s="34" t="inlineStr">
        <is>
          <t>BOSUNG</t>
        </is>
      </c>
      <c r="N56" s="34" t="inlineStr">
        <is>
          <t>미접수</t>
        </is>
      </c>
      <c r="O56" s="50">
        <f>IF(N(AH56)&gt;1,"중복 "&amp;AH56&amp;"곳"&amp;IF(AK56=1," · 최저가",IF(AND(N56="견적접수",R56&lt;&gt;"")," · 비쌈","")),"")</f>
        <v/>
      </c>
      <c r="P56" s="34" t="inlineStr">
        <is>
          <t>KRW</t>
        </is>
      </c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5" t="n"/>
      <c r="AA56" s="54">
        <f>IF(OR(Z56="",Y56=""),"",Z56+Y56)</f>
        <v/>
      </c>
      <c r="AB56" s="36" t="inlineStr">
        <is>
          <t>[보성 RFQ 10 발송 2026-10-19] 회신 대기</t>
        </is>
      </c>
      <c r="AC56" s="34" t="inlineStr">
        <is>
          <t>검토중</t>
        </is>
      </c>
      <c r="AD56" s="36" t="inlineStr">
        <is>
          <t>보성 견적 회신 대기</t>
        </is>
      </c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inlineStr">
        <is>
          <t>BOSUNG-10</t>
        </is>
      </c>
      <c r="C57" s="34" t="inlineStr">
        <is>
          <t>B10</t>
        </is>
      </c>
      <c r="D57" s="34" t="n">
        <v>4</v>
      </c>
      <c r="E57" s="34" t="inlineStr">
        <is>
          <t>SOLO TESTER</t>
        </is>
      </c>
      <c r="F57" s="36" t="inlineStr">
        <is>
          <t>SOLO HEAT DETECTOR FAST CHARGER</t>
        </is>
      </c>
      <c r="G57" s="36" t="n"/>
      <c r="H57" s="36" t="inlineStr">
        <is>
          <t>SOLO 726 FAST CHARGER</t>
        </is>
      </c>
      <c r="I57" s="36" t="inlineStr">
        <is>
          <t>FIRE DETECTION</t>
        </is>
      </c>
      <c r="J57" s="36" t="n"/>
      <c r="K57" s="34" t="n">
        <v>1</v>
      </c>
      <c r="L57" s="34" t="inlineStr">
        <is>
          <t>PCE</t>
        </is>
      </c>
      <c r="M57" s="34" t="inlineStr">
        <is>
          <t>BOSUNG</t>
        </is>
      </c>
      <c r="N57" s="34" t="inlineStr">
        <is>
          <t>미접수</t>
        </is>
      </c>
      <c r="O57" s="50">
        <f>IF(N(AH57)&gt;1,"중복 "&amp;AH57&amp;"곳"&amp;IF(AK57=1," · 최저가",IF(AND(N57="견적접수",R57&lt;&gt;"")," · 비쌈","")),"")</f>
        <v/>
      </c>
      <c r="P57" s="34" t="inlineStr">
        <is>
          <t>KRW</t>
        </is>
      </c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5" t="n"/>
      <c r="AA57" s="54">
        <f>IF(OR(Z57="",Y57=""),"",Z57+Y57)</f>
        <v/>
      </c>
      <c r="AB57" s="36" t="inlineStr">
        <is>
          <t>[보성 RFQ 10 발송 2026-10-19] 회신 대기</t>
        </is>
      </c>
      <c r="AC57" s="34" t="inlineStr">
        <is>
          <t>검토중</t>
        </is>
      </c>
      <c r="AD57" s="36" t="inlineStr">
        <is>
          <t>보성 견적 회신 대기</t>
        </is>
      </c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inlineStr">
        <is>
          <t>BOSUNG-11</t>
        </is>
      </c>
      <c r="C58" s="34" t="inlineStr">
        <is>
          <t>B11</t>
        </is>
      </c>
      <c r="D58" s="34" t="n">
        <v>1</v>
      </c>
      <c r="E58" s="34" t="n"/>
      <c r="F58" s="36" t="inlineStr">
        <is>
          <t>Magnetron for X Band Radar</t>
        </is>
      </c>
      <c r="G58" s="36" t="n"/>
      <c r="H58" s="36" t="inlineStr">
        <is>
          <t>MG5436</t>
        </is>
      </c>
      <c r="I58" s="36" t="inlineStr">
        <is>
          <t>X-BAND RADAR</t>
        </is>
      </c>
      <c r="J58" s="36" t="n"/>
      <c r="K58" s="34" t="n">
        <v>2</v>
      </c>
      <c r="L58" s="34" t="inlineStr">
        <is>
          <t>pcs</t>
        </is>
      </c>
      <c r="M58" s="34" t="inlineStr">
        <is>
          <t>BOSUNG</t>
        </is>
      </c>
      <c r="N58" s="34" t="inlineStr">
        <is>
          <t>미접수</t>
        </is>
      </c>
      <c r="O58" s="50">
        <f>IF(N(AH58)&gt;1,"중복 "&amp;AH58&amp;"곳"&amp;IF(AK58=1," · 최저가",IF(AND(N58="견적접수",R58&lt;&gt;"")," · 비쌈","")),"")</f>
        <v/>
      </c>
      <c r="P58" s="34" t="inlineStr">
        <is>
          <t>KRW</t>
        </is>
      </c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5" t="n"/>
      <c r="AA58" s="54">
        <f>IF(OR(Z58="",Y58=""),"",Z58+Y58)</f>
        <v/>
      </c>
      <c r="AB58" s="36" t="inlineStr">
        <is>
          <t>[보성 RFQ 11 발송 2026-10-19] 회신 대기</t>
        </is>
      </c>
      <c r="AC58" s="34" t="inlineStr">
        <is>
          <t>검토중</t>
        </is>
      </c>
      <c r="AD58" s="36" t="inlineStr">
        <is>
          <t>보성 견적 회신 대기</t>
        </is>
      </c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inlineStr">
        <is>
          <t>BOSUNG-11</t>
        </is>
      </c>
      <c r="C59" s="34" t="inlineStr">
        <is>
          <t>B11</t>
        </is>
      </c>
      <c r="D59" s="34" t="n">
        <v>2</v>
      </c>
      <c r="E59" s="34" t="n"/>
      <c r="F59" s="36" t="inlineStr">
        <is>
          <t>Magnetron for S Band Radar</t>
        </is>
      </c>
      <c r="G59" s="36" t="n"/>
      <c r="H59" s="36" t="inlineStr">
        <is>
          <t>MG5223F</t>
        </is>
      </c>
      <c r="I59" s="36" t="inlineStr">
        <is>
          <t>S-BAND RADAR</t>
        </is>
      </c>
      <c r="J59" s="36" t="n"/>
      <c r="K59" s="34" t="n">
        <v>1</v>
      </c>
      <c r="L59" s="34" t="inlineStr">
        <is>
          <t>pcs</t>
        </is>
      </c>
      <c r="M59" s="34" t="inlineStr">
        <is>
          <t>BOSUNG</t>
        </is>
      </c>
      <c r="N59" s="34" t="inlineStr">
        <is>
          <t>미접수</t>
        </is>
      </c>
      <c r="O59" s="50">
        <f>IF(N(AH59)&gt;1,"중복 "&amp;AH59&amp;"곳"&amp;IF(AK59=1," · 최저가",IF(AND(N59="견적접수",R59&lt;&gt;"")," · 비쌈","")),"")</f>
        <v/>
      </c>
      <c r="P59" s="34" t="inlineStr">
        <is>
          <t>KRW</t>
        </is>
      </c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5" t="n"/>
      <c r="AA59" s="54">
        <f>IF(OR(Z59="",Y59=""),"",Z59+Y59)</f>
        <v/>
      </c>
      <c r="AB59" s="36" t="inlineStr">
        <is>
          <t>[보성 RFQ 11 발송 2026-10-19] 회신 대기</t>
        </is>
      </c>
      <c r="AC59" s="34" t="inlineStr">
        <is>
          <t>검토중</t>
        </is>
      </c>
      <c r="AD59" s="36" t="inlineStr">
        <is>
          <t>보성 견적 회신 대기</t>
        </is>
      </c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n"/>
      <c r="C60" s="34" t="n"/>
      <c r="D60" s="34" t="n"/>
      <c r="E60" s="34" t="n"/>
      <c r="F60" s="36" t="n"/>
      <c r="G60" s="36" t="n"/>
      <c r="H60" s="36" t="n"/>
      <c r="I60" s="36" t="n"/>
      <c r="J60" s="36" t="n"/>
      <c r="K60" s="34" t="n"/>
      <c r="L60" s="34" t="n"/>
      <c r="M60" s="34" t="n"/>
      <c r="N60" s="34" t="n"/>
      <c r="O60" s="50">
        <f>IF(N(AH60)&gt;1,"중복 "&amp;AH60&amp;"곳"&amp;IF(AK60=1," · 최저가",IF(AND(N60="견적접수",R60&lt;&gt;"")," · 비쌈","")),"")</f>
        <v/>
      </c>
      <c r="P60" s="34" t="n"/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6" t="n"/>
      <c r="AA60" s="54">
        <f>IF(OR(Z60="",Y60=""),"",Z60+Y60)</f>
        <v/>
      </c>
      <c r="AB60" s="36" t="n"/>
      <c r="AC60" s="34" t="n"/>
      <c r="AD60" s="36" t="n"/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n"/>
      <c r="C61" s="34" t="n"/>
      <c r="D61" s="34" t="n"/>
      <c r="E61" s="34" t="n"/>
      <c r="F61" s="36" t="n"/>
      <c r="G61" s="36" t="n"/>
      <c r="H61" s="36" t="n"/>
      <c r="I61" s="36" t="n"/>
      <c r="J61" s="36" t="n"/>
      <c r="K61" s="34" t="n"/>
      <c r="L61" s="34" t="n"/>
      <c r="M61" s="34" t="n"/>
      <c r="N61" s="34" t="n"/>
      <c r="O61" s="50">
        <f>IF(N(AH61)&gt;1,"중복 "&amp;AH61&amp;"곳"&amp;IF(AK61=1," · 최저가",IF(AND(N61="견적접수",R61&lt;&gt;"")," · 비쌈","")),"")</f>
        <v/>
      </c>
      <c r="P61" s="34" t="n"/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6" t="n"/>
      <c r="AA61" s="54">
        <f>IF(OR(Z61="",Y61=""),"",Z61+Y61)</f>
        <v/>
      </c>
      <c r="AB61" s="36" t="n"/>
      <c r="AC61" s="34" t="n"/>
      <c r="AD61" s="36" t="n"/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n"/>
      <c r="C62" s="34" t="n"/>
      <c r="D62" s="34" t="n"/>
      <c r="E62" s="34" t="n"/>
      <c r="F62" s="36" t="n"/>
      <c r="G62" s="36" t="n"/>
      <c r="H62" s="36" t="n"/>
      <c r="I62" s="36" t="n"/>
      <c r="J62" s="36" t="n"/>
      <c r="K62" s="34" t="n"/>
      <c r="L62" s="34" t="n"/>
      <c r="M62" s="34" t="n"/>
      <c r="N62" s="34" t="n"/>
      <c r="O62" s="50">
        <f>IF(N(AH62)&gt;1,"중복 "&amp;AH62&amp;"곳"&amp;IF(AK62=1," · 최저가",IF(AND(N62="견적접수",R62&lt;&gt;"")," · 비쌈","")),"")</f>
        <v/>
      </c>
      <c r="P62" s="34" t="n"/>
      <c r="Q62" s="51" t="n"/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/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/>
      <c r="AA62" s="54">
        <f>IF(OR(Z62="",Y62=""),"",Z62+Y62)</f>
        <v/>
      </c>
      <c r="AB62" s="36" t="n"/>
      <c r="AC62" s="34" t="n"/>
      <c r="AD62" s="36" t="n"/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n"/>
      <c r="C63" s="34" t="n"/>
      <c r="D63" s="34" t="n"/>
      <c r="E63" s="34" t="n"/>
      <c r="F63" s="36" t="n"/>
      <c r="G63" s="36" t="n"/>
      <c r="H63" s="36" t="n"/>
      <c r="I63" s="36" t="n"/>
      <c r="J63" s="36" t="n"/>
      <c r="K63" s="34" t="n"/>
      <c r="L63" s="34" t="n"/>
      <c r="M63" s="34" t="n"/>
      <c r="N63" s="34" t="n"/>
      <c r="O63" s="50">
        <f>IF(N(AH63)&gt;1,"중복 "&amp;AH63&amp;"곳"&amp;IF(AK63=1," · 최저가",IF(AND(N63="견적접수",R63&lt;&gt;"")," · 비쌈","")),"")</f>
        <v/>
      </c>
      <c r="P63" s="34" t="n"/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6" t="n"/>
      <c r="AA63" s="54">
        <f>IF(OR(Z63="",Y63=""),"",Z63+Y63)</f>
        <v/>
      </c>
      <c r="AB63" s="36" t="n"/>
      <c r="AC63" s="34" t="n"/>
      <c r="AD63" s="36" t="n"/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n"/>
      <c r="C64" s="34" t="n"/>
      <c r="D64" s="34" t="n"/>
      <c r="E64" s="34" t="n"/>
      <c r="F64" s="36" t="n"/>
      <c r="G64" s="36" t="n"/>
      <c r="H64" s="36" t="n"/>
      <c r="I64" s="36" t="n"/>
      <c r="J64" s="36" t="n"/>
      <c r="K64" s="34" t="n"/>
      <c r="L64" s="34" t="n"/>
      <c r="M64" s="34" t="n"/>
      <c r="N64" s="34" t="n"/>
      <c r="O64" s="50">
        <f>IF(N(AH64)&gt;1,"중복 "&amp;AH64&amp;"곳"&amp;IF(AK64=1," · 최저가",IF(AND(N64="견적접수",R64&lt;&gt;"")," · 비쌈","")),"")</f>
        <v/>
      </c>
      <c r="P64" s="34" t="n"/>
      <c r="Q64" s="51" t="n"/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/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/>
      <c r="AA64" s="54">
        <f>IF(OR(Z64="",Y64=""),"",Z64+Y64)</f>
        <v/>
      </c>
      <c r="AB64" s="36" t="n"/>
      <c r="AC64" s="34" t="n"/>
      <c r="AD64" s="36" t="n"/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n"/>
      <c r="C65" s="34" t="n"/>
      <c r="D65" s="34" t="n"/>
      <c r="E65" s="34" t="n"/>
      <c r="F65" s="36" t="n"/>
      <c r="G65" s="36" t="n"/>
      <c r="H65" s="36" t="n"/>
      <c r="I65" s="36" t="n"/>
      <c r="J65" s="36" t="n"/>
      <c r="K65" s="34" t="n"/>
      <c r="L65" s="34" t="n"/>
      <c r="M65" s="34" t="n"/>
      <c r="N65" s="34" t="n"/>
      <c r="O65" s="50">
        <f>IF(N(AH65)&gt;1,"중복 "&amp;AH65&amp;"곳"&amp;IF(AK65=1," · 최저가",IF(AND(N65="견적접수",R65&lt;&gt;"")," · 비쌈","")),"")</f>
        <v/>
      </c>
      <c r="P65" s="34" t="n"/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6" t="n"/>
      <c r="AA65" s="54">
        <f>IF(OR(Z65="",Y65=""),"",Z65+Y65)</f>
        <v/>
      </c>
      <c r="AB65" s="36" t="n"/>
      <c r="AC65" s="34" t="n"/>
      <c r="AD65" s="36" t="n"/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n"/>
      <c r="C66" s="34" t="n"/>
      <c r="D66" s="34" t="n"/>
      <c r="E66" s="34" t="n"/>
      <c r="F66" s="36" t="n"/>
      <c r="G66" s="36" t="n"/>
      <c r="H66" s="36" t="n"/>
      <c r="I66" s="36" t="n"/>
      <c r="J66" s="36" t="n"/>
      <c r="K66" s="34" t="n"/>
      <c r="L66" s="34" t="n"/>
      <c r="M66" s="34" t="n"/>
      <c r="N66" s="34" t="n"/>
      <c r="O66" s="50">
        <f>IF(N(AH66)&gt;1,"중복 "&amp;AH66&amp;"곳"&amp;IF(AK66=1," · 최저가",IF(AND(N66="견적접수",R66&lt;&gt;"")," · 비쌈","")),"")</f>
        <v/>
      </c>
      <c r="P66" s="34" t="n"/>
      <c r="Q66" s="51" t="n"/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/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/>
      <c r="AA66" s="54">
        <f>IF(OR(Z66="",Y66=""),"",Z66+Y66)</f>
        <v/>
      </c>
      <c r="AB66" s="36" t="n"/>
      <c r="AC66" s="34" t="n"/>
      <c r="AD66" s="36" t="n"/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n"/>
      <c r="C67" s="34" t="n"/>
      <c r="D67" s="34" t="n"/>
      <c r="E67" s="34" t="n"/>
      <c r="F67" s="36" t="n"/>
      <c r="G67" s="36" t="n"/>
      <c r="H67" s="36" t="n"/>
      <c r="I67" s="36" t="n"/>
      <c r="J67" s="36" t="n"/>
      <c r="K67" s="34" t="n"/>
      <c r="L67" s="34" t="n"/>
      <c r="M67" s="34" t="n"/>
      <c r="N67" s="34" t="n"/>
      <c r="O67" s="50">
        <f>IF(N(AH67)&gt;1,"중복 "&amp;AH67&amp;"곳"&amp;IF(AK67=1," · 최저가",IF(AND(N67="견적접수",R67&lt;&gt;"")," · 비쌈","")),"")</f>
        <v/>
      </c>
      <c r="P67" s="34" t="n"/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6" t="n"/>
      <c r="AA67" s="54">
        <f>IF(OR(Z67="",Y67=""),"",Z67+Y67)</f>
        <v/>
      </c>
      <c r="AB67" s="36" t="n"/>
      <c r="AC67" s="34" t="n"/>
      <c r="AD67" s="36" t="n"/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n"/>
      <c r="C68" s="34" t="n"/>
      <c r="D68" s="34" t="n"/>
      <c r="E68" s="34" t="n"/>
      <c r="F68" s="36" t="n"/>
      <c r="G68" s="36" t="n"/>
      <c r="H68" s="36" t="n"/>
      <c r="I68" s="36" t="n"/>
      <c r="J68" s="36" t="n"/>
      <c r="K68" s="34" t="n"/>
      <c r="L68" s="34" t="n"/>
      <c r="M68" s="34" t="n"/>
      <c r="N68" s="34" t="n"/>
      <c r="O68" s="50">
        <f>IF(N(AH68)&gt;1,"중복 "&amp;AH68&amp;"곳"&amp;IF(AK68=1," · 최저가",IF(AND(N68="견적접수",R68&lt;&gt;"")," · 비쌈","")),"")</f>
        <v/>
      </c>
      <c r="P68" s="34" t="n"/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6" t="n"/>
      <c r="AA68" s="54">
        <f>IF(OR(Z68="",Y68=""),"",Z68+Y68)</f>
        <v/>
      </c>
      <c r="AB68" s="36" t="n"/>
      <c r="AC68" s="34" t="n"/>
      <c r="AD68" s="36" t="n"/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8곳)" type="list">
      <formula1>=설정!$E$5:$E$12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NELEUS</t>
        </is>
      </c>
      <c r="F1" s="40" t="inlineStr">
        <is>
          <t>IMO 9958315   ·   Routine   ·   RFQ상 납품항/ETA: TBA</t>
        </is>
      </c>
    </row>
    <row r="2" ht="24" customHeight="1">
      <c r="A2" s="41">
        <f>IFERROR(IF(N(INDEX(스케줄!$C$5:$C$14,MATCH("NELEUS",스케줄!$A$5:$A$14,0)))=0,"다음 일정: 미정 (스케줄 시트에 입력)","다음 일정: "&amp;INDEX(스케줄!$B$5:$B$14,MATCH("NELEUS",스케줄!$A$5:$A$14,0))&amp;"  "&amp;TEXT(INDEX(스케줄!$C$5:$C$14,MATCH("NELEUS",스케줄!$A$5:$A$14,0)),"mm/dd")&amp;IF(N(INDEX(스케줄!$D$5:$D$14,MATCH("NELEUS",스케줄!$A$5:$A$14,0)))=0,"","~"&amp;TEXT(INDEX(스케줄!$D$5:$D$14,MATCH("NELEUS",스케줄!$A$5:$A$14,0)),"mm/dd"))),"")</f>
        <v/>
      </c>
      <c r="G2" s="42">
        <f>IFERROR(INDEX(스케줄!$I$5:$I$14,MATCH("NELEUS",스케줄!$A$5:$A$14,0)),"")</f>
        <v/>
      </c>
      <c r="H2" s="43">
        <f>IFERROR(INDEX(스케줄!$J$5:$J$14,MATCH("NELEUS",스케줄!$A$5:$A$14,0)),"")</f>
        <v/>
      </c>
      <c r="J2" s="44" t="inlineStr">
        <is>
          <t>출고 마감</t>
        </is>
      </c>
      <c r="K2" s="45">
        <f>IFERROR(INDEX(스케줄!$F$5:$F$14,MATCH("NELEUS",스케줄!$A$5:$A$14,0)),"")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4</v>
      </c>
      <c r="E6" s="34" t="inlineStr">
        <is>
          <t>NORGREN</t>
        </is>
      </c>
      <c r="F6" s="36" t="inlineStr">
        <is>
          <t>Air Filter</t>
        </is>
      </c>
      <c r="G6" s="36" t="inlineStr">
        <is>
          <t>Hanwha - MAN B&amp;W 5G70ME-C10.5-GA</t>
        </is>
      </c>
      <c r="H6" s="36" t="inlineStr">
        <is>
          <t>Plate/Drawing no. 5672-0260-0001
Part no. 57</t>
        </is>
      </c>
      <c r="I6" s="36" t="inlineStr">
        <is>
          <t>Emission Control System</t>
        </is>
      </c>
      <c r="J6" s="36" t="n"/>
      <c r="K6" s="34" t="n">
        <v>6</v>
      </c>
      <c r="L6" s="34" t="inlineStr">
        <is>
          <t>set</t>
        </is>
      </c>
      <c r="M6" s="34" t="inlineStr">
        <is>
          <t>RMS</t>
        </is>
      </c>
      <c r="N6" s="34" t="inlineStr">
        <is>
          <t>확인필요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/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/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n"/>
      <c r="X6" s="34" t="n"/>
      <c r="Y6" s="34" t="n"/>
      <c r="Z6" s="55" t="n"/>
      <c r="AA6" s="54">
        <f>IF(OR(Z6="",Y6=""),"",Z6+Y6)</f>
        <v/>
      </c>
      <c r="AB6" s="36" t="inlineStr">
        <is>
          <t>NEED TO CHECK NAMEPLATE OR DETAILS</t>
        </is>
      </c>
      <c r="AC6" s="34" t="inlineStr">
        <is>
          <t>정보 송부필요</t>
        </is>
      </c>
      <c r="AD6" s="36" t="inlineStr">
        <is>
          <t>명판 사진/상세정보 RMS에 송부</t>
        </is>
      </c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KQU-000116304</t>
        </is>
      </c>
      <c r="C7" s="34" t="inlineStr">
        <is>
          <t>01</t>
        </is>
      </c>
      <c r="D7" s="34" t="n">
        <v>5</v>
      </c>
      <c r="E7" s="34" t="inlineStr">
        <is>
          <t>NORGREN</t>
        </is>
      </c>
      <c r="F7" s="36" t="inlineStr">
        <is>
          <t>Service Kit for Air Filter</t>
        </is>
      </c>
      <c r="G7" s="36" t="inlineStr">
        <is>
          <t>Norgren / Kit F05G 40 mic</t>
        </is>
      </c>
      <c r="H7" s="36" t="inlineStr">
        <is>
          <t>Part no. 3653-28</t>
        </is>
      </c>
      <c r="I7" s="36" t="inlineStr">
        <is>
          <t>Emission Control System</t>
        </is>
      </c>
      <c r="J7" s="36" t="n"/>
      <c r="K7" s="34" t="n">
        <v>40</v>
      </c>
      <c r="L7" s="34" t="inlineStr">
        <is>
          <t>pcs</t>
        </is>
      </c>
      <c r="M7" s="34" t="inlineStr">
        <is>
          <t>RMS</t>
        </is>
      </c>
      <c r="N7" s="34" t="inlineStr">
        <is>
          <t>확인필요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/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/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n"/>
      <c r="X7" s="34" t="n"/>
      <c r="Y7" s="34" t="n"/>
      <c r="Z7" s="55" t="n"/>
      <c r="AA7" s="54">
        <f>IF(OR(Z7="",Y7=""),"",Z7+Y7)</f>
        <v/>
      </c>
      <c r="AB7" s="36" t="inlineStr">
        <is>
          <t>NEED TO CHECK NAMEPLATE OR DETAILS</t>
        </is>
      </c>
      <c r="AC7" s="34" t="inlineStr">
        <is>
          <t>정보 송부필요</t>
        </is>
      </c>
      <c r="AD7" s="36" t="inlineStr">
        <is>
          <t>명판 사진/상세정보 RMS에 송부</t>
        </is>
      </c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KQU-000116305</t>
        </is>
      </c>
      <c r="C8" s="34" t="inlineStr">
        <is>
          <t>03</t>
        </is>
      </c>
      <c r="D8" s="34" t="n">
        <v>4</v>
      </c>
      <c r="E8" s="34" t="inlineStr">
        <is>
          <t>DANFOSS</t>
        </is>
      </c>
      <c r="F8" s="36" t="inlineStr">
        <is>
          <t>Pressure Transmitter</t>
        </is>
      </c>
      <c r="G8" s="36" t="inlineStr">
        <is>
          <t>Danfoss</t>
        </is>
      </c>
      <c r="H8" s="36" t="inlineStr">
        <is>
          <t>Type: MBS 3350
Code No.: 060G6529</t>
        </is>
      </c>
      <c r="I8" s="36" t="inlineStr">
        <is>
          <t>Emission Control System</t>
        </is>
      </c>
      <c r="J8" s="36" t="inlineStr">
        <is>
          <t>0...10 bar / 4...20 mA / 10-32 VDC</t>
        </is>
      </c>
      <c r="K8" s="34" t="n">
        <v>2</v>
      </c>
      <c r="L8" s="34" t="inlineStr">
        <is>
          <t>pcs</t>
        </is>
      </c>
      <c r="M8" s="34" t="inlineStr">
        <is>
          <t>RMS</t>
        </is>
      </c>
      <c r="N8" s="34" t="inlineStr">
        <is>
          <t>견적접수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KRW</t>
        </is>
      </c>
      <c r="Q8" s="51" t="n">
        <v>249000</v>
      </c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>
        <v>90</v>
      </c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inlineStr">
        <is>
          <t>GENUINE</t>
        </is>
      </c>
      <c r="X8" s="34" t="inlineStr">
        <is>
          <t>EX WORK BUSAN</t>
        </is>
      </c>
      <c r="Y8" s="34" t="n">
        <v>20</v>
      </c>
      <c r="Z8" s="55" t="n"/>
      <c r="AA8" s="54">
        <f>IF(OR(Z8="",Y8=""),"",Z8+Y8)</f>
        <v/>
      </c>
      <c r="AB8" s="36" t="inlineStr">
        <is>
          <t>ALL; D/T: 90 DAYS, GENUINE, EX WORK BUSAN [VALI: 20 DAYS]</t>
        </is>
      </c>
      <c r="AC8" s="34" t="inlineStr">
        <is>
          <t>검토중</t>
        </is>
      </c>
      <c r="AD8" s="36" t="n"/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KQU-000116305</t>
        </is>
      </c>
      <c r="C9" s="34" t="inlineStr">
        <is>
          <t>03</t>
        </is>
      </c>
      <c r="D9" s="34" t="n">
        <v>4</v>
      </c>
      <c r="E9" s="34" t="inlineStr">
        <is>
          <t>DANFOSS</t>
        </is>
      </c>
      <c r="F9" s="36" t="inlineStr">
        <is>
          <t>Pressure Transmitter</t>
        </is>
      </c>
      <c r="G9" s="36" t="inlineStr">
        <is>
          <t>Danfoss</t>
        </is>
      </c>
      <c r="H9" s="36" t="inlineStr">
        <is>
          <t>Type: MBS 3350
Code No.: 060G6529</t>
        </is>
      </c>
      <c r="I9" s="36" t="inlineStr">
        <is>
          <t>Emission Control System</t>
        </is>
      </c>
      <c r="J9" s="36" t="n"/>
      <c r="K9" s="34" t="n">
        <v>2</v>
      </c>
      <c r="L9" s="34" t="inlineStr">
        <is>
          <t>pcs</t>
        </is>
      </c>
      <c r="M9" s="34" t="inlineStr">
        <is>
          <t>AFS</t>
        </is>
      </c>
      <c r="N9" s="34" t="inlineStr">
        <is>
          <t>견적접수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EUR</t>
        </is>
      </c>
      <c r="Q9" s="51" t="n">
        <v>426.2</v>
      </c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>
        <v>49</v>
      </c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n"/>
      <c r="X9" s="34" t="inlineStr">
        <is>
          <t>미기재 (AFS 네덜란드)</t>
        </is>
      </c>
      <c r="Y9" s="34" t="n"/>
      <c r="Z9" s="56" t="n">
        <v>46317</v>
      </c>
      <c r="AA9" s="54">
        <f>IF(OR(Z9="",Y9=""),"",Z9+Y9)</f>
        <v/>
      </c>
      <c r="AB9" s="36" t="inlineStr">
        <is>
          <t>[AFS Q.0000122662] MBS3350 0-10 BAR 060G6529 MBS3350-2011-A6GB08-2 / *del time: 6-7 weeks* *item cannot be returned*</t>
        </is>
      </c>
      <c r="AC9" s="34" t="inlineStr">
        <is>
          <t>검토중</t>
        </is>
      </c>
      <c r="AD9" s="36" t="n"/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KQU-000116305</t>
        </is>
      </c>
      <c r="C10" s="34" t="inlineStr">
        <is>
          <t>03</t>
        </is>
      </c>
      <c r="D10" s="34" t="n">
        <v>4</v>
      </c>
      <c r="E10" s="34" t="inlineStr">
        <is>
          <t>DANFOSS</t>
        </is>
      </c>
      <c r="F10" s="36" t="inlineStr">
        <is>
          <t>Pressure Transmitter</t>
        </is>
      </c>
      <c r="G10" s="36" t="inlineStr">
        <is>
          <t>Danfoss</t>
        </is>
      </c>
      <c r="H10" s="36" t="inlineStr">
        <is>
          <t>Type: MBS 3350
Code No.: 060G6529</t>
        </is>
      </c>
      <c r="I10" s="36" t="inlineStr">
        <is>
          <t>Emission Control System</t>
        </is>
      </c>
      <c r="J10" s="36" t="n"/>
      <c r="K10" s="34" t="n">
        <v>2</v>
      </c>
      <c r="L10" s="34" t="inlineStr">
        <is>
          <t>pcs</t>
        </is>
      </c>
      <c r="M10" s="34" t="inlineStr">
        <is>
          <t>DACOS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KRW</t>
        </is>
      </c>
      <c r="Q10" s="51" t="n">
        <v>235000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70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inlineStr">
        <is>
          <t>GENUINE</t>
        </is>
      </c>
      <c r="X10" s="34" t="inlineStr">
        <is>
          <t>국내 지정 도착도 (택배)</t>
        </is>
      </c>
      <c r="Y10" s="34" t="n">
        <v>7</v>
      </c>
      <c r="Z10" s="56" t="n">
        <v>46322</v>
      </c>
      <c r="AA10" s="54">
        <f>IF(OR(Z10="",Y10=""),"",Z10+Y10)</f>
        <v/>
      </c>
      <c r="AB10" s="36" t="inlineStr">
        <is>
          <t>[다코스 DCSQ261027-1] Pressure transmitter, MBS 3350 [060G6529] / L/T 8-10 WEEKS / 유효 견적 후 1주 / 국내 지정 도착도(택배) / 현금결제 / 부가세 별도</t>
        </is>
      </c>
      <c r="AC10" s="34" t="inlineStr">
        <is>
          <t>검토중</t>
        </is>
      </c>
      <c r="AD10" s="36" t="n"/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KQU-000116305</t>
        </is>
      </c>
      <c r="C11" s="34" t="inlineStr">
        <is>
          <t>03</t>
        </is>
      </c>
      <c r="D11" s="34" t="n">
        <v>5</v>
      </c>
      <c r="E11" s="34" t="inlineStr">
        <is>
          <t>DANFOSS</t>
        </is>
      </c>
      <c r="F11" s="36" t="inlineStr">
        <is>
          <t>Pressure Transmitter</t>
        </is>
      </c>
      <c r="G11" s="36" t="inlineStr">
        <is>
          <t>Danfoss</t>
        </is>
      </c>
      <c r="H11" s="36" t="inlineStr">
        <is>
          <t>Type: MBS 3300
Code No.: 060G6395</t>
        </is>
      </c>
      <c r="I11" s="36" t="inlineStr">
        <is>
          <t>Emission Control System</t>
        </is>
      </c>
      <c r="J11" s="36" t="inlineStr">
        <is>
          <t>0...10 bar / 4...20 mA / 10-32 VDC</t>
        </is>
      </c>
      <c r="K11" s="34" t="n">
        <v>2</v>
      </c>
      <c r="L11" s="34" t="inlineStr">
        <is>
          <t>pcs</t>
        </is>
      </c>
      <c r="M11" s="34" t="inlineStr">
        <is>
          <t>RMS</t>
        </is>
      </c>
      <c r="N11" s="34" t="inlineStr">
        <is>
          <t>견적접수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KRW</t>
        </is>
      </c>
      <c r="Q11" s="51" t="n">
        <v>180000</v>
      </c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>
        <v>90</v>
      </c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inlineStr">
        <is>
          <t>GENUINE</t>
        </is>
      </c>
      <c r="X11" s="34" t="inlineStr">
        <is>
          <t>EX WORK BUSAN</t>
        </is>
      </c>
      <c r="Y11" s="34" t="n">
        <v>20</v>
      </c>
      <c r="Z11" s="55" t="n"/>
      <c r="AA11" s="54">
        <f>IF(OR(Z11="",Y11=""),"",Z11+Y11)</f>
        <v/>
      </c>
      <c r="AB11" s="36" t="inlineStr">
        <is>
          <t>ALL; D/T: 90 DAYS, GENUINE, EX WORK BUSAN [VALI: 20 DAYS]</t>
        </is>
      </c>
      <c r="AC11" s="34" t="inlineStr">
        <is>
          <t>검토중</t>
        </is>
      </c>
      <c r="AD11" s="36" t="n"/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KQU-000116305</t>
        </is>
      </c>
      <c r="C12" s="34" t="inlineStr">
        <is>
          <t>03</t>
        </is>
      </c>
      <c r="D12" s="34" t="n">
        <v>5</v>
      </c>
      <c r="E12" s="34" t="inlineStr">
        <is>
          <t>DANFOSS</t>
        </is>
      </c>
      <c r="F12" s="36" t="inlineStr">
        <is>
          <t>Pressure Transmitter</t>
        </is>
      </c>
      <c r="G12" s="36" t="inlineStr">
        <is>
          <t>Danfoss</t>
        </is>
      </c>
      <c r="H12" s="36" t="inlineStr">
        <is>
          <t>Type: MBS 3300
Code No.: 060G6395</t>
        </is>
      </c>
      <c r="I12" s="36" t="inlineStr">
        <is>
          <t>Emission Control System</t>
        </is>
      </c>
      <c r="J12" s="36" t="n"/>
      <c r="K12" s="34" t="n">
        <v>2</v>
      </c>
      <c r="L12" s="34" t="inlineStr">
        <is>
          <t>pcs</t>
        </is>
      </c>
      <c r="M12" s="34" t="inlineStr">
        <is>
          <t>AFS</t>
        </is>
      </c>
      <c r="N12" s="34" t="inlineStr">
        <is>
          <t>공급불가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EUR</t>
        </is>
      </c>
      <c r="Q12" s="51" t="n"/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/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n"/>
      <c r="X12" s="34" t="inlineStr">
        <is>
          <t>미기재 (AFS 네덜란드)</t>
        </is>
      </c>
      <c r="Y12" s="34" t="n"/>
      <c r="Z12" s="56" t="n">
        <v>46317</v>
      </c>
      <c r="AA12" s="54">
        <f>IF(OR(Z12="",Y12=""),"",Z12+Y12)</f>
        <v/>
      </c>
      <c r="AB12" s="36" t="inlineStr">
        <is>
          <t>[AFS Q.0000122662] *only available with the OEM, please contact them directly*</t>
        </is>
      </c>
      <c r="AC12" s="34" t="inlineStr">
        <is>
          <t>타업체 문의</t>
        </is>
      </c>
      <c r="AD12" s="36" t="inlineStr">
        <is>
          <t>AFS: OEM 전용 품목 (RMS 견적 있음)</t>
        </is>
      </c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inlineStr">
        <is>
          <t>KQU-000116305</t>
        </is>
      </c>
      <c r="C13" s="34" t="inlineStr">
        <is>
          <t>03</t>
        </is>
      </c>
      <c r="D13" s="34" t="n">
        <v>5</v>
      </c>
      <c r="E13" s="34" t="inlineStr">
        <is>
          <t>DANFOSS</t>
        </is>
      </c>
      <c r="F13" s="36" t="inlineStr">
        <is>
          <t>Pressure Transmitter</t>
        </is>
      </c>
      <c r="G13" s="36" t="inlineStr">
        <is>
          <t>Danfoss</t>
        </is>
      </c>
      <c r="H13" s="36" t="inlineStr">
        <is>
          <t>Type: MBS 3300
Code No.: 060G6395</t>
        </is>
      </c>
      <c r="I13" s="36" t="inlineStr">
        <is>
          <t>Emission Control System</t>
        </is>
      </c>
      <c r="J13" s="36" t="inlineStr">
        <is>
          <t>다코스 견적 모델명 MBS 3050 (요청 MBS 3300)</t>
        </is>
      </c>
      <c r="K13" s="34" t="n">
        <v>2</v>
      </c>
      <c r="L13" s="34" t="inlineStr">
        <is>
          <t>pcs</t>
        </is>
      </c>
      <c r="M13" s="34" t="inlineStr">
        <is>
          <t>DACOS</t>
        </is>
      </c>
      <c r="N13" s="34" t="inlineStr">
        <is>
          <t>견적접수</t>
        </is>
      </c>
      <c r="O13" s="50">
        <f>IF(N(AH13)&gt;1,"중복 "&amp;AH13&amp;"곳"&amp;IF(AK13=1," · 최저가",IF(AND(N13="견적접수",R13&lt;&gt;"")," · 비쌈","")),"")</f>
        <v/>
      </c>
      <c r="P13" s="34" t="inlineStr">
        <is>
          <t>KRW</t>
        </is>
      </c>
      <c r="Q13" s="51" t="n">
        <v>145000</v>
      </c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>
        <v>70</v>
      </c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inlineStr">
        <is>
          <t>GENUINE</t>
        </is>
      </c>
      <c r="X13" s="34" t="inlineStr">
        <is>
          <t>국내 지정 도착도 (택배)</t>
        </is>
      </c>
      <c r="Y13" s="34" t="n">
        <v>7</v>
      </c>
      <c r="Z13" s="56" t="n">
        <v>46322</v>
      </c>
      <c r="AA13" s="54">
        <f>IF(OR(Z13="",Y13=""),"",Z13+Y13)</f>
        <v/>
      </c>
      <c r="AB13" s="36" t="inlineStr">
        <is>
          <t>[다코스 DCSQ261027-1] Pressure transmitter, MBS 3050 [060G6395] / L/T 8-10 WEEKS / 유효 견적 후 1주 / 국내 지정 도착도(택배) / 현금결제 / 부가세 별도</t>
        </is>
      </c>
      <c r="AC13" s="34" t="inlineStr">
        <is>
          <t>검토중</t>
        </is>
      </c>
      <c r="AD13" s="36" t="inlineStr">
        <is>
          <t>모델명 MBS 3050 vs 3300 확인</t>
        </is>
      </c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inlineStr">
        <is>
          <t>DB26034773</t>
        </is>
      </c>
      <c r="C14" s="34" t="inlineStr">
        <is>
          <t>-</t>
        </is>
      </c>
      <c r="D14" s="34" t="n">
        <v>1</v>
      </c>
      <c r="E14" s="34" t="inlineStr">
        <is>
          <t>D&amp;J WITH</t>
        </is>
      </c>
      <c r="F14" s="36" t="inlineStr">
        <is>
          <t>CCTV CAMERA MOTOR</t>
        </is>
      </c>
      <c r="G14" s="36" t="n"/>
      <c r="H14" s="36" t="inlineStr">
        <is>
          <t>BL3630L-06P+IG32 DC 12V 1/139</t>
        </is>
      </c>
      <c r="I14" s="36" t="inlineStr">
        <is>
          <t>CCTV System</t>
        </is>
      </c>
      <c r="J14" s="36" t="n"/>
      <c r="K14" s="34" t="n">
        <v>5</v>
      </c>
      <c r="L14" s="34" t="inlineStr">
        <is>
          <t>PCS</t>
        </is>
      </c>
      <c r="M14" s="34" t="inlineStr">
        <is>
          <t>DINTEC</t>
        </is>
      </c>
      <c r="N14" s="34" t="inlineStr">
        <is>
          <t>확인필요</t>
        </is>
      </c>
      <c r="O14" s="50">
        <f>IF(N(AH14)&gt;1,"중복 "&amp;AH14&amp;"곳"&amp;IF(AK14=1," · 최저가",IF(AND(N14="견적접수",R14&lt;&gt;"")," · 비쌈","")),"")</f>
        <v/>
      </c>
      <c r="P14" s="34" t="inlineStr">
        <is>
          <t>KRW</t>
        </is>
      </c>
      <c r="Q14" s="51" t="n"/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/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n"/>
      <c r="X14" s="34" t="inlineStr">
        <is>
          <t>EXW BUSAN</t>
        </is>
      </c>
      <c r="Y14" s="34" t="n">
        <v>30</v>
      </c>
      <c r="Z14" s="56" t="n">
        <v>46317</v>
      </c>
      <c r="AA14" s="54">
        <f>IF(OR(Z14="",Y14=""),"",Z14+Y14)</f>
        <v/>
      </c>
      <c r="AB14" s="36" t="inlineStr">
        <is>
          <t>[딘텍 DB26034773] Your ref 19-Oct-2026 / WILL BE ADVISED – 모델명이 정확하지 않아 재확인 요청 / 수출 시 우든박스/팔레트 포장비 실비 별도</t>
        </is>
      </c>
      <c r="AC14" s="34" t="inlineStr">
        <is>
          <t>정보 송부필요</t>
        </is>
      </c>
      <c r="AD14" s="36" t="inlineStr">
        <is>
          <t>모델명 재확인해 딘텍에 회신</t>
        </is>
      </c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inlineStr">
        <is>
          <t>DB26034773</t>
        </is>
      </c>
      <c r="C15" s="34" t="inlineStr">
        <is>
          <t>-</t>
        </is>
      </c>
      <c r="D15" s="34" t="n">
        <v>2</v>
      </c>
      <c r="E15" s="34" t="inlineStr">
        <is>
          <t>D&amp;J WITH</t>
        </is>
      </c>
      <c r="F15" s="36" t="inlineStr">
        <is>
          <t>CCTV CAMERA MOTOR DRIVER</t>
        </is>
      </c>
      <c r="G15" s="36" t="n"/>
      <c r="H15" s="36" t="inlineStr">
        <is>
          <t>BLDC BL36301-12V PTZ PBC</t>
        </is>
      </c>
      <c r="I15" s="36" t="inlineStr">
        <is>
          <t>CCTV System</t>
        </is>
      </c>
      <c r="J15" s="36" t="n"/>
      <c r="K15" s="34" t="n">
        <v>5</v>
      </c>
      <c r="L15" s="34" t="inlineStr">
        <is>
          <t>PCS</t>
        </is>
      </c>
      <c r="M15" s="34" t="inlineStr">
        <is>
          <t>DINTEC</t>
        </is>
      </c>
      <c r="N15" s="34" t="inlineStr">
        <is>
          <t>확인필요</t>
        </is>
      </c>
      <c r="O15" s="50">
        <f>IF(N(AH15)&gt;1,"중복 "&amp;AH15&amp;"곳"&amp;IF(AK15=1," · 최저가",IF(AND(N15="견적접수",R15&lt;&gt;"")," · 비쌈","")),"")</f>
        <v/>
      </c>
      <c r="P15" s="34" t="inlineStr">
        <is>
          <t>KRW</t>
        </is>
      </c>
      <c r="Q15" s="51" t="n"/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/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n"/>
      <c r="X15" s="34" t="inlineStr">
        <is>
          <t>EXW BUSAN</t>
        </is>
      </c>
      <c r="Y15" s="34" t="n">
        <v>30</v>
      </c>
      <c r="Z15" s="56" t="n">
        <v>46317</v>
      </c>
      <c r="AA15" s="54">
        <f>IF(OR(Z15="",Y15=""),"",Z15+Y15)</f>
        <v/>
      </c>
      <c r="AB15" s="36" t="inlineStr">
        <is>
          <t>[딘텍 DB26034773] Your ref 19-Oct-2026 / WILL BE ADVISED – 모델명이 정확하지 않아 재확인 요청 / 수출 시 우든박스/팔레트 포장비 실비 별도</t>
        </is>
      </c>
      <c r="AC15" s="34" t="inlineStr">
        <is>
          <t>정보 송부필요</t>
        </is>
      </c>
      <c r="AD15" s="36" t="inlineStr">
        <is>
          <t>모델명 재확인해 딘텍에 회신</t>
        </is>
      </c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inlineStr">
        <is>
          <t>DB26034773</t>
        </is>
      </c>
      <c r="C16" s="34" t="inlineStr">
        <is>
          <t>-</t>
        </is>
      </c>
      <c r="D16" s="34" t="n">
        <v>3</v>
      </c>
      <c r="E16" s="34" t="inlineStr">
        <is>
          <t>SEANET</t>
        </is>
      </c>
      <c r="F16" s="36" t="inlineStr">
        <is>
          <t>SEANET CAMERA</t>
        </is>
      </c>
      <c r="G16" s="36" t="n"/>
      <c r="H16" s="36" t="inlineStr">
        <is>
          <t>PART NO. CTVS252521 / DWG SEA-SFC1002-001</t>
        </is>
      </c>
      <c r="I16" s="36" t="inlineStr">
        <is>
          <t>CCTV System</t>
        </is>
      </c>
      <c r="J16" s="36" t="n"/>
      <c r="K16" s="34" t="n">
        <v>1</v>
      </c>
      <c r="L16" s="34" t="inlineStr">
        <is>
          <t>PCS</t>
        </is>
      </c>
      <c r="M16" s="34" t="inlineStr">
        <is>
          <t>DINTEC</t>
        </is>
      </c>
      <c r="N16" s="34" t="inlineStr">
        <is>
          <t>견적접수</t>
        </is>
      </c>
      <c r="O16" s="50">
        <f>IF(N(AH16)&gt;1,"중복 "&amp;AH16&amp;"곳"&amp;IF(AK16=1," · 최저가",IF(AND(N16="견적접수",R16&lt;&gt;"")," · 비쌈","")),"")</f>
        <v/>
      </c>
      <c r="P16" s="34" t="inlineStr">
        <is>
          <t>KRW</t>
        </is>
      </c>
      <c r="Q16" s="51" t="n">
        <v>2700000</v>
      </c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>
        <v>50</v>
      </c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inlineStr">
        <is>
          <t>SEANET</t>
        </is>
      </c>
      <c r="X16" s="34" t="inlineStr">
        <is>
          <t>EXW BUSAN</t>
        </is>
      </c>
      <c r="Y16" s="34" t="n">
        <v>30</v>
      </c>
      <c r="Z16" s="56" t="n">
        <v>46317</v>
      </c>
      <c r="AA16" s="54">
        <f>IF(OR(Z16="",Y16=""),"",Z16+Y16)</f>
        <v/>
      </c>
      <c r="AB16" s="36" t="inlineStr">
        <is>
          <t>[딘텍 DB26034773] Your ref 19-Oct-2026 / L/T 50 DAYS / 수출 시 우든박스/팔레트 포장비 실비 별도</t>
        </is>
      </c>
      <c r="AC16" s="34" t="inlineStr">
        <is>
          <t>검토중</t>
        </is>
      </c>
      <c r="AD16" s="36" t="n"/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inlineStr">
        <is>
          <t>002 - UPS battery</t>
        </is>
      </c>
      <c r="C17" s="34" t="inlineStr">
        <is>
          <t>002</t>
        </is>
      </c>
      <c r="D17" s="34" t="n">
        <v>1</v>
      </c>
      <c r="E17" s="34" t="n"/>
      <c r="F17" s="36" t="inlineStr">
        <is>
          <t>UPS battery – Sealed lead acid 12V 4AH (140x39x100)</t>
        </is>
      </c>
      <c r="G17" s="36" t="n"/>
      <c r="H17" s="36" t="n"/>
      <c r="I17" s="36" t="inlineStr">
        <is>
          <t>UPS</t>
        </is>
      </c>
      <c r="J17" s="36" t="n"/>
      <c r="K17" s="34" t="n">
        <v>8</v>
      </c>
      <c r="L17" s="34" t="inlineStr">
        <is>
          <t>PCS</t>
        </is>
      </c>
      <c r="M17" s="34" t="inlineStr">
        <is>
          <t>AFS</t>
        </is>
      </c>
      <c r="N17" s="34" t="inlineStr">
        <is>
          <t>견적접수</t>
        </is>
      </c>
      <c r="O17" s="50">
        <f>IF(N(AH17)&gt;1,"중복 "&amp;AH17&amp;"곳"&amp;IF(AK17=1," · 최저가",IF(AND(N17="견적접수",R17&lt;&gt;"")," · 비쌈","")),"")</f>
        <v/>
      </c>
      <c r="P17" s="34" t="inlineStr">
        <is>
          <t>EUR</t>
        </is>
      </c>
      <c r="Q17" s="51" t="n">
        <v>53.92</v>
      </c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/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n"/>
      <c r="X17" s="34" t="inlineStr">
        <is>
          <t>미기재 (AFS 네덜란드)</t>
        </is>
      </c>
      <c r="Y17" s="34" t="n"/>
      <c r="Z17" s="56" t="n">
        <v>46317</v>
      </c>
      <c r="AA17" s="54">
        <f>IF(OR(Z17="",Y17=""),"",Z17+Y17)</f>
        <v/>
      </c>
      <c r="AB17" s="36" t="inlineStr">
        <is>
          <t>[AFS Q.0000122676] SEALED LEAD ACID BATTERY 12V 4AH 140X39X100 / 납기 미기재</t>
        </is>
      </c>
      <c r="AC17" s="34" t="inlineStr">
        <is>
          <t>검토중</t>
        </is>
      </c>
      <c r="AD17" s="36" t="inlineStr">
        <is>
          <t>납기 미기재 – AFS 확인</t>
        </is>
      </c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inlineStr">
        <is>
          <t>BOSUNG-01</t>
        </is>
      </c>
      <c r="C18" s="34" t="inlineStr">
        <is>
          <t>B01</t>
        </is>
      </c>
      <c r="D18" s="34" t="n">
        <v>4</v>
      </c>
      <c r="E18" s="34" t="inlineStr">
        <is>
          <t>DONGHWA PNEUTEC</t>
        </is>
      </c>
      <c r="F18" s="36" t="inlineStr">
        <is>
          <t>Air Suction Valve</t>
        </is>
      </c>
      <c r="G18" s="36" t="inlineStr">
        <is>
          <t>NeX-55WB</t>
        </is>
      </c>
      <c r="H18" s="36" t="inlineStr">
        <is>
          <t>VAL1700080-00</t>
        </is>
      </c>
      <c r="I18" s="36" t="inlineStr">
        <is>
          <t>GS &amp; Control air compressor</t>
        </is>
      </c>
      <c r="J18" s="36" t="n"/>
      <c r="K18" s="34" t="n">
        <v>3</v>
      </c>
      <c r="L18" s="34" t="inlineStr">
        <is>
          <t>pcs</t>
        </is>
      </c>
      <c r="M18" s="34" t="inlineStr">
        <is>
          <t>BOSUNG</t>
        </is>
      </c>
      <c r="N18" s="34" t="inlineStr">
        <is>
          <t>미접수</t>
        </is>
      </c>
      <c r="O18" s="50">
        <f>IF(N(AH18)&gt;1,"중복 "&amp;AH18&amp;"곳"&amp;IF(AK18=1," · 최저가",IF(AND(N18="견적접수",R18&lt;&gt;"")," · 비쌈","")),"")</f>
        <v/>
      </c>
      <c r="P18" s="34" t="inlineStr">
        <is>
          <t>KRW</t>
        </is>
      </c>
      <c r="Q18" s="51" t="n"/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/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n"/>
      <c r="X18" s="34" t="n"/>
      <c r="Y18" s="34" t="n"/>
      <c r="Z18" s="55" t="n"/>
      <c r="AA18" s="54">
        <f>IF(OR(Z18="",Y18=""),"",Z18+Y18)</f>
        <v/>
      </c>
      <c r="AB18" s="36" t="inlineStr">
        <is>
          <t>[보성 RFQ 01 발송 2026-10-19] 회신 대기</t>
        </is>
      </c>
      <c r="AC18" s="34" t="inlineStr">
        <is>
          <t>검토중</t>
        </is>
      </c>
      <c r="AD18" s="36" t="inlineStr">
        <is>
          <t>보성 견적 회신 대기</t>
        </is>
      </c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inlineStr">
        <is>
          <t>BOSUNG-01</t>
        </is>
      </c>
      <c r="C19" s="34" t="inlineStr">
        <is>
          <t>B01</t>
        </is>
      </c>
      <c r="D19" s="34" t="n">
        <v>5</v>
      </c>
      <c r="E19" s="34" t="inlineStr">
        <is>
          <t>DONGHWA PNEUTEC</t>
        </is>
      </c>
      <c r="F19" s="36" t="inlineStr">
        <is>
          <t>Air Filter Element</t>
        </is>
      </c>
      <c r="G19" s="36" t="inlineStr">
        <is>
          <t>NeX-55WB</t>
        </is>
      </c>
      <c r="H19" s="36" t="inlineStr">
        <is>
          <t>FIL1200002-00</t>
        </is>
      </c>
      <c r="I19" s="36" t="inlineStr">
        <is>
          <t>GS &amp; Control air compressor</t>
        </is>
      </c>
      <c r="J19" s="36" t="n"/>
      <c r="K19" s="34" t="n">
        <v>4</v>
      </c>
      <c r="L19" s="34" t="inlineStr">
        <is>
          <t>pcs</t>
        </is>
      </c>
      <c r="M19" s="34" t="inlineStr">
        <is>
          <t>BOSUNG</t>
        </is>
      </c>
      <c r="N19" s="34" t="inlineStr">
        <is>
          <t>미접수</t>
        </is>
      </c>
      <c r="O19" s="50">
        <f>IF(N(AH19)&gt;1,"중복 "&amp;AH19&amp;"곳"&amp;IF(AK19=1," · 최저가",IF(AND(N19="견적접수",R19&lt;&gt;"")," · 비쌈","")),"")</f>
        <v/>
      </c>
      <c r="P19" s="34" t="inlineStr">
        <is>
          <t>KRW</t>
        </is>
      </c>
      <c r="Q19" s="51" t="n"/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/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n"/>
      <c r="X19" s="34" t="n"/>
      <c r="Y19" s="34" t="n"/>
      <c r="Z19" s="55" t="n"/>
      <c r="AA19" s="54">
        <f>IF(OR(Z19="",Y19=""),"",Z19+Y19)</f>
        <v/>
      </c>
      <c r="AB19" s="36" t="inlineStr">
        <is>
          <t>[보성 RFQ 01 발송 2026-10-19] 회신 대기</t>
        </is>
      </c>
      <c r="AC19" s="34" t="inlineStr">
        <is>
          <t>검토중</t>
        </is>
      </c>
      <c r="AD19" s="36" t="inlineStr">
        <is>
          <t>보성 견적 회신 대기</t>
        </is>
      </c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inlineStr">
        <is>
          <t>BOSUNG-01</t>
        </is>
      </c>
      <c r="C20" s="34" t="inlineStr">
        <is>
          <t>B01</t>
        </is>
      </c>
      <c r="D20" s="34" t="n">
        <v>6</v>
      </c>
      <c r="E20" s="34" t="inlineStr">
        <is>
          <t>DONGHWA PNEUTEC</t>
        </is>
      </c>
      <c r="F20" s="36" t="inlineStr">
        <is>
          <t>Oil Filter Element</t>
        </is>
      </c>
      <c r="G20" s="36" t="inlineStr">
        <is>
          <t>NeX-55WB</t>
        </is>
      </c>
      <c r="H20" s="36" t="inlineStr">
        <is>
          <t>FIL1300001-00</t>
        </is>
      </c>
      <c r="I20" s="36" t="inlineStr">
        <is>
          <t>GS &amp; Control air compressor</t>
        </is>
      </c>
      <c r="J20" s="36" t="n"/>
      <c r="K20" s="34" t="n">
        <v>6</v>
      </c>
      <c r="L20" s="34" t="inlineStr">
        <is>
          <t>pcs</t>
        </is>
      </c>
      <c r="M20" s="34" t="inlineStr">
        <is>
          <t>BOSUNG</t>
        </is>
      </c>
      <c r="N20" s="34" t="inlineStr">
        <is>
          <t>미접수</t>
        </is>
      </c>
      <c r="O20" s="50">
        <f>IF(N(AH20)&gt;1,"중복 "&amp;AH20&amp;"곳"&amp;IF(AK20=1," · 최저가",IF(AND(N20="견적접수",R20&lt;&gt;"")," · 비쌈","")),"")</f>
        <v/>
      </c>
      <c r="P20" s="34" t="inlineStr">
        <is>
          <t>KRW</t>
        </is>
      </c>
      <c r="Q20" s="51" t="n"/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/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n"/>
      <c r="X20" s="34" t="n"/>
      <c r="Y20" s="34" t="n"/>
      <c r="Z20" s="55" t="n"/>
      <c r="AA20" s="54">
        <f>IF(OR(Z20="",Y20=""),"",Z20+Y20)</f>
        <v/>
      </c>
      <c r="AB20" s="36" t="inlineStr">
        <is>
          <t>[보성 RFQ 01 발송 2026-10-19] 회신 대기</t>
        </is>
      </c>
      <c r="AC20" s="34" t="inlineStr">
        <is>
          <t>검토중</t>
        </is>
      </c>
      <c r="AD20" s="36" t="inlineStr">
        <is>
          <t>보성 견적 회신 대기</t>
        </is>
      </c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inlineStr">
        <is>
          <t>BOSUNG-01</t>
        </is>
      </c>
      <c r="C21" s="34" t="inlineStr">
        <is>
          <t>B01</t>
        </is>
      </c>
      <c r="D21" s="34" t="n">
        <v>7</v>
      </c>
      <c r="E21" s="34" t="inlineStr">
        <is>
          <t>DONGHWA PNEUTEC</t>
        </is>
      </c>
      <c r="F21" s="36" t="inlineStr">
        <is>
          <t>Oil Separator Element</t>
        </is>
      </c>
      <c r="G21" s="36" t="inlineStr">
        <is>
          <t>NeX-55WB</t>
        </is>
      </c>
      <c r="H21" s="36" t="inlineStr">
        <is>
          <t>FIL1200008-00</t>
        </is>
      </c>
      <c r="I21" s="36" t="inlineStr">
        <is>
          <t>GS &amp; Control air compressor</t>
        </is>
      </c>
      <c r="J21" s="36" t="n"/>
      <c r="K21" s="34" t="n">
        <v>6</v>
      </c>
      <c r="L21" s="34" t="inlineStr">
        <is>
          <t>pcs</t>
        </is>
      </c>
      <c r="M21" s="34" t="inlineStr">
        <is>
          <t>BOSUNG</t>
        </is>
      </c>
      <c r="N21" s="34" t="inlineStr">
        <is>
          <t>미접수</t>
        </is>
      </c>
      <c r="O21" s="50">
        <f>IF(N(AH21)&gt;1,"중복 "&amp;AH21&amp;"곳"&amp;IF(AK21=1," · 최저가",IF(AND(N21="견적접수",R21&lt;&gt;"")," · 비쌈","")),"")</f>
        <v/>
      </c>
      <c r="P21" s="34" t="inlineStr">
        <is>
          <t>KRW</t>
        </is>
      </c>
      <c r="Q21" s="51" t="n"/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/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n"/>
      <c r="X21" s="34" t="n"/>
      <c r="Y21" s="34" t="n"/>
      <c r="Z21" s="55" t="n"/>
      <c r="AA21" s="54">
        <f>IF(OR(Z21="",Y21=""),"",Z21+Y21)</f>
        <v/>
      </c>
      <c r="AB21" s="36" t="inlineStr">
        <is>
          <t>[보성 RFQ 01 발송 2026-10-19] 회신 대기</t>
        </is>
      </c>
      <c r="AC21" s="34" t="inlineStr">
        <is>
          <t>검토중</t>
        </is>
      </c>
      <c r="AD21" s="36" t="inlineStr">
        <is>
          <t>보성 견적 회신 대기</t>
        </is>
      </c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inlineStr">
        <is>
          <t>BOSUNG-01</t>
        </is>
      </c>
      <c r="C22" s="34" t="inlineStr">
        <is>
          <t>B01</t>
        </is>
      </c>
      <c r="D22" s="34" t="n">
        <v>8</v>
      </c>
      <c r="E22" s="34" t="inlineStr">
        <is>
          <t>DONGHWA PNEUTEC</t>
        </is>
      </c>
      <c r="F22" s="36" t="inlineStr">
        <is>
          <t>Oil Separator Gasket</t>
        </is>
      </c>
      <c r="G22" s="36" t="inlineStr">
        <is>
          <t>NeX-55WB</t>
        </is>
      </c>
      <c r="H22" s="36" t="inlineStr">
        <is>
          <t>GAS100058-00</t>
        </is>
      </c>
      <c r="I22" s="36" t="inlineStr">
        <is>
          <t>GS &amp; Control air compressor</t>
        </is>
      </c>
      <c r="J22" s="36" t="n"/>
      <c r="K22" s="34" t="n">
        <v>6</v>
      </c>
      <c r="L22" s="34" t="inlineStr">
        <is>
          <t>pcs</t>
        </is>
      </c>
      <c r="M22" s="34" t="inlineStr">
        <is>
          <t>BOSUNG</t>
        </is>
      </c>
      <c r="N22" s="34" t="inlineStr">
        <is>
          <t>미접수</t>
        </is>
      </c>
      <c r="O22" s="50">
        <f>IF(N(AH22)&gt;1,"중복 "&amp;AH22&amp;"곳"&amp;IF(AK22=1," · 최저가",IF(AND(N22="견적접수",R22&lt;&gt;"")," · 비쌈","")),"")</f>
        <v/>
      </c>
      <c r="P22" s="34" t="inlineStr">
        <is>
          <t>KRW</t>
        </is>
      </c>
      <c r="Q22" s="51" t="n"/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/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n"/>
      <c r="X22" s="34" t="n"/>
      <c r="Y22" s="34" t="n"/>
      <c r="Z22" s="55" t="n"/>
      <c r="AA22" s="54">
        <f>IF(OR(Z22="",Y22=""),"",Z22+Y22)</f>
        <v/>
      </c>
      <c r="AB22" s="36" t="inlineStr">
        <is>
          <t>[보성 RFQ 01 발송 2026-10-19] 회신 대기</t>
        </is>
      </c>
      <c r="AC22" s="34" t="inlineStr">
        <is>
          <t>검토중</t>
        </is>
      </c>
      <c r="AD22" s="36" t="inlineStr">
        <is>
          <t>보성 견적 회신 대기</t>
        </is>
      </c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inlineStr">
        <is>
          <t>BOSUNG-01</t>
        </is>
      </c>
      <c r="C23" s="34" t="inlineStr">
        <is>
          <t>B01</t>
        </is>
      </c>
      <c r="D23" s="34" t="n">
        <v>9</v>
      </c>
      <c r="E23" s="34" t="inlineStr">
        <is>
          <t>DONGHWA PNEUTEC</t>
        </is>
      </c>
      <c r="F23" s="36" t="inlineStr">
        <is>
          <t>Pressure Sensor</t>
        </is>
      </c>
      <c r="G23" s="36" t="inlineStr">
        <is>
          <t>NeX-55WB</t>
        </is>
      </c>
      <c r="H23" s="36" t="inlineStr">
        <is>
          <t>SEN1100001-00</t>
        </is>
      </c>
      <c r="I23" s="36" t="inlineStr">
        <is>
          <t>GS &amp; Control air compressor</t>
        </is>
      </c>
      <c r="J23" s="36" t="n"/>
      <c r="K23" s="34" t="n">
        <v>2</v>
      </c>
      <c r="L23" s="34" t="inlineStr">
        <is>
          <t>pcs</t>
        </is>
      </c>
      <c r="M23" s="34" t="inlineStr">
        <is>
          <t>BOSUNG</t>
        </is>
      </c>
      <c r="N23" s="34" t="inlineStr">
        <is>
          <t>미접수</t>
        </is>
      </c>
      <c r="O23" s="50">
        <f>IF(N(AH23)&gt;1,"중복 "&amp;AH23&amp;"곳"&amp;IF(AK23=1," · 최저가",IF(AND(N23="견적접수",R23&lt;&gt;"")," · 비쌈","")),"")</f>
        <v/>
      </c>
      <c r="P23" s="34" t="inlineStr">
        <is>
          <t>KRW</t>
        </is>
      </c>
      <c r="Q23" s="51" t="n"/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/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n"/>
      <c r="X23" s="34" t="n"/>
      <c r="Y23" s="34" t="n"/>
      <c r="Z23" s="55" t="n"/>
      <c r="AA23" s="54">
        <f>IF(OR(Z23="",Y23=""),"",Z23+Y23)</f>
        <v/>
      </c>
      <c r="AB23" s="36" t="inlineStr">
        <is>
          <t>[보성 RFQ 01 발송 2026-10-19] 회신 대기</t>
        </is>
      </c>
      <c r="AC23" s="34" t="inlineStr">
        <is>
          <t>검토중</t>
        </is>
      </c>
      <c r="AD23" s="36" t="inlineStr">
        <is>
          <t>보성 견적 회신 대기</t>
        </is>
      </c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inlineStr">
        <is>
          <t>BOSUNG-01</t>
        </is>
      </c>
      <c r="C24" s="34" t="inlineStr">
        <is>
          <t>B01</t>
        </is>
      </c>
      <c r="D24" s="34" t="n">
        <v>10</v>
      </c>
      <c r="E24" s="34" t="inlineStr">
        <is>
          <t>DONGHWA PNEUTEC</t>
        </is>
      </c>
      <c r="F24" s="36" t="inlineStr">
        <is>
          <t>Temperature Sensor</t>
        </is>
      </c>
      <c r="G24" s="36" t="inlineStr">
        <is>
          <t>NeX-55WB</t>
        </is>
      </c>
      <c r="H24" s="36" t="inlineStr">
        <is>
          <t>SEN1100002-01</t>
        </is>
      </c>
      <c r="I24" s="36" t="inlineStr">
        <is>
          <t>GS &amp; Control air compressor</t>
        </is>
      </c>
      <c r="J24" s="36" t="n"/>
      <c r="K24" s="34" t="n">
        <v>2</v>
      </c>
      <c r="L24" s="34" t="inlineStr">
        <is>
          <t>pcs</t>
        </is>
      </c>
      <c r="M24" s="34" t="inlineStr">
        <is>
          <t>BOSUNG</t>
        </is>
      </c>
      <c r="N24" s="34" t="inlineStr">
        <is>
          <t>미접수</t>
        </is>
      </c>
      <c r="O24" s="50">
        <f>IF(N(AH24)&gt;1,"중복 "&amp;AH24&amp;"곳"&amp;IF(AK24=1," · 최저가",IF(AND(N24="견적접수",R24&lt;&gt;"")," · 비쌈","")),"")</f>
        <v/>
      </c>
      <c r="P24" s="34" t="inlineStr">
        <is>
          <t>KRW</t>
        </is>
      </c>
      <c r="Q24" s="51" t="n"/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/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n"/>
      <c r="X24" s="34" t="n"/>
      <c r="Y24" s="34" t="n"/>
      <c r="Z24" s="55" t="n"/>
      <c r="AA24" s="54">
        <f>IF(OR(Z24="",Y24=""),"",Z24+Y24)</f>
        <v/>
      </c>
      <c r="AB24" s="36" t="inlineStr">
        <is>
          <t>[보성 RFQ 01 발송 2026-10-19] 회신 대기</t>
        </is>
      </c>
      <c r="AC24" s="34" t="inlineStr">
        <is>
          <t>검토중</t>
        </is>
      </c>
      <c r="AD24" s="36" t="inlineStr">
        <is>
          <t>보성 견적 회신 대기</t>
        </is>
      </c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inlineStr">
        <is>
          <t>BOSUNG-01</t>
        </is>
      </c>
      <c r="C25" s="34" t="inlineStr">
        <is>
          <t>B01</t>
        </is>
      </c>
      <c r="D25" s="34" t="n">
        <v>11</v>
      </c>
      <c r="E25" s="34" t="inlineStr">
        <is>
          <t>DONGHWA PNEUTEC</t>
        </is>
      </c>
      <c r="F25" s="36" t="inlineStr">
        <is>
          <t>Thermostat V/V</t>
        </is>
      </c>
      <c r="G25" s="36" t="inlineStr">
        <is>
          <t>NeX-55WB</t>
        </is>
      </c>
      <c r="H25" s="36" t="inlineStr">
        <is>
          <t>VAL4500004-00</t>
        </is>
      </c>
      <c r="I25" s="36" t="inlineStr">
        <is>
          <t>GS &amp; Control air compressor</t>
        </is>
      </c>
      <c r="J25" s="36" t="n"/>
      <c r="K25" s="34" t="n">
        <v>2</v>
      </c>
      <c r="L25" s="34" t="inlineStr">
        <is>
          <t>pcs</t>
        </is>
      </c>
      <c r="M25" s="34" t="inlineStr">
        <is>
          <t>BOSUNG</t>
        </is>
      </c>
      <c r="N25" s="34" t="inlineStr">
        <is>
          <t>미접수</t>
        </is>
      </c>
      <c r="O25" s="50">
        <f>IF(N(AH25)&gt;1,"중복 "&amp;AH25&amp;"곳"&amp;IF(AK25=1," · 최저가",IF(AND(N25="견적접수",R25&lt;&gt;"")," · 비쌈","")),"")</f>
        <v/>
      </c>
      <c r="P25" s="34" t="inlineStr">
        <is>
          <t>KRW</t>
        </is>
      </c>
      <c r="Q25" s="51" t="n"/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/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n"/>
      <c r="X25" s="34" t="n"/>
      <c r="Y25" s="34" t="n"/>
      <c r="Z25" s="55" t="n"/>
      <c r="AA25" s="54">
        <f>IF(OR(Z25="",Y25=""),"",Z25+Y25)</f>
        <v/>
      </c>
      <c r="AB25" s="36" t="inlineStr">
        <is>
          <t>[보성 RFQ 01 발송 2026-10-19] 회신 대기</t>
        </is>
      </c>
      <c r="AC25" s="34" t="inlineStr">
        <is>
          <t>검토중</t>
        </is>
      </c>
      <c r="AD25" s="36" t="inlineStr">
        <is>
          <t>보성 견적 회신 대기</t>
        </is>
      </c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inlineStr">
        <is>
          <t>BOSUNG-01</t>
        </is>
      </c>
      <c r="C26" s="34" t="inlineStr">
        <is>
          <t>B01</t>
        </is>
      </c>
      <c r="D26" s="34" t="n">
        <v>12</v>
      </c>
      <c r="E26" s="34" t="inlineStr">
        <is>
          <t>DONGHWA PNEUTEC</t>
        </is>
      </c>
      <c r="F26" s="36" t="inlineStr">
        <is>
          <t>3-Way Test Valve</t>
        </is>
      </c>
      <c r="G26" s="36" t="inlineStr">
        <is>
          <t>NeX-55WB</t>
        </is>
      </c>
      <c r="H26" s="36" t="inlineStr">
        <is>
          <t>VAL1000002-00</t>
        </is>
      </c>
      <c r="I26" s="36" t="inlineStr">
        <is>
          <t>GS &amp; Control air compressor</t>
        </is>
      </c>
      <c r="J26" s="36" t="n"/>
      <c r="K26" s="34" t="n">
        <v>2</v>
      </c>
      <c r="L26" s="34" t="inlineStr">
        <is>
          <t>pcs</t>
        </is>
      </c>
      <c r="M26" s="34" t="inlineStr">
        <is>
          <t>BOSUNG</t>
        </is>
      </c>
      <c r="N26" s="34" t="inlineStr">
        <is>
          <t>미접수</t>
        </is>
      </c>
      <c r="O26" s="50">
        <f>IF(N(AH26)&gt;1,"중복 "&amp;AH26&amp;"곳"&amp;IF(AK26=1," · 최저가",IF(AND(N26="견적접수",R26&lt;&gt;"")," · 비쌈","")),"")</f>
        <v/>
      </c>
      <c r="P26" s="34" t="inlineStr">
        <is>
          <t>KRW</t>
        </is>
      </c>
      <c r="Q26" s="51" t="n"/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/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n"/>
      <c r="X26" s="34" t="n"/>
      <c r="Y26" s="34" t="n"/>
      <c r="Z26" s="55" t="n"/>
      <c r="AA26" s="54">
        <f>IF(OR(Z26="",Y26=""),"",Z26+Y26)</f>
        <v/>
      </c>
      <c r="AB26" s="36" t="inlineStr">
        <is>
          <t>[보성 RFQ 01 발송 2026-10-19] 회신 대기</t>
        </is>
      </c>
      <c r="AC26" s="34" t="inlineStr">
        <is>
          <t>검토중</t>
        </is>
      </c>
      <c r="AD26" s="36" t="inlineStr">
        <is>
          <t>보성 견적 회신 대기</t>
        </is>
      </c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inlineStr">
        <is>
          <t>BOSUNG-01</t>
        </is>
      </c>
      <c r="C27" s="34" t="inlineStr">
        <is>
          <t>B01</t>
        </is>
      </c>
      <c r="D27" s="34" t="n">
        <v>13</v>
      </c>
      <c r="E27" s="34" t="inlineStr">
        <is>
          <t>DONGHWA PNEUTEC</t>
        </is>
      </c>
      <c r="F27" s="36" t="inlineStr">
        <is>
          <t>Auto Drain Trap</t>
        </is>
      </c>
      <c r="G27" s="36" t="inlineStr">
        <is>
          <t>NeX-55WB</t>
        </is>
      </c>
      <c r="H27" s="36" t="inlineStr">
        <is>
          <t>VAL1900001-00</t>
        </is>
      </c>
      <c r="I27" s="36" t="inlineStr">
        <is>
          <t>GS &amp; Control air compressor</t>
        </is>
      </c>
      <c r="J27" s="36" t="n"/>
      <c r="K27" s="34" t="n">
        <v>2</v>
      </c>
      <c r="L27" s="34" t="inlineStr">
        <is>
          <t>pcs</t>
        </is>
      </c>
      <c r="M27" s="34" t="inlineStr">
        <is>
          <t>BOSUNG</t>
        </is>
      </c>
      <c r="N27" s="34" t="inlineStr">
        <is>
          <t>미접수</t>
        </is>
      </c>
      <c r="O27" s="50">
        <f>IF(N(AH27)&gt;1,"중복 "&amp;AH27&amp;"곳"&amp;IF(AK27=1," · 최저가",IF(AND(N27="견적접수",R27&lt;&gt;"")," · 비쌈","")),"")</f>
        <v/>
      </c>
      <c r="P27" s="34" t="inlineStr">
        <is>
          <t>KRW</t>
        </is>
      </c>
      <c r="Q27" s="51" t="n"/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/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n"/>
      <c r="X27" s="34" t="n"/>
      <c r="Y27" s="34" t="n"/>
      <c r="Z27" s="55" t="n"/>
      <c r="AA27" s="54">
        <f>IF(OR(Z27="",Y27=""),"",Z27+Y27)</f>
        <v/>
      </c>
      <c r="AB27" s="36" t="inlineStr">
        <is>
          <t>[보성 RFQ 01 발송 2026-10-19] 회신 대기</t>
        </is>
      </c>
      <c r="AC27" s="34" t="inlineStr">
        <is>
          <t>검토중</t>
        </is>
      </c>
      <c r="AD27" s="36" t="inlineStr">
        <is>
          <t>보성 견적 회신 대기</t>
        </is>
      </c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inlineStr">
        <is>
          <t>BOSUNG-04</t>
        </is>
      </c>
      <c r="C28" s="34" t="inlineStr">
        <is>
          <t>B04</t>
        </is>
      </c>
      <c r="D28" s="34" t="n">
        <v>4</v>
      </c>
      <c r="E28" s="34" t="inlineStr">
        <is>
          <t>DAEYANG</t>
        </is>
      </c>
      <c r="F28" s="36" t="inlineStr">
        <is>
          <t>PART NO.11 LED DRIVER FOR EXPLOSION PROOF LED FLOODLIGHT</t>
        </is>
      </c>
      <c r="G28" s="36" t="inlineStr">
        <is>
          <t>EXLED-PF250AL-220AWHFM20R2</t>
        </is>
      </c>
      <c r="H28" s="36" t="inlineStr">
        <is>
          <t>DRAWING LR6530160</t>
        </is>
      </c>
      <c r="I28" s="36" t="inlineStr">
        <is>
          <t>Lighting (Electrical)</t>
        </is>
      </c>
      <c r="J28" s="36" t="inlineStr">
        <is>
          <t>원 요청번호 003 - ELECTRICAL</t>
        </is>
      </c>
      <c r="K28" s="34" t="n">
        <v>12</v>
      </c>
      <c r="L28" s="34" t="inlineStr">
        <is>
          <t>PCS</t>
        </is>
      </c>
      <c r="M28" s="34" t="inlineStr">
        <is>
          <t>CENTMAR</t>
        </is>
      </c>
      <c r="N28" s="34" t="inlineStr">
        <is>
          <t>견적접수</t>
        </is>
      </c>
      <c r="O28" s="50">
        <f>IF(N(AH28)&gt;1,"중복 "&amp;AH28&amp;"곳"&amp;IF(AK28=1," · 최저가",IF(AND(N28="견적접수",R28&lt;&gt;"")," · 비쌈","")),"")</f>
        <v/>
      </c>
      <c r="P28" s="34" t="inlineStr">
        <is>
          <t>KRW</t>
        </is>
      </c>
      <c r="Q28" s="51" t="n">
        <v>188710</v>
      </c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>
        <v>70</v>
      </c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n"/>
      <c r="X28" s="34" t="n"/>
      <c r="Y28" s="34" t="n"/>
      <c r="Z28" s="56" t="n">
        <v>46318</v>
      </c>
      <c r="AA28" s="54">
        <f>IF(OR(Z28="",Y28=""),"",Z28+Y28)</f>
        <v/>
      </c>
      <c r="AB28" s="36" t="inlineStr">
        <is>
          <t>[중앙해사 JU26102223] PART NO.11 LED DRIVER FOR EXPLOSION PROOF LED FLOODLIGHT – DAEYANG EXLED-PF250AL-220AWHFM20R2 DRAWING LR6530160 / LEAD TIME 70 DAYS</t>
        </is>
      </c>
      <c r="AC28" s="34" t="inlineStr">
        <is>
          <t>검토중</t>
        </is>
      </c>
      <c r="AD28" s="36" t="inlineStr">
        <is>
          <t>유효기간·인도조건 미기재 – 중앙해사 확인</t>
        </is>
      </c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inlineStr">
        <is>
          <t>BOSUNG-04</t>
        </is>
      </c>
      <c r="C29" s="34" t="inlineStr">
        <is>
          <t>B04</t>
        </is>
      </c>
      <c r="D29" s="34" t="n">
        <v>4</v>
      </c>
      <c r="E29" s="34" t="inlineStr">
        <is>
          <t>DAEYANG</t>
        </is>
      </c>
      <c r="F29" s="36" t="inlineStr">
        <is>
          <t>LED Driver for Explosion Proof LED Floodlight</t>
        </is>
      </c>
      <c r="G29" s="36" t="inlineStr">
        <is>
          <t>EXLED-PF250AL-220AWHFM20R2</t>
        </is>
      </c>
      <c r="H29" s="36" t="inlineStr">
        <is>
          <t>Part no.11 Drawing LR6530160</t>
        </is>
      </c>
      <c r="I29" s="36" t="inlineStr">
        <is>
          <t>Explosion Proof LED Floodlight</t>
        </is>
      </c>
      <c r="J29" s="36" t="n"/>
      <c r="K29" s="34" t="n">
        <v>12</v>
      </c>
      <c r="L29" s="34" t="inlineStr">
        <is>
          <t>pcs</t>
        </is>
      </c>
      <c r="M29" s="34" t="inlineStr">
        <is>
          <t>BOSUNG</t>
        </is>
      </c>
      <c r="N29" s="34" t="inlineStr">
        <is>
          <t>미접수</t>
        </is>
      </c>
      <c r="O29" s="50">
        <f>IF(N(AH29)&gt;1,"중복 "&amp;AH29&amp;"곳"&amp;IF(AK29=1," · 최저가",IF(AND(N29="견적접수",R29&lt;&gt;"")," · 비쌈","")),"")</f>
        <v/>
      </c>
      <c r="P29" s="34" t="inlineStr">
        <is>
          <t>KRW</t>
        </is>
      </c>
      <c r="Q29" s="51" t="n"/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/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n"/>
      <c r="X29" s="34" t="n"/>
      <c r="Y29" s="34" t="n"/>
      <c r="Z29" s="55" t="n"/>
      <c r="AA29" s="54">
        <f>IF(OR(Z29="",Y29=""),"",Z29+Y29)</f>
        <v/>
      </c>
      <c r="AB29" s="36" t="inlineStr">
        <is>
          <t>[보성 RFQ 04 발송 2026-10-19] 회신 대기</t>
        </is>
      </c>
      <c r="AC29" s="34" t="inlineStr">
        <is>
          <t>검토중</t>
        </is>
      </c>
      <c r="AD29" s="36" t="inlineStr">
        <is>
          <t>보성 견적 회신 대기</t>
        </is>
      </c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inlineStr">
        <is>
          <t>BOSUNG-04</t>
        </is>
      </c>
      <c r="C30" s="34" t="inlineStr">
        <is>
          <t>B04</t>
        </is>
      </c>
      <c r="D30" s="34" t="n">
        <v>5</v>
      </c>
      <c r="E30" s="34" t="inlineStr">
        <is>
          <t>DAEYANG</t>
        </is>
      </c>
      <c r="F30" s="36" t="inlineStr">
        <is>
          <t>PART NO.4 LED DRIVERS DLD-48600-PFN</t>
        </is>
      </c>
      <c r="G30" s="36" t="inlineStr">
        <is>
          <t>PFO600L-250AWCTFC60(R25M)</t>
        </is>
      </c>
      <c r="H30" s="36" t="inlineStr">
        <is>
          <t>DRAWING NO. LR5570006</t>
        </is>
      </c>
      <c r="I30" s="36" t="inlineStr">
        <is>
          <t>Lighting (Electrical)</t>
        </is>
      </c>
      <c r="J30" s="36" t="inlineStr">
        <is>
          <t>원 요청번호 003 - ELECTRICAL</t>
        </is>
      </c>
      <c r="K30" s="34" t="n">
        <v>23</v>
      </c>
      <c r="L30" s="34" t="inlineStr">
        <is>
          <t>PCS</t>
        </is>
      </c>
      <c r="M30" s="34" t="inlineStr">
        <is>
          <t>CENTMAR</t>
        </is>
      </c>
      <c r="N30" s="34" t="inlineStr">
        <is>
          <t>견적접수</t>
        </is>
      </c>
      <c r="O30" s="50">
        <f>IF(N(AH30)&gt;1,"중복 "&amp;AH30&amp;"곳"&amp;IF(AK30=1," · 최저가",IF(AND(N30="견적접수",R30&lt;&gt;"")," · 비쌈","")),"")</f>
        <v/>
      </c>
      <c r="P30" s="34" t="inlineStr">
        <is>
          <t>KRW</t>
        </is>
      </c>
      <c r="Q30" s="51" t="n">
        <v>598900</v>
      </c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>
        <v>70</v>
      </c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n"/>
      <c r="X30" s="34" t="n"/>
      <c r="Y30" s="34" t="n"/>
      <c r="Z30" s="56" t="n">
        <v>46318</v>
      </c>
      <c r="AA30" s="54">
        <f>IF(OR(Z30="",Y30=""),"",Z30+Y30)</f>
        <v/>
      </c>
      <c r="AB30" s="36" t="inlineStr">
        <is>
          <t>[중앙해사 JU26102223] PART NO.4 LED DRIVERS DLD-48600-PFN – DAEYANG PFO600L-250AWCTFC60(R25M) DRAWING NO. LR5570006 / LEAD TIME 70 DAYS</t>
        </is>
      </c>
      <c r="AC30" s="34" t="inlineStr">
        <is>
          <t>검토중</t>
        </is>
      </c>
      <c r="AD30" s="36" t="inlineStr">
        <is>
          <t>유효기간·인도조건 미기재 – 중앙해사 확인</t>
        </is>
      </c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inlineStr">
        <is>
          <t>BOSUNG-04</t>
        </is>
      </c>
      <c r="C31" s="34" t="inlineStr">
        <is>
          <t>B04</t>
        </is>
      </c>
      <c r="D31" s="34" t="n">
        <v>5</v>
      </c>
      <c r="E31" s="34" t="inlineStr">
        <is>
          <t>DAEYANG</t>
        </is>
      </c>
      <c r="F31" s="36" t="inlineStr">
        <is>
          <t>LED drivers DLD-48600-PFN</t>
        </is>
      </c>
      <c r="G31" s="36" t="inlineStr">
        <is>
          <t>PFO600L-250AWCTFC60(R25M)</t>
        </is>
      </c>
      <c r="H31" s="36" t="inlineStr">
        <is>
          <t>Part no.4 Drawing no. LR5570006</t>
        </is>
      </c>
      <c r="I31" s="36" t="inlineStr">
        <is>
          <t>LED Deck Flood Light</t>
        </is>
      </c>
      <c r="J31" s="36" t="n"/>
      <c r="K31" s="34" t="n">
        <v>23</v>
      </c>
      <c r="L31" s="34" t="inlineStr">
        <is>
          <t>pcs</t>
        </is>
      </c>
      <c r="M31" s="34" t="inlineStr">
        <is>
          <t>BOSUNG</t>
        </is>
      </c>
      <c r="N31" s="34" t="inlineStr">
        <is>
          <t>미접수</t>
        </is>
      </c>
      <c r="O31" s="50">
        <f>IF(N(AH31)&gt;1,"중복 "&amp;AH31&amp;"곳"&amp;IF(AK31=1," · 최저가",IF(AND(N31="견적접수",R31&lt;&gt;"")," · 비쌈","")),"")</f>
        <v/>
      </c>
      <c r="P31" s="34" t="inlineStr">
        <is>
          <t>KRW</t>
        </is>
      </c>
      <c r="Q31" s="51" t="n"/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/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n"/>
      <c r="X31" s="34" t="n"/>
      <c r="Y31" s="34" t="n"/>
      <c r="Z31" s="55" t="n"/>
      <c r="AA31" s="54">
        <f>IF(OR(Z31="",Y31=""),"",Z31+Y31)</f>
        <v/>
      </c>
      <c r="AB31" s="36" t="inlineStr">
        <is>
          <t>[보성 RFQ 04 발송 2026-10-19] 회신 대기</t>
        </is>
      </c>
      <c r="AC31" s="34" t="inlineStr">
        <is>
          <t>검토중</t>
        </is>
      </c>
      <c r="AD31" s="36" t="inlineStr">
        <is>
          <t>보성 견적 회신 대기</t>
        </is>
      </c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n"/>
      <c r="C32" s="34" t="n"/>
      <c r="D32" s="34" t="n"/>
      <c r="E32" s="34" t="n"/>
      <c r="F32" s="36" t="n"/>
      <c r="G32" s="36" t="n"/>
      <c r="H32" s="36" t="n"/>
      <c r="I32" s="36" t="n"/>
      <c r="J32" s="36" t="n"/>
      <c r="K32" s="34" t="n"/>
      <c r="L32" s="34" t="n"/>
      <c r="M32" s="34" t="n"/>
      <c r="N32" s="34" t="n"/>
      <c r="O32" s="50">
        <f>IF(N(AH32)&gt;1,"중복 "&amp;AH32&amp;"곳"&amp;IF(AK32=1," · 최저가",IF(AND(N32="견적접수",R32&lt;&gt;"")," · 비쌈","")),"")</f>
        <v/>
      </c>
      <c r="P32" s="34" t="n"/>
      <c r="Q32" s="51" t="n"/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/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n"/>
      <c r="X32" s="34" t="n"/>
      <c r="Y32" s="34" t="n"/>
      <c r="Z32" s="56" t="n"/>
      <c r="AA32" s="54">
        <f>IF(OR(Z32="",Y32=""),"",Z32+Y32)</f>
        <v/>
      </c>
      <c r="AB32" s="36" t="n"/>
      <c r="AC32" s="34" t="n"/>
      <c r="AD32" s="36" t="n"/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n"/>
      <c r="C33" s="34" t="n"/>
      <c r="D33" s="34" t="n"/>
      <c r="E33" s="34" t="n"/>
      <c r="F33" s="36" t="n"/>
      <c r="G33" s="36" t="n"/>
      <c r="H33" s="36" t="n"/>
      <c r="I33" s="36" t="n"/>
      <c r="J33" s="36" t="n"/>
      <c r="K33" s="34" t="n"/>
      <c r="L33" s="34" t="n"/>
      <c r="M33" s="34" t="n"/>
      <c r="N33" s="34" t="n"/>
      <c r="O33" s="50">
        <f>IF(N(AH33)&gt;1,"중복 "&amp;AH33&amp;"곳"&amp;IF(AK33=1," · 최저가",IF(AND(N33="견적접수",R33&lt;&gt;"")," · 비쌈","")),"")</f>
        <v/>
      </c>
      <c r="P33" s="34" t="n"/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6" t="n"/>
      <c r="AA33" s="54">
        <f>IF(OR(Z33="",Y33=""),"",Z33+Y33)</f>
        <v/>
      </c>
      <c r="AB33" s="36" t="n"/>
      <c r="AC33" s="34" t="n"/>
      <c r="AD33" s="36" t="n"/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n"/>
      <c r="C34" s="34" t="n"/>
      <c r="D34" s="34" t="n"/>
      <c r="E34" s="34" t="n"/>
      <c r="F34" s="36" t="n"/>
      <c r="G34" s="36" t="n"/>
      <c r="H34" s="36" t="n"/>
      <c r="I34" s="36" t="n"/>
      <c r="J34" s="36" t="n"/>
      <c r="K34" s="34" t="n"/>
      <c r="L34" s="34" t="n"/>
      <c r="M34" s="34" t="n"/>
      <c r="N34" s="34" t="n"/>
      <c r="O34" s="50">
        <f>IF(N(AH34)&gt;1,"중복 "&amp;AH34&amp;"곳"&amp;IF(AK34=1," · 최저가",IF(AND(N34="견적접수",R34&lt;&gt;"")," · 비쌈","")),"")</f>
        <v/>
      </c>
      <c r="P34" s="34" t="n"/>
      <c r="Q34" s="51" t="n"/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/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n"/>
      <c r="X34" s="34" t="n"/>
      <c r="Y34" s="34" t="n"/>
      <c r="Z34" s="56" t="n"/>
      <c r="AA34" s="54">
        <f>IF(OR(Z34="",Y34=""),"",Z34+Y34)</f>
        <v/>
      </c>
      <c r="AB34" s="36" t="n"/>
      <c r="AC34" s="34" t="n"/>
      <c r="AD34" s="36" t="n"/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n"/>
      <c r="C35" s="34" t="n"/>
      <c r="D35" s="34" t="n"/>
      <c r="E35" s="34" t="n"/>
      <c r="F35" s="36" t="n"/>
      <c r="G35" s="36" t="n"/>
      <c r="H35" s="36" t="n"/>
      <c r="I35" s="36" t="n"/>
      <c r="J35" s="36" t="n"/>
      <c r="K35" s="34" t="n"/>
      <c r="L35" s="34" t="n"/>
      <c r="M35" s="34" t="n"/>
      <c r="N35" s="34" t="n"/>
      <c r="O35" s="50">
        <f>IF(N(AH35)&gt;1,"중복 "&amp;AH35&amp;"곳"&amp;IF(AK35=1," · 최저가",IF(AND(N35="견적접수",R35&lt;&gt;"")," · 비쌈","")),"")</f>
        <v/>
      </c>
      <c r="P35" s="34" t="n"/>
      <c r="Q35" s="51" t="n"/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/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n"/>
      <c r="X35" s="34" t="n"/>
      <c r="Y35" s="34" t="n"/>
      <c r="Z35" s="56" t="n"/>
      <c r="AA35" s="54">
        <f>IF(OR(Z35="",Y35=""),"",Z35+Y35)</f>
        <v/>
      </c>
      <c r="AB35" s="36" t="n"/>
      <c r="AC35" s="34" t="n"/>
      <c r="AD35" s="36" t="n"/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n"/>
      <c r="C36" s="34" t="n"/>
      <c r="D36" s="34" t="n"/>
      <c r="E36" s="34" t="n"/>
      <c r="F36" s="36" t="n"/>
      <c r="G36" s="36" t="n"/>
      <c r="H36" s="36" t="n"/>
      <c r="I36" s="36" t="n"/>
      <c r="J36" s="36" t="n"/>
      <c r="K36" s="34" t="n"/>
      <c r="L36" s="34" t="n"/>
      <c r="M36" s="34" t="n"/>
      <c r="N36" s="34" t="n"/>
      <c r="O36" s="50">
        <f>IF(N(AH36)&gt;1,"중복 "&amp;AH36&amp;"곳"&amp;IF(AK36=1," · 최저가",IF(AND(N36="견적접수",R36&lt;&gt;"")," · 비쌈","")),"")</f>
        <v/>
      </c>
      <c r="P36" s="34" t="n"/>
      <c r="Q36" s="51" t="n"/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/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n"/>
      <c r="X36" s="34" t="n"/>
      <c r="Y36" s="34" t="n"/>
      <c r="Z36" s="56" t="n"/>
      <c r="AA36" s="54">
        <f>IF(OR(Z36="",Y36=""),"",Z36+Y36)</f>
        <v/>
      </c>
      <c r="AB36" s="36" t="n"/>
      <c r="AC36" s="34" t="n"/>
      <c r="AD36" s="36" t="n"/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n"/>
      <c r="C37" s="34" t="n"/>
      <c r="D37" s="34" t="n"/>
      <c r="E37" s="34" t="n"/>
      <c r="F37" s="36" t="n"/>
      <c r="G37" s="36" t="n"/>
      <c r="H37" s="36" t="n"/>
      <c r="I37" s="36" t="n"/>
      <c r="J37" s="36" t="n"/>
      <c r="K37" s="34" t="n"/>
      <c r="L37" s="34" t="n"/>
      <c r="M37" s="34" t="n"/>
      <c r="N37" s="34" t="n"/>
      <c r="O37" s="50">
        <f>IF(N(AH37)&gt;1,"중복 "&amp;AH37&amp;"곳"&amp;IF(AK37=1," · 최저가",IF(AND(N37="견적접수",R37&lt;&gt;"")," · 비쌈","")),"")</f>
        <v/>
      </c>
      <c r="P37" s="34" t="n"/>
      <c r="Q37" s="51" t="n"/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/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n"/>
      <c r="X37" s="34" t="n"/>
      <c r="Y37" s="34" t="n"/>
      <c r="Z37" s="56" t="n"/>
      <c r="AA37" s="54">
        <f>IF(OR(Z37="",Y37=""),"",Z37+Y37)</f>
        <v/>
      </c>
      <c r="AB37" s="36" t="n"/>
      <c r="AC37" s="34" t="n"/>
      <c r="AD37" s="36" t="n"/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n"/>
      <c r="C38" s="34" t="n"/>
      <c r="D38" s="34" t="n"/>
      <c r="E38" s="34" t="n"/>
      <c r="F38" s="36" t="n"/>
      <c r="G38" s="36" t="n"/>
      <c r="H38" s="36" t="n"/>
      <c r="I38" s="36" t="n"/>
      <c r="J38" s="36" t="n"/>
      <c r="K38" s="34" t="n"/>
      <c r="L38" s="34" t="n"/>
      <c r="M38" s="34" t="n"/>
      <c r="N38" s="34" t="n"/>
      <c r="O38" s="50">
        <f>IF(N(AH38)&gt;1,"중복 "&amp;AH38&amp;"곳"&amp;IF(AK38=1," · 최저가",IF(AND(N38="견적접수",R38&lt;&gt;"")," · 비쌈","")),"")</f>
        <v/>
      </c>
      <c r="P38" s="34" t="n"/>
      <c r="Q38" s="51" t="n"/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/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n"/>
      <c r="X38" s="34" t="n"/>
      <c r="Y38" s="34" t="n"/>
      <c r="Z38" s="56" t="n"/>
      <c r="AA38" s="54">
        <f>IF(OR(Z38="",Y38=""),"",Z38+Y38)</f>
        <v/>
      </c>
      <c r="AB38" s="36" t="n"/>
      <c r="AC38" s="34" t="n"/>
      <c r="AD38" s="36" t="n"/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n"/>
      <c r="C39" s="34" t="n"/>
      <c r="D39" s="34" t="n"/>
      <c r="E39" s="34" t="n"/>
      <c r="F39" s="36" t="n"/>
      <c r="G39" s="36" t="n"/>
      <c r="H39" s="36" t="n"/>
      <c r="I39" s="36" t="n"/>
      <c r="J39" s="36" t="n"/>
      <c r="K39" s="34" t="n"/>
      <c r="L39" s="34" t="n"/>
      <c r="M39" s="34" t="n"/>
      <c r="N39" s="34" t="n"/>
      <c r="O39" s="50">
        <f>IF(N(AH39)&gt;1,"중복 "&amp;AH39&amp;"곳"&amp;IF(AK39=1," · 최저가",IF(AND(N39="견적접수",R39&lt;&gt;"")," · 비쌈","")),"")</f>
        <v/>
      </c>
      <c r="P39" s="34" t="n"/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n"/>
      <c r="Y39" s="34" t="n"/>
      <c r="Z39" s="56" t="n"/>
      <c r="AA39" s="54">
        <f>IF(OR(Z39="",Y39=""),"",Z39+Y39)</f>
        <v/>
      </c>
      <c r="AB39" s="36" t="n"/>
      <c r="AC39" s="34" t="n"/>
      <c r="AD39" s="36" t="n"/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n"/>
      <c r="C40" s="34" t="n"/>
      <c r="D40" s="34" t="n"/>
      <c r="E40" s="34" t="n"/>
      <c r="F40" s="36" t="n"/>
      <c r="G40" s="36" t="n"/>
      <c r="H40" s="36" t="n"/>
      <c r="I40" s="36" t="n"/>
      <c r="J40" s="36" t="n"/>
      <c r="K40" s="34" t="n"/>
      <c r="L40" s="34" t="n"/>
      <c r="M40" s="34" t="n"/>
      <c r="N40" s="34" t="n"/>
      <c r="O40" s="50">
        <f>IF(N(AH40)&gt;1,"중복 "&amp;AH40&amp;"곳"&amp;IF(AK40=1," · 최저가",IF(AND(N40="견적접수",R40&lt;&gt;"")," · 비쌈","")),"")</f>
        <v/>
      </c>
      <c r="P40" s="34" t="n"/>
      <c r="Q40" s="51" t="n"/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/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n"/>
      <c r="X40" s="34" t="n"/>
      <c r="Y40" s="34" t="n"/>
      <c r="Z40" s="56" t="n"/>
      <c r="AA40" s="54">
        <f>IF(OR(Z40="",Y40=""),"",Z40+Y40)</f>
        <v/>
      </c>
      <c r="AB40" s="36" t="n"/>
      <c r="AC40" s="34" t="n"/>
      <c r="AD40" s="36" t="n"/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n"/>
      <c r="C41" s="34" t="n"/>
      <c r="D41" s="34" t="n"/>
      <c r="E41" s="34" t="n"/>
      <c r="F41" s="36" t="n"/>
      <c r="G41" s="36" t="n"/>
      <c r="H41" s="36" t="n"/>
      <c r="I41" s="36" t="n"/>
      <c r="J41" s="36" t="n"/>
      <c r="K41" s="34" t="n"/>
      <c r="L41" s="34" t="n"/>
      <c r="M41" s="34" t="n"/>
      <c r="N41" s="34" t="n"/>
      <c r="O41" s="50">
        <f>IF(N(AH41)&gt;1,"중복 "&amp;AH41&amp;"곳"&amp;IF(AK41=1," · 최저가",IF(AND(N41="견적접수",R41&lt;&gt;"")," · 비쌈","")),"")</f>
        <v/>
      </c>
      <c r="P41" s="34" t="n"/>
      <c r="Q41" s="51" t="n"/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/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n"/>
      <c r="Y41" s="34" t="n"/>
      <c r="Z41" s="56" t="n"/>
      <c r="AA41" s="54">
        <f>IF(OR(Z41="",Y41=""),"",Z41+Y41)</f>
        <v/>
      </c>
      <c r="AB41" s="36" t="n"/>
      <c r="AC41" s="34" t="n"/>
      <c r="AD41" s="36" t="n"/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n"/>
      <c r="C42" s="34" t="n"/>
      <c r="D42" s="34" t="n"/>
      <c r="E42" s="34" t="n"/>
      <c r="F42" s="36" t="n"/>
      <c r="G42" s="36" t="n"/>
      <c r="H42" s="36" t="n"/>
      <c r="I42" s="36" t="n"/>
      <c r="J42" s="36" t="n"/>
      <c r="K42" s="34" t="n"/>
      <c r="L42" s="34" t="n"/>
      <c r="M42" s="34" t="n"/>
      <c r="N42" s="34" t="n"/>
      <c r="O42" s="50">
        <f>IF(N(AH42)&gt;1,"중복 "&amp;AH42&amp;"곳"&amp;IF(AK42=1," · 최저가",IF(AND(N42="견적접수",R42&lt;&gt;"")," · 비쌈","")),"")</f>
        <v/>
      </c>
      <c r="P42" s="34" t="n"/>
      <c r="Q42" s="51" t="n"/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/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n"/>
      <c r="Y42" s="34" t="n"/>
      <c r="Z42" s="56" t="n"/>
      <c r="AA42" s="54">
        <f>IF(OR(Z42="",Y42=""),"",Z42+Y42)</f>
        <v/>
      </c>
      <c r="AB42" s="36" t="n"/>
      <c r="AC42" s="34" t="n"/>
      <c r="AD42" s="36" t="n"/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n"/>
      <c r="C43" s="34" t="n"/>
      <c r="D43" s="34" t="n"/>
      <c r="E43" s="34" t="n"/>
      <c r="F43" s="36" t="n"/>
      <c r="G43" s="36" t="n"/>
      <c r="H43" s="36" t="n"/>
      <c r="I43" s="36" t="n"/>
      <c r="J43" s="36" t="n"/>
      <c r="K43" s="34" t="n"/>
      <c r="L43" s="34" t="n"/>
      <c r="M43" s="34" t="n"/>
      <c r="N43" s="34" t="n"/>
      <c r="O43" s="50">
        <f>IF(N(AH43)&gt;1,"중복 "&amp;AH43&amp;"곳"&amp;IF(AK43=1," · 최저가",IF(AND(N43="견적접수",R43&lt;&gt;"")," · 비쌈","")),"")</f>
        <v/>
      </c>
      <c r="P43" s="34" t="n"/>
      <c r="Q43" s="51" t="n"/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/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n"/>
      <c r="Y43" s="34" t="n"/>
      <c r="Z43" s="56" t="n"/>
      <c r="AA43" s="54">
        <f>IF(OR(Z43="",Y43=""),"",Z43+Y43)</f>
        <v/>
      </c>
      <c r="AB43" s="36" t="n"/>
      <c r="AC43" s="34" t="n"/>
      <c r="AD43" s="36" t="n"/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n"/>
      <c r="C44" s="34" t="n"/>
      <c r="D44" s="34" t="n"/>
      <c r="E44" s="34" t="n"/>
      <c r="F44" s="36" t="n"/>
      <c r="G44" s="36" t="n"/>
      <c r="H44" s="36" t="n"/>
      <c r="I44" s="36" t="n"/>
      <c r="J44" s="36" t="n"/>
      <c r="K44" s="34" t="n"/>
      <c r="L44" s="34" t="n"/>
      <c r="M44" s="34" t="n"/>
      <c r="N44" s="34" t="n"/>
      <c r="O44" s="50">
        <f>IF(N(AH44)&gt;1,"중복 "&amp;AH44&amp;"곳"&amp;IF(AK44=1," · 최저가",IF(AND(N44="견적접수",R44&lt;&gt;"")," · 비쌈","")),"")</f>
        <v/>
      </c>
      <c r="P44" s="34" t="n"/>
      <c r="Q44" s="51" t="n"/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/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n"/>
      <c r="Y44" s="34" t="n"/>
      <c r="Z44" s="56" t="n"/>
      <c r="AA44" s="54">
        <f>IF(OR(Z44="",Y44=""),"",Z44+Y44)</f>
        <v/>
      </c>
      <c r="AB44" s="36" t="n"/>
      <c r="AC44" s="34" t="n"/>
      <c r="AD44" s="36" t="n"/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n"/>
      <c r="C45" s="34" t="n"/>
      <c r="D45" s="34" t="n"/>
      <c r="E45" s="34" t="n"/>
      <c r="F45" s="36" t="n"/>
      <c r="G45" s="36" t="n"/>
      <c r="H45" s="36" t="n"/>
      <c r="I45" s="36" t="n"/>
      <c r="J45" s="36" t="n"/>
      <c r="K45" s="34" t="n"/>
      <c r="L45" s="34" t="n"/>
      <c r="M45" s="34" t="n"/>
      <c r="N45" s="34" t="n"/>
      <c r="O45" s="50">
        <f>IF(N(AH45)&gt;1,"중복 "&amp;AH45&amp;"곳"&amp;IF(AK45=1," · 최저가",IF(AND(N45="견적접수",R45&lt;&gt;"")," · 비쌈","")),"")</f>
        <v/>
      </c>
      <c r="P45" s="34" t="n"/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n"/>
      <c r="Y45" s="34" t="n"/>
      <c r="Z45" s="56" t="n"/>
      <c r="AA45" s="54">
        <f>IF(OR(Z45="",Y45=""),"",Z45+Y45)</f>
        <v/>
      </c>
      <c r="AB45" s="36" t="n"/>
      <c r="AC45" s="34" t="n"/>
      <c r="AD45" s="36" t="n"/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n"/>
      <c r="C46" s="34" t="n"/>
      <c r="D46" s="34" t="n"/>
      <c r="E46" s="34" t="n"/>
      <c r="F46" s="36" t="n"/>
      <c r="G46" s="36" t="n"/>
      <c r="H46" s="36" t="n"/>
      <c r="I46" s="36" t="n"/>
      <c r="J46" s="36" t="n"/>
      <c r="K46" s="34" t="n"/>
      <c r="L46" s="34" t="n"/>
      <c r="M46" s="34" t="n"/>
      <c r="N46" s="34" t="n"/>
      <c r="O46" s="50">
        <f>IF(N(AH46)&gt;1,"중복 "&amp;AH46&amp;"곳"&amp;IF(AK46=1," · 최저가",IF(AND(N46="견적접수",R46&lt;&gt;"")," · 비쌈","")),"")</f>
        <v/>
      </c>
      <c r="P46" s="34" t="n"/>
      <c r="Q46" s="51" t="n"/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/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n"/>
      <c r="Y46" s="34" t="n"/>
      <c r="Z46" s="56" t="n"/>
      <c r="AA46" s="54">
        <f>IF(OR(Z46="",Y46=""),"",Z46+Y46)</f>
        <v/>
      </c>
      <c r="AB46" s="36" t="n"/>
      <c r="AC46" s="34" t="n"/>
      <c r="AD46" s="36" t="n"/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n"/>
      <c r="C47" s="34" t="n"/>
      <c r="D47" s="34" t="n"/>
      <c r="E47" s="34" t="n"/>
      <c r="F47" s="36" t="n"/>
      <c r="G47" s="36" t="n"/>
      <c r="H47" s="36" t="n"/>
      <c r="I47" s="36" t="n"/>
      <c r="J47" s="36" t="n"/>
      <c r="K47" s="34" t="n"/>
      <c r="L47" s="34" t="n"/>
      <c r="M47" s="34" t="n"/>
      <c r="N47" s="34" t="n"/>
      <c r="O47" s="50">
        <f>IF(N(AH47)&gt;1,"중복 "&amp;AH47&amp;"곳"&amp;IF(AK47=1," · 최저가",IF(AND(N47="견적접수",R47&lt;&gt;"")," · 비쌈","")),"")</f>
        <v/>
      </c>
      <c r="P47" s="34" t="n"/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n"/>
      <c r="Y47" s="34" t="n"/>
      <c r="Z47" s="56" t="n"/>
      <c r="AA47" s="54">
        <f>IF(OR(Z47="",Y47=""),"",Z47+Y47)</f>
        <v/>
      </c>
      <c r="AB47" s="36" t="n"/>
      <c r="AC47" s="34" t="n"/>
      <c r="AD47" s="36" t="n"/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n"/>
      <c r="C48" s="34" t="n"/>
      <c r="D48" s="34" t="n"/>
      <c r="E48" s="34" t="n"/>
      <c r="F48" s="36" t="n"/>
      <c r="G48" s="36" t="n"/>
      <c r="H48" s="36" t="n"/>
      <c r="I48" s="36" t="n"/>
      <c r="J48" s="36" t="n"/>
      <c r="K48" s="34" t="n"/>
      <c r="L48" s="34" t="n"/>
      <c r="M48" s="34" t="n"/>
      <c r="N48" s="34" t="n"/>
      <c r="O48" s="50">
        <f>IF(N(AH48)&gt;1,"중복 "&amp;AH48&amp;"곳"&amp;IF(AK48=1," · 최저가",IF(AND(N48="견적접수",R48&lt;&gt;"")," · 비쌈","")),"")</f>
        <v/>
      </c>
      <c r="P48" s="34" t="n"/>
      <c r="Q48" s="51" t="n"/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/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n"/>
      <c r="Y48" s="34" t="n"/>
      <c r="Z48" s="56" t="n"/>
      <c r="AA48" s="54">
        <f>IF(OR(Z48="",Y48=""),"",Z48+Y48)</f>
        <v/>
      </c>
      <c r="AB48" s="36" t="n"/>
      <c r="AC48" s="34" t="n"/>
      <c r="AD48" s="36" t="n"/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n"/>
      <c r="C49" s="34" t="n"/>
      <c r="D49" s="34" t="n"/>
      <c r="E49" s="34" t="n"/>
      <c r="F49" s="36" t="n"/>
      <c r="G49" s="36" t="n"/>
      <c r="H49" s="36" t="n"/>
      <c r="I49" s="36" t="n"/>
      <c r="J49" s="36" t="n"/>
      <c r="K49" s="34" t="n"/>
      <c r="L49" s="34" t="n"/>
      <c r="M49" s="34" t="n"/>
      <c r="N49" s="34" t="n"/>
      <c r="O49" s="50">
        <f>IF(N(AH49)&gt;1,"중복 "&amp;AH49&amp;"곳"&amp;IF(AK49=1," · 최저가",IF(AND(N49="견적접수",R49&lt;&gt;"")," · 비쌈","")),"")</f>
        <v/>
      </c>
      <c r="P49" s="34" t="n"/>
      <c r="Q49" s="51" t="n"/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/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n"/>
      <c r="Y49" s="34" t="n"/>
      <c r="Z49" s="56" t="n"/>
      <c r="AA49" s="54">
        <f>IF(OR(Z49="",Y49=""),"",Z49+Y49)</f>
        <v/>
      </c>
      <c r="AB49" s="36" t="n"/>
      <c r="AC49" s="34" t="n"/>
      <c r="AD49" s="36" t="n"/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n"/>
      <c r="C50" s="34" t="n"/>
      <c r="D50" s="34" t="n"/>
      <c r="E50" s="34" t="n"/>
      <c r="F50" s="36" t="n"/>
      <c r="G50" s="36" t="n"/>
      <c r="H50" s="36" t="n"/>
      <c r="I50" s="36" t="n"/>
      <c r="J50" s="36" t="n"/>
      <c r="K50" s="34" t="n"/>
      <c r="L50" s="34" t="n"/>
      <c r="M50" s="34" t="n"/>
      <c r="N50" s="34" t="n"/>
      <c r="O50" s="50">
        <f>IF(N(AH50)&gt;1,"중복 "&amp;AH50&amp;"곳"&amp;IF(AK50=1," · 최저가",IF(AND(N50="견적접수",R50&lt;&gt;"")," · 비쌈","")),"")</f>
        <v/>
      </c>
      <c r="P50" s="34" t="n"/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n"/>
      <c r="Y50" s="34" t="n"/>
      <c r="Z50" s="56" t="n"/>
      <c r="AA50" s="54">
        <f>IF(OR(Z50="",Y50=""),"",Z50+Y50)</f>
        <v/>
      </c>
      <c r="AB50" s="36" t="n"/>
      <c r="AC50" s="34" t="n"/>
      <c r="AD50" s="36" t="n"/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n"/>
      <c r="C51" s="34" t="n"/>
      <c r="D51" s="34" t="n"/>
      <c r="E51" s="34" t="n"/>
      <c r="F51" s="36" t="n"/>
      <c r="G51" s="36" t="n"/>
      <c r="H51" s="36" t="n"/>
      <c r="I51" s="36" t="n"/>
      <c r="J51" s="36" t="n"/>
      <c r="K51" s="34" t="n"/>
      <c r="L51" s="34" t="n"/>
      <c r="M51" s="34" t="n"/>
      <c r="N51" s="34" t="n"/>
      <c r="O51" s="50">
        <f>IF(N(AH51)&gt;1,"중복 "&amp;AH51&amp;"곳"&amp;IF(AK51=1," · 최저가",IF(AND(N51="견적접수",R51&lt;&gt;"")," · 비쌈","")),"")</f>
        <v/>
      </c>
      <c r="P51" s="34" t="n"/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6" t="n"/>
      <c r="AA51" s="54">
        <f>IF(OR(Z51="",Y51=""),"",Z51+Y51)</f>
        <v/>
      </c>
      <c r="AB51" s="36" t="n"/>
      <c r="AC51" s="34" t="n"/>
      <c r="AD51" s="36" t="n"/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n"/>
      <c r="C52" s="34" t="n"/>
      <c r="D52" s="34" t="n"/>
      <c r="E52" s="34" t="n"/>
      <c r="F52" s="36" t="n"/>
      <c r="G52" s="36" t="n"/>
      <c r="H52" s="36" t="n"/>
      <c r="I52" s="36" t="n"/>
      <c r="J52" s="36" t="n"/>
      <c r="K52" s="34" t="n"/>
      <c r="L52" s="34" t="n"/>
      <c r="M52" s="34" t="n"/>
      <c r="N52" s="34" t="n"/>
      <c r="O52" s="50">
        <f>IF(N(AH52)&gt;1,"중복 "&amp;AH52&amp;"곳"&amp;IF(AK52=1," · 최저가",IF(AND(N52="견적접수",R52&lt;&gt;"")," · 비쌈","")),"")</f>
        <v/>
      </c>
      <c r="P52" s="34" t="n"/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6" t="n"/>
      <c r="AA52" s="54">
        <f>IF(OR(Z52="",Y52=""),"",Z52+Y52)</f>
        <v/>
      </c>
      <c r="AB52" s="36" t="n"/>
      <c r="AC52" s="34" t="n"/>
      <c r="AD52" s="36" t="n"/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n"/>
      <c r="C53" s="34" t="n"/>
      <c r="D53" s="34" t="n"/>
      <c r="E53" s="34" t="n"/>
      <c r="F53" s="36" t="n"/>
      <c r="G53" s="36" t="n"/>
      <c r="H53" s="36" t="n"/>
      <c r="I53" s="36" t="n"/>
      <c r="J53" s="36" t="n"/>
      <c r="K53" s="34" t="n"/>
      <c r="L53" s="34" t="n"/>
      <c r="M53" s="34" t="n"/>
      <c r="N53" s="34" t="n"/>
      <c r="O53" s="50">
        <f>IF(N(AH53)&gt;1,"중복 "&amp;AH53&amp;"곳"&amp;IF(AK53=1," · 최저가",IF(AND(N53="견적접수",R53&lt;&gt;"")," · 비쌈","")),"")</f>
        <v/>
      </c>
      <c r="P53" s="34" t="n"/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6" t="n"/>
      <c r="AA53" s="54">
        <f>IF(OR(Z53="",Y53=""),"",Z53+Y53)</f>
        <v/>
      </c>
      <c r="AB53" s="36" t="n"/>
      <c r="AC53" s="34" t="n"/>
      <c r="AD53" s="36" t="n"/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n"/>
      <c r="C54" s="34" t="n"/>
      <c r="D54" s="34" t="n"/>
      <c r="E54" s="34" t="n"/>
      <c r="F54" s="36" t="n"/>
      <c r="G54" s="36" t="n"/>
      <c r="H54" s="36" t="n"/>
      <c r="I54" s="36" t="n"/>
      <c r="J54" s="36" t="n"/>
      <c r="K54" s="34" t="n"/>
      <c r="L54" s="34" t="n"/>
      <c r="M54" s="34" t="n"/>
      <c r="N54" s="34" t="n"/>
      <c r="O54" s="50">
        <f>IF(N(AH54)&gt;1,"중복 "&amp;AH54&amp;"곳"&amp;IF(AK54=1," · 최저가",IF(AND(N54="견적접수",R54&lt;&gt;"")," · 비쌈","")),"")</f>
        <v/>
      </c>
      <c r="P54" s="34" t="n"/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6" t="n"/>
      <c r="AA54" s="54">
        <f>IF(OR(Z54="",Y54=""),"",Z54+Y54)</f>
        <v/>
      </c>
      <c r="AB54" s="36" t="n"/>
      <c r="AC54" s="34" t="n"/>
      <c r="AD54" s="36" t="n"/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n"/>
      <c r="C55" s="34" t="n"/>
      <c r="D55" s="34" t="n"/>
      <c r="E55" s="34" t="n"/>
      <c r="F55" s="36" t="n"/>
      <c r="G55" s="36" t="n"/>
      <c r="H55" s="36" t="n"/>
      <c r="I55" s="36" t="n"/>
      <c r="J55" s="36" t="n"/>
      <c r="K55" s="34" t="n"/>
      <c r="L55" s="34" t="n"/>
      <c r="M55" s="34" t="n"/>
      <c r="N55" s="34" t="n"/>
      <c r="O55" s="50">
        <f>IF(N(AH55)&gt;1,"중복 "&amp;AH55&amp;"곳"&amp;IF(AK55=1," · 최저가",IF(AND(N55="견적접수",R55&lt;&gt;"")," · 비쌈","")),"")</f>
        <v/>
      </c>
      <c r="P55" s="34" t="n"/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6" t="n"/>
      <c r="AA55" s="54">
        <f>IF(OR(Z55="",Y55=""),"",Z55+Y55)</f>
        <v/>
      </c>
      <c r="AB55" s="36" t="n"/>
      <c r="AC55" s="34" t="n"/>
      <c r="AD55" s="36" t="n"/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n"/>
      <c r="C56" s="34" t="n"/>
      <c r="D56" s="34" t="n"/>
      <c r="E56" s="34" t="n"/>
      <c r="F56" s="36" t="n"/>
      <c r="G56" s="36" t="n"/>
      <c r="H56" s="36" t="n"/>
      <c r="I56" s="36" t="n"/>
      <c r="J56" s="36" t="n"/>
      <c r="K56" s="34" t="n"/>
      <c r="L56" s="34" t="n"/>
      <c r="M56" s="34" t="n"/>
      <c r="N56" s="34" t="n"/>
      <c r="O56" s="50">
        <f>IF(N(AH56)&gt;1,"중복 "&amp;AH56&amp;"곳"&amp;IF(AK56=1," · 최저가",IF(AND(N56="견적접수",R56&lt;&gt;"")," · 비쌈","")),"")</f>
        <v/>
      </c>
      <c r="P56" s="34" t="n"/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6" t="n"/>
      <c r="AA56" s="54">
        <f>IF(OR(Z56="",Y56=""),"",Z56+Y56)</f>
        <v/>
      </c>
      <c r="AB56" s="36" t="n"/>
      <c r="AC56" s="34" t="n"/>
      <c r="AD56" s="36" t="n"/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n"/>
      <c r="C57" s="34" t="n"/>
      <c r="D57" s="34" t="n"/>
      <c r="E57" s="34" t="n"/>
      <c r="F57" s="36" t="n"/>
      <c r="G57" s="36" t="n"/>
      <c r="H57" s="36" t="n"/>
      <c r="I57" s="36" t="n"/>
      <c r="J57" s="36" t="n"/>
      <c r="K57" s="34" t="n"/>
      <c r="L57" s="34" t="n"/>
      <c r="M57" s="34" t="n"/>
      <c r="N57" s="34" t="n"/>
      <c r="O57" s="50">
        <f>IF(N(AH57)&gt;1,"중복 "&amp;AH57&amp;"곳"&amp;IF(AK57=1," · 최저가",IF(AND(N57="견적접수",R57&lt;&gt;"")," · 비쌈","")),"")</f>
        <v/>
      </c>
      <c r="P57" s="34" t="n"/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6" t="n"/>
      <c r="AA57" s="54">
        <f>IF(OR(Z57="",Y57=""),"",Z57+Y57)</f>
        <v/>
      </c>
      <c r="AB57" s="36" t="n"/>
      <c r="AC57" s="34" t="n"/>
      <c r="AD57" s="36" t="n"/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n"/>
      <c r="C58" s="34" t="n"/>
      <c r="D58" s="34" t="n"/>
      <c r="E58" s="34" t="n"/>
      <c r="F58" s="36" t="n"/>
      <c r="G58" s="36" t="n"/>
      <c r="H58" s="36" t="n"/>
      <c r="I58" s="36" t="n"/>
      <c r="J58" s="36" t="n"/>
      <c r="K58" s="34" t="n"/>
      <c r="L58" s="34" t="n"/>
      <c r="M58" s="34" t="n"/>
      <c r="N58" s="34" t="n"/>
      <c r="O58" s="50">
        <f>IF(N(AH58)&gt;1,"중복 "&amp;AH58&amp;"곳"&amp;IF(AK58=1," · 최저가",IF(AND(N58="견적접수",R58&lt;&gt;"")," · 비쌈","")),"")</f>
        <v/>
      </c>
      <c r="P58" s="34" t="n"/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6" t="n"/>
      <c r="AA58" s="54">
        <f>IF(OR(Z58="",Y58=""),"",Z58+Y58)</f>
        <v/>
      </c>
      <c r="AB58" s="36" t="n"/>
      <c r="AC58" s="34" t="n"/>
      <c r="AD58" s="36" t="n"/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n"/>
      <c r="C59" s="34" t="n"/>
      <c r="D59" s="34" t="n"/>
      <c r="E59" s="34" t="n"/>
      <c r="F59" s="36" t="n"/>
      <c r="G59" s="36" t="n"/>
      <c r="H59" s="36" t="n"/>
      <c r="I59" s="36" t="n"/>
      <c r="J59" s="36" t="n"/>
      <c r="K59" s="34" t="n"/>
      <c r="L59" s="34" t="n"/>
      <c r="M59" s="34" t="n"/>
      <c r="N59" s="34" t="n"/>
      <c r="O59" s="50">
        <f>IF(N(AH59)&gt;1,"중복 "&amp;AH59&amp;"곳"&amp;IF(AK59=1," · 최저가",IF(AND(N59="견적접수",R59&lt;&gt;"")," · 비쌈","")),"")</f>
        <v/>
      </c>
      <c r="P59" s="34" t="n"/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6" t="n"/>
      <c r="AA59" s="54">
        <f>IF(OR(Z59="",Y59=""),"",Z59+Y59)</f>
        <v/>
      </c>
      <c r="AB59" s="36" t="n"/>
      <c r="AC59" s="34" t="n"/>
      <c r="AD59" s="36" t="n"/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n"/>
      <c r="C60" s="34" t="n"/>
      <c r="D60" s="34" t="n"/>
      <c r="E60" s="34" t="n"/>
      <c r="F60" s="36" t="n"/>
      <c r="G60" s="36" t="n"/>
      <c r="H60" s="36" t="n"/>
      <c r="I60" s="36" t="n"/>
      <c r="J60" s="36" t="n"/>
      <c r="K60" s="34" t="n"/>
      <c r="L60" s="34" t="n"/>
      <c r="M60" s="34" t="n"/>
      <c r="N60" s="34" t="n"/>
      <c r="O60" s="50">
        <f>IF(N(AH60)&gt;1,"중복 "&amp;AH60&amp;"곳"&amp;IF(AK60=1," · 최저가",IF(AND(N60="견적접수",R60&lt;&gt;"")," · 비쌈","")),"")</f>
        <v/>
      </c>
      <c r="P60" s="34" t="n"/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6" t="n"/>
      <c r="AA60" s="54">
        <f>IF(OR(Z60="",Y60=""),"",Z60+Y60)</f>
        <v/>
      </c>
      <c r="AB60" s="36" t="n"/>
      <c r="AC60" s="34" t="n"/>
      <c r="AD60" s="36" t="n"/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n"/>
      <c r="C61" s="34" t="n"/>
      <c r="D61" s="34" t="n"/>
      <c r="E61" s="34" t="n"/>
      <c r="F61" s="36" t="n"/>
      <c r="G61" s="36" t="n"/>
      <c r="H61" s="36" t="n"/>
      <c r="I61" s="36" t="n"/>
      <c r="J61" s="36" t="n"/>
      <c r="K61" s="34" t="n"/>
      <c r="L61" s="34" t="n"/>
      <c r="M61" s="34" t="n"/>
      <c r="N61" s="34" t="n"/>
      <c r="O61" s="50">
        <f>IF(N(AH61)&gt;1,"중복 "&amp;AH61&amp;"곳"&amp;IF(AK61=1," · 최저가",IF(AND(N61="견적접수",R61&lt;&gt;"")," · 비쌈","")),"")</f>
        <v/>
      </c>
      <c r="P61" s="34" t="n"/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6" t="n"/>
      <c r="AA61" s="54">
        <f>IF(OR(Z61="",Y61=""),"",Z61+Y61)</f>
        <v/>
      </c>
      <c r="AB61" s="36" t="n"/>
      <c r="AC61" s="34" t="n"/>
      <c r="AD61" s="36" t="n"/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n"/>
      <c r="C62" s="34" t="n"/>
      <c r="D62" s="34" t="n"/>
      <c r="E62" s="34" t="n"/>
      <c r="F62" s="36" t="n"/>
      <c r="G62" s="36" t="n"/>
      <c r="H62" s="36" t="n"/>
      <c r="I62" s="36" t="n"/>
      <c r="J62" s="36" t="n"/>
      <c r="K62" s="34" t="n"/>
      <c r="L62" s="34" t="n"/>
      <c r="M62" s="34" t="n"/>
      <c r="N62" s="34" t="n"/>
      <c r="O62" s="50">
        <f>IF(N(AH62)&gt;1,"중복 "&amp;AH62&amp;"곳"&amp;IF(AK62=1," · 최저가",IF(AND(N62="견적접수",R62&lt;&gt;"")," · 비쌈","")),"")</f>
        <v/>
      </c>
      <c r="P62" s="34" t="n"/>
      <c r="Q62" s="51" t="n"/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/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/>
      <c r="AA62" s="54">
        <f>IF(OR(Z62="",Y62=""),"",Z62+Y62)</f>
        <v/>
      </c>
      <c r="AB62" s="36" t="n"/>
      <c r="AC62" s="34" t="n"/>
      <c r="AD62" s="36" t="n"/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n"/>
      <c r="C63" s="34" t="n"/>
      <c r="D63" s="34" t="n"/>
      <c r="E63" s="34" t="n"/>
      <c r="F63" s="36" t="n"/>
      <c r="G63" s="36" t="n"/>
      <c r="H63" s="36" t="n"/>
      <c r="I63" s="36" t="n"/>
      <c r="J63" s="36" t="n"/>
      <c r="K63" s="34" t="n"/>
      <c r="L63" s="34" t="n"/>
      <c r="M63" s="34" t="n"/>
      <c r="N63" s="34" t="n"/>
      <c r="O63" s="50">
        <f>IF(N(AH63)&gt;1,"중복 "&amp;AH63&amp;"곳"&amp;IF(AK63=1," · 최저가",IF(AND(N63="견적접수",R63&lt;&gt;"")," · 비쌈","")),"")</f>
        <v/>
      </c>
      <c r="P63" s="34" t="n"/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6" t="n"/>
      <c r="AA63" s="54">
        <f>IF(OR(Z63="",Y63=""),"",Z63+Y63)</f>
        <v/>
      </c>
      <c r="AB63" s="36" t="n"/>
      <c r="AC63" s="34" t="n"/>
      <c r="AD63" s="36" t="n"/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n"/>
      <c r="C64" s="34" t="n"/>
      <c r="D64" s="34" t="n"/>
      <c r="E64" s="34" t="n"/>
      <c r="F64" s="36" t="n"/>
      <c r="G64" s="36" t="n"/>
      <c r="H64" s="36" t="n"/>
      <c r="I64" s="36" t="n"/>
      <c r="J64" s="36" t="n"/>
      <c r="K64" s="34" t="n"/>
      <c r="L64" s="34" t="n"/>
      <c r="M64" s="34" t="n"/>
      <c r="N64" s="34" t="n"/>
      <c r="O64" s="50">
        <f>IF(N(AH64)&gt;1,"중복 "&amp;AH64&amp;"곳"&amp;IF(AK64=1," · 최저가",IF(AND(N64="견적접수",R64&lt;&gt;"")," · 비쌈","")),"")</f>
        <v/>
      </c>
      <c r="P64" s="34" t="n"/>
      <c r="Q64" s="51" t="n"/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/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/>
      <c r="AA64" s="54">
        <f>IF(OR(Z64="",Y64=""),"",Z64+Y64)</f>
        <v/>
      </c>
      <c r="AB64" s="36" t="n"/>
      <c r="AC64" s="34" t="n"/>
      <c r="AD64" s="36" t="n"/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n"/>
      <c r="C65" s="34" t="n"/>
      <c r="D65" s="34" t="n"/>
      <c r="E65" s="34" t="n"/>
      <c r="F65" s="36" t="n"/>
      <c r="G65" s="36" t="n"/>
      <c r="H65" s="36" t="n"/>
      <c r="I65" s="36" t="n"/>
      <c r="J65" s="36" t="n"/>
      <c r="K65" s="34" t="n"/>
      <c r="L65" s="34" t="n"/>
      <c r="M65" s="34" t="n"/>
      <c r="N65" s="34" t="n"/>
      <c r="O65" s="50">
        <f>IF(N(AH65)&gt;1,"중복 "&amp;AH65&amp;"곳"&amp;IF(AK65=1," · 최저가",IF(AND(N65="견적접수",R65&lt;&gt;"")," · 비쌈","")),"")</f>
        <v/>
      </c>
      <c r="P65" s="34" t="n"/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6" t="n"/>
      <c r="AA65" s="54">
        <f>IF(OR(Z65="",Y65=""),"",Z65+Y65)</f>
        <v/>
      </c>
      <c r="AB65" s="36" t="n"/>
      <c r="AC65" s="34" t="n"/>
      <c r="AD65" s="36" t="n"/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n"/>
      <c r="C66" s="34" t="n"/>
      <c r="D66" s="34" t="n"/>
      <c r="E66" s="34" t="n"/>
      <c r="F66" s="36" t="n"/>
      <c r="G66" s="36" t="n"/>
      <c r="H66" s="36" t="n"/>
      <c r="I66" s="36" t="n"/>
      <c r="J66" s="36" t="n"/>
      <c r="K66" s="34" t="n"/>
      <c r="L66" s="34" t="n"/>
      <c r="M66" s="34" t="n"/>
      <c r="N66" s="34" t="n"/>
      <c r="O66" s="50">
        <f>IF(N(AH66)&gt;1,"중복 "&amp;AH66&amp;"곳"&amp;IF(AK66=1," · 최저가",IF(AND(N66="견적접수",R66&lt;&gt;"")," · 비쌈","")),"")</f>
        <v/>
      </c>
      <c r="P66" s="34" t="n"/>
      <c r="Q66" s="51" t="n"/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/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/>
      <c r="AA66" s="54">
        <f>IF(OR(Z66="",Y66=""),"",Z66+Y66)</f>
        <v/>
      </c>
      <c r="AB66" s="36" t="n"/>
      <c r="AC66" s="34" t="n"/>
      <c r="AD66" s="36" t="n"/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n"/>
      <c r="C67" s="34" t="n"/>
      <c r="D67" s="34" t="n"/>
      <c r="E67" s="34" t="n"/>
      <c r="F67" s="36" t="n"/>
      <c r="G67" s="36" t="n"/>
      <c r="H67" s="36" t="n"/>
      <c r="I67" s="36" t="n"/>
      <c r="J67" s="36" t="n"/>
      <c r="K67" s="34" t="n"/>
      <c r="L67" s="34" t="n"/>
      <c r="M67" s="34" t="n"/>
      <c r="N67" s="34" t="n"/>
      <c r="O67" s="50">
        <f>IF(N(AH67)&gt;1,"중복 "&amp;AH67&amp;"곳"&amp;IF(AK67=1," · 최저가",IF(AND(N67="견적접수",R67&lt;&gt;"")," · 비쌈","")),"")</f>
        <v/>
      </c>
      <c r="P67" s="34" t="n"/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6" t="n"/>
      <c r="AA67" s="54">
        <f>IF(OR(Z67="",Y67=""),"",Z67+Y67)</f>
        <v/>
      </c>
      <c r="AB67" s="36" t="n"/>
      <c r="AC67" s="34" t="n"/>
      <c r="AD67" s="36" t="n"/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n"/>
      <c r="C68" s="34" t="n"/>
      <c r="D68" s="34" t="n"/>
      <c r="E68" s="34" t="n"/>
      <c r="F68" s="36" t="n"/>
      <c r="G68" s="36" t="n"/>
      <c r="H68" s="36" t="n"/>
      <c r="I68" s="36" t="n"/>
      <c r="J68" s="36" t="n"/>
      <c r="K68" s="34" t="n"/>
      <c r="L68" s="34" t="n"/>
      <c r="M68" s="34" t="n"/>
      <c r="N68" s="34" t="n"/>
      <c r="O68" s="50">
        <f>IF(N(AH68)&gt;1,"중복 "&amp;AH68&amp;"곳"&amp;IF(AK68=1," · 최저가",IF(AND(N68="견적접수",R68&lt;&gt;"")," · 비쌈","")),"")</f>
        <v/>
      </c>
      <c r="P68" s="34" t="n"/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6" t="n"/>
      <c r="AA68" s="54">
        <f>IF(OR(Z68="",Y68=""),"",Z68+Y68)</f>
        <v/>
      </c>
      <c r="AB68" s="36" t="n"/>
      <c r="AC68" s="34" t="n"/>
      <c r="AD68" s="36" t="n"/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8곳)" type="list">
      <formula1>=설정!$E$5:$E$12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/>
  </sheetPr>
  <dimension ref="A1:AK205"/>
  <sheetViews>
    <sheetView zoomScale="9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" customWidth="1" min="3" max="3"/>
    <col width="5" customWidth="1" min="4" max="4"/>
    <col width="11" customWidth="1" min="5" max="5"/>
    <col width="28" customWidth="1" min="6" max="6"/>
    <col width="18" customWidth="1" min="7" max="7"/>
    <col width="22" customWidth="1" min="8" max="8"/>
    <col width="16" customWidth="1" min="9" max="9"/>
    <col width="22" customWidth="1" min="10" max="10"/>
    <col width="6" customWidth="1" min="11" max="11"/>
    <col width="6" customWidth="1" min="12" max="12"/>
    <col width="8" customWidth="1" min="13" max="13"/>
    <col width="10" customWidth="1" min="14" max="14"/>
    <col width="15" customWidth="1" min="15" max="15"/>
    <col width="6" customWidth="1" min="16" max="16"/>
    <col width="11" customWidth="1" min="17" max="17"/>
    <col width="11" customWidth="1" min="18" max="18"/>
    <col width="13" customWidth="1" min="19" max="19"/>
    <col width="7" customWidth="1" min="20" max="20"/>
    <col width="11" customWidth="1" min="21" max="21"/>
    <col width="11" customWidth="1" min="22" max="22"/>
    <col width="10" customWidth="1" min="23" max="23"/>
    <col width="14" customWidth="1" min="24" max="24"/>
    <col width="6" customWidth="1" min="25" max="25"/>
    <col width="11" customWidth="1" min="26" max="26"/>
    <col width="11" customWidth="1" min="27" max="27"/>
    <col width="34" customWidth="1" min="28" max="28"/>
    <col width="13" customWidth="1" min="29" max="29"/>
    <col width="32" customWidth="1" min="30" max="30"/>
    <col hidden="1" width="12" customWidth="1" min="31" max="31"/>
    <col hidden="1" width="12" customWidth="1" min="32" max="32"/>
    <col hidden="1" width="5" customWidth="1" min="33" max="33"/>
    <col hidden="1" width="5" customWidth="1" min="34" max="34"/>
    <col hidden="1" width="5" customWidth="1" min="35" max="35"/>
    <col hidden="1" width="5" customWidth="1" min="36" max="36"/>
    <col hidden="1" width="5" customWidth="1" min="37" max="37"/>
  </cols>
  <sheetData>
    <row r="1">
      <c r="A1" s="1" t="inlineStr">
        <is>
          <t>ONEIROI</t>
        </is>
      </c>
      <c r="F1" s="57" t="inlineStr">
        <is>
          <t>IMO 9958327   ·   URGENT   ·   RFQ상 납품항/ETA: Europe - port TBA</t>
        </is>
      </c>
    </row>
    <row r="2" ht="24" customHeight="1">
      <c r="A2" s="41">
        <f>IFERROR(IF(N(INDEX(스케줄!$C$5:$C$14,MATCH("ONEIROI",스케줄!$A$5:$A$14,0)))=0,"다음 일정: 미정 (스케줄 시트에 입력)","다음 일정: "&amp;INDEX(스케줄!$B$5:$B$14,MATCH("ONEIROI",스케줄!$A$5:$A$14,0))&amp;"  "&amp;TEXT(INDEX(스케줄!$C$5:$C$14,MATCH("ONEIROI",스케줄!$A$5:$A$14,0)),"mm/dd")&amp;IF(N(INDEX(스케줄!$D$5:$D$14,MATCH("ONEIROI",스케줄!$A$5:$A$14,0)))=0,"","~"&amp;TEXT(INDEX(스케줄!$D$5:$D$14,MATCH("ONEIROI",스케줄!$A$5:$A$14,0)),"mm/dd"))),"")</f>
        <v/>
      </c>
      <c r="G2" s="42">
        <f>IFERROR(INDEX(스케줄!$I$5:$I$14,MATCH("ONEIROI",스케줄!$A$5:$A$14,0)),"")</f>
        <v/>
      </c>
      <c r="H2" s="43">
        <f>IFERROR(INDEX(스케줄!$J$5:$J$14,MATCH("ONEIROI",스케줄!$A$5:$A$14,0)),"")</f>
        <v/>
      </c>
      <c r="J2" s="44" t="inlineStr">
        <is>
          <t>출고 마감</t>
        </is>
      </c>
      <c r="K2" s="45">
        <f>IFERROR(INDEX(스케줄!$F$5:$F$14,MATCH("ONEIROI",스케줄!$A$5:$A$14,0)),"")</f>
        <v/>
      </c>
    </row>
    <row r="3" ht="26" customHeight="1">
      <c r="A3" s="46" t="inlineStr">
        <is>
          <t>품목
(중복제외)</t>
        </is>
      </c>
      <c r="B3" s="47">
        <f>SUM($AG$6:$AG$205)</f>
        <v/>
      </c>
      <c r="C3" s="46" t="inlineStr">
        <is>
          <t>견적확보</t>
        </is>
      </c>
      <c r="D3" s="47">
        <f>SUM($AJ$6:$AJ$205)</f>
        <v/>
      </c>
      <c r="E3" s="46" t="inlineStr">
        <is>
          <t>미확보</t>
        </is>
      </c>
      <c r="F3" s="47">
        <f>SUM($AG$6:$AG$205)-SUM($AJ$6:$AJ$205)</f>
        <v/>
      </c>
      <c r="G3" s="46" t="inlineStr">
        <is>
          <t>중복견적</t>
        </is>
      </c>
      <c r="H3" s="47">
        <f>COUNT($AI$6:$AI$205)</f>
        <v/>
      </c>
      <c r="I3" s="46" t="inlineStr">
        <is>
          <t>확인필요
(건)</t>
        </is>
      </c>
      <c r="J3" s="47">
        <f>COUNTIF($N$6:$N$205,"확인필요")</f>
        <v/>
      </c>
      <c r="K3" s="46" t="inlineStr">
        <is>
          <t>공급불가
(건)</t>
        </is>
      </c>
      <c r="L3" s="47">
        <f>COUNTIF($N$6:$N$205,"공급불가")</f>
        <v/>
      </c>
      <c r="M3" s="46" t="inlineStr">
        <is>
          <t>최저가 합계 (KRW)</t>
        </is>
      </c>
      <c r="N3" s="30" t="n"/>
      <c r="O3" s="48">
        <f>SUMIFS($S$6:$S$205,$AK$6:$AK$205,1)</f>
        <v/>
      </c>
    </row>
    <row r="4">
      <c r="A4" s="2" t="inlineStr">
        <is>
          <t>노란 칸 = 입력 / 회색 칸 = 자동 · 다른 업체 견적은 같은 RFQ No.·항목#로 아래 줄에 추가하면 '중복/비교'에 자동 표시되고 '중복견적' 시트에 모임 · 일정은 '스케줄' 시트</t>
        </is>
      </c>
    </row>
    <row r="5" ht="32" customHeight="1">
      <c r="A5" s="18" t="inlineStr">
        <is>
          <t>No</t>
        </is>
      </c>
      <c r="B5" s="4" t="inlineStr">
        <is>
          <t>RFQ No.</t>
        </is>
      </c>
      <c r="C5" s="4" t="inlineStr">
        <is>
          <t>파일</t>
        </is>
      </c>
      <c r="D5" s="4" t="inlineStr">
        <is>
          <t>항목#</t>
        </is>
      </c>
      <c r="E5" s="4" t="inlineStr">
        <is>
          <t>Maker</t>
        </is>
      </c>
      <c r="F5" s="4" t="inlineStr">
        <is>
          <t>품목 (Item)</t>
        </is>
      </c>
      <c r="G5" s="4" t="inlineStr">
        <is>
          <t>Model</t>
        </is>
      </c>
      <c r="H5" s="4" t="inlineStr">
        <is>
          <t>Part No. / Drawing</t>
        </is>
      </c>
      <c r="I5" s="4" t="inlineStr">
        <is>
          <t>Equipment / System</t>
        </is>
      </c>
      <c r="J5" s="4" t="inlineStr">
        <is>
          <t>Spec / 비고</t>
        </is>
      </c>
      <c r="K5" s="4" t="inlineStr">
        <is>
          <t>수량</t>
        </is>
      </c>
      <c r="L5" s="4" t="inlineStr">
        <is>
          <t>단위</t>
        </is>
      </c>
      <c r="M5" s="4" t="inlineStr">
        <is>
          <t>견적업체</t>
        </is>
      </c>
      <c r="N5" s="4" t="inlineStr">
        <is>
          <t>견적상태</t>
        </is>
      </c>
      <c r="O5" s="18" t="inlineStr">
        <is>
          <t>중복/비교</t>
        </is>
      </c>
      <c r="P5" s="4" t="inlineStr">
        <is>
          <t>통화</t>
        </is>
      </c>
      <c r="Q5" s="4" t="inlineStr">
        <is>
          <t>단가
(견적통화)</t>
        </is>
      </c>
      <c r="R5" s="18" t="inlineStr">
        <is>
          <t>원화
단가</t>
        </is>
      </c>
      <c r="S5" s="18" t="inlineStr">
        <is>
          <t>금액
(KRW)</t>
        </is>
      </c>
      <c r="T5" s="4" t="inlineStr">
        <is>
          <t>납기
(일)</t>
        </is>
      </c>
      <c r="U5" s="18" t="inlineStr">
        <is>
          <t>준비
예상일</t>
        </is>
      </c>
      <c r="V5" s="18" t="inlineStr">
        <is>
          <t>일정
대비</t>
        </is>
      </c>
      <c r="W5" s="4" t="inlineStr">
        <is>
          <t>정품/
OEM</t>
        </is>
      </c>
      <c r="X5" s="4" t="inlineStr">
        <is>
          <t>인도조건</t>
        </is>
      </c>
      <c r="Y5" s="4" t="inlineStr">
        <is>
          <t>유효
(일)</t>
        </is>
      </c>
      <c r="Z5" s="4" t="inlineStr">
        <is>
          <t>접수일</t>
        </is>
      </c>
      <c r="AA5" s="18" t="inlineStr">
        <is>
          <t>만료일</t>
        </is>
      </c>
      <c r="AB5" s="4" t="inlineStr">
        <is>
          <t>업체 회신 원문</t>
        </is>
      </c>
      <c r="AC5" s="4" t="inlineStr">
        <is>
          <t>진행상태</t>
        </is>
      </c>
      <c r="AD5" s="4" t="inlineStr">
        <is>
          <t>다음 조치</t>
        </is>
      </c>
      <c r="AE5" s="49" t="inlineStr">
        <is>
          <t>_키</t>
        </is>
      </c>
      <c r="AF5" s="49" t="inlineStr">
        <is>
          <t>_키업체</t>
        </is>
      </c>
      <c r="AG5" s="49" t="inlineStr">
        <is>
          <t>_대표</t>
        </is>
      </c>
      <c r="AH5" s="49" t="inlineStr">
        <is>
          <t>_업체수</t>
        </is>
      </c>
      <c r="AI5" s="49" t="inlineStr">
        <is>
          <t>_중복순번</t>
        </is>
      </c>
      <c r="AJ5" s="49" t="inlineStr">
        <is>
          <t>_확보</t>
        </is>
      </c>
      <c r="AK5" s="49" t="inlineStr">
        <is>
          <t>_최저</t>
        </is>
      </c>
    </row>
    <row r="6">
      <c r="A6" s="50">
        <f>IF(F6="","",ROW()-5)</f>
        <v/>
      </c>
      <c r="B6" s="34" t="inlineStr">
        <is>
          <t>KQU-000116304</t>
        </is>
      </c>
      <c r="C6" s="34" t="inlineStr">
        <is>
          <t>01</t>
        </is>
      </c>
      <c r="D6" s="34" t="n">
        <v>6</v>
      </c>
      <c r="E6" s="34" t="inlineStr">
        <is>
          <t>NORGREN</t>
        </is>
      </c>
      <c r="F6" s="36" t="inlineStr">
        <is>
          <t>AIR FILTER ELEMENT</t>
        </is>
      </c>
      <c r="G6" s="36" t="inlineStr">
        <is>
          <t>NORGREN F05G-2AN-AM3</t>
        </is>
      </c>
      <c r="H6" s="36" t="inlineStr">
        <is>
          <t>3653-28</t>
        </is>
      </c>
      <c r="I6" s="36" t="inlineStr">
        <is>
          <t>MAIN ENGINE/ EGR</t>
        </is>
      </c>
      <c r="J6" s="36" t="inlineStr">
        <is>
          <t>SERVICE KIT-F05G 40 MIC</t>
        </is>
      </c>
      <c r="K6" s="34" t="n">
        <v>100</v>
      </c>
      <c r="L6" s="34" t="inlineStr">
        <is>
          <t>EA</t>
        </is>
      </c>
      <c r="M6" s="34" t="inlineStr">
        <is>
          <t>RMS</t>
        </is>
      </c>
      <c r="N6" s="34" t="inlineStr">
        <is>
          <t>확인필요</t>
        </is>
      </c>
      <c r="O6" s="50">
        <f>IF(N(AH6)&gt;1,"중복 "&amp;AH6&amp;"곳"&amp;IF(AK6=1," · 최저가",IF(AND(N6="견적접수",R6&lt;&gt;"")," · 비쌈","")),"")</f>
        <v/>
      </c>
      <c r="P6" s="34" t="inlineStr">
        <is>
          <t>KRW</t>
        </is>
      </c>
      <c r="Q6" s="51" t="n"/>
      <c r="R6" s="52">
        <f>IF(OR(Q6="",P6=""),"",IFERROR(IF(VLOOKUP(P6,설정!$K$5:$L$9,2,0)&gt;0,Q6*VLOOKUP(P6,설정!$K$5:$L$9,2,0),""),""))</f>
        <v/>
      </c>
      <c r="S6" s="53">
        <f>IF(OR(R6="",K6=""),"",R6*K6)</f>
        <v/>
      </c>
      <c r="T6" s="38" t="n"/>
      <c r="U6" s="54">
        <f>IF(OR(T6="",AC6="발주완료",AC6="취소"),"",TODAY()+T6)</f>
        <v/>
      </c>
      <c r="V6" s="50">
        <f>IF(OR(U6="",NOT(ISNUMBER($K$2))),"",IF(U6&lt;=$K$2,"가능","초과 "&amp;(U6-$K$2)&amp;"일"))</f>
        <v/>
      </c>
      <c r="W6" s="34" t="n"/>
      <c r="X6" s="34" t="n"/>
      <c r="Y6" s="34" t="n"/>
      <c r="Z6" s="55" t="n"/>
      <c r="AA6" s="54">
        <f>IF(OR(Z6="",Y6=""),"",Z6+Y6)</f>
        <v/>
      </c>
      <c r="AB6" s="36" t="inlineStr">
        <is>
          <t>NEED TO CHECK NAMEPLATE OR DETAILS</t>
        </is>
      </c>
      <c r="AC6" s="34" t="inlineStr">
        <is>
          <t>정보 송부필요</t>
        </is>
      </c>
      <c r="AD6" s="36" t="inlineStr">
        <is>
          <t>명판 사진/상세정보 RMS에 송부</t>
        </is>
      </c>
      <c r="AE6" s="50">
        <f>IF(F6="","",B6&amp;"#"&amp;IF(D6="",F6,D6))</f>
        <v/>
      </c>
      <c r="AF6" s="50">
        <f>IF(AE6="","",AE6&amp;"|"&amp;M6)</f>
        <v/>
      </c>
      <c r="AG6" s="50">
        <f>IF(AE6="","",IF(COUNTIF($AE$6:AE6,AE6)=1,1,0))</f>
        <v/>
      </c>
      <c r="AH6" s="50">
        <f>IF(AE6="","",COUNTIF($AE$6:$AE$205,AE6))</f>
        <v/>
      </c>
      <c r="AI6" s="50">
        <f>IF(AE6="","",IF(AND(AG6=1,AH6&gt;1),COUNTIFS($AG$6:AG6,1,$AH$6:AH6,"&gt;1"),""))</f>
        <v/>
      </c>
      <c r="AJ6" s="50">
        <f>IF(AG6=1,IF(COUNTIFS($AE$6:$AE$205,AE6,$N$6:$N$205,"견적접수")&gt;0,1,0),"")</f>
        <v/>
      </c>
      <c r="AK6" s="50">
        <f>IF(OR(R6="",N6&lt;&gt;"견적접수"),"",IF(AND(R6=_xlfn.MINIFS($R$6:$R$205,$AE$6:$AE$205,AE6,$N$6:$N$205,"견적접수"),COUNTIFS($AE$5:AE5,AE6,$R$5:R5,R6,$N$5:N5,"견적접수")=0),1,""))</f>
        <v/>
      </c>
    </row>
    <row r="7">
      <c r="A7" s="50">
        <f>IF(F7="","",ROW()-5)</f>
        <v/>
      </c>
      <c r="B7" s="34" t="inlineStr">
        <is>
          <t>KQU-000116300</t>
        </is>
      </c>
      <c r="C7" s="34" t="inlineStr">
        <is>
          <t>10</t>
        </is>
      </c>
      <c r="D7" s="34" t="n">
        <v>1</v>
      </c>
      <c r="E7" s="34" t="inlineStr">
        <is>
          <t>HSME</t>
        </is>
      </c>
      <c r="F7" s="36" t="inlineStr">
        <is>
          <t>PMI SENSOR</t>
        </is>
      </c>
      <c r="G7" s="36" t="inlineStr">
        <is>
          <t>HSME CORPORATION/ VIHBW-M20-W27-S4</t>
        </is>
      </c>
      <c r="H7" s="36" t="inlineStr">
        <is>
          <t>VIHBW-M20-W27-S4</t>
        </is>
      </c>
      <c r="I7" s="36" t="inlineStr">
        <is>
          <t>MAIN ENGINE/ CYLINDER UNIT</t>
        </is>
      </c>
      <c r="J7" s="36" t="n"/>
      <c r="K7" s="34" t="n">
        <v>1</v>
      </c>
      <c r="L7" s="34" t="inlineStr">
        <is>
          <t>EA</t>
        </is>
      </c>
      <c r="M7" s="34" t="inlineStr">
        <is>
          <t>RMS</t>
        </is>
      </c>
      <c r="N7" s="34" t="inlineStr">
        <is>
          <t>확인필요</t>
        </is>
      </c>
      <c r="O7" s="50">
        <f>IF(N(AH7)&gt;1,"중복 "&amp;AH7&amp;"곳"&amp;IF(AK7=1," · 최저가",IF(AND(N7="견적접수",R7&lt;&gt;"")," · 비쌈","")),"")</f>
        <v/>
      </c>
      <c r="P7" s="34" t="inlineStr">
        <is>
          <t>KRW</t>
        </is>
      </c>
      <c r="Q7" s="51" t="n"/>
      <c r="R7" s="52">
        <f>IF(OR(Q7="",P7=""),"",IFERROR(IF(VLOOKUP(P7,설정!$K$5:$L$9,2,0)&gt;0,Q7*VLOOKUP(P7,설정!$K$5:$L$9,2,0),""),""))</f>
        <v/>
      </c>
      <c r="S7" s="53">
        <f>IF(OR(R7="",K7=""),"",R7*K7)</f>
        <v/>
      </c>
      <c r="T7" s="38" t="n"/>
      <c r="U7" s="54">
        <f>IF(OR(T7="",AC7="발주완료",AC7="취소"),"",TODAY()+T7)</f>
        <v/>
      </c>
      <c r="V7" s="50">
        <f>IF(OR(U7="",NOT(ISNUMBER($K$2))),"",IF(U7&lt;=$K$2,"가능","초과 "&amp;(U7-$K$2)&amp;"일"))</f>
        <v/>
      </c>
      <c r="W7" s="34" t="n"/>
      <c r="X7" s="34" t="n"/>
      <c r="Y7" s="34" t="n"/>
      <c r="Z7" s="55" t="n"/>
      <c r="AA7" s="54">
        <f>IF(OR(Z7="",Y7=""),"",Z7+Y7)</f>
        <v/>
      </c>
      <c r="AB7" s="36" t="inlineStr">
        <is>
          <t>NEED TO CHECK DETAILED PICTURES.</t>
        </is>
      </c>
      <c r="AC7" s="34" t="inlineStr">
        <is>
          <t>정보 송부필요</t>
        </is>
      </c>
      <c r="AD7" s="36" t="inlineStr">
        <is>
          <t>상세 사진 RMS에 송부</t>
        </is>
      </c>
      <c r="AE7" s="50">
        <f>IF(F7="","",B7&amp;"#"&amp;IF(D7="",F7,D7))</f>
        <v/>
      </c>
      <c r="AF7" s="50">
        <f>IF(AE7="","",AE7&amp;"|"&amp;M7)</f>
        <v/>
      </c>
      <c r="AG7" s="50">
        <f>IF(AE7="","",IF(COUNTIF($AE$6:AE7,AE7)=1,1,0))</f>
        <v/>
      </c>
      <c r="AH7" s="50">
        <f>IF(AE7="","",COUNTIF($AE$6:$AE$205,AE7))</f>
        <v/>
      </c>
      <c r="AI7" s="50">
        <f>IF(AE7="","",IF(AND(AG7=1,AH7&gt;1),COUNTIFS($AG$6:AG7,1,$AH$6:AH7,"&gt;1"),""))</f>
        <v/>
      </c>
      <c r="AJ7" s="50">
        <f>IF(AG7=1,IF(COUNTIFS($AE$6:$AE$205,AE7,$N$6:$N$205,"견적접수")&gt;0,1,0),"")</f>
        <v/>
      </c>
      <c r="AK7" s="50">
        <f>IF(OR(R7="",N7&lt;&gt;"견적접수"),"",IF(AND(R7=_xlfn.MINIFS($R$6:$R$205,$AE$6:$AE$205,AE7,$N$6:$N$205,"견적접수"),COUNTIFS($AE$5:AE6,AE7,$R$5:R6,R7,$N$5:N6,"견적접수")=0),1,""))</f>
        <v/>
      </c>
    </row>
    <row r="8">
      <c r="A8" s="50">
        <f>IF(F8="","",ROW()-5)</f>
        <v/>
      </c>
      <c r="B8" s="34" t="inlineStr">
        <is>
          <t>KQU-000116300</t>
        </is>
      </c>
      <c r="C8" s="34" t="inlineStr">
        <is>
          <t>10</t>
        </is>
      </c>
      <c r="D8" s="34" t="n">
        <v>1</v>
      </c>
      <c r="E8" s="34" t="inlineStr">
        <is>
          <t>HSME</t>
        </is>
      </c>
      <c r="F8" s="36" t="inlineStr">
        <is>
          <t>PMI SENSOR</t>
        </is>
      </c>
      <c r="G8" s="36" t="inlineStr">
        <is>
          <t>HSME CORPORATION/ VIHBW-M20-W27-S4</t>
        </is>
      </c>
      <c r="H8" s="36" t="inlineStr">
        <is>
          <t>VIHBW-M20-W27-S4</t>
        </is>
      </c>
      <c r="I8" s="36" t="inlineStr">
        <is>
          <t>MAIN ENGINE/ CYLINDER UNIT</t>
        </is>
      </c>
      <c r="J8" s="36" t="n"/>
      <c r="K8" s="34" t="n">
        <v>1</v>
      </c>
      <c r="L8" s="34" t="inlineStr">
        <is>
          <t>EA</t>
        </is>
      </c>
      <c r="M8" s="34" t="inlineStr">
        <is>
          <t>AFS</t>
        </is>
      </c>
      <c r="N8" s="34" t="inlineStr">
        <is>
          <t>확인필요</t>
        </is>
      </c>
      <c r="O8" s="50">
        <f>IF(N(AH8)&gt;1,"중복 "&amp;AH8&amp;"곳"&amp;IF(AK8=1," · 최저가",IF(AND(N8="견적접수",R8&lt;&gt;"")," · 비쌈","")),"")</f>
        <v/>
      </c>
      <c r="P8" s="34" t="inlineStr">
        <is>
          <t>EUR</t>
        </is>
      </c>
      <c r="Q8" s="51" t="n"/>
      <c r="R8" s="52">
        <f>IF(OR(Q8="",P8=""),"",IFERROR(IF(VLOOKUP(P8,설정!$K$5:$L$9,2,0)&gt;0,Q8*VLOOKUP(P8,설정!$K$5:$L$9,2,0),""),""))</f>
        <v/>
      </c>
      <c r="S8" s="53">
        <f>IF(OR(R8="",K8=""),"",R8*K8)</f>
        <v/>
      </c>
      <c r="T8" s="38" t="n"/>
      <c r="U8" s="54">
        <f>IF(OR(T8="",AC8="발주완료",AC8="취소"),"",TODAY()+T8)</f>
        <v/>
      </c>
      <c r="V8" s="50">
        <f>IF(OR(U8="",NOT(ISNUMBER($K$2))),"",IF(U8&lt;=$K$2,"가능","초과 "&amp;(U8-$K$2)&amp;"일"))</f>
        <v/>
      </c>
      <c r="W8" s="34" t="n"/>
      <c r="X8" s="34" t="inlineStr">
        <is>
          <t>미기재 (AFS 네덜란드)</t>
        </is>
      </c>
      <c r="Y8" s="34" t="n"/>
      <c r="Z8" s="56" t="n">
        <v>46317</v>
      </c>
      <c r="AA8" s="54">
        <f>IF(OR(Z8="",Y8=""),"",Z8+Y8)</f>
        <v/>
      </c>
      <c r="AB8" s="36" t="inlineStr">
        <is>
          <t>[AFS Q.0000122669] *please see email*</t>
        </is>
      </c>
      <c r="AC8" s="34" t="inlineStr">
        <is>
          <t>정보 송부필요</t>
        </is>
      </c>
      <c r="AD8" s="36" t="inlineStr">
        <is>
          <t>AFS 이메일 내용 확인 (견적서엔 단가 없음)</t>
        </is>
      </c>
      <c r="AE8" s="50">
        <f>IF(F8="","",B8&amp;"#"&amp;IF(D8="",F8,D8))</f>
        <v/>
      </c>
      <c r="AF8" s="50">
        <f>IF(AE8="","",AE8&amp;"|"&amp;M8)</f>
        <v/>
      </c>
      <c r="AG8" s="50">
        <f>IF(AE8="","",IF(COUNTIF($AE$6:AE8,AE8)=1,1,0))</f>
        <v/>
      </c>
      <c r="AH8" s="50">
        <f>IF(AE8="","",COUNTIF($AE$6:$AE$205,AE8))</f>
        <v/>
      </c>
      <c r="AI8" s="50">
        <f>IF(AE8="","",IF(AND(AG8=1,AH8&gt;1),COUNTIFS($AG$6:AG8,1,$AH$6:AH8,"&gt;1"),""))</f>
        <v/>
      </c>
      <c r="AJ8" s="50">
        <f>IF(AG8=1,IF(COUNTIFS($AE$6:$AE$205,AE8,$N$6:$N$205,"견적접수")&gt;0,1,0),"")</f>
        <v/>
      </c>
      <c r="AK8" s="50">
        <f>IF(OR(R8="",N8&lt;&gt;"견적접수"),"",IF(AND(R8=_xlfn.MINIFS($R$6:$R$205,$AE$6:$AE$205,AE8,$N$6:$N$205,"견적접수"),COUNTIFS($AE$5:AE7,AE8,$R$5:R7,R8,$N$5:N7,"견적접수")=0),1,""))</f>
        <v/>
      </c>
    </row>
    <row r="9">
      <c r="A9" s="50">
        <f>IF(F9="","",ROW()-5)</f>
        <v/>
      </c>
      <c r="B9" s="34" t="inlineStr">
        <is>
          <t>KQU-000116300</t>
        </is>
      </c>
      <c r="C9" s="34" t="inlineStr">
        <is>
          <t>10</t>
        </is>
      </c>
      <c r="D9" s="34" t="n">
        <v>1</v>
      </c>
      <c r="E9" s="34" t="inlineStr">
        <is>
          <t>HSME</t>
        </is>
      </c>
      <c r="F9" s="36" t="inlineStr">
        <is>
          <t>PMI SENSOR</t>
        </is>
      </c>
      <c r="G9" s="36" t="inlineStr">
        <is>
          <t>HSME CORPORATION/ VIHBW-M20-W27-S4</t>
        </is>
      </c>
      <c r="H9" s="36" t="inlineStr">
        <is>
          <t>VIHBW-M20-W27-S4</t>
        </is>
      </c>
      <c r="I9" s="36" t="inlineStr">
        <is>
          <t>MAIN ENGINE/ CYLINDER UNIT</t>
        </is>
      </c>
      <c r="J9" s="36" t="n"/>
      <c r="K9" s="34" t="n">
        <v>1</v>
      </c>
      <c r="L9" s="34" t="inlineStr">
        <is>
          <t>EA</t>
        </is>
      </c>
      <c r="M9" s="34" t="inlineStr">
        <is>
          <t>OXEN</t>
        </is>
      </c>
      <c r="N9" s="34" t="inlineStr">
        <is>
          <t>미접수</t>
        </is>
      </c>
      <c r="O9" s="50">
        <f>IF(N(AH9)&gt;1,"중복 "&amp;AH9&amp;"곳"&amp;IF(AK9=1," · 최저가",IF(AND(N9="견적접수",R9&lt;&gt;"")," · 비쌈","")),"")</f>
        <v/>
      </c>
      <c r="P9" s="34" t="inlineStr">
        <is>
          <t>KRW</t>
        </is>
      </c>
      <c r="Q9" s="51" t="n"/>
      <c r="R9" s="52">
        <f>IF(OR(Q9="",P9=""),"",IFERROR(IF(VLOOKUP(P9,설정!$K$5:$L$9,2,0)&gt;0,Q9*VLOOKUP(P9,설정!$K$5:$L$9,2,0),""),""))</f>
        <v/>
      </c>
      <c r="S9" s="53">
        <f>IF(OR(R9="",K9=""),"",R9*K9)</f>
        <v/>
      </c>
      <c r="T9" s="38" t="n"/>
      <c r="U9" s="54">
        <f>IF(OR(T9="",AC9="발주완료",AC9="취소"),"",TODAY()+T9)</f>
        <v/>
      </c>
      <c r="V9" s="50">
        <f>IF(OR(U9="",NOT(ISNUMBER($K$2))),"",IF(U9&lt;=$K$2,"가능","초과 "&amp;(U9-$K$2)&amp;"일"))</f>
        <v/>
      </c>
      <c r="W9" s="34" t="n"/>
      <c r="X9" s="34" t="inlineStr">
        <is>
          <t>EXW BUSAN</t>
        </is>
      </c>
      <c r="Y9" s="34" t="n">
        <v>20</v>
      </c>
      <c r="Z9" s="55" t="n"/>
      <c r="AA9" s="54">
        <f>IF(OR(Z9="",Y9=""),"",Z9+Y9)</f>
        <v/>
      </c>
      <c r="AB9" s="36" t="inlineStr">
        <is>
          <t>[옥슨 IOB-ONR-26-1016(ME)] #10 PMI SENSOR VIHBW-M20-W27-S4 – 견적중</t>
        </is>
      </c>
      <c r="AC9" s="34" t="inlineStr">
        <is>
          <t>검토중</t>
        </is>
      </c>
      <c r="AD9" s="36" t="inlineStr">
        <is>
          <t>옥슨 견적중 – 회신 대기</t>
        </is>
      </c>
      <c r="AE9" s="50">
        <f>IF(F9="","",B9&amp;"#"&amp;IF(D9="",F9,D9))</f>
        <v/>
      </c>
      <c r="AF9" s="50">
        <f>IF(AE9="","",AE9&amp;"|"&amp;M9)</f>
        <v/>
      </c>
      <c r="AG9" s="50">
        <f>IF(AE9="","",IF(COUNTIF($AE$6:AE9,AE9)=1,1,0))</f>
        <v/>
      </c>
      <c r="AH9" s="50">
        <f>IF(AE9="","",COUNTIF($AE$6:$AE$205,AE9))</f>
        <v/>
      </c>
      <c r="AI9" s="50">
        <f>IF(AE9="","",IF(AND(AG9=1,AH9&gt;1),COUNTIFS($AG$6:AG9,1,$AH$6:AH9,"&gt;1"),""))</f>
        <v/>
      </c>
      <c r="AJ9" s="50">
        <f>IF(AG9=1,IF(COUNTIFS($AE$6:$AE$205,AE9,$N$6:$N$205,"견적접수")&gt;0,1,0),"")</f>
        <v/>
      </c>
      <c r="AK9" s="50">
        <f>IF(OR(R9="",N9&lt;&gt;"견적접수"),"",IF(AND(R9=_xlfn.MINIFS($R$6:$R$205,$AE$6:$AE$205,AE9,$N$6:$N$205,"견적접수"),COUNTIFS($AE$5:AE8,AE9,$R$5:R8,R9,$N$5:N8,"견적접수")=0),1,""))</f>
        <v/>
      </c>
    </row>
    <row r="10">
      <c r="A10" s="50">
        <f>IF(F10="","",ROW()-5)</f>
        <v/>
      </c>
      <c r="B10" s="34" t="inlineStr">
        <is>
          <t>KQU-000116307</t>
        </is>
      </c>
      <c r="C10" s="34" t="inlineStr">
        <is>
          <t>11</t>
        </is>
      </c>
      <c r="D10" s="34" t="n">
        <v>1</v>
      </c>
      <c r="E10" s="34" t="inlineStr">
        <is>
          <t>GRUNDFOS</t>
        </is>
      </c>
      <c r="F10" s="36" t="inlineStr">
        <is>
          <t>IMPELLER</t>
        </is>
      </c>
      <c r="G10" s="36" t="inlineStr">
        <is>
          <t>GRUNDFOS/PN-SN A-99574543</t>
        </is>
      </c>
      <c r="H10" s="36" t="inlineStr">
        <is>
          <t>Drawings not available</t>
        </is>
      </c>
      <c r="I10" s="36" t="inlineStr">
        <is>
          <t>M/E EGR WTS. WATER SUPPLY PUMP</t>
        </is>
      </c>
      <c r="J10" s="36" t="n"/>
      <c r="K10" s="34" t="n">
        <v>1</v>
      </c>
      <c r="L10" s="34" t="inlineStr">
        <is>
          <t>pcs</t>
        </is>
      </c>
      <c r="M10" s="34" t="inlineStr">
        <is>
          <t>RMS</t>
        </is>
      </c>
      <c r="N10" s="34" t="inlineStr">
        <is>
          <t>견적접수</t>
        </is>
      </c>
      <c r="O10" s="50">
        <f>IF(N(AH10)&gt;1,"중복 "&amp;AH10&amp;"곳"&amp;IF(AK10=1," · 최저가",IF(AND(N10="견적접수",R10&lt;&gt;"")," · 비쌈","")),"")</f>
        <v/>
      </c>
      <c r="P10" s="34" t="inlineStr">
        <is>
          <t>KRW</t>
        </is>
      </c>
      <c r="Q10" s="51" t="n">
        <v>34000</v>
      </c>
      <c r="R10" s="52">
        <f>IF(OR(Q10="",P10=""),"",IFERROR(IF(VLOOKUP(P10,설정!$K$5:$L$9,2,0)&gt;0,Q10*VLOOKUP(P10,설정!$K$5:$L$9,2,0),""),""))</f>
        <v/>
      </c>
      <c r="S10" s="53">
        <f>IF(OR(R10="",K10=""),"",R10*K10)</f>
        <v/>
      </c>
      <c r="T10" s="38" t="n">
        <v>9</v>
      </c>
      <c r="U10" s="54">
        <f>IF(OR(T10="",AC10="발주완료",AC10="취소"),"",TODAY()+T10)</f>
        <v/>
      </c>
      <c r="V10" s="50">
        <f>IF(OR(U10="",NOT(ISNUMBER($K$2))),"",IF(U10&lt;=$K$2,"가능","초과 "&amp;(U10-$K$2)&amp;"일"))</f>
        <v/>
      </c>
      <c r="W10" s="34" t="inlineStr">
        <is>
          <t>GENUINE</t>
        </is>
      </c>
      <c r="X10" s="34" t="inlineStr">
        <is>
          <t>EX WORK BUSAN</t>
        </is>
      </c>
      <c r="Y10" s="34" t="n">
        <v>20</v>
      </c>
      <c r="Z10" s="55" t="n"/>
      <c r="AA10" s="54">
        <f>IF(OR(Z10="",Y10=""),"",Z10+Y10)</f>
        <v/>
      </c>
      <c r="AB10" s="36" t="inlineStr">
        <is>
          <t>D/T: 7 WORKING DAYS, GENUINE, EX WORK BUSAN [VALI: 20 DAYS]</t>
        </is>
      </c>
      <c r="AC10" s="34" t="inlineStr">
        <is>
          <t>검토중</t>
        </is>
      </c>
      <c r="AD10" s="36" t="inlineStr">
        <is>
          <t>네덜란드 보급 맞춰 포워딩 확인</t>
        </is>
      </c>
      <c r="AE10" s="50">
        <f>IF(F10="","",B10&amp;"#"&amp;IF(D10="",F10,D10))</f>
        <v/>
      </c>
      <c r="AF10" s="50">
        <f>IF(AE10="","",AE10&amp;"|"&amp;M10)</f>
        <v/>
      </c>
      <c r="AG10" s="50">
        <f>IF(AE10="","",IF(COUNTIF($AE$6:AE10,AE10)=1,1,0))</f>
        <v/>
      </c>
      <c r="AH10" s="50">
        <f>IF(AE10="","",COUNTIF($AE$6:$AE$205,AE10))</f>
        <v/>
      </c>
      <c r="AI10" s="50">
        <f>IF(AE10="","",IF(AND(AG10=1,AH10&gt;1),COUNTIFS($AG$6:AG10,1,$AH$6:AH10,"&gt;1"),""))</f>
        <v/>
      </c>
      <c r="AJ10" s="50">
        <f>IF(AG10=1,IF(COUNTIFS($AE$6:$AE$205,AE10,$N$6:$N$205,"견적접수")&gt;0,1,0),"")</f>
        <v/>
      </c>
      <c r="AK10" s="50">
        <f>IF(OR(R10="",N10&lt;&gt;"견적접수"),"",IF(AND(R10=_xlfn.MINIFS($R$6:$R$205,$AE$6:$AE$205,AE10,$N$6:$N$205,"견적접수"),COUNTIFS($AE$5:AE9,AE10,$R$5:R9,R10,$N$5:N9,"견적접수")=0),1,""))</f>
        <v/>
      </c>
    </row>
    <row r="11">
      <c r="A11" s="50">
        <f>IF(F11="","",ROW()-5)</f>
        <v/>
      </c>
      <c r="B11" s="34" t="inlineStr">
        <is>
          <t>KQU-000116307</t>
        </is>
      </c>
      <c r="C11" s="34" t="inlineStr">
        <is>
          <t>11</t>
        </is>
      </c>
      <c r="D11" s="34" t="n">
        <v>1</v>
      </c>
      <c r="E11" s="34" t="inlineStr">
        <is>
          <t>GRUNDFOS</t>
        </is>
      </c>
      <c r="F11" s="36" t="inlineStr">
        <is>
          <t>IMPELLER</t>
        </is>
      </c>
      <c r="G11" s="36" t="inlineStr">
        <is>
          <t>GRUNDFOS/PN-SN A-99574543</t>
        </is>
      </c>
      <c r="H11" s="36" t="inlineStr">
        <is>
          <t>Drawings not available</t>
        </is>
      </c>
      <c r="I11" s="36" t="inlineStr">
        <is>
          <t>M/E EGR WTS. WATER SUPPLY PUMP</t>
        </is>
      </c>
      <c r="J11" s="36" t="inlineStr">
        <is>
          <t>AFS: 98394417 SPARE, IMPELLER CRN</t>
        </is>
      </c>
      <c r="K11" s="34" t="n">
        <v>1</v>
      </c>
      <c r="L11" s="34" t="inlineStr">
        <is>
          <t>pcs</t>
        </is>
      </c>
      <c r="M11" s="34" t="inlineStr">
        <is>
          <t>AFS</t>
        </is>
      </c>
      <c r="N11" s="34" t="inlineStr">
        <is>
          <t>견적접수</t>
        </is>
      </c>
      <c r="O11" s="50">
        <f>IF(N(AH11)&gt;1,"중복 "&amp;AH11&amp;"곳"&amp;IF(AK11=1," · 최저가",IF(AND(N11="견적접수",R11&lt;&gt;"")," · 비쌈","")),"")</f>
        <v/>
      </c>
      <c r="P11" s="34" t="inlineStr">
        <is>
          <t>EUR</t>
        </is>
      </c>
      <c r="Q11" s="51" t="n">
        <v>175.89</v>
      </c>
      <c r="R11" s="52">
        <f>IF(OR(Q11="",P11=""),"",IFERROR(IF(VLOOKUP(P11,설정!$K$5:$L$9,2,0)&gt;0,Q11*VLOOKUP(P11,설정!$K$5:$L$9,2,0),""),""))</f>
        <v/>
      </c>
      <c r="S11" s="53">
        <f>IF(OR(R11="",K11=""),"",R11*K11)</f>
        <v/>
      </c>
      <c r="T11" s="38" t="n">
        <v>7</v>
      </c>
      <c r="U11" s="54">
        <f>IF(OR(T11="",AC11="발주완료",AC11="취소"),"",TODAY()+T11)</f>
        <v/>
      </c>
      <c r="V11" s="50">
        <f>IF(OR(U11="",NOT(ISNUMBER($K$2))),"",IF(U11&lt;=$K$2,"가능","초과 "&amp;(U11-$K$2)&amp;"일"))</f>
        <v/>
      </c>
      <c r="W11" s="34" t="n"/>
      <c r="X11" s="34" t="inlineStr">
        <is>
          <t>미기재 (AFS 네덜란드)</t>
        </is>
      </c>
      <c r="Y11" s="34" t="n"/>
      <c r="Z11" s="56" t="n">
        <v>46317</v>
      </c>
      <c r="AA11" s="54">
        <f>IF(OR(Z11="",Y11=""),"",Z11+Y11)</f>
        <v/>
      </c>
      <c r="AB11" s="36" t="inlineStr">
        <is>
          <t>[AFS Q.0000122671] 98394417 SPARE, IMPELLER CRN / *del time: 1 week* *item cannot be returned*</t>
        </is>
      </c>
      <c r="AC11" s="34" t="inlineStr">
        <is>
          <t>검토중</t>
        </is>
      </c>
      <c r="AD11" s="36" t="n"/>
      <c r="AE11" s="50">
        <f>IF(F11="","",B11&amp;"#"&amp;IF(D11="",F11,D11))</f>
        <v/>
      </c>
      <c r="AF11" s="50">
        <f>IF(AE11="","",AE11&amp;"|"&amp;M11)</f>
        <v/>
      </c>
      <c r="AG11" s="50">
        <f>IF(AE11="","",IF(COUNTIF($AE$6:AE11,AE11)=1,1,0))</f>
        <v/>
      </c>
      <c r="AH11" s="50">
        <f>IF(AE11="","",COUNTIF($AE$6:$AE$205,AE11))</f>
        <v/>
      </c>
      <c r="AI11" s="50">
        <f>IF(AE11="","",IF(AND(AG11=1,AH11&gt;1),COUNTIFS($AG$6:AG11,1,$AH$6:AH11,"&gt;1"),""))</f>
        <v/>
      </c>
      <c r="AJ11" s="50">
        <f>IF(AG11=1,IF(COUNTIFS($AE$6:$AE$205,AE11,$N$6:$N$205,"견적접수")&gt;0,1,0),"")</f>
        <v/>
      </c>
      <c r="AK11" s="50">
        <f>IF(OR(R11="",N11&lt;&gt;"견적접수"),"",IF(AND(R11=_xlfn.MINIFS($R$6:$R$205,$AE$6:$AE$205,AE11,$N$6:$N$205,"견적접수"),COUNTIFS($AE$5:AE10,AE11,$R$5:R10,R11,$N$5:N10,"견적접수")=0),1,""))</f>
        <v/>
      </c>
    </row>
    <row r="12">
      <c r="A12" s="50">
        <f>IF(F12="","",ROW()-5)</f>
        <v/>
      </c>
      <c r="B12" s="34" t="inlineStr">
        <is>
          <t>KQU-000116307</t>
        </is>
      </c>
      <c r="C12" s="34" t="inlineStr">
        <is>
          <t>11</t>
        </is>
      </c>
      <c r="D12" s="34" t="n">
        <v>2</v>
      </c>
      <c r="E12" s="34" t="inlineStr">
        <is>
          <t>GRUNDFOS</t>
        </is>
      </c>
      <c r="F12" s="36" t="inlineStr">
        <is>
          <t>M/SEAL</t>
        </is>
      </c>
      <c r="G12" s="36" t="inlineStr">
        <is>
          <t>GRUNDFOS/PN-SN A-99574543</t>
        </is>
      </c>
      <c r="H12" s="36" t="inlineStr">
        <is>
          <t>Drawings not available</t>
        </is>
      </c>
      <c r="I12" s="36" t="inlineStr">
        <is>
          <t>M/E EGR WTS. WATER SUPPLY PUMP</t>
        </is>
      </c>
      <c r="J12" s="36" t="n"/>
      <c r="K12" s="34" t="n">
        <v>1</v>
      </c>
      <c r="L12" s="34" t="inlineStr">
        <is>
          <t>pcs</t>
        </is>
      </c>
      <c r="M12" s="34" t="inlineStr">
        <is>
          <t>RMS</t>
        </is>
      </c>
      <c r="N12" s="34" t="inlineStr">
        <is>
          <t>견적접수</t>
        </is>
      </c>
      <c r="O12" s="50">
        <f>IF(N(AH12)&gt;1,"중복 "&amp;AH12&amp;"곳"&amp;IF(AK12=1," · 최저가",IF(AND(N12="견적접수",R12&lt;&gt;"")," · 비쌈","")),"")</f>
        <v/>
      </c>
      <c r="P12" s="34" t="inlineStr">
        <is>
          <t>KRW</t>
        </is>
      </c>
      <c r="Q12" s="51" t="n">
        <v>290000</v>
      </c>
      <c r="R12" s="52">
        <f>IF(OR(Q12="",P12=""),"",IFERROR(IF(VLOOKUP(P12,설정!$K$5:$L$9,2,0)&gt;0,Q12*VLOOKUP(P12,설정!$K$5:$L$9,2,0),""),""))</f>
        <v/>
      </c>
      <c r="S12" s="53">
        <f>IF(OR(R12="",K12=""),"",R12*K12)</f>
        <v/>
      </c>
      <c r="T12" s="38" t="n">
        <v>9</v>
      </c>
      <c r="U12" s="54">
        <f>IF(OR(T12="",AC12="발주완료",AC12="취소"),"",TODAY()+T12)</f>
        <v/>
      </c>
      <c r="V12" s="50">
        <f>IF(OR(U12="",NOT(ISNUMBER($K$2))),"",IF(U12&lt;=$K$2,"가능","초과 "&amp;(U12-$K$2)&amp;"일"))</f>
        <v/>
      </c>
      <c r="W12" s="34" t="inlineStr">
        <is>
          <t>GENUINE</t>
        </is>
      </c>
      <c r="X12" s="34" t="inlineStr">
        <is>
          <t>EX WORK BUSAN</t>
        </is>
      </c>
      <c r="Y12" s="34" t="n">
        <v>20</v>
      </c>
      <c r="Z12" s="55" t="n"/>
      <c r="AA12" s="54">
        <f>IF(OR(Z12="",Y12=""),"",Z12+Y12)</f>
        <v/>
      </c>
      <c r="AB12" s="36" t="inlineStr">
        <is>
          <t>D/T: 7 WORKING DAYS, GENUINE, EX WORK BUSAN [VALI: 20 DAYS]</t>
        </is>
      </c>
      <c r="AC12" s="34" t="inlineStr">
        <is>
          <t>검토중</t>
        </is>
      </c>
      <c r="AD12" s="36" t="inlineStr">
        <is>
          <t>네덜란드 보급 맞춰 포워딩 확인</t>
        </is>
      </c>
      <c r="AE12" s="50">
        <f>IF(F12="","",B12&amp;"#"&amp;IF(D12="",F12,D12))</f>
        <v/>
      </c>
      <c r="AF12" s="50">
        <f>IF(AE12="","",AE12&amp;"|"&amp;M12)</f>
        <v/>
      </c>
      <c r="AG12" s="50">
        <f>IF(AE12="","",IF(COUNTIF($AE$6:AE12,AE12)=1,1,0))</f>
        <v/>
      </c>
      <c r="AH12" s="50">
        <f>IF(AE12="","",COUNTIF($AE$6:$AE$205,AE12))</f>
        <v/>
      </c>
      <c r="AI12" s="50">
        <f>IF(AE12="","",IF(AND(AG12=1,AH12&gt;1),COUNTIFS($AG$6:AG12,1,$AH$6:AH12,"&gt;1"),""))</f>
        <v/>
      </c>
      <c r="AJ12" s="50">
        <f>IF(AG12=1,IF(COUNTIFS($AE$6:$AE$205,AE12,$N$6:$N$205,"견적접수")&gt;0,1,0),"")</f>
        <v/>
      </c>
      <c r="AK12" s="50">
        <f>IF(OR(R12="",N12&lt;&gt;"견적접수"),"",IF(AND(R12=_xlfn.MINIFS($R$6:$R$205,$AE$6:$AE$205,AE12,$N$6:$N$205,"견적접수"),COUNTIFS($AE$5:AE11,AE12,$R$5:R11,R12,$N$5:N11,"견적접수")=0),1,""))</f>
        <v/>
      </c>
    </row>
    <row r="13">
      <c r="A13" s="50">
        <f>IF(F13="","",ROW()-5)</f>
        <v/>
      </c>
      <c r="B13" s="34" t="inlineStr">
        <is>
          <t>KQU-000116307</t>
        </is>
      </c>
      <c r="C13" s="34" t="inlineStr">
        <is>
          <t>11</t>
        </is>
      </c>
      <c r="D13" s="34" t="n">
        <v>2</v>
      </c>
      <c r="E13" s="34" t="inlineStr">
        <is>
          <t>GRUNDFOS</t>
        </is>
      </c>
      <c r="F13" s="36" t="inlineStr">
        <is>
          <t>M/SEAL</t>
        </is>
      </c>
      <c r="G13" s="36" t="inlineStr">
        <is>
          <t>GRUNDFOS/PN-SN A-99574543</t>
        </is>
      </c>
      <c r="H13" s="36" t="inlineStr">
        <is>
          <t>Drawings not available</t>
        </is>
      </c>
      <c r="I13" s="36" t="inlineStr">
        <is>
          <t>M/E EGR WTS. WATER SUPPLY PUMP</t>
        </is>
      </c>
      <c r="J13" s="36" t="inlineStr">
        <is>
          <t>AFS: 샤프트씰 키트 96455086 + 가스켓 키트 96455090</t>
        </is>
      </c>
      <c r="K13" s="34" t="n">
        <v>1</v>
      </c>
      <c r="L13" s="34" t="inlineStr">
        <is>
          <t>pcs</t>
        </is>
      </c>
      <c r="M13" s="34" t="inlineStr">
        <is>
          <t>AFS</t>
        </is>
      </c>
      <c r="N13" s="34" t="inlineStr">
        <is>
          <t>견적접수</t>
        </is>
      </c>
      <c r="O13" s="50">
        <f>IF(N(AH13)&gt;1,"중복 "&amp;AH13&amp;"곳"&amp;IF(AK13=1," · 최저가",IF(AND(N13="견적접수",R13&lt;&gt;"")," · 비쌈","")),"")</f>
        <v/>
      </c>
      <c r="P13" s="34" t="inlineStr">
        <is>
          <t>EUR</t>
        </is>
      </c>
      <c r="Q13" s="51" t="n">
        <v>439.73</v>
      </c>
      <c r="R13" s="52">
        <f>IF(OR(Q13="",P13=""),"",IFERROR(IF(VLOOKUP(P13,설정!$K$5:$L$9,2,0)&gt;0,Q13*VLOOKUP(P13,설정!$K$5:$L$9,2,0),""),""))</f>
        <v/>
      </c>
      <c r="S13" s="53">
        <f>IF(OR(R13="",K13=""),"",R13*K13)</f>
        <v/>
      </c>
      <c r="T13" s="38" t="n">
        <v>7</v>
      </c>
      <c r="U13" s="54">
        <f>IF(OR(T13="",AC13="발주완료",AC13="취소"),"",TODAY()+T13)</f>
        <v/>
      </c>
      <c r="V13" s="50">
        <f>IF(OR(U13="",NOT(ISNUMBER($K$2))),"",IF(U13&lt;=$K$2,"가능","초과 "&amp;(U13-$K$2)&amp;"일"))</f>
        <v/>
      </c>
      <c r="W13" s="34" t="n"/>
      <c r="X13" s="34" t="inlineStr">
        <is>
          <t>미기재 (AFS 네덜란드)</t>
        </is>
      </c>
      <c r="Y13" s="34" t="n"/>
      <c r="Z13" s="56" t="n">
        <v>46317</v>
      </c>
      <c r="AA13" s="54">
        <f>IF(OR(Z13="",Y13=""),"",Z13+Y13)</f>
        <v/>
      </c>
      <c r="AB13" s="36" t="inlineStr">
        <is>
          <t>[AFS Q.0000122671] 96455086 KIT, SHAFT SEAL H QQEGG KB012S1 + 96455090 KIT, GASKET EPDM CR/I/N 1S/1/3/5 / *del time: 1 week* *item cannot be returned*</t>
        </is>
      </c>
      <c r="AC13" s="34" t="inlineStr">
        <is>
          <t>검토중</t>
        </is>
      </c>
      <c r="AD13" s="36" t="inlineStr">
        <is>
          <t>AFS는 씰+가스켓 키트 구성 – RMS(M/SEAL 단품)와 범위 비교</t>
        </is>
      </c>
      <c r="AE13" s="50">
        <f>IF(F13="","",B13&amp;"#"&amp;IF(D13="",F13,D13))</f>
        <v/>
      </c>
      <c r="AF13" s="50">
        <f>IF(AE13="","",AE13&amp;"|"&amp;M13)</f>
        <v/>
      </c>
      <c r="AG13" s="50">
        <f>IF(AE13="","",IF(COUNTIF($AE$6:AE13,AE13)=1,1,0))</f>
        <v/>
      </c>
      <c r="AH13" s="50">
        <f>IF(AE13="","",COUNTIF($AE$6:$AE$205,AE13))</f>
        <v/>
      </c>
      <c r="AI13" s="50">
        <f>IF(AE13="","",IF(AND(AG13=1,AH13&gt;1),COUNTIFS($AG$6:AG13,1,$AH$6:AH13,"&gt;1"),""))</f>
        <v/>
      </c>
      <c r="AJ13" s="50">
        <f>IF(AG13=1,IF(COUNTIFS($AE$6:$AE$205,AE13,$N$6:$N$205,"견적접수")&gt;0,1,0),"")</f>
        <v/>
      </c>
      <c r="AK13" s="50">
        <f>IF(OR(R13="",N13&lt;&gt;"견적접수"),"",IF(AND(R13=_xlfn.MINIFS($R$6:$R$205,$AE$6:$AE$205,AE13,$N$6:$N$205,"견적접수"),COUNTIFS($AE$5:AE12,AE13,$R$5:R12,R13,$N$5:N12,"견적접수")=0),1,""))</f>
        <v/>
      </c>
    </row>
    <row r="14">
      <c r="A14" s="50">
        <f>IF(F14="","",ROW()-5)</f>
        <v/>
      </c>
      <c r="B14" s="34" t="inlineStr">
        <is>
          <t>KQU-000116314</t>
        </is>
      </c>
      <c r="C14" s="34" t="inlineStr">
        <is>
          <t>25</t>
        </is>
      </c>
      <c r="D14" s="34" t="n">
        <v>1</v>
      </c>
      <c r="E14" s="34" t="inlineStr">
        <is>
          <t>HACCP MASTER</t>
        </is>
      </c>
      <c r="F14" s="36" t="inlineStr">
        <is>
          <t>Cooking Range Hot Plate</t>
        </is>
      </c>
      <c r="G14" s="36" t="inlineStr">
        <is>
          <t>HACCP MASTER / ER641</t>
        </is>
      </c>
      <c r="H14" s="36" t="inlineStr">
        <is>
          <t>A4-210x297 - 5</t>
        </is>
      </c>
      <c r="I14" s="36" t="inlineStr">
        <is>
          <t>Galley &amp; Laundry equipment. Electric Cooking Range</t>
        </is>
      </c>
      <c r="J14" s="36" t="inlineStr">
        <is>
          <t>Low insulation, Details on drawing</t>
        </is>
      </c>
      <c r="K14" s="34" t="n">
        <v>4</v>
      </c>
      <c r="L14" s="34" t="inlineStr">
        <is>
          <t>pcs</t>
        </is>
      </c>
      <c r="M14" s="34" t="inlineStr">
        <is>
          <t>RMS</t>
        </is>
      </c>
      <c r="N14" s="34" t="inlineStr">
        <is>
          <t>견적접수</t>
        </is>
      </c>
      <c r="O14" s="50">
        <f>IF(N(AH14)&gt;1,"중복 "&amp;AH14&amp;"곳"&amp;IF(AK14=1," · 최저가",IF(AND(N14="견적접수",R14&lt;&gt;"")," · 비쌈","")),"")</f>
        <v/>
      </c>
      <c r="P14" s="34" t="inlineStr">
        <is>
          <t>KRW</t>
        </is>
      </c>
      <c r="Q14" s="51" t="n">
        <v>320000</v>
      </c>
      <c r="R14" s="52">
        <f>IF(OR(Q14="",P14=""),"",IFERROR(IF(VLOOKUP(P14,설정!$K$5:$L$9,2,0)&gt;0,Q14*VLOOKUP(P14,설정!$K$5:$L$9,2,0),""),""))</f>
        <v/>
      </c>
      <c r="S14" s="53">
        <f>IF(OR(R14="",K14=""),"",R14*K14)</f>
        <v/>
      </c>
      <c r="T14" s="38" t="n">
        <v>3</v>
      </c>
      <c r="U14" s="54">
        <f>IF(OR(T14="",AC14="발주완료",AC14="취소"),"",TODAY()+T14)</f>
        <v/>
      </c>
      <c r="V14" s="50">
        <f>IF(OR(U14="",NOT(ISNUMBER($K$2))),"",IF(U14&lt;=$K$2,"가능","초과 "&amp;(U14-$K$2)&amp;"일"))</f>
        <v/>
      </c>
      <c r="W14" s="34" t="inlineStr">
        <is>
          <t>GENUINE</t>
        </is>
      </c>
      <c r="X14" s="34" t="inlineStr">
        <is>
          <t>EX WORK BUSAN</t>
        </is>
      </c>
      <c r="Y14" s="34" t="n"/>
      <c r="Z14" s="55" t="n"/>
      <c r="AA14" s="54">
        <f>IF(OR(Z14="",Y14=""),"",Z14+Y14)</f>
        <v/>
      </c>
      <c r="AB14" s="36" t="inlineStr">
        <is>
          <t>D/T: 3 DAYS, GENUINE, EX WORK BUSAN</t>
        </is>
      </c>
      <c r="AC14" s="34" t="inlineStr">
        <is>
          <t>검토중</t>
        </is>
      </c>
      <c r="AD14" s="36" t="inlineStr">
        <is>
          <t>유효기간 미기재 – RMS 확인</t>
        </is>
      </c>
      <c r="AE14" s="50">
        <f>IF(F14="","",B14&amp;"#"&amp;IF(D14="",F14,D14))</f>
        <v/>
      </c>
      <c r="AF14" s="50">
        <f>IF(AE14="","",AE14&amp;"|"&amp;M14)</f>
        <v/>
      </c>
      <c r="AG14" s="50">
        <f>IF(AE14="","",IF(COUNTIF($AE$6:AE14,AE14)=1,1,0))</f>
        <v/>
      </c>
      <c r="AH14" s="50">
        <f>IF(AE14="","",COUNTIF($AE$6:$AE$205,AE14))</f>
        <v/>
      </c>
      <c r="AI14" s="50">
        <f>IF(AE14="","",IF(AND(AG14=1,AH14&gt;1),COUNTIFS($AG$6:AG14,1,$AH$6:AH14,"&gt;1"),""))</f>
        <v/>
      </c>
      <c r="AJ14" s="50">
        <f>IF(AG14=1,IF(COUNTIFS($AE$6:$AE$205,AE14,$N$6:$N$205,"견적접수")&gt;0,1,0),"")</f>
        <v/>
      </c>
      <c r="AK14" s="50">
        <f>IF(OR(R14="",N14&lt;&gt;"견적접수"),"",IF(AND(R14=_xlfn.MINIFS($R$6:$R$205,$AE$6:$AE$205,AE14,$N$6:$N$205,"견적접수"),COUNTIFS($AE$5:AE13,AE14,$R$5:R13,R14,$N$5:N13,"견적접수")=0),1,""))</f>
        <v/>
      </c>
    </row>
    <row r="15">
      <c r="A15" s="50">
        <f>IF(F15="","",ROW()-5)</f>
        <v/>
      </c>
      <c r="B15" s="34" t="inlineStr">
        <is>
          <t>KQU-000116314</t>
        </is>
      </c>
      <c r="C15" s="34" t="inlineStr">
        <is>
          <t>25</t>
        </is>
      </c>
      <c r="D15" s="34" t="n">
        <v>1</v>
      </c>
      <c r="E15" s="34" t="inlineStr">
        <is>
          <t>HACCP MASTER</t>
        </is>
      </c>
      <c r="F15" s="36" t="inlineStr">
        <is>
          <t>Cooking Range Hot Plate</t>
        </is>
      </c>
      <c r="G15" s="36" t="inlineStr">
        <is>
          <t>HACCP MASTER / ER641</t>
        </is>
      </c>
      <c r="H15" s="36" t="inlineStr">
        <is>
          <t>A4-210x297 - 5</t>
        </is>
      </c>
      <c r="I15" s="36" t="inlineStr">
        <is>
          <t>Galley &amp; Laundry equipment. Electric Cooking Range</t>
        </is>
      </c>
      <c r="J15" s="36" t="inlineStr">
        <is>
          <t>딘텍 제안: 신형 11.33460.344</t>
        </is>
      </c>
      <c r="K15" s="34" t="n">
        <v>4</v>
      </c>
      <c r="L15" s="34" t="inlineStr">
        <is>
          <t>pcs</t>
        </is>
      </c>
      <c r="M15" s="34" t="inlineStr">
        <is>
          <t>DINTEC</t>
        </is>
      </c>
      <c r="N15" s="34" t="inlineStr">
        <is>
          <t>견적접수</t>
        </is>
      </c>
      <c r="O15" s="50">
        <f>IF(N(AH15)&gt;1,"중복 "&amp;AH15&amp;"곳"&amp;IF(AK15=1," · 최저가",IF(AND(N15="견적접수",R15&lt;&gt;"")," · 비쌈","")),"")</f>
        <v/>
      </c>
      <c r="P15" s="34" t="inlineStr">
        <is>
          <t>KRW</t>
        </is>
      </c>
      <c r="Q15" s="51" t="n">
        <v>582500</v>
      </c>
      <c r="R15" s="52">
        <f>IF(OR(Q15="",P15=""),"",IFERROR(IF(VLOOKUP(P15,설정!$K$5:$L$9,2,0)&gt;0,Q15*VLOOKUP(P15,설정!$K$5:$L$9,2,0),""),""))</f>
        <v/>
      </c>
      <c r="S15" s="53">
        <f>IF(OR(R15="",K15=""),"",R15*K15)</f>
        <v/>
      </c>
      <c r="T15" s="38" t="n">
        <v>0</v>
      </c>
      <c r="U15" s="54">
        <f>IF(OR(T15="",AC15="발주완료",AC15="취소"),"",TODAY()+T15)</f>
        <v/>
      </c>
      <c r="V15" s="50">
        <f>IF(OR(U15="",NOT(ISNUMBER($K$2))),"",IF(U15&lt;=$K$2,"가능","초과 "&amp;(U15-$K$2)&amp;"일"))</f>
        <v/>
      </c>
      <c r="W15" s="34" t="inlineStr">
        <is>
          <t>GENUINE</t>
        </is>
      </c>
      <c r="X15" s="34" t="inlineStr">
        <is>
          <t>EXW BUSAN</t>
        </is>
      </c>
      <c r="Y15" s="34" t="n">
        <v>30</v>
      </c>
      <c r="Z15" s="56" t="n">
        <v>46316</v>
      </c>
      <c r="AA15" s="54">
        <f>IF(OR(Z15="",Y15=""),"",Z15+Y15)</f>
        <v/>
      </c>
      <c r="AB15" s="36" t="inlineStr">
        <is>
          <t>[딘텍 DB26034754] OFFER: NEW TYPE (11.33460.344) / L/T: STK (Ex stock subject to prior sale) / Your ref 2026.10.12 / 수출 시 우든박스/팔레트 포장비 실비 별도</t>
        </is>
      </c>
      <c r="AC15" s="34" t="inlineStr">
        <is>
          <t>검토중</t>
        </is>
      </c>
      <c r="AD15" s="36" t="inlineStr">
        <is>
          <t>재고품(선판매 시 소진) · 입고 후 가열 상태로 절연 점검 요청</t>
        </is>
      </c>
      <c r="AE15" s="50">
        <f>IF(F15="","",B15&amp;"#"&amp;IF(D15="",F15,D15))</f>
        <v/>
      </c>
      <c r="AF15" s="50">
        <f>IF(AE15="","",AE15&amp;"|"&amp;M15)</f>
        <v/>
      </c>
      <c r="AG15" s="50">
        <f>IF(AE15="","",IF(COUNTIF($AE$6:AE15,AE15)=1,1,0))</f>
        <v/>
      </c>
      <c r="AH15" s="50">
        <f>IF(AE15="","",COUNTIF($AE$6:$AE$205,AE15))</f>
        <v/>
      </c>
      <c r="AI15" s="50">
        <f>IF(AE15="","",IF(AND(AG15=1,AH15&gt;1),COUNTIFS($AG$6:AG15,1,$AH$6:AH15,"&gt;1"),""))</f>
        <v/>
      </c>
      <c r="AJ15" s="50">
        <f>IF(AG15=1,IF(COUNTIFS($AE$6:$AE$205,AE15,$N$6:$N$205,"견적접수")&gt;0,1,0),"")</f>
        <v/>
      </c>
      <c r="AK15" s="50">
        <f>IF(OR(R15="",N15&lt;&gt;"견적접수"),"",IF(AND(R15=_xlfn.MINIFS($R$6:$R$205,$AE$6:$AE$205,AE15,$N$6:$N$205,"견적접수"),COUNTIFS($AE$5:AE14,AE15,$R$5:R14,R15,$N$5:N14,"견적접수")=0),1,""))</f>
        <v/>
      </c>
    </row>
    <row r="16">
      <c r="A16" s="50">
        <f>IF(F16="","",ROW()-5)</f>
        <v/>
      </c>
      <c r="B16" s="34" t="inlineStr">
        <is>
          <t>선박요청서-30</t>
        </is>
      </c>
      <c r="C16" s="34" t="inlineStr">
        <is>
          <t>30</t>
        </is>
      </c>
      <c r="D16" s="34" t="n">
        <v>1</v>
      </c>
      <c r="E16" s="34" t="inlineStr">
        <is>
          <t>Parker</t>
        </is>
      </c>
      <c r="F16" s="36" t="inlineStr">
        <is>
          <t>Solenoid Valve for Ballast Hyd. System D1VW4CNJWF (THR TYPE)</t>
        </is>
      </c>
      <c r="G16" s="36" t="inlineStr">
        <is>
          <t>Parker</t>
        </is>
      </c>
      <c r="H16" s="36" t="inlineStr">
        <is>
          <t>VPKVVDV4301</t>
        </is>
      </c>
      <c r="I16" s="36" t="inlineStr">
        <is>
          <t>Hyd.VRC</t>
        </is>
      </c>
      <c r="J16" s="36" t="inlineStr">
        <is>
          <t>DWG:VO61-W2008-9 / RMS: 신형 D1VW004CNJW로 견적</t>
        </is>
      </c>
      <c r="K16" s="34" t="n">
        <v>3</v>
      </c>
      <c r="L16" s="34" t="inlineStr">
        <is>
          <t>pcs</t>
        </is>
      </c>
      <c r="M16" s="34" t="inlineStr">
        <is>
          <t>RMS</t>
        </is>
      </c>
      <c r="N16" s="34" t="inlineStr">
        <is>
          <t>견적접수</t>
        </is>
      </c>
      <c r="O16" s="50">
        <f>IF(N(AH16)&gt;1,"중복 "&amp;AH16&amp;"곳"&amp;IF(AK16=1," · 최저가",IF(AND(N16="견적접수",R16&lt;&gt;"")," · 비쌈","")),"")</f>
        <v/>
      </c>
      <c r="P16" s="34" t="inlineStr">
        <is>
          <t>KRW</t>
        </is>
      </c>
      <c r="Q16" s="51" t="n">
        <v>500000</v>
      </c>
      <c r="R16" s="52">
        <f>IF(OR(Q16="",P16=""),"",IFERROR(IF(VLOOKUP(P16,설정!$K$5:$L$9,2,0)&gt;0,Q16*VLOOKUP(P16,설정!$K$5:$L$9,2,0),""),""))</f>
        <v/>
      </c>
      <c r="S16" s="53">
        <f>IF(OR(R16="",K16=""),"",R16*K16)</f>
        <v/>
      </c>
      <c r="T16" s="38" t="n">
        <v>90</v>
      </c>
      <c r="U16" s="54">
        <f>IF(OR(T16="",AC16="발주완료",AC16="취소"),"",TODAY()+T16)</f>
        <v/>
      </c>
      <c r="V16" s="50">
        <f>IF(OR(U16="",NOT(ISNUMBER($K$2))),"",IF(U16&lt;=$K$2,"가능","초과 "&amp;(U16-$K$2)&amp;"일"))</f>
        <v/>
      </c>
      <c r="W16" s="34" t="inlineStr">
        <is>
          <t>GENUINE</t>
        </is>
      </c>
      <c r="X16" s="34" t="inlineStr">
        <is>
          <t>EX WORK BUSAN</t>
        </is>
      </c>
      <c r="Y16" s="34" t="n">
        <v>20</v>
      </c>
      <c r="Z16" s="55" t="n"/>
      <c r="AA16" s="54">
        <f>IF(OR(Z16="",Y16=""),"",Z16+Y16)</f>
        <v/>
      </c>
      <c r="AB16" s="36" t="inlineStr">
        <is>
          <t>#1 = QUOTE AS NEW TYPE: D1VW004CNJW (OBSOLETE D1VW4CNJWF) / D/T: 90 DAYS, GENUINE, EX WORK BUSAN [VALI: 20 DAYS]</t>
        </is>
      </c>
      <c r="AC16" s="34" t="inlineStr">
        <is>
          <t>검토중</t>
        </is>
      </c>
      <c r="AD16" s="36" t="inlineStr">
        <is>
          <t>신형 대체품 호환 확인</t>
        </is>
      </c>
      <c r="AE16" s="50">
        <f>IF(F16="","",B16&amp;"#"&amp;IF(D16="",F16,D16))</f>
        <v/>
      </c>
      <c r="AF16" s="50">
        <f>IF(AE16="","",AE16&amp;"|"&amp;M16)</f>
        <v/>
      </c>
      <c r="AG16" s="50">
        <f>IF(AE16="","",IF(COUNTIF($AE$6:AE16,AE16)=1,1,0))</f>
        <v/>
      </c>
      <c r="AH16" s="50">
        <f>IF(AE16="","",COUNTIF($AE$6:$AE$205,AE16))</f>
        <v/>
      </c>
      <c r="AI16" s="50">
        <f>IF(AE16="","",IF(AND(AG16=1,AH16&gt;1),COUNTIFS($AG$6:AG16,1,$AH$6:AH16,"&gt;1"),""))</f>
        <v/>
      </c>
      <c r="AJ16" s="50">
        <f>IF(AG16=1,IF(COUNTIFS($AE$6:$AE$205,AE16,$N$6:$N$205,"견적접수")&gt;0,1,0),"")</f>
        <v/>
      </c>
      <c r="AK16" s="50">
        <f>IF(OR(R16="",N16&lt;&gt;"견적접수"),"",IF(AND(R16=_xlfn.MINIFS($R$6:$R$205,$AE$6:$AE$205,AE16,$N$6:$N$205,"견적접수"),COUNTIFS($AE$5:AE15,AE16,$R$5:R15,R16,$N$5:N15,"견적접수")=0),1,""))</f>
        <v/>
      </c>
    </row>
    <row r="17">
      <c r="A17" s="50">
        <f>IF(F17="","",ROW()-5)</f>
        <v/>
      </c>
      <c r="B17" s="34" t="inlineStr">
        <is>
          <t>선박요청서-30</t>
        </is>
      </c>
      <c r="C17" s="34" t="inlineStr">
        <is>
          <t>30</t>
        </is>
      </c>
      <c r="D17" s="34" t="n">
        <v>1</v>
      </c>
      <c r="E17" s="34" t="inlineStr">
        <is>
          <t>Parker</t>
        </is>
      </c>
      <c r="F17" s="36" t="inlineStr">
        <is>
          <t>Solenoid Valve for Ballast Hyd. System D1VW4CNJWF (THR TYPE)</t>
        </is>
      </c>
      <c r="G17" s="36" t="inlineStr">
        <is>
          <t>Parker</t>
        </is>
      </c>
      <c r="H17" s="36" t="inlineStr">
        <is>
          <t>VPKVVDV4301</t>
        </is>
      </c>
      <c r="I17" s="36" t="inlineStr">
        <is>
          <t>Hyd.VRC</t>
        </is>
      </c>
      <c r="J17" s="36" t="inlineStr">
        <is>
          <t>딘텍 제안: D1VW4CNJW-91 (OEM)</t>
        </is>
      </c>
      <c r="K17" s="34" t="n">
        <v>3</v>
      </c>
      <c r="L17" s="34" t="inlineStr">
        <is>
          <t>pcs</t>
        </is>
      </c>
      <c r="M17" s="34" t="inlineStr">
        <is>
          <t>DINTEC</t>
        </is>
      </c>
      <c r="N17" s="34" t="inlineStr">
        <is>
          <t>견적접수</t>
        </is>
      </c>
      <c r="O17" s="50">
        <f>IF(N(AH17)&gt;1,"중복 "&amp;AH17&amp;"곳"&amp;IF(AK17=1," · 최저가",IF(AND(N17="견적접수",R17&lt;&gt;"")," · 비쌈","")),"")</f>
        <v/>
      </c>
      <c r="P17" s="34" t="inlineStr">
        <is>
          <t>KRW</t>
        </is>
      </c>
      <c r="Q17" s="51" t="n">
        <v>205000</v>
      </c>
      <c r="R17" s="52">
        <f>IF(OR(Q17="",P17=""),"",IFERROR(IF(VLOOKUP(P17,설정!$K$5:$L$9,2,0)&gt;0,Q17*VLOOKUP(P17,설정!$K$5:$L$9,2,0),""),""))</f>
        <v/>
      </c>
      <c r="S17" s="53">
        <f>IF(OR(R17="",K17=""),"",R17*K17)</f>
        <v/>
      </c>
      <c r="T17" s="38" t="n">
        <v>50</v>
      </c>
      <c r="U17" s="54">
        <f>IF(OR(T17="",AC17="발주완료",AC17="취소"),"",TODAY()+T17)</f>
        <v/>
      </c>
      <c r="V17" s="50">
        <f>IF(OR(U17="",NOT(ISNUMBER($K$2))),"",IF(U17&lt;=$K$2,"가능","초과 "&amp;(U17-$K$2)&amp;"일"))</f>
        <v/>
      </c>
      <c r="W17" s="34" t="inlineStr">
        <is>
          <t>OEM</t>
        </is>
      </c>
      <c r="X17" s="34" t="inlineStr">
        <is>
          <t>EXW BUSAN</t>
        </is>
      </c>
      <c r="Y17" s="34" t="n">
        <v>30</v>
      </c>
      <c r="Z17" s="56" t="n">
        <v>46317</v>
      </c>
      <c r="AA17" s="54">
        <f>IF(OR(Z17="",Y17=""),"",Z17+Y17)</f>
        <v/>
      </c>
      <c r="AB17" s="36" t="inlineStr">
        <is>
          <t>[딘텍 DB26034753] OFFER: D1VW4CNJW-91 / L/T 50 DAYS / ORIGIN: OEM / 수출 시 우든박스/팔레트 포장비 실비 별도</t>
        </is>
      </c>
      <c r="AC17" s="34" t="inlineStr">
        <is>
          <t>검토중</t>
        </is>
      </c>
      <c r="AD17" s="36" t="inlineStr">
        <is>
          <t>OEM품 – RMS는 정품 신형(90일). 승인 여부 확인</t>
        </is>
      </c>
      <c r="AE17" s="50">
        <f>IF(F17="","",B17&amp;"#"&amp;IF(D17="",F17,D17))</f>
        <v/>
      </c>
      <c r="AF17" s="50">
        <f>IF(AE17="","",AE17&amp;"|"&amp;M17)</f>
        <v/>
      </c>
      <c r="AG17" s="50">
        <f>IF(AE17="","",IF(COUNTIF($AE$6:AE17,AE17)=1,1,0))</f>
        <v/>
      </c>
      <c r="AH17" s="50">
        <f>IF(AE17="","",COUNTIF($AE$6:$AE$205,AE17))</f>
        <v/>
      </c>
      <c r="AI17" s="50">
        <f>IF(AE17="","",IF(AND(AG17=1,AH17&gt;1),COUNTIFS($AG$6:AG17,1,$AH$6:AH17,"&gt;1"),""))</f>
        <v/>
      </c>
      <c r="AJ17" s="50">
        <f>IF(AG17=1,IF(COUNTIFS($AE$6:$AE$205,AE17,$N$6:$N$205,"견적접수")&gt;0,1,0),"")</f>
        <v/>
      </c>
      <c r="AK17" s="50">
        <f>IF(OR(R17="",N17&lt;&gt;"견적접수"),"",IF(AND(R17=_xlfn.MINIFS($R$6:$R$205,$AE$6:$AE$205,AE17,$N$6:$N$205,"견적접수"),COUNTIFS($AE$5:AE16,AE17,$R$5:R16,R17,$N$5:N16,"견적접수")=0),1,""))</f>
        <v/>
      </c>
    </row>
    <row r="18">
      <c r="A18" s="50">
        <f>IF(F18="","",ROW()-5)</f>
        <v/>
      </c>
      <c r="B18" s="34" t="inlineStr">
        <is>
          <t>선박요청서-30</t>
        </is>
      </c>
      <c r="C18" s="34" t="inlineStr">
        <is>
          <t>30</t>
        </is>
      </c>
      <c r="D18" s="34" t="n">
        <v>2</v>
      </c>
      <c r="E18" s="34" t="inlineStr">
        <is>
          <t>Parker</t>
        </is>
      </c>
      <c r="F18" s="36" t="inlineStr">
        <is>
          <t>Solenoid Valve for Ballast Hyd. System D1VW20DNJWF (O/S TYPE)</t>
        </is>
      </c>
      <c r="G18" s="36" t="inlineStr">
        <is>
          <t>Parker</t>
        </is>
      </c>
      <c r="H18" s="36" t="inlineStr">
        <is>
          <t>VPKVVDV4201</t>
        </is>
      </c>
      <c r="I18" s="36" t="inlineStr">
        <is>
          <t>Hyd.VRC</t>
        </is>
      </c>
      <c r="J18" s="36" t="inlineStr">
        <is>
          <t>DWG:VO61-W2008-10 / RMS: 신형 D1VW020DNJW로 견적</t>
        </is>
      </c>
      <c r="K18" s="34" t="n">
        <v>3</v>
      </c>
      <c r="L18" s="34" t="inlineStr">
        <is>
          <t>pcs</t>
        </is>
      </c>
      <c r="M18" s="34" t="inlineStr">
        <is>
          <t>RMS</t>
        </is>
      </c>
      <c r="N18" s="34" t="inlineStr">
        <is>
          <t>견적접수</t>
        </is>
      </c>
      <c r="O18" s="50">
        <f>IF(N(AH18)&gt;1,"중복 "&amp;AH18&amp;"곳"&amp;IF(AK18=1," · 최저가",IF(AND(N18="견적접수",R18&lt;&gt;"")," · 비쌈","")),"")</f>
        <v/>
      </c>
      <c r="P18" s="34" t="inlineStr">
        <is>
          <t>KRW</t>
        </is>
      </c>
      <c r="Q18" s="51" t="n">
        <v>649000</v>
      </c>
      <c r="R18" s="52">
        <f>IF(OR(Q18="",P18=""),"",IFERROR(IF(VLOOKUP(P18,설정!$K$5:$L$9,2,0)&gt;0,Q18*VLOOKUP(P18,설정!$K$5:$L$9,2,0),""),""))</f>
        <v/>
      </c>
      <c r="S18" s="53">
        <f>IF(OR(R18="",K18=""),"",R18*K18)</f>
        <v/>
      </c>
      <c r="T18" s="38" t="n">
        <v>90</v>
      </c>
      <c r="U18" s="54">
        <f>IF(OR(T18="",AC18="발주완료",AC18="취소"),"",TODAY()+T18)</f>
        <v/>
      </c>
      <c r="V18" s="50">
        <f>IF(OR(U18="",NOT(ISNUMBER($K$2))),"",IF(U18&lt;=$K$2,"가능","초과 "&amp;(U18-$K$2)&amp;"일"))</f>
        <v/>
      </c>
      <c r="W18" s="34" t="inlineStr">
        <is>
          <t>GENUINE</t>
        </is>
      </c>
      <c r="X18" s="34" t="inlineStr">
        <is>
          <t>EX WORK BUSAN</t>
        </is>
      </c>
      <c r="Y18" s="34" t="n">
        <v>20</v>
      </c>
      <c r="Z18" s="55" t="n"/>
      <c r="AA18" s="54">
        <f>IF(OR(Z18="",Y18=""),"",Z18+Y18)</f>
        <v/>
      </c>
      <c r="AB18" s="36" t="inlineStr">
        <is>
          <t>#2 = QUOTE AS NEW TYPE: D1VW020DNJW (OBSOLETE D1VW020DNJW) / D/T: 90 DAYS, GENUINE, EX WORK BUSAN [VALI: 20 DAYS]</t>
        </is>
      </c>
      <c r="AC18" s="34" t="inlineStr">
        <is>
          <t>검토중</t>
        </is>
      </c>
      <c r="AD18" s="36" t="inlineStr">
        <is>
          <t>신형 대체품 호환 확인 (RMS 비고의 OBSOLETE 형번 오기 확인)</t>
        </is>
      </c>
      <c r="AE18" s="50">
        <f>IF(F18="","",B18&amp;"#"&amp;IF(D18="",F18,D18))</f>
        <v/>
      </c>
      <c r="AF18" s="50">
        <f>IF(AE18="","",AE18&amp;"|"&amp;M18)</f>
        <v/>
      </c>
      <c r="AG18" s="50">
        <f>IF(AE18="","",IF(COUNTIF($AE$6:AE18,AE18)=1,1,0))</f>
        <v/>
      </c>
      <c r="AH18" s="50">
        <f>IF(AE18="","",COUNTIF($AE$6:$AE$205,AE18))</f>
        <v/>
      </c>
      <c r="AI18" s="50">
        <f>IF(AE18="","",IF(AND(AG18=1,AH18&gt;1),COUNTIFS($AG$6:AG18,1,$AH$6:AH18,"&gt;1"),""))</f>
        <v/>
      </c>
      <c r="AJ18" s="50">
        <f>IF(AG18=1,IF(COUNTIFS($AE$6:$AE$205,AE18,$N$6:$N$205,"견적접수")&gt;0,1,0),"")</f>
        <v/>
      </c>
      <c r="AK18" s="50">
        <f>IF(OR(R18="",N18&lt;&gt;"견적접수"),"",IF(AND(R18=_xlfn.MINIFS($R$6:$R$205,$AE$6:$AE$205,AE18,$N$6:$N$205,"견적접수"),COUNTIFS($AE$5:AE17,AE18,$R$5:R17,R18,$N$5:N17,"견적접수")=0),1,""))</f>
        <v/>
      </c>
    </row>
    <row r="19">
      <c r="A19" s="50">
        <f>IF(F19="","",ROW()-5)</f>
        <v/>
      </c>
      <c r="B19" s="34" t="inlineStr">
        <is>
          <t>선박요청서-30</t>
        </is>
      </c>
      <c r="C19" s="34" t="inlineStr">
        <is>
          <t>30</t>
        </is>
      </c>
      <c r="D19" s="34" t="n">
        <v>2</v>
      </c>
      <c r="E19" s="34" t="inlineStr">
        <is>
          <t>Parker</t>
        </is>
      </c>
      <c r="F19" s="36" t="inlineStr">
        <is>
          <t>Solenoid Valve for Ballast Hyd. System D1VW20DNJWF (O/S TYPE)</t>
        </is>
      </c>
      <c r="G19" s="36" t="inlineStr">
        <is>
          <t>Parker</t>
        </is>
      </c>
      <c r="H19" s="36" t="inlineStr">
        <is>
          <t>VPKVVDV4201</t>
        </is>
      </c>
      <c r="I19" s="36" t="inlineStr">
        <is>
          <t>Hyd.VRC</t>
        </is>
      </c>
      <c r="J19" s="36" t="inlineStr">
        <is>
          <t>딘텍 제안: D1VW20DNJW-91 (OEM)</t>
        </is>
      </c>
      <c r="K19" s="34" t="n">
        <v>3</v>
      </c>
      <c r="L19" s="34" t="inlineStr">
        <is>
          <t>pcs</t>
        </is>
      </c>
      <c r="M19" s="34" t="inlineStr">
        <is>
          <t>DINTEC</t>
        </is>
      </c>
      <c r="N19" s="34" t="inlineStr">
        <is>
          <t>견적접수</t>
        </is>
      </c>
      <c r="O19" s="50">
        <f>IF(N(AH19)&gt;1,"중복 "&amp;AH19&amp;"곳"&amp;IF(AK19=1," · 최저가",IF(AND(N19="견적접수",R19&lt;&gt;"")," · 비쌈","")),"")</f>
        <v/>
      </c>
      <c r="P19" s="34" t="inlineStr">
        <is>
          <t>KRW</t>
        </is>
      </c>
      <c r="Q19" s="51" t="n">
        <v>225000</v>
      </c>
      <c r="R19" s="52">
        <f>IF(OR(Q19="",P19=""),"",IFERROR(IF(VLOOKUP(P19,설정!$K$5:$L$9,2,0)&gt;0,Q19*VLOOKUP(P19,설정!$K$5:$L$9,2,0),""),""))</f>
        <v/>
      </c>
      <c r="S19" s="53">
        <f>IF(OR(R19="",K19=""),"",R19*K19)</f>
        <v/>
      </c>
      <c r="T19" s="38" t="n">
        <v>50</v>
      </c>
      <c r="U19" s="54">
        <f>IF(OR(T19="",AC19="발주완료",AC19="취소"),"",TODAY()+T19)</f>
        <v/>
      </c>
      <c r="V19" s="50">
        <f>IF(OR(U19="",NOT(ISNUMBER($K$2))),"",IF(U19&lt;=$K$2,"가능","초과 "&amp;(U19-$K$2)&amp;"일"))</f>
        <v/>
      </c>
      <c r="W19" s="34" t="inlineStr">
        <is>
          <t>OEM</t>
        </is>
      </c>
      <c r="X19" s="34" t="inlineStr">
        <is>
          <t>EXW BUSAN</t>
        </is>
      </c>
      <c r="Y19" s="34" t="n">
        <v>30</v>
      </c>
      <c r="Z19" s="56" t="n">
        <v>46317</v>
      </c>
      <c r="AA19" s="54">
        <f>IF(OR(Z19="",Y19=""),"",Z19+Y19)</f>
        <v/>
      </c>
      <c r="AB19" s="36" t="inlineStr">
        <is>
          <t>[딘텍 DB26034753] OFFER: D1VW20DNJW-91 / L/T 50 DAYS / ORIGIN: OEM / 수출 시 우든박스/팔레트 포장비 실비 별도</t>
        </is>
      </c>
      <c r="AC19" s="34" t="inlineStr">
        <is>
          <t>검토중</t>
        </is>
      </c>
      <c r="AD19" s="36" t="inlineStr">
        <is>
          <t>OEM품 – RMS는 정품 신형(90일). 승인 여부 확인</t>
        </is>
      </c>
      <c r="AE19" s="50">
        <f>IF(F19="","",B19&amp;"#"&amp;IF(D19="",F19,D19))</f>
        <v/>
      </c>
      <c r="AF19" s="50">
        <f>IF(AE19="","",AE19&amp;"|"&amp;M19)</f>
        <v/>
      </c>
      <c r="AG19" s="50">
        <f>IF(AE19="","",IF(COUNTIF($AE$6:AE19,AE19)=1,1,0))</f>
        <v/>
      </c>
      <c r="AH19" s="50">
        <f>IF(AE19="","",COUNTIF($AE$6:$AE$205,AE19))</f>
        <v/>
      </c>
      <c r="AI19" s="50">
        <f>IF(AE19="","",IF(AND(AG19=1,AH19&gt;1),COUNTIFS($AG$6:AG19,1,$AH$6:AH19,"&gt;1"),""))</f>
        <v/>
      </c>
      <c r="AJ19" s="50">
        <f>IF(AG19=1,IF(COUNTIFS($AE$6:$AE$205,AE19,$N$6:$N$205,"견적접수")&gt;0,1,0),"")</f>
        <v/>
      </c>
      <c r="AK19" s="50">
        <f>IF(OR(R19="",N19&lt;&gt;"견적접수"),"",IF(AND(R19=_xlfn.MINIFS($R$6:$R$205,$AE$6:$AE$205,AE19,$N$6:$N$205,"견적접수"),COUNTIFS($AE$5:AE18,AE19,$R$5:R18,R19,$N$5:N18,"견적접수")=0),1,""))</f>
        <v/>
      </c>
    </row>
    <row r="20">
      <c r="A20" s="50">
        <f>IF(F20="","",ROW()-5)</f>
        <v/>
      </c>
      <c r="B20" s="34" t="inlineStr">
        <is>
          <t>선박요청서-30</t>
        </is>
      </c>
      <c r="C20" s="34" t="inlineStr">
        <is>
          <t>30</t>
        </is>
      </c>
      <c r="D20" s="34" t="n">
        <v>3</v>
      </c>
      <c r="E20" s="34" t="n"/>
      <c r="F20" s="36" t="inlineStr">
        <is>
          <t>Solenoid Valve for Ballast Hyd. System DHW-0713P</t>
        </is>
      </c>
      <c r="G20" s="36" t="n"/>
      <c r="H20" s="36" t="inlineStr">
        <is>
          <t>VATVDV43001</t>
        </is>
      </c>
      <c r="I20" s="36" t="inlineStr">
        <is>
          <t>Hyd.VRC</t>
        </is>
      </c>
      <c r="J20" s="36" t="inlineStr">
        <is>
          <t>DWG:VO61-W2008-6</t>
        </is>
      </c>
      <c r="K20" s="34" t="n">
        <v>3</v>
      </c>
      <c r="L20" s="34" t="inlineStr">
        <is>
          <t>pcs</t>
        </is>
      </c>
      <c r="M20" s="34" t="inlineStr">
        <is>
          <t>RMS</t>
        </is>
      </c>
      <c r="N20" s="34" t="inlineStr">
        <is>
          <t>공급불가</t>
        </is>
      </c>
      <c r="O20" s="50">
        <f>IF(N(AH20)&gt;1,"중복 "&amp;AH20&amp;"곳"&amp;IF(AK20=1," · 최저가",IF(AND(N20="견적접수",R20&lt;&gt;"")," · 비쌈","")),"")</f>
        <v/>
      </c>
      <c r="P20" s="34" t="inlineStr">
        <is>
          <t>KRW</t>
        </is>
      </c>
      <c r="Q20" s="51" t="n"/>
      <c r="R20" s="52">
        <f>IF(OR(Q20="",P20=""),"",IFERROR(IF(VLOOKUP(P20,설정!$K$5:$L$9,2,0)&gt;0,Q20*VLOOKUP(P20,설정!$K$5:$L$9,2,0),""),""))</f>
        <v/>
      </c>
      <c r="S20" s="53">
        <f>IF(OR(R20="",K20=""),"",R20*K20)</f>
        <v/>
      </c>
      <c r="T20" s="38" t="n"/>
      <c r="U20" s="54">
        <f>IF(OR(T20="",AC20="발주완료",AC20="취소"),"",TODAY()+T20)</f>
        <v/>
      </c>
      <c r="V20" s="50">
        <f>IF(OR(U20="",NOT(ISNUMBER($K$2))),"",IF(U20&lt;=$K$2,"가능","초과 "&amp;(U20-$K$2)&amp;"일"))</f>
        <v/>
      </c>
      <c r="W20" s="34" t="n"/>
      <c r="X20" s="34" t="n"/>
      <c r="Y20" s="34" t="n"/>
      <c r="Z20" s="55" t="n"/>
      <c r="AA20" s="54">
        <f>IF(OR(Z20="",Y20=""),"",Z20+Y20)</f>
        <v/>
      </c>
      <c r="AB20" s="36" t="inlineStr">
        <is>
          <t>NOT AVAILABLE</t>
        </is>
      </c>
      <c r="AC20" s="34" t="inlineStr">
        <is>
          <t>타업체 문의</t>
        </is>
      </c>
      <c r="AD20" s="36" t="inlineStr">
        <is>
          <t>타 업체 견적 요청</t>
        </is>
      </c>
      <c r="AE20" s="50">
        <f>IF(F20="","",B20&amp;"#"&amp;IF(D20="",F20,D20))</f>
        <v/>
      </c>
      <c r="AF20" s="50">
        <f>IF(AE20="","",AE20&amp;"|"&amp;M20)</f>
        <v/>
      </c>
      <c r="AG20" s="50">
        <f>IF(AE20="","",IF(COUNTIF($AE$6:AE20,AE20)=1,1,0))</f>
        <v/>
      </c>
      <c r="AH20" s="50">
        <f>IF(AE20="","",COUNTIF($AE$6:$AE$205,AE20))</f>
        <v/>
      </c>
      <c r="AI20" s="50">
        <f>IF(AE20="","",IF(AND(AG20=1,AH20&gt;1),COUNTIFS($AG$6:AG20,1,$AH$6:AH20,"&gt;1"),""))</f>
        <v/>
      </c>
      <c r="AJ20" s="50">
        <f>IF(AG20=1,IF(COUNTIFS($AE$6:$AE$205,AE20,$N$6:$N$205,"견적접수")&gt;0,1,0),"")</f>
        <v/>
      </c>
      <c r="AK20" s="50">
        <f>IF(OR(R20="",N20&lt;&gt;"견적접수"),"",IF(AND(R20=_xlfn.MINIFS($R$6:$R$205,$AE$6:$AE$205,AE20,$N$6:$N$205,"견적접수"),COUNTIFS($AE$5:AE19,AE20,$R$5:R19,R20,$N$5:N19,"견적접수")=0),1,""))</f>
        <v/>
      </c>
    </row>
    <row r="21">
      <c r="A21" s="50">
        <f>IF(F21="","",ROW()-5)</f>
        <v/>
      </c>
      <c r="B21" s="34" t="inlineStr">
        <is>
          <t>선박요청서-30</t>
        </is>
      </c>
      <c r="C21" s="34" t="inlineStr">
        <is>
          <t>30</t>
        </is>
      </c>
      <c r="D21" s="34" t="n">
        <v>3</v>
      </c>
      <c r="E21" s="34" t="n"/>
      <c r="F21" s="36" t="inlineStr">
        <is>
          <t>Solenoid Valve for Ballast Hyd. System DHW-0713P</t>
        </is>
      </c>
      <c r="G21" s="36" t="n"/>
      <c r="H21" s="36" t="inlineStr">
        <is>
          <t>VATVDV43001</t>
        </is>
      </c>
      <c r="I21" s="36" t="inlineStr">
        <is>
          <t>Hyd.VRC</t>
        </is>
      </c>
      <c r="J21" s="36" t="n"/>
      <c r="K21" s="34" t="n">
        <v>3</v>
      </c>
      <c r="L21" s="34" t="inlineStr">
        <is>
          <t>pcs</t>
        </is>
      </c>
      <c r="M21" s="34" t="inlineStr">
        <is>
          <t>DINTEC</t>
        </is>
      </c>
      <c r="N21" s="34" t="inlineStr">
        <is>
          <t>공급불가</t>
        </is>
      </c>
      <c r="O21" s="50">
        <f>IF(N(AH21)&gt;1,"중복 "&amp;AH21&amp;"곳"&amp;IF(AK21=1," · 최저가",IF(AND(N21="견적접수",R21&lt;&gt;"")," · 비쌈","")),"")</f>
        <v/>
      </c>
      <c r="P21" s="34" t="inlineStr">
        <is>
          <t>KRW</t>
        </is>
      </c>
      <c r="Q21" s="51" t="n"/>
      <c r="R21" s="52">
        <f>IF(OR(Q21="",P21=""),"",IFERROR(IF(VLOOKUP(P21,설정!$K$5:$L$9,2,0)&gt;0,Q21*VLOOKUP(P21,설정!$K$5:$L$9,2,0),""),""))</f>
        <v/>
      </c>
      <c r="S21" s="53">
        <f>IF(OR(R21="",K21=""),"",R21*K21)</f>
        <v/>
      </c>
      <c r="T21" s="38" t="n"/>
      <c r="U21" s="54">
        <f>IF(OR(T21="",AC21="발주완료",AC21="취소"),"",TODAY()+T21)</f>
        <v/>
      </c>
      <c r="V21" s="50">
        <f>IF(OR(U21="",NOT(ISNUMBER($K$2))),"",IF(U21&lt;=$K$2,"가능","초과 "&amp;(U21-$K$2)&amp;"일"))</f>
        <v/>
      </c>
      <c r="W21" s="34" t="n"/>
      <c r="X21" s="34" t="inlineStr">
        <is>
          <t>EXW BUSAN</t>
        </is>
      </c>
      <c r="Y21" s="34" t="n">
        <v>30</v>
      </c>
      <c r="Z21" s="56" t="n">
        <v>46317</v>
      </c>
      <c r="AA21" s="54">
        <f>IF(OR(Z21="",Y21=""),"",Z21+Y21)</f>
        <v/>
      </c>
      <c r="AB21" s="36" t="inlineStr">
        <is>
          <t>[딘텍 DB26034753] N/A / 수출 시 우든박스/팔레트 포장비 실비 별도</t>
        </is>
      </c>
      <c r="AC21" s="34" t="inlineStr">
        <is>
          <t>타업체 문의</t>
        </is>
      </c>
      <c r="AD21" s="36" t="n"/>
      <c r="AE21" s="50">
        <f>IF(F21="","",B21&amp;"#"&amp;IF(D21="",F21,D21))</f>
        <v/>
      </c>
      <c r="AF21" s="50">
        <f>IF(AE21="","",AE21&amp;"|"&amp;M21)</f>
        <v/>
      </c>
      <c r="AG21" s="50">
        <f>IF(AE21="","",IF(COUNTIF($AE$6:AE21,AE21)=1,1,0))</f>
        <v/>
      </c>
      <c r="AH21" s="50">
        <f>IF(AE21="","",COUNTIF($AE$6:$AE$205,AE21))</f>
        <v/>
      </c>
      <c r="AI21" s="50">
        <f>IF(AE21="","",IF(AND(AG21=1,AH21&gt;1),COUNTIFS($AG$6:AG21,1,$AH$6:AH21,"&gt;1"),""))</f>
        <v/>
      </c>
      <c r="AJ21" s="50">
        <f>IF(AG21=1,IF(COUNTIFS($AE$6:$AE$205,AE21,$N$6:$N$205,"견적접수")&gt;0,1,0),"")</f>
        <v/>
      </c>
      <c r="AK21" s="50">
        <f>IF(OR(R21="",N21&lt;&gt;"견적접수"),"",IF(AND(R21=_xlfn.MINIFS($R$6:$R$205,$AE$6:$AE$205,AE21,$N$6:$N$205,"견적접수"),COUNTIFS($AE$5:AE20,AE21,$R$5:R20,R21,$N$5:N20,"견적접수")=0),1,""))</f>
        <v/>
      </c>
    </row>
    <row r="22">
      <c r="A22" s="50">
        <f>IF(F22="","",ROW()-5)</f>
        <v/>
      </c>
      <c r="B22" s="34" t="inlineStr">
        <is>
          <t>선박요청서-30</t>
        </is>
      </c>
      <c r="C22" s="34" t="inlineStr">
        <is>
          <t>30</t>
        </is>
      </c>
      <c r="D22" s="34" t="n">
        <v>4</v>
      </c>
      <c r="E22" s="34" t="n"/>
      <c r="F22" s="36" t="inlineStr">
        <is>
          <t>Solenoid Valve for Ballast Hyd. System DHW-0751/2</t>
        </is>
      </c>
      <c r="G22" s="36" t="n"/>
      <c r="H22" s="36" t="inlineStr">
        <is>
          <t>VATVDV42005</t>
        </is>
      </c>
      <c r="I22" s="36" t="inlineStr">
        <is>
          <t>Hyd.VRC</t>
        </is>
      </c>
      <c r="J22" s="36" t="inlineStr">
        <is>
          <t>DWG:VO61-W2008-7</t>
        </is>
      </c>
      <c r="K22" s="34" t="n">
        <v>3</v>
      </c>
      <c r="L22" s="34" t="inlineStr">
        <is>
          <t>pcs</t>
        </is>
      </c>
      <c r="M22" s="34" t="inlineStr">
        <is>
          <t>RMS</t>
        </is>
      </c>
      <c r="N22" s="34" t="inlineStr">
        <is>
          <t>공급불가</t>
        </is>
      </c>
      <c r="O22" s="50">
        <f>IF(N(AH22)&gt;1,"중복 "&amp;AH22&amp;"곳"&amp;IF(AK22=1," · 최저가",IF(AND(N22="견적접수",R22&lt;&gt;"")," · 비쌈","")),"")</f>
        <v/>
      </c>
      <c r="P22" s="34" t="inlineStr">
        <is>
          <t>KRW</t>
        </is>
      </c>
      <c r="Q22" s="51" t="n"/>
      <c r="R22" s="52">
        <f>IF(OR(Q22="",P22=""),"",IFERROR(IF(VLOOKUP(P22,설정!$K$5:$L$9,2,0)&gt;0,Q22*VLOOKUP(P22,설정!$K$5:$L$9,2,0),""),""))</f>
        <v/>
      </c>
      <c r="S22" s="53">
        <f>IF(OR(R22="",K22=""),"",R22*K22)</f>
        <v/>
      </c>
      <c r="T22" s="38" t="n"/>
      <c r="U22" s="54">
        <f>IF(OR(T22="",AC22="발주완료",AC22="취소"),"",TODAY()+T22)</f>
        <v/>
      </c>
      <c r="V22" s="50">
        <f>IF(OR(U22="",NOT(ISNUMBER($K$2))),"",IF(U22&lt;=$K$2,"가능","초과 "&amp;(U22-$K$2)&amp;"일"))</f>
        <v/>
      </c>
      <c r="W22" s="34" t="n"/>
      <c r="X22" s="34" t="n"/>
      <c r="Y22" s="34" t="n"/>
      <c r="Z22" s="55" t="n"/>
      <c r="AA22" s="54">
        <f>IF(OR(Z22="",Y22=""),"",Z22+Y22)</f>
        <v/>
      </c>
      <c r="AB22" s="36" t="inlineStr">
        <is>
          <t>NOT AVAILABLE</t>
        </is>
      </c>
      <c r="AC22" s="34" t="inlineStr">
        <is>
          <t>타업체 문의</t>
        </is>
      </c>
      <c r="AD22" s="36" t="inlineStr">
        <is>
          <t>타 업체 견적 요청</t>
        </is>
      </c>
      <c r="AE22" s="50">
        <f>IF(F22="","",B22&amp;"#"&amp;IF(D22="",F22,D22))</f>
        <v/>
      </c>
      <c r="AF22" s="50">
        <f>IF(AE22="","",AE22&amp;"|"&amp;M22)</f>
        <v/>
      </c>
      <c r="AG22" s="50">
        <f>IF(AE22="","",IF(COUNTIF($AE$6:AE22,AE22)=1,1,0))</f>
        <v/>
      </c>
      <c r="AH22" s="50">
        <f>IF(AE22="","",COUNTIF($AE$6:$AE$205,AE22))</f>
        <v/>
      </c>
      <c r="AI22" s="50">
        <f>IF(AE22="","",IF(AND(AG22=1,AH22&gt;1),COUNTIFS($AG$6:AG22,1,$AH$6:AH22,"&gt;1"),""))</f>
        <v/>
      </c>
      <c r="AJ22" s="50">
        <f>IF(AG22=1,IF(COUNTIFS($AE$6:$AE$205,AE22,$N$6:$N$205,"견적접수")&gt;0,1,0),"")</f>
        <v/>
      </c>
      <c r="AK22" s="50">
        <f>IF(OR(R22="",N22&lt;&gt;"견적접수"),"",IF(AND(R22=_xlfn.MINIFS($R$6:$R$205,$AE$6:$AE$205,AE22,$N$6:$N$205,"견적접수"),COUNTIFS($AE$5:AE21,AE22,$R$5:R21,R22,$N$5:N21,"견적접수")=0),1,""))</f>
        <v/>
      </c>
    </row>
    <row r="23">
      <c r="A23" s="50">
        <f>IF(F23="","",ROW()-5)</f>
        <v/>
      </c>
      <c r="B23" s="34" t="inlineStr">
        <is>
          <t>선박요청서-30</t>
        </is>
      </c>
      <c r="C23" s="34" t="inlineStr">
        <is>
          <t>30</t>
        </is>
      </c>
      <c r="D23" s="34" t="n">
        <v>4</v>
      </c>
      <c r="E23" s="34" t="n"/>
      <c r="F23" s="36" t="inlineStr">
        <is>
          <t>Solenoid Valve for Ballast Hyd. System DHW-0751/2</t>
        </is>
      </c>
      <c r="G23" s="36" t="n"/>
      <c r="H23" s="36" t="inlineStr">
        <is>
          <t>VATVDV42005</t>
        </is>
      </c>
      <c r="I23" s="36" t="inlineStr">
        <is>
          <t>Hyd.VRC</t>
        </is>
      </c>
      <c r="J23" s="36" t="n"/>
      <c r="K23" s="34" t="n">
        <v>3</v>
      </c>
      <c r="L23" s="34" t="inlineStr">
        <is>
          <t>pcs</t>
        </is>
      </c>
      <c r="M23" s="34" t="inlineStr">
        <is>
          <t>DINTEC</t>
        </is>
      </c>
      <c r="N23" s="34" t="inlineStr">
        <is>
          <t>공급불가</t>
        </is>
      </c>
      <c r="O23" s="50">
        <f>IF(N(AH23)&gt;1,"중복 "&amp;AH23&amp;"곳"&amp;IF(AK23=1," · 최저가",IF(AND(N23="견적접수",R23&lt;&gt;"")," · 비쌈","")),"")</f>
        <v/>
      </c>
      <c r="P23" s="34" t="inlineStr">
        <is>
          <t>KRW</t>
        </is>
      </c>
      <c r="Q23" s="51" t="n"/>
      <c r="R23" s="52">
        <f>IF(OR(Q23="",P23=""),"",IFERROR(IF(VLOOKUP(P23,설정!$K$5:$L$9,2,0)&gt;0,Q23*VLOOKUP(P23,설정!$K$5:$L$9,2,0),""),""))</f>
        <v/>
      </c>
      <c r="S23" s="53">
        <f>IF(OR(R23="",K23=""),"",R23*K23)</f>
        <v/>
      </c>
      <c r="T23" s="38" t="n"/>
      <c r="U23" s="54">
        <f>IF(OR(T23="",AC23="발주완료",AC23="취소"),"",TODAY()+T23)</f>
        <v/>
      </c>
      <c r="V23" s="50">
        <f>IF(OR(U23="",NOT(ISNUMBER($K$2))),"",IF(U23&lt;=$K$2,"가능","초과 "&amp;(U23-$K$2)&amp;"일"))</f>
        <v/>
      </c>
      <c r="W23" s="34" t="n"/>
      <c r="X23" s="34" t="inlineStr">
        <is>
          <t>EXW BUSAN</t>
        </is>
      </c>
      <c r="Y23" s="34" t="n">
        <v>30</v>
      </c>
      <c r="Z23" s="56" t="n">
        <v>46317</v>
      </c>
      <c r="AA23" s="54">
        <f>IF(OR(Z23="",Y23=""),"",Z23+Y23)</f>
        <v/>
      </c>
      <c r="AB23" s="36" t="inlineStr">
        <is>
          <t>[딘텍 DB26034753] N/A / 수출 시 우든박스/팔레트 포장비 실비 별도</t>
        </is>
      </c>
      <c r="AC23" s="34" t="inlineStr">
        <is>
          <t>타업체 문의</t>
        </is>
      </c>
      <c r="AD23" s="36" t="n"/>
      <c r="AE23" s="50">
        <f>IF(F23="","",B23&amp;"#"&amp;IF(D23="",F23,D23))</f>
        <v/>
      </c>
      <c r="AF23" s="50">
        <f>IF(AE23="","",AE23&amp;"|"&amp;M23)</f>
        <v/>
      </c>
      <c r="AG23" s="50">
        <f>IF(AE23="","",IF(COUNTIF($AE$6:AE23,AE23)=1,1,0))</f>
        <v/>
      </c>
      <c r="AH23" s="50">
        <f>IF(AE23="","",COUNTIF($AE$6:$AE$205,AE23))</f>
        <v/>
      </c>
      <c r="AI23" s="50">
        <f>IF(AE23="","",IF(AND(AG23=1,AH23&gt;1),COUNTIFS($AG$6:AG23,1,$AH$6:AH23,"&gt;1"),""))</f>
        <v/>
      </c>
      <c r="AJ23" s="50">
        <f>IF(AG23=1,IF(COUNTIFS($AE$6:$AE$205,AE23,$N$6:$N$205,"견적접수")&gt;0,1,0),"")</f>
        <v/>
      </c>
      <c r="AK23" s="50">
        <f>IF(OR(R23="",N23&lt;&gt;"견적접수"),"",IF(AND(R23=_xlfn.MINIFS($R$6:$R$205,$AE$6:$AE$205,AE23,$N$6:$N$205,"견적접수"),COUNTIFS($AE$5:AE22,AE23,$R$5:R22,R23,$N$5:N22,"견적접수")=0),1,""))</f>
        <v/>
      </c>
    </row>
    <row r="24">
      <c r="A24" s="50">
        <f>IF(F24="","",ROW()-5)</f>
        <v/>
      </c>
      <c r="B24" s="34" t="inlineStr">
        <is>
          <t>선박요청서-31</t>
        </is>
      </c>
      <c r="C24" s="34" t="inlineStr">
        <is>
          <t>31</t>
        </is>
      </c>
      <c r="D24" s="34" t="n">
        <v>1</v>
      </c>
      <c r="E24" s="34" t="inlineStr">
        <is>
          <t>GRUNDFOS</t>
        </is>
      </c>
      <c r="F24" s="36" t="inlineStr">
        <is>
          <t>PUMP COMPLETE</t>
        </is>
      </c>
      <c r="G24" s="36" t="inlineStr">
        <is>
          <t>GRUNDFOS/CRN3-7</t>
        </is>
      </c>
      <c r="H24" s="36" t="n"/>
      <c r="I24" s="36" t="inlineStr">
        <is>
          <t>ME EGR WTS PUMP</t>
        </is>
      </c>
      <c r="J24" s="36" t="inlineStr">
        <is>
          <t>RMS: 모터 포함 펌프 완품으로 견적</t>
        </is>
      </c>
      <c r="K24" s="34" t="n">
        <v>1</v>
      </c>
      <c r="L24" s="34" t="inlineStr">
        <is>
          <t>SET</t>
        </is>
      </c>
      <c r="M24" s="34" t="inlineStr">
        <is>
          <t>RMS</t>
        </is>
      </c>
      <c r="N24" s="34" t="inlineStr">
        <is>
          <t>견적접수</t>
        </is>
      </c>
      <c r="O24" s="50">
        <f>IF(N(AH24)&gt;1,"중복 "&amp;AH24&amp;"곳"&amp;IF(AK24=1," · 최저가",IF(AND(N24="견적접수",R24&lt;&gt;"")," · 비쌈","")),"")</f>
        <v/>
      </c>
      <c r="P24" s="34" t="inlineStr">
        <is>
          <t>KRW</t>
        </is>
      </c>
      <c r="Q24" s="51" t="n">
        <v>1996560</v>
      </c>
      <c r="R24" s="52">
        <f>IF(OR(Q24="",P24=""),"",IFERROR(IF(VLOOKUP(P24,설정!$K$5:$L$9,2,0)&gt;0,Q24*VLOOKUP(P24,설정!$K$5:$L$9,2,0),""),""))</f>
        <v/>
      </c>
      <c r="S24" s="53">
        <f>IF(OR(R24="",K24=""),"",R24*K24)</f>
        <v/>
      </c>
      <c r="T24" s="38" t="n">
        <v>10</v>
      </c>
      <c r="U24" s="54">
        <f>IF(OR(T24="",AC24="발주완료",AC24="취소"),"",TODAY()+T24)</f>
        <v/>
      </c>
      <c r="V24" s="50">
        <f>IF(OR(U24="",NOT(ISNUMBER($K$2))),"",IF(U24&lt;=$K$2,"가능","초과 "&amp;(U24-$K$2)&amp;"일"))</f>
        <v/>
      </c>
      <c r="W24" s="34" t="inlineStr">
        <is>
          <t>GENUINE</t>
        </is>
      </c>
      <c r="X24" s="34" t="inlineStr">
        <is>
          <t>EX WORK BUSAN</t>
        </is>
      </c>
      <c r="Y24" s="34" t="n">
        <v>20</v>
      </c>
      <c r="Z24" s="55" t="n"/>
      <c r="AA24" s="54">
        <f>IF(OR(Z24="",Y24=""),"",Z24+Y24)</f>
        <v/>
      </c>
      <c r="AB24" s="36" t="inlineStr">
        <is>
          <t>#1 = QUOTE AS PUMP WITH MOTOR COMPLETE (→ Motor Rated voltage : 3 x 220-255D / 380-440Y V, 60HZ에 사용 됩니다. / ALL: D/T: 10 DAYS, GENUINE, EX WORK BUSAN [VALI: 20 DAYS]</t>
        </is>
      </c>
      <c r="AC24" s="34" t="inlineStr">
        <is>
          <t>검토중</t>
        </is>
      </c>
      <c r="AD24" s="36" t="inlineStr">
        <is>
          <t>모터 전압/60Hz 선내 사양 일치 확인</t>
        </is>
      </c>
      <c r="AE24" s="50">
        <f>IF(F24="","",B24&amp;"#"&amp;IF(D24="",F24,D24))</f>
        <v/>
      </c>
      <c r="AF24" s="50">
        <f>IF(AE24="","",AE24&amp;"|"&amp;M24)</f>
        <v/>
      </c>
      <c r="AG24" s="50">
        <f>IF(AE24="","",IF(COUNTIF($AE$6:AE24,AE24)=1,1,0))</f>
        <v/>
      </c>
      <c r="AH24" s="50">
        <f>IF(AE24="","",COUNTIF($AE$6:$AE$205,AE24))</f>
        <v/>
      </c>
      <c r="AI24" s="50">
        <f>IF(AE24="","",IF(AND(AG24=1,AH24&gt;1),COUNTIFS($AG$6:AG24,1,$AH$6:AH24,"&gt;1"),""))</f>
        <v/>
      </c>
      <c r="AJ24" s="50">
        <f>IF(AG24=1,IF(COUNTIFS($AE$6:$AE$205,AE24,$N$6:$N$205,"견적접수")&gt;0,1,0),"")</f>
        <v/>
      </c>
      <c r="AK24" s="50">
        <f>IF(OR(R24="",N24&lt;&gt;"견적접수"),"",IF(AND(R24=_xlfn.MINIFS($R$6:$R$205,$AE$6:$AE$205,AE24,$N$6:$N$205,"견적접수"),COUNTIFS($AE$5:AE23,AE24,$R$5:R23,R24,$N$5:N23,"견적접수")=0),1,""))</f>
        <v/>
      </c>
    </row>
    <row r="25">
      <c r="A25" s="50">
        <f>IF(F25="","",ROW()-5)</f>
        <v/>
      </c>
      <c r="B25" s="34" t="inlineStr">
        <is>
          <t>선박요청서-31</t>
        </is>
      </c>
      <c r="C25" s="34" t="inlineStr">
        <is>
          <t>31</t>
        </is>
      </c>
      <c r="D25" s="34" t="n">
        <v>2</v>
      </c>
      <c r="E25" s="34" t="inlineStr">
        <is>
          <t>GRUNDFOS</t>
        </is>
      </c>
      <c r="F25" s="36" t="inlineStr">
        <is>
          <t>O-RING</t>
        </is>
      </c>
      <c r="G25" s="36" t="inlineStr">
        <is>
          <t>GRUNDFOS/CRN3-7</t>
        </is>
      </c>
      <c r="H25" s="36" t="inlineStr">
        <is>
          <t>CRN3-7-37</t>
        </is>
      </c>
      <c r="I25" s="36" t="inlineStr">
        <is>
          <t>ME EGR WTS PUMP</t>
        </is>
      </c>
      <c r="J25" s="36" t="n"/>
      <c r="K25" s="34" t="n">
        <v>4</v>
      </c>
      <c r="L25" s="34" t="inlineStr">
        <is>
          <t>EA</t>
        </is>
      </c>
      <c r="M25" s="34" t="inlineStr">
        <is>
          <t>RMS</t>
        </is>
      </c>
      <c r="N25" s="34" t="inlineStr">
        <is>
          <t>견적접수</t>
        </is>
      </c>
      <c r="O25" s="50">
        <f>IF(N(AH25)&gt;1,"중복 "&amp;AH25&amp;"곳"&amp;IF(AK25=1," · 최저가",IF(AND(N25="견적접수",R25&lt;&gt;"")," · 비쌈","")),"")</f>
        <v/>
      </c>
      <c r="P25" s="34" t="inlineStr">
        <is>
          <t>KRW</t>
        </is>
      </c>
      <c r="Q25" s="51" t="n">
        <v>16638</v>
      </c>
      <c r="R25" s="52">
        <f>IF(OR(Q25="",P25=""),"",IFERROR(IF(VLOOKUP(P25,설정!$K$5:$L$9,2,0)&gt;0,Q25*VLOOKUP(P25,설정!$K$5:$L$9,2,0),""),""))</f>
        <v/>
      </c>
      <c r="S25" s="53">
        <f>IF(OR(R25="",K25=""),"",R25*K25)</f>
        <v/>
      </c>
      <c r="T25" s="38" t="n">
        <v>10</v>
      </c>
      <c r="U25" s="54">
        <f>IF(OR(T25="",AC25="발주완료",AC25="취소"),"",TODAY()+T25)</f>
        <v/>
      </c>
      <c r="V25" s="50">
        <f>IF(OR(U25="",NOT(ISNUMBER($K$2))),"",IF(U25&lt;=$K$2,"가능","초과 "&amp;(U25-$K$2)&amp;"일"))</f>
        <v/>
      </c>
      <c r="W25" s="34" t="inlineStr">
        <is>
          <t>GENUINE</t>
        </is>
      </c>
      <c r="X25" s="34" t="inlineStr">
        <is>
          <t>EX WORK BUSAN</t>
        </is>
      </c>
      <c r="Y25" s="34" t="n">
        <v>20</v>
      </c>
      <c r="Z25" s="55" t="n"/>
      <c r="AA25" s="54">
        <f>IF(OR(Z25="",Y25=""),"",Z25+Y25)</f>
        <v/>
      </c>
      <c r="AB25" s="36" t="inlineStr">
        <is>
          <t>ALL: D/T: 10 DAYS, GENUINE, EX WORK BUSAN [VALI: 20 DAYS]</t>
        </is>
      </c>
      <c r="AC25" s="34" t="inlineStr">
        <is>
          <t>검토중</t>
        </is>
      </c>
      <c r="AD25" s="36" t="n"/>
      <c r="AE25" s="50">
        <f>IF(F25="","",B25&amp;"#"&amp;IF(D25="",F25,D25))</f>
        <v/>
      </c>
      <c r="AF25" s="50">
        <f>IF(AE25="","",AE25&amp;"|"&amp;M25)</f>
        <v/>
      </c>
      <c r="AG25" s="50">
        <f>IF(AE25="","",IF(COUNTIF($AE$6:AE25,AE25)=1,1,0))</f>
        <v/>
      </c>
      <c r="AH25" s="50">
        <f>IF(AE25="","",COUNTIF($AE$6:$AE$205,AE25))</f>
        <v/>
      </c>
      <c r="AI25" s="50">
        <f>IF(AE25="","",IF(AND(AG25=1,AH25&gt;1),COUNTIFS($AG$6:AG25,1,$AH$6:AH25,"&gt;1"),""))</f>
        <v/>
      </c>
      <c r="AJ25" s="50">
        <f>IF(AG25=1,IF(COUNTIFS($AE$6:$AE$205,AE25,$N$6:$N$205,"견적접수")&gt;0,1,0),"")</f>
        <v/>
      </c>
      <c r="AK25" s="50">
        <f>IF(OR(R25="",N25&lt;&gt;"견적접수"),"",IF(AND(R25=_xlfn.MINIFS($R$6:$R$205,$AE$6:$AE$205,AE25,$N$6:$N$205,"견적접수"),COUNTIFS($AE$5:AE24,AE25,$R$5:R24,R25,$N$5:N24,"견적접수")=0),1,""))</f>
        <v/>
      </c>
    </row>
    <row r="26">
      <c r="A26" s="50">
        <f>IF(F26="","",ROW()-5)</f>
        <v/>
      </c>
      <c r="B26" s="34" t="inlineStr">
        <is>
          <t>선박요청서-31</t>
        </is>
      </c>
      <c r="C26" s="34" t="inlineStr">
        <is>
          <t>31</t>
        </is>
      </c>
      <c r="D26" s="34" t="n">
        <v>3</v>
      </c>
      <c r="E26" s="34" t="inlineStr">
        <is>
          <t>GRUNDFOS</t>
        </is>
      </c>
      <c r="F26" s="36" t="inlineStr">
        <is>
          <t>CHAMBER</t>
        </is>
      </c>
      <c r="G26" s="36" t="inlineStr">
        <is>
          <t>GRUNDFOS/CRN3-7</t>
        </is>
      </c>
      <c r="H26" s="36" t="inlineStr">
        <is>
          <t>CRN3-7-4</t>
        </is>
      </c>
      <c r="I26" s="36" t="inlineStr">
        <is>
          <t>ME EGR WTS PUMP</t>
        </is>
      </c>
      <c r="J26" s="36" t="n"/>
      <c r="K26" s="34" t="n">
        <v>8</v>
      </c>
      <c r="L26" s="34" t="inlineStr">
        <is>
          <t>EA</t>
        </is>
      </c>
      <c r="M26" s="34" t="inlineStr">
        <is>
          <t>RMS</t>
        </is>
      </c>
      <c r="N26" s="34" t="inlineStr">
        <is>
          <t>견적접수</t>
        </is>
      </c>
      <c r="O26" s="50">
        <f>IF(N(AH26)&gt;1,"중복 "&amp;AH26&amp;"곳"&amp;IF(AK26=1," · 최저가",IF(AND(N26="견적접수",R26&lt;&gt;"")," · 비쌈","")),"")</f>
        <v/>
      </c>
      <c r="P26" s="34" t="inlineStr">
        <is>
          <t>KRW</t>
        </is>
      </c>
      <c r="Q26" s="51" t="n">
        <v>44368</v>
      </c>
      <c r="R26" s="52">
        <f>IF(OR(Q26="",P26=""),"",IFERROR(IF(VLOOKUP(P26,설정!$K$5:$L$9,2,0)&gt;0,Q26*VLOOKUP(P26,설정!$K$5:$L$9,2,0),""),""))</f>
        <v/>
      </c>
      <c r="S26" s="53">
        <f>IF(OR(R26="",K26=""),"",R26*K26)</f>
        <v/>
      </c>
      <c r="T26" s="38" t="n">
        <v>10</v>
      </c>
      <c r="U26" s="54">
        <f>IF(OR(T26="",AC26="발주완료",AC26="취소"),"",TODAY()+T26)</f>
        <v/>
      </c>
      <c r="V26" s="50">
        <f>IF(OR(U26="",NOT(ISNUMBER($K$2))),"",IF(U26&lt;=$K$2,"가능","초과 "&amp;(U26-$K$2)&amp;"일"))</f>
        <v/>
      </c>
      <c r="W26" s="34" t="inlineStr">
        <is>
          <t>GENUINE</t>
        </is>
      </c>
      <c r="X26" s="34" t="inlineStr">
        <is>
          <t>EX WORK BUSAN</t>
        </is>
      </c>
      <c r="Y26" s="34" t="n">
        <v>20</v>
      </c>
      <c r="Z26" s="55" t="n"/>
      <c r="AA26" s="54">
        <f>IF(OR(Z26="",Y26=""),"",Z26+Y26)</f>
        <v/>
      </c>
      <c r="AB26" s="36" t="inlineStr">
        <is>
          <t>ALL: D/T: 10 DAYS, GENUINE, EX WORK BUSAN [VALI: 20 DAYS]</t>
        </is>
      </c>
      <c r="AC26" s="34" t="inlineStr">
        <is>
          <t>검토중</t>
        </is>
      </c>
      <c r="AD26" s="36" t="n"/>
      <c r="AE26" s="50">
        <f>IF(F26="","",B26&amp;"#"&amp;IF(D26="",F26,D26))</f>
        <v/>
      </c>
      <c r="AF26" s="50">
        <f>IF(AE26="","",AE26&amp;"|"&amp;M26)</f>
        <v/>
      </c>
      <c r="AG26" s="50">
        <f>IF(AE26="","",IF(COUNTIF($AE$6:AE26,AE26)=1,1,0))</f>
        <v/>
      </c>
      <c r="AH26" s="50">
        <f>IF(AE26="","",COUNTIF($AE$6:$AE$205,AE26))</f>
        <v/>
      </c>
      <c r="AI26" s="50">
        <f>IF(AE26="","",IF(AND(AG26=1,AH26&gt;1),COUNTIFS($AG$6:AG26,1,$AH$6:AH26,"&gt;1"),""))</f>
        <v/>
      </c>
      <c r="AJ26" s="50">
        <f>IF(AG26=1,IF(COUNTIFS($AE$6:$AE$205,AE26,$N$6:$N$205,"견적접수")&gt;0,1,0),"")</f>
        <v/>
      </c>
      <c r="AK26" s="50">
        <f>IF(OR(R26="",N26&lt;&gt;"견적접수"),"",IF(AND(R26=_xlfn.MINIFS($R$6:$R$205,$AE$6:$AE$205,AE26,$N$6:$N$205,"견적접수"),COUNTIFS($AE$5:AE25,AE26,$R$5:R25,R26,$N$5:N25,"견적접수")=0),1,""))</f>
        <v/>
      </c>
    </row>
    <row r="27">
      <c r="A27" s="50">
        <f>IF(F27="","",ROW()-5)</f>
        <v/>
      </c>
      <c r="B27" s="34" t="inlineStr">
        <is>
          <t>선박요청서-31</t>
        </is>
      </c>
      <c r="C27" s="34" t="inlineStr">
        <is>
          <t>31</t>
        </is>
      </c>
      <c r="D27" s="34" t="n">
        <v>4</v>
      </c>
      <c r="E27" s="34" t="inlineStr">
        <is>
          <t>GRUNDFOS</t>
        </is>
      </c>
      <c r="F27" s="36" t="inlineStr">
        <is>
          <t>CHAMBER WITH BEARING</t>
        </is>
      </c>
      <c r="G27" s="36" t="inlineStr">
        <is>
          <t>GRUNDFOS/CRN3-7</t>
        </is>
      </c>
      <c r="H27" s="36" t="inlineStr">
        <is>
          <t>CRN3-7-4A</t>
        </is>
      </c>
      <c r="I27" s="36" t="inlineStr">
        <is>
          <t>ME EGR WTS PUMP</t>
        </is>
      </c>
      <c r="J27" s="36" t="n"/>
      <c r="K27" s="34" t="n">
        <v>2</v>
      </c>
      <c r="L27" s="34" t="inlineStr">
        <is>
          <t>EA</t>
        </is>
      </c>
      <c r="M27" s="34" t="inlineStr">
        <is>
          <t>RMS</t>
        </is>
      </c>
      <c r="N27" s="34" t="inlineStr">
        <is>
          <t>견적접수</t>
        </is>
      </c>
      <c r="O27" s="50">
        <f>IF(N(AH27)&gt;1,"중복 "&amp;AH27&amp;"곳"&amp;IF(AK27=1," · 최저가",IF(AND(N27="견적접수",R27&lt;&gt;"")," · 비쌈","")),"")</f>
        <v/>
      </c>
      <c r="P27" s="34" t="inlineStr">
        <is>
          <t>KRW</t>
        </is>
      </c>
      <c r="Q27" s="51" t="n">
        <v>49914</v>
      </c>
      <c r="R27" s="52">
        <f>IF(OR(Q27="",P27=""),"",IFERROR(IF(VLOOKUP(P27,설정!$K$5:$L$9,2,0)&gt;0,Q27*VLOOKUP(P27,설정!$K$5:$L$9,2,0),""),""))</f>
        <v/>
      </c>
      <c r="S27" s="53">
        <f>IF(OR(R27="",K27=""),"",R27*K27)</f>
        <v/>
      </c>
      <c r="T27" s="38" t="n">
        <v>10</v>
      </c>
      <c r="U27" s="54">
        <f>IF(OR(T27="",AC27="발주완료",AC27="취소"),"",TODAY()+T27)</f>
        <v/>
      </c>
      <c r="V27" s="50">
        <f>IF(OR(U27="",NOT(ISNUMBER($K$2))),"",IF(U27&lt;=$K$2,"가능","초과 "&amp;(U27-$K$2)&amp;"일"))</f>
        <v/>
      </c>
      <c r="W27" s="34" t="inlineStr">
        <is>
          <t>GENUINE</t>
        </is>
      </c>
      <c r="X27" s="34" t="inlineStr">
        <is>
          <t>EX WORK BUSAN</t>
        </is>
      </c>
      <c r="Y27" s="34" t="n">
        <v>20</v>
      </c>
      <c r="Z27" s="55" t="n"/>
      <c r="AA27" s="54">
        <f>IF(OR(Z27="",Y27=""),"",Z27+Y27)</f>
        <v/>
      </c>
      <c r="AB27" s="36" t="inlineStr">
        <is>
          <t>ALL: D/T: 10 DAYS, GENUINE, EX WORK BUSAN [VALI: 20 DAYS]</t>
        </is>
      </c>
      <c r="AC27" s="34" t="inlineStr">
        <is>
          <t>검토중</t>
        </is>
      </c>
      <c r="AD27" s="36" t="n"/>
      <c r="AE27" s="50">
        <f>IF(F27="","",B27&amp;"#"&amp;IF(D27="",F27,D27))</f>
        <v/>
      </c>
      <c r="AF27" s="50">
        <f>IF(AE27="","",AE27&amp;"|"&amp;M27)</f>
        <v/>
      </c>
      <c r="AG27" s="50">
        <f>IF(AE27="","",IF(COUNTIF($AE$6:AE27,AE27)=1,1,0))</f>
        <v/>
      </c>
      <c r="AH27" s="50">
        <f>IF(AE27="","",COUNTIF($AE$6:$AE$205,AE27))</f>
        <v/>
      </c>
      <c r="AI27" s="50">
        <f>IF(AE27="","",IF(AND(AG27=1,AH27&gt;1),COUNTIFS($AG$6:AG27,1,$AH$6:AH27,"&gt;1"),""))</f>
        <v/>
      </c>
      <c r="AJ27" s="50">
        <f>IF(AG27=1,IF(COUNTIFS($AE$6:$AE$205,AE27,$N$6:$N$205,"견적접수")&gt;0,1,0),"")</f>
        <v/>
      </c>
      <c r="AK27" s="50">
        <f>IF(OR(R27="",N27&lt;&gt;"견적접수"),"",IF(AND(R27=_xlfn.MINIFS($R$6:$R$205,$AE$6:$AE$205,AE27,$N$6:$N$205,"견적접수"),COUNTIFS($AE$5:AE26,AE27,$R$5:R26,R27,$N$5:N26,"견적접수")=0),1,""))</f>
        <v/>
      </c>
    </row>
    <row r="28">
      <c r="A28" s="50">
        <f>IF(F28="","",ROW()-5)</f>
        <v/>
      </c>
      <c r="B28" s="34" t="inlineStr">
        <is>
          <t>선박요청서-31</t>
        </is>
      </c>
      <c r="C28" s="34" t="inlineStr">
        <is>
          <t>31</t>
        </is>
      </c>
      <c r="D28" s="34" t="n">
        <v>5</v>
      </c>
      <c r="E28" s="34" t="inlineStr">
        <is>
          <t>GRUNDFOS</t>
        </is>
      </c>
      <c r="F28" s="36" t="inlineStr">
        <is>
          <t>SPACING PIPE</t>
        </is>
      </c>
      <c r="G28" s="36" t="inlineStr">
        <is>
          <t>GRUNDFOS/CRN3-7</t>
        </is>
      </c>
      <c r="H28" s="36" t="inlineStr">
        <is>
          <t>CRN3-7-64</t>
        </is>
      </c>
      <c r="I28" s="36" t="inlineStr">
        <is>
          <t>ME EGR WTS PUMP</t>
        </is>
      </c>
      <c r="J28" s="36" t="n"/>
      <c r="K28" s="34" t="n">
        <v>7</v>
      </c>
      <c r="L28" s="34" t="inlineStr">
        <is>
          <t>EA</t>
        </is>
      </c>
      <c r="M28" s="34" t="inlineStr">
        <is>
          <t>RMS</t>
        </is>
      </c>
      <c r="N28" s="34" t="inlineStr">
        <is>
          <t>견적접수</t>
        </is>
      </c>
      <c r="O28" s="50">
        <f>IF(N(AH28)&gt;1,"중복 "&amp;AH28&amp;"곳"&amp;IF(AK28=1," · 최저가",IF(AND(N28="견적접수",R28&lt;&gt;"")," · 비쌈","")),"")</f>
        <v/>
      </c>
      <c r="P28" s="34" t="inlineStr">
        <is>
          <t>KRW</t>
        </is>
      </c>
      <c r="Q28" s="51" t="n">
        <v>9982.799999999999</v>
      </c>
      <c r="R28" s="52">
        <f>IF(OR(Q28="",P28=""),"",IFERROR(IF(VLOOKUP(P28,설정!$K$5:$L$9,2,0)&gt;0,Q28*VLOOKUP(P28,설정!$K$5:$L$9,2,0),""),""))</f>
        <v/>
      </c>
      <c r="S28" s="53">
        <f>IF(OR(R28="",K28=""),"",R28*K28)</f>
        <v/>
      </c>
      <c r="T28" s="38" t="n">
        <v>10</v>
      </c>
      <c r="U28" s="54">
        <f>IF(OR(T28="",AC28="발주완료",AC28="취소"),"",TODAY()+T28)</f>
        <v/>
      </c>
      <c r="V28" s="50">
        <f>IF(OR(U28="",NOT(ISNUMBER($K$2))),"",IF(U28&lt;=$K$2,"가능","초과 "&amp;(U28-$K$2)&amp;"일"))</f>
        <v/>
      </c>
      <c r="W28" s="34" t="inlineStr">
        <is>
          <t>GENUINE</t>
        </is>
      </c>
      <c r="X28" s="34" t="inlineStr">
        <is>
          <t>EX WORK BUSAN</t>
        </is>
      </c>
      <c r="Y28" s="34" t="n">
        <v>20</v>
      </c>
      <c r="Z28" s="55" t="n"/>
      <c r="AA28" s="54">
        <f>IF(OR(Z28="",Y28=""),"",Z28+Y28)</f>
        <v/>
      </c>
      <c r="AB28" s="36" t="inlineStr">
        <is>
          <t>ALL: D/T: 10 DAYS, GENUINE, EX WORK BUSAN [VALI: 20 DAYS]</t>
        </is>
      </c>
      <c r="AC28" s="34" t="inlineStr">
        <is>
          <t>검토중</t>
        </is>
      </c>
      <c r="AD28" s="36" t="n"/>
      <c r="AE28" s="50">
        <f>IF(F28="","",B28&amp;"#"&amp;IF(D28="",F28,D28))</f>
        <v/>
      </c>
      <c r="AF28" s="50">
        <f>IF(AE28="","",AE28&amp;"|"&amp;M28)</f>
        <v/>
      </c>
      <c r="AG28" s="50">
        <f>IF(AE28="","",IF(COUNTIF($AE$6:AE28,AE28)=1,1,0))</f>
        <v/>
      </c>
      <c r="AH28" s="50">
        <f>IF(AE28="","",COUNTIF($AE$6:$AE$205,AE28))</f>
        <v/>
      </c>
      <c r="AI28" s="50">
        <f>IF(AE28="","",IF(AND(AG28=1,AH28&gt;1),COUNTIFS($AG$6:AG28,1,$AH$6:AH28,"&gt;1"),""))</f>
        <v/>
      </c>
      <c r="AJ28" s="50">
        <f>IF(AG28=1,IF(COUNTIFS($AE$6:$AE$205,AE28,$N$6:$N$205,"견적접수")&gt;0,1,0),"")</f>
        <v/>
      </c>
      <c r="AK28" s="50">
        <f>IF(OR(R28="",N28&lt;&gt;"견적접수"),"",IF(AND(R28=_xlfn.MINIFS($R$6:$R$205,$AE$6:$AE$205,AE28,$N$6:$N$205,"견적접수"),COUNTIFS($AE$5:AE27,AE28,$R$5:R27,R28,$N$5:N27,"견적접수")=0),1,""))</f>
        <v/>
      </c>
    </row>
    <row r="29">
      <c r="A29" s="50">
        <f>IF(F29="","",ROW()-5)</f>
        <v/>
      </c>
      <c r="B29" s="34" t="inlineStr">
        <is>
          <t>선박요청서-31</t>
        </is>
      </c>
      <c r="C29" s="34" t="inlineStr">
        <is>
          <t>31</t>
        </is>
      </c>
      <c r="D29" s="34" t="n">
        <v>6</v>
      </c>
      <c r="E29" s="34" t="inlineStr">
        <is>
          <t>GRUNDFOS</t>
        </is>
      </c>
      <c r="F29" s="36" t="inlineStr">
        <is>
          <t>SPACING PIPE</t>
        </is>
      </c>
      <c r="G29" s="36" t="inlineStr">
        <is>
          <t>GRUNDFOS/CRN3-7</t>
        </is>
      </c>
      <c r="H29" s="36" t="inlineStr">
        <is>
          <t>CRN3-7-64A</t>
        </is>
      </c>
      <c r="I29" s="36" t="inlineStr">
        <is>
          <t>ME EGR WTS PUMP</t>
        </is>
      </c>
      <c r="J29" s="36" t="n"/>
      <c r="K29" s="34" t="n">
        <v>2</v>
      </c>
      <c r="L29" s="34" t="inlineStr">
        <is>
          <t>EA</t>
        </is>
      </c>
      <c r="M29" s="34" t="inlineStr">
        <is>
          <t>RMS</t>
        </is>
      </c>
      <c r="N29" s="34" t="inlineStr">
        <is>
          <t>견적접수</t>
        </is>
      </c>
      <c r="O29" s="50">
        <f>IF(N(AH29)&gt;1,"중복 "&amp;AH29&amp;"곳"&amp;IF(AK29=1," · 최저가",IF(AND(N29="견적접수",R29&lt;&gt;"")," · 비쌈","")),"")</f>
        <v/>
      </c>
      <c r="P29" s="34" t="inlineStr">
        <is>
          <t>KRW</t>
        </is>
      </c>
      <c r="Q29" s="51" t="n">
        <v>6655.2</v>
      </c>
      <c r="R29" s="52">
        <f>IF(OR(Q29="",P29=""),"",IFERROR(IF(VLOOKUP(P29,설정!$K$5:$L$9,2,0)&gt;0,Q29*VLOOKUP(P29,설정!$K$5:$L$9,2,0),""),""))</f>
        <v/>
      </c>
      <c r="S29" s="53">
        <f>IF(OR(R29="",K29=""),"",R29*K29)</f>
        <v/>
      </c>
      <c r="T29" s="38" t="n">
        <v>10</v>
      </c>
      <c r="U29" s="54">
        <f>IF(OR(T29="",AC29="발주완료",AC29="취소"),"",TODAY()+T29)</f>
        <v/>
      </c>
      <c r="V29" s="50">
        <f>IF(OR(U29="",NOT(ISNUMBER($K$2))),"",IF(U29&lt;=$K$2,"가능","초과 "&amp;(U29-$K$2)&amp;"일"))</f>
        <v/>
      </c>
      <c r="W29" s="34" t="inlineStr">
        <is>
          <t>GENUINE</t>
        </is>
      </c>
      <c r="X29" s="34" t="inlineStr">
        <is>
          <t>EX WORK BUSAN</t>
        </is>
      </c>
      <c r="Y29" s="34" t="n">
        <v>20</v>
      </c>
      <c r="Z29" s="55" t="n"/>
      <c r="AA29" s="54">
        <f>IF(OR(Z29="",Y29=""),"",Z29+Y29)</f>
        <v/>
      </c>
      <c r="AB29" s="36" t="inlineStr">
        <is>
          <t>ALL: D/T: 10 DAYS, GENUINE, EX WORK BUSAN [VALI: 20 DAYS]</t>
        </is>
      </c>
      <c r="AC29" s="34" t="inlineStr">
        <is>
          <t>검토중</t>
        </is>
      </c>
      <c r="AD29" s="36" t="n"/>
      <c r="AE29" s="50">
        <f>IF(F29="","",B29&amp;"#"&amp;IF(D29="",F29,D29))</f>
        <v/>
      </c>
      <c r="AF29" s="50">
        <f>IF(AE29="","",AE29&amp;"|"&amp;M29)</f>
        <v/>
      </c>
      <c r="AG29" s="50">
        <f>IF(AE29="","",IF(COUNTIF($AE$6:AE29,AE29)=1,1,0))</f>
        <v/>
      </c>
      <c r="AH29" s="50">
        <f>IF(AE29="","",COUNTIF($AE$6:$AE$205,AE29))</f>
        <v/>
      </c>
      <c r="AI29" s="50">
        <f>IF(AE29="","",IF(AND(AG29=1,AH29&gt;1),COUNTIFS($AG$6:AG29,1,$AH$6:AH29,"&gt;1"),""))</f>
        <v/>
      </c>
      <c r="AJ29" s="50">
        <f>IF(AG29=1,IF(COUNTIFS($AE$6:$AE$205,AE29,$N$6:$N$205,"견적접수")&gt;0,1,0),"")</f>
        <v/>
      </c>
      <c r="AK29" s="50">
        <f>IF(OR(R29="",N29&lt;&gt;"견적접수"),"",IF(AND(R29=_xlfn.MINIFS($R$6:$R$205,$AE$6:$AE$205,AE29,$N$6:$N$205,"견적접수"),COUNTIFS($AE$5:AE28,AE29,$R$5:R28,R29,$N$5:N28,"견적접수")=0),1,""))</f>
        <v/>
      </c>
    </row>
    <row r="30">
      <c r="A30" s="50">
        <f>IF(F30="","",ROW()-5)</f>
        <v/>
      </c>
      <c r="B30" s="34" t="inlineStr">
        <is>
          <t>선박요청서-31</t>
        </is>
      </c>
      <c r="C30" s="34" t="inlineStr">
        <is>
          <t>31</t>
        </is>
      </c>
      <c r="D30" s="34" t="n">
        <v>7</v>
      </c>
      <c r="E30" s="34" t="inlineStr">
        <is>
          <t>GRUNDFOS</t>
        </is>
      </c>
      <c r="F30" s="36" t="inlineStr">
        <is>
          <t>SPACING PIPE</t>
        </is>
      </c>
      <c r="G30" s="36" t="inlineStr">
        <is>
          <t>GRUNDFOS/CRN3-7</t>
        </is>
      </c>
      <c r="H30" s="36" t="inlineStr">
        <is>
          <t>CRN3-7-64C</t>
        </is>
      </c>
      <c r="I30" s="36" t="inlineStr">
        <is>
          <t>ME EGR WTS PUMP</t>
        </is>
      </c>
      <c r="J30" s="36" t="n"/>
      <c r="K30" s="34" t="n">
        <v>2</v>
      </c>
      <c r="L30" s="34" t="inlineStr">
        <is>
          <t>EA</t>
        </is>
      </c>
      <c r="M30" s="34" t="inlineStr">
        <is>
          <t>RMS</t>
        </is>
      </c>
      <c r="N30" s="34" t="inlineStr">
        <is>
          <t>견적접수</t>
        </is>
      </c>
      <c r="O30" s="50">
        <f>IF(N(AH30)&gt;1,"중복 "&amp;AH30&amp;"곳"&amp;IF(AK30=1," · 최저가",IF(AND(N30="견적접수",R30&lt;&gt;"")," · 비쌈","")),"")</f>
        <v/>
      </c>
      <c r="P30" s="34" t="inlineStr">
        <is>
          <t>KRW</t>
        </is>
      </c>
      <c r="Q30" s="51" t="n">
        <v>27730</v>
      </c>
      <c r="R30" s="52">
        <f>IF(OR(Q30="",P30=""),"",IFERROR(IF(VLOOKUP(P30,설정!$K$5:$L$9,2,0)&gt;0,Q30*VLOOKUP(P30,설정!$K$5:$L$9,2,0),""),""))</f>
        <v/>
      </c>
      <c r="S30" s="53">
        <f>IF(OR(R30="",K30=""),"",R30*K30)</f>
        <v/>
      </c>
      <c r="T30" s="38" t="n">
        <v>10</v>
      </c>
      <c r="U30" s="54">
        <f>IF(OR(T30="",AC30="발주완료",AC30="취소"),"",TODAY()+T30)</f>
        <v/>
      </c>
      <c r="V30" s="50">
        <f>IF(OR(U30="",NOT(ISNUMBER($K$2))),"",IF(U30&lt;=$K$2,"가능","초과 "&amp;(U30-$K$2)&amp;"일"))</f>
        <v/>
      </c>
      <c r="W30" s="34" t="inlineStr">
        <is>
          <t>GENUINE</t>
        </is>
      </c>
      <c r="X30" s="34" t="inlineStr">
        <is>
          <t>EX WORK BUSAN</t>
        </is>
      </c>
      <c r="Y30" s="34" t="n">
        <v>20</v>
      </c>
      <c r="Z30" s="55" t="n"/>
      <c r="AA30" s="54">
        <f>IF(OR(Z30="",Y30=""),"",Z30+Y30)</f>
        <v/>
      </c>
      <c r="AB30" s="36" t="inlineStr">
        <is>
          <t>ALL: D/T: 10 DAYS, GENUINE, EX WORK BUSAN [VALI: 20 DAYS]</t>
        </is>
      </c>
      <c r="AC30" s="34" t="inlineStr">
        <is>
          <t>검토중</t>
        </is>
      </c>
      <c r="AD30" s="36" t="n"/>
      <c r="AE30" s="50">
        <f>IF(F30="","",B30&amp;"#"&amp;IF(D30="",F30,D30))</f>
        <v/>
      </c>
      <c r="AF30" s="50">
        <f>IF(AE30="","",AE30&amp;"|"&amp;M30)</f>
        <v/>
      </c>
      <c r="AG30" s="50">
        <f>IF(AE30="","",IF(COUNTIF($AE$6:AE30,AE30)=1,1,0))</f>
        <v/>
      </c>
      <c r="AH30" s="50">
        <f>IF(AE30="","",COUNTIF($AE$6:$AE$205,AE30))</f>
        <v/>
      </c>
      <c r="AI30" s="50">
        <f>IF(AE30="","",IF(AND(AG30=1,AH30&gt;1),COUNTIFS($AG$6:AG30,1,$AH$6:AH30,"&gt;1"),""))</f>
        <v/>
      </c>
      <c r="AJ30" s="50">
        <f>IF(AG30=1,IF(COUNTIFS($AE$6:$AE$205,AE30,$N$6:$N$205,"견적접수")&gt;0,1,0),"")</f>
        <v/>
      </c>
      <c r="AK30" s="50">
        <f>IF(OR(R30="",N30&lt;&gt;"견적접수"),"",IF(AND(R30=_xlfn.MINIFS($R$6:$R$205,$AE$6:$AE$205,AE30,$N$6:$N$205,"견적접수"),COUNTIFS($AE$5:AE29,AE30,$R$5:R29,R30,$N$5:N29,"견적접수")=0),1,""))</f>
        <v/>
      </c>
    </row>
    <row r="31">
      <c r="A31" s="50">
        <f>IF(F31="","",ROW()-5)</f>
        <v/>
      </c>
      <c r="B31" s="34" t="inlineStr">
        <is>
          <t>선박요청서-31</t>
        </is>
      </c>
      <c r="C31" s="34" t="inlineStr">
        <is>
          <t>31</t>
        </is>
      </c>
      <c r="D31" s="34" t="n">
        <v>8</v>
      </c>
      <c r="E31" s="34" t="inlineStr">
        <is>
          <t>GRUNDFOS</t>
        </is>
      </c>
      <c r="F31" s="36" t="inlineStr">
        <is>
          <t>PACKING FOR IMPELLER</t>
        </is>
      </c>
      <c r="G31" s="36" t="inlineStr">
        <is>
          <t>GRUNDFOS/CRN3-8</t>
        </is>
      </c>
      <c r="H31" s="36" t="n"/>
      <c r="I31" s="36" t="inlineStr">
        <is>
          <t>ME EGR WTS PUMP</t>
        </is>
      </c>
      <c r="J31" s="36" t="n"/>
      <c r="K31" s="34" t="n">
        <v>14</v>
      </c>
      <c r="L31" s="34" t="inlineStr">
        <is>
          <t>EA</t>
        </is>
      </c>
      <c r="M31" s="34" t="inlineStr">
        <is>
          <t>RMS</t>
        </is>
      </c>
      <c r="N31" s="34" t="inlineStr">
        <is>
          <t>공급불가</t>
        </is>
      </c>
      <c r="O31" s="50">
        <f>IF(N(AH31)&gt;1,"중복 "&amp;AH31&amp;"곳"&amp;IF(AK31=1," · 최저가",IF(AND(N31="견적접수",R31&lt;&gt;"")," · 비쌈","")),"")</f>
        <v/>
      </c>
      <c r="P31" s="34" t="inlineStr">
        <is>
          <t>KRW</t>
        </is>
      </c>
      <c r="Q31" s="51" t="n"/>
      <c r="R31" s="52">
        <f>IF(OR(Q31="",P31=""),"",IFERROR(IF(VLOOKUP(P31,설정!$K$5:$L$9,2,0)&gt;0,Q31*VLOOKUP(P31,설정!$K$5:$L$9,2,0),""),""))</f>
        <v/>
      </c>
      <c r="S31" s="53">
        <f>IF(OR(R31="",K31=""),"",R31*K31)</f>
        <v/>
      </c>
      <c r="T31" s="38" t="n"/>
      <c r="U31" s="54">
        <f>IF(OR(T31="",AC31="발주완료",AC31="취소"),"",TODAY()+T31)</f>
        <v/>
      </c>
      <c r="V31" s="50">
        <f>IF(OR(U31="",NOT(ISNUMBER($K$2))),"",IF(U31&lt;=$K$2,"가능","초과 "&amp;(U31-$K$2)&amp;"일"))</f>
        <v/>
      </c>
      <c r="W31" s="34" t="n"/>
      <c r="X31" s="34" t="n"/>
      <c r="Y31" s="34" t="n"/>
      <c r="Z31" s="55" t="n"/>
      <c r="AA31" s="54">
        <f>IF(OR(Z31="",Y31=""),"",Z31+Y31)</f>
        <v/>
      </c>
      <c r="AB31" s="36" t="inlineStr">
        <is>
          <t>NOT AVAILABLE</t>
        </is>
      </c>
      <c r="AC31" s="34" t="inlineStr">
        <is>
          <t>타업체 문의</t>
        </is>
      </c>
      <c r="AD31" s="36" t="inlineStr">
        <is>
          <t>타 업체 견적 요청</t>
        </is>
      </c>
      <c r="AE31" s="50">
        <f>IF(F31="","",B31&amp;"#"&amp;IF(D31="",F31,D31))</f>
        <v/>
      </c>
      <c r="AF31" s="50">
        <f>IF(AE31="","",AE31&amp;"|"&amp;M31)</f>
        <v/>
      </c>
      <c r="AG31" s="50">
        <f>IF(AE31="","",IF(COUNTIF($AE$6:AE31,AE31)=1,1,0))</f>
        <v/>
      </c>
      <c r="AH31" s="50">
        <f>IF(AE31="","",COUNTIF($AE$6:$AE$205,AE31))</f>
        <v/>
      </c>
      <c r="AI31" s="50">
        <f>IF(AE31="","",IF(AND(AG31=1,AH31&gt;1),COUNTIFS($AG$6:AG31,1,$AH$6:AH31,"&gt;1"),""))</f>
        <v/>
      </c>
      <c r="AJ31" s="50">
        <f>IF(AG31=1,IF(COUNTIFS($AE$6:$AE$205,AE31,$N$6:$N$205,"견적접수")&gt;0,1,0),"")</f>
        <v/>
      </c>
      <c r="AK31" s="50">
        <f>IF(OR(R31="",N31&lt;&gt;"견적접수"),"",IF(AND(R31=_xlfn.MINIFS($R$6:$R$205,$AE$6:$AE$205,AE31,$N$6:$N$205,"견적접수"),COUNTIFS($AE$5:AE30,AE31,$R$5:R30,R31,$N$5:N30,"견적접수")=0),1,""))</f>
        <v/>
      </c>
    </row>
    <row r="32">
      <c r="A32" s="50">
        <f>IF(F32="","",ROW()-5)</f>
        <v/>
      </c>
      <c r="B32" s="34" t="inlineStr">
        <is>
          <t>선박요청서-31</t>
        </is>
      </c>
      <c r="C32" s="34" t="inlineStr">
        <is>
          <t>31</t>
        </is>
      </c>
      <c r="D32" s="34" t="n">
        <v>9</v>
      </c>
      <c r="E32" s="34" t="inlineStr">
        <is>
          <t>GRUNDFOS</t>
        </is>
      </c>
      <c r="F32" s="36" t="inlineStr">
        <is>
          <t>IMPELLER</t>
        </is>
      </c>
      <c r="G32" s="36" t="inlineStr">
        <is>
          <t>GRUNDFOS/CRN3-7</t>
        </is>
      </c>
      <c r="H32" s="36" t="inlineStr">
        <is>
          <t>CRN3-7-49</t>
        </is>
      </c>
      <c r="I32" s="36" t="inlineStr">
        <is>
          <t>ME EGR WTS PUMP</t>
        </is>
      </c>
      <c r="J32" s="36" t="n"/>
      <c r="K32" s="34" t="n">
        <v>8</v>
      </c>
      <c r="L32" s="34" t="inlineStr">
        <is>
          <t>EA</t>
        </is>
      </c>
      <c r="M32" s="34" t="inlineStr">
        <is>
          <t>RMS</t>
        </is>
      </c>
      <c r="N32" s="34" t="inlineStr">
        <is>
          <t>견적접수</t>
        </is>
      </c>
      <c r="O32" s="50">
        <f>IF(N(AH32)&gt;1,"중복 "&amp;AH32&amp;"곳"&amp;IF(AK32=1," · 최저가",IF(AND(N32="견적접수",R32&lt;&gt;"")," · 비쌈","")),"")</f>
        <v/>
      </c>
      <c r="P32" s="34" t="inlineStr">
        <is>
          <t>KRW</t>
        </is>
      </c>
      <c r="Q32" s="51" t="n">
        <v>33276</v>
      </c>
      <c r="R32" s="52">
        <f>IF(OR(Q32="",P32=""),"",IFERROR(IF(VLOOKUP(P32,설정!$K$5:$L$9,2,0)&gt;0,Q32*VLOOKUP(P32,설정!$K$5:$L$9,2,0),""),""))</f>
        <v/>
      </c>
      <c r="S32" s="53">
        <f>IF(OR(R32="",K32=""),"",R32*K32)</f>
        <v/>
      </c>
      <c r="T32" s="38" t="n">
        <v>10</v>
      </c>
      <c r="U32" s="54">
        <f>IF(OR(T32="",AC32="발주완료",AC32="취소"),"",TODAY()+T32)</f>
        <v/>
      </c>
      <c r="V32" s="50">
        <f>IF(OR(U32="",NOT(ISNUMBER($K$2))),"",IF(U32&lt;=$K$2,"가능","초과 "&amp;(U32-$K$2)&amp;"일"))</f>
        <v/>
      </c>
      <c r="W32" s="34" t="inlineStr">
        <is>
          <t>GENUINE</t>
        </is>
      </c>
      <c r="X32" s="34" t="inlineStr">
        <is>
          <t>EX WORK BUSAN</t>
        </is>
      </c>
      <c r="Y32" s="34" t="n">
        <v>20</v>
      </c>
      <c r="Z32" s="55" t="n"/>
      <c r="AA32" s="54">
        <f>IF(OR(Z32="",Y32=""),"",Z32+Y32)</f>
        <v/>
      </c>
      <c r="AB32" s="36" t="inlineStr">
        <is>
          <t>ALL: D/T: 10 DAYS, GENUINE, EX WORK BUSAN [VALI: 20 DAYS]</t>
        </is>
      </c>
      <c r="AC32" s="34" t="inlineStr">
        <is>
          <t>검토중</t>
        </is>
      </c>
      <c r="AD32" s="36" t="n"/>
      <c r="AE32" s="50">
        <f>IF(F32="","",B32&amp;"#"&amp;IF(D32="",F32,D32))</f>
        <v/>
      </c>
      <c r="AF32" s="50">
        <f>IF(AE32="","",AE32&amp;"|"&amp;M32)</f>
        <v/>
      </c>
      <c r="AG32" s="50">
        <f>IF(AE32="","",IF(COUNTIF($AE$6:AE32,AE32)=1,1,0))</f>
        <v/>
      </c>
      <c r="AH32" s="50">
        <f>IF(AE32="","",COUNTIF($AE$6:$AE$205,AE32))</f>
        <v/>
      </c>
      <c r="AI32" s="50">
        <f>IF(AE32="","",IF(AND(AG32=1,AH32&gt;1),COUNTIFS($AG$6:AG32,1,$AH$6:AH32,"&gt;1"),""))</f>
        <v/>
      </c>
      <c r="AJ32" s="50">
        <f>IF(AG32=1,IF(COUNTIFS($AE$6:$AE$205,AE32,$N$6:$N$205,"견적접수")&gt;0,1,0),"")</f>
        <v/>
      </c>
      <c r="AK32" s="50">
        <f>IF(OR(R32="",N32&lt;&gt;"견적접수"),"",IF(AND(R32=_xlfn.MINIFS($R$6:$R$205,$AE$6:$AE$205,AE32,$N$6:$N$205,"견적접수"),COUNTIFS($AE$5:AE31,AE32,$R$5:R31,R32,$N$5:N31,"견적접수")=0),1,""))</f>
        <v/>
      </c>
    </row>
    <row r="33">
      <c r="A33" s="50">
        <f>IF(F33="","",ROW()-5)</f>
        <v/>
      </c>
      <c r="B33" s="34" t="inlineStr">
        <is>
          <t>선박요청서-31</t>
        </is>
      </c>
      <c r="C33" s="34" t="inlineStr">
        <is>
          <t>31</t>
        </is>
      </c>
      <c r="D33" s="34" t="n">
        <v>10</v>
      </c>
      <c r="E33" s="34" t="inlineStr">
        <is>
          <t>GRUNDFOS</t>
        </is>
      </c>
      <c r="F33" s="36" t="inlineStr">
        <is>
          <t>IMPELLER, SPECIAL</t>
        </is>
      </c>
      <c r="G33" s="36" t="inlineStr">
        <is>
          <t>GRUNDFOS/CRN3-7</t>
        </is>
      </c>
      <c r="H33" s="36" t="inlineStr">
        <is>
          <t>CRN3-7-49G</t>
        </is>
      </c>
      <c r="I33" s="36" t="inlineStr">
        <is>
          <t>ME EGR WTS PUMP</t>
        </is>
      </c>
      <c r="J33" s="36" t="n"/>
      <c r="K33" s="34" t="n">
        <v>2</v>
      </c>
      <c r="L33" s="34" t="inlineStr">
        <is>
          <t>EA</t>
        </is>
      </c>
      <c r="M33" s="34" t="inlineStr">
        <is>
          <t>RMS</t>
        </is>
      </c>
      <c r="N33" s="34" t="inlineStr">
        <is>
          <t>공급불가</t>
        </is>
      </c>
      <c r="O33" s="50">
        <f>IF(N(AH33)&gt;1,"중복 "&amp;AH33&amp;"곳"&amp;IF(AK33=1," · 최저가",IF(AND(N33="견적접수",R33&lt;&gt;"")," · 비쌈","")),"")</f>
        <v/>
      </c>
      <c r="P33" s="34" t="inlineStr">
        <is>
          <t>KRW</t>
        </is>
      </c>
      <c r="Q33" s="51" t="n"/>
      <c r="R33" s="52">
        <f>IF(OR(Q33="",P33=""),"",IFERROR(IF(VLOOKUP(P33,설정!$K$5:$L$9,2,0)&gt;0,Q33*VLOOKUP(P33,설정!$K$5:$L$9,2,0),""),""))</f>
        <v/>
      </c>
      <c r="S33" s="53">
        <f>IF(OR(R33="",K33=""),"",R33*K33)</f>
        <v/>
      </c>
      <c r="T33" s="38" t="n"/>
      <c r="U33" s="54">
        <f>IF(OR(T33="",AC33="발주완료",AC33="취소"),"",TODAY()+T33)</f>
        <v/>
      </c>
      <c r="V33" s="50">
        <f>IF(OR(U33="",NOT(ISNUMBER($K$2))),"",IF(U33&lt;=$K$2,"가능","초과 "&amp;(U33-$K$2)&amp;"일"))</f>
        <v/>
      </c>
      <c r="W33" s="34" t="n"/>
      <c r="X33" s="34" t="n"/>
      <c r="Y33" s="34" t="n"/>
      <c r="Z33" s="55" t="n"/>
      <c r="AA33" s="54">
        <f>IF(OR(Z33="",Y33=""),"",Z33+Y33)</f>
        <v/>
      </c>
      <c r="AB33" s="36" t="inlineStr">
        <is>
          <t>NOT AVAILABLE</t>
        </is>
      </c>
      <c r="AC33" s="34" t="inlineStr">
        <is>
          <t>타업체 문의</t>
        </is>
      </c>
      <c r="AD33" s="36" t="inlineStr">
        <is>
          <t>타 업체 견적 요청</t>
        </is>
      </c>
      <c r="AE33" s="50">
        <f>IF(F33="","",B33&amp;"#"&amp;IF(D33="",F33,D33))</f>
        <v/>
      </c>
      <c r="AF33" s="50">
        <f>IF(AE33="","",AE33&amp;"|"&amp;M33)</f>
        <v/>
      </c>
      <c r="AG33" s="50">
        <f>IF(AE33="","",IF(COUNTIF($AE$6:AE33,AE33)=1,1,0))</f>
        <v/>
      </c>
      <c r="AH33" s="50">
        <f>IF(AE33="","",COUNTIF($AE$6:$AE$205,AE33))</f>
        <v/>
      </c>
      <c r="AI33" s="50">
        <f>IF(AE33="","",IF(AND(AG33=1,AH33&gt;1),COUNTIFS($AG$6:AG33,1,$AH$6:AH33,"&gt;1"),""))</f>
        <v/>
      </c>
      <c r="AJ33" s="50">
        <f>IF(AG33=1,IF(COUNTIFS($AE$6:$AE$205,AE33,$N$6:$N$205,"견적접수")&gt;0,1,0),"")</f>
        <v/>
      </c>
      <c r="AK33" s="50">
        <f>IF(OR(R33="",N33&lt;&gt;"견적접수"),"",IF(AND(R33=_xlfn.MINIFS($R$6:$R$205,$AE$6:$AE$205,AE33,$N$6:$N$205,"견적접수"),COUNTIFS($AE$5:AE32,AE33,$R$5:R32,R33,$N$5:N32,"견적접수")=0),1,""))</f>
        <v/>
      </c>
    </row>
    <row r="34">
      <c r="A34" s="50">
        <f>IF(F34="","",ROW()-5)</f>
        <v/>
      </c>
      <c r="B34" s="34" t="inlineStr">
        <is>
          <t>선박요청서-31</t>
        </is>
      </c>
      <c r="C34" s="34" t="inlineStr">
        <is>
          <t>31</t>
        </is>
      </c>
      <c r="D34" s="34" t="n">
        <v>11</v>
      </c>
      <c r="E34" s="34" t="inlineStr">
        <is>
          <t>GRUNDFOS</t>
        </is>
      </c>
      <c r="F34" s="36" t="inlineStr">
        <is>
          <t>WASHER</t>
        </is>
      </c>
      <c r="G34" s="36" t="inlineStr">
        <is>
          <t>GRUNDFOS/CRN3-7</t>
        </is>
      </c>
      <c r="H34" s="36" t="inlineStr">
        <is>
          <t>CRN3-7-66</t>
        </is>
      </c>
      <c r="I34" s="36" t="inlineStr">
        <is>
          <t>ME EGR WTS PUMP</t>
        </is>
      </c>
      <c r="J34" s="36" t="n"/>
      <c r="K34" s="34" t="n">
        <v>4</v>
      </c>
      <c r="L34" s="34" t="inlineStr">
        <is>
          <t>EA</t>
        </is>
      </c>
      <c r="M34" s="34" t="inlineStr">
        <is>
          <t>RMS</t>
        </is>
      </c>
      <c r="N34" s="34" t="inlineStr">
        <is>
          <t>견적접수</t>
        </is>
      </c>
      <c r="O34" s="50">
        <f>IF(N(AH34)&gt;1,"중복 "&amp;AH34&amp;"곳"&amp;IF(AK34=1," · 최저가",IF(AND(N34="견적접수",R34&lt;&gt;"")," · 비쌈","")),"")</f>
        <v/>
      </c>
      <c r="P34" s="34" t="inlineStr">
        <is>
          <t>KRW</t>
        </is>
      </c>
      <c r="Q34" s="51" t="n">
        <v>14419.6</v>
      </c>
      <c r="R34" s="52">
        <f>IF(OR(Q34="",P34=""),"",IFERROR(IF(VLOOKUP(P34,설정!$K$5:$L$9,2,0)&gt;0,Q34*VLOOKUP(P34,설정!$K$5:$L$9,2,0),""),""))</f>
        <v/>
      </c>
      <c r="S34" s="53">
        <f>IF(OR(R34="",K34=""),"",R34*K34)</f>
        <v/>
      </c>
      <c r="T34" s="38" t="n">
        <v>10</v>
      </c>
      <c r="U34" s="54">
        <f>IF(OR(T34="",AC34="발주완료",AC34="취소"),"",TODAY()+T34)</f>
        <v/>
      </c>
      <c r="V34" s="50">
        <f>IF(OR(U34="",NOT(ISNUMBER($K$2))),"",IF(U34&lt;=$K$2,"가능","초과 "&amp;(U34-$K$2)&amp;"일"))</f>
        <v/>
      </c>
      <c r="W34" s="34" t="inlineStr">
        <is>
          <t>GENUINE</t>
        </is>
      </c>
      <c r="X34" s="34" t="inlineStr">
        <is>
          <t>EX WORK BUSAN</t>
        </is>
      </c>
      <c r="Y34" s="34" t="n">
        <v>20</v>
      </c>
      <c r="Z34" s="55" t="n"/>
      <c r="AA34" s="54">
        <f>IF(OR(Z34="",Y34=""),"",Z34+Y34)</f>
        <v/>
      </c>
      <c r="AB34" s="36" t="inlineStr">
        <is>
          <t>ALL: D/T: 10 DAYS, GENUINE, EX WORK BUSAN [VALI: 20 DAYS]</t>
        </is>
      </c>
      <c r="AC34" s="34" t="inlineStr">
        <is>
          <t>검토중</t>
        </is>
      </c>
      <c r="AD34" s="36" t="n"/>
      <c r="AE34" s="50">
        <f>IF(F34="","",B34&amp;"#"&amp;IF(D34="",F34,D34))</f>
        <v/>
      </c>
      <c r="AF34" s="50">
        <f>IF(AE34="","",AE34&amp;"|"&amp;M34)</f>
        <v/>
      </c>
      <c r="AG34" s="50">
        <f>IF(AE34="","",IF(COUNTIF($AE$6:AE34,AE34)=1,1,0))</f>
        <v/>
      </c>
      <c r="AH34" s="50">
        <f>IF(AE34="","",COUNTIF($AE$6:$AE$205,AE34))</f>
        <v/>
      </c>
      <c r="AI34" s="50">
        <f>IF(AE34="","",IF(AND(AG34=1,AH34&gt;1),COUNTIFS($AG$6:AG34,1,$AH$6:AH34,"&gt;1"),""))</f>
        <v/>
      </c>
      <c r="AJ34" s="50">
        <f>IF(AG34=1,IF(COUNTIFS($AE$6:$AE$205,AE34,$N$6:$N$205,"견적접수")&gt;0,1,0),"")</f>
        <v/>
      </c>
      <c r="AK34" s="50">
        <f>IF(OR(R34="",N34&lt;&gt;"견적접수"),"",IF(AND(R34=_xlfn.MINIFS($R$6:$R$205,$AE$6:$AE$205,AE34,$N$6:$N$205,"견적접수"),COUNTIFS($AE$5:AE33,AE34,$R$5:R33,R34,$N$5:N33,"견적접수")=0),1,""))</f>
        <v/>
      </c>
    </row>
    <row r="35">
      <c r="A35" s="50">
        <f>IF(F35="","",ROW()-5)</f>
        <v/>
      </c>
      <c r="B35" s="34" t="inlineStr">
        <is>
          <t>선박요청서-31</t>
        </is>
      </c>
      <c r="C35" s="34" t="inlineStr">
        <is>
          <t>31</t>
        </is>
      </c>
      <c r="D35" s="34" t="n">
        <v>12</v>
      </c>
      <c r="E35" s="34" t="inlineStr">
        <is>
          <t>GRUNDFOS</t>
        </is>
      </c>
      <c r="F35" s="36" t="inlineStr">
        <is>
          <t>NUT</t>
        </is>
      </c>
      <c r="G35" s="36" t="inlineStr">
        <is>
          <t>GRUNDFOS/CRN3-7</t>
        </is>
      </c>
      <c r="H35" s="36" t="inlineStr">
        <is>
          <t>CRN3-7-67</t>
        </is>
      </c>
      <c r="I35" s="36" t="inlineStr">
        <is>
          <t>ME EGR WTS PUMP</t>
        </is>
      </c>
      <c r="J35" s="36" t="n"/>
      <c r="K35" s="34" t="n">
        <v>2</v>
      </c>
      <c r="L35" s="34" t="inlineStr">
        <is>
          <t>EA</t>
        </is>
      </c>
      <c r="M35" s="34" t="inlineStr">
        <is>
          <t>RMS</t>
        </is>
      </c>
      <c r="N35" s="34" t="inlineStr">
        <is>
          <t>견적접수</t>
        </is>
      </c>
      <c r="O35" s="50">
        <f>IF(N(AH35)&gt;1,"중복 "&amp;AH35&amp;"곳"&amp;IF(AK35=1," · 최저가",IF(AND(N35="견적접수",R35&lt;&gt;"")," · 비쌈","")),"")</f>
        <v/>
      </c>
      <c r="P35" s="34" t="inlineStr">
        <is>
          <t>KRW</t>
        </is>
      </c>
      <c r="Q35" s="51" t="n">
        <v>8873.6</v>
      </c>
      <c r="R35" s="52">
        <f>IF(OR(Q35="",P35=""),"",IFERROR(IF(VLOOKUP(P35,설정!$K$5:$L$9,2,0)&gt;0,Q35*VLOOKUP(P35,설정!$K$5:$L$9,2,0),""),""))</f>
        <v/>
      </c>
      <c r="S35" s="53">
        <f>IF(OR(R35="",K35=""),"",R35*K35)</f>
        <v/>
      </c>
      <c r="T35" s="38" t="n">
        <v>10</v>
      </c>
      <c r="U35" s="54">
        <f>IF(OR(T35="",AC35="발주완료",AC35="취소"),"",TODAY()+T35)</f>
        <v/>
      </c>
      <c r="V35" s="50">
        <f>IF(OR(U35="",NOT(ISNUMBER($K$2))),"",IF(U35&lt;=$K$2,"가능","초과 "&amp;(U35-$K$2)&amp;"일"))</f>
        <v/>
      </c>
      <c r="W35" s="34" t="inlineStr">
        <is>
          <t>GENUINE</t>
        </is>
      </c>
      <c r="X35" s="34" t="inlineStr">
        <is>
          <t>EX WORK BUSAN</t>
        </is>
      </c>
      <c r="Y35" s="34" t="n">
        <v>20</v>
      </c>
      <c r="Z35" s="55" t="n"/>
      <c r="AA35" s="54">
        <f>IF(OR(Z35="",Y35=""),"",Z35+Y35)</f>
        <v/>
      </c>
      <c r="AB35" s="36" t="inlineStr">
        <is>
          <t>ALL: D/T: 10 DAYS, GENUINE, EX WORK BUSAN [VALI: 20 DAYS]</t>
        </is>
      </c>
      <c r="AC35" s="34" t="inlineStr">
        <is>
          <t>검토중</t>
        </is>
      </c>
      <c r="AD35" s="36" t="n"/>
      <c r="AE35" s="50">
        <f>IF(F35="","",B35&amp;"#"&amp;IF(D35="",F35,D35))</f>
        <v/>
      </c>
      <c r="AF35" s="50">
        <f>IF(AE35="","",AE35&amp;"|"&amp;M35)</f>
        <v/>
      </c>
      <c r="AG35" s="50">
        <f>IF(AE35="","",IF(COUNTIF($AE$6:AE35,AE35)=1,1,0))</f>
        <v/>
      </c>
      <c r="AH35" s="50">
        <f>IF(AE35="","",COUNTIF($AE$6:$AE$205,AE35))</f>
        <v/>
      </c>
      <c r="AI35" s="50">
        <f>IF(AE35="","",IF(AND(AG35=1,AH35&gt;1),COUNTIFS($AG$6:AG35,1,$AH$6:AH35,"&gt;1"),""))</f>
        <v/>
      </c>
      <c r="AJ35" s="50">
        <f>IF(AG35=1,IF(COUNTIFS($AE$6:$AE$205,AE35,$N$6:$N$205,"견적접수")&gt;0,1,0),"")</f>
        <v/>
      </c>
      <c r="AK35" s="50">
        <f>IF(OR(R35="",N35&lt;&gt;"견적접수"),"",IF(AND(R35=_xlfn.MINIFS($R$6:$R$205,$AE$6:$AE$205,AE35,$N$6:$N$205,"견적접수"),COUNTIFS($AE$5:AE34,AE35,$R$5:R34,R35,$N$5:N34,"견적접수")=0),1,""))</f>
        <v/>
      </c>
    </row>
    <row r="36">
      <c r="A36" s="50">
        <f>IF(F36="","",ROW()-5)</f>
        <v/>
      </c>
      <c r="B36" s="34" t="inlineStr">
        <is>
          <t>선박요청서-31</t>
        </is>
      </c>
      <c r="C36" s="34" t="inlineStr">
        <is>
          <t>31</t>
        </is>
      </c>
      <c r="D36" s="34" t="n">
        <v>13</v>
      </c>
      <c r="E36" s="34" t="inlineStr">
        <is>
          <t>GRUNDFOS</t>
        </is>
      </c>
      <c r="F36" s="36" t="inlineStr">
        <is>
          <t>M/SEAL</t>
        </is>
      </c>
      <c r="G36" s="36" t="inlineStr">
        <is>
          <t>GRUNDFOS/CRN3-7</t>
        </is>
      </c>
      <c r="H36" s="36" t="n"/>
      <c r="I36" s="36" t="inlineStr">
        <is>
          <t>ME EGR WTS PUMP</t>
        </is>
      </c>
      <c r="J36" s="36" t="n"/>
      <c r="K36" s="34" t="n">
        <v>2</v>
      </c>
      <c r="L36" s="34" t="inlineStr">
        <is>
          <t>SET</t>
        </is>
      </c>
      <c r="M36" s="34" t="inlineStr">
        <is>
          <t>RMS</t>
        </is>
      </c>
      <c r="N36" s="34" t="inlineStr">
        <is>
          <t>견적접수</t>
        </is>
      </c>
      <c r="O36" s="50">
        <f>IF(N(AH36)&gt;1,"중복 "&amp;AH36&amp;"곳"&amp;IF(AK36=1," · 최저가",IF(AND(N36="견적접수",R36&lt;&gt;"")," · 비쌈","")),"")</f>
        <v/>
      </c>
      <c r="P36" s="34" t="inlineStr">
        <is>
          <t>KRW</t>
        </is>
      </c>
      <c r="Q36" s="51" t="n">
        <v>288392</v>
      </c>
      <c r="R36" s="52">
        <f>IF(OR(Q36="",P36=""),"",IFERROR(IF(VLOOKUP(P36,설정!$K$5:$L$9,2,0)&gt;0,Q36*VLOOKUP(P36,설정!$K$5:$L$9,2,0),""),""))</f>
        <v/>
      </c>
      <c r="S36" s="53">
        <f>IF(OR(R36="",K36=""),"",R36*K36)</f>
        <v/>
      </c>
      <c r="T36" s="38" t="n">
        <v>10</v>
      </c>
      <c r="U36" s="54">
        <f>IF(OR(T36="",AC36="발주완료",AC36="취소"),"",TODAY()+T36)</f>
        <v/>
      </c>
      <c r="V36" s="50">
        <f>IF(OR(U36="",NOT(ISNUMBER($K$2))),"",IF(U36&lt;=$K$2,"가능","초과 "&amp;(U36-$K$2)&amp;"일"))</f>
        <v/>
      </c>
      <c r="W36" s="34" t="inlineStr">
        <is>
          <t>GENUINE</t>
        </is>
      </c>
      <c r="X36" s="34" t="inlineStr">
        <is>
          <t>EX WORK BUSAN</t>
        </is>
      </c>
      <c r="Y36" s="34" t="n">
        <v>20</v>
      </c>
      <c r="Z36" s="55" t="n"/>
      <c r="AA36" s="54">
        <f>IF(OR(Z36="",Y36=""),"",Z36+Y36)</f>
        <v/>
      </c>
      <c r="AB36" s="36" t="inlineStr">
        <is>
          <t>ALL: D/T: 10 DAYS, GENUINE, EX WORK BUSAN [VALI: 20 DAYS]</t>
        </is>
      </c>
      <c r="AC36" s="34" t="inlineStr">
        <is>
          <t>검토중</t>
        </is>
      </c>
      <c r="AD36" s="36" t="n"/>
      <c r="AE36" s="50">
        <f>IF(F36="","",B36&amp;"#"&amp;IF(D36="",F36,D36))</f>
        <v/>
      </c>
      <c r="AF36" s="50">
        <f>IF(AE36="","",AE36&amp;"|"&amp;M36)</f>
        <v/>
      </c>
      <c r="AG36" s="50">
        <f>IF(AE36="","",IF(COUNTIF($AE$6:AE36,AE36)=1,1,0))</f>
        <v/>
      </c>
      <c r="AH36" s="50">
        <f>IF(AE36="","",COUNTIF($AE$6:$AE$205,AE36))</f>
        <v/>
      </c>
      <c r="AI36" s="50">
        <f>IF(AE36="","",IF(AND(AG36=1,AH36&gt;1),COUNTIFS($AG$6:AG36,1,$AH$6:AH36,"&gt;1"),""))</f>
        <v/>
      </c>
      <c r="AJ36" s="50">
        <f>IF(AG36=1,IF(COUNTIFS($AE$6:$AE$205,AE36,$N$6:$N$205,"견적접수")&gt;0,1,0),"")</f>
        <v/>
      </c>
      <c r="AK36" s="50">
        <f>IF(OR(R36="",N36&lt;&gt;"견적접수"),"",IF(AND(R36=_xlfn.MINIFS($R$6:$R$205,$AE$6:$AE$205,AE36,$N$6:$N$205,"견적접수"),COUNTIFS($AE$5:AE35,AE36,$R$5:R35,R36,$N$5:N35,"견적접수")=0),1,""))</f>
        <v/>
      </c>
    </row>
    <row r="37">
      <c r="A37" s="50">
        <f>IF(F37="","",ROW()-5)</f>
        <v/>
      </c>
      <c r="B37" s="34" t="inlineStr">
        <is>
          <t>선박요청서-31</t>
        </is>
      </c>
      <c r="C37" s="34" t="inlineStr">
        <is>
          <t>31</t>
        </is>
      </c>
      <c r="D37" s="34" t="n">
        <v>14</v>
      </c>
      <c r="E37" s="34" t="inlineStr">
        <is>
          <t>GRUNDFOS</t>
        </is>
      </c>
      <c r="F37" s="36" t="inlineStr">
        <is>
          <t>BEARING RING</t>
        </is>
      </c>
      <c r="G37" s="36" t="inlineStr">
        <is>
          <t>GRUNDFOS/CRN3-7</t>
        </is>
      </c>
      <c r="H37" s="36" t="inlineStr">
        <is>
          <t>CRN3-7-47A</t>
        </is>
      </c>
      <c r="I37" s="36" t="inlineStr">
        <is>
          <t>ME EGR WTS PUMP</t>
        </is>
      </c>
      <c r="J37" s="36" t="n"/>
      <c r="K37" s="34" t="n">
        <v>2</v>
      </c>
      <c r="L37" s="34" t="inlineStr">
        <is>
          <t>EA</t>
        </is>
      </c>
      <c r="M37" s="34" t="inlineStr">
        <is>
          <t>RMS</t>
        </is>
      </c>
      <c r="N37" s="34" t="inlineStr">
        <is>
          <t>견적접수</t>
        </is>
      </c>
      <c r="O37" s="50">
        <f>IF(N(AH37)&gt;1,"중복 "&amp;AH37&amp;"곳"&amp;IF(AK37=1," · 최저가",IF(AND(N37="견적접수",R37&lt;&gt;"")," · 비쌈","")),"")</f>
        <v/>
      </c>
      <c r="P37" s="34" t="inlineStr">
        <is>
          <t>KRW</t>
        </is>
      </c>
      <c r="Q37" s="51" t="n">
        <v>33276</v>
      </c>
      <c r="R37" s="52">
        <f>IF(OR(Q37="",P37=""),"",IFERROR(IF(VLOOKUP(P37,설정!$K$5:$L$9,2,0)&gt;0,Q37*VLOOKUP(P37,설정!$K$5:$L$9,2,0),""),""))</f>
        <v/>
      </c>
      <c r="S37" s="53">
        <f>IF(OR(R37="",K37=""),"",R37*K37)</f>
        <v/>
      </c>
      <c r="T37" s="38" t="n">
        <v>10</v>
      </c>
      <c r="U37" s="54">
        <f>IF(OR(T37="",AC37="발주완료",AC37="취소"),"",TODAY()+T37)</f>
        <v/>
      </c>
      <c r="V37" s="50">
        <f>IF(OR(U37="",NOT(ISNUMBER($K$2))),"",IF(U37&lt;=$K$2,"가능","초과 "&amp;(U37-$K$2)&amp;"일"))</f>
        <v/>
      </c>
      <c r="W37" s="34" t="inlineStr">
        <is>
          <t>GENUINE</t>
        </is>
      </c>
      <c r="X37" s="34" t="inlineStr">
        <is>
          <t>EX WORK BUSAN</t>
        </is>
      </c>
      <c r="Y37" s="34" t="n">
        <v>20</v>
      </c>
      <c r="Z37" s="55" t="n"/>
      <c r="AA37" s="54">
        <f>IF(OR(Z37="",Y37=""),"",Z37+Y37)</f>
        <v/>
      </c>
      <c r="AB37" s="36" t="inlineStr">
        <is>
          <t>ALL: D/T: 10 DAYS, GENUINE, EX WORK BUSAN [VALI: 20 DAYS]</t>
        </is>
      </c>
      <c r="AC37" s="34" t="inlineStr">
        <is>
          <t>검토중</t>
        </is>
      </c>
      <c r="AD37" s="36" t="n"/>
      <c r="AE37" s="50">
        <f>IF(F37="","",B37&amp;"#"&amp;IF(D37="",F37,D37))</f>
        <v/>
      </c>
      <c r="AF37" s="50">
        <f>IF(AE37="","",AE37&amp;"|"&amp;M37)</f>
        <v/>
      </c>
      <c r="AG37" s="50">
        <f>IF(AE37="","",IF(COUNTIF($AE$6:AE37,AE37)=1,1,0))</f>
        <v/>
      </c>
      <c r="AH37" s="50">
        <f>IF(AE37="","",COUNTIF($AE$6:$AE$205,AE37))</f>
        <v/>
      </c>
      <c r="AI37" s="50">
        <f>IF(AE37="","",IF(AND(AG37=1,AH37&gt;1),COUNTIFS($AG$6:AG37,1,$AH$6:AH37,"&gt;1"),""))</f>
        <v/>
      </c>
      <c r="AJ37" s="50">
        <f>IF(AG37=1,IF(COUNTIFS($AE$6:$AE$205,AE37,$N$6:$N$205,"견적접수")&gt;0,1,0),"")</f>
        <v/>
      </c>
      <c r="AK37" s="50">
        <f>IF(OR(R37="",N37&lt;&gt;"견적접수"),"",IF(AND(R37=_xlfn.MINIFS($R$6:$R$205,$AE$6:$AE$205,AE37,$N$6:$N$205,"견적접수"),COUNTIFS($AE$5:AE36,AE37,$R$5:R36,R37,$N$5:N36,"견적접수")=0),1,""))</f>
        <v/>
      </c>
    </row>
    <row r="38">
      <c r="A38" s="50">
        <f>IF(F38="","",ROW()-5)</f>
        <v/>
      </c>
      <c r="B38" s="34" t="inlineStr">
        <is>
          <t>DB26034465</t>
        </is>
      </c>
      <c r="C38" s="34" t="inlineStr">
        <is>
          <t>-</t>
        </is>
      </c>
      <c r="D38" s="34" t="n">
        <v>1</v>
      </c>
      <c r="E38" s="34" t="inlineStr">
        <is>
          <t>HYUNDAI</t>
        </is>
      </c>
      <c r="F38" s="36" t="inlineStr">
        <is>
          <t>28360-POWER SUPPLY (COOLING CHAMBER, CLX-XT)</t>
        </is>
      </c>
      <c r="G38" s="36" t="n"/>
      <c r="H38" s="36" t="inlineStr">
        <is>
          <t>28360</t>
        </is>
      </c>
      <c r="I38" s="36" t="inlineStr">
        <is>
          <t>4S-LP-H (Cooling chamber CLX-XT)</t>
        </is>
      </c>
      <c r="J38" s="36" t="n"/>
      <c r="K38" s="34" t="n">
        <v>1</v>
      </c>
      <c r="L38" s="34" t="inlineStr">
        <is>
          <t>PCS</t>
        </is>
      </c>
      <c r="M38" s="34" t="inlineStr">
        <is>
          <t>DINTEC</t>
        </is>
      </c>
      <c r="N38" s="34" t="inlineStr">
        <is>
          <t>견적접수</t>
        </is>
      </c>
      <c r="O38" s="50">
        <f>IF(N(AH38)&gt;1,"중복 "&amp;AH38&amp;"곳"&amp;IF(AK38=1," · 최저가",IF(AND(N38="견적접수",R38&lt;&gt;"")," · 비쌈","")),"")</f>
        <v/>
      </c>
      <c r="P38" s="34" t="inlineStr">
        <is>
          <t>KRW</t>
        </is>
      </c>
      <c r="Q38" s="51" t="n">
        <v>1740000</v>
      </c>
      <c r="R38" s="52">
        <f>IF(OR(Q38="",P38=""),"",IFERROR(IF(VLOOKUP(P38,설정!$K$5:$L$9,2,0)&gt;0,Q38*VLOOKUP(P38,설정!$K$5:$L$9,2,0),""),""))</f>
        <v/>
      </c>
      <c r="S38" s="53">
        <f>IF(OR(R38="",K38=""),"",R38*K38)</f>
        <v/>
      </c>
      <c r="T38" s="38" t="n">
        <v>60</v>
      </c>
      <c r="U38" s="54">
        <f>IF(OR(T38="",AC38="발주완료",AC38="취소"),"",TODAY()+T38)</f>
        <v/>
      </c>
      <c r="V38" s="50">
        <f>IF(OR(U38="",NOT(ISNUMBER($K$2))),"",IF(U38&lt;=$K$2,"가능","초과 "&amp;(U38-$K$2)&amp;"일"))</f>
        <v/>
      </c>
      <c r="W38" s="34" t="inlineStr">
        <is>
          <t>GENUINE</t>
        </is>
      </c>
      <c r="X38" s="34" t="inlineStr">
        <is>
          <t>EXW BUSAN</t>
        </is>
      </c>
      <c r="Y38" s="34" t="n">
        <v>30</v>
      </c>
      <c r="Z38" s="56" t="n">
        <v>46317</v>
      </c>
      <c r="AA38" s="54">
        <f>IF(OR(Z38="",Y38=""),"",Z38+Y38)</f>
        <v/>
      </c>
      <c r="AB38" s="36" t="inlineStr">
        <is>
          <t>[딘텍 DB26034465] Your ref 2026.10.19/ONEIROI / L/T 60 DAYS / 수출 시 우든박스/팔레트 포장비 실비 별도</t>
        </is>
      </c>
      <c r="AC38" s="34" t="inlineStr">
        <is>
          <t>검토중</t>
        </is>
      </c>
      <c r="AD38" s="36" t="inlineStr">
        <is>
          <t>딘텍: 유첨 자재 사진으로 요청 자재 맞는지 확인 요청</t>
        </is>
      </c>
      <c r="AE38" s="50">
        <f>IF(F38="","",B38&amp;"#"&amp;IF(D38="",F38,D38))</f>
        <v/>
      </c>
      <c r="AF38" s="50">
        <f>IF(AE38="","",AE38&amp;"|"&amp;M38)</f>
        <v/>
      </c>
      <c r="AG38" s="50">
        <f>IF(AE38="","",IF(COUNTIF($AE$6:AE38,AE38)=1,1,0))</f>
        <v/>
      </c>
      <c r="AH38" s="50">
        <f>IF(AE38="","",COUNTIF($AE$6:$AE$205,AE38))</f>
        <v/>
      </c>
      <c r="AI38" s="50">
        <f>IF(AE38="","",IF(AND(AG38=1,AH38&gt;1),COUNTIFS($AG$6:AG38,1,$AH$6:AH38,"&gt;1"),""))</f>
        <v/>
      </c>
      <c r="AJ38" s="50">
        <f>IF(AG38=1,IF(COUNTIFS($AE$6:$AE$205,AE38,$N$6:$N$205,"견적접수")&gt;0,1,0),"")</f>
        <v/>
      </c>
      <c r="AK38" s="50">
        <f>IF(OR(R38="",N38&lt;&gt;"견적접수"),"",IF(AND(R38=_xlfn.MINIFS($R$6:$R$205,$AE$6:$AE$205,AE38,$N$6:$N$205,"견적접수"),COUNTIFS($AE$5:AE37,AE38,$R$5:R37,R38,$N$5:N37,"견적접수")=0),1,""))</f>
        <v/>
      </c>
    </row>
    <row r="39">
      <c r="A39" s="50">
        <f>IF(F39="","",ROW()-5)</f>
        <v/>
      </c>
      <c r="B39" s="34" t="inlineStr">
        <is>
          <t>IOB-ONR-26-1016(ME)</t>
        </is>
      </c>
      <c r="C39" s="34" t="inlineStr">
        <is>
          <t>-</t>
        </is>
      </c>
      <c r="D39" s="34" t="n">
        <v>1</v>
      </c>
      <c r="E39" s="34" t="inlineStr">
        <is>
          <t>HANWHA MAN</t>
        </is>
      </c>
      <c r="F39" s="36" t="inlineStr">
        <is>
          <t>4/3 WAY PROPORTIONAL VALVE *MAN/ 5957670-1</t>
        </is>
      </c>
      <c r="G39" s="36" t="n"/>
      <c r="H39" s="36" t="inlineStr">
        <is>
          <t>4272-2012-0002-369</t>
        </is>
      </c>
      <c r="I39" s="36" t="inlineStr">
        <is>
          <t>Main Engine 5G70ME-C10.5-GA</t>
        </is>
      </c>
      <c r="J39" s="36" t="n"/>
      <c r="K39" s="34" t="n">
        <v>2</v>
      </c>
      <c r="L39" s="34" t="inlineStr">
        <is>
          <t>EA</t>
        </is>
      </c>
      <c r="M39" s="34" t="inlineStr">
        <is>
          <t>OXEN</t>
        </is>
      </c>
      <c r="N39" s="34" t="inlineStr">
        <is>
          <t>미접수</t>
        </is>
      </c>
      <c r="O39" s="50">
        <f>IF(N(AH39)&gt;1,"중복 "&amp;AH39&amp;"곳"&amp;IF(AK39=1," · 최저가",IF(AND(N39="견적접수",R39&lt;&gt;"")," · 비쌈","")),"")</f>
        <v/>
      </c>
      <c r="P39" s="34" t="inlineStr">
        <is>
          <t>KRW</t>
        </is>
      </c>
      <c r="Q39" s="51" t="n"/>
      <c r="R39" s="52">
        <f>IF(OR(Q39="",P39=""),"",IFERROR(IF(VLOOKUP(P39,설정!$K$5:$L$9,2,0)&gt;0,Q39*VLOOKUP(P39,설정!$K$5:$L$9,2,0),""),""))</f>
        <v/>
      </c>
      <c r="S39" s="53">
        <f>IF(OR(R39="",K39=""),"",R39*K39)</f>
        <v/>
      </c>
      <c r="T39" s="38" t="n"/>
      <c r="U39" s="54">
        <f>IF(OR(T39="",AC39="발주완료",AC39="취소"),"",TODAY()+T39)</f>
        <v/>
      </c>
      <c r="V39" s="50">
        <f>IF(OR(U39="",NOT(ISNUMBER($K$2))),"",IF(U39&lt;=$K$2,"가능","초과 "&amp;(U39-$K$2)&amp;"일"))</f>
        <v/>
      </c>
      <c r="W39" s="34" t="n"/>
      <c r="X39" s="34" t="inlineStr">
        <is>
          <t>EXW BUSAN</t>
        </is>
      </c>
      <c r="Y39" s="34" t="n">
        <v>20</v>
      </c>
      <c r="Z39" s="55" t="n"/>
      <c r="AA39" s="54">
        <f>IF(OR(Z39="",Y39=""),"",Z39+Y39)</f>
        <v/>
      </c>
      <c r="AB39" s="36" t="inlineStr">
        <is>
          <t>[옥슨 IOB-ONR-26-1016(ME)] #1 4/3 WAY PROPORTIONAL VALVE *MAN/ 5957670-1 / 견적중</t>
        </is>
      </c>
      <c r="AC39" s="34" t="inlineStr">
        <is>
          <t>검토중</t>
        </is>
      </c>
      <c r="AD39" s="36" t="inlineStr">
        <is>
          <t>옥슨 견적중 – 회신 대기</t>
        </is>
      </c>
      <c r="AE39" s="50">
        <f>IF(F39="","",B39&amp;"#"&amp;IF(D39="",F39,D39))</f>
        <v/>
      </c>
      <c r="AF39" s="50">
        <f>IF(AE39="","",AE39&amp;"|"&amp;M39)</f>
        <v/>
      </c>
      <c r="AG39" s="50">
        <f>IF(AE39="","",IF(COUNTIF($AE$6:AE39,AE39)=1,1,0))</f>
        <v/>
      </c>
      <c r="AH39" s="50">
        <f>IF(AE39="","",COUNTIF($AE$6:$AE$205,AE39))</f>
        <v/>
      </c>
      <c r="AI39" s="50">
        <f>IF(AE39="","",IF(AND(AG39=1,AH39&gt;1),COUNTIFS($AG$6:AG39,1,$AH$6:AH39,"&gt;1"),""))</f>
        <v/>
      </c>
      <c r="AJ39" s="50">
        <f>IF(AG39=1,IF(COUNTIFS($AE$6:$AE$205,AE39,$N$6:$N$205,"견적접수")&gt;0,1,0),"")</f>
        <v/>
      </c>
      <c r="AK39" s="50">
        <f>IF(OR(R39="",N39&lt;&gt;"견적접수"),"",IF(AND(R39=_xlfn.MINIFS($R$6:$R$205,$AE$6:$AE$205,AE39,$N$6:$N$205,"견적접수"),COUNTIFS($AE$5:AE38,AE39,$R$5:R38,R39,$N$5:N38,"견적접수")=0),1,""))</f>
        <v/>
      </c>
    </row>
    <row r="40">
      <c r="A40" s="50">
        <f>IF(F40="","",ROW()-5)</f>
        <v/>
      </c>
      <c r="B40" s="34" t="inlineStr">
        <is>
          <t>DB26034465</t>
        </is>
      </c>
      <c r="C40" s="34" t="inlineStr">
        <is>
          <t>-</t>
        </is>
      </c>
      <c r="D40" s="34" t="n">
        <v>2</v>
      </c>
      <c r="E40" s="34" t="inlineStr">
        <is>
          <t>HYUNDAI</t>
        </is>
      </c>
      <c r="F40" s="36" t="inlineStr">
        <is>
          <t>28365MS-COOLING CHAMBER (CLX-XT) W/O POWER SUPPLY</t>
        </is>
      </c>
      <c r="G40" s="36" t="n"/>
      <c r="H40" s="36" t="inlineStr">
        <is>
          <t>28365MS</t>
        </is>
      </c>
      <c r="I40" s="36" t="inlineStr">
        <is>
          <t>4S-LP-H (Cooling chamber CLX-XT)</t>
        </is>
      </c>
      <c r="J40" s="36" t="n"/>
      <c r="K40" s="34" t="n">
        <v>1</v>
      </c>
      <c r="L40" s="34" t="inlineStr">
        <is>
          <t>PCS</t>
        </is>
      </c>
      <c r="M40" s="34" t="inlineStr">
        <is>
          <t>DINTEC</t>
        </is>
      </c>
      <c r="N40" s="34" t="inlineStr">
        <is>
          <t>견적접수</t>
        </is>
      </c>
      <c r="O40" s="50">
        <f>IF(N(AH40)&gt;1,"중복 "&amp;AH40&amp;"곳"&amp;IF(AK40=1," · 최저가",IF(AND(N40="견적접수",R40&lt;&gt;"")," · 비쌈","")),"")</f>
        <v/>
      </c>
      <c r="P40" s="34" t="inlineStr">
        <is>
          <t>KRW</t>
        </is>
      </c>
      <c r="Q40" s="51" t="n">
        <v>3800000</v>
      </c>
      <c r="R40" s="52">
        <f>IF(OR(Q40="",P40=""),"",IFERROR(IF(VLOOKUP(P40,설정!$K$5:$L$9,2,0)&gt;0,Q40*VLOOKUP(P40,설정!$K$5:$L$9,2,0),""),""))</f>
        <v/>
      </c>
      <c r="S40" s="53">
        <f>IF(OR(R40="",K40=""),"",R40*K40)</f>
        <v/>
      </c>
      <c r="T40" s="38" t="n">
        <v>10</v>
      </c>
      <c r="U40" s="54">
        <f>IF(OR(T40="",AC40="발주완료",AC40="취소"),"",TODAY()+T40)</f>
        <v/>
      </c>
      <c r="V40" s="50">
        <f>IF(OR(U40="",NOT(ISNUMBER($K$2))),"",IF(U40&lt;=$K$2,"가능","초과 "&amp;(U40-$K$2)&amp;"일"))</f>
        <v/>
      </c>
      <c r="W40" s="34" t="inlineStr">
        <is>
          <t>GENUINE</t>
        </is>
      </c>
      <c r="X40" s="34" t="inlineStr">
        <is>
          <t>EXW BUSAN</t>
        </is>
      </c>
      <c r="Y40" s="34" t="n">
        <v>30</v>
      </c>
      <c r="Z40" s="56" t="n">
        <v>46317</v>
      </c>
      <c r="AA40" s="54">
        <f>IF(OR(Z40="",Y40=""),"",Z40+Y40)</f>
        <v/>
      </c>
      <c r="AB40" s="36" t="inlineStr">
        <is>
          <t>[딘텍 DB26034465] Your ref 2026.10.19/ONEIROI / L/T 10 DAYS / 수출 시 우든박스/팔레트 포장비 실비 별도</t>
        </is>
      </c>
      <c r="AC40" s="34" t="inlineStr">
        <is>
          <t>검토중</t>
        </is>
      </c>
      <c r="AD40" s="36" t="inlineStr">
        <is>
          <t>딘텍: 유첨 자재 사진으로 요청 자재 맞는지 확인 요청</t>
        </is>
      </c>
      <c r="AE40" s="50">
        <f>IF(F40="","",B40&amp;"#"&amp;IF(D40="",F40,D40))</f>
        <v/>
      </c>
      <c r="AF40" s="50">
        <f>IF(AE40="","",AE40&amp;"|"&amp;M40)</f>
        <v/>
      </c>
      <c r="AG40" s="50">
        <f>IF(AE40="","",IF(COUNTIF($AE$6:AE40,AE40)=1,1,0))</f>
        <v/>
      </c>
      <c r="AH40" s="50">
        <f>IF(AE40="","",COUNTIF($AE$6:$AE$205,AE40))</f>
        <v/>
      </c>
      <c r="AI40" s="50">
        <f>IF(AE40="","",IF(AND(AG40=1,AH40&gt;1),COUNTIFS($AG$6:AG40,1,$AH$6:AH40,"&gt;1"),""))</f>
        <v/>
      </c>
      <c r="AJ40" s="50">
        <f>IF(AG40=1,IF(COUNTIFS($AE$6:$AE$205,AE40,$N$6:$N$205,"견적접수")&gt;0,1,0),"")</f>
        <v/>
      </c>
      <c r="AK40" s="50">
        <f>IF(OR(R40="",N40&lt;&gt;"견적접수"),"",IF(AND(R40=_xlfn.MINIFS($R$6:$R$205,$AE$6:$AE$205,AE40,$N$6:$N$205,"견적접수"),COUNTIFS($AE$5:AE39,AE40,$R$5:R39,R40,$N$5:N39,"견적접수")=0),1,""))</f>
        <v/>
      </c>
    </row>
    <row r="41">
      <c r="A41" s="50">
        <f>IF(F41="","",ROW()-5)</f>
        <v/>
      </c>
      <c r="B41" s="34" t="inlineStr">
        <is>
          <t>IOB-ONR-26-1016(ME)</t>
        </is>
      </c>
      <c r="C41" s="34" t="inlineStr">
        <is>
          <t>-</t>
        </is>
      </c>
      <c r="D41" s="34" t="n">
        <v>2</v>
      </c>
      <c r="E41" s="34" t="inlineStr">
        <is>
          <t>HANWHA MAN</t>
        </is>
      </c>
      <c r="F41" s="36" t="inlineStr">
        <is>
          <t>SCREW *MAN/ 5957670-1</t>
        </is>
      </c>
      <c r="G41" s="36" t="n"/>
      <c r="H41" s="36" t="inlineStr">
        <is>
          <t>4272-2012-0002-382</t>
        </is>
      </c>
      <c r="I41" s="36" t="inlineStr">
        <is>
          <t>Main Engine 5G70ME-C10.5-GA</t>
        </is>
      </c>
      <c r="J41" s="36" t="n"/>
      <c r="K41" s="34" t="n">
        <v>12</v>
      </c>
      <c r="L41" s="34" t="inlineStr">
        <is>
          <t>EA</t>
        </is>
      </c>
      <c r="M41" s="34" t="inlineStr">
        <is>
          <t>OXEN</t>
        </is>
      </c>
      <c r="N41" s="34" t="inlineStr">
        <is>
          <t>미접수</t>
        </is>
      </c>
      <c r="O41" s="50">
        <f>IF(N(AH41)&gt;1,"중복 "&amp;AH41&amp;"곳"&amp;IF(AK41=1," · 최저가",IF(AND(N41="견적접수",R41&lt;&gt;"")," · 비쌈","")),"")</f>
        <v/>
      </c>
      <c r="P41" s="34" t="inlineStr">
        <is>
          <t>KRW</t>
        </is>
      </c>
      <c r="Q41" s="51" t="n"/>
      <c r="R41" s="52">
        <f>IF(OR(Q41="",P41=""),"",IFERROR(IF(VLOOKUP(P41,설정!$K$5:$L$9,2,0)&gt;0,Q41*VLOOKUP(P41,설정!$K$5:$L$9,2,0),""),""))</f>
        <v/>
      </c>
      <c r="S41" s="53">
        <f>IF(OR(R41="",K41=""),"",R41*K41)</f>
        <v/>
      </c>
      <c r="T41" s="38" t="n"/>
      <c r="U41" s="54">
        <f>IF(OR(T41="",AC41="발주완료",AC41="취소"),"",TODAY()+T41)</f>
        <v/>
      </c>
      <c r="V41" s="50">
        <f>IF(OR(U41="",NOT(ISNUMBER($K$2))),"",IF(U41&lt;=$K$2,"가능","초과 "&amp;(U41-$K$2)&amp;"일"))</f>
        <v/>
      </c>
      <c r="W41" s="34" t="n"/>
      <c r="X41" s="34" t="inlineStr">
        <is>
          <t>EXW BUSAN</t>
        </is>
      </c>
      <c r="Y41" s="34" t="n">
        <v>20</v>
      </c>
      <c r="Z41" s="55" t="n"/>
      <c r="AA41" s="54">
        <f>IF(OR(Z41="",Y41=""),"",Z41+Y41)</f>
        <v/>
      </c>
      <c r="AB41" s="36" t="inlineStr">
        <is>
          <t>[옥슨 IOB-ONR-26-1016(ME)] #2 SCREW *MAN/ 5957670-1 / 견적중</t>
        </is>
      </c>
      <c r="AC41" s="34" t="inlineStr">
        <is>
          <t>검토중</t>
        </is>
      </c>
      <c r="AD41" s="36" t="inlineStr">
        <is>
          <t>옥슨 견적중 – 회신 대기</t>
        </is>
      </c>
      <c r="AE41" s="50">
        <f>IF(F41="","",B41&amp;"#"&amp;IF(D41="",F41,D41))</f>
        <v/>
      </c>
      <c r="AF41" s="50">
        <f>IF(AE41="","",AE41&amp;"|"&amp;M41)</f>
        <v/>
      </c>
      <c r="AG41" s="50">
        <f>IF(AE41="","",IF(COUNTIF($AE$6:AE41,AE41)=1,1,0))</f>
        <v/>
      </c>
      <c r="AH41" s="50">
        <f>IF(AE41="","",COUNTIF($AE$6:$AE$205,AE41))</f>
        <v/>
      </c>
      <c r="AI41" s="50">
        <f>IF(AE41="","",IF(AND(AG41=1,AH41&gt;1),COUNTIFS($AG$6:AG41,1,$AH$6:AH41,"&gt;1"),""))</f>
        <v/>
      </c>
      <c r="AJ41" s="50">
        <f>IF(AG41=1,IF(COUNTIFS($AE$6:$AE$205,AE41,$N$6:$N$205,"견적접수")&gt;0,1,0),"")</f>
        <v/>
      </c>
      <c r="AK41" s="50">
        <f>IF(OR(R41="",N41&lt;&gt;"견적접수"),"",IF(AND(R41=_xlfn.MINIFS($R$6:$R$205,$AE$6:$AE$205,AE41,$N$6:$N$205,"견적접수"),COUNTIFS($AE$5:AE40,AE41,$R$5:R40,R41,$N$5:N40,"견적접수")=0),1,""))</f>
        <v/>
      </c>
    </row>
    <row r="42">
      <c r="A42" s="50">
        <f>IF(F42="","",ROW()-5)</f>
        <v/>
      </c>
      <c r="B42" s="34" t="inlineStr">
        <is>
          <t>IOB-ONR-26-1016(ME)</t>
        </is>
      </c>
      <c r="C42" s="34" t="inlineStr">
        <is>
          <t>-</t>
        </is>
      </c>
      <c r="D42" s="34" t="n">
        <v>3</v>
      </c>
      <c r="E42" s="34" t="inlineStr">
        <is>
          <t>HANWHA MAN</t>
        </is>
      </c>
      <c r="F42" s="36" t="inlineStr">
        <is>
          <t>PRESSURE TRANSDUCER *WIKA/ IS-3</t>
        </is>
      </c>
      <c r="G42" s="36" t="n"/>
      <c r="H42" s="36" t="inlineStr">
        <is>
          <t>4272-2012-0002-142</t>
        </is>
      </c>
      <c r="I42" s="36" t="inlineStr">
        <is>
          <t>Main Engine 5G70ME-C10.5-GA</t>
        </is>
      </c>
      <c r="J42" s="36" t="n"/>
      <c r="K42" s="34" t="n">
        <v>5</v>
      </c>
      <c r="L42" s="34" t="inlineStr">
        <is>
          <t>EA</t>
        </is>
      </c>
      <c r="M42" s="34" t="inlineStr">
        <is>
          <t>OXEN</t>
        </is>
      </c>
      <c r="N42" s="34" t="inlineStr">
        <is>
          <t>견적접수</t>
        </is>
      </c>
      <c r="O42" s="50">
        <f>IF(N(AH42)&gt;1,"중복 "&amp;AH42&amp;"곳"&amp;IF(AK42=1," · 최저가",IF(AND(N42="견적접수",R42&lt;&gt;"")," · 비쌈","")),"")</f>
        <v/>
      </c>
      <c r="P42" s="34" t="inlineStr">
        <is>
          <t>KRW</t>
        </is>
      </c>
      <c r="Q42" s="51" t="n">
        <v>1265000</v>
      </c>
      <c r="R42" s="52">
        <f>IF(OR(Q42="",P42=""),"",IFERROR(IF(VLOOKUP(P42,설정!$K$5:$L$9,2,0)&gt;0,Q42*VLOOKUP(P42,설정!$K$5:$L$9,2,0),""),""))</f>
        <v/>
      </c>
      <c r="S42" s="53">
        <f>IF(OR(R42="",K42=""),"",R42*K42)</f>
        <v/>
      </c>
      <c r="T42" s="38" t="n">
        <v>60</v>
      </c>
      <c r="U42" s="54">
        <f>IF(OR(T42="",AC42="발주완료",AC42="취소"),"",TODAY()+T42)</f>
        <v/>
      </c>
      <c r="V42" s="50">
        <f>IF(OR(U42="",NOT(ISNUMBER($K$2))),"",IF(U42&lt;=$K$2,"가능","초과 "&amp;(U42-$K$2)&amp;"일"))</f>
        <v/>
      </c>
      <c r="W42" s="34" t="n"/>
      <c r="X42" s="34" t="inlineStr">
        <is>
          <t>EXW BUSAN</t>
        </is>
      </c>
      <c r="Y42" s="34" t="n">
        <v>20</v>
      </c>
      <c r="Z42" s="55" t="n"/>
      <c r="AA42" s="54">
        <f>IF(OR(Z42="",Y42=""),"",Z42+Y42)</f>
        <v/>
      </c>
      <c r="AB42" s="36" t="inlineStr">
        <is>
          <t>[옥슨 IOB-ONR-26-1016(ME)] #3 PRESSURE TRANSDUCER *WIKA/ IS-3</t>
        </is>
      </c>
      <c r="AC42" s="34" t="inlineStr">
        <is>
          <t>검토중</t>
        </is>
      </c>
      <c r="AD42" s="36" t="n"/>
      <c r="AE42" s="50">
        <f>IF(F42="","",B42&amp;"#"&amp;IF(D42="",F42,D42))</f>
        <v/>
      </c>
      <c r="AF42" s="50">
        <f>IF(AE42="","",AE42&amp;"|"&amp;M42)</f>
        <v/>
      </c>
      <c r="AG42" s="50">
        <f>IF(AE42="","",IF(COUNTIF($AE$6:AE42,AE42)=1,1,0))</f>
        <v/>
      </c>
      <c r="AH42" s="50">
        <f>IF(AE42="","",COUNTIF($AE$6:$AE$205,AE42))</f>
        <v/>
      </c>
      <c r="AI42" s="50">
        <f>IF(AE42="","",IF(AND(AG42=1,AH42&gt;1),COUNTIFS($AG$6:AG42,1,$AH$6:AH42,"&gt;1"),""))</f>
        <v/>
      </c>
      <c r="AJ42" s="50">
        <f>IF(AG42=1,IF(COUNTIFS($AE$6:$AE$205,AE42,$N$6:$N$205,"견적접수")&gt;0,1,0),"")</f>
        <v/>
      </c>
      <c r="AK42" s="50">
        <f>IF(OR(R42="",N42&lt;&gt;"견적접수"),"",IF(AND(R42=_xlfn.MINIFS($R$6:$R$205,$AE$6:$AE$205,AE42,$N$6:$N$205,"견적접수"),COUNTIFS($AE$5:AE41,AE42,$R$5:R41,R42,$N$5:N41,"견적접수")=0),1,""))</f>
        <v/>
      </c>
    </row>
    <row r="43">
      <c r="A43" s="50">
        <f>IF(F43="","",ROW()-5)</f>
        <v/>
      </c>
      <c r="B43" s="34" t="inlineStr">
        <is>
          <t>IOB-ONR-26-1016(ME)</t>
        </is>
      </c>
      <c r="C43" s="34" t="inlineStr">
        <is>
          <t>-</t>
        </is>
      </c>
      <c r="D43" s="34" t="n">
        <v>4</v>
      </c>
      <c r="E43" s="34" t="inlineStr">
        <is>
          <t>HANWHA MAN</t>
        </is>
      </c>
      <c r="F43" s="36" t="inlineStr">
        <is>
          <t>OXYGEN SENSOR "A" *MAN/ TYPE-A</t>
        </is>
      </c>
      <c r="G43" s="36" t="n"/>
      <c r="H43" s="36" t="inlineStr">
        <is>
          <t>5672-0260-0001-248</t>
        </is>
      </c>
      <c r="I43" s="36" t="inlineStr">
        <is>
          <t>Main Engine 5G70ME-C10.5-GA</t>
        </is>
      </c>
      <c r="J43" s="36" t="inlineStr">
        <is>
          <t>SET판매 (B 포함)</t>
        </is>
      </c>
      <c r="K43" s="34" t="n">
        <v>20</v>
      </c>
      <c r="L43" s="34" t="inlineStr">
        <is>
          <t>EA</t>
        </is>
      </c>
      <c r="M43" s="34" t="inlineStr">
        <is>
          <t>OXEN</t>
        </is>
      </c>
      <c r="N43" s="34" t="inlineStr">
        <is>
          <t>견적접수</t>
        </is>
      </c>
      <c r="O43" s="50">
        <f>IF(N(AH43)&gt;1,"중복 "&amp;AH43&amp;"곳"&amp;IF(AK43=1," · 최저가",IF(AND(N43="견적접수",R43&lt;&gt;"")," · 비쌈","")),"")</f>
        <v/>
      </c>
      <c r="P43" s="34" t="inlineStr">
        <is>
          <t>KRW</t>
        </is>
      </c>
      <c r="Q43" s="51" t="n">
        <v>1725000</v>
      </c>
      <c r="R43" s="52">
        <f>IF(OR(Q43="",P43=""),"",IFERROR(IF(VLOOKUP(P43,설정!$K$5:$L$9,2,0)&gt;0,Q43*VLOOKUP(P43,설정!$K$5:$L$9,2,0),""),""))</f>
        <v/>
      </c>
      <c r="S43" s="53">
        <f>IF(OR(R43="",K43=""),"",R43*K43)</f>
        <v/>
      </c>
      <c r="T43" s="38" t="n">
        <v>60</v>
      </c>
      <c r="U43" s="54">
        <f>IF(OR(T43="",AC43="발주완료",AC43="취소"),"",TODAY()+T43)</f>
        <v/>
      </c>
      <c r="V43" s="50">
        <f>IF(OR(U43="",NOT(ISNUMBER($K$2))),"",IF(U43&lt;=$K$2,"가능","초과 "&amp;(U43-$K$2)&amp;"일"))</f>
        <v/>
      </c>
      <c r="W43" s="34" t="n"/>
      <c r="X43" s="34" t="inlineStr">
        <is>
          <t>EXW BUSAN</t>
        </is>
      </c>
      <c r="Y43" s="34" t="n">
        <v>20</v>
      </c>
      <c r="Z43" s="55" t="n"/>
      <c r="AA43" s="54">
        <f>IF(OR(Z43="",Y43=""),"",Z43+Y43)</f>
        <v/>
      </c>
      <c r="AB43" s="36" t="inlineStr">
        <is>
          <t>[옥슨 IOB-ONR-26-1016(ME)] #4 OXYGEN SENSOR "A" *MAN/ TYPE-A / SET판매 (B 포함)</t>
        </is>
      </c>
      <c r="AC43" s="34" t="inlineStr">
        <is>
          <t>검토중</t>
        </is>
      </c>
      <c r="AD43" s="36" t="n"/>
      <c r="AE43" s="50">
        <f>IF(F43="","",B43&amp;"#"&amp;IF(D43="",F43,D43))</f>
        <v/>
      </c>
      <c r="AF43" s="50">
        <f>IF(AE43="","",AE43&amp;"|"&amp;M43)</f>
        <v/>
      </c>
      <c r="AG43" s="50">
        <f>IF(AE43="","",IF(COUNTIF($AE$6:AE43,AE43)=1,1,0))</f>
        <v/>
      </c>
      <c r="AH43" s="50">
        <f>IF(AE43="","",COUNTIF($AE$6:$AE$205,AE43))</f>
        <v/>
      </c>
      <c r="AI43" s="50">
        <f>IF(AE43="","",IF(AND(AG43=1,AH43&gt;1),COUNTIFS($AG$6:AG43,1,$AH$6:AH43,"&gt;1"),""))</f>
        <v/>
      </c>
      <c r="AJ43" s="50">
        <f>IF(AG43=1,IF(COUNTIFS($AE$6:$AE$205,AE43,$N$6:$N$205,"견적접수")&gt;0,1,0),"")</f>
        <v/>
      </c>
      <c r="AK43" s="50">
        <f>IF(OR(R43="",N43&lt;&gt;"견적접수"),"",IF(AND(R43=_xlfn.MINIFS($R$6:$R$205,$AE$6:$AE$205,AE43,$N$6:$N$205,"견적접수"),COUNTIFS($AE$5:AE42,AE43,$R$5:R42,R43,$N$5:N42,"견적접수")=0),1,""))</f>
        <v/>
      </c>
    </row>
    <row r="44">
      <c r="A44" s="50">
        <f>IF(F44="","",ROW()-5)</f>
        <v/>
      </c>
      <c r="B44" s="34" t="inlineStr">
        <is>
          <t>IOB-ONR-26-1016(ME)</t>
        </is>
      </c>
      <c r="C44" s="34" t="inlineStr">
        <is>
          <t>-</t>
        </is>
      </c>
      <c r="D44" s="34" t="n">
        <v>5</v>
      </c>
      <c r="E44" s="34" t="inlineStr">
        <is>
          <t>HANWHA MAN</t>
        </is>
      </c>
      <c r="F44" s="36" t="inlineStr">
        <is>
          <t>OXYGEN SENSOR "B" *MAN/ TYPE-B</t>
        </is>
      </c>
      <c r="G44" s="36" t="n"/>
      <c r="H44" s="36" t="inlineStr">
        <is>
          <t>5672-0260-0001-320</t>
        </is>
      </c>
      <c r="I44" s="36" t="inlineStr">
        <is>
          <t>Main Engine 5G70ME-C10.5-GA</t>
        </is>
      </c>
      <c r="J44" s="36" t="inlineStr">
        <is>
          <t>INCL. ITEM NO.4 (A 세트가에 포함)</t>
        </is>
      </c>
      <c r="K44" s="34" t="n">
        <v>20</v>
      </c>
      <c r="L44" s="34" t="inlineStr">
        <is>
          <t>EA</t>
        </is>
      </c>
      <c r="M44" s="34" t="inlineStr">
        <is>
          <t>OXEN</t>
        </is>
      </c>
      <c r="N44" s="34" t="inlineStr">
        <is>
          <t>견적접수</t>
        </is>
      </c>
      <c r="O44" s="50">
        <f>IF(N(AH44)&gt;1,"중복 "&amp;AH44&amp;"곳"&amp;IF(AK44=1," · 최저가",IF(AND(N44="견적접수",R44&lt;&gt;"")," · 비쌈","")),"")</f>
        <v/>
      </c>
      <c r="P44" s="34" t="inlineStr">
        <is>
          <t>KRW</t>
        </is>
      </c>
      <c r="Q44" s="51" t="n"/>
      <c r="R44" s="52">
        <f>IF(OR(Q44="",P44=""),"",IFERROR(IF(VLOOKUP(P44,설정!$K$5:$L$9,2,0)&gt;0,Q44*VLOOKUP(P44,설정!$K$5:$L$9,2,0),""),""))</f>
        <v/>
      </c>
      <c r="S44" s="53">
        <f>IF(OR(R44="",K44=""),"",R44*K44)</f>
        <v/>
      </c>
      <c r="T44" s="38" t="n">
        <v>60</v>
      </c>
      <c r="U44" s="54">
        <f>IF(OR(T44="",AC44="발주완료",AC44="취소"),"",TODAY()+T44)</f>
        <v/>
      </c>
      <c r="V44" s="50">
        <f>IF(OR(U44="",NOT(ISNUMBER($K$2))),"",IF(U44&lt;=$K$2,"가능","초과 "&amp;(U44-$K$2)&amp;"일"))</f>
        <v/>
      </c>
      <c r="W44" s="34" t="n"/>
      <c r="X44" s="34" t="inlineStr">
        <is>
          <t>EXW BUSAN</t>
        </is>
      </c>
      <c r="Y44" s="34" t="n">
        <v>20</v>
      </c>
      <c r="Z44" s="55" t="n"/>
      <c r="AA44" s="54">
        <f>IF(OR(Z44="",Y44=""),"",Z44+Y44)</f>
        <v/>
      </c>
      <c r="AB44" s="36" t="inlineStr">
        <is>
          <t>[옥슨 IOB-ONR-26-1016(ME)] #5 OXYGEN SENSOR "B" *MAN/ TYPE-B / INCL. ITEM NO.4 (A 세트가에 포함)</t>
        </is>
      </c>
      <c r="AC44" s="34" t="inlineStr">
        <is>
          <t>검토중</t>
        </is>
      </c>
      <c r="AD44" s="36" t="n"/>
      <c r="AE44" s="50">
        <f>IF(F44="","",B44&amp;"#"&amp;IF(D44="",F44,D44))</f>
        <v/>
      </c>
      <c r="AF44" s="50">
        <f>IF(AE44="","",AE44&amp;"|"&amp;M44)</f>
        <v/>
      </c>
      <c r="AG44" s="50">
        <f>IF(AE44="","",IF(COUNTIF($AE$6:AE44,AE44)=1,1,0))</f>
        <v/>
      </c>
      <c r="AH44" s="50">
        <f>IF(AE44="","",COUNTIF($AE$6:$AE$205,AE44))</f>
        <v/>
      </c>
      <c r="AI44" s="50">
        <f>IF(AE44="","",IF(AND(AG44=1,AH44&gt;1),COUNTIFS($AG$6:AG44,1,$AH$6:AH44,"&gt;1"),""))</f>
        <v/>
      </c>
      <c r="AJ44" s="50">
        <f>IF(AG44=1,IF(COUNTIFS($AE$6:$AE$205,AE44,$N$6:$N$205,"견적접수")&gt;0,1,0),"")</f>
        <v/>
      </c>
      <c r="AK44" s="50">
        <f>IF(OR(R44="",N44&lt;&gt;"견적접수"),"",IF(AND(R44=_xlfn.MINIFS($R$6:$R$205,$AE$6:$AE$205,AE44,$N$6:$N$205,"견적접수"),COUNTIFS($AE$5:AE43,AE44,$R$5:R43,R44,$N$5:N43,"견적접수")=0),1,""))</f>
        <v/>
      </c>
    </row>
    <row r="45">
      <c r="A45" s="50">
        <f>IF(F45="","",ROW()-5)</f>
        <v/>
      </c>
      <c r="B45" s="34" t="inlineStr">
        <is>
          <t>IOB-ONR-26-1016(ME)</t>
        </is>
      </c>
      <c r="C45" s="34" t="inlineStr">
        <is>
          <t>-</t>
        </is>
      </c>
      <c r="D45" s="34" t="n">
        <v>6</v>
      </c>
      <c r="E45" s="34" t="inlineStr">
        <is>
          <t>HANWHA MAN</t>
        </is>
      </c>
      <c r="F45" s="36" t="inlineStr">
        <is>
          <t>PRESSURE TRANSMITTER "B" *MAN/ TYPE-B</t>
        </is>
      </c>
      <c r="G45" s="36" t="n"/>
      <c r="H45" s="36" t="inlineStr">
        <is>
          <t>5672-0260-0001-261</t>
        </is>
      </c>
      <c r="I45" s="36" t="inlineStr">
        <is>
          <t>Main Engine 5G70ME-C10.5-GA</t>
        </is>
      </c>
      <c r="J45" s="36" t="n"/>
      <c r="K45" s="34" t="n">
        <v>2</v>
      </c>
      <c r="L45" s="34" t="inlineStr">
        <is>
          <t>EA</t>
        </is>
      </c>
      <c r="M45" s="34" t="inlineStr">
        <is>
          <t>OXEN</t>
        </is>
      </c>
      <c r="N45" s="34" t="inlineStr">
        <is>
          <t>확인필요</t>
        </is>
      </c>
      <c r="O45" s="50">
        <f>IF(N(AH45)&gt;1,"중복 "&amp;AH45&amp;"곳"&amp;IF(AK45=1," · 최저가",IF(AND(N45="견적접수",R45&lt;&gt;"")," · 비쌈","")),"")</f>
        <v/>
      </c>
      <c r="P45" s="34" t="inlineStr">
        <is>
          <t>KRW</t>
        </is>
      </c>
      <c r="Q45" s="51" t="n"/>
      <c r="R45" s="52">
        <f>IF(OR(Q45="",P45=""),"",IFERROR(IF(VLOOKUP(P45,설정!$K$5:$L$9,2,0)&gt;0,Q45*VLOOKUP(P45,설정!$K$5:$L$9,2,0),""),""))</f>
        <v/>
      </c>
      <c r="S45" s="53">
        <f>IF(OR(R45="",K45=""),"",R45*K45)</f>
        <v/>
      </c>
      <c r="T45" s="38" t="n"/>
      <c r="U45" s="54">
        <f>IF(OR(T45="",AC45="발주완료",AC45="취소"),"",TODAY()+T45)</f>
        <v/>
      </c>
      <c r="V45" s="50">
        <f>IF(OR(U45="",NOT(ISNUMBER($K$2))),"",IF(U45&lt;=$K$2,"가능","초과 "&amp;(U45-$K$2)&amp;"일"))</f>
        <v/>
      </c>
      <c r="W45" s="34" t="n"/>
      <c r="X45" s="34" t="inlineStr">
        <is>
          <t>EXW BUSAN</t>
        </is>
      </c>
      <c r="Y45" s="34" t="n">
        <v>20</v>
      </c>
      <c r="Z45" s="55" t="n"/>
      <c r="AA45" s="54">
        <f>IF(OR(Z45="",Y45=""),"",Z45+Y45)</f>
        <v/>
      </c>
      <c r="AB45" s="36" t="inlineStr">
        <is>
          <t>[옥슨 IOB-ONR-26-1016(ME)] #6 PRESSURE TRANSMITTER "B" *MAN/ TYPE-B / 명판사진 필요</t>
        </is>
      </c>
      <c r="AC45" s="34" t="inlineStr">
        <is>
          <t>정보 송부필요</t>
        </is>
      </c>
      <c r="AD45" s="36" t="inlineStr">
        <is>
          <t>명판 사진 옥슨에 송부</t>
        </is>
      </c>
      <c r="AE45" s="50">
        <f>IF(F45="","",B45&amp;"#"&amp;IF(D45="",F45,D45))</f>
        <v/>
      </c>
      <c r="AF45" s="50">
        <f>IF(AE45="","",AE45&amp;"|"&amp;M45)</f>
        <v/>
      </c>
      <c r="AG45" s="50">
        <f>IF(AE45="","",IF(COUNTIF($AE$6:AE45,AE45)=1,1,0))</f>
        <v/>
      </c>
      <c r="AH45" s="50">
        <f>IF(AE45="","",COUNTIF($AE$6:$AE$205,AE45))</f>
        <v/>
      </c>
      <c r="AI45" s="50">
        <f>IF(AE45="","",IF(AND(AG45=1,AH45&gt;1),COUNTIFS($AG$6:AG45,1,$AH$6:AH45,"&gt;1"),""))</f>
        <v/>
      </c>
      <c r="AJ45" s="50">
        <f>IF(AG45=1,IF(COUNTIFS($AE$6:$AE$205,AE45,$N$6:$N$205,"견적접수")&gt;0,1,0),"")</f>
        <v/>
      </c>
      <c r="AK45" s="50">
        <f>IF(OR(R45="",N45&lt;&gt;"견적접수"),"",IF(AND(R45=_xlfn.MINIFS($R$6:$R$205,$AE$6:$AE$205,AE45,$N$6:$N$205,"견적접수"),COUNTIFS($AE$5:AE44,AE45,$R$5:R44,R45,$N$5:N44,"견적접수")=0),1,""))</f>
        <v/>
      </c>
    </row>
    <row r="46">
      <c r="A46" s="50">
        <f>IF(F46="","",ROW()-5)</f>
        <v/>
      </c>
      <c r="B46" s="34" t="inlineStr">
        <is>
          <t>IOB-ONR-26-1016(ME)</t>
        </is>
      </c>
      <c r="C46" s="34" t="inlineStr">
        <is>
          <t>-</t>
        </is>
      </c>
      <c r="D46" s="34" t="n">
        <v>7</v>
      </c>
      <c r="E46" s="34" t="inlineStr">
        <is>
          <t>HANWHA MAN</t>
        </is>
      </c>
      <c r="F46" s="36" t="inlineStr">
        <is>
          <t>PRESSURE TRANSMITTER "A" *MAN/ TYPE-A</t>
        </is>
      </c>
      <c r="G46" s="36" t="n"/>
      <c r="H46" s="36" t="inlineStr">
        <is>
          <t>5672-0260-0001-273</t>
        </is>
      </c>
      <c r="I46" s="36" t="inlineStr">
        <is>
          <t>Main Engine 5G70ME-C10.5-GA</t>
        </is>
      </c>
      <c r="J46" s="36" t="n"/>
      <c r="K46" s="34" t="n">
        <v>2</v>
      </c>
      <c r="L46" s="34" t="inlineStr">
        <is>
          <t>EA</t>
        </is>
      </c>
      <c r="M46" s="34" t="inlineStr">
        <is>
          <t>OXEN</t>
        </is>
      </c>
      <c r="N46" s="34" t="inlineStr">
        <is>
          <t>확인필요</t>
        </is>
      </c>
      <c r="O46" s="50">
        <f>IF(N(AH46)&gt;1,"중복 "&amp;AH46&amp;"곳"&amp;IF(AK46=1," · 최저가",IF(AND(N46="견적접수",R46&lt;&gt;"")," · 비쌈","")),"")</f>
        <v/>
      </c>
      <c r="P46" s="34" t="inlineStr">
        <is>
          <t>KRW</t>
        </is>
      </c>
      <c r="Q46" s="51" t="n"/>
      <c r="R46" s="52">
        <f>IF(OR(Q46="",P46=""),"",IFERROR(IF(VLOOKUP(P46,설정!$K$5:$L$9,2,0)&gt;0,Q46*VLOOKUP(P46,설정!$K$5:$L$9,2,0),""),""))</f>
        <v/>
      </c>
      <c r="S46" s="53">
        <f>IF(OR(R46="",K46=""),"",R46*K46)</f>
        <v/>
      </c>
      <c r="T46" s="38" t="n"/>
      <c r="U46" s="54">
        <f>IF(OR(T46="",AC46="발주완료",AC46="취소"),"",TODAY()+T46)</f>
        <v/>
      </c>
      <c r="V46" s="50">
        <f>IF(OR(U46="",NOT(ISNUMBER($K$2))),"",IF(U46&lt;=$K$2,"가능","초과 "&amp;(U46-$K$2)&amp;"일"))</f>
        <v/>
      </c>
      <c r="W46" s="34" t="n"/>
      <c r="X46" s="34" t="inlineStr">
        <is>
          <t>EXW BUSAN</t>
        </is>
      </c>
      <c r="Y46" s="34" t="n">
        <v>20</v>
      </c>
      <c r="Z46" s="55" t="n"/>
      <c r="AA46" s="54">
        <f>IF(OR(Z46="",Y46=""),"",Z46+Y46)</f>
        <v/>
      </c>
      <c r="AB46" s="36" t="inlineStr">
        <is>
          <t>[옥슨 IOB-ONR-26-1016(ME)] #7 PRESSURE TRANSMITTER "A" *MAN/ TYPE-A / 명판사진 필요</t>
        </is>
      </c>
      <c r="AC46" s="34" t="inlineStr">
        <is>
          <t>정보 송부필요</t>
        </is>
      </c>
      <c r="AD46" s="36" t="inlineStr">
        <is>
          <t>명판 사진 옥슨에 송부</t>
        </is>
      </c>
      <c r="AE46" s="50">
        <f>IF(F46="","",B46&amp;"#"&amp;IF(D46="",F46,D46))</f>
        <v/>
      </c>
      <c r="AF46" s="50">
        <f>IF(AE46="","",AE46&amp;"|"&amp;M46)</f>
        <v/>
      </c>
      <c r="AG46" s="50">
        <f>IF(AE46="","",IF(COUNTIF($AE$6:AE46,AE46)=1,1,0))</f>
        <v/>
      </c>
      <c r="AH46" s="50">
        <f>IF(AE46="","",COUNTIF($AE$6:$AE$205,AE46))</f>
        <v/>
      </c>
      <c r="AI46" s="50">
        <f>IF(AE46="","",IF(AND(AG46=1,AH46&gt;1),COUNTIFS($AG$6:AG46,1,$AH$6:AH46,"&gt;1"),""))</f>
        <v/>
      </c>
      <c r="AJ46" s="50">
        <f>IF(AG46=1,IF(COUNTIFS($AE$6:$AE$205,AE46,$N$6:$N$205,"견적접수")&gt;0,1,0),"")</f>
        <v/>
      </c>
      <c r="AK46" s="50">
        <f>IF(OR(R46="",N46&lt;&gt;"견적접수"),"",IF(AND(R46=_xlfn.MINIFS($R$6:$R$205,$AE$6:$AE$205,AE46,$N$6:$N$205,"견적접수"),COUNTIFS($AE$5:AE45,AE46,$R$5:R45,R46,$N$5:N45,"견적접수")=0),1,""))</f>
        <v/>
      </c>
    </row>
    <row r="47">
      <c r="A47" s="50">
        <f>IF(F47="","",ROW()-5)</f>
        <v/>
      </c>
      <c r="B47" s="34" t="inlineStr">
        <is>
          <t>IOB-ONR-26-1016(ME)</t>
        </is>
      </c>
      <c r="C47" s="34" t="inlineStr">
        <is>
          <t>-</t>
        </is>
      </c>
      <c r="D47" s="34" t="n">
        <v>14</v>
      </c>
      <c r="E47" s="34" t="inlineStr">
        <is>
          <t>HANWHA MAN</t>
        </is>
      </c>
      <c r="F47" s="36" t="inlineStr">
        <is>
          <t>3/2-way solenoid valve *MAN/ 5G70ME-C10.5-GA</t>
        </is>
      </c>
      <c r="G47" s="36" t="n"/>
      <c r="H47" s="36" t="inlineStr">
        <is>
          <t>3472-0200-0017-102</t>
        </is>
      </c>
      <c r="I47" s="36" t="inlineStr">
        <is>
          <t>Main Engine 5G70ME-C10.5-GA</t>
        </is>
      </c>
      <c r="J47" s="36" t="n"/>
      <c r="K47" s="34" t="n">
        <v>2</v>
      </c>
      <c r="L47" s="34" t="inlineStr">
        <is>
          <t>EA</t>
        </is>
      </c>
      <c r="M47" s="34" t="inlineStr">
        <is>
          <t>OXEN</t>
        </is>
      </c>
      <c r="N47" s="34" t="inlineStr">
        <is>
          <t>확인필요</t>
        </is>
      </c>
      <c r="O47" s="50">
        <f>IF(N(AH47)&gt;1,"중복 "&amp;AH47&amp;"곳"&amp;IF(AK47=1," · 최저가",IF(AND(N47="견적접수",R47&lt;&gt;"")," · 비쌈","")),"")</f>
        <v/>
      </c>
      <c r="P47" s="34" t="inlineStr">
        <is>
          <t>KRW</t>
        </is>
      </c>
      <c r="Q47" s="51" t="n"/>
      <c r="R47" s="52">
        <f>IF(OR(Q47="",P47=""),"",IFERROR(IF(VLOOKUP(P47,설정!$K$5:$L$9,2,0)&gt;0,Q47*VLOOKUP(P47,설정!$K$5:$L$9,2,0),""),""))</f>
        <v/>
      </c>
      <c r="S47" s="53">
        <f>IF(OR(R47="",K47=""),"",R47*K47)</f>
        <v/>
      </c>
      <c r="T47" s="38" t="n"/>
      <c r="U47" s="54">
        <f>IF(OR(T47="",AC47="발주완료",AC47="취소"),"",TODAY()+T47)</f>
        <v/>
      </c>
      <c r="V47" s="50">
        <f>IF(OR(U47="",NOT(ISNUMBER($K$2))),"",IF(U47&lt;=$K$2,"가능","초과 "&amp;(U47-$K$2)&amp;"일"))</f>
        <v/>
      </c>
      <c r="W47" s="34" t="n"/>
      <c r="X47" s="34" t="inlineStr">
        <is>
          <t>EXW BUSAN</t>
        </is>
      </c>
      <c r="Y47" s="34" t="n">
        <v>20</v>
      </c>
      <c r="Z47" s="55" t="n"/>
      <c r="AA47" s="54">
        <f>IF(OR(Z47="",Y47=""),"",Z47+Y47)</f>
        <v/>
      </c>
      <c r="AB47" s="36" t="inlineStr">
        <is>
          <t>[옥슨 IOB-ONR-26-1016(ME)] #14 3/2-way solenoid valve *MAN/ 5G70ME-C10.5-GA / 명판사진 필요</t>
        </is>
      </c>
      <c r="AC47" s="34" t="inlineStr">
        <is>
          <t>정보 송부필요</t>
        </is>
      </c>
      <c r="AD47" s="36" t="inlineStr">
        <is>
          <t>명판 사진 옥슨에 송부</t>
        </is>
      </c>
      <c r="AE47" s="50">
        <f>IF(F47="","",B47&amp;"#"&amp;IF(D47="",F47,D47))</f>
        <v/>
      </c>
      <c r="AF47" s="50">
        <f>IF(AE47="","",AE47&amp;"|"&amp;M47)</f>
        <v/>
      </c>
      <c r="AG47" s="50">
        <f>IF(AE47="","",IF(COUNTIF($AE$6:AE47,AE47)=1,1,0))</f>
        <v/>
      </c>
      <c r="AH47" s="50">
        <f>IF(AE47="","",COUNTIF($AE$6:$AE$205,AE47))</f>
        <v/>
      </c>
      <c r="AI47" s="50">
        <f>IF(AE47="","",IF(AND(AG47=1,AH47&gt;1),COUNTIFS($AG$6:AG47,1,$AH$6:AH47,"&gt;1"),""))</f>
        <v/>
      </c>
      <c r="AJ47" s="50">
        <f>IF(AG47=1,IF(COUNTIFS($AE$6:$AE$205,AE47,$N$6:$N$205,"견적접수")&gt;0,1,0),"")</f>
        <v/>
      </c>
      <c r="AK47" s="50">
        <f>IF(OR(R47="",N47&lt;&gt;"견적접수"),"",IF(AND(R47=_xlfn.MINIFS($R$6:$R$205,$AE$6:$AE$205,AE47,$N$6:$N$205,"견적접수"),COUNTIFS($AE$5:AE46,AE47,$R$5:R46,R47,$N$5:N46,"견적접수")=0),1,""))</f>
        <v/>
      </c>
    </row>
    <row r="48">
      <c r="A48" s="50">
        <f>IF(F48="","",ROW()-5)</f>
        <v/>
      </c>
      <c r="B48" s="34" t="inlineStr">
        <is>
          <t>IOB-ONR-26-1016(ME)</t>
        </is>
      </c>
      <c r="C48" s="34" t="inlineStr">
        <is>
          <t>-</t>
        </is>
      </c>
      <c r="D48" s="34" t="n">
        <v>15</v>
      </c>
      <c r="E48" s="34" t="inlineStr">
        <is>
          <t>HANWHA MAN</t>
        </is>
      </c>
      <c r="F48" s="36" t="inlineStr">
        <is>
          <t>Pressure transducer *MAN/ 5G70ME-C10.5-GA (MAKER: KISTLER)</t>
        </is>
      </c>
      <c r="G48" s="36" t="n"/>
      <c r="H48" s="36" t="inlineStr">
        <is>
          <t>2272-1000-0023-28</t>
        </is>
      </c>
      <c r="I48" s="36" t="inlineStr">
        <is>
          <t>Main Engine 5G70ME-C10.5-GA</t>
        </is>
      </c>
      <c r="J48" s="36" t="n"/>
      <c r="K48" s="34" t="n">
        <v>2</v>
      </c>
      <c r="L48" s="34" t="inlineStr">
        <is>
          <t>EA</t>
        </is>
      </c>
      <c r="M48" s="34" t="inlineStr">
        <is>
          <t>OXEN</t>
        </is>
      </c>
      <c r="N48" s="34" t="inlineStr">
        <is>
          <t>견적접수</t>
        </is>
      </c>
      <c r="O48" s="50">
        <f>IF(N(AH48)&gt;1,"중복 "&amp;AH48&amp;"곳"&amp;IF(AK48=1," · 최저가",IF(AND(N48="견적접수",R48&lt;&gt;"")," · 비쌈","")),"")</f>
        <v/>
      </c>
      <c r="P48" s="34" t="inlineStr">
        <is>
          <t>KRW</t>
        </is>
      </c>
      <c r="Q48" s="51" t="n">
        <v>7370000</v>
      </c>
      <c r="R48" s="52">
        <f>IF(OR(Q48="",P48=""),"",IFERROR(IF(VLOOKUP(P48,설정!$K$5:$L$9,2,0)&gt;0,Q48*VLOOKUP(P48,설정!$K$5:$L$9,2,0),""),""))</f>
        <v/>
      </c>
      <c r="S48" s="53">
        <f>IF(OR(R48="",K48=""),"",R48*K48)</f>
        <v/>
      </c>
      <c r="T48" s="38" t="n">
        <v>10</v>
      </c>
      <c r="U48" s="54">
        <f>IF(OR(T48="",AC48="발주완료",AC48="취소"),"",TODAY()+T48)</f>
        <v/>
      </c>
      <c r="V48" s="50">
        <f>IF(OR(U48="",NOT(ISNUMBER($K$2))),"",IF(U48&lt;=$K$2,"가능","초과 "&amp;(U48-$K$2)&amp;"일"))</f>
        <v/>
      </c>
      <c r="W48" s="34" t="n"/>
      <c r="X48" s="34" t="inlineStr">
        <is>
          <t>EXW BUSAN</t>
        </is>
      </c>
      <c r="Y48" s="34" t="n">
        <v>20</v>
      </c>
      <c r="Z48" s="55" t="n"/>
      <c r="AA48" s="54">
        <f>IF(OR(Z48="",Y48=""),"",Z48+Y48)</f>
        <v/>
      </c>
      <c r="AB48" s="36" t="inlineStr">
        <is>
          <t>[옥슨 IOB-ONR-26-1016(ME)] #15 Pressure transducer *MAN/ 5G70ME-C10.5-GA (MAKER: KISTLER)</t>
        </is>
      </c>
      <c r="AC48" s="34" t="inlineStr">
        <is>
          <t>검토중</t>
        </is>
      </c>
      <c r="AD48" s="36" t="n"/>
      <c r="AE48" s="50">
        <f>IF(F48="","",B48&amp;"#"&amp;IF(D48="",F48,D48))</f>
        <v/>
      </c>
      <c r="AF48" s="50">
        <f>IF(AE48="","",AE48&amp;"|"&amp;M48)</f>
        <v/>
      </c>
      <c r="AG48" s="50">
        <f>IF(AE48="","",IF(COUNTIF($AE$6:AE48,AE48)=1,1,0))</f>
        <v/>
      </c>
      <c r="AH48" s="50">
        <f>IF(AE48="","",COUNTIF($AE$6:$AE$205,AE48))</f>
        <v/>
      </c>
      <c r="AI48" s="50">
        <f>IF(AE48="","",IF(AND(AG48=1,AH48&gt;1),COUNTIFS($AG$6:AG48,1,$AH$6:AH48,"&gt;1"),""))</f>
        <v/>
      </c>
      <c r="AJ48" s="50">
        <f>IF(AG48=1,IF(COUNTIFS($AE$6:$AE$205,AE48,$N$6:$N$205,"견적접수")&gt;0,1,0),"")</f>
        <v/>
      </c>
      <c r="AK48" s="50">
        <f>IF(OR(R48="",N48&lt;&gt;"견적접수"),"",IF(AND(R48=_xlfn.MINIFS($R$6:$R$205,$AE$6:$AE$205,AE48,$N$6:$N$205,"견적접수"),COUNTIFS($AE$5:AE47,AE48,$R$5:R47,R48,$N$5:N47,"견적접수")=0),1,""))</f>
        <v/>
      </c>
    </row>
    <row r="49">
      <c r="A49" s="50">
        <f>IF(F49="","",ROW()-5)</f>
        <v/>
      </c>
      <c r="B49" s="34" t="inlineStr">
        <is>
          <t>IOB-ONR-26-1016(ME)</t>
        </is>
      </c>
      <c r="C49" s="34" t="inlineStr">
        <is>
          <t>-</t>
        </is>
      </c>
      <c r="D49" s="34" t="n">
        <v>16</v>
      </c>
      <c r="E49" s="34" t="inlineStr">
        <is>
          <t>HANWHA MAN</t>
        </is>
      </c>
      <c r="F49" s="36" t="inlineStr">
        <is>
          <t>Packing *MAN/ 5G70ME-C10.5-GA</t>
        </is>
      </c>
      <c r="G49" s="36" t="n"/>
      <c r="H49" s="36" t="inlineStr">
        <is>
          <t>2272-1000-0023-16</t>
        </is>
      </c>
      <c r="I49" s="36" t="inlineStr">
        <is>
          <t>Main Engine 5G70ME-C10.5-GA</t>
        </is>
      </c>
      <c r="J49" s="36" t="n"/>
      <c r="K49" s="34" t="n">
        <v>4</v>
      </c>
      <c r="L49" s="34" t="inlineStr">
        <is>
          <t>EA</t>
        </is>
      </c>
      <c r="M49" s="34" t="inlineStr">
        <is>
          <t>OXEN</t>
        </is>
      </c>
      <c r="N49" s="34" t="inlineStr">
        <is>
          <t>견적접수</t>
        </is>
      </c>
      <c r="O49" s="50">
        <f>IF(N(AH49)&gt;1,"중복 "&amp;AH49&amp;"곳"&amp;IF(AK49=1," · 최저가",IF(AND(N49="견적접수",R49&lt;&gt;"")," · 비쌈","")),"")</f>
        <v/>
      </c>
      <c r="P49" s="34" t="inlineStr">
        <is>
          <t>KRW</t>
        </is>
      </c>
      <c r="Q49" s="51" t="n">
        <v>11000</v>
      </c>
      <c r="R49" s="52">
        <f>IF(OR(Q49="",P49=""),"",IFERROR(IF(VLOOKUP(P49,설정!$K$5:$L$9,2,0)&gt;0,Q49*VLOOKUP(P49,설정!$K$5:$L$9,2,0),""),""))</f>
        <v/>
      </c>
      <c r="S49" s="53">
        <f>IF(OR(R49="",K49=""),"",R49*K49)</f>
        <v/>
      </c>
      <c r="T49" s="38" t="n">
        <v>10</v>
      </c>
      <c r="U49" s="54">
        <f>IF(OR(T49="",AC49="발주완료",AC49="취소"),"",TODAY()+T49)</f>
        <v/>
      </c>
      <c r="V49" s="50">
        <f>IF(OR(U49="",NOT(ISNUMBER($K$2))),"",IF(U49&lt;=$K$2,"가능","초과 "&amp;(U49-$K$2)&amp;"일"))</f>
        <v/>
      </c>
      <c r="W49" s="34" t="n"/>
      <c r="X49" s="34" t="inlineStr">
        <is>
          <t>EXW BUSAN</t>
        </is>
      </c>
      <c r="Y49" s="34" t="n">
        <v>20</v>
      </c>
      <c r="Z49" s="55" t="n"/>
      <c r="AA49" s="54">
        <f>IF(OR(Z49="",Y49=""),"",Z49+Y49)</f>
        <v/>
      </c>
      <c r="AB49" s="36" t="inlineStr">
        <is>
          <t>[옥슨 IOB-ONR-26-1016(ME)] #16 Packing *MAN/ 5G70ME-C10.5-GA</t>
        </is>
      </c>
      <c r="AC49" s="34" t="inlineStr">
        <is>
          <t>검토중</t>
        </is>
      </c>
      <c r="AD49" s="36" t="n"/>
      <c r="AE49" s="50">
        <f>IF(F49="","",B49&amp;"#"&amp;IF(D49="",F49,D49))</f>
        <v/>
      </c>
      <c r="AF49" s="50">
        <f>IF(AE49="","",AE49&amp;"|"&amp;M49)</f>
        <v/>
      </c>
      <c r="AG49" s="50">
        <f>IF(AE49="","",IF(COUNTIF($AE$6:AE49,AE49)=1,1,0))</f>
        <v/>
      </c>
      <c r="AH49" s="50">
        <f>IF(AE49="","",COUNTIF($AE$6:$AE$205,AE49))</f>
        <v/>
      </c>
      <c r="AI49" s="50">
        <f>IF(AE49="","",IF(AND(AG49=1,AH49&gt;1),COUNTIFS($AG$6:AG49,1,$AH$6:AH49,"&gt;1"),""))</f>
        <v/>
      </c>
      <c r="AJ49" s="50">
        <f>IF(AG49=1,IF(COUNTIFS($AE$6:$AE$205,AE49,$N$6:$N$205,"견적접수")&gt;0,1,0),"")</f>
        <v/>
      </c>
      <c r="AK49" s="50">
        <f>IF(OR(R49="",N49&lt;&gt;"견적접수"),"",IF(AND(R49=_xlfn.MINIFS($R$6:$R$205,$AE$6:$AE$205,AE49,$N$6:$N$205,"견적접수"),COUNTIFS($AE$5:AE48,AE49,$R$5:R48,R49,$N$5:N48,"견적접수")=0),1,""))</f>
        <v/>
      </c>
    </row>
    <row r="50">
      <c r="A50" s="50">
        <f>IF(F50="","",ROW()-5)</f>
        <v/>
      </c>
      <c r="B50" s="34" t="inlineStr">
        <is>
          <t>IOB-ONR-26-1016(ME)</t>
        </is>
      </c>
      <c r="C50" s="34" t="inlineStr">
        <is>
          <t>-</t>
        </is>
      </c>
      <c r="D50" s="34" t="n">
        <v>17</v>
      </c>
      <c r="E50" s="34" t="inlineStr">
        <is>
          <t>HANWHA MAN</t>
        </is>
      </c>
      <c r="F50" s="36" t="inlineStr">
        <is>
          <t>Indicator valve *MAN/ 5G70ME-C10.5-GA</t>
        </is>
      </c>
      <c r="G50" s="36" t="n"/>
      <c r="H50" s="36" t="inlineStr">
        <is>
          <t>2272-1000-0023-185</t>
        </is>
      </c>
      <c r="I50" s="36" t="inlineStr">
        <is>
          <t>Main Engine 5G70ME-C10.5-GA</t>
        </is>
      </c>
      <c r="J50" s="36" t="n"/>
      <c r="K50" s="34" t="n">
        <v>2</v>
      </c>
      <c r="L50" s="34" t="inlineStr">
        <is>
          <t>EA</t>
        </is>
      </c>
      <c r="M50" s="34" t="inlineStr">
        <is>
          <t>OXEN</t>
        </is>
      </c>
      <c r="N50" s="34" t="inlineStr">
        <is>
          <t>미접수</t>
        </is>
      </c>
      <c r="O50" s="50">
        <f>IF(N(AH50)&gt;1,"중복 "&amp;AH50&amp;"곳"&amp;IF(AK50=1," · 최저가",IF(AND(N50="견적접수",R50&lt;&gt;"")," · 비쌈","")),"")</f>
        <v/>
      </c>
      <c r="P50" s="34" t="inlineStr">
        <is>
          <t>KRW</t>
        </is>
      </c>
      <c r="Q50" s="51" t="n"/>
      <c r="R50" s="52">
        <f>IF(OR(Q50="",P50=""),"",IFERROR(IF(VLOOKUP(P50,설정!$K$5:$L$9,2,0)&gt;0,Q50*VLOOKUP(P50,설정!$K$5:$L$9,2,0),""),""))</f>
        <v/>
      </c>
      <c r="S50" s="53">
        <f>IF(OR(R50="",K50=""),"",R50*K50)</f>
        <v/>
      </c>
      <c r="T50" s="38" t="n"/>
      <c r="U50" s="54">
        <f>IF(OR(T50="",AC50="발주완료",AC50="취소"),"",TODAY()+T50)</f>
        <v/>
      </c>
      <c r="V50" s="50">
        <f>IF(OR(U50="",NOT(ISNUMBER($K$2))),"",IF(U50&lt;=$K$2,"가능","초과 "&amp;(U50-$K$2)&amp;"일"))</f>
        <v/>
      </c>
      <c r="W50" s="34" t="n"/>
      <c r="X50" s="34" t="inlineStr">
        <is>
          <t>EXW BUSAN</t>
        </is>
      </c>
      <c r="Y50" s="34" t="n">
        <v>20</v>
      </c>
      <c r="Z50" s="55" t="n"/>
      <c r="AA50" s="54">
        <f>IF(OR(Z50="",Y50=""),"",Z50+Y50)</f>
        <v/>
      </c>
      <c r="AB50" s="36" t="inlineStr">
        <is>
          <t>[옥슨 IOB-ONR-26-1016(ME)] #17 Indicator valve *MAN/ 5G70ME-C10.5-GA / 견적중</t>
        </is>
      </c>
      <c r="AC50" s="34" t="inlineStr">
        <is>
          <t>검토중</t>
        </is>
      </c>
      <c r="AD50" s="36" t="inlineStr">
        <is>
          <t>옥슨 견적중 – 회신 대기</t>
        </is>
      </c>
      <c r="AE50" s="50">
        <f>IF(F50="","",B50&amp;"#"&amp;IF(D50="",F50,D50))</f>
        <v/>
      </c>
      <c r="AF50" s="50">
        <f>IF(AE50="","",AE50&amp;"|"&amp;M50)</f>
        <v/>
      </c>
      <c r="AG50" s="50">
        <f>IF(AE50="","",IF(COUNTIF($AE$6:AE50,AE50)=1,1,0))</f>
        <v/>
      </c>
      <c r="AH50" s="50">
        <f>IF(AE50="","",COUNTIF($AE$6:$AE$205,AE50))</f>
        <v/>
      </c>
      <c r="AI50" s="50">
        <f>IF(AE50="","",IF(AND(AG50=1,AH50&gt;1),COUNTIFS($AG$6:AG50,1,$AH$6:AH50,"&gt;1"),""))</f>
        <v/>
      </c>
      <c r="AJ50" s="50">
        <f>IF(AG50=1,IF(COUNTIFS($AE$6:$AE$205,AE50,$N$6:$N$205,"견적접수")&gt;0,1,0),"")</f>
        <v/>
      </c>
      <c r="AK50" s="50">
        <f>IF(OR(R50="",N50&lt;&gt;"견적접수"),"",IF(AND(R50=_xlfn.MINIFS($R$6:$R$205,$AE$6:$AE$205,AE50,$N$6:$N$205,"견적접수"),COUNTIFS($AE$5:AE49,AE50,$R$5:R49,R50,$N$5:N49,"견적접수")=0),1,""))</f>
        <v/>
      </c>
    </row>
    <row r="51">
      <c r="A51" s="50">
        <f>IF(F51="","",ROW()-5)</f>
        <v/>
      </c>
      <c r="B51" s="34" t="inlineStr">
        <is>
          <t>BOSUNG-03</t>
        </is>
      </c>
      <c r="C51" s="34" t="inlineStr">
        <is>
          <t>B03</t>
        </is>
      </c>
      <c r="D51" s="34" t="n">
        <v>1</v>
      </c>
      <c r="E51" s="34" t="inlineStr">
        <is>
          <t>JONG HAP</t>
        </is>
      </c>
      <c r="F51" s="36" t="inlineStr">
        <is>
          <t>OH-radical lamp</t>
        </is>
      </c>
      <c r="G51" s="36" t="inlineStr">
        <is>
          <t>AEROB-45N</t>
        </is>
      </c>
      <c r="H51" s="36" t="inlineStr">
        <is>
          <t>1</t>
        </is>
      </c>
      <c r="I51" s="36" t="inlineStr">
        <is>
          <t>SEWAGE TREATMENT PLANT</t>
        </is>
      </c>
      <c r="J51" s="36" t="n"/>
      <c r="K51" s="34" t="n">
        <v>2</v>
      </c>
      <c r="L51" s="34" t="inlineStr">
        <is>
          <t>EA</t>
        </is>
      </c>
      <c r="M51" s="34" t="inlineStr">
        <is>
          <t>BOSUNG</t>
        </is>
      </c>
      <c r="N51" s="34" t="inlineStr">
        <is>
          <t>미접수</t>
        </is>
      </c>
      <c r="O51" s="50">
        <f>IF(N(AH51)&gt;1,"중복 "&amp;AH51&amp;"곳"&amp;IF(AK51=1," · 최저가",IF(AND(N51="견적접수",R51&lt;&gt;"")," · 비쌈","")),"")</f>
        <v/>
      </c>
      <c r="P51" s="34" t="inlineStr">
        <is>
          <t>KRW</t>
        </is>
      </c>
      <c r="Q51" s="51" t="n"/>
      <c r="R51" s="52">
        <f>IF(OR(Q51="",P51=""),"",IFERROR(IF(VLOOKUP(P51,설정!$K$5:$L$9,2,0)&gt;0,Q51*VLOOKUP(P51,설정!$K$5:$L$9,2,0),""),""))</f>
        <v/>
      </c>
      <c r="S51" s="53">
        <f>IF(OR(R51="",K51=""),"",R51*K51)</f>
        <v/>
      </c>
      <c r="T51" s="38" t="n"/>
      <c r="U51" s="54">
        <f>IF(OR(T51="",AC51="발주완료",AC51="취소"),"",TODAY()+T51)</f>
        <v/>
      </c>
      <c r="V51" s="50">
        <f>IF(OR(U51="",NOT(ISNUMBER($K$2))),"",IF(U51&lt;=$K$2,"가능","초과 "&amp;(U51-$K$2)&amp;"일"))</f>
        <v/>
      </c>
      <c r="W51" s="34" t="n"/>
      <c r="X51" s="34" t="n"/>
      <c r="Y51" s="34" t="n"/>
      <c r="Z51" s="55" t="n"/>
      <c r="AA51" s="54">
        <f>IF(OR(Z51="",Y51=""),"",Z51+Y51)</f>
        <v/>
      </c>
      <c r="AB51" s="36" t="inlineStr">
        <is>
          <t>[보성 RFQ 03 발송 2026-10-19] 회신 대기</t>
        </is>
      </c>
      <c r="AC51" s="34" t="inlineStr">
        <is>
          <t>검토중</t>
        </is>
      </c>
      <c r="AD51" s="36" t="inlineStr">
        <is>
          <t>보성 견적 회신 대기</t>
        </is>
      </c>
      <c r="AE51" s="50">
        <f>IF(F51="","",B51&amp;"#"&amp;IF(D51="",F51,D51))</f>
        <v/>
      </c>
      <c r="AF51" s="50">
        <f>IF(AE51="","",AE51&amp;"|"&amp;M51)</f>
        <v/>
      </c>
      <c r="AG51" s="50">
        <f>IF(AE51="","",IF(COUNTIF($AE$6:AE51,AE51)=1,1,0))</f>
        <v/>
      </c>
      <c r="AH51" s="50">
        <f>IF(AE51="","",COUNTIF($AE$6:$AE$205,AE51))</f>
        <v/>
      </c>
      <c r="AI51" s="50">
        <f>IF(AE51="","",IF(AND(AG51=1,AH51&gt;1),COUNTIFS($AG$6:AG51,1,$AH$6:AH51,"&gt;1"),""))</f>
        <v/>
      </c>
      <c r="AJ51" s="50">
        <f>IF(AG51=1,IF(COUNTIFS($AE$6:$AE$205,AE51,$N$6:$N$205,"견적접수")&gt;0,1,0),"")</f>
        <v/>
      </c>
      <c r="AK51" s="50">
        <f>IF(OR(R51="",N51&lt;&gt;"견적접수"),"",IF(AND(R51=_xlfn.MINIFS($R$6:$R$205,$AE$6:$AE$205,AE51,$N$6:$N$205,"견적접수"),COUNTIFS($AE$5:AE50,AE51,$R$5:R50,R51,$N$5:N50,"견적접수")=0),1,""))</f>
        <v/>
      </c>
    </row>
    <row r="52">
      <c r="A52" s="50">
        <f>IF(F52="","",ROW()-5)</f>
        <v/>
      </c>
      <c r="B52" s="34" t="inlineStr">
        <is>
          <t>BOSUNG-03</t>
        </is>
      </c>
      <c r="C52" s="34" t="inlineStr">
        <is>
          <t>B03</t>
        </is>
      </c>
      <c r="D52" s="34" t="n">
        <v>2</v>
      </c>
      <c r="E52" s="34" t="inlineStr">
        <is>
          <t>VacDrain</t>
        </is>
      </c>
      <c r="F52" s="36" t="inlineStr">
        <is>
          <t>FLAP VALVE BASE</t>
        </is>
      </c>
      <c r="G52" s="36" t="inlineStr">
        <is>
          <t>VacDrain AEROB-45N(A) / 3002000 15VMP</t>
        </is>
      </c>
      <c r="H52" s="36" t="inlineStr">
        <is>
          <t>2220153001</t>
        </is>
      </c>
      <c r="I52" s="36" t="inlineStr">
        <is>
          <t>STP VACUUM PUMP</t>
        </is>
      </c>
      <c r="J52" s="36" t="n"/>
      <c r="K52" s="34" t="n">
        <v>1</v>
      </c>
      <c r="L52" s="34" t="inlineStr">
        <is>
          <t>PCS</t>
        </is>
      </c>
      <c r="M52" s="34" t="inlineStr">
        <is>
          <t>BOSUNG</t>
        </is>
      </c>
      <c r="N52" s="34" t="inlineStr">
        <is>
          <t>미접수</t>
        </is>
      </c>
      <c r="O52" s="50">
        <f>IF(N(AH52)&gt;1,"중복 "&amp;AH52&amp;"곳"&amp;IF(AK52=1," · 최저가",IF(AND(N52="견적접수",R52&lt;&gt;"")," · 비쌈","")),"")</f>
        <v/>
      </c>
      <c r="P52" s="34" t="inlineStr">
        <is>
          <t>KRW</t>
        </is>
      </c>
      <c r="Q52" s="51" t="n"/>
      <c r="R52" s="52">
        <f>IF(OR(Q52="",P52=""),"",IFERROR(IF(VLOOKUP(P52,설정!$K$5:$L$9,2,0)&gt;0,Q52*VLOOKUP(P52,설정!$K$5:$L$9,2,0),""),""))</f>
        <v/>
      </c>
      <c r="S52" s="53">
        <f>IF(OR(R52="",K52=""),"",R52*K52)</f>
        <v/>
      </c>
      <c r="T52" s="38" t="n"/>
      <c r="U52" s="54">
        <f>IF(OR(T52="",AC52="발주완료",AC52="취소"),"",TODAY()+T52)</f>
        <v/>
      </c>
      <c r="V52" s="50">
        <f>IF(OR(U52="",NOT(ISNUMBER($K$2))),"",IF(U52&lt;=$K$2,"가능","초과 "&amp;(U52-$K$2)&amp;"일"))</f>
        <v/>
      </c>
      <c r="W52" s="34" t="n"/>
      <c r="X52" s="34" t="n"/>
      <c r="Y52" s="34" t="n"/>
      <c r="Z52" s="55" t="n"/>
      <c r="AA52" s="54">
        <f>IF(OR(Z52="",Y52=""),"",Z52+Y52)</f>
        <v/>
      </c>
      <c r="AB52" s="36" t="inlineStr">
        <is>
          <t>[보성 RFQ 03 발송 2026-10-19] 회신 대기</t>
        </is>
      </c>
      <c r="AC52" s="34" t="inlineStr">
        <is>
          <t>검토중</t>
        </is>
      </c>
      <c r="AD52" s="36" t="inlineStr">
        <is>
          <t>보성 견적 회신 대기</t>
        </is>
      </c>
      <c r="AE52" s="50">
        <f>IF(F52="","",B52&amp;"#"&amp;IF(D52="",F52,D52))</f>
        <v/>
      </c>
      <c r="AF52" s="50">
        <f>IF(AE52="","",AE52&amp;"|"&amp;M52)</f>
        <v/>
      </c>
      <c r="AG52" s="50">
        <f>IF(AE52="","",IF(COUNTIF($AE$6:AE52,AE52)=1,1,0))</f>
        <v/>
      </c>
      <c r="AH52" s="50">
        <f>IF(AE52="","",COUNTIF($AE$6:$AE$205,AE52))</f>
        <v/>
      </c>
      <c r="AI52" s="50">
        <f>IF(AE52="","",IF(AND(AG52=1,AH52&gt;1),COUNTIFS($AG$6:AG52,1,$AH$6:AH52,"&gt;1"),""))</f>
        <v/>
      </c>
      <c r="AJ52" s="50">
        <f>IF(AG52=1,IF(COUNTIFS($AE$6:$AE$205,AE52,$N$6:$N$205,"견적접수")&gt;0,1,0),"")</f>
        <v/>
      </c>
      <c r="AK52" s="50">
        <f>IF(OR(R52="",N52&lt;&gt;"견적접수"),"",IF(AND(R52=_xlfn.MINIFS($R$6:$R$205,$AE$6:$AE$205,AE52,$N$6:$N$205,"견적접수"),COUNTIFS($AE$5:AE51,AE52,$R$5:R51,R52,$N$5:N51,"견적접수")=0),1,""))</f>
        <v/>
      </c>
    </row>
    <row r="53">
      <c r="A53" s="50">
        <f>IF(F53="","",ROW()-5)</f>
        <v/>
      </c>
      <c r="B53" s="34" t="inlineStr">
        <is>
          <t>BOSUNG-03</t>
        </is>
      </c>
      <c r="C53" s="34" t="inlineStr">
        <is>
          <t>B03</t>
        </is>
      </c>
      <c r="D53" s="34" t="n">
        <v>3</v>
      </c>
      <c r="E53" s="34" t="inlineStr">
        <is>
          <t>VacDrain</t>
        </is>
      </c>
      <c r="F53" s="36" t="inlineStr">
        <is>
          <t>NUT M6</t>
        </is>
      </c>
      <c r="G53" s="36" t="inlineStr">
        <is>
          <t>VacDrain AEROB-45N(A) / 3002000 15VMP</t>
        </is>
      </c>
      <c r="H53" s="36" t="inlineStr">
        <is>
          <t>2220153100</t>
        </is>
      </c>
      <c r="I53" s="36" t="inlineStr">
        <is>
          <t>STP VACUUM PUMP</t>
        </is>
      </c>
      <c r="J53" s="36" t="n"/>
      <c r="K53" s="34" t="n">
        <v>4</v>
      </c>
      <c r="L53" s="34" t="inlineStr">
        <is>
          <t>PCS</t>
        </is>
      </c>
      <c r="M53" s="34" t="inlineStr">
        <is>
          <t>BOSUNG</t>
        </is>
      </c>
      <c r="N53" s="34" t="inlineStr">
        <is>
          <t>미접수</t>
        </is>
      </c>
      <c r="O53" s="50">
        <f>IF(N(AH53)&gt;1,"중복 "&amp;AH53&amp;"곳"&amp;IF(AK53=1," · 최저가",IF(AND(N53="견적접수",R53&lt;&gt;"")," · 비쌈","")),"")</f>
        <v/>
      </c>
      <c r="P53" s="34" t="inlineStr">
        <is>
          <t>KRW</t>
        </is>
      </c>
      <c r="Q53" s="51" t="n"/>
      <c r="R53" s="52">
        <f>IF(OR(Q53="",P53=""),"",IFERROR(IF(VLOOKUP(P53,설정!$K$5:$L$9,2,0)&gt;0,Q53*VLOOKUP(P53,설정!$K$5:$L$9,2,0),""),""))</f>
        <v/>
      </c>
      <c r="S53" s="53">
        <f>IF(OR(R53="",K53=""),"",R53*K53)</f>
        <v/>
      </c>
      <c r="T53" s="38" t="n"/>
      <c r="U53" s="54">
        <f>IF(OR(T53="",AC53="발주완료",AC53="취소"),"",TODAY()+T53)</f>
        <v/>
      </c>
      <c r="V53" s="50">
        <f>IF(OR(U53="",NOT(ISNUMBER($K$2))),"",IF(U53&lt;=$K$2,"가능","초과 "&amp;(U53-$K$2)&amp;"일"))</f>
        <v/>
      </c>
      <c r="W53" s="34" t="n"/>
      <c r="X53" s="34" t="n"/>
      <c r="Y53" s="34" t="n"/>
      <c r="Z53" s="55" t="n"/>
      <c r="AA53" s="54">
        <f>IF(OR(Z53="",Y53=""),"",Z53+Y53)</f>
        <v/>
      </c>
      <c r="AB53" s="36" t="inlineStr">
        <is>
          <t>[보성 RFQ 03 발송 2026-10-19] 회신 대기</t>
        </is>
      </c>
      <c r="AC53" s="34" t="inlineStr">
        <is>
          <t>검토중</t>
        </is>
      </c>
      <c r="AD53" s="36" t="inlineStr">
        <is>
          <t>보성 견적 회신 대기</t>
        </is>
      </c>
      <c r="AE53" s="50">
        <f>IF(F53="","",B53&amp;"#"&amp;IF(D53="",F53,D53))</f>
        <v/>
      </c>
      <c r="AF53" s="50">
        <f>IF(AE53="","",AE53&amp;"|"&amp;M53)</f>
        <v/>
      </c>
      <c r="AG53" s="50">
        <f>IF(AE53="","",IF(COUNTIF($AE$6:AE53,AE53)=1,1,0))</f>
        <v/>
      </c>
      <c r="AH53" s="50">
        <f>IF(AE53="","",COUNTIF($AE$6:$AE$205,AE53))</f>
        <v/>
      </c>
      <c r="AI53" s="50">
        <f>IF(AE53="","",IF(AND(AG53=1,AH53&gt;1),COUNTIFS($AG$6:AG53,1,$AH$6:AH53,"&gt;1"),""))</f>
        <v/>
      </c>
      <c r="AJ53" s="50">
        <f>IF(AG53=1,IF(COUNTIFS($AE$6:$AE$205,AE53,$N$6:$N$205,"견적접수")&gt;0,1,0),"")</f>
        <v/>
      </c>
      <c r="AK53" s="50">
        <f>IF(OR(R53="",N53&lt;&gt;"견적접수"),"",IF(AND(R53=_xlfn.MINIFS($R$6:$R$205,$AE$6:$AE$205,AE53,$N$6:$N$205,"견적접수"),COUNTIFS($AE$5:AE52,AE53,$R$5:R52,R53,$N$5:N52,"견적접수")=0),1,""))</f>
        <v/>
      </c>
    </row>
    <row r="54">
      <c r="A54" s="50">
        <f>IF(F54="","",ROW()-5)</f>
        <v/>
      </c>
      <c r="B54" s="34" t="inlineStr">
        <is>
          <t>BOSUNG-03</t>
        </is>
      </c>
      <c r="C54" s="34" t="inlineStr">
        <is>
          <t>B03</t>
        </is>
      </c>
      <c r="D54" s="34" t="n">
        <v>4</v>
      </c>
      <c r="E54" s="34" t="inlineStr">
        <is>
          <t>VacDrain</t>
        </is>
      </c>
      <c r="F54" s="36" t="inlineStr">
        <is>
          <t>O-RING</t>
        </is>
      </c>
      <c r="G54" s="36" t="inlineStr">
        <is>
          <t>VacDrain AEROB-45N(A) / 3002000 15VMP</t>
        </is>
      </c>
      <c r="H54" s="36" t="inlineStr">
        <is>
          <t>2220153091</t>
        </is>
      </c>
      <c r="I54" s="36" t="inlineStr">
        <is>
          <t>STP VACUUM PUMP</t>
        </is>
      </c>
      <c r="J54" s="36" t="n"/>
      <c r="K54" s="34" t="n">
        <v>4</v>
      </c>
      <c r="L54" s="34" t="inlineStr">
        <is>
          <t>PCS</t>
        </is>
      </c>
      <c r="M54" s="34" t="inlineStr">
        <is>
          <t>BOSUNG</t>
        </is>
      </c>
      <c r="N54" s="34" t="inlineStr">
        <is>
          <t>미접수</t>
        </is>
      </c>
      <c r="O54" s="50">
        <f>IF(N(AH54)&gt;1,"중복 "&amp;AH54&amp;"곳"&amp;IF(AK54=1," · 최저가",IF(AND(N54="견적접수",R54&lt;&gt;"")," · 비쌈","")),"")</f>
        <v/>
      </c>
      <c r="P54" s="34" t="inlineStr">
        <is>
          <t>KRW</t>
        </is>
      </c>
      <c r="Q54" s="51" t="n"/>
      <c r="R54" s="52">
        <f>IF(OR(Q54="",P54=""),"",IFERROR(IF(VLOOKUP(P54,설정!$K$5:$L$9,2,0)&gt;0,Q54*VLOOKUP(P54,설정!$K$5:$L$9,2,0),""),""))</f>
        <v/>
      </c>
      <c r="S54" s="53">
        <f>IF(OR(R54="",K54=""),"",R54*K54)</f>
        <v/>
      </c>
      <c r="T54" s="38" t="n"/>
      <c r="U54" s="54">
        <f>IF(OR(T54="",AC54="발주완료",AC54="취소"),"",TODAY()+T54)</f>
        <v/>
      </c>
      <c r="V54" s="50">
        <f>IF(OR(U54="",NOT(ISNUMBER($K$2))),"",IF(U54&lt;=$K$2,"가능","초과 "&amp;(U54-$K$2)&amp;"일"))</f>
        <v/>
      </c>
      <c r="W54" s="34" t="n"/>
      <c r="X54" s="34" t="n"/>
      <c r="Y54" s="34" t="n"/>
      <c r="Z54" s="55" t="n"/>
      <c r="AA54" s="54">
        <f>IF(OR(Z54="",Y54=""),"",Z54+Y54)</f>
        <v/>
      </c>
      <c r="AB54" s="36" t="inlineStr">
        <is>
          <t>[보성 RFQ 03 발송 2026-10-19] 회신 대기</t>
        </is>
      </c>
      <c r="AC54" s="34" t="inlineStr">
        <is>
          <t>검토중</t>
        </is>
      </c>
      <c r="AD54" s="36" t="inlineStr">
        <is>
          <t>보성 견적 회신 대기</t>
        </is>
      </c>
      <c r="AE54" s="50">
        <f>IF(F54="","",B54&amp;"#"&amp;IF(D54="",F54,D54))</f>
        <v/>
      </c>
      <c r="AF54" s="50">
        <f>IF(AE54="","",AE54&amp;"|"&amp;M54)</f>
        <v/>
      </c>
      <c r="AG54" s="50">
        <f>IF(AE54="","",IF(COUNTIF($AE$6:AE54,AE54)=1,1,0))</f>
        <v/>
      </c>
      <c r="AH54" s="50">
        <f>IF(AE54="","",COUNTIF($AE$6:$AE$205,AE54))</f>
        <v/>
      </c>
      <c r="AI54" s="50">
        <f>IF(AE54="","",IF(AND(AG54=1,AH54&gt;1),COUNTIFS($AG$6:AG54,1,$AH$6:AH54,"&gt;1"),""))</f>
        <v/>
      </c>
      <c r="AJ54" s="50">
        <f>IF(AG54=1,IF(COUNTIFS($AE$6:$AE$205,AE54,$N$6:$N$205,"견적접수")&gt;0,1,0),"")</f>
        <v/>
      </c>
      <c r="AK54" s="50">
        <f>IF(OR(R54="",N54&lt;&gt;"견적접수"),"",IF(AND(R54=_xlfn.MINIFS($R$6:$R$205,$AE$6:$AE$205,AE54,$N$6:$N$205,"견적접수"),COUNTIFS($AE$5:AE53,AE54,$R$5:R53,R54,$N$5:N53,"견적접수")=0),1,""))</f>
        <v/>
      </c>
    </row>
    <row r="55">
      <c r="A55" s="50">
        <f>IF(F55="","",ROW()-5)</f>
        <v/>
      </c>
      <c r="B55" s="34" t="inlineStr">
        <is>
          <t>BOSUNG-03</t>
        </is>
      </c>
      <c r="C55" s="34" t="inlineStr">
        <is>
          <t>B03</t>
        </is>
      </c>
      <c r="D55" s="34" t="n">
        <v>5</v>
      </c>
      <c r="E55" s="34" t="inlineStr">
        <is>
          <t>VacDrain</t>
        </is>
      </c>
      <c r="F55" s="36" t="inlineStr">
        <is>
          <t>O-RING</t>
        </is>
      </c>
      <c r="G55" s="36" t="inlineStr">
        <is>
          <t>VacDrain AEROB-45N(A) / 3002000 15VMP</t>
        </is>
      </c>
      <c r="H55" s="36" t="inlineStr">
        <is>
          <t>2220153088</t>
        </is>
      </c>
      <c r="I55" s="36" t="inlineStr">
        <is>
          <t>STP VACUUM PUMP</t>
        </is>
      </c>
      <c r="J55" s="36" t="n"/>
      <c r="K55" s="34" t="n">
        <v>4</v>
      </c>
      <c r="L55" s="34" t="inlineStr">
        <is>
          <t>PCS</t>
        </is>
      </c>
      <c r="M55" s="34" t="inlineStr">
        <is>
          <t>BOSUNG</t>
        </is>
      </c>
      <c r="N55" s="34" t="inlineStr">
        <is>
          <t>미접수</t>
        </is>
      </c>
      <c r="O55" s="50">
        <f>IF(N(AH55)&gt;1,"중복 "&amp;AH55&amp;"곳"&amp;IF(AK55=1," · 최저가",IF(AND(N55="견적접수",R55&lt;&gt;"")," · 비쌈","")),"")</f>
        <v/>
      </c>
      <c r="P55" s="34" t="inlineStr">
        <is>
          <t>KRW</t>
        </is>
      </c>
      <c r="Q55" s="51" t="n"/>
      <c r="R55" s="52">
        <f>IF(OR(Q55="",P55=""),"",IFERROR(IF(VLOOKUP(P55,설정!$K$5:$L$9,2,0)&gt;0,Q55*VLOOKUP(P55,설정!$K$5:$L$9,2,0),""),""))</f>
        <v/>
      </c>
      <c r="S55" s="53">
        <f>IF(OR(R55="",K55=""),"",R55*K55)</f>
        <v/>
      </c>
      <c r="T55" s="38" t="n"/>
      <c r="U55" s="54">
        <f>IF(OR(T55="",AC55="발주완료",AC55="취소"),"",TODAY()+T55)</f>
        <v/>
      </c>
      <c r="V55" s="50">
        <f>IF(OR(U55="",NOT(ISNUMBER($K$2))),"",IF(U55&lt;=$K$2,"가능","초과 "&amp;(U55-$K$2)&amp;"일"))</f>
        <v/>
      </c>
      <c r="W55" s="34" t="n"/>
      <c r="X55" s="34" t="n"/>
      <c r="Y55" s="34" t="n"/>
      <c r="Z55" s="55" t="n"/>
      <c r="AA55" s="54">
        <f>IF(OR(Z55="",Y55=""),"",Z55+Y55)</f>
        <v/>
      </c>
      <c r="AB55" s="36" t="inlineStr">
        <is>
          <t>[보성 RFQ 03 발송 2026-10-19] 회신 대기</t>
        </is>
      </c>
      <c r="AC55" s="34" t="inlineStr">
        <is>
          <t>검토중</t>
        </is>
      </c>
      <c r="AD55" s="36" t="inlineStr">
        <is>
          <t>보성 견적 회신 대기</t>
        </is>
      </c>
      <c r="AE55" s="50">
        <f>IF(F55="","",B55&amp;"#"&amp;IF(D55="",F55,D55))</f>
        <v/>
      </c>
      <c r="AF55" s="50">
        <f>IF(AE55="","",AE55&amp;"|"&amp;M55)</f>
        <v/>
      </c>
      <c r="AG55" s="50">
        <f>IF(AE55="","",IF(COUNTIF($AE$6:AE55,AE55)=1,1,0))</f>
        <v/>
      </c>
      <c r="AH55" s="50">
        <f>IF(AE55="","",COUNTIF($AE$6:$AE$205,AE55))</f>
        <v/>
      </c>
      <c r="AI55" s="50">
        <f>IF(AE55="","",IF(AND(AG55=1,AH55&gt;1),COUNTIFS($AG$6:AG55,1,$AH$6:AH55,"&gt;1"),""))</f>
        <v/>
      </c>
      <c r="AJ55" s="50">
        <f>IF(AG55=1,IF(COUNTIFS($AE$6:$AE$205,AE55,$N$6:$N$205,"견적접수")&gt;0,1,0),"")</f>
        <v/>
      </c>
      <c r="AK55" s="50">
        <f>IF(OR(R55="",N55&lt;&gt;"견적접수"),"",IF(AND(R55=_xlfn.MINIFS($R$6:$R$205,$AE$6:$AE$205,AE55,$N$6:$N$205,"견적접수"),COUNTIFS($AE$5:AE54,AE55,$R$5:R54,R55,$N$5:N54,"견적접수")=0),1,""))</f>
        <v/>
      </c>
    </row>
    <row r="56">
      <c r="A56" s="50">
        <f>IF(F56="","",ROW()-5)</f>
        <v/>
      </c>
      <c r="B56" s="34" t="inlineStr">
        <is>
          <t>BOSUNG-03</t>
        </is>
      </c>
      <c r="C56" s="34" t="inlineStr">
        <is>
          <t>B03</t>
        </is>
      </c>
      <c r="D56" s="34" t="n">
        <v>6</v>
      </c>
      <c r="E56" s="34" t="inlineStr">
        <is>
          <t>VacDrain</t>
        </is>
      </c>
      <c r="F56" s="36" t="inlineStr">
        <is>
          <t>O-RING</t>
        </is>
      </c>
      <c r="G56" s="36" t="inlineStr">
        <is>
          <t>VacDrain AEROB-45N(A) / 3002000 15VMP</t>
        </is>
      </c>
      <c r="H56" s="36" t="inlineStr">
        <is>
          <t>2220153087</t>
        </is>
      </c>
      <c r="I56" s="36" t="inlineStr">
        <is>
          <t>STP VACUUM PUMP</t>
        </is>
      </c>
      <c r="J56" s="36" t="n"/>
      <c r="K56" s="34" t="n">
        <v>4</v>
      </c>
      <c r="L56" s="34" t="inlineStr">
        <is>
          <t>PCS</t>
        </is>
      </c>
      <c r="M56" s="34" t="inlineStr">
        <is>
          <t>BOSUNG</t>
        </is>
      </c>
      <c r="N56" s="34" t="inlineStr">
        <is>
          <t>미접수</t>
        </is>
      </c>
      <c r="O56" s="50">
        <f>IF(N(AH56)&gt;1,"중복 "&amp;AH56&amp;"곳"&amp;IF(AK56=1," · 최저가",IF(AND(N56="견적접수",R56&lt;&gt;"")," · 비쌈","")),"")</f>
        <v/>
      </c>
      <c r="P56" s="34" t="inlineStr">
        <is>
          <t>KRW</t>
        </is>
      </c>
      <c r="Q56" s="51" t="n"/>
      <c r="R56" s="52">
        <f>IF(OR(Q56="",P56=""),"",IFERROR(IF(VLOOKUP(P56,설정!$K$5:$L$9,2,0)&gt;0,Q56*VLOOKUP(P56,설정!$K$5:$L$9,2,0),""),""))</f>
        <v/>
      </c>
      <c r="S56" s="53">
        <f>IF(OR(R56="",K56=""),"",R56*K56)</f>
        <v/>
      </c>
      <c r="T56" s="38" t="n"/>
      <c r="U56" s="54">
        <f>IF(OR(T56="",AC56="발주완료",AC56="취소"),"",TODAY()+T56)</f>
        <v/>
      </c>
      <c r="V56" s="50">
        <f>IF(OR(U56="",NOT(ISNUMBER($K$2))),"",IF(U56&lt;=$K$2,"가능","초과 "&amp;(U56-$K$2)&amp;"일"))</f>
        <v/>
      </c>
      <c r="W56" s="34" t="n"/>
      <c r="X56" s="34" t="n"/>
      <c r="Y56" s="34" t="n"/>
      <c r="Z56" s="55" t="n"/>
      <c r="AA56" s="54">
        <f>IF(OR(Z56="",Y56=""),"",Z56+Y56)</f>
        <v/>
      </c>
      <c r="AB56" s="36" t="inlineStr">
        <is>
          <t>[보성 RFQ 03 발송 2026-10-19] 회신 대기</t>
        </is>
      </c>
      <c r="AC56" s="34" t="inlineStr">
        <is>
          <t>검토중</t>
        </is>
      </c>
      <c r="AD56" s="36" t="inlineStr">
        <is>
          <t>보성 견적 회신 대기</t>
        </is>
      </c>
      <c r="AE56" s="50">
        <f>IF(F56="","",B56&amp;"#"&amp;IF(D56="",F56,D56))</f>
        <v/>
      </c>
      <c r="AF56" s="50">
        <f>IF(AE56="","",AE56&amp;"|"&amp;M56)</f>
        <v/>
      </c>
      <c r="AG56" s="50">
        <f>IF(AE56="","",IF(COUNTIF($AE$6:AE56,AE56)=1,1,0))</f>
        <v/>
      </c>
      <c r="AH56" s="50">
        <f>IF(AE56="","",COUNTIF($AE$6:$AE$205,AE56))</f>
        <v/>
      </c>
      <c r="AI56" s="50">
        <f>IF(AE56="","",IF(AND(AG56=1,AH56&gt;1),COUNTIFS($AG$6:AG56,1,$AH$6:AH56,"&gt;1"),""))</f>
        <v/>
      </c>
      <c r="AJ56" s="50">
        <f>IF(AG56=1,IF(COUNTIFS($AE$6:$AE$205,AE56,$N$6:$N$205,"견적접수")&gt;0,1,0),"")</f>
        <v/>
      </c>
      <c r="AK56" s="50">
        <f>IF(OR(R56="",N56&lt;&gt;"견적접수"),"",IF(AND(R56=_xlfn.MINIFS($R$6:$R$205,$AE$6:$AE$205,AE56,$N$6:$N$205,"견적접수"),COUNTIFS($AE$5:AE55,AE56,$R$5:R55,R56,$N$5:N55,"견적접수")=0),1,""))</f>
        <v/>
      </c>
    </row>
    <row r="57">
      <c r="A57" s="50">
        <f>IF(F57="","",ROW()-5)</f>
        <v/>
      </c>
      <c r="B57" s="34" t="inlineStr">
        <is>
          <t>BOSUNG-03</t>
        </is>
      </c>
      <c r="C57" s="34" t="inlineStr">
        <is>
          <t>B03</t>
        </is>
      </c>
      <c r="D57" s="34" t="n">
        <v>7</v>
      </c>
      <c r="E57" s="34" t="inlineStr">
        <is>
          <t>VacDrain</t>
        </is>
      </c>
      <c r="F57" s="36" t="inlineStr">
        <is>
          <t>O-RING</t>
        </is>
      </c>
      <c r="G57" s="36" t="inlineStr">
        <is>
          <t>VacDrain AEROB-45N(A) / 3002000 15VMP</t>
        </is>
      </c>
      <c r="H57" s="36" t="inlineStr">
        <is>
          <t>2220153090</t>
        </is>
      </c>
      <c r="I57" s="36" t="inlineStr">
        <is>
          <t>STP VACUUM PUMP</t>
        </is>
      </c>
      <c r="J57" s="36" t="n"/>
      <c r="K57" s="34" t="n">
        <v>4</v>
      </c>
      <c r="L57" s="34" t="inlineStr">
        <is>
          <t>PCS</t>
        </is>
      </c>
      <c r="M57" s="34" t="inlineStr">
        <is>
          <t>BOSUNG</t>
        </is>
      </c>
      <c r="N57" s="34" t="inlineStr">
        <is>
          <t>미접수</t>
        </is>
      </c>
      <c r="O57" s="50">
        <f>IF(N(AH57)&gt;1,"중복 "&amp;AH57&amp;"곳"&amp;IF(AK57=1," · 최저가",IF(AND(N57="견적접수",R57&lt;&gt;"")," · 비쌈","")),"")</f>
        <v/>
      </c>
      <c r="P57" s="34" t="inlineStr">
        <is>
          <t>KRW</t>
        </is>
      </c>
      <c r="Q57" s="51" t="n"/>
      <c r="R57" s="52">
        <f>IF(OR(Q57="",P57=""),"",IFERROR(IF(VLOOKUP(P57,설정!$K$5:$L$9,2,0)&gt;0,Q57*VLOOKUP(P57,설정!$K$5:$L$9,2,0),""),""))</f>
        <v/>
      </c>
      <c r="S57" s="53">
        <f>IF(OR(R57="",K57=""),"",R57*K57)</f>
        <v/>
      </c>
      <c r="T57" s="38" t="n"/>
      <c r="U57" s="54">
        <f>IF(OR(T57="",AC57="발주완료",AC57="취소"),"",TODAY()+T57)</f>
        <v/>
      </c>
      <c r="V57" s="50">
        <f>IF(OR(U57="",NOT(ISNUMBER($K$2))),"",IF(U57&lt;=$K$2,"가능","초과 "&amp;(U57-$K$2)&amp;"일"))</f>
        <v/>
      </c>
      <c r="W57" s="34" t="n"/>
      <c r="X57" s="34" t="n"/>
      <c r="Y57" s="34" t="n"/>
      <c r="Z57" s="55" t="n"/>
      <c r="AA57" s="54">
        <f>IF(OR(Z57="",Y57=""),"",Z57+Y57)</f>
        <v/>
      </c>
      <c r="AB57" s="36" t="inlineStr">
        <is>
          <t>[보성 RFQ 03 발송 2026-10-19] 회신 대기</t>
        </is>
      </c>
      <c r="AC57" s="34" t="inlineStr">
        <is>
          <t>검토중</t>
        </is>
      </c>
      <c r="AD57" s="36" t="inlineStr">
        <is>
          <t>보성 견적 회신 대기</t>
        </is>
      </c>
      <c r="AE57" s="50">
        <f>IF(F57="","",B57&amp;"#"&amp;IF(D57="",F57,D57))</f>
        <v/>
      </c>
      <c r="AF57" s="50">
        <f>IF(AE57="","",AE57&amp;"|"&amp;M57)</f>
        <v/>
      </c>
      <c r="AG57" s="50">
        <f>IF(AE57="","",IF(COUNTIF($AE$6:AE57,AE57)=1,1,0))</f>
        <v/>
      </c>
      <c r="AH57" s="50">
        <f>IF(AE57="","",COUNTIF($AE$6:$AE$205,AE57))</f>
        <v/>
      </c>
      <c r="AI57" s="50">
        <f>IF(AE57="","",IF(AND(AG57=1,AH57&gt;1),COUNTIFS($AG$6:AG57,1,$AH$6:AH57,"&gt;1"),""))</f>
        <v/>
      </c>
      <c r="AJ57" s="50">
        <f>IF(AG57=1,IF(COUNTIFS($AE$6:$AE$205,AE57,$N$6:$N$205,"견적접수")&gt;0,1,0),"")</f>
        <v/>
      </c>
      <c r="AK57" s="50">
        <f>IF(OR(R57="",N57&lt;&gt;"견적접수"),"",IF(AND(R57=_xlfn.MINIFS($R$6:$R$205,$AE$6:$AE$205,AE57,$N$6:$N$205,"견적접수"),COUNTIFS($AE$5:AE56,AE57,$R$5:R56,R57,$N$5:N56,"견적접수")=0),1,""))</f>
        <v/>
      </c>
    </row>
    <row r="58">
      <c r="A58" s="50">
        <f>IF(F58="","",ROW()-5)</f>
        <v/>
      </c>
      <c r="B58" s="34" t="inlineStr">
        <is>
          <t>BOSUNG-03</t>
        </is>
      </c>
      <c r="C58" s="34" t="inlineStr">
        <is>
          <t>B03</t>
        </is>
      </c>
      <c r="D58" s="34" t="n">
        <v>8</v>
      </c>
      <c r="E58" s="34" t="inlineStr">
        <is>
          <t>VacDrain</t>
        </is>
      </c>
      <c r="F58" s="36" t="inlineStr">
        <is>
          <t>SHAFT SEAL</t>
        </is>
      </c>
      <c r="G58" s="36" t="inlineStr">
        <is>
          <t>VacDrain AEROB-45N(A) / 3002000 15VMP</t>
        </is>
      </c>
      <c r="H58" s="36" t="inlineStr">
        <is>
          <t>2220153031</t>
        </is>
      </c>
      <c r="I58" s="36" t="inlineStr">
        <is>
          <t>STP VACUUM PUMP</t>
        </is>
      </c>
      <c r="J58" s="36" t="n"/>
      <c r="K58" s="34" t="n">
        <v>2</v>
      </c>
      <c r="L58" s="34" t="inlineStr">
        <is>
          <t>PCS</t>
        </is>
      </c>
      <c r="M58" s="34" t="inlineStr">
        <is>
          <t>BOSUNG</t>
        </is>
      </c>
      <c r="N58" s="34" t="inlineStr">
        <is>
          <t>미접수</t>
        </is>
      </c>
      <c r="O58" s="50">
        <f>IF(N(AH58)&gt;1,"중복 "&amp;AH58&amp;"곳"&amp;IF(AK58=1," · 최저가",IF(AND(N58="견적접수",R58&lt;&gt;"")," · 비쌈","")),"")</f>
        <v/>
      </c>
      <c r="P58" s="34" t="inlineStr">
        <is>
          <t>KRW</t>
        </is>
      </c>
      <c r="Q58" s="51" t="n"/>
      <c r="R58" s="52">
        <f>IF(OR(Q58="",P58=""),"",IFERROR(IF(VLOOKUP(P58,설정!$K$5:$L$9,2,0)&gt;0,Q58*VLOOKUP(P58,설정!$K$5:$L$9,2,0),""),""))</f>
        <v/>
      </c>
      <c r="S58" s="53">
        <f>IF(OR(R58="",K58=""),"",R58*K58)</f>
        <v/>
      </c>
      <c r="T58" s="38" t="n"/>
      <c r="U58" s="54">
        <f>IF(OR(T58="",AC58="발주완료",AC58="취소"),"",TODAY()+T58)</f>
        <v/>
      </c>
      <c r="V58" s="50">
        <f>IF(OR(U58="",NOT(ISNUMBER($K$2))),"",IF(U58&lt;=$K$2,"가능","초과 "&amp;(U58-$K$2)&amp;"일"))</f>
        <v/>
      </c>
      <c r="W58" s="34" t="n"/>
      <c r="X58" s="34" t="n"/>
      <c r="Y58" s="34" t="n"/>
      <c r="Z58" s="55" t="n"/>
      <c r="AA58" s="54">
        <f>IF(OR(Z58="",Y58=""),"",Z58+Y58)</f>
        <v/>
      </c>
      <c r="AB58" s="36" t="inlineStr">
        <is>
          <t>[보성 RFQ 03 발송 2026-10-19] 회신 대기</t>
        </is>
      </c>
      <c r="AC58" s="34" t="inlineStr">
        <is>
          <t>검토중</t>
        </is>
      </c>
      <c r="AD58" s="36" t="inlineStr">
        <is>
          <t>보성 견적 회신 대기</t>
        </is>
      </c>
      <c r="AE58" s="50">
        <f>IF(F58="","",B58&amp;"#"&amp;IF(D58="",F58,D58))</f>
        <v/>
      </c>
      <c r="AF58" s="50">
        <f>IF(AE58="","",AE58&amp;"|"&amp;M58)</f>
        <v/>
      </c>
      <c r="AG58" s="50">
        <f>IF(AE58="","",IF(COUNTIF($AE$6:AE58,AE58)=1,1,0))</f>
        <v/>
      </c>
      <c r="AH58" s="50">
        <f>IF(AE58="","",COUNTIF($AE$6:$AE$205,AE58))</f>
        <v/>
      </c>
      <c r="AI58" s="50">
        <f>IF(AE58="","",IF(AND(AG58=1,AH58&gt;1),COUNTIFS($AG$6:AG58,1,$AH$6:AH58,"&gt;1"),""))</f>
        <v/>
      </c>
      <c r="AJ58" s="50">
        <f>IF(AG58=1,IF(COUNTIFS($AE$6:$AE$205,AE58,$N$6:$N$205,"견적접수")&gt;0,1,0),"")</f>
        <v/>
      </c>
      <c r="AK58" s="50">
        <f>IF(OR(R58="",N58&lt;&gt;"견적접수"),"",IF(AND(R58=_xlfn.MINIFS($R$6:$R$205,$AE$6:$AE$205,AE58,$N$6:$N$205,"견적접수"),COUNTIFS($AE$5:AE57,AE58,$R$5:R57,R58,$N$5:N57,"견적접수")=0),1,""))</f>
        <v/>
      </c>
    </row>
    <row r="59">
      <c r="A59" s="50">
        <f>IF(F59="","",ROW()-5)</f>
        <v/>
      </c>
      <c r="B59" s="34" t="inlineStr">
        <is>
          <t>BOSUNG-03</t>
        </is>
      </c>
      <c r="C59" s="34" t="inlineStr">
        <is>
          <t>B03</t>
        </is>
      </c>
      <c r="D59" s="34" t="n">
        <v>9</v>
      </c>
      <c r="E59" s="34" t="inlineStr">
        <is>
          <t>VacDrain</t>
        </is>
      </c>
      <c r="F59" s="36" t="inlineStr">
        <is>
          <t>SHAFT SEAL</t>
        </is>
      </c>
      <c r="G59" s="36" t="inlineStr">
        <is>
          <t>VacDrain AEROB-45N(A) / 3002000 15VMP</t>
        </is>
      </c>
      <c r="H59" s="36" t="inlineStr">
        <is>
          <t>2220153020</t>
        </is>
      </c>
      <c r="I59" s="36" t="inlineStr">
        <is>
          <t>STP VACUUM PUMP</t>
        </is>
      </c>
      <c r="J59" s="36" t="n"/>
      <c r="K59" s="34" t="n">
        <v>2</v>
      </c>
      <c r="L59" s="34" t="inlineStr">
        <is>
          <t>PCS</t>
        </is>
      </c>
      <c r="M59" s="34" t="inlineStr">
        <is>
          <t>BOSUNG</t>
        </is>
      </c>
      <c r="N59" s="34" t="inlineStr">
        <is>
          <t>미접수</t>
        </is>
      </c>
      <c r="O59" s="50">
        <f>IF(N(AH59)&gt;1,"중복 "&amp;AH59&amp;"곳"&amp;IF(AK59=1," · 최저가",IF(AND(N59="견적접수",R59&lt;&gt;"")," · 비쌈","")),"")</f>
        <v/>
      </c>
      <c r="P59" s="34" t="inlineStr">
        <is>
          <t>KRW</t>
        </is>
      </c>
      <c r="Q59" s="51" t="n"/>
      <c r="R59" s="52">
        <f>IF(OR(Q59="",P59=""),"",IFERROR(IF(VLOOKUP(P59,설정!$K$5:$L$9,2,0)&gt;0,Q59*VLOOKUP(P59,설정!$K$5:$L$9,2,0),""),""))</f>
        <v/>
      </c>
      <c r="S59" s="53">
        <f>IF(OR(R59="",K59=""),"",R59*K59)</f>
        <v/>
      </c>
      <c r="T59" s="38" t="n"/>
      <c r="U59" s="54">
        <f>IF(OR(T59="",AC59="발주완료",AC59="취소"),"",TODAY()+T59)</f>
        <v/>
      </c>
      <c r="V59" s="50">
        <f>IF(OR(U59="",NOT(ISNUMBER($K$2))),"",IF(U59&lt;=$K$2,"가능","초과 "&amp;(U59-$K$2)&amp;"일"))</f>
        <v/>
      </c>
      <c r="W59" s="34" t="n"/>
      <c r="X59" s="34" t="n"/>
      <c r="Y59" s="34" t="n"/>
      <c r="Z59" s="55" t="n"/>
      <c r="AA59" s="54">
        <f>IF(OR(Z59="",Y59=""),"",Z59+Y59)</f>
        <v/>
      </c>
      <c r="AB59" s="36" t="inlineStr">
        <is>
          <t>[보성 RFQ 03 발송 2026-10-19] 회신 대기</t>
        </is>
      </c>
      <c r="AC59" s="34" t="inlineStr">
        <is>
          <t>검토중</t>
        </is>
      </c>
      <c r="AD59" s="36" t="inlineStr">
        <is>
          <t>보성 견적 회신 대기</t>
        </is>
      </c>
      <c r="AE59" s="50">
        <f>IF(F59="","",B59&amp;"#"&amp;IF(D59="",F59,D59))</f>
        <v/>
      </c>
      <c r="AF59" s="50">
        <f>IF(AE59="","",AE59&amp;"|"&amp;M59)</f>
        <v/>
      </c>
      <c r="AG59" s="50">
        <f>IF(AE59="","",IF(COUNTIF($AE$6:AE59,AE59)=1,1,0))</f>
        <v/>
      </c>
      <c r="AH59" s="50">
        <f>IF(AE59="","",COUNTIF($AE$6:$AE$205,AE59))</f>
        <v/>
      </c>
      <c r="AI59" s="50">
        <f>IF(AE59="","",IF(AND(AG59=1,AH59&gt;1),COUNTIFS($AG$6:AG59,1,$AH$6:AH59,"&gt;1"),""))</f>
        <v/>
      </c>
      <c r="AJ59" s="50">
        <f>IF(AG59=1,IF(COUNTIFS($AE$6:$AE$205,AE59,$N$6:$N$205,"견적접수")&gt;0,1,0),"")</f>
        <v/>
      </c>
      <c r="AK59" s="50">
        <f>IF(OR(R59="",N59&lt;&gt;"견적접수"),"",IF(AND(R59=_xlfn.MINIFS($R$6:$R$205,$AE$6:$AE$205,AE59,$N$6:$N$205,"견적접수"),COUNTIFS($AE$5:AE58,AE59,$R$5:R58,R59,$N$5:N58,"견적접수")=0),1,""))</f>
        <v/>
      </c>
    </row>
    <row r="60">
      <c r="A60" s="50">
        <f>IF(F60="","",ROW()-5)</f>
        <v/>
      </c>
      <c r="B60" s="34" t="inlineStr">
        <is>
          <t>BOSUNG-03</t>
        </is>
      </c>
      <c r="C60" s="34" t="inlineStr">
        <is>
          <t>B03</t>
        </is>
      </c>
      <c r="D60" s="34" t="n">
        <v>10</v>
      </c>
      <c r="E60" s="34" t="inlineStr">
        <is>
          <t>VacDrain</t>
        </is>
      </c>
      <c r="F60" s="36" t="inlineStr">
        <is>
          <t>SLEEVE</t>
        </is>
      </c>
      <c r="G60" s="36" t="inlineStr">
        <is>
          <t>VacDrain AEROB-45N(A) / 3002000 15VMP</t>
        </is>
      </c>
      <c r="H60" s="36" t="inlineStr">
        <is>
          <t>2220153017</t>
        </is>
      </c>
      <c r="I60" s="36" t="inlineStr">
        <is>
          <t>STP VACUUM PUMP</t>
        </is>
      </c>
      <c r="J60" s="36" t="n"/>
      <c r="K60" s="34" t="n">
        <v>4</v>
      </c>
      <c r="L60" s="34" t="inlineStr">
        <is>
          <t>PCS</t>
        </is>
      </c>
      <c r="M60" s="34" t="inlineStr">
        <is>
          <t>BOSUNG</t>
        </is>
      </c>
      <c r="N60" s="34" t="inlineStr">
        <is>
          <t>미접수</t>
        </is>
      </c>
      <c r="O60" s="50">
        <f>IF(N(AH60)&gt;1,"중복 "&amp;AH60&amp;"곳"&amp;IF(AK60=1," · 최저가",IF(AND(N60="견적접수",R60&lt;&gt;"")," · 비쌈","")),"")</f>
        <v/>
      </c>
      <c r="P60" s="34" t="inlineStr">
        <is>
          <t>KRW</t>
        </is>
      </c>
      <c r="Q60" s="51" t="n"/>
      <c r="R60" s="52">
        <f>IF(OR(Q60="",P60=""),"",IFERROR(IF(VLOOKUP(P60,설정!$K$5:$L$9,2,0)&gt;0,Q60*VLOOKUP(P60,설정!$K$5:$L$9,2,0),""),""))</f>
        <v/>
      </c>
      <c r="S60" s="53">
        <f>IF(OR(R60="",K60=""),"",R60*K60)</f>
        <v/>
      </c>
      <c r="T60" s="38" t="n"/>
      <c r="U60" s="54">
        <f>IF(OR(T60="",AC60="발주완료",AC60="취소"),"",TODAY()+T60)</f>
        <v/>
      </c>
      <c r="V60" s="50">
        <f>IF(OR(U60="",NOT(ISNUMBER($K$2))),"",IF(U60&lt;=$K$2,"가능","초과 "&amp;(U60-$K$2)&amp;"일"))</f>
        <v/>
      </c>
      <c r="W60" s="34" t="n"/>
      <c r="X60" s="34" t="n"/>
      <c r="Y60" s="34" t="n"/>
      <c r="Z60" s="55" t="n"/>
      <c r="AA60" s="54">
        <f>IF(OR(Z60="",Y60=""),"",Z60+Y60)</f>
        <v/>
      </c>
      <c r="AB60" s="36" t="inlineStr">
        <is>
          <t>[보성 RFQ 03 발송 2026-10-19] 회신 대기</t>
        </is>
      </c>
      <c r="AC60" s="34" t="inlineStr">
        <is>
          <t>검토중</t>
        </is>
      </c>
      <c r="AD60" s="36" t="inlineStr">
        <is>
          <t>보성 견적 회신 대기</t>
        </is>
      </c>
      <c r="AE60" s="50">
        <f>IF(F60="","",B60&amp;"#"&amp;IF(D60="",F60,D60))</f>
        <v/>
      </c>
      <c r="AF60" s="50">
        <f>IF(AE60="","",AE60&amp;"|"&amp;M60)</f>
        <v/>
      </c>
      <c r="AG60" s="50">
        <f>IF(AE60="","",IF(COUNTIF($AE$6:AE60,AE60)=1,1,0))</f>
        <v/>
      </c>
      <c r="AH60" s="50">
        <f>IF(AE60="","",COUNTIF($AE$6:$AE$205,AE60))</f>
        <v/>
      </c>
      <c r="AI60" s="50">
        <f>IF(AE60="","",IF(AND(AG60=1,AH60&gt;1),COUNTIFS($AG$6:AG60,1,$AH$6:AH60,"&gt;1"),""))</f>
        <v/>
      </c>
      <c r="AJ60" s="50">
        <f>IF(AG60=1,IF(COUNTIFS($AE$6:$AE$205,AE60,$N$6:$N$205,"견적접수")&gt;0,1,0),"")</f>
        <v/>
      </c>
      <c r="AK60" s="50">
        <f>IF(OR(R60="",N60&lt;&gt;"견적접수"),"",IF(AND(R60=_xlfn.MINIFS($R$6:$R$205,$AE$6:$AE$205,AE60,$N$6:$N$205,"견적접수"),COUNTIFS($AE$5:AE59,AE60,$R$5:R59,R60,$N$5:N59,"견적접수")=0),1,""))</f>
        <v/>
      </c>
    </row>
    <row r="61">
      <c r="A61" s="50">
        <f>IF(F61="","",ROW()-5)</f>
        <v/>
      </c>
      <c r="B61" s="34" t="inlineStr">
        <is>
          <t>BOSUNG-03</t>
        </is>
      </c>
      <c r="C61" s="34" t="inlineStr">
        <is>
          <t>B03</t>
        </is>
      </c>
      <c r="D61" s="34" t="n">
        <v>11</v>
      </c>
      <c r="E61" s="34" t="inlineStr">
        <is>
          <t>VacDrain</t>
        </is>
      </c>
      <c r="F61" s="36" t="inlineStr">
        <is>
          <t>PLATE</t>
        </is>
      </c>
      <c r="G61" s="36" t="inlineStr">
        <is>
          <t>VacDrain AEROB-45N(A) / 3002000 15VMP</t>
        </is>
      </c>
      <c r="H61" s="36" t="inlineStr">
        <is>
          <t>2220153015</t>
        </is>
      </c>
      <c r="I61" s="36" t="inlineStr">
        <is>
          <t>STP VACUUM PUMP</t>
        </is>
      </c>
      <c r="J61" s="36" t="n"/>
      <c r="K61" s="34" t="n">
        <v>2</v>
      </c>
      <c r="L61" s="34" t="inlineStr">
        <is>
          <t>PCS</t>
        </is>
      </c>
      <c r="M61" s="34" t="inlineStr">
        <is>
          <t>BOSUNG</t>
        </is>
      </c>
      <c r="N61" s="34" t="inlineStr">
        <is>
          <t>미접수</t>
        </is>
      </c>
      <c r="O61" s="50">
        <f>IF(N(AH61)&gt;1,"중복 "&amp;AH61&amp;"곳"&amp;IF(AK61=1," · 최저가",IF(AND(N61="견적접수",R61&lt;&gt;"")," · 비쌈","")),"")</f>
        <v/>
      </c>
      <c r="P61" s="34" t="inlineStr">
        <is>
          <t>KRW</t>
        </is>
      </c>
      <c r="Q61" s="51" t="n"/>
      <c r="R61" s="52">
        <f>IF(OR(Q61="",P61=""),"",IFERROR(IF(VLOOKUP(P61,설정!$K$5:$L$9,2,0)&gt;0,Q61*VLOOKUP(P61,설정!$K$5:$L$9,2,0),""),""))</f>
        <v/>
      </c>
      <c r="S61" s="53">
        <f>IF(OR(R61="",K61=""),"",R61*K61)</f>
        <v/>
      </c>
      <c r="T61" s="38" t="n"/>
      <c r="U61" s="54">
        <f>IF(OR(T61="",AC61="발주완료",AC61="취소"),"",TODAY()+T61)</f>
        <v/>
      </c>
      <c r="V61" s="50">
        <f>IF(OR(U61="",NOT(ISNUMBER($K$2))),"",IF(U61&lt;=$K$2,"가능","초과 "&amp;(U61-$K$2)&amp;"일"))</f>
        <v/>
      </c>
      <c r="W61" s="34" t="n"/>
      <c r="X61" s="34" t="n"/>
      <c r="Y61" s="34" t="n"/>
      <c r="Z61" s="55" t="n"/>
      <c r="AA61" s="54">
        <f>IF(OR(Z61="",Y61=""),"",Z61+Y61)</f>
        <v/>
      </c>
      <c r="AB61" s="36" t="inlineStr">
        <is>
          <t>[보성 RFQ 03 발송 2026-10-19] 회신 대기</t>
        </is>
      </c>
      <c r="AC61" s="34" t="inlineStr">
        <is>
          <t>검토중</t>
        </is>
      </c>
      <c r="AD61" s="36" t="inlineStr">
        <is>
          <t>보성 견적 회신 대기</t>
        </is>
      </c>
      <c r="AE61" s="50">
        <f>IF(F61="","",B61&amp;"#"&amp;IF(D61="",F61,D61))</f>
        <v/>
      </c>
      <c r="AF61" s="50">
        <f>IF(AE61="","",AE61&amp;"|"&amp;M61)</f>
        <v/>
      </c>
      <c r="AG61" s="50">
        <f>IF(AE61="","",IF(COUNTIF($AE$6:AE61,AE61)=1,1,0))</f>
        <v/>
      </c>
      <c r="AH61" s="50">
        <f>IF(AE61="","",COUNTIF($AE$6:$AE$205,AE61))</f>
        <v/>
      </c>
      <c r="AI61" s="50">
        <f>IF(AE61="","",IF(AND(AG61=1,AH61&gt;1),COUNTIFS($AG$6:AG61,1,$AH$6:AH61,"&gt;1"),""))</f>
        <v/>
      </c>
      <c r="AJ61" s="50">
        <f>IF(AG61=1,IF(COUNTIFS($AE$6:$AE$205,AE61,$N$6:$N$205,"견적접수")&gt;0,1,0),"")</f>
        <v/>
      </c>
      <c r="AK61" s="50">
        <f>IF(OR(R61="",N61&lt;&gt;"견적접수"),"",IF(AND(R61=_xlfn.MINIFS($R$6:$R$205,$AE$6:$AE$205,AE61,$N$6:$N$205,"견적접수"),COUNTIFS($AE$5:AE60,AE61,$R$5:R60,R61,$N$5:N60,"견적접수")=0),1,""))</f>
        <v/>
      </c>
    </row>
    <row r="62">
      <c r="A62" s="50">
        <f>IF(F62="","",ROW()-5)</f>
        <v/>
      </c>
      <c r="B62" s="34" t="inlineStr">
        <is>
          <t>BOSUNG-04</t>
        </is>
      </c>
      <c r="C62" s="34" t="inlineStr">
        <is>
          <t>B04</t>
        </is>
      </c>
      <c r="D62" s="34" t="n">
        <v>6</v>
      </c>
      <c r="E62" s="34" t="inlineStr">
        <is>
          <t>DAEYANG</t>
        </is>
      </c>
      <c r="F62" s="36" t="inlineStr">
        <is>
          <t>LED FLOOD LIGHT (COMPLETE UNIT) – HOSE HANDLING CRANE PORT &amp; STBD MISSING</t>
        </is>
      </c>
      <c r="G62" s="36" t="inlineStr">
        <is>
          <t>PFO600L-250AWCTFC60(R25M)</t>
        </is>
      </c>
      <c r="H62" s="36" t="inlineStr">
        <is>
          <t>LR5570006</t>
        </is>
      </c>
      <c r="I62" s="36" t="inlineStr">
        <is>
          <t>Lighting (Electrical)</t>
        </is>
      </c>
      <c r="J62" s="36" t="n"/>
      <c r="K62" s="34" t="n">
        <v>3</v>
      </c>
      <c r="L62" s="34" t="inlineStr">
        <is>
          <t>PCS</t>
        </is>
      </c>
      <c r="M62" s="34" t="inlineStr">
        <is>
          <t>CENTMAR</t>
        </is>
      </c>
      <c r="N62" s="34" t="inlineStr">
        <is>
          <t>견적접수</t>
        </is>
      </c>
      <c r="O62" s="50">
        <f>IF(N(AH62)&gt;1,"중복 "&amp;AH62&amp;"곳"&amp;IF(AK62=1," · 최저가",IF(AND(N62="견적접수",R62&lt;&gt;"")," · 비쌈","")),"")</f>
        <v/>
      </c>
      <c r="P62" s="34" t="inlineStr">
        <is>
          <t>KRW</t>
        </is>
      </c>
      <c r="Q62" s="51" t="n">
        <v>1638500</v>
      </c>
      <c r="R62" s="52">
        <f>IF(OR(Q62="",P62=""),"",IFERROR(IF(VLOOKUP(P62,설정!$K$5:$L$9,2,0)&gt;0,Q62*VLOOKUP(P62,설정!$K$5:$L$9,2,0),""),""))</f>
        <v/>
      </c>
      <c r="S62" s="53">
        <f>IF(OR(R62="",K62=""),"",R62*K62)</f>
        <v/>
      </c>
      <c r="T62" s="38" t="n">
        <v>70</v>
      </c>
      <c r="U62" s="54">
        <f>IF(OR(T62="",AC62="발주완료",AC62="취소"),"",TODAY()+T62)</f>
        <v/>
      </c>
      <c r="V62" s="50">
        <f>IF(OR(U62="",NOT(ISNUMBER($K$2))),"",IF(U62&lt;=$K$2,"가능","초과 "&amp;(U62-$K$2)&amp;"일"))</f>
        <v/>
      </c>
      <c r="W62" s="34" t="n"/>
      <c r="X62" s="34" t="n"/>
      <c r="Y62" s="34" t="n"/>
      <c r="Z62" s="56" t="n">
        <v>46318</v>
      </c>
      <c r="AA62" s="54">
        <f>IF(OR(Z62="",Y62=""),"",Z62+Y62)</f>
        <v/>
      </c>
      <c r="AB62" s="36" t="inlineStr">
        <is>
          <t>[중앙해사 JU26102221] LED FLOOD LIGHT (COMPLETE UNIT) – HOSE HANDLING CRANE PORT &amp; STBD MISSING – DAEYANG PFO600L-250AWCTFC60(R25M) LR5570006 / LEAD TIME 70 DAYS</t>
        </is>
      </c>
      <c r="AC62" s="34" t="inlineStr">
        <is>
          <t>검토중</t>
        </is>
      </c>
      <c r="AD62" s="36" t="inlineStr">
        <is>
          <t>유효기간·인도조건 미기재 – 중앙해사 확인</t>
        </is>
      </c>
      <c r="AE62" s="50">
        <f>IF(F62="","",B62&amp;"#"&amp;IF(D62="",F62,D62))</f>
        <v/>
      </c>
      <c r="AF62" s="50">
        <f>IF(AE62="","",AE62&amp;"|"&amp;M62)</f>
        <v/>
      </c>
      <c r="AG62" s="50">
        <f>IF(AE62="","",IF(COUNTIF($AE$6:AE62,AE62)=1,1,0))</f>
        <v/>
      </c>
      <c r="AH62" s="50">
        <f>IF(AE62="","",COUNTIF($AE$6:$AE$205,AE62))</f>
        <v/>
      </c>
      <c r="AI62" s="50">
        <f>IF(AE62="","",IF(AND(AG62=1,AH62&gt;1),COUNTIFS($AG$6:AG62,1,$AH$6:AH62,"&gt;1"),""))</f>
        <v/>
      </c>
      <c r="AJ62" s="50">
        <f>IF(AG62=1,IF(COUNTIFS($AE$6:$AE$205,AE62,$N$6:$N$205,"견적접수")&gt;0,1,0),"")</f>
        <v/>
      </c>
      <c r="AK62" s="50">
        <f>IF(OR(R62="",N62&lt;&gt;"견적접수"),"",IF(AND(R62=_xlfn.MINIFS($R$6:$R$205,$AE$6:$AE$205,AE62,$N$6:$N$205,"견적접수"),COUNTIFS($AE$5:AE61,AE62,$R$5:R61,R62,$N$5:N61,"견적접수")=0),1,""))</f>
        <v/>
      </c>
    </row>
    <row r="63">
      <c r="A63" s="50">
        <f>IF(F63="","",ROW()-5)</f>
        <v/>
      </c>
      <c r="B63" s="34" t="inlineStr">
        <is>
          <t>BOSUNG-04</t>
        </is>
      </c>
      <c r="C63" s="34" t="inlineStr">
        <is>
          <t>B04</t>
        </is>
      </c>
      <c r="D63" s="34" t="n">
        <v>6</v>
      </c>
      <c r="E63" s="34" t="inlineStr">
        <is>
          <t>DAEYANG</t>
        </is>
      </c>
      <c r="F63" s="36" t="inlineStr">
        <is>
          <t>LED FLOOD LIGHT</t>
        </is>
      </c>
      <c r="G63" s="36" t="inlineStr">
        <is>
          <t>PFO600L-250AWCTFC60(R25M)</t>
        </is>
      </c>
      <c r="H63" s="36" t="inlineStr">
        <is>
          <t>LR5570006 (complete unit)</t>
        </is>
      </c>
      <c r="I63" s="36" t="inlineStr">
        <is>
          <t>Lighting System</t>
        </is>
      </c>
      <c r="J63" s="36" t="inlineStr">
        <is>
          <t>For hose handling crane (port &amp; stbd). See drawing.</t>
        </is>
      </c>
      <c r="K63" s="34" t="n">
        <v>3</v>
      </c>
      <c r="L63" s="34" t="inlineStr">
        <is>
          <t>pcs</t>
        </is>
      </c>
      <c r="M63" s="34" t="inlineStr">
        <is>
          <t>BOSUNG</t>
        </is>
      </c>
      <c r="N63" s="34" t="inlineStr">
        <is>
          <t>미접수</t>
        </is>
      </c>
      <c r="O63" s="50">
        <f>IF(N(AH63)&gt;1,"중복 "&amp;AH63&amp;"곳"&amp;IF(AK63=1," · 최저가",IF(AND(N63="견적접수",R63&lt;&gt;"")," · 비쌈","")),"")</f>
        <v/>
      </c>
      <c r="P63" s="34" t="inlineStr">
        <is>
          <t>KRW</t>
        </is>
      </c>
      <c r="Q63" s="51" t="n"/>
      <c r="R63" s="52">
        <f>IF(OR(Q63="",P63=""),"",IFERROR(IF(VLOOKUP(P63,설정!$K$5:$L$9,2,0)&gt;0,Q63*VLOOKUP(P63,설정!$K$5:$L$9,2,0),""),""))</f>
        <v/>
      </c>
      <c r="S63" s="53">
        <f>IF(OR(R63="",K63=""),"",R63*K63)</f>
        <v/>
      </c>
      <c r="T63" s="38" t="n"/>
      <c r="U63" s="54">
        <f>IF(OR(T63="",AC63="발주완료",AC63="취소"),"",TODAY()+T63)</f>
        <v/>
      </c>
      <c r="V63" s="50">
        <f>IF(OR(U63="",NOT(ISNUMBER($K$2))),"",IF(U63&lt;=$K$2,"가능","초과 "&amp;(U63-$K$2)&amp;"일"))</f>
        <v/>
      </c>
      <c r="W63" s="34" t="n"/>
      <c r="X63" s="34" t="n"/>
      <c r="Y63" s="34" t="n"/>
      <c r="Z63" s="55" t="n"/>
      <c r="AA63" s="54">
        <f>IF(OR(Z63="",Y63=""),"",Z63+Y63)</f>
        <v/>
      </c>
      <c r="AB63" s="36" t="inlineStr">
        <is>
          <t>[보성 RFQ 04 발송 2026-10-19] 회신 대기</t>
        </is>
      </c>
      <c r="AC63" s="34" t="inlineStr">
        <is>
          <t>검토중</t>
        </is>
      </c>
      <c r="AD63" s="36" t="inlineStr">
        <is>
          <t>보성 견적 회신 대기</t>
        </is>
      </c>
      <c r="AE63" s="50">
        <f>IF(F63="","",B63&amp;"#"&amp;IF(D63="",F63,D63))</f>
        <v/>
      </c>
      <c r="AF63" s="50">
        <f>IF(AE63="","",AE63&amp;"|"&amp;M63)</f>
        <v/>
      </c>
      <c r="AG63" s="50">
        <f>IF(AE63="","",IF(COUNTIF($AE$6:AE63,AE63)=1,1,0))</f>
        <v/>
      </c>
      <c r="AH63" s="50">
        <f>IF(AE63="","",COUNTIF($AE$6:$AE$205,AE63))</f>
        <v/>
      </c>
      <c r="AI63" s="50">
        <f>IF(AE63="","",IF(AND(AG63=1,AH63&gt;1),COUNTIFS($AG$6:AG63,1,$AH$6:AH63,"&gt;1"),""))</f>
        <v/>
      </c>
      <c r="AJ63" s="50">
        <f>IF(AG63=1,IF(COUNTIFS($AE$6:$AE$205,AE63,$N$6:$N$205,"견적접수")&gt;0,1,0),"")</f>
        <v/>
      </c>
      <c r="AK63" s="50">
        <f>IF(OR(R63="",N63&lt;&gt;"견적접수"),"",IF(AND(R63=_xlfn.MINIFS($R$6:$R$205,$AE$6:$AE$205,AE63,$N$6:$N$205,"견적접수"),COUNTIFS($AE$5:AE62,AE63,$R$5:R62,R63,$N$5:N62,"견적접수")=0),1,""))</f>
        <v/>
      </c>
    </row>
    <row r="64">
      <c r="A64" s="50">
        <f>IF(F64="","",ROW()-5)</f>
        <v/>
      </c>
      <c r="B64" s="34" t="inlineStr">
        <is>
          <t>BOSUNG-04</t>
        </is>
      </c>
      <c r="C64" s="34" t="inlineStr">
        <is>
          <t>B04</t>
        </is>
      </c>
      <c r="D64" s="34" t="n">
        <v>7</v>
      </c>
      <c r="E64" s="34" t="inlineStr">
        <is>
          <t>DAEYANG</t>
        </is>
      </c>
      <c r="F64" s="36" t="inlineStr">
        <is>
          <t>LED DRIVER</t>
        </is>
      </c>
      <c r="G64" s="36" t="inlineStr">
        <is>
          <t>PFO600L-250AWCTFC60(R25M)</t>
        </is>
      </c>
      <c r="H64" s="36" t="inlineStr">
        <is>
          <t>LR5570006 - 4</t>
        </is>
      </c>
      <c r="I64" s="36" t="inlineStr">
        <is>
          <t>Lighting (Electrical)</t>
        </is>
      </c>
      <c r="J64" s="36" t="n"/>
      <c r="K64" s="34" t="n">
        <v>4</v>
      </c>
      <c r="L64" s="34" t="inlineStr">
        <is>
          <t>PCS</t>
        </is>
      </c>
      <c r="M64" s="34" t="inlineStr">
        <is>
          <t>CENTMAR</t>
        </is>
      </c>
      <c r="N64" s="34" t="inlineStr">
        <is>
          <t>견적접수</t>
        </is>
      </c>
      <c r="O64" s="50">
        <f>IF(N(AH64)&gt;1,"중복 "&amp;AH64&amp;"곳"&amp;IF(AK64=1," · 최저가",IF(AND(N64="견적접수",R64&lt;&gt;"")," · 비쌈","")),"")</f>
        <v/>
      </c>
      <c r="P64" s="34" t="inlineStr">
        <is>
          <t>KRW</t>
        </is>
      </c>
      <c r="Q64" s="51" t="n">
        <v>598900</v>
      </c>
      <c r="R64" s="52">
        <f>IF(OR(Q64="",P64=""),"",IFERROR(IF(VLOOKUP(P64,설정!$K$5:$L$9,2,0)&gt;0,Q64*VLOOKUP(P64,설정!$K$5:$L$9,2,0),""),""))</f>
        <v/>
      </c>
      <c r="S64" s="53">
        <f>IF(OR(R64="",K64=""),"",R64*K64)</f>
        <v/>
      </c>
      <c r="T64" s="38" t="n">
        <v>70</v>
      </c>
      <c r="U64" s="54">
        <f>IF(OR(T64="",AC64="발주완료",AC64="취소"),"",TODAY()+T64)</f>
        <v/>
      </c>
      <c r="V64" s="50">
        <f>IF(OR(U64="",NOT(ISNUMBER($K$2))),"",IF(U64&lt;=$K$2,"가능","초과 "&amp;(U64-$K$2)&amp;"일"))</f>
        <v/>
      </c>
      <c r="W64" s="34" t="n"/>
      <c r="X64" s="34" t="n"/>
      <c r="Y64" s="34" t="n"/>
      <c r="Z64" s="56" t="n">
        <v>46318</v>
      </c>
      <c r="AA64" s="54">
        <f>IF(OR(Z64="",Y64=""),"",Z64+Y64)</f>
        <v/>
      </c>
      <c r="AB64" s="36" t="inlineStr">
        <is>
          <t>[중앙해사 JU26102221] LED DRIVER – DAEYANG PFO600L-250AWCTFC60(R25M) LR5570006 - 4 / LEAD TIME 70 DAYS</t>
        </is>
      </c>
      <c r="AC64" s="34" t="inlineStr">
        <is>
          <t>검토중</t>
        </is>
      </c>
      <c r="AD64" s="36" t="inlineStr">
        <is>
          <t>유효기간·인도조건 미기재 – 중앙해사 확인</t>
        </is>
      </c>
      <c r="AE64" s="50">
        <f>IF(F64="","",B64&amp;"#"&amp;IF(D64="",F64,D64))</f>
        <v/>
      </c>
      <c r="AF64" s="50">
        <f>IF(AE64="","",AE64&amp;"|"&amp;M64)</f>
        <v/>
      </c>
      <c r="AG64" s="50">
        <f>IF(AE64="","",IF(COUNTIF($AE$6:AE64,AE64)=1,1,0))</f>
        <v/>
      </c>
      <c r="AH64" s="50">
        <f>IF(AE64="","",COUNTIF($AE$6:$AE$205,AE64))</f>
        <v/>
      </c>
      <c r="AI64" s="50">
        <f>IF(AE64="","",IF(AND(AG64=1,AH64&gt;1),COUNTIFS($AG$6:AG64,1,$AH$6:AH64,"&gt;1"),""))</f>
        <v/>
      </c>
      <c r="AJ64" s="50">
        <f>IF(AG64=1,IF(COUNTIFS($AE$6:$AE$205,AE64,$N$6:$N$205,"견적접수")&gt;0,1,0),"")</f>
        <v/>
      </c>
      <c r="AK64" s="50">
        <f>IF(OR(R64="",N64&lt;&gt;"견적접수"),"",IF(AND(R64=_xlfn.MINIFS($R$6:$R$205,$AE$6:$AE$205,AE64,$N$6:$N$205,"견적접수"),COUNTIFS($AE$5:AE63,AE64,$R$5:R63,R64,$N$5:N63,"견적접수")=0),1,""))</f>
        <v/>
      </c>
    </row>
    <row r="65">
      <c r="A65" s="50">
        <f>IF(F65="","",ROW()-5)</f>
        <v/>
      </c>
      <c r="B65" s="34" t="inlineStr">
        <is>
          <t>BOSUNG-04</t>
        </is>
      </c>
      <c r="C65" s="34" t="inlineStr">
        <is>
          <t>B04</t>
        </is>
      </c>
      <c r="D65" s="34" t="n">
        <v>7</v>
      </c>
      <c r="E65" s="34" t="inlineStr">
        <is>
          <t>DAEYANG</t>
        </is>
      </c>
      <c r="F65" s="36" t="inlineStr">
        <is>
          <t>LED Driver</t>
        </is>
      </c>
      <c r="G65" s="36" t="inlineStr">
        <is>
          <t>PFO600L-250AWCTFC60(R25M)</t>
        </is>
      </c>
      <c r="H65" s="36" t="inlineStr">
        <is>
          <t>LR5570006 - 4</t>
        </is>
      </c>
      <c r="I65" s="36" t="inlineStr">
        <is>
          <t>Lighting System</t>
        </is>
      </c>
      <c r="J65" s="36" t="n"/>
      <c r="K65" s="34" t="n">
        <v>4</v>
      </c>
      <c r="L65" s="34" t="inlineStr">
        <is>
          <t>pcs</t>
        </is>
      </c>
      <c r="M65" s="34" t="inlineStr">
        <is>
          <t>BOSUNG</t>
        </is>
      </c>
      <c r="N65" s="34" t="inlineStr">
        <is>
          <t>미접수</t>
        </is>
      </c>
      <c r="O65" s="50">
        <f>IF(N(AH65)&gt;1,"중복 "&amp;AH65&amp;"곳"&amp;IF(AK65=1," · 최저가",IF(AND(N65="견적접수",R65&lt;&gt;"")," · 비쌈","")),"")</f>
        <v/>
      </c>
      <c r="P65" s="34" t="inlineStr">
        <is>
          <t>KRW</t>
        </is>
      </c>
      <c r="Q65" s="51" t="n"/>
      <c r="R65" s="52">
        <f>IF(OR(Q65="",P65=""),"",IFERROR(IF(VLOOKUP(P65,설정!$K$5:$L$9,2,0)&gt;0,Q65*VLOOKUP(P65,설정!$K$5:$L$9,2,0),""),""))</f>
        <v/>
      </c>
      <c r="S65" s="53">
        <f>IF(OR(R65="",K65=""),"",R65*K65)</f>
        <v/>
      </c>
      <c r="T65" s="38" t="n"/>
      <c r="U65" s="54">
        <f>IF(OR(T65="",AC65="발주완료",AC65="취소"),"",TODAY()+T65)</f>
        <v/>
      </c>
      <c r="V65" s="50">
        <f>IF(OR(U65="",NOT(ISNUMBER($K$2))),"",IF(U65&lt;=$K$2,"가능","초과 "&amp;(U65-$K$2)&amp;"일"))</f>
        <v/>
      </c>
      <c r="W65" s="34" t="n"/>
      <c r="X65" s="34" t="n"/>
      <c r="Y65" s="34" t="n"/>
      <c r="Z65" s="55" t="n"/>
      <c r="AA65" s="54">
        <f>IF(OR(Z65="",Y65=""),"",Z65+Y65)</f>
        <v/>
      </c>
      <c r="AB65" s="36" t="inlineStr">
        <is>
          <t>[보성 RFQ 04 발송 2026-10-19] 회신 대기</t>
        </is>
      </c>
      <c r="AC65" s="34" t="inlineStr">
        <is>
          <t>검토중</t>
        </is>
      </c>
      <c r="AD65" s="36" t="inlineStr">
        <is>
          <t>보성 견적 회신 대기</t>
        </is>
      </c>
      <c r="AE65" s="50">
        <f>IF(F65="","",B65&amp;"#"&amp;IF(D65="",F65,D65))</f>
        <v/>
      </c>
      <c r="AF65" s="50">
        <f>IF(AE65="","",AE65&amp;"|"&amp;M65)</f>
        <v/>
      </c>
      <c r="AG65" s="50">
        <f>IF(AE65="","",IF(COUNTIF($AE$6:AE65,AE65)=1,1,0))</f>
        <v/>
      </c>
      <c r="AH65" s="50">
        <f>IF(AE65="","",COUNTIF($AE$6:$AE$205,AE65))</f>
        <v/>
      </c>
      <c r="AI65" s="50">
        <f>IF(AE65="","",IF(AND(AG65=1,AH65&gt;1),COUNTIFS($AG$6:AG65,1,$AH$6:AH65,"&gt;1"),""))</f>
        <v/>
      </c>
      <c r="AJ65" s="50">
        <f>IF(AG65=1,IF(COUNTIFS($AE$6:$AE$205,AE65,$N$6:$N$205,"견적접수")&gt;0,1,0),"")</f>
        <v/>
      </c>
      <c r="AK65" s="50">
        <f>IF(OR(R65="",N65&lt;&gt;"견적접수"),"",IF(AND(R65=_xlfn.MINIFS($R$6:$R$205,$AE$6:$AE$205,AE65,$N$6:$N$205,"견적접수"),COUNTIFS($AE$5:AE64,AE65,$R$5:R64,R65,$N$5:N64,"견적접수")=0),1,""))</f>
        <v/>
      </c>
    </row>
    <row r="66">
      <c r="A66" s="50">
        <f>IF(F66="","",ROW()-5)</f>
        <v/>
      </c>
      <c r="B66" s="34" t="inlineStr">
        <is>
          <t>BOSUNG-04</t>
        </is>
      </c>
      <c r="C66" s="34" t="inlineStr">
        <is>
          <t>B04</t>
        </is>
      </c>
      <c r="D66" s="34" t="n">
        <v>8</v>
      </c>
      <c r="E66" s="34" t="inlineStr">
        <is>
          <t>DAEYANG</t>
        </is>
      </c>
      <c r="F66" s="36" t="inlineStr">
        <is>
          <t>LED MODULE</t>
        </is>
      </c>
      <c r="G66" s="36" t="inlineStr">
        <is>
          <t>PFO600L-250AWCTFC60(R25M)</t>
        </is>
      </c>
      <c r="H66" s="36" t="inlineStr">
        <is>
          <t>LR5570006 - 6</t>
        </is>
      </c>
      <c r="I66" s="36" t="inlineStr">
        <is>
          <t>Lighting (Electrical)</t>
        </is>
      </c>
      <c r="J66" s="36" t="n"/>
      <c r="K66" s="34" t="n">
        <v>4</v>
      </c>
      <c r="L66" s="34" t="inlineStr">
        <is>
          <t>PCS</t>
        </is>
      </c>
      <c r="M66" s="34" t="inlineStr">
        <is>
          <t>CENTMAR</t>
        </is>
      </c>
      <c r="N66" s="34" t="inlineStr">
        <is>
          <t>견적접수</t>
        </is>
      </c>
      <c r="O66" s="50">
        <f>IF(N(AH66)&gt;1,"중복 "&amp;AH66&amp;"곳"&amp;IF(AK66=1," · 최저가",IF(AND(N66="견적접수",R66&lt;&gt;"")," · 비쌈","")),"")</f>
        <v/>
      </c>
      <c r="P66" s="34" t="inlineStr">
        <is>
          <t>KRW</t>
        </is>
      </c>
      <c r="Q66" s="51" t="n">
        <v>152550</v>
      </c>
      <c r="R66" s="52">
        <f>IF(OR(Q66="",P66=""),"",IFERROR(IF(VLOOKUP(P66,설정!$K$5:$L$9,2,0)&gt;0,Q66*VLOOKUP(P66,설정!$K$5:$L$9,2,0),""),""))</f>
        <v/>
      </c>
      <c r="S66" s="53">
        <f>IF(OR(R66="",K66=""),"",R66*K66)</f>
        <v/>
      </c>
      <c r="T66" s="38" t="n">
        <v>70</v>
      </c>
      <c r="U66" s="54">
        <f>IF(OR(T66="",AC66="발주완료",AC66="취소"),"",TODAY()+T66)</f>
        <v/>
      </c>
      <c r="V66" s="50">
        <f>IF(OR(U66="",NOT(ISNUMBER($K$2))),"",IF(U66&lt;=$K$2,"가능","초과 "&amp;(U66-$K$2)&amp;"일"))</f>
        <v/>
      </c>
      <c r="W66" s="34" t="n"/>
      <c r="X66" s="34" t="n"/>
      <c r="Y66" s="34" t="n"/>
      <c r="Z66" s="56" t="n">
        <v>46318</v>
      </c>
      <c r="AA66" s="54">
        <f>IF(OR(Z66="",Y66=""),"",Z66+Y66)</f>
        <v/>
      </c>
      <c r="AB66" s="36" t="inlineStr">
        <is>
          <t>[중앙해사 JU26102221] LED MODULE – DAEYANG PFO600L-250AWCTFC60(R25M) LR5570006 - 6 / LEAD TIME 70 DAYS</t>
        </is>
      </c>
      <c r="AC66" s="34" t="inlineStr">
        <is>
          <t>검토중</t>
        </is>
      </c>
      <c r="AD66" s="36" t="inlineStr">
        <is>
          <t>유효기간·인도조건 미기재 – 중앙해사 확인</t>
        </is>
      </c>
      <c r="AE66" s="50">
        <f>IF(F66="","",B66&amp;"#"&amp;IF(D66="",F66,D66))</f>
        <v/>
      </c>
      <c r="AF66" s="50">
        <f>IF(AE66="","",AE66&amp;"|"&amp;M66)</f>
        <v/>
      </c>
      <c r="AG66" s="50">
        <f>IF(AE66="","",IF(COUNTIF($AE$6:AE66,AE66)=1,1,0))</f>
        <v/>
      </c>
      <c r="AH66" s="50">
        <f>IF(AE66="","",COUNTIF($AE$6:$AE$205,AE66))</f>
        <v/>
      </c>
      <c r="AI66" s="50">
        <f>IF(AE66="","",IF(AND(AG66=1,AH66&gt;1),COUNTIFS($AG$6:AG66,1,$AH$6:AH66,"&gt;1"),""))</f>
        <v/>
      </c>
      <c r="AJ66" s="50">
        <f>IF(AG66=1,IF(COUNTIFS($AE$6:$AE$205,AE66,$N$6:$N$205,"견적접수")&gt;0,1,0),"")</f>
        <v/>
      </c>
      <c r="AK66" s="50">
        <f>IF(OR(R66="",N66&lt;&gt;"견적접수"),"",IF(AND(R66=_xlfn.MINIFS($R$6:$R$205,$AE$6:$AE$205,AE66,$N$6:$N$205,"견적접수"),COUNTIFS($AE$5:AE65,AE66,$R$5:R65,R66,$N$5:N65,"견적접수")=0),1,""))</f>
        <v/>
      </c>
    </row>
    <row r="67">
      <c r="A67" s="50">
        <f>IF(F67="","",ROW()-5)</f>
        <v/>
      </c>
      <c r="B67" s="34" t="inlineStr">
        <is>
          <t>BOSUNG-04</t>
        </is>
      </c>
      <c r="C67" s="34" t="inlineStr">
        <is>
          <t>B04</t>
        </is>
      </c>
      <c r="D67" s="34" t="n">
        <v>8</v>
      </c>
      <c r="E67" s="34" t="inlineStr">
        <is>
          <t>DAEYANG</t>
        </is>
      </c>
      <c r="F67" s="36" t="inlineStr">
        <is>
          <t>LED Module</t>
        </is>
      </c>
      <c r="G67" s="36" t="inlineStr">
        <is>
          <t>PFO600L-250AWCTFC60(R25M)</t>
        </is>
      </c>
      <c r="H67" s="36" t="inlineStr">
        <is>
          <t>LR5570006 - 6</t>
        </is>
      </c>
      <c r="I67" s="36" t="inlineStr">
        <is>
          <t>Lighting System</t>
        </is>
      </c>
      <c r="J67" s="36" t="n"/>
      <c r="K67" s="34" t="n">
        <v>4</v>
      </c>
      <c r="L67" s="34" t="inlineStr">
        <is>
          <t>pcs</t>
        </is>
      </c>
      <c r="M67" s="34" t="inlineStr">
        <is>
          <t>BOSUNG</t>
        </is>
      </c>
      <c r="N67" s="34" t="inlineStr">
        <is>
          <t>미접수</t>
        </is>
      </c>
      <c r="O67" s="50">
        <f>IF(N(AH67)&gt;1,"중복 "&amp;AH67&amp;"곳"&amp;IF(AK67=1," · 최저가",IF(AND(N67="견적접수",R67&lt;&gt;"")," · 비쌈","")),"")</f>
        <v/>
      </c>
      <c r="P67" s="34" t="inlineStr">
        <is>
          <t>KRW</t>
        </is>
      </c>
      <c r="Q67" s="51" t="n"/>
      <c r="R67" s="52">
        <f>IF(OR(Q67="",P67=""),"",IFERROR(IF(VLOOKUP(P67,설정!$K$5:$L$9,2,0)&gt;0,Q67*VLOOKUP(P67,설정!$K$5:$L$9,2,0),""),""))</f>
        <v/>
      </c>
      <c r="S67" s="53">
        <f>IF(OR(R67="",K67=""),"",R67*K67)</f>
        <v/>
      </c>
      <c r="T67" s="38" t="n"/>
      <c r="U67" s="54">
        <f>IF(OR(T67="",AC67="발주완료",AC67="취소"),"",TODAY()+T67)</f>
        <v/>
      </c>
      <c r="V67" s="50">
        <f>IF(OR(U67="",NOT(ISNUMBER($K$2))),"",IF(U67&lt;=$K$2,"가능","초과 "&amp;(U67-$K$2)&amp;"일"))</f>
        <v/>
      </c>
      <c r="W67" s="34" t="n"/>
      <c r="X67" s="34" t="n"/>
      <c r="Y67" s="34" t="n"/>
      <c r="Z67" s="55" t="n"/>
      <c r="AA67" s="54">
        <f>IF(OR(Z67="",Y67=""),"",Z67+Y67)</f>
        <v/>
      </c>
      <c r="AB67" s="36" t="inlineStr">
        <is>
          <t>[보성 RFQ 04 발송 2026-10-19] 회신 대기</t>
        </is>
      </c>
      <c r="AC67" s="34" t="inlineStr">
        <is>
          <t>검토중</t>
        </is>
      </c>
      <c r="AD67" s="36" t="inlineStr">
        <is>
          <t>보성 견적 회신 대기</t>
        </is>
      </c>
      <c r="AE67" s="50">
        <f>IF(F67="","",B67&amp;"#"&amp;IF(D67="",F67,D67))</f>
        <v/>
      </c>
      <c r="AF67" s="50">
        <f>IF(AE67="","",AE67&amp;"|"&amp;M67)</f>
        <v/>
      </c>
      <c r="AG67" s="50">
        <f>IF(AE67="","",IF(COUNTIF($AE$6:AE67,AE67)=1,1,0))</f>
        <v/>
      </c>
      <c r="AH67" s="50">
        <f>IF(AE67="","",COUNTIF($AE$6:$AE$205,AE67))</f>
        <v/>
      </c>
      <c r="AI67" s="50">
        <f>IF(AE67="","",IF(AND(AG67=1,AH67&gt;1),COUNTIFS($AG$6:AG67,1,$AH$6:AH67,"&gt;1"),""))</f>
        <v/>
      </c>
      <c r="AJ67" s="50">
        <f>IF(AG67=1,IF(COUNTIFS($AE$6:$AE$205,AE67,$N$6:$N$205,"견적접수")&gt;0,1,0),"")</f>
        <v/>
      </c>
      <c r="AK67" s="50">
        <f>IF(OR(R67="",N67&lt;&gt;"견적접수"),"",IF(AND(R67=_xlfn.MINIFS($R$6:$R$205,$AE$6:$AE$205,AE67,$N$6:$N$205,"견적접수"),COUNTIFS($AE$5:AE66,AE67,$R$5:R66,R67,$N$5:N66,"견적접수")=0),1,""))</f>
        <v/>
      </c>
    </row>
    <row r="68">
      <c r="A68" s="50">
        <f>IF(F68="","",ROW()-5)</f>
        <v/>
      </c>
      <c r="B68" s="34" t="inlineStr">
        <is>
          <t>BOSUNG-05</t>
        </is>
      </c>
      <c r="C68" s="34" t="inlineStr">
        <is>
          <t>B05</t>
        </is>
      </c>
      <c r="D68" s="34" t="n">
        <v>2</v>
      </c>
      <c r="E68" s="34" t="inlineStr">
        <is>
          <t>Hi-Air Korea</t>
        </is>
      </c>
      <c r="F68" s="36" t="inlineStr">
        <is>
          <t>Fan &amp; Motor for Shaft Generator Air Cond Unit</t>
        </is>
      </c>
      <c r="G68" s="36" t="inlineStr">
        <is>
          <t>ECA-133BL (2.2 kW 8P)</t>
        </is>
      </c>
      <c r="H68" s="36" t="inlineStr">
        <is>
          <t>DWG: HIP-20WD-02 - 1</t>
        </is>
      </c>
      <c r="I68" s="36" t="inlineStr">
        <is>
          <t>Shaft Generator room Package Air Condition</t>
        </is>
      </c>
      <c r="J68" s="36" t="n"/>
      <c r="K68" s="34" t="n">
        <v>1</v>
      </c>
      <c r="L68" s="34" t="inlineStr">
        <is>
          <t>unit</t>
        </is>
      </c>
      <c r="M68" s="34" t="inlineStr">
        <is>
          <t>BOSUNG</t>
        </is>
      </c>
      <c r="N68" s="34" t="inlineStr">
        <is>
          <t>미접수</t>
        </is>
      </c>
      <c r="O68" s="50">
        <f>IF(N(AH68)&gt;1,"중복 "&amp;AH68&amp;"곳"&amp;IF(AK68=1," · 최저가",IF(AND(N68="견적접수",R68&lt;&gt;"")," · 비쌈","")),"")</f>
        <v/>
      </c>
      <c r="P68" s="34" t="inlineStr">
        <is>
          <t>KRW</t>
        </is>
      </c>
      <c r="Q68" s="51" t="n"/>
      <c r="R68" s="52">
        <f>IF(OR(Q68="",P68=""),"",IFERROR(IF(VLOOKUP(P68,설정!$K$5:$L$9,2,0)&gt;0,Q68*VLOOKUP(P68,설정!$K$5:$L$9,2,0),""),""))</f>
        <v/>
      </c>
      <c r="S68" s="53">
        <f>IF(OR(R68="",K68=""),"",R68*K68)</f>
        <v/>
      </c>
      <c r="T68" s="38" t="n"/>
      <c r="U68" s="54">
        <f>IF(OR(T68="",AC68="발주완료",AC68="취소"),"",TODAY()+T68)</f>
        <v/>
      </c>
      <c r="V68" s="50">
        <f>IF(OR(U68="",NOT(ISNUMBER($K$2))),"",IF(U68&lt;=$K$2,"가능","초과 "&amp;(U68-$K$2)&amp;"일"))</f>
        <v/>
      </c>
      <c r="W68" s="34" t="n"/>
      <c r="X68" s="34" t="n"/>
      <c r="Y68" s="34" t="n"/>
      <c r="Z68" s="55" t="n"/>
      <c r="AA68" s="54">
        <f>IF(OR(Z68="",Y68=""),"",Z68+Y68)</f>
        <v/>
      </c>
      <c r="AB68" s="36" t="inlineStr">
        <is>
          <t>[보성 RFQ 05 발송 2026-10-19] 회신 대기</t>
        </is>
      </c>
      <c r="AC68" s="34" t="inlineStr">
        <is>
          <t>검토중</t>
        </is>
      </c>
      <c r="AD68" s="36" t="inlineStr">
        <is>
          <t>보성 견적 회신 대기</t>
        </is>
      </c>
      <c r="AE68" s="50">
        <f>IF(F68="","",B68&amp;"#"&amp;IF(D68="",F68,D68))</f>
        <v/>
      </c>
      <c r="AF68" s="50">
        <f>IF(AE68="","",AE68&amp;"|"&amp;M68)</f>
        <v/>
      </c>
      <c r="AG68" s="50">
        <f>IF(AE68="","",IF(COUNTIF($AE$6:AE68,AE68)=1,1,0))</f>
        <v/>
      </c>
      <c r="AH68" s="50">
        <f>IF(AE68="","",COUNTIF($AE$6:$AE$205,AE68))</f>
        <v/>
      </c>
      <c r="AI68" s="50">
        <f>IF(AE68="","",IF(AND(AG68=1,AH68&gt;1),COUNTIFS($AG$6:AG68,1,$AH$6:AH68,"&gt;1"),""))</f>
        <v/>
      </c>
      <c r="AJ68" s="50">
        <f>IF(AG68=1,IF(COUNTIFS($AE$6:$AE$205,AE68,$N$6:$N$205,"견적접수")&gt;0,1,0),"")</f>
        <v/>
      </c>
      <c r="AK68" s="50">
        <f>IF(OR(R68="",N68&lt;&gt;"견적접수"),"",IF(AND(R68=_xlfn.MINIFS($R$6:$R$205,$AE$6:$AE$205,AE68,$N$6:$N$205,"견적접수"),COUNTIFS($AE$5:AE67,AE68,$R$5:R67,R68,$N$5:N67,"견적접수")=0),1,""))</f>
        <v/>
      </c>
    </row>
    <row r="69">
      <c r="A69" s="50">
        <f>IF(F69="","",ROW()-5)</f>
        <v/>
      </c>
      <c r="B69" s="34" t="n"/>
      <c r="C69" s="34" t="n"/>
      <c r="D69" s="34" t="n"/>
      <c r="E69" s="34" t="n"/>
      <c r="F69" s="36" t="n"/>
      <c r="G69" s="36" t="n"/>
      <c r="H69" s="36" t="n"/>
      <c r="I69" s="36" t="n"/>
      <c r="J69" s="36" t="n"/>
      <c r="K69" s="34" t="n"/>
      <c r="L69" s="34" t="n"/>
      <c r="M69" s="34" t="n"/>
      <c r="N69" s="34" t="n"/>
      <c r="O69" s="50">
        <f>IF(N(AH69)&gt;1,"중복 "&amp;AH69&amp;"곳"&amp;IF(AK69=1," · 최저가",IF(AND(N69="견적접수",R69&lt;&gt;"")," · 비쌈","")),"")</f>
        <v/>
      </c>
      <c r="P69" s="34" t="n"/>
      <c r="Q69" s="51" t="n"/>
      <c r="R69" s="52">
        <f>IF(OR(Q69="",P69=""),"",IFERROR(IF(VLOOKUP(P69,설정!$K$5:$L$9,2,0)&gt;0,Q69*VLOOKUP(P69,설정!$K$5:$L$9,2,0),""),""))</f>
        <v/>
      </c>
      <c r="S69" s="53">
        <f>IF(OR(R69="",K69=""),"",R69*K69)</f>
        <v/>
      </c>
      <c r="T69" s="38" t="n"/>
      <c r="U69" s="54">
        <f>IF(OR(T69="",AC69="발주완료",AC69="취소"),"",TODAY()+T69)</f>
        <v/>
      </c>
      <c r="V69" s="50">
        <f>IF(OR(U69="",NOT(ISNUMBER($K$2))),"",IF(U69&lt;=$K$2,"가능","초과 "&amp;(U69-$K$2)&amp;"일"))</f>
        <v/>
      </c>
      <c r="W69" s="34" t="n"/>
      <c r="X69" s="34" t="n"/>
      <c r="Y69" s="34" t="n"/>
      <c r="Z69" s="56" t="n"/>
      <c r="AA69" s="54">
        <f>IF(OR(Z69="",Y69=""),"",Z69+Y69)</f>
        <v/>
      </c>
      <c r="AB69" s="36" t="n"/>
      <c r="AC69" s="34" t="n"/>
      <c r="AD69" s="36" t="n"/>
      <c r="AE69" s="50">
        <f>IF(F69="","",B69&amp;"#"&amp;IF(D69="",F69,D69))</f>
        <v/>
      </c>
      <c r="AF69" s="50">
        <f>IF(AE69="","",AE69&amp;"|"&amp;M69)</f>
        <v/>
      </c>
      <c r="AG69" s="50">
        <f>IF(AE69="","",IF(COUNTIF($AE$6:AE69,AE69)=1,1,0))</f>
        <v/>
      </c>
      <c r="AH69" s="50">
        <f>IF(AE69="","",COUNTIF($AE$6:$AE$205,AE69))</f>
        <v/>
      </c>
      <c r="AI69" s="50">
        <f>IF(AE69="","",IF(AND(AG69=1,AH69&gt;1),COUNTIFS($AG$6:AG69,1,$AH$6:AH69,"&gt;1"),""))</f>
        <v/>
      </c>
      <c r="AJ69" s="50">
        <f>IF(AG69=1,IF(COUNTIFS($AE$6:$AE$205,AE69,$N$6:$N$205,"견적접수")&gt;0,1,0),"")</f>
        <v/>
      </c>
      <c r="AK69" s="50">
        <f>IF(OR(R69="",N69&lt;&gt;"견적접수"),"",IF(AND(R69=_xlfn.MINIFS($R$6:$R$205,$AE$6:$AE$205,AE69,$N$6:$N$205,"견적접수"),COUNTIFS($AE$5:AE68,AE69,$R$5:R68,R69,$N$5:N68,"견적접수")=0),1,""))</f>
        <v/>
      </c>
    </row>
    <row r="70">
      <c r="A70" s="50">
        <f>IF(F70="","",ROW()-5)</f>
        <v/>
      </c>
      <c r="B70" s="34" t="n"/>
      <c r="C70" s="34" t="n"/>
      <c r="D70" s="34" t="n"/>
      <c r="E70" s="34" t="n"/>
      <c r="F70" s="36" t="n"/>
      <c r="G70" s="36" t="n"/>
      <c r="H70" s="36" t="n"/>
      <c r="I70" s="36" t="n"/>
      <c r="J70" s="36" t="n"/>
      <c r="K70" s="34" t="n"/>
      <c r="L70" s="34" t="n"/>
      <c r="M70" s="34" t="n"/>
      <c r="N70" s="34" t="n"/>
      <c r="O70" s="50">
        <f>IF(N(AH70)&gt;1,"중복 "&amp;AH70&amp;"곳"&amp;IF(AK70=1," · 최저가",IF(AND(N70="견적접수",R70&lt;&gt;"")," · 비쌈","")),"")</f>
        <v/>
      </c>
      <c r="P70" s="34" t="n"/>
      <c r="Q70" s="51" t="n"/>
      <c r="R70" s="52">
        <f>IF(OR(Q70="",P70=""),"",IFERROR(IF(VLOOKUP(P70,설정!$K$5:$L$9,2,0)&gt;0,Q70*VLOOKUP(P70,설정!$K$5:$L$9,2,0),""),""))</f>
        <v/>
      </c>
      <c r="S70" s="53">
        <f>IF(OR(R70="",K70=""),"",R70*K70)</f>
        <v/>
      </c>
      <c r="T70" s="38" t="n"/>
      <c r="U70" s="54">
        <f>IF(OR(T70="",AC70="발주완료",AC70="취소"),"",TODAY()+T70)</f>
        <v/>
      </c>
      <c r="V70" s="50">
        <f>IF(OR(U70="",NOT(ISNUMBER($K$2))),"",IF(U70&lt;=$K$2,"가능","초과 "&amp;(U70-$K$2)&amp;"일"))</f>
        <v/>
      </c>
      <c r="W70" s="34" t="n"/>
      <c r="X70" s="34" t="n"/>
      <c r="Y70" s="34" t="n"/>
      <c r="Z70" s="56" t="n"/>
      <c r="AA70" s="54">
        <f>IF(OR(Z70="",Y70=""),"",Z70+Y70)</f>
        <v/>
      </c>
      <c r="AB70" s="36" t="n"/>
      <c r="AC70" s="34" t="n"/>
      <c r="AD70" s="36" t="n"/>
      <c r="AE70" s="50">
        <f>IF(F70="","",B70&amp;"#"&amp;IF(D70="",F70,D70))</f>
        <v/>
      </c>
      <c r="AF70" s="50">
        <f>IF(AE70="","",AE70&amp;"|"&amp;M70)</f>
        <v/>
      </c>
      <c r="AG70" s="50">
        <f>IF(AE70="","",IF(COUNTIF($AE$6:AE70,AE70)=1,1,0))</f>
        <v/>
      </c>
      <c r="AH70" s="50">
        <f>IF(AE70="","",COUNTIF($AE$6:$AE$205,AE70))</f>
        <v/>
      </c>
      <c r="AI70" s="50">
        <f>IF(AE70="","",IF(AND(AG70=1,AH70&gt;1),COUNTIFS($AG$6:AG70,1,$AH$6:AH70,"&gt;1"),""))</f>
        <v/>
      </c>
      <c r="AJ70" s="50">
        <f>IF(AG70=1,IF(COUNTIFS($AE$6:$AE$205,AE70,$N$6:$N$205,"견적접수")&gt;0,1,0),"")</f>
        <v/>
      </c>
      <c r="AK70" s="50">
        <f>IF(OR(R70="",N70&lt;&gt;"견적접수"),"",IF(AND(R70=_xlfn.MINIFS($R$6:$R$205,$AE$6:$AE$205,AE70,$N$6:$N$205,"견적접수"),COUNTIFS($AE$5:AE69,AE70,$R$5:R69,R70,$N$5:N69,"견적접수")=0),1,""))</f>
        <v/>
      </c>
    </row>
    <row r="71">
      <c r="A71" s="50">
        <f>IF(F71="","",ROW()-5)</f>
        <v/>
      </c>
      <c r="B71" s="34" t="n"/>
      <c r="C71" s="34" t="n"/>
      <c r="D71" s="34" t="n"/>
      <c r="E71" s="34" t="n"/>
      <c r="F71" s="36" t="n"/>
      <c r="G71" s="36" t="n"/>
      <c r="H71" s="36" t="n"/>
      <c r="I71" s="36" t="n"/>
      <c r="J71" s="36" t="n"/>
      <c r="K71" s="34" t="n"/>
      <c r="L71" s="34" t="n"/>
      <c r="M71" s="34" t="n"/>
      <c r="N71" s="34" t="n"/>
      <c r="O71" s="50">
        <f>IF(N(AH71)&gt;1,"중복 "&amp;AH71&amp;"곳"&amp;IF(AK71=1," · 최저가",IF(AND(N71="견적접수",R71&lt;&gt;"")," · 비쌈","")),"")</f>
        <v/>
      </c>
      <c r="P71" s="34" t="n"/>
      <c r="Q71" s="51" t="n"/>
      <c r="R71" s="52">
        <f>IF(OR(Q71="",P71=""),"",IFERROR(IF(VLOOKUP(P71,설정!$K$5:$L$9,2,0)&gt;0,Q71*VLOOKUP(P71,설정!$K$5:$L$9,2,0),""),""))</f>
        <v/>
      </c>
      <c r="S71" s="53">
        <f>IF(OR(R71="",K71=""),"",R71*K71)</f>
        <v/>
      </c>
      <c r="T71" s="38" t="n"/>
      <c r="U71" s="54">
        <f>IF(OR(T71="",AC71="발주완료",AC71="취소"),"",TODAY()+T71)</f>
        <v/>
      </c>
      <c r="V71" s="50">
        <f>IF(OR(U71="",NOT(ISNUMBER($K$2))),"",IF(U71&lt;=$K$2,"가능","초과 "&amp;(U71-$K$2)&amp;"일"))</f>
        <v/>
      </c>
      <c r="W71" s="34" t="n"/>
      <c r="X71" s="34" t="n"/>
      <c r="Y71" s="34" t="n"/>
      <c r="Z71" s="56" t="n"/>
      <c r="AA71" s="54">
        <f>IF(OR(Z71="",Y71=""),"",Z71+Y71)</f>
        <v/>
      </c>
      <c r="AB71" s="36" t="n"/>
      <c r="AC71" s="34" t="n"/>
      <c r="AD71" s="36" t="n"/>
      <c r="AE71" s="50">
        <f>IF(F71="","",B71&amp;"#"&amp;IF(D71="",F71,D71))</f>
        <v/>
      </c>
      <c r="AF71" s="50">
        <f>IF(AE71="","",AE71&amp;"|"&amp;M71)</f>
        <v/>
      </c>
      <c r="AG71" s="50">
        <f>IF(AE71="","",IF(COUNTIF($AE$6:AE71,AE71)=1,1,0))</f>
        <v/>
      </c>
      <c r="AH71" s="50">
        <f>IF(AE71="","",COUNTIF($AE$6:$AE$205,AE71))</f>
        <v/>
      </c>
      <c r="AI71" s="50">
        <f>IF(AE71="","",IF(AND(AG71=1,AH71&gt;1),COUNTIFS($AG$6:AG71,1,$AH$6:AH71,"&gt;1"),""))</f>
        <v/>
      </c>
      <c r="AJ71" s="50">
        <f>IF(AG71=1,IF(COUNTIFS($AE$6:$AE$205,AE71,$N$6:$N$205,"견적접수")&gt;0,1,0),"")</f>
        <v/>
      </c>
      <c r="AK71" s="50">
        <f>IF(OR(R71="",N71&lt;&gt;"견적접수"),"",IF(AND(R71=_xlfn.MINIFS($R$6:$R$205,$AE$6:$AE$205,AE71,$N$6:$N$205,"견적접수"),COUNTIFS($AE$5:AE70,AE71,$R$5:R70,R71,$N$5:N70,"견적접수")=0),1,""))</f>
        <v/>
      </c>
    </row>
    <row r="72">
      <c r="A72" s="50">
        <f>IF(F72="","",ROW()-5)</f>
        <v/>
      </c>
      <c r="B72" s="34" t="n"/>
      <c r="C72" s="34" t="n"/>
      <c r="D72" s="34" t="n"/>
      <c r="E72" s="34" t="n"/>
      <c r="F72" s="36" t="n"/>
      <c r="G72" s="36" t="n"/>
      <c r="H72" s="36" t="n"/>
      <c r="I72" s="36" t="n"/>
      <c r="J72" s="36" t="n"/>
      <c r="K72" s="34" t="n"/>
      <c r="L72" s="34" t="n"/>
      <c r="M72" s="34" t="n"/>
      <c r="N72" s="34" t="n"/>
      <c r="O72" s="50">
        <f>IF(N(AH72)&gt;1,"중복 "&amp;AH72&amp;"곳"&amp;IF(AK72=1," · 최저가",IF(AND(N72="견적접수",R72&lt;&gt;"")," · 비쌈","")),"")</f>
        <v/>
      </c>
      <c r="P72" s="34" t="n"/>
      <c r="Q72" s="51" t="n"/>
      <c r="R72" s="52">
        <f>IF(OR(Q72="",P72=""),"",IFERROR(IF(VLOOKUP(P72,설정!$K$5:$L$9,2,0)&gt;0,Q72*VLOOKUP(P72,설정!$K$5:$L$9,2,0),""),""))</f>
        <v/>
      </c>
      <c r="S72" s="53">
        <f>IF(OR(R72="",K72=""),"",R72*K72)</f>
        <v/>
      </c>
      <c r="T72" s="38" t="n"/>
      <c r="U72" s="54">
        <f>IF(OR(T72="",AC72="발주완료",AC72="취소"),"",TODAY()+T72)</f>
        <v/>
      </c>
      <c r="V72" s="50">
        <f>IF(OR(U72="",NOT(ISNUMBER($K$2))),"",IF(U72&lt;=$K$2,"가능","초과 "&amp;(U72-$K$2)&amp;"일"))</f>
        <v/>
      </c>
      <c r="W72" s="34" t="n"/>
      <c r="X72" s="34" t="n"/>
      <c r="Y72" s="34" t="n"/>
      <c r="Z72" s="56" t="n"/>
      <c r="AA72" s="54">
        <f>IF(OR(Z72="",Y72=""),"",Z72+Y72)</f>
        <v/>
      </c>
      <c r="AB72" s="36" t="n"/>
      <c r="AC72" s="34" t="n"/>
      <c r="AD72" s="36" t="n"/>
      <c r="AE72" s="50">
        <f>IF(F72="","",B72&amp;"#"&amp;IF(D72="",F72,D72))</f>
        <v/>
      </c>
      <c r="AF72" s="50">
        <f>IF(AE72="","",AE72&amp;"|"&amp;M72)</f>
        <v/>
      </c>
      <c r="AG72" s="50">
        <f>IF(AE72="","",IF(COUNTIF($AE$6:AE72,AE72)=1,1,0))</f>
        <v/>
      </c>
      <c r="AH72" s="50">
        <f>IF(AE72="","",COUNTIF($AE$6:$AE$205,AE72))</f>
        <v/>
      </c>
      <c r="AI72" s="50">
        <f>IF(AE72="","",IF(AND(AG72=1,AH72&gt;1),COUNTIFS($AG$6:AG72,1,$AH$6:AH72,"&gt;1"),""))</f>
        <v/>
      </c>
      <c r="AJ72" s="50">
        <f>IF(AG72=1,IF(COUNTIFS($AE$6:$AE$205,AE72,$N$6:$N$205,"견적접수")&gt;0,1,0),"")</f>
        <v/>
      </c>
      <c r="AK72" s="50">
        <f>IF(OR(R72="",N72&lt;&gt;"견적접수"),"",IF(AND(R72=_xlfn.MINIFS($R$6:$R$205,$AE$6:$AE$205,AE72,$N$6:$N$205,"견적접수"),COUNTIFS($AE$5:AE71,AE72,$R$5:R71,R72,$N$5:N71,"견적접수")=0),1,""))</f>
        <v/>
      </c>
    </row>
    <row r="73">
      <c r="A73" s="50">
        <f>IF(F73="","",ROW()-5)</f>
        <v/>
      </c>
      <c r="B73" s="34" t="n"/>
      <c r="C73" s="34" t="n"/>
      <c r="D73" s="34" t="n"/>
      <c r="E73" s="34" t="n"/>
      <c r="F73" s="36" t="n"/>
      <c r="G73" s="36" t="n"/>
      <c r="H73" s="36" t="n"/>
      <c r="I73" s="36" t="n"/>
      <c r="J73" s="36" t="n"/>
      <c r="K73" s="34" t="n"/>
      <c r="L73" s="34" t="n"/>
      <c r="M73" s="34" t="n"/>
      <c r="N73" s="34" t="n"/>
      <c r="O73" s="50">
        <f>IF(N(AH73)&gt;1,"중복 "&amp;AH73&amp;"곳"&amp;IF(AK73=1," · 최저가",IF(AND(N73="견적접수",R73&lt;&gt;"")," · 비쌈","")),"")</f>
        <v/>
      </c>
      <c r="P73" s="34" t="n"/>
      <c r="Q73" s="51" t="n"/>
      <c r="R73" s="52">
        <f>IF(OR(Q73="",P73=""),"",IFERROR(IF(VLOOKUP(P73,설정!$K$5:$L$9,2,0)&gt;0,Q73*VLOOKUP(P73,설정!$K$5:$L$9,2,0),""),""))</f>
        <v/>
      </c>
      <c r="S73" s="53">
        <f>IF(OR(R73="",K73=""),"",R73*K73)</f>
        <v/>
      </c>
      <c r="T73" s="38" t="n"/>
      <c r="U73" s="54">
        <f>IF(OR(T73="",AC73="발주완료",AC73="취소"),"",TODAY()+T73)</f>
        <v/>
      </c>
      <c r="V73" s="50">
        <f>IF(OR(U73="",NOT(ISNUMBER($K$2))),"",IF(U73&lt;=$K$2,"가능","초과 "&amp;(U73-$K$2)&amp;"일"))</f>
        <v/>
      </c>
      <c r="W73" s="34" t="n"/>
      <c r="X73" s="34" t="n"/>
      <c r="Y73" s="34" t="n"/>
      <c r="Z73" s="56" t="n"/>
      <c r="AA73" s="54">
        <f>IF(OR(Z73="",Y73=""),"",Z73+Y73)</f>
        <v/>
      </c>
      <c r="AB73" s="36" t="n"/>
      <c r="AC73" s="34" t="n"/>
      <c r="AD73" s="36" t="n"/>
      <c r="AE73" s="50">
        <f>IF(F73="","",B73&amp;"#"&amp;IF(D73="",F73,D73))</f>
        <v/>
      </c>
      <c r="AF73" s="50">
        <f>IF(AE73="","",AE73&amp;"|"&amp;M73)</f>
        <v/>
      </c>
      <c r="AG73" s="50">
        <f>IF(AE73="","",IF(COUNTIF($AE$6:AE73,AE73)=1,1,0))</f>
        <v/>
      </c>
      <c r="AH73" s="50">
        <f>IF(AE73="","",COUNTIF($AE$6:$AE$205,AE73))</f>
        <v/>
      </c>
      <c r="AI73" s="50">
        <f>IF(AE73="","",IF(AND(AG73=1,AH73&gt;1),COUNTIFS($AG$6:AG73,1,$AH$6:AH73,"&gt;1"),""))</f>
        <v/>
      </c>
      <c r="AJ73" s="50">
        <f>IF(AG73=1,IF(COUNTIFS($AE$6:$AE$205,AE73,$N$6:$N$205,"견적접수")&gt;0,1,0),"")</f>
        <v/>
      </c>
      <c r="AK73" s="50">
        <f>IF(OR(R73="",N73&lt;&gt;"견적접수"),"",IF(AND(R73=_xlfn.MINIFS($R$6:$R$205,$AE$6:$AE$205,AE73,$N$6:$N$205,"견적접수"),COUNTIFS($AE$5:AE72,AE73,$R$5:R72,R73,$N$5:N72,"견적접수")=0),1,""))</f>
        <v/>
      </c>
    </row>
    <row r="74">
      <c r="A74" s="50">
        <f>IF(F74="","",ROW()-5)</f>
        <v/>
      </c>
      <c r="B74" s="34" t="n"/>
      <c r="C74" s="34" t="n"/>
      <c r="D74" s="34" t="n"/>
      <c r="E74" s="34" t="n"/>
      <c r="F74" s="36" t="n"/>
      <c r="G74" s="36" t="n"/>
      <c r="H74" s="36" t="n"/>
      <c r="I74" s="36" t="n"/>
      <c r="J74" s="36" t="n"/>
      <c r="K74" s="34" t="n"/>
      <c r="L74" s="34" t="n"/>
      <c r="M74" s="34" t="n"/>
      <c r="N74" s="34" t="n"/>
      <c r="O74" s="50">
        <f>IF(N(AH74)&gt;1,"중복 "&amp;AH74&amp;"곳"&amp;IF(AK74=1," · 최저가",IF(AND(N74="견적접수",R74&lt;&gt;"")," · 비쌈","")),"")</f>
        <v/>
      </c>
      <c r="P74" s="34" t="n"/>
      <c r="Q74" s="51" t="n"/>
      <c r="R74" s="52">
        <f>IF(OR(Q74="",P74=""),"",IFERROR(IF(VLOOKUP(P74,설정!$K$5:$L$9,2,0)&gt;0,Q74*VLOOKUP(P74,설정!$K$5:$L$9,2,0),""),""))</f>
        <v/>
      </c>
      <c r="S74" s="53">
        <f>IF(OR(R74="",K74=""),"",R74*K74)</f>
        <v/>
      </c>
      <c r="T74" s="38" t="n"/>
      <c r="U74" s="54">
        <f>IF(OR(T74="",AC74="발주완료",AC74="취소"),"",TODAY()+T74)</f>
        <v/>
      </c>
      <c r="V74" s="50">
        <f>IF(OR(U74="",NOT(ISNUMBER($K$2))),"",IF(U74&lt;=$K$2,"가능","초과 "&amp;(U74-$K$2)&amp;"일"))</f>
        <v/>
      </c>
      <c r="W74" s="34" t="n"/>
      <c r="X74" s="34" t="n"/>
      <c r="Y74" s="34" t="n"/>
      <c r="Z74" s="56" t="n"/>
      <c r="AA74" s="54">
        <f>IF(OR(Z74="",Y74=""),"",Z74+Y74)</f>
        <v/>
      </c>
      <c r="AB74" s="36" t="n"/>
      <c r="AC74" s="34" t="n"/>
      <c r="AD74" s="36" t="n"/>
      <c r="AE74" s="50">
        <f>IF(F74="","",B74&amp;"#"&amp;IF(D74="",F74,D74))</f>
        <v/>
      </c>
      <c r="AF74" s="50">
        <f>IF(AE74="","",AE74&amp;"|"&amp;M74)</f>
        <v/>
      </c>
      <c r="AG74" s="50">
        <f>IF(AE74="","",IF(COUNTIF($AE$6:AE74,AE74)=1,1,0))</f>
        <v/>
      </c>
      <c r="AH74" s="50">
        <f>IF(AE74="","",COUNTIF($AE$6:$AE$205,AE74))</f>
        <v/>
      </c>
      <c r="AI74" s="50">
        <f>IF(AE74="","",IF(AND(AG74=1,AH74&gt;1),COUNTIFS($AG$6:AG74,1,$AH$6:AH74,"&gt;1"),""))</f>
        <v/>
      </c>
      <c r="AJ74" s="50">
        <f>IF(AG74=1,IF(COUNTIFS($AE$6:$AE$205,AE74,$N$6:$N$205,"견적접수")&gt;0,1,0),"")</f>
        <v/>
      </c>
      <c r="AK74" s="50">
        <f>IF(OR(R74="",N74&lt;&gt;"견적접수"),"",IF(AND(R74=_xlfn.MINIFS($R$6:$R$205,$AE$6:$AE$205,AE74,$N$6:$N$205,"견적접수"),COUNTIFS($AE$5:AE73,AE74,$R$5:R73,R74,$N$5:N73,"견적접수")=0),1,""))</f>
        <v/>
      </c>
    </row>
    <row r="75">
      <c r="A75" s="50">
        <f>IF(F75="","",ROW()-5)</f>
        <v/>
      </c>
      <c r="B75" s="34" t="n"/>
      <c r="C75" s="34" t="n"/>
      <c r="D75" s="34" t="n"/>
      <c r="E75" s="34" t="n"/>
      <c r="F75" s="36" t="n"/>
      <c r="G75" s="36" t="n"/>
      <c r="H75" s="36" t="n"/>
      <c r="I75" s="36" t="n"/>
      <c r="J75" s="36" t="n"/>
      <c r="K75" s="34" t="n"/>
      <c r="L75" s="34" t="n"/>
      <c r="M75" s="34" t="n"/>
      <c r="N75" s="34" t="n"/>
      <c r="O75" s="50">
        <f>IF(N(AH75)&gt;1,"중복 "&amp;AH75&amp;"곳"&amp;IF(AK75=1," · 최저가",IF(AND(N75="견적접수",R75&lt;&gt;"")," · 비쌈","")),"")</f>
        <v/>
      </c>
      <c r="P75" s="34" t="n"/>
      <c r="Q75" s="51" t="n"/>
      <c r="R75" s="52">
        <f>IF(OR(Q75="",P75=""),"",IFERROR(IF(VLOOKUP(P75,설정!$K$5:$L$9,2,0)&gt;0,Q75*VLOOKUP(P75,설정!$K$5:$L$9,2,0),""),""))</f>
        <v/>
      </c>
      <c r="S75" s="53">
        <f>IF(OR(R75="",K75=""),"",R75*K75)</f>
        <v/>
      </c>
      <c r="T75" s="38" t="n"/>
      <c r="U75" s="54">
        <f>IF(OR(T75="",AC75="발주완료",AC75="취소"),"",TODAY()+T75)</f>
        <v/>
      </c>
      <c r="V75" s="50">
        <f>IF(OR(U75="",NOT(ISNUMBER($K$2))),"",IF(U75&lt;=$K$2,"가능","초과 "&amp;(U75-$K$2)&amp;"일"))</f>
        <v/>
      </c>
      <c r="W75" s="34" t="n"/>
      <c r="X75" s="34" t="n"/>
      <c r="Y75" s="34" t="n"/>
      <c r="Z75" s="56" t="n"/>
      <c r="AA75" s="54">
        <f>IF(OR(Z75="",Y75=""),"",Z75+Y75)</f>
        <v/>
      </c>
      <c r="AB75" s="36" t="n"/>
      <c r="AC75" s="34" t="n"/>
      <c r="AD75" s="36" t="n"/>
      <c r="AE75" s="50">
        <f>IF(F75="","",B75&amp;"#"&amp;IF(D75="",F75,D75))</f>
        <v/>
      </c>
      <c r="AF75" s="50">
        <f>IF(AE75="","",AE75&amp;"|"&amp;M75)</f>
        <v/>
      </c>
      <c r="AG75" s="50">
        <f>IF(AE75="","",IF(COUNTIF($AE$6:AE75,AE75)=1,1,0))</f>
        <v/>
      </c>
      <c r="AH75" s="50">
        <f>IF(AE75="","",COUNTIF($AE$6:$AE$205,AE75))</f>
        <v/>
      </c>
      <c r="AI75" s="50">
        <f>IF(AE75="","",IF(AND(AG75=1,AH75&gt;1),COUNTIFS($AG$6:AG75,1,$AH$6:AH75,"&gt;1"),""))</f>
        <v/>
      </c>
      <c r="AJ75" s="50">
        <f>IF(AG75=1,IF(COUNTIFS($AE$6:$AE$205,AE75,$N$6:$N$205,"견적접수")&gt;0,1,0),"")</f>
        <v/>
      </c>
      <c r="AK75" s="50">
        <f>IF(OR(R75="",N75&lt;&gt;"견적접수"),"",IF(AND(R75=_xlfn.MINIFS($R$6:$R$205,$AE$6:$AE$205,AE75,$N$6:$N$205,"견적접수"),COUNTIFS($AE$5:AE74,AE75,$R$5:R74,R75,$N$5:N74,"견적접수")=0),1,""))</f>
        <v/>
      </c>
    </row>
    <row r="76">
      <c r="A76" s="50">
        <f>IF(F76="","",ROW()-5)</f>
        <v/>
      </c>
      <c r="B76" s="34" t="n"/>
      <c r="C76" s="34" t="n"/>
      <c r="D76" s="34" t="n"/>
      <c r="E76" s="34" t="n"/>
      <c r="F76" s="36" t="n"/>
      <c r="G76" s="36" t="n"/>
      <c r="H76" s="36" t="n"/>
      <c r="I76" s="36" t="n"/>
      <c r="J76" s="36" t="n"/>
      <c r="K76" s="34" t="n"/>
      <c r="L76" s="34" t="n"/>
      <c r="M76" s="34" t="n"/>
      <c r="N76" s="34" t="n"/>
      <c r="O76" s="50">
        <f>IF(N(AH76)&gt;1,"중복 "&amp;AH76&amp;"곳"&amp;IF(AK76=1," · 최저가",IF(AND(N76="견적접수",R76&lt;&gt;"")," · 비쌈","")),"")</f>
        <v/>
      </c>
      <c r="P76" s="34" t="n"/>
      <c r="Q76" s="51" t="n"/>
      <c r="R76" s="52">
        <f>IF(OR(Q76="",P76=""),"",IFERROR(IF(VLOOKUP(P76,설정!$K$5:$L$9,2,0)&gt;0,Q76*VLOOKUP(P76,설정!$K$5:$L$9,2,0),""),""))</f>
        <v/>
      </c>
      <c r="S76" s="53">
        <f>IF(OR(R76="",K76=""),"",R76*K76)</f>
        <v/>
      </c>
      <c r="T76" s="38" t="n"/>
      <c r="U76" s="54">
        <f>IF(OR(T76="",AC76="발주완료",AC76="취소"),"",TODAY()+T76)</f>
        <v/>
      </c>
      <c r="V76" s="50">
        <f>IF(OR(U76="",NOT(ISNUMBER($K$2))),"",IF(U76&lt;=$K$2,"가능","초과 "&amp;(U76-$K$2)&amp;"일"))</f>
        <v/>
      </c>
      <c r="W76" s="34" t="n"/>
      <c r="X76" s="34" t="n"/>
      <c r="Y76" s="34" t="n"/>
      <c r="Z76" s="56" t="n"/>
      <c r="AA76" s="54">
        <f>IF(OR(Z76="",Y76=""),"",Z76+Y76)</f>
        <v/>
      </c>
      <c r="AB76" s="36" t="n"/>
      <c r="AC76" s="34" t="n"/>
      <c r="AD76" s="36" t="n"/>
      <c r="AE76" s="50">
        <f>IF(F76="","",B76&amp;"#"&amp;IF(D76="",F76,D76))</f>
        <v/>
      </c>
      <c r="AF76" s="50">
        <f>IF(AE76="","",AE76&amp;"|"&amp;M76)</f>
        <v/>
      </c>
      <c r="AG76" s="50">
        <f>IF(AE76="","",IF(COUNTIF($AE$6:AE76,AE76)=1,1,0))</f>
        <v/>
      </c>
      <c r="AH76" s="50">
        <f>IF(AE76="","",COUNTIF($AE$6:$AE$205,AE76))</f>
        <v/>
      </c>
      <c r="AI76" s="50">
        <f>IF(AE76="","",IF(AND(AG76=1,AH76&gt;1),COUNTIFS($AG$6:AG76,1,$AH$6:AH76,"&gt;1"),""))</f>
        <v/>
      </c>
      <c r="AJ76" s="50">
        <f>IF(AG76=1,IF(COUNTIFS($AE$6:$AE$205,AE76,$N$6:$N$205,"견적접수")&gt;0,1,0),"")</f>
        <v/>
      </c>
      <c r="AK76" s="50">
        <f>IF(OR(R76="",N76&lt;&gt;"견적접수"),"",IF(AND(R76=_xlfn.MINIFS($R$6:$R$205,$AE$6:$AE$205,AE76,$N$6:$N$205,"견적접수"),COUNTIFS($AE$5:AE75,AE76,$R$5:R75,R76,$N$5:N75,"견적접수")=0),1,""))</f>
        <v/>
      </c>
    </row>
    <row r="77">
      <c r="A77" s="50">
        <f>IF(F77="","",ROW()-5)</f>
        <v/>
      </c>
      <c r="B77" s="34" t="n"/>
      <c r="C77" s="34" t="n"/>
      <c r="D77" s="34" t="n"/>
      <c r="E77" s="34" t="n"/>
      <c r="F77" s="36" t="n"/>
      <c r="G77" s="36" t="n"/>
      <c r="H77" s="36" t="n"/>
      <c r="I77" s="36" t="n"/>
      <c r="J77" s="36" t="n"/>
      <c r="K77" s="34" t="n"/>
      <c r="L77" s="34" t="n"/>
      <c r="M77" s="34" t="n"/>
      <c r="N77" s="34" t="n"/>
      <c r="O77" s="50">
        <f>IF(N(AH77)&gt;1,"중복 "&amp;AH77&amp;"곳"&amp;IF(AK77=1," · 최저가",IF(AND(N77="견적접수",R77&lt;&gt;"")," · 비쌈","")),"")</f>
        <v/>
      </c>
      <c r="P77" s="34" t="n"/>
      <c r="Q77" s="51" t="n"/>
      <c r="R77" s="52">
        <f>IF(OR(Q77="",P77=""),"",IFERROR(IF(VLOOKUP(P77,설정!$K$5:$L$9,2,0)&gt;0,Q77*VLOOKUP(P77,설정!$K$5:$L$9,2,0),""),""))</f>
        <v/>
      </c>
      <c r="S77" s="53">
        <f>IF(OR(R77="",K77=""),"",R77*K77)</f>
        <v/>
      </c>
      <c r="T77" s="38" t="n"/>
      <c r="U77" s="54">
        <f>IF(OR(T77="",AC77="발주완료",AC77="취소"),"",TODAY()+T77)</f>
        <v/>
      </c>
      <c r="V77" s="50">
        <f>IF(OR(U77="",NOT(ISNUMBER($K$2))),"",IF(U77&lt;=$K$2,"가능","초과 "&amp;(U77-$K$2)&amp;"일"))</f>
        <v/>
      </c>
      <c r="W77" s="34" t="n"/>
      <c r="X77" s="34" t="n"/>
      <c r="Y77" s="34" t="n"/>
      <c r="Z77" s="56" t="n"/>
      <c r="AA77" s="54">
        <f>IF(OR(Z77="",Y77=""),"",Z77+Y77)</f>
        <v/>
      </c>
      <c r="AB77" s="36" t="n"/>
      <c r="AC77" s="34" t="n"/>
      <c r="AD77" s="36" t="n"/>
      <c r="AE77" s="50">
        <f>IF(F77="","",B77&amp;"#"&amp;IF(D77="",F77,D77))</f>
        <v/>
      </c>
      <c r="AF77" s="50">
        <f>IF(AE77="","",AE77&amp;"|"&amp;M77)</f>
        <v/>
      </c>
      <c r="AG77" s="50">
        <f>IF(AE77="","",IF(COUNTIF($AE$6:AE77,AE77)=1,1,0))</f>
        <v/>
      </c>
      <c r="AH77" s="50">
        <f>IF(AE77="","",COUNTIF($AE$6:$AE$205,AE77))</f>
        <v/>
      </c>
      <c r="AI77" s="50">
        <f>IF(AE77="","",IF(AND(AG77=1,AH77&gt;1),COUNTIFS($AG$6:AG77,1,$AH$6:AH77,"&gt;1"),""))</f>
        <v/>
      </c>
      <c r="AJ77" s="50">
        <f>IF(AG77=1,IF(COUNTIFS($AE$6:$AE$205,AE77,$N$6:$N$205,"견적접수")&gt;0,1,0),"")</f>
        <v/>
      </c>
      <c r="AK77" s="50">
        <f>IF(OR(R77="",N77&lt;&gt;"견적접수"),"",IF(AND(R77=_xlfn.MINIFS($R$6:$R$205,$AE$6:$AE$205,AE77,$N$6:$N$205,"견적접수"),COUNTIFS($AE$5:AE76,AE77,$R$5:R76,R77,$N$5:N76,"견적접수")=0),1,""))</f>
        <v/>
      </c>
    </row>
    <row r="78">
      <c r="A78" s="50">
        <f>IF(F78="","",ROW()-5)</f>
        <v/>
      </c>
      <c r="B78" s="34" t="n"/>
      <c r="C78" s="34" t="n"/>
      <c r="D78" s="34" t="n"/>
      <c r="E78" s="34" t="n"/>
      <c r="F78" s="36" t="n"/>
      <c r="G78" s="36" t="n"/>
      <c r="H78" s="36" t="n"/>
      <c r="I78" s="36" t="n"/>
      <c r="J78" s="36" t="n"/>
      <c r="K78" s="34" t="n"/>
      <c r="L78" s="34" t="n"/>
      <c r="M78" s="34" t="n"/>
      <c r="N78" s="34" t="n"/>
      <c r="O78" s="50">
        <f>IF(N(AH78)&gt;1,"중복 "&amp;AH78&amp;"곳"&amp;IF(AK78=1," · 최저가",IF(AND(N78="견적접수",R78&lt;&gt;"")," · 비쌈","")),"")</f>
        <v/>
      </c>
      <c r="P78" s="34" t="n"/>
      <c r="Q78" s="51" t="n"/>
      <c r="R78" s="52">
        <f>IF(OR(Q78="",P78=""),"",IFERROR(IF(VLOOKUP(P78,설정!$K$5:$L$9,2,0)&gt;0,Q78*VLOOKUP(P78,설정!$K$5:$L$9,2,0),""),""))</f>
        <v/>
      </c>
      <c r="S78" s="53">
        <f>IF(OR(R78="",K78=""),"",R78*K78)</f>
        <v/>
      </c>
      <c r="T78" s="38" t="n"/>
      <c r="U78" s="54">
        <f>IF(OR(T78="",AC78="발주완료",AC78="취소"),"",TODAY()+T78)</f>
        <v/>
      </c>
      <c r="V78" s="50">
        <f>IF(OR(U78="",NOT(ISNUMBER($K$2))),"",IF(U78&lt;=$K$2,"가능","초과 "&amp;(U78-$K$2)&amp;"일"))</f>
        <v/>
      </c>
      <c r="W78" s="34" t="n"/>
      <c r="X78" s="34" t="n"/>
      <c r="Y78" s="34" t="n"/>
      <c r="Z78" s="56" t="n"/>
      <c r="AA78" s="54">
        <f>IF(OR(Z78="",Y78=""),"",Z78+Y78)</f>
        <v/>
      </c>
      <c r="AB78" s="36" t="n"/>
      <c r="AC78" s="34" t="n"/>
      <c r="AD78" s="36" t="n"/>
      <c r="AE78" s="50">
        <f>IF(F78="","",B78&amp;"#"&amp;IF(D78="",F78,D78))</f>
        <v/>
      </c>
      <c r="AF78" s="50">
        <f>IF(AE78="","",AE78&amp;"|"&amp;M78)</f>
        <v/>
      </c>
      <c r="AG78" s="50">
        <f>IF(AE78="","",IF(COUNTIF($AE$6:AE78,AE78)=1,1,0))</f>
        <v/>
      </c>
      <c r="AH78" s="50">
        <f>IF(AE78="","",COUNTIF($AE$6:$AE$205,AE78))</f>
        <v/>
      </c>
      <c r="AI78" s="50">
        <f>IF(AE78="","",IF(AND(AG78=1,AH78&gt;1),COUNTIFS($AG$6:AG78,1,$AH$6:AH78,"&gt;1"),""))</f>
        <v/>
      </c>
      <c r="AJ78" s="50">
        <f>IF(AG78=1,IF(COUNTIFS($AE$6:$AE$205,AE78,$N$6:$N$205,"견적접수")&gt;0,1,0),"")</f>
        <v/>
      </c>
      <c r="AK78" s="50">
        <f>IF(OR(R78="",N78&lt;&gt;"견적접수"),"",IF(AND(R78=_xlfn.MINIFS($R$6:$R$205,$AE$6:$AE$205,AE78,$N$6:$N$205,"견적접수"),COUNTIFS($AE$5:AE77,AE78,$R$5:R77,R78,$N$5:N77,"견적접수")=0),1,""))</f>
        <v/>
      </c>
    </row>
    <row r="79">
      <c r="A79" s="50">
        <f>IF(F79="","",ROW()-5)</f>
        <v/>
      </c>
      <c r="B79" s="34" t="n"/>
      <c r="C79" s="34" t="n"/>
      <c r="D79" s="34" t="n"/>
      <c r="E79" s="34" t="n"/>
      <c r="F79" s="36" t="n"/>
      <c r="G79" s="36" t="n"/>
      <c r="H79" s="36" t="n"/>
      <c r="I79" s="36" t="n"/>
      <c r="J79" s="36" t="n"/>
      <c r="K79" s="34" t="n"/>
      <c r="L79" s="34" t="n"/>
      <c r="M79" s="34" t="n"/>
      <c r="N79" s="34" t="n"/>
      <c r="O79" s="50">
        <f>IF(N(AH79)&gt;1,"중복 "&amp;AH79&amp;"곳"&amp;IF(AK79=1," · 최저가",IF(AND(N79="견적접수",R79&lt;&gt;"")," · 비쌈","")),"")</f>
        <v/>
      </c>
      <c r="P79" s="34" t="n"/>
      <c r="Q79" s="51" t="n"/>
      <c r="R79" s="52">
        <f>IF(OR(Q79="",P79=""),"",IFERROR(IF(VLOOKUP(P79,설정!$K$5:$L$9,2,0)&gt;0,Q79*VLOOKUP(P79,설정!$K$5:$L$9,2,0),""),""))</f>
        <v/>
      </c>
      <c r="S79" s="53">
        <f>IF(OR(R79="",K79=""),"",R79*K79)</f>
        <v/>
      </c>
      <c r="T79" s="38" t="n"/>
      <c r="U79" s="54">
        <f>IF(OR(T79="",AC79="발주완료",AC79="취소"),"",TODAY()+T79)</f>
        <v/>
      </c>
      <c r="V79" s="50">
        <f>IF(OR(U79="",NOT(ISNUMBER($K$2))),"",IF(U79&lt;=$K$2,"가능","초과 "&amp;(U79-$K$2)&amp;"일"))</f>
        <v/>
      </c>
      <c r="W79" s="34" t="n"/>
      <c r="X79" s="34" t="n"/>
      <c r="Y79" s="34" t="n"/>
      <c r="Z79" s="56" t="n"/>
      <c r="AA79" s="54">
        <f>IF(OR(Z79="",Y79=""),"",Z79+Y79)</f>
        <v/>
      </c>
      <c r="AB79" s="36" t="n"/>
      <c r="AC79" s="34" t="n"/>
      <c r="AD79" s="36" t="n"/>
      <c r="AE79" s="50">
        <f>IF(F79="","",B79&amp;"#"&amp;IF(D79="",F79,D79))</f>
        <v/>
      </c>
      <c r="AF79" s="50">
        <f>IF(AE79="","",AE79&amp;"|"&amp;M79)</f>
        <v/>
      </c>
      <c r="AG79" s="50">
        <f>IF(AE79="","",IF(COUNTIF($AE$6:AE79,AE79)=1,1,0))</f>
        <v/>
      </c>
      <c r="AH79" s="50">
        <f>IF(AE79="","",COUNTIF($AE$6:$AE$205,AE79))</f>
        <v/>
      </c>
      <c r="AI79" s="50">
        <f>IF(AE79="","",IF(AND(AG79=1,AH79&gt;1),COUNTIFS($AG$6:AG79,1,$AH$6:AH79,"&gt;1"),""))</f>
        <v/>
      </c>
      <c r="AJ79" s="50">
        <f>IF(AG79=1,IF(COUNTIFS($AE$6:$AE$205,AE79,$N$6:$N$205,"견적접수")&gt;0,1,0),"")</f>
        <v/>
      </c>
      <c r="AK79" s="50">
        <f>IF(OR(R79="",N79&lt;&gt;"견적접수"),"",IF(AND(R79=_xlfn.MINIFS($R$6:$R$205,$AE$6:$AE$205,AE79,$N$6:$N$205,"견적접수"),COUNTIFS($AE$5:AE78,AE79,$R$5:R78,R79,$N$5:N78,"견적접수")=0),1,""))</f>
        <v/>
      </c>
    </row>
    <row r="80">
      <c r="A80" s="50">
        <f>IF(F80="","",ROW()-5)</f>
        <v/>
      </c>
      <c r="B80" s="34" t="n"/>
      <c r="C80" s="34" t="n"/>
      <c r="D80" s="34" t="n"/>
      <c r="E80" s="34" t="n"/>
      <c r="F80" s="36" t="n"/>
      <c r="G80" s="36" t="n"/>
      <c r="H80" s="36" t="n"/>
      <c r="I80" s="36" t="n"/>
      <c r="J80" s="36" t="n"/>
      <c r="K80" s="34" t="n"/>
      <c r="L80" s="34" t="n"/>
      <c r="M80" s="34" t="n"/>
      <c r="N80" s="34" t="n"/>
      <c r="O80" s="50">
        <f>IF(N(AH80)&gt;1,"중복 "&amp;AH80&amp;"곳"&amp;IF(AK80=1," · 최저가",IF(AND(N80="견적접수",R80&lt;&gt;"")," · 비쌈","")),"")</f>
        <v/>
      </c>
      <c r="P80" s="34" t="n"/>
      <c r="Q80" s="51" t="n"/>
      <c r="R80" s="52">
        <f>IF(OR(Q80="",P80=""),"",IFERROR(IF(VLOOKUP(P80,설정!$K$5:$L$9,2,0)&gt;0,Q80*VLOOKUP(P80,설정!$K$5:$L$9,2,0),""),""))</f>
        <v/>
      </c>
      <c r="S80" s="53">
        <f>IF(OR(R80="",K80=""),"",R80*K80)</f>
        <v/>
      </c>
      <c r="T80" s="38" t="n"/>
      <c r="U80" s="54">
        <f>IF(OR(T80="",AC80="발주완료",AC80="취소"),"",TODAY()+T80)</f>
        <v/>
      </c>
      <c r="V80" s="50">
        <f>IF(OR(U80="",NOT(ISNUMBER($K$2))),"",IF(U80&lt;=$K$2,"가능","초과 "&amp;(U80-$K$2)&amp;"일"))</f>
        <v/>
      </c>
      <c r="W80" s="34" t="n"/>
      <c r="X80" s="34" t="n"/>
      <c r="Y80" s="34" t="n"/>
      <c r="Z80" s="56" t="n"/>
      <c r="AA80" s="54">
        <f>IF(OR(Z80="",Y80=""),"",Z80+Y80)</f>
        <v/>
      </c>
      <c r="AB80" s="36" t="n"/>
      <c r="AC80" s="34" t="n"/>
      <c r="AD80" s="36" t="n"/>
      <c r="AE80" s="50">
        <f>IF(F80="","",B80&amp;"#"&amp;IF(D80="",F80,D80))</f>
        <v/>
      </c>
      <c r="AF80" s="50">
        <f>IF(AE80="","",AE80&amp;"|"&amp;M80)</f>
        <v/>
      </c>
      <c r="AG80" s="50">
        <f>IF(AE80="","",IF(COUNTIF($AE$6:AE80,AE80)=1,1,0))</f>
        <v/>
      </c>
      <c r="AH80" s="50">
        <f>IF(AE80="","",COUNTIF($AE$6:$AE$205,AE80))</f>
        <v/>
      </c>
      <c r="AI80" s="50">
        <f>IF(AE80="","",IF(AND(AG80=1,AH80&gt;1),COUNTIFS($AG$6:AG80,1,$AH$6:AH80,"&gt;1"),""))</f>
        <v/>
      </c>
      <c r="AJ80" s="50">
        <f>IF(AG80=1,IF(COUNTIFS($AE$6:$AE$205,AE80,$N$6:$N$205,"견적접수")&gt;0,1,0),"")</f>
        <v/>
      </c>
      <c r="AK80" s="50">
        <f>IF(OR(R80="",N80&lt;&gt;"견적접수"),"",IF(AND(R80=_xlfn.MINIFS($R$6:$R$205,$AE$6:$AE$205,AE80,$N$6:$N$205,"견적접수"),COUNTIFS($AE$5:AE79,AE80,$R$5:R79,R80,$N$5:N79,"견적접수")=0),1,""))</f>
        <v/>
      </c>
    </row>
    <row r="81">
      <c r="A81" s="50">
        <f>IF(F81="","",ROW()-5)</f>
        <v/>
      </c>
      <c r="B81" s="34" t="n"/>
      <c r="C81" s="34" t="n"/>
      <c r="D81" s="34" t="n"/>
      <c r="E81" s="34" t="n"/>
      <c r="F81" s="36" t="n"/>
      <c r="G81" s="36" t="n"/>
      <c r="H81" s="36" t="n"/>
      <c r="I81" s="36" t="n"/>
      <c r="J81" s="36" t="n"/>
      <c r="K81" s="34" t="n"/>
      <c r="L81" s="34" t="n"/>
      <c r="M81" s="34" t="n"/>
      <c r="N81" s="34" t="n"/>
      <c r="O81" s="50">
        <f>IF(N(AH81)&gt;1,"중복 "&amp;AH81&amp;"곳"&amp;IF(AK81=1," · 최저가",IF(AND(N81="견적접수",R81&lt;&gt;"")," · 비쌈","")),"")</f>
        <v/>
      </c>
      <c r="P81" s="34" t="n"/>
      <c r="Q81" s="51" t="n"/>
      <c r="R81" s="52">
        <f>IF(OR(Q81="",P81=""),"",IFERROR(IF(VLOOKUP(P81,설정!$K$5:$L$9,2,0)&gt;0,Q81*VLOOKUP(P81,설정!$K$5:$L$9,2,0),""),""))</f>
        <v/>
      </c>
      <c r="S81" s="53">
        <f>IF(OR(R81="",K81=""),"",R81*K81)</f>
        <v/>
      </c>
      <c r="T81" s="38" t="n"/>
      <c r="U81" s="54">
        <f>IF(OR(T81="",AC81="발주완료",AC81="취소"),"",TODAY()+T81)</f>
        <v/>
      </c>
      <c r="V81" s="50">
        <f>IF(OR(U81="",NOT(ISNUMBER($K$2))),"",IF(U81&lt;=$K$2,"가능","초과 "&amp;(U81-$K$2)&amp;"일"))</f>
        <v/>
      </c>
      <c r="W81" s="34" t="n"/>
      <c r="X81" s="34" t="n"/>
      <c r="Y81" s="34" t="n"/>
      <c r="Z81" s="56" t="n"/>
      <c r="AA81" s="54">
        <f>IF(OR(Z81="",Y81=""),"",Z81+Y81)</f>
        <v/>
      </c>
      <c r="AB81" s="36" t="n"/>
      <c r="AC81" s="34" t="n"/>
      <c r="AD81" s="36" t="n"/>
      <c r="AE81" s="50">
        <f>IF(F81="","",B81&amp;"#"&amp;IF(D81="",F81,D81))</f>
        <v/>
      </c>
      <c r="AF81" s="50">
        <f>IF(AE81="","",AE81&amp;"|"&amp;M81)</f>
        <v/>
      </c>
      <c r="AG81" s="50">
        <f>IF(AE81="","",IF(COUNTIF($AE$6:AE81,AE81)=1,1,0))</f>
        <v/>
      </c>
      <c r="AH81" s="50">
        <f>IF(AE81="","",COUNTIF($AE$6:$AE$205,AE81))</f>
        <v/>
      </c>
      <c r="AI81" s="50">
        <f>IF(AE81="","",IF(AND(AG81=1,AH81&gt;1),COUNTIFS($AG$6:AG81,1,$AH$6:AH81,"&gt;1"),""))</f>
        <v/>
      </c>
      <c r="AJ81" s="50">
        <f>IF(AG81=1,IF(COUNTIFS($AE$6:$AE$205,AE81,$N$6:$N$205,"견적접수")&gt;0,1,0),"")</f>
        <v/>
      </c>
      <c r="AK81" s="50">
        <f>IF(OR(R81="",N81&lt;&gt;"견적접수"),"",IF(AND(R81=_xlfn.MINIFS($R$6:$R$205,$AE$6:$AE$205,AE81,$N$6:$N$205,"견적접수"),COUNTIFS($AE$5:AE80,AE81,$R$5:R80,R81,$N$5:N80,"견적접수")=0),1,""))</f>
        <v/>
      </c>
    </row>
    <row r="82">
      <c r="A82" s="50">
        <f>IF(F82="","",ROW()-5)</f>
        <v/>
      </c>
      <c r="B82" s="34" t="n"/>
      <c r="C82" s="34" t="n"/>
      <c r="D82" s="34" t="n"/>
      <c r="E82" s="34" t="n"/>
      <c r="F82" s="36" t="n"/>
      <c r="G82" s="36" t="n"/>
      <c r="H82" s="36" t="n"/>
      <c r="I82" s="36" t="n"/>
      <c r="J82" s="36" t="n"/>
      <c r="K82" s="34" t="n"/>
      <c r="L82" s="34" t="n"/>
      <c r="M82" s="34" t="n"/>
      <c r="N82" s="34" t="n"/>
      <c r="O82" s="50">
        <f>IF(N(AH82)&gt;1,"중복 "&amp;AH82&amp;"곳"&amp;IF(AK82=1," · 최저가",IF(AND(N82="견적접수",R82&lt;&gt;"")," · 비쌈","")),"")</f>
        <v/>
      </c>
      <c r="P82" s="34" t="n"/>
      <c r="Q82" s="51" t="n"/>
      <c r="R82" s="52">
        <f>IF(OR(Q82="",P82=""),"",IFERROR(IF(VLOOKUP(P82,설정!$K$5:$L$9,2,0)&gt;0,Q82*VLOOKUP(P82,설정!$K$5:$L$9,2,0),""),""))</f>
        <v/>
      </c>
      <c r="S82" s="53">
        <f>IF(OR(R82="",K82=""),"",R82*K82)</f>
        <v/>
      </c>
      <c r="T82" s="38" t="n"/>
      <c r="U82" s="54">
        <f>IF(OR(T82="",AC82="발주완료",AC82="취소"),"",TODAY()+T82)</f>
        <v/>
      </c>
      <c r="V82" s="50">
        <f>IF(OR(U82="",NOT(ISNUMBER($K$2))),"",IF(U82&lt;=$K$2,"가능","초과 "&amp;(U82-$K$2)&amp;"일"))</f>
        <v/>
      </c>
      <c r="W82" s="34" t="n"/>
      <c r="X82" s="34" t="n"/>
      <c r="Y82" s="34" t="n"/>
      <c r="Z82" s="56" t="n"/>
      <c r="AA82" s="54">
        <f>IF(OR(Z82="",Y82=""),"",Z82+Y82)</f>
        <v/>
      </c>
      <c r="AB82" s="36" t="n"/>
      <c r="AC82" s="34" t="n"/>
      <c r="AD82" s="36" t="n"/>
      <c r="AE82" s="50">
        <f>IF(F82="","",B82&amp;"#"&amp;IF(D82="",F82,D82))</f>
        <v/>
      </c>
      <c r="AF82" s="50">
        <f>IF(AE82="","",AE82&amp;"|"&amp;M82)</f>
        <v/>
      </c>
      <c r="AG82" s="50">
        <f>IF(AE82="","",IF(COUNTIF($AE$6:AE82,AE82)=1,1,0))</f>
        <v/>
      </c>
      <c r="AH82" s="50">
        <f>IF(AE82="","",COUNTIF($AE$6:$AE$205,AE82))</f>
        <v/>
      </c>
      <c r="AI82" s="50">
        <f>IF(AE82="","",IF(AND(AG82=1,AH82&gt;1),COUNTIFS($AG$6:AG82,1,$AH$6:AH82,"&gt;1"),""))</f>
        <v/>
      </c>
      <c r="AJ82" s="50">
        <f>IF(AG82=1,IF(COUNTIFS($AE$6:$AE$205,AE82,$N$6:$N$205,"견적접수")&gt;0,1,0),"")</f>
        <v/>
      </c>
      <c r="AK82" s="50">
        <f>IF(OR(R82="",N82&lt;&gt;"견적접수"),"",IF(AND(R82=_xlfn.MINIFS($R$6:$R$205,$AE$6:$AE$205,AE82,$N$6:$N$205,"견적접수"),COUNTIFS($AE$5:AE81,AE82,$R$5:R81,R82,$N$5:N81,"견적접수")=0),1,""))</f>
        <v/>
      </c>
    </row>
    <row r="83">
      <c r="A83" s="50">
        <f>IF(F83="","",ROW()-5)</f>
        <v/>
      </c>
      <c r="B83" s="34" t="n"/>
      <c r="C83" s="34" t="n"/>
      <c r="D83" s="34" t="n"/>
      <c r="E83" s="34" t="n"/>
      <c r="F83" s="36" t="n"/>
      <c r="G83" s="36" t="n"/>
      <c r="H83" s="36" t="n"/>
      <c r="I83" s="36" t="n"/>
      <c r="J83" s="36" t="n"/>
      <c r="K83" s="34" t="n"/>
      <c r="L83" s="34" t="n"/>
      <c r="M83" s="34" t="n"/>
      <c r="N83" s="34" t="n"/>
      <c r="O83" s="50">
        <f>IF(N(AH83)&gt;1,"중복 "&amp;AH83&amp;"곳"&amp;IF(AK83=1," · 최저가",IF(AND(N83="견적접수",R83&lt;&gt;"")," · 비쌈","")),"")</f>
        <v/>
      </c>
      <c r="P83" s="34" t="n"/>
      <c r="Q83" s="51" t="n"/>
      <c r="R83" s="52">
        <f>IF(OR(Q83="",P83=""),"",IFERROR(IF(VLOOKUP(P83,설정!$K$5:$L$9,2,0)&gt;0,Q83*VLOOKUP(P83,설정!$K$5:$L$9,2,0),""),""))</f>
        <v/>
      </c>
      <c r="S83" s="53">
        <f>IF(OR(R83="",K83=""),"",R83*K83)</f>
        <v/>
      </c>
      <c r="T83" s="38" t="n"/>
      <c r="U83" s="54">
        <f>IF(OR(T83="",AC83="발주완료",AC83="취소"),"",TODAY()+T83)</f>
        <v/>
      </c>
      <c r="V83" s="50">
        <f>IF(OR(U83="",NOT(ISNUMBER($K$2))),"",IF(U83&lt;=$K$2,"가능","초과 "&amp;(U83-$K$2)&amp;"일"))</f>
        <v/>
      </c>
      <c r="W83" s="34" t="n"/>
      <c r="X83" s="34" t="n"/>
      <c r="Y83" s="34" t="n"/>
      <c r="Z83" s="56" t="n"/>
      <c r="AA83" s="54">
        <f>IF(OR(Z83="",Y83=""),"",Z83+Y83)</f>
        <v/>
      </c>
      <c r="AB83" s="36" t="n"/>
      <c r="AC83" s="34" t="n"/>
      <c r="AD83" s="36" t="n"/>
      <c r="AE83" s="50">
        <f>IF(F83="","",B83&amp;"#"&amp;IF(D83="",F83,D83))</f>
        <v/>
      </c>
      <c r="AF83" s="50">
        <f>IF(AE83="","",AE83&amp;"|"&amp;M83)</f>
        <v/>
      </c>
      <c r="AG83" s="50">
        <f>IF(AE83="","",IF(COUNTIF($AE$6:AE83,AE83)=1,1,0))</f>
        <v/>
      </c>
      <c r="AH83" s="50">
        <f>IF(AE83="","",COUNTIF($AE$6:$AE$205,AE83))</f>
        <v/>
      </c>
      <c r="AI83" s="50">
        <f>IF(AE83="","",IF(AND(AG83=1,AH83&gt;1),COUNTIFS($AG$6:AG83,1,$AH$6:AH83,"&gt;1"),""))</f>
        <v/>
      </c>
      <c r="AJ83" s="50">
        <f>IF(AG83=1,IF(COUNTIFS($AE$6:$AE$205,AE83,$N$6:$N$205,"견적접수")&gt;0,1,0),"")</f>
        <v/>
      </c>
      <c r="AK83" s="50">
        <f>IF(OR(R83="",N83&lt;&gt;"견적접수"),"",IF(AND(R83=_xlfn.MINIFS($R$6:$R$205,$AE$6:$AE$205,AE83,$N$6:$N$205,"견적접수"),COUNTIFS($AE$5:AE82,AE83,$R$5:R82,R83,$N$5:N82,"견적접수")=0),1,""))</f>
        <v/>
      </c>
    </row>
    <row r="84">
      <c r="A84" s="50">
        <f>IF(F84="","",ROW()-5)</f>
        <v/>
      </c>
      <c r="B84" s="34" t="n"/>
      <c r="C84" s="34" t="n"/>
      <c r="D84" s="34" t="n"/>
      <c r="E84" s="34" t="n"/>
      <c r="F84" s="36" t="n"/>
      <c r="G84" s="36" t="n"/>
      <c r="H84" s="36" t="n"/>
      <c r="I84" s="36" t="n"/>
      <c r="J84" s="36" t="n"/>
      <c r="K84" s="34" t="n"/>
      <c r="L84" s="34" t="n"/>
      <c r="M84" s="34" t="n"/>
      <c r="N84" s="34" t="n"/>
      <c r="O84" s="50">
        <f>IF(N(AH84)&gt;1,"중복 "&amp;AH84&amp;"곳"&amp;IF(AK84=1," · 최저가",IF(AND(N84="견적접수",R84&lt;&gt;"")," · 비쌈","")),"")</f>
        <v/>
      </c>
      <c r="P84" s="34" t="n"/>
      <c r="Q84" s="51" t="n"/>
      <c r="R84" s="52">
        <f>IF(OR(Q84="",P84=""),"",IFERROR(IF(VLOOKUP(P84,설정!$K$5:$L$9,2,0)&gt;0,Q84*VLOOKUP(P84,설정!$K$5:$L$9,2,0),""),""))</f>
        <v/>
      </c>
      <c r="S84" s="53">
        <f>IF(OR(R84="",K84=""),"",R84*K84)</f>
        <v/>
      </c>
      <c r="T84" s="38" t="n"/>
      <c r="U84" s="54">
        <f>IF(OR(T84="",AC84="발주완료",AC84="취소"),"",TODAY()+T84)</f>
        <v/>
      </c>
      <c r="V84" s="50">
        <f>IF(OR(U84="",NOT(ISNUMBER($K$2))),"",IF(U84&lt;=$K$2,"가능","초과 "&amp;(U84-$K$2)&amp;"일"))</f>
        <v/>
      </c>
      <c r="W84" s="34" t="n"/>
      <c r="X84" s="34" t="n"/>
      <c r="Y84" s="34" t="n"/>
      <c r="Z84" s="56" t="n"/>
      <c r="AA84" s="54">
        <f>IF(OR(Z84="",Y84=""),"",Z84+Y84)</f>
        <v/>
      </c>
      <c r="AB84" s="36" t="n"/>
      <c r="AC84" s="34" t="n"/>
      <c r="AD84" s="36" t="n"/>
      <c r="AE84" s="50">
        <f>IF(F84="","",B84&amp;"#"&amp;IF(D84="",F84,D84))</f>
        <v/>
      </c>
      <c r="AF84" s="50">
        <f>IF(AE84="","",AE84&amp;"|"&amp;M84)</f>
        <v/>
      </c>
      <c r="AG84" s="50">
        <f>IF(AE84="","",IF(COUNTIF($AE$6:AE84,AE84)=1,1,0))</f>
        <v/>
      </c>
      <c r="AH84" s="50">
        <f>IF(AE84="","",COUNTIF($AE$6:$AE$205,AE84))</f>
        <v/>
      </c>
      <c r="AI84" s="50">
        <f>IF(AE84="","",IF(AND(AG84=1,AH84&gt;1),COUNTIFS($AG$6:AG84,1,$AH$6:AH84,"&gt;1"),""))</f>
        <v/>
      </c>
      <c r="AJ84" s="50">
        <f>IF(AG84=1,IF(COUNTIFS($AE$6:$AE$205,AE84,$N$6:$N$205,"견적접수")&gt;0,1,0),"")</f>
        <v/>
      </c>
      <c r="AK84" s="50">
        <f>IF(OR(R84="",N84&lt;&gt;"견적접수"),"",IF(AND(R84=_xlfn.MINIFS($R$6:$R$205,$AE$6:$AE$205,AE84,$N$6:$N$205,"견적접수"),COUNTIFS($AE$5:AE83,AE84,$R$5:R83,R84,$N$5:N83,"견적접수")=0),1,""))</f>
        <v/>
      </c>
    </row>
    <row r="85">
      <c r="A85" s="50">
        <f>IF(F85="","",ROW()-5)</f>
        <v/>
      </c>
      <c r="B85" s="34" t="n"/>
      <c r="C85" s="34" t="n"/>
      <c r="D85" s="34" t="n"/>
      <c r="E85" s="34" t="n"/>
      <c r="F85" s="36" t="n"/>
      <c r="G85" s="36" t="n"/>
      <c r="H85" s="36" t="n"/>
      <c r="I85" s="36" t="n"/>
      <c r="J85" s="36" t="n"/>
      <c r="K85" s="34" t="n"/>
      <c r="L85" s="34" t="n"/>
      <c r="M85" s="34" t="n"/>
      <c r="N85" s="34" t="n"/>
      <c r="O85" s="50">
        <f>IF(N(AH85)&gt;1,"중복 "&amp;AH85&amp;"곳"&amp;IF(AK85=1," · 최저가",IF(AND(N85="견적접수",R85&lt;&gt;"")," · 비쌈","")),"")</f>
        <v/>
      </c>
      <c r="P85" s="34" t="n"/>
      <c r="Q85" s="51" t="n"/>
      <c r="R85" s="52">
        <f>IF(OR(Q85="",P85=""),"",IFERROR(IF(VLOOKUP(P85,설정!$K$5:$L$9,2,0)&gt;0,Q85*VLOOKUP(P85,설정!$K$5:$L$9,2,0),""),""))</f>
        <v/>
      </c>
      <c r="S85" s="53">
        <f>IF(OR(R85="",K85=""),"",R85*K85)</f>
        <v/>
      </c>
      <c r="T85" s="38" t="n"/>
      <c r="U85" s="54">
        <f>IF(OR(T85="",AC85="발주완료",AC85="취소"),"",TODAY()+T85)</f>
        <v/>
      </c>
      <c r="V85" s="50">
        <f>IF(OR(U85="",NOT(ISNUMBER($K$2))),"",IF(U85&lt;=$K$2,"가능","초과 "&amp;(U85-$K$2)&amp;"일"))</f>
        <v/>
      </c>
      <c r="W85" s="34" t="n"/>
      <c r="X85" s="34" t="n"/>
      <c r="Y85" s="34" t="n"/>
      <c r="Z85" s="56" t="n"/>
      <c r="AA85" s="54">
        <f>IF(OR(Z85="",Y85=""),"",Z85+Y85)</f>
        <v/>
      </c>
      <c r="AB85" s="36" t="n"/>
      <c r="AC85" s="34" t="n"/>
      <c r="AD85" s="36" t="n"/>
      <c r="AE85" s="50">
        <f>IF(F85="","",B85&amp;"#"&amp;IF(D85="",F85,D85))</f>
        <v/>
      </c>
      <c r="AF85" s="50">
        <f>IF(AE85="","",AE85&amp;"|"&amp;M85)</f>
        <v/>
      </c>
      <c r="AG85" s="50">
        <f>IF(AE85="","",IF(COUNTIF($AE$6:AE85,AE85)=1,1,0))</f>
        <v/>
      </c>
      <c r="AH85" s="50">
        <f>IF(AE85="","",COUNTIF($AE$6:$AE$205,AE85))</f>
        <v/>
      </c>
      <c r="AI85" s="50">
        <f>IF(AE85="","",IF(AND(AG85=1,AH85&gt;1),COUNTIFS($AG$6:AG85,1,$AH$6:AH85,"&gt;1"),""))</f>
        <v/>
      </c>
      <c r="AJ85" s="50">
        <f>IF(AG85=1,IF(COUNTIFS($AE$6:$AE$205,AE85,$N$6:$N$205,"견적접수")&gt;0,1,0),"")</f>
        <v/>
      </c>
      <c r="AK85" s="50">
        <f>IF(OR(R85="",N85&lt;&gt;"견적접수"),"",IF(AND(R85=_xlfn.MINIFS($R$6:$R$205,$AE$6:$AE$205,AE85,$N$6:$N$205,"견적접수"),COUNTIFS($AE$5:AE84,AE85,$R$5:R84,R85,$N$5:N84,"견적접수")=0),1,""))</f>
        <v/>
      </c>
    </row>
    <row r="86">
      <c r="A86" s="50">
        <f>IF(F86="","",ROW()-5)</f>
        <v/>
      </c>
      <c r="B86" s="34" t="n"/>
      <c r="C86" s="34" t="n"/>
      <c r="D86" s="34" t="n"/>
      <c r="E86" s="34" t="n"/>
      <c r="F86" s="36" t="n"/>
      <c r="G86" s="36" t="n"/>
      <c r="H86" s="36" t="n"/>
      <c r="I86" s="36" t="n"/>
      <c r="J86" s="36" t="n"/>
      <c r="K86" s="34" t="n"/>
      <c r="L86" s="34" t="n"/>
      <c r="M86" s="34" t="n"/>
      <c r="N86" s="34" t="n"/>
      <c r="O86" s="50">
        <f>IF(N(AH86)&gt;1,"중복 "&amp;AH86&amp;"곳"&amp;IF(AK86=1," · 최저가",IF(AND(N86="견적접수",R86&lt;&gt;"")," · 비쌈","")),"")</f>
        <v/>
      </c>
      <c r="P86" s="34" t="n"/>
      <c r="Q86" s="51" t="n"/>
      <c r="R86" s="52">
        <f>IF(OR(Q86="",P86=""),"",IFERROR(IF(VLOOKUP(P86,설정!$K$5:$L$9,2,0)&gt;0,Q86*VLOOKUP(P86,설정!$K$5:$L$9,2,0),""),""))</f>
        <v/>
      </c>
      <c r="S86" s="53">
        <f>IF(OR(R86="",K86=""),"",R86*K86)</f>
        <v/>
      </c>
      <c r="T86" s="38" t="n"/>
      <c r="U86" s="54">
        <f>IF(OR(T86="",AC86="발주완료",AC86="취소"),"",TODAY()+T86)</f>
        <v/>
      </c>
      <c r="V86" s="50">
        <f>IF(OR(U86="",NOT(ISNUMBER($K$2))),"",IF(U86&lt;=$K$2,"가능","초과 "&amp;(U86-$K$2)&amp;"일"))</f>
        <v/>
      </c>
      <c r="W86" s="34" t="n"/>
      <c r="X86" s="34" t="n"/>
      <c r="Y86" s="34" t="n"/>
      <c r="Z86" s="56" t="n"/>
      <c r="AA86" s="54">
        <f>IF(OR(Z86="",Y86=""),"",Z86+Y86)</f>
        <v/>
      </c>
      <c r="AB86" s="36" t="n"/>
      <c r="AC86" s="34" t="n"/>
      <c r="AD86" s="36" t="n"/>
      <c r="AE86" s="50">
        <f>IF(F86="","",B86&amp;"#"&amp;IF(D86="",F86,D86))</f>
        <v/>
      </c>
      <c r="AF86" s="50">
        <f>IF(AE86="","",AE86&amp;"|"&amp;M86)</f>
        <v/>
      </c>
      <c r="AG86" s="50">
        <f>IF(AE86="","",IF(COUNTIF($AE$6:AE86,AE86)=1,1,0))</f>
        <v/>
      </c>
      <c r="AH86" s="50">
        <f>IF(AE86="","",COUNTIF($AE$6:$AE$205,AE86))</f>
        <v/>
      </c>
      <c r="AI86" s="50">
        <f>IF(AE86="","",IF(AND(AG86=1,AH86&gt;1),COUNTIFS($AG$6:AG86,1,$AH$6:AH86,"&gt;1"),""))</f>
        <v/>
      </c>
      <c r="AJ86" s="50">
        <f>IF(AG86=1,IF(COUNTIFS($AE$6:$AE$205,AE86,$N$6:$N$205,"견적접수")&gt;0,1,0),"")</f>
        <v/>
      </c>
      <c r="AK86" s="50">
        <f>IF(OR(R86="",N86&lt;&gt;"견적접수"),"",IF(AND(R86=_xlfn.MINIFS($R$6:$R$205,$AE$6:$AE$205,AE86,$N$6:$N$205,"견적접수"),COUNTIFS($AE$5:AE85,AE86,$R$5:R85,R86,$N$5:N85,"견적접수")=0),1,""))</f>
        <v/>
      </c>
    </row>
    <row r="87">
      <c r="A87" s="50">
        <f>IF(F87="","",ROW()-5)</f>
        <v/>
      </c>
      <c r="B87" s="34" t="n"/>
      <c r="C87" s="34" t="n"/>
      <c r="D87" s="34" t="n"/>
      <c r="E87" s="34" t="n"/>
      <c r="F87" s="36" t="n"/>
      <c r="G87" s="36" t="n"/>
      <c r="H87" s="36" t="n"/>
      <c r="I87" s="36" t="n"/>
      <c r="J87" s="36" t="n"/>
      <c r="K87" s="34" t="n"/>
      <c r="L87" s="34" t="n"/>
      <c r="M87" s="34" t="n"/>
      <c r="N87" s="34" t="n"/>
      <c r="O87" s="50">
        <f>IF(N(AH87)&gt;1,"중복 "&amp;AH87&amp;"곳"&amp;IF(AK87=1," · 최저가",IF(AND(N87="견적접수",R87&lt;&gt;"")," · 비쌈","")),"")</f>
        <v/>
      </c>
      <c r="P87" s="34" t="n"/>
      <c r="Q87" s="51" t="n"/>
      <c r="R87" s="52">
        <f>IF(OR(Q87="",P87=""),"",IFERROR(IF(VLOOKUP(P87,설정!$K$5:$L$9,2,0)&gt;0,Q87*VLOOKUP(P87,설정!$K$5:$L$9,2,0),""),""))</f>
        <v/>
      </c>
      <c r="S87" s="53">
        <f>IF(OR(R87="",K87=""),"",R87*K87)</f>
        <v/>
      </c>
      <c r="T87" s="38" t="n"/>
      <c r="U87" s="54">
        <f>IF(OR(T87="",AC87="발주완료",AC87="취소"),"",TODAY()+T87)</f>
        <v/>
      </c>
      <c r="V87" s="50">
        <f>IF(OR(U87="",NOT(ISNUMBER($K$2))),"",IF(U87&lt;=$K$2,"가능","초과 "&amp;(U87-$K$2)&amp;"일"))</f>
        <v/>
      </c>
      <c r="W87" s="34" t="n"/>
      <c r="X87" s="34" t="n"/>
      <c r="Y87" s="34" t="n"/>
      <c r="Z87" s="56" t="n"/>
      <c r="AA87" s="54">
        <f>IF(OR(Z87="",Y87=""),"",Z87+Y87)</f>
        <v/>
      </c>
      <c r="AB87" s="36" t="n"/>
      <c r="AC87" s="34" t="n"/>
      <c r="AD87" s="36" t="n"/>
      <c r="AE87" s="50">
        <f>IF(F87="","",B87&amp;"#"&amp;IF(D87="",F87,D87))</f>
        <v/>
      </c>
      <c r="AF87" s="50">
        <f>IF(AE87="","",AE87&amp;"|"&amp;M87)</f>
        <v/>
      </c>
      <c r="AG87" s="50">
        <f>IF(AE87="","",IF(COUNTIF($AE$6:AE87,AE87)=1,1,0))</f>
        <v/>
      </c>
      <c r="AH87" s="50">
        <f>IF(AE87="","",COUNTIF($AE$6:$AE$205,AE87))</f>
        <v/>
      </c>
      <c r="AI87" s="50">
        <f>IF(AE87="","",IF(AND(AG87=1,AH87&gt;1),COUNTIFS($AG$6:AG87,1,$AH$6:AH87,"&gt;1"),""))</f>
        <v/>
      </c>
      <c r="AJ87" s="50">
        <f>IF(AG87=1,IF(COUNTIFS($AE$6:$AE$205,AE87,$N$6:$N$205,"견적접수")&gt;0,1,0),"")</f>
        <v/>
      </c>
      <c r="AK87" s="50">
        <f>IF(OR(R87="",N87&lt;&gt;"견적접수"),"",IF(AND(R87=_xlfn.MINIFS($R$6:$R$205,$AE$6:$AE$205,AE87,$N$6:$N$205,"견적접수"),COUNTIFS($AE$5:AE86,AE87,$R$5:R86,R87,$N$5:N86,"견적접수")=0),1,""))</f>
        <v/>
      </c>
    </row>
    <row r="88">
      <c r="A88" s="50">
        <f>IF(F88="","",ROW()-5)</f>
        <v/>
      </c>
      <c r="B88" s="34" t="n"/>
      <c r="C88" s="34" t="n"/>
      <c r="D88" s="34" t="n"/>
      <c r="E88" s="34" t="n"/>
      <c r="F88" s="36" t="n"/>
      <c r="G88" s="36" t="n"/>
      <c r="H88" s="36" t="n"/>
      <c r="I88" s="36" t="n"/>
      <c r="J88" s="36" t="n"/>
      <c r="K88" s="34" t="n"/>
      <c r="L88" s="34" t="n"/>
      <c r="M88" s="34" t="n"/>
      <c r="N88" s="34" t="n"/>
      <c r="O88" s="50">
        <f>IF(N(AH88)&gt;1,"중복 "&amp;AH88&amp;"곳"&amp;IF(AK88=1," · 최저가",IF(AND(N88="견적접수",R88&lt;&gt;"")," · 비쌈","")),"")</f>
        <v/>
      </c>
      <c r="P88" s="34" t="n"/>
      <c r="Q88" s="51" t="n"/>
      <c r="R88" s="52">
        <f>IF(OR(Q88="",P88=""),"",IFERROR(IF(VLOOKUP(P88,설정!$K$5:$L$9,2,0)&gt;0,Q88*VLOOKUP(P88,설정!$K$5:$L$9,2,0),""),""))</f>
        <v/>
      </c>
      <c r="S88" s="53">
        <f>IF(OR(R88="",K88=""),"",R88*K88)</f>
        <v/>
      </c>
      <c r="T88" s="38" t="n"/>
      <c r="U88" s="54">
        <f>IF(OR(T88="",AC88="발주완료",AC88="취소"),"",TODAY()+T88)</f>
        <v/>
      </c>
      <c r="V88" s="50">
        <f>IF(OR(U88="",NOT(ISNUMBER($K$2))),"",IF(U88&lt;=$K$2,"가능","초과 "&amp;(U88-$K$2)&amp;"일"))</f>
        <v/>
      </c>
      <c r="W88" s="34" t="n"/>
      <c r="X88" s="34" t="n"/>
      <c r="Y88" s="34" t="n"/>
      <c r="Z88" s="56" t="n"/>
      <c r="AA88" s="54">
        <f>IF(OR(Z88="",Y88=""),"",Z88+Y88)</f>
        <v/>
      </c>
      <c r="AB88" s="36" t="n"/>
      <c r="AC88" s="34" t="n"/>
      <c r="AD88" s="36" t="n"/>
      <c r="AE88" s="50">
        <f>IF(F88="","",B88&amp;"#"&amp;IF(D88="",F88,D88))</f>
        <v/>
      </c>
      <c r="AF88" s="50">
        <f>IF(AE88="","",AE88&amp;"|"&amp;M88)</f>
        <v/>
      </c>
      <c r="AG88" s="50">
        <f>IF(AE88="","",IF(COUNTIF($AE$6:AE88,AE88)=1,1,0))</f>
        <v/>
      </c>
      <c r="AH88" s="50">
        <f>IF(AE88="","",COUNTIF($AE$6:$AE$205,AE88))</f>
        <v/>
      </c>
      <c r="AI88" s="50">
        <f>IF(AE88="","",IF(AND(AG88=1,AH88&gt;1),COUNTIFS($AG$6:AG88,1,$AH$6:AH88,"&gt;1"),""))</f>
        <v/>
      </c>
      <c r="AJ88" s="50">
        <f>IF(AG88=1,IF(COUNTIFS($AE$6:$AE$205,AE88,$N$6:$N$205,"견적접수")&gt;0,1,0),"")</f>
        <v/>
      </c>
      <c r="AK88" s="50">
        <f>IF(OR(R88="",N88&lt;&gt;"견적접수"),"",IF(AND(R88=_xlfn.MINIFS($R$6:$R$205,$AE$6:$AE$205,AE88,$N$6:$N$205,"견적접수"),COUNTIFS($AE$5:AE87,AE88,$R$5:R87,R88,$N$5:N87,"견적접수")=0),1,""))</f>
        <v/>
      </c>
    </row>
    <row r="89">
      <c r="A89" s="50">
        <f>IF(F89="","",ROW()-5)</f>
        <v/>
      </c>
      <c r="B89" s="34" t="n"/>
      <c r="C89" s="34" t="n"/>
      <c r="D89" s="34" t="n"/>
      <c r="E89" s="34" t="n"/>
      <c r="F89" s="36" t="n"/>
      <c r="G89" s="36" t="n"/>
      <c r="H89" s="36" t="n"/>
      <c r="I89" s="36" t="n"/>
      <c r="J89" s="36" t="n"/>
      <c r="K89" s="34" t="n"/>
      <c r="L89" s="34" t="n"/>
      <c r="M89" s="34" t="n"/>
      <c r="N89" s="34" t="n"/>
      <c r="O89" s="50">
        <f>IF(N(AH89)&gt;1,"중복 "&amp;AH89&amp;"곳"&amp;IF(AK89=1," · 최저가",IF(AND(N89="견적접수",R89&lt;&gt;"")," · 비쌈","")),"")</f>
        <v/>
      </c>
      <c r="P89" s="34" t="n"/>
      <c r="Q89" s="51" t="n"/>
      <c r="R89" s="52">
        <f>IF(OR(Q89="",P89=""),"",IFERROR(IF(VLOOKUP(P89,설정!$K$5:$L$9,2,0)&gt;0,Q89*VLOOKUP(P89,설정!$K$5:$L$9,2,0),""),""))</f>
        <v/>
      </c>
      <c r="S89" s="53">
        <f>IF(OR(R89="",K89=""),"",R89*K89)</f>
        <v/>
      </c>
      <c r="T89" s="38" t="n"/>
      <c r="U89" s="54">
        <f>IF(OR(T89="",AC89="발주완료",AC89="취소"),"",TODAY()+T89)</f>
        <v/>
      </c>
      <c r="V89" s="50">
        <f>IF(OR(U89="",NOT(ISNUMBER($K$2))),"",IF(U89&lt;=$K$2,"가능","초과 "&amp;(U89-$K$2)&amp;"일"))</f>
        <v/>
      </c>
      <c r="W89" s="34" t="n"/>
      <c r="X89" s="34" t="n"/>
      <c r="Y89" s="34" t="n"/>
      <c r="Z89" s="56" t="n"/>
      <c r="AA89" s="54">
        <f>IF(OR(Z89="",Y89=""),"",Z89+Y89)</f>
        <v/>
      </c>
      <c r="AB89" s="36" t="n"/>
      <c r="AC89" s="34" t="n"/>
      <c r="AD89" s="36" t="n"/>
      <c r="AE89" s="50">
        <f>IF(F89="","",B89&amp;"#"&amp;IF(D89="",F89,D89))</f>
        <v/>
      </c>
      <c r="AF89" s="50">
        <f>IF(AE89="","",AE89&amp;"|"&amp;M89)</f>
        <v/>
      </c>
      <c r="AG89" s="50">
        <f>IF(AE89="","",IF(COUNTIF($AE$6:AE89,AE89)=1,1,0))</f>
        <v/>
      </c>
      <c r="AH89" s="50">
        <f>IF(AE89="","",COUNTIF($AE$6:$AE$205,AE89))</f>
        <v/>
      </c>
      <c r="AI89" s="50">
        <f>IF(AE89="","",IF(AND(AG89=1,AH89&gt;1),COUNTIFS($AG$6:AG89,1,$AH$6:AH89,"&gt;1"),""))</f>
        <v/>
      </c>
      <c r="AJ89" s="50">
        <f>IF(AG89=1,IF(COUNTIFS($AE$6:$AE$205,AE89,$N$6:$N$205,"견적접수")&gt;0,1,0),"")</f>
        <v/>
      </c>
      <c r="AK89" s="50">
        <f>IF(OR(R89="",N89&lt;&gt;"견적접수"),"",IF(AND(R89=_xlfn.MINIFS($R$6:$R$205,$AE$6:$AE$205,AE89,$N$6:$N$205,"견적접수"),COUNTIFS($AE$5:AE88,AE89,$R$5:R88,R89,$N$5:N88,"견적접수")=0),1,""))</f>
        <v/>
      </c>
    </row>
    <row r="90">
      <c r="A90" s="50">
        <f>IF(F90="","",ROW()-5)</f>
        <v/>
      </c>
      <c r="B90" s="34" t="n"/>
      <c r="C90" s="34" t="n"/>
      <c r="D90" s="34" t="n"/>
      <c r="E90" s="34" t="n"/>
      <c r="F90" s="36" t="n"/>
      <c r="G90" s="36" t="n"/>
      <c r="H90" s="36" t="n"/>
      <c r="I90" s="36" t="n"/>
      <c r="J90" s="36" t="n"/>
      <c r="K90" s="34" t="n"/>
      <c r="L90" s="34" t="n"/>
      <c r="M90" s="34" t="n"/>
      <c r="N90" s="34" t="n"/>
      <c r="O90" s="50">
        <f>IF(N(AH90)&gt;1,"중복 "&amp;AH90&amp;"곳"&amp;IF(AK90=1," · 최저가",IF(AND(N90="견적접수",R90&lt;&gt;"")," · 비쌈","")),"")</f>
        <v/>
      </c>
      <c r="P90" s="34" t="n"/>
      <c r="Q90" s="51" t="n"/>
      <c r="R90" s="52">
        <f>IF(OR(Q90="",P90=""),"",IFERROR(IF(VLOOKUP(P90,설정!$K$5:$L$9,2,0)&gt;0,Q90*VLOOKUP(P90,설정!$K$5:$L$9,2,0),""),""))</f>
        <v/>
      </c>
      <c r="S90" s="53">
        <f>IF(OR(R90="",K90=""),"",R90*K90)</f>
        <v/>
      </c>
      <c r="T90" s="38" t="n"/>
      <c r="U90" s="54">
        <f>IF(OR(T90="",AC90="발주완료",AC90="취소"),"",TODAY()+T90)</f>
        <v/>
      </c>
      <c r="V90" s="50">
        <f>IF(OR(U90="",NOT(ISNUMBER($K$2))),"",IF(U90&lt;=$K$2,"가능","초과 "&amp;(U90-$K$2)&amp;"일"))</f>
        <v/>
      </c>
      <c r="W90" s="34" t="n"/>
      <c r="X90" s="34" t="n"/>
      <c r="Y90" s="34" t="n"/>
      <c r="Z90" s="56" t="n"/>
      <c r="AA90" s="54">
        <f>IF(OR(Z90="",Y90=""),"",Z90+Y90)</f>
        <v/>
      </c>
      <c r="AB90" s="36" t="n"/>
      <c r="AC90" s="34" t="n"/>
      <c r="AD90" s="36" t="n"/>
      <c r="AE90" s="50">
        <f>IF(F90="","",B90&amp;"#"&amp;IF(D90="",F90,D90))</f>
        <v/>
      </c>
      <c r="AF90" s="50">
        <f>IF(AE90="","",AE90&amp;"|"&amp;M90)</f>
        <v/>
      </c>
      <c r="AG90" s="50">
        <f>IF(AE90="","",IF(COUNTIF($AE$6:AE90,AE90)=1,1,0))</f>
        <v/>
      </c>
      <c r="AH90" s="50">
        <f>IF(AE90="","",COUNTIF($AE$6:$AE$205,AE90))</f>
        <v/>
      </c>
      <c r="AI90" s="50">
        <f>IF(AE90="","",IF(AND(AG90=1,AH90&gt;1),COUNTIFS($AG$6:AG90,1,$AH$6:AH90,"&gt;1"),""))</f>
        <v/>
      </c>
      <c r="AJ90" s="50">
        <f>IF(AG90=1,IF(COUNTIFS($AE$6:$AE$205,AE90,$N$6:$N$205,"견적접수")&gt;0,1,0),"")</f>
        <v/>
      </c>
      <c r="AK90" s="50">
        <f>IF(OR(R90="",N90&lt;&gt;"견적접수"),"",IF(AND(R90=_xlfn.MINIFS($R$6:$R$205,$AE$6:$AE$205,AE90,$N$6:$N$205,"견적접수"),COUNTIFS($AE$5:AE89,AE90,$R$5:R89,R90,$N$5:N89,"견적접수")=0),1,""))</f>
        <v/>
      </c>
    </row>
    <row r="91">
      <c r="A91" s="50">
        <f>IF(F91="","",ROW()-5)</f>
        <v/>
      </c>
      <c r="B91" s="34" t="n"/>
      <c r="C91" s="34" t="n"/>
      <c r="D91" s="34" t="n"/>
      <c r="E91" s="34" t="n"/>
      <c r="F91" s="36" t="n"/>
      <c r="G91" s="36" t="n"/>
      <c r="H91" s="36" t="n"/>
      <c r="I91" s="36" t="n"/>
      <c r="J91" s="36" t="n"/>
      <c r="K91" s="34" t="n"/>
      <c r="L91" s="34" t="n"/>
      <c r="M91" s="34" t="n"/>
      <c r="N91" s="34" t="n"/>
      <c r="O91" s="50">
        <f>IF(N(AH91)&gt;1,"중복 "&amp;AH91&amp;"곳"&amp;IF(AK91=1," · 최저가",IF(AND(N91="견적접수",R91&lt;&gt;"")," · 비쌈","")),"")</f>
        <v/>
      </c>
      <c r="P91" s="34" t="n"/>
      <c r="Q91" s="51" t="n"/>
      <c r="R91" s="52">
        <f>IF(OR(Q91="",P91=""),"",IFERROR(IF(VLOOKUP(P91,설정!$K$5:$L$9,2,0)&gt;0,Q91*VLOOKUP(P91,설정!$K$5:$L$9,2,0),""),""))</f>
        <v/>
      </c>
      <c r="S91" s="53">
        <f>IF(OR(R91="",K91=""),"",R91*K91)</f>
        <v/>
      </c>
      <c r="T91" s="38" t="n"/>
      <c r="U91" s="54">
        <f>IF(OR(T91="",AC91="발주완료",AC91="취소"),"",TODAY()+T91)</f>
        <v/>
      </c>
      <c r="V91" s="50">
        <f>IF(OR(U91="",NOT(ISNUMBER($K$2))),"",IF(U91&lt;=$K$2,"가능","초과 "&amp;(U91-$K$2)&amp;"일"))</f>
        <v/>
      </c>
      <c r="W91" s="34" t="n"/>
      <c r="X91" s="34" t="n"/>
      <c r="Y91" s="34" t="n"/>
      <c r="Z91" s="56" t="n"/>
      <c r="AA91" s="54">
        <f>IF(OR(Z91="",Y91=""),"",Z91+Y91)</f>
        <v/>
      </c>
      <c r="AB91" s="36" t="n"/>
      <c r="AC91" s="34" t="n"/>
      <c r="AD91" s="36" t="n"/>
      <c r="AE91" s="50">
        <f>IF(F91="","",B91&amp;"#"&amp;IF(D91="",F91,D91))</f>
        <v/>
      </c>
      <c r="AF91" s="50">
        <f>IF(AE91="","",AE91&amp;"|"&amp;M91)</f>
        <v/>
      </c>
      <c r="AG91" s="50">
        <f>IF(AE91="","",IF(COUNTIF($AE$6:AE91,AE91)=1,1,0))</f>
        <v/>
      </c>
      <c r="AH91" s="50">
        <f>IF(AE91="","",COUNTIF($AE$6:$AE$205,AE91))</f>
        <v/>
      </c>
      <c r="AI91" s="50">
        <f>IF(AE91="","",IF(AND(AG91=1,AH91&gt;1),COUNTIFS($AG$6:AG91,1,$AH$6:AH91,"&gt;1"),""))</f>
        <v/>
      </c>
      <c r="AJ91" s="50">
        <f>IF(AG91=1,IF(COUNTIFS($AE$6:$AE$205,AE91,$N$6:$N$205,"견적접수")&gt;0,1,0),"")</f>
        <v/>
      </c>
      <c r="AK91" s="50">
        <f>IF(OR(R91="",N91&lt;&gt;"견적접수"),"",IF(AND(R91=_xlfn.MINIFS($R$6:$R$205,$AE$6:$AE$205,AE91,$N$6:$N$205,"견적접수"),COUNTIFS($AE$5:AE90,AE91,$R$5:R90,R91,$N$5:N90,"견적접수")=0),1,""))</f>
        <v/>
      </c>
    </row>
    <row r="92">
      <c r="A92" s="50">
        <f>IF(F92="","",ROW()-5)</f>
        <v/>
      </c>
      <c r="B92" s="34" t="n"/>
      <c r="C92" s="34" t="n"/>
      <c r="D92" s="34" t="n"/>
      <c r="E92" s="34" t="n"/>
      <c r="F92" s="36" t="n"/>
      <c r="G92" s="36" t="n"/>
      <c r="H92" s="36" t="n"/>
      <c r="I92" s="36" t="n"/>
      <c r="J92" s="36" t="n"/>
      <c r="K92" s="34" t="n"/>
      <c r="L92" s="34" t="n"/>
      <c r="M92" s="34" t="n"/>
      <c r="N92" s="34" t="n"/>
      <c r="O92" s="50">
        <f>IF(N(AH92)&gt;1,"중복 "&amp;AH92&amp;"곳"&amp;IF(AK92=1," · 최저가",IF(AND(N92="견적접수",R92&lt;&gt;"")," · 비쌈","")),"")</f>
        <v/>
      </c>
      <c r="P92" s="34" t="n"/>
      <c r="Q92" s="51" t="n"/>
      <c r="R92" s="52">
        <f>IF(OR(Q92="",P92=""),"",IFERROR(IF(VLOOKUP(P92,설정!$K$5:$L$9,2,0)&gt;0,Q92*VLOOKUP(P92,설정!$K$5:$L$9,2,0),""),""))</f>
        <v/>
      </c>
      <c r="S92" s="53">
        <f>IF(OR(R92="",K92=""),"",R92*K92)</f>
        <v/>
      </c>
      <c r="T92" s="38" t="n"/>
      <c r="U92" s="54">
        <f>IF(OR(T92="",AC92="발주완료",AC92="취소"),"",TODAY()+T92)</f>
        <v/>
      </c>
      <c r="V92" s="50">
        <f>IF(OR(U92="",NOT(ISNUMBER($K$2))),"",IF(U92&lt;=$K$2,"가능","초과 "&amp;(U92-$K$2)&amp;"일"))</f>
        <v/>
      </c>
      <c r="W92" s="34" t="n"/>
      <c r="X92" s="34" t="n"/>
      <c r="Y92" s="34" t="n"/>
      <c r="Z92" s="56" t="n"/>
      <c r="AA92" s="54">
        <f>IF(OR(Z92="",Y92=""),"",Z92+Y92)</f>
        <v/>
      </c>
      <c r="AB92" s="36" t="n"/>
      <c r="AC92" s="34" t="n"/>
      <c r="AD92" s="36" t="n"/>
      <c r="AE92" s="50">
        <f>IF(F92="","",B92&amp;"#"&amp;IF(D92="",F92,D92))</f>
        <v/>
      </c>
      <c r="AF92" s="50">
        <f>IF(AE92="","",AE92&amp;"|"&amp;M92)</f>
        <v/>
      </c>
      <c r="AG92" s="50">
        <f>IF(AE92="","",IF(COUNTIF($AE$6:AE92,AE92)=1,1,0))</f>
        <v/>
      </c>
      <c r="AH92" s="50">
        <f>IF(AE92="","",COUNTIF($AE$6:$AE$205,AE92))</f>
        <v/>
      </c>
      <c r="AI92" s="50">
        <f>IF(AE92="","",IF(AND(AG92=1,AH92&gt;1),COUNTIFS($AG$6:AG92,1,$AH$6:AH92,"&gt;1"),""))</f>
        <v/>
      </c>
      <c r="AJ92" s="50">
        <f>IF(AG92=1,IF(COUNTIFS($AE$6:$AE$205,AE92,$N$6:$N$205,"견적접수")&gt;0,1,0),"")</f>
        <v/>
      </c>
      <c r="AK92" s="50">
        <f>IF(OR(R92="",N92&lt;&gt;"견적접수"),"",IF(AND(R92=_xlfn.MINIFS($R$6:$R$205,$AE$6:$AE$205,AE92,$N$6:$N$205,"견적접수"),COUNTIFS($AE$5:AE91,AE92,$R$5:R91,R92,$N$5:N91,"견적접수")=0),1,""))</f>
        <v/>
      </c>
    </row>
    <row r="93">
      <c r="A93" s="50">
        <f>IF(F93="","",ROW()-5)</f>
        <v/>
      </c>
      <c r="B93" s="34" t="n"/>
      <c r="C93" s="34" t="n"/>
      <c r="D93" s="34" t="n"/>
      <c r="E93" s="34" t="n"/>
      <c r="F93" s="36" t="n"/>
      <c r="G93" s="36" t="n"/>
      <c r="H93" s="36" t="n"/>
      <c r="I93" s="36" t="n"/>
      <c r="J93" s="36" t="n"/>
      <c r="K93" s="34" t="n"/>
      <c r="L93" s="34" t="n"/>
      <c r="M93" s="34" t="n"/>
      <c r="N93" s="34" t="n"/>
      <c r="O93" s="50">
        <f>IF(N(AH93)&gt;1,"중복 "&amp;AH93&amp;"곳"&amp;IF(AK93=1," · 최저가",IF(AND(N93="견적접수",R93&lt;&gt;"")," · 비쌈","")),"")</f>
        <v/>
      </c>
      <c r="P93" s="34" t="n"/>
      <c r="Q93" s="51" t="n"/>
      <c r="R93" s="52">
        <f>IF(OR(Q93="",P93=""),"",IFERROR(IF(VLOOKUP(P93,설정!$K$5:$L$9,2,0)&gt;0,Q93*VLOOKUP(P93,설정!$K$5:$L$9,2,0),""),""))</f>
        <v/>
      </c>
      <c r="S93" s="53">
        <f>IF(OR(R93="",K93=""),"",R93*K93)</f>
        <v/>
      </c>
      <c r="T93" s="38" t="n"/>
      <c r="U93" s="54">
        <f>IF(OR(T93="",AC93="발주완료",AC93="취소"),"",TODAY()+T93)</f>
        <v/>
      </c>
      <c r="V93" s="50">
        <f>IF(OR(U93="",NOT(ISNUMBER($K$2))),"",IF(U93&lt;=$K$2,"가능","초과 "&amp;(U93-$K$2)&amp;"일"))</f>
        <v/>
      </c>
      <c r="W93" s="34" t="n"/>
      <c r="X93" s="34" t="n"/>
      <c r="Y93" s="34" t="n"/>
      <c r="Z93" s="56" t="n"/>
      <c r="AA93" s="54">
        <f>IF(OR(Z93="",Y93=""),"",Z93+Y93)</f>
        <v/>
      </c>
      <c r="AB93" s="36" t="n"/>
      <c r="AC93" s="34" t="n"/>
      <c r="AD93" s="36" t="n"/>
      <c r="AE93" s="50">
        <f>IF(F93="","",B93&amp;"#"&amp;IF(D93="",F93,D93))</f>
        <v/>
      </c>
      <c r="AF93" s="50">
        <f>IF(AE93="","",AE93&amp;"|"&amp;M93)</f>
        <v/>
      </c>
      <c r="AG93" s="50">
        <f>IF(AE93="","",IF(COUNTIF($AE$6:AE93,AE93)=1,1,0))</f>
        <v/>
      </c>
      <c r="AH93" s="50">
        <f>IF(AE93="","",COUNTIF($AE$6:$AE$205,AE93))</f>
        <v/>
      </c>
      <c r="AI93" s="50">
        <f>IF(AE93="","",IF(AND(AG93=1,AH93&gt;1),COUNTIFS($AG$6:AG93,1,$AH$6:AH93,"&gt;1"),""))</f>
        <v/>
      </c>
      <c r="AJ93" s="50">
        <f>IF(AG93=1,IF(COUNTIFS($AE$6:$AE$205,AE93,$N$6:$N$205,"견적접수")&gt;0,1,0),"")</f>
        <v/>
      </c>
      <c r="AK93" s="50">
        <f>IF(OR(R93="",N93&lt;&gt;"견적접수"),"",IF(AND(R93=_xlfn.MINIFS($R$6:$R$205,$AE$6:$AE$205,AE93,$N$6:$N$205,"견적접수"),COUNTIFS($AE$5:AE92,AE93,$R$5:R92,R93,$N$5:N92,"견적접수")=0),1,""))</f>
        <v/>
      </c>
    </row>
    <row r="94">
      <c r="A94" s="50">
        <f>IF(F94="","",ROW()-5)</f>
        <v/>
      </c>
      <c r="B94" s="34" t="n"/>
      <c r="C94" s="34" t="n"/>
      <c r="D94" s="34" t="n"/>
      <c r="E94" s="34" t="n"/>
      <c r="F94" s="36" t="n"/>
      <c r="G94" s="36" t="n"/>
      <c r="H94" s="36" t="n"/>
      <c r="I94" s="36" t="n"/>
      <c r="J94" s="36" t="n"/>
      <c r="K94" s="34" t="n"/>
      <c r="L94" s="34" t="n"/>
      <c r="M94" s="34" t="n"/>
      <c r="N94" s="34" t="n"/>
      <c r="O94" s="50">
        <f>IF(N(AH94)&gt;1,"중복 "&amp;AH94&amp;"곳"&amp;IF(AK94=1," · 최저가",IF(AND(N94="견적접수",R94&lt;&gt;"")," · 비쌈","")),"")</f>
        <v/>
      </c>
      <c r="P94" s="34" t="n"/>
      <c r="Q94" s="51" t="n"/>
      <c r="R94" s="52">
        <f>IF(OR(Q94="",P94=""),"",IFERROR(IF(VLOOKUP(P94,설정!$K$5:$L$9,2,0)&gt;0,Q94*VLOOKUP(P94,설정!$K$5:$L$9,2,0),""),""))</f>
        <v/>
      </c>
      <c r="S94" s="53">
        <f>IF(OR(R94="",K94=""),"",R94*K94)</f>
        <v/>
      </c>
      <c r="T94" s="38" t="n"/>
      <c r="U94" s="54">
        <f>IF(OR(T94="",AC94="발주완료",AC94="취소"),"",TODAY()+T94)</f>
        <v/>
      </c>
      <c r="V94" s="50">
        <f>IF(OR(U94="",NOT(ISNUMBER($K$2))),"",IF(U94&lt;=$K$2,"가능","초과 "&amp;(U94-$K$2)&amp;"일"))</f>
        <v/>
      </c>
      <c r="W94" s="34" t="n"/>
      <c r="X94" s="34" t="n"/>
      <c r="Y94" s="34" t="n"/>
      <c r="Z94" s="56" t="n"/>
      <c r="AA94" s="54">
        <f>IF(OR(Z94="",Y94=""),"",Z94+Y94)</f>
        <v/>
      </c>
      <c r="AB94" s="36" t="n"/>
      <c r="AC94" s="34" t="n"/>
      <c r="AD94" s="36" t="n"/>
      <c r="AE94" s="50">
        <f>IF(F94="","",B94&amp;"#"&amp;IF(D94="",F94,D94))</f>
        <v/>
      </c>
      <c r="AF94" s="50">
        <f>IF(AE94="","",AE94&amp;"|"&amp;M94)</f>
        <v/>
      </c>
      <c r="AG94" s="50">
        <f>IF(AE94="","",IF(COUNTIF($AE$6:AE94,AE94)=1,1,0))</f>
        <v/>
      </c>
      <c r="AH94" s="50">
        <f>IF(AE94="","",COUNTIF($AE$6:$AE$205,AE94))</f>
        <v/>
      </c>
      <c r="AI94" s="50">
        <f>IF(AE94="","",IF(AND(AG94=1,AH94&gt;1),COUNTIFS($AG$6:AG94,1,$AH$6:AH94,"&gt;1"),""))</f>
        <v/>
      </c>
      <c r="AJ94" s="50">
        <f>IF(AG94=1,IF(COUNTIFS($AE$6:$AE$205,AE94,$N$6:$N$205,"견적접수")&gt;0,1,0),"")</f>
        <v/>
      </c>
      <c r="AK94" s="50">
        <f>IF(OR(R94="",N94&lt;&gt;"견적접수"),"",IF(AND(R94=_xlfn.MINIFS($R$6:$R$205,$AE$6:$AE$205,AE94,$N$6:$N$205,"견적접수"),COUNTIFS($AE$5:AE93,AE94,$R$5:R93,R94,$N$5:N93,"견적접수")=0),1,""))</f>
        <v/>
      </c>
    </row>
    <row r="95">
      <c r="A95" s="50">
        <f>IF(F95="","",ROW()-5)</f>
        <v/>
      </c>
      <c r="B95" s="34" t="n"/>
      <c r="C95" s="34" t="n"/>
      <c r="D95" s="34" t="n"/>
      <c r="E95" s="34" t="n"/>
      <c r="F95" s="36" t="n"/>
      <c r="G95" s="36" t="n"/>
      <c r="H95" s="36" t="n"/>
      <c r="I95" s="36" t="n"/>
      <c r="J95" s="36" t="n"/>
      <c r="K95" s="34" t="n"/>
      <c r="L95" s="34" t="n"/>
      <c r="M95" s="34" t="n"/>
      <c r="N95" s="34" t="n"/>
      <c r="O95" s="50">
        <f>IF(N(AH95)&gt;1,"중복 "&amp;AH95&amp;"곳"&amp;IF(AK95=1," · 최저가",IF(AND(N95="견적접수",R95&lt;&gt;"")," · 비쌈","")),"")</f>
        <v/>
      </c>
      <c r="P95" s="34" t="n"/>
      <c r="Q95" s="51" t="n"/>
      <c r="R95" s="52">
        <f>IF(OR(Q95="",P95=""),"",IFERROR(IF(VLOOKUP(P95,설정!$K$5:$L$9,2,0)&gt;0,Q95*VLOOKUP(P95,설정!$K$5:$L$9,2,0),""),""))</f>
        <v/>
      </c>
      <c r="S95" s="53">
        <f>IF(OR(R95="",K95=""),"",R95*K95)</f>
        <v/>
      </c>
      <c r="T95" s="38" t="n"/>
      <c r="U95" s="54">
        <f>IF(OR(T95="",AC95="발주완료",AC95="취소"),"",TODAY()+T95)</f>
        <v/>
      </c>
      <c r="V95" s="50">
        <f>IF(OR(U95="",NOT(ISNUMBER($K$2))),"",IF(U95&lt;=$K$2,"가능","초과 "&amp;(U95-$K$2)&amp;"일"))</f>
        <v/>
      </c>
      <c r="W95" s="34" t="n"/>
      <c r="X95" s="34" t="n"/>
      <c r="Y95" s="34" t="n"/>
      <c r="Z95" s="56" t="n"/>
      <c r="AA95" s="54">
        <f>IF(OR(Z95="",Y95=""),"",Z95+Y95)</f>
        <v/>
      </c>
      <c r="AB95" s="36" t="n"/>
      <c r="AC95" s="34" t="n"/>
      <c r="AD95" s="36" t="n"/>
      <c r="AE95" s="50">
        <f>IF(F95="","",B95&amp;"#"&amp;IF(D95="",F95,D95))</f>
        <v/>
      </c>
      <c r="AF95" s="50">
        <f>IF(AE95="","",AE95&amp;"|"&amp;M95)</f>
        <v/>
      </c>
      <c r="AG95" s="50">
        <f>IF(AE95="","",IF(COUNTIF($AE$6:AE95,AE95)=1,1,0))</f>
        <v/>
      </c>
      <c r="AH95" s="50">
        <f>IF(AE95="","",COUNTIF($AE$6:$AE$205,AE95))</f>
        <v/>
      </c>
      <c r="AI95" s="50">
        <f>IF(AE95="","",IF(AND(AG95=1,AH95&gt;1),COUNTIFS($AG$6:AG95,1,$AH$6:AH95,"&gt;1"),""))</f>
        <v/>
      </c>
      <c r="AJ95" s="50">
        <f>IF(AG95=1,IF(COUNTIFS($AE$6:$AE$205,AE95,$N$6:$N$205,"견적접수")&gt;0,1,0),"")</f>
        <v/>
      </c>
      <c r="AK95" s="50">
        <f>IF(OR(R95="",N95&lt;&gt;"견적접수"),"",IF(AND(R95=_xlfn.MINIFS($R$6:$R$205,$AE$6:$AE$205,AE95,$N$6:$N$205,"견적접수"),COUNTIFS($AE$5:AE94,AE95,$R$5:R94,R95,$N$5:N94,"견적접수")=0),1,""))</f>
        <v/>
      </c>
    </row>
    <row r="96">
      <c r="A96" s="50">
        <f>IF(F96="","",ROW()-5)</f>
        <v/>
      </c>
      <c r="B96" s="34" t="n"/>
      <c r="C96" s="34" t="n"/>
      <c r="D96" s="34" t="n"/>
      <c r="E96" s="34" t="n"/>
      <c r="F96" s="36" t="n"/>
      <c r="G96" s="36" t="n"/>
      <c r="H96" s="36" t="n"/>
      <c r="I96" s="36" t="n"/>
      <c r="J96" s="36" t="n"/>
      <c r="K96" s="34" t="n"/>
      <c r="L96" s="34" t="n"/>
      <c r="M96" s="34" t="n"/>
      <c r="N96" s="34" t="n"/>
      <c r="O96" s="50">
        <f>IF(N(AH96)&gt;1,"중복 "&amp;AH96&amp;"곳"&amp;IF(AK96=1," · 최저가",IF(AND(N96="견적접수",R96&lt;&gt;"")," · 비쌈","")),"")</f>
        <v/>
      </c>
      <c r="P96" s="34" t="n"/>
      <c r="Q96" s="51" t="n"/>
      <c r="R96" s="52">
        <f>IF(OR(Q96="",P96=""),"",IFERROR(IF(VLOOKUP(P96,설정!$K$5:$L$9,2,0)&gt;0,Q96*VLOOKUP(P96,설정!$K$5:$L$9,2,0),""),""))</f>
        <v/>
      </c>
      <c r="S96" s="53">
        <f>IF(OR(R96="",K96=""),"",R96*K96)</f>
        <v/>
      </c>
      <c r="T96" s="38" t="n"/>
      <c r="U96" s="54">
        <f>IF(OR(T96="",AC96="발주완료",AC96="취소"),"",TODAY()+T96)</f>
        <v/>
      </c>
      <c r="V96" s="50">
        <f>IF(OR(U96="",NOT(ISNUMBER($K$2))),"",IF(U96&lt;=$K$2,"가능","초과 "&amp;(U96-$K$2)&amp;"일"))</f>
        <v/>
      </c>
      <c r="W96" s="34" t="n"/>
      <c r="X96" s="34" t="n"/>
      <c r="Y96" s="34" t="n"/>
      <c r="Z96" s="56" t="n"/>
      <c r="AA96" s="54">
        <f>IF(OR(Z96="",Y96=""),"",Z96+Y96)</f>
        <v/>
      </c>
      <c r="AB96" s="36" t="n"/>
      <c r="AC96" s="34" t="n"/>
      <c r="AD96" s="36" t="n"/>
      <c r="AE96" s="50">
        <f>IF(F96="","",B96&amp;"#"&amp;IF(D96="",F96,D96))</f>
        <v/>
      </c>
      <c r="AF96" s="50">
        <f>IF(AE96="","",AE96&amp;"|"&amp;M96)</f>
        <v/>
      </c>
      <c r="AG96" s="50">
        <f>IF(AE96="","",IF(COUNTIF($AE$6:AE96,AE96)=1,1,0))</f>
        <v/>
      </c>
      <c r="AH96" s="50">
        <f>IF(AE96="","",COUNTIF($AE$6:$AE$205,AE96))</f>
        <v/>
      </c>
      <c r="AI96" s="50">
        <f>IF(AE96="","",IF(AND(AG96=1,AH96&gt;1),COUNTIFS($AG$6:AG96,1,$AH$6:AH96,"&gt;1"),""))</f>
        <v/>
      </c>
      <c r="AJ96" s="50">
        <f>IF(AG96=1,IF(COUNTIFS($AE$6:$AE$205,AE96,$N$6:$N$205,"견적접수")&gt;0,1,0),"")</f>
        <v/>
      </c>
      <c r="AK96" s="50">
        <f>IF(OR(R96="",N96&lt;&gt;"견적접수"),"",IF(AND(R96=_xlfn.MINIFS($R$6:$R$205,$AE$6:$AE$205,AE96,$N$6:$N$205,"견적접수"),COUNTIFS($AE$5:AE95,AE96,$R$5:R95,R96,$N$5:N95,"견적접수")=0),1,""))</f>
        <v/>
      </c>
    </row>
    <row r="97">
      <c r="A97" s="50">
        <f>IF(F97="","",ROW()-5)</f>
        <v/>
      </c>
      <c r="B97" s="34" t="n"/>
      <c r="C97" s="34" t="n"/>
      <c r="D97" s="34" t="n"/>
      <c r="E97" s="34" t="n"/>
      <c r="F97" s="36" t="n"/>
      <c r="G97" s="36" t="n"/>
      <c r="H97" s="36" t="n"/>
      <c r="I97" s="36" t="n"/>
      <c r="J97" s="36" t="n"/>
      <c r="K97" s="34" t="n"/>
      <c r="L97" s="34" t="n"/>
      <c r="M97" s="34" t="n"/>
      <c r="N97" s="34" t="n"/>
      <c r="O97" s="50">
        <f>IF(N(AH97)&gt;1,"중복 "&amp;AH97&amp;"곳"&amp;IF(AK97=1," · 최저가",IF(AND(N97="견적접수",R97&lt;&gt;"")," · 비쌈","")),"")</f>
        <v/>
      </c>
      <c r="P97" s="34" t="n"/>
      <c r="Q97" s="51" t="n"/>
      <c r="R97" s="52">
        <f>IF(OR(Q97="",P97=""),"",IFERROR(IF(VLOOKUP(P97,설정!$K$5:$L$9,2,0)&gt;0,Q97*VLOOKUP(P97,설정!$K$5:$L$9,2,0),""),""))</f>
        <v/>
      </c>
      <c r="S97" s="53">
        <f>IF(OR(R97="",K97=""),"",R97*K97)</f>
        <v/>
      </c>
      <c r="T97" s="38" t="n"/>
      <c r="U97" s="54">
        <f>IF(OR(T97="",AC97="발주완료",AC97="취소"),"",TODAY()+T97)</f>
        <v/>
      </c>
      <c r="V97" s="50">
        <f>IF(OR(U97="",NOT(ISNUMBER($K$2))),"",IF(U97&lt;=$K$2,"가능","초과 "&amp;(U97-$K$2)&amp;"일"))</f>
        <v/>
      </c>
      <c r="W97" s="34" t="n"/>
      <c r="X97" s="34" t="n"/>
      <c r="Y97" s="34" t="n"/>
      <c r="Z97" s="56" t="n"/>
      <c r="AA97" s="54">
        <f>IF(OR(Z97="",Y97=""),"",Z97+Y97)</f>
        <v/>
      </c>
      <c r="AB97" s="36" t="n"/>
      <c r="AC97" s="34" t="n"/>
      <c r="AD97" s="36" t="n"/>
      <c r="AE97" s="50">
        <f>IF(F97="","",B97&amp;"#"&amp;IF(D97="",F97,D97))</f>
        <v/>
      </c>
      <c r="AF97" s="50">
        <f>IF(AE97="","",AE97&amp;"|"&amp;M97)</f>
        <v/>
      </c>
      <c r="AG97" s="50">
        <f>IF(AE97="","",IF(COUNTIF($AE$6:AE97,AE97)=1,1,0))</f>
        <v/>
      </c>
      <c r="AH97" s="50">
        <f>IF(AE97="","",COUNTIF($AE$6:$AE$205,AE97))</f>
        <v/>
      </c>
      <c r="AI97" s="50">
        <f>IF(AE97="","",IF(AND(AG97=1,AH97&gt;1),COUNTIFS($AG$6:AG97,1,$AH$6:AH97,"&gt;1"),""))</f>
        <v/>
      </c>
      <c r="AJ97" s="50">
        <f>IF(AG97=1,IF(COUNTIFS($AE$6:$AE$205,AE97,$N$6:$N$205,"견적접수")&gt;0,1,0),"")</f>
        <v/>
      </c>
      <c r="AK97" s="50">
        <f>IF(OR(R97="",N97&lt;&gt;"견적접수"),"",IF(AND(R97=_xlfn.MINIFS($R$6:$R$205,$AE$6:$AE$205,AE97,$N$6:$N$205,"견적접수"),COUNTIFS($AE$5:AE96,AE97,$R$5:R96,R97,$N$5:N96,"견적접수")=0),1,""))</f>
        <v/>
      </c>
    </row>
    <row r="98">
      <c r="A98" s="50">
        <f>IF(F98="","",ROW()-5)</f>
        <v/>
      </c>
      <c r="B98" s="34" t="n"/>
      <c r="C98" s="34" t="n"/>
      <c r="D98" s="34" t="n"/>
      <c r="E98" s="34" t="n"/>
      <c r="F98" s="36" t="n"/>
      <c r="G98" s="36" t="n"/>
      <c r="H98" s="36" t="n"/>
      <c r="I98" s="36" t="n"/>
      <c r="J98" s="36" t="n"/>
      <c r="K98" s="34" t="n"/>
      <c r="L98" s="34" t="n"/>
      <c r="M98" s="34" t="n"/>
      <c r="N98" s="34" t="n"/>
      <c r="O98" s="50">
        <f>IF(N(AH98)&gt;1,"중복 "&amp;AH98&amp;"곳"&amp;IF(AK98=1," · 최저가",IF(AND(N98="견적접수",R98&lt;&gt;"")," · 비쌈","")),"")</f>
        <v/>
      </c>
      <c r="P98" s="34" t="n"/>
      <c r="Q98" s="51" t="n"/>
      <c r="R98" s="52">
        <f>IF(OR(Q98="",P98=""),"",IFERROR(IF(VLOOKUP(P98,설정!$K$5:$L$9,2,0)&gt;0,Q98*VLOOKUP(P98,설정!$K$5:$L$9,2,0),""),""))</f>
        <v/>
      </c>
      <c r="S98" s="53">
        <f>IF(OR(R98="",K98=""),"",R98*K98)</f>
        <v/>
      </c>
      <c r="T98" s="38" t="n"/>
      <c r="U98" s="54">
        <f>IF(OR(T98="",AC98="발주완료",AC98="취소"),"",TODAY()+T98)</f>
        <v/>
      </c>
      <c r="V98" s="50">
        <f>IF(OR(U98="",NOT(ISNUMBER($K$2))),"",IF(U98&lt;=$K$2,"가능","초과 "&amp;(U98-$K$2)&amp;"일"))</f>
        <v/>
      </c>
      <c r="W98" s="34" t="n"/>
      <c r="X98" s="34" t="n"/>
      <c r="Y98" s="34" t="n"/>
      <c r="Z98" s="56" t="n"/>
      <c r="AA98" s="54">
        <f>IF(OR(Z98="",Y98=""),"",Z98+Y98)</f>
        <v/>
      </c>
      <c r="AB98" s="36" t="n"/>
      <c r="AC98" s="34" t="n"/>
      <c r="AD98" s="36" t="n"/>
      <c r="AE98" s="50">
        <f>IF(F98="","",B98&amp;"#"&amp;IF(D98="",F98,D98))</f>
        <v/>
      </c>
      <c r="AF98" s="50">
        <f>IF(AE98="","",AE98&amp;"|"&amp;M98)</f>
        <v/>
      </c>
      <c r="AG98" s="50">
        <f>IF(AE98="","",IF(COUNTIF($AE$6:AE98,AE98)=1,1,0))</f>
        <v/>
      </c>
      <c r="AH98" s="50">
        <f>IF(AE98="","",COUNTIF($AE$6:$AE$205,AE98))</f>
        <v/>
      </c>
      <c r="AI98" s="50">
        <f>IF(AE98="","",IF(AND(AG98=1,AH98&gt;1),COUNTIFS($AG$6:AG98,1,$AH$6:AH98,"&gt;1"),""))</f>
        <v/>
      </c>
      <c r="AJ98" s="50">
        <f>IF(AG98=1,IF(COUNTIFS($AE$6:$AE$205,AE98,$N$6:$N$205,"견적접수")&gt;0,1,0),"")</f>
        <v/>
      </c>
      <c r="AK98" s="50">
        <f>IF(OR(R98="",N98&lt;&gt;"견적접수"),"",IF(AND(R98=_xlfn.MINIFS($R$6:$R$205,$AE$6:$AE$205,AE98,$N$6:$N$205,"견적접수"),COUNTIFS($AE$5:AE97,AE98,$R$5:R97,R98,$N$5:N97,"견적접수")=0),1,""))</f>
        <v/>
      </c>
    </row>
    <row r="99">
      <c r="A99" s="50">
        <f>IF(F99="","",ROW()-5)</f>
        <v/>
      </c>
      <c r="B99" s="34" t="n"/>
      <c r="C99" s="34" t="n"/>
      <c r="D99" s="34" t="n"/>
      <c r="E99" s="34" t="n"/>
      <c r="F99" s="36" t="n"/>
      <c r="G99" s="36" t="n"/>
      <c r="H99" s="36" t="n"/>
      <c r="I99" s="36" t="n"/>
      <c r="J99" s="36" t="n"/>
      <c r="K99" s="34" t="n"/>
      <c r="L99" s="34" t="n"/>
      <c r="M99" s="34" t="n"/>
      <c r="N99" s="34" t="n"/>
      <c r="O99" s="50">
        <f>IF(N(AH99)&gt;1,"중복 "&amp;AH99&amp;"곳"&amp;IF(AK99=1," · 최저가",IF(AND(N99="견적접수",R99&lt;&gt;"")," · 비쌈","")),"")</f>
        <v/>
      </c>
      <c r="P99" s="34" t="n"/>
      <c r="Q99" s="51" t="n"/>
      <c r="R99" s="52">
        <f>IF(OR(Q99="",P99=""),"",IFERROR(IF(VLOOKUP(P99,설정!$K$5:$L$9,2,0)&gt;0,Q99*VLOOKUP(P99,설정!$K$5:$L$9,2,0),""),""))</f>
        <v/>
      </c>
      <c r="S99" s="53">
        <f>IF(OR(R99="",K99=""),"",R99*K99)</f>
        <v/>
      </c>
      <c r="T99" s="38" t="n"/>
      <c r="U99" s="54">
        <f>IF(OR(T99="",AC99="발주완료",AC99="취소"),"",TODAY()+T99)</f>
        <v/>
      </c>
      <c r="V99" s="50">
        <f>IF(OR(U99="",NOT(ISNUMBER($K$2))),"",IF(U99&lt;=$K$2,"가능","초과 "&amp;(U99-$K$2)&amp;"일"))</f>
        <v/>
      </c>
      <c r="W99" s="34" t="n"/>
      <c r="X99" s="34" t="n"/>
      <c r="Y99" s="34" t="n"/>
      <c r="Z99" s="56" t="n"/>
      <c r="AA99" s="54">
        <f>IF(OR(Z99="",Y99=""),"",Z99+Y99)</f>
        <v/>
      </c>
      <c r="AB99" s="36" t="n"/>
      <c r="AC99" s="34" t="n"/>
      <c r="AD99" s="36" t="n"/>
      <c r="AE99" s="50">
        <f>IF(F99="","",B99&amp;"#"&amp;IF(D99="",F99,D99))</f>
        <v/>
      </c>
      <c r="AF99" s="50">
        <f>IF(AE99="","",AE99&amp;"|"&amp;M99)</f>
        <v/>
      </c>
      <c r="AG99" s="50">
        <f>IF(AE99="","",IF(COUNTIF($AE$6:AE99,AE99)=1,1,0))</f>
        <v/>
      </c>
      <c r="AH99" s="50">
        <f>IF(AE99="","",COUNTIF($AE$6:$AE$205,AE99))</f>
        <v/>
      </c>
      <c r="AI99" s="50">
        <f>IF(AE99="","",IF(AND(AG99=1,AH99&gt;1),COUNTIFS($AG$6:AG99,1,$AH$6:AH99,"&gt;1"),""))</f>
        <v/>
      </c>
      <c r="AJ99" s="50">
        <f>IF(AG99=1,IF(COUNTIFS($AE$6:$AE$205,AE99,$N$6:$N$205,"견적접수")&gt;0,1,0),"")</f>
        <v/>
      </c>
      <c r="AK99" s="50">
        <f>IF(OR(R99="",N99&lt;&gt;"견적접수"),"",IF(AND(R99=_xlfn.MINIFS($R$6:$R$205,$AE$6:$AE$205,AE99,$N$6:$N$205,"견적접수"),COUNTIFS($AE$5:AE98,AE99,$R$5:R98,R99,$N$5:N98,"견적접수")=0),1,""))</f>
        <v/>
      </c>
    </row>
    <row r="100">
      <c r="A100" s="50">
        <f>IF(F100="","",ROW()-5)</f>
        <v/>
      </c>
      <c r="B100" s="34" t="n"/>
      <c r="C100" s="34" t="n"/>
      <c r="D100" s="34" t="n"/>
      <c r="E100" s="34" t="n"/>
      <c r="F100" s="36" t="n"/>
      <c r="G100" s="36" t="n"/>
      <c r="H100" s="36" t="n"/>
      <c r="I100" s="36" t="n"/>
      <c r="J100" s="36" t="n"/>
      <c r="K100" s="34" t="n"/>
      <c r="L100" s="34" t="n"/>
      <c r="M100" s="34" t="n"/>
      <c r="N100" s="34" t="n"/>
      <c r="O100" s="50">
        <f>IF(N(AH100)&gt;1,"중복 "&amp;AH100&amp;"곳"&amp;IF(AK100=1," · 최저가",IF(AND(N100="견적접수",R100&lt;&gt;"")," · 비쌈","")),"")</f>
        <v/>
      </c>
      <c r="P100" s="34" t="n"/>
      <c r="Q100" s="51" t="n"/>
      <c r="R100" s="52">
        <f>IF(OR(Q100="",P100=""),"",IFERROR(IF(VLOOKUP(P100,설정!$K$5:$L$9,2,0)&gt;0,Q100*VLOOKUP(P100,설정!$K$5:$L$9,2,0),""),""))</f>
        <v/>
      </c>
      <c r="S100" s="53">
        <f>IF(OR(R100="",K100=""),"",R100*K100)</f>
        <v/>
      </c>
      <c r="T100" s="38" t="n"/>
      <c r="U100" s="54">
        <f>IF(OR(T100="",AC100="발주완료",AC100="취소"),"",TODAY()+T100)</f>
        <v/>
      </c>
      <c r="V100" s="50">
        <f>IF(OR(U100="",NOT(ISNUMBER($K$2))),"",IF(U100&lt;=$K$2,"가능","초과 "&amp;(U100-$K$2)&amp;"일"))</f>
        <v/>
      </c>
      <c r="W100" s="34" t="n"/>
      <c r="X100" s="34" t="n"/>
      <c r="Y100" s="34" t="n"/>
      <c r="Z100" s="56" t="n"/>
      <c r="AA100" s="54">
        <f>IF(OR(Z100="",Y100=""),"",Z100+Y100)</f>
        <v/>
      </c>
      <c r="AB100" s="36" t="n"/>
      <c r="AC100" s="34" t="n"/>
      <c r="AD100" s="36" t="n"/>
      <c r="AE100" s="50">
        <f>IF(F100="","",B100&amp;"#"&amp;IF(D100="",F100,D100))</f>
        <v/>
      </c>
      <c r="AF100" s="50">
        <f>IF(AE100="","",AE100&amp;"|"&amp;M100)</f>
        <v/>
      </c>
      <c r="AG100" s="50">
        <f>IF(AE100="","",IF(COUNTIF($AE$6:AE100,AE100)=1,1,0))</f>
        <v/>
      </c>
      <c r="AH100" s="50">
        <f>IF(AE100="","",COUNTIF($AE$6:$AE$205,AE100))</f>
        <v/>
      </c>
      <c r="AI100" s="50">
        <f>IF(AE100="","",IF(AND(AG100=1,AH100&gt;1),COUNTIFS($AG$6:AG100,1,$AH$6:AH100,"&gt;1"),""))</f>
        <v/>
      </c>
      <c r="AJ100" s="50">
        <f>IF(AG100=1,IF(COUNTIFS($AE$6:$AE$205,AE100,$N$6:$N$205,"견적접수")&gt;0,1,0),"")</f>
        <v/>
      </c>
      <c r="AK100" s="50">
        <f>IF(OR(R100="",N100&lt;&gt;"견적접수"),"",IF(AND(R100=_xlfn.MINIFS($R$6:$R$205,$AE$6:$AE$205,AE100,$N$6:$N$205,"견적접수"),COUNTIFS($AE$5:AE99,AE100,$R$5:R99,R100,$N$5:N99,"견적접수")=0),1,""))</f>
        <v/>
      </c>
    </row>
    <row r="101">
      <c r="A101" s="50">
        <f>IF(F101="","",ROW()-5)</f>
        <v/>
      </c>
      <c r="B101" s="34" t="n"/>
      <c r="C101" s="34" t="n"/>
      <c r="D101" s="34" t="n"/>
      <c r="E101" s="34" t="n"/>
      <c r="F101" s="36" t="n"/>
      <c r="G101" s="36" t="n"/>
      <c r="H101" s="36" t="n"/>
      <c r="I101" s="36" t="n"/>
      <c r="J101" s="36" t="n"/>
      <c r="K101" s="34" t="n"/>
      <c r="L101" s="34" t="n"/>
      <c r="M101" s="34" t="n"/>
      <c r="N101" s="34" t="n"/>
      <c r="O101" s="50">
        <f>IF(N(AH101)&gt;1,"중복 "&amp;AH101&amp;"곳"&amp;IF(AK101=1," · 최저가",IF(AND(N101="견적접수",R101&lt;&gt;"")," · 비쌈","")),"")</f>
        <v/>
      </c>
      <c r="P101" s="34" t="n"/>
      <c r="Q101" s="51" t="n"/>
      <c r="R101" s="52">
        <f>IF(OR(Q101="",P101=""),"",IFERROR(IF(VLOOKUP(P101,설정!$K$5:$L$9,2,0)&gt;0,Q101*VLOOKUP(P101,설정!$K$5:$L$9,2,0),""),""))</f>
        <v/>
      </c>
      <c r="S101" s="53">
        <f>IF(OR(R101="",K101=""),"",R101*K101)</f>
        <v/>
      </c>
      <c r="T101" s="38" t="n"/>
      <c r="U101" s="54">
        <f>IF(OR(T101="",AC101="발주완료",AC101="취소"),"",TODAY()+T101)</f>
        <v/>
      </c>
      <c r="V101" s="50">
        <f>IF(OR(U101="",NOT(ISNUMBER($K$2))),"",IF(U101&lt;=$K$2,"가능","초과 "&amp;(U101-$K$2)&amp;"일"))</f>
        <v/>
      </c>
      <c r="W101" s="34" t="n"/>
      <c r="X101" s="34" t="n"/>
      <c r="Y101" s="34" t="n"/>
      <c r="Z101" s="56" t="n"/>
      <c r="AA101" s="54">
        <f>IF(OR(Z101="",Y101=""),"",Z101+Y101)</f>
        <v/>
      </c>
      <c r="AB101" s="36" t="n"/>
      <c r="AC101" s="34" t="n"/>
      <c r="AD101" s="36" t="n"/>
      <c r="AE101" s="50">
        <f>IF(F101="","",B101&amp;"#"&amp;IF(D101="",F101,D101))</f>
        <v/>
      </c>
      <c r="AF101" s="50">
        <f>IF(AE101="","",AE101&amp;"|"&amp;M101)</f>
        <v/>
      </c>
      <c r="AG101" s="50">
        <f>IF(AE101="","",IF(COUNTIF($AE$6:AE101,AE101)=1,1,0))</f>
        <v/>
      </c>
      <c r="AH101" s="50">
        <f>IF(AE101="","",COUNTIF($AE$6:$AE$205,AE101))</f>
        <v/>
      </c>
      <c r="AI101" s="50">
        <f>IF(AE101="","",IF(AND(AG101=1,AH101&gt;1),COUNTIFS($AG$6:AG101,1,$AH$6:AH101,"&gt;1"),""))</f>
        <v/>
      </c>
      <c r="AJ101" s="50">
        <f>IF(AG101=1,IF(COUNTIFS($AE$6:$AE$205,AE101,$N$6:$N$205,"견적접수")&gt;0,1,0),"")</f>
        <v/>
      </c>
      <c r="AK101" s="50">
        <f>IF(OR(R101="",N101&lt;&gt;"견적접수"),"",IF(AND(R101=_xlfn.MINIFS($R$6:$R$205,$AE$6:$AE$205,AE101,$N$6:$N$205,"견적접수"),COUNTIFS($AE$5:AE100,AE101,$R$5:R100,R101,$N$5:N100,"견적접수")=0),1,""))</f>
        <v/>
      </c>
    </row>
    <row r="102">
      <c r="A102" s="50">
        <f>IF(F102="","",ROW()-5)</f>
        <v/>
      </c>
      <c r="B102" s="34" t="n"/>
      <c r="C102" s="34" t="n"/>
      <c r="D102" s="34" t="n"/>
      <c r="E102" s="34" t="n"/>
      <c r="F102" s="36" t="n"/>
      <c r="G102" s="36" t="n"/>
      <c r="H102" s="36" t="n"/>
      <c r="I102" s="36" t="n"/>
      <c r="J102" s="36" t="n"/>
      <c r="K102" s="34" t="n"/>
      <c r="L102" s="34" t="n"/>
      <c r="M102" s="34" t="n"/>
      <c r="N102" s="34" t="n"/>
      <c r="O102" s="50">
        <f>IF(N(AH102)&gt;1,"중복 "&amp;AH102&amp;"곳"&amp;IF(AK102=1," · 최저가",IF(AND(N102="견적접수",R102&lt;&gt;"")," · 비쌈","")),"")</f>
        <v/>
      </c>
      <c r="P102" s="34" t="n"/>
      <c r="Q102" s="51" t="n"/>
      <c r="R102" s="52">
        <f>IF(OR(Q102="",P102=""),"",IFERROR(IF(VLOOKUP(P102,설정!$K$5:$L$9,2,0)&gt;0,Q102*VLOOKUP(P102,설정!$K$5:$L$9,2,0),""),""))</f>
        <v/>
      </c>
      <c r="S102" s="53">
        <f>IF(OR(R102="",K102=""),"",R102*K102)</f>
        <v/>
      </c>
      <c r="T102" s="38" t="n"/>
      <c r="U102" s="54">
        <f>IF(OR(T102="",AC102="발주완료",AC102="취소"),"",TODAY()+T102)</f>
        <v/>
      </c>
      <c r="V102" s="50">
        <f>IF(OR(U102="",NOT(ISNUMBER($K$2))),"",IF(U102&lt;=$K$2,"가능","초과 "&amp;(U102-$K$2)&amp;"일"))</f>
        <v/>
      </c>
      <c r="W102" s="34" t="n"/>
      <c r="X102" s="34" t="n"/>
      <c r="Y102" s="34" t="n"/>
      <c r="Z102" s="56" t="n"/>
      <c r="AA102" s="54">
        <f>IF(OR(Z102="",Y102=""),"",Z102+Y102)</f>
        <v/>
      </c>
      <c r="AB102" s="36" t="n"/>
      <c r="AC102" s="34" t="n"/>
      <c r="AD102" s="36" t="n"/>
      <c r="AE102" s="50">
        <f>IF(F102="","",B102&amp;"#"&amp;IF(D102="",F102,D102))</f>
        <v/>
      </c>
      <c r="AF102" s="50">
        <f>IF(AE102="","",AE102&amp;"|"&amp;M102)</f>
        <v/>
      </c>
      <c r="AG102" s="50">
        <f>IF(AE102="","",IF(COUNTIF($AE$6:AE102,AE102)=1,1,0))</f>
        <v/>
      </c>
      <c r="AH102" s="50">
        <f>IF(AE102="","",COUNTIF($AE$6:$AE$205,AE102))</f>
        <v/>
      </c>
      <c r="AI102" s="50">
        <f>IF(AE102="","",IF(AND(AG102=1,AH102&gt;1),COUNTIFS($AG$6:AG102,1,$AH$6:AH102,"&gt;1"),""))</f>
        <v/>
      </c>
      <c r="AJ102" s="50">
        <f>IF(AG102=1,IF(COUNTIFS($AE$6:$AE$205,AE102,$N$6:$N$205,"견적접수")&gt;0,1,0),"")</f>
        <v/>
      </c>
      <c r="AK102" s="50">
        <f>IF(OR(R102="",N102&lt;&gt;"견적접수"),"",IF(AND(R102=_xlfn.MINIFS($R$6:$R$205,$AE$6:$AE$205,AE102,$N$6:$N$205,"견적접수"),COUNTIFS($AE$5:AE101,AE102,$R$5:R101,R102,$N$5:N101,"견적접수")=0),1,""))</f>
        <v/>
      </c>
    </row>
    <row r="103">
      <c r="A103" s="50">
        <f>IF(F103="","",ROW()-5)</f>
        <v/>
      </c>
      <c r="B103" s="34" t="n"/>
      <c r="C103" s="34" t="n"/>
      <c r="D103" s="34" t="n"/>
      <c r="E103" s="34" t="n"/>
      <c r="F103" s="36" t="n"/>
      <c r="G103" s="36" t="n"/>
      <c r="H103" s="36" t="n"/>
      <c r="I103" s="36" t="n"/>
      <c r="J103" s="36" t="n"/>
      <c r="K103" s="34" t="n"/>
      <c r="L103" s="34" t="n"/>
      <c r="M103" s="34" t="n"/>
      <c r="N103" s="34" t="n"/>
      <c r="O103" s="50">
        <f>IF(N(AH103)&gt;1,"중복 "&amp;AH103&amp;"곳"&amp;IF(AK103=1," · 최저가",IF(AND(N103="견적접수",R103&lt;&gt;"")," · 비쌈","")),"")</f>
        <v/>
      </c>
      <c r="P103" s="34" t="n"/>
      <c r="Q103" s="51" t="n"/>
      <c r="R103" s="52">
        <f>IF(OR(Q103="",P103=""),"",IFERROR(IF(VLOOKUP(P103,설정!$K$5:$L$9,2,0)&gt;0,Q103*VLOOKUP(P103,설정!$K$5:$L$9,2,0),""),""))</f>
        <v/>
      </c>
      <c r="S103" s="53">
        <f>IF(OR(R103="",K103=""),"",R103*K103)</f>
        <v/>
      </c>
      <c r="T103" s="38" t="n"/>
      <c r="U103" s="54">
        <f>IF(OR(T103="",AC103="발주완료",AC103="취소"),"",TODAY()+T103)</f>
        <v/>
      </c>
      <c r="V103" s="50">
        <f>IF(OR(U103="",NOT(ISNUMBER($K$2))),"",IF(U103&lt;=$K$2,"가능","초과 "&amp;(U103-$K$2)&amp;"일"))</f>
        <v/>
      </c>
      <c r="W103" s="34" t="n"/>
      <c r="X103" s="34" t="n"/>
      <c r="Y103" s="34" t="n"/>
      <c r="Z103" s="56" t="n"/>
      <c r="AA103" s="54">
        <f>IF(OR(Z103="",Y103=""),"",Z103+Y103)</f>
        <v/>
      </c>
      <c r="AB103" s="36" t="n"/>
      <c r="AC103" s="34" t="n"/>
      <c r="AD103" s="36" t="n"/>
      <c r="AE103" s="50">
        <f>IF(F103="","",B103&amp;"#"&amp;IF(D103="",F103,D103))</f>
        <v/>
      </c>
      <c r="AF103" s="50">
        <f>IF(AE103="","",AE103&amp;"|"&amp;M103)</f>
        <v/>
      </c>
      <c r="AG103" s="50">
        <f>IF(AE103="","",IF(COUNTIF($AE$6:AE103,AE103)=1,1,0))</f>
        <v/>
      </c>
      <c r="AH103" s="50">
        <f>IF(AE103="","",COUNTIF($AE$6:$AE$205,AE103))</f>
        <v/>
      </c>
      <c r="AI103" s="50">
        <f>IF(AE103="","",IF(AND(AG103=1,AH103&gt;1),COUNTIFS($AG$6:AG103,1,$AH$6:AH103,"&gt;1"),""))</f>
        <v/>
      </c>
      <c r="AJ103" s="50">
        <f>IF(AG103=1,IF(COUNTIFS($AE$6:$AE$205,AE103,$N$6:$N$205,"견적접수")&gt;0,1,0),"")</f>
        <v/>
      </c>
      <c r="AK103" s="50">
        <f>IF(OR(R103="",N103&lt;&gt;"견적접수"),"",IF(AND(R103=_xlfn.MINIFS($R$6:$R$205,$AE$6:$AE$205,AE103,$N$6:$N$205,"견적접수"),COUNTIFS($AE$5:AE102,AE103,$R$5:R102,R103,$N$5:N102,"견적접수")=0),1,""))</f>
        <v/>
      </c>
    </row>
    <row r="104">
      <c r="A104" s="50">
        <f>IF(F104="","",ROW()-5)</f>
        <v/>
      </c>
      <c r="B104" s="34" t="n"/>
      <c r="C104" s="34" t="n"/>
      <c r="D104" s="34" t="n"/>
      <c r="E104" s="34" t="n"/>
      <c r="F104" s="36" t="n"/>
      <c r="G104" s="36" t="n"/>
      <c r="H104" s="36" t="n"/>
      <c r="I104" s="36" t="n"/>
      <c r="J104" s="36" t="n"/>
      <c r="K104" s="34" t="n"/>
      <c r="L104" s="34" t="n"/>
      <c r="M104" s="34" t="n"/>
      <c r="N104" s="34" t="n"/>
      <c r="O104" s="50">
        <f>IF(N(AH104)&gt;1,"중복 "&amp;AH104&amp;"곳"&amp;IF(AK104=1," · 최저가",IF(AND(N104="견적접수",R104&lt;&gt;"")," · 비쌈","")),"")</f>
        <v/>
      </c>
      <c r="P104" s="34" t="n"/>
      <c r="Q104" s="51" t="n"/>
      <c r="R104" s="52">
        <f>IF(OR(Q104="",P104=""),"",IFERROR(IF(VLOOKUP(P104,설정!$K$5:$L$9,2,0)&gt;0,Q104*VLOOKUP(P104,설정!$K$5:$L$9,2,0),""),""))</f>
        <v/>
      </c>
      <c r="S104" s="53">
        <f>IF(OR(R104="",K104=""),"",R104*K104)</f>
        <v/>
      </c>
      <c r="T104" s="38" t="n"/>
      <c r="U104" s="54">
        <f>IF(OR(T104="",AC104="발주완료",AC104="취소"),"",TODAY()+T104)</f>
        <v/>
      </c>
      <c r="V104" s="50">
        <f>IF(OR(U104="",NOT(ISNUMBER($K$2))),"",IF(U104&lt;=$K$2,"가능","초과 "&amp;(U104-$K$2)&amp;"일"))</f>
        <v/>
      </c>
      <c r="W104" s="34" t="n"/>
      <c r="X104" s="34" t="n"/>
      <c r="Y104" s="34" t="n"/>
      <c r="Z104" s="56" t="n"/>
      <c r="AA104" s="54">
        <f>IF(OR(Z104="",Y104=""),"",Z104+Y104)</f>
        <v/>
      </c>
      <c r="AB104" s="36" t="n"/>
      <c r="AC104" s="34" t="n"/>
      <c r="AD104" s="36" t="n"/>
      <c r="AE104" s="50">
        <f>IF(F104="","",B104&amp;"#"&amp;IF(D104="",F104,D104))</f>
        <v/>
      </c>
      <c r="AF104" s="50">
        <f>IF(AE104="","",AE104&amp;"|"&amp;M104)</f>
        <v/>
      </c>
      <c r="AG104" s="50">
        <f>IF(AE104="","",IF(COUNTIF($AE$6:AE104,AE104)=1,1,0))</f>
        <v/>
      </c>
      <c r="AH104" s="50">
        <f>IF(AE104="","",COUNTIF($AE$6:$AE$205,AE104))</f>
        <v/>
      </c>
      <c r="AI104" s="50">
        <f>IF(AE104="","",IF(AND(AG104=1,AH104&gt;1),COUNTIFS($AG$6:AG104,1,$AH$6:AH104,"&gt;1"),""))</f>
        <v/>
      </c>
      <c r="AJ104" s="50">
        <f>IF(AG104=1,IF(COUNTIFS($AE$6:$AE$205,AE104,$N$6:$N$205,"견적접수")&gt;0,1,0),"")</f>
        <v/>
      </c>
      <c r="AK104" s="50">
        <f>IF(OR(R104="",N104&lt;&gt;"견적접수"),"",IF(AND(R104=_xlfn.MINIFS($R$6:$R$205,$AE$6:$AE$205,AE104,$N$6:$N$205,"견적접수"),COUNTIFS($AE$5:AE103,AE104,$R$5:R103,R104,$N$5:N103,"견적접수")=0),1,""))</f>
        <v/>
      </c>
    </row>
    <row r="105">
      <c r="A105" s="50">
        <f>IF(F105="","",ROW()-5)</f>
        <v/>
      </c>
      <c r="B105" s="34" t="n"/>
      <c r="C105" s="34" t="n"/>
      <c r="D105" s="34" t="n"/>
      <c r="E105" s="34" t="n"/>
      <c r="F105" s="36" t="n"/>
      <c r="G105" s="36" t="n"/>
      <c r="H105" s="36" t="n"/>
      <c r="I105" s="36" t="n"/>
      <c r="J105" s="36" t="n"/>
      <c r="K105" s="34" t="n"/>
      <c r="L105" s="34" t="n"/>
      <c r="M105" s="34" t="n"/>
      <c r="N105" s="34" t="n"/>
      <c r="O105" s="50">
        <f>IF(N(AH105)&gt;1,"중복 "&amp;AH105&amp;"곳"&amp;IF(AK105=1," · 최저가",IF(AND(N105="견적접수",R105&lt;&gt;"")," · 비쌈","")),"")</f>
        <v/>
      </c>
      <c r="P105" s="34" t="n"/>
      <c r="Q105" s="51" t="n"/>
      <c r="R105" s="52">
        <f>IF(OR(Q105="",P105=""),"",IFERROR(IF(VLOOKUP(P105,설정!$K$5:$L$9,2,0)&gt;0,Q105*VLOOKUP(P105,설정!$K$5:$L$9,2,0),""),""))</f>
        <v/>
      </c>
      <c r="S105" s="53">
        <f>IF(OR(R105="",K105=""),"",R105*K105)</f>
        <v/>
      </c>
      <c r="T105" s="38" t="n"/>
      <c r="U105" s="54">
        <f>IF(OR(T105="",AC105="발주완료",AC105="취소"),"",TODAY()+T105)</f>
        <v/>
      </c>
      <c r="V105" s="50">
        <f>IF(OR(U105="",NOT(ISNUMBER($K$2))),"",IF(U105&lt;=$K$2,"가능","초과 "&amp;(U105-$K$2)&amp;"일"))</f>
        <v/>
      </c>
      <c r="W105" s="34" t="n"/>
      <c r="X105" s="34" t="n"/>
      <c r="Y105" s="34" t="n"/>
      <c r="Z105" s="56" t="n"/>
      <c r="AA105" s="54">
        <f>IF(OR(Z105="",Y105=""),"",Z105+Y105)</f>
        <v/>
      </c>
      <c r="AB105" s="36" t="n"/>
      <c r="AC105" s="34" t="n"/>
      <c r="AD105" s="36" t="n"/>
      <c r="AE105" s="50">
        <f>IF(F105="","",B105&amp;"#"&amp;IF(D105="",F105,D105))</f>
        <v/>
      </c>
      <c r="AF105" s="50">
        <f>IF(AE105="","",AE105&amp;"|"&amp;M105)</f>
        <v/>
      </c>
      <c r="AG105" s="50">
        <f>IF(AE105="","",IF(COUNTIF($AE$6:AE105,AE105)=1,1,0))</f>
        <v/>
      </c>
      <c r="AH105" s="50">
        <f>IF(AE105="","",COUNTIF($AE$6:$AE$205,AE105))</f>
        <v/>
      </c>
      <c r="AI105" s="50">
        <f>IF(AE105="","",IF(AND(AG105=1,AH105&gt;1),COUNTIFS($AG$6:AG105,1,$AH$6:AH105,"&gt;1"),""))</f>
        <v/>
      </c>
      <c r="AJ105" s="50">
        <f>IF(AG105=1,IF(COUNTIFS($AE$6:$AE$205,AE105,$N$6:$N$205,"견적접수")&gt;0,1,0),"")</f>
        <v/>
      </c>
      <c r="AK105" s="50">
        <f>IF(OR(R105="",N105&lt;&gt;"견적접수"),"",IF(AND(R105=_xlfn.MINIFS($R$6:$R$205,$AE$6:$AE$205,AE105,$N$6:$N$205,"견적접수"),COUNTIFS($AE$5:AE104,AE105,$R$5:R104,R105,$N$5:N104,"견적접수")=0),1,""))</f>
        <v/>
      </c>
    </row>
    <row r="106">
      <c r="A106" s="50">
        <f>IF(F106="","",ROW()-5)</f>
        <v/>
      </c>
      <c r="B106" s="34" t="n"/>
      <c r="C106" s="34" t="n"/>
      <c r="D106" s="34" t="n"/>
      <c r="E106" s="34" t="n"/>
      <c r="F106" s="36" t="n"/>
      <c r="G106" s="36" t="n"/>
      <c r="H106" s="36" t="n"/>
      <c r="I106" s="36" t="n"/>
      <c r="J106" s="36" t="n"/>
      <c r="K106" s="34" t="n"/>
      <c r="L106" s="34" t="n"/>
      <c r="M106" s="34" t="n"/>
      <c r="N106" s="34" t="n"/>
      <c r="O106" s="50">
        <f>IF(N(AH106)&gt;1,"중복 "&amp;AH106&amp;"곳"&amp;IF(AK106=1," · 최저가",IF(AND(N106="견적접수",R106&lt;&gt;"")," · 비쌈","")),"")</f>
        <v/>
      </c>
      <c r="P106" s="34" t="n"/>
      <c r="Q106" s="51" t="n"/>
      <c r="R106" s="52">
        <f>IF(OR(Q106="",P106=""),"",IFERROR(IF(VLOOKUP(P106,설정!$K$5:$L$9,2,0)&gt;0,Q106*VLOOKUP(P106,설정!$K$5:$L$9,2,0),""),""))</f>
        <v/>
      </c>
      <c r="S106" s="53">
        <f>IF(OR(R106="",K106=""),"",R106*K106)</f>
        <v/>
      </c>
      <c r="T106" s="38" t="n"/>
      <c r="U106" s="54">
        <f>IF(OR(T106="",AC106="발주완료",AC106="취소"),"",TODAY()+T106)</f>
        <v/>
      </c>
      <c r="V106" s="50">
        <f>IF(OR(U106="",NOT(ISNUMBER($K$2))),"",IF(U106&lt;=$K$2,"가능","초과 "&amp;(U106-$K$2)&amp;"일"))</f>
        <v/>
      </c>
      <c r="W106" s="34" t="n"/>
      <c r="X106" s="34" t="n"/>
      <c r="Y106" s="34" t="n"/>
      <c r="Z106" s="56" t="n"/>
      <c r="AA106" s="54">
        <f>IF(OR(Z106="",Y106=""),"",Z106+Y106)</f>
        <v/>
      </c>
      <c r="AB106" s="36" t="n"/>
      <c r="AC106" s="34" t="n"/>
      <c r="AD106" s="36" t="n"/>
      <c r="AE106" s="50">
        <f>IF(F106="","",B106&amp;"#"&amp;IF(D106="",F106,D106))</f>
        <v/>
      </c>
      <c r="AF106" s="50">
        <f>IF(AE106="","",AE106&amp;"|"&amp;M106)</f>
        <v/>
      </c>
      <c r="AG106" s="50">
        <f>IF(AE106="","",IF(COUNTIF($AE$6:AE106,AE106)=1,1,0))</f>
        <v/>
      </c>
      <c r="AH106" s="50">
        <f>IF(AE106="","",COUNTIF($AE$6:$AE$205,AE106))</f>
        <v/>
      </c>
      <c r="AI106" s="50">
        <f>IF(AE106="","",IF(AND(AG106=1,AH106&gt;1),COUNTIFS($AG$6:AG106,1,$AH$6:AH106,"&gt;1"),""))</f>
        <v/>
      </c>
      <c r="AJ106" s="50">
        <f>IF(AG106=1,IF(COUNTIFS($AE$6:$AE$205,AE106,$N$6:$N$205,"견적접수")&gt;0,1,0),"")</f>
        <v/>
      </c>
      <c r="AK106" s="50">
        <f>IF(OR(R106="",N106&lt;&gt;"견적접수"),"",IF(AND(R106=_xlfn.MINIFS($R$6:$R$205,$AE$6:$AE$205,AE106,$N$6:$N$205,"견적접수"),COUNTIFS($AE$5:AE105,AE106,$R$5:R105,R106,$N$5:N105,"견적접수")=0),1,""))</f>
        <v/>
      </c>
    </row>
    <row r="107">
      <c r="A107" s="50">
        <f>IF(F107="","",ROW()-5)</f>
        <v/>
      </c>
      <c r="B107" s="34" t="n"/>
      <c r="C107" s="34" t="n"/>
      <c r="D107" s="34" t="n"/>
      <c r="E107" s="34" t="n"/>
      <c r="F107" s="36" t="n"/>
      <c r="G107" s="36" t="n"/>
      <c r="H107" s="36" t="n"/>
      <c r="I107" s="36" t="n"/>
      <c r="J107" s="36" t="n"/>
      <c r="K107" s="34" t="n"/>
      <c r="L107" s="34" t="n"/>
      <c r="M107" s="34" t="n"/>
      <c r="N107" s="34" t="n"/>
      <c r="O107" s="50">
        <f>IF(N(AH107)&gt;1,"중복 "&amp;AH107&amp;"곳"&amp;IF(AK107=1," · 최저가",IF(AND(N107="견적접수",R107&lt;&gt;"")," · 비쌈","")),"")</f>
        <v/>
      </c>
      <c r="P107" s="34" t="n"/>
      <c r="Q107" s="51" t="n"/>
      <c r="R107" s="52">
        <f>IF(OR(Q107="",P107=""),"",IFERROR(IF(VLOOKUP(P107,설정!$K$5:$L$9,2,0)&gt;0,Q107*VLOOKUP(P107,설정!$K$5:$L$9,2,0),""),""))</f>
        <v/>
      </c>
      <c r="S107" s="53">
        <f>IF(OR(R107="",K107=""),"",R107*K107)</f>
        <v/>
      </c>
      <c r="T107" s="38" t="n"/>
      <c r="U107" s="54">
        <f>IF(OR(T107="",AC107="발주완료",AC107="취소"),"",TODAY()+T107)</f>
        <v/>
      </c>
      <c r="V107" s="50">
        <f>IF(OR(U107="",NOT(ISNUMBER($K$2))),"",IF(U107&lt;=$K$2,"가능","초과 "&amp;(U107-$K$2)&amp;"일"))</f>
        <v/>
      </c>
      <c r="W107" s="34" t="n"/>
      <c r="X107" s="34" t="n"/>
      <c r="Y107" s="34" t="n"/>
      <c r="Z107" s="56" t="n"/>
      <c r="AA107" s="54">
        <f>IF(OR(Z107="",Y107=""),"",Z107+Y107)</f>
        <v/>
      </c>
      <c r="AB107" s="36" t="n"/>
      <c r="AC107" s="34" t="n"/>
      <c r="AD107" s="36" t="n"/>
      <c r="AE107" s="50">
        <f>IF(F107="","",B107&amp;"#"&amp;IF(D107="",F107,D107))</f>
        <v/>
      </c>
      <c r="AF107" s="50">
        <f>IF(AE107="","",AE107&amp;"|"&amp;M107)</f>
        <v/>
      </c>
      <c r="AG107" s="50">
        <f>IF(AE107="","",IF(COUNTIF($AE$6:AE107,AE107)=1,1,0))</f>
        <v/>
      </c>
      <c r="AH107" s="50">
        <f>IF(AE107="","",COUNTIF($AE$6:$AE$205,AE107))</f>
        <v/>
      </c>
      <c r="AI107" s="50">
        <f>IF(AE107="","",IF(AND(AG107=1,AH107&gt;1),COUNTIFS($AG$6:AG107,1,$AH$6:AH107,"&gt;1"),""))</f>
        <v/>
      </c>
      <c r="AJ107" s="50">
        <f>IF(AG107=1,IF(COUNTIFS($AE$6:$AE$205,AE107,$N$6:$N$205,"견적접수")&gt;0,1,0),"")</f>
        <v/>
      </c>
      <c r="AK107" s="50">
        <f>IF(OR(R107="",N107&lt;&gt;"견적접수"),"",IF(AND(R107=_xlfn.MINIFS($R$6:$R$205,$AE$6:$AE$205,AE107,$N$6:$N$205,"견적접수"),COUNTIFS($AE$5:AE106,AE107,$R$5:R106,R107,$N$5:N106,"견적접수")=0),1,""))</f>
        <v/>
      </c>
    </row>
    <row r="108">
      <c r="A108" s="50">
        <f>IF(F108="","",ROW()-5)</f>
        <v/>
      </c>
      <c r="B108" s="34" t="n"/>
      <c r="C108" s="34" t="n"/>
      <c r="D108" s="34" t="n"/>
      <c r="E108" s="34" t="n"/>
      <c r="F108" s="36" t="n"/>
      <c r="G108" s="36" t="n"/>
      <c r="H108" s="36" t="n"/>
      <c r="I108" s="36" t="n"/>
      <c r="J108" s="36" t="n"/>
      <c r="K108" s="34" t="n"/>
      <c r="L108" s="34" t="n"/>
      <c r="M108" s="34" t="n"/>
      <c r="N108" s="34" t="n"/>
      <c r="O108" s="50">
        <f>IF(N(AH108)&gt;1,"중복 "&amp;AH108&amp;"곳"&amp;IF(AK108=1," · 최저가",IF(AND(N108="견적접수",R108&lt;&gt;"")," · 비쌈","")),"")</f>
        <v/>
      </c>
      <c r="P108" s="34" t="n"/>
      <c r="Q108" s="51" t="n"/>
      <c r="R108" s="52">
        <f>IF(OR(Q108="",P108=""),"",IFERROR(IF(VLOOKUP(P108,설정!$K$5:$L$9,2,0)&gt;0,Q108*VLOOKUP(P108,설정!$K$5:$L$9,2,0),""),""))</f>
        <v/>
      </c>
      <c r="S108" s="53">
        <f>IF(OR(R108="",K108=""),"",R108*K108)</f>
        <v/>
      </c>
      <c r="T108" s="38" t="n"/>
      <c r="U108" s="54">
        <f>IF(OR(T108="",AC108="발주완료",AC108="취소"),"",TODAY()+T108)</f>
        <v/>
      </c>
      <c r="V108" s="50">
        <f>IF(OR(U108="",NOT(ISNUMBER($K$2))),"",IF(U108&lt;=$K$2,"가능","초과 "&amp;(U108-$K$2)&amp;"일"))</f>
        <v/>
      </c>
      <c r="W108" s="34" t="n"/>
      <c r="X108" s="34" t="n"/>
      <c r="Y108" s="34" t="n"/>
      <c r="Z108" s="56" t="n"/>
      <c r="AA108" s="54">
        <f>IF(OR(Z108="",Y108=""),"",Z108+Y108)</f>
        <v/>
      </c>
      <c r="AB108" s="36" t="n"/>
      <c r="AC108" s="34" t="n"/>
      <c r="AD108" s="36" t="n"/>
      <c r="AE108" s="50">
        <f>IF(F108="","",B108&amp;"#"&amp;IF(D108="",F108,D108))</f>
        <v/>
      </c>
      <c r="AF108" s="50">
        <f>IF(AE108="","",AE108&amp;"|"&amp;M108)</f>
        <v/>
      </c>
      <c r="AG108" s="50">
        <f>IF(AE108="","",IF(COUNTIF($AE$6:AE108,AE108)=1,1,0))</f>
        <v/>
      </c>
      <c r="AH108" s="50">
        <f>IF(AE108="","",COUNTIF($AE$6:$AE$205,AE108))</f>
        <v/>
      </c>
      <c r="AI108" s="50">
        <f>IF(AE108="","",IF(AND(AG108=1,AH108&gt;1),COUNTIFS($AG$6:AG108,1,$AH$6:AH108,"&gt;1"),""))</f>
        <v/>
      </c>
      <c r="AJ108" s="50">
        <f>IF(AG108=1,IF(COUNTIFS($AE$6:$AE$205,AE108,$N$6:$N$205,"견적접수")&gt;0,1,0),"")</f>
        <v/>
      </c>
      <c r="AK108" s="50">
        <f>IF(OR(R108="",N108&lt;&gt;"견적접수"),"",IF(AND(R108=_xlfn.MINIFS($R$6:$R$205,$AE$6:$AE$205,AE108,$N$6:$N$205,"견적접수"),COUNTIFS($AE$5:AE107,AE108,$R$5:R107,R108,$N$5:N107,"견적접수")=0),1,""))</f>
        <v/>
      </c>
    </row>
    <row r="109">
      <c r="A109" s="50">
        <f>IF(F109="","",ROW()-5)</f>
        <v/>
      </c>
      <c r="B109" s="34" t="n"/>
      <c r="C109" s="34" t="n"/>
      <c r="D109" s="34" t="n"/>
      <c r="E109" s="34" t="n"/>
      <c r="F109" s="36" t="n"/>
      <c r="G109" s="36" t="n"/>
      <c r="H109" s="36" t="n"/>
      <c r="I109" s="36" t="n"/>
      <c r="J109" s="36" t="n"/>
      <c r="K109" s="34" t="n"/>
      <c r="L109" s="34" t="n"/>
      <c r="M109" s="34" t="n"/>
      <c r="N109" s="34" t="n"/>
      <c r="O109" s="50">
        <f>IF(N(AH109)&gt;1,"중복 "&amp;AH109&amp;"곳"&amp;IF(AK109=1," · 최저가",IF(AND(N109="견적접수",R109&lt;&gt;"")," · 비쌈","")),"")</f>
        <v/>
      </c>
      <c r="P109" s="34" t="n"/>
      <c r="Q109" s="51" t="n"/>
      <c r="R109" s="52">
        <f>IF(OR(Q109="",P109=""),"",IFERROR(IF(VLOOKUP(P109,설정!$K$5:$L$9,2,0)&gt;0,Q109*VLOOKUP(P109,설정!$K$5:$L$9,2,0),""),""))</f>
        <v/>
      </c>
      <c r="S109" s="53">
        <f>IF(OR(R109="",K109=""),"",R109*K109)</f>
        <v/>
      </c>
      <c r="T109" s="38" t="n"/>
      <c r="U109" s="54">
        <f>IF(OR(T109="",AC109="발주완료",AC109="취소"),"",TODAY()+T109)</f>
        <v/>
      </c>
      <c r="V109" s="50">
        <f>IF(OR(U109="",NOT(ISNUMBER($K$2))),"",IF(U109&lt;=$K$2,"가능","초과 "&amp;(U109-$K$2)&amp;"일"))</f>
        <v/>
      </c>
      <c r="W109" s="34" t="n"/>
      <c r="X109" s="34" t="n"/>
      <c r="Y109" s="34" t="n"/>
      <c r="Z109" s="56" t="n"/>
      <c r="AA109" s="54">
        <f>IF(OR(Z109="",Y109=""),"",Z109+Y109)</f>
        <v/>
      </c>
      <c r="AB109" s="36" t="n"/>
      <c r="AC109" s="34" t="n"/>
      <c r="AD109" s="36" t="n"/>
      <c r="AE109" s="50">
        <f>IF(F109="","",B109&amp;"#"&amp;IF(D109="",F109,D109))</f>
        <v/>
      </c>
      <c r="AF109" s="50">
        <f>IF(AE109="","",AE109&amp;"|"&amp;M109)</f>
        <v/>
      </c>
      <c r="AG109" s="50">
        <f>IF(AE109="","",IF(COUNTIF($AE$6:AE109,AE109)=1,1,0))</f>
        <v/>
      </c>
      <c r="AH109" s="50">
        <f>IF(AE109="","",COUNTIF($AE$6:$AE$205,AE109))</f>
        <v/>
      </c>
      <c r="AI109" s="50">
        <f>IF(AE109="","",IF(AND(AG109=1,AH109&gt;1),COUNTIFS($AG$6:AG109,1,$AH$6:AH109,"&gt;1"),""))</f>
        <v/>
      </c>
      <c r="AJ109" s="50">
        <f>IF(AG109=1,IF(COUNTIFS($AE$6:$AE$205,AE109,$N$6:$N$205,"견적접수")&gt;0,1,0),"")</f>
        <v/>
      </c>
      <c r="AK109" s="50">
        <f>IF(OR(R109="",N109&lt;&gt;"견적접수"),"",IF(AND(R109=_xlfn.MINIFS($R$6:$R$205,$AE$6:$AE$205,AE109,$N$6:$N$205,"견적접수"),COUNTIFS($AE$5:AE108,AE109,$R$5:R108,R109,$N$5:N108,"견적접수")=0),1,""))</f>
        <v/>
      </c>
    </row>
    <row r="110">
      <c r="A110" s="50">
        <f>IF(F110="","",ROW()-5)</f>
        <v/>
      </c>
      <c r="B110" s="34" t="n"/>
      <c r="C110" s="34" t="n"/>
      <c r="D110" s="34" t="n"/>
      <c r="E110" s="34" t="n"/>
      <c r="F110" s="36" t="n"/>
      <c r="G110" s="36" t="n"/>
      <c r="H110" s="36" t="n"/>
      <c r="I110" s="36" t="n"/>
      <c r="J110" s="36" t="n"/>
      <c r="K110" s="34" t="n"/>
      <c r="L110" s="34" t="n"/>
      <c r="M110" s="34" t="n"/>
      <c r="N110" s="34" t="n"/>
      <c r="O110" s="50">
        <f>IF(N(AH110)&gt;1,"중복 "&amp;AH110&amp;"곳"&amp;IF(AK110=1," · 최저가",IF(AND(N110="견적접수",R110&lt;&gt;"")," · 비쌈","")),"")</f>
        <v/>
      </c>
      <c r="P110" s="34" t="n"/>
      <c r="Q110" s="51" t="n"/>
      <c r="R110" s="52">
        <f>IF(OR(Q110="",P110=""),"",IFERROR(IF(VLOOKUP(P110,설정!$K$5:$L$9,2,0)&gt;0,Q110*VLOOKUP(P110,설정!$K$5:$L$9,2,0),""),""))</f>
        <v/>
      </c>
      <c r="S110" s="53">
        <f>IF(OR(R110="",K110=""),"",R110*K110)</f>
        <v/>
      </c>
      <c r="T110" s="38" t="n"/>
      <c r="U110" s="54">
        <f>IF(OR(T110="",AC110="발주완료",AC110="취소"),"",TODAY()+T110)</f>
        <v/>
      </c>
      <c r="V110" s="50">
        <f>IF(OR(U110="",NOT(ISNUMBER($K$2))),"",IF(U110&lt;=$K$2,"가능","초과 "&amp;(U110-$K$2)&amp;"일"))</f>
        <v/>
      </c>
      <c r="W110" s="34" t="n"/>
      <c r="X110" s="34" t="n"/>
      <c r="Y110" s="34" t="n"/>
      <c r="Z110" s="56" t="n"/>
      <c r="AA110" s="54">
        <f>IF(OR(Z110="",Y110=""),"",Z110+Y110)</f>
        <v/>
      </c>
      <c r="AB110" s="36" t="n"/>
      <c r="AC110" s="34" t="n"/>
      <c r="AD110" s="36" t="n"/>
      <c r="AE110" s="50">
        <f>IF(F110="","",B110&amp;"#"&amp;IF(D110="",F110,D110))</f>
        <v/>
      </c>
      <c r="AF110" s="50">
        <f>IF(AE110="","",AE110&amp;"|"&amp;M110)</f>
        <v/>
      </c>
      <c r="AG110" s="50">
        <f>IF(AE110="","",IF(COUNTIF($AE$6:AE110,AE110)=1,1,0))</f>
        <v/>
      </c>
      <c r="AH110" s="50">
        <f>IF(AE110="","",COUNTIF($AE$6:$AE$205,AE110))</f>
        <v/>
      </c>
      <c r="AI110" s="50">
        <f>IF(AE110="","",IF(AND(AG110=1,AH110&gt;1),COUNTIFS($AG$6:AG110,1,$AH$6:AH110,"&gt;1"),""))</f>
        <v/>
      </c>
      <c r="AJ110" s="50">
        <f>IF(AG110=1,IF(COUNTIFS($AE$6:$AE$205,AE110,$N$6:$N$205,"견적접수")&gt;0,1,0),"")</f>
        <v/>
      </c>
      <c r="AK110" s="50">
        <f>IF(OR(R110="",N110&lt;&gt;"견적접수"),"",IF(AND(R110=_xlfn.MINIFS($R$6:$R$205,$AE$6:$AE$205,AE110,$N$6:$N$205,"견적접수"),COUNTIFS($AE$5:AE109,AE110,$R$5:R109,R110,$N$5:N109,"견적접수")=0),1,""))</f>
        <v/>
      </c>
    </row>
    <row r="111">
      <c r="A111" s="50">
        <f>IF(F111="","",ROW()-5)</f>
        <v/>
      </c>
      <c r="B111" s="34" t="n"/>
      <c r="C111" s="34" t="n"/>
      <c r="D111" s="34" t="n"/>
      <c r="E111" s="34" t="n"/>
      <c r="F111" s="36" t="n"/>
      <c r="G111" s="36" t="n"/>
      <c r="H111" s="36" t="n"/>
      <c r="I111" s="36" t="n"/>
      <c r="J111" s="36" t="n"/>
      <c r="K111" s="34" t="n"/>
      <c r="L111" s="34" t="n"/>
      <c r="M111" s="34" t="n"/>
      <c r="N111" s="34" t="n"/>
      <c r="O111" s="50">
        <f>IF(N(AH111)&gt;1,"중복 "&amp;AH111&amp;"곳"&amp;IF(AK111=1," · 최저가",IF(AND(N111="견적접수",R111&lt;&gt;"")," · 비쌈","")),"")</f>
        <v/>
      </c>
      <c r="P111" s="34" t="n"/>
      <c r="Q111" s="51" t="n"/>
      <c r="R111" s="52">
        <f>IF(OR(Q111="",P111=""),"",IFERROR(IF(VLOOKUP(P111,설정!$K$5:$L$9,2,0)&gt;0,Q111*VLOOKUP(P111,설정!$K$5:$L$9,2,0),""),""))</f>
        <v/>
      </c>
      <c r="S111" s="53">
        <f>IF(OR(R111="",K111=""),"",R111*K111)</f>
        <v/>
      </c>
      <c r="T111" s="38" t="n"/>
      <c r="U111" s="54">
        <f>IF(OR(T111="",AC111="발주완료",AC111="취소"),"",TODAY()+T111)</f>
        <v/>
      </c>
      <c r="V111" s="50">
        <f>IF(OR(U111="",NOT(ISNUMBER($K$2))),"",IF(U111&lt;=$K$2,"가능","초과 "&amp;(U111-$K$2)&amp;"일"))</f>
        <v/>
      </c>
      <c r="W111" s="34" t="n"/>
      <c r="X111" s="34" t="n"/>
      <c r="Y111" s="34" t="n"/>
      <c r="Z111" s="56" t="n"/>
      <c r="AA111" s="54">
        <f>IF(OR(Z111="",Y111=""),"",Z111+Y111)</f>
        <v/>
      </c>
      <c r="AB111" s="36" t="n"/>
      <c r="AC111" s="34" t="n"/>
      <c r="AD111" s="36" t="n"/>
      <c r="AE111" s="50">
        <f>IF(F111="","",B111&amp;"#"&amp;IF(D111="",F111,D111))</f>
        <v/>
      </c>
      <c r="AF111" s="50">
        <f>IF(AE111="","",AE111&amp;"|"&amp;M111)</f>
        <v/>
      </c>
      <c r="AG111" s="50">
        <f>IF(AE111="","",IF(COUNTIF($AE$6:AE111,AE111)=1,1,0))</f>
        <v/>
      </c>
      <c r="AH111" s="50">
        <f>IF(AE111="","",COUNTIF($AE$6:$AE$205,AE111))</f>
        <v/>
      </c>
      <c r="AI111" s="50">
        <f>IF(AE111="","",IF(AND(AG111=1,AH111&gt;1),COUNTIFS($AG$6:AG111,1,$AH$6:AH111,"&gt;1"),""))</f>
        <v/>
      </c>
      <c r="AJ111" s="50">
        <f>IF(AG111=1,IF(COUNTIFS($AE$6:$AE$205,AE111,$N$6:$N$205,"견적접수")&gt;0,1,0),"")</f>
        <v/>
      </c>
      <c r="AK111" s="50">
        <f>IF(OR(R111="",N111&lt;&gt;"견적접수"),"",IF(AND(R111=_xlfn.MINIFS($R$6:$R$205,$AE$6:$AE$205,AE111,$N$6:$N$205,"견적접수"),COUNTIFS($AE$5:AE110,AE111,$R$5:R110,R111,$N$5:N110,"견적접수")=0),1,""))</f>
        <v/>
      </c>
    </row>
    <row r="112">
      <c r="A112" s="50">
        <f>IF(F112="","",ROW()-5)</f>
        <v/>
      </c>
      <c r="B112" s="34" t="n"/>
      <c r="C112" s="34" t="n"/>
      <c r="D112" s="34" t="n"/>
      <c r="E112" s="34" t="n"/>
      <c r="F112" s="36" t="n"/>
      <c r="G112" s="36" t="n"/>
      <c r="H112" s="36" t="n"/>
      <c r="I112" s="36" t="n"/>
      <c r="J112" s="36" t="n"/>
      <c r="K112" s="34" t="n"/>
      <c r="L112" s="34" t="n"/>
      <c r="M112" s="34" t="n"/>
      <c r="N112" s="34" t="n"/>
      <c r="O112" s="50">
        <f>IF(N(AH112)&gt;1,"중복 "&amp;AH112&amp;"곳"&amp;IF(AK112=1," · 최저가",IF(AND(N112="견적접수",R112&lt;&gt;"")," · 비쌈","")),"")</f>
        <v/>
      </c>
      <c r="P112" s="34" t="n"/>
      <c r="Q112" s="51" t="n"/>
      <c r="R112" s="52">
        <f>IF(OR(Q112="",P112=""),"",IFERROR(IF(VLOOKUP(P112,설정!$K$5:$L$9,2,0)&gt;0,Q112*VLOOKUP(P112,설정!$K$5:$L$9,2,0),""),""))</f>
        <v/>
      </c>
      <c r="S112" s="53">
        <f>IF(OR(R112="",K112=""),"",R112*K112)</f>
        <v/>
      </c>
      <c r="T112" s="38" t="n"/>
      <c r="U112" s="54">
        <f>IF(OR(T112="",AC112="발주완료",AC112="취소"),"",TODAY()+T112)</f>
        <v/>
      </c>
      <c r="V112" s="50">
        <f>IF(OR(U112="",NOT(ISNUMBER($K$2))),"",IF(U112&lt;=$K$2,"가능","초과 "&amp;(U112-$K$2)&amp;"일"))</f>
        <v/>
      </c>
      <c r="W112" s="34" t="n"/>
      <c r="X112" s="34" t="n"/>
      <c r="Y112" s="34" t="n"/>
      <c r="Z112" s="56" t="n"/>
      <c r="AA112" s="54">
        <f>IF(OR(Z112="",Y112=""),"",Z112+Y112)</f>
        <v/>
      </c>
      <c r="AB112" s="36" t="n"/>
      <c r="AC112" s="34" t="n"/>
      <c r="AD112" s="36" t="n"/>
      <c r="AE112" s="50">
        <f>IF(F112="","",B112&amp;"#"&amp;IF(D112="",F112,D112))</f>
        <v/>
      </c>
      <c r="AF112" s="50">
        <f>IF(AE112="","",AE112&amp;"|"&amp;M112)</f>
        <v/>
      </c>
      <c r="AG112" s="50">
        <f>IF(AE112="","",IF(COUNTIF($AE$6:AE112,AE112)=1,1,0))</f>
        <v/>
      </c>
      <c r="AH112" s="50">
        <f>IF(AE112="","",COUNTIF($AE$6:$AE$205,AE112))</f>
        <v/>
      </c>
      <c r="AI112" s="50">
        <f>IF(AE112="","",IF(AND(AG112=1,AH112&gt;1),COUNTIFS($AG$6:AG112,1,$AH$6:AH112,"&gt;1"),""))</f>
        <v/>
      </c>
      <c r="AJ112" s="50">
        <f>IF(AG112=1,IF(COUNTIFS($AE$6:$AE$205,AE112,$N$6:$N$205,"견적접수")&gt;0,1,0),"")</f>
        <v/>
      </c>
      <c r="AK112" s="50">
        <f>IF(OR(R112="",N112&lt;&gt;"견적접수"),"",IF(AND(R112=_xlfn.MINIFS($R$6:$R$205,$AE$6:$AE$205,AE112,$N$6:$N$205,"견적접수"),COUNTIFS($AE$5:AE111,AE112,$R$5:R111,R112,$N$5:N111,"견적접수")=0),1,""))</f>
        <v/>
      </c>
    </row>
    <row r="113">
      <c r="A113" s="50">
        <f>IF(F113="","",ROW()-5)</f>
        <v/>
      </c>
      <c r="B113" s="34" t="n"/>
      <c r="C113" s="34" t="n"/>
      <c r="D113" s="34" t="n"/>
      <c r="E113" s="34" t="n"/>
      <c r="F113" s="36" t="n"/>
      <c r="G113" s="36" t="n"/>
      <c r="H113" s="36" t="n"/>
      <c r="I113" s="36" t="n"/>
      <c r="J113" s="36" t="n"/>
      <c r="K113" s="34" t="n"/>
      <c r="L113" s="34" t="n"/>
      <c r="M113" s="34" t="n"/>
      <c r="N113" s="34" t="n"/>
      <c r="O113" s="50">
        <f>IF(N(AH113)&gt;1,"중복 "&amp;AH113&amp;"곳"&amp;IF(AK113=1," · 최저가",IF(AND(N113="견적접수",R113&lt;&gt;"")," · 비쌈","")),"")</f>
        <v/>
      </c>
      <c r="P113" s="34" t="n"/>
      <c r="Q113" s="51" t="n"/>
      <c r="R113" s="52">
        <f>IF(OR(Q113="",P113=""),"",IFERROR(IF(VLOOKUP(P113,설정!$K$5:$L$9,2,0)&gt;0,Q113*VLOOKUP(P113,설정!$K$5:$L$9,2,0),""),""))</f>
        <v/>
      </c>
      <c r="S113" s="53">
        <f>IF(OR(R113="",K113=""),"",R113*K113)</f>
        <v/>
      </c>
      <c r="T113" s="38" t="n"/>
      <c r="U113" s="54">
        <f>IF(OR(T113="",AC113="발주완료",AC113="취소"),"",TODAY()+T113)</f>
        <v/>
      </c>
      <c r="V113" s="50">
        <f>IF(OR(U113="",NOT(ISNUMBER($K$2))),"",IF(U113&lt;=$K$2,"가능","초과 "&amp;(U113-$K$2)&amp;"일"))</f>
        <v/>
      </c>
      <c r="W113" s="34" t="n"/>
      <c r="X113" s="34" t="n"/>
      <c r="Y113" s="34" t="n"/>
      <c r="Z113" s="56" t="n"/>
      <c r="AA113" s="54">
        <f>IF(OR(Z113="",Y113=""),"",Z113+Y113)</f>
        <v/>
      </c>
      <c r="AB113" s="36" t="n"/>
      <c r="AC113" s="34" t="n"/>
      <c r="AD113" s="36" t="n"/>
      <c r="AE113" s="50">
        <f>IF(F113="","",B113&amp;"#"&amp;IF(D113="",F113,D113))</f>
        <v/>
      </c>
      <c r="AF113" s="50">
        <f>IF(AE113="","",AE113&amp;"|"&amp;M113)</f>
        <v/>
      </c>
      <c r="AG113" s="50">
        <f>IF(AE113="","",IF(COUNTIF($AE$6:AE113,AE113)=1,1,0))</f>
        <v/>
      </c>
      <c r="AH113" s="50">
        <f>IF(AE113="","",COUNTIF($AE$6:$AE$205,AE113))</f>
        <v/>
      </c>
      <c r="AI113" s="50">
        <f>IF(AE113="","",IF(AND(AG113=1,AH113&gt;1),COUNTIFS($AG$6:AG113,1,$AH$6:AH113,"&gt;1"),""))</f>
        <v/>
      </c>
      <c r="AJ113" s="50">
        <f>IF(AG113=1,IF(COUNTIFS($AE$6:$AE$205,AE113,$N$6:$N$205,"견적접수")&gt;0,1,0),"")</f>
        <v/>
      </c>
      <c r="AK113" s="50">
        <f>IF(OR(R113="",N113&lt;&gt;"견적접수"),"",IF(AND(R113=_xlfn.MINIFS($R$6:$R$205,$AE$6:$AE$205,AE113,$N$6:$N$205,"견적접수"),COUNTIFS($AE$5:AE112,AE113,$R$5:R112,R113,$N$5:N112,"견적접수")=0),1,""))</f>
        <v/>
      </c>
    </row>
    <row r="114">
      <c r="A114" s="50">
        <f>IF(F114="","",ROW()-5)</f>
        <v/>
      </c>
      <c r="B114" s="34" t="n"/>
      <c r="C114" s="34" t="n"/>
      <c r="D114" s="34" t="n"/>
      <c r="E114" s="34" t="n"/>
      <c r="F114" s="36" t="n"/>
      <c r="G114" s="36" t="n"/>
      <c r="H114" s="36" t="n"/>
      <c r="I114" s="36" t="n"/>
      <c r="J114" s="36" t="n"/>
      <c r="K114" s="34" t="n"/>
      <c r="L114" s="34" t="n"/>
      <c r="M114" s="34" t="n"/>
      <c r="N114" s="34" t="n"/>
      <c r="O114" s="50">
        <f>IF(N(AH114)&gt;1,"중복 "&amp;AH114&amp;"곳"&amp;IF(AK114=1," · 최저가",IF(AND(N114="견적접수",R114&lt;&gt;"")," · 비쌈","")),"")</f>
        <v/>
      </c>
      <c r="P114" s="34" t="n"/>
      <c r="Q114" s="51" t="n"/>
      <c r="R114" s="52">
        <f>IF(OR(Q114="",P114=""),"",IFERROR(IF(VLOOKUP(P114,설정!$K$5:$L$9,2,0)&gt;0,Q114*VLOOKUP(P114,설정!$K$5:$L$9,2,0),""),""))</f>
        <v/>
      </c>
      <c r="S114" s="53">
        <f>IF(OR(R114="",K114=""),"",R114*K114)</f>
        <v/>
      </c>
      <c r="T114" s="38" t="n"/>
      <c r="U114" s="54">
        <f>IF(OR(T114="",AC114="발주완료",AC114="취소"),"",TODAY()+T114)</f>
        <v/>
      </c>
      <c r="V114" s="50">
        <f>IF(OR(U114="",NOT(ISNUMBER($K$2))),"",IF(U114&lt;=$K$2,"가능","초과 "&amp;(U114-$K$2)&amp;"일"))</f>
        <v/>
      </c>
      <c r="W114" s="34" t="n"/>
      <c r="X114" s="34" t="n"/>
      <c r="Y114" s="34" t="n"/>
      <c r="Z114" s="56" t="n"/>
      <c r="AA114" s="54">
        <f>IF(OR(Z114="",Y114=""),"",Z114+Y114)</f>
        <v/>
      </c>
      <c r="AB114" s="36" t="n"/>
      <c r="AC114" s="34" t="n"/>
      <c r="AD114" s="36" t="n"/>
      <c r="AE114" s="50">
        <f>IF(F114="","",B114&amp;"#"&amp;IF(D114="",F114,D114))</f>
        <v/>
      </c>
      <c r="AF114" s="50">
        <f>IF(AE114="","",AE114&amp;"|"&amp;M114)</f>
        <v/>
      </c>
      <c r="AG114" s="50">
        <f>IF(AE114="","",IF(COUNTIF($AE$6:AE114,AE114)=1,1,0))</f>
        <v/>
      </c>
      <c r="AH114" s="50">
        <f>IF(AE114="","",COUNTIF($AE$6:$AE$205,AE114))</f>
        <v/>
      </c>
      <c r="AI114" s="50">
        <f>IF(AE114="","",IF(AND(AG114=1,AH114&gt;1),COUNTIFS($AG$6:AG114,1,$AH$6:AH114,"&gt;1"),""))</f>
        <v/>
      </c>
      <c r="AJ114" s="50">
        <f>IF(AG114=1,IF(COUNTIFS($AE$6:$AE$205,AE114,$N$6:$N$205,"견적접수")&gt;0,1,0),"")</f>
        <v/>
      </c>
      <c r="AK114" s="50">
        <f>IF(OR(R114="",N114&lt;&gt;"견적접수"),"",IF(AND(R114=_xlfn.MINIFS($R$6:$R$205,$AE$6:$AE$205,AE114,$N$6:$N$205,"견적접수"),COUNTIFS($AE$5:AE113,AE114,$R$5:R113,R114,$N$5:N113,"견적접수")=0),1,""))</f>
        <v/>
      </c>
    </row>
    <row r="115">
      <c r="A115" s="50">
        <f>IF(F115="","",ROW()-5)</f>
        <v/>
      </c>
      <c r="B115" s="34" t="n"/>
      <c r="C115" s="34" t="n"/>
      <c r="D115" s="34" t="n"/>
      <c r="E115" s="34" t="n"/>
      <c r="F115" s="36" t="n"/>
      <c r="G115" s="36" t="n"/>
      <c r="H115" s="36" t="n"/>
      <c r="I115" s="36" t="n"/>
      <c r="J115" s="36" t="n"/>
      <c r="K115" s="34" t="n"/>
      <c r="L115" s="34" t="n"/>
      <c r="M115" s="34" t="n"/>
      <c r="N115" s="34" t="n"/>
      <c r="O115" s="50">
        <f>IF(N(AH115)&gt;1,"중복 "&amp;AH115&amp;"곳"&amp;IF(AK115=1," · 최저가",IF(AND(N115="견적접수",R115&lt;&gt;"")," · 비쌈","")),"")</f>
        <v/>
      </c>
      <c r="P115" s="34" t="n"/>
      <c r="Q115" s="51" t="n"/>
      <c r="R115" s="52">
        <f>IF(OR(Q115="",P115=""),"",IFERROR(IF(VLOOKUP(P115,설정!$K$5:$L$9,2,0)&gt;0,Q115*VLOOKUP(P115,설정!$K$5:$L$9,2,0),""),""))</f>
        <v/>
      </c>
      <c r="S115" s="53">
        <f>IF(OR(R115="",K115=""),"",R115*K115)</f>
        <v/>
      </c>
      <c r="T115" s="38" t="n"/>
      <c r="U115" s="54">
        <f>IF(OR(T115="",AC115="발주완료",AC115="취소"),"",TODAY()+T115)</f>
        <v/>
      </c>
      <c r="V115" s="50">
        <f>IF(OR(U115="",NOT(ISNUMBER($K$2))),"",IF(U115&lt;=$K$2,"가능","초과 "&amp;(U115-$K$2)&amp;"일"))</f>
        <v/>
      </c>
      <c r="W115" s="34" t="n"/>
      <c r="X115" s="34" t="n"/>
      <c r="Y115" s="34" t="n"/>
      <c r="Z115" s="56" t="n"/>
      <c r="AA115" s="54">
        <f>IF(OR(Z115="",Y115=""),"",Z115+Y115)</f>
        <v/>
      </c>
      <c r="AB115" s="36" t="n"/>
      <c r="AC115" s="34" t="n"/>
      <c r="AD115" s="36" t="n"/>
      <c r="AE115" s="50">
        <f>IF(F115="","",B115&amp;"#"&amp;IF(D115="",F115,D115))</f>
        <v/>
      </c>
      <c r="AF115" s="50">
        <f>IF(AE115="","",AE115&amp;"|"&amp;M115)</f>
        <v/>
      </c>
      <c r="AG115" s="50">
        <f>IF(AE115="","",IF(COUNTIF($AE$6:AE115,AE115)=1,1,0))</f>
        <v/>
      </c>
      <c r="AH115" s="50">
        <f>IF(AE115="","",COUNTIF($AE$6:$AE$205,AE115))</f>
        <v/>
      </c>
      <c r="AI115" s="50">
        <f>IF(AE115="","",IF(AND(AG115=1,AH115&gt;1),COUNTIFS($AG$6:AG115,1,$AH$6:AH115,"&gt;1"),""))</f>
        <v/>
      </c>
      <c r="AJ115" s="50">
        <f>IF(AG115=1,IF(COUNTIFS($AE$6:$AE$205,AE115,$N$6:$N$205,"견적접수")&gt;0,1,0),"")</f>
        <v/>
      </c>
      <c r="AK115" s="50">
        <f>IF(OR(R115="",N115&lt;&gt;"견적접수"),"",IF(AND(R115=_xlfn.MINIFS($R$6:$R$205,$AE$6:$AE$205,AE115,$N$6:$N$205,"견적접수"),COUNTIFS($AE$5:AE114,AE115,$R$5:R114,R115,$N$5:N114,"견적접수")=0),1,""))</f>
        <v/>
      </c>
    </row>
    <row r="116">
      <c r="A116" s="50">
        <f>IF(F116="","",ROW()-5)</f>
        <v/>
      </c>
      <c r="B116" s="34" t="n"/>
      <c r="C116" s="34" t="n"/>
      <c r="D116" s="34" t="n"/>
      <c r="E116" s="34" t="n"/>
      <c r="F116" s="36" t="n"/>
      <c r="G116" s="36" t="n"/>
      <c r="H116" s="36" t="n"/>
      <c r="I116" s="36" t="n"/>
      <c r="J116" s="36" t="n"/>
      <c r="K116" s="34" t="n"/>
      <c r="L116" s="34" t="n"/>
      <c r="M116" s="34" t="n"/>
      <c r="N116" s="34" t="n"/>
      <c r="O116" s="50">
        <f>IF(N(AH116)&gt;1,"중복 "&amp;AH116&amp;"곳"&amp;IF(AK116=1," · 최저가",IF(AND(N116="견적접수",R116&lt;&gt;"")," · 비쌈","")),"")</f>
        <v/>
      </c>
      <c r="P116" s="34" t="n"/>
      <c r="Q116" s="51" t="n"/>
      <c r="R116" s="52">
        <f>IF(OR(Q116="",P116=""),"",IFERROR(IF(VLOOKUP(P116,설정!$K$5:$L$9,2,0)&gt;0,Q116*VLOOKUP(P116,설정!$K$5:$L$9,2,0),""),""))</f>
        <v/>
      </c>
      <c r="S116" s="53">
        <f>IF(OR(R116="",K116=""),"",R116*K116)</f>
        <v/>
      </c>
      <c r="T116" s="38" t="n"/>
      <c r="U116" s="54">
        <f>IF(OR(T116="",AC116="발주완료",AC116="취소"),"",TODAY()+T116)</f>
        <v/>
      </c>
      <c r="V116" s="50">
        <f>IF(OR(U116="",NOT(ISNUMBER($K$2))),"",IF(U116&lt;=$K$2,"가능","초과 "&amp;(U116-$K$2)&amp;"일"))</f>
        <v/>
      </c>
      <c r="W116" s="34" t="n"/>
      <c r="X116" s="34" t="n"/>
      <c r="Y116" s="34" t="n"/>
      <c r="Z116" s="56" t="n"/>
      <c r="AA116" s="54">
        <f>IF(OR(Z116="",Y116=""),"",Z116+Y116)</f>
        <v/>
      </c>
      <c r="AB116" s="36" t="n"/>
      <c r="AC116" s="34" t="n"/>
      <c r="AD116" s="36" t="n"/>
      <c r="AE116" s="50">
        <f>IF(F116="","",B116&amp;"#"&amp;IF(D116="",F116,D116))</f>
        <v/>
      </c>
      <c r="AF116" s="50">
        <f>IF(AE116="","",AE116&amp;"|"&amp;M116)</f>
        <v/>
      </c>
      <c r="AG116" s="50">
        <f>IF(AE116="","",IF(COUNTIF($AE$6:AE116,AE116)=1,1,0))</f>
        <v/>
      </c>
      <c r="AH116" s="50">
        <f>IF(AE116="","",COUNTIF($AE$6:$AE$205,AE116))</f>
        <v/>
      </c>
      <c r="AI116" s="50">
        <f>IF(AE116="","",IF(AND(AG116=1,AH116&gt;1),COUNTIFS($AG$6:AG116,1,$AH$6:AH116,"&gt;1"),""))</f>
        <v/>
      </c>
      <c r="AJ116" s="50">
        <f>IF(AG116=1,IF(COUNTIFS($AE$6:$AE$205,AE116,$N$6:$N$205,"견적접수")&gt;0,1,0),"")</f>
        <v/>
      </c>
      <c r="AK116" s="50">
        <f>IF(OR(R116="",N116&lt;&gt;"견적접수"),"",IF(AND(R116=_xlfn.MINIFS($R$6:$R$205,$AE$6:$AE$205,AE116,$N$6:$N$205,"견적접수"),COUNTIFS($AE$5:AE115,AE116,$R$5:R115,R116,$N$5:N115,"견적접수")=0),1,""))</f>
        <v/>
      </c>
    </row>
    <row r="117">
      <c r="A117" s="50">
        <f>IF(F117="","",ROW()-5)</f>
        <v/>
      </c>
      <c r="B117" s="34" t="n"/>
      <c r="C117" s="34" t="n"/>
      <c r="D117" s="34" t="n"/>
      <c r="E117" s="34" t="n"/>
      <c r="F117" s="36" t="n"/>
      <c r="G117" s="36" t="n"/>
      <c r="H117" s="36" t="n"/>
      <c r="I117" s="36" t="n"/>
      <c r="J117" s="36" t="n"/>
      <c r="K117" s="34" t="n"/>
      <c r="L117" s="34" t="n"/>
      <c r="M117" s="34" t="n"/>
      <c r="N117" s="34" t="n"/>
      <c r="O117" s="50">
        <f>IF(N(AH117)&gt;1,"중복 "&amp;AH117&amp;"곳"&amp;IF(AK117=1," · 최저가",IF(AND(N117="견적접수",R117&lt;&gt;"")," · 비쌈","")),"")</f>
        <v/>
      </c>
      <c r="P117" s="34" t="n"/>
      <c r="Q117" s="51" t="n"/>
      <c r="R117" s="52">
        <f>IF(OR(Q117="",P117=""),"",IFERROR(IF(VLOOKUP(P117,설정!$K$5:$L$9,2,0)&gt;0,Q117*VLOOKUP(P117,설정!$K$5:$L$9,2,0),""),""))</f>
        <v/>
      </c>
      <c r="S117" s="53">
        <f>IF(OR(R117="",K117=""),"",R117*K117)</f>
        <v/>
      </c>
      <c r="T117" s="38" t="n"/>
      <c r="U117" s="54">
        <f>IF(OR(T117="",AC117="발주완료",AC117="취소"),"",TODAY()+T117)</f>
        <v/>
      </c>
      <c r="V117" s="50">
        <f>IF(OR(U117="",NOT(ISNUMBER($K$2))),"",IF(U117&lt;=$K$2,"가능","초과 "&amp;(U117-$K$2)&amp;"일"))</f>
        <v/>
      </c>
      <c r="W117" s="34" t="n"/>
      <c r="X117" s="34" t="n"/>
      <c r="Y117" s="34" t="n"/>
      <c r="Z117" s="56" t="n"/>
      <c r="AA117" s="54">
        <f>IF(OR(Z117="",Y117=""),"",Z117+Y117)</f>
        <v/>
      </c>
      <c r="AB117" s="36" t="n"/>
      <c r="AC117" s="34" t="n"/>
      <c r="AD117" s="36" t="n"/>
      <c r="AE117" s="50">
        <f>IF(F117="","",B117&amp;"#"&amp;IF(D117="",F117,D117))</f>
        <v/>
      </c>
      <c r="AF117" s="50">
        <f>IF(AE117="","",AE117&amp;"|"&amp;M117)</f>
        <v/>
      </c>
      <c r="AG117" s="50">
        <f>IF(AE117="","",IF(COUNTIF($AE$6:AE117,AE117)=1,1,0))</f>
        <v/>
      </c>
      <c r="AH117" s="50">
        <f>IF(AE117="","",COUNTIF($AE$6:$AE$205,AE117))</f>
        <v/>
      </c>
      <c r="AI117" s="50">
        <f>IF(AE117="","",IF(AND(AG117=1,AH117&gt;1),COUNTIFS($AG$6:AG117,1,$AH$6:AH117,"&gt;1"),""))</f>
        <v/>
      </c>
      <c r="AJ117" s="50">
        <f>IF(AG117=1,IF(COUNTIFS($AE$6:$AE$205,AE117,$N$6:$N$205,"견적접수")&gt;0,1,0),"")</f>
        <v/>
      </c>
      <c r="AK117" s="50">
        <f>IF(OR(R117="",N117&lt;&gt;"견적접수"),"",IF(AND(R117=_xlfn.MINIFS($R$6:$R$205,$AE$6:$AE$205,AE117,$N$6:$N$205,"견적접수"),COUNTIFS($AE$5:AE116,AE117,$R$5:R116,R117,$N$5:N116,"견적접수")=0),1,""))</f>
        <v/>
      </c>
    </row>
    <row r="118">
      <c r="A118" s="50">
        <f>IF(F118="","",ROW()-5)</f>
        <v/>
      </c>
      <c r="B118" s="34" t="n"/>
      <c r="C118" s="34" t="n"/>
      <c r="D118" s="34" t="n"/>
      <c r="E118" s="34" t="n"/>
      <c r="F118" s="36" t="n"/>
      <c r="G118" s="36" t="n"/>
      <c r="H118" s="36" t="n"/>
      <c r="I118" s="36" t="n"/>
      <c r="J118" s="36" t="n"/>
      <c r="K118" s="34" t="n"/>
      <c r="L118" s="34" t="n"/>
      <c r="M118" s="34" t="n"/>
      <c r="N118" s="34" t="n"/>
      <c r="O118" s="50">
        <f>IF(N(AH118)&gt;1,"중복 "&amp;AH118&amp;"곳"&amp;IF(AK118=1," · 최저가",IF(AND(N118="견적접수",R118&lt;&gt;"")," · 비쌈","")),"")</f>
        <v/>
      </c>
      <c r="P118" s="34" t="n"/>
      <c r="Q118" s="51" t="n"/>
      <c r="R118" s="52">
        <f>IF(OR(Q118="",P118=""),"",IFERROR(IF(VLOOKUP(P118,설정!$K$5:$L$9,2,0)&gt;0,Q118*VLOOKUP(P118,설정!$K$5:$L$9,2,0),""),""))</f>
        <v/>
      </c>
      <c r="S118" s="53">
        <f>IF(OR(R118="",K118=""),"",R118*K118)</f>
        <v/>
      </c>
      <c r="T118" s="38" t="n"/>
      <c r="U118" s="54">
        <f>IF(OR(T118="",AC118="발주완료",AC118="취소"),"",TODAY()+T118)</f>
        <v/>
      </c>
      <c r="V118" s="50">
        <f>IF(OR(U118="",NOT(ISNUMBER($K$2))),"",IF(U118&lt;=$K$2,"가능","초과 "&amp;(U118-$K$2)&amp;"일"))</f>
        <v/>
      </c>
      <c r="W118" s="34" t="n"/>
      <c r="X118" s="34" t="n"/>
      <c r="Y118" s="34" t="n"/>
      <c r="Z118" s="56" t="n"/>
      <c r="AA118" s="54">
        <f>IF(OR(Z118="",Y118=""),"",Z118+Y118)</f>
        <v/>
      </c>
      <c r="AB118" s="36" t="n"/>
      <c r="AC118" s="34" t="n"/>
      <c r="AD118" s="36" t="n"/>
      <c r="AE118" s="50">
        <f>IF(F118="","",B118&amp;"#"&amp;IF(D118="",F118,D118))</f>
        <v/>
      </c>
      <c r="AF118" s="50">
        <f>IF(AE118="","",AE118&amp;"|"&amp;M118)</f>
        <v/>
      </c>
      <c r="AG118" s="50">
        <f>IF(AE118="","",IF(COUNTIF($AE$6:AE118,AE118)=1,1,0))</f>
        <v/>
      </c>
      <c r="AH118" s="50">
        <f>IF(AE118="","",COUNTIF($AE$6:$AE$205,AE118))</f>
        <v/>
      </c>
      <c r="AI118" s="50">
        <f>IF(AE118="","",IF(AND(AG118=1,AH118&gt;1),COUNTIFS($AG$6:AG118,1,$AH$6:AH118,"&gt;1"),""))</f>
        <v/>
      </c>
      <c r="AJ118" s="50">
        <f>IF(AG118=1,IF(COUNTIFS($AE$6:$AE$205,AE118,$N$6:$N$205,"견적접수")&gt;0,1,0),"")</f>
        <v/>
      </c>
      <c r="AK118" s="50">
        <f>IF(OR(R118="",N118&lt;&gt;"견적접수"),"",IF(AND(R118=_xlfn.MINIFS($R$6:$R$205,$AE$6:$AE$205,AE118,$N$6:$N$205,"견적접수"),COUNTIFS($AE$5:AE117,AE118,$R$5:R117,R118,$N$5:N117,"견적접수")=0),1,""))</f>
        <v/>
      </c>
    </row>
    <row r="119">
      <c r="A119" s="50">
        <f>IF(F119="","",ROW()-5)</f>
        <v/>
      </c>
      <c r="B119" s="34" t="n"/>
      <c r="C119" s="34" t="n"/>
      <c r="D119" s="34" t="n"/>
      <c r="E119" s="34" t="n"/>
      <c r="F119" s="36" t="n"/>
      <c r="G119" s="36" t="n"/>
      <c r="H119" s="36" t="n"/>
      <c r="I119" s="36" t="n"/>
      <c r="J119" s="36" t="n"/>
      <c r="K119" s="34" t="n"/>
      <c r="L119" s="34" t="n"/>
      <c r="M119" s="34" t="n"/>
      <c r="N119" s="34" t="n"/>
      <c r="O119" s="50">
        <f>IF(N(AH119)&gt;1,"중복 "&amp;AH119&amp;"곳"&amp;IF(AK119=1," · 최저가",IF(AND(N119="견적접수",R119&lt;&gt;"")," · 비쌈","")),"")</f>
        <v/>
      </c>
      <c r="P119" s="34" t="n"/>
      <c r="Q119" s="51" t="n"/>
      <c r="R119" s="52">
        <f>IF(OR(Q119="",P119=""),"",IFERROR(IF(VLOOKUP(P119,설정!$K$5:$L$9,2,0)&gt;0,Q119*VLOOKUP(P119,설정!$K$5:$L$9,2,0),""),""))</f>
        <v/>
      </c>
      <c r="S119" s="53">
        <f>IF(OR(R119="",K119=""),"",R119*K119)</f>
        <v/>
      </c>
      <c r="T119" s="38" t="n"/>
      <c r="U119" s="54">
        <f>IF(OR(T119="",AC119="발주완료",AC119="취소"),"",TODAY()+T119)</f>
        <v/>
      </c>
      <c r="V119" s="50">
        <f>IF(OR(U119="",NOT(ISNUMBER($K$2))),"",IF(U119&lt;=$K$2,"가능","초과 "&amp;(U119-$K$2)&amp;"일"))</f>
        <v/>
      </c>
      <c r="W119" s="34" t="n"/>
      <c r="X119" s="34" t="n"/>
      <c r="Y119" s="34" t="n"/>
      <c r="Z119" s="56" t="n"/>
      <c r="AA119" s="54">
        <f>IF(OR(Z119="",Y119=""),"",Z119+Y119)</f>
        <v/>
      </c>
      <c r="AB119" s="36" t="n"/>
      <c r="AC119" s="34" t="n"/>
      <c r="AD119" s="36" t="n"/>
      <c r="AE119" s="50">
        <f>IF(F119="","",B119&amp;"#"&amp;IF(D119="",F119,D119))</f>
        <v/>
      </c>
      <c r="AF119" s="50">
        <f>IF(AE119="","",AE119&amp;"|"&amp;M119)</f>
        <v/>
      </c>
      <c r="AG119" s="50">
        <f>IF(AE119="","",IF(COUNTIF($AE$6:AE119,AE119)=1,1,0))</f>
        <v/>
      </c>
      <c r="AH119" s="50">
        <f>IF(AE119="","",COUNTIF($AE$6:$AE$205,AE119))</f>
        <v/>
      </c>
      <c r="AI119" s="50">
        <f>IF(AE119="","",IF(AND(AG119=1,AH119&gt;1),COUNTIFS($AG$6:AG119,1,$AH$6:AH119,"&gt;1"),""))</f>
        <v/>
      </c>
      <c r="AJ119" s="50">
        <f>IF(AG119=1,IF(COUNTIFS($AE$6:$AE$205,AE119,$N$6:$N$205,"견적접수")&gt;0,1,0),"")</f>
        <v/>
      </c>
      <c r="AK119" s="50">
        <f>IF(OR(R119="",N119&lt;&gt;"견적접수"),"",IF(AND(R119=_xlfn.MINIFS($R$6:$R$205,$AE$6:$AE$205,AE119,$N$6:$N$205,"견적접수"),COUNTIFS($AE$5:AE118,AE119,$R$5:R118,R119,$N$5:N118,"견적접수")=0),1,""))</f>
        <v/>
      </c>
    </row>
    <row r="120">
      <c r="A120" s="50">
        <f>IF(F120="","",ROW()-5)</f>
        <v/>
      </c>
      <c r="B120" s="34" t="n"/>
      <c r="C120" s="34" t="n"/>
      <c r="D120" s="34" t="n"/>
      <c r="E120" s="34" t="n"/>
      <c r="F120" s="36" t="n"/>
      <c r="G120" s="36" t="n"/>
      <c r="H120" s="36" t="n"/>
      <c r="I120" s="36" t="n"/>
      <c r="J120" s="36" t="n"/>
      <c r="K120" s="34" t="n"/>
      <c r="L120" s="34" t="n"/>
      <c r="M120" s="34" t="n"/>
      <c r="N120" s="34" t="n"/>
      <c r="O120" s="50">
        <f>IF(N(AH120)&gt;1,"중복 "&amp;AH120&amp;"곳"&amp;IF(AK120=1," · 최저가",IF(AND(N120="견적접수",R120&lt;&gt;"")," · 비쌈","")),"")</f>
        <v/>
      </c>
      <c r="P120" s="34" t="n"/>
      <c r="Q120" s="51" t="n"/>
      <c r="R120" s="52">
        <f>IF(OR(Q120="",P120=""),"",IFERROR(IF(VLOOKUP(P120,설정!$K$5:$L$9,2,0)&gt;0,Q120*VLOOKUP(P120,설정!$K$5:$L$9,2,0),""),""))</f>
        <v/>
      </c>
      <c r="S120" s="53">
        <f>IF(OR(R120="",K120=""),"",R120*K120)</f>
        <v/>
      </c>
      <c r="T120" s="38" t="n"/>
      <c r="U120" s="54">
        <f>IF(OR(T120="",AC120="발주완료",AC120="취소"),"",TODAY()+T120)</f>
        <v/>
      </c>
      <c r="V120" s="50">
        <f>IF(OR(U120="",NOT(ISNUMBER($K$2))),"",IF(U120&lt;=$K$2,"가능","초과 "&amp;(U120-$K$2)&amp;"일"))</f>
        <v/>
      </c>
      <c r="W120" s="34" t="n"/>
      <c r="X120" s="34" t="n"/>
      <c r="Y120" s="34" t="n"/>
      <c r="Z120" s="56" t="n"/>
      <c r="AA120" s="54">
        <f>IF(OR(Z120="",Y120=""),"",Z120+Y120)</f>
        <v/>
      </c>
      <c r="AB120" s="36" t="n"/>
      <c r="AC120" s="34" t="n"/>
      <c r="AD120" s="36" t="n"/>
      <c r="AE120" s="50">
        <f>IF(F120="","",B120&amp;"#"&amp;IF(D120="",F120,D120))</f>
        <v/>
      </c>
      <c r="AF120" s="50">
        <f>IF(AE120="","",AE120&amp;"|"&amp;M120)</f>
        <v/>
      </c>
      <c r="AG120" s="50">
        <f>IF(AE120="","",IF(COUNTIF($AE$6:AE120,AE120)=1,1,0))</f>
        <v/>
      </c>
      <c r="AH120" s="50">
        <f>IF(AE120="","",COUNTIF($AE$6:$AE$205,AE120))</f>
        <v/>
      </c>
      <c r="AI120" s="50">
        <f>IF(AE120="","",IF(AND(AG120=1,AH120&gt;1),COUNTIFS($AG$6:AG120,1,$AH$6:AH120,"&gt;1"),""))</f>
        <v/>
      </c>
      <c r="AJ120" s="50">
        <f>IF(AG120=1,IF(COUNTIFS($AE$6:$AE$205,AE120,$N$6:$N$205,"견적접수")&gt;0,1,0),"")</f>
        <v/>
      </c>
      <c r="AK120" s="50">
        <f>IF(OR(R120="",N120&lt;&gt;"견적접수"),"",IF(AND(R120=_xlfn.MINIFS($R$6:$R$205,$AE$6:$AE$205,AE120,$N$6:$N$205,"견적접수"),COUNTIFS($AE$5:AE119,AE120,$R$5:R119,R120,$N$5:N119,"견적접수")=0),1,""))</f>
        <v/>
      </c>
    </row>
    <row r="121">
      <c r="A121" s="50">
        <f>IF(F121="","",ROW()-5)</f>
        <v/>
      </c>
      <c r="B121" s="34" t="n"/>
      <c r="C121" s="34" t="n"/>
      <c r="D121" s="34" t="n"/>
      <c r="E121" s="34" t="n"/>
      <c r="F121" s="36" t="n"/>
      <c r="G121" s="36" t="n"/>
      <c r="H121" s="36" t="n"/>
      <c r="I121" s="36" t="n"/>
      <c r="J121" s="36" t="n"/>
      <c r="K121" s="34" t="n"/>
      <c r="L121" s="34" t="n"/>
      <c r="M121" s="34" t="n"/>
      <c r="N121" s="34" t="n"/>
      <c r="O121" s="50">
        <f>IF(N(AH121)&gt;1,"중복 "&amp;AH121&amp;"곳"&amp;IF(AK121=1," · 최저가",IF(AND(N121="견적접수",R121&lt;&gt;"")," · 비쌈","")),"")</f>
        <v/>
      </c>
      <c r="P121" s="34" t="n"/>
      <c r="Q121" s="51" t="n"/>
      <c r="R121" s="52">
        <f>IF(OR(Q121="",P121=""),"",IFERROR(IF(VLOOKUP(P121,설정!$K$5:$L$9,2,0)&gt;0,Q121*VLOOKUP(P121,설정!$K$5:$L$9,2,0),""),""))</f>
        <v/>
      </c>
      <c r="S121" s="53">
        <f>IF(OR(R121="",K121=""),"",R121*K121)</f>
        <v/>
      </c>
      <c r="T121" s="38" t="n"/>
      <c r="U121" s="54">
        <f>IF(OR(T121="",AC121="발주완료",AC121="취소"),"",TODAY()+T121)</f>
        <v/>
      </c>
      <c r="V121" s="50">
        <f>IF(OR(U121="",NOT(ISNUMBER($K$2))),"",IF(U121&lt;=$K$2,"가능","초과 "&amp;(U121-$K$2)&amp;"일"))</f>
        <v/>
      </c>
      <c r="W121" s="34" t="n"/>
      <c r="X121" s="34" t="n"/>
      <c r="Y121" s="34" t="n"/>
      <c r="Z121" s="56" t="n"/>
      <c r="AA121" s="54">
        <f>IF(OR(Z121="",Y121=""),"",Z121+Y121)</f>
        <v/>
      </c>
      <c r="AB121" s="36" t="n"/>
      <c r="AC121" s="34" t="n"/>
      <c r="AD121" s="36" t="n"/>
      <c r="AE121" s="50">
        <f>IF(F121="","",B121&amp;"#"&amp;IF(D121="",F121,D121))</f>
        <v/>
      </c>
      <c r="AF121" s="50">
        <f>IF(AE121="","",AE121&amp;"|"&amp;M121)</f>
        <v/>
      </c>
      <c r="AG121" s="50">
        <f>IF(AE121="","",IF(COUNTIF($AE$6:AE121,AE121)=1,1,0))</f>
        <v/>
      </c>
      <c r="AH121" s="50">
        <f>IF(AE121="","",COUNTIF($AE$6:$AE$205,AE121))</f>
        <v/>
      </c>
      <c r="AI121" s="50">
        <f>IF(AE121="","",IF(AND(AG121=1,AH121&gt;1),COUNTIFS($AG$6:AG121,1,$AH$6:AH121,"&gt;1"),""))</f>
        <v/>
      </c>
      <c r="AJ121" s="50">
        <f>IF(AG121=1,IF(COUNTIFS($AE$6:$AE$205,AE121,$N$6:$N$205,"견적접수")&gt;0,1,0),"")</f>
        <v/>
      </c>
      <c r="AK121" s="50">
        <f>IF(OR(R121="",N121&lt;&gt;"견적접수"),"",IF(AND(R121=_xlfn.MINIFS($R$6:$R$205,$AE$6:$AE$205,AE121,$N$6:$N$205,"견적접수"),COUNTIFS($AE$5:AE120,AE121,$R$5:R120,R121,$N$5:N120,"견적접수")=0),1,""))</f>
        <v/>
      </c>
    </row>
    <row r="122">
      <c r="A122" s="50">
        <f>IF(F122="","",ROW()-5)</f>
        <v/>
      </c>
      <c r="B122" s="34" t="n"/>
      <c r="C122" s="34" t="n"/>
      <c r="D122" s="34" t="n"/>
      <c r="E122" s="34" t="n"/>
      <c r="F122" s="36" t="n"/>
      <c r="G122" s="36" t="n"/>
      <c r="H122" s="36" t="n"/>
      <c r="I122" s="36" t="n"/>
      <c r="J122" s="36" t="n"/>
      <c r="K122" s="34" t="n"/>
      <c r="L122" s="34" t="n"/>
      <c r="M122" s="34" t="n"/>
      <c r="N122" s="34" t="n"/>
      <c r="O122" s="50">
        <f>IF(N(AH122)&gt;1,"중복 "&amp;AH122&amp;"곳"&amp;IF(AK122=1," · 최저가",IF(AND(N122="견적접수",R122&lt;&gt;"")," · 비쌈","")),"")</f>
        <v/>
      </c>
      <c r="P122" s="34" t="n"/>
      <c r="Q122" s="51" t="n"/>
      <c r="R122" s="52">
        <f>IF(OR(Q122="",P122=""),"",IFERROR(IF(VLOOKUP(P122,설정!$K$5:$L$9,2,0)&gt;0,Q122*VLOOKUP(P122,설정!$K$5:$L$9,2,0),""),""))</f>
        <v/>
      </c>
      <c r="S122" s="53">
        <f>IF(OR(R122="",K122=""),"",R122*K122)</f>
        <v/>
      </c>
      <c r="T122" s="38" t="n"/>
      <c r="U122" s="54">
        <f>IF(OR(T122="",AC122="발주완료",AC122="취소"),"",TODAY()+T122)</f>
        <v/>
      </c>
      <c r="V122" s="50">
        <f>IF(OR(U122="",NOT(ISNUMBER($K$2))),"",IF(U122&lt;=$K$2,"가능","초과 "&amp;(U122-$K$2)&amp;"일"))</f>
        <v/>
      </c>
      <c r="W122" s="34" t="n"/>
      <c r="X122" s="34" t="n"/>
      <c r="Y122" s="34" t="n"/>
      <c r="Z122" s="56" t="n"/>
      <c r="AA122" s="54">
        <f>IF(OR(Z122="",Y122=""),"",Z122+Y122)</f>
        <v/>
      </c>
      <c r="AB122" s="36" t="n"/>
      <c r="AC122" s="34" t="n"/>
      <c r="AD122" s="36" t="n"/>
      <c r="AE122" s="50">
        <f>IF(F122="","",B122&amp;"#"&amp;IF(D122="",F122,D122))</f>
        <v/>
      </c>
      <c r="AF122" s="50">
        <f>IF(AE122="","",AE122&amp;"|"&amp;M122)</f>
        <v/>
      </c>
      <c r="AG122" s="50">
        <f>IF(AE122="","",IF(COUNTIF($AE$6:AE122,AE122)=1,1,0))</f>
        <v/>
      </c>
      <c r="AH122" s="50">
        <f>IF(AE122="","",COUNTIF($AE$6:$AE$205,AE122))</f>
        <v/>
      </c>
      <c r="AI122" s="50">
        <f>IF(AE122="","",IF(AND(AG122=1,AH122&gt;1),COUNTIFS($AG$6:AG122,1,$AH$6:AH122,"&gt;1"),""))</f>
        <v/>
      </c>
      <c r="AJ122" s="50">
        <f>IF(AG122=1,IF(COUNTIFS($AE$6:$AE$205,AE122,$N$6:$N$205,"견적접수")&gt;0,1,0),"")</f>
        <v/>
      </c>
      <c r="AK122" s="50">
        <f>IF(OR(R122="",N122&lt;&gt;"견적접수"),"",IF(AND(R122=_xlfn.MINIFS($R$6:$R$205,$AE$6:$AE$205,AE122,$N$6:$N$205,"견적접수"),COUNTIFS($AE$5:AE121,AE122,$R$5:R121,R122,$N$5:N121,"견적접수")=0),1,""))</f>
        <v/>
      </c>
    </row>
    <row r="123">
      <c r="A123" s="50">
        <f>IF(F123="","",ROW()-5)</f>
        <v/>
      </c>
      <c r="B123" s="34" t="n"/>
      <c r="C123" s="34" t="n"/>
      <c r="D123" s="34" t="n"/>
      <c r="E123" s="34" t="n"/>
      <c r="F123" s="36" t="n"/>
      <c r="G123" s="36" t="n"/>
      <c r="H123" s="36" t="n"/>
      <c r="I123" s="36" t="n"/>
      <c r="J123" s="36" t="n"/>
      <c r="K123" s="34" t="n"/>
      <c r="L123" s="34" t="n"/>
      <c r="M123" s="34" t="n"/>
      <c r="N123" s="34" t="n"/>
      <c r="O123" s="50">
        <f>IF(N(AH123)&gt;1,"중복 "&amp;AH123&amp;"곳"&amp;IF(AK123=1," · 최저가",IF(AND(N123="견적접수",R123&lt;&gt;"")," · 비쌈","")),"")</f>
        <v/>
      </c>
      <c r="P123" s="34" t="n"/>
      <c r="Q123" s="51" t="n"/>
      <c r="R123" s="52">
        <f>IF(OR(Q123="",P123=""),"",IFERROR(IF(VLOOKUP(P123,설정!$K$5:$L$9,2,0)&gt;0,Q123*VLOOKUP(P123,설정!$K$5:$L$9,2,0),""),""))</f>
        <v/>
      </c>
      <c r="S123" s="53">
        <f>IF(OR(R123="",K123=""),"",R123*K123)</f>
        <v/>
      </c>
      <c r="T123" s="38" t="n"/>
      <c r="U123" s="54">
        <f>IF(OR(T123="",AC123="발주완료",AC123="취소"),"",TODAY()+T123)</f>
        <v/>
      </c>
      <c r="V123" s="50">
        <f>IF(OR(U123="",NOT(ISNUMBER($K$2))),"",IF(U123&lt;=$K$2,"가능","초과 "&amp;(U123-$K$2)&amp;"일"))</f>
        <v/>
      </c>
      <c r="W123" s="34" t="n"/>
      <c r="X123" s="34" t="n"/>
      <c r="Y123" s="34" t="n"/>
      <c r="Z123" s="56" t="n"/>
      <c r="AA123" s="54">
        <f>IF(OR(Z123="",Y123=""),"",Z123+Y123)</f>
        <v/>
      </c>
      <c r="AB123" s="36" t="n"/>
      <c r="AC123" s="34" t="n"/>
      <c r="AD123" s="36" t="n"/>
      <c r="AE123" s="50">
        <f>IF(F123="","",B123&amp;"#"&amp;IF(D123="",F123,D123))</f>
        <v/>
      </c>
      <c r="AF123" s="50">
        <f>IF(AE123="","",AE123&amp;"|"&amp;M123)</f>
        <v/>
      </c>
      <c r="AG123" s="50">
        <f>IF(AE123="","",IF(COUNTIF($AE$6:AE123,AE123)=1,1,0))</f>
        <v/>
      </c>
      <c r="AH123" s="50">
        <f>IF(AE123="","",COUNTIF($AE$6:$AE$205,AE123))</f>
        <v/>
      </c>
      <c r="AI123" s="50">
        <f>IF(AE123="","",IF(AND(AG123=1,AH123&gt;1),COUNTIFS($AG$6:AG123,1,$AH$6:AH123,"&gt;1"),""))</f>
        <v/>
      </c>
      <c r="AJ123" s="50">
        <f>IF(AG123=1,IF(COUNTIFS($AE$6:$AE$205,AE123,$N$6:$N$205,"견적접수")&gt;0,1,0),"")</f>
        <v/>
      </c>
      <c r="AK123" s="50">
        <f>IF(OR(R123="",N123&lt;&gt;"견적접수"),"",IF(AND(R123=_xlfn.MINIFS($R$6:$R$205,$AE$6:$AE$205,AE123,$N$6:$N$205,"견적접수"),COUNTIFS($AE$5:AE122,AE123,$R$5:R122,R123,$N$5:N122,"견적접수")=0),1,""))</f>
        <v/>
      </c>
    </row>
    <row r="124">
      <c r="A124" s="50">
        <f>IF(F124="","",ROW()-5)</f>
        <v/>
      </c>
      <c r="B124" s="34" t="n"/>
      <c r="C124" s="34" t="n"/>
      <c r="D124" s="34" t="n"/>
      <c r="E124" s="34" t="n"/>
      <c r="F124" s="36" t="n"/>
      <c r="G124" s="36" t="n"/>
      <c r="H124" s="36" t="n"/>
      <c r="I124" s="36" t="n"/>
      <c r="J124" s="36" t="n"/>
      <c r="K124" s="34" t="n"/>
      <c r="L124" s="34" t="n"/>
      <c r="M124" s="34" t="n"/>
      <c r="N124" s="34" t="n"/>
      <c r="O124" s="50">
        <f>IF(N(AH124)&gt;1,"중복 "&amp;AH124&amp;"곳"&amp;IF(AK124=1," · 최저가",IF(AND(N124="견적접수",R124&lt;&gt;"")," · 비쌈","")),"")</f>
        <v/>
      </c>
      <c r="P124" s="34" t="n"/>
      <c r="Q124" s="51" t="n"/>
      <c r="R124" s="52">
        <f>IF(OR(Q124="",P124=""),"",IFERROR(IF(VLOOKUP(P124,설정!$K$5:$L$9,2,0)&gt;0,Q124*VLOOKUP(P124,설정!$K$5:$L$9,2,0),""),""))</f>
        <v/>
      </c>
      <c r="S124" s="53">
        <f>IF(OR(R124="",K124=""),"",R124*K124)</f>
        <v/>
      </c>
      <c r="T124" s="38" t="n"/>
      <c r="U124" s="54">
        <f>IF(OR(T124="",AC124="발주완료",AC124="취소"),"",TODAY()+T124)</f>
        <v/>
      </c>
      <c r="V124" s="50">
        <f>IF(OR(U124="",NOT(ISNUMBER($K$2))),"",IF(U124&lt;=$K$2,"가능","초과 "&amp;(U124-$K$2)&amp;"일"))</f>
        <v/>
      </c>
      <c r="W124" s="34" t="n"/>
      <c r="X124" s="34" t="n"/>
      <c r="Y124" s="34" t="n"/>
      <c r="Z124" s="56" t="n"/>
      <c r="AA124" s="54">
        <f>IF(OR(Z124="",Y124=""),"",Z124+Y124)</f>
        <v/>
      </c>
      <c r="AB124" s="36" t="n"/>
      <c r="AC124" s="34" t="n"/>
      <c r="AD124" s="36" t="n"/>
      <c r="AE124" s="50">
        <f>IF(F124="","",B124&amp;"#"&amp;IF(D124="",F124,D124))</f>
        <v/>
      </c>
      <c r="AF124" s="50">
        <f>IF(AE124="","",AE124&amp;"|"&amp;M124)</f>
        <v/>
      </c>
      <c r="AG124" s="50">
        <f>IF(AE124="","",IF(COUNTIF($AE$6:AE124,AE124)=1,1,0))</f>
        <v/>
      </c>
      <c r="AH124" s="50">
        <f>IF(AE124="","",COUNTIF($AE$6:$AE$205,AE124))</f>
        <v/>
      </c>
      <c r="AI124" s="50">
        <f>IF(AE124="","",IF(AND(AG124=1,AH124&gt;1),COUNTIFS($AG$6:AG124,1,$AH$6:AH124,"&gt;1"),""))</f>
        <v/>
      </c>
      <c r="AJ124" s="50">
        <f>IF(AG124=1,IF(COUNTIFS($AE$6:$AE$205,AE124,$N$6:$N$205,"견적접수")&gt;0,1,0),"")</f>
        <v/>
      </c>
      <c r="AK124" s="50">
        <f>IF(OR(R124="",N124&lt;&gt;"견적접수"),"",IF(AND(R124=_xlfn.MINIFS($R$6:$R$205,$AE$6:$AE$205,AE124,$N$6:$N$205,"견적접수"),COUNTIFS($AE$5:AE123,AE124,$R$5:R123,R124,$N$5:N123,"견적접수")=0),1,""))</f>
        <v/>
      </c>
    </row>
    <row r="125">
      <c r="A125" s="50">
        <f>IF(F125="","",ROW()-5)</f>
        <v/>
      </c>
      <c r="B125" s="34" t="n"/>
      <c r="C125" s="34" t="n"/>
      <c r="D125" s="34" t="n"/>
      <c r="E125" s="34" t="n"/>
      <c r="F125" s="36" t="n"/>
      <c r="G125" s="36" t="n"/>
      <c r="H125" s="36" t="n"/>
      <c r="I125" s="36" t="n"/>
      <c r="J125" s="36" t="n"/>
      <c r="K125" s="34" t="n"/>
      <c r="L125" s="34" t="n"/>
      <c r="M125" s="34" t="n"/>
      <c r="N125" s="34" t="n"/>
      <c r="O125" s="50">
        <f>IF(N(AH125)&gt;1,"중복 "&amp;AH125&amp;"곳"&amp;IF(AK125=1," · 최저가",IF(AND(N125="견적접수",R125&lt;&gt;"")," · 비쌈","")),"")</f>
        <v/>
      </c>
      <c r="P125" s="34" t="n"/>
      <c r="Q125" s="51" t="n"/>
      <c r="R125" s="52">
        <f>IF(OR(Q125="",P125=""),"",IFERROR(IF(VLOOKUP(P125,설정!$K$5:$L$9,2,0)&gt;0,Q125*VLOOKUP(P125,설정!$K$5:$L$9,2,0),""),""))</f>
        <v/>
      </c>
      <c r="S125" s="53">
        <f>IF(OR(R125="",K125=""),"",R125*K125)</f>
        <v/>
      </c>
      <c r="T125" s="38" t="n"/>
      <c r="U125" s="54">
        <f>IF(OR(T125="",AC125="발주완료",AC125="취소"),"",TODAY()+T125)</f>
        <v/>
      </c>
      <c r="V125" s="50">
        <f>IF(OR(U125="",NOT(ISNUMBER($K$2))),"",IF(U125&lt;=$K$2,"가능","초과 "&amp;(U125-$K$2)&amp;"일"))</f>
        <v/>
      </c>
      <c r="W125" s="34" t="n"/>
      <c r="X125" s="34" t="n"/>
      <c r="Y125" s="34" t="n"/>
      <c r="Z125" s="56" t="n"/>
      <c r="AA125" s="54">
        <f>IF(OR(Z125="",Y125=""),"",Z125+Y125)</f>
        <v/>
      </c>
      <c r="AB125" s="36" t="n"/>
      <c r="AC125" s="34" t="n"/>
      <c r="AD125" s="36" t="n"/>
      <c r="AE125" s="50">
        <f>IF(F125="","",B125&amp;"#"&amp;IF(D125="",F125,D125))</f>
        <v/>
      </c>
      <c r="AF125" s="50">
        <f>IF(AE125="","",AE125&amp;"|"&amp;M125)</f>
        <v/>
      </c>
      <c r="AG125" s="50">
        <f>IF(AE125="","",IF(COUNTIF($AE$6:AE125,AE125)=1,1,0))</f>
        <v/>
      </c>
      <c r="AH125" s="50">
        <f>IF(AE125="","",COUNTIF($AE$6:$AE$205,AE125))</f>
        <v/>
      </c>
      <c r="AI125" s="50">
        <f>IF(AE125="","",IF(AND(AG125=1,AH125&gt;1),COUNTIFS($AG$6:AG125,1,$AH$6:AH125,"&gt;1"),""))</f>
        <v/>
      </c>
      <c r="AJ125" s="50">
        <f>IF(AG125=1,IF(COUNTIFS($AE$6:$AE$205,AE125,$N$6:$N$205,"견적접수")&gt;0,1,0),"")</f>
        <v/>
      </c>
      <c r="AK125" s="50">
        <f>IF(OR(R125="",N125&lt;&gt;"견적접수"),"",IF(AND(R125=_xlfn.MINIFS($R$6:$R$205,$AE$6:$AE$205,AE125,$N$6:$N$205,"견적접수"),COUNTIFS($AE$5:AE124,AE125,$R$5:R124,R125,$N$5:N124,"견적접수")=0),1,""))</f>
        <v/>
      </c>
    </row>
    <row r="126">
      <c r="A126" s="50">
        <f>IF(F126="","",ROW()-5)</f>
        <v/>
      </c>
      <c r="B126" s="34" t="n"/>
      <c r="C126" s="34" t="n"/>
      <c r="D126" s="34" t="n"/>
      <c r="E126" s="34" t="n"/>
      <c r="F126" s="36" t="n"/>
      <c r="G126" s="36" t="n"/>
      <c r="H126" s="36" t="n"/>
      <c r="I126" s="36" t="n"/>
      <c r="J126" s="36" t="n"/>
      <c r="K126" s="34" t="n"/>
      <c r="L126" s="34" t="n"/>
      <c r="M126" s="34" t="n"/>
      <c r="N126" s="34" t="n"/>
      <c r="O126" s="50">
        <f>IF(N(AH126)&gt;1,"중복 "&amp;AH126&amp;"곳"&amp;IF(AK126=1," · 최저가",IF(AND(N126="견적접수",R126&lt;&gt;"")," · 비쌈","")),"")</f>
        <v/>
      </c>
      <c r="P126" s="34" t="n"/>
      <c r="Q126" s="51" t="n"/>
      <c r="R126" s="52">
        <f>IF(OR(Q126="",P126=""),"",IFERROR(IF(VLOOKUP(P126,설정!$K$5:$L$9,2,0)&gt;0,Q126*VLOOKUP(P126,설정!$K$5:$L$9,2,0),""),""))</f>
        <v/>
      </c>
      <c r="S126" s="53">
        <f>IF(OR(R126="",K126=""),"",R126*K126)</f>
        <v/>
      </c>
      <c r="T126" s="38" t="n"/>
      <c r="U126" s="54">
        <f>IF(OR(T126="",AC126="발주완료",AC126="취소"),"",TODAY()+T126)</f>
        <v/>
      </c>
      <c r="V126" s="50">
        <f>IF(OR(U126="",NOT(ISNUMBER($K$2))),"",IF(U126&lt;=$K$2,"가능","초과 "&amp;(U126-$K$2)&amp;"일"))</f>
        <v/>
      </c>
      <c r="W126" s="34" t="n"/>
      <c r="X126" s="34" t="n"/>
      <c r="Y126" s="34" t="n"/>
      <c r="Z126" s="56" t="n"/>
      <c r="AA126" s="54">
        <f>IF(OR(Z126="",Y126=""),"",Z126+Y126)</f>
        <v/>
      </c>
      <c r="AB126" s="36" t="n"/>
      <c r="AC126" s="34" t="n"/>
      <c r="AD126" s="36" t="n"/>
      <c r="AE126" s="50">
        <f>IF(F126="","",B126&amp;"#"&amp;IF(D126="",F126,D126))</f>
        <v/>
      </c>
      <c r="AF126" s="50">
        <f>IF(AE126="","",AE126&amp;"|"&amp;M126)</f>
        <v/>
      </c>
      <c r="AG126" s="50">
        <f>IF(AE126="","",IF(COUNTIF($AE$6:AE126,AE126)=1,1,0))</f>
        <v/>
      </c>
      <c r="AH126" s="50">
        <f>IF(AE126="","",COUNTIF($AE$6:$AE$205,AE126))</f>
        <v/>
      </c>
      <c r="AI126" s="50">
        <f>IF(AE126="","",IF(AND(AG126=1,AH126&gt;1),COUNTIFS($AG$6:AG126,1,$AH$6:AH126,"&gt;1"),""))</f>
        <v/>
      </c>
      <c r="AJ126" s="50">
        <f>IF(AG126=1,IF(COUNTIFS($AE$6:$AE$205,AE126,$N$6:$N$205,"견적접수")&gt;0,1,0),"")</f>
        <v/>
      </c>
      <c r="AK126" s="50">
        <f>IF(OR(R126="",N126&lt;&gt;"견적접수"),"",IF(AND(R126=_xlfn.MINIFS($R$6:$R$205,$AE$6:$AE$205,AE126,$N$6:$N$205,"견적접수"),COUNTIFS($AE$5:AE125,AE126,$R$5:R125,R126,$N$5:N125,"견적접수")=0),1,""))</f>
        <v/>
      </c>
    </row>
    <row r="127">
      <c r="A127" s="50">
        <f>IF(F127="","",ROW()-5)</f>
        <v/>
      </c>
      <c r="B127" s="34" t="n"/>
      <c r="C127" s="34" t="n"/>
      <c r="D127" s="34" t="n"/>
      <c r="E127" s="34" t="n"/>
      <c r="F127" s="36" t="n"/>
      <c r="G127" s="36" t="n"/>
      <c r="H127" s="36" t="n"/>
      <c r="I127" s="36" t="n"/>
      <c r="J127" s="36" t="n"/>
      <c r="K127" s="34" t="n"/>
      <c r="L127" s="34" t="n"/>
      <c r="M127" s="34" t="n"/>
      <c r="N127" s="34" t="n"/>
      <c r="O127" s="50">
        <f>IF(N(AH127)&gt;1,"중복 "&amp;AH127&amp;"곳"&amp;IF(AK127=1," · 최저가",IF(AND(N127="견적접수",R127&lt;&gt;"")," · 비쌈","")),"")</f>
        <v/>
      </c>
      <c r="P127" s="34" t="n"/>
      <c r="Q127" s="51" t="n"/>
      <c r="R127" s="52">
        <f>IF(OR(Q127="",P127=""),"",IFERROR(IF(VLOOKUP(P127,설정!$K$5:$L$9,2,0)&gt;0,Q127*VLOOKUP(P127,설정!$K$5:$L$9,2,0),""),""))</f>
        <v/>
      </c>
      <c r="S127" s="53">
        <f>IF(OR(R127="",K127=""),"",R127*K127)</f>
        <v/>
      </c>
      <c r="T127" s="38" t="n"/>
      <c r="U127" s="54">
        <f>IF(OR(T127="",AC127="발주완료",AC127="취소"),"",TODAY()+T127)</f>
        <v/>
      </c>
      <c r="V127" s="50">
        <f>IF(OR(U127="",NOT(ISNUMBER($K$2))),"",IF(U127&lt;=$K$2,"가능","초과 "&amp;(U127-$K$2)&amp;"일"))</f>
        <v/>
      </c>
      <c r="W127" s="34" t="n"/>
      <c r="X127" s="34" t="n"/>
      <c r="Y127" s="34" t="n"/>
      <c r="Z127" s="56" t="n"/>
      <c r="AA127" s="54">
        <f>IF(OR(Z127="",Y127=""),"",Z127+Y127)</f>
        <v/>
      </c>
      <c r="AB127" s="36" t="n"/>
      <c r="AC127" s="34" t="n"/>
      <c r="AD127" s="36" t="n"/>
      <c r="AE127" s="50">
        <f>IF(F127="","",B127&amp;"#"&amp;IF(D127="",F127,D127))</f>
        <v/>
      </c>
      <c r="AF127" s="50">
        <f>IF(AE127="","",AE127&amp;"|"&amp;M127)</f>
        <v/>
      </c>
      <c r="AG127" s="50">
        <f>IF(AE127="","",IF(COUNTIF($AE$6:AE127,AE127)=1,1,0))</f>
        <v/>
      </c>
      <c r="AH127" s="50">
        <f>IF(AE127="","",COUNTIF($AE$6:$AE$205,AE127))</f>
        <v/>
      </c>
      <c r="AI127" s="50">
        <f>IF(AE127="","",IF(AND(AG127=1,AH127&gt;1),COUNTIFS($AG$6:AG127,1,$AH$6:AH127,"&gt;1"),""))</f>
        <v/>
      </c>
      <c r="AJ127" s="50">
        <f>IF(AG127=1,IF(COUNTIFS($AE$6:$AE$205,AE127,$N$6:$N$205,"견적접수")&gt;0,1,0),"")</f>
        <v/>
      </c>
      <c r="AK127" s="50">
        <f>IF(OR(R127="",N127&lt;&gt;"견적접수"),"",IF(AND(R127=_xlfn.MINIFS($R$6:$R$205,$AE$6:$AE$205,AE127,$N$6:$N$205,"견적접수"),COUNTIFS($AE$5:AE126,AE127,$R$5:R126,R127,$N$5:N126,"견적접수")=0),1,""))</f>
        <v/>
      </c>
    </row>
    <row r="128">
      <c r="A128" s="50">
        <f>IF(F128="","",ROW()-5)</f>
        <v/>
      </c>
      <c r="B128" s="34" t="n"/>
      <c r="C128" s="34" t="n"/>
      <c r="D128" s="34" t="n"/>
      <c r="E128" s="34" t="n"/>
      <c r="F128" s="36" t="n"/>
      <c r="G128" s="36" t="n"/>
      <c r="H128" s="36" t="n"/>
      <c r="I128" s="36" t="n"/>
      <c r="J128" s="36" t="n"/>
      <c r="K128" s="34" t="n"/>
      <c r="L128" s="34" t="n"/>
      <c r="M128" s="34" t="n"/>
      <c r="N128" s="34" t="n"/>
      <c r="O128" s="50">
        <f>IF(N(AH128)&gt;1,"중복 "&amp;AH128&amp;"곳"&amp;IF(AK128=1," · 최저가",IF(AND(N128="견적접수",R128&lt;&gt;"")," · 비쌈","")),"")</f>
        <v/>
      </c>
      <c r="P128" s="34" t="n"/>
      <c r="Q128" s="51" t="n"/>
      <c r="R128" s="52">
        <f>IF(OR(Q128="",P128=""),"",IFERROR(IF(VLOOKUP(P128,설정!$K$5:$L$9,2,0)&gt;0,Q128*VLOOKUP(P128,설정!$K$5:$L$9,2,0),""),""))</f>
        <v/>
      </c>
      <c r="S128" s="53">
        <f>IF(OR(R128="",K128=""),"",R128*K128)</f>
        <v/>
      </c>
      <c r="T128" s="38" t="n"/>
      <c r="U128" s="54">
        <f>IF(OR(T128="",AC128="발주완료",AC128="취소"),"",TODAY()+T128)</f>
        <v/>
      </c>
      <c r="V128" s="50">
        <f>IF(OR(U128="",NOT(ISNUMBER($K$2))),"",IF(U128&lt;=$K$2,"가능","초과 "&amp;(U128-$K$2)&amp;"일"))</f>
        <v/>
      </c>
      <c r="W128" s="34" t="n"/>
      <c r="X128" s="34" t="n"/>
      <c r="Y128" s="34" t="n"/>
      <c r="Z128" s="56" t="n"/>
      <c r="AA128" s="54">
        <f>IF(OR(Z128="",Y128=""),"",Z128+Y128)</f>
        <v/>
      </c>
      <c r="AB128" s="36" t="n"/>
      <c r="AC128" s="34" t="n"/>
      <c r="AD128" s="36" t="n"/>
      <c r="AE128" s="50">
        <f>IF(F128="","",B128&amp;"#"&amp;IF(D128="",F128,D128))</f>
        <v/>
      </c>
      <c r="AF128" s="50">
        <f>IF(AE128="","",AE128&amp;"|"&amp;M128)</f>
        <v/>
      </c>
      <c r="AG128" s="50">
        <f>IF(AE128="","",IF(COUNTIF($AE$6:AE128,AE128)=1,1,0))</f>
        <v/>
      </c>
      <c r="AH128" s="50">
        <f>IF(AE128="","",COUNTIF($AE$6:$AE$205,AE128))</f>
        <v/>
      </c>
      <c r="AI128" s="50">
        <f>IF(AE128="","",IF(AND(AG128=1,AH128&gt;1),COUNTIFS($AG$6:AG128,1,$AH$6:AH128,"&gt;1"),""))</f>
        <v/>
      </c>
      <c r="AJ128" s="50">
        <f>IF(AG128=1,IF(COUNTIFS($AE$6:$AE$205,AE128,$N$6:$N$205,"견적접수")&gt;0,1,0),"")</f>
        <v/>
      </c>
      <c r="AK128" s="50">
        <f>IF(OR(R128="",N128&lt;&gt;"견적접수"),"",IF(AND(R128=_xlfn.MINIFS($R$6:$R$205,$AE$6:$AE$205,AE128,$N$6:$N$205,"견적접수"),COUNTIFS($AE$5:AE127,AE128,$R$5:R127,R128,$N$5:N127,"견적접수")=0),1,""))</f>
        <v/>
      </c>
    </row>
    <row r="129">
      <c r="A129" s="50">
        <f>IF(F129="","",ROW()-5)</f>
        <v/>
      </c>
      <c r="B129" s="34" t="n"/>
      <c r="C129" s="34" t="n"/>
      <c r="D129" s="34" t="n"/>
      <c r="E129" s="34" t="n"/>
      <c r="F129" s="36" t="n"/>
      <c r="G129" s="36" t="n"/>
      <c r="H129" s="36" t="n"/>
      <c r="I129" s="36" t="n"/>
      <c r="J129" s="36" t="n"/>
      <c r="K129" s="34" t="n"/>
      <c r="L129" s="34" t="n"/>
      <c r="M129" s="34" t="n"/>
      <c r="N129" s="34" t="n"/>
      <c r="O129" s="50">
        <f>IF(N(AH129)&gt;1,"중복 "&amp;AH129&amp;"곳"&amp;IF(AK129=1," · 최저가",IF(AND(N129="견적접수",R129&lt;&gt;"")," · 비쌈","")),"")</f>
        <v/>
      </c>
      <c r="P129" s="34" t="n"/>
      <c r="Q129" s="51" t="n"/>
      <c r="R129" s="52">
        <f>IF(OR(Q129="",P129=""),"",IFERROR(IF(VLOOKUP(P129,설정!$K$5:$L$9,2,0)&gt;0,Q129*VLOOKUP(P129,설정!$K$5:$L$9,2,0),""),""))</f>
        <v/>
      </c>
      <c r="S129" s="53">
        <f>IF(OR(R129="",K129=""),"",R129*K129)</f>
        <v/>
      </c>
      <c r="T129" s="38" t="n"/>
      <c r="U129" s="54">
        <f>IF(OR(T129="",AC129="발주완료",AC129="취소"),"",TODAY()+T129)</f>
        <v/>
      </c>
      <c r="V129" s="50">
        <f>IF(OR(U129="",NOT(ISNUMBER($K$2))),"",IF(U129&lt;=$K$2,"가능","초과 "&amp;(U129-$K$2)&amp;"일"))</f>
        <v/>
      </c>
      <c r="W129" s="34" t="n"/>
      <c r="X129" s="34" t="n"/>
      <c r="Y129" s="34" t="n"/>
      <c r="Z129" s="56" t="n"/>
      <c r="AA129" s="54">
        <f>IF(OR(Z129="",Y129=""),"",Z129+Y129)</f>
        <v/>
      </c>
      <c r="AB129" s="36" t="n"/>
      <c r="AC129" s="34" t="n"/>
      <c r="AD129" s="36" t="n"/>
      <c r="AE129" s="50">
        <f>IF(F129="","",B129&amp;"#"&amp;IF(D129="",F129,D129))</f>
        <v/>
      </c>
      <c r="AF129" s="50">
        <f>IF(AE129="","",AE129&amp;"|"&amp;M129)</f>
        <v/>
      </c>
      <c r="AG129" s="50">
        <f>IF(AE129="","",IF(COUNTIF($AE$6:AE129,AE129)=1,1,0))</f>
        <v/>
      </c>
      <c r="AH129" s="50">
        <f>IF(AE129="","",COUNTIF($AE$6:$AE$205,AE129))</f>
        <v/>
      </c>
      <c r="AI129" s="50">
        <f>IF(AE129="","",IF(AND(AG129=1,AH129&gt;1),COUNTIFS($AG$6:AG129,1,$AH$6:AH129,"&gt;1"),""))</f>
        <v/>
      </c>
      <c r="AJ129" s="50">
        <f>IF(AG129=1,IF(COUNTIFS($AE$6:$AE$205,AE129,$N$6:$N$205,"견적접수")&gt;0,1,0),"")</f>
        <v/>
      </c>
      <c r="AK129" s="50">
        <f>IF(OR(R129="",N129&lt;&gt;"견적접수"),"",IF(AND(R129=_xlfn.MINIFS($R$6:$R$205,$AE$6:$AE$205,AE129,$N$6:$N$205,"견적접수"),COUNTIFS($AE$5:AE128,AE129,$R$5:R128,R129,$N$5:N128,"견적접수")=0),1,""))</f>
        <v/>
      </c>
    </row>
    <row r="130">
      <c r="A130" s="50">
        <f>IF(F130="","",ROW()-5)</f>
        <v/>
      </c>
      <c r="B130" s="34" t="n"/>
      <c r="C130" s="34" t="n"/>
      <c r="D130" s="34" t="n"/>
      <c r="E130" s="34" t="n"/>
      <c r="F130" s="36" t="n"/>
      <c r="G130" s="36" t="n"/>
      <c r="H130" s="36" t="n"/>
      <c r="I130" s="36" t="n"/>
      <c r="J130" s="36" t="n"/>
      <c r="K130" s="34" t="n"/>
      <c r="L130" s="34" t="n"/>
      <c r="M130" s="34" t="n"/>
      <c r="N130" s="34" t="n"/>
      <c r="O130" s="50">
        <f>IF(N(AH130)&gt;1,"중복 "&amp;AH130&amp;"곳"&amp;IF(AK130=1," · 최저가",IF(AND(N130="견적접수",R130&lt;&gt;"")," · 비쌈","")),"")</f>
        <v/>
      </c>
      <c r="P130" s="34" t="n"/>
      <c r="Q130" s="51" t="n"/>
      <c r="R130" s="52">
        <f>IF(OR(Q130="",P130=""),"",IFERROR(IF(VLOOKUP(P130,설정!$K$5:$L$9,2,0)&gt;0,Q130*VLOOKUP(P130,설정!$K$5:$L$9,2,0),""),""))</f>
        <v/>
      </c>
      <c r="S130" s="53">
        <f>IF(OR(R130="",K130=""),"",R130*K130)</f>
        <v/>
      </c>
      <c r="T130" s="38" t="n"/>
      <c r="U130" s="54">
        <f>IF(OR(T130="",AC130="발주완료",AC130="취소"),"",TODAY()+T130)</f>
        <v/>
      </c>
      <c r="V130" s="50">
        <f>IF(OR(U130="",NOT(ISNUMBER($K$2))),"",IF(U130&lt;=$K$2,"가능","초과 "&amp;(U130-$K$2)&amp;"일"))</f>
        <v/>
      </c>
      <c r="W130" s="34" t="n"/>
      <c r="X130" s="34" t="n"/>
      <c r="Y130" s="34" t="n"/>
      <c r="Z130" s="56" t="n"/>
      <c r="AA130" s="54">
        <f>IF(OR(Z130="",Y130=""),"",Z130+Y130)</f>
        <v/>
      </c>
      <c r="AB130" s="36" t="n"/>
      <c r="AC130" s="34" t="n"/>
      <c r="AD130" s="36" t="n"/>
      <c r="AE130" s="50">
        <f>IF(F130="","",B130&amp;"#"&amp;IF(D130="",F130,D130))</f>
        <v/>
      </c>
      <c r="AF130" s="50">
        <f>IF(AE130="","",AE130&amp;"|"&amp;M130)</f>
        <v/>
      </c>
      <c r="AG130" s="50">
        <f>IF(AE130="","",IF(COUNTIF($AE$6:AE130,AE130)=1,1,0))</f>
        <v/>
      </c>
      <c r="AH130" s="50">
        <f>IF(AE130="","",COUNTIF($AE$6:$AE$205,AE130))</f>
        <v/>
      </c>
      <c r="AI130" s="50">
        <f>IF(AE130="","",IF(AND(AG130=1,AH130&gt;1),COUNTIFS($AG$6:AG130,1,$AH$6:AH130,"&gt;1"),""))</f>
        <v/>
      </c>
      <c r="AJ130" s="50">
        <f>IF(AG130=1,IF(COUNTIFS($AE$6:$AE$205,AE130,$N$6:$N$205,"견적접수")&gt;0,1,0),"")</f>
        <v/>
      </c>
      <c r="AK130" s="50">
        <f>IF(OR(R130="",N130&lt;&gt;"견적접수"),"",IF(AND(R130=_xlfn.MINIFS($R$6:$R$205,$AE$6:$AE$205,AE130,$N$6:$N$205,"견적접수"),COUNTIFS($AE$5:AE129,AE130,$R$5:R129,R130,$N$5:N129,"견적접수")=0),1,""))</f>
        <v/>
      </c>
    </row>
    <row r="131">
      <c r="A131" s="50">
        <f>IF(F131="","",ROW()-5)</f>
        <v/>
      </c>
      <c r="B131" s="34" t="n"/>
      <c r="C131" s="34" t="n"/>
      <c r="D131" s="34" t="n"/>
      <c r="E131" s="34" t="n"/>
      <c r="F131" s="36" t="n"/>
      <c r="G131" s="36" t="n"/>
      <c r="H131" s="36" t="n"/>
      <c r="I131" s="36" t="n"/>
      <c r="J131" s="36" t="n"/>
      <c r="K131" s="34" t="n"/>
      <c r="L131" s="34" t="n"/>
      <c r="M131" s="34" t="n"/>
      <c r="N131" s="34" t="n"/>
      <c r="O131" s="50">
        <f>IF(N(AH131)&gt;1,"중복 "&amp;AH131&amp;"곳"&amp;IF(AK131=1," · 최저가",IF(AND(N131="견적접수",R131&lt;&gt;"")," · 비쌈","")),"")</f>
        <v/>
      </c>
      <c r="P131" s="34" t="n"/>
      <c r="Q131" s="51" t="n"/>
      <c r="R131" s="52">
        <f>IF(OR(Q131="",P131=""),"",IFERROR(IF(VLOOKUP(P131,설정!$K$5:$L$9,2,0)&gt;0,Q131*VLOOKUP(P131,설정!$K$5:$L$9,2,0),""),""))</f>
        <v/>
      </c>
      <c r="S131" s="53">
        <f>IF(OR(R131="",K131=""),"",R131*K131)</f>
        <v/>
      </c>
      <c r="T131" s="38" t="n"/>
      <c r="U131" s="54">
        <f>IF(OR(T131="",AC131="발주완료",AC131="취소"),"",TODAY()+T131)</f>
        <v/>
      </c>
      <c r="V131" s="50">
        <f>IF(OR(U131="",NOT(ISNUMBER($K$2))),"",IF(U131&lt;=$K$2,"가능","초과 "&amp;(U131-$K$2)&amp;"일"))</f>
        <v/>
      </c>
      <c r="W131" s="34" t="n"/>
      <c r="X131" s="34" t="n"/>
      <c r="Y131" s="34" t="n"/>
      <c r="Z131" s="56" t="n"/>
      <c r="AA131" s="54">
        <f>IF(OR(Z131="",Y131=""),"",Z131+Y131)</f>
        <v/>
      </c>
      <c r="AB131" s="36" t="n"/>
      <c r="AC131" s="34" t="n"/>
      <c r="AD131" s="36" t="n"/>
      <c r="AE131" s="50">
        <f>IF(F131="","",B131&amp;"#"&amp;IF(D131="",F131,D131))</f>
        <v/>
      </c>
      <c r="AF131" s="50">
        <f>IF(AE131="","",AE131&amp;"|"&amp;M131)</f>
        <v/>
      </c>
      <c r="AG131" s="50">
        <f>IF(AE131="","",IF(COUNTIF($AE$6:AE131,AE131)=1,1,0))</f>
        <v/>
      </c>
      <c r="AH131" s="50">
        <f>IF(AE131="","",COUNTIF($AE$6:$AE$205,AE131))</f>
        <v/>
      </c>
      <c r="AI131" s="50">
        <f>IF(AE131="","",IF(AND(AG131=1,AH131&gt;1),COUNTIFS($AG$6:AG131,1,$AH$6:AH131,"&gt;1"),""))</f>
        <v/>
      </c>
      <c r="AJ131" s="50">
        <f>IF(AG131=1,IF(COUNTIFS($AE$6:$AE$205,AE131,$N$6:$N$205,"견적접수")&gt;0,1,0),"")</f>
        <v/>
      </c>
      <c r="AK131" s="50">
        <f>IF(OR(R131="",N131&lt;&gt;"견적접수"),"",IF(AND(R131=_xlfn.MINIFS($R$6:$R$205,$AE$6:$AE$205,AE131,$N$6:$N$205,"견적접수"),COUNTIFS($AE$5:AE130,AE131,$R$5:R130,R131,$N$5:N130,"견적접수")=0),1,""))</f>
        <v/>
      </c>
    </row>
    <row r="132">
      <c r="A132" s="50">
        <f>IF(F132="","",ROW()-5)</f>
        <v/>
      </c>
      <c r="B132" s="34" t="n"/>
      <c r="C132" s="34" t="n"/>
      <c r="D132" s="34" t="n"/>
      <c r="E132" s="34" t="n"/>
      <c r="F132" s="36" t="n"/>
      <c r="G132" s="36" t="n"/>
      <c r="H132" s="36" t="n"/>
      <c r="I132" s="36" t="n"/>
      <c r="J132" s="36" t="n"/>
      <c r="K132" s="34" t="n"/>
      <c r="L132" s="34" t="n"/>
      <c r="M132" s="34" t="n"/>
      <c r="N132" s="34" t="n"/>
      <c r="O132" s="50">
        <f>IF(N(AH132)&gt;1,"중복 "&amp;AH132&amp;"곳"&amp;IF(AK132=1," · 최저가",IF(AND(N132="견적접수",R132&lt;&gt;"")," · 비쌈","")),"")</f>
        <v/>
      </c>
      <c r="P132" s="34" t="n"/>
      <c r="Q132" s="51" t="n"/>
      <c r="R132" s="52">
        <f>IF(OR(Q132="",P132=""),"",IFERROR(IF(VLOOKUP(P132,설정!$K$5:$L$9,2,0)&gt;0,Q132*VLOOKUP(P132,설정!$K$5:$L$9,2,0),""),""))</f>
        <v/>
      </c>
      <c r="S132" s="53">
        <f>IF(OR(R132="",K132=""),"",R132*K132)</f>
        <v/>
      </c>
      <c r="T132" s="38" t="n"/>
      <c r="U132" s="54">
        <f>IF(OR(T132="",AC132="발주완료",AC132="취소"),"",TODAY()+T132)</f>
        <v/>
      </c>
      <c r="V132" s="50">
        <f>IF(OR(U132="",NOT(ISNUMBER($K$2))),"",IF(U132&lt;=$K$2,"가능","초과 "&amp;(U132-$K$2)&amp;"일"))</f>
        <v/>
      </c>
      <c r="W132" s="34" t="n"/>
      <c r="X132" s="34" t="n"/>
      <c r="Y132" s="34" t="n"/>
      <c r="Z132" s="56" t="n"/>
      <c r="AA132" s="54">
        <f>IF(OR(Z132="",Y132=""),"",Z132+Y132)</f>
        <v/>
      </c>
      <c r="AB132" s="36" t="n"/>
      <c r="AC132" s="34" t="n"/>
      <c r="AD132" s="36" t="n"/>
      <c r="AE132" s="50">
        <f>IF(F132="","",B132&amp;"#"&amp;IF(D132="",F132,D132))</f>
        <v/>
      </c>
      <c r="AF132" s="50">
        <f>IF(AE132="","",AE132&amp;"|"&amp;M132)</f>
        <v/>
      </c>
      <c r="AG132" s="50">
        <f>IF(AE132="","",IF(COUNTIF($AE$6:AE132,AE132)=1,1,0))</f>
        <v/>
      </c>
      <c r="AH132" s="50">
        <f>IF(AE132="","",COUNTIF($AE$6:$AE$205,AE132))</f>
        <v/>
      </c>
      <c r="AI132" s="50">
        <f>IF(AE132="","",IF(AND(AG132=1,AH132&gt;1),COUNTIFS($AG$6:AG132,1,$AH$6:AH132,"&gt;1"),""))</f>
        <v/>
      </c>
      <c r="AJ132" s="50">
        <f>IF(AG132=1,IF(COUNTIFS($AE$6:$AE$205,AE132,$N$6:$N$205,"견적접수")&gt;0,1,0),"")</f>
        <v/>
      </c>
      <c r="AK132" s="50">
        <f>IF(OR(R132="",N132&lt;&gt;"견적접수"),"",IF(AND(R132=_xlfn.MINIFS($R$6:$R$205,$AE$6:$AE$205,AE132,$N$6:$N$205,"견적접수"),COUNTIFS($AE$5:AE131,AE132,$R$5:R131,R132,$N$5:N131,"견적접수")=0),1,""))</f>
        <v/>
      </c>
    </row>
    <row r="133">
      <c r="A133" s="50">
        <f>IF(F133="","",ROW()-5)</f>
        <v/>
      </c>
      <c r="B133" s="34" t="n"/>
      <c r="C133" s="34" t="n"/>
      <c r="D133" s="34" t="n"/>
      <c r="E133" s="34" t="n"/>
      <c r="F133" s="36" t="n"/>
      <c r="G133" s="36" t="n"/>
      <c r="H133" s="36" t="n"/>
      <c r="I133" s="36" t="n"/>
      <c r="J133" s="36" t="n"/>
      <c r="K133" s="34" t="n"/>
      <c r="L133" s="34" t="n"/>
      <c r="M133" s="34" t="n"/>
      <c r="N133" s="34" t="n"/>
      <c r="O133" s="50">
        <f>IF(N(AH133)&gt;1,"중복 "&amp;AH133&amp;"곳"&amp;IF(AK133=1," · 최저가",IF(AND(N133="견적접수",R133&lt;&gt;"")," · 비쌈","")),"")</f>
        <v/>
      </c>
      <c r="P133" s="34" t="n"/>
      <c r="Q133" s="51" t="n"/>
      <c r="R133" s="52">
        <f>IF(OR(Q133="",P133=""),"",IFERROR(IF(VLOOKUP(P133,설정!$K$5:$L$9,2,0)&gt;0,Q133*VLOOKUP(P133,설정!$K$5:$L$9,2,0),""),""))</f>
        <v/>
      </c>
      <c r="S133" s="53">
        <f>IF(OR(R133="",K133=""),"",R133*K133)</f>
        <v/>
      </c>
      <c r="T133" s="38" t="n"/>
      <c r="U133" s="54">
        <f>IF(OR(T133="",AC133="발주완료",AC133="취소"),"",TODAY()+T133)</f>
        <v/>
      </c>
      <c r="V133" s="50">
        <f>IF(OR(U133="",NOT(ISNUMBER($K$2))),"",IF(U133&lt;=$K$2,"가능","초과 "&amp;(U133-$K$2)&amp;"일"))</f>
        <v/>
      </c>
      <c r="W133" s="34" t="n"/>
      <c r="X133" s="34" t="n"/>
      <c r="Y133" s="34" t="n"/>
      <c r="Z133" s="56" t="n"/>
      <c r="AA133" s="54">
        <f>IF(OR(Z133="",Y133=""),"",Z133+Y133)</f>
        <v/>
      </c>
      <c r="AB133" s="36" t="n"/>
      <c r="AC133" s="34" t="n"/>
      <c r="AD133" s="36" t="n"/>
      <c r="AE133" s="50">
        <f>IF(F133="","",B133&amp;"#"&amp;IF(D133="",F133,D133))</f>
        <v/>
      </c>
      <c r="AF133" s="50">
        <f>IF(AE133="","",AE133&amp;"|"&amp;M133)</f>
        <v/>
      </c>
      <c r="AG133" s="50">
        <f>IF(AE133="","",IF(COUNTIF($AE$6:AE133,AE133)=1,1,0))</f>
        <v/>
      </c>
      <c r="AH133" s="50">
        <f>IF(AE133="","",COUNTIF($AE$6:$AE$205,AE133))</f>
        <v/>
      </c>
      <c r="AI133" s="50">
        <f>IF(AE133="","",IF(AND(AG133=1,AH133&gt;1),COUNTIFS($AG$6:AG133,1,$AH$6:AH133,"&gt;1"),""))</f>
        <v/>
      </c>
      <c r="AJ133" s="50">
        <f>IF(AG133=1,IF(COUNTIFS($AE$6:$AE$205,AE133,$N$6:$N$205,"견적접수")&gt;0,1,0),"")</f>
        <v/>
      </c>
      <c r="AK133" s="50">
        <f>IF(OR(R133="",N133&lt;&gt;"견적접수"),"",IF(AND(R133=_xlfn.MINIFS($R$6:$R$205,$AE$6:$AE$205,AE133,$N$6:$N$205,"견적접수"),COUNTIFS($AE$5:AE132,AE133,$R$5:R132,R133,$N$5:N132,"견적접수")=0),1,""))</f>
        <v/>
      </c>
    </row>
    <row r="134">
      <c r="A134" s="50">
        <f>IF(F134="","",ROW()-5)</f>
        <v/>
      </c>
      <c r="B134" s="34" t="n"/>
      <c r="C134" s="34" t="n"/>
      <c r="D134" s="34" t="n"/>
      <c r="E134" s="34" t="n"/>
      <c r="F134" s="36" t="n"/>
      <c r="G134" s="36" t="n"/>
      <c r="H134" s="36" t="n"/>
      <c r="I134" s="36" t="n"/>
      <c r="J134" s="36" t="n"/>
      <c r="K134" s="34" t="n"/>
      <c r="L134" s="34" t="n"/>
      <c r="M134" s="34" t="n"/>
      <c r="N134" s="34" t="n"/>
      <c r="O134" s="50">
        <f>IF(N(AH134)&gt;1,"중복 "&amp;AH134&amp;"곳"&amp;IF(AK134=1," · 최저가",IF(AND(N134="견적접수",R134&lt;&gt;"")," · 비쌈","")),"")</f>
        <v/>
      </c>
      <c r="P134" s="34" t="n"/>
      <c r="Q134" s="51" t="n"/>
      <c r="R134" s="52">
        <f>IF(OR(Q134="",P134=""),"",IFERROR(IF(VLOOKUP(P134,설정!$K$5:$L$9,2,0)&gt;0,Q134*VLOOKUP(P134,설정!$K$5:$L$9,2,0),""),""))</f>
        <v/>
      </c>
      <c r="S134" s="53">
        <f>IF(OR(R134="",K134=""),"",R134*K134)</f>
        <v/>
      </c>
      <c r="T134" s="38" t="n"/>
      <c r="U134" s="54">
        <f>IF(OR(T134="",AC134="발주완료",AC134="취소"),"",TODAY()+T134)</f>
        <v/>
      </c>
      <c r="V134" s="50">
        <f>IF(OR(U134="",NOT(ISNUMBER($K$2))),"",IF(U134&lt;=$K$2,"가능","초과 "&amp;(U134-$K$2)&amp;"일"))</f>
        <v/>
      </c>
      <c r="W134" s="34" t="n"/>
      <c r="X134" s="34" t="n"/>
      <c r="Y134" s="34" t="n"/>
      <c r="Z134" s="56" t="n"/>
      <c r="AA134" s="54">
        <f>IF(OR(Z134="",Y134=""),"",Z134+Y134)</f>
        <v/>
      </c>
      <c r="AB134" s="36" t="n"/>
      <c r="AC134" s="34" t="n"/>
      <c r="AD134" s="36" t="n"/>
      <c r="AE134" s="50">
        <f>IF(F134="","",B134&amp;"#"&amp;IF(D134="",F134,D134))</f>
        <v/>
      </c>
      <c r="AF134" s="50">
        <f>IF(AE134="","",AE134&amp;"|"&amp;M134)</f>
        <v/>
      </c>
      <c r="AG134" s="50">
        <f>IF(AE134="","",IF(COUNTIF($AE$6:AE134,AE134)=1,1,0))</f>
        <v/>
      </c>
      <c r="AH134" s="50">
        <f>IF(AE134="","",COUNTIF($AE$6:$AE$205,AE134))</f>
        <v/>
      </c>
      <c r="AI134" s="50">
        <f>IF(AE134="","",IF(AND(AG134=1,AH134&gt;1),COUNTIFS($AG$6:AG134,1,$AH$6:AH134,"&gt;1"),""))</f>
        <v/>
      </c>
      <c r="AJ134" s="50">
        <f>IF(AG134=1,IF(COUNTIFS($AE$6:$AE$205,AE134,$N$6:$N$205,"견적접수")&gt;0,1,0),"")</f>
        <v/>
      </c>
      <c r="AK134" s="50">
        <f>IF(OR(R134="",N134&lt;&gt;"견적접수"),"",IF(AND(R134=_xlfn.MINIFS($R$6:$R$205,$AE$6:$AE$205,AE134,$N$6:$N$205,"견적접수"),COUNTIFS($AE$5:AE133,AE134,$R$5:R133,R134,$N$5:N133,"견적접수")=0),1,""))</f>
        <v/>
      </c>
    </row>
    <row r="135">
      <c r="A135" s="50">
        <f>IF(F135="","",ROW()-5)</f>
        <v/>
      </c>
      <c r="B135" s="34" t="n"/>
      <c r="C135" s="34" t="n"/>
      <c r="D135" s="34" t="n"/>
      <c r="E135" s="34" t="n"/>
      <c r="F135" s="36" t="n"/>
      <c r="G135" s="36" t="n"/>
      <c r="H135" s="36" t="n"/>
      <c r="I135" s="36" t="n"/>
      <c r="J135" s="36" t="n"/>
      <c r="K135" s="34" t="n"/>
      <c r="L135" s="34" t="n"/>
      <c r="M135" s="34" t="n"/>
      <c r="N135" s="34" t="n"/>
      <c r="O135" s="50">
        <f>IF(N(AH135)&gt;1,"중복 "&amp;AH135&amp;"곳"&amp;IF(AK135=1," · 최저가",IF(AND(N135="견적접수",R135&lt;&gt;"")," · 비쌈","")),"")</f>
        <v/>
      </c>
      <c r="P135" s="34" t="n"/>
      <c r="Q135" s="51" t="n"/>
      <c r="R135" s="52">
        <f>IF(OR(Q135="",P135=""),"",IFERROR(IF(VLOOKUP(P135,설정!$K$5:$L$9,2,0)&gt;0,Q135*VLOOKUP(P135,설정!$K$5:$L$9,2,0),""),""))</f>
        <v/>
      </c>
      <c r="S135" s="53">
        <f>IF(OR(R135="",K135=""),"",R135*K135)</f>
        <v/>
      </c>
      <c r="T135" s="38" t="n"/>
      <c r="U135" s="54">
        <f>IF(OR(T135="",AC135="발주완료",AC135="취소"),"",TODAY()+T135)</f>
        <v/>
      </c>
      <c r="V135" s="50">
        <f>IF(OR(U135="",NOT(ISNUMBER($K$2))),"",IF(U135&lt;=$K$2,"가능","초과 "&amp;(U135-$K$2)&amp;"일"))</f>
        <v/>
      </c>
      <c r="W135" s="34" t="n"/>
      <c r="X135" s="34" t="n"/>
      <c r="Y135" s="34" t="n"/>
      <c r="Z135" s="56" t="n"/>
      <c r="AA135" s="54">
        <f>IF(OR(Z135="",Y135=""),"",Z135+Y135)</f>
        <v/>
      </c>
      <c r="AB135" s="36" t="n"/>
      <c r="AC135" s="34" t="n"/>
      <c r="AD135" s="36" t="n"/>
      <c r="AE135" s="50">
        <f>IF(F135="","",B135&amp;"#"&amp;IF(D135="",F135,D135))</f>
        <v/>
      </c>
      <c r="AF135" s="50">
        <f>IF(AE135="","",AE135&amp;"|"&amp;M135)</f>
        <v/>
      </c>
      <c r="AG135" s="50">
        <f>IF(AE135="","",IF(COUNTIF($AE$6:AE135,AE135)=1,1,0))</f>
        <v/>
      </c>
      <c r="AH135" s="50">
        <f>IF(AE135="","",COUNTIF($AE$6:$AE$205,AE135))</f>
        <v/>
      </c>
      <c r="AI135" s="50">
        <f>IF(AE135="","",IF(AND(AG135=1,AH135&gt;1),COUNTIFS($AG$6:AG135,1,$AH$6:AH135,"&gt;1"),""))</f>
        <v/>
      </c>
      <c r="AJ135" s="50">
        <f>IF(AG135=1,IF(COUNTIFS($AE$6:$AE$205,AE135,$N$6:$N$205,"견적접수")&gt;0,1,0),"")</f>
        <v/>
      </c>
      <c r="AK135" s="50">
        <f>IF(OR(R135="",N135&lt;&gt;"견적접수"),"",IF(AND(R135=_xlfn.MINIFS($R$6:$R$205,$AE$6:$AE$205,AE135,$N$6:$N$205,"견적접수"),COUNTIFS($AE$5:AE134,AE135,$R$5:R134,R135,$N$5:N134,"견적접수")=0),1,""))</f>
        <v/>
      </c>
    </row>
    <row r="136">
      <c r="A136" s="50">
        <f>IF(F136="","",ROW()-5)</f>
        <v/>
      </c>
      <c r="B136" s="34" t="n"/>
      <c r="C136" s="34" t="n"/>
      <c r="D136" s="34" t="n"/>
      <c r="E136" s="34" t="n"/>
      <c r="F136" s="36" t="n"/>
      <c r="G136" s="36" t="n"/>
      <c r="H136" s="36" t="n"/>
      <c r="I136" s="36" t="n"/>
      <c r="J136" s="36" t="n"/>
      <c r="K136" s="34" t="n"/>
      <c r="L136" s="34" t="n"/>
      <c r="M136" s="34" t="n"/>
      <c r="N136" s="34" t="n"/>
      <c r="O136" s="50">
        <f>IF(N(AH136)&gt;1,"중복 "&amp;AH136&amp;"곳"&amp;IF(AK136=1," · 최저가",IF(AND(N136="견적접수",R136&lt;&gt;"")," · 비쌈","")),"")</f>
        <v/>
      </c>
      <c r="P136" s="34" t="n"/>
      <c r="Q136" s="51" t="n"/>
      <c r="R136" s="52">
        <f>IF(OR(Q136="",P136=""),"",IFERROR(IF(VLOOKUP(P136,설정!$K$5:$L$9,2,0)&gt;0,Q136*VLOOKUP(P136,설정!$K$5:$L$9,2,0),""),""))</f>
        <v/>
      </c>
      <c r="S136" s="53">
        <f>IF(OR(R136="",K136=""),"",R136*K136)</f>
        <v/>
      </c>
      <c r="T136" s="38" t="n"/>
      <c r="U136" s="54">
        <f>IF(OR(T136="",AC136="발주완료",AC136="취소"),"",TODAY()+T136)</f>
        <v/>
      </c>
      <c r="V136" s="50">
        <f>IF(OR(U136="",NOT(ISNUMBER($K$2))),"",IF(U136&lt;=$K$2,"가능","초과 "&amp;(U136-$K$2)&amp;"일"))</f>
        <v/>
      </c>
      <c r="W136" s="34" t="n"/>
      <c r="X136" s="34" t="n"/>
      <c r="Y136" s="34" t="n"/>
      <c r="Z136" s="56" t="n"/>
      <c r="AA136" s="54">
        <f>IF(OR(Z136="",Y136=""),"",Z136+Y136)</f>
        <v/>
      </c>
      <c r="AB136" s="36" t="n"/>
      <c r="AC136" s="34" t="n"/>
      <c r="AD136" s="36" t="n"/>
      <c r="AE136" s="50">
        <f>IF(F136="","",B136&amp;"#"&amp;IF(D136="",F136,D136))</f>
        <v/>
      </c>
      <c r="AF136" s="50">
        <f>IF(AE136="","",AE136&amp;"|"&amp;M136)</f>
        <v/>
      </c>
      <c r="AG136" s="50">
        <f>IF(AE136="","",IF(COUNTIF($AE$6:AE136,AE136)=1,1,0))</f>
        <v/>
      </c>
      <c r="AH136" s="50">
        <f>IF(AE136="","",COUNTIF($AE$6:$AE$205,AE136))</f>
        <v/>
      </c>
      <c r="AI136" s="50">
        <f>IF(AE136="","",IF(AND(AG136=1,AH136&gt;1),COUNTIFS($AG$6:AG136,1,$AH$6:AH136,"&gt;1"),""))</f>
        <v/>
      </c>
      <c r="AJ136" s="50">
        <f>IF(AG136=1,IF(COUNTIFS($AE$6:$AE$205,AE136,$N$6:$N$205,"견적접수")&gt;0,1,0),"")</f>
        <v/>
      </c>
      <c r="AK136" s="50">
        <f>IF(OR(R136="",N136&lt;&gt;"견적접수"),"",IF(AND(R136=_xlfn.MINIFS($R$6:$R$205,$AE$6:$AE$205,AE136,$N$6:$N$205,"견적접수"),COUNTIFS($AE$5:AE135,AE136,$R$5:R135,R136,$N$5:N135,"견적접수")=0),1,""))</f>
        <v/>
      </c>
    </row>
    <row r="137">
      <c r="A137" s="50">
        <f>IF(F137="","",ROW()-5)</f>
        <v/>
      </c>
      <c r="B137" s="34" t="n"/>
      <c r="C137" s="34" t="n"/>
      <c r="D137" s="34" t="n"/>
      <c r="E137" s="34" t="n"/>
      <c r="F137" s="36" t="n"/>
      <c r="G137" s="36" t="n"/>
      <c r="H137" s="36" t="n"/>
      <c r="I137" s="36" t="n"/>
      <c r="J137" s="36" t="n"/>
      <c r="K137" s="34" t="n"/>
      <c r="L137" s="34" t="n"/>
      <c r="M137" s="34" t="n"/>
      <c r="N137" s="34" t="n"/>
      <c r="O137" s="50">
        <f>IF(N(AH137)&gt;1,"중복 "&amp;AH137&amp;"곳"&amp;IF(AK137=1," · 최저가",IF(AND(N137="견적접수",R137&lt;&gt;"")," · 비쌈","")),"")</f>
        <v/>
      </c>
      <c r="P137" s="34" t="n"/>
      <c r="Q137" s="51" t="n"/>
      <c r="R137" s="52">
        <f>IF(OR(Q137="",P137=""),"",IFERROR(IF(VLOOKUP(P137,설정!$K$5:$L$9,2,0)&gt;0,Q137*VLOOKUP(P137,설정!$K$5:$L$9,2,0),""),""))</f>
        <v/>
      </c>
      <c r="S137" s="53">
        <f>IF(OR(R137="",K137=""),"",R137*K137)</f>
        <v/>
      </c>
      <c r="T137" s="38" t="n"/>
      <c r="U137" s="54">
        <f>IF(OR(T137="",AC137="발주완료",AC137="취소"),"",TODAY()+T137)</f>
        <v/>
      </c>
      <c r="V137" s="50">
        <f>IF(OR(U137="",NOT(ISNUMBER($K$2))),"",IF(U137&lt;=$K$2,"가능","초과 "&amp;(U137-$K$2)&amp;"일"))</f>
        <v/>
      </c>
      <c r="W137" s="34" t="n"/>
      <c r="X137" s="34" t="n"/>
      <c r="Y137" s="34" t="n"/>
      <c r="Z137" s="56" t="n"/>
      <c r="AA137" s="54">
        <f>IF(OR(Z137="",Y137=""),"",Z137+Y137)</f>
        <v/>
      </c>
      <c r="AB137" s="36" t="n"/>
      <c r="AC137" s="34" t="n"/>
      <c r="AD137" s="36" t="n"/>
      <c r="AE137" s="50">
        <f>IF(F137="","",B137&amp;"#"&amp;IF(D137="",F137,D137))</f>
        <v/>
      </c>
      <c r="AF137" s="50">
        <f>IF(AE137="","",AE137&amp;"|"&amp;M137)</f>
        <v/>
      </c>
      <c r="AG137" s="50">
        <f>IF(AE137="","",IF(COUNTIF($AE$6:AE137,AE137)=1,1,0))</f>
        <v/>
      </c>
      <c r="AH137" s="50">
        <f>IF(AE137="","",COUNTIF($AE$6:$AE$205,AE137))</f>
        <v/>
      </c>
      <c r="AI137" s="50">
        <f>IF(AE137="","",IF(AND(AG137=1,AH137&gt;1),COUNTIFS($AG$6:AG137,1,$AH$6:AH137,"&gt;1"),""))</f>
        <v/>
      </c>
      <c r="AJ137" s="50">
        <f>IF(AG137=1,IF(COUNTIFS($AE$6:$AE$205,AE137,$N$6:$N$205,"견적접수")&gt;0,1,0),"")</f>
        <v/>
      </c>
      <c r="AK137" s="50">
        <f>IF(OR(R137="",N137&lt;&gt;"견적접수"),"",IF(AND(R137=_xlfn.MINIFS($R$6:$R$205,$AE$6:$AE$205,AE137,$N$6:$N$205,"견적접수"),COUNTIFS($AE$5:AE136,AE137,$R$5:R136,R137,$N$5:N136,"견적접수")=0),1,""))</f>
        <v/>
      </c>
    </row>
    <row r="138">
      <c r="A138" s="50">
        <f>IF(F138="","",ROW()-5)</f>
        <v/>
      </c>
      <c r="B138" s="34" t="n"/>
      <c r="C138" s="34" t="n"/>
      <c r="D138" s="34" t="n"/>
      <c r="E138" s="34" t="n"/>
      <c r="F138" s="36" t="n"/>
      <c r="G138" s="36" t="n"/>
      <c r="H138" s="36" t="n"/>
      <c r="I138" s="36" t="n"/>
      <c r="J138" s="36" t="n"/>
      <c r="K138" s="34" t="n"/>
      <c r="L138" s="34" t="n"/>
      <c r="M138" s="34" t="n"/>
      <c r="N138" s="34" t="n"/>
      <c r="O138" s="50">
        <f>IF(N(AH138)&gt;1,"중복 "&amp;AH138&amp;"곳"&amp;IF(AK138=1," · 최저가",IF(AND(N138="견적접수",R138&lt;&gt;"")," · 비쌈","")),"")</f>
        <v/>
      </c>
      <c r="P138" s="34" t="n"/>
      <c r="Q138" s="51" t="n"/>
      <c r="R138" s="52">
        <f>IF(OR(Q138="",P138=""),"",IFERROR(IF(VLOOKUP(P138,설정!$K$5:$L$9,2,0)&gt;0,Q138*VLOOKUP(P138,설정!$K$5:$L$9,2,0),""),""))</f>
        <v/>
      </c>
      <c r="S138" s="53">
        <f>IF(OR(R138="",K138=""),"",R138*K138)</f>
        <v/>
      </c>
      <c r="T138" s="38" t="n"/>
      <c r="U138" s="54">
        <f>IF(OR(T138="",AC138="발주완료",AC138="취소"),"",TODAY()+T138)</f>
        <v/>
      </c>
      <c r="V138" s="50">
        <f>IF(OR(U138="",NOT(ISNUMBER($K$2))),"",IF(U138&lt;=$K$2,"가능","초과 "&amp;(U138-$K$2)&amp;"일"))</f>
        <v/>
      </c>
      <c r="W138" s="34" t="n"/>
      <c r="X138" s="34" t="n"/>
      <c r="Y138" s="34" t="n"/>
      <c r="Z138" s="56" t="n"/>
      <c r="AA138" s="54">
        <f>IF(OR(Z138="",Y138=""),"",Z138+Y138)</f>
        <v/>
      </c>
      <c r="AB138" s="36" t="n"/>
      <c r="AC138" s="34" t="n"/>
      <c r="AD138" s="36" t="n"/>
      <c r="AE138" s="50">
        <f>IF(F138="","",B138&amp;"#"&amp;IF(D138="",F138,D138))</f>
        <v/>
      </c>
      <c r="AF138" s="50">
        <f>IF(AE138="","",AE138&amp;"|"&amp;M138)</f>
        <v/>
      </c>
      <c r="AG138" s="50">
        <f>IF(AE138="","",IF(COUNTIF($AE$6:AE138,AE138)=1,1,0))</f>
        <v/>
      </c>
      <c r="AH138" s="50">
        <f>IF(AE138="","",COUNTIF($AE$6:$AE$205,AE138))</f>
        <v/>
      </c>
      <c r="AI138" s="50">
        <f>IF(AE138="","",IF(AND(AG138=1,AH138&gt;1),COUNTIFS($AG$6:AG138,1,$AH$6:AH138,"&gt;1"),""))</f>
        <v/>
      </c>
      <c r="AJ138" s="50">
        <f>IF(AG138=1,IF(COUNTIFS($AE$6:$AE$205,AE138,$N$6:$N$205,"견적접수")&gt;0,1,0),"")</f>
        <v/>
      </c>
      <c r="AK138" s="50">
        <f>IF(OR(R138="",N138&lt;&gt;"견적접수"),"",IF(AND(R138=_xlfn.MINIFS($R$6:$R$205,$AE$6:$AE$205,AE138,$N$6:$N$205,"견적접수"),COUNTIFS($AE$5:AE137,AE138,$R$5:R137,R138,$N$5:N137,"견적접수")=0),1,""))</f>
        <v/>
      </c>
    </row>
    <row r="139">
      <c r="A139" s="50">
        <f>IF(F139="","",ROW()-5)</f>
        <v/>
      </c>
      <c r="B139" s="34" t="n"/>
      <c r="C139" s="34" t="n"/>
      <c r="D139" s="34" t="n"/>
      <c r="E139" s="34" t="n"/>
      <c r="F139" s="36" t="n"/>
      <c r="G139" s="36" t="n"/>
      <c r="H139" s="36" t="n"/>
      <c r="I139" s="36" t="n"/>
      <c r="J139" s="36" t="n"/>
      <c r="K139" s="34" t="n"/>
      <c r="L139" s="34" t="n"/>
      <c r="M139" s="34" t="n"/>
      <c r="N139" s="34" t="n"/>
      <c r="O139" s="50">
        <f>IF(N(AH139)&gt;1,"중복 "&amp;AH139&amp;"곳"&amp;IF(AK139=1," · 최저가",IF(AND(N139="견적접수",R139&lt;&gt;"")," · 비쌈","")),"")</f>
        <v/>
      </c>
      <c r="P139" s="34" t="n"/>
      <c r="Q139" s="51" t="n"/>
      <c r="R139" s="52">
        <f>IF(OR(Q139="",P139=""),"",IFERROR(IF(VLOOKUP(P139,설정!$K$5:$L$9,2,0)&gt;0,Q139*VLOOKUP(P139,설정!$K$5:$L$9,2,0),""),""))</f>
        <v/>
      </c>
      <c r="S139" s="53">
        <f>IF(OR(R139="",K139=""),"",R139*K139)</f>
        <v/>
      </c>
      <c r="T139" s="38" t="n"/>
      <c r="U139" s="54">
        <f>IF(OR(T139="",AC139="발주완료",AC139="취소"),"",TODAY()+T139)</f>
        <v/>
      </c>
      <c r="V139" s="50">
        <f>IF(OR(U139="",NOT(ISNUMBER($K$2))),"",IF(U139&lt;=$K$2,"가능","초과 "&amp;(U139-$K$2)&amp;"일"))</f>
        <v/>
      </c>
      <c r="W139" s="34" t="n"/>
      <c r="X139" s="34" t="n"/>
      <c r="Y139" s="34" t="n"/>
      <c r="Z139" s="56" t="n"/>
      <c r="AA139" s="54">
        <f>IF(OR(Z139="",Y139=""),"",Z139+Y139)</f>
        <v/>
      </c>
      <c r="AB139" s="36" t="n"/>
      <c r="AC139" s="34" t="n"/>
      <c r="AD139" s="36" t="n"/>
      <c r="AE139" s="50">
        <f>IF(F139="","",B139&amp;"#"&amp;IF(D139="",F139,D139))</f>
        <v/>
      </c>
      <c r="AF139" s="50">
        <f>IF(AE139="","",AE139&amp;"|"&amp;M139)</f>
        <v/>
      </c>
      <c r="AG139" s="50">
        <f>IF(AE139="","",IF(COUNTIF($AE$6:AE139,AE139)=1,1,0))</f>
        <v/>
      </c>
      <c r="AH139" s="50">
        <f>IF(AE139="","",COUNTIF($AE$6:$AE$205,AE139))</f>
        <v/>
      </c>
      <c r="AI139" s="50">
        <f>IF(AE139="","",IF(AND(AG139=1,AH139&gt;1),COUNTIFS($AG$6:AG139,1,$AH$6:AH139,"&gt;1"),""))</f>
        <v/>
      </c>
      <c r="AJ139" s="50">
        <f>IF(AG139=1,IF(COUNTIFS($AE$6:$AE$205,AE139,$N$6:$N$205,"견적접수")&gt;0,1,0),"")</f>
        <v/>
      </c>
      <c r="AK139" s="50">
        <f>IF(OR(R139="",N139&lt;&gt;"견적접수"),"",IF(AND(R139=_xlfn.MINIFS($R$6:$R$205,$AE$6:$AE$205,AE139,$N$6:$N$205,"견적접수"),COUNTIFS($AE$5:AE138,AE139,$R$5:R138,R139,$N$5:N138,"견적접수")=0),1,""))</f>
        <v/>
      </c>
    </row>
    <row r="140">
      <c r="A140" s="50">
        <f>IF(F140="","",ROW()-5)</f>
        <v/>
      </c>
      <c r="B140" s="34" t="n"/>
      <c r="C140" s="34" t="n"/>
      <c r="D140" s="34" t="n"/>
      <c r="E140" s="34" t="n"/>
      <c r="F140" s="36" t="n"/>
      <c r="G140" s="36" t="n"/>
      <c r="H140" s="36" t="n"/>
      <c r="I140" s="36" t="n"/>
      <c r="J140" s="36" t="n"/>
      <c r="K140" s="34" t="n"/>
      <c r="L140" s="34" t="n"/>
      <c r="M140" s="34" t="n"/>
      <c r="N140" s="34" t="n"/>
      <c r="O140" s="50">
        <f>IF(N(AH140)&gt;1,"중복 "&amp;AH140&amp;"곳"&amp;IF(AK140=1," · 최저가",IF(AND(N140="견적접수",R140&lt;&gt;"")," · 비쌈","")),"")</f>
        <v/>
      </c>
      <c r="P140" s="34" t="n"/>
      <c r="Q140" s="51" t="n"/>
      <c r="R140" s="52">
        <f>IF(OR(Q140="",P140=""),"",IFERROR(IF(VLOOKUP(P140,설정!$K$5:$L$9,2,0)&gt;0,Q140*VLOOKUP(P140,설정!$K$5:$L$9,2,0),""),""))</f>
        <v/>
      </c>
      <c r="S140" s="53">
        <f>IF(OR(R140="",K140=""),"",R140*K140)</f>
        <v/>
      </c>
      <c r="T140" s="38" t="n"/>
      <c r="U140" s="54">
        <f>IF(OR(T140="",AC140="발주완료",AC140="취소"),"",TODAY()+T140)</f>
        <v/>
      </c>
      <c r="V140" s="50">
        <f>IF(OR(U140="",NOT(ISNUMBER($K$2))),"",IF(U140&lt;=$K$2,"가능","초과 "&amp;(U140-$K$2)&amp;"일"))</f>
        <v/>
      </c>
      <c r="W140" s="34" t="n"/>
      <c r="X140" s="34" t="n"/>
      <c r="Y140" s="34" t="n"/>
      <c r="Z140" s="56" t="n"/>
      <c r="AA140" s="54">
        <f>IF(OR(Z140="",Y140=""),"",Z140+Y140)</f>
        <v/>
      </c>
      <c r="AB140" s="36" t="n"/>
      <c r="AC140" s="34" t="n"/>
      <c r="AD140" s="36" t="n"/>
      <c r="AE140" s="50">
        <f>IF(F140="","",B140&amp;"#"&amp;IF(D140="",F140,D140))</f>
        <v/>
      </c>
      <c r="AF140" s="50">
        <f>IF(AE140="","",AE140&amp;"|"&amp;M140)</f>
        <v/>
      </c>
      <c r="AG140" s="50">
        <f>IF(AE140="","",IF(COUNTIF($AE$6:AE140,AE140)=1,1,0))</f>
        <v/>
      </c>
      <c r="AH140" s="50">
        <f>IF(AE140="","",COUNTIF($AE$6:$AE$205,AE140))</f>
        <v/>
      </c>
      <c r="AI140" s="50">
        <f>IF(AE140="","",IF(AND(AG140=1,AH140&gt;1),COUNTIFS($AG$6:AG140,1,$AH$6:AH140,"&gt;1"),""))</f>
        <v/>
      </c>
      <c r="AJ140" s="50">
        <f>IF(AG140=1,IF(COUNTIFS($AE$6:$AE$205,AE140,$N$6:$N$205,"견적접수")&gt;0,1,0),"")</f>
        <v/>
      </c>
      <c r="AK140" s="50">
        <f>IF(OR(R140="",N140&lt;&gt;"견적접수"),"",IF(AND(R140=_xlfn.MINIFS($R$6:$R$205,$AE$6:$AE$205,AE140,$N$6:$N$205,"견적접수"),COUNTIFS($AE$5:AE139,AE140,$R$5:R139,R140,$N$5:N139,"견적접수")=0),1,""))</f>
        <v/>
      </c>
    </row>
    <row r="141">
      <c r="A141" s="50">
        <f>IF(F141="","",ROW()-5)</f>
        <v/>
      </c>
      <c r="B141" s="34" t="n"/>
      <c r="C141" s="34" t="n"/>
      <c r="D141" s="34" t="n"/>
      <c r="E141" s="34" t="n"/>
      <c r="F141" s="36" t="n"/>
      <c r="G141" s="36" t="n"/>
      <c r="H141" s="36" t="n"/>
      <c r="I141" s="36" t="n"/>
      <c r="J141" s="36" t="n"/>
      <c r="K141" s="34" t="n"/>
      <c r="L141" s="34" t="n"/>
      <c r="M141" s="34" t="n"/>
      <c r="N141" s="34" t="n"/>
      <c r="O141" s="50">
        <f>IF(N(AH141)&gt;1,"중복 "&amp;AH141&amp;"곳"&amp;IF(AK141=1," · 최저가",IF(AND(N141="견적접수",R141&lt;&gt;"")," · 비쌈","")),"")</f>
        <v/>
      </c>
      <c r="P141" s="34" t="n"/>
      <c r="Q141" s="51" t="n"/>
      <c r="R141" s="52">
        <f>IF(OR(Q141="",P141=""),"",IFERROR(IF(VLOOKUP(P141,설정!$K$5:$L$9,2,0)&gt;0,Q141*VLOOKUP(P141,설정!$K$5:$L$9,2,0),""),""))</f>
        <v/>
      </c>
      <c r="S141" s="53">
        <f>IF(OR(R141="",K141=""),"",R141*K141)</f>
        <v/>
      </c>
      <c r="T141" s="38" t="n"/>
      <c r="U141" s="54">
        <f>IF(OR(T141="",AC141="발주완료",AC141="취소"),"",TODAY()+T141)</f>
        <v/>
      </c>
      <c r="V141" s="50">
        <f>IF(OR(U141="",NOT(ISNUMBER($K$2))),"",IF(U141&lt;=$K$2,"가능","초과 "&amp;(U141-$K$2)&amp;"일"))</f>
        <v/>
      </c>
      <c r="W141" s="34" t="n"/>
      <c r="X141" s="34" t="n"/>
      <c r="Y141" s="34" t="n"/>
      <c r="Z141" s="56" t="n"/>
      <c r="AA141" s="54">
        <f>IF(OR(Z141="",Y141=""),"",Z141+Y141)</f>
        <v/>
      </c>
      <c r="AB141" s="36" t="n"/>
      <c r="AC141" s="34" t="n"/>
      <c r="AD141" s="36" t="n"/>
      <c r="AE141" s="50">
        <f>IF(F141="","",B141&amp;"#"&amp;IF(D141="",F141,D141))</f>
        <v/>
      </c>
      <c r="AF141" s="50">
        <f>IF(AE141="","",AE141&amp;"|"&amp;M141)</f>
        <v/>
      </c>
      <c r="AG141" s="50">
        <f>IF(AE141="","",IF(COUNTIF($AE$6:AE141,AE141)=1,1,0))</f>
        <v/>
      </c>
      <c r="AH141" s="50">
        <f>IF(AE141="","",COUNTIF($AE$6:$AE$205,AE141))</f>
        <v/>
      </c>
      <c r="AI141" s="50">
        <f>IF(AE141="","",IF(AND(AG141=1,AH141&gt;1),COUNTIFS($AG$6:AG141,1,$AH$6:AH141,"&gt;1"),""))</f>
        <v/>
      </c>
      <c r="AJ141" s="50">
        <f>IF(AG141=1,IF(COUNTIFS($AE$6:$AE$205,AE141,$N$6:$N$205,"견적접수")&gt;0,1,0),"")</f>
        <v/>
      </c>
      <c r="AK141" s="50">
        <f>IF(OR(R141="",N141&lt;&gt;"견적접수"),"",IF(AND(R141=_xlfn.MINIFS($R$6:$R$205,$AE$6:$AE$205,AE141,$N$6:$N$205,"견적접수"),COUNTIFS($AE$5:AE140,AE141,$R$5:R140,R141,$N$5:N140,"견적접수")=0),1,""))</f>
        <v/>
      </c>
    </row>
    <row r="142">
      <c r="A142" s="50">
        <f>IF(F142="","",ROW()-5)</f>
        <v/>
      </c>
      <c r="B142" s="34" t="n"/>
      <c r="C142" s="34" t="n"/>
      <c r="D142" s="34" t="n"/>
      <c r="E142" s="34" t="n"/>
      <c r="F142" s="36" t="n"/>
      <c r="G142" s="36" t="n"/>
      <c r="H142" s="36" t="n"/>
      <c r="I142" s="36" t="n"/>
      <c r="J142" s="36" t="n"/>
      <c r="K142" s="34" t="n"/>
      <c r="L142" s="34" t="n"/>
      <c r="M142" s="34" t="n"/>
      <c r="N142" s="34" t="n"/>
      <c r="O142" s="50">
        <f>IF(N(AH142)&gt;1,"중복 "&amp;AH142&amp;"곳"&amp;IF(AK142=1," · 최저가",IF(AND(N142="견적접수",R142&lt;&gt;"")," · 비쌈","")),"")</f>
        <v/>
      </c>
      <c r="P142" s="34" t="n"/>
      <c r="Q142" s="51" t="n"/>
      <c r="R142" s="52">
        <f>IF(OR(Q142="",P142=""),"",IFERROR(IF(VLOOKUP(P142,설정!$K$5:$L$9,2,0)&gt;0,Q142*VLOOKUP(P142,설정!$K$5:$L$9,2,0),""),""))</f>
        <v/>
      </c>
      <c r="S142" s="53">
        <f>IF(OR(R142="",K142=""),"",R142*K142)</f>
        <v/>
      </c>
      <c r="T142" s="38" t="n"/>
      <c r="U142" s="54">
        <f>IF(OR(T142="",AC142="발주완료",AC142="취소"),"",TODAY()+T142)</f>
        <v/>
      </c>
      <c r="V142" s="50">
        <f>IF(OR(U142="",NOT(ISNUMBER($K$2))),"",IF(U142&lt;=$K$2,"가능","초과 "&amp;(U142-$K$2)&amp;"일"))</f>
        <v/>
      </c>
      <c r="W142" s="34" t="n"/>
      <c r="X142" s="34" t="n"/>
      <c r="Y142" s="34" t="n"/>
      <c r="Z142" s="56" t="n"/>
      <c r="AA142" s="54">
        <f>IF(OR(Z142="",Y142=""),"",Z142+Y142)</f>
        <v/>
      </c>
      <c r="AB142" s="36" t="n"/>
      <c r="AC142" s="34" t="n"/>
      <c r="AD142" s="36" t="n"/>
      <c r="AE142" s="50">
        <f>IF(F142="","",B142&amp;"#"&amp;IF(D142="",F142,D142))</f>
        <v/>
      </c>
      <c r="AF142" s="50">
        <f>IF(AE142="","",AE142&amp;"|"&amp;M142)</f>
        <v/>
      </c>
      <c r="AG142" s="50">
        <f>IF(AE142="","",IF(COUNTIF($AE$6:AE142,AE142)=1,1,0))</f>
        <v/>
      </c>
      <c r="AH142" s="50">
        <f>IF(AE142="","",COUNTIF($AE$6:$AE$205,AE142))</f>
        <v/>
      </c>
      <c r="AI142" s="50">
        <f>IF(AE142="","",IF(AND(AG142=1,AH142&gt;1),COUNTIFS($AG$6:AG142,1,$AH$6:AH142,"&gt;1"),""))</f>
        <v/>
      </c>
      <c r="AJ142" s="50">
        <f>IF(AG142=1,IF(COUNTIFS($AE$6:$AE$205,AE142,$N$6:$N$205,"견적접수")&gt;0,1,0),"")</f>
        <v/>
      </c>
      <c r="AK142" s="50">
        <f>IF(OR(R142="",N142&lt;&gt;"견적접수"),"",IF(AND(R142=_xlfn.MINIFS($R$6:$R$205,$AE$6:$AE$205,AE142,$N$6:$N$205,"견적접수"),COUNTIFS($AE$5:AE141,AE142,$R$5:R141,R142,$N$5:N141,"견적접수")=0),1,""))</f>
        <v/>
      </c>
    </row>
    <row r="143">
      <c r="A143" s="50">
        <f>IF(F143="","",ROW()-5)</f>
        <v/>
      </c>
      <c r="B143" s="34" t="n"/>
      <c r="C143" s="34" t="n"/>
      <c r="D143" s="34" t="n"/>
      <c r="E143" s="34" t="n"/>
      <c r="F143" s="36" t="n"/>
      <c r="G143" s="36" t="n"/>
      <c r="H143" s="36" t="n"/>
      <c r="I143" s="36" t="n"/>
      <c r="J143" s="36" t="n"/>
      <c r="K143" s="34" t="n"/>
      <c r="L143" s="34" t="n"/>
      <c r="M143" s="34" t="n"/>
      <c r="N143" s="34" t="n"/>
      <c r="O143" s="50">
        <f>IF(N(AH143)&gt;1,"중복 "&amp;AH143&amp;"곳"&amp;IF(AK143=1," · 최저가",IF(AND(N143="견적접수",R143&lt;&gt;"")," · 비쌈","")),"")</f>
        <v/>
      </c>
      <c r="P143" s="34" t="n"/>
      <c r="Q143" s="51" t="n"/>
      <c r="R143" s="52">
        <f>IF(OR(Q143="",P143=""),"",IFERROR(IF(VLOOKUP(P143,설정!$K$5:$L$9,2,0)&gt;0,Q143*VLOOKUP(P143,설정!$K$5:$L$9,2,0),""),""))</f>
        <v/>
      </c>
      <c r="S143" s="53">
        <f>IF(OR(R143="",K143=""),"",R143*K143)</f>
        <v/>
      </c>
      <c r="T143" s="38" t="n"/>
      <c r="U143" s="54">
        <f>IF(OR(T143="",AC143="발주완료",AC143="취소"),"",TODAY()+T143)</f>
        <v/>
      </c>
      <c r="V143" s="50">
        <f>IF(OR(U143="",NOT(ISNUMBER($K$2))),"",IF(U143&lt;=$K$2,"가능","초과 "&amp;(U143-$K$2)&amp;"일"))</f>
        <v/>
      </c>
      <c r="W143" s="34" t="n"/>
      <c r="X143" s="34" t="n"/>
      <c r="Y143" s="34" t="n"/>
      <c r="Z143" s="56" t="n"/>
      <c r="AA143" s="54">
        <f>IF(OR(Z143="",Y143=""),"",Z143+Y143)</f>
        <v/>
      </c>
      <c r="AB143" s="36" t="n"/>
      <c r="AC143" s="34" t="n"/>
      <c r="AD143" s="36" t="n"/>
      <c r="AE143" s="50">
        <f>IF(F143="","",B143&amp;"#"&amp;IF(D143="",F143,D143))</f>
        <v/>
      </c>
      <c r="AF143" s="50">
        <f>IF(AE143="","",AE143&amp;"|"&amp;M143)</f>
        <v/>
      </c>
      <c r="AG143" s="50">
        <f>IF(AE143="","",IF(COUNTIF($AE$6:AE143,AE143)=1,1,0))</f>
        <v/>
      </c>
      <c r="AH143" s="50">
        <f>IF(AE143="","",COUNTIF($AE$6:$AE$205,AE143))</f>
        <v/>
      </c>
      <c r="AI143" s="50">
        <f>IF(AE143="","",IF(AND(AG143=1,AH143&gt;1),COUNTIFS($AG$6:AG143,1,$AH$6:AH143,"&gt;1"),""))</f>
        <v/>
      </c>
      <c r="AJ143" s="50">
        <f>IF(AG143=1,IF(COUNTIFS($AE$6:$AE$205,AE143,$N$6:$N$205,"견적접수")&gt;0,1,0),"")</f>
        <v/>
      </c>
      <c r="AK143" s="50">
        <f>IF(OR(R143="",N143&lt;&gt;"견적접수"),"",IF(AND(R143=_xlfn.MINIFS($R$6:$R$205,$AE$6:$AE$205,AE143,$N$6:$N$205,"견적접수"),COUNTIFS($AE$5:AE142,AE143,$R$5:R142,R143,$N$5:N142,"견적접수")=0),1,""))</f>
        <v/>
      </c>
    </row>
    <row r="144">
      <c r="A144" s="50">
        <f>IF(F144="","",ROW()-5)</f>
        <v/>
      </c>
      <c r="B144" s="34" t="n"/>
      <c r="C144" s="34" t="n"/>
      <c r="D144" s="34" t="n"/>
      <c r="E144" s="34" t="n"/>
      <c r="F144" s="36" t="n"/>
      <c r="G144" s="36" t="n"/>
      <c r="H144" s="36" t="n"/>
      <c r="I144" s="36" t="n"/>
      <c r="J144" s="36" t="n"/>
      <c r="K144" s="34" t="n"/>
      <c r="L144" s="34" t="n"/>
      <c r="M144" s="34" t="n"/>
      <c r="N144" s="34" t="n"/>
      <c r="O144" s="50">
        <f>IF(N(AH144)&gt;1,"중복 "&amp;AH144&amp;"곳"&amp;IF(AK144=1," · 최저가",IF(AND(N144="견적접수",R144&lt;&gt;"")," · 비쌈","")),"")</f>
        <v/>
      </c>
      <c r="P144" s="34" t="n"/>
      <c r="Q144" s="51" t="n"/>
      <c r="R144" s="52">
        <f>IF(OR(Q144="",P144=""),"",IFERROR(IF(VLOOKUP(P144,설정!$K$5:$L$9,2,0)&gt;0,Q144*VLOOKUP(P144,설정!$K$5:$L$9,2,0),""),""))</f>
        <v/>
      </c>
      <c r="S144" s="53">
        <f>IF(OR(R144="",K144=""),"",R144*K144)</f>
        <v/>
      </c>
      <c r="T144" s="38" t="n"/>
      <c r="U144" s="54">
        <f>IF(OR(T144="",AC144="발주완료",AC144="취소"),"",TODAY()+T144)</f>
        <v/>
      </c>
      <c r="V144" s="50">
        <f>IF(OR(U144="",NOT(ISNUMBER($K$2))),"",IF(U144&lt;=$K$2,"가능","초과 "&amp;(U144-$K$2)&amp;"일"))</f>
        <v/>
      </c>
      <c r="W144" s="34" t="n"/>
      <c r="X144" s="34" t="n"/>
      <c r="Y144" s="34" t="n"/>
      <c r="Z144" s="56" t="n"/>
      <c r="AA144" s="54">
        <f>IF(OR(Z144="",Y144=""),"",Z144+Y144)</f>
        <v/>
      </c>
      <c r="AB144" s="36" t="n"/>
      <c r="AC144" s="34" t="n"/>
      <c r="AD144" s="36" t="n"/>
      <c r="AE144" s="50">
        <f>IF(F144="","",B144&amp;"#"&amp;IF(D144="",F144,D144))</f>
        <v/>
      </c>
      <c r="AF144" s="50">
        <f>IF(AE144="","",AE144&amp;"|"&amp;M144)</f>
        <v/>
      </c>
      <c r="AG144" s="50">
        <f>IF(AE144="","",IF(COUNTIF($AE$6:AE144,AE144)=1,1,0))</f>
        <v/>
      </c>
      <c r="AH144" s="50">
        <f>IF(AE144="","",COUNTIF($AE$6:$AE$205,AE144))</f>
        <v/>
      </c>
      <c r="AI144" s="50">
        <f>IF(AE144="","",IF(AND(AG144=1,AH144&gt;1),COUNTIFS($AG$6:AG144,1,$AH$6:AH144,"&gt;1"),""))</f>
        <v/>
      </c>
      <c r="AJ144" s="50">
        <f>IF(AG144=1,IF(COUNTIFS($AE$6:$AE$205,AE144,$N$6:$N$205,"견적접수")&gt;0,1,0),"")</f>
        <v/>
      </c>
      <c r="AK144" s="50">
        <f>IF(OR(R144="",N144&lt;&gt;"견적접수"),"",IF(AND(R144=_xlfn.MINIFS($R$6:$R$205,$AE$6:$AE$205,AE144,$N$6:$N$205,"견적접수"),COUNTIFS($AE$5:AE143,AE144,$R$5:R143,R144,$N$5:N143,"견적접수")=0),1,""))</f>
        <v/>
      </c>
    </row>
    <row r="145">
      <c r="A145" s="50">
        <f>IF(F145="","",ROW()-5)</f>
        <v/>
      </c>
      <c r="B145" s="34" t="n"/>
      <c r="C145" s="34" t="n"/>
      <c r="D145" s="34" t="n"/>
      <c r="E145" s="34" t="n"/>
      <c r="F145" s="36" t="n"/>
      <c r="G145" s="36" t="n"/>
      <c r="H145" s="36" t="n"/>
      <c r="I145" s="36" t="n"/>
      <c r="J145" s="36" t="n"/>
      <c r="K145" s="34" t="n"/>
      <c r="L145" s="34" t="n"/>
      <c r="M145" s="34" t="n"/>
      <c r="N145" s="34" t="n"/>
      <c r="O145" s="50">
        <f>IF(N(AH145)&gt;1,"중복 "&amp;AH145&amp;"곳"&amp;IF(AK145=1," · 최저가",IF(AND(N145="견적접수",R145&lt;&gt;"")," · 비쌈","")),"")</f>
        <v/>
      </c>
      <c r="P145" s="34" t="n"/>
      <c r="Q145" s="51" t="n"/>
      <c r="R145" s="52">
        <f>IF(OR(Q145="",P145=""),"",IFERROR(IF(VLOOKUP(P145,설정!$K$5:$L$9,2,0)&gt;0,Q145*VLOOKUP(P145,설정!$K$5:$L$9,2,0),""),""))</f>
        <v/>
      </c>
      <c r="S145" s="53">
        <f>IF(OR(R145="",K145=""),"",R145*K145)</f>
        <v/>
      </c>
      <c r="T145" s="38" t="n"/>
      <c r="U145" s="54">
        <f>IF(OR(T145="",AC145="발주완료",AC145="취소"),"",TODAY()+T145)</f>
        <v/>
      </c>
      <c r="V145" s="50">
        <f>IF(OR(U145="",NOT(ISNUMBER($K$2))),"",IF(U145&lt;=$K$2,"가능","초과 "&amp;(U145-$K$2)&amp;"일"))</f>
        <v/>
      </c>
      <c r="W145" s="34" t="n"/>
      <c r="X145" s="34" t="n"/>
      <c r="Y145" s="34" t="n"/>
      <c r="Z145" s="56" t="n"/>
      <c r="AA145" s="54">
        <f>IF(OR(Z145="",Y145=""),"",Z145+Y145)</f>
        <v/>
      </c>
      <c r="AB145" s="36" t="n"/>
      <c r="AC145" s="34" t="n"/>
      <c r="AD145" s="36" t="n"/>
      <c r="AE145" s="50">
        <f>IF(F145="","",B145&amp;"#"&amp;IF(D145="",F145,D145))</f>
        <v/>
      </c>
      <c r="AF145" s="50">
        <f>IF(AE145="","",AE145&amp;"|"&amp;M145)</f>
        <v/>
      </c>
      <c r="AG145" s="50">
        <f>IF(AE145="","",IF(COUNTIF($AE$6:AE145,AE145)=1,1,0))</f>
        <v/>
      </c>
      <c r="AH145" s="50">
        <f>IF(AE145="","",COUNTIF($AE$6:$AE$205,AE145))</f>
        <v/>
      </c>
      <c r="AI145" s="50">
        <f>IF(AE145="","",IF(AND(AG145=1,AH145&gt;1),COUNTIFS($AG$6:AG145,1,$AH$6:AH145,"&gt;1"),""))</f>
        <v/>
      </c>
      <c r="AJ145" s="50">
        <f>IF(AG145=1,IF(COUNTIFS($AE$6:$AE$205,AE145,$N$6:$N$205,"견적접수")&gt;0,1,0),"")</f>
        <v/>
      </c>
      <c r="AK145" s="50">
        <f>IF(OR(R145="",N145&lt;&gt;"견적접수"),"",IF(AND(R145=_xlfn.MINIFS($R$6:$R$205,$AE$6:$AE$205,AE145,$N$6:$N$205,"견적접수"),COUNTIFS($AE$5:AE144,AE145,$R$5:R144,R145,$N$5:N144,"견적접수")=0),1,""))</f>
        <v/>
      </c>
    </row>
    <row r="146">
      <c r="A146" s="50">
        <f>IF(F146="","",ROW()-5)</f>
        <v/>
      </c>
      <c r="B146" s="34" t="n"/>
      <c r="C146" s="34" t="n"/>
      <c r="D146" s="34" t="n"/>
      <c r="E146" s="34" t="n"/>
      <c r="F146" s="36" t="n"/>
      <c r="G146" s="36" t="n"/>
      <c r="H146" s="36" t="n"/>
      <c r="I146" s="36" t="n"/>
      <c r="J146" s="36" t="n"/>
      <c r="K146" s="34" t="n"/>
      <c r="L146" s="34" t="n"/>
      <c r="M146" s="34" t="n"/>
      <c r="N146" s="34" t="n"/>
      <c r="O146" s="50">
        <f>IF(N(AH146)&gt;1,"중복 "&amp;AH146&amp;"곳"&amp;IF(AK146=1," · 최저가",IF(AND(N146="견적접수",R146&lt;&gt;"")," · 비쌈","")),"")</f>
        <v/>
      </c>
      <c r="P146" s="34" t="n"/>
      <c r="Q146" s="51" t="n"/>
      <c r="R146" s="52">
        <f>IF(OR(Q146="",P146=""),"",IFERROR(IF(VLOOKUP(P146,설정!$K$5:$L$9,2,0)&gt;0,Q146*VLOOKUP(P146,설정!$K$5:$L$9,2,0),""),""))</f>
        <v/>
      </c>
      <c r="S146" s="53">
        <f>IF(OR(R146="",K146=""),"",R146*K146)</f>
        <v/>
      </c>
      <c r="T146" s="38" t="n"/>
      <c r="U146" s="54">
        <f>IF(OR(T146="",AC146="발주완료",AC146="취소"),"",TODAY()+T146)</f>
        <v/>
      </c>
      <c r="V146" s="50">
        <f>IF(OR(U146="",NOT(ISNUMBER($K$2))),"",IF(U146&lt;=$K$2,"가능","초과 "&amp;(U146-$K$2)&amp;"일"))</f>
        <v/>
      </c>
      <c r="W146" s="34" t="n"/>
      <c r="X146" s="34" t="n"/>
      <c r="Y146" s="34" t="n"/>
      <c r="Z146" s="56" t="n"/>
      <c r="AA146" s="54">
        <f>IF(OR(Z146="",Y146=""),"",Z146+Y146)</f>
        <v/>
      </c>
      <c r="AB146" s="36" t="n"/>
      <c r="AC146" s="34" t="n"/>
      <c r="AD146" s="36" t="n"/>
      <c r="AE146" s="50">
        <f>IF(F146="","",B146&amp;"#"&amp;IF(D146="",F146,D146))</f>
        <v/>
      </c>
      <c r="AF146" s="50">
        <f>IF(AE146="","",AE146&amp;"|"&amp;M146)</f>
        <v/>
      </c>
      <c r="AG146" s="50">
        <f>IF(AE146="","",IF(COUNTIF($AE$6:AE146,AE146)=1,1,0))</f>
        <v/>
      </c>
      <c r="AH146" s="50">
        <f>IF(AE146="","",COUNTIF($AE$6:$AE$205,AE146))</f>
        <v/>
      </c>
      <c r="AI146" s="50">
        <f>IF(AE146="","",IF(AND(AG146=1,AH146&gt;1),COUNTIFS($AG$6:AG146,1,$AH$6:AH146,"&gt;1"),""))</f>
        <v/>
      </c>
      <c r="AJ146" s="50">
        <f>IF(AG146=1,IF(COUNTIFS($AE$6:$AE$205,AE146,$N$6:$N$205,"견적접수")&gt;0,1,0),"")</f>
        <v/>
      </c>
      <c r="AK146" s="50">
        <f>IF(OR(R146="",N146&lt;&gt;"견적접수"),"",IF(AND(R146=_xlfn.MINIFS($R$6:$R$205,$AE$6:$AE$205,AE146,$N$6:$N$205,"견적접수"),COUNTIFS($AE$5:AE145,AE146,$R$5:R145,R146,$N$5:N145,"견적접수")=0),1,""))</f>
        <v/>
      </c>
    </row>
    <row r="147">
      <c r="A147" s="50">
        <f>IF(F147="","",ROW()-5)</f>
        <v/>
      </c>
      <c r="B147" s="34" t="n"/>
      <c r="C147" s="34" t="n"/>
      <c r="D147" s="34" t="n"/>
      <c r="E147" s="34" t="n"/>
      <c r="F147" s="36" t="n"/>
      <c r="G147" s="36" t="n"/>
      <c r="H147" s="36" t="n"/>
      <c r="I147" s="36" t="n"/>
      <c r="J147" s="36" t="n"/>
      <c r="K147" s="34" t="n"/>
      <c r="L147" s="34" t="n"/>
      <c r="M147" s="34" t="n"/>
      <c r="N147" s="34" t="n"/>
      <c r="O147" s="50">
        <f>IF(N(AH147)&gt;1,"중복 "&amp;AH147&amp;"곳"&amp;IF(AK147=1," · 최저가",IF(AND(N147="견적접수",R147&lt;&gt;"")," · 비쌈","")),"")</f>
        <v/>
      </c>
      <c r="P147" s="34" t="n"/>
      <c r="Q147" s="51" t="n"/>
      <c r="R147" s="52">
        <f>IF(OR(Q147="",P147=""),"",IFERROR(IF(VLOOKUP(P147,설정!$K$5:$L$9,2,0)&gt;0,Q147*VLOOKUP(P147,설정!$K$5:$L$9,2,0),""),""))</f>
        <v/>
      </c>
      <c r="S147" s="53">
        <f>IF(OR(R147="",K147=""),"",R147*K147)</f>
        <v/>
      </c>
      <c r="T147" s="38" t="n"/>
      <c r="U147" s="54">
        <f>IF(OR(T147="",AC147="발주완료",AC147="취소"),"",TODAY()+T147)</f>
        <v/>
      </c>
      <c r="V147" s="50">
        <f>IF(OR(U147="",NOT(ISNUMBER($K$2))),"",IF(U147&lt;=$K$2,"가능","초과 "&amp;(U147-$K$2)&amp;"일"))</f>
        <v/>
      </c>
      <c r="W147" s="34" t="n"/>
      <c r="X147" s="34" t="n"/>
      <c r="Y147" s="34" t="n"/>
      <c r="Z147" s="56" t="n"/>
      <c r="AA147" s="54">
        <f>IF(OR(Z147="",Y147=""),"",Z147+Y147)</f>
        <v/>
      </c>
      <c r="AB147" s="36" t="n"/>
      <c r="AC147" s="34" t="n"/>
      <c r="AD147" s="36" t="n"/>
      <c r="AE147" s="50">
        <f>IF(F147="","",B147&amp;"#"&amp;IF(D147="",F147,D147))</f>
        <v/>
      </c>
      <c r="AF147" s="50">
        <f>IF(AE147="","",AE147&amp;"|"&amp;M147)</f>
        <v/>
      </c>
      <c r="AG147" s="50">
        <f>IF(AE147="","",IF(COUNTIF($AE$6:AE147,AE147)=1,1,0))</f>
        <v/>
      </c>
      <c r="AH147" s="50">
        <f>IF(AE147="","",COUNTIF($AE$6:$AE$205,AE147))</f>
        <v/>
      </c>
      <c r="AI147" s="50">
        <f>IF(AE147="","",IF(AND(AG147=1,AH147&gt;1),COUNTIFS($AG$6:AG147,1,$AH$6:AH147,"&gt;1"),""))</f>
        <v/>
      </c>
      <c r="AJ147" s="50">
        <f>IF(AG147=1,IF(COUNTIFS($AE$6:$AE$205,AE147,$N$6:$N$205,"견적접수")&gt;0,1,0),"")</f>
        <v/>
      </c>
      <c r="AK147" s="50">
        <f>IF(OR(R147="",N147&lt;&gt;"견적접수"),"",IF(AND(R147=_xlfn.MINIFS($R$6:$R$205,$AE$6:$AE$205,AE147,$N$6:$N$205,"견적접수"),COUNTIFS($AE$5:AE146,AE147,$R$5:R146,R147,$N$5:N146,"견적접수")=0),1,""))</f>
        <v/>
      </c>
    </row>
    <row r="148">
      <c r="A148" s="50">
        <f>IF(F148="","",ROW()-5)</f>
        <v/>
      </c>
      <c r="B148" s="34" t="n"/>
      <c r="C148" s="34" t="n"/>
      <c r="D148" s="34" t="n"/>
      <c r="E148" s="34" t="n"/>
      <c r="F148" s="36" t="n"/>
      <c r="G148" s="36" t="n"/>
      <c r="H148" s="36" t="n"/>
      <c r="I148" s="36" t="n"/>
      <c r="J148" s="36" t="n"/>
      <c r="K148" s="34" t="n"/>
      <c r="L148" s="34" t="n"/>
      <c r="M148" s="34" t="n"/>
      <c r="N148" s="34" t="n"/>
      <c r="O148" s="50">
        <f>IF(N(AH148)&gt;1,"중복 "&amp;AH148&amp;"곳"&amp;IF(AK148=1," · 최저가",IF(AND(N148="견적접수",R148&lt;&gt;"")," · 비쌈","")),"")</f>
        <v/>
      </c>
      <c r="P148" s="34" t="n"/>
      <c r="Q148" s="51" t="n"/>
      <c r="R148" s="52">
        <f>IF(OR(Q148="",P148=""),"",IFERROR(IF(VLOOKUP(P148,설정!$K$5:$L$9,2,0)&gt;0,Q148*VLOOKUP(P148,설정!$K$5:$L$9,2,0),""),""))</f>
        <v/>
      </c>
      <c r="S148" s="53">
        <f>IF(OR(R148="",K148=""),"",R148*K148)</f>
        <v/>
      </c>
      <c r="T148" s="38" t="n"/>
      <c r="U148" s="54">
        <f>IF(OR(T148="",AC148="발주완료",AC148="취소"),"",TODAY()+T148)</f>
        <v/>
      </c>
      <c r="V148" s="50">
        <f>IF(OR(U148="",NOT(ISNUMBER($K$2))),"",IF(U148&lt;=$K$2,"가능","초과 "&amp;(U148-$K$2)&amp;"일"))</f>
        <v/>
      </c>
      <c r="W148" s="34" t="n"/>
      <c r="X148" s="34" t="n"/>
      <c r="Y148" s="34" t="n"/>
      <c r="Z148" s="56" t="n"/>
      <c r="AA148" s="54">
        <f>IF(OR(Z148="",Y148=""),"",Z148+Y148)</f>
        <v/>
      </c>
      <c r="AB148" s="36" t="n"/>
      <c r="AC148" s="34" t="n"/>
      <c r="AD148" s="36" t="n"/>
      <c r="AE148" s="50">
        <f>IF(F148="","",B148&amp;"#"&amp;IF(D148="",F148,D148))</f>
        <v/>
      </c>
      <c r="AF148" s="50">
        <f>IF(AE148="","",AE148&amp;"|"&amp;M148)</f>
        <v/>
      </c>
      <c r="AG148" s="50">
        <f>IF(AE148="","",IF(COUNTIF($AE$6:AE148,AE148)=1,1,0))</f>
        <v/>
      </c>
      <c r="AH148" s="50">
        <f>IF(AE148="","",COUNTIF($AE$6:$AE$205,AE148))</f>
        <v/>
      </c>
      <c r="AI148" s="50">
        <f>IF(AE148="","",IF(AND(AG148=1,AH148&gt;1),COUNTIFS($AG$6:AG148,1,$AH$6:AH148,"&gt;1"),""))</f>
        <v/>
      </c>
      <c r="AJ148" s="50">
        <f>IF(AG148=1,IF(COUNTIFS($AE$6:$AE$205,AE148,$N$6:$N$205,"견적접수")&gt;0,1,0),"")</f>
        <v/>
      </c>
      <c r="AK148" s="50">
        <f>IF(OR(R148="",N148&lt;&gt;"견적접수"),"",IF(AND(R148=_xlfn.MINIFS($R$6:$R$205,$AE$6:$AE$205,AE148,$N$6:$N$205,"견적접수"),COUNTIFS($AE$5:AE147,AE148,$R$5:R147,R148,$N$5:N147,"견적접수")=0),1,""))</f>
        <v/>
      </c>
    </row>
    <row r="149">
      <c r="A149" s="50">
        <f>IF(F149="","",ROW()-5)</f>
        <v/>
      </c>
      <c r="B149" s="34" t="n"/>
      <c r="C149" s="34" t="n"/>
      <c r="D149" s="34" t="n"/>
      <c r="E149" s="34" t="n"/>
      <c r="F149" s="36" t="n"/>
      <c r="G149" s="36" t="n"/>
      <c r="H149" s="36" t="n"/>
      <c r="I149" s="36" t="n"/>
      <c r="J149" s="36" t="n"/>
      <c r="K149" s="34" t="n"/>
      <c r="L149" s="34" t="n"/>
      <c r="M149" s="34" t="n"/>
      <c r="N149" s="34" t="n"/>
      <c r="O149" s="50">
        <f>IF(N(AH149)&gt;1,"중복 "&amp;AH149&amp;"곳"&amp;IF(AK149=1," · 최저가",IF(AND(N149="견적접수",R149&lt;&gt;"")," · 비쌈","")),"")</f>
        <v/>
      </c>
      <c r="P149" s="34" t="n"/>
      <c r="Q149" s="51" t="n"/>
      <c r="R149" s="52">
        <f>IF(OR(Q149="",P149=""),"",IFERROR(IF(VLOOKUP(P149,설정!$K$5:$L$9,2,0)&gt;0,Q149*VLOOKUP(P149,설정!$K$5:$L$9,2,0),""),""))</f>
        <v/>
      </c>
      <c r="S149" s="53">
        <f>IF(OR(R149="",K149=""),"",R149*K149)</f>
        <v/>
      </c>
      <c r="T149" s="38" t="n"/>
      <c r="U149" s="54">
        <f>IF(OR(T149="",AC149="발주완료",AC149="취소"),"",TODAY()+T149)</f>
        <v/>
      </c>
      <c r="V149" s="50">
        <f>IF(OR(U149="",NOT(ISNUMBER($K$2))),"",IF(U149&lt;=$K$2,"가능","초과 "&amp;(U149-$K$2)&amp;"일"))</f>
        <v/>
      </c>
      <c r="W149" s="34" t="n"/>
      <c r="X149" s="34" t="n"/>
      <c r="Y149" s="34" t="n"/>
      <c r="Z149" s="56" t="n"/>
      <c r="AA149" s="54">
        <f>IF(OR(Z149="",Y149=""),"",Z149+Y149)</f>
        <v/>
      </c>
      <c r="AB149" s="36" t="n"/>
      <c r="AC149" s="34" t="n"/>
      <c r="AD149" s="36" t="n"/>
      <c r="AE149" s="50">
        <f>IF(F149="","",B149&amp;"#"&amp;IF(D149="",F149,D149))</f>
        <v/>
      </c>
      <c r="AF149" s="50">
        <f>IF(AE149="","",AE149&amp;"|"&amp;M149)</f>
        <v/>
      </c>
      <c r="AG149" s="50">
        <f>IF(AE149="","",IF(COUNTIF($AE$6:AE149,AE149)=1,1,0))</f>
        <v/>
      </c>
      <c r="AH149" s="50">
        <f>IF(AE149="","",COUNTIF($AE$6:$AE$205,AE149))</f>
        <v/>
      </c>
      <c r="AI149" s="50">
        <f>IF(AE149="","",IF(AND(AG149=1,AH149&gt;1),COUNTIFS($AG$6:AG149,1,$AH$6:AH149,"&gt;1"),""))</f>
        <v/>
      </c>
      <c r="AJ149" s="50">
        <f>IF(AG149=1,IF(COUNTIFS($AE$6:$AE$205,AE149,$N$6:$N$205,"견적접수")&gt;0,1,0),"")</f>
        <v/>
      </c>
      <c r="AK149" s="50">
        <f>IF(OR(R149="",N149&lt;&gt;"견적접수"),"",IF(AND(R149=_xlfn.MINIFS($R$6:$R$205,$AE$6:$AE$205,AE149,$N$6:$N$205,"견적접수"),COUNTIFS($AE$5:AE148,AE149,$R$5:R148,R149,$N$5:N148,"견적접수")=0),1,""))</f>
        <v/>
      </c>
    </row>
    <row r="150">
      <c r="A150" s="50">
        <f>IF(F150="","",ROW()-5)</f>
        <v/>
      </c>
      <c r="B150" s="34" t="n"/>
      <c r="C150" s="34" t="n"/>
      <c r="D150" s="34" t="n"/>
      <c r="E150" s="34" t="n"/>
      <c r="F150" s="36" t="n"/>
      <c r="G150" s="36" t="n"/>
      <c r="H150" s="36" t="n"/>
      <c r="I150" s="36" t="n"/>
      <c r="J150" s="36" t="n"/>
      <c r="K150" s="34" t="n"/>
      <c r="L150" s="34" t="n"/>
      <c r="M150" s="34" t="n"/>
      <c r="N150" s="34" t="n"/>
      <c r="O150" s="50">
        <f>IF(N(AH150)&gt;1,"중복 "&amp;AH150&amp;"곳"&amp;IF(AK150=1," · 최저가",IF(AND(N150="견적접수",R150&lt;&gt;"")," · 비쌈","")),"")</f>
        <v/>
      </c>
      <c r="P150" s="34" t="n"/>
      <c r="Q150" s="51" t="n"/>
      <c r="R150" s="52">
        <f>IF(OR(Q150="",P150=""),"",IFERROR(IF(VLOOKUP(P150,설정!$K$5:$L$9,2,0)&gt;0,Q150*VLOOKUP(P150,설정!$K$5:$L$9,2,0),""),""))</f>
        <v/>
      </c>
      <c r="S150" s="53">
        <f>IF(OR(R150="",K150=""),"",R150*K150)</f>
        <v/>
      </c>
      <c r="T150" s="38" t="n"/>
      <c r="U150" s="54">
        <f>IF(OR(T150="",AC150="발주완료",AC150="취소"),"",TODAY()+T150)</f>
        <v/>
      </c>
      <c r="V150" s="50">
        <f>IF(OR(U150="",NOT(ISNUMBER($K$2))),"",IF(U150&lt;=$K$2,"가능","초과 "&amp;(U150-$K$2)&amp;"일"))</f>
        <v/>
      </c>
      <c r="W150" s="34" t="n"/>
      <c r="X150" s="34" t="n"/>
      <c r="Y150" s="34" t="n"/>
      <c r="Z150" s="56" t="n"/>
      <c r="AA150" s="54">
        <f>IF(OR(Z150="",Y150=""),"",Z150+Y150)</f>
        <v/>
      </c>
      <c r="AB150" s="36" t="n"/>
      <c r="AC150" s="34" t="n"/>
      <c r="AD150" s="36" t="n"/>
      <c r="AE150" s="50">
        <f>IF(F150="","",B150&amp;"#"&amp;IF(D150="",F150,D150))</f>
        <v/>
      </c>
      <c r="AF150" s="50">
        <f>IF(AE150="","",AE150&amp;"|"&amp;M150)</f>
        <v/>
      </c>
      <c r="AG150" s="50">
        <f>IF(AE150="","",IF(COUNTIF($AE$6:AE150,AE150)=1,1,0))</f>
        <v/>
      </c>
      <c r="AH150" s="50">
        <f>IF(AE150="","",COUNTIF($AE$6:$AE$205,AE150))</f>
        <v/>
      </c>
      <c r="AI150" s="50">
        <f>IF(AE150="","",IF(AND(AG150=1,AH150&gt;1),COUNTIFS($AG$6:AG150,1,$AH$6:AH150,"&gt;1"),""))</f>
        <v/>
      </c>
      <c r="AJ150" s="50">
        <f>IF(AG150=1,IF(COUNTIFS($AE$6:$AE$205,AE150,$N$6:$N$205,"견적접수")&gt;0,1,0),"")</f>
        <v/>
      </c>
      <c r="AK150" s="50">
        <f>IF(OR(R150="",N150&lt;&gt;"견적접수"),"",IF(AND(R150=_xlfn.MINIFS($R$6:$R$205,$AE$6:$AE$205,AE150,$N$6:$N$205,"견적접수"),COUNTIFS($AE$5:AE149,AE150,$R$5:R149,R150,$N$5:N149,"견적접수")=0),1,""))</f>
        <v/>
      </c>
    </row>
    <row r="151">
      <c r="A151" s="50">
        <f>IF(F151="","",ROW()-5)</f>
        <v/>
      </c>
      <c r="B151" s="34" t="n"/>
      <c r="C151" s="34" t="n"/>
      <c r="D151" s="34" t="n"/>
      <c r="E151" s="34" t="n"/>
      <c r="F151" s="36" t="n"/>
      <c r="G151" s="36" t="n"/>
      <c r="H151" s="36" t="n"/>
      <c r="I151" s="36" t="n"/>
      <c r="J151" s="36" t="n"/>
      <c r="K151" s="34" t="n"/>
      <c r="L151" s="34" t="n"/>
      <c r="M151" s="34" t="n"/>
      <c r="N151" s="34" t="n"/>
      <c r="O151" s="50">
        <f>IF(N(AH151)&gt;1,"중복 "&amp;AH151&amp;"곳"&amp;IF(AK151=1," · 최저가",IF(AND(N151="견적접수",R151&lt;&gt;"")," · 비쌈","")),"")</f>
        <v/>
      </c>
      <c r="P151" s="34" t="n"/>
      <c r="Q151" s="51" t="n"/>
      <c r="R151" s="52">
        <f>IF(OR(Q151="",P151=""),"",IFERROR(IF(VLOOKUP(P151,설정!$K$5:$L$9,2,0)&gt;0,Q151*VLOOKUP(P151,설정!$K$5:$L$9,2,0),""),""))</f>
        <v/>
      </c>
      <c r="S151" s="53">
        <f>IF(OR(R151="",K151=""),"",R151*K151)</f>
        <v/>
      </c>
      <c r="T151" s="38" t="n"/>
      <c r="U151" s="54">
        <f>IF(OR(T151="",AC151="발주완료",AC151="취소"),"",TODAY()+T151)</f>
        <v/>
      </c>
      <c r="V151" s="50">
        <f>IF(OR(U151="",NOT(ISNUMBER($K$2))),"",IF(U151&lt;=$K$2,"가능","초과 "&amp;(U151-$K$2)&amp;"일"))</f>
        <v/>
      </c>
      <c r="W151" s="34" t="n"/>
      <c r="X151" s="34" t="n"/>
      <c r="Y151" s="34" t="n"/>
      <c r="Z151" s="56" t="n"/>
      <c r="AA151" s="54">
        <f>IF(OR(Z151="",Y151=""),"",Z151+Y151)</f>
        <v/>
      </c>
      <c r="AB151" s="36" t="n"/>
      <c r="AC151" s="34" t="n"/>
      <c r="AD151" s="36" t="n"/>
      <c r="AE151" s="50">
        <f>IF(F151="","",B151&amp;"#"&amp;IF(D151="",F151,D151))</f>
        <v/>
      </c>
      <c r="AF151" s="50">
        <f>IF(AE151="","",AE151&amp;"|"&amp;M151)</f>
        <v/>
      </c>
      <c r="AG151" s="50">
        <f>IF(AE151="","",IF(COUNTIF($AE$6:AE151,AE151)=1,1,0))</f>
        <v/>
      </c>
      <c r="AH151" s="50">
        <f>IF(AE151="","",COUNTIF($AE$6:$AE$205,AE151))</f>
        <v/>
      </c>
      <c r="AI151" s="50">
        <f>IF(AE151="","",IF(AND(AG151=1,AH151&gt;1),COUNTIFS($AG$6:AG151,1,$AH$6:AH151,"&gt;1"),""))</f>
        <v/>
      </c>
      <c r="AJ151" s="50">
        <f>IF(AG151=1,IF(COUNTIFS($AE$6:$AE$205,AE151,$N$6:$N$205,"견적접수")&gt;0,1,0),"")</f>
        <v/>
      </c>
      <c r="AK151" s="50">
        <f>IF(OR(R151="",N151&lt;&gt;"견적접수"),"",IF(AND(R151=_xlfn.MINIFS($R$6:$R$205,$AE$6:$AE$205,AE151,$N$6:$N$205,"견적접수"),COUNTIFS($AE$5:AE150,AE151,$R$5:R150,R151,$N$5:N150,"견적접수")=0),1,""))</f>
        <v/>
      </c>
    </row>
    <row r="152">
      <c r="A152" s="50">
        <f>IF(F152="","",ROW()-5)</f>
        <v/>
      </c>
      <c r="B152" s="34" t="n"/>
      <c r="C152" s="34" t="n"/>
      <c r="D152" s="34" t="n"/>
      <c r="E152" s="34" t="n"/>
      <c r="F152" s="36" t="n"/>
      <c r="G152" s="36" t="n"/>
      <c r="H152" s="36" t="n"/>
      <c r="I152" s="36" t="n"/>
      <c r="J152" s="36" t="n"/>
      <c r="K152" s="34" t="n"/>
      <c r="L152" s="34" t="n"/>
      <c r="M152" s="34" t="n"/>
      <c r="N152" s="34" t="n"/>
      <c r="O152" s="50">
        <f>IF(N(AH152)&gt;1,"중복 "&amp;AH152&amp;"곳"&amp;IF(AK152=1," · 최저가",IF(AND(N152="견적접수",R152&lt;&gt;"")," · 비쌈","")),"")</f>
        <v/>
      </c>
      <c r="P152" s="34" t="n"/>
      <c r="Q152" s="51" t="n"/>
      <c r="R152" s="52">
        <f>IF(OR(Q152="",P152=""),"",IFERROR(IF(VLOOKUP(P152,설정!$K$5:$L$9,2,0)&gt;0,Q152*VLOOKUP(P152,설정!$K$5:$L$9,2,0),""),""))</f>
        <v/>
      </c>
      <c r="S152" s="53">
        <f>IF(OR(R152="",K152=""),"",R152*K152)</f>
        <v/>
      </c>
      <c r="T152" s="38" t="n"/>
      <c r="U152" s="54">
        <f>IF(OR(T152="",AC152="발주완료",AC152="취소"),"",TODAY()+T152)</f>
        <v/>
      </c>
      <c r="V152" s="50">
        <f>IF(OR(U152="",NOT(ISNUMBER($K$2))),"",IF(U152&lt;=$K$2,"가능","초과 "&amp;(U152-$K$2)&amp;"일"))</f>
        <v/>
      </c>
      <c r="W152" s="34" t="n"/>
      <c r="X152" s="34" t="n"/>
      <c r="Y152" s="34" t="n"/>
      <c r="Z152" s="56" t="n"/>
      <c r="AA152" s="54">
        <f>IF(OR(Z152="",Y152=""),"",Z152+Y152)</f>
        <v/>
      </c>
      <c r="AB152" s="36" t="n"/>
      <c r="AC152" s="34" t="n"/>
      <c r="AD152" s="36" t="n"/>
      <c r="AE152" s="50">
        <f>IF(F152="","",B152&amp;"#"&amp;IF(D152="",F152,D152))</f>
        <v/>
      </c>
      <c r="AF152" s="50">
        <f>IF(AE152="","",AE152&amp;"|"&amp;M152)</f>
        <v/>
      </c>
      <c r="AG152" s="50">
        <f>IF(AE152="","",IF(COUNTIF($AE$6:AE152,AE152)=1,1,0))</f>
        <v/>
      </c>
      <c r="AH152" s="50">
        <f>IF(AE152="","",COUNTIF($AE$6:$AE$205,AE152))</f>
        <v/>
      </c>
      <c r="AI152" s="50">
        <f>IF(AE152="","",IF(AND(AG152=1,AH152&gt;1),COUNTIFS($AG$6:AG152,1,$AH$6:AH152,"&gt;1"),""))</f>
        <v/>
      </c>
      <c r="AJ152" s="50">
        <f>IF(AG152=1,IF(COUNTIFS($AE$6:$AE$205,AE152,$N$6:$N$205,"견적접수")&gt;0,1,0),"")</f>
        <v/>
      </c>
      <c r="AK152" s="50">
        <f>IF(OR(R152="",N152&lt;&gt;"견적접수"),"",IF(AND(R152=_xlfn.MINIFS($R$6:$R$205,$AE$6:$AE$205,AE152,$N$6:$N$205,"견적접수"),COUNTIFS($AE$5:AE151,AE152,$R$5:R151,R152,$N$5:N151,"견적접수")=0),1,""))</f>
        <v/>
      </c>
    </row>
    <row r="153">
      <c r="A153" s="50">
        <f>IF(F153="","",ROW()-5)</f>
        <v/>
      </c>
      <c r="B153" s="34" t="n"/>
      <c r="C153" s="34" t="n"/>
      <c r="D153" s="34" t="n"/>
      <c r="E153" s="34" t="n"/>
      <c r="F153" s="36" t="n"/>
      <c r="G153" s="36" t="n"/>
      <c r="H153" s="36" t="n"/>
      <c r="I153" s="36" t="n"/>
      <c r="J153" s="36" t="n"/>
      <c r="K153" s="34" t="n"/>
      <c r="L153" s="34" t="n"/>
      <c r="M153" s="34" t="n"/>
      <c r="N153" s="34" t="n"/>
      <c r="O153" s="50">
        <f>IF(N(AH153)&gt;1,"중복 "&amp;AH153&amp;"곳"&amp;IF(AK153=1," · 최저가",IF(AND(N153="견적접수",R153&lt;&gt;"")," · 비쌈","")),"")</f>
        <v/>
      </c>
      <c r="P153" s="34" t="n"/>
      <c r="Q153" s="51" t="n"/>
      <c r="R153" s="52">
        <f>IF(OR(Q153="",P153=""),"",IFERROR(IF(VLOOKUP(P153,설정!$K$5:$L$9,2,0)&gt;0,Q153*VLOOKUP(P153,설정!$K$5:$L$9,2,0),""),""))</f>
        <v/>
      </c>
      <c r="S153" s="53">
        <f>IF(OR(R153="",K153=""),"",R153*K153)</f>
        <v/>
      </c>
      <c r="T153" s="38" t="n"/>
      <c r="U153" s="54">
        <f>IF(OR(T153="",AC153="발주완료",AC153="취소"),"",TODAY()+T153)</f>
        <v/>
      </c>
      <c r="V153" s="50">
        <f>IF(OR(U153="",NOT(ISNUMBER($K$2))),"",IF(U153&lt;=$K$2,"가능","초과 "&amp;(U153-$K$2)&amp;"일"))</f>
        <v/>
      </c>
      <c r="W153" s="34" t="n"/>
      <c r="X153" s="34" t="n"/>
      <c r="Y153" s="34" t="n"/>
      <c r="Z153" s="56" t="n"/>
      <c r="AA153" s="54">
        <f>IF(OR(Z153="",Y153=""),"",Z153+Y153)</f>
        <v/>
      </c>
      <c r="AB153" s="36" t="n"/>
      <c r="AC153" s="34" t="n"/>
      <c r="AD153" s="36" t="n"/>
      <c r="AE153" s="50">
        <f>IF(F153="","",B153&amp;"#"&amp;IF(D153="",F153,D153))</f>
        <v/>
      </c>
      <c r="AF153" s="50">
        <f>IF(AE153="","",AE153&amp;"|"&amp;M153)</f>
        <v/>
      </c>
      <c r="AG153" s="50">
        <f>IF(AE153="","",IF(COUNTIF($AE$6:AE153,AE153)=1,1,0))</f>
        <v/>
      </c>
      <c r="AH153" s="50">
        <f>IF(AE153="","",COUNTIF($AE$6:$AE$205,AE153))</f>
        <v/>
      </c>
      <c r="AI153" s="50">
        <f>IF(AE153="","",IF(AND(AG153=1,AH153&gt;1),COUNTIFS($AG$6:AG153,1,$AH$6:AH153,"&gt;1"),""))</f>
        <v/>
      </c>
      <c r="AJ153" s="50">
        <f>IF(AG153=1,IF(COUNTIFS($AE$6:$AE$205,AE153,$N$6:$N$205,"견적접수")&gt;0,1,0),"")</f>
        <v/>
      </c>
      <c r="AK153" s="50">
        <f>IF(OR(R153="",N153&lt;&gt;"견적접수"),"",IF(AND(R153=_xlfn.MINIFS($R$6:$R$205,$AE$6:$AE$205,AE153,$N$6:$N$205,"견적접수"),COUNTIFS($AE$5:AE152,AE153,$R$5:R152,R153,$N$5:N152,"견적접수")=0),1,""))</f>
        <v/>
      </c>
    </row>
    <row r="154">
      <c r="A154" s="50">
        <f>IF(F154="","",ROW()-5)</f>
        <v/>
      </c>
      <c r="B154" s="34" t="n"/>
      <c r="C154" s="34" t="n"/>
      <c r="D154" s="34" t="n"/>
      <c r="E154" s="34" t="n"/>
      <c r="F154" s="36" t="n"/>
      <c r="G154" s="36" t="n"/>
      <c r="H154" s="36" t="n"/>
      <c r="I154" s="36" t="n"/>
      <c r="J154" s="36" t="n"/>
      <c r="K154" s="34" t="n"/>
      <c r="L154" s="34" t="n"/>
      <c r="M154" s="34" t="n"/>
      <c r="N154" s="34" t="n"/>
      <c r="O154" s="50">
        <f>IF(N(AH154)&gt;1,"중복 "&amp;AH154&amp;"곳"&amp;IF(AK154=1," · 최저가",IF(AND(N154="견적접수",R154&lt;&gt;"")," · 비쌈","")),"")</f>
        <v/>
      </c>
      <c r="P154" s="34" t="n"/>
      <c r="Q154" s="51" t="n"/>
      <c r="R154" s="52">
        <f>IF(OR(Q154="",P154=""),"",IFERROR(IF(VLOOKUP(P154,설정!$K$5:$L$9,2,0)&gt;0,Q154*VLOOKUP(P154,설정!$K$5:$L$9,2,0),""),""))</f>
        <v/>
      </c>
      <c r="S154" s="53">
        <f>IF(OR(R154="",K154=""),"",R154*K154)</f>
        <v/>
      </c>
      <c r="T154" s="38" t="n"/>
      <c r="U154" s="54">
        <f>IF(OR(T154="",AC154="발주완료",AC154="취소"),"",TODAY()+T154)</f>
        <v/>
      </c>
      <c r="V154" s="50">
        <f>IF(OR(U154="",NOT(ISNUMBER($K$2))),"",IF(U154&lt;=$K$2,"가능","초과 "&amp;(U154-$K$2)&amp;"일"))</f>
        <v/>
      </c>
      <c r="W154" s="34" t="n"/>
      <c r="X154" s="34" t="n"/>
      <c r="Y154" s="34" t="n"/>
      <c r="Z154" s="56" t="n"/>
      <c r="AA154" s="54">
        <f>IF(OR(Z154="",Y154=""),"",Z154+Y154)</f>
        <v/>
      </c>
      <c r="AB154" s="36" t="n"/>
      <c r="AC154" s="34" t="n"/>
      <c r="AD154" s="36" t="n"/>
      <c r="AE154" s="50">
        <f>IF(F154="","",B154&amp;"#"&amp;IF(D154="",F154,D154))</f>
        <v/>
      </c>
      <c r="AF154" s="50">
        <f>IF(AE154="","",AE154&amp;"|"&amp;M154)</f>
        <v/>
      </c>
      <c r="AG154" s="50">
        <f>IF(AE154="","",IF(COUNTIF($AE$6:AE154,AE154)=1,1,0))</f>
        <v/>
      </c>
      <c r="AH154" s="50">
        <f>IF(AE154="","",COUNTIF($AE$6:$AE$205,AE154))</f>
        <v/>
      </c>
      <c r="AI154" s="50">
        <f>IF(AE154="","",IF(AND(AG154=1,AH154&gt;1),COUNTIFS($AG$6:AG154,1,$AH$6:AH154,"&gt;1"),""))</f>
        <v/>
      </c>
      <c r="AJ154" s="50">
        <f>IF(AG154=1,IF(COUNTIFS($AE$6:$AE$205,AE154,$N$6:$N$205,"견적접수")&gt;0,1,0),"")</f>
        <v/>
      </c>
      <c r="AK154" s="50">
        <f>IF(OR(R154="",N154&lt;&gt;"견적접수"),"",IF(AND(R154=_xlfn.MINIFS($R$6:$R$205,$AE$6:$AE$205,AE154,$N$6:$N$205,"견적접수"),COUNTIFS($AE$5:AE153,AE154,$R$5:R153,R154,$N$5:N153,"견적접수")=0),1,""))</f>
        <v/>
      </c>
    </row>
    <row r="155">
      <c r="A155" s="50">
        <f>IF(F155="","",ROW()-5)</f>
        <v/>
      </c>
      <c r="B155" s="34" t="n"/>
      <c r="C155" s="34" t="n"/>
      <c r="D155" s="34" t="n"/>
      <c r="E155" s="34" t="n"/>
      <c r="F155" s="36" t="n"/>
      <c r="G155" s="36" t="n"/>
      <c r="H155" s="36" t="n"/>
      <c r="I155" s="36" t="n"/>
      <c r="J155" s="36" t="n"/>
      <c r="K155" s="34" t="n"/>
      <c r="L155" s="34" t="n"/>
      <c r="M155" s="34" t="n"/>
      <c r="N155" s="34" t="n"/>
      <c r="O155" s="50">
        <f>IF(N(AH155)&gt;1,"중복 "&amp;AH155&amp;"곳"&amp;IF(AK155=1," · 최저가",IF(AND(N155="견적접수",R155&lt;&gt;"")," · 비쌈","")),"")</f>
        <v/>
      </c>
      <c r="P155" s="34" t="n"/>
      <c r="Q155" s="51" t="n"/>
      <c r="R155" s="52">
        <f>IF(OR(Q155="",P155=""),"",IFERROR(IF(VLOOKUP(P155,설정!$K$5:$L$9,2,0)&gt;0,Q155*VLOOKUP(P155,설정!$K$5:$L$9,2,0),""),""))</f>
        <v/>
      </c>
      <c r="S155" s="53">
        <f>IF(OR(R155="",K155=""),"",R155*K155)</f>
        <v/>
      </c>
      <c r="T155" s="38" t="n"/>
      <c r="U155" s="54">
        <f>IF(OR(T155="",AC155="발주완료",AC155="취소"),"",TODAY()+T155)</f>
        <v/>
      </c>
      <c r="V155" s="50">
        <f>IF(OR(U155="",NOT(ISNUMBER($K$2))),"",IF(U155&lt;=$K$2,"가능","초과 "&amp;(U155-$K$2)&amp;"일"))</f>
        <v/>
      </c>
      <c r="W155" s="34" t="n"/>
      <c r="X155" s="34" t="n"/>
      <c r="Y155" s="34" t="n"/>
      <c r="Z155" s="56" t="n"/>
      <c r="AA155" s="54">
        <f>IF(OR(Z155="",Y155=""),"",Z155+Y155)</f>
        <v/>
      </c>
      <c r="AB155" s="36" t="n"/>
      <c r="AC155" s="34" t="n"/>
      <c r="AD155" s="36" t="n"/>
      <c r="AE155" s="50">
        <f>IF(F155="","",B155&amp;"#"&amp;IF(D155="",F155,D155))</f>
        <v/>
      </c>
      <c r="AF155" s="50">
        <f>IF(AE155="","",AE155&amp;"|"&amp;M155)</f>
        <v/>
      </c>
      <c r="AG155" s="50">
        <f>IF(AE155="","",IF(COUNTIF($AE$6:AE155,AE155)=1,1,0))</f>
        <v/>
      </c>
      <c r="AH155" s="50">
        <f>IF(AE155="","",COUNTIF($AE$6:$AE$205,AE155))</f>
        <v/>
      </c>
      <c r="AI155" s="50">
        <f>IF(AE155="","",IF(AND(AG155=1,AH155&gt;1),COUNTIFS($AG$6:AG155,1,$AH$6:AH155,"&gt;1"),""))</f>
        <v/>
      </c>
      <c r="AJ155" s="50">
        <f>IF(AG155=1,IF(COUNTIFS($AE$6:$AE$205,AE155,$N$6:$N$205,"견적접수")&gt;0,1,0),"")</f>
        <v/>
      </c>
      <c r="AK155" s="50">
        <f>IF(OR(R155="",N155&lt;&gt;"견적접수"),"",IF(AND(R155=_xlfn.MINIFS($R$6:$R$205,$AE$6:$AE$205,AE155,$N$6:$N$205,"견적접수"),COUNTIFS($AE$5:AE154,AE155,$R$5:R154,R155,$N$5:N154,"견적접수")=0),1,""))</f>
        <v/>
      </c>
    </row>
    <row r="156">
      <c r="A156" s="50">
        <f>IF(F156="","",ROW()-5)</f>
        <v/>
      </c>
      <c r="B156" s="34" t="n"/>
      <c r="C156" s="34" t="n"/>
      <c r="D156" s="34" t="n"/>
      <c r="E156" s="34" t="n"/>
      <c r="F156" s="36" t="n"/>
      <c r="G156" s="36" t="n"/>
      <c r="H156" s="36" t="n"/>
      <c r="I156" s="36" t="n"/>
      <c r="J156" s="36" t="n"/>
      <c r="K156" s="34" t="n"/>
      <c r="L156" s="34" t="n"/>
      <c r="M156" s="34" t="n"/>
      <c r="N156" s="34" t="n"/>
      <c r="O156" s="50">
        <f>IF(N(AH156)&gt;1,"중복 "&amp;AH156&amp;"곳"&amp;IF(AK156=1," · 최저가",IF(AND(N156="견적접수",R156&lt;&gt;"")," · 비쌈","")),"")</f>
        <v/>
      </c>
      <c r="P156" s="34" t="n"/>
      <c r="Q156" s="51" t="n"/>
      <c r="R156" s="52">
        <f>IF(OR(Q156="",P156=""),"",IFERROR(IF(VLOOKUP(P156,설정!$K$5:$L$9,2,0)&gt;0,Q156*VLOOKUP(P156,설정!$K$5:$L$9,2,0),""),""))</f>
        <v/>
      </c>
      <c r="S156" s="53">
        <f>IF(OR(R156="",K156=""),"",R156*K156)</f>
        <v/>
      </c>
      <c r="T156" s="38" t="n"/>
      <c r="U156" s="54">
        <f>IF(OR(T156="",AC156="발주완료",AC156="취소"),"",TODAY()+T156)</f>
        <v/>
      </c>
      <c r="V156" s="50">
        <f>IF(OR(U156="",NOT(ISNUMBER($K$2))),"",IF(U156&lt;=$K$2,"가능","초과 "&amp;(U156-$K$2)&amp;"일"))</f>
        <v/>
      </c>
      <c r="W156" s="34" t="n"/>
      <c r="X156" s="34" t="n"/>
      <c r="Y156" s="34" t="n"/>
      <c r="Z156" s="56" t="n"/>
      <c r="AA156" s="54">
        <f>IF(OR(Z156="",Y156=""),"",Z156+Y156)</f>
        <v/>
      </c>
      <c r="AB156" s="36" t="n"/>
      <c r="AC156" s="34" t="n"/>
      <c r="AD156" s="36" t="n"/>
      <c r="AE156" s="50">
        <f>IF(F156="","",B156&amp;"#"&amp;IF(D156="",F156,D156))</f>
        <v/>
      </c>
      <c r="AF156" s="50">
        <f>IF(AE156="","",AE156&amp;"|"&amp;M156)</f>
        <v/>
      </c>
      <c r="AG156" s="50">
        <f>IF(AE156="","",IF(COUNTIF($AE$6:AE156,AE156)=1,1,0))</f>
        <v/>
      </c>
      <c r="AH156" s="50">
        <f>IF(AE156="","",COUNTIF($AE$6:$AE$205,AE156))</f>
        <v/>
      </c>
      <c r="AI156" s="50">
        <f>IF(AE156="","",IF(AND(AG156=1,AH156&gt;1),COUNTIFS($AG$6:AG156,1,$AH$6:AH156,"&gt;1"),""))</f>
        <v/>
      </c>
      <c r="AJ156" s="50">
        <f>IF(AG156=1,IF(COUNTIFS($AE$6:$AE$205,AE156,$N$6:$N$205,"견적접수")&gt;0,1,0),"")</f>
        <v/>
      </c>
      <c r="AK156" s="50">
        <f>IF(OR(R156="",N156&lt;&gt;"견적접수"),"",IF(AND(R156=_xlfn.MINIFS($R$6:$R$205,$AE$6:$AE$205,AE156,$N$6:$N$205,"견적접수"),COUNTIFS($AE$5:AE155,AE156,$R$5:R155,R156,$N$5:N155,"견적접수")=0),1,""))</f>
        <v/>
      </c>
    </row>
    <row r="157">
      <c r="A157" s="50">
        <f>IF(F157="","",ROW()-5)</f>
        <v/>
      </c>
      <c r="B157" s="34" t="n"/>
      <c r="C157" s="34" t="n"/>
      <c r="D157" s="34" t="n"/>
      <c r="E157" s="34" t="n"/>
      <c r="F157" s="36" t="n"/>
      <c r="G157" s="36" t="n"/>
      <c r="H157" s="36" t="n"/>
      <c r="I157" s="36" t="n"/>
      <c r="J157" s="36" t="n"/>
      <c r="K157" s="34" t="n"/>
      <c r="L157" s="34" t="n"/>
      <c r="M157" s="34" t="n"/>
      <c r="N157" s="34" t="n"/>
      <c r="O157" s="50">
        <f>IF(N(AH157)&gt;1,"중복 "&amp;AH157&amp;"곳"&amp;IF(AK157=1," · 최저가",IF(AND(N157="견적접수",R157&lt;&gt;"")," · 비쌈","")),"")</f>
        <v/>
      </c>
      <c r="P157" s="34" t="n"/>
      <c r="Q157" s="51" t="n"/>
      <c r="R157" s="52">
        <f>IF(OR(Q157="",P157=""),"",IFERROR(IF(VLOOKUP(P157,설정!$K$5:$L$9,2,0)&gt;0,Q157*VLOOKUP(P157,설정!$K$5:$L$9,2,0),""),""))</f>
        <v/>
      </c>
      <c r="S157" s="53">
        <f>IF(OR(R157="",K157=""),"",R157*K157)</f>
        <v/>
      </c>
      <c r="T157" s="38" t="n"/>
      <c r="U157" s="54">
        <f>IF(OR(T157="",AC157="발주완료",AC157="취소"),"",TODAY()+T157)</f>
        <v/>
      </c>
      <c r="V157" s="50">
        <f>IF(OR(U157="",NOT(ISNUMBER($K$2))),"",IF(U157&lt;=$K$2,"가능","초과 "&amp;(U157-$K$2)&amp;"일"))</f>
        <v/>
      </c>
      <c r="W157" s="34" t="n"/>
      <c r="X157" s="34" t="n"/>
      <c r="Y157" s="34" t="n"/>
      <c r="Z157" s="56" t="n"/>
      <c r="AA157" s="54">
        <f>IF(OR(Z157="",Y157=""),"",Z157+Y157)</f>
        <v/>
      </c>
      <c r="AB157" s="36" t="n"/>
      <c r="AC157" s="34" t="n"/>
      <c r="AD157" s="36" t="n"/>
      <c r="AE157" s="50">
        <f>IF(F157="","",B157&amp;"#"&amp;IF(D157="",F157,D157))</f>
        <v/>
      </c>
      <c r="AF157" s="50">
        <f>IF(AE157="","",AE157&amp;"|"&amp;M157)</f>
        <v/>
      </c>
      <c r="AG157" s="50">
        <f>IF(AE157="","",IF(COUNTIF($AE$6:AE157,AE157)=1,1,0))</f>
        <v/>
      </c>
      <c r="AH157" s="50">
        <f>IF(AE157="","",COUNTIF($AE$6:$AE$205,AE157))</f>
        <v/>
      </c>
      <c r="AI157" s="50">
        <f>IF(AE157="","",IF(AND(AG157=1,AH157&gt;1),COUNTIFS($AG$6:AG157,1,$AH$6:AH157,"&gt;1"),""))</f>
        <v/>
      </c>
      <c r="AJ157" s="50">
        <f>IF(AG157=1,IF(COUNTIFS($AE$6:$AE$205,AE157,$N$6:$N$205,"견적접수")&gt;0,1,0),"")</f>
        <v/>
      </c>
      <c r="AK157" s="50">
        <f>IF(OR(R157="",N157&lt;&gt;"견적접수"),"",IF(AND(R157=_xlfn.MINIFS($R$6:$R$205,$AE$6:$AE$205,AE157,$N$6:$N$205,"견적접수"),COUNTIFS($AE$5:AE156,AE157,$R$5:R156,R157,$N$5:N156,"견적접수")=0),1,""))</f>
        <v/>
      </c>
    </row>
    <row r="158">
      <c r="A158" s="50">
        <f>IF(F158="","",ROW()-5)</f>
        <v/>
      </c>
      <c r="B158" s="34" t="n"/>
      <c r="C158" s="34" t="n"/>
      <c r="D158" s="34" t="n"/>
      <c r="E158" s="34" t="n"/>
      <c r="F158" s="36" t="n"/>
      <c r="G158" s="36" t="n"/>
      <c r="H158" s="36" t="n"/>
      <c r="I158" s="36" t="n"/>
      <c r="J158" s="36" t="n"/>
      <c r="K158" s="34" t="n"/>
      <c r="L158" s="34" t="n"/>
      <c r="M158" s="34" t="n"/>
      <c r="N158" s="34" t="n"/>
      <c r="O158" s="50">
        <f>IF(N(AH158)&gt;1,"중복 "&amp;AH158&amp;"곳"&amp;IF(AK158=1," · 최저가",IF(AND(N158="견적접수",R158&lt;&gt;"")," · 비쌈","")),"")</f>
        <v/>
      </c>
      <c r="P158" s="34" t="n"/>
      <c r="Q158" s="51" t="n"/>
      <c r="R158" s="52">
        <f>IF(OR(Q158="",P158=""),"",IFERROR(IF(VLOOKUP(P158,설정!$K$5:$L$9,2,0)&gt;0,Q158*VLOOKUP(P158,설정!$K$5:$L$9,2,0),""),""))</f>
        <v/>
      </c>
      <c r="S158" s="53">
        <f>IF(OR(R158="",K158=""),"",R158*K158)</f>
        <v/>
      </c>
      <c r="T158" s="38" t="n"/>
      <c r="U158" s="54">
        <f>IF(OR(T158="",AC158="발주완료",AC158="취소"),"",TODAY()+T158)</f>
        <v/>
      </c>
      <c r="V158" s="50">
        <f>IF(OR(U158="",NOT(ISNUMBER($K$2))),"",IF(U158&lt;=$K$2,"가능","초과 "&amp;(U158-$K$2)&amp;"일"))</f>
        <v/>
      </c>
      <c r="W158" s="34" t="n"/>
      <c r="X158" s="34" t="n"/>
      <c r="Y158" s="34" t="n"/>
      <c r="Z158" s="56" t="n"/>
      <c r="AA158" s="54">
        <f>IF(OR(Z158="",Y158=""),"",Z158+Y158)</f>
        <v/>
      </c>
      <c r="AB158" s="36" t="n"/>
      <c r="AC158" s="34" t="n"/>
      <c r="AD158" s="36" t="n"/>
      <c r="AE158" s="50">
        <f>IF(F158="","",B158&amp;"#"&amp;IF(D158="",F158,D158))</f>
        <v/>
      </c>
      <c r="AF158" s="50">
        <f>IF(AE158="","",AE158&amp;"|"&amp;M158)</f>
        <v/>
      </c>
      <c r="AG158" s="50">
        <f>IF(AE158="","",IF(COUNTIF($AE$6:AE158,AE158)=1,1,0))</f>
        <v/>
      </c>
      <c r="AH158" s="50">
        <f>IF(AE158="","",COUNTIF($AE$6:$AE$205,AE158))</f>
        <v/>
      </c>
      <c r="AI158" s="50">
        <f>IF(AE158="","",IF(AND(AG158=1,AH158&gt;1),COUNTIFS($AG$6:AG158,1,$AH$6:AH158,"&gt;1"),""))</f>
        <v/>
      </c>
      <c r="AJ158" s="50">
        <f>IF(AG158=1,IF(COUNTIFS($AE$6:$AE$205,AE158,$N$6:$N$205,"견적접수")&gt;0,1,0),"")</f>
        <v/>
      </c>
      <c r="AK158" s="50">
        <f>IF(OR(R158="",N158&lt;&gt;"견적접수"),"",IF(AND(R158=_xlfn.MINIFS($R$6:$R$205,$AE$6:$AE$205,AE158,$N$6:$N$205,"견적접수"),COUNTIFS($AE$5:AE157,AE158,$R$5:R157,R158,$N$5:N157,"견적접수")=0),1,""))</f>
        <v/>
      </c>
    </row>
    <row r="159">
      <c r="A159" s="50">
        <f>IF(F159="","",ROW()-5)</f>
        <v/>
      </c>
      <c r="B159" s="34" t="n"/>
      <c r="C159" s="34" t="n"/>
      <c r="D159" s="34" t="n"/>
      <c r="E159" s="34" t="n"/>
      <c r="F159" s="36" t="n"/>
      <c r="G159" s="36" t="n"/>
      <c r="H159" s="36" t="n"/>
      <c r="I159" s="36" t="n"/>
      <c r="J159" s="36" t="n"/>
      <c r="K159" s="34" t="n"/>
      <c r="L159" s="34" t="n"/>
      <c r="M159" s="34" t="n"/>
      <c r="N159" s="34" t="n"/>
      <c r="O159" s="50">
        <f>IF(N(AH159)&gt;1,"중복 "&amp;AH159&amp;"곳"&amp;IF(AK159=1," · 최저가",IF(AND(N159="견적접수",R159&lt;&gt;"")," · 비쌈","")),"")</f>
        <v/>
      </c>
      <c r="P159" s="34" t="n"/>
      <c r="Q159" s="51" t="n"/>
      <c r="R159" s="52">
        <f>IF(OR(Q159="",P159=""),"",IFERROR(IF(VLOOKUP(P159,설정!$K$5:$L$9,2,0)&gt;0,Q159*VLOOKUP(P159,설정!$K$5:$L$9,2,0),""),""))</f>
        <v/>
      </c>
      <c r="S159" s="53">
        <f>IF(OR(R159="",K159=""),"",R159*K159)</f>
        <v/>
      </c>
      <c r="T159" s="38" t="n"/>
      <c r="U159" s="54">
        <f>IF(OR(T159="",AC159="발주완료",AC159="취소"),"",TODAY()+T159)</f>
        <v/>
      </c>
      <c r="V159" s="50">
        <f>IF(OR(U159="",NOT(ISNUMBER($K$2))),"",IF(U159&lt;=$K$2,"가능","초과 "&amp;(U159-$K$2)&amp;"일"))</f>
        <v/>
      </c>
      <c r="W159" s="34" t="n"/>
      <c r="X159" s="34" t="n"/>
      <c r="Y159" s="34" t="n"/>
      <c r="Z159" s="56" t="n"/>
      <c r="AA159" s="54">
        <f>IF(OR(Z159="",Y159=""),"",Z159+Y159)</f>
        <v/>
      </c>
      <c r="AB159" s="36" t="n"/>
      <c r="AC159" s="34" t="n"/>
      <c r="AD159" s="36" t="n"/>
      <c r="AE159" s="50">
        <f>IF(F159="","",B159&amp;"#"&amp;IF(D159="",F159,D159))</f>
        <v/>
      </c>
      <c r="AF159" s="50">
        <f>IF(AE159="","",AE159&amp;"|"&amp;M159)</f>
        <v/>
      </c>
      <c r="AG159" s="50">
        <f>IF(AE159="","",IF(COUNTIF($AE$6:AE159,AE159)=1,1,0))</f>
        <v/>
      </c>
      <c r="AH159" s="50">
        <f>IF(AE159="","",COUNTIF($AE$6:$AE$205,AE159))</f>
        <v/>
      </c>
      <c r="AI159" s="50">
        <f>IF(AE159="","",IF(AND(AG159=1,AH159&gt;1),COUNTIFS($AG$6:AG159,1,$AH$6:AH159,"&gt;1"),""))</f>
        <v/>
      </c>
      <c r="AJ159" s="50">
        <f>IF(AG159=1,IF(COUNTIFS($AE$6:$AE$205,AE159,$N$6:$N$205,"견적접수")&gt;0,1,0),"")</f>
        <v/>
      </c>
      <c r="AK159" s="50">
        <f>IF(OR(R159="",N159&lt;&gt;"견적접수"),"",IF(AND(R159=_xlfn.MINIFS($R$6:$R$205,$AE$6:$AE$205,AE159,$N$6:$N$205,"견적접수"),COUNTIFS($AE$5:AE158,AE159,$R$5:R158,R159,$N$5:N158,"견적접수")=0),1,""))</f>
        <v/>
      </c>
    </row>
    <row r="160">
      <c r="A160" s="50">
        <f>IF(F160="","",ROW()-5)</f>
        <v/>
      </c>
      <c r="B160" s="34" t="n"/>
      <c r="C160" s="34" t="n"/>
      <c r="D160" s="34" t="n"/>
      <c r="E160" s="34" t="n"/>
      <c r="F160" s="36" t="n"/>
      <c r="G160" s="36" t="n"/>
      <c r="H160" s="36" t="n"/>
      <c r="I160" s="36" t="n"/>
      <c r="J160" s="36" t="n"/>
      <c r="K160" s="34" t="n"/>
      <c r="L160" s="34" t="n"/>
      <c r="M160" s="34" t="n"/>
      <c r="N160" s="34" t="n"/>
      <c r="O160" s="50">
        <f>IF(N(AH160)&gt;1,"중복 "&amp;AH160&amp;"곳"&amp;IF(AK160=1," · 최저가",IF(AND(N160="견적접수",R160&lt;&gt;"")," · 비쌈","")),"")</f>
        <v/>
      </c>
      <c r="P160" s="34" t="n"/>
      <c r="Q160" s="51" t="n"/>
      <c r="R160" s="52">
        <f>IF(OR(Q160="",P160=""),"",IFERROR(IF(VLOOKUP(P160,설정!$K$5:$L$9,2,0)&gt;0,Q160*VLOOKUP(P160,설정!$K$5:$L$9,2,0),""),""))</f>
        <v/>
      </c>
      <c r="S160" s="53">
        <f>IF(OR(R160="",K160=""),"",R160*K160)</f>
        <v/>
      </c>
      <c r="T160" s="38" t="n"/>
      <c r="U160" s="54">
        <f>IF(OR(T160="",AC160="발주완료",AC160="취소"),"",TODAY()+T160)</f>
        <v/>
      </c>
      <c r="V160" s="50">
        <f>IF(OR(U160="",NOT(ISNUMBER($K$2))),"",IF(U160&lt;=$K$2,"가능","초과 "&amp;(U160-$K$2)&amp;"일"))</f>
        <v/>
      </c>
      <c r="W160" s="34" t="n"/>
      <c r="X160" s="34" t="n"/>
      <c r="Y160" s="34" t="n"/>
      <c r="Z160" s="56" t="n"/>
      <c r="AA160" s="54">
        <f>IF(OR(Z160="",Y160=""),"",Z160+Y160)</f>
        <v/>
      </c>
      <c r="AB160" s="36" t="n"/>
      <c r="AC160" s="34" t="n"/>
      <c r="AD160" s="36" t="n"/>
      <c r="AE160" s="50">
        <f>IF(F160="","",B160&amp;"#"&amp;IF(D160="",F160,D160))</f>
        <v/>
      </c>
      <c r="AF160" s="50">
        <f>IF(AE160="","",AE160&amp;"|"&amp;M160)</f>
        <v/>
      </c>
      <c r="AG160" s="50">
        <f>IF(AE160="","",IF(COUNTIF($AE$6:AE160,AE160)=1,1,0))</f>
        <v/>
      </c>
      <c r="AH160" s="50">
        <f>IF(AE160="","",COUNTIF($AE$6:$AE$205,AE160))</f>
        <v/>
      </c>
      <c r="AI160" s="50">
        <f>IF(AE160="","",IF(AND(AG160=1,AH160&gt;1),COUNTIFS($AG$6:AG160,1,$AH$6:AH160,"&gt;1"),""))</f>
        <v/>
      </c>
      <c r="AJ160" s="50">
        <f>IF(AG160=1,IF(COUNTIFS($AE$6:$AE$205,AE160,$N$6:$N$205,"견적접수")&gt;0,1,0),"")</f>
        <v/>
      </c>
      <c r="AK160" s="50">
        <f>IF(OR(R160="",N160&lt;&gt;"견적접수"),"",IF(AND(R160=_xlfn.MINIFS($R$6:$R$205,$AE$6:$AE$205,AE160,$N$6:$N$205,"견적접수"),COUNTIFS($AE$5:AE159,AE160,$R$5:R159,R160,$N$5:N159,"견적접수")=0),1,""))</f>
        <v/>
      </c>
    </row>
    <row r="161">
      <c r="A161" s="50">
        <f>IF(F161="","",ROW()-5)</f>
        <v/>
      </c>
      <c r="B161" s="34" t="n"/>
      <c r="C161" s="34" t="n"/>
      <c r="D161" s="34" t="n"/>
      <c r="E161" s="34" t="n"/>
      <c r="F161" s="36" t="n"/>
      <c r="G161" s="36" t="n"/>
      <c r="H161" s="36" t="n"/>
      <c r="I161" s="36" t="n"/>
      <c r="J161" s="36" t="n"/>
      <c r="K161" s="34" t="n"/>
      <c r="L161" s="34" t="n"/>
      <c r="M161" s="34" t="n"/>
      <c r="N161" s="34" t="n"/>
      <c r="O161" s="50">
        <f>IF(N(AH161)&gt;1,"중복 "&amp;AH161&amp;"곳"&amp;IF(AK161=1," · 최저가",IF(AND(N161="견적접수",R161&lt;&gt;"")," · 비쌈","")),"")</f>
        <v/>
      </c>
      <c r="P161" s="34" t="n"/>
      <c r="Q161" s="51" t="n"/>
      <c r="R161" s="52">
        <f>IF(OR(Q161="",P161=""),"",IFERROR(IF(VLOOKUP(P161,설정!$K$5:$L$9,2,0)&gt;0,Q161*VLOOKUP(P161,설정!$K$5:$L$9,2,0),""),""))</f>
        <v/>
      </c>
      <c r="S161" s="53">
        <f>IF(OR(R161="",K161=""),"",R161*K161)</f>
        <v/>
      </c>
      <c r="T161" s="38" t="n"/>
      <c r="U161" s="54">
        <f>IF(OR(T161="",AC161="발주완료",AC161="취소"),"",TODAY()+T161)</f>
        <v/>
      </c>
      <c r="V161" s="50">
        <f>IF(OR(U161="",NOT(ISNUMBER($K$2))),"",IF(U161&lt;=$K$2,"가능","초과 "&amp;(U161-$K$2)&amp;"일"))</f>
        <v/>
      </c>
      <c r="W161" s="34" t="n"/>
      <c r="X161" s="34" t="n"/>
      <c r="Y161" s="34" t="n"/>
      <c r="Z161" s="56" t="n"/>
      <c r="AA161" s="54">
        <f>IF(OR(Z161="",Y161=""),"",Z161+Y161)</f>
        <v/>
      </c>
      <c r="AB161" s="36" t="n"/>
      <c r="AC161" s="34" t="n"/>
      <c r="AD161" s="36" t="n"/>
      <c r="AE161" s="50">
        <f>IF(F161="","",B161&amp;"#"&amp;IF(D161="",F161,D161))</f>
        <v/>
      </c>
      <c r="AF161" s="50">
        <f>IF(AE161="","",AE161&amp;"|"&amp;M161)</f>
        <v/>
      </c>
      <c r="AG161" s="50">
        <f>IF(AE161="","",IF(COUNTIF($AE$6:AE161,AE161)=1,1,0))</f>
        <v/>
      </c>
      <c r="AH161" s="50">
        <f>IF(AE161="","",COUNTIF($AE$6:$AE$205,AE161))</f>
        <v/>
      </c>
      <c r="AI161" s="50">
        <f>IF(AE161="","",IF(AND(AG161=1,AH161&gt;1),COUNTIFS($AG$6:AG161,1,$AH$6:AH161,"&gt;1"),""))</f>
        <v/>
      </c>
      <c r="AJ161" s="50">
        <f>IF(AG161=1,IF(COUNTIFS($AE$6:$AE$205,AE161,$N$6:$N$205,"견적접수")&gt;0,1,0),"")</f>
        <v/>
      </c>
      <c r="AK161" s="50">
        <f>IF(OR(R161="",N161&lt;&gt;"견적접수"),"",IF(AND(R161=_xlfn.MINIFS($R$6:$R$205,$AE$6:$AE$205,AE161,$N$6:$N$205,"견적접수"),COUNTIFS($AE$5:AE160,AE161,$R$5:R160,R161,$N$5:N160,"견적접수")=0),1,""))</f>
        <v/>
      </c>
    </row>
    <row r="162">
      <c r="A162" s="50">
        <f>IF(F162="","",ROW()-5)</f>
        <v/>
      </c>
      <c r="B162" s="34" t="n"/>
      <c r="C162" s="34" t="n"/>
      <c r="D162" s="34" t="n"/>
      <c r="E162" s="34" t="n"/>
      <c r="F162" s="36" t="n"/>
      <c r="G162" s="36" t="n"/>
      <c r="H162" s="36" t="n"/>
      <c r="I162" s="36" t="n"/>
      <c r="J162" s="36" t="n"/>
      <c r="K162" s="34" t="n"/>
      <c r="L162" s="34" t="n"/>
      <c r="M162" s="34" t="n"/>
      <c r="N162" s="34" t="n"/>
      <c r="O162" s="50">
        <f>IF(N(AH162)&gt;1,"중복 "&amp;AH162&amp;"곳"&amp;IF(AK162=1," · 최저가",IF(AND(N162="견적접수",R162&lt;&gt;"")," · 비쌈","")),"")</f>
        <v/>
      </c>
      <c r="P162" s="34" t="n"/>
      <c r="Q162" s="51" t="n"/>
      <c r="R162" s="52">
        <f>IF(OR(Q162="",P162=""),"",IFERROR(IF(VLOOKUP(P162,설정!$K$5:$L$9,2,0)&gt;0,Q162*VLOOKUP(P162,설정!$K$5:$L$9,2,0),""),""))</f>
        <v/>
      </c>
      <c r="S162" s="53">
        <f>IF(OR(R162="",K162=""),"",R162*K162)</f>
        <v/>
      </c>
      <c r="T162" s="38" t="n"/>
      <c r="U162" s="54">
        <f>IF(OR(T162="",AC162="발주완료",AC162="취소"),"",TODAY()+T162)</f>
        <v/>
      </c>
      <c r="V162" s="50">
        <f>IF(OR(U162="",NOT(ISNUMBER($K$2))),"",IF(U162&lt;=$K$2,"가능","초과 "&amp;(U162-$K$2)&amp;"일"))</f>
        <v/>
      </c>
      <c r="W162" s="34" t="n"/>
      <c r="X162" s="34" t="n"/>
      <c r="Y162" s="34" t="n"/>
      <c r="Z162" s="56" t="n"/>
      <c r="AA162" s="54">
        <f>IF(OR(Z162="",Y162=""),"",Z162+Y162)</f>
        <v/>
      </c>
      <c r="AB162" s="36" t="n"/>
      <c r="AC162" s="34" t="n"/>
      <c r="AD162" s="36" t="n"/>
      <c r="AE162" s="50">
        <f>IF(F162="","",B162&amp;"#"&amp;IF(D162="",F162,D162))</f>
        <v/>
      </c>
      <c r="AF162" s="50">
        <f>IF(AE162="","",AE162&amp;"|"&amp;M162)</f>
        <v/>
      </c>
      <c r="AG162" s="50">
        <f>IF(AE162="","",IF(COUNTIF($AE$6:AE162,AE162)=1,1,0))</f>
        <v/>
      </c>
      <c r="AH162" s="50">
        <f>IF(AE162="","",COUNTIF($AE$6:$AE$205,AE162))</f>
        <v/>
      </c>
      <c r="AI162" s="50">
        <f>IF(AE162="","",IF(AND(AG162=1,AH162&gt;1),COUNTIFS($AG$6:AG162,1,$AH$6:AH162,"&gt;1"),""))</f>
        <v/>
      </c>
      <c r="AJ162" s="50">
        <f>IF(AG162=1,IF(COUNTIFS($AE$6:$AE$205,AE162,$N$6:$N$205,"견적접수")&gt;0,1,0),"")</f>
        <v/>
      </c>
      <c r="AK162" s="50">
        <f>IF(OR(R162="",N162&lt;&gt;"견적접수"),"",IF(AND(R162=_xlfn.MINIFS($R$6:$R$205,$AE$6:$AE$205,AE162,$N$6:$N$205,"견적접수"),COUNTIFS($AE$5:AE161,AE162,$R$5:R161,R162,$N$5:N161,"견적접수")=0),1,""))</f>
        <v/>
      </c>
    </row>
    <row r="163">
      <c r="A163" s="50">
        <f>IF(F163="","",ROW()-5)</f>
        <v/>
      </c>
      <c r="B163" s="34" t="n"/>
      <c r="C163" s="34" t="n"/>
      <c r="D163" s="34" t="n"/>
      <c r="E163" s="34" t="n"/>
      <c r="F163" s="36" t="n"/>
      <c r="G163" s="36" t="n"/>
      <c r="H163" s="36" t="n"/>
      <c r="I163" s="36" t="n"/>
      <c r="J163" s="36" t="n"/>
      <c r="K163" s="34" t="n"/>
      <c r="L163" s="34" t="n"/>
      <c r="M163" s="34" t="n"/>
      <c r="N163" s="34" t="n"/>
      <c r="O163" s="50">
        <f>IF(N(AH163)&gt;1,"중복 "&amp;AH163&amp;"곳"&amp;IF(AK163=1," · 최저가",IF(AND(N163="견적접수",R163&lt;&gt;"")," · 비쌈","")),"")</f>
        <v/>
      </c>
      <c r="P163" s="34" t="n"/>
      <c r="Q163" s="51" t="n"/>
      <c r="R163" s="52">
        <f>IF(OR(Q163="",P163=""),"",IFERROR(IF(VLOOKUP(P163,설정!$K$5:$L$9,2,0)&gt;0,Q163*VLOOKUP(P163,설정!$K$5:$L$9,2,0),""),""))</f>
        <v/>
      </c>
      <c r="S163" s="53">
        <f>IF(OR(R163="",K163=""),"",R163*K163)</f>
        <v/>
      </c>
      <c r="T163" s="38" t="n"/>
      <c r="U163" s="54">
        <f>IF(OR(T163="",AC163="발주완료",AC163="취소"),"",TODAY()+T163)</f>
        <v/>
      </c>
      <c r="V163" s="50">
        <f>IF(OR(U163="",NOT(ISNUMBER($K$2))),"",IF(U163&lt;=$K$2,"가능","초과 "&amp;(U163-$K$2)&amp;"일"))</f>
        <v/>
      </c>
      <c r="W163" s="34" t="n"/>
      <c r="X163" s="34" t="n"/>
      <c r="Y163" s="34" t="n"/>
      <c r="Z163" s="56" t="n"/>
      <c r="AA163" s="54">
        <f>IF(OR(Z163="",Y163=""),"",Z163+Y163)</f>
        <v/>
      </c>
      <c r="AB163" s="36" t="n"/>
      <c r="AC163" s="34" t="n"/>
      <c r="AD163" s="36" t="n"/>
      <c r="AE163" s="50">
        <f>IF(F163="","",B163&amp;"#"&amp;IF(D163="",F163,D163))</f>
        <v/>
      </c>
      <c r="AF163" s="50">
        <f>IF(AE163="","",AE163&amp;"|"&amp;M163)</f>
        <v/>
      </c>
      <c r="AG163" s="50">
        <f>IF(AE163="","",IF(COUNTIF($AE$6:AE163,AE163)=1,1,0))</f>
        <v/>
      </c>
      <c r="AH163" s="50">
        <f>IF(AE163="","",COUNTIF($AE$6:$AE$205,AE163))</f>
        <v/>
      </c>
      <c r="AI163" s="50">
        <f>IF(AE163="","",IF(AND(AG163=1,AH163&gt;1),COUNTIFS($AG$6:AG163,1,$AH$6:AH163,"&gt;1"),""))</f>
        <v/>
      </c>
      <c r="AJ163" s="50">
        <f>IF(AG163=1,IF(COUNTIFS($AE$6:$AE$205,AE163,$N$6:$N$205,"견적접수")&gt;0,1,0),"")</f>
        <v/>
      </c>
      <c r="AK163" s="50">
        <f>IF(OR(R163="",N163&lt;&gt;"견적접수"),"",IF(AND(R163=_xlfn.MINIFS($R$6:$R$205,$AE$6:$AE$205,AE163,$N$6:$N$205,"견적접수"),COUNTIFS($AE$5:AE162,AE163,$R$5:R162,R163,$N$5:N162,"견적접수")=0),1,""))</f>
        <v/>
      </c>
    </row>
    <row r="164">
      <c r="A164" s="50">
        <f>IF(F164="","",ROW()-5)</f>
        <v/>
      </c>
      <c r="B164" s="34" t="n"/>
      <c r="C164" s="34" t="n"/>
      <c r="D164" s="34" t="n"/>
      <c r="E164" s="34" t="n"/>
      <c r="F164" s="36" t="n"/>
      <c r="G164" s="36" t="n"/>
      <c r="H164" s="36" t="n"/>
      <c r="I164" s="36" t="n"/>
      <c r="J164" s="36" t="n"/>
      <c r="K164" s="34" t="n"/>
      <c r="L164" s="34" t="n"/>
      <c r="M164" s="34" t="n"/>
      <c r="N164" s="34" t="n"/>
      <c r="O164" s="50">
        <f>IF(N(AH164)&gt;1,"중복 "&amp;AH164&amp;"곳"&amp;IF(AK164=1," · 최저가",IF(AND(N164="견적접수",R164&lt;&gt;"")," · 비쌈","")),"")</f>
        <v/>
      </c>
      <c r="P164" s="34" t="n"/>
      <c r="Q164" s="51" t="n"/>
      <c r="R164" s="52">
        <f>IF(OR(Q164="",P164=""),"",IFERROR(IF(VLOOKUP(P164,설정!$K$5:$L$9,2,0)&gt;0,Q164*VLOOKUP(P164,설정!$K$5:$L$9,2,0),""),""))</f>
        <v/>
      </c>
      <c r="S164" s="53">
        <f>IF(OR(R164="",K164=""),"",R164*K164)</f>
        <v/>
      </c>
      <c r="T164" s="38" t="n"/>
      <c r="U164" s="54">
        <f>IF(OR(T164="",AC164="발주완료",AC164="취소"),"",TODAY()+T164)</f>
        <v/>
      </c>
      <c r="V164" s="50">
        <f>IF(OR(U164="",NOT(ISNUMBER($K$2))),"",IF(U164&lt;=$K$2,"가능","초과 "&amp;(U164-$K$2)&amp;"일"))</f>
        <v/>
      </c>
      <c r="W164" s="34" t="n"/>
      <c r="X164" s="34" t="n"/>
      <c r="Y164" s="34" t="n"/>
      <c r="Z164" s="56" t="n"/>
      <c r="AA164" s="54">
        <f>IF(OR(Z164="",Y164=""),"",Z164+Y164)</f>
        <v/>
      </c>
      <c r="AB164" s="36" t="n"/>
      <c r="AC164" s="34" t="n"/>
      <c r="AD164" s="36" t="n"/>
      <c r="AE164" s="50">
        <f>IF(F164="","",B164&amp;"#"&amp;IF(D164="",F164,D164))</f>
        <v/>
      </c>
      <c r="AF164" s="50">
        <f>IF(AE164="","",AE164&amp;"|"&amp;M164)</f>
        <v/>
      </c>
      <c r="AG164" s="50">
        <f>IF(AE164="","",IF(COUNTIF($AE$6:AE164,AE164)=1,1,0))</f>
        <v/>
      </c>
      <c r="AH164" s="50">
        <f>IF(AE164="","",COUNTIF($AE$6:$AE$205,AE164))</f>
        <v/>
      </c>
      <c r="AI164" s="50">
        <f>IF(AE164="","",IF(AND(AG164=1,AH164&gt;1),COUNTIFS($AG$6:AG164,1,$AH$6:AH164,"&gt;1"),""))</f>
        <v/>
      </c>
      <c r="AJ164" s="50">
        <f>IF(AG164=1,IF(COUNTIFS($AE$6:$AE$205,AE164,$N$6:$N$205,"견적접수")&gt;0,1,0),"")</f>
        <v/>
      </c>
      <c r="AK164" s="50">
        <f>IF(OR(R164="",N164&lt;&gt;"견적접수"),"",IF(AND(R164=_xlfn.MINIFS($R$6:$R$205,$AE$6:$AE$205,AE164,$N$6:$N$205,"견적접수"),COUNTIFS($AE$5:AE163,AE164,$R$5:R163,R164,$N$5:N163,"견적접수")=0),1,""))</f>
        <v/>
      </c>
    </row>
    <row r="165">
      <c r="A165" s="50">
        <f>IF(F165="","",ROW()-5)</f>
        <v/>
      </c>
      <c r="B165" s="34" t="n"/>
      <c r="C165" s="34" t="n"/>
      <c r="D165" s="34" t="n"/>
      <c r="E165" s="34" t="n"/>
      <c r="F165" s="36" t="n"/>
      <c r="G165" s="36" t="n"/>
      <c r="H165" s="36" t="n"/>
      <c r="I165" s="36" t="n"/>
      <c r="J165" s="36" t="n"/>
      <c r="K165" s="34" t="n"/>
      <c r="L165" s="34" t="n"/>
      <c r="M165" s="34" t="n"/>
      <c r="N165" s="34" t="n"/>
      <c r="O165" s="50">
        <f>IF(N(AH165)&gt;1,"중복 "&amp;AH165&amp;"곳"&amp;IF(AK165=1," · 최저가",IF(AND(N165="견적접수",R165&lt;&gt;"")," · 비쌈","")),"")</f>
        <v/>
      </c>
      <c r="P165" s="34" t="n"/>
      <c r="Q165" s="51" t="n"/>
      <c r="R165" s="52">
        <f>IF(OR(Q165="",P165=""),"",IFERROR(IF(VLOOKUP(P165,설정!$K$5:$L$9,2,0)&gt;0,Q165*VLOOKUP(P165,설정!$K$5:$L$9,2,0),""),""))</f>
        <v/>
      </c>
      <c r="S165" s="53">
        <f>IF(OR(R165="",K165=""),"",R165*K165)</f>
        <v/>
      </c>
      <c r="T165" s="38" t="n"/>
      <c r="U165" s="54">
        <f>IF(OR(T165="",AC165="발주완료",AC165="취소"),"",TODAY()+T165)</f>
        <v/>
      </c>
      <c r="V165" s="50">
        <f>IF(OR(U165="",NOT(ISNUMBER($K$2))),"",IF(U165&lt;=$K$2,"가능","초과 "&amp;(U165-$K$2)&amp;"일"))</f>
        <v/>
      </c>
      <c r="W165" s="34" t="n"/>
      <c r="X165" s="34" t="n"/>
      <c r="Y165" s="34" t="n"/>
      <c r="Z165" s="56" t="n"/>
      <c r="AA165" s="54">
        <f>IF(OR(Z165="",Y165=""),"",Z165+Y165)</f>
        <v/>
      </c>
      <c r="AB165" s="36" t="n"/>
      <c r="AC165" s="34" t="n"/>
      <c r="AD165" s="36" t="n"/>
      <c r="AE165" s="50">
        <f>IF(F165="","",B165&amp;"#"&amp;IF(D165="",F165,D165))</f>
        <v/>
      </c>
      <c r="AF165" s="50">
        <f>IF(AE165="","",AE165&amp;"|"&amp;M165)</f>
        <v/>
      </c>
      <c r="AG165" s="50">
        <f>IF(AE165="","",IF(COUNTIF($AE$6:AE165,AE165)=1,1,0))</f>
        <v/>
      </c>
      <c r="AH165" s="50">
        <f>IF(AE165="","",COUNTIF($AE$6:$AE$205,AE165))</f>
        <v/>
      </c>
      <c r="AI165" s="50">
        <f>IF(AE165="","",IF(AND(AG165=1,AH165&gt;1),COUNTIFS($AG$6:AG165,1,$AH$6:AH165,"&gt;1"),""))</f>
        <v/>
      </c>
      <c r="AJ165" s="50">
        <f>IF(AG165=1,IF(COUNTIFS($AE$6:$AE$205,AE165,$N$6:$N$205,"견적접수")&gt;0,1,0),"")</f>
        <v/>
      </c>
      <c r="AK165" s="50">
        <f>IF(OR(R165="",N165&lt;&gt;"견적접수"),"",IF(AND(R165=_xlfn.MINIFS($R$6:$R$205,$AE$6:$AE$205,AE165,$N$6:$N$205,"견적접수"),COUNTIFS($AE$5:AE164,AE165,$R$5:R164,R165,$N$5:N164,"견적접수")=0),1,""))</f>
        <v/>
      </c>
    </row>
    <row r="166">
      <c r="A166" s="50">
        <f>IF(F166="","",ROW()-5)</f>
        <v/>
      </c>
      <c r="B166" s="34" t="n"/>
      <c r="C166" s="34" t="n"/>
      <c r="D166" s="34" t="n"/>
      <c r="E166" s="34" t="n"/>
      <c r="F166" s="36" t="n"/>
      <c r="G166" s="36" t="n"/>
      <c r="H166" s="36" t="n"/>
      <c r="I166" s="36" t="n"/>
      <c r="J166" s="36" t="n"/>
      <c r="K166" s="34" t="n"/>
      <c r="L166" s="34" t="n"/>
      <c r="M166" s="34" t="n"/>
      <c r="N166" s="34" t="n"/>
      <c r="O166" s="50">
        <f>IF(N(AH166)&gt;1,"중복 "&amp;AH166&amp;"곳"&amp;IF(AK166=1," · 최저가",IF(AND(N166="견적접수",R166&lt;&gt;"")," · 비쌈","")),"")</f>
        <v/>
      </c>
      <c r="P166" s="34" t="n"/>
      <c r="Q166" s="51" t="n"/>
      <c r="R166" s="52">
        <f>IF(OR(Q166="",P166=""),"",IFERROR(IF(VLOOKUP(P166,설정!$K$5:$L$9,2,0)&gt;0,Q166*VLOOKUP(P166,설정!$K$5:$L$9,2,0),""),""))</f>
        <v/>
      </c>
      <c r="S166" s="53">
        <f>IF(OR(R166="",K166=""),"",R166*K166)</f>
        <v/>
      </c>
      <c r="T166" s="38" t="n"/>
      <c r="U166" s="54">
        <f>IF(OR(T166="",AC166="발주완료",AC166="취소"),"",TODAY()+T166)</f>
        <v/>
      </c>
      <c r="V166" s="50">
        <f>IF(OR(U166="",NOT(ISNUMBER($K$2))),"",IF(U166&lt;=$K$2,"가능","초과 "&amp;(U166-$K$2)&amp;"일"))</f>
        <v/>
      </c>
      <c r="W166" s="34" t="n"/>
      <c r="X166" s="34" t="n"/>
      <c r="Y166" s="34" t="n"/>
      <c r="Z166" s="56" t="n"/>
      <c r="AA166" s="54">
        <f>IF(OR(Z166="",Y166=""),"",Z166+Y166)</f>
        <v/>
      </c>
      <c r="AB166" s="36" t="n"/>
      <c r="AC166" s="34" t="n"/>
      <c r="AD166" s="36" t="n"/>
      <c r="AE166" s="50">
        <f>IF(F166="","",B166&amp;"#"&amp;IF(D166="",F166,D166))</f>
        <v/>
      </c>
      <c r="AF166" s="50">
        <f>IF(AE166="","",AE166&amp;"|"&amp;M166)</f>
        <v/>
      </c>
      <c r="AG166" s="50">
        <f>IF(AE166="","",IF(COUNTIF($AE$6:AE166,AE166)=1,1,0))</f>
        <v/>
      </c>
      <c r="AH166" s="50">
        <f>IF(AE166="","",COUNTIF($AE$6:$AE$205,AE166))</f>
        <v/>
      </c>
      <c r="AI166" s="50">
        <f>IF(AE166="","",IF(AND(AG166=1,AH166&gt;1),COUNTIFS($AG$6:AG166,1,$AH$6:AH166,"&gt;1"),""))</f>
        <v/>
      </c>
      <c r="AJ166" s="50">
        <f>IF(AG166=1,IF(COUNTIFS($AE$6:$AE$205,AE166,$N$6:$N$205,"견적접수")&gt;0,1,0),"")</f>
        <v/>
      </c>
      <c r="AK166" s="50">
        <f>IF(OR(R166="",N166&lt;&gt;"견적접수"),"",IF(AND(R166=_xlfn.MINIFS($R$6:$R$205,$AE$6:$AE$205,AE166,$N$6:$N$205,"견적접수"),COUNTIFS($AE$5:AE165,AE166,$R$5:R165,R166,$N$5:N165,"견적접수")=0),1,""))</f>
        <v/>
      </c>
    </row>
    <row r="167">
      <c r="A167" s="50">
        <f>IF(F167="","",ROW()-5)</f>
        <v/>
      </c>
      <c r="B167" s="34" t="n"/>
      <c r="C167" s="34" t="n"/>
      <c r="D167" s="34" t="n"/>
      <c r="E167" s="34" t="n"/>
      <c r="F167" s="36" t="n"/>
      <c r="G167" s="36" t="n"/>
      <c r="H167" s="36" t="n"/>
      <c r="I167" s="36" t="n"/>
      <c r="J167" s="36" t="n"/>
      <c r="K167" s="34" t="n"/>
      <c r="L167" s="34" t="n"/>
      <c r="M167" s="34" t="n"/>
      <c r="N167" s="34" t="n"/>
      <c r="O167" s="50">
        <f>IF(N(AH167)&gt;1,"중복 "&amp;AH167&amp;"곳"&amp;IF(AK167=1," · 최저가",IF(AND(N167="견적접수",R167&lt;&gt;"")," · 비쌈","")),"")</f>
        <v/>
      </c>
      <c r="P167" s="34" t="n"/>
      <c r="Q167" s="51" t="n"/>
      <c r="R167" s="52">
        <f>IF(OR(Q167="",P167=""),"",IFERROR(IF(VLOOKUP(P167,설정!$K$5:$L$9,2,0)&gt;0,Q167*VLOOKUP(P167,설정!$K$5:$L$9,2,0),""),""))</f>
        <v/>
      </c>
      <c r="S167" s="53">
        <f>IF(OR(R167="",K167=""),"",R167*K167)</f>
        <v/>
      </c>
      <c r="T167" s="38" t="n"/>
      <c r="U167" s="54">
        <f>IF(OR(T167="",AC167="발주완료",AC167="취소"),"",TODAY()+T167)</f>
        <v/>
      </c>
      <c r="V167" s="50">
        <f>IF(OR(U167="",NOT(ISNUMBER($K$2))),"",IF(U167&lt;=$K$2,"가능","초과 "&amp;(U167-$K$2)&amp;"일"))</f>
        <v/>
      </c>
      <c r="W167" s="34" t="n"/>
      <c r="X167" s="34" t="n"/>
      <c r="Y167" s="34" t="n"/>
      <c r="Z167" s="56" t="n"/>
      <c r="AA167" s="54">
        <f>IF(OR(Z167="",Y167=""),"",Z167+Y167)</f>
        <v/>
      </c>
      <c r="AB167" s="36" t="n"/>
      <c r="AC167" s="34" t="n"/>
      <c r="AD167" s="36" t="n"/>
      <c r="AE167" s="50">
        <f>IF(F167="","",B167&amp;"#"&amp;IF(D167="",F167,D167))</f>
        <v/>
      </c>
      <c r="AF167" s="50">
        <f>IF(AE167="","",AE167&amp;"|"&amp;M167)</f>
        <v/>
      </c>
      <c r="AG167" s="50">
        <f>IF(AE167="","",IF(COUNTIF($AE$6:AE167,AE167)=1,1,0))</f>
        <v/>
      </c>
      <c r="AH167" s="50">
        <f>IF(AE167="","",COUNTIF($AE$6:$AE$205,AE167))</f>
        <v/>
      </c>
      <c r="AI167" s="50">
        <f>IF(AE167="","",IF(AND(AG167=1,AH167&gt;1),COUNTIFS($AG$6:AG167,1,$AH$6:AH167,"&gt;1"),""))</f>
        <v/>
      </c>
      <c r="AJ167" s="50">
        <f>IF(AG167=1,IF(COUNTIFS($AE$6:$AE$205,AE167,$N$6:$N$205,"견적접수")&gt;0,1,0),"")</f>
        <v/>
      </c>
      <c r="AK167" s="50">
        <f>IF(OR(R167="",N167&lt;&gt;"견적접수"),"",IF(AND(R167=_xlfn.MINIFS($R$6:$R$205,$AE$6:$AE$205,AE167,$N$6:$N$205,"견적접수"),COUNTIFS($AE$5:AE166,AE167,$R$5:R166,R167,$N$5:N166,"견적접수")=0),1,""))</f>
        <v/>
      </c>
    </row>
    <row r="168">
      <c r="A168" s="50">
        <f>IF(F168="","",ROW()-5)</f>
        <v/>
      </c>
      <c r="B168" s="34" t="n"/>
      <c r="C168" s="34" t="n"/>
      <c r="D168" s="34" t="n"/>
      <c r="E168" s="34" t="n"/>
      <c r="F168" s="36" t="n"/>
      <c r="G168" s="36" t="n"/>
      <c r="H168" s="36" t="n"/>
      <c r="I168" s="36" t="n"/>
      <c r="J168" s="36" t="n"/>
      <c r="K168" s="34" t="n"/>
      <c r="L168" s="34" t="n"/>
      <c r="M168" s="34" t="n"/>
      <c r="N168" s="34" t="n"/>
      <c r="O168" s="50">
        <f>IF(N(AH168)&gt;1,"중복 "&amp;AH168&amp;"곳"&amp;IF(AK168=1," · 최저가",IF(AND(N168="견적접수",R168&lt;&gt;"")," · 비쌈","")),"")</f>
        <v/>
      </c>
      <c r="P168" s="34" t="n"/>
      <c r="Q168" s="51" t="n"/>
      <c r="R168" s="52">
        <f>IF(OR(Q168="",P168=""),"",IFERROR(IF(VLOOKUP(P168,설정!$K$5:$L$9,2,0)&gt;0,Q168*VLOOKUP(P168,설정!$K$5:$L$9,2,0),""),""))</f>
        <v/>
      </c>
      <c r="S168" s="53">
        <f>IF(OR(R168="",K168=""),"",R168*K168)</f>
        <v/>
      </c>
      <c r="T168" s="38" t="n"/>
      <c r="U168" s="54">
        <f>IF(OR(T168="",AC168="발주완료",AC168="취소"),"",TODAY()+T168)</f>
        <v/>
      </c>
      <c r="V168" s="50">
        <f>IF(OR(U168="",NOT(ISNUMBER($K$2))),"",IF(U168&lt;=$K$2,"가능","초과 "&amp;(U168-$K$2)&amp;"일"))</f>
        <v/>
      </c>
      <c r="W168" s="34" t="n"/>
      <c r="X168" s="34" t="n"/>
      <c r="Y168" s="34" t="n"/>
      <c r="Z168" s="56" t="n"/>
      <c r="AA168" s="54">
        <f>IF(OR(Z168="",Y168=""),"",Z168+Y168)</f>
        <v/>
      </c>
      <c r="AB168" s="36" t="n"/>
      <c r="AC168" s="34" t="n"/>
      <c r="AD168" s="36" t="n"/>
      <c r="AE168" s="50">
        <f>IF(F168="","",B168&amp;"#"&amp;IF(D168="",F168,D168))</f>
        <v/>
      </c>
      <c r="AF168" s="50">
        <f>IF(AE168="","",AE168&amp;"|"&amp;M168)</f>
        <v/>
      </c>
      <c r="AG168" s="50">
        <f>IF(AE168="","",IF(COUNTIF($AE$6:AE168,AE168)=1,1,0))</f>
        <v/>
      </c>
      <c r="AH168" s="50">
        <f>IF(AE168="","",COUNTIF($AE$6:$AE$205,AE168))</f>
        <v/>
      </c>
      <c r="AI168" s="50">
        <f>IF(AE168="","",IF(AND(AG168=1,AH168&gt;1),COUNTIFS($AG$6:AG168,1,$AH$6:AH168,"&gt;1"),""))</f>
        <v/>
      </c>
      <c r="AJ168" s="50">
        <f>IF(AG168=1,IF(COUNTIFS($AE$6:$AE$205,AE168,$N$6:$N$205,"견적접수")&gt;0,1,0),"")</f>
        <v/>
      </c>
      <c r="AK168" s="50">
        <f>IF(OR(R168="",N168&lt;&gt;"견적접수"),"",IF(AND(R168=_xlfn.MINIFS($R$6:$R$205,$AE$6:$AE$205,AE168,$N$6:$N$205,"견적접수"),COUNTIFS($AE$5:AE167,AE168,$R$5:R167,R168,$N$5:N167,"견적접수")=0),1,""))</f>
        <v/>
      </c>
    </row>
    <row r="169">
      <c r="A169" s="50">
        <f>IF(F169="","",ROW()-5)</f>
        <v/>
      </c>
      <c r="B169" s="34" t="n"/>
      <c r="C169" s="34" t="n"/>
      <c r="D169" s="34" t="n"/>
      <c r="E169" s="34" t="n"/>
      <c r="F169" s="36" t="n"/>
      <c r="G169" s="36" t="n"/>
      <c r="H169" s="36" t="n"/>
      <c r="I169" s="36" t="n"/>
      <c r="J169" s="36" t="n"/>
      <c r="K169" s="34" t="n"/>
      <c r="L169" s="34" t="n"/>
      <c r="M169" s="34" t="n"/>
      <c r="N169" s="34" t="n"/>
      <c r="O169" s="50">
        <f>IF(N(AH169)&gt;1,"중복 "&amp;AH169&amp;"곳"&amp;IF(AK169=1," · 최저가",IF(AND(N169="견적접수",R169&lt;&gt;"")," · 비쌈","")),"")</f>
        <v/>
      </c>
      <c r="P169" s="34" t="n"/>
      <c r="Q169" s="51" t="n"/>
      <c r="R169" s="52">
        <f>IF(OR(Q169="",P169=""),"",IFERROR(IF(VLOOKUP(P169,설정!$K$5:$L$9,2,0)&gt;0,Q169*VLOOKUP(P169,설정!$K$5:$L$9,2,0),""),""))</f>
        <v/>
      </c>
      <c r="S169" s="53">
        <f>IF(OR(R169="",K169=""),"",R169*K169)</f>
        <v/>
      </c>
      <c r="T169" s="38" t="n"/>
      <c r="U169" s="54">
        <f>IF(OR(T169="",AC169="발주완료",AC169="취소"),"",TODAY()+T169)</f>
        <v/>
      </c>
      <c r="V169" s="50">
        <f>IF(OR(U169="",NOT(ISNUMBER($K$2))),"",IF(U169&lt;=$K$2,"가능","초과 "&amp;(U169-$K$2)&amp;"일"))</f>
        <v/>
      </c>
      <c r="W169" s="34" t="n"/>
      <c r="X169" s="34" t="n"/>
      <c r="Y169" s="34" t="n"/>
      <c r="Z169" s="56" t="n"/>
      <c r="AA169" s="54">
        <f>IF(OR(Z169="",Y169=""),"",Z169+Y169)</f>
        <v/>
      </c>
      <c r="AB169" s="36" t="n"/>
      <c r="AC169" s="34" t="n"/>
      <c r="AD169" s="36" t="n"/>
      <c r="AE169" s="50">
        <f>IF(F169="","",B169&amp;"#"&amp;IF(D169="",F169,D169))</f>
        <v/>
      </c>
      <c r="AF169" s="50">
        <f>IF(AE169="","",AE169&amp;"|"&amp;M169)</f>
        <v/>
      </c>
      <c r="AG169" s="50">
        <f>IF(AE169="","",IF(COUNTIF($AE$6:AE169,AE169)=1,1,0))</f>
        <v/>
      </c>
      <c r="AH169" s="50">
        <f>IF(AE169="","",COUNTIF($AE$6:$AE$205,AE169))</f>
        <v/>
      </c>
      <c r="AI169" s="50">
        <f>IF(AE169="","",IF(AND(AG169=1,AH169&gt;1),COUNTIFS($AG$6:AG169,1,$AH$6:AH169,"&gt;1"),""))</f>
        <v/>
      </c>
      <c r="AJ169" s="50">
        <f>IF(AG169=1,IF(COUNTIFS($AE$6:$AE$205,AE169,$N$6:$N$205,"견적접수")&gt;0,1,0),"")</f>
        <v/>
      </c>
      <c r="AK169" s="50">
        <f>IF(OR(R169="",N169&lt;&gt;"견적접수"),"",IF(AND(R169=_xlfn.MINIFS($R$6:$R$205,$AE$6:$AE$205,AE169,$N$6:$N$205,"견적접수"),COUNTIFS($AE$5:AE168,AE169,$R$5:R168,R169,$N$5:N168,"견적접수")=0),1,""))</f>
        <v/>
      </c>
    </row>
    <row r="170">
      <c r="A170" s="50">
        <f>IF(F170="","",ROW()-5)</f>
        <v/>
      </c>
      <c r="B170" s="34" t="n"/>
      <c r="C170" s="34" t="n"/>
      <c r="D170" s="34" t="n"/>
      <c r="E170" s="34" t="n"/>
      <c r="F170" s="36" t="n"/>
      <c r="G170" s="36" t="n"/>
      <c r="H170" s="36" t="n"/>
      <c r="I170" s="36" t="n"/>
      <c r="J170" s="36" t="n"/>
      <c r="K170" s="34" t="n"/>
      <c r="L170" s="34" t="n"/>
      <c r="M170" s="34" t="n"/>
      <c r="N170" s="34" t="n"/>
      <c r="O170" s="50">
        <f>IF(N(AH170)&gt;1,"중복 "&amp;AH170&amp;"곳"&amp;IF(AK170=1," · 최저가",IF(AND(N170="견적접수",R170&lt;&gt;"")," · 비쌈","")),"")</f>
        <v/>
      </c>
      <c r="P170" s="34" t="n"/>
      <c r="Q170" s="51" t="n"/>
      <c r="R170" s="52">
        <f>IF(OR(Q170="",P170=""),"",IFERROR(IF(VLOOKUP(P170,설정!$K$5:$L$9,2,0)&gt;0,Q170*VLOOKUP(P170,설정!$K$5:$L$9,2,0),""),""))</f>
        <v/>
      </c>
      <c r="S170" s="53">
        <f>IF(OR(R170="",K170=""),"",R170*K170)</f>
        <v/>
      </c>
      <c r="T170" s="38" t="n"/>
      <c r="U170" s="54">
        <f>IF(OR(T170="",AC170="발주완료",AC170="취소"),"",TODAY()+T170)</f>
        <v/>
      </c>
      <c r="V170" s="50">
        <f>IF(OR(U170="",NOT(ISNUMBER($K$2))),"",IF(U170&lt;=$K$2,"가능","초과 "&amp;(U170-$K$2)&amp;"일"))</f>
        <v/>
      </c>
      <c r="W170" s="34" t="n"/>
      <c r="X170" s="34" t="n"/>
      <c r="Y170" s="34" t="n"/>
      <c r="Z170" s="56" t="n"/>
      <c r="AA170" s="54">
        <f>IF(OR(Z170="",Y170=""),"",Z170+Y170)</f>
        <v/>
      </c>
      <c r="AB170" s="36" t="n"/>
      <c r="AC170" s="34" t="n"/>
      <c r="AD170" s="36" t="n"/>
      <c r="AE170" s="50">
        <f>IF(F170="","",B170&amp;"#"&amp;IF(D170="",F170,D170))</f>
        <v/>
      </c>
      <c r="AF170" s="50">
        <f>IF(AE170="","",AE170&amp;"|"&amp;M170)</f>
        <v/>
      </c>
      <c r="AG170" s="50">
        <f>IF(AE170="","",IF(COUNTIF($AE$6:AE170,AE170)=1,1,0))</f>
        <v/>
      </c>
      <c r="AH170" s="50">
        <f>IF(AE170="","",COUNTIF($AE$6:$AE$205,AE170))</f>
        <v/>
      </c>
      <c r="AI170" s="50">
        <f>IF(AE170="","",IF(AND(AG170=1,AH170&gt;1),COUNTIFS($AG$6:AG170,1,$AH$6:AH170,"&gt;1"),""))</f>
        <v/>
      </c>
      <c r="AJ170" s="50">
        <f>IF(AG170=1,IF(COUNTIFS($AE$6:$AE$205,AE170,$N$6:$N$205,"견적접수")&gt;0,1,0),"")</f>
        <v/>
      </c>
      <c r="AK170" s="50">
        <f>IF(OR(R170="",N170&lt;&gt;"견적접수"),"",IF(AND(R170=_xlfn.MINIFS($R$6:$R$205,$AE$6:$AE$205,AE170,$N$6:$N$205,"견적접수"),COUNTIFS($AE$5:AE169,AE170,$R$5:R169,R170,$N$5:N169,"견적접수")=0),1,""))</f>
        <v/>
      </c>
    </row>
    <row r="171">
      <c r="A171" s="50">
        <f>IF(F171="","",ROW()-5)</f>
        <v/>
      </c>
      <c r="B171" s="34" t="n"/>
      <c r="C171" s="34" t="n"/>
      <c r="D171" s="34" t="n"/>
      <c r="E171" s="34" t="n"/>
      <c r="F171" s="36" t="n"/>
      <c r="G171" s="36" t="n"/>
      <c r="H171" s="36" t="n"/>
      <c r="I171" s="36" t="n"/>
      <c r="J171" s="36" t="n"/>
      <c r="K171" s="34" t="n"/>
      <c r="L171" s="34" t="n"/>
      <c r="M171" s="34" t="n"/>
      <c r="N171" s="34" t="n"/>
      <c r="O171" s="50">
        <f>IF(N(AH171)&gt;1,"중복 "&amp;AH171&amp;"곳"&amp;IF(AK171=1," · 최저가",IF(AND(N171="견적접수",R171&lt;&gt;"")," · 비쌈","")),"")</f>
        <v/>
      </c>
      <c r="P171" s="34" t="n"/>
      <c r="Q171" s="51" t="n"/>
      <c r="R171" s="52">
        <f>IF(OR(Q171="",P171=""),"",IFERROR(IF(VLOOKUP(P171,설정!$K$5:$L$9,2,0)&gt;0,Q171*VLOOKUP(P171,설정!$K$5:$L$9,2,0),""),""))</f>
        <v/>
      </c>
      <c r="S171" s="53">
        <f>IF(OR(R171="",K171=""),"",R171*K171)</f>
        <v/>
      </c>
      <c r="T171" s="38" t="n"/>
      <c r="U171" s="54">
        <f>IF(OR(T171="",AC171="발주완료",AC171="취소"),"",TODAY()+T171)</f>
        <v/>
      </c>
      <c r="V171" s="50">
        <f>IF(OR(U171="",NOT(ISNUMBER($K$2))),"",IF(U171&lt;=$K$2,"가능","초과 "&amp;(U171-$K$2)&amp;"일"))</f>
        <v/>
      </c>
      <c r="W171" s="34" t="n"/>
      <c r="X171" s="34" t="n"/>
      <c r="Y171" s="34" t="n"/>
      <c r="Z171" s="56" t="n"/>
      <c r="AA171" s="54">
        <f>IF(OR(Z171="",Y171=""),"",Z171+Y171)</f>
        <v/>
      </c>
      <c r="AB171" s="36" t="n"/>
      <c r="AC171" s="34" t="n"/>
      <c r="AD171" s="36" t="n"/>
      <c r="AE171" s="50">
        <f>IF(F171="","",B171&amp;"#"&amp;IF(D171="",F171,D171))</f>
        <v/>
      </c>
      <c r="AF171" s="50">
        <f>IF(AE171="","",AE171&amp;"|"&amp;M171)</f>
        <v/>
      </c>
      <c r="AG171" s="50">
        <f>IF(AE171="","",IF(COUNTIF($AE$6:AE171,AE171)=1,1,0))</f>
        <v/>
      </c>
      <c r="AH171" s="50">
        <f>IF(AE171="","",COUNTIF($AE$6:$AE$205,AE171))</f>
        <v/>
      </c>
      <c r="AI171" s="50">
        <f>IF(AE171="","",IF(AND(AG171=1,AH171&gt;1),COUNTIFS($AG$6:AG171,1,$AH$6:AH171,"&gt;1"),""))</f>
        <v/>
      </c>
      <c r="AJ171" s="50">
        <f>IF(AG171=1,IF(COUNTIFS($AE$6:$AE$205,AE171,$N$6:$N$205,"견적접수")&gt;0,1,0),"")</f>
        <v/>
      </c>
      <c r="AK171" s="50">
        <f>IF(OR(R171="",N171&lt;&gt;"견적접수"),"",IF(AND(R171=_xlfn.MINIFS($R$6:$R$205,$AE$6:$AE$205,AE171,$N$6:$N$205,"견적접수"),COUNTIFS($AE$5:AE170,AE171,$R$5:R170,R171,$N$5:N170,"견적접수")=0),1,""))</f>
        <v/>
      </c>
    </row>
    <row r="172">
      <c r="A172" s="50">
        <f>IF(F172="","",ROW()-5)</f>
        <v/>
      </c>
      <c r="B172" s="34" t="n"/>
      <c r="C172" s="34" t="n"/>
      <c r="D172" s="34" t="n"/>
      <c r="E172" s="34" t="n"/>
      <c r="F172" s="36" t="n"/>
      <c r="G172" s="36" t="n"/>
      <c r="H172" s="36" t="n"/>
      <c r="I172" s="36" t="n"/>
      <c r="J172" s="36" t="n"/>
      <c r="K172" s="34" t="n"/>
      <c r="L172" s="34" t="n"/>
      <c r="M172" s="34" t="n"/>
      <c r="N172" s="34" t="n"/>
      <c r="O172" s="50">
        <f>IF(N(AH172)&gt;1,"중복 "&amp;AH172&amp;"곳"&amp;IF(AK172=1," · 최저가",IF(AND(N172="견적접수",R172&lt;&gt;"")," · 비쌈","")),"")</f>
        <v/>
      </c>
      <c r="P172" s="34" t="n"/>
      <c r="Q172" s="51" t="n"/>
      <c r="R172" s="52">
        <f>IF(OR(Q172="",P172=""),"",IFERROR(IF(VLOOKUP(P172,설정!$K$5:$L$9,2,0)&gt;0,Q172*VLOOKUP(P172,설정!$K$5:$L$9,2,0),""),""))</f>
        <v/>
      </c>
      <c r="S172" s="53">
        <f>IF(OR(R172="",K172=""),"",R172*K172)</f>
        <v/>
      </c>
      <c r="T172" s="38" t="n"/>
      <c r="U172" s="54">
        <f>IF(OR(T172="",AC172="발주완료",AC172="취소"),"",TODAY()+T172)</f>
        <v/>
      </c>
      <c r="V172" s="50">
        <f>IF(OR(U172="",NOT(ISNUMBER($K$2))),"",IF(U172&lt;=$K$2,"가능","초과 "&amp;(U172-$K$2)&amp;"일"))</f>
        <v/>
      </c>
      <c r="W172" s="34" t="n"/>
      <c r="X172" s="34" t="n"/>
      <c r="Y172" s="34" t="n"/>
      <c r="Z172" s="56" t="n"/>
      <c r="AA172" s="54">
        <f>IF(OR(Z172="",Y172=""),"",Z172+Y172)</f>
        <v/>
      </c>
      <c r="AB172" s="36" t="n"/>
      <c r="AC172" s="34" t="n"/>
      <c r="AD172" s="36" t="n"/>
      <c r="AE172" s="50">
        <f>IF(F172="","",B172&amp;"#"&amp;IF(D172="",F172,D172))</f>
        <v/>
      </c>
      <c r="AF172" s="50">
        <f>IF(AE172="","",AE172&amp;"|"&amp;M172)</f>
        <v/>
      </c>
      <c r="AG172" s="50">
        <f>IF(AE172="","",IF(COUNTIF($AE$6:AE172,AE172)=1,1,0))</f>
        <v/>
      </c>
      <c r="AH172" s="50">
        <f>IF(AE172="","",COUNTIF($AE$6:$AE$205,AE172))</f>
        <v/>
      </c>
      <c r="AI172" s="50">
        <f>IF(AE172="","",IF(AND(AG172=1,AH172&gt;1),COUNTIFS($AG$6:AG172,1,$AH$6:AH172,"&gt;1"),""))</f>
        <v/>
      </c>
      <c r="AJ172" s="50">
        <f>IF(AG172=1,IF(COUNTIFS($AE$6:$AE$205,AE172,$N$6:$N$205,"견적접수")&gt;0,1,0),"")</f>
        <v/>
      </c>
      <c r="AK172" s="50">
        <f>IF(OR(R172="",N172&lt;&gt;"견적접수"),"",IF(AND(R172=_xlfn.MINIFS($R$6:$R$205,$AE$6:$AE$205,AE172,$N$6:$N$205,"견적접수"),COUNTIFS($AE$5:AE171,AE172,$R$5:R171,R172,$N$5:N171,"견적접수")=0),1,""))</f>
        <v/>
      </c>
    </row>
    <row r="173">
      <c r="A173" s="50">
        <f>IF(F173="","",ROW()-5)</f>
        <v/>
      </c>
      <c r="B173" s="34" t="n"/>
      <c r="C173" s="34" t="n"/>
      <c r="D173" s="34" t="n"/>
      <c r="E173" s="34" t="n"/>
      <c r="F173" s="36" t="n"/>
      <c r="G173" s="36" t="n"/>
      <c r="H173" s="36" t="n"/>
      <c r="I173" s="36" t="n"/>
      <c r="J173" s="36" t="n"/>
      <c r="K173" s="34" t="n"/>
      <c r="L173" s="34" t="n"/>
      <c r="M173" s="34" t="n"/>
      <c r="N173" s="34" t="n"/>
      <c r="O173" s="50">
        <f>IF(N(AH173)&gt;1,"중복 "&amp;AH173&amp;"곳"&amp;IF(AK173=1," · 최저가",IF(AND(N173="견적접수",R173&lt;&gt;"")," · 비쌈","")),"")</f>
        <v/>
      </c>
      <c r="P173" s="34" t="n"/>
      <c r="Q173" s="51" t="n"/>
      <c r="R173" s="52">
        <f>IF(OR(Q173="",P173=""),"",IFERROR(IF(VLOOKUP(P173,설정!$K$5:$L$9,2,0)&gt;0,Q173*VLOOKUP(P173,설정!$K$5:$L$9,2,0),""),""))</f>
        <v/>
      </c>
      <c r="S173" s="53">
        <f>IF(OR(R173="",K173=""),"",R173*K173)</f>
        <v/>
      </c>
      <c r="T173" s="38" t="n"/>
      <c r="U173" s="54">
        <f>IF(OR(T173="",AC173="발주완료",AC173="취소"),"",TODAY()+T173)</f>
        <v/>
      </c>
      <c r="V173" s="50">
        <f>IF(OR(U173="",NOT(ISNUMBER($K$2))),"",IF(U173&lt;=$K$2,"가능","초과 "&amp;(U173-$K$2)&amp;"일"))</f>
        <v/>
      </c>
      <c r="W173" s="34" t="n"/>
      <c r="X173" s="34" t="n"/>
      <c r="Y173" s="34" t="n"/>
      <c r="Z173" s="56" t="n"/>
      <c r="AA173" s="54">
        <f>IF(OR(Z173="",Y173=""),"",Z173+Y173)</f>
        <v/>
      </c>
      <c r="AB173" s="36" t="n"/>
      <c r="AC173" s="34" t="n"/>
      <c r="AD173" s="36" t="n"/>
      <c r="AE173" s="50">
        <f>IF(F173="","",B173&amp;"#"&amp;IF(D173="",F173,D173))</f>
        <v/>
      </c>
      <c r="AF173" s="50">
        <f>IF(AE173="","",AE173&amp;"|"&amp;M173)</f>
        <v/>
      </c>
      <c r="AG173" s="50">
        <f>IF(AE173="","",IF(COUNTIF($AE$6:AE173,AE173)=1,1,0))</f>
        <v/>
      </c>
      <c r="AH173" s="50">
        <f>IF(AE173="","",COUNTIF($AE$6:$AE$205,AE173))</f>
        <v/>
      </c>
      <c r="AI173" s="50">
        <f>IF(AE173="","",IF(AND(AG173=1,AH173&gt;1),COUNTIFS($AG$6:AG173,1,$AH$6:AH173,"&gt;1"),""))</f>
        <v/>
      </c>
      <c r="AJ173" s="50">
        <f>IF(AG173=1,IF(COUNTIFS($AE$6:$AE$205,AE173,$N$6:$N$205,"견적접수")&gt;0,1,0),"")</f>
        <v/>
      </c>
      <c r="AK173" s="50">
        <f>IF(OR(R173="",N173&lt;&gt;"견적접수"),"",IF(AND(R173=_xlfn.MINIFS($R$6:$R$205,$AE$6:$AE$205,AE173,$N$6:$N$205,"견적접수"),COUNTIFS($AE$5:AE172,AE173,$R$5:R172,R173,$N$5:N172,"견적접수")=0),1,""))</f>
        <v/>
      </c>
    </row>
    <row r="174">
      <c r="A174" s="50">
        <f>IF(F174="","",ROW()-5)</f>
        <v/>
      </c>
      <c r="B174" s="34" t="n"/>
      <c r="C174" s="34" t="n"/>
      <c r="D174" s="34" t="n"/>
      <c r="E174" s="34" t="n"/>
      <c r="F174" s="36" t="n"/>
      <c r="G174" s="36" t="n"/>
      <c r="H174" s="36" t="n"/>
      <c r="I174" s="36" t="n"/>
      <c r="J174" s="36" t="n"/>
      <c r="K174" s="34" t="n"/>
      <c r="L174" s="34" t="n"/>
      <c r="M174" s="34" t="n"/>
      <c r="N174" s="34" t="n"/>
      <c r="O174" s="50">
        <f>IF(N(AH174)&gt;1,"중복 "&amp;AH174&amp;"곳"&amp;IF(AK174=1," · 최저가",IF(AND(N174="견적접수",R174&lt;&gt;"")," · 비쌈","")),"")</f>
        <v/>
      </c>
      <c r="P174" s="34" t="n"/>
      <c r="Q174" s="51" t="n"/>
      <c r="R174" s="52">
        <f>IF(OR(Q174="",P174=""),"",IFERROR(IF(VLOOKUP(P174,설정!$K$5:$L$9,2,0)&gt;0,Q174*VLOOKUP(P174,설정!$K$5:$L$9,2,0),""),""))</f>
        <v/>
      </c>
      <c r="S174" s="53">
        <f>IF(OR(R174="",K174=""),"",R174*K174)</f>
        <v/>
      </c>
      <c r="T174" s="38" t="n"/>
      <c r="U174" s="54">
        <f>IF(OR(T174="",AC174="발주완료",AC174="취소"),"",TODAY()+T174)</f>
        <v/>
      </c>
      <c r="V174" s="50">
        <f>IF(OR(U174="",NOT(ISNUMBER($K$2))),"",IF(U174&lt;=$K$2,"가능","초과 "&amp;(U174-$K$2)&amp;"일"))</f>
        <v/>
      </c>
      <c r="W174" s="34" t="n"/>
      <c r="X174" s="34" t="n"/>
      <c r="Y174" s="34" t="n"/>
      <c r="Z174" s="56" t="n"/>
      <c r="AA174" s="54">
        <f>IF(OR(Z174="",Y174=""),"",Z174+Y174)</f>
        <v/>
      </c>
      <c r="AB174" s="36" t="n"/>
      <c r="AC174" s="34" t="n"/>
      <c r="AD174" s="36" t="n"/>
      <c r="AE174" s="50">
        <f>IF(F174="","",B174&amp;"#"&amp;IF(D174="",F174,D174))</f>
        <v/>
      </c>
      <c r="AF174" s="50">
        <f>IF(AE174="","",AE174&amp;"|"&amp;M174)</f>
        <v/>
      </c>
      <c r="AG174" s="50">
        <f>IF(AE174="","",IF(COUNTIF($AE$6:AE174,AE174)=1,1,0))</f>
        <v/>
      </c>
      <c r="AH174" s="50">
        <f>IF(AE174="","",COUNTIF($AE$6:$AE$205,AE174))</f>
        <v/>
      </c>
      <c r="AI174" s="50">
        <f>IF(AE174="","",IF(AND(AG174=1,AH174&gt;1),COUNTIFS($AG$6:AG174,1,$AH$6:AH174,"&gt;1"),""))</f>
        <v/>
      </c>
      <c r="AJ174" s="50">
        <f>IF(AG174=1,IF(COUNTIFS($AE$6:$AE$205,AE174,$N$6:$N$205,"견적접수")&gt;0,1,0),"")</f>
        <v/>
      </c>
      <c r="AK174" s="50">
        <f>IF(OR(R174="",N174&lt;&gt;"견적접수"),"",IF(AND(R174=_xlfn.MINIFS($R$6:$R$205,$AE$6:$AE$205,AE174,$N$6:$N$205,"견적접수"),COUNTIFS($AE$5:AE173,AE174,$R$5:R173,R174,$N$5:N173,"견적접수")=0),1,""))</f>
        <v/>
      </c>
    </row>
    <row r="175">
      <c r="A175" s="50">
        <f>IF(F175="","",ROW()-5)</f>
        <v/>
      </c>
      <c r="B175" s="34" t="n"/>
      <c r="C175" s="34" t="n"/>
      <c r="D175" s="34" t="n"/>
      <c r="E175" s="34" t="n"/>
      <c r="F175" s="36" t="n"/>
      <c r="G175" s="36" t="n"/>
      <c r="H175" s="36" t="n"/>
      <c r="I175" s="36" t="n"/>
      <c r="J175" s="36" t="n"/>
      <c r="K175" s="34" t="n"/>
      <c r="L175" s="34" t="n"/>
      <c r="M175" s="34" t="n"/>
      <c r="N175" s="34" t="n"/>
      <c r="O175" s="50">
        <f>IF(N(AH175)&gt;1,"중복 "&amp;AH175&amp;"곳"&amp;IF(AK175=1," · 최저가",IF(AND(N175="견적접수",R175&lt;&gt;"")," · 비쌈","")),"")</f>
        <v/>
      </c>
      <c r="P175" s="34" t="n"/>
      <c r="Q175" s="51" t="n"/>
      <c r="R175" s="52">
        <f>IF(OR(Q175="",P175=""),"",IFERROR(IF(VLOOKUP(P175,설정!$K$5:$L$9,2,0)&gt;0,Q175*VLOOKUP(P175,설정!$K$5:$L$9,2,0),""),""))</f>
        <v/>
      </c>
      <c r="S175" s="53">
        <f>IF(OR(R175="",K175=""),"",R175*K175)</f>
        <v/>
      </c>
      <c r="T175" s="38" t="n"/>
      <c r="U175" s="54">
        <f>IF(OR(T175="",AC175="발주완료",AC175="취소"),"",TODAY()+T175)</f>
        <v/>
      </c>
      <c r="V175" s="50">
        <f>IF(OR(U175="",NOT(ISNUMBER($K$2))),"",IF(U175&lt;=$K$2,"가능","초과 "&amp;(U175-$K$2)&amp;"일"))</f>
        <v/>
      </c>
      <c r="W175" s="34" t="n"/>
      <c r="X175" s="34" t="n"/>
      <c r="Y175" s="34" t="n"/>
      <c r="Z175" s="56" t="n"/>
      <c r="AA175" s="54">
        <f>IF(OR(Z175="",Y175=""),"",Z175+Y175)</f>
        <v/>
      </c>
      <c r="AB175" s="36" t="n"/>
      <c r="AC175" s="34" t="n"/>
      <c r="AD175" s="36" t="n"/>
      <c r="AE175" s="50">
        <f>IF(F175="","",B175&amp;"#"&amp;IF(D175="",F175,D175))</f>
        <v/>
      </c>
      <c r="AF175" s="50">
        <f>IF(AE175="","",AE175&amp;"|"&amp;M175)</f>
        <v/>
      </c>
      <c r="AG175" s="50">
        <f>IF(AE175="","",IF(COUNTIF($AE$6:AE175,AE175)=1,1,0))</f>
        <v/>
      </c>
      <c r="AH175" s="50">
        <f>IF(AE175="","",COUNTIF($AE$6:$AE$205,AE175))</f>
        <v/>
      </c>
      <c r="AI175" s="50">
        <f>IF(AE175="","",IF(AND(AG175=1,AH175&gt;1),COUNTIFS($AG$6:AG175,1,$AH$6:AH175,"&gt;1"),""))</f>
        <v/>
      </c>
      <c r="AJ175" s="50">
        <f>IF(AG175=1,IF(COUNTIFS($AE$6:$AE$205,AE175,$N$6:$N$205,"견적접수")&gt;0,1,0),"")</f>
        <v/>
      </c>
      <c r="AK175" s="50">
        <f>IF(OR(R175="",N175&lt;&gt;"견적접수"),"",IF(AND(R175=_xlfn.MINIFS($R$6:$R$205,$AE$6:$AE$205,AE175,$N$6:$N$205,"견적접수"),COUNTIFS($AE$5:AE174,AE175,$R$5:R174,R175,$N$5:N174,"견적접수")=0),1,""))</f>
        <v/>
      </c>
    </row>
    <row r="176">
      <c r="A176" s="50">
        <f>IF(F176="","",ROW()-5)</f>
        <v/>
      </c>
      <c r="B176" s="34" t="n"/>
      <c r="C176" s="34" t="n"/>
      <c r="D176" s="34" t="n"/>
      <c r="E176" s="34" t="n"/>
      <c r="F176" s="36" t="n"/>
      <c r="G176" s="36" t="n"/>
      <c r="H176" s="36" t="n"/>
      <c r="I176" s="36" t="n"/>
      <c r="J176" s="36" t="n"/>
      <c r="K176" s="34" t="n"/>
      <c r="L176" s="34" t="n"/>
      <c r="M176" s="34" t="n"/>
      <c r="N176" s="34" t="n"/>
      <c r="O176" s="50">
        <f>IF(N(AH176)&gt;1,"중복 "&amp;AH176&amp;"곳"&amp;IF(AK176=1," · 최저가",IF(AND(N176="견적접수",R176&lt;&gt;"")," · 비쌈","")),"")</f>
        <v/>
      </c>
      <c r="P176" s="34" t="n"/>
      <c r="Q176" s="51" t="n"/>
      <c r="R176" s="52">
        <f>IF(OR(Q176="",P176=""),"",IFERROR(IF(VLOOKUP(P176,설정!$K$5:$L$9,2,0)&gt;0,Q176*VLOOKUP(P176,설정!$K$5:$L$9,2,0),""),""))</f>
        <v/>
      </c>
      <c r="S176" s="53">
        <f>IF(OR(R176="",K176=""),"",R176*K176)</f>
        <v/>
      </c>
      <c r="T176" s="38" t="n"/>
      <c r="U176" s="54">
        <f>IF(OR(T176="",AC176="발주완료",AC176="취소"),"",TODAY()+T176)</f>
        <v/>
      </c>
      <c r="V176" s="50">
        <f>IF(OR(U176="",NOT(ISNUMBER($K$2))),"",IF(U176&lt;=$K$2,"가능","초과 "&amp;(U176-$K$2)&amp;"일"))</f>
        <v/>
      </c>
      <c r="W176" s="34" t="n"/>
      <c r="X176" s="34" t="n"/>
      <c r="Y176" s="34" t="n"/>
      <c r="Z176" s="56" t="n"/>
      <c r="AA176" s="54">
        <f>IF(OR(Z176="",Y176=""),"",Z176+Y176)</f>
        <v/>
      </c>
      <c r="AB176" s="36" t="n"/>
      <c r="AC176" s="34" t="n"/>
      <c r="AD176" s="36" t="n"/>
      <c r="AE176" s="50">
        <f>IF(F176="","",B176&amp;"#"&amp;IF(D176="",F176,D176))</f>
        <v/>
      </c>
      <c r="AF176" s="50">
        <f>IF(AE176="","",AE176&amp;"|"&amp;M176)</f>
        <v/>
      </c>
      <c r="AG176" s="50">
        <f>IF(AE176="","",IF(COUNTIF($AE$6:AE176,AE176)=1,1,0))</f>
        <v/>
      </c>
      <c r="AH176" s="50">
        <f>IF(AE176="","",COUNTIF($AE$6:$AE$205,AE176))</f>
        <v/>
      </c>
      <c r="AI176" s="50">
        <f>IF(AE176="","",IF(AND(AG176=1,AH176&gt;1),COUNTIFS($AG$6:AG176,1,$AH$6:AH176,"&gt;1"),""))</f>
        <v/>
      </c>
      <c r="AJ176" s="50">
        <f>IF(AG176=1,IF(COUNTIFS($AE$6:$AE$205,AE176,$N$6:$N$205,"견적접수")&gt;0,1,0),"")</f>
        <v/>
      </c>
      <c r="AK176" s="50">
        <f>IF(OR(R176="",N176&lt;&gt;"견적접수"),"",IF(AND(R176=_xlfn.MINIFS($R$6:$R$205,$AE$6:$AE$205,AE176,$N$6:$N$205,"견적접수"),COUNTIFS($AE$5:AE175,AE176,$R$5:R175,R176,$N$5:N175,"견적접수")=0),1,""))</f>
        <v/>
      </c>
    </row>
    <row r="177">
      <c r="A177" s="50">
        <f>IF(F177="","",ROW()-5)</f>
        <v/>
      </c>
      <c r="B177" s="34" t="n"/>
      <c r="C177" s="34" t="n"/>
      <c r="D177" s="34" t="n"/>
      <c r="E177" s="34" t="n"/>
      <c r="F177" s="36" t="n"/>
      <c r="G177" s="36" t="n"/>
      <c r="H177" s="36" t="n"/>
      <c r="I177" s="36" t="n"/>
      <c r="J177" s="36" t="n"/>
      <c r="K177" s="34" t="n"/>
      <c r="L177" s="34" t="n"/>
      <c r="M177" s="34" t="n"/>
      <c r="N177" s="34" t="n"/>
      <c r="O177" s="50">
        <f>IF(N(AH177)&gt;1,"중복 "&amp;AH177&amp;"곳"&amp;IF(AK177=1," · 최저가",IF(AND(N177="견적접수",R177&lt;&gt;"")," · 비쌈","")),"")</f>
        <v/>
      </c>
      <c r="P177" s="34" t="n"/>
      <c r="Q177" s="51" t="n"/>
      <c r="R177" s="52">
        <f>IF(OR(Q177="",P177=""),"",IFERROR(IF(VLOOKUP(P177,설정!$K$5:$L$9,2,0)&gt;0,Q177*VLOOKUP(P177,설정!$K$5:$L$9,2,0),""),""))</f>
        <v/>
      </c>
      <c r="S177" s="53">
        <f>IF(OR(R177="",K177=""),"",R177*K177)</f>
        <v/>
      </c>
      <c r="T177" s="38" t="n"/>
      <c r="U177" s="54">
        <f>IF(OR(T177="",AC177="발주완료",AC177="취소"),"",TODAY()+T177)</f>
        <v/>
      </c>
      <c r="V177" s="50">
        <f>IF(OR(U177="",NOT(ISNUMBER($K$2))),"",IF(U177&lt;=$K$2,"가능","초과 "&amp;(U177-$K$2)&amp;"일"))</f>
        <v/>
      </c>
      <c r="W177" s="34" t="n"/>
      <c r="X177" s="34" t="n"/>
      <c r="Y177" s="34" t="n"/>
      <c r="Z177" s="56" t="n"/>
      <c r="AA177" s="54">
        <f>IF(OR(Z177="",Y177=""),"",Z177+Y177)</f>
        <v/>
      </c>
      <c r="AB177" s="36" t="n"/>
      <c r="AC177" s="34" t="n"/>
      <c r="AD177" s="36" t="n"/>
      <c r="AE177" s="50">
        <f>IF(F177="","",B177&amp;"#"&amp;IF(D177="",F177,D177))</f>
        <v/>
      </c>
      <c r="AF177" s="50">
        <f>IF(AE177="","",AE177&amp;"|"&amp;M177)</f>
        <v/>
      </c>
      <c r="AG177" s="50">
        <f>IF(AE177="","",IF(COUNTIF($AE$6:AE177,AE177)=1,1,0))</f>
        <v/>
      </c>
      <c r="AH177" s="50">
        <f>IF(AE177="","",COUNTIF($AE$6:$AE$205,AE177))</f>
        <v/>
      </c>
      <c r="AI177" s="50">
        <f>IF(AE177="","",IF(AND(AG177=1,AH177&gt;1),COUNTIFS($AG$6:AG177,1,$AH$6:AH177,"&gt;1"),""))</f>
        <v/>
      </c>
      <c r="AJ177" s="50">
        <f>IF(AG177=1,IF(COUNTIFS($AE$6:$AE$205,AE177,$N$6:$N$205,"견적접수")&gt;0,1,0),"")</f>
        <v/>
      </c>
      <c r="AK177" s="50">
        <f>IF(OR(R177="",N177&lt;&gt;"견적접수"),"",IF(AND(R177=_xlfn.MINIFS($R$6:$R$205,$AE$6:$AE$205,AE177,$N$6:$N$205,"견적접수"),COUNTIFS($AE$5:AE176,AE177,$R$5:R176,R177,$N$5:N176,"견적접수")=0),1,""))</f>
        <v/>
      </c>
    </row>
    <row r="178">
      <c r="A178" s="50">
        <f>IF(F178="","",ROW()-5)</f>
        <v/>
      </c>
      <c r="B178" s="34" t="n"/>
      <c r="C178" s="34" t="n"/>
      <c r="D178" s="34" t="n"/>
      <c r="E178" s="34" t="n"/>
      <c r="F178" s="36" t="n"/>
      <c r="G178" s="36" t="n"/>
      <c r="H178" s="36" t="n"/>
      <c r="I178" s="36" t="n"/>
      <c r="J178" s="36" t="n"/>
      <c r="K178" s="34" t="n"/>
      <c r="L178" s="34" t="n"/>
      <c r="M178" s="34" t="n"/>
      <c r="N178" s="34" t="n"/>
      <c r="O178" s="50">
        <f>IF(N(AH178)&gt;1,"중복 "&amp;AH178&amp;"곳"&amp;IF(AK178=1," · 최저가",IF(AND(N178="견적접수",R178&lt;&gt;"")," · 비쌈","")),"")</f>
        <v/>
      </c>
      <c r="P178" s="34" t="n"/>
      <c r="Q178" s="51" t="n"/>
      <c r="R178" s="52">
        <f>IF(OR(Q178="",P178=""),"",IFERROR(IF(VLOOKUP(P178,설정!$K$5:$L$9,2,0)&gt;0,Q178*VLOOKUP(P178,설정!$K$5:$L$9,2,0),""),""))</f>
        <v/>
      </c>
      <c r="S178" s="53">
        <f>IF(OR(R178="",K178=""),"",R178*K178)</f>
        <v/>
      </c>
      <c r="T178" s="38" t="n"/>
      <c r="U178" s="54">
        <f>IF(OR(T178="",AC178="발주완료",AC178="취소"),"",TODAY()+T178)</f>
        <v/>
      </c>
      <c r="V178" s="50">
        <f>IF(OR(U178="",NOT(ISNUMBER($K$2))),"",IF(U178&lt;=$K$2,"가능","초과 "&amp;(U178-$K$2)&amp;"일"))</f>
        <v/>
      </c>
      <c r="W178" s="34" t="n"/>
      <c r="X178" s="34" t="n"/>
      <c r="Y178" s="34" t="n"/>
      <c r="Z178" s="56" t="n"/>
      <c r="AA178" s="54">
        <f>IF(OR(Z178="",Y178=""),"",Z178+Y178)</f>
        <v/>
      </c>
      <c r="AB178" s="36" t="n"/>
      <c r="AC178" s="34" t="n"/>
      <c r="AD178" s="36" t="n"/>
      <c r="AE178" s="50">
        <f>IF(F178="","",B178&amp;"#"&amp;IF(D178="",F178,D178))</f>
        <v/>
      </c>
      <c r="AF178" s="50">
        <f>IF(AE178="","",AE178&amp;"|"&amp;M178)</f>
        <v/>
      </c>
      <c r="AG178" s="50">
        <f>IF(AE178="","",IF(COUNTIF($AE$6:AE178,AE178)=1,1,0))</f>
        <v/>
      </c>
      <c r="AH178" s="50">
        <f>IF(AE178="","",COUNTIF($AE$6:$AE$205,AE178))</f>
        <v/>
      </c>
      <c r="AI178" s="50">
        <f>IF(AE178="","",IF(AND(AG178=1,AH178&gt;1),COUNTIFS($AG$6:AG178,1,$AH$6:AH178,"&gt;1"),""))</f>
        <v/>
      </c>
      <c r="AJ178" s="50">
        <f>IF(AG178=1,IF(COUNTIFS($AE$6:$AE$205,AE178,$N$6:$N$205,"견적접수")&gt;0,1,0),"")</f>
        <v/>
      </c>
      <c r="AK178" s="50">
        <f>IF(OR(R178="",N178&lt;&gt;"견적접수"),"",IF(AND(R178=_xlfn.MINIFS($R$6:$R$205,$AE$6:$AE$205,AE178,$N$6:$N$205,"견적접수"),COUNTIFS($AE$5:AE177,AE178,$R$5:R177,R178,$N$5:N177,"견적접수")=0),1,""))</f>
        <v/>
      </c>
    </row>
    <row r="179">
      <c r="A179" s="50">
        <f>IF(F179="","",ROW()-5)</f>
        <v/>
      </c>
      <c r="B179" s="34" t="n"/>
      <c r="C179" s="34" t="n"/>
      <c r="D179" s="34" t="n"/>
      <c r="E179" s="34" t="n"/>
      <c r="F179" s="36" t="n"/>
      <c r="G179" s="36" t="n"/>
      <c r="H179" s="36" t="n"/>
      <c r="I179" s="36" t="n"/>
      <c r="J179" s="36" t="n"/>
      <c r="K179" s="34" t="n"/>
      <c r="L179" s="34" t="n"/>
      <c r="M179" s="34" t="n"/>
      <c r="N179" s="34" t="n"/>
      <c r="O179" s="50">
        <f>IF(N(AH179)&gt;1,"중복 "&amp;AH179&amp;"곳"&amp;IF(AK179=1," · 최저가",IF(AND(N179="견적접수",R179&lt;&gt;"")," · 비쌈","")),"")</f>
        <v/>
      </c>
      <c r="P179" s="34" t="n"/>
      <c r="Q179" s="51" t="n"/>
      <c r="R179" s="52">
        <f>IF(OR(Q179="",P179=""),"",IFERROR(IF(VLOOKUP(P179,설정!$K$5:$L$9,2,0)&gt;0,Q179*VLOOKUP(P179,설정!$K$5:$L$9,2,0),""),""))</f>
        <v/>
      </c>
      <c r="S179" s="53">
        <f>IF(OR(R179="",K179=""),"",R179*K179)</f>
        <v/>
      </c>
      <c r="T179" s="38" t="n"/>
      <c r="U179" s="54">
        <f>IF(OR(T179="",AC179="발주완료",AC179="취소"),"",TODAY()+T179)</f>
        <v/>
      </c>
      <c r="V179" s="50">
        <f>IF(OR(U179="",NOT(ISNUMBER($K$2))),"",IF(U179&lt;=$K$2,"가능","초과 "&amp;(U179-$K$2)&amp;"일"))</f>
        <v/>
      </c>
      <c r="W179" s="34" t="n"/>
      <c r="X179" s="34" t="n"/>
      <c r="Y179" s="34" t="n"/>
      <c r="Z179" s="56" t="n"/>
      <c r="AA179" s="54">
        <f>IF(OR(Z179="",Y179=""),"",Z179+Y179)</f>
        <v/>
      </c>
      <c r="AB179" s="36" t="n"/>
      <c r="AC179" s="34" t="n"/>
      <c r="AD179" s="36" t="n"/>
      <c r="AE179" s="50">
        <f>IF(F179="","",B179&amp;"#"&amp;IF(D179="",F179,D179))</f>
        <v/>
      </c>
      <c r="AF179" s="50">
        <f>IF(AE179="","",AE179&amp;"|"&amp;M179)</f>
        <v/>
      </c>
      <c r="AG179" s="50">
        <f>IF(AE179="","",IF(COUNTIF($AE$6:AE179,AE179)=1,1,0))</f>
        <v/>
      </c>
      <c r="AH179" s="50">
        <f>IF(AE179="","",COUNTIF($AE$6:$AE$205,AE179))</f>
        <v/>
      </c>
      <c r="AI179" s="50">
        <f>IF(AE179="","",IF(AND(AG179=1,AH179&gt;1),COUNTIFS($AG$6:AG179,1,$AH$6:AH179,"&gt;1"),""))</f>
        <v/>
      </c>
      <c r="AJ179" s="50">
        <f>IF(AG179=1,IF(COUNTIFS($AE$6:$AE$205,AE179,$N$6:$N$205,"견적접수")&gt;0,1,0),"")</f>
        <v/>
      </c>
      <c r="AK179" s="50">
        <f>IF(OR(R179="",N179&lt;&gt;"견적접수"),"",IF(AND(R179=_xlfn.MINIFS($R$6:$R$205,$AE$6:$AE$205,AE179,$N$6:$N$205,"견적접수"),COUNTIFS($AE$5:AE178,AE179,$R$5:R178,R179,$N$5:N178,"견적접수")=0),1,""))</f>
        <v/>
      </c>
    </row>
    <row r="180">
      <c r="A180" s="50">
        <f>IF(F180="","",ROW()-5)</f>
        <v/>
      </c>
      <c r="B180" s="34" t="n"/>
      <c r="C180" s="34" t="n"/>
      <c r="D180" s="34" t="n"/>
      <c r="E180" s="34" t="n"/>
      <c r="F180" s="36" t="n"/>
      <c r="G180" s="36" t="n"/>
      <c r="H180" s="36" t="n"/>
      <c r="I180" s="36" t="n"/>
      <c r="J180" s="36" t="n"/>
      <c r="K180" s="34" t="n"/>
      <c r="L180" s="34" t="n"/>
      <c r="M180" s="34" t="n"/>
      <c r="N180" s="34" t="n"/>
      <c r="O180" s="50">
        <f>IF(N(AH180)&gt;1,"중복 "&amp;AH180&amp;"곳"&amp;IF(AK180=1," · 최저가",IF(AND(N180="견적접수",R180&lt;&gt;"")," · 비쌈","")),"")</f>
        <v/>
      </c>
      <c r="P180" s="34" t="n"/>
      <c r="Q180" s="51" t="n"/>
      <c r="R180" s="52">
        <f>IF(OR(Q180="",P180=""),"",IFERROR(IF(VLOOKUP(P180,설정!$K$5:$L$9,2,0)&gt;0,Q180*VLOOKUP(P180,설정!$K$5:$L$9,2,0),""),""))</f>
        <v/>
      </c>
      <c r="S180" s="53">
        <f>IF(OR(R180="",K180=""),"",R180*K180)</f>
        <v/>
      </c>
      <c r="T180" s="38" t="n"/>
      <c r="U180" s="54">
        <f>IF(OR(T180="",AC180="발주완료",AC180="취소"),"",TODAY()+T180)</f>
        <v/>
      </c>
      <c r="V180" s="50">
        <f>IF(OR(U180="",NOT(ISNUMBER($K$2))),"",IF(U180&lt;=$K$2,"가능","초과 "&amp;(U180-$K$2)&amp;"일"))</f>
        <v/>
      </c>
      <c r="W180" s="34" t="n"/>
      <c r="X180" s="34" t="n"/>
      <c r="Y180" s="34" t="n"/>
      <c r="Z180" s="56" t="n"/>
      <c r="AA180" s="54">
        <f>IF(OR(Z180="",Y180=""),"",Z180+Y180)</f>
        <v/>
      </c>
      <c r="AB180" s="36" t="n"/>
      <c r="AC180" s="34" t="n"/>
      <c r="AD180" s="36" t="n"/>
      <c r="AE180" s="50">
        <f>IF(F180="","",B180&amp;"#"&amp;IF(D180="",F180,D180))</f>
        <v/>
      </c>
      <c r="AF180" s="50">
        <f>IF(AE180="","",AE180&amp;"|"&amp;M180)</f>
        <v/>
      </c>
      <c r="AG180" s="50">
        <f>IF(AE180="","",IF(COUNTIF($AE$6:AE180,AE180)=1,1,0))</f>
        <v/>
      </c>
      <c r="AH180" s="50">
        <f>IF(AE180="","",COUNTIF($AE$6:$AE$205,AE180))</f>
        <v/>
      </c>
      <c r="AI180" s="50">
        <f>IF(AE180="","",IF(AND(AG180=1,AH180&gt;1),COUNTIFS($AG$6:AG180,1,$AH$6:AH180,"&gt;1"),""))</f>
        <v/>
      </c>
      <c r="AJ180" s="50">
        <f>IF(AG180=1,IF(COUNTIFS($AE$6:$AE$205,AE180,$N$6:$N$205,"견적접수")&gt;0,1,0),"")</f>
        <v/>
      </c>
      <c r="AK180" s="50">
        <f>IF(OR(R180="",N180&lt;&gt;"견적접수"),"",IF(AND(R180=_xlfn.MINIFS($R$6:$R$205,$AE$6:$AE$205,AE180,$N$6:$N$205,"견적접수"),COUNTIFS($AE$5:AE179,AE180,$R$5:R179,R180,$N$5:N179,"견적접수")=0),1,""))</f>
        <v/>
      </c>
    </row>
    <row r="181">
      <c r="A181" s="50">
        <f>IF(F181="","",ROW()-5)</f>
        <v/>
      </c>
      <c r="B181" s="34" t="n"/>
      <c r="C181" s="34" t="n"/>
      <c r="D181" s="34" t="n"/>
      <c r="E181" s="34" t="n"/>
      <c r="F181" s="36" t="n"/>
      <c r="G181" s="36" t="n"/>
      <c r="H181" s="36" t="n"/>
      <c r="I181" s="36" t="n"/>
      <c r="J181" s="36" t="n"/>
      <c r="K181" s="34" t="n"/>
      <c r="L181" s="34" t="n"/>
      <c r="M181" s="34" t="n"/>
      <c r="N181" s="34" t="n"/>
      <c r="O181" s="50">
        <f>IF(N(AH181)&gt;1,"중복 "&amp;AH181&amp;"곳"&amp;IF(AK181=1," · 최저가",IF(AND(N181="견적접수",R181&lt;&gt;"")," · 비쌈","")),"")</f>
        <v/>
      </c>
      <c r="P181" s="34" t="n"/>
      <c r="Q181" s="51" t="n"/>
      <c r="R181" s="52">
        <f>IF(OR(Q181="",P181=""),"",IFERROR(IF(VLOOKUP(P181,설정!$K$5:$L$9,2,0)&gt;0,Q181*VLOOKUP(P181,설정!$K$5:$L$9,2,0),""),""))</f>
        <v/>
      </c>
      <c r="S181" s="53">
        <f>IF(OR(R181="",K181=""),"",R181*K181)</f>
        <v/>
      </c>
      <c r="T181" s="38" t="n"/>
      <c r="U181" s="54">
        <f>IF(OR(T181="",AC181="발주완료",AC181="취소"),"",TODAY()+T181)</f>
        <v/>
      </c>
      <c r="V181" s="50">
        <f>IF(OR(U181="",NOT(ISNUMBER($K$2))),"",IF(U181&lt;=$K$2,"가능","초과 "&amp;(U181-$K$2)&amp;"일"))</f>
        <v/>
      </c>
      <c r="W181" s="34" t="n"/>
      <c r="X181" s="34" t="n"/>
      <c r="Y181" s="34" t="n"/>
      <c r="Z181" s="56" t="n"/>
      <c r="AA181" s="54">
        <f>IF(OR(Z181="",Y181=""),"",Z181+Y181)</f>
        <v/>
      </c>
      <c r="AB181" s="36" t="n"/>
      <c r="AC181" s="34" t="n"/>
      <c r="AD181" s="36" t="n"/>
      <c r="AE181" s="50">
        <f>IF(F181="","",B181&amp;"#"&amp;IF(D181="",F181,D181))</f>
        <v/>
      </c>
      <c r="AF181" s="50">
        <f>IF(AE181="","",AE181&amp;"|"&amp;M181)</f>
        <v/>
      </c>
      <c r="AG181" s="50">
        <f>IF(AE181="","",IF(COUNTIF($AE$6:AE181,AE181)=1,1,0))</f>
        <v/>
      </c>
      <c r="AH181" s="50">
        <f>IF(AE181="","",COUNTIF($AE$6:$AE$205,AE181))</f>
        <v/>
      </c>
      <c r="AI181" s="50">
        <f>IF(AE181="","",IF(AND(AG181=1,AH181&gt;1),COUNTIFS($AG$6:AG181,1,$AH$6:AH181,"&gt;1"),""))</f>
        <v/>
      </c>
      <c r="AJ181" s="50">
        <f>IF(AG181=1,IF(COUNTIFS($AE$6:$AE$205,AE181,$N$6:$N$205,"견적접수")&gt;0,1,0),"")</f>
        <v/>
      </c>
      <c r="AK181" s="50">
        <f>IF(OR(R181="",N181&lt;&gt;"견적접수"),"",IF(AND(R181=_xlfn.MINIFS($R$6:$R$205,$AE$6:$AE$205,AE181,$N$6:$N$205,"견적접수"),COUNTIFS($AE$5:AE180,AE181,$R$5:R180,R181,$N$5:N180,"견적접수")=0),1,""))</f>
        <v/>
      </c>
    </row>
    <row r="182">
      <c r="A182" s="50">
        <f>IF(F182="","",ROW()-5)</f>
        <v/>
      </c>
      <c r="B182" s="34" t="n"/>
      <c r="C182" s="34" t="n"/>
      <c r="D182" s="34" t="n"/>
      <c r="E182" s="34" t="n"/>
      <c r="F182" s="36" t="n"/>
      <c r="G182" s="36" t="n"/>
      <c r="H182" s="36" t="n"/>
      <c r="I182" s="36" t="n"/>
      <c r="J182" s="36" t="n"/>
      <c r="K182" s="34" t="n"/>
      <c r="L182" s="34" t="n"/>
      <c r="M182" s="34" t="n"/>
      <c r="N182" s="34" t="n"/>
      <c r="O182" s="50">
        <f>IF(N(AH182)&gt;1,"중복 "&amp;AH182&amp;"곳"&amp;IF(AK182=1," · 최저가",IF(AND(N182="견적접수",R182&lt;&gt;"")," · 비쌈","")),"")</f>
        <v/>
      </c>
      <c r="P182" s="34" t="n"/>
      <c r="Q182" s="51" t="n"/>
      <c r="R182" s="52">
        <f>IF(OR(Q182="",P182=""),"",IFERROR(IF(VLOOKUP(P182,설정!$K$5:$L$9,2,0)&gt;0,Q182*VLOOKUP(P182,설정!$K$5:$L$9,2,0),""),""))</f>
        <v/>
      </c>
      <c r="S182" s="53">
        <f>IF(OR(R182="",K182=""),"",R182*K182)</f>
        <v/>
      </c>
      <c r="T182" s="38" t="n"/>
      <c r="U182" s="54">
        <f>IF(OR(T182="",AC182="발주완료",AC182="취소"),"",TODAY()+T182)</f>
        <v/>
      </c>
      <c r="V182" s="50">
        <f>IF(OR(U182="",NOT(ISNUMBER($K$2))),"",IF(U182&lt;=$K$2,"가능","초과 "&amp;(U182-$K$2)&amp;"일"))</f>
        <v/>
      </c>
      <c r="W182" s="34" t="n"/>
      <c r="X182" s="34" t="n"/>
      <c r="Y182" s="34" t="n"/>
      <c r="Z182" s="56" t="n"/>
      <c r="AA182" s="54">
        <f>IF(OR(Z182="",Y182=""),"",Z182+Y182)</f>
        <v/>
      </c>
      <c r="AB182" s="36" t="n"/>
      <c r="AC182" s="34" t="n"/>
      <c r="AD182" s="36" t="n"/>
      <c r="AE182" s="50">
        <f>IF(F182="","",B182&amp;"#"&amp;IF(D182="",F182,D182))</f>
        <v/>
      </c>
      <c r="AF182" s="50">
        <f>IF(AE182="","",AE182&amp;"|"&amp;M182)</f>
        <v/>
      </c>
      <c r="AG182" s="50">
        <f>IF(AE182="","",IF(COUNTIF($AE$6:AE182,AE182)=1,1,0))</f>
        <v/>
      </c>
      <c r="AH182" s="50">
        <f>IF(AE182="","",COUNTIF($AE$6:$AE$205,AE182))</f>
        <v/>
      </c>
      <c r="AI182" s="50">
        <f>IF(AE182="","",IF(AND(AG182=1,AH182&gt;1),COUNTIFS($AG$6:AG182,1,$AH$6:AH182,"&gt;1"),""))</f>
        <v/>
      </c>
      <c r="AJ182" s="50">
        <f>IF(AG182=1,IF(COUNTIFS($AE$6:$AE$205,AE182,$N$6:$N$205,"견적접수")&gt;0,1,0),"")</f>
        <v/>
      </c>
      <c r="AK182" s="50">
        <f>IF(OR(R182="",N182&lt;&gt;"견적접수"),"",IF(AND(R182=_xlfn.MINIFS($R$6:$R$205,$AE$6:$AE$205,AE182,$N$6:$N$205,"견적접수"),COUNTIFS($AE$5:AE181,AE182,$R$5:R181,R182,$N$5:N181,"견적접수")=0),1,""))</f>
        <v/>
      </c>
    </row>
    <row r="183">
      <c r="A183" s="50">
        <f>IF(F183="","",ROW()-5)</f>
        <v/>
      </c>
      <c r="B183" s="34" t="n"/>
      <c r="C183" s="34" t="n"/>
      <c r="D183" s="34" t="n"/>
      <c r="E183" s="34" t="n"/>
      <c r="F183" s="36" t="n"/>
      <c r="G183" s="36" t="n"/>
      <c r="H183" s="36" t="n"/>
      <c r="I183" s="36" t="n"/>
      <c r="J183" s="36" t="n"/>
      <c r="K183" s="34" t="n"/>
      <c r="L183" s="34" t="n"/>
      <c r="M183" s="34" t="n"/>
      <c r="N183" s="34" t="n"/>
      <c r="O183" s="50">
        <f>IF(N(AH183)&gt;1,"중복 "&amp;AH183&amp;"곳"&amp;IF(AK183=1," · 최저가",IF(AND(N183="견적접수",R183&lt;&gt;"")," · 비쌈","")),"")</f>
        <v/>
      </c>
      <c r="P183" s="34" t="n"/>
      <c r="Q183" s="51" t="n"/>
      <c r="R183" s="52">
        <f>IF(OR(Q183="",P183=""),"",IFERROR(IF(VLOOKUP(P183,설정!$K$5:$L$9,2,0)&gt;0,Q183*VLOOKUP(P183,설정!$K$5:$L$9,2,0),""),""))</f>
        <v/>
      </c>
      <c r="S183" s="53">
        <f>IF(OR(R183="",K183=""),"",R183*K183)</f>
        <v/>
      </c>
      <c r="T183" s="38" t="n"/>
      <c r="U183" s="54">
        <f>IF(OR(T183="",AC183="발주완료",AC183="취소"),"",TODAY()+T183)</f>
        <v/>
      </c>
      <c r="V183" s="50">
        <f>IF(OR(U183="",NOT(ISNUMBER($K$2))),"",IF(U183&lt;=$K$2,"가능","초과 "&amp;(U183-$K$2)&amp;"일"))</f>
        <v/>
      </c>
      <c r="W183" s="34" t="n"/>
      <c r="X183" s="34" t="n"/>
      <c r="Y183" s="34" t="n"/>
      <c r="Z183" s="56" t="n"/>
      <c r="AA183" s="54">
        <f>IF(OR(Z183="",Y183=""),"",Z183+Y183)</f>
        <v/>
      </c>
      <c r="AB183" s="36" t="n"/>
      <c r="AC183" s="34" t="n"/>
      <c r="AD183" s="36" t="n"/>
      <c r="AE183" s="50">
        <f>IF(F183="","",B183&amp;"#"&amp;IF(D183="",F183,D183))</f>
        <v/>
      </c>
      <c r="AF183" s="50">
        <f>IF(AE183="","",AE183&amp;"|"&amp;M183)</f>
        <v/>
      </c>
      <c r="AG183" s="50">
        <f>IF(AE183="","",IF(COUNTIF($AE$6:AE183,AE183)=1,1,0))</f>
        <v/>
      </c>
      <c r="AH183" s="50">
        <f>IF(AE183="","",COUNTIF($AE$6:$AE$205,AE183))</f>
        <v/>
      </c>
      <c r="AI183" s="50">
        <f>IF(AE183="","",IF(AND(AG183=1,AH183&gt;1),COUNTIFS($AG$6:AG183,1,$AH$6:AH183,"&gt;1"),""))</f>
        <v/>
      </c>
      <c r="AJ183" s="50">
        <f>IF(AG183=1,IF(COUNTIFS($AE$6:$AE$205,AE183,$N$6:$N$205,"견적접수")&gt;0,1,0),"")</f>
        <v/>
      </c>
      <c r="AK183" s="50">
        <f>IF(OR(R183="",N183&lt;&gt;"견적접수"),"",IF(AND(R183=_xlfn.MINIFS($R$6:$R$205,$AE$6:$AE$205,AE183,$N$6:$N$205,"견적접수"),COUNTIFS($AE$5:AE182,AE183,$R$5:R182,R183,$N$5:N182,"견적접수")=0),1,""))</f>
        <v/>
      </c>
    </row>
    <row r="184">
      <c r="A184" s="50">
        <f>IF(F184="","",ROW()-5)</f>
        <v/>
      </c>
      <c r="B184" s="34" t="n"/>
      <c r="C184" s="34" t="n"/>
      <c r="D184" s="34" t="n"/>
      <c r="E184" s="34" t="n"/>
      <c r="F184" s="36" t="n"/>
      <c r="G184" s="36" t="n"/>
      <c r="H184" s="36" t="n"/>
      <c r="I184" s="36" t="n"/>
      <c r="J184" s="36" t="n"/>
      <c r="K184" s="34" t="n"/>
      <c r="L184" s="34" t="n"/>
      <c r="M184" s="34" t="n"/>
      <c r="N184" s="34" t="n"/>
      <c r="O184" s="50">
        <f>IF(N(AH184)&gt;1,"중복 "&amp;AH184&amp;"곳"&amp;IF(AK184=1," · 최저가",IF(AND(N184="견적접수",R184&lt;&gt;"")," · 비쌈","")),"")</f>
        <v/>
      </c>
      <c r="P184" s="34" t="n"/>
      <c r="Q184" s="51" t="n"/>
      <c r="R184" s="52">
        <f>IF(OR(Q184="",P184=""),"",IFERROR(IF(VLOOKUP(P184,설정!$K$5:$L$9,2,0)&gt;0,Q184*VLOOKUP(P184,설정!$K$5:$L$9,2,0),""),""))</f>
        <v/>
      </c>
      <c r="S184" s="53">
        <f>IF(OR(R184="",K184=""),"",R184*K184)</f>
        <v/>
      </c>
      <c r="T184" s="38" t="n"/>
      <c r="U184" s="54">
        <f>IF(OR(T184="",AC184="발주완료",AC184="취소"),"",TODAY()+T184)</f>
        <v/>
      </c>
      <c r="V184" s="50">
        <f>IF(OR(U184="",NOT(ISNUMBER($K$2))),"",IF(U184&lt;=$K$2,"가능","초과 "&amp;(U184-$K$2)&amp;"일"))</f>
        <v/>
      </c>
      <c r="W184" s="34" t="n"/>
      <c r="X184" s="34" t="n"/>
      <c r="Y184" s="34" t="n"/>
      <c r="Z184" s="56" t="n"/>
      <c r="AA184" s="54">
        <f>IF(OR(Z184="",Y184=""),"",Z184+Y184)</f>
        <v/>
      </c>
      <c r="AB184" s="36" t="n"/>
      <c r="AC184" s="34" t="n"/>
      <c r="AD184" s="36" t="n"/>
      <c r="AE184" s="50">
        <f>IF(F184="","",B184&amp;"#"&amp;IF(D184="",F184,D184))</f>
        <v/>
      </c>
      <c r="AF184" s="50">
        <f>IF(AE184="","",AE184&amp;"|"&amp;M184)</f>
        <v/>
      </c>
      <c r="AG184" s="50">
        <f>IF(AE184="","",IF(COUNTIF($AE$6:AE184,AE184)=1,1,0))</f>
        <v/>
      </c>
      <c r="AH184" s="50">
        <f>IF(AE184="","",COUNTIF($AE$6:$AE$205,AE184))</f>
        <v/>
      </c>
      <c r="AI184" s="50">
        <f>IF(AE184="","",IF(AND(AG184=1,AH184&gt;1),COUNTIFS($AG$6:AG184,1,$AH$6:AH184,"&gt;1"),""))</f>
        <v/>
      </c>
      <c r="AJ184" s="50">
        <f>IF(AG184=1,IF(COUNTIFS($AE$6:$AE$205,AE184,$N$6:$N$205,"견적접수")&gt;0,1,0),"")</f>
        <v/>
      </c>
      <c r="AK184" s="50">
        <f>IF(OR(R184="",N184&lt;&gt;"견적접수"),"",IF(AND(R184=_xlfn.MINIFS($R$6:$R$205,$AE$6:$AE$205,AE184,$N$6:$N$205,"견적접수"),COUNTIFS($AE$5:AE183,AE184,$R$5:R183,R184,$N$5:N183,"견적접수")=0),1,""))</f>
        <v/>
      </c>
    </row>
    <row r="185">
      <c r="A185" s="50">
        <f>IF(F185="","",ROW()-5)</f>
        <v/>
      </c>
      <c r="B185" s="34" t="n"/>
      <c r="C185" s="34" t="n"/>
      <c r="D185" s="34" t="n"/>
      <c r="E185" s="34" t="n"/>
      <c r="F185" s="36" t="n"/>
      <c r="G185" s="36" t="n"/>
      <c r="H185" s="36" t="n"/>
      <c r="I185" s="36" t="n"/>
      <c r="J185" s="36" t="n"/>
      <c r="K185" s="34" t="n"/>
      <c r="L185" s="34" t="n"/>
      <c r="M185" s="34" t="n"/>
      <c r="N185" s="34" t="n"/>
      <c r="O185" s="50">
        <f>IF(N(AH185)&gt;1,"중복 "&amp;AH185&amp;"곳"&amp;IF(AK185=1," · 최저가",IF(AND(N185="견적접수",R185&lt;&gt;"")," · 비쌈","")),"")</f>
        <v/>
      </c>
      <c r="P185" s="34" t="n"/>
      <c r="Q185" s="51" t="n"/>
      <c r="R185" s="52">
        <f>IF(OR(Q185="",P185=""),"",IFERROR(IF(VLOOKUP(P185,설정!$K$5:$L$9,2,0)&gt;0,Q185*VLOOKUP(P185,설정!$K$5:$L$9,2,0),""),""))</f>
        <v/>
      </c>
      <c r="S185" s="53">
        <f>IF(OR(R185="",K185=""),"",R185*K185)</f>
        <v/>
      </c>
      <c r="T185" s="38" t="n"/>
      <c r="U185" s="54">
        <f>IF(OR(T185="",AC185="발주완료",AC185="취소"),"",TODAY()+T185)</f>
        <v/>
      </c>
      <c r="V185" s="50">
        <f>IF(OR(U185="",NOT(ISNUMBER($K$2))),"",IF(U185&lt;=$K$2,"가능","초과 "&amp;(U185-$K$2)&amp;"일"))</f>
        <v/>
      </c>
      <c r="W185" s="34" t="n"/>
      <c r="X185" s="34" t="n"/>
      <c r="Y185" s="34" t="n"/>
      <c r="Z185" s="56" t="n"/>
      <c r="AA185" s="54">
        <f>IF(OR(Z185="",Y185=""),"",Z185+Y185)</f>
        <v/>
      </c>
      <c r="AB185" s="36" t="n"/>
      <c r="AC185" s="34" t="n"/>
      <c r="AD185" s="36" t="n"/>
      <c r="AE185" s="50">
        <f>IF(F185="","",B185&amp;"#"&amp;IF(D185="",F185,D185))</f>
        <v/>
      </c>
      <c r="AF185" s="50">
        <f>IF(AE185="","",AE185&amp;"|"&amp;M185)</f>
        <v/>
      </c>
      <c r="AG185" s="50">
        <f>IF(AE185="","",IF(COUNTIF($AE$6:AE185,AE185)=1,1,0))</f>
        <v/>
      </c>
      <c r="AH185" s="50">
        <f>IF(AE185="","",COUNTIF($AE$6:$AE$205,AE185))</f>
        <v/>
      </c>
      <c r="AI185" s="50">
        <f>IF(AE185="","",IF(AND(AG185=1,AH185&gt;1),COUNTIFS($AG$6:AG185,1,$AH$6:AH185,"&gt;1"),""))</f>
        <v/>
      </c>
      <c r="AJ185" s="50">
        <f>IF(AG185=1,IF(COUNTIFS($AE$6:$AE$205,AE185,$N$6:$N$205,"견적접수")&gt;0,1,0),"")</f>
        <v/>
      </c>
      <c r="AK185" s="50">
        <f>IF(OR(R185="",N185&lt;&gt;"견적접수"),"",IF(AND(R185=_xlfn.MINIFS($R$6:$R$205,$AE$6:$AE$205,AE185,$N$6:$N$205,"견적접수"),COUNTIFS($AE$5:AE184,AE185,$R$5:R184,R185,$N$5:N184,"견적접수")=0),1,""))</f>
        <v/>
      </c>
    </row>
    <row r="186">
      <c r="A186" s="50">
        <f>IF(F186="","",ROW()-5)</f>
        <v/>
      </c>
      <c r="B186" s="34" t="n"/>
      <c r="C186" s="34" t="n"/>
      <c r="D186" s="34" t="n"/>
      <c r="E186" s="34" t="n"/>
      <c r="F186" s="36" t="n"/>
      <c r="G186" s="36" t="n"/>
      <c r="H186" s="36" t="n"/>
      <c r="I186" s="36" t="n"/>
      <c r="J186" s="36" t="n"/>
      <c r="K186" s="34" t="n"/>
      <c r="L186" s="34" t="n"/>
      <c r="M186" s="34" t="n"/>
      <c r="N186" s="34" t="n"/>
      <c r="O186" s="50">
        <f>IF(N(AH186)&gt;1,"중복 "&amp;AH186&amp;"곳"&amp;IF(AK186=1," · 최저가",IF(AND(N186="견적접수",R186&lt;&gt;"")," · 비쌈","")),"")</f>
        <v/>
      </c>
      <c r="P186" s="34" t="n"/>
      <c r="Q186" s="51" t="n"/>
      <c r="R186" s="52">
        <f>IF(OR(Q186="",P186=""),"",IFERROR(IF(VLOOKUP(P186,설정!$K$5:$L$9,2,0)&gt;0,Q186*VLOOKUP(P186,설정!$K$5:$L$9,2,0),""),""))</f>
        <v/>
      </c>
      <c r="S186" s="53">
        <f>IF(OR(R186="",K186=""),"",R186*K186)</f>
        <v/>
      </c>
      <c r="T186" s="38" t="n"/>
      <c r="U186" s="54">
        <f>IF(OR(T186="",AC186="발주완료",AC186="취소"),"",TODAY()+T186)</f>
        <v/>
      </c>
      <c r="V186" s="50">
        <f>IF(OR(U186="",NOT(ISNUMBER($K$2))),"",IF(U186&lt;=$K$2,"가능","초과 "&amp;(U186-$K$2)&amp;"일"))</f>
        <v/>
      </c>
      <c r="W186" s="34" t="n"/>
      <c r="X186" s="34" t="n"/>
      <c r="Y186" s="34" t="n"/>
      <c r="Z186" s="56" t="n"/>
      <c r="AA186" s="54">
        <f>IF(OR(Z186="",Y186=""),"",Z186+Y186)</f>
        <v/>
      </c>
      <c r="AB186" s="36" t="n"/>
      <c r="AC186" s="34" t="n"/>
      <c r="AD186" s="36" t="n"/>
      <c r="AE186" s="50">
        <f>IF(F186="","",B186&amp;"#"&amp;IF(D186="",F186,D186))</f>
        <v/>
      </c>
      <c r="AF186" s="50">
        <f>IF(AE186="","",AE186&amp;"|"&amp;M186)</f>
        <v/>
      </c>
      <c r="AG186" s="50">
        <f>IF(AE186="","",IF(COUNTIF($AE$6:AE186,AE186)=1,1,0))</f>
        <v/>
      </c>
      <c r="AH186" s="50">
        <f>IF(AE186="","",COUNTIF($AE$6:$AE$205,AE186))</f>
        <v/>
      </c>
      <c r="AI186" s="50">
        <f>IF(AE186="","",IF(AND(AG186=1,AH186&gt;1),COUNTIFS($AG$6:AG186,1,$AH$6:AH186,"&gt;1"),""))</f>
        <v/>
      </c>
      <c r="AJ186" s="50">
        <f>IF(AG186=1,IF(COUNTIFS($AE$6:$AE$205,AE186,$N$6:$N$205,"견적접수")&gt;0,1,0),"")</f>
        <v/>
      </c>
      <c r="AK186" s="50">
        <f>IF(OR(R186="",N186&lt;&gt;"견적접수"),"",IF(AND(R186=_xlfn.MINIFS($R$6:$R$205,$AE$6:$AE$205,AE186,$N$6:$N$205,"견적접수"),COUNTIFS($AE$5:AE185,AE186,$R$5:R185,R186,$N$5:N185,"견적접수")=0),1,""))</f>
        <v/>
      </c>
    </row>
    <row r="187">
      <c r="A187" s="50">
        <f>IF(F187="","",ROW()-5)</f>
        <v/>
      </c>
      <c r="B187" s="34" t="n"/>
      <c r="C187" s="34" t="n"/>
      <c r="D187" s="34" t="n"/>
      <c r="E187" s="34" t="n"/>
      <c r="F187" s="36" t="n"/>
      <c r="G187" s="36" t="n"/>
      <c r="H187" s="36" t="n"/>
      <c r="I187" s="36" t="n"/>
      <c r="J187" s="36" t="n"/>
      <c r="K187" s="34" t="n"/>
      <c r="L187" s="34" t="n"/>
      <c r="M187" s="34" t="n"/>
      <c r="N187" s="34" t="n"/>
      <c r="O187" s="50">
        <f>IF(N(AH187)&gt;1,"중복 "&amp;AH187&amp;"곳"&amp;IF(AK187=1," · 최저가",IF(AND(N187="견적접수",R187&lt;&gt;"")," · 비쌈","")),"")</f>
        <v/>
      </c>
      <c r="P187" s="34" t="n"/>
      <c r="Q187" s="51" t="n"/>
      <c r="R187" s="52">
        <f>IF(OR(Q187="",P187=""),"",IFERROR(IF(VLOOKUP(P187,설정!$K$5:$L$9,2,0)&gt;0,Q187*VLOOKUP(P187,설정!$K$5:$L$9,2,0),""),""))</f>
        <v/>
      </c>
      <c r="S187" s="53">
        <f>IF(OR(R187="",K187=""),"",R187*K187)</f>
        <v/>
      </c>
      <c r="T187" s="38" t="n"/>
      <c r="U187" s="54">
        <f>IF(OR(T187="",AC187="발주완료",AC187="취소"),"",TODAY()+T187)</f>
        <v/>
      </c>
      <c r="V187" s="50">
        <f>IF(OR(U187="",NOT(ISNUMBER($K$2))),"",IF(U187&lt;=$K$2,"가능","초과 "&amp;(U187-$K$2)&amp;"일"))</f>
        <v/>
      </c>
      <c r="W187" s="34" t="n"/>
      <c r="X187" s="34" t="n"/>
      <c r="Y187" s="34" t="n"/>
      <c r="Z187" s="56" t="n"/>
      <c r="AA187" s="54">
        <f>IF(OR(Z187="",Y187=""),"",Z187+Y187)</f>
        <v/>
      </c>
      <c r="AB187" s="36" t="n"/>
      <c r="AC187" s="34" t="n"/>
      <c r="AD187" s="36" t="n"/>
      <c r="AE187" s="50">
        <f>IF(F187="","",B187&amp;"#"&amp;IF(D187="",F187,D187))</f>
        <v/>
      </c>
      <c r="AF187" s="50">
        <f>IF(AE187="","",AE187&amp;"|"&amp;M187)</f>
        <v/>
      </c>
      <c r="AG187" s="50">
        <f>IF(AE187="","",IF(COUNTIF($AE$6:AE187,AE187)=1,1,0))</f>
        <v/>
      </c>
      <c r="AH187" s="50">
        <f>IF(AE187="","",COUNTIF($AE$6:$AE$205,AE187))</f>
        <v/>
      </c>
      <c r="AI187" s="50">
        <f>IF(AE187="","",IF(AND(AG187=1,AH187&gt;1),COUNTIFS($AG$6:AG187,1,$AH$6:AH187,"&gt;1"),""))</f>
        <v/>
      </c>
      <c r="AJ187" s="50">
        <f>IF(AG187=1,IF(COUNTIFS($AE$6:$AE$205,AE187,$N$6:$N$205,"견적접수")&gt;0,1,0),"")</f>
        <v/>
      </c>
      <c r="AK187" s="50">
        <f>IF(OR(R187="",N187&lt;&gt;"견적접수"),"",IF(AND(R187=_xlfn.MINIFS($R$6:$R$205,$AE$6:$AE$205,AE187,$N$6:$N$205,"견적접수"),COUNTIFS($AE$5:AE186,AE187,$R$5:R186,R187,$N$5:N186,"견적접수")=0),1,""))</f>
        <v/>
      </c>
    </row>
    <row r="188">
      <c r="A188" s="50">
        <f>IF(F188="","",ROW()-5)</f>
        <v/>
      </c>
      <c r="B188" s="34" t="n"/>
      <c r="C188" s="34" t="n"/>
      <c r="D188" s="34" t="n"/>
      <c r="E188" s="34" t="n"/>
      <c r="F188" s="36" t="n"/>
      <c r="G188" s="36" t="n"/>
      <c r="H188" s="36" t="n"/>
      <c r="I188" s="36" t="n"/>
      <c r="J188" s="36" t="n"/>
      <c r="K188" s="34" t="n"/>
      <c r="L188" s="34" t="n"/>
      <c r="M188" s="34" t="n"/>
      <c r="N188" s="34" t="n"/>
      <c r="O188" s="50">
        <f>IF(N(AH188)&gt;1,"중복 "&amp;AH188&amp;"곳"&amp;IF(AK188=1," · 최저가",IF(AND(N188="견적접수",R188&lt;&gt;"")," · 비쌈","")),"")</f>
        <v/>
      </c>
      <c r="P188" s="34" t="n"/>
      <c r="Q188" s="51" t="n"/>
      <c r="R188" s="52">
        <f>IF(OR(Q188="",P188=""),"",IFERROR(IF(VLOOKUP(P188,설정!$K$5:$L$9,2,0)&gt;0,Q188*VLOOKUP(P188,설정!$K$5:$L$9,2,0),""),""))</f>
        <v/>
      </c>
      <c r="S188" s="53">
        <f>IF(OR(R188="",K188=""),"",R188*K188)</f>
        <v/>
      </c>
      <c r="T188" s="38" t="n"/>
      <c r="U188" s="54">
        <f>IF(OR(T188="",AC188="발주완료",AC188="취소"),"",TODAY()+T188)</f>
        <v/>
      </c>
      <c r="V188" s="50">
        <f>IF(OR(U188="",NOT(ISNUMBER($K$2))),"",IF(U188&lt;=$K$2,"가능","초과 "&amp;(U188-$K$2)&amp;"일"))</f>
        <v/>
      </c>
      <c r="W188" s="34" t="n"/>
      <c r="X188" s="34" t="n"/>
      <c r="Y188" s="34" t="n"/>
      <c r="Z188" s="56" t="n"/>
      <c r="AA188" s="54">
        <f>IF(OR(Z188="",Y188=""),"",Z188+Y188)</f>
        <v/>
      </c>
      <c r="AB188" s="36" t="n"/>
      <c r="AC188" s="34" t="n"/>
      <c r="AD188" s="36" t="n"/>
      <c r="AE188" s="50">
        <f>IF(F188="","",B188&amp;"#"&amp;IF(D188="",F188,D188))</f>
        <v/>
      </c>
      <c r="AF188" s="50">
        <f>IF(AE188="","",AE188&amp;"|"&amp;M188)</f>
        <v/>
      </c>
      <c r="AG188" s="50">
        <f>IF(AE188="","",IF(COUNTIF($AE$6:AE188,AE188)=1,1,0))</f>
        <v/>
      </c>
      <c r="AH188" s="50">
        <f>IF(AE188="","",COUNTIF($AE$6:$AE$205,AE188))</f>
        <v/>
      </c>
      <c r="AI188" s="50">
        <f>IF(AE188="","",IF(AND(AG188=1,AH188&gt;1),COUNTIFS($AG$6:AG188,1,$AH$6:AH188,"&gt;1"),""))</f>
        <v/>
      </c>
      <c r="AJ188" s="50">
        <f>IF(AG188=1,IF(COUNTIFS($AE$6:$AE$205,AE188,$N$6:$N$205,"견적접수")&gt;0,1,0),"")</f>
        <v/>
      </c>
      <c r="AK188" s="50">
        <f>IF(OR(R188="",N188&lt;&gt;"견적접수"),"",IF(AND(R188=_xlfn.MINIFS($R$6:$R$205,$AE$6:$AE$205,AE188,$N$6:$N$205,"견적접수"),COUNTIFS($AE$5:AE187,AE188,$R$5:R187,R188,$N$5:N187,"견적접수")=0),1,""))</f>
        <v/>
      </c>
    </row>
    <row r="189">
      <c r="A189" s="50">
        <f>IF(F189="","",ROW()-5)</f>
        <v/>
      </c>
      <c r="B189" s="34" t="n"/>
      <c r="C189" s="34" t="n"/>
      <c r="D189" s="34" t="n"/>
      <c r="E189" s="34" t="n"/>
      <c r="F189" s="36" t="n"/>
      <c r="G189" s="36" t="n"/>
      <c r="H189" s="36" t="n"/>
      <c r="I189" s="36" t="n"/>
      <c r="J189" s="36" t="n"/>
      <c r="K189" s="34" t="n"/>
      <c r="L189" s="34" t="n"/>
      <c r="M189" s="34" t="n"/>
      <c r="N189" s="34" t="n"/>
      <c r="O189" s="50">
        <f>IF(N(AH189)&gt;1,"중복 "&amp;AH189&amp;"곳"&amp;IF(AK189=1," · 최저가",IF(AND(N189="견적접수",R189&lt;&gt;"")," · 비쌈","")),"")</f>
        <v/>
      </c>
      <c r="P189" s="34" t="n"/>
      <c r="Q189" s="51" t="n"/>
      <c r="R189" s="52">
        <f>IF(OR(Q189="",P189=""),"",IFERROR(IF(VLOOKUP(P189,설정!$K$5:$L$9,2,0)&gt;0,Q189*VLOOKUP(P189,설정!$K$5:$L$9,2,0),""),""))</f>
        <v/>
      </c>
      <c r="S189" s="53">
        <f>IF(OR(R189="",K189=""),"",R189*K189)</f>
        <v/>
      </c>
      <c r="T189" s="38" t="n"/>
      <c r="U189" s="54">
        <f>IF(OR(T189="",AC189="발주완료",AC189="취소"),"",TODAY()+T189)</f>
        <v/>
      </c>
      <c r="V189" s="50">
        <f>IF(OR(U189="",NOT(ISNUMBER($K$2))),"",IF(U189&lt;=$K$2,"가능","초과 "&amp;(U189-$K$2)&amp;"일"))</f>
        <v/>
      </c>
      <c r="W189" s="34" t="n"/>
      <c r="X189" s="34" t="n"/>
      <c r="Y189" s="34" t="n"/>
      <c r="Z189" s="56" t="n"/>
      <c r="AA189" s="54">
        <f>IF(OR(Z189="",Y189=""),"",Z189+Y189)</f>
        <v/>
      </c>
      <c r="AB189" s="36" t="n"/>
      <c r="AC189" s="34" t="n"/>
      <c r="AD189" s="36" t="n"/>
      <c r="AE189" s="50">
        <f>IF(F189="","",B189&amp;"#"&amp;IF(D189="",F189,D189))</f>
        <v/>
      </c>
      <c r="AF189" s="50">
        <f>IF(AE189="","",AE189&amp;"|"&amp;M189)</f>
        <v/>
      </c>
      <c r="AG189" s="50">
        <f>IF(AE189="","",IF(COUNTIF($AE$6:AE189,AE189)=1,1,0))</f>
        <v/>
      </c>
      <c r="AH189" s="50">
        <f>IF(AE189="","",COUNTIF($AE$6:$AE$205,AE189))</f>
        <v/>
      </c>
      <c r="AI189" s="50">
        <f>IF(AE189="","",IF(AND(AG189=1,AH189&gt;1),COUNTIFS($AG$6:AG189,1,$AH$6:AH189,"&gt;1"),""))</f>
        <v/>
      </c>
      <c r="AJ189" s="50">
        <f>IF(AG189=1,IF(COUNTIFS($AE$6:$AE$205,AE189,$N$6:$N$205,"견적접수")&gt;0,1,0),"")</f>
        <v/>
      </c>
      <c r="AK189" s="50">
        <f>IF(OR(R189="",N189&lt;&gt;"견적접수"),"",IF(AND(R189=_xlfn.MINIFS($R$6:$R$205,$AE$6:$AE$205,AE189,$N$6:$N$205,"견적접수"),COUNTIFS($AE$5:AE188,AE189,$R$5:R188,R189,$N$5:N188,"견적접수")=0),1,""))</f>
        <v/>
      </c>
    </row>
    <row r="190">
      <c r="A190" s="50">
        <f>IF(F190="","",ROW()-5)</f>
        <v/>
      </c>
      <c r="B190" s="34" t="n"/>
      <c r="C190" s="34" t="n"/>
      <c r="D190" s="34" t="n"/>
      <c r="E190" s="34" t="n"/>
      <c r="F190" s="36" t="n"/>
      <c r="G190" s="36" t="n"/>
      <c r="H190" s="36" t="n"/>
      <c r="I190" s="36" t="n"/>
      <c r="J190" s="36" t="n"/>
      <c r="K190" s="34" t="n"/>
      <c r="L190" s="34" t="n"/>
      <c r="M190" s="34" t="n"/>
      <c r="N190" s="34" t="n"/>
      <c r="O190" s="50">
        <f>IF(N(AH190)&gt;1,"중복 "&amp;AH190&amp;"곳"&amp;IF(AK190=1," · 최저가",IF(AND(N190="견적접수",R190&lt;&gt;"")," · 비쌈","")),"")</f>
        <v/>
      </c>
      <c r="P190" s="34" t="n"/>
      <c r="Q190" s="51" t="n"/>
      <c r="R190" s="52">
        <f>IF(OR(Q190="",P190=""),"",IFERROR(IF(VLOOKUP(P190,설정!$K$5:$L$9,2,0)&gt;0,Q190*VLOOKUP(P190,설정!$K$5:$L$9,2,0),""),""))</f>
        <v/>
      </c>
      <c r="S190" s="53">
        <f>IF(OR(R190="",K190=""),"",R190*K190)</f>
        <v/>
      </c>
      <c r="T190" s="38" t="n"/>
      <c r="U190" s="54">
        <f>IF(OR(T190="",AC190="발주완료",AC190="취소"),"",TODAY()+T190)</f>
        <v/>
      </c>
      <c r="V190" s="50">
        <f>IF(OR(U190="",NOT(ISNUMBER($K$2))),"",IF(U190&lt;=$K$2,"가능","초과 "&amp;(U190-$K$2)&amp;"일"))</f>
        <v/>
      </c>
      <c r="W190" s="34" t="n"/>
      <c r="X190" s="34" t="n"/>
      <c r="Y190" s="34" t="n"/>
      <c r="Z190" s="56" t="n"/>
      <c r="AA190" s="54">
        <f>IF(OR(Z190="",Y190=""),"",Z190+Y190)</f>
        <v/>
      </c>
      <c r="AB190" s="36" t="n"/>
      <c r="AC190" s="34" t="n"/>
      <c r="AD190" s="36" t="n"/>
      <c r="AE190" s="50">
        <f>IF(F190="","",B190&amp;"#"&amp;IF(D190="",F190,D190))</f>
        <v/>
      </c>
      <c r="AF190" s="50">
        <f>IF(AE190="","",AE190&amp;"|"&amp;M190)</f>
        <v/>
      </c>
      <c r="AG190" s="50">
        <f>IF(AE190="","",IF(COUNTIF($AE$6:AE190,AE190)=1,1,0))</f>
        <v/>
      </c>
      <c r="AH190" s="50">
        <f>IF(AE190="","",COUNTIF($AE$6:$AE$205,AE190))</f>
        <v/>
      </c>
      <c r="AI190" s="50">
        <f>IF(AE190="","",IF(AND(AG190=1,AH190&gt;1),COUNTIFS($AG$6:AG190,1,$AH$6:AH190,"&gt;1"),""))</f>
        <v/>
      </c>
      <c r="AJ190" s="50">
        <f>IF(AG190=1,IF(COUNTIFS($AE$6:$AE$205,AE190,$N$6:$N$205,"견적접수")&gt;0,1,0),"")</f>
        <v/>
      </c>
      <c r="AK190" s="50">
        <f>IF(OR(R190="",N190&lt;&gt;"견적접수"),"",IF(AND(R190=_xlfn.MINIFS($R$6:$R$205,$AE$6:$AE$205,AE190,$N$6:$N$205,"견적접수"),COUNTIFS($AE$5:AE189,AE190,$R$5:R189,R190,$N$5:N189,"견적접수")=0),1,""))</f>
        <v/>
      </c>
    </row>
    <row r="191">
      <c r="A191" s="50">
        <f>IF(F191="","",ROW()-5)</f>
        <v/>
      </c>
      <c r="B191" s="34" t="n"/>
      <c r="C191" s="34" t="n"/>
      <c r="D191" s="34" t="n"/>
      <c r="E191" s="34" t="n"/>
      <c r="F191" s="36" t="n"/>
      <c r="G191" s="36" t="n"/>
      <c r="H191" s="36" t="n"/>
      <c r="I191" s="36" t="n"/>
      <c r="J191" s="36" t="n"/>
      <c r="K191" s="34" t="n"/>
      <c r="L191" s="34" t="n"/>
      <c r="M191" s="34" t="n"/>
      <c r="N191" s="34" t="n"/>
      <c r="O191" s="50">
        <f>IF(N(AH191)&gt;1,"중복 "&amp;AH191&amp;"곳"&amp;IF(AK191=1," · 최저가",IF(AND(N191="견적접수",R191&lt;&gt;"")," · 비쌈","")),"")</f>
        <v/>
      </c>
      <c r="P191" s="34" t="n"/>
      <c r="Q191" s="51" t="n"/>
      <c r="R191" s="52">
        <f>IF(OR(Q191="",P191=""),"",IFERROR(IF(VLOOKUP(P191,설정!$K$5:$L$9,2,0)&gt;0,Q191*VLOOKUP(P191,설정!$K$5:$L$9,2,0),""),""))</f>
        <v/>
      </c>
      <c r="S191" s="53">
        <f>IF(OR(R191="",K191=""),"",R191*K191)</f>
        <v/>
      </c>
      <c r="T191" s="38" t="n"/>
      <c r="U191" s="54">
        <f>IF(OR(T191="",AC191="발주완료",AC191="취소"),"",TODAY()+T191)</f>
        <v/>
      </c>
      <c r="V191" s="50">
        <f>IF(OR(U191="",NOT(ISNUMBER($K$2))),"",IF(U191&lt;=$K$2,"가능","초과 "&amp;(U191-$K$2)&amp;"일"))</f>
        <v/>
      </c>
      <c r="W191" s="34" t="n"/>
      <c r="X191" s="34" t="n"/>
      <c r="Y191" s="34" t="n"/>
      <c r="Z191" s="56" t="n"/>
      <c r="AA191" s="54">
        <f>IF(OR(Z191="",Y191=""),"",Z191+Y191)</f>
        <v/>
      </c>
      <c r="AB191" s="36" t="n"/>
      <c r="AC191" s="34" t="n"/>
      <c r="AD191" s="36" t="n"/>
      <c r="AE191" s="50">
        <f>IF(F191="","",B191&amp;"#"&amp;IF(D191="",F191,D191))</f>
        <v/>
      </c>
      <c r="AF191" s="50">
        <f>IF(AE191="","",AE191&amp;"|"&amp;M191)</f>
        <v/>
      </c>
      <c r="AG191" s="50">
        <f>IF(AE191="","",IF(COUNTIF($AE$6:AE191,AE191)=1,1,0))</f>
        <v/>
      </c>
      <c r="AH191" s="50">
        <f>IF(AE191="","",COUNTIF($AE$6:$AE$205,AE191))</f>
        <v/>
      </c>
      <c r="AI191" s="50">
        <f>IF(AE191="","",IF(AND(AG191=1,AH191&gt;1),COUNTIFS($AG$6:AG191,1,$AH$6:AH191,"&gt;1"),""))</f>
        <v/>
      </c>
      <c r="AJ191" s="50">
        <f>IF(AG191=1,IF(COUNTIFS($AE$6:$AE$205,AE191,$N$6:$N$205,"견적접수")&gt;0,1,0),"")</f>
        <v/>
      </c>
      <c r="AK191" s="50">
        <f>IF(OR(R191="",N191&lt;&gt;"견적접수"),"",IF(AND(R191=_xlfn.MINIFS($R$6:$R$205,$AE$6:$AE$205,AE191,$N$6:$N$205,"견적접수"),COUNTIFS($AE$5:AE190,AE191,$R$5:R190,R191,$N$5:N190,"견적접수")=0),1,""))</f>
        <v/>
      </c>
    </row>
    <row r="192">
      <c r="A192" s="50">
        <f>IF(F192="","",ROW()-5)</f>
        <v/>
      </c>
      <c r="B192" s="34" t="n"/>
      <c r="C192" s="34" t="n"/>
      <c r="D192" s="34" t="n"/>
      <c r="E192" s="34" t="n"/>
      <c r="F192" s="36" t="n"/>
      <c r="G192" s="36" t="n"/>
      <c r="H192" s="36" t="n"/>
      <c r="I192" s="36" t="n"/>
      <c r="J192" s="36" t="n"/>
      <c r="K192" s="34" t="n"/>
      <c r="L192" s="34" t="n"/>
      <c r="M192" s="34" t="n"/>
      <c r="N192" s="34" t="n"/>
      <c r="O192" s="50">
        <f>IF(N(AH192)&gt;1,"중복 "&amp;AH192&amp;"곳"&amp;IF(AK192=1," · 최저가",IF(AND(N192="견적접수",R192&lt;&gt;"")," · 비쌈","")),"")</f>
        <v/>
      </c>
      <c r="P192" s="34" t="n"/>
      <c r="Q192" s="51" t="n"/>
      <c r="R192" s="52">
        <f>IF(OR(Q192="",P192=""),"",IFERROR(IF(VLOOKUP(P192,설정!$K$5:$L$9,2,0)&gt;0,Q192*VLOOKUP(P192,설정!$K$5:$L$9,2,0),""),""))</f>
        <v/>
      </c>
      <c r="S192" s="53">
        <f>IF(OR(R192="",K192=""),"",R192*K192)</f>
        <v/>
      </c>
      <c r="T192" s="38" t="n"/>
      <c r="U192" s="54">
        <f>IF(OR(T192="",AC192="발주완료",AC192="취소"),"",TODAY()+T192)</f>
        <v/>
      </c>
      <c r="V192" s="50">
        <f>IF(OR(U192="",NOT(ISNUMBER($K$2))),"",IF(U192&lt;=$K$2,"가능","초과 "&amp;(U192-$K$2)&amp;"일"))</f>
        <v/>
      </c>
      <c r="W192" s="34" t="n"/>
      <c r="X192" s="34" t="n"/>
      <c r="Y192" s="34" t="n"/>
      <c r="Z192" s="56" t="n"/>
      <c r="AA192" s="54">
        <f>IF(OR(Z192="",Y192=""),"",Z192+Y192)</f>
        <v/>
      </c>
      <c r="AB192" s="36" t="n"/>
      <c r="AC192" s="34" t="n"/>
      <c r="AD192" s="36" t="n"/>
      <c r="AE192" s="50">
        <f>IF(F192="","",B192&amp;"#"&amp;IF(D192="",F192,D192))</f>
        <v/>
      </c>
      <c r="AF192" s="50">
        <f>IF(AE192="","",AE192&amp;"|"&amp;M192)</f>
        <v/>
      </c>
      <c r="AG192" s="50">
        <f>IF(AE192="","",IF(COUNTIF($AE$6:AE192,AE192)=1,1,0))</f>
        <v/>
      </c>
      <c r="AH192" s="50">
        <f>IF(AE192="","",COUNTIF($AE$6:$AE$205,AE192))</f>
        <v/>
      </c>
      <c r="AI192" s="50">
        <f>IF(AE192="","",IF(AND(AG192=1,AH192&gt;1),COUNTIFS($AG$6:AG192,1,$AH$6:AH192,"&gt;1"),""))</f>
        <v/>
      </c>
      <c r="AJ192" s="50">
        <f>IF(AG192=1,IF(COUNTIFS($AE$6:$AE$205,AE192,$N$6:$N$205,"견적접수")&gt;0,1,0),"")</f>
        <v/>
      </c>
      <c r="AK192" s="50">
        <f>IF(OR(R192="",N192&lt;&gt;"견적접수"),"",IF(AND(R192=_xlfn.MINIFS($R$6:$R$205,$AE$6:$AE$205,AE192,$N$6:$N$205,"견적접수"),COUNTIFS($AE$5:AE191,AE192,$R$5:R191,R192,$N$5:N191,"견적접수")=0),1,""))</f>
        <v/>
      </c>
    </row>
    <row r="193">
      <c r="A193" s="50">
        <f>IF(F193="","",ROW()-5)</f>
        <v/>
      </c>
      <c r="B193" s="34" t="n"/>
      <c r="C193" s="34" t="n"/>
      <c r="D193" s="34" t="n"/>
      <c r="E193" s="34" t="n"/>
      <c r="F193" s="36" t="n"/>
      <c r="G193" s="36" t="n"/>
      <c r="H193" s="36" t="n"/>
      <c r="I193" s="36" t="n"/>
      <c r="J193" s="36" t="n"/>
      <c r="K193" s="34" t="n"/>
      <c r="L193" s="34" t="n"/>
      <c r="M193" s="34" t="n"/>
      <c r="N193" s="34" t="n"/>
      <c r="O193" s="50">
        <f>IF(N(AH193)&gt;1,"중복 "&amp;AH193&amp;"곳"&amp;IF(AK193=1," · 최저가",IF(AND(N193="견적접수",R193&lt;&gt;"")," · 비쌈","")),"")</f>
        <v/>
      </c>
      <c r="P193" s="34" t="n"/>
      <c r="Q193" s="51" t="n"/>
      <c r="R193" s="52">
        <f>IF(OR(Q193="",P193=""),"",IFERROR(IF(VLOOKUP(P193,설정!$K$5:$L$9,2,0)&gt;0,Q193*VLOOKUP(P193,설정!$K$5:$L$9,2,0),""),""))</f>
        <v/>
      </c>
      <c r="S193" s="53">
        <f>IF(OR(R193="",K193=""),"",R193*K193)</f>
        <v/>
      </c>
      <c r="T193" s="38" t="n"/>
      <c r="U193" s="54">
        <f>IF(OR(T193="",AC193="발주완료",AC193="취소"),"",TODAY()+T193)</f>
        <v/>
      </c>
      <c r="V193" s="50">
        <f>IF(OR(U193="",NOT(ISNUMBER($K$2))),"",IF(U193&lt;=$K$2,"가능","초과 "&amp;(U193-$K$2)&amp;"일"))</f>
        <v/>
      </c>
      <c r="W193" s="34" t="n"/>
      <c r="X193" s="34" t="n"/>
      <c r="Y193" s="34" t="n"/>
      <c r="Z193" s="56" t="n"/>
      <c r="AA193" s="54">
        <f>IF(OR(Z193="",Y193=""),"",Z193+Y193)</f>
        <v/>
      </c>
      <c r="AB193" s="36" t="n"/>
      <c r="AC193" s="34" t="n"/>
      <c r="AD193" s="36" t="n"/>
      <c r="AE193" s="50">
        <f>IF(F193="","",B193&amp;"#"&amp;IF(D193="",F193,D193))</f>
        <v/>
      </c>
      <c r="AF193" s="50">
        <f>IF(AE193="","",AE193&amp;"|"&amp;M193)</f>
        <v/>
      </c>
      <c r="AG193" s="50">
        <f>IF(AE193="","",IF(COUNTIF($AE$6:AE193,AE193)=1,1,0))</f>
        <v/>
      </c>
      <c r="AH193" s="50">
        <f>IF(AE193="","",COUNTIF($AE$6:$AE$205,AE193))</f>
        <v/>
      </c>
      <c r="AI193" s="50">
        <f>IF(AE193="","",IF(AND(AG193=1,AH193&gt;1),COUNTIFS($AG$6:AG193,1,$AH$6:AH193,"&gt;1"),""))</f>
        <v/>
      </c>
      <c r="AJ193" s="50">
        <f>IF(AG193=1,IF(COUNTIFS($AE$6:$AE$205,AE193,$N$6:$N$205,"견적접수")&gt;0,1,0),"")</f>
        <v/>
      </c>
      <c r="AK193" s="50">
        <f>IF(OR(R193="",N193&lt;&gt;"견적접수"),"",IF(AND(R193=_xlfn.MINIFS($R$6:$R$205,$AE$6:$AE$205,AE193,$N$6:$N$205,"견적접수"),COUNTIFS($AE$5:AE192,AE193,$R$5:R192,R193,$N$5:N192,"견적접수")=0),1,""))</f>
        <v/>
      </c>
    </row>
    <row r="194">
      <c r="A194" s="50">
        <f>IF(F194="","",ROW()-5)</f>
        <v/>
      </c>
      <c r="B194" s="34" t="n"/>
      <c r="C194" s="34" t="n"/>
      <c r="D194" s="34" t="n"/>
      <c r="E194" s="34" t="n"/>
      <c r="F194" s="36" t="n"/>
      <c r="G194" s="36" t="n"/>
      <c r="H194" s="36" t="n"/>
      <c r="I194" s="36" t="n"/>
      <c r="J194" s="36" t="n"/>
      <c r="K194" s="34" t="n"/>
      <c r="L194" s="34" t="n"/>
      <c r="M194" s="34" t="n"/>
      <c r="N194" s="34" t="n"/>
      <c r="O194" s="50">
        <f>IF(N(AH194)&gt;1,"중복 "&amp;AH194&amp;"곳"&amp;IF(AK194=1," · 최저가",IF(AND(N194="견적접수",R194&lt;&gt;"")," · 비쌈","")),"")</f>
        <v/>
      </c>
      <c r="P194" s="34" t="n"/>
      <c r="Q194" s="51" t="n"/>
      <c r="R194" s="52">
        <f>IF(OR(Q194="",P194=""),"",IFERROR(IF(VLOOKUP(P194,설정!$K$5:$L$9,2,0)&gt;0,Q194*VLOOKUP(P194,설정!$K$5:$L$9,2,0),""),""))</f>
        <v/>
      </c>
      <c r="S194" s="53">
        <f>IF(OR(R194="",K194=""),"",R194*K194)</f>
        <v/>
      </c>
      <c r="T194" s="38" t="n"/>
      <c r="U194" s="54">
        <f>IF(OR(T194="",AC194="발주완료",AC194="취소"),"",TODAY()+T194)</f>
        <v/>
      </c>
      <c r="V194" s="50">
        <f>IF(OR(U194="",NOT(ISNUMBER($K$2))),"",IF(U194&lt;=$K$2,"가능","초과 "&amp;(U194-$K$2)&amp;"일"))</f>
        <v/>
      </c>
      <c r="W194" s="34" t="n"/>
      <c r="X194" s="34" t="n"/>
      <c r="Y194" s="34" t="n"/>
      <c r="Z194" s="56" t="n"/>
      <c r="AA194" s="54">
        <f>IF(OR(Z194="",Y194=""),"",Z194+Y194)</f>
        <v/>
      </c>
      <c r="AB194" s="36" t="n"/>
      <c r="AC194" s="34" t="n"/>
      <c r="AD194" s="36" t="n"/>
      <c r="AE194" s="50">
        <f>IF(F194="","",B194&amp;"#"&amp;IF(D194="",F194,D194))</f>
        <v/>
      </c>
      <c r="AF194" s="50">
        <f>IF(AE194="","",AE194&amp;"|"&amp;M194)</f>
        <v/>
      </c>
      <c r="AG194" s="50">
        <f>IF(AE194="","",IF(COUNTIF($AE$6:AE194,AE194)=1,1,0))</f>
        <v/>
      </c>
      <c r="AH194" s="50">
        <f>IF(AE194="","",COUNTIF($AE$6:$AE$205,AE194))</f>
        <v/>
      </c>
      <c r="AI194" s="50">
        <f>IF(AE194="","",IF(AND(AG194=1,AH194&gt;1),COUNTIFS($AG$6:AG194,1,$AH$6:AH194,"&gt;1"),""))</f>
        <v/>
      </c>
      <c r="AJ194" s="50">
        <f>IF(AG194=1,IF(COUNTIFS($AE$6:$AE$205,AE194,$N$6:$N$205,"견적접수")&gt;0,1,0),"")</f>
        <v/>
      </c>
      <c r="AK194" s="50">
        <f>IF(OR(R194="",N194&lt;&gt;"견적접수"),"",IF(AND(R194=_xlfn.MINIFS($R$6:$R$205,$AE$6:$AE$205,AE194,$N$6:$N$205,"견적접수"),COUNTIFS($AE$5:AE193,AE194,$R$5:R193,R194,$N$5:N193,"견적접수")=0),1,""))</f>
        <v/>
      </c>
    </row>
    <row r="195">
      <c r="A195" s="50">
        <f>IF(F195="","",ROW()-5)</f>
        <v/>
      </c>
      <c r="B195" s="34" t="n"/>
      <c r="C195" s="34" t="n"/>
      <c r="D195" s="34" t="n"/>
      <c r="E195" s="34" t="n"/>
      <c r="F195" s="36" t="n"/>
      <c r="G195" s="36" t="n"/>
      <c r="H195" s="36" t="n"/>
      <c r="I195" s="36" t="n"/>
      <c r="J195" s="36" t="n"/>
      <c r="K195" s="34" t="n"/>
      <c r="L195" s="34" t="n"/>
      <c r="M195" s="34" t="n"/>
      <c r="N195" s="34" t="n"/>
      <c r="O195" s="50">
        <f>IF(N(AH195)&gt;1,"중복 "&amp;AH195&amp;"곳"&amp;IF(AK195=1," · 최저가",IF(AND(N195="견적접수",R195&lt;&gt;"")," · 비쌈","")),"")</f>
        <v/>
      </c>
      <c r="P195" s="34" t="n"/>
      <c r="Q195" s="51" t="n"/>
      <c r="R195" s="52">
        <f>IF(OR(Q195="",P195=""),"",IFERROR(IF(VLOOKUP(P195,설정!$K$5:$L$9,2,0)&gt;0,Q195*VLOOKUP(P195,설정!$K$5:$L$9,2,0),""),""))</f>
        <v/>
      </c>
      <c r="S195" s="53">
        <f>IF(OR(R195="",K195=""),"",R195*K195)</f>
        <v/>
      </c>
      <c r="T195" s="38" t="n"/>
      <c r="U195" s="54">
        <f>IF(OR(T195="",AC195="발주완료",AC195="취소"),"",TODAY()+T195)</f>
        <v/>
      </c>
      <c r="V195" s="50">
        <f>IF(OR(U195="",NOT(ISNUMBER($K$2))),"",IF(U195&lt;=$K$2,"가능","초과 "&amp;(U195-$K$2)&amp;"일"))</f>
        <v/>
      </c>
      <c r="W195" s="34" t="n"/>
      <c r="X195" s="34" t="n"/>
      <c r="Y195" s="34" t="n"/>
      <c r="Z195" s="56" t="n"/>
      <c r="AA195" s="54">
        <f>IF(OR(Z195="",Y195=""),"",Z195+Y195)</f>
        <v/>
      </c>
      <c r="AB195" s="36" t="n"/>
      <c r="AC195" s="34" t="n"/>
      <c r="AD195" s="36" t="n"/>
      <c r="AE195" s="50">
        <f>IF(F195="","",B195&amp;"#"&amp;IF(D195="",F195,D195))</f>
        <v/>
      </c>
      <c r="AF195" s="50">
        <f>IF(AE195="","",AE195&amp;"|"&amp;M195)</f>
        <v/>
      </c>
      <c r="AG195" s="50">
        <f>IF(AE195="","",IF(COUNTIF($AE$6:AE195,AE195)=1,1,0))</f>
        <v/>
      </c>
      <c r="AH195" s="50">
        <f>IF(AE195="","",COUNTIF($AE$6:$AE$205,AE195))</f>
        <v/>
      </c>
      <c r="AI195" s="50">
        <f>IF(AE195="","",IF(AND(AG195=1,AH195&gt;1),COUNTIFS($AG$6:AG195,1,$AH$6:AH195,"&gt;1"),""))</f>
        <v/>
      </c>
      <c r="AJ195" s="50">
        <f>IF(AG195=1,IF(COUNTIFS($AE$6:$AE$205,AE195,$N$6:$N$205,"견적접수")&gt;0,1,0),"")</f>
        <v/>
      </c>
      <c r="AK195" s="50">
        <f>IF(OR(R195="",N195&lt;&gt;"견적접수"),"",IF(AND(R195=_xlfn.MINIFS($R$6:$R$205,$AE$6:$AE$205,AE195,$N$6:$N$205,"견적접수"),COUNTIFS($AE$5:AE194,AE195,$R$5:R194,R195,$N$5:N194,"견적접수")=0),1,""))</f>
        <v/>
      </c>
    </row>
    <row r="196">
      <c r="A196" s="50">
        <f>IF(F196="","",ROW()-5)</f>
        <v/>
      </c>
      <c r="B196" s="34" t="n"/>
      <c r="C196" s="34" t="n"/>
      <c r="D196" s="34" t="n"/>
      <c r="E196" s="34" t="n"/>
      <c r="F196" s="36" t="n"/>
      <c r="G196" s="36" t="n"/>
      <c r="H196" s="36" t="n"/>
      <c r="I196" s="36" t="n"/>
      <c r="J196" s="36" t="n"/>
      <c r="K196" s="34" t="n"/>
      <c r="L196" s="34" t="n"/>
      <c r="M196" s="34" t="n"/>
      <c r="N196" s="34" t="n"/>
      <c r="O196" s="50">
        <f>IF(N(AH196)&gt;1,"중복 "&amp;AH196&amp;"곳"&amp;IF(AK196=1," · 최저가",IF(AND(N196="견적접수",R196&lt;&gt;"")," · 비쌈","")),"")</f>
        <v/>
      </c>
      <c r="P196" s="34" t="n"/>
      <c r="Q196" s="51" t="n"/>
      <c r="R196" s="52">
        <f>IF(OR(Q196="",P196=""),"",IFERROR(IF(VLOOKUP(P196,설정!$K$5:$L$9,2,0)&gt;0,Q196*VLOOKUP(P196,설정!$K$5:$L$9,2,0),""),""))</f>
        <v/>
      </c>
      <c r="S196" s="53">
        <f>IF(OR(R196="",K196=""),"",R196*K196)</f>
        <v/>
      </c>
      <c r="T196" s="38" t="n"/>
      <c r="U196" s="54">
        <f>IF(OR(T196="",AC196="발주완료",AC196="취소"),"",TODAY()+T196)</f>
        <v/>
      </c>
      <c r="V196" s="50">
        <f>IF(OR(U196="",NOT(ISNUMBER($K$2))),"",IF(U196&lt;=$K$2,"가능","초과 "&amp;(U196-$K$2)&amp;"일"))</f>
        <v/>
      </c>
      <c r="W196" s="34" t="n"/>
      <c r="X196" s="34" t="n"/>
      <c r="Y196" s="34" t="n"/>
      <c r="Z196" s="56" t="n"/>
      <c r="AA196" s="54">
        <f>IF(OR(Z196="",Y196=""),"",Z196+Y196)</f>
        <v/>
      </c>
      <c r="AB196" s="36" t="n"/>
      <c r="AC196" s="34" t="n"/>
      <c r="AD196" s="36" t="n"/>
      <c r="AE196" s="50">
        <f>IF(F196="","",B196&amp;"#"&amp;IF(D196="",F196,D196))</f>
        <v/>
      </c>
      <c r="AF196" s="50">
        <f>IF(AE196="","",AE196&amp;"|"&amp;M196)</f>
        <v/>
      </c>
      <c r="AG196" s="50">
        <f>IF(AE196="","",IF(COUNTIF($AE$6:AE196,AE196)=1,1,0))</f>
        <v/>
      </c>
      <c r="AH196" s="50">
        <f>IF(AE196="","",COUNTIF($AE$6:$AE$205,AE196))</f>
        <v/>
      </c>
      <c r="AI196" s="50">
        <f>IF(AE196="","",IF(AND(AG196=1,AH196&gt;1),COUNTIFS($AG$6:AG196,1,$AH$6:AH196,"&gt;1"),""))</f>
        <v/>
      </c>
      <c r="AJ196" s="50">
        <f>IF(AG196=1,IF(COUNTIFS($AE$6:$AE$205,AE196,$N$6:$N$205,"견적접수")&gt;0,1,0),"")</f>
        <v/>
      </c>
      <c r="AK196" s="50">
        <f>IF(OR(R196="",N196&lt;&gt;"견적접수"),"",IF(AND(R196=_xlfn.MINIFS($R$6:$R$205,$AE$6:$AE$205,AE196,$N$6:$N$205,"견적접수"),COUNTIFS($AE$5:AE195,AE196,$R$5:R195,R196,$N$5:N195,"견적접수")=0),1,""))</f>
        <v/>
      </c>
    </row>
    <row r="197">
      <c r="A197" s="50">
        <f>IF(F197="","",ROW()-5)</f>
        <v/>
      </c>
      <c r="B197" s="34" t="n"/>
      <c r="C197" s="34" t="n"/>
      <c r="D197" s="34" t="n"/>
      <c r="E197" s="34" t="n"/>
      <c r="F197" s="36" t="n"/>
      <c r="G197" s="36" t="n"/>
      <c r="H197" s="36" t="n"/>
      <c r="I197" s="36" t="n"/>
      <c r="J197" s="36" t="n"/>
      <c r="K197" s="34" t="n"/>
      <c r="L197" s="34" t="n"/>
      <c r="M197" s="34" t="n"/>
      <c r="N197" s="34" t="n"/>
      <c r="O197" s="50">
        <f>IF(N(AH197)&gt;1,"중복 "&amp;AH197&amp;"곳"&amp;IF(AK197=1," · 최저가",IF(AND(N197="견적접수",R197&lt;&gt;"")," · 비쌈","")),"")</f>
        <v/>
      </c>
      <c r="P197" s="34" t="n"/>
      <c r="Q197" s="51" t="n"/>
      <c r="R197" s="52">
        <f>IF(OR(Q197="",P197=""),"",IFERROR(IF(VLOOKUP(P197,설정!$K$5:$L$9,2,0)&gt;0,Q197*VLOOKUP(P197,설정!$K$5:$L$9,2,0),""),""))</f>
        <v/>
      </c>
      <c r="S197" s="53">
        <f>IF(OR(R197="",K197=""),"",R197*K197)</f>
        <v/>
      </c>
      <c r="T197" s="38" t="n"/>
      <c r="U197" s="54">
        <f>IF(OR(T197="",AC197="발주완료",AC197="취소"),"",TODAY()+T197)</f>
        <v/>
      </c>
      <c r="V197" s="50">
        <f>IF(OR(U197="",NOT(ISNUMBER($K$2))),"",IF(U197&lt;=$K$2,"가능","초과 "&amp;(U197-$K$2)&amp;"일"))</f>
        <v/>
      </c>
      <c r="W197" s="34" t="n"/>
      <c r="X197" s="34" t="n"/>
      <c r="Y197" s="34" t="n"/>
      <c r="Z197" s="56" t="n"/>
      <c r="AA197" s="54">
        <f>IF(OR(Z197="",Y197=""),"",Z197+Y197)</f>
        <v/>
      </c>
      <c r="AB197" s="36" t="n"/>
      <c r="AC197" s="34" t="n"/>
      <c r="AD197" s="36" t="n"/>
      <c r="AE197" s="50">
        <f>IF(F197="","",B197&amp;"#"&amp;IF(D197="",F197,D197))</f>
        <v/>
      </c>
      <c r="AF197" s="50">
        <f>IF(AE197="","",AE197&amp;"|"&amp;M197)</f>
        <v/>
      </c>
      <c r="AG197" s="50">
        <f>IF(AE197="","",IF(COUNTIF($AE$6:AE197,AE197)=1,1,0))</f>
        <v/>
      </c>
      <c r="AH197" s="50">
        <f>IF(AE197="","",COUNTIF($AE$6:$AE$205,AE197))</f>
        <v/>
      </c>
      <c r="AI197" s="50">
        <f>IF(AE197="","",IF(AND(AG197=1,AH197&gt;1),COUNTIFS($AG$6:AG197,1,$AH$6:AH197,"&gt;1"),""))</f>
        <v/>
      </c>
      <c r="AJ197" s="50">
        <f>IF(AG197=1,IF(COUNTIFS($AE$6:$AE$205,AE197,$N$6:$N$205,"견적접수")&gt;0,1,0),"")</f>
        <v/>
      </c>
      <c r="AK197" s="50">
        <f>IF(OR(R197="",N197&lt;&gt;"견적접수"),"",IF(AND(R197=_xlfn.MINIFS($R$6:$R$205,$AE$6:$AE$205,AE197,$N$6:$N$205,"견적접수"),COUNTIFS($AE$5:AE196,AE197,$R$5:R196,R197,$N$5:N196,"견적접수")=0),1,""))</f>
        <v/>
      </c>
    </row>
    <row r="198">
      <c r="A198" s="50">
        <f>IF(F198="","",ROW()-5)</f>
        <v/>
      </c>
      <c r="B198" s="34" t="n"/>
      <c r="C198" s="34" t="n"/>
      <c r="D198" s="34" t="n"/>
      <c r="E198" s="34" t="n"/>
      <c r="F198" s="36" t="n"/>
      <c r="G198" s="36" t="n"/>
      <c r="H198" s="36" t="n"/>
      <c r="I198" s="36" t="n"/>
      <c r="J198" s="36" t="n"/>
      <c r="K198" s="34" t="n"/>
      <c r="L198" s="34" t="n"/>
      <c r="M198" s="34" t="n"/>
      <c r="N198" s="34" t="n"/>
      <c r="O198" s="50">
        <f>IF(N(AH198)&gt;1,"중복 "&amp;AH198&amp;"곳"&amp;IF(AK198=1," · 최저가",IF(AND(N198="견적접수",R198&lt;&gt;"")," · 비쌈","")),"")</f>
        <v/>
      </c>
      <c r="P198" s="34" t="n"/>
      <c r="Q198" s="51" t="n"/>
      <c r="R198" s="52">
        <f>IF(OR(Q198="",P198=""),"",IFERROR(IF(VLOOKUP(P198,설정!$K$5:$L$9,2,0)&gt;0,Q198*VLOOKUP(P198,설정!$K$5:$L$9,2,0),""),""))</f>
        <v/>
      </c>
      <c r="S198" s="53">
        <f>IF(OR(R198="",K198=""),"",R198*K198)</f>
        <v/>
      </c>
      <c r="T198" s="38" t="n"/>
      <c r="U198" s="54">
        <f>IF(OR(T198="",AC198="발주완료",AC198="취소"),"",TODAY()+T198)</f>
        <v/>
      </c>
      <c r="V198" s="50">
        <f>IF(OR(U198="",NOT(ISNUMBER($K$2))),"",IF(U198&lt;=$K$2,"가능","초과 "&amp;(U198-$K$2)&amp;"일"))</f>
        <v/>
      </c>
      <c r="W198" s="34" t="n"/>
      <c r="X198" s="34" t="n"/>
      <c r="Y198" s="34" t="n"/>
      <c r="Z198" s="56" t="n"/>
      <c r="AA198" s="54">
        <f>IF(OR(Z198="",Y198=""),"",Z198+Y198)</f>
        <v/>
      </c>
      <c r="AB198" s="36" t="n"/>
      <c r="AC198" s="34" t="n"/>
      <c r="AD198" s="36" t="n"/>
      <c r="AE198" s="50">
        <f>IF(F198="","",B198&amp;"#"&amp;IF(D198="",F198,D198))</f>
        <v/>
      </c>
      <c r="AF198" s="50">
        <f>IF(AE198="","",AE198&amp;"|"&amp;M198)</f>
        <v/>
      </c>
      <c r="AG198" s="50">
        <f>IF(AE198="","",IF(COUNTIF($AE$6:AE198,AE198)=1,1,0))</f>
        <v/>
      </c>
      <c r="AH198" s="50">
        <f>IF(AE198="","",COUNTIF($AE$6:$AE$205,AE198))</f>
        <v/>
      </c>
      <c r="AI198" s="50">
        <f>IF(AE198="","",IF(AND(AG198=1,AH198&gt;1),COUNTIFS($AG$6:AG198,1,$AH$6:AH198,"&gt;1"),""))</f>
        <v/>
      </c>
      <c r="AJ198" s="50">
        <f>IF(AG198=1,IF(COUNTIFS($AE$6:$AE$205,AE198,$N$6:$N$205,"견적접수")&gt;0,1,0),"")</f>
        <v/>
      </c>
      <c r="AK198" s="50">
        <f>IF(OR(R198="",N198&lt;&gt;"견적접수"),"",IF(AND(R198=_xlfn.MINIFS($R$6:$R$205,$AE$6:$AE$205,AE198,$N$6:$N$205,"견적접수"),COUNTIFS($AE$5:AE197,AE198,$R$5:R197,R198,$N$5:N197,"견적접수")=0),1,""))</f>
        <v/>
      </c>
    </row>
    <row r="199">
      <c r="A199" s="50">
        <f>IF(F199="","",ROW()-5)</f>
        <v/>
      </c>
      <c r="B199" s="34" t="n"/>
      <c r="C199" s="34" t="n"/>
      <c r="D199" s="34" t="n"/>
      <c r="E199" s="34" t="n"/>
      <c r="F199" s="36" t="n"/>
      <c r="G199" s="36" t="n"/>
      <c r="H199" s="36" t="n"/>
      <c r="I199" s="36" t="n"/>
      <c r="J199" s="36" t="n"/>
      <c r="K199" s="34" t="n"/>
      <c r="L199" s="34" t="n"/>
      <c r="M199" s="34" t="n"/>
      <c r="N199" s="34" t="n"/>
      <c r="O199" s="50">
        <f>IF(N(AH199)&gt;1,"중복 "&amp;AH199&amp;"곳"&amp;IF(AK199=1," · 최저가",IF(AND(N199="견적접수",R199&lt;&gt;"")," · 비쌈","")),"")</f>
        <v/>
      </c>
      <c r="P199" s="34" t="n"/>
      <c r="Q199" s="51" t="n"/>
      <c r="R199" s="52">
        <f>IF(OR(Q199="",P199=""),"",IFERROR(IF(VLOOKUP(P199,설정!$K$5:$L$9,2,0)&gt;0,Q199*VLOOKUP(P199,설정!$K$5:$L$9,2,0),""),""))</f>
        <v/>
      </c>
      <c r="S199" s="53">
        <f>IF(OR(R199="",K199=""),"",R199*K199)</f>
        <v/>
      </c>
      <c r="T199" s="38" t="n"/>
      <c r="U199" s="54">
        <f>IF(OR(T199="",AC199="발주완료",AC199="취소"),"",TODAY()+T199)</f>
        <v/>
      </c>
      <c r="V199" s="50">
        <f>IF(OR(U199="",NOT(ISNUMBER($K$2))),"",IF(U199&lt;=$K$2,"가능","초과 "&amp;(U199-$K$2)&amp;"일"))</f>
        <v/>
      </c>
      <c r="W199" s="34" t="n"/>
      <c r="X199" s="34" t="n"/>
      <c r="Y199" s="34" t="n"/>
      <c r="Z199" s="56" t="n"/>
      <c r="AA199" s="54">
        <f>IF(OR(Z199="",Y199=""),"",Z199+Y199)</f>
        <v/>
      </c>
      <c r="AB199" s="36" t="n"/>
      <c r="AC199" s="34" t="n"/>
      <c r="AD199" s="36" t="n"/>
      <c r="AE199" s="50">
        <f>IF(F199="","",B199&amp;"#"&amp;IF(D199="",F199,D199))</f>
        <v/>
      </c>
      <c r="AF199" s="50">
        <f>IF(AE199="","",AE199&amp;"|"&amp;M199)</f>
        <v/>
      </c>
      <c r="AG199" s="50">
        <f>IF(AE199="","",IF(COUNTIF($AE$6:AE199,AE199)=1,1,0))</f>
        <v/>
      </c>
      <c r="AH199" s="50">
        <f>IF(AE199="","",COUNTIF($AE$6:$AE$205,AE199))</f>
        <v/>
      </c>
      <c r="AI199" s="50">
        <f>IF(AE199="","",IF(AND(AG199=1,AH199&gt;1),COUNTIFS($AG$6:AG199,1,$AH$6:AH199,"&gt;1"),""))</f>
        <v/>
      </c>
      <c r="AJ199" s="50">
        <f>IF(AG199=1,IF(COUNTIFS($AE$6:$AE$205,AE199,$N$6:$N$205,"견적접수")&gt;0,1,0),"")</f>
        <v/>
      </c>
      <c r="AK199" s="50">
        <f>IF(OR(R199="",N199&lt;&gt;"견적접수"),"",IF(AND(R199=_xlfn.MINIFS($R$6:$R$205,$AE$6:$AE$205,AE199,$N$6:$N$205,"견적접수"),COUNTIFS($AE$5:AE198,AE199,$R$5:R198,R199,$N$5:N198,"견적접수")=0),1,""))</f>
        <v/>
      </c>
    </row>
    <row r="200">
      <c r="A200" s="50">
        <f>IF(F200="","",ROW()-5)</f>
        <v/>
      </c>
      <c r="B200" s="34" t="n"/>
      <c r="C200" s="34" t="n"/>
      <c r="D200" s="34" t="n"/>
      <c r="E200" s="34" t="n"/>
      <c r="F200" s="36" t="n"/>
      <c r="G200" s="36" t="n"/>
      <c r="H200" s="36" t="n"/>
      <c r="I200" s="36" t="n"/>
      <c r="J200" s="36" t="n"/>
      <c r="K200" s="34" t="n"/>
      <c r="L200" s="34" t="n"/>
      <c r="M200" s="34" t="n"/>
      <c r="N200" s="34" t="n"/>
      <c r="O200" s="50">
        <f>IF(N(AH200)&gt;1,"중복 "&amp;AH200&amp;"곳"&amp;IF(AK200=1," · 최저가",IF(AND(N200="견적접수",R200&lt;&gt;"")," · 비쌈","")),"")</f>
        <v/>
      </c>
      <c r="P200" s="34" t="n"/>
      <c r="Q200" s="51" t="n"/>
      <c r="R200" s="52">
        <f>IF(OR(Q200="",P200=""),"",IFERROR(IF(VLOOKUP(P200,설정!$K$5:$L$9,2,0)&gt;0,Q200*VLOOKUP(P200,설정!$K$5:$L$9,2,0),""),""))</f>
        <v/>
      </c>
      <c r="S200" s="53">
        <f>IF(OR(R200="",K200=""),"",R200*K200)</f>
        <v/>
      </c>
      <c r="T200" s="38" t="n"/>
      <c r="U200" s="54">
        <f>IF(OR(T200="",AC200="발주완료",AC200="취소"),"",TODAY()+T200)</f>
        <v/>
      </c>
      <c r="V200" s="50">
        <f>IF(OR(U200="",NOT(ISNUMBER($K$2))),"",IF(U200&lt;=$K$2,"가능","초과 "&amp;(U200-$K$2)&amp;"일"))</f>
        <v/>
      </c>
      <c r="W200" s="34" t="n"/>
      <c r="X200" s="34" t="n"/>
      <c r="Y200" s="34" t="n"/>
      <c r="Z200" s="56" t="n"/>
      <c r="AA200" s="54">
        <f>IF(OR(Z200="",Y200=""),"",Z200+Y200)</f>
        <v/>
      </c>
      <c r="AB200" s="36" t="n"/>
      <c r="AC200" s="34" t="n"/>
      <c r="AD200" s="36" t="n"/>
      <c r="AE200" s="50">
        <f>IF(F200="","",B200&amp;"#"&amp;IF(D200="",F200,D200))</f>
        <v/>
      </c>
      <c r="AF200" s="50">
        <f>IF(AE200="","",AE200&amp;"|"&amp;M200)</f>
        <v/>
      </c>
      <c r="AG200" s="50">
        <f>IF(AE200="","",IF(COUNTIF($AE$6:AE200,AE200)=1,1,0))</f>
        <v/>
      </c>
      <c r="AH200" s="50">
        <f>IF(AE200="","",COUNTIF($AE$6:$AE$205,AE200))</f>
        <v/>
      </c>
      <c r="AI200" s="50">
        <f>IF(AE200="","",IF(AND(AG200=1,AH200&gt;1),COUNTIFS($AG$6:AG200,1,$AH$6:AH200,"&gt;1"),""))</f>
        <v/>
      </c>
      <c r="AJ200" s="50">
        <f>IF(AG200=1,IF(COUNTIFS($AE$6:$AE$205,AE200,$N$6:$N$205,"견적접수")&gt;0,1,0),"")</f>
        <v/>
      </c>
      <c r="AK200" s="50">
        <f>IF(OR(R200="",N200&lt;&gt;"견적접수"),"",IF(AND(R200=_xlfn.MINIFS($R$6:$R$205,$AE$6:$AE$205,AE200,$N$6:$N$205,"견적접수"),COUNTIFS($AE$5:AE199,AE200,$R$5:R199,R200,$N$5:N199,"견적접수")=0),1,""))</f>
        <v/>
      </c>
    </row>
    <row r="201">
      <c r="A201" s="50">
        <f>IF(F201="","",ROW()-5)</f>
        <v/>
      </c>
      <c r="B201" s="34" t="n"/>
      <c r="C201" s="34" t="n"/>
      <c r="D201" s="34" t="n"/>
      <c r="E201" s="34" t="n"/>
      <c r="F201" s="36" t="n"/>
      <c r="G201" s="36" t="n"/>
      <c r="H201" s="36" t="n"/>
      <c r="I201" s="36" t="n"/>
      <c r="J201" s="36" t="n"/>
      <c r="K201" s="34" t="n"/>
      <c r="L201" s="34" t="n"/>
      <c r="M201" s="34" t="n"/>
      <c r="N201" s="34" t="n"/>
      <c r="O201" s="50">
        <f>IF(N(AH201)&gt;1,"중복 "&amp;AH201&amp;"곳"&amp;IF(AK201=1," · 최저가",IF(AND(N201="견적접수",R201&lt;&gt;"")," · 비쌈","")),"")</f>
        <v/>
      </c>
      <c r="P201" s="34" t="n"/>
      <c r="Q201" s="51" t="n"/>
      <c r="R201" s="52">
        <f>IF(OR(Q201="",P201=""),"",IFERROR(IF(VLOOKUP(P201,설정!$K$5:$L$9,2,0)&gt;0,Q201*VLOOKUP(P201,설정!$K$5:$L$9,2,0),""),""))</f>
        <v/>
      </c>
      <c r="S201" s="53">
        <f>IF(OR(R201="",K201=""),"",R201*K201)</f>
        <v/>
      </c>
      <c r="T201" s="38" t="n"/>
      <c r="U201" s="54">
        <f>IF(OR(T201="",AC201="발주완료",AC201="취소"),"",TODAY()+T201)</f>
        <v/>
      </c>
      <c r="V201" s="50">
        <f>IF(OR(U201="",NOT(ISNUMBER($K$2))),"",IF(U201&lt;=$K$2,"가능","초과 "&amp;(U201-$K$2)&amp;"일"))</f>
        <v/>
      </c>
      <c r="W201" s="34" t="n"/>
      <c r="X201" s="34" t="n"/>
      <c r="Y201" s="34" t="n"/>
      <c r="Z201" s="56" t="n"/>
      <c r="AA201" s="54">
        <f>IF(OR(Z201="",Y201=""),"",Z201+Y201)</f>
        <v/>
      </c>
      <c r="AB201" s="36" t="n"/>
      <c r="AC201" s="34" t="n"/>
      <c r="AD201" s="36" t="n"/>
      <c r="AE201" s="50">
        <f>IF(F201="","",B201&amp;"#"&amp;IF(D201="",F201,D201))</f>
        <v/>
      </c>
      <c r="AF201" s="50">
        <f>IF(AE201="","",AE201&amp;"|"&amp;M201)</f>
        <v/>
      </c>
      <c r="AG201" s="50">
        <f>IF(AE201="","",IF(COUNTIF($AE$6:AE201,AE201)=1,1,0))</f>
        <v/>
      </c>
      <c r="AH201" s="50">
        <f>IF(AE201="","",COUNTIF($AE$6:$AE$205,AE201))</f>
        <v/>
      </c>
      <c r="AI201" s="50">
        <f>IF(AE201="","",IF(AND(AG201=1,AH201&gt;1),COUNTIFS($AG$6:AG201,1,$AH$6:AH201,"&gt;1"),""))</f>
        <v/>
      </c>
      <c r="AJ201" s="50">
        <f>IF(AG201=1,IF(COUNTIFS($AE$6:$AE$205,AE201,$N$6:$N$205,"견적접수")&gt;0,1,0),"")</f>
        <v/>
      </c>
      <c r="AK201" s="50">
        <f>IF(OR(R201="",N201&lt;&gt;"견적접수"),"",IF(AND(R201=_xlfn.MINIFS($R$6:$R$205,$AE$6:$AE$205,AE201,$N$6:$N$205,"견적접수"),COUNTIFS($AE$5:AE200,AE201,$R$5:R200,R201,$N$5:N200,"견적접수")=0),1,""))</f>
        <v/>
      </c>
    </row>
    <row r="202">
      <c r="A202" s="50">
        <f>IF(F202="","",ROW()-5)</f>
        <v/>
      </c>
      <c r="B202" s="34" t="n"/>
      <c r="C202" s="34" t="n"/>
      <c r="D202" s="34" t="n"/>
      <c r="E202" s="34" t="n"/>
      <c r="F202" s="36" t="n"/>
      <c r="G202" s="36" t="n"/>
      <c r="H202" s="36" t="n"/>
      <c r="I202" s="36" t="n"/>
      <c r="J202" s="36" t="n"/>
      <c r="K202" s="34" t="n"/>
      <c r="L202" s="34" t="n"/>
      <c r="M202" s="34" t="n"/>
      <c r="N202" s="34" t="n"/>
      <c r="O202" s="50">
        <f>IF(N(AH202)&gt;1,"중복 "&amp;AH202&amp;"곳"&amp;IF(AK202=1," · 최저가",IF(AND(N202="견적접수",R202&lt;&gt;"")," · 비쌈","")),"")</f>
        <v/>
      </c>
      <c r="P202" s="34" t="n"/>
      <c r="Q202" s="51" t="n"/>
      <c r="R202" s="52">
        <f>IF(OR(Q202="",P202=""),"",IFERROR(IF(VLOOKUP(P202,설정!$K$5:$L$9,2,0)&gt;0,Q202*VLOOKUP(P202,설정!$K$5:$L$9,2,0),""),""))</f>
        <v/>
      </c>
      <c r="S202" s="53">
        <f>IF(OR(R202="",K202=""),"",R202*K202)</f>
        <v/>
      </c>
      <c r="T202" s="38" t="n"/>
      <c r="U202" s="54">
        <f>IF(OR(T202="",AC202="발주완료",AC202="취소"),"",TODAY()+T202)</f>
        <v/>
      </c>
      <c r="V202" s="50">
        <f>IF(OR(U202="",NOT(ISNUMBER($K$2))),"",IF(U202&lt;=$K$2,"가능","초과 "&amp;(U202-$K$2)&amp;"일"))</f>
        <v/>
      </c>
      <c r="W202" s="34" t="n"/>
      <c r="X202" s="34" t="n"/>
      <c r="Y202" s="34" t="n"/>
      <c r="Z202" s="56" t="n"/>
      <c r="AA202" s="54">
        <f>IF(OR(Z202="",Y202=""),"",Z202+Y202)</f>
        <v/>
      </c>
      <c r="AB202" s="36" t="n"/>
      <c r="AC202" s="34" t="n"/>
      <c r="AD202" s="36" t="n"/>
      <c r="AE202" s="50">
        <f>IF(F202="","",B202&amp;"#"&amp;IF(D202="",F202,D202))</f>
        <v/>
      </c>
      <c r="AF202" s="50">
        <f>IF(AE202="","",AE202&amp;"|"&amp;M202)</f>
        <v/>
      </c>
      <c r="AG202" s="50">
        <f>IF(AE202="","",IF(COUNTIF($AE$6:AE202,AE202)=1,1,0))</f>
        <v/>
      </c>
      <c r="AH202" s="50">
        <f>IF(AE202="","",COUNTIF($AE$6:$AE$205,AE202))</f>
        <v/>
      </c>
      <c r="AI202" s="50">
        <f>IF(AE202="","",IF(AND(AG202=1,AH202&gt;1),COUNTIFS($AG$6:AG202,1,$AH$6:AH202,"&gt;1"),""))</f>
        <v/>
      </c>
      <c r="AJ202" s="50">
        <f>IF(AG202=1,IF(COUNTIFS($AE$6:$AE$205,AE202,$N$6:$N$205,"견적접수")&gt;0,1,0),"")</f>
        <v/>
      </c>
      <c r="AK202" s="50">
        <f>IF(OR(R202="",N202&lt;&gt;"견적접수"),"",IF(AND(R202=_xlfn.MINIFS($R$6:$R$205,$AE$6:$AE$205,AE202,$N$6:$N$205,"견적접수"),COUNTIFS($AE$5:AE201,AE202,$R$5:R201,R202,$N$5:N201,"견적접수")=0),1,""))</f>
        <v/>
      </c>
    </row>
    <row r="203">
      <c r="A203" s="50">
        <f>IF(F203="","",ROW()-5)</f>
        <v/>
      </c>
      <c r="B203" s="34" t="n"/>
      <c r="C203" s="34" t="n"/>
      <c r="D203" s="34" t="n"/>
      <c r="E203" s="34" t="n"/>
      <c r="F203" s="36" t="n"/>
      <c r="G203" s="36" t="n"/>
      <c r="H203" s="36" t="n"/>
      <c r="I203" s="36" t="n"/>
      <c r="J203" s="36" t="n"/>
      <c r="K203" s="34" t="n"/>
      <c r="L203" s="34" t="n"/>
      <c r="M203" s="34" t="n"/>
      <c r="N203" s="34" t="n"/>
      <c r="O203" s="50">
        <f>IF(N(AH203)&gt;1,"중복 "&amp;AH203&amp;"곳"&amp;IF(AK203=1," · 최저가",IF(AND(N203="견적접수",R203&lt;&gt;"")," · 비쌈","")),"")</f>
        <v/>
      </c>
      <c r="P203" s="34" t="n"/>
      <c r="Q203" s="51" t="n"/>
      <c r="R203" s="52">
        <f>IF(OR(Q203="",P203=""),"",IFERROR(IF(VLOOKUP(P203,설정!$K$5:$L$9,2,0)&gt;0,Q203*VLOOKUP(P203,설정!$K$5:$L$9,2,0),""),""))</f>
        <v/>
      </c>
      <c r="S203" s="53">
        <f>IF(OR(R203="",K203=""),"",R203*K203)</f>
        <v/>
      </c>
      <c r="T203" s="38" t="n"/>
      <c r="U203" s="54">
        <f>IF(OR(T203="",AC203="발주완료",AC203="취소"),"",TODAY()+T203)</f>
        <v/>
      </c>
      <c r="V203" s="50">
        <f>IF(OR(U203="",NOT(ISNUMBER($K$2))),"",IF(U203&lt;=$K$2,"가능","초과 "&amp;(U203-$K$2)&amp;"일"))</f>
        <v/>
      </c>
      <c r="W203" s="34" t="n"/>
      <c r="X203" s="34" t="n"/>
      <c r="Y203" s="34" t="n"/>
      <c r="Z203" s="56" t="n"/>
      <c r="AA203" s="54">
        <f>IF(OR(Z203="",Y203=""),"",Z203+Y203)</f>
        <v/>
      </c>
      <c r="AB203" s="36" t="n"/>
      <c r="AC203" s="34" t="n"/>
      <c r="AD203" s="36" t="n"/>
      <c r="AE203" s="50">
        <f>IF(F203="","",B203&amp;"#"&amp;IF(D203="",F203,D203))</f>
        <v/>
      </c>
      <c r="AF203" s="50">
        <f>IF(AE203="","",AE203&amp;"|"&amp;M203)</f>
        <v/>
      </c>
      <c r="AG203" s="50">
        <f>IF(AE203="","",IF(COUNTIF($AE$6:AE203,AE203)=1,1,0))</f>
        <v/>
      </c>
      <c r="AH203" s="50">
        <f>IF(AE203="","",COUNTIF($AE$6:$AE$205,AE203))</f>
        <v/>
      </c>
      <c r="AI203" s="50">
        <f>IF(AE203="","",IF(AND(AG203=1,AH203&gt;1),COUNTIFS($AG$6:AG203,1,$AH$6:AH203,"&gt;1"),""))</f>
        <v/>
      </c>
      <c r="AJ203" s="50">
        <f>IF(AG203=1,IF(COUNTIFS($AE$6:$AE$205,AE203,$N$6:$N$205,"견적접수")&gt;0,1,0),"")</f>
        <v/>
      </c>
      <c r="AK203" s="50">
        <f>IF(OR(R203="",N203&lt;&gt;"견적접수"),"",IF(AND(R203=_xlfn.MINIFS($R$6:$R$205,$AE$6:$AE$205,AE203,$N$6:$N$205,"견적접수"),COUNTIFS($AE$5:AE202,AE203,$R$5:R202,R203,$N$5:N202,"견적접수")=0),1,""))</f>
        <v/>
      </c>
    </row>
    <row r="204">
      <c r="A204" s="50">
        <f>IF(F204="","",ROW()-5)</f>
        <v/>
      </c>
      <c r="B204" s="34" t="n"/>
      <c r="C204" s="34" t="n"/>
      <c r="D204" s="34" t="n"/>
      <c r="E204" s="34" t="n"/>
      <c r="F204" s="36" t="n"/>
      <c r="G204" s="36" t="n"/>
      <c r="H204" s="36" t="n"/>
      <c r="I204" s="36" t="n"/>
      <c r="J204" s="36" t="n"/>
      <c r="K204" s="34" t="n"/>
      <c r="L204" s="34" t="n"/>
      <c r="M204" s="34" t="n"/>
      <c r="N204" s="34" t="n"/>
      <c r="O204" s="50">
        <f>IF(N(AH204)&gt;1,"중복 "&amp;AH204&amp;"곳"&amp;IF(AK204=1," · 최저가",IF(AND(N204="견적접수",R204&lt;&gt;"")," · 비쌈","")),"")</f>
        <v/>
      </c>
      <c r="P204" s="34" t="n"/>
      <c r="Q204" s="51" t="n"/>
      <c r="R204" s="52">
        <f>IF(OR(Q204="",P204=""),"",IFERROR(IF(VLOOKUP(P204,설정!$K$5:$L$9,2,0)&gt;0,Q204*VLOOKUP(P204,설정!$K$5:$L$9,2,0),""),""))</f>
        <v/>
      </c>
      <c r="S204" s="53">
        <f>IF(OR(R204="",K204=""),"",R204*K204)</f>
        <v/>
      </c>
      <c r="T204" s="38" t="n"/>
      <c r="U204" s="54">
        <f>IF(OR(T204="",AC204="발주완료",AC204="취소"),"",TODAY()+T204)</f>
        <v/>
      </c>
      <c r="V204" s="50">
        <f>IF(OR(U204="",NOT(ISNUMBER($K$2))),"",IF(U204&lt;=$K$2,"가능","초과 "&amp;(U204-$K$2)&amp;"일"))</f>
        <v/>
      </c>
      <c r="W204" s="34" t="n"/>
      <c r="X204" s="34" t="n"/>
      <c r="Y204" s="34" t="n"/>
      <c r="Z204" s="56" t="n"/>
      <c r="AA204" s="54">
        <f>IF(OR(Z204="",Y204=""),"",Z204+Y204)</f>
        <v/>
      </c>
      <c r="AB204" s="36" t="n"/>
      <c r="AC204" s="34" t="n"/>
      <c r="AD204" s="36" t="n"/>
      <c r="AE204" s="50">
        <f>IF(F204="","",B204&amp;"#"&amp;IF(D204="",F204,D204))</f>
        <v/>
      </c>
      <c r="AF204" s="50">
        <f>IF(AE204="","",AE204&amp;"|"&amp;M204)</f>
        <v/>
      </c>
      <c r="AG204" s="50">
        <f>IF(AE204="","",IF(COUNTIF($AE$6:AE204,AE204)=1,1,0))</f>
        <v/>
      </c>
      <c r="AH204" s="50">
        <f>IF(AE204="","",COUNTIF($AE$6:$AE$205,AE204))</f>
        <v/>
      </c>
      <c r="AI204" s="50">
        <f>IF(AE204="","",IF(AND(AG204=1,AH204&gt;1),COUNTIFS($AG$6:AG204,1,$AH$6:AH204,"&gt;1"),""))</f>
        <v/>
      </c>
      <c r="AJ204" s="50">
        <f>IF(AG204=1,IF(COUNTIFS($AE$6:$AE$205,AE204,$N$6:$N$205,"견적접수")&gt;0,1,0),"")</f>
        <v/>
      </c>
      <c r="AK204" s="50">
        <f>IF(OR(R204="",N204&lt;&gt;"견적접수"),"",IF(AND(R204=_xlfn.MINIFS($R$6:$R$205,$AE$6:$AE$205,AE204,$N$6:$N$205,"견적접수"),COUNTIFS($AE$5:AE203,AE204,$R$5:R203,R204,$N$5:N203,"견적접수")=0),1,""))</f>
        <v/>
      </c>
    </row>
    <row r="205">
      <c r="A205" s="50">
        <f>IF(F205="","",ROW()-5)</f>
        <v/>
      </c>
      <c r="B205" s="34" t="n"/>
      <c r="C205" s="34" t="n"/>
      <c r="D205" s="34" t="n"/>
      <c r="E205" s="34" t="n"/>
      <c r="F205" s="36" t="n"/>
      <c r="G205" s="36" t="n"/>
      <c r="H205" s="36" t="n"/>
      <c r="I205" s="36" t="n"/>
      <c r="J205" s="36" t="n"/>
      <c r="K205" s="34" t="n"/>
      <c r="L205" s="34" t="n"/>
      <c r="M205" s="34" t="n"/>
      <c r="N205" s="34" t="n"/>
      <c r="O205" s="50">
        <f>IF(N(AH205)&gt;1,"중복 "&amp;AH205&amp;"곳"&amp;IF(AK205=1," · 최저가",IF(AND(N205="견적접수",R205&lt;&gt;"")," · 비쌈","")),"")</f>
        <v/>
      </c>
      <c r="P205" s="34" t="n"/>
      <c r="Q205" s="51" t="n"/>
      <c r="R205" s="52">
        <f>IF(OR(Q205="",P205=""),"",IFERROR(IF(VLOOKUP(P205,설정!$K$5:$L$9,2,0)&gt;0,Q205*VLOOKUP(P205,설정!$K$5:$L$9,2,0),""),""))</f>
        <v/>
      </c>
      <c r="S205" s="53">
        <f>IF(OR(R205="",K205=""),"",R205*K205)</f>
        <v/>
      </c>
      <c r="T205" s="38" t="n"/>
      <c r="U205" s="54">
        <f>IF(OR(T205="",AC205="발주완료",AC205="취소"),"",TODAY()+T205)</f>
        <v/>
      </c>
      <c r="V205" s="50">
        <f>IF(OR(U205="",NOT(ISNUMBER($K$2))),"",IF(U205&lt;=$K$2,"가능","초과 "&amp;(U205-$K$2)&amp;"일"))</f>
        <v/>
      </c>
      <c r="W205" s="34" t="n"/>
      <c r="X205" s="34" t="n"/>
      <c r="Y205" s="34" t="n"/>
      <c r="Z205" s="56" t="n"/>
      <c r="AA205" s="54">
        <f>IF(OR(Z205="",Y205=""),"",Z205+Y205)</f>
        <v/>
      </c>
      <c r="AB205" s="36" t="n"/>
      <c r="AC205" s="34" t="n"/>
      <c r="AD205" s="36" t="n"/>
      <c r="AE205" s="50">
        <f>IF(F205="","",B205&amp;"#"&amp;IF(D205="",F205,D205))</f>
        <v/>
      </c>
      <c r="AF205" s="50">
        <f>IF(AE205="","",AE205&amp;"|"&amp;M205)</f>
        <v/>
      </c>
      <c r="AG205" s="50">
        <f>IF(AE205="","",IF(COUNTIF($AE$6:AE205,AE205)=1,1,0))</f>
        <v/>
      </c>
      <c r="AH205" s="50">
        <f>IF(AE205="","",COUNTIF($AE$6:$AE$205,AE205))</f>
        <v/>
      </c>
      <c r="AI205" s="50">
        <f>IF(AE205="","",IF(AND(AG205=1,AH205&gt;1),COUNTIFS($AG$6:AG205,1,$AH$6:AH205,"&gt;1"),""))</f>
        <v/>
      </c>
      <c r="AJ205" s="50">
        <f>IF(AG205=1,IF(COUNTIFS($AE$6:$AE$205,AE205,$N$6:$N$205,"견적접수")&gt;0,1,0),"")</f>
        <v/>
      </c>
      <c r="AK205" s="50">
        <f>IF(OR(R205="",N205&lt;&gt;"견적접수"),"",IF(AND(R205=_xlfn.MINIFS($R$6:$R$205,$AE$6:$AE$205,AE205,$N$6:$N$205,"견적접수"),COUNTIFS($AE$5:AE204,AE205,$R$5:R204,R205,$N$5:N204,"견적접수")=0),1,""))</f>
        <v/>
      </c>
    </row>
  </sheetData>
  <autoFilter ref="A5:AD205"/>
  <mergeCells count="5">
    <mergeCell ref="A2:F2"/>
    <mergeCell ref="O3:P3"/>
    <mergeCell ref="H2:I2"/>
    <mergeCell ref="K2:L2"/>
    <mergeCell ref="M3:N3"/>
  </mergeCells>
  <conditionalFormatting sqref="A2">
    <cfRule type="expression" priority="1" dxfId="0">
      <formula>AND(ISNUMBER($G$2),$G$2&gt;=0,$G$2&lt;=4)</formula>
    </cfRule>
    <cfRule type="expression" priority="2" dxfId="1">
      <formula>AND(ISNUMBER($G$2),$G$2&gt;4,$G$2&lt;=7)</formula>
    </cfRule>
  </conditionalFormatting>
  <conditionalFormatting sqref="G2">
    <cfRule type="expression" priority="3" dxfId="0">
      <formula>AND(ISNUMBER($G$2),$G$2&gt;=0,$G$2&lt;=4)</formula>
    </cfRule>
    <cfRule type="expression" priority="4" dxfId="1">
      <formula>AND(ISNUMBER($G$2),$G$2&gt;4,$G$2&lt;=7)</formula>
    </cfRule>
  </conditionalFormatting>
  <conditionalFormatting sqref="H2">
    <cfRule type="expression" priority="5" dxfId="0">
      <formula>AND(ISNUMBER($G$2),$G$2&gt;=0,$G$2&lt;=4)</formula>
    </cfRule>
    <cfRule type="expression" priority="6" dxfId="1">
      <formula>AND(ISNUMBER($G$2),$G$2&gt;4,$G$2&lt;=7)</formula>
    </cfRule>
  </conditionalFormatting>
  <conditionalFormatting sqref="N6:N205">
    <cfRule type="cellIs" priority="7" operator="equal" dxfId="8">
      <formula>"견적접수"</formula>
    </cfRule>
    <cfRule type="cellIs" priority="8" operator="equal" dxfId="9">
      <formula>"확인필요"</formula>
    </cfRule>
    <cfRule type="cellIs" priority="9" operator="equal" dxfId="10">
      <formula>"공급불가"</formula>
    </cfRule>
    <cfRule type="cellIs" priority="10" operator="equal" dxfId="11">
      <formula>"미접수"</formula>
    </cfRule>
  </conditionalFormatting>
  <conditionalFormatting sqref="A6:AD205">
    <cfRule type="expression" priority="11" dxfId="12">
      <formula>OR($AC6="발주완료",$AC6="취소")</formula>
    </cfRule>
  </conditionalFormatting>
  <conditionalFormatting sqref="A6:D205">
    <cfRule type="expression" priority="12" dxfId="13">
      <formula>N($AH6)&gt;1</formula>
    </cfRule>
  </conditionalFormatting>
  <conditionalFormatting sqref="O6:O205">
    <cfRule type="expression" priority="13" dxfId="8">
      <formula>ISNUMBER(SEARCH("최저",$O6))</formula>
    </cfRule>
    <cfRule type="expression" priority="14" dxfId="14">
      <formula>LEFT($O6,2)="중복"</formula>
    </cfRule>
  </conditionalFormatting>
  <conditionalFormatting sqref="AA6:AA205">
    <cfRule type="expression" priority="15" dxfId="0">
      <formula>AND($AA6&lt;&gt;"",$AA6&lt;TODAY())</formula>
    </cfRule>
    <cfRule type="expression" priority="16" dxfId="9">
      <formula>AND($AA6&lt;&gt;"",$AA6-TODAY()&lt;=5)</formula>
    </cfRule>
  </conditionalFormatting>
  <conditionalFormatting sqref="V6:V205">
    <cfRule type="expression" priority="17" dxfId="10">
      <formula>LEFT($V6,2)="초과"</formula>
    </cfRule>
    <cfRule type="cellIs" priority="18" operator="equal" dxfId="8">
      <formula>"가능"</formula>
    </cfRule>
  </conditionalFormatting>
  <dataValidations count="4">
    <dataValidation sqref="N6:N205" showDropDown="0" showInputMessage="0" showErrorMessage="0" allowBlank="1" errorTitle="입력 확인" error="목록에서 선택하세요" type="list">
      <formula1>=설정!$A$5:$A$14</formula1>
    </dataValidation>
    <dataValidation sqref="AC6:AC205" showDropDown="0" showInputMessage="0" showErrorMessage="0" allowBlank="1" errorTitle="입력 확인" error="목록에서 선택하세요 ('설정' 시트에서 추가 가능)" type="list">
      <formula1>=설정!$C$5:$C$16</formula1>
    </dataValidation>
    <dataValidation sqref="M6:M205" showDropDown="0" showInputMessage="0" showErrorMessage="0" allowBlank="1" errorTitle="입력 확인" error="업체는 '설정' 시트에 먼저 추가하세요 (최대 8곳)" type="list">
      <formula1>=설정!$E$5:$E$12</formula1>
    </dataValidation>
    <dataValidation sqref="P6:P205" showDropDown="0" showInputMessage="0" showErrorMessage="0" allowBlank="1" errorTitle="입력 확인" error="설정 시트 환율표의 통화만 사용" type="list">
      <formula1>=설정!$K$5:$K$9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4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34" customWidth="1" min="3" max="3"/>
    <col width="14" customWidth="1" min="4" max="4"/>
    <col width="11" customWidth="1" min="5" max="5"/>
    <col width="34" customWidth="1" min="6" max="6"/>
    <col width="7" customWidth="1" min="7" max="7"/>
    <col width="9" customWidth="1" min="8" max="8"/>
    <col width="8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14" customWidth="1" min="19" max="19"/>
    <col width="30" customWidth="1" min="20" max="20"/>
  </cols>
  <sheetData>
    <row r="1">
      <c r="A1" s="1" t="inlineStr">
        <is>
          <t>RFQ 목록 (발송한 견적요청서)</t>
        </is>
      </c>
    </row>
    <row r="2">
      <c r="A2" s="2" t="inlineStr">
        <is>
          <t>RFQ별 견적 확보 현황과 업체별 회신 줄 수 (선박 시트에서 자동 집계) · 새 RFQ는 빈 줄에 추가</t>
        </is>
      </c>
    </row>
    <row r="4" ht="32" customHeight="1">
      <c r="A4" s="4" t="inlineStr">
        <is>
          <t>파일</t>
        </is>
      </c>
      <c r="B4" s="4" t="inlineStr">
        <is>
          <t>RFQ No.</t>
        </is>
      </c>
      <c r="C4" s="4" t="inlineStr">
        <is>
          <t>Maker</t>
        </is>
      </c>
      <c r="D4" s="4" t="inlineStr">
        <is>
          <t>Category</t>
        </is>
      </c>
      <c r="E4" s="4" t="inlineStr">
        <is>
          <t>RFQ일</t>
        </is>
      </c>
      <c r="F4" s="4" t="inlineStr">
        <is>
          <t>대상 선박</t>
        </is>
      </c>
      <c r="G4" s="4" t="inlineStr">
        <is>
          <t>품목수</t>
        </is>
      </c>
      <c r="H4" s="18" t="inlineStr">
        <is>
          <t>견적확보
품목</t>
        </is>
      </c>
      <c r="I4" s="18" t="inlineStr">
        <is>
          <t>미확보</t>
        </is>
      </c>
      <c r="J4" s="18">
        <f>IF(설정!$E$5="","-",설정!$E$5&amp;" 회신")</f>
        <v/>
      </c>
      <c r="K4" s="18">
        <f>IF(설정!$E$6="","-",설정!$E$6&amp;" 회신")</f>
        <v/>
      </c>
      <c r="L4" s="18">
        <f>IF(설정!$E$7="","-",설정!$E$7&amp;" 회신")</f>
        <v/>
      </c>
      <c r="M4" s="18">
        <f>IF(설정!$E$8="","-",설정!$E$8&amp;" 회신")</f>
        <v/>
      </c>
      <c r="N4" s="18">
        <f>IF(설정!$E$9="","-",설정!$E$9&amp;" 회신")</f>
        <v/>
      </c>
      <c r="O4" s="18">
        <f>IF(설정!$E$10="","-",설정!$E$10&amp;" 회신")</f>
        <v/>
      </c>
      <c r="P4" s="18">
        <f>IF(설정!$E$11="","-",설정!$E$11&amp;" 회신")</f>
        <v/>
      </c>
      <c r="Q4" s="18">
        <f>IF(설정!$E$12="","-",설정!$E$12&amp;" 회신")</f>
        <v/>
      </c>
      <c r="R4" s="18" t="inlineStr">
        <is>
          <t>중복견적
품목</t>
        </is>
      </c>
      <c r="S4" s="18" t="inlineStr">
        <is>
          <t>최저가 합계
(KRW)</t>
        </is>
      </c>
      <c r="T4" s="4" t="inlineStr">
        <is>
          <t>비고</t>
        </is>
      </c>
    </row>
    <row r="5">
      <c r="A5" s="34" t="inlineStr">
        <is>
          <t>01</t>
        </is>
      </c>
      <c r="B5" s="34" t="inlineStr">
        <is>
          <t>KQU-000116304</t>
        </is>
      </c>
      <c r="C5" s="36" t="inlineStr">
        <is>
          <t>NORGREN (EGR air filters &amp; service kits)</t>
        </is>
      </c>
      <c r="D5" s="34" t="inlineStr">
        <is>
          <t>Main Engine</t>
        </is>
      </c>
      <c r="E5" s="56" t="n">
        <v>46314</v>
      </c>
      <c r="F5" s="36" t="inlineStr">
        <is>
          <t>AEOLUS / MELICERTES / NELEUS / ONEIROI</t>
        </is>
      </c>
      <c r="G5" s="34" t="n">
        <v>6</v>
      </c>
      <c r="H5" s="58">
        <f>IF($B5="","",COUNTIFS('AEOLUS'!$B$6:$B$205,$B5,'AEOLUS'!$AJ$6:$AJ$205,1)+COUNTIFS('MELICERTES'!$B$6:$B$205,$B5,'MELICERTES'!$AJ$6:$AJ$205,1)+COUNTIFS('NELEUS'!$B$6:$B$205,$B5,'NELEUS'!$AJ$6:$AJ$205,1)+COUNTIFS('ONEIROI'!$B$6:$B$205,$B5,'ONEIROI'!$AJ$6:$AJ$205,1))</f>
        <v/>
      </c>
      <c r="I5" s="58">
        <f>IF(OR($B5="",G5=""),"",G5-H5)</f>
        <v/>
      </c>
      <c r="J5" s="58">
        <f>IF(OR($B5="",설정!$E$5=""),"",COUNTIFS('AEOLUS'!$B$6:$B$205,$B5,'AEOLUS'!$M$6:$M$205,설정!$E$5)+COUNTIFS('MELICERTES'!$B$6:$B$205,$B5,'MELICERTES'!$M$6:$M$205,설정!$E$5)+COUNTIFS('NELEUS'!$B$6:$B$205,$B5,'NELEUS'!$M$6:$M$205,설정!$E$5)+COUNTIFS('ONEIROI'!$B$6:$B$205,$B5,'ONEIROI'!$M$6:$M$205,설정!$E$5))</f>
        <v/>
      </c>
      <c r="K5" s="58">
        <f>IF(OR($B5="",설정!$E$6=""),"",COUNTIFS('AEOLUS'!$B$6:$B$205,$B5,'AEOLUS'!$M$6:$M$205,설정!$E$6)+COUNTIFS('MELICERTES'!$B$6:$B$205,$B5,'MELICERTES'!$M$6:$M$205,설정!$E$6)+COUNTIFS('NELEUS'!$B$6:$B$205,$B5,'NELEUS'!$M$6:$M$205,설정!$E$6)+COUNTIFS('ONEIROI'!$B$6:$B$205,$B5,'ONEIROI'!$M$6:$M$205,설정!$E$6))</f>
        <v/>
      </c>
      <c r="L5" s="58">
        <f>IF(OR($B5="",설정!$E$7=""),"",COUNTIFS('AEOLUS'!$B$6:$B$205,$B5,'AEOLUS'!$M$6:$M$205,설정!$E$7)+COUNTIFS('MELICERTES'!$B$6:$B$205,$B5,'MELICERTES'!$M$6:$M$205,설정!$E$7)+COUNTIFS('NELEUS'!$B$6:$B$205,$B5,'NELEUS'!$M$6:$M$205,설정!$E$7)+COUNTIFS('ONEIROI'!$B$6:$B$205,$B5,'ONEIROI'!$M$6:$M$205,설정!$E$7))</f>
        <v/>
      </c>
      <c r="M5" s="58">
        <f>IF(OR($B5="",설정!$E$8=""),"",COUNTIFS('AEOLUS'!$B$6:$B$205,$B5,'AEOLUS'!$M$6:$M$205,설정!$E$8)+COUNTIFS('MELICERTES'!$B$6:$B$205,$B5,'MELICERTES'!$M$6:$M$205,설정!$E$8)+COUNTIFS('NELEUS'!$B$6:$B$205,$B5,'NELEUS'!$M$6:$M$205,설정!$E$8)+COUNTIFS('ONEIROI'!$B$6:$B$205,$B5,'ONEIROI'!$M$6:$M$205,설정!$E$8))</f>
        <v/>
      </c>
      <c r="N5" s="58">
        <f>IF(OR($B5="",설정!$E$9=""),"",COUNTIFS('AEOLUS'!$B$6:$B$205,$B5,'AEOLUS'!$M$6:$M$205,설정!$E$9)+COUNTIFS('MELICERTES'!$B$6:$B$205,$B5,'MELICERTES'!$M$6:$M$205,설정!$E$9)+COUNTIFS('NELEUS'!$B$6:$B$205,$B5,'NELEUS'!$M$6:$M$205,설정!$E$9)+COUNTIFS('ONEIROI'!$B$6:$B$205,$B5,'ONEIROI'!$M$6:$M$205,설정!$E$9))</f>
        <v/>
      </c>
      <c r="O5" s="58">
        <f>IF(OR($B5="",설정!$E$10=""),"",COUNTIFS('AEOLUS'!$B$6:$B$205,$B5,'AEOLUS'!$M$6:$M$205,설정!$E$10)+COUNTIFS('MELICERTES'!$B$6:$B$205,$B5,'MELICERTES'!$M$6:$M$205,설정!$E$10)+COUNTIFS('NELEUS'!$B$6:$B$205,$B5,'NELEUS'!$M$6:$M$205,설정!$E$10)+COUNTIFS('ONEIROI'!$B$6:$B$205,$B5,'ONEIROI'!$M$6:$M$205,설정!$E$10))</f>
        <v/>
      </c>
      <c r="P5" s="58">
        <f>IF(OR($B5="",설정!$E$11=""),"",COUNTIFS('AEOLUS'!$B$6:$B$205,$B5,'AEOLUS'!$M$6:$M$205,설정!$E$11)+COUNTIFS('MELICERTES'!$B$6:$B$205,$B5,'MELICERTES'!$M$6:$M$205,설정!$E$11)+COUNTIFS('NELEUS'!$B$6:$B$205,$B5,'NELEUS'!$M$6:$M$205,설정!$E$11)+COUNTIFS('ONEIROI'!$B$6:$B$205,$B5,'ONEIROI'!$M$6:$M$205,설정!$E$11))</f>
        <v/>
      </c>
      <c r="Q5" s="58">
        <f>IF(OR($B5="",설정!$E$12=""),"",COUNTIFS('AEOLUS'!$B$6:$B$205,$B5,'AEOLUS'!$M$6:$M$205,설정!$E$12)+COUNTIFS('MELICERTES'!$B$6:$B$205,$B5,'MELICERTES'!$M$6:$M$205,설정!$E$12)+COUNTIFS('NELEUS'!$B$6:$B$205,$B5,'NELEUS'!$M$6:$M$205,설정!$E$12)+COUNTIFS('ONEIROI'!$B$6:$B$205,$B5,'ONEIROI'!$M$6:$M$205,설정!$E$12))</f>
        <v/>
      </c>
      <c r="R5" s="58">
        <f>IF($B5="","",COUNTIFS('AEOLUS'!$B$6:$B$205,$B5,'AEOLUS'!$AI$6:$AI$205,"&gt;0")+COUNTIFS('MELICERTES'!$B$6:$B$205,$B5,'MELICERTES'!$AI$6:$AI$205,"&gt;0")+COUNTIFS('NELEUS'!$B$6:$B$205,$B5,'NELEUS'!$AI$6:$AI$205,"&gt;0")+COUNTIFS('ONEIROI'!$B$6:$B$205,$B5,'ONEIROI'!$AI$6:$AI$205,"&gt;0"))</f>
        <v/>
      </c>
      <c r="S5" s="53">
        <f>IF($B5="","",SUMIFS('AEOLUS'!$S$6:$S$205,'AEOLUS'!$B$6:$B$205,$B5,'AEOLUS'!$AK$6:$AK$205,1)+SUMIFS('MELICERTES'!$S$6:$S$205,'MELICERTES'!$B$6:$B$205,$B5,'MELICERTES'!$AK$6:$AK$205,1)+SUMIFS('NELEUS'!$S$6:$S$205,'NELEUS'!$B$6:$B$205,$B5,'NELEUS'!$AK$6:$AK$205,1)+SUMIFS('ONEIROI'!$S$6:$S$205,'ONEIROI'!$B$6:$B$205,$B5,'ONEIROI'!$AK$6:$AK$205,1))</f>
        <v/>
      </c>
      <c r="T5" s="36" t="n"/>
    </row>
    <row r="6">
      <c r="A6" s="34" t="inlineStr">
        <is>
          <t>03</t>
        </is>
      </c>
      <c r="B6" s="34" t="inlineStr">
        <is>
          <t>KQU-000116305</t>
        </is>
      </c>
      <c r="C6" s="36" t="inlineStr">
        <is>
          <t>DANFOSS (pressure transmitters)</t>
        </is>
      </c>
      <c r="D6" s="34" t="inlineStr">
        <is>
          <t>Main Engine</t>
        </is>
      </c>
      <c r="E6" s="56" t="n">
        <v>46314</v>
      </c>
      <c r="F6" s="36" t="inlineStr">
        <is>
          <t>MELICERTES / NELEUS</t>
        </is>
      </c>
      <c r="G6" s="34" t="n">
        <v>5</v>
      </c>
      <c r="H6" s="58">
        <f>IF($B6="","",COUNTIFS('AEOLUS'!$B$6:$B$205,$B6,'AEOLUS'!$AJ$6:$AJ$205,1)+COUNTIFS('MELICERTES'!$B$6:$B$205,$B6,'MELICERTES'!$AJ$6:$AJ$205,1)+COUNTIFS('NELEUS'!$B$6:$B$205,$B6,'NELEUS'!$AJ$6:$AJ$205,1)+COUNTIFS('ONEIROI'!$B$6:$B$205,$B6,'ONEIROI'!$AJ$6:$AJ$205,1))</f>
        <v/>
      </c>
      <c r="I6" s="58">
        <f>IF(OR($B6="",G6=""),"",G6-H6)</f>
        <v/>
      </c>
      <c r="J6" s="58">
        <f>IF(OR($B6="",설정!$E$5=""),"",COUNTIFS('AEOLUS'!$B$6:$B$205,$B6,'AEOLUS'!$M$6:$M$205,설정!$E$5)+COUNTIFS('MELICERTES'!$B$6:$B$205,$B6,'MELICERTES'!$M$6:$M$205,설정!$E$5)+COUNTIFS('NELEUS'!$B$6:$B$205,$B6,'NELEUS'!$M$6:$M$205,설정!$E$5)+COUNTIFS('ONEIROI'!$B$6:$B$205,$B6,'ONEIROI'!$M$6:$M$205,설정!$E$5))</f>
        <v/>
      </c>
      <c r="K6" s="58">
        <f>IF(OR($B6="",설정!$E$6=""),"",COUNTIFS('AEOLUS'!$B$6:$B$205,$B6,'AEOLUS'!$M$6:$M$205,설정!$E$6)+COUNTIFS('MELICERTES'!$B$6:$B$205,$B6,'MELICERTES'!$M$6:$M$205,설정!$E$6)+COUNTIFS('NELEUS'!$B$6:$B$205,$B6,'NELEUS'!$M$6:$M$205,설정!$E$6)+COUNTIFS('ONEIROI'!$B$6:$B$205,$B6,'ONEIROI'!$M$6:$M$205,설정!$E$6))</f>
        <v/>
      </c>
      <c r="L6" s="58">
        <f>IF(OR($B6="",설정!$E$7=""),"",COUNTIFS('AEOLUS'!$B$6:$B$205,$B6,'AEOLUS'!$M$6:$M$205,설정!$E$7)+COUNTIFS('MELICERTES'!$B$6:$B$205,$B6,'MELICERTES'!$M$6:$M$205,설정!$E$7)+COUNTIFS('NELEUS'!$B$6:$B$205,$B6,'NELEUS'!$M$6:$M$205,설정!$E$7)+COUNTIFS('ONEIROI'!$B$6:$B$205,$B6,'ONEIROI'!$M$6:$M$205,설정!$E$7))</f>
        <v/>
      </c>
      <c r="M6" s="58">
        <f>IF(OR($B6="",설정!$E$8=""),"",COUNTIFS('AEOLUS'!$B$6:$B$205,$B6,'AEOLUS'!$M$6:$M$205,설정!$E$8)+COUNTIFS('MELICERTES'!$B$6:$B$205,$B6,'MELICERTES'!$M$6:$M$205,설정!$E$8)+COUNTIFS('NELEUS'!$B$6:$B$205,$B6,'NELEUS'!$M$6:$M$205,설정!$E$8)+COUNTIFS('ONEIROI'!$B$6:$B$205,$B6,'ONEIROI'!$M$6:$M$205,설정!$E$8))</f>
        <v/>
      </c>
      <c r="N6" s="58">
        <f>IF(OR($B6="",설정!$E$9=""),"",COUNTIFS('AEOLUS'!$B$6:$B$205,$B6,'AEOLUS'!$M$6:$M$205,설정!$E$9)+COUNTIFS('MELICERTES'!$B$6:$B$205,$B6,'MELICERTES'!$M$6:$M$205,설정!$E$9)+COUNTIFS('NELEUS'!$B$6:$B$205,$B6,'NELEUS'!$M$6:$M$205,설정!$E$9)+COUNTIFS('ONEIROI'!$B$6:$B$205,$B6,'ONEIROI'!$M$6:$M$205,설정!$E$9))</f>
        <v/>
      </c>
      <c r="O6" s="58">
        <f>IF(OR($B6="",설정!$E$10=""),"",COUNTIFS('AEOLUS'!$B$6:$B$205,$B6,'AEOLUS'!$M$6:$M$205,설정!$E$10)+COUNTIFS('MELICERTES'!$B$6:$B$205,$B6,'MELICERTES'!$M$6:$M$205,설정!$E$10)+COUNTIFS('NELEUS'!$B$6:$B$205,$B6,'NELEUS'!$M$6:$M$205,설정!$E$10)+COUNTIFS('ONEIROI'!$B$6:$B$205,$B6,'ONEIROI'!$M$6:$M$205,설정!$E$10))</f>
        <v/>
      </c>
      <c r="P6" s="58">
        <f>IF(OR($B6="",설정!$E$11=""),"",COUNTIFS('AEOLUS'!$B$6:$B$205,$B6,'AEOLUS'!$M$6:$M$205,설정!$E$11)+COUNTIFS('MELICERTES'!$B$6:$B$205,$B6,'MELICERTES'!$M$6:$M$205,설정!$E$11)+COUNTIFS('NELEUS'!$B$6:$B$205,$B6,'NELEUS'!$M$6:$M$205,설정!$E$11)+COUNTIFS('ONEIROI'!$B$6:$B$205,$B6,'ONEIROI'!$M$6:$M$205,설정!$E$11))</f>
        <v/>
      </c>
      <c r="Q6" s="58">
        <f>IF(OR($B6="",설정!$E$12=""),"",COUNTIFS('AEOLUS'!$B$6:$B$205,$B6,'AEOLUS'!$M$6:$M$205,설정!$E$12)+COUNTIFS('MELICERTES'!$B$6:$B$205,$B6,'MELICERTES'!$M$6:$M$205,설정!$E$12)+COUNTIFS('NELEUS'!$B$6:$B$205,$B6,'NELEUS'!$M$6:$M$205,설정!$E$12)+COUNTIFS('ONEIROI'!$B$6:$B$205,$B6,'ONEIROI'!$M$6:$M$205,설정!$E$12))</f>
        <v/>
      </c>
      <c r="R6" s="58">
        <f>IF($B6="","",COUNTIFS('AEOLUS'!$B$6:$B$205,$B6,'AEOLUS'!$AI$6:$AI$205,"&gt;0")+COUNTIFS('MELICERTES'!$B$6:$B$205,$B6,'MELICERTES'!$AI$6:$AI$205,"&gt;0")+COUNTIFS('NELEUS'!$B$6:$B$205,$B6,'NELEUS'!$AI$6:$AI$205,"&gt;0")+COUNTIFS('ONEIROI'!$B$6:$B$205,$B6,'ONEIROI'!$AI$6:$AI$205,"&gt;0"))</f>
        <v/>
      </c>
      <c r="S6" s="53">
        <f>IF($B6="","",SUMIFS('AEOLUS'!$S$6:$S$205,'AEOLUS'!$B$6:$B$205,$B6,'AEOLUS'!$AK$6:$AK$205,1)+SUMIFS('MELICERTES'!$S$6:$S$205,'MELICERTES'!$B$6:$B$205,$B6,'MELICERTES'!$AK$6:$AK$205,1)+SUMIFS('NELEUS'!$S$6:$S$205,'NELEUS'!$B$6:$B$205,$B6,'NELEUS'!$AK$6:$AK$205,1)+SUMIFS('ONEIROI'!$S$6:$S$205,'ONEIROI'!$B$6:$B$205,$B6,'ONEIROI'!$AK$6:$AK$205,1))</f>
        <v/>
      </c>
      <c r="T6" s="36" t="n"/>
    </row>
    <row r="7">
      <c r="A7" s="34" t="inlineStr">
        <is>
          <t>04</t>
        </is>
      </c>
      <c r="B7" s="34" t="inlineStr">
        <is>
          <t>KQU-000116306</t>
        </is>
      </c>
      <c r="C7" s="36" t="inlineStr">
        <is>
          <t>WAGO</t>
        </is>
      </c>
      <c r="D7" s="34" t="inlineStr">
        <is>
          <t>Main Engine</t>
        </is>
      </c>
      <c r="E7" s="56" t="n">
        <v>46314</v>
      </c>
      <c r="F7" s="36" t="inlineStr">
        <is>
          <t>AEOLUS / MELICERTES</t>
        </is>
      </c>
      <c r="G7" s="34" t="n">
        <v>2</v>
      </c>
      <c r="H7" s="58">
        <f>IF($B7="","",COUNTIFS('AEOLUS'!$B$6:$B$205,$B7,'AEOLUS'!$AJ$6:$AJ$205,1)+COUNTIFS('MELICERTES'!$B$6:$B$205,$B7,'MELICERTES'!$AJ$6:$AJ$205,1)+COUNTIFS('NELEUS'!$B$6:$B$205,$B7,'NELEUS'!$AJ$6:$AJ$205,1)+COUNTIFS('ONEIROI'!$B$6:$B$205,$B7,'ONEIROI'!$AJ$6:$AJ$205,1))</f>
        <v/>
      </c>
      <c r="I7" s="58">
        <f>IF(OR($B7="",G7=""),"",G7-H7)</f>
        <v/>
      </c>
      <c r="J7" s="58">
        <f>IF(OR($B7="",설정!$E$5=""),"",COUNTIFS('AEOLUS'!$B$6:$B$205,$B7,'AEOLUS'!$M$6:$M$205,설정!$E$5)+COUNTIFS('MELICERTES'!$B$6:$B$205,$B7,'MELICERTES'!$M$6:$M$205,설정!$E$5)+COUNTIFS('NELEUS'!$B$6:$B$205,$B7,'NELEUS'!$M$6:$M$205,설정!$E$5)+COUNTIFS('ONEIROI'!$B$6:$B$205,$B7,'ONEIROI'!$M$6:$M$205,설정!$E$5))</f>
        <v/>
      </c>
      <c r="K7" s="58">
        <f>IF(OR($B7="",설정!$E$6=""),"",COUNTIFS('AEOLUS'!$B$6:$B$205,$B7,'AEOLUS'!$M$6:$M$205,설정!$E$6)+COUNTIFS('MELICERTES'!$B$6:$B$205,$B7,'MELICERTES'!$M$6:$M$205,설정!$E$6)+COUNTIFS('NELEUS'!$B$6:$B$205,$B7,'NELEUS'!$M$6:$M$205,설정!$E$6)+COUNTIFS('ONEIROI'!$B$6:$B$205,$B7,'ONEIROI'!$M$6:$M$205,설정!$E$6))</f>
        <v/>
      </c>
      <c r="L7" s="58">
        <f>IF(OR($B7="",설정!$E$7=""),"",COUNTIFS('AEOLUS'!$B$6:$B$205,$B7,'AEOLUS'!$M$6:$M$205,설정!$E$7)+COUNTIFS('MELICERTES'!$B$6:$B$205,$B7,'MELICERTES'!$M$6:$M$205,설정!$E$7)+COUNTIFS('NELEUS'!$B$6:$B$205,$B7,'NELEUS'!$M$6:$M$205,설정!$E$7)+COUNTIFS('ONEIROI'!$B$6:$B$205,$B7,'ONEIROI'!$M$6:$M$205,설정!$E$7))</f>
        <v/>
      </c>
      <c r="M7" s="58">
        <f>IF(OR($B7="",설정!$E$8=""),"",COUNTIFS('AEOLUS'!$B$6:$B$205,$B7,'AEOLUS'!$M$6:$M$205,설정!$E$8)+COUNTIFS('MELICERTES'!$B$6:$B$205,$B7,'MELICERTES'!$M$6:$M$205,설정!$E$8)+COUNTIFS('NELEUS'!$B$6:$B$205,$B7,'NELEUS'!$M$6:$M$205,설정!$E$8)+COUNTIFS('ONEIROI'!$B$6:$B$205,$B7,'ONEIROI'!$M$6:$M$205,설정!$E$8))</f>
        <v/>
      </c>
      <c r="N7" s="58">
        <f>IF(OR($B7="",설정!$E$9=""),"",COUNTIFS('AEOLUS'!$B$6:$B$205,$B7,'AEOLUS'!$M$6:$M$205,설정!$E$9)+COUNTIFS('MELICERTES'!$B$6:$B$205,$B7,'MELICERTES'!$M$6:$M$205,설정!$E$9)+COUNTIFS('NELEUS'!$B$6:$B$205,$B7,'NELEUS'!$M$6:$M$205,설정!$E$9)+COUNTIFS('ONEIROI'!$B$6:$B$205,$B7,'ONEIROI'!$M$6:$M$205,설정!$E$9))</f>
        <v/>
      </c>
      <c r="O7" s="58">
        <f>IF(OR($B7="",설정!$E$10=""),"",COUNTIFS('AEOLUS'!$B$6:$B$205,$B7,'AEOLUS'!$M$6:$M$205,설정!$E$10)+COUNTIFS('MELICERTES'!$B$6:$B$205,$B7,'MELICERTES'!$M$6:$M$205,설정!$E$10)+COUNTIFS('NELEUS'!$B$6:$B$205,$B7,'NELEUS'!$M$6:$M$205,설정!$E$10)+COUNTIFS('ONEIROI'!$B$6:$B$205,$B7,'ONEIROI'!$M$6:$M$205,설정!$E$10))</f>
        <v/>
      </c>
      <c r="P7" s="58">
        <f>IF(OR($B7="",설정!$E$11=""),"",COUNTIFS('AEOLUS'!$B$6:$B$205,$B7,'AEOLUS'!$M$6:$M$205,설정!$E$11)+COUNTIFS('MELICERTES'!$B$6:$B$205,$B7,'MELICERTES'!$M$6:$M$205,설정!$E$11)+COUNTIFS('NELEUS'!$B$6:$B$205,$B7,'NELEUS'!$M$6:$M$205,설정!$E$11)+COUNTIFS('ONEIROI'!$B$6:$B$205,$B7,'ONEIROI'!$M$6:$M$205,설정!$E$11))</f>
        <v/>
      </c>
      <c r="Q7" s="58">
        <f>IF(OR($B7="",설정!$E$12=""),"",COUNTIFS('AEOLUS'!$B$6:$B$205,$B7,'AEOLUS'!$M$6:$M$205,설정!$E$12)+COUNTIFS('MELICERTES'!$B$6:$B$205,$B7,'MELICERTES'!$M$6:$M$205,설정!$E$12)+COUNTIFS('NELEUS'!$B$6:$B$205,$B7,'NELEUS'!$M$6:$M$205,설정!$E$12)+COUNTIFS('ONEIROI'!$B$6:$B$205,$B7,'ONEIROI'!$M$6:$M$205,설정!$E$12))</f>
        <v/>
      </c>
      <c r="R7" s="58">
        <f>IF($B7="","",COUNTIFS('AEOLUS'!$B$6:$B$205,$B7,'AEOLUS'!$AI$6:$AI$205,"&gt;0")+COUNTIFS('MELICERTES'!$B$6:$B$205,$B7,'MELICERTES'!$AI$6:$AI$205,"&gt;0")+COUNTIFS('NELEUS'!$B$6:$B$205,$B7,'NELEUS'!$AI$6:$AI$205,"&gt;0")+COUNTIFS('ONEIROI'!$B$6:$B$205,$B7,'ONEIROI'!$AI$6:$AI$205,"&gt;0"))</f>
        <v/>
      </c>
      <c r="S7" s="53">
        <f>IF($B7="","",SUMIFS('AEOLUS'!$S$6:$S$205,'AEOLUS'!$B$6:$B$205,$B7,'AEOLUS'!$AK$6:$AK$205,1)+SUMIFS('MELICERTES'!$S$6:$S$205,'MELICERTES'!$B$6:$B$205,$B7,'MELICERTES'!$AK$6:$AK$205,1)+SUMIFS('NELEUS'!$S$6:$S$205,'NELEUS'!$B$6:$B$205,$B7,'NELEUS'!$AK$6:$AK$205,1)+SUMIFS('ONEIROI'!$S$6:$S$205,'ONEIROI'!$B$6:$B$205,$B7,'ONEIROI'!$AK$6:$AK$205,1))</f>
        <v/>
      </c>
      <c r="T7" s="36" t="n"/>
    </row>
    <row r="8">
      <c r="A8" s="34" t="inlineStr">
        <is>
          <t>05</t>
        </is>
      </c>
      <c r="B8" s="34" t="inlineStr">
        <is>
          <t>IOB RFQ-05</t>
        </is>
      </c>
      <c r="C8" s="36" t="inlineStr">
        <is>
          <t>PHOENIX CONTACT (power supply / UPS)</t>
        </is>
      </c>
      <c r="D8" s="34" t="inlineStr">
        <is>
          <t>Electrical</t>
        </is>
      </c>
      <c r="E8" s="56" t="n"/>
      <c r="F8" s="36" t="inlineStr">
        <is>
          <t>MELICERTES</t>
        </is>
      </c>
      <c r="G8" s="34" t="n">
        <v>2</v>
      </c>
      <c r="H8" s="58">
        <f>IF($B8="","",COUNTIFS('AEOLUS'!$B$6:$B$205,$B8,'AEOLUS'!$AJ$6:$AJ$205,1)+COUNTIFS('MELICERTES'!$B$6:$B$205,$B8,'MELICERTES'!$AJ$6:$AJ$205,1)+COUNTIFS('NELEUS'!$B$6:$B$205,$B8,'NELEUS'!$AJ$6:$AJ$205,1)+COUNTIFS('ONEIROI'!$B$6:$B$205,$B8,'ONEIROI'!$AJ$6:$AJ$205,1))</f>
        <v/>
      </c>
      <c r="I8" s="58">
        <f>IF(OR($B8="",G8=""),"",G8-H8)</f>
        <v/>
      </c>
      <c r="J8" s="58">
        <f>IF(OR($B8="",설정!$E$5=""),"",COUNTIFS('AEOLUS'!$B$6:$B$205,$B8,'AEOLUS'!$M$6:$M$205,설정!$E$5)+COUNTIFS('MELICERTES'!$B$6:$B$205,$B8,'MELICERTES'!$M$6:$M$205,설정!$E$5)+COUNTIFS('NELEUS'!$B$6:$B$205,$B8,'NELEUS'!$M$6:$M$205,설정!$E$5)+COUNTIFS('ONEIROI'!$B$6:$B$205,$B8,'ONEIROI'!$M$6:$M$205,설정!$E$5))</f>
        <v/>
      </c>
      <c r="K8" s="58">
        <f>IF(OR($B8="",설정!$E$6=""),"",COUNTIFS('AEOLUS'!$B$6:$B$205,$B8,'AEOLUS'!$M$6:$M$205,설정!$E$6)+COUNTIFS('MELICERTES'!$B$6:$B$205,$B8,'MELICERTES'!$M$6:$M$205,설정!$E$6)+COUNTIFS('NELEUS'!$B$6:$B$205,$B8,'NELEUS'!$M$6:$M$205,설정!$E$6)+COUNTIFS('ONEIROI'!$B$6:$B$205,$B8,'ONEIROI'!$M$6:$M$205,설정!$E$6))</f>
        <v/>
      </c>
      <c r="L8" s="58">
        <f>IF(OR($B8="",설정!$E$7=""),"",COUNTIFS('AEOLUS'!$B$6:$B$205,$B8,'AEOLUS'!$M$6:$M$205,설정!$E$7)+COUNTIFS('MELICERTES'!$B$6:$B$205,$B8,'MELICERTES'!$M$6:$M$205,설정!$E$7)+COUNTIFS('NELEUS'!$B$6:$B$205,$B8,'NELEUS'!$M$6:$M$205,설정!$E$7)+COUNTIFS('ONEIROI'!$B$6:$B$205,$B8,'ONEIROI'!$M$6:$M$205,설정!$E$7))</f>
        <v/>
      </c>
      <c r="M8" s="58">
        <f>IF(OR($B8="",설정!$E$8=""),"",COUNTIFS('AEOLUS'!$B$6:$B$205,$B8,'AEOLUS'!$M$6:$M$205,설정!$E$8)+COUNTIFS('MELICERTES'!$B$6:$B$205,$B8,'MELICERTES'!$M$6:$M$205,설정!$E$8)+COUNTIFS('NELEUS'!$B$6:$B$205,$B8,'NELEUS'!$M$6:$M$205,설정!$E$8)+COUNTIFS('ONEIROI'!$B$6:$B$205,$B8,'ONEIROI'!$M$6:$M$205,설정!$E$8))</f>
        <v/>
      </c>
      <c r="N8" s="58">
        <f>IF(OR($B8="",설정!$E$9=""),"",COUNTIFS('AEOLUS'!$B$6:$B$205,$B8,'AEOLUS'!$M$6:$M$205,설정!$E$9)+COUNTIFS('MELICERTES'!$B$6:$B$205,$B8,'MELICERTES'!$M$6:$M$205,설정!$E$9)+COUNTIFS('NELEUS'!$B$6:$B$205,$B8,'NELEUS'!$M$6:$M$205,설정!$E$9)+COUNTIFS('ONEIROI'!$B$6:$B$205,$B8,'ONEIROI'!$M$6:$M$205,설정!$E$9))</f>
        <v/>
      </c>
      <c r="O8" s="58">
        <f>IF(OR($B8="",설정!$E$10=""),"",COUNTIFS('AEOLUS'!$B$6:$B$205,$B8,'AEOLUS'!$M$6:$M$205,설정!$E$10)+COUNTIFS('MELICERTES'!$B$6:$B$205,$B8,'MELICERTES'!$M$6:$M$205,설정!$E$10)+COUNTIFS('NELEUS'!$B$6:$B$205,$B8,'NELEUS'!$M$6:$M$205,설정!$E$10)+COUNTIFS('ONEIROI'!$B$6:$B$205,$B8,'ONEIROI'!$M$6:$M$205,설정!$E$10))</f>
        <v/>
      </c>
      <c r="P8" s="58">
        <f>IF(OR($B8="",설정!$E$11=""),"",COUNTIFS('AEOLUS'!$B$6:$B$205,$B8,'AEOLUS'!$M$6:$M$205,설정!$E$11)+COUNTIFS('MELICERTES'!$B$6:$B$205,$B8,'MELICERTES'!$M$6:$M$205,설정!$E$11)+COUNTIFS('NELEUS'!$B$6:$B$205,$B8,'NELEUS'!$M$6:$M$205,설정!$E$11)+COUNTIFS('ONEIROI'!$B$6:$B$205,$B8,'ONEIROI'!$M$6:$M$205,설정!$E$11))</f>
        <v/>
      </c>
      <c r="Q8" s="58">
        <f>IF(OR($B8="",설정!$E$12=""),"",COUNTIFS('AEOLUS'!$B$6:$B$205,$B8,'AEOLUS'!$M$6:$M$205,설정!$E$12)+COUNTIFS('MELICERTES'!$B$6:$B$205,$B8,'MELICERTES'!$M$6:$M$205,설정!$E$12)+COUNTIFS('NELEUS'!$B$6:$B$205,$B8,'NELEUS'!$M$6:$M$205,설정!$E$12)+COUNTIFS('ONEIROI'!$B$6:$B$205,$B8,'ONEIROI'!$M$6:$M$205,설정!$E$12))</f>
        <v/>
      </c>
      <c r="R8" s="58">
        <f>IF($B8="","",COUNTIFS('AEOLUS'!$B$6:$B$205,$B8,'AEOLUS'!$AI$6:$AI$205,"&gt;0")+COUNTIFS('MELICERTES'!$B$6:$B$205,$B8,'MELICERTES'!$AI$6:$AI$205,"&gt;0")+COUNTIFS('NELEUS'!$B$6:$B$205,$B8,'NELEUS'!$AI$6:$AI$205,"&gt;0")+COUNTIFS('ONEIROI'!$B$6:$B$205,$B8,'ONEIROI'!$AI$6:$AI$205,"&gt;0"))</f>
        <v/>
      </c>
      <c r="S8" s="53">
        <f>IF($B8="","",SUMIFS('AEOLUS'!$S$6:$S$205,'AEOLUS'!$B$6:$B$205,$B8,'AEOLUS'!$AK$6:$AK$205,1)+SUMIFS('MELICERTES'!$S$6:$S$205,'MELICERTES'!$B$6:$B$205,$B8,'MELICERTES'!$AK$6:$AK$205,1)+SUMIFS('NELEUS'!$S$6:$S$205,'NELEUS'!$B$6:$B$205,$B8,'NELEUS'!$AK$6:$AK$205,1)+SUMIFS('ONEIROI'!$S$6:$S$205,'ONEIROI'!$B$6:$B$205,$B8,'ONEIROI'!$AK$6:$AK$205,1))</f>
        <v/>
      </c>
      <c r="T8" s="36" t="inlineStr">
        <is>
          <t>RFQ 원본 미보유 – AFS 견적서 기준</t>
        </is>
      </c>
    </row>
    <row r="9">
      <c r="A9" s="34" t="inlineStr">
        <is>
          <t>06</t>
        </is>
      </c>
      <c r="B9" s="34" t="inlineStr">
        <is>
          <t>IOB RFQ-06</t>
        </is>
      </c>
      <c r="C9" s="36" t="inlineStr">
        <is>
          <t>pH sensor / buffer solution (EGR)</t>
        </is>
      </c>
      <c r="D9" s="34" t="inlineStr">
        <is>
          <t>Main Engine</t>
        </is>
      </c>
      <c r="E9" s="56" t="n"/>
      <c r="F9" s="36" t="inlineStr">
        <is>
          <t>AEOLUS</t>
        </is>
      </c>
      <c r="G9" s="34" t="n">
        <v>4</v>
      </c>
      <c r="H9" s="58">
        <f>IF($B9="","",COUNTIFS('AEOLUS'!$B$6:$B$205,$B9,'AEOLUS'!$AJ$6:$AJ$205,1)+COUNTIFS('MELICERTES'!$B$6:$B$205,$B9,'MELICERTES'!$AJ$6:$AJ$205,1)+COUNTIFS('NELEUS'!$B$6:$B$205,$B9,'NELEUS'!$AJ$6:$AJ$205,1)+COUNTIFS('ONEIROI'!$B$6:$B$205,$B9,'ONEIROI'!$AJ$6:$AJ$205,1))</f>
        <v/>
      </c>
      <c r="I9" s="58">
        <f>IF(OR($B9="",G9=""),"",G9-H9)</f>
        <v/>
      </c>
      <c r="J9" s="58">
        <f>IF(OR($B9="",설정!$E$5=""),"",COUNTIFS('AEOLUS'!$B$6:$B$205,$B9,'AEOLUS'!$M$6:$M$205,설정!$E$5)+COUNTIFS('MELICERTES'!$B$6:$B$205,$B9,'MELICERTES'!$M$6:$M$205,설정!$E$5)+COUNTIFS('NELEUS'!$B$6:$B$205,$B9,'NELEUS'!$M$6:$M$205,설정!$E$5)+COUNTIFS('ONEIROI'!$B$6:$B$205,$B9,'ONEIROI'!$M$6:$M$205,설정!$E$5))</f>
        <v/>
      </c>
      <c r="K9" s="58">
        <f>IF(OR($B9="",설정!$E$6=""),"",COUNTIFS('AEOLUS'!$B$6:$B$205,$B9,'AEOLUS'!$M$6:$M$205,설정!$E$6)+COUNTIFS('MELICERTES'!$B$6:$B$205,$B9,'MELICERTES'!$M$6:$M$205,설정!$E$6)+COUNTIFS('NELEUS'!$B$6:$B$205,$B9,'NELEUS'!$M$6:$M$205,설정!$E$6)+COUNTIFS('ONEIROI'!$B$6:$B$205,$B9,'ONEIROI'!$M$6:$M$205,설정!$E$6))</f>
        <v/>
      </c>
      <c r="L9" s="58">
        <f>IF(OR($B9="",설정!$E$7=""),"",COUNTIFS('AEOLUS'!$B$6:$B$205,$B9,'AEOLUS'!$M$6:$M$205,설정!$E$7)+COUNTIFS('MELICERTES'!$B$6:$B$205,$B9,'MELICERTES'!$M$6:$M$205,설정!$E$7)+COUNTIFS('NELEUS'!$B$6:$B$205,$B9,'NELEUS'!$M$6:$M$205,설정!$E$7)+COUNTIFS('ONEIROI'!$B$6:$B$205,$B9,'ONEIROI'!$M$6:$M$205,설정!$E$7))</f>
        <v/>
      </c>
      <c r="M9" s="58">
        <f>IF(OR($B9="",설정!$E$8=""),"",COUNTIFS('AEOLUS'!$B$6:$B$205,$B9,'AEOLUS'!$M$6:$M$205,설정!$E$8)+COUNTIFS('MELICERTES'!$B$6:$B$205,$B9,'MELICERTES'!$M$6:$M$205,설정!$E$8)+COUNTIFS('NELEUS'!$B$6:$B$205,$B9,'NELEUS'!$M$6:$M$205,설정!$E$8)+COUNTIFS('ONEIROI'!$B$6:$B$205,$B9,'ONEIROI'!$M$6:$M$205,설정!$E$8))</f>
        <v/>
      </c>
      <c r="N9" s="58">
        <f>IF(OR($B9="",설정!$E$9=""),"",COUNTIFS('AEOLUS'!$B$6:$B$205,$B9,'AEOLUS'!$M$6:$M$205,설정!$E$9)+COUNTIFS('MELICERTES'!$B$6:$B$205,$B9,'MELICERTES'!$M$6:$M$205,설정!$E$9)+COUNTIFS('NELEUS'!$B$6:$B$205,$B9,'NELEUS'!$M$6:$M$205,설정!$E$9)+COUNTIFS('ONEIROI'!$B$6:$B$205,$B9,'ONEIROI'!$M$6:$M$205,설정!$E$9))</f>
        <v/>
      </c>
      <c r="O9" s="58">
        <f>IF(OR($B9="",설정!$E$10=""),"",COUNTIFS('AEOLUS'!$B$6:$B$205,$B9,'AEOLUS'!$M$6:$M$205,설정!$E$10)+COUNTIFS('MELICERTES'!$B$6:$B$205,$B9,'MELICERTES'!$M$6:$M$205,설정!$E$10)+COUNTIFS('NELEUS'!$B$6:$B$205,$B9,'NELEUS'!$M$6:$M$205,설정!$E$10)+COUNTIFS('ONEIROI'!$B$6:$B$205,$B9,'ONEIROI'!$M$6:$M$205,설정!$E$10))</f>
        <v/>
      </c>
      <c r="P9" s="58">
        <f>IF(OR($B9="",설정!$E$11=""),"",COUNTIFS('AEOLUS'!$B$6:$B$205,$B9,'AEOLUS'!$M$6:$M$205,설정!$E$11)+COUNTIFS('MELICERTES'!$B$6:$B$205,$B9,'MELICERTES'!$M$6:$M$205,설정!$E$11)+COUNTIFS('NELEUS'!$B$6:$B$205,$B9,'NELEUS'!$M$6:$M$205,설정!$E$11)+COUNTIFS('ONEIROI'!$B$6:$B$205,$B9,'ONEIROI'!$M$6:$M$205,설정!$E$11))</f>
        <v/>
      </c>
      <c r="Q9" s="58">
        <f>IF(OR($B9="",설정!$E$12=""),"",COUNTIFS('AEOLUS'!$B$6:$B$205,$B9,'AEOLUS'!$M$6:$M$205,설정!$E$12)+COUNTIFS('MELICERTES'!$B$6:$B$205,$B9,'MELICERTES'!$M$6:$M$205,설정!$E$12)+COUNTIFS('NELEUS'!$B$6:$B$205,$B9,'NELEUS'!$M$6:$M$205,설정!$E$12)+COUNTIFS('ONEIROI'!$B$6:$B$205,$B9,'ONEIROI'!$M$6:$M$205,설정!$E$12))</f>
        <v/>
      </c>
      <c r="R9" s="58">
        <f>IF($B9="","",COUNTIFS('AEOLUS'!$B$6:$B$205,$B9,'AEOLUS'!$AI$6:$AI$205,"&gt;0")+COUNTIFS('MELICERTES'!$B$6:$B$205,$B9,'MELICERTES'!$AI$6:$AI$205,"&gt;0")+COUNTIFS('NELEUS'!$B$6:$B$205,$B9,'NELEUS'!$AI$6:$AI$205,"&gt;0")+COUNTIFS('ONEIROI'!$B$6:$B$205,$B9,'ONEIROI'!$AI$6:$AI$205,"&gt;0"))</f>
        <v/>
      </c>
      <c r="S9" s="53">
        <f>IF($B9="","",SUMIFS('AEOLUS'!$S$6:$S$205,'AEOLUS'!$B$6:$B$205,$B9,'AEOLUS'!$AK$6:$AK$205,1)+SUMIFS('MELICERTES'!$S$6:$S$205,'MELICERTES'!$B$6:$B$205,$B9,'MELICERTES'!$AK$6:$AK$205,1)+SUMIFS('NELEUS'!$S$6:$S$205,'NELEUS'!$B$6:$B$205,$B9,'NELEUS'!$AK$6:$AK$205,1)+SUMIFS('ONEIROI'!$S$6:$S$205,'ONEIROI'!$B$6:$B$205,$B9,'ONEIROI'!$AK$6:$AK$205,1))</f>
        <v/>
      </c>
      <c r="T9" s="36" t="inlineStr">
        <is>
          <t>RFQ 원본 미보유 – AFS 견적서 기준</t>
        </is>
      </c>
    </row>
    <row r="10">
      <c r="A10" s="34" t="inlineStr">
        <is>
          <t>07</t>
        </is>
      </c>
      <c r="B10" s="34" t="inlineStr">
        <is>
          <t>KQU-000116308</t>
        </is>
      </c>
      <c r="C10" s="36" t="inlineStr">
        <is>
          <t>VEGA (VEGABAR 83)</t>
        </is>
      </c>
      <c r="D10" s="34" t="inlineStr">
        <is>
          <t>Main Engine</t>
        </is>
      </c>
      <c r="E10" s="56" t="n">
        <v>46314</v>
      </c>
      <c r="F10" s="36" t="inlineStr">
        <is>
          <t>MELICERTES</t>
        </is>
      </c>
      <c r="G10" s="34" t="n">
        <v>2</v>
      </c>
      <c r="H10" s="58">
        <f>IF($B10="","",COUNTIFS('AEOLUS'!$B$6:$B$205,$B10,'AEOLUS'!$AJ$6:$AJ$205,1)+COUNTIFS('MELICERTES'!$B$6:$B$205,$B10,'MELICERTES'!$AJ$6:$AJ$205,1)+COUNTIFS('NELEUS'!$B$6:$B$205,$B10,'NELEUS'!$AJ$6:$AJ$205,1)+COUNTIFS('ONEIROI'!$B$6:$B$205,$B10,'ONEIROI'!$AJ$6:$AJ$205,1))</f>
        <v/>
      </c>
      <c r="I10" s="58">
        <f>IF(OR($B10="",G10=""),"",G10-H10)</f>
        <v/>
      </c>
      <c r="J10" s="58">
        <f>IF(OR($B10="",설정!$E$5=""),"",COUNTIFS('AEOLUS'!$B$6:$B$205,$B10,'AEOLUS'!$M$6:$M$205,설정!$E$5)+COUNTIFS('MELICERTES'!$B$6:$B$205,$B10,'MELICERTES'!$M$6:$M$205,설정!$E$5)+COUNTIFS('NELEUS'!$B$6:$B$205,$B10,'NELEUS'!$M$6:$M$205,설정!$E$5)+COUNTIFS('ONEIROI'!$B$6:$B$205,$B10,'ONEIROI'!$M$6:$M$205,설정!$E$5))</f>
        <v/>
      </c>
      <c r="K10" s="58">
        <f>IF(OR($B10="",설정!$E$6=""),"",COUNTIFS('AEOLUS'!$B$6:$B$205,$B10,'AEOLUS'!$M$6:$M$205,설정!$E$6)+COUNTIFS('MELICERTES'!$B$6:$B$205,$B10,'MELICERTES'!$M$6:$M$205,설정!$E$6)+COUNTIFS('NELEUS'!$B$6:$B$205,$B10,'NELEUS'!$M$6:$M$205,설정!$E$6)+COUNTIFS('ONEIROI'!$B$6:$B$205,$B10,'ONEIROI'!$M$6:$M$205,설정!$E$6))</f>
        <v/>
      </c>
      <c r="L10" s="58">
        <f>IF(OR($B10="",설정!$E$7=""),"",COUNTIFS('AEOLUS'!$B$6:$B$205,$B10,'AEOLUS'!$M$6:$M$205,설정!$E$7)+COUNTIFS('MELICERTES'!$B$6:$B$205,$B10,'MELICERTES'!$M$6:$M$205,설정!$E$7)+COUNTIFS('NELEUS'!$B$6:$B$205,$B10,'NELEUS'!$M$6:$M$205,설정!$E$7)+COUNTIFS('ONEIROI'!$B$6:$B$205,$B10,'ONEIROI'!$M$6:$M$205,설정!$E$7))</f>
        <v/>
      </c>
      <c r="M10" s="58">
        <f>IF(OR($B10="",설정!$E$8=""),"",COUNTIFS('AEOLUS'!$B$6:$B$205,$B10,'AEOLUS'!$M$6:$M$205,설정!$E$8)+COUNTIFS('MELICERTES'!$B$6:$B$205,$B10,'MELICERTES'!$M$6:$M$205,설정!$E$8)+COUNTIFS('NELEUS'!$B$6:$B$205,$B10,'NELEUS'!$M$6:$M$205,설정!$E$8)+COUNTIFS('ONEIROI'!$B$6:$B$205,$B10,'ONEIROI'!$M$6:$M$205,설정!$E$8))</f>
        <v/>
      </c>
      <c r="N10" s="58">
        <f>IF(OR($B10="",설정!$E$9=""),"",COUNTIFS('AEOLUS'!$B$6:$B$205,$B10,'AEOLUS'!$M$6:$M$205,설정!$E$9)+COUNTIFS('MELICERTES'!$B$6:$B$205,$B10,'MELICERTES'!$M$6:$M$205,설정!$E$9)+COUNTIFS('NELEUS'!$B$6:$B$205,$B10,'NELEUS'!$M$6:$M$205,설정!$E$9)+COUNTIFS('ONEIROI'!$B$6:$B$205,$B10,'ONEIROI'!$M$6:$M$205,설정!$E$9))</f>
        <v/>
      </c>
      <c r="O10" s="58">
        <f>IF(OR($B10="",설정!$E$10=""),"",COUNTIFS('AEOLUS'!$B$6:$B$205,$B10,'AEOLUS'!$M$6:$M$205,설정!$E$10)+COUNTIFS('MELICERTES'!$B$6:$B$205,$B10,'MELICERTES'!$M$6:$M$205,설정!$E$10)+COUNTIFS('NELEUS'!$B$6:$B$205,$B10,'NELEUS'!$M$6:$M$205,설정!$E$10)+COUNTIFS('ONEIROI'!$B$6:$B$205,$B10,'ONEIROI'!$M$6:$M$205,설정!$E$10))</f>
        <v/>
      </c>
      <c r="P10" s="58">
        <f>IF(OR($B10="",설정!$E$11=""),"",COUNTIFS('AEOLUS'!$B$6:$B$205,$B10,'AEOLUS'!$M$6:$M$205,설정!$E$11)+COUNTIFS('MELICERTES'!$B$6:$B$205,$B10,'MELICERTES'!$M$6:$M$205,설정!$E$11)+COUNTIFS('NELEUS'!$B$6:$B$205,$B10,'NELEUS'!$M$6:$M$205,설정!$E$11)+COUNTIFS('ONEIROI'!$B$6:$B$205,$B10,'ONEIROI'!$M$6:$M$205,설정!$E$11))</f>
        <v/>
      </c>
      <c r="Q10" s="58">
        <f>IF(OR($B10="",설정!$E$12=""),"",COUNTIFS('AEOLUS'!$B$6:$B$205,$B10,'AEOLUS'!$M$6:$M$205,설정!$E$12)+COUNTIFS('MELICERTES'!$B$6:$B$205,$B10,'MELICERTES'!$M$6:$M$205,설정!$E$12)+COUNTIFS('NELEUS'!$B$6:$B$205,$B10,'NELEUS'!$M$6:$M$205,설정!$E$12)+COUNTIFS('ONEIROI'!$B$6:$B$205,$B10,'ONEIROI'!$M$6:$M$205,설정!$E$12))</f>
        <v/>
      </c>
      <c r="R10" s="58">
        <f>IF($B10="","",COUNTIFS('AEOLUS'!$B$6:$B$205,$B10,'AEOLUS'!$AI$6:$AI$205,"&gt;0")+COUNTIFS('MELICERTES'!$B$6:$B$205,$B10,'MELICERTES'!$AI$6:$AI$205,"&gt;0")+COUNTIFS('NELEUS'!$B$6:$B$205,$B10,'NELEUS'!$AI$6:$AI$205,"&gt;0")+COUNTIFS('ONEIROI'!$B$6:$B$205,$B10,'ONEIROI'!$AI$6:$AI$205,"&gt;0"))</f>
        <v/>
      </c>
      <c r="S10" s="53">
        <f>IF($B10="","",SUMIFS('AEOLUS'!$S$6:$S$205,'AEOLUS'!$B$6:$B$205,$B10,'AEOLUS'!$AK$6:$AK$205,1)+SUMIFS('MELICERTES'!$S$6:$S$205,'MELICERTES'!$B$6:$B$205,$B10,'MELICERTES'!$AK$6:$AK$205,1)+SUMIFS('NELEUS'!$S$6:$S$205,'NELEUS'!$B$6:$B$205,$B10,'NELEUS'!$AK$6:$AK$205,1)+SUMIFS('ONEIROI'!$S$6:$S$205,'ONEIROI'!$B$6:$B$205,$B10,'ONEIROI'!$AK$6:$AK$205,1))</f>
        <v/>
      </c>
      <c r="T10" s="36" t="n"/>
    </row>
    <row r="11">
      <c r="A11" s="34" t="inlineStr">
        <is>
          <t>08</t>
        </is>
      </c>
      <c r="B11" s="34" t="inlineStr">
        <is>
          <t>KQU-000116309</t>
        </is>
      </c>
      <c r="C11" s="36" t="inlineStr">
        <is>
          <t>SIEMENS (SIPART PS2 I/P converter)</t>
        </is>
      </c>
      <c r="D11" s="34" t="inlineStr">
        <is>
          <t>Main Engine</t>
        </is>
      </c>
      <c r="E11" s="56" t="n">
        <v>46314</v>
      </c>
      <c r="F11" s="36" t="inlineStr">
        <is>
          <t>MELICERTES</t>
        </is>
      </c>
      <c r="G11" s="34" t="n">
        <v>1</v>
      </c>
      <c r="H11" s="58">
        <f>IF($B11="","",COUNTIFS('AEOLUS'!$B$6:$B$205,$B11,'AEOLUS'!$AJ$6:$AJ$205,1)+COUNTIFS('MELICERTES'!$B$6:$B$205,$B11,'MELICERTES'!$AJ$6:$AJ$205,1)+COUNTIFS('NELEUS'!$B$6:$B$205,$B11,'NELEUS'!$AJ$6:$AJ$205,1)+COUNTIFS('ONEIROI'!$B$6:$B$205,$B11,'ONEIROI'!$AJ$6:$AJ$205,1))</f>
        <v/>
      </c>
      <c r="I11" s="58">
        <f>IF(OR($B11="",G11=""),"",G11-H11)</f>
        <v/>
      </c>
      <c r="J11" s="58">
        <f>IF(OR($B11="",설정!$E$5=""),"",COUNTIFS('AEOLUS'!$B$6:$B$205,$B11,'AEOLUS'!$M$6:$M$205,설정!$E$5)+COUNTIFS('MELICERTES'!$B$6:$B$205,$B11,'MELICERTES'!$M$6:$M$205,설정!$E$5)+COUNTIFS('NELEUS'!$B$6:$B$205,$B11,'NELEUS'!$M$6:$M$205,설정!$E$5)+COUNTIFS('ONEIROI'!$B$6:$B$205,$B11,'ONEIROI'!$M$6:$M$205,설정!$E$5))</f>
        <v/>
      </c>
      <c r="K11" s="58">
        <f>IF(OR($B11="",설정!$E$6=""),"",COUNTIFS('AEOLUS'!$B$6:$B$205,$B11,'AEOLUS'!$M$6:$M$205,설정!$E$6)+COUNTIFS('MELICERTES'!$B$6:$B$205,$B11,'MELICERTES'!$M$6:$M$205,설정!$E$6)+COUNTIFS('NELEUS'!$B$6:$B$205,$B11,'NELEUS'!$M$6:$M$205,설정!$E$6)+COUNTIFS('ONEIROI'!$B$6:$B$205,$B11,'ONEIROI'!$M$6:$M$205,설정!$E$6))</f>
        <v/>
      </c>
      <c r="L11" s="58">
        <f>IF(OR($B11="",설정!$E$7=""),"",COUNTIFS('AEOLUS'!$B$6:$B$205,$B11,'AEOLUS'!$M$6:$M$205,설정!$E$7)+COUNTIFS('MELICERTES'!$B$6:$B$205,$B11,'MELICERTES'!$M$6:$M$205,설정!$E$7)+COUNTIFS('NELEUS'!$B$6:$B$205,$B11,'NELEUS'!$M$6:$M$205,설정!$E$7)+COUNTIFS('ONEIROI'!$B$6:$B$205,$B11,'ONEIROI'!$M$6:$M$205,설정!$E$7))</f>
        <v/>
      </c>
      <c r="M11" s="58">
        <f>IF(OR($B11="",설정!$E$8=""),"",COUNTIFS('AEOLUS'!$B$6:$B$205,$B11,'AEOLUS'!$M$6:$M$205,설정!$E$8)+COUNTIFS('MELICERTES'!$B$6:$B$205,$B11,'MELICERTES'!$M$6:$M$205,설정!$E$8)+COUNTIFS('NELEUS'!$B$6:$B$205,$B11,'NELEUS'!$M$6:$M$205,설정!$E$8)+COUNTIFS('ONEIROI'!$B$6:$B$205,$B11,'ONEIROI'!$M$6:$M$205,설정!$E$8))</f>
        <v/>
      </c>
      <c r="N11" s="58">
        <f>IF(OR($B11="",설정!$E$9=""),"",COUNTIFS('AEOLUS'!$B$6:$B$205,$B11,'AEOLUS'!$M$6:$M$205,설정!$E$9)+COUNTIFS('MELICERTES'!$B$6:$B$205,$B11,'MELICERTES'!$M$6:$M$205,설정!$E$9)+COUNTIFS('NELEUS'!$B$6:$B$205,$B11,'NELEUS'!$M$6:$M$205,설정!$E$9)+COUNTIFS('ONEIROI'!$B$6:$B$205,$B11,'ONEIROI'!$M$6:$M$205,설정!$E$9))</f>
        <v/>
      </c>
      <c r="O11" s="58">
        <f>IF(OR($B11="",설정!$E$10=""),"",COUNTIFS('AEOLUS'!$B$6:$B$205,$B11,'AEOLUS'!$M$6:$M$205,설정!$E$10)+COUNTIFS('MELICERTES'!$B$6:$B$205,$B11,'MELICERTES'!$M$6:$M$205,설정!$E$10)+COUNTIFS('NELEUS'!$B$6:$B$205,$B11,'NELEUS'!$M$6:$M$205,설정!$E$10)+COUNTIFS('ONEIROI'!$B$6:$B$205,$B11,'ONEIROI'!$M$6:$M$205,설정!$E$10))</f>
        <v/>
      </c>
      <c r="P11" s="58">
        <f>IF(OR($B11="",설정!$E$11=""),"",COUNTIFS('AEOLUS'!$B$6:$B$205,$B11,'AEOLUS'!$M$6:$M$205,설정!$E$11)+COUNTIFS('MELICERTES'!$B$6:$B$205,$B11,'MELICERTES'!$M$6:$M$205,설정!$E$11)+COUNTIFS('NELEUS'!$B$6:$B$205,$B11,'NELEUS'!$M$6:$M$205,설정!$E$11)+COUNTIFS('ONEIROI'!$B$6:$B$205,$B11,'ONEIROI'!$M$6:$M$205,설정!$E$11))</f>
        <v/>
      </c>
      <c r="Q11" s="58">
        <f>IF(OR($B11="",설정!$E$12=""),"",COUNTIFS('AEOLUS'!$B$6:$B$205,$B11,'AEOLUS'!$M$6:$M$205,설정!$E$12)+COUNTIFS('MELICERTES'!$B$6:$B$205,$B11,'MELICERTES'!$M$6:$M$205,설정!$E$12)+COUNTIFS('NELEUS'!$B$6:$B$205,$B11,'NELEUS'!$M$6:$M$205,설정!$E$12)+COUNTIFS('ONEIROI'!$B$6:$B$205,$B11,'ONEIROI'!$M$6:$M$205,설정!$E$12))</f>
        <v/>
      </c>
      <c r="R11" s="58">
        <f>IF($B11="","",COUNTIFS('AEOLUS'!$B$6:$B$205,$B11,'AEOLUS'!$AI$6:$AI$205,"&gt;0")+COUNTIFS('MELICERTES'!$B$6:$B$205,$B11,'MELICERTES'!$AI$6:$AI$205,"&gt;0")+COUNTIFS('NELEUS'!$B$6:$B$205,$B11,'NELEUS'!$AI$6:$AI$205,"&gt;0")+COUNTIFS('ONEIROI'!$B$6:$B$205,$B11,'ONEIROI'!$AI$6:$AI$205,"&gt;0"))</f>
        <v/>
      </c>
      <c r="S11" s="53">
        <f>IF($B11="","",SUMIFS('AEOLUS'!$S$6:$S$205,'AEOLUS'!$B$6:$B$205,$B11,'AEOLUS'!$AK$6:$AK$205,1)+SUMIFS('MELICERTES'!$S$6:$S$205,'MELICERTES'!$B$6:$B$205,$B11,'MELICERTES'!$AK$6:$AK$205,1)+SUMIFS('NELEUS'!$S$6:$S$205,'NELEUS'!$B$6:$B$205,$B11,'NELEUS'!$AK$6:$AK$205,1)+SUMIFS('ONEIROI'!$S$6:$S$205,'ONEIROI'!$B$6:$B$205,$B11,'ONEIROI'!$AK$6:$AK$205,1))</f>
        <v/>
      </c>
      <c r="T11" s="36" t="n"/>
    </row>
    <row r="12">
      <c r="A12" s="34" t="inlineStr">
        <is>
          <t>10</t>
        </is>
      </c>
      <c r="B12" s="34" t="inlineStr">
        <is>
          <t>KQU-000116300</t>
        </is>
      </c>
      <c r="C12" s="36" t="inlineStr">
        <is>
          <t>HSME (PMI sensor)</t>
        </is>
      </c>
      <c r="D12" s="34" t="inlineStr">
        <is>
          <t>Main Engine</t>
        </is>
      </c>
      <c r="E12" s="56" t="n">
        <v>46314</v>
      </c>
      <c r="F12" s="36" t="inlineStr">
        <is>
          <t>ONEIROI</t>
        </is>
      </c>
      <c r="G12" s="34" t="n">
        <v>1</v>
      </c>
      <c r="H12" s="58">
        <f>IF($B12="","",COUNTIFS('AEOLUS'!$B$6:$B$205,$B12,'AEOLUS'!$AJ$6:$AJ$205,1)+COUNTIFS('MELICERTES'!$B$6:$B$205,$B12,'MELICERTES'!$AJ$6:$AJ$205,1)+COUNTIFS('NELEUS'!$B$6:$B$205,$B12,'NELEUS'!$AJ$6:$AJ$205,1)+COUNTIFS('ONEIROI'!$B$6:$B$205,$B12,'ONEIROI'!$AJ$6:$AJ$205,1))</f>
        <v/>
      </c>
      <c r="I12" s="58">
        <f>IF(OR($B12="",G12=""),"",G12-H12)</f>
        <v/>
      </c>
      <c r="J12" s="58">
        <f>IF(OR($B12="",설정!$E$5=""),"",COUNTIFS('AEOLUS'!$B$6:$B$205,$B12,'AEOLUS'!$M$6:$M$205,설정!$E$5)+COUNTIFS('MELICERTES'!$B$6:$B$205,$B12,'MELICERTES'!$M$6:$M$205,설정!$E$5)+COUNTIFS('NELEUS'!$B$6:$B$205,$B12,'NELEUS'!$M$6:$M$205,설정!$E$5)+COUNTIFS('ONEIROI'!$B$6:$B$205,$B12,'ONEIROI'!$M$6:$M$205,설정!$E$5))</f>
        <v/>
      </c>
      <c r="K12" s="58">
        <f>IF(OR($B12="",설정!$E$6=""),"",COUNTIFS('AEOLUS'!$B$6:$B$205,$B12,'AEOLUS'!$M$6:$M$205,설정!$E$6)+COUNTIFS('MELICERTES'!$B$6:$B$205,$B12,'MELICERTES'!$M$6:$M$205,설정!$E$6)+COUNTIFS('NELEUS'!$B$6:$B$205,$B12,'NELEUS'!$M$6:$M$205,설정!$E$6)+COUNTIFS('ONEIROI'!$B$6:$B$205,$B12,'ONEIROI'!$M$6:$M$205,설정!$E$6))</f>
        <v/>
      </c>
      <c r="L12" s="58">
        <f>IF(OR($B12="",설정!$E$7=""),"",COUNTIFS('AEOLUS'!$B$6:$B$205,$B12,'AEOLUS'!$M$6:$M$205,설정!$E$7)+COUNTIFS('MELICERTES'!$B$6:$B$205,$B12,'MELICERTES'!$M$6:$M$205,설정!$E$7)+COUNTIFS('NELEUS'!$B$6:$B$205,$B12,'NELEUS'!$M$6:$M$205,설정!$E$7)+COUNTIFS('ONEIROI'!$B$6:$B$205,$B12,'ONEIROI'!$M$6:$M$205,설정!$E$7))</f>
        <v/>
      </c>
      <c r="M12" s="58">
        <f>IF(OR($B12="",설정!$E$8=""),"",COUNTIFS('AEOLUS'!$B$6:$B$205,$B12,'AEOLUS'!$M$6:$M$205,설정!$E$8)+COUNTIFS('MELICERTES'!$B$6:$B$205,$B12,'MELICERTES'!$M$6:$M$205,설정!$E$8)+COUNTIFS('NELEUS'!$B$6:$B$205,$B12,'NELEUS'!$M$6:$M$205,설정!$E$8)+COUNTIFS('ONEIROI'!$B$6:$B$205,$B12,'ONEIROI'!$M$6:$M$205,설정!$E$8))</f>
        <v/>
      </c>
      <c r="N12" s="58">
        <f>IF(OR($B12="",설정!$E$9=""),"",COUNTIFS('AEOLUS'!$B$6:$B$205,$B12,'AEOLUS'!$M$6:$M$205,설정!$E$9)+COUNTIFS('MELICERTES'!$B$6:$B$205,$B12,'MELICERTES'!$M$6:$M$205,설정!$E$9)+COUNTIFS('NELEUS'!$B$6:$B$205,$B12,'NELEUS'!$M$6:$M$205,설정!$E$9)+COUNTIFS('ONEIROI'!$B$6:$B$205,$B12,'ONEIROI'!$M$6:$M$205,설정!$E$9))</f>
        <v/>
      </c>
      <c r="O12" s="58">
        <f>IF(OR($B12="",설정!$E$10=""),"",COUNTIFS('AEOLUS'!$B$6:$B$205,$B12,'AEOLUS'!$M$6:$M$205,설정!$E$10)+COUNTIFS('MELICERTES'!$B$6:$B$205,$B12,'MELICERTES'!$M$6:$M$205,설정!$E$10)+COUNTIFS('NELEUS'!$B$6:$B$205,$B12,'NELEUS'!$M$6:$M$205,설정!$E$10)+COUNTIFS('ONEIROI'!$B$6:$B$205,$B12,'ONEIROI'!$M$6:$M$205,설정!$E$10))</f>
        <v/>
      </c>
      <c r="P12" s="58">
        <f>IF(OR($B12="",설정!$E$11=""),"",COUNTIFS('AEOLUS'!$B$6:$B$205,$B12,'AEOLUS'!$M$6:$M$205,설정!$E$11)+COUNTIFS('MELICERTES'!$B$6:$B$205,$B12,'MELICERTES'!$M$6:$M$205,설정!$E$11)+COUNTIFS('NELEUS'!$B$6:$B$205,$B12,'NELEUS'!$M$6:$M$205,설정!$E$11)+COUNTIFS('ONEIROI'!$B$6:$B$205,$B12,'ONEIROI'!$M$6:$M$205,설정!$E$11))</f>
        <v/>
      </c>
      <c r="Q12" s="58">
        <f>IF(OR($B12="",설정!$E$12=""),"",COUNTIFS('AEOLUS'!$B$6:$B$205,$B12,'AEOLUS'!$M$6:$M$205,설정!$E$12)+COUNTIFS('MELICERTES'!$B$6:$B$205,$B12,'MELICERTES'!$M$6:$M$205,설정!$E$12)+COUNTIFS('NELEUS'!$B$6:$B$205,$B12,'NELEUS'!$M$6:$M$205,설정!$E$12)+COUNTIFS('ONEIROI'!$B$6:$B$205,$B12,'ONEIROI'!$M$6:$M$205,설정!$E$12))</f>
        <v/>
      </c>
      <c r="R12" s="58">
        <f>IF($B12="","",COUNTIFS('AEOLUS'!$B$6:$B$205,$B12,'AEOLUS'!$AI$6:$AI$205,"&gt;0")+COUNTIFS('MELICERTES'!$B$6:$B$205,$B12,'MELICERTES'!$AI$6:$AI$205,"&gt;0")+COUNTIFS('NELEUS'!$B$6:$B$205,$B12,'NELEUS'!$AI$6:$AI$205,"&gt;0")+COUNTIFS('ONEIROI'!$B$6:$B$205,$B12,'ONEIROI'!$AI$6:$AI$205,"&gt;0"))</f>
        <v/>
      </c>
      <c r="S12" s="53">
        <f>IF($B12="","",SUMIFS('AEOLUS'!$S$6:$S$205,'AEOLUS'!$B$6:$B$205,$B12,'AEOLUS'!$AK$6:$AK$205,1)+SUMIFS('MELICERTES'!$S$6:$S$205,'MELICERTES'!$B$6:$B$205,$B12,'MELICERTES'!$AK$6:$AK$205,1)+SUMIFS('NELEUS'!$S$6:$S$205,'NELEUS'!$B$6:$B$205,$B12,'NELEUS'!$AK$6:$AK$205,1)+SUMIFS('ONEIROI'!$S$6:$S$205,'ONEIROI'!$B$6:$B$205,$B12,'ONEIROI'!$AK$6:$AK$205,1))</f>
        <v/>
      </c>
      <c r="T12" s="36" t="n"/>
    </row>
    <row r="13">
      <c r="A13" s="34" t="inlineStr">
        <is>
          <t>11</t>
        </is>
      </c>
      <c r="B13" s="34" t="inlineStr">
        <is>
          <t>KQU-000116307</t>
        </is>
      </c>
      <c r="C13" s="36" t="inlineStr">
        <is>
          <t>GRUNDFOS (EGR WTS water supply pump)</t>
        </is>
      </c>
      <c r="D13" s="34" t="inlineStr">
        <is>
          <t>Main Engine</t>
        </is>
      </c>
      <c r="E13" s="56" t="n">
        <v>46314</v>
      </c>
      <c r="F13" s="36" t="inlineStr">
        <is>
          <t>ONEIROI</t>
        </is>
      </c>
      <c r="G13" s="34" t="n">
        <v>2</v>
      </c>
      <c r="H13" s="58">
        <f>IF($B13="","",COUNTIFS('AEOLUS'!$B$6:$B$205,$B13,'AEOLUS'!$AJ$6:$AJ$205,1)+COUNTIFS('MELICERTES'!$B$6:$B$205,$B13,'MELICERTES'!$AJ$6:$AJ$205,1)+COUNTIFS('NELEUS'!$B$6:$B$205,$B13,'NELEUS'!$AJ$6:$AJ$205,1)+COUNTIFS('ONEIROI'!$B$6:$B$205,$B13,'ONEIROI'!$AJ$6:$AJ$205,1))</f>
        <v/>
      </c>
      <c r="I13" s="58">
        <f>IF(OR($B13="",G13=""),"",G13-H13)</f>
        <v/>
      </c>
      <c r="J13" s="58">
        <f>IF(OR($B13="",설정!$E$5=""),"",COUNTIFS('AEOLUS'!$B$6:$B$205,$B13,'AEOLUS'!$M$6:$M$205,설정!$E$5)+COUNTIFS('MELICERTES'!$B$6:$B$205,$B13,'MELICERTES'!$M$6:$M$205,설정!$E$5)+COUNTIFS('NELEUS'!$B$6:$B$205,$B13,'NELEUS'!$M$6:$M$205,설정!$E$5)+COUNTIFS('ONEIROI'!$B$6:$B$205,$B13,'ONEIROI'!$M$6:$M$205,설정!$E$5))</f>
        <v/>
      </c>
      <c r="K13" s="58">
        <f>IF(OR($B13="",설정!$E$6=""),"",COUNTIFS('AEOLUS'!$B$6:$B$205,$B13,'AEOLUS'!$M$6:$M$205,설정!$E$6)+COUNTIFS('MELICERTES'!$B$6:$B$205,$B13,'MELICERTES'!$M$6:$M$205,설정!$E$6)+COUNTIFS('NELEUS'!$B$6:$B$205,$B13,'NELEUS'!$M$6:$M$205,설정!$E$6)+COUNTIFS('ONEIROI'!$B$6:$B$205,$B13,'ONEIROI'!$M$6:$M$205,설정!$E$6))</f>
        <v/>
      </c>
      <c r="L13" s="58">
        <f>IF(OR($B13="",설정!$E$7=""),"",COUNTIFS('AEOLUS'!$B$6:$B$205,$B13,'AEOLUS'!$M$6:$M$205,설정!$E$7)+COUNTIFS('MELICERTES'!$B$6:$B$205,$B13,'MELICERTES'!$M$6:$M$205,설정!$E$7)+COUNTIFS('NELEUS'!$B$6:$B$205,$B13,'NELEUS'!$M$6:$M$205,설정!$E$7)+COUNTIFS('ONEIROI'!$B$6:$B$205,$B13,'ONEIROI'!$M$6:$M$205,설정!$E$7))</f>
        <v/>
      </c>
      <c r="M13" s="58">
        <f>IF(OR($B13="",설정!$E$8=""),"",COUNTIFS('AEOLUS'!$B$6:$B$205,$B13,'AEOLUS'!$M$6:$M$205,설정!$E$8)+COUNTIFS('MELICERTES'!$B$6:$B$205,$B13,'MELICERTES'!$M$6:$M$205,설정!$E$8)+COUNTIFS('NELEUS'!$B$6:$B$205,$B13,'NELEUS'!$M$6:$M$205,설정!$E$8)+COUNTIFS('ONEIROI'!$B$6:$B$205,$B13,'ONEIROI'!$M$6:$M$205,설정!$E$8))</f>
        <v/>
      </c>
      <c r="N13" s="58">
        <f>IF(OR($B13="",설정!$E$9=""),"",COUNTIFS('AEOLUS'!$B$6:$B$205,$B13,'AEOLUS'!$M$6:$M$205,설정!$E$9)+COUNTIFS('MELICERTES'!$B$6:$B$205,$B13,'MELICERTES'!$M$6:$M$205,설정!$E$9)+COUNTIFS('NELEUS'!$B$6:$B$205,$B13,'NELEUS'!$M$6:$M$205,설정!$E$9)+COUNTIFS('ONEIROI'!$B$6:$B$205,$B13,'ONEIROI'!$M$6:$M$205,설정!$E$9))</f>
        <v/>
      </c>
      <c r="O13" s="58">
        <f>IF(OR($B13="",설정!$E$10=""),"",COUNTIFS('AEOLUS'!$B$6:$B$205,$B13,'AEOLUS'!$M$6:$M$205,설정!$E$10)+COUNTIFS('MELICERTES'!$B$6:$B$205,$B13,'MELICERTES'!$M$6:$M$205,설정!$E$10)+COUNTIFS('NELEUS'!$B$6:$B$205,$B13,'NELEUS'!$M$6:$M$205,설정!$E$10)+COUNTIFS('ONEIROI'!$B$6:$B$205,$B13,'ONEIROI'!$M$6:$M$205,설정!$E$10))</f>
        <v/>
      </c>
      <c r="P13" s="58">
        <f>IF(OR($B13="",설정!$E$11=""),"",COUNTIFS('AEOLUS'!$B$6:$B$205,$B13,'AEOLUS'!$M$6:$M$205,설정!$E$11)+COUNTIFS('MELICERTES'!$B$6:$B$205,$B13,'MELICERTES'!$M$6:$M$205,설정!$E$11)+COUNTIFS('NELEUS'!$B$6:$B$205,$B13,'NELEUS'!$M$6:$M$205,설정!$E$11)+COUNTIFS('ONEIROI'!$B$6:$B$205,$B13,'ONEIROI'!$M$6:$M$205,설정!$E$11))</f>
        <v/>
      </c>
      <c r="Q13" s="58">
        <f>IF(OR($B13="",설정!$E$12=""),"",COUNTIFS('AEOLUS'!$B$6:$B$205,$B13,'AEOLUS'!$M$6:$M$205,설정!$E$12)+COUNTIFS('MELICERTES'!$B$6:$B$205,$B13,'MELICERTES'!$M$6:$M$205,설정!$E$12)+COUNTIFS('NELEUS'!$B$6:$B$205,$B13,'NELEUS'!$M$6:$M$205,설정!$E$12)+COUNTIFS('ONEIROI'!$B$6:$B$205,$B13,'ONEIROI'!$M$6:$M$205,설정!$E$12))</f>
        <v/>
      </c>
      <c r="R13" s="58">
        <f>IF($B13="","",COUNTIFS('AEOLUS'!$B$6:$B$205,$B13,'AEOLUS'!$AI$6:$AI$205,"&gt;0")+COUNTIFS('MELICERTES'!$B$6:$B$205,$B13,'MELICERTES'!$AI$6:$AI$205,"&gt;0")+COUNTIFS('NELEUS'!$B$6:$B$205,$B13,'NELEUS'!$AI$6:$AI$205,"&gt;0")+COUNTIFS('ONEIROI'!$B$6:$B$205,$B13,'ONEIROI'!$AI$6:$AI$205,"&gt;0"))</f>
        <v/>
      </c>
      <c r="S13" s="53">
        <f>IF($B13="","",SUMIFS('AEOLUS'!$S$6:$S$205,'AEOLUS'!$B$6:$B$205,$B13,'AEOLUS'!$AK$6:$AK$205,1)+SUMIFS('MELICERTES'!$S$6:$S$205,'MELICERTES'!$B$6:$B$205,$B13,'MELICERTES'!$AK$6:$AK$205,1)+SUMIFS('NELEUS'!$S$6:$S$205,'NELEUS'!$B$6:$B$205,$B13,'NELEUS'!$AK$6:$AK$205,1)+SUMIFS('ONEIROI'!$S$6:$S$205,'ONEIROI'!$B$6:$B$205,$B13,'ONEIROI'!$AK$6:$AK$205,1))</f>
        <v/>
      </c>
      <c r="T13" s="36" t="n"/>
    </row>
    <row r="14">
      <c r="A14" s="34" t="inlineStr">
        <is>
          <t>15</t>
        </is>
      </c>
      <c r="B14" s="34" t="inlineStr">
        <is>
          <t>KQU-000116313</t>
        </is>
      </c>
      <c r="C14" s="36" t="inlineStr">
        <is>
          <t>AQUAFILTER (EXCITO-5-B)</t>
        </is>
      </c>
      <c r="D14" s="34" t="inlineStr">
        <is>
          <t>Water Fountain Filter</t>
        </is>
      </c>
      <c r="E14" s="56" t="n">
        <v>46314</v>
      </c>
      <c r="F14" s="36" t="inlineStr">
        <is>
          <t>MELICERTES</t>
        </is>
      </c>
      <c r="G14" s="34" t="n">
        <v>5</v>
      </c>
      <c r="H14" s="58">
        <f>IF($B14="","",COUNTIFS('AEOLUS'!$B$6:$B$205,$B14,'AEOLUS'!$AJ$6:$AJ$205,1)+COUNTIFS('MELICERTES'!$B$6:$B$205,$B14,'MELICERTES'!$AJ$6:$AJ$205,1)+COUNTIFS('NELEUS'!$B$6:$B$205,$B14,'NELEUS'!$AJ$6:$AJ$205,1)+COUNTIFS('ONEIROI'!$B$6:$B$205,$B14,'ONEIROI'!$AJ$6:$AJ$205,1))</f>
        <v/>
      </c>
      <c r="I14" s="58">
        <f>IF(OR($B14="",G14=""),"",G14-H14)</f>
        <v/>
      </c>
      <c r="J14" s="58">
        <f>IF(OR($B14="",설정!$E$5=""),"",COUNTIFS('AEOLUS'!$B$6:$B$205,$B14,'AEOLUS'!$M$6:$M$205,설정!$E$5)+COUNTIFS('MELICERTES'!$B$6:$B$205,$B14,'MELICERTES'!$M$6:$M$205,설정!$E$5)+COUNTIFS('NELEUS'!$B$6:$B$205,$B14,'NELEUS'!$M$6:$M$205,설정!$E$5)+COUNTIFS('ONEIROI'!$B$6:$B$205,$B14,'ONEIROI'!$M$6:$M$205,설정!$E$5))</f>
        <v/>
      </c>
      <c r="K14" s="58">
        <f>IF(OR($B14="",설정!$E$6=""),"",COUNTIFS('AEOLUS'!$B$6:$B$205,$B14,'AEOLUS'!$M$6:$M$205,설정!$E$6)+COUNTIFS('MELICERTES'!$B$6:$B$205,$B14,'MELICERTES'!$M$6:$M$205,설정!$E$6)+COUNTIFS('NELEUS'!$B$6:$B$205,$B14,'NELEUS'!$M$6:$M$205,설정!$E$6)+COUNTIFS('ONEIROI'!$B$6:$B$205,$B14,'ONEIROI'!$M$6:$M$205,설정!$E$6))</f>
        <v/>
      </c>
      <c r="L14" s="58">
        <f>IF(OR($B14="",설정!$E$7=""),"",COUNTIFS('AEOLUS'!$B$6:$B$205,$B14,'AEOLUS'!$M$6:$M$205,설정!$E$7)+COUNTIFS('MELICERTES'!$B$6:$B$205,$B14,'MELICERTES'!$M$6:$M$205,설정!$E$7)+COUNTIFS('NELEUS'!$B$6:$B$205,$B14,'NELEUS'!$M$6:$M$205,설정!$E$7)+COUNTIFS('ONEIROI'!$B$6:$B$205,$B14,'ONEIROI'!$M$6:$M$205,설정!$E$7))</f>
        <v/>
      </c>
      <c r="M14" s="58">
        <f>IF(OR($B14="",설정!$E$8=""),"",COUNTIFS('AEOLUS'!$B$6:$B$205,$B14,'AEOLUS'!$M$6:$M$205,설정!$E$8)+COUNTIFS('MELICERTES'!$B$6:$B$205,$B14,'MELICERTES'!$M$6:$M$205,설정!$E$8)+COUNTIFS('NELEUS'!$B$6:$B$205,$B14,'NELEUS'!$M$6:$M$205,설정!$E$8)+COUNTIFS('ONEIROI'!$B$6:$B$205,$B14,'ONEIROI'!$M$6:$M$205,설정!$E$8))</f>
        <v/>
      </c>
      <c r="N14" s="58">
        <f>IF(OR($B14="",설정!$E$9=""),"",COUNTIFS('AEOLUS'!$B$6:$B$205,$B14,'AEOLUS'!$M$6:$M$205,설정!$E$9)+COUNTIFS('MELICERTES'!$B$6:$B$205,$B14,'MELICERTES'!$M$6:$M$205,설정!$E$9)+COUNTIFS('NELEUS'!$B$6:$B$205,$B14,'NELEUS'!$M$6:$M$205,설정!$E$9)+COUNTIFS('ONEIROI'!$B$6:$B$205,$B14,'ONEIROI'!$M$6:$M$205,설정!$E$9))</f>
        <v/>
      </c>
      <c r="O14" s="58">
        <f>IF(OR($B14="",설정!$E$10=""),"",COUNTIFS('AEOLUS'!$B$6:$B$205,$B14,'AEOLUS'!$M$6:$M$205,설정!$E$10)+COUNTIFS('MELICERTES'!$B$6:$B$205,$B14,'MELICERTES'!$M$6:$M$205,설정!$E$10)+COUNTIFS('NELEUS'!$B$6:$B$205,$B14,'NELEUS'!$M$6:$M$205,설정!$E$10)+COUNTIFS('ONEIROI'!$B$6:$B$205,$B14,'ONEIROI'!$M$6:$M$205,설정!$E$10))</f>
        <v/>
      </c>
      <c r="P14" s="58">
        <f>IF(OR($B14="",설정!$E$11=""),"",COUNTIFS('AEOLUS'!$B$6:$B$205,$B14,'AEOLUS'!$M$6:$M$205,설정!$E$11)+COUNTIFS('MELICERTES'!$B$6:$B$205,$B14,'MELICERTES'!$M$6:$M$205,설정!$E$11)+COUNTIFS('NELEUS'!$B$6:$B$205,$B14,'NELEUS'!$M$6:$M$205,설정!$E$11)+COUNTIFS('ONEIROI'!$B$6:$B$205,$B14,'ONEIROI'!$M$6:$M$205,설정!$E$11))</f>
        <v/>
      </c>
      <c r="Q14" s="58">
        <f>IF(OR($B14="",설정!$E$12=""),"",COUNTIFS('AEOLUS'!$B$6:$B$205,$B14,'AEOLUS'!$M$6:$M$205,설정!$E$12)+COUNTIFS('MELICERTES'!$B$6:$B$205,$B14,'MELICERTES'!$M$6:$M$205,설정!$E$12)+COUNTIFS('NELEUS'!$B$6:$B$205,$B14,'NELEUS'!$M$6:$M$205,설정!$E$12)+COUNTIFS('ONEIROI'!$B$6:$B$205,$B14,'ONEIROI'!$M$6:$M$205,설정!$E$12))</f>
        <v/>
      </c>
      <c r="R14" s="58">
        <f>IF($B14="","",COUNTIFS('AEOLUS'!$B$6:$B$205,$B14,'AEOLUS'!$AI$6:$AI$205,"&gt;0")+COUNTIFS('MELICERTES'!$B$6:$B$205,$B14,'MELICERTES'!$AI$6:$AI$205,"&gt;0")+COUNTIFS('NELEUS'!$B$6:$B$205,$B14,'NELEUS'!$AI$6:$AI$205,"&gt;0")+COUNTIFS('ONEIROI'!$B$6:$B$205,$B14,'ONEIROI'!$AI$6:$AI$205,"&gt;0"))</f>
        <v/>
      </c>
      <c r="S14" s="53">
        <f>IF($B14="","",SUMIFS('AEOLUS'!$S$6:$S$205,'AEOLUS'!$B$6:$B$205,$B14,'AEOLUS'!$AK$6:$AK$205,1)+SUMIFS('MELICERTES'!$S$6:$S$205,'MELICERTES'!$B$6:$B$205,$B14,'MELICERTES'!$AK$6:$AK$205,1)+SUMIFS('NELEUS'!$S$6:$S$205,'NELEUS'!$B$6:$B$205,$B14,'NELEUS'!$AK$6:$AK$205,1)+SUMIFS('ONEIROI'!$S$6:$S$205,'ONEIROI'!$B$6:$B$205,$B14,'ONEIROI'!$AK$6:$AK$205,1))</f>
        <v/>
      </c>
      <c r="T14" s="36" t="n"/>
    </row>
    <row r="15">
      <c r="A15" s="34" t="inlineStr">
        <is>
          <t>25</t>
        </is>
      </c>
      <c r="B15" s="34" t="inlineStr">
        <is>
          <t>KQU-000116314</t>
        </is>
      </c>
      <c r="C15" s="36" t="inlineStr">
        <is>
          <t>HACCP MASTER (galley)</t>
        </is>
      </c>
      <c r="D15" s="34" t="inlineStr">
        <is>
          <t>Galley Equipment</t>
        </is>
      </c>
      <c r="E15" s="56" t="n">
        <v>46314</v>
      </c>
      <c r="F15" s="36" t="inlineStr">
        <is>
          <t>ONEIROI</t>
        </is>
      </c>
      <c r="G15" s="34" t="n">
        <v>1</v>
      </c>
      <c r="H15" s="58">
        <f>IF($B15="","",COUNTIFS('AEOLUS'!$B$6:$B$205,$B15,'AEOLUS'!$AJ$6:$AJ$205,1)+COUNTIFS('MELICERTES'!$B$6:$B$205,$B15,'MELICERTES'!$AJ$6:$AJ$205,1)+COUNTIFS('NELEUS'!$B$6:$B$205,$B15,'NELEUS'!$AJ$6:$AJ$205,1)+COUNTIFS('ONEIROI'!$B$6:$B$205,$B15,'ONEIROI'!$AJ$6:$AJ$205,1))</f>
        <v/>
      </c>
      <c r="I15" s="58">
        <f>IF(OR($B15="",G15=""),"",G15-H15)</f>
        <v/>
      </c>
      <c r="J15" s="58">
        <f>IF(OR($B15="",설정!$E$5=""),"",COUNTIFS('AEOLUS'!$B$6:$B$205,$B15,'AEOLUS'!$M$6:$M$205,설정!$E$5)+COUNTIFS('MELICERTES'!$B$6:$B$205,$B15,'MELICERTES'!$M$6:$M$205,설정!$E$5)+COUNTIFS('NELEUS'!$B$6:$B$205,$B15,'NELEUS'!$M$6:$M$205,설정!$E$5)+COUNTIFS('ONEIROI'!$B$6:$B$205,$B15,'ONEIROI'!$M$6:$M$205,설정!$E$5))</f>
        <v/>
      </c>
      <c r="K15" s="58">
        <f>IF(OR($B15="",설정!$E$6=""),"",COUNTIFS('AEOLUS'!$B$6:$B$205,$B15,'AEOLUS'!$M$6:$M$205,설정!$E$6)+COUNTIFS('MELICERTES'!$B$6:$B$205,$B15,'MELICERTES'!$M$6:$M$205,설정!$E$6)+COUNTIFS('NELEUS'!$B$6:$B$205,$B15,'NELEUS'!$M$6:$M$205,설정!$E$6)+COUNTIFS('ONEIROI'!$B$6:$B$205,$B15,'ONEIROI'!$M$6:$M$205,설정!$E$6))</f>
        <v/>
      </c>
      <c r="L15" s="58">
        <f>IF(OR($B15="",설정!$E$7=""),"",COUNTIFS('AEOLUS'!$B$6:$B$205,$B15,'AEOLUS'!$M$6:$M$205,설정!$E$7)+COUNTIFS('MELICERTES'!$B$6:$B$205,$B15,'MELICERTES'!$M$6:$M$205,설정!$E$7)+COUNTIFS('NELEUS'!$B$6:$B$205,$B15,'NELEUS'!$M$6:$M$205,설정!$E$7)+COUNTIFS('ONEIROI'!$B$6:$B$205,$B15,'ONEIROI'!$M$6:$M$205,설정!$E$7))</f>
        <v/>
      </c>
      <c r="M15" s="58">
        <f>IF(OR($B15="",설정!$E$8=""),"",COUNTIFS('AEOLUS'!$B$6:$B$205,$B15,'AEOLUS'!$M$6:$M$205,설정!$E$8)+COUNTIFS('MELICERTES'!$B$6:$B$205,$B15,'MELICERTES'!$M$6:$M$205,설정!$E$8)+COUNTIFS('NELEUS'!$B$6:$B$205,$B15,'NELEUS'!$M$6:$M$205,설정!$E$8)+COUNTIFS('ONEIROI'!$B$6:$B$205,$B15,'ONEIROI'!$M$6:$M$205,설정!$E$8))</f>
        <v/>
      </c>
      <c r="N15" s="58">
        <f>IF(OR($B15="",설정!$E$9=""),"",COUNTIFS('AEOLUS'!$B$6:$B$205,$B15,'AEOLUS'!$M$6:$M$205,설정!$E$9)+COUNTIFS('MELICERTES'!$B$6:$B$205,$B15,'MELICERTES'!$M$6:$M$205,설정!$E$9)+COUNTIFS('NELEUS'!$B$6:$B$205,$B15,'NELEUS'!$M$6:$M$205,설정!$E$9)+COUNTIFS('ONEIROI'!$B$6:$B$205,$B15,'ONEIROI'!$M$6:$M$205,설정!$E$9))</f>
        <v/>
      </c>
      <c r="O15" s="58">
        <f>IF(OR($B15="",설정!$E$10=""),"",COUNTIFS('AEOLUS'!$B$6:$B$205,$B15,'AEOLUS'!$M$6:$M$205,설정!$E$10)+COUNTIFS('MELICERTES'!$B$6:$B$205,$B15,'MELICERTES'!$M$6:$M$205,설정!$E$10)+COUNTIFS('NELEUS'!$B$6:$B$205,$B15,'NELEUS'!$M$6:$M$205,설정!$E$10)+COUNTIFS('ONEIROI'!$B$6:$B$205,$B15,'ONEIROI'!$M$6:$M$205,설정!$E$10))</f>
        <v/>
      </c>
      <c r="P15" s="58">
        <f>IF(OR($B15="",설정!$E$11=""),"",COUNTIFS('AEOLUS'!$B$6:$B$205,$B15,'AEOLUS'!$M$6:$M$205,설정!$E$11)+COUNTIFS('MELICERTES'!$B$6:$B$205,$B15,'MELICERTES'!$M$6:$M$205,설정!$E$11)+COUNTIFS('NELEUS'!$B$6:$B$205,$B15,'NELEUS'!$M$6:$M$205,설정!$E$11)+COUNTIFS('ONEIROI'!$B$6:$B$205,$B15,'ONEIROI'!$M$6:$M$205,설정!$E$11))</f>
        <v/>
      </c>
      <c r="Q15" s="58">
        <f>IF(OR($B15="",설정!$E$12=""),"",COUNTIFS('AEOLUS'!$B$6:$B$205,$B15,'AEOLUS'!$M$6:$M$205,설정!$E$12)+COUNTIFS('MELICERTES'!$B$6:$B$205,$B15,'MELICERTES'!$M$6:$M$205,설정!$E$12)+COUNTIFS('NELEUS'!$B$6:$B$205,$B15,'NELEUS'!$M$6:$M$205,설정!$E$12)+COUNTIFS('ONEIROI'!$B$6:$B$205,$B15,'ONEIROI'!$M$6:$M$205,설정!$E$12))</f>
        <v/>
      </c>
      <c r="R15" s="58">
        <f>IF($B15="","",COUNTIFS('AEOLUS'!$B$6:$B$205,$B15,'AEOLUS'!$AI$6:$AI$205,"&gt;0")+COUNTIFS('MELICERTES'!$B$6:$B$205,$B15,'MELICERTES'!$AI$6:$AI$205,"&gt;0")+COUNTIFS('NELEUS'!$B$6:$B$205,$B15,'NELEUS'!$AI$6:$AI$205,"&gt;0")+COUNTIFS('ONEIROI'!$B$6:$B$205,$B15,'ONEIROI'!$AI$6:$AI$205,"&gt;0"))</f>
        <v/>
      </c>
      <c r="S15" s="53">
        <f>IF($B15="","",SUMIFS('AEOLUS'!$S$6:$S$205,'AEOLUS'!$B$6:$B$205,$B15,'AEOLUS'!$AK$6:$AK$205,1)+SUMIFS('MELICERTES'!$S$6:$S$205,'MELICERTES'!$B$6:$B$205,$B15,'MELICERTES'!$AK$6:$AK$205,1)+SUMIFS('NELEUS'!$S$6:$S$205,'NELEUS'!$B$6:$B$205,$B15,'NELEUS'!$AK$6:$AK$205,1)+SUMIFS('ONEIROI'!$S$6:$S$205,'ONEIROI'!$B$6:$B$205,$B15,'ONEIROI'!$AK$6:$AK$205,1))</f>
        <v/>
      </c>
      <c r="T15" s="36" t="n"/>
    </row>
    <row r="16">
      <c r="A16" s="34" t="inlineStr">
        <is>
          <t>27</t>
        </is>
      </c>
      <c r="B16" s="34" t="inlineStr">
        <is>
          <t>KQU-000116301</t>
        </is>
      </c>
      <c r="C16" s="36" t="inlineStr">
        <is>
          <t>MRC (telephone)</t>
        </is>
      </c>
      <c r="D16" s="34" t="inlineStr">
        <is>
          <t>Telephone System</t>
        </is>
      </c>
      <c r="E16" s="56" t="n">
        <v>46314</v>
      </c>
      <c r="F16" s="36" t="inlineStr">
        <is>
          <t>MELICERTES</t>
        </is>
      </c>
      <c r="G16" s="34" t="n">
        <v>1</v>
      </c>
      <c r="H16" s="58">
        <f>IF($B16="","",COUNTIFS('AEOLUS'!$B$6:$B$205,$B16,'AEOLUS'!$AJ$6:$AJ$205,1)+COUNTIFS('MELICERTES'!$B$6:$B$205,$B16,'MELICERTES'!$AJ$6:$AJ$205,1)+COUNTIFS('NELEUS'!$B$6:$B$205,$B16,'NELEUS'!$AJ$6:$AJ$205,1)+COUNTIFS('ONEIROI'!$B$6:$B$205,$B16,'ONEIROI'!$AJ$6:$AJ$205,1))</f>
        <v/>
      </c>
      <c r="I16" s="58">
        <f>IF(OR($B16="",G16=""),"",G16-H16)</f>
        <v/>
      </c>
      <c r="J16" s="58">
        <f>IF(OR($B16="",설정!$E$5=""),"",COUNTIFS('AEOLUS'!$B$6:$B$205,$B16,'AEOLUS'!$M$6:$M$205,설정!$E$5)+COUNTIFS('MELICERTES'!$B$6:$B$205,$B16,'MELICERTES'!$M$6:$M$205,설정!$E$5)+COUNTIFS('NELEUS'!$B$6:$B$205,$B16,'NELEUS'!$M$6:$M$205,설정!$E$5)+COUNTIFS('ONEIROI'!$B$6:$B$205,$B16,'ONEIROI'!$M$6:$M$205,설정!$E$5))</f>
        <v/>
      </c>
      <c r="K16" s="58">
        <f>IF(OR($B16="",설정!$E$6=""),"",COUNTIFS('AEOLUS'!$B$6:$B$205,$B16,'AEOLUS'!$M$6:$M$205,설정!$E$6)+COUNTIFS('MELICERTES'!$B$6:$B$205,$B16,'MELICERTES'!$M$6:$M$205,설정!$E$6)+COUNTIFS('NELEUS'!$B$6:$B$205,$B16,'NELEUS'!$M$6:$M$205,설정!$E$6)+COUNTIFS('ONEIROI'!$B$6:$B$205,$B16,'ONEIROI'!$M$6:$M$205,설정!$E$6))</f>
        <v/>
      </c>
      <c r="L16" s="58">
        <f>IF(OR($B16="",설정!$E$7=""),"",COUNTIFS('AEOLUS'!$B$6:$B$205,$B16,'AEOLUS'!$M$6:$M$205,설정!$E$7)+COUNTIFS('MELICERTES'!$B$6:$B$205,$B16,'MELICERTES'!$M$6:$M$205,설정!$E$7)+COUNTIFS('NELEUS'!$B$6:$B$205,$B16,'NELEUS'!$M$6:$M$205,설정!$E$7)+COUNTIFS('ONEIROI'!$B$6:$B$205,$B16,'ONEIROI'!$M$6:$M$205,설정!$E$7))</f>
        <v/>
      </c>
      <c r="M16" s="58">
        <f>IF(OR($B16="",설정!$E$8=""),"",COUNTIFS('AEOLUS'!$B$6:$B$205,$B16,'AEOLUS'!$M$6:$M$205,설정!$E$8)+COUNTIFS('MELICERTES'!$B$6:$B$205,$B16,'MELICERTES'!$M$6:$M$205,설정!$E$8)+COUNTIFS('NELEUS'!$B$6:$B$205,$B16,'NELEUS'!$M$6:$M$205,설정!$E$8)+COUNTIFS('ONEIROI'!$B$6:$B$205,$B16,'ONEIROI'!$M$6:$M$205,설정!$E$8))</f>
        <v/>
      </c>
      <c r="N16" s="58">
        <f>IF(OR($B16="",설정!$E$9=""),"",COUNTIFS('AEOLUS'!$B$6:$B$205,$B16,'AEOLUS'!$M$6:$M$205,설정!$E$9)+COUNTIFS('MELICERTES'!$B$6:$B$205,$B16,'MELICERTES'!$M$6:$M$205,설정!$E$9)+COUNTIFS('NELEUS'!$B$6:$B$205,$B16,'NELEUS'!$M$6:$M$205,설정!$E$9)+COUNTIFS('ONEIROI'!$B$6:$B$205,$B16,'ONEIROI'!$M$6:$M$205,설정!$E$9))</f>
        <v/>
      </c>
      <c r="O16" s="58">
        <f>IF(OR($B16="",설정!$E$10=""),"",COUNTIFS('AEOLUS'!$B$6:$B$205,$B16,'AEOLUS'!$M$6:$M$205,설정!$E$10)+COUNTIFS('MELICERTES'!$B$6:$B$205,$B16,'MELICERTES'!$M$6:$M$205,설정!$E$10)+COUNTIFS('NELEUS'!$B$6:$B$205,$B16,'NELEUS'!$M$6:$M$205,설정!$E$10)+COUNTIFS('ONEIROI'!$B$6:$B$205,$B16,'ONEIROI'!$M$6:$M$205,설정!$E$10))</f>
        <v/>
      </c>
      <c r="P16" s="58">
        <f>IF(OR($B16="",설정!$E$11=""),"",COUNTIFS('AEOLUS'!$B$6:$B$205,$B16,'AEOLUS'!$M$6:$M$205,설정!$E$11)+COUNTIFS('MELICERTES'!$B$6:$B$205,$B16,'MELICERTES'!$M$6:$M$205,설정!$E$11)+COUNTIFS('NELEUS'!$B$6:$B$205,$B16,'NELEUS'!$M$6:$M$205,설정!$E$11)+COUNTIFS('ONEIROI'!$B$6:$B$205,$B16,'ONEIROI'!$M$6:$M$205,설정!$E$11))</f>
        <v/>
      </c>
      <c r="Q16" s="58">
        <f>IF(OR($B16="",설정!$E$12=""),"",COUNTIFS('AEOLUS'!$B$6:$B$205,$B16,'AEOLUS'!$M$6:$M$205,설정!$E$12)+COUNTIFS('MELICERTES'!$B$6:$B$205,$B16,'MELICERTES'!$M$6:$M$205,설정!$E$12)+COUNTIFS('NELEUS'!$B$6:$B$205,$B16,'NELEUS'!$M$6:$M$205,설정!$E$12)+COUNTIFS('ONEIROI'!$B$6:$B$205,$B16,'ONEIROI'!$M$6:$M$205,설정!$E$12))</f>
        <v/>
      </c>
      <c r="R16" s="58">
        <f>IF($B16="","",COUNTIFS('AEOLUS'!$B$6:$B$205,$B16,'AEOLUS'!$AI$6:$AI$205,"&gt;0")+COUNTIFS('MELICERTES'!$B$6:$B$205,$B16,'MELICERTES'!$AI$6:$AI$205,"&gt;0")+COUNTIFS('NELEUS'!$B$6:$B$205,$B16,'NELEUS'!$AI$6:$AI$205,"&gt;0")+COUNTIFS('ONEIROI'!$B$6:$B$205,$B16,'ONEIROI'!$AI$6:$AI$205,"&gt;0"))</f>
        <v/>
      </c>
      <c r="S16" s="53">
        <f>IF($B16="","",SUMIFS('AEOLUS'!$S$6:$S$205,'AEOLUS'!$B$6:$B$205,$B16,'AEOLUS'!$AK$6:$AK$205,1)+SUMIFS('MELICERTES'!$S$6:$S$205,'MELICERTES'!$B$6:$B$205,$B16,'MELICERTES'!$AK$6:$AK$205,1)+SUMIFS('NELEUS'!$S$6:$S$205,'NELEUS'!$B$6:$B$205,$B16,'NELEUS'!$AK$6:$AK$205,1)+SUMIFS('ONEIROI'!$S$6:$S$205,'ONEIROI'!$B$6:$B$205,$B16,'ONEIROI'!$AK$6:$AK$205,1))</f>
        <v/>
      </c>
      <c r="T16" s="36" t="n"/>
    </row>
    <row r="17">
      <c r="A17" s="34" t="inlineStr">
        <is>
          <t>30</t>
        </is>
      </c>
      <c r="B17" s="34" t="inlineStr">
        <is>
          <t>선박요청서-30</t>
        </is>
      </c>
      <c r="C17" s="36" t="inlineStr">
        <is>
          <t>PARKER 외 (Ballast Hyd. solenoid valve)</t>
        </is>
      </c>
      <c r="D17" s="34" t="inlineStr">
        <is>
          <t>Hyd. VRC</t>
        </is>
      </c>
      <c r="E17" s="56" t="n"/>
      <c r="F17" s="36" t="inlineStr">
        <is>
          <t>ONEIROI</t>
        </is>
      </c>
      <c r="G17" s="34" t="n">
        <v>4</v>
      </c>
      <c r="H17" s="58">
        <f>IF($B17="","",COUNTIFS('AEOLUS'!$B$6:$B$205,$B17,'AEOLUS'!$AJ$6:$AJ$205,1)+COUNTIFS('MELICERTES'!$B$6:$B$205,$B17,'MELICERTES'!$AJ$6:$AJ$205,1)+COUNTIFS('NELEUS'!$B$6:$B$205,$B17,'NELEUS'!$AJ$6:$AJ$205,1)+COUNTIFS('ONEIROI'!$B$6:$B$205,$B17,'ONEIROI'!$AJ$6:$AJ$205,1))</f>
        <v/>
      </c>
      <c r="I17" s="58">
        <f>IF(OR($B17="",G17=""),"",G17-H17)</f>
        <v/>
      </c>
      <c r="J17" s="58">
        <f>IF(OR($B17="",설정!$E$5=""),"",COUNTIFS('AEOLUS'!$B$6:$B$205,$B17,'AEOLUS'!$M$6:$M$205,설정!$E$5)+COUNTIFS('MELICERTES'!$B$6:$B$205,$B17,'MELICERTES'!$M$6:$M$205,설정!$E$5)+COUNTIFS('NELEUS'!$B$6:$B$205,$B17,'NELEUS'!$M$6:$M$205,설정!$E$5)+COUNTIFS('ONEIROI'!$B$6:$B$205,$B17,'ONEIROI'!$M$6:$M$205,설정!$E$5))</f>
        <v/>
      </c>
      <c r="K17" s="58">
        <f>IF(OR($B17="",설정!$E$6=""),"",COUNTIFS('AEOLUS'!$B$6:$B$205,$B17,'AEOLUS'!$M$6:$M$205,설정!$E$6)+COUNTIFS('MELICERTES'!$B$6:$B$205,$B17,'MELICERTES'!$M$6:$M$205,설정!$E$6)+COUNTIFS('NELEUS'!$B$6:$B$205,$B17,'NELEUS'!$M$6:$M$205,설정!$E$6)+COUNTIFS('ONEIROI'!$B$6:$B$205,$B17,'ONEIROI'!$M$6:$M$205,설정!$E$6))</f>
        <v/>
      </c>
      <c r="L17" s="58">
        <f>IF(OR($B17="",설정!$E$7=""),"",COUNTIFS('AEOLUS'!$B$6:$B$205,$B17,'AEOLUS'!$M$6:$M$205,설정!$E$7)+COUNTIFS('MELICERTES'!$B$6:$B$205,$B17,'MELICERTES'!$M$6:$M$205,설정!$E$7)+COUNTIFS('NELEUS'!$B$6:$B$205,$B17,'NELEUS'!$M$6:$M$205,설정!$E$7)+COUNTIFS('ONEIROI'!$B$6:$B$205,$B17,'ONEIROI'!$M$6:$M$205,설정!$E$7))</f>
        <v/>
      </c>
      <c r="M17" s="58">
        <f>IF(OR($B17="",설정!$E$8=""),"",COUNTIFS('AEOLUS'!$B$6:$B$205,$B17,'AEOLUS'!$M$6:$M$205,설정!$E$8)+COUNTIFS('MELICERTES'!$B$6:$B$205,$B17,'MELICERTES'!$M$6:$M$205,설정!$E$8)+COUNTIFS('NELEUS'!$B$6:$B$205,$B17,'NELEUS'!$M$6:$M$205,설정!$E$8)+COUNTIFS('ONEIROI'!$B$6:$B$205,$B17,'ONEIROI'!$M$6:$M$205,설정!$E$8))</f>
        <v/>
      </c>
      <c r="N17" s="58">
        <f>IF(OR($B17="",설정!$E$9=""),"",COUNTIFS('AEOLUS'!$B$6:$B$205,$B17,'AEOLUS'!$M$6:$M$205,설정!$E$9)+COUNTIFS('MELICERTES'!$B$6:$B$205,$B17,'MELICERTES'!$M$6:$M$205,설정!$E$9)+COUNTIFS('NELEUS'!$B$6:$B$205,$B17,'NELEUS'!$M$6:$M$205,설정!$E$9)+COUNTIFS('ONEIROI'!$B$6:$B$205,$B17,'ONEIROI'!$M$6:$M$205,설정!$E$9))</f>
        <v/>
      </c>
      <c r="O17" s="58">
        <f>IF(OR($B17="",설정!$E$10=""),"",COUNTIFS('AEOLUS'!$B$6:$B$205,$B17,'AEOLUS'!$M$6:$M$205,설정!$E$10)+COUNTIFS('MELICERTES'!$B$6:$B$205,$B17,'MELICERTES'!$M$6:$M$205,설정!$E$10)+COUNTIFS('NELEUS'!$B$6:$B$205,$B17,'NELEUS'!$M$6:$M$205,설정!$E$10)+COUNTIFS('ONEIROI'!$B$6:$B$205,$B17,'ONEIROI'!$M$6:$M$205,설정!$E$10))</f>
        <v/>
      </c>
      <c r="P17" s="58">
        <f>IF(OR($B17="",설정!$E$11=""),"",COUNTIFS('AEOLUS'!$B$6:$B$205,$B17,'AEOLUS'!$M$6:$M$205,설정!$E$11)+COUNTIFS('MELICERTES'!$B$6:$B$205,$B17,'MELICERTES'!$M$6:$M$205,설정!$E$11)+COUNTIFS('NELEUS'!$B$6:$B$205,$B17,'NELEUS'!$M$6:$M$205,설정!$E$11)+COUNTIFS('ONEIROI'!$B$6:$B$205,$B17,'ONEIROI'!$M$6:$M$205,설정!$E$11))</f>
        <v/>
      </c>
      <c r="Q17" s="58">
        <f>IF(OR($B17="",설정!$E$12=""),"",COUNTIFS('AEOLUS'!$B$6:$B$205,$B17,'AEOLUS'!$M$6:$M$205,설정!$E$12)+COUNTIFS('MELICERTES'!$B$6:$B$205,$B17,'MELICERTES'!$M$6:$M$205,설정!$E$12)+COUNTIFS('NELEUS'!$B$6:$B$205,$B17,'NELEUS'!$M$6:$M$205,설정!$E$12)+COUNTIFS('ONEIROI'!$B$6:$B$205,$B17,'ONEIROI'!$M$6:$M$205,설정!$E$12))</f>
        <v/>
      </c>
      <c r="R17" s="58">
        <f>IF($B17="","",COUNTIFS('AEOLUS'!$B$6:$B$205,$B17,'AEOLUS'!$AI$6:$AI$205,"&gt;0")+COUNTIFS('MELICERTES'!$B$6:$B$205,$B17,'MELICERTES'!$AI$6:$AI$205,"&gt;0")+COUNTIFS('NELEUS'!$B$6:$B$205,$B17,'NELEUS'!$AI$6:$AI$205,"&gt;0")+COUNTIFS('ONEIROI'!$B$6:$B$205,$B17,'ONEIROI'!$AI$6:$AI$205,"&gt;0"))</f>
        <v/>
      </c>
      <c r="S17" s="53">
        <f>IF($B17="","",SUMIFS('AEOLUS'!$S$6:$S$205,'AEOLUS'!$B$6:$B$205,$B17,'AEOLUS'!$AK$6:$AK$205,1)+SUMIFS('MELICERTES'!$S$6:$S$205,'MELICERTES'!$B$6:$B$205,$B17,'MELICERTES'!$AK$6:$AK$205,1)+SUMIFS('NELEUS'!$S$6:$S$205,'NELEUS'!$B$6:$B$205,$B17,'NELEUS'!$AK$6:$AK$205,1)+SUMIFS('ONEIROI'!$S$6:$S$205,'ONEIROI'!$B$6:$B$205,$B17,'ONEIROI'!$AK$6:$AK$205,1))</f>
        <v/>
      </c>
      <c r="T17" s="36" t="inlineStr">
        <is>
          <t>선박 요청서 양식 (RFQ No. 없음)</t>
        </is>
      </c>
    </row>
    <row r="18">
      <c r="A18" s="34" t="inlineStr">
        <is>
          <t>31</t>
        </is>
      </c>
      <c r="B18" s="34" t="inlineStr">
        <is>
          <t>선박요청서-31</t>
        </is>
      </c>
      <c r="C18" s="36" t="inlineStr">
        <is>
          <t>GRUNDFOS (EGR WTS pump CRN3-7)</t>
        </is>
      </c>
      <c r="D18" s="34" t="inlineStr">
        <is>
          <t>Main Engine</t>
        </is>
      </c>
      <c r="E18" s="56" t="n">
        <v>46314</v>
      </c>
      <c r="F18" s="36" t="inlineStr">
        <is>
          <t>ONEIROI</t>
        </is>
      </c>
      <c r="G18" s="34" t="n">
        <v>14</v>
      </c>
      <c r="H18" s="58">
        <f>IF($B18="","",COUNTIFS('AEOLUS'!$B$6:$B$205,$B18,'AEOLUS'!$AJ$6:$AJ$205,1)+COUNTIFS('MELICERTES'!$B$6:$B$205,$B18,'MELICERTES'!$AJ$6:$AJ$205,1)+COUNTIFS('NELEUS'!$B$6:$B$205,$B18,'NELEUS'!$AJ$6:$AJ$205,1)+COUNTIFS('ONEIROI'!$B$6:$B$205,$B18,'ONEIROI'!$AJ$6:$AJ$205,1))</f>
        <v/>
      </c>
      <c r="I18" s="58">
        <f>IF(OR($B18="",G18=""),"",G18-H18)</f>
        <v/>
      </c>
      <c r="J18" s="58">
        <f>IF(OR($B18="",설정!$E$5=""),"",COUNTIFS('AEOLUS'!$B$6:$B$205,$B18,'AEOLUS'!$M$6:$M$205,설정!$E$5)+COUNTIFS('MELICERTES'!$B$6:$B$205,$B18,'MELICERTES'!$M$6:$M$205,설정!$E$5)+COUNTIFS('NELEUS'!$B$6:$B$205,$B18,'NELEUS'!$M$6:$M$205,설정!$E$5)+COUNTIFS('ONEIROI'!$B$6:$B$205,$B18,'ONEIROI'!$M$6:$M$205,설정!$E$5))</f>
        <v/>
      </c>
      <c r="K18" s="58">
        <f>IF(OR($B18="",설정!$E$6=""),"",COUNTIFS('AEOLUS'!$B$6:$B$205,$B18,'AEOLUS'!$M$6:$M$205,설정!$E$6)+COUNTIFS('MELICERTES'!$B$6:$B$205,$B18,'MELICERTES'!$M$6:$M$205,설정!$E$6)+COUNTIFS('NELEUS'!$B$6:$B$205,$B18,'NELEUS'!$M$6:$M$205,설정!$E$6)+COUNTIFS('ONEIROI'!$B$6:$B$205,$B18,'ONEIROI'!$M$6:$M$205,설정!$E$6))</f>
        <v/>
      </c>
      <c r="L18" s="58">
        <f>IF(OR($B18="",설정!$E$7=""),"",COUNTIFS('AEOLUS'!$B$6:$B$205,$B18,'AEOLUS'!$M$6:$M$205,설정!$E$7)+COUNTIFS('MELICERTES'!$B$6:$B$205,$B18,'MELICERTES'!$M$6:$M$205,설정!$E$7)+COUNTIFS('NELEUS'!$B$6:$B$205,$B18,'NELEUS'!$M$6:$M$205,설정!$E$7)+COUNTIFS('ONEIROI'!$B$6:$B$205,$B18,'ONEIROI'!$M$6:$M$205,설정!$E$7))</f>
        <v/>
      </c>
      <c r="M18" s="58">
        <f>IF(OR($B18="",설정!$E$8=""),"",COUNTIFS('AEOLUS'!$B$6:$B$205,$B18,'AEOLUS'!$M$6:$M$205,설정!$E$8)+COUNTIFS('MELICERTES'!$B$6:$B$205,$B18,'MELICERTES'!$M$6:$M$205,설정!$E$8)+COUNTIFS('NELEUS'!$B$6:$B$205,$B18,'NELEUS'!$M$6:$M$205,설정!$E$8)+COUNTIFS('ONEIROI'!$B$6:$B$205,$B18,'ONEIROI'!$M$6:$M$205,설정!$E$8))</f>
        <v/>
      </c>
      <c r="N18" s="58">
        <f>IF(OR($B18="",설정!$E$9=""),"",COUNTIFS('AEOLUS'!$B$6:$B$205,$B18,'AEOLUS'!$M$6:$M$205,설정!$E$9)+COUNTIFS('MELICERTES'!$B$6:$B$205,$B18,'MELICERTES'!$M$6:$M$205,설정!$E$9)+COUNTIFS('NELEUS'!$B$6:$B$205,$B18,'NELEUS'!$M$6:$M$205,설정!$E$9)+COUNTIFS('ONEIROI'!$B$6:$B$205,$B18,'ONEIROI'!$M$6:$M$205,설정!$E$9))</f>
        <v/>
      </c>
      <c r="O18" s="58">
        <f>IF(OR($B18="",설정!$E$10=""),"",COUNTIFS('AEOLUS'!$B$6:$B$205,$B18,'AEOLUS'!$M$6:$M$205,설정!$E$10)+COUNTIFS('MELICERTES'!$B$6:$B$205,$B18,'MELICERTES'!$M$6:$M$205,설정!$E$10)+COUNTIFS('NELEUS'!$B$6:$B$205,$B18,'NELEUS'!$M$6:$M$205,설정!$E$10)+COUNTIFS('ONEIROI'!$B$6:$B$205,$B18,'ONEIROI'!$M$6:$M$205,설정!$E$10))</f>
        <v/>
      </c>
      <c r="P18" s="58">
        <f>IF(OR($B18="",설정!$E$11=""),"",COUNTIFS('AEOLUS'!$B$6:$B$205,$B18,'AEOLUS'!$M$6:$M$205,설정!$E$11)+COUNTIFS('MELICERTES'!$B$6:$B$205,$B18,'MELICERTES'!$M$6:$M$205,설정!$E$11)+COUNTIFS('NELEUS'!$B$6:$B$205,$B18,'NELEUS'!$M$6:$M$205,설정!$E$11)+COUNTIFS('ONEIROI'!$B$6:$B$205,$B18,'ONEIROI'!$M$6:$M$205,설정!$E$11))</f>
        <v/>
      </c>
      <c r="Q18" s="58">
        <f>IF(OR($B18="",설정!$E$12=""),"",COUNTIFS('AEOLUS'!$B$6:$B$205,$B18,'AEOLUS'!$M$6:$M$205,설정!$E$12)+COUNTIFS('MELICERTES'!$B$6:$B$205,$B18,'MELICERTES'!$M$6:$M$205,설정!$E$12)+COUNTIFS('NELEUS'!$B$6:$B$205,$B18,'NELEUS'!$M$6:$M$205,설정!$E$12)+COUNTIFS('ONEIROI'!$B$6:$B$205,$B18,'ONEIROI'!$M$6:$M$205,설정!$E$12))</f>
        <v/>
      </c>
      <c r="R18" s="58">
        <f>IF($B18="","",COUNTIFS('AEOLUS'!$B$6:$B$205,$B18,'AEOLUS'!$AI$6:$AI$205,"&gt;0")+COUNTIFS('MELICERTES'!$B$6:$B$205,$B18,'MELICERTES'!$AI$6:$AI$205,"&gt;0")+COUNTIFS('NELEUS'!$B$6:$B$205,$B18,'NELEUS'!$AI$6:$AI$205,"&gt;0")+COUNTIFS('ONEIROI'!$B$6:$B$205,$B18,'ONEIROI'!$AI$6:$AI$205,"&gt;0"))</f>
        <v/>
      </c>
      <c r="S18" s="53">
        <f>IF($B18="","",SUMIFS('AEOLUS'!$S$6:$S$205,'AEOLUS'!$B$6:$B$205,$B18,'AEOLUS'!$AK$6:$AK$205,1)+SUMIFS('MELICERTES'!$S$6:$S$205,'MELICERTES'!$B$6:$B$205,$B18,'MELICERTES'!$AK$6:$AK$205,1)+SUMIFS('NELEUS'!$S$6:$S$205,'NELEUS'!$B$6:$B$205,$B18,'NELEUS'!$AK$6:$AK$205,1)+SUMIFS('ONEIROI'!$S$6:$S$205,'ONEIROI'!$B$6:$B$205,$B18,'ONEIROI'!$AK$6:$AK$205,1))</f>
        <v/>
      </c>
      <c r="T18" s="36" t="inlineStr">
        <is>
          <t>선박 요청서 양식 (RFQ No. 없음)</t>
        </is>
      </c>
    </row>
    <row r="19">
      <c r="A19" s="34" t="inlineStr">
        <is>
          <t>-</t>
        </is>
      </c>
      <c r="B19" s="34" t="inlineStr">
        <is>
          <t>DB26034465</t>
        </is>
      </c>
      <c r="C19" s="36" t="inlineStr">
        <is>
          <t>HYUNDAI – 4S-LP-H (Cooling chamber CLX-XT)</t>
        </is>
      </c>
      <c r="D19" s="34" t="inlineStr"/>
      <c r="E19" s="56" t="n"/>
      <c r="F19" s="36" t="inlineStr">
        <is>
          <t>ONEIROI</t>
        </is>
      </c>
      <c r="G19" s="34" t="n">
        <v>2</v>
      </c>
      <c r="H19" s="58">
        <f>IF($B19="","",COUNTIFS('AEOLUS'!$B$6:$B$205,$B19,'AEOLUS'!$AJ$6:$AJ$205,1)+COUNTIFS('MELICERTES'!$B$6:$B$205,$B19,'MELICERTES'!$AJ$6:$AJ$205,1)+COUNTIFS('NELEUS'!$B$6:$B$205,$B19,'NELEUS'!$AJ$6:$AJ$205,1)+COUNTIFS('ONEIROI'!$B$6:$B$205,$B19,'ONEIROI'!$AJ$6:$AJ$205,1))</f>
        <v/>
      </c>
      <c r="I19" s="58">
        <f>IF(OR($B19="",G19=""),"",G19-H19)</f>
        <v/>
      </c>
      <c r="J19" s="58">
        <f>IF(OR($B19="",설정!$E$5=""),"",COUNTIFS('AEOLUS'!$B$6:$B$205,$B19,'AEOLUS'!$M$6:$M$205,설정!$E$5)+COUNTIFS('MELICERTES'!$B$6:$B$205,$B19,'MELICERTES'!$M$6:$M$205,설정!$E$5)+COUNTIFS('NELEUS'!$B$6:$B$205,$B19,'NELEUS'!$M$6:$M$205,설정!$E$5)+COUNTIFS('ONEIROI'!$B$6:$B$205,$B19,'ONEIROI'!$M$6:$M$205,설정!$E$5))</f>
        <v/>
      </c>
      <c r="K19" s="58">
        <f>IF(OR($B19="",설정!$E$6=""),"",COUNTIFS('AEOLUS'!$B$6:$B$205,$B19,'AEOLUS'!$M$6:$M$205,설정!$E$6)+COUNTIFS('MELICERTES'!$B$6:$B$205,$B19,'MELICERTES'!$M$6:$M$205,설정!$E$6)+COUNTIFS('NELEUS'!$B$6:$B$205,$B19,'NELEUS'!$M$6:$M$205,설정!$E$6)+COUNTIFS('ONEIROI'!$B$6:$B$205,$B19,'ONEIROI'!$M$6:$M$205,설정!$E$6))</f>
        <v/>
      </c>
      <c r="L19" s="58">
        <f>IF(OR($B19="",설정!$E$7=""),"",COUNTIFS('AEOLUS'!$B$6:$B$205,$B19,'AEOLUS'!$M$6:$M$205,설정!$E$7)+COUNTIFS('MELICERTES'!$B$6:$B$205,$B19,'MELICERTES'!$M$6:$M$205,설정!$E$7)+COUNTIFS('NELEUS'!$B$6:$B$205,$B19,'NELEUS'!$M$6:$M$205,설정!$E$7)+COUNTIFS('ONEIROI'!$B$6:$B$205,$B19,'ONEIROI'!$M$6:$M$205,설정!$E$7))</f>
        <v/>
      </c>
      <c r="M19" s="58">
        <f>IF(OR($B19="",설정!$E$8=""),"",COUNTIFS('AEOLUS'!$B$6:$B$205,$B19,'AEOLUS'!$M$6:$M$205,설정!$E$8)+COUNTIFS('MELICERTES'!$B$6:$B$205,$B19,'MELICERTES'!$M$6:$M$205,설정!$E$8)+COUNTIFS('NELEUS'!$B$6:$B$205,$B19,'NELEUS'!$M$6:$M$205,설정!$E$8)+COUNTIFS('ONEIROI'!$B$6:$B$205,$B19,'ONEIROI'!$M$6:$M$205,설정!$E$8))</f>
        <v/>
      </c>
      <c r="N19" s="58">
        <f>IF(OR($B19="",설정!$E$9=""),"",COUNTIFS('AEOLUS'!$B$6:$B$205,$B19,'AEOLUS'!$M$6:$M$205,설정!$E$9)+COUNTIFS('MELICERTES'!$B$6:$B$205,$B19,'MELICERTES'!$M$6:$M$205,설정!$E$9)+COUNTIFS('NELEUS'!$B$6:$B$205,$B19,'NELEUS'!$M$6:$M$205,설정!$E$9)+COUNTIFS('ONEIROI'!$B$6:$B$205,$B19,'ONEIROI'!$M$6:$M$205,설정!$E$9))</f>
        <v/>
      </c>
      <c r="O19" s="58">
        <f>IF(OR($B19="",설정!$E$10=""),"",COUNTIFS('AEOLUS'!$B$6:$B$205,$B19,'AEOLUS'!$M$6:$M$205,설정!$E$10)+COUNTIFS('MELICERTES'!$B$6:$B$205,$B19,'MELICERTES'!$M$6:$M$205,설정!$E$10)+COUNTIFS('NELEUS'!$B$6:$B$205,$B19,'NELEUS'!$M$6:$M$205,설정!$E$10)+COUNTIFS('ONEIROI'!$B$6:$B$205,$B19,'ONEIROI'!$M$6:$M$205,설정!$E$10))</f>
        <v/>
      </c>
      <c r="P19" s="58">
        <f>IF(OR($B19="",설정!$E$11=""),"",COUNTIFS('AEOLUS'!$B$6:$B$205,$B19,'AEOLUS'!$M$6:$M$205,설정!$E$11)+COUNTIFS('MELICERTES'!$B$6:$B$205,$B19,'MELICERTES'!$M$6:$M$205,설정!$E$11)+COUNTIFS('NELEUS'!$B$6:$B$205,$B19,'NELEUS'!$M$6:$M$205,설정!$E$11)+COUNTIFS('ONEIROI'!$B$6:$B$205,$B19,'ONEIROI'!$M$6:$M$205,설정!$E$11))</f>
        <v/>
      </c>
      <c r="Q19" s="58">
        <f>IF(OR($B19="",설정!$E$12=""),"",COUNTIFS('AEOLUS'!$B$6:$B$205,$B19,'AEOLUS'!$M$6:$M$205,설정!$E$12)+COUNTIFS('MELICERTES'!$B$6:$B$205,$B19,'MELICERTES'!$M$6:$M$205,설정!$E$12)+COUNTIFS('NELEUS'!$B$6:$B$205,$B19,'NELEUS'!$M$6:$M$205,설정!$E$12)+COUNTIFS('ONEIROI'!$B$6:$B$205,$B19,'ONEIROI'!$M$6:$M$205,설정!$E$12))</f>
        <v/>
      </c>
      <c r="R19" s="58">
        <f>IF($B19="","",COUNTIFS('AEOLUS'!$B$6:$B$205,$B19,'AEOLUS'!$AI$6:$AI$205,"&gt;0")+COUNTIFS('MELICERTES'!$B$6:$B$205,$B19,'MELICERTES'!$AI$6:$AI$205,"&gt;0")+COUNTIFS('NELEUS'!$B$6:$B$205,$B19,'NELEUS'!$AI$6:$AI$205,"&gt;0")+COUNTIFS('ONEIROI'!$B$6:$B$205,$B19,'ONEIROI'!$AI$6:$AI$205,"&gt;0"))</f>
        <v/>
      </c>
      <c r="S19" s="53">
        <f>IF($B19="","",SUMIFS('AEOLUS'!$S$6:$S$205,'AEOLUS'!$B$6:$B$205,$B19,'AEOLUS'!$AK$6:$AK$205,1)+SUMIFS('MELICERTES'!$S$6:$S$205,'MELICERTES'!$B$6:$B$205,$B19,'MELICERTES'!$AK$6:$AK$205,1)+SUMIFS('NELEUS'!$S$6:$S$205,'NELEUS'!$B$6:$B$205,$B19,'NELEUS'!$AK$6:$AK$205,1)+SUMIFS('ONEIROI'!$S$6:$S$205,'ONEIROI'!$B$6:$B$205,$B19,'ONEIROI'!$AK$6:$AK$205,1))</f>
        <v/>
      </c>
      <c r="T19" s="36" t="inlineStr">
        <is>
          <t>IOB RFQ 번호 미상 – 딘텍 견적번호로 임시 표기 (Your ref 2026.10.19/ONEIROI)</t>
        </is>
      </c>
    </row>
    <row r="20">
      <c r="A20" s="34" t="inlineStr">
        <is>
          <t>-</t>
        </is>
      </c>
      <c r="B20" s="34" t="inlineStr">
        <is>
          <t>DB26034773</t>
        </is>
      </c>
      <c r="C20" s="36" t="inlineStr">
        <is>
          <t>D&amp;J WITH – CCTV System</t>
        </is>
      </c>
      <c r="D20" s="34" t="inlineStr"/>
      <c r="E20" s="56" t="n"/>
      <c r="F20" s="36" t="inlineStr">
        <is>
          <t>NELEUS</t>
        </is>
      </c>
      <c r="G20" s="34" t="n">
        <v>3</v>
      </c>
      <c r="H20" s="58">
        <f>IF($B20="","",COUNTIFS('AEOLUS'!$B$6:$B$205,$B20,'AEOLUS'!$AJ$6:$AJ$205,1)+COUNTIFS('MELICERTES'!$B$6:$B$205,$B20,'MELICERTES'!$AJ$6:$AJ$205,1)+COUNTIFS('NELEUS'!$B$6:$B$205,$B20,'NELEUS'!$AJ$6:$AJ$205,1)+COUNTIFS('ONEIROI'!$B$6:$B$205,$B20,'ONEIROI'!$AJ$6:$AJ$205,1))</f>
        <v/>
      </c>
      <c r="I20" s="58">
        <f>IF(OR($B20="",G20=""),"",G20-H20)</f>
        <v/>
      </c>
      <c r="J20" s="58">
        <f>IF(OR($B20="",설정!$E$5=""),"",COUNTIFS('AEOLUS'!$B$6:$B$205,$B20,'AEOLUS'!$M$6:$M$205,설정!$E$5)+COUNTIFS('MELICERTES'!$B$6:$B$205,$B20,'MELICERTES'!$M$6:$M$205,설정!$E$5)+COUNTIFS('NELEUS'!$B$6:$B$205,$B20,'NELEUS'!$M$6:$M$205,설정!$E$5)+COUNTIFS('ONEIROI'!$B$6:$B$205,$B20,'ONEIROI'!$M$6:$M$205,설정!$E$5))</f>
        <v/>
      </c>
      <c r="K20" s="58">
        <f>IF(OR($B20="",설정!$E$6=""),"",COUNTIFS('AEOLUS'!$B$6:$B$205,$B20,'AEOLUS'!$M$6:$M$205,설정!$E$6)+COUNTIFS('MELICERTES'!$B$6:$B$205,$B20,'MELICERTES'!$M$6:$M$205,설정!$E$6)+COUNTIFS('NELEUS'!$B$6:$B$205,$B20,'NELEUS'!$M$6:$M$205,설정!$E$6)+COUNTIFS('ONEIROI'!$B$6:$B$205,$B20,'ONEIROI'!$M$6:$M$205,설정!$E$6))</f>
        <v/>
      </c>
      <c r="L20" s="58">
        <f>IF(OR($B20="",설정!$E$7=""),"",COUNTIFS('AEOLUS'!$B$6:$B$205,$B20,'AEOLUS'!$M$6:$M$205,설정!$E$7)+COUNTIFS('MELICERTES'!$B$6:$B$205,$B20,'MELICERTES'!$M$6:$M$205,설정!$E$7)+COUNTIFS('NELEUS'!$B$6:$B$205,$B20,'NELEUS'!$M$6:$M$205,설정!$E$7)+COUNTIFS('ONEIROI'!$B$6:$B$205,$B20,'ONEIROI'!$M$6:$M$205,설정!$E$7))</f>
        <v/>
      </c>
      <c r="M20" s="58">
        <f>IF(OR($B20="",설정!$E$8=""),"",COUNTIFS('AEOLUS'!$B$6:$B$205,$B20,'AEOLUS'!$M$6:$M$205,설정!$E$8)+COUNTIFS('MELICERTES'!$B$6:$B$205,$B20,'MELICERTES'!$M$6:$M$205,설정!$E$8)+COUNTIFS('NELEUS'!$B$6:$B$205,$B20,'NELEUS'!$M$6:$M$205,설정!$E$8)+COUNTIFS('ONEIROI'!$B$6:$B$205,$B20,'ONEIROI'!$M$6:$M$205,설정!$E$8))</f>
        <v/>
      </c>
      <c r="N20" s="58">
        <f>IF(OR($B20="",설정!$E$9=""),"",COUNTIFS('AEOLUS'!$B$6:$B$205,$B20,'AEOLUS'!$M$6:$M$205,설정!$E$9)+COUNTIFS('MELICERTES'!$B$6:$B$205,$B20,'MELICERTES'!$M$6:$M$205,설정!$E$9)+COUNTIFS('NELEUS'!$B$6:$B$205,$B20,'NELEUS'!$M$6:$M$205,설정!$E$9)+COUNTIFS('ONEIROI'!$B$6:$B$205,$B20,'ONEIROI'!$M$6:$M$205,설정!$E$9))</f>
        <v/>
      </c>
      <c r="O20" s="58">
        <f>IF(OR($B20="",설정!$E$10=""),"",COUNTIFS('AEOLUS'!$B$6:$B$205,$B20,'AEOLUS'!$M$6:$M$205,설정!$E$10)+COUNTIFS('MELICERTES'!$B$6:$B$205,$B20,'MELICERTES'!$M$6:$M$205,설정!$E$10)+COUNTIFS('NELEUS'!$B$6:$B$205,$B20,'NELEUS'!$M$6:$M$205,설정!$E$10)+COUNTIFS('ONEIROI'!$B$6:$B$205,$B20,'ONEIROI'!$M$6:$M$205,설정!$E$10))</f>
        <v/>
      </c>
      <c r="P20" s="58">
        <f>IF(OR($B20="",설정!$E$11=""),"",COUNTIFS('AEOLUS'!$B$6:$B$205,$B20,'AEOLUS'!$M$6:$M$205,설정!$E$11)+COUNTIFS('MELICERTES'!$B$6:$B$205,$B20,'MELICERTES'!$M$6:$M$205,설정!$E$11)+COUNTIFS('NELEUS'!$B$6:$B$205,$B20,'NELEUS'!$M$6:$M$205,설정!$E$11)+COUNTIFS('ONEIROI'!$B$6:$B$205,$B20,'ONEIROI'!$M$6:$M$205,설정!$E$11))</f>
        <v/>
      </c>
      <c r="Q20" s="58">
        <f>IF(OR($B20="",설정!$E$12=""),"",COUNTIFS('AEOLUS'!$B$6:$B$205,$B20,'AEOLUS'!$M$6:$M$205,설정!$E$12)+COUNTIFS('MELICERTES'!$B$6:$B$205,$B20,'MELICERTES'!$M$6:$M$205,설정!$E$12)+COUNTIFS('NELEUS'!$B$6:$B$205,$B20,'NELEUS'!$M$6:$M$205,설정!$E$12)+COUNTIFS('ONEIROI'!$B$6:$B$205,$B20,'ONEIROI'!$M$6:$M$205,설정!$E$12))</f>
        <v/>
      </c>
      <c r="R20" s="58">
        <f>IF($B20="","",COUNTIFS('AEOLUS'!$B$6:$B$205,$B20,'AEOLUS'!$AI$6:$AI$205,"&gt;0")+COUNTIFS('MELICERTES'!$B$6:$B$205,$B20,'MELICERTES'!$AI$6:$AI$205,"&gt;0")+COUNTIFS('NELEUS'!$B$6:$B$205,$B20,'NELEUS'!$AI$6:$AI$205,"&gt;0")+COUNTIFS('ONEIROI'!$B$6:$B$205,$B20,'ONEIROI'!$AI$6:$AI$205,"&gt;0"))</f>
        <v/>
      </c>
      <c r="S20" s="53">
        <f>IF($B20="","",SUMIFS('AEOLUS'!$S$6:$S$205,'AEOLUS'!$B$6:$B$205,$B20,'AEOLUS'!$AK$6:$AK$205,1)+SUMIFS('MELICERTES'!$S$6:$S$205,'MELICERTES'!$B$6:$B$205,$B20,'MELICERTES'!$AK$6:$AK$205,1)+SUMIFS('NELEUS'!$S$6:$S$205,'NELEUS'!$B$6:$B$205,$B20,'NELEUS'!$AK$6:$AK$205,1)+SUMIFS('ONEIROI'!$S$6:$S$205,'ONEIROI'!$B$6:$B$205,$B20,'ONEIROI'!$AK$6:$AK$205,1))</f>
        <v/>
      </c>
      <c r="T20" s="36" t="inlineStr">
        <is>
          <t>IOB RFQ 번호 미상 – 딘텍 견적번호로 임시 표기 (Your ref 19-Oct-2026)</t>
        </is>
      </c>
    </row>
    <row r="21">
      <c r="A21" s="34" t="inlineStr">
        <is>
          <t>-</t>
        </is>
      </c>
      <c r="B21" s="34" t="inlineStr">
        <is>
          <t>IOB-ONR-26-1016(ME)</t>
        </is>
      </c>
      <c r="C21" s="36" t="inlineStr">
        <is>
          <t>HANWHA MAN 5G70ME-C10.5-GA (M/E 부품)</t>
        </is>
      </c>
      <c r="D21" s="34" t="inlineStr">
        <is>
          <t>Main Engine</t>
        </is>
      </c>
      <c r="E21" s="56" t="n"/>
      <c r="F21" s="36" t="inlineStr">
        <is>
          <t>ONEIROI</t>
        </is>
      </c>
      <c r="G21" s="34" t="n">
        <v>11</v>
      </c>
      <c r="H21" s="58">
        <f>IF($B21="","",COUNTIFS('AEOLUS'!$B$6:$B$205,$B21,'AEOLUS'!$AJ$6:$AJ$205,1)+COUNTIFS('MELICERTES'!$B$6:$B$205,$B21,'MELICERTES'!$AJ$6:$AJ$205,1)+COUNTIFS('NELEUS'!$B$6:$B$205,$B21,'NELEUS'!$AJ$6:$AJ$205,1)+COUNTIFS('ONEIROI'!$B$6:$B$205,$B21,'ONEIROI'!$AJ$6:$AJ$205,1))</f>
        <v/>
      </c>
      <c r="I21" s="58">
        <f>IF(OR($B21="",G21=""),"",G21-H21)</f>
        <v/>
      </c>
      <c r="J21" s="58">
        <f>IF(OR($B21="",설정!$E$5=""),"",COUNTIFS('AEOLUS'!$B$6:$B$205,$B21,'AEOLUS'!$M$6:$M$205,설정!$E$5)+COUNTIFS('MELICERTES'!$B$6:$B$205,$B21,'MELICERTES'!$M$6:$M$205,설정!$E$5)+COUNTIFS('NELEUS'!$B$6:$B$205,$B21,'NELEUS'!$M$6:$M$205,설정!$E$5)+COUNTIFS('ONEIROI'!$B$6:$B$205,$B21,'ONEIROI'!$M$6:$M$205,설정!$E$5))</f>
        <v/>
      </c>
      <c r="K21" s="58">
        <f>IF(OR($B21="",설정!$E$6=""),"",COUNTIFS('AEOLUS'!$B$6:$B$205,$B21,'AEOLUS'!$M$6:$M$205,설정!$E$6)+COUNTIFS('MELICERTES'!$B$6:$B$205,$B21,'MELICERTES'!$M$6:$M$205,설정!$E$6)+COUNTIFS('NELEUS'!$B$6:$B$205,$B21,'NELEUS'!$M$6:$M$205,설정!$E$6)+COUNTIFS('ONEIROI'!$B$6:$B$205,$B21,'ONEIROI'!$M$6:$M$205,설정!$E$6))</f>
        <v/>
      </c>
      <c r="L21" s="58">
        <f>IF(OR($B21="",설정!$E$7=""),"",COUNTIFS('AEOLUS'!$B$6:$B$205,$B21,'AEOLUS'!$M$6:$M$205,설정!$E$7)+COUNTIFS('MELICERTES'!$B$6:$B$205,$B21,'MELICERTES'!$M$6:$M$205,설정!$E$7)+COUNTIFS('NELEUS'!$B$6:$B$205,$B21,'NELEUS'!$M$6:$M$205,설정!$E$7)+COUNTIFS('ONEIROI'!$B$6:$B$205,$B21,'ONEIROI'!$M$6:$M$205,설정!$E$7))</f>
        <v/>
      </c>
      <c r="M21" s="58">
        <f>IF(OR($B21="",설정!$E$8=""),"",COUNTIFS('AEOLUS'!$B$6:$B$205,$B21,'AEOLUS'!$M$6:$M$205,설정!$E$8)+COUNTIFS('MELICERTES'!$B$6:$B$205,$B21,'MELICERTES'!$M$6:$M$205,설정!$E$8)+COUNTIFS('NELEUS'!$B$6:$B$205,$B21,'NELEUS'!$M$6:$M$205,설정!$E$8)+COUNTIFS('ONEIROI'!$B$6:$B$205,$B21,'ONEIROI'!$M$6:$M$205,설정!$E$8))</f>
        <v/>
      </c>
      <c r="N21" s="58">
        <f>IF(OR($B21="",설정!$E$9=""),"",COUNTIFS('AEOLUS'!$B$6:$B$205,$B21,'AEOLUS'!$M$6:$M$205,설정!$E$9)+COUNTIFS('MELICERTES'!$B$6:$B$205,$B21,'MELICERTES'!$M$6:$M$205,설정!$E$9)+COUNTIFS('NELEUS'!$B$6:$B$205,$B21,'NELEUS'!$M$6:$M$205,설정!$E$9)+COUNTIFS('ONEIROI'!$B$6:$B$205,$B21,'ONEIROI'!$M$6:$M$205,설정!$E$9))</f>
        <v/>
      </c>
      <c r="O21" s="58">
        <f>IF(OR($B21="",설정!$E$10=""),"",COUNTIFS('AEOLUS'!$B$6:$B$205,$B21,'AEOLUS'!$M$6:$M$205,설정!$E$10)+COUNTIFS('MELICERTES'!$B$6:$B$205,$B21,'MELICERTES'!$M$6:$M$205,설정!$E$10)+COUNTIFS('NELEUS'!$B$6:$B$205,$B21,'NELEUS'!$M$6:$M$205,설정!$E$10)+COUNTIFS('ONEIROI'!$B$6:$B$205,$B21,'ONEIROI'!$M$6:$M$205,설정!$E$10))</f>
        <v/>
      </c>
      <c r="P21" s="58">
        <f>IF(OR($B21="",설정!$E$11=""),"",COUNTIFS('AEOLUS'!$B$6:$B$205,$B21,'AEOLUS'!$M$6:$M$205,설정!$E$11)+COUNTIFS('MELICERTES'!$B$6:$B$205,$B21,'MELICERTES'!$M$6:$M$205,설정!$E$11)+COUNTIFS('NELEUS'!$B$6:$B$205,$B21,'NELEUS'!$M$6:$M$205,설정!$E$11)+COUNTIFS('ONEIROI'!$B$6:$B$205,$B21,'ONEIROI'!$M$6:$M$205,설정!$E$11))</f>
        <v/>
      </c>
      <c r="Q21" s="58">
        <f>IF(OR($B21="",설정!$E$12=""),"",COUNTIFS('AEOLUS'!$B$6:$B$205,$B21,'AEOLUS'!$M$6:$M$205,설정!$E$12)+COUNTIFS('MELICERTES'!$B$6:$B$205,$B21,'MELICERTES'!$M$6:$M$205,설정!$E$12)+COUNTIFS('NELEUS'!$B$6:$B$205,$B21,'NELEUS'!$M$6:$M$205,설정!$E$12)+COUNTIFS('ONEIROI'!$B$6:$B$205,$B21,'ONEIROI'!$M$6:$M$205,설정!$E$12))</f>
        <v/>
      </c>
      <c r="R21" s="58">
        <f>IF($B21="","",COUNTIFS('AEOLUS'!$B$6:$B$205,$B21,'AEOLUS'!$AI$6:$AI$205,"&gt;0")+COUNTIFS('MELICERTES'!$B$6:$B$205,$B21,'MELICERTES'!$AI$6:$AI$205,"&gt;0")+COUNTIFS('NELEUS'!$B$6:$B$205,$B21,'NELEUS'!$AI$6:$AI$205,"&gt;0")+COUNTIFS('ONEIROI'!$B$6:$B$205,$B21,'ONEIROI'!$AI$6:$AI$205,"&gt;0"))</f>
        <v/>
      </c>
      <c r="S21" s="53">
        <f>IF($B21="","",SUMIFS('AEOLUS'!$S$6:$S$205,'AEOLUS'!$B$6:$B$205,$B21,'AEOLUS'!$AK$6:$AK$205,1)+SUMIFS('MELICERTES'!$S$6:$S$205,'MELICERTES'!$B$6:$B$205,$B21,'MELICERTES'!$AK$6:$AK$205,1)+SUMIFS('NELEUS'!$S$6:$S$205,'NELEUS'!$B$6:$B$205,$B21,'NELEUS'!$AK$6:$AK$205,1)+SUMIFS('ONEIROI'!$S$6:$S$205,'ONEIROI'!$B$6:$B$205,$B21,'ONEIROI'!$AK$6:$AK$205,1))</f>
        <v/>
      </c>
      <c r="T21" s="36" t="inlineStr">
        <is>
          <t>옥슨 견적번호로 임시 표기 (Your ref: E-MAIL). 견적서 17품목 중 6개는 기존 RFQ로 묶음</t>
        </is>
      </c>
    </row>
    <row r="22">
      <c r="A22" s="34" t="inlineStr">
        <is>
          <t>-</t>
        </is>
      </c>
      <c r="B22" s="34" t="inlineStr">
        <is>
          <t>IOB-AEL-26-1014(OWS)</t>
        </is>
      </c>
      <c r="C22" s="36" t="inlineStr">
        <is>
          <t>SKF MARINE OWS (HycaSep element)</t>
        </is>
      </c>
      <c r="D22" s="34" t="inlineStr">
        <is>
          <t>Oily Water Separator</t>
        </is>
      </c>
      <c r="E22" s="56" t="n"/>
      <c r="F22" s="36" t="inlineStr">
        <is>
          <t>AEOLUS</t>
        </is>
      </c>
      <c r="G22" s="34" t="n">
        <v>1</v>
      </c>
      <c r="H22" s="58">
        <f>IF($B22="","",COUNTIFS('AEOLUS'!$B$6:$B$205,$B22,'AEOLUS'!$AJ$6:$AJ$205,1)+COUNTIFS('MELICERTES'!$B$6:$B$205,$B22,'MELICERTES'!$AJ$6:$AJ$205,1)+COUNTIFS('NELEUS'!$B$6:$B$205,$B22,'NELEUS'!$AJ$6:$AJ$205,1)+COUNTIFS('ONEIROI'!$B$6:$B$205,$B22,'ONEIROI'!$AJ$6:$AJ$205,1))</f>
        <v/>
      </c>
      <c r="I22" s="58">
        <f>IF(OR($B22="",G22=""),"",G22-H22)</f>
        <v/>
      </c>
      <c r="J22" s="58">
        <f>IF(OR($B22="",설정!$E$5=""),"",COUNTIFS('AEOLUS'!$B$6:$B$205,$B22,'AEOLUS'!$M$6:$M$205,설정!$E$5)+COUNTIFS('MELICERTES'!$B$6:$B$205,$B22,'MELICERTES'!$M$6:$M$205,설정!$E$5)+COUNTIFS('NELEUS'!$B$6:$B$205,$B22,'NELEUS'!$M$6:$M$205,설정!$E$5)+COUNTIFS('ONEIROI'!$B$6:$B$205,$B22,'ONEIROI'!$M$6:$M$205,설정!$E$5))</f>
        <v/>
      </c>
      <c r="K22" s="58">
        <f>IF(OR($B22="",설정!$E$6=""),"",COUNTIFS('AEOLUS'!$B$6:$B$205,$B22,'AEOLUS'!$M$6:$M$205,설정!$E$6)+COUNTIFS('MELICERTES'!$B$6:$B$205,$B22,'MELICERTES'!$M$6:$M$205,설정!$E$6)+COUNTIFS('NELEUS'!$B$6:$B$205,$B22,'NELEUS'!$M$6:$M$205,설정!$E$6)+COUNTIFS('ONEIROI'!$B$6:$B$205,$B22,'ONEIROI'!$M$6:$M$205,설정!$E$6))</f>
        <v/>
      </c>
      <c r="L22" s="58">
        <f>IF(OR($B22="",설정!$E$7=""),"",COUNTIFS('AEOLUS'!$B$6:$B$205,$B22,'AEOLUS'!$M$6:$M$205,설정!$E$7)+COUNTIFS('MELICERTES'!$B$6:$B$205,$B22,'MELICERTES'!$M$6:$M$205,설정!$E$7)+COUNTIFS('NELEUS'!$B$6:$B$205,$B22,'NELEUS'!$M$6:$M$205,설정!$E$7)+COUNTIFS('ONEIROI'!$B$6:$B$205,$B22,'ONEIROI'!$M$6:$M$205,설정!$E$7))</f>
        <v/>
      </c>
      <c r="M22" s="58">
        <f>IF(OR($B22="",설정!$E$8=""),"",COUNTIFS('AEOLUS'!$B$6:$B$205,$B22,'AEOLUS'!$M$6:$M$205,설정!$E$8)+COUNTIFS('MELICERTES'!$B$6:$B$205,$B22,'MELICERTES'!$M$6:$M$205,설정!$E$8)+COUNTIFS('NELEUS'!$B$6:$B$205,$B22,'NELEUS'!$M$6:$M$205,설정!$E$8)+COUNTIFS('ONEIROI'!$B$6:$B$205,$B22,'ONEIROI'!$M$6:$M$205,설정!$E$8))</f>
        <v/>
      </c>
      <c r="N22" s="58">
        <f>IF(OR($B22="",설정!$E$9=""),"",COUNTIFS('AEOLUS'!$B$6:$B$205,$B22,'AEOLUS'!$M$6:$M$205,설정!$E$9)+COUNTIFS('MELICERTES'!$B$6:$B$205,$B22,'MELICERTES'!$M$6:$M$205,설정!$E$9)+COUNTIFS('NELEUS'!$B$6:$B$205,$B22,'NELEUS'!$M$6:$M$205,설정!$E$9)+COUNTIFS('ONEIROI'!$B$6:$B$205,$B22,'ONEIROI'!$M$6:$M$205,설정!$E$9))</f>
        <v/>
      </c>
      <c r="O22" s="58">
        <f>IF(OR($B22="",설정!$E$10=""),"",COUNTIFS('AEOLUS'!$B$6:$B$205,$B22,'AEOLUS'!$M$6:$M$205,설정!$E$10)+COUNTIFS('MELICERTES'!$B$6:$B$205,$B22,'MELICERTES'!$M$6:$M$205,설정!$E$10)+COUNTIFS('NELEUS'!$B$6:$B$205,$B22,'NELEUS'!$M$6:$M$205,설정!$E$10)+COUNTIFS('ONEIROI'!$B$6:$B$205,$B22,'ONEIROI'!$M$6:$M$205,설정!$E$10))</f>
        <v/>
      </c>
      <c r="P22" s="58">
        <f>IF(OR($B22="",설정!$E$11=""),"",COUNTIFS('AEOLUS'!$B$6:$B$205,$B22,'AEOLUS'!$M$6:$M$205,설정!$E$11)+COUNTIFS('MELICERTES'!$B$6:$B$205,$B22,'MELICERTES'!$M$6:$M$205,설정!$E$11)+COUNTIFS('NELEUS'!$B$6:$B$205,$B22,'NELEUS'!$M$6:$M$205,설정!$E$11)+COUNTIFS('ONEIROI'!$B$6:$B$205,$B22,'ONEIROI'!$M$6:$M$205,설정!$E$11))</f>
        <v/>
      </c>
      <c r="Q22" s="58">
        <f>IF(OR($B22="",설정!$E$12=""),"",COUNTIFS('AEOLUS'!$B$6:$B$205,$B22,'AEOLUS'!$M$6:$M$205,설정!$E$12)+COUNTIFS('MELICERTES'!$B$6:$B$205,$B22,'MELICERTES'!$M$6:$M$205,설정!$E$12)+COUNTIFS('NELEUS'!$B$6:$B$205,$B22,'NELEUS'!$M$6:$M$205,설정!$E$12)+COUNTIFS('ONEIROI'!$B$6:$B$205,$B22,'ONEIROI'!$M$6:$M$205,설정!$E$12))</f>
        <v/>
      </c>
      <c r="R22" s="58">
        <f>IF($B22="","",COUNTIFS('AEOLUS'!$B$6:$B$205,$B22,'AEOLUS'!$AI$6:$AI$205,"&gt;0")+COUNTIFS('MELICERTES'!$B$6:$B$205,$B22,'MELICERTES'!$AI$6:$AI$205,"&gt;0")+COUNTIFS('NELEUS'!$B$6:$B$205,$B22,'NELEUS'!$AI$6:$AI$205,"&gt;0")+COUNTIFS('ONEIROI'!$B$6:$B$205,$B22,'ONEIROI'!$AI$6:$AI$205,"&gt;0"))</f>
        <v/>
      </c>
      <c r="S22" s="53">
        <f>IF($B22="","",SUMIFS('AEOLUS'!$S$6:$S$205,'AEOLUS'!$B$6:$B$205,$B22,'AEOLUS'!$AK$6:$AK$205,1)+SUMIFS('MELICERTES'!$S$6:$S$205,'MELICERTES'!$B$6:$B$205,$B22,'MELICERTES'!$AK$6:$AK$205,1)+SUMIFS('NELEUS'!$S$6:$S$205,'NELEUS'!$B$6:$B$205,$B22,'NELEUS'!$AK$6:$AK$205,1)+SUMIFS('ONEIROI'!$S$6:$S$205,'ONEIROI'!$B$6:$B$205,$B22,'ONEIROI'!$AK$6:$AK$205,1))</f>
        <v/>
      </c>
      <c r="T22" s="36" t="inlineStr">
        <is>
          <t>옥슨 견적번호로 임시 표기 (Your ref: E-MAIL)</t>
        </is>
      </c>
    </row>
    <row r="23">
      <c r="A23" s="34" t="inlineStr">
        <is>
          <t>002</t>
        </is>
      </c>
      <c r="B23" s="34" t="inlineStr">
        <is>
          <t>002 - UPS battery</t>
        </is>
      </c>
      <c r="C23" s="36" t="inlineStr">
        <is>
          <t>UPS battery</t>
        </is>
      </c>
      <c r="D23" s="34" t="inlineStr">
        <is>
          <t>UPS</t>
        </is>
      </c>
      <c r="E23" s="56" t="n"/>
      <c r="F23" s="36" t="inlineStr">
        <is>
          <t>NELEUS</t>
        </is>
      </c>
      <c r="G23" s="34" t="n">
        <v>1</v>
      </c>
      <c r="H23" s="58">
        <f>IF($B23="","",COUNTIFS('AEOLUS'!$B$6:$B$205,$B23,'AEOLUS'!$AJ$6:$AJ$205,1)+COUNTIFS('MELICERTES'!$B$6:$B$205,$B23,'MELICERTES'!$AJ$6:$AJ$205,1)+COUNTIFS('NELEUS'!$B$6:$B$205,$B23,'NELEUS'!$AJ$6:$AJ$205,1)+COUNTIFS('ONEIROI'!$B$6:$B$205,$B23,'ONEIROI'!$AJ$6:$AJ$205,1))</f>
        <v/>
      </c>
      <c r="I23" s="58">
        <f>IF(OR($B23="",G23=""),"",G23-H23)</f>
        <v/>
      </c>
      <c r="J23" s="58">
        <f>IF(OR($B23="",설정!$E$5=""),"",COUNTIFS('AEOLUS'!$B$6:$B$205,$B23,'AEOLUS'!$M$6:$M$205,설정!$E$5)+COUNTIFS('MELICERTES'!$B$6:$B$205,$B23,'MELICERTES'!$M$6:$M$205,설정!$E$5)+COUNTIFS('NELEUS'!$B$6:$B$205,$B23,'NELEUS'!$M$6:$M$205,설정!$E$5)+COUNTIFS('ONEIROI'!$B$6:$B$205,$B23,'ONEIROI'!$M$6:$M$205,설정!$E$5))</f>
        <v/>
      </c>
      <c r="K23" s="58">
        <f>IF(OR($B23="",설정!$E$6=""),"",COUNTIFS('AEOLUS'!$B$6:$B$205,$B23,'AEOLUS'!$M$6:$M$205,설정!$E$6)+COUNTIFS('MELICERTES'!$B$6:$B$205,$B23,'MELICERTES'!$M$6:$M$205,설정!$E$6)+COUNTIFS('NELEUS'!$B$6:$B$205,$B23,'NELEUS'!$M$6:$M$205,설정!$E$6)+COUNTIFS('ONEIROI'!$B$6:$B$205,$B23,'ONEIROI'!$M$6:$M$205,설정!$E$6))</f>
        <v/>
      </c>
      <c r="L23" s="58">
        <f>IF(OR($B23="",설정!$E$7=""),"",COUNTIFS('AEOLUS'!$B$6:$B$205,$B23,'AEOLUS'!$M$6:$M$205,설정!$E$7)+COUNTIFS('MELICERTES'!$B$6:$B$205,$B23,'MELICERTES'!$M$6:$M$205,설정!$E$7)+COUNTIFS('NELEUS'!$B$6:$B$205,$B23,'NELEUS'!$M$6:$M$205,설정!$E$7)+COUNTIFS('ONEIROI'!$B$6:$B$205,$B23,'ONEIROI'!$M$6:$M$205,설정!$E$7))</f>
        <v/>
      </c>
      <c r="M23" s="58">
        <f>IF(OR($B23="",설정!$E$8=""),"",COUNTIFS('AEOLUS'!$B$6:$B$205,$B23,'AEOLUS'!$M$6:$M$205,설정!$E$8)+COUNTIFS('MELICERTES'!$B$6:$B$205,$B23,'MELICERTES'!$M$6:$M$205,설정!$E$8)+COUNTIFS('NELEUS'!$B$6:$B$205,$B23,'NELEUS'!$M$6:$M$205,설정!$E$8)+COUNTIFS('ONEIROI'!$B$6:$B$205,$B23,'ONEIROI'!$M$6:$M$205,설정!$E$8))</f>
        <v/>
      </c>
      <c r="N23" s="58">
        <f>IF(OR($B23="",설정!$E$9=""),"",COUNTIFS('AEOLUS'!$B$6:$B$205,$B23,'AEOLUS'!$M$6:$M$205,설정!$E$9)+COUNTIFS('MELICERTES'!$B$6:$B$205,$B23,'MELICERTES'!$M$6:$M$205,설정!$E$9)+COUNTIFS('NELEUS'!$B$6:$B$205,$B23,'NELEUS'!$M$6:$M$205,설정!$E$9)+COUNTIFS('ONEIROI'!$B$6:$B$205,$B23,'ONEIROI'!$M$6:$M$205,설정!$E$9))</f>
        <v/>
      </c>
      <c r="O23" s="58">
        <f>IF(OR($B23="",설정!$E$10=""),"",COUNTIFS('AEOLUS'!$B$6:$B$205,$B23,'AEOLUS'!$M$6:$M$205,설정!$E$10)+COUNTIFS('MELICERTES'!$B$6:$B$205,$B23,'MELICERTES'!$M$6:$M$205,설정!$E$10)+COUNTIFS('NELEUS'!$B$6:$B$205,$B23,'NELEUS'!$M$6:$M$205,설정!$E$10)+COUNTIFS('ONEIROI'!$B$6:$B$205,$B23,'ONEIROI'!$M$6:$M$205,설정!$E$10))</f>
        <v/>
      </c>
      <c r="P23" s="58">
        <f>IF(OR($B23="",설정!$E$11=""),"",COUNTIFS('AEOLUS'!$B$6:$B$205,$B23,'AEOLUS'!$M$6:$M$205,설정!$E$11)+COUNTIFS('MELICERTES'!$B$6:$B$205,$B23,'MELICERTES'!$M$6:$M$205,설정!$E$11)+COUNTIFS('NELEUS'!$B$6:$B$205,$B23,'NELEUS'!$M$6:$M$205,설정!$E$11)+COUNTIFS('ONEIROI'!$B$6:$B$205,$B23,'ONEIROI'!$M$6:$M$205,설정!$E$11))</f>
        <v/>
      </c>
      <c r="Q23" s="58">
        <f>IF(OR($B23="",설정!$E$12=""),"",COUNTIFS('AEOLUS'!$B$6:$B$205,$B23,'AEOLUS'!$M$6:$M$205,설정!$E$12)+COUNTIFS('MELICERTES'!$B$6:$B$205,$B23,'MELICERTES'!$M$6:$M$205,설정!$E$12)+COUNTIFS('NELEUS'!$B$6:$B$205,$B23,'NELEUS'!$M$6:$M$205,설정!$E$12)+COUNTIFS('ONEIROI'!$B$6:$B$205,$B23,'ONEIROI'!$M$6:$M$205,설정!$E$12))</f>
        <v/>
      </c>
      <c r="R23" s="58">
        <f>IF($B23="","",COUNTIFS('AEOLUS'!$B$6:$B$205,$B23,'AEOLUS'!$AI$6:$AI$205,"&gt;0")+COUNTIFS('MELICERTES'!$B$6:$B$205,$B23,'MELICERTES'!$AI$6:$AI$205,"&gt;0")+COUNTIFS('NELEUS'!$B$6:$B$205,$B23,'NELEUS'!$AI$6:$AI$205,"&gt;0")+COUNTIFS('ONEIROI'!$B$6:$B$205,$B23,'ONEIROI'!$AI$6:$AI$205,"&gt;0"))</f>
        <v/>
      </c>
      <c r="S23" s="53">
        <f>IF($B23="","",SUMIFS('AEOLUS'!$S$6:$S$205,'AEOLUS'!$B$6:$B$205,$B23,'AEOLUS'!$AK$6:$AK$205,1)+SUMIFS('MELICERTES'!$S$6:$S$205,'MELICERTES'!$B$6:$B$205,$B23,'MELICERTES'!$AK$6:$AK$205,1)+SUMIFS('NELEUS'!$S$6:$S$205,'NELEUS'!$B$6:$B$205,$B23,'NELEUS'!$AK$6:$AK$205,1)+SUMIFS('ONEIROI'!$S$6:$S$205,'ONEIROI'!$B$6:$B$205,$B23,'ONEIROI'!$AK$6:$AK$205,1))</f>
        <v/>
      </c>
      <c r="T23" s="36" t="inlineStr">
        <is>
          <t>RFQ 번호 없음 – AFS 견적서 참조번호(002)</t>
        </is>
      </c>
    </row>
    <row r="24">
      <c r="A24" s="34" t="inlineStr">
        <is>
          <t>B01</t>
        </is>
      </c>
      <c r="B24" s="34" t="inlineStr">
        <is>
          <t>BOSUNG-01</t>
        </is>
      </c>
      <c r="C24" s="36" t="inlineStr">
        <is>
          <t>DONGHWA PNEUTEC (control air compressor)</t>
        </is>
      </c>
      <c r="D24" s="34" t="inlineStr">
        <is>
          <t>Control Air Compressor</t>
        </is>
      </c>
      <c r="E24" s="56" t="n">
        <v>46314</v>
      </c>
      <c r="F24" s="36" t="inlineStr">
        <is>
          <t>AEOLUS / MELICERTES / NELEUS</t>
        </is>
      </c>
      <c r="G24" s="34" t="n">
        <v>13</v>
      </c>
      <c r="H24" s="58">
        <f>IF($B24="","",COUNTIFS('AEOLUS'!$B$6:$B$205,$B24,'AEOLUS'!$AJ$6:$AJ$205,1)+COUNTIFS('MELICERTES'!$B$6:$B$205,$B24,'MELICERTES'!$AJ$6:$AJ$205,1)+COUNTIFS('NELEUS'!$B$6:$B$205,$B24,'NELEUS'!$AJ$6:$AJ$205,1)+COUNTIFS('ONEIROI'!$B$6:$B$205,$B24,'ONEIROI'!$AJ$6:$AJ$205,1))</f>
        <v/>
      </c>
      <c r="I24" s="58">
        <f>IF(OR($B24="",G24=""),"",G24-H24)</f>
        <v/>
      </c>
      <c r="J24" s="58">
        <f>IF(OR($B24="",설정!$E$5=""),"",COUNTIFS('AEOLUS'!$B$6:$B$205,$B24,'AEOLUS'!$M$6:$M$205,설정!$E$5)+COUNTIFS('MELICERTES'!$B$6:$B$205,$B24,'MELICERTES'!$M$6:$M$205,설정!$E$5)+COUNTIFS('NELEUS'!$B$6:$B$205,$B24,'NELEUS'!$M$6:$M$205,설정!$E$5)+COUNTIFS('ONEIROI'!$B$6:$B$205,$B24,'ONEIROI'!$M$6:$M$205,설정!$E$5))</f>
        <v/>
      </c>
      <c r="K24" s="58">
        <f>IF(OR($B24="",설정!$E$6=""),"",COUNTIFS('AEOLUS'!$B$6:$B$205,$B24,'AEOLUS'!$M$6:$M$205,설정!$E$6)+COUNTIFS('MELICERTES'!$B$6:$B$205,$B24,'MELICERTES'!$M$6:$M$205,설정!$E$6)+COUNTIFS('NELEUS'!$B$6:$B$205,$B24,'NELEUS'!$M$6:$M$205,설정!$E$6)+COUNTIFS('ONEIROI'!$B$6:$B$205,$B24,'ONEIROI'!$M$6:$M$205,설정!$E$6))</f>
        <v/>
      </c>
      <c r="L24" s="58">
        <f>IF(OR($B24="",설정!$E$7=""),"",COUNTIFS('AEOLUS'!$B$6:$B$205,$B24,'AEOLUS'!$M$6:$M$205,설정!$E$7)+COUNTIFS('MELICERTES'!$B$6:$B$205,$B24,'MELICERTES'!$M$6:$M$205,설정!$E$7)+COUNTIFS('NELEUS'!$B$6:$B$205,$B24,'NELEUS'!$M$6:$M$205,설정!$E$7)+COUNTIFS('ONEIROI'!$B$6:$B$205,$B24,'ONEIROI'!$M$6:$M$205,설정!$E$7))</f>
        <v/>
      </c>
      <c r="M24" s="58">
        <f>IF(OR($B24="",설정!$E$8=""),"",COUNTIFS('AEOLUS'!$B$6:$B$205,$B24,'AEOLUS'!$M$6:$M$205,설정!$E$8)+COUNTIFS('MELICERTES'!$B$6:$B$205,$B24,'MELICERTES'!$M$6:$M$205,설정!$E$8)+COUNTIFS('NELEUS'!$B$6:$B$205,$B24,'NELEUS'!$M$6:$M$205,설정!$E$8)+COUNTIFS('ONEIROI'!$B$6:$B$205,$B24,'ONEIROI'!$M$6:$M$205,설정!$E$8))</f>
        <v/>
      </c>
      <c r="N24" s="58">
        <f>IF(OR($B24="",설정!$E$9=""),"",COUNTIFS('AEOLUS'!$B$6:$B$205,$B24,'AEOLUS'!$M$6:$M$205,설정!$E$9)+COUNTIFS('MELICERTES'!$B$6:$B$205,$B24,'MELICERTES'!$M$6:$M$205,설정!$E$9)+COUNTIFS('NELEUS'!$B$6:$B$205,$B24,'NELEUS'!$M$6:$M$205,설정!$E$9)+COUNTIFS('ONEIROI'!$B$6:$B$205,$B24,'ONEIROI'!$M$6:$M$205,설정!$E$9))</f>
        <v/>
      </c>
      <c r="O24" s="58">
        <f>IF(OR($B24="",설정!$E$10=""),"",COUNTIFS('AEOLUS'!$B$6:$B$205,$B24,'AEOLUS'!$M$6:$M$205,설정!$E$10)+COUNTIFS('MELICERTES'!$B$6:$B$205,$B24,'MELICERTES'!$M$6:$M$205,설정!$E$10)+COUNTIFS('NELEUS'!$B$6:$B$205,$B24,'NELEUS'!$M$6:$M$205,설정!$E$10)+COUNTIFS('ONEIROI'!$B$6:$B$205,$B24,'ONEIROI'!$M$6:$M$205,설정!$E$10))</f>
        <v/>
      </c>
      <c r="P24" s="58">
        <f>IF(OR($B24="",설정!$E$11=""),"",COUNTIFS('AEOLUS'!$B$6:$B$205,$B24,'AEOLUS'!$M$6:$M$205,설정!$E$11)+COUNTIFS('MELICERTES'!$B$6:$B$205,$B24,'MELICERTES'!$M$6:$M$205,설정!$E$11)+COUNTIFS('NELEUS'!$B$6:$B$205,$B24,'NELEUS'!$M$6:$M$205,설정!$E$11)+COUNTIFS('ONEIROI'!$B$6:$B$205,$B24,'ONEIROI'!$M$6:$M$205,설정!$E$11))</f>
        <v/>
      </c>
      <c r="Q24" s="58">
        <f>IF(OR($B24="",설정!$E$12=""),"",COUNTIFS('AEOLUS'!$B$6:$B$205,$B24,'AEOLUS'!$M$6:$M$205,설정!$E$12)+COUNTIFS('MELICERTES'!$B$6:$B$205,$B24,'MELICERTES'!$M$6:$M$205,설정!$E$12)+COUNTIFS('NELEUS'!$B$6:$B$205,$B24,'NELEUS'!$M$6:$M$205,설정!$E$12)+COUNTIFS('ONEIROI'!$B$6:$B$205,$B24,'ONEIROI'!$M$6:$M$205,설정!$E$12))</f>
        <v/>
      </c>
      <c r="R24" s="58">
        <f>IF($B24="","",COUNTIFS('AEOLUS'!$B$6:$B$205,$B24,'AEOLUS'!$AI$6:$AI$205,"&gt;0")+COUNTIFS('MELICERTES'!$B$6:$B$205,$B24,'MELICERTES'!$AI$6:$AI$205,"&gt;0")+COUNTIFS('NELEUS'!$B$6:$B$205,$B24,'NELEUS'!$AI$6:$AI$205,"&gt;0")+COUNTIFS('ONEIROI'!$B$6:$B$205,$B24,'ONEIROI'!$AI$6:$AI$205,"&gt;0"))</f>
        <v/>
      </c>
      <c r="S24" s="53">
        <f>IF($B24="","",SUMIFS('AEOLUS'!$S$6:$S$205,'AEOLUS'!$B$6:$B$205,$B24,'AEOLUS'!$AK$6:$AK$205,1)+SUMIFS('MELICERTES'!$S$6:$S$205,'MELICERTES'!$B$6:$B$205,$B24,'MELICERTES'!$AK$6:$AK$205,1)+SUMIFS('NELEUS'!$S$6:$S$205,'NELEUS'!$B$6:$B$205,$B24,'NELEUS'!$AK$6:$AK$205,1)+SUMIFS('ONEIROI'!$S$6:$S$205,'ONEIROI'!$B$6:$B$205,$B24,'ONEIROI'!$AK$6:$AK$205,1))</f>
        <v/>
      </c>
      <c r="T24" s="36" t="inlineStr">
        <is>
          <t>보성엔지니어링 앞 RFQ (RFQ No. 칸 공란 → BOSUNG-번호로 표기)</t>
        </is>
      </c>
    </row>
    <row r="25">
      <c r="A25" s="34" t="inlineStr">
        <is>
          <t>B02</t>
        </is>
      </c>
      <c r="B25" s="34" t="inlineStr">
        <is>
          <t>BOSUNG-02</t>
        </is>
      </c>
      <c r="C25" s="36" t="inlineStr">
        <is>
          <t>SAMKUN CENTURY (UV sterilizer)</t>
        </is>
      </c>
      <c r="D25" s="34" t="inlineStr">
        <is>
          <t>UV Sterilizer</t>
        </is>
      </c>
      <c r="E25" s="56" t="n">
        <v>46314</v>
      </c>
      <c r="F25" s="36" t="inlineStr">
        <is>
          <t>MELICERTES</t>
        </is>
      </c>
      <c r="G25" s="34" t="n">
        <v>11</v>
      </c>
      <c r="H25" s="58">
        <f>IF($B25="","",COUNTIFS('AEOLUS'!$B$6:$B$205,$B25,'AEOLUS'!$AJ$6:$AJ$205,1)+COUNTIFS('MELICERTES'!$B$6:$B$205,$B25,'MELICERTES'!$AJ$6:$AJ$205,1)+COUNTIFS('NELEUS'!$B$6:$B$205,$B25,'NELEUS'!$AJ$6:$AJ$205,1)+COUNTIFS('ONEIROI'!$B$6:$B$205,$B25,'ONEIROI'!$AJ$6:$AJ$205,1))</f>
        <v/>
      </c>
      <c r="I25" s="58">
        <f>IF(OR($B25="",G25=""),"",G25-H25)</f>
        <v/>
      </c>
      <c r="J25" s="58">
        <f>IF(OR($B25="",설정!$E$5=""),"",COUNTIFS('AEOLUS'!$B$6:$B$205,$B25,'AEOLUS'!$M$6:$M$205,설정!$E$5)+COUNTIFS('MELICERTES'!$B$6:$B$205,$B25,'MELICERTES'!$M$6:$M$205,설정!$E$5)+COUNTIFS('NELEUS'!$B$6:$B$205,$B25,'NELEUS'!$M$6:$M$205,설정!$E$5)+COUNTIFS('ONEIROI'!$B$6:$B$205,$B25,'ONEIROI'!$M$6:$M$205,설정!$E$5))</f>
        <v/>
      </c>
      <c r="K25" s="58">
        <f>IF(OR($B25="",설정!$E$6=""),"",COUNTIFS('AEOLUS'!$B$6:$B$205,$B25,'AEOLUS'!$M$6:$M$205,설정!$E$6)+COUNTIFS('MELICERTES'!$B$6:$B$205,$B25,'MELICERTES'!$M$6:$M$205,설정!$E$6)+COUNTIFS('NELEUS'!$B$6:$B$205,$B25,'NELEUS'!$M$6:$M$205,설정!$E$6)+COUNTIFS('ONEIROI'!$B$6:$B$205,$B25,'ONEIROI'!$M$6:$M$205,설정!$E$6))</f>
        <v/>
      </c>
      <c r="L25" s="58">
        <f>IF(OR($B25="",설정!$E$7=""),"",COUNTIFS('AEOLUS'!$B$6:$B$205,$B25,'AEOLUS'!$M$6:$M$205,설정!$E$7)+COUNTIFS('MELICERTES'!$B$6:$B$205,$B25,'MELICERTES'!$M$6:$M$205,설정!$E$7)+COUNTIFS('NELEUS'!$B$6:$B$205,$B25,'NELEUS'!$M$6:$M$205,설정!$E$7)+COUNTIFS('ONEIROI'!$B$6:$B$205,$B25,'ONEIROI'!$M$6:$M$205,설정!$E$7))</f>
        <v/>
      </c>
      <c r="M25" s="58">
        <f>IF(OR($B25="",설정!$E$8=""),"",COUNTIFS('AEOLUS'!$B$6:$B$205,$B25,'AEOLUS'!$M$6:$M$205,설정!$E$8)+COUNTIFS('MELICERTES'!$B$6:$B$205,$B25,'MELICERTES'!$M$6:$M$205,설정!$E$8)+COUNTIFS('NELEUS'!$B$6:$B$205,$B25,'NELEUS'!$M$6:$M$205,설정!$E$8)+COUNTIFS('ONEIROI'!$B$6:$B$205,$B25,'ONEIROI'!$M$6:$M$205,설정!$E$8))</f>
        <v/>
      </c>
      <c r="N25" s="58">
        <f>IF(OR($B25="",설정!$E$9=""),"",COUNTIFS('AEOLUS'!$B$6:$B$205,$B25,'AEOLUS'!$M$6:$M$205,설정!$E$9)+COUNTIFS('MELICERTES'!$B$6:$B$205,$B25,'MELICERTES'!$M$6:$M$205,설정!$E$9)+COUNTIFS('NELEUS'!$B$6:$B$205,$B25,'NELEUS'!$M$6:$M$205,설정!$E$9)+COUNTIFS('ONEIROI'!$B$6:$B$205,$B25,'ONEIROI'!$M$6:$M$205,설정!$E$9))</f>
        <v/>
      </c>
      <c r="O25" s="58">
        <f>IF(OR($B25="",설정!$E$10=""),"",COUNTIFS('AEOLUS'!$B$6:$B$205,$B25,'AEOLUS'!$M$6:$M$205,설정!$E$10)+COUNTIFS('MELICERTES'!$B$6:$B$205,$B25,'MELICERTES'!$M$6:$M$205,설정!$E$10)+COUNTIFS('NELEUS'!$B$6:$B$205,$B25,'NELEUS'!$M$6:$M$205,설정!$E$10)+COUNTIFS('ONEIROI'!$B$6:$B$205,$B25,'ONEIROI'!$M$6:$M$205,설정!$E$10))</f>
        <v/>
      </c>
      <c r="P25" s="58">
        <f>IF(OR($B25="",설정!$E$11=""),"",COUNTIFS('AEOLUS'!$B$6:$B$205,$B25,'AEOLUS'!$M$6:$M$205,설정!$E$11)+COUNTIFS('MELICERTES'!$B$6:$B$205,$B25,'MELICERTES'!$M$6:$M$205,설정!$E$11)+COUNTIFS('NELEUS'!$B$6:$B$205,$B25,'NELEUS'!$M$6:$M$205,설정!$E$11)+COUNTIFS('ONEIROI'!$B$6:$B$205,$B25,'ONEIROI'!$M$6:$M$205,설정!$E$11))</f>
        <v/>
      </c>
      <c r="Q25" s="58">
        <f>IF(OR($B25="",설정!$E$12=""),"",COUNTIFS('AEOLUS'!$B$6:$B$205,$B25,'AEOLUS'!$M$6:$M$205,설정!$E$12)+COUNTIFS('MELICERTES'!$B$6:$B$205,$B25,'MELICERTES'!$M$6:$M$205,설정!$E$12)+COUNTIFS('NELEUS'!$B$6:$B$205,$B25,'NELEUS'!$M$6:$M$205,설정!$E$12)+COUNTIFS('ONEIROI'!$B$6:$B$205,$B25,'ONEIROI'!$M$6:$M$205,설정!$E$12))</f>
        <v/>
      </c>
      <c r="R25" s="58">
        <f>IF($B25="","",COUNTIFS('AEOLUS'!$B$6:$B$205,$B25,'AEOLUS'!$AI$6:$AI$205,"&gt;0")+COUNTIFS('MELICERTES'!$B$6:$B$205,$B25,'MELICERTES'!$AI$6:$AI$205,"&gt;0")+COUNTIFS('NELEUS'!$B$6:$B$205,$B25,'NELEUS'!$AI$6:$AI$205,"&gt;0")+COUNTIFS('ONEIROI'!$B$6:$B$205,$B25,'ONEIROI'!$AI$6:$AI$205,"&gt;0"))</f>
        <v/>
      </c>
      <c r="S25" s="53">
        <f>IF($B25="","",SUMIFS('AEOLUS'!$S$6:$S$205,'AEOLUS'!$B$6:$B$205,$B25,'AEOLUS'!$AK$6:$AK$205,1)+SUMIFS('MELICERTES'!$S$6:$S$205,'MELICERTES'!$B$6:$B$205,$B25,'MELICERTES'!$AK$6:$AK$205,1)+SUMIFS('NELEUS'!$S$6:$S$205,'NELEUS'!$B$6:$B$205,$B25,'NELEUS'!$AK$6:$AK$205,1)+SUMIFS('ONEIROI'!$S$6:$S$205,'ONEIROI'!$B$6:$B$205,$B25,'ONEIROI'!$AK$6:$AK$205,1))</f>
        <v/>
      </c>
      <c r="T25" s="36" t="inlineStr">
        <is>
          <t>보성엔지니어링 앞 RFQ (RFQ No. 칸 공란 → BOSUNG-번호로 표기)</t>
        </is>
      </c>
    </row>
    <row r="26">
      <c r="A26" s="34" t="inlineStr">
        <is>
          <t>B03</t>
        </is>
      </c>
      <c r="B26" s="34" t="inlineStr">
        <is>
          <t>BOSUNG-03</t>
        </is>
      </c>
      <c r="C26" s="36" t="inlineStr">
        <is>
          <t>JONG HAP MACHINERY (sewage treatment plant)</t>
        </is>
      </c>
      <c r="D26" s="34" t="inlineStr">
        <is>
          <t>Sewage Treatment Plant</t>
        </is>
      </c>
      <c r="E26" s="56" t="n">
        <v>46314</v>
      </c>
      <c r="F26" s="36" t="inlineStr">
        <is>
          <t>ONEIROI</t>
        </is>
      </c>
      <c r="G26" s="34" t="n">
        <v>11</v>
      </c>
      <c r="H26" s="58">
        <f>IF($B26="","",COUNTIFS('AEOLUS'!$B$6:$B$205,$B26,'AEOLUS'!$AJ$6:$AJ$205,1)+COUNTIFS('MELICERTES'!$B$6:$B$205,$B26,'MELICERTES'!$AJ$6:$AJ$205,1)+COUNTIFS('NELEUS'!$B$6:$B$205,$B26,'NELEUS'!$AJ$6:$AJ$205,1)+COUNTIFS('ONEIROI'!$B$6:$B$205,$B26,'ONEIROI'!$AJ$6:$AJ$205,1))</f>
        <v/>
      </c>
      <c r="I26" s="58">
        <f>IF(OR($B26="",G26=""),"",G26-H26)</f>
        <v/>
      </c>
      <c r="J26" s="58">
        <f>IF(OR($B26="",설정!$E$5=""),"",COUNTIFS('AEOLUS'!$B$6:$B$205,$B26,'AEOLUS'!$M$6:$M$205,설정!$E$5)+COUNTIFS('MELICERTES'!$B$6:$B$205,$B26,'MELICERTES'!$M$6:$M$205,설정!$E$5)+COUNTIFS('NELEUS'!$B$6:$B$205,$B26,'NELEUS'!$M$6:$M$205,설정!$E$5)+COUNTIFS('ONEIROI'!$B$6:$B$205,$B26,'ONEIROI'!$M$6:$M$205,설정!$E$5))</f>
        <v/>
      </c>
      <c r="K26" s="58">
        <f>IF(OR($B26="",설정!$E$6=""),"",COUNTIFS('AEOLUS'!$B$6:$B$205,$B26,'AEOLUS'!$M$6:$M$205,설정!$E$6)+COUNTIFS('MELICERTES'!$B$6:$B$205,$B26,'MELICERTES'!$M$6:$M$205,설정!$E$6)+COUNTIFS('NELEUS'!$B$6:$B$205,$B26,'NELEUS'!$M$6:$M$205,설정!$E$6)+COUNTIFS('ONEIROI'!$B$6:$B$205,$B26,'ONEIROI'!$M$6:$M$205,설정!$E$6))</f>
        <v/>
      </c>
      <c r="L26" s="58">
        <f>IF(OR($B26="",설정!$E$7=""),"",COUNTIFS('AEOLUS'!$B$6:$B$205,$B26,'AEOLUS'!$M$6:$M$205,설정!$E$7)+COUNTIFS('MELICERTES'!$B$6:$B$205,$B26,'MELICERTES'!$M$6:$M$205,설정!$E$7)+COUNTIFS('NELEUS'!$B$6:$B$205,$B26,'NELEUS'!$M$6:$M$205,설정!$E$7)+COUNTIFS('ONEIROI'!$B$6:$B$205,$B26,'ONEIROI'!$M$6:$M$205,설정!$E$7))</f>
        <v/>
      </c>
      <c r="M26" s="58">
        <f>IF(OR($B26="",설정!$E$8=""),"",COUNTIFS('AEOLUS'!$B$6:$B$205,$B26,'AEOLUS'!$M$6:$M$205,설정!$E$8)+COUNTIFS('MELICERTES'!$B$6:$B$205,$B26,'MELICERTES'!$M$6:$M$205,설정!$E$8)+COUNTIFS('NELEUS'!$B$6:$B$205,$B26,'NELEUS'!$M$6:$M$205,설정!$E$8)+COUNTIFS('ONEIROI'!$B$6:$B$205,$B26,'ONEIROI'!$M$6:$M$205,설정!$E$8))</f>
        <v/>
      </c>
      <c r="N26" s="58">
        <f>IF(OR($B26="",설정!$E$9=""),"",COUNTIFS('AEOLUS'!$B$6:$B$205,$B26,'AEOLUS'!$M$6:$M$205,설정!$E$9)+COUNTIFS('MELICERTES'!$B$6:$B$205,$B26,'MELICERTES'!$M$6:$M$205,설정!$E$9)+COUNTIFS('NELEUS'!$B$6:$B$205,$B26,'NELEUS'!$M$6:$M$205,설정!$E$9)+COUNTIFS('ONEIROI'!$B$6:$B$205,$B26,'ONEIROI'!$M$6:$M$205,설정!$E$9))</f>
        <v/>
      </c>
      <c r="O26" s="58">
        <f>IF(OR($B26="",설정!$E$10=""),"",COUNTIFS('AEOLUS'!$B$6:$B$205,$B26,'AEOLUS'!$M$6:$M$205,설정!$E$10)+COUNTIFS('MELICERTES'!$B$6:$B$205,$B26,'MELICERTES'!$M$6:$M$205,설정!$E$10)+COUNTIFS('NELEUS'!$B$6:$B$205,$B26,'NELEUS'!$M$6:$M$205,설정!$E$10)+COUNTIFS('ONEIROI'!$B$6:$B$205,$B26,'ONEIROI'!$M$6:$M$205,설정!$E$10))</f>
        <v/>
      </c>
      <c r="P26" s="58">
        <f>IF(OR($B26="",설정!$E$11=""),"",COUNTIFS('AEOLUS'!$B$6:$B$205,$B26,'AEOLUS'!$M$6:$M$205,설정!$E$11)+COUNTIFS('MELICERTES'!$B$6:$B$205,$B26,'MELICERTES'!$M$6:$M$205,설정!$E$11)+COUNTIFS('NELEUS'!$B$6:$B$205,$B26,'NELEUS'!$M$6:$M$205,설정!$E$11)+COUNTIFS('ONEIROI'!$B$6:$B$205,$B26,'ONEIROI'!$M$6:$M$205,설정!$E$11))</f>
        <v/>
      </c>
      <c r="Q26" s="58">
        <f>IF(OR($B26="",설정!$E$12=""),"",COUNTIFS('AEOLUS'!$B$6:$B$205,$B26,'AEOLUS'!$M$6:$M$205,설정!$E$12)+COUNTIFS('MELICERTES'!$B$6:$B$205,$B26,'MELICERTES'!$M$6:$M$205,설정!$E$12)+COUNTIFS('NELEUS'!$B$6:$B$205,$B26,'NELEUS'!$M$6:$M$205,설정!$E$12)+COUNTIFS('ONEIROI'!$B$6:$B$205,$B26,'ONEIROI'!$M$6:$M$205,설정!$E$12))</f>
        <v/>
      </c>
      <c r="R26" s="58">
        <f>IF($B26="","",COUNTIFS('AEOLUS'!$B$6:$B$205,$B26,'AEOLUS'!$AI$6:$AI$205,"&gt;0")+COUNTIFS('MELICERTES'!$B$6:$B$205,$B26,'MELICERTES'!$AI$6:$AI$205,"&gt;0")+COUNTIFS('NELEUS'!$B$6:$B$205,$B26,'NELEUS'!$AI$6:$AI$205,"&gt;0")+COUNTIFS('ONEIROI'!$B$6:$B$205,$B26,'ONEIROI'!$AI$6:$AI$205,"&gt;0"))</f>
        <v/>
      </c>
      <c r="S26" s="53">
        <f>IF($B26="","",SUMIFS('AEOLUS'!$S$6:$S$205,'AEOLUS'!$B$6:$B$205,$B26,'AEOLUS'!$AK$6:$AK$205,1)+SUMIFS('MELICERTES'!$S$6:$S$205,'MELICERTES'!$B$6:$B$205,$B26,'MELICERTES'!$AK$6:$AK$205,1)+SUMIFS('NELEUS'!$S$6:$S$205,'NELEUS'!$B$6:$B$205,$B26,'NELEUS'!$AK$6:$AK$205,1)+SUMIFS('ONEIROI'!$S$6:$S$205,'ONEIROI'!$B$6:$B$205,$B26,'ONEIROI'!$AK$6:$AK$205,1))</f>
        <v/>
      </c>
      <c r="T26" s="36" t="inlineStr">
        <is>
          <t>보성엔지니어링 앞 RFQ (RFQ No. 칸 공란 → BOSUNG-번호로 표기)</t>
        </is>
      </c>
    </row>
    <row r="27">
      <c r="A27" s="34" t="inlineStr">
        <is>
          <t>B04</t>
        </is>
      </c>
      <c r="B27" s="34" t="inlineStr">
        <is>
          <t>BOSUNG-04</t>
        </is>
      </c>
      <c r="C27" s="36" t="inlineStr">
        <is>
          <t>DAEYANG ELECTRIC (LED driver / floodlight)</t>
        </is>
      </c>
      <c r="D27" s="34" t="inlineStr">
        <is>
          <t>LED Driver</t>
        </is>
      </c>
      <c r="E27" s="56" t="n">
        <v>46314</v>
      </c>
      <c r="F27" s="36" t="inlineStr">
        <is>
          <t>AEOLUS / MELICERTES / NELEUS / ONEIROI</t>
        </is>
      </c>
      <c r="G27" s="34" t="n">
        <v>8</v>
      </c>
      <c r="H27" s="58">
        <f>IF($B27="","",COUNTIFS('AEOLUS'!$B$6:$B$205,$B27,'AEOLUS'!$AJ$6:$AJ$205,1)+COUNTIFS('MELICERTES'!$B$6:$B$205,$B27,'MELICERTES'!$AJ$6:$AJ$205,1)+COUNTIFS('NELEUS'!$B$6:$B$205,$B27,'NELEUS'!$AJ$6:$AJ$205,1)+COUNTIFS('ONEIROI'!$B$6:$B$205,$B27,'ONEIROI'!$AJ$6:$AJ$205,1))</f>
        <v/>
      </c>
      <c r="I27" s="58">
        <f>IF(OR($B27="",G27=""),"",G27-H27)</f>
        <v/>
      </c>
      <c r="J27" s="58">
        <f>IF(OR($B27="",설정!$E$5=""),"",COUNTIFS('AEOLUS'!$B$6:$B$205,$B27,'AEOLUS'!$M$6:$M$205,설정!$E$5)+COUNTIFS('MELICERTES'!$B$6:$B$205,$B27,'MELICERTES'!$M$6:$M$205,설정!$E$5)+COUNTIFS('NELEUS'!$B$6:$B$205,$B27,'NELEUS'!$M$6:$M$205,설정!$E$5)+COUNTIFS('ONEIROI'!$B$6:$B$205,$B27,'ONEIROI'!$M$6:$M$205,설정!$E$5))</f>
        <v/>
      </c>
      <c r="K27" s="58">
        <f>IF(OR($B27="",설정!$E$6=""),"",COUNTIFS('AEOLUS'!$B$6:$B$205,$B27,'AEOLUS'!$M$6:$M$205,설정!$E$6)+COUNTIFS('MELICERTES'!$B$6:$B$205,$B27,'MELICERTES'!$M$6:$M$205,설정!$E$6)+COUNTIFS('NELEUS'!$B$6:$B$205,$B27,'NELEUS'!$M$6:$M$205,설정!$E$6)+COUNTIFS('ONEIROI'!$B$6:$B$205,$B27,'ONEIROI'!$M$6:$M$205,설정!$E$6))</f>
        <v/>
      </c>
      <c r="L27" s="58">
        <f>IF(OR($B27="",설정!$E$7=""),"",COUNTIFS('AEOLUS'!$B$6:$B$205,$B27,'AEOLUS'!$M$6:$M$205,설정!$E$7)+COUNTIFS('MELICERTES'!$B$6:$B$205,$B27,'MELICERTES'!$M$6:$M$205,설정!$E$7)+COUNTIFS('NELEUS'!$B$6:$B$205,$B27,'NELEUS'!$M$6:$M$205,설정!$E$7)+COUNTIFS('ONEIROI'!$B$6:$B$205,$B27,'ONEIROI'!$M$6:$M$205,설정!$E$7))</f>
        <v/>
      </c>
      <c r="M27" s="58">
        <f>IF(OR($B27="",설정!$E$8=""),"",COUNTIFS('AEOLUS'!$B$6:$B$205,$B27,'AEOLUS'!$M$6:$M$205,설정!$E$8)+COUNTIFS('MELICERTES'!$B$6:$B$205,$B27,'MELICERTES'!$M$6:$M$205,설정!$E$8)+COUNTIFS('NELEUS'!$B$6:$B$205,$B27,'NELEUS'!$M$6:$M$205,설정!$E$8)+COUNTIFS('ONEIROI'!$B$6:$B$205,$B27,'ONEIROI'!$M$6:$M$205,설정!$E$8))</f>
        <v/>
      </c>
      <c r="N27" s="58">
        <f>IF(OR($B27="",설정!$E$9=""),"",COUNTIFS('AEOLUS'!$B$6:$B$205,$B27,'AEOLUS'!$M$6:$M$205,설정!$E$9)+COUNTIFS('MELICERTES'!$B$6:$B$205,$B27,'MELICERTES'!$M$6:$M$205,설정!$E$9)+COUNTIFS('NELEUS'!$B$6:$B$205,$B27,'NELEUS'!$M$6:$M$205,설정!$E$9)+COUNTIFS('ONEIROI'!$B$6:$B$205,$B27,'ONEIROI'!$M$6:$M$205,설정!$E$9))</f>
        <v/>
      </c>
      <c r="O27" s="58">
        <f>IF(OR($B27="",설정!$E$10=""),"",COUNTIFS('AEOLUS'!$B$6:$B$205,$B27,'AEOLUS'!$M$6:$M$205,설정!$E$10)+COUNTIFS('MELICERTES'!$B$6:$B$205,$B27,'MELICERTES'!$M$6:$M$205,설정!$E$10)+COUNTIFS('NELEUS'!$B$6:$B$205,$B27,'NELEUS'!$M$6:$M$205,설정!$E$10)+COUNTIFS('ONEIROI'!$B$6:$B$205,$B27,'ONEIROI'!$M$6:$M$205,설정!$E$10))</f>
        <v/>
      </c>
      <c r="P27" s="58">
        <f>IF(OR($B27="",설정!$E$11=""),"",COUNTIFS('AEOLUS'!$B$6:$B$205,$B27,'AEOLUS'!$M$6:$M$205,설정!$E$11)+COUNTIFS('MELICERTES'!$B$6:$B$205,$B27,'MELICERTES'!$M$6:$M$205,설정!$E$11)+COUNTIFS('NELEUS'!$B$6:$B$205,$B27,'NELEUS'!$M$6:$M$205,설정!$E$11)+COUNTIFS('ONEIROI'!$B$6:$B$205,$B27,'ONEIROI'!$M$6:$M$205,설정!$E$11))</f>
        <v/>
      </c>
      <c r="Q27" s="58">
        <f>IF(OR($B27="",설정!$E$12=""),"",COUNTIFS('AEOLUS'!$B$6:$B$205,$B27,'AEOLUS'!$M$6:$M$205,설정!$E$12)+COUNTIFS('MELICERTES'!$B$6:$B$205,$B27,'MELICERTES'!$M$6:$M$205,설정!$E$12)+COUNTIFS('NELEUS'!$B$6:$B$205,$B27,'NELEUS'!$M$6:$M$205,설정!$E$12)+COUNTIFS('ONEIROI'!$B$6:$B$205,$B27,'ONEIROI'!$M$6:$M$205,설정!$E$12))</f>
        <v/>
      </c>
      <c r="R27" s="58">
        <f>IF($B27="","",COUNTIFS('AEOLUS'!$B$6:$B$205,$B27,'AEOLUS'!$AI$6:$AI$205,"&gt;0")+COUNTIFS('MELICERTES'!$B$6:$B$205,$B27,'MELICERTES'!$AI$6:$AI$205,"&gt;0")+COUNTIFS('NELEUS'!$B$6:$B$205,$B27,'NELEUS'!$AI$6:$AI$205,"&gt;0")+COUNTIFS('ONEIROI'!$B$6:$B$205,$B27,'ONEIROI'!$AI$6:$AI$205,"&gt;0"))</f>
        <v/>
      </c>
      <c r="S27" s="53">
        <f>IF($B27="","",SUMIFS('AEOLUS'!$S$6:$S$205,'AEOLUS'!$B$6:$B$205,$B27,'AEOLUS'!$AK$6:$AK$205,1)+SUMIFS('MELICERTES'!$S$6:$S$205,'MELICERTES'!$B$6:$B$205,$B27,'MELICERTES'!$AK$6:$AK$205,1)+SUMIFS('NELEUS'!$S$6:$S$205,'NELEUS'!$B$6:$B$205,$B27,'NELEUS'!$AK$6:$AK$205,1)+SUMIFS('ONEIROI'!$S$6:$S$205,'ONEIROI'!$B$6:$B$205,$B27,'ONEIROI'!$AK$6:$AK$205,1))</f>
        <v/>
      </c>
      <c r="T27" s="36" t="inlineStr">
        <is>
          <t>보성엔지니어링 앞 RFQ (RFQ No. 칸 공란 → BOSUNG-번호로 표기)</t>
        </is>
      </c>
    </row>
    <row r="28">
      <c r="A28" s="34" t="inlineStr">
        <is>
          <t>B05</t>
        </is>
      </c>
      <c r="B28" s="34" t="inlineStr">
        <is>
          <t>BOSUNG-05</t>
        </is>
      </c>
      <c r="C28" s="36" t="inlineStr">
        <is>
          <t>HI AIR KOREA (AC package)</t>
        </is>
      </c>
      <c r="D28" s="34" t="inlineStr">
        <is>
          <t>AC Package</t>
        </is>
      </c>
      <c r="E28" s="56" t="n">
        <v>46314</v>
      </c>
      <c r="F28" s="36" t="inlineStr">
        <is>
          <t>MELICERTES / ONEIROI</t>
        </is>
      </c>
      <c r="G28" s="34" t="n">
        <v>2</v>
      </c>
      <c r="H28" s="58">
        <f>IF($B28="","",COUNTIFS('AEOLUS'!$B$6:$B$205,$B28,'AEOLUS'!$AJ$6:$AJ$205,1)+COUNTIFS('MELICERTES'!$B$6:$B$205,$B28,'MELICERTES'!$AJ$6:$AJ$205,1)+COUNTIFS('NELEUS'!$B$6:$B$205,$B28,'NELEUS'!$AJ$6:$AJ$205,1)+COUNTIFS('ONEIROI'!$B$6:$B$205,$B28,'ONEIROI'!$AJ$6:$AJ$205,1))</f>
        <v/>
      </c>
      <c r="I28" s="58">
        <f>IF(OR($B28="",G28=""),"",G28-H28)</f>
        <v/>
      </c>
      <c r="J28" s="58">
        <f>IF(OR($B28="",설정!$E$5=""),"",COUNTIFS('AEOLUS'!$B$6:$B$205,$B28,'AEOLUS'!$M$6:$M$205,설정!$E$5)+COUNTIFS('MELICERTES'!$B$6:$B$205,$B28,'MELICERTES'!$M$6:$M$205,설정!$E$5)+COUNTIFS('NELEUS'!$B$6:$B$205,$B28,'NELEUS'!$M$6:$M$205,설정!$E$5)+COUNTIFS('ONEIROI'!$B$6:$B$205,$B28,'ONEIROI'!$M$6:$M$205,설정!$E$5))</f>
        <v/>
      </c>
      <c r="K28" s="58">
        <f>IF(OR($B28="",설정!$E$6=""),"",COUNTIFS('AEOLUS'!$B$6:$B$205,$B28,'AEOLUS'!$M$6:$M$205,설정!$E$6)+COUNTIFS('MELICERTES'!$B$6:$B$205,$B28,'MELICERTES'!$M$6:$M$205,설정!$E$6)+COUNTIFS('NELEUS'!$B$6:$B$205,$B28,'NELEUS'!$M$6:$M$205,설정!$E$6)+COUNTIFS('ONEIROI'!$B$6:$B$205,$B28,'ONEIROI'!$M$6:$M$205,설정!$E$6))</f>
        <v/>
      </c>
      <c r="L28" s="58">
        <f>IF(OR($B28="",설정!$E$7=""),"",COUNTIFS('AEOLUS'!$B$6:$B$205,$B28,'AEOLUS'!$M$6:$M$205,설정!$E$7)+COUNTIFS('MELICERTES'!$B$6:$B$205,$B28,'MELICERTES'!$M$6:$M$205,설정!$E$7)+COUNTIFS('NELEUS'!$B$6:$B$205,$B28,'NELEUS'!$M$6:$M$205,설정!$E$7)+COUNTIFS('ONEIROI'!$B$6:$B$205,$B28,'ONEIROI'!$M$6:$M$205,설정!$E$7))</f>
        <v/>
      </c>
      <c r="M28" s="58">
        <f>IF(OR($B28="",설정!$E$8=""),"",COUNTIFS('AEOLUS'!$B$6:$B$205,$B28,'AEOLUS'!$M$6:$M$205,설정!$E$8)+COUNTIFS('MELICERTES'!$B$6:$B$205,$B28,'MELICERTES'!$M$6:$M$205,설정!$E$8)+COUNTIFS('NELEUS'!$B$6:$B$205,$B28,'NELEUS'!$M$6:$M$205,설정!$E$8)+COUNTIFS('ONEIROI'!$B$6:$B$205,$B28,'ONEIROI'!$M$6:$M$205,설정!$E$8))</f>
        <v/>
      </c>
      <c r="N28" s="58">
        <f>IF(OR($B28="",설정!$E$9=""),"",COUNTIFS('AEOLUS'!$B$6:$B$205,$B28,'AEOLUS'!$M$6:$M$205,설정!$E$9)+COUNTIFS('MELICERTES'!$B$6:$B$205,$B28,'MELICERTES'!$M$6:$M$205,설정!$E$9)+COUNTIFS('NELEUS'!$B$6:$B$205,$B28,'NELEUS'!$M$6:$M$205,설정!$E$9)+COUNTIFS('ONEIROI'!$B$6:$B$205,$B28,'ONEIROI'!$M$6:$M$205,설정!$E$9))</f>
        <v/>
      </c>
      <c r="O28" s="58">
        <f>IF(OR($B28="",설정!$E$10=""),"",COUNTIFS('AEOLUS'!$B$6:$B$205,$B28,'AEOLUS'!$M$6:$M$205,설정!$E$10)+COUNTIFS('MELICERTES'!$B$6:$B$205,$B28,'MELICERTES'!$M$6:$M$205,설정!$E$10)+COUNTIFS('NELEUS'!$B$6:$B$205,$B28,'NELEUS'!$M$6:$M$205,설정!$E$10)+COUNTIFS('ONEIROI'!$B$6:$B$205,$B28,'ONEIROI'!$M$6:$M$205,설정!$E$10))</f>
        <v/>
      </c>
      <c r="P28" s="58">
        <f>IF(OR($B28="",설정!$E$11=""),"",COUNTIFS('AEOLUS'!$B$6:$B$205,$B28,'AEOLUS'!$M$6:$M$205,설정!$E$11)+COUNTIFS('MELICERTES'!$B$6:$B$205,$B28,'MELICERTES'!$M$6:$M$205,설정!$E$11)+COUNTIFS('NELEUS'!$B$6:$B$205,$B28,'NELEUS'!$M$6:$M$205,설정!$E$11)+COUNTIFS('ONEIROI'!$B$6:$B$205,$B28,'ONEIROI'!$M$6:$M$205,설정!$E$11))</f>
        <v/>
      </c>
      <c r="Q28" s="58">
        <f>IF(OR($B28="",설정!$E$12=""),"",COUNTIFS('AEOLUS'!$B$6:$B$205,$B28,'AEOLUS'!$M$6:$M$205,설정!$E$12)+COUNTIFS('MELICERTES'!$B$6:$B$205,$B28,'MELICERTES'!$M$6:$M$205,설정!$E$12)+COUNTIFS('NELEUS'!$B$6:$B$205,$B28,'NELEUS'!$M$6:$M$205,설정!$E$12)+COUNTIFS('ONEIROI'!$B$6:$B$205,$B28,'ONEIROI'!$M$6:$M$205,설정!$E$12))</f>
        <v/>
      </c>
      <c r="R28" s="58">
        <f>IF($B28="","",COUNTIFS('AEOLUS'!$B$6:$B$205,$B28,'AEOLUS'!$AI$6:$AI$205,"&gt;0")+COUNTIFS('MELICERTES'!$B$6:$B$205,$B28,'MELICERTES'!$AI$6:$AI$205,"&gt;0")+COUNTIFS('NELEUS'!$B$6:$B$205,$B28,'NELEUS'!$AI$6:$AI$205,"&gt;0")+COUNTIFS('ONEIROI'!$B$6:$B$205,$B28,'ONEIROI'!$AI$6:$AI$205,"&gt;0"))</f>
        <v/>
      </c>
      <c r="S28" s="53">
        <f>IF($B28="","",SUMIFS('AEOLUS'!$S$6:$S$205,'AEOLUS'!$B$6:$B$205,$B28,'AEOLUS'!$AK$6:$AK$205,1)+SUMIFS('MELICERTES'!$S$6:$S$205,'MELICERTES'!$B$6:$B$205,$B28,'MELICERTES'!$AK$6:$AK$205,1)+SUMIFS('NELEUS'!$S$6:$S$205,'NELEUS'!$B$6:$B$205,$B28,'NELEUS'!$AK$6:$AK$205,1)+SUMIFS('ONEIROI'!$S$6:$S$205,'ONEIROI'!$B$6:$B$205,$B28,'ONEIROI'!$AK$6:$AK$205,1))</f>
        <v/>
      </c>
      <c r="T28" s="36" t="inlineStr">
        <is>
          <t>보성엔지니어링 앞 RFQ (RFQ No. 칸 공란 → BOSUNG-번호로 표기)</t>
        </is>
      </c>
    </row>
    <row r="29">
      <c r="A29" s="34" t="inlineStr">
        <is>
          <t>B06</t>
        </is>
      </c>
      <c r="B29" s="34" t="inlineStr">
        <is>
          <t>BOSUNG-06</t>
        </is>
      </c>
      <c r="C29" s="36" t="inlineStr">
        <is>
          <t>SPECS CORPORATION (oil mist detector)</t>
        </is>
      </c>
      <c r="D29" s="34" t="inlineStr">
        <is>
          <t>Main Engine</t>
        </is>
      </c>
      <c r="E29" s="56" t="n">
        <v>46314</v>
      </c>
      <c r="F29" s="36" t="inlineStr">
        <is>
          <t>MELICERTES</t>
        </is>
      </c>
      <c r="G29" s="34" t="n">
        <v>2</v>
      </c>
      <c r="H29" s="58">
        <f>IF($B29="","",COUNTIFS('AEOLUS'!$B$6:$B$205,$B29,'AEOLUS'!$AJ$6:$AJ$205,1)+COUNTIFS('MELICERTES'!$B$6:$B$205,$B29,'MELICERTES'!$AJ$6:$AJ$205,1)+COUNTIFS('NELEUS'!$B$6:$B$205,$B29,'NELEUS'!$AJ$6:$AJ$205,1)+COUNTIFS('ONEIROI'!$B$6:$B$205,$B29,'ONEIROI'!$AJ$6:$AJ$205,1))</f>
        <v/>
      </c>
      <c r="I29" s="58">
        <f>IF(OR($B29="",G29=""),"",G29-H29)</f>
        <v/>
      </c>
      <c r="J29" s="58">
        <f>IF(OR($B29="",설정!$E$5=""),"",COUNTIFS('AEOLUS'!$B$6:$B$205,$B29,'AEOLUS'!$M$6:$M$205,설정!$E$5)+COUNTIFS('MELICERTES'!$B$6:$B$205,$B29,'MELICERTES'!$M$6:$M$205,설정!$E$5)+COUNTIFS('NELEUS'!$B$6:$B$205,$B29,'NELEUS'!$M$6:$M$205,설정!$E$5)+COUNTIFS('ONEIROI'!$B$6:$B$205,$B29,'ONEIROI'!$M$6:$M$205,설정!$E$5))</f>
        <v/>
      </c>
      <c r="K29" s="58">
        <f>IF(OR($B29="",설정!$E$6=""),"",COUNTIFS('AEOLUS'!$B$6:$B$205,$B29,'AEOLUS'!$M$6:$M$205,설정!$E$6)+COUNTIFS('MELICERTES'!$B$6:$B$205,$B29,'MELICERTES'!$M$6:$M$205,설정!$E$6)+COUNTIFS('NELEUS'!$B$6:$B$205,$B29,'NELEUS'!$M$6:$M$205,설정!$E$6)+COUNTIFS('ONEIROI'!$B$6:$B$205,$B29,'ONEIROI'!$M$6:$M$205,설정!$E$6))</f>
        <v/>
      </c>
      <c r="L29" s="58">
        <f>IF(OR($B29="",설정!$E$7=""),"",COUNTIFS('AEOLUS'!$B$6:$B$205,$B29,'AEOLUS'!$M$6:$M$205,설정!$E$7)+COUNTIFS('MELICERTES'!$B$6:$B$205,$B29,'MELICERTES'!$M$6:$M$205,설정!$E$7)+COUNTIFS('NELEUS'!$B$6:$B$205,$B29,'NELEUS'!$M$6:$M$205,설정!$E$7)+COUNTIFS('ONEIROI'!$B$6:$B$205,$B29,'ONEIROI'!$M$6:$M$205,설정!$E$7))</f>
        <v/>
      </c>
      <c r="M29" s="58">
        <f>IF(OR($B29="",설정!$E$8=""),"",COUNTIFS('AEOLUS'!$B$6:$B$205,$B29,'AEOLUS'!$M$6:$M$205,설정!$E$8)+COUNTIFS('MELICERTES'!$B$6:$B$205,$B29,'MELICERTES'!$M$6:$M$205,설정!$E$8)+COUNTIFS('NELEUS'!$B$6:$B$205,$B29,'NELEUS'!$M$6:$M$205,설정!$E$8)+COUNTIFS('ONEIROI'!$B$6:$B$205,$B29,'ONEIROI'!$M$6:$M$205,설정!$E$8))</f>
        <v/>
      </c>
      <c r="N29" s="58">
        <f>IF(OR($B29="",설정!$E$9=""),"",COUNTIFS('AEOLUS'!$B$6:$B$205,$B29,'AEOLUS'!$M$6:$M$205,설정!$E$9)+COUNTIFS('MELICERTES'!$B$6:$B$205,$B29,'MELICERTES'!$M$6:$M$205,설정!$E$9)+COUNTIFS('NELEUS'!$B$6:$B$205,$B29,'NELEUS'!$M$6:$M$205,설정!$E$9)+COUNTIFS('ONEIROI'!$B$6:$B$205,$B29,'ONEIROI'!$M$6:$M$205,설정!$E$9))</f>
        <v/>
      </c>
      <c r="O29" s="58">
        <f>IF(OR($B29="",설정!$E$10=""),"",COUNTIFS('AEOLUS'!$B$6:$B$205,$B29,'AEOLUS'!$M$6:$M$205,설정!$E$10)+COUNTIFS('MELICERTES'!$B$6:$B$205,$B29,'MELICERTES'!$M$6:$M$205,설정!$E$10)+COUNTIFS('NELEUS'!$B$6:$B$205,$B29,'NELEUS'!$M$6:$M$205,설정!$E$10)+COUNTIFS('ONEIROI'!$B$6:$B$205,$B29,'ONEIROI'!$M$6:$M$205,설정!$E$10))</f>
        <v/>
      </c>
      <c r="P29" s="58">
        <f>IF(OR($B29="",설정!$E$11=""),"",COUNTIFS('AEOLUS'!$B$6:$B$205,$B29,'AEOLUS'!$M$6:$M$205,설정!$E$11)+COUNTIFS('MELICERTES'!$B$6:$B$205,$B29,'MELICERTES'!$M$6:$M$205,설정!$E$11)+COUNTIFS('NELEUS'!$B$6:$B$205,$B29,'NELEUS'!$M$6:$M$205,설정!$E$11)+COUNTIFS('ONEIROI'!$B$6:$B$205,$B29,'ONEIROI'!$M$6:$M$205,설정!$E$11))</f>
        <v/>
      </c>
      <c r="Q29" s="58">
        <f>IF(OR($B29="",설정!$E$12=""),"",COUNTIFS('AEOLUS'!$B$6:$B$205,$B29,'AEOLUS'!$M$6:$M$205,설정!$E$12)+COUNTIFS('MELICERTES'!$B$6:$B$205,$B29,'MELICERTES'!$M$6:$M$205,설정!$E$12)+COUNTIFS('NELEUS'!$B$6:$B$205,$B29,'NELEUS'!$M$6:$M$205,설정!$E$12)+COUNTIFS('ONEIROI'!$B$6:$B$205,$B29,'ONEIROI'!$M$6:$M$205,설정!$E$12))</f>
        <v/>
      </c>
      <c r="R29" s="58">
        <f>IF($B29="","",COUNTIFS('AEOLUS'!$B$6:$B$205,$B29,'AEOLUS'!$AI$6:$AI$205,"&gt;0")+COUNTIFS('MELICERTES'!$B$6:$B$205,$B29,'MELICERTES'!$AI$6:$AI$205,"&gt;0")+COUNTIFS('NELEUS'!$B$6:$B$205,$B29,'NELEUS'!$AI$6:$AI$205,"&gt;0")+COUNTIFS('ONEIROI'!$B$6:$B$205,$B29,'ONEIROI'!$AI$6:$AI$205,"&gt;0"))</f>
        <v/>
      </c>
      <c r="S29" s="53">
        <f>IF($B29="","",SUMIFS('AEOLUS'!$S$6:$S$205,'AEOLUS'!$B$6:$B$205,$B29,'AEOLUS'!$AK$6:$AK$205,1)+SUMIFS('MELICERTES'!$S$6:$S$205,'MELICERTES'!$B$6:$B$205,$B29,'MELICERTES'!$AK$6:$AK$205,1)+SUMIFS('NELEUS'!$S$6:$S$205,'NELEUS'!$B$6:$B$205,$B29,'NELEUS'!$AK$6:$AK$205,1)+SUMIFS('ONEIROI'!$S$6:$S$205,'ONEIROI'!$B$6:$B$205,$B29,'ONEIROI'!$AK$6:$AK$205,1))</f>
        <v/>
      </c>
      <c r="T29" s="36" t="inlineStr">
        <is>
          <t>보성엔지니어링 앞 RFQ (RFQ No. 칸 공란 → BOSUNG-번호로 표기)</t>
        </is>
      </c>
    </row>
    <row r="30">
      <c r="A30" s="34" t="inlineStr">
        <is>
          <t>B07</t>
        </is>
      </c>
      <c r="B30" s="34" t="inlineStr">
        <is>
          <t>BOSUNG-07</t>
        </is>
      </c>
      <c r="C30" s="36" t="inlineStr">
        <is>
          <t>HERIANA (air temp &amp; humidity transmitter)</t>
        </is>
      </c>
      <c r="D30" s="34" t="inlineStr">
        <is>
          <t>Air Temp &amp; Humidity Transmitter</t>
        </is>
      </c>
      <c r="E30" s="56" t="n">
        <v>46314</v>
      </c>
      <c r="F30" s="36" t="inlineStr">
        <is>
          <t>MELICERTES</t>
        </is>
      </c>
      <c r="G30" s="34" t="n">
        <v>1</v>
      </c>
      <c r="H30" s="58">
        <f>IF($B30="","",COUNTIFS('AEOLUS'!$B$6:$B$205,$B30,'AEOLUS'!$AJ$6:$AJ$205,1)+COUNTIFS('MELICERTES'!$B$6:$B$205,$B30,'MELICERTES'!$AJ$6:$AJ$205,1)+COUNTIFS('NELEUS'!$B$6:$B$205,$B30,'NELEUS'!$AJ$6:$AJ$205,1)+COUNTIFS('ONEIROI'!$B$6:$B$205,$B30,'ONEIROI'!$AJ$6:$AJ$205,1))</f>
        <v/>
      </c>
      <c r="I30" s="58">
        <f>IF(OR($B30="",G30=""),"",G30-H30)</f>
        <v/>
      </c>
      <c r="J30" s="58">
        <f>IF(OR($B30="",설정!$E$5=""),"",COUNTIFS('AEOLUS'!$B$6:$B$205,$B30,'AEOLUS'!$M$6:$M$205,설정!$E$5)+COUNTIFS('MELICERTES'!$B$6:$B$205,$B30,'MELICERTES'!$M$6:$M$205,설정!$E$5)+COUNTIFS('NELEUS'!$B$6:$B$205,$B30,'NELEUS'!$M$6:$M$205,설정!$E$5)+COUNTIFS('ONEIROI'!$B$6:$B$205,$B30,'ONEIROI'!$M$6:$M$205,설정!$E$5))</f>
        <v/>
      </c>
      <c r="K30" s="58">
        <f>IF(OR($B30="",설정!$E$6=""),"",COUNTIFS('AEOLUS'!$B$6:$B$205,$B30,'AEOLUS'!$M$6:$M$205,설정!$E$6)+COUNTIFS('MELICERTES'!$B$6:$B$205,$B30,'MELICERTES'!$M$6:$M$205,설정!$E$6)+COUNTIFS('NELEUS'!$B$6:$B$205,$B30,'NELEUS'!$M$6:$M$205,설정!$E$6)+COUNTIFS('ONEIROI'!$B$6:$B$205,$B30,'ONEIROI'!$M$6:$M$205,설정!$E$6))</f>
        <v/>
      </c>
      <c r="L30" s="58">
        <f>IF(OR($B30="",설정!$E$7=""),"",COUNTIFS('AEOLUS'!$B$6:$B$205,$B30,'AEOLUS'!$M$6:$M$205,설정!$E$7)+COUNTIFS('MELICERTES'!$B$6:$B$205,$B30,'MELICERTES'!$M$6:$M$205,설정!$E$7)+COUNTIFS('NELEUS'!$B$6:$B$205,$B30,'NELEUS'!$M$6:$M$205,설정!$E$7)+COUNTIFS('ONEIROI'!$B$6:$B$205,$B30,'ONEIROI'!$M$6:$M$205,설정!$E$7))</f>
        <v/>
      </c>
      <c r="M30" s="58">
        <f>IF(OR($B30="",설정!$E$8=""),"",COUNTIFS('AEOLUS'!$B$6:$B$205,$B30,'AEOLUS'!$M$6:$M$205,설정!$E$8)+COUNTIFS('MELICERTES'!$B$6:$B$205,$B30,'MELICERTES'!$M$6:$M$205,설정!$E$8)+COUNTIFS('NELEUS'!$B$6:$B$205,$B30,'NELEUS'!$M$6:$M$205,설정!$E$8)+COUNTIFS('ONEIROI'!$B$6:$B$205,$B30,'ONEIROI'!$M$6:$M$205,설정!$E$8))</f>
        <v/>
      </c>
      <c r="N30" s="58">
        <f>IF(OR($B30="",설정!$E$9=""),"",COUNTIFS('AEOLUS'!$B$6:$B$205,$B30,'AEOLUS'!$M$6:$M$205,설정!$E$9)+COUNTIFS('MELICERTES'!$B$6:$B$205,$B30,'MELICERTES'!$M$6:$M$205,설정!$E$9)+COUNTIFS('NELEUS'!$B$6:$B$205,$B30,'NELEUS'!$M$6:$M$205,설정!$E$9)+COUNTIFS('ONEIROI'!$B$6:$B$205,$B30,'ONEIROI'!$M$6:$M$205,설정!$E$9))</f>
        <v/>
      </c>
      <c r="O30" s="58">
        <f>IF(OR($B30="",설정!$E$10=""),"",COUNTIFS('AEOLUS'!$B$6:$B$205,$B30,'AEOLUS'!$M$6:$M$205,설정!$E$10)+COUNTIFS('MELICERTES'!$B$6:$B$205,$B30,'MELICERTES'!$M$6:$M$205,설정!$E$10)+COUNTIFS('NELEUS'!$B$6:$B$205,$B30,'NELEUS'!$M$6:$M$205,설정!$E$10)+COUNTIFS('ONEIROI'!$B$6:$B$205,$B30,'ONEIROI'!$M$6:$M$205,설정!$E$10))</f>
        <v/>
      </c>
      <c r="P30" s="58">
        <f>IF(OR($B30="",설정!$E$11=""),"",COUNTIFS('AEOLUS'!$B$6:$B$205,$B30,'AEOLUS'!$M$6:$M$205,설정!$E$11)+COUNTIFS('MELICERTES'!$B$6:$B$205,$B30,'MELICERTES'!$M$6:$M$205,설정!$E$11)+COUNTIFS('NELEUS'!$B$6:$B$205,$B30,'NELEUS'!$M$6:$M$205,설정!$E$11)+COUNTIFS('ONEIROI'!$B$6:$B$205,$B30,'ONEIROI'!$M$6:$M$205,설정!$E$11))</f>
        <v/>
      </c>
      <c r="Q30" s="58">
        <f>IF(OR($B30="",설정!$E$12=""),"",COUNTIFS('AEOLUS'!$B$6:$B$205,$B30,'AEOLUS'!$M$6:$M$205,설정!$E$12)+COUNTIFS('MELICERTES'!$B$6:$B$205,$B30,'MELICERTES'!$M$6:$M$205,설정!$E$12)+COUNTIFS('NELEUS'!$B$6:$B$205,$B30,'NELEUS'!$M$6:$M$205,설정!$E$12)+COUNTIFS('ONEIROI'!$B$6:$B$205,$B30,'ONEIROI'!$M$6:$M$205,설정!$E$12))</f>
        <v/>
      </c>
      <c r="R30" s="58">
        <f>IF($B30="","",COUNTIFS('AEOLUS'!$B$6:$B$205,$B30,'AEOLUS'!$AI$6:$AI$205,"&gt;0")+COUNTIFS('MELICERTES'!$B$6:$B$205,$B30,'MELICERTES'!$AI$6:$AI$205,"&gt;0")+COUNTIFS('NELEUS'!$B$6:$B$205,$B30,'NELEUS'!$AI$6:$AI$205,"&gt;0")+COUNTIFS('ONEIROI'!$B$6:$B$205,$B30,'ONEIROI'!$AI$6:$AI$205,"&gt;0"))</f>
        <v/>
      </c>
      <c r="S30" s="53">
        <f>IF($B30="","",SUMIFS('AEOLUS'!$S$6:$S$205,'AEOLUS'!$B$6:$B$205,$B30,'AEOLUS'!$AK$6:$AK$205,1)+SUMIFS('MELICERTES'!$S$6:$S$205,'MELICERTES'!$B$6:$B$205,$B30,'MELICERTES'!$AK$6:$AK$205,1)+SUMIFS('NELEUS'!$S$6:$S$205,'NELEUS'!$B$6:$B$205,$B30,'NELEUS'!$AK$6:$AK$205,1)+SUMIFS('ONEIROI'!$S$6:$S$205,'ONEIROI'!$B$6:$B$205,$B30,'ONEIROI'!$AK$6:$AK$205,1))</f>
        <v/>
      </c>
      <c r="T30" s="36" t="inlineStr">
        <is>
          <t>보성엔지니어링 앞 RFQ (RFQ No. 칸 공란 → BOSUNG-번호로 표기)</t>
        </is>
      </c>
    </row>
    <row r="31">
      <c r="A31" s="34" t="inlineStr">
        <is>
          <t>B08</t>
        </is>
      </c>
      <c r="B31" s="34" t="inlineStr">
        <is>
          <t>BOSUNG-08</t>
        </is>
      </c>
      <c r="C31" s="36" t="inlineStr">
        <is>
          <t>LUXCO (WESTRONICS) alarm monitoring</t>
        </is>
      </c>
      <c r="D31" s="34" t="inlineStr">
        <is>
          <t>Alarm Monitoring System</t>
        </is>
      </c>
      <c r="E31" s="56" t="n">
        <v>46314</v>
      </c>
      <c r="F31" s="36" t="inlineStr">
        <is>
          <t>MELICERTES</t>
        </is>
      </c>
      <c r="G31" s="34" t="n">
        <v>1</v>
      </c>
      <c r="H31" s="58">
        <f>IF($B31="","",COUNTIFS('AEOLUS'!$B$6:$B$205,$B31,'AEOLUS'!$AJ$6:$AJ$205,1)+COUNTIFS('MELICERTES'!$B$6:$B$205,$B31,'MELICERTES'!$AJ$6:$AJ$205,1)+COUNTIFS('NELEUS'!$B$6:$B$205,$B31,'NELEUS'!$AJ$6:$AJ$205,1)+COUNTIFS('ONEIROI'!$B$6:$B$205,$B31,'ONEIROI'!$AJ$6:$AJ$205,1))</f>
        <v/>
      </c>
      <c r="I31" s="58">
        <f>IF(OR($B31="",G31=""),"",G31-H31)</f>
        <v/>
      </c>
      <c r="J31" s="58">
        <f>IF(OR($B31="",설정!$E$5=""),"",COUNTIFS('AEOLUS'!$B$6:$B$205,$B31,'AEOLUS'!$M$6:$M$205,설정!$E$5)+COUNTIFS('MELICERTES'!$B$6:$B$205,$B31,'MELICERTES'!$M$6:$M$205,설정!$E$5)+COUNTIFS('NELEUS'!$B$6:$B$205,$B31,'NELEUS'!$M$6:$M$205,설정!$E$5)+COUNTIFS('ONEIROI'!$B$6:$B$205,$B31,'ONEIROI'!$M$6:$M$205,설정!$E$5))</f>
        <v/>
      </c>
      <c r="K31" s="58">
        <f>IF(OR($B31="",설정!$E$6=""),"",COUNTIFS('AEOLUS'!$B$6:$B$205,$B31,'AEOLUS'!$M$6:$M$205,설정!$E$6)+COUNTIFS('MELICERTES'!$B$6:$B$205,$B31,'MELICERTES'!$M$6:$M$205,설정!$E$6)+COUNTIFS('NELEUS'!$B$6:$B$205,$B31,'NELEUS'!$M$6:$M$205,설정!$E$6)+COUNTIFS('ONEIROI'!$B$6:$B$205,$B31,'ONEIROI'!$M$6:$M$205,설정!$E$6))</f>
        <v/>
      </c>
      <c r="L31" s="58">
        <f>IF(OR($B31="",설정!$E$7=""),"",COUNTIFS('AEOLUS'!$B$6:$B$205,$B31,'AEOLUS'!$M$6:$M$205,설정!$E$7)+COUNTIFS('MELICERTES'!$B$6:$B$205,$B31,'MELICERTES'!$M$6:$M$205,설정!$E$7)+COUNTIFS('NELEUS'!$B$6:$B$205,$B31,'NELEUS'!$M$6:$M$205,설정!$E$7)+COUNTIFS('ONEIROI'!$B$6:$B$205,$B31,'ONEIROI'!$M$6:$M$205,설정!$E$7))</f>
        <v/>
      </c>
      <c r="M31" s="58">
        <f>IF(OR($B31="",설정!$E$8=""),"",COUNTIFS('AEOLUS'!$B$6:$B$205,$B31,'AEOLUS'!$M$6:$M$205,설정!$E$8)+COUNTIFS('MELICERTES'!$B$6:$B$205,$B31,'MELICERTES'!$M$6:$M$205,설정!$E$8)+COUNTIFS('NELEUS'!$B$6:$B$205,$B31,'NELEUS'!$M$6:$M$205,설정!$E$8)+COUNTIFS('ONEIROI'!$B$6:$B$205,$B31,'ONEIROI'!$M$6:$M$205,설정!$E$8))</f>
        <v/>
      </c>
      <c r="N31" s="58">
        <f>IF(OR($B31="",설정!$E$9=""),"",COUNTIFS('AEOLUS'!$B$6:$B$205,$B31,'AEOLUS'!$M$6:$M$205,설정!$E$9)+COUNTIFS('MELICERTES'!$B$6:$B$205,$B31,'MELICERTES'!$M$6:$M$205,설정!$E$9)+COUNTIFS('NELEUS'!$B$6:$B$205,$B31,'NELEUS'!$M$6:$M$205,설정!$E$9)+COUNTIFS('ONEIROI'!$B$6:$B$205,$B31,'ONEIROI'!$M$6:$M$205,설정!$E$9))</f>
        <v/>
      </c>
      <c r="O31" s="58">
        <f>IF(OR($B31="",설정!$E$10=""),"",COUNTIFS('AEOLUS'!$B$6:$B$205,$B31,'AEOLUS'!$M$6:$M$205,설정!$E$10)+COUNTIFS('MELICERTES'!$B$6:$B$205,$B31,'MELICERTES'!$M$6:$M$205,설정!$E$10)+COUNTIFS('NELEUS'!$B$6:$B$205,$B31,'NELEUS'!$M$6:$M$205,설정!$E$10)+COUNTIFS('ONEIROI'!$B$6:$B$205,$B31,'ONEIROI'!$M$6:$M$205,설정!$E$10))</f>
        <v/>
      </c>
      <c r="P31" s="58">
        <f>IF(OR($B31="",설정!$E$11=""),"",COUNTIFS('AEOLUS'!$B$6:$B$205,$B31,'AEOLUS'!$M$6:$M$205,설정!$E$11)+COUNTIFS('MELICERTES'!$B$6:$B$205,$B31,'MELICERTES'!$M$6:$M$205,설정!$E$11)+COUNTIFS('NELEUS'!$B$6:$B$205,$B31,'NELEUS'!$M$6:$M$205,설정!$E$11)+COUNTIFS('ONEIROI'!$B$6:$B$205,$B31,'ONEIROI'!$M$6:$M$205,설정!$E$11))</f>
        <v/>
      </c>
      <c r="Q31" s="58">
        <f>IF(OR($B31="",설정!$E$12=""),"",COUNTIFS('AEOLUS'!$B$6:$B$205,$B31,'AEOLUS'!$M$6:$M$205,설정!$E$12)+COUNTIFS('MELICERTES'!$B$6:$B$205,$B31,'MELICERTES'!$M$6:$M$205,설정!$E$12)+COUNTIFS('NELEUS'!$B$6:$B$205,$B31,'NELEUS'!$M$6:$M$205,설정!$E$12)+COUNTIFS('ONEIROI'!$B$6:$B$205,$B31,'ONEIROI'!$M$6:$M$205,설정!$E$12))</f>
        <v/>
      </c>
      <c r="R31" s="58">
        <f>IF($B31="","",COUNTIFS('AEOLUS'!$B$6:$B$205,$B31,'AEOLUS'!$AI$6:$AI$205,"&gt;0")+COUNTIFS('MELICERTES'!$B$6:$B$205,$B31,'MELICERTES'!$AI$6:$AI$205,"&gt;0")+COUNTIFS('NELEUS'!$B$6:$B$205,$B31,'NELEUS'!$AI$6:$AI$205,"&gt;0")+COUNTIFS('ONEIROI'!$B$6:$B$205,$B31,'ONEIROI'!$AI$6:$AI$205,"&gt;0"))</f>
        <v/>
      </c>
      <c r="S31" s="53">
        <f>IF($B31="","",SUMIFS('AEOLUS'!$S$6:$S$205,'AEOLUS'!$B$6:$B$205,$B31,'AEOLUS'!$AK$6:$AK$205,1)+SUMIFS('MELICERTES'!$S$6:$S$205,'MELICERTES'!$B$6:$B$205,$B31,'MELICERTES'!$AK$6:$AK$205,1)+SUMIFS('NELEUS'!$S$6:$S$205,'NELEUS'!$B$6:$B$205,$B31,'NELEUS'!$AK$6:$AK$205,1)+SUMIFS('ONEIROI'!$S$6:$S$205,'ONEIROI'!$B$6:$B$205,$B31,'ONEIROI'!$AK$6:$AK$205,1))</f>
        <v/>
      </c>
      <c r="T31" s="36" t="inlineStr">
        <is>
          <t>보성엔지니어링 앞 RFQ (RFQ No. 칸 공란 → BOSUNG-번호로 표기)</t>
        </is>
      </c>
    </row>
    <row r="32">
      <c r="A32" s="34" t="inlineStr">
        <is>
          <t>B09</t>
        </is>
      </c>
      <c r="B32" s="34" t="inlineStr">
        <is>
          <t>BOSUNG-09</t>
        </is>
      </c>
      <c r="C32" s="36" t="inlineStr">
        <is>
          <t>HANLA IMS (tank gauging)</t>
        </is>
      </c>
      <c r="D32" s="34" t="inlineStr">
        <is>
          <t>Tank Gauging System</t>
        </is>
      </c>
      <c r="E32" s="56" t="n">
        <v>46314</v>
      </c>
      <c r="F32" s="36" t="inlineStr">
        <is>
          <t>MELICERTES</t>
        </is>
      </c>
      <c r="G32" s="34" t="n">
        <v>1</v>
      </c>
      <c r="H32" s="58">
        <f>IF($B32="","",COUNTIFS('AEOLUS'!$B$6:$B$205,$B32,'AEOLUS'!$AJ$6:$AJ$205,1)+COUNTIFS('MELICERTES'!$B$6:$B$205,$B32,'MELICERTES'!$AJ$6:$AJ$205,1)+COUNTIFS('NELEUS'!$B$6:$B$205,$B32,'NELEUS'!$AJ$6:$AJ$205,1)+COUNTIFS('ONEIROI'!$B$6:$B$205,$B32,'ONEIROI'!$AJ$6:$AJ$205,1))</f>
        <v/>
      </c>
      <c r="I32" s="58">
        <f>IF(OR($B32="",G32=""),"",G32-H32)</f>
        <v/>
      </c>
      <c r="J32" s="58">
        <f>IF(OR($B32="",설정!$E$5=""),"",COUNTIFS('AEOLUS'!$B$6:$B$205,$B32,'AEOLUS'!$M$6:$M$205,설정!$E$5)+COUNTIFS('MELICERTES'!$B$6:$B$205,$B32,'MELICERTES'!$M$6:$M$205,설정!$E$5)+COUNTIFS('NELEUS'!$B$6:$B$205,$B32,'NELEUS'!$M$6:$M$205,설정!$E$5)+COUNTIFS('ONEIROI'!$B$6:$B$205,$B32,'ONEIROI'!$M$6:$M$205,설정!$E$5))</f>
        <v/>
      </c>
      <c r="K32" s="58">
        <f>IF(OR($B32="",설정!$E$6=""),"",COUNTIFS('AEOLUS'!$B$6:$B$205,$B32,'AEOLUS'!$M$6:$M$205,설정!$E$6)+COUNTIFS('MELICERTES'!$B$6:$B$205,$B32,'MELICERTES'!$M$6:$M$205,설정!$E$6)+COUNTIFS('NELEUS'!$B$6:$B$205,$B32,'NELEUS'!$M$6:$M$205,설정!$E$6)+COUNTIFS('ONEIROI'!$B$6:$B$205,$B32,'ONEIROI'!$M$6:$M$205,설정!$E$6))</f>
        <v/>
      </c>
      <c r="L32" s="58">
        <f>IF(OR($B32="",설정!$E$7=""),"",COUNTIFS('AEOLUS'!$B$6:$B$205,$B32,'AEOLUS'!$M$6:$M$205,설정!$E$7)+COUNTIFS('MELICERTES'!$B$6:$B$205,$B32,'MELICERTES'!$M$6:$M$205,설정!$E$7)+COUNTIFS('NELEUS'!$B$6:$B$205,$B32,'NELEUS'!$M$6:$M$205,설정!$E$7)+COUNTIFS('ONEIROI'!$B$6:$B$205,$B32,'ONEIROI'!$M$6:$M$205,설정!$E$7))</f>
        <v/>
      </c>
      <c r="M32" s="58">
        <f>IF(OR($B32="",설정!$E$8=""),"",COUNTIFS('AEOLUS'!$B$6:$B$205,$B32,'AEOLUS'!$M$6:$M$205,설정!$E$8)+COUNTIFS('MELICERTES'!$B$6:$B$205,$B32,'MELICERTES'!$M$6:$M$205,설정!$E$8)+COUNTIFS('NELEUS'!$B$6:$B$205,$B32,'NELEUS'!$M$6:$M$205,설정!$E$8)+COUNTIFS('ONEIROI'!$B$6:$B$205,$B32,'ONEIROI'!$M$6:$M$205,설정!$E$8))</f>
        <v/>
      </c>
      <c r="N32" s="58">
        <f>IF(OR($B32="",설정!$E$9=""),"",COUNTIFS('AEOLUS'!$B$6:$B$205,$B32,'AEOLUS'!$M$6:$M$205,설정!$E$9)+COUNTIFS('MELICERTES'!$B$6:$B$205,$B32,'MELICERTES'!$M$6:$M$205,설정!$E$9)+COUNTIFS('NELEUS'!$B$6:$B$205,$B32,'NELEUS'!$M$6:$M$205,설정!$E$9)+COUNTIFS('ONEIROI'!$B$6:$B$205,$B32,'ONEIROI'!$M$6:$M$205,설정!$E$9))</f>
        <v/>
      </c>
      <c r="O32" s="58">
        <f>IF(OR($B32="",설정!$E$10=""),"",COUNTIFS('AEOLUS'!$B$6:$B$205,$B32,'AEOLUS'!$M$6:$M$205,설정!$E$10)+COUNTIFS('MELICERTES'!$B$6:$B$205,$B32,'MELICERTES'!$M$6:$M$205,설정!$E$10)+COUNTIFS('NELEUS'!$B$6:$B$205,$B32,'NELEUS'!$M$6:$M$205,설정!$E$10)+COUNTIFS('ONEIROI'!$B$6:$B$205,$B32,'ONEIROI'!$M$6:$M$205,설정!$E$10))</f>
        <v/>
      </c>
      <c r="P32" s="58">
        <f>IF(OR($B32="",설정!$E$11=""),"",COUNTIFS('AEOLUS'!$B$6:$B$205,$B32,'AEOLUS'!$M$6:$M$205,설정!$E$11)+COUNTIFS('MELICERTES'!$B$6:$B$205,$B32,'MELICERTES'!$M$6:$M$205,설정!$E$11)+COUNTIFS('NELEUS'!$B$6:$B$205,$B32,'NELEUS'!$M$6:$M$205,설정!$E$11)+COUNTIFS('ONEIROI'!$B$6:$B$205,$B32,'ONEIROI'!$M$6:$M$205,설정!$E$11))</f>
        <v/>
      </c>
      <c r="Q32" s="58">
        <f>IF(OR($B32="",설정!$E$12=""),"",COUNTIFS('AEOLUS'!$B$6:$B$205,$B32,'AEOLUS'!$M$6:$M$205,설정!$E$12)+COUNTIFS('MELICERTES'!$B$6:$B$205,$B32,'MELICERTES'!$M$6:$M$205,설정!$E$12)+COUNTIFS('NELEUS'!$B$6:$B$205,$B32,'NELEUS'!$M$6:$M$205,설정!$E$12)+COUNTIFS('ONEIROI'!$B$6:$B$205,$B32,'ONEIROI'!$M$6:$M$205,설정!$E$12))</f>
        <v/>
      </c>
      <c r="R32" s="58">
        <f>IF($B32="","",COUNTIFS('AEOLUS'!$B$6:$B$205,$B32,'AEOLUS'!$AI$6:$AI$205,"&gt;0")+COUNTIFS('MELICERTES'!$B$6:$B$205,$B32,'MELICERTES'!$AI$6:$AI$205,"&gt;0")+COUNTIFS('NELEUS'!$B$6:$B$205,$B32,'NELEUS'!$AI$6:$AI$205,"&gt;0")+COUNTIFS('ONEIROI'!$B$6:$B$205,$B32,'ONEIROI'!$AI$6:$AI$205,"&gt;0"))</f>
        <v/>
      </c>
      <c r="S32" s="53">
        <f>IF($B32="","",SUMIFS('AEOLUS'!$S$6:$S$205,'AEOLUS'!$B$6:$B$205,$B32,'AEOLUS'!$AK$6:$AK$205,1)+SUMIFS('MELICERTES'!$S$6:$S$205,'MELICERTES'!$B$6:$B$205,$B32,'MELICERTES'!$AK$6:$AK$205,1)+SUMIFS('NELEUS'!$S$6:$S$205,'NELEUS'!$B$6:$B$205,$B32,'NELEUS'!$AK$6:$AK$205,1)+SUMIFS('ONEIROI'!$S$6:$S$205,'ONEIROI'!$B$6:$B$205,$B32,'ONEIROI'!$AK$6:$AK$205,1))</f>
        <v/>
      </c>
      <c r="T32" s="36" t="inlineStr">
        <is>
          <t>보성엔지니어링 앞 RFQ (RFQ No. 칸 공란 → BOSUNG-번호로 표기)</t>
        </is>
      </c>
    </row>
    <row r="33">
      <c r="A33" s="34" t="inlineStr">
        <is>
          <t>B10</t>
        </is>
      </c>
      <c r="B33" s="34" t="inlineStr">
        <is>
          <t>BOSUNG-10</t>
        </is>
      </c>
      <c r="C33" s="36" t="inlineStr">
        <is>
          <t>CONSILIUM MARINE KOREA (fire detection)</t>
        </is>
      </c>
      <c r="D33" s="34" t="inlineStr">
        <is>
          <t>Fire Detection</t>
        </is>
      </c>
      <c r="E33" s="56" t="n">
        <v>46314</v>
      </c>
      <c r="F33" s="36" t="inlineStr">
        <is>
          <t>MELICERTES</t>
        </is>
      </c>
      <c r="G33" s="34" t="n">
        <v>4</v>
      </c>
      <c r="H33" s="58">
        <f>IF($B33="","",COUNTIFS('AEOLUS'!$B$6:$B$205,$B33,'AEOLUS'!$AJ$6:$AJ$205,1)+COUNTIFS('MELICERTES'!$B$6:$B$205,$B33,'MELICERTES'!$AJ$6:$AJ$205,1)+COUNTIFS('NELEUS'!$B$6:$B$205,$B33,'NELEUS'!$AJ$6:$AJ$205,1)+COUNTIFS('ONEIROI'!$B$6:$B$205,$B33,'ONEIROI'!$AJ$6:$AJ$205,1))</f>
        <v/>
      </c>
      <c r="I33" s="58">
        <f>IF(OR($B33="",G33=""),"",G33-H33)</f>
        <v/>
      </c>
      <c r="J33" s="58">
        <f>IF(OR($B33="",설정!$E$5=""),"",COUNTIFS('AEOLUS'!$B$6:$B$205,$B33,'AEOLUS'!$M$6:$M$205,설정!$E$5)+COUNTIFS('MELICERTES'!$B$6:$B$205,$B33,'MELICERTES'!$M$6:$M$205,설정!$E$5)+COUNTIFS('NELEUS'!$B$6:$B$205,$B33,'NELEUS'!$M$6:$M$205,설정!$E$5)+COUNTIFS('ONEIROI'!$B$6:$B$205,$B33,'ONEIROI'!$M$6:$M$205,설정!$E$5))</f>
        <v/>
      </c>
      <c r="K33" s="58">
        <f>IF(OR($B33="",설정!$E$6=""),"",COUNTIFS('AEOLUS'!$B$6:$B$205,$B33,'AEOLUS'!$M$6:$M$205,설정!$E$6)+COUNTIFS('MELICERTES'!$B$6:$B$205,$B33,'MELICERTES'!$M$6:$M$205,설정!$E$6)+COUNTIFS('NELEUS'!$B$6:$B$205,$B33,'NELEUS'!$M$6:$M$205,설정!$E$6)+COUNTIFS('ONEIROI'!$B$6:$B$205,$B33,'ONEIROI'!$M$6:$M$205,설정!$E$6))</f>
        <v/>
      </c>
      <c r="L33" s="58">
        <f>IF(OR($B33="",설정!$E$7=""),"",COUNTIFS('AEOLUS'!$B$6:$B$205,$B33,'AEOLUS'!$M$6:$M$205,설정!$E$7)+COUNTIFS('MELICERTES'!$B$6:$B$205,$B33,'MELICERTES'!$M$6:$M$205,설정!$E$7)+COUNTIFS('NELEUS'!$B$6:$B$205,$B33,'NELEUS'!$M$6:$M$205,설정!$E$7)+COUNTIFS('ONEIROI'!$B$6:$B$205,$B33,'ONEIROI'!$M$6:$M$205,설정!$E$7))</f>
        <v/>
      </c>
      <c r="M33" s="58">
        <f>IF(OR($B33="",설정!$E$8=""),"",COUNTIFS('AEOLUS'!$B$6:$B$205,$B33,'AEOLUS'!$M$6:$M$205,설정!$E$8)+COUNTIFS('MELICERTES'!$B$6:$B$205,$B33,'MELICERTES'!$M$6:$M$205,설정!$E$8)+COUNTIFS('NELEUS'!$B$6:$B$205,$B33,'NELEUS'!$M$6:$M$205,설정!$E$8)+COUNTIFS('ONEIROI'!$B$6:$B$205,$B33,'ONEIROI'!$M$6:$M$205,설정!$E$8))</f>
        <v/>
      </c>
      <c r="N33" s="58">
        <f>IF(OR($B33="",설정!$E$9=""),"",COUNTIFS('AEOLUS'!$B$6:$B$205,$B33,'AEOLUS'!$M$6:$M$205,설정!$E$9)+COUNTIFS('MELICERTES'!$B$6:$B$205,$B33,'MELICERTES'!$M$6:$M$205,설정!$E$9)+COUNTIFS('NELEUS'!$B$6:$B$205,$B33,'NELEUS'!$M$6:$M$205,설정!$E$9)+COUNTIFS('ONEIROI'!$B$6:$B$205,$B33,'ONEIROI'!$M$6:$M$205,설정!$E$9))</f>
        <v/>
      </c>
      <c r="O33" s="58">
        <f>IF(OR($B33="",설정!$E$10=""),"",COUNTIFS('AEOLUS'!$B$6:$B$205,$B33,'AEOLUS'!$M$6:$M$205,설정!$E$10)+COUNTIFS('MELICERTES'!$B$6:$B$205,$B33,'MELICERTES'!$M$6:$M$205,설정!$E$10)+COUNTIFS('NELEUS'!$B$6:$B$205,$B33,'NELEUS'!$M$6:$M$205,설정!$E$10)+COUNTIFS('ONEIROI'!$B$6:$B$205,$B33,'ONEIROI'!$M$6:$M$205,설정!$E$10))</f>
        <v/>
      </c>
      <c r="P33" s="58">
        <f>IF(OR($B33="",설정!$E$11=""),"",COUNTIFS('AEOLUS'!$B$6:$B$205,$B33,'AEOLUS'!$M$6:$M$205,설정!$E$11)+COUNTIFS('MELICERTES'!$B$6:$B$205,$B33,'MELICERTES'!$M$6:$M$205,설정!$E$11)+COUNTIFS('NELEUS'!$B$6:$B$205,$B33,'NELEUS'!$M$6:$M$205,설정!$E$11)+COUNTIFS('ONEIROI'!$B$6:$B$205,$B33,'ONEIROI'!$M$6:$M$205,설정!$E$11))</f>
        <v/>
      </c>
      <c r="Q33" s="58">
        <f>IF(OR($B33="",설정!$E$12=""),"",COUNTIFS('AEOLUS'!$B$6:$B$205,$B33,'AEOLUS'!$M$6:$M$205,설정!$E$12)+COUNTIFS('MELICERTES'!$B$6:$B$205,$B33,'MELICERTES'!$M$6:$M$205,설정!$E$12)+COUNTIFS('NELEUS'!$B$6:$B$205,$B33,'NELEUS'!$M$6:$M$205,설정!$E$12)+COUNTIFS('ONEIROI'!$B$6:$B$205,$B33,'ONEIROI'!$M$6:$M$205,설정!$E$12))</f>
        <v/>
      </c>
      <c r="R33" s="58">
        <f>IF($B33="","",COUNTIFS('AEOLUS'!$B$6:$B$205,$B33,'AEOLUS'!$AI$6:$AI$205,"&gt;0")+COUNTIFS('MELICERTES'!$B$6:$B$205,$B33,'MELICERTES'!$AI$6:$AI$205,"&gt;0")+COUNTIFS('NELEUS'!$B$6:$B$205,$B33,'NELEUS'!$AI$6:$AI$205,"&gt;0")+COUNTIFS('ONEIROI'!$B$6:$B$205,$B33,'ONEIROI'!$AI$6:$AI$205,"&gt;0"))</f>
        <v/>
      </c>
      <c r="S33" s="53">
        <f>IF($B33="","",SUMIFS('AEOLUS'!$S$6:$S$205,'AEOLUS'!$B$6:$B$205,$B33,'AEOLUS'!$AK$6:$AK$205,1)+SUMIFS('MELICERTES'!$S$6:$S$205,'MELICERTES'!$B$6:$B$205,$B33,'MELICERTES'!$AK$6:$AK$205,1)+SUMIFS('NELEUS'!$S$6:$S$205,'NELEUS'!$B$6:$B$205,$B33,'NELEUS'!$AK$6:$AK$205,1)+SUMIFS('ONEIROI'!$S$6:$S$205,'ONEIROI'!$B$6:$B$205,$B33,'ONEIROI'!$AK$6:$AK$205,1))</f>
        <v/>
      </c>
      <c r="T33" s="36" t="inlineStr">
        <is>
          <t>보성엔지니어링 앞 RFQ (RFQ No. 칸 공란 → BOSUNG-번호로 표기)</t>
        </is>
      </c>
    </row>
    <row r="34">
      <c r="A34" s="34" t="inlineStr">
        <is>
          <t>B11</t>
        </is>
      </c>
      <c r="B34" s="34" t="inlineStr">
        <is>
          <t>BOSUNG-11</t>
        </is>
      </c>
      <c r="C34" s="36" t="inlineStr">
        <is>
          <t>MARINECOM (radar)</t>
        </is>
      </c>
      <c r="D34" s="34" t="inlineStr">
        <is>
          <t>Radar</t>
        </is>
      </c>
      <c r="E34" s="56" t="n">
        <v>46314</v>
      </c>
      <c r="F34" s="36" t="inlineStr">
        <is>
          <t>MELICERTES</t>
        </is>
      </c>
      <c r="G34" s="34" t="n">
        <v>2</v>
      </c>
      <c r="H34" s="58">
        <f>IF($B34="","",COUNTIFS('AEOLUS'!$B$6:$B$205,$B34,'AEOLUS'!$AJ$6:$AJ$205,1)+COUNTIFS('MELICERTES'!$B$6:$B$205,$B34,'MELICERTES'!$AJ$6:$AJ$205,1)+COUNTIFS('NELEUS'!$B$6:$B$205,$B34,'NELEUS'!$AJ$6:$AJ$205,1)+COUNTIFS('ONEIROI'!$B$6:$B$205,$B34,'ONEIROI'!$AJ$6:$AJ$205,1))</f>
        <v/>
      </c>
      <c r="I34" s="58">
        <f>IF(OR($B34="",G34=""),"",G34-H34)</f>
        <v/>
      </c>
      <c r="J34" s="58">
        <f>IF(OR($B34="",설정!$E$5=""),"",COUNTIFS('AEOLUS'!$B$6:$B$205,$B34,'AEOLUS'!$M$6:$M$205,설정!$E$5)+COUNTIFS('MELICERTES'!$B$6:$B$205,$B34,'MELICERTES'!$M$6:$M$205,설정!$E$5)+COUNTIFS('NELEUS'!$B$6:$B$205,$B34,'NELEUS'!$M$6:$M$205,설정!$E$5)+COUNTIFS('ONEIROI'!$B$6:$B$205,$B34,'ONEIROI'!$M$6:$M$205,설정!$E$5))</f>
        <v/>
      </c>
      <c r="K34" s="58">
        <f>IF(OR($B34="",설정!$E$6=""),"",COUNTIFS('AEOLUS'!$B$6:$B$205,$B34,'AEOLUS'!$M$6:$M$205,설정!$E$6)+COUNTIFS('MELICERTES'!$B$6:$B$205,$B34,'MELICERTES'!$M$6:$M$205,설정!$E$6)+COUNTIFS('NELEUS'!$B$6:$B$205,$B34,'NELEUS'!$M$6:$M$205,설정!$E$6)+COUNTIFS('ONEIROI'!$B$6:$B$205,$B34,'ONEIROI'!$M$6:$M$205,설정!$E$6))</f>
        <v/>
      </c>
      <c r="L34" s="58">
        <f>IF(OR($B34="",설정!$E$7=""),"",COUNTIFS('AEOLUS'!$B$6:$B$205,$B34,'AEOLUS'!$M$6:$M$205,설정!$E$7)+COUNTIFS('MELICERTES'!$B$6:$B$205,$B34,'MELICERTES'!$M$6:$M$205,설정!$E$7)+COUNTIFS('NELEUS'!$B$6:$B$205,$B34,'NELEUS'!$M$6:$M$205,설정!$E$7)+COUNTIFS('ONEIROI'!$B$6:$B$205,$B34,'ONEIROI'!$M$6:$M$205,설정!$E$7))</f>
        <v/>
      </c>
      <c r="M34" s="58">
        <f>IF(OR($B34="",설정!$E$8=""),"",COUNTIFS('AEOLUS'!$B$6:$B$205,$B34,'AEOLUS'!$M$6:$M$205,설정!$E$8)+COUNTIFS('MELICERTES'!$B$6:$B$205,$B34,'MELICERTES'!$M$6:$M$205,설정!$E$8)+COUNTIFS('NELEUS'!$B$6:$B$205,$B34,'NELEUS'!$M$6:$M$205,설정!$E$8)+COUNTIFS('ONEIROI'!$B$6:$B$205,$B34,'ONEIROI'!$M$6:$M$205,설정!$E$8))</f>
        <v/>
      </c>
      <c r="N34" s="58">
        <f>IF(OR($B34="",설정!$E$9=""),"",COUNTIFS('AEOLUS'!$B$6:$B$205,$B34,'AEOLUS'!$M$6:$M$205,설정!$E$9)+COUNTIFS('MELICERTES'!$B$6:$B$205,$B34,'MELICERTES'!$M$6:$M$205,설정!$E$9)+COUNTIFS('NELEUS'!$B$6:$B$205,$B34,'NELEUS'!$M$6:$M$205,설정!$E$9)+COUNTIFS('ONEIROI'!$B$6:$B$205,$B34,'ONEIROI'!$M$6:$M$205,설정!$E$9))</f>
        <v/>
      </c>
      <c r="O34" s="58">
        <f>IF(OR($B34="",설정!$E$10=""),"",COUNTIFS('AEOLUS'!$B$6:$B$205,$B34,'AEOLUS'!$M$6:$M$205,설정!$E$10)+COUNTIFS('MELICERTES'!$B$6:$B$205,$B34,'MELICERTES'!$M$6:$M$205,설정!$E$10)+COUNTIFS('NELEUS'!$B$6:$B$205,$B34,'NELEUS'!$M$6:$M$205,설정!$E$10)+COUNTIFS('ONEIROI'!$B$6:$B$205,$B34,'ONEIROI'!$M$6:$M$205,설정!$E$10))</f>
        <v/>
      </c>
      <c r="P34" s="58">
        <f>IF(OR($B34="",설정!$E$11=""),"",COUNTIFS('AEOLUS'!$B$6:$B$205,$B34,'AEOLUS'!$M$6:$M$205,설정!$E$11)+COUNTIFS('MELICERTES'!$B$6:$B$205,$B34,'MELICERTES'!$M$6:$M$205,설정!$E$11)+COUNTIFS('NELEUS'!$B$6:$B$205,$B34,'NELEUS'!$M$6:$M$205,설정!$E$11)+COUNTIFS('ONEIROI'!$B$6:$B$205,$B34,'ONEIROI'!$M$6:$M$205,설정!$E$11))</f>
        <v/>
      </c>
      <c r="Q34" s="58">
        <f>IF(OR($B34="",설정!$E$12=""),"",COUNTIFS('AEOLUS'!$B$6:$B$205,$B34,'AEOLUS'!$M$6:$M$205,설정!$E$12)+COUNTIFS('MELICERTES'!$B$6:$B$205,$B34,'MELICERTES'!$M$6:$M$205,설정!$E$12)+COUNTIFS('NELEUS'!$B$6:$B$205,$B34,'NELEUS'!$M$6:$M$205,설정!$E$12)+COUNTIFS('ONEIROI'!$B$6:$B$205,$B34,'ONEIROI'!$M$6:$M$205,설정!$E$12))</f>
        <v/>
      </c>
      <c r="R34" s="58">
        <f>IF($B34="","",COUNTIFS('AEOLUS'!$B$6:$B$205,$B34,'AEOLUS'!$AI$6:$AI$205,"&gt;0")+COUNTIFS('MELICERTES'!$B$6:$B$205,$B34,'MELICERTES'!$AI$6:$AI$205,"&gt;0")+COUNTIFS('NELEUS'!$B$6:$B$205,$B34,'NELEUS'!$AI$6:$AI$205,"&gt;0")+COUNTIFS('ONEIROI'!$B$6:$B$205,$B34,'ONEIROI'!$AI$6:$AI$205,"&gt;0"))</f>
        <v/>
      </c>
      <c r="S34" s="53">
        <f>IF($B34="","",SUMIFS('AEOLUS'!$S$6:$S$205,'AEOLUS'!$B$6:$B$205,$B34,'AEOLUS'!$AK$6:$AK$205,1)+SUMIFS('MELICERTES'!$S$6:$S$205,'MELICERTES'!$B$6:$B$205,$B34,'MELICERTES'!$AK$6:$AK$205,1)+SUMIFS('NELEUS'!$S$6:$S$205,'NELEUS'!$B$6:$B$205,$B34,'NELEUS'!$AK$6:$AK$205,1)+SUMIFS('ONEIROI'!$S$6:$S$205,'ONEIROI'!$B$6:$B$205,$B34,'ONEIROI'!$AK$6:$AK$205,1))</f>
        <v/>
      </c>
      <c r="T34" s="36" t="inlineStr">
        <is>
          <t>보성엔지니어링 앞 RFQ (RFQ No. 칸 공란 → BOSUNG-번호로 표기)</t>
        </is>
      </c>
    </row>
    <row r="35">
      <c r="A35" s="34" t="inlineStr">
        <is>
          <t>SG</t>
        </is>
      </c>
      <c r="B35" s="34" t="inlineStr">
        <is>
          <t>SPAN GAS</t>
        </is>
      </c>
      <c r="C35" s="36" t="inlineStr">
        <is>
          <t>Span gas / calibration gas</t>
        </is>
      </c>
      <c r="D35" s="34" t="inlineStr">
        <is>
          <t>Gas detection</t>
        </is>
      </c>
      <c r="E35" s="56" t="n"/>
      <c r="F35" s="36" t="inlineStr">
        <is>
          <t>AEOLUS</t>
        </is>
      </c>
      <c r="G35" s="34" t="n">
        <v>4</v>
      </c>
      <c r="H35" s="58">
        <f>IF($B35="","",COUNTIFS('AEOLUS'!$B$6:$B$205,$B35,'AEOLUS'!$AJ$6:$AJ$205,1)+COUNTIFS('MELICERTES'!$B$6:$B$205,$B35,'MELICERTES'!$AJ$6:$AJ$205,1)+COUNTIFS('NELEUS'!$B$6:$B$205,$B35,'NELEUS'!$AJ$6:$AJ$205,1)+COUNTIFS('ONEIROI'!$B$6:$B$205,$B35,'ONEIROI'!$AJ$6:$AJ$205,1))</f>
        <v/>
      </c>
      <c r="I35" s="58">
        <f>IF(OR($B35="",G35=""),"",G35-H35)</f>
        <v/>
      </c>
      <c r="J35" s="58">
        <f>IF(OR($B35="",설정!$E$5=""),"",COUNTIFS('AEOLUS'!$B$6:$B$205,$B35,'AEOLUS'!$M$6:$M$205,설정!$E$5)+COUNTIFS('MELICERTES'!$B$6:$B$205,$B35,'MELICERTES'!$M$6:$M$205,설정!$E$5)+COUNTIFS('NELEUS'!$B$6:$B$205,$B35,'NELEUS'!$M$6:$M$205,설정!$E$5)+COUNTIFS('ONEIROI'!$B$6:$B$205,$B35,'ONEIROI'!$M$6:$M$205,설정!$E$5))</f>
        <v/>
      </c>
      <c r="K35" s="58">
        <f>IF(OR($B35="",설정!$E$6=""),"",COUNTIFS('AEOLUS'!$B$6:$B$205,$B35,'AEOLUS'!$M$6:$M$205,설정!$E$6)+COUNTIFS('MELICERTES'!$B$6:$B$205,$B35,'MELICERTES'!$M$6:$M$205,설정!$E$6)+COUNTIFS('NELEUS'!$B$6:$B$205,$B35,'NELEUS'!$M$6:$M$205,설정!$E$6)+COUNTIFS('ONEIROI'!$B$6:$B$205,$B35,'ONEIROI'!$M$6:$M$205,설정!$E$6))</f>
        <v/>
      </c>
      <c r="L35" s="58">
        <f>IF(OR($B35="",설정!$E$7=""),"",COUNTIFS('AEOLUS'!$B$6:$B$205,$B35,'AEOLUS'!$M$6:$M$205,설정!$E$7)+COUNTIFS('MELICERTES'!$B$6:$B$205,$B35,'MELICERTES'!$M$6:$M$205,설정!$E$7)+COUNTIFS('NELEUS'!$B$6:$B$205,$B35,'NELEUS'!$M$6:$M$205,설정!$E$7)+COUNTIFS('ONEIROI'!$B$6:$B$205,$B35,'ONEIROI'!$M$6:$M$205,설정!$E$7))</f>
        <v/>
      </c>
      <c r="M35" s="58">
        <f>IF(OR($B35="",설정!$E$8=""),"",COUNTIFS('AEOLUS'!$B$6:$B$205,$B35,'AEOLUS'!$M$6:$M$205,설정!$E$8)+COUNTIFS('MELICERTES'!$B$6:$B$205,$B35,'MELICERTES'!$M$6:$M$205,설정!$E$8)+COUNTIFS('NELEUS'!$B$6:$B$205,$B35,'NELEUS'!$M$6:$M$205,설정!$E$8)+COUNTIFS('ONEIROI'!$B$6:$B$205,$B35,'ONEIROI'!$M$6:$M$205,설정!$E$8))</f>
        <v/>
      </c>
      <c r="N35" s="58">
        <f>IF(OR($B35="",설정!$E$9=""),"",COUNTIFS('AEOLUS'!$B$6:$B$205,$B35,'AEOLUS'!$M$6:$M$205,설정!$E$9)+COUNTIFS('MELICERTES'!$B$6:$B$205,$B35,'MELICERTES'!$M$6:$M$205,설정!$E$9)+COUNTIFS('NELEUS'!$B$6:$B$205,$B35,'NELEUS'!$M$6:$M$205,설정!$E$9)+COUNTIFS('ONEIROI'!$B$6:$B$205,$B35,'ONEIROI'!$M$6:$M$205,설정!$E$9))</f>
        <v/>
      </c>
      <c r="O35" s="58">
        <f>IF(OR($B35="",설정!$E$10=""),"",COUNTIFS('AEOLUS'!$B$6:$B$205,$B35,'AEOLUS'!$M$6:$M$205,설정!$E$10)+COUNTIFS('MELICERTES'!$B$6:$B$205,$B35,'MELICERTES'!$M$6:$M$205,설정!$E$10)+COUNTIFS('NELEUS'!$B$6:$B$205,$B35,'NELEUS'!$M$6:$M$205,설정!$E$10)+COUNTIFS('ONEIROI'!$B$6:$B$205,$B35,'ONEIROI'!$M$6:$M$205,설정!$E$10))</f>
        <v/>
      </c>
      <c r="P35" s="58">
        <f>IF(OR($B35="",설정!$E$11=""),"",COUNTIFS('AEOLUS'!$B$6:$B$205,$B35,'AEOLUS'!$M$6:$M$205,설정!$E$11)+COUNTIFS('MELICERTES'!$B$6:$B$205,$B35,'MELICERTES'!$M$6:$M$205,설정!$E$11)+COUNTIFS('NELEUS'!$B$6:$B$205,$B35,'NELEUS'!$M$6:$M$205,설정!$E$11)+COUNTIFS('ONEIROI'!$B$6:$B$205,$B35,'ONEIROI'!$M$6:$M$205,설정!$E$11))</f>
        <v/>
      </c>
      <c r="Q35" s="58">
        <f>IF(OR($B35="",설정!$E$12=""),"",COUNTIFS('AEOLUS'!$B$6:$B$205,$B35,'AEOLUS'!$M$6:$M$205,설정!$E$12)+COUNTIFS('MELICERTES'!$B$6:$B$205,$B35,'MELICERTES'!$M$6:$M$205,설정!$E$12)+COUNTIFS('NELEUS'!$B$6:$B$205,$B35,'NELEUS'!$M$6:$M$205,설정!$E$12)+COUNTIFS('ONEIROI'!$B$6:$B$205,$B35,'ONEIROI'!$M$6:$M$205,설정!$E$12))</f>
        <v/>
      </c>
      <c r="R35" s="58">
        <f>IF($B35="","",COUNTIFS('AEOLUS'!$B$6:$B$205,$B35,'AEOLUS'!$AI$6:$AI$205,"&gt;0")+COUNTIFS('MELICERTES'!$B$6:$B$205,$B35,'MELICERTES'!$AI$6:$AI$205,"&gt;0")+COUNTIFS('NELEUS'!$B$6:$B$205,$B35,'NELEUS'!$AI$6:$AI$205,"&gt;0")+COUNTIFS('ONEIROI'!$B$6:$B$205,$B35,'ONEIROI'!$AI$6:$AI$205,"&gt;0"))</f>
        <v/>
      </c>
      <c r="S35" s="53">
        <f>IF($B35="","",SUMIFS('AEOLUS'!$S$6:$S$205,'AEOLUS'!$B$6:$B$205,$B35,'AEOLUS'!$AK$6:$AK$205,1)+SUMIFS('MELICERTES'!$S$6:$S$205,'MELICERTES'!$B$6:$B$205,$B35,'MELICERTES'!$AK$6:$AK$205,1)+SUMIFS('NELEUS'!$S$6:$S$205,'NELEUS'!$B$6:$B$205,$B35,'NELEUS'!$AK$6:$AK$205,1)+SUMIFS('ONEIROI'!$S$6:$S$205,'ONEIROI'!$B$6:$B$205,$B35,'ONEIROI'!$AK$6:$AK$205,1))</f>
        <v/>
      </c>
      <c r="T35" s="36" t="inlineStr">
        <is>
          <t>RFQ 번호 없음 – AFS 견적만</t>
        </is>
      </c>
    </row>
    <row r="36">
      <c r="A36" s="34" t="n"/>
      <c r="B36" s="34" t="n"/>
      <c r="C36" s="36" t="n"/>
      <c r="D36" s="34" t="n"/>
      <c r="E36" s="56" t="n"/>
      <c r="F36" s="36" t="n"/>
      <c r="G36" s="34" t="n"/>
      <c r="H36" s="58">
        <f>IF($B36="","",COUNTIFS('AEOLUS'!$B$6:$B$205,$B36,'AEOLUS'!$AJ$6:$AJ$205,1)+COUNTIFS('MELICERTES'!$B$6:$B$205,$B36,'MELICERTES'!$AJ$6:$AJ$205,1)+COUNTIFS('NELEUS'!$B$6:$B$205,$B36,'NELEUS'!$AJ$6:$AJ$205,1)+COUNTIFS('ONEIROI'!$B$6:$B$205,$B36,'ONEIROI'!$AJ$6:$AJ$205,1))</f>
        <v/>
      </c>
      <c r="I36" s="58">
        <f>IF(OR($B36="",G36=""),"",G36-H36)</f>
        <v/>
      </c>
      <c r="J36" s="58">
        <f>IF(OR($B36="",설정!$E$5=""),"",COUNTIFS('AEOLUS'!$B$6:$B$205,$B36,'AEOLUS'!$M$6:$M$205,설정!$E$5)+COUNTIFS('MELICERTES'!$B$6:$B$205,$B36,'MELICERTES'!$M$6:$M$205,설정!$E$5)+COUNTIFS('NELEUS'!$B$6:$B$205,$B36,'NELEUS'!$M$6:$M$205,설정!$E$5)+COUNTIFS('ONEIROI'!$B$6:$B$205,$B36,'ONEIROI'!$M$6:$M$205,설정!$E$5))</f>
        <v/>
      </c>
      <c r="K36" s="58">
        <f>IF(OR($B36="",설정!$E$6=""),"",COUNTIFS('AEOLUS'!$B$6:$B$205,$B36,'AEOLUS'!$M$6:$M$205,설정!$E$6)+COUNTIFS('MELICERTES'!$B$6:$B$205,$B36,'MELICERTES'!$M$6:$M$205,설정!$E$6)+COUNTIFS('NELEUS'!$B$6:$B$205,$B36,'NELEUS'!$M$6:$M$205,설정!$E$6)+COUNTIFS('ONEIROI'!$B$6:$B$205,$B36,'ONEIROI'!$M$6:$M$205,설정!$E$6))</f>
        <v/>
      </c>
      <c r="L36" s="58">
        <f>IF(OR($B36="",설정!$E$7=""),"",COUNTIFS('AEOLUS'!$B$6:$B$205,$B36,'AEOLUS'!$M$6:$M$205,설정!$E$7)+COUNTIFS('MELICERTES'!$B$6:$B$205,$B36,'MELICERTES'!$M$6:$M$205,설정!$E$7)+COUNTIFS('NELEUS'!$B$6:$B$205,$B36,'NELEUS'!$M$6:$M$205,설정!$E$7)+COUNTIFS('ONEIROI'!$B$6:$B$205,$B36,'ONEIROI'!$M$6:$M$205,설정!$E$7))</f>
        <v/>
      </c>
      <c r="M36" s="58">
        <f>IF(OR($B36="",설정!$E$8=""),"",COUNTIFS('AEOLUS'!$B$6:$B$205,$B36,'AEOLUS'!$M$6:$M$205,설정!$E$8)+COUNTIFS('MELICERTES'!$B$6:$B$205,$B36,'MELICERTES'!$M$6:$M$205,설정!$E$8)+COUNTIFS('NELEUS'!$B$6:$B$205,$B36,'NELEUS'!$M$6:$M$205,설정!$E$8)+COUNTIFS('ONEIROI'!$B$6:$B$205,$B36,'ONEIROI'!$M$6:$M$205,설정!$E$8))</f>
        <v/>
      </c>
      <c r="N36" s="58">
        <f>IF(OR($B36="",설정!$E$9=""),"",COUNTIFS('AEOLUS'!$B$6:$B$205,$B36,'AEOLUS'!$M$6:$M$205,설정!$E$9)+COUNTIFS('MELICERTES'!$B$6:$B$205,$B36,'MELICERTES'!$M$6:$M$205,설정!$E$9)+COUNTIFS('NELEUS'!$B$6:$B$205,$B36,'NELEUS'!$M$6:$M$205,설정!$E$9)+COUNTIFS('ONEIROI'!$B$6:$B$205,$B36,'ONEIROI'!$M$6:$M$205,설정!$E$9))</f>
        <v/>
      </c>
      <c r="O36" s="58">
        <f>IF(OR($B36="",설정!$E$10=""),"",COUNTIFS('AEOLUS'!$B$6:$B$205,$B36,'AEOLUS'!$M$6:$M$205,설정!$E$10)+COUNTIFS('MELICERTES'!$B$6:$B$205,$B36,'MELICERTES'!$M$6:$M$205,설정!$E$10)+COUNTIFS('NELEUS'!$B$6:$B$205,$B36,'NELEUS'!$M$6:$M$205,설정!$E$10)+COUNTIFS('ONEIROI'!$B$6:$B$205,$B36,'ONEIROI'!$M$6:$M$205,설정!$E$10))</f>
        <v/>
      </c>
      <c r="P36" s="58">
        <f>IF(OR($B36="",설정!$E$11=""),"",COUNTIFS('AEOLUS'!$B$6:$B$205,$B36,'AEOLUS'!$M$6:$M$205,설정!$E$11)+COUNTIFS('MELICERTES'!$B$6:$B$205,$B36,'MELICERTES'!$M$6:$M$205,설정!$E$11)+COUNTIFS('NELEUS'!$B$6:$B$205,$B36,'NELEUS'!$M$6:$M$205,설정!$E$11)+COUNTIFS('ONEIROI'!$B$6:$B$205,$B36,'ONEIROI'!$M$6:$M$205,설정!$E$11))</f>
        <v/>
      </c>
      <c r="Q36" s="58">
        <f>IF(OR($B36="",설정!$E$12=""),"",COUNTIFS('AEOLUS'!$B$6:$B$205,$B36,'AEOLUS'!$M$6:$M$205,설정!$E$12)+COUNTIFS('MELICERTES'!$B$6:$B$205,$B36,'MELICERTES'!$M$6:$M$205,설정!$E$12)+COUNTIFS('NELEUS'!$B$6:$B$205,$B36,'NELEUS'!$M$6:$M$205,설정!$E$12)+COUNTIFS('ONEIROI'!$B$6:$B$205,$B36,'ONEIROI'!$M$6:$M$205,설정!$E$12))</f>
        <v/>
      </c>
      <c r="R36" s="58">
        <f>IF($B36="","",COUNTIFS('AEOLUS'!$B$6:$B$205,$B36,'AEOLUS'!$AI$6:$AI$205,"&gt;0")+COUNTIFS('MELICERTES'!$B$6:$B$205,$B36,'MELICERTES'!$AI$6:$AI$205,"&gt;0")+COUNTIFS('NELEUS'!$B$6:$B$205,$B36,'NELEUS'!$AI$6:$AI$205,"&gt;0")+COUNTIFS('ONEIROI'!$B$6:$B$205,$B36,'ONEIROI'!$AI$6:$AI$205,"&gt;0"))</f>
        <v/>
      </c>
      <c r="S36" s="53">
        <f>IF($B36="","",SUMIFS('AEOLUS'!$S$6:$S$205,'AEOLUS'!$B$6:$B$205,$B36,'AEOLUS'!$AK$6:$AK$205,1)+SUMIFS('MELICERTES'!$S$6:$S$205,'MELICERTES'!$B$6:$B$205,$B36,'MELICERTES'!$AK$6:$AK$205,1)+SUMIFS('NELEUS'!$S$6:$S$205,'NELEUS'!$B$6:$B$205,$B36,'NELEUS'!$AK$6:$AK$205,1)+SUMIFS('ONEIROI'!$S$6:$S$205,'ONEIROI'!$B$6:$B$205,$B36,'ONEIROI'!$AK$6:$AK$205,1))</f>
        <v/>
      </c>
      <c r="T36" s="36" t="n"/>
    </row>
    <row r="37">
      <c r="A37" s="34" t="n"/>
      <c r="B37" s="34" t="n"/>
      <c r="C37" s="36" t="n"/>
      <c r="D37" s="34" t="n"/>
      <c r="E37" s="56" t="n"/>
      <c r="F37" s="36" t="n"/>
      <c r="G37" s="34" t="n"/>
      <c r="H37" s="58">
        <f>IF($B37="","",COUNTIFS('AEOLUS'!$B$6:$B$205,$B37,'AEOLUS'!$AJ$6:$AJ$205,1)+COUNTIFS('MELICERTES'!$B$6:$B$205,$B37,'MELICERTES'!$AJ$6:$AJ$205,1)+COUNTIFS('NELEUS'!$B$6:$B$205,$B37,'NELEUS'!$AJ$6:$AJ$205,1)+COUNTIFS('ONEIROI'!$B$6:$B$205,$B37,'ONEIROI'!$AJ$6:$AJ$205,1))</f>
        <v/>
      </c>
      <c r="I37" s="58">
        <f>IF(OR($B37="",G37=""),"",G37-H37)</f>
        <v/>
      </c>
      <c r="J37" s="58">
        <f>IF(OR($B37="",설정!$E$5=""),"",COUNTIFS('AEOLUS'!$B$6:$B$205,$B37,'AEOLUS'!$M$6:$M$205,설정!$E$5)+COUNTIFS('MELICERTES'!$B$6:$B$205,$B37,'MELICERTES'!$M$6:$M$205,설정!$E$5)+COUNTIFS('NELEUS'!$B$6:$B$205,$B37,'NELEUS'!$M$6:$M$205,설정!$E$5)+COUNTIFS('ONEIROI'!$B$6:$B$205,$B37,'ONEIROI'!$M$6:$M$205,설정!$E$5))</f>
        <v/>
      </c>
      <c r="K37" s="58">
        <f>IF(OR($B37="",설정!$E$6=""),"",COUNTIFS('AEOLUS'!$B$6:$B$205,$B37,'AEOLUS'!$M$6:$M$205,설정!$E$6)+COUNTIFS('MELICERTES'!$B$6:$B$205,$B37,'MELICERTES'!$M$6:$M$205,설정!$E$6)+COUNTIFS('NELEUS'!$B$6:$B$205,$B37,'NELEUS'!$M$6:$M$205,설정!$E$6)+COUNTIFS('ONEIROI'!$B$6:$B$205,$B37,'ONEIROI'!$M$6:$M$205,설정!$E$6))</f>
        <v/>
      </c>
      <c r="L37" s="58">
        <f>IF(OR($B37="",설정!$E$7=""),"",COUNTIFS('AEOLUS'!$B$6:$B$205,$B37,'AEOLUS'!$M$6:$M$205,설정!$E$7)+COUNTIFS('MELICERTES'!$B$6:$B$205,$B37,'MELICERTES'!$M$6:$M$205,설정!$E$7)+COUNTIFS('NELEUS'!$B$6:$B$205,$B37,'NELEUS'!$M$6:$M$205,설정!$E$7)+COUNTIFS('ONEIROI'!$B$6:$B$205,$B37,'ONEIROI'!$M$6:$M$205,설정!$E$7))</f>
        <v/>
      </c>
      <c r="M37" s="58">
        <f>IF(OR($B37="",설정!$E$8=""),"",COUNTIFS('AEOLUS'!$B$6:$B$205,$B37,'AEOLUS'!$M$6:$M$205,설정!$E$8)+COUNTIFS('MELICERTES'!$B$6:$B$205,$B37,'MELICERTES'!$M$6:$M$205,설정!$E$8)+COUNTIFS('NELEUS'!$B$6:$B$205,$B37,'NELEUS'!$M$6:$M$205,설정!$E$8)+COUNTIFS('ONEIROI'!$B$6:$B$205,$B37,'ONEIROI'!$M$6:$M$205,설정!$E$8))</f>
        <v/>
      </c>
      <c r="N37" s="58">
        <f>IF(OR($B37="",설정!$E$9=""),"",COUNTIFS('AEOLUS'!$B$6:$B$205,$B37,'AEOLUS'!$M$6:$M$205,설정!$E$9)+COUNTIFS('MELICERTES'!$B$6:$B$205,$B37,'MELICERTES'!$M$6:$M$205,설정!$E$9)+COUNTIFS('NELEUS'!$B$6:$B$205,$B37,'NELEUS'!$M$6:$M$205,설정!$E$9)+COUNTIFS('ONEIROI'!$B$6:$B$205,$B37,'ONEIROI'!$M$6:$M$205,설정!$E$9))</f>
        <v/>
      </c>
      <c r="O37" s="58">
        <f>IF(OR($B37="",설정!$E$10=""),"",COUNTIFS('AEOLUS'!$B$6:$B$205,$B37,'AEOLUS'!$M$6:$M$205,설정!$E$10)+COUNTIFS('MELICERTES'!$B$6:$B$205,$B37,'MELICERTES'!$M$6:$M$205,설정!$E$10)+COUNTIFS('NELEUS'!$B$6:$B$205,$B37,'NELEUS'!$M$6:$M$205,설정!$E$10)+COUNTIFS('ONEIROI'!$B$6:$B$205,$B37,'ONEIROI'!$M$6:$M$205,설정!$E$10))</f>
        <v/>
      </c>
      <c r="P37" s="58">
        <f>IF(OR($B37="",설정!$E$11=""),"",COUNTIFS('AEOLUS'!$B$6:$B$205,$B37,'AEOLUS'!$M$6:$M$205,설정!$E$11)+COUNTIFS('MELICERTES'!$B$6:$B$205,$B37,'MELICERTES'!$M$6:$M$205,설정!$E$11)+COUNTIFS('NELEUS'!$B$6:$B$205,$B37,'NELEUS'!$M$6:$M$205,설정!$E$11)+COUNTIFS('ONEIROI'!$B$6:$B$205,$B37,'ONEIROI'!$M$6:$M$205,설정!$E$11))</f>
        <v/>
      </c>
      <c r="Q37" s="58">
        <f>IF(OR($B37="",설정!$E$12=""),"",COUNTIFS('AEOLUS'!$B$6:$B$205,$B37,'AEOLUS'!$M$6:$M$205,설정!$E$12)+COUNTIFS('MELICERTES'!$B$6:$B$205,$B37,'MELICERTES'!$M$6:$M$205,설정!$E$12)+COUNTIFS('NELEUS'!$B$6:$B$205,$B37,'NELEUS'!$M$6:$M$205,설정!$E$12)+COUNTIFS('ONEIROI'!$B$6:$B$205,$B37,'ONEIROI'!$M$6:$M$205,설정!$E$12))</f>
        <v/>
      </c>
      <c r="R37" s="58">
        <f>IF($B37="","",COUNTIFS('AEOLUS'!$B$6:$B$205,$B37,'AEOLUS'!$AI$6:$AI$205,"&gt;0")+COUNTIFS('MELICERTES'!$B$6:$B$205,$B37,'MELICERTES'!$AI$6:$AI$205,"&gt;0")+COUNTIFS('NELEUS'!$B$6:$B$205,$B37,'NELEUS'!$AI$6:$AI$205,"&gt;0")+COUNTIFS('ONEIROI'!$B$6:$B$205,$B37,'ONEIROI'!$AI$6:$AI$205,"&gt;0"))</f>
        <v/>
      </c>
      <c r="S37" s="53">
        <f>IF($B37="","",SUMIFS('AEOLUS'!$S$6:$S$205,'AEOLUS'!$B$6:$B$205,$B37,'AEOLUS'!$AK$6:$AK$205,1)+SUMIFS('MELICERTES'!$S$6:$S$205,'MELICERTES'!$B$6:$B$205,$B37,'MELICERTES'!$AK$6:$AK$205,1)+SUMIFS('NELEUS'!$S$6:$S$205,'NELEUS'!$B$6:$B$205,$B37,'NELEUS'!$AK$6:$AK$205,1)+SUMIFS('ONEIROI'!$S$6:$S$205,'ONEIROI'!$B$6:$B$205,$B37,'ONEIROI'!$AK$6:$AK$205,1))</f>
        <v/>
      </c>
      <c r="T37" s="36" t="n"/>
    </row>
    <row r="38">
      <c r="A38" s="34" t="n"/>
      <c r="B38" s="34" t="n"/>
      <c r="C38" s="36" t="n"/>
      <c r="D38" s="34" t="n"/>
      <c r="E38" s="56" t="n"/>
      <c r="F38" s="36" t="n"/>
      <c r="G38" s="34" t="n"/>
      <c r="H38" s="58">
        <f>IF($B38="","",COUNTIFS('AEOLUS'!$B$6:$B$205,$B38,'AEOLUS'!$AJ$6:$AJ$205,1)+COUNTIFS('MELICERTES'!$B$6:$B$205,$B38,'MELICERTES'!$AJ$6:$AJ$205,1)+COUNTIFS('NELEUS'!$B$6:$B$205,$B38,'NELEUS'!$AJ$6:$AJ$205,1)+COUNTIFS('ONEIROI'!$B$6:$B$205,$B38,'ONEIROI'!$AJ$6:$AJ$205,1))</f>
        <v/>
      </c>
      <c r="I38" s="58">
        <f>IF(OR($B38="",G38=""),"",G38-H38)</f>
        <v/>
      </c>
      <c r="J38" s="58">
        <f>IF(OR($B38="",설정!$E$5=""),"",COUNTIFS('AEOLUS'!$B$6:$B$205,$B38,'AEOLUS'!$M$6:$M$205,설정!$E$5)+COUNTIFS('MELICERTES'!$B$6:$B$205,$B38,'MELICERTES'!$M$6:$M$205,설정!$E$5)+COUNTIFS('NELEUS'!$B$6:$B$205,$B38,'NELEUS'!$M$6:$M$205,설정!$E$5)+COUNTIFS('ONEIROI'!$B$6:$B$205,$B38,'ONEIROI'!$M$6:$M$205,설정!$E$5))</f>
        <v/>
      </c>
      <c r="K38" s="58">
        <f>IF(OR($B38="",설정!$E$6=""),"",COUNTIFS('AEOLUS'!$B$6:$B$205,$B38,'AEOLUS'!$M$6:$M$205,설정!$E$6)+COUNTIFS('MELICERTES'!$B$6:$B$205,$B38,'MELICERTES'!$M$6:$M$205,설정!$E$6)+COUNTIFS('NELEUS'!$B$6:$B$205,$B38,'NELEUS'!$M$6:$M$205,설정!$E$6)+COUNTIFS('ONEIROI'!$B$6:$B$205,$B38,'ONEIROI'!$M$6:$M$205,설정!$E$6))</f>
        <v/>
      </c>
      <c r="L38" s="58">
        <f>IF(OR($B38="",설정!$E$7=""),"",COUNTIFS('AEOLUS'!$B$6:$B$205,$B38,'AEOLUS'!$M$6:$M$205,설정!$E$7)+COUNTIFS('MELICERTES'!$B$6:$B$205,$B38,'MELICERTES'!$M$6:$M$205,설정!$E$7)+COUNTIFS('NELEUS'!$B$6:$B$205,$B38,'NELEUS'!$M$6:$M$205,설정!$E$7)+COUNTIFS('ONEIROI'!$B$6:$B$205,$B38,'ONEIROI'!$M$6:$M$205,설정!$E$7))</f>
        <v/>
      </c>
      <c r="M38" s="58">
        <f>IF(OR($B38="",설정!$E$8=""),"",COUNTIFS('AEOLUS'!$B$6:$B$205,$B38,'AEOLUS'!$M$6:$M$205,설정!$E$8)+COUNTIFS('MELICERTES'!$B$6:$B$205,$B38,'MELICERTES'!$M$6:$M$205,설정!$E$8)+COUNTIFS('NELEUS'!$B$6:$B$205,$B38,'NELEUS'!$M$6:$M$205,설정!$E$8)+COUNTIFS('ONEIROI'!$B$6:$B$205,$B38,'ONEIROI'!$M$6:$M$205,설정!$E$8))</f>
        <v/>
      </c>
      <c r="N38" s="58">
        <f>IF(OR($B38="",설정!$E$9=""),"",COUNTIFS('AEOLUS'!$B$6:$B$205,$B38,'AEOLUS'!$M$6:$M$205,설정!$E$9)+COUNTIFS('MELICERTES'!$B$6:$B$205,$B38,'MELICERTES'!$M$6:$M$205,설정!$E$9)+COUNTIFS('NELEUS'!$B$6:$B$205,$B38,'NELEUS'!$M$6:$M$205,설정!$E$9)+COUNTIFS('ONEIROI'!$B$6:$B$205,$B38,'ONEIROI'!$M$6:$M$205,설정!$E$9))</f>
        <v/>
      </c>
      <c r="O38" s="58">
        <f>IF(OR($B38="",설정!$E$10=""),"",COUNTIFS('AEOLUS'!$B$6:$B$205,$B38,'AEOLUS'!$M$6:$M$205,설정!$E$10)+COUNTIFS('MELICERTES'!$B$6:$B$205,$B38,'MELICERTES'!$M$6:$M$205,설정!$E$10)+COUNTIFS('NELEUS'!$B$6:$B$205,$B38,'NELEUS'!$M$6:$M$205,설정!$E$10)+COUNTIFS('ONEIROI'!$B$6:$B$205,$B38,'ONEIROI'!$M$6:$M$205,설정!$E$10))</f>
        <v/>
      </c>
      <c r="P38" s="58">
        <f>IF(OR($B38="",설정!$E$11=""),"",COUNTIFS('AEOLUS'!$B$6:$B$205,$B38,'AEOLUS'!$M$6:$M$205,설정!$E$11)+COUNTIFS('MELICERTES'!$B$6:$B$205,$B38,'MELICERTES'!$M$6:$M$205,설정!$E$11)+COUNTIFS('NELEUS'!$B$6:$B$205,$B38,'NELEUS'!$M$6:$M$205,설정!$E$11)+COUNTIFS('ONEIROI'!$B$6:$B$205,$B38,'ONEIROI'!$M$6:$M$205,설정!$E$11))</f>
        <v/>
      </c>
      <c r="Q38" s="58">
        <f>IF(OR($B38="",설정!$E$12=""),"",COUNTIFS('AEOLUS'!$B$6:$B$205,$B38,'AEOLUS'!$M$6:$M$205,설정!$E$12)+COUNTIFS('MELICERTES'!$B$6:$B$205,$B38,'MELICERTES'!$M$6:$M$205,설정!$E$12)+COUNTIFS('NELEUS'!$B$6:$B$205,$B38,'NELEUS'!$M$6:$M$205,설정!$E$12)+COUNTIFS('ONEIROI'!$B$6:$B$205,$B38,'ONEIROI'!$M$6:$M$205,설정!$E$12))</f>
        <v/>
      </c>
      <c r="R38" s="58">
        <f>IF($B38="","",COUNTIFS('AEOLUS'!$B$6:$B$205,$B38,'AEOLUS'!$AI$6:$AI$205,"&gt;0")+COUNTIFS('MELICERTES'!$B$6:$B$205,$B38,'MELICERTES'!$AI$6:$AI$205,"&gt;0")+COUNTIFS('NELEUS'!$B$6:$B$205,$B38,'NELEUS'!$AI$6:$AI$205,"&gt;0")+COUNTIFS('ONEIROI'!$B$6:$B$205,$B38,'ONEIROI'!$AI$6:$AI$205,"&gt;0"))</f>
        <v/>
      </c>
      <c r="S38" s="53">
        <f>IF($B38="","",SUMIFS('AEOLUS'!$S$6:$S$205,'AEOLUS'!$B$6:$B$205,$B38,'AEOLUS'!$AK$6:$AK$205,1)+SUMIFS('MELICERTES'!$S$6:$S$205,'MELICERTES'!$B$6:$B$205,$B38,'MELICERTES'!$AK$6:$AK$205,1)+SUMIFS('NELEUS'!$S$6:$S$205,'NELEUS'!$B$6:$B$205,$B38,'NELEUS'!$AK$6:$AK$205,1)+SUMIFS('ONEIROI'!$S$6:$S$205,'ONEIROI'!$B$6:$B$205,$B38,'ONEIROI'!$AK$6:$AK$205,1))</f>
        <v/>
      </c>
      <c r="T38" s="36" t="n"/>
    </row>
    <row r="39">
      <c r="A39" s="34" t="n"/>
      <c r="B39" s="34" t="n"/>
      <c r="C39" s="36" t="n"/>
      <c r="D39" s="34" t="n"/>
      <c r="E39" s="56" t="n"/>
      <c r="F39" s="36" t="n"/>
      <c r="G39" s="34" t="n"/>
      <c r="H39" s="58">
        <f>IF($B39="","",COUNTIFS('AEOLUS'!$B$6:$B$205,$B39,'AEOLUS'!$AJ$6:$AJ$205,1)+COUNTIFS('MELICERTES'!$B$6:$B$205,$B39,'MELICERTES'!$AJ$6:$AJ$205,1)+COUNTIFS('NELEUS'!$B$6:$B$205,$B39,'NELEUS'!$AJ$6:$AJ$205,1)+COUNTIFS('ONEIROI'!$B$6:$B$205,$B39,'ONEIROI'!$AJ$6:$AJ$205,1))</f>
        <v/>
      </c>
      <c r="I39" s="58">
        <f>IF(OR($B39="",G39=""),"",G39-H39)</f>
        <v/>
      </c>
      <c r="J39" s="58">
        <f>IF(OR($B39="",설정!$E$5=""),"",COUNTIFS('AEOLUS'!$B$6:$B$205,$B39,'AEOLUS'!$M$6:$M$205,설정!$E$5)+COUNTIFS('MELICERTES'!$B$6:$B$205,$B39,'MELICERTES'!$M$6:$M$205,설정!$E$5)+COUNTIFS('NELEUS'!$B$6:$B$205,$B39,'NELEUS'!$M$6:$M$205,설정!$E$5)+COUNTIFS('ONEIROI'!$B$6:$B$205,$B39,'ONEIROI'!$M$6:$M$205,설정!$E$5))</f>
        <v/>
      </c>
      <c r="K39" s="58">
        <f>IF(OR($B39="",설정!$E$6=""),"",COUNTIFS('AEOLUS'!$B$6:$B$205,$B39,'AEOLUS'!$M$6:$M$205,설정!$E$6)+COUNTIFS('MELICERTES'!$B$6:$B$205,$B39,'MELICERTES'!$M$6:$M$205,설정!$E$6)+COUNTIFS('NELEUS'!$B$6:$B$205,$B39,'NELEUS'!$M$6:$M$205,설정!$E$6)+COUNTIFS('ONEIROI'!$B$6:$B$205,$B39,'ONEIROI'!$M$6:$M$205,설정!$E$6))</f>
        <v/>
      </c>
      <c r="L39" s="58">
        <f>IF(OR($B39="",설정!$E$7=""),"",COUNTIFS('AEOLUS'!$B$6:$B$205,$B39,'AEOLUS'!$M$6:$M$205,설정!$E$7)+COUNTIFS('MELICERTES'!$B$6:$B$205,$B39,'MELICERTES'!$M$6:$M$205,설정!$E$7)+COUNTIFS('NELEUS'!$B$6:$B$205,$B39,'NELEUS'!$M$6:$M$205,설정!$E$7)+COUNTIFS('ONEIROI'!$B$6:$B$205,$B39,'ONEIROI'!$M$6:$M$205,설정!$E$7))</f>
        <v/>
      </c>
      <c r="M39" s="58">
        <f>IF(OR($B39="",설정!$E$8=""),"",COUNTIFS('AEOLUS'!$B$6:$B$205,$B39,'AEOLUS'!$M$6:$M$205,설정!$E$8)+COUNTIFS('MELICERTES'!$B$6:$B$205,$B39,'MELICERTES'!$M$6:$M$205,설정!$E$8)+COUNTIFS('NELEUS'!$B$6:$B$205,$B39,'NELEUS'!$M$6:$M$205,설정!$E$8)+COUNTIFS('ONEIROI'!$B$6:$B$205,$B39,'ONEIROI'!$M$6:$M$205,설정!$E$8))</f>
        <v/>
      </c>
      <c r="N39" s="58">
        <f>IF(OR($B39="",설정!$E$9=""),"",COUNTIFS('AEOLUS'!$B$6:$B$205,$B39,'AEOLUS'!$M$6:$M$205,설정!$E$9)+COUNTIFS('MELICERTES'!$B$6:$B$205,$B39,'MELICERTES'!$M$6:$M$205,설정!$E$9)+COUNTIFS('NELEUS'!$B$6:$B$205,$B39,'NELEUS'!$M$6:$M$205,설정!$E$9)+COUNTIFS('ONEIROI'!$B$6:$B$205,$B39,'ONEIROI'!$M$6:$M$205,설정!$E$9))</f>
        <v/>
      </c>
      <c r="O39" s="58">
        <f>IF(OR($B39="",설정!$E$10=""),"",COUNTIFS('AEOLUS'!$B$6:$B$205,$B39,'AEOLUS'!$M$6:$M$205,설정!$E$10)+COUNTIFS('MELICERTES'!$B$6:$B$205,$B39,'MELICERTES'!$M$6:$M$205,설정!$E$10)+COUNTIFS('NELEUS'!$B$6:$B$205,$B39,'NELEUS'!$M$6:$M$205,설정!$E$10)+COUNTIFS('ONEIROI'!$B$6:$B$205,$B39,'ONEIROI'!$M$6:$M$205,설정!$E$10))</f>
        <v/>
      </c>
      <c r="P39" s="58">
        <f>IF(OR($B39="",설정!$E$11=""),"",COUNTIFS('AEOLUS'!$B$6:$B$205,$B39,'AEOLUS'!$M$6:$M$205,설정!$E$11)+COUNTIFS('MELICERTES'!$B$6:$B$205,$B39,'MELICERTES'!$M$6:$M$205,설정!$E$11)+COUNTIFS('NELEUS'!$B$6:$B$205,$B39,'NELEUS'!$M$6:$M$205,설정!$E$11)+COUNTIFS('ONEIROI'!$B$6:$B$205,$B39,'ONEIROI'!$M$6:$M$205,설정!$E$11))</f>
        <v/>
      </c>
      <c r="Q39" s="58">
        <f>IF(OR($B39="",설정!$E$12=""),"",COUNTIFS('AEOLUS'!$B$6:$B$205,$B39,'AEOLUS'!$M$6:$M$205,설정!$E$12)+COUNTIFS('MELICERTES'!$B$6:$B$205,$B39,'MELICERTES'!$M$6:$M$205,설정!$E$12)+COUNTIFS('NELEUS'!$B$6:$B$205,$B39,'NELEUS'!$M$6:$M$205,설정!$E$12)+COUNTIFS('ONEIROI'!$B$6:$B$205,$B39,'ONEIROI'!$M$6:$M$205,설정!$E$12))</f>
        <v/>
      </c>
      <c r="R39" s="58">
        <f>IF($B39="","",COUNTIFS('AEOLUS'!$B$6:$B$205,$B39,'AEOLUS'!$AI$6:$AI$205,"&gt;0")+COUNTIFS('MELICERTES'!$B$6:$B$205,$B39,'MELICERTES'!$AI$6:$AI$205,"&gt;0")+COUNTIFS('NELEUS'!$B$6:$B$205,$B39,'NELEUS'!$AI$6:$AI$205,"&gt;0")+COUNTIFS('ONEIROI'!$B$6:$B$205,$B39,'ONEIROI'!$AI$6:$AI$205,"&gt;0"))</f>
        <v/>
      </c>
      <c r="S39" s="53">
        <f>IF($B39="","",SUMIFS('AEOLUS'!$S$6:$S$205,'AEOLUS'!$B$6:$B$205,$B39,'AEOLUS'!$AK$6:$AK$205,1)+SUMIFS('MELICERTES'!$S$6:$S$205,'MELICERTES'!$B$6:$B$205,$B39,'MELICERTES'!$AK$6:$AK$205,1)+SUMIFS('NELEUS'!$S$6:$S$205,'NELEUS'!$B$6:$B$205,$B39,'NELEUS'!$AK$6:$AK$205,1)+SUMIFS('ONEIROI'!$S$6:$S$205,'ONEIROI'!$B$6:$B$205,$B39,'ONEIROI'!$AK$6:$AK$205,1))</f>
        <v/>
      </c>
      <c r="T39" s="36" t="n"/>
    </row>
    <row r="40">
      <c r="A40" s="34" t="n"/>
      <c r="B40" s="34" t="n"/>
      <c r="C40" s="36" t="n"/>
      <c r="D40" s="34" t="n"/>
      <c r="E40" s="56" t="n"/>
      <c r="F40" s="36" t="n"/>
      <c r="G40" s="34" t="n"/>
      <c r="H40" s="58">
        <f>IF($B40="","",COUNTIFS('AEOLUS'!$B$6:$B$205,$B40,'AEOLUS'!$AJ$6:$AJ$205,1)+COUNTIFS('MELICERTES'!$B$6:$B$205,$B40,'MELICERTES'!$AJ$6:$AJ$205,1)+COUNTIFS('NELEUS'!$B$6:$B$205,$B40,'NELEUS'!$AJ$6:$AJ$205,1)+COUNTIFS('ONEIROI'!$B$6:$B$205,$B40,'ONEIROI'!$AJ$6:$AJ$205,1))</f>
        <v/>
      </c>
      <c r="I40" s="58">
        <f>IF(OR($B40="",G40=""),"",G40-H40)</f>
        <v/>
      </c>
      <c r="J40" s="58">
        <f>IF(OR($B40="",설정!$E$5=""),"",COUNTIFS('AEOLUS'!$B$6:$B$205,$B40,'AEOLUS'!$M$6:$M$205,설정!$E$5)+COUNTIFS('MELICERTES'!$B$6:$B$205,$B40,'MELICERTES'!$M$6:$M$205,설정!$E$5)+COUNTIFS('NELEUS'!$B$6:$B$205,$B40,'NELEUS'!$M$6:$M$205,설정!$E$5)+COUNTIFS('ONEIROI'!$B$6:$B$205,$B40,'ONEIROI'!$M$6:$M$205,설정!$E$5))</f>
        <v/>
      </c>
      <c r="K40" s="58">
        <f>IF(OR($B40="",설정!$E$6=""),"",COUNTIFS('AEOLUS'!$B$6:$B$205,$B40,'AEOLUS'!$M$6:$M$205,설정!$E$6)+COUNTIFS('MELICERTES'!$B$6:$B$205,$B40,'MELICERTES'!$M$6:$M$205,설정!$E$6)+COUNTIFS('NELEUS'!$B$6:$B$205,$B40,'NELEUS'!$M$6:$M$205,설정!$E$6)+COUNTIFS('ONEIROI'!$B$6:$B$205,$B40,'ONEIROI'!$M$6:$M$205,설정!$E$6))</f>
        <v/>
      </c>
      <c r="L40" s="58">
        <f>IF(OR($B40="",설정!$E$7=""),"",COUNTIFS('AEOLUS'!$B$6:$B$205,$B40,'AEOLUS'!$M$6:$M$205,설정!$E$7)+COUNTIFS('MELICERTES'!$B$6:$B$205,$B40,'MELICERTES'!$M$6:$M$205,설정!$E$7)+COUNTIFS('NELEUS'!$B$6:$B$205,$B40,'NELEUS'!$M$6:$M$205,설정!$E$7)+COUNTIFS('ONEIROI'!$B$6:$B$205,$B40,'ONEIROI'!$M$6:$M$205,설정!$E$7))</f>
        <v/>
      </c>
      <c r="M40" s="58">
        <f>IF(OR($B40="",설정!$E$8=""),"",COUNTIFS('AEOLUS'!$B$6:$B$205,$B40,'AEOLUS'!$M$6:$M$205,설정!$E$8)+COUNTIFS('MELICERTES'!$B$6:$B$205,$B40,'MELICERTES'!$M$6:$M$205,설정!$E$8)+COUNTIFS('NELEUS'!$B$6:$B$205,$B40,'NELEUS'!$M$6:$M$205,설정!$E$8)+COUNTIFS('ONEIROI'!$B$6:$B$205,$B40,'ONEIROI'!$M$6:$M$205,설정!$E$8))</f>
        <v/>
      </c>
      <c r="N40" s="58">
        <f>IF(OR($B40="",설정!$E$9=""),"",COUNTIFS('AEOLUS'!$B$6:$B$205,$B40,'AEOLUS'!$M$6:$M$205,설정!$E$9)+COUNTIFS('MELICERTES'!$B$6:$B$205,$B40,'MELICERTES'!$M$6:$M$205,설정!$E$9)+COUNTIFS('NELEUS'!$B$6:$B$205,$B40,'NELEUS'!$M$6:$M$205,설정!$E$9)+COUNTIFS('ONEIROI'!$B$6:$B$205,$B40,'ONEIROI'!$M$6:$M$205,설정!$E$9))</f>
        <v/>
      </c>
      <c r="O40" s="58">
        <f>IF(OR($B40="",설정!$E$10=""),"",COUNTIFS('AEOLUS'!$B$6:$B$205,$B40,'AEOLUS'!$M$6:$M$205,설정!$E$10)+COUNTIFS('MELICERTES'!$B$6:$B$205,$B40,'MELICERTES'!$M$6:$M$205,설정!$E$10)+COUNTIFS('NELEUS'!$B$6:$B$205,$B40,'NELEUS'!$M$6:$M$205,설정!$E$10)+COUNTIFS('ONEIROI'!$B$6:$B$205,$B40,'ONEIROI'!$M$6:$M$205,설정!$E$10))</f>
        <v/>
      </c>
      <c r="P40" s="58">
        <f>IF(OR($B40="",설정!$E$11=""),"",COUNTIFS('AEOLUS'!$B$6:$B$205,$B40,'AEOLUS'!$M$6:$M$205,설정!$E$11)+COUNTIFS('MELICERTES'!$B$6:$B$205,$B40,'MELICERTES'!$M$6:$M$205,설정!$E$11)+COUNTIFS('NELEUS'!$B$6:$B$205,$B40,'NELEUS'!$M$6:$M$205,설정!$E$11)+COUNTIFS('ONEIROI'!$B$6:$B$205,$B40,'ONEIROI'!$M$6:$M$205,설정!$E$11))</f>
        <v/>
      </c>
      <c r="Q40" s="58">
        <f>IF(OR($B40="",설정!$E$12=""),"",COUNTIFS('AEOLUS'!$B$6:$B$205,$B40,'AEOLUS'!$M$6:$M$205,설정!$E$12)+COUNTIFS('MELICERTES'!$B$6:$B$205,$B40,'MELICERTES'!$M$6:$M$205,설정!$E$12)+COUNTIFS('NELEUS'!$B$6:$B$205,$B40,'NELEUS'!$M$6:$M$205,설정!$E$12)+COUNTIFS('ONEIROI'!$B$6:$B$205,$B40,'ONEIROI'!$M$6:$M$205,설정!$E$12))</f>
        <v/>
      </c>
      <c r="R40" s="58">
        <f>IF($B40="","",COUNTIFS('AEOLUS'!$B$6:$B$205,$B40,'AEOLUS'!$AI$6:$AI$205,"&gt;0")+COUNTIFS('MELICERTES'!$B$6:$B$205,$B40,'MELICERTES'!$AI$6:$AI$205,"&gt;0")+COUNTIFS('NELEUS'!$B$6:$B$205,$B40,'NELEUS'!$AI$6:$AI$205,"&gt;0")+COUNTIFS('ONEIROI'!$B$6:$B$205,$B40,'ONEIROI'!$AI$6:$AI$205,"&gt;0"))</f>
        <v/>
      </c>
      <c r="S40" s="53">
        <f>IF($B40="","",SUMIFS('AEOLUS'!$S$6:$S$205,'AEOLUS'!$B$6:$B$205,$B40,'AEOLUS'!$AK$6:$AK$205,1)+SUMIFS('MELICERTES'!$S$6:$S$205,'MELICERTES'!$B$6:$B$205,$B40,'MELICERTES'!$AK$6:$AK$205,1)+SUMIFS('NELEUS'!$S$6:$S$205,'NELEUS'!$B$6:$B$205,$B40,'NELEUS'!$AK$6:$AK$205,1)+SUMIFS('ONEIROI'!$S$6:$S$205,'ONEIROI'!$B$6:$B$205,$B40,'ONEIROI'!$AK$6:$AK$205,1))</f>
        <v/>
      </c>
      <c r="T40" s="36" t="n"/>
    </row>
  </sheetData>
  <conditionalFormatting sqref="I5:I40">
    <cfRule type="cellIs" priority="1" operator="greaterThan" dxfId="2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20" customWidth="1" min="3" max="3"/>
    <col width="3" customWidth="1" min="4" max="4"/>
    <col width="20" customWidth="1" min="5" max="5"/>
    <col width="3" customWidth="1" min="6" max="6"/>
    <col width="46" customWidth="1" min="7" max="7"/>
    <col width="3" customWidth="1" min="10" max="10"/>
    <col width="8" customWidth="1" min="11" max="11"/>
    <col width="11" customWidth="1" min="12" max="12"/>
    <col width="52" customWidth="1" min="13" max="13"/>
  </cols>
  <sheetData>
    <row r="1">
      <c r="A1" s="59" t="inlineStr">
        <is>
          <t>설정 (드롭다운 목록 · 환율)</t>
        </is>
      </c>
    </row>
    <row r="2">
      <c r="A2" s="60" t="inlineStr">
        <is>
          <t>노란 칸에 항목을 추가하면 선박 시트 드롭다운에 바로 반영됩니다. 견적업체는 8곳까지 (중복견적 비교 칸 수).</t>
        </is>
      </c>
    </row>
    <row r="4">
      <c r="A4" s="4" t="inlineStr">
        <is>
          <t>견적상태 (업체 회신)</t>
        </is>
      </c>
      <c r="C4" s="4" t="inlineStr">
        <is>
          <t>진행상태 (우리 쪽)</t>
        </is>
      </c>
      <c r="E4" s="4" t="inlineStr">
        <is>
          <t>견적업체 (최대 8)</t>
        </is>
      </c>
      <c r="G4" s="61" t="inlineStr">
        <is>
          <t>견적상태 뜻</t>
        </is>
      </c>
      <c r="K4" s="4" t="inlineStr">
        <is>
          <t>통화</t>
        </is>
      </c>
      <c r="L4" s="4" t="inlineStr">
        <is>
          <t>원화 환율</t>
        </is>
      </c>
      <c r="M4" s="4" t="inlineStr">
        <is>
          <t>기준 / 출처</t>
        </is>
      </c>
    </row>
    <row r="5">
      <c r="A5" s="62" t="inlineStr">
        <is>
          <t>견적접수</t>
        </is>
      </c>
      <c r="C5" s="62" t="inlineStr">
        <is>
          <t>검토중</t>
        </is>
      </c>
      <c r="E5" s="62" t="inlineStr">
        <is>
          <t>RMS</t>
        </is>
      </c>
      <c r="G5" s="63" t="inlineStr">
        <is>
          <t>견적접수 = 단가 회신 받음</t>
        </is>
      </c>
      <c r="K5" s="62" t="inlineStr">
        <is>
          <t>KRW</t>
        </is>
      </c>
      <c r="L5" s="64" t="n">
        <v>1</v>
      </c>
      <c r="M5" s="65" t="inlineStr">
        <is>
          <t>기준</t>
        </is>
      </c>
    </row>
    <row r="6">
      <c r="A6" s="62" t="inlineStr">
        <is>
          <t>확인필요</t>
        </is>
      </c>
      <c r="C6" s="62" t="inlineStr">
        <is>
          <t>정보 송부필요</t>
        </is>
      </c>
      <c r="E6" s="62" t="inlineStr">
        <is>
          <t>AFS</t>
        </is>
      </c>
      <c r="G6" s="63" t="inlineStr">
        <is>
          <t>확인필요 = 업체가 명판/상세정보 요청 (우리가 보내야 함)</t>
        </is>
      </c>
      <c r="K6" s="62" t="inlineStr">
        <is>
          <t>EUR</t>
        </is>
      </c>
      <c r="L6" s="66" t="n">
        <v>1490</v>
      </c>
      <c r="M6" s="65" t="inlineStr">
        <is>
          <t>2026-10-20 시장환율 (exchange-rates.org) – 실제 적용 환율로 수정</t>
        </is>
      </c>
    </row>
    <row r="7">
      <c r="A7" s="62" t="inlineStr">
        <is>
          <t>공급불가</t>
        </is>
      </c>
      <c r="C7" s="62" t="inlineStr">
        <is>
          <t>타업체 문의</t>
        </is>
      </c>
      <c r="E7" s="62" t="inlineStr">
        <is>
          <t>DINTEC</t>
        </is>
      </c>
      <c r="G7" s="63" t="inlineStr">
        <is>
          <t>공급불가 = NOT AVAILABLE → 타 업체 문의</t>
        </is>
      </c>
      <c r="K7" s="62" t="inlineStr">
        <is>
          <t>USD</t>
        </is>
      </c>
      <c r="L7" s="66" t="n"/>
      <c r="M7" s="65" t="inlineStr">
        <is>
          <t>필요 시 입력</t>
        </is>
      </c>
    </row>
    <row r="8">
      <c r="A8" s="62" t="inlineStr">
        <is>
          <t>미접수</t>
        </is>
      </c>
      <c r="C8" s="62" t="inlineStr">
        <is>
          <t>선주 승인대기</t>
        </is>
      </c>
      <c r="E8" s="62" t="inlineStr">
        <is>
          <t>OXEN</t>
        </is>
      </c>
      <c r="G8" s="63" t="inlineStr">
        <is>
          <t>미접수 = 아직 회신 없음</t>
        </is>
      </c>
      <c r="K8" s="62" t="n"/>
      <c r="L8" s="66" t="n"/>
      <c r="M8" s="65" t="n"/>
    </row>
    <row r="9">
      <c r="A9" s="62" t="n"/>
      <c r="C9" s="62" t="inlineStr">
        <is>
          <t>발주완료</t>
        </is>
      </c>
      <c r="E9" s="62" t="inlineStr">
        <is>
          <t>CENTMAR</t>
        </is>
      </c>
      <c r="K9" s="62" t="n"/>
      <c r="L9" s="66" t="n"/>
      <c r="M9" s="65" t="n"/>
    </row>
    <row r="10">
      <c r="A10" s="62" t="n"/>
      <c r="C10" s="62" t="inlineStr">
        <is>
          <t>보류</t>
        </is>
      </c>
      <c r="E10" s="62" t="inlineStr">
        <is>
          <t>BOSUNG</t>
        </is>
      </c>
    </row>
    <row r="11">
      <c r="A11" s="62" t="n"/>
      <c r="C11" s="62" t="inlineStr">
        <is>
          <t>취소</t>
        </is>
      </c>
      <c r="E11" s="62" t="inlineStr">
        <is>
          <t>DACOS</t>
        </is>
      </c>
      <c r="K11" s="2" t="inlineStr">
        <is>
          <t>환율을 바꾸면 모든 원화 환산·최저가·합계가 자동으로 다시 계산됩니다.</t>
        </is>
      </c>
    </row>
    <row r="12">
      <c r="A12" s="62" t="n"/>
      <c r="C12" s="62" t="n"/>
      <c r="E12" s="62" t="n"/>
    </row>
    <row r="13">
      <c r="A13" s="62" t="n"/>
      <c r="C13" s="62" t="n"/>
    </row>
    <row r="14">
      <c r="A14" s="62" t="n"/>
      <c r="C14" s="62" t="n"/>
    </row>
    <row r="15">
      <c r="C15" s="62" t="n"/>
    </row>
    <row r="16">
      <c r="C16" s="6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24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1" t="inlineStr">
        <is>
          <t>사용법</t>
        </is>
      </c>
    </row>
    <row r="3">
      <c r="B3" s="67" t="inlineStr">
        <is>
          <t>구조</t>
        </is>
      </c>
    </row>
    <row r="4">
      <c r="B4" s="68" t="inlineStr">
        <is>
          <t>• 요약: 선박별 품목·견적확보·중복견적·최저가 합계, 스케줄 알림 (자동). 선박명 클릭 → 해당 시트</t>
        </is>
      </c>
    </row>
    <row r="5">
      <c r="B5" s="68" t="inlineStr">
        <is>
          <t>• 스케줄: 선박별 다음 일정. 예정일만 바꾸면 D-day·1주 전·4일 전 알림이 요약과 선박 시트 2행에 자동 표시</t>
        </is>
      </c>
    </row>
    <row r="6">
      <c r="B6" s="68" t="inlineStr">
        <is>
          <t>• 중복견적: 같은 품목에 업체 견적이 2곳 이상이면 자동으로 모여서 업체별 상태·원화 단가·납기를 나란히 비교</t>
        </is>
      </c>
    </row>
    <row r="7">
      <c r="B7" s="68" t="inlineStr">
        <is>
          <t>• AEOLUS · MELICERTES · NELEUS · ONEIROI: 견적 1줄 = 업체 1곳의 품목 1개 (빨간 탭 = URGENT 선박)</t>
        </is>
      </c>
    </row>
    <row r="8">
      <c r="B8" s="68" t="inlineStr">
        <is>
          <t>• RFQ목록: RFQ별 견적 확보 품목 수와 업체별 회신 줄 수</t>
        </is>
      </c>
    </row>
    <row r="9">
      <c r="B9" s="68" t="inlineStr"/>
    </row>
    <row r="10">
      <c r="B10" s="67" t="inlineStr">
        <is>
          <t>중복견적 (다른 업체 견적 추가)</t>
        </is>
      </c>
    </row>
    <row r="11">
      <c r="B11" s="68" t="inlineStr">
        <is>
          <t>• 선박 시트 빈 줄에 같은 RFQ No. + 같은 항목#를 넣고 견적업체·통화·단가를 입력 → '중복/비교' 칸에 '중복 2곳' 자동 표시</t>
        </is>
      </c>
    </row>
    <row r="12">
      <c r="B12" s="68" t="inlineStr">
        <is>
          <t>• 원화 환산으로 가장 싼 줄은 '최저가'(초록), 나머지는 '비쌈' 표시 · 중복 품목은 왼쪽 No·RFQ 칸이 보라색</t>
        </is>
      </c>
    </row>
    <row r="13">
      <c r="B13" s="68" t="inlineStr">
        <is>
          <t>• 중복견적 시트는 행을 직접 고칠 필요 없음 – 선박 시트만 고치면 자동 갱신</t>
        </is>
      </c>
    </row>
    <row r="14">
      <c r="B14" s="68" t="inlineStr">
        <is>
          <t>• RFQ가 없는 품목은 RFQ No.에 이름(예: SPAN GAS)을 정해 쓰고 항목#를 1,2,3… 로 매기면 같은 방식으로 비교됨</t>
        </is>
      </c>
    </row>
    <row r="15">
      <c r="B15" s="68" t="inlineStr">
        <is>
          <t>• 새 업체: 설정 시트 '견적업체'에 추가 (최대 8곳) · 새 통화: 설정 시트 환율표에 추가</t>
        </is>
      </c>
    </row>
    <row r="16">
      <c r="B16" s="68" t="inlineStr"/>
    </row>
    <row r="17">
      <c r="B17" s="67" t="inlineStr">
        <is>
          <t>스케줄 알림</t>
        </is>
      </c>
    </row>
    <row r="18">
      <c r="B18" s="68" t="inlineStr">
        <is>
          <t>• 1주 전(D-7) = 주황 / 4일 전(D-4) = 빨강. 파일을 열 때마다 오늘 날짜 기준으로 다시 계산</t>
        </is>
      </c>
    </row>
    <row r="19">
      <c r="B19" s="68" t="inlineStr">
        <is>
          <t>• 운송소요(일): 출고 후 선박까지 걸리는 기간. 넣으면 '출고 마감'이 그만큼 앞당겨짐</t>
        </is>
      </c>
    </row>
    <row r="20">
      <c r="B20" s="68" t="inlineStr">
        <is>
          <t>• 선박 시트 '일정 대비': 오늘 발주 시 (오늘+납기)가 출고 마감 안이면 가능, 넘으면 '초과 n일'</t>
        </is>
      </c>
    </row>
    <row r="21">
      <c r="B21" s="68" t="inlineStr"/>
    </row>
    <row r="22">
      <c r="B22" s="67" t="inlineStr">
        <is>
          <t>추가 / 빼기</t>
        </is>
      </c>
    </row>
    <row r="23">
      <c r="B23" s="68" t="inlineStr">
        <is>
          <t>• 빼기: 진행상태를 '취소'로 바꾸면 회색 처리 (기록 유지). 완전히 지우려면 행 삭제</t>
        </is>
      </c>
    </row>
    <row r="24">
      <c r="B24" s="68" t="inlineStr">
        <is>
          <t>• 정렬·필터는 자유롭게 해도 됨 (중복 판별은 RFQ No.+항목# 기준이라 줄 순서와 무관)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2026-10-30T06:31:01Z</dcterms:created>
  <dcterms:modified xmlns:dcterms="http://purl.org/dc/terms/" xmlns:xsi="http://www.w3.org/2001/XMLSchema-instance" xsi:type="dcterms:W3CDTF">2026-10-30T06:31:03Z</dcterms:modified>
</cp:coreProperties>
</file>