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스케줄" sheetId="2" state="visible" r:id="rId2"/>
    <sheet xmlns:r="http://schemas.openxmlformats.org/officeDocument/2006/relationships" name="중복견적" sheetId="3" state="visible" r:id="rId3"/>
    <sheet xmlns:r="http://schemas.openxmlformats.org/officeDocument/2006/relationships" name="AEOLUS" sheetId="4" state="visible" r:id="rId4"/>
    <sheet xmlns:r="http://schemas.openxmlformats.org/officeDocument/2006/relationships" name="MELICERTES" sheetId="5" state="visible" r:id="rId5"/>
    <sheet xmlns:r="http://schemas.openxmlformats.org/officeDocument/2006/relationships" name="NELEUS" sheetId="6" state="visible" r:id="rId6"/>
    <sheet xmlns:r="http://schemas.openxmlformats.org/officeDocument/2006/relationships" name="ONEIROI" sheetId="7" state="visible" r:id="rId7"/>
    <sheet xmlns:r="http://schemas.openxmlformats.org/officeDocument/2006/relationships" name="RFQ목록" sheetId="8" state="visible" r:id="rId8"/>
    <sheet xmlns:r="http://schemas.openxmlformats.org/officeDocument/2006/relationships" name="설정" sheetId="9" state="visible" r:id="rId9"/>
    <sheet xmlns:r="http://schemas.openxmlformats.org/officeDocument/2006/relationships" name="사용법" sheetId="10" state="visible" r:id="rId10"/>
  </sheets>
  <definedNames>
    <definedName name="_xlnm._FilterDatabase" localSheetId="3" hidden="1">'AEOLUS'!$A$5:$AD$205</definedName>
    <definedName name="_xlnm._FilterDatabase" localSheetId="4" hidden="1">'MELICERTES'!$A$5:$AD$205</definedName>
    <definedName name="_xlnm._FilterDatabase" localSheetId="5" hidden="1">'NELEUS'!$A$5:$AD$205</definedName>
    <definedName name="_xlnm._FilterDatabase" localSheetId="6" hidden="1">'ONEIROI'!$A$5:$AD$205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-mm-dd (aaa)"/>
    <numFmt numFmtId="166" formatCode="0&quot;일&quot;"/>
    <numFmt numFmtId="167" formatCode="&quot;D-&quot;0;&quot;D+&quot;0;&quot;D-DAY&quot;"/>
    <numFmt numFmtId="168" formatCode="0;-0;&quot;-&quot;"/>
    <numFmt numFmtId="169" formatCode="#,##0;(#,##0);&quot;-&quot;"/>
    <numFmt numFmtId="170" formatCode="#,##0.##"/>
    <numFmt numFmtId="171" formatCode="mm-dd (aaa)"/>
  </numFmts>
  <fonts count="22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404040"/>
      <sz val="10"/>
    </font>
    <font>
      <name val="맑은 고딕"/>
      <b val="1"/>
      <color rgb="00FFFFFF"/>
      <sz val="8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C00000"/>
      <sz val="10"/>
    </font>
    <font>
      <name val="맑은 고딕"/>
      <b val="1"/>
      <color rgb="005B2C6F"/>
      <sz val="16"/>
    </font>
    <font>
      <name val="맑은 고딕"/>
      <color rgb="00808080"/>
      <sz val="8"/>
    </font>
    <font>
      <name val="맑은 고딕"/>
      <b val="1"/>
      <color rgb="00C00000"/>
      <sz val="11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595959"/>
        <bgColor rgb="0059595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546A"/>
        <bgColor rgb="0044546A"/>
      </patternFill>
    </fill>
    <fill>
      <patternFill patternType="solid">
        <fgColor rgb="00A6A6A6"/>
        <bgColor rgb="00A6A6A6"/>
      </patternFill>
    </fill>
    <fill>
      <patternFill patternType="solid">
        <fgColor rgb="005B2C6F"/>
        <bgColor rgb="005B2C6F"/>
      </patternFill>
    </fill>
    <fill>
      <patternFill patternType="solid">
        <fgColor rgb="007030A0"/>
        <bgColor rgb="007030A0"/>
      </patternFill>
    </fill>
    <fill>
      <patternFill patternType="solid">
        <fgColor rgb="008E63B5"/>
        <bgColor rgb="008E63B5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 wrapText="1"/>
    </xf>
    <xf numFmtId="167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169" fontId="1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171" fontId="16" fillId="11" borderId="1" applyAlignment="1" pivotButton="0" quotePrefix="0" xfId="0">
      <alignment horizontal="center" vertical="center" wrapText="1"/>
    </xf>
    <xf numFmtId="167" fontId="16" fillId="11" borderId="1" applyAlignment="1" pivotButton="0" quotePrefix="0" xfId="0">
      <alignment horizontal="center" vertical="center" wrapText="1"/>
    </xf>
    <xf numFmtId="168" fontId="16" fillId="11" borderId="1" applyAlignment="1" pivotButton="0" quotePrefix="0" xfId="0">
      <alignment horizontal="center" vertical="center" wrapText="1"/>
    </xf>
    <xf numFmtId="169" fontId="16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0" fillId="0" borderId="7" pivotButton="0" quotePrefix="0" xfId="0"/>
    <xf numFmtId="0" fontId="3" fillId="1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1" applyAlignment="1" pivotButton="0" quotePrefix="0" xfId="0">
      <alignment horizontal="left" vertical="center" wrapText="1"/>
    </xf>
    <xf numFmtId="167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19" fillId="4" borderId="1" pivotButton="0" quotePrefix="0" xfId="0"/>
    <xf numFmtId="0" fontId="5" fillId="0" borderId="0" pivotButton="0" quotePrefix="0" xfId="0"/>
    <xf numFmtId="4" fontId="15" fillId="4" borderId="1" pivotButton="0" quotePrefix="0" xfId="0"/>
    <xf numFmtId="0" fontId="2" fillId="4" borderId="1" pivotButton="0" quotePrefix="0" xfId="0"/>
    <xf numFmtId="4" fontId="19" fillId="4" borderId="1" pivotButton="0" quotePrefix="0" xfId="0"/>
    <xf numFmtId="0" fontId="21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dxfs count="15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C00000"/>
      </font>
    </dxf>
    <dxf>
      <font>
        <b val="1"/>
        <color rgb="005B2C6F"/>
      </font>
    </dxf>
    <dxf>
      <font>
        <b val="1"/>
        <color rgb="009C5700"/>
      </font>
    </dxf>
    <dxf>
      <font>
        <b val="1"/>
        <color rgb="009C0006"/>
      </font>
    </dxf>
    <dxf>
      <font>
        <color rgb="00808080"/>
      </font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E4DFEC"/>
          <bgColor rgb="00E4DFEC"/>
        </patternFill>
      </fill>
    </dxf>
    <dxf>
      <font>
        <b val="1"/>
        <color rgb="005B2C6F"/>
      </font>
      <fill>
        <patternFill patternType="solid">
          <fgColor rgb="00E4DFEC"/>
          <b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견적관리</author>
  </authors>
  <commentList>
    <comment ref="G4" authorId="0" shapeId="0">
      <text>
        <t>같은 RFQ No.+항목#는 업체가 여러 곳이어도 1품목으로 셈</t>
      </text>
    </comment>
    <comment ref="H4" authorId="0" shapeId="0">
      <text>
        <t>어느 업체든 단가를 받은 품목 수</t>
      </text>
    </comment>
    <comment ref="J4" authorId="0" shapeId="0">
      <text>
        <t>견적이 2곳 이상 들어온 품목 수 → '중복견적' 시트</t>
      </text>
    </comment>
    <comment ref="M4" authorId="0" shapeId="0">
      <text>
        <t>품목마다 원화 환산 최저가 1곳만 합산</t>
      </text>
    </comment>
    <comment ref="N4" authorId="0" shapeId="0">
      <text>
        <t>오늘 발주해도 출고 마감을 넘기는 견적 줄 수</t>
      </text>
    </comment>
    <comment ref="O4" authorId="0" shapeId="0">
      <text>
        <t>유효만료일이 지났거나 5일 이내인 견적 줄 수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E4" authorId="0" shapeId="0">
      <text>
        <t>출고 후 선박까지 가는 데 걸리는 일수 (포워딩·항공 등). 비우면 0일. RMS는 부산 출고, AFS는 네덜란드 출고라 업체별로 다를 수 있음.</t>
      </text>
    </comment>
    <comment ref="F4" authorId="0" shapeId="0">
      <text>
        <t>예정일 − 운송소요일. 선박 시트의 '일정 대비'가 이 날짜와 비교합니다.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7.xml><?xml version="1.0" encoding="utf-8"?>
<comments xmlns="http://schemas.openxmlformats.org/spreadsheetml/2006/main">
  <authors>
    <author>견적관리</author>
  </authors>
  <commentList>
    <comment ref="I4" authorId="0" shapeId="0">
      <text>
        <t>품목수 − 견적확보 품목. 0보다 크면 아직 어느 업체에서도 단가를 못 받은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1" customWidth="1" min="4" max="4"/>
    <col width="8" customWidth="1" min="5" max="5"/>
    <col width="20" customWidth="1" min="6" max="6"/>
    <col width="9" customWidth="1" min="7" max="7"/>
    <col width="8" customWidth="1" min="8" max="8"/>
    <col width="7" customWidth="1" min="9" max="9"/>
    <col width="8" customWidth="1" min="10" max="10"/>
    <col width="8" customWidth="1" min="11" max="11"/>
    <col width="8" customWidth="1" min="12" max="12"/>
    <col width="14" customWidth="1" min="13" max="13"/>
    <col width="9" customWidth="1" min="14" max="14"/>
    <col width="9" customWidth="1" min="15" max="15"/>
    <col width="8" customWidth="1" min="16" max="16"/>
  </cols>
  <sheetData>
    <row r="1">
      <c r="A1" s="1" t="inlineStr">
        <is>
          <t>선박별 견적 현황</t>
        </is>
      </c>
    </row>
    <row r="2">
      <c r="A2" s="2">
        <f>"기준일 "&amp;TEXT(TODAY(),"yyyy-mm-dd")&amp;"  ·  자동 집계 (입력 불필요)  ·  금액 = 품목별 최저가 기준 원화 환산"</f>
        <v/>
      </c>
    </row>
    <row r="3">
      <c r="A3" s="3">
        <f>"⏰ 알림:  4일 이내 "&amp;COUNTIFS(스케줄!$I$5:$I$14,"&gt;=0",스케줄!$I$5:$I$14,"&lt;=4")&amp;"척  ·  1주 이내 "&amp;COUNTIFS(스케줄!$I$5:$I$14,"&gt;4",스케줄!$I$5:$I$14,"&lt;=7")&amp;"척  ·  일정 미정 "&amp;COUNTIFS(스케줄!$A$5:$A$14,"&lt;&gt;",스케줄!$C$5:$C$14,"")&amp;"척"</f>
        <v/>
      </c>
    </row>
    <row r="4" ht="32" customHeight="1">
      <c r="A4" s="4" t="inlineStr">
        <is>
          <t>선박</t>
        </is>
      </c>
      <c r="B4" s="4" t="inlineStr">
        <is>
          <t>우선순위</t>
        </is>
      </c>
      <c r="C4" s="4" t="inlineStr">
        <is>
          <t>다음 일정</t>
        </is>
      </c>
      <c r="D4" s="4" t="inlineStr">
        <is>
          <t>예정일</t>
        </is>
      </c>
      <c r="E4" s="4" t="inlineStr">
        <is>
          <t>D-day</t>
        </is>
      </c>
      <c r="F4" s="4" t="inlineStr">
        <is>
          <t>알림</t>
        </is>
      </c>
      <c r="G4" s="4" t="inlineStr">
        <is>
          <t>품목
(중복제외)</t>
        </is>
      </c>
      <c r="H4" s="4" t="inlineStr">
        <is>
          <t>견적확보</t>
        </is>
      </c>
      <c r="I4" s="4" t="inlineStr">
        <is>
          <t>미확보</t>
        </is>
      </c>
      <c r="J4" s="4" t="inlineStr">
        <is>
          <t>중복견적</t>
        </is>
      </c>
      <c r="K4" s="4" t="inlineStr">
        <is>
          <t>확인필요
(건)</t>
        </is>
      </c>
      <c r="L4" s="4" t="inlineStr">
        <is>
          <t>공급불가
(건)</t>
        </is>
      </c>
      <c r="M4" s="4" t="inlineStr">
        <is>
          <t>최저가 합계
(KRW)</t>
        </is>
      </c>
      <c r="N4" s="4" t="inlineStr">
        <is>
          <t>일정 초과
(건)</t>
        </is>
      </c>
      <c r="O4" s="4" t="inlineStr">
        <is>
          <t>만료
임박/지남</t>
        </is>
      </c>
      <c r="P4" s="4" t="inlineStr">
        <is>
          <t>발주완료</t>
        </is>
      </c>
    </row>
    <row r="5">
      <c r="A5" s="5" t="inlineStr">
        <is>
          <t>AEOLUS</t>
        </is>
      </c>
      <c r="B5" s="6" t="inlineStr">
        <is>
          <t>Routine</t>
        </is>
      </c>
      <c r="C5" s="6">
        <f>IFERROR(IF(INDEX(스케줄!$B$5:$B$14,MATCH($A5,스케줄!$A$5:$A$14,0))="","-",INDEX(스케줄!$B$5:$B$14,MATCH($A5,스케줄!$A$5:$A$14,0))),"-")</f>
        <v/>
      </c>
      <c r="D5" s="7">
        <f>IFERROR(IF(N(INDEX(스케줄!$C$5:$C$14,MATCH($A5,스케줄!$A$5:$A$14,0)))=0,"",INDEX(스케줄!$C$5:$C$14,MATCH($A5,스케줄!$A$5:$A$14,0))),"")</f>
        <v/>
      </c>
      <c r="E5" s="8">
        <f>IFERROR(INDEX(스케줄!$I$5:$I$14,MATCH($A5,스케줄!$A$5:$A$14,0)),"")</f>
        <v/>
      </c>
      <c r="F5" s="9">
        <f>IFERROR(INDEX(스케줄!$J$5:$J$14,MATCH($A5,스케줄!$A$5:$A$14,0)),"")</f>
        <v/>
      </c>
      <c r="G5" s="10">
        <f>SUM('AEOLUS'!$AG$6:$AG$205)</f>
        <v/>
      </c>
      <c r="H5" s="10">
        <f>SUM('AEOLUS'!$AJ$6:$AJ$205)</f>
        <v/>
      </c>
      <c r="I5" s="10">
        <f>G5-H5</f>
        <v/>
      </c>
      <c r="J5" s="10">
        <f>COUNT('AEOLUS'!$AI$6:$AI$205)</f>
        <v/>
      </c>
      <c r="K5" s="10">
        <f>COUNTIF('AEOLUS'!$N$6:$N$205,"확인필요")</f>
        <v/>
      </c>
      <c r="L5" s="10">
        <f>COUNTIF('AEOLUS'!$N$6:$N$205,"공급불가")</f>
        <v/>
      </c>
      <c r="M5" s="11">
        <f>SUMIFS('AEOLUS'!$S$6:$S$205,'AEOLUS'!$AK$6:$AK$205,1)</f>
        <v/>
      </c>
      <c r="N5" s="10">
        <f>COUNTIF('AEOLUS'!$V$6:$V$205,"초과*")</f>
        <v/>
      </c>
      <c r="O5" s="10">
        <f>COUNTIFS('AEOLUS'!$AA$6:$AA$205,"&lt;="&amp;(TODAY()+5))</f>
        <v/>
      </c>
      <c r="P5" s="10">
        <f>COUNTIF('AEOLUS'!$AC$6:$AC$205,"발주완료")</f>
        <v/>
      </c>
    </row>
    <row r="6">
      <c r="A6" s="5" t="inlineStr">
        <is>
          <t>MELICERTES</t>
        </is>
      </c>
      <c r="B6" s="12" t="inlineStr">
        <is>
          <t>URGENT</t>
        </is>
      </c>
      <c r="C6" s="6">
        <f>IFERROR(IF(INDEX(스케줄!$B$5:$B$14,MATCH($A6,스케줄!$A$5:$A$14,0))="","-",INDEX(스케줄!$B$5:$B$14,MATCH($A6,스케줄!$A$5:$A$14,0))),"-")</f>
        <v/>
      </c>
      <c r="D6" s="7">
        <f>IFERROR(IF(N(INDEX(스케줄!$C$5:$C$14,MATCH($A6,스케줄!$A$5:$A$14,0)))=0,"",INDEX(스케줄!$C$5:$C$14,MATCH($A6,스케줄!$A$5:$A$14,0))),"")</f>
        <v/>
      </c>
      <c r="E6" s="8">
        <f>IFERROR(INDEX(스케줄!$I$5:$I$14,MATCH($A6,스케줄!$A$5:$A$14,0)),"")</f>
        <v/>
      </c>
      <c r="F6" s="9">
        <f>IFERROR(INDEX(스케줄!$J$5:$J$14,MATCH($A6,스케줄!$A$5:$A$14,0)),"")</f>
        <v/>
      </c>
      <c r="G6" s="10">
        <f>SUM('MELICERTES'!$AG$6:$AG$205)</f>
        <v/>
      </c>
      <c r="H6" s="10">
        <f>SUM('MELICERTES'!$AJ$6:$AJ$205)</f>
        <v/>
      </c>
      <c r="I6" s="10">
        <f>G6-H6</f>
        <v/>
      </c>
      <c r="J6" s="10">
        <f>COUNT('MELICERTES'!$AI$6:$AI$205)</f>
        <v/>
      </c>
      <c r="K6" s="10">
        <f>COUNTIF('MELICERTES'!$N$6:$N$205,"확인필요")</f>
        <v/>
      </c>
      <c r="L6" s="10">
        <f>COUNTIF('MELICERTES'!$N$6:$N$205,"공급불가")</f>
        <v/>
      </c>
      <c r="M6" s="11">
        <f>SUMIFS('MELICERTES'!$S$6:$S$205,'MELICERTES'!$AK$6:$AK$205,1)</f>
        <v/>
      </c>
      <c r="N6" s="10">
        <f>COUNTIF('MELICERTES'!$V$6:$V$205,"초과*")</f>
        <v/>
      </c>
      <c r="O6" s="10">
        <f>COUNTIFS('MELICERTES'!$AA$6:$AA$205,"&lt;="&amp;(TODAY()+5))</f>
        <v/>
      </c>
      <c r="P6" s="10">
        <f>COUNTIF('MELICERTES'!$AC$6:$AC$205,"발주완료")</f>
        <v/>
      </c>
    </row>
    <row r="7">
      <c r="A7" s="5" t="inlineStr">
        <is>
          <t>NELEUS</t>
        </is>
      </c>
      <c r="B7" s="6" t="inlineStr">
        <is>
          <t>Routine</t>
        </is>
      </c>
      <c r="C7" s="6">
        <f>IFERROR(IF(INDEX(스케줄!$B$5:$B$14,MATCH($A7,스케줄!$A$5:$A$14,0))="","-",INDEX(스케줄!$B$5:$B$14,MATCH($A7,스케줄!$A$5:$A$14,0))),"-")</f>
        <v/>
      </c>
      <c r="D7" s="7">
        <f>IFERROR(IF(N(INDEX(스케줄!$C$5:$C$14,MATCH($A7,스케줄!$A$5:$A$14,0)))=0,"",INDEX(스케줄!$C$5:$C$14,MATCH($A7,스케줄!$A$5:$A$14,0))),"")</f>
        <v/>
      </c>
      <c r="E7" s="8">
        <f>IFERROR(INDEX(스케줄!$I$5:$I$14,MATCH($A7,스케줄!$A$5:$A$14,0)),"")</f>
        <v/>
      </c>
      <c r="F7" s="9">
        <f>IFERROR(INDEX(스케줄!$J$5:$J$14,MATCH($A7,스케줄!$A$5:$A$14,0)),"")</f>
        <v/>
      </c>
      <c r="G7" s="10">
        <f>SUM('NELEUS'!$AG$6:$AG$205)</f>
        <v/>
      </c>
      <c r="H7" s="10">
        <f>SUM('NELEUS'!$AJ$6:$AJ$205)</f>
        <v/>
      </c>
      <c r="I7" s="10">
        <f>G7-H7</f>
        <v/>
      </c>
      <c r="J7" s="10">
        <f>COUNT('NELEUS'!$AI$6:$AI$205)</f>
        <v/>
      </c>
      <c r="K7" s="10">
        <f>COUNTIF('NELEUS'!$N$6:$N$205,"확인필요")</f>
        <v/>
      </c>
      <c r="L7" s="10">
        <f>COUNTIF('NELEUS'!$N$6:$N$205,"공급불가")</f>
        <v/>
      </c>
      <c r="M7" s="11">
        <f>SUMIFS('NELEUS'!$S$6:$S$205,'NELEUS'!$AK$6:$AK$205,1)</f>
        <v/>
      </c>
      <c r="N7" s="10">
        <f>COUNTIF('NELEUS'!$V$6:$V$205,"초과*")</f>
        <v/>
      </c>
      <c r="O7" s="10">
        <f>COUNTIFS('NELEUS'!$AA$6:$AA$205,"&lt;="&amp;(TODAY()+5))</f>
        <v/>
      </c>
      <c r="P7" s="10">
        <f>COUNTIF('NELEUS'!$AC$6:$AC$205,"발주완료")</f>
        <v/>
      </c>
    </row>
    <row r="8">
      <c r="A8" s="5" t="inlineStr">
        <is>
          <t>ONEIROI</t>
        </is>
      </c>
      <c r="B8" s="12" t="inlineStr">
        <is>
          <t>URGENT</t>
        </is>
      </c>
      <c r="C8" s="6">
        <f>IFERROR(IF(INDEX(스케줄!$B$5:$B$14,MATCH($A8,스케줄!$A$5:$A$14,0))="","-",INDEX(스케줄!$B$5:$B$14,MATCH($A8,스케줄!$A$5:$A$14,0))),"-")</f>
        <v/>
      </c>
      <c r="D8" s="7">
        <f>IFERROR(IF(N(INDEX(스케줄!$C$5:$C$14,MATCH($A8,스케줄!$A$5:$A$14,0)))=0,"",INDEX(스케줄!$C$5:$C$14,MATCH($A8,스케줄!$A$5:$A$14,0))),"")</f>
        <v/>
      </c>
      <c r="E8" s="8">
        <f>IFERROR(INDEX(스케줄!$I$5:$I$14,MATCH($A8,스케줄!$A$5:$A$14,0)),"")</f>
        <v/>
      </c>
      <c r="F8" s="9">
        <f>IFERROR(INDEX(스케줄!$J$5:$J$14,MATCH($A8,스케줄!$A$5:$A$14,0)),"")</f>
        <v/>
      </c>
      <c r="G8" s="10">
        <f>SUM('ONEIROI'!$AG$6:$AG$205)</f>
        <v/>
      </c>
      <c r="H8" s="10">
        <f>SUM('ONEIROI'!$AJ$6:$AJ$205)</f>
        <v/>
      </c>
      <c r="I8" s="10">
        <f>G8-H8</f>
        <v/>
      </c>
      <c r="J8" s="10">
        <f>COUNT('ONEIROI'!$AI$6:$AI$205)</f>
        <v/>
      </c>
      <c r="K8" s="10">
        <f>COUNTIF('ONEIROI'!$N$6:$N$205,"확인필요")</f>
        <v/>
      </c>
      <c r="L8" s="10">
        <f>COUNTIF('ONEIROI'!$N$6:$N$205,"공급불가")</f>
        <v/>
      </c>
      <c r="M8" s="11">
        <f>SUMIFS('ONEIROI'!$S$6:$S$205,'ONEIROI'!$AK$6:$AK$205,1)</f>
        <v/>
      </c>
      <c r="N8" s="10">
        <f>COUNTIF('ONEIROI'!$V$6:$V$205,"초과*")</f>
        <v/>
      </c>
      <c r="O8" s="10">
        <f>COUNTIFS('ONEIROI'!$AA$6:$AA$205,"&lt;="&amp;(TODAY()+5))</f>
        <v/>
      </c>
      <c r="P8" s="10">
        <f>COUNTIF('ONEIROI'!$AC$6:$AC$205,"발주완료")</f>
        <v/>
      </c>
    </row>
    <row r="9">
      <c r="A9" s="13" t="inlineStr">
        <is>
          <t>합계</t>
        </is>
      </c>
      <c r="B9" s="13" t="n"/>
      <c r="C9" s="13" t="n"/>
      <c r="D9" s="14" t="n"/>
      <c r="E9" s="15" t="n"/>
      <c r="F9" s="13" t="n"/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6">
        <f>SUM(L5:L8)</f>
        <v/>
      </c>
      <c r="M9" s="17">
        <f>SUM(M5:M8)</f>
        <v/>
      </c>
      <c r="N9" s="16">
        <f>SUM(N5:N8)</f>
        <v/>
      </c>
      <c r="O9" s="16">
        <f>SUM(O5:O8)</f>
        <v/>
      </c>
      <c r="P9" s="16">
        <f>SUM(P5:P8)</f>
        <v/>
      </c>
    </row>
    <row r="11">
      <c r="A11" s="2" t="inlineStr">
        <is>
          <t>선박명을 누르면 해당 시트로 이동 · 일정 수정은 '스케줄' · 업체·환율은 '설정' 시트</t>
        </is>
      </c>
    </row>
  </sheetData>
  <conditionalFormatting sqref="E5:F8">
    <cfRule type="expression" priority="1" dxfId="0">
      <formula>AND(ISNUMBER($E5),$E5&gt;=0,$E5&lt;=4)</formula>
    </cfRule>
    <cfRule type="expression" priority="2" dxfId="1">
      <formula>AND(ISNUMBER($E5),$E5&gt;4,$E5&lt;=7)</formula>
    </cfRule>
  </conditionalFormatting>
  <conditionalFormatting sqref="I5:I9">
    <cfRule type="cellIs" priority="3" operator="greaterThan" dxfId="2">
      <formula>0</formula>
    </cfRule>
  </conditionalFormatting>
  <conditionalFormatting sqref="J5:J9">
    <cfRule type="cellIs" priority="4" operator="greaterThan" dxfId="3">
      <formula>0</formula>
    </cfRule>
  </conditionalFormatting>
  <conditionalFormatting sqref="K5:K9">
    <cfRule type="cellIs" priority="5" operator="greaterThan" dxfId="4">
      <formula>0</formula>
    </cfRule>
  </conditionalFormatting>
  <conditionalFormatting sqref="L5:L9">
    <cfRule type="cellIs" priority="6" operator="greaterThan" dxfId="5">
      <formula>0</formula>
    </cfRule>
  </conditionalFormatting>
  <conditionalFormatting sqref="N5:N9">
    <cfRule type="cellIs" priority="7" operator="greaterThan" dxfId="2">
      <formula>0</formula>
    </cfRule>
  </conditionalFormatting>
  <conditionalFormatting sqref="O5:O9">
    <cfRule type="cellIs" priority="8" operator="greaterThan" dxfId="2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24" customWidth="1" min="10" max="10"/>
    <col width="40" customWidth="1" min="11" max="11"/>
  </cols>
  <sheetData>
    <row r="1">
      <c r="A1" s="1" t="inlineStr">
        <is>
          <t>선박 스케줄 · 알림</t>
        </is>
      </c>
    </row>
    <row r="2">
      <c r="A2" s="2" t="inlineStr">
        <is>
          <t>노란 칸(일정·예정일·종료일·운송소요일)만 수정하면 D-day와 알림이 자동으로 바뀝니다 · 1주 전 = 주황, 4일 전 = 빨강 · 파일을 열 때마다 오늘 날짜 기준으로 다시 계산</t>
        </is>
      </c>
    </row>
    <row r="4" ht="32" customHeight="1">
      <c r="A4" s="4" t="inlineStr">
        <is>
          <t>선박</t>
        </is>
      </c>
      <c r="B4" s="4" t="inlineStr">
        <is>
          <t>일정</t>
        </is>
      </c>
      <c r="C4" s="4" t="inlineStr">
        <is>
          <t>예정일
(시작)</t>
        </is>
      </c>
      <c r="D4" s="4" t="inlineStr">
        <is>
          <t>종료일</t>
        </is>
      </c>
      <c r="E4" s="4" t="inlineStr">
        <is>
          <t>운송
소요(일)</t>
        </is>
      </c>
      <c r="F4" s="18" t="inlineStr">
        <is>
          <t>출고
마감</t>
        </is>
      </c>
      <c r="G4" s="18" t="inlineStr">
        <is>
          <t>1주 전
(D-7)</t>
        </is>
      </c>
      <c r="H4" s="18" t="inlineStr">
        <is>
          <t>4일 전
(D-4)</t>
        </is>
      </c>
      <c r="I4" s="18" t="inlineStr">
        <is>
          <t>남은 일수</t>
        </is>
      </c>
      <c r="J4" s="18" t="inlineStr">
        <is>
          <t>알림</t>
        </is>
      </c>
      <c r="K4" s="4" t="inlineStr">
        <is>
          <t>비고</t>
        </is>
      </c>
    </row>
    <row r="5">
      <c r="A5" s="19" t="inlineStr">
        <is>
          <t>AEOLUS</t>
        </is>
      </c>
      <c r="B5" s="20" t="inlineStr">
        <is>
          <t>한국 통과</t>
        </is>
      </c>
      <c r="C5" s="21" t="n">
        <v>46336</v>
      </c>
      <c r="D5" s="21" t="n"/>
      <c r="E5" s="22" t="n"/>
      <c r="F5" s="23">
        <f>IF(C5="","",C5-N(E5))</f>
        <v/>
      </c>
      <c r="G5" s="23">
        <f>IF(C5="","",C5-7)</f>
        <v/>
      </c>
      <c r="H5" s="23">
        <f>IF(C5="","",C5-4)</f>
        <v/>
      </c>
      <c r="I5" s="24">
        <f>IF(C5="","",C5-TODAY())</f>
        <v/>
      </c>
      <c r="J5" s="25">
        <f>IF(A5="","",IF(C5="","일정 미정 – 입력 필요",IF(I5&lt;0,IF(AND(D5&lt;&gt;"",D5&gt;=TODAY()),"진행중 (종료일까지)","지남 – 다음 일정 입력"),IF(I5=0,"오늘 도착",IF(I5&lt;=4,"4일 전 – 최종 확인",IF(I5&lt;=7,"1주 전 – 준비 시작","대기"))))))</f>
        <v/>
      </c>
      <c r="K5" s="20" t="n"/>
    </row>
    <row r="6">
      <c r="A6" s="19" t="inlineStr">
        <is>
          <t>MELICERTES</t>
        </is>
      </c>
      <c r="B6" s="20" t="n"/>
      <c r="C6" s="21" t="n"/>
      <c r="D6" s="21" t="n"/>
      <c r="E6" s="22" t="n"/>
      <c r="F6" s="23">
        <f>IF(C6="","",C6-N(E6))</f>
        <v/>
      </c>
      <c r="G6" s="23">
        <f>IF(C6="","",C6-7)</f>
        <v/>
      </c>
      <c r="H6" s="23">
        <f>IF(C6="","",C6-4)</f>
        <v/>
      </c>
      <c r="I6" s="24">
        <f>IF(C6="","",C6-TODAY())</f>
        <v/>
      </c>
      <c r="J6" s="25">
        <f>IF(A6="","",IF(C6="","일정 미정 – 입력 필요",IF(I6&lt;0,IF(AND(D6&lt;&gt;"",D6&gt;=TODAY()),"진행중 (종료일까지)","지남 – 다음 일정 입력"),IF(I6=0,"오늘 도착",IF(I6&lt;=4,"4일 전 – 최종 확인",IF(I6&lt;=7,"1주 전 – 준비 시작","대기"))))))</f>
        <v/>
      </c>
      <c r="K6" s="20" t="inlineStr">
        <is>
          <t>일정 확인 필요 (RFQ상 Sabetta ETA 19-Oct 지남)</t>
        </is>
      </c>
    </row>
    <row r="7">
      <c r="A7" s="19" t="inlineStr">
        <is>
          <t>NELEUS</t>
        </is>
      </c>
      <c r="B7" s="20" t="n"/>
      <c r="C7" s="21" t="n"/>
      <c r="D7" s="21" t="n"/>
      <c r="E7" s="22" t="n"/>
      <c r="F7" s="23">
        <f>IF(C7="","",C7-N(E7))</f>
        <v/>
      </c>
      <c r="G7" s="23">
        <f>IF(C7="","",C7-7)</f>
        <v/>
      </c>
      <c r="H7" s="23">
        <f>IF(C7="","",C7-4)</f>
        <v/>
      </c>
      <c r="I7" s="24">
        <f>IF(C7="","",C7-TODAY())</f>
        <v/>
      </c>
      <c r="J7" s="25">
        <f>IF(A7="","",IF(C7="","일정 미정 – 입력 필요",IF(I7&lt;0,IF(AND(D7&lt;&gt;"",D7&gt;=TODAY()),"진행중 (종료일까지)","지남 – 다음 일정 입력"),IF(I7=0,"오늘 도착",IF(I7&lt;=4,"4일 전 – 최종 확인",IF(I7&lt;=7,"1주 전 – 준비 시작","대기"))))))</f>
        <v/>
      </c>
      <c r="K7" s="20" t="inlineStr">
        <is>
          <t>일정 확인 필요</t>
        </is>
      </c>
    </row>
    <row r="8">
      <c r="A8" s="19" t="inlineStr">
        <is>
          <t>ONEIROI</t>
        </is>
      </c>
      <c r="B8" s="20" t="inlineStr">
        <is>
          <t>네덜란드 보급</t>
        </is>
      </c>
      <c r="C8" s="21" t="n">
        <v>46338</v>
      </c>
      <c r="D8" s="21" t="n">
        <v>46339</v>
      </c>
      <c r="E8" s="22" t="n"/>
      <c r="F8" s="23">
        <f>IF(C8="","",C8-N(E8))</f>
        <v/>
      </c>
      <c r="G8" s="23">
        <f>IF(C8="","",C8-7)</f>
        <v/>
      </c>
      <c r="H8" s="23">
        <f>IF(C8="","",C8-4)</f>
        <v/>
      </c>
      <c r="I8" s="24">
        <f>IF(C8="","",C8-TODAY())</f>
        <v/>
      </c>
      <c r="J8" s="25">
        <f>IF(A8="","",IF(C8="","일정 미정 – 입력 필요",IF(I8&lt;0,IF(AND(D8&lt;&gt;"",D8&gt;=TODAY()),"진행중 (종료일까지)","지남 – 다음 일정 입력"),IF(I8=0,"오늘 도착",IF(I8&lt;=4,"4일 전 – 최종 확인",IF(I8&lt;=7,"1주 전 – 준비 시작","대기"))))))</f>
        <v/>
      </c>
      <c r="K8" s="20" t="inlineStr">
        <is>
          <t>EXW 부산 → 네덜란드 포워딩 기간 별도</t>
        </is>
      </c>
    </row>
    <row r="9">
      <c r="A9" s="19" t="n"/>
      <c r="B9" s="20" t="n"/>
      <c r="C9" s="21" t="n"/>
      <c r="D9" s="21" t="n"/>
      <c r="E9" s="22" t="n"/>
      <c r="F9" s="23">
        <f>IF(C9="","",C9-N(E9))</f>
        <v/>
      </c>
      <c r="G9" s="23">
        <f>IF(C9="","",C9-7)</f>
        <v/>
      </c>
      <c r="H9" s="23">
        <f>IF(C9="","",C9-4)</f>
        <v/>
      </c>
      <c r="I9" s="24">
        <f>IF(C9="","",C9-TODAY())</f>
        <v/>
      </c>
      <c r="J9" s="25">
        <f>IF(A9="","",IF(C9="","일정 미정 – 입력 필요",IF(I9&lt;0,IF(AND(D9&lt;&gt;"",D9&gt;=TODAY()),"진행중 (종료일까지)","지남 – 다음 일정 입력"),IF(I9=0,"오늘 도착",IF(I9&lt;=4,"4일 전 – 최종 확인",IF(I9&lt;=7,"1주 전 – 준비 시작","대기"))))))</f>
        <v/>
      </c>
      <c r="K9" s="20" t="n"/>
    </row>
    <row r="10">
      <c r="A10" s="19" t="n"/>
      <c r="B10" s="20" t="n"/>
      <c r="C10" s="21" t="n"/>
      <c r="D10" s="21" t="n"/>
      <c r="E10" s="22" t="n"/>
      <c r="F10" s="23">
        <f>IF(C10="","",C10-N(E10))</f>
        <v/>
      </c>
      <c r="G10" s="23">
        <f>IF(C10="","",C10-7)</f>
        <v/>
      </c>
      <c r="H10" s="23">
        <f>IF(C10="","",C10-4)</f>
        <v/>
      </c>
      <c r="I10" s="24">
        <f>IF(C10="","",C10-TODAY())</f>
        <v/>
      </c>
      <c r="J10" s="25">
        <f>IF(A10="","",IF(C10="","일정 미정 – 입력 필요",IF(I10&lt;0,IF(AND(D10&lt;&gt;"",D10&gt;=TODAY()),"진행중 (종료일까지)","지남 – 다음 일정 입력"),IF(I10=0,"오늘 도착",IF(I10&lt;=4,"4일 전 – 최종 확인",IF(I10&lt;=7,"1주 전 – 준비 시작","대기"))))))</f>
        <v/>
      </c>
      <c r="K10" s="20" t="n"/>
    </row>
    <row r="11">
      <c r="A11" s="19" t="n"/>
      <c r="B11" s="20" t="n"/>
      <c r="C11" s="21" t="n"/>
      <c r="D11" s="21" t="n"/>
      <c r="E11" s="22" t="n"/>
      <c r="F11" s="23">
        <f>IF(C11="","",C11-N(E11))</f>
        <v/>
      </c>
      <c r="G11" s="23">
        <f>IF(C11="","",C11-7)</f>
        <v/>
      </c>
      <c r="H11" s="23">
        <f>IF(C11="","",C11-4)</f>
        <v/>
      </c>
      <c r="I11" s="24">
        <f>IF(C11="","",C11-TODAY())</f>
        <v/>
      </c>
      <c r="J11" s="25">
        <f>IF(A11="","",IF(C11="","일정 미정 – 입력 필요",IF(I11&lt;0,IF(AND(D11&lt;&gt;"",D11&gt;=TODAY()),"진행중 (종료일까지)","지남 – 다음 일정 입력"),IF(I11=0,"오늘 도착",IF(I11&lt;=4,"4일 전 – 최종 확인",IF(I11&lt;=7,"1주 전 – 준비 시작","대기"))))))</f>
        <v/>
      </c>
      <c r="K11" s="20" t="n"/>
    </row>
    <row r="12">
      <c r="A12" s="19" t="n"/>
      <c r="B12" s="20" t="n"/>
      <c r="C12" s="21" t="n"/>
      <c r="D12" s="21" t="n"/>
      <c r="E12" s="22" t="n"/>
      <c r="F12" s="23">
        <f>IF(C12="","",C12-N(E12))</f>
        <v/>
      </c>
      <c r="G12" s="23">
        <f>IF(C12="","",C12-7)</f>
        <v/>
      </c>
      <c r="H12" s="23">
        <f>IF(C12="","",C12-4)</f>
        <v/>
      </c>
      <c r="I12" s="24">
        <f>IF(C12="","",C12-TODAY())</f>
        <v/>
      </c>
      <c r="J12" s="25">
        <f>IF(A12="","",IF(C12="","일정 미정 – 입력 필요",IF(I12&lt;0,IF(AND(D12&lt;&gt;"",D12&gt;=TODAY()),"진행중 (종료일까지)","지남 – 다음 일정 입력"),IF(I12=0,"오늘 도착",IF(I12&lt;=4,"4일 전 – 최종 확인",IF(I12&lt;=7,"1주 전 – 준비 시작","대기"))))))</f>
        <v/>
      </c>
      <c r="K12" s="20" t="n"/>
    </row>
    <row r="13">
      <c r="A13" s="19" t="n"/>
      <c r="B13" s="20" t="n"/>
      <c r="C13" s="21" t="n"/>
      <c r="D13" s="21" t="n"/>
      <c r="E13" s="22" t="n"/>
      <c r="F13" s="23">
        <f>IF(C13="","",C13-N(E13))</f>
        <v/>
      </c>
      <c r="G13" s="23">
        <f>IF(C13="","",C13-7)</f>
        <v/>
      </c>
      <c r="H13" s="23">
        <f>IF(C13="","",C13-4)</f>
        <v/>
      </c>
      <c r="I13" s="24">
        <f>IF(C13="","",C13-TODAY())</f>
        <v/>
      </c>
      <c r="J13" s="25">
        <f>IF(A13="","",IF(C13="","일정 미정 – 입력 필요",IF(I13&lt;0,IF(AND(D13&lt;&gt;"",D13&gt;=TODAY()),"진행중 (종료일까지)","지남 – 다음 일정 입력"),IF(I13=0,"오늘 도착",IF(I13&lt;=4,"4일 전 – 최종 확인",IF(I13&lt;=7,"1주 전 – 준비 시작","대기"))))))</f>
        <v/>
      </c>
      <c r="K13" s="20" t="n"/>
    </row>
    <row r="14">
      <c r="A14" s="19" t="n"/>
      <c r="B14" s="20" t="n"/>
      <c r="C14" s="21" t="n"/>
      <c r="D14" s="21" t="n"/>
      <c r="E14" s="22" t="n"/>
      <c r="F14" s="23">
        <f>IF(C14="","",C14-N(E14))</f>
        <v/>
      </c>
      <c r="G14" s="23">
        <f>IF(C14="","",C14-7)</f>
        <v/>
      </c>
      <c r="H14" s="23">
        <f>IF(C14="","",C14-4)</f>
        <v/>
      </c>
      <c r="I14" s="24">
        <f>IF(C14="","",C14-TODAY())</f>
        <v/>
      </c>
      <c r="J14" s="25">
        <f>IF(A14="","",IF(C14="","일정 미정 – 입력 필요",IF(I14&lt;0,IF(AND(D14&lt;&gt;"",D14&gt;=TODAY()),"진행중 (종료일까지)","지남 – 다음 일정 입력"),IF(I14=0,"오늘 도착",IF(I14&lt;=4,"4일 전 – 최종 확인",IF(I14&lt;=7,"1주 전 – 준비 시작","대기"))))))</f>
        <v/>
      </c>
      <c r="K14" s="20" t="n"/>
    </row>
    <row r="16">
      <c r="A16" s="2" t="inlineStr">
        <is>
          <t>선박 1척 = 1줄 (다음 일정만). 일정이 끝나면 같은 줄의 일정·날짜를 다음 일정으로 바꿔 쓰세요.</t>
        </is>
      </c>
    </row>
  </sheetData>
  <conditionalFormatting sqref="I5:J14">
    <cfRule type="expression" priority="1" dxfId="0">
      <formula>AND(ISNUMBER($I5),$I5&gt;=0,$I5&lt;=4)</formula>
    </cfRule>
    <cfRule type="expression" priority="2" dxfId="1">
      <formula>AND(ISNUMBER($I5),$I5&gt;4,$I5&lt;=7)</formula>
    </cfRule>
    <cfRule type="expression" priority="3" dxfId="6">
      <formula>AND(ISNUMBER($I5),$I5&lt;0)</formula>
    </cfRule>
  </conditionalFormatting>
  <conditionalFormatting sqref="G5:G14">
    <cfRule type="expression" priority="4" dxfId="7">
      <formula>AND(ISNUMBER($G5),TODAY()&gt;=$G5,TODAY()&lt;=$C5)</formula>
    </cfRule>
  </conditionalFormatting>
  <conditionalFormatting sqref="H5:H14">
    <cfRule type="expression" priority="5" dxfId="0">
      <formula>AND(ISNUMBER($H5),TODAY()&gt;=$H5,TODAY()&lt;=$C5)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R88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5" customWidth="1" min="3" max="3"/>
    <col width="5" customWidth="1" min="4" max="4"/>
    <col width="34" customWidth="1" min="5" max="5"/>
    <col width="6" customWidth="1" min="6" max="6"/>
    <col width="6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9" customWidth="1" min="32" max="32"/>
    <col width="12" customWidth="1" min="33" max="33"/>
    <col width="14" customWidth="1" min="34" max="34"/>
    <col width="12" customWidth="1" min="35" max="35"/>
    <col width="30" customWidth="1" min="36" max="36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>
      <c r="A1" s="26" t="inlineStr">
        <is>
          <t>중복견적 비교 (자동)</t>
        </is>
      </c>
    </row>
    <row r="2">
      <c r="A2" s="2" t="inlineStr">
        <is>
          <t>선박 시트에서 같은 RFQ No.·항목#로 업체 견적이 2곳 이상 들어온 품목이 자동으로 모입니다 · 입력 불필요 · 단가는 원화 환산(설정 시트 환율) · 초록 = 최저가</t>
        </is>
      </c>
    </row>
    <row r="4" ht="22" customHeight="1">
      <c r="A4" s="27" t="inlineStr">
        <is>
          <t>No</t>
        </is>
      </c>
      <c r="B4" s="27" t="inlineStr">
        <is>
          <t>선박</t>
        </is>
      </c>
      <c r="C4" s="27" t="inlineStr">
        <is>
          <t>RFQ No.</t>
        </is>
      </c>
      <c r="D4" s="27" t="inlineStr">
        <is>
          <t>항목#</t>
        </is>
      </c>
      <c r="E4" s="27" t="inlineStr">
        <is>
          <t>품목</t>
        </is>
      </c>
      <c r="F4" s="27" t="inlineStr">
        <is>
          <t>수량</t>
        </is>
      </c>
      <c r="G4" s="27" t="inlineStr">
        <is>
          <t>단위</t>
        </is>
      </c>
      <c r="H4" s="28" t="inlineStr">
        <is>
          <t>견적상태</t>
        </is>
      </c>
      <c r="I4" s="29" t="n"/>
      <c r="J4" s="29" t="n"/>
      <c r="K4" s="29" t="n"/>
      <c r="L4" s="29" t="n"/>
      <c r="M4" s="29" t="n"/>
      <c r="N4" s="29" t="n"/>
      <c r="O4" s="30" t="n"/>
      <c r="P4" s="28" t="inlineStr">
        <is>
          <t>원화 단가 (KRW)</t>
        </is>
      </c>
      <c r="Q4" s="29" t="n"/>
      <c r="R4" s="29" t="n"/>
      <c r="S4" s="29" t="n"/>
      <c r="T4" s="29" t="n"/>
      <c r="U4" s="29" t="n"/>
      <c r="V4" s="29" t="n"/>
      <c r="W4" s="30" t="n"/>
      <c r="X4" s="28" t="inlineStr">
        <is>
          <t>납기 (일)</t>
        </is>
      </c>
      <c r="Y4" s="29" t="n"/>
      <c r="Z4" s="29" t="n"/>
      <c r="AA4" s="29" t="n"/>
      <c r="AB4" s="29" t="n"/>
      <c r="AC4" s="29" t="n"/>
      <c r="AD4" s="29" t="n"/>
      <c r="AE4" s="30" t="n"/>
      <c r="AF4" s="27" t="inlineStr">
        <is>
          <t>최저가
업체</t>
        </is>
      </c>
      <c r="AG4" s="27" t="inlineStr">
        <is>
          <t>최저
원화 단가</t>
        </is>
      </c>
      <c r="AH4" s="27" t="inlineStr">
        <is>
          <t>최저가 기준
금액 (KRW)</t>
        </is>
      </c>
      <c r="AI4" s="27" t="inlineStr">
        <is>
          <t>최고-최저
차이 (KRW)</t>
        </is>
      </c>
      <c r="AJ4" s="27" t="inlineStr">
        <is>
          <t>메모</t>
        </is>
      </c>
    </row>
    <row r="5" ht="30" customHeight="1">
      <c r="A5" s="31" t="n"/>
      <c r="B5" s="31" t="n"/>
      <c r="C5" s="31" t="n"/>
      <c r="D5" s="31" t="n"/>
      <c r="E5" s="31" t="n"/>
      <c r="F5" s="31" t="n"/>
      <c r="G5" s="31" t="n"/>
      <c r="H5" s="32">
        <f>IF(설정!$E$5="","-",설정!$E$5)</f>
        <v/>
      </c>
      <c r="I5" s="32">
        <f>IF(설정!$E$6="","-",설정!$E$6)</f>
        <v/>
      </c>
      <c r="J5" s="32">
        <f>IF(설정!$E$7="","-",설정!$E$7)</f>
        <v/>
      </c>
      <c r="K5" s="32">
        <f>IF(설정!$E$8="","-",설정!$E$8)</f>
        <v/>
      </c>
      <c r="L5" s="32">
        <f>IF(설정!$E$9="","-",설정!$E$9)</f>
        <v/>
      </c>
      <c r="M5" s="32">
        <f>IF(설정!$E$10="","-",설정!$E$10)</f>
        <v/>
      </c>
      <c r="N5" s="32">
        <f>IF(설정!$E$11="","-",설정!$E$11)</f>
        <v/>
      </c>
      <c r="O5" s="32">
        <f>IF(설정!$E$12="","-",설정!$E$12)</f>
        <v/>
      </c>
      <c r="P5" s="32">
        <f>IF(설정!$E$5="","-",설정!$E$5)</f>
        <v/>
      </c>
      <c r="Q5" s="32">
        <f>IF(설정!$E$6="","-",설정!$E$6)</f>
        <v/>
      </c>
      <c r="R5" s="32">
        <f>IF(설정!$E$7="","-",설정!$E$7)</f>
        <v/>
      </c>
      <c r="S5" s="32">
        <f>IF(설정!$E$8="","-",설정!$E$8)</f>
        <v/>
      </c>
      <c r="T5" s="32">
        <f>IF(설정!$E$9="","-",설정!$E$9)</f>
        <v/>
      </c>
      <c r="U5" s="32">
        <f>IF(설정!$E$10="","-",설정!$E$10)</f>
        <v/>
      </c>
      <c r="V5" s="32">
        <f>IF(설정!$E$11="","-",설정!$E$11)</f>
        <v/>
      </c>
      <c r="W5" s="32">
        <f>IF(설정!$E$12="","-",설정!$E$12)</f>
        <v/>
      </c>
      <c r="X5" s="32">
        <f>IF(설정!$E$5="","-",설정!$E$5)</f>
        <v/>
      </c>
      <c r="Y5" s="32">
        <f>IF(설정!$E$6="","-",설정!$E$6)</f>
        <v/>
      </c>
      <c r="Z5" s="32">
        <f>IF(설정!$E$7="","-",설정!$E$7)</f>
        <v/>
      </c>
      <c r="AA5" s="32">
        <f>IF(설정!$E$8="","-",설정!$E$8)</f>
        <v/>
      </c>
      <c r="AB5" s="32">
        <f>IF(설정!$E$9="","-",설정!$E$9)</f>
        <v/>
      </c>
      <c r="AC5" s="32">
        <f>IF(설정!$E$10="","-",설정!$E$10)</f>
        <v/>
      </c>
      <c r="AD5" s="32">
        <f>IF(설정!$E$11="","-",설정!$E$11)</f>
        <v/>
      </c>
      <c r="AE5" s="32">
        <f>IF(설정!$E$12="","-",설정!$E$12)</f>
        <v/>
      </c>
      <c r="AF5" s="31" t="n"/>
      <c r="AG5" s="31" t="n"/>
      <c r="AH5" s="31" t="n"/>
      <c r="AI5" s="31" t="n"/>
      <c r="AJ5" s="31" t="n"/>
      <c r="AL5" s="33" t="inlineStr">
        <is>
          <t>_선박</t>
        </is>
      </c>
      <c r="AM5" s="33" t="inlineStr">
        <is>
          <t>_중복수</t>
        </is>
      </c>
      <c r="AN5" s="33" t="inlineStr">
        <is>
          <t>_누적끝</t>
        </is>
      </c>
      <c r="AO5" s="33" t="inlineStr">
        <is>
          <t>_누적시작</t>
        </is>
      </c>
    </row>
    <row r="6">
      <c r="A6" s="34">
        <f>IF(AP6="","",1)</f>
        <v/>
      </c>
      <c r="B6" s="35">
        <f>IF(AP6="","",INDEX($AL$6:$AL$9,AP6))</f>
        <v/>
      </c>
      <c r="C6" s="34">
        <f>IF(AP6="","",INDEX(INDIRECT("'"&amp;$B6&amp;"'!$B$6:$B$205"),MATCH($AR6,INDIRECT("'"&amp;$B6&amp;"'!$AE$6:$AE$205"),0)))</f>
        <v/>
      </c>
      <c r="D6" s="34">
        <f>IF(AP6="","",INDEX(INDIRECT("'"&amp;$B6&amp;"'!$D$6:$D$205"),MATCH($AR6,INDIRECT("'"&amp;$B6&amp;"'!$AE$6:$AE$205"),0)))</f>
        <v/>
      </c>
      <c r="E6" s="36">
        <f>IF(AP6="","",INDEX(INDIRECT("'"&amp;$B6&amp;"'!$F$6:$F$205"),MATCH($AR6,INDIRECT("'"&amp;$B6&amp;"'!$AE$6:$AE$205"),0)))</f>
        <v/>
      </c>
      <c r="F6" s="34">
        <f>IF(AP6="","",INDEX(INDIRECT("'"&amp;$B6&amp;"'!$K$6:$K$205"),MATCH($AR6,INDIRECT("'"&amp;$B6&amp;"'!$AE$6:$AE$205"),0)))</f>
        <v/>
      </c>
      <c r="G6" s="34">
        <f>IF(AP6="","",INDEX(INDIRECT("'"&amp;$B6&amp;"'!$L$6:$L$205"),MATCH($AR6,INDIRECT("'"&amp;$B6&amp;"'!$AE$6:$AE$205"),0)))</f>
        <v/>
      </c>
      <c r="H6" s="34">
        <f>IF(OR(AP6="",H$5="-"),"",IFERROR(IF(INDEX(INDIRECT("'"&amp;$B6&amp;"'!$N$6:$N$205"),MATCH($AR6&amp;"|"&amp;H$5,INDIRECT("'"&amp;$B6&amp;"'!$AF$6:$AF$205"),0))="","",INDEX(INDIRECT("'"&amp;$B6&amp;"'!$N$6:$N$205"),MATCH($AR6&amp;"|"&amp;H$5,INDIRECT("'"&amp;$B6&amp;"'!$AF$6:$AF$205"),0))),"-"))</f>
        <v/>
      </c>
      <c r="I6" s="34">
        <f>IF(OR(AP6="",I$5="-"),"",IFERROR(IF(INDEX(INDIRECT("'"&amp;$B6&amp;"'!$N$6:$N$205"),MATCH($AR6&amp;"|"&amp;I$5,INDIRECT("'"&amp;$B6&amp;"'!$AF$6:$AF$205"),0))="","",INDEX(INDIRECT("'"&amp;$B6&amp;"'!$N$6:$N$205"),MATCH($AR6&amp;"|"&amp;I$5,INDIRECT("'"&amp;$B6&amp;"'!$AF$6:$AF$205"),0))),"-"))</f>
        <v/>
      </c>
      <c r="J6" s="34">
        <f>IF(OR(AP6="",J$5="-"),"",IFERROR(IF(INDEX(INDIRECT("'"&amp;$B6&amp;"'!$N$6:$N$205"),MATCH($AR6&amp;"|"&amp;J$5,INDIRECT("'"&amp;$B6&amp;"'!$AF$6:$AF$205"),0))="","",INDEX(INDIRECT("'"&amp;$B6&amp;"'!$N$6:$N$205"),MATCH($AR6&amp;"|"&amp;J$5,INDIRECT("'"&amp;$B6&amp;"'!$AF$6:$AF$205"),0))),"-"))</f>
        <v/>
      </c>
      <c r="K6" s="34">
        <f>IF(OR(AP6="",K$5="-"),"",IFERROR(IF(INDEX(INDIRECT("'"&amp;$B6&amp;"'!$N$6:$N$205"),MATCH($AR6&amp;"|"&amp;K$5,INDIRECT("'"&amp;$B6&amp;"'!$AF$6:$AF$205"),0))="","",INDEX(INDIRECT("'"&amp;$B6&amp;"'!$N$6:$N$205"),MATCH($AR6&amp;"|"&amp;K$5,INDIRECT("'"&amp;$B6&amp;"'!$AF$6:$AF$205"),0))),"-"))</f>
        <v/>
      </c>
      <c r="L6" s="34">
        <f>IF(OR(AP6="",L$5="-"),"",IFERROR(IF(INDEX(INDIRECT("'"&amp;$B6&amp;"'!$N$6:$N$205"),MATCH($AR6&amp;"|"&amp;L$5,INDIRECT("'"&amp;$B6&amp;"'!$AF$6:$AF$205"),0))="","",INDEX(INDIRECT("'"&amp;$B6&amp;"'!$N$6:$N$205"),MATCH($AR6&amp;"|"&amp;L$5,INDIRECT("'"&amp;$B6&amp;"'!$AF$6:$AF$205"),0))),"-"))</f>
        <v/>
      </c>
      <c r="M6" s="34">
        <f>IF(OR(AP6="",M$5="-"),"",IFERROR(IF(INDEX(INDIRECT("'"&amp;$B6&amp;"'!$N$6:$N$205"),MATCH($AR6&amp;"|"&amp;M$5,INDIRECT("'"&amp;$B6&amp;"'!$AF$6:$AF$205"),0))="","",INDEX(INDIRECT("'"&amp;$B6&amp;"'!$N$6:$N$205"),MATCH($AR6&amp;"|"&amp;M$5,INDIRECT("'"&amp;$B6&amp;"'!$AF$6:$AF$205"),0))),"-"))</f>
        <v/>
      </c>
      <c r="N6" s="34">
        <f>IF(OR(AP6="",N$5="-"),"",IFERROR(IF(INDEX(INDIRECT("'"&amp;$B6&amp;"'!$N$6:$N$205"),MATCH($AR6&amp;"|"&amp;N$5,INDIRECT("'"&amp;$B6&amp;"'!$AF$6:$AF$205"),0))="","",INDEX(INDIRECT("'"&amp;$B6&amp;"'!$N$6:$N$205"),MATCH($AR6&amp;"|"&amp;N$5,INDIRECT("'"&amp;$B6&amp;"'!$AF$6:$AF$205"),0))),"-"))</f>
        <v/>
      </c>
      <c r="O6" s="34">
        <f>IF(OR(AP6="",O$5="-"),"",IFERROR(IF(INDEX(INDIRECT("'"&amp;$B6&amp;"'!$N$6:$N$205"),MATCH($AR6&amp;"|"&amp;O$5,INDIRECT("'"&amp;$B6&amp;"'!$AF$6:$AF$205"),0))="","",INDEX(INDIRECT("'"&amp;$B6&amp;"'!$N$6:$N$205"),MATCH($AR6&amp;"|"&amp;O$5,INDIRECT("'"&amp;$B6&amp;"'!$AF$6:$AF$205"),0))),"-"))</f>
        <v/>
      </c>
      <c r="P6" s="37">
        <f>IF(OR(AP6="",P$5="-"),"",IFERROR(IF(INDEX(INDIRECT("'"&amp;$B6&amp;"'!$R$6:$R$205"),MATCH($AR6&amp;"|"&amp;P$5,INDIRECT("'"&amp;$B6&amp;"'!$AF$6:$AF$205"),0))="","",INDEX(INDIRECT("'"&amp;$B6&amp;"'!$R$6:$R$205"),MATCH($AR6&amp;"|"&amp;P$5,INDIRECT("'"&amp;$B6&amp;"'!$AF$6:$AF$205"),0))),"-"))</f>
        <v/>
      </c>
      <c r="Q6" s="37">
        <f>IF(OR(AP6="",Q$5="-"),"",IFERROR(IF(INDEX(INDIRECT("'"&amp;$B6&amp;"'!$R$6:$R$205"),MATCH($AR6&amp;"|"&amp;Q$5,INDIRECT("'"&amp;$B6&amp;"'!$AF$6:$AF$205"),0))="","",INDEX(INDIRECT("'"&amp;$B6&amp;"'!$R$6:$R$205"),MATCH($AR6&amp;"|"&amp;Q$5,INDIRECT("'"&amp;$B6&amp;"'!$AF$6:$AF$205"),0))),"-"))</f>
        <v/>
      </c>
      <c r="R6" s="37">
        <f>IF(OR(AP6="",R$5="-"),"",IFERROR(IF(INDEX(INDIRECT("'"&amp;$B6&amp;"'!$R$6:$R$205"),MATCH($AR6&amp;"|"&amp;R$5,INDIRECT("'"&amp;$B6&amp;"'!$AF$6:$AF$205"),0))="","",INDEX(INDIRECT("'"&amp;$B6&amp;"'!$R$6:$R$205"),MATCH($AR6&amp;"|"&amp;R$5,INDIRECT("'"&amp;$B6&amp;"'!$AF$6:$AF$205"),0))),"-"))</f>
        <v/>
      </c>
      <c r="S6" s="37">
        <f>IF(OR(AP6="",S$5="-"),"",IFERROR(IF(INDEX(INDIRECT("'"&amp;$B6&amp;"'!$R$6:$R$205"),MATCH($AR6&amp;"|"&amp;S$5,INDIRECT("'"&amp;$B6&amp;"'!$AF$6:$AF$205"),0))="","",INDEX(INDIRECT("'"&amp;$B6&amp;"'!$R$6:$R$205"),MATCH($AR6&amp;"|"&amp;S$5,INDIRECT("'"&amp;$B6&amp;"'!$AF$6:$AF$205"),0))),"-"))</f>
        <v/>
      </c>
      <c r="T6" s="37">
        <f>IF(OR(AP6="",T$5="-"),"",IFERROR(IF(INDEX(INDIRECT("'"&amp;$B6&amp;"'!$R$6:$R$205"),MATCH($AR6&amp;"|"&amp;T$5,INDIRECT("'"&amp;$B6&amp;"'!$AF$6:$AF$205"),0))="","",INDEX(INDIRECT("'"&amp;$B6&amp;"'!$R$6:$R$205"),MATCH($AR6&amp;"|"&amp;T$5,INDIRECT("'"&amp;$B6&amp;"'!$AF$6:$AF$205"),0))),"-"))</f>
        <v/>
      </c>
      <c r="U6" s="37">
        <f>IF(OR(AP6="",U$5="-"),"",IFERROR(IF(INDEX(INDIRECT("'"&amp;$B6&amp;"'!$R$6:$R$205"),MATCH($AR6&amp;"|"&amp;U$5,INDIRECT("'"&amp;$B6&amp;"'!$AF$6:$AF$205"),0))="","",INDEX(INDIRECT("'"&amp;$B6&amp;"'!$R$6:$R$205"),MATCH($AR6&amp;"|"&amp;U$5,INDIRECT("'"&amp;$B6&amp;"'!$AF$6:$AF$205"),0))),"-"))</f>
        <v/>
      </c>
      <c r="V6" s="37">
        <f>IF(OR(AP6="",V$5="-"),"",IFERROR(IF(INDEX(INDIRECT("'"&amp;$B6&amp;"'!$R$6:$R$205"),MATCH($AR6&amp;"|"&amp;V$5,INDIRECT("'"&amp;$B6&amp;"'!$AF$6:$AF$205"),0))="","",INDEX(INDIRECT("'"&amp;$B6&amp;"'!$R$6:$R$205"),MATCH($AR6&amp;"|"&amp;V$5,INDIRECT("'"&amp;$B6&amp;"'!$AF$6:$AF$205"),0))),"-"))</f>
        <v/>
      </c>
      <c r="W6" s="37">
        <f>IF(OR(AP6="",W$5="-"),"",IFERROR(IF(INDEX(INDIRECT("'"&amp;$B6&amp;"'!$R$6:$R$205"),MATCH($AR6&amp;"|"&amp;W$5,INDIRECT("'"&amp;$B6&amp;"'!$AF$6:$AF$205"),0))="","",INDEX(INDIRECT("'"&amp;$B6&amp;"'!$R$6:$R$205"),MATCH($AR6&amp;"|"&amp;W$5,INDIRECT("'"&amp;$B6&amp;"'!$AF$6:$AF$205"),0))),"-"))</f>
        <v/>
      </c>
      <c r="X6" s="38">
        <f>IF(OR(AP6="",X$5="-"),"",IFERROR(IF(INDEX(INDIRECT("'"&amp;$B6&amp;"'!$T$6:$T$205"),MATCH($AR6&amp;"|"&amp;X$5,INDIRECT("'"&amp;$B6&amp;"'!$AF$6:$AF$205"),0))="","",INDEX(INDIRECT("'"&amp;$B6&amp;"'!$T$6:$T$205"),MATCH($AR6&amp;"|"&amp;X$5,INDIRECT("'"&amp;$B6&amp;"'!$AF$6:$AF$205"),0))),"-"))</f>
        <v/>
      </c>
      <c r="Y6" s="38">
        <f>IF(OR(AP6="",Y$5="-"),"",IFERROR(IF(INDEX(INDIRECT("'"&amp;$B6&amp;"'!$T$6:$T$205"),MATCH($AR6&amp;"|"&amp;Y$5,INDIRECT("'"&amp;$B6&amp;"'!$AF$6:$AF$205"),0))="","",INDEX(INDIRECT("'"&amp;$B6&amp;"'!$T$6:$T$205"),MATCH($AR6&amp;"|"&amp;Y$5,INDIRECT("'"&amp;$B6&amp;"'!$AF$6:$AF$205"),0))),"-"))</f>
        <v/>
      </c>
      <c r="Z6" s="38">
        <f>IF(OR(AP6="",Z$5="-"),"",IFERROR(IF(INDEX(INDIRECT("'"&amp;$B6&amp;"'!$T$6:$T$205"),MATCH($AR6&amp;"|"&amp;Z$5,INDIRECT("'"&amp;$B6&amp;"'!$AF$6:$AF$205"),0))="","",INDEX(INDIRECT("'"&amp;$B6&amp;"'!$T$6:$T$205"),MATCH($AR6&amp;"|"&amp;Z$5,INDIRECT("'"&amp;$B6&amp;"'!$AF$6:$AF$205"),0))),"-"))</f>
        <v/>
      </c>
      <c r="AA6" s="38">
        <f>IF(OR(AP6="",AA$5="-"),"",IFERROR(IF(INDEX(INDIRECT("'"&amp;$B6&amp;"'!$T$6:$T$205"),MATCH($AR6&amp;"|"&amp;AA$5,INDIRECT("'"&amp;$B6&amp;"'!$AF$6:$AF$205"),0))="","",INDEX(INDIRECT("'"&amp;$B6&amp;"'!$T$6:$T$205"),MATCH($AR6&amp;"|"&amp;AA$5,INDIRECT("'"&amp;$B6&amp;"'!$AF$6:$AF$205"),0))),"-"))</f>
        <v/>
      </c>
      <c r="AB6" s="38">
        <f>IF(OR(AP6="",AB$5="-"),"",IFERROR(IF(INDEX(INDIRECT("'"&amp;$B6&amp;"'!$T$6:$T$205"),MATCH($AR6&amp;"|"&amp;AB$5,INDIRECT("'"&amp;$B6&amp;"'!$AF$6:$AF$205"),0))="","",INDEX(INDIRECT("'"&amp;$B6&amp;"'!$T$6:$T$205"),MATCH($AR6&amp;"|"&amp;AB$5,INDIRECT("'"&amp;$B6&amp;"'!$AF$6:$AF$205"),0))),"-"))</f>
        <v/>
      </c>
      <c r="AC6" s="38">
        <f>IF(OR(AP6="",AC$5="-"),"",IFERROR(IF(INDEX(INDIRECT("'"&amp;$B6&amp;"'!$T$6:$T$205"),MATCH($AR6&amp;"|"&amp;AC$5,INDIRECT("'"&amp;$B6&amp;"'!$AF$6:$AF$205"),0))="","",INDEX(INDIRECT("'"&amp;$B6&amp;"'!$T$6:$T$205"),MATCH($AR6&amp;"|"&amp;AC$5,INDIRECT("'"&amp;$B6&amp;"'!$AF$6:$AF$205"),0))),"-"))</f>
        <v/>
      </c>
      <c r="AD6" s="38">
        <f>IF(OR(AP6="",AD$5="-"),"",IFERROR(IF(INDEX(INDIRECT("'"&amp;$B6&amp;"'!$T$6:$T$205"),MATCH($AR6&amp;"|"&amp;AD$5,INDIRECT("'"&amp;$B6&amp;"'!$AF$6:$AF$205"),0))="","",INDEX(INDIRECT("'"&amp;$B6&amp;"'!$T$6:$T$205"),MATCH($AR6&amp;"|"&amp;AD$5,INDIRECT("'"&amp;$B6&amp;"'!$AF$6:$AF$205"),0))),"-"))</f>
        <v/>
      </c>
      <c r="AE6" s="38">
        <f>IF(OR(AP6="",AE$5="-"),"",IFERROR(IF(INDEX(INDIRECT("'"&amp;$B6&amp;"'!$T$6:$T$205"),MATCH($AR6&amp;"|"&amp;AE$5,INDIRECT("'"&amp;$B6&amp;"'!$AF$6:$AF$205"),0))="","",INDEX(INDIRECT("'"&amp;$B6&amp;"'!$T$6:$T$205"),MATCH($AR6&amp;"|"&amp;AE$5,INDIRECT("'"&amp;$B6&amp;"'!$AF$6:$AF$205"),0))),"-"))</f>
        <v/>
      </c>
      <c r="AF6" s="35">
        <f>IF(AG6="","",INDEX($P$5:$W$5,MATCH(AG6,P6:W6,0)))</f>
        <v/>
      </c>
      <c r="AG6" s="37">
        <f>IF(COUNT(P6:W6)=0,"",MIN(P6:W6))</f>
        <v/>
      </c>
      <c r="AH6" s="39">
        <f>IF(AG6="","",AG6*F6)</f>
        <v/>
      </c>
      <c r="AI6" s="39">
        <f>IF(COUNT(P6:W6)&lt;2,"",(MAX(P6:W6)-MIN(P6:W6))*F6)</f>
        <v/>
      </c>
      <c r="AJ6" s="20" t="n"/>
      <c r="AL6" t="inlineStr">
        <is>
          <t>AEOLUS</t>
        </is>
      </c>
      <c r="AM6">
        <f>COUNT('AEOLUS'!$AI$6:$AI$205)</f>
        <v/>
      </c>
      <c r="AN6">
        <f>SUM($AM$6:AM6)</f>
        <v/>
      </c>
      <c r="AO6">
        <f>AN6-AM6</f>
        <v/>
      </c>
      <c r="AP6">
        <f>IF(1&gt;MAX($AN$6:$AN$9),"",COUNTIF($AN$6:$AN$9,"&lt;"&amp;1)+1)</f>
        <v/>
      </c>
      <c r="AQ6">
        <f>IF(AP6="","",1-INDEX($AO$6:$AO$9,AP6))</f>
        <v/>
      </c>
      <c r="AR6">
        <f>IF(AP6="","",INDEX(INDIRECT("'"&amp;$B6&amp;"'!$AE$6:$AE$205"),MATCH(AQ6,INDIRECT("'"&amp;$B6&amp;"'!$AI$6:$AI$205"),0)))</f>
        <v/>
      </c>
    </row>
    <row r="7">
      <c r="A7" s="34">
        <f>IF(AP7="","",2)</f>
        <v/>
      </c>
      <c r="B7" s="35">
        <f>IF(AP7="","",INDEX($AL$6:$AL$9,AP7))</f>
        <v/>
      </c>
      <c r="C7" s="34">
        <f>IF(AP7="","",INDEX(INDIRECT("'"&amp;$B7&amp;"'!$B$6:$B$205"),MATCH($AR7,INDIRECT("'"&amp;$B7&amp;"'!$AE$6:$AE$205"),0)))</f>
        <v/>
      </c>
      <c r="D7" s="34">
        <f>IF(AP7="","",INDEX(INDIRECT("'"&amp;$B7&amp;"'!$D$6:$D$205"),MATCH($AR7,INDIRECT("'"&amp;$B7&amp;"'!$AE$6:$AE$205"),0)))</f>
        <v/>
      </c>
      <c r="E7" s="36">
        <f>IF(AP7="","",INDEX(INDIRECT("'"&amp;$B7&amp;"'!$F$6:$F$205"),MATCH($AR7,INDIRECT("'"&amp;$B7&amp;"'!$AE$6:$AE$205"),0)))</f>
        <v/>
      </c>
      <c r="F7" s="34">
        <f>IF(AP7="","",INDEX(INDIRECT("'"&amp;$B7&amp;"'!$K$6:$K$205"),MATCH($AR7,INDIRECT("'"&amp;$B7&amp;"'!$AE$6:$AE$205"),0)))</f>
        <v/>
      </c>
      <c r="G7" s="34">
        <f>IF(AP7="","",INDEX(INDIRECT("'"&amp;$B7&amp;"'!$L$6:$L$205"),MATCH($AR7,INDIRECT("'"&amp;$B7&amp;"'!$AE$6:$AE$205"),0)))</f>
        <v/>
      </c>
      <c r="H7" s="34">
        <f>IF(OR(AP7="",H$5="-"),"",IFERROR(IF(INDEX(INDIRECT("'"&amp;$B7&amp;"'!$N$6:$N$205"),MATCH($AR7&amp;"|"&amp;H$5,INDIRECT("'"&amp;$B7&amp;"'!$AF$6:$AF$205"),0))="","",INDEX(INDIRECT("'"&amp;$B7&amp;"'!$N$6:$N$205"),MATCH($AR7&amp;"|"&amp;H$5,INDIRECT("'"&amp;$B7&amp;"'!$AF$6:$AF$205"),0))),"-"))</f>
        <v/>
      </c>
      <c r="I7" s="34">
        <f>IF(OR(AP7="",I$5="-"),"",IFERROR(IF(INDEX(INDIRECT("'"&amp;$B7&amp;"'!$N$6:$N$205"),MATCH($AR7&amp;"|"&amp;I$5,INDIRECT("'"&amp;$B7&amp;"'!$AF$6:$AF$205"),0))="","",INDEX(INDIRECT("'"&amp;$B7&amp;"'!$N$6:$N$205"),MATCH($AR7&amp;"|"&amp;I$5,INDIRECT("'"&amp;$B7&amp;"'!$AF$6:$AF$205"),0))),"-"))</f>
        <v/>
      </c>
      <c r="J7" s="34">
        <f>IF(OR(AP7="",J$5="-"),"",IFERROR(IF(INDEX(INDIRECT("'"&amp;$B7&amp;"'!$N$6:$N$205"),MATCH($AR7&amp;"|"&amp;J$5,INDIRECT("'"&amp;$B7&amp;"'!$AF$6:$AF$205"),0))="","",INDEX(INDIRECT("'"&amp;$B7&amp;"'!$N$6:$N$205"),MATCH($AR7&amp;"|"&amp;J$5,INDIRECT("'"&amp;$B7&amp;"'!$AF$6:$AF$205"),0))),"-"))</f>
        <v/>
      </c>
      <c r="K7" s="34">
        <f>IF(OR(AP7="",K$5="-"),"",IFERROR(IF(INDEX(INDIRECT("'"&amp;$B7&amp;"'!$N$6:$N$205"),MATCH($AR7&amp;"|"&amp;K$5,INDIRECT("'"&amp;$B7&amp;"'!$AF$6:$AF$205"),0))="","",INDEX(INDIRECT("'"&amp;$B7&amp;"'!$N$6:$N$205"),MATCH($AR7&amp;"|"&amp;K$5,INDIRECT("'"&amp;$B7&amp;"'!$AF$6:$AF$205"),0))),"-"))</f>
        <v/>
      </c>
      <c r="L7" s="34">
        <f>IF(OR(AP7="",L$5="-"),"",IFERROR(IF(INDEX(INDIRECT("'"&amp;$B7&amp;"'!$N$6:$N$205"),MATCH($AR7&amp;"|"&amp;L$5,INDIRECT("'"&amp;$B7&amp;"'!$AF$6:$AF$205"),0))="","",INDEX(INDIRECT("'"&amp;$B7&amp;"'!$N$6:$N$205"),MATCH($AR7&amp;"|"&amp;L$5,INDIRECT("'"&amp;$B7&amp;"'!$AF$6:$AF$205"),0))),"-"))</f>
        <v/>
      </c>
      <c r="M7" s="34">
        <f>IF(OR(AP7="",M$5="-"),"",IFERROR(IF(INDEX(INDIRECT("'"&amp;$B7&amp;"'!$N$6:$N$205"),MATCH($AR7&amp;"|"&amp;M$5,INDIRECT("'"&amp;$B7&amp;"'!$AF$6:$AF$205"),0))="","",INDEX(INDIRECT("'"&amp;$B7&amp;"'!$N$6:$N$205"),MATCH($AR7&amp;"|"&amp;M$5,INDIRECT("'"&amp;$B7&amp;"'!$AF$6:$AF$205"),0))),"-"))</f>
        <v/>
      </c>
      <c r="N7" s="34">
        <f>IF(OR(AP7="",N$5="-"),"",IFERROR(IF(INDEX(INDIRECT("'"&amp;$B7&amp;"'!$N$6:$N$205"),MATCH($AR7&amp;"|"&amp;N$5,INDIRECT("'"&amp;$B7&amp;"'!$AF$6:$AF$205"),0))="","",INDEX(INDIRECT("'"&amp;$B7&amp;"'!$N$6:$N$205"),MATCH($AR7&amp;"|"&amp;N$5,INDIRECT("'"&amp;$B7&amp;"'!$AF$6:$AF$205"),0))),"-"))</f>
        <v/>
      </c>
      <c r="O7" s="34">
        <f>IF(OR(AP7="",O$5="-"),"",IFERROR(IF(INDEX(INDIRECT("'"&amp;$B7&amp;"'!$N$6:$N$205"),MATCH($AR7&amp;"|"&amp;O$5,INDIRECT("'"&amp;$B7&amp;"'!$AF$6:$AF$205"),0))="","",INDEX(INDIRECT("'"&amp;$B7&amp;"'!$N$6:$N$205"),MATCH($AR7&amp;"|"&amp;O$5,INDIRECT("'"&amp;$B7&amp;"'!$AF$6:$AF$205"),0))),"-"))</f>
        <v/>
      </c>
      <c r="P7" s="37">
        <f>IF(OR(AP7="",P$5="-"),"",IFERROR(IF(INDEX(INDIRECT("'"&amp;$B7&amp;"'!$R$6:$R$205"),MATCH($AR7&amp;"|"&amp;P$5,INDIRECT("'"&amp;$B7&amp;"'!$AF$6:$AF$205"),0))="","",INDEX(INDIRECT("'"&amp;$B7&amp;"'!$R$6:$R$205"),MATCH($AR7&amp;"|"&amp;P$5,INDIRECT("'"&amp;$B7&amp;"'!$AF$6:$AF$205"),0))),"-"))</f>
        <v/>
      </c>
      <c r="Q7" s="37">
        <f>IF(OR(AP7="",Q$5="-"),"",IFERROR(IF(INDEX(INDIRECT("'"&amp;$B7&amp;"'!$R$6:$R$205"),MATCH($AR7&amp;"|"&amp;Q$5,INDIRECT("'"&amp;$B7&amp;"'!$AF$6:$AF$205"),0))="","",INDEX(INDIRECT("'"&amp;$B7&amp;"'!$R$6:$R$205"),MATCH($AR7&amp;"|"&amp;Q$5,INDIRECT("'"&amp;$B7&amp;"'!$AF$6:$AF$205"),0))),"-"))</f>
        <v/>
      </c>
      <c r="R7" s="37">
        <f>IF(OR(AP7="",R$5="-"),"",IFERROR(IF(INDEX(INDIRECT("'"&amp;$B7&amp;"'!$R$6:$R$205"),MATCH($AR7&amp;"|"&amp;R$5,INDIRECT("'"&amp;$B7&amp;"'!$AF$6:$AF$205"),0))="","",INDEX(INDIRECT("'"&amp;$B7&amp;"'!$R$6:$R$205"),MATCH($AR7&amp;"|"&amp;R$5,INDIRECT("'"&amp;$B7&amp;"'!$AF$6:$AF$205"),0))),"-"))</f>
        <v/>
      </c>
      <c r="S7" s="37">
        <f>IF(OR(AP7="",S$5="-"),"",IFERROR(IF(INDEX(INDIRECT("'"&amp;$B7&amp;"'!$R$6:$R$205"),MATCH($AR7&amp;"|"&amp;S$5,INDIRECT("'"&amp;$B7&amp;"'!$AF$6:$AF$205"),0))="","",INDEX(INDIRECT("'"&amp;$B7&amp;"'!$R$6:$R$205"),MATCH($AR7&amp;"|"&amp;S$5,INDIRECT("'"&amp;$B7&amp;"'!$AF$6:$AF$205"),0))),"-"))</f>
        <v/>
      </c>
      <c r="T7" s="37">
        <f>IF(OR(AP7="",T$5="-"),"",IFERROR(IF(INDEX(INDIRECT("'"&amp;$B7&amp;"'!$R$6:$R$205"),MATCH($AR7&amp;"|"&amp;T$5,INDIRECT("'"&amp;$B7&amp;"'!$AF$6:$AF$205"),0))="","",INDEX(INDIRECT("'"&amp;$B7&amp;"'!$R$6:$R$205"),MATCH($AR7&amp;"|"&amp;T$5,INDIRECT("'"&amp;$B7&amp;"'!$AF$6:$AF$205"),0))),"-"))</f>
        <v/>
      </c>
      <c r="U7" s="37">
        <f>IF(OR(AP7="",U$5="-"),"",IFERROR(IF(INDEX(INDIRECT("'"&amp;$B7&amp;"'!$R$6:$R$205"),MATCH($AR7&amp;"|"&amp;U$5,INDIRECT("'"&amp;$B7&amp;"'!$AF$6:$AF$205"),0))="","",INDEX(INDIRECT("'"&amp;$B7&amp;"'!$R$6:$R$205"),MATCH($AR7&amp;"|"&amp;U$5,INDIRECT("'"&amp;$B7&amp;"'!$AF$6:$AF$205"),0))),"-"))</f>
        <v/>
      </c>
      <c r="V7" s="37">
        <f>IF(OR(AP7="",V$5="-"),"",IFERROR(IF(INDEX(INDIRECT("'"&amp;$B7&amp;"'!$R$6:$R$205"),MATCH($AR7&amp;"|"&amp;V$5,INDIRECT("'"&amp;$B7&amp;"'!$AF$6:$AF$205"),0))="","",INDEX(INDIRECT("'"&amp;$B7&amp;"'!$R$6:$R$205"),MATCH($AR7&amp;"|"&amp;V$5,INDIRECT("'"&amp;$B7&amp;"'!$AF$6:$AF$205"),0))),"-"))</f>
        <v/>
      </c>
      <c r="W7" s="37">
        <f>IF(OR(AP7="",W$5="-"),"",IFERROR(IF(INDEX(INDIRECT("'"&amp;$B7&amp;"'!$R$6:$R$205"),MATCH($AR7&amp;"|"&amp;W$5,INDIRECT("'"&amp;$B7&amp;"'!$AF$6:$AF$205"),0))="","",INDEX(INDIRECT("'"&amp;$B7&amp;"'!$R$6:$R$205"),MATCH($AR7&amp;"|"&amp;W$5,INDIRECT("'"&amp;$B7&amp;"'!$AF$6:$AF$205"),0))),"-"))</f>
        <v/>
      </c>
      <c r="X7" s="38">
        <f>IF(OR(AP7="",X$5="-"),"",IFERROR(IF(INDEX(INDIRECT("'"&amp;$B7&amp;"'!$T$6:$T$205"),MATCH($AR7&amp;"|"&amp;X$5,INDIRECT("'"&amp;$B7&amp;"'!$AF$6:$AF$205"),0))="","",INDEX(INDIRECT("'"&amp;$B7&amp;"'!$T$6:$T$205"),MATCH($AR7&amp;"|"&amp;X$5,INDIRECT("'"&amp;$B7&amp;"'!$AF$6:$AF$205"),0))),"-"))</f>
        <v/>
      </c>
      <c r="Y7" s="38">
        <f>IF(OR(AP7="",Y$5="-"),"",IFERROR(IF(INDEX(INDIRECT("'"&amp;$B7&amp;"'!$T$6:$T$205"),MATCH($AR7&amp;"|"&amp;Y$5,INDIRECT("'"&amp;$B7&amp;"'!$AF$6:$AF$205"),0))="","",INDEX(INDIRECT("'"&amp;$B7&amp;"'!$T$6:$T$205"),MATCH($AR7&amp;"|"&amp;Y$5,INDIRECT("'"&amp;$B7&amp;"'!$AF$6:$AF$205"),0))),"-"))</f>
        <v/>
      </c>
      <c r="Z7" s="38">
        <f>IF(OR(AP7="",Z$5="-"),"",IFERROR(IF(INDEX(INDIRECT("'"&amp;$B7&amp;"'!$T$6:$T$205"),MATCH($AR7&amp;"|"&amp;Z$5,INDIRECT("'"&amp;$B7&amp;"'!$AF$6:$AF$205"),0))="","",INDEX(INDIRECT("'"&amp;$B7&amp;"'!$T$6:$T$205"),MATCH($AR7&amp;"|"&amp;Z$5,INDIRECT("'"&amp;$B7&amp;"'!$AF$6:$AF$205"),0))),"-"))</f>
        <v/>
      </c>
      <c r="AA7" s="38">
        <f>IF(OR(AP7="",AA$5="-"),"",IFERROR(IF(INDEX(INDIRECT("'"&amp;$B7&amp;"'!$T$6:$T$205"),MATCH($AR7&amp;"|"&amp;AA$5,INDIRECT("'"&amp;$B7&amp;"'!$AF$6:$AF$205"),0))="","",INDEX(INDIRECT("'"&amp;$B7&amp;"'!$T$6:$T$205"),MATCH($AR7&amp;"|"&amp;AA$5,INDIRECT("'"&amp;$B7&amp;"'!$AF$6:$AF$205"),0))),"-"))</f>
        <v/>
      </c>
      <c r="AB7" s="38">
        <f>IF(OR(AP7="",AB$5="-"),"",IFERROR(IF(INDEX(INDIRECT("'"&amp;$B7&amp;"'!$T$6:$T$205"),MATCH($AR7&amp;"|"&amp;AB$5,INDIRECT("'"&amp;$B7&amp;"'!$AF$6:$AF$205"),0))="","",INDEX(INDIRECT("'"&amp;$B7&amp;"'!$T$6:$T$205"),MATCH($AR7&amp;"|"&amp;AB$5,INDIRECT("'"&amp;$B7&amp;"'!$AF$6:$AF$205"),0))),"-"))</f>
        <v/>
      </c>
      <c r="AC7" s="38">
        <f>IF(OR(AP7="",AC$5="-"),"",IFERROR(IF(INDEX(INDIRECT("'"&amp;$B7&amp;"'!$T$6:$T$205"),MATCH($AR7&amp;"|"&amp;AC$5,INDIRECT("'"&amp;$B7&amp;"'!$AF$6:$AF$205"),0))="","",INDEX(INDIRECT("'"&amp;$B7&amp;"'!$T$6:$T$205"),MATCH($AR7&amp;"|"&amp;AC$5,INDIRECT("'"&amp;$B7&amp;"'!$AF$6:$AF$205"),0))),"-"))</f>
        <v/>
      </c>
      <c r="AD7" s="38">
        <f>IF(OR(AP7="",AD$5="-"),"",IFERROR(IF(INDEX(INDIRECT("'"&amp;$B7&amp;"'!$T$6:$T$205"),MATCH($AR7&amp;"|"&amp;AD$5,INDIRECT("'"&amp;$B7&amp;"'!$AF$6:$AF$205"),0))="","",INDEX(INDIRECT("'"&amp;$B7&amp;"'!$T$6:$T$205"),MATCH($AR7&amp;"|"&amp;AD$5,INDIRECT("'"&amp;$B7&amp;"'!$AF$6:$AF$205"),0))),"-"))</f>
        <v/>
      </c>
      <c r="AE7" s="38">
        <f>IF(OR(AP7="",AE$5="-"),"",IFERROR(IF(INDEX(INDIRECT("'"&amp;$B7&amp;"'!$T$6:$T$205"),MATCH($AR7&amp;"|"&amp;AE$5,INDIRECT("'"&amp;$B7&amp;"'!$AF$6:$AF$205"),0))="","",INDEX(INDIRECT("'"&amp;$B7&amp;"'!$T$6:$T$205"),MATCH($AR7&amp;"|"&amp;AE$5,INDIRECT("'"&amp;$B7&amp;"'!$AF$6:$AF$205"),0))),"-"))</f>
        <v/>
      </c>
      <c r="AF7" s="35">
        <f>IF(AG7="","",INDEX($P$5:$W$5,MATCH(AG7,P7:W7,0)))</f>
        <v/>
      </c>
      <c r="AG7" s="37">
        <f>IF(COUNT(P7:W7)=0,"",MIN(P7:W7))</f>
        <v/>
      </c>
      <c r="AH7" s="39">
        <f>IF(AG7="","",AG7*F7)</f>
        <v/>
      </c>
      <c r="AI7" s="39">
        <f>IF(COUNT(P7:W7)&lt;2,"",(MAX(P7:W7)-MIN(P7:W7))*F7)</f>
        <v/>
      </c>
      <c r="AJ7" s="20" t="n"/>
      <c r="AL7" t="inlineStr">
        <is>
          <t>MELICERTES</t>
        </is>
      </c>
      <c r="AM7">
        <f>COUNT('MELICERTES'!$AI$6:$AI$205)</f>
        <v/>
      </c>
      <c r="AN7">
        <f>SUM($AM$6:AM7)</f>
        <v/>
      </c>
      <c r="AO7">
        <f>AN7-AM7</f>
        <v/>
      </c>
      <c r="AP7">
        <f>IF(2&gt;MAX($AN$6:$AN$9),"",COUNTIF($AN$6:$AN$9,"&lt;"&amp;2)+1)</f>
        <v/>
      </c>
      <c r="AQ7">
        <f>IF(AP7="","",2-INDEX($AO$6:$AO$9,AP7))</f>
        <v/>
      </c>
      <c r="AR7">
        <f>IF(AP7="","",INDEX(INDIRECT("'"&amp;$B7&amp;"'!$AE$6:$AE$205"),MATCH(AQ7,INDIRECT("'"&amp;$B7&amp;"'!$AI$6:$AI$205"),0)))</f>
        <v/>
      </c>
    </row>
    <row r="8">
      <c r="A8" s="34">
        <f>IF(AP8="","",3)</f>
        <v/>
      </c>
      <c r="B8" s="35">
        <f>IF(AP8="","",INDEX($AL$6:$AL$9,AP8))</f>
        <v/>
      </c>
      <c r="C8" s="34">
        <f>IF(AP8="","",INDEX(INDIRECT("'"&amp;$B8&amp;"'!$B$6:$B$205"),MATCH($AR8,INDIRECT("'"&amp;$B8&amp;"'!$AE$6:$AE$205"),0)))</f>
        <v/>
      </c>
      <c r="D8" s="34">
        <f>IF(AP8="","",INDEX(INDIRECT("'"&amp;$B8&amp;"'!$D$6:$D$205"),MATCH($AR8,INDIRECT("'"&amp;$B8&amp;"'!$AE$6:$AE$205"),0)))</f>
        <v/>
      </c>
      <c r="E8" s="36">
        <f>IF(AP8="","",INDEX(INDIRECT("'"&amp;$B8&amp;"'!$F$6:$F$205"),MATCH($AR8,INDIRECT("'"&amp;$B8&amp;"'!$AE$6:$AE$205"),0)))</f>
        <v/>
      </c>
      <c r="F8" s="34">
        <f>IF(AP8="","",INDEX(INDIRECT("'"&amp;$B8&amp;"'!$K$6:$K$205"),MATCH($AR8,INDIRECT("'"&amp;$B8&amp;"'!$AE$6:$AE$205"),0)))</f>
        <v/>
      </c>
      <c r="G8" s="34">
        <f>IF(AP8="","",INDEX(INDIRECT("'"&amp;$B8&amp;"'!$L$6:$L$205"),MATCH($AR8,INDIRECT("'"&amp;$B8&amp;"'!$AE$6:$AE$205"),0)))</f>
        <v/>
      </c>
      <c r="H8" s="34">
        <f>IF(OR(AP8="",H$5="-"),"",IFERROR(IF(INDEX(INDIRECT("'"&amp;$B8&amp;"'!$N$6:$N$205"),MATCH($AR8&amp;"|"&amp;H$5,INDIRECT("'"&amp;$B8&amp;"'!$AF$6:$AF$205"),0))="","",INDEX(INDIRECT("'"&amp;$B8&amp;"'!$N$6:$N$205"),MATCH($AR8&amp;"|"&amp;H$5,INDIRECT("'"&amp;$B8&amp;"'!$AF$6:$AF$205"),0))),"-"))</f>
        <v/>
      </c>
      <c r="I8" s="34">
        <f>IF(OR(AP8="",I$5="-"),"",IFERROR(IF(INDEX(INDIRECT("'"&amp;$B8&amp;"'!$N$6:$N$205"),MATCH($AR8&amp;"|"&amp;I$5,INDIRECT("'"&amp;$B8&amp;"'!$AF$6:$AF$205"),0))="","",INDEX(INDIRECT("'"&amp;$B8&amp;"'!$N$6:$N$205"),MATCH($AR8&amp;"|"&amp;I$5,INDIRECT("'"&amp;$B8&amp;"'!$AF$6:$AF$205"),0))),"-"))</f>
        <v/>
      </c>
      <c r="J8" s="34">
        <f>IF(OR(AP8="",J$5="-"),"",IFERROR(IF(INDEX(INDIRECT("'"&amp;$B8&amp;"'!$N$6:$N$205"),MATCH($AR8&amp;"|"&amp;J$5,INDIRECT("'"&amp;$B8&amp;"'!$AF$6:$AF$205"),0))="","",INDEX(INDIRECT("'"&amp;$B8&amp;"'!$N$6:$N$205"),MATCH($AR8&amp;"|"&amp;J$5,INDIRECT("'"&amp;$B8&amp;"'!$AF$6:$AF$205"),0))),"-"))</f>
        <v/>
      </c>
      <c r="K8" s="34">
        <f>IF(OR(AP8="",K$5="-"),"",IFERROR(IF(INDEX(INDIRECT("'"&amp;$B8&amp;"'!$N$6:$N$205"),MATCH($AR8&amp;"|"&amp;K$5,INDIRECT("'"&amp;$B8&amp;"'!$AF$6:$AF$205"),0))="","",INDEX(INDIRECT("'"&amp;$B8&amp;"'!$N$6:$N$205"),MATCH($AR8&amp;"|"&amp;K$5,INDIRECT("'"&amp;$B8&amp;"'!$AF$6:$AF$205"),0))),"-"))</f>
        <v/>
      </c>
      <c r="L8" s="34">
        <f>IF(OR(AP8="",L$5="-"),"",IFERROR(IF(INDEX(INDIRECT("'"&amp;$B8&amp;"'!$N$6:$N$205"),MATCH($AR8&amp;"|"&amp;L$5,INDIRECT("'"&amp;$B8&amp;"'!$AF$6:$AF$205"),0))="","",INDEX(INDIRECT("'"&amp;$B8&amp;"'!$N$6:$N$205"),MATCH($AR8&amp;"|"&amp;L$5,INDIRECT("'"&amp;$B8&amp;"'!$AF$6:$AF$205"),0))),"-"))</f>
        <v/>
      </c>
      <c r="M8" s="34">
        <f>IF(OR(AP8="",M$5="-"),"",IFERROR(IF(INDEX(INDIRECT("'"&amp;$B8&amp;"'!$N$6:$N$205"),MATCH($AR8&amp;"|"&amp;M$5,INDIRECT("'"&amp;$B8&amp;"'!$AF$6:$AF$205"),0))="","",INDEX(INDIRECT("'"&amp;$B8&amp;"'!$N$6:$N$205"),MATCH($AR8&amp;"|"&amp;M$5,INDIRECT("'"&amp;$B8&amp;"'!$AF$6:$AF$205"),0))),"-"))</f>
        <v/>
      </c>
      <c r="N8" s="34">
        <f>IF(OR(AP8="",N$5="-"),"",IFERROR(IF(INDEX(INDIRECT("'"&amp;$B8&amp;"'!$N$6:$N$205"),MATCH($AR8&amp;"|"&amp;N$5,INDIRECT("'"&amp;$B8&amp;"'!$AF$6:$AF$205"),0))="","",INDEX(INDIRECT("'"&amp;$B8&amp;"'!$N$6:$N$205"),MATCH($AR8&amp;"|"&amp;N$5,INDIRECT("'"&amp;$B8&amp;"'!$AF$6:$AF$205"),0))),"-"))</f>
        <v/>
      </c>
      <c r="O8" s="34">
        <f>IF(OR(AP8="",O$5="-"),"",IFERROR(IF(INDEX(INDIRECT("'"&amp;$B8&amp;"'!$N$6:$N$205"),MATCH($AR8&amp;"|"&amp;O$5,INDIRECT("'"&amp;$B8&amp;"'!$AF$6:$AF$205"),0))="","",INDEX(INDIRECT("'"&amp;$B8&amp;"'!$N$6:$N$205"),MATCH($AR8&amp;"|"&amp;O$5,INDIRECT("'"&amp;$B8&amp;"'!$AF$6:$AF$205"),0))),"-"))</f>
        <v/>
      </c>
      <c r="P8" s="37">
        <f>IF(OR(AP8="",P$5="-"),"",IFERROR(IF(INDEX(INDIRECT("'"&amp;$B8&amp;"'!$R$6:$R$205"),MATCH($AR8&amp;"|"&amp;P$5,INDIRECT("'"&amp;$B8&amp;"'!$AF$6:$AF$205"),0))="","",INDEX(INDIRECT("'"&amp;$B8&amp;"'!$R$6:$R$205"),MATCH($AR8&amp;"|"&amp;P$5,INDIRECT("'"&amp;$B8&amp;"'!$AF$6:$AF$205"),0))),"-"))</f>
        <v/>
      </c>
      <c r="Q8" s="37">
        <f>IF(OR(AP8="",Q$5="-"),"",IFERROR(IF(INDEX(INDIRECT("'"&amp;$B8&amp;"'!$R$6:$R$205"),MATCH($AR8&amp;"|"&amp;Q$5,INDIRECT("'"&amp;$B8&amp;"'!$AF$6:$AF$205"),0))="","",INDEX(INDIRECT("'"&amp;$B8&amp;"'!$R$6:$R$205"),MATCH($AR8&amp;"|"&amp;Q$5,INDIRECT("'"&amp;$B8&amp;"'!$AF$6:$AF$205"),0))),"-"))</f>
        <v/>
      </c>
      <c r="R8" s="37">
        <f>IF(OR(AP8="",R$5="-"),"",IFERROR(IF(INDEX(INDIRECT("'"&amp;$B8&amp;"'!$R$6:$R$205"),MATCH($AR8&amp;"|"&amp;R$5,INDIRECT("'"&amp;$B8&amp;"'!$AF$6:$AF$205"),0))="","",INDEX(INDIRECT("'"&amp;$B8&amp;"'!$R$6:$R$205"),MATCH($AR8&amp;"|"&amp;R$5,INDIRECT("'"&amp;$B8&amp;"'!$AF$6:$AF$205"),0))),"-"))</f>
        <v/>
      </c>
      <c r="S8" s="37">
        <f>IF(OR(AP8="",S$5="-"),"",IFERROR(IF(INDEX(INDIRECT("'"&amp;$B8&amp;"'!$R$6:$R$205"),MATCH($AR8&amp;"|"&amp;S$5,INDIRECT("'"&amp;$B8&amp;"'!$AF$6:$AF$205"),0))="","",INDEX(INDIRECT("'"&amp;$B8&amp;"'!$R$6:$R$205"),MATCH($AR8&amp;"|"&amp;S$5,INDIRECT("'"&amp;$B8&amp;"'!$AF$6:$AF$205"),0))),"-"))</f>
        <v/>
      </c>
      <c r="T8" s="37">
        <f>IF(OR(AP8="",T$5="-"),"",IFERROR(IF(INDEX(INDIRECT("'"&amp;$B8&amp;"'!$R$6:$R$205"),MATCH($AR8&amp;"|"&amp;T$5,INDIRECT("'"&amp;$B8&amp;"'!$AF$6:$AF$205"),0))="","",INDEX(INDIRECT("'"&amp;$B8&amp;"'!$R$6:$R$205"),MATCH($AR8&amp;"|"&amp;T$5,INDIRECT("'"&amp;$B8&amp;"'!$AF$6:$AF$205"),0))),"-"))</f>
        <v/>
      </c>
      <c r="U8" s="37">
        <f>IF(OR(AP8="",U$5="-"),"",IFERROR(IF(INDEX(INDIRECT("'"&amp;$B8&amp;"'!$R$6:$R$205"),MATCH($AR8&amp;"|"&amp;U$5,INDIRECT("'"&amp;$B8&amp;"'!$AF$6:$AF$205"),0))="","",INDEX(INDIRECT("'"&amp;$B8&amp;"'!$R$6:$R$205"),MATCH($AR8&amp;"|"&amp;U$5,INDIRECT("'"&amp;$B8&amp;"'!$AF$6:$AF$205"),0))),"-"))</f>
        <v/>
      </c>
      <c r="V8" s="37">
        <f>IF(OR(AP8="",V$5="-"),"",IFERROR(IF(INDEX(INDIRECT("'"&amp;$B8&amp;"'!$R$6:$R$205"),MATCH($AR8&amp;"|"&amp;V$5,INDIRECT("'"&amp;$B8&amp;"'!$AF$6:$AF$205"),0))="","",INDEX(INDIRECT("'"&amp;$B8&amp;"'!$R$6:$R$205"),MATCH($AR8&amp;"|"&amp;V$5,INDIRECT("'"&amp;$B8&amp;"'!$AF$6:$AF$205"),0))),"-"))</f>
        <v/>
      </c>
      <c r="W8" s="37">
        <f>IF(OR(AP8="",W$5="-"),"",IFERROR(IF(INDEX(INDIRECT("'"&amp;$B8&amp;"'!$R$6:$R$205"),MATCH($AR8&amp;"|"&amp;W$5,INDIRECT("'"&amp;$B8&amp;"'!$AF$6:$AF$205"),0))="","",INDEX(INDIRECT("'"&amp;$B8&amp;"'!$R$6:$R$205"),MATCH($AR8&amp;"|"&amp;W$5,INDIRECT("'"&amp;$B8&amp;"'!$AF$6:$AF$205"),0))),"-"))</f>
        <v/>
      </c>
      <c r="X8" s="38">
        <f>IF(OR(AP8="",X$5="-"),"",IFERROR(IF(INDEX(INDIRECT("'"&amp;$B8&amp;"'!$T$6:$T$205"),MATCH($AR8&amp;"|"&amp;X$5,INDIRECT("'"&amp;$B8&amp;"'!$AF$6:$AF$205"),0))="","",INDEX(INDIRECT("'"&amp;$B8&amp;"'!$T$6:$T$205"),MATCH($AR8&amp;"|"&amp;X$5,INDIRECT("'"&amp;$B8&amp;"'!$AF$6:$AF$205"),0))),"-"))</f>
        <v/>
      </c>
      <c r="Y8" s="38">
        <f>IF(OR(AP8="",Y$5="-"),"",IFERROR(IF(INDEX(INDIRECT("'"&amp;$B8&amp;"'!$T$6:$T$205"),MATCH($AR8&amp;"|"&amp;Y$5,INDIRECT("'"&amp;$B8&amp;"'!$AF$6:$AF$205"),0))="","",INDEX(INDIRECT("'"&amp;$B8&amp;"'!$T$6:$T$205"),MATCH($AR8&amp;"|"&amp;Y$5,INDIRECT("'"&amp;$B8&amp;"'!$AF$6:$AF$205"),0))),"-"))</f>
        <v/>
      </c>
      <c r="Z8" s="38">
        <f>IF(OR(AP8="",Z$5="-"),"",IFERROR(IF(INDEX(INDIRECT("'"&amp;$B8&amp;"'!$T$6:$T$205"),MATCH($AR8&amp;"|"&amp;Z$5,INDIRECT("'"&amp;$B8&amp;"'!$AF$6:$AF$205"),0))="","",INDEX(INDIRECT("'"&amp;$B8&amp;"'!$T$6:$T$205"),MATCH($AR8&amp;"|"&amp;Z$5,INDIRECT("'"&amp;$B8&amp;"'!$AF$6:$AF$205"),0))),"-"))</f>
        <v/>
      </c>
      <c r="AA8" s="38">
        <f>IF(OR(AP8="",AA$5="-"),"",IFERROR(IF(INDEX(INDIRECT("'"&amp;$B8&amp;"'!$T$6:$T$205"),MATCH($AR8&amp;"|"&amp;AA$5,INDIRECT("'"&amp;$B8&amp;"'!$AF$6:$AF$205"),0))="","",INDEX(INDIRECT("'"&amp;$B8&amp;"'!$T$6:$T$205"),MATCH($AR8&amp;"|"&amp;AA$5,INDIRECT("'"&amp;$B8&amp;"'!$AF$6:$AF$205"),0))),"-"))</f>
        <v/>
      </c>
      <c r="AB8" s="38">
        <f>IF(OR(AP8="",AB$5="-"),"",IFERROR(IF(INDEX(INDIRECT("'"&amp;$B8&amp;"'!$T$6:$T$205"),MATCH($AR8&amp;"|"&amp;AB$5,INDIRECT("'"&amp;$B8&amp;"'!$AF$6:$AF$205"),0))="","",INDEX(INDIRECT("'"&amp;$B8&amp;"'!$T$6:$T$205"),MATCH($AR8&amp;"|"&amp;AB$5,INDIRECT("'"&amp;$B8&amp;"'!$AF$6:$AF$205"),0))),"-"))</f>
        <v/>
      </c>
      <c r="AC8" s="38">
        <f>IF(OR(AP8="",AC$5="-"),"",IFERROR(IF(INDEX(INDIRECT("'"&amp;$B8&amp;"'!$T$6:$T$205"),MATCH($AR8&amp;"|"&amp;AC$5,INDIRECT("'"&amp;$B8&amp;"'!$AF$6:$AF$205"),0))="","",INDEX(INDIRECT("'"&amp;$B8&amp;"'!$T$6:$T$205"),MATCH($AR8&amp;"|"&amp;AC$5,INDIRECT("'"&amp;$B8&amp;"'!$AF$6:$AF$205"),0))),"-"))</f>
        <v/>
      </c>
      <c r="AD8" s="38">
        <f>IF(OR(AP8="",AD$5="-"),"",IFERROR(IF(INDEX(INDIRECT("'"&amp;$B8&amp;"'!$T$6:$T$205"),MATCH($AR8&amp;"|"&amp;AD$5,INDIRECT("'"&amp;$B8&amp;"'!$AF$6:$AF$205"),0))="","",INDEX(INDIRECT("'"&amp;$B8&amp;"'!$T$6:$T$205"),MATCH($AR8&amp;"|"&amp;AD$5,INDIRECT("'"&amp;$B8&amp;"'!$AF$6:$AF$205"),0))),"-"))</f>
        <v/>
      </c>
      <c r="AE8" s="38">
        <f>IF(OR(AP8="",AE$5="-"),"",IFERROR(IF(INDEX(INDIRECT("'"&amp;$B8&amp;"'!$T$6:$T$205"),MATCH($AR8&amp;"|"&amp;AE$5,INDIRECT("'"&amp;$B8&amp;"'!$AF$6:$AF$205"),0))="","",INDEX(INDIRECT("'"&amp;$B8&amp;"'!$T$6:$T$205"),MATCH($AR8&amp;"|"&amp;AE$5,INDIRECT("'"&amp;$B8&amp;"'!$AF$6:$AF$205"),0))),"-"))</f>
        <v/>
      </c>
      <c r="AF8" s="35">
        <f>IF(AG8="","",INDEX($P$5:$W$5,MATCH(AG8,P8:W8,0)))</f>
        <v/>
      </c>
      <c r="AG8" s="37">
        <f>IF(COUNT(P8:W8)=0,"",MIN(P8:W8))</f>
        <v/>
      </c>
      <c r="AH8" s="39">
        <f>IF(AG8="","",AG8*F8)</f>
        <v/>
      </c>
      <c r="AI8" s="39">
        <f>IF(COUNT(P8:W8)&lt;2,"",(MAX(P8:W8)-MIN(P8:W8))*F8)</f>
        <v/>
      </c>
      <c r="AJ8" s="20" t="n"/>
      <c r="AL8" t="inlineStr">
        <is>
          <t>NELEUS</t>
        </is>
      </c>
      <c r="AM8">
        <f>COUNT('NELEUS'!$AI$6:$AI$205)</f>
        <v/>
      </c>
      <c r="AN8">
        <f>SUM($AM$6:AM8)</f>
        <v/>
      </c>
      <c r="AO8">
        <f>AN8-AM8</f>
        <v/>
      </c>
      <c r="AP8">
        <f>IF(3&gt;MAX($AN$6:$AN$9),"",COUNTIF($AN$6:$AN$9,"&lt;"&amp;3)+1)</f>
        <v/>
      </c>
      <c r="AQ8">
        <f>IF(AP8="","",3-INDEX($AO$6:$AO$9,AP8))</f>
        <v/>
      </c>
      <c r="AR8">
        <f>IF(AP8="","",INDEX(INDIRECT("'"&amp;$B8&amp;"'!$AE$6:$AE$205"),MATCH(AQ8,INDIRECT("'"&amp;$B8&amp;"'!$AI$6:$AI$205"),0)))</f>
        <v/>
      </c>
    </row>
    <row r="9">
      <c r="A9" s="34">
        <f>IF(AP9="","",4)</f>
        <v/>
      </c>
      <c r="B9" s="35">
        <f>IF(AP9="","",INDEX($AL$6:$AL$9,AP9))</f>
        <v/>
      </c>
      <c r="C9" s="34">
        <f>IF(AP9="","",INDEX(INDIRECT("'"&amp;$B9&amp;"'!$B$6:$B$205"),MATCH($AR9,INDIRECT("'"&amp;$B9&amp;"'!$AE$6:$AE$205"),0)))</f>
        <v/>
      </c>
      <c r="D9" s="34">
        <f>IF(AP9="","",INDEX(INDIRECT("'"&amp;$B9&amp;"'!$D$6:$D$205"),MATCH($AR9,INDIRECT("'"&amp;$B9&amp;"'!$AE$6:$AE$205"),0)))</f>
        <v/>
      </c>
      <c r="E9" s="36">
        <f>IF(AP9="","",INDEX(INDIRECT("'"&amp;$B9&amp;"'!$F$6:$F$205"),MATCH($AR9,INDIRECT("'"&amp;$B9&amp;"'!$AE$6:$AE$205"),0)))</f>
        <v/>
      </c>
      <c r="F9" s="34">
        <f>IF(AP9="","",INDEX(INDIRECT("'"&amp;$B9&amp;"'!$K$6:$K$205"),MATCH($AR9,INDIRECT("'"&amp;$B9&amp;"'!$AE$6:$AE$205"),0)))</f>
        <v/>
      </c>
      <c r="G9" s="34">
        <f>IF(AP9="","",INDEX(INDIRECT("'"&amp;$B9&amp;"'!$L$6:$L$205"),MATCH($AR9,INDIRECT("'"&amp;$B9&amp;"'!$AE$6:$AE$205"),0)))</f>
        <v/>
      </c>
      <c r="H9" s="34">
        <f>IF(OR(AP9="",H$5="-"),"",IFERROR(IF(INDEX(INDIRECT("'"&amp;$B9&amp;"'!$N$6:$N$205"),MATCH($AR9&amp;"|"&amp;H$5,INDIRECT("'"&amp;$B9&amp;"'!$AF$6:$AF$205"),0))="","",INDEX(INDIRECT("'"&amp;$B9&amp;"'!$N$6:$N$205"),MATCH($AR9&amp;"|"&amp;H$5,INDIRECT("'"&amp;$B9&amp;"'!$AF$6:$AF$205"),0))),"-"))</f>
        <v/>
      </c>
      <c r="I9" s="34">
        <f>IF(OR(AP9="",I$5="-"),"",IFERROR(IF(INDEX(INDIRECT("'"&amp;$B9&amp;"'!$N$6:$N$205"),MATCH($AR9&amp;"|"&amp;I$5,INDIRECT("'"&amp;$B9&amp;"'!$AF$6:$AF$205"),0))="","",INDEX(INDIRECT("'"&amp;$B9&amp;"'!$N$6:$N$205"),MATCH($AR9&amp;"|"&amp;I$5,INDIRECT("'"&amp;$B9&amp;"'!$AF$6:$AF$205"),0))),"-"))</f>
        <v/>
      </c>
      <c r="J9" s="34">
        <f>IF(OR(AP9="",J$5="-"),"",IFERROR(IF(INDEX(INDIRECT("'"&amp;$B9&amp;"'!$N$6:$N$205"),MATCH($AR9&amp;"|"&amp;J$5,INDIRECT("'"&amp;$B9&amp;"'!$AF$6:$AF$205"),0))="","",INDEX(INDIRECT("'"&amp;$B9&amp;"'!$N$6:$N$205"),MATCH($AR9&amp;"|"&amp;J$5,INDIRECT("'"&amp;$B9&amp;"'!$AF$6:$AF$205"),0))),"-"))</f>
        <v/>
      </c>
      <c r="K9" s="34">
        <f>IF(OR(AP9="",K$5="-"),"",IFERROR(IF(INDEX(INDIRECT("'"&amp;$B9&amp;"'!$N$6:$N$205"),MATCH($AR9&amp;"|"&amp;K$5,INDIRECT("'"&amp;$B9&amp;"'!$AF$6:$AF$205"),0))="","",INDEX(INDIRECT("'"&amp;$B9&amp;"'!$N$6:$N$205"),MATCH($AR9&amp;"|"&amp;K$5,INDIRECT("'"&amp;$B9&amp;"'!$AF$6:$AF$205"),0))),"-"))</f>
        <v/>
      </c>
      <c r="L9" s="34">
        <f>IF(OR(AP9="",L$5="-"),"",IFERROR(IF(INDEX(INDIRECT("'"&amp;$B9&amp;"'!$N$6:$N$205"),MATCH($AR9&amp;"|"&amp;L$5,INDIRECT("'"&amp;$B9&amp;"'!$AF$6:$AF$205"),0))="","",INDEX(INDIRECT("'"&amp;$B9&amp;"'!$N$6:$N$205"),MATCH($AR9&amp;"|"&amp;L$5,INDIRECT("'"&amp;$B9&amp;"'!$AF$6:$AF$205"),0))),"-"))</f>
        <v/>
      </c>
      <c r="M9" s="34">
        <f>IF(OR(AP9="",M$5="-"),"",IFERROR(IF(INDEX(INDIRECT("'"&amp;$B9&amp;"'!$N$6:$N$205"),MATCH($AR9&amp;"|"&amp;M$5,INDIRECT("'"&amp;$B9&amp;"'!$AF$6:$AF$205"),0))="","",INDEX(INDIRECT("'"&amp;$B9&amp;"'!$N$6:$N$205"),MATCH($AR9&amp;"|"&amp;M$5,INDIRECT("'"&amp;$B9&amp;"'!$AF$6:$AF$205"),0))),"-"))</f>
        <v/>
      </c>
      <c r="N9" s="34">
        <f>IF(OR(AP9="",N$5="-"),"",IFERROR(IF(INDEX(INDIRECT("'"&amp;$B9&amp;"'!$N$6:$N$205"),MATCH($AR9&amp;"|"&amp;N$5,INDIRECT("'"&amp;$B9&amp;"'!$AF$6:$AF$205"),0))="","",INDEX(INDIRECT("'"&amp;$B9&amp;"'!$N$6:$N$205"),MATCH($AR9&amp;"|"&amp;N$5,INDIRECT("'"&amp;$B9&amp;"'!$AF$6:$AF$205"),0))),"-"))</f>
        <v/>
      </c>
      <c r="O9" s="34">
        <f>IF(OR(AP9="",O$5="-"),"",IFERROR(IF(INDEX(INDIRECT("'"&amp;$B9&amp;"'!$N$6:$N$205"),MATCH($AR9&amp;"|"&amp;O$5,INDIRECT("'"&amp;$B9&amp;"'!$AF$6:$AF$205"),0))="","",INDEX(INDIRECT("'"&amp;$B9&amp;"'!$N$6:$N$205"),MATCH($AR9&amp;"|"&amp;O$5,INDIRECT("'"&amp;$B9&amp;"'!$AF$6:$AF$205"),0))),"-"))</f>
        <v/>
      </c>
      <c r="P9" s="37">
        <f>IF(OR(AP9="",P$5="-"),"",IFERROR(IF(INDEX(INDIRECT("'"&amp;$B9&amp;"'!$R$6:$R$205"),MATCH($AR9&amp;"|"&amp;P$5,INDIRECT("'"&amp;$B9&amp;"'!$AF$6:$AF$205"),0))="","",INDEX(INDIRECT("'"&amp;$B9&amp;"'!$R$6:$R$205"),MATCH($AR9&amp;"|"&amp;P$5,INDIRECT("'"&amp;$B9&amp;"'!$AF$6:$AF$205"),0))),"-"))</f>
        <v/>
      </c>
      <c r="Q9" s="37">
        <f>IF(OR(AP9="",Q$5="-"),"",IFERROR(IF(INDEX(INDIRECT("'"&amp;$B9&amp;"'!$R$6:$R$205"),MATCH($AR9&amp;"|"&amp;Q$5,INDIRECT("'"&amp;$B9&amp;"'!$AF$6:$AF$205"),0))="","",INDEX(INDIRECT("'"&amp;$B9&amp;"'!$R$6:$R$205"),MATCH($AR9&amp;"|"&amp;Q$5,INDIRECT("'"&amp;$B9&amp;"'!$AF$6:$AF$205"),0))),"-"))</f>
        <v/>
      </c>
      <c r="R9" s="37">
        <f>IF(OR(AP9="",R$5="-"),"",IFERROR(IF(INDEX(INDIRECT("'"&amp;$B9&amp;"'!$R$6:$R$205"),MATCH($AR9&amp;"|"&amp;R$5,INDIRECT("'"&amp;$B9&amp;"'!$AF$6:$AF$205"),0))="","",INDEX(INDIRECT("'"&amp;$B9&amp;"'!$R$6:$R$205"),MATCH($AR9&amp;"|"&amp;R$5,INDIRECT("'"&amp;$B9&amp;"'!$AF$6:$AF$205"),0))),"-"))</f>
        <v/>
      </c>
      <c r="S9" s="37">
        <f>IF(OR(AP9="",S$5="-"),"",IFERROR(IF(INDEX(INDIRECT("'"&amp;$B9&amp;"'!$R$6:$R$205"),MATCH($AR9&amp;"|"&amp;S$5,INDIRECT("'"&amp;$B9&amp;"'!$AF$6:$AF$205"),0))="","",INDEX(INDIRECT("'"&amp;$B9&amp;"'!$R$6:$R$205"),MATCH($AR9&amp;"|"&amp;S$5,INDIRECT("'"&amp;$B9&amp;"'!$AF$6:$AF$205"),0))),"-"))</f>
        <v/>
      </c>
      <c r="T9" s="37">
        <f>IF(OR(AP9="",T$5="-"),"",IFERROR(IF(INDEX(INDIRECT("'"&amp;$B9&amp;"'!$R$6:$R$205"),MATCH($AR9&amp;"|"&amp;T$5,INDIRECT("'"&amp;$B9&amp;"'!$AF$6:$AF$205"),0))="","",INDEX(INDIRECT("'"&amp;$B9&amp;"'!$R$6:$R$205"),MATCH($AR9&amp;"|"&amp;T$5,INDIRECT("'"&amp;$B9&amp;"'!$AF$6:$AF$205"),0))),"-"))</f>
        <v/>
      </c>
      <c r="U9" s="37">
        <f>IF(OR(AP9="",U$5="-"),"",IFERROR(IF(INDEX(INDIRECT("'"&amp;$B9&amp;"'!$R$6:$R$205"),MATCH($AR9&amp;"|"&amp;U$5,INDIRECT("'"&amp;$B9&amp;"'!$AF$6:$AF$205"),0))="","",INDEX(INDIRECT("'"&amp;$B9&amp;"'!$R$6:$R$205"),MATCH($AR9&amp;"|"&amp;U$5,INDIRECT("'"&amp;$B9&amp;"'!$AF$6:$AF$205"),0))),"-"))</f>
        <v/>
      </c>
      <c r="V9" s="37">
        <f>IF(OR(AP9="",V$5="-"),"",IFERROR(IF(INDEX(INDIRECT("'"&amp;$B9&amp;"'!$R$6:$R$205"),MATCH($AR9&amp;"|"&amp;V$5,INDIRECT("'"&amp;$B9&amp;"'!$AF$6:$AF$205"),0))="","",INDEX(INDIRECT("'"&amp;$B9&amp;"'!$R$6:$R$205"),MATCH($AR9&amp;"|"&amp;V$5,INDIRECT("'"&amp;$B9&amp;"'!$AF$6:$AF$205"),0))),"-"))</f>
        <v/>
      </c>
      <c r="W9" s="37">
        <f>IF(OR(AP9="",W$5="-"),"",IFERROR(IF(INDEX(INDIRECT("'"&amp;$B9&amp;"'!$R$6:$R$205"),MATCH($AR9&amp;"|"&amp;W$5,INDIRECT("'"&amp;$B9&amp;"'!$AF$6:$AF$205"),0))="","",INDEX(INDIRECT("'"&amp;$B9&amp;"'!$R$6:$R$205"),MATCH($AR9&amp;"|"&amp;W$5,INDIRECT("'"&amp;$B9&amp;"'!$AF$6:$AF$205"),0))),"-"))</f>
        <v/>
      </c>
      <c r="X9" s="38">
        <f>IF(OR(AP9="",X$5="-"),"",IFERROR(IF(INDEX(INDIRECT("'"&amp;$B9&amp;"'!$T$6:$T$205"),MATCH($AR9&amp;"|"&amp;X$5,INDIRECT("'"&amp;$B9&amp;"'!$AF$6:$AF$205"),0))="","",INDEX(INDIRECT("'"&amp;$B9&amp;"'!$T$6:$T$205"),MATCH($AR9&amp;"|"&amp;X$5,INDIRECT("'"&amp;$B9&amp;"'!$AF$6:$AF$205"),0))),"-"))</f>
        <v/>
      </c>
      <c r="Y9" s="38">
        <f>IF(OR(AP9="",Y$5="-"),"",IFERROR(IF(INDEX(INDIRECT("'"&amp;$B9&amp;"'!$T$6:$T$205"),MATCH($AR9&amp;"|"&amp;Y$5,INDIRECT("'"&amp;$B9&amp;"'!$AF$6:$AF$205"),0))="","",INDEX(INDIRECT("'"&amp;$B9&amp;"'!$T$6:$T$205"),MATCH($AR9&amp;"|"&amp;Y$5,INDIRECT("'"&amp;$B9&amp;"'!$AF$6:$AF$205"),0))),"-"))</f>
        <v/>
      </c>
      <c r="Z9" s="38">
        <f>IF(OR(AP9="",Z$5="-"),"",IFERROR(IF(INDEX(INDIRECT("'"&amp;$B9&amp;"'!$T$6:$T$205"),MATCH($AR9&amp;"|"&amp;Z$5,INDIRECT("'"&amp;$B9&amp;"'!$AF$6:$AF$205"),0))="","",INDEX(INDIRECT("'"&amp;$B9&amp;"'!$T$6:$T$205"),MATCH($AR9&amp;"|"&amp;Z$5,INDIRECT("'"&amp;$B9&amp;"'!$AF$6:$AF$205"),0))),"-"))</f>
        <v/>
      </c>
      <c r="AA9" s="38">
        <f>IF(OR(AP9="",AA$5="-"),"",IFERROR(IF(INDEX(INDIRECT("'"&amp;$B9&amp;"'!$T$6:$T$205"),MATCH($AR9&amp;"|"&amp;AA$5,INDIRECT("'"&amp;$B9&amp;"'!$AF$6:$AF$205"),0))="","",INDEX(INDIRECT("'"&amp;$B9&amp;"'!$T$6:$T$205"),MATCH($AR9&amp;"|"&amp;AA$5,INDIRECT("'"&amp;$B9&amp;"'!$AF$6:$AF$205"),0))),"-"))</f>
        <v/>
      </c>
      <c r="AB9" s="38">
        <f>IF(OR(AP9="",AB$5="-"),"",IFERROR(IF(INDEX(INDIRECT("'"&amp;$B9&amp;"'!$T$6:$T$205"),MATCH($AR9&amp;"|"&amp;AB$5,INDIRECT("'"&amp;$B9&amp;"'!$AF$6:$AF$205"),0))="","",INDEX(INDIRECT("'"&amp;$B9&amp;"'!$T$6:$T$205"),MATCH($AR9&amp;"|"&amp;AB$5,INDIRECT("'"&amp;$B9&amp;"'!$AF$6:$AF$205"),0))),"-"))</f>
        <v/>
      </c>
      <c r="AC9" s="38">
        <f>IF(OR(AP9="",AC$5="-"),"",IFERROR(IF(INDEX(INDIRECT("'"&amp;$B9&amp;"'!$T$6:$T$205"),MATCH($AR9&amp;"|"&amp;AC$5,INDIRECT("'"&amp;$B9&amp;"'!$AF$6:$AF$205"),0))="","",INDEX(INDIRECT("'"&amp;$B9&amp;"'!$T$6:$T$205"),MATCH($AR9&amp;"|"&amp;AC$5,INDIRECT("'"&amp;$B9&amp;"'!$AF$6:$AF$205"),0))),"-"))</f>
        <v/>
      </c>
      <c r="AD9" s="38">
        <f>IF(OR(AP9="",AD$5="-"),"",IFERROR(IF(INDEX(INDIRECT("'"&amp;$B9&amp;"'!$T$6:$T$205"),MATCH($AR9&amp;"|"&amp;AD$5,INDIRECT("'"&amp;$B9&amp;"'!$AF$6:$AF$205"),0))="","",INDEX(INDIRECT("'"&amp;$B9&amp;"'!$T$6:$T$205"),MATCH($AR9&amp;"|"&amp;AD$5,INDIRECT("'"&amp;$B9&amp;"'!$AF$6:$AF$205"),0))),"-"))</f>
        <v/>
      </c>
      <c r="AE9" s="38">
        <f>IF(OR(AP9="",AE$5="-"),"",IFERROR(IF(INDEX(INDIRECT("'"&amp;$B9&amp;"'!$T$6:$T$205"),MATCH($AR9&amp;"|"&amp;AE$5,INDIRECT("'"&amp;$B9&amp;"'!$AF$6:$AF$205"),0))="","",INDEX(INDIRECT("'"&amp;$B9&amp;"'!$T$6:$T$205"),MATCH($AR9&amp;"|"&amp;AE$5,INDIRECT("'"&amp;$B9&amp;"'!$AF$6:$AF$205"),0))),"-"))</f>
        <v/>
      </c>
      <c r="AF9" s="35">
        <f>IF(AG9="","",INDEX($P$5:$W$5,MATCH(AG9,P9:W9,0)))</f>
        <v/>
      </c>
      <c r="AG9" s="37">
        <f>IF(COUNT(P9:W9)=0,"",MIN(P9:W9))</f>
        <v/>
      </c>
      <c r="AH9" s="39">
        <f>IF(AG9="","",AG9*F9)</f>
        <v/>
      </c>
      <c r="AI9" s="39">
        <f>IF(COUNT(P9:W9)&lt;2,"",(MAX(P9:W9)-MIN(P9:W9))*F9)</f>
        <v/>
      </c>
      <c r="AJ9" s="20" t="n"/>
      <c r="AL9" t="inlineStr">
        <is>
          <t>ONEIROI</t>
        </is>
      </c>
      <c r="AM9">
        <f>COUNT('ONEIROI'!$AI$6:$AI$205)</f>
        <v/>
      </c>
      <c r="AN9">
        <f>SUM($AM$6:AM9)</f>
        <v/>
      </c>
      <c r="AO9">
        <f>AN9-AM9</f>
        <v/>
      </c>
      <c r="AP9">
        <f>IF(4&gt;MAX($AN$6:$AN$9),"",COUNTIF($AN$6:$AN$9,"&lt;"&amp;4)+1)</f>
        <v/>
      </c>
      <c r="AQ9">
        <f>IF(AP9="","",4-INDEX($AO$6:$AO$9,AP9))</f>
        <v/>
      </c>
      <c r="AR9">
        <f>IF(AP9="","",INDEX(INDIRECT("'"&amp;$B9&amp;"'!$AE$6:$AE$205"),MATCH(AQ9,INDIRECT("'"&amp;$B9&amp;"'!$AI$6:$AI$205"),0)))</f>
        <v/>
      </c>
    </row>
    <row r="10">
      <c r="A10" s="34">
        <f>IF(AP10="","",5)</f>
        <v/>
      </c>
      <c r="B10" s="35">
        <f>IF(AP10="","",INDEX($AL$6:$AL$9,AP10))</f>
        <v/>
      </c>
      <c r="C10" s="34">
        <f>IF(AP10="","",INDEX(INDIRECT("'"&amp;$B10&amp;"'!$B$6:$B$205"),MATCH($AR10,INDIRECT("'"&amp;$B10&amp;"'!$AE$6:$AE$205"),0)))</f>
        <v/>
      </c>
      <c r="D10" s="34">
        <f>IF(AP10="","",INDEX(INDIRECT("'"&amp;$B10&amp;"'!$D$6:$D$205"),MATCH($AR10,INDIRECT("'"&amp;$B10&amp;"'!$AE$6:$AE$205"),0)))</f>
        <v/>
      </c>
      <c r="E10" s="36">
        <f>IF(AP10="","",INDEX(INDIRECT("'"&amp;$B10&amp;"'!$F$6:$F$205"),MATCH($AR10,INDIRECT("'"&amp;$B10&amp;"'!$AE$6:$AE$205"),0)))</f>
        <v/>
      </c>
      <c r="F10" s="34">
        <f>IF(AP10="","",INDEX(INDIRECT("'"&amp;$B10&amp;"'!$K$6:$K$205"),MATCH($AR10,INDIRECT("'"&amp;$B10&amp;"'!$AE$6:$AE$205"),0)))</f>
        <v/>
      </c>
      <c r="G10" s="34">
        <f>IF(AP10="","",INDEX(INDIRECT("'"&amp;$B10&amp;"'!$L$6:$L$205"),MATCH($AR10,INDIRECT("'"&amp;$B10&amp;"'!$AE$6:$AE$205"),0)))</f>
        <v/>
      </c>
      <c r="H10" s="34">
        <f>IF(OR(AP10="",H$5="-"),"",IFERROR(IF(INDEX(INDIRECT("'"&amp;$B10&amp;"'!$N$6:$N$205"),MATCH($AR10&amp;"|"&amp;H$5,INDIRECT("'"&amp;$B10&amp;"'!$AF$6:$AF$205"),0))="","",INDEX(INDIRECT("'"&amp;$B10&amp;"'!$N$6:$N$205"),MATCH($AR10&amp;"|"&amp;H$5,INDIRECT("'"&amp;$B10&amp;"'!$AF$6:$AF$205"),0))),"-"))</f>
        <v/>
      </c>
      <c r="I10" s="34">
        <f>IF(OR(AP10="",I$5="-"),"",IFERROR(IF(INDEX(INDIRECT("'"&amp;$B10&amp;"'!$N$6:$N$205"),MATCH($AR10&amp;"|"&amp;I$5,INDIRECT("'"&amp;$B10&amp;"'!$AF$6:$AF$205"),0))="","",INDEX(INDIRECT("'"&amp;$B10&amp;"'!$N$6:$N$205"),MATCH($AR10&amp;"|"&amp;I$5,INDIRECT("'"&amp;$B10&amp;"'!$AF$6:$AF$205"),0))),"-"))</f>
        <v/>
      </c>
      <c r="J10" s="34">
        <f>IF(OR(AP10="",J$5="-"),"",IFERROR(IF(INDEX(INDIRECT("'"&amp;$B10&amp;"'!$N$6:$N$205"),MATCH($AR10&amp;"|"&amp;J$5,INDIRECT("'"&amp;$B10&amp;"'!$AF$6:$AF$205"),0))="","",INDEX(INDIRECT("'"&amp;$B10&amp;"'!$N$6:$N$205"),MATCH($AR10&amp;"|"&amp;J$5,INDIRECT("'"&amp;$B10&amp;"'!$AF$6:$AF$205"),0))),"-"))</f>
        <v/>
      </c>
      <c r="K10" s="34">
        <f>IF(OR(AP10="",K$5="-"),"",IFERROR(IF(INDEX(INDIRECT("'"&amp;$B10&amp;"'!$N$6:$N$205"),MATCH($AR10&amp;"|"&amp;K$5,INDIRECT("'"&amp;$B10&amp;"'!$AF$6:$AF$205"),0))="","",INDEX(INDIRECT("'"&amp;$B10&amp;"'!$N$6:$N$205"),MATCH($AR10&amp;"|"&amp;K$5,INDIRECT("'"&amp;$B10&amp;"'!$AF$6:$AF$205"),0))),"-"))</f>
        <v/>
      </c>
      <c r="L10" s="34">
        <f>IF(OR(AP10="",L$5="-"),"",IFERROR(IF(INDEX(INDIRECT("'"&amp;$B10&amp;"'!$N$6:$N$205"),MATCH($AR10&amp;"|"&amp;L$5,INDIRECT("'"&amp;$B10&amp;"'!$AF$6:$AF$205"),0))="","",INDEX(INDIRECT("'"&amp;$B10&amp;"'!$N$6:$N$205"),MATCH($AR10&amp;"|"&amp;L$5,INDIRECT("'"&amp;$B10&amp;"'!$AF$6:$AF$205"),0))),"-"))</f>
        <v/>
      </c>
      <c r="M10" s="34">
        <f>IF(OR(AP10="",M$5="-"),"",IFERROR(IF(INDEX(INDIRECT("'"&amp;$B10&amp;"'!$N$6:$N$205"),MATCH($AR10&amp;"|"&amp;M$5,INDIRECT("'"&amp;$B10&amp;"'!$AF$6:$AF$205"),0))="","",INDEX(INDIRECT("'"&amp;$B10&amp;"'!$N$6:$N$205"),MATCH($AR10&amp;"|"&amp;M$5,INDIRECT("'"&amp;$B10&amp;"'!$AF$6:$AF$205"),0))),"-"))</f>
        <v/>
      </c>
      <c r="N10" s="34">
        <f>IF(OR(AP10="",N$5="-"),"",IFERROR(IF(INDEX(INDIRECT("'"&amp;$B10&amp;"'!$N$6:$N$205"),MATCH($AR10&amp;"|"&amp;N$5,INDIRECT("'"&amp;$B10&amp;"'!$AF$6:$AF$205"),0))="","",INDEX(INDIRECT("'"&amp;$B10&amp;"'!$N$6:$N$205"),MATCH($AR10&amp;"|"&amp;N$5,INDIRECT("'"&amp;$B10&amp;"'!$AF$6:$AF$205"),0))),"-"))</f>
        <v/>
      </c>
      <c r="O10" s="34">
        <f>IF(OR(AP10="",O$5="-"),"",IFERROR(IF(INDEX(INDIRECT("'"&amp;$B10&amp;"'!$N$6:$N$205"),MATCH($AR10&amp;"|"&amp;O$5,INDIRECT("'"&amp;$B10&amp;"'!$AF$6:$AF$205"),0))="","",INDEX(INDIRECT("'"&amp;$B10&amp;"'!$N$6:$N$205"),MATCH($AR10&amp;"|"&amp;O$5,INDIRECT("'"&amp;$B10&amp;"'!$AF$6:$AF$205"),0))),"-"))</f>
        <v/>
      </c>
      <c r="P10" s="37">
        <f>IF(OR(AP10="",P$5="-"),"",IFERROR(IF(INDEX(INDIRECT("'"&amp;$B10&amp;"'!$R$6:$R$205"),MATCH($AR10&amp;"|"&amp;P$5,INDIRECT("'"&amp;$B10&amp;"'!$AF$6:$AF$205"),0))="","",INDEX(INDIRECT("'"&amp;$B10&amp;"'!$R$6:$R$205"),MATCH($AR10&amp;"|"&amp;P$5,INDIRECT("'"&amp;$B10&amp;"'!$AF$6:$AF$205"),0))),"-"))</f>
        <v/>
      </c>
      <c r="Q10" s="37">
        <f>IF(OR(AP10="",Q$5="-"),"",IFERROR(IF(INDEX(INDIRECT("'"&amp;$B10&amp;"'!$R$6:$R$205"),MATCH($AR10&amp;"|"&amp;Q$5,INDIRECT("'"&amp;$B10&amp;"'!$AF$6:$AF$205"),0))="","",INDEX(INDIRECT("'"&amp;$B10&amp;"'!$R$6:$R$205"),MATCH($AR10&amp;"|"&amp;Q$5,INDIRECT("'"&amp;$B10&amp;"'!$AF$6:$AF$205"),0))),"-"))</f>
        <v/>
      </c>
      <c r="R10" s="37">
        <f>IF(OR(AP10="",R$5="-"),"",IFERROR(IF(INDEX(INDIRECT("'"&amp;$B10&amp;"'!$R$6:$R$205"),MATCH($AR10&amp;"|"&amp;R$5,INDIRECT("'"&amp;$B10&amp;"'!$AF$6:$AF$205"),0))="","",INDEX(INDIRECT("'"&amp;$B10&amp;"'!$R$6:$R$205"),MATCH($AR10&amp;"|"&amp;R$5,INDIRECT("'"&amp;$B10&amp;"'!$AF$6:$AF$205"),0))),"-"))</f>
        <v/>
      </c>
      <c r="S10" s="37">
        <f>IF(OR(AP10="",S$5="-"),"",IFERROR(IF(INDEX(INDIRECT("'"&amp;$B10&amp;"'!$R$6:$R$205"),MATCH($AR10&amp;"|"&amp;S$5,INDIRECT("'"&amp;$B10&amp;"'!$AF$6:$AF$205"),0))="","",INDEX(INDIRECT("'"&amp;$B10&amp;"'!$R$6:$R$205"),MATCH($AR10&amp;"|"&amp;S$5,INDIRECT("'"&amp;$B10&amp;"'!$AF$6:$AF$205"),0))),"-"))</f>
        <v/>
      </c>
      <c r="T10" s="37">
        <f>IF(OR(AP10="",T$5="-"),"",IFERROR(IF(INDEX(INDIRECT("'"&amp;$B10&amp;"'!$R$6:$R$205"),MATCH($AR10&amp;"|"&amp;T$5,INDIRECT("'"&amp;$B10&amp;"'!$AF$6:$AF$205"),0))="","",INDEX(INDIRECT("'"&amp;$B10&amp;"'!$R$6:$R$205"),MATCH($AR10&amp;"|"&amp;T$5,INDIRECT("'"&amp;$B10&amp;"'!$AF$6:$AF$205"),0))),"-"))</f>
        <v/>
      </c>
      <c r="U10" s="37">
        <f>IF(OR(AP10="",U$5="-"),"",IFERROR(IF(INDEX(INDIRECT("'"&amp;$B10&amp;"'!$R$6:$R$205"),MATCH($AR10&amp;"|"&amp;U$5,INDIRECT("'"&amp;$B10&amp;"'!$AF$6:$AF$205"),0))="","",INDEX(INDIRECT("'"&amp;$B10&amp;"'!$R$6:$R$205"),MATCH($AR10&amp;"|"&amp;U$5,INDIRECT("'"&amp;$B10&amp;"'!$AF$6:$AF$205"),0))),"-"))</f>
        <v/>
      </c>
      <c r="V10" s="37">
        <f>IF(OR(AP10="",V$5="-"),"",IFERROR(IF(INDEX(INDIRECT("'"&amp;$B10&amp;"'!$R$6:$R$205"),MATCH($AR10&amp;"|"&amp;V$5,INDIRECT("'"&amp;$B10&amp;"'!$AF$6:$AF$205"),0))="","",INDEX(INDIRECT("'"&amp;$B10&amp;"'!$R$6:$R$205"),MATCH($AR10&amp;"|"&amp;V$5,INDIRECT("'"&amp;$B10&amp;"'!$AF$6:$AF$205"),0))),"-"))</f>
        <v/>
      </c>
      <c r="W10" s="37">
        <f>IF(OR(AP10="",W$5="-"),"",IFERROR(IF(INDEX(INDIRECT("'"&amp;$B10&amp;"'!$R$6:$R$205"),MATCH($AR10&amp;"|"&amp;W$5,INDIRECT("'"&amp;$B10&amp;"'!$AF$6:$AF$205"),0))="","",INDEX(INDIRECT("'"&amp;$B10&amp;"'!$R$6:$R$205"),MATCH($AR10&amp;"|"&amp;W$5,INDIRECT("'"&amp;$B10&amp;"'!$AF$6:$AF$205"),0))),"-"))</f>
        <v/>
      </c>
      <c r="X10" s="38">
        <f>IF(OR(AP10="",X$5="-"),"",IFERROR(IF(INDEX(INDIRECT("'"&amp;$B10&amp;"'!$T$6:$T$205"),MATCH($AR10&amp;"|"&amp;X$5,INDIRECT("'"&amp;$B10&amp;"'!$AF$6:$AF$205"),0))="","",INDEX(INDIRECT("'"&amp;$B10&amp;"'!$T$6:$T$205"),MATCH($AR10&amp;"|"&amp;X$5,INDIRECT("'"&amp;$B10&amp;"'!$AF$6:$AF$205"),0))),"-"))</f>
        <v/>
      </c>
      <c r="Y10" s="38">
        <f>IF(OR(AP10="",Y$5="-"),"",IFERROR(IF(INDEX(INDIRECT("'"&amp;$B10&amp;"'!$T$6:$T$205"),MATCH($AR10&amp;"|"&amp;Y$5,INDIRECT("'"&amp;$B10&amp;"'!$AF$6:$AF$205"),0))="","",INDEX(INDIRECT("'"&amp;$B10&amp;"'!$T$6:$T$205"),MATCH($AR10&amp;"|"&amp;Y$5,INDIRECT("'"&amp;$B10&amp;"'!$AF$6:$AF$205"),0))),"-"))</f>
        <v/>
      </c>
      <c r="Z10" s="38">
        <f>IF(OR(AP10="",Z$5="-"),"",IFERROR(IF(INDEX(INDIRECT("'"&amp;$B10&amp;"'!$T$6:$T$205"),MATCH($AR10&amp;"|"&amp;Z$5,INDIRECT("'"&amp;$B10&amp;"'!$AF$6:$AF$205"),0))="","",INDEX(INDIRECT("'"&amp;$B10&amp;"'!$T$6:$T$205"),MATCH($AR10&amp;"|"&amp;Z$5,INDIRECT("'"&amp;$B10&amp;"'!$AF$6:$AF$205"),0))),"-"))</f>
        <v/>
      </c>
      <c r="AA10" s="38">
        <f>IF(OR(AP10="",AA$5="-"),"",IFERROR(IF(INDEX(INDIRECT("'"&amp;$B10&amp;"'!$T$6:$T$205"),MATCH($AR10&amp;"|"&amp;AA$5,INDIRECT("'"&amp;$B10&amp;"'!$AF$6:$AF$205"),0))="","",INDEX(INDIRECT("'"&amp;$B10&amp;"'!$T$6:$T$205"),MATCH($AR10&amp;"|"&amp;AA$5,INDIRECT("'"&amp;$B10&amp;"'!$AF$6:$AF$205"),0))),"-"))</f>
        <v/>
      </c>
      <c r="AB10" s="38">
        <f>IF(OR(AP10="",AB$5="-"),"",IFERROR(IF(INDEX(INDIRECT("'"&amp;$B10&amp;"'!$T$6:$T$205"),MATCH($AR10&amp;"|"&amp;AB$5,INDIRECT("'"&amp;$B10&amp;"'!$AF$6:$AF$205"),0))="","",INDEX(INDIRECT("'"&amp;$B10&amp;"'!$T$6:$T$205"),MATCH($AR10&amp;"|"&amp;AB$5,INDIRECT("'"&amp;$B10&amp;"'!$AF$6:$AF$205"),0))),"-"))</f>
        <v/>
      </c>
      <c r="AC10" s="38">
        <f>IF(OR(AP10="",AC$5="-"),"",IFERROR(IF(INDEX(INDIRECT("'"&amp;$B10&amp;"'!$T$6:$T$205"),MATCH($AR10&amp;"|"&amp;AC$5,INDIRECT("'"&amp;$B10&amp;"'!$AF$6:$AF$205"),0))="","",INDEX(INDIRECT("'"&amp;$B10&amp;"'!$T$6:$T$205"),MATCH($AR10&amp;"|"&amp;AC$5,INDIRECT("'"&amp;$B10&amp;"'!$AF$6:$AF$205"),0))),"-"))</f>
        <v/>
      </c>
      <c r="AD10" s="38">
        <f>IF(OR(AP10="",AD$5="-"),"",IFERROR(IF(INDEX(INDIRECT("'"&amp;$B10&amp;"'!$T$6:$T$205"),MATCH($AR10&amp;"|"&amp;AD$5,INDIRECT("'"&amp;$B10&amp;"'!$AF$6:$AF$205"),0))="","",INDEX(INDIRECT("'"&amp;$B10&amp;"'!$T$6:$T$205"),MATCH($AR10&amp;"|"&amp;AD$5,INDIRECT("'"&amp;$B10&amp;"'!$AF$6:$AF$205"),0))),"-"))</f>
        <v/>
      </c>
      <c r="AE10" s="38">
        <f>IF(OR(AP10="",AE$5="-"),"",IFERROR(IF(INDEX(INDIRECT("'"&amp;$B10&amp;"'!$T$6:$T$205"),MATCH($AR10&amp;"|"&amp;AE$5,INDIRECT("'"&amp;$B10&amp;"'!$AF$6:$AF$205"),0))="","",INDEX(INDIRECT("'"&amp;$B10&amp;"'!$T$6:$T$205"),MATCH($AR10&amp;"|"&amp;AE$5,INDIRECT("'"&amp;$B10&amp;"'!$AF$6:$AF$205"),0))),"-"))</f>
        <v/>
      </c>
      <c r="AF10" s="35">
        <f>IF(AG10="","",INDEX($P$5:$W$5,MATCH(AG10,P10:W10,0)))</f>
        <v/>
      </c>
      <c r="AG10" s="37">
        <f>IF(COUNT(P10:W10)=0,"",MIN(P10:W10))</f>
        <v/>
      </c>
      <c r="AH10" s="39">
        <f>IF(AG10="","",AG10*F10)</f>
        <v/>
      </c>
      <c r="AI10" s="39">
        <f>IF(COUNT(P10:W10)&lt;2,"",(MAX(P10:W10)-MIN(P10:W10))*F10)</f>
        <v/>
      </c>
      <c r="AJ10" s="20" t="n"/>
      <c r="AP10">
        <f>IF(5&gt;MAX($AN$6:$AN$9),"",COUNTIF($AN$6:$AN$9,"&lt;"&amp;5)+1)</f>
        <v/>
      </c>
      <c r="AQ10">
        <f>IF(AP10="","",5-INDEX($AO$6:$AO$9,AP10))</f>
        <v/>
      </c>
      <c r="AR10">
        <f>IF(AP10="","",INDEX(INDIRECT("'"&amp;$B10&amp;"'!$AE$6:$AE$205"),MATCH(AQ10,INDIRECT("'"&amp;$B10&amp;"'!$AI$6:$AI$205"),0)))</f>
        <v/>
      </c>
    </row>
    <row r="11">
      <c r="A11" s="34">
        <f>IF(AP11="","",6)</f>
        <v/>
      </c>
      <c r="B11" s="35">
        <f>IF(AP11="","",INDEX($AL$6:$AL$9,AP11))</f>
        <v/>
      </c>
      <c r="C11" s="34">
        <f>IF(AP11="","",INDEX(INDIRECT("'"&amp;$B11&amp;"'!$B$6:$B$205"),MATCH($AR11,INDIRECT("'"&amp;$B11&amp;"'!$AE$6:$AE$205"),0)))</f>
        <v/>
      </c>
      <c r="D11" s="34">
        <f>IF(AP11="","",INDEX(INDIRECT("'"&amp;$B11&amp;"'!$D$6:$D$205"),MATCH($AR11,INDIRECT("'"&amp;$B11&amp;"'!$AE$6:$AE$205"),0)))</f>
        <v/>
      </c>
      <c r="E11" s="36">
        <f>IF(AP11="","",INDEX(INDIRECT("'"&amp;$B11&amp;"'!$F$6:$F$205"),MATCH($AR11,INDIRECT("'"&amp;$B11&amp;"'!$AE$6:$AE$205"),0)))</f>
        <v/>
      </c>
      <c r="F11" s="34">
        <f>IF(AP11="","",INDEX(INDIRECT("'"&amp;$B11&amp;"'!$K$6:$K$205"),MATCH($AR11,INDIRECT("'"&amp;$B11&amp;"'!$AE$6:$AE$205"),0)))</f>
        <v/>
      </c>
      <c r="G11" s="34">
        <f>IF(AP11="","",INDEX(INDIRECT("'"&amp;$B11&amp;"'!$L$6:$L$205"),MATCH($AR11,INDIRECT("'"&amp;$B11&amp;"'!$AE$6:$AE$205"),0)))</f>
        <v/>
      </c>
      <c r="H11" s="34">
        <f>IF(OR(AP11="",H$5="-"),"",IFERROR(IF(INDEX(INDIRECT("'"&amp;$B11&amp;"'!$N$6:$N$205"),MATCH($AR11&amp;"|"&amp;H$5,INDIRECT("'"&amp;$B11&amp;"'!$AF$6:$AF$205"),0))="","",INDEX(INDIRECT("'"&amp;$B11&amp;"'!$N$6:$N$205"),MATCH($AR11&amp;"|"&amp;H$5,INDIRECT("'"&amp;$B11&amp;"'!$AF$6:$AF$205"),0))),"-"))</f>
        <v/>
      </c>
      <c r="I11" s="34">
        <f>IF(OR(AP11="",I$5="-"),"",IFERROR(IF(INDEX(INDIRECT("'"&amp;$B11&amp;"'!$N$6:$N$205"),MATCH($AR11&amp;"|"&amp;I$5,INDIRECT("'"&amp;$B11&amp;"'!$AF$6:$AF$205"),0))="","",INDEX(INDIRECT("'"&amp;$B11&amp;"'!$N$6:$N$205"),MATCH($AR11&amp;"|"&amp;I$5,INDIRECT("'"&amp;$B11&amp;"'!$AF$6:$AF$205"),0))),"-"))</f>
        <v/>
      </c>
      <c r="J11" s="34">
        <f>IF(OR(AP11="",J$5="-"),"",IFERROR(IF(INDEX(INDIRECT("'"&amp;$B11&amp;"'!$N$6:$N$205"),MATCH($AR11&amp;"|"&amp;J$5,INDIRECT("'"&amp;$B11&amp;"'!$AF$6:$AF$205"),0))="","",INDEX(INDIRECT("'"&amp;$B11&amp;"'!$N$6:$N$205"),MATCH($AR11&amp;"|"&amp;J$5,INDIRECT("'"&amp;$B11&amp;"'!$AF$6:$AF$205"),0))),"-"))</f>
        <v/>
      </c>
      <c r="K11" s="34">
        <f>IF(OR(AP11="",K$5="-"),"",IFERROR(IF(INDEX(INDIRECT("'"&amp;$B11&amp;"'!$N$6:$N$205"),MATCH($AR11&amp;"|"&amp;K$5,INDIRECT("'"&amp;$B11&amp;"'!$AF$6:$AF$205"),0))="","",INDEX(INDIRECT("'"&amp;$B11&amp;"'!$N$6:$N$205"),MATCH($AR11&amp;"|"&amp;K$5,INDIRECT("'"&amp;$B11&amp;"'!$AF$6:$AF$205"),0))),"-"))</f>
        <v/>
      </c>
      <c r="L11" s="34">
        <f>IF(OR(AP11="",L$5="-"),"",IFERROR(IF(INDEX(INDIRECT("'"&amp;$B11&amp;"'!$N$6:$N$205"),MATCH($AR11&amp;"|"&amp;L$5,INDIRECT("'"&amp;$B11&amp;"'!$AF$6:$AF$205"),0))="","",INDEX(INDIRECT("'"&amp;$B11&amp;"'!$N$6:$N$205"),MATCH($AR11&amp;"|"&amp;L$5,INDIRECT("'"&amp;$B11&amp;"'!$AF$6:$AF$205"),0))),"-"))</f>
        <v/>
      </c>
      <c r="M11" s="34">
        <f>IF(OR(AP11="",M$5="-"),"",IFERROR(IF(INDEX(INDIRECT("'"&amp;$B11&amp;"'!$N$6:$N$205"),MATCH($AR11&amp;"|"&amp;M$5,INDIRECT("'"&amp;$B11&amp;"'!$AF$6:$AF$205"),0))="","",INDEX(INDIRECT("'"&amp;$B11&amp;"'!$N$6:$N$205"),MATCH($AR11&amp;"|"&amp;M$5,INDIRECT("'"&amp;$B11&amp;"'!$AF$6:$AF$205"),0))),"-"))</f>
        <v/>
      </c>
      <c r="N11" s="34">
        <f>IF(OR(AP11="",N$5="-"),"",IFERROR(IF(INDEX(INDIRECT("'"&amp;$B11&amp;"'!$N$6:$N$205"),MATCH($AR11&amp;"|"&amp;N$5,INDIRECT("'"&amp;$B11&amp;"'!$AF$6:$AF$205"),0))="","",INDEX(INDIRECT("'"&amp;$B11&amp;"'!$N$6:$N$205"),MATCH($AR11&amp;"|"&amp;N$5,INDIRECT("'"&amp;$B11&amp;"'!$AF$6:$AF$205"),0))),"-"))</f>
        <v/>
      </c>
      <c r="O11" s="34">
        <f>IF(OR(AP11="",O$5="-"),"",IFERROR(IF(INDEX(INDIRECT("'"&amp;$B11&amp;"'!$N$6:$N$205"),MATCH($AR11&amp;"|"&amp;O$5,INDIRECT("'"&amp;$B11&amp;"'!$AF$6:$AF$205"),0))="","",INDEX(INDIRECT("'"&amp;$B11&amp;"'!$N$6:$N$205"),MATCH($AR11&amp;"|"&amp;O$5,INDIRECT("'"&amp;$B11&amp;"'!$AF$6:$AF$205"),0))),"-"))</f>
        <v/>
      </c>
      <c r="P11" s="37">
        <f>IF(OR(AP11="",P$5="-"),"",IFERROR(IF(INDEX(INDIRECT("'"&amp;$B11&amp;"'!$R$6:$R$205"),MATCH($AR11&amp;"|"&amp;P$5,INDIRECT("'"&amp;$B11&amp;"'!$AF$6:$AF$205"),0))="","",INDEX(INDIRECT("'"&amp;$B11&amp;"'!$R$6:$R$205"),MATCH($AR11&amp;"|"&amp;P$5,INDIRECT("'"&amp;$B11&amp;"'!$AF$6:$AF$205"),0))),"-"))</f>
        <v/>
      </c>
      <c r="Q11" s="37">
        <f>IF(OR(AP11="",Q$5="-"),"",IFERROR(IF(INDEX(INDIRECT("'"&amp;$B11&amp;"'!$R$6:$R$205"),MATCH($AR11&amp;"|"&amp;Q$5,INDIRECT("'"&amp;$B11&amp;"'!$AF$6:$AF$205"),0))="","",INDEX(INDIRECT("'"&amp;$B11&amp;"'!$R$6:$R$205"),MATCH($AR11&amp;"|"&amp;Q$5,INDIRECT("'"&amp;$B11&amp;"'!$AF$6:$AF$205"),0))),"-"))</f>
        <v/>
      </c>
      <c r="R11" s="37">
        <f>IF(OR(AP11="",R$5="-"),"",IFERROR(IF(INDEX(INDIRECT("'"&amp;$B11&amp;"'!$R$6:$R$205"),MATCH($AR11&amp;"|"&amp;R$5,INDIRECT("'"&amp;$B11&amp;"'!$AF$6:$AF$205"),0))="","",INDEX(INDIRECT("'"&amp;$B11&amp;"'!$R$6:$R$205"),MATCH($AR11&amp;"|"&amp;R$5,INDIRECT("'"&amp;$B11&amp;"'!$AF$6:$AF$205"),0))),"-"))</f>
        <v/>
      </c>
      <c r="S11" s="37">
        <f>IF(OR(AP11="",S$5="-"),"",IFERROR(IF(INDEX(INDIRECT("'"&amp;$B11&amp;"'!$R$6:$R$205"),MATCH($AR11&amp;"|"&amp;S$5,INDIRECT("'"&amp;$B11&amp;"'!$AF$6:$AF$205"),0))="","",INDEX(INDIRECT("'"&amp;$B11&amp;"'!$R$6:$R$205"),MATCH($AR11&amp;"|"&amp;S$5,INDIRECT("'"&amp;$B11&amp;"'!$AF$6:$AF$205"),0))),"-"))</f>
        <v/>
      </c>
      <c r="T11" s="37">
        <f>IF(OR(AP11="",T$5="-"),"",IFERROR(IF(INDEX(INDIRECT("'"&amp;$B11&amp;"'!$R$6:$R$205"),MATCH($AR11&amp;"|"&amp;T$5,INDIRECT("'"&amp;$B11&amp;"'!$AF$6:$AF$205"),0))="","",INDEX(INDIRECT("'"&amp;$B11&amp;"'!$R$6:$R$205"),MATCH($AR11&amp;"|"&amp;T$5,INDIRECT("'"&amp;$B11&amp;"'!$AF$6:$AF$205"),0))),"-"))</f>
        <v/>
      </c>
      <c r="U11" s="37">
        <f>IF(OR(AP11="",U$5="-"),"",IFERROR(IF(INDEX(INDIRECT("'"&amp;$B11&amp;"'!$R$6:$R$205"),MATCH($AR11&amp;"|"&amp;U$5,INDIRECT("'"&amp;$B11&amp;"'!$AF$6:$AF$205"),0))="","",INDEX(INDIRECT("'"&amp;$B11&amp;"'!$R$6:$R$205"),MATCH($AR11&amp;"|"&amp;U$5,INDIRECT("'"&amp;$B11&amp;"'!$AF$6:$AF$205"),0))),"-"))</f>
        <v/>
      </c>
      <c r="V11" s="37">
        <f>IF(OR(AP11="",V$5="-"),"",IFERROR(IF(INDEX(INDIRECT("'"&amp;$B11&amp;"'!$R$6:$R$205"),MATCH($AR11&amp;"|"&amp;V$5,INDIRECT("'"&amp;$B11&amp;"'!$AF$6:$AF$205"),0))="","",INDEX(INDIRECT("'"&amp;$B11&amp;"'!$R$6:$R$205"),MATCH($AR11&amp;"|"&amp;V$5,INDIRECT("'"&amp;$B11&amp;"'!$AF$6:$AF$205"),0))),"-"))</f>
        <v/>
      </c>
      <c r="W11" s="37">
        <f>IF(OR(AP11="",W$5="-"),"",IFERROR(IF(INDEX(INDIRECT("'"&amp;$B11&amp;"'!$R$6:$R$205"),MATCH($AR11&amp;"|"&amp;W$5,INDIRECT("'"&amp;$B11&amp;"'!$AF$6:$AF$205"),0))="","",INDEX(INDIRECT("'"&amp;$B11&amp;"'!$R$6:$R$205"),MATCH($AR11&amp;"|"&amp;W$5,INDIRECT("'"&amp;$B11&amp;"'!$AF$6:$AF$205"),0))),"-"))</f>
        <v/>
      </c>
      <c r="X11" s="38">
        <f>IF(OR(AP11="",X$5="-"),"",IFERROR(IF(INDEX(INDIRECT("'"&amp;$B11&amp;"'!$T$6:$T$205"),MATCH($AR11&amp;"|"&amp;X$5,INDIRECT("'"&amp;$B11&amp;"'!$AF$6:$AF$205"),0))="","",INDEX(INDIRECT("'"&amp;$B11&amp;"'!$T$6:$T$205"),MATCH($AR11&amp;"|"&amp;X$5,INDIRECT("'"&amp;$B11&amp;"'!$AF$6:$AF$205"),0))),"-"))</f>
        <v/>
      </c>
      <c r="Y11" s="38">
        <f>IF(OR(AP11="",Y$5="-"),"",IFERROR(IF(INDEX(INDIRECT("'"&amp;$B11&amp;"'!$T$6:$T$205"),MATCH($AR11&amp;"|"&amp;Y$5,INDIRECT("'"&amp;$B11&amp;"'!$AF$6:$AF$205"),0))="","",INDEX(INDIRECT("'"&amp;$B11&amp;"'!$T$6:$T$205"),MATCH($AR11&amp;"|"&amp;Y$5,INDIRECT("'"&amp;$B11&amp;"'!$AF$6:$AF$205"),0))),"-"))</f>
        <v/>
      </c>
      <c r="Z11" s="38">
        <f>IF(OR(AP11="",Z$5="-"),"",IFERROR(IF(INDEX(INDIRECT("'"&amp;$B11&amp;"'!$T$6:$T$205"),MATCH($AR11&amp;"|"&amp;Z$5,INDIRECT("'"&amp;$B11&amp;"'!$AF$6:$AF$205"),0))="","",INDEX(INDIRECT("'"&amp;$B11&amp;"'!$T$6:$T$205"),MATCH($AR11&amp;"|"&amp;Z$5,INDIRECT("'"&amp;$B11&amp;"'!$AF$6:$AF$205"),0))),"-"))</f>
        <v/>
      </c>
      <c r="AA11" s="38">
        <f>IF(OR(AP11="",AA$5="-"),"",IFERROR(IF(INDEX(INDIRECT("'"&amp;$B11&amp;"'!$T$6:$T$205"),MATCH($AR11&amp;"|"&amp;AA$5,INDIRECT("'"&amp;$B11&amp;"'!$AF$6:$AF$205"),0))="","",INDEX(INDIRECT("'"&amp;$B11&amp;"'!$T$6:$T$205"),MATCH($AR11&amp;"|"&amp;AA$5,INDIRECT("'"&amp;$B11&amp;"'!$AF$6:$AF$205"),0))),"-"))</f>
        <v/>
      </c>
      <c r="AB11" s="38">
        <f>IF(OR(AP11="",AB$5="-"),"",IFERROR(IF(INDEX(INDIRECT("'"&amp;$B11&amp;"'!$T$6:$T$205"),MATCH($AR11&amp;"|"&amp;AB$5,INDIRECT("'"&amp;$B11&amp;"'!$AF$6:$AF$205"),0))="","",INDEX(INDIRECT("'"&amp;$B11&amp;"'!$T$6:$T$205"),MATCH($AR11&amp;"|"&amp;AB$5,INDIRECT("'"&amp;$B11&amp;"'!$AF$6:$AF$205"),0))),"-"))</f>
        <v/>
      </c>
      <c r="AC11" s="38">
        <f>IF(OR(AP11="",AC$5="-"),"",IFERROR(IF(INDEX(INDIRECT("'"&amp;$B11&amp;"'!$T$6:$T$205"),MATCH($AR11&amp;"|"&amp;AC$5,INDIRECT("'"&amp;$B11&amp;"'!$AF$6:$AF$205"),0))="","",INDEX(INDIRECT("'"&amp;$B11&amp;"'!$T$6:$T$205"),MATCH($AR11&amp;"|"&amp;AC$5,INDIRECT("'"&amp;$B11&amp;"'!$AF$6:$AF$205"),0))),"-"))</f>
        <v/>
      </c>
      <c r="AD11" s="38">
        <f>IF(OR(AP11="",AD$5="-"),"",IFERROR(IF(INDEX(INDIRECT("'"&amp;$B11&amp;"'!$T$6:$T$205"),MATCH($AR11&amp;"|"&amp;AD$5,INDIRECT("'"&amp;$B11&amp;"'!$AF$6:$AF$205"),0))="","",INDEX(INDIRECT("'"&amp;$B11&amp;"'!$T$6:$T$205"),MATCH($AR11&amp;"|"&amp;AD$5,INDIRECT("'"&amp;$B11&amp;"'!$AF$6:$AF$205"),0))),"-"))</f>
        <v/>
      </c>
      <c r="AE11" s="38">
        <f>IF(OR(AP11="",AE$5="-"),"",IFERROR(IF(INDEX(INDIRECT("'"&amp;$B11&amp;"'!$T$6:$T$205"),MATCH($AR11&amp;"|"&amp;AE$5,INDIRECT("'"&amp;$B11&amp;"'!$AF$6:$AF$205"),0))="","",INDEX(INDIRECT("'"&amp;$B11&amp;"'!$T$6:$T$205"),MATCH($AR11&amp;"|"&amp;AE$5,INDIRECT("'"&amp;$B11&amp;"'!$AF$6:$AF$205"),0))),"-"))</f>
        <v/>
      </c>
      <c r="AF11" s="35">
        <f>IF(AG11="","",INDEX($P$5:$W$5,MATCH(AG11,P11:W11,0)))</f>
        <v/>
      </c>
      <c r="AG11" s="37">
        <f>IF(COUNT(P11:W11)=0,"",MIN(P11:W11))</f>
        <v/>
      </c>
      <c r="AH11" s="39">
        <f>IF(AG11="","",AG11*F11)</f>
        <v/>
      </c>
      <c r="AI11" s="39">
        <f>IF(COUNT(P11:W11)&lt;2,"",(MAX(P11:W11)-MIN(P11:W11))*F11)</f>
        <v/>
      </c>
      <c r="AJ11" s="20" t="n"/>
      <c r="AP11">
        <f>IF(6&gt;MAX($AN$6:$AN$9),"",COUNTIF($AN$6:$AN$9,"&lt;"&amp;6)+1)</f>
        <v/>
      </c>
      <c r="AQ11">
        <f>IF(AP11="","",6-INDEX($AO$6:$AO$9,AP11))</f>
        <v/>
      </c>
      <c r="AR11">
        <f>IF(AP11="","",INDEX(INDIRECT("'"&amp;$B11&amp;"'!$AE$6:$AE$205"),MATCH(AQ11,INDIRECT("'"&amp;$B11&amp;"'!$AI$6:$AI$205"),0)))</f>
        <v/>
      </c>
    </row>
    <row r="12">
      <c r="A12" s="34">
        <f>IF(AP12="","",7)</f>
        <v/>
      </c>
      <c r="B12" s="35">
        <f>IF(AP12="","",INDEX($AL$6:$AL$9,AP12))</f>
        <v/>
      </c>
      <c r="C12" s="34">
        <f>IF(AP12="","",INDEX(INDIRECT("'"&amp;$B12&amp;"'!$B$6:$B$205"),MATCH($AR12,INDIRECT("'"&amp;$B12&amp;"'!$AE$6:$AE$205"),0)))</f>
        <v/>
      </c>
      <c r="D12" s="34">
        <f>IF(AP12="","",INDEX(INDIRECT("'"&amp;$B12&amp;"'!$D$6:$D$205"),MATCH($AR12,INDIRECT("'"&amp;$B12&amp;"'!$AE$6:$AE$205"),0)))</f>
        <v/>
      </c>
      <c r="E12" s="36">
        <f>IF(AP12="","",INDEX(INDIRECT("'"&amp;$B12&amp;"'!$F$6:$F$205"),MATCH($AR12,INDIRECT("'"&amp;$B12&amp;"'!$AE$6:$AE$205"),0)))</f>
        <v/>
      </c>
      <c r="F12" s="34">
        <f>IF(AP12="","",INDEX(INDIRECT("'"&amp;$B12&amp;"'!$K$6:$K$205"),MATCH($AR12,INDIRECT("'"&amp;$B12&amp;"'!$AE$6:$AE$205"),0)))</f>
        <v/>
      </c>
      <c r="G12" s="34">
        <f>IF(AP12="","",INDEX(INDIRECT("'"&amp;$B12&amp;"'!$L$6:$L$205"),MATCH($AR12,INDIRECT("'"&amp;$B12&amp;"'!$AE$6:$AE$205"),0)))</f>
        <v/>
      </c>
      <c r="H12" s="34">
        <f>IF(OR(AP12="",H$5="-"),"",IFERROR(IF(INDEX(INDIRECT("'"&amp;$B12&amp;"'!$N$6:$N$205"),MATCH($AR12&amp;"|"&amp;H$5,INDIRECT("'"&amp;$B12&amp;"'!$AF$6:$AF$205"),0))="","",INDEX(INDIRECT("'"&amp;$B12&amp;"'!$N$6:$N$205"),MATCH($AR12&amp;"|"&amp;H$5,INDIRECT("'"&amp;$B12&amp;"'!$AF$6:$AF$205"),0))),"-"))</f>
        <v/>
      </c>
      <c r="I12" s="34">
        <f>IF(OR(AP12="",I$5="-"),"",IFERROR(IF(INDEX(INDIRECT("'"&amp;$B12&amp;"'!$N$6:$N$205"),MATCH($AR12&amp;"|"&amp;I$5,INDIRECT("'"&amp;$B12&amp;"'!$AF$6:$AF$205"),0))="","",INDEX(INDIRECT("'"&amp;$B12&amp;"'!$N$6:$N$205"),MATCH($AR12&amp;"|"&amp;I$5,INDIRECT("'"&amp;$B12&amp;"'!$AF$6:$AF$205"),0))),"-"))</f>
        <v/>
      </c>
      <c r="J12" s="34">
        <f>IF(OR(AP12="",J$5="-"),"",IFERROR(IF(INDEX(INDIRECT("'"&amp;$B12&amp;"'!$N$6:$N$205"),MATCH($AR12&amp;"|"&amp;J$5,INDIRECT("'"&amp;$B12&amp;"'!$AF$6:$AF$205"),0))="","",INDEX(INDIRECT("'"&amp;$B12&amp;"'!$N$6:$N$205"),MATCH($AR12&amp;"|"&amp;J$5,INDIRECT("'"&amp;$B12&amp;"'!$AF$6:$AF$205"),0))),"-"))</f>
        <v/>
      </c>
      <c r="K12" s="34">
        <f>IF(OR(AP12="",K$5="-"),"",IFERROR(IF(INDEX(INDIRECT("'"&amp;$B12&amp;"'!$N$6:$N$205"),MATCH($AR12&amp;"|"&amp;K$5,INDIRECT("'"&amp;$B12&amp;"'!$AF$6:$AF$205"),0))="","",INDEX(INDIRECT("'"&amp;$B12&amp;"'!$N$6:$N$205"),MATCH($AR12&amp;"|"&amp;K$5,INDIRECT("'"&amp;$B12&amp;"'!$AF$6:$AF$205"),0))),"-"))</f>
        <v/>
      </c>
      <c r="L12" s="34">
        <f>IF(OR(AP12="",L$5="-"),"",IFERROR(IF(INDEX(INDIRECT("'"&amp;$B12&amp;"'!$N$6:$N$205"),MATCH($AR12&amp;"|"&amp;L$5,INDIRECT("'"&amp;$B12&amp;"'!$AF$6:$AF$205"),0))="","",INDEX(INDIRECT("'"&amp;$B12&amp;"'!$N$6:$N$205"),MATCH($AR12&amp;"|"&amp;L$5,INDIRECT("'"&amp;$B12&amp;"'!$AF$6:$AF$205"),0))),"-"))</f>
        <v/>
      </c>
      <c r="M12" s="34">
        <f>IF(OR(AP12="",M$5="-"),"",IFERROR(IF(INDEX(INDIRECT("'"&amp;$B12&amp;"'!$N$6:$N$205"),MATCH($AR12&amp;"|"&amp;M$5,INDIRECT("'"&amp;$B12&amp;"'!$AF$6:$AF$205"),0))="","",INDEX(INDIRECT("'"&amp;$B12&amp;"'!$N$6:$N$205"),MATCH($AR12&amp;"|"&amp;M$5,INDIRECT("'"&amp;$B12&amp;"'!$AF$6:$AF$205"),0))),"-"))</f>
        <v/>
      </c>
      <c r="N12" s="34">
        <f>IF(OR(AP12="",N$5="-"),"",IFERROR(IF(INDEX(INDIRECT("'"&amp;$B12&amp;"'!$N$6:$N$205"),MATCH($AR12&amp;"|"&amp;N$5,INDIRECT("'"&amp;$B12&amp;"'!$AF$6:$AF$205"),0))="","",INDEX(INDIRECT("'"&amp;$B12&amp;"'!$N$6:$N$205"),MATCH($AR12&amp;"|"&amp;N$5,INDIRECT("'"&amp;$B12&amp;"'!$AF$6:$AF$205"),0))),"-"))</f>
        <v/>
      </c>
      <c r="O12" s="34">
        <f>IF(OR(AP12="",O$5="-"),"",IFERROR(IF(INDEX(INDIRECT("'"&amp;$B12&amp;"'!$N$6:$N$205"),MATCH($AR12&amp;"|"&amp;O$5,INDIRECT("'"&amp;$B12&amp;"'!$AF$6:$AF$205"),0))="","",INDEX(INDIRECT("'"&amp;$B12&amp;"'!$N$6:$N$205"),MATCH($AR12&amp;"|"&amp;O$5,INDIRECT("'"&amp;$B12&amp;"'!$AF$6:$AF$205"),0))),"-"))</f>
        <v/>
      </c>
      <c r="P12" s="37">
        <f>IF(OR(AP12="",P$5="-"),"",IFERROR(IF(INDEX(INDIRECT("'"&amp;$B12&amp;"'!$R$6:$R$205"),MATCH($AR12&amp;"|"&amp;P$5,INDIRECT("'"&amp;$B12&amp;"'!$AF$6:$AF$205"),0))="","",INDEX(INDIRECT("'"&amp;$B12&amp;"'!$R$6:$R$205"),MATCH($AR12&amp;"|"&amp;P$5,INDIRECT("'"&amp;$B12&amp;"'!$AF$6:$AF$205"),0))),"-"))</f>
        <v/>
      </c>
      <c r="Q12" s="37">
        <f>IF(OR(AP12="",Q$5="-"),"",IFERROR(IF(INDEX(INDIRECT("'"&amp;$B12&amp;"'!$R$6:$R$205"),MATCH($AR12&amp;"|"&amp;Q$5,INDIRECT("'"&amp;$B12&amp;"'!$AF$6:$AF$205"),0))="","",INDEX(INDIRECT("'"&amp;$B12&amp;"'!$R$6:$R$205"),MATCH($AR12&amp;"|"&amp;Q$5,INDIRECT("'"&amp;$B12&amp;"'!$AF$6:$AF$205"),0))),"-"))</f>
        <v/>
      </c>
      <c r="R12" s="37">
        <f>IF(OR(AP12="",R$5="-"),"",IFERROR(IF(INDEX(INDIRECT("'"&amp;$B12&amp;"'!$R$6:$R$205"),MATCH($AR12&amp;"|"&amp;R$5,INDIRECT("'"&amp;$B12&amp;"'!$AF$6:$AF$205"),0))="","",INDEX(INDIRECT("'"&amp;$B12&amp;"'!$R$6:$R$205"),MATCH($AR12&amp;"|"&amp;R$5,INDIRECT("'"&amp;$B12&amp;"'!$AF$6:$AF$205"),0))),"-"))</f>
        <v/>
      </c>
      <c r="S12" s="37">
        <f>IF(OR(AP12="",S$5="-"),"",IFERROR(IF(INDEX(INDIRECT("'"&amp;$B12&amp;"'!$R$6:$R$205"),MATCH($AR12&amp;"|"&amp;S$5,INDIRECT("'"&amp;$B12&amp;"'!$AF$6:$AF$205"),0))="","",INDEX(INDIRECT("'"&amp;$B12&amp;"'!$R$6:$R$205"),MATCH($AR12&amp;"|"&amp;S$5,INDIRECT("'"&amp;$B12&amp;"'!$AF$6:$AF$205"),0))),"-"))</f>
        <v/>
      </c>
      <c r="T12" s="37">
        <f>IF(OR(AP12="",T$5="-"),"",IFERROR(IF(INDEX(INDIRECT("'"&amp;$B12&amp;"'!$R$6:$R$205"),MATCH($AR12&amp;"|"&amp;T$5,INDIRECT("'"&amp;$B12&amp;"'!$AF$6:$AF$205"),0))="","",INDEX(INDIRECT("'"&amp;$B12&amp;"'!$R$6:$R$205"),MATCH($AR12&amp;"|"&amp;T$5,INDIRECT("'"&amp;$B12&amp;"'!$AF$6:$AF$205"),0))),"-"))</f>
        <v/>
      </c>
      <c r="U12" s="37">
        <f>IF(OR(AP12="",U$5="-"),"",IFERROR(IF(INDEX(INDIRECT("'"&amp;$B12&amp;"'!$R$6:$R$205"),MATCH($AR12&amp;"|"&amp;U$5,INDIRECT("'"&amp;$B12&amp;"'!$AF$6:$AF$205"),0))="","",INDEX(INDIRECT("'"&amp;$B12&amp;"'!$R$6:$R$205"),MATCH($AR12&amp;"|"&amp;U$5,INDIRECT("'"&amp;$B12&amp;"'!$AF$6:$AF$205"),0))),"-"))</f>
        <v/>
      </c>
      <c r="V12" s="37">
        <f>IF(OR(AP12="",V$5="-"),"",IFERROR(IF(INDEX(INDIRECT("'"&amp;$B12&amp;"'!$R$6:$R$205"),MATCH($AR12&amp;"|"&amp;V$5,INDIRECT("'"&amp;$B12&amp;"'!$AF$6:$AF$205"),0))="","",INDEX(INDIRECT("'"&amp;$B12&amp;"'!$R$6:$R$205"),MATCH($AR12&amp;"|"&amp;V$5,INDIRECT("'"&amp;$B12&amp;"'!$AF$6:$AF$205"),0))),"-"))</f>
        <v/>
      </c>
      <c r="W12" s="37">
        <f>IF(OR(AP12="",W$5="-"),"",IFERROR(IF(INDEX(INDIRECT("'"&amp;$B12&amp;"'!$R$6:$R$205"),MATCH($AR12&amp;"|"&amp;W$5,INDIRECT("'"&amp;$B12&amp;"'!$AF$6:$AF$205"),0))="","",INDEX(INDIRECT("'"&amp;$B12&amp;"'!$R$6:$R$205"),MATCH($AR12&amp;"|"&amp;W$5,INDIRECT("'"&amp;$B12&amp;"'!$AF$6:$AF$205"),0))),"-"))</f>
        <v/>
      </c>
      <c r="X12" s="38">
        <f>IF(OR(AP12="",X$5="-"),"",IFERROR(IF(INDEX(INDIRECT("'"&amp;$B12&amp;"'!$T$6:$T$205"),MATCH($AR12&amp;"|"&amp;X$5,INDIRECT("'"&amp;$B12&amp;"'!$AF$6:$AF$205"),0))="","",INDEX(INDIRECT("'"&amp;$B12&amp;"'!$T$6:$T$205"),MATCH($AR12&amp;"|"&amp;X$5,INDIRECT("'"&amp;$B12&amp;"'!$AF$6:$AF$205"),0))),"-"))</f>
        <v/>
      </c>
      <c r="Y12" s="38">
        <f>IF(OR(AP12="",Y$5="-"),"",IFERROR(IF(INDEX(INDIRECT("'"&amp;$B12&amp;"'!$T$6:$T$205"),MATCH($AR12&amp;"|"&amp;Y$5,INDIRECT("'"&amp;$B12&amp;"'!$AF$6:$AF$205"),0))="","",INDEX(INDIRECT("'"&amp;$B12&amp;"'!$T$6:$T$205"),MATCH($AR12&amp;"|"&amp;Y$5,INDIRECT("'"&amp;$B12&amp;"'!$AF$6:$AF$205"),0))),"-"))</f>
        <v/>
      </c>
      <c r="Z12" s="38">
        <f>IF(OR(AP12="",Z$5="-"),"",IFERROR(IF(INDEX(INDIRECT("'"&amp;$B12&amp;"'!$T$6:$T$205"),MATCH($AR12&amp;"|"&amp;Z$5,INDIRECT("'"&amp;$B12&amp;"'!$AF$6:$AF$205"),0))="","",INDEX(INDIRECT("'"&amp;$B12&amp;"'!$T$6:$T$205"),MATCH($AR12&amp;"|"&amp;Z$5,INDIRECT("'"&amp;$B12&amp;"'!$AF$6:$AF$205"),0))),"-"))</f>
        <v/>
      </c>
      <c r="AA12" s="38">
        <f>IF(OR(AP12="",AA$5="-"),"",IFERROR(IF(INDEX(INDIRECT("'"&amp;$B12&amp;"'!$T$6:$T$205"),MATCH($AR12&amp;"|"&amp;AA$5,INDIRECT("'"&amp;$B12&amp;"'!$AF$6:$AF$205"),0))="","",INDEX(INDIRECT("'"&amp;$B12&amp;"'!$T$6:$T$205"),MATCH($AR12&amp;"|"&amp;AA$5,INDIRECT("'"&amp;$B12&amp;"'!$AF$6:$AF$205"),0))),"-"))</f>
        <v/>
      </c>
      <c r="AB12" s="38">
        <f>IF(OR(AP12="",AB$5="-"),"",IFERROR(IF(INDEX(INDIRECT("'"&amp;$B12&amp;"'!$T$6:$T$205"),MATCH($AR12&amp;"|"&amp;AB$5,INDIRECT("'"&amp;$B12&amp;"'!$AF$6:$AF$205"),0))="","",INDEX(INDIRECT("'"&amp;$B12&amp;"'!$T$6:$T$205"),MATCH($AR12&amp;"|"&amp;AB$5,INDIRECT("'"&amp;$B12&amp;"'!$AF$6:$AF$205"),0))),"-"))</f>
        <v/>
      </c>
      <c r="AC12" s="38">
        <f>IF(OR(AP12="",AC$5="-"),"",IFERROR(IF(INDEX(INDIRECT("'"&amp;$B12&amp;"'!$T$6:$T$205"),MATCH($AR12&amp;"|"&amp;AC$5,INDIRECT("'"&amp;$B12&amp;"'!$AF$6:$AF$205"),0))="","",INDEX(INDIRECT("'"&amp;$B12&amp;"'!$T$6:$T$205"),MATCH($AR12&amp;"|"&amp;AC$5,INDIRECT("'"&amp;$B12&amp;"'!$AF$6:$AF$205"),0))),"-"))</f>
        <v/>
      </c>
      <c r="AD12" s="38">
        <f>IF(OR(AP12="",AD$5="-"),"",IFERROR(IF(INDEX(INDIRECT("'"&amp;$B12&amp;"'!$T$6:$T$205"),MATCH($AR12&amp;"|"&amp;AD$5,INDIRECT("'"&amp;$B12&amp;"'!$AF$6:$AF$205"),0))="","",INDEX(INDIRECT("'"&amp;$B12&amp;"'!$T$6:$T$205"),MATCH($AR12&amp;"|"&amp;AD$5,INDIRECT("'"&amp;$B12&amp;"'!$AF$6:$AF$205"),0))),"-"))</f>
        <v/>
      </c>
      <c r="AE12" s="38">
        <f>IF(OR(AP12="",AE$5="-"),"",IFERROR(IF(INDEX(INDIRECT("'"&amp;$B12&amp;"'!$T$6:$T$205"),MATCH($AR12&amp;"|"&amp;AE$5,INDIRECT("'"&amp;$B12&amp;"'!$AF$6:$AF$205"),0))="","",INDEX(INDIRECT("'"&amp;$B12&amp;"'!$T$6:$T$205"),MATCH($AR12&amp;"|"&amp;AE$5,INDIRECT("'"&amp;$B12&amp;"'!$AF$6:$AF$205"),0))),"-"))</f>
        <v/>
      </c>
      <c r="AF12" s="35">
        <f>IF(AG12="","",INDEX($P$5:$W$5,MATCH(AG12,P12:W12,0)))</f>
        <v/>
      </c>
      <c r="AG12" s="37">
        <f>IF(COUNT(P12:W12)=0,"",MIN(P12:W12))</f>
        <v/>
      </c>
      <c r="AH12" s="39">
        <f>IF(AG12="","",AG12*F12)</f>
        <v/>
      </c>
      <c r="AI12" s="39">
        <f>IF(COUNT(P12:W12)&lt;2,"",(MAX(P12:W12)-MIN(P12:W12))*F12)</f>
        <v/>
      </c>
      <c r="AJ12" s="20" t="n"/>
      <c r="AP12">
        <f>IF(7&gt;MAX($AN$6:$AN$9),"",COUNTIF($AN$6:$AN$9,"&lt;"&amp;7)+1)</f>
        <v/>
      </c>
      <c r="AQ12">
        <f>IF(AP12="","",7-INDEX($AO$6:$AO$9,AP12))</f>
        <v/>
      </c>
      <c r="AR12">
        <f>IF(AP12="","",INDEX(INDIRECT("'"&amp;$B12&amp;"'!$AE$6:$AE$205"),MATCH(AQ12,INDIRECT("'"&amp;$B12&amp;"'!$AI$6:$AI$205"),0)))</f>
        <v/>
      </c>
    </row>
    <row r="13">
      <c r="A13" s="34">
        <f>IF(AP13="","",8)</f>
        <v/>
      </c>
      <c r="B13" s="35">
        <f>IF(AP13="","",INDEX($AL$6:$AL$9,AP13))</f>
        <v/>
      </c>
      <c r="C13" s="34">
        <f>IF(AP13="","",INDEX(INDIRECT("'"&amp;$B13&amp;"'!$B$6:$B$205"),MATCH($AR13,INDIRECT("'"&amp;$B13&amp;"'!$AE$6:$AE$205"),0)))</f>
        <v/>
      </c>
      <c r="D13" s="34">
        <f>IF(AP13="","",INDEX(INDIRECT("'"&amp;$B13&amp;"'!$D$6:$D$205"),MATCH($AR13,INDIRECT("'"&amp;$B13&amp;"'!$AE$6:$AE$205"),0)))</f>
        <v/>
      </c>
      <c r="E13" s="36">
        <f>IF(AP13="","",INDEX(INDIRECT("'"&amp;$B13&amp;"'!$F$6:$F$205"),MATCH($AR13,INDIRECT("'"&amp;$B13&amp;"'!$AE$6:$AE$205"),0)))</f>
        <v/>
      </c>
      <c r="F13" s="34">
        <f>IF(AP13="","",INDEX(INDIRECT("'"&amp;$B13&amp;"'!$K$6:$K$205"),MATCH($AR13,INDIRECT("'"&amp;$B13&amp;"'!$AE$6:$AE$205"),0)))</f>
        <v/>
      </c>
      <c r="G13" s="34">
        <f>IF(AP13="","",INDEX(INDIRECT("'"&amp;$B13&amp;"'!$L$6:$L$205"),MATCH($AR13,INDIRECT("'"&amp;$B13&amp;"'!$AE$6:$AE$205"),0)))</f>
        <v/>
      </c>
      <c r="H13" s="34">
        <f>IF(OR(AP13="",H$5="-"),"",IFERROR(IF(INDEX(INDIRECT("'"&amp;$B13&amp;"'!$N$6:$N$205"),MATCH($AR13&amp;"|"&amp;H$5,INDIRECT("'"&amp;$B13&amp;"'!$AF$6:$AF$205"),0))="","",INDEX(INDIRECT("'"&amp;$B13&amp;"'!$N$6:$N$205"),MATCH($AR13&amp;"|"&amp;H$5,INDIRECT("'"&amp;$B13&amp;"'!$AF$6:$AF$205"),0))),"-"))</f>
        <v/>
      </c>
      <c r="I13" s="34">
        <f>IF(OR(AP13="",I$5="-"),"",IFERROR(IF(INDEX(INDIRECT("'"&amp;$B13&amp;"'!$N$6:$N$205"),MATCH($AR13&amp;"|"&amp;I$5,INDIRECT("'"&amp;$B13&amp;"'!$AF$6:$AF$205"),0))="","",INDEX(INDIRECT("'"&amp;$B13&amp;"'!$N$6:$N$205"),MATCH($AR13&amp;"|"&amp;I$5,INDIRECT("'"&amp;$B13&amp;"'!$AF$6:$AF$205"),0))),"-"))</f>
        <v/>
      </c>
      <c r="J13" s="34">
        <f>IF(OR(AP13="",J$5="-"),"",IFERROR(IF(INDEX(INDIRECT("'"&amp;$B13&amp;"'!$N$6:$N$205"),MATCH($AR13&amp;"|"&amp;J$5,INDIRECT("'"&amp;$B13&amp;"'!$AF$6:$AF$205"),0))="","",INDEX(INDIRECT("'"&amp;$B13&amp;"'!$N$6:$N$205"),MATCH($AR13&amp;"|"&amp;J$5,INDIRECT("'"&amp;$B13&amp;"'!$AF$6:$AF$205"),0))),"-"))</f>
        <v/>
      </c>
      <c r="K13" s="34">
        <f>IF(OR(AP13="",K$5="-"),"",IFERROR(IF(INDEX(INDIRECT("'"&amp;$B13&amp;"'!$N$6:$N$205"),MATCH($AR13&amp;"|"&amp;K$5,INDIRECT("'"&amp;$B13&amp;"'!$AF$6:$AF$205"),0))="","",INDEX(INDIRECT("'"&amp;$B13&amp;"'!$N$6:$N$205"),MATCH($AR13&amp;"|"&amp;K$5,INDIRECT("'"&amp;$B13&amp;"'!$AF$6:$AF$205"),0))),"-"))</f>
        <v/>
      </c>
      <c r="L13" s="34">
        <f>IF(OR(AP13="",L$5="-"),"",IFERROR(IF(INDEX(INDIRECT("'"&amp;$B13&amp;"'!$N$6:$N$205"),MATCH($AR13&amp;"|"&amp;L$5,INDIRECT("'"&amp;$B13&amp;"'!$AF$6:$AF$205"),0))="","",INDEX(INDIRECT("'"&amp;$B13&amp;"'!$N$6:$N$205"),MATCH($AR13&amp;"|"&amp;L$5,INDIRECT("'"&amp;$B13&amp;"'!$AF$6:$AF$205"),0))),"-"))</f>
        <v/>
      </c>
      <c r="M13" s="34">
        <f>IF(OR(AP13="",M$5="-"),"",IFERROR(IF(INDEX(INDIRECT("'"&amp;$B13&amp;"'!$N$6:$N$205"),MATCH($AR13&amp;"|"&amp;M$5,INDIRECT("'"&amp;$B13&amp;"'!$AF$6:$AF$205"),0))="","",INDEX(INDIRECT("'"&amp;$B13&amp;"'!$N$6:$N$205"),MATCH($AR13&amp;"|"&amp;M$5,INDIRECT("'"&amp;$B13&amp;"'!$AF$6:$AF$205"),0))),"-"))</f>
        <v/>
      </c>
      <c r="N13" s="34">
        <f>IF(OR(AP13="",N$5="-"),"",IFERROR(IF(INDEX(INDIRECT("'"&amp;$B13&amp;"'!$N$6:$N$205"),MATCH($AR13&amp;"|"&amp;N$5,INDIRECT("'"&amp;$B13&amp;"'!$AF$6:$AF$205"),0))="","",INDEX(INDIRECT("'"&amp;$B13&amp;"'!$N$6:$N$205"),MATCH($AR13&amp;"|"&amp;N$5,INDIRECT("'"&amp;$B13&amp;"'!$AF$6:$AF$205"),0))),"-"))</f>
        <v/>
      </c>
      <c r="O13" s="34">
        <f>IF(OR(AP13="",O$5="-"),"",IFERROR(IF(INDEX(INDIRECT("'"&amp;$B13&amp;"'!$N$6:$N$205"),MATCH($AR13&amp;"|"&amp;O$5,INDIRECT("'"&amp;$B13&amp;"'!$AF$6:$AF$205"),0))="","",INDEX(INDIRECT("'"&amp;$B13&amp;"'!$N$6:$N$205"),MATCH($AR13&amp;"|"&amp;O$5,INDIRECT("'"&amp;$B13&amp;"'!$AF$6:$AF$205"),0))),"-"))</f>
        <v/>
      </c>
      <c r="P13" s="37">
        <f>IF(OR(AP13="",P$5="-"),"",IFERROR(IF(INDEX(INDIRECT("'"&amp;$B13&amp;"'!$R$6:$R$205"),MATCH($AR13&amp;"|"&amp;P$5,INDIRECT("'"&amp;$B13&amp;"'!$AF$6:$AF$205"),0))="","",INDEX(INDIRECT("'"&amp;$B13&amp;"'!$R$6:$R$205"),MATCH($AR13&amp;"|"&amp;P$5,INDIRECT("'"&amp;$B13&amp;"'!$AF$6:$AF$205"),0))),"-"))</f>
        <v/>
      </c>
      <c r="Q13" s="37">
        <f>IF(OR(AP13="",Q$5="-"),"",IFERROR(IF(INDEX(INDIRECT("'"&amp;$B13&amp;"'!$R$6:$R$205"),MATCH($AR13&amp;"|"&amp;Q$5,INDIRECT("'"&amp;$B13&amp;"'!$AF$6:$AF$205"),0))="","",INDEX(INDIRECT("'"&amp;$B13&amp;"'!$R$6:$R$205"),MATCH($AR13&amp;"|"&amp;Q$5,INDIRECT("'"&amp;$B13&amp;"'!$AF$6:$AF$205"),0))),"-"))</f>
        <v/>
      </c>
      <c r="R13" s="37">
        <f>IF(OR(AP13="",R$5="-"),"",IFERROR(IF(INDEX(INDIRECT("'"&amp;$B13&amp;"'!$R$6:$R$205"),MATCH($AR13&amp;"|"&amp;R$5,INDIRECT("'"&amp;$B13&amp;"'!$AF$6:$AF$205"),0))="","",INDEX(INDIRECT("'"&amp;$B13&amp;"'!$R$6:$R$205"),MATCH($AR13&amp;"|"&amp;R$5,INDIRECT("'"&amp;$B13&amp;"'!$AF$6:$AF$205"),0))),"-"))</f>
        <v/>
      </c>
      <c r="S13" s="37">
        <f>IF(OR(AP13="",S$5="-"),"",IFERROR(IF(INDEX(INDIRECT("'"&amp;$B13&amp;"'!$R$6:$R$205"),MATCH($AR13&amp;"|"&amp;S$5,INDIRECT("'"&amp;$B13&amp;"'!$AF$6:$AF$205"),0))="","",INDEX(INDIRECT("'"&amp;$B13&amp;"'!$R$6:$R$205"),MATCH($AR13&amp;"|"&amp;S$5,INDIRECT("'"&amp;$B13&amp;"'!$AF$6:$AF$205"),0))),"-"))</f>
        <v/>
      </c>
      <c r="T13" s="37">
        <f>IF(OR(AP13="",T$5="-"),"",IFERROR(IF(INDEX(INDIRECT("'"&amp;$B13&amp;"'!$R$6:$R$205"),MATCH($AR13&amp;"|"&amp;T$5,INDIRECT("'"&amp;$B13&amp;"'!$AF$6:$AF$205"),0))="","",INDEX(INDIRECT("'"&amp;$B13&amp;"'!$R$6:$R$205"),MATCH($AR13&amp;"|"&amp;T$5,INDIRECT("'"&amp;$B13&amp;"'!$AF$6:$AF$205"),0))),"-"))</f>
        <v/>
      </c>
      <c r="U13" s="37">
        <f>IF(OR(AP13="",U$5="-"),"",IFERROR(IF(INDEX(INDIRECT("'"&amp;$B13&amp;"'!$R$6:$R$205"),MATCH($AR13&amp;"|"&amp;U$5,INDIRECT("'"&amp;$B13&amp;"'!$AF$6:$AF$205"),0))="","",INDEX(INDIRECT("'"&amp;$B13&amp;"'!$R$6:$R$205"),MATCH($AR13&amp;"|"&amp;U$5,INDIRECT("'"&amp;$B13&amp;"'!$AF$6:$AF$205"),0))),"-"))</f>
        <v/>
      </c>
      <c r="V13" s="37">
        <f>IF(OR(AP13="",V$5="-"),"",IFERROR(IF(INDEX(INDIRECT("'"&amp;$B13&amp;"'!$R$6:$R$205"),MATCH($AR13&amp;"|"&amp;V$5,INDIRECT("'"&amp;$B13&amp;"'!$AF$6:$AF$205"),0))="","",INDEX(INDIRECT("'"&amp;$B13&amp;"'!$R$6:$R$205"),MATCH($AR13&amp;"|"&amp;V$5,INDIRECT("'"&amp;$B13&amp;"'!$AF$6:$AF$205"),0))),"-"))</f>
        <v/>
      </c>
      <c r="W13" s="37">
        <f>IF(OR(AP13="",W$5="-"),"",IFERROR(IF(INDEX(INDIRECT("'"&amp;$B13&amp;"'!$R$6:$R$205"),MATCH($AR13&amp;"|"&amp;W$5,INDIRECT("'"&amp;$B13&amp;"'!$AF$6:$AF$205"),0))="","",INDEX(INDIRECT("'"&amp;$B13&amp;"'!$R$6:$R$205"),MATCH($AR13&amp;"|"&amp;W$5,INDIRECT("'"&amp;$B13&amp;"'!$AF$6:$AF$205"),0))),"-"))</f>
        <v/>
      </c>
      <c r="X13" s="38">
        <f>IF(OR(AP13="",X$5="-"),"",IFERROR(IF(INDEX(INDIRECT("'"&amp;$B13&amp;"'!$T$6:$T$205"),MATCH($AR13&amp;"|"&amp;X$5,INDIRECT("'"&amp;$B13&amp;"'!$AF$6:$AF$205"),0))="","",INDEX(INDIRECT("'"&amp;$B13&amp;"'!$T$6:$T$205"),MATCH($AR13&amp;"|"&amp;X$5,INDIRECT("'"&amp;$B13&amp;"'!$AF$6:$AF$205"),0))),"-"))</f>
        <v/>
      </c>
      <c r="Y13" s="38">
        <f>IF(OR(AP13="",Y$5="-"),"",IFERROR(IF(INDEX(INDIRECT("'"&amp;$B13&amp;"'!$T$6:$T$205"),MATCH($AR13&amp;"|"&amp;Y$5,INDIRECT("'"&amp;$B13&amp;"'!$AF$6:$AF$205"),0))="","",INDEX(INDIRECT("'"&amp;$B13&amp;"'!$T$6:$T$205"),MATCH($AR13&amp;"|"&amp;Y$5,INDIRECT("'"&amp;$B13&amp;"'!$AF$6:$AF$205"),0))),"-"))</f>
        <v/>
      </c>
      <c r="Z13" s="38">
        <f>IF(OR(AP13="",Z$5="-"),"",IFERROR(IF(INDEX(INDIRECT("'"&amp;$B13&amp;"'!$T$6:$T$205"),MATCH($AR13&amp;"|"&amp;Z$5,INDIRECT("'"&amp;$B13&amp;"'!$AF$6:$AF$205"),0))="","",INDEX(INDIRECT("'"&amp;$B13&amp;"'!$T$6:$T$205"),MATCH($AR13&amp;"|"&amp;Z$5,INDIRECT("'"&amp;$B13&amp;"'!$AF$6:$AF$205"),0))),"-"))</f>
        <v/>
      </c>
      <c r="AA13" s="38">
        <f>IF(OR(AP13="",AA$5="-"),"",IFERROR(IF(INDEX(INDIRECT("'"&amp;$B13&amp;"'!$T$6:$T$205"),MATCH($AR13&amp;"|"&amp;AA$5,INDIRECT("'"&amp;$B13&amp;"'!$AF$6:$AF$205"),0))="","",INDEX(INDIRECT("'"&amp;$B13&amp;"'!$T$6:$T$205"),MATCH($AR13&amp;"|"&amp;AA$5,INDIRECT("'"&amp;$B13&amp;"'!$AF$6:$AF$205"),0))),"-"))</f>
        <v/>
      </c>
      <c r="AB13" s="38">
        <f>IF(OR(AP13="",AB$5="-"),"",IFERROR(IF(INDEX(INDIRECT("'"&amp;$B13&amp;"'!$T$6:$T$205"),MATCH($AR13&amp;"|"&amp;AB$5,INDIRECT("'"&amp;$B13&amp;"'!$AF$6:$AF$205"),0))="","",INDEX(INDIRECT("'"&amp;$B13&amp;"'!$T$6:$T$205"),MATCH($AR13&amp;"|"&amp;AB$5,INDIRECT("'"&amp;$B13&amp;"'!$AF$6:$AF$205"),0))),"-"))</f>
        <v/>
      </c>
      <c r="AC13" s="38">
        <f>IF(OR(AP13="",AC$5="-"),"",IFERROR(IF(INDEX(INDIRECT("'"&amp;$B13&amp;"'!$T$6:$T$205"),MATCH($AR13&amp;"|"&amp;AC$5,INDIRECT("'"&amp;$B13&amp;"'!$AF$6:$AF$205"),0))="","",INDEX(INDIRECT("'"&amp;$B13&amp;"'!$T$6:$T$205"),MATCH($AR13&amp;"|"&amp;AC$5,INDIRECT("'"&amp;$B13&amp;"'!$AF$6:$AF$205"),0))),"-"))</f>
        <v/>
      </c>
      <c r="AD13" s="38">
        <f>IF(OR(AP13="",AD$5="-"),"",IFERROR(IF(INDEX(INDIRECT("'"&amp;$B13&amp;"'!$T$6:$T$205"),MATCH($AR13&amp;"|"&amp;AD$5,INDIRECT("'"&amp;$B13&amp;"'!$AF$6:$AF$205"),0))="","",INDEX(INDIRECT("'"&amp;$B13&amp;"'!$T$6:$T$205"),MATCH($AR13&amp;"|"&amp;AD$5,INDIRECT("'"&amp;$B13&amp;"'!$AF$6:$AF$205"),0))),"-"))</f>
        <v/>
      </c>
      <c r="AE13" s="38">
        <f>IF(OR(AP13="",AE$5="-"),"",IFERROR(IF(INDEX(INDIRECT("'"&amp;$B13&amp;"'!$T$6:$T$205"),MATCH($AR13&amp;"|"&amp;AE$5,INDIRECT("'"&amp;$B13&amp;"'!$AF$6:$AF$205"),0))="","",INDEX(INDIRECT("'"&amp;$B13&amp;"'!$T$6:$T$205"),MATCH($AR13&amp;"|"&amp;AE$5,INDIRECT("'"&amp;$B13&amp;"'!$AF$6:$AF$205"),0))),"-"))</f>
        <v/>
      </c>
      <c r="AF13" s="35">
        <f>IF(AG13="","",INDEX($P$5:$W$5,MATCH(AG13,P13:W13,0)))</f>
        <v/>
      </c>
      <c r="AG13" s="37">
        <f>IF(COUNT(P13:W13)=0,"",MIN(P13:W13))</f>
        <v/>
      </c>
      <c r="AH13" s="39">
        <f>IF(AG13="","",AG13*F13)</f>
        <v/>
      </c>
      <c r="AI13" s="39">
        <f>IF(COUNT(P13:W13)&lt;2,"",(MAX(P13:W13)-MIN(P13:W13))*F13)</f>
        <v/>
      </c>
      <c r="AJ13" s="20" t="n"/>
      <c r="AP13">
        <f>IF(8&gt;MAX($AN$6:$AN$9),"",COUNTIF($AN$6:$AN$9,"&lt;"&amp;8)+1)</f>
        <v/>
      </c>
      <c r="AQ13">
        <f>IF(AP13="","",8-INDEX($AO$6:$AO$9,AP13))</f>
        <v/>
      </c>
      <c r="AR13">
        <f>IF(AP13="","",INDEX(INDIRECT("'"&amp;$B13&amp;"'!$AE$6:$AE$205"),MATCH(AQ13,INDIRECT("'"&amp;$B13&amp;"'!$AI$6:$AI$205"),0)))</f>
        <v/>
      </c>
    </row>
    <row r="14">
      <c r="A14" s="34">
        <f>IF(AP14="","",9)</f>
        <v/>
      </c>
      <c r="B14" s="35">
        <f>IF(AP14="","",INDEX($AL$6:$AL$9,AP14))</f>
        <v/>
      </c>
      <c r="C14" s="34">
        <f>IF(AP14="","",INDEX(INDIRECT("'"&amp;$B14&amp;"'!$B$6:$B$205"),MATCH($AR14,INDIRECT("'"&amp;$B14&amp;"'!$AE$6:$AE$205"),0)))</f>
        <v/>
      </c>
      <c r="D14" s="34">
        <f>IF(AP14="","",INDEX(INDIRECT("'"&amp;$B14&amp;"'!$D$6:$D$205"),MATCH($AR14,INDIRECT("'"&amp;$B14&amp;"'!$AE$6:$AE$205"),0)))</f>
        <v/>
      </c>
      <c r="E14" s="36">
        <f>IF(AP14="","",INDEX(INDIRECT("'"&amp;$B14&amp;"'!$F$6:$F$205"),MATCH($AR14,INDIRECT("'"&amp;$B14&amp;"'!$AE$6:$AE$205"),0)))</f>
        <v/>
      </c>
      <c r="F14" s="34">
        <f>IF(AP14="","",INDEX(INDIRECT("'"&amp;$B14&amp;"'!$K$6:$K$205"),MATCH($AR14,INDIRECT("'"&amp;$B14&amp;"'!$AE$6:$AE$205"),0)))</f>
        <v/>
      </c>
      <c r="G14" s="34">
        <f>IF(AP14="","",INDEX(INDIRECT("'"&amp;$B14&amp;"'!$L$6:$L$205"),MATCH($AR14,INDIRECT("'"&amp;$B14&amp;"'!$AE$6:$AE$205"),0)))</f>
        <v/>
      </c>
      <c r="H14" s="34">
        <f>IF(OR(AP14="",H$5="-"),"",IFERROR(IF(INDEX(INDIRECT("'"&amp;$B14&amp;"'!$N$6:$N$205"),MATCH($AR14&amp;"|"&amp;H$5,INDIRECT("'"&amp;$B14&amp;"'!$AF$6:$AF$205"),0))="","",INDEX(INDIRECT("'"&amp;$B14&amp;"'!$N$6:$N$205"),MATCH($AR14&amp;"|"&amp;H$5,INDIRECT("'"&amp;$B14&amp;"'!$AF$6:$AF$205"),0))),"-"))</f>
        <v/>
      </c>
      <c r="I14" s="34">
        <f>IF(OR(AP14="",I$5="-"),"",IFERROR(IF(INDEX(INDIRECT("'"&amp;$B14&amp;"'!$N$6:$N$205"),MATCH($AR14&amp;"|"&amp;I$5,INDIRECT("'"&amp;$B14&amp;"'!$AF$6:$AF$205"),0))="","",INDEX(INDIRECT("'"&amp;$B14&amp;"'!$N$6:$N$205"),MATCH($AR14&amp;"|"&amp;I$5,INDIRECT("'"&amp;$B14&amp;"'!$AF$6:$AF$205"),0))),"-"))</f>
        <v/>
      </c>
      <c r="J14" s="34">
        <f>IF(OR(AP14="",J$5="-"),"",IFERROR(IF(INDEX(INDIRECT("'"&amp;$B14&amp;"'!$N$6:$N$205"),MATCH($AR14&amp;"|"&amp;J$5,INDIRECT("'"&amp;$B14&amp;"'!$AF$6:$AF$205"),0))="","",INDEX(INDIRECT("'"&amp;$B14&amp;"'!$N$6:$N$205"),MATCH($AR14&amp;"|"&amp;J$5,INDIRECT("'"&amp;$B14&amp;"'!$AF$6:$AF$205"),0))),"-"))</f>
        <v/>
      </c>
      <c r="K14" s="34">
        <f>IF(OR(AP14="",K$5="-"),"",IFERROR(IF(INDEX(INDIRECT("'"&amp;$B14&amp;"'!$N$6:$N$205"),MATCH($AR14&amp;"|"&amp;K$5,INDIRECT("'"&amp;$B14&amp;"'!$AF$6:$AF$205"),0))="","",INDEX(INDIRECT("'"&amp;$B14&amp;"'!$N$6:$N$205"),MATCH($AR14&amp;"|"&amp;K$5,INDIRECT("'"&amp;$B14&amp;"'!$AF$6:$AF$205"),0))),"-"))</f>
        <v/>
      </c>
      <c r="L14" s="34">
        <f>IF(OR(AP14="",L$5="-"),"",IFERROR(IF(INDEX(INDIRECT("'"&amp;$B14&amp;"'!$N$6:$N$205"),MATCH($AR14&amp;"|"&amp;L$5,INDIRECT("'"&amp;$B14&amp;"'!$AF$6:$AF$205"),0))="","",INDEX(INDIRECT("'"&amp;$B14&amp;"'!$N$6:$N$205"),MATCH($AR14&amp;"|"&amp;L$5,INDIRECT("'"&amp;$B14&amp;"'!$AF$6:$AF$205"),0))),"-"))</f>
        <v/>
      </c>
      <c r="M14" s="34">
        <f>IF(OR(AP14="",M$5="-"),"",IFERROR(IF(INDEX(INDIRECT("'"&amp;$B14&amp;"'!$N$6:$N$205"),MATCH($AR14&amp;"|"&amp;M$5,INDIRECT("'"&amp;$B14&amp;"'!$AF$6:$AF$205"),0))="","",INDEX(INDIRECT("'"&amp;$B14&amp;"'!$N$6:$N$205"),MATCH($AR14&amp;"|"&amp;M$5,INDIRECT("'"&amp;$B14&amp;"'!$AF$6:$AF$205"),0))),"-"))</f>
        <v/>
      </c>
      <c r="N14" s="34">
        <f>IF(OR(AP14="",N$5="-"),"",IFERROR(IF(INDEX(INDIRECT("'"&amp;$B14&amp;"'!$N$6:$N$205"),MATCH($AR14&amp;"|"&amp;N$5,INDIRECT("'"&amp;$B14&amp;"'!$AF$6:$AF$205"),0))="","",INDEX(INDIRECT("'"&amp;$B14&amp;"'!$N$6:$N$205"),MATCH($AR14&amp;"|"&amp;N$5,INDIRECT("'"&amp;$B14&amp;"'!$AF$6:$AF$205"),0))),"-"))</f>
        <v/>
      </c>
      <c r="O14" s="34">
        <f>IF(OR(AP14="",O$5="-"),"",IFERROR(IF(INDEX(INDIRECT("'"&amp;$B14&amp;"'!$N$6:$N$205"),MATCH($AR14&amp;"|"&amp;O$5,INDIRECT("'"&amp;$B14&amp;"'!$AF$6:$AF$205"),0))="","",INDEX(INDIRECT("'"&amp;$B14&amp;"'!$N$6:$N$205"),MATCH($AR14&amp;"|"&amp;O$5,INDIRECT("'"&amp;$B14&amp;"'!$AF$6:$AF$205"),0))),"-"))</f>
        <v/>
      </c>
      <c r="P14" s="37">
        <f>IF(OR(AP14="",P$5="-"),"",IFERROR(IF(INDEX(INDIRECT("'"&amp;$B14&amp;"'!$R$6:$R$205"),MATCH($AR14&amp;"|"&amp;P$5,INDIRECT("'"&amp;$B14&amp;"'!$AF$6:$AF$205"),0))="","",INDEX(INDIRECT("'"&amp;$B14&amp;"'!$R$6:$R$205"),MATCH($AR14&amp;"|"&amp;P$5,INDIRECT("'"&amp;$B14&amp;"'!$AF$6:$AF$205"),0))),"-"))</f>
        <v/>
      </c>
      <c r="Q14" s="37">
        <f>IF(OR(AP14="",Q$5="-"),"",IFERROR(IF(INDEX(INDIRECT("'"&amp;$B14&amp;"'!$R$6:$R$205"),MATCH($AR14&amp;"|"&amp;Q$5,INDIRECT("'"&amp;$B14&amp;"'!$AF$6:$AF$205"),0))="","",INDEX(INDIRECT("'"&amp;$B14&amp;"'!$R$6:$R$205"),MATCH($AR14&amp;"|"&amp;Q$5,INDIRECT("'"&amp;$B14&amp;"'!$AF$6:$AF$205"),0))),"-"))</f>
        <v/>
      </c>
      <c r="R14" s="37">
        <f>IF(OR(AP14="",R$5="-"),"",IFERROR(IF(INDEX(INDIRECT("'"&amp;$B14&amp;"'!$R$6:$R$205"),MATCH($AR14&amp;"|"&amp;R$5,INDIRECT("'"&amp;$B14&amp;"'!$AF$6:$AF$205"),0))="","",INDEX(INDIRECT("'"&amp;$B14&amp;"'!$R$6:$R$205"),MATCH($AR14&amp;"|"&amp;R$5,INDIRECT("'"&amp;$B14&amp;"'!$AF$6:$AF$205"),0))),"-"))</f>
        <v/>
      </c>
      <c r="S14" s="37">
        <f>IF(OR(AP14="",S$5="-"),"",IFERROR(IF(INDEX(INDIRECT("'"&amp;$B14&amp;"'!$R$6:$R$205"),MATCH($AR14&amp;"|"&amp;S$5,INDIRECT("'"&amp;$B14&amp;"'!$AF$6:$AF$205"),0))="","",INDEX(INDIRECT("'"&amp;$B14&amp;"'!$R$6:$R$205"),MATCH($AR14&amp;"|"&amp;S$5,INDIRECT("'"&amp;$B14&amp;"'!$AF$6:$AF$205"),0))),"-"))</f>
        <v/>
      </c>
      <c r="T14" s="37">
        <f>IF(OR(AP14="",T$5="-"),"",IFERROR(IF(INDEX(INDIRECT("'"&amp;$B14&amp;"'!$R$6:$R$205"),MATCH($AR14&amp;"|"&amp;T$5,INDIRECT("'"&amp;$B14&amp;"'!$AF$6:$AF$205"),0))="","",INDEX(INDIRECT("'"&amp;$B14&amp;"'!$R$6:$R$205"),MATCH($AR14&amp;"|"&amp;T$5,INDIRECT("'"&amp;$B14&amp;"'!$AF$6:$AF$205"),0))),"-"))</f>
        <v/>
      </c>
      <c r="U14" s="37">
        <f>IF(OR(AP14="",U$5="-"),"",IFERROR(IF(INDEX(INDIRECT("'"&amp;$B14&amp;"'!$R$6:$R$205"),MATCH($AR14&amp;"|"&amp;U$5,INDIRECT("'"&amp;$B14&amp;"'!$AF$6:$AF$205"),0))="","",INDEX(INDIRECT("'"&amp;$B14&amp;"'!$R$6:$R$205"),MATCH($AR14&amp;"|"&amp;U$5,INDIRECT("'"&amp;$B14&amp;"'!$AF$6:$AF$205"),0))),"-"))</f>
        <v/>
      </c>
      <c r="V14" s="37">
        <f>IF(OR(AP14="",V$5="-"),"",IFERROR(IF(INDEX(INDIRECT("'"&amp;$B14&amp;"'!$R$6:$R$205"),MATCH($AR14&amp;"|"&amp;V$5,INDIRECT("'"&amp;$B14&amp;"'!$AF$6:$AF$205"),0))="","",INDEX(INDIRECT("'"&amp;$B14&amp;"'!$R$6:$R$205"),MATCH($AR14&amp;"|"&amp;V$5,INDIRECT("'"&amp;$B14&amp;"'!$AF$6:$AF$205"),0))),"-"))</f>
        <v/>
      </c>
      <c r="W14" s="37">
        <f>IF(OR(AP14="",W$5="-"),"",IFERROR(IF(INDEX(INDIRECT("'"&amp;$B14&amp;"'!$R$6:$R$205"),MATCH($AR14&amp;"|"&amp;W$5,INDIRECT("'"&amp;$B14&amp;"'!$AF$6:$AF$205"),0))="","",INDEX(INDIRECT("'"&amp;$B14&amp;"'!$R$6:$R$205"),MATCH($AR14&amp;"|"&amp;W$5,INDIRECT("'"&amp;$B14&amp;"'!$AF$6:$AF$205"),0))),"-"))</f>
        <v/>
      </c>
      <c r="X14" s="38">
        <f>IF(OR(AP14="",X$5="-"),"",IFERROR(IF(INDEX(INDIRECT("'"&amp;$B14&amp;"'!$T$6:$T$205"),MATCH($AR14&amp;"|"&amp;X$5,INDIRECT("'"&amp;$B14&amp;"'!$AF$6:$AF$205"),0))="","",INDEX(INDIRECT("'"&amp;$B14&amp;"'!$T$6:$T$205"),MATCH($AR14&amp;"|"&amp;X$5,INDIRECT("'"&amp;$B14&amp;"'!$AF$6:$AF$205"),0))),"-"))</f>
        <v/>
      </c>
      <c r="Y14" s="38">
        <f>IF(OR(AP14="",Y$5="-"),"",IFERROR(IF(INDEX(INDIRECT("'"&amp;$B14&amp;"'!$T$6:$T$205"),MATCH($AR14&amp;"|"&amp;Y$5,INDIRECT("'"&amp;$B14&amp;"'!$AF$6:$AF$205"),0))="","",INDEX(INDIRECT("'"&amp;$B14&amp;"'!$T$6:$T$205"),MATCH($AR14&amp;"|"&amp;Y$5,INDIRECT("'"&amp;$B14&amp;"'!$AF$6:$AF$205"),0))),"-"))</f>
        <v/>
      </c>
      <c r="Z14" s="38">
        <f>IF(OR(AP14="",Z$5="-"),"",IFERROR(IF(INDEX(INDIRECT("'"&amp;$B14&amp;"'!$T$6:$T$205"),MATCH($AR14&amp;"|"&amp;Z$5,INDIRECT("'"&amp;$B14&amp;"'!$AF$6:$AF$205"),0))="","",INDEX(INDIRECT("'"&amp;$B14&amp;"'!$T$6:$T$205"),MATCH($AR14&amp;"|"&amp;Z$5,INDIRECT("'"&amp;$B14&amp;"'!$AF$6:$AF$205"),0))),"-"))</f>
        <v/>
      </c>
      <c r="AA14" s="38">
        <f>IF(OR(AP14="",AA$5="-"),"",IFERROR(IF(INDEX(INDIRECT("'"&amp;$B14&amp;"'!$T$6:$T$205"),MATCH($AR14&amp;"|"&amp;AA$5,INDIRECT("'"&amp;$B14&amp;"'!$AF$6:$AF$205"),0))="","",INDEX(INDIRECT("'"&amp;$B14&amp;"'!$T$6:$T$205"),MATCH($AR14&amp;"|"&amp;AA$5,INDIRECT("'"&amp;$B14&amp;"'!$AF$6:$AF$205"),0))),"-"))</f>
        <v/>
      </c>
      <c r="AB14" s="38">
        <f>IF(OR(AP14="",AB$5="-"),"",IFERROR(IF(INDEX(INDIRECT("'"&amp;$B14&amp;"'!$T$6:$T$205"),MATCH($AR14&amp;"|"&amp;AB$5,INDIRECT("'"&amp;$B14&amp;"'!$AF$6:$AF$205"),0))="","",INDEX(INDIRECT("'"&amp;$B14&amp;"'!$T$6:$T$205"),MATCH($AR14&amp;"|"&amp;AB$5,INDIRECT("'"&amp;$B14&amp;"'!$AF$6:$AF$205"),0))),"-"))</f>
        <v/>
      </c>
      <c r="AC14" s="38">
        <f>IF(OR(AP14="",AC$5="-"),"",IFERROR(IF(INDEX(INDIRECT("'"&amp;$B14&amp;"'!$T$6:$T$205"),MATCH($AR14&amp;"|"&amp;AC$5,INDIRECT("'"&amp;$B14&amp;"'!$AF$6:$AF$205"),0))="","",INDEX(INDIRECT("'"&amp;$B14&amp;"'!$T$6:$T$205"),MATCH($AR14&amp;"|"&amp;AC$5,INDIRECT("'"&amp;$B14&amp;"'!$AF$6:$AF$205"),0))),"-"))</f>
        <v/>
      </c>
      <c r="AD14" s="38">
        <f>IF(OR(AP14="",AD$5="-"),"",IFERROR(IF(INDEX(INDIRECT("'"&amp;$B14&amp;"'!$T$6:$T$205"),MATCH($AR14&amp;"|"&amp;AD$5,INDIRECT("'"&amp;$B14&amp;"'!$AF$6:$AF$205"),0))="","",INDEX(INDIRECT("'"&amp;$B14&amp;"'!$T$6:$T$205"),MATCH($AR14&amp;"|"&amp;AD$5,INDIRECT("'"&amp;$B14&amp;"'!$AF$6:$AF$205"),0))),"-"))</f>
        <v/>
      </c>
      <c r="AE14" s="38">
        <f>IF(OR(AP14="",AE$5="-"),"",IFERROR(IF(INDEX(INDIRECT("'"&amp;$B14&amp;"'!$T$6:$T$205"),MATCH($AR14&amp;"|"&amp;AE$5,INDIRECT("'"&amp;$B14&amp;"'!$AF$6:$AF$205"),0))="","",INDEX(INDIRECT("'"&amp;$B14&amp;"'!$T$6:$T$205"),MATCH($AR14&amp;"|"&amp;AE$5,INDIRECT("'"&amp;$B14&amp;"'!$AF$6:$AF$205"),0))),"-"))</f>
        <v/>
      </c>
      <c r="AF14" s="35">
        <f>IF(AG14="","",INDEX($P$5:$W$5,MATCH(AG14,P14:W14,0)))</f>
        <v/>
      </c>
      <c r="AG14" s="37">
        <f>IF(COUNT(P14:W14)=0,"",MIN(P14:W14))</f>
        <v/>
      </c>
      <c r="AH14" s="39">
        <f>IF(AG14="","",AG14*F14)</f>
        <v/>
      </c>
      <c r="AI14" s="39">
        <f>IF(COUNT(P14:W14)&lt;2,"",(MAX(P14:W14)-MIN(P14:W14))*F14)</f>
        <v/>
      </c>
      <c r="AJ14" s="20" t="n"/>
      <c r="AP14">
        <f>IF(9&gt;MAX($AN$6:$AN$9),"",COUNTIF($AN$6:$AN$9,"&lt;"&amp;9)+1)</f>
        <v/>
      </c>
      <c r="AQ14">
        <f>IF(AP14="","",9-INDEX($AO$6:$AO$9,AP14))</f>
        <v/>
      </c>
      <c r="AR14">
        <f>IF(AP14="","",INDEX(INDIRECT("'"&amp;$B14&amp;"'!$AE$6:$AE$205"),MATCH(AQ14,INDIRECT("'"&amp;$B14&amp;"'!$AI$6:$AI$205"),0)))</f>
        <v/>
      </c>
    </row>
    <row r="15">
      <c r="A15" s="34">
        <f>IF(AP15="","",10)</f>
        <v/>
      </c>
      <c r="B15" s="35">
        <f>IF(AP15="","",INDEX($AL$6:$AL$9,AP15))</f>
        <v/>
      </c>
      <c r="C15" s="34">
        <f>IF(AP15="","",INDEX(INDIRECT("'"&amp;$B15&amp;"'!$B$6:$B$205"),MATCH($AR15,INDIRECT("'"&amp;$B15&amp;"'!$AE$6:$AE$205"),0)))</f>
        <v/>
      </c>
      <c r="D15" s="34">
        <f>IF(AP15="","",INDEX(INDIRECT("'"&amp;$B15&amp;"'!$D$6:$D$205"),MATCH($AR15,INDIRECT("'"&amp;$B15&amp;"'!$AE$6:$AE$205"),0)))</f>
        <v/>
      </c>
      <c r="E15" s="36">
        <f>IF(AP15="","",INDEX(INDIRECT("'"&amp;$B15&amp;"'!$F$6:$F$205"),MATCH($AR15,INDIRECT("'"&amp;$B15&amp;"'!$AE$6:$AE$205"),0)))</f>
        <v/>
      </c>
      <c r="F15" s="34">
        <f>IF(AP15="","",INDEX(INDIRECT("'"&amp;$B15&amp;"'!$K$6:$K$205"),MATCH($AR15,INDIRECT("'"&amp;$B15&amp;"'!$AE$6:$AE$205"),0)))</f>
        <v/>
      </c>
      <c r="G15" s="34">
        <f>IF(AP15="","",INDEX(INDIRECT("'"&amp;$B15&amp;"'!$L$6:$L$205"),MATCH($AR15,INDIRECT("'"&amp;$B15&amp;"'!$AE$6:$AE$205"),0)))</f>
        <v/>
      </c>
      <c r="H15" s="34">
        <f>IF(OR(AP15="",H$5="-"),"",IFERROR(IF(INDEX(INDIRECT("'"&amp;$B15&amp;"'!$N$6:$N$205"),MATCH($AR15&amp;"|"&amp;H$5,INDIRECT("'"&amp;$B15&amp;"'!$AF$6:$AF$205"),0))="","",INDEX(INDIRECT("'"&amp;$B15&amp;"'!$N$6:$N$205"),MATCH($AR15&amp;"|"&amp;H$5,INDIRECT("'"&amp;$B15&amp;"'!$AF$6:$AF$205"),0))),"-"))</f>
        <v/>
      </c>
      <c r="I15" s="34">
        <f>IF(OR(AP15="",I$5="-"),"",IFERROR(IF(INDEX(INDIRECT("'"&amp;$B15&amp;"'!$N$6:$N$205"),MATCH($AR15&amp;"|"&amp;I$5,INDIRECT("'"&amp;$B15&amp;"'!$AF$6:$AF$205"),0))="","",INDEX(INDIRECT("'"&amp;$B15&amp;"'!$N$6:$N$205"),MATCH($AR15&amp;"|"&amp;I$5,INDIRECT("'"&amp;$B15&amp;"'!$AF$6:$AF$205"),0))),"-"))</f>
        <v/>
      </c>
      <c r="J15" s="34">
        <f>IF(OR(AP15="",J$5="-"),"",IFERROR(IF(INDEX(INDIRECT("'"&amp;$B15&amp;"'!$N$6:$N$205"),MATCH($AR15&amp;"|"&amp;J$5,INDIRECT("'"&amp;$B15&amp;"'!$AF$6:$AF$205"),0))="","",INDEX(INDIRECT("'"&amp;$B15&amp;"'!$N$6:$N$205"),MATCH($AR15&amp;"|"&amp;J$5,INDIRECT("'"&amp;$B15&amp;"'!$AF$6:$AF$205"),0))),"-"))</f>
        <v/>
      </c>
      <c r="K15" s="34">
        <f>IF(OR(AP15="",K$5="-"),"",IFERROR(IF(INDEX(INDIRECT("'"&amp;$B15&amp;"'!$N$6:$N$205"),MATCH($AR15&amp;"|"&amp;K$5,INDIRECT("'"&amp;$B15&amp;"'!$AF$6:$AF$205"),0))="","",INDEX(INDIRECT("'"&amp;$B15&amp;"'!$N$6:$N$205"),MATCH($AR15&amp;"|"&amp;K$5,INDIRECT("'"&amp;$B15&amp;"'!$AF$6:$AF$205"),0))),"-"))</f>
        <v/>
      </c>
      <c r="L15" s="34">
        <f>IF(OR(AP15="",L$5="-"),"",IFERROR(IF(INDEX(INDIRECT("'"&amp;$B15&amp;"'!$N$6:$N$205"),MATCH($AR15&amp;"|"&amp;L$5,INDIRECT("'"&amp;$B15&amp;"'!$AF$6:$AF$205"),0))="","",INDEX(INDIRECT("'"&amp;$B15&amp;"'!$N$6:$N$205"),MATCH($AR15&amp;"|"&amp;L$5,INDIRECT("'"&amp;$B15&amp;"'!$AF$6:$AF$205"),0))),"-"))</f>
        <v/>
      </c>
      <c r="M15" s="34">
        <f>IF(OR(AP15="",M$5="-"),"",IFERROR(IF(INDEX(INDIRECT("'"&amp;$B15&amp;"'!$N$6:$N$205"),MATCH($AR15&amp;"|"&amp;M$5,INDIRECT("'"&amp;$B15&amp;"'!$AF$6:$AF$205"),0))="","",INDEX(INDIRECT("'"&amp;$B15&amp;"'!$N$6:$N$205"),MATCH($AR15&amp;"|"&amp;M$5,INDIRECT("'"&amp;$B15&amp;"'!$AF$6:$AF$205"),0))),"-"))</f>
        <v/>
      </c>
      <c r="N15" s="34">
        <f>IF(OR(AP15="",N$5="-"),"",IFERROR(IF(INDEX(INDIRECT("'"&amp;$B15&amp;"'!$N$6:$N$205"),MATCH($AR15&amp;"|"&amp;N$5,INDIRECT("'"&amp;$B15&amp;"'!$AF$6:$AF$205"),0))="","",INDEX(INDIRECT("'"&amp;$B15&amp;"'!$N$6:$N$205"),MATCH($AR15&amp;"|"&amp;N$5,INDIRECT("'"&amp;$B15&amp;"'!$AF$6:$AF$205"),0))),"-"))</f>
        <v/>
      </c>
      <c r="O15" s="34">
        <f>IF(OR(AP15="",O$5="-"),"",IFERROR(IF(INDEX(INDIRECT("'"&amp;$B15&amp;"'!$N$6:$N$205"),MATCH($AR15&amp;"|"&amp;O$5,INDIRECT("'"&amp;$B15&amp;"'!$AF$6:$AF$205"),0))="","",INDEX(INDIRECT("'"&amp;$B15&amp;"'!$N$6:$N$205"),MATCH($AR15&amp;"|"&amp;O$5,INDIRECT("'"&amp;$B15&amp;"'!$AF$6:$AF$205"),0))),"-"))</f>
        <v/>
      </c>
      <c r="P15" s="37">
        <f>IF(OR(AP15="",P$5="-"),"",IFERROR(IF(INDEX(INDIRECT("'"&amp;$B15&amp;"'!$R$6:$R$205"),MATCH($AR15&amp;"|"&amp;P$5,INDIRECT("'"&amp;$B15&amp;"'!$AF$6:$AF$205"),0))="","",INDEX(INDIRECT("'"&amp;$B15&amp;"'!$R$6:$R$205"),MATCH($AR15&amp;"|"&amp;P$5,INDIRECT("'"&amp;$B15&amp;"'!$AF$6:$AF$205"),0))),"-"))</f>
        <v/>
      </c>
      <c r="Q15" s="37">
        <f>IF(OR(AP15="",Q$5="-"),"",IFERROR(IF(INDEX(INDIRECT("'"&amp;$B15&amp;"'!$R$6:$R$205"),MATCH($AR15&amp;"|"&amp;Q$5,INDIRECT("'"&amp;$B15&amp;"'!$AF$6:$AF$205"),0))="","",INDEX(INDIRECT("'"&amp;$B15&amp;"'!$R$6:$R$205"),MATCH($AR15&amp;"|"&amp;Q$5,INDIRECT("'"&amp;$B15&amp;"'!$AF$6:$AF$205"),0))),"-"))</f>
        <v/>
      </c>
      <c r="R15" s="37">
        <f>IF(OR(AP15="",R$5="-"),"",IFERROR(IF(INDEX(INDIRECT("'"&amp;$B15&amp;"'!$R$6:$R$205"),MATCH($AR15&amp;"|"&amp;R$5,INDIRECT("'"&amp;$B15&amp;"'!$AF$6:$AF$205"),0))="","",INDEX(INDIRECT("'"&amp;$B15&amp;"'!$R$6:$R$205"),MATCH($AR15&amp;"|"&amp;R$5,INDIRECT("'"&amp;$B15&amp;"'!$AF$6:$AF$205"),0))),"-"))</f>
        <v/>
      </c>
      <c r="S15" s="37">
        <f>IF(OR(AP15="",S$5="-"),"",IFERROR(IF(INDEX(INDIRECT("'"&amp;$B15&amp;"'!$R$6:$R$205"),MATCH($AR15&amp;"|"&amp;S$5,INDIRECT("'"&amp;$B15&amp;"'!$AF$6:$AF$205"),0))="","",INDEX(INDIRECT("'"&amp;$B15&amp;"'!$R$6:$R$205"),MATCH($AR15&amp;"|"&amp;S$5,INDIRECT("'"&amp;$B15&amp;"'!$AF$6:$AF$205"),0))),"-"))</f>
        <v/>
      </c>
      <c r="T15" s="37">
        <f>IF(OR(AP15="",T$5="-"),"",IFERROR(IF(INDEX(INDIRECT("'"&amp;$B15&amp;"'!$R$6:$R$205"),MATCH($AR15&amp;"|"&amp;T$5,INDIRECT("'"&amp;$B15&amp;"'!$AF$6:$AF$205"),0))="","",INDEX(INDIRECT("'"&amp;$B15&amp;"'!$R$6:$R$205"),MATCH($AR15&amp;"|"&amp;T$5,INDIRECT("'"&amp;$B15&amp;"'!$AF$6:$AF$205"),0))),"-"))</f>
        <v/>
      </c>
      <c r="U15" s="37">
        <f>IF(OR(AP15="",U$5="-"),"",IFERROR(IF(INDEX(INDIRECT("'"&amp;$B15&amp;"'!$R$6:$R$205"),MATCH($AR15&amp;"|"&amp;U$5,INDIRECT("'"&amp;$B15&amp;"'!$AF$6:$AF$205"),0))="","",INDEX(INDIRECT("'"&amp;$B15&amp;"'!$R$6:$R$205"),MATCH($AR15&amp;"|"&amp;U$5,INDIRECT("'"&amp;$B15&amp;"'!$AF$6:$AF$205"),0))),"-"))</f>
        <v/>
      </c>
      <c r="V15" s="37">
        <f>IF(OR(AP15="",V$5="-"),"",IFERROR(IF(INDEX(INDIRECT("'"&amp;$B15&amp;"'!$R$6:$R$205"),MATCH($AR15&amp;"|"&amp;V$5,INDIRECT("'"&amp;$B15&amp;"'!$AF$6:$AF$205"),0))="","",INDEX(INDIRECT("'"&amp;$B15&amp;"'!$R$6:$R$205"),MATCH($AR15&amp;"|"&amp;V$5,INDIRECT("'"&amp;$B15&amp;"'!$AF$6:$AF$205"),0))),"-"))</f>
        <v/>
      </c>
      <c r="W15" s="37">
        <f>IF(OR(AP15="",W$5="-"),"",IFERROR(IF(INDEX(INDIRECT("'"&amp;$B15&amp;"'!$R$6:$R$205"),MATCH($AR15&amp;"|"&amp;W$5,INDIRECT("'"&amp;$B15&amp;"'!$AF$6:$AF$205"),0))="","",INDEX(INDIRECT("'"&amp;$B15&amp;"'!$R$6:$R$205"),MATCH($AR15&amp;"|"&amp;W$5,INDIRECT("'"&amp;$B15&amp;"'!$AF$6:$AF$205"),0))),"-"))</f>
        <v/>
      </c>
      <c r="X15" s="38">
        <f>IF(OR(AP15="",X$5="-"),"",IFERROR(IF(INDEX(INDIRECT("'"&amp;$B15&amp;"'!$T$6:$T$205"),MATCH($AR15&amp;"|"&amp;X$5,INDIRECT("'"&amp;$B15&amp;"'!$AF$6:$AF$205"),0))="","",INDEX(INDIRECT("'"&amp;$B15&amp;"'!$T$6:$T$205"),MATCH($AR15&amp;"|"&amp;X$5,INDIRECT("'"&amp;$B15&amp;"'!$AF$6:$AF$205"),0))),"-"))</f>
        <v/>
      </c>
      <c r="Y15" s="38">
        <f>IF(OR(AP15="",Y$5="-"),"",IFERROR(IF(INDEX(INDIRECT("'"&amp;$B15&amp;"'!$T$6:$T$205"),MATCH($AR15&amp;"|"&amp;Y$5,INDIRECT("'"&amp;$B15&amp;"'!$AF$6:$AF$205"),0))="","",INDEX(INDIRECT("'"&amp;$B15&amp;"'!$T$6:$T$205"),MATCH($AR15&amp;"|"&amp;Y$5,INDIRECT("'"&amp;$B15&amp;"'!$AF$6:$AF$205"),0))),"-"))</f>
        <v/>
      </c>
      <c r="Z15" s="38">
        <f>IF(OR(AP15="",Z$5="-"),"",IFERROR(IF(INDEX(INDIRECT("'"&amp;$B15&amp;"'!$T$6:$T$205"),MATCH($AR15&amp;"|"&amp;Z$5,INDIRECT("'"&amp;$B15&amp;"'!$AF$6:$AF$205"),0))="","",INDEX(INDIRECT("'"&amp;$B15&amp;"'!$T$6:$T$205"),MATCH($AR15&amp;"|"&amp;Z$5,INDIRECT("'"&amp;$B15&amp;"'!$AF$6:$AF$205"),0))),"-"))</f>
        <v/>
      </c>
      <c r="AA15" s="38">
        <f>IF(OR(AP15="",AA$5="-"),"",IFERROR(IF(INDEX(INDIRECT("'"&amp;$B15&amp;"'!$T$6:$T$205"),MATCH($AR15&amp;"|"&amp;AA$5,INDIRECT("'"&amp;$B15&amp;"'!$AF$6:$AF$205"),0))="","",INDEX(INDIRECT("'"&amp;$B15&amp;"'!$T$6:$T$205"),MATCH($AR15&amp;"|"&amp;AA$5,INDIRECT("'"&amp;$B15&amp;"'!$AF$6:$AF$205"),0))),"-"))</f>
        <v/>
      </c>
      <c r="AB15" s="38">
        <f>IF(OR(AP15="",AB$5="-"),"",IFERROR(IF(INDEX(INDIRECT("'"&amp;$B15&amp;"'!$T$6:$T$205"),MATCH($AR15&amp;"|"&amp;AB$5,INDIRECT("'"&amp;$B15&amp;"'!$AF$6:$AF$205"),0))="","",INDEX(INDIRECT("'"&amp;$B15&amp;"'!$T$6:$T$205"),MATCH($AR15&amp;"|"&amp;AB$5,INDIRECT("'"&amp;$B15&amp;"'!$AF$6:$AF$205"),0))),"-"))</f>
        <v/>
      </c>
      <c r="AC15" s="38">
        <f>IF(OR(AP15="",AC$5="-"),"",IFERROR(IF(INDEX(INDIRECT("'"&amp;$B15&amp;"'!$T$6:$T$205"),MATCH($AR15&amp;"|"&amp;AC$5,INDIRECT("'"&amp;$B15&amp;"'!$AF$6:$AF$205"),0))="","",INDEX(INDIRECT("'"&amp;$B15&amp;"'!$T$6:$T$205"),MATCH($AR15&amp;"|"&amp;AC$5,INDIRECT("'"&amp;$B15&amp;"'!$AF$6:$AF$205"),0))),"-"))</f>
        <v/>
      </c>
      <c r="AD15" s="38">
        <f>IF(OR(AP15="",AD$5="-"),"",IFERROR(IF(INDEX(INDIRECT("'"&amp;$B15&amp;"'!$T$6:$T$205"),MATCH($AR15&amp;"|"&amp;AD$5,INDIRECT("'"&amp;$B15&amp;"'!$AF$6:$AF$205"),0))="","",INDEX(INDIRECT("'"&amp;$B15&amp;"'!$T$6:$T$205"),MATCH($AR15&amp;"|"&amp;AD$5,INDIRECT("'"&amp;$B15&amp;"'!$AF$6:$AF$205"),0))),"-"))</f>
        <v/>
      </c>
      <c r="AE15" s="38">
        <f>IF(OR(AP15="",AE$5="-"),"",IFERROR(IF(INDEX(INDIRECT("'"&amp;$B15&amp;"'!$T$6:$T$205"),MATCH($AR15&amp;"|"&amp;AE$5,INDIRECT("'"&amp;$B15&amp;"'!$AF$6:$AF$205"),0))="","",INDEX(INDIRECT("'"&amp;$B15&amp;"'!$T$6:$T$205"),MATCH($AR15&amp;"|"&amp;AE$5,INDIRECT("'"&amp;$B15&amp;"'!$AF$6:$AF$205"),0))),"-"))</f>
        <v/>
      </c>
      <c r="AF15" s="35">
        <f>IF(AG15="","",INDEX($P$5:$W$5,MATCH(AG15,P15:W15,0)))</f>
        <v/>
      </c>
      <c r="AG15" s="37">
        <f>IF(COUNT(P15:W15)=0,"",MIN(P15:W15))</f>
        <v/>
      </c>
      <c r="AH15" s="39">
        <f>IF(AG15="","",AG15*F15)</f>
        <v/>
      </c>
      <c r="AI15" s="39">
        <f>IF(COUNT(P15:W15)&lt;2,"",(MAX(P15:W15)-MIN(P15:W15))*F15)</f>
        <v/>
      </c>
      <c r="AJ15" s="20" t="n"/>
      <c r="AP15">
        <f>IF(10&gt;MAX($AN$6:$AN$9),"",COUNTIF($AN$6:$AN$9,"&lt;"&amp;10)+1)</f>
        <v/>
      </c>
      <c r="AQ15">
        <f>IF(AP15="","",10-INDEX($AO$6:$AO$9,AP15))</f>
        <v/>
      </c>
      <c r="AR15">
        <f>IF(AP15="","",INDEX(INDIRECT("'"&amp;$B15&amp;"'!$AE$6:$AE$205"),MATCH(AQ15,INDIRECT("'"&amp;$B15&amp;"'!$AI$6:$AI$205"),0)))</f>
        <v/>
      </c>
    </row>
    <row r="16">
      <c r="A16" s="34">
        <f>IF(AP16="","",11)</f>
        <v/>
      </c>
      <c r="B16" s="35">
        <f>IF(AP16="","",INDEX($AL$6:$AL$9,AP16))</f>
        <v/>
      </c>
      <c r="C16" s="34">
        <f>IF(AP16="","",INDEX(INDIRECT("'"&amp;$B16&amp;"'!$B$6:$B$205"),MATCH($AR16,INDIRECT("'"&amp;$B16&amp;"'!$AE$6:$AE$205"),0)))</f>
        <v/>
      </c>
      <c r="D16" s="34">
        <f>IF(AP16="","",INDEX(INDIRECT("'"&amp;$B16&amp;"'!$D$6:$D$205"),MATCH($AR16,INDIRECT("'"&amp;$B16&amp;"'!$AE$6:$AE$205"),0)))</f>
        <v/>
      </c>
      <c r="E16" s="36">
        <f>IF(AP16="","",INDEX(INDIRECT("'"&amp;$B16&amp;"'!$F$6:$F$205"),MATCH($AR16,INDIRECT("'"&amp;$B16&amp;"'!$AE$6:$AE$205"),0)))</f>
        <v/>
      </c>
      <c r="F16" s="34">
        <f>IF(AP16="","",INDEX(INDIRECT("'"&amp;$B16&amp;"'!$K$6:$K$205"),MATCH($AR16,INDIRECT("'"&amp;$B16&amp;"'!$AE$6:$AE$205"),0)))</f>
        <v/>
      </c>
      <c r="G16" s="34">
        <f>IF(AP16="","",INDEX(INDIRECT("'"&amp;$B16&amp;"'!$L$6:$L$205"),MATCH($AR16,INDIRECT("'"&amp;$B16&amp;"'!$AE$6:$AE$205"),0)))</f>
        <v/>
      </c>
      <c r="H16" s="34">
        <f>IF(OR(AP16="",H$5="-"),"",IFERROR(IF(INDEX(INDIRECT("'"&amp;$B16&amp;"'!$N$6:$N$205"),MATCH($AR16&amp;"|"&amp;H$5,INDIRECT("'"&amp;$B16&amp;"'!$AF$6:$AF$205"),0))="","",INDEX(INDIRECT("'"&amp;$B16&amp;"'!$N$6:$N$205"),MATCH($AR16&amp;"|"&amp;H$5,INDIRECT("'"&amp;$B16&amp;"'!$AF$6:$AF$205"),0))),"-"))</f>
        <v/>
      </c>
      <c r="I16" s="34">
        <f>IF(OR(AP16="",I$5="-"),"",IFERROR(IF(INDEX(INDIRECT("'"&amp;$B16&amp;"'!$N$6:$N$205"),MATCH($AR16&amp;"|"&amp;I$5,INDIRECT("'"&amp;$B16&amp;"'!$AF$6:$AF$205"),0))="","",INDEX(INDIRECT("'"&amp;$B16&amp;"'!$N$6:$N$205"),MATCH($AR16&amp;"|"&amp;I$5,INDIRECT("'"&amp;$B16&amp;"'!$AF$6:$AF$205"),0))),"-"))</f>
        <v/>
      </c>
      <c r="J16" s="34">
        <f>IF(OR(AP16="",J$5="-"),"",IFERROR(IF(INDEX(INDIRECT("'"&amp;$B16&amp;"'!$N$6:$N$205"),MATCH($AR16&amp;"|"&amp;J$5,INDIRECT("'"&amp;$B16&amp;"'!$AF$6:$AF$205"),0))="","",INDEX(INDIRECT("'"&amp;$B16&amp;"'!$N$6:$N$205"),MATCH($AR16&amp;"|"&amp;J$5,INDIRECT("'"&amp;$B16&amp;"'!$AF$6:$AF$205"),0))),"-"))</f>
        <v/>
      </c>
      <c r="K16" s="34">
        <f>IF(OR(AP16="",K$5="-"),"",IFERROR(IF(INDEX(INDIRECT("'"&amp;$B16&amp;"'!$N$6:$N$205"),MATCH($AR16&amp;"|"&amp;K$5,INDIRECT("'"&amp;$B16&amp;"'!$AF$6:$AF$205"),0))="","",INDEX(INDIRECT("'"&amp;$B16&amp;"'!$N$6:$N$205"),MATCH($AR16&amp;"|"&amp;K$5,INDIRECT("'"&amp;$B16&amp;"'!$AF$6:$AF$205"),0))),"-"))</f>
        <v/>
      </c>
      <c r="L16" s="34">
        <f>IF(OR(AP16="",L$5="-"),"",IFERROR(IF(INDEX(INDIRECT("'"&amp;$B16&amp;"'!$N$6:$N$205"),MATCH($AR16&amp;"|"&amp;L$5,INDIRECT("'"&amp;$B16&amp;"'!$AF$6:$AF$205"),0))="","",INDEX(INDIRECT("'"&amp;$B16&amp;"'!$N$6:$N$205"),MATCH($AR16&amp;"|"&amp;L$5,INDIRECT("'"&amp;$B16&amp;"'!$AF$6:$AF$205"),0))),"-"))</f>
        <v/>
      </c>
      <c r="M16" s="34">
        <f>IF(OR(AP16="",M$5="-"),"",IFERROR(IF(INDEX(INDIRECT("'"&amp;$B16&amp;"'!$N$6:$N$205"),MATCH($AR16&amp;"|"&amp;M$5,INDIRECT("'"&amp;$B16&amp;"'!$AF$6:$AF$205"),0))="","",INDEX(INDIRECT("'"&amp;$B16&amp;"'!$N$6:$N$205"),MATCH($AR16&amp;"|"&amp;M$5,INDIRECT("'"&amp;$B16&amp;"'!$AF$6:$AF$205"),0))),"-"))</f>
        <v/>
      </c>
      <c r="N16" s="34">
        <f>IF(OR(AP16="",N$5="-"),"",IFERROR(IF(INDEX(INDIRECT("'"&amp;$B16&amp;"'!$N$6:$N$205"),MATCH($AR16&amp;"|"&amp;N$5,INDIRECT("'"&amp;$B16&amp;"'!$AF$6:$AF$205"),0))="","",INDEX(INDIRECT("'"&amp;$B16&amp;"'!$N$6:$N$205"),MATCH($AR16&amp;"|"&amp;N$5,INDIRECT("'"&amp;$B16&amp;"'!$AF$6:$AF$205"),0))),"-"))</f>
        <v/>
      </c>
      <c r="O16" s="34">
        <f>IF(OR(AP16="",O$5="-"),"",IFERROR(IF(INDEX(INDIRECT("'"&amp;$B16&amp;"'!$N$6:$N$205"),MATCH($AR16&amp;"|"&amp;O$5,INDIRECT("'"&amp;$B16&amp;"'!$AF$6:$AF$205"),0))="","",INDEX(INDIRECT("'"&amp;$B16&amp;"'!$N$6:$N$205"),MATCH($AR16&amp;"|"&amp;O$5,INDIRECT("'"&amp;$B16&amp;"'!$AF$6:$AF$205"),0))),"-"))</f>
        <v/>
      </c>
      <c r="P16" s="37">
        <f>IF(OR(AP16="",P$5="-"),"",IFERROR(IF(INDEX(INDIRECT("'"&amp;$B16&amp;"'!$R$6:$R$205"),MATCH($AR16&amp;"|"&amp;P$5,INDIRECT("'"&amp;$B16&amp;"'!$AF$6:$AF$205"),0))="","",INDEX(INDIRECT("'"&amp;$B16&amp;"'!$R$6:$R$205"),MATCH($AR16&amp;"|"&amp;P$5,INDIRECT("'"&amp;$B16&amp;"'!$AF$6:$AF$205"),0))),"-"))</f>
        <v/>
      </c>
      <c r="Q16" s="37">
        <f>IF(OR(AP16="",Q$5="-"),"",IFERROR(IF(INDEX(INDIRECT("'"&amp;$B16&amp;"'!$R$6:$R$205"),MATCH($AR16&amp;"|"&amp;Q$5,INDIRECT("'"&amp;$B16&amp;"'!$AF$6:$AF$205"),0))="","",INDEX(INDIRECT("'"&amp;$B16&amp;"'!$R$6:$R$205"),MATCH($AR16&amp;"|"&amp;Q$5,INDIRECT("'"&amp;$B16&amp;"'!$AF$6:$AF$205"),0))),"-"))</f>
        <v/>
      </c>
      <c r="R16" s="37">
        <f>IF(OR(AP16="",R$5="-"),"",IFERROR(IF(INDEX(INDIRECT("'"&amp;$B16&amp;"'!$R$6:$R$205"),MATCH($AR16&amp;"|"&amp;R$5,INDIRECT("'"&amp;$B16&amp;"'!$AF$6:$AF$205"),0))="","",INDEX(INDIRECT("'"&amp;$B16&amp;"'!$R$6:$R$205"),MATCH($AR16&amp;"|"&amp;R$5,INDIRECT("'"&amp;$B16&amp;"'!$AF$6:$AF$205"),0))),"-"))</f>
        <v/>
      </c>
      <c r="S16" s="37">
        <f>IF(OR(AP16="",S$5="-"),"",IFERROR(IF(INDEX(INDIRECT("'"&amp;$B16&amp;"'!$R$6:$R$205"),MATCH($AR16&amp;"|"&amp;S$5,INDIRECT("'"&amp;$B16&amp;"'!$AF$6:$AF$205"),0))="","",INDEX(INDIRECT("'"&amp;$B16&amp;"'!$R$6:$R$205"),MATCH($AR16&amp;"|"&amp;S$5,INDIRECT("'"&amp;$B16&amp;"'!$AF$6:$AF$205"),0))),"-"))</f>
        <v/>
      </c>
      <c r="T16" s="37">
        <f>IF(OR(AP16="",T$5="-"),"",IFERROR(IF(INDEX(INDIRECT("'"&amp;$B16&amp;"'!$R$6:$R$205"),MATCH($AR16&amp;"|"&amp;T$5,INDIRECT("'"&amp;$B16&amp;"'!$AF$6:$AF$205"),0))="","",INDEX(INDIRECT("'"&amp;$B16&amp;"'!$R$6:$R$205"),MATCH($AR16&amp;"|"&amp;T$5,INDIRECT("'"&amp;$B16&amp;"'!$AF$6:$AF$205"),0))),"-"))</f>
        <v/>
      </c>
      <c r="U16" s="37">
        <f>IF(OR(AP16="",U$5="-"),"",IFERROR(IF(INDEX(INDIRECT("'"&amp;$B16&amp;"'!$R$6:$R$205"),MATCH($AR16&amp;"|"&amp;U$5,INDIRECT("'"&amp;$B16&amp;"'!$AF$6:$AF$205"),0))="","",INDEX(INDIRECT("'"&amp;$B16&amp;"'!$R$6:$R$205"),MATCH($AR16&amp;"|"&amp;U$5,INDIRECT("'"&amp;$B16&amp;"'!$AF$6:$AF$205"),0))),"-"))</f>
        <v/>
      </c>
      <c r="V16" s="37">
        <f>IF(OR(AP16="",V$5="-"),"",IFERROR(IF(INDEX(INDIRECT("'"&amp;$B16&amp;"'!$R$6:$R$205"),MATCH($AR16&amp;"|"&amp;V$5,INDIRECT("'"&amp;$B16&amp;"'!$AF$6:$AF$205"),0))="","",INDEX(INDIRECT("'"&amp;$B16&amp;"'!$R$6:$R$205"),MATCH($AR16&amp;"|"&amp;V$5,INDIRECT("'"&amp;$B16&amp;"'!$AF$6:$AF$205"),0))),"-"))</f>
        <v/>
      </c>
      <c r="W16" s="37">
        <f>IF(OR(AP16="",W$5="-"),"",IFERROR(IF(INDEX(INDIRECT("'"&amp;$B16&amp;"'!$R$6:$R$205"),MATCH($AR16&amp;"|"&amp;W$5,INDIRECT("'"&amp;$B16&amp;"'!$AF$6:$AF$205"),0))="","",INDEX(INDIRECT("'"&amp;$B16&amp;"'!$R$6:$R$205"),MATCH($AR16&amp;"|"&amp;W$5,INDIRECT("'"&amp;$B16&amp;"'!$AF$6:$AF$205"),0))),"-"))</f>
        <v/>
      </c>
      <c r="X16" s="38">
        <f>IF(OR(AP16="",X$5="-"),"",IFERROR(IF(INDEX(INDIRECT("'"&amp;$B16&amp;"'!$T$6:$T$205"),MATCH($AR16&amp;"|"&amp;X$5,INDIRECT("'"&amp;$B16&amp;"'!$AF$6:$AF$205"),0))="","",INDEX(INDIRECT("'"&amp;$B16&amp;"'!$T$6:$T$205"),MATCH($AR16&amp;"|"&amp;X$5,INDIRECT("'"&amp;$B16&amp;"'!$AF$6:$AF$205"),0))),"-"))</f>
        <v/>
      </c>
      <c r="Y16" s="38">
        <f>IF(OR(AP16="",Y$5="-"),"",IFERROR(IF(INDEX(INDIRECT("'"&amp;$B16&amp;"'!$T$6:$T$205"),MATCH($AR16&amp;"|"&amp;Y$5,INDIRECT("'"&amp;$B16&amp;"'!$AF$6:$AF$205"),0))="","",INDEX(INDIRECT("'"&amp;$B16&amp;"'!$T$6:$T$205"),MATCH($AR16&amp;"|"&amp;Y$5,INDIRECT("'"&amp;$B16&amp;"'!$AF$6:$AF$205"),0))),"-"))</f>
        <v/>
      </c>
      <c r="Z16" s="38">
        <f>IF(OR(AP16="",Z$5="-"),"",IFERROR(IF(INDEX(INDIRECT("'"&amp;$B16&amp;"'!$T$6:$T$205"),MATCH($AR16&amp;"|"&amp;Z$5,INDIRECT("'"&amp;$B16&amp;"'!$AF$6:$AF$205"),0))="","",INDEX(INDIRECT("'"&amp;$B16&amp;"'!$T$6:$T$205"),MATCH($AR16&amp;"|"&amp;Z$5,INDIRECT("'"&amp;$B16&amp;"'!$AF$6:$AF$205"),0))),"-"))</f>
        <v/>
      </c>
      <c r="AA16" s="38">
        <f>IF(OR(AP16="",AA$5="-"),"",IFERROR(IF(INDEX(INDIRECT("'"&amp;$B16&amp;"'!$T$6:$T$205"),MATCH($AR16&amp;"|"&amp;AA$5,INDIRECT("'"&amp;$B16&amp;"'!$AF$6:$AF$205"),0))="","",INDEX(INDIRECT("'"&amp;$B16&amp;"'!$T$6:$T$205"),MATCH($AR16&amp;"|"&amp;AA$5,INDIRECT("'"&amp;$B16&amp;"'!$AF$6:$AF$205"),0))),"-"))</f>
        <v/>
      </c>
      <c r="AB16" s="38">
        <f>IF(OR(AP16="",AB$5="-"),"",IFERROR(IF(INDEX(INDIRECT("'"&amp;$B16&amp;"'!$T$6:$T$205"),MATCH($AR16&amp;"|"&amp;AB$5,INDIRECT("'"&amp;$B16&amp;"'!$AF$6:$AF$205"),0))="","",INDEX(INDIRECT("'"&amp;$B16&amp;"'!$T$6:$T$205"),MATCH($AR16&amp;"|"&amp;AB$5,INDIRECT("'"&amp;$B16&amp;"'!$AF$6:$AF$205"),0))),"-"))</f>
        <v/>
      </c>
      <c r="AC16" s="38">
        <f>IF(OR(AP16="",AC$5="-"),"",IFERROR(IF(INDEX(INDIRECT("'"&amp;$B16&amp;"'!$T$6:$T$205"),MATCH($AR16&amp;"|"&amp;AC$5,INDIRECT("'"&amp;$B16&amp;"'!$AF$6:$AF$205"),0))="","",INDEX(INDIRECT("'"&amp;$B16&amp;"'!$T$6:$T$205"),MATCH($AR16&amp;"|"&amp;AC$5,INDIRECT("'"&amp;$B16&amp;"'!$AF$6:$AF$205"),0))),"-"))</f>
        <v/>
      </c>
      <c r="AD16" s="38">
        <f>IF(OR(AP16="",AD$5="-"),"",IFERROR(IF(INDEX(INDIRECT("'"&amp;$B16&amp;"'!$T$6:$T$205"),MATCH($AR16&amp;"|"&amp;AD$5,INDIRECT("'"&amp;$B16&amp;"'!$AF$6:$AF$205"),0))="","",INDEX(INDIRECT("'"&amp;$B16&amp;"'!$T$6:$T$205"),MATCH($AR16&amp;"|"&amp;AD$5,INDIRECT("'"&amp;$B16&amp;"'!$AF$6:$AF$205"),0))),"-"))</f>
        <v/>
      </c>
      <c r="AE16" s="38">
        <f>IF(OR(AP16="",AE$5="-"),"",IFERROR(IF(INDEX(INDIRECT("'"&amp;$B16&amp;"'!$T$6:$T$205"),MATCH($AR16&amp;"|"&amp;AE$5,INDIRECT("'"&amp;$B16&amp;"'!$AF$6:$AF$205"),0))="","",INDEX(INDIRECT("'"&amp;$B16&amp;"'!$T$6:$T$205"),MATCH($AR16&amp;"|"&amp;AE$5,INDIRECT("'"&amp;$B16&amp;"'!$AF$6:$AF$205"),0))),"-"))</f>
        <v/>
      </c>
      <c r="AF16" s="35">
        <f>IF(AG16="","",INDEX($P$5:$W$5,MATCH(AG16,P16:W16,0)))</f>
        <v/>
      </c>
      <c r="AG16" s="37">
        <f>IF(COUNT(P16:W16)=0,"",MIN(P16:W16))</f>
        <v/>
      </c>
      <c r="AH16" s="39">
        <f>IF(AG16="","",AG16*F16)</f>
        <v/>
      </c>
      <c r="AI16" s="39">
        <f>IF(COUNT(P16:W16)&lt;2,"",(MAX(P16:W16)-MIN(P16:W16))*F16)</f>
        <v/>
      </c>
      <c r="AJ16" s="20" t="n"/>
      <c r="AP16">
        <f>IF(11&gt;MAX($AN$6:$AN$9),"",COUNTIF($AN$6:$AN$9,"&lt;"&amp;11)+1)</f>
        <v/>
      </c>
      <c r="AQ16">
        <f>IF(AP16="","",11-INDEX($AO$6:$AO$9,AP16))</f>
        <v/>
      </c>
      <c r="AR16">
        <f>IF(AP16="","",INDEX(INDIRECT("'"&amp;$B16&amp;"'!$AE$6:$AE$205"),MATCH(AQ16,INDIRECT("'"&amp;$B16&amp;"'!$AI$6:$AI$205"),0)))</f>
        <v/>
      </c>
    </row>
    <row r="17">
      <c r="A17" s="34">
        <f>IF(AP17="","",12)</f>
        <v/>
      </c>
      <c r="B17" s="35">
        <f>IF(AP17="","",INDEX($AL$6:$AL$9,AP17))</f>
        <v/>
      </c>
      <c r="C17" s="34">
        <f>IF(AP17="","",INDEX(INDIRECT("'"&amp;$B17&amp;"'!$B$6:$B$205"),MATCH($AR17,INDIRECT("'"&amp;$B17&amp;"'!$AE$6:$AE$205"),0)))</f>
        <v/>
      </c>
      <c r="D17" s="34">
        <f>IF(AP17="","",INDEX(INDIRECT("'"&amp;$B17&amp;"'!$D$6:$D$205"),MATCH($AR17,INDIRECT("'"&amp;$B17&amp;"'!$AE$6:$AE$205"),0)))</f>
        <v/>
      </c>
      <c r="E17" s="36">
        <f>IF(AP17="","",INDEX(INDIRECT("'"&amp;$B17&amp;"'!$F$6:$F$205"),MATCH($AR17,INDIRECT("'"&amp;$B17&amp;"'!$AE$6:$AE$205"),0)))</f>
        <v/>
      </c>
      <c r="F17" s="34">
        <f>IF(AP17="","",INDEX(INDIRECT("'"&amp;$B17&amp;"'!$K$6:$K$205"),MATCH($AR17,INDIRECT("'"&amp;$B17&amp;"'!$AE$6:$AE$205"),0)))</f>
        <v/>
      </c>
      <c r="G17" s="34">
        <f>IF(AP17="","",INDEX(INDIRECT("'"&amp;$B17&amp;"'!$L$6:$L$205"),MATCH($AR17,INDIRECT("'"&amp;$B17&amp;"'!$AE$6:$AE$205"),0)))</f>
        <v/>
      </c>
      <c r="H17" s="34">
        <f>IF(OR(AP17="",H$5="-"),"",IFERROR(IF(INDEX(INDIRECT("'"&amp;$B17&amp;"'!$N$6:$N$205"),MATCH($AR17&amp;"|"&amp;H$5,INDIRECT("'"&amp;$B17&amp;"'!$AF$6:$AF$205"),0))="","",INDEX(INDIRECT("'"&amp;$B17&amp;"'!$N$6:$N$205"),MATCH($AR17&amp;"|"&amp;H$5,INDIRECT("'"&amp;$B17&amp;"'!$AF$6:$AF$205"),0))),"-"))</f>
        <v/>
      </c>
      <c r="I17" s="34">
        <f>IF(OR(AP17="",I$5="-"),"",IFERROR(IF(INDEX(INDIRECT("'"&amp;$B17&amp;"'!$N$6:$N$205"),MATCH($AR17&amp;"|"&amp;I$5,INDIRECT("'"&amp;$B17&amp;"'!$AF$6:$AF$205"),0))="","",INDEX(INDIRECT("'"&amp;$B17&amp;"'!$N$6:$N$205"),MATCH($AR17&amp;"|"&amp;I$5,INDIRECT("'"&amp;$B17&amp;"'!$AF$6:$AF$205"),0))),"-"))</f>
        <v/>
      </c>
      <c r="J17" s="34">
        <f>IF(OR(AP17="",J$5="-"),"",IFERROR(IF(INDEX(INDIRECT("'"&amp;$B17&amp;"'!$N$6:$N$205"),MATCH($AR17&amp;"|"&amp;J$5,INDIRECT("'"&amp;$B17&amp;"'!$AF$6:$AF$205"),0))="","",INDEX(INDIRECT("'"&amp;$B17&amp;"'!$N$6:$N$205"),MATCH($AR17&amp;"|"&amp;J$5,INDIRECT("'"&amp;$B17&amp;"'!$AF$6:$AF$205"),0))),"-"))</f>
        <v/>
      </c>
      <c r="K17" s="34">
        <f>IF(OR(AP17="",K$5="-"),"",IFERROR(IF(INDEX(INDIRECT("'"&amp;$B17&amp;"'!$N$6:$N$205"),MATCH($AR17&amp;"|"&amp;K$5,INDIRECT("'"&amp;$B17&amp;"'!$AF$6:$AF$205"),0))="","",INDEX(INDIRECT("'"&amp;$B17&amp;"'!$N$6:$N$205"),MATCH($AR17&amp;"|"&amp;K$5,INDIRECT("'"&amp;$B17&amp;"'!$AF$6:$AF$205"),0))),"-"))</f>
        <v/>
      </c>
      <c r="L17" s="34">
        <f>IF(OR(AP17="",L$5="-"),"",IFERROR(IF(INDEX(INDIRECT("'"&amp;$B17&amp;"'!$N$6:$N$205"),MATCH($AR17&amp;"|"&amp;L$5,INDIRECT("'"&amp;$B17&amp;"'!$AF$6:$AF$205"),0))="","",INDEX(INDIRECT("'"&amp;$B17&amp;"'!$N$6:$N$205"),MATCH($AR17&amp;"|"&amp;L$5,INDIRECT("'"&amp;$B17&amp;"'!$AF$6:$AF$205"),0))),"-"))</f>
        <v/>
      </c>
      <c r="M17" s="34">
        <f>IF(OR(AP17="",M$5="-"),"",IFERROR(IF(INDEX(INDIRECT("'"&amp;$B17&amp;"'!$N$6:$N$205"),MATCH($AR17&amp;"|"&amp;M$5,INDIRECT("'"&amp;$B17&amp;"'!$AF$6:$AF$205"),0))="","",INDEX(INDIRECT("'"&amp;$B17&amp;"'!$N$6:$N$205"),MATCH($AR17&amp;"|"&amp;M$5,INDIRECT("'"&amp;$B17&amp;"'!$AF$6:$AF$205"),0))),"-"))</f>
        <v/>
      </c>
      <c r="N17" s="34">
        <f>IF(OR(AP17="",N$5="-"),"",IFERROR(IF(INDEX(INDIRECT("'"&amp;$B17&amp;"'!$N$6:$N$205"),MATCH($AR17&amp;"|"&amp;N$5,INDIRECT("'"&amp;$B17&amp;"'!$AF$6:$AF$205"),0))="","",INDEX(INDIRECT("'"&amp;$B17&amp;"'!$N$6:$N$205"),MATCH($AR17&amp;"|"&amp;N$5,INDIRECT("'"&amp;$B17&amp;"'!$AF$6:$AF$205"),0))),"-"))</f>
        <v/>
      </c>
      <c r="O17" s="34">
        <f>IF(OR(AP17="",O$5="-"),"",IFERROR(IF(INDEX(INDIRECT("'"&amp;$B17&amp;"'!$N$6:$N$205"),MATCH($AR17&amp;"|"&amp;O$5,INDIRECT("'"&amp;$B17&amp;"'!$AF$6:$AF$205"),0))="","",INDEX(INDIRECT("'"&amp;$B17&amp;"'!$N$6:$N$205"),MATCH($AR17&amp;"|"&amp;O$5,INDIRECT("'"&amp;$B17&amp;"'!$AF$6:$AF$205"),0))),"-"))</f>
        <v/>
      </c>
      <c r="P17" s="37">
        <f>IF(OR(AP17="",P$5="-"),"",IFERROR(IF(INDEX(INDIRECT("'"&amp;$B17&amp;"'!$R$6:$R$205"),MATCH($AR17&amp;"|"&amp;P$5,INDIRECT("'"&amp;$B17&amp;"'!$AF$6:$AF$205"),0))="","",INDEX(INDIRECT("'"&amp;$B17&amp;"'!$R$6:$R$205"),MATCH($AR17&amp;"|"&amp;P$5,INDIRECT("'"&amp;$B17&amp;"'!$AF$6:$AF$205"),0))),"-"))</f>
        <v/>
      </c>
      <c r="Q17" s="37">
        <f>IF(OR(AP17="",Q$5="-"),"",IFERROR(IF(INDEX(INDIRECT("'"&amp;$B17&amp;"'!$R$6:$R$205"),MATCH($AR17&amp;"|"&amp;Q$5,INDIRECT("'"&amp;$B17&amp;"'!$AF$6:$AF$205"),0))="","",INDEX(INDIRECT("'"&amp;$B17&amp;"'!$R$6:$R$205"),MATCH($AR17&amp;"|"&amp;Q$5,INDIRECT("'"&amp;$B17&amp;"'!$AF$6:$AF$205"),0))),"-"))</f>
        <v/>
      </c>
      <c r="R17" s="37">
        <f>IF(OR(AP17="",R$5="-"),"",IFERROR(IF(INDEX(INDIRECT("'"&amp;$B17&amp;"'!$R$6:$R$205"),MATCH($AR17&amp;"|"&amp;R$5,INDIRECT("'"&amp;$B17&amp;"'!$AF$6:$AF$205"),0))="","",INDEX(INDIRECT("'"&amp;$B17&amp;"'!$R$6:$R$205"),MATCH($AR17&amp;"|"&amp;R$5,INDIRECT("'"&amp;$B17&amp;"'!$AF$6:$AF$205"),0))),"-"))</f>
        <v/>
      </c>
      <c r="S17" s="37">
        <f>IF(OR(AP17="",S$5="-"),"",IFERROR(IF(INDEX(INDIRECT("'"&amp;$B17&amp;"'!$R$6:$R$205"),MATCH($AR17&amp;"|"&amp;S$5,INDIRECT("'"&amp;$B17&amp;"'!$AF$6:$AF$205"),0))="","",INDEX(INDIRECT("'"&amp;$B17&amp;"'!$R$6:$R$205"),MATCH($AR17&amp;"|"&amp;S$5,INDIRECT("'"&amp;$B17&amp;"'!$AF$6:$AF$205"),0))),"-"))</f>
        <v/>
      </c>
      <c r="T17" s="37">
        <f>IF(OR(AP17="",T$5="-"),"",IFERROR(IF(INDEX(INDIRECT("'"&amp;$B17&amp;"'!$R$6:$R$205"),MATCH($AR17&amp;"|"&amp;T$5,INDIRECT("'"&amp;$B17&amp;"'!$AF$6:$AF$205"),0))="","",INDEX(INDIRECT("'"&amp;$B17&amp;"'!$R$6:$R$205"),MATCH($AR17&amp;"|"&amp;T$5,INDIRECT("'"&amp;$B17&amp;"'!$AF$6:$AF$205"),0))),"-"))</f>
        <v/>
      </c>
      <c r="U17" s="37">
        <f>IF(OR(AP17="",U$5="-"),"",IFERROR(IF(INDEX(INDIRECT("'"&amp;$B17&amp;"'!$R$6:$R$205"),MATCH($AR17&amp;"|"&amp;U$5,INDIRECT("'"&amp;$B17&amp;"'!$AF$6:$AF$205"),0))="","",INDEX(INDIRECT("'"&amp;$B17&amp;"'!$R$6:$R$205"),MATCH($AR17&amp;"|"&amp;U$5,INDIRECT("'"&amp;$B17&amp;"'!$AF$6:$AF$205"),0))),"-"))</f>
        <v/>
      </c>
      <c r="V17" s="37">
        <f>IF(OR(AP17="",V$5="-"),"",IFERROR(IF(INDEX(INDIRECT("'"&amp;$B17&amp;"'!$R$6:$R$205"),MATCH($AR17&amp;"|"&amp;V$5,INDIRECT("'"&amp;$B17&amp;"'!$AF$6:$AF$205"),0))="","",INDEX(INDIRECT("'"&amp;$B17&amp;"'!$R$6:$R$205"),MATCH($AR17&amp;"|"&amp;V$5,INDIRECT("'"&amp;$B17&amp;"'!$AF$6:$AF$205"),0))),"-"))</f>
        <v/>
      </c>
      <c r="W17" s="37">
        <f>IF(OR(AP17="",W$5="-"),"",IFERROR(IF(INDEX(INDIRECT("'"&amp;$B17&amp;"'!$R$6:$R$205"),MATCH($AR17&amp;"|"&amp;W$5,INDIRECT("'"&amp;$B17&amp;"'!$AF$6:$AF$205"),0))="","",INDEX(INDIRECT("'"&amp;$B17&amp;"'!$R$6:$R$205"),MATCH($AR17&amp;"|"&amp;W$5,INDIRECT("'"&amp;$B17&amp;"'!$AF$6:$AF$205"),0))),"-"))</f>
        <v/>
      </c>
      <c r="X17" s="38">
        <f>IF(OR(AP17="",X$5="-"),"",IFERROR(IF(INDEX(INDIRECT("'"&amp;$B17&amp;"'!$T$6:$T$205"),MATCH($AR17&amp;"|"&amp;X$5,INDIRECT("'"&amp;$B17&amp;"'!$AF$6:$AF$205"),0))="","",INDEX(INDIRECT("'"&amp;$B17&amp;"'!$T$6:$T$205"),MATCH($AR17&amp;"|"&amp;X$5,INDIRECT("'"&amp;$B17&amp;"'!$AF$6:$AF$205"),0))),"-"))</f>
        <v/>
      </c>
      <c r="Y17" s="38">
        <f>IF(OR(AP17="",Y$5="-"),"",IFERROR(IF(INDEX(INDIRECT("'"&amp;$B17&amp;"'!$T$6:$T$205"),MATCH($AR17&amp;"|"&amp;Y$5,INDIRECT("'"&amp;$B17&amp;"'!$AF$6:$AF$205"),0))="","",INDEX(INDIRECT("'"&amp;$B17&amp;"'!$T$6:$T$205"),MATCH($AR17&amp;"|"&amp;Y$5,INDIRECT("'"&amp;$B17&amp;"'!$AF$6:$AF$205"),0))),"-"))</f>
        <v/>
      </c>
      <c r="Z17" s="38">
        <f>IF(OR(AP17="",Z$5="-"),"",IFERROR(IF(INDEX(INDIRECT("'"&amp;$B17&amp;"'!$T$6:$T$205"),MATCH($AR17&amp;"|"&amp;Z$5,INDIRECT("'"&amp;$B17&amp;"'!$AF$6:$AF$205"),0))="","",INDEX(INDIRECT("'"&amp;$B17&amp;"'!$T$6:$T$205"),MATCH($AR17&amp;"|"&amp;Z$5,INDIRECT("'"&amp;$B17&amp;"'!$AF$6:$AF$205"),0))),"-"))</f>
        <v/>
      </c>
      <c r="AA17" s="38">
        <f>IF(OR(AP17="",AA$5="-"),"",IFERROR(IF(INDEX(INDIRECT("'"&amp;$B17&amp;"'!$T$6:$T$205"),MATCH($AR17&amp;"|"&amp;AA$5,INDIRECT("'"&amp;$B17&amp;"'!$AF$6:$AF$205"),0))="","",INDEX(INDIRECT("'"&amp;$B17&amp;"'!$T$6:$T$205"),MATCH($AR17&amp;"|"&amp;AA$5,INDIRECT("'"&amp;$B17&amp;"'!$AF$6:$AF$205"),0))),"-"))</f>
        <v/>
      </c>
      <c r="AB17" s="38">
        <f>IF(OR(AP17="",AB$5="-"),"",IFERROR(IF(INDEX(INDIRECT("'"&amp;$B17&amp;"'!$T$6:$T$205"),MATCH($AR17&amp;"|"&amp;AB$5,INDIRECT("'"&amp;$B17&amp;"'!$AF$6:$AF$205"),0))="","",INDEX(INDIRECT("'"&amp;$B17&amp;"'!$T$6:$T$205"),MATCH($AR17&amp;"|"&amp;AB$5,INDIRECT("'"&amp;$B17&amp;"'!$AF$6:$AF$205"),0))),"-"))</f>
        <v/>
      </c>
      <c r="AC17" s="38">
        <f>IF(OR(AP17="",AC$5="-"),"",IFERROR(IF(INDEX(INDIRECT("'"&amp;$B17&amp;"'!$T$6:$T$205"),MATCH($AR17&amp;"|"&amp;AC$5,INDIRECT("'"&amp;$B17&amp;"'!$AF$6:$AF$205"),0))="","",INDEX(INDIRECT("'"&amp;$B17&amp;"'!$T$6:$T$205"),MATCH($AR17&amp;"|"&amp;AC$5,INDIRECT("'"&amp;$B17&amp;"'!$AF$6:$AF$205"),0))),"-"))</f>
        <v/>
      </c>
      <c r="AD17" s="38">
        <f>IF(OR(AP17="",AD$5="-"),"",IFERROR(IF(INDEX(INDIRECT("'"&amp;$B17&amp;"'!$T$6:$T$205"),MATCH($AR17&amp;"|"&amp;AD$5,INDIRECT("'"&amp;$B17&amp;"'!$AF$6:$AF$205"),0))="","",INDEX(INDIRECT("'"&amp;$B17&amp;"'!$T$6:$T$205"),MATCH($AR17&amp;"|"&amp;AD$5,INDIRECT("'"&amp;$B17&amp;"'!$AF$6:$AF$205"),0))),"-"))</f>
        <v/>
      </c>
      <c r="AE17" s="38">
        <f>IF(OR(AP17="",AE$5="-"),"",IFERROR(IF(INDEX(INDIRECT("'"&amp;$B17&amp;"'!$T$6:$T$205"),MATCH($AR17&amp;"|"&amp;AE$5,INDIRECT("'"&amp;$B17&amp;"'!$AF$6:$AF$205"),0))="","",INDEX(INDIRECT("'"&amp;$B17&amp;"'!$T$6:$T$205"),MATCH($AR17&amp;"|"&amp;AE$5,INDIRECT("'"&amp;$B17&amp;"'!$AF$6:$AF$205"),0))),"-"))</f>
        <v/>
      </c>
      <c r="AF17" s="35">
        <f>IF(AG17="","",INDEX($P$5:$W$5,MATCH(AG17,P17:W17,0)))</f>
        <v/>
      </c>
      <c r="AG17" s="37">
        <f>IF(COUNT(P17:W17)=0,"",MIN(P17:W17))</f>
        <v/>
      </c>
      <c r="AH17" s="39">
        <f>IF(AG17="","",AG17*F17)</f>
        <v/>
      </c>
      <c r="AI17" s="39">
        <f>IF(COUNT(P17:W17)&lt;2,"",(MAX(P17:W17)-MIN(P17:W17))*F17)</f>
        <v/>
      </c>
      <c r="AJ17" s="20" t="n"/>
      <c r="AP17">
        <f>IF(12&gt;MAX($AN$6:$AN$9),"",COUNTIF($AN$6:$AN$9,"&lt;"&amp;12)+1)</f>
        <v/>
      </c>
      <c r="AQ17">
        <f>IF(AP17="","",12-INDEX($AO$6:$AO$9,AP17))</f>
        <v/>
      </c>
      <c r="AR17">
        <f>IF(AP17="","",INDEX(INDIRECT("'"&amp;$B17&amp;"'!$AE$6:$AE$205"),MATCH(AQ17,INDIRECT("'"&amp;$B17&amp;"'!$AI$6:$AI$205"),0)))</f>
        <v/>
      </c>
    </row>
    <row r="18">
      <c r="A18" s="34">
        <f>IF(AP18="","",13)</f>
        <v/>
      </c>
      <c r="B18" s="35">
        <f>IF(AP18="","",INDEX($AL$6:$AL$9,AP18))</f>
        <v/>
      </c>
      <c r="C18" s="34">
        <f>IF(AP18="","",INDEX(INDIRECT("'"&amp;$B18&amp;"'!$B$6:$B$205"),MATCH($AR18,INDIRECT("'"&amp;$B18&amp;"'!$AE$6:$AE$205"),0)))</f>
        <v/>
      </c>
      <c r="D18" s="34">
        <f>IF(AP18="","",INDEX(INDIRECT("'"&amp;$B18&amp;"'!$D$6:$D$205"),MATCH($AR18,INDIRECT("'"&amp;$B18&amp;"'!$AE$6:$AE$205"),0)))</f>
        <v/>
      </c>
      <c r="E18" s="36">
        <f>IF(AP18="","",INDEX(INDIRECT("'"&amp;$B18&amp;"'!$F$6:$F$205"),MATCH($AR18,INDIRECT("'"&amp;$B18&amp;"'!$AE$6:$AE$205"),0)))</f>
        <v/>
      </c>
      <c r="F18" s="34">
        <f>IF(AP18="","",INDEX(INDIRECT("'"&amp;$B18&amp;"'!$K$6:$K$205"),MATCH($AR18,INDIRECT("'"&amp;$B18&amp;"'!$AE$6:$AE$205"),0)))</f>
        <v/>
      </c>
      <c r="G18" s="34">
        <f>IF(AP18="","",INDEX(INDIRECT("'"&amp;$B18&amp;"'!$L$6:$L$205"),MATCH($AR18,INDIRECT("'"&amp;$B18&amp;"'!$AE$6:$AE$205"),0)))</f>
        <v/>
      </c>
      <c r="H18" s="34">
        <f>IF(OR(AP18="",H$5="-"),"",IFERROR(IF(INDEX(INDIRECT("'"&amp;$B18&amp;"'!$N$6:$N$205"),MATCH($AR18&amp;"|"&amp;H$5,INDIRECT("'"&amp;$B18&amp;"'!$AF$6:$AF$205"),0))="","",INDEX(INDIRECT("'"&amp;$B18&amp;"'!$N$6:$N$205"),MATCH($AR18&amp;"|"&amp;H$5,INDIRECT("'"&amp;$B18&amp;"'!$AF$6:$AF$205"),0))),"-"))</f>
        <v/>
      </c>
      <c r="I18" s="34">
        <f>IF(OR(AP18="",I$5="-"),"",IFERROR(IF(INDEX(INDIRECT("'"&amp;$B18&amp;"'!$N$6:$N$205"),MATCH($AR18&amp;"|"&amp;I$5,INDIRECT("'"&amp;$B18&amp;"'!$AF$6:$AF$205"),0))="","",INDEX(INDIRECT("'"&amp;$B18&amp;"'!$N$6:$N$205"),MATCH($AR18&amp;"|"&amp;I$5,INDIRECT("'"&amp;$B18&amp;"'!$AF$6:$AF$205"),0))),"-"))</f>
        <v/>
      </c>
      <c r="J18" s="34">
        <f>IF(OR(AP18="",J$5="-"),"",IFERROR(IF(INDEX(INDIRECT("'"&amp;$B18&amp;"'!$N$6:$N$205"),MATCH($AR18&amp;"|"&amp;J$5,INDIRECT("'"&amp;$B18&amp;"'!$AF$6:$AF$205"),0))="","",INDEX(INDIRECT("'"&amp;$B18&amp;"'!$N$6:$N$205"),MATCH($AR18&amp;"|"&amp;J$5,INDIRECT("'"&amp;$B18&amp;"'!$AF$6:$AF$205"),0))),"-"))</f>
        <v/>
      </c>
      <c r="K18" s="34">
        <f>IF(OR(AP18="",K$5="-"),"",IFERROR(IF(INDEX(INDIRECT("'"&amp;$B18&amp;"'!$N$6:$N$205"),MATCH($AR18&amp;"|"&amp;K$5,INDIRECT("'"&amp;$B18&amp;"'!$AF$6:$AF$205"),0))="","",INDEX(INDIRECT("'"&amp;$B18&amp;"'!$N$6:$N$205"),MATCH($AR18&amp;"|"&amp;K$5,INDIRECT("'"&amp;$B18&amp;"'!$AF$6:$AF$205"),0))),"-"))</f>
        <v/>
      </c>
      <c r="L18" s="34">
        <f>IF(OR(AP18="",L$5="-"),"",IFERROR(IF(INDEX(INDIRECT("'"&amp;$B18&amp;"'!$N$6:$N$205"),MATCH($AR18&amp;"|"&amp;L$5,INDIRECT("'"&amp;$B18&amp;"'!$AF$6:$AF$205"),0))="","",INDEX(INDIRECT("'"&amp;$B18&amp;"'!$N$6:$N$205"),MATCH($AR18&amp;"|"&amp;L$5,INDIRECT("'"&amp;$B18&amp;"'!$AF$6:$AF$205"),0))),"-"))</f>
        <v/>
      </c>
      <c r="M18" s="34">
        <f>IF(OR(AP18="",M$5="-"),"",IFERROR(IF(INDEX(INDIRECT("'"&amp;$B18&amp;"'!$N$6:$N$205"),MATCH($AR18&amp;"|"&amp;M$5,INDIRECT("'"&amp;$B18&amp;"'!$AF$6:$AF$205"),0))="","",INDEX(INDIRECT("'"&amp;$B18&amp;"'!$N$6:$N$205"),MATCH($AR18&amp;"|"&amp;M$5,INDIRECT("'"&amp;$B18&amp;"'!$AF$6:$AF$205"),0))),"-"))</f>
        <v/>
      </c>
      <c r="N18" s="34">
        <f>IF(OR(AP18="",N$5="-"),"",IFERROR(IF(INDEX(INDIRECT("'"&amp;$B18&amp;"'!$N$6:$N$205"),MATCH($AR18&amp;"|"&amp;N$5,INDIRECT("'"&amp;$B18&amp;"'!$AF$6:$AF$205"),0))="","",INDEX(INDIRECT("'"&amp;$B18&amp;"'!$N$6:$N$205"),MATCH($AR18&amp;"|"&amp;N$5,INDIRECT("'"&amp;$B18&amp;"'!$AF$6:$AF$205"),0))),"-"))</f>
        <v/>
      </c>
      <c r="O18" s="34">
        <f>IF(OR(AP18="",O$5="-"),"",IFERROR(IF(INDEX(INDIRECT("'"&amp;$B18&amp;"'!$N$6:$N$205"),MATCH($AR18&amp;"|"&amp;O$5,INDIRECT("'"&amp;$B18&amp;"'!$AF$6:$AF$205"),0))="","",INDEX(INDIRECT("'"&amp;$B18&amp;"'!$N$6:$N$205"),MATCH($AR18&amp;"|"&amp;O$5,INDIRECT("'"&amp;$B18&amp;"'!$AF$6:$AF$205"),0))),"-"))</f>
        <v/>
      </c>
      <c r="P18" s="37">
        <f>IF(OR(AP18="",P$5="-"),"",IFERROR(IF(INDEX(INDIRECT("'"&amp;$B18&amp;"'!$R$6:$R$205"),MATCH($AR18&amp;"|"&amp;P$5,INDIRECT("'"&amp;$B18&amp;"'!$AF$6:$AF$205"),0))="","",INDEX(INDIRECT("'"&amp;$B18&amp;"'!$R$6:$R$205"),MATCH($AR18&amp;"|"&amp;P$5,INDIRECT("'"&amp;$B18&amp;"'!$AF$6:$AF$205"),0))),"-"))</f>
        <v/>
      </c>
      <c r="Q18" s="37">
        <f>IF(OR(AP18="",Q$5="-"),"",IFERROR(IF(INDEX(INDIRECT("'"&amp;$B18&amp;"'!$R$6:$R$205"),MATCH($AR18&amp;"|"&amp;Q$5,INDIRECT("'"&amp;$B18&amp;"'!$AF$6:$AF$205"),0))="","",INDEX(INDIRECT("'"&amp;$B18&amp;"'!$R$6:$R$205"),MATCH($AR18&amp;"|"&amp;Q$5,INDIRECT("'"&amp;$B18&amp;"'!$AF$6:$AF$205"),0))),"-"))</f>
        <v/>
      </c>
      <c r="R18" s="37">
        <f>IF(OR(AP18="",R$5="-"),"",IFERROR(IF(INDEX(INDIRECT("'"&amp;$B18&amp;"'!$R$6:$R$205"),MATCH($AR18&amp;"|"&amp;R$5,INDIRECT("'"&amp;$B18&amp;"'!$AF$6:$AF$205"),0))="","",INDEX(INDIRECT("'"&amp;$B18&amp;"'!$R$6:$R$205"),MATCH($AR18&amp;"|"&amp;R$5,INDIRECT("'"&amp;$B18&amp;"'!$AF$6:$AF$205"),0))),"-"))</f>
        <v/>
      </c>
      <c r="S18" s="37">
        <f>IF(OR(AP18="",S$5="-"),"",IFERROR(IF(INDEX(INDIRECT("'"&amp;$B18&amp;"'!$R$6:$R$205"),MATCH($AR18&amp;"|"&amp;S$5,INDIRECT("'"&amp;$B18&amp;"'!$AF$6:$AF$205"),0))="","",INDEX(INDIRECT("'"&amp;$B18&amp;"'!$R$6:$R$205"),MATCH($AR18&amp;"|"&amp;S$5,INDIRECT("'"&amp;$B18&amp;"'!$AF$6:$AF$205"),0))),"-"))</f>
        <v/>
      </c>
      <c r="T18" s="37">
        <f>IF(OR(AP18="",T$5="-"),"",IFERROR(IF(INDEX(INDIRECT("'"&amp;$B18&amp;"'!$R$6:$R$205"),MATCH($AR18&amp;"|"&amp;T$5,INDIRECT("'"&amp;$B18&amp;"'!$AF$6:$AF$205"),0))="","",INDEX(INDIRECT("'"&amp;$B18&amp;"'!$R$6:$R$205"),MATCH($AR18&amp;"|"&amp;T$5,INDIRECT("'"&amp;$B18&amp;"'!$AF$6:$AF$205"),0))),"-"))</f>
        <v/>
      </c>
      <c r="U18" s="37">
        <f>IF(OR(AP18="",U$5="-"),"",IFERROR(IF(INDEX(INDIRECT("'"&amp;$B18&amp;"'!$R$6:$R$205"),MATCH($AR18&amp;"|"&amp;U$5,INDIRECT("'"&amp;$B18&amp;"'!$AF$6:$AF$205"),0))="","",INDEX(INDIRECT("'"&amp;$B18&amp;"'!$R$6:$R$205"),MATCH($AR18&amp;"|"&amp;U$5,INDIRECT("'"&amp;$B18&amp;"'!$AF$6:$AF$205"),0))),"-"))</f>
        <v/>
      </c>
      <c r="V18" s="37">
        <f>IF(OR(AP18="",V$5="-"),"",IFERROR(IF(INDEX(INDIRECT("'"&amp;$B18&amp;"'!$R$6:$R$205"),MATCH($AR18&amp;"|"&amp;V$5,INDIRECT("'"&amp;$B18&amp;"'!$AF$6:$AF$205"),0))="","",INDEX(INDIRECT("'"&amp;$B18&amp;"'!$R$6:$R$205"),MATCH($AR18&amp;"|"&amp;V$5,INDIRECT("'"&amp;$B18&amp;"'!$AF$6:$AF$205"),0))),"-"))</f>
        <v/>
      </c>
      <c r="W18" s="37">
        <f>IF(OR(AP18="",W$5="-"),"",IFERROR(IF(INDEX(INDIRECT("'"&amp;$B18&amp;"'!$R$6:$R$205"),MATCH($AR18&amp;"|"&amp;W$5,INDIRECT("'"&amp;$B18&amp;"'!$AF$6:$AF$205"),0))="","",INDEX(INDIRECT("'"&amp;$B18&amp;"'!$R$6:$R$205"),MATCH($AR18&amp;"|"&amp;W$5,INDIRECT("'"&amp;$B18&amp;"'!$AF$6:$AF$205"),0))),"-"))</f>
        <v/>
      </c>
      <c r="X18" s="38">
        <f>IF(OR(AP18="",X$5="-"),"",IFERROR(IF(INDEX(INDIRECT("'"&amp;$B18&amp;"'!$T$6:$T$205"),MATCH($AR18&amp;"|"&amp;X$5,INDIRECT("'"&amp;$B18&amp;"'!$AF$6:$AF$205"),0))="","",INDEX(INDIRECT("'"&amp;$B18&amp;"'!$T$6:$T$205"),MATCH($AR18&amp;"|"&amp;X$5,INDIRECT("'"&amp;$B18&amp;"'!$AF$6:$AF$205"),0))),"-"))</f>
        <v/>
      </c>
      <c r="Y18" s="38">
        <f>IF(OR(AP18="",Y$5="-"),"",IFERROR(IF(INDEX(INDIRECT("'"&amp;$B18&amp;"'!$T$6:$T$205"),MATCH($AR18&amp;"|"&amp;Y$5,INDIRECT("'"&amp;$B18&amp;"'!$AF$6:$AF$205"),0))="","",INDEX(INDIRECT("'"&amp;$B18&amp;"'!$T$6:$T$205"),MATCH($AR18&amp;"|"&amp;Y$5,INDIRECT("'"&amp;$B18&amp;"'!$AF$6:$AF$205"),0))),"-"))</f>
        <v/>
      </c>
      <c r="Z18" s="38">
        <f>IF(OR(AP18="",Z$5="-"),"",IFERROR(IF(INDEX(INDIRECT("'"&amp;$B18&amp;"'!$T$6:$T$205"),MATCH($AR18&amp;"|"&amp;Z$5,INDIRECT("'"&amp;$B18&amp;"'!$AF$6:$AF$205"),0))="","",INDEX(INDIRECT("'"&amp;$B18&amp;"'!$T$6:$T$205"),MATCH($AR18&amp;"|"&amp;Z$5,INDIRECT("'"&amp;$B18&amp;"'!$AF$6:$AF$205"),0))),"-"))</f>
        <v/>
      </c>
      <c r="AA18" s="38">
        <f>IF(OR(AP18="",AA$5="-"),"",IFERROR(IF(INDEX(INDIRECT("'"&amp;$B18&amp;"'!$T$6:$T$205"),MATCH($AR18&amp;"|"&amp;AA$5,INDIRECT("'"&amp;$B18&amp;"'!$AF$6:$AF$205"),0))="","",INDEX(INDIRECT("'"&amp;$B18&amp;"'!$T$6:$T$205"),MATCH($AR18&amp;"|"&amp;AA$5,INDIRECT("'"&amp;$B18&amp;"'!$AF$6:$AF$205"),0))),"-"))</f>
        <v/>
      </c>
      <c r="AB18" s="38">
        <f>IF(OR(AP18="",AB$5="-"),"",IFERROR(IF(INDEX(INDIRECT("'"&amp;$B18&amp;"'!$T$6:$T$205"),MATCH($AR18&amp;"|"&amp;AB$5,INDIRECT("'"&amp;$B18&amp;"'!$AF$6:$AF$205"),0))="","",INDEX(INDIRECT("'"&amp;$B18&amp;"'!$T$6:$T$205"),MATCH($AR18&amp;"|"&amp;AB$5,INDIRECT("'"&amp;$B18&amp;"'!$AF$6:$AF$205"),0))),"-"))</f>
        <v/>
      </c>
      <c r="AC18" s="38">
        <f>IF(OR(AP18="",AC$5="-"),"",IFERROR(IF(INDEX(INDIRECT("'"&amp;$B18&amp;"'!$T$6:$T$205"),MATCH($AR18&amp;"|"&amp;AC$5,INDIRECT("'"&amp;$B18&amp;"'!$AF$6:$AF$205"),0))="","",INDEX(INDIRECT("'"&amp;$B18&amp;"'!$T$6:$T$205"),MATCH($AR18&amp;"|"&amp;AC$5,INDIRECT("'"&amp;$B18&amp;"'!$AF$6:$AF$205"),0))),"-"))</f>
        <v/>
      </c>
      <c r="AD18" s="38">
        <f>IF(OR(AP18="",AD$5="-"),"",IFERROR(IF(INDEX(INDIRECT("'"&amp;$B18&amp;"'!$T$6:$T$205"),MATCH($AR18&amp;"|"&amp;AD$5,INDIRECT("'"&amp;$B18&amp;"'!$AF$6:$AF$205"),0))="","",INDEX(INDIRECT("'"&amp;$B18&amp;"'!$T$6:$T$205"),MATCH($AR18&amp;"|"&amp;AD$5,INDIRECT("'"&amp;$B18&amp;"'!$AF$6:$AF$205"),0))),"-"))</f>
        <v/>
      </c>
      <c r="AE18" s="38">
        <f>IF(OR(AP18="",AE$5="-"),"",IFERROR(IF(INDEX(INDIRECT("'"&amp;$B18&amp;"'!$T$6:$T$205"),MATCH($AR18&amp;"|"&amp;AE$5,INDIRECT("'"&amp;$B18&amp;"'!$AF$6:$AF$205"),0))="","",INDEX(INDIRECT("'"&amp;$B18&amp;"'!$T$6:$T$205"),MATCH($AR18&amp;"|"&amp;AE$5,INDIRECT("'"&amp;$B18&amp;"'!$AF$6:$AF$205"),0))),"-"))</f>
        <v/>
      </c>
      <c r="AF18" s="35">
        <f>IF(AG18="","",INDEX($P$5:$W$5,MATCH(AG18,P18:W18,0)))</f>
        <v/>
      </c>
      <c r="AG18" s="37">
        <f>IF(COUNT(P18:W18)=0,"",MIN(P18:W18))</f>
        <v/>
      </c>
      <c r="AH18" s="39">
        <f>IF(AG18="","",AG18*F18)</f>
        <v/>
      </c>
      <c r="AI18" s="39">
        <f>IF(COUNT(P18:W18)&lt;2,"",(MAX(P18:W18)-MIN(P18:W18))*F18)</f>
        <v/>
      </c>
      <c r="AJ18" s="20" t="n"/>
      <c r="AP18">
        <f>IF(13&gt;MAX($AN$6:$AN$9),"",COUNTIF($AN$6:$AN$9,"&lt;"&amp;13)+1)</f>
        <v/>
      </c>
      <c r="AQ18">
        <f>IF(AP18="","",13-INDEX($AO$6:$AO$9,AP18))</f>
        <v/>
      </c>
      <c r="AR18">
        <f>IF(AP18="","",INDEX(INDIRECT("'"&amp;$B18&amp;"'!$AE$6:$AE$205"),MATCH(AQ18,INDIRECT("'"&amp;$B18&amp;"'!$AI$6:$AI$205"),0)))</f>
        <v/>
      </c>
    </row>
    <row r="19">
      <c r="A19" s="34">
        <f>IF(AP19="","",14)</f>
        <v/>
      </c>
      <c r="B19" s="35">
        <f>IF(AP19="","",INDEX($AL$6:$AL$9,AP19))</f>
        <v/>
      </c>
      <c r="C19" s="34">
        <f>IF(AP19="","",INDEX(INDIRECT("'"&amp;$B19&amp;"'!$B$6:$B$205"),MATCH($AR19,INDIRECT("'"&amp;$B19&amp;"'!$AE$6:$AE$205"),0)))</f>
        <v/>
      </c>
      <c r="D19" s="34">
        <f>IF(AP19="","",INDEX(INDIRECT("'"&amp;$B19&amp;"'!$D$6:$D$205"),MATCH($AR19,INDIRECT("'"&amp;$B19&amp;"'!$AE$6:$AE$205"),0)))</f>
        <v/>
      </c>
      <c r="E19" s="36">
        <f>IF(AP19="","",INDEX(INDIRECT("'"&amp;$B19&amp;"'!$F$6:$F$205"),MATCH($AR19,INDIRECT("'"&amp;$B19&amp;"'!$AE$6:$AE$205"),0)))</f>
        <v/>
      </c>
      <c r="F19" s="34">
        <f>IF(AP19="","",INDEX(INDIRECT("'"&amp;$B19&amp;"'!$K$6:$K$205"),MATCH($AR19,INDIRECT("'"&amp;$B19&amp;"'!$AE$6:$AE$205"),0)))</f>
        <v/>
      </c>
      <c r="G19" s="34">
        <f>IF(AP19="","",INDEX(INDIRECT("'"&amp;$B19&amp;"'!$L$6:$L$205"),MATCH($AR19,INDIRECT("'"&amp;$B19&amp;"'!$AE$6:$AE$205"),0)))</f>
        <v/>
      </c>
      <c r="H19" s="34">
        <f>IF(OR(AP19="",H$5="-"),"",IFERROR(IF(INDEX(INDIRECT("'"&amp;$B19&amp;"'!$N$6:$N$205"),MATCH($AR19&amp;"|"&amp;H$5,INDIRECT("'"&amp;$B19&amp;"'!$AF$6:$AF$205"),0))="","",INDEX(INDIRECT("'"&amp;$B19&amp;"'!$N$6:$N$205"),MATCH($AR19&amp;"|"&amp;H$5,INDIRECT("'"&amp;$B19&amp;"'!$AF$6:$AF$205"),0))),"-"))</f>
        <v/>
      </c>
      <c r="I19" s="34">
        <f>IF(OR(AP19="",I$5="-"),"",IFERROR(IF(INDEX(INDIRECT("'"&amp;$B19&amp;"'!$N$6:$N$205"),MATCH($AR19&amp;"|"&amp;I$5,INDIRECT("'"&amp;$B19&amp;"'!$AF$6:$AF$205"),0))="","",INDEX(INDIRECT("'"&amp;$B19&amp;"'!$N$6:$N$205"),MATCH($AR19&amp;"|"&amp;I$5,INDIRECT("'"&amp;$B19&amp;"'!$AF$6:$AF$205"),0))),"-"))</f>
        <v/>
      </c>
      <c r="J19" s="34">
        <f>IF(OR(AP19="",J$5="-"),"",IFERROR(IF(INDEX(INDIRECT("'"&amp;$B19&amp;"'!$N$6:$N$205"),MATCH($AR19&amp;"|"&amp;J$5,INDIRECT("'"&amp;$B19&amp;"'!$AF$6:$AF$205"),0))="","",INDEX(INDIRECT("'"&amp;$B19&amp;"'!$N$6:$N$205"),MATCH($AR19&amp;"|"&amp;J$5,INDIRECT("'"&amp;$B19&amp;"'!$AF$6:$AF$205"),0))),"-"))</f>
        <v/>
      </c>
      <c r="K19" s="34">
        <f>IF(OR(AP19="",K$5="-"),"",IFERROR(IF(INDEX(INDIRECT("'"&amp;$B19&amp;"'!$N$6:$N$205"),MATCH($AR19&amp;"|"&amp;K$5,INDIRECT("'"&amp;$B19&amp;"'!$AF$6:$AF$205"),0))="","",INDEX(INDIRECT("'"&amp;$B19&amp;"'!$N$6:$N$205"),MATCH($AR19&amp;"|"&amp;K$5,INDIRECT("'"&amp;$B19&amp;"'!$AF$6:$AF$205"),0))),"-"))</f>
        <v/>
      </c>
      <c r="L19" s="34">
        <f>IF(OR(AP19="",L$5="-"),"",IFERROR(IF(INDEX(INDIRECT("'"&amp;$B19&amp;"'!$N$6:$N$205"),MATCH($AR19&amp;"|"&amp;L$5,INDIRECT("'"&amp;$B19&amp;"'!$AF$6:$AF$205"),0))="","",INDEX(INDIRECT("'"&amp;$B19&amp;"'!$N$6:$N$205"),MATCH($AR19&amp;"|"&amp;L$5,INDIRECT("'"&amp;$B19&amp;"'!$AF$6:$AF$205"),0))),"-"))</f>
        <v/>
      </c>
      <c r="M19" s="34">
        <f>IF(OR(AP19="",M$5="-"),"",IFERROR(IF(INDEX(INDIRECT("'"&amp;$B19&amp;"'!$N$6:$N$205"),MATCH($AR19&amp;"|"&amp;M$5,INDIRECT("'"&amp;$B19&amp;"'!$AF$6:$AF$205"),0))="","",INDEX(INDIRECT("'"&amp;$B19&amp;"'!$N$6:$N$205"),MATCH($AR19&amp;"|"&amp;M$5,INDIRECT("'"&amp;$B19&amp;"'!$AF$6:$AF$205"),0))),"-"))</f>
        <v/>
      </c>
      <c r="N19" s="34">
        <f>IF(OR(AP19="",N$5="-"),"",IFERROR(IF(INDEX(INDIRECT("'"&amp;$B19&amp;"'!$N$6:$N$205"),MATCH($AR19&amp;"|"&amp;N$5,INDIRECT("'"&amp;$B19&amp;"'!$AF$6:$AF$205"),0))="","",INDEX(INDIRECT("'"&amp;$B19&amp;"'!$N$6:$N$205"),MATCH($AR19&amp;"|"&amp;N$5,INDIRECT("'"&amp;$B19&amp;"'!$AF$6:$AF$205"),0))),"-"))</f>
        <v/>
      </c>
      <c r="O19" s="34">
        <f>IF(OR(AP19="",O$5="-"),"",IFERROR(IF(INDEX(INDIRECT("'"&amp;$B19&amp;"'!$N$6:$N$205"),MATCH($AR19&amp;"|"&amp;O$5,INDIRECT("'"&amp;$B19&amp;"'!$AF$6:$AF$205"),0))="","",INDEX(INDIRECT("'"&amp;$B19&amp;"'!$N$6:$N$205"),MATCH($AR19&amp;"|"&amp;O$5,INDIRECT("'"&amp;$B19&amp;"'!$AF$6:$AF$205"),0))),"-"))</f>
        <v/>
      </c>
      <c r="P19" s="37">
        <f>IF(OR(AP19="",P$5="-"),"",IFERROR(IF(INDEX(INDIRECT("'"&amp;$B19&amp;"'!$R$6:$R$205"),MATCH($AR19&amp;"|"&amp;P$5,INDIRECT("'"&amp;$B19&amp;"'!$AF$6:$AF$205"),0))="","",INDEX(INDIRECT("'"&amp;$B19&amp;"'!$R$6:$R$205"),MATCH($AR19&amp;"|"&amp;P$5,INDIRECT("'"&amp;$B19&amp;"'!$AF$6:$AF$205"),0))),"-"))</f>
        <v/>
      </c>
      <c r="Q19" s="37">
        <f>IF(OR(AP19="",Q$5="-"),"",IFERROR(IF(INDEX(INDIRECT("'"&amp;$B19&amp;"'!$R$6:$R$205"),MATCH($AR19&amp;"|"&amp;Q$5,INDIRECT("'"&amp;$B19&amp;"'!$AF$6:$AF$205"),0))="","",INDEX(INDIRECT("'"&amp;$B19&amp;"'!$R$6:$R$205"),MATCH($AR19&amp;"|"&amp;Q$5,INDIRECT("'"&amp;$B19&amp;"'!$AF$6:$AF$205"),0))),"-"))</f>
        <v/>
      </c>
      <c r="R19" s="37">
        <f>IF(OR(AP19="",R$5="-"),"",IFERROR(IF(INDEX(INDIRECT("'"&amp;$B19&amp;"'!$R$6:$R$205"),MATCH($AR19&amp;"|"&amp;R$5,INDIRECT("'"&amp;$B19&amp;"'!$AF$6:$AF$205"),0))="","",INDEX(INDIRECT("'"&amp;$B19&amp;"'!$R$6:$R$205"),MATCH($AR19&amp;"|"&amp;R$5,INDIRECT("'"&amp;$B19&amp;"'!$AF$6:$AF$205"),0))),"-"))</f>
        <v/>
      </c>
      <c r="S19" s="37">
        <f>IF(OR(AP19="",S$5="-"),"",IFERROR(IF(INDEX(INDIRECT("'"&amp;$B19&amp;"'!$R$6:$R$205"),MATCH($AR19&amp;"|"&amp;S$5,INDIRECT("'"&amp;$B19&amp;"'!$AF$6:$AF$205"),0))="","",INDEX(INDIRECT("'"&amp;$B19&amp;"'!$R$6:$R$205"),MATCH($AR19&amp;"|"&amp;S$5,INDIRECT("'"&amp;$B19&amp;"'!$AF$6:$AF$205"),0))),"-"))</f>
        <v/>
      </c>
      <c r="T19" s="37">
        <f>IF(OR(AP19="",T$5="-"),"",IFERROR(IF(INDEX(INDIRECT("'"&amp;$B19&amp;"'!$R$6:$R$205"),MATCH($AR19&amp;"|"&amp;T$5,INDIRECT("'"&amp;$B19&amp;"'!$AF$6:$AF$205"),0))="","",INDEX(INDIRECT("'"&amp;$B19&amp;"'!$R$6:$R$205"),MATCH($AR19&amp;"|"&amp;T$5,INDIRECT("'"&amp;$B19&amp;"'!$AF$6:$AF$205"),0))),"-"))</f>
        <v/>
      </c>
      <c r="U19" s="37">
        <f>IF(OR(AP19="",U$5="-"),"",IFERROR(IF(INDEX(INDIRECT("'"&amp;$B19&amp;"'!$R$6:$R$205"),MATCH($AR19&amp;"|"&amp;U$5,INDIRECT("'"&amp;$B19&amp;"'!$AF$6:$AF$205"),0))="","",INDEX(INDIRECT("'"&amp;$B19&amp;"'!$R$6:$R$205"),MATCH($AR19&amp;"|"&amp;U$5,INDIRECT("'"&amp;$B19&amp;"'!$AF$6:$AF$205"),0))),"-"))</f>
        <v/>
      </c>
      <c r="V19" s="37">
        <f>IF(OR(AP19="",V$5="-"),"",IFERROR(IF(INDEX(INDIRECT("'"&amp;$B19&amp;"'!$R$6:$R$205"),MATCH($AR19&amp;"|"&amp;V$5,INDIRECT("'"&amp;$B19&amp;"'!$AF$6:$AF$205"),0))="","",INDEX(INDIRECT("'"&amp;$B19&amp;"'!$R$6:$R$205"),MATCH($AR19&amp;"|"&amp;V$5,INDIRECT("'"&amp;$B19&amp;"'!$AF$6:$AF$205"),0))),"-"))</f>
        <v/>
      </c>
      <c r="W19" s="37">
        <f>IF(OR(AP19="",W$5="-"),"",IFERROR(IF(INDEX(INDIRECT("'"&amp;$B19&amp;"'!$R$6:$R$205"),MATCH($AR19&amp;"|"&amp;W$5,INDIRECT("'"&amp;$B19&amp;"'!$AF$6:$AF$205"),0))="","",INDEX(INDIRECT("'"&amp;$B19&amp;"'!$R$6:$R$205"),MATCH($AR19&amp;"|"&amp;W$5,INDIRECT("'"&amp;$B19&amp;"'!$AF$6:$AF$205"),0))),"-"))</f>
        <v/>
      </c>
      <c r="X19" s="38">
        <f>IF(OR(AP19="",X$5="-"),"",IFERROR(IF(INDEX(INDIRECT("'"&amp;$B19&amp;"'!$T$6:$T$205"),MATCH($AR19&amp;"|"&amp;X$5,INDIRECT("'"&amp;$B19&amp;"'!$AF$6:$AF$205"),0))="","",INDEX(INDIRECT("'"&amp;$B19&amp;"'!$T$6:$T$205"),MATCH($AR19&amp;"|"&amp;X$5,INDIRECT("'"&amp;$B19&amp;"'!$AF$6:$AF$205"),0))),"-"))</f>
        <v/>
      </c>
      <c r="Y19" s="38">
        <f>IF(OR(AP19="",Y$5="-"),"",IFERROR(IF(INDEX(INDIRECT("'"&amp;$B19&amp;"'!$T$6:$T$205"),MATCH($AR19&amp;"|"&amp;Y$5,INDIRECT("'"&amp;$B19&amp;"'!$AF$6:$AF$205"),0))="","",INDEX(INDIRECT("'"&amp;$B19&amp;"'!$T$6:$T$205"),MATCH($AR19&amp;"|"&amp;Y$5,INDIRECT("'"&amp;$B19&amp;"'!$AF$6:$AF$205"),0))),"-"))</f>
        <v/>
      </c>
      <c r="Z19" s="38">
        <f>IF(OR(AP19="",Z$5="-"),"",IFERROR(IF(INDEX(INDIRECT("'"&amp;$B19&amp;"'!$T$6:$T$205"),MATCH($AR19&amp;"|"&amp;Z$5,INDIRECT("'"&amp;$B19&amp;"'!$AF$6:$AF$205"),0))="","",INDEX(INDIRECT("'"&amp;$B19&amp;"'!$T$6:$T$205"),MATCH($AR19&amp;"|"&amp;Z$5,INDIRECT("'"&amp;$B19&amp;"'!$AF$6:$AF$205"),0))),"-"))</f>
        <v/>
      </c>
      <c r="AA19" s="38">
        <f>IF(OR(AP19="",AA$5="-"),"",IFERROR(IF(INDEX(INDIRECT("'"&amp;$B19&amp;"'!$T$6:$T$205"),MATCH($AR19&amp;"|"&amp;AA$5,INDIRECT("'"&amp;$B19&amp;"'!$AF$6:$AF$205"),0))="","",INDEX(INDIRECT("'"&amp;$B19&amp;"'!$T$6:$T$205"),MATCH($AR19&amp;"|"&amp;AA$5,INDIRECT("'"&amp;$B19&amp;"'!$AF$6:$AF$205"),0))),"-"))</f>
        <v/>
      </c>
      <c r="AB19" s="38">
        <f>IF(OR(AP19="",AB$5="-"),"",IFERROR(IF(INDEX(INDIRECT("'"&amp;$B19&amp;"'!$T$6:$T$205"),MATCH($AR19&amp;"|"&amp;AB$5,INDIRECT("'"&amp;$B19&amp;"'!$AF$6:$AF$205"),0))="","",INDEX(INDIRECT("'"&amp;$B19&amp;"'!$T$6:$T$205"),MATCH($AR19&amp;"|"&amp;AB$5,INDIRECT("'"&amp;$B19&amp;"'!$AF$6:$AF$205"),0))),"-"))</f>
        <v/>
      </c>
      <c r="AC19" s="38">
        <f>IF(OR(AP19="",AC$5="-"),"",IFERROR(IF(INDEX(INDIRECT("'"&amp;$B19&amp;"'!$T$6:$T$205"),MATCH($AR19&amp;"|"&amp;AC$5,INDIRECT("'"&amp;$B19&amp;"'!$AF$6:$AF$205"),0))="","",INDEX(INDIRECT("'"&amp;$B19&amp;"'!$T$6:$T$205"),MATCH($AR19&amp;"|"&amp;AC$5,INDIRECT("'"&amp;$B19&amp;"'!$AF$6:$AF$205"),0))),"-"))</f>
        <v/>
      </c>
      <c r="AD19" s="38">
        <f>IF(OR(AP19="",AD$5="-"),"",IFERROR(IF(INDEX(INDIRECT("'"&amp;$B19&amp;"'!$T$6:$T$205"),MATCH($AR19&amp;"|"&amp;AD$5,INDIRECT("'"&amp;$B19&amp;"'!$AF$6:$AF$205"),0))="","",INDEX(INDIRECT("'"&amp;$B19&amp;"'!$T$6:$T$205"),MATCH($AR19&amp;"|"&amp;AD$5,INDIRECT("'"&amp;$B19&amp;"'!$AF$6:$AF$205"),0))),"-"))</f>
        <v/>
      </c>
      <c r="AE19" s="38">
        <f>IF(OR(AP19="",AE$5="-"),"",IFERROR(IF(INDEX(INDIRECT("'"&amp;$B19&amp;"'!$T$6:$T$205"),MATCH($AR19&amp;"|"&amp;AE$5,INDIRECT("'"&amp;$B19&amp;"'!$AF$6:$AF$205"),0))="","",INDEX(INDIRECT("'"&amp;$B19&amp;"'!$T$6:$T$205"),MATCH($AR19&amp;"|"&amp;AE$5,INDIRECT("'"&amp;$B19&amp;"'!$AF$6:$AF$205"),0))),"-"))</f>
        <v/>
      </c>
      <c r="AF19" s="35">
        <f>IF(AG19="","",INDEX($P$5:$W$5,MATCH(AG19,P19:W19,0)))</f>
        <v/>
      </c>
      <c r="AG19" s="37">
        <f>IF(COUNT(P19:W19)=0,"",MIN(P19:W19))</f>
        <v/>
      </c>
      <c r="AH19" s="39">
        <f>IF(AG19="","",AG19*F19)</f>
        <v/>
      </c>
      <c r="AI19" s="39">
        <f>IF(COUNT(P19:W19)&lt;2,"",(MAX(P19:W19)-MIN(P19:W19))*F19)</f>
        <v/>
      </c>
      <c r="AJ19" s="20" t="n"/>
      <c r="AP19">
        <f>IF(14&gt;MAX($AN$6:$AN$9),"",COUNTIF($AN$6:$AN$9,"&lt;"&amp;14)+1)</f>
        <v/>
      </c>
      <c r="AQ19">
        <f>IF(AP19="","",14-INDEX($AO$6:$AO$9,AP19))</f>
        <v/>
      </c>
      <c r="AR19">
        <f>IF(AP19="","",INDEX(INDIRECT("'"&amp;$B19&amp;"'!$AE$6:$AE$205"),MATCH(AQ19,INDIRECT("'"&amp;$B19&amp;"'!$AI$6:$AI$205"),0)))</f>
        <v/>
      </c>
    </row>
    <row r="20">
      <c r="A20" s="34">
        <f>IF(AP20="","",15)</f>
        <v/>
      </c>
      <c r="B20" s="35">
        <f>IF(AP20="","",INDEX($AL$6:$AL$9,AP20))</f>
        <v/>
      </c>
      <c r="C20" s="34">
        <f>IF(AP20="","",INDEX(INDIRECT("'"&amp;$B20&amp;"'!$B$6:$B$205"),MATCH($AR20,INDIRECT("'"&amp;$B20&amp;"'!$AE$6:$AE$205"),0)))</f>
        <v/>
      </c>
      <c r="D20" s="34">
        <f>IF(AP20="","",INDEX(INDIRECT("'"&amp;$B20&amp;"'!$D$6:$D$205"),MATCH($AR20,INDIRECT("'"&amp;$B20&amp;"'!$AE$6:$AE$205"),0)))</f>
        <v/>
      </c>
      <c r="E20" s="36">
        <f>IF(AP20="","",INDEX(INDIRECT("'"&amp;$B20&amp;"'!$F$6:$F$205"),MATCH($AR20,INDIRECT("'"&amp;$B20&amp;"'!$AE$6:$AE$205"),0)))</f>
        <v/>
      </c>
      <c r="F20" s="34">
        <f>IF(AP20="","",INDEX(INDIRECT("'"&amp;$B20&amp;"'!$K$6:$K$205"),MATCH($AR20,INDIRECT("'"&amp;$B20&amp;"'!$AE$6:$AE$205"),0)))</f>
        <v/>
      </c>
      <c r="G20" s="34">
        <f>IF(AP20="","",INDEX(INDIRECT("'"&amp;$B20&amp;"'!$L$6:$L$205"),MATCH($AR20,INDIRECT("'"&amp;$B20&amp;"'!$AE$6:$AE$205"),0)))</f>
        <v/>
      </c>
      <c r="H20" s="34">
        <f>IF(OR(AP20="",H$5="-"),"",IFERROR(IF(INDEX(INDIRECT("'"&amp;$B20&amp;"'!$N$6:$N$205"),MATCH($AR20&amp;"|"&amp;H$5,INDIRECT("'"&amp;$B20&amp;"'!$AF$6:$AF$205"),0))="","",INDEX(INDIRECT("'"&amp;$B20&amp;"'!$N$6:$N$205"),MATCH($AR20&amp;"|"&amp;H$5,INDIRECT("'"&amp;$B20&amp;"'!$AF$6:$AF$205"),0))),"-"))</f>
        <v/>
      </c>
      <c r="I20" s="34">
        <f>IF(OR(AP20="",I$5="-"),"",IFERROR(IF(INDEX(INDIRECT("'"&amp;$B20&amp;"'!$N$6:$N$205"),MATCH($AR20&amp;"|"&amp;I$5,INDIRECT("'"&amp;$B20&amp;"'!$AF$6:$AF$205"),0))="","",INDEX(INDIRECT("'"&amp;$B20&amp;"'!$N$6:$N$205"),MATCH($AR20&amp;"|"&amp;I$5,INDIRECT("'"&amp;$B20&amp;"'!$AF$6:$AF$205"),0))),"-"))</f>
        <v/>
      </c>
      <c r="J20" s="34">
        <f>IF(OR(AP20="",J$5="-"),"",IFERROR(IF(INDEX(INDIRECT("'"&amp;$B20&amp;"'!$N$6:$N$205"),MATCH($AR20&amp;"|"&amp;J$5,INDIRECT("'"&amp;$B20&amp;"'!$AF$6:$AF$205"),0))="","",INDEX(INDIRECT("'"&amp;$B20&amp;"'!$N$6:$N$205"),MATCH($AR20&amp;"|"&amp;J$5,INDIRECT("'"&amp;$B20&amp;"'!$AF$6:$AF$205"),0))),"-"))</f>
        <v/>
      </c>
      <c r="K20" s="34">
        <f>IF(OR(AP20="",K$5="-"),"",IFERROR(IF(INDEX(INDIRECT("'"&amp;$B20&amp;"'!$N$6:$N$205"),MATCH($AR20&amp;"|"&amp;K$5,INDIRECT("'"&amp;$B20&amp;"'!$AF$6:$AF$205"),0))="","",INDEX(INDIRECT("'"&amp;$B20&amp;"'!$N$6:$N$205"),MATCH($AR20&amp;"|"&amp;K$5,INDIRECT("'"&amp;$B20&amp;"'!$AF$6:$AF$205"),0))),"-"))</f>
        <v/>
      </c>
      <c r="L20" s="34">
        <f>IF(OR(AP20="",L$5="-"),"",IFERROR(IF(INDEX(INDIRECT("'"&amp;$B20&amp;"'!$N$6:$N$205"),MATCH($AR20&amp;"|"&amp;L$5,INDIRECT("'"&amp;$B20&amp;"'!$AF$6:$AF$205"),0))="","",INDEX(INDIRECT("'"&amp;$B20&amp;"'!$N$6:$N$205"),MATCH($AR20&amp;"|"&amp;L$5,INDIRECT("'"&amp;$B20&amp;"'!$AF$6:$AF$205"),0))),"-"))</f>
        <v/>
      </c>
      <c r="M20" s="34">
        <f>IF(OR(AP20="",M$5="-"),"",IFERROR(IF(INDEX(INDIRECT("'"&amp;$B20&amp;"'!$N$6:$N$205"),MATCH($AR20&amp;"|"&amp;M$5,INDIRECT("'"&amp;$B20&amp;"'!$AF$6:$AF$205"),0))="","",INDEX(INDIRECT("'"&amp;$B20&amp;"'!$N$6:$N$205"),MATCH($AR20&amp;"|"&amp;M$5,INDIRECT("'"&amp;$B20&amp;"'!$AF$6:$AF$205"),0))),"-"))</f>
        <v/>
      </c>
      <c r="N20" s="34">
        <f>IF(OR(AP20="",N$5="-"),"",IFERROR(IF(INDEX(INDIRECT("'"&amp;$B20&amp;"'!$N$6:$N$205"),MATCH($AR20&amp;"|"&amp;N$5,INDIRECT("'"&amp;$B20&amp;"'!$AF$6:$AF$205"),0))="","",INDEX(INDIRECT("'"&amp;$B20&amp;"'!$N$6:$N$205"),MATCH($AR20&amp;"|"&amp;N$5,INDIRECT("'"&amp;$B20&amp;"'!$AF$6:$AF$205"),0))),"-"))</f>
        <v/>
      </c>
      <c r="O20" s="34">
        <f>IF(OR(AP20="",O$5="-"),"",IFERROR(IF(INDEX(INDIRECT("'"&amp;$B20&amp;"'!$N$6:$N$205"),MATCH($AR20&amp;"|"&amp;O$5,INDIRECT("'"&amp;$B20&amp;"'!$AF$6:$AF$205"),0))="","",INDEX(INDIRECT("'"&amp;$B20&amp;"'!$N$6:$N$205"),MATCH($AR20&amp;"|"&amp;O$5,INDIRECT("'"&amp;$B20&amp;"'!$AF$6:$AF$205"),0))),"-"))</f>
        <v/>
      </c>
      <c r="P20" s="37">
        <f>IF(OR(AP20="",P$5="-"),"",IFERROR(IF(INDEX(INDIRECT("'"&amp;$B20&amp;"'!$R$6:$R$205"),MATCH($AR20&amp;"|"&amp;P$5,INDIRECT("'"&amp;$B20&amp;"'!$AF$6:$AF$205"),0))="","",INDEX(INDIRECT("'"&amp;$B20&amp;"'!$R$6:$R$205"),MATCH($AR20&amp;"|"&amp;P$5,INDIRECT("'"&amp;$B20&amp;"'!$AF$6:$AF$205"),0))),"-"))</f>
        <v/>
      </c>
      <c r="Q20" s="37">
        <f>IF(OR(AP20="",Q$5="-"),"",IFERROR(IF(INDEX(INDIRECT("'"&amp;$B20&amp;"'!$R$6:$R$205"),MATCH($AR20&amp;"|"&amp;Q$5,INDIRECT("'"&amp;$B20&amp;"'!$AF$6:$AF$205"),0))="","",INDEX(INDIRECT("'"&amp;$B20&amp;"'!$R$6:$R$205"),MATCH($AR20&amp;"|"&amp;Q$5,INDIRECT("'"&amp;$B20&amp;"'!$AF$6:$AF$205"),0))),"-"))</f>
        <v/>
      </c>
      <c r="R20" s="37">
        <f>IF(OR(AP20="",R$5="-"),"",IFERROR(IF(INDEX(INDIRECT("'"&amp;$B20&amp;"'!$R$6:$R$205"),MATCH($AR20&amp;"|"&amp;R$5,INDIRECT("'"&amp;$B20&amp;"'!$AF$6:$AF$205"),0))="","",INDEX(INDIRECT("'"&amp;$B20&amp;"'!$R$6:$R$205"),MATCH($AR20&amp;"|"&amp;R$5,INDIRECT("'"&amp;$B20&amp;"'!$AF$6:$AF$205"),0))),"-"))</f>
        <v/>
      </c>
      <c r="S20" s="37">
        <f>IF(OR(AP20="",S$5="-"),"",IFERROR(IF(INDEX(INDIRECT("'"&amp;$B20&amp;"'!$R$6:$R$205"),MATCH($AR20&amp;"|"&amp;S$5,INDIRECT("'"&amp;$B20&amp;"'!$AF$6:$AF$205"),0))="","",INDEX(INDIRECT("'"&amp;$B20&amp;"'!$R$6:$R$205"),MATCH($AR20&amp;"|"&amp;S$5,INDIRECT("'"&amp;$B20&amp;"'!$AF$6:$AF$205"),0))),"-"))</f>
        <v/>
      </c>
      <c r="T20" s="37">
        <f>IF(OR(AP20="",T$5="-"),"",IFERROR(IF(INDEX(INDIRECT("'"&amp;$B20&amp;"'!$R$6:$R$205"),MATCH($AR20&amp;"|"&amp;T$5,INDIRECT("'"&amp;$B20&amp;"'!$AF$6:$AF$205"),0))="","",INDEX(INDIRECT("'"&amp;$B20&amp;"'!$R$6:$R$205"),MATCH($AR20&amp;"|"&amp;T$5,INDIRECT("'"&amp;$B20&amp;"'!$AF$6:$AF$205"),0))),"-"))</f>
        <v/>
      </c>
      <c r="U20" s="37">
        <f>IF(OR(AP20="",U$5="-"),"",IFERROR(IF(INDEX(INDIRECT("'"&amp;$B20&amp;"'!$R$6:$R$205"),MATCH($AR20&amp;"|"&amp;U$5,INDIRECT("'"&amp;$B20&amp;"'!$AF$6:$AF$205"),0))="","",INDEX(INDIRECT("'"&amp;$B20&amp;"'!$R$6:$R$205"),MATCH($AR20&amp;"|"&amp;U$5,INDIRECT("'"&amp;$B20&amp;"'!$AF$6:$AF$205"),0))),"-"))</f>
        <v/>
      </c>
      <c r="V20" s="37">
        <f>IF(OR(AP20="",V$5="-"),"",IFERROR(IF(INDEX(INDIRECT("'"&amp;$B20&amp;"'!$R$6:$R$205"),MATCH($AR20&amp;"|"&amp;V$5,INDIRECT("'"&amp;$B20&amp;"'!$AF$6:$AF$205"),0))="","",INDEX(INDIRECT("'"&amp;$B20&amp;"'!$R$6:$R$205"),MATCH($AR20&amp;"|"&amp;V$5,INDIRECT("'"&amp;$B20&amp;"'!$AF$6:$AF$205"),0))),"-"))</f>
        <v/>
      </c>
      <c r="W20" s="37">
        <f>IF(OR(AP20="",W$5="-"),"",IFERROR(IF(INDEX(INDIRECT("'"&amp;$B20&amp;"'!$R$6:$R$205"),MATCH($AR20&amp;"|"&amp;W$5,INDIRECT("'"&amp;$B20&amp;"'!$AF$6:$AF$205"),0))="","",INDEX(INDIRECT("'"&amp;$B20&amp;"'!$R$6:$R$205"),MATCH($AR20&amp;"|"&amp;W$5,INDIRECT("'"&amp;$B20&amp;"'!$AF$6:$AF$205"),0))),"-"))</f>
        <v/>
      </c>
      <c r="X20" s="38">
        <f>IF(OR(AP20="",X$5="-"),"",IFERROR(IF(INDEX(INDIRECT("'"&amp;$B20&amp;"'!$T$6:$T$205"),MATCH($AR20&amp;"|"&amp;X$5,INDIRECT("'"&amp;$B20&amp;"'!$AF$6:$AF$205"),0))="","",INDEX(INDIRECT("'"&amp;$B20&amp;"'!$T$6:$T$205"),MATCH($AR20&amp;"|"&amp;X$5,INDIRECT("'"&amp;$B20&amp;"'!$AF$6:$AF$205"),0))),"-"))</f>
        <v/>
      </c>
      <c r="Y20" s="38">
        <f>IF(OR(AP20="",Y$5="-"),"",IFERROR(IF(INDEX(INDIRECT("'"&amp;$B20&amp;"'!$T$6:$T$205"),MATCH($AR20&amp;"|"&amp;Y$5,INDIRECT("'"&amp;$B20&amp;"'!$AF$6:$AF$205"),0))="","",INDEX(INDIRECT("'"&amp;$B20&amp;"'!$T$6:$T$205"),MATCH($AR20&amp;"|"&amp;Y$5,INDIRECT("'"&amp;$B20&amp;"'!$AF$6:$AF$205"),0))),"-"))</f>
        <v/>
      </c>
      <c r="Z20" s="38">
        <f>IF(OR(AP20="",Z$5="-"),"",IFERROR(IF(INDEX(INDIRECT("'"&amp;$B20&amp;"'!$T$6:$T$205"),MATCH($AR20&amp;"|"&amp;Z$5,INDIRECT("'"&amp;$B20&amp;"'!$AF$6:$AF$205"),0))="","",INDEX(INDIRECT("'"&amp;$B20&amp;"'!$T$6:$T$205"),MATCH($AR20&amp;"|"&amp;Z$5,INDIRECT("'"&amp;$B20&amp;"'!$AF$6:$AF$205"),0))),"-"))</f>
        <v/>
      </c>
      <c r="AA20" s="38">
        <f>IF(OR(AP20="",AA$5="-"),"",IFERROR(IF(INDEX(INDIRECT("'"&amp;$B20&amp;"'!$T$6:$T$205"),MATCH($AR20&amp;"|"&amp;AA$5,INDIRECT("'"&amp;$B20&amp;"'!$AF$6:$AF$205"),0))="","",INDEX(INDIRECT("'"&amp;$B20&amp;"'!$T$6:$T$205"),MATCH($AR20&amp;"|"&amp;AA$5,INDIRECT("'"&amp;$B20&amp;"'!$AF$6:$AF$205"),0))),"-"))</f>
        <v/>
      </c>
      <c r="AB20" s="38">
        <f>IF(OR(AP20="",AB$5="-"),"",IFERROR(IF(INDEX(INDIRECT("'"&amp;$B20&amp;"'!$T$6:$T$205"),MATCH($AR20&amp;"|"&amp;AB$5,INDIRECT("'"&amp;$B20&amp;"'!$AF$6:$AF$205"),0))="","",INDEX(INDIRECT("'"&amp;$B20&amp;"'!$T$6:$T$205"),MATCH($AR20&amp;"|"&amp;AB$5,INDIRECT("'"&amp;$B20&amp;"'!$AF$6:$AF$205"),0))),"-"))</f>
        <v/>
      </c>
      <c r="AC20" s="38">
        <f>IF(OR(AP20="",AC$5="-"),"",IFERROR(IF(INDEX(INDIRECT("'"&amp;$B20&amp;"'!$T$6:$T$205"),MATCH($AR20&amp;"|"&amp;AC$5,INDIRECT("'"&amp;$B20&amp;"'!$AF$6:$AF$205"),0))="","",INDEX(INDIRECT("'"&amp;$B20&amp;"'!$T$6:$T$205"),MATCH($AR20&amp;"|"&amp;AC$5,INDIRECT("'"&amp;$B20&amp;"'!$AF$6:$AF$205"),0))),"-"))</f>
        <v/>
      </c>
      <c r="AD20" s="38">
        <f>IF(OR(AP20="",AD$5="-"),"",IFERROR(IF(INDEX(INDIRECT("'"&amp;$B20&amp;"'!$T$6:$T$205"),MATCH($AR20&amp;"|"&amp;AD$5,INDIRECT("'"&amp;$B20&amp;"'!$AF$6:$AF$205"),0))="","",INDEX(INDIRECT("'"&amp;$B20&amp;"'!$T$6:$T$205"),MATCH($AR20&amp;"|"&amp;AD$5,INDIRECT("'"&amp;$B20&amp;"'!$AF$6:$AF$205"),0))),"-"))</f>
        <v/>
      </c>
      <c r="AE20" s="38">
        <f>IF(OR(AP20="",AE$5="-"),"",IFERROR(IF(INDEX(INDIRECT("'"&amp;$B20&amp;"'!$T$6:$T$205"),MATCH($AR20&amp;"|"&amp;AE$5,INDIRECT("'"&amp;$B20&amp;"'!$AF$6:$AF$205"),0))="","",INDEX(INDIRECT("'"&amp;$B20&amp;"'!$T$6:$T$205"),MATCH($AR20&amp;"|"&amp;AE$5,INDIRECT("'"&amp;$B20&amp;"'!$AF$6:$AF$205"),0))),"-"))</f>
        <v/>
      </c>
      <c r="AF20" s="35">
        <f>IF(AG20="","",INDEX($P$5:$W$5,MATCH(AG20,P20:W20,0)))</f>
        <v/>
      </c>
      <c r="AG20" s="37">
        <f>IF(COUNT(P20:W20)=0,"",MIN(P20:W20))</f>
        <v/>
      </c>
      <c r="AH20" s="39">
        <f>IF(AG20="","",AG20*F20)</f>
        <v/>
      </c>
      <c r="AI20" s="39">
        <f>IF(COUNT(P20:W20)&lt;2,"",(MAX(P20:W20)-MIN(P20:W20))*F20)</f>
        <v/>
      </c>
      <c r="AJ20" s="20" t="n"/>
      <c r="AP20">
        <f>IF(15&gt;MAX($AN$6:$AN$9),"",COUNTIF($AN$6:$AN$9,"&lt;"&amp;15)+1)</f>
        <v/>
      </c>
      <c r="AQ20">
        <f>IF(AP20="","",15-INDEX($AO$6:$AO$9,AP20))</f>
        <v/>
      </c>
      <c r="AR20">
        <f>IF(AP20="","",INDEX(INDIRECT("'"&amp;$B20&amp;"'!$AE$6:$AE$205"),MATCH(AQ20,INDIRECT("'"&amp;$B20&amp;"'!$AI$6:$AI$205"),0)))</f>
        <v/>
      </c>
    </row>
    <row r="21">
      <c r="A21" s="34">
        <f>IF(AP21="","",16)</f>
        <v/>
      </c>
      <c r="B21" s="35">
        <f>IF(AP21="","",INDEX($AL$6:$AL$9,AP21))</f>
        <v/>
      </c>
      <c r="C21" s="34">
        <f>IF(AP21="","",INDEX(INDIRECT("'"&amp;$B21&amp;"'!$B$6:$B$205"),MATCH($AR21,INDIRECT("'"&amp;$B21&amp;"'!$AE$6:$AE$205"),0)))</f>
        <v/>
      </c>
      <c r="D21" s="34">
        <f>IF(AP21="","",INDEX(INDIRECT("'"&amp;$B21&amp;"'!$D$6:$D$205"),MATCH($AR21,INDIRECT("'"&amp;$B21&amp;"'!$AE$6:$AE$205"),0)))</f>
        <v/>
      </c>
      <c r="E21" s="36">
        <f>IF(AP21="","",INDEX(INDIRECT("'"&amp;$B21&amp;"'!$F$6:$F$205"),MATCH($AR21,INDIRECT("'"&amp;$B21&amp;"'!$AE$6:$AE$205"),0)))</f>
        <v/>
      </c>
      <c r="F21" s="34">
        <f>IF(AP21="","",INDEX(INDIRECT("'"&amp;$B21&amp;"'!$K$6:$K$205"),MATCH($AR21,INDIRECT("'"&amp;$B21&amp;"'!$AE$6:$AE$205"),0)))</f>
        <v/>
      </c>
      <c r="G21" s="34">
        <f>IF(AP21="","",INDEX(INDIRECT("'"&amp;$B21&amp;"'!$L$6:$L$205"),MATCH($AR21,INDIRECT("'"&amp;$B21&amp;"'!$AE$6:$AE$205"),0)))</f>
        <v/>
      </c>
      <c r="H21" s="34">
        <f>IF(OR(AP21="",H$5="-"),"",IFERROR(IF(INDEX(INDIRECT("'"&amp;$B21&amp;"'!$N$6:$N$205"),MATCH($AR21&amp;"|"&amp;H$5,INDIRECT("'"&amp;$B21&amp;"'!$AF$6:$AF$205"),0))="","",INDEX(INDIRECT("'"&amp;$B21&amp;"'!$N$6:$N$205"),MATCH($AR21&amp;"|"&amp;H$5,INDIRECT("'"&amp;$B21&amp;"'!$AF$6:$AF$205"),0))),"-"))</f>
        <v/>
      </c>
      <c r="I21" s="34">
        <f>IF(OR(AP21="",I$5="-"),"",IFERROR(IF(INDEX(INDIRECT("'"&amp;$B21&amp;"'!$N$6:$N$205"),MATCH($AR21&amp;"|"&amp;I$5,INDIRECT("'"&amp;$B21&amp;"'!$AF$6:$AF$205"),0))="","",INDEX(INDIRECT("'"&amp;$B21&amp;"'!$N$6:$N$205"),MATCH($AR21&amp;"|"&amp;I$5,INDIRECT("'"&amp;$B21&amp;"'!$AF$6:$AF$205"),0))),"-"))</f>
        <v/>
      </c>
      <c r="J21" s="34">
        <f>IF(OR(AP21="",J$5="-"),"",IFERROR(IF(INDEX(INDIRECT("'"&amp;$B21&amp;"'!$N$6:$N$205"),MATCH($AR21&amp;"|"&amp;J$5,INDIRECT("'"&amp;$B21&amp;"'!$AF$6:$AF$205"),0))="","",INDEX(INDIRECT("'"&amp;$B21&amp;"'!$N$6:$N$205"),MATCH($AR21&amp;"|"&amp;J$5,INDIRECT("'"&amp;$B21&amp;"'!$AF$6:$AF$205"),0))),"-"))</f>
        <v/>
      </c>
      <c r="K21" s="34">
        <f>IF(OR(AP21="",K$5="-"),"",IFERROR(IF(INDEX(INDIRECT("'"&amp;$B21&amp;"'!$N$6:$N$205"),MATCH($AR21&amp;"|"&amp;K$5,INDIRECT("'"&amp;$B21&amp;"'!$AF$6:$AF$205"),0))="","",INDEX(INDIRECT("'"&amp;$B21&amp;"'!$N$6:$N$205"),MATCH($AR21&amp;"|"&amp;K$5,INDIRECT("'"&amp;$B21&amp;"'!$AF$6:$AF$205"),0))),"-"))</f>
        <v/>
      </c>
      <c r="L21" s="34">
        <f>IF(OR(AP21="",L$5="-"),"",IFERROR(IF(INDEX(INDIRECT("'"&amp;$B21&amp;"'!$N$6:$N$205"),MATCH($AR21&amp;"|"&amp;L$5,INDIRECT("'"&amp;$B21&amp;"'!$AF$6:$AF$205"),0))="","",INDEX(INDIRECT("'"&amp;$B21&amp;"'!$N$6:$N$205"),MATCH($AR21&amp;"|"&amp;L$5,INDIRECT("'"&amp;$B21&amp;"'!$AF$6:$AF$205"),0))),"-"))</f>
        <v/>
      </c>
      <c r="M21" s="34">
        <f>IF(OR(AP21="",M$5="-"),"",IFERROR(IF(INDEX(INDIRECT("'"&amp;$B21&amp;"'!$N$6:$N$205"),MATCH($AR21&amp;"|"&amp;M$5,INDIRECT("'"&amp;$B21&amp;"'!$AF$6:$AF$205"),0))="","",INDEX(INDIRECT("'"&amp;$B21&amp;"'!$N$6:$N$205"),MATCH($AR21&amp;"|"&amp;M$5,INDIRECT("'"&amp;$B21&amp;"'!$AF$6:$AF$205"),0))),"-"))</f>
        <v/>
      </c>
      <c r="N21" s="34">
        <f>IF(OR(AP21="",N$5="-"),"",IFERROR(IF(INDEX(INDIRECT("'"&amp;$B21&amp;"'!$N$6:$N$205"),MATCH($AR21&amp;"|"&amp;N$5,INDIRECT("'"&amp;$B21&amp;"'!$AF$6:$AF$205"),0))="","",INDEX(INDIRECT("'"&amp;$B21&amp;"'!$N$6:$N$205"),MATCH($AR21&amp;"|"&amp;N$5,INDIRECT("'"&amp;$B21&amp;"'!$AF$6:$AF$205"),0))),"-"))</f>
        <v/>
      </c>
      <c r="O21" s="34">
        <f>IF(OR(AP21="",O$5="-"),"",IFERROR(IF(INDEX(INDIRECT("'"&amp;$B21&amp;"'!$N$6:$N$205"),MATCH($AR21&amp;"|"&amp;O$5,INDIRECT("'"&amp;$B21&amp;"'!$AF$6:$AF$205"),0))="","",INDEX(INDIRECT("'"&amp;$B21&amp;"'!$N$6:$N$205"),MATCH($AR21&amp;"|"&amp;O$5,INDIRECT("'"&amp;$B21&amp;"'!$AF$6:$AF$205"),0))),"-"))</f>
        <v/>
      </c>
      <c r="P21" s="37">
        <f>IF(OR(AP21="",P$5="-"),"",IFERROR(IF(INDEX(INDIRECT("'"&amp;$B21&amp;"'!$R$6:$R$205"),MATCH($AR21&amp;"|"&amp;P$5,INDIRECT("'"&amp;$B21&amp;"'!$AF$6:$AF$205"),0))="","",INDEX(INDIRECT("'"&amp;$B21&amp;"'!$R$6:$R$205"),MATCH($AR21&amp;"|"&amp;P$5,INDIRECT("'"&amp;$B21&amp;"'!$AF$6:$AF$205"),0))),"-"))</f>
        <v/>
      </c>
      <c r="Q21" s="37">
        <f>IF(OR(AP21="",Q$5="-"),"",IFERROR(IF(INDEX(INDIRECT("'"&amp;$B21&amp;"'!$R$6:$R$205"),MATCH($AR21&amp;"|"&amp;Q$5,INDIRECT("'"&amp;$B21&amp;"'!$AF$6:$AF$205"),0))="","",INDEX(INDIRECT("'"&amp;$B21&amp;"'!$R$6:$R$205"),MATCH($AR21&amp;"|"&amp;Q$5,INDIRECT("'"&amp;$B21&amp;"'!$AF$6:$AF$205"),0))),"-"))</f>
        <v/>
      </c>
      <c r="R21" s="37">
        <f>IF(OR(AP21="",R$5="-"),"",IFERROR(IF(INDEX(INDIRECT("'"&amp;$B21&amp;"'!$R$6:$R$205"),MATCH($AR21&amp;"|"&amp;R$5,INDIRECT("'"&amp;$B21&amp;"'!$AF$6:$AF$205"),0))="","",INDEX(INDIRECT("'"&amp;$B21&amp;"'!$R$6:$R$205"),MATCH($AR21&amp;"|"&amp;R$5,INDIRECT("'"&amp;$B21&amp;"'!$AF$6:$AF$205"),0))),"-"))</f>
        <v/>
      </c>
      <c r="S21" s="37">
        <f>IF(OR(AP21="",S$5="-"),"",IFERROR(IF(INDEX(INDIRECT("'"&amp;$B21&amp;"'!$R$6:$R$205"),MATCH($AR21&amp;"|"&amp;S$5,INDIRECT("'"&amp;$B21&amp;"'!$AF$6:$AF$205"),0))="","",INDEX(INDIRECT("'"&amp;$B21&amp;"'!$R$6:$R$205"),MATCH($AR21&amp;"|"&amp;S$5,INDIRECT("'"&amp;$B21&amp;"'!$AF$6:$AF$205"),0))),"-"))</f>
        <v/>
      </c>
      <c r="T21" s="37">
        <f>IF(OR(AP21="",T$5="-"),"",IFERROR(IF(INDEX(INDIRECT("'"&amp;$B21&amp;"'!$R$6:$R$205"),MATCH($AR21&amp;"|"&amp;T$5,INDIRECT("'"&amp;$B21&amp;"'!$AF$6:$AF$205"),0))="","",INDEX(INDIRECT("'"&amp;$B21&amp;"'!$R$6:$R$205"),MATCH($AR21&amp;"|"&amp;T$5,INDIRECT("'"&amp;$B21&amp;"'!$AF$6:$AF$205"),0))),"-"))</f>
        <v/>
      </c>
      <c r="U21" s="37">
        <f>IF(OR(AP21="",U$5="-"),"",IFERROR(IF(INDEX(INDIRECT("'"&amp;$B21&amp;"'!$R$6:$R$205"),MATCH($AR21&amp;"|"&amp;U$5,INDIRECT("'"&amp;$B21&amp;"'!$AF$6:$AF$205"),0))="","",INDEX(INDIRECT("'"&amp;$B21&amp;"'!$R$6:$R$205"),MATCH($AR21&amp;"|"&amp;U$5,INDIRECT("'"&amp;$B21&amp;"'!$AF$6:$AF$205"),0))),"-"))</f>
        <v/>
      </c>
      <c r="V21" s="37">
        <f>IF(OR(AP21="",V$5="-"),"",IFERROR(IF(INDEX(INDIRECT("'"&amp;$B21&amp;"'!$R$6:$R$205"),MATCH($AR21&amp;"|"&amp;V$5,INDIRECT("'"&amp;$B21&amp;"'!$AF$6:$AF$205"),0))="","",INDEX(INDIRECT("'"&amp;$B21&amp;"'!$R$6:$R$205"),MATCH($AR21&amp;"|"&amp;V$5,INDIRECT("'"&amp;$B21&amp;"'!$AF$6:$AF$205"),0))),"-"))</f>
        <v/>
      </c>
      <c r="W21" s="37">
        <f>IF(OR(AP21="",W$5="-"),"",IFERROR(IF(INDEX(INDIRECT("'"&amp;$B21&amp;"'!$R$6:$R$205"),MATCH($AR21&amp;"|"&amp;W$5,INDIRECT("'"&amp;$B21&amp;"'!$AF$6:$AF$205"),0))="","",INDEX(INDIRECT("'"&amp;$B21&amp;"'!$R$6:$R$205"),MATCH($AR21&amp;"|"&amp;W$5,INDIRECT("'"&amp;$B21&amp;"'!$AF$6:$AF$205"),0))),"-"))</f>
        <v/>
      </c>
      <c r="X21" s="38">
        <f>IF(OR(AP21="",X$5="-"),"",IFERROR(IF(INDEX(INDIRECT("'"&amp;$B21&amp;"'!$T$6:$T$205"),MATCH($AR21&amp;"|"&amp;X$5,INDIRECT("'"&amp;$B21&amp;"'!$AF$6:$AF$205"),0))="","",INDEX(INDIRECT("'"&amp;$B21&amp;"'!$T$6:$T$205"),MATCH($AR21&amp;"|"&amp;X$5,INDIRECT("'"&amp;$B21&amp;"'!$AF$6:$AF$205"),0))),"-"))</f>
        <v/>
      </c>
      <c r="Y21" s="38">
        <f>IF(OR(AP21="",Y$5="-"),"",IFERROR(IF(INDEX(INDIRECT("'"&amp;$B21&amp;"'!$T$6:$T$205"),MATCH($AR21&amp;"|"&amp;Y$5,INDIRECT("'"&amp;$B21&amp;"'!$AF$6:$AF$205"),0))="","",INDEX(INDIRECT("'"&amp;$B21&amp;"'!$T$6:$T$205"),MATCH($AR21&amp;"|"&amp;Y$5,INDIRECT("'"&amp;$B21&amp;"'!$AF$6:$AF$205"),0))),"-"))</f>
        <v/>
      </c>
      <c r="Z21" s="38">
        <f>IF(OR(AP21="",Z$5="-"),"",IFERROR(IF(INDEX(INDIRECT("'"&amp;$B21&amp;"'!$T$6:$T$205"),MATCH($AR21&amp;"|"&amp;Z$5,INDIRECT("'"&amp;$B21&amp;"'!$AF$6:$AF$205"),0))="","",INDEX(INDIRECT("'"&amp;$B21&amp;"'!$T$6:$T$205"),MATCH($AR21&amp;"|"&amp;Z$5,INDIRECT("'"&amp;$B21&amp;"'!$AF$6:$AF$205"),0))),"-"))</f>
        <v/>
      </c>
      <c r="AA21" s="38">
        <f>IF(OR(AP21="",AA$5="-"),"",IFERROR(IF(INDEX(INDIRECT("'"&amp;$B21&amp;"'!$T$6:$T$205"),MATCH($AR21&amp;"|"&amp;AA$5,INDIRECT("'"&amp;$B21&amp;"'!$AF$6:$AF$205"),0))="","",INDEX(INDIRECT("'"&amp;$B21&amp;"'!$T$6:$T$205"),MATCH($AR21&amp;"|"&amp;AA$5,INDIRECT("'"&amp;$B21&amp;"'!$AF$6:$AF$205"),0))),"-"))</f>
        <v/>
      </c>
      <c r="AB21" s="38">
        <f>IF(OR(AP21="",AB$5="-"),"",IFERROR(IF(INDEX(INDIRECT("'"&amp;$B21&amp;"'!$T$6:$T$205"),MATCH($AR21&amp;"|"&amp;AB$5,INDIRECT("'"&amp;$B21&amp;"'!$AF$6:$AF$205"),0))="","",INDEX(INDIRECT("'"&amp;$B21&amp;"'!$T$6:$T$205"),MATCH($AR21&amp;"|"&amp;AB$5,INDIRECT("'"&amp;$B21&amp;"'!$AF$6:$AF$205"),0))),"-"))</f>
        <v/>
      </c>
      <c r="AC21" s="38">
        <f>IF(OR(AP21="",AC$5="-"),"",IFERROR(IF(INDEX(INDIRECT("'"&amp;$B21&amp;"'!$T$6:$T$205"),MATCH($AR21&amp;"|"&amp;AC$5,INDIRECT("'"&amp;$B21&amp;"'!$AF$6:$AF$205"),0))="","",INDEX(INDIRECT("'"&amp;$B21&amp;"'!$T$6:$T$205"),MATCH($AR21&amp;"|"&amp;AC$5,INDIRECT("'"&amp;$B21&amp;"'!$AF$6:$AF$205"),0))),"-"))</f>
        <v/>
      </c>
      <c r="AD21" s="38">
        <f>IF(OR(AP21="",AD$5="-"),"",IFERROR(IF(INDEX(INDIRECT("'"&amp;$B21&amp;"'!$T$6:$T$205"),MATCH($AR21&amp;"|"&amp;AD$5,INDIRECT("'"&amp;$B21&amp;"'!$AF$6:$AF$205"),0))="","",INDEX(INDIRECT("'"&amp;$B21&amp;"'!$T$6:$T$205"),MATCH($AR21&amp;"|"&amp;AD$5,INDIRECT("'"&amp;$B21&amp;"'!$AF$6:$AF$205"),0))),"-"))</f>
        <v/>
      </c>
      <c r="AE21" s="38">
        <f>IF(OR(AP21="",AE$5="-"),"",IFERROR(IF(INDEX(INDIRECT("'"&amp;$B21&amp;"'!$T$6:$T$205"),MATCH($AR21&amp;"|"&amp;AE$5,INDIRECT("'"&amp;$B21&amp;"'!$AF$6:$AF$205"),0))="","",INDEX(INDIRECT("'"&amp;$B21&amp;"'!$T$6:$T$205"),MATCH($AR21&amp;"|"&amp;AE$5,INDIRECT("'"&amp;$B21&amp;"'!$AF$6:$AF$205"),0))),"-"))</f>
        <v/>
      </c>
      <c r="AF21" s="35">
        <f>IF(AG21="","",INDEX($P$5:$W$5,MATCH(AG21,P21:W21,0)))</f>
        <v/>
      </c>
      <c r="AG21" s="37">
        <f>IF(COUNT(P21:W21)=0,"",MIN(P21:W21))</f>
        <v/>
      </c>
      <c r="AH21" s="39">
        <f>IF(AG21="","",AG21*F21)</f>
        <v/>
      </c>
      <c r="AI21" s="39">
        <f>IF(COUNT(P21:W21)&lt;2,"",(MAX(P21:W21)-MIN(P21:W21))*F21)</f>
        <v/>
      </c>
      <c r="AJ21" s="20" t="n"/>
      <c r="AP21">
        <f>IF(16&gt;MAX($AN$6:$AN$9),"",COUNTIF($AN$6:$AN$9,"&lt;"&amp;16)+1)</f>
        <v/>
      </c>
      <c r="AQ21">
        <f>IF(AP21="","",16-INDEX($AO$6:$AO$9,AP21))</f>
        <v/>
      </c>
      <c r="AR21">
        <f>IF(AP21="","",INDEX(INDIRECT("'"&amp;$B21&amp;"'!$AE$6:$AE$205"),MATCH(AQ21,INDIRECT("'"&amp;$B21&amp;"'!$AI$6:$AI$205"),0)))</f>
        <v/>
      </c>
    </row>
    <row r="22">
      <c r="A22" s="34">
        <f>IF(AP22="","",17)</f>
        <v/>
      </c>
      <c r="B22" s="35">
        <f>IF(AP22="","",INDEX($AL$6:$AL$9,AP22))</f>
        <v/>
      </c>
      <c r="C22" s="34">
        <f>IF(AP22="","",INDEX(INDIRECT("'"&amp;$B22&amp;"'!$B$6:$B$205"),MATCH($AR22,INDIRECT("'"&amp;$B22&amp;"'!$AE$6:$AE$205"),0)))</f>
        <v/>
      </c>
      <c r="D22" s="34">
        <f>IF(AP22="","",INDEX(INDIRECT("'"&amp;$B22&amp;"'!$D$6:$D$205"),MATCH($AR22,INDIRECT("'"&amp;$B22&amp;"'!$AE$6:$AE$205"),0)))</f>
        <v/>
      </c>
      <c r="E22" s="36">
        <f>IF(AP22="","",INDEX(INDIRECT("'"&amp;$B22&amp;"'!$F$6:$F$205"),MATCH($AR22,INDIRECT("'"&amp;$B22&amp;"'!$AE$6:$AE$205"),0)))</f>
        <v/>
      </c>
      <c r="F22" s="34">
        <f>IF(AP22="","",INDEX(INDIRECT("'"&amp;$B22&amp;"'!$K$6:$K$205"),MATCH($AR22,INDIRECT("'"&amp;$B22&amp;"'!$AE$6:$AE$205"),0)))</f>
        <v/>
      </c>
      <c r="G22" s="34">
        <f>IF(AP22="","",INDEX(INDIRECT("'"&amp;$B22&amp;"'!$L$6:$L$205"),MATCH($AR22,INDIRECT("'"&amp;$B22&amp;"'!$AE$6:$AE$205"),0)))</f>
        <v/>
      </c>
      <c r="H22" s="34">
        <f>IF(OR(AP22="",H$5="-"),"",IFERROR(IF(INDEX(INDIRECT("'"&amp;$B22&amp;"'!$N$6:$N$205"),MATCH($AR22&amp;"|"&amp;H$5,INDIRECT("'"&amp;$B22&amp;"'!$AF$6:$AF$205"),0))="","",INDEX(INDIRECT("'"&amp;$B22&amp;"'!$N$6:$N$205"),MATCH($AR22&amp;"|"&amp;H$5,INDIRECT("'"&amp;$B22&amp;"'!$AF$6:$AF$205"),0))),"-"))</f>
        <v/>
      </c>
      <c r="I22" s="34">
        <f>IF(OR(AP22="",I$5="-"),"",IFERROR(IF(INDEX(INDIRECT("'"&amp;$B22&amp;"'!$N$6:$N$205"),MATCH($AR22&amp;"|"&amp;I$5,INDIRECT("'"&amp;$B22&amp;"'!$AF$6:$AF$205"),0))="","",INDEX(INDIRECT("'"&amp;$B22&amp;"'!$N$6:$N$205"),MATCH($AR22&amp;"|"&amp;I$5,INDIRECT("'"&amp;$B22&amp;"'!$AF$6:$AF$205"),0))),"-"))</f>
        <v/>
      </c>
      <c r="J22" s="34">
        <f>IF(OR(AP22="",J$5="-"),"",IFERROR(IF(INDEX(INDIRECT("'"&amp;$B22&amp;"'!$N$6:$N$205"),MATCH($AR22&amp;"|"&amp;J$5,INDIRECT("'"&amp;$B22&amp;"'!$AF$6:$AF$205"),0))="","",INDEX(INDIRECT("'"&amp;$B22&amp;"'!$N$6:$N$205"),MATCH($AR22&amp;"|"&amp;J$5,INDIRECT("'"&amp;$B22&amp;"'!$AF$6:$AF$205"),0))),"-"))</f>
        <v/>
      </c>
      <c r="K22" s="34">
        <f>IF(OR(AP22="",K$5="-"),"",IFERROR(IF(INDEX(INDIRECT("'"&amp;$B22&amp;"'!$N$6:$N$205"),MATCH($AR22&amp;"|"&amp;K$5,INDIRECT("'"&amp;$B22&amp;"'!$AF$6:$AF$205"),0))="","",INDEX(INDIRECT("'"&amp;$B22&amp;"'!$N$6:$N$205"),MATCH($AR22&amp;"|"&amp;K$5,INDIRECT("'"&amp;$B22&amp;"'!$AF$6:$AF$205"),0))),"-"))</f>
        <v/>
      </c>
      <c r="L22" s="34">
        <f>IF(OR(AP22="",L$5="-"),"",IFERROR(IF(INDEX(INDIRECT("'"&amp;$B22&amp;"'!$N$6:$N$205"),MATCH($AR22&amp;"|"&amp;L$5,INDIRECT("'"&amp;$B22&amp;"'!$AF$6:$AF$205"),0))="","",INDEX(INDIRECT("'"&amp;$B22&amp;"'!$N$6:$N$205"),MATCH($AR22&amp;"|"&amp;L$5,INDIRECT("'"&amp;$B22&amp;"'!$AF$6:$AF$205"),0))),"-"))</f>
        <v/>
      </c>
      <c r="M22" s="34">
        <f>IF(OR(AP22="",M$5="-"),"",IFERROR(IF(INDEX(INDIRECT("'"&amp;$B22&amp;"'!$N$6:$N$205"),MATCH($AR22&amp;"|"&amp;M$5,INDIRECT("'"&amp;$B22&amp;"'!$AF$6:$AF$205"),0))="","",INDEX(INDIRECT("'"&amp;$B22&amp;"'!$N$6:$N$205"),MATCH($AR22&amp;"|"&amp;M$5,INDIRECT("'"&amp;$B22&amp;"'!$AF$6:$AF$205"),0))),"-"))</f>
        <v/>
      </c>
      <c r="N22" s="34">
        <f>IF(OR(AP22="",N$5="-"),"",IFERROR(IF(INDEX(INDIRECT("'"&amp;$B22&amp;"'!$N$6:$N$205"),MATCH($AR22&amp;"|"&amp;N$5,INDIRECT("'"&amp;$B22&amp;"'!$AF$6:$AF$205"),0))="","",INDEX(INDIRECT("'"&amp;$B22&amp;"'!$N$6:$N$205"),MATCH($AR22&amp;"|"&amp;N$5,INDIRECT("'"&amp;$B22&amp;"'!$AF$6:$AF$205"),0))),"-"))</f>
        <v/>
      </c>
      <c r="O22" s="34">
        <f>IF(OR(AP22="",O$5="-"),"",IFERROR(IF(INDEX(INDIRECT("'"&amp;$B22&amp;"'!$N$6:$N$205"),MATCH($AR22&amp;"|"&amp;O$5,INDIRECT("'"&amp;$B22&amp;"'!$AF$6:$AF$205"),0))="","",INDEX(INDIRECT("'"&amp;$B22&amp;"'!$N$6:$N$205"),MATCH($AR22&amp;"|"&amp;O$5,INDIRECT("'"&amp;$B22&amp;"'!$AF$6:$AF$205"),0))),"-"))</f>
        <v/>
      </c>
      <c r="P22" s="37">
        <f>IF(OR(AP22="",P$5="-"),"",IFERROR(IF(INDEX(INDIRECT("'"&amp;$B22&amp;"'!$R$6:$R$205"),MATCH($AR22&amp;"|"&amp;P$5,INDIRECT("'"&amp;$B22&amp;"'!$AF$6:$AF$205"),0))="","",INDEX(INDIRECT("'"&amp;$B22&amp;"'!$R$6:$R$205"),MATCH($AR22&amp;"|"&amp;P$5,INDIRECT("'"&amp;$B22&amp;"'!$AF$6:$AF$205"),0))),"-"))</f>
        <v/>
      </c>
      <c r="Q22" s="37">
        <f>IF(OR(AP22="",Q$5="-"),"",IFERROR(IF(INDEX(INDIRECT("'"&amp;$B22&amp;"'!$R$6:$R$205"),MATCH($AR22&amp;"|"&amp;Q$5,INDIRECT("'"&amp;$B22&amp;"'!$AF$6:$AF$205"),0))="","",INDEX(INDIRECT("'"&amp;$B22&amp;"'!$R$6:$R$205"),MATCH($AR22&amp;"|"&amp;Q$5,INDIRECT("'"&amp;$B22&amp;"'!$AF$6:$AF$205"),0))),"-"))</f>
        <v/>
      </c>
      <c r="R22" s="37">
        <f>IF(OR(AP22="",R$5="-"),"",IFERROR(IF(INDEX(INDIRECT("'"&amp;$B22&amp;"'!$R$6:$R$205"),MATCH($AR22&amp;"|"&amp;R$5,INDIRECT("'"&amp;$B22&amp;"'!$AF$6:$AF$205"),0))="","",INDEX(INDIRECT("'"&amp;$B22&amp;"'!$R$6:$R$205"),MATCH($AR22&amp;"|"&amp;R$5,INDIRECT("'"&amp;$B22&amp;"'!$AF$6:$AF$205"),0))),"-"))</f>
        <v/>
      </c>
      <c r="S22" s="37">
        <f>IF(OR(AP22="",S$5="-"),"",IFERROR(IF(INDEX(INDIRECT("'"&amp;$B22&amp;"'!$R$6:$R$205"),MATCH($AR22&amp;"|"&amp;S$5,INDIRECT("'"&amp;$B22&amp;"'!$AF$6:$AF$205"),0))="","",INDEX(INDIRECT("'"&amp;$B22&amp;"'!$R$6:$R$205"),MATCH($AR22&amp;"|"&amp;S$5,INDIRECT("'"&amp;$B22&amp;"'!$AF$6:$AF$205"),0))),"-"))</f>
        <v/>
      </c>
      <c r="T22" s="37">
        <f>IF(OR(AP22="",T$5="-"),"",IFERROR(IF(INDEX(INDIRECT("'"&amp;$B22&amp;"'!$R$6:$R$205"),MATCH($AR22&amp;"|"&amp;T$5,INDIRECT("'"&amp;$B22&amp;"'!$AF$6:$AF$205"),0))="","",INDEX(INDIRECT("'"&amp;$B22&amp;"'!$R$6:$R$205"),MATCH($AR22&amp;"|"&amp;T$5,INDIRECT("'"&amp;$B22&amp;"'!$AF$6:$AF$205"),0))),"-"))</f>
        <v/>
      </c>
      <c r="U22" s="37">
        <f>IF(OR(AP22="",U$5="-"),"",IFERROR(IF(INDEX(INDIRECT("'"&amp;$B22&amp;"'!$R$6:$R$205"),MATCH($AR22&amp;"|"&amp;U$5,INDIRECT("'"&amp;$B22&amp;"'!$AF$6:$AF$205"),0))="","",INDEX(INDIRECT("'"&amp;$B22&amp;"'!$R$6:$R$205"),MATCH($AR22&amp;"|"&amp;U$5,INDIRECT("'"&amp;$B22&amp;"'!$AF$6:$AF$205"),0))),"-"))</f>
        <v/>
      </c>
      <c r="V22" s="37">
        <f>IF(OR(AP22="",V$5="-"),"",IFERROR(IF(INDEX(INDIRECT("'"&amp;$B22&amp;"'!$R$6:$R$205"),MATCH($AR22&amp;"|"&amp;V$5,INDIRECT("'"&amp;$B22&amp;"'!$AF$6:$AF$205"),0))="","",INDEX(INDIRECT("'"&amp;$B22&amp;"'!$R$6:$R$205"),MATCH($AR22&amp;"|"&amp;V$5,INDIRECT("'"&amp;$B22&amp;"'!$AF$6:$AF$205"),0))),"-"))</f>
        <v/>
      </c>
      <c r="W22" s="37">
        <f>IF(OR(AP22="",W$5="-"),"",IFERROR(IF(INDEX(INDIRECT("'"&amp;$B22&amp;"'!$R$6:$R$205"),MATCH($AR22&amp;"|"&amp;W$5,INDIRECT("'"&amp;$B22&amp;"'!$AF$6:$AF$205"),0))="","",INDEX(INDIRECT("'"&amp;$B22&amp;"'!$R$6:$R$205"),MATCH($AR22&amp;"|"&amp;W$5,INDIRECT("'"&amp;$B22&amp;"'!$AF$6:$AF$205"),0))),"-"))</f>
        <v/>
      </c>
      <c r="X22" s="38">
        <f>IF(OR(AP22="",X$5="-"),"",IFERROR(IF(INDEX(INDIRECT("'"&amp;$B22&amp;"'!$T$6:$T$205"),MATCH($AR22&amp;"|"&amp;X$5,INDIRECT("'"&amp;$B22&amp;"'!$AF$6:$AF$205"),0))="","",INDEX(INDIRECT("'"&amp;$B22&amp;"'!$T$6:$T$205"),MATCH($AR22&amp;"|"&amp;X$5,INDIRECT("'"&amp;$B22&amp;"'!$AF$6:$AF$205"),0))),"-"))</f>
        <v/>
      </c>
      <c r="Y22" s="38">
        <f>IF(OR(AP22="",Y$5="-"),"",IFERROR(IF(INDEX(INDIRECT("'"&amp;$B22&amp;"'!$T$6:$T$205"),MATCH($AR22&amp;"|"&amp;Y$5,INDIRECT("'"&amp;$B22&amp;"'!$AF$6:$AF$205"),0))="","",INDEX(INDIRECT("'"&amp;$B22&amp;"'!$T$6:$T$205"),MATCH($AR22&amp;"|"&amp;Y$5,INDIRECT("'"&amp;$B22&amp;"'!$AF$6:$AF$205"),0))),"-"))</f>
        <v/>
      </c>
      <c r="Z22" s="38">
        <f>IF(OR(AP22="",Z$5="-"),"",IFERROR(IF(INDEX(INDIRECT("'"&amp;$B22&amp;"'!$T$6:$T$205"),MATCH($AR22&amp;"|"&amp;Z$5,INDIRECT("'"&amp;$B22&amp;"'!$AF$6:$AF$205"),0))="","",INDEX(INDIRECT("'"&amp;$B22&amp;"'!$T$6:$T$205"),MATCH($AR22&amp;"|"&amp;Z$5,INDIRECT("'"&amp;$B22&amp;"'!$AF$6:$AF$205"),0))),"-"))</f>
        <v/>
      </c>
      <c r="AA22" s="38">
        <f>IF(OR(AP22="",AA$5="-"),"",IFERROR(IF(INDEX(INDIRECT("'"&amp;$B22&amp;"'!$T$6:$T$205"),MATCH($AR22&amp;"|"&amp;AA$5,INDIRECT("'"&amp;$B22&amp;"'!$AF$6:$AF$205"),0))="","",INDEX(INDIRECT("'"&amp;$B22&amp;"'!$T$6:$T$205"),MATCH($AR22&amp;"|"&amp;AA$5,INDIRECT("'"&amp;$B22&amp;"'!$AF$6:$AF$205"),0))),"-"))</f>
        <v/>
      </c>
      <c r="AB22" s="38">
        <f>IF(OR(AP22="",AB$5="-"),"",IFERROR(IF(INDEX(INDIRECT("'"&amp;$B22&amp;"'!$T$6:$T$205"),MATCH($AR22&amp;"|"&amp;AB$5,INDIRECT("'"&amp;$B22&amp;"'!$AF$6:$AF$205"),0))="","",INDEX(INDIRECT("'"&amp;$B22&amp;"'!$T$6:$T$205"),MATCH($AR22&amp;"|"&amp;AB$5,INDIRECT("'"&amp;$B22&amp;"'!$AF$6:$AF$205"),0))),"-"))</f>
        <v/>
      </c>
      <c r="AC22" s="38">
        <f>IF(OR(AP22="",AC$5="-"),"",IFERROR(IF(INDEX(INDIRECT("'"&amp;$B22&amp;"'!$T$6:$T$205"),MATCH($AR22&amp;"|"&amp;AC$5,INDIRECT("'"&amp;$B22&amp;"'!$AF$6:$AF$205"),0))="","",INDEX(INDIRECT("'"&amp;$B22&amp;"'!$T$6:$T$205"),MATCH($AR22&amp;"|"&amp;AC$5,INDIRECT("'"&amp;$B22&amp;"'!$AF$6:$AF$205"),0))),"-"))</f>
        <v/>
      </c>
      <c r="AD22" s="38">
        <f>IF(OR(AP22="",AD$5="-"),"",IFERROR(IF(INDEX(INDIRECT("'"&amp;$B22&amp;"'!$T$6:$T$205"),MATCH($AR22&amp;"|"&amp;AD$5,INDIRECT("'"&amp;$B22&amp;"'!$AF$6:$AF$205"),0))="","",INDEX(INDIRECT("'"&amp;$B22&amp;"'!$T$6:$T$205"),MATCH($AR22&amp;"|"&amp;AD$5,INDIRECT("'"&amp;$B22&amp;"'!$AF$6:$AF$205"),0))),"-"))</f>
        <v/>
      </c>
      <c r="AE22" s="38">
        <f>IF(OR(AP22="",AE$5="-"),"",IFERROR(IF(INDEX(INDIRECT("'"&amp;$B22&amp;"'!$T$6:$T$205"),MATCH($AR22&amp;"|"&amp;AE$5,INDIRECT("'"&amp;$B22&amp;"'!$AF$6:$AF$205"),0))="","",INDEX(INDIRECT("'"&amp;$B22&amp;"'!$T$6:$T$205"),MATCH($AR22&amp;"|"&amp;AE$5,INDIRECT("'"&amp;$B22&amp;"'!$AF$6:$AF$205"),0))),"-"))</f>
        <v/>
      </c>
      <c r="AF22" s="35">
        <f>IF(AG22="","",INDEX($P$5:$W$5,MATCH(AG22,P22:W22,0)))</f>
        <v/>
      </c>
      <c r="AG22" s="37">
        <f>IF(COUNT(P22:W22)=0,"",MIN(P22:W22))</f>
        <v/>
      </c>
      <c r="AH22" s="39">
        <f>IF(AG22="","",AG22*F22)</f>
        <v/>
      </c>
      <c r="AI22" s="39">
        <f>IF(COUNT(P22:W22)&lt;2,"",(MAX(P22:W22)-MIN(P22:W22))*F22)</f>
        <v/>
      </c>
      <c r="AJ22" s="20" t="n"/>
      <c r="AP22">
        <f>IF(17&gt;MAX($AN$6:$AN$9),"",COUNTIF($AN$6:$AN$9,"&lt;"&amp;17)+1)</f>
        <v/>
      </c>
      <c r="AQ22">
        <f>IF(AP22="","",17-INDEX($AO$6:$AO$9,AP22))</f>
        <v/>
      </c>
      <c r="AR22">
        <f>IF(AP22="","",INDEX(INDIRECT("'"&amp;$B22&amp;"'!$AE$6:$AE$205"),MATCH(AQ22,INDIRECT("'"&amp;$B22&amp;"'!$AI$6:$AI$205"),0)))</f>
        <v/>
      </c>
    </row>
    <row r="23">
      <c r="A23" s="34">
        <f>IF(AP23="","",18)</f>
        <v/>
      </c>
      <c r="B23" s="35">
        <f>IF(AP23="","",INDEX($AL$6:$AL$9,AP23))</f>
        <v/>
      </c>
      <c r="C23" s="34">
        <f>IF(AP23="","",INDEX(INDIRECT("'"&amp;$B23&amp;"'!$B$6:$B$205"),MATCH($AR23,INDIRECT("'"&amp;$B23&amp;"'!$AE$6:$AE$205"),0)))</f>
        <v/>
      </c>
      <c r="D23" s="34">
        <f>IF(AP23="","",INDEX(INDIRECT("'"&amp;$B23&amp;"'!$D$6:$D$205"),MATCH($AR23,INDIRECT("'"&amp;$B23&amp;"'!$AE$6:$AE$205"),0)))</f>
        <v/>
      </c>
      <c r="E23" s="36">
        <f>IF(AP23="","",INDEX(INDIRECT("'"&amp;$B23&amp;"'!$F$6:$F$205"),MATCH($AR23,INDIRECT("'"&amp;$B23&amp;"'!$AE$6:$AE$205"),0)))</f>
        <v/>
      </c>
      <c r="F23" s="34">
        <f>IF(AP23="","",INDEX(INDIRECT("'"&amp;$B23&amp;"'!$K$6:$K$205"),MATCH($AR23,INDIRECT("'"&amp;$B23&amp;"'!$AE$6:$AE$205"),0)))</f>
        <v/>
      </c>
      <c r="G23" s="34">
        <f>IF(AP23="","",INDEX(INDIRECT("'"&amp;$B23&amp;"'!$L$6:$L$205"),MATCH($AR23,INDIRECT("'"&amp;$B23&amp;"'!$AE$6:$AE$205"),0)))</f>
        <v/>
      </c>
      <c r="H23" s="34">
        <f>IF(OR(AP23="",H$5="-"),"",IFERROR(IF(INDEX(INDIRECT("'"&amp;$B23&amp;"'!$N$6:$N$205"),MATCH($AR23&amp;"|"&amp;H$5,INDIRECT("'"&amp;$B23&amp;"'!$AF$6:$AF$205"),0))="","",INDEX(INDIRECT("'"&amp;$B23&amp;"'!$N$6:$N$205"),MATCH($AR23&amp;"|"&amp;H$5,INDIRECT("'"&amp;$B23&amp;"'!$AF$6:$AF$205"),0))),"-"))</f>
        <v/>
      </c>
      <c r="I23" s="34">
        <f>IF(OR(AP23="",I$5="-"),"",IFERROR(IF(INDEX(INDIRECT("'"&amp;$B23&amp;"'!$N$6:$N$205"),MATCH($AR23&amp;"|"&amp;I$5,INDIRECT("'"&amp;$B23&amp;"'!$AF$6:$AF$205"),0))="","",INDEX(INDIRECT("'"&amp;$B23&amp;"'!$N$6:$N$205"),MATCH($AR23&amp;"|"&amp;I$5,INDIRECT("'"&amp;$B23&amp;"'!$AF$6:$AF$205"),0))),"-"))</f>
        <v/>
      </c>
      <c r="J23" s="34">
        <f>IF(OR(AP23="",J$5="-"),"",IFERROR(IF(INDEX(INDIRECT("'"&amp;$B23&amp;"'!$N$6:$N$205"),MATCH($AR23&amp;"|"&amp;J$5,INDIRECT("'"&amp;$B23&amp;"'!$AF$6:$AF$205"),0))="","",INDEX(INDIRECT("'"&amp;$B23&amp;"'!$N$6:$N$205"),MATCH($AR23&amp;"|"&amp;J$5,INDIRECT("'"&amp;$B23&amp;"'!$AF$6:$AF$205"),0))),"-"))</f>
        <v/>
      </c>
      <c r="K23" s="34">
        <f>IF(OR(AP23="",K$5="-"),"",IFERROR(IF(INDEX(INDIRECT("'"&amp;$B23&amp;"'!$N$6:$N$205"),MATCH($AR23&amp;"|"&amp;K$5,INDIRECT("'"&amp;$B23&amp;"'!$AF$6:$AF$205"),0))="","",INDEX(INDIRECT("'"&amp;$B23&amp;"'!$N$6:$N$205"),MATCH($AR23&amp;"|"&amp;K$5,INDIRECT("'"&amp;$B23&amp;"'!$AF$6:$AF$205"),0))),"-"))</f>
        <v/>
      </c>
      <c r="L23" s="34">
        <f>IF(OR(AP23="",L$5="-"),"",IFERROR(IF(INDEX(INDIRECT("'"&amp;$B23&amp;"'!$N$6:$N$205"),MATCH($AR23&amp;"|"&amp;L$5,INDIRECT("'"&amp;$B23&amp;"'!$AF$6:$AF$205"),0))="","",INDEX(INDIRECT("'"&amp;$B23&amp;"'!$N$6:$N$205"),MATCH($AR23&amp;"|"&amp;L$5,INDIRECT("'"&amp;$B23&amp;"'!$AF$6:$AF$205"),0))),"-"))</f>
        <v/>
      </c>
      <c r="M23" s="34">
        <f>IF(OR(AP23="",M$5="-"),"",IFERROR(IF(INDEX(INDIRECT("'"&amp;$B23&amp;"'!$N$6:$N$205"),MATCH($AR23&amp;"|"&amp;M$5,INDIRECT("'"&amp;$B23&amp;"'!$AF$6:$AF$205"),0))="","",INDEX(INDIRECT("'"&amp;$B23&amp;"'!$N$6:$N$205"),MATCH($AR23&amp;"|"&amp;M$5,INDIRECT("'"&amp;$B23&amp;"'!$AF$6:$AF$205"),0))),"-"))</f>
        <v/>
      </c>
      <c r="N23" s="34">
        <f>IF(OR(AP23="",N$5="-"),"",IFERROR(IF(INDEX(INDIRECT("'"&amp;$B23&amp;"'!$N$6:$N$205"),MATCH($AR23&amp;"|"&amp;N$5,INDIRECT("'"&amp;$B23&amp;"'!$AF$6:$AF$205"),0))="","",INDEX(INDIRECT("'"&amp;$B23&amp;"'!$N$6:$N$205"),MATCH($AR23&amp;"|"&amp;N$5,INDIRECT("'"&amp;$B23&amp;"'!$AF$6:$AF$205"),0))),"-"))</f>
        <v/>
      </c>
      <c r="O23" s="34">
        <f>IF(OR(AP23="",O$5="-"),"",IFERROR(IF(INDEX(INDIRECT("'"&amp;$B23&amp;"'!$N$6:$N$205"),MATCH($AR23&amp;"|"&amp;O$5,INDIRECT("'"&amp;$B23&amp;"'!$AF$6:$AF$205"),0))="","",INDEX(INDIRECT("'"&amp;$B23&amp;"'!$N$6:$N$205"),MATCH($AR23&amp;"|"&amp;O$5,INDIRECT("'"&amp;$B23&amp;"'!$AF$6:$AF$205"),0))),"-"))</f>
        <v/>
      </c>
      <c r="P23" s="37">
        <f>IF(OR(AP23="",P$5="-"),"",IFERROR(IF(INDEX(INDIRECT("'"&amp;$B23&amp;"'!$R$6:$R$205"),MATCH($AR23&amp;"|"&amp;P$5,INDIRECT("'"&amp;$B23&amp;"'!$AF$6:$AF$205"),0))="","",INDEX(INDIRECT("'"&amp;$B23&amp;"'!$R$6:$R$205"),MATCH($AR23&amp;"|"&amp;P$5,INDIRECT("'"&amp;$B23&amp;"'!$AF$6:$AF$205"),0))),"-"))</f>
        <v/>
      </c>
      <c r="Q23" s="37">
        <f>IF(OR(AP23="",Q$5="-"),"",IFERROR(IF(INDEX(INDIRECT("'"&amp;$B23&amp;"'!$R$6:$R$205"),MATCH($AR23&amp;"|"&amp;Q$5,INDIRECT("'"&amp;$B23&amp;"'!$AF$6:$AF$205"),0))="","",INDEX(INDIRECT("'"&amp;$B23&amp;"'!$R$6:$R$205"),MATCH($AR23&amp;"|"&amp;Q$5,INDIRECT("'"&amp;$B23&amp;"'!$AF$6:$AF$205"),0))),"-"))</f>
        <v/>
      </c>
      <c r="R23" s="37">
        <f>IF(OR(AP23="",R$5="-"),"",IFERROR(IF(INDEX(INDIRECT("'"&amp;$B23&amp;"'!$R$6:$R$205"),MATCH($AR23&amp;"|"&amp;R$5,INDIRECT("'"&amp;$B23&amp;"'!$AF$6:$AF$205"),0))="","",INDEX(INDIRECT("'"&amp;$B23&amp;"'!$R$6:$R$205"),MATCH($AR23&amp;"|"&amp;R$5,INDIRECT("'"&amp;$B23&amp;"'!$AF$6:$AF$205"),0))),"-"))</f>
        <v/>
      </c>
      <c r="S23" s="37">
        <f>IF(OR(AP23="",S$5="-"),"",IFERROR(IF(INDEX(INDIRECT("'"&amp;$B23&amp;"'!$R$6:$R$205"),MATCH($AR23&amp;"|"&amp;S$5,INDIRECT("'"&amp;$B23&amp;"'!$AF$6:$AF$205"),0))="","",INDEX(INDIRECT("'"&amp;$B23&amp;"'!$R$6:$R$205"),MATCH($AR23&amp;"|"&amp;S$5,INDIRECT("'"&amp;$B23&amp;"'!$AF$6:$AF$205"),0))),"-"))</f>
        <v/>
      </c>
      <c r="T23" s="37">
        <f>IF(OR(AP23="",T$5="-"),"",IFERROR(IF(INDEX(INDIRECT("'"&amp;$B23&amp;"'!$R$6:$R$205"),MATCH($AR23&amp;"|"&amp;T$5,INDIRECT("'"&amp;$B23&amp;"'!$AF$6:$AF$205"),0))="","",INDEX(INDIRECT("'"&amp;$B23&amp;"'!$R$6:$R$205"),MATCH($AR23&amp;"|"&amp;T$5,INDIRECT("'"&amp;$B23&amp;"'!$AF$6:$AF$205"),0))),"-"))</f>
        <v/>
      </c>
      <c r="U23" s="37">
        <f>IF(OR(AP23="",U$5="-"),"",IFERROR(IF(INDEX(INDIRECT("'"&amp;$B23&amp;"'!$R$6:$R$205"),MATCH($AR23&amp;"|"&amp;U$5,INDIRECT("'"&amp;$B23&amp;"'!$AF$6:$AF$205"),0))="","",INDEX(INDIRECT("'"&amp;$B23&amp;"'!$R$6:$R$205"),MATCH($AR23&amp;"|"&amp;U$5,INDIRECT("'"&amp;$B23&amp;"'!$AF$6:$AF$205"),0))),"-"))</f>
        <v/>
      </c>
      <c r="V23" s="37">
        <f>IF(OR(AP23="",V$5="-"),"",IFERROR(IF(INDEX(INDIRECT("'"&amp;$B23&amp;"'!$R$6:$R$205"),MATCH($AR23&amp;"|"&amp;V$5,INDIRECT("'"&amp;$B23&amp;"'!$AF$6:$AF$205"),0))="","",INDEX(INDIRECT("'"&amp;$B23&amp;"'!$R$6:$R$205"),MATCH($AR23&amp;"|"&amp;V$5,INDIRECT("'"&amp;$B23&amp;"'!$AF$6:$AF$205"),0))),"-"))</f>
        <v/>
      </c>
      <c r="W23" s="37">
        <f>IF(OR(AP23="",W$5="-"),"",IFERROR(IF(INDEX(INDIRECT("'"&amp;$B23&amp;"'!$R$6:$R$205"),MATCH($AR23&amp;"|"&amp;W$5,INDIRECT("'"&amp;$B23&amp;"'!$AF$6:$AF$205"),0))="","",INDEX(INDIRECT("'"&amp;$B23&amp;"'!$R$6:$R$205"),MATCH($AR23&amp;"|"&amp;W$5,INDIRECT("'"&amp;$B23&amp;"'!$AF$6:$AF$205"),0))),"-"))</f>
        <v/>
      </c>
      <c r="X23" s="38">
        <f>IF(OR(AP23="",X$5="-"),"",IFERROR(IF(INDEX(INDIRECT("'"&amp;$B23&amp;"'!$T$6:$T$205"),MATCH($AR23&amp;"|"&amp;X$5,INDIRECT("'"&amp;$B23&amp;"'!$AF$6:$AF$205"),0))="","",INDEX(INDIRECT("'"&amp;$B23&amp;"'!$T$6:$T$205"),MATCH($AR23&amp;"|"&amp;X$5,INDIRECT("'"&amp;$B23&amp;"'!$AF$6:$AF$205"),0))),"-"))</f>
        <v/>
      </c>
      <c r="Y23" s="38">
        <f>IF(OR(AP23="",Y$5="-"),"",IFERROR(IF(INDEX(INDIRECT("'"&amp;$B23&amp;"'!$T$6:$T$205"),MATCH($AR23&amp;"|"&amp;Y$5,INDIRECT("'"&amp;$B23&amp;"'!$AF$6:$AF$205"),0))="","",INDEX(INDIRECT("'"&amp;$B23&amp;"'!$T$6:$T$205"),MATCH($AR23&amp;"|"&amp;Y$5,INDIRECT("'"&amp;$B23&amp;"'!$AF$6:$AF$205"),0))),"-"))</f>
        <v/>
      </c>
      <c r="Z23" s="38">
        <f>IF(OR(AP23="",Z$5="-"),"",IFERROR(IF(INDEX(INDIRECT("'"&amp;$B23&amp;"'!$T$6:$T$205"),MATCH($AR23&amp;"|"&amp;Z$5,INDIRECT("'"&amp;$B23&amp;"'!$AF$6:$AF$205"),0))="","",INDEX(INDIRECT("'"&amp;$B23&amp;"'!$T$6:$T$205"),MATCH($AR23&amp;"|"&amp;Z$5,INDIRECT("'"&amp;$B23&amp;"'!$AF$6:$AF$205"),0))),"-"))</f>
        <v/>
      </c>
      <c r="AA23" s="38">
        <f>IF(OR(AP23="",AA$5="-"),"",IFERROR(IF(INDEX(INDIRECT("'"&amp;$B23&amp;"'!$T$6:$T$205"),MATCH($AR23&amp;"|"&amp;AA$5,INDIRECT("'"&amp;$B23&amp;"'!$AF$6:$AF$205"),0))="","",INDEX(INDIRECT("'"&amp;$B23&amp;"'!$T$6:$T$205"),MATCH($AR23&amp;"|"&amp;AA$5,INDIRECT("'"&amp;$B23&amp;"'!$AF$6:$AF$205"),0))),"-"))</f>
        <v/>
      </c>
      <c r="AB23" s="38">
        <f>IF(OR(AP23="",AB$5="-"),"",IFERROR(IF(INDEX(INDIRECT("'"&amp;$B23&amp;"'!$T$6:$T$205"),MATCH($AR23&amp;"|"&amp;AB$5,INDIRECT("'"&amp;$B23&amp;"'!$AF$6:$AF$205"),0))="","",INDEX(INDIRECT("'"&amp;$B23&amp;"'!$T$6:$T$205"),MATCH($AR23&amp;"|"&amp;AB$5,INDIRECT("'"&amp;$B23&amp;"'!$AF$6:$AF$205"),0))),"-"))</f>
        <v/>
      </c>
      <c r="AC23" s="38">
        <f>IF(OR(AP23="",AC$5="-"),"",IFERROR(IF(INDEX(INDIRECT("'"&amp;$B23&amp;"'!$T$6:$T$205"),MATCH($AR23&amp;"|"&amp;AC$5,INDIRECT("'"&amp;$B23&amp;"'!$AF$6:$AF$205"),0))="","",INDEX(INDIRECT("'"&amp;$B23&amp;"'!$T$6:$T$205"),MATCH($AR23&amp;"|"&amp;AC$5,INDIRECT("'"&amp;$B23&amp;"'!$AF$6:$AF$205"),0))),"-"))</f>
        <v/>
      </c>
      <c r="AD23" s="38">
        <f>IF(OR(AP23="",AD$5="-"),"",IFERROR(IF(INDEX(INDIRECT("'"&amp;$B23&amp;"'!$T$6:$T$205"),MATCH($AR23&amp;"|"&amp;AD$5,INDIRECT("'"&amp;$B23&amp;"'!$AF$6:$AF$205"),0))="","",INDEX(INDIRECT("'"&amp;$B23&amp;"'!$T$6:$T$205"),MATCH($AR23&amp;"|"&amp;AD$5,INDIRECT("'"&amp;$B23&amp;"'!$AF$6:$AF$205"),0))),"-"))</f>
        <v/>
      </c>
      <c r="AE23" s="38">
        <f>IF(OR(AP23="",AE$5="-"),"",IFERROR(IF(INDEX(INDIRECT("'"&amp;$B23&amp;"'!$T$6:$T$205"),MATCH($AR23&amp;"|"&amp;AE$5,INDIRECT("'"&amp;$B23&amp;"'!$AF$6:$AF$205"),0))="","",INDEX(INDIRECT("'"&amp;$B23&amp;"'!$T$6:$T$205"),MATCH($AR23&amp;"|"&amp;AE$5,INDIRECT("'"&amp;$B23&amp;"'!$AF$6:$AF$205"),0))),"-"))</f>
        <v/>
      </c>
      <c r="AF23" s="35">
        <f>IF(AG23="","",INDEX($P$5:$W$5,MATCH(AG23,P23:W23,0)))</f>
        <v/>
      </c>
      <c r="AG23" s="37">
        <f>IF(COUNT(P23:W23)=0,"",MIN(P23:W23))</f>
        <v/>
      </c>
      <c r="AH23" s="39">
        <f>IF(AG23="","",AG23*F23)</f>
        <v/>
      </c>
      <c r="AI23" s="39">
        <f>IF(COUNT(P23:W23)&lt;2,"",(MAX(P23:W23)-MIN(P23:W23))*F23)</f>
        <v/>
      </c>
      <c r="AJ23" s="20" t="n"/>
      <c r="AP23">
        <f>IF(18&gt;MAX($AN$6:$AN$9),"",COUNTIF($AN$6:$AN$9,"&lt;"&amp;18)+1)</f>
        <v/>
      </c>
      <c r="AQ23">
        <f>IF(AP23="","",18-INDEX($AO$6:$AO$9,AP23))</f>
        <v/>
      </c>
      <c r="AR23">
        <f>IF(AP23="","",INDEX(INDIRECT("'"&amp;$B23&amp;"'!$AE$6:$AE$205"),MATCH(AQ23,INDIRECT("'"&amp;$B23&amp;"'!$AI$6:$AI$205"),0)))</f>
        <v/>
      </c>
    </row>
    <row r="24">
      <c r="A24" s="34">
        <f>IF(AP24="","",19)</f>
        <v/>
      </c>
      <c r="B24" s="35">
        <f>IF(AP24="","",INDEX($AL$6:$AL$9,AP24))</f>
        <v/>
      </c>
      <c r="C24" s="34">
        <f>IF(AP24="","",INDEX(INDIRECT("'"&amp;$B24&amp;"'!$B$6:$B$205"),MATCH($AR24,INDIRECT("'"&amp;$B24&amp;"'!$AE$6:$AE$205"),0)))</f>
        <v/>
      </c>
      <c r="D24" s="34">
        <f>IF(AP24="","",INDEX(INDIRECT("'"&amp;$B24&amp;"'!$D$6:$D$205"),MATCH($AR24,INDIRECT("'"&amp;$B24&amp;"'!$AE$6:$AE$205"),0)))</f>
        <v/>
      </c>
      <c r="E24" s="36">
        <f>IF(AP24="","",INDEX(INDIRECT("'"&amp;$B24&amp;"'!$F$6:$F$205"),MATCH($AR24,INDIRECT("'"&amp;$B24&amp;"'!$AE$6:$AE$205"),0)))</f>
        <v/>
      </c>
      <c r="F24" s="34">
        <f>IF(AP24="","",INDEX(INDIRECT("'"&amp;$B24&amp;"'!$K$6:$K$205"),MATCH($AR24,INDIRECT("'"&amp;$B24&amp;"'!$AE$6:$AE$205"),0)))</f>
        <v/>
      </c>
      <c r="G24" s="34">
        <f>IF(AP24="","",INDEX(INDIRECT("'"&amp;$B24&amp;"'!$L$6:$L$205"),MATCH($AR24,INDIRECT("'"&amp;$B24&amp;"'!$AE$6:$AE$205"),0)))</f>
        <v/>
      </c>
      <c r="H24" s="34">
        <f>IF(OR(AP24="",H$5="-"),"",IFERROR(IF(INDEX(INDIRECT("'"&amp;$B24&amp;"'!$N$6:$N$205"),MATCH($AR24&amp;"|"&amp;H$5,INDIRECT("'"&amp;$B24&amp;"'!$AF$6:$AF$205"),0))="","",INDEX(INDIRECT("'"&amp;$B24&amp;"'!$N$6:$N$205"),MATCH($AR24&amp;"|"&amp;H$5,INDIRECT("'"&amp;$B24&amp;"'!$AF$6:$AF$205"),0))),"-"))</f>
        <v/>
      </c>
      <c r="I24" s="34">
        <f>IF(OR(AP24="",I$5="-"),"",IFERROR(IF(INDEX(INDIRECT("'"&amp;$B24&amp;"'!$N$6:$N$205"),MATCH($AR24&amp;"|"&amp;I$5,INDIRECT("'"&amp;$B24&amp;"'!$AF$6:$AF$205"),0))="","",INDEX(INDIRECT("'"&amp;$B24&amp;"'!$N$6:$N$205"),MATCH($AR24&amp;"|"&amp;I$5,INDIRECT("'"&amp;$B24&amp;"'!$AF$6:$AF$205"),0))),"-"))</f>
        <v/>
      </c>
      <c r="J24" s="34">
        <f>IF(OR(AP24="",J$5="-"),"",IFERROR(IF(INDEX(INDIRECT("'"&amp;$B24&amp;"'!$N$6:$N$205"),MATCH($AR24&amp;"|"&amp;J$5,INDIRECT("'"&amp;$B24&amp;"'!$AF$6:$AF$205"),0))="","",INDEX(INDIRECT("'"&amp;$B24&amp;"'!$N$6:$N$205"),MATCH($AR24&amp;"|"&amp;J$5,INDIRECT("'"&amp;$B24&amp;"'!$AF$6:$AF$205"),0))),"-"))</f>
        <v/>
      </c>
      <c r="K24" s="34">
        <f>IF(OR(AP24="",K$5="-"),"",IFERROR(IF(INDEX(INDIRECT("'"&amp;$B24&amp;"'!$N$6:$N$205"),MATCH($AR24&amp;"|"&amp;K$5,INDIRECT("'"&amp;$B24&amp;"'!$AF$6:$AF$205"),0))="","",INDEX(INDIRECT("'"&amp;$B24&amp;"'!$N$6:$N$205"),MATCH($AR24&amp;"|"&amp;K$5,INDIRECT("'"&amp;$B24&amp;"'!$AF$6:$AF$205"),0))),"-"))</f>
        <v/>
      </c>
      <c r="L24" s="34">
        <f>IF(OR(AP24="",L$5="-"),"",IFERROR(IF(INDEX(INDIRECT("'"&amp;$B24&amp;"'!$N$6:$N$205"),MATCH($AR24&amp;"|"&amp;L$5,INDIRECT("'"&amp;$B24&amp;"'!$AF$6:$AF$205"),0))="","",INDEX(INDIRECT("'"&amp;$B24&amp;"'!$N$6:$N$205"),MATCH($AR24&amp;"|"&amp;L$5,INDIRECT("'"&amp;$B24&amp;"'!$AF$6:$AF$205"),0))),"-"))</f>
        <v/>
      </c>
      <c r="M24" s="34">
        <f>IF(OR(AP24="",M$5="-"),"",IFERROR(IF(INDEX(INDIRECT("'"&amp;$B24&amp;"'!$N$6:$N$205"),MATCH($AR24&amp;"|"&amp;M$5,INDIRECT("'"&amp;$B24&amp;"'!$AF$6:$AF$205"),0))="","",INDEX(INDIRECT("'"&amp;$B24&amp;"'!$N$6:$N$205"),MATCH($AR24&amp;"|"&amp;M$5,INDIRECT("'"&amp;$B24&amp;"'!$AF$6:$AF$205"),0))),"-"))</f>
        <v/>
      </c>
      <c r="N24" s="34">
        <f>IF(OR(AP24="",N$5="-"),"",IFERROR(IF(INDEX(INDIRECT("'"&amp;$B24&amp;"'!$N$6:$N$205"),MATCH($AR24&amp;"|"&amp;N$5,INDIRECT("'"&amp;$B24&amp;"'!$AF$6:$AF$205"),0))="","",INDEX(INDIRECT("'"&amp;$B24&amp;"'!$N$6:$N$205"),MATCH($AR24&amp;"|"&amp;N$5,INDIRECT("'"&amp;$B24&amp;"'!$AF$6:$AF$205"),0))),"-"))</f>
        <v/>
      </c>
      <c r="O24" s="34">
        <f>IF(OR(AP24="",O$5="-"),"",IFERROR(IF(INDEX(INDIRECT("'"&amp;$B24&amp;"'!$N$6:$N$205"),MATCH($AR24&amp;"|"&amp;O$5,INDIRECT("'"&amp;$B24&amp;"'!$AF$6:$AF$205"),0))="","",INDEX(INDIRECT("'"&amp;$B24&amp;"'!$N$6:$N$205"),MATCH($AR24&amp;"|"&amp;O$5,INDIRECT("'"&amp;$B24&amp;"'!$AF$6:$AF$205"),0))),"-"))</f>
        <v/>
      </c>
      <c r="P24" s="37">
        <f>IF(OR(AP24="",P$5="-"),"",IFERROR(IF(INDEX(INDIRECT("'"&amp;$B24&amp;"'!$R$6:$R$205"),MATCH($AR24&amp;"|"&amp;P$5,INDIRECT("'"&amp;$B24&amp;"'!$AF$6:$AF$205"),0))="","",INDEX(INDIRECT("'"&amp;$B24&amp;"'!$R$6:$R$205"),MATCH($AR24&amp;"|"&amp;P$5,INDIRECT("'"&amp;$B24&amp;"'!$AF$6:$AF$205"),0))),"-"))</f>
        <v/>
      </c>
      <c r="Q24" s="37">
        <f>IF(OR(AP24="",Q$5="-"),"",IFERROR(IF(INDEX(INDIRECT("'"&amp;$B24&amp;"'!$R$6:$R$205"),MATCH($AR24&amp;"|"&amp;Q$5,INDIRECT("'"&amp;$B24&amp;"'!$AF$6:$AF$205"),0))="","",INDEX(INDIRECT("'"&amp;$B24&amp;"'!$R$6:$R$205"),MATCH($AR24&amp;"|"&amp;Q$5,INDIRECT("'"&amp;$B24&amp;"'!$AF$6:$AF$205"),0))),"-"))</f>
        <v/>
      </c>
      <c r="R24" s="37">
        <f>IF(OR(AP24="",R$5="-"),"",IFERROR(IF(INDEX(INDIRECT("'"&amp;$B24&amp;"'!$R$6:$R$205"),MATCH($AR24&amp;"|"&amp;R$5,INDIRECT("'"&amp;$B24&amp;"'!$AF$6:$AF$205"),0))="","",INDEX(INDIRECT("'"&amp;$B24&amp;"'!$R$6:$R$205"),MATCH($AR24&amp;"|"&amp;R$5,INDIRECT("'"&amp;$B24&amp;"'!$AF$6:$AF$205"),0))),"-"))</f>
        <v/>
      </c>
      <c r="S24" s="37">
        <f>IF(OR(AP24="",S$5="-"),"",IFERROR(IF(INDEX(INDIRECT("'"&amp;$B24&amp;"'!$R$6:$R$205"),MATCH($AR24&amp;"|"&amp;S$5,INDIRECT("'"&amp;$B24&amp;"'!$AF$6:$AF$205"),0))="","",INDEX(INDIRECT("'"&amp;$B24&amp;"'!$R$6:$R$205"),MATCH($AR24&amp;"|"&amp;S$5,INDIRECT("'"&amp;$B24&amp;"'!$AF$6:$AF$205"),0))),"-"))</f>
        <v/>
      </c>
      <c r="T24" s="37">
        <f>IF(OR(AP24="",T$5="-"),"",IFERROR(IF(INDEX(INDIRECT("'"&amp;$B24&amp;"'!$R$6:$R$205"),MATCH($AR24&amp;"|"&amp;T$5,INDIRECT("'"&amp;$B24&amp;"'!$AF$6:$AF$205"),0))="","",INDEX(INDIRECT("'"&amp;$B24&amp;"'!$R$6:$R$205"),MATCH($AR24&amp;"|"&amp;T$5,INDIRECT("'"&amp;$B24&amp;"'!$AF$6:$AF$205"),0))),"-"))</f>
        <v/>
      </c>
      <c r="U24" s="37">
        <f>IF(OR(AP24="",U$5="-"),"",IFERROR(IF(INDEX(INDIRECT("'"&amp;$B24&amp;"'!$R$6:$R$205"),MATCH($AR24&amp;"|"&amp;U$5,INDIRECT("'"&amp;$B24&amp;"'!$AF$6:$AF$205"),0))="","",INDEX(INDIRECT("'"&amp;$B24&amp;"'!$R$6:$R$205"),MATCH($AR24&amp;"|"&amp;U$5,INDIRECT("'"&amp;$B24&amp;"'!$AF$6:$AF$205"),0))),"-"))</f>
        <v/>
      </c>
      <c r="V24" s="37">
        <f>IF(OR(AP24="",V$5="-"),"",IFERROR(IF(INDEX(INDIRECT("'"&amp;$B24&amp;"'!$R$6:$R$205"),MATCH($AR24&amp;"|"&amp;V$5,INDIRECT("'"&amp;$B24&amp;"'!$AF$6:$AF$205"),0))="","",INDEX(INDIRECT("'"&amp;$B24&amp;"'!$R$6:$R$205"),MATCH($AR24&amp;"|"&amp;V$5,INDIRECT("'"&amp;$B24&amp;"'!$AF$6:$AF$205"),0))),"-"))</f>
        <v/>
      </c>
      <c r="W24" s="37">
        <f>IF(OR(AP24="",W$5="-"),"",IFERROR(IF(INDEX(INDIRECT("'"&amp;$B24&amp;"'!$R$6:$R$205"),MATCH($AR24&amp;"|"&amp;W$5,INDIRECT("'"&amp;$B24&amp;"'!$AF$6:$AF$205"),0))="","",INDEX(INDIRECT("'"&amp;$B24&amp;"'!$R$6:$R$205"),MATCH($AR24&amp;"|"&amp;W$5,INDIRECT("'"&amp;$B24&amp;"'!$AF$6:$AF$205"),0))),"-"))</f>
        <v/>
      </c>
      <c r="X24" s="38">
        <f>IF(OR(AP24="",X$5="-"),"",IFERROR(IF(INDEX(INDIRECT("'"&amp;$B24&amp;"'!$T$6:$T$205"),MATCH($AR24&amp;"|"&amp;X$5,INDIRECT("'"&amp;$B24&amp;"'!$AF$6:$AF$205"),0))="","",INDEX(INDIRECT("'"&amp;$B24&amp;"'!$T$6:$T$205"),MATCH($AR24&amp;"|"&amp;X$5,INDIRECT("'"&amp;$B24&amp;"'!$AF$6:$AF$205"),0))),"-"))</f>
        <v/>
      </c>
      <c r="Y24" s="38">
        <f>IF(OR(AP24="",Y$5="-"),"",IFERROR(IF(INDEX(INDIRECT("'"&amp;$B24&amp;"'!$T$6:$T$205"),MATCH($AR24&amp;"|"&amp;Y$5,INDIRECT("'"&amp;$B24&amp;"'!$AF$6:$AF$205"),0))="","",INDEX(INDIRECT("'"&amp;$B24&amp;"'!$T$6:$T$205"),MATCH($AR24&amp;"|"&amp;Y$5,INDIRECT("'"&amp;$B24&amp;"'!$AF$6:$AF$205"),0))),"-"))</f>
        <v/>
      </c>
      <c r="Z24" s="38">
        <f>IF(OR(AP24="",Z$5="-"),"",IFERROR(IF(INDEX(INDIRECT("'"&amp;$B24&amp;"'!$T$6:$T$205"),MATCH($AR24&amp;"|"&amp;Z$5,INDIRECT("'"&amp;$B24&amp;"'!$AF$6:$AF$205"),0))="","",INDEX(INDIRECT("'"&amp;$B24&amp;"'!$T$6:$T$205"),MATCH($AR24&amp;"|"&amp;Z$5,INDIRECT("'"&amp;$B24&amp;"'!$AF$6:$AF$205"),0))),"-"))</f>
        <v/>
      </c>
      <c r="AA24" s="38">
        <f>IF(OR(AP24="",AA$5="-"),"",IFERROR(IF(INDEX(INDIRECT("'"&amp;$B24&amp;"'!$T$6:$T$205"),MATCH($AR24&amp;"|"&amp;AA$5,INDIRECT("'"&amp;$B24&amp;"'!$AF$6:$AF$205"),0))="","",INDEX(INDIRECT("'"&amp;$B24&amp;"'!$T$6:$T$205"),MATCH($AR24&amp;"|"&amp;AA$5,INDIRECT("'"&amp;$B24&amp;"'!$AF$6:$AF$205"),0))),"-"))</f>
        <v/>
      </c>
      <c r="AB24" s="38">
        <f>IF(OR(AP24="",AB$5="-"),"",IFERROR(IF(INDEX(INDIRECT("'"&amp;$B24&amp;"'!$T$6:$T$205"),MATCH($AR24&amp;"|"&amp;AB$5,INDIRECT("'"&amp;$B24&amp;"'!$AF$6:$AF$205"),0))="","",INDEX(INDIRECT("'"&amp;$B24&amp;"'!$T$6:$T$205"),MATCH($AR24&amp;"|"&amp;AB$5,INDIRECT("'"&amp;$B24&amp;"'!$AF$6:$AF$205"),0))),"-"))</f>
        <v/>
      </c>
      <c r="AC24" s="38">
        <f>IF(OR(AP24="",AC$5="-"),"",IFERROR(IF(INDEX(INDIRECT("'"&amp;$B24&amp;"'!$T$6:$T$205"),MATCH($AR24&amp;"|"&amp;AC$5,INDIRECT("'"&amp;$B24&amp;"'!$AF$6:$AF$205"),0))="","",INDEX(INDIRECT("'"&amp;$B24&amp;"'!$T$6:$T$205"),MATCH($AR24&amp;"|"&amp;AC$5,INDIRECT("'"&amp;$B24&amp;"'!$AF$6:$AF$205"),0))),"-"))</f>
        <v/>
      </c>
      <c r="AD24" s="38">
        <f>IF(OR(AP24="",AD$5="-"),"",IFERROR(IF(INDEX(INDIRECT("'"&amp;$B24&amp;"'!$T$6:$T$205"),MATCH($AR24&amp;"|"&amp;AD$5,INDIRECT("'"&amp;$B24&amp;"'!$AF$6:$AF$205"),0))="","",INDEX(INDIRECT("'"&amp;$B24&amp;"'!$T$6:$T$205"),MATCH($AR24&amp;"|"&amp;AD$5,INDIRECT("'"&amp;$B24&amp;"'!$AF$6:$AF$205"),0))),"-"))</f>
        <v/>
      </c>
      <c r="AE24" s="38">
        <f>IF(OR(AP24="",AE$5="-"),"",IFERROR(IF(INDEX(INDIRECT("'"&amp;$B24&amp;"'!$T$6:$T$205"),MATCH($AR24&amp;"|"&amp;AE$5,INDIRECT("'"&amp;$B24&amp;"'!$AF$6:$AF$205"),0))="","",INDEX(INDIRECT("'"&amp;$B24&amp;"'!$T$6:$T$205"),MATCH($AR24&amp;"|"&amp;AE$5,INDIRECT("'"&amp;$B24&amp;"'!$AF$6:$AF$205"),0))),"-"))</f>
        <v/>
      </c>
      <c r="AF24" s="35">
        <f>IF(AG24="","",INDEX($P$5:$W$5,MATCH(AG24,P24:W24,0)))</f>
        <v/>
      </c>
      <c r="AG24" s="37">
        <f>IF(COUNT(P24:W24)=0,"",MIN(P24:W24))</f>
        <v/>
      </c>
      <c r="AH24" s="39">
        <f>IF(AG24="","",AG24*F24)</f>
        <v/>
      </c>
      <c r="AI24" s="39">
        <f>IF(COUNT(P24:W24)&lt;2,"",(MAX(P24:W24)-MIN(P24:W24))*F24)</f>
        <v/>
      </c>
      <c r="AJ24" s="20" t="n"/>
      <c r="AP24">
        <f>IF(19&gt;MAX($AN$6:$AN$9),"",COUNTIF($AN$6:$AN$9,"&lt;"&amp;19)+1)</f>
        <v/>
      </c>
      <c r="AQ24">
        <f>IF(AP24="","",19-INDEX($AO$6:$AO$9,AP24))</f>
        <v/>
      </c>
      <c r="AR24">
        <f>IF(AP24="","",INDEX(INDIRECT("'"&amp;$B24&amp;"'!$AE$6:$AE$205"),MATCH(AQ24,INDIRECT("'"&amp;$B24&amp;"'!$AI$6:$AI$205"),0)))</f>
        <v/>
      </c>
    </row>
    <row r="25">
      <c r="A25" s="34">
        <f>IF(AP25="","",20)</f>
        <v/>
      </c>
      <c r="B25" s="35">
        <f>IF(AP25="","",INDEX($AL$6:$AL$9,AP25))</f>
        <v/>
      </c>
      <c r="C25" s="34">
        <f>IF(AP25="","",INDEX(INDIRECT("'"&amp;$B25&amp;"'!$B$6:$B$205"),MATCH($AR25,INDIRECT("'"&amp;$B25&amp;"'!$AE$6:$AE$205"),0)))</f>
        <v/>
      </c>
      <c r="D25" s="34">
        <f>IF(AP25="","",INDEX(INDIRECT("'"&amp;$B25&amp;"'!$D$6:$D$205"),MATCH($AR25,INDIRECT("'"&amp;$B25&amp;"'!$AE$6:$AE$205"),0)))</f>
        <v/>
      </c>
      <c r="E25" s="36">
        <f>IF(AP25="","",INDEX(INDIRECT("'"&amp;$B25&amp;"'!$F$6:$F$205"),MATCH($AR25,INDIRECT("'"&amp;$B25&amp;"'!$AE$6:$AE$205"),0)))</f>
        <v/>
      </c>
      <c r="F25" s="34">
        <f>IF(AP25="","",INDEX(INDIRECT("'"&amp;$B25&amp;"'!$K$6:$K$205"),MATCH($AR25,INDIRECT("'"&amp;$B25&amp;"'!$AE$6:$AE$205"),0)))</f>
        <v/>
      </c>
      <c r="G25" s="34">
        <f>IF(AP25="","",INDEX(INDIRECT("'"&amp;$B25&amp;"'!$L$6:$L$205"),MATCH($AR25,INDIRECT("'"&amp;$B25&amp;"'!$AE$6:$AE$205"),0)))</f>
        <v/>
      </c>
      <c r="H25" s="34">
        <f>IF(OR(AP25="",H$5="-"),"",IFERROR(IF(INDEX(INDIRECT("'"&amp;$B25&amp;"'!$N$6:$N$205"),MATCH($AR25&amp;"|"&amp;H$5,INDIRECT("'"&amp;$B25&amp;"'!$AF$6:$AF$205"),0))="","",INDEX(INDIRECT("'"&amp;$B25&amp;"'!$N$6:$N$205"),MATCH($AR25&amp;"|"&amp;H$5,INDIRECT("'"&amp;$B25&amp;"'!$AF$6:$AF$205"),0))),"-"))</f>
        <v/>
      </c>
      <c r="I25" s="34">
        <f>IF(OR(AP25="",I$5="-"),"",IFERROR(IF(INDEX(INDIRECT("'"&amp;$B25&amp;"'!$N$6:$N$205"),MATCH($AR25&amp;"|"&amp;I$5,INDIRECT("'"&amp;$B25&amp;"'!$AF$6:$AF$205"),0))="","",INDEX(INDIRECT("'"&amp;$B25&amp;"'!$N$6:$N$205"),MATCH($AR25&amp;"|"&amp;I$5,INDIRECT("'"&amp;$B25&amp;"'!$AF$6:$AF$205"),0))),"-"))</f>
        <v/>
      </c>
      <c r="J25" s="34">
        <f>IF(OR(AP25="",J$5="-"),"",IFERROR(IF(INDEX(INDIRECT("'"&amp;$B25&amp;"'!$N$6:$N$205"),MATCH($AR25&amp;"|"&amp;J$5,INDIRECT("'"&amp;$B25&amp;"'!$AF$6:$AF$205"),0))="","",INDEX(INDIRECT("'"&amp;$B25&amp;"'!$N$6:$N$205"),MATCH($AR25&amp;"|"&amp;J$5,INDIRECT("'"&amp;$B25&amp;"'!$AF$6:$AF$205"),0))),"-"))</f>
        <v/>
      </c>
      <c r="K25" s="34">
        <f>IF(OR(AP25="",K$5="-"),"",IFERROR(IF(INDEX(INDIRECT("'"&amp;$B25&amp;"'!$N$6:$N$205"),MATCH($AR25&amp;"|"&amp;K$5,INDIRECT("'"&amp;$B25&amp;"'!$AF$6:$AF$205"),0))="","",INDEX(INDIRECT("'"&amp;$B25&amp;"'!$N$6:$N$205"),MATCH($AR25&amp;"|"&amp;K$5,INDIRECT("'"&amp;$B25&amp;"'!$AF$6:$AF$205"),0))),"-"))</f>
        <v/>
      </c>
      <c r="L25" s="34">
        <f>IF(OR(AP25="",L$5="-"),"",IFERROR(IF(INDEX(INDIRECT("'"&amp;$B25&amp;"'!$N$6:$N$205"),MATCH($AR25&amp;"|"&amp;L$5,INDIRECT("'"&amp;$B25&amp;"'!$AF$6:$AF$205"),0))="","",INDEX(INDIRECT("'"&amp;$B25&amp;"'!$N$6:$N$205"),MATCH($AR25&amp;"|"&amp;L$5,INDIRECT("'"&amp;$B25&amp;"'!$AF$6:$AF$205"),0))),"-"))</f>
        <v/>
      </c>
      <c r="M25" s="34">
        <f>IF(OR(AP25="",M$5="-"),"",IFERROR(IF(INDEX(INDIRECT("'"&amp;$B25&amp;"'!$N$6:$N$205"),MATCH($AR25&amp;"|"&amp;M$5,INDIRECT("'"&amp;$B25&amp;"'!$AF$6:$AF$205"),0))="","",INDEX(INDIRECT("'"&amp;$B25&amp;"'!$N$6:$N$205"),MATCH($AR25&amp;"|"&amp;M$5,INDIRECT("'"&amp;$B25&amp;"'!$AF$6:$AF$205"),0))),"-"))</f>
        <v/>
      </c>
      <c r="N25" s="34">
        <f>IF(OR(AP25="",N$5="-"),"",IFERROR(IF(INDEX(INDIRECT("'"&amp;$B25&amp;"'!$N$6:$N$205"),MATCH($AR25&amp;"|"&amp;N$5,INDIRECT("'"&amp;$B25&amp;"'!$AF$6:$AF$205"),0))="","",INDEX(INDIRECT("'"&amp;$B25&amp;"'!$N$6:$N$205"),MATCH($AR25&amp;"|"&amp;N$5,INDIRECT("'"&amp;$B25&amp;"'!$AF$6:$AF$205"),0))),"-"))</f>
        <v/>
      </c>
      <c r="O25" s="34">
        <f>IF(OR(AP25="",O$5="-"),"",IFERROR(IF(INDEX(INDIRECT("'"&amp;$B25&amp;"'!$N$6:$N$205"),MATCH($AR25&amp;"|"&amp;O$5,INDIRECT("'"&amp;$B25&amp;"'!$AF$6:$AF$205"),0))="","",INDEX(INDIRECT("'"&amp;$B25&amp;"'!$N$6:$N$205"),MATCH($AR25&amp;"|"&amp;O$5,INDIRECT("'"&amp;$B25&amp;"'!$AF$6:$AF$205"),0))),"-"))</f>
        <v/>
      </c>
      <c r="P25" s="37">
        <f>IF(OR(AP25="",P$5="-"),"",IFERROR(IF(INDEX(INDIRECT("'"&amp;$B25&amp;"'!$R$6:$R$205"),MATCH($AR25&amp;"|"&amp;P$5,INDIRECT("'"&amp;$B25&amp;"'!$AF$6:$AF$205"),0))="","",INDEX(INDIRECT("'"&amp;$B25&amp;"'!$R$6:$R$205"),MATCH($AR25&amp;"|"&amp;P$5,INDIRECT("'"&amp;$B25&amp;"'!$AF$6:$AF$205"),0))),"-"))</f>
        <v/>
      </c>
      <c r="Q25" s="37">
        <f>IF(OR(AP25="",Q$5="-"),"",IFERROR(IF(INDEX(INDIRECT("'"&amp;$B25&amp;"'!$R$6:$R$205"),MATCH($AR25&amp;"|"&amp;Q$5,INDIRECT("'"&amp;$B25&amp;"'!$AF$6:$AF$205"),0))="","",INDEX(INDIRECT("'"&amp;$B25&amp;"'!$R$6:$R$205"),MATCH($AR25&amp;"|"&amp;Q$5,INDIRECT("'"&amp;$B25&amp;"'!$AF$6:$AF$205"),0))),"-"))</f>
        <v/>
      </c>
      <c r="R25" s="37">
        <f>IF(OR(AP25="",R$5="-"),"",IFERROR(IF(INDEX(INDIRECT("'"&amp;$B25&amp;"'!$R$6:$R$205"),MATCH($AR25&amp;"|"&amp;R$5,INDIRECT("'"&amp;$B25&amp;"'!$AF$6:$AF$205"),0))="","",INDEX(INDIRECT("'"&amp;$B25&amp;"'!$R$6:$R$205"),MATCH($AR25&amp;"|"&amp;R$5,INDIRECT("'"&amp;$B25&amp;"'!$AF$6:$AF$205"),0))),"-"))</f>
        <v/>
      </c>
      <c r="S25" s="37">
        <f>IF(OR(AP25="",S$5="-"),"",IFERROR(IF(INDEX(INDIRECT("'"&amp;$B25&amp;"'!$R$6:$R$205"),MATCH($AR25&amp;"|"&amp;S$5,INDIRECT("'"&amp;$B25&amp;"'!$AF$6:$AF$205"),0))="","",INDEX(INDIRECT("'"&amp;$B25&amp;"'!$R$6:$R$205"),MATCH($AR25&amp;"|"&amp;S$5,INDIRECT("'"&amp;$B25&amp;"'!$AF$6:$AF$205"),0))),"-"))</f>
        <v/>
      </c>
      <c r="T25" s="37">
        <f>IF(OR(AP25="",T$5="-"),"",IFERROR(IF(INDEX(INDIRECT("'"&amp;$B25&amp;"'!$R$6:$R$205"),MATCH($AR25&amp;"|"&amp;T$5,INDIRECT("'"&amp;$B25&amp;"'!$AF$6:$AF$205"),0))="","",INDEX(INDIRECT("'"&amp;$B25&amp;"'!$R$6:$R$205"),MATCH($AR25&amp;"|"&amp;T$5,INDIRECT("'"&amp;$B25&amp;"'!$AF$6:$AF$205"),0))),"-"))</f>
        <v/>
      </c>
      <c r="U25" s="37">
        <f>IF(OR(AP25="",U$5="-"),"",IFERROR(IF(INDEX(INDIRECT("'"&amp;$B25&amp;"'!$R$6:$R$205"),MATCH($AR25&amp;"|"&amp;U$5,INDIRECT("'"&amp;$B25&amp;"'!$AF$6:$AF$205"),0))="","",INDEX(INDIRECT("'"&amp;$B25&amp;"'!$R$6:$R$205"),MATCH($AR25&amp;"|"&amp;U$5,INDIRECT("'"&amp;$B25&amp;"'!$AF$6:$AF$205"),0))),"-"))</f>
        <v/>
      </c>
      <c r="V25" s="37">
        <f>IF(OR(AP25="",V$5="-"),"",IFERROR(IF(INDEX(INDIRECT("'"&amp;$B25&amp;"'!$R$6:$R$205"),MATCH($AR25&amp;"|"&amp;V$5,INDIRECT("'"&amp;$B25&amp;"'!$AF$6:$AF$205"),0))="","",INDEX(INDIRECT("'"&amp;$B25&amp;"'!$R$6:$R$205"),MATCH($AR25&amp;"|"&amp;V$5,INDIRECT("'"&amp;$B25&amp;"'!$AF$6:$AF$205"),0))),"-"))</f>
        <v/>
      </c>
      <c r="W25" s="37">
        <f>IF(OR(AP25="",W$5="-"),"",IFERROR(IF(INDEX(INDIRECT("'"&amp;$B25&amp;"'!$R$6:$R$205"),MATCH($AR25&amp;"|"&amp;W$5,INDIRECT("'"&amp;$B25&amp;"'!$AF$6:$AF$205"),0))="","",INDEX(INDIRECT("'"&amp;$B25&amp;"'!$R$6:$R$205"),MATCH($AR25&amp;"|"&amp;W$5,INDIRECT("'"&amp;$B25&amp;"'!$AF$6:$AF$205"),0))),"-"))</f>
        <v/>
      </c>
      <c r="X25" s="38">
        <f>IF(OR(AP25="",X$5="-"),"",IFERROR(IF(INDEX(INDIRECT("'"&amp;$B25&amp;"'!$T$6:$T$205"),MATCH($AR25&amp;"|"&amp;X$5,INDIRECT("'"&amp;$B25&amp;"'!$AF$6:$AF$205"),0))="","",INDEX(INDIRECT("'"&amp;$B25&amp;"'!$T$6:$T$205"),MATCH($AR25&amp;"|"&amp;X$5,INDIRECT("'"&amp;$B25&amp;"'!$AF$6:$AF$205"),0))),"-"))</f>
        <v/>
      </c>
      <c r="Y25" s="38">
        <f>IF(OR(AP25="",Y$5="-"),"",IFERROR(IF(INDEX(INDIRECT("'"&amp;$B25&amp;"'!$T$6:$T$205"),MATCH($AR25&amp;"|"&amp;Y$5,INDIRECT("'"&amp;$B25&amp;"'!$AF$6:$AF$205"),0))="","",INDEX(INDIRECT("'"&amp;$B25&amp;"'!$T$6:$T$205"),MATCH($AR25&amp;"|"&amp;Y$5,INDIRECT("'"&amp;$B25&amp;"'!$AF$6:$AF$205"),0))),"-"))</f>
        <v/>
      </c>
      <c r="Z25" s="38">
        <f>IF(OR(AP25="",Z$5="-"),"",IFERROR(IF(INDEX(INDIRECT("'"&amp;$B25&amp;"'!$T$6:$T$205"),MATCH($AR25&amp;"|"&amp;Z$5,INDIRECT("'"&amp;$B25&amp;"'!$AF$6:$AF$205"),0))="","",INDEX(INDIRECT("'"&amp;$B25&amp;"'!$T$6:$T$205"),MATCH($AR25&amp;"|"&amp;Z$5,INDIRECT("'"&amp;$B25&amp;"'!$AF$6:$AF$205"),0))),"-"))</f>
        <v/>
      </c>
      <c r="AA25" s="38">
        <f>IF(OR(AP25="",AA$5="-"),"",IFERROR(IF(INDEX(INDIRECT("'"&amp;$B25&amp;"'!$T$6:$T$205"),MATCH($AR25&amp;"|"&amp;AA$5,INDIRECT("'"&amp;$B25&amp;"'!$AF$6:$AF$205"),0))="","",INDEX(INDIRECT("'"&amp;$B25&amp;"'!$T$6:$T$205"),MATCH($AR25&amp;"|"&amp;AA$5,INDIRECT("'"&amp;$B25&amp;"'!$AF$6:$AF$205"),0))),"-"))</f>
        <v/>
      </c>
      <c r="AB25" s="38">
        <f>IF(OR(AP25="",AB$5="-"),"",IFERROR(IF(INDEX(INDIRECT("'"&amp;$B25&amp;"'!$T$6:$T$205"),MATCH($AR25&amp;"|"&amp;AB$5,INDIRECT("'"&amp;$B25&amp;"'!$AF$6:$AF$205"),0))="","",INDEX(INDIRECT("'"&amp;$B25&amp;"'!$T$6:$T$205"),MATCH($AR25&amp;"|"&amp;AB$5,INDIRECT("'"&amp;$B25&amp;"'!$AF$6:$AF$205"),0))),"-"))</f>
        <v/>
      </c>
      <c r="AC25" s="38">
        <f>IF(OR(AP25="",AC$5="-"),"",IFERROR(IF(INDEX(INDIRECT("'"&amp;$B25&amp;"'!$T$6:$T$205"),MATCH($AR25&amp;"|"&amp;AC$5,INDIRECT("'"&amp;$B25&amp;"'!$AF$6:$AF$205"),0))="","",INDEX(INDIRECT("'"&amp;$B25&amp;"'!$T$6:$T$205"),MATCH($AR25&amp;"|"&amp;AC$5,INDIRECT("'"&amp;$B25&amp;"'!$AF$6:$AF$205"),0))),"-"))</f>
        <v/>
      </c>
      <c r="AD25" s="38">
        <f>IF(OR(AP25="",AD$5="-"),"",IFERROR(IF(INDEX(INDIRECT("'"&amp;$B25&amp;"'!$T$6:$T$205"),MATCH($AR25&amp;"|"&amp;AD$5,INDIRECT("'"&amp;$B25&amp;"'!$AF$6:$AF$205"),0))="","",INDEX(INDIRECT("'"&amp;$B25&amp;"'!$T$6:$T$205"),MATCH($AR25&amp;"|"&amp;AD$5,INDIRECT("'"&amp;$B25&amp;"'!$AF$6:$AF$205"),0))),"-"))</f>
        <v/>
      </c>
      <c r="AE25" s="38">
        <f>IF(OR(AP25="",AE$5="-"),"",IFERROR(IF(INDEX(INDIRECT("'"&amp;$B25&amp;"'!$T$6:$T$205"),MATCH($AR25&amp;"|"&amp;AE$5,INDIRECT("'"&amp;$B25&amp;"'!$AF$6:$AF$205"),0))="","",INDEX(INDIRECT("'"&amp;$B25&amp;"'!$T$6:$T$205"),MATCH($AR25&amp;"|"&amp;AE$5,INDIRECT("'"&amp;$B25&amp;"'!$AF$6:$AF$205"),0))),"-"))</f>
        <v/>
      </c>
      <c r="AF25" s="35">
        <f>IF(AG25="","",INDEX($P$5:$W$5,MATCH(AG25,P25:W25,0)))</f>
        <v/>
      </c>
      <c r="AG25" s="37">
        <f>IF(COUNT(P25:W25)=0,"",MIN(P25:W25))</f>
        <v/>
      </c>
      <c r="AH25" s="39">
        <f>IF(AG25="","",AG25*F25)</f>
        <v/>
      </c>
      <c r="AI25" s="39">
        <f>IF(COUNT(P25:W25)&lt;2,"",(MAX(P25:W25)-MIN(P25:W25))*F25)</f>
        <v/>
      </c>
      <c r="AJ25" s="20" t="n"/>
      <c r="AP25">
        <f>IF(20&gt;MAX($AN$6:$AN$9),"",COUNTIF($AN$6:$AN$9,"&lt;"&amp;20)+1)</f>
        <v/>
      </c>
      <c r="AQ25">
        <f>IF(AP25="","",20-INDEX($AO$6:$AO$9,AP25))</f>
        <v/>
      </c>
      <c r="AR25">
        <f>IF(AP25="","",INDEX(INDIRECT("'"&amp;$B25&amp;"'!$AE$6:$AE$205"),MATCH(AQ25,INDIRECT("'"&amp;$B25&amp;"'!$AI$6:$AI$205"),0)))</f>
        <v/>
      </c>
    </row>
    <row r="26">
      <c r="A26" s="34">
        <f>IF(AP26="","",21)</f>
        <v/>
      </c>
      <c r="B26" s="35">
        <f>IF(AP26="","",INDEX($AL$6:$AL$9,AP26))</f>
        <v/>
      </c>
      <c r="C26" s="34">
        <f>IF(AP26="","",INDEX(INDIRECT("'"&amp;$B26&amp;"'!$B$6:$B$205"),MATCH($AR26,INDIRECT("'"&amp;$B26&amp;"'!$AE$6:$AE$205"),0)))</f>
        <v/>
      </c>
      <c r="D26" s="34">
        <f>IF(AP26="","",INDEX(INDIRECT("'"&amp;$B26&amp;"'!$D$6:$D$205"),MATCH($AR26,INDIRECT("'"&amp;$B26&amp;"'!$AE$6:$AE$205"),0)))</f>
        <v/>
      </c>
      <c r="E26" s="36">
        <f>IF(AP26="","",INDEX(INDIRECT("'"&amp;$B26&amp;"'!$F$6:$F$205"),MATCH($AR26,INDIRECT("'"&amp;$B26&amp;"'!$AE$6:$AE$205"),0)))</f>
        <v/>
      </c>
      <c r="F26" s="34">
        <f>IF(AP26="","",INDEX(INDIRECT("'"&amp;$B26&amp;"'!$K$6:$K$205"),MATCH($AR26,INDIRECT("'"&amp;$B26&amp;"'!$AE$6:$AE$205"),0)))</f>
        <v/>
      </c>
      <c r="G26" s="34">
        <f>IF(AP26="","",INDEX(INDIRECT("'"&amp;$B26&amp;"'!$L$6:$L$205"),MATCH($AR26,INDIRECT("'"&amp;$B26&amp;"'!$AE$6:$AE$205"),0)))</f>
        <v/>
      </c>
      <c r="H26" s="34">
        <f>IF(OR(AP26="",H$5="-"),"",IFERROR(IF(INDEX(INDIRECT("'"&amp;$B26&amp;"'!$N$6:$N$205"),MATCH($AR26&amp;"|"&amp;H$5,INDIRECT("'"&amp;$B26&amp;"'!$AF$6:$AF$205"),0))="","",INDEX(INDIRECT("'"&amp;$B26&amp;"'!$N$6:$N$205"),MATCH($AR26&amp;"|"&amp;H$5,INDIRECT("'"&amp;$B26&amp;"'!$AF$6:$AF$205"),0))),"-"))</f>
        <v/>
      </c>
      <c r="I26" s="34">
        <f>IF(OR(AP26="",I$5="-"),"",IFERROR(IF(INDEX(INDIRECT("'"&amp;$B26&amp;"'!$N$6:$N$205"),MATCH($AR26&amp;"|"&amp;I$5,INDIRECT("'"&amp;$B26&amp;"'!$AF$6:$AF$205"),0))="","",INDEX(INDIRECT("'"&amp;$B26&amp;"'!$N$6:$N$205"),MATCH($AR26&amp;"|"&amp;I$5,INDIRECT("'"&amp;$B26&amp;"'!$AF$6:$AF$205"),0))),"-"))</f>
        <v/>
      </c>
      <c r="J26" s="34">
        <f>IF(OR(AP26="",J$5="-"),"",IFERROR(IF(INDEX(INDIRECT("'"&amp;$B26&amp;"'!$N$6:$N$205"),MATCH($AR26&amp;"|"&amp;J$5,INDIRECT("'"&amp;$B26&amp;"'!$AF$6:$AF$205"),0))="","",INDEX(INDIRECT("'"&amp;$B26&amp;"'!$N$6:$N$205"),MATCH($AR26&amp;"|"&amp;J$5,INDIRECT("'"&amp;$B26&amp;"'!$AF$6:$AF$205"),0))),"-"))</f>
        <v/>
      </c>
      <c r="K26" s="34">
        <f>IF(OR(AP26="",K$5="-"),"",IFERROR(IF(INDEX(INDIRECT("'"&amp;$B26&amp;"'!$N$6:$N$205"),MATCH($AR26&amp;"|"&amp;K$5,INDIRECT("'"&amp;$B26&amp;"'!$AF$6:$AF$205"),0))="","",INDEX(INDIRECT("'"&amp;$B26&amp;"'!$N$6:$N$205"),MATCH($AR26&amp;"|"&amp;K$5,INDIRECT("'"&amp;$B26&amp;"'!$AF$6:$AF$205"),0))),"-"))</f>
        <v/>
      </c>
      <c r="L26" s="34">
        <f>IF(OR(AP26="",L$5="-"),"",IFERROR(IF(INDEX(INDIRECT("'"&amp;$B26&amp;"'!$N$6:$N$205"),MATCH($AR26&amp;"|"&amp;L$5,INDIRECT("'"&amp;$B26&amp;"'!$AF$6:$AF$205"),0))="","",INDEX(INDIRECT("'"&amp;$B26&amp;"'!$N$6:$N$205"),MATCH($AR26&amp;"|"&amp;L$5,INDIRECT("'"&amp;$B26&amp;"'!$AF$6:$AF$205"),0))),"-"))</f>
        <v/>
      </c>
      <c r="M26" s="34">
        <f>IF(OR(AP26="",M$5="-"),"",IFERROR(IF(INDEX(INDIRECT("'"&amp;$B26&amp;"'!$N$6:$N$205"),MATCH($AR26&amp;"|"&amp;M$5,INDIRECT("'"&amp;$B26&amp;"'!$AF$6:$AF$205"),0))="","",INDEX(INDIRECT("'"&amp;$B26&amp;"'!$N$6:$N$205"),MATCH($AR26&amp;"|"&amp;M$5,INDIRECT("'"&amp;$B26&amp;"'!$AF$6:$AF$205"),0))),"-"))</f>
        <v/>
      </c>
      <c r="N26" s="34">
        <f>IF(OR(AP26="",N$5="-"),"",IFERROR(IF(INDEX(INDIRECT("'"&amp;$B26&amp;"'!$N$6:$N$205"),MATCH($AR26&amp;"|"&amp;N$5,INDIRECT("'"&amp;$B26&amp;"'!$AF$6:$AF$205"),0))="","",INDEX(INDIRECT("'"&amp;$B26&amp;"'!$N$6:$N$205"),MATCH($AR26&amp;"|"&amp;N$5,INDIRECT("'"&amp;$B26&amp;"'!$AF$6:$AF$205"),0))),"-"))</f>
        <v/>
      </c>
      <c r="O26" s="34">
        <f>IF(OR(AP26="",O$5="-"),"",IFERROR(IF(INDEX(INDIRECT("'"&amp;$B26&amp;"'!$N$6:$N$205"),MATCH($AR26&amp;"|"&amp;O$5,INDIRECT("'"&amp;$B26&amp;"'!$AF$6:$AF$205"),0))="","",INDEX(INDIRECT("'"&amp;$B26&amp;"'!$N$6:$N$205"),MATCH($AR26&amp;"|"&amp;O$5,INDIRECT("'"&amp;$B26&amp;"'!$AF$6:$AF$205"),0))),"-"))</f>
        <v/>
      </c>
      <c r="P26" s="37">
        <f>IF(OR(AP26="",P$5="-"),"",IFERROR(IF(INDEX(INDIRECT("'"&amp;$B26&amp;"'!$R$6:$R$205"),MATCH($AR26&amp;"|"&amp;P$5,INDIRECT("'"&amp;$B26&amp;"'!$AF$6:$AF$205"),0))="","",INDEX(INDIRECT("'"&amp;$B26&amp;"'!$R$6:$R$205"),MATCH($AR26&amp;"|"&amp;P$5,INDIRECT("'"&amp;$B26&amp;"'!$AF$6:$AF$205"),0))),"-"))</f>
        <v/>
      </c>
      <c r="Q26" s="37">
        <f>IF(OR(AP26="",Q$5="-"),"",IFERROR(IF(INDEX(INDIRECT("'"&amp;$B26&amp;"'!$R$6:$R$205"),MATCH($AR26&amp;"|"&amp;Q$5,INDIRECT("'"&amp;$B26&amp;"'!$AF$6:$AF$205"),0))="","",INDEX(INDIRECT("'"&amp;$B26&amp;"'!$R$6:$R$205"),MATCH($AR26&amp;"|"&amp;Q$5,INDIRECT("'"&amp;$B26&amp;"'!$AF$6:$AF$205"),0))),"-"))</f>
        <v/>
      </c>
      <c r="R26" s="37">
        <f>IF(OR(AP26="",R$5="-"),"",IFERROR(IF(INDEX(INDIRECT("'"&amp;$B26&amp;"'!$R$6:$R$205"),MATCH($AR26&amp;"|"&amp;R$5,INDIRECT("'"&amp;$B26&amp;"'!$AF$6:$AF$205"),0))="","",INDEX(INDIRECT("'"&amp;$B26&amp;"'!$R$6:$R$205"),MATCH($AR26&amp;"|"&amp;R$5,INDIRECT("'"&amp;$B26&amp;"'!$AF$6:$AF$205"),0))),"-"))</f>
        <v/>
      </c>
      <c r="S26" s="37">
        <f>IF(OR(AP26="",S$5="-"),"",IFERROR(IF(INDEX(INDIRECT("'"&amp;$B26&amp;"'!$R$6:$R$205"),MATCH($AR26&amp;"|"&amp;S$5,INDIRECT("'"&amp;$B26&amp;"'!$AF$6:$AF$205"),0))="","",INDEX(INDIRECT("'"&amp;$B26&amp;"'!$R$6:$R$205"),MATCH($AR26&amp;"|"&amp;S$5,INDIRECT("'"&amp;$B26&amp;"'!$AF$6:$AF$205"),0))),"-"))</f>
        <v/>
      </c>
      <c r="T26" s="37">
        <f>IF(OR(AP26="",T$5="-"),"",IFERROR(IF(INDEX(INDIRECT("'"&amp;$B26&amp;"'!$R$6:$R$205"),MATCH($AR26&amp;"|"&amp;T$5,INDIRECT("'"&amp;$B26&amp;"'!$AF$6:$AF$205"),0))="","",INDEX(INDIRECT("'"&amp;$B26&amp;"'!$R$6:$R$205"),MATCH($AR26&amp;"|"&amp;T$5,INDIRECT("'"&amp;$B26&amp;"'!$AF$6:$AF$205"),0))),"-"))</f>
        <v/>
      </c>
      <c r="U26" s="37">
        <f>IF(OR(AP26="",U$5="-"),"",IFERROR(IF(INDEX(INDIRECT("'"&amp;$B26&amp;"'!$R$6:$R$205"),MATCH($AR26&amp;"|"&amp;U$5,INDIRECT("'"&amp;$B26&amp;"'!$AF$6:$AF$205"),0))="","",INDEX(INDIRECT("'"&amp;$B26&amp;"'!$R$6:$R$205"),MATCH($AR26&amp;"|"&amp;U$5,INDIRECT("'"&amp;$B26&amp;"'!$AF$6:$AF$205"),0))),"-"))</f>
        <v/>
      </c>
      <c r="V26" s="37">
        <f>IF(OR(AP26="",V$5="-"),"",IFERROR(IF(INDEX(INDIRECT("'"&amp;$B26&amp;"'!$R$6:$R$205"),MATCH($AR26&amp;"|"&amp;V$5,INDIRECT("'"&amp;$B26&amp;"'!$AF$6:$AF$205"),0))="","",INDEX(INDIRECT("'"&amp;$B26&amp;"'!$R$6:$R$205"),MATCH($AR26&amp;"|"&amp;V$5,INDIRECT("'"&amp;$B26&amp;"'!$AF$6:$AF$205"),0))),"-"))</f>
        <v/>
      </c>
      <c r="W26" s="37">
        <f>IF(OR(AP26="",W$5="-"),"",IFERROR(IF(INDEX(INDIRECT("'"&amp;$B26&amp;"'!$R$6:$R$205"),MATCH($AR26&amp;"|"&amp;W$5,INDIRECT("'"&amp;$B26&amp;"'!$AF$6:$AF$205"),0))="","",INDEX(INDIRECT("'"&amp;$B26&amp;"'!$R$6:$R$205"),MATCH($AR26&amp;"|"&amp;W$5,INDIRECT("'"&amp;$B26&amp;"'!$AF$6:$AF$205"),0))),"-"))</f>
        <v/>
      </c>
      <c r="X26" s="38">
        <f>IF(OR(AP26="",X$5="-"),"",IFERROR(IF(INDEX(INDIRECT("'"&amp;$B26&amp;"'!$T$6:$T$205"),MATCH($AR26&amp;"|"&amp;X$5,INDIRECT("'"&amp;$B26&amp;"'!$AF$6:$AF$205"),0))="","",INDEX(INDIRECT("'"&amp;$B26&amp;"'!$T$6:$T$205"),MATCH($AR26&amp;"|"&amp;X$5,INDIRECT("'"&amp;$B26&amp;"'!$AF$6:$AF$205"),0))),"-"))</f>
        <v/>
      </c>
      <c r="Y26" s="38">
        <f>IF(OR(AP26="",Y$5="-"),"",IFERROR(IF(INDEX(INDIRECT("'"&amp;$B26&amp;"'!$T$6:$T$205"),MATCH($AR26&amp;"|"&amp;Y$5,INDIRECT("'"&amp;$B26&amp;"'!$AF$6:$AF$205"),0))="","",INDEX(INDIRECT("'"&amp;$B26&amp;"'!$T$6:$T$205"),MATCH($AR26&amp;"|"&amp;Y$5,INDIRECT("'"&amp;$B26&amp;"'!$AF$6:$AF$205"),0))),"-"))</f>
        <v/>
      </c>
      <c r="Z26" s="38">
        <f>IF(OR(AP26="",Z$5="-"),"",IFERROR(IF(INDEX(INDIRECT("'"&amp;$B26&amp;"'!$T$6:$T$205"),MATCH($AR26&amp;"|"&amp;Z$5,INDIRECT("'"&amp;$B26&amp;"'!$AF$6:$AF$205"),0))="","",INDEX(INDIRECT("'"&amp;$B26&amp;"'!$T$6:$T$205"),MATCH($AR26&amp;"|"&amp;Z$5,INDIRECT("'"&amp;$B26&amp;"'!$AF$6:$AF$205"),0))),"-"))</f>
        <v/>
      </c>
      <c r="AA26" s="38">
        <f>IF(OR(AP26="",AA$5="-"),"",IFERROR(IF(INDEX(INDIRECT("'"&amp;$B26&amp;"'!$T$6:$T$205"),MATCH($AR26&amp;"|"&amp;AA$5,INDIRECT("'"&amp;$B26&amp;"'!$AF$6:$AF$205"),0))="","",INDEX(INDIRECT("'"&amp;$B26&amp;"'!$T$6:$T$205"),MATCH($AR26&amp;"|"&amp;AA$5,INDIRECT("'"&amp;$B26&amp;"'!$AF$6:$AF$205"),0))),"-"))</f>
        <v/>
      </c>
      <c r="AB26" s="38">
        <f>IF(OR(AP26="",AB$5="-"),"",IFERROR(IF(INDEX(INDIRECT("'"&amp;$B26&amp;"'!$T$6:$T$205"),MATCH($AR26&amp;"|"&amp;AB$5,INDIRECT("'"&amp;$B26&amp;"'!$AF$6:$AF$205"),0))="","",INDEX(INDIRECT("'"&amp;$B26&amp;"'!$T$6:$T$205"),MATCH($AR26&amp;"|"&amp;AB$5,INDIRECT("'"&amp;$B26&amp;"'!$AF$6:$AF$205"),0))),"-"))</f>
        <v/>
      </c>
      <c r="AC26" s="38">
        <f>IF(OR(AP26="",AC$5="-"),"",IFERROR(IF(INDEX(INDIRECT("'"&amp;$B26&amp;"'!$T$6:$T$205"),MATCH($AR26&amp;"|"&amp;AC$5,INDIRECT("'"&amp;$B26&amp;"'!$AF$6:$AF$205"),0))="","",INDEX(INDIRECT("'"&amp;$B26&amp;"'!$T$6:$T$205"),MATCH($AR26&amp;"|"&amp;AC$5,INDIRECT("'"&amp;$B26&amp;"'!$AF$6:$AF$205"),0))),"-"))</f>
        <v/>
      </c>
      <c r="AD26" s="38">
        <f>IF(OR(AP26="",AD$5="-"),"",IFERROR(IF(INDEX(INDIRECT("'"&amp;$B26&amp;"'!$T$6:$T$205"),MATCH($AR26&amp;"|"&amp;AD$5,INDIRECT("'"&amp;$B26&amp;"'!$AF$6:$AF$205"),0))="","",INDEX(INDIRECT("'"&amp;$B26&amp;"'!$T$6:$T$205"),MATCH($AR26&amp;"|"&amp;AD$5,INDIRECT("'"&amp;$B26&amp;"'!$AF$6:$AF$205"),0))),"-"))</f>
        <v/>
      </c>
      <c r="AE26" s="38">
        <f>IF(OR(AP26="",AE$5="-"),"",IFERROR(IF(INDEX(INDIRECT("'"&amp;$B26&amp;"'!$T$6:$T$205"),MATCH($AR26&amp;"|"&amp;AE$5,INDIRECT("'"&amp;$B26&amp;"'!$AF$6:$AF$205"),0))="","",INDEX(INDIRECT("'"&amp;$B26&amp;"'!$T$6:$T$205"),MATCH($AR26&amp;"|"&amp;AE$5,INDIRECT("'"&amp;$B26&amp;"'!$AF$6:$AF$205"),0))),"-"))</f>
        <v/>
      </c>
      <c r="AF26" s="35">
        <f>IF(AG26="","",INDEX($P$5:$W$5,MATCH(AG26,P26:W26,0)))</f>
        <v/>
      </c>
      <c r="AG26" s="37">
        <f>IF(COUNT(P26:W26)=0,"",MIN(P26:W26))</f>
        <v/>
      </c>
      <c r="AH26" s="39">
        <f>IF(AG26="","",AG26*F26)</f>
        <v/>
      </c>
      <c r="AI26" s="39">
        <f>IF(COUNT(P26:W26)&lt;2,"",(MAX(P26:W26)-MIN(P26:W26))*F26)</f>
        <v/>
      </c>
      <c r="AJ26" s="20" t="n"/>
      <c r="AP26">
        <f>IF(21&gt;MAX($AN$6:$AN$9),"",COUNTIF($AN$6:$AN$9,"&lt;"&amp;21)+1)</f>
        <v/>
      </c>
      <c r="AQ26">
        <f>IF(AP26="","",21-INDEX($AO$6:$AO$9,AP26))</f>
        <v/>
      </c>
      <c r="AR26">
        <f>IF(AP26="","",INDEX(INDIRECT("'"&amp;$B26&amp;"'!$AE$6:$AE$205"),MATCH(AQ26,INDIRECT("'"&amp;$B26&amp;"'!$AI$6:$AI$205"),0)))</f>
        <v/>
      </c>
    </row>
    <row r="27">
      <c r="A27" s="34">
        <f>IF(AP27="","",22)</f>
        <v/>
      </c>
      <c r="B27" s="35">
        <f>IF(AP27="","",INDEX($AL$6:$AL$9,AP27))</f>
        <v/>
      </c>
      <c r="C27" s="34">
        <f>IF(AP27="","",INDEX(INDIRECT("'"&amp;$B27&amp;"'!$B$6:$B$205"),MATCH($AR27,INDIRECT("'"&amp;$B27&amp;"'!$AE$6:$AE$205"),0)))</f>
        <v/>
      </c>
      <c r="D27" s="34">
        <f>IF(AP27="","",INDEX(INDIRECT("'"&amp;$B27&amp;"'!$D$6:$D$205"),MATCH($AR27,INDIRECT("'"&amp;$B27&amp;"'!$AE$6:$AE$205"),0)))</f>
        <v/>
      </c>
      <c r="E27" s="36">
        <f>IF(AP27="","",INDEX(INDIRECT("'"&amp;$B27&amp;"'!$F$6:$F$205"),MATCH($AR27,INDIRECT("'"&amp;$B27&amp;"'!$AE$6:$AE$205"),0)))</f>
        <v/>
      </c>
      <c r="F27" s="34">
        <f>IF(AP27="","",INDEX(INDIRECT("'"&amp;$B27&amp;"'!$K$6:$K$205"),MATCH($AR27,INDIRECT("'"&amp;$B27&amp;"'!$AE$6:$AE$205"),0)))</f>
        <v/>
      </c>
      <c r="G27" s="34">
        <f>IF(AP27="","",INDEX(INDIRECT("'"&amp;$B27&amp;"'!$L$6:$L$205"),MATCH($AR27,INDIRECT("'"&amp;$B27&amp;"'!$AE$6:$AE$205"),0)))</f>
        <v/>
      </c>
      <c r="H27" s="34">
        <f>IF(OR(AP27="",H$5="-"),"",IFERROR(IF(INDEX(INDIRECT("'"&amp;$B27&amp;"'!$N$6:$N$205"),MATCH($AR27&amp;"|"&amp;H$5,INDIRECT("'"&amp;$B27&amp;"'!$AF$6:$AF$205"),0))="","",INDEX(INDIRECT("'"&amp;$B27&amp;"'!$N$6:$N$205"),MATCH($AR27&amp;"|"&amp;H$5,INDIRECT("'"&amp;$B27&amp;"'!$AF$6:$AF$205"),0))),"-"))</f>
        <v/>
      </c>
      <c r="I27" s="34">
        <f>IF(OR(AP27="",I$5="-"),"",IFERROR(IF(INDEX(INDIRECT("'"&amp;$B27&amp;"'!$N$6:$N$205"),MATCH($AR27&amp;"|"&amp;I$5,INDIRECT("'"&amp;$B27&amp;"'!$AF$6:$AF$205"),0))="","",INDEX(INDIRECT("'"&amp;$B27&amp;"'!$N$6:$N$205"),MATCH($AR27&amp;"|"&amp;I$5,INDIRECT("'"&amp;$B27&amp;"'!$AF$6:$AF$205"),0))),"-"))</f>
        <v/>
      </c>
      <c r="J27" s="34">
        <f>IF(OR(AP27="",J$5="-"),"",IFERROR(IF(INDEX(INDIRECT("'"&amp;$B27&amp;"'!$N$6:$N$205"),MATCH($AR27&amp;"|"&amp;J$5,INDIRECT("'"&amp;$B27&amp;"'!$AF$6:$AF$205"),0))="","",INDEX(INDIRECT("'"&amp;$B27&amp;"'!$N$6:$N$205"),MATCH($AR27&amp;"|"&amp;J$5,INDIRECT("'"&amp;$B27&amp;"'!$AF$6:$AF$205"),0))),"-"))</f>
        <v/>
      </c>
      <c r="K27" s="34">
        <f>IF(OR(AP27="",K$5="-"),"",IFERROR(IF(INDEX(INDIRECT("'"&amp;$B27&amp;"'!$N$6:$N$205"),MATCH($AR27&amp;"|"&amp;K$5,INDIRECT("'"&amp;$B27&amp;"'!$AF$6:$AF$205"),0))="","",INDEX(INDIRECT("'"&amp;$B27&amp;"'!$N$6:$N$205"),MATCH($AR27&amp;"|"&amp;K$5,INDIRECT("'"&amp;$B27&amp;"'!$AF$6:$AF$205"),0))),"-"))</f>
        <v/>
      </c>
      <c r="L27" s="34">
        <f>IF(OR(AP27="",L$5="-"),"",IFERROR(IF(INDEX(INDIRECT("'"&amp;$B27&amp;"'!$N$6:$N$205"),MATCH($AR27&amp;"|"&amp;L$5,INDIRECT("'"&amp;$B27&amp;"'!$AF$6:$AF$205"),0))="","",INDEX(INDIRECT("'"&amp;$B27&amp;"'!$N$6:$N$205"),MATCH($AR27&amp;"|"&amp;L$5,INDIRECT("'"&amp;$B27&amp;"'!$AF$6:$AF$205"),0))),"-"))</f>
        <v/>
      </c>
      <c r="M27" s="34">
        <f>IF(OR(AP27="",M$5="-"),"",IFERROR(IF(INDEX(INDIRECT("'"&amp;$B27&amp;"'!$N$6:$N$205"),MATCH($AR27&amp;"|"&amp;M$5,INDIRECT("'"&amp;$B27&amp;"'!$AF$6:$AF$205"),0))="","",INDEX(INDIRECT("'"&amp;$B27&amp;"'!$N$6:$N$205"),MATCH($AR27&amp;"|"&amp;M$5,INDIRECT("'"&amp;$B27&amp;"'!$AF$6:$AF$205"),0))),"-"))</f>
        <v/>
      </c>
      <c r="N27" s="34">
        <f>IF(OR(AP27="",N$5="-"),"",IFERROR(IF(INDEX(INDIRECT("'"&amp;$B27&amp;"'!$N$6:$N$205"),MATCH($AR27&amp;"|"&amp;N$5,INDIRECT("'"&amp;$B27&amp;"'!$AF$6:$AF$205"),0))="","",INDEX(INDIRECT("'"&amp;$B27&amp;"'!$N$6:$N$205"),MATCH($AR27&amp;"|"&amp;N$5,INDIRECT("'"&amp;$B27&amp;"'!$AF$6:$AF$205"),0))),"-"))</f>
        <v/>
      </c>
      <c r="O27" s="34">
        <f>IF(OR(AP27="",O$5="-"),"",IFERROR(IF(INDEX(INDIRECT("'"&amp;$B27&amp;"'!$N$6:$N$205"),MATCH($AR27&amp;"|"&amp;O$5,INDIRECT("'"&amp;$B27&amp;"'!$AF$6:$AF$205"),0))="","",INDEX(INDIRECT("'"&amp;$B27&amp;"'!$N$6:$N$205"),MATCH($AR27&amp;"|"&amp;O$5,INDIRECT("'"&amp;$B27&amp;"'!$AF$6:$AF$205"),0))),"-"))</f>
        <v/>
      </c>
      <c r="P27" s="37">
        <f>IF(OR(AP27="",P$5="-"),"",IFERROR(IF(INDEX(INDIRECT("'"&amp;$B27&amp;"'!$R$6:$R$205"),MATCH($AR27&amp;"|"&amp;P$5,INDIRECT("'"&amp;$B27&amp;"'!$AF$6:$AF$205"),0))="","",INDEX(INDIRECT("'"&amp;$B27&amp;"'!$R$6:$R$205"),MATCH($AR27&amp;"|"&amp;P$5,INDIRECT("'"&amp;$B27&amp;"'!$AF$6:$AF$205"),0))),"-"))</f>
        <v/>
      </c>
      <c r="Q27" s="37">
        <f>IF(OR(AP27="",Q$5="-"),"",IFERROR(IF(INDEX(INDIRECT("'"&amp;$B27&amp;"'!$R$6:$R$205"),MATCH($AR27&amp;"|"&amp;Q$5,INDIRECT("'"&amp;$B27&amp;"'!$AF$6:$AF$205"),0))="","",INDEX(INDIRECT("'"&amp;$B27&amp;"'!$R$6:$R$205"),MATCH($AR27&amp;"|"&amp;Q$5,INDIRECT("'"&amp;$B27&amp;"'!$AF$6:$AF$205"),0))),"-"))</f>
        <v/>
      </c>
      <c r="R27" s="37">
        <f>IF(OR(AP27="",R$5="-"),"",IFERROR(IF(INDEX(INDIRECT("'"&amp;$B27&amp;"'!$R$6:$R$205"),MATCH($AR27&amp;"|"&amp;R$5,INDIRECT("'"&amp;$B27&amp;"'!$AF$6:$AF$205"),0))="","",INDEX(INDIRECT("'"&amp;$B27&amp;"'!$R$6:$R$205"),MATCH($AR27&amp;"|"&amp;R$5,INDIRECT("'"&amp;$B27&amp;"'!$AF$6:$AF$205"),0))),"-"))</f>
        <v/>
      </c>
      <c r="S27" s="37">
        <f>IF(OR(AP27="",S$5="-"),"",IFERROR(IF(INDEX(INDIRECT("'"&amp;$B27&amp;"'!$R$6:$R$205"),MATCH($AR27&amp;"|"&amp;S$5,INDIRECT("'"&amp;$B27&amp;"'!$AF$6:$AF$205"),0))="","",INDEX(INDIRECT("'"&amp;$B27&amp;"'!$R$6:$R$205"),MATCH($AR27&amp;"|"&amp;S$5,INDIRECT("'"&amp;$B27&amp;"'!$AF$6:$AF$205"),0))),"-"))</f>
        <v/>
      </c>
      <c r="T27" s="37">
        <f>IF(OR(AP27="",T$5="-"),"",IFERROR(IF(INDEX(INDIRECT("'"&amp;$B27&amp;"'!$R$6:$R$205"),MATCH($AR27&amp;"|"&amp;T$5,INDIRECT("'"&amp;$B27&amp;"'!$AF$6:$AF$205"),0))="","",INDEX(INDIRECT("'"&amp;$B27&amp;"'!$R$6:$R$205"),MATCH($AR27&amp;"|"&amp;T$5,INDIRECT("'"&amp;$B27&amp;"'!$AF$6:$AF$205"),0))),"-"))</f>
        <v/>
      </c>
      <c r="U27" s="37">
        <f>IF(OR(AP27="",U$5="-"),"",IFERROR(IF(INDEX(INDIRECT("'"&amp;$B27&amp;"'!$R$6:$R$205"),MATCH($AR27&amp;"|"&amp;U$5,INDIRECT("'"&amp;$B27&amp;"'!$AF$6:$AF$205"),0))="","",INDEX(INDIRECT("'"&amp;$B27&amp;"'!$R$6:$R$205"),MATCH($AR27&amp;"|"&amp;U$5,INDIRECT("'"&amp;$B27&amp;"'!$AF$6:$AF$205"),0))),"-"))</f>
        <v/>
      </c>
      <c r="V27" s="37">
        <f>IF(OR(AP27="",V$5="-"),"",IFERROR(IF(INDEX(INDIRECT("'"&amp;$B27&amp;"'!$R$6:$R$205"),MATCH($AR27&amp;"|"&amp;V$5,INDIRECT("'"&amp;$B27&amp;"'!$AF$6:$AF$205"),0))="","",INDEX(INDIRECT("'"&amp;$B27&amp;"'!$R$6:$R$205"),MATCH($AR27&amp;"|"&amp;V$5,INDIRECT("'"&amp;$B27&amp;"'!$AF$6:$AF$205"),0))),"-"))</f>
        <v/>
      </c>
      <c r="W27" s="37">
        <f>IF(OR(AP27="",W$5="-"),"",IFERROR(IF(INDEX(INDIRECT("'"&amp;$B27&amp;"'!$R$6:$R$205"),MATCH($AR27&amp;"|"&amp;W$5,INDIRECT("'"&amp;$B27&amp;"'!$AF$6:$AF$205"),0))="","",INDEX(INDIRECT("'"&amp;$B27&amp;"'!$R$6:$R$205"),MATCH($AR27&amp;"|"&amp;W$5,INDIRECT("'"&amp;$B27&amp;"'!$AF$6:$AF$205"),0))),"-"))</f>
        <v/>
      </c>
      <c r="X27" s="38">
        <f>IF(OR(AP27="",X$5="-"),"",IFERROR(IF(INDEX(INDIRECT("'"&amp;$B27&amp;"'!$T$6:$T$205"),MATCH($AR27&amp;"|"&amp;X$5,INDIRECT("'"&amp;$B27&amp;"'!$AF$6:$AF$205"),0))="","",INDEX(INDIRECT("'"&amp;$B27&amp;"'!$T$6:$T$205"),MATCH($AR27&amp;"|"&amp;X$5,INDIRECT("'"&amp;$B27&amp;"'!$AF$6:$AF$205"),0))),"-"))</f>
        <v/>
      </c>
      <c r="Y27" s="38">
        <f>IF(OR(AP27="",Y$5="-"),"",IFERROR(IF(INDEX(INDIRECT("'"&amp;$B27&amp;"'!$T$6:$T$205"),MATCH($AR27&amp;"|"&amp;Y$5,INDIRECT("'"&amp;$B27&amp;"'!$AF$6:$AF$205"),0))="","",INDEX(INDIRECT("'"&amp;$B27&amp;"'!$T$6:$T$205"),MATCH($AR27&amp;"|"&amp;Y$5,INDIRECT("'"&amp;$B27&amp;"'!$AF$6:$AF$205"),0))),"-"))</f>
        <v/>
      </c>
      <c r="Z27" s="38">
        <f>IF(OR(AP27="",Z$5="-"),"",IFERROR(IF(INDEX(INDIRECT("'"&amp;$B27&amp;"'!$T$6:$T$205"),MATCH($AR27&amp;"|"&amp;Z$5,INDIRECT("'"&amp;$B27&amp;"'!$AF$6:$AF$205"),0))="","",INDEX(INDIRECT("'"&amp;$B27&amp;"'!$T$6:$T$205"),MATCH($AR27&amp;"|"&amp;Z$5,INDIRECT("'"&amp;$B27&amp;"'!$AF$6:$AF$205"),0))),"-"))</f>
        <v/>
      </c>
      <c r="AA27" s="38">
        <f>IF(OR(AP27="",AA$5="-"),"",IFERROR(IF(INDEX(INDIRECT("'"&amp;$B27&amp;"'!$T$6:$T$205"),MATCH($AR27&amp;"|"&amp;AA$5,INDIRECT("'"&amp;$B27&amp;"'!$AF$6:$AF$205"),0))="","",INDEX(INDIRECT("'"&amp;$B27&amp;"'!$T$6:$T$205"),MATCH($AR27&amp;"|"&amp;AA$5,INDIRECT("'"&amp;$B27&amp;"'!$AF$6:$AF$205"),0))),"-"))</f>
        <v/>
      </c>
      <c r="AB27" s="38">
        <f>IF(OR(AP27="",AB$5="-"),"",IFERROR(IF(INDEX(INDIRECT("'"&amp;$B27&amp;"'!$T$6:$T$205"),MATCH($AR27&amp;"|"&amp;AB$5,INDIRECT("'"&amp;$B27&amp;"'!$AF$6:$AF$205"),0))="","",INDEX(INDIRECT("'"&amp;$B27&amp;"'!$T$6:$T$205"),MATCH($AR27&amp;"|"&amp;AB$5,INDIRECT("'"&amp;$B27&amp;"'!$AF$6:$AF$205"),0))),"-"))</f>
        <v/>
      </c>
      <c r="AC27" s="38">
        <f>IF(OR(AP27="",AC$5="-"),"",IFERROR(IF(INDEX(INDIRECT("'"&amp;$B27&amp;"'!$T$6:$T$205"),MATCH($AR27&amp;"|"&amp;AC$5,INDIRECT("'"&amp;$B27&amp;"'!$AF$6:$AF$205"),0))="","",INDEX(INDIRECT("'"&amp;$B27&amp;"'!$T$6:$T$205"),MATCH($AR27&amp;"|"&amp;AC$5,INDIRECT("'"&amp;$B27&amp;"'!$AF$6:$AF$205"),0))),"-"))</f>
        <v/>
      </c>
      <c r="AD27" s="38">
        <f>IF(OR(AP27="",AD$5="-"),"",IFERROR(IF(INDEX(INDIRECT("'"&amp;$B27&amp;"'!$T$6:$T$205"),MATCH($AR27&amp;"|"&amp;AD$5,INDIRECT("'"&amp;$B27&amp;"'!$AF$6:$AF$205"),0))="","",INDEX(INDIRECT("'"&amp;$B27&amp;"'!$T$6:$T$205"),MATCH($AR27&amp;"|"&amp;AD$5,INDIRECT("'"&amp;$B27&amp;"'!$AF$6:$AF$205"),0))),"-"))</f>
        <v/>
      </c>
      <c r="AE27" s="38">
        <f>IF(OR(AP27="",AE$5="-"),"",IFERROR(IF(INDEX(INDIRECT("'"&amp;$B27&amp;"'!$T$6:$T$205"),MATCH($AR27&amp;"|"&amp;AE$5,INDIRECT("'"&amp;$B27&amp;"'!$AF$6:$AF$205"),0))="","",INDEX(INDIRECT("'"&amp;$B27&amp;"'!$T$6:$T$205"),MATCH($AR27&amp;"|"&amp;AE$5,INDIRECT("'"&amp;$B27&amp;"'!$AF$6:$AF$205"),0))),"-"))</f>
        <v/>
      </c>
      <c r="AF27" s="35">
        <f>IF(AG27="","",INDEX($P$5:$W$5,MATCH(AG27,P27:W27,0)))</f>
        <v/>
      </c>
      <c r="AG27" s="37">
        <f>IF(COUNT(P27:W27)=0,"",MIN(P27:W27))</f>
        <v/>
      </c>
      <c r="AH27" s="39">
        <f>IF(AG27="","",AG27*F27)</f>
        <v/>
      </c>
      <c r="AI27" s="39">
        <f>IF(COUNT(P27:W27)&lt;2,"",(MAX(P27:W27)-MIN(P27:W27))*F27)</f>
        <v/>
      </c>
      <c r="AJ27" s="20" t="n"/>
      <c r="AP27">
        <f>IF(22&gt;MAX($AN$6:$AN$9),"",COUNTIF($AN$6:$AN$9,"&lt;"&amp;22)+1)</f>
        <v/>
      </c>
      <c r="AQ27">
        <f>IF(AP27="","",22-INDEX($AO$6:$AO$9,AP27))</f>
        <v/>
      </c>
      <c r="AR27">
        <f>IF(AP27="","",INDEX(INDIRECT("'"&amp;$B27&amp;"'!$AE$6:$AE$205"),MATCH(AQ27,INDIRECT("'"&amp;$B27&amp;"'!$AI$6:$AI$205"),0)))</f>
        <v/>
      </c>
    </row>
    <row r="28">
      <c r="A28" s="34">
        <f>IF(AP28="","",23)</f>
        <v/>
      </c>
      <c r="B28" s="35">
        <f>IF(AP28="","",INDEX($AL$6:$AL$9,AP28))</f>
        <v/>
      </c>
      <c r="C28" s="34">
        <f>IF(AP28="","",INDEX(INDIRECT("'"&amp;$B28&amp;"'!$B$6:$B$205"),MATCH($AR28,INDIRECT("'"&amp;$B28&amp;"'!$AE$6:$AE$205"),0)))</f>
        <v/>
      </c>
      <c r="D28" s="34">
        <f>IF(AP28="","",INDEX(INDIRECT("'"&amp;$B28&amp;"'!$D$6:$D$205"),MATCH($AR28,INDIRECT("'"&amp;$B28&amp;"'!$AE$6:$AE$205"),0)))</f>
        <v/>
      </c>
      <c r="E28" s="36">
        <f>IF(AP28="","",INDEX(INDIRECT("'"&amp;$B28&amp;"'!$F$6:$F$205"),MATCH($AR28,INDIRECT("'"&amp;$B28&amp;"'!$AE$6:$AE$205"),0)))</f>
        <v/>
      </c>
      <c r="F28" s="34">
        <f>IF(AP28="","",INDEX(INDIRECT("'"&amp;$B28&amp;"'!$K$6:$K$205"),MATCH($AR28,INDIRECT("'"&amp;$B28&amp;"'!$AE$6:$AE$205"),0)))</f>
        <v/>
      </c>
      <c r="G28" s="34">
        <f>IF(AP28="","",INDEX(INDIRECT("'"&amp;$B28&amp;"'!$L$6:$L$205"),MATCH($AR28,INDIRECT("'"&amp;$B28&amp;"'!$AE$6:$AE$205"),0)))</f>
        <v/>
      </c>
      <c r="H28" s="34">
        <f>IF(OR(AP28="",H$5="-"),"",IFERROR(IF(INDEX(INDIRECT("'"&amp;$B28&amp;"'!$N$6:$N$205"),MATCH($AR28&amp;"|"&amp;H$5,INDIRECT("'"&amp;$B28&amp;"'!$AF$6:$AF$205"),0))="","",INDEX(INDIRECT("'"&amp;$B28&amp;"'!$N$6:$N$205"),MATCH($AR28&amp;"|"&amp;H$5,INDIRECT("'"&amp;$B28&amp;"'!$AF$6:$AF$205"),0))),"-"))</f>
        <v/>
      </c>
      <c r="I28" s="34">
        <f>IF(OR(AP28="",I$5="-"),"",IFERROR(IF(INDEX(INDIRECT("'"&amp;$B28&amp;"'!$N$6:$N$205"),MATCH($AR28&amp;"|"&amp;I$5,INDIRECT("'"&amp;$B28&amp;"'!$AF$6:$AF$205"),0))="","",INDEX(INDIRECT("'"&amp;$B28&amp;"'!$N$6:$N$205"),MATCH($AR28&amp;"|"&amp;I$5,INDIRECT("'"&amp;$B28&amp;"'!$AF$6:$AF$205"),0))),"-"))</f>
        <v/>
      </c>
      <c r="J28" s="34">
        <f>IF(OR(AP28="",J$5="-"),"",IFERROR(IF(INDEX(INDIRECT("'"&amp;$B28&amp;"'!$N$6:$N$205"),MATCH($AR28&amp;"|"&amp;J$5,INDIRECT("'"&amp;$B28&amp;"'!$AF$6:$AF$205"),0))="","",INDEX(INDIRECT("'"&amp;$B28&amp;"'!$N$6:$N$205"),MATCH($AR28&amp;"|"&amp;J$5,INDIRECT("'"&amp;$B28&amp;"'!$AF$6:$AF$205"),0))),"-"))</f>
        <v/>
      </c>
      <c r="K28" s="34">
        <f>IF(OR(AP28="",K$5="-"),"",IFERROR(IF(INDEX(INDIRECT("'"&amp;$B28&amp;"'!$N$6:$N$205"),MATCH($AR28&amp;"|"&amp;K$5,INDIRECT("'"&amp;$B28&amp;"'!$AF$6:$AF$205"),0))="","",INDEX(INDIRECT("'"&amp;$B28&amp;"'!$N$6:$N$205"),MATCH($AR28&amp;"|"&amp;K$5,INDIRECT("'"&amp;$B28&amp;"'!$AF$6:$AF$205"),0))),"-"))</f>
        <v/>
      </c>
      <c r="L28" s="34">
        <f>IF(OR(AP28="",L$5="-"),"",IFERROR(IF(INDEX(INDIRECT("'"&amp;$B28&amp;"'!$N$6:$N$205"),MATCH($AR28&amp;"|"&amp;L$5,INDIRECT("'"&amp;$B28&amp;"'!$AF$6:$AF$205"),0))="","",INDEX(INDIRECT("'"&amp;$B28&amp;"'!$N$6:$N$205"),MATCH($AR28&amp;"|"&amp;L$5,INDIRECT("'"&amp;$B28&amp;"'!$AF$6:$AF$205"),0))),"-"))</f>
        <v/>
      </c>
      <c r="M28" s="34">
        <f>IF(OR(AP28="",M$5="-"),"",IFERROR(IF(INDEX(INDIRECT("'"&amp;$B28&amp;"'!$N$6:$N$205"),MATCH($AR28&amp;"|"&amp;M$5,INDIRECT("'"&amp;$B28&amp;"'!$AF$6:$AF$205"),0))="","",INDEX(INDIRECT("'"&amp;$B28&amp;"'!$N$6:$N$205"),MATCH($AR28&amp;"|"&amp;M$5,INDIRECT("'"&amp;$B28&amp;"'!$AF$6:$AF$205"),0))),"-"))</f>
        <v/>
      </c>
      <c r="N28" s="34">
        <f>IF(OR(AP28="",N$5="-"),"",IFERROR(IF(INDEX(INDIRECT("'"&amp;$B28&amp;"'!$N$6:$N$205"),MATCH($AR28&amp;"|"&amp;N$5,INDIRECT("'"&amp;$B28&amp;"'!$AF$6:$AF$205"),0))="","",INDEX(INDIRECT("'"&amp;$B28&amp;"'!$N$6:$N$205"),MATCH($AR28&amp;"|"&amp;N$5,INDIRECT("'"&amp;$B28&amp;"'!$AF$6:$AF$205"),0))),"-"))</f>
        <v/>
      </c>
      <c r="O28" s="34">
        <f>IF(OR(AP28="",O$5="-"),"",IFERROR(IF(INDEX(INDIRECT("'"&amp;$B28&amp;"'!$N$6:$N$205"),MATCH($AR28&amp;"|"&amp;O$5,INDIRECT("'"&amp;$B28&amp;"'!$AF$6:$AF$205"),0))="","",INDEX(INDIRECT("'"&amp;$B28&amp;"'!$N$6:$N$205"),MATCH($AR28&amp;"|"&amp;O$5,INDIRECT("'"&amp;$B28&amp;"'!$AF$6:$AF$205"),0))),"-"))</f>
        <v/>
      </c>
      <c r="P28" s="37">
        <f>IF(OR(AP28="",P$5="-"),"",IFERROR(IF(INDEX(INDIRECT("'"&amp;$B28&amp;"'!$R$6:$R$205"),MATCH($AR28&amp;"|"&amp;P$5,INDIRECT("'"&amp;$B28&amp;"'!$AF$6:$AF$205"),0))="","",INDEX(INDIRECT("'"&amp;$B28&amp;"'!$R$6:$R$205"),MATCH($AR28&amp;"|"&amp;P$5,INDIRECT("'"&amp;$B28&amp;"'!$AF$6:$AF$205"),0))),"-"))</f>
        <v/>
      </c>
      <c r="Q28" s="37">
        <f>IF(OR(AP28="",Q$5="-"),"",IFERROR(IF(INDEX(INDIRECT("'"&amp;$B28&amp;"'!$R$6:$R$205"),MATCH($AR28&amp;"|"&amp;Q$5,INDIRECT("'"&amp;$B28&amp;"'!$AF$6:$AF$205"),0))="","",INDEX(INDIRECT("'"&amp;$B28&amp;"'!$R$6:$R$205"),MATCH($AR28&amp;"|"&amp;Q$5,INDIRECT("'"&amp;$B28&amp;"'!$AF$6:$AF$205"),0))),"-"))</f>
        <v/>
      </c>
      <c r="R28" s="37">
        <f>IF(OR(AP28="",R$5="-"),"",IFERROR(IF(INDEX(INDIRECT("'"&amp;$B28&amp;"'!$R$6:$R$205"),MATCH($AR28&amp;"|"&amp;R$5,INDIRECT("'"&amp;$B28&amp;"'!$AF$6:$AF$205"),0))="","",INDEX(INDIRECT("'"&amp;$B28&amp;"'!$R$6:$R$205"),MATCH($AR28&amp;"|"&amp;R$5,INDIRECT("'"&amp;$B28&amp;"'!$AF$6:$AF$205"),0))),"-"))</f>
        <v/>
      </c>
      <c r="S28" s="37">
        <f>IF(OR(AP28="",S$5="-"),"",IFERROR(IF(INDEX(INDIRECT("'"&amp;$B28&amp;"'!$R$6:$R$205"),MATCH($AR28&amp;"|"&amp;S$5,INDIRECT("'"&amp;$B28&amp;"'!$AF$6:$AF$205"),0))="","",INDEX(INDIRECT("'"&amp;$B28&amp;"'!$R$6:$R$205"),MATCH($AR28&amp;"|"&amp;S$5,INDIRECT("'"&amp;$B28&amp;"'!$AF$6:$AF$205"),0))),"-"))</f>
        <v/>
      </c>
      <c r="T28" s="37">
        <f>IF(OR(AP28="",T$5="-"),"",IFERROR(IF(INDEX(INDIRECT("'"&amp;$B28&amp;"'!$R$6:$R$205"),MATCH($AR28&amp;"|"&amp;T$5,INDIRECT("'"&amp;$B28&amp;"'!$AF$6:$AF$205"),0))="","",INDEX(INDIRECT("'"&amp;$B28&amp;"'!$R$6:$R$205"),MATCH($AR28&amp;"|"&amp;T$5,INDIRECT("'"&amp;$B28&amp;"'!$AF$6:$AF$205"),0))),"-"))</f>
        <v/>
      </c>
      <c r="U28" s="37">
        <f>IF(OR(AP28="",U$5="-"),"",IFERROR(IF(INDEX(INDIRECT("'"&amp;$B28&amp;"'!$R$6:$R$205"),MATCH($AR28&amp;"|"&amp;U$5,INDIRECT("'"&amp;$B28&amp;"'!$AF$6:$AF$205"),0))="","",INDEX(INDIRECT("'"&amp;$B28&amp;"'!$R$6:$R$205"),MATCH($AR28&amp;"|"&amp;U$5,INDIRECT("'"&amp;$B28&amp;"'!$AF$6:$AF$205"),0))),"-"))</f>
        <v/>
      </c>
      <c r="V28" s="37">
        <f>IF(OR(AP28="",V$5="-"),"",IFERROR(IF(INDEX(INDIRECT("'"&amp;$B28&amp;"'!$R$6:$R$205"),MATCH($AR28&amp;"|"&amp;V$5,INDIRECT("'"&amp;$B28&amp;"'!$AF$6:$AF$205"),0))="","",INDEX(INDIRECT("'"&amp;$B28&amp;"'!$R$6:$R$205"),MATCH($AR28&amp;"|"&amp;V$5,INDIRECT("'"&amp;$B28&amp;"'!$AF$6:$AF$205"),0))),"-"))</f>
        <v/>
      </c>
      <c r="W28" s="37">
        <f>IF(OR(AP28="",W$5="-"),"",IFERROR(IF(INDEX(INDIRECT("'"&amp;$B28&amp;"'!$R$6:$R$205"),MATCH($AR28&amp;"|"&amp;W$5,INDIRECT("'"&amp;$B28&amp;"'!$AF$6:$AF$205"),0))="","",INDEX(INDIRECT("'"&amp;$B28&amp;"'!$R$6:$R$205"),MATCH($AR28&amp;"|"&amp;W$5,INDIRECT("'"&amp;$B28&amp;"'!$AF$6:$AF$205"),0))),"-"))</f>
        <v/>
      </c>
      <c r="X28" s="38">
        <f>IF(OR(AP28="",X$5="-"),"",IFERROR(IF(INDEX(INDIRECT("'"&amp;$B28&amp;"'!$T$6:$T$205"),MATCH($AR28&amp;"|"&amp;X$5,INDIRECT("'"&amp;$B28&amp;"'!$AF$6:$AF$205"),0))="","",INDEX(INDIRECT("'"&amp;$B28&amp;"'!$T$6:$T$205"),MATCH($AR28&amp;"|"&amp;X$5,INDIRECT("'"&amp;$B28&amp;"'!$AF$6:$AF$205"),0))),"-"))</f>
        <v/>
      </c>
      <c r="Y28" s="38">
        <f>IF(OR(AP28="",Y$5="-"),"",IFERROR(IF(INDEX(INDIRECT("'"&amp;$B28&amp;"'!$T$6:$T$205"),MATCH($AR28&amp;"|"&amp;Y$5,INDIRECT("'"&amp;$B28&amp;"'!$AF$6:$AF$205"),0))="","",INDEX(INDIRECT("'"&amp;$B28&amp;"'!$T$6:$T$205"),MATCH($AR28&amp;"|"&amp;Y$5,INDIRECT("'"&amp;$B28&amp;"'!$AF$6:$AF$205"),0))),"-"))</f>
        <v/>
      </c>
      <c r="Z28" s="38">
        <f>IF(OR(AP28="",Z$5="-"),"",IFERROR(IF(INDEX(INDIRECT("'"&amp;$B28&amp;"'!$T$6:$T$205"),MATCH($AR28&amp;"|"&amp;Z$5,INDIRECT("'"&amp;$B28&amp;"'!$AF$6:$AF$205"),0))="","",INDEX(INDIRECT("'"&amp;$B28&amp;"'!$T$6:$T$205"),MATCH($AR28&amp;"|"&amp;Z$5,INDIRECT("'"&amp;$B28&amp;"'!$AF$6:$AF$205"),0))),"-"))</f>
        <v/>
      </c>
      <c r="AA28" s="38">
        <f>IF(OR(AP28="",AA$5="-"),"",IFERROR(IF(INDEX(INDIRECT("'"&amp;$B28&amp;"'!$T$6:$T$205"),MATCH($AR28&amp;"|"&amp;AA$5,INDIRECT("'"&amp;$B28&amp;"'!$AF$6:$AF$205"),0))="","",INDEX(INDIRECT("'"&amp;$B28&amp;"'!$T$6:$T$205"),MATCH($AR28&amp;"|"&amp;AA$5,INDIRECT("'"&amp;$B28&amp;"'!$AF$6:$AF$205"),0))),"-"))</f>
        <v/>
      </c>
      <c r="AB28" s="38">
        <f>IF(OR(AP28="",AB$5="-"),"",IFERROR(IF(INDEX(INDIRECT("'"&amp;$B28&amp;"'!$T$6:$T$205"),MATCH($AR28&amp;"|"&amp;AB$5,INDIRECT("'"&amp;$B28&amp;"'!$AF$6:$AF$205"),0))="","",INDEX(INDIRECT("'"&amp;$B28&amp;"'!$T$6:$T$205"),MATCH($AR28&amp;"|"&amp;AB$5,INDIRECT("'"&amp;$B28&amp;"'!$AF$6:$AF$205"),0))),"-"))</f>
        <v/>
      </c>
      <c r="AC28" s="38">
        <f>IF(OR(AP28="",AC$5="-"),"",IFERROR(IF(INDEX(INDIRECT("'"&amp;$B28&amp;"'!$T$6:$T$205"),MATCH($AR28&amp;"|"&amp;AC$5,INDIRECT("'"&amp;$B28&amp;"'!$AF$6:$AF$205"),0))="","",INDEX(INDIRECT("'"&amp;$B28&amp;"'!$T$6:$T$205"),MATCH($AR28&amp;"|"&amp;AC$5,INDIRECT("'"&amp;$B28&amp;"'!$AF$6:$AF$205"),0))),"-"))</f>
        <v/>
      </c>
      <c r="AD28" s="38">
        <f>IF(OR(AP28="",AD$5="-"),"",IFERROR(IF(INDEX(INDIRECT("'"&amp;$B28&amp;"'!$T$6:$T$205"),MATCH($AR28&amp;"|"&amp;AD$5,INDIRECT("'"&amp;$B28&amp;"'!$AF$6:$AF$205"),0))="","",INDEX(INDIRECT("'"&amp;$B28&amp;"'!$T$6:$T$205"),MATCH($AR28&amp;"|"&amp;AD$5,INDIRECT("'"&amp;$B28&amp;"'!$AF$6:$AF$205"),0))),"-"))</f>
        <v/>
      </c>
      <c r="AE28" s="38">
        <f>IF(OR(AP28="",AE$5="-"),"",IFERROR(IF(INDEX(INDIRECT("'"&amp;$B28&amp;"'!$T$6:$T$205"),MATCH($AR28&amp;"|"&amp;AE$5,INDIRECT("'"&amp;$B28&amp;"'!$AF$6:$AF$205"),0))="","",INDEX(INDIRECT("'"&amp;$B28&amp;"'!$T$6:$T$205"),MATCH($AR28&amp;"|"&amp;AE$5,INDIRECT("'"&amp;$B28&amp;"'!$AF$6:$AF$205"),0))),"-"))</f>
        <v/>
      </c>
      <c r="AF28" s="35">
        <f>IF(AG28="","",INDEX($P$5:$W$5,MATCH(AG28,P28:W28,0)))</f>
        <v/>
      </c>
      <c r="AG28" s="37">
        <f>IF(COUNT(P28:W28)=0,"",MIN(P28:W28))</f>
        <v/>
      </c>
      <c r="AH28" s="39">
        <f>IF(AG28="","",AG28*F28)</f>
        <v/>
      </c>
      <c r="AI28" s="39">
        <f>IF(COUNT(P28:W28)&lt;2,"",(MAX(P28:W28)-MIN(P28:W28))*F28)</f>
        <v/>
      </c>
      <c r="AJ28" s="20" t="n"/>
      <c r="AP28">
        <f>IF(23&gt;MAX($AN$6:$AN$9),"",COUNTIF($AN$6:$AN$9,"&lt;"&amp;23)+1)</f>
        <v/>
      </c>
      <c r="AQ28">
        <f>IF(AP28="","",23-INDEX($AO$6:$AO$9,AP28))</f>
        <v/>
      </c>
      <c r="AR28">
        <f>IF(AP28="","",INDEX(INDIRECT("'"&amp;$B28&amp;"'!$AE$6:$AE$205"),MATCH(AQ28,INDIRECT("'"&amp;$B28&amp;"'!$AI$6:$AI$205"),0)))</f>
        <v/>
      </c>
    </row>
    <row r="29">
      <c r="A29" s="34">
        <f>IF(AP29="","",24)</f>
        <v/>
      </c>
      <c r="B29" s="35">
        <f>IF(AP29="","",INDEX($AL$6:$AL$9,AP29))</f>
        <v/>
      </c>
      <c r="C29" s="34">
        <f>IF(AP29="","",INDEX(INDIRECT("'"&amp;$B29&amp;"'!$B$6:$B$205"),MATCH($AR29,INDIRECT("'"&amp;$B29&amp;"'!$AE$6:$AE$205"),0)))</f>
        <v/>
      </c>
      <c r="D29" s="34">
        <f>IF(AP29="","",INDEX(INDIRECT("'"&amp;$B29&amp;"'!$D$6:$D$205"),MATCH($AR29,INDIRECT("'"&amp;$B29&amp;"'!$AE$6:$AE$205"),0)))</f>
        <v/>
      </c>
      <c r="E29" s="36">
        <f>IF(AP29="","",INDEX(INDIRECT("'"&amp;$B29&amp;"'!$F$6:$F$205"),MATCH($AR29,INDIRECT("'"&amp;$B29&amp;"'!$AE$6:$AE$205"),0)))</f>
        <v/>
      </c>
      <c r="F29" s="34">
        <f>IF(AP29="","",INDEX(INDIRECT("'"&amp;$B29&amp;"'!$K$6:$K$205"),MATCH($AR29,INDIRECT("'"&amp;$B29&amp;"'!$AE$6:$AE$205"),0)))</f>
        <v/>
      </c>
      <c r="G29" s="34">
        <f>IF(AP29="","",INDEX(INDIRECT("'"&amp;$B29&amp;"'!$L$6:$L$205"),MATCH($AR29,INDIRECT("'"&amp;$B29&amp;"'!$AE$6:$AE$205"),0)))</f>
        <v/>
      </c>
      <c r="H29" s="34">
        <f>IF(OR(AP29="",H$5="-"),"",IFERROR(IF(INDEX(INDIRECT("'"&amp;$B29&amp;"'!$N$6:$N$205"),MATCH($AR29&amp;"|"&amp;H$5,INDIRECT("'"&amp;$B29&amp;"'!$AF$6:$AF$205"),0))="","",INDEX(INDIRECT("'"&amp;$B29&amp;"'!$N$6:$N$205"),MATCH($AR29&amp;"|"&amp;H$5,INDIRECT("'"&amp;$B29&amp;"'!$AF$6:$AF$205"),0))),"-"))</f>
        <v/>
      </c>
      <c r="I29" s="34">
        <f>IF(OR(AP29="",I$5="-"),"",IFERROR(IF(INDEX(INDIRECT("'"&amp;$B29&amp;"'!$N$6:$N$205"),MATCH($AR29&amp;"|"&amp;I$5,INDIRECT("'"&amp;$B29&amp;"'!$AF$6:$AF$205"),0))="","",INDEX(INDIRECT("'"&amp;$B29&amp;"'!$N$6:$N$205"),MATCH($AR29&amp;"|"&amp;I$5,INDIRECT("'"&amp;$B29&amp;"'!$AF$6:$AF$205"),0))),"-"))</f>
        <v/>
      </c>
      <c r="J29" s="34">
        <f>IF(OR(AP29="",J$5="-"),"",IFERROR(IF(INDEX(INDIRECT("'"&amp;$B29&amp;"'!$N$6:$N$205"),MATCH($AR29&amp;"|"&amp;J$5,INDIRECT("'"&amp;$B29&amp;"'!$AF$6:$AF$205"),0))="","",INDEX(INDIRECT("'"&amp;$B29&amp;"'!$N$6:$N$205"),MATCH($AR29&amp;"|"&amp;J$5,INDIRECT("'"&amp;$B29&amp;"'!$AF$6:$AF$205"),0))),"-"))</f>
        <v/>
      </c>
      <c r="K29" s="34">
        <f>IF(OR(AP29="",K$5="-"),"",IFERROR(IF(INDEX(INDIRECT("'"&amp;$B29&amp;"'!$N$6:$N$205"),MATCH($AR29&amp;"|"&amp;K$5,INDIRECT("'"&amp;$B29&amp;"'!$AF$6:$AF$205"),0))="","",INDEX(INDIRECT("'"&amp;$B29&amp;"'!$N$6:$N$205"),MATCH($AR29&amp;"|"&amp;K$5,INDIRECT("'"&amp;$B29&amp;"'!$AF$6:$AF$205"),0))),"-"))</f>
        <v/>
      </c>
      <c r="L29" s="34">
        <f>IF(OR(AP29="",L$5="-"),"",IFERROR(IF(INDEX(INDIRECT("'"&amp;$B29&amp;"'!$N$6:$N$205"),MATCH($AR29&amp;"|"&amp;L$5,INDIRECT("'"&amp;$B29&amp;"'!$AF$6:$AF$205"),0))="","",INDEX(INDIRECT("'"&amp;$B29&amp;"'!$N$6:$N$205"),MATCH($AR29&amp;"|"&amp;L$5,INDIRECT("'"&amp;$B29&amp;"'!$AF$6:$AF$205"),0))),"-"))</f>
        <v/>
      </c>
      <c r="M29" s="34">
        <f>IF(OR(AP29="",M$5="-"),"",IFERROR(IF(INDEX(INDIRECT("'"&amp;$B29&amp;"'!$N$6:$N$205"),MATCH($AR29&amp;"|"&amp;M$5,INDIRECT("'"&amp;$B29&amp;"'!$AF$6:$AF$205"),0))="","",INDEX(INDIRECT("'"&amp;$B29&amp;"'!$N$6:$N$205"),MATCH($AR29&amp;"|"&amp;M$5,INDIRECT("'"&amp;$B29&amp;"'!$AF$6:$AF$205"),0))),"-"))</f>
        <v/>
      </c>
      <c r="N29" s="34">
        <f>IF(OR(AP29="",N$5="-"),"",IFERROR(IF(INDEX(INDIRECT("'"&amp;$B29&amp;"'!$N$6:$N$205"),MATCH($AR29&amp;"|"&amp;N$5,INDIRECT("'"&amp;$B29&amp;"'!$AF$6:$AF$205"),0))="","",INDEX(INDIRECT("'"&amp;$B29&amp;"'!$N$6:$N$205"),MATCH($AR29&amp;"|"&amp;N$5,INDIRECT("'"&amp;$B29&amp;"'!$AF$6:$AF$205"),0))),"-"))</f>
        <v/>
      </c>
      <c r="O29" s="34">
        <f>IF(OR(AP29="",O$5="-"),"",IFERROR(IF(INDEX(INDIRECT("'"&amp;$B29&amp;"'!$N$6:$N$205"),MATCH($AR29&amp;"|"&amp;O$5,INDIRECT("'"&amp;$B29&amp;"'!$AF$6:$AF$205"),0))="","",INDEX(INDIRECT("'"&amp;$B29&amp;"'!$N$6:$N$205"),MATCH($AR29&amp;"|"&amp;O$5,INDIRECT("'"&amp;$B29&amp;"'!$AF$6:$AF$205"),0))),"-"))</f>
        <v/>
      </c>
      <c r="P29" s="37">
        <f>IF(OR(AP29="",P$5="-"),"",IFERROR(IF(INDEX(INDIRECT("'"&amp;$B29&amp;"'!$R$6:$R$205"),MATCH($AR29&amp;"|"&amp;P$5,INDIRECT("'"&amp;$B29&amp;"'!$AF$6:$AF$205"),0))="","",INDEX(INDIRECT("'"&amp;$B29&amp;"'!$R$6:$R$205"),MATCH($AR29&amp;"|"&amp;P$5,INDIRECT("'"&amp;$B29&amp;"'!$AF$6:$AF$205"),0))),"-"))</f>
        <v/>
      </c>
      <c r="Q29" s="37">
        <f>IF(OR(AP29="",Q$5="-"),"",IFERROR(IF(INDEX(INDIRECT("'"&amp;$B29&amp;"'!$R$6:$R$205"),MATCH($AR29&amp;"|"&amp;Q$5,INDIRECT("'"&amp;$B29&amp;"'!$AF$6:$AF$205"),0))="","",INDEX(INDIRECT("'"&amp;$B29&amp;"'!$R$6:$R$205"),MATCH($AR29&amp;"|"&amp;Q$5,INDIRECT("'"&amp;$B29&amp;"'!$AF$6:$AF$205"),0))),"-"))</f>
        <v/>
      </c>
      <c r="R29" s="37">
        <f>IF(OR(AP29="",R$5="-"),"",IFERROR(IF(INDEX(INDIRECT("'"&amp;$B29&amp;"'!$R$6:$R$205"),MATCH($AR29&amp;"|"&amp;R$5,INDIRECT("'"&amp;$B29&amp;"'!$AF$6:$AF$205"),0))="","",INDEX(INDIRECT("'"&amp;$B29&amp;"'!$R$6:$R$205"),MATCH($AR29&amp;"|"&amp;R$5,INDIRECT("'"&amp;$B29&amp;"'!$AF$6:$AF$205"),0))),"-"))</f>
        <v/>
      </c>
      <c r="S29" s="37">
        <f>IF(OR(AP29="",S$5="-"),"",IFERROR(IF(INDEX(INDIRECT("'"&amp;$B29&amp;"'!$R$6:$R$205"),MATCH($AR29&amp;"|"&amp;S$5,INDIRECT("'"&amp;$B29&amp;"'!$AF$6:$AF$205"),0))="","",INDEX(INDIRECT("'"&amp;$B29&amp;"'!$R$6:$R$205"),MATCH($AR29&amp;"|"&amp;S$5,INDIRECT("'"&amp;$B29&amp;"'!$AF$6:$AF$205"),0))),"-"))</f>
        <v/>
      </c>
      <c r="T29" s="37">
        <f>IF(OR(AP29="",T$5="-"),"",IFERROR(IF(INDEX(INDIRECT("'"&amp;$B29&amp;"'!$R$6:$R$205"),MATCH($AR29&amp;"|"&amp;T$5,INDIRECT("'"&amp;$B29&amp;"'!$AF$6:$AF$205"),0))="","",INDEX(INDIRECT("'"&amp;$B29&amp;"'!$R$6:$R$205"),MATCH($AR29&amp;"|"&amp;T$5,INDIRECT("'"&amp;$B29&amp;"'!$AF$6:$AF$205"),0))),"-"))</f>
        <v/>
      </c>
      <c r="U29" s="37">
        <f>IF(OR(AP29="",U$5="-"),"",IFERROR(IF(INDEX(INDIRECT("'"&amp;$B29&amp;"'!$R$6:$R$205"),MATCH($AR29&amp;"|"&amp;U$5,INDIRECT("'"&amp;$B29&amp;"'!$AF$6:$AF$205"),0))="","",INDEX(INDIRECT("'"&amp;$B29&amp;"'!$R$6:$R$205"),MATCH($AR29&amp;"|"&amp;U$5,INDIRECT("'"&amp;$B29&amp;"'!$AF$6:$AF$205"),0))),"-"))</f>
        <v/>
      </c>
      <c r="V29" s="37">
        <f>IF(OR(AP29="",V$5="-"),"",IFERROR(IF(INDEX(INDIRECT("'"&amp;$B29&amp;"'!$R$6:$R$205"),MATCH($AR29&amp;"|"&amp;V$5,INDIRECT("'"&amp;$B29&amp;"'!$AF$6:$AF$205"),0))="","",INDEX(INDIRECT("'"&amp;$B29&amp;"'!$R$6:$R$205"),MATCH($AR29&amp;"|"&amp;V$5,INDIRECT("'"&amp;$B29&amp;"'!$AF$6:$AF$205"),0))),"-"))</f>
        <v/>
      </c>
      <c r="W29" s="37">
        <f>IF(OR(AP29="",W$5="-"),"",IFERROR(IF(INDEX(INDIRECT("'"&amp;$B29&amp;"'!$R$6:$R$205"),MATCH($AR29&amp;"|"&amp;W$5,INDIRECT("'"&amp;$B29&amp;"'!$AF$6:$AF$205"),0))="","",INDEX(INDIRECT("'"&amp;$B29&amp;"'!$R$6:$R$205"),MATCH($AR29&amp;"|"&amp;W$5,INDIRECT("'"&amp;$B29&amp;"'!$AF$6:$AF$205"),0))),"-"))</f>
        <v/>
      </c>
      <c r="X29" s="38">
        <f>IF(OR(AP29="",X$5="-"),"",IFERROR(IF(INDEX(INDIRECT("'"&amp;$B29&amp;"'!$T$6:$T$205"),MATCH($AR29&amp;"|"&amp;X$5,INDIRECT("'"&amp;$B29&amp;"'!$AF$6:$AF$205"),0))="","",INDEX(INDIRECT("'"&amp;$B29&amp;"'!$T$6:$T$205"),MATCH($AR29&amp;"|"&amp;X$5,INDIRECT("'"&amp;$B29&amp;"'!$AF$6:$AF$205"),0))),"-"))</f>
        <v/>
      </c>
      <c r="Y29" s="38">
        <f>IF(OR(AP29="",Y$5="-"),"",IFERROR(IF(INDEX(INDIRECT("'"&amp;$B29&amp;"'!$T$6:$T$205"),MATCH($AR29&amp;"|"&amp;Y$5,INDIRECT("'"&amp;$B29&amp;"'!$AF$6:$AF$205"),0))="","",INDEX(INDIRECT("'"&amp;$B29&amp;"'!$T$6:$T$205"),MATCH($AR29&amp;"|"&amp;Y$5,INDIRECT("'"&amp;$B29&amp;"'!$AF$6:$AF$205"),0))),"-"))</f>
        <v/>
      </c>
      <c r="Z29" s="38">
        <f>IF(OR(AP29="",Z$5="-"),"",IFERROR(IF(INDEX(INDIRECT("'"&amp;$B29&amp;"'!$T$6:$T$205"),MATCH($AR29&amp;"|"&amp;Z$5,INDIRECT("'"&amp;$B29&amp;"'!$AF$6:$AF$205"),0))="","",INDEX(INDIRECT("'"&amp;$B29&amp;"'!$T$6:$T$205"),MATCH($AR29&amp;"|"&amp;Z$5,INDIRECT("'"&amp;$B29&amp;"'!$AF$6:$AF$205"),0))),"-"))</f>
        <v/>
      </c>
      <c r="AA29" s="38">
        <f>IF(OR(AP29="",AA$5="-"),"",IFERROR(IF(INDEX(INDIRECT("'"&amp;$B29&amp;"'!$T$6:$T$205"),MATCH($AR29&amp;"|"&amp;AA$5,INDIRECT("'"&amp;$B29&amp;"'!$AF$6:$AF$205"),0))="","",INDEX(INDIRECT("'"&amp;$B29&amp;"'!$T$6:$T$205"),MATCH($AR29&amp;"|"&amp;AA$5,INDIRECT("'"&amp;$B29&amp;"'!$AF$6:$AF$205"),0))),"-"))</f>
        <v/>
      </c>
      <c r="AB29" s="38">
        <f>IF(OR(AP29="",AB$5="-"),"",IFERROR(IF(INDEX(INDIRECT("'"&amp;$B29&amp;"'!$T$6:$T$205"),MATCH($AR29&amp;"|"&amp;AB$5,INDIRECT("'"&amp;$B29&amp;"'!$AF$6:$AF$205"),0))="","",INDEX(INDIRECT("'"&amp;$B29&amp;"'!$T$6:$T$205"),MATCH($AR29&amp;"|"&amp;AB$5,INDIRECT("'"&amp;$B29&amp;"'!$AF$6:$AF$205"),0))),"-"))</f>
        <v/>
      </c>
      <c r="AC29" s="38">
        <f>IF(OR(AP29="",AC$5="-"),"",IFERROR(IF(INDEX(INDIRECT("'"&amp;$B29&amp;"'!$T$6:$T$205"),MATCH($AR29&amp;"|"&amp;AC$5,INDIRECT("'"&amp;$B29&amp;"'!$AF$6:$AF$205"),0))="","",INDEX(INDIRECT("'"&amp;$B29&amp;"'!$T$6:$T$205"),MATCH($AR29&amp;"|"&amp;AC$5,INDIRECT("'"&amp;$B29&amp;"'!$AF$6:$AF$205"),0))),"-"))</f>
        <v/>
      </c>
      <c r="AD29" s="38">
        <f>IF(OR(AP29="",AD$5="-"),"",IFERROR(IF(INDEX(INDIRECT("'"&amp;$B29&amp;"'!$T$6:$T$205"),MATCH($AR29&amp;"|"&amp;AD$5,INDIRECT("'"&amp;$B29&amp;"'!$AF$6:$AF$205"),0))="","",INDEX(INDIRECT("'"&amp;$B29&amp;"'!$T$6:$T$205"),MATCH($AR29&amp;"|"&amp;AD$5,INDIRECT("'"&amp;$B29&amp;"'!$AF$6:$AF$205"),0))),"-"))</f>
        <v/>
      </c>
      <c r="AE29" s="38">
        <f>IF(OR(AP29="",AE$5="-"),"",IFERROR(IF(INDEX(INDIRECT("'"&amp;$B29&amp;"'!$T$6:$T$205"),MATCH($AR29&amp;"|"&amp;AE$5,INDIRECT("'"&amp;$B29&amp;"'!$AF$6:$AF$205"),0))="","",INDEX(INDIRECT("'"&amp;$B29&amp;"'!$T$6:$T$205"),MATCH($AR29&amp;"|"&amp;AE$5,INDIRECT("'"&amp;$B29&amp;"'!$AF$6:$AF$205"),0))),"-"))</f>
        <v/>
      </c>
      <c r="AF29" s="35">
        <f>IF(AG29="","",INDEX($P$5:$W$5,MATCH(AG29,P29:W29,0)))</f>
        <v/>
      </c>
      <c r="AG29" s="37">
        <f>IF(COUNT(P29:W29)=0,"",MIN(P29:W29))</f>
        <v/>
      </c>
      <c r="AH29" s="39">
        <f>IF(AG29="","",AG29*F29)</f>
        <v/>
      </c>
      <c r="AI29" s="39">
        <f>IF(COUNT(P29:W29)&lt;2,"",(MAX(P29:W29)-MIN(P29:W29))*F29)</f>
        <v/>
      </c>
      <c r="AJ29" s="20" t="n"/>
      <c r="AP29">
        <f>IF(24&gt;MAX($AN$6:$AN$9),"",COUNTIF($AN$6:$AN$9,"&lt;"&amp;24)+1)</f>
        <v/>
      </c>
      <c r="AQ29">
        <f>IF(AP29="","",24-INDEX($AO$6:$AO$9,AP29))</f>
        <v/>
      </c>
      <c r="AR29">
        <f>IF(AP29="","",INDEX(INDIRECT("'"&amp;$B29&amp;"'!$AE$6:$AE$205"),MATCH(AQ29,INDIRECT("'"&amp;$B29&amp;"'!$AI$6:$AI$205"),0)))</f>
        <v/>
      </c>
    </row>
    <row r="30">
      <c r="A30" s="34">
        <f>IF(AP30="","",25)</f>
        <v/>
      </c>
      <c r="B30" s="35">
        <f>IF(AP30="","",INDEX($AL$6:$AL$9,AP30))</f>
        <v/>
      </c>
      <c r="C30" s="34">
        <f>IF(AP30="","",INDEX(INDIRECT("'"&amp;$B30&amp;"'!$B$6:$B$205"),MATCH($AR30,INDIRECT("'"&amp;$B30&amp;"'!$AE$6:$AE$205"),0)))</f>
        <v/>
      </c>
      <c r="D30" s="34">
        <f>IF(AP30="","",INDEX(INDIRECT("'"&amp;$B30&amp;"'!$D$6:$D$205"),MATCH($AR30,INDIRECT("'"&amp;$B30&amp;"'!$AE$6:$AE$205"),0)))</f>
        <v/>
      </c>
      <c r="E30" s="36">
        <f>IF(AP30="","",INDEX(INDIRECT("'"&amp;$B30&amp;"'!$F$6:$F$205"),MATCH($AR30,INDIRECT("'"&amp;$B30&amp;"'!$AE$6:$AE$205"),0)))</f>
        <v/>
      </c>
      <c r="F30" s="34">
        <f>IF(AP30="","",INDEX(INDIRECT("'"&amp;$B30&amp;"'!$K$6:$K$205"),MATCH($AR30,INDIRECT("'"&amp;$B30&amp;"'!$AE$6:$AE$205"),0)))</f>
        <v/>
      </c>
      <c r="G30" s="34">
        <f>IF(AP30="","",INDEX(INDIRECT("'"&amp;$B30&amp;"'!$L$6:$L$205"),MATCH($AR30,INDIRECT("'"&amp;$B30&amp;"'!$AE$6:$AE$205"),0)))</f>
        <v/>
      </c>
      <c r="H30" s="34">
        <f>IF(OR(AP30="",H$5="-"),"",IFERROR(IF(INDEX(INDIRECT("'"&amp;$B30&amp;"'!$N$6:$N$205"),MATCH($AR30&amp;"|"&amp;H$5,INDIRECT("'"&amp;$B30&amp;"'!$AF$6:$AF$205"),0))="","",INDEX(INDIRECT("'"&amp;$B30&amp;"'!$N$6:$N$205"),MATCH($AR30&amp;"|"&amp;H$5,INDIRECT("'"&amp;$B30&amp;"'!$AF$6:$AF$205"),0))),"-"))</f>
        <v/>
      </c>
      <c r="I30" s="34">
        <f>IF(OR(AP30="",I$5="-"),"",IFERROR(IF(INDEX(INDIRECT("'"&amp;$B30&amp;"'!$N$6:$N$205"),MATCH($AR30&amp;"|"&amp;I$5,INDIRECT("'"&amp;$B30&amp;"'!$AF$6:$AF$205"),0))="","",INDEX(INDIRECT("'"&amp;$B30&amp;"'!$N$6:$N$205"),MATCH($AR30&amp;"|"&amp;I$5,INDIRECT("'"&amp;$B30&amp;"'!$AF$6:$AF$205"),0))),"-"))</f>
        <v/>
      </c>
      <c r="J30" s="34">
        <f>IF(OR(AP30="",J$5="-"),"",IFERROR(IF(INDEX(INDIRECT("'"&amp;$B30&amp;"'!$N$6:$N$205"),MATCH($AR30&amp;"|"&amp;J$5,INDIRECT("'"&amp;$B30&amp;"'!$AF$6:$AF$205"),0))="","",INDEX(INDIRECT("'"&amp;$B30&amp;"'!$N$6:$N$205"),MATCH($AR30&amp;"|"&amp;J$5,INDIRECT("'"&amp;$B30&amp;"'!$AF$6:$AF$205"),0))),"-"))</f>
        <v/>
      </c>
      <c r="K30" s="34">
        <f>IF(OR(AP30="",K$5="-"),"",IFERROR(IF(INDEX(INDIRECT("'"&amp;$B30&amp;"'!$N$6:$N$205"),MATCH($AR30&amp;"|"&amp;K$5,INDIRECT("'"&amp;$B30&amp;"'!$AF$6:$AF$205"),0))="","",INDEX(INDIRECT("'"&amp;$B30&amp;"'!$N$6:$N$205"),MATCH($AR30&amp;"|"&amp;K$5,INDIRECT("'"&amp;$B30&amp;"'!$AF$6:$AF$205"),0))),"-"))</f>
        <v/>
      </c>
      <c r="L30" s="34">
        <f>IF(OR(AP30="",L$5="-"),"",IFERROR(IF(INDEX(INDIRECT("'"&amp;$B30&amp;"'!$N$6:$N$205"),MATCH($AR30&amp;"|"&amp;L$5,INDIRECT("'"&amp;$B30&amp;"'!$AF$6:$AF$205"),0))="","",INDEX(INDIRECT("'"&amp;$B30&amp;"'!$N$6:$N$205"),MATCH($AR30&amp;"|"&amp;L$5,INDIRECT("'"&amp;$B30&amp;"'!$AF$6:$AF$205"),0))),"-"))</f>
        <v/>
      </c>
      <c r="M30" s="34">
        <f>IF(OR(AP30="",M$5="-"),"",IFERROR(IF(INDEX(INDIRECT("'"&amp;$B30&amp;"'!$N$6:$N$205"),MATCH($AR30&amp;"|"&amp;M$5,INDIRECT("'"&amp;$B30&amp;"'!$AF$6:$AF$205"),0))="","",INDEX(INDIRECT("'"&amp;$B30&amp;"'!$N$6:$N$205"),MATCH($AR30&amp;"|"&amp;M$5,INDIRECT("'"&amp;$B30&amp;"'!$AF$6:$AF$205"),0))),"-"))</f>
        <v/>
      </c>
      <c r="N30" s="34">
        <f>IF(OR(AP30="",N$5="-"),"",IFERROR(IF(INDEX(INDIRECT("'"&amp;$B30&amp;"'!$N$6:$N$205"),MATCH($AR30&amp;"|"&amp;N$5,INDIRECT("'"&amp;$B30&amp;"'!$AF$6:$AF$205"),0))="","",INDEX(INDIRECT("'"&amp;$B30&amp;"'!$N$6:$N$205"),MATCH($AR30&amp;"|"&amp;N$5,INDIRECT("'"&amp;$B30&amp;"'!$AF$6:$AF$205"),0))),"-"))</f>
        <v/>
      </c>
      <c r="O30" s="34">
        <f>IF(OR(AP30="",O$5="-"),"",IFERROR(IF(INDEX(INDIRECT("'"&amp;$B30&amp;"'!$N$6:$N$205"),MATCH($AR30&amp;"|"&amp;O$5,INDIRECT("'"&amp;$B30&amp;"'!$AF$6:$AF$205"),0))="","",INDEX(INDIRECT("'"&amp;$B30&amp;"'!$N$6:$N$205"),MATCH($AR30&amp;"|"&amp;O$5,INDIRECT("'"&amp;$B30&amp;"'!$AF$6:$AF$205"),0))),"-"))</f>
        <v/>
      </c>
      <c r="P30" s="37">
        <f>IF(OR(AP30="",P$5="-"),"",IFERROR(IF(INDEX(INDIRECT("'"&amp;$B30&amp;"'!$R$6:$R$205"),MATCH($AR30&amp;"|"&amp;P$5,INDIRECT("'"&amp;$B30&amp;"'!$AF$6:$AF$205"),0))="","",INDEX(INDIRECT("'"&amp;$B30&amp;"'!$R$6:$R$205"),MATCH($AR30&amp;"|"&amp;P$5,INDIRECT("'"&amp;$B30&amp;"'!$AF$6:$AF$205"),0))),"-"))</f>
        <v/>
      </c>
      <c r="Q30" s="37">
        <f>IF(OR(AP30="",Q$5="-"),"",IFERROR(IF(INDEX(INDIRECT("'"&amp;$B30&amp;"'!$R$6:$R$205"),MATCH($AR30&amp;"|"&amp;Q$5,INDIRECT("'"&amp;$B30&amp;"'!$AF$6:$AF$205"),0))="","",INDEX(INDIRECT("'"&amp;$B30&amp;"'!$R$6:$R$205"),MATCH($AR30&amp;"|"&amp;Q$5,INDIRECT("'"&amp;$B30&amp;"'!$AF$6:$AF$205"),0))),"-"))</f>
        <v/>
      </c>
      <c r="R30" s="37">
        <f>IF(OR(AP30="",R$5="-"),"",IFERROR(IF(INDEX(INDIRECT("'"&amp;$B30&amp;"'!$R$6:$R$205"),MATCH($AR30&amp;"|"&amp;R$5,INDIRECT("'"&amp;$B30&amp;"'!$AF$6:$AF$205"),0))="","",INDEX(INDIRECT("'"&amp;$B30&amp;"'!$R$6:$R$205"),MATCH($AR30&amp;"|"&amp;R$5,INDIRECT("'"&amp;$B30&amp;"'!$AF$6:$AF$205"),0))),"-"))</f>
        <v/>
      </c>
      <c r="S30" s="37">
        <f>IF(OR(AP30="",S$5="-"),"",IFERROR(IF(INDEX(INDIRECT("'"&amp;$B30&amp;"'!$R$6:$R$205"),MATCH($AR30&amp;"|"&amp;S$5,INDIRECT("'"&amp;$B30&amp;"'!$AF$6:$AF$205"),0))="","",INDEX(INDIRECT("'"&amp;$B30&amp;"'!$R$6:$R$205"),MATCH($AR30&amp;"|"&amp;S$5,INDIRECT("'"&amp;$B30&amp;"'!$AF$6:$AF$205"),0))),"-"))</f>
        <v/>
      </c>
      <c r="T30" s="37">
        <f>IF(OR(AP30="",T$5="-"),"",IFERROR(IF(INDEX(INDIRECT("'"&amp;$B30&amp;"'!$R$6:$R$205"),MATCH($AR30&amp;"|"&amp;T$5,INDIRECT("'"&amp;$B30&amp;"'!$AF$6:$AF$205"),0))="","",INDEX(INDIRECT("'"&amp;$B30&amp;"'!$R$6:$R$205"),MATCH($AR30&amp;"|"&amp;T$5,INDIRECT("'"&amp;$B30&amp;"'!$AF$6:$AF$205"),0))),"-"))</f>
        <v/>
      </c>
      <c r="U30" s="37">
        <f>IF(OR(AP30="",U$5="-"),"",IFERROR(IF(INDEX(INDIRECT("'"&amp;$B30&amp;"'!$R$6:$R$205"),MATCH($AR30&amp;"|"&amp;U$5,INDIRECT("'"&amp;$B30&amp;"'!$AF$6:$AF$205"),0))="","",INDEX(INDIRECT("'"&amp;$B30&amp;"'!$R$6:$R$205"),MATCH($AR30&amp;"|"&amp;U$5,INDIRECT("'"&amp;$B30&amp;"'!$AF$6:$AF$205"),0))),"-"))</f>
        <v/>
      </c>
      <c r="V30" s="37">
        <f>IF(OR(AP30="",V$5="-"),"",IFERROR(IF(INDEX(INDIRECT("'"&amp;$B30&amp;"'!$R$6:$R$205"),MATCH($AR30&amp;"|"&amp;V$5,INDIRECT("'"&amp;$B30&amp;"'!$AF$6:$AF$205"),0))="","",INDEX(INDIRECT("'"&amp;$B30&amp;"'!$R$6:$R$205"),MATCH($AR30&amp;"|"&amp;V$5,INDIRECT("'"&amp;$B30&amp;"'!$AF$6:$AF$205"),0))),"-"))</f>
        <v/>
      </c>
      <c r="W30" s="37">
        <f>IF(OR(AP30="",W$5="-"),"",IFERROR(IF(INDEX(INDIRECT("'"&amp;$B30&amp;"'!$R$6:$R$205"),MATCH($AR30&amp;"|"&amp;W$5,INDIRECT("'"&amp;$B30&amp;"'!$AF$6:$AF$205"),0))="","",INDEX(INDIRECT("'"&amp;$B30&amp;"'!$R$6:$R$205"),MATCH($AR30&amp;"|"&amp;W$5,INDIRECT("'"&amp;$B30&amp;"'!$AF$6:$AF$205"),0))),"-"))</f>
        <v/>
      </c>
      <c r="X30" s="38">
        <f>IF(OR(AP30="",X$5="-"),"",IFERROR(IF(INDEX(INDIRECT("'"&amp;$B30&amp;"'!$T$6:$T$205"),MATCH($AR30&amp;"|"&amp;X$5,INDIRECT("'"&amp;$B30&amp;"'!$AF$6:$AF$205"),0))="","",INDEX(INDIRECT("'"&amp;$B30&amp;"'!$T$6:$T$205"),MATCH($AR30&amp;"|"&amp;X$5,INDIRECT("'"&amp;$B30&amp;"'!$AF$6:$AF$205"),0))),"-"))</f>
        <v/>
      </c>
      <c r="Y30" s="38">
        <f>IF(OR(AP30="",Y$5="-"),"",IFERROR(IF(INDEX(INDIRECT("'"&amp;$B30&amp;"'!$T$6:$T$205"),MATCH($AR30&amp;"|"&amp;Y$5,INDIRECT("'"&amp;$B30&amp;"'!$AF$6:$AF$205"),0))="","",INDEX(INDIRECT("'"&amp;$B30&amp;"'!$T$6:$T$205"),MATCH($AR30&amp;"|"&amp;Y$5,INDIRECT("'"&amp;$B30&amp;"'!$AF$6:$AF$205"),0))),"-"))</f>
        <v/>
      </c>
      <c r="Z30" s="38">
        <f>IF(OR(AP30="",Z$5="-"),"",IFERROR(IF(INDEX(INDIRECT("'"&amp;$B30&amp;"'!$T$6:$T$205"),MATCH($AR30&amp;"|"&amp;Z$5,INDIRECT("'"&amp;$B30&amp;"'!$AF$6:$AF$205"),0))="","",INDEX(INDIRECT("'"&amp;$B30&amp;"'!$T$6:$T$205"),MATCH($AR30&amp;"|"&amp;Z$5,INDIRECT("'"&amp;$B30&amp;"'!$AF$6:$AF$205"),0))),"-"))</f>
        <v/>
      </c>
      <c r="AA30" s="38">
        <f>IF(OR(AP30="",AA$5="-"),"",IFERROR(IF(INDEX(INDIRECT("'"&amp;$B30&amp;"'!$T$6:$T$205"),MATCH($AR30&amp;"|"&amp;AA$5,INDIRECT("'"&amp;$B30&amp;"'!$AF$6:$AF$205"),0))="","",INDEX(INDIRECT("'"&amp;$B30&amp;"'!$T$6:$T$205"),MATCH($AR30&amp;"|"&amp;AA$5,INDIRECT("'"&amp;$B30&amp;"'!$AF$6:$AF$205"),0))),"-"))</f>
        <v/>
      </c>
      <c r="AB30" s="38">
        <f>IF(OR(AP30="",AB$5="-"),"",IFERROR(IF(INDEX(INDIRECT("'"&amp;$B30&amp;"'!$T$6:$T$205"),MATCH($AR30&amp;"|"&amp;AB$5,INDIRECT("'"&amp;$B30&amp;"'!$AF$6:$AF$205"),0))="","",INDEX(INDIRECT("'"&amp;$B30&amp;"'!$T$6:$T$205"),MATCH($AR30&amp;"|"&amp;AB$5,INDIRECT("'"&amp;$B30&amp;"'!$AF$6:$AF$205"),0))),"-"))</f>
        <v/>
      </c>
      <c r="AC30" s="38">
        <f>IF(OR(AP30="",AC$5="-"),"",IFERROR(IF(INDEX(INDIRECT("'"&amp;$B30&amp;"'!$T$6:$T$205"),MATCH($AR30&amp;"|"&amp;AC$5,INDIRECT("'"&amp;$B30&amp;"'!$AF$6:$AF$205"),0))="","",INDEX(INDIRECT("'"&amp;$B30&amp;"'!$T$6:$T$205"),MATCH($AR30&amp;"|"&amp;AC$5,INDIRECT("'"&amp;$B30&amp;"'!$AF$6:$AF$205"),0))),"-"))</f>
        <v/>
      </c>
      <c r="AD30" s="38">
        <f>IF(OR(AP30="",AD$5="-"),"",IFERROR(IF(INDEX(INDIRECT("'"&amp;$B30&amp;"'!$T$6:$T$205"),MATCH($AR30&amp;"|"&amp;AD$5,INDIRECT("'"&amp;$B30&amp;"'!$AF$6:$AF$205"),0))="","",INDEX(INDIRECT("'"&amp;$B30&amp;"'!$T$6:$T$205"),MATCH($AR30&amp;"|"&amp;AD$5,INDIRECT("'"&amp;$B30&amp;"'!$AF$6:$AF$205"),0))),"-"))</f>
        <v/>
      </c>
      <c r="AE30" s="38">
        <f>IF(OR(AP30="",AE$5="-"),"",IFERROR(IF(INDEX(INDIRECT("'"&amp;$B30&amp;"'!$T$6:$T$205"),MATCH($AR30&amp;"|"&amp;AE$5,INDIRECT("'"&amp;$B30&amp;"'!$AF$6:$AF$205"),0))="","",INDEX(INDIRECT("'"&amp;$B30&amp;"'!$T$6:$T$205"),MATCH($AR30&amp;"|"&amp;AE$5,INDIRECT("'"&amp;$B30&amp;"'!$AF$6:$AF$205"),0))),"-"))</f>
        <v/>
      </c>
      <c r="AF30" s="35">
        <f>IF(AG30="","",INDEX($P$5:$W$5,MATCH(AG30,P30:W30,0)))</f>
        <v/>
      </c>
      <c r="AG30" s="37">
        <f>IF(COUNT(P30:W30)=0,"",MIN(P30:W30))</f>
        <v/>
      </c>
      <c r="AH30" s="39">
        <f>IF(AG30="","",AG30*F30)</f>
        <v/>
      </c>
      <c r="AI30" s="39">
        <f>IF(COUNT(P30:W30)&lt;2,"",(MAX(P30:W30)-MIN(P30:W30))*F30)</f>
        <v/>
      </c>
      <c r="AJ30" s="20" t="n"/>
      <c r="AP30">
        <f>IF(25&gt;MAX($AN$6:$AN$9),"",COUNTIF($AN$6:$AN$9,"&lt;"&amp;25)+1)</f>
        <v/>
      </c>
      <c r="AQ30">
        <f>IF(AP30="","",25-INDEX($AO$6:$AO$9,AP30))</f>
        <v/>
      </c>
      <c r="AR30">
        <f>IF(AP30="","",INDEX(INDIRECT("'"&amp;$B30&amp;"'!$AE$6:$AE$205"),MATCH(AQ30,INDIRECT("'"&amp;$B30&amp;"'!$AI$6:$AI$205"),0)))</f>
        <v/>
      </c>
    </row>
    <row r="31">
      <c r="A31" s="34">
        <f>IF(AP31="","",26)</f>
        <v/>
      </c>
      <c r="B31" s="35">
        <f>IF(AP31="","",INDEX($AL$6:$AL$9,AP31))</f>
        <v/>
      </c>
      <c r="C31" s="34">
        <f>IF(AP31="","",INDEX(INDIRECT("'"&amp;$B31&amp;"'!$B$6:$B$205"),MATCH($AR31,INDIRECT("'"&amp;$B31&amp;"'!$AE$6:$AE$205"),0)))</f>
        <v/>
      </c>
      <c r="D31" s="34">
        <f>IF(AP31="","",INDEX(INDIRECT("'"&amp;$B31&amp;"'!$D$6:$D$205"),MATCH($AR31,INDIRECT("'"&amp;$B31&amp;"'!$AE$6:$AE$205"),0)))</f>
        <v/>
      </c>
      <c r="E31" s="36">
        <f>IF(AP31="","",INDEX(INDIRECT("'"&amp;$B31&amp;"'!$F$6:$F$205"),MATCH($AR31,INDIRECT("'"&amp;$B31&amp;"'!$AE$6:$AE$205"),0)))</f>
        <v/>
      </c>
      <c r="F31" s="34">
        <f>IF(AP31="","",INDEX(INDIRECT("'"&amp;$B31&amp;"'!$K$6:$K$205"),MATCH($AR31,INDIRECT("'"&amp;$B31&amp;"'!$AE$6:$AE$205"),0)))</f>
        <v/>
      </c>
      <c r="G31" s="34">
        <f>IF(AP31="","",INDEX(INDIRECT("'"&amp;$B31&amp;"'!$L$6:$L$205"),MATCH($AR31,INDIRECT("'"&amp;$B31&amp;"'!$AE$6:$AE$205"),0)))</f>
        <v/>
      </c>
      <c r="H31" s="34">
        <f>IF(OR(AP31="",H$5="-"),"",IFERROR(IF(INDEX(INDIRECT("'"&amp;$B31&amp;"'!$N$6:$N$205"),MATCH($AR31&amp;"|"&amp;H$5,INDIRECT("'"&amp;$B31&amp;"'!$AF$6:$AF$205"),0))="","",INDEX(INDIRECT("'"&amp;$B31&amp;"'!$N$6:$N$205"),MATCH($AR31&amp;"|"&amp;H$5,INDIRECT("'"&amp;$B31&amp;"'!$AF$6:$AF$205"),0))),"-"))</f>
        <v/>
      </c>
      <c r="I31" s="34">
        <f>IF(OR(AP31="",I$5="-"),"",IFERROR(IF(INDEX(INDIRECT("'"&amp;$B31&amp;"'!$N$6:$N$205"),MATCH($AR31&amp;"|"&amp;I$5,INDIRECT("'"&amp;$B31&amp;"'!$AF$6:$AF$205"),0))="","",INDEX(INDIRECT("'"&amp;$B31&amp;"'!$N$6:$N$205"),MATCH($AR31&amp;"|"&amp;I$5,INDIRECT("'"&amp;$B31&amp;"'!$AF$6:$AF$205"),0))),"-"))</f>
        <v/>
      </c>
      <c r="J31" s="34">
        <f>IF(OR(AP31="",J$5="-"),"",IFERROR(IF(INDEX(INDIRECT("'"&amp;$B31&amp;"'!$N$6:$N$205"),MATCH($AR31&amp;"|"&amp;J$5,INDIRECT("'"&amp;$B31&amp;"'!$AF$6:$AF$205"),0))="","",INDEX(INDIRECT("'"&amp;$B31&amp;"'!$N$6:$N$205"),MATCH($AR31&amp;"|"&amp;J$5,INDIRECT("'"&amp;$B31&amp;"'!$AF$6:$AF$205"),0))),"-"))</f>
        <v/>
      </c>
      <c r="K31" s="34">
        <f>IF(OR(AP31="",K$5="-"),"",IFERROR(IF(INDEX(INDIRECT("'"&amp;$B31&amp;"'!$N$6:$N$205"),MATCH($AR31&amp;"|"&amp;K$5,INDIRECT("'"&amp;$B31&amp;"'!$AF$6:$AF$205"),0))="","",INDEX(INDIRECT("'"&amp;$B31&amp;"'!$N$6:$N$205"),MATCH($AR31&amp;"|"&amp;K$5,INDIRECT("'"&amp;$B31&amp;"'!$AF$6:$AF$205"),0))),"-"))</f>
        <v/>
      </c>
      <c r="L31" s="34">
        <f>IF(OR(AP31="",L$5="-"),"",IFERROR(IF(INDEX(INDIRECT("'"&amp;$B31&amp;"'!$N$6:$N$205"),MATCH($AR31&amp;"|"&amp;L$5,INDIRECT("'"&amp;$B31&amp;"'!$AF$6:$AF$205"),0))="","",INDEX(INDIRECT("'"&amp;$B31&amp;"'!$N$6:$N$205"),MATCH($AR31&amp;"|"&amp;L$5,INDIRECT("'"&amp;$B31&amp;"'!$AF$6:$AF$205"),0))),"-"))</f>
        <v/>
      </c>
      <c r="M31" s="34">
        <f>IF(OR(AP31="",M$5="-"),"",IFERROR(IF(INDEX(INDIRECT("'"&amp;$B31&amp;"'!$N$6:$N$205"),MATCH($AR31&amp;"|"&amp;M$5,INDIRECT("'"&amp;$B31&amp;"'!$AF$6:$AF$205"),0))="","",INDEX(INDIRECT("'"&amp;$B31&amp;"'!$N$6:$N$205"),MATCH($AR31&amp;"|"&amp;M$5,INDIRECT("'"&amp;$B31&amp;"'!$AF$6:$AF$205"),0))),"-"))</f>
        <v/>
      </c>
      <c r="N31" s="34">
        <f>IF(OR(AP31="",N$5="-"),"",IFERROR(IF(INDEX(INDIRECT("'"&amp;$B31&amp;"'!$N$6:$N$205"),MATCH($AR31&amp;"|"&amp;N$5,INDIRECT("'"&amp;$B31&amp;"'!$AF$6:$AF$205"),0))="","",INDEX(INDIRECT("'"&amp;$B31&amp;"'!$N$6:$N$205"),MATCH($AR31&amp;"|"&amp;N$5,INDIRECT("'"&amp;$B31&amp;"'!$AF$6:$AF$205"),0))),"-"))</f>
        <v/>
      </c>
      <c r="O31" s="34">
        <f>IF(OR(AP31="",O$5="-"),"",IFERROR(IF(INDEX(INDIRECT("'"&amp;$B31&amp;"'!$N$6:$N$205"),MATCH($AR31&amp;"|"&amp;O$5,INDIRECT("'"&amp;$B31&amp;"'!$AF$6:$AF$205"),0))="","",INDEX(INDIRECT("'"&amp;$B31&amp;"'!$N$6:$N$205"),MATCH($AR31&amp;"|"&amp;O$5,INDIRECT("'"&amp;$B31&amp;"'!$AF$6:$AF$205"),0))),"-"))</f>
        <v/>
      </c>
      <c r="P31" s="37">
        <f>IF(OR(AP31="",P$5="-"),"",IFERROR(IF(INDEX(INDIRECT("'"&amp;$B31&amp;"'!$R$6:$R$205"),MATCH($AR31&amp;"|"&amp;P$5,INDIRECT("'"&amp;$B31&amp;"'!$AF$6:$AF$205"),0))="","",INDEX(INDIRECT("'"&amp;$B31&amp;"'!$R$6:$R$205"),MATCH($AR31&amp;"|"&amp;P$5,INDIRECT("'"&amp;$B31&amp;"'!$AF$6:$AF$205"),0))),"-"))</f>
        <v/>
      </c>
      <c r="Q31" s="37">
        <f>IF(OR(AP31="",Q$5="-"),"",IFERROR(IF(INDEX(INDIRECT("'"&amp;$B31&amp;"'!$R$6:$R$205"),MATCH($AR31&amp;"|"&amp;Q$5,INDIRECT("'"&amp;$B31&amp;"'!$AF$6:$AF$205"),0))="","",INDEX(INDIRECT("'"&amp;$B31&amp;"'!$R$6:$R$205"),MATCH($AR31&amp;"|"&amp;Q$5,INDIRECT("'"&amp;$B31&amp;"'!$AF$6:$AF$205"),0))),"-"))</f>
        <v/>
      </c>
      <c r="R31" s="37">
        <f>IF(OR(AP31="",R$5="-"),"",IFERROR(IF(INDEX(INDIRECT("'"&amp;$B31&amp;"'!$R$6:$R$205"),MATCH($AR31&amp;"|"&amp;R$5,INDIRECT("'"&amp;$B31&amp;"'!$AF$6:$AF$205"),0))="","",INDEX(INDIRECT("'"&amp;$B31&amp;"'!$R$6:$R$205"),MATCH($AR31&amp;"|"&amp;R$5,INDIRECT("'"&amp;$B31&amp;"'!$AF$6:$AF$205"),0))),"-"))</f>
        <v/>
      </c>
      <c r="S31" s="37">
        <f>IF(OR(AP31="",S$5="-"),"",IFERROR(IF(INDEX(INDIRECT("'"&amp;$B31&amp;"'!$R$6:$R$205"),MATCH($AR31&amp;"|"&amp;S$5,INDIRECT("'"&amp;$B31&amp;"'!$AF$6:$AF$205"),0))="","",INDEX(INDIRECT("'"&amp;$B31&amp;"'!$R$6:$R$205"),MATCH($AR31&amp;"|"&amp;S$5,INDIRECT("'"&amp;$B31&amp;"'!$AF$6:$AF$205"),0))),"-"))</f>
        <v/>
      </c>
      <c r="T31" s="37">
        <f>IF(OR(AP31="",T$5="-"),"",IFERROR(IF(INDEX(INDIRECT("'"&amp;$B31&amp;"'!$R$6:$R$205"),MATCH($AR31&amp;"|"&amp;T$5,INDIRECT("'"&amp;$B31&amp;"'!$AF$6:$AF$205"),0))="","",INDEX(INDIRECT("'"&amp;$B31&amp;"'!$R$6:$R$205"),MATCH($AR31&amp;"|"&amp;T$5,INDIRECT("'"&amp;$B31&amp;"'!$AF$6:$AF$205"),0))),"-"))</f>
        <v/>
      </c>
      <c r="U31" s="37">
        <f>IF(OR(AP31="",U$5="-"),"",IFERROR(IF(INDEX(INDIRECT("'"&amp;$B31&amp;"'!$R$6:$R$205"),MATCH($AR31&amp;"|"&amp;U$5,INDIRECT("'"&amp;$B31&amp;"'!$AF$6:$AF$205"),0))="","",INDEX(INDIRECT("'"&amp;$B31&amp;"'!$R$6:$R$205"),MATCH($AR31&amp;"|"&amp;U$5,INDIRECT("'"&amp;$B31&amp;"'!$AF$6:$AF$205"),0))),"-"))</f>
        <v/>
      </c>
      <c r="V31" s="37">
        <f>IF(OR(AP31="",V$5="-"),"",IFERROR(IF(INDEX(INDIRECT("'"&amp;$B31&amp;"'!$R$6:$R$205"),MATCH($AR31&amp;"|"&amp;V$5,INDIRECT("'"&amp;$B31&amp;"'!$AF$6:$AF$205"),0))="","",INDEX(INDIRECT("'"&amp;$B31&amp;"'!$R$6:$R$205"),MATCH($AR31&amp;"|"&amp;V$5,INDIRECT("'"&amp;$B31&amp;"'!$AF$6:$AF$205"),0))),"-"))</f>
        <v/>
      </c>
      <c r="W31" s="37">
        <f>IF(OR(AP31="",W$5="-"),"",IFERROR(IF(INDEX(INDIRECT("'"&amp;$B31&amp;"'!$R$6:$R$205"),MATCH($AR31&amp;"|"&amp;W$5,INDIRECT("'"&amp;$B31&amp;"'!$AF$6:$AF$205"),0))="","",INDEX(INDIRECT("'"&amp;$B31&amp;"'!$R$6:$R$205"),MATCH($AR31&amp;"|"&amp;W$5,INDIRECT("'"&amp;$B31&amp;"'!$AF$6:$AF$205"),0))),"-"))</f>
        <v/>
      </c>
      <c r="X31" s="38">
        <f>IF(OR(AP31="",X$5="-"),"",IFERROR(IF(INDEX(INDIRECT("'"&amp;$B31&amp;"'!$T$6:$T$205"),MATCH($AR31&amp;"|"&amp;X$5,INDIRECT("'"&amp;$B31&amp;"'!$AF$6:$AF$205"),0))="","",INDEX(INDIRECT("'"&amp;$B31&amp;"'!$T$6:$T$205"),MATCH($AR31&amp;"|"&amp;X$5,INDIRECT("'"&amp;$B31&amp;"'!$AF$6:$AF$205"),0))),"-"))</f>
        <v/>
      </c>
      <c r="Y31" s="38">
        <f>IF(OR(AP31="",Y$5="-"),"",IFERROR(IF(INDEX(INDIRECT("'"&amp;$B31&amp;"'!$T$6:$T$205"),MATCH($AR31&amp;"|"&amp;Y$5,INDIRECT("'"&amp;$B31&amp;"'!$AF$6:$AF$205"),0))="","",INDEX(INDIRECT("'"&amp;$B31&amp;"'!$T$6:$T$205"),MATCH($AR31&amp;"|"&amp;Y$5,INDIRECT("'"&amp;$B31&amp;"'!$AF$6:$AF$205"),0))),"-"))</f>
        <v/>
      </c>
      <c r="Z31" s="38">
        <f>IF(OR(AP31="",Z$5="-"),"",IFERROR(IF(INDEX(INDIRECT("'"&amp;$B31&amp;"'!$T$6:$T$205"),MATCH($AR31&amp;"|"&amp;Z$5,INDIRECT("'"&amp;$B31&amp;"'!$AF$6:$AF$205"),0))="","",INDEX(INDIRECT("'"&amp;$B31&amp;"'!$T$6:$T$205"),MATCH($AR31&amp;"|"&amp;Z$5,INDIRECT("'"&amp;$B31&amp;"'!$AF$6:$AF$205"),0))),"-"))</f>
        <v/>
      </c>
      <c r="AA31" s="38">
        <f>IF(OR(AP31="",AA$5="-"),"",IFERROR(IF(INDEX(INDIRECT("'"&amp;$B31&amp;"'!$T$6:$T$205"),MATCH($AR31&amp;"|"&amp;AA$5,INDIRECT("'"&amp;$B31&amp;"'!$AF$6:$AF$205"),0))="","",INDEX(INDIRECT("'"&amp;$B31&amp;"'!$T$6:$T$205"),MATCH($AR31&amp;"|"&amp;AA$5,INDIRECT("'"&amp;$B31&amp;"'!$AF$6:$AF$205"),0))),"-"))</f>
        <v/>
      </c>
      <c r="AB31" s="38">
        <f>IF(OR(AP31="",AB$5="-"),"",IFERROR(IF(INDEX(INDIRECT("'"&amp;$B31&amp;"'!$T$6:$T$205"),MATCH($AR31&amp;"|"&amp;AB$5,INDIRECT("'"&amp;$B31&amp;"'!$AF$6:$AF$205"),0))="","",INDEX(INDIRECT("'"&amp;$B31&amp;"'!$T$6:$T$205"),MATCH($AR31&amp;"|"&amp;AB$5,INDIRECT("'"&amp;$B31&amp;"'!$AF$6:$AF$205"),0))),"-"))</f>
        <v/>
      </c>
      <c r="AC31" s="38">
        <f>IF(OR(AP31="",AC$5="-"),"",IFERROR(IF(INDEX(INDIRECT("'"&amp;$B31&amp;"'!$T$6:$T$205"),MATCH($AR31&amp;"|"&amp;AC$5,INDIRECT("'"&amp;$B31&amp;"'!$AF$6:$AF$205"),0))="","",INDEX(INDIRECT("'"&amp;$B31&amp;"'!$T$6:$T$205"),MATCH($AR31&amp;"|"&amp;AC$5,INDIRECT("'"&amp;$B31&amp;"'!$AF$6:$AF$205"),0))),"-"))</f>
        <v/>
      </c>
      <c r="AD31" s="38">
        <f>IF(OR(AP31="",AD$5="-"),"",IFERROR(IF(INDEX(INDIRECT("'"&amp;$B31&amp;"'!$T$6:$T$205"),MATCH($AR31&amp;"|"&amp;AD$5,INDIRECT("'"&amp;$B31&amp;"'!$AF$6:$AF$205"),0))="","",INDEX(INDIRECT("'"&amp;$B31&amp;"'!$T$6:$T$205"),MATCH($AR31&amp;"|"&amp;AD$5,INDIRECT("'"&amp;$B31&amp;"'!$AF$6:$AF$205"),0))),"-"))</f>
        <v/>
      </c>
      <c r="AE31" s="38">
        <f>IF(OR(AP31="",AE$5="-"),"",IFERROR(IF(INDEX(INDIRECT("'"&amp;$B31&amp;"'!$T$6:$T$205"),MATCH($AR31&amp;"|"&amp;AE$5,INDIRECT("'"&amp;$B31&amp;"'!$AF$6:$AF$205"),0))="","",INDEX(INDIRECT("'"&amp;$B31&amp;"'!$T$6:$T$205"),MATCH($AR31&amp;"|"&amp;AE$5,INDIRECT("'"&amp;$B31&amp;"'!$AF$6:$AF$205"),0))),"-"))</f>
        <v/>
      </c>
      <c r="AF31" s="35">
        <f>IF(AG31="","",INDEX($P$5:$W$5,MATCH(AG31,P31:W31,0)))</f>
        <v/>
      </c>
      <c r="AG31" s="37">
        <f>IF(COUNT(P31:W31)=0,"",MIN(P31:W31))</f>
        <v/>
      </c>
      <c r="AH31" s="39">
        <f>IF(AG31="","",AG31*F31)</f>
        <v/>
      </c>
      <c r="AI31" s="39">
        <f>IF(COUNT(P31:W31)&lt;2,"",(MAX(P31:W31)-MIN(P31:W31))*F31)</f>
        <v/>
      </c>
      <c r="AJ31" s="20" t="n"/>
      <c r="AP31">
        <f>IF(26&gt;MAX($AN$6:$AN$9),"",COUNTIF($AN$6:$AN$9,"&lt;"&amp;26)+1)</f>
        <v/>
      </c>
      <c r="AQ31">
        <f>IF(AP31="","",26-INDEX($AO$6:$AO$9,AP31))</f>
        <v/>
      </c>
      <c r="AR31">
        <f>IF(AP31="","",INDEX(INDIRECT("'"&amp;$B31&amp;"'!$AE$6:$AE$205"),MATCH(AQ31,INDIRECT("'"&amp;$B31&amp;"'!$AI$6:$AI$205"),0)))</f>
        <v/>
      </c>
    </row>
    <row r="32">
      <c r="A32" s="34">
        <f>IF(AP32="","",27)</f>
        <v/>
      </c>
      <c r="B32" s="35">
        <f>IF(AP32="","",INDEX($AL$6:$AL$9,AP32))</f>
        <v/>
      </c>
      <c r="C32" s="34">
        <f>IF(AP32="","",INDEX(INDIRECT("'"&amp;$B32&amp;"'!$B$6:$B$205"),MATCH($AR32,INDIRECT("'"&amp;$B32&amp;"'!$AE$6:$AE$205"),0)))</f>
        <v/>
      </c>
      <c r="D32" s="34">
        <f>IF(AP32="","",INDEX(INDIRECT("'"&amp;$B32&amp;"'!$D$6:$D$205"),MATCH($AR32,INDIRECT("'"&amp;$B32&amp;"'!$AE$6:$AE$205"),0)))</f>
        <v/>
      </c>
      <c r="E32" s="36">
        <f>IF(AP32="","",INDEX(INDIRECT("'"&amp;$B32&amp;"'!$F$6:$F$205"),MATCH($AR32,INDIRECT("'"&amp;$B32&amp;"'!$AE$6:$AE$205"),0)))</f>
        <v/>
      </c>
      <c r="F32" s="34">
        <f>IF(AP32="","",INDEX(INDIRECT("'"&amp;$B32&amp;"'!$K$6:$K$205"),MATCH($AR32,INDIRECT("'"&amp;$B32&amp;"'!$AE$6:$AE$205"),0)))</f>
        <v/>
      </c>
      <c r="G32" s="34">
        <f>IF(AP32="","",INDEX(INDIRECT("'"&amp;$B32&amp;"'!$L$6:$L$205"),MATCH($AR32,INDIRECT("'"&amp;$B32&amp;"'!$AE$6:$AE$205"),0)))</f>
        <v/>
      </c>
      <c r="H32" s="34">
        <f>IF(OR(AP32="",H$5="-"),"",IFERROR(IF(INDEX(INDIRECT("'"&amp;$B32&amp;"'!$N$6:$N$205"),MATCH($AR32&amp;"|"&amp;H$5,INDIRECT("'"&amp;$B32&amp;"'!$AF$6:$AF$205"),0))="","",INDEX(INDIRECT("'"&amp;$B32&amp;"'!$N$6:$N$205"),MATCH($AR32&amp;"|"&amp;H$5,INDIRECT("'"&amp;$B32&amp;"'!$AF$6:$AF$205"),0))),"-"))</f>
        <v/>
      </c>
      <c r="I32" s="34">
        <f>IF(OR(AP32="",I$5="-"),"",IFERROR(IF(INDEX(INDIRECT("'"&amp;$B32&amp;"'!$N$6:$N$205"),MATCH($AR32&amp;"|"&amp;I$5,INDIRECT("'"&amp;$B32&amp;"'!$AF$6:$AF$205"),0))="","",INDEX(INDIRECT("'"&amp;$B32&amp;"'!$N$6:$N$205"),MATCH($AR32&amp;"|"&amp;I$5,INDIRECT("'"&amp;$B32&amp;"'!$AF$6:$AF$205"),0))),"-"))</f>
        <v/>
      </c>
      <c r="J32" s="34">
        <f>IF(OR(AP32="",J$5="-"),"",IFERROR(IF(INDEX(INDIRECT("'"&amp;$B32&amp;"'!$N$6:$N$205"),MATCH($AR32&amp;"|"&amp;J$5,INDIRECT("'"&amp;$B32&amp;"'!$AF$6:$AF$205"),0))="","",INDEX(INDIRECT("'"&amp;$B32&amp;"'!$N$6:$N$205"),MATCH($AR32&amp;"|"&amp;J$5,INDIRECT("'"&amp;$B32&amp;"'!$AF$6:$AF$205"),0))),"-"))</f>
        <v/>
      </c>
      <c r="K32" s="34">
        <f>IF(OR(AP32="",K$5="-"),"",IFERROR(IF(INDEX(INDIRECT("'"&amp;$B32&amp;"'!$N$6:$N$205"),MATCH($AR32&amp;"|"&amp;K$5,INDIRECT("'"&amp;$B32&amp;"'!$AF$6:$AF$205"),0))="","",INDEX(INDIRECT("'"&amp;$B32&amp;"'!$N$6:$N$205"),MATCH($AR32&amp;"|"&amp;K$5,INDIRECT("'"&amp;$B32&amp;"'!$AF$6:$AF$205"),0))),"-"))</f>
        <v/>
      </c>
      <c r="L32" s="34">
        <f>IF(OR(AP32="",L$5="-"),"",IFERROR(IF(INDEX(INDIRECT("'"&amp;$B32&amp;"'!$N$6:$N$205"),MATCH($AR32&amp;"|"&amp;L$5,INDIRECT("'"&amp;$B32&amp;"'!$AF$6:$AF$205"),0))="","",INDEX(INDIRECT("'"&amp;$B32&amp;"'!$N$6:$N$205"),MATCH($AR32&amp;"|"&amp;L$5,INDIRECT("'"&amp;$B32&amp;"'!$AF$6:$AF$205"),0))),"-"))</f>
        <v/>
      </c>
      <c r="M32" s="34">
        <f>IF(OR(AP32="",M$5="-"),"",IFERROR(IF(INDEX(INDIRECT("'"&amp;$B32&amp;"'!$N$6:$N$205"),MATCH($AR32&amp;"|"&amp;M$5,INDIRECT("'"&amp;$B32&amp;"'!$AF$6:$AF$205"),0))="","",INDEX(INDIRECT("'"&amp;$B32&amp;"'!$N$6:$N$205"),MATCH($AR32&amp;"|"&amp;M$5,INDIRECT("'"&amp;$B32&amp;"'!$AF$6:$AF$205"),0))),"-"))</f>
        <v/>
      </c>
      <c r="N32" s="34">
        <f>IF(OR(AP32="",N$5="-"),"",IFERROR(IF(INDEX(INDIRECT("'"&amp;$B32&amp;"'!$N$6:$N$205"),MATCH($AR32&amp;"|"&amp;N$5,INDIRECT("'"&amp;$B32&amp;"'!$AF$6:$AF$205"),0))="","",INDEX(INDIRECT("'"&amp;$B32&amp;"'!$N$6:$N$205"),MATCH($AR32&amp;"|"&amp;N$5,INDIRECT("'"&amp;$B32&amp;"'!$AF$6:$AF$205"),0))),"-"))</f>
        <v/>
      </c>
      <c r="O32" s="34">
        <f>IF(OR(AP32="",O$5="-"),"",IFERROR(IF(INDEX(INDIRECT("'"&amp;$B32&amp;"'!$N$6:$N$205"),MATCH($AR32&amp;"|"&amp;O$5,INDIRECT("'"&amp;$B32&amp;"'!$AF$6:$AF$205"),0))="","",INDEX(INDIRECT("'"&amp;$B32&amp;"'!$N$6:$N$205"),MATCH($AR32&amp;"|"&amp;O$5,INDIRECT("'"&amp;$B32&amp;"'!$AF$6:$AF$205"),0))),"-"))</f>
        <v/>
      </c>
      <c r="P32" s="37">
        <f>IF(OR(AP32="",P$5="-"),"",IFERROR(IF(INDEX(INDIRECT("'"&amp;$B32&amp;"'!$R$6:$R$205"),MATCH($AR32&amp;"|"&amp;P$5,INDIRECT("'"&amp;$B32&amp;"'!$AF$6:$AF$205"),0))="","",INDEX(INDIRECT("'"&amp;$B32&amp;"'!$R$6:$R$205"),MATCH($AR32&amp;"|"&amp;P$5,INDIRECT("'"&amp;$B32&amp;"'!$AF$6:$AF$205"),0))),"-"))</f>
        <v/>
      </c>
      <c r="Q32" s="37">
        <f>IF(OR(AP32="",Q$5="-"),"",IFERROR(IF(INDEX(INDIRECT("'"&amp;$B32&amp;"'!$R$6:$R$205"),MATCH($AR32&amp;"|"&amp;Q$5,INDIRECT("'"&amp;$B32&amp;"'!$AF$6:$AF$205"),0))="","",INDEX(INDIRECT("'"&amp;$B32&amp;"'!$R$6:$R$205"),MATCH($AR32&amp;"|"&amp;Q$5,INDIRECT("'"&amp;$B32&amp;"'!$AF$6:$AF$205"),0))),"-"))</f>
        <v/>
      </c>
      <c r="R32" s="37">
        <f>IF(OR(AP32="",R$5="-"),"",IFERROR(IF(INDEX(INDIRECT("'"&amp;$B32&amp;"'!$R$6:$R$205"),MATCH($AR32&amp;"|"&amp;R$5,INDIRECT("'"&amp;$B32&amp;"'!$AF$6:$AF$205"),0))="","",INDEX(INDIRECT("'"&amp;$B32&amp;"'!$R$6:$R$205"),MATCH($AR32&amp;"|"&amp;R$5,INDIRECT("'"&amp;$B32&amp;"'!$AF$6:$AF$205"),0))),"-"))</f>
        <v/>
      </c>
      <c r="S32" s="37">
        <f>IF(OR(AP32="",S$5="-"),"",IFERROR(IF(INDEX(INDIRECT("'"&amp;$B32&amp;"'!$R$6:$R$205"),MATCH($AR32&amp;"|"&amp;S$5,INDIRECT("'"&amp;$B32&amp;"'!$AF$6:$AF$205"),0))="","",INDEX(INDIRECT("'"&amp;$B32&amp;"'!$R$6:$R$205"),MATCH($AR32&amp;"|"&amp;S$5,INDIRECT("'"&amp;$B32&amp;"'!$AF$6:$AF$205"),0))),"-"))</f>
        <v/>
      </c>
      <c r="T32" s="37">
        <f>IF(OR(AP32="",T$5="-"),"",IFERROR(IF(INDEX(INDIRECT("'"&amp;$B32&amp;"'!$R$6:$R$205"),MATCH($AR32&amp;"|"&amp;T$5,INDIRECT("'"&amp;$B32&amp;"'!$AF$6:$AF$205"),0))="","",INDEX(INDIRECT("'"&amp;$B32&amp;"'!$R$6:$R$205"),MATCH($AR32&amp;"|"&amp;T$5,INDIRECT("'"&amp;$B32&amp;"'!$AF$6:$AF$205"),0))),"-"))</f>
        <v/>
      </c>
      <c r="U32" s="37">
        <f>IF(OR(AP32="",U$5="-"),"",IFERROR(IF(INDEX(INDIRECT("'"&amp;$B32&amp;"'!$R$6:$R$205"),MATCH($AR32&amp;"|"&amp;U$5,INDIRECT("'"&amp;$B32&amp;"'!$AF$6:$AF$205"),0))="","",INDEX(INDIRECT("'"&amp;$B32&amp;"'!$R$6:$R$205"),MATCH($AR32&amp;"|"&amp;U$5,INDIRECT("'"&amp;$B32&amp;"'!$AF$6:$AF$205"),0))),"-"))</f>
        <v/>
      </c>
      <c r="V32" s="37">
        <f>IF(OR(AP32="",V$5="-"),"",IFERROR(IF(INDEX(INDIRECT("'"&amp;$B32&amp;"'!$R$6:$R$205"),MATCH($AR32&amp;"|"&amp;V$5,INDIRECT("'"&amp;$B32&amp;"'!$AF$6:$AF$205"),0))="","",INDEX(INDIRECT("'"&amp;$B32&amp;"'!$R$6:$R$205"),MATCH($AR32&amp;"|"&amp;V$5,INDIRECT("'"&amp;$B32&amp;"'!$AF$6:$AF$205"),0))),"-"))</f>
        <v/>
      </c>
      <c r="W32" s="37">
        <f>IF(OR(AP32="",W$5="-"),"",IFERROR(IF(INDEX(INDIRECT("'"&amp;$B32&amp;"'!$R$6:$R$205"),MATCH($AR32&amp;"|"&amp;W$5,INDIRECT("'"&amp;$B32&amp;"'!$AF$6:$AF$205"),0))="","",INDEX(INDIRECT("'"&amp;$B32&amp;"'!$R$6:$R$205"),MATCH($AR32&amp;"|"&amp;W$5,INDIRECT("'"&amp;$B32&amp;"'!$AF$6:$AF$205"),0))),"-"))</f>
        <v/>
      </c>
      <c r="X32" s="38">
        <f>IF(OR(AP32="",X$5="-"),"",IFERROR(IF(INDEX(INDIRECT("'"&amp;$B32&amp;"'!$T$6:$T$205"),MATCH($AR32&amp;"|"&amp;X$5,INDIRECT("'"&amp;$B32&amp;"'!$AF$6:$AF$205"),0))="","",INDEX(INDIRECT("'"&amp;$B32&amp;"'!$T$6:$T$205"),MATCH($AR32&amp;"|"&amp;X$5,INDIRECT("'"&amp;$B32&amp;"'!$AF$6:$AF$205"),0))),"-"))</f>
        <v/>
      </c>
      <c r="Y32" s="38">
        <f>IF(OR(AP32="",Y$5="-"),"",IFERROR(IF(INDEX(INDIRECT("'"&amp;$B32&amp;"'!$T$6:$T$205"),MATCH($AR32&amp;"|"&amp;Y$5,INDIRECT("'"&amp;$B32&amp;"'!$AF$6:$AF$205"),0))="","",INDEX(INDIRECT("'"&amp;$B32&amp;"'!$T$6:$T$205"),MATCH($AR32&amp;"|"&amp;Y$5,INDIRECT("'"&amp;$B32&amp;"'!$AF$6:$AF$205"),0))),"-"))</f>
        <v/>
      </c>
      <c r="Z32" s="38">
        <f>IF(OR(AP32="",Z$5="-"),"",IFERROR(IF(INDEX(INDIRECT("'"&amp;$B32&amp;"'!$T$6:$T$205"),MATCH($AR32&amp;"|"&amp;Z$5,INDIRECT("'"&amp;$B32&amp;"'!$AF$6:$AF$205"),0))="","",INDEX(INDIRECT("'"&amp;$B32&amp;"'!$T$6:$T$205"),MATCH($AR32&amp;"|"&amp;Z$5,INDIRECT("'"&amp;$B32&amp;"'!$AF$6:$AF$205"),0))),"-"))</f>
        <v/>
      </c>
      <c r="AA32" s="38">
        <f>IF(OR(AP32="",AA$5="-"),"",IFERROR(IF(INDEX(INDIRECT("'"&amp;$B32&amp;"'!$T$6:$T$205"),MATCH($AR32&amp;"|"&amp;AA$5,INDIRECT("'"&amp;$B32&amp;"'!$AF$6:$AF$205"),0))="","",INDEX(INDIRECT("'"&amp;$B32&amp;"'!$T$6:$T$205"),MATCH($AR32&amp;"|"&amp;AA$5,INDIRECT("'"&amp;$B32&amp;"'!$AF$6:$AF$205"),0))),"-"))</f>
        <v/>
      </c>
      <c r="AB32" s="38">
        <f>IF(OR(AP32="",AB$5="-"),"",IFERROR(IF(INDEX(INDIRECT("'"&amp;$B32&amp;"'!$T$6:$T$205"),MATCH($AR32&amp;"|"&amp;AB$5,INDIRECT("'"&amp;$B32&amp;"'!$AF$6:$AF$205"),0))="","",INDEX(INDIRECT("'"&amp;$B32&amp;"'!$T$6:$T$205"),MATCH($AR32&amp;"|"&amp;AB$5,INDIRECT("'"&amp;$B32&amp;"'!$AF$6:$AF$205"),0))),"-"))</f>
        <v/>
      </c>
      <c r="AC32" s="38">
        <f>IF(OR(AP32="",AC$5="-"),"",IFERROR(IF(INDEX(INDIRECT("'"&amp;$B32&amp;"'!$T$6:$T$205"),MATCH($AR32&amp;"|"&amp;AC$5,INDIRECT("'"&amp;$B32&amp;"'!$AF$6:$AF$205"),0))="","",INDEX(INDIRECT("'"&amp;$B32&amp;"'!$T$6:$T$205"),MATCH($AR32&amp;"|"&amp;AC$5,INDIRECT("'"&amp;$B32&amp;"'!$AF$6:$AF$205"),0))),"-"))</f>
        <v/>
      </c>
      <c r="AD32" s="38">
        <f>IF(OR(AP32="",AD$5="-"),"",IFERROR(IF(INDEX(INDIRECT("'"&amp;$B32&amp;"'!$T$6:$T$205"),MATCH($AR32&amp;"|"&amp;AD$5,INDIRECT("'"&amp;$B32&amp;"'!$AF$6:$AF$205"),0))="","",INDEX(INDIRECT("'"&amp;$B32&amp;"'!$T$6:$T$205"),MATCH($AR32&amp;"|"&amp;AD$5,INDIRECT("'"&amp;$B32&amp;"'!$AF$6:$AF$205"),0))),"-"))</f>
        <v/>
      </c>
      <c r="AE32" s="38">
        <f>IF(OR(AP32="",AE$5="-"),"",IFERROR(IF(INDEX(INDIRECT("'"&amp;$B32&amp;"'!$T$6:$T$205"),MATCH($AR32&amp;"|"&amp;AE$5,INDIRECT("'"&amp;$B32&amp;"'!$AF$6:$AF$205"),0))="","",INDEX(INDIRECT("'"&amp;$B32&amp;"'!$T$6:$T$205"),MATCH($AR32&amp;"|"&amp;AE$5,INDIRECT("'"&amp;$B32&amp;"'!$AF$6:$AF$205"),0))),"-"))</f>
        <v/>
      </c>
      <c r="AF32" s="35">
        <f>IF(AG32="","",INDEX($P$5:$W$5,MATCH(AG32,P32:W32,0)))</f>
        <v/>
      </c>
      <c r="AG32" s="37">
        <f>IF(COUNT(P32:W32)=0,"",MIN(P32:W32))</f>
        <v/>
      </c>
      <c r="AH32" s="39">
        <f>IF(AG32="","",AG32*F32)</f>
        <v/>
      </c>
      <c r="AI32" s="39">
        <f>IF(COUNT(P32:W32)&lt;2,"",(MAX(P32:W32)-MIN(P32:W32))*F32)</f>
        <v/>
      </c>
      <c r="AJ32" s="20" t="n"/>
      <c r="AP32">
        <f>IF(27&gt;MAX($AN$6:$AN$9),"",COUNTIF($AN$6:$AN$9,"&lt;"&amp;27)+1)</f>
        <v/>
      </c>
      <c r="AQ32">
        <f>IF(AP32="","",27-INDEX($AO$6:$AO$9,AP32))</f>
        <v/>
      </c>
      <c r="AR32">
        <f>IF(AP32="","",INDEX(INDIRECT("'"&amp;$B32&amp;"'!$AE$6:$AE$205"),MATCH(AQ32,INDIRECT("'"&amp;$B32&amp;"'!$AI$6:$AI$205"),0)))</f>
        <v/>
      </c>
    </row>
    <row r="33">
      <c r="A33" s="34">
        <f>IF(AP33="","",28)</f>
        <v/>
      </c>
      <c r="B33" s="35">
        <f>IF(AP33="","",INDEX($AL$6:$AL$9,AP33))</f>
        <v/>
      </c>
      <c r="C33" s="34">
        <f>IF(AP33="","",INDEX(INDIRECT("'"&amp;$B33&amp;"'!$B$6:$B$205"),MATCH($AR33,INDIRECT("'"&amp;$B33&amp;"'!$AE$6:$AE$205"),0)))</f>
        <v/>
      </c>
      <c r="D33" s="34">
        <f>IF(AP33="","",INDEX(INDIRECT("'"&amp;$B33&amp;"'!$D$6:$D$205"),MATCH($AR33,INDIRECT("'"&amp;$B33&amp;"'!$AE$6:$AE$205"),0)))</f>
        <v/>
      </c>
      <c r="E33" s="36">
        <f>IF(AP33="","",INDEX(INDIRECT("'"&amp;$B33&amp;"'!$F$6:$F$205"),MATCH($AR33,INDIRECT("'"&amp;$B33&amp;"'!$AE$6:$AE$205"),0)))</f>
        <v/>
      </c>
      <c r="F33" s="34">
        <f>IF(AP33="","",INDEX(INDIRECT("'"&amp;$B33&amp;"'!$K$6:$K$205"),MATCH($AR33,INDIRECT("'"&amp;$B33&amp;"'!$AE$6:$AE$205"),0)))</f>
        <v/>
      </c>
      <c r="G33" s="34">
        <f>IF(AP33="","",INDEX(INDIRECT("'"&amp;$B33&amp;"'!$L$6:$L$205"),MATCH($AR33,INDIRECT("'"&amp;$B33&amp;"'!$AE$6:$AE$205"),0)))</f>
        <v/>
      </c>
      <c r="H33" s="34">
        <f>IF(OR(AP33="",H$5="-"),"",IFERROR(IF(INDEX(INDIRECT("'"&amp;$B33&amp;"'!$N$6:$N$205"),MATCH($AR33&amp;"|"&amp;H$5,INDIRECT("'"&amp;$B33&amp;"'!$AF$6:$AF$205"),0))="","",INDEX(INDIRECT("'"&amp;$B33&amp;"'!$N$6:$N$205"),MATCH($AR33&amp;"|"&amp;H$5,INDIRECT("'"&amp;$B33&amp;"'!$AF$6:$AF$205"),0))),"-"))</f>
        <v/>
      </c>
      <c r="I33" s="34">
        <f>IF(OR(AP33="",I$5="-"),"",IFERROR(IF(INDEX(INDIRECT("'"&amp;$B33&amp;"'!$N$6:$N$205"),MATCH($AR33&amp;"|"&amp;I$5,INDIRECT("'"&amp;$B33&amp;"'!$AF$6:$AF$205"),0))="","",INDEX(INDIRECT("'"&amp;$B33&amp;"'!$N$6:$N$205"),MATCH($AR33&amp;"|"&amp;I$5,INDIRECT("'"&amp;$B33&amp;"'!$AF$6:$AF$205"),0))),"-"))</f>
        <v/>
      </c>
      <c r="J33" s="34">
        <f>IF(OR(AP33="",J$5="-"),"",IFERROR(IF(INDEX(INDIRECT("'"&amp;$B33&amp;"'!$N$6:$N$205"),MATCH($AR33&amp;"|"&amp;J$5,INDIRECT("'"&amp;$B33&amp;"'!$AF$6:$AF$205"),0))="","",INDEX(INDIRECT("'"&amp;$B33&amp;"'!$N$6:$N$205"),MATCH($AR33&amp;"|"&amp;J$5,INDIRECT("'"&amp;$B33&amp;"'!$AF$6:$AF$205"),0))),"-"))</f>
        <v/>
      </c>
      <c r="K33" s="34">
        <f>IF(OR(AP33="",K$5="-"),"",IFERROR(IF(INDEX(INDIRECT("'"&amp;$B33&amp;"'!$N$6:$N$205"),MATCH($AR33&amp;"|"&amp;K$5,INDIRECT("'"&amp;$B33&amp;"'!$AF$6:$AF$205"),0))="","",INDEX(INDIRECT("'"&amp;$B33&amp;"'!$N$6:$N$205"),MATCH($AR33&amp;"|"&amp;K$5,INDIRECT("'"&amp;$B33&amp;"'!$AF$6:$AF$205"),0))),"-"))</f>
        <v/>
      </c>
      <c r="L33" s="34">
        <f>IF(OR(AP33="",L$5="-"),"",IFERROR(IF(INDEX(INDIRECT("'"&amp;$B33&amp;"'!$N$6:$N$205"),MATCH($AR33&amp;"|"&amp;L$5,INDIRECT("'"&amp;$B33&amp;"'!$AF$6:$AF$205"),0))="","",INDEX(INDIRECT("'"&amp;$B33&amp;"'!$N$6:$N$205"),MATCH($AR33&amp;"|"&amp;L$5,INDIRECT("'"&amp;$B33&amp;"'!$AF$6:$AF$205"),0))),"-"))</f>
        <v/>
      </c>
      <c r="M33" s="34">
        <f>IF(OR(AP33="",M$5="-"),"",IFERROR(IF(INDEX(INDIRECT("'"&amp;$B33&amp;"'!$N$6:$N$205"),MATCH($AR33&amp;"|"&amp;M$5,INDIRECT("'"&amp;$B33&amp;"'!$AF$6:$AF$205"),0))="","",INDEX(INDIRECT("'"&amp;$B33&amp;"'!$N$6:$N$205"),MATCH($AR33&amp;"|"&amp;M$5,INDIRECT("'"&amp;$B33&amp;"'!$AF$6:$AF$205"),0))),"-"))</f>
        <v/>
      </c>
      <c r="N33" s="34">
        <f>IF(OR(AP33="",N$5="-"),"",IFERROR(IF(INDEX(INDIRECT("'"&amp;$B33&amp;"'!$N$6:$N$205"),MATCH($AR33&amp;"|"&amp;N$5,INDIRECT("'"&amp;$B33&amp;"'!$AF$6:$AF$205"),0))="","",INDEX(INDIRECT("'"&amp;$B33&amp;"'!$N$6:$N$205"),MATCH($AR33&amp;"|"&amp;N$5,INDIRECT("'"&amp;$B33&amp;"'!$AF$6:$AF$205"),0))),"-"))</f>
        <v/>
      </c>
      <c r="O33" s="34">
        <f>IF(OR(AP33="",O$5="-"),"",IFERROR(IF(INDEX(INDIRECT("'"&amp;$B33&amp;"'!$N$6:$N$205"),MATCH($AR33&amp;"|"&amp;O$5,INDIRECT("'"&amp;$B33&amp;"'!$AF$6:$AF$205"),0))="","",INDEX(INDIRECT("'"&amp;$B33&amp;"'!$N$6:$N$205"),MATCH($AR33&amp;"|"&amp;O$5,INDIRECT("'"&amp;$B33&amp;"'!$AF$6:$AF$205"),0))),"-"))</f>
        <v/>
      </c>
      <c r="P33" s="37">
        <f>IF(OR(AP33="",P$5="-"),"",IFERROR(IF(INDEX(INDIRECT("'"&amp;$B33&amp;"'!$R$6:$R$205"),MATCH($AR33&amp;"|"&amp;P$5,INDIRECT("'"&amp;$B33&amp;"'!$AF$6:$AF$205"),0))="","",INDEX(INDIRECT("'"&amp;$B33&amp;"'!$R$6:$R$205"),MATCH($AR33&amp;"|"&amp;P$5,INDIRECT("'"&amp;$B33&amp;"'!$AF$6:$AF$205"),0))),"-"))</f>
        <v/>
      </c>
      <c r="Q33" s="37">
        <f>IF(OR(AP33="",Q$5="-"),"",IFERROR(IF(INDEX(INDIRECT("'"&amp;$B33&amp;"'!$R$6:$R$205"),MATCH($AR33&amp;"|"&amp;Q$5,INDIRECT("'"&amp;$B33&amp;"'!$AF$6:$AF$205"),0))="","",INDEX(INDIRECT("'"&amp;$B33&amp;"'!$R$6:$R$205"),MATCH($AR33&amp;"|"&amp;Q$5,INDIRECT("'"&amp;$B33&amp;"'!$AF$6:$AF$205"),0))),"-"))</f>
        <v/>
      </c>
      <c r="R33" s="37">
        <f>IF(OR(AP33="",R$5="-"),"",IFERROR(IF(INDEX(INDIRECT("'"&amp;$B33&amp;"'!$R$6:$R$205"),MATCH($AR33&amp;"|"&amp;R$5,INDIRECT("'"&amp;$B33&amp;"'!$AF$6:$AF$205"),0))="","",INDEX(INDIRECT("'"&amp;$B33&amp;"'!$R$6:$R$205"),MATCH($AR33&amp;"|"&amp;R$5,INDIRECT("'"&amp;$B33&amp;"'!$AF$6:$AF$205"),0))),"-"))</f>
        <v/>
      </c>
      <c r="S33" s="37">
        <f>IF(OR(AP33="",S$5="-"),"",IFERROR(IF(INDEX(INDIRECT("'"&amp;$B33&amp;"'!$R$6:$R$205"),MATCH($AR33&amp;"|"&amp;S$5,INDIRECT("'"&amp;$B33&amp;"'!$AF$6:$AF$205"),0))="","",INDEX(INDIRECT("'"&amp;$B33&amp;"'!$R$6:$R$205"),MATCH($AR33&amp;"|"&amp;S$5,INDIRECT("'"&amp;$B33&amp;"'!$AF$6:$AF$205"),0))),"-"))</f>
        <v/>
      </c>
      <c r="T33" s="37">
        <f>IF(OR(AP33="",T$5="-"),"",IFERROR(IF(INDEX(INDIRECT("'"&amp;$B33&amp;"'!$R$6:$R$205"),MATCH($AR33&amp;"|"&amp;T$5,INDIRECT("'"&amp;$B33&amp;"'!$AF$6:$AF$205"),0))="","",INDEX(INDIRECT("'"&amp;$B33&amp;"'!$R$6:$R$205"),MATCH($AR33&amp;"|"&amp;T$5,INDIRECT("'"&amp;$B33&amp;"'!$AF$6:$AF$205"),0))),"-"))</f>
        <v/>
      </c>
      <c r="U33" s="37">
        <f>IF(OR(AP33="",U$5="-"),"",IFERROR(IF(INDEX(INDIRECT("'"&amp;$B33&amp;"'!$R$6:$R$205"),MATCH($AR33&amp;"|"&amp;U$5,INDIRECT("'"&amp;$B33&amp;"'!$AF$6:$AF$205"),0))="","",INDEX(INDIRECT("'"&amp;$B33&amp;"'!$R$6:$R$205"),MATCH($AR33&amp;"|"&amp;U$5,INDIRECT("'"&amp;$B33&amp;"'!$AF$6:$AF$205"),0))),"-"))</f>
        <v/>
      </c>
      <c r="V33" s="37">
        <f>IF(OR(AP33="",V$5="-"),"",IFERROR(IF(INDEX(INDIRECT("'"&amp;$B33&amp;"'!$R$6:$R$205"),MATCH($AR33&amp;"|"&amp;V$5,INDIRECT("'"&amp;$B33&amp;"'!$AF$6:$AF$205"),0))="","",INDEX(INDIRECT("'"&amp;$B33&amp;"'!$R$6:$R$205"),MATCH($AR33&amp;"|"&amp;V$5,INDIRECT("'"&amp;$B33&amp;"'!$AF$6:$AF$205"),0))),"-"))</f>
        <v/>
      </c>
      <c r="W33" s="37">
        <f>IF(OR(AP33="",W$5="-"),"",IFERROR(IF(INDEX(INDIRECT("'"&amp;$B33&amp;"'!$R$6:$R$205"),MATCH($AR33&amp;"|"&amp;W$5,INDIRECT("'"&amp;$B33&amp;"'!$AF$6:$AF$205"),0))="","",INDEX(INDIRECT("'"&amp;$B33&amp;"'!$R$6:$R$205"),MATCH($AR33&amp;"|"&amp;W$5,INDIRECT("'"&amp;$B33&amp;"'!$AF$6:$AF$205"),0))),"-"))</f>
        <v/>
      </c>
      <c r="X33" s="38">
        <f>IF(OR(AP33="",X$5="-"),"",IFERROR(IF(INDEX(INDIRECT("'"&amp;$B33&amp;"'!$T$6:$T$205"),MATCH($AR33&amp;"|"&amp;X$5,INDIRECT("'"&amp;$B33&amp;"'!$AF$6:$AF$205"),0))="","",INDEX(INDIRECT("'"&amp;$B33&amp;"'!$T$6:$T$205"),MATCH($AR33&amp;"|"&amp;X$5,INDIRECT("'"&amp;$B33&amp;"'!$AF$6:$AF$205"),0))),"-"))</f>
        <v/>
      </c>
      <c r="Y33" s="38">
        <f>IF(OR(AP33="",Y$5="-"),"",IFERROR(IF(INDEX(INDIRECT("'"&amp;$B33&amp;"'!$T$6:$T$205"),MATCH($AR33&amp;"|"&amp;Y$5,INDIRECT("'"&amp;$B33&amp;"'!$AF$6:$AF$205"),0))="","",INDEX(INDIRECT("'"&amp;$B33&amp;"'!$T$6:$T$205"),MATCH($AR33&amp;"|"&amp;Y$5,INDIRECT("'"&amp;$B33&amp;"'!$AF$6:$AF$205"),0))),"-"))</f>
        <v/>
      </c>
      <c r="Z33" s="38">
        <f>IF(OR(AP33="",Z$5="-"),"",IFERROR(IF(INDEX(INDIRECT("'"&amp;$B33&amp;"'!$T$6:$T$205"),MATCH($AR33&amp;"|"&amp;Z$5,INDIRECT("'"&amp;$B33&amp;"'!$AF$6:$AF$205"),0))="","",INDEX(INDIRECT("'"&amp;$B33&amp;"'!$T$6:$T$205"),MATCH($AR33&amp;"|"&amp;Z$5,INDIRECT("'"&amp;$B33&amp;"'!$AF$6:$AF$205"),0))),"-"))</f>
        <v/>
      </c>
      <c r="AA33" s="38">
        <f>IF(OR(AP33="",AA$5="-"),"",IFERROR(IF(INDEX(INDIRECT("'"&amp;$B33&amp;"'!$T$6:$T$205"),MATCH($AR33&amp;"|"&amp;AA$5,INDIRECT("'"&amp;$B33&amp;"'!$AF$6:$AF$205"),0))="","",INDEX(INDIRECT("'"&amp;$B33&amp;"'!$T$6:$T$205"),MATCH($AR33&amp;"|"&amp;AA$5,INDIRECT("'"&amp;$B33&amp;"'!$AF$6:$AF$205"),0))),"-"))</f>
        <v/>
      </c>
      <c r="AB33" s="38">
        <f>IF(OR(AP33="",AB$5="-"),"",IFERROR(IF(INDEX(INDIRECT("'"&amp;$B33&amp;"'!$T$6:$T$205"),MATCH($AR33&amp;"|"&amp;AB$5,INDIRECT("'"&amp;$B33&amp;"'!$AF$6:$AF$205"),0))="","",INDEX(INDIRECT("'"&amp;$B33&amp;"'!$T$6:$T$205"),MATCH($AR33&amp;"|"&amp;AB$5,INDIRECT("'"&amp;$B33&amp;"'!$AF$6:$AF$205"),0))),"-"))</f>
        <v/>
      </c>
      <c r="AC33" s="38">
        <f>IF(OR(AP33="",AC$5="-"),"",IFERROR(IF(INDEX(INDIRECT("'"&amp;$B33&amp;"'!$T$6:$T$205"),MATCH($AR33&amp;"|"&amp;AC$5,INDIRECT("'"&amp;$B33&amp;"'!$AF$6:$AF$205"),0))="","",INDEX(INDIRECT("'"&amp;$B33&amp;"'!$T$6:$T$205"),MATCH($AR33&amp;"|"&amp;AC$5,INDIRECT("'"&amp;$B33&amp;"'!$AF$6:$AF$205"),0))),"-"))</f>
        <v/>
      </c>
      <c r="AD33" s="38">
        <f>IF(OR(AP33="",AD$5="-"),"",IFERROR(IF(INDEX(INDIRECT("'"&amp;$B33&amp;"'!$T$6:$T$205"),MATCH($AR33&amp;"|"&amp;AD$5,INDIRECT("'"&amp;$B33&amp;"'!$AF$6:$AF$205"),0))="","",INDEX(INDIRECT("'"&amp;$B33&amp;"'!$T$6:$T$205"),MATCH($AR33&amp;"|"&amp;AD$5,INDIRECT("'"&amp;$B33&amp;"'!$AF$6:$AF$205"),0))),"-"))</f>
        <v/>
      </c>
      <c r="AE33" s="38">
        <f>IF(OR(AP33="",AE$5="-"),"",IFERROR(IF(INDEX(INDIRECT("'"&amp;$B33&amp;"'!$T$6:$T$205"),MATCH($AR33&amp;"|"&amp;AE$5,INDIRECT("'"&amp;$B33&amp;"'!$AF$6:$AF$205"),0))="","",INDEX(INDIRECT("'"&amp;$B33&amp;"'!$T$6:$T$205"),MATCH($AR33&amp;"|"&amp;AE$5,INDIRECT("'"&amp;$B33&amp;"'!$AF$6:$AF$205"),0))),"-"))</f>
        <v/>
      </c>
      <c r="AF33" s="35">
        <f>IF(AG33="","",INDEX($P$5:$W$5,MATCH(AG33,P33:W33,0)))</f>
        <v/>
      </c>
      <c r="AG33" s="37">
        <f>IF(COUNT(P33:W33)=0,"",MIN(P33:W33))</f>
        <v/>
      </c>
      <c r="AH33" s="39">
        <f>IF(AG33="","",AG33*F33)</f>
        <v/>
      </c>
      <c r="AI33" s="39">
        <f>IF(COUNT(P33:W33)&lt;2,"",(MAX(P33:W33)-MIN(P33:W33))*F33)</f>
        <v/>
      </c>
      <c r="AJ33" s="20" t="n"/>
      <c r="AP33">
        <f>IF(28&gt;MAX($AN$6:$AN$9),"",COUNTIF($AN$6:$AN$9,"&lt;"&amp;28)+1)</f>
        <v/>
      </c>
      <c r="AQ33">
        <f>IF(AP33="","",28-INDEX($AO$6:$AO$9,AP33))</f>
        <v/>
      </c>
      <c r="AR33">
        <f>IF(AP33="","",INDEX(INDIRECT("'"&amp;$B33&amp;"'!$AE$6:$AE$205"),MATCH(AQ33,INDIRECT("'"&amp;$B33&amp;"'!$AI$6:$AI$205"),0)))</f>
        <v/>
      </c>
    </row>
    <row r="34">
      <c r="A34" s="34">
        <f>IF(AP34="","",29)</f>
        <v/>
      </c>
      <c r="B34" s="35">
        <f>IF(AP34="","",INDEX($AL$6:$AL$9,AP34))</f>
        <v/>
      </c>
      <c r="C34" s="34">
        <f>IF(AP34="","",INDEX(INDIRECT("'"&amp;$B34&amp;"'!$B$6:$B$205"),MATCH($AR34,INDIRECT("'"&amp;$B34&amp;"'!$AE$6:$AE$205"),0)))</f>
        <v/>
      </c>
      <c r="D34" s="34">
        <f>IF(AP34="","",INDEX(INDIRECT("'"&amp;$B34&amp;"'!$D$6:$D$205"),MATCH($AR34,INDIRECT("'"&amp;$B34&amp;"'!$AE$6:$AE$205"),0)))</f>
        <v/>
      </c>
      <c r="E34" s="36">
        <f>IF(AP34="","",INDEX(INDIRECT("'"&amp;$B34&amp;"'!$F$6:$F$205"),MATCH($AR34,INDIRECT("'"&amp;$B34&amp;"'!$AE$6:$AE$205"),0)))</f>
        <v/>
      </c>
      <c r="F34" s="34">
        <f>IF(AP34="","",INDEX(INDIRECT("'"&amp;$B34&amp;"'!$K$6:$K$205"),MATCH($AR34,INDIRECT("'"&amp;$B34&amp;"'!$AE$6:$AE$205"),0)))</f>
        <v/>
      </c>
      <c r="G34" s="34">
        <f>IF(AP34="","",INDEX(INDIRECT("'"&amp;$B34&amp;"'!$L$6:$L$205"),MATCH($AR34,INDIRECT("'"&amp;$B34&amp;"'!$AE$6:$AE$205"),0)))</f>
        <v/>
      </c>
      <c r="H34" s="34">
        <f>IF(OR(AP34="",H$5="-"),"",IFERROR(IF(INDEX(INDIRECT("'"&amp;$B34&amp;"'!$N$6:$N$205"),MATCH($AR34&amp;"|"&amp;H$5,INDIRECT("'"&amp;$B34&amp;"'!$AF$6:$AF$205"),0))="","",INDEX(INDIRECT("'"&amp;$B34&amp;"'!$N$6:$N$205"),MATCH($AR34&amp;"|"&amp;H$5,INDIRECT("'"&amp;$B34&amp;"'!$AF$6:$AF$205"),0))),"-"))</f>
        <v/>
      </c>
      <c r="I34" s="34">
        <f>IF(OR(AP34="",I$5="-"),"",IFERROR(IF(INDEX(INDIRECT("'"&amp;$B34&amp;"'!$N$6:$N$205"),MATCH($AR34&amp;"|"&amp;I$5,INDIRECT("'"&amp;$B34&amp;"'!$AF$6:$AF$205"),0))="","",INDEX(INDIRECT("'"&amp;$B34&amp;"'!$N$6:$N$205"),MATCH($AR34&amp;"|"&amp;I$5,INDIRECT("'"&amp;$B34&amp;"'!$AF$6:$AF$205"),0))),"-"))</f>
        <v/>
      </c>
      <c r="J34" s="34">
        <f>IF(OR(AP34="",J$5="-"),"",IFERROR(IF(INDEX(INDIRECT("'"&amp;$B34&amp;"'!$N$6:$N$205"),MATCH($AR34&amp;"|"&amp;J$5,INDIRECT("'"&amp;$B34&amp;"'!$AF$6:$AF$205"),0))="","",INDEX(INDIRECT("'"&amp;$B34&amp;"'!$N$6:$N$205"),MATCH($AR34&amp;"|"&amp;J$5,INDIRECT("'"&amp;$B34&amp;"'!$AF$6:$AF$205"),0))),"-"))</f>
        <v/>
      </c>
      <c r="K34" s="34">
        <f>IF(OR(AP34="",K$5="-"),"",IFERROR(IF(INDEX(INDIRECT("'"&amp;$B34&amp;"'!$N$6:$N$205"),MATCH($AR34&amp;"|"&amp;K$5,INDIRECT("'"&amp;$B34&amp;"'!$AF$6:$AF$205"),0))="","",INDEX(INDIRECT("'"&amp;$B34&amp;"'!$N$6:$N$205"),MATCH($AR34&amp;"|"&amp;K$5,INDIRECT("'"&amp;$B34&amp;"'!$AF$6:$AF$205"),0))),"-"))</f>
        <v/>
      </c>
      <c r="L34" s="34">
        <f>IF(OR(AP34="",L$5="-"),"",IFERROR(IF(INDEX(INDIRECT("'"&amp;$B34&amp;"'!$N$6:$N$205"),MATCH($AR34&amp;"|"&amp;L$5,INDIRECT("'"&amp;$B34&amp;"'!$AF$6:$AF$205"),0))="","",INDEX(INDIRECT("'"&amp;$B34&amp;"'!$N$6:$N$205"),MATCH($AR34&amp;"|"&amp;L$5,INDIRECT("'"&amp;$B34&amp;"'!$AF$6:$AF$205"),0))),"-"))</f>
        <v/>
      </c>
      <c r="M34" s="34">
        <f>IF(OR(AP34="",M$5="-"),"",IFERROR(IF(INDEX(INDIRECT("'"&amp;$B34&amp;"'!$N$6:$N$205"),MATCH($AR34&amp;"|"&amp;M$5,INDIRECT("'"&amp;$B34&amp;"'!$AF$6:$AF$205"),0))="","",INDEX(INDIRECT("'"&amp;$B34&amp;"'!$N$6:$N$205"),MATCH($AR34&amp;"|"&amp;M$5,INDIRECT("'"&amp;$B34&amp;"'!$AF$6:$AF$205"),0))),"-"))</f>
        <v/>
      </c>
      <c r="N34" s="34">
        <f>IF(OR(AP34="",N$5="-"),"",IFERROR(IF(INDEX(INDIRECT("'"&amp;$B34&amp;"'!$N$6:$N$205"),MATCH($AR34&amp;"|"&amp;N$5,INDIRECT("'"&amp;$B34&amp;"'!$AF$6:$AF$205"),0))="","",INDEX(INDIRECT("'"&amp;$B34&amp;"'!$N$6:$N$205"),MATCH($AR34&amp;"|"&amp;N$5,INDIRECT("'"&amp;$B34&amp;"'!$AF$6:$AF$205"),0))),"-"))</f>
        <v/>
      </c>
      <c r="O34" s="34">
        <f>IF(OR(AP34="",O$5="-"),"",IFERROR(IF(INDEX(INDIRECT("'"&amp;$B34&amp;"'!$N$6:$N$205"),MATCH($AR34&amp;"|"&amp;O$5,INDIRECT("'"&amp;$B34&amp;"'!$AF$6:$AF$205"),0))="","",INDEX(INDIRECT("'"&amp;$B34&amp;"'!$N$6:$N$205"),MATCH($AR34&amp;"|"&amp;O$5,INDIRECT("'"&amp;$B34&amp;"'!$AF$6:$AF$205"),0))),"-"))</f>
        <v/>
      </c>
      <c r="P34" s="37">
        <f>IF(OR(AP34="",P$5="-"),"",IFERROR(IF(INDEX(INDIRECT("'"&amp;$B34&amp;"'!$R$6:$R$205"),MATCH($AR34&amp;"|"&amp;P$5,INDIRECT("'"&amp;$B34&amp;"'!$AF$6:$AF$205"),0))="","",INDEX(INDIRECT("'"&amp;$B34&amp;"'!$R$6:$R$205"),MATCH($AR34&amp;"|"&amp;P$5,INDIRECT("'"&amp;$B34&amp;"'!$AF$6:$AF$205"),0))),"-"))</f>
        <v/>
      </c>
      <c r="Q34" s="37">
        <f>IF(OR(AP34="",Q$5="-"),"",IFERROR(IF(INDEX(INDIRECT("'"&amp;$B34&amp;"'!$R$6:$R$205"),MATCH($AR34&amp;"|"&amp;Q$5,INDIRECT("'"&amp;$B34&amp;"'!$AF$6:$AF$205"),0))="","",INDEX(INDIRECT("'"&amp;$B34&amp;"'!$R$6:$R$205"),MATCH($AR34&amp;"|"&amp;Q$5,INDIRECT("'"&amp;$B34&amp;"'!$AF$6:$AF$205"),0))),"-"))</f>
        <v/>
      </c>
      <c r="R34" s="37">
        <f>IF(OR(AP34="",R$5="-"),"",IFERROR(IF(INDEX(INDIRECT("'"&amp;$B34&amp;"'!$R$6:$R$205"),MATCH($AR34&amp;"|"&amp;R$5,INDIRECT("'"&amp;$B34&amp;"'!$AF$6:$AF$205"),0))="","",INDEX(INDIRECT("'"&amp;$B34&amp;"'!$R$6:$R$205"),MATCH($AR34&amp;"|"&amp;R$5,INDIRECT("'"&amp;$B34&amp;"'!$AF$6:$AF$205"),0))),"-"))</f>
        <v/>
      </c>
      <c r="S34" s="37">
        <f>IF(OR(AP34="",S$5="-"),"",IFERROR(IF(INDEX(INDIRECT("'"&amp;$B34&amp;"'!$R$6:$R$205"),MATCH($AR34&amp;"|"&amp;S$5,INDIRECT("'"&amp;$B34&amp;"'!$AF$6:$AF$205"),0))="","",INDEX(INDIRECT("'"&amp;$B34&amp;"'!$R$6:$R$205"),MATCH($AR34&amp;"|"&amp;S$5,INDIRECT("'"&amp;$B34&amp;"'!$AF$6:$AF$205"),0))),"-"))</f>
        <v/>
      </c>
      <c r="T34" s="37">
        <f>IF(OR(AP34="",T$5="-"),"",IFERROR(IF(INDEX(INDIRECT("'"&amp;$B34&amp;"'!$R$6:$R$205"),MATCH($AR34&amp;"|"&amp;T$5,INDIRECT("'"&amp;$B34&amp;"'!$AF$6:$AF$205"),0))="","",INDEX(INDIRECT("'"&amp;$B34&amp;"'!$R$6:$R$205"),MATCH($AR34&amp;"|"&amp;T$5,INDIRECT("'"&amp;$B34&amp;"'!$AF$6:$AF$205"),0))),"-"))</f>
        <v/>
      </c>
      <c r="U34" s="37">
        <f>IF(OR(AP34="",U$5="-"),"",IFERROR(IF(INDEX(INDIRECT("'"&amp;$B34&amp;"'!$R$6:$R$205"),MATCH($AR34&amp;"|"&amp;U$5,INDIRECT("'"&amp;$B34&amp;"'!$AF$6:$AF$205"),0))="","",INDEX(INDIRECT("'"&amp;$B34&amp;"'!$R$6:$R$205"),MATCH($AR34&amp;"|"&amp;U$5,INDIRECT("'"&amp;$B34&amp;"'!$AF$6:$AF$205"),0))),"-"))</f>
        <v/>
      </c>
      <c r="V34" s="37">
        <f>IF(OR(AP34="",V$5="-"),"",IFERROR(IF(INDEX(INDIRECT("'"&amp;$B34&amp;"'!$R$6:$R$205"),MATCH($AR34&amp;"|"&amp;V$5,INDIRECT("'"&amp;$B34&amp;"'!$AF$6:$AF$205"),0))="","",INDEX(INDIRECT("'"&amp;$B34&amp;"'!$R$6:$R$205"),MATCH($AR34&amp;"|"&amp;V$5,INDIRECT("'"&amp;$B34&amp;"'!$AF$6:$AF$205"),0))),"-"))</f>
        <v/>
      </c>
      <c r="W34" s="37">
        <f>IF(OR(AP34="",W$5="-"),"",IFERROR(IF(INDEX(INDIRECT("'"&amp;$B34&amp;"'!$R$6:$R$205"),MATCH($AR34&amp;"|"&amp;W$5,INDIRECT("'"&amp;$B34&amp;"'!$AF$6:$AF$205"),0))="","",INDEX(INDIRECT("'"&amp;$B34&amp;"'!$R$6:$R$205"),MATCH($AR34&amp;"|"&amp;W$5,INDIRECT("'"&amp;$B34&amp;"'!$AF$6:$AF$205"),0))),"-"))</f>
        <v/>
      </c>
      <c r="X34" s="38">
        <f>IF(OR(AP34="",X$5="-"),"",IFERROR(IF(INDEX(INDIRECT("'"&amp;$B34&amp;"'!$T$6:$T$205"),MATCH($AR34&amp;"|"&amp;X$5,INDIRECT("'"&amp;$B34&amp;"'!$AF$6:$AF$205"),0))="","",INDEX(INDIRECT("'"&amp;$B34&amp;"'!$T$6:$T$205"),MATCH($AR34&amp;"|"&amp;X$5,INDIRECT("'"&amp;$B34&amp;"'!$AF$6:$AF$205"),0))),"-"))</f>
        <v/>
      </c>
      <c r="Y34" s="38">
        <f>IF(OR(AP34="",Y$5="-"),"",IFERROR(IF(INDEX(INDIRECT("'"&amp;$B34&amp;"'!$T$6:$T$205"),MATCH($AR34&amp;"|"&amp;Y$5,INDIRECT("'"&amp;$B34&amp;"'!$AF$6:$AF$205"),0))="","",INDEX(INDIRECT("'"&amp;$B34&amp;"'!$T$6:$T$205"),MATCH($AR34&amp;"|"&amp;Y$5,INDIRECT("'"&amp;$B34&amp;"'!$AF$6:$AF$205"),0))),"-"))</f>
        <v/>
      </c>
      <c r="Z34" s="38">
        <f>IF(OR(AP34="",Z$5="-"),"",IFERROR(IF(INDEX(INDIRECT("'"&amp;$B34&amp;"'!$T$6:$T$205"),MATCH($AR34&amp;"|"&amp;Z$5,INDIRECT("'"&amp;$B34&amp;"'!$AF$6:$AF$205"),0))="","",INDEX(INDIRECT("'"&amp;$B34&amp;"'!$T$6:$T$205"),MATCH($AR34&amp;"|"&amp;Z$5,INDIRECT("'"&amp;$B34&amp;"'!$AF$6:$AF$205"),0))),"-"))</f>
        <v/>
      </c>
      <c r="AA34" s="38">
        <f>IF(OR(AP34="",AA$5="-"),"",IFERROR(IF(INDEX(INDIRECT("'"&amp;$B34&amp;"'!$T$6:$T$205"),MATCH($AR34&amp;"|"&amp;AA$5,INDIRECT("'"&amp;$B34&amp;"'!$AF$6:$AF$205"),0))="","",INDEX(INDIRECT("'"&amp;$B34&amp;"'!$T$6:$T$205"),MATCH($AR34&amp;"|"&amp;AA$5,INDIRECT("'"&amp;$B34&amp;"'!$AF$6:$AF$205"),0))),"-"))</f>
        <v/>
      </c>
      <c r="AB34" s="38">
        <f>IF(OR(AP34="",AB$5="-"),"",IFERROR(IF(INDEX(INDIRECT("'"&amp;$B34&amp;"'!$T$6:$T$205"),MATCH($AR34&amp;"|"&amp;AB$5,INDIRECT("'"&amp;$B34&amp;"'!$AF$6:$AF$205"),0))="","",INDEX(INDIRECT("'"&amp;$B34&amp;"'!$T$6:$T$205"),MATCH($AR34&amp;"|"&amp;AB$5,INDIRECT("'"&amp;$B34&amp;"'!$AF$6:$AF$205"),0))),"-"))</f>
        <v/>
      </c>
      <c r="AC34" s="38">
        <f>IF(OR(AP34="",AC$5="-"),"",IFERROR(IF(INDEX(INDIRECT("'"&amp;$B34&amp;"'!$T$6:$T$205"),MATCH($AR34&amp;"|"&amp;AC$5,INDIRECT("'"&amp;$B34&amp;"'!$AF$6:$AF$205"),0))="","",INDEX(INDIRECT("'"&amp;$B34&amp;"'!$T$6:$T$205"),MATCH($AR34&amp;"|"&amp;AC$5,INDIRECT("'"&amp;$B34&amp;"'!$AF$6:$AF$205"),0))),"-"))</f>
        <v/>
      </c>
      <c r="AD34" s="38">
        <f>IF(OR(AP34="",AD$5="-"),"",IFERROR(IF(INDEX(INDIRECT("'"&amp;$B34&amp;"'!$T$6:$T$205"),MATCH($AR34&amp;"|"&amp;AD$5,INDIRECT("'"&amp;$B34&amp;"'!$AF$6:$AF$205"),0))="","",INDEX(INDIRECT("'"&amp;$B34&amp;"'!$T$6:$T$205"),MATCH($AR34&amp;"|"&amp;AD$5,INDIRECT("'"&amp;$B34&amp;"'!$AF$6:$AF$205"),0))),"-"))</f>
        <v/>
      </c>
      <c r="AE34" s="38">
        <f>IF(OR(AP34="",AE$5="-"),"",IFERROR(IF(INDEX(INDIRECT("'"&amp;$B34&amp;"'!$T$6:$T$205"),MATCH($AR34&amp;"|"&amp;AE$5,INDIRECT("'"&amp;$B34&amp;"'!$AF$6:$AF$205"),0))="","",INDEX(INDIRECT("'"&amp;$B34&amp;"'!$T$6:$T$205"),MATCH($AR34&amp;"|"&amp;AE$5,INDIRECT("'"&amp;$B34&amp;"'!$AF$6:$AF$205"),0))),"-"))</f>
        <v/>
      </c>
      <c r="AF34" s="35">
        <f>IF(AG34="","",INDEX($P$5:$W$5,MATCH(AG34,P34:W34,0)))</f>
        <v/>
      </c>
      <c r="AG34" s="37">
        <f>IF(COUNT(P34:W34)=0,"",MIN(P34:W34))</f>
        <v/>
      </c>
      <c r="AH34" s="39">
        <f>IF(AG34="","",AG34*F34)</f>
        <v/>
      </c>
      <c r="AI34" s="39">
        <f>IF(COUNT(P34:W34)&lt;2,"",(MAX(P34:W34)-MIN(P34:W34))*F34)</f>
        <v/>
      </c>
      <c r="AJ34" s="20" t="n"/>
      <c r="AP34">
        <f>IF(29&gt;MAX($AN$6:$AN$9),"",COUNTIF($AN$6:$AN$9,"&lt;"&amp;29)+1)</f>
        <v/>
      </c>
      <c r="AQ34">
        <f>IF(AP34="","",29-INDEX($AO$6:$AO$9,AP34))</f>
        <v/>
      </c>
      <c r="AR34">
        <f>IF(AP34="","",INDEX(INDIRECT("'"&amp;$B34&amp;"'!$AE$6:$AE$205"),MATCH(AQ34,INDIRECT("'"&amp;$B34&amp;"'!$AI$6:$AI$205"),0)))</f>
        <v/>
      </c>
    </row>
    <row r="35">
      <c r="A35" s="34">
        <f>IF(AP35="","",30)</f>
        <v/>
      </c>
      <c r="B35" s="35">
        <f>IF(AP35="","",INDEX($AL$6:$AL$9,AP35))</f>
        <v/>
      </c>
      <c r="C35" s="34">
        <f>IF(AP35="","",INDEX(INDIRECT("'"&amp;$B35&amp;"'!$B$6:$B$205"),MATCH($AR35,INDIRECT("'"&amp;$B35&amp;"'!$AE$6:$AE$205"),0)))</f>
        <v/>
      </c>
      <c r="D35" s="34">
        <f>IF(AP35="","",INDEX(INDIRECT("'"&amp;$B35&amp;"'!$D$6:$D$205"),MATCH($AR35,INDIRECT("'"&amp;$B35&amp;"'!$AE$6:$AE$205"),0)))</f>
        <v/>
      </c>
      <c r="E35" s="36">
        <f>IF(AP35="","",INDEX(INDIRECT("'"&amp;$B35&amp;"'!$F$6:$F$205"),MATCH($AR35,INDIRECT("'"&amp;$B35&amp;"'!$AE$6:$AE$205"),0)))</f>
        <v/>
      </c>
      <c r="F35" s="34">
        <f>IF(AP35="","",INDEX(INDIRECT("'"&amp;$B35&amp;"'!$K$6:$K$205"),MATCH($AR35,INDIRECT("'"&amp;$B35&amp;"'!$AE$6:$AE$205"),0)))</f>
        <v/>
      </c>
      <c r="G35" s="34">
        <f>IF(AP35="","",INDEX(INDIRECT("'"&amp;$B35&amp;"'!$L$6:$L$205"),MATCH($AR35,INDIRECT("'"&amp;$B35&amp;"'!$AE$6:$AE$205"),0)))</f>
        <v/>
      </c>
      <c r="H35" s="34">
        <f>IF(OR(AP35="",H$5="-"),"",IFERROR(IF(INDEX(INDIRECT("'"&amp;$B35&amp;"'!$N$6:$N$205"),MATCH($AR35&amp;"|"&amp;H$5,INDIRECT("'"&amp;$B35&amp;"'!$AF$6:$AF$205"),0))="","",INDEX(INDIRECT("'"&amp;$B35&amp;"'!$N$6:$N$205"),MATCH($AR35&amp;"|"&amp;H$5,INDIRECT("'"&amp;$B35&amp;"'!$AF$6:$AF$205"),0))),"-"))</f>
        <v/>
      </c>
      <c r="I35" s="34">
        <f>IF(OR(AP35="",I$5="-"),"",IFERROR(IF(INDEX(INDIRECT("'"&amp;$B35&amp;"'!$N$6:$N$205"),MATCH($AR35&amp;"|"&amp;I$5,INDIRECT("'"&amp;$B35&amp;"'!$AF$6:$AF$205"),0))="","",INDEX(INDIRECT("'"&amp;$B35&amp;"'!$N$6:$N$205"),MATCH($AR35&amp;"|"&amp;I$5,INDIRECT("'"&amp;$B35&amp;"'!$AF$6:$AF$205"),0))),"-"))</f>
        <v/>
      </c>
      <c r="J35" s="34">
        <f>IF(OR(AP35="",J$5="-"),"",IFERROR(IF(INDEX(INDIRECT("'"&amp;$B35&amp;"'!$N$6:$N$205"),MATCH($AR35&amp;"|"&amp;J$5,INDIRECT("'"&amp;$B35&amp;"'!$AF$6:$AF$205"),0))="","",INDEX(INDIRECT("'"&amp;$B35&amp;"'!$N$6:$N$205"),MATCH($AR35&amp;"|"&amp;J$5,INDIRECT("'"&amp;$B35&amp;"'!$AF$6:$AF$205"),0))),"-"))</f>
        <v/>
      </c>
      <c r="K35" s="34">
        <f>IF(OR(AP35="",K$5="-"),"",IFERROR(IF(INDEX(INDIRECT("'"&amp;$B35&amp;"'!$N$6:$N$205"),MATCH($AR35&amp;"|"&amp;K$5,INDIRECT("'"&amp;$B35&amp;"'!$AF$6:$AF$205"),0))="","",INDEX(INDIRECT("'"&amp;$B35&amp;"'!$N$6:$N$205"),MATCH($AR35&amp;"|"&amp;K$5,INDIRECT("'"&amp;$B35&amp;"'!$AF$6:$AF$205"),0))),"-"))</f>
        <v/>
      </c>
      <c r="L35" s="34">
        <f>IF(OR(AP35="",L$5="-"),"",IFERROR(IF(INDEX(INDIRECT("'"&amp;$B35&amp;"'!$N$6:$N$205"),MATCH($AR35&amp;"|"&amp;L$5,INDIRECT("'"&amp;$B35&amp;"'!$AF$6:$AF$205"),0))="","",INDEX(INDIRECT("'"&amp;$B35&amp;"'!$N$6:$N$205"),MATCH($AR35&amp;"|"&amp;L$5,INDIRECT("'"&amp;$B35&amp;"'!$AF$6:$AF$205"),0))),"-"))</f>
        <v/>
      </c>
      <c r="M35" s="34">
        <f>IF(OR(AP35="",M$5="-"),"",IFERROR(IF(INDEX(INDIRECT("'"&amp;$B35&amp;"'!$N$6:$N$205"),MATCH($AR35&amp;"|"&amp;M$5,INDIRECT("'"&amp;$B35&amp;"'!$AF$6:$AF$205"),0))="","",INDEX(INDIRECT("'"&amp;$B35&amp;"'!$N$6:$N$205"),MATCH($AR35&amp;"|"&amp;M$5,INDIRECT("'"&amp;$B35&amp;"'!$AF$6:$AF$205"),0))),"-"))</f>
        <v/>
      </c>
      <c r="N35" s="34">
        <f>IF(OR(AP35="",N$5="-"),"",IFERROR(IF(INDEX(INDIRECT("'"&amp;$B35&amp;"'!$N$6:$N$205"),MATCH($AR35&amp;"|"&amp;N$5,INDIRECT("'"&amp;$B35&amp;"'!$AF$6:$AF$205"),0))="","",INDEX(INDIRECT("'"&amp;$B35&amp;"'!$N$6:$N$205"),MATCH($AR35&amp;"|"&amp;N$5,INDIRECT("'"&amp;$B35&amp;"'!$AF$6:$AF$205"),0))),"-"))</f>
        <v/>
      </c>
      <c r="O35" s="34">
        <f>IF(OR(AP35="",O$5="-"),"",IFERROR(IF(INDEX(INDIRECT("'"&amp;$B35&amp;"'!$N$6:$N$205"),MATCH($AR35&amp;"|"&amp;O$5,INDIRECT("'"&amp;$B35&amp;"'!$AF$6:$AF$205"),0))="","",INDEX(INDIRECT("'"&amp;$B35&amp;"'!$N$6:$N$205"),MATCH($AR35&amp;"|"&amp;O$5,INDIRECT("'"&amp;$B35&amp;"'!$AF$6:$AF$205"),0))),"-"))</f>
        <v/>
      </c>
      <c r="P35" s="37">
        <f>IF(OR(AP35="",P$5="-"),"",IFERROR(IF(INDEX(INDIRECT("'"&amp;$B35&amp;"'!$R$6:$R$205"),MATCH($AR35&amp;"|"&amp;P$5,INDIRECT("'"&amp;$B35&amp;"'!$AF$6:$AF$205"),0))="","",INDEX(INDIRECT("'"&amp;$B35&amp;"'!$R$6:$R$205"),MATCH($AR35&amp;"|"&amp;P$5,INDIRECT("'"&amp;$B35&amp;"'!$AF$6:$AF$205"),0))),"-"))</f>
        <v/>
      </c>
      <c r="Q35" s="37">
        <f>IF(OR(AP35="",Q$5="-"),"",IFERROR(IF(INDEX(INDIRECT("'"&amp;$B35&amp;"'!$R$6:$R$205"),MATCH($AR35&amp;"|"&amp;Q$5,INDIRECT("'"&amp;$B35&amp;"'!$AF$6:$AF$205"),0))="","",INDEX(INDIRECT("'"&amp;$B35&amp;"'!$R$6:$R$205"),MATCH($AR35&amp;"|"&amp;Q$5,INDIRECT("'"&amp;$B35&amp;"'!$AF$6:$AF$205"),0))),"-"))</f>
        <v/>
      </c>
      <c r="R35" s="37">
        <f>IF(OR(AP35="",R$5="-"),"",IFERROR(IF(INDEX(INDIRECT("'"&amp;$B35&amp;"'!$R$6:$R$205"),MATCH($AR35&amp;"|"&amp;R$5,INDIRECT("'"&amp;$B35&amp;"'!$AF$6:$AF$205"),0))="","",INDEX(INDIRECT("'"&amp;$B35&amp;"'!$R$6:$R$205"),MATCH($AR35&amp;"|"&amp;R$5,INDIRECT("'"&amp;$B35&amp;"'!$AF$6:$AF$205"),0))),"-"))</f>
        <v/>
      </c>
      <c r="S35" s="37">
        <f>IF(OR(AP35="",S$5="-"),"",IFERROR(IF(INDEX(INDIRECT("'"&amp;$B35&amp;"'!$R$6:$R$205"),MATCH($AR35&amp;"|"&amp;S$5,INDIRECT("'"&amp;$B35&amp;"'!$AF$6:$AF$205"),0))="","",INDEX(INDIRECT("'"&amp;$B35&amp;"'!$R$6:$R$205"),MATCH($AR35&amp;"|"&amp;S$5,INDIRECT("'"&amp;$B35&amp;"'!$AF$6:$AF$205"),0))),"-"))</f>
        <v/>
      </c>
      <c r="T35" s="37">
        <f>IF(OR(AP35="",T$5="-"),"",IFERROR(IF(INDEX(INDIRECT("'"&amp;$B35&amp;"'!$R$6:$R$205"),MATCH($AR35&amp;"|"&amp;T$5,INDIRECT("'"&amp;$B35&amp;"'!$AF$6:$AF$205"),0))="","",INDEX(INDIRECT("'"&amp;$B35&amp;"'!$R$6:$R$205"),MATCH($AR35&amp;"|"&amp;T$5,INDIRECT("'"&amp;$B35&amp;"'!$AF$6:$AF$205"),0))),"-"))</f>
        <v/>
      </c>
      <c r="U35" s="37">
        <f>IF(OR(AP35="",U$5="-"),"",IFERROR(IF(INDEX(INDIRECT("'"&amp;$B35&amp;"'!$R$6:$R$205"),MATCH($AR35&amp;"|"&amp;U$5,INDIRECT("'"&amp;$B35&amp;"'!$AF$6:$AF$205"),0))="","",INDEX(INDIRECT("'"&amp;$B35&amp;"'!$R$6:$R$205"),MATCH($AR35&amp;"|"&amp;U$5,INDIRECT("'"&amp;$B35&amp;"'!$AF$6:$AF$205"),0))),"-"))</f>
        <v/>
      </c>
      <c r="V35" s="37">
        <f>IF(OR(AP35="",V$5="-"),"",IFERROR(IF(INDEX(INDIRECT("'"&amp;$B35&amp;"'!$R$6:$R$205"),MATCH($AR35&amp;"|"&amp;V$5,INDIRECT("'"&amp;$B35&amp;"'!$AF$6:$AF$205"),0))="","",INDEX(INDIRECT("'"&amp;$B35&amp;"'!$R$6:$R$205"),MATCH($AR35&amp;"|"&amp;V$5,INDIRECT("'"&amp;$B35&amp;"'!$AF$6:$AF$205"),0))),"-"))</f>
        <v/>
      </c>
      <c r="W35" s="37">
        <f>IF(OR(AP35="",W$5="-"),"",IFERROR(IF(INDEX(INDIRECT("'"&amp;$B35&amp;"'!$R$6:$R$205"),MATCH($AR35&amp;"|"&amp;W$5,INDIRECT("'"&amp;$B35&amp;"'!$AF$6:$AF$205"),0))="","",INDEX(INDIRECT("'"&amp;$B35&amp;"'!$R$6:$R$205"),MATCH($AR35&amp;"|"&amp;W$5,INDIRECT("'"&amp;$B35&amp;"'!$AF$6:$AF$205"),0))),"-"))</f>
        <v/>
      </c>
      <c r="X35" s="38">
        <f>IF(OR(AP35="",X$5="-"),"",IFERROR(IF(INDEX(INDIRECT("'"&amp;$B35&amp;"'!$T$6:$T$205"),MATCH($AR35&amp;"|"&amp;X$5,INDIRECT("'"&amp;$B35&amp;"'!$AF$6:$AF$205"),0))="","",INDEX(INDIRECT("'"&amp;$B35&amp;"'!$T$6:$T$205"),MATCH($AR35&amp;"|"&amp;X$5,INDIRECT("'"&amp;$B35&amp;"'!$AF$6:$AF$205"),0))),"-"))</f>
        <v/>
      </c>
      <c r="Y35" s="38">
        <f>IF(OR(AP35="",Y$5="-"),"",IFERROR(IF(INDEX(INDIRECT("'"&amp;$B35&amp;"'!$T$6:$T$205"),MATCH($AR35&amp;"|"&amp;Y$5,INDIRECT("'"&amp;$B35&amp;"'!$AF$6:$AF$205"),0))="","",INDEX(INDIRECT("'"&amp;$B35&amp;"'!$T$6:$T$205"),MATCH($AR35&amp;"|"&amp;Y$5,INDIRECT("'"&amp;$B35&amp;"'!$AF$6:$AF$205"),0))),"-"))</f>
        <v/>
      </c>
      <c r="Z35" s="38">
        <f>IF(OR(AP35="",Z$5="-"),"",IFERROR(IF(INDEX(INDIRECT("'"&amp;$B35&amp;"'!$T$6:$T$205"),MATCH($AR35&amp;"|"&amp;Z$5,INDIRECT("'"&amp;$B35&amp;"'!$AF$6:$AF$205"),0))="","",INDEX(INDIRECT("'"&amp;$B35&amp;"'!$T$6:$T$205"),MATCH($AR35&amp;"|"&amp;Z$5,INDIRECT("'"&amp;$B35&amp;"'!$AF$6:$AF$205"),0))),"-"))</f>
        <v/>
      </c>
      <c r="AA35" s="38">
        <f>IF(OR(AP35="",AA$5="-"),"",IFERROR(IF(INDEX(INDIRECT("'"&amp;$B35&amp;"'!$T$6:$T$205"),MATCH($AR35&amp;"|"&amp;AA$5,INDIRECT("'"&amp;$B35&amp;"'!$AF$6:$AF$205"),0))="","",INDEX(INDIRECT("'"&amp;$B35&amp;"'!$T$6:$T$205"),MATCH($AR35&amp;"|"&amp;AA$5,INDIRECT("'"&amp;$B35&amp;"'!$AF$6:$AF$205"),0))),"-"))</f>
        <v/>
      </c>
      <c r="AB35" s="38">
        <f>IF(OR(AP35="",AB$5="-"),"",IFERROR(IF(INDEX(INDIRECT("'"&amp;$B35&amp;"'!$T$6:$T$205"),MATCH($AR35&amp;"|"&amp;AB$5,INDIRECT("'"&amp;$B35&amp;"'!$AF$6:$AF$205"),0))="","",INDEX(INDIRECT("'"&amp;$B35&amp;"'!$T$6:$T$205"),MATCH($AR35&amp;"|"&amp;AB$5,INDIRECT("'"&amp;$B35&amp;"'!$AF$6:$AF$205"),0))),"-"))</f>
        <v/>
      </c>
      <c r="AC35" s="38">
        <f>IF(OR(AP35="",AC$5="-"),"",IFERROR(IF(INDEX(INDIRECT("'"&amp;$B35&amp;"'!$T$6:$T$205"),MATCH($AR35&amp;"|"&amp;AC$5,INDIRECT("'"&amp;$B35&amp;"'!$AF$6:$AF$205"),0))="","",INDEX(INDIRECT("'"&amp;$B35&amp;"'!$T$6:$T$205"),MATCH($AR35&amp;"|"&amp;AC$5,INDIRECT("'"&amp;$B35&amp;"'!$AF$6:$AF$205"),0))),"-"))</f>
        <v/>
      </c>
      <c r="AD35" s="38">
        <f>IF(OR(AP35="",AD$5="-"),"",IFERROR(IF(INDEX(INDIRECT("'"&amp;$B35&amp;"'!$T$6:$T$205"),MATCH($AR35&amp;"|"&amp;AD$5,INDIRECT("'"&amp;$B35&amp;"'!$AF$6:$AF$205"),0))="","",INDEX(INDIRECT("'"&amp;$B35&amp;"'!$T$6:$T$205"),MATCH($AR35&amp;"|"&amp;AD$5,INDIRECT("'"&amp;$B35&amp;"'!$AF$6:$AF$205"),0))),"-"))</f>
        <v/>
      </c>
      <c r="AE35" s="38">
        <f>IF(OR(AP35="",AE$5="-"),"",IFERROR(IF(INDEX(INDIRECT("'"&amp;$B35&amp;"'!$T$6:$T$205"),MATCH($AR35&amp;"|"&amp;AE$5,INDIRECT("'"&amp;$B35&amp;"'!$AF$6:$AF$205"),0))="","",INDEX(INDIRECT("'"&amp;$B35&amp;"'!$T$6:$T$205"),MATCH($AR35&amp;"|"&amp;AE$5,INDIRECT("'"&amp;$B35&amp;"'!$AF$6:$AF$205"),0))),"-"))</f>
        <v/>
      </c>
      <c r="AF35" s="35">
        <f>IF(AG35="","",INDEX($P$5:$W$5,MATCH(AG35,P35:W35,0)))</f>
        <v/>
      </c>
      <c r="AG35" s="37">
        <f>IF(COUNT(P35:W35)=0,"",MIN(P35:W35))</f>
        <v/>
      </c>
      <c r="AH35" s="39">
        <f>IF(AG35="","",AG35*F35)</f>
        <v/>
      </c>
      <c r="AI35" s="39">
        <f>IF(COUNT(P35:W35)&lt;2,"",(MAX(P35:W35)-MIN(P35:W35))*F35)</f>
        <v/>
      </c>
      <c r="AJ35" s="20" t="n"/>
      <c r="AP35">
        <f>IF(30&gt;MAX($AN$6:$AN$9),"",COUNTIF($AN$6:$AN$9,"&lt;"&amp;30)+1)</f>
        <v/>
      </c>
      <c r="AQ35">
        <f>IF(AP35="","",30-INDEX($AO$6:$AO$9,AP35))</f>
        <v/>
      </c>
      <c r="AR35">
        <f>IF(AP35="","",INDEX(INDIRECT("'"&amp;$B35&amp;"'!$AE$6:$AE$205"),MATCH(AQ35,INDIRECT("'"&amp;$B35&amp;"'!$AI$6:$AI$205"),0)))</f>
        <v/>
      </c>
    </row>
    <row r="36">
      <c r="A36" s="34">
        <f>IF(AP36="","",31)</f>
        <v/>
      </c>
      <c r="B36" s="35">
        <f>IF(AP36="","",INDEX($AL$6:$AL$9,AP36))</f>
        <v/>
      </c>
      <c r="C36" s="34">
        <f>IF(AP36="","",INDEX(INDIRECT("'"&amp;$B36&amp;"'!$B$6:$B$205"),MATCH($AR36,INDIRECT("'"&amp;$B36&amp;"'!$AE$6:$AE$205"),0)))</f>
        <v/>
      </c>
      <c r="D36" s="34">
        <f>IF(AP36="","",INDEX(INDIRECT("'"&amp;$B36&amp;"'!$D$6:$D$205"),MATCH($AR36,INDIRECT("'"&amp;$B36&amp;"'!$AE$6:$AE$205"),0)))</f>
        <v/>
      </c>
      <c r="E36" s="36">
        <f>IF(AP36="","",INDEX(INDIRECT("'"&amp;$B36&amp;"'!$F$6:$F$205"),MATCH($AR36,INDIRECT("'"&amp;$B36&amp;"'!$AE$6:$AE$205"),0)))</f>
        <v/>
      </c>
      <c r="F36" s="34">
        <f>IF(AP36="","",INDEX(INDIRECT("'"&amp;$B36&amp;"'!$K$6:$K$205"),MATCH($AR36,INDIRECT("'"&amp;$B36&amp;"'!$AE$6:$AE$205"),0)))</f>
        <v/>
      </c>
      <c r="G36" s="34">
        <f>IF(AP36="","",INDEX(INDIRECT("'"&amp;$B36&amp;"'!$L$6:$L$205"),MATCH($AR36,INDIRECT("'"&amp;$B36&amp;"'!$AE$6:$AE$205"),0)))</f>
        <v/>
      </c>
      <c r="H36" s="34">
        <f>IF(OR(AP36="",H$5="-"),"",IFERROR(IF(INDEX(INDIRECT("'"&amp;$B36&amp;"'!$N$6:$N$205"),MATCH($AR36&amp;"|"&amp;H$5,INDIRECT("'"&amp;$B36&amp;"'!$AF$6:$AF$205"),0))="","",INDEX(INDIRECT("'"&amp;$B36&amp;"'!$N$6:$N$205"),MATCH($AR36&amp;"|"&amp;H$5,INDIRECT("'"&amp;$B36&amp;"'!$AF$6:$AF$205"),0))),"-"))</f>
        <v/>
      </c>
      <c r="I36" s="34">
        <f>IF(OR(AP36="",I$5="-"),"",IFERROR(IF(INDEX(INDIRECT("'"&amp;$B36&amp;"'!$N$6:$N$205"),MATCH($AR36&amp;"|"&amp;I$5,INDIRECT("'"&amp;$B36&amp;"'!$AF$6:$AF$205"),0))="","",INDEX(INDIRECT("'"&amp;$B36&amp;"'!$N$6:$N$205"),MATCH($AR36&amp;"|"&amp;I$5,INDIRECT("'"&amp;$B36&amp;"'!$AF$6:$AF$205"),0))),"-"))</f>
        <v/>
      </c>
      <c r="J36" s="34">
        <f>IF(OR(AP36="",J$5="-"),"",IFERROR(IF(INDEX(INDIRECT("'"&amp;$B36&amp;"'!$N$6:$N$205"),MATCH($AR36&amp;"|"&amp;J$5,INDIRECT("'"&amp;$B36&amp;"'!$AF$6:$AF$205"),0))="","",INDEX(INDIRECT("'"&amp;$B36&amp;"'!$N$6:$N$205"),MATCH($AR36&amp;"|"&amp;J$5,INDIRECT("'"&amp;$B36&amp;"'!$AF$6:$AF$205"),0))),"-"))</f>
        <v/>
      </c>
      <c r="K36" s="34">
        <f>IF(OR(AP36="",K$5="-"),"",IFERROR(IF(INDEX(INDIRECT("'"&amp;$B36&amp;"'!$N$6:$N$205"),MATCH($AR36&amp;"|"&amp;K$5,INDIRECT("'"&amp;$B36&amp;"'!$AF$6:$AF$205"),0))="","",INDEX(INDIRECT("'"&amp;$B36&amp;"'!$N$6:$N$205"),MATCH($AR36&amp;"|"&amp;K$5,INDIRECT("'"&amp;$B36&amp;"'!$AF$6:$AF$205"),0))),"-"))</f>
        <v/>
      </c>
      <c r="L36" s="34">
        <f>IF(OR(AP36="",L$5="-"),"",IFERROR(IF(INDEX(INDIRECT("'"&amp;$B36&amp;"'!$N$6:$N$205"),MATCH($AR36&amp;"|"&amp;L$5,INDIRECT("'"&amp;$B36&amp;"'!$AF$6:$AF$205"),0))="","",INDEX(INDIRECT("'"&amp;$B36&amp;"'!$N$6:$N$205"),MATCH($AR36&amp;"|"&amp;L$5,INDIRECT("'"&amp;$B36&amp;"'!$AF$6:$AF$205"),0))),"-"))</f>
        <v/>
      </c>
      <c r="M36" s="34">
        <f>IF(OR(AP36="",M$5="-"),"",IFERROR(IF(INDEX(INDIRECT("'"&amp;$B36&amp;"'!$N$6:$N$205"),MATCH($AR36&amp;"|"&amp;M$5,INDIRECT("'"&amp;$B36&amp;"'!$AF$6:$AF$205"),0))="","",INDEX(INDIRECT("'"&amp;$B36&amp;"'!$N$6:$N$205"),MATCH($AR36&amp;"|"&amp;M$5,INDIRECT("'"&amp;$B36&amp;"'!$AF$6:$AF$205"),0))),"-"))</f>
        <v/>
      </c>
      <c r="N36" s="34">
        <f>IF(OR(AP36="",N$5="-"),"",IFERROR(IF(INDEX(INDIRECT("'"&amp;$B36&amp;"'!$N$6:$N$205"),MATCH($AR36&amp;"|"&amp;N$5,INDIRECT("'"&amp;$B36&amp;"'!$AF$6:$AF$205"),0))="","",INDEX(INDIRECT("'"&amp;$B36&amp;"'!$N$6:$N$205"),MATCH($AR36&amp;"|"&amp;N$5,INDIRECT("'"&amp;$B36&amp;"'!$AF$6:$AF$205"),0))),"-"))</f>
        <v/>
      </c>
      <c r="O36" s="34">
        <f>IF(OR(AP36="",O$5="-"),"",IFERROR(IF(INDEX(INDIRECT("'"&amp;$B36&amp;"'!$N$6:$N$205"),MATCH($AR36&amp;"|"&amp;O$5,INDIRECT("'"&amp;$B36&amp;"'!$AF$6:$AF$205"),0))="","",INDEX(INDIRECT("'"&amp;$B36&amp;"'!$N$6:$N$205"),MATCH($AR36&amp;"|"&amp;O$5,INDIRECT("'"&amp;$B36&amp;"'!$AF$6:$AF$205"),0))),"-"))</f>
        <v/>
      </c>
      <c r="P36" s="37">
        <f>IF(OR(AP36="",P$5="-"),"",IFERROR(IF(INDEX(INDIRECT("'"&amp;$B36&amp;"'!$R$6:$R$205"),MATCH($AR36&amp;"|"&amp;P$5,INDIRECT("'"&amp;$B36&amp;"'!$AF$6:$AF$205"),0))="","",INDEX(INDIRECT("'"&amp;$B36&amp;"'!$R$6:$R$205"),MATCH($AR36&amp;"|"&amp;P$5,INDIRECT("'"&amp;$B36&amp;"'!$AF$6:$AF$205"),0))),"-"))</f>
        <v/>
      </c>
      <c r="Q36" s="37">
        <f>IF(OR(AP36="",Q$5="-"),"",IFERROR(IF(INDEX(INDIRECT("'"&amp;$B36&amp;"'!$R$6:$R$205"),MATCH($AR36&amp;"|"&amp;Q$5,INDIRECT("'"&amp;$B36&amp;"'!$AF$6:$AF$205"),0))="","",INDEX(INDIRECT("'"&amp;$B36&amp;"'!$R$6:$R$205"),MATCH($AR36&amp;"|"&amp;Q$5,INDIRECT("'"&amp;$B36&amp;"'!$AF$6:$AF$205"),0))),"-"))</f>
        <v/>
      </c>
      <c r="R36" s="37">
        <f>IF(OR(AP36="",R$5="-"),"",IFERROR(IF(INDEX(INDIRECT("'"&amp;$B36&amp;"'!$R$6:$R$205"),MATCH($AR36&amp;"|"&amp;R$5,INDIRECT("'"&amp;$B36&amp;"'!$AF$6:$AF$205"),0))="","",INDEX(INDIRECT("'"&amp;$B36&amp;"'!$R$6:$R$205"),MATCH($AR36&amp;"|"&amp;R$5,INDIRECT("'"&amp;$B36&amp;"'!$AF$6:$AF$205"),0))),"-"))</f>
        <v/>
      </c>
      <c r="S36" s="37">
        <f>IF(OR(AP36="",S$5="-"),"",IFERROR(IF(INDEX(INDIRECT("'"&amp;$B36&amp;"'!$R$6:$R$205"),MATCH($AR36&amp;"|"&amp;S$5,INDIRECT("'"&amp;$B36&amp;"'!$AF$6:$AF$205"),0))="","",INDEX(INDIRECT("'"&amp;$B36&amp;"'!$R$6:$R$205"),MATCH($AR36&amp;"|"&amp;S$5,INDIRECT("'"&amp;$B36&amp;"'!$AF$6:$AF$205"),0))),"-"))</f>
        <v/>
      </c>
      <c r="T36" s="37">
        <f>IF(OR(AP36="",T$5="-"),"",IFERROR(IF(INDEX(INDIRECT("'"&amp;$B36&amp;"'!$R$6:$R$205"),MATCH($AR36&amp;"|"&amp;T$5,INDIRECT("'"&amp;$B36&amp;"'!$AF$6:$AF$205"),0))="","",INDEX(INDIRECT("'"&amp;$B36&amp;"'!$R$6:$R$205"),MATCH($AR36&amp;"|"&amp;T$5,INDIRECT("'"&amp;$B36&amp;"'!$AF$6:$AF$205"),0))),"-"))</f>
        <v/>
      </c>
      <c r="U36" s="37">
        <f>IF(OR(AP36="",U$5="-"),"",IFERROR(IF(INDEX(INDIRECT("'"&amp;$B36&amp;"'!$R$6:$R$205"),MATCH($AR36&amp;"|"&amp;U$5,INDIRECT("'"&amp;$B36&amp;"'!$AF$6:$AF$205"),0))="","",INDEX(INDIRECT("'"&amp;$B36&amp;"'!$R$6:$R$205"),MATCH($AR36&amp;"|"&amp;U$5,INDIRECT("'"&amp;$B36&amp;"'!$AF$6:$AF$205"),0))),"-"))</f>
        <v/>
      </c>
      <c r="V36" s="37">
        <f>IF(OR(AP36="",V$5="-"),"",IFERROR(IF(INDEX(INDIRECT("'"&amp;$B36&amp;"'!$R$6:$R$205"),MATCH($AR36&amp;"|"&amp;V$5,INDIRECT("'"&amp;$B36&amp;"'!$AF$6:$AF$205"),0))="","",INDEX(INDIRECT("'"&amp;$B36&amp;"'!$R$6:$R$205"),MATCH($AR36&amp;"|"&amp;V$5,INDIRECT("'"&amp;$B36&amp;"'!$AF$6:$AF$205"),0))),"-"))</f>
        <v/>
      </c>
      <c r="W36" s="37">
        <f>IF(OR(AP36="",W$5="-"),"",IFERROR(IF(INDEX(INDIRECT("'"&amp;$B36&amp;"'!$R$6:$R$205"),MATCH($AR36&amp;"|"&amp;W$5,INDIRECT("'"&amp;$B36&amp;"'!$AF$6:$AF$205"),0))="","",INDEX(INDIRECT("'"&amp;$B36&amp;"'!$R$6:$R$205"),MATCH($AR36&amp;"|"&amp;W$5,INDIRECT("'"&amp;$B36&amp;"'!$AF$6:$AF$205"),0))),"-"))</f>
        <v/>
      </c>
      <c r="X36" s="38">
        <f>IF(OR(AP36="",X$5="-"),"",IFERROR(IF(INDEX(INDIRECT("'"&amp;$B36&amp;"'!$T$6:$T$205"),MATCH($AR36&amp;"|"&amp;X$5,INDIRECT("'"&amp;$B36&amp;"'!$AF$6:$AF$205"),0))="","",INDEX(INDIRECT("'"&amp;$B36&amp;"'!$T$6:$T$205"),MATCH($AR36&amp;"|"&amp;X$5,INDIRECT("'"&amp;$B36&amp;"'!$AF$6:$AF$205"),0))),"-"))</f>
        <v/>
      </c>
      <c r="Y36" s="38">
        <f>IF(OR(AP36="",Y$5="-"),"",IFERROR(IF(INDEX(INDIRECT("'"&amp;$B36&amp;"'!$T$6:$T$205"),MATCH($AR36&amp;"|"&amp;Y$5,INDIRECT("'"&amp;$B36&amp;"'!$AF$6:$AF$205"),0))="","",INDEX(INDIRECT("'"&amp;$B36&amp;"'!$T$6:$T$205"),MATCH($AR36&amp;"|"&amp;Y$5,INDIRECT("'"&amp;$B36&amp;"'!$AF$6:$AF$205"),0))),"-"))</f>
        <v/>
      </c>
      <c r="Z36" s="38">
        <f>IF(OR(AP36="",Z$5="-"),"",IFERROR(IF(INDEX(INDIRECT("'"&amp;$B36&amp;"'!$T$6:$T$205"),MATCH($AR36&amp;"|"&amp;Z$5,INDIRECT("'"&amp;$B36&amp;"'!$AF$6:$AF$205"),0))="","",INDEX(INDIRECT("'"&amp;$B36&amp;"'!$T$6:$T$205"),MATCH($AR36&amp;"|"&amp;Z$5,INDIRECT("'"&amp;$B36&amp;"'!$AF$6:$AF$205"),0))),"-"))</f>
        <v/>
      </c>
      <c r="AA36" s="38">
        <f>IF(OR(AP36="",AA$5="-"),"",IFERROR(IF(INDEX(INDIRECT("'"&amp;$B36&amp;"'!$T$6:$T$205"),MATCH($AR36&amp;"|"&amp;AA$5,INDIRECT("'"&amp;$B36&amp;"'!$AF$6:$AF$205"),0))="","",INDEX(INDIRECT("'"&amp;$B36&amp;"'!$T$6:$T$205"),MATCH($AR36&amp;"|"&amp;AA$5,INDIRECT("'"&amp;$B36&amp;"'!$AF$6:$AF$205"),0))),"-"))</f>
        <v/>
      </c>
      <c r="AB36" s="38">
        <f>IF(OR(AP36="",AB$5="-"),"",IFERROR(IF(INDEX(INDIRECT("'"&amp;$B36&amp;"'!$T$6:$T$205"),MATCH($AR36&amp;"|"&amp;AB$5,INDIRECT("'"&amp;$B36&amp;"'!$AF$6:$AF$205"),0))="","",INDEX(INDIRECT("'"&amp;$B36&amp;"'!$T$6:$T$205"),MATCH($AR36&amp;"|"&amp;AB$5,INDIRECT("'"&amp;$B36&amp;"'!$AF$6:$AF$205"),0))),"-"))</f>
        <v/>
      </c>
      <c r="AC36" s="38">
        <f>IF(OR(AP36="",AC$5="-"),"",IFERROR(IF(INDEX(INDIRECT("'"&amp;$B36&amp;"'!$T$6:$T$205"),MATCH($AR36&amp;"|"&amp;AC$5,INDIRECT("'"&amp;$B36&amp;"'!$AF$6:$AF$205"),0))="","",INDEX(INDIRECT("'"&amp;$B36&amp;"'!$T$6:$T$205"),MATCH($AR36&amp;"|"&amp;AC$5,INDIRECT("'"&amp;$B36&amp;"'!$AF$6:$AF$205"),0))),"-"))</f>
        <v/>
      </c>
      <c r="AD36" s="38">
        <f>IF(OR(AP36="",AD$5="-"),"",IFERROR(IF(INDEX(INDIRECT("'"&amp;$B36&amp;"'!$T$6:$T$205"),MATCH($AR36&amp;"|"&amp;AD$5,INDIRECT("'"&amp;$B36&amp;"'!$AF$6:$AF$205"),0))="","",INDEX(INDIRECT("'"&amp;$B36&amp;"'!$T$6:$T$205"),MATCH($AR36&amp;"|"&amp;AD$5,INDIRECT("'"&amp;$B36&amp;"'!$AF$6:$AF$205"),0))),"-"))</f>
        <v/>
      </c>
      <c r="AE36" s="38">
        <f>IF(OR(AP36="",AE$5="-"),"",IFERROR(IF(INDEX(INDIRECT("'"&amp;$B36&amp;"'!$T$6:$T$205"),MATCH($AR36&amp;"|"&amp;AE$5,INDIRECT("'"&amp;$B36&amp;"'!$AF$6:$AF$205"),0))="","",INDEX(INDIRECT("'"&amp;$B36&amp;"'!$T$6:$T$205"),MATCH($AR36&amp;"|"&amp;AE$5,INDIRECT("'"&amp;$B36&amp;"'!$AF$6:$AF$205"),0))),"-"))</f>
        <v/>
      </c>
      <c r="AF36" s="35">
        <f>IF(AG36="","",INDEX($P$5:$W$5,MATCH(AG36,P36:W36,0)))</f>
        <v/>
      </c>
      <c r="AG36" s="37">
        <f>IF(COUNT(P36:W36)=0,"",MIN(P36:W36))</f>
        <v/>
      </c>
      <c r="AH36" s="39">
        <f>IF(AG36="","",AG36*F36)</f>
        <v/>
      </c>
      <c r="AI36" s="39">
        <f>IF(COUNT(P36:W36)&lt;2,"",(MAX(P36:W36)-MIN(P36:W36))*F36)</f>
        <v/>
      </c>
      <c r="AJ36" s="20" t="n"/>
      <c r="AP36">
        <f>IF(31&gt;MAX($AN$6:$AN$9),"",COUNTIF($AN$6:$AN$9,"&lt;"&amp;31)+1)</f>
        <v/>
      </c>
      <c r="AQ36">
        <f>IF(AP36="","",31-INDEX($AO$6:$AO$9,AP36))</f>
        <v/>
      </c>
      <c r="AR36">
        <f>IF(AP36="","",INDEX(INDIRECT("'"&amp;$B36&amp;"'!$AE$6:$AE$205"),MATCH(AQ36,INDIRECT("'"&amp;$B36&amp;"'!$AI$6:$AI$205"),0)))</f>
        <v/>
      </c>
    </row>
    <row r="37">
      <c r="A37" s="34">
        <f>IF(AP37="","",32)</f>
        <v/>
      </c>
      <c r="B37" s="35">
        <f>IF(AP37="","",INDEX($AL$6:$AL$9,AP37))</f>
        <v/>
      </c>
      <c r="C37" s="34">
        <f>IF(AP37="","",INDEX(INDIRECT("'"&amp;$B37&amp;"'!$B$6:$B$205"),MATCH($AR37,INDIRECT("'"&amp;$B37&amp;"'!$AE$6:$AE$205"),0)))</f>
        <v/>
      </c>
      <c r="D37" s="34">
        <f>IF(AP37="","",INDEX(INDIRECT("'"&amp;$B37&amp;"'!$D$6:$D$205"),MATCH($AR37,INDIRECT("'"&amp;$B37&amp;"'!$AE$6:$AE$205"),0)))</f>
        <v/>
      </c>
      <c r="E37" s="36">
        <f>IF(AP37="","",INDEX(INDIRECT("'"&amp;$B37&amp;"'!$F$6:$F$205"),MATCH($AR37,INDIRECT("'"&amp;$B37&amp;"'!$AE$6:$AE$205"),0)))</f>
        <v/>
      </c>
      <c r="F37" s="34">
        <f>IF(AP37="","",INDEX(INDIRECT("'"&amp;$B37&amp;"'!$K$6:$K$205"),MATCH($AR37,INDIRECT("'"&amp;$B37&amp;"'!$AE$6:$AE$205"),0)))</f>
        <v/>
      </c>
      <c r="G37" s="34">
        <f>IF(AP37="","",INDEX(INDIRECT("'"&amp;$B37&amp;"'!$L$6:$L$205"),MATCH($AR37,INDIRECT("'"&amp;$B37&amp;"'!$AE$6:$AE$205"),0)))</f>
        <v/>
      </c>
      <c r="H37" s="34">
        <f>IF(OR(AP37="",H$5="-"),"",IFERROR(IF(INDEX(INDIRECT("'"&amp;$B37&amp;"'!$N$6:$N$205"),MATCH($AR37&amp;"|"&amp;H$5,INDIRECT("'"&amp;$B37&amp;"'!$AF$6:$AF$205"),0))="","",INDEX(INDIRECT("'"&amp;$B37&amp;"'!$N$6:$N$205"),MATCH($AR37&amp;"|"&amp;H$5,INDIRECT("'"&amp;$B37&amp;"'!$AF$6:$AF$205"),0))),"-"))</f>
        <v/>
      </c>
      <c r="I37" s="34">
        <f>IF(OR(AP37="",I$5="-"),"",IFERROR(IF(INDEX(INDIRECT("'"&amp;$B37&amp;"'!$N$6:$N$205"),MATCH($AR37&amp;"|"&amp;I$5,INDIRECT("'"&amp;$B37&amp;"'!$AF$6:$AF$205"),0))="","",INDEX(INDIRECT("'"&amp;$B37&amp;"'!$N$6:$N$205"),MATCH($AR37&amp;"|"&amp;I$5,INDIRECT("'"&amp;$B37&amp;"'!$AF$6:$AF$205"),0))),"-"))</f>
        <v/>
      </c>
      <c r="J37" s="34">
        <f>IF(OR(AP37="",J$5="-"),"",IFERROR(IF(INDEX(INDIRECT("'"&amp;$B37&amp;"'!$N$6:$N$205"),MATCH($AR37&amp;"|"&amp;J$5,INDIRECT("'"&amp;$B37&amp;"'!$AF$6:$AF$205"),0))="","",INDEX(INDIRECT("'"&amp;$B37&amp;"'!$N$6:$N$205"),MATCH($AR37&amp;"|"&amp;J$5,INDIRECT("'"&amp;$B37&amp;"'!$AF$6:$AF$205"),0))),"-"))</f>
        <v/>
      </c>
      <c r="K37" s="34">
        <f>IF(OR(AP37="",K$5="-"),"",IFERROR(IF(INDEX(INDIRECT("'"&amp;$B37&amp;"'!$N$6:$N$205"),MATCH($AR37&amp;"|"&amp;K$5,INDIRECT("'"&amp;$B37&amp;"'!$AF$6:$AF$205"),0))="","",INDEX(INDIRECT("'"&amp;$B37&amp;"'!$N$6:$N$205"),MATCH($AR37&amp;"|"&amp;K$5,INDIRECT("'"&amp;$B37&amp;"'!$AF$6:$AF$205"),0))),"-"))</f>
        <v/>
      </c>
      <c r="L37" s="34">
        <f>IF(OR(AP37="",L$5="-"),"",IFERROR(IF(INDEX(INDIRECT("'"&amp;$B37&amp;"'!$N$6:$N$205"),MATCH($AR37&amp;"|"&amp;L$5,INDIRECT("'"&amp;$B37&amp;"'!$AF$6:$AF$205"),0))="","",INDEX(INDIRECT("'"&amp;$B37&amp;"'!$N$6:$N$205"),MATCH($AR37&amp;"|"&amp;L$5,INDIRECT("'"&amp;$B37&amp;"'!$AF$6:$AF$205"),0))),"-"))</f>
        <v/>
      </c>
      <c r="M37" s="34">
        <f>IF(OR(AP37="",M$5="-"),"",IFERROR(IF(INDEX(INDIRECT("'"&amp;$B37&amp;"'!$N$6:$N$205"),MATCH($AR37&amp;"|"&amp;M$5,INDIRECT("'"&amp;$B37&amp;"'!$AF$6:$AF$205"),0))="","",INDEX(INDIRECT("'"&amp;$B37&amp;"'!$N$6:$N$205"),MATCH($AR37&amp;"|"&amp;M$5,INDIRECT("'"&amp;$B37&amp;"'!$AF$6:$AF$205"),0))),"-"))</f>
        <v/>
      </c>
      <c r="N37" s="34">
        <f>IF(OR(AP37="",N$5="-"),"",IFERROR(IF(INDEX(INDIRECT("'"&amp;$B37&amp;"'!$N$6:$N$205"),MATCH($AR37&amp;"|"&amp;N$5,INDIRECT("'"&amp;$B37&amp;"'!$AF$6:$AF$205"),0))="","",INDEX(INDIRECT("'"&amp;$B37&amp;"'!$N$6:$N$205"),MATCH($AR37&amp;"|"&amp;N$5,INDIRECT("'"&amp;$B37&amp;"'!$AF$6:$AF$205"),0))),"-"))</f>
        <v/>
      </c>
      <c r="O37" s="34">
        <f>IF(OR(AP37="",O$5="-"),"",IFERROR(IF(INDEX(INDIRECT("'"&amp;$B37&amp;"'!$N$6:$N$205"),MATCH($AR37&amp;"|"&amp;O$5,INDIRECT("'"&amp;$B37&amp;"'!$AF$6:$AF$205"),0))="","",INDEX(INDIRECT("'"&amp;$B37&amp;"'!$N$6:$N$205"),MATCH($AR37&amp;"|"&amp;O$5,INDIRECT("'"&amp;$B37&amp;"'!$AF$6:$AF$205"),0))),"-"))</f>
        <v/>
      </c>
      <c r="P37" s="37">
        <f>IF(OR(AP37="",P$5="-"),"",IFERROR(IF(INDEX(INDIRECT("'"&amp;$B37&amp;"'!$R$6:$R$205"),MATCH($AR37&amp;"|"&amp;P$5,INDIRECT("'"&amp;$B37&amp;"'!$AF$6:$AF$205"),0))="","",INDEX(INDIRECT("'"&amp;$B37&amp;"'!$R$6:$R$205"),MATCH($AR37&amp;"|"&amp;P$5,INDIRECT("'"&amp;$B37&amp;"'!$AF$6:$AF$205"),0))),"-"))</f>
        <v/>
      </c>
      <c r="Q37" s="37">
        <f>IF(OR(AP37="",Q$5="-"),"",IFERROR(IF(INDEX(INDIRECT("'"&amp;$B37&amp;"'!$R$6:$R$205"),MATCH($AR37&amp;"|"&amp;Q$5,INDIRECT("'"&amp;$B37&amp;"'!$AF$6:$AF$205"),0))="","",INDEX(INDIRECT("'"&amp;$B37&amp;"'!$R$6:$R$205"),MATCH($AR37&amp;"|"&amp;Q$5,INDIRECT("'"&amp;$B37&amp;"'!$AF$6:$AF$205"),0))),"-"))</f>
        <v/>
      </c>
      <c r="R37" s="37">
        <f>IF(OR(AP37="",R$5="-"),"",IFERROR(IF(INDEX(INDIRECT("'"&amp;$B37&amp;"'!$R$6:$R$205"),MATCH($AR37&amp;"|"&amp;R$5,INDIRECT("'"&amp;$B37&amp;"'!$AF$6:$AF$205"),0))="","",INDEX(INDIRECT("'"&amp;$B37&amp;"'!$R$6:$R$205"),MATCH($AR37&amp;"|"&amp;R$5,INDIRECT("'"&amp;$B37&amp;"'!$AF$6:$AF$205"),0))),"-"))</f>
        <v/>
      </c>
      <c r="S37" s="37">
        <f>IF(OR(AP37="",S$5="-"),"",IFERROR(IF(INDEX(INDIRECT("'"&amp;$B37&amp;"'!$R$6:$R$205"),MATCH($AR37&amp;"|"&amp;S$5,INDIRECT("'"&amp;$B37&amp;"'!$AF$6:$AF$205"),0))="","",INDEX(INDIRECT("'"&amp;$B37&amp;"'!$R$6:$R$205"),MATCH($AR37&amp;"|"&amp;S$5,INDIRECT("'"&amp;$B37&amp;"'!$AF$6:$AF$205"),0))),"-"))</f>
        <v/>
      </c>
      <c r="T37" s="37">
        <f>IF(OR(AP37="",T$5="-"),"",IFERROR(IF(INDEX(INDIRECT("'"&amp;$B37&amp;"'!$R$6:$R$205"),MATCH($AR37&amp;"|"&amp;T$5,INDIRECT("'"&amp;$B37&amp;"'!$AF$6:$AF$205"),0))="","",INDEX(INDIRECT("'"&amp;$B37&amp;"'!$R$6:$R$205"),MATCH($AR37&amp;"|"&amp;T$5,INDIRECT("'"&amp;$B37&amp;"'!$AF$6:$AF$205"),0))),"-"))</f>
        <v/>
      </c>
      <c r="U37" s="37">
        <f>IF(OR(AP37="",U$5="-"),"",IFERROR(IF(INDEX(INDIRECT("'"&amp;$B37&amp;"'!$R$6:$R$205"),MATCH($AR37&amp;"|"&amp;U$5,INDIRECT("'"&amp;$B37&amp;"'!$AF$6:$AF$205"),0))="","",INDEX(INDIRECT("'"&amp;$B37&amp;"'!$R$6:$R$205"),MATCH($AR37&amp;"|"&amp;U$5,INDIRECT("'"&amp;$B37&amp;"'!$AF$6:$AF$205"),0))),"-"))</f>
        <v/>
      </c>
      <c r="V37" s="37">
        <f>IF(OR(AP37="",V$5="-"),"",IFERROR(IF(INDEX(INDIRECT("'"&amp;$B37&amp;"'!$R$6:$R$205"),MATCH($AR37&amp;"|"&amp;V$5,INDIRECT("'"&amp;$B37&amp;"'!$AF$6:$AF$205"),0))="","",INDEX(INDIRECT("'"&amp;$B37&amp;"'!$R$6:$R$205"),MATCH($AR37&amp;"|"&amp;V$5,INDIRECT("'"&amp;$B37&amp;"'!$AF$6:$AF$205"),0))),"-"))</f>
        <v/>
      </c>
      <c r="W37" s="37">
        <f>IF(OR(AP37="",W$5="-"),"",IFERROR(IF(INDEX(INDIRECT("'"&amp;$B37&amp;"'!$R$6:$R$205"),MATCH($AR37&amp;"|"&amp;W$5,INDIRECT("'"&amp;$B37&amp;"'!$AF$6:$AF$205"),0))="","",INDEX(INDIRECT("'"&amp;$B37&amp;"'!$R$6:$R$205"),MATCH($AR37&amp;"|"&amp;W$5,INDIRECT("'"&amp;$B37&amp;"'!$AF$6:$AF$205"),0))),"-"))</f>
        <v/>
      </c>
      <c r="X37" s="38">
        <f>IF(OR(AP37="",X$5="-"),"",IFERROR(IF(INDEX(INDIRECT("'"&amp;$B37&amp;"'!$T$6:$T$205"),MATCH($AR37&amp;"|"&amp;X$5,INDIRECT("'"&amp;$B37&amp;"'!$AF$6:$AF$205"),0))="","",INDEX(INDIRECT("'"&amp;$B37&amp;"'!$T$6:$T$205"),MATCH($AR37&amp;"|"&amp;X$5,INDIRECT("'"&amp;$B37&amp;"'!$AF$6:$AF$205"),0))),"-"))</f>
        <v/>
      </c>
      <c r="Y37" s="38">
        <f>IF(OR(AP37="",Y$5="-"),"",IFERROR(IF(INDEX(INDIRECT("'"&amp;$B37&amp;"'!$T$6:$T$205"),MATCH($AR37&amp;"|"&amp;Y$5,INDIRECT("'"&amp;$B37&amp;"'!$AF$6:$AF$205"),0))="","",INDEX(INDIRECT("'"&amp;$B37&amp;"'!$T$6:$T$205"),MATCH($AR37&amp;"|"&amp;Y$5,INDIRECT("'"&amp;$B37&amp;"'!$AF$6:$AF$205"),0))),"-"))</f>
        <v/>
      </c>
      <c r="Z37" s="38">
        <f>IF(OR(AP37="",Z$5="-"),"",IFERROR(IF(INDEX(INDIRECT("'"&amp;$B37&amp;"'!$T$6:$T$205"),MATCH($AR37&amp;"|"&amp;Z$5,INDIRECT("'"&amp;$B37&amp;"'!$AF$6:$AF$205"),0))="","",INDEX(INDIRECT("'"&amp;$B37&amp;"'!$T$6:$T$205"),MATCH($AR37&amp;"|"&amp;Z$5,INDIRECT("'"&amp;$B37&amp;"'!$AF$6:$AF$205"),0))),"-"))</f>
        <v/>
      </c>
      <c r="AA37" s="38">
        <f>IF(OR(AP37="",AA$5="-"),"",IFERROR(IF(INDEX(INDIRECT("'"&amp;$B37&amp;"'!$T$6:$T$205"),MATCH($AR37&amp;"|"&amp;AA$5,INDIRECT("'"&amp;$B37&amp;"'!$AF$6:$AF$205"),0))="","",INDEX(INDIRECT("'"&amp;$B37&amp;"'!$T$6:$T$205"),MATCH($AR37&amp;"|"&amp;AA$5,INDIRECT("'"&amp;$B37&amp;"'!$AF$6:$AF$205"),0))),"-"))</f>
        <v/>
      </c>
      <c r="AB37" s="38">
        <f>IF(OR(AP37="",AB$5="-"),"",IFERROR(IF(INDEX(INDIRECT("'"&amp;$B37&amp;"'!$T$6:$T$205"),MATCH($AR37&amp;"|"&amp;AB$5,INDIRECT("'"&amp;$B37&amp;"'!$AF$6:$AF$205"),0))="","",INDEX(INDIRECT("'"&amp;$B37&amp;"'!$T$6:$T$205"),MATCH($AR37&amp;"|"&amp;AB$5,INDIRECT("'"&amp;$B37&amp;"'!$AF$6:$AF$205"),0))),"-"))</f>
        <v/>
      </c>
      <c r="AC37" s="38">
        <f>IF(OR(AP37="",AC$5="-"),"",IFERROR(IF(INDEX(INDIRECT("'"&amp;$B37&amp;"'!$T$6:$T$205"),MATCH($AR37&amp;"|"&amp;AC$5,INDIRECT("'"&amp;$B37&amp;"'!$AF$6:$AF$205"),0))="","",INDEX(INDIRECT("'"&amp;$B37&amp;"'!$T$6:$T$205"),MATCH($AR37&amp;"|"&amp;AC$5,INDIRECT("'"&amp;$B37&amp;"'!$AF$6:$AF$205"),0))),"-"))</f>
        <v/>
      </c>
      <c r="AD37" s="38">
        <f>IF(OR(AP37="",AD$5="-"),"",IFERROR(IF(INDEX(INDIRECT("'"&amp;$B37&amp;"'!$T$6:$T$205"),MATCH($AR37&amp;"|"&amp;AD$5,INDIRECT("'"&amp;$B37&amp;"'!$AF$6:$AF$205"),0))="","",INDEX(INDIRECT("'"&amp;$B37&amp;"'!$T$6:$T$205"),MATCH($AR37&amp;"|"&amp;AD$5,INDIRECT("'"&amp;$B37&amp;"'!$AF$6:$AF$205"),0))),"-"))</f>
        <v/>
      </c>
      <c r="AE37" s="38">
        <f>IF(OR(AP37="",AE$5="-"),"",IFERROR(IF(INDEX(INDIRECT("'"&amp;$B37&amp;"'!$T$6:$T$205"),MATCH($AR37&amp;"|"&amp;AE$5,INDIRECT("'"&amp;$B37&amp;"'!$AF$6:$AF$205"),0))="","",INDEX(INDIRECT("'"&amp;$B37&amp;"'!$T$6:$T$205"),MATCH($AR37&amp;"|"&amp;AE$5,INDIRECT("'"&amp;$B37&amp;"'!$AF$6:$AF$205"),0))),"-"))</f>
        <v/>
      </c>
      <c r="AF37" s="35">
        <f>IF(AG37="","",INDEX($P$5:$W$5,MATCH(AG37,P37:W37,0)))</f>
        <v/>
      </c>
      <c r="AG37" s="37">
        <f>IF(COUNT(P37:W37)=0,"",MIN(P37:W37))</f>
        <v/>
      </c>
      <c r="AH37" s="39">
        <f>IF(AG37="","",AG37*F37)</f>
        <v/>
      </c>
      <c r="AI37" s="39">
        <f>IF(COUNT(P37:W37)&lt;2,"",(MAX(P37:W37)-MIN(P37:W37))*F37)</f>
        <v/>
      </c>
      <c r="AJ37" s="20" t="n"/>
      <c r="AP37">
        <f>IF(32&gt;MAX($AN$6:$AN$9),"",COUNTIF($AN$6:$AN$9,"&lt;"&amp;32)+1)</f>
        <v/>
      </c>
      <c r="AQ37">
        <f>IF(AP37="","",32-INDEX($AO$6:$AO$9,AP37))</f>
        <v/>
      </c>
      <c r="AR37">
        <f>IF(AP37="","",INDEX(INDIRECT("'"&amp;$B37&amp;"'!$AE$6:$AE$205"),MATCH(AQ37,INDIRECT("'"&amp;$B37&amp;"'!$AI$6:$AI$205"),0)))</f>
        <v/>
      </c>
    </row>
    <row r="38">
      <c r="A38" s="34">
        <f>IF(AP38="","",33)</f>
        <v/>
      </c>
      <c r="B38" s="35">
        <f>IF(AP38="","",INDEX($AL$6:$AL$9,AP38))</f>
        <v/>
      </c>
      <c r="C38" s="34">
        <f>IF(AP38="","",INDEX(INDIRECT("'"&amp;$B38&amp;"'!$B$6:$B$205"),MATCH($AR38,INDIRECT("'"&amp;$B38&amp;"'!$AE$6:$AE$205"),0)))</f>
        <v/>
      </c>
      <c r="D38" s="34">
        <f>IF(AP38="","",INDEX(INDIRECT("'"&amp;$B38&amp;"'!$D$6:$D$205"),MATCH($AR38,INDIRECT("'"&amp;$B38&amp;"'!$AE$6:$AE$205"),0)))</f>
        <v/>
      </c>
      <c r="E38" s="36">
        <f>IF(AP38="","",INDEX(INDIRECT("'"&amp;$B38&amp;"'!$F$6:$F$205"),MATCH($AR38,INDIRECT("'"&amp;$B38&amp;"'!$AE$6:$AE$205"),0)))</f>
        <v/>
      </c>
      <c r="F38" s="34">
        <f>IF(AP38="","",INDEX(INDIRECT("'"&amp;$B38&amp;"'!$K$6:$K$205"),MATCH($AR38,INDIRECT("'"&amp;$B38&amp;"'!$AE$6:$AE$205"),0)))</f>
        <v/>
      </c>
      <c r="G38" s="34">
        <f>IF(AP38="","",INDEX(INDIRECT("'"&amp;$B38&amp;"'!$L$6:$L$205"),MATCH($AR38,INDIRECT("'"&amp;$B38&amp;"'!$AE$6:$AE$205"),0)))</f>
        <v/>
      </c>
      <c r="H38" s="34">
        <f>IF(OR(AP38="",H$5="-"),"",IFERROR(IF(INDEX(INDIRECT("'"&amp;$B38&amp;"'!$N$6:$N$205"),MATCH($AR38&amp;"|"&amp;H$5,INDIRECT("'"&amp;$B38&amp;"'!$AF$6:$AF$205"),0))="","",INDEX(INDIRECT("'"&amp;$B38&amp;"'!$N$6:$N$205"),MATCH($AR38&amp;"|"&amp;H$5,INDIRECT("'"&amp;$B38&amp;"'!$AF$6:$AF$205"),0))),"-"))</f>
        <v/>
      </c>
      <c r="I38" s="34">
        <f>IF(OR(AP38="",I$5="-"),"",IFERROR(IF(INDEX(INDIRECT("'"&amp;$B38&amp;"'!$N$6:$N$205"),MATCH($AR38&amp;"|"&amp;I$5,INDIRECT("'"&amp;$B38&amp;"'!$AF$6:$AF$205"),0))="","",INDEX(INDIRECT("'"&amp;$B38&amp;"'!$N$6:$N$205"),MATCH($AR38&amp;"|"&amp;I$5,INDIRECT("'"&amp;$B38&amp;"'!$AF$6:$AF$205"),0))),"-"))</f>
        <v/>
      </c>
      <c r="J38" s="34">
        <f>IF(OR(AP38="",J$5="-"),"",IFERROR(IF(INDEX(INDIRECT("'"&amp;$B38&amp;"'!$N$6:$N$205"),MATCH($AR38&amp;"|"&amp;J$5,INDIRECT("'"&amp;$B38&amp;"'!$AF$6:$AF$205"),0))="","",INDEX(INDIRECT("'"&amp;$B38&amp;"'!$N$6:$N$205"),MATCH($AR38&amp;"|"&amp;J$5,INDIRECT("'"&amp;$B38&amp;"'!$AF$6:$AF$205"),0))),"-"))</f>
        <v/>
      </c>
      <c r="K38" s="34">
        <f>IF(OR(AP38="",K$5="-"),"",IFERROR(IF(INDEX(INDIRECT("'"&amp;$B38&amp;"'!$N$6:$N$205"),MATCH($AR38&amp;"|"&amp;K$5,INDIRECT("'"&amp;$B38&amp;"'!$AF$6:$AF$205"),0))="","",INDEX(INDIRECT("'"&amp;$B38&amp;"'!$N$6:$N$205"),MATCH($AR38&amp;"|"&amp;K$5,INDIRECT("'"&amp;$B38&amp;"'!$AF$6:$AF$205"),0))),"-"))</f>
        <v/>
      </c>
      <c r="L38" s="34">
        <f>IF(OR(AP38="",L$5="-"),"",IFERROR(IF(INDEX(INDIRECT("'"&amp;$B38&amp;"'!$N$6:$N$205"),MATCH($AR38&amp;"|"&amp;L$5,INDIRECT("'"&amp;$B38&amp;"'!$AF$6:$AF$205"),0))="","",INDEX(INDIRECT("'"&amp;$B38&amp;"'!$N$6:$N$205"),MATCH($AR38&amp;"|"&amp;L$5,INDIRECT("'"&amp;$B38&amp;"'!$AF$6:$AF$205"),0))),"-"))</f>
        <v/>
      </c>
      <c r="M38" s="34">
        <f>IF(OR(AP38="",M$5="-"),"",IFERROR(IF(INDEX(INDIRECT("'"&amp;$B38&amp;"'!$N$6:$N$205"),MATCH($AR38&amp;"|"&amp;M$5,INDIRECT("'"&amp;$B38&amp;"'!$AF$6:$AF$205"),0))="","",INDEX(INDIRECT("'"&amp;$B38&amp;"'!$N$6:$N$205"),MATCH($AR38&amp;"|"&amp;M$5,INDIRECT("'"&amp;$B38&amp;"'!$AF$6:$AF$205"),0))),"-"))</f>
        <v/>
      </c>
      <c r="N38" s="34">
        <f>IF(OR(AP38="",N$5="-"),"",IFERROR(IF(INDEX(INDIRECT("'"&amp;$B38&amp;"'!$N$6:$N$205"),MATCH($AR38&amp;"|"&amp;N$5,INDIRECT("'"&amp;$B38&amp;"'!$AF$6:$AF$205"),0))="","",INDEX(INDIRECT("'"&amp;$B38&amp;"'!$N$6:$N$205"),MATCH($AR38&amp;"|"&amp;N$5,INDIRECT("'"&amp;$B38&amp;"'!$AF$6:$AF$205"),0))),"-"))</f>
        <v/>
      </c>
      <c r="O38" s="34">
        <f>IF(OR(AP38="",O$5="-"),"",IFERROR(IF(INDEX(INDIRECT("'"&amp;$B38&amp;"'!$N$6:$N$205"),MATCH($AR38&amp;"|"&amp;O$5,INDIRECT("'"&amp;$B38&amp;"'!$AF$6:$AF$205"),0))="","",INDEX(INDIRECT("'"&amp;$B38&amp;"'!$N$6:$N$205"),MATCH($AR38&amp;"|"&amp;O$5,INDIRECT("'"&amp;$B38&amp;"'!$AF$6:$AF$205"),0))),"-"))</f>
        <v/>
      </c>
      <c r="P38" s="37">
        <f>IF(OR(AP38="",P$5="-"),"",IFERROR(IF(INDEX(INDIRECT("'"&amp;$B38&amp;"'!$R$6:$R$205"),MATCH($AR38&amp;"|"&amp;P$5,INDIRECT("'"&amp;$B38&amp;"'!$AF$6:$AF$205"),0))="","",INDEX(INDIRECT("'"&amp;$B38&amp;"'!$R$6:$R$205"),MATCH($AR38&amp;"|"&amp;P$5,INDIRECT("'"&amp;$B38&amp;"'!$AF$6:$AF$205"),0))),"-"))</f>
        <v/>
      </c>
      <c r="Q38" s="37">
        <f>IF(OR(AP38="",Q$5="-"),"",IFERROR(IF(INDEX(INDIRECT("'"&amp;$B38&amp;"'!$R$6:$R$205"),MATCH($AR38&amp;"|"&amp;Q$5,INDIRECT("'"&amp;$B38&amp;"'!$AF$6:$AF$205"),0))="","",INDEX(INDIRECT("'"&amp;$B38&amp;"'!$R$6:$R$205"),MATCH($AR38&amp;"|"&amp;Q$5,INDIRECT("'"&amp;$B38&amp;"'!$AF$6:$AF$205"),0))),"-"))</f>
        <v/>
      </c>
      <c r="R38" s="37">
        <f>IF(OR(AP38="",R$5="-"),"",IFERROR(IF(INDEX(INDIRECT("'"&amp;$B38&amp;"'!$R$6:$R$205"),MATCH($AR38&amp;"|"&amp;R$5,INDIRECT("'"&amp;$B38&amp;"'!$AF$6:$AF$205"),0))="","",INDEX(INDIRECT("'"&amp;$B38&amp;"'!$R$6:$R$205"),MATCH($AR38&amp;"|"&amp;R$5,INDIRECT("'"&amp;$B38&amp;"'!$AF$6:$AF$205"),0))),"-"))</f>
        <v/>
      </c>
      <c r="S38" s="37">
        <f>IF(OR(AP38="",S$5="-"),"",IFERROR(IF(INDEX(INDIRECT("'"&amp;$B38&amp;"'!$R$6:$R$205"),MATCH($AR38&amp;"|"&amp;S$5,INDIRECT("'"&amp;$B38&amp;"'!$AF$6:$AF$205"),0))="","",INDEX(INDIRECT("'"&amp;$B38&amp;"'!$R$6:$R$205"),MATCH($AR38&amp;"|"&amp;S$5,INDIRECT("'"&amp;$B38&amp;"'!$AF$6:$AF$205"),0))),"-"))</f>
        <v/>
      </c>
      <c r="T38" s="37">
        <f>IF(OR(AP38="",T$5="-"),"",IFERROR(IF(INDEX(INDIRECT("'"&amp;$B38&amp;"'!$R$6:$R$205"),MATCH($AR38&amp;"|"&amp;T$5,INDIRECT("'"&amp;$B38&amp;"'!$AF$6:$AF$205"),0))="","",INDEX(INDIRECT("'"&amp;$B38&amp;"'!$R$6:$R$205"),MATCH($AR38&amp;"|"&amp;T$5,INDIRECT("'"&amp;$B38&amp;"'!$AF$6:$AF$205"),0))),"-"))</f>
        <v/>
      </c>
      <c r="U38" s="37">
        <f>IF(OR(AP38="",U$5="-"),"",IFERROR(IF(INDEX(INDIRECT("'"&amp;$B38&amp;"'!$R$6:$R$205"),MATCH($AR38&amp;"|"&amp;U$5,INDIRECT("'"&amp;$B38&amp;"'!$AF$6:$AF$205"),0))="","",INDEX(INDIRECT("'"&amp;$B38&amp;"'!$R$6:$R$205"),MATCH($AR38&amp;"|"&amp;U$5,INDIRECT("'"&amp;$B38&amp;"'!$AF$6:$AF$205"),0))),"-"))</f>
        <v/>
      </c>
      <c r="V38" s="37">
        <f>IF(OR(AP38="",V$5="-"),"",IFERROR(IF(INDEX(INDIRECT("'"&amp;$B38&amp;"'!$R$6:$R$205"),MATCH($AR38&amp;"|"&amp;V$5,INDIRECT("'"&amp;$B38&amp;"'!$AF$6:$AF$205"),0))="","",INDEX(INDIRECT("'"&amp;$B38&amp;"'!$R$6:$R$205"),MATCH($AR38&amp;"|"&amp;V$5,INDIRECT("'"&amp;$B38&amp;"'!$AF$6:$AF$205"),0))),"-"))</f>
        <v/>
      </c>
      <c r="W38" s="37">
        <f>IF(OR(AP38="",W$5="-"),"",IFERROR(IF(INDEX(INDIRECT("'"&amp;$B38&amp;"'!$R$6:$R$205"),MATCH($AR38&amp;"|"&amp;W$5,INDIRECT("'"&amp;$B38&amp;"'!$AF$6:$AF$205"),0))="","",INDEX(INDIRECT("'"&amp;$B38&amp;"'!$R$6:$R$205"),MATCH($AR38&amp;"|"&amp;W$5,INDIRECT("'"&amp;$B38&amp;"'!$AF$6:$AF$205"),0))),"-"))</f>
        <v/>
      </c>
      <c r="X38" s="38">
        <f>IF(OR(AP38="",X$5="-"),"",IFERROR(IF(INDEX(INDIRECT("'"&amp;$B38&amp;"'!$T$6:$T$205"),MATCH($AR38&amp;"|"&amp;X$5,INDIRECT("'"&amp;$B38&amp;"'!$AF$6:$AF$205"),0))="","",INDEX(INDIRECT("'"&amp;$B38&amp;"'!$T$6:$T$205"),MATCH($AR38&amp;"|"&amp;X$5,INDIRECT("'"&amp;$B38&amp;"'!$AF$6:$AF$205"),0))),"-"))</f>
        <v/>
      </c>
      <c r="Y38" s="38">
        <f>IF(OR(AP38="",Y$5="-"),"",IFERROR(IF(INDEX(INDIRECT("'"&amp;$B38&amp;"'!$T$6:$T$205"),MATCH($AR38&amp;"|"&amp;Y$5,INDIRECT("'"&amp;$B38&amp;"'!$AF$6:$AF$205"),0))="","",INDEX(INDIRECT("'"&amp;$B38&amp;"'!$T$6:$T$205"),MATCH($AR38&amp;"|"&amp;Y$5,INDIRECT("'"&amp;$B38&amp;"'!$AF$6:$AF$205"),0))),"-"))</f>
        <v/>
      </c>
      <c r="Z38" s="38">
        <f>IF(OR(AP38="",Z$5="-"),"",IFERROR(IF(INDEX(INDIRECT("'"&amp;$B38&amp;"'!$T$6:$T$205"),MATCH($AR38&amp;"|"&amp;Z$5,INDIRECT("'"&amp;$B38&amp;"'!$AF$6:$AF$205"),0))="","",INDEX(INDIRECT("'"&amp;$B38&amp;"'!$T$6:$T$205"),MATCH($AR38&amp;"|"&amp;Z$5,INDIRECT("'"&amp;$B38&amp;"'!$AF$6:$AF$205"),0))),"-"))</f>
        <v/>
      </c>
      <c r="AA38" s="38">
        <f>IF(OR(AP38="",AA$5="-"),"",IFERROR(IF(INDEX(INDIRECT("'"&amp;$B38&amp;"'!$T$6:$T$205"),MATCH($AR38&amp;"|"&amp;AA$5,INDIRECT("'"&amp;$B38&amp;"'!$AF$6:$AF$205"),0))="","",INDEX(INDIRECT("'"&amp;$B38&amp;"'!$T$6:$T$205"),MATCH($AR38&amp;"|"&amp;AA$5,INDIRECT("'"&amp;$B38&amp;"'!$AF$6:$AF$205"),0))),"-"))</f>
        <v/>
      </c>
      <c r="AB38" s="38">
        <f>IF(OR(AP38="",AB$5="-"),"",IFERROR(IF(INDEX(INDIRECT("'"&amp;$B38&amp;"'!$T$6:$T$205"),MATCH($AR38&amp;"|"&amp;AB$5,INDIRECT("'"&amp;$B38&amp;"'!$AF$6:$AF$205"),0))="","",INDEX(INDIRECT("'"&amp;$B38&amp;"'!$T$6:$T$205"),MATCH($AR38&amp;"|"&amp;AB$5,INDIRECT("'"&amp;$B38&amp;"'!$AF$6:$AF$205"),0))),"-"))</f>
        <v/>
      </c>
      <c r="AC38" s="38">
        <f>IF(OR(AP38="",AC$5="-"),"",IFERROR(IF(INDEX(INDIRECT("'"&amp;$B38&amp;"'!$T$6:$T$205"),MATCH($AR38&amp;"|"&amp;AC$5,INDIRECT("'"&amp;$B38&amp;"'!$AF$6:$AF$205"),0))="","",INDEX(INDIRECT("'"&amp;$B38&amp;"'!$T$6:$T$205"),MATCH($AR38&amp;"|"&amp;AC$5,INDIRECT("'"&amp;$B38&amp;"'!$AF$6:$AF$205"),0))),"-"))</f>
        <v/>
      </c>
      <c r="AD38" s="38">
        <f>IF(OR(AP38="",AD$5="-"),"",IFERROR(IF(INDEX(INDIRECT("'"&amp;$B38&amp;"'!$T$6:$T$205"),MATCH($AR38&amp;"|"&amp;AD$5,INDIRECT("'"&amp;$B38&amp;"'!$AF$6:$AF$205"),0))="","",INDEX(INDIRECT("'"&amp;$B38&amp;"'!$T$6:$T$205"),MATCH($AR38&amp;"|"&amp;AD$5,INDIRECT("'"&amp;$B38&amp;"'!$AF$6:$AF$205"),0))),"-"))</f>
        <v/>
      </c>
      <c r="AE38" s="38">
        <f>IF(OR(AP38="",AE$5="-"),"",IFERROR(IF(INDEX(INDIRECT("'"&amp;$B38&amp;"'!$T$6:$T$205"),MATCH($AR38&amp;"|"&amp;AE$5,INDIRECT("'"&amp;$B38&amp;"'!$AF$6:$AF$205"),0))="","",INDEX(INDIRECT("'"&amp;$B38&amp;"'!$T$6:$T$205"),MATCH($AR38&amp;"|"&amp;AE$5,INDIRECT("'"&amp;$B38&amp;"'!$AF$6:$AF$205"),0))),"-"))</f>
        <v/>
      </c>
      <c r="AF38" s="35">
        <f>IF(AG38="","",INDEX($P$5:$W$5,MATCH(AG38,P38:W38,0)))</f>
        <v/>
      </c>
      <c r="AG38" s="37">
        <f>IF(COUNT(P38:W38)=0,"",MIN(P38:W38))</f>
        <v/>
      </c>
      <c r="AH38" s="39">
        <f>IF(AG38="","",AG38*F38)</f>
        <v/>
      </c>
      <c r="AI38" s="39">
        <f>IF(COUNT(P38:W38)&lt;2,"",(MAX(P38:W38)-MIN(P38:W38))*F38)</f>
        <v/>
      </c>
      <c r="AJ38" s="20" t="n"/>
      <c r="AP38">
        <f>IF(33&gt;MAX($AN$6:$AN$9),"",COUNTIF($AN$6:$AN$9,"&lt;"&amp;33)+1)</f>
        <v/>
      </c>
      <c r="AQ38">
        <f>IF(AP38="","",33-INDEX($AO$6:$AO$9,AP38))</f>
        <v/>
      </c>
      <c r="AR38">
        <f>IF(AP38="","",INDEX(INDIRECT("'"&amp;$B38&amp;"'!$AE$6:$AE$205"),MATCH(AQ38,INDIRECT("'"&amp;$B38&amp;"'!$AI$6:$AI$205"),0)))</f>
        <v/>
      </c>
    </row>
    <row r="39">
      <c r="A39" s="34">
        <f>IF(AP39="","",34)</f>
        <v/>
      </c>
      <c r="B39" s="35">
        <f>IF(AP39="","",INDEX($AL$6:$AL$9,AP39))</f>
        <v/>
      </c>
      <c r="C39" s="34">
        <f>IF(AP39="","",INDEX(INDIRECT("'"&amp;$B39&amp;"'!$B$6:$B$205"),MATCH($AR39,INDIRECT("'"&amp;$B39&amp;"'!$AE$6:$AE$205"),0)))</f>
        <v/>
      </c>
      <c r="D39" s="34">
        <f>IF(AP39="","",INDEX(INDIRECT("'"&amp;$B39&amp;"'!$D$6:$D$205"),MATCH($AR39,INDIRECT("'"&amp;$B39&amp;"'!$AE$6:$AE$205"),0)))</f>
        <v/>
      </c>
      <c r="E39" s="36">
        <f>IF(AP39="","",INDEX(INDIRECT("'"&amp;$B39&amp;"'!$F$6:$F$205"),MATCH($AR39,INDIRECT("'"&amp;$B39&amp;"'!$AE$6:$AE$205"),0)))</f>
        <v/>
      </c>
      <c r="F39" s="34">
        <f>IF(AP39="","",INDEX(INDIRECT("'"&amp;$B39&amp;"'!$K$6:$K$205"),MATCH($AR39,INDIRECT("'"&amp;$B39&amp;"'!$AE$6:$AE$205"),0)))</f>
        <v/>
      </c>
      <c r="G39" s="34">
        <f>IF(AP39="","",INDEX(INDIRECT("'"&amp;$B39&amp;"'!$L$6:$L$205"),MATCH($AR39,INDIRECT("'"&amp;$B39&amp;"'!$AE$6:$AE$205"),0)))</f>
        <v/>
      </c>
      <c r="H39" s="34">
        <f>IF(OR(AP39="",H$5="-"),"",IFERROR(IF(INDEX(INDIRECT("'"&amp;$B39&amp;"'!$N$6:$N$205"),MATCH($AR39&amp;"|"&amp;H$5,INDIRECT("'"&amp;$B39&amp;"'!$AF$6:$AF$205"),0))="","",INDEX(INDIRECT("'"&amp;$B39&amp;"'!$N$6:$N$205"),MATCH($AR39&amp;"|"&amp;H$5,INDIRECT("'"&amp;$B39&amp;"'!$AF$6:$AF$205"),0))),"-"))</f>
        <v/>
      </c>
      <c r="I39" s="34">
        <f>IF(OR(AP39="",I$5="-"),"",IFERROR(IF(INDEX(INDIRECT("'"&amp;$B39&amp;"'!$N$6:$N$205"),MATCH($AR39&amp;"|"&amp;I$5,INDIRECT("'"&amp;$B39&amp;"'!$AF$6:$AF$205"),0))="","",INDEX(INDIRECT("'"&amp;$B39&amp;"'!$N$6:$N$205"),MATCH($AR39&amp;"|"&amp;I$5,INDIRECT("'"&amp;$B39&amp;"'!$AF$6:$AF$205"),0))),"-"))</f>
        <v/>
      </c>
      <c r="J39" s="34">
        <f>IF(OR(AP39="",J$5="-"),"",IFERROR(IF(INDEX(INDIRECT("'"&amp;$B39&amp;"'!$N$6:$N$205"),MATCH($AR39&amp;"|"&amp;J$5,INDIRECT("'"&amp;$B39&amp;"'!$AF$6:$AF$205"),0))="","",INDEX(INDIRECT("'"&amp;$B39&amp;"'!$N$6:$N$205"),MATCH($AR39&amp;"|"&amp;J$5,INDIRECT("'"&amp;$B39&amp;"'!$AF$6:$AF$205"),0))),"-"))</f>
        <v/>
      </c>
      <c r="K39" s="34">
        <f>IF(OR(AP39="",K$5="-"),"",IFERROR(IF(INDEX(INDIRECT("'"&amp;$B39&amp;"'!$N$6:$N$205"),MATCH($AR39&amp;"|"&amp;K$5,INDIRECT("'"&amp;$B39&amp;"'!$AF$6:$AF$205"),0))="","",INDEX(INDIRECT("'"&amp;$B39&amp;"'!$N$6:$N$205"),MATCH($AR39&amp;"|"&amp;K$5,INDIRECT("'"&amp;$B39&amp;"'!$AF$6:$AF$205"),0))),"-"))</f>
        <v/>
      </c>
      <c r="L39" s="34">
        <f>IF(OR(AP39="",L$5="-"),"",IFERROR(IF(INDEX(INDIRECT("'"&amp;$B39&amp;"'!$N$6:$N$205"),MATCH($AR39&amp;"|"&amp;L$5,INDIRECT("'"&amp;$B39&amp;"'!$AF$6:$AF$205"),0))="","",INDEX(INDIRECT("'"&amp;$B39&amp;"'!$N$6:$N$205"),MATCH($AR39&amp;"|"&amp;L$5,INDIRECT("'"&amp;$B39&amp;"'!$AF$6:$AF$205"),0))),"-"))</f>
        <v/>
      </c>
      <c r="M39" s="34">
        <f>IF(OR(AP39="",M$5="-"),"",IFERROR(IF(INDEX(INDIRECT("'"&amp;$B39&amp;"'!$N$6:$N$205"),MATCH($AR39&amp;"|"&amp;M$5,INDIRECT("'"&amp;$B39&amp;"'!$AF$6:$AF$205"),0))="","",INDEX(INDIRECT("'"&amp;$B39&amp;"'!$N$6:$N$205"),MATCH($AR39&amp;"|"&amp;M$5,INDIRECT("'"&amp;$B39&amp;"'!$AF$6:$AF$205"),0))),"-"))</f>
        <v/>
      </c>
      <c r="N39" s="34">
        <f>IF(OR(AP39="",N$5="-"),"",IFERROR(IF(INDEX(INDIRECT("'"&amp;$B39&amp;"'!$N$6:$N$205"),MATCH($AR39&amp;"|"&amp;N$5,INDIRECT("'"&amp;$B39&amp;"'!$AF$6:$AF$205"),0))="","",INDEX(INDIRECT("'"&amp;$B39&amp;"'!$N$6:$N$205"),MATCH($AR39&amp;"|"&amp;N$5,INDIRECT("'"&amp;$B39&amp;"'!$AF$6:$AF$205"),0))),"-"))</f>
        <v/>
      </c>
      <c r="O39" s="34">
        <f>IF(OR(AP39="",O$5="-"),"",IFERROR(IF(INDEX(INDIRECT("'"&amp;$B39&amp;"'!$N$6:$N$205"),MATCH($AR39&amp;"|"&amp;O$5,INDIRECT("'"&amp;$B39&amp;"'!$AF$6:$AF$205"),0))="","",INDEX(INDIRECT("'"&amp;$B39&amp;"'!$N$6:$N$205"),MATCH($AR39&amp;"|"&amp;O$5,INDIRECT("'"&amp;$B39&amp;"'!$AF$6:$AF$205"),0))),"-"))</f>
        <v/>
      </c>
      <c r="P39" s="37">
        <f>IF(OR(AP39="",P$5="-"),"",IFERROR(IF(INDEX(INDIRECT("'"&amp;$B39&amp;"'!$R$6:$R$205"),MATCH($AR39&amp;"|"&amp;P$5,INDIRECT("'"&amp;$B39&amp;"'!$AF$6:$AF$205"),0))="","",INDEX(INDIRECT("'"&amp;$B39&amp;"'!$R$6:$R$205"),MATCH($AR39&amp;"|"&amp;P$5,INDIRECT("'"&amp;$B39&amp;"'!$AF$6:$AF$205"),0))),"-"))</f>
        <v/>
      </c>
      <c r="Q39" s="37">
        <f>IF(OR(AP39="",Q$5="-"),"",IFERROR(IF(INDEX(INDIRECT("'"&amp;$B39&amp;"'!$R$6:$R$205"),MATCH($AR39&amp;"|"&amp;Q$5,INDIRECT("'"&amp;$B39&amp;"'!$AF$6:$AF$205"),0))="","",INDEX(INDIRECT("'"&amp;$B39&amp;"'!$R$6:$R$205"),MATCH($AR39&amp;"|"&amp;Q$5,INDIRECT("'"&amp;$B39&amp;"'!$AF$6:$AF$205"),0))),"-"))</f>
        <v/>
      </c>
      <c r="R39" s="37">
        <f>IF(OR(AP39="",R$5="-"),"",IFERROR(IF(INDEX(INDIRECT("'"&amp;$B39&amp;"'!$R$6:$R$205"),MATCH($AR39&amp;"|"&amp;R$5,INDIRECT("'"&amp;$B39&amp;"'!$AF$6:$AF$205"),0))="","",INDEX(INDIRECT("'"&amp;$B39&amp;"'!$R$6:$R$205"),MATCH($AR39&amp;"|"&amp;R$5,INDIRECT("'"&amp;$B39&amp;"'!$AF$6:$AF$205"),0))),"-"))</f>
        <v/>
      </c>
      <c r="S39" s="37">
        <f>IF(OR(AP39="",S$5="-"),"",IFERROR(IF(INDEX(INDIRECT("'"&amp;$B39&amp;"'!$R$6:$R$205"),MATCH($AR39&amp;"|"&amp;S$5,INDIRECT("'"&amp;$B39&amp;"'!$AF$6:$AF$205"),0))="","",INDEX(INDIRECT("'"&amp;$B39&amp;"'!$R$6:$R$205"),MATCH($AR39&amp;"|"&amp;S$5,INDIRECT("'"&amp;$B39&amp;"'!$AF$6:$AF$205"),0))),"-"))</f>
        <v/>
      </c>
      <c r="T39" s="37">
        <f>IF(OR(AP39="",T$5="-"),"",IFERROR(IF(INDEX(INDIRECT("'"&amp;$B39&amp;"'!$R$6:$R$205"),MATCH($AR39&amp;"|"&amp;T$5,INDIRECT("'"&amp;$B39&amp;"'!$AF$6:$AF$205"),0))="","",INDEX(INDIRECT("'"&amp;$B39&amp;"'!$R$6:$R$205"),MATCH($AR39&amp;"|"&amp;T$5,INDIRECT("'"&amp;$B39&amp;"'!$AF$6:$AF$205"),0))),"-"))</f>
        <v/>
      </c>
      <c r="U39" s="37">
        <f>IF(OR(AP39="",U$5="-"),"",IFERROR(IF(INDEX(INDIRECT("'"&amp;$B39&amp;"'!$R$6:$R$205"),MATCH($AR39&amp;"|"&amp;U$5,INDIRECT("'"&amp;$B39&amp;"'!$AF$6:$AF$205"),0))="","",INDEX(INDIRECT("'"&amp;$B39&amp;"'!$R$6:$R$205"),MATCH($AR39&amp;"|"&amp;U$5,INDIRECT("'"&amp;$B39&amp;"'!$AF$6:$AF$205"),0))),"-"))</f>
        <v/>
      </c>
      <c r="V39" s="37">
        <f>IF(OR(AP39="",V$5="-"),"",IFERROR(IF(INDEX(INDIRECT("'"&amp;$B39&amp;"'!$R$6:$R$205"),MATCH($AR39&amp;"|"&amp;V$5,INDIRECT("'"&amp;$B39&amp;"'!$AF$6:$AF$205"),0))="","",INDEX(INDIRECT("'"&amp;$B39&amp;"'!$R$6:$R$205"),MATCH($AR39&amp;"|"&amp;V$5,INDIRECT("'"&amp;$B39&amp;"'!$AF$6:$AF$205"),0))),"-"))</f>
        <v/>
      </c>
      <c r="W39" s="37">
        <f>IF(OR(AP39="",W$5="-"),"",IFERROR(IF(INDEX(INDIRECT("'"&amp;$B39&amp;"'!$R$6:$R$205"),MATCH($AR39&amp;"|"&amp;W$5,INDIRECT("'"&amp;$B39&amp;"'!$AF$6:$AF$205"),0))="","",INDEX(INDIRECT("'"&amp;$B39&amp;"'!$R$6:$R$205"),MATCH($AR39&amp;"|"&amp;W$5,INDIRECT("'"&amp;$B39&amp;"'!$AF$6:$AF$205"),0))),"-"))</f>
        <v/>
      </c>
      <c r="X39" s="38">
        <f>IF(OR(AP39="",X$5="-"),"",IFERROR(IF(INDEX(INDIRECT("'"&amp;$B39&amp;"'!$T$6:$T$205"),MATCH($AR39&amp;"|"&amp;X$5,INDIRECT("'"&amp;$B39&amp;"'!$AF$6:$AF$205"),0))="","",INDEX(INDIRECT("'"&amp;$B39&amp;"'!$T$6:$T$205"),MATCH($AR39&amp;"|"&amp;X$5,INDIRECT("'"&amp;$B39&amp;"'!$AF$6:$AF$205"),0))),"-"))</f>
        <v/>
      </c>
      <c r="Y39" s="38">
        <f>IF(OR(AP39="",Y$5="-"),"",IFERROR(IF(INDEX(INDIRECT("'"&amp;$B39&amp;"'!$T$6:$T$205"),MATCH($AR39&amp;"|"&amp;Y$5,INDIRECT("'"&amp;$B39&amp;"'!$AF$6:$AF$205"),0))="","",INDEX(INDIRECT("'"&amp;$B39&amp;"'!$T$6:$T$205"),MATCH($AR39&amp;"|"&amp;Y$5,INDIRECT("'"&amp;$B39&amp;"'!$AF$6:$AF$205"),0))),"-"))</f>
        <v/>
      </c>
      <c r="Z39" s="38">
        <f>IF(OR(AP39="",Z$5="-"),"",IFERROR(IF(INDEX(INDIRECT("'"&amp;$B39&amp;"'!$T$6:$T$205"),MATCH($AR39&amp;"|"&amp;Z$5,INDIRECT("'"&amp;$B39&amp;"'!$AF$6:$AF$205"),0))="","",INDEX(INDIRECT("'"&amp;$B39&amp;"'!$T$6:$T$205"),MATCH($AR39&amp;"|"&amp;Z$5,INDIRECT("'"&amp;$B39&amp;"'!$AF$6:$AF$205"),0))),"-"))</f>
        <v/>
      </c>
      <c r="AA39" s="38">
        <f>IF(OR(AP39="",AA$5="-"),"",IFERROR(IF(INDEX(INDIRECT("'"&amp;$B39&amp;"'!$T$6:$T$205"),MATCH($AR39&amp;"|"&amp;AA$5,INDIRECT("'"&amp;$B39&amp;"'!$AF$6:$AF$205"),0))="","",INDEX(INDIRECT("'"&amp;$B39&amp;"'!$T$6:$T$205"),MATCH($AR39&amp;"|"&amp;AA$5,INDIRECT("'"&amp;$B39&amp;"'!$AF$6:$AF$205"),0))),"-"))</f>
        <v/>
      </c>
      <c r="AB39" s="38">
        <f>IF(OR(AP39="",AB$5="-"),"",IFERROR(IF(INDEX(INDIRECT("'"&amp;$B39&amp;"'!$T$6:$T$205"),MATCH($AR39&amp;"|"&amp;AB$5,INDIRECT("'"&amp;$B39&amp;"'!$AF$6:$AF$205"),0))="","",INDEX(INDIRECT("'"&amp;$B39&amp;"'!$T$6:$T$205"),MATCH($AR39&amp;"|"&amp;AB$5,INDIRECT("'"&amp;$B39&amp;"'!$AF$6:$AF$205"),0))),"-"))</f>
        <v/>
      </c>
      <c r="AC39" s="38">
        <f>IF(OR(AP39="",AC$5="-"),"",IFERROR(IF(INDEX(INDIRECT("'"&amp;$B39&amp;"'!$T$6:$T$205"),MATCH($AR39&amp;"|"&amp;AC$5,INDIRECT("'"&amp;$B39&amp;"'!$AF$6:$AF$205"),0))="","",INDEX(INDIRECT("'"&amp;$B39&amp;"'!$T$6:$T$205"),MATCH($AR39&amp;"|"&amp;AC$5,INDIRECT("'"&amp;$B39&amp;"'!$AF$6:$AF$205"),0))),"-"))</f>
        <v/>
      </c>
      <c r="AD39" s="38">
        <f>IF(OR(AP39="",AD$5="-"),"",IFERROR(IF(INDEX(INDIRECT("'"&amp;$B39&amp;"'!$T$6:$T$205"),MATCH($AR39&amp;"|"&amp;AD$5,INDIRECT("'"&amp;$B39&amp;"'!$AF$6:$AF$205"),0))="","",INDEX(INDIRECT("'"&amp;$B39&amp;"'!$T$6:$T$205"),MATCH($AR39&amp;"|"&amp;AD$5,INDIRECT("'"&amp;$B39&amp;"'!$AF$6:$AF$205"),0))),"-"))</f>
        <v/>
      </c>
      <c r="AE39" s="38">
        <f>IF(OR(AP39="",AE$5="-"),"",IFERROR(IF(INDEX(INDIRECT("'"&amp;$B39&amp;"'!$T$6:$T$205"),MATCH($AR39&amp;"|"&amp;AE$5,INDIRECT("'"&amp;$B39&amp;"'!$AF$6:$AF$205"),0))="","",INDEX(INDIRECT("'"&amp;$B39&amp;"'!$T$6:$T$205"),MATCH($AR39&amp;"|"&amp;AE$5,INDIRECT("'"&amp;$B39&amp;"'!$AF$6:$AF$205"),0))),"-"))</f>
        <v/>
      </c>
      <c r="AF39" s="35">
        <f>IF(AG39="","",INDEX($P$5:$W$5,MATCH(AG39,P39:W39,0)))</f>
        <v/>
      </c>
      <c r="AG39" s="37">
        <f>IF(COUNT(P39:W39)=0,"",MIN(P39:W39))</f>
        <v/>
      </c>
      <c r="AH39" s="39">
        <f>IF(AG39="","",AG39*F39)</f>
        <v/>
      </c>
      <c r="AI39" s="39">
        <f>IF(COUNT(P39:W39)&lt;2,"",(MAX(P39:W39)-MIN(P39:W39))*F39)</f>
        <v/>
      </c>
      <c r="AJ39" s="20" t="n"/>
      <c r="AP39">
        <f>IF(34&gt;MAX($AN$6:$AN$9),"",COUNTIF($AN$6:$AN$9,"&lt;"&amp;34)+1)</f>
        <v/>
      </c>
      <c r="AQ39">
        <f>IF(AP39="","",34-INDEX($AO$6:$AO$9,AP39))</f>
        <v/>
      </c>
      <c r="AR39">
        <f>IF(AP39="","",INDEX(INDIRECT("'"&amp;$B39&amp;"'!$AE$6:$AE$205"),MATCH(AQ39,INDIRECT("'"&amp;$B39&amp;"'!$AI$6:$AI$205"),0)))</f>
        <v/>
      </c>
    </row>
    <row r="40">
      <c r="A40" s="34">
        <f>IF(AP40="","",35)</f>
        <v/>
      </c>
      <c r="B40" s="35">
        <f>IF(AP40="","",INDEX($AL$6:$AL$9,AP40))</f>
        <v/>
      </c>
      <c r="C40" s="34">
        <f>IF(AP40="","",INDEX(INDIRECT("'"&amp;$B40&amp;"'!$B$6:$B$205"),MATCH($AR40,INDIRECT("'"&amp;$B40&amp;"'!$AE$6:$AE$205"),0)))</f>
        <v/>
      </c>
      <c r="D40" s="34">
        <f>IF(AP40="","",INDEX(INDIRECT("'"&amp;$B40&amp;"'!$D$6:$D$205"),MATCH($AR40,INDIRECT("'"&amp;$B40&amp;"'!$AE$6:$AE$205"),0)))</f>
        <v/>
      </c>
      <c r="E40" s="36">
        <f>IF(AP40="","",INDEX(INDIRECT("'"&amp;$B40&amp;"'!$F$6:$F$205"),MATCH($AR40,INDIRECT("'"&amp;$B40&amp;"'!$AE$6:$AE$205"),0)))</f>
        <v/>
      </c>
      <c r="F40" s="34">
        <f>IF(AP40="","",INDEX(INDIRECT("'"&amp;$B40&amp;"'!$K$6:$K$205"),MATCH($AR40,INDIRECT("'"&amp;$B40&amp;"'!$AE$6:$AE$205"),0)))</f>
        <v/>
      </c>
      <c r="G40" s="34">
        <f>IF(AP40="","",INDEX(INDIRECT("'"&amp;$B40&amp;"'!$L$6:$L$205"),MATCH($AR40,INDIRECT("'"&amp;$B40&amp;"'!$AE$6:$AE$205"),0)))</f>
        <v/>
      </c>
      <c r="H40" s="34">
        <f>IF(OR(AP40="",H$5="-"),"",IFERROR(IF(INDEX(INDIRECT("'"&amp;$B40&amp;"'!$N$6:$N$205"),MATCH($AR40&amp;"|"&amp;H$5,INDIRECT("'"&amp;$B40&amp;"'!$AF$6:$AF$205"),0))="","",INDEX(INDIRECT("'"&amp;$B40&amp;"'!$N$6:$N$205"),MATCH($AR40&amp;"|"&amp;H$5,INDIRECT("'"&amp;$B40&amp;"'!$AF$6:$AF$205"),0))),"-"))</f>
        <v/>
      </c>
      <c r="I40" s="34">
        <f>IF(OR(AP40="",I$5="-"),"",IFERROR(IF(INDEX(INDIRECT("'"&amp;$B40&amp;"'!$N$6:$N$205"),MATCH($AR40&amp;"|"&amp;I$5,INDIRECT("'"&amp;$B40&amp;"'!$AF$6:$AF$205"),0))="","",INDEX(INDIRECT("'"&amp;$B40&amp;"'!$N$6:$N$205"),MATCH($AR40&amp;"|"&amp;I$5,INDIRECT("'"&amp;$B40&amp;"'!$AF$6:$AF$205"),0))),"-"))</f>
        <v/>
      </c>
      <c r="J40" s="34">
        <f>IF(OR(AP40="",J$5="-"),"",IFERROR(IF(INDEX(INDIRECT("'"&amp;$B40&amp;"'!$N$6:$N$205"),MATCH($AR40&amp;"|"&amp;J$5,INDIRECT("'"&amp;$B40&amp;"'!$AF$6:$AF$205"),0))="","",INDEX(INDIRECT("'"&amp;$B40&amp;"'!$N$6:$N$205"),MATCH($AR40&amp;"|"&amp;J$5,INDIRECT("'"&amp;$B40&amp;"'!$AF$6:$AF$205"),0))),"-"))</f>
        <v/>
      </c>
      <c r="K40" s="34">
        <f>IF(OR(AP40="",K$5="-"),"",IFERROR(IF(INDEX(INDIRECT("'"&amp;$B40&amp;"'!$N$6:$N$205"),MATCH($AR40&amp;"|"&amp;K$5,INDIRECT("'"&amp;$B40&amp;"'!$AF$6:$AF$205"),0))="","",INDEX(INDIRECT("'"&amp;$B40&amp;"'!$N$6:$N$205"),MATCH($AR40&amp;"|"&amp;K$5,INDIRECT("'"&amp;$B40&amp;"'!$AF$6:$AF$205"),0))),"-"))</f>
        <v/>
      </c>
      <c r="L40" s="34">
        <f>IF(OR(AP40="",L$5="-"),"",IFERROR(IF(INDEX(INDIRECT("'"&amp;$B40&amp;"'!$N$6:$N$205"),MATCH($AR40&amp;"|"&amp;L$5,INDIRECT("'"&amp;$B40&amp;"'!$AF$6:$AF$205"),0))="","",INDEX(INDIRECT("'"&amp;$B40&amp;"'!$N$6:$N$205"),MATCH($AR40&amp;"|"&amp;L$5,INDIRECT("'"&amp;$B40&amp;"'!$AF$6:$AF$205"),0))),"-"))</f>
        <v/>
      </c>
      <c r="M40" s="34">
        <f>IF(OR(AP40="",M$5="-"),"",IFERROR(IF(INDEX(INDIRECT("'"&amp;$B40&amp;"'!$N$6:$N$205"),MATCH($AR40&amp;"|"&amp;M$5,INDIRECT("'"&amp;$B40&amp;"'!$AF$6:$AF$205"),0))="","",INDEX(INDIRECT("'"&amp;$B40&amp;"'!$N$6:$N$205"),MATCH($AR40&amp;"|"&amp;M$5,INDIRECT("'"&amp;$B40&amp;"'!$AF$6:$AF$205"),0))),"-"))</f>
        <v/>
      </c>
      <c r="N40" s="34">
        <f>IF(OR(AP40="",N$5="-"),"",IFERROR(IF(INDEX(INDIRECT("'"&amp;$B40&amp;"'!$N$6:$N$205"),MATCH($AR40&amp;"|"&amp;N$5,INDIRECT("'"&amp;$B40&amp;"'!$AF$6:$AF$205"),0))="","",INDEX(INDIRECT("'"&amp;$B40&amp;"'!$N$6:$N$205"),MATCH($AR40&amp;"|"&amp;N$5,INDIRECT("'"&amp;$B40&amp;"'!$AF$6:$AF$205"),0))),"-"))</f>
        <v/>
      </c>
      <c r="O40" s="34">
        <f>IF(OR(AP40="",O$5="-"),"",IFERROR(IF(INDEX(INDIRECT("'"&amp;$B40&amp;"'!$N$6:$N$205"),MATCH($AR40&amp;"|"&amp;O$5,INDIRECT("'"&amp;$B40&amp;"'!$AF$6:$AF$205"),0))="","",INDEX(INDIRECT("'"&amp;$B40&amp;"'!$N$6:$N$205"),MATCH($AR40&amp;"|"&amp;O$5,INDIRECT("'"&amp;$B40&amp;"'!$AF$6:$AF$205"),0))),"-"))</f>
        <v/>
      </c>
      <c r="P40" s="37">
        <f>IF(OR(AP40="",P$5="-"),"",IFERROR(IF(INDEX(INDIRECT("'"&amp;$B40&amp;"'!$R$6:$R$205"),MATCH($AR40&amp;"|"&amp;P$5,INDIRECT("'"&amp;$B40&amp;"'!$AF$6:$AF$205"),0))="","",INDEX(INDIRECT("'"&amp;$B40&amp;"'!$R$6:$R$205"),MATCH($AR40&amp;"|"&amp;P$5,INDIRECT("'"&amp;$B40&amp;"'!$AF$6:$AF$205"),0))),"-"))</f>
        <v/>
      </c>
      <c r="Q40" s="37">
        <f>IF(OR(AP40="",Q$5="-"),"",IFERROR(IF(INDEX(INDIRECT("'"&amp;$B40&amp;"'!$R$6:$R$205"),MATCH($AR40&amp;"|"&amp;Q$5,INDIRECT("'"&amp;$B40&amp;"'!$AF$6:$AF$205"),0))="","",INDEX(INDIRECT("'"&amp;$B40&amp;"'!$R$6:$R$205"),MATCH($AR40&amp;"|"&amp;Q$5,INDIRECT("'"&amp;$B40&amp;"'!$AF$6:$AF$205"),0))),"-"))</f>
        <v/>
      </c>
      <c r="R40" s="37">
        <f>IF(OR(AP40="",R$5="-"),"",IFERROR(IF(INDEX(INDIRECT("'"&amp;$B40&amp;"'!$R$6:$R$205"),MATCH($AR40&amp;"|"&amp;R$5,INDIRECT("'"&amp;$B40&amp;"'!$AF$6:$AF$205"),0))="","",INDEX(INDIRECT("'"&amp;$B40&amp;"'!$R$6:$R$205"),MATCH($AR40&amp;"|"&amp;R$5,INDIRECT("'"&amp;$B40&amp;"'!$AF$6:$AF$205"),0))),"-"))</f>
        <v/>
      </c>
      <c r="S40" s="37">
        <f>IF(OR(AP40="",S$5="-"),"",IFERROR(IF(INDEX(INDIRECT("'"&amp;$B40&amp;"'!$R$6:$R$205"),MATCH($AR40&amp;"|"&amp;S$5,INDIRECT("'"&amp;$B40&amp;"'!$AF$6:$AF$205"),0))="","",INDEX(INDIRECT("'"&amp;$B40&amp;"'!$R$6:$R$205"),MATCH($AR40&amp;"|"&amp;S$5,INDIRECT("'"&amp;$B40&amp;"'!$AF$6:$AF$205"),0))),"-"))</f>
        <v/>
      </c>
      <c r="T40" s="37">
        <f>IF(OR(AP40="",T$5="-"),"",IFERROR(IF(INDEX(INDIRECT("'"&amp;$B40&amp;"'!$R$6:$R$205"),MATCH($AR40&amp;"|"&amp;T$5,INDIRECT("'"&amp;$B40&amp;"'!$AF$6:$AF$205"),0))="","",INDEX(INDIRECT("'"&amp;$B40&amp;"'!$R$6:$R$205"),MATCH($AR40&amp;"|"&amp;T$5,INDIRECT("'"&amp;$B40&amp;"'!$AF$6:$AF$205"),0))),"-"))</f>
        <v/>
      </c>
      <c r="U40" s="37">
        <f>IF(OR(AP40="",U$5="-"),"",IFERROR(IF(INDEX(INDIRECT("'"&amp;$B40&amp;"'!$R$6:$R$205"),MATCH($AR40&amp;"|"&amp;U$5,INDIRECT("'"&amp;$B40&amp;"'!$AF$6:$AF$205"),0))="","",INDEX(INDIRECT("'"&amp;$B40&amp;"'!$R$6:$R$205"),MATCH($AR40&amp;"|"&amp;U$5,INDIRECT("'"&amp;$B40&amp;"'!$AF$6:$AF$205"),0))),"-"))</f>
        <v/>
      </c>
      <c r="V40" s="37">
        <f>IF(OR(AP40="",V$5="-"),"",IFERROR(IF(INDEX(INDIRECT("'"&amp;$B40&amp;"'!$R$6:$R$205"),MATCH($AR40&amp;"|"&amp;V$5,INDIRECT("'"&amp;$B40&amp;"'!$AF$6:$AF$205"),0))="","",INDEX(INDIRECT("'"&amp;$B40&amp;"'!$R$6:$R$205"),MATCH($AR40&amp;"|"&amp;V$5,INDIRECT("'"&amp;$B40&amp;"'!$AF$6:$AF$205"),0))),"-"))</f>
        <v/>
      </c>
      <c r="W40" s="37">
        <f>IF(OR(AP40="",W$5="-"),"",IFERROR(IF(INDEX(INDIRECT("'"&amp;$B40&amp;"'!$R$6:$R$205"),MATCH($AR40&amp;"|"&amp;W$5,INDIRECT("'"&amp;$B40&amp;"'!$AF$6:$AF$205"),0))="","",INDEX(INDIRECT("'"&amp;$B40&amp;"'!$R$6:$R$205"),MATCH($AR40&amp;"|"&amp;W$5,INDIRECT("'"&amp;$B40&amp;"'!$AF$6:$AF$205"),0))),"-"))</f>
        <v/>
      </c>
      <c r="X40" s="38">
        <f>IF(OR(AP40="",X$5="-"),"",IFERROR(IF(INDEX(INDIRECT("'"&amp;$B40&amp;"'!$T$6:$T$205"),MATCH($AR40&amp;"|"&amp;X$5,INDIRECT("'"&amp;$B40&amp;"'!$AF$6:$AF$205"),0))="","",INDEX(INDIRECT("'"&amp;$B40&amp;"'!$T$6:$T$205"),MATCH($AR40&amp;"|"&amp;X$5,INDIRECT("'"&amp;$B40&amp;"'!$AF$6:$AF$205"),0))),"-"))</f>
        <v/>
      </c>
      <c r="Y40" s="38">
        <f>IF(OR(AP40="",Y$5="-"),"",IFERROR(IF(INDEX(INDIRECT("'"&amp;$B40&amp;"'!$T$6:$T$205"),MATCH($AR40&amp;"|"&amp;Y$5,INDIRECT("'"&amp;$B40&amp;"'!$AF$6:$AF$205"),0))="","",INDEX(INDIRECT("'"&amp;$B40&amp;"'!$T$6:$T$205"),MATCH($AR40&amp;"|"&amp;Y$5,INDIRECT("'"&amp;$B40&amp;"'!$AF$6:$AF$205"),0))),"-"))</f>
        <v/>
      </c>
      <c r="Z40" s="38">
        <f>IF(OR(AP40="",Z$5="-"),"",IFERROR(IF(INDEX(INDIRECT("'"&amp;$B40&amp;"'!$T$6:$T$205"),MATCH($AR40&amp;"|"&amp;Z$5,INDIRECT("'"&amp;$B40&amp;"'!$AF$6:$AF$205"),0))="","",INDEX(INDIRECT("'"&amp;$B40&amp;"'!$T$6:$T$205"),MATCH($AR40&amp;"|"&amp;Z$5,INDIRECT("'"&amp;$B40&amp;"'!$AF$6:$AF$205"),0))),"-"))</f>
        <v/>
      </c>
      <c r="AA40" s="38">
        <f>IF(OR(AP40="",AA$5="-"),"",IFERROR(IF(INDEX(INDIRECT("'"&amp;$B40&amp;"'!$T$6:$T$205"),MATCH($AR40&amp;"|"&amp;AA$5,INDIRECT("'"&amp;$B40&amp;"'!$AF$6:$AF$205"),0))="","",INDEX(INDIRECT("'"&amp;$B40&amp;"'!$T$6:$T$205"),MATCH($AR40&amp;"|"&amp;AA$5,INDIRECT("'"&amp;$B40&amp;"'!$AF$6:$AF$205"),0))),"-"))</f>
        <v/>
      </c>
      <c r="AB40" s="38">
        <f>IF(OR(AP40="",AB$5="-"),"",IFERROR(IF(INDEX(INDIRECT("'"&amp;$B40&amp;"'!$T$6:$T$205"),MATCH($AR40&amp;"|"&amp;AB$5,INDIRECT("'"&amp;$B40&amp;"'!$AF$6:$AF$205"),0))="","",INDEX(INDIRECT("'"&amp;$B40&amp;"'!$T$6:$T$205"),MATCH($AR40&amp;"|"&amp;AB$5,INDIRECT("'"&amp;$B40&amp;"'!$AF$6:$AF$205"),0))),"-"))</f>
        <v/>
      </c>
      <c r="AC40" s="38">
        <f>IF(OR(AP40="",AC$5="-"),"",IFERROR(IF(INDEX(INDIRECT("'"&amp;$B40&amp;"'!$T$6:$T$205"),MATCH($AR40&amp;"|"&amp;AC$5,INDIRECT("'"&amp;$B40&amp;"'!$AF$6:$AF$205"),0))="","",INDEX(INDIRECT("'"&amp;$B40&amp;"'!$T$6:$T$205"),MATCH($AR40&amp;"|"&amp;AC$5,INDIRECT("'"&amp;$B40&amp;"'!$AF$6:$AF$205"),0))),"-"))</f>
        <v/>
      </c>
      <c r="AD40" s="38">
        <f>IF(OR(AP40="",AD$5="-"),"",IFERROR(IF(INDEX(INDIRECT("'"&amp;$B40&amp;"'!$T$6:$T$205"),MATCH($AR40&amp;"|"&amp;AD$5,INDIRECT("'"&amp;$B40&amp;"'!$AF$6:$AF$205"),0))="","",INDEX(INDIRECT("'"&amp;$B40&amp;"'!$T$6:$T$205"),MATCH($AR40&amp;"|"&amp;AD$5,INDIRECT("'"&amp;$B40&amp;"'!$AF$6:$AF$205"),0))),"-"))</f>
        <v/>
      </c>
      <c r="AE40" s="38">
        <f>IF(OR(AP40="",AE$5="-"),"",IFERROR(IF(INDEX(INDIRECT("'"&amp;$B40&amp;"'!$T$6:$T$205"),MATCH($AR40&amp;"|"&amp;AE$5,INDIRECT("'"&amp;$B40&amp;"'!$AF$6:$AF$205"),0))="","",INDEX(INDIRECT("'"&amp;$B40&amp;"'!$T$6:$T$205"),MATCH($AR40&amp;"|"&amp;AE$5,INDIRECT("'"&amp;$B40&amp;"'!$AF$6:$AF$205"),0))),"-"))</f>
        <v/>
      </c>
      <c r="AF40" s="35">
        <f>IF(AG40="","",INDEX($P$5:$W$5,MATCH(AG40,P40:W40,0)))</f>
        <v/>
      </c>
      <c r="AG40" s="37">
        <f>IF(COUNT(P40:W40)=0,"",MIN(P40:W40))</f>
        <v/>
      </c>
      <c r="AH40" s="39">
        <f>IF(AG40="","",AG40*F40)</f>
        <v/>
      </c>
      <c r="AI40" s="39">
        <f>IF(COUNT(P40:W40)&lt;2,"",(MAX(P40:W40)-MIN(P40:W40))*F40)</f>
        <v/>
      </c>
      <c r="AJ40" s="20" t="n"/>
      <c r="AP40">
        <f>IF(35&gt;MAX($AN$6:$AN$9),"",COUNTIF($AN$6:$AN$9,"&lt;"&amp;35)+1)</f>
        <v/>
      </c>
      <c r="AQ40">
        <f>IF(AP40="","",35-INDEX($AO$6:$AO$9,AP40))</f>
        <v/>
      </c>
      <c r="AR40">
        <f>IF(AP40="","",INDEX(INDIRECT("'"&amp;$B40&amp;"'!$AE$6:$AE$205"),MATCH(AQ40,INDIRECT("'"&amp;$B40&amp;"'!$AI$6:$AI$205"),0)))</f>
        <v/>
      </c>
    </row>
    <row r="41">
      <c r="A41" s="34">
        <f>IF(AP41="","",36)</f>
        <v/>
      </c>
      <c r="B41" s="35">
        <f>IF(AP41="","",INDEX($AL$6:$AL$9,AP41))</f>
        <v/>
      </c>
      <c r="C41" s="34">
        <f>IF(AP41="","",INDEX(INDIRECT("'"&amp;$B41&amp;"'!$B$6:$B$205"),MATCH($AR41,INDIRECT("'"&amp;$B41&amp;"'!$AE$6:$AE$205"),0)))</f>
        <v/>
      </c>
      <c r="D41" s="34">
        <f>IF(AP41="","",INDEX(INDIRECT("'"&amp;$B41&amp;"'!$D$6:$D$205"),MATCH($AR41,INDIRECT("'"&amp;$B41&amp;"'!$AE$6:$AE$205"),0)))</f>
        <v/>
      </c>
      <c r="E41" s="36">
        <f>IF(AP41="","",INDEX(INDIRECT("'"&amp;$B41&amp;"'!$F$6:$F$205"),MATCH($AR41,INDIRECT("'"&amp;$B41&amp;"'!$AE$6:$AE$205"),0)))</f>
        <v/>
      </c>
      <c r="F41" s="34">
        <f>IF(AP41="","",INDEX(INDIRECT("'"&amp;$B41&amp;"'!$K$6:$K$205"),MATCH($AR41,INDIRECT("'"&amp;$B41&amp;"'!$AE$6:$AE$205"),0)))</f>
        <v/>
      </c>
      <c r="G41" s="34">
        <f>IF(AP41="","",INDEX(INDIRECT("'"&amp;$B41&amp;"'!$L$6:$L$205"),MATCH($AR41,INDIRECT("'"&amp;$B41&amp;"'!$AE$6:$AE$205"),0)))</f>
        <v/>
      </c>
      <c r="H41" s="34">
        <f>IF(OR(AP41="",H$5="-"),"",IFERROR(IF(INDEX(INDIRECT("'"&amp;$B41&amp;"'!$N$6:$N$205"),MATCH($AR41&amp;"|"&amp;H$5,INDIRECT("'"&amp;$B41&amp;"'!$AF$6:$AF$205"),0))="","",INDEX(INDIRECT("'"&amp;$B41&amp;"'!$N$6:$N$205"),MATCH($AR41&amp;"|"&amp;H$5,INDIRECT("'"&amp;$B41&amp;"'!$AF$6:$AF$205"),0))),"-"))</f>
        <v/>
      </c>
      <c r="I41" s="34">
        <f>IF(OR(AP41="",I$5="-"),"",IFERROR(IF(INDEX(INDIRECT("'"&amp;$B41&amp;"'!$N$6:$N$205"),MATCH($AR41&amp;"|"&amp;I$5,INDIRECT("'"&amp;$B41&amp;"'!$AF$6:$AF$205"),0))="","",INDEX(INDIRECT("'"&amp;$B41&amp;"'!$N$6:$N$205"),MATCH($AR41&amp;"|"&amp;I$5,INDIRECT("'"&amp;$B41&amp;"'!$AF$6:$AF$205"),0))),"-"))</f>
        <v/>
      </c>
      <c r="J41" s="34">
        <f>IF(OR(AP41="",J$5="-"),"",IFERROR(IF(INDEX(INDIRECT("'"&amp;$B41&amp;"'!$N$6:$N$205"),MATCH($AR41&amp;"|"&amp;J$5,INDIRECT("'"&amp;$B41&amp;"'!$AF$6:$AF$205"),0))="","",INDEX(INDIRECT("'"&amp;$B41&amp;"'!$N$6:$N$205"),MATCH($AR41&amp;"|"&amp;J$5,INDIRECT("'"&amp;$B41&amp;"'!$AF$6:$AF$205"),0))),"-"))</f>
        <v/>
      </c>
      <c r="K41" s="34">
        <f>IF(OR(AP41="",K$5="-"),"",IFERROR(IF(INDEX(INDIRECT("'"&amp;$B41&amp;"'!$N$6:$N$205"),MATCH($AR41&amp;"|"&amp;K$5,INDIRECT("'"&amp;$B41&amp;"'!$AF$6:$AF$205"),0))="","",INDEX(INDIRECT("'"&amp;$B41&amp;"'!$N$6:$N$205"),MATCH($AR41&amp;"|"&amp;K$5,INDIRECT("'"&amp;$B41&amp;"'!$AF$6:$AF$205"),0))),"-"))</f>
        <v/>
      </c>
      <c r="L41" s="34">
        <f>IF(OR(AP41="",L$5="-"),"",IFERROR(IF(INDEX(INDIRECT("'"&amp;$B41&amp;"'!$N$6:$N$205"),MATCH($AR41&amp;"|"&amp;L$5,INDIRECT("'"&amp;$B41&amp;"'!$AF$6:$AF$205"),0))="","",INDEX(INDIRECT("'"&amp;$B41&amp;"'!$N$6:$N$205"),MATCH($AR41&amp;"|"&amp;L$5,INDIRECT("'"&amp;$B41&amp;"'!$AF$6:$AF$205"),0))),"-"))</f>
        <v/>
      </c>
      <c r="M41" s="34">
        <f>IF(OR(AP41="",M$5="-"),"",IFERROR(IF(INDEX(INDIRECT("'"&amp;$B41&amp;"'!$N$6:$N$205"),MATCH($AR41&amp;"|"&amp;M$5,INDIRECT("'"&amp;$B41&amp;"'!$AF$6:$AF$205"),0))="","",INDEX(INDIRECT("'"&amp;$B41&amp;"'!$N$6:$N$205"),MATCH($AR41&amp;"|"&amp;M$5,INDIRECT("'"&amp;$B41&amp;"'!$AF$6:$AF$205"),0))),"-"))</f>
        <v/>
      </c>
      <c r="N41" s="34">
        <f>IF(OR(AP41="",N$5="-"),"",IFERROR(IF(INDEX(INDIRECT("'"&amp;$B41&amp;"'!$N$6:$N$205"),MATCH($AR41&amp;"|"&amp;N$5,INDIRECT("'"&amp;$B41&amp;"'!$AF$6:$AF$205"),0))="","",INDEX(INDIRECT("'"&amp;$B41&amp;"'!$N$6:$N$205"),MATCH($AR41&amp;"|"&amp;N$5,INDIRECT("'"&amp;$B41&amp;"'!$AF$6:$AF$205"),0))),"-"))</f>
        <v/>
      </c>
      <c r="O41" s="34">
        <f>IF(OR(AP41="",O$5="-"),"",IFERROR(IF(INDEX(INDIRECT("'"&amp;$B41&amp;"'!$N$6:$N$205"),MATCH($AR41&amp;"|"&amp;O$5,INDIRECT("'"&amp;$B41&amp;"'!$AF$6:$AF$205"),0))="","",INDEX(INDIRECT("'"&amp;$B41&amp;"'!$N$6:$N$205"),MATCH($AR41&amp;"|"&amp;O$5,INDIRECT("'"&amp;$B41&amp;"'!$AF$6:$AF$205"),0))),"-"))</f>
        <v/>
      </c>
      <c r="P41" s="37">
        <f>IF(OR(AP41="",P$5="-"),"",IFERROR(IF(INDEX(INDIRECT("'"&amp;$B41&amp;"'!$R$6:$R$205"),MATCH($AR41&amp;"|"&amp;P$5,INDIRECT("'"&amp;$B41&amp;"'!$AF$6:$AF$205"),0))="","",INDEX(INDIRECT("'"&amp;$B41&amp;"'!$R$6:$R$205"),MATCH($AR41&amp;"|"&amp;P$5,INDIRECT("'"&amp;$B41&amp;"'!$AF$6:$AF$205"),0))),"-"))</f>
        <v/>
      </c>
      <c r="Q41" s="37">
        <f>IF(OR(AP41="",Q$5="-"),"",IFERROR(IF(INDEX(INDIRECT("'"&amp;$B41&amp;"'!$R$6:$R$205"),MATCH($AR41&amp;"|"&amp;Q$5,INDIRECT("'"&amp;$B41&amp;"'!$AF$6:$AF$205"),0))="","",INDEX(INDIRECT("'"&amp;$B41&amp;"'!$R$6:$R$205"),MATCH($AR41&amp;"|"&amp;Q$5,INDIRECT("'"&amp;$B41&amp;"'!$AF$6:$AF$205"),0))),"-"))</f>
        <v/>
      </c>
      <c r="R41" s="37">
        <f>IF(OR(AP41="",R$5="-"),"",IFERROR(IF(INDEX(INDIRECT("'"&amp;$B41&amp;"'!$R$6:$R$205"),MATCH($AR41&amp;"|"&amp;R$5,INDIRECT("'"&amp;$B41&amp;"'!$AF$6:$AF$205"),0))="","",INDEX(INDIRECT("'"&amp;$B41&amp;"'!$R$6:$R$205"),MATCH($AR41&amp;"|"&amp;R$5,INDIRECT("'"&amp;$B41&amp;"'!$AF$6:$AF$205"),0))),"-"))</f>
        <v/>
      </c>
      <c r="S41" s="37">
        <f>IF(OR(AP41="",S$5="-"),"",IFERROR(IF(INDEX(INDIRECT("'"&amp;$B41&amp;"'!$R$6:$R$205"),MATCH($AR41&amp;"|"&amp;S$5,INDIRECT("'"&amp;$B41&amp;"'!$AF$6:$AF$205"),0))="","",INDEX(INDIRECT("'"&amp;$B41&amp;"'!$R$6:$R$205"),MATCH($AR41&amp;"|"&amp;S$5,INDIRECT("'"&amp;$B41&amp;"'!$AF$6:$AF$205"),0))),"-"))</f>
        <v/>
      </c>
      <c r="T41" s="37">
        <f>IF(OR(AP41="",T$5="-"),"",IFERROR(IF(INDEX(INDIRECT("'"&amp;$B41&amp;"'!$R$6:$R$205"),MATCH($AR41&amp;"|"&amp;T$5,INDIRECT("'"&amp;$B41&amp;"'!$AF$6:$AF$205"),0))="","",INDEX(INDIRECT("'"&amp;$B41&amp;"'!$R$6:$R$205"),MATCH($AR41&amp;"|"&amp;T$5,INDIRECT("'"&amp;$B41&amp;"'!$AF$6:$AF$205"),0))),"-"))</f>
        <v/>
      </c>
      <c r="U41" s="37">
        <f>IF(OR(AP41="",U$5="-"),"",IFERROR(IF(INDEX(INDIRECT("'"&amp;$B41&amp;"'!$R$6:$R$205"),MATCH($AR41&amp;"|"&amp;U$5,INDIRECT("'"&amp;$B41&amp;"'!$AF$6:$AF$205"),0))="","",INDEX(INDIRECT("'"&amp;$B41&amp;"'!$R$6:$R$205"),MATCH($AR41&amp;"|"&amp;U$5,INDIRECT("'"&amp;$B41&amp;"'!$AF$6:$AF$205"),0))),"-"))</f>
        <v/>
      </c>
      <c r="V41" s="37">
        <f>IF(OR(AP41="",V$5="-"),"",IFERROR(IF(INDEX(INDIRECT("'"&amp;$B41&amp;"'!$R$6:$R$205"),MATCH($AR41&amp;"|"&amp;V$5,INDIRECT("'"&amp;$B41&amp;"'!$AF$6:$AF$205"),0))="","",INDEX(INDIRECT("'"&amp;$B41&amp;"'!$R$6:$R$205"),MATCH($AR41&amp;"|"&amp;V$5,INDIRECT("'"&amp;$B41&amp;"'!$AF$6:$AF$205"),0))),"-"))</f>
        <v/>
      </c>
      <c r="W41" s="37">
        <f>IF(OR(AP41="",W$5="-"),"",IFERROR(IF(INDEX(INDIRECT("'"&amp;$B41&amp;"'!$R$6:$R$205"),MATCH($AR41&amp;"|"&amp;W$5,INDIRECT("'"&amp;$B41&amp;"'!$AF$6:$AF$205"),0))="","",INDEX(INDIRECT("'"&amp;$B41&amp;"'!$R$6:$R$205"),MATCH($AR41&amp;"|"&amp;W$5,INDIRECT("'"&amp;$B41&amp;"'!$AF$6:$AF$205"),0))),"-"))</f>
        <v/>
      </c>
      <c r="X41" s="38">
        <f>IF(OR(AP41="",X$5="-"),"",IFERROR(IF(INDEX(INDIRECT("'"&amp;$B41&amp;"'!$T$6:$T$205"),MATCH($AR41&amp;"|"&amp;X$5,INDIRECT("'"&amp;$B41&amp;"'!$AF$6:$AF$205"),0))="","",INDEX(INDIRECT("'"&amp;$B41&amp;"'!$T$6:$T$205"),MATCH($AR41&amp;"|"&amp;X$5,INDIRECT("'"&amp;$B41&amp;"'!$AF$6:$AF$205"),0))),"-"))</f>
        <v/>
      </c>
      <c r="Y41" s="38">
        <f>IF(OR(AP41="",Y$5="-"),"",IFERROR(IF(INDEX(INDIRECT("'"&amp;$B41&amp;"'!$T$6:$T$205"),MATCH($AR41&amp;"|"&amp;Y$5,INDIRECT("'"&amp;$B41&amp;"'!$AF$6:$AF$205"),0))="","",INDEX(INDIRECT("'"&amp;$B41&amp;"'!$T$6:$T$205"),MATCH($AR41&amp;"|"&amp;Y$5,INDIRECT("'"&amp;$B41&amp;"'!$AF$6:$AF$205"),0))),"-"))</f>
        <v/>
      </c>
      <c r="Z41" s="38">
        <f>IF(OR(AP41="",Z$5="-"),"",IFERROR(IF(INDEX(INDIRECT("'"&amp;$B41&amp;"'!$T$6:$T$205"),MATCH($AR41&amp;"|"&amp;Z$5,INDIRECT("'"&amp;$B41&amp;"'!$AF$6:$AF$205"),0))="","",INDEX(INDIRECT("'"&amp;$B41&amp;"'!$T$6:$T$205"),MATCH($AR41&amp;"|"&amp;Z$5,INDIRECT("'"&amp;$B41&amp;"'!$AF$6:$AF$205"),0))),"-"))</f>
        <v/>
      </c>
      <c r="AA41" s="38">
        <f>IF(OR(AP41="",AA$5="-"),"",IFERROR(IF(INDEX(INDIRECT("'"&amp;$B41&amp;"'!$T$6:$T$205"),MATCH($AR41&amp;"|"&amp;AA$5,INDIRECT("'"&amp;$B41&amp;"'!$AF$6:$AF$205"),0))="","",INDEX(INDIRECT("'"&amp;$B41&amp;"'!$T$6:$T$205"),MATCH($AR41&amp;"|"&amp;AA$5,INDIRECT("'"&amp;$B41&amp;"'!$AF$6:$AF$205"),0))),"-"))</f>
        <v/>
      </c>
      <c r="AB41" s="38">
        <f>IF(OR(AP41="",AB$5="-"),"",IFERROR(IF(INDEX(INDIRECT("'"&amp;$B41&amp;"'!$T$6:$T$205"),MATCH($AR41&amp;"|"&amp;AB$5,INDIRECT("'"&amp;$B41&amp;"'!$AF$6:$AF$205"),0))="","",INDEX(INDIRECT("'"&amp;$B41&amp;"'!$T$6:$T$205"),MATCH($AR41&amp;"|"&amp;AB$5,INDIRECT("'"&amp;$B41&amp;"'!$AF$6:$AF$205"),0))),"-"))</f>
        <v/>
      </c>
      <c r="AC41" s="38">
        <f>IF(OR(AP41="",AC$5="-"),"",IFERROR(IF(INDEX(INDIRECT("'"&amp;$B41&amp;"'!$T$6:$T$205"),MATCH($AR41&amp;"|"&amp;AC$5,INDIRECT("'"&amp;$B41&amp;"'!$AF$6:$AF$205"),0))="","",INDEX(INDIRECT("'"&amp;$B41&amp;"'!$T$6:$T$205"),MATCH($AR41&amp;"|"&amp;AC$5,INDIRECT("'"&amp;$B41&amp;"'!$AF$6:$AF$205"),0))),"-"))</f>
        <v/>
      </c>
      <c r="AD41" s="38">
        <f>IF(OR(AP41="",AD$5="-"),"",IFERROR(IF(INDEX(INDIRECT("'"&amp;$B41&amp;"'!$T$6:$T$205"),MATCH($AR41&amp;"|"&amp;AD$5,INDIRECT("'"&amp;$B41&amp;"'!$AF$6:$AF$205"),0))="","",INDEX(INDIRECT("'"&amp;$B41&amp;"'!$T$6:$T$205"),MATCH($AR41&amp;"|"&amp;AD$5,INDIRECT("'"&amp;$B41&amp;"'!$AF$6:$AF$205"),0))),"-"))</f>
        <v/>
      </c>
      <c r="AE41" s="38">
        <f>IF(OR(AP41="",AE$5="-"),"",IFERROR(IF(INDEX(INDIRECT("'"&amp;$B41&amp;"'!$T$6:$T$205"),MATCH($AR41&amp;"|"&amp;AE$5,INDIRECT("'"&amp;$B41&amp;"'!$AF$6:$AF$205"),0))="","",INDEX(INDIRECT("'"&amp;$B41&amp;"'!$T$6:$T$205"),MATCH($AR41&amp;"|"&amp;AE$5,INDIRECT("'"&amp;$B41&amp;"'!$AF$6:$AF$205"),0))),"-"))</f>
        <v/>
      </c>
      <c r="AF41" s="35">
        <f>IF(AG41="","",INDEX($P$5:$W$5,MATCH(AG41,P41:W41,0)))</f>
        <v/>
      </c>
      <c r="AG41" s="37">
        <f>IF(COUNT(P41:W41)=0,"",MIN(P41:W41))</f>
        <v/>
      </c>
      <c r="AH41" s="39">
        <f>IF(AG41="","",AG41*F41)</f>
        <v/>
      </c>
      <c r="AI41" s="39">
        <f>IF(COUNT(P41:W41)&lt;2,"",(MAX(P41:W41)-MIN(P41:W41))*F41)</f>
        <v/>
      </c>
      <c r="AJ41" s="20" t="n"/>
      <c r="AP41">
        <f>IF(36&gt;MAX($AN$6:$AN$9),"",COUNTIF($AN$6:$AN$9,"&lt;"&amp;36)+1)</f>
        <v/>
      </c>
      <c r="AQ41">
        <f>IF(AP41="","",36-INDEX($AO$6:$AO$9,AP41))</f>
        <v/>
      </c>
      <c r="AR41">
        <f>IF(AP41="","",INDEX(INDIRECT("'"&amp;$B41&amp;"'!$AE$6:$AE$205"),MATCH(AQ41,INDIRECT("'"&amp;$B41&amp;"'!$AI$6:$AI$205"),0)))</f>
        <v/>
      </c>
    </row>
    <row r="42">
      <c r="A42" s="34">
        <f>IF(AP42="","",37)</f>
        <v/>
      </c>
      <c r="B42" s="35">
        <f>IF(AP42="","",INDEX($AL$6:$AL$9,AP42))</f>
        <v/>
      </c>
      <c r="C42" s="34">
        <f>IF(AP42="","",INDEX(INDIRECT("'"&amp;$B42&amp;"'!$B$6:$B$205"),MATCH($AR42,INDIRECT("'"&amp;$B42&amp;"'!$AE$6:$AE$205"),0)))</f>
        <v/>
      </c>
      <c r="D42" s="34">
        <f>IF(AP42="","",INDEX(INDIRECT("'"&amp;$B42&amp;"'!$D$6:$D$205"),MATCH($AR42,INDIRECT("'"&amp;$B42&amp;"'!$AE$6:$AE$205"),0)))</f>
        <v/>
      </c>
      <c r="E42" s="36">
        <f>IF(AP42="","",INDEX(INDIRECT("'"&amp;$B42&amp;"'!$F$6:$F$205"),MATCH($AR42,INDIRECT("'"&amp;$B42&amp;"'!$AE$6:$AE$205"),0)))</f>
        <v/>
      </c>
      <c r="F42" s="34">
        <f>IF(AP42="","",INDEX(INDIRECT("'"&amp;$B42&amp;"'!$K$6:$K$205"),MATCH($AR42,INDIRECT("'"&amp;$B42&amp;"'!$AE$6:$AE$205"),0)))</f>
        <v/>
      </c>
      <c r="G42" s="34">
        <f>IF(AP42="","",INDEX(INDIRECT("'"&amp;$B42&amp;"'!$L$6:$L$205"),MATCH($AR42,INDIRECT("'"&amp;$B42&amp;"'!$AE$6:$AE$205"),0)))</f>
        <v/>
      </c>
      <c r="H42" s="34">
        <f>IF(OR(AP42="",H$5="-"),"",IFERROR(IF(INDEX(INDIRECT("'"&amp;$B42&amp;"'!$N$6:$N$205"),MATCH($AR42&amp;"|"&amp;H$5,INDIRECT("'"&amp;$B42&amp;"'!$AF$6:$AF$205"),0))="","",INDEX(INDIRECT("'"&amp;$B42&amp;"'!$N$6:$N$205"),MATCH($AR42&amp;"|"&amp;H$5,INDIRECT("'"&amp;$B42&amp;"'!$AF$6:$AF$205"),0))),"-"))</f>
        <v/>
      </c>
      <c r="I42" s="34">
        <f>IF(OR(AP42="",I$5="-"),"",IFERROR(IF(INDEX(INDIRECT("'"&amp;$B42&amp;"'!$N$6:$N$205"),MATCH($AR42&amp;"|"&amp;I$5,INDIRECT("'"&amp;$B42&amp;"'!$AF$6:$AF$205"),0))="","",INDEX(INDIRECT("'"&amp;$B42&amp;"'!$N$6:$N$205"),MATCH($AR42&amp;"|"&amp;I$5,INDIRECT("'"&amp;$B42&amp;"'!$AF$6:$AF$205"),0))),"-"))</f>
        <v/>
      </c>
      <c r="J42" s="34">
        <f>IF(OR(AP42="",J$5="-"),"",IFERROR(IF(INDEX(INDIRECT("'"&amp;$B42&amp;"'!$N$6:$N$205"),MATCH($AR42&amp;"|"&amp;J$5,INDIRECT("'"&amp;$B42&amp;"'!$AF$6:$AF$205"),0))="","",INDEX(INDIRECT("'"&amp;$B42&amp;"'!$N$6:$N$205"),MATCH($AR42&amp;"|"&amp;J$5,INDIRECT("'"&amp;$B42&amp;"'!$AF$6:$AF$205"),0))),"-"))</f>
        <v/>
      </c>
      <c r="K42" s="34">
        <f>IF(OR(AP42="",K$5="-"),"",IFERROR(IF(INDEX(INDIRECT("'"&amp;$B42&amp;"'!$N$6:$N$205"),MATCH($AR42&amp;"|"&amp;K$5,INDIRECT("'"&amp;$B42&amp;"'!$AF$6:$AF$205"),0))="","",INDEX(INDIRECT("'"&amp;$B42&amp;"'!$N$6:$N$205"),MATCH($AR42&amp;"|"&amp;K$5,INDIRECT("'"&amp;$B42&amp;"'!$AF$6:$AF$205"),0))),"-"))</f>
        <v/>
      </c>
      <c r="L42" s="34">
        <f>IF(OR(AP42="",L$5="-"),"",IFERROR(IF(INDEX(INDIRECT("'"&amp;$B42&amp;"'!$N$6:$N$205"),MATCH($AR42&amp;"|"&amp;L$5,INDIRECT("'"&amp;$B42&amp;"'!$AF$6:$AF$205"),0))="","",INDEX(INDIRECT("'"&amp;$B42&amp;"'!$N$6:$N$205"),MATCH($AR42&amp;"|"&amp;L$5,INDIRECT("'"&amp;$B42&amp;"'!$AF$6:$AF$205"),0))),"-"))</f>
        <v/>
      </c>
      <c r="M42" s="34">
        <f>IF(OR(AP42="",M$5="-"),"",IFERROR(IF(INDEX(INDIRECT("'"&amp;$B42&amp;"'!$N$6:$N$205"),MATCH($AR42&amp;"|"&amp;M$5,INDIRECT("'"&amp;$B42&amp;"'!$AF$6:$AF$205"),0))="","",INDEX(INDIRECT("'"&amp;$B42&amp;"'!$N$6:$N$205"),MATCH($AR42&amp;"|"&amp;M$5,INDIRECT("'"&amp;$B42&amp;"'!$AF$6:$AF$205"),0))),"-"))</f>
        <v/>
      </c>
      <c r="N42" s="34">
        <f>IF(OR(AP42="",N$5="-"),"",IFERROR(IF(INDEX(INDIRECT("'"&amp;$B42&amp;"'!$N$6:$N$205"),MATCH($AR42&amp;"|"&amp;N$5,INDIRECT("'"&amp;$B42&amp;"'!$AF$6:$AF$205"),0))="","",INDEX(INDIRECT("'"&amp;$B42&amp;"'!$N$6:$N$205"),MATCH($AR42&amp;"|"&amp;N$5,INDIRECT("'"&amp;$B42&amp;"'!$AF$6:$AF$205"),0))),"-"))</f>
        <v/>
      </c>
      <c r="O42" s="34">
        <f>IF(OR(AP42="",O$5="-"),"",IFERROR(IF(INDEX(INDIRECT("'"&amp;$B42&amp;"'!$N$6:$N$205"),MATCH($AR42&amp;"|"&amp;O$5,INDIRECT("'"&amp;$B42&amp;"'!$AF$6:$AF$205"),0))="","",INDEX(INDIRECT("'"&amp;$B42&amp;"'!$N$6:$N$205"),MATCH($AR42&amp;"|"&amp;O$5,INDIRECT("'"&amp;$B42&amp;"'!$AF$6:$AF$205"),0))),"-"))</f>
        <v/>
      </c>
      <c r="P42" s="37">
        <f>IF(OR(AP42="",P$5="-"),"",IFERROR(IF(INDEX(INDIRECT("'"&amp;$B42&amp;"'!$R$6:$R$205"),MATCH($AR42&amp;"|"&amp;P$5,INDIRECT("'"&amp;$B42&amp;"'!$AF$6:$AF$205"),0))="","",INDEX(INDIRECT("'"&amp;$B42&amp;"'!$R$6:$R$205"),MATCH($AR42&amp;"|"&amp;P$5,INDIRECT("'"&amp;$B42&amp;"'!$AF$6:$AF$205"),0))),"-"))</f>
        <v/>
      </c>
      <c r="Q42" s="37">
        <f>IF(OR(AP42="",Q$5="-"),"",IFERROR(IF(INDEX(INDIRECT("'"&amp;$B42&amp;"'!$R$6:$R$205"),MATCH($AR42&amp;"|"&amp;Q$5,INDIRECT("'"&amp;$B42&amp;"'!$AF$6:$AF$205"),0))="","",INDEX(INDIRECT("'"&amp;$B42&amp;"'!$R$6:$R$205"),MATCH($AR42&amp;"|"&amp;Q$5,INDIRECT("'"&amp;$B42&amp;"'!$AF$6:$AF$205"),0))),"-"))</f>
        <v/>
      </c>
      <c r="R42" s="37">
        <f>IF(OR(AP42="",R$5="-"),"",IFERROR(IF(INDEX(INDIRECT("'"&amp;$B42&amp;"'!$R$6:$R$205"),MATCH($AR42&amp;"|"&amp;R$5,INDIRECT("'"&amp;$B42&amp;"'!$AF$6:$AF$205"),0))="","",INDEX(INDIRECT("'"&amp;$B42&amp;"'!$R$6:$R$205"),MATCH($AR42&amp;"|"&amp;R$5,INDIRECT("'"&amp;$B42&amp;"'!$AF$6:$AF$205"),0))),"-"))</f>
        <v/>
      </c>
      <c r="S42" s="37">
        <f>IF(OR(AP42="",S$5="-"),"",IFERROR(IF(INDEX(INDIRECT("'"&amp;$B42&amp;"'!$R$6:$R$205"),MATCH($AR42&amp;"|"&amp;S$5,INDIRECT("'"&amp;$B42&amp;"'!$AF$6:$AF$205"),0))="","",INDEX(INDIRECT("'"&amp;$B42&amp;"'!$R$6:$R$205"),MATCH($AR42&amp;"|"&amp;S$5,INDIRECT("'"&amp;$B42&amp;"'!$AF$6:$AF$205"),0))),"-"))</f>
        <v/>
      </c>
      <c r="T42" s="37">
        <f>IF(OR(AP42="",T$5="-"),"",IFERROR(IF(INDEX(INDIRECT("'"&amp;$B42&amp;"'!$R$6:$R$205"),MATCH($AR42&amp;"|"&amp;T$5,INDIRECT("'"&amp;$B42&amp;"'!$AF$6:$AF$205"),0))="","",INDEX(INDIRECT("'"&amp;$B42&amp;"'!$R$6:$R$205"),MATCH($AR42&amp;"|"&amp;T$5,INDIRECT("'"&amp;$B42&amp;"'!$AF$6:$AF$205"),0))),"-"))</f>
        <v/>
      </c>
      <c r="U42" s="37">
        <f>IF(OR(AP42="",U$5="-"),"",IFERROR(IF(INDEX(INDIRECT("'"&amp;$B42&amp;"'!$R$6:$R$205"),MATCH($AR42&amp;"|"&amp;U$5,INDIRECT("'"&amp;$B42&amp;"'!$AF$6:$AF$205"),0))="","",INDEX(INDIRECT("'"&amp;$B42&amp;"'!$R$6:$R$205"),MATCH($AR42&amp;"|"&amp;U$5,INDIRECT("'"&amp;$B42&amp;"'!$AF$6:$AF$205"),0))),"-"))</f>
        <v/>
      </c>
      <c r="V42" s="37">
        <f>IF(OR(AP42="",V$5="-"),"",IFERROR(IF(INDEX(INDIRECT("'"&amp;$B42&amp;"'!$R$6:$R$205"),MATCH($AR42&amp;"|"&amp;V$5,INDIRECT("'"&amp;$B42&amp;"'!$AF$6:$AF$205"),0))="","",INDEX(INDIRECT("'"&amp;$B42&amp;"'!$R$6:$R$205"),MATCH($AR42&amp;"|"&amp;V$5,INDIRECT("'"&amp;$B42&amp;"'!$AF$6:$AF$205"),0))),"-"))</f>
        <v/>
      </c>
      <c r="W42" s="37">
        <f>IF(OR(AP42="",W$5="-"),"",IFERROR(IF(INDEX(INDIRECT("'"&amp;$B42&amp;"'!$R$6:$R$205"),MATCH($AR42&amp;"|"&amp;W$5,INDIRECT("'"&amp;$B42&amp;"'!$AF$6:$AF$205"),0))="","",INDEX(INDIRECT("'"&amp;$B42&amp;"'!$R$6:$R$205"),MATCH($AR42&amp;"|"&amp;W$5,INDIRECT("'"&amp;$B42&amp;"'!$AF$6:$AF$205"),0))),"-"))</f>
        <v/>
      </c>
      <c r="X42" s="38">
        <f>IF(OR(AP42="",X$5="-"),"",IFERROR(IF(INDEX(INDIRECT("'"&amp;$B42&amp;"'!$T$6:$T$205"),MATCH($AR42&amp;"|"&amp;X$5,INDIRECT("'"&amp;$B42&amp;"'!$AF$6:$AF$205"),0))="","",INDEX(INDIRECT("'"&amp;$B42&amp;"'!$T$6:$T$205"),MATCH($AR42&amp;"|"&amp;X$5,INDIRECT("'"&amp;$B42&amp;"'!$AF$6:$AF$205"),0))),"-"))</f>
        <v/>
      </c>
      <c r="Y42" s="38">
        <f>IF(OR(AP42="",Y$5="-"),"",IFERROR(IF(INDEX(INDIRECT("'"&amp;$B42&amp;"'!$T$6:$T$205"),MATCH($AR42&amp;"|"&amp;Y$5,INDIRECT("'"&amp;$B42&amp;"'!$AF$6:$AF$205"),0))="","",INDEX(INDIRECT("'"&amp;$B42&amp;"'!$T$6:$T$205"),MATCH($AR42&amp;"|"&amp;Y$5,INDIRECT("'"&amp;$B42&amp;"'!$AF$6:$AF$205"),0))),"-"))</f>
        <v/>
      </c>
      <c r="Z42" s="38">
        <f>IF(OR(AP42="",Z$5="-"),"",IFERROR(IF(INDEX(INDIRECT("'"&amp;$B42&amp;"'!$T$6:$T$205"),MATCH($AR42&amp;"|"&amp;Z$5,INDIRECT("'"&amp;$B42&amp;"'!$AF$6:$AF$205"),0))="","",INDEX(INDIRECT("'"&amp;$B42&amp;"'!$T$6:$T$205"),MATCH($AR42&amp;"|"&amp;Z$5,INDIRECT("'"&amp;$B42&amp;"'!$AF$6:$AF$205"),0))),"-"))</f>
        <v/>
      </c>
      <c r="AA42" s="38">
        <f>IF(OR(AP42="",AA$5="-"),"",IFERROR(IF(INDEX(INDIRECT("'"&amp;$B42&amp;"'!$T$6:$T$205"),MATCH($AR42&amp;"|"&amp;AA$5,INDIRECT("'"&amp;$B42&amp;"'!$AF$6:$AF$205"),0))="","",INDEX(INDIRECT("'"&amp;$B42&amp;"'!$T$6:$T$205"),MATCH($AR42&amp;"|"&amp;AA$5,INDIRECT("'"&amp;$B42&amp;"'!$AF$6:$AF$205"),0))),"-"))</f>
        <v/>
      </c>
      <c r="AB42" s="38">
        <f>IF(OR(AP42="",AB$5="-"),"",IFERROR(IF(INDEX(INDIRECT("'"&amp;$B42&amp;"'!$T$6:$T$205"),MATCH($AR42&amp;"|"&amp;AB$5,INDIRECT("'"&amp;$B42&amp;"'!$AF$6:$AF$205"),0))="","",INDEX(INDIRECT("'"&amp;$B42&amp;"'!$T$6:$T$205"),MATCH($AR42&amp;"|"&amp;AB$5,INDIRECT("'"&amp;$B42&amp;"'!$AF$6:$AF$205"),0))),"-"))</f>
        <v/>
      </c>
      <c r="AC42" s="38">
        <f>IF(OR(AP42="",AC$5="-"),"",IFERROR(IF(INDEX(INDIRECT("'"&amp;$B42&amp;"'!$T$6:$T$205"),MATCH($AR42&amp;"|"&amp;AC$5,INDIRECT("'"&amp;$B42&amp;"'!$AF$6:$AF$205"),0))="","",INDEX(INDIRECT("'"&amp;$B42&amp;"'!$T$6:$T$205"),MATCH($AR42&amp;"|"&amp;AC$5,INDIRECT("'"&amp;$B42&amp;"'!$AF$6:$AF$205"),0))),"-"))</f>
        <v/>
      </c>
      <c r="AD42" s="38">
        <f>IF(OR(AP42="",AD$5="-"),"",IFERROR(IF(INDEX(INDIRECT("'"&amp;$B42&amp;"'!$T$6:$T$205"),MATCH($AR42&amp;"|"&amp;AD$5,INDIRECT("'"&amp;$B42&amp;"'!$AF$6:$AF$205"),0))="","",INDEX(INDIRECT("'"&amp;$B42&amp;"'!$T$6:$T$205"),MATCH($AR42&amp;"|"&amp;AD$5,INDIRECT("'"&amp;$B42&amp;"'!$AF$6:$AF$205"),0))),"-"))</f>
        <v/>
      </c>
      <c r="AE42" s="38">
        <f>IF(OR(AP42="",AE$5="-"),"",IFERROR(IF(INDEX(INDIRECT("'"&amp;$B42&amp;"'!$T$6:$T$205"),MATCH($AR42&amp;"|"&amp;AE$5,INDIRECT("'"&amp;$B42&amp;"'!$AF$6:$AF$205"),0))="","",INDEX(INDIRECT("'"&amp;$B42&amp;"'!$T$6:$T$205"),MATCH($AR42&amp;"|"&amp;AE$5,INDIRECT("'"&amp;$B42&amp;"'!$AF$6:$AF$205"),0))),"-"))</f>
        <v/>
      </c>
      <c r="AF42" s="35">
        <f>IF(AG42="","",INDEX($P$5:$W$5,MATCH(AG42,P42:W42,0)))</f>
        <v/>
      </c>
      <c r="AG42" s="37">
        <f>IF(COUNT(P42:W42)=0,"",MIN(P42:W42))</f>
        <v/>
      </c>
      <c r="AH42" s="39">
        <f>IF(AG42="","",AG42*F42)</f>
        <v/>
      </c>
      <c r="AI42" s="39">
        <f>IF(COUNT(P42:W42)&lt;2,"",(MAX(P42:W42)-MIN(P42:W42))*F42)</f>
        <v/>
      </c>
      <c r="AJ42" s="20" t="n"/>
      <c r="AP42">
        <f>IF(37&gt;MAX($AN$6:$AN$9),"",COUNTIF($AN$6:$AN$9,"&lt;"&amp;37)+1)</f>
        <v/>
      </c>
      <c r="AQ42">
        <f>IF(AP42="","",37-INDEX($AO$6:$AO$9,AP42))</f>
        <v/>
      </c>
      <c r="AR42">
        <f>IF(AP42="","",INDEX(INDIRECT("'"&amp;$B42&amp;"'!$AE$6:$AE$205"),MATCH(AQ42,INDIRECT("'"&amp;$B42&amp;"'!$AI$6:$AI$205"),0)))</f>
        <v/>
      </c>
    </row>
    <row r="43">
      <c r="A43" s="34">
        <f>IF(AP43="","",38)</f>
        <v/>
      </c>
      <c r="B43" s="35">
        <f>IF(AP43="","",INDEX($AL$6:$AL$9,AP43))</f>
        <v/>
      </c>
      <c r="C43" s="34">
        <f>IF(AP43="","",INDEX(INDIRECT("'"&amp;$B43&amp;"'!$B$6:$B$205"),MATCH($AR43,INDIRECT("'"&amp;$B43&amp;"'!$AE$6:$AE$205"),0)))</f>
        <v/>
      </c>
      <c r="D43" s="34">
        <f>IF(AP43="","",INDEX(INDIRECT("'"&amp;$B43&amp;"'!$D$6:$D$205"),MATCH($AR43,INDIRECT("'"&amp;$B43&amp;"'!$AE$6:$AE$205"),0)))</f>
        <v/>
      </c>
      <c r="E43" s="36">
        <f>IF(AP43="","",INDEX(INDIRECT("'"&amp;$B43&amp;"'!$F$6:$F$205"),MATCH($AR43,INDIRECT("'"&amp;$B43&amp;"'!$AE$6:$AE$205"),0)))</f>
        <v/>
      </c>
      <c r="F43" s="34">
        <f>IF(AP43="","",INDEX(INDIRECT("'"&amp;$B43&amp;"'!$K$6:$K$205"),MATCH($AR43,INDIRECT("'"&amp;$B43&amp;"'!$AE$6:$AE$205"),0)))</f>
        <v/>
      </c>
      <c r="G43" s="34">
        <f>IF(AP43="","",INDEX(INDIRECT("'"&amp;$B43&amp;"'!$L$6:$L$205"),MATCH($AR43,INDIRECT("'"&amp;$B43&amp;"'!$AE$6:$AE$205"),0)))</f>
        <v/>
      </c>
      <c r="H43" s="34">
        <f>IF(OR(AP43="",H$5="-"),"",IFERROR(IF(INDEX(INDIRECT("'"&amp;$B43&amp;"'!$N$6:$N$205"),MATCH($AR43&amp;"|"&amp;H$5,INDIRECT("'"&amp;$B43&amp;"'!$AF$6:$AF$205"),0))="","",INDEX(INDIRECT("'"&amp;$B43&amp;"'!$N$6:$N$205"),MATCH($AR43&amp;"|"&amp;H$5,INDIRECT("'"&amp;$B43&amp;"'!$AF$6:$AF$205"),0))),"-"))</f>
        <v/>
      </c>
      <c r="I43" s="34">
        <f>IF(OR(AP43="",I$5="-"),"",IFERROR(IF(INDEX(INDIRECT("'"&amp;$B43&amp;"'!$N$6:$N$205"),MATCH($AR43&amp;"|"&amp;I$5,INDIRECT("'"&amp;$B43&amp;"'!$AF$6:$AF$205"),0))="","",INDEX(INDIRECT("'"&amp;$B43&amp;"'!$N$6:$N$205"),MATCH($AR43&amp;"|"&amp;I$5,INDIRECT("'"&amp;$B43&amp;"'!$AF$6:$AF$205"),0))),"-"))</f>
        <v/>
      </c>
      <c r="J43" s="34">
        <f>IF(OR(AP43="",J$5="-"),"",IFERROR(IF(INDEX(INDIRECT("'"&amp;$B43&amp;"'!$N$6:$N$205"),MATCH($AR43&amp;"|"&amp;J$5,INDIRECT("'"&amp;$B43&amp;"'!$AF$6:$AF$205"),0))="","",INDEX(INDIRECT("'"&amp;$B43&amp;"'!$N$6:$N$205"),MATCH($AR43&amp;"|"&amp;J$5,INDIRECT("'"&amp;$B43&amp;"'!$AF$6:$AF$205"),0))),"-"))</f>
        <v/>
      </c>
      <c r="K43" s="34">
        <f>IF(OR(AP43="",K$5="-"),"",IFERROR(IF(INDEX(INDIRECT("'"&amp;$B43&amp;"'!$N$6:$N$205"),MATCH($AR43&amp;"|"&amp;K$5,INDIRECT("'"&amp;$B43&amp;"'!$AF$6:$AF$205"),0))="","",INDEX(INDIRECT("'"&amp;$B43&amp;"'!$N$6:$N$205"),MATCH($AR43&amp;"|"&amp;K$5,INDIRECT("'"&amp;$B43&amp;"'!$AF$6:$AF$205"),0))),"-"))</f>
        <v/>
      </c>
      <c r="L43" s="34">
        <f>IF(OR(AP43="",L$5="-"),"",IFERROR(IF(INDEX(INDIRECT("'"&amp;$B43&amp;"'!$N$6:$N$205"),MATCH($AR43&amp;"|"&amp;L$5,INDIRECT("'"&amp;$B43&amp;"'!$AF$6:$AF$205"),0))="","",INDEX(INDIRECT("'"&amp;$B43&amp;"'!$N$6:$N$205"),MATCH($AR43&amp;"|"&amp;L$5,INDIRECT("'"&amp;$B43&amp;"'!$AF$6:$AF$205"),0))),"-"))</f>
        <v/>
      </c>
      <c r="M43" s="34">
        <f>IF(OR(AP43="",M$5="-"),"",IFERROR(IF(INDEX(INDIRECT("'"&amp;$B43&amp;"'!$N$6:$N$205"),MATCH($AR43&amp;"|"&amp;M$5,INDIRECT("'"&amp;$B43&amp;"'!$AF$6:$AF$205"),0))="","",INDEX(INDIRECT("'"&amp;$B43&amp;"'!$N$6:$N$205"),MATCH($AR43&amp;"|"&amp;M$5,INDIRECT("'"&amp;$B43&amp;"'!$AF$6:$AF$205"),0))),"-"))</f>
        <v/>
      </c>
      <c r="N43" s="34">
        <f>IF(OR(AP43="",N$5="-"),"",IFERROR(IF(INDEX(INDIRECT("'"&amp;$B43&amp;"'!$N$6:$N$205"),MATCH($AR43&amp;"|"&amp;N$5,INDIRECT("'"&amp;$B43&amp;"'!$AF$6:$AF$205"),0))="","",INDEX(INDIRECT("'"&amp;$B43&amp;"'!$N$6:$N$205"),MATCH($AR43&amp;"|"&amp;N$5,INDIRECT("'"&amp;$B43&amp;"'!$AF$6:$AF$205"),0))),"-"))</f>
        <v/>
      </c>
      <c r="O43" s="34">
        <f>IF(OR(AP43="",O$5="-"),"",IFERROR(IF(INDEX(INDIRECT("'"&amp;$B43&amp;"'!$N$6:$N$205"),MATCH($AR43&amp;"|"&amp;O$5,INDIRECT("'"&amp;$B43&amp;"'!$AF$6:$AF$205"),0))="","",INDEX(INDIRECT("'"&amp;$B43&amp;"'!$N$6:$N$205"),MATCH($AR43&amp;"|"&amp;O$5,INDIRECT("'"&amp;$B43&amp;"'!$AF$6:$AF$205"),0))),"-"))</f>
        <v/>
      </c>
      <c r="P43" s="37">
        <f>IF(OR(AP43="",P$5="-"),"",IFERROR(IF(INDEX(INDIRECT("'"&amp;$B43&amp;"'!$R$6:$R$205"),MATCH($AR43&amp;"|"&amp;P$5,INDIRECT("'"&amp;$B43&amp;"'!$AF$6:$AF$205"),0))="","",INDEX(INDIRECT("'"&amp;$B43&amp;"'!$R$6:$R$205"),MATCH($AR43&amp;"|"&amp;P$5,INDIRECT("'"&amp;$B43&amp;"'!$AF$6:$AF$205"),0))),"-"))</f>
        <v/>
      </c>
      <c r="Q43" s="37">
        <f>IF(OR(AP43="",Q$5="-"),"",IFERROR(IF(INDEX(INDIRECT("'"&amp;$B43&amp;"'!$R$6:$R$205"),MATCH($AR43&amp;"|"&amp;Q$5,INDIRECT("'"&amp;$B43&amp;"'!$AF$6:$AF$205"),0))="","",INDEX(INDIRECT("'"&amp;$B43&amp;"'!$R$6:$R$205"),MATCH($AR43&amp;"|"&amp;Q$5,INDIRECT("'"&amp;$B43&amp;"'!$AF$6:$AF$205"),0))),"-"))</f>
        <v/>
      </c>
      <c r="R43" s="37">
        <f>IF(OR(AP43="",R$5="-"),"",IFERROR(IF(INDEX(INDIRECT("'"&amp;$B43&amp;"'!$R$6:$R$205"),MATCH($AR43&amp;"|"&amp;R$5,INDIRECT("'"&amp;$B43&amp;"'!$AF$6:$AF$205"),0))="","",INDEX(INDIRECT("'"&amp;$B43&amp;"'!$R$6:$R$205"),MATCH($AR43&amp;"|"&amp;R$5,INDIRECT("'"&amp;$B43&amp;"'!$AF$6:$AF$205"),0))),"-"))</f>
        <v/>
      </c>
      <c r="S43" s="37">
        <f>IF(OR(AP43="",S$5="-"),"",IFERROR(IF(INDEX(INDIRECT("'"&amp;$B43&amp;"'!$R$6:$R$205"),MATCH($AR43&amp;"|"&amp;S$5,INDIRECT("'"&amp;$B43&amp;"'!$AF$6:$AF$205"),0))="","",INDEX(INDIRECT("'"&amp;$B43&amp;"'!$R$6:$R$205"),MATCH($AR43&amp;"|"&amp;S$5,INDIRECT("'"&amp;$B43&amp;"'!$AF$6:$AF$205"),0))),"-"))</f>
        <v/>
      </c>
      <c r="T43" s="37">
        <f>IF(OR(AP43="",T$5="-"),"",IFERROR(IF(INDEX(INDIRECT("'"&amp;$B43&amp;"'!$R$6:$R$205"),MATCH($AR43&amp;"|"&amp;T$5,INDIRECT("'"&amp;$B43&amp;"'!$AF$6:$AF$205"),0))="","",INDEX(INDIRECT("'"&amp;$B43&amp;"'!$R$6:$R$205"),MATCH($AR43&amp;"|"&amp;T$5,INDIRECT("'"&amp;$B43&amp;"'!$AF$6:$AF$205"),0))),"-"))</f>
        <v/>
      </c>
      <c r="U43" s="37">
        <f>IF(OR(AP43="",U$5="-"),"",IFERROR(IF(INDEX(INDIRECT("'"&amp;$B43&amp;"'!$R$6:$R$205"),MATCH($AR43&amp;"|"&amp;U$5,INDIRECT("'"&amp;$B43&amp;"'!$AF$6:$AF$205"),0))="","",INDEX(INDIRECT("'"&amp;$B43&amp;"'!$R$6:$R$205"),MATCH($AR43&amp;"|"&amp;U$5,INDIRECT("'"&amp;$B43&amp;"'!$AF$6:$AF$205"),0))),"-"))</f>
        <v/>
      </c>
      <c r="V43" s="37">
        <f>IF(OR(AP43="",V$5="-"),"",IFERROR(IF(INDEX(INDIRECT("'"&amp;$B43&amp;"'!$R$6:$R$205"),MATCH($AR43&amp;"|"&amp;V$5,INDIRECT("'"&amp;$B43&amp;"'!$AF$6:$AF$205"),0))="","",INDEX(INDIRECT("'"&amp;$B43&amp;"'!$R$6:$R$205"),MATCH($AR43&amp;"|"&amp;V$5,INDIRECT("'"&amp;$B43&amp;"'!$AF$6:$AF$205"),0))),"-"))</f>
        <v/>
      </c>
      <c r="W43" s="37">
        <f>IF(OR(AP43="",W$5="-"),"",IFERROR(IF(INDEX(INDIRECT("'"&amp;$B43&amp;"'!$R$6:$R$205"),MATCH($AR43&amp;"|"&amp;W$5,INDIRECT("'"&amp;$B43&amp;"'!$AF$6:$AF$205"),0))="","",INDEX(INDIRECT("'"&amp;$B43&amp;"'!$R$6:$R$205"),MATCH($AR43&amp;"|"&amp;W$5,INDIRECT("'"&amp;$B43&amp;"'!$AF$6:$AF$205"),0))),"-"))</f>
        <v/>
      </c>
      <c r="X43" s="38">
        <f>IF(OR(AP43="",X$5="-"),"",IFERROR(IF(INDEX(INDIRECT("'"&amp;$B43&amp;"'!$T$6:$T$205"),MATCH($AR43&amp;"|"&amp;X$5,INDIRECT("'"&amp;$B43&amp;"'!$AF$6:$AF$205"),0))="","",INDEX(INDIRECT("'"&amp;$B43&amp;"'!$T$6:$T$205"),MATCH($AR43&amp;"|"&amp;X$5,INDIRECT("'"&amp;$B43&amp;"'!$AF$6:$AF$205"),0))),"-"))</f>
        <v/>
      </c>
      <c r="Y43" s="38">
        <f>IF(OR(AP43="",Y$5="-"),"",IFERROR(IF(INDEX(INDIRECT("'"&amp;$B43&amp;"'!$T$6:$T$205"),MATCH($AR43&amp;"|"&amp;Y$5,INDIRECT("'"&amp;$B43&amp;"'!$AF$6:$AF$205"),0))="","",INDEX(INDIRECT("'"&amp;$B43&amp;"'!$T$6:$T$205"),MATCH($AR43&amp;"|"&amp;Y$5,INDIRECT("'"&amp;$B43&amp;"'!$AF$6:$AF$205"),0))),"-"))</f>
        <v/>
      </c>
      <c r="Z43" s="38">
        <f>IF(OR(AP43="",Z$5="-"),"",IFERROR(IF(INDEX(INDIRECT("'"&amp;$B43&amp;"'!$T$6:$T$205"),MATCH($AR43&amp;"|"&amp;Z$5,INDIRECT("'"&amp;$B43&amp;"'!$AF$6:$AF$205"),0))="","",INDEX(INDIRECT("'"&amp;$B43&amp;"'!$T$6:$T$205"),MATCH($AR43&amp;"|"&amp;Z$5,INDIRECT("'"&amp;$B43&amp;"'!$AF$6:$AF$205"),0))),"-"))</f>
        <v/>
      </c>
      <c r="AA43" s="38">
        <f>IF(OR(AP43="",AA$5="-"),"",IFERROR(IF(INDEX(INDIRECT("'"&amp;$B43&amp;"'!$T$6:$T$205"),MATCH($AR43&amp;"|"&amp;AA$5,INDIRECT("'"&amp;$B43&amp;"'!$AF$6:$AF$205"),0))="","",INDEX(INDIRECT("'"&amp;$B43&amp;"'!$T$6:$T$205"),MATCH($AR43&amp;"|"&amp;AA$5,INDIRECT("'"&amp;$B43&amp;"'!$AF$6:$AF$205"),0))),"-"))</f>
        <v/>
      </c>
      <c r="AB43" s="38">
        <f>IF(OR(AP43="",AB$5="-"),"",IFERROR(IF(INDEX(INDIRECT("'"&amp;$B43&amp;"'!$T$6:$T$205"),MATCH($AR43&amp;"|"&amp;AB$5,INDIRECT("'"&amp;$B43&amp;"'!$AF$6:$AF$205"),0))="","",INDEX(INDIRECT("'"&amp;$B43&amp;"'!$T$6:$T$205"),MATCH($AR43&amp;"|"&amp;AB$5,INDIRECT("'"&amp;$B43&amp;"'!$AF$6:$AF$205"),0))),"-"))</f>
        <v/>
      </c>
      <c r="AC43" s="38">
        <f>IF(OR(AP43="",AC$5="-"),"",IFERROR(IF(INDEX(INDIRECT("'"&amp;$B43&amp;"'!$T$6:$T$205"),MATCH($AR43&amp;"|"&amp;AC$5,INDIRECT("'"&amp;$B43&amp;"'!$AF$6:$AF$205"),0))="","",INDEX(INDIRECT("'"&amp;$B43&amp;"'!$T$6:$T$205"),MATCH($AR43&amp;"|"&amp;AC$5,INDIRECT("'"&amp;$B43&amp;"'!$AF$6:$AF$205"),0))),"-"))</f>
        <v/>
      </c>
      <c r="AD43" s="38">
        <f>IF(OR(AP43="",AD$5="-"),"",IFERROR(IF(INDEX(INDIRECT("'"&amp;$B43&amp;"'!$T$6:$T$205"),MATCH($AR43&amp;"|"&amp;AD$5,INDIRECT("'"&amp;$B43&amp;"'!$AF$6:$AF$205"),0))="","",INDEX(INDIRECT("'"&amp;$B43&amp;"'!$T$6:$T$205"),MATCH($AR43&amp;"|"&amp;AD$5,INDIRECT("'"&amp;$B43&amp;"'!$AF$6:$AF$205"),0))),"-"))</f>
        <v/>
      </c>
      <c r="AE43" s="38">
        <f>IF(OR(AP43="",AE$5="-"),"",IFERROR(IF(INDEX(INDIRECT("'"&amp;$B43&amp;"'!$T$6:$T$205"),MATCH($AR43&amp;"|"&amp;AE$5,INDIRECT("'"&amp;$B43&amp;"'!$AF$6:$AF$205"),0))="","",INDEX(INDIRECT("'"&amp;$B43&amp;"'!$T$6:$T$205"),MATCH($AR43&amp;"|"&amp;AE$5,INDIRECT("'"&amp;$B43&amp;"'!$AF$6:$AF$205"),0))),"-"))</f>
        <v/>
      </c>
      <c r="AF43" s="35">
        <f>IF(AG43="","",INDEX($P$5:$W$5,MATCH(AG43,P43:W43,0)))</f>
        <v/>
      </c>
      <c r="AG43" s="37">
        <f>IF(COUNT(P43:W43)=0,"",MIN(P43:W43))</f>
        <v/>
      </c>
      <c r="AH43" s="39">
        <f>IF(AG43="","",AG43*F43)</f>
        <v/>
      </c>
      <c r="AI43" s="39">
        <f>IF(COUNT(P43:W43)&lt;2,"",(MAX(P43:W43)-MIN(P43:W43))*F43)</f>
        <v/>
      </c>
      <c r="AJ43" s="20" t="n"/>
      <c r="AP43">
        <f>IF(38&gt;MAX($AN$6:$AN$9),"",COUNTIF($AN$6:$AN$9,"&lt;"&amp;38)+1)</f>
        <v/>
      </c>
      <c r="AQ43">
        <f>IF(AP43="","",38-INDEX($AO$6:$AO$9,AP43))</f>
        <v/>
      </c>
      <c r="AR43">
        <f>IF(AP43="","",INDEX(INDIRECT("'"&amp;$B43&amp;"'!$AE$6:$AE$205"),MATCH(AQ43,INDIRECT("'"&amp;$B43&amp;"'!$AI$6:$AI$205"),0)))</f>
        <v/>
      </c>
    </row>
    <row r="44">
      <c r="A44" s="34">
        <f>IF(AP44="","",39)</f>
        <v/>
      </c>
      <c r="B44" s="35">
        <f>IF(AP44="","",INDEX($AL$6:$AL$9,AP44))</f>
        <v/>
      </c>
      <c r="C44" s="34">
        <f>IF(AP44="","",INDEX(INDIRECT("'"&amp;$B44&amp;"'!$B$6:$B$205"),MATCH($AR44,INDIRECT("'"&amp;$B44&amp;"'!$AE$6:$AE$205"),0)))</f>
        <v/>
      </c>
      <c r="D44" s="34">
        <f>IF(AP44="","",INDEX(INDIRECT("'"&amp;$B44&amp;"'!$D$6:$D$205"),MATCH($AR44,INDIRECT("'"&amp;$B44&amp;"'!$AE$6:$AE$205"),0)))</f>
        <v/>
      </c>
      <c r="E44" s="36">
        <f>IF(AP44="","",INDEX(INDIRECT("'"&amp;$B44&amp;"'!$F$6:$F$205"),MATCH($AR44,INDIRECT("'"&amp;$B44&amp;"'!$AE$6:$AE$205"),0)))</f>
        <v/>
      </c>
      <c r="F44" s="34">
        <f>IF(AP44="","",INDEX(INDIRECT("'"&amp;$B44&amp;"'!$K$6:$K$205"),MATCH($AR44,INDIRECT("'"&amp;$B44&amp;"'!$AE$6:$AE$205"),0)))</f>
        <v/>
      </c>
      <c r="G44" s="34">
        <f>IF(AP44="","",INDEX(INDIRECT("'"&amp;$B44&amp;"'!$L$6:$L$205"),MATCH($AR44,INDIRECT("'"&amp;$B44&amp;"'!$AE$6:$AE$205"),0)))</f>
        <v/>
      </c>
      <c r="H44" s="34">
        <f>IF(OR(AP44="",H$5="-"),"",IFERROR(IF(INDEX(INDIRECT("'"&amp;$B44&amp;"'!$N$6:$N$205"),MATCH($AR44&amp;"|"&amp;H$5,INDIRECT("'"&amp;$B44&amp;"'!$AF$6:$AF$205"),0))="","",INDEX(INDIRECT("'"&amp;$B44&amp;"'!$N$6:$N$205"),MATCH($AR44&amp;"|"&amp;H$5,INDIRECT("'"&amp;$B44&amp;"'!$AF$6:$AF$205"),0))),"-"))</f>
        <v/>
      </c>
      <c r="I44" s="34">
        <f>IF(OR(AP44="",I$5="-"),"",IFERROR(IF(INDEX(INDIRECT("'"&amp;$B44&amp;"'!$N$6:$N$205"),MATCH($AR44&amp;"|"&amp;I$5,INDIRECT("'"&amp;$B44&amp;"'!$AF$6:$AF$205"),0))="","",INDEX(INDIRECT("'"&amp;$B44&amp;"'!$N$6:$N$205"),MATCH($AR44&amp;"|"&amp;I$5,INDIRECT("'"&amp;$B44&amp;"'!$AF$6:$AF$205"),0))),"-"))</f>
        <v/>
      </c>
      <c r="J44" s="34">
        <f>IF(OR(AP44="",J$5="-"),"",IFERROR(IF(INDEX(INDIRECT("'"&amp;$B44&amp;"'!$N$6:$N$205"),MATCH($AR44&amp;"|"&amp;J$5,INDIRECT("'"&amp;$B44&amp;"'!$AF$6:$AF$205"),0))="","",INDEX(INDIRECT("'"&amp;$B44&amp;"'!$N$6:$N$205"),MATCH($AR44&amp;"|"&amp;J$5,INDIRECT("'"&amp;$B44&amp;"'!$AF$6:$AF$205"),0))),"-"))</f>
        <v/>
      </c>
      <c r="K44" s="34">
        <f>IF(OR(AP44="",K$5="-"),"",IFERROR(IF(INDEX(INDIRECT("'"&amp;$B44&amp;"'!$N$6:$N$205"),MATCH($AR44&amp;"|"&amp;K$5,INDIRECT("'"&amp;$B44&amp;"'!$AF$6:$AF$205"),0))="","",INDEX(INDIRECT("'"&amp;$B44&amp;"'!$N$6:$N$205"),MATCH($AR44&amp;"|"&amp;K$5,INDIRECT("'"&amp;$B44&amp;"'!$AF$6:$AF$205"),0))),"-"))</f>
        <v/>
      </c>
      <c r="L44" s="34">
        <f>IF(OR(AP44="",L$5="-"),"",IFERROR(IF(INDEX(INDIRECT("'"&amp;$B44&amp;"'!$N$6:$N$205"),MATCH($AR44&amp;"|"&amp;L$5,INDIRECT("'"&amp;$B44&amp;"'!$AF$6:$AF$205"),0))="","",INDEX(INDIRECT("'"&amp;$B44&amp;"'!$N$6:$N$205"),MATCH($AR44&amp;"|"&amp;L$5,INDIRECT("'"&amp;$B44&amp;"'!$AF$6:$AF$205"),0))),"-"))</f>
        <v/>
      </c>
      <c r="M44" s="34">
        <f>IF(OR(AP44="",M$5="-"),"",IFERROR(IF(INDEX(INDIRECT("'"&amp;$B44&amp;"'!$N$6:$N$205"),MATCH($AR44&amp;"|"&amp;M$5,INDIRECT("'"&amp;$B44&amp;"'!$AF$6:$AF$205"),0))="","",INDEX(INDIRECT("'"&amp;$B44&amp;"'!$N$6:$N$205"),MATCH($AR44&amp;"|"&amp;M$5,INDIRECT("'"&amp;$B44&amp;"'!$AF$6:$AF$205"),0))),"-"))</f>
        <v/>
      </c>
      <c r="N44" s="34">
        <f>IF(OR(AP44="",N$5="-"),"",IFERROR(IF(INDEX(INDIRECT("'"&amp;$B44&amp;"'!$N$6:$N$205"),MATCH($AR44&amp;"|"&amp;N$5,INDIRECT("'"&amp;$B44&amp;"'!$AF$6:$AF$205"),0))="","",INDEX(INDIRECT("'"&amp;$B44&amp;"'!$N$6:$N$205"),MATCH($AR44&amp;"|"&amp;N$5,INDIRECT("'"&amp;$B44&amp;"'!$AF$6:$AF$205"),0))),"-"))</f>
        <v/>
      </c>
      <c r="O44" s="34">
        <f>IF(OR(AP44="",O$5="-"),"",IFERROR(IF(INDEX(INDIRECT("'"&amp;$B44&amp;"'!$N$6:$N$205"),MATCH($AR44&amp;"|"&amp;O$5,INDIRECT("'"&amp;$B44&amp;"'!$AF$6:$AF$205"),0))="","",INDEX(INDIRECT("'"&amp;$B44&amp;"'!$N$6:$N$205"),MATCH($AR44&amp;"|"&amp;O$5,INDIRECT("'"&amp;$B44&amp;"'!$AF$6:$AF$205"),0))),"-"))</f>
        <v/>
      </c>
      <c r="P44" s="37">
        <f>IF(OR(AP44="",P$5="-"),"",IFERROR(IF(INDEX(INDIRECT("'"&amp;$B44&amp;"'!$R$6:$R$205"),MATCH($AR44&amp;"|"&amp;P$5,INDIRECT("'"&amp;$B44&amp;"'!$AF$6:$AF$205"),0))="","",INDEX(INDIRECT("'"&amp;$B44&amp;"'!$R$6:$R$205"),MATCH($AR44&amp;"|"&amp;P$5,INDIRECT("'"&amp;$B44&amp;"'!$AF$6:$AF$205"),0))),"-"))</f>
        <v/>
      </c>
      <c r="Q44" s="37">
        <f>IF(OR(AP44="",Q$5="-"),"",IFERROR(IF(INDEX(INDIRECT("'"&amp;$B44&amp;"'!$R$6:$R$205"),MATCH($AR44&amp;"|"&amp;Q$5,INDIRECT("'"&amp;$B44&amp;"'!$AF$6:$AF$205"),0))="","",INDEX(INDIRECT("'"&amp;$B44&amp;"'!$R$6:$R$205"),MATCH($AR44&amp;"|"&amp;Q$5,INDIRECT("'"&amp;$B44&amp;"'!$AF$6:$AF$205"),0))),"-"))</f>
        <v/>
      </c>
      <c r="R44" s="37">
        <f>IF(OR(AP44="",R$5="-"),"",IFERROR(IF(INDEX(INDIRECT("'"&amp;$B44&amp;"'!$R$6:$R$205"),MATCH($AR44&amp;"|"&amp;R$5,INDIRECT("'"&amp;$B44&amp;"'!$AF$6:$AF$205"),0))="","",INDEX(INDIRECT("'"&amp;$B44&amp;"'!$R$6:$R$205"),MATCH($AR44&amp;"|"&amp;R$5,INDIRECT("'"&amp;$B44&amp;"'!$AF$6:$AF$205"),0))),"-"))</f>
        <v/>
      </c>
      <c r="S44" s="37">
        <f>IF(OR(AP44="",S$5="-"),"",IFERROR(IF(INDEX(INDIRECT("'"&amp;$B44&amp;"'!$R$6:$R$205"),MATCH($AR44&amp;"|"&amp;S$5,INDIRECT("'"&amp;$B44&amp;"'!$AF$6:$AF$205"),0))="","",INDEX(INDIRECT("'"&amp;$B44&amp;"'!$R$6:$R$205"),MATCH($AR44&amp;"|"&amp;S$5,INDIRECT("'"&amp;$B44&amp;"'!$AF$6:$AF$205"),0))),"-"))</f>
        <v/>
      </c>
      <c r="T44" s="37">
        <f>IF(OR(AP44="",T$5="-"),"",IFERROR(IF(INDEX(INDIRECT("'"&amp;$B44&amp;"'!$R$6:$R$205"),MATCH($AR44&amp;"|"&amp;T$5,INDIRECT("'"&amp;$B44&amp;"'!$AF$6:$AF$205"),0))="","",INDEX(INDIRECT("'"&amp;$B44&amp;"'!$R$6:$R$205"),MATCH($AR44&amp;"|"&amp;T$5,INDIRECT("'"&amp;$B44&amp;"'!$AF$6:$AF$205"),0))),"-"))</f>
        <v/>
      </c>
      <c r="U44" s="37">
        <f>IF(OR(AP44="",U$5="-"),"",IFERROR(IF(INDEX(INDIRECT("'"&amp;$B44&amp;"'!$R$6:$R$205"),MATCH($AR44&amp;"|"&amp;U$5,INDIRECT("'"&amp;$B44&amp;"'!$AF$6:$AF$205"),0))="","",INDEX(INDIRECT("'"&amp;$B44&amp;"'!$R$6:$R$205"),MATCH($AR44&amp;"|"&amp;U$5,INDIRECT("'"&amp;$B44&amp;"'!$AF$6:$AF$205"),0))),"-"))</f>
        <v/>
      </c>
      <c r="V44" s="37">
        <f>IF(OR(AP44="",V$5="-"),"",IFERROR(IF(INDEX(INDIRECT("'"&amp;$B44&amp;"'!$R$6:$R$205"),MATCH($AR44&amp;"|"&amp;V$5,INDIRECT("'"&amp;$B44&amp;"'!$AF$6:$AF$205"),0))="","",INDEX(INDIRECT("'"&amp;$B44&amp;"'!$R$6:$R$205"),MATCH($AR44&amp;"|"&amp;V$5,INDIRECT("'"&amp;$B44&amp;"'!$AF$6:$AF$205"),0))),"-"))</f>
        <v/>
      </c>
      <c r="W44" s="37">
        <f>IF(OR(AP44="",W$5="-"),"",IFERROR(IF(INDEX(INDIRECT("'"&amp;$B44&amp;"'!$R$6:$R$205"),MATCH($AR44&amp;"|"&amp;W$5,INDIRECT("'"&amp;$B44&amp;"'!$AF$6:$AF$205"),0))="","",INDEX(INDIRECT("'"&amp;$B44&amp;"'!$R$6:$R$205"),MATCH($AR44&amp;"|"&amp;W$5,INDIRECT("'"&amp;$B44&amp;"'!$AF$6:$AF$205"),0))),"-"))</f>
        <v/>
      </c>
      <c r="X44" s="38">
        <f>IF(OR(AP44="",X$5="-"),"",IFERROR(IF(INDEX(INDIRECT("'"&amp;$B44&amp;"'!$T$6:$T$205"),MATCH($AR44&amp;"|"&amp;X$5,INDIRECT("'"&amp;$B44&amp;"'!$AF$6:$AF$205"),0))="","",INDEX(INDIRECT("'"&amp;$B44&amp;"'!$T$6:$T$205"),MATCH($AR44&amp;"|"&amp;X$5,INDIRECT("'"&amp;$B44&amp;"'!$AF$6:$AF$205"),0))),"-"))</f>
        <v/>
      </c>
      <c r="Y44" s="38">
        <f>IF(OR(AP44="",Y$5="-"),"",IFERROR(IF(INDEX(INDIRECT("'"&amp;$B44&amp;"'!$T$6:$T$205"),MATCH($AR44&amp;"|"&amp;Y$5,INDIRECT("'"&amp;$B44&amp;"'!$AF$6:$AF$205"),0))="","",INDEX(INDIRECT("'"&amp;$B44&amp;"'!$T$6:$T$205"),MATCH($AR44&amp;"|"&amp;Y$5,INDIRECT("'"&amp;$B44&amp;"'!$AF$6:$AF$205"),0))),"-"))</f>
        <v/>
      </c>
      <c r="Z44" s="38">
        <f>IF(OR(AP44="",Z$5="-"),"",IFERROR(IF(INDEX(INDIRECT("'"&amp;$B44&amp;"'!$T$6:$T$205"),MATCH($AR44&amp;"|"&amp;Z$5,INDIRECT("'"&amp;$B44&amp;"'!$AF$6:$AF$205"),0))="","",INDEX(INDIRECT("'"&amp;$B44&amp;"'!$T$6:$T$205"),MATCH($AR44&amp;"|"&amp;Z$5,INDIRECT("'"&amp;$B44&amp;"'!$AF$6:$AF$205"),0))),"-"))</f>
        <v/>
      </c>
      <c r="AA44" s="38">
        <f>IF(OR(AP44="",AA$5="-"),"",IFERROR(IF(INDEX(INDIRECT("'"&amp;$B44&amp;"'!$T$6:$T$205"),MATCH($AR44&amp;"|"&amp;AA$5,INDIRECT("'"&amp;$B44&amp;"'!$AF$6:$AF$205"),0))="","",INDEX(INDIRECT("'"&amp;$B44&amp;"'!$T$6:$T$205"),MATCH($AR44&amp;"|"&amp;AA$5,INDIRECT("'"&amp;$B44&amp;"'!$AF$6:$AF$205"),0))),"-"))</f>
        <v/>
      </c>
      <c r="AB44" s="38">
        <f>IF(OR(AP44="",AB$5="-"),"",IFERROR(IF(INDEX(INDIRECT("'"&amp;$B44&amp;"'!$T$6:$T$205"),MATCH($AR44&amp;"|"&amp;AB$5,INDIRECT("'"&amp;$B44&amp;"'!$AF$6:$AF$205"),0))="","",INDEX(INDIRECT("'"&amp;$B44&amp;"'!$T$6:$T$205"),MATCH($AR44&amp;"|"&amp;AB$5,INDIRECT("'"&amp;$B44&amp;"'!$AF$6:$AF$205"),0))),"-"))</f>
        <v/>
      </c>
      <c r="AC44" s="38">
        <f>IF(OR(AP44="",AC$5="-"),"",IFERROR(IF(INDEX(INDIRECT("'"&amp;$B44&amp;"'!$T$6:$T$205"),MATCH($AR44&amp;"|"&amp;AC$5,INDIRECT("'"&amp;$B44&amp;"'!$AF$6:$AF$205"),0))="","",INDEX(INDIRECT("'"&amp;$B44&amp;"'!$T$6:$T$205"),MATCH($AR44&amp;"|"&amp;AC$5,INDIRECT("'"&amp;$B44&amp;"'!$AF$6:$AF$205"),0))),"-"))</f>
        <v/>
      </c>
      <c r="AD44" s="38">
        <f>IF(OR(AP44="",AD$5="-"),"",IFERROR(IF(INDEX(INDIRECT("'"&amp;$B44&amp;"'!$T$6:$T$205"),MATCH($AR44&amp;"|"&amp;AD$5,INDIRECT("'"&amp;$B44&amp;"'!$AF$6:$AF$205"),0))="","",INDEX(INDIRECT("'"&amp;$B44&amp;"'!$T$6:$T$205"),MATCH($AR44&amp;"|"&amp;AD$5,INDIRECT("'"&amp;$B44&amp;"'!$AF$6:$AF$205"),0))),"-"))</f>
        <v/>
      </c>
      <c r="AE44" s="38">
        <f>IF(OR(AP44="",AE$5="-"),"",IFERROR(IF(INDEX(INDIRECT("'"&amp;$B44&amp;"'!$T$6:$T$205"),MATCH($AR44&amp;"|"&amp;AE$5,INDIRECT("'"&amp;$B44&amp;"'!$AF$6:$AF$205"),0))="","",INDEX(INDIRECT("'"&amp;$B44&amp;"'!$T$6:$T$205"),MATCH($AR44&amp;"|"&amp;AE$5,INDIRECT("'"&amp;$B44&amp;"'!$AF$6:$AF$205"),0))),"-"))</f>
        <v/>
      </c>
      <c r="AF44" s="35">
        <f>IF(AG44="","",INDEX($P$5:$W$5,MATCH(AG44,P44:W44,0)))</f>
        <v/>
      </c>
      <c r="AG44" s="37">
        <f>IF(COUNT(P44:W44)=0,"",MIN(P44:W44))</f>
        <v/>
      </c>
      <c r="AH44" s="39">
        <f>IF(AG44="","",AG44*F44)</f>
        <v/>
      </c>
      <c r="AI44" s="39">
        <f>IF(COUNT(P44:W44)&lt;2,"",(MAX(P44:W44)-MIN(P44:W44))*F44)</f>
        <v/>
      </c>
      <c r="AJ44" s="20" t="n"/>
      <c r="AP44">
        <f>IF(39&gt;MAX($AN$6:$AN$9),"",COUNTIF($AN$6:$AN$9,"&lt;"&amp;39)+1)</f>
        <v/>
      </c>
      <c r="AQ44">
        <f>IF(AP44="","",39-INDEX($AO$6:$AO$9,AP44))</f>
        <v/>
      </c>
      <c r="AR44">
        <f>IF(AP44="","",INDEX(INDIRECT("'"&amp;$B44&amp;"'!$AE$6:$AE$205"),MATCH(AQ44,INDIRECT("'"&amp;$B44&amp;"'!$AI$6:$AI$205"),0)))</f>
        <v/>
      </c>
    </row>
    <row r="45">
      <c r="A45" s="34">
        <f>IF(AP45="","",40)</f>
        <v/>
      </c>
      <c r="B45" s="35">
        <f>IF(AP45="","",INDEX($AL$6:$AL$9,AP45))</f>
        <v/>
      </c>
      <c r="C45" s="34">
        <f>IF(AP45="","",INDEX(INDIRECT("'"&amp;$B45&amp;"'!$B$6:$B$205"),MATCH($AR45,INDIRECT("'"&amp;$B45&amp;"'!$AE$6:$AE$205"),0)))</f>
        <v/>
      </c>
      <c r="D45" s="34">
        <f>IF(AP45="","",INDEX(INDIRECT("'"&amp;$B45&amp;"'!$D$6:$D$205"),MATCH($AR45,INDIRECT("'"&amp;$B45&amp;"'!$AE$6:$AE$205"),0)))</f>
        <v/>
      </c>
      <c r="E45" s="36">
        <f>IF(AP45="","",INDEX(INDIRECT("'"&amp;$B45&amp;"'!$F$6:$F$205"),MATCH($AR45,INDIRECT("'"&amp;$B45&amp;"'!$AE$6:$AE$205"),0)))</f>
        <v/>
      </c>
      <c r="F45" s="34">
        <f>IF(AP45="","",INDEX(INDIRECT("'"&amp;$B45&amp;"'!$K$6:$K$205"),MATCH($AR45,INDIRECT("'"&amp;$B45&amp;"'!$AE$6:$AE$205"),0)))</f>
        <v/>
      </c>
      <c r="G45" s="34">
        <f>IF(AP45="","",INDEX(INDIRECT("'"&amp;$B45&amp;"'!$L$6:$L$205"),MATCH($AR45,INDIRECT("'"&amp;$B45&amp;"'!$AE$6:$AE$205"),0)))</f>
        <v/>
      </c>
      <c r="H45" s="34">
        <f>IF(OR(AP45="",H$5="-"),"",IFERROR(IF(INDEX(INDIRECT("'"&amp;$B45&amp;"'!$N$6:$N$205"),MATCH($AR45&amp;"|"&amp;H$5,INDIRECT("'"&amp;$B45&amp;"'!$AF$6:$AF$205"),0))="","",INDEX(INDIRECT("'"&amp;$B45&amp;"'!$N$6:$N$205"),MATCH($AR45&amp;"|"&amp;H$5,INDIRECT("'"&amp;$B45&amp;"'!$AF$6:$AF$205"),0))),"-"))</f>
        <v/>
      </c>
      <c r="I45" s="34">
        <f>IF(OR(AP45="",I$5="-"),"",IFERROR(IF(INDEX(INDIRECT("'"&amp;$B45&amp;"'!$N$6:$N$205"),MATCH($AR45&amp;"|"&amp;I$5,INDIRECT("'"&amp;$B45&amp;"'!$AF$6:$AF$205"),0))="","",INDEX(INDIRECT("'"&amp;$B45&amp;"'!$N$6:$N$205"),MATCH($AR45&amp;"|"&amp;I$5,INDIRECT("'"&amp;$B45&amp;"'!$AF$6:$AF$205"),0))),"-"))</f>
        <v/>
      </c>
      <c r="J45" s="34">
        <f>IF(OR(AP45="",J$5="-"),"",IFERROR(IF(INDEX(INDIRECT("'"&amp;$B45&amp;"'!$N$6:$N$205"),MATCH($AR45&amp;"|"&amp;J$5,INDIRECT("'"&amp;$B45&amp;"'!$AF$6:$AF$205"),0))="","",INDEX(INDIRECT("'"&amp;$B45&amp;"'!$N$6:$N$205"),MATCH($AR45&amp;"|"&amp;J$5,INDIRECT("'"&amp;$B45&amp;"'!$AF$6:$AF$205"),0))),"-"))</f>
        <v/>
      </c>
      <c r="K45" s="34">
        <f>IF(OR(AP45="",K$5="-"),"",IFERROR(IF(INDEX(INDIRECT("'"&amp;$B45&amp;"'!$N$6:$N$205"),MATCH($AR45&amp;"|"&amp;K$5,INDIRECT("'"&amp;$B45&amp;"'!$AF$6:$AF$205"),0))="","",INDEX(INDIRECT("'"&amp;$B45&amp;"'!$N$6:$N$205"),MATCH($AR45&amp;"|"&amp;K$5,INDIRECT("'"&amp;$B45&amp;"'!$AF$6:$AF$205"),0))),"-"))</f>
        <v/>
      </c>
      <c r="L45" s="34">
        <f>IF(OR(AP45="",L$5="-"),"",IFERROR(IF(INDEX(INDIRECT("'"&amp;$B45&amp;"'!$N$6:$N$205"),MATCH($AR45&amp;"|"&amp;L$5,INDIRECT("'"&amp;$B45&amp;"'!$AF$6:$AF$205"),0))="","",INDEX(INDIRECT("'"&amp;$B45&amp;"'!$N$6:$N$205"),MATCH($AR45&amp;"|"&amp;L$5,INDIRECT("'"&amp;$B45&amp;"'!$AF$6:$AF$205"),0))),"-"))</f>
        <v/>
      </c>
      <c r="M45" s="34">
        <f>IF(OR(AP45="",M$5="-"),"",IFERROR(IF(INDEX(INDIRECT("'"&amp;$B45&amp;"'!$N$6:$N$205"),MATCH($AR45&amp;"|"&amp;M$5,INDIRECT("'"&amp;$B45&amp;"'!$AF$6:$AF$205"),0))="","",INDEX(INDIRECT("'"&amp;$B45&amp;"'!$N$6:$N$205"),MATCH($AR45&amp;"|"&amp;M$5,INDIRECT("'"&amp;$B45&amp;"'!$AF$6:$AF$205"),0))),"-"))</f>
        <v/>
      </c>
      <c r="N45" s="34">
        <f>IF(OR(AP45="",N$5="-"),"",IFERROR(IF(INDEX(INDIRECT("'"&amp;$B45&amp;"'!$N$6:$N$205"),MATCH($AR45&amp;"|"&amp;N$5,INDIRECT("'"&amp;$B45&amp;"'!$AF$6:$AF$205"),0))="","",INDEX(INDIRECT("'"&amp;$B45&amp;"'!$N$6:$N$205"),MATCH($AR45&amp;"|"&amp;N$5,INDIRECT("'"&amp;$B45&amp;"'!$AF$6:$AF$205"),0))),"-"))</f>
        <v/>
      </c>
      <c r="O45" s="34">
        <f>IF(OR(AP45="",O$5="-"),"",IFERROR(IF(INDEX(INDIRECT("'"&amp;$B45&amp;"'!$N$6:$N$205"),MATCH($AR45&amp;"|"&amp;O$5,INDIRECT("'"&amp;$B45&amp;"'!$AF$6:$AF$205"),0))="","",INDEX(INDIRECT("'"&amp;$B45&amp;"'!$N$6:$N$205"),MATCH($AR45&amp;"|"&amp;O$5,INDIRECT("'"&amp;$B45&amp;"'!$AF$6:$AF$205"),0))),"-"))</f>
        <v/>
      </c>
      <c r="P45" s="37">
        <f>IF(OR(AP45="",P$5="-"),"",IFERROR(IF(INDEX(INDIRECT("'"&amp;$B45&amp;"'!$R$6:$R$205"),MATCH($AR45&amp;"|"&amp;P$5,INDIRECT("'"&amp;$B45&amp;"'!$AF$6:$AF$205"),0))="","",INDEX(INDIRECT("'"&amp;$B45&amp;"'!$R$6:$R$205"),MATCH($AR45&amp;"|"&amp;P$5,INDIRECT("'"&amp;$B45&amp;"'!$AF$6:$AF$205"),0))),"-"))</f>
        <v/>
      </c>
      <c r="Q45" s="37">
        <f>IF(OR(AP45="",Q$5="-"),"",IFERROR(IF(INDEX(INDIRECT("'"&amp;$B45&amp;"'!$R$6:$R$205"),MATCH($AR45&amp;"|"&amp;Q$5,INDIRECT("'"&amp;$B45&amp;"'!$AF$6:$AF$205"),0))="","",INDEX(INDIRECT("'"&amp;$B45&amp;"'!$R$6:$R$205"),MATCH($AR45&amp;"|"&amp;Q$5,INDIRECT("'"&amp;$B45&amp;"'!$AF$6:$AF$205"),0))),"-"))</f>
        <v/>
      </c>
      <c r="R45" s="37">
        <f>IF(OR(AP45="",R$5="-"),"",IFERROR(IF(INDEX(INDIRECT("'"&amp;$B45&amp;"'!$R$6:$R$205"),MATCH($AR45&amp;"|"&amp;R$5,INDIRECT("'"&amp;$B45&amp;"'!$AF$6:$AF$205"),0))="","",INDEX(INDIRECT("'"&amp;$B45&amp;"'!$R$6:$R$205"),MATCH($AR45&amp;"|"&amp;R$5,INDIRECT("'"&amp;$B45&amp;"'!$AF$6:$AF$205"),0))),"-"))</f>
        <v/>
      </c>
      <c r="S45" s="37">
        <f>IF(OR(AP45="",S$5="-"),"",IFERROR(IF(INDEX(INDIRECT("'"&amp;$B45&amp;"'!$R$6:$R$205"),MATCH($AR45&amp;"|"&amp;S$5,INDIRECT("'"&amp;$B45&amp;"'!$AF$6:$AF$205"),0))="","",INDEX(INDIRECT("'"&amp;$B45&amp;"'!$R$6:$R$205"),MATCH($AR45&amp;"|"&amp;S$5,INDIRECT("'"&amp;$B45&amp;"'!$AF$6:$AF$205"),0))),"-"))</f>
        <v/>
      </c>
      <c r="T45" s="37">
        <f>IF(OR(AP45="",T$5="-"),"",IFERROR(IF(INDEX(INDIRECT("'"&amp;$B45&amp;"'!$R$6:$R$205"),MATCH($AR45&amp;"|"&amp;T$5,INDIRECT("'"&amp;$B45&amp;"'!$AF$6:$AF$205"),0))="","",INDEX(INDIRECT("'"&amp;$B45&amp;"'!$R$6:$R$205"),MATCH($AR45&amp;"|"&amp;T$5,INDIRECT("'"&amp;$B45&amp;"'!$AF$6:$AF$205"),0))),"-"))</f>
        <v/>
      </c>
      <c r="U45" s="37">
        <f>IF(OR(AP45="",U$5="-"),"",IFERROR(IF(INDEX(INDIRECT("'"&amp;$B45&amp;"'!$R$6:$R$205"),MATCH($AR45&amp;"|"&amp;U$5,INDIRECT("'"&amp;$B45&amp;"'!$AF$6:$AF$205"),0))="","",INDEX(INDIRECT("'"&amp;$B45&amp;"'!$R$6:$R$205"),MATCH($AR45&amp;"|"&amp;U$5,INDIRECT("'"&amp;$B45&amp;"'!$AF$6:$AF$205"),0))),"-"))</f>
        <v/>
      </c>
      <c r="V45" s="37">
        <f>IF(OR(AP45="",V$5="-"),"",IFERROR(IF(INDEX(INDIRECT("'"&amp;$B45&amp;"'!$R$6:$R$205"),MATCH($AR45&amp;"|"&amp;V$5,INDIRECT("'"&amp;$B45&amp;"'!$AF$6:$AF$205"),0))="","",INDEX(INDIRECT("'"&amp;$B45&amp;"'!$R$6:$R$205"),MATCH($AR45&amp;"|"&amp;V$5,INDIRECT("'"&amp;$B45&amp;"'!$AF$6:$AF$205"),0))),"-"))</f>
        <v/>
      </c>
      <c r="W45" s="37">
        <f>IF(OR(AP45="",W$5="-"),"",IFERROR(IF(INDEX(INDIRECT("'"&amp;$B45&amp;"'!$R$6:$R$205"),MATCH($AR45&amp;"|"&amp;W$5,INDIRECT("'"&amp;$B45&amp;"'!$AF$6:$AF$205"),0))="","",INDEX(INDIRECT("'"&amp;$B45&amp;"'!$R$6:$R$205"),MATCH($AR45&amp;"|"&amp;W$5,INDIRECT("'"&amp;$B45&amp;"'!$AF$6:$AF$205"),0))),"-"))</f>
        <v/>
      </c>
      <c r="X45" s="38">
        <f>IF(OR(AP45="",X$5="-"),"",IFERROR(IF(INDEX(INDIRECT("'"&amp;$B45&amp;"'!$T$6:$T$205"),MATCH($AR45&amp;"|"&amp;X$5,INDIRECT("'"&amp;$B45&amp;"'!$AF$6:$AF$205"),0))="","",INDEX(INDIRECT("'"&amp;$B45&amp;"'!$T$6:$T$205"),MATCH($AR45&amp;"|"&amp;X$5,INDIRECT("'"&amp;$B45&amp;"'!$AF$6:$AF$205"),0))),"-"))</f>
        <v/>
      </c>
      <c r="Y45" s="38">
        <f>IF(OR(AP45="",Y$5="-"),"",IFERROR(IF(INDEX(INDIRECT("'"&amp;$B45&amp;"'!$T$6:$T$205"),MATCH($AR45&amp;"|"&amp;Y$5,INDIRECT("'"&amp;$B45&amp;"'!$AF$6:$AF$205"),0))="","",INDEX(INDIRECT("'"&amp;$B45&amp;"'!$T$6:$T$205"),MATCH($AR45&amp;"|"&amp;Y$5,INDIRECT("'"&amp;$B45&amp;"'!$AF$6:$AF$205"),0))),"-"))</f>
        <v/>
      </c>
      <c r="Z45" s="38">
        <f>IF(OR(AP45="",Z$5="-"),"",IFERROR(IF(INDEX(INDIRECT("'"&amp;$B45&amp;"'!$T$6:$T$205"),MATCH($AR45&amp;"|"&amp;Z$5,INDIRECT("'"&amp;$B45&amp;"'!$AF$6:$AF$205"),0))="","",INDEX(INDIRECT("'"&amp;$B45&amp;"'!$T$6:$T$205"),MATCH($AR45&amp;"|"&amp;Z$5,INDIRECT("'"&amp;$B45&amp;"'!$AF$6:$AF$205"),0))),"-"))</f>
        <v/>
      </c>
      <c r="AA45" s="38">
        <f>IF(OR(AP45="",AA$5="-"),"",IFERROR(IF(INDEX(INDIRECT("'"&amp;$B45&amp;"'!$T$6:$T$205"),MATCH($AR45&amp;"|"&amp;AA$5,INDIRECT("'"&amp;$B45&amp;"'!$AF$6:$AF$205"),0))="","",INDEX(INDIRECT("'"&amp;$B45&amp;"'!$T$6:$T$205"),MATCH($AR45&amp;"|"&amp;AA$5,INDIRECT("'"&amp;$B45&amp;"'!$AF$6:$AF$205"),0))),"-"))</f>
        <v/>
      </c>
      <c r="AB45" s="38">
        <f>IF(OR(AP45="",AB$5="-"),"",IFERROR(IF(INDEX(INDIRECT("'"&amp;$B45&amp;"'!$T$6:$T$205"),MATCH($AR45&amp;"|"&amp;AB$5,INDIRECT("'"&amp;$B45&amp;"'!$AF$6:$AF$205"),0))="","",INDEX(INDIRECT("'"&amp;$B45&amp;"'!$T$6:$T$205"),MATCH($AR45&amp;"|"&amp;AB$5,INDIRECT("'"&amp;$B45&amp;"'!$AF$6:$AF$205"),0))),"-"))</f>
        <v/>
      </c>
      <c r="AC45" s="38">
        <f>IF(OR(AP45="",AC$5="-"),"",IFERROR(IF(INDEX(INDIRECT("'"&amp;$B45&amp;"'!$T$6:$T$205"),MATCH($AR45&amp;"|"&amp;AC$5,INDIRECT("'"&amp;$B45&amp;"'!$AF$6:$AF$205"),0))="","",INDEX(INDIRECT("'"&amp;$B45&amp;"'!$T$6:$T$205"),MATCH($AR45&amp;"|"&amp;AC$5,INDIRECT("'"&amp;$B45&amp;"'!$AF$6:$AF$205"),0))),"-"))</f>
        <v/>
      </c>
      <c r="AD45" s="38">
        <f>IF(OR(AP45="",AD$5="-"),"",IFERROR(IF(INDEX(INDIRECT("'"&amp;$B45&amp;"'!$T$6:$T$205"),MATCH($AR45&amp;"|"&amp;AD$5,INDIRECT("'"&amp;$B45&amp;"'!$AF$6:$AF$205"),0))="","",INDEX(INDIRECT("'"&amp;$B45&amp;"'!$T$6:$T$205"),MATCH($AR45&amp;"|"&amp;AD$5,INDIRECT("'"&amp;$B45&amp;"'!$AF$6:$AF$205"),0))),"-"))</f>
        <v/>
      </c>
      <c r="AE45" s="38">
        <f>IF(OR(AP45="",AE$5="-"),"",IFERROR(IF(INDEX(INDIRECT("'"&amp;$B45&amp;"'!$T$6:$T$205"),MATCH($AR45&amp;"|"&amp;AE$5,INDIRECT("'"&amp;$B45&amp;"'!$AF$6:$AF$205"),0))="","",INDEX(INDIRECT("'"&amp;$B45&amp;"'!$T$6:$T$205"),MATCH($AR45&amp;"|"&amp;AE$5,INDIRECT("'"&amp;$B45&amp;"'!$AF$6:$AF$205"),0))),"-"))</f>
        <v/>
      </c>
      <c r="AF45" s="35">
        <f>IF(AG45="","",INDEX($P$5:$W$5,MATCH(AG45,P45:W45,0)))</f>
        <v/>
      </c>
      <c r="AG45" s="37">
        <f>IF(COUNT(P45:W45)=0,"",MIN(P45:W45))</f>
        <v/>
      </c>
      <c r="AH45" s="39">
        <f>IF(AG45="","",AG45*F45)</f>
        <v/>
      </c>
      <c r="AI45" s="39">
        <f>IF(COUNT(P45:W45)&lt;2,"",(MAX(P45:W45)-MIN(P45:W45))*F45)</f>
        <v/>
      </c>
      <c r="AJ45" s="20" t="n"/>
      <c r="AP45">
        <f>IF(40&gt;MAX($AN$6:$AN$9),"",COUNTIF($AN$6:$AN$9,"&lt;"&amp;40)+1)</f>
        <v/>
      </c>
      <c r="AQ45">
        <f>IF(AP45="","",40-INDEX($AO$6:$AO$9,AP45))</f>
        <v/>
      </c>
      <c r="AR45">
        <f>IF(AP45="","",INDEX(INDIRECT("'"&amp;$B45&amp;"'!$AE$6:$AE$205"),MATCH(AQ45,INDIRECT("'"&amp;$B45&amp;"'!$AI$6:$AI$205"),0)))</f>
        <v/>
      </c>
    </row>
    <row r="46">
      <c r="A46" s="34">
        <f>IF(AP46="","",41)</f>
        <v/>
      </c>
      <c r="B46" s="35">
        <f>IF(AP46="","",INDEX($AL$6:$AL$9,AP46))</f>
        <v/>
      </c>
      <c r="C46" s="34">
        <f>IF(AP46="","",INDEX(INDIRECT("'"&amp;$B46&amp;"'!$B$6:$B$205"),MATCH($AR46,INDIRECT("'"&amp;$B46&amp;"'!$AE$6:$AE$205"),0)))</f>
        <v/>
      </c>
      <c r="D46" s="34">
        <f>IF(AP46="","",INDEX(INDIRECT("'"&amp;$B46&amp;"'!$D$6:$D$205"),MATCH($AR46,INDIRECT("'"&amp;$B46&amp;"'!$AE$6:$AE$205"),0)))</f>
        <v/>
      </c>
      <c r="E46" s="36">
        <f>IF(AP46="","",INDEX(INDIRECT("'"&amp;$B46&amp;"'!$F$6:$F$205"),MATCH($AR46,INDIRECT("'"&amp;$B46&amp;"'!$AE$6:$AE$205"),0)))</f>
        <v/>
      </c>
      <c r="F46" s="34">
        <f>IF(AP46="","",INDEX(INDIRECT("'"&amp;$B46&amp;"'!$K$6:$K$205"),MATCH($AR46,INDIRECT("'"&amp;$B46&amp;"'!$AE$6:$AE$205"),0)))</f>
        <v/>
      </c>
      <c r="G46" s="34">
        <f>IF(AP46="","",INDEX(INDIRECT("'"&amp;$B46&amp;"'!$L$6:$L$205"),MATCH($AR46,INDIRECT("'"&amp;$B46&amp;"'!$AE$6:$AE$205"),0)))</f>
        <v/>
      </c>
      <c r="H46" s="34">
        <f>IF(OR(AP46="",H$5="-"),"",IFERROR(IF(INDEX(INDIRECT("'"&amp;$B46&amp;"'!$N$6:$N$205"),MATCH($AR46&amp;"|"&amp;H$5,INDIRECT("'"&amp;$B46&amp;"'!$AF$6:$AF$205"),0))="","",INDEX(INDIRECT("'"&amp;$B46&amp;"'!$N$6:$N$205"),MATCH($AR46&amp;"|"&amp;H$5,INDIRECT("'"&amp;$B46&amp;"'!$AF$6:$AF$205"),0))),"-"))</f>
        <v/>
      </c>
      <c r="I46" s="34">
        <f>IF(OR(AP46="",I$5="-"),"",IFERROR(IF(INDEX(INDIRECT("'"&amp;$B46&amp;"'!$N$6:$N$205"),MATCH($AR46&amp;"|"&amp;I$5,INDIRECT("'"&amp;$B46&amp;"'!$AF$6:$AF$205"),0))="","",INDEX(INDIRECT("'"&amp;$B46&amp;"'!$N$6:$N$205"),MATCH($AR46&amp;"|"&amp;I$5,INDIRECT("'"&amp;$B46&amp;"'!$AF$6:$AF$205"),0))),"-"))</f>
        <v/>
      </c>
      <c r="J46" s="34">
        <f>IF(OR(AP46="",J$5="-"),"",IFERROR(IF(INDEX(INDIRECT("'"&amp;$B46&amp;"'!$N$6:$N$205"),MATCH($AR46&amp;"|"&amp;J$5,INDIRECT("'"&amp;$B46&amp;"'!$AF$6:$AF$205"),0))="","",INDEX(INDIRECT("'"&amp;$B46&amp;"'!$N$6:$N$205"),MATCH($AR46&amp;"|"&amp;J$5,INDIRECT("'"&amp;$B46&amp;"'!$AF$6:$AF$205"),0))),"-"))</f>
        <v/>
      </c>
      <c r="K46" s="34">
        <f>IF(OR(AP46="",K$5="-"),"",IFERROR(IF(INDEX(INDIRECT("'"&amp;$B46&amp;"'!$N$6:$N$205"),MATCH($AR46&amp;"|"&amp;K$5,INDIRECT("'"&amp;$B46&amp;"'!$AF$6:$AF$205"),0))="","",INDEX(INDIRECT("'"&amp;$B46&amp;"'!$N$6:$N$205"),MATCH($AR46&amp;"|"&amp;K$5,INDIRECT("'"&amp;$B46&amp;"'!$AF$6:$AF$205"),0))),"-"))</f>
        <v/>
      </c>
      <c r="L46" s="34">
        <f>IF(OR(AP46="",L$5="-"),"",IFERROR(IF(INDEX(INDIRECT("'"&amp;$B46&amp;"'!$N$6:$N$205"),MATCH($AR46&amp;"|"&amp;L$5,INDIRECT("'"&amp;$B46&amp;"'!$AF$6:$AF$205"),0))="","",INDEX(INDIRECT("'"&amp;$B46&amp;"'!$N$6:$N$205"),MATCH($AR46&amp;"|"&amp;L$5,INDIRECT("'"&amp;$B46&amp;"'!$AF$6:$AF$205"),0))),"-"))</f>
        <v/>
      </c>
      <c r="M46" s="34">
        <f>IF(OR(AP46="",M$5="-"),"",IFERROR(IF(INDEX(INDIRECT("'"&amp;$B46&amp;"'!$N$6:$N$205"),MATCH($AR46&amp;"|"&amp;M$5,INDIRECT("'"&amp;$B46&amp;"'!$AF$6:$AF$205"),0))="","",INDEX(INDIRECT("'"&amp;$B46&amp;"'!$N$6:$N$205"),MATCH($AR46&amp;"|"&amp;M$5,INDIRECT("'"&amp;$B46&amp;"'!$AF$6:$AF$205"),0))),"-"))</f>
        <v/>
      </c>
      <c r="N46" s="34">
        <f>IF(OR(AP46="",N$5="-"),"",IFERROR(IF(INDEX(INDIRECT("'"&amp;$B46&amp;"'!$N$6:$N$205"),MATCH($AR46&amp;"|"&amp;N$5,INDIRECT("'"&amp;$B46&amp;"'!$AF$6:$AF$205"),0))="","",INDEX(INDIRECT("'"&amp;$B46&amp;"'!$N$6:$N$205"),MATCH($AR46&amp;"|"&amp;N$5,INDIRECT("'"&amp;$B46&amp;"'!$AF$6:$AF$205"),0))),"-"))</f>
        <v/>
      </c>
      <c r="O46" s="34">
        <f>IF(OR(AP46="",O$5="-"),"",IFERROR(IF(INDEX(INDIRECT("'"&amp;$B46&amp;"'!$N$6:$N$205"),MATCH($AR46&amp;"|"&amp;O$5,INDIRECT("'"&amp;$B46&amp;"'!$AF$6:$AF$205"),0))="","",INDEX(INDIRECT("'"&amp;$B46&amp;"'!$N$6:$N$205"),MATCH($AR46&amp;"|"&amp;O$5,INDIRECT("'"&amp;$B46&amp;"'!$AF$6:$AF$205"),0))),"-"))</f>
        <v/>
      </c>
      <c r="P46" s="37">
        <f>IF(OR(AP46="",P$5="-"),"",IFERROR(IF(INDEX(INDIRECT("'"&amp;$B46&amp;"'!$R$6:$R$205"),MATCH($AR46&amp;"|"&amp;P$5,INDIRECT("'"&amp;$B46&amp;"'!$AF$6:$AF$205"),0))="","",INDEX(INDIRECT("'"&amp;$B46&amp;"'!$R$6:$R$205"),MATCH($AR46&amp;"|"&amp;P$5,INDIRECT("'"&amp;$B46&amp;"'!$AF$6:$AF$205"),0))),"-"))</f>
        <v/>
      </c>
      <c r="Q46" s="37">
        <f>IF(OR(AP46="",Q$5="-"),"",IFERROR(IF(INDEX(INDIRECT("'"&amp;$B46&amp;"'!$R$6:$R$205"),MATCH($AR46&amp;"|"&amp;Q$5,INDIRECT("'"&amp;$B46&amp;"'!$AF$6:$AF$205"),0))="","",INDEX(INDIRECT("'"&amp;$B46&amp;"'!$R$6:$R$205"),MATCH($AR46&amp;"|"&amp;Q$5,INDIRECT("'"&amp;$B46&amp;"'!$AF$6:$AF$205"),0))),"-"))</f>
        <v/>
      </c>
      <c r="R46" s="37">
        <f>IF(OR(AP46="",R$5="-"),"",IFERROR(IF(INDEX(INDIRECT("'"&amp;$B46&amp;"'!$R$6:$R$205"),MATCH($AR46&amp;"|"&amp;R$5,INDIRECT("'"&amp;$B46&amp;"'!$AF$6:$AF$205"),0))="","",INDEX(INDIRECT("'"&amp;$B46&amp;"'!$R$6:$R$205"),MATCH($AR46&amp;"|"&amp;R$5,INDIRECT("'"&amp;$B46&amp;"'!$AF$6:$AF$205"),0))),"-"))</f>
        <v/>
      </c>
      <c r="S46" s="37">
        <f>IF(OR(AP46="",S$5="-"),"",IFERROR(IF(INDEX(INDIRECT("'"&amp;$B46&amp;"'!$R$6:$R$205"),MATCH($AR46&amp;"|"&amp;S$5,INDIRECT("'"&amp;$B46&amp;"'!$AF$6:$AF$205"),0))="","",INDEX(INDIRECT("'"&amp;$B46&amp;"'!$R$6:$R$205"),MATCH($AR46&amp;"|"&amp;S$5,INDIRECT("'"&amp;$B46&amp;"'!$AF$6:$AF$205"),0))),"-"))</f>
        <v/>
      </c>
      <c r="T46" s="37">
        <f>IF(OR(AP46="",T$5="-"),"",IFERROR(IF(INDEX(INDIRECT("'"&amp;$B46&amp;"'!$R$6:$R$205"),MATCH($AR46&amp;"|"&amp;T$5,INDIRECT("'"&amp;$B46&amp;"'!$AF$6:$AF$205"),0))="","",INDEX(INDIRECT("'"&amp;$B46&amp;"'!$R$6:$R$205"),MATCH($AR46&amp;"|"&amp;T$5,INDIRECT("'"&amp;$B46&amp;"'!$AF$6:$AF$205"),0))),"-"))</f>
        <v/>
      </c>
      <c r="U46" s="37">
        <f>IF(OR(AP46="",U$5="-"),"",IFERROR(IF(INDEX(INDIRECT("'"&amp;$B46&amp;"'!$R$6:$R$205"),MATCH($AR46&amp;"|"&amp;U$5,INDIRECT("'"&amp;$B46&amp;"'!$AF$6:$AF$205"),0))="","",INDEX(INDIRECT("'"&amp;$B46&amp;"'!$R$6:$R$205"),MATCH($AR46&amp;"|"&amp;U$5,INDIRECT("'"&amp;$B46&amp;"'!$AF$6:$AF$205"),0))),"-"))</f>
        <v/>
      </c>
      <c r="V46" s="37">
        <f>IF(OR(AP46="",V$5="-"),"",IFERROR(IF(INDEX(INDIRECT("'"&amp;$B46&amp;"'!$R$6:$R$205"),MATCH($AR46&amp;"|"&amp;V$5,INDIRECT("'"&amp;$B46&amp;"'!$AF$6:$AF$205"),0))="","",INDEX(INDIRECT("'"&amp;$B46&amp;"'!$R$6:$R$205"),MATCH($AR46&amp;"|"&amp;V$5,INDIRECT("'"&amp;$B46&amp;"'!$AF$6:$AF$205"),0))),"-"))</f>
        <v/>
      </c>
      <c r="W46" s="37">
        <f>IF(OR(AP46="",W$5="-"),"",IFERROR(IF(INDEX(INDIRECT("'"&amp;$B46&amp;"'!$R$6:$R$205"),MATCH($AR46&amp;"|"&amp;W$5,INDIRECT("'"&amp;$B46&amp;"'!$AF$6:$AF$205"),0))="","",INDEX(INDIRECT("'"&amp;$B46&amp;"'!$R$6:$R$205"),MATCH($AR46&amp;"|"&amp;W$5,INDIRECT("'"&amp;$B46&amp;"'!$AF$6:$AF$205"),0))),"-"))</f>
        <v/>
      </c>
      <c r="X46" s="38">
        <f>IF(OR(AP46="",X$5="-"),"",IFERROR(IF(INDEX(INDIRECT("'"&amp;$B46&amp;"'!$T$6:$T$205"),MATCH($AR46&amp;"|"&amp;X$5,INDIRECT("'"&amp;$B46&amp;"'!$AF$6:$AF$205"),0))="","",INDEX(INDIRECT("'"&amp;$B46&amp;"'!$T$6:$T$205"),MATCH($AR46&amp;"|"&amp;X$5,INDIRECT("'"&amp;$B46&amp;"'!$AF$6:$AF$205"),0))),"-"))</f>
        <v/>
      </c>
      <c r="Y46" s="38">
        <f>IF(OR(AP46="",Y$5="-"),"",IFERROR(IF(INDEX(INDIRECT("'"&amp;$B46&amp;"'!$T$6:$T$205"),MATCH($AR46&amp;"|"&amp;Y$5,INDIRECT("'"&amp;$B46&amp;"'!$AF$6:$AF$205"),0))="","",INDEX(INDIRECT("'"&amp;$B46&amp;"'!$T$6:$T$205"),MATCH($AR46&amp;"|"&amp;Y$5,INDIRECT("'"&amp;$B46&amp;"'!$AF$6:$AF$205"),0))),"-"))</f>
        <v/>
      </c>
      <c r="Z46" s="38">
        <f>IF(OR(AP46="",Z$5="-"),"",IFERROR(IF(INDEX(INDIRECT("'"&amp;$B46&amp;"'!$T$6:$T$205"),MATCH($AR46&amp;"|"&amp;Z$5,INDIRECT("'"&amp;$B46&amp;"'!$AF$6:$AF$205"),0))="","",INDEX(INDIRECT("'"&amp;$B46&amp;"'!$T$6:$T$205"),MATCH($AR46&amp;"|"&amp;Z$5,INDIRECT("'"&amp;$B46&amp;"'!$AF$6:$AF$205"),0))),"-"))</f>
        <v/>
      </c>
      <c r="AA46" s="38">
        <f>IF(OR(AP46="",AA$5="-"),"",IFERROR(IF(INDEX(INDIRECT("'"&amp;$B46&amp;"'!$T$6:$T$205"),MATCH($AR46&amp;"|"&amp;AA$5,INDIRECT("'"&amp;$B46&amp;"'!$AF$6:$AF$205"),0))="","",INDEX(INDIRECT("'"&amp;$B46&amp;"'!$T$6:$T$205"),MATCH($AR46&amp;"|"&amp;AA$5,INDIRECT("'"&amp;$B46&amp;"'!$AF$6:$AF$205"),0))),"-"))</f>
        <v/>
      </c>
      <c r="AB46" s="38">
        <f>IF(OR(AP46="",AB$5="-"),"",IFERROR(IF(INDEX(INDIRECT("'"&amp;$B46&amp;"'!$T$6:$T$205"),MATCH($AR46&amp;"|"&amp;AB$5,INDIRECT("'"&amp;$B46&amp;"'!$AF$6:$AF$205"),0))="","",INDEX(INDIRECT("'"&amp;$B46&amp;"'!$T$6:$T$205"),MATCH($AR46&amp;"|"&amp;AB$5,INDIRECT("'"&amp;$B46&amp;"'!$AF$6:$AF$205"),0))),"-"))</f>
        <v/>
      </c>
      <c r="AC46" s="38">
        <f>IF(OR(AP46="",AC$5="-"),"",IFERROR(IF(INDEX(INDIRECT("'"&amp;$B46&amp;"'!$T$6:$T$205"),MATCH($AR46&amp;"|"&amp;AC$5,INDIRECT("'"&amp;$B46&amp;"'!$AF$6:$AF$205"),0))="","",INDEX(INDIRECT("'"&amp;$B46&amp;"'!$T$6:$T$205"),MATCH($AR46&amp;"|"&amp;AC$5,INDIRECT("'"&amp;$B46&amp;"'!$AF$6:$AF$205"),0))),"-"))</f>
        <v/>
      </c>
      <c r="AD46" s="38">
        <f>IF(OR(AP46="",AD$5="-"),"",IFERROR(IF(INDEX(INDIRECT("'"&amp;$B46&amp;"'!$T$6:$T$205"),MATCH($AR46&amp;"|"&amp;AD$5,INDIRECT("'"&amp;$B46&amp;"'!$AF$6:$AF$205"),0))="","",INDEX(INDIRECT("'"&amp;$B46&amp;"'!$T$6:$T$205"),MATCH($AR46&amp;"|"&amp;AD$5,INDIRECT("'"&amp;$B46&amp;"'!$AF$6:$AF$205"),0))),"-"))</f>
        <v/>
      </c>
      <c r="AE46" s="38">
        <f>IF(OR(AP46="",AE$5="-"),"",IFERROR(IF(INDEX(INDIRECT("'"&amp;$B46&amp;"'!$T$6:$T$205"),MATCH($AR46&amp;"|"&amp;AE$5,INDIRECT("'"&amp;$B46&amp;"'!$AF$6:$AF$205"),0))="","",INDEX(INDIRECT("'"&amp;$B46&amp;"'!$T$6:$T$205"),MATCH($AR46&amp;"|"&amp;AE$5,INDIRECT("'"&amp;$B46&amp;"'!$AF$6:$AF$205"),0))),"-"))</f>
        <v/>
      </c>
      <c r="AF46" s="35">
        <f>IF(AG46="","",INDEX($P$5:$W$5,MATCH(AG46,P46:W46,0)))</f>
        <v/>
      </c>
      <c r="AG46" s="37">
        <f>IF(COUNT(P46:W46)=0,"",MIN(P46:W46))</f>
        <v/>
      </c>
      <c r="AH46" s="39">
        <f>IF(AG46="","",AG46*F46)</f>
        <v/>
      </c>
      <c r="AI46" s="39">
        <f>IF(COUNT(P46:W46)&lt;2,"",(MAX(P46:W46)-MIN(P46:W46))*F46)</f>
        <v/>
      </c>
      <c r="AJ46" s="20" t="n"/>
      <c r="AP46">
        <f>IF(41&gt;MAX($AN$6:$AN$9),"",COUNTIF($AN$6:$AN$9,"&lt;"&amp;41)+1)</f>
        <v/>
      </c>
      <c r="AQ46">
        <f>IF(AP46="","",41-INDEX($AO$6:$AO$9,AP46))</f>
        <v/>
      </c>
      <c r="AR46">
        <f>IF(AP46="","",INDEX(INDIRECT("'"&amp;$B46&amp;"'!$AE$6:$AE$205"),MATCH(AQ46,INDIRECT("'"&amp;$B46&amp;"'!$AI$6:$AI$205"),0)))</f>
        <v/>
      </c>
    </row>
    <row r="47">
      <c r="A47" s="34">
        <f>IF(AP47="","",42)</f>
        <v/>
      </c>
      <c r="B47" s="35">
        <f>IF(AP47="","",INDEX($AL$6:$AL$9,AP47))</f>
        <v/>
      </c>
      <c r="C47" s="34">
        <f>IF(AP47="","",INDEX(INDIRECT("'"&amp;$B47&amp;"'!$B$6:$B$205"),MATCH($AR47,INDIRECT("'"&amp;$B47&amp;"'!$AE$6:$AE$205"),0)))</f>
        <v/>
      </c>
      <c r="D47" s="34">
        <f>IF(AP47="","",INDEX(INDIRECT("'"&amp;$B47&amp;"'!$D$6:$D$205"),MATCH($AR47,INDIRECT("'"&amp;$B47&amp;"'!$AE$6:$AE$205"),0)))</f>
        <v/>
      </c>
      <c r="E47" s="36">
        <f>IF(AP47="","",INDEX(INDIRECT("'"&amp;$B47&amp;"'!$F$6:$F$205"),MATCH($AR47,INDIRECT("'"&amp;$B47&amp;"'!$AE$6:$AE$205"),0)))</f>
        <v/>
      </c>
      <c r="F47" s="34">
        <f>IF(AP47="","",INDEX(INDIRECT("'"&amp;$B47&amp;"'!$K$6:$K$205"),MATCH($AR47,INDIRECT("'"&amp;$B47&amp;"'!$AE$6:$AE$205"),0)))</f>
        <v/>
      </c>
      <c r="G47" s="34">
        <f>IF(AP47="","",INDEX(INDIRECT("'"&amp;$B47&amp;"'!$L$6:$L$205"),MATCH($AR47,INDIRECT("'"&amp;$B47&amp;"'!$AE$6:$AE$205"),0)))</f>
        <v/>
      </c>
      <c r="H47" s="34">
        <f>IF(OR(AP47="",H$5="-"),"",IFERROR(IF(INDEX(INDIRECT("'"&amp;$B47&amp;"'!$N$6:$N$205"),MATCH($AR47&amp;"|"&amp;H$5,INDIRECT("'"&amp;$B47&amp;"'!$AF$6:$AF$205"),0))="","",INDEX(INDIRECT("'"&amp;$B47&amp;"'!$N$6:$N$205"),MATCH($AR47&amp;"|"&amp;H$5,INDIRECT("'"&amp;$B47&amp;"'!$AF$6:$AF$205"),0))),"-"))</f>
        <v/>
      </c>
      <c r="I47" s="34">
        <f>IF(OR(AP47="",I$5="-"),"",IFERROR(IF(INDEX(INDIRECT("'"&amp;$B47&amp;"'!$N$6:$N$205"),MATCH($AR47&amp;"|"&amp;I$5,INDIRECT("'"&amp;$B47&amp;"'!$AF$6:$AF$205"),0))="","",INDEX(INDIRECT("'"&amp;$B47&amp;"'!$N$6:$N$205"),MATCH($AR47&amp;"|"&amp;I$5,INDIRECT("'"&amp;$B47&amp;"'!$AF$6:$AF$205"),0))),"-"))</f>
        <v/>
      </c>
      <c r="J47" s="34">
        <f>IF(OR(AP47="",J$5="-"),"",IFERROR(IF(INDEX(INDIRECT("'"&amp;$B47&amp;"'!$N$6:$N$205"),MATCH($AR47&amp;"|"&amp;J$5,INDIRECT("'"&amp;$B47&amp;"'!$AF$6:$AF$205"),0))="","",INDEX(INDIRECT("'"&amp;$B47&amp;"'!$N$6:$N$205"),MATCH($AR47&amp;"|"&amp;J$5,INDIRECT("'"&amp;$B47&amp;"'!$AF$6:$AF$205"),0))),"-"))</f>
        <v/>
      </c>
      <c r="K47" s="34">
        <f>IF(OR(AP47="",K$5="-"),"",IFERROR(IF(INDEX(INDIRECT("'"&amp;$B47&amp;"'!$N$6:$N$205"),MATCH($AR47&amp;"|"&amp;K$5,INDIRECT("'"&amp;$B47&amp;"'!$AF$6:$AF$205"),0))="","",INDEX(INDIRECT("'"&amp;$B47&amp;"'!$N$6:$N$205"),MATCH($AR47&amp;"|"&amp;K$5,INDIRECT("'"&amp;$B47&amp;"'!$AF$6:$AF$205"),0))),"-"))</f>
        <v/>
      </c>
      <c r="L47" s="34">
        <f>IF(OR(AP47="",L$5="-"),"",IFERROR(IF(INDEX(INDIRECT("'"&amp;$B47&amp;"'!$N$6:$N$205"),MATCH($AR47&amp;"|"&amp;L$5,INDIRECT("'"&amp;$B47&amp;"'!$AF$6:$AF$205"),0))="","",INDEX(INDIRECT("'"&amp;$B47&amp;"'!$N$6:$N$205"),MATCH($AR47&amp;"|"&amp;L$5,INDIRECT("'"&amp;$B47&amp;"'!$AF$6:$AF$205"),0))),"-"))</f>
        <v/>
      </c>
      <c r="M47" s="34">
        <f>IF(OR(AP47="",M$5="-"),"",IFERROR(IF(INDEX(INDIRECT("'"&amp;$B47&amp;"'!$N$6:$N$205"),MATCH($AR47&amp;"|"&amp;M$5,INDIRECT("'"&amp;$B47&amp;"'!$AF$6:$AF$205"),0))="","",INDEX(INDIRECT("'"&amp;$B47&amp;"'!$N$6:$N$205"),MATCH($AR47&amp;"|"&amp;M$5,INDIRECT("'"&amp;$B47&amp;"'!$AF$6:$AF$205"),0))),"-"))</f>
        <v/>
      </c>
      <c r="N47" s="34">
        <f>IF(OR(AP47="",N$5="-"),"",IFERROR(IF(INDEX(INDIRECT("'"&amp;$B47&amp;"'!$N$6:$N$205"),MATCH($AR47&amp;"|"&amp;N$5,INDIRECT("'"&amp;$B47&amp;"'!$AF$6:$AF$205"),0))="","",INDEX(INDIRECT("'"&amp;$B47&amp;"'!$N$6:$N$205"),MATCH($AR47&amp;"|"&amp;N$5,INDIRECT("'"&amp;$B47&amp;"'!$AF$6:$AF$205"),0))),"-"))</f>
        <v/>
      </c>
      <c r="O47" s="34">
        <f>IF(OR(AP47="",O$5="-"),"",IFERROR(IF(INDEX(INDIRECT("'"&amp;$B47&amp;"'!$N$6:$N$205"),MATCH($AR47&amp;"|"&amp;O$5,INDIRECT("'"&amp;$B47&amp;"'!$AF$6:$AF$205"),0))="","",INDEX(INDIRECT("'"&amp;$B47&amp;"'!$N$6:$N$205"),MATCH($AR47&amp;"|"&amp;O$5,INDIRECT("'"&amp;$B47&amp;"'!$AF$6:$AF$205"),0))),"-"))</f>
        <v/>
      </c>
      <c r="P47" s="37">
        <f>IF(OR(AP47="",P$5="-"),"",IFERROR(IF(INDEX(INDIRECT("'"&amp;$B47&amp;"'!$R$6:$R$205"),MATCH($AR47&amp;"|"&amp;P$5,INDIRECT("'"&amp;$B47&amp;"'!$AF$6:$AF$205"),0))="","",INDEX(INDIRECT("'"&amp;$B47&amp;"'!$R$6:$R$205"),MATCH($AR47&amp;"|"&amp;P$5,INDIRECT("'"&amp;$B47&amp;"'!$AF$6:$AF$205"),0))),"-"))</f>
        <v/>
      </c>
      <c r="Q47" s="37">
        <f>IF(OR(AP47="",Q$5="-"),"",IFERROR(IF(INDEX(INDIRECT("'"&amp;$B47&amp;"'!$R$6:$R$205"),MATCH($AR47&amp;"|"&amp;Q$5,INDIRECT("'"&amp;$B47&amp;"'!$AF$6:$AF$205"),0))="","",INDEX(INDIRECT("'"&amp;$B47&amp;"'!$R$6:$R$205"),MATCH($AR47&amp;"|"&amp;Q$5,INDIRECT("'"&amp;$B47&amp;"'!$AF$6:$AF$205"),0))),"-"))</f>
        <v/>
      </c>
      <c r="R47" s="37">
        <f>IF(OR(AP47="",R$5="-"),"",IFERROR(IF(INDEX(INDIRECT("'"&amp;$B47&amp;"'!$R$6:$R$205"),MATCH($AR47&amp;"|"&amp;R$5,INDIRECT("'"&amp;$B47&amp;"'!$AF$6:$AF$205"),0))="","",INDEX(INDIRECT("'"&amp;$B47&amp;"'!$R$6:$R$205"),MATCH($AR47&amp;"|"&amp;R$5,INDIRECT("'"&amp;$B47&amp;"'!$AF$6:$AF$205"),0))),"-"))</f>
        <v/>
      </c>
      <c r="S47" s="37">
        <f>IF(OR(AP47="",S$5="-"),"",IFERROR(IF(INDEX(INDIRECT("'"&amp;$B47&amp;"'!$R$6:$R$205"),MATCH($AR47&amp;"|"&amp;S$5,INDIRECT("'"&amp;$B47&amp;"'!$AF$6:$AF$205"),0))="","",INDEX(INDIRECT("'"&amp;$B47&amp;"'!$R$6:$R$205"),MATCH($AR47&amp;"|"&amp;S$5,INDIRECT("'"&amp;$B47&amp;"'!$AF$6:$AF$205"),0))),"-"))</f>
        <v/>
      </c>
      <c r="T47" s="37">
        <f>IF(OR(AP47="",T$5="-"),"",IFERROR(IF(INDEX(INDIRECT("'"&amp;$B47&amp;"'!$R$6:$R$205"),MATCH($AR47&amp;"|"&amp;T$5,INDIRECT("'"&amp;$B47&amp;"'!$AF$6:$AF$205"),0))="","",INDEX(INDIRECT("'"&amp;$B47&amp;"'!$R$6:$R$205"),MATCH($AR47&amp;"|"&amp;T$5,INDIRECT("'"&amp;$B47&amp;"'!$AF$6:$AF$205"),0))),"-"))</f>
        <v/>
      </c>
      <c r="U47" s="37">
        <f>IF(OR(AP47="",U$5="-"),"",IFERROR(IF(INDEX(INDIRECT("'"&amp;$B47&amp;"'!$R$6:$R$205"),MATCH($AR47&amp;"|"&amp;U$5,INDIRECT("'"&amp;$B47&amp;"'!$AF$6:$AF$205"),0))="","",INDEX(INDIRECT("'"&amp;$B47&amp;"'!$R$6:$R$205"),MATCH($AR47&amp;"|"&amp;U$5,INDIRECT("'"&amp;$B47&amp;"'!$AF$6:$AF$205"),0))),"-"))</f>
        <v/>
      </c>
      <c r="V47" s="37">
        <f>IF(OR(AP47="",V$5="-"),"",IFERROR(IF(INDEX(INDIRECT("'"&amp;$B47&amp;"'!$R$6:$R$205"),MATCH($AR47&amp;"|"&amp;V$5,INDIRECT("'"&amp;$B47&amp;"'!$AF$6:$AF$205"),0))="","",INDEX(INDIRECT("'"&amp;$B47&amp;"'!$R$6:$R$205"),MATCH($AR47&amp;"|"&amp;V$5,INDIRECT("'"&amp;$B47&amp;"'!$AF$6:$AF$205"),0))),"-"))</f>
        <v/>
      </c>
      <c r="W47" s="37">
        <f>IF(OR(AP47="",W$5="-"),"",IFERROR(IF(INDEX(INDIRECT("'"&amp;$B47&amp;"'!$R$6:$R$205"),MATCH($AR47&amp;"|"&amp;W$5,INDIRECT("'"&amp;$B47&amp;"'!$AF$6:$AF$205"),0))="","",INDEX(INDIRECT("'"&amp;$B47&amp;"'!$R$6:$R$205"),MATCH($AR47&amp;"|"&amp;W$5,INDIRECT("'"&amp;$B47&amp;"'!$AF$6:$AF$205"),0))),"-"))</f>
        <v/>
      </c>
      <c r="X47" s="38">
        <f>IF(OR(AP47="",X$5="-"),"",IFERROR(IF(INDEX(INDIRECT("'"&amp;$B47&amp;"'!$T$6:$T$205"),MATCH($AR47&amp;"|"&amp;X$5,INDIRECT("'"&amp;$B47&amp;"'!$AF$6:$AF$205"),0))="","",INDEX(INDIRECT("'"&amp;$B47&amp;"'!$T$6:$T$205"),MATCH($AR47&amp;"|"&amp;X$5,INDIRECT("'"&amp;$B47&amp;"'!$AF$6:$AF$205"),0))),"-"))</f>
        <v/>
      </c>
      <c r="Y47" s="38">
        <f>IF(OR(AP47="",Y$5="-"),"",IFERROR(IF(INDEX(INDIRECT("'"&amp;$B47&amp;"'!$T$6:$T$205"),MATCH($AR47&amp;"|"&amp;Y$5,INDIRECT("'"&amp;$B47&amp;"'!$AF$6:$AF$205"),0))="","",INDEX(INDIRECT("'"&amp;$B47&amp;"'!$T$6:$T$205"),MATCH($AR47&amp;"|"&amp;Y$5,INDIRECT("'"&amp;$B47&amp;"'!$AF$6:$AF$205"),0))),"-"))</f>
        <v/>
      </c>
      <c r="Z47" s="38">
        <f>IF(OR(AP47="",Z$5="-"),"",IFERROR(IF(INDEX(INDIRECT("'"&amp;$B47&amp;"'!$T$6:$T$205"),MATCH($AR47&amp;"|"&amp;Z$5,INDIRECT("'"&amp;$B47&amp;"'!$AF$6:$AF$205"),0))="","",INDEX(INDIRECT("'"&amp;$B47&amp;"'!$T$6:$T$205"),MATCH($AR47&amp;"|"&amp;Z$5,INDIRECT("'"&amp;$B47&amp;"'!$AF$6:$AF$205"),0))),"-"))</f>
        <v/>
      </c>
      <c r="AA47" s="38">
        <f>IF(OR(AP47="",AA$5="-"),"",IFERROR(IF(INDEX(INDIRECT("'"&amp;$B47&amp;"'!$T$6:$T$205"),MATCH($AR47&amp;"|"&amp;AA$5,INDIRECT("'"&amp;$B47&amp;"'!$AF$6:$AF$205"),0))="","",INDEX(INDIRECT("'"&amp;$B47&amp;"'!$T$6:$T$205"),MATCH($AR47&amp;"|"&amp;AA$5,INDIRECT("'"&amp;$B47&amp;"'!$AF$6:$AF$205"),0))),"-"))</f>
        <v/>
      </c>
      <c r="AB47" s="38">
        <f>IF(OR(AP47="",AB$5="-"),"",IFERROR(IF(INDEX(INDIRECT("'"&amp;$B47&amp;"'!$T$6:$T$205"),MATCH($AR47&amp;"|"&amp;AB$5,INDIRECT("'"&amp;$B47&amp;"'!$AF$6:$AF$205"),0))="","",INDEX(INDIRECT("'"&amp;$B47&amp;"'!$T$6:$T$205"),MATCH($AR47&amp;"|"&amp;AB$5,INDIRECT("'"&amp;$B47&amp;"'!$AF$6:$AF$205"),0))),"-"))</f>
        <v/>
      </c>
      <c r="AC47" s="38">
        <f>IF(OR(AP47="",AC$5="-"),"",IFERROR(IF(INDEX(INDIRECT("'"&amp;$B47&amp;"'!$T$6:$T$205"),MATCH($AR47&amp;"|"&amp;AC$5,INDIRECT("'"&amp;$B47&amp;"'!$AF$6:$AF$205"),0))="","",INDEX(INDIRECT("'"&amp;$B47&amp;"'!$T$6:$T$205"),MATCH($AR47&amp;"|"&amp;AC$5,INDIRECT("'"&amp;$B47&amp;"'!$AF$6:$AF$205"),0))),"-"))</f>
        <v/>
      </c>
      <c r="AD47" s="38">
        <f>IF(OR(AP47="",AD$5="-"),"",IFERROR(IF(INDEX(INDIRECT("'"&amp;$B47&amp;"'!$T$6:$T$205"),MATCH($AR47&amp;"|"&amp;AD$5,INDIRECT("'"&amp;$B47&amp;"'!$AF$6:$AF$205"),0))="","",INDEX(INDIRECT("'"&amp;$B47&amp;"'!$T$6:$T$205"),MATCH($AR47&amp;"|"&amp;AD$5,INDIRECT("'"&amp;$B47&amp;"'!$AF$6:$AF$205"),0))),"-"))</f>
        <v/>
      </c>
      <c r="AE47" s="38">
        <f>IF(OR(AP47="",AE$5="-"),"",IFERROR(IF(INDEX(INDIRECT("'"&amp;$B47&amp;"'!$T$6:$T$205"),MATCH($AR47&amp;"|"&amp;AE$5,INDIRECT("'"&amp;$B47&amp;"'!$AF$6:$AF$205"),0))="","",INDEX(INDIRECT("'"&amp;$B47&amp;"'!$T$6:$T$205"),MATCH($AR47&amp;"|"&amp;AE$5,INDIRECT("'"&amp;$B47&amp;"'!$AF$6:$AF$205"),0))),"-"))</f>
        <v/>
      </c>
      <c r="AF47" s="35">
        <f>IF(AG47="","",INDEX($P$5:$W$5,MATCH(AG47,P47:W47,0)))</f>
        <v/>
      </c>
      <c r="AG47" s="37">
        <f>IF(COUNT(P47:W47)=0,"",MIN(P47:W47))</f>
        <v/>
      </c>
      <c r="AH47" s="39">
        <f>IF(AG47="","",AG47*F47)</f>
        <v/>
      </c>
      <c r="AI47" s="39">
        <f>IF(COUNT(P47:W47)&lt;2,"",(MAX(P47:W47)-MIN(P47:W47))*F47)</f>
        <v/>
      </c>
      <c r="AJ47" s="20" t="n"/>
      <c r="AP47">
        <f>IF(42&gt;MAX($AN$6:$AN$9),"",COUNTIF($AN$6:$AN$9,"&lt;"&amp;42)+1)</f>
        <v/>
      </c>
      <c r="AQ47">
        <f>IF(AP47="","",42-INDEX($AO$6:$AO$9,AP47))</f>
        <v/>
      </c>
      <c r="AR47">
        <f>IF(AP47="","",INDEX(INDIRECT("'"&amp;$B47&amp;"'!$AE$6:$AE$205"),MATCH(AQ47,INDIRECT("'"&amp;$B47&amp;"'!$AI$6:$AI$205"),0)))</f>
        <v/>
      </c>
    </row>
    <row r="48">
      <c r="A48" s="34">
        <f>IF(AP48="","",43)</f>
        <v/>
      </c>
      <c r="B48" s="35">
        <f>IF(AP48="","",INDEX($AL$6:$AL$9,AP48))</f>
        <v/>
      </c>
      <c r="C48" s="34">
        <f>IF(AP48="","",INDEX(INDIRECT("'"&amp;$B48&amp;"'!$B$6:$B$205"),MATCH($AR48,INDIRECT("'"&amp;$B48&amp;"'!$AE$6:$AE$205"),0)))</f>
        <v/>
      </c>
      <c r="D48" s="34">
        <f>IF(AP48="","",INDEX(INDIRECT("'"&amp;$B48&amp;"'!$D$6:$D$205"),MATCH($AR48,INDIRECT("'"&amp;$B48&amp;"'!$AE$6:$AE$205"),0)))</f>
        <v/>
      </c>
      <c r="E48" s="36">
        <f>IF(AP48="","",INDEX(INDIRECT("'"&amp;$B48&amp;"'!$F$6:$F$205"),MATCH($AR48,INDIRECT("'"&amp;$B48&amp;"'!$AE$6:$AE$205"),0)))</f>
        <v/>
      </c>
      <c r="F48" s="34">
        <f>IF(AP48="","",INDEX(INDIRECT("'"&amp;$B48&amp;"'!$K$6:$K$205"),MATCH($AR48,INDIRECT("'"&amp;$B48&amp;"'!$AE$6:$AE$205"),0)))</f>
        <v/>
      </c>
      <c r="G48" s="34">
        <f>IF(AP48="","",INDEX(INDIRECT("'"&amp;$B48&amp;"'!$L$6:$L$205"),MATCH($AR48,INDIRECT("'"&amp;$B48&amp;"'!$AE$6:$AE$205"),0)))</f>
        <v/>
      </c>
      <c r="H48" s="34">
        <f>IF(OR(AP48="",H$5="-"),"",IFERROR(IF(INDEX(INDIRECT("'"&amp;$B48&amp;"'!$N$6:$N$205"),MATCH($AR48&amp;"|"&amp;H$5,INDIRECT("'"&amp;$B48&amp;"'!$AF$6:$AF$205"),0))="","",INDEX(INDIRECT("'"&amp;$B48&amp;"'!$N$6:$N$205"),MATCH($AR48&amp;"|"&amp;H$5,INDIRECT("'"&amp;$B48&amp;"'!$AF$6:$AF$205"),0))),"-"))</f>
        <v/>
      </c>
      <c r="I48" s="34">
        <f>IF(OR(AP48="",I$5="-"),"",IFERROR(IF(INDEX(INDIRECT("'"&amp;$B48&amp;"'!$N$6:$N$205"),MATCH($AR48&amp;"|"&amp;I$5,INDIRECT("'"&amp;$B48&amp;"'!$AF$6:$AF$205"),0))="","",INDEX(INDIRECT("'"&amp;$B48&amp;"'!$N$6:$N$205"),MATCH($AR48&amp;"|"&amp;I$5,INDIRECT("'"&amp;$B48&amp;"'!$AF$6:$AF$205"),0))),"-"))</f>
        <v/>
      </c>
      <c r="J48" s="34">
        <f>IF(OR(AP48="",J$5="-"),"",IFERROR(IF(INDEX(INDIRECT("'"&amp;$B48&amp;"'!$N$6:$N$205"),MATCH($AR48&amp;"|"&amp;J$5,INDIRECT("'"&amp;$B48&amp;"'!$AF$6:$AF$205"),0))="","",INDEX(INDIRECT("'"&amp;$B48&amp;"'!$N$6:$N$205"),MATCH($AR48&amp;"|"&amp;J$5,INDIRECT("'"&amp;$B48&amp;"'!$AF$6:$AF$205"),0))),"-"))</f>
        <v/>
      </c>
      <c r="K48" s="34">
        <f>IF(OR(AP48="",K$5="-"),"",IFERROR(IF(INDEX(INDIRECT("'"&amp;$B48&amp;"'!$N$6:$N$205"),MATCH($AR48&amp;"|"&amp;K$5,INDIRECT("'"&amp;$B48&amp;"'!$AF$6:$AF$205"),0))="","",INDEX(INDIRECT("'"&amp;$B48&amp;"'!$N$6:$N$205"),MATCH($AR48&amp;"|"&amp;K$5,INDIRECT("'"&amp;$B48&amp;"'!$AF$6:$AF$205"),0))),"-"))</f>
        <v/>
      </c>
      <c r="L48" s="34">
        <f>IF(OR(AP48="",L$5="-"),"",IFERROR(IF(INDEX(INDIRECT("'"&amp;$B48&amp;"'!$N$6:$N$205"),MATCH($AR48&amp;"|"&amp;L$5,INDIRECT("'"&amp;$B48&amp;"'!$AF$6:$AF$205"),0))="","",INDEX(INDIRECT("'"&amp;$B48&amp;"'!$N$6:$N$205"),MATCH($AR48&amp;"|"&amp;L$5,INDIRECT("'"&amp;$B48&amp;"'!$AF$6:$AF$205"),0))),"-"))</f>
        <v/>
      </c>
      <c r="M48" s="34">
        <f>IF(OR(AP48="",M$5="-"),"",IFERROR(IF(INDEX(INDIRECT("'"&amp;$B48&amp;"'!$N$6:$N$205"),MATCH($AR48&amp;"|"&amp;M$5,INDIRECT("'"&amp;$B48&amp;"'!$AF$6:$AF$205"),0))="","",INDEX(INDIRECT("'"&amp;$B48&amp;"'!$N$6:$N$205"),MATCH($AR48&amp;"|"&amp;M$5,INDIRECT("'"&amp;$B48&amp;"'!$AF$6:$AF$205"),0))),"-"))</f>
        <v/>
      </c>
      <c r="N48" s="34">
        <f>IF(OR(AP48="",N$5="-"),"",IFERROR(IF(INDEX(INDIRECT("'"&amp;$B48&amp;"'!$N$6:$N$205"),MATCH($AR48&amp;"|"&amp;N$5,INDIRECT("'"&amp;$B48&amp;"'!$AF$6:$AF$205"),0))="","",INDEX(INDIRECT("'"&amp;$B48&amp;"'!$N$6:$N$205"),MATCH($AR48&amp;"|"&amp;N$5,INDIRECT("'"&amp;$B48&amp;"'!$AF$6:$AF$205"),0))),"-"))</f>
        <v/>
      </c>
      <c r="O48" s="34">
        <f>IF(OR(AP48="",O$5="-"),"",IFERROR(IF(INDEX(INDIRECT("'"&amp;$B48&amp;"'!$N$6:$N$205"),MATCH($AR48&amp;"|"&amp;O$5,INDIRECT("'"&amp;$B48&amp;"'!$AF$6:$AF$205"),0))="","",INDEX(INDIRECT("'"&amp;$B48&amp;"'!$N$6:$N$205"),MATCH($AR48&amp;"|"&amp;O$5,INDIRECT("'"&amp;$B48&amp;"'!$AF$6:$AF$205"),0))),"-"))</f>
        <v/>
      </c>
      <c r="P48" s="37">
        <f>IF(OR(AP48="",P$5="-"),"",IFERROR(IF(INDEX(INDIRECT("'"&amp;$B48&amp;"'!$R$6:$R$205"),MATCH($AR48&amp;"|"&amp;P$5,INDIRECT("'"&amp;$B48&amp;"'!$AF$6:$AF$205"),0))="","",INDEX(INDIRECT("'"&amp;$B48&amp;"'!$R$6:$R$205"),MATCH($AR48&amp;"|"&amp;P$5,INDIRECT("'"&amp;$B48&amp;"'!$AF$6:$AF$205"),0))),"-"))</f>
        <v/>
      </c>
      <c r="Q48" s="37">
        <f>IF(OR(AP48="",Q$5="-"),"",IFERROR(IF(INDEX(INDIRECT("'"&amp;$B48&amp;"'!$R$6:$R$205"),MATCH($AR48&amp;"|"&amp;Q$5,INDIRECT("'"&amp;$B48&amp;"'!$AF$6:$AF$205"),0))="","",INDEX(INDIRECT("'"&amp;$B48&amp;"'!$R$6:$R$205"),MATCH($AR48&amp;"|"&amp;Q$5,INDIRECT("'"&amp;$B48&amp;"'!$AF$6:$AF$205"),0))),"-"))</f>
        <v/>
      </c>
      <c r="R48" s="37">
        <f>IF(OR(AP48="",R$5="-"),"",IFERROR(IF(INDEX(INDIRECT("'"&amp;$B48&amp;"'!$R$6:$R$205"),MATCH($AR48&amp;"|"&amp;R$5,INDIRECT("'"&amp;$B48&amp;"'!$AF$6:$AF$205"),0))="","",INDEX(INDIRECT("'"&amp;$B48&amp;"'!$R$6:$R$205"),MATCH($AR48&amp;"|"&amp;R$5,INDIRECT("'"&amp;$B48&amp;"'!$AF$6:$AF$205"),0))),"-"))</f>
        <v/>
      </c>
      <c r="S48" s="37">
        <f>IF(OR(AP48="",S$5="-"),"",IFERROR(IF(INDEX(INDIRECT("'"&amp;$B48&amp;"'!$R$6:$R$205"),MATCH($AR48&amp;"|"&amp;S$5,INDIRECT("'"&amp;$B48&amp;"'!$AF$6:$AF$205"),0))="","",INDEX(INDIRECT("'"&amp;$B48&amp;"'!$R$6:$R$205"),MATCH($AR48&amp;"|"&amp;S$5,INDIRECT("'"&amp;$B48&amp;"'!$AF$6:$AF$205"),0))),"-"))</f>
        <v/>
      </c>
      <c r="T48" s="37">
        <f>IF(OR(AP48="",T$5="-"),"",IFERROR(IF(INDEX(INDIRECT("'"&amp;$B48&amp;"'!$R$6:$R$205"),MATCH($AR48&amp;"|"&amp;T$5,INDIRECT("'"&amp;$B48&amp;"'!$AF$6:$AF$205"),0))="","",INDEX(INDIRECT("'"&amp;$B48&amp;"'!$R$6:$R$205"),MATCH($AR48&amp;"|"&amp;T$5,INDIRECT("'"&amp;$B48&amp;"'!$AF$6:$AF$205"),0))),"-"))</f>
        <v/>
      </c>
      <c r="U48" s="37">
        <f>IF(OR(AP48="",U$5="-"),"",IFERROR(IF(INDEX(INDIRECT("'"&amp;$B48&amp;"'!$R$6:$R$205"),MATCH($AR48&amp;"|"&amp;U$5,INDIRECT("'"&amp;$B48&amp;"'!$AF$6:$AF$205"),0))="","",INDEX(INDIRECT("'"&amp;$B48&amp;"'!$R$6:$R$205"),MATCH($AR48&amp;"|"&amp;U$5,INDIRECT("'"&amp;$B48&amp;"'!$AF$6:$AF$205"),0))),"-"))</f>
        <v/>
      </c>
      <c r="V48" s="37">
        <f>IF(OR(AP48="",V$5="-"),"",IFERROR(IF(INDEX(INDIRECT("'"&amp;$B48&amp;"'!$R$6:$R$205"),MATCH($AR48&amp;"|"&amp;V$5,INDIRECT("'"&amp;$B48&amp;"'!$AF$6:$AF$205"),0))="","",INDEX(INDIRECT("'"&amp;$B48&amp;"'!$R$6:$R$205"),MATCH($AR48&amp;"|"&amp;V$5,INDIRECT("'"&amp;$B48&amp;"'!$AF$6:$AF$205"),0))),"-"))</f>
        <v/>
      </c>
      <c r="W48" s="37">
        <f>IF(OR(AP48="",W$5="-"),"",IFERROR(IF(INDEX(INDIRECT("'"&amp;$B48&amp;"'!$R$6:$R$205"),MATCH($AR48&amp;"|"&amp;W$5,INDIRECT("'"&amp;$B48&amp;"'!$AF$6:$AF$205"),0))="","",INDEX(INDIRECT("'"&amp;$B48&amp;"'!$R$6:$R$205"),MATCH($AR48&amp;"|"&amp;W$5,INDIRECT("'"&amp;$B48&amp;"'!$AF$6:$AF$205"),0))),"-"))</f>
        <v/>
      </c>
      <c r="X48" s="38">
        <f>IF(OR(AP48="",X$5="-"),"",IFERROR(IF(INDEX(INDIRECT("'"&amp;$B48&amp;"'!$T$6:$T$205"),MATCH($AR48&amp;"|"&amp;X$5,INDIRECT("'"&amp;$B48&amp;"'!$AF$6:$AF$205"),0))="","",INDEX(INDIRECT("'"&amp;$B48&amp;"'!$T$6:$T$205"),MATCH($AR48&amp;"|"&amp;X$5,INDIRECT("'"&amp;$B48&amp;"'!$AF$6:$AF$205"),0))),"-"))</f>
        <v/>
      </c>
      <c r="Y48" s="38">
        <f>IF(OR(AP48="",Y$5="-"),"",IFERROR(IF(INDEX(INDIRECT("'"&amp;$B48&amp;"'!$T$6:$T$205"),MATCH($AR48&amp;"|"&amp;Y$5,INDIRECT("'"&amp;$B48&amp;"'!$AF$6:$AF$205"),0))="","",INDEX(INDIRECT("'"&amp;$B48&amp;"'!$T$6:$T$205"),MATCH($AR48&amp;"|"&amp;Y$5,INDIRECT("'"&amp;$B48&amp;"'!$AF$6:$AF$205"),0))),"-"))</f>
        <v/>
      </c>
      <c r="Z48" s="38">
        <f>IF(OR(AP48="",Z$5="-"),"",IFERROR(IF(INDEX(INDIRECT("'"&amp;$B48&amp;"'!$T$6:$T$205"),MATCH($AR48&amp;"|"&amp;Z$5,INDIRECT("'"&amp;$B48&amp;"'!$AF$6:$AF$205"),0))="","",INDEX(INDIRECT("'"&amp;$B48&amp;"'!$T$6:$T$205"),MATCH($AR48&amp;"|"&amp;Z$5,INDIRECT("'"&amp;$B48&amp;"'!$AF$6:$AF$205"),0))),"-"))</f>
        <v/>
      </c>
      <c r="AA48" s="38">
        <f>IF(OR(AP48="",AA$5="-"),"",IFERROR(IF(INDEX(INDIRECT("'"&amp;$B48&amp;"'!$T$6:$T$205"),MATCH($AR48&amp;"|"&amp;AA$5,INDIRECT("'"&amp;$B48&amp;"'!$AF$6:$AF$205"),0))="","",INDEX(INDIRECT("'"&amp;$B48&amp;"'!$T$6:$T$205"),MATCH($AR48&amp;"|"&amp;AA$5,INDIRECT("'"&amp;$B48&amp;"'!$AF$6:$AF$205"),0))),"-"))</f>
        <v/>
      </c>
      <c r="AB48" s="38">
        <f>IF(OR(AP48="",AB$5="-"),"",IFERROR(IF(INDEX(INDIRECT("'"&amp;$B48&amp;"'!$T$6:$T$205"),MATCH($AR48&amp;"|"&amp;AB$5,INDIRECT("'"&amp;$B48&amp;"'!$AF$6:$AF$205"),0))="","",INDEX(INDIRECT("'"&amp;$B48&amp;"'!$T$6:$T$205"),MATCH($AR48&amp;"|"&amp;AB$5,INDIRECT("'"&amp;$B48&amp;"'!$AF$6:$AF$205"),0))),"-"))</f>
        <v/>
      </c>
      <c r="AC48" s="38">
        <f>IF(OR(AP48="",AC$5="-"),"",IFERROR(IF(INDEX(INDIRECT("'"&amp;$B48&amp;"'!$T$6:$T$205"),MATCH($AR48&amp;"|"&amp;AC$5,INDIRECT("'"&amp;$B48&amp;"'!$AF$6:$AF$205"),0))="","",INDEX(INDIRECT("'"&amp;$B48&amp;"'!$T$6:$T$205"),MATCH($AR48&amp;"|"&amp;AC$5,INDIRECT("'"&amp;$B48&amp;"'!$AF$6:$AF$205"),0))),"-"))</f>
        <v/>
      </c>
      <c r="AD48" s="38">
        <f>IF(OR(AP48="",AD$5="-"),"",IFERROR(IF(INDEX(INDIRECT("'"&amp;$B48&amp;"'!$T$6:$T$205"),MATCH($AR48&amp;"|"&amp;AD$5,INDIRECT("'"&amp;$B48&amp;"'!$AF$6:$AF$205"),0))="","",INDEX(INDIRECT("'"&amp;$B48&amp;"'!$T$6:$T$205"),MATCH($AR48&amp;"|"&amp;AD$5,INDIRECT("'"&amp;$B48&amp;"'!$AF$6:$AF$205"),0))),"-"))</f>
        <v/>
      </c>
      <c r="AE48" s="38">
        <f>IF(OR(AP48="",AE$5="-"),"",IFERROR(IF(INDEX(INDIRECT("'"&amp;$B48&amp;"'!$T$6:$T$205"),MATCH($AR48&amp;"|"&amp;AE$5,INDIRECT("'"&amp;$B48&amp;"'!$AF$6:$AF$205"),0))="","",INDEX(INDIRECT("'"&amp;$B48&amp;"'!$T$6:$T$205"),MATCH($AR48&amp;"|"&amp;AE$5,INDIRECT("'"&amp;$B48&amp;"'!$AF$6:$AF$205"),0))),"-"))</f>
        <v/>
      </c>
      <c r="AF48" s="35">
        <f>IF(AG48="","",INDEX($P$5:$W$5,MATCH(AG48,P48:W48,0)))</f>
        <v/>
      </c>
      <c r="AG48" s="37">
        <f>IF(COUNT(P48:W48)=0,"",MIN(P48:W48))</f>
        <v/>
      </c>
      <c r="AH48" s="39">
        <f>IF(AG48="","",AG48*F48)</f>
        <v/>
      </c>
      <c r="AI48" s="39">
        <f>IF(COUNT(P48:W48)&lt;2,"",(MAX(P48:W48)-MIN(P48:W48))*F48)</f>
        <v/>
      </c>
      <c r="AJ48" s="20" t="n"/>
      <c r="AP48">
        <f>IF(43&gt;MAX($AN$6:$AN$9),"",COUNTIF($AN$6:$AN$9,"&lt;"&amp;43)+1)</f>
        <v/>
      </c>
      <c r="AQ48">
        <f>IF(AP48="","",43-INDEX($AO$6:$AO$9,AP48))</f>
        <v/>
      </c>
      <c r="AR48">
        <f>IF(AP48="","",INDEX(INDIRECT("'"&amp;$B48&amp;"'!$AE$6:$AE$205"),MATCH(AQ48,INDIRECT("'"&amp;$B48&amp;"'!$AI$6:$AI$205"),0)))</f>
        <v/>
      </c>
    </row>
    <row r="49">
      <c r="A49" s="34">
        <f>IF(AP49="","",44)</f>
        <v/>
      </c>
      <c r="B49" s="35">
        <f>IF(AP49="","",INDEX($AL$6:$AL$9,AP49))</f>
        <v/>
      </c>
      <c r="C49" s="34">
        <f>IF(AP49="","",INDEX(INDIRECT("'"&amp;$B49&amp;"'!$B$6:$B$205"),MATCH($AR49,INDIRECT("'"&amp;$B49&amp;"'!$AE$6:$AE$205"),0)))</f>
        <v/>
      </c>
      <c r="D49" s="34">
        <f>IF(AP49="","",INDEX(INDIRECT("'"&amp;$B49&amp;"'!$D$6:$D$205"),MATCH($AR49,INDIRECT("'"&amp;$B49&amp;"'!$AE$6:$AE$205"),0)))</f>
        <v/>
      </c>
      <c r="E49" s="36">
        <f>IF(AP49="","",INDEX(INDIRECT("'"&amp;$B49&amp;"'!$F$6:$F$205"),MATCH($AR49,INDIRECT("'"&amp;$B49&amp;"'!$AE$6:$AE$205"),0)))</f>
        <v/>
      </c>
      <c r="F49" s="34">
        <f>IF(AP49="","",INDEX(INDIRECT("'"&amp;$B49&amp;"'!$K$6:$K$205"),MATCH($AR49,INDIRECT("'"&amp;$B49&amp;"'!$AE$6:$AE$205"),0)))</f>
        <v/>
      </c>
      <c r="G49" s="34">
        <f>IF(AP49="","",INDEX(INDIRECT("'"&amp;$B49&amp;"'!$L$6:$L$205"),MATCH($AR49,INDIRECT("'"&amp;$B49&amp;"'!$AE$6:$AE$205"),0)))</f>
        <v/>
      </c>
      <c r="H49" s="34">
        <f>IF(OR(AP49="",H$5="-"),"",IFERROR(IF(INDEX(INDIRECT("'"&amp;$B49&amp;"'!$N$6:$N$205"),MATCH($AR49&amp;"|"&amp;H$5,INDIRECT("'"&amp;$B49&amp;"'!$AF$6:$AF$205"),0))="","",INDEX(INDIRECT("'"&amp;$B49&amp;"'!$N$6:$N$205"),MATCH($AR49&amp;"|"&amp;H$5,INDIRECT("'"&amp;$B49&amp;"'!$AF$6:$AF$205"),0))),"-"))</f>
        <v/>
      </c>
      <c r="I49" s="34">
        <f>IF(OR(AP49="",I$5="-"),"",IFERROR(IF(INDEX(INDIRECT("'"&amp;$B49&amp;"'!$N$6:$N$205"),MATCH($AR49&amp;"|"&amp;I$5,INDIRECT("'"&amp;$B49&amp;"'!$AF$6:$AF$205"),0))="","",INDEX(INDIRECT("'"&amp;$B49&amp;"'!$N$6:$N$205"),MATCH($AR49&amp;"|"&amp;I$5,INDIRECT("'"&amp;$B49&amp;"'!$AF$6:$AF$205"),0))),"-"))</f>
        <v/>
      </c>
      <c r="J49" s="34">
        <f>IF(OR(AP49="",J$5="-"),"",IFERROR(IF(INDEX(INDIRECT("'"&amp;$B49&amp;"'!$N$6:$N$205"),MATCH($AR49&amp;"|"&amp;J$5,INDIRECT("'"&amp;$B49&amp;"'!$AF$6:$AF$205"),0))="","",INDEX(INDIRECT("'"&amp;$B49&amp;"'!$N$6:$N$205"),MATCH($AR49&amp;"|"&amp;J$5,INDIRECT("'"&amp;$B49&amp;"'!$AF$6:$AF$205"),0))),"-"))</f>
        <v/>
      </c>
      <c r="K49" s="34">
        <f>IF(OR(AP49="",K$5="-"),"",IFERROR(IF(INDEX(INDIRECT("'"&amp;$B49&amp;"'!$N$6:$N$205"),MATCH($AR49&amp;"|"&amp;K$5,INDIRECT("'"&amp;$B49&amp;"'!$AF$6:$AF$205"),0))="","",INDEX(INDIRECT("'"&amp;$B49&amp;"'!$N$6:$N$205"),MATCH($AR49&amp;"|"&amp;K$5,INDIRECT("'"&amp;$B49&amp;"'!$AF$6:$AF$205"),0))),"-"))</f>
        <v/>
      </c>
      <c r="L49" s="34">
        <f>IF(OR(AP49="",L$5="-"),"",IFERROR(IF(INDEX(INDIRECT("'"&amp;$B49&amp;"'!$N$6:$N$205"),MATCH($AR49&amp;"|"&amp;L$5,INDIRECT("'"&amp;$B49&amp;"'!$AF$6:$AF$205"),0))="","",INDEX(INDIRECT("'"&amp;$B49&amp;"'!$N$6:$N$205"),MATCH($AR49&amp;"|"&amp;L$5,INDIRECT("'"&amp;$B49&amp;"'!$AF$6:$AF$205"),0))),"-"))</f>
        <v/>
      </c>
      <c r="M49" s="34">
        <f>IF(OR(AP49="",M$5="-"),"",IFERROR(IF(INDEX(INDIRECT("'"&amp;$B49&amp;"'!$N$6:$N$205"),MATCH($AR49&amp;"|"&amp;M$5,INDIRECT("'"&amp;$B49&amp;"'!$AF$6:$AF$205"),0))="","",INDEX(INDIRECT("'"&amp;$B49&amp;"'!$N$6:$N$205"),MATCH($AR49&amp;"|"&amp;M$5,INDIRECT("'"&amp;$B49&amp;"'!$AF$6:$AF$205"),0))),"-"))</f>
        <v/>
      </c>
      <c r="N49" s="34">
        <f>IF(OR(AP49="",N$5="-"),"",IFERROR(IF(INDEX(INDIRECT("'"&amp;$B49&amp;"'!$N$6:$N$205"),MATCH($AR49&amp;"|"&amp;N$5,INDIRECT("'"&amp;$B49&amp;"'!$AF$6:$AF$205"),0))="","",INDEX(INDIRECT("'"&amp;$B49&amp;"'!$N$6:$N$205"),MATCH($AR49&amp;"|"&amp;N$5,INDIRECT("'"&amp;$B49&amp;"'!$AF$6:$AF$205"),0))),"-"))</f>
        <v/>
      </c>
      <c r="O49" s="34">
        <f>IF(OR(AP49="",O$5="-"),"",IFERROR(IF(INDEX(INDIRECT("'"&amp;$B49&amp;"'!$N$6:$N$205"),MATCH($AR49&amp;"|"&amp;O$5,INDIRECT("'"&amp;$B49&amp;"'!$AF$6:$AF$205"),0))="","",INDEX(INDIRECT("'"&amp;$B49&amp;"'!$N$6:$N$205"),MATCH($AR49&amp;"|"&amp;O$5,INDIRECT("'"&amp;$B49&amp;"'!$AF$6:$AF$205"),0))),"-"))</f>
        <v/>
      </c>
      <c r="P49" s="37">
        <f>IF(OR(AP49="",P$5="-"),"",IFERROR(IF(INDEX(INDIRECT("'"&amp;$B49&amp;"'!$R$6:$R$205"),MATCH($AR49&amp;"|"&amp;P$5,INDIRECT("'"&amp;$B49&amp;"'!$AF$6:$AF$205"),0))="","",INDEX(INDIRECT("'"&amp;$B49&amp;"'!$R$6:$R$205"),MATCH($AR49&amp;"|"&amp;P$5,INDIRECT("'"&amp;$B49&amp;"'!$AF$6:$AF$205"),0))),"-"))</f>
        <v/>
      </c>
      <c r="Q49" s="37">
        <f>IF(OR(AP49="",Q$5="-"),"",IFERROR(IF(INDEX(INDIRECT("'"&amp;$B49&amp;"'!$R$6:$R$205"),MATCH($AR49&amp;"|"&amp;Q$5,INDIRECT("'"&amp;$B49&amp;"'!$AF$6:$AF$205"),0))="","",INDEX(INDIRECT("'"&amp;$B49&amp;"'!$R$6:$R$205"),MATCH($AR49&amp;"|"&amp;Q$5,INDIRECT("'"&amp;$B49&amp;"'!$AF$6:$AF$205"),0))),"-"))</f>
        <v/>
      </c>
      <c r="R49" s="37">
        <f>IF(OR(AP49="",R$5="-"),"",IFERROR(IF(INDEX(INDIRECT("'"&amp;$B49&amp;"'!$R$6:$R$205"),MATCH($AR49&amp;"|"&amp;R$5,INDIRECT("'"&amp;$B49&amp;"'!$AF$6:$AF$205"),0))="","",INDEX(INDIRECT("'"&amp;$B49&amp;"'!$R$6:$R$205"),MATCH($AR49&amp;"|"&amp;R$5,INDIRECT("'"&amp;$B49&amp;"'!$AF$6:$AF$205"),0))),"-"))</f>
        <v/>
      </c>
      <c r="S49" s="37">
        <f>IF(OR(AP49="",S$5="-"),"",IFERROR(IF(INDEX(INDIRECT("'"&amp;$B49&amp;"'!$R$6:$R$205"),MATCH($AR49&amp;"|"&amp;S$5,INDIRECT("'"&amp;$B49&amp;"'!$AF$6:$AF$205"),0))="","",INDEX(INDIRECT("'"&amp;$B49&amp;"'!$R$6:$R$205"),MATCH($AR49&amp;"|"&amp;S$5,INDIRECT("'"&amp;$B49&amp;"'!$AF$6:$AF$205"),0))),"-"))</f>
        <v/>
      </c>
      <c r="T49" s="37">
        <f>IF(OR(AP49="",T$5="-"),"",IFERROR(IF(INDEX(INDIRECT("'"&amp;$B49&amp;"'!$R$6:$R$205"),MATCH($AR49&amp;"|"&amp;T$5,INDIRECT("'"&amp;$B49&amp;"'!$AF$6:$AF$205"),0))="","",INDEX(INDIRECT("'"&amp;$B49&amp;"'!$R$6:$R$205"),MATCH($AR49&amp;"|"&amp;T$5,INDIRECT("'"&amp;$B49&amp;"'!$AF$6:$AF$205"),0))),"-"))</f>
        <v/>
      </c>
      <c r="U49" s="37">
        <f>IF(OR(AP49="",U$5="-"),"",IFERROR(IF(INDEX(INDIRECT("'"&amp;$B49&amp;"'!$R$6:$R$205"),MATCH($AR49&amp;"|"&amp;U$5,INDIRECT("'"&amp;$B49&amp;"'!$AF$6:$AF$205"),0))="","",INDEX(INDIRECT("'"&amp;$B49&amp;"'!$R$6:$R$205"),MATCH($AR49&amp;"|"&amp;U$5,INDIRECT("'"&amp;$B49&amp;"'!$AF$6:$AF$205"),0))),"-"))</f>
        <v/>
      </c>
      <c r="V49" s="37">
        <f>IF(OR(AP49="",V$5="-"),"",IFERROR(IF(INDEX(INDIRECT("'"&amp;$B49&amp;"'!$R$6:$R$205"),MATCH($AR49&amp;"|"&amp;V$5,INDIRECT("'"&amp;$B49&amp;"'!$AF$6:$AF$205"),0))="","",INDEX(INDIRECT("'"&amp;$B49&amp;"'!$R$6:$R$205"),MATCH($AR49&amp;"|"&amp;V$5,INDIRECT("'"&amp;$B49&amp;"'!$AF$6:$AF$205"),0))),"-"))</f>
        <v/>
      </c>
      <c r="W49" s="37">
        <f>IF(OR(AP49="",W$5="-"),"",IFERROR(IF(INDEX(INDIRECT("'"&amp;$B49&amp;"'!$R$6:$R$205"),MATCH($AR49&amp;"|"&amp;W$5,INDIRECT("'"&amp;$B49&amp;"'!$AF$6:$AF$205"),0))="","",INDEX(INDIRECT("'"&amp;$B49&amp;"'!$R$6:$R$205"),MATCH($AR49&amp;"|"&amp;W$5,INDIRECT("'"&amp;$B49&amp;"'!$AF$6:$AF$205"),0))),"-"))</f>
        <v/>
      </c>
      <c r="X49" s="38">
        <f>IF(OR(AP49="",X$5="-"),"",IFERROR(IF(INDEX(INDIRECT("'"&amp;$B49&amp;"'!$T$6:$T$205"),MATCH($AR49&amp;"|"&amp;X$5,INDIRECT("'"&amp;$B49&amp;"'!$AF$6:$AF$205"),0))="","",INDEX(INDIRECT("'"&amp;$B49&amp;"'!$T$6:$T$205"),MATCH($AR49&amp;"|"&amp;X$5,INDIRECT("'"&amp;$B49&amp;"'!$AF$6:$AF$205"),0))),"-"))</f>
        <v/>
      </c>
      <c r="Y49" s="38">
        <f>IF(OR(AP49="",Y$5="-"),"",IFERROR(IF(INDEX(INDIRECT("'"&amp;$B49&amp;"'!$T$6:$T$205"),MATCH($AR49&amp;"|"&amp;Y$5,INDIRECT("'"&amp;$B49&amp;"'!$AF$6:$AF$205"),0))="","",INDEX(INDIRECT("'"&amp;$B49&amp;"'!$T$6:$T$205"),MATCH($AR49&amp;"|"&amp;Y$5,INDIRECT("'"&amp;$B49&amp;"'!$AF$6:$AF$205"),0))),"-"))</f>
        <v/>
      </c>
      <c r="Z49" s="38">
        <f>IF(OR(AP49="",Z$5="-"),"",IFERROR(IF(INDEX(INDIRECT("'"&amp;$B49&amp;"'!$T$6:$T$205"),MATCH($AR49&amp;"|"&amp;Z$5,INDIRECT("'"&amp;$B49&amp;"'!$AF$6:$AF$205"),0))="","",INDEX(INDIRECT("'"&amp;$B49&amp;"'!$T$6:$T$205"),MATCH($AR49&amp;"|"&amp;Z$5,INDIRECT("'"&amp;$B49&amp;"'!$AF$6:$AF$205"),0))),"-"))</f>
        <v/>
      </c>
      <c r="AA49" s="38">
        <f>IF(OR(AP49="",AA$5="-"),"",IFERROR(IF(INDEX(INDIRECT("'"&amp;$B49&amp;"'!$T$6:$T$205"),MATCH($AR49&amp;"|"&amp;AA$5,INDIRECT("'"&amp;$B49&amp;"'!$AF$6:$AF$205"),0))="","",INDEX(INDIRECT("'"&amp;$B49&amp;"'!$T$6:$T$205"),MATCH($AR49&amp;"|"&amp;AA$5,INDIRECT("'"&amp;$B49&amp;"'!$AF$6:$AF$205"),0))),"-"))</f>
        <v/>
      </c>
      <c r="AB49" s="38">
        <f>IF(OR(AP49="",AB$5="-"),"",IFERROR(IF(INDEX(INDIRECT("'"&amp;$B49&amp;"'!$T$6:$T$205"),MATCH($AR49&amp;"|"&amp;AB$5,INDIRECT("'"&amp;$B49&amp;"'!$AF$6:$AF$205"),0))="","",INDEX(INDIRECT("'"&amp;$B49&amp;"'!$T$6:$T$205"),MATCH($AR49&amp;"|"&amp;AB$5,INDIRECT("'"&amp;$B49&amp;"'!$AF$6:$AF$205"),0))),"-"))</f>
        <v/>
      </c>
      <c r="AC49" s="38">
        <f>IF(OR(AP49="",AC$5="-"),"",IFERROR(IF(INDEX(INDIRECT("'"&amp;$B49&amp;"'!$T$6:$T$205"),MATCH($AR49&amp;"|"&amp;AC$5,INDIRECT("'"&amp;$B49&amp;"'!$AF$6:$AF$205"),0))="","",INDEX(INDIRECT("'"&amp;$B49&amp;"'!$T$6:$T$205"),MATCH($AR49&amp;"|"&amp;AC$5,INDIRECT("'"&amp;$B49&amp;"'!$AF$6:$AF$205"),0))),"-"))</f>
        <v/>
      </c>
      <c r="AD49" s="38">
        <f>IF(OR(AP49="",AD$5="-"),"",IFERROR(IF(INDEX(INDIRECT("'"&amp;$B49&amp;"'!$T$6:$T$205"),MATCH($AR49&amp;"|"&amp;AD$5,INDIRECT("'"&amp;$B49&amp;"'!$AF$6:$AF$205"),0))="","",INDEX(INDIRECT("'"&amp;$B49&amp;"'!$T$6:$T$205"),MATCH($AR49&amp;"|"&amp;AD$5,INDIRECT("'"&amp;$B49&amp;"'!$AF$6:$AF$205"),0))),"-"))</f>
        <v/>
      </c>
      <c r="AE49" s="38">
        <f>IF(OR(AP49="",AE$5="-"),"",IFERROR(IF(INDEX(INDIRECT("'"&amp;$B49&amp;"'!$T$6:$T$205"),MATCH($AR49&amp;"|"&amp;AE$5,INDIRECT("'"&amp;$B49&amp;"'!$AF$6:$AF$205"),0))="","",INDEX(INDIRECT("'"&amp;$B49&amp;"'!$T$6:$T$205"),MATCH($AR49&amp;"|"&amp;AE$5,INDIRECT("'"&amp;$B49&amp;"'!$AF$6:$AF$205"),0))),"-"))</f>
        <v/>
      </c>
      <c r="AF49" s="35">
        <f>IF(AG49="","",INDEX($P$5:$W$5,MATCH(AG49,P49:W49,0)))</f>
        <v/>
      </c>
      <c r="AG49" s="37">
        <f>IF(COUNT(P49:W49)=0,"",MIN(P49:W49))</f>
        <v/>
      </c>
      <c r="AH49" s="39">
        <f>IF(AG49="","",AG49*F49)</f>
        <v/>
      </c>
      <c r="AI49" s="39">
        <f>IF(COUNT(P49:W49)&lt;2,"",(MAX(P49:W49)-MIN(P49:W49))*F49)</f>
        <v/>
      </c>
      <c r="AJ49" s="20" t="n"/>
      <c r="AP49">
        <f>IF(44&gt;MAX($AN$6:$AN$9),"",COUNTIF($AN$6:$AN$9,"&lt;"&amp;44)+1)</f>
        <v/>
      </c>
      <c r="AQ49">
        <f>IF(AP49="","",44-INDEX($AO$6:$AO$9,AP49))</f>
        <v/>
      </c>
      <c r="AR49">
        <f>IF(AP49="","",INDEX(INDIRECT("'"&amp;$B49&amp;"'!$AE$6:$AE$205"),MATCH(AQ49,INDIRECT("'"&amp;$B49&amp;"'!$AI$6:$AI$205"),0)))</f>
        <v/>
      </c>
    </row>
    <row r="50">
      <c r="A50" s="34">
        <f>IF(AP50="","",45)</f>
        <v/>
      </c>
      <c r="B50" s="35">
        <f>IF(AP50="","",INDEX($AL$6:$AL$9,AP50))</f>
        <v/>
      </c>
      <c r="C50" s="34">
        <f>IF(AP50="","",INDEX(INDIRECT("'"&amp;$B50&amp;"'!$B$6:$B$205"),MATCH($AR50,INDIRECT("'"&amp;$B50&amp;"'!$AE$6:$AE$205"),0)))</f>
        <v/>
      </c>
      <c r="D50" s="34">
        <f>IF(AP50="","",INDEX(INDIRECT("'"&amp;$B50&amp;"'!$D$6:$D$205"),MATCH($AR50,INDIRECT("'"&amp;$B50&amp;"'!$AE$6:$AE$205"),0)))</f>
        <v/>
      </c>
      <c r="E50" s="36">
        <f>IF(AP50="","",INDEX(INDIRECT("'"&amp;$B50&amp;"'!$F$6:$F$205"),MATCH($AR50,INDIRECT("'"&amp;$B50&amp;"'!$AE$6:$AE$205"),0)))</f>
        <v/>
      </c>
      <c r="F50" s="34">
        <f>IF(AP50="","",INDEX(INDIRECT("'"&amp;$B50&amp;"'!$K$6:$K$205"),MATCH($AR50,INDIRECT("'"&amp;$B50&amp;"'!$AE$6:$AE$205"),0)))</f>
        <v/>
      </c>
      <c r="G50" s="34">
        <f>IF(AP50="","",INDEX(INDIRECT("'"&amp;$B50&amp;"'!$L$6:$L$205"),MATCH($AR50,INDIRECT("'"&amp;$B50&amp;"'!$AE$6:$AE$205"),0)))</f>
        <v/>
      </c>
      <c r="H50" s="34">
        <f>IF(OR(AP50="",H$5="-"),"",IFERROR(IF(INDEX(INDIRECT("'"&amp;$B50&amp;"'!$N$6:$N$205"),MATCH($AR50&amp;"|"&amp;H$5,INDIRECT("'"&amp;$B50&amp;"'!$AF$6:$AF$205"),0))="","",INDEX(INDIRECT("'"&amp;$B50&amp;"'!$N$6:$N$205"),MATCH($AR50&amp;"|"&amp;H$5,INDIRECT("'"&amp;$B50&amp;"'!$AF$6:$AF$205"),0))),"-"))</f>
        <v/>
      </c>
      <c r="I50" s="34">
        <f>IF(OR(AP50="",I$5="-"),"",IFERROR(IF(INDEX(INDIRECT("'"&amp;$B50&amp;"'!$N$6:$N$205"),MATCH($AR50&amp;"|"&amp;I$5,INDIRECT("'"&amp;$B50&amp;"'!$AF$6:$AF$205"),0))="","",INDEX(INDIRECT("'"&amp;$B50&amp;"'!$N$6:$N$205"),MATCH($AR50&amp;"|"&amp;I$5,INDIRECT("'"&amp;$B50&amp;"'!$AF$6:$AF$205"),0))),"-"))</f>
        <v/>
      </c>
      <c r="J50" s="34">
        <f>IF(OR(AP50="",J$5="-"),"",IFERROR(IF(INDEX(INDIRECT("'"&amp;$B50&amp;"'!$N$6:$N$205"),MATCH($AR50&amp;"|"&amp;J$5,INDIRECT("'"&amp;$B50&amp;"'!$AF$6:$AF$205"),0))="","",INDEX(INDIRECT("'"&amp;$B50&amp;"'!$N$6:$N$205"),MATCH($AR50&amp;"|"&amp;J$5,INDIRECT("'"&amp;$B50&amp;"'!$AF$6:$AF$205"),0))),"-"))</f>
        <v/>
      </c>
      <c r="K50" s="34">
        <f>IF(OR(AP50="",K$5="-"),"",IFERROR(IF(INDEX(INDIRECT("'"&amp;$B50&amp;"'!$N$6:$N$205"),MATCH($AR50&amp;"|"&amp;K$5,INDIRECT("'"&amp;$B50&amp;"'!$AF$6:$AF$205"),0))="","",INDEX(INDIRECT("'"&amp;$B50&amp;"'!$N$6:$N$205"),MATCH($AR50&amp;"|"&amp;K$5,INDIRECT("'"&amp;$B50&amp;"'!$AF$6:$AF$205"),0))),"-"))</f>
        <v/>
      </c>
      <c r="L50" s="34">
        <f>IF(OR(AP50="",L$5="-"),"",IFERROR(IF(INDEX(INDIRECT("'"&amp;$B50&amp;"'!$N$6:$N$205"),MATCH($AR50&amp;"|"&amp;L$5,INDIRECT("'"&amp;$B50&amp;"'!$AF$6:$AF$205"),0))="","",INDEX(INDIRECT("'"&amp;$B50&amp;"'!$N$6:$N$205"),MATCH($AR50&amp;"|"&amp;L$5,INDIRECT("'"&amp;$B50&amp;"'!$AF$6:$AF$205"),0))),"-"))</f>
        <v/>
      </c>
      <c r="M50" s="34">
        <f>IF(OR(AP50="",M$5="-"),"",IFERROR(IF(INDEX(INDIRECT("'"&amp;$B50&amp;"'!$N$6:$N$205"),MATCH($AR50&amp;"|"&amp;M$5,INDIRECT("'"&amp;$B50&amp;"'!$AF$6:$AF$205"),0))="","",INDEX(INDIRECT("'"&amp;$B50&amp;"'!$N$6:$N$205"),MATCH($AR50&amp;"|"&amp;M$5,INDIRECT("'"&amp;$B50&amp;"'!$AF$6:$AF$205"),0))),"-"))</f>
        <v/>
      </c>
      <c r="N50" s="34">
        <f>IF(OR(AP50="",N$5="-"),"",IFERROR(IF(INDEX(INDIRECT("'"&amp;$B50&amp;"'!$N$6:$N$205"),MATCH($AR50&amp;"|"&amp;N$5,INDIRECT("'"&amp;$B50&amp;"'!$AF$6:$AF$205"),0))="","",INDEX(INDIRECT("'"&amp;$B50&amp;"'!$N$6:$N$205"),MATCH($AR50&amp;"|"&amp;N$5,INDIRECT("'"&amp;$B50&amp;"'!$AF$6:$AF$205"),0))),"-"))</f>
        <v/>
      </c>
      <c r="O50" s="34">
        <f>IF(OR(AP50="",O$5="-"),"",IFERROR(IF(INDEX(INDIRECT("'"&amp;$B50&amp;"'!$N$6:$N$205"),MATCH($AR50&amp;"|"&amp;O$5,INDIRECT("'"&amp;$B50&amp;"'!$AF$6:$AF$205"),0))="","",INDEX(INDIRECT("'"&amp;$B50&amp;"'!$N$6:$N$205"),MATCH($AR50&amp;"|"&amp;O$5,INDIRECT("'"&amp;$B50&amp;"'!$AF$6:$AF$205"),0))),"-"))</f>
        <v/>
      </c>
      <c r="P50" s="37">
        <f>IF(OR(AP50="",P$5="-"),"",IFERROR(IF(INDEX(INDIRECT("'"&amp;$B50&amp;"'!$R$6:$R$205"),MATCH($AR50&amp;"|"&amp;P$5,INDIRECT("'"&amp;$B50&amp;"'!$AF$6:$AF$205"),0))="","",INDEX(INDIRECT("'"&amp;$B50&amp;"'!$R$6:$R$205"),MATCH($AR50&amp;"|"&amp;P$5,INDIRECT("'"&amp;$B50&amp;"'!$AF$6:$AF$205"),0))),"-"))</f>
        <v/>
      </c>
      <c r="Q50" s="37">
        <f>IF(OR(AP50="",Q$5="-"),"",IFERROR(IF(INDEX(INDIRECT("'"&amp;$B50&amp;"'!$R$6:$R$205"),MATCH($AR50&amp;"|"&amp;Q$5,INDIRECT("'"&amp;$B50&amp;"'!$AF$6:$AF$205"),0))="","",INDEX(INDIRECT("'"&amp;$B50&amp;"'!$R$6:$R$205"),MATCH($AR50&amp;"|"&amp;Q$5,INDIRECT("'"&amp;$B50&amp;"'!$AF$6:$AF$205"),0))),"-"))</f>
        <v/>
      </c>
      <c r="R50" s="37">
        <f>IF(OR(AP50="",R$5="-"),"",IFERROR(IF(INDEX(INDIRECT("'"&amp;$B50&amp;"'!$R$6:$R$205"),MATCH($AR50&amp;"|"&amp;R$5,INDIRECT("'"&amp;$B50&amp;"'!$AF$6:$AF$205"),0))="","",INDEX(INDIRECT("'"&amp;$B50&amp;"'!$R$6:$R$205"),MATCH($AR50&amp;"|"&amp;R$5,INDIRECT("'"&amp;$B50&amp;"'!$AF$6:$AF$205"),0))),"-"))</f>
        <v/>
      </c>
      <c r="S50" s="37">
        <f>IF(OR(AP50="",S$5="-"),"",IFERROR(IF(INDEX(INDIRECT("'"&amp;$B50&amp;"'!$R$6:$R$205"),MATCH($AR50&amp;"|"&amp;S$5,INDIRECT("'"&amp;$B50&amp;"'!$AF$6:$AF$205"),0))="","",INDEX(INDIRECT("'"&amp;$B50&amp;"'!$R$6:$R$205"),MATCH($AR50&amp;"|"&amp;S$5,INDIRECT("'"&amp;$B50&amp;"'!$AF$6:$AF$205"),0))),"-"))</f>
        <v/>
      </c>
      <c r="T50" s="37">
        <f>IF(OR(AP50="",T$5="-"),"",IFERROR(IF(INDEX(INDIRECT("'"&amp;$B50&amp;"'!$R$6:$R$205"),MATCH($AR50&amp;"|"&amp;T$5,INDIRECT("'"&amp;$B50&amp;"'!$AF$6:$AF$205"),0))="","",INDEX(INDIRECT("'"&amp;$B50&amp;"'!$R$6:$R$205"),MATCH($AR50&amp;"|"&amp;T$5,INDIRECT("'"&amp;$B50&amp;"'!$AF$6:$AF$205"),0))),"-"))</f>
        <v/>
      </c>
      <c r="U50" s="37">
        <f>IF(OR(AP50="",U$5="-"),"",IFERROR(IF(INDEX(INDIRECT("'"&amp;$B50&amp;"'!$R$6:$R$205"),MATCH($AR50&amp;"|"&amp;U$5,INDIRECT("'"&amp;$B50&amp;"'!$AF$6:$AF$205"),0))="","",INDEX(INDIRECT("'"&amp;$B50&amp;"'!$R$6:$R$205"),MATCH($AR50&amp;"|"&amp;U$5,INDIRECT("'"&amp;$B50&amp;"'!$AF$6:$AF$205"),0))),"-"))</f>
        <v/>
      </c>
      <c r="V50" s="37">
        <f>IF(OR(AP50="",V$5="-"),"",IFERROR(IF(INDEX(INDIRECT("'"&amp;$B50&amp;"'!$R$6:$R$205"),MATCH($AR50&amp;"|"&amp;V$5,INDIRECT("'"&amp;$B50&amp;"'!$AF$6:$AF$205"),0))="","",INDEX(INDIRECT("'"&amp;$B50&amp;"'!$R$6:$R$205"),MATCH($AR50&amp;"|"&amp;V$5,INDIRECT("'"&amp;$B50&amp;"'!$AF$6:$AF$205"),0))),"-"))</f>
        <v/>
      </c>
      <c r="W50" s="37">
        <f>IF(OR(AP50="",W$5="-"),"",IFERROR(IF(INDEX(INDIRECT("'"&amp;$B50&amp;"'!$R$6:$R$205"),MATCH($AR50&amp;"|"&amp;W$5,INDIRECT("'"&amp;$B50&amp;"'!$AF$6:$AF$205"),0))="","",INDEX(INDIRECT("'"&amp;$B50&amp;"'!$R$6:$R$205"),MATCH($AR50&amp;"|"&amp;W$5,INDIRECT("'"&amp;$B50&amp;"'!$AF$6:$AF$205"),0))),"-"))</f>
        <v/>
      </c>
      <c r="X50" s="38">
        <f>IF(OR(AP50="",X$5="-"),"",IFERROR(IF(INDEX(INDIRECT("'"&amp;$B50&amp;"'!$T$6:$T$205"),MATCH($AR50&amp;"|"&amp;X$5,INDIRECT("'"&amp;$B50&amp;"'!$AF$6:$AF$205"),0))="","",INDEX(INDIRECT("'"&amp;$B50&amp;"'!$T$6:$T$205"),MATCH($AR50&amp;"|"&amp;X$5,INDIRECT("'"&amp;$B50&amp;"'!$AF$6:$AF$205"),0))),"-"))</f>
        <v/>
      </c>
      <c r="Y50" s="38">
        <f>IF(OR(AP50="",Y$5="-"),"",IFERROR(IF(INDEX(INDIRECT("'"&amp;$B50&amp;"'!$T$6:$T$205"),MATCH($AR50&amp;"|"&amp;Y$5,INDIRECT("'"&amp;$B50&amp;"'!$AF$6:$AF$205"),0))="","",INDEX(INDIRECT("'"&amp;$B50&amp;"'!$T$6:$T$205"),MATCH($AR50&amp;"|"&amp;Y$5,INDIRECT("'"&amp;$B50&amp;"'!$AF$6:$AF$205"),0))),"-"))</f>
        <v/>
      </c>
      <c r="Z50" s="38">
        <f>IF(OR(AP50="",Z$5="-"),"",IFERROR(IF(INDEX(INDIRECT("'"&amp;$B50&amp;"'!$T$6:$T$205"),MATCH($AR50&amp;"|"&amp;Z$5,INDIRECT("'"&amp;$B50&amp;"'!$AF$6:$AF$205"),0))="","",INDEX(INDIRECT("'"&amp;$B50&amp;"'!$T$6:$T$205"),MATCH($AR50&amp;"|"&amp;Z$5,INDIRECT("'"&amp;$B50&amp;"'!$AF$6:$AF$205"),0))),"-"))</f>
        <v/>
      </c>
      <c r="AA50" s="38">
        <f>IF(OR(AP50="",AA$5="-"),"",IFERROR(IF(INDEX(INDIRECT("'"&amp;$B50&amp;"'!$T$6:$T$205"),MATCH($AR50&amp;"|"&amp;AA$5,INDIRECT("'"&amp;$B50&amp;"'!$AF$6:$AF$205"),0))="","",INDEX(INDIRECT("'"&amp;$B50&amp;"'!$T$6:$T$205"),MATCH($AR50&amp;"|"&amp;AA$5,INDIRECT("'"&amp;$B50&amp;"'!$AF$6:$AF$205"),0))),"-"))</f>
        <v/>
      </c>
      <c r="AB50" s="38">
        <f>IF(OR(AP50="",AB$5="-"),"",IFERROR(IF(INDEX(INDIRECT("'"&amp;$B50&amp;"'!$T$6:$T$205"),MATCH($AR50&amp;"|"&amp;AB$5,INDIRECT("'"&amp;$B50&amp;"'!$AF$6:$AF$205"),0))="","",INDEX(INDIRECT("'"&amp;$B50&amp;"'!$T$6:$T$205"),MATCH($AR50&amp;"|"&amp;AB$5,INDIRECT("'"&amp;$B50&amp;"'!$AF$6:$AF$205"),0))),"-"))</f>
        <v/>
      </c>
      <c r="AC50" s="38">
        <f>IF(OR(AP50="",AC$5="-"),"",IFERROR(IF(INDEX(INDIRECT("'"&amp;$B50&amp;"'!$T$6:$T$205"),MATCH($AR50&amp;"|"&amp;AC$5,INDIRECT("'"&amp;$B50&amp;"'!$AF$6:$AF$205"),0))="","",INDEX(INDIRECT("'"&amp;$B50&amp;"'!$T$6:$T$205"),MATCH($AR50&amp;"|"&amp;AC$5,INDIRECT("'"&amp;$B50&amp;"'!$AF$6:$AF$205"),0))),"-"))</f>
        <v/>
      </c>
      <c r="AD50" s="38">
        <f>IF(OR(AP50="",AD$5="-"),"",IFERROR(IF(INDEX(INDIRECT("'"&amp;$B50&amp;"'!$T$6:$T$205"),MATCH($AR50&amp;"|"&amp;AD$5,INDIRECT("'"&amp;$B50&amp;"'!$AF$6:$AF$205"),0))="","",INDEX(INDIRECT("'"&amp;$B50&amp;"'!$T$6:$T$205"),MATCH($AR50&amp;"|"&amp;AD$5,INDIRECT("'"&amp;$B50&amp;"'!$AF$6:$AF$205"),0))),"-"))</f>
        <v/>
      </c>
      <c r="AE50" s="38">
        <f>IF(OR(AP50="",AE$5="-"),"",IFERROR(IF(INDEX(INDIRECT("'"&amp;$B50&amp;"'!$T$6:$T$205"),MATCH($AR50&amp;"|"&amp;AE$5,INDIRECT("'"&amp;$B50&amp;"'!$AF$6:$AF$205"),0))="","",INDEX(INDIRECT("'"&amp;$B50&amp;"'!$T$6:$T$205"),MATCH($AR50&amp;"|"&amp;AE$5,INDIRECT("'"&amp;$B50&amp;"'!$AF$6:$AF$205"),0))),"-"))</f>
        <v/>
      </c>
      <c r="AF50" s="35">
        <f>IF(AG50="","",INDEX($P$5:$W$5,MATCH(AG50,P50:W50,0)))</f>
        <v/>
      </c>
      <c r="AG50" s="37">
        <f>IF(COUNT(P50:W50)=0,"",MIN(P50:W50))</f>
        <v/>
      </c>
      <c r="AH50" s="39">
        <f>IF(AG50="","",AG50*F50)</f>
        <v/>
      </c>
      <c r="AI50" s="39">
        <f>IF(COUNT(P50:W50)&lt;2,"",(MAX(P50:W50)-MIN(P50:W50))*F50)</f>
        <v/>
      </c>
      <c r="AJ50" s="20" t="n"/>
      <c r="AP50">
        <f>IF(45&gt;MAX($AN$6:$AN$9),"",COUNTIF($AN$6:$AN$9,"&lt;"&amp;45)+1)</f>
        <v/>
      </c>
      <c r="AQ50">
        <f>IF(AP50="","",45-INDEX($AO$6:$AO$9,AP50))</f>
        <v/>
      </c>
      <c r="AR50">
        <f>IF(AP50="","",INDEX(INDIRECT("'"&amp;$B50&amp;"'!$AE$6:$AE$205"),MATCH(AQ50,INDIRECT("'"&amp;$B50&amp;"'!$AI$6:$AI$205"),0)))</f>
        <v/>
      </c>
    </row>
    <row r="51">
      <c r="A51" s="34">
        <f>IF(AP51="","",46)</f>
        <v/>
      </c>
      <c r="B51" s="35">
        <f>IF(AP51="","",INDEX($AL$6:$AL$9,AP51))</f>
        <v/>
      </c>
      <c r="C51" s="34">
        <f>IF(AP51="","",INDEX(INDIRECT("'"&amp;$B51&amp;"'!$B$6:$B$205"),MATCH($AR51,INDIRECT("'"&amp;$B51&amp;"'!$AE$6:$AE$205"),0)))</f>
        <v/>
      </c>
      <c r="D51" s="34">
        <f>IF(AP51="","",INDEX(INDIRECT("'"&amp;$B51&amp;"'!$D$6:$D$205"),MATCH($AR51,INDIRECT("'"&amp;$B51&amp;"'!$AE$6:$AE$205"),0)))</f>
        <v/>
      </c>
      <c r="E51" s="36">
        <f>IF(AP51="","",INDEX(INDIRECT("'"&amp;$B51&amp;"'!$F$6:$F$205"),MATCH($AR51,INDIRECT("'"&amp;$B51&amp;"'!$AE$6:$AE$205"),0)))</f>
        <v/>
      </c>
      <c r="F51" s="34">
        <f>IF(AP51="","",INDEX(INDIRECT("'"&amp;$B51&amp;"'!$K$6:$K$205"),MATCH($AR51,INDIRECT("'"&amp;$B51&amp;"'!$AE$6:$AE$205"),0)))</f>
        <v/>
      </c>
      <c r="G51" s="34">
        <f>IF(AP51="","",INDEX(INDIRECT("'"&amp;$B51&amp;"'!$L$6:$L$205"),MATCH($AR51,INDIRECT("'"&amp;$B51&amp;"'!$AE$6:$AE$205"),0)))</f>
        <v/>
      </c>
      <c r="H51" s="34">
        <f>IF(OR(AP51="",H$5="-"),"",IFERROR(IF(INDEX(INDIRECT("'"&amp;$B51&amp;"'!$N$6:$N$205"),MATCH($AR51&amp;"|"&amp;H$5,INDIRECT("'"&amp;$B51&amp;"'!$AF$6:$AF$205"),0))="","",INDEX(INDIRECT("'"&amp;$B51&amp;"'!$N$6:$N$205"),MATCH($AR51&amp;"|"&amp;H$5,INDIRECT("'"&amp;$B51&amp;"'!$AF$6:$AF$205"),0))),"-"))</f>
        <v/>
      </c>
      <c r="I51" s="34">
        <f>IF(OR(AP51="",I$5="-"),"",IFERROR(IF(INDEX(INDIRECT("'"&amp;$B51&amp;"'!$N$6:$N$205"),MATCH($AR51&amp;"|"&amp;I$5,INDIRECT("'"&amp;$B51&amp;"'!$AF$6:$AF$205"),0))="","",INDEX(INDIRECT("'"&amp;$B51&amp;"'!$N$6:$N$205"),MATCH($AR51&amp;"|"&amp;I$5,INDIRECT("'"&amp;$B51&amp;"'!$AF$6:$AF$205"),0))),"-"))</f>
        <v/>
      </c>
      <c r="J51" s="34">
        <f>IF(OR(AP51="",J$5="-"),"",IFERROR(IF(INDEX(INDIRECT("'"&amp;$B51&amp;"'!$N$6:$N$205"),MATCH($AR51&amp;"|"&amp;J$5,INDIRECT("'"&amp;$B51&amp;"'!$AF$6:$AF$205"),0))="","",INDEX(INDIRECT("'"&amp;$B51&amp;"'!$N$6:$N$205"),MATCH($AR51&amp;"|"&amp;J$5,INDIRECT("'"&amp;$B51&amp;"'!$AF$6:$AF$205"),0))),"-"))</f>
        <v/>
      </c>
      <c r="K51" s="34">
        <f>IF(OR(AP51="",K$5="-"),"",IFERROR(IF(INDEX(INDIRECT("'"&amp;$B51&amp;"'!$N$6:$N$205"),MATCH($AR51&amp;"|"&amp;K$5,INDIRECT("'"&amp;$B51&amp;"'!$AF$6:$AF$205"),0))="","",INDEX(INDIRECT("'"&amp;$B51&amp;"'!$N$6:$N$205"),MATCH($AR51&amp;"|"&amp;K$5,INDIRECT("'"&amp;$B51&amp;"'!$AF$6:$AF$205"),0))),"-"))</f>
        <v/>
      </c>
      <c r="L51" s="34">
        <f>IF(OR(AP51="",L$5="-"),"",IFERROR(IF(INDEX(INDIRECT("'"&amp;$B51&amp;"'!$N$6:$N$205"),MATCH($AR51&amp;"|"&amp;L$5,INDIRECT("'"&amp;$B51&amp;"'!$AF$6:$AF$205"),0))="","",INDEX(INDIRECT("'"&amp;$B51&amp;"'!$N$6:$N$205"),MATCH($AR51&amp;"|"&amp;L$5,INDIRECT("'"&amp;$B51&amp;"'!$AF$6:$AF$205"),0))),"-"))</f>
        <v/>
      </c>
      <c r="M51" s="34">
        <f>IF(OR(AP51="",M$5="-"),"",IFERROR(IF(INDEX(INDIRECT("'"&amp;$B51&amp;"'!$N$6:$N$205"),MATCH($AR51&amp;"|"&amp;M$5,INDIRECT("'"&amp;$B51&amp;"'!$AF$6:$AF$205"),0))="","",INDEX(INDIRECT("'"&amp;$B51&amp;"'!$N$6:$N$205"),MATCH($AR51&amp;"|"&amp;M$5,INDIRECT("'"&amp;$B51&amp;"'!$AF$6:$AF$205"),0))),"-"))</f>
        <v/>
      </c>
      <c r="N51" s="34">
        <f>IF(OR(AP51="",N$5="-"),"",IFERROR(IF(INDEX(INDIRECT("'"&amp;$B51&amp;"'!$N$6:$N$205"),MATCH($AR51&amp;"|"&amp;N$5,INDIRECT("'"&amp;$B51&amp;"'!$AF$6:$AF$205"),0))="","",INDEX(INDIRECT("'"&amp;$B51&amp;"'!$N$6:$N$205"),MATCH($AR51&amp;"|"&amp;N$5,INDIRECT("'"&amp;$B51&amp;"'!$AF$6:$AF$205"),0))),"-"))</f>
        <v/>
      </c>
      <c r="O51" s="34">
        <f>IF(OR(AP51="",O$5="-"),"",IFERROR(IF(INDEX(INDIRECT("'"&amp;$B51&amp;"'!$N$6:$N$205"),MATCH($AR51&amp;"|"&amp;O$5,INDIRECT("'"&amp;$B51&amp;"'!$AF$6:$AF$205"),0))="","",INDEX(INDIRECT("'"&amp;$B51&amp;"'!$N$6:$N$205"),MATCH($AR51&amp;"|"&amp;O$5,INDIRECT("'"&amp;$B51&amp;"'!$AF$6:$AF$205"),0))),"-"))</f>
        <v/>
      </c>
      <c r="P51" s="37">
        <f>IF(OR(AP51="",P$5="-"),"",IFERROR(IF(INDEX(INDIRECT("'"&amp;$B51&amp;"'!$R$6:$R$205"),MATCH($AR51&amp;"|"&amp;P$5,INDIRECT("'"&amp;$B51&amp;"'!$AF$6:$AF$205"),0))="","",INDEX(INDIRECT("'"&amp;$B51&amp;"'!$R$6:$R$205"),MATCH($AR51&amp;"|"&amp;P$5,INDIRECT("'"&amp;$B51&amp;"'!$AF$6:$AF$205"),0))),"-"))</f>
        <v/>
      </c>
      <c r="Q51" s="37">
        <f>IF(OR(AP51="",Q$5="-"),"",IFERROR(IF(INDEX(INDIRECT("'"&amp;$B51&amp;"'!$R$6:$R$205"),MATCH($AR51&amp;"|"&amp;Q$5,INDIRECT("'"&amp;$B51&amp;"'!$AF$6:$AF$205"),0))="","",INDEX(INDIRECT("'"&amp;$B51&amp;"'!$R$6:$R$205"),MATCH($AR51&amp;"|"&amp;Q$5,INDIRECT("'"&amp;$B51&amp;"'!$AF$6:$AF$205"),0))),"-"))</f>
        <v/>
      </c>
      <c r="R51" s="37">
        <f>IF(OR(AP51="",R$5="-"),"",IFERROR(IF(INDEX(INDIRECT("'"&amp;$B51&amp;"'!$R$6:$R$205"),MATCH($AR51&amp;"|"&amp;R$5,INDIRECT("'"&amp;$B51&amp;"'!$AF$6:$AF$205"),0))="","",INDEX(INDIRECT("'"&amp;$B51&amp;"'!$R$6:$R$205"),MATCH($AR51&amp;"|"&amp;R$5,INDIRECT("'"&amp;$B51&amp;"'!$AF$6:$AF$205"),0))),"-"))</f>
        <v/>
      </c>
      <c r="S51" s="37">
        <f>IF(OR(AP51="",S$5="-"),"",IFERROR(IF(INDEX(INDIRECT("'"&amp;$B51&amp;"'!$R$6:$R$205"),MATCH($AR51&amp;"|"&amp;S$5,INDIRECT("'"&amp;$B51&amp;"'!$AF$6:$AF$205"),0))="","",INDEX(INDIRECT("'"&amp;$B51&amp;"'!$R$6:$R$205"),MATCH($AR51&amp;"|"&amp;S$5,INDIRECT("'"&amp;$B51&amp;"'!$AF$6:$AF$205"),0))),"-"))</f>
        <v/>
      </c>
      <c r="T51" s="37">
        <f>IF(OR(AP51="",T$5="-"),"",IFERROR(IF(INDEX(INDIRECT("'"&amp;$B51&amp;"'!$R$6:$R$205"),MATCH($AR51&amp;"|"&amp;T$5,INDIRECT("'"&amp;$B51&amp;"'!$AF$6:$AF$205"),0))="","",INDEX(INDIRECT("'"&amp;$B51&amp;"'!$R$6:$R$205"),MATCH($AR51&amp;"|"&amp;T$5,INDIRECT("'"&amp;$B51&amp;"'!$AF$6:$AF$205"),0))),"-"))</f>
        <v/>
      </c>
      <c r="U51" s="37">
        <f>IF(OR(AP51="",U$5="-"),"",IFERROR(IF(INDEX(INDIRECT("'"&amp;$B51&amp;"'!$R$6:$R$205"),MATCH($AR51&amp;"|"&amp;U$5,INDIRECT("'"&amp;$B51&amp;"'!$AF$6:$AF$205"),0))="","",INDEX(INDIRECT("'"&amp;$B51&amp;"'!$R$6:$R$205"),MATCH($AR51&amp;"|"&amp;U$5,INDIRECT("'"&amp;$B51&amp;"'!$AF$6:$AF$205"),0))),"-"))</f>
        <v/>
      </c>
      <c r="V51" s="37">
        <f>IF(OR(AP51="",V$5="-"),"",IFERROR(IF(INDEX(INDIRECT("'"&amp;$B51&amp;"'!$R$6:$R$205"),MATCH($AR51&amp;"|"&amp;V$5,INDIRECT("'"&amp;$B51&amp;"'!$AF$6:$AF$205"),0))="","",INDEX(INDIRECT("'"&amp;$B51&amp;"'!$R$6:$R$205"),MATCH($AR51&amp;"|"&amp;V$5,INDIRECT("'"&amp;$B51&amp;"'!$AF$6:$AF$205"),0))),"-"))</f>
        <v/>
      </c>
      <c r="W51" s="37">
        <f>IF(OR(AP51="",W$5="-"),"",IFERROR(IF(INDEX(INDIRECT("'"&amp;$B51&amp;"'!$R$6:$R$205"),MATCH($AR51&amp;"|"&amp;W$5,INDIRECT("'"&amp;$B51&amp;"'!$AF$6:$AF$205"),0))="","",INDEX(INDIRECT("'"&amp;$B51&amp;"'!$R$6:$R$205"),MATCH($AR51&amp;"|"&amp;W$5,INDIRECT("'"&amp;$B51&amp;"'!$AF$6:$AF$205"),0))),"-"))</f>
        <v/>
      </c>
      <c r="X51" s="38">
        <f>IF(OR(AP51="",X$5="-"),"",IFERROR(IF(INDEX(INDIRECT("'"&amp;$B51&amp;"'!$T$6:$T$205"),MATCH($AR51&amp;"|"&amp;X$5,INDIRECT("'"&amp;$B51&amp;"'!$AF$6:$AF$205"),0))="","",INDEX(INDIRECT("'"&amp;$B51&amp;"'!$T$6:$T$205"),MATCH($AR51&amp;"|"&amp;X$5,INDIRECT("'"&amp;$B51&amp;"'!$AF$6:$AF$205"),0))),"-"))</f>
        <v/>
      </c>
      <c r="Y51" s="38">
        <f>IF(OR(AP51="",Y$5="-"),"",IFERROR(IF(INDEX(INDIRECT("'"&amp;$B51&amp;"'!$T$6:$T$205"),MATCH($AR51&amp;"|"&amp;Y$5,INDIRECT("'"&amp;$B51&amp;"'!$AF$6:$AF$205"),0))="","",INDEX(INDIRECT("'"&amp;$B51&amp;"'!$T$6:$T$205"),MATCH($AR51&amp;"|"&amp;Y$5,INDIRECT("'"&amp;$B51&amp;"'!$AF$6:$AF$205"),0))),"-"))</f>
        <v/>
      </c>
      <c r="Z51" s="38">
        <f>IF(OR(AP51="",Z$5="-"),"",IFERROR(IF(INDEX(INDIRECT("'"&amp;$B51&amp;"'!$T$6:$T$205"),MATCH($AR51&amp;"|"&amp;Z$5,INDIRECT("'"&amp;$B51&amp;"'!$AF$6:$AF$205"),0))="","",INDEX(INDIRECT("'"&amp;$B51&amp;"'!$T$6:$T$205"),MATCH($AR51&amp;"|"&amp;Z$5,INDIRECT("'"&amp;$B51&amp;"'!$AF$6:$AF$205"),0))),"-"))</f>
        <v/>
      </c>
      <c r="AA51" s="38">
        <f>IF(OR(AP51="",AA$5="-"),"",IFERROR(IF(INDEX(INDIRECT("'"&amp;$B51&amp;"'!$T$6:$T$205"),MATCH($AR51&amp;"|"&amp;AA$5,INDIRECT("'"&amp;$B51&amp;"'!$AF$6:$AF$205"),0))="","",INDEX(INDIRECT("'"&amp;$B51&amp;"'!$T$6:$T$205"),MATCH($AR51&amp;"|"&amp;AA$5,INDIRECT("'"&amp;$B51&amp;"'!$AF$6:$AF$205"),0))),"-"))</f>
        <v/>
      </c>
      <c r="AB51" s="38">
        <f>IF(OR(AP51="",AB$5="-"),"",IFERROR(IF(INDEX(INDIRECT("'"&amp;$B51&amp;"'!$T$6:$T$205"),MATCH($AR51&amp;"|"&amp;AB$5,INDIRECT("'"&amp;$B51&amp;"'!$AF$6:$AF$205"),0))="","",INDEX(INDIRECT("'"&amp;$B51&amp;"'!$T$6:$T$205"),MATCH($AR51&amp;"|"&amp;AB$5,INDIRECT("'"&amp;$B51&amp;"'!$AF$6:$AF$205"),0))),"-"))</f>
        <v/>
      </c>
      <c r="AC51" s="38">
        <f>IF(OR(AP51="",AC$5="-"),"",IFERROR(IF(INDEX(INDIRECT("'"&amp;$B51&amp;"'!$T$6:$T$205"),MATCH($AR51&amp;"|"&amp;AC$5,INDIRECT("'"&amp;$B51&amp;"'!$AF$6:$AF$205"),0))="","",INDEX(INDIRECT("'"&amp;$B51&amp;"'!$T$6:$T$205"),MATCH($AR51&amp;"|"&amp;AC$5,INDIRECT("'"&amp;$B51&amp;"'!$AF$6:$AF$205"),0))),"-"))</f>
        <v/>
      </c>
      <c r="AD51" s="38">
        <f>IF(OR(AP51="",AD$5="-"),"",IFERROR(IF(INDEX(INDIRECT("'"&amp;$B51&amp;"'!$T$6:$T$205"),MATCH($AR51&amp;"|"&amp;AD$5,INDIRECT("'"&amp;$B51&amp;"'!$AF$6:$AF$205"),0))="","",INDEX(INDIRECT("'"&amp;$B51&amp;"'!$T$6:$T$205"),MATCH($AR51&amp;"|"&amp;AD$5,INDIRECT("'"&amp;$B51&amp;"'!$AF$6:$AF$205"),0))),"-"))</f>
        <v/>
      </c>
      <c r="AE51" s="38">
        <f>IF(OR(AP51="",AE$5="-"),"",IFERROR(IF(INDEX(INDIRECT("'"&amp;$B51&amp;"'!$T$6:$T$205"),MATCH($AR51&amp;"|"&amp;AE$5,INDIRECT("'"&amp;$B51&amp;"'!$AF$6:$AF$205"),0))="","",INDEX(INDIRECT("'"&amp;$B51&amp;"'!$T$6:$T$205"),MATCH($AR51&amp;"|"&amp;AE$5,INDIRECT("'"&amp;$B51&amp;"'!$AF$6:$AF$205"),0))),"-"))</f>
        <v/>
      </c>
      <c r="AF51" s="35">
        <f>IF(AG51="","",INDEX($P$5:$W$5,MATCH(AG51,P51:W51,0)))</f>
        <v/>
      </c>
      <c r="AG51" s="37">
        <f>IF(COUNT(P51:W51)=0,"",MIN(P51:W51))</f>
        <v/>
      </c>
      <c r="AH51" s="39">
        <f>IF(AG51="","",AG51*F51)</f>
        <v/>
      </c>
      <c r="AI51" s="39">
        <f>IF(COUNT(P51:W51)&lt;2,"",(MAX(P51:W51)-MIN(P51:W51))*F51)</f>
        <v/>
      </c>
      <c r="AJ51" s="20" t="n"/>
      <c r="AP51">
        <f>IF(46&gt;MAX($AN$6:$AN$9),"",COUNTIF($AN$6:$AN$9,"&lt;"&amp;46)+1)</f>
        <v/>
      </c>
      <c r="AQ51">
        <f>IF(AP51="","",46-INDEX($AO$6:$AO$9,AP51))</f>
        <v/>
      </c>
      <c r="AR51">
        <f>IF(AP51="","",INDEX(INDIRECT("'"&amp;$B51&amp;"'!$AE$6:$AE$205"),MATCH(AQ51,INDIRECT("'"&amp;$B51&amp;"'!$AI$6:$AI$205"),0)))</f>
        <v/>
      </c>
    </row>
    <row r="52">
      <c r="A52" s="34">
        <f>IF(AP52="","",47)</f>
        <v/>
      </c>
      <c r="B52" s="35">
        <f>IF(AP52="","",INDEX($AL$6:$AL$9,AP52))</f>
        <v/>
      </c>
      <c r="C52" s="34">
        <f>IF(AP52="","",INDEX(INDIRECT("'"&amp;$B52&amp;"'!$B$6:$B$205"),MATCH($AR52,INDIRECT("'"&amp;$B52&amp;"'!$AE$6:$AE$205"),0)))</f>
        <v/>
      </c>
      <c r="D52" s="34">
        <f>IF(AP52="","",INDEX(INDIRECT("'"&amp;$B52&amp;"'!$D$6:$D$205"),MATCH($AR52,INDIRECT("'"&amp;$B52&amp;"'!$AE$6:$AE$205"),0)))</f>
        <v/>
      </c>
      <c r="E52" s="36">
        <f>IF(AP52="","",INDEX(INDIRECT("'"&amp;$B52&amp;"'!$F$6:$F$205"),MATCH($AR52,INDIRECT("'"&amp;$B52&amp;"'!$AE$6:$AE$205"),0)))</f>
        <v/>
      </c>
      <c r="F52" s="34">
        <f>IF(AP52="","",INDEX(INDIRECT("'"&amp;$B52&amp;"'!$K$6:$K$205"),MATCH($AR52,INDIRECT("'"&amp;$B52&amp;"'!$AE$6:$AE$205"),0)))</f>
        <v/>
      </c>
      <c r="G52" s="34">
        <f>IF(AP52="","",INDEX(INDIRECT("'"&amp;$B52&amp;"'!$L$6:$L$205"),MATCH($AR52,INDIRECT("'"&amp;$B52&amp;"'!$AE$6:$AE$205"),0)))</f>
        <v/>
      </c>
      <c r="H52" s="34">
        <f>IF(OR(AP52="",H$5="-"),"",IFERROR(IF(INDEX(INDIRECT("'"&amp;$B52&amp;"'!$N$6:$N$205"),MATCH($AR52&amp;"|"&amp;H$5,INDIRECT("'"&amp;$B52&amp;"'!$AF$6:$AF$205"),0))="","",INDEX(INDIRECT("'"&amp;$B52&amp;"'!$N$6:$N$205"),MATCH($AR52&amp;"|"&amp;H$5,INDIRECT("'"&amp;$B52&amp;"'!$AF$6:$AF$205"),0))),"-"))</f>
        <v/>
      </c>
      <c r="I52" s="34">
        <f>IF(OR(AP52="",I$5="-"),"",IFERROR(IF(INDEX(INDIRECT("'"&amp;$B52&amp;"'!$N$6:$N$205"),MATCH($AR52&amp;"|"&amp;I$5,INDIRECT("'"&amp;$B52&amp;"'!$AF$6:$AF$205"),0))="","",INDEX(INDIRECT("'"&amp;$B52&amp;"'!$N$6:$N$205"),MATCH($AR52&amp;"|"&amp;I$5,INDIRECT("'"&amp;$B52&amp;"'!$AF$6:$AF$205"),0))),"-"))</f>
        <v/>
      </c>
      <c r="J52" s="34">
        <f>IF(OR(AP52="",J$5="-"),"",IFERROR(IF(INDEX(INDIRECT("'"&amp;$B52&amp;"'!$N$6:$N$205"),MATCH($AR52&amp;"|"&amp;J$5,INDIRECT("'"&amp;$B52&amp;"'!$AF$6:$AF$205"),0))="","",INDEX(INDIRECT("'"&amp;$B52&amp;"'!$N$6:$N$205"),MATCH($AR52&amp;"|"&amp;J$5,INDIRECT("'"&amp;$B52&amp;"'!$AF$6:$AF$205"),0))),"-"))</f>
        <v/>
      </c>
      <c r="K52" s="34">
        <f>IF(OR(AP52="",K$5="-"),"",IFERROR(IF(INDEX(INDIRECT("'"&amp;$B52&amp;"'!$N$6:$N$205"),MATCH($AR52&amp;"|"&amp;K$5,INDIRECT("'"&amp;$B52&amp;"'!$AF$6:$AF$205"),0))="","",INDEX(INDIRECT("'"&amp;$B52&amp;"'!$N$6:$N$205"),MATCH($AR52&amp;"|"&amp;K$5,INDIRECT("'"&amp;$B52&amp;"'!$AF$6:$AF$205"),0))),"-"))</f>
        <v/>
      </c>
      <c r="L52" s="34">
        <f>IF(OR(AP52="",L$5="-"),"",IFERROR(IF(INDEX(INDIRECT("'"&amp;$B52&amp;"'!$N$6:$N$205"),MATCH($AR52&amp;"|"&amp;L$5,INDIRECT("'"&amp;$B52&amp;"'!$AF$6:$AF$205"),0))="","",INDEX(INDIRECT("'"&amp;$B52&amp;"'!$N$6:$N$205"),MATCH($AR52&amp;"|"&amp;L$5,INDIRECT("'"&amp;$B52&amp;"'!$AF$6:$AF$205"),0))),"-"))</f>
        <v/>
      </c>
      <c r="M52" s="34">
        <f>IF(OR(AP52="",M$5="-"),"",IFERROR(IF(INDEX(INDIRECT("'"&amp;$B52&amp;"'!$N$6:$N$205"),MATCH($AR52&amp;"|"&amp;M$5,INDIRECT("'"&amp;$B52&amp;"'!$AF$6:$AF$205"),0))="","",INDEX(INDIRECT("'"&amp;$B52&amp;"'!$N$6:$N$205"),MATCH($AR52&amp;"|"&amp;M$5,INDIRECT("'"&amp;$B52&amp;"'!$AF$6:$AF$205"),0))),"-"))</f>
        <v/>
      </c>
      <c r="N52" s="34">
        <f>IF(OR(AP52="",N$5="-"),"",IFERROR(IF(INDEX(INDIRECT("'"&amp;$B52&amp;"'!$N$6:$N$205"),MATCH($AR52&amp;"|"&amp;N$5,INDIRECT("'"&amp;$B52&amp;"'!$AF$6:$AF$205"),0))="","",INDEX(INDIRECT("'"&amp;$B52&amp;"'!$N$6:$N$205"),MATCH($AR52&amp;"|"&amp;N$5,INDIRECT("'"&amp;$B52&amp;"'!$AF$6:$AF$205"),0))),"-"))</f>
        <v/>
      </c>
      <c r="O52" s="34">
        <f>IF(OR(AP52="",O$5="-"),"",IFERROR(IF(INDEX(INDIRECT("'"&amp;$B52&amp;"'!$N$6:$N$205"),MATCH($AR52&amp;"|"&amp;O$5,INDIRECT("'"&amp;$B52&amp;"'!$AF$6:$AF$205"),0))="","",INDEX(INDIRECT("'"&amp;$B52&amp;"'!$N$6:$N$205"),MATCH($AR52&amp;"|"&amp;O$5,INDIRECT("'"&amp;$B52&amp;"'!$AF$6:$AF$205"),0))),"-"))</f>
        <v/>
      </c>
      <c r="P52" s="37">
        <f>IF(OR(AP52="",P$5="-"),"",IFERROR(IF(INDEX(INDIRECT("'"&amp;$B52&amp;"'!$R$6:$R$205"),MATCH($AR52&amp;"|"&amp;P$5,INDIRECT("'"&amp;$B52&amp;"'!$AF$6:$AF$205"),0))="","",INDEX(INDIRECT("'"&amp;$B52&amp;"'!$R$6:$R$205"),MATCH($AR52&amp;"|"&amp;P$5,INDIRECT("'"&amp;$B52&amp;"'!$AF$6:$AF$205"),0))),"-"))</f>
        <v/>
      </c>
      <c r="Q52" s="37">
        <f>IF(OR(AP52="",Q$5="-"),"",IFERROR(IF(INDEX(INDIRECT("'"&amp;$B52&amp;"'!$R$6:$R$205"),MATCH($AR52&amp;"|"&amp;Q$5,INDIRECT("'"&amp;$B52&amp;"'!$AF$6:$AF$205"),0))="","",INDEX(INDIRECT("'"&amp;$B52&amp;"'!$R$6:$R$205"),MATCH($AR52&amp;"|"&amp;Q$5,INDIRECT("'"&amp;$B52&amp;"'!$AF$6:$AF$205"),0))),"-"))</f>
        <v/>
      </c>
      <c r="R52" s="37">
        <f>IF(OR(AP52="",R$5="-"),"",IFERROR(IF(INDEX(INDIRECT("'"&amp;$B52&amp;"'!$R$6:$R$205"),MATCH($AR52&amp;"|"&amp;R$5,INDIRECT("'"&amp;$B52&amp;"'!$AF$6:$AF$205"),0))="","",INDEX(INDIRECT("'"&amp;$B52&amp;"'!$R$6:$R$205"),MATCH($AR52&amp;"|"&amp;R$5,INDIRECT("'"&amp;$B52&amp;"'!$AF$6:$AF$205"),0))),"-"))</f>
        <v/>
      </c>
      <c r="S52" s="37">
        <f>IF(OR(AP52="",S$5="-"),"",IFERROR(IF(INDEX(INDIRECT("'"&amp;$B52&amp;"'!$R$6:$R$205"),MATCH($AR52&amp;"|"&amp;S$5,INDIRECT("'"&amp;$B52&amp;"'!$AF$6:$AF$205"),0))="","",INDEX(INDIRECT("'"&amp;$B52&amp;"'!$R$6:$R$205"),MATCH($AR52&amp;"|"&amp;S$5,INDIRECT("'"&amp;$B52&amp;"'!$AF$6:$AF$205"),0))),"-"))</f>
        <v/>
      </c>
      <c r="T52" s="37">
        <f>IF(OR(AP52="",T$5="-"),"",IFERROR(IF(INDEX(INDIRECT("'"&amp;$B52&amp;"'!$R$6:$R$205"),MATCH($AR52&amp;"|"&amp;T$5,INDIRECT("'"&amp;$B52&amp;"'!$AF$6:$AF$205"),0))="","",INDEX(INDIRECT("'"&amp;$B52&amp;"'!$R$6:$R$205"),MATCH($AR52&amp;"|"&amp;T$5,INDIRECT("'"&amp;$B52&amp;"'!$AF$6:$AF$205"),0))),"-"))</f>
        <v/>
      </c>
      <c r="U52" s="37">
        <f>IF(OR(AP52="",U$5="-"),"",IFERROR(IF(INDEX(INDIRECT("'"&amp;$B52&amp;"'!$R$6:$R$205"),MATCH($AR52&amp;"|"&amp;U$5,INDIRECT("'"&amp;$B52&amp;"'!$AF$6:$AF$205"),0))="","",INDEX(INDIRECT("'"&amp;$B52&amp;"'!$R$6:$R$205"),MATCH($AR52&amp;"|"&amp;U$5,INDIRECT("'"&amp;$B52&amp;"'!$AF$6:$AF$205"),0))),"-"))</f>
        <v/>
      </c>
      <c r="V52" s="37">
        <f>IF(OR(AP52="",V$5="-"),"",IFERROR(IF(INDEX(INDIRECT("'"&amp;$B52&amp;"'!$R$6:$R$205"),MATCH($AR52&amp;"|"&amp;V$5,INDIRECT("'"&amp;$B52&amp;"'!$AF$6:$AF$205"),0))="","",INDEX(INDIRECT("'"&amp;$B52&amp;"'!$R$6:$R$205"),MATCH($AR52&amp;"|"&amp;V$5,INDIRECT("'"&amp;$B52&amp;"'!$AF$6:$AF$205"),0))),"-"))</f>
        <v/>
      </c>
      <c r="W52" s="37">
        <f>IF(OR(AP52="",W$5="-"),"",IFERROR(IF(INDEX(INDIRECT("'"&amp;$B52&amp;"'!$R$6:$R$205"),MATCH($AR52&amp;"|"&amp;W$5,INDIRECT("'"&amp;$B52&amp;"'!$AF$6:$AF$205"),0))="","",INDEX(INDIRECT("'"&amp;$B52&amp;"'!$R$6:$R$205"),MATCH($AR52&amp;"|"&amp;W$5,INDIRECT("'"&amp;$B52&amp;"'!$AF$6:$AF$205"),0))),"-"))</f>
        <v/>
      </c>
      <c r="X52" s="38">
        <f>IF(OR(AP52="",X$5="-"),"",IFERROR(IF(INDEX(INDIRECT("'"&amp;$B52&amp;"'!$T$6:$T$205"),MATCH($AR52&amp;"|"&amp;X$5,INDIRECT("'"&amp;$B52&amp;"'!$AF$6:$AF$205"),0))="","",INDEX(INDIRECT("'"&amp;$B52&amp;"'!$T$6:$T$205"),MATCH($AR52&amp;"|"&amp;X$5,INDIRECT("'"&amp;$B52&amp;"'!$AF$6:$AF$205"),0))),"-"))</f>
        <v/>
      </c>
      <c r="Y52" s="38">
        <f>IF(OR(AP52="",Y$5="-"),"",IFERROR(IF(INDEX(INDIRECT("'"&amp;$B52&amp;"'!$T$6:$T$205"),MATCH($AR52&amp;"|"&amp;Y$5,INDIRECT("'"&amp;$B52&amp;"'!$AF$6:$AF$205"),0))="","",INDEX(INDIRECT("'"&amp;$B52&amp;"'!$T$6:$T$205"),MATCH($AR52&amp;"|"&amp;Y$5,INDIRECT("'"&amp;$B52&amp;"'!$AF$6:$AF$205"),0))),"-"))</f>
        <v/>
      </c>
      <c r="Z52" s="38">
        <f>IF(OR(AP52="",Z$5="-"),"",IFERROR(IF(INDEX(INDIRECT("'"&amp;$B52&amp;"'!$T$6:$T$205"),MATCH($AR52&amp;"|"&amp;Z$5,INDIRECT("'"&amp;$B52&amp;"'!$AF$6:$AF$205"),0))="","",INDEX(INDIRECT("'"&amp;$B52&amp;"'!$T$6:$T$205"),MATCH($AR52&amp;"|"&amp;Z$5,INDIRECT("'"&amp;$B52&amp;"'!$AF$6:$AF$205"),0))),"-"))</f>
        <v/>
      </c>
      <c r="AA52" s="38">
        <f>IF(OR(AP52="",AA$5="-"),"",IFERROR(IF(INDEX(INDIRECT("'"&amp;$B52&amp;"'!$T$6:$T$205"),MATCH($AR52&amp;"|"&amp;AA$5,INDIRECT("'"&amp;$B52&amp;"'!$AF$6:$AF$205"),0))="","",INDEX(INDIRECT("'"&amp;$B52&amp;"'!$T$6:$T$205"),MATCH($AR52&amp;"|"&amp;AA$5,INDIRECT("'"&amp;$B52&amp;"'!$AF$6:$AF$205"),0))),"-"))</f>
        <v/>
      </c>
      <c r="AB52" s="38">
        <f>IF(OR(AP52="",AB$5="-"),"",IFERROR(IF(INDEX(INDIRECT("'"&amp;$B52&amp;"'!$T$6:$T$205"),MATCH($AR52&amp;"|"&amp;AB$5,INDIRECT("'"&amp;$B52&amp;"'!$AF$6:$AF$205"),0))="","",INDEX(INDIRECT("'"&amp;$B52&amp;"'!$T$6:$T$205"),MATCH($AR52&amp;"|"&amp;AB$5,INDIRECT("'"&amp;$B52&amp;"'!$AF$6:$AF$205"),0))),"-"))</f>
        <v/>
      </c>
      <c r="AC52" s="38">
        <f>IF(OR(AP52="",AC$5="-"),"",IFERROR(IF(INDEX(INDIRECT("'"&amp;$B52&amp;"'!$T$6:$T$205"),MATCH($AR52&amp;"|"&amp;AC$5,INDIRECT("'"&amp;$B52&amp;"'!$AF$6:$AF$205"),0))="","",INDEX(INDIRECT("'"&amp;$B52&amp;"'!$T$6:$T$205"),MATCH($AR52&amp;"|"&amp;AC$5,INDIRECT("'"&amp;$B52&amp;"'!$AF$6:$AF$205"),0))),"-"))</f>
        <v/>
      </c>
      <c r="AD52" s="38">
        <f>IF(OR(AP52="",AD$5="-"),"",IFERROR(IF(INDEX(INDIRECT("'"&amp;$B52&amp;"'!$T$6:$T$205"),MATCH($AR52&amp;"|"&amp;AD$5,INDIRECT("'"&amp;$B52&amp;"'!$AF$6:$AF$205"),0))="","",INDEX(INDIRECT("'"&amp;$B52&amp;"'!$T$6:$T$205"),MATCH($AR52&amp;"|"&amp;AD$5,INDIRECT("'"&amp;$B52&amp;"'!$AF$6:$AF$205"),0))),"-"))</f>
        <v/>
      </c>
      <c r="AE52" s="38">
        <f>IF(OR(AP52="",AE$5="-"),"",IFERROR(IF(INDEX(INDIRECT("'"&amp;$B52&amp;"'!$T$6:$T$205"),MATCH($AR52&amp;"|"&amp;AE$5,INDIRECT("'"&amp;$B52&amp;"'!$AF$6:$AF$205"),0))="","",INDEX(INDIRECT("'"&amp;$B52&amp;"'!$T$6:$T$205"),MATCH($AR52&amp;"|"&amp;AE$5,INDIRECT("'"&amp;$B52&amp;"'!$AF$6:$AF$205"),0))),"-"))</f>
        <v/>
      </c>
      <c r="AF52" s="35">
        <f>IF(AG52="","",INDEX($P$5:$W$5,MATCH(AG52,P52:W52,0)))</f>
        <v/>
      </c>
      <c r="AG52" s="37">
        <f>IF(COUNT(P52:W52)=0,"",MIN(P52:W52))</f>
        <v/>
      </c>
      <c r="AH52" s="39">
        <f>IF(AG52="","",AG52*F52)</f>
        <v/>
      </c>
      <c r="AI52" s="39">
        <f>IF(COUNT(P52:W52)&lt;2,"",(MAX(P52:W52)-MIN(P52:W52))*F52)</f>
        <v/>
      </c>
      <c r="AJ52" s="20" t="n"/>
      <c r="AP52">
        <f>IF(47&gt;MAX($AN$6:$AN$9),"",COUNTIF($AN$6:$AN$9,"&lt;"&amp;47)+1)</f>
        <v/>
      </c>
      <c r="AQ52">
        <f>IF(AP52="","",47-INDEX($AO$6:$AO$9,AP52))</f>
        <v/>
      </c>
      <c r="AR52">
        <f>IF(AP52="","",INDEX(INDIRECT("'"&amp;$B52&amp;"'!$AE$6:$AE$205"),MATCH(AQ52,INDIRECT("'"&amp;$B52&amp;"'!$AI$6:$AI$205"),0)))</f>
        <v/>
      </c>
    </row>
    <row r="53">
      <c r="A53" s="34">
        <f>IF(AP53="","",48)</f>
        <v/>
      </c>
      <c r="B53" s="35">
        <f>IF(AP53="","",INDEX($AL$6:$AL$9,AP53))</f>
        <v/>
      </c>
      <c r="C53" s="34">
        <f>IF(AP53="","",INDEX(INDIRECT("'"&amp;$B53&amp;"'!$B$6:$B$205"),MATCH($AR53,INDIRECT("'"&amp;$B53&amp;"'!$AE$6:$AE$205"),0)))</f>
        <v/>
      </c>
      <c r="D53" s="34">
        <f>IF(AP53="","",INDEX(INDIRECT("'"&amp;$B53&amp;"'!$D$6:$D$205"),MATCH($AR53,INDIRECT("'"&amp;$B53&amp;"'!$AE$6:$AE$205"),0)))</f>
        <v/>
      </c>
      <c r="E53" s="36">
        <f>IF(AP53="","",INDEX(INDIRECT("'"&amp;$B53&amp;"'!$F$6:$F$205"),MATCH($AR53,INDIRECT("'"&amp;$B53&amp;"'!$AE$6:$AE$205"),0)))</f>
        <v/>
      </c>
      <c r="F53" s="34">
        <f>IF(AP53="","",INDEX(INDIRECT("'"&amp;$B53&amp;"'!$K$6:$K$205"),MATCH($AR53,INDIRECT("'"&amp;$B53&amp;"'!$AE$6:$AE$205"),0)))</f>
        <v/>
      </c>
      <c r="G53" s="34">
        <f>IF(AP53="","",INDEX(INDIRECT("'"&amp;$B53&amp;"'!$L$6:$L$205"),MATCH($AR53,INDIRECT("'"&amp;$B53&amp;"'!$AE$6:$AE$205"),0)))</f>
        <v/>
      </c>
      <c r="H53" s="34">
        <f>IF(OR(AP53="",H$5="-"),"",IFERROR(IF(INDEX(INDIRECT("'"&amp;$B53&amp;"'!$N$6:$N$205"),MATCH($AR53&amp;"|"&amp;H$5,INDIRECT("'"&amp;$B53&amp;"'!$AF$6:$AF$205"),0))="","",INDEX(INDIRECT("'"&amp;$B53&amp;"'!$N$6:$N$205"),MATCH($AR53&amp;"|"&amp;H$5,INDIRECT("'"&amp;$B53&amp;"'!$AF$6:$AF$205"),0))),"-"))</f>
        <v/>
      </c>
      <c r="I53" s="34">
        <f>IF(OR(AP53="",I$5="-"),"",IFERROR(IF(INDEX(INDIRECT("'"&amp;$B53&amp;"'!$N$6:$N$205"),MATCH($AR53&amp;"|"&amp;I$5,INDIRECT("'"&amp;$B53&amp;"'!$AF$6:$AF$205"),0))="","",INDEX(INDIRECT("'"&amp;$B53&amp;"'!$N$6:$N$205"),MATCH($AR53&amp;"|"&amp;I$5,INDIRECT("'"&amp;$B53&amp;"'!$AF$6:$AF$205"),0))),"-"))</f>
        <v/>
      </c>
      <c r="J53" s="34">
        <f>IF(OR(AP53="",J$5="-"),"",IFERROR(IF(INDEX(INDIRECT("'"&amp;$B53&amp;"'!$N$6:$N$205"),MATCH($AR53&amp;"|"&amp;J$5,INDIRECT("'"&amp;$B53&amp;"'!$AF$6:$AF$205"),0))="","",INDEX(INDIRECT("'"&amp;$B53&amp;"'!$N$6:$N$205"),MATCH($AR53&amp;"|"&amp;J$5,INDIRECT("'"&amp;$B53&amp;"'!$AF$6:$AF$205"),0))),"-"))</f>
        <v/>
      </c>
      <c r="K53" s="34">
        <f>IF(OR(AP53="",K$5="-"),"",IFERROR(IF(INDEX(INDIRECT("'"&amp;$B53&amp;"'!$N$6:$N$205"),MATCH($AR53&amp;"|"&amp;K$5,INDIRECT("'"&amp;$B53&amp;"'!$AF$6:$AF$205"),0))="","",INDEX(INDIRECT("'"&amp;$B53&amp;"'!$N$6:$N$205"),MATCH($AR53&amp;"|"&amp;K$5,INDIRECT("'"&amp;$B53&amp;"'!$AF$6:$AF$205"),0))),"-"))</f>
        <v/>
      </c>
      <c r="L53" s="34">
        <f>IF(OR(AP53="",L$5="-"),"",IFERROR(IF(INDEX(INDIRECT("'"&amp;$B53&amp;"'!$N$6:$N$205"),MATCH($AR53&amp;"|"&amp;L$5,INDIRECT("'"&amp;$B53&amp;"'!$AF$6:$AF$205"),0))="","",INDEX(INDIRECT("'"&amp;$B53&amp;"'!$N$6:$N$205"),MATCH($AR53&amp;"|"&amp;L$5,INDIRECT("'"&amp;$B53&amp;"'!$AF$6:$AF$205"),0))),"-"))</f>
        <v/>
      </c>
      <c r="M53" s="34">
        <f>IF(OR(AP53="",M$5="-"),"",IFERROR(IF(INDEX(INDIRECT("'"&amp;$B53&amp;"'!$N$6:$N$205"),MATCH($AR53&amp;"|"&amp;M$5,INDIRECT("'"&amp;$B53&amp;"'!$AF$6:$AF$205"),0))="","",INDEX(INDIRECT("'"&amp;$B53&amp;"'!$N$6:$N$205"),MATCH($AR53&amp;"|"&amp;M$5,INDIRECT("'"&amp;$B53&amp;"'!$AF$6:$AF$205"),0))),"-"))</f>
        <v/>
      </c>
      <c r="N53" s="34">
        <f>IF(OR(AP53="",N$5="-"),"",IFERROR(IF(INDEX(INDIRECT("'"&amp;$B53&amp;"'!$N$6:$N$205"),MATCH($AR53&amp;"|"&amp;N$5,INDIRECT("'"&amp;$B53&amp;"'!$AF$6:$AF$205"),0))="","",INDEX(INDIRECT("'"&amp;$B53&amp;"'!$N$6:$N$205"),MATCH($AR53&amp;"|"&amp;N$5,INDIRECT("'"&amp;$B53&amp;"'!$AF$6:$AF$205"),0))),"-"))</f>
        <v/>
      </c>
      <c r="O53" s="34">
        <f>IF(OR(AP53="",O$5="-"),"",IFERROR(IF(INDEX(INDIRECT("'"&amp;$B53&amp;"'!$N$6:$N$205"),MATCH($AR53&amp;"|"&amp;O$5,INDIRECT("'"&amp;$B53&amp;"'!$AF$6:$AF$205"),0))="","",INDEX(INDIRECT("'"&amp;$B53&amp;"'!$N$6:$N$205"),MATCH($AR53&amp;"|"&amp;O$5,INDIRECT("'"&amp;$B53&amp;"'!$AF$6:$AF$205"),0))),"-"))</f>
        <v/>
      </c>
      <c r="P53" s="37">
        <f>IF(OR(AP53="",P$5="-"),"",IFERROR(IF(INDEX(INDIRECT("'"&amp;$B53&amp;"'!$R$6:$R$205"),MATCH($AR53&amp;"|"&amp;P$5,INDIRECT("'"&amp;$B53&amp;"'!$AF$6:$AF$205"),0))="","",INDEX(INDIRECT("'"&amp;$B53&amp;"'!$R$6:$R$205"),MATCH($AR53&amp;"|"&amp;P$5,INDIRECT("'"&amp;$B53&amp;"'!$AF$6:$AF$205"),0))),"-"))</f>
        <v/>
      </c>
      <c r="Q53" s="37">
        <f>IF(OR(AP53="",Q$5="-"),"",IFERROR(IF(INDEX(INDIRECT("'"&amp;$B53&amp;"'!$R$6:$R$205"),MATCH($AR53&amp;"|"&amp;Q$5,INDIRECT("'"&amp;$B53&amp;"'!$AF$6:$AF$205"),0))="","",INDEX(INDIRECT("'"&amp;$B53&amp;"'!$R$6:$R$205"),MATCH($AR53&amp;"|"&amp;Q$5,INDIRECT("'"&amp;$B53&amp;"'!$AF$6:$AF$205"),0))),"-"))</f>
        <v/>
      </c>
      <c r="R53" s="37">
        <f>IF(OR(AP53="",R$5="-"),"",IFERROR(IF(INDEX(INDIRECT("'"&amp;$B53&amp;"'!$R$6:$R$205"),MATCH($AR53&amp;"|"&amp;R$5,INDIRECT("'"&amp;$B53&amp;"'!$AF$6:$AF$205"),0))="","",INDEX(INDIRECT("'"&amp;$B53&amp;"'!$R$6:$R$205"),MATCH($AR53&amp;"|"&amp;R$5,INDIRECT("'"&amp;$B53&amp;"'!$AF$6:$AF$205"),0))),"-"))</f>
        <v/>
      </c>
      <c r="S53" s="37">
        <f>IF(OR(AP53="",S$5="-"),"",IFERROR(IF(INDEX(INDIRECT("'"&amp;$B53&amp;"'!$R$6:$R$205"),MATCH($AR53&amp;"|"&amp;S$5,INDIRECT("'"&amp;$B53&amp;"'!$AF$6:$AF$205"),0))="","",INDEX(INDIRECT("'"&amp;$B53&amp;"'!$R$6:$R$205"),MATCH($AR53&amp;"|"&amp;S$5,INDIRECT("'"&amp;$B53&amp;"'!$AF$6:$AF$205"),0))),"-"))</f>
        <v/>
      </c>
      <c r="T53" s="37">
        <f>IF(OR(AP53="",T$5="-"),"",IFERROR(IF(INDEX(INDIRECT("'"&amp;$B53&amp;"'!$R$6:$R$205"),MATCH($AR53&amp;"|"&amp;T$5,INDIRECT("'"&amp;$B53&amp;"'!$AF$6:$AF$205"),0))="","",INDEX(INDIRECT("'"&amp;$B53&amp;"'!$R$6:$R$205"),MATCH($AR53&amp;"|"&amp;T$5,INDIRECT("'"&amp;$B53&amp;"'!$AF$6:$AF$205"),0))),"-"))</f>
        <v/>
      </c>
      <c r="U53" s="37">
        <f>IF(OR(AP53="",U$5="-"),"",IFERROR(IF(INDEX(INDIRECT("'"&amp;$B53&amp;"'!$R$6:$R$205"),MATCH($AR53&amp;"|"&amp;U$5,INDIRECT("'"&amp;$B53&amp;"'!$AF$6:$AF$205"),0))="","",INDEX(INDIRECT("'"&amp;$B53&amp;"'!$R$6:$R$205"),MATCH($AR53&amp;"|"&amp;U$5,INDIRECT("'"&amp;$B53&amp;"'!$AF$6:$AF$205"),0))),"-"))</f>
        <v/>
      </c>
      <c r="V53" s="37">
        <f>IF(OR(AP53="",V$5="-"),"",IFERROR(IF(INDEX(INDIRECT("'"&amp;$B53&amp;"'!$R$6:$R$205"),MATCH($AR53&amp;"|"&amp;V$5,INDIRECT("'"&amp;$B53&amp;"'!$AF$6:$AF$205"),0))="","",INDEX(INDIRECT("'"&amp;$B53&amp;"'!$R$6:$R$205"),MATCH($AR53&amp;"|"&amp;V$5,INDIRECT("'"&amp;$B53&amp;"'!$AF$6:$AF$205"),0))),"-"))</f>
        <v/>
      </c>
      <c r="W53" s="37">
        <f>IF(OR(AP53="",W$5="-"),"",IFERROR(IF(INDEX(INDIRECT("'"&amp;$B53&amp;"'!$R$6:$R$205"),MATCH($AR53&amp;"|"&amp;W$5,INDIRECT("'"&amp;$B53&amp;"'!$AF$6:$AF$205"),0))="","",INDEX(INDIRECT("'"&amp;$B53&amp;"'!$R$6:$R$205"),MATCH($AR53&amp;"|"&amp;W$5,INDIRECT("'"&amp;$B53&amp;"'!$AF$6:$AF$205"),0))),"-"))</f>
        <v/>
      </c>
      <c r="X53" s="38">
        <f>IF(OR(AP53="",X$5="-"),"",IFERROR(IF(INDEX(INDIRECT("'"&amp;$B53&amp;"'!$T$6:$T$205"),MATCH($AR53&amp;"|"&amp;X$5,INDIRECT("'"&amp;$B53&amp;"'!$AF$6:$AF$205"),0))="","",INDEX(INDIRECT("'"&amp;$B53&amp;"'!$T$6:$T$205"),MATCH($AR53&amp;"|"&amp;X$5,INDIRECT("'"&amp;$B53&amp;"'!$AF$6:$AF$205"),0))),"-"))</f>
        <v/>
      </c>
      <c r="Y53" s="38">
        <f>IF(OR(AP53="",Y$5="-"),"",IFERROR(IF(INDEX(INDIRECT("'"&amp;$B53&amp;"'!$T$6:$T$205"),MATCH($AR53&amp;"|"&amp;Y$5,INDIRECT("'"&amp;$B53&amp;"'!$AF$6:$AF$205"),0))="","",INDEX(INDIRECT("'"&amp;$B53&amp;"'!$T$6:$T$205"),MATCH($AR53&amp;"|"&amp;Y$5,INDIRECT("'"&amp;$B53&amp;"'!$AF$6:$AF$205"),0))),"-"))</f>
        <v/>
      </c>
      <c r="Z53" s="38">
        <f>IF(OR(AP53="",Z$5="-"),"",IFERROR(IF(INDEX(INDIRECT("'"&amp;$B53&amp;"'!$T$6:$T$205"),MATCH($AR53&amp;"|"&amp;Z$5,INDIRECT("'"&amp;$B53&amp;"'!$AF$6:$AF$205"),0))="","",INDEX(INDIRECT("'"&amp;$B53&amp;"'!$T$6:$T$205"),MATCH($AR53&amp;"|"&amp;Z$5,INDIRECT("'"&amp;$B53&amp;"'!$AF$6:$AF$205"),0))),"-"))</f>
        <v/>
      </c>
      <c r="AA53" s="38">
        <f>IF(OR(AP53="",AA$5="-"),"",IFERROR(IF(INDEX(INDIRECT("'"&amp;$B53&amp;"'!$T$6:$T$205"),MATCH($AR53&amp;"|"&amp;AA$5,INDIRECT("'"&amp;$B53&amp;"'!$AF$6:$AF$205"),0))="","",INDEX(INDIRECT("'"&amp;$B53&amp;"'!$T$6:$T$205"),MATCH($AR53&amp;"|"&amp;AA$5,INDIRECT("'"&amp;$B53&amp;"'!$AF$6:$AF$205"),0))),"-"))</f>
        <v/>
      </c>
      <c r="AB53" s="38">
        <f>IF(OR(AP53="",AB$5="-"),"",IFERROR(IF(INDEX(INDIRECT("'"&amp;$B53&amp;"'!$T$6:$T$205"),MATCH($AR53&amp;"|"&amp;AB$5,INDIRECT("'"&amp;$B53&amp;"'!$AF$6:$AF$205"),0))="","",INDEX(INDIRECT("'"&amp;$B53&amp;"'!$T$6:$T$205"),MATCH($AR53&amp;"|"&amp;AB$5,INDIRECT("'"&amp;$B53&amp;"'!$AF$6:$AF$205"),0))),"-"))</f>
        <v/>
      </c>
      <c r="AC53" s="38">
        <f>IF(OR(AP53="",AC$5="-"),"",IFERROR(IF(INDEX(INDIRECT("'"&amp;$B53&amp;"'!$T$6:$T$205"),MATCH($AR53&amp;"|"&amp;AC$5,INDIRECT("'"&amp;$B53&amp;"'!$AF$6:$AF$205"),0))="","",INDEX(INDIRECT("'"&amp;$B53&amp;"'!$T$6:$T$205"),MATCH($AR53&amp;"|"&amp;AC$5,INDIRECT("'"&amp;$B53&amp;"'!$AF$6:$AF$205"),0))),"-"))</f>
        <v/>
      </c>
      <c r="AD53" s="38">
        <f>IF(OR(AP53="",AD$5="-"),"",IFERROR(IF(INDEX(INDIRECT("'"&amp;$B53&amp;"'!$T$6:$T$205"),MATCH($AR53&amp;"|"&amp;AD$5,INDIRECT("'"&amp;$B53&amp;"'!$AF$6:$AF$205"),0))="","",INDEX(INDIRECT("'"&amp;$B53&amp;"'!$T$6:$T$205"),MATCH($AR53&amp;"|"&amp;AD$5,INDIRECT("'"&amp;$B53&amp;"'!$AF$6:$AF$205"),0))),"-"))</f>
        <v/>
      </c>
      <c r="AE53" s="38">
        <f>IF(OR(AP53="",AE$5="-"),"",IFERROR(IF(INDEX(INDIRECT("'"&amp;$B53&amp;"'!$T$6:$T$205"),MATCH($AR53&amp;"|"&amp;AE$5,INDIRECT("'"&amp;$B53&amp;"'!$AF$6:$AF$205"),0))="","",INDEX(INDIRECT("'"&amp;$B53&amp;"'!$T$6:$T$205"),MATCH($AR53&amp;"|"&amp;AE$5,INDIRECT("'"&amp;$B53&amp;"'!$AF$6:$AF$205"),0))),"-"))</f>
        <v/>
      </c>
      <c r="AF53" s="35">
        <f>IF(AG53="","",INDEX($P$5:$W$5,MATCH(AG53,P53:W53,0)))</f>
        <v/>
      </c>
      <c r="AG53" s="37">
        <f>IF(COUNT(P53:W53)=0,"",MIN(P53:W53))</f>
        <v/>
      </c>
      <c r="AH53" s="39">
        <f>IF(AG53="","",AG53*F53)</f>
        <v/>
      </c>
      <c r="AI53" s="39">
        <f>IF(COUNT(P53:W53)&lt;2,"",(MAX(P53:W53)-MIN(P53:W53))*F53)</f>
        <v/>
      </c>
      <c r="AJ53" s="20" t="n"/>
      <c r="AP53">
        <f>IF(48&gt;MAX($AN$6:$AN$9),"",COUNTIF($AN$6:$AN$9,"&lt;"&amp;48)+1)</f>
        <v/>
      </c>
      <c r="AQ53">
        <f>IF(AP53="","",48-INDEX($AO$6:$AO$9,AP53))</f>
        <v/>
      </c>
      <c r="AR53">
        <f>IF(AP53="","",INDEX(INDIRECT("'"&amp;$B53&amp;"'!$AE$6:$AE$205"),MATCH(AQ53,INDIRECT("'"&amp;$B53&amp;"'!$AI$6:$AI$205"),0)))</f>
        <v/>
      </c>
    </row>
    <row r="54">
      <c r="A54" s="34">
        <f>IF(AP54="","",49)</f>
        <v/>
      </c>
      <c r="B54" s="35">
        <f>IF(AP54="","",INDEX($AL$6:$AL$9,AP54))</f>
        <v/>
      </c>
      <c r="C54" s="34">
        <f>IF(AP54="","",INDEX(INDIRECT("'"&amp;$B54&amp;"'!$B$6:$B$205"),MATCH($AR54,INDIRECT("'"&amp;$B54&amp;"'!$AE$6:$AE$205"),0)))</f>
        <v/>
      </c>
      <c r="D54" s="34">
        <f>IF(AP54="","",INDEX(INDIRECT("'"&amp;$B54&amp;"'!$D$6:$D$205"),MATCH($AR54,INDIRECT("'"&amp;$B54&amp;"'!$AE$6:$AE$205"),0)))</f>
        <v/>
      </c>
      <c r="E54" s="36">
        <f>IF(AP54="","",INDEX(INDIRECT("'"&amp;$B54&amp;"'!$F$6:$F$205"),MATCH($AR54,INDIRECT("'"&amp;$B54&amp;"'!$AE$6:$AE$205"),0)))</f>
        <v/>
      </c>
      <c r="F54" s="34">
        <f>IF(AP54="","",INDEX(INDIRECT("'"&amp;$B54&amp;"'!$K$6:$K$205"),MATCH($AR54,INDIRECT("'"&amp;$B54&amp;"'!$AE$6:$AE$205"),0)))</f>
        <v/>
      </c>
      <c r="G54" s="34">
        <f>IF(AP54="","",INDEX(INDIRECT("'"&amp;$B54&amp;"'!$L$6:$L$205"),MATCH($AR54,INDIRECT("'"&amp;$B54&amp;"'!$AE$6:$AE$205"),0)))</f>
        <v/>
      </c>
      <c r="H54" s="34">
        <f>IF(OR(AP54="",H$5="-"),"",IFERROR(IF(INDEX(INDIRECT("'"&amp;$B54&amp;"'!$N$6:$N$205"),MATCH($AR54&amp;"|"&amp;H$5,INDIRECT("'"&amp;$B54&amp;"'!$AF$6:$AF$205"),0))="","",INDEX(INDIRECT("'"&amp;$B54&amp;"'!$N$6:$N$205"),MATCH($AR54&amp;"|"&amp;H$5,INDIRECT("'"&amp;$B54&amp;"'!$AF$6:$AF$205"),0))),"-"))</f>
        <v/>
      </c>
      <c r="I54" s="34">
        <f>IF(OR(AP54="",I$5="-"),"",IFERROR(IF(INDEX(INDIRECT("'"&amp;$B54&amp;"'!$N$6:$N$205"),MATCH($AR54&amp;"|"&amp;I$5,INDIRECT("'"&amp;$B54&amp;"'!$AF$6:$AF$205"),0))="","",INDEX(INDIRECT("'"&amp;$B54&amp;"'!$N$6:$N$205"),MATCH($AR54&amp;"|"&amp;I$5,INDIRECT("'"&amp;$B54&amp;"'!$AF$6:$AF$205"),0))),"-"))</f>
        <v/>
      </c>
      <c r="J54" s="34">
        <f>IF(OR(AP54="",J$5="-"),"",IFERROR(IF(INDEX(INDIRECT("'"&amp;$B54&amp;"'!$N$6:$N$205"),MATCH($AR54&amp;"|"&amp;J$5,INDIRECT("'"&amp;$B54&amp;"'!$AF$6:$AF$205"),0))="","",INDEX(INDIRECT("'"&amp;$B54&amp;"'!$N$6:$N$205"),MATCH($AR54&amp;"|"&amp;J$5,INDIRECT("'"&amp;$B54&amp;"'!$AF$6:$AF$205"),0))),"-"))</f>
        <v/>
      </c>
      <c r="K54" s="34">
        <f>IF(OR(AP54="",K$5="-"),"",IFERROR(IF(INDEX(INDIRECT("'"&amp;$B54&amp;"'!$N$6:$N$205"),MATCH($AR54&amp;"|"&amp;K$5,INDIRECT("'"&amp;$B54&amp;"'!$AF$6:$AF$205"),0))="","",INDEX(INDIRECT("'"&amp;$B54&amp;"'!$N$6:$N$205"),MATCH($AR54&amp;"|"&amp;K$5,INDIRECT("'"&amp;$B54&amp;"'!$AF$6:$AF$205"),0))),"-"))</f>
        <v/>
      </c>
      <c r="L54" s="34">
        <f>IF(OR(AP54="",L$5="-"),"",IFERROR(IF(INDEX(INDIRECT("'"&amp;$B54&amp;"'!$N$6:$N$205"),MATCH($AR54&amp;"|"&amp;L$5,INDIRECT("'"&amp;$B54&amp;"'!$AF$6:$AF$205"),0))="","",INDEX(INDIRECT("'"&amp;$B54&amp;"'!$N$6:$N$205"),MATCH($AR54&amp;"|"&amp;L$5,INDIRECT("'"&amp;$B54&amp;"'!$AF$6:$AF$205"),0))),"-"))</f>
        <v/>
      </c>
      <c r="M54" s="34">
        <f>IF(OR(AP54="",M$5="-"),"",IFERROR(IF(INDEX(INDIRECT("'"&amp;$B54&amp;"'!$N$6:$N$205"),MATCH($AR54&amp;"|"&amp;M$5,INDIRECT("'"&amp;$B54&amp;"'!$AF$6:$AF$205"),0))="","",INDEX(INDIRECT("'"&amp;$B54&amp;"'!$N$6:$N$205"),MATCH($AR54&amp;"|"&amp;M$5,INDIRECT("'"&amp;$B54&amp;"'!$AF$6:$AF$205"),0))),"-"))</f>
        <v/>
      </c>
      <c r="N54" s="34">
        <f>IF(OR(AP54="",N$5="-"),"",IFERROR(IF(INDEX(INDIRECT("'"&amp;$B54&amp;"'!$N$6:$N$205"),MATCH($AR54&amp;"|"&amp;N$5,INDIRECT("'"&amp;$B54&amp;"'!$AF$6:$AF$205"),0))="","",INDEX(INDIRECT("'"&amp;$B54&amp;"'!$N$6:$N$205"),MATCH($AR54&amp;"|"&amp;N$5,INDIRECT("'"&amp;$B54&amp;"'!$AF$6:$AF$205"),0))),"-"))</f>
        <v/>
      </c>
      <c r="O54" s="34">
        <f>IF(OR(AP54="",O$5="-"),"",IFERROR(IF(INDEX(INDIRECT("'"&amp;$B54&amp;"'!$N$6:$N$205"),MATCH($AR54&amp;"|"&amp;O$5,INDIRECT("'"&amp;$B54&amp;"'!$AF$6:$AF$205"),0))="","",INDEX(INDIRECT("'"&amp;$B54&amp;"'!$N$6:$N$205"),MATCH($AR54&amp;"|"&amp;O$5,INDIRECT("'"&amp;$B54&amp;"'!$AF$6:$AF$205"),0))),"-"))</f>
        <v/>
      </c>
      <c r="P54" s="37">
        <f>IF(OR(AP54="",P$5="-"),"",IFERROR(IF(INDEX(INDIRECT("'"&amp;$B54&amp;"'!$R$6:$R$205"),MATCH($AR54&amp;"|"&amp;P$5,INDIRECT("'"&amp;$B54&amp;"'!$AF$6:$AF$205"),0))="","",INDEX(INDIRECT("'"&amp;$B54&amp;"'!$R$6:$R$205"),MATCH($AR54&amp;"|"&amp;P$5,INDIRECT("'"&amp;$B54&amp;"'!$AF$6:$AF$205"),0))),"-"))</f>
        <v/>
      </c>
      <c r="Q54" s="37">
        <f>IF(OR(AP54="",Q$5="-"),"",IFERROR(IF(INDEX(INDIRECT("'"&amp;$B54&amp;"'!$R$6:$R$205"),MATCH($AR54&amp;"|"&amp;Q$5,INDIRECT("'"&amp;$B54&amp;"'!$AF$6:$AF$205"),0))="","",INDEX(INDIRECT("'"&amp;$B54&amp;"'!$R$6:$R$205"),MATCH($AR54&amp;"|"&amp;Q$5,INDIRECT("'"&amp;$B54&amp;"'!$AF$6:$AF$205"),0))),"-"))</f>
        <v/>
      </c>
      <c r="R54" s="37">
        <f>IF(OR(AP54="",R$5="-"),"",IFERROR(IF(INDEX(INDIRECT("'"&amp;$B54&amp;"'!$R$6:$R$205"),MATCH($AR54&amp;"|"&amp;R$5,INDIRECT("'"&amp;$B54&amp;"'!$AF$6:$AF$205"),0))="","",INDEX(INDIRECT("'"&amp;$B54&amp;"'!$R$6:$R$205"),MATCH($AR54&amp;"|"&amp;R$5,INDIRECT("'"&amp;$B54&amp;"'!$AF$6:$AF$205"),0))),"-"))</f>
        <v/>
      </c>
      <c r="S54" s="37">
        <f>IF(OR(AP54="",S$5="-"),"",IFERROR(IF(INDEX(INDIRECT("'"&amp;$B54&amp;"'!$R$6:$R$205"),MATCH($AR54&amp;"|"&amp;S$5,INDIRECT("'"&amp;$B54&amp;"'!$AF$6:$AF$205"),0))="","",INDEX(INDIRECT("'"&amp;$B54&amp;"'!$R$6:$R$205"),MATCH($AR54&amp;"|"&amp;S$5,INDIRECT("'"&amp;$B54&amp;"'!$AF$6:$AF$205"),0))),"-"))</f>
        <v/>
      </c>
      <c r="T54" s="37">
        <f>IF(OR(AP54="",T$5="-"),"",IFERROR(IF(INDEX(INDIRECT("'"&amp;$B54&amp;"'!$R$6:$R$205"),MATCH($AR54&amp;"|"&amp;T$5,INDIRECT("'"&amp;$B54&amp;"'!$AF$6:$AF$205"),0))="","",INDEX(INDIRECT("'"&amp;$B54&amp;"'!$R$6:$R$205"),MATCH($AR54&amp;"|"&amp;T$5,INDIRECT("'"&amp;$B54&amp;"'!$AF$6:$AF$205"),0))),"-"))</f>
        <v/>
      </c>
      <c r="U54" s="37">
        <f>IF(OR(AP54="",U$5="-"),"",IFERROR(IF(INDEX(INDIRECT("'"&amp;$B54&amp;"'!$R$6:$R$205"),MATCH($AR54&amp;"|"&amp;U$5,INDIRECT("'"&amp;$B54&amp;"'!$AF$6:$AF$205"),0))="","",INDEX(INDIRECT("'"&amp;$B54&amp;"'!$R$6:$R$205"),MATCH($AR54&amp;"|"&amp;U$5,INDIRECT("'"&amp;$B54&amp;"'!$AF$6:$AF$205"),0))),"-"))</f>
        <v/>
      </c>
      <c r="V54" s="37">
        <f>IF(OR(AP54="",V$5="-"),"",IFERROR(IF(INDEX(INDIRECT("'"&amp;$B54&amp;"'!$R$6:$R$205"),MATCH($AR54&amp;"|"&amp;V$5,INDIRECT("'"&amp;$B54&amp;"'!$AF$6:$AF$205"),0))="","",INDEX(INDIRECT("'"&amp;$B54&amp;"'!$R$6:$R$205"),MATCH($AR54&amp;"|"&amp;V$5,INDIRECT("'"&amp;$B54&amp;"'!$AF$6:$AF$205"),0))),"-"))</f>
        <v/>
      </c>
      <c r="W54" s="37">
        <f>IF(OR(AP54="",W$5="-"),"",IFERROR(IF(INDEX(INDIRECT("'"&amp;$B54&amp;"'!$R$6:$R$205"),MATCH($AR54&amp;"|"&amp;W$5,INDIRECT("'"&amp;$B54&amp;"'!$AF$6:$AF$205"),0))="","",INDEX(INDIRECT("'"&amp;$B54&amp;"'!$R$6:$R$205"),MATCH($AR54&amp;"|"&amp;W$5,INDIRECT("'"&amp;$B54&amp;"'!$AF$6:$AF$205"),0))),"-"))</f>
        <v/>
      </c>
      <c r="X54" s="38">
        <f>IF(OR(AP54="",X$5="-"),"",IFERROR(IF(INDEX(INDIRECT("'"&amp;$B54&amp;"'!$T$6:$T$205"),MATCH($AR54&amp;"|"&amp;X$5,INDIRECT("'"&amp;$B54&amp;"'!$AF$6:$AF$205"),0))="","",INDEX(INDIRECT("'"&amp;$B54&amp;"'!$T$6:$T$205"),MATCH($AR54&amp;"|"&amp;X$5,INDIRECT("'"&amp;$B54&amp;"'!$AF$6:$AF$205"),0))),"-"))</f>
        <v/>
      </c>
      <c r="Y54" s="38">
        <f>IF(OR(AP54="",Y$5="-"),"",IFERROR(IF(INDEX(INDIRECT("'"&amp;$B54&amp;"'!$T$6:$T$205"),MATCH($AR54&amp;"|"&amp;Y$5,INDIRECT("'"&amp;$B54&amp;"'!$AF$6:$AF$205"),0))="","",INDEX(INDIRECT("'"&amp;$B54&amp;"'!$T$6:$T$205"),MATCH($AR54&amp;"|"&amp;Y$5,INDIRECT("'"&amp;$B54&amp;"'!$AF$6:$AF$205"),0))),"-"))</f>
        <v/>
      </c>
      <c r="Z54" s="38">
        <f>IF(OR(AP54="",Z$5="-"),"",IFERROR(IF(INDEX(INDIRECT("'"&amp;$B54&amp;"'!$T$6:$T$205"),MATCH($AR54&amp;"|"&amp;Z$5,INDIRECT("'"&amp;$B54&amp;"'!$AF$6:$AF$205"),0))="","",INDEX(INDIRECT("'"&amp;$B54&amp;"'!$T$6:$T$205"),MATCH($AR54&amp;"|"&amp;Z$5,INDIRECT("'"&amp;$B54&amp;"'!$AF$6:$AF$205"),0))),"-"))</f>
        <v/>
      </c>
      <c r="AA54" s="38">
        <f>IF(OR(AP54="",AA$5="-"),"",IFERROR(IF(INDEX(INDIRECT("'"&amp;$B54&amp;"'!$T$6:$T$205"),MATCH($AR54&amp;"|"&amp;AA$5,INDIRECT("'"&amp;$B54&amp;"'!$AF$6:$AF$205"),0))="","",INDEX(INDIRECT("'"&amp;$B54&amp;"'!$T$6:$T$205"),MATCH($AR54&amp;"|"&amp;AA$5,INDIRECT("'"&amp;$B54&amp;"'!$AF$6:$AF$205"),0))),"-"))</f>
        <v/>
      </c>
      <c r="AB54" s="38">
        <f>IF(OR(AP54="",AB$5="-"),"",IFERROR(IF(INDEX(INDIRECT("'"&amp;$B54&amp;"'!$T$6:$T$205"),MATCH($AR54&amp;"|"&amp;AB$5,INDIRECT("'"&amp;$B54&amp;"'!$AF$6:$AF$205"),0))="","",INDEX(INDIRECT("'"&amp;$B54&amp;"'!$T$6:$T$205"),MATCH($AR54&amp;"|"&amp;AB$5,INDIRECT("'"&amp;$B54&amp;"'!$AF$6:$AF$205"),0))),"-"))</f>
        <v/>
      </c>
      <c r="AC54" s="38">
        <f>IF(OR(AP54="",AC$5="-"),"",IFERROR(IF(INDEX(INDIRECT("'"&amp;$B54&amp;"'!$T$6:$T$205"),MATCH($AR54&amp;"|"&amp;AC$5,INDIRECT("'"&amp;$B54&amp;"'!$AF$6:$AF$205"),0))="","",INDEX(INDIRECT("'"&amp;$B54&amp;"'!$T$6:$T$205"),MATCH($AR54&amp;"|"&amp;AC$5,INDIRECT("'"&amp;$B54&amp;"'!$AF$6:$AF$205"),0))),"-"))</f>
        <v/>
      </c>
      <c r="AD54" s="38">
        <f>IF(OR(AP54="",AD$5="-"),"",IFERROR(IF(INDEX(INDIRECT("'"&amp;$B54&amp;"'!$T$6:$T$205"),MATCH($AR54&amp;"|"&amp;AD$5,INDIRECT("'"&amp;$B54&amp;"'!$AF$6:$AF$205"),0))="","",INDEX(INDIRECT("'"&amp;$B54&amp;"'!$T$6:$T$205"),MATCH($AR54&amp;"|"&amp;AD$5,INDIRECT("'"&amp;$B54&amp;"'!$AF$6:$AF$205"),0))),"-"))</f>
        <v/>
      </c>
      <c r="AE54" s="38">
        <f>IF(OR(AP54="",AE$5="-"),"",IFERROR(IF(INDEX(INDIRECT("'"&amp;$B54&amp;"'!$T$6:$T$205"),MATCH($AR54&amp;"|"&amp;AE$5,INDIRECT("'"&amp;$B54&amp;"'!$AF$6:$AF$205"),0))="","",INDEX(INDIRECT("'"&amp;$B54&amp;"'!$T$6:$T$205"),MATCH($AR54&amp;"|"&amp;AE$5,INDIRECT("'"&amp;$B54&amp;"'!$AF$6:$AF$205"),0))),"-"))</f>
        <v/>
      </c>
      <c r="AF54" s="35">
        <f>IF(AG54="","",INDEX($P$5:$W$5,MATCH(AG54,P54:W54,0)))</f>
        <v/>
      </c>
      <c r="AG54" s="37">
        <f>IF(COUNT(P54:W54)=0,"",MIN(P54:W54))</f>
        <v/>
      </c>
      <c r="AH54" s="39">
        <f>IF(AG54="","",AG54*F54)</f>
        <v/>
      </c>
      <c r="AI54" s="39">
        <f>IF(COUNT(P54:W54)&lt;2,"",(MAX(P54:W54)-MIN(P54:W54))*F54)</f>
        <v/>
      </c>
      <c r="AJ54" s="20" t="n"/>
      <c r="AP54">
        <f>IF(49&gt;MAX($AN$6:$AN$9),"",COUNTIF($AN$6:$AN$9,"&lt;"&amp;49)+1)</f>
        <v/>
      </c>
      <c r="AQ54">
        <f>IF(AP54="","",49-INDEX($AO$6:$AO$9,AP54))</f>
        <v/>
      </c>
      <c r="AR54">
        <f>IF(AP54="","",INDEX(INDIRECT("'"&amp;$B54&amp;"'!$AE$6:$AE$205"),MATCH(AQ54,INDIRECT("'"&amp;$B54&amp;"'!$AI$6:$AI$205"),0)))</f>
        <v/>
      </c>
    </row>
    <row r="55">
      <c r="A55" s="34">
        <f>IF(AP55="","",50)</f>
        <v/>
      </c>
      <c r="B55" s="35">
        <f>IF(AP55="","",INDEX($AL$6:$AL$9,AP55))</f>
        <v/>
      </c>
      <c r="C55" s="34">
        <f>IF(AP55="","",INDEX(INDIRECT("'"&amp;$B55&amp;"'!$B$6:$B$205"),MATCH($AR55,INDIRECT("'"&amp;$B55&amp;"'!$AE$6:$AE$205"),0)))</f>
        <v/>
      </c>
      <c r="D55" s="34">
        <f>IF(AP55="","",INDEX(INDIRECT("'"&amp;$B55&amp;"'!$D$6:$D$205"),MATCH($AR55,INDIRECT("'"&amp;$B55&amp;"'!$AE$6:$AE$205"),0)))</f>
        <v/>
      </c>
      <c r="E55" s="36">
        <f>IF(AP55="","",INDEX(INDIRECT("'"&amp;$B55&amp;"'!$F$6:$F$205"),MATCH($AR55,INDIRECT("'"&amp;$B55&amp;"'!$AE$6:$AE$205"),0)))</f>
        <v/>
      </c>
      <c r="F55" s="34">
        <f>IF(AP55="","",INDEX(INDIRECT("'"&amp;$B55&amp;"'!$K$6:$K$205"),MATCH($AR55,INDIRECT("'"&amp;$B55&amp;"'!$AE$6:$AE$205"),0)))</f>
        <v/>
      </c>
      <c r="G55" s="34">
        <f>IF(AP55="","",INDEX(INDIRECT("'"&amp;$B55&amp;"'!$L$6:$L$205"),MATCH($AR55,INDIRECT("'"&amp;$B55&amp;"'!$AE$6:$AE$205"),0)))</f>
        <v/>
      </c>
      <c r="H55" s="34">
        <f>IF(OR(AP55="",H$5="-"),"",IFERROR(IF(INDEX(INDIRECT("'"&amp;$B55&amp;"'!$N$6:$N$205"),MATCH($AR55&amp;"|"&amp;H$5,INDIRECT("'"&amp;$B55&amp;"'!$AF$6:$AF$205"),0))="","",INDEX(INDIRECT("'"&amp;$B55&amp;"'!$N$6:$N$205"),MATCH($AR55&amp;"|"&amp;H$5,INDIRECT("'"&amp;$B55&amp;"'!$AF$6:$AF$205"),0))),"-"))</f>
        <v/>
      </c>
      <c r="I55" s="34">
        <f>IF(OR(AP55="",I$5="-"),"",IFERROR(IF(INDEX(INDIRECT("'"&amp;$B55&amp;"'!$N$6:$N$205"),MATCH($AR55&amp;"|"&amp;I$5,INDIRECT("'"&amp;$B55&amp;"'!$AF$6:$AF$205"),0))="","",INDEX(INDIRECT("'"&amp;$B55&amp;"'!$N$6:$N$205"),MATCH($AR55&amp;"|"&amp;I$5,INDIRECT("'"&amp;$B55&amp;"'!$AF$6:$AF$205"),0))),"-"))</f>
        <v/>
      </c>
      <c r="J55" s="34">
        <f>IF(OR(AP55="",J$5="-"),"",IFERROR(IF(INDEX(INDIRECT("'"&amp;$B55&amp;"'!$N$6:$N$205"),MATCH($AR55&amp;"|"&amp;J$5,INDIRECT("'"&amp;$B55&amp;"'!$AF$6:$AF$205"),0))="","",INDEX(INDIRECT("'"&amp;$B55&amp;"'!$N$6:$N$205"),MATCH($AR55&amp;"|"&amp;J$5,INDIRECT("'"&amp;$B55&amp;"'!$AF$6:$AF$205"),0))),"-"))</f>
        <v/>
      </c>
      <c r="K55" s="34">
        <f>IF(OR(AP55="",K$5="-"),"",IFERROR(IF(INDEX(INDIRECT("'"&amp;$B55&amp;"'!$N$6:$N$205"),MATCH($AR55&amp;"|"&amp;K$5,INDIRECT("'"&amp;$B55&amp;"'!$AF$6:$AF$205"),0))="","",INDEX(INDIRECT("'"&amp;$B55&amp;"'!$N$6:$N$205"),MATCH($AR55&amp;"|"&amp;K$5,INDIRECT("'"&amp;$B55&amp;"'!$AF$6:$AF$205"),0))),"-"))</f>
        <v/>
      </c>
      <c r="L55" s="34">
        <f>IF(OR(AP55="",L$5="-"),"",IFERROR(IF(INDEX(INDIRECT("'"&amp;$B55&amp;"'!$N$6:$N$205"),MATCH($AR55&amp;"|"&amp;L$5,INDIRECT("'"&amp;$B55&amp;"'!$AF$6:$AF$205"),0))="","",INDEX(INDIRECT("'"&amp;$B55&amp;"'!$N$6:$N$205"),MATCH($AR55&amp;"|"&amp;L$5,INDIRECT("'"&amp;$B55&amp;"'!$AF$6:$AF$205"),0))),"-"))</f>
        <v/>
      </c>
      <c r="M55" s="34">
        <f>IF(OR(AP55="",M$5="-"),"",IFERROR(IF(INDEX(INDIRECT("'"&amp;$B55&amp;"'!$N$6:$N$205"),MATCH($AR55&amp;"|"&amp;M$5,INDIRECT("'"&amp;$B55&amp;"'!$AF$6:$AF$205"),0))="","",INDEX(INDIRECT("'"&amp;$B55&amp;"'!$N$6:$N$205"),MATCH($AR55&amp;"|"&amp;M$5,INDIRECT("'"&amp;$B55&amp;"'!$AF$6:$AF$205"),0))),"-"))</f>
        <v/>
      </c>
      <c r="N55" s="34">
        <f>IF(OR(AP55="",N$5="-"),"",IFERROR(IF(INDEX(INDIRECT("'"&amp;$B55&amp;"'!$N$6:$N$205"),MATCH($AR55&amp;"|"&amp;N$5,INDIRECT("'"&amp;$B55&amp;"'!$AF$6:$AF$205"),0))="","",INDEX(INDIRECT("'"&amp;$B55&amp;"'!$N$6:$N$205"),MATCH($AR55&amp;"|"&amp;N$5,INDIRECT("'"&amp;$B55&amp;"'!$AF$6:$AF$205"),0))),"-"))</f>
        <v/>
      </c>
      <c r="O55" s="34">
        <f>IF(OR(AP55="",O$5="-"),"",IFERROR(IF(INDEX(INDIRECT("'"&amp;$B55&amp;"'!$N$6:$N$205"),MATCH($AR55&amp;"|"&amp;O$5,INDIRECT("'"&amp;$B55&amp;"'!$AF$6:$AF$205"),0))="","",INDEX(INDIRECT("'"&amp;$B55&amp;"'!$N$6:$N$205"),MATCH($AR55&amp;"|"&amp;O$5,INDIRECT("'"&amp;$B55&amp;"'!$AF$6:$AF$205"),0))),"-"))</f>
        <v/>
      </c>
      <c r="P55" s="37">
        <f>IF(OR(AP55="",P$5="-"),"",IFERROR(IF(INDEX(INDIRECT("'"&amp;$B55&amp;"'!$R$6:$R$205"),MATCH($AR55&amp;"|"&amp;P$5,INDIRECT("'"&amp;$B55&amp;"'!$AF$6:$AF$205"),0))="","",INDEX(INDIRECT("'"&amp;$B55&amp;"'!$R$6:$R$205"),MATCH($AR55&amp;"|"&amp;P$5,INDIRECT("'"&amp;$B55&amp;"'!$AF$6:$AF$205"),0))),"-"))</f>
        <v/>
      </c>
      <c r="Q55" s="37">
        <f>IF(OR(AP55="",Q$5="-"),"",IFERROR(IF(INDEX(INDIRECT("'"&amp;$B55&amp;"'!$R$6:$R$205"),MATCH($AR55&amp;"|"&amp;Q$5,INDIRECT("'"&amp;$B55&amp;"'!$AF$6:$AF$205"),0))="","",INDEX(INDIRECT("'"&amp;$B55&amp;"'!$R$6:$R$205"),MATCH($AR55&amp;"|"&amp;Q$5,INDIRECT("'"&amp;$B55&amp;"'!$AF$6:$AF$205"),0))),"-"))</f>
        <v/>
      </c>
      <c r="R55" s="37">
        <f>IF(OR(AP55="",R$5="-"),"",IFERROR(IF(INDEX(INDIRECT("'"&amp;$B55&amp;"'!$R$6:$R$205"),MATCH($AR55&amp;"|"&amp;R$5,INDIRECT("'"&amp;$B55&amp;"'!$AF$6:$AF$205"),0))="","",INDEX(INDIRECT("'"&amp;$B55&amp;"'!$R$6:$R$205"),MATCH($AR55&amp;"|"&amp;R$5,INDIRECT("'"&amp;$B55&amp;"'!$AF$6:$AF$205"),0))),"-"))</f>
        <v/>
      </c>
      <c r="S55" s="37">
        <f>IF(OR(AP55="",S$5="-"),"",IFERROR(IF(INDEX(INDIRECT("'"&amp;$B55&amp;"'!$R$6:$R$205"),MATCH($AR55&amp;"|"&amp;S$5,INDIRECT("'"&amp;$B55&amp;"'!$AF$6:$AF$205"),0))="","",INDEX(INDIRECT("'"&amp;$B55&amp;"'!$R$6:$R$205"),MATCH($AR55&amp;"|"&amp;S$5,INDIRECT("'"&amp;$B55&amp;"'!$AF$6:$AF$205"),0))),"-"))</f>
        <v/>
      </c>
      <c r="T55" s="37">
        <f>IF(OR(AP55="",T$5="-"),"",IFERROR(IF(INDEX(INDIRECT("'"&amp;$B55&amp;"'!$R$6:$R$205"),MATCH($AR55&amp;"|"&amp;T$5,INDIRECT("'"&amp;$B55&amp;"'!$AF$6:$AF$205"),0))="","",INDEX(INDIRECT("'"&amp;$B55&amp;"'!$R$6:$R$205"),MATCH($AR55&amp;"|"&amp;T$5,INDIRECT("'"&amp;$B55&amp;"'!$AF$6:$AF$205"),0))),"-"))</f>
        <v/>
      </c>
      <c r="U55" s="37">
        <f>IF(OR(AP55="",U$5="-"),"",IFERROR(IF(INDEX(INDIRECT("'"&amp;$B55&amp;"'!$R$6:$R$205"),MATCH($AR55&amp;"|"&amp;U$5,INDIRECT("'"&amp;$B55&amp;"'!$AF$6:$AF$205"),0))="","",INDEX(INDIRECT("'"&amp;$B55&amp;"'!$R$6:$R$205"),MATCH($AR55&amp;"|"&amp;U$5,INDIRECT("'"&amp;$B55&amp;"'!$AF$6:$AF$205"),0))),"-"))</f>
        <v/>
      </c>
      <c r="V55" s="37">
        <f>IF(OR(AP55="",V$5="-"),"",IFERROR(IF(INDEX(INDIRECT("'"&amp;$B55&amp;"'!$R$6:$R$205"),MATCH($AR55&amp;"|"&amp;V$5,INDIRECT("'"&amp;$B55&amp;"'!$AF$6:$AF$205"),0))="","",INDEX(INDIRECT("'"&amp;$B55&amp;"'!$R$6:$R$205"),MATCH($AR55&amp;"|"&amp;V$5,INDIRECT("'"&amp;$B55&amp;"'!$AF$6:$AF$205"),0))),"-"))</f>
        <v/>
      </c>
      <c r="W55" s="37">
        <f>IF(OR(AP55="",W$5="-"),"",IFERROR(IF(INDEX(INDIRECT("'"&amp;$B55&amp;"'!$R$6:$R$205"),MATCH($AR55&amp;"|"&amp;W$5,INDIRECT("'"&amp;$B55&amp;"'!$AF$6:$AF$205"),0))="","",INDEX(INDIRECT("'"&amp;$B55&amp;"'!$R$6:$R$205"),MATCH($AR55&amp;"|"&amp;W$5,INDIRECT("'"&amp;$B55&amp;"'!$AF$6:$AF$205"),0))),"-"))</f>
        <v/>
      </c>
      <c r="X55" s="38">
        <f>IF(OR(AP55="",X$5="-"),"",IFERROR(IF(INDEX(INDIRECT("'"&amp;$B55&amp;"'!$T$6:$T$205"),MATCH($AR55&amp;"|"&amp;X$5,INDIRECT("'"&amp;$B55&amp;"'!$AF$6:$AF$205"),0))="","",INDEX(INDIRECT("'"&amp;$B55&amp;"'!$T$6:$T$205"),MATCH($AR55&amp;"|"&amp;X$5,INDIRECT("'"&amp;$B55&amp;"'!$AF$6:$AF$205"),0))),"-"))</f>
        <v/>
      </c>
      <c r="Y55" s="38">
        <f>IF(OR(AP55="",Y$5="-"),"",IFERROR(IF(INDEX(INDIRECT("'"&amp;$B55&amp;"'!$T$6:$T$205"),MATCH($AR55&amp;"|"&amp;Y$5,INDIRECT("'"&amp;$B55&amp;"'!$AF$6:$AF$205"),0))="","",INDEX(INDIRECT("'"&amp;$B55&amp;"'!$T$6:$T$205"),MATCH($AR55&amp;"|"&amp;Y$5,INDIRECT("'"&amp;$B55&amp;"'!$AF$6:$AF$205"),0))),"-"))</f>
        <v/>
      </c>
      <c r="Z55" s="38">
        <f>IF(OR(AP55="",Z$5="-"),"",IFERROR(IF(INDEX(INDIRECT("'"&amp;$B55&amp;"'!$T$6:$T$205"),MATCH($AR55&amp;"|"&amp;Z$5,INDIRECT("'"&amp;$B55&amp;"'!$AF$6:$AF$205"),0))="","",INDEX(INDIRECT("'"&amp;$B55&amp;"'!$T$6:$T$205"),MATCH($AR55&amp;"|"&amp;Z$5,INDIRECT("'"&amp;$B55&amp;"'!$AF$6:$AF$205"),0))),"-"))</f>
        <v/>
      </c>
      <c r="AA55" s="38">
        <f>IF(OR(AP55="",AA$5="-"),"",IFERROR(IF(INDEX(INDIRECT("'"&amp;$B55&amp;"'!$T$6:$T$205"),MATCH($AR55&amp;"|"&amp;AA$5,INDIRECT("'"&amp;$B55&amp;"'!$AF$6:$AF$205"),0))="","",INDEX(INDIRECT("'"&amp;$B55&amp;"'!$T$6:$T$205"),MATCH($AR55&amp;"|"&amp;AA$5,INDIRECT("'"&amp;$B55&amp;"'!$AF$6:$AF$205"),0))),"-"))</f>
        <v/>
      </c>
      <c r="AB55" s="38">
        <f>IF(OR(AP55="",AB$5="-"),"",IFERROR(IF(INDEX(INDIRECT("'"&amp;$B55&amp;"'!$T$6:$T$205"),MATCH($AR55&amp;"|"&amp;AB$5,INDIRECT("'"&amp;$B55&amp;"'!$AF$6:$AF$205"),0))="","",INDEX(INDIRECT("'"&amp;$B55&amp;"'!$T$6:$T$205"),MATCH($AR55&amp;"|"&amp;AB$5,INDIRECT("'"&amp;$B55&amp;"'!$AF$6:$AF$205"),0))),"-"))</f>
        <v/>
      </c>
      <c r="AC55" s="38">
        <f>IF(OR(AP55="",AC$5="-"),"",IFERROR(IF(INDEX(INDIRECT("'"&amp;$B55&amp;"'!$T$6:$T$205"),MATCH($AR55&amp;"|"&amp;AC$5,INDIRECT("'"&amp;$B55&amp;"'!$AF$6:$AF$205"),0))="","",INDEX(INDIRECT("'"&amp;$B55&amp;"'!$T$6:$T$205"),MATCH($AR55&amp;"|"&amp;AC$5,INDIRECT("'"&amp;$B55&amp;"'!$AF$6:$AF$205"),0))),"-"))</f>
        <v/>
      </c>
      <c r="AD55" s="38">
        <f>IF(OR(AP55="",AD$5="-"),"",IFERROR(IF(INDEX(INDIRECT("'"&amp;$B55&amp;"'!$T$6:$T$205"),MATCH($AR55&amp;"|"&amp;AD$5,INDIRECT("'"&amp;$B55&amp;"'!$AF$6:$AF$205"),0))="","",INDEX(INDIRECT("'"&amp;$B55&amp;"'!$T$6:$T$205"),MATCH($AR55&amp;"|"&amp;AD$5,INDIRECT("'"&amp;$B55&amp;"'!$AF$6:$AF$205"),0))),"-"))</f>
        <v/>
      </c>
      <c r="AE55" s="38">
        <f>IF(OR(AP55="",AE$5="-"),"",IFERROR(IF(INDEX(INDIRECT("'"&amp;$B55&amp;"'!$T$6:$T$205"),MATCH($AR55&amp;"|"&amp;AE$5,INDIRECT("'"&amp;$B55&amp;"'!$AF$6:$AF$205"),0))="","",INDEX(INDIRECT("'"&amp;$B55&amp;"'!$T$6:$T$205"),MATCH($AR55&amp;"|"&amp;AE$5,INDIRECT("'"&amp;$B55&amp;"'!$AF$6:$AF$205"),0))),"-"))</f>
        <v/>
      </c>
      <c r="AF55" s="35">
        <f>IF(AG55="","",INDEX($P$5:$W$5,MATCH(AG55,P55:W55,0)))</f>
        <v/>
      </c>
      <c r="AG55" s="37">
        <f>IF(COUNT(P55:W55)=0,"",MIN(P55:W55))</f>
        <v/>
      </c>
      <c r="AH55" s="39">
        <f>IF(AG55="","",AG55*F55)</f>
        <v/>
      </c>
      <c r="AI55" s="39">
        <f>IF(COUNT(P55:W55)&lt;2,"",(MAX(P55:W55)-MIN(P55:W55))*F55)</f>
        <v/>
      </c>
      <c r="AJ55" s="20" t="n"/>
      <c r="AP55">
        <f>IF(50&gt;MAX($AN$6:$AN$9),"",COUNTIF($AN$6:$AN$9,"&lt;"&amp;50)+1)</f>
        <v/>
      </c>
      <c r="AQ55">
        <f>IF(AP55="","",50-INDEX($AO$6:$AO$9,AP55))</f>
        <v/>
      </c>
      <c r="AR55">
        <f>IF(AP55="","",INDEX(INDIRECT("'"&amp;$B55&amp;"'!$AE$6:$AE$205"),MATCH(AQ55,INDIRECT("'"&amp;$B55&amp;"'!$AI$6:$AI$205"),0)))</f>
        <v/>
      </c>
    </row>
    <row r="56">
      <c r="A56" s="34">
        <f>IF(AP56="","",51)</f>
        <v/>
      </c>
      <c r="B56" s="35">
        <f>IF(AP56="","",INDEX($AL$6:$AL$9,AP56))</f>
        <v/>
      </c>
      <c r="C56" s="34">
        <f>IF(AP56="","",INDEX(INDIRECT("'"&amp;$B56&amp;"'!$B$6:$B$205"),MATCH($AR56,INDIRECT("'"&amp;$B56&amp;"'!$AE$6:$AE$205"),0)))</f>
        <v/>
      </c>
      <c r="D56" s="34">
        <f>IF(AP56="","",INDEX(INDIRECT("'"&amp;$B56&amp;"'!$D$6:$D$205"),MATCH($AR56,INDIRECT("'"&amp;$B56&amp;"'!$AE$6:$AE$205"),0)))</f>
        <v/>
      </c>
      <c r="E56" s="36">
        <f>IF(AP56="","",INDEX(INDIRECT("'"&amp;$B56&amp;"'!$F$6:$F$205"),MATCH($AR56,INDIRECT("'"&amp;$B56&amp;"'!$AE$6:$AE$205"),0)))</f>
        <v/>
      </c>
      <c r="F56" s="34">
        <f>IF(AP56="","",INDEX(INDIRECT("'"&amp;$B56&amp;"'!$K$6:$K$205"),MATCH($AR56,INDIRECT("'"&amp;$B56&amp;"'!$AE$6:$AE$205"),0)))</f>
        <v/>
      </c>
      <c r="G56" s="34">
        <f>IF(AP56="","",INDEX(INDIRECT("'"&amp;$B56&amp;"'!$L$6:$L$205"),MATCH($AR56,INDIRECT("'"&amp;$B56&amp;"'!$AE$6:$AE$205"),0)))</f>
        <v/>
      </c>
      <c r="H56" s="34">
        <f>IF(OR(AP56="",H$5="-"),"",IFERROR(IF(INDEX(INDIRECT("'"&amp;$B56&amp;"'!$N$6:$N$205"),MATCH($AR56&amp;"|"&amp;H$5,INDIRECT("'"&amp;$B56&amp;"'!$AF$6:$AF$205"),0))="","",INDEX(INDIRECT("'"&amp;$B56&amp;"'!$N$6:$N$205"),MATCH($AR56&amp;"|"&amp;H$5,INDIRECT("'"&amp;$B56&amp;"'!$AF$6:$AF$205"),0))),"-"))</f>
        <v/>
      </c>
      <c r="I56" s="34">
        <f>IF(OR(AP56="",I$5="-"),"",IFERROR(IF(INDEX(INDIRECT("'"&amp;$B56&amp;"'!$N$6:$N$205"),MATCH($AR56&amp;"|"&amp;I$5,INDIRECT("'"&amp;$B56&amp;"'!$AF$6:$AF$205"),0))="","",INDEX(INDIRECT("'"&amp;$B56&amp;"'!$N$6:$N$205"),MATCH($AR56&amp;"|"&amp;I$5,INDIRECT("'"&amp;$B56&amp;"'!$AF$6:$AF$205"),0))),"-"))</f>
        <v/>
      </c>
      <c r="J56" s="34">
        <f>IF(OR(AP56="",J$5="-"),"",IFERROR(IF(INDEX(INDIRECT("'"&amp;$B56&amp;"'!$N$6:$N$205"),MATCH($AR56&amp;"|"&amp;J$5,INDIRECT("'"&amp;$B56&amp;"'!$AF$6:$AF$205"),0))="","",INDEX(INDIRECT("'"&amp;$B56&amp;"'!$N$6:$N$205"),MATCH($AR56&amp;"|"&amp;J$5,INDIRECT("'"&amp;$B56&amp;"'!$AF$6:$AF$205"),0))),"-"))</f>
        <v/>
      </c>
      <c r="K56" s="34">
        <f>IF(OR(AP56="",K$5="-"),"",IFERROR(IF(INDEX(INDIRECT("'"&amp;$B56&amp;"'!$N$6:$N$205"),MATCH($AR56&amp;"|"&amp;K$5,INDIRECT("'"&amp;$B56&amp;"'!$AF$6:$AF$205"),0))="","",INDEX(INDIRECT("'"&amp;$B56&amp;"'!$N$6:$N$205"),MATCH($AR56&amp;"|"&amp;K$5,INDIRECT("'"&amp;$B56&amp;"'!$AF$6:$AF$205"),0))),"-"))</f>
        <v/>
      </c>
      <c r="L56" s="34">
        <f>IF(OR(AP56="",L$5="-"),"",IFERROR(IF(INDEX(INDIRECT("'"&amp;$B56&amp;"'!$N$6:$N$205"),MATCH($AR56&amp;"|"&amp;L$5,INDIRECT("'"&amp;$B56&amp;"'!$AF$6:$AF$205"),0))="","",INDEX(INDIRECT("'"&amp;$B56&amp;"'!$N$6:$N$205"),MATCH($AR56&amp;"|"&amp;L$5,INDIRECT("'"&amp;$B56&amp;"'!$AF$6:$AF$205"),0))),"-"))</f>
        <v/>
      </c>
      <c r="M56" s="34">
        <f>IF(OR(AP56="",M$5="-"),"",IFERROR(IF(INDEX(INDIRECT("'"&amp;$B56&amp;"'!$N$6:$N$205"),MATCH($AR56&amp;"|"&amp;M$5,INDIRECT("'"&amp;$B56&amp;"'!$AF$6:$AF$205"),0))="","",INDEX(INDIRECT("'"&amp;$B56&amp;"'!$N$6:$N$205"),MATCH($AR56&amp;"|"&amp;M$5,INDIRECT("'"&amp;$B56&amp;"'!$AF$6:$AF$205"),0))),"-"))</f>
        <v/>
      </c>
      <c r="N56" s="34">
        <f>IF(OR(AP56="",N$5="-"),"",IFERROR(IF(INDEX(INDIRECT("'"&amp;$B56&amp;"'!$N$6:$N$205"),MATCH($AR56&amp;"|"&amp;N$5,INDIRECT("'"&amp;$B56&amp;"'!$AF$6:$AF$205"),0))="","",INDEX(INDIRECT("'"&amp;$B56&amp;"'!$N$6:$N$205"),MATCH($AR56&amp;"|"&amp;N$5,INDIRECT("'"&amp;$B56&amp;"'!$AF$6:$AF$205"),0))),"-"))</f>
        <v/>
      </c>
      <c r="O56" s="34">
        <f>IF(OR(AP56="",O$5="-"),"",IFERROR(IF(INDEX(INDIRECT("'"&amp;$B56&amp;"'!$N$6:$N$205"),MATCH($AR56&amp;"|"&amp;O$5,INDIRECT("'"&amp;$B56&amp;"'!$AF$6:$AF$205"),0))="","",INDEX(INDIRECT("'"&amp;$B56&amp;"'!$N$6:$N$205"),MATCH($AR56&amp;"|"&amp;O$5,INDIRECT("'"&amp;$B56&amp;"'!$AF$6:$AF$205"),0))),"-"))</f>
        <v/>
      </c>
      <c r="P56" s="37">
        <f>IF(OR(AP56="",P$5="-"),"",IFERROR(IF(INDEX(INDIRECT("'"&amp;$B56&amp;"'!$R$6:$R$205"),MATCH($AR56&amp;"|"&amp;P$5,INDIRECT("'"&amp;$B56&amp;"'!$AF$6:$AF$205"),0))="","",INDEX(INDIRECT("'"&amp;$B56&amp;"'!$R$6:$R$205"),MATCH($AR56&amp;"|"&amp;P$5,INDIRECT("'"&amp;$B56&amp;"'!$AF$6:$AF$205"),0))),"-"))</f>
        <v/>
      </c>
      <c r="Q56" s="37">
        <f>IF(OR(AP56="",Q$5="-"),"",IFERROR(IF(INDEX(INDIRECT("'"&amp;$B56&amp;"'!$R$6:$R$205"),MATCH($AR56&amp;"|"&amp;Q$5,INDIRECT("'"&amp;$B56&amp;"'!$AF$6:$AF$205"),0))="","",INDEX(INDIRECT("'"&amp;$B56&amp;"'!$R$6:$R$205"),MATCH($AR56&amp;"|"&amp;Q$5,INDIRECT("'"&amp;$B56&amp;"'!$AF$6:$AF$205"),0))),"-"))</f>
        <v/>
      </c>
      <c r="R56" s="37">
        <f>IF(OR(AP56="",R$5="-"),"",IFERROR(IF(INDEX(INDIRECT("'"&amp;$B56&amp;"'!$R$6:$R$205"),MATCH($AR56&amp;"|"&amp;R$5,INDIRECT("'"&amp;$B56&amp;"'!$AF$6:$AF$205"),0))="","",INDEX(INDIRECT("'"&amp;$B56&amp;"'!$R$6:$R$205"),MATCH($AR56&amp;"|"&amp;R$5,INDIRECT("'"&amp;$B56&amp;"'!$AF$6:$AF$205"),0))),"-"))</f>
        <v/>
      </c>
      <c r="S56" s="37">
        <f>IF(OR(AP56="",S$5="-"),"",IFERROR(IF(INDEX(INDIRECT("'"&amp;$B56&amp;"'!$R$6:$R$205"),MATCH($AR56&amp;"|"&amp;S$5,INDIRECT("'"&amp;$B56&amp;"'!$AF$6:$AF$205"),0))="","",INDEX(INDIRECT("'"&amp;$B56&amp;"'!$R$6:$R$205"),MATCH($AR56&amp;"|"&amp;S$5,INDIRECT("'"&amp;$B56&amp;"'!$AF$6:$AF$205"),0))),"-"))</f>
        <v/>
      </c>
      <c r="T56" s="37">
        <f>IF(OR(AP56="",T$5="-"),"",IFERROR(IF(INDEX(INDIRECT("'"&amp;$B56&amp;"'!$R$6:$R$205"),MATCH($AR56&amp;"|"&amp;T$5,INDIRECT("'"&amp;$B56&amp;"'!$AF$6:$AF$205"),0))="","",INDEX(INDIRECT("'"&amp;$B56&amp;"'!$R$6:$R$205"),MATCH($AR56&amp;"|"&amp;T$5,INDIRECT("'"&amp;$B56&amp;"'!$AF$6:$AF$205"),0))),"-"))</f>
        <v/>
      </c>
      <c r="U56" s="37">
        <f>IF(OR(AP56="",U$5="-"),"",IFERROR(IF(INDEX(INDIRECT("'"&amp;$B56&amp;"'!$R$6:$R$205"),MATCH($AR56&amp;"|"&amp;U$5,INDIRECT("'"&amp;$B56&amp;"'!$AF$6:$AF$205"),0))="","",INDEX(INDIRECT("'"&amp;$B56&amp;"'!$R$6:$R$205"),MATCH($AR56&amp;"|"&amp;U$5,INDIRECT("'"&amp;$B56&amp;"'!$AF$6:$AF$205"),0))),"-"))</f>
        <v/>
      </c>
      <c r="V56" s="37">
        <f>IF(OR(AP56="",V$5="-"),"",IFERROR(IF(INDEX(INDIRECT("'"&amp;$B56&amp;"'!$R$6:$R$205"),MATCH($AR56&amp;"|"&amp;V$5,INDIRECT("'"&amp;$B56&amp;"'!$AF$6:$AF$205"),0))="","",INDEX(INDIRECT("'"&amp;$B56&amp;"'!$R$6:$R$205"),MATCH($AR56&amp;"|"&amp;V$5,INDIRECT("'"&amp;$B56&amp;"'!$AF$6:$AF$205"),0))),"-"))</f>
        <v/>
      </c>
      <c r="W56" s="37">
        <f>IF(OR(AP56="",W$5="-"),"",IFERROR(IF(INDEX(INDIRECT("'"&amp;$B56&amp;"'!$R$6:$R$205"),MATCH($AR56&amp;"|"&amp;W$5,INDIRECT("'"&amp;$B56&amp;"'!$AF$6:$AF$205"),0))="","",INDEX(INDIRECT("'"&amp;$B56&amp;"'!$R$6:$R$205"),MATCH($AR56&amp;"|"&amp;W$5,INDIRECT("'"&amp;$B56&amp;"'!$AF$6:$AF$205"),0))),"-"))</f>
        <v/>
      </c>
      <c r="X56" s="38">
        <f>IF(OR(AP56="",X$5="-"),"",IFERROR(IF(INDEX(INDIRECT("'"&amp;$B56&amp;"'!$T$6:$T$205"),MATCH($AR56&amp;"|"&amp;X$5,INDIRECT("'"&amp;$B56&amp;"'!$AF$6:$AF$205"),0))="","",INDEX(INDIRECT("'"&amp;$B56&amp;"'!$T$6:$T$205"),MATCH($AR56&amp;"|"&amp;X$5,INDIRECT("'"&amp;$B56&amp;"'!$AF$6:$AF$205"),0))),"-"))</f>
        <v/>
      </c>
      <c r="Y56" s="38">
        <f>IF(OR(AP56="",Y$5="-"),"",IFERROR(IF(INDEX(INDIRECT("'"&amp;$B56&amp;"'!$T$6:$T$205"),MATCH($AR56&amp;"|"&amp;Y$5,INDIRECT("'"&amp;$B56&amp;"'!$AF$6:$AF$205"),0))="","",INDEX(INDIRECT("'"&amp;$B56&amp;"'!$T$6:$T$205"),MATCH($AR56&amp;"|"&amp;Y$5,INDIRECT("'"&amp;$B56&amp;"'!$AF$6:$AF$205"),0))),"-"))</f>
        <v/>
      </c>
      <c r="Z56" s="38">
        <f>IF(OR(AP56="",Z$5="-"),"",IFERROR(IF(INDEX(INDIRECT("'"&amp;$B56&amp;"'!$T$6:$T$205"),MATCH($AR56&amp;"|"&amp;Z$5,INDIRECT("'"&amp;$B56&amp;"'!$AF$6:$AF$205"),0))="","",INDEX(INDIRECT("'"&amp;$B56&amp;"'!$T$6:$T$205"),MATCH($AR56&amp;"|"&amp;Z$5,INDIRECT("'"&amp;$B56&amp;"'!$AF$6:$AF$205"),0))),"-"))</f>
        <v/>
      </c>
      <c r="AA56" s="38">
        <f>IF(OR(AP56="",AA$5="-"),"",IFERROR(IF(INDEX(INDIRECT("'"&amp;$B56&amp;"'!$T$6:$T$205"),MATCH($AR56&amp;"|"&amp;AA$5,INDIRECT("'"&amp;$B56&amp;"'!$AF$6:$AF$205"),0))="","",INDEX(INDIRECT("'"&amp;$B56&amp;"'!$T$6:$T$205"),MATCH($AR56&amp;"|"&amp;AA$5,INDIRECT("'"&amp;$B56&amp;"'!$AF$6:$AF$205"),0))),"-"))</f>
        <v/>
      </c>
      <c r="AB56" s="38">
        <f>IF(OR(AP56="",AB$5="-"),"",IFERROR(IF(INDEX(INDIRECT("'"&amp;$B56&amp;"'!$T$6:$T$205"),MATCH($AR56&amp;"|"&amp;AB$5,INDIRECT("'"&amp;$B56&amp;"'!$AF$6:$AF$205"),0))="","",INDEX(INDIRECT("'"&amp;$B56&amp;"'!$T$6:$T$205"),MATCH($AR56&amp;"|"&amp;AB$5,INDIRECT("'"&amp;$B56&amp;"'!$AF$6:$AF$205"),0))),"-"))</f>
        <v/>
      </c>
      <c r="AC56" s="38">
        <f>IF(OR(AP56="",AC$5="-"),"",IFERROR(IF(INDEX(INDIRECT("'"&amp;$B56&amp;"'!$T$6:$T$205"),MATCH($AR56&amp;"|"&amp;AC$5,INDIRECT("'"&amp;$B56&amp;"'!$AF$6:$AF$205"),0))="","",INDEX(INDIRECT("'"&amp;$B56&amp;"'!$T$6:$T$205"),MATCH($AR56&amp;"|"&amp;AC$5,INDIRECT("'"&amp;$B56&amp;"'!$AF$6:$AF$205"),0))),"-"))</f>
        <v/>
      </c>
      <c r="AD56" s="38">
        <f>IF(OR(AP56="",AD$5="-"),"",IFERROR(IF(INDEX(INDIRECT("'"&amp;$B56&amp;"'!$T$6:$T$205"),MATCH($AR56&amp;"|"&amp;AD$5,INDIRECT("'"&amp;$B56&amp;"'!$AF$6:$AF$205"),0))="","",INDEX(INDIRECT("'"&amp;$B56&amp;"'!$T$6:$T$205"),MATCH($AR56&amp;"|"&amp;AD$5,INDIRECT("'"&amp;$B56&amp;"'!$AF$6:$AF$205"),0))),"-"))</f>
        <v/>
      </c>
      <c r="AE56" s="38">
        <f>IF(OR(AP56="",AE$5="-"),"",IFERROR(IF(INDEX(INDIRECT("'"&amp;$B56&amp;"'!$T$6:$T$205"),MATCH($AR56&amp;"|"&amp;AE$5,INDIRECT("'"&amp;$B56&amp;"'!$AF$6:$AF$205"),0))="","",INDEX(INDIRECT("'"&amp;$B56&amp;"'!$T$6:$T$205"),MATCH($AR56&amp;"|"&amp;AE$5,INDIRECT("'"&amp;$B56&amp;"'!$AF$6:$AF$205"),0))),"-"))</f>
        <v/>
      </c>
      <c r="AF56" s="35">
        <f>IF(AG56="","",INDEX($P$5:$W$5,MATCH(AG56,P56:W56,0)))</f>
        <v/>
      </c>
      <c r="AG56" s="37">
        <f>IF(COUNT(P56:W56)=0,"",MIN(P56:W56))</f>
        <v/>
      </c>
      <c r="AH56" s="39">
        <f>IF(AG56="","",AG56*F56)</f>
        <v/>
      </c>
      <c r="AI56" s="39">
        <f>IF(COUNT(P56:W56)&lt;2,"",(MAX(P56:W56)-MIN(P56:W56))*F56)</f>
        <v/>
      </c>
      <c r="AJ56" s="20" t="n"/>
      <c r="AP56">
        <f>IF(51&gt;MAX($AN$6:$AN$9),"",COUNTIF($AN$6:$AN$9,"&lt;"&amp;51)+1)</f>
        <v/>
      </c>
      <c r="AQ56">
        <f>IF(AP56="","",51-INDEX($AO$6:$AO$9,AP56))</f>
        <v/>
      </c>
      <c r="AR56">
        <f>IF(AP56="","",INDEX(INDIRECT("'"&amp;$B56&amp;"'!$AE$6:$AE$205"),MATCH(AQ56,INDIRECT("'"&amp;$B56&amp;"'!$AI$6:$AI$205"),0)))</f>
        <v/>
      </c>
    </row>
    <row r="57">
      <c r="A57" s="34">
        <f>IF(AP57="","",52)</f>
        <v/>
      </c>
      <c r="B57" s="35">
        <f>IF(AP57="","",INDEX($AL$6:$AL$9,AP57))</f>
        <v/>
      </c>
      <c r="C57" s="34">
        <f>IF(AP57="","",INDEX(INDIRECT("'"&amp;$B57&amp;"'!$B$6:$B$205"),MATCH($AR57,INDIRECT("'"&amp;$B57&amp;"'!$AE$6:$AE$205"),0)))</f>
        <v/>
      </c>
      <c r="D57" s="34">
        <f>IF(AP57="","",INDEX(INDIRECT("'"&amp;$B57&amp;"'!$D$6:$D$205"),MATCH($AR57,INDIRECT("'"&amp;$B57&amp;"'!$AE$6:$AE$205"),0)))</f>
        <v/>
      </c>
      <c r="E57" s="36">
        <f>IF(AP57="","",INDEX(INDIRECT("'"&amp;$B57&amp;"'!$F$6:$F$205"),MATCH($AR57,INDIRECT("'"&amp;$B57&amp;"'!$AE$6:$AE$205"),0)))</f>
        <v/>
      </c>
      <c r="F57" s="34">
        <f>IF(AP57="","",INDEX(INDIRECT("'"&amp;$B57&amp;"'!$K$6:$K$205"),MATCH($AR57,INDIRECT("'"&amp;$B57&amp;"'!$AE$6:$AE$205"),0)))</f>
        <v/>
      </c>
      <c r="G57" s="34">
        <f>IF(AP57="","",INDEX(INDIRECT("'"&amp;$B57&amp;"'!$L$6:$L$205"),MATCH($AR57,INDIRECT("'"&amp;$B57&amp;"'!$AE$6:$AE$205"),0)))</f>
        <v/>
      </c>
      <c r="H57" s="34">
        <f>IF(OR(AP57="",H$5="-"),"",IFERROR(IF(INDEX(INDIRECT("'"&amp;$B57&amp;"'!$N$6:$N$205"),MATCH($AR57&amp;"|"&amp;H$5,INDIRECT("'"&amp;$B57&amp;"'!$AF$6:$AF$205"),0))="","",INDEX(INDIRECT("'"&amp;$B57&amp;"'!$N$6:$N$205"),MATCH($AR57&amp;"|"&amp;H$5,INDIRECT("'"&amp;$B57&amp;"'!$AF$6:$AF$205"),0))),"-"))</f>
        <v/>
      </c>
      <c r="I57" s="34">
        <f>IF(OR(AP57="",I$5="-"),"",IFERROR(IF(INDEX(INDIRECT("'"&amp;$B57&amp;"'!$N$6:$N$205"),MATCH($AR57&amp;"|"&amp;I$5,INDIRECT("'"&amp;$B57&amp;"'!$AF$6:$AF$205"),0))="","",INDEX(INDIRECT("'"&amp;$B57&amp;"'!$N$6:$N$205"),MATCH($AR57&amp;"|"&amp;I$5,INDIRECT("'"&amp;$B57&amp;"'!$AF$6:$AF$205"),0))),"-"))</f>
        <v/>
      </c>
      <c r="J57" s="34">
        <f>IF(OR(AP57="",J$5="-"),"",IFERROR(IF(INDEX(INDIRECT("'"&amp;$B57&amp;"'!$N$6:$N$205"),MATCH($AR57&amp;"|"&amp;J$5,INDIRECT("'"&amp;$B57&amp;"'!$AF$6:$AF$205"),0))="","",INDEX(INDIRECT("'"&amp;$B57&amp;"'!$N$6:$N$205"),MATCH($AR57&amp;"|"&amp;J$5,INDIRECT("'"&amp;$B57&amp;"'!$AF$6:$AF$205"),0))),"-"))</f>
        <v/>
      </c>
      <c r="K57" s="34">
        <f>IF(OR(AP57="",K$5="-"),"",IFERROR(IF(INDEX(INDIRECT("'"&amp;$B57&amp;"'!$N$6:$N$205"),MATCH($AR57&amp;"|"&amp;K$5,INDIRECT("'"&amp;$B57&amp;"'!$AF$6:$AF$205"),0))="","",INDEX(INDIRECT("'"&amp;$B57&amp;"'!$N$6:$N$205"),MATCH($AR57&amp;"|"&amp;K$5,INDIRECT("'"&amp;$B57&amp;"'!$AF$6:$AF$205"),0))),"-"))</f>
        <v/>
      </c>
      <c r="L57" s="34">
        <f>IF(OR(AP57="",L$5="-"),"",IFERROR(IF(INDEX(INDIRECT("'"&amp;$B57&amp;"'!$N$6:$N$205"),MATCH($AR57&amp;"|"&amp;L$5,INDIRECT("'"&amp;$B57&amp;"'!$AF$6:$AF$205"),0))="","",INDEX(INDIRECT("'"&amp;$B57&amp;"'!$N$6:$N$205"),MATCH($AR57&amp;"|"&amp;L$5,INDIRECT("'"&amp;$B57&amp;"'!$AF$6:$AF$205"),0))),"-"))</f>
        <v/>
      </c>
      <c r="M57" s="34">
        <f>IF(OR(AP57="",M$5="-"),"",IFERROR(IF(INDEX(INDIRECT("'"&amp;$B57&amp;"'!$N$6:$N$205"),MATCH($AR57&amp;"|"&amp;M$5,INDIRECT("'"&amp;$B57&amp;"'!$AF$6:$AF$205"),0))="","",INDEX(INDIRECT("'"&amp;$B57&amp;"'!$N$6:$N$205"),MATCH($AR57&amp;"|"&amp;M$5,INDIRECT("'"&amp;$B57&amp;"'!$AF$6:$AF$205"),0))),"-"))</f>
        <v/>
      </c>
      <c r="N57" s="34">
        <f>IF(OR(AP57="",N$5="-"),"",IFERROR(IF(INDEX(INDIRECT("'"&amp;$B57&amp;"'!$N$6:$N$205"),MATCH($AR57&amp;"|"&amp;N$5,INDIRECT("'"&amp;$B57&amp;"'!$AF$6:$AF$205"),0))="","",INDEX(INDIRECT("'"&amp;$B57&amp;"'!$N$6:$N$205"),MATCH($AR57&amp;"|"&amp;N$5,INDIRECT("'"&amp;$B57&amp;"'!$AF$6:$AF$205"),0))),"-"))</f>
        <v/>
      </c>
      <c r="O57" s="34">
        <f>IF(OR(AP57="",O$5="-"),"",IFERROR(IF(INDEX(INDIRECT("'"&amp;$B57&amp;"'!$N$6:$N$205"),MATCH($AR57&amp;"|"&amp;O$5,INDIRECT("'"&amp;$B57&amp;"'!$AF$6:$AF$205"),0))="","",INDEX(INDIRECT("'"&amp;$B57&amp;"'!$N$6:$N$205"),MATCH($AR57&amp;"|"&amp;O$5,INDIRECT("'"&amp;$B57&amp;"'!$AF$6:$AF$205"),0))),"-"))</f>
        <v/>
      </c>
      <c r="P57" s="37">
        <f>IF(OR(AP57="",P$5="-"),"",IFERROR(IF(INDEX(INDIRECT("'"&amp;$B57&amp;"'!$R$6:$R$205"),MATCH($AR57&amp;"|"&amp;P$5,INDIRECT("'"&amp;$B57&amp;"'!$AF$6:$AF$205"),0))="","",INDEX(INDIRECT("'"&amp;$B57&amp;"'!$R$6:$R$205"),MATCH($AR57&amp;"|"&amp;P$5,INDIRECT("'"&amp;$B57&amp;"'!$AF$6:$AF$205"),0))),"-"))</f>
        <v/>
      </c>
      <c r="Q57" s="37">
        <f>IF(OR(AP57="",Q$5="-"),"",IFERROR(IF(INDEX(INDIRECT("'"&amp;$B57&amp;"'!$R$6:$R$205"),MATCH($AR57&amp;"|"&amp;Q$5,INDIRECT("'"&amp;$B57&amp;"'!$AF$6:$AF$205"),0))="","",INDEX(INDIRECT("'"&amp;$B57&amp;"'!$R$6:$R$205"),MATCH($AR57&amp;"|"&amp;Q$5,INDIRECT("'"&amp;$B57&amp;"'!$AF$6:$AF$205"),0))),"-"))</f>
        <v/>
      </c>
      <c r="R57" s="37">
        <f>IF(OR(AP57="",R$5="-"),"",IFERROR(IF(INDEX(INDIRECT("'"&amp;$B57&amp;"'!$R$6:$R$205"),MATCH($AR57&amp;"|"&amp;R$5,INDIRECT("'"&amp;$B57&amp;"'!$AF$6:$AF$205"),0))="","",INDEX(INDIRECT("'"&amp;$B57&amp;"'!$R$6:$R$205"),MATCH($AR57&amp;"|"&amp;R$5,INDIRECT("'"&amp;$B57&amp;"'!$AF$6:$AF$205"),0))),"-"))</f>
        <v/>
      </c>
      <c r="S57" s="37">
        <f>IF(OR(AP57="",S$5="-"),"",IFERROR(IF(INDEX(INDIRECT("'"&amp;$B57&amp;"'!$R$6:$R$205"),MATCH($AR57&amp;"|"&amp;S$5,INDIRECT("'"&amp;$B57&amp;"'!$AF$6:$AF$205"),0))="","",INDEX(INDIRECT("'"&amp;$B57&amp;"'!$R$6:$R$205"),MATCH($AR57&amp;"|"&amp;S$5,INDIRECT("'"&amp;$B57&amp;"'!$AF$6:$AF$205"),0))),"-"))</f>
        <v/>
      </c>
      <c r="T57" s="37">
        <f>IF(OR(AP57="",T$5="-"),"",IFERROR(IF(INDEX(INDIRECT("'"&amp;$B57&amp;"'!$R$6:$R$205"),MATCH($AR57&amp;"|"&amp;T$5,INDIRECT("'"&amp;$B57&amp;"'!$AF$6:$AF$205"),0))="","",INDEX(INDIRECT("'"&amp;$B57&amp;"'!$R$6:$R$205"),MATCH($AR57&amp;"|"&amp;T$5,INDIRECT("'"&amp;$B57&amp;"'!$AF$6:$AF$205"),0))),"-"))</f>
        <v/>
      </c>
      <c r="U57" s="37">
        <f>IF(OR(AP57="",U$5="-"),"",IFERROR(IF(INDEX(INDIRECT("'"&amp;$B57&amp;"'!$R$6:$R$205"),MATCH($AR57&amp;"|"&amp;U$5,INDIRECT("'"&amp;$B57&amp;"'!$AF$6:$AF$205"),0))="","",INDEX(INDIRECT("'"&amp;$B57&amp;"'!$R$6:$R$205"),MATCH($AR57&amp;"|"&amp;U$5,INDIRECT("'"&amp;$B57&amp;"'!$AF$6:$AF$205"),0))),"-"))</f>
        <v/>
      </c>
      <c r="V57" s="37">
        <f>IF(OR(AP57="",V$5="-"),"",IFERROR(IF(INDEX(INDIRECT("'"&amp;$B57&amp;"'!$R$6:$R$205"),MATCH($AR57&amp;"|"&amp;V$5,INDIRECT("'"&amp;$B57&amp;"'!$AF$6:$AF$205"),0))="","",INDEX(INDIRECT("'"&amp;$B57&amp;"'!$R$6:$R$205"),MATCH($AR57&amp;"|"&amp;V$5,INDIRECT("'"&amp;$B57&amp;"'!$AF$6:$AF$205"),0))),"-"))</f>
        <v/>
      </c>
      <c r="W57" s="37">
        <f>IF(OR(AP57="",W$5="-"),"",IFERROR(IF(INDEX(INDIRECT("'"&amp;$B57&amp;"'!$R$6:$R$205"),MATCH($AR57&amp;"|"&amp;W$5,INDIRECT("'"&amp;$B57&amp;"'!$AF$6:$AF$205"),0))="","",INDEX(INDIRECT("'"&amp;$B57&amp;"'!$R$6:$R$205"),MATCH($AR57&amp;"|"&amp;W$5,INDIRECT("'"&amp;$B57&amp;"'!$AF$6:$AF$205"),0))),"-"))</f>
        <v/>
      </c>
      <c r="X57" s="38">
        <f>IF(OR(AP57="",X$5="-"),"",IFERROR(IF(INDEX(INDIRECT("'"&amp;$B57&amp;"'!$T$6:$T$205"),MATCH($AR57&amp;"|"&amp;X$5,INDIRECT("'"&amp;$B57&amp;"'!$AF$6:$AF$205"),0))="","",INDEX(INDIRECT("'"&amp;$B57&amp;"'!$T$6:$T$205"),MATCH($AR57&amp;"|"&amp;X$5,INDIRECT("'"&amp;$B57&amp;"'!$AF$6:$AF$205"),0))),"-"))</f>
        <v/>
      </c>
      <c r="Y57" s="38">
        <f>IF(OR(AP57="",Y$5="-"),"",IFERROR(IF(INDEX(INDIRECT("'"&amp;$B57&amp;"'!$T$6:$T$205"),MATCH($AR57&amp;"|"&amp;Y$5,INDIRECT("'"&amp;$B57&amp;"'!$AF$6:$AF$205"),0))="","",INDEX(INDIRECT("'"&amp;$B57&amp;"'!$T$6:$T$205"),MATCH($AR57&amp;"|"&amp;Y$5,INDIRECT("'"&amp;$B57&amp;"'!$AF$6:$AF$205"),0))),"-"))</f>
        <v/>
      </c>
      <c r="Z57" s="38">
        <f>IF(OR(AP57="",Z$5="-"),"",IFERROR(IF(INDEX(INDIRECT("'"&amp;$B57&amp;"'!$T$6:$T$205"),MATCH($AR57&amp;"|"&amp;Z$5,INDIRECT("'"&amp;$B57&amp;"'!$AF$6:$AF$205"),0))="","",INDEX(INDIRECT("'"&amp;$B57&amp;"'!$T$6:$T$205"),MATCH($AR57&amp;"|"&amp;Z$5,INDIRECT("'"&amp;$B57&amp;"'!$AF$6:$AF$205"),0))),"-"))</f>
        <v/>
      </c>
      <c r="AA57" s="38">
        <f>IF(OR(AP57="",AA$5="-"),"",IFERROR(IF(INDEX(INDIRECT("'"&amp;$B57&amp;"'!$T$6:$T$205"),MATCH($AR57&amp;"|"&amp;AA$5,INDIRECT("'"&amp;$B57&amp;"'!$AF$6:$AF$205"),0))="","",INDEX(INDIRECT("'"&amp;$B57&amp;"'!$T$6:$T$205"),MATCH($AR57&amp;"|"&amp;AA$5,INDIRECT("'"&amp;$B57&amp;"'!$AF$6:$AF$205"),0))),"-"))</f>
        <v/>
      </c>
      <c r="AB57" s="38">
        <f>IF(OR(AP57="",AB$5="-"),"",IFERROR(IF(INDEX(INDIRECT("'"&amp;$B57&amp;"'!$T$6:$T$205"),MATCH($AR57&amp;"|"&amp;AB$5,INDIRECT("'"&amp;$B57&amp;"'!$AF$6:$AF$205"),0))="","",INDEX(INDIRECT("'"&amp;$B57&amp;"'!$T$6:$T$205"),MATCH($AR57&amp;"|"&amp;AB$5,INDIRECT("'"&amp;$B57&amp;"'!$AF$6:$AF$205"),0))),"-"))</f>
        <v/>
      </c>
      <c r="AC57" s="38">
        <f>IF(OR(AP57="",AC$5="-"),"",IFERROR(IF(INDEX(INDIRECT("'"&amp;$B57&amp;"'!$T$6:$T$205"),MATCH($AR57&amp;"|"&amp;AC$5,INDIRECT("'"&amp;$B57&amp;"'!$AF$6:$AF$205"),0))="","",INDEX(INDIRECT("'"&amp;$B57&amp;"'!$T$6:$T$205"),MATCH($AR57&amp;"|"&amp;AC$5,INDIRECT("'"&amp;$B57&amp;"'!$AF$6:$AF$205"),0))),"-"))</f>
        <v/>
      </c>
      <c r="AD57" s="38">
        <f>IF(OR(AP57="",AD$5="-"),"",IFERROR(IF(INDEX(INDIRECT("'"&amp;$B57&amp;"'!$T$6:$T$205"),MATCH($AR57&amp;"|"&amp;AD$5,INDIRECT("'"&amp;$B57&amp;"'!$AF$6:$AF$205"),0))="","",INDEX(INDIRECT("'"&amp;$B57&amp;"'!$T$6:$T$205"),MATCH($AR57&amp;"|"&amp;AD$5,INDIRECT("'"&amp;$B57&amp;"'!$AF$6:$AF$205"),0))),"-"))</f>
        <v/>
      </c>
      <c r="AE57" s="38">
        <f>IF(OR(AP57="",AE$5="-"),"",IFERROR(IF(INDEX(INDIRECT("'"&amp;$B57&amp;"'!$T$6:$T$205"),MATCH($AR57&amp;"|"&amp;AE$5,INDIRECT("'"&amp;$B57&amp;"'!$AF$6:$AF$205"),0))="","",INDEX(INDIRECT("'"&amp;$B57&amp;"'!$T$6:$T$205"),MATCH($AR57&amp;"|"&amp;AE$5,INDIRECT("'"&amp;$B57&amp;"'!$AF$6:$AF$205"),0))),"-"))</f>
        <v/>
      </c>
      <c r="AF57" s="35">
        <f>IF(AG57="","",INDEX($P$5:$W$5,MATCH(AG57,P57:W57,0)))</f>
        <v/>
      </c>
      <c r="AG57" s="37">
        <f>IF(COUNT(P57:W57)=0,"",MIN(P57:W57))</f>
        <v/>
      </c>
      <c r="AH57" s="39">
        <f>IF(AG57="","",AG57*F57)</f>
        <v/>
      </c>
      <c r="AI57" s="39">
        <f>IF(COUNT(P57:W57)&lt;2,"",(MAX(P57:W57)-MIN(P57:W57))*F57)</f>
        <v/>
      </c>
      <c r="AJ57" s="20" t="n"/>
      <c r="AP57">
        <f>IF(52&gt;MAX($AN$6:$AN$9),"",COUNTIF($AN$6:$AN$9,"&lt;"&amp;52)+1)</f>
        <v/>
      </c>
      <c r="AQ57">
        <f>IF(AP57="","",52-INDEX($AO$6:$AO$9,AP57))</f>
        <v/>
      </c>
      <c r="AR57">
        <f>IF(AP57="","",INDEX(INDIRECT("'"&amp;$B57&amp;"'!$AE$6:$AE$205"),MATCH(AQ57,INDIRECT("'"&amp;$B57&amp;"'!$AI$6:$AI$205"),0)))</f>
        <v/>
      </c>
    </row>
    <row r="58">
      <c r="A58" s="34">
        <f>IF(AP58="","",53)</f>
        <v/>
      </c>
      <c r="B58" s="35">
        <f>IF(AP58="","",INDEX($AL$6:$AL$9,AP58))</f>
        <v/>
      </c>
      <c r="C58" s="34">
        <f>IF(AP58="","",INDEX(INDIRECT("'"&amp;$B58&amp;"'!$B$6:$B$205"),MATCH($AR58,INDIRECT("'"&amp;$B58&amp;"'!$AE$6:$AE$205"),0)))</f>
        <v/>
      </c>
      <c r="D58" s="34">
        <f>IF(AP58="","",INDEX(INDIRECT("'"&amp;$B58&amp;"'!$D$6:$D$205"),MATCH($AR58,INDIRECT("'"&amp;$B58&amp;"'!$AE$6:$AE$205"),0)))</f>
        <v/>
      </c>
      <c r="E58" s="36">
        <f>IF(AP58="","",INDEX(INDIRECT("'"&amp;$B58&amp;"'!$F$6:$F$205"),MATCH($AR58,INDIRECT("'"&amp;$B58&amp;"'!$AE$6:$AE$205"),0)))</f>
        <v/>
      </c>
      <c r="F58" s="34">
        <f>IF(AP58="","",INDEX(INDIRECT("'"&amp;$B58&amp;"'!$K$6:$K$205"),MATCH($AR58,INDIRECT("'"&amp;$B58&amp;"'!$AE$6:$AE$205"),0)))</f>
        <v/>
      </c>
      <c r="G58" s="34">
        <f>IF(AP58="","",INDEX(INDIRECT("'"&amp;$B58&amp;"'!$L$6:$L$205"),MATCH($AR58,INDIRECT("'"&amp;$B58&amp;"'!$AE$6:$AE$205"),0)))</f>
        <v/>
      </c>
      <c r="H58" s="34">
        <f>IF(OR(AP58="",H$5="-"),"",IFERROR(IF(INDEX(INDIRECT("'"&amp;$B58&amp;"'!$N$6:$N$205"),MATCH($AR58&amp;"|"&amp;H$5,INDIRECT("'"&amp;$B58&amp;"'!$AF$6:$AF$205"),0))="","",INDEX(INDIRECT("'"&amp;$B58&amp;"'!$N$6:$N$205"),MATCH($AR58&amp;"|"&amp;H$5,INDIRECT("'"&amp;$B58&amp;"'!$AF$6:$AF$205"),0))),"-"))</f>
        <v/>
      </c>
      <c r="I58" s="34">
        <f>IF(OR(AP58="",I$5="-"),"",IFERROR(IF(INDEX(INDIRECT("'"&amp;$B58&amp;"'!$N$6:$N$205"),MATCH($AR58&amp;"|"&amp;I$5,INDIRECT("'"&amp;$B58&amp;"'!$AF$6:$AF$205"),0))="","",INDEX(INDIRECT("'"&amp;$B58&amp;"'!$N$6:$N$205"),MATCH($AR58&amp;"|"&amp;I$5,INDIRECT("'"&amp;$B58&amp;"'!$AF$6:$AF$205"),0))),"-"))</f>
        <v/>
      </c>
      <c r="J58" s="34">
        <f>IF(OR(AP58="",J$5="-"),"",IFERROR(IF(INDEX(INDIRECT("'"&amp;$B58&amp;"'!$N$6:$N$205"),MATCH($AR58&amp;"|"&amp;J$5,INDIRECT("'"&amp;$B58&amp;"'!$AF$6:$AF$205"),0))="","",INDEX(INDIRECT("'"&amp;$B58&amp;"'!$N$6:$N$205"),MATCH($AR58&amp;"|"&amp;J$5,INDIRECT("'"&amp;$B58&amp;"'!$AF$6:$AF$205"),0))),"-"))</f>
        <v/>
      </c>
      <c r="K58" s="34">
        <f>IF(OR(AP58="",K$5="-"),"",IFERROR(IF(INDEX(INDIRECT("'"&amp;$B58&amp;"'!$N$6:$N$205"),MATCH($AR58&amp;"|"&amp;K$5,INDIRECT("'"&amp;$B58&amp;"'!$AF$6:$AF$205"),0))="","",INDEX(INDIRECT("'"&amp;$B58&amp;"'!$N$6:$N$205"),MATCH($AR58&amp;"|"&amp;K$5,INDIRECT("'"&amp;$B58&amp;"'!$AF$6:$AF$205"),0))),"-"))</f>
        <v/>
      </c>
      <c r="L58" s="34">
        <f>IF(OR(AP58="",L$5="-"),"",IFERROR(IF(INDEX(INDIRECT("'"&amp;$B58&amp;"'!$N$6:$N$205"),MATCH($AR58&amp;"|"&amp;L$5,INDIRECT("'"&amp;$B58&amp;"'!$AF$6:$AF$205"),0))="","",INDEX(INDIRECT("'"&amp;$B58&amp;"'!$N$6:$N$205"),MATCH($AR58&amp;"|"&amp;L$5,INDIRECT("'"&amp;$B58&amp;"'!$AF$6:$AF$205"),0))),"-"))</f>
        <v/>
      </c>
      <c r="M58" s="34">
        <f>IF(OR(AP58="",M$5="-"),"",IFERROR(IF(INDEX(INDIRECT("'"&amp;$B58&amp;"'!$N$6:$N$205"),MATCH($AR58&amp;"|"&amp;M$5,INDIRECT("'"&amp;$B58&amp;"'!$AF$6:$AF$205"),0))="","",INDEX(INDIRECT("'"&amp;$B58&amp;"'!$N$6:$N$205"),MATCH($AR58&amp;"|"&amp;M$5,INDIRECT("'"&amp;$B58&amp;"'!$AF$6:$AF$205"),0))),"-"))</f>
        <v/>
      </c>
      <c r="N58" s="34">
        <f>IF(OR(AP58="",N$5="-"),"",IFERROR(IF(INDEX(INDIRECT("'"&amp;$B58&amp;"'!$N$6:$N$205"),MATCH($AR58&amp;"|"&amp;N$5,INDIRECT("'"&amp;$B58&amp;"'!$AF$6:$AF$205"),0))="","",INDEX(INDIRECT("'"&amp;$B58&amp;"'!$N$6:$N$205"),MATCH($AR58&amp;"|"&amp;N$5,INDIRECT("'"&amp;$B58&amp;"'!$AF$6:$AF$205"),0))),"-"))</f>
        <v/>
      </c>
      <c r="O58" s="34">
        <f>IF(OR(AP58="",O$5="-"),"",IFERROR(IF(INDEX(INDIRECT("'"&amp;$B58&amp;"'!$N$6:$N$205"),MATCH($AR58&amp;"|"&amp;O$5,INDIRECT("'"&amp;$B58&amp;"'!$AF$6:$AF$205"),0))="","",INDEX(INDIRECT("'"&amp;$B58&amp;"'!$N$6:$N$205"),MATCH($AR58&amp;"|"&amp;O$5,INDIRECT("'"&amp;$B58&amp;"'!$AF$6:$AF$205"),0))),"-"))</f>
        <v/>
      </c>
      <c r="P58" s="37">
        <f>IF(OR(AP58="",P$5="-"),"",IFERROR(IF(INDEX(INDIRECT("'"&amp;$B58&amp;"'!$R$6:$R$205"),MATCH($AR58&amp;"|"&amp;P$5,INDIRECT("'"&amp;$B58&amp;"'!$AF$6:$AF$205"),0))="","",INDEX(INDIRECT("'"&amp;$B58&amp;"'!$R$6:$R$205"),MATCH($AR58&amp;"|"&amp;P$5,INDIRECT("'"&amp;$B58&amp;"'!$AF$6:$AF$205"),0))),"-"))</f>
        <v/>
      </c>
      <c r="Q58" s="37">
        <f>IF(OR(AP58="",Q$5="-"),"",IFERROR(IF(INDEX(INDIRECT("'"&amp;$B58&amp;"'!$R$6:$R$205"),MATCH($AR58&amp;"|"&amp;Q$5,INDIRECT("'"&amp;$B58&amp;"'!$AF$6:$AF$205"),0))="","",INDEX(INDIRECT("'"&amp;$B58&amp;"'!$R$6:$R$205"),MATCH($AR58&amp;"|"&amp;Q$5,INDIRECT("'"&amp;$B58&amp;"'!$AF$6:$AF$205"),0))),"-"))</f>
        <v/>
      </c>
      <c r="R58" s="37">
        <f>IF(OR(AP58="",R$5="-"),"",IFERROR(IF(INDEX(INDIRECT("'"&amp;$B58&amp;"'!$R$6:$R$205"),MATCH($AR58&amp;"|"&amp;R$5,INDIRECT("'"&amp;$B58&amp;"'!$AF$6:$AF$205"),0))="","",INDEX(INDIRECT("'"&amp;$B58&amp;"'!$R$6:$R$205"),MATCH($AR58&amp;"|"&amp;R$5,INDIRECT("'"&amp;$B58&amp;"'!$AF$6:$AF$205"),0))),"-"))</f>
        <v/>
      </c>
      <c r="S58" s="37">
        <f>IF(OR(AP58="",S$5="-"),"",IFERROR(IF(INDEX(INDIRECT("'"&amp;$B58&amp;"'!$R$6:$R$205"),MATCH($AR58&amp;"|"&amp;S$5,INDIRECT("'"&amp;$B58&amp;"'!$AF$6:$AF$205"),0))="","",INDEX(INDIRECT("'"&amp;$B58&amp;"'!$R$6:$R$205"),MATCH($AR58&amp;"|"&amp;S$5,INDIRECT("'"&amp;$B58&amp;"'!$AF$6:$AF$205"),0))),"-"))</f>
        <v/>
      </c>
      <c r="T58" s="37">
        <f>IF(OR(AP58="",T$5="-"),"",IFERROR(IF(INDEX(INDIRECT("'"&amp;$B58&amp;"'!$R$6:$R$205"),MATCH($AR58&amp;"|"&amp;T$5,INDIRECT("'"&amp;$B58&amp;"'!$AF$6:$AF$205"),0))="","",INDEX(INDIRECT("'"&amp;$B58&amp;"'!$R$6:$R$205"),MATCH($AR58&amp;"|"&amp;T$5,INDIRECT("'"&amp;$B58&amp;"'!$AF$6:$AF$205"),0))),"-"))</f>
        <v/>
      </c>
      <c r="U58" s="37">
        <f>IF(OR(AP58="",U$5="-"),"",IFERROR(IF(INDEX(INDIRECT("'"&amp;$B58&amp;"'!$R$6:$R$205"),MATCH($AR58&amp;"|"&amp;U$5,INDIRECT("'"&amp;$B58&amp;"'!$AF$6:$AF$205"),0))="","",INDEX(INDIRECT("'"&amp;$B58&amp;"'!$R$6:$R$205"),MATCH($AR58&amp;"|"&amp;U$5,INDIRECT("'"&amp;$B58&amp;"'!$AF$6:$AF$205"),0))),"-"))</f>
        <v/>
      </c>
      <c r="V58" s="37">
        <f>IF(OR(AP58="",V$5="-"),"",IFERROR(IF(INDEX(INDIRECT("'"&amp;$B58&amp;"'!$R$6:$R$205"),MATCH($AR58&amp;"|"&amp;V$5,INDIRECT("'"&amp;$B58&amp;"'!$AF$6:$AF$205"),0))="","",INDEX(INDIRECT("'"&amp;$B58&amp;"'!$R$6:$R$205"),MATCH($AR58&amp;"|"&amp;V$5,INDIRECT("'"&amp;$B58&amp;"'!$AF$6:$AF$205"),0))),"-"))</f>
        <v/>
      </c>
      <c r="W58" s="37">
        <f>IF(OR(AP58="",W$5="-"),"",IFERROR(IF(INDEX(INDIRECT("'"&amp;$B58&amp;"'!$R$6:$R$205"),MATCH($AR58&amp;"|"&amp;W$5,INDIRECT("'"&amp;$B58&amp;"'!$AF$6:$AF$205"),0))="","",INDEX(INDIRECT("'"&amp;$B58&amp;"'!$R$6:$R$205"),MATCH($AR58&amp;"|"&amp;W$5,INDIRECT("'"&amp;$B58&amp;"'!$AF$6:$AF$205"),0))),"-"))</f>
        <v/>
      </c>
      <c r="X58" s="38">
        <f>IF(OR(AP58="",X$5="-"),"",IFERROR(IF(INDEX(INDIRECT("'"&amp;$B58&amp;"'!$T$6:$T$205"),MATCH($AR58&amp;"|"&amp;X$5,INDIRECT("'"&amp;$B58&amp;"'!$AF$6:$AF$205"),0))="","",INDEX(INDIRECT("'"&amp;$B58&amp;"'!$T$6:$T$205"),MATCH($AR58&amp;"|"&amp;X$5,INDIRECT("'"&amp;$B58&amp;"'!$AF$6:$AF$205"),0))),"-"))</f>
        <v/>
      </c>
      <c r="Y58" s="38">
        <f>IF(OR(AP58="",Y$5="-"),"",IFERROR(IF(INDEX(INDIRECT("'"&amp;$B58&amp;"'!$T$6:$T$205"),MATCH($AR58&amp;"|"&amp;Y$5,INDIRECT("'"&amp;$B58&amp;"'!$AF$6:$AF$205"),0))="","",INDEX(INDIRECT("'"&amp;$B58&amp;"'!$T$6:$T$205"),MATCH($AR58&amp;"|"&amp;Y$5,INDIRECT("'"&amp;$B58&amp;"'!$AF$6:$AF$205"),0))),"-"))</f>
        <v/>
      </c>
      <c r="Z58" s="38">
        <f>IF(OR(AP58="",Z$5="-"),"",IFERROR(IF(INDEX(INDIRECT("'"&amp;$B58&amp;"'!$T$6:$T$205"),MATCH($AR58&amp;"|"&amp;Z$5,INDIRECT("'"&amp;$B58&amp;"'!$AF$6:$AF$205"),0))="","",INDEX(INDIRECT("'"&amp;$B58&amp;"'!$T$6:$T$205"),MATCH($AR58&amp;"|"&amp;Z$5,INDIRECT("'"&amp;$B58&amp;"'!$AF$6:$AF$205"),0))),"-"))</f>
        <v/>
      </c>
      <c r="AA58" s="38">
        <f>IF(OR(AP58="",AA$5="-"),"",IFERROR(IF(INDEX(INDIRECT("'"&amp;$B58&amp;"'!$T$6:$T$205"),MATCH($AR58&amp;"|"&amp;AA$5,INDIRECT("'"&amp;$B58&amp;"'!$AF$6:$AF$205"),0))="","",INDEX(INDIRECT("'"&amp;$B58&amp;"'!$T$6:$T$205"),MATCH($AR58&amp;"|"&amp;AA$5,INDIRECT("'"&amp;$B58&amp;"'!$AF$6:$AF$205"),0))),"-"))</f>
        <v/>
      </c>
      <c r="AB58" s="38">
        <f>IF(OR(AP58="",AB$5="-"),"",IFERROR(IF(INDEX(INDIRECT("'"&amp;$B58&amp;"'!$T$6:$T$205"),MATCH($AR58&amp;"|"&amp;AB$5,INDIRECT("'"&amp;$B58&amp;"'!$AF$6:$AF$205"),0))="","",INDEX(INDIRECT("'"&amp;$B58&amp;"'!$T$6:$T$205"),MATCH($AR58&amp;"|"&amp;AB$5,INDIRECT("'"&amp;$B58&amp;"'!$AF$6:$AF$205"),0))),"-"))</f>
        <v/>
      </c>
      <c r="AC58" s="38">
        <f>IF(OR(AP58="",AC$5="-"),"",IFERROR(IF(INDEX(INDIRECT("'"&amp;$B58&amp;"'!$T$6:$T$205"),MATCH($AR58&amp;"|"&amp;AC$5,INDIRECT("'"&amp;$B58&amp;"'!$AF$6:$AF$205"),0))="","",INDEX(INDIRECT("'"&amp;$B58&amp;"'!$T$6:$T$205"),MATCH($AR58&amp;"|"&amp;AC$5,INDIRECT("'"&amp;$B58&amp;"'!$AF$6:$AF$205"),0))),"-"))</f>
        <v/>
      </c>
      <c r="AD58" s="38">
        <f>IF(OR(AP58="",AD$5="-"),"",IFERROR(IF(INDEX(INDIRECT("'"&amp;$B58&amp;"'!$T$6:$T$205"),MATCH($AR58&amp;"|"&amp;AD$5,INDIRECT("'"&amp;$B58&amp;"'!$AF$6:$AF$205"),0))="","",INDEX(INDIRECT("'"&amp;$B58&amp;"'!$T$6:$T$205"),MATCH($AR58&amp;"|"&amp;AD$5,INDIRECT("'"&amp;$B58&amp;"'!$AF$6:$AF$205"),0))),"-"))</f>
        <v/>
      </c>
      <c r="AE58" s="38">
        <f>IF(OR(AP58="",AE$5="-"),"",IFERROR(IF(INDEX(INDIRECT("'"&amp;$B58&amp;"'!$T$6:$T$205"),MATCH($AR58&amp;"|"&amp;AE$5,INDIRECT("'"&amp;$B58&amp;"'!$AF$6:$AF$205"),0))="","",INDEX(INDIRECT("'"&amp;$B58&amp;"'!$T$6:$T$205"),MATCH($AR58&amp;"|"&amp;AE$5,INDIRECT("'"&amp;$B58&amp;"'!$AF$6:$AF$205"),0))),"-"))</f>
        <v/>
      </c>
      <c r="AF58" s="35">
        <f>IF(AG58="","",INDEX($P$5:$W$5,MATCH(AG58,P58:W58,0)))</f>
        <v/>
      </c>
      <c r="AG58" s="37">
        <f>IF(COUNT(P58:W58)=0,"",MIN(P58:W58))</f>
        <v/>
      </c>
      <c r="AH58" s="39">
        <f>IF(AG58="","",AG58*F58)</f>
        <v/>
      </c>
      <c r="AI58" s="39">
        <f>IF(COUNT(P58:W58)&lt;2,"",(MAX(P58:W58)-MIN(P58:W58))*F58)</f>
        <v/>
      </c>
      <c r="AJ58" s="20" t="n"/>
      <c r="AP58">
        <f>IF(53&gt;MAX($AN$6:$AN$9),"",COUNTIF($AN$6:$AN$9,"&lt;"&amp;53)+1)</f>
        <v/>
      </c>
      <c r="AQ58">
        <f>IF(AP58="","",53-INDEX($AO$6:$AO$9,AP58))</f>
        <v/>
      </c>
      <c r="AR58">
        <f>IF(AP58="","",INDEX(INDIRECT("'"&amp;$B58&amp;"'!$AE$6:$AE$205"),MATCH(AQ58,INDIRECT("'"&amp;$B58&amp;"'!$AI$6:$AI$205"),0)))</f>
        <v/>
      </c>
    </row>
    <row r="59">
      <c r="A59" s="34">
        <f>IF(AP59="","",54)</f>
        <v/>
      </c>
      <c r="B59" s="35">
        <f>IF(AP59="","",INDEX($AL$6:$AL$9,AP59))</f>
        <v/>
      </c>
      <c r="C59" s="34">
        <f>IF(AP59="","",INDEX(INDIRECT("'"&amp;$B59&amp;"'!$B$6:$B$205"),MATCH($AR59,INDIRECT("'"&amp;$B59&amp;"'!$AE$6:$AE$205"),0)))</f>
        <v/>
      </c>
      <c r="D59" s="34">
        <f>IF(AP59="","",INDEX(INDIRECT("'"&amp;$B59&amp;"'!$D$6:$D$205"),MATCH($AR59,INDIRECT("'"&amp;$B59&amp;"'!$AE$6:$AE$205"),0)))</f>
        <v/>
      </c>
      <c r="E59" s="36">
        <f>IF(AP59="","",INDEX(INDIRECT("'"&amp;$B59&amp;"'!$F$6:$F$205"),MATCH($AR59,INDIRECT("'"&amp;$B59&amp;"'!$AE$6:$AE$205"),0)))</f>
        <v/>
      </c>
      <c r="F59" s="34">
        <f>IF(AP59="","",INDEX(INDIRECT("'"&amp;$B59&amp;"'!$K$6:$K$205"),MATCH($AR59,INDIRECT("'"&amp;$B59&amp;"'!$AE$6:$AE$205"),0)))</f>
        <v/>
      </c>
      <c r="G59" s="34">
        <f>IF(AP59="","",INDEX(INDIRECT("'"&amp;$B59&amp;"'!$L$6:$L$205"),MATCH($AR59,INDIRECT("'"&amp;$B59&amp;"'!$AE$6:$AE$205"),0)))</f>
        <v/>
      </c>
      <c r="H59" s="34">
        <f>IF(OR(AP59="",H$5="-"),"",IFERROR(IF(INDEX(INDIRECT("'"&amp;$B59&amp;"'!$N$6:$N$205"),MATCH($AR59&amp;"|"&amp;H$5,INDIRECT("'"&amp;$B59&amp;"'!$AF$6:$AF$205"),0))="","",INDEX(INDIRECT("'"&amp;$B59&amp;"'!$N$6:$N$205"),MATCH($AR59&amp;"|"&amp;H$5,INDIRECT("'"&amp;$B59&amp;"'!$AF$6:$AF$205"),0))),"-"))</f>
        <v/>
      </c>
      <c r="I59" s="34">
        <f>IF(OR(AP59="",I$5="-"),"",IFERROR(IF(INDEX(INDIRECT("'"&amp;$B59&amp;"'!$N$6:$N$205"),MATCH($AR59&amp;"|"&amp;I$5,INDIRECT("'"&amp;$B59&amp;"'!$AF$6:$AF$205"),0))="","",INDEX(INDIRECT("'"&amp;$B59&amp;"'!$N$6:$N$205"),MATCH($AR59&amp;"|"&amp;I$5,INDIRECT("'"&amp;$B59&amp;"'!$AF$6:$AF$205"),0))),"-"))</f>
        <v/>
      </c>
      <c r="J59" s="34">
        <f>IF(OR(AP59="",J$5="-"),"",IFERROR(IF(INDEX(INDIRECT("'"&amp;$B59&amp;"'!$N$6:$N$205"),MATCH($AR59&amp;"|"&amp;J$5,INDIRECT("'"&amp;$B59&amp;"'!$AF$6:$AF$205"),0))="","",INDEX(INDIRECT("'"&amp;$B59&amp;"'!$N$6:$N$205"),MATCH($AR59&amp;"|"&amp;J$5,INDIRECT("'"&amp;$B59&amp;"'!$AF$6:$AF$205"),0))),"-"))</f>
        <v/>
      </c>
      <c r="K59" s="34">
        <f>IF(OR(AP59="",K$5="-"),"",IFERROR(IF(INDEX(INDIRECT("'"&amp;$B59&amp;"'!$N$6:$N$205"),MATCH($AR59&amp;"|"&amp;K$5,INDIRECT("'"&amp;$B59&amp;"'!$AF$6:$AF$205"),0))="","",INDEX(INDIRECT("'"&amp;$B59&amp;"'!$N$6:$N$205"),MATCH($AR59&amp;"|"&amp;K$5,INDIRECT("'"&amp;$B59&amp;"'!$AF$6:$AF$205"),0))),"-"))</f>
        <v/>
      </c>
      <c r="L59" s="34">
        <f>IF(OR(AP59="",L$5="-"),"",IFERROR(IF(INDEX(INDIRECT("'"&amp;$B59&amp;"'!$N$6:$N$205"),MATCH($AR59&amp;"|"&amp;L$5,INDIRECT("'"&amp;$B59&amp;"'!$AF$6:$AF$205"),0))="","",INDEX(INDIRECT("'"&amp;$B59&amp;"'!$N$6:$N$205"),MATCH($AR59&amp;"|"&amp;L$5,INDIRECT("'"&amp;$B59&amp;"'!$AF$6:$AF$205"),0))),"-"))</f>
        <v/>
      </c>
      <c r="M59" s="34">
        <f>IF(OR(AP59="",M$5="-"),"",IFERROR(IF(INDEX(INDIRECT("'"&amp;$B59&amp;"'!$N$6:$N$205"),MATCH($AR59&amp;"|"&amp;M$5,INDIRECT("'"&amp;$B59&amp;"'!$AF$6:$AF$205"),0))="","",INDEX(INDIRECT("'"&amp;$B59&amp;"'!$N$6:$N$205"),MATCH($AR59&amp;"|"&amp;M$5,INDIRECT("'"&amp;$B59&amp;"'!$AF$6:$AF$205"),0))),"-"))</f>
        <v/>
      </c>
      <c r="N59" s="34">
        <f>IF(OR(AP59="",N$5="-"),"",IFERROR(IF(INDEX(INDIRECT("'"&amp;$B59&amp;"'!$N$6:$N$205"),MATCH($AR59&amp;"|"&amp;N$5,INDIRECT("'"&amp;$B59&amp;"'!$AF$6:$AF$205"),0))="","",INDEX(INDIRECT("'"&amp;$B59&amp;"'!$N$6:$N$205"),MATCH($AR59&amp;"|"&amp;N$5,INDIRECT("'"&amp;$B59&amp;"'!$AF$6:$AF$205"),0))),"-"))</f>
        <v/>
      </c>
      <c r="O59" s="34">
        <f>IF(OR(AP59="",O$5="-"),"",IFERROR(IF(INDEX(INDIRECT("'"&amp;$B59&amp;"'!$N$6:$N$205"),MATCH($AR59&amp;"|"&amp;O$5,INDIRECT("'"&amp;$B59&amp;"'!$AF$6:$AF$205"),0))="","",INDEX(INDIRECT("'"&amp;$B59&amp;"'!$N$6:$N$205"),MATCH($AR59&amp;"|"&amp;O$5,INDIRECT("'"&amp;$B59&amp;"'!$AF$6:$AF$205"),0))),"-"))</f>
        <v/>
      </c>
      <c r="P59" s="37">
        <f>IF(OR(AP59="",P$5="-"),"",IFERROR(IF(INDEX(INDIRECT("'"&amp;$B59&amp;"'!$R$6:$R$205"),MATCH($AR59&amp;"|"&amp;P$5,INDIRECT("'"&amp;$B59&amp;"'!$AF$6:$AF$205"),0))="","",INDEX(INDIRECT("'"&amp;$B59&amp;"'!$R$6:$R$205"),MATCH($AR59&amp;"|"&amp;P$5,INDIRECT("'"&amp;$B59&amp;"'!$AF$6:$AF$205"),0))),"-"))</f>
        <v/>
      </c>
      <c r="Q59" s="37">
        <f>IF(OR(AP59="",Q$5="-"),"",IFERROR(IF(INDEX(INDIRECT("'"&amp;$B59&amp;"'!$R$6:$R$205"),MATCH($AR59&amp;"|"&amp;Q$5,INDIRECT("'"&amp;$B59&amp;"'!$AF$6:$AF$205"),0))="","",INDEX(INDIRECT("'"&amp;$B59&amp;"'!$R$6:$R$205"),MATCH($AR59&amp;"|"&amp;Q$5,INDIRECT("'"&amp;$B59&amp;"'!$AF$6:$AF$205"),0))),"-"))</f>
        <v/>
      </c>
      <c r="R59" s="37">
        <f>IF(OR(AP59="",R$5="-"),"",IFERROR(IF(INDEX(INDIRECT("'"&amp;$B59&amp;"'!$R$6:$R$205"),MATCH($AR59&amp;"|"&amp;R$5,INDIRECT("'"&amp;$B59&amp;"'!$AF$6:$AF$205"),0))="","",INDEX(INDIRECT("'"&amp;$B59&amp;"'!$R$6:$R$205"),MATCH($AR59&amp;"|"&amp;R$5,INDIRECT("'"&amp;$B59&amp;"'!$AF$6:$AF$205"),0))),"-"))</f>
        <v/>
      </c>
      <c r="S59" s="37">
        <f>IF(OR(AP59="",S$5="-"),"",IFERROR(IF(INDEX(INDIRECT("'"&amp;$B59&amp;"'!$R$6:$R$205"),MATCH($AR59&amp;"|"&amp;S$5,INDIRECT("'"&amp;$B59&amp;"'!$AF$6:$AF$205"),0))="","",INDEX(INDIRECT("'"&amp;$B59&amp;"'!$R$6:$R$205"),MATCH($AR59&amp;"|"&amp;S$5,INDIRECT("'"&amp;$B59&amp;"'!$AF$6:$AF$205"),0))),"-"))</f>
        <v/>
      </c>
      <c r="T59" s="37">
        <f>IF(OR(AP59="",T$5="-"),"",IFERROR(IF(INDEX(INDIRECT("'"&amp;$B59&amp;"'!$R$6:$R$205"),MATCH($AR59&amp;"|"&amp;T$5,INDIRECT("'"&amp;$B59&amp;"'!$AF$6:$AF$205"),0))="","",INDEX(INDIRECT("'"&amp;$B59&amp;"'!$R$6:$R$205"),MATCH($AR59&amp;"|"&amp;T$5,INDIRECT("'"&amp;$B59&amp;"'!$AF$6:$AF$205"),0))),"-"))</f>
        <v/>
      </c>
      <c r="U59" s="37">
        <f>IF(OR(AP59="",U$5="-"),"",IFERROR(IF(INDEX(INDIRECT("'"&amp;$B59&amp;"'!$R$6:$R$205"),MATCH($AR59&amp;"|"&amp;U$5,INDIRECT("'"&amp;$B59&amp;"'!$AF$6:$AF$205"),0))="","",INDEX(INDIRECT("'"&amp;$B59&amp;"'!$R$6:$R$205"),MATCH($AR59&amp;"|"&amp;U$5,INDIRECT("'"&amp;$B59&amp;"'!$AF$6:$AF$205"),0))),"-"))</f>
        <v/>
      </c>
      <c r="V59" s="37">
        <f>IF(OR(AP59="",V$5="-"),"",IFERROR(IF(INDEX(INDIRECT("'"&amp;$B59&amp;"'!$R$6:$R$205"),MATCH($AR59&amp;"|"&amp;V$5,INDIRECT("'"&amp;$B59&amp;"'!$AF$6:$AF$205"),0))="","",INDEX(INDIRECT("'"&amp;$B59&amp;"'!$R$6:$R$205"),MATCH($AR59&amp;"|"&amp;V$5,INDIRECT("'"&amp;$B59&amp;"'!$AF$6:$AF$205"),0))),"-"))</f>
        <v/>
      </c>
      <c r="W59" s="37">
        <f>IF(OR(AP59="",W$5="-"),"",IFERROR(IF(INDEX(INDIRECT("'"&amp;$B59&amp;"'!$R$6:$R$205"),MATCH($AR59&amp;"|"&amp;W$5,INDIRECT("'"&amp;$B59&amp;"'!$AF$6:$AF$205"),0))="","",INDEX(INDIRECT("'"&amp;$B59&amp;"'!$R$6:$R$205"),MATCH($AR59&amp;"|"&amp;W$5,INDIRECT("'"&amp;$B59&amp;"'!$AF$6:$AF$205"),0))),"-"))</f>
        <v/>
      </c>
      <c r="X59" s="38">
        <f>IF(OR(AP59="",X$5="-"),"",IFERROR(IF(INDEX(INDIRECT("'"&amp;$B59&amp;"'!$T$6:$T$205"),MATCH($AR59&amp;"|"&amp;X$5,INDIRECT("'"&amp;$B59&amp;"'!$AF$6:$AF$205"),0))="","",INDEX(INDIRECT("'"&amp;$B59&amp;"'!$T$6:$T$205"),MATCH($AR59&amp;"|"&amp;X$5,INDIRECT("'"&amp;$B59&amp;"'!$AF$6:$AF$205"),0))),"-"))</f>
        <v/>
      </c>
      <c r="Y59" s="38">
        <f>IF(OR(AP59="",Y$5="-"),"",IFERROR(IF(INDEX(INDIRECT("'"&amp;$B59&amp;"'!$T$6:$T$205"),MATCH($AR59&amp;"|"&amp;Y$5,INDIRECT("'"&amp;$B59&amp;"'!$AF$6:$AF$205"),0))="","",INDEX(INDIRECT("'"&amp;$B59&amp;"'!$T$6:$T$205"),MATCH($AR59&amp;"|"&amp;Y$5,INDIRECT("'"&amp;$B59&amp;"'!$AF$6:$AF$205"),0))),"-"))</f>
        <v/>
      </c>
      <c r="Z59" s="38">
        <f>IF(OR(AP59="",Z$5="-"),"",IFERROR(IF(INDEX(INDIRECT("'"&amp;$B59&amp;"'!$T$6:$T$205"),MATCH($AR59&amp;"|"&amp;Z$5,INDIRECT("'"&amp;$B59&amp;"'!$AF$6:$AF$205"),0))="","",INDEX(INDIRECT("'"&amp;$B59&amp;"'!$T$6:$T$205"),MATCH($AR59&amp;"|"&amp;Z$5,INDIRECT("'"&amp;$B59&amp;"'!$AF$6:$AF$205"),0))),"-"))</f>
        <v/>
      </c>
      <c r="AA59" s="38">
        <f>IF(OR(AP59="",AA$5="-"),"",IFERROR(IF(INDEX(INDIRECT("'"&amp;$B59&amp;"'!$T$6:$T$205"),MATCH($AR59&amp;"|"&amp;AA$5,INDIRECT("'"&amp;$B59&amp;"'!$AF$6:$AF$205"),0))="","",INDEX(INDIRECT("'"&amp;$B59&amp;"'!$T$6:$T$205"),MATCH($AR59&amp;"|"&amp;AA$5,INDIRECT("'"&amp;$B59&amp;"'!$AF$6:$AF$205"),0))),"-"))</f>
        <v/>
      </c>
      <c r="AB59" s="38">
        <f>IF(OR(AP59="",AB$5="-"),"",IFERROR(IF(INDEX(INDIRECT("'"&amp;$B59&amp;"'!$T$6:$T$205"),MATCH($AR59&amp;"|"&amp;AB$5,INDIRECT("'"&amp;$B59&amp;"'!$AF$6:$AF$205"),0))="","",INDEX(INDIRECT("'"&amp;$B59&amp;"'!$T$6:$T$205"),MATCH($AR59&amp;"|"&amp;AB$5,INDIRECT("'"&amp;$B59&amp;"'!$AF$6:$AF$205"),0))),"-"))</f>
        <v/>
      </c>
      <c r="AC59" s="38">
        <f>IF(OR(AP59="",AC$5="-"),"",IFERROR(IF(INDEX(INDIRECT("'"&amp;$B59&amp;"'!$T$6:$T$205"),MATCH($AR59&amp;"|"&amp;AC$5,INDIRECT("'"&amp;$B59&amp;"'!$AF$6:$AF$205"),0))="","",INDEX(INDIRECT("'"&amp;$B59&amp;"'!$T$6:$T$205"),MATCH($AR59&amp;"|"&amp;AC$5,INDIRECT("'"&amp;$B59&amp;"'!$AF$6:$AF$205"),0))),"-"))</f>
        <v/>
      </c>
      <c r="AD59" s="38">
        <f>IF(OR(AP59="",AD$5="-"),"",IFERROR(IF(INDEX(INDIRECT("'"&amp;$B59&amp;"'!$T$6:$T$205"),MATCH($AR59&amp;"|"&amp;AD$5,INDIRECT("'"&amp;$B59&amp;"'!$AF$6:$AF$205"),0))="","",INDEX(INDIRECT("'"&amp;$B59&amp;"'!$T$6:$T$205"),MATCH($AR59&amp;"|"&amp;AD$5,INDIRECT("'"&amp;$B59&amp;"'!$AF$6:$AF$205"),0))),"-"))</f>
        <v/>
      </c>
      <c r="AE59" s="38">
        <f>IF(OR(AP59="",AE$5="-"),"",IFERROR(IF(INDEX(INDIRECT("'"&amp;$B59&amp;"'!$T$6:$T$205"),MATCH($AR59&amp;"|"&amp;AE$5,INDIRECT("'"&amp;$B59&amp;"'!$AF$6:$AF$205"),0))="","",INDEX(INDIRECT("'"&amp;$B59&amp;"'!$T$6:$T$205"),MATCH($AR59&amp;"|"&amp;AE$5,INDIRECT("'"&amp;$B59&amp;"'!$AF$6:$AF$205"),0))),"-"))</f>
        <v/>
      </c>
      <c r="AF59" s="35">
        <f>IF(AG59="","",INDEX($P$5:$W$5,MATCH(AG59,P59:W59,0)))</f>
        <v/>
      </c>
      <c r="AG59" s="37">
        <f>IF(COUNT(P59:W59)=0,"",MIN(P59:W59))</f>
        <v/>
      </c>
      <c r="AH59" s="39">
        <f>IF(AG59="","",AG59*F59)</f>
        <v/>
      </c>
      <c r="AI59" s="39">
        <f>IF(COUNT(P59:W59)&lt;2,"",(MAX(P59:W59)-MIN(P59:W59))*F59)</f>
        <v/>
      </c>
      <c r="AJ59" s="20" t="n"/>
      <c r="AP59">
        <f>IF(54&gt;MAX($AN$6:$AN$9),"",COUNTIF($AN$6:$AN$9,"&lt;"&amp;54)+1)</f>
        <v/>
      </c>
      <c r="AQ59">
        <f>IF(AP59="","",54-INDEX($AO$6:$AO$9,AP59))</f>
        <v/>
      </c>
      <c r="AR59">
        <f>IF(AP59="","",INDEX(INDIRECT("'"&amp;$B59&amp;"'!$AE$6:$AE$205"),MATCH(AQ59,INDIRECT("'"&amp;$B59&amp;"'!$AI$6:$AI$205"),0)))</f>
        <v/>
      </c>
    </row>
    <row r="60">
      <c r="A60" s="34">
        <f>IF(AP60="","",55)</f>
        <v/>
      </c>
      <c r="B60" s="35">
        <f>IF(AP60="","",INDEX($AL$6:$AL$9,AP60))</f>
        <v/>
      </c>
      <c r="C60" s="34">
        <f>IF(AP60="","",INDEX(INDIRECT("'"&amp;$B60&amp;"'!$B$6:$B$205"),MATCH($AR60,INDIRECT("'"&amp;$B60&amp;"'!$AE$6:$AE$205"),0)))</f>
        <v/>
      </c>
      <c r="D60" s="34">
        <f>IF(AP60="","",INDEX(INDIRECT("'"&amp;$B60&amp;"'!$D$6:$D$205"),MATCH($AR60,INDIRECT("'"&amp;$B60&amp;"'!$AE$6:$AE$205"),0)))</f>
        <v/>
      </c>
      <c r="E60" s="36">
        <f>IF(AP60="","",INDEX(INDIRECT("'"&amp;$B60&amp;"'!$F$6:$F$205"),MATCH($AR60,INDIRECT("'"&amp;$B60&amp;"'!$AE$6:$AE$205"),0)))</f>
        <v/>
      </c>
      <c r="F60" s="34">
        <f>IF(AP60="","",INDEX(INDIRECT("'"&amp;$B60&amp;"'!$K$6:$K$205"),MATCH($AR60,INDIRECT("'"&amp;$B60&amp;"'!$AE$6:$AE$205"),0)))</f>
        <v/>
      </c>
      <c r="G60" s="34">
        <f>IF(AP60="","",INDEX(INDIRECT("'"&amp;$B60&amp;"'!$L$6:$L$205"),MATCH($AR60,INDIRECT("'"&amp;$B60&amp;"'!$AE$6:$AE$205"),0)))</f>
        <v/>
      </c>
      <c r="H60" s="34">
        <f>IF(OR(AP60="",H$5="-"),"",IFERROR(IF(INDEX(INDIRECT("'"&amp;$B60&amp;"'!$N$6:$N$205"),MATCH($AR60&amp;"|"&amp;H$5,INDIRECT("'"&amp;$B60&amp;"'!$AF$6:$AF$205"),0))="","",INDEX(INDIRECT("'"&amp;$B60&amp;"'!$N$6:$N$205"),MATCH($AR60&amp;"|"&amp;H$5,INDIRECT("'"&amp;$B60&amp;"'!$AF$6:$AF$205"),0))),"-"))</f>
        <v/>
      </c>
      <c r="I60" s="34">
        <f>IF(OR(AP60="",I$5="-"),"",IFERROR(IF(INDEX(INDIRECT("'"&amp;$B60&amp;"'!$N$6:$N$205"),MATCH($AR60&amp;"|"&amp;I$5,INDIRECT("'"&amp;$B60&amp;"'!$AF$6:$AF$205"),0))="","",INDEX(INDIRECT("'"&amp;$B60&amp;"'!$N$6:$N$205"),MATCH($AR60&amp;"|"&amp;I$5,INDIRECT("'"&amp;$B60&amp;"'!$AF$6:$AF$205"),0))),"-"))</f>
        <v/>
      </c>
      <c r="J60" s="34">
        <f>IF(OR(AP60="",J$5="-"),"",IFERROR(IF(INDEX(INDIRECT("'"&amp;$B60&amp;"'!$N$6:$N$205"),MATCH($AR60&amp;"|"&amp;J$5,INDIRECT("'"&amp;$B60&amp;"'!$AF$6:$AF$205"),0))="","",INDEX(INDIRECT("'"&amp;$B60&amp;"'!$N$6:$N$205"),MATCH($AR60&amp;"|"&amp;J$5,INDIRECT("'"&amp;$B60&amp;"'!$AF$6:$AF$205"),0))),"-"))</f>
        <v/>
      </c>
      <c r="K60" s="34">
        <f>IF(OR(AP60="",K$5="-"),"",IFERROR(IF(INDEX(INDIRECT("'"&amp;$B60&amp;"'!$N$6:$N$205"),MATCH($AR60&amp;"|"&amp;K$5,INDIRECT("'"&amp;$B60&amp;"'!$AF$6:$AF$205"),0))="","",INDEX(INDIRECT("'"&amp;$B60&amp;"'!$N$6:$N$205"),MATCH($AR60&amp;"|"&amp;K$5,INDIRECT("'"&amp;$B60&amp;"'!$AF$6:$AF$205"),0))),"-"))</f>
        <v/>
      </c>
      <c r="L60" s="34">
        <f>IF(OR(AP60="",L$5="-"),"",IFERROR(IF(INDEX(INDIRECT("'"&amp;$B60&amp;"'!$N$6:$N$205"),MATCH($AR60&amp;"|"&amp;L$5,INDIRECT("'"&amp;$B60&amp;"'!$AF$6:$AF$205"),0))="","",INDEX(INDIRECT("'"&amp;$B60&amp;"'!$N$6:$N$205"),MATCH($AR60&amp;"|"&amp;L$5,INDIRECT("'"&amp;$B60&amp;"'!$AF$6:$AF$205"),0))),"-"))</f>
        <v/>
      </c>
      <c r="M60" s="34">
        <f>IF(OR(AP60="",M$5="-"),"",IFERROR(IF(INDEX(INDIRECT("'"&amp;$B60&amp;"'!$N$6:$N$205"),MATCH($AR60&amp;"|"&amp;M$5,INDIRECT("'"&amp;$B60&amp;"'!$AF$6:$AF$205"),0))="","",INDEX(INDIRECT("'"&amp;$B60&amp;"'!$N$6:$N$205"),MATCH($AR60&amp;"|"&amp;M$5,INDIRECT("'"&amp;$B60&amp;"'!$AF$6:$AF$205"),0))),"-"))</f>
        <v/>
      </c>
      <c r="N60" s="34">
        <f>IF(OR(AP60="",N$5="-"),"",IFERROR(IF(INDEX(INDIRECT("'"&amp;$B60&amp;"'!$N$6:$N$205"),MATCH($AR60&amp;"|"&amp;N$5,INDIRECT("'"&amp;$B60&amp;"'!$AF$6:$AF$205"),0))="","",INDEX(INDIRECT("'"&amp;$B60&amp;"'!$N$6:$N$205"),MATCH($AR60&amp;"|"&amp;N$5,INDIRECT("'"&amp;$B60&amp;"'!$AF$6:$AF$205"),0))),"-"))</f>
        <v/>
      </c>
      <c r="O60" s="34">
        <f>IF(OR(AP60="",O$5="-"),"",IFERROR(IF(INDEX(INDIRECT("'"&amp;$B60&amp;"'!$N$6:$N$205"),MATCH($AR60&amp;"|"&amp;O$5,INDIRECT("'"&amp;$B60&amp;"'!$AF$6:$AF$205"),0))="","",INDEX(INDIRECT("'"&amp;$B60&amp;"'!$N$6:$N$205"),MATCH($AR60&amp;"|"&amp;O$5,INDIRECT("'"&amp;$B60&amp;"'!$AF$6:$AF$205"),0))),"-"))</f>
        <v/>
      </c>
      <c r="P60" s="37">
        <f>IF(OR(AP60="",P$5="-"),"",IFERROR(IF(INDEX(INDIRECT("'"&amp;$B60&amp;"'!$R$6:$R$205"),MATCH($AR60&amp;"|"&amp;P$5,INDIRECT("'"&amp;$B60&amp;"'!$AF$6:$AF$205"),0))="","",INDEX(INDIRECT("'"&amp;$B60&amp;"'!$R$6:$R$205"),MATCH($AR60&amp;"|"&amp;P$5,INDIRECT("'"&amp;$B60&amp;"'!$AF$6:$AF$205"),0))),"-"))</f>
        <v/>
      </c>
      <c r="Q60" s="37">
        <f>IF(OR(AP60="",Q$5="-"),"",IFERROR(IF(INDEX(INDIRECT("'"&amp;$B60&amp;"'!$R$6:$R$205"),MATCH($AR60&amp;"|"&amp;Q$5,INDIRECT("'"&amp;$B60&amp;"'!$AF$6:$AF$205"),0))="","",INDEX(INDIRECT("'"&amp;$B60&amp;"'!$R$6:$R$205"),MATCH($AR60&amp;"|"&amp;Q$5,INDIRECT("'"&amp;$B60&amp;"'!$AF$6:$AF$205"),0))),"-"))</f>
        <v/>
      </c>
      <c r="R60" s="37">
        <f>IF(OR(AP60="",R$5="-"),"",IFERROR(IF(INDEX(INDIRECT("'"&amp;$B60&amp;"'!$R$6:$R$205"),MATCH($AR60&amp;"|"&amp;R$5,INDIRECT("'"&amp;$B60&amp;"'!$AF$6:$AF$205"),0))="","",INDEX(INDIRECT("'"&amp;$B60&amp;"'!$R$6:$R$205"),MATCH($AR60&amp;"|"&amp;R$5,INDIRECT("'"&amp;$B60&amp;"'!$AF$6:$AF$205"),0))),"-"))</f>
        <v/>
      </c>
      <c r="S60" s="37">
        <f>IF(OR(AP60="",S$5="-"),"",IFERROR(IF(INDEX(INDIRECT("'"&amp;$B60&amp;"'!$R$6:$R$205"),MATCH($AR60&amp;"|"&amp;S$5,INDIRECT("'"&amp;$B60&amp;"'!$AF$6:$AF$205"),0))="","",INDEX(INDIRECT("'"&amp;$B60&amp;"'!$R$6:$R$205"),MATCH($AR60&amp;"|"&amp;S$5,INDIRECT("'"&amp;$B60&amp;"'!$AF$6:$AF$205"),0))),"-"))</f>
        <v/>
      </c>
      <c r="T60" s="37">
        <f>IF(OR(AP60="",T$5="-"),"",IFERROR(IF(INDEX(INDIRECT("'"&amp;$B60&amp;"'!$R$6:$R$205"),MATCH($AR60&amp;"|"&amp;T$5,INDIRECT("'"&amp;$B60&amp;"'!$AF$6:$AF$205"),0))="","",INDEX(INDIRECT("'"&amp;$B60&amp;"'!$R$6:$R$205"),MATCH($AR60&amp;"|"&amp;T$5,INDIRECT("'"&amp;$B60&amp;"'!$AF$6:$AF$205"),0))),"-"))</f>
        <v/>
      </c>
      <c r="U60" s="37">
        <f>IF(OR(AP60="",U$5="-"),"",IFERROR(IF(INDEX(INDIRECT("'"&amp;$B60&amp;"'!$R$6:$R$205"),MATCH($AR60&amp;"|"&amp;U$5,INDIRECT("'"&amp;$B60&amp;"'!$AF$6:$AF$205"),0))="","",INDEX(INDIRECT("'"&amp;$B60&amp;"'!$R$6:$R$205"),MATCH($AR60&amp;"|"&amp;U$5,INDIRECT("'"&amp;$B60&amp;"'!$AF$6:$AF$205"),0))),"-"))</f>
        <v/>
      </c>
      <c r="V60" s="37">
        <f>IF(OR(AP60="",V$5="-"),"",IFERROR(IF(INDEX(INDIRECT("'"&amp;$B60&amp;"'!$R$6:$R$205"),MATCH($AR60&amp;"|"&amp;V$5,INDIRECT("'"&amp;$B60&amp;"'!$AF$6:$AF$205"),0))="","",INDEX(INDIRECT("'"&amp;$B60&amp;"'!$R$6:$R$205"),MATCH($AR60&amp;"|"&amp;V$5,INDIRECT("'"&amp;$B60&amp;"'!$AF$6:$AF$205"),0))),"-"))</f>
        <v/>
      </c>
      <c r="W60" s="37">
        <f>IF(OR(AP60="",W$5="-"),"",IFERROR(IF(INDEX(INDIRECT("'"&amp;$B60&amp;"'!$R$6:$R$205"),MATCH($AR60&amp;"|"&amp;W$5,INDIRECT("'"&amp;$B60&amp;"'!$AF$6:$AF$205"),0))="","",INDEX(INDIRECT("'"&amp;$B60&amp;"'!$R$6:$R$205"),MATCH($AR60&amp;"|"&amp;W$5,INDIRECT("'"&amp;$B60&amp;"'!$AF$6:$AF$205"),0))),"-"))</f>
        <v/>
      </c>
      <c r="X60" s="38">
        <f>IF(OR(AP60="",X$5="-"),"",IFERROR(IF(INDEX(INDIRECT("'"&amp;$B60&amp;"'!$T$6:$T$205"),MATCH($AR60&amp;"|"&amp;X$5,INDIRECT("'"&amp;$B60&amp;"'!$AF$6:$AF$205"),0))="","",INDEX(INDIRECT("'"&amp;$B60&amp;"'!$T$6:$T$205"),MATCH($AR60&amp;"|"&amp;X$5,INDIRECT("'"&amp;$B60&amp;"'!$AF$6:$AF$205"),0))),"-"))</f>
        <v/>
      </c>
      <c r="Y60" s="38">
        <f>IF(OR(AP60="",Y$5="-"),"",IFERROR(IF(INDEX(INDIRECT("'"&amp;$B60&amp;"'!$T$6:$T$205"),MATCH($AR60&amp;"|"&amp;Y$5,INDIRECT("'"&amp;$B60&amp;"'!$AF$6:$AF$205"),0))="","",INDEX(INDIRECT("'"&amp;$B60&amp;"'!$T$6:$T$205"),MATCH($AR60&amp;"|"&amp;Y$5,INDIRECT("'"&amp;$B60&amp;"'!$AF$6:$AF$205"),0))),"-"))</f>
        <v/>
      </c>
      <c r="Z60" s="38">
        <f>IF(OR(AP60="",Z$5="-"),"",IFERROR(IF(INDEX(INDIRECT("'"&amp;$B60&amp;"'!$T$6:$T$205"),MATCH($AR60&amp;"|"&amp;Z$5,INDIRECT("'"&amp;$B60&amp;"'!$AF$6:$AF$205"),0))="","",INDEX(INDIRECT("'"&amp;$B60&amp;"'!$T$6:$T$205"),MATCH($AR60&amp;"|"&amp;Z$5,INDIRECT("'"&amp;$B60&amp;"'!$AF$6:$AF$205"),0))),"-"))</f>
        <v/>
      </c>
      <c r="AA60" s="38">
        <f>IF(OR(AP60="",AA$5="-"),"",IFERROR(IF(INDEX(INDIRECT("'"&amp;$B60&amp;"'!$T$6:$T$205"),MATCH($AR60&amp;"|"&amp;AA$5,INDIRECT("'"&amp;$B60&amp;"'!$AF$6:$AF$205"),0))="","",INDEX(INDIRECT("'"&amp;$B60&amp;"'!$T$6:$T$205"),MATCH($AR60&amp;"|"&amp;AA$5,INDIRECT("'"&amp;$B60&amp;"'!$AF$6:$AF$205"),0))),"-"))</f>
        <v/>
      </c>
      <c r="AB60" s="38">
        <f>IF(OR(AP60="",AB$5="-"),"",IFERROR(IF(INDEX(INDIRECT("'"&amp;$B60&amp;"'!$T$6:$T$205"),MATCH($AR60&amp;"|"&amp;AB$5,INDIRECT("'"&amp;$B60&amp;"'!$AF$6:$AF$205"),0))="","",INDEX(INDIRECT("'"&amp;$B60&amp;"'!$T$6:$T$205"),MATCH($AR60&amp;"|"&amp;AB$5,INDIRECT("'"&amp;$B60&amp;"'!$AF$6:$AF$205"),0))),"-"))</f>
        <v/>
      </c>
      <c r="AC60" s="38">
        <f>IF(OR(AP60="",AC$5="-"),"",IFERROR(IF(INDEX(INDIRECT("'"&amp;$B60&amp;"'!$T$6:$T$205"),MATCH($AR60&amp;"|"&amp;AC$5,INDIRECT("'"&amp;$B60&amp;"'!$AF$6:$AF$205"),0))="","",INDEX(INDIRECT("'"&amp;$B60&amp;"'!$T$6:$T$205"),MATCH($AR60&amp;"|"&amp;AC$5,INDIRECT("'"&amp;$B60&amp;"'!$AF$6:$AF$205"),0))),"-"))</f>
        <v/>
      </c>
      <c r="AD60" s="38">
        <f>IF(OR(AP60="",AD$5="-"),"",IFERROR(IF(INDEX(INDIRECT("'"&amp;$B60&amp;"'!$T$6:$T$205"),MATCH($AR60&amp;"|"&amp;AD$5,INDIRECT("'"&amp;$B60&amp;"'!$AF$6:$AF$205"),0))="","",INDEX(INDIRECT("'"&amp;$B60&amp;"'!$T$6:$T$205"),MATCH($AR60&amp;"|"&amp;AD$5,INDIRECT("'"&amp;$B60&amp;"'!$AF$6:$AF$205"),0))),"-"))</f>
        <v/>
      </c>
      <c r="AE60" s="38">
        <f>IF(OR(AP60="",AE$5="-"),"",IFERROR(IF(INDEX(INDIRECT("'"&amp;$B60&amp;"'!$T$6:$T$205"),MATCH($AR60&amp;"|"&amp;AE$5,INDIRECT("'"&amp;$B60&amp;"'!$AF$6:$AF$205"),0))="","",INDEX(INDIRECT("'"&amp;$B60&amp;"'!$T$6:$T$205"),MATCH($AR60&amp;"|"&amp;AE$5,INDIRECT("'"&amp;$B60&amp;"'!$AF$6:$AF$205"),0))),"-"))</f>
        <v/>
      </c>
      <c r="AF60" s="35">
        <f>IF(AG60="","",INDEX($P$5:$W$5,MATCH(AG60,P60:W60,0)))</f>
        <v/>
      </c>
      <c r="AG60" s="37">
        <f>IF(COUNT(P60:W60)=0,"",MIN(P60:W60))</f>
        <v/>
      </c>
      <c r="AH60" s="39">
        <f>IF(AG60="","",AG60*F60)</f>
        <v/>
      </c>
      <c r="AI60" s="39">
        <f>IF(COUNT(P60:W60)&lt;2,"",(MAX(P60:W60)-MIN(P60:W60))*F60)</f>
        <v/>
      </c>
      <c r="AJ60" s="20" t="n"/>
      <c r="AP60">
        <f>IF(55&gt;MAX($AN$6:$AN$9),"",COUNTIF($AN$6:$AN$9,"&lt;"&amp;55)+1)</f>
        <v/>
      </c>
      <c r="AQ60">
        <f>IF(AP60="","",55-INDEX($AO$6:$AO$9,AP60))</f>
        <v/>
      </c>
      <c r="AR60">
        <f>IF(AP60="","",INDEX(INDIRECT("'"&amp;$B60&amp;"'!$AE$6:$AE$205"),MATCH(AQ60,INDIRECT("'"&amp;$B60&amp;"'!$AI$6:$AI$205"),0)))</f>
        <v/>
      </c>
    </row>
    <row r="61">
      <c r="A61" s="34">
        <f>IF(AP61="","",56)</f>
        <v/>
      </c>
      <c r="B61" s="35">
        <f>IF(AP61="","",INDEX($AL$6:$AL$9,AP61))</f>
        <v/>
      </c>
      <c r="C61" s="34">
        <f>IF(AP61="","",INDEX(INDIRECT("'"&amp;$B61&amp;"'!$B$6:$B$205"),MATCH($AR61,INDIRECT("'"&amp;$B61&amp;"'!$AE$6:$AE$205"),0)))</f>
        <v/>
      </c>
      <c r="D61" s="34">
        <f>IF(AP61="","",INDEX(INDIRECT("'"&amp;$B61&amp;"'!$D$6:$D$205"),MATCH($AR61,INDIRECT("'"&amp;$B61&amp;"'!$AE$6:$AE$205"),0)))</f>
        <v/>
      </c>
      <c r="E61" s="36">
        <f>IF(AP61="","",INDEX(INDIRECT("'"&amp;$B61&amp;"'!$F$6:$F$205"),MATCH($AR61,INDIRECT("'"&amp;$B61&amp;"'!$AE$6:$AE$205"),0)))</f>
        <v/>
      </c>
      <c r="F61" s="34">
        <f>IF(AP61="","",INDEX(INDIRECT("'"&amp;$B61&amp;"'!$K$6:$K$205"),MATCH($AR61,INDIRECT("'"&amp;$B61&amp;"'!$AE$6:$AE$205"),0)))</f>
        <v/>
      </c>
      <c r="G61" s="34">
        <f>IF(AP61="","",INDEX(INDIRECT("'"&amp;$B61&amp;"'!$L$6:$L$205"),MATCH($AR61,INDIRECT("'"&amp;$B61&amp;"'!$AE$6:$AE$205"),0)))</f>
        <v/>
      </c>
      <c r="H61" s="34">
        <f>IF(OR(AP61="",H$5="-"),"",IFERROR(IF(INDEX(INDIRECT("'"&amp;$B61&amp;"'!$N$6:$N$205"),MATCH($AR61&amp;"|"&amp;H$5,INDIRECT("'"&amp;$B61&amp;"'!$AF$6:$AF$205"),0))="","",INDEX(INDIRECT("'"&amp;$B61&amp;"'!$N$6:$N$205"),MATCH($AR61&amp;"|"&amp;H$5,INDIRECT("'"&amp;$B61&amp;"'!$AF$6:$AF$205"),0))),"-"))</f>
        <v/>
      </c>
      <c r="I61" s="34">
        <f>IF(OR(AP61="",I$5="-"),"",IFERROR(IF(INDEX(INDIRECT("'"&amp;$B61&amp;"'!$N$6:$N$205"),MATCH($AR61&amp;"|"&amp;I$5,INDIRECT("'"&amp;$B61&amp;"'!$AF$6:$AF$205"),0))="","",INDEX(INDIRECT("'"&amp;$B61&amp;"'!$N$6:$N$205"),MATCH($AR61&amp;"|"&amp;I$5,INDIRECT("'"&amp;$B61&amp;"'!$AF$6:$AF$205"),0))),"-"))</f>
        <v/>
      </c>
      <c r="J61" s="34">
        <f>IF(OR(AP61="",J$5="-"),"",IFERROR(IF(INDEX(INDIRECT("'"&amp;$B61&amp;"'!$N$6:$N$205"),MATCH($AR61&amp;"|"&amp;J$5,INDIRECT("'"&amp;$B61&amp;"'!$AF$6:$AF$205"),0))="","",INDEX(INDIRECT("'"&amp;$B61&amp;"'!$N$6:$N$205"),MATCH($AR61&amp;"|"&amp;J$5,INDIRECT("'"&amp;$B61&amp;"'!$AF$6:$AF$205"),0))),"-"))</f>
        <v/>
      </c>
      <c r="K61" s="34">
        <f>IF(OR(AP61="",K$5="-"),"",IFERROR(IF(INDEX(INDIRECT("'"&amp;$B61&amp;"'!$N$6:$N$205"),MATCH($AR61&amp;"|"&amp;K$5,INDIRECT("'"&amp;$B61&amp;"'!$AF$6:$AF$205"),0))="","",INDEX(INDIRECT("'"&amp;$B61&amp;"'!$N$6:$N$205"),MATCH($AR61&amp;"|"&amp;K$5,INDIRECT("'"&amp;$B61&amp;"'!$AF$6:$AF$205"),0))),"-"))</f>
        <v/>
      </c>
      <c r="L61" s="34">
        <f>IF(OR(AP61="",L$5="-"),"",IFERROR(IF(INDEX(INDIRECT("'"&amp;$B61&amp;"'!$N$6:$N$205"),MATCH($AR61&amp;"|"&amp;L$5,INDIRECT("'"&amp;$B61&amp;"'!$AF$6:$AF$205"),0))="","",INDEX(INDIRECT("'"&amp;$B61&amp;"'!$N$6:$N$205"),MATCH($AR61&amp;"|"&amp;L$5,INDIRECT("'"&amp;$B61&amp;"'!$AF$6:$AF$205"),0))),"-"))</f>
        <v/>
      </c>
      <c r="M61" s="34">
        <f>IF(OR(AP61="",M$5="-"),"",IFERROR(IF(INDEX(INDIRECT("'"&amp;$B61&amp;"'!$N$6:$N$205"),MATCH($AR61&amp;"|"&amp;M$5,INDIRECT("'"&amp;$B61&amp;"'!$AF$6:$AF$205"),0))="","",INDEX(INDIRECT("'"&amp;$B61&amp;"'!$N$6:$N$205"),MATCH($AR61&amp;"|"&amp;M$5,INDIRECT("'"&amp;$B61&amp;"'!$AF$6:$AF$205"),0))),"-"))</f>
        <v/>
      </c>
      <c r="N61" s="34">
        <f>IF(OR(AP61="",N$5="-"),"",IFERROR(IF(INDEX(INDIRECT("'"&amp;$B61&amp;"'!$N$6:$N$205"),MATCH($AR61&amp;"|"&amp;N$5,INDIRECT("'"&amp;$B61&amp;"'!$AF$6:$AF$205"),0))="","",INDEX(INDIRECT("'"&amp;$B61&amp;"'!$N$6:$N$205"),MATCH($AR61&amp;"|"&amp;N$5,INDIRECT("'"&amp;$B61&amp;"'!$AF$6:$AF$205"),0))),"-"))</f>
        <v/>
      </c>
      <c r="O61" s="34">
        <f>IF(OR(AP61="",O$5="-"),"",IFERROR(IF(INDEX(INDIRECT("'"&amp;$B61&amp;"'!$N$6:$N$205"),MATCH($AR61&amp;"|"&amp;O$5,INDIRECT("'"&amp;$B61&amp;"'!$AF$6:$AF$205"),0))="","",INDEX(INDIRECT("'"&amp;$B61&amp;"'!$N$6:$N$205"),MATCH($AR61&amp;"|"&amp;O$5,INDIRECT("'"&amp;$B61&amp;"'!$AF$6:$AF$205"),0))),"-"))</f>
        <v/>
      </c>
      <c r="P61" s="37">
        <f>IF(OR(AP61="",P$5="-"),"",IFERROR(IF(INDEX(INDIRECT("'"&amp;$B61&amp;"'!$R$6:$R$205"),MATCH($AR61&amp;"|"&amp;P$5,INDIRECT("'"&amp;$B61&amp;"'!$AF$6:$AF$205"),0))="","",INDEX(INDIRECT("'"&amp;$B61&amp;"'!$R$6:$R$205"),MATCH($AR61&amp;"|"&amp;P$5,INDIRECT("'"&amp;$B61&amp;"'!$AF$6:$AF$205"),0))),"-"))</f>
        <v/>
      </c>
      <c r="Q61" s="37">
        <f>IF(OR(AP61="",Q$5="-"),"",IFERROR(IF(INDEX(INDIRECT("'"&amp;$B61&amp;"'!$R$6:$R$205"),MATCH($AR61&amp;"|"&amp;Q$5,INDIRECT("'"&amp;$B61&amp;"'!$AF$6:$AF$205"),0))="","",INDEX(INDIRECT("'"&amp;$B61&amp;"'!$R$6:$R$205"),MATCH($AR61&amp;"|"&amp;Q$5,INDIRECT("'"&amp;$B61&amp;"'!$AF$6:$AF$205"),0))),"-"))</f>
        <v/>
      </c>
      <c r="R61" s="37">
        <f>IF(OR(AP61="",R$5="-"),"",IFERROR(IF(INDEX(INDIRECT("'"&amp;$B61&amp;"'!$R$6:$R$205"),MATCH($AR61&amp;"|"&amp;R$5,INDIRECT("'"&amp;$B61&amp;"'!$AF$6:$AF$205"),0))="","",INDEX(INDIRECT("'"&amp;$B61&amp;"'!$R$6:$R$205"),MATCH($AR61&amp;"|"&amp;R$5,INDIRECT("'"&amp;$B61&amp;"'!$AF$6:$AF$205"),0))),"-"))</f>
        <v/>
      </c>
      <c r="S61" s="37">
        <f>IF(OR(AP61="",S$5="-"),"",IFERROR(IF(INDEX(INDIRECT("'"&amp;$B61&amp;"'!$R$6:$R$205"),MATCH($AR61&amp;"|"&amp;S$5,INDIRECT("'"&amp;$B61&amp;"'!$AF$6:$AF$205"),0))="","",INDEX(INDIRECT("'"&amp;$B61&amp;"'!$R$6:$R$205"),MATCH($AR61&amp;"|"&amp;S$5,INDIRECT("'"&amp;$B61&amp;"'!$AF$6:$AF$205"),0))),"-"))</f>
        <v/>
      </c>
      <c r="T61" s="37">
        <f>IF(OR(AP61="",T$5="-"),"",IFERROR(IF(INDEX(INDIRECT("'"&amp;$B61&amp;"'!$R$6:$R$205"),MATCH($AR61&amp;"|"&amp;T$5,INDIRECT("'"&amp;$B61&amp;"'!$AF$6:$AF$205"),0))="","",INDEX(INDIRECT("'"&amp;$B61&amp;"'!$R$6:$R$205"),MATCH($AR61&amp;"|"&amp;T$5,INDIRECT("'"&amp;$B61&amp;"'!$AF$6:$AF$205"),0))),"-"))</f>
        <v/>
      </c>
      <c r="U61" s="37">
        <f>IF(OR(AP61="",U$5="-"),"",IFERROR(IF(INDEX(INDIRECT("'"&amp;$B61&amp;"'!$R$6:$R$205"),MATCH($AR61&amp;"|"&amp;U$5,INDIRECT("'"&amp;$B61&amp;"'!$AF$6:$AF$205"),0))="","",INDEX(INDIRECT("'"&amp;$B61&amp;"'!$R$6:$R$205"),MATCH($AR61&amp;"|"&amp;U$5,INDIRECT("'"&amp;$B61&amp;"'!$AF$6:$AF$205"),0))),"-"))</f>
        <v/>
      </c>
      <c r="V61" s="37">
        <f>IF(OR(AP61="",V$5="-"),"",IFERROR(IF(INDEX(INDIRECT("'"&amp;$B61&amp;"'!$R$6:$R$205"),MATCH($AR61&amp;"|"&amp;V$5,INDIRECT("'"&amp;$B61&amp;"'!$AF$6:$AF$205"),0))="","",INDEX(INDIRECT("'"&amp;$B61&amp;"'!$R$6:$R$205"),MATCH($AR61&amp;"|"&amp;V$5,INDIRECT("'"&amp;$B61&amp;"'!$AF$6:$AF$205"),0))),"-"))</f>
        <v/>
      </c>
      <c r="W61" s="37">
        <f>IF(OR(AP61="",W$5="-"),"",IFERROR(IF(INDEX(INDIRECT("'"&amp;$B61&amp;"'!$R$6:$R$205"),MATCH($AR61&amp;"|"&amp;W$5,INDIRECT("'"&amp;$B61&amp;"'!$AF$6:$AF$205"),0))="","",INDEX(INDIRECT("'"&amp;$B61&amp;"'!$R$6:$R$205"),MATCH($AR61&amp;"|"&amp;W$5,INDIRECT("'"&amp;$B61&amp;"'!$AF$6:$AF$205"),0))),"-"))</f>
        <v/>
      </c>
      <c r="X61" s="38">
        <f>IF(OR(AP61="",X$5="-"),"",IFERROR(IF(INDEX(INDIRECT("'"&amp;$B61&amp;"'!$T$6:$T$205"),MATCH($AR61&amp;"|"&amp;X$5,INDIRECT("'"&amp;$B61&amp;"'!$AF$6:$AF$205"),0))="","",INDEX(INDIRECT("'"&amp;$B61&amp;"'!$T$6:$T$205"),MATCH($AR61&amp;"|"&amp;X$5,INDIRECT("'"&amp;$B61&amp;"'!$AF$6:$AF$205"),0))),"-"))</f>
        <v/>
      </c>
      <c r="Y61" s="38">
        <f>IF(OR(AP61="",Y$5="-"),"",IFERROR(IF(INDEX(INDIRECT("'"&amp;$B61&amp;"'!$T$6:$T$205"),MATCH($AR61&amp;"|"&amp;Y$5,INDIRECT("'"&amp;$B61&amp;"'!$AF$6:$AF$205"),0))="","",INDEX(INDIRECT("'"&amp;$B61&amp;"'!$T$6:$T$205"),MATCH($AR61&amp;"|"&amp;Y$5,INDIRECT("'"&amp;$B61&amp;"'!$AF$6:$AF$205"),0))),"-"))</f>
        <v/>
      </c>
      <c r="Z61" s="38">
        <f>IF(OR(AP61="",Z$5="-"),"",IFERROR(IF(INDEX(INDIRECT("'"&amp;$B61&amp;"'!$T$6:$T$205"),MATCH($AR61&amp;"|"&amp;Z$5,INDIRECT("'"&amp;$B61&amp;"'!$AF$6:$AF$205"),0))="","",INDEX(INDIRECT("'"&amp;$B61&amp;"'!$T$6:$T$205"),MATCH($AR61&amp;"|"&amp;Z$5,INDIRECT("'"&amp;$B61&amp;"'!$AF$6:$AF$205"),0))),"-"))</f>
        <v/>
      </c>
      <c r="AA61" s="38">
        <f>IF(OR(AP61="",AA$5="-"),"",IFERROR(IF(INDEX(INDIRECT("'"&amp;$B61&amp;"'!$T$6:$T$205"),MATCH($AR61&amp;"|"&amp;AA$5,INDIRECT("'"&amp;$B61&amp;"'!$AF$6:$AF$205"),0))="","",INDEX(INDIRECT("'"&amp;$B61&amp;"'!$T$6:$T$205"),MATCH($AR61&amp;"|"&amp;AA$5,INDIRECT("'"&amp;$B61&amp;"'!$AF$6:$AF$205"),0))),"-"))</f>
        <v/>
      </c>
      <c r="AB61" s="38">
        <f>IF(OR(AP61="",AB$5="-"),"",IFERROR(IF(INDEX(INDIRECT("'"&amp;$B61&amp;"'!$T$6:$T$205"),MATCH($AR61&amp;"|"&amp;AB$5,INDIRECT("'"&amp;$B61&amp;"'!$AF$6:$AF$205"),0))="","",INDEX(INDIRECT("'"&amp;$B61&amp;"'!$T$6:$T$205"),MATCH($AR61&amp;"|"&amp;AB$5,INDIRECT("'"&amp;$B61&amp;"'!$AF$6:$AF$205"),0))),"-"))</f>
        <v/>
      </c>
      <c r="AC61" s="38">
        <f>IF(OR(AP61="",AC$5="-"),"",IFERROR(IF(INDEX(INDIRECT("'"&amp;$B61&amp;"'!$T$6:$T$205"),MATCH($AR61&amp;"|"&amp;AC$5,INDIRECT("'"&amp;$B61&amp;"'!$AF$6:$AF$205"),0))="","",INDEX(INDIRECT("'"&amp;$B61&amp;"'!$T$6:$T$205"),MATCH($AR61&amp;"|"&amp;AC$5,INDIRECT("'"&amp;$B61&amp;"'!$AF$6:$AF$205"),0))),"-"))</f>
        <v/>
      </c>
      <c r="AD61" s="38">
        <f>IF(OR(AP61="",AD$5="-"),"",IFERROR(IF(INDEX(INDIRECT("'"&amp;$B61&amp;"'!$T$6:$T$205"),MATCH($AR61&amp;"|"&amp;AD$5,INDIRECT("'"&amp;$B61&amp;"'!$AF$6:$AF$205"),0))="","",INDEX(INDIRECT("'"&amp;$B61&amp;"'!$T$6:$T$205"),MATCH($AR61&amp;"|"&amp;AD$5,INDIRECT("'"&amp;$B61&amp;"'!$AF$6:$AF$205"),0))),"-"))</f>
        <v/>
      </c>
      <c r="AE61" s="38">
        <f>IF(OR(AP61="",AE$5="-"),"",IFERROR(IF(INDEX(INDIRECT("'"&amp;$B61&amp;"'!$T$6:$T$205"),MATCH($AR61&amp;"|"&amp;AE$5,INDIRECT("'"&amp;$B61&amp;"'!$AF$6:$AF$205"),0))="","",INDEX(INDIRECT("'"&amp;$B61&amp;"'!$T$6:$T$205"),MATCH($AR61&amp;"|"&amp;AE$5,INDIRECT("'"&amp;$B61&amp;"'!$AF$6:$AF$205"),0))),"-"))</f>
        <v/>
      </c>
      <c r="AF61" s="35">
        <f>IF(AG61="","",INDEX($P$5:$W$5,MATCH(AG61,P61:W61,0)))</f>
        <v/>
      </c>
      <c r="AG61" s="37">
        <f>IF(COUNT(P61:W61)=0,"",MIN(P61:W61))</f>
        <v/>
      </c>
      <c r="AH61" s="39">
        <f>IF(AG61="","",AG61*F61)</f>
        <v/>
      </c>
      <c r="AI61" s="39">
        <f>IF(COUNT(P61:W61)&lt;2,"",(MAX(P61:W61)-MIN(P61:W61))*F61)</f>
        <v/>
      </c>
      <c r="AJ61" s="20" t="n"/>
      <c r="AP61">
        <f>IF(56&gt;MAX($AN$6:$AN$9),"",COUNTIF($AN$6:$AN$9,"&lt;"&amp;56)+1)</f>
        <v/>
      </c>
      <c r="AQ61">
        <f>IF(AP61="","",56-INDEX($AO$6:$AO$9,AP61))</f>
        <v/>
      </c>
      <c r="AR61">
        <f>IF(AP61="","",INDEX(INDIRECT("'"&amp;$B61&amp;"'!$AE$6:$AE$205"),MATCH(AQ61,INDIRECT("'"&amp;$B61&amp;"'!$AI$6:$AI$205"),0)))</f>
        <v/>
      </c>
    </row>
    <row r="62">
      <c r="A62" s="34">
        <f>IF(AP62="","",57)</f>
        <v/>
      </c>
      <c r="B62" s="35">
        <f>IF(AP62="","",INDEX($AL$6:$AL$9,AP62))</f>
        <v/>
      </c>
      <c r="C62" s="34">
        <f>IF(AP62="","",INDEX(INDIRECT("'"&amp;$B62&amp;"'!$B$6:$B$205"),MATCH($AR62,INDIRECT("'"&amp;$B62&amp;"'!$AE$6:$AE$205"),0)))</f>
        <v/>
      </c>
      <c r="D62" s="34">
        <f>IF(AP62="","",INDEX(INDIRECT("'"&amp;$B62&amp;"'!$D$6:$D$205"),MATCH($AR62,INDIRECT("'"&amp;$B62&amp;"'!$AE$6:$AE$205"),0)))</f>
        <v/>
      </c>
      <c r="E62" s="36">
        <f>IF(AP62="","",INDEX(INDIRECT("'"&amp;$B62&amp;"'!$F$6:$F$205"),MATCH($AR62,INDIRECT("'"&amp;$B62&amp;"'!$AE$6:$AE$205"),0)))</f>
        <v/>
      </c>
      <c r="F62" s="34">
        <f>IF(AP62="","",INDEX(INDIRECT("'"&amp;$B62&amp;"'!$K$6:$K$205"),MATCH($AR62,INDIRECT("'"&amp;$B62&amp;"'!$AE$6:$AE$205"),0)))</f>
        <v/>
      </c>
      <c r="G62" s="34">
        <f>IF(AP62="","",INDEX(INDIRECT("'"&amp;$B62&amp;"'!$L$6:$L$205"),MATCH($AR62,INDIRECT("'"&amp;$B62&amp;"'!$AE$6:$AE$205"),0)))</f>
        <v/>
      </c>
      <c r="H62" s="34">
        <f>IF(OR(AP62="",H$5="-"),"",IFERROR(IF(INDEX(INDIRECT("'"&amp;$B62&amp;"'!$N$6:$N$205"),MATCH($AR62&amp;"|"&amp;H$5,INDIRECT("'"&amp;$B62&amp;"'!$AF$6:$AF$205"),0))="","",INDEX(INDIRECT("'"&amp;$B62&amp;"'!$N$6:$N$205"),MATCH($AR62&amp;"|"&amp;H$5,INDIRECT("'"&amp;$B62&amp;"'!$AF$6:$AF$205"),0))),"-"))</f>
        <v/>
      </c>
      <c r="I62" s="34">
        <f>IF(OR(AP62="",I$5="-"),"",IFERROR(IF(INDEX(INDIRECT("'"&amp;$B62&amp;"'!$N$6:$N$205"),MATCH($AR62&amp;"|"&amp;I$5,INDIRECT("'"&amp;$B62&amp;"'!$AF$6:$AF$205"),0))="","",INDEX(INDIRECT("'"&amp;$B62&amp;"'!$N$6:$N$205"),MATCH($AR62&amp;"|"&amp;I$5,INDIRECT("'"&amp;$B62&amp;"'!$AF$6:$AF$205"),0))),"-"))</f>
        <v/>
      </c>
      <c r="J62" s="34">
        <f>IF(OR(AP62="",J$5="-"),"",IFERROR(IF(INDEX(INDIRECT("'"&amp;$B62&amp;"'!$N$6:$N$205"),MATCH($AR62&amp;"|"&amp;J$5,INDIRECT("'"&amp;$B62&amp;"'!$AF$6:$AF$205"),0))="","",INDEX(INDIRECT("'"&amp;$B62&amp;"'!$N$6:$N$205"),MATCH($AR62&amp;"|"&amp;J$5,INDIRECT("'"&amp;$B62&amp;"'!$AF$6:$AF$205"),0))),"-"))</f>
        <v/>
      </c>
      <c r="K62" s="34">
        <f>IF(OR(AP62="",K$5="-"),"",IFERROR(IF(INDEX(INDIRECT("'"&amp;$B62&amp;"'!$N$6:$N$205"),MATCH($AR62&amp;"|"&amp;K$5,INDIRECT("'"&amp;$B62&amp;"'!$AF$6:$AF$205"),0))="","",INDEX(INDIRECT("'"&amp;$B62&amp;"'!$N$6:$N$205"),MATCH($AR62&amp;"|"&amp;K$5,INDIRECT("'"&amp;$B62&amp;"'!$AF$6:$AF$205"),0))),"-"))</f>
        <v/>
      </c>
      <c r="L62" s="34">
        <f>IF(OR(AP62="",L$5="-"),"",IFERROR(IF(INDEX(INDIRECT("'"&amp;$B62&amp;"'!$N$6:$N$205"),MATCH($AR62&amp;"|"&amp;L$5,INDIRECT("'"&amp;$B62&amp;"'!$AF$6:$AF$205"),0))="","",INDEX(INDIRECT("'"&amp;$B62&amp;"'!$N$6:$N$205"),MATCH($AR62&amp;"|"&amp;L$5,INDIRECT("'"&amp;$B62&amp;"'!$AF$6:$AF$205"),0))),"-"))</f>
        <v/>
      </c>
      <c r="M62" s="34">
        <f>IF(OR(AP62="",M$5="-"),"",IFERROR(IF(INDEX(INDIRECT("'"&amp;$B62&amp;"'!$N$6:$N$205"),MATCH($AR62&amp;"|"&amp;M$5,INDIRECT("'"&amp;$B62&amp;"'!$AF$6:$AF$205"),0))="","",INDEX(INDIRECT("'"&amp;$B62&amp;"'!$N$6:$N$205"),MATCH($AR62&amp;"|"&amp;M$5,INDIRECT("'"&amp;$B62&amp;"'!$AF$6:$AF$205"),0))),"-"))</f>
        <v/>
      </c>
      <c r="N62" s="34">
        <f>IF(OR(AP62="",N$5="-"),"",IFERROR(IF(INDEX(INDIRECT("'"&amp;$B62&amp;"'!$N$6:$N$205"),MATCH($AR62&amp;"|"&amp;N$5,INDIRECT("'"&amp;$B62&amp;"'!$AF$6:$AF$205"),0))="","",INDEX(INDIRECT("'"&amp;$B62&amp;"'!$N$6:$N$205"),MATCH($AR62&amp;"|"&amp;N$5,INDIRECT("'"&amp;$B62&amp;"'!$AF$6:$AF$205"),0))),"-"))</f>
        <v/>
      </c>
      <c r="O62" s="34">
        <f>IF(OR(AP62="",O$5="-"),"",IFERROR(IF(INDEX(INDIRECT("'"&amp;$B62&amp;"'!$N$6:$N$205"),MATCH($AR62&amp;"|"&amp;O$5,INDIRECT("'"&amp;$B62&amp;"'!$AF$6:$AF$205"),0))="","",INDEX(INDIRECT("'"&amp;$B62&amp;"'!$N$6:$N$205"),MATCH($AR62&amp;"|"&amp;O$5,INDIRECT("'"&amp;$B62&amp;"'!$AF$6:$AF$205"),0))),"-"))</f>
        <v/>
      </c>
      <c r="P62" s="37">
        <f>IF(OR(AP62="",P$5="-"),"",IFERROR(IF(INDEX(INDIRECT("'"&amp;$B62&amp;"'!$R$6:$R$205"),MATCH($AR62&amp;"|"&amp;P$5,INDIRECT("'"&amp;$B62&amp;"'!$AF$6:$AF$205"),0))="","",INDEX(INDIRECT("'"&amp;$B62&amp;"'!$R$6:$R$205"),MATCH($AR62&amp;"|"&amp;P$5,INDIRECT("'"&amp;$B62&amp;"'!$AF$6:$AF$205"),0))),"-"))</f>
        <v/>
      </c>
      <c r="Q62" s="37">
        <f>IF(OR(AP62="",Q$5="-"),"",IFERROR(IF(INDEX(INDIRECT("'"&amp;$B62&amp;"'!$R$6:$R$205"),MATCH($AR62&amp;"|"&amp;Q$5,INDIRECT("'"&amp;$B62&amp;"'!$AF$6:$AF$205"),0))="","",INDEX(INDIRECT("'"&amp;$B62&amp;"'!$R$6:$R$205"),MATCH($AR62&amp;"|"&amp;Q$5,INDIRECT("'"&amp;$B62&amp;"'!$AF$6:$AF$205"),0))),"-"))</f>
        <v/>
      </c>
      <c r="R62" s="37">
        <f>IF(OR(AP62="",R$5="-"),"",IFERROR(IF(INDEX(INDIRECT("'"&amp;$B62&amp;"'!$R$6:$R$205"),MATCH($AR62&amp;"|"&amp;R$5,INDIRECT("'"&amp;$B62&amp;"'!$AF$6:$AF$205"),0))="","",INDEX(INDIRECT("'"&amp;$B62&amp;"'!$R$6:$R$205"),MATCH($AR62&amp;"|"&amp;R$5,INDIRECT("'"&amp;$B62&amp;"'!$AF$6:$AF$205"),0))),"-"))</f>
        <v/>
      </c>
      <c r="S62" s="37">
        <f>IF(OR(AP62="",S$5="-"),"",IFERROR(IF(INDEX(INDIRECT("'"&amp;$B62&amp;"'!$R$6:$R$205"),MATCH($AR62&amp;"|"&amp;S$5,INDIRECT("'"&amp;$B62&amp;"'!$AF$6:$AF$205"),0))="","",INDEX(INDIRECT("'"&amp;$B62&amp;"'!$R$6:$R$205"),MATCH($AR62&amp;"|"&amp;S$5,INDIRECT("'"&amp;$B62&amp;"'!$AF$6:$AF$205"),0))),"-"))</f>
        <v/>
      </c>
      <c r="T62" s="37">
        <f>IF(OR(AP62="",T$5="-"),"",IFERROR(IF(INDEX(INDIRECT("'"&amp;$B62&amp;"'!$R$6:$R$205"),MATCH($AR62&amp;"|"&amp;T$5,INDIRECT("'"&amp;$B62&amp;"'!$AF$6:$AF$205"),0))="","",INDEX(INDIRECT("'"&amp;$B62&amp;"'!$R$6:$R$205"),MATCH($AR62&amp;"|"&amp;T$5,INDIRECT("'"&amp;$B62&amp;"'!$AF$6:$AF$205"),0))),"-"))</f>
        <v/>
      </c>
      <c r="U62" s="37">
        <f>IF(OR(AP62="",U$5="-"),"",IFERROR(IF(INDEX(INDIRECT("'"&amp;$B62&amp;"'!$R$6:$R$205"),MATCH($AR62&amp;"|"&amp;U$5,INDIRECT("'"&amp;$B62&amp;"'!$AF$6:$AF$205"),0))="","",INDEX(INDIRECT("'"&amp;$B62&amp;"'!$R$6:$R$205"),MATCH($AR62&amp;"|"&amp;U$5,INDIRECT("'"&amp;$B62&amp;"'!$AF$6:$AF$205"),0))),"-"))</f>
        <v/>
      </c>
      <c r="V62" s="37">
        <f>IF(OR(AP62="",V$5="-"),"",IFERROR(IF(INDEX(INDIRECT("'"&amp;$B62&amp;"'!$R$6:$R$205"),MATCH($AR62&amp;"|"&amp;V$5,INDIRECT("'"&amp;$B62&amp;"'!$AF$6:$AF$205"),0))="","",INDEX(INDIRECT("'"&amp;$B62&amp;"'!$R$6:$R$205"),MATCH($AR62&amp;"|"&amp;V$5,INDIRECT("'"&amp;$B62&amp;"'!$AF$6:$AF$205"),0))),"-"))</f>
        <v/>
      </c>
      <c r="W62" s="37">
        <f>IF(OR(AP62="",W$5="-"),"",IFERROR(IF(INDEX(INDIRECT("'"&amp;$B62&amp;"'!$R$6:$R$205"),MATCH($AR62&amp;"|"&amp;W$5,INDIRECT("'"&amp;$B62&amp;"'!$AF$6:$AF$205"),0))="","",INDEX(INDIRECT("'"&amp;$B62&amp;"'!$R$6:$R$205"),MATCH($AR62&amp;"|"&amp;W$5,INDIRECT("'"&amp;$B62&amp;"'!$AF$6:$AF$205"),0))),"-"))</f>
        <v/>
      </c>
      <c r="X62" s="38">
        <f>IF(OR(AP62="",X$5="-"),"",IFERROR(IF(INDEX(INDIRECT("'"&amp;$B62&amp;"'!$T$6:$T$205"),MATCH($AR62&amp;"|"&amp;X$5,INDIRECT("'"&amp;$B62&amp;"'!$AF$6:$AF$205"),0))="","",INDEX(INDIRECT("'"&amp;$B62&amp;"'!$T$6:$T$205"),MATCH($AR62&amp;"|"&amp;X$5,INDIRECT("'"&amp;$B62&amp;"'!$AF$6:$AF$205"),0))),"-"))</f>
        <v/>
      </c>
      <c r="Y62" s="38">
        <f>IF(OR(AP62="",Y$5="-"),"",IFERROR(IF(INDEX(INDIRECT("'"&amp;$B62&amp;"'!$T$6:$T$205"),MATCH($AR62&amp;"|"&amp;Y$5,INDIRECT("'"&amp;$B62&amp;"'!$AF$6:$AF$205"),0))="","",INDEX(INDIRECT("'"&amp;$B62&amp;"'!$T$6:$T$205"),MATCH($AR62&amp;"|"&amp;Y$5,INDIRECT("'"&amp;$B62&amp;"'!$AF$6:$AF$205"),0))),"-"))</f>
        <v/>
      </c>
      <c r="Z62" s="38">
        <f>IF(OR(AP62="",Z$5="-"),"",IFERROR(IF(INDEX(INDIRECT("'"&amp;$B62&amp;"'!$T$6:$T$205"),MATCH($AR62&amp;"|"&amp;Z$5,INDIRECT("'"&amp;$B62&amp;"'!$AF$6:$AF$205"),0))="","",INDEX(INDIRECT("'"&amp;$B62&amp;"'!$T$6:$T$205"),MATCH($AR62&amp;"|"&amp;Z$5,INDIRECT("'"&amp;$B62&amp;"'!$AF$6:$AF$205"),0))),"-"))</f>
        <v/>
      </c>
      <c r="AA62" s="38">
        <f>IF(OR(AP62="",AA$5="-"),"",IFERROR(IF(INDEX(INDIRECT("'"&amp;$B62&amp;"'!$T$6:$T$205"),MATCH($AR62&amp;"|"&amp;AA$5,INDIRECT("'"&amp;$B62&amp;"'!$AF$6:$AF$205"),0))="","",INDEX(INDIRECT("'"&amp;$B62&amp;"'!$T$6:$T$205"),MATCH($AR62&amp;"|"&amp;AA$5,INDIRECT("'"&amp;$B62&amp;"'!$AF$6:$AF$205"),0))),"-"))</f>
        <v/>
      </c>
      <c r="AB62" s="38">
        <f>IF(OR(AP62="",AB$5="-"),"",IFERROR(IF(INDEX(INDIRECT("'"&amp;$B62&amp;"'!$T$6:$T$205"),MATCH($AR62&amp;"|"&amp;AB$5,INDIRECT("'"&amp;$B62&amp;"'!$AF$6:$AF$205"),0))="","",INDEX(INDIRECT("'"&amp;$B62&amp;"'!$T$6:$T$205"),MATCH($AR62&amp;"|"&amp;AB$5,INDIRECT("'"&amp;$B62&amp;"'!$AF$6:$AF$205"),0))),"-"))</f>
        <v/>
      </c>
      <c r="AC62" s="38">
        <f>IF(OR(AP62="",AC$5="-"),"",IFERROR(IF(INDEX(INDIRECT("'"&amp;$B62&amp;"'!$T$6:$T$205"),MATCH($AR62&amp;"|"&amp;AC$5,INDIRECT("'"&amp;$B62&amp;"'!$AF$6:$AF$205"),0))="","",INDEX(INDIRECT("'"&amp;$B62&amp;"'!$T$6:$T$205"),MATCH($AR62&amp;"|"&amp;AC$5,INDIRECT("'"&amp;$B62&amp;"'!$AF$6:$AF$205"),0))),"-"))</f>
        <v/>
      </c>
      <c r="AD62" s="38">
        <f>IF(OR(AP62="",AD$5="-"),"",IFERROR(IF(INDEX(INDIRECT("'"&amp;$B62&amp;"'!$T$6:$T$205"),MATCH($AR62&amp;"|"&amp;AD$5,INDIRECT("'"&amp;$B62&amp;"'!$AF$6:$AF$205"),0))="","",INDEX(INDIRECT("'"&amp;$B62&amp;"'!$T$6:$T$205"),MATCH($AR62&amp;"|"&amp;AD$5,INDIRECT("'"&amp;$B62&amp;"'!$AF$6:$AF$205"),0))),"-"))</f>
        <v/>
      </c>
      <c r="AE62" s="38">
        <f>IF(OR(AP62="",AE$5="-"),"",IFERROR(IF(INDEX(INDIRECT("'"&amp;$B62&amp;"'!$T$6:$T$205"),MATCH($AR62&amp;"|"&amp;AE$5,INDIRECT("'"&amp;$B62&amp;"'!$AF$6:$AF$205"),0))="","",INDEX(INDIRECT("'"&amp;$B62&amp;"'!$T$6:$T$205"),MATCH($AR62&amp;"|"&amp;AE$5,INDIRECT("'"&amp;$B62&amp;"'!$AF$6:$AF$205"),0))),"-"))</f>
        <v/>
      </c>
      <c r="AF62" s="35">
        <f>IF(AG62="","",INDEX($P$5:$W$5,MATCH(AG62,P62:W62,0)))</f>
        <v/>
      </c>
      <c r="AG62" s="37">
        <f>IF(COUNT(P62:W62)=0,"",MIN(P62:W62))</f>
        <v/>
      </c>
      <c r="AH62" s="39">
        <f>IF(AG62="","",AG62*F62)</f>
        <v/>
      </c>
      <c r="AI62" s="39">
        <f>IF(COUNT(P62:W62)&lt;2,"",(MAX(P62:W62)-MIN(P62:W62))*F62)</f>
        <v/>
      </c>
      <c r="AJ62" s="20" t="n"/>
      <c r="AP62">
        <f>IF(57&gt;MAX($AN$6:$AN$9),"",COUNTIF($AN$6:$AN$9,"&lt;"&amp;57)+1)</f>
        <v/>
      </c>
      <c r="AQ62">
        <f>IF(AP62="","",57-INDEX($AO$6:$AO$9,AP62))</f>
        <v/>
      </c>
      <c r="AR62">
        <f>IF(AP62="","",INDEX(INDIRECT("'"&amp;$B62&amp;"'!$AE$6:$AE$205"),MATCH(AQ62,INDIRECT("'"&amp;$B62&amp;"'!$AI$6:$AI$205"),0)))</f>
        <v/>
      </c>
    </row>
    <row r="63">
      <c r="A63" s="34">
        <f>IF(AP63="","",58)</f>
        <v/>
      </c>
      <c r="B63" s="35">
        <f>IF(AP63="","",INDEX($AL$6:$AL$9,AP63))</f>
        <v/>
      </c>
      <c r="C63" s="34">
        <f>IF(AP63="","",INDEX(INDIRECT("'"&amp;$B63&amp;"'!$B$6:$B$205"),MATCH($AR63,INDIRECT("'"&amp;$B63&amp;"'!$AE$6:$AE$205"),0)))</f>
        <v/>
      </c>
      <c r="D63" s="34">
        <f>IF(AP63="","",INDEX(INDIRECT("'"&amp;$B63&amp;"'!$D$6:$D$205"),MATCH($AR63,INDIRECT("'"&amp;$B63&amp;"'!$AE$6:$AE$205"),0)))</f>
        <v/>
      </c>
      <c r="E63" s="36">
        <f>IF(AP63="","",INDEX(INDIRECT("'"&amp;$B63&amp;"'!$F$6:$F$205"),MATCH($AR63,INDIRECT("'"&amp;$B63&amp;"'!$AE$6:$AE$205"),0)))</f>
        <v/>
      </c>
      <c r="F63" s="34">
        <f>IF(AP63="","",INDEX(INDIRECT("'"&amp;$B63&amp;"'!$K$6:$K$205"),MATCH($AR63,INDIRECT("'"&amp;$B63&amp;"'!$AE$6:$AE$205"),0)))</f>
        <v/>
      </c>
      <c r="G63" s="34">
        <f>IF(AP63="","",INDEX(INDIRECT("'"&amp;$B63&amp;"'!$L$6:$L$205"),MATCH($AR63,INDIRECT("'"&amp;$B63&amp;"'!$AE$6:$AE$205"),0)))</f>
        <v/>
      </c>
      <c r="H63" s="34">
        <f>IF(OR(AP63="",H$5="-"),"",IFERROR(IF(INDEX(INDIRECT("'"&amp;$B63&amp;"'!$N$6:$N$205"),MATCH($AR63&amp;"|"&amp;H$5,INDIRECT("'"&amp;$B63&amp;"'!$AF$6:$AF$205"),0))="","",INDEX(INDIRECT("'"&amp;$B63&amp;"'!$N$6:$N$205"),MATCH($AR63&amp;"|"&amp;H$5,INDIRECT("'"&amp;$B63&amp;"'!$AF$6:$AF$205"),0))),"-"))</f>
        <v/>
      </c>
      <c r="I63" s="34">
        <f>IF(OR(AP63="",I$5="-"),"",IFERROR(IF(INDEX(INDIRECT("'"&amp;$B63&amp;"'!$N$6:$N$205"),MATCH($AR63&amp;"|"&amp;I$5,INDIRECT("'"&amp;$B63&amp;"'!$AF$6:$AF$205"),0))="","",INDEX(INDIRECT("'"&amp;$B63&amp;"'!$N$6:$N$205"),MATCH($AR63&amp;"|"&amp;I$5,INDIRECT("'"&amp;$B63&amp;"'!$AF$6:$AF$205"),0))),"-"))</f>
        <v/>
      </c>
      <c r="J63" s="34">
        <f>IF(OR(AP63="",J$5="-"),"",IFERROR(IF(INDEX(INDIRECT("'"&amp;$B63&amp;"'!$N$6:$N$205"),MATCH($AR63&amp;"|"&amp;J$5,INDIRECT("'"&amp;$B63&amp;"'!$AF$6:$AF$205"),0))="","",INDEX(INDIRECT("'"&amp;$B63&amp;"'!$N$6:$N$205"),MATCH($AR63&amp;"|"&amp;J$5,INDIRECT("'"&amp;$B63&amp;"'!$AF$6:$AF$205"),0))),"-"))</f>
        <v/>
      </c>
      <c r="K63" s="34">
        <f>IF(OR(AP63="",K$5="-"),"",IFERROR(IF(INDEX(INDIRECT("'"&amp;$B63&amp;"'!$N$6:$N$205"),MATCH($AR63&amp;"|"&amp;K$5,INDIRECT("'"&amp;$B63&amp;"'!$AF$6:$AF$205"),0))="","",INDEX(INDIRECT("'"&amp;$B63&amp;"'!$N$6:$N$205"),MATCH($AR63&amp;"|"&amp;K$5,INDIRECT("'"&amp;$B63&amp;"'!$AF$6:$AF$205"),0))),"-"))</f>
        <v/>
      </c>
      <c r="L63" s="34">
        <f>IF(OR(AP63="",L$5="-"),"",IFERROR(IF(INDEX(INDIRECT("'"&amp;$B63&amp;"'!$N$6:$N$205"),MATCH($AR63&amp;"|"&amp;L$5,INDIRECT("'"&amp;$B63&amp;"'!$AF$6:$AF$205"),0))="","",INDEX(INDIRECT("'"&amp;$B63&amp;"'!$N$6:$N$205"),MATCH($AR63&amp;"|"&amp;L$5,INDIRECT("'"&amp;$B63&amp;"'!$AF$6:$AF$205"),0))),"-"))</f>
        <v/>
      </c>
      <c r="M63" s="34">
        <f>IF(OR(AP63="",M$5="-"),"",IFERROR(IF(INDEX(INDIRECT("'"&amp;$B63&amp;"'!$N$6:$N$205"),MATCH($AR63&amp;"|"&amp;M$5,INDIRECT("'"&amp;$B63&amp;"'!$AF$6:$AF$205"),0))="","",INDEX(INDIRECT("'"&amp;$B63&amp;"'!$N$6:$N$205"),MATCH($AR63&amp;"|"&amp;M$5,INDIRECT("'"&amp;$B63&amp;"'!$AF$6:$AF$205"),0))),"-"))</f>
        <v/>
      </c>
      <c r="N63" s="34">
        <f>IF(OR(AP63="",N$5="-"),"",IFERROR(IF(INDEX(INDIRECT("'"&amp;$B63&amp;"'!$N$6:$N$205"),MATCH($AR63&amp;"|"&amp;N$5,INDIRECT("'"&amp;$B63&amp;"'!$AF$6:$AF$205"),0))="","",INDEX(INDIRECT("'"&amp;$B63&amp;"'!$N$6:$N$205"),MATCH($AR63&amp;"|"&amp;N$5,INDIRECT("'"&amp;$B63&amp;"'!$AF$6:$AF$205"),0))),"-"))</f>
        <v/>
      </c>
      <c r="O63" s="34">
        <f>IF(OR(AP63="",O$5="-"),"",IFERROR(IF(INDEX(INDIRECT("'"&amp;$B63&amp;"'!$N$6:$N$205"),MATCH($AR63&amp;"|"&amp;O$5,INDIRECT("'"&amp;$B63&amp;"'!$AF$6:$AF$205"),0))="","",INDEX(INDIRECT("'"&amp;$B63&amp;"'!$N$6:$N$205"),MATCH($AR63&amp;"|"&amp;O$5,INDIRECT("'"&amp;$B63&amp;"'!$AF$6:$AF$205"),0))),"-"))</f>
        <v/>
      </c>
      <c r="P63" s="37">
        <f>IF(OR(AP63="",P$5="-"),"",IFERROR(IF(INDEX(INDIRECT("'"&amp;$B63&amp;"'!$R$6:$R$205"),MATCH($AR63&amp;"|"&amp;P$5,INDIRECT("'"&amp;$B63&amp;"'!$AF$6:$AF$205"),0))="","",INDEX(INDIRECT("'"&amp;$B63&amp;"'!$R$6:$R$205"),MATCH($AR63&amp;"|"&amp;P$5,INDIRECT("'"&amp;$B63&amp;"'!$AF$6:$AF$205"),0))),"-"))</f>
        <v/>
      </c>
      <c r="Q63" s="37">
        <f>IF(OR(AP63="",Q$5="-"),"",IFERROR(IF(INDEX(INDIRECT("'"&amp;$B63&amp;"'!$R$6:$R$205"),MATCH($AR63&amp;"|"&amp;Q$5,INDIRECT("'"&amp;$B63&amp;"'!$AF$6:$AF$205"),0))="","",INDEX(INDIRECT("'"&amp;$B63&amp;"'!$R$6:$R$205"),MATCH($AR63&amp;"|"&amp;Q$5,INDIRECT("'"&amp;$B63&amp;"'!$AF$6:$AF$205"),0))),"-"))</f>
        <v/>
      </c>
      <c r="R63" s="37">
        <f>IF(OR(AP63="",R$5="-"),"",IFERROR(IF(INDEX(INDIRECT("'"&amp;$B63&amp;"'!$R$6:$R$205"),MATCH($AR63&amp;"|"&amp;R$5,INDIRECT("'"&amp;$B63&amp;"'!$AF$6:$AF$205"),0))="","",INDEX(INDIRECT("'"&amp;$B63&amp;"'!$R$6:$R$205"),MATCH($AR63&amp;"|"&amp;R$5,INDIRECT("'"&amp;$B63&amp;"'!$AF$6:$AF$205"),0))),"-"))</f>
        <v/>
      </c>
      <c r="S63" s="37">
        <f>IF(OR(AP63="",S$5="-"),"",IFERROR(IF(INDEX(INDIRECT("'"&amp;$B63&amp;"'!$R$6:$R$205"),MATCH($AR63&amp;"|"&amp;S$5,INDIRECT("'"&amp;$B63&amp;"'!$AF$6:$AF$205"),0))="","",INDEX(INDIRECT("'"&amp;$B63&amp;"'!$R$6:$R$205"),MATCH($AR63&amp;"|"&amp;S$5,INDIRECT("'"&amp;$B63&amp;"'!$AF$6:$AF$205"),0))),"-"))</f>
        <v/>
      </c>
      <c r="T63" s="37">
        <f>IF(OR(AP63="",T$5="-"),"",IFERROR(IF(INDEX(INDIRECT("'"&amp;$B63&amp;"'!$R$6:$R$205"),MATCH($AR63&amp;"|"&amp;T$5,INDIRECT("'"&amp;$B63&amp;"'!$AF$6:$AF$205"),0))="","",INDEX(INDIRECT("'"&amp;$B63&amp;"'!$R$6:$R$205"),MATCH($AR63&amp;"|"&amp;T$5,INDIRECT("'"&amp;$B63&amp;"'!$AF$6:$AF$205"),0))),"-"))</f>
        <v/>
      </c>
      <c r="U63" s="37">
        <f>IF(OR(AP63="",U$5="-"),"",IFERROR(IF(INDEX(INDIRECT("'"&amp;$B63&amp;"'!$R$6:$R$205"),MATCH($AR63&amp;"|"&amp;U$5,INDIRECT("'"&amp;$B63&amp;"'!$AF$6:$AF$205"),0))="","",INDEX(INDIRECT("'"&amp;$B63&amp;"'!$R$6:$R$205"),MATCH($AR63&amp;"|"&amp;U$5,INDIRECT("'"&amp;$B63&amp;"'!$AF$6:$AF$205"),0))),"-"))</f>
        <v/>
      </c>
      <c r="V63" s="37">
        <f>IF(OR(AP63="",V$5="-"),"",IFERROR(IF(INDEX(INDIRECT("'"&amp;$B63&amp;"'!$R$6:$R$205"),MATCH($AR63&amp;"|"&amp;V$5,INDIRECT("'"&amp;$B63&amp;"'!$AF$6:$AF$205"),0))="","",INDEX(INDIRECT("'"&amp;$B63&amp;"'!$R$6:$R$205"),MATCH($AR63&amp;"|"&amp;V$5,INDIRECT("'"&amp;$B63&amp;"'!$AF$6:$AF$205"),0))),"-"))</f>
        <v/>
      </c>
      <c r="W63" s="37">
        <f>IF(OR(AP63="",W$5="-"),"",IFERROR(IF(INDEX(INDIRECT("'"&amp;$B63&amp;"'!$R$6:$R$205"),MATCH($AR63&amp;"|"&amp;W$5,INDIRECT("'"&amp;$B63&amp;"'!$AF$6:$AF$205"),0))="","",INDEX(INDIRECT("'"&amp;$B63&amp;"'!$R$6:$R$205"),MATCH($AR63&amp;"|"&amp;W$5,INDIRECT("'"&amp;$B63&amp;"'!$AF$6:$AF$205"),0))),"-"))</f>
        <v/>
      </c>
      <c r="X63" s="38">
        <f>IF(OR(AP63="",X$5="-"),"",IFERROR(IF(INDEX(INDIRECT("'"&amp;$B63&amp;"'!$T$6:$T$205"),MATCH($AR63&amp;"|"&amp;X$5,INDIRECT("'"&amp;$B63&amp;"'!$AF$6:$AF$205"),0))="","",INDEX(INDIRECT("'"&amp;$B63&amp;"'!$T$6:$T$205"),MATCH($AR63&amp;"|"&amp;X$5,INDIRECT("'"&amp;$B63&amp;"'!$AF$6:$AF$205"),0))),"-"))</f>
        <v/>
      </c>
      <c r="Y63" s="38">
        <f>IF(OR(AP63="",Y$5="-"),"",IFERROR(IF(INDEX(INDIRECT("'"&amp;$B63&amp;"'!$T$6:$T$205"),MATCH($AR63&amp;"|"&amp;Y$5,INDIRECT("'"&amp;$B63&amp;"'!$AF$6:$AF$205"),0))="","",INDEX(INDIRECT("'"&amp;$B63&amp;"'!$T$6:$T$205"),MATCH($AR63&amp;"|"&amp;Y$5,INDIRECT("'"&amp;$B63&amp;"'!$AF$6:$AF$205"),0))),"-"))</f>
        <v/>
      </c>
      <c r="Z63" s="38">
        <f>IF(OR(AP63="",Z$5="-"),"",IFERROR(IF(INDEX(INDIRECT("'"&amp;$B63&amp;"'!$T$6:$T$205"),MATCH($AR63&amp;"|"&amp;Z$5,INDIRECT("'"&amp;$B63&amp;"'!$AF$6:$AF$205"),0))="","",INDEX(INDIRECT("'"&amp;$B63&amp;"'!$T$6:$T$205"),MATCH($AR63&amp;"|"&amp;Z$5,INDIRECT("'"&amp;$B63&amp;"'!$AF$6:$AF$205"),0))),"-"))</f>
        <v/>
      </c>
      <c r="AA63" s="38">
        <f>IF(OR(AP63="",AA$5="-"),"",IFERROR(IF(INDEX(INDIRECT("'"&amp;$B63&amp;"'!$T$6:$T$205"),MATCH($AR63&amp;"|"&amp;AA$5,INDIRECT("'"&amp;$B63&amp;"'!$AF$6:$AF$205"),0))="","",INDEX(INDIRECT("'"&amp;$B63&amp;"'!$T$6:$T$205"),MATCH($AR63&amp;"|"&amp;AA$5,INDIRECT("'"&amp;$B63&amp;"'!$AF$6:$AF$205"),0))),"-"))</f>
        <v/>
      </c>
      <c r="AB63" s="38">
        <f>IF(OR(AP63="",AB$5="-"),"",IFERROR(IF(INDEX(INDIRECT("'"&amp;$B63&amp;"'!$T$6:$T$205"),MATCH($AR63&amp;"|"&amp;AB$5,INDIRECT("'"&amp;$B63&amp;"'!$AF$6:$AF$205"),0))="","",INDEX(INDIRECT("'"&amp;$B63&amp;"'!$T$6:$T$205"),MATCH($AR63&amp;"|"&amp;AB$5,INDIRECT("'"&amp;$B63&amp;"'!$AF$6:$AF$205"),0))),"-"))</f>
        <v/>
      </c>
      <c r="AC63" s="38">
        <f>IF(OR(AP63="",AC$5="-"),"",IFERROR(IF(INDEX(INDIRECT("'"&amp;$B63&amp;"'!$T$6:$T$205"),MATCH($AR63&amp;"|"&amp;AC$5,INDIRECT("'"&amp;$B63&amp;"'!$AF$6:$AF$205"),0))="","",INDEX(INDIRECT("'"&amp;$B63&amp;"'!$T$6:$T$205"),MATCH($AR63&amp;"|"&amp;AC$5,INDIRECT("'"&amp;$B63&amp;"'!$AF$6:$AF$205"),0))),"-"))</f>
        <v/>
      </c>
      <c r="AD63" s="38">
        <f>IF(OR(AP63="",AD$5="-"),"",IFERROR(IF(INDEX(INDIRECT("'"&amp;$B63&amp;"'!$T$6:$T$205"),MATCH($AR63&amp;"|"&amp;AD$5,INDIRECT("'"&amp;$B63&amp;"'!$AF$6:$AF$205"),0))="","",INDEX(INDIRECT("'"&amp;$B63&amp;"'!$T$6:$T$205"),MATCH($AR63&amp;"|"&amp;AD$5,INDIRECT("'"&amp;$B63&amp;"'!$AF$6:$AF$205"),0))),"-"))</f>
        <v/>
      </c>
      <c r="AE63" s="38">
        <f>IF(OR(AP63="",AE$5="-"),"",IFERROR(IF(INDEX(INDIRECT("'"&amp;$B63&amp;"'!$T$6:$T$205"),MATCH($AR63&amp;"|"&amp;AE$5,INDIRECT("'"&amp;$B63&amp;"'!$AF$6:$AF$205"),0))="","",INDEX(INDIRECT("'"&amp;$B63&amp;"'!$T$6:$T$205"),MATCH($AR63&amp;"|"&amp;AE$5,INDIRECT("'"&amp;$B63&amp;"'!$AF$6:$AF$205"),0))),"-"))</f>
        <v/>
      </c>
      <c r="AF63" s="35">
        <f>IF(AG63="","",INDEX($P$5:$W$5,MATCH(AG63,P63:W63,0)))</f>
        <v/>
      </c>
      <c r="AG63" s="37">
        <f>IF(COUNT(P63:W63)=0,"",MIN(P63:W63))</f>
        <v/>
      </c>
      <c r="AH63" s="39">
        <f>IF(AG63="","",AG63*F63)</f>
        <v/>
      </c>
      <c r="AI63" s="39">
        <f>IF(COUNT(P63:W63)&lt;2,"",(MAX(P63:W63)-MIN(P63:W63))*F63)</f>
        <v/>
      </c>
      <c r="AJ63" s="20" t="n"/>
      <c r="AP63">
        <f>IF(58&gt;MAX($AN$6:$AN$9),"",COUNTIF($AN$6:$AN$9,"&lt;"&amp;58)+1)</f>
        <v/>
      </c>
      <c r="AQ63">
        <f>IF(AP63="","",58-INDEX($AO$6:$AO$9,AP63))</f>
        <v/>
      </c>
      <c r="AR63">
        <f>IF(AP63="","",INDEX(INDIRECT("'"&amp;$B63&amp;"'!$AE$6:$AE$205"),MATCH(AQ63,INDIRECT("'"&amp;$B63&amp;"'!$AI$6:$AI$205"),0)))</f>
        <v/>
      </c>
    </row>
    <row r="64">
      <c r="A64" s="34">
        <f>IF(AP64="","",59)</f>
        <v/>
      </c>
      <c r="B64" s="35">
        <f>IF(AP64="","",INDEX($AL$6:$AL$9,AP64))</f>
        <v/>
      </c>
      <c r="C64" s="34">
        <f>IF(AP64="","",INDEX(INDIRECT("'"&amp;$B64&amp;"'!$B$6:$B$205"),MATCH($AR64,INDIRECT("'"&amp;$B64&amp;"'!$AE$6:$AE$205"),0)))</f>
        <v/>
      </c>
      <c r="D64" s="34">
        <f>IF(AP64="","",INDEX(INDIRECT("'"&amp;$B64&amp;"'!$D$6:$D$205"),MATCH($AR64,INDIRECT("'"&amp;$B64&amp;"'!$AE$6:$AE$205"),0)))</f>
        <v/>
      </c>
      <c r="E64" s="36">
        <f>IF(AP64="","",INDEX(INDIRECT("'"&amp;$B64&amp;"'!$F$6:$F$205"),MATCH($AR64,INDIRECT("'"&amp;$B64&amp;"'!$AE$6:$AE$205"),0)))</f>
        <v/>
      </c>
      <c r="F64" s="34">
        <f>IF(AP64="","",INDEX(INDIRECT("'"&amp;$B64&amp;"'!$K$6:$K$205"),MATCH($AR64,INDIRECT("'"&amp;$B64&amp;"'!$AE$6:$AE$205"),0)))</f>
        <v/>
      </c>
      <c r="G64" s="34">
        <f>IF(AP64="","",INDEX(INDIRECT("'"&amp;$B64&amp;"'!$L$6:$L$205"),MATCH($AR64,INDIRECT("'"&amp;$B64&amp;"'!$AE$6:$AE$205"),0)))</f>
        <v/>
      </c>
      <c r="H64" s="34">
        <f>IF(OR(AP64="",H$5="-"),"",IFERROR(IF(INDEX(INDIRECT("'"&amp;$B64&amp;"'!$N$6:$N$205"),MATCH($AR64&amp;"|"&amp;H$5,INDIRECT("'"&amp;$B64&amp;"'!$AF$6:$AF$205"),0))="","",INDEX(INDIRECT("'"&amp;$B64&amp;"'!$N$6:$N$205"),MATCH($AR64&amp;"|"&amp;H$5,INDIRECT("'"&amp;$B64&amp;"'!$AF$6:$AF$205"),0))),"-"))</f>
        <v/>
      </c>
      <c r="I64" s="34">
        <f>IF(OR(AP64="",I$5="-"),"",IFERROR(IF(INDEX(INDIRECT("'"&amp;$B64&amp;"'!$N$6:$N$205"),MATCH($AR64&amp;"|"&amp;I$5,INDIRECT("'"&amp;$B64&amp;"'!$AF$6:$AF$205"),0))="","",INDEX(INDIRECT("'"&amp;$B64&amp;"'!$N$6:$N$205"),MATCH($AR64&amp;"|"&amp;I$5,INDIRECT("'"&amp;$B64&amp;"'!$AF$6:$AF$205"),0))),"-"))</f>
        <v/>
      </c>
      <c r="J64" s="34">
        <f>IF(OR(AP64="",J$5="-"),"",IFERROR(IF(INDEX(INDIRECT("'"&amp;$B64&amp;"'!$N$6:$N$205"),MATCH($AR64&amp;"|"&amp;J$5,INDIRECT("'"&amp;$B64&amp;"'!$AF$6:$AF$205"),0))="","",INDEX(INDIRECT("'"&amp;$B64&amp;"'!$N$6:$N$205"),MATCH($AR64&amp;"|"&amp;J$5,INDIRECT("'"&amp;$B64&amp;"'!$AF$6:$AF$205"),0))),"-"))</f>
        <v/>
      </c>
      <c r="K64" s="34">
        <f>IF(OR(AP64="",K$5="-"),"",IFERROR(IF(INDEX(INDIRECT("'"&amp;$B64&amp;"'!$N$6:$N$205"),MATCH($AR64&amp;"|"&amp;K$5,INDIRECT("'"&amp;$B64&amp;"'!$AF$6:$AF$205"),0))="","",INDEX(INDIRECT("'"&amp;$B64&amp;"'!$N$6:$N$205"),MATCH($AR64&amp;"|"&amp;K$5,INDIRECT("'"&amp;$B64&amp;"'!$AF$6:$AF$205"),0))),"-"))</f>
        <v/>
      </c>
      <c r="L64" s="34">
        <f>IF(OR(AP64="",L$5="-"),"",IFERROR(IF(INDEX(INDIRECT("'"&amp;$B64&amp;"'!$N$6:$N$205"),MATCH($AR64&amp;"|"&amp;L$5,INDIRECT("'"&amp;$B64&amp;"'!$AF$6:$AF$205"),0))="","",INDEX(INDIRECT("'"&amp;$B64&amp;"'!$N$6:$N$205"),MATCH($AR64&amp;"|"&amp;L$5,INDIRECT("'"&amp;$B64&amp;"'!$AF$6:$AF$205"),0))),"-"))</f>
        <v/>
      </c>
      <c r="M64" s="34">
        <f>IF(OR(AP64="",M$5="-"),"",IFERROR(IF(INDEX(INDIRECT("'"&amp;$B64&amp;"'!$N$6:$N$205"),MATCH($AR64&amp;"|"&amp;M$5,INDIRECT("'"&amp;$B64&amp;"'!$AF$6:$AF$205"),0))="","",INDEX(INDIRECT("'"&amp;$B64&amp;"'!$N$6:$N$205"),MATCH($AR64&amp;"|"&amp;M$5,INDIRECT("'"&amp;$B64&amp;"'!$AF$6:$AF$205"),0))),"-"))</f>
        <v/>
      </c>
      <c r="N64" s="34">
        <f>IF(OR(AP64="",N$5="-"),"",IFERROR(IF(INDEX(INDIRECT("'"&amp;$B64&amp;"'!$N$6:$N$205"),MATCH($AR64&amp;"|"&amp;N$5,INDIRECT("'"&amp;$B64&amp;"'!$AF$6:$AF$205"),0))="","",INDEX(INDIRECT("'"&amp;$B64&amp;"'!$N$6:$N$205"),MATCH($AR64&amp;"|"&amp;N$5,INDIRECT("'"&amp;$B64&amp;"'!$AF$6:$AF$205"),0))),"-"))</f>
        <v/>
      </c>
      <c r="O64" s="34">
        <f>IF(OR(AP64="",O$5="-"),"",IFERROR(IF(INDEX(INDIRECT("'"&amp;$B64&amp;"'!$N$6:$N$205"),MATCH($AR64&amp;"|"&amp;O$5,INDIRECT("'"&amp;$B64&amp;"'!$AF$6:$AF$205"),0))="","",INDEX(INDIRECT("'"&amp;$B64&amp;"'!$N$6:$N$205"),MATCH($AR64&amp;"|"&amp;O$5,INDIRECT("'"&amp;$B64&amp;"'!$AF$6:$AF$205"),0))),"-"))</f>
        <v/>
      </c>
      <c r="P64" s="37">
        <f>IF(OR(AP64="",P$5="-"),"",IFERROR(IF(INDEX(INDIRECT("'"&amp;$B64&amp;"'!$R$6:$R$205"),MATCH($AR64&amp;"|"&amp;P$5,INDIRECT("'"&amp;$B64&amp;"'!$AF$6:$AF$205"),0))="","",INDEX(INDIRECT("'"&amp;$B64&amp;"'!$R$6:$R$205"),MATCH($AR64&amp;"|"&amp;P$5,INDIRECT("'"&amp;$B64&amp;"'!$AF$6:$AF$205"),0))),"-"))</f>
        <v/>
      </c>
      <c r="Q64" s="37">
        <f>IF(OR(AP64="",Q$5="-"),"",IFERROR(IF(INDEX(INDIRECT("'"&amp;$B64&amp;"'!$R$6:$R$205"),MATCH($AR64&amp;"|"&amp;Q$5,INDIRECT("'"&amp;$B64&amp;"'!$AF$6:$AF$205"),0))="","",INDEX(INDIRECT("'"&amp;$B64&amp;"'!$R$6:$R$205"),MATCH($AR64&amp;"|"&amp;Q$5,INDIRECT("'"&amp;$B64&amp;"'!$AF$6:$AF$205"),0))),"-"))</f>
        <v/>
      </c>
      <c r="R64" s="37">
        <f>IF(OR(AP64="",R$5="-"),"",IFERROR(IF(INDEX(INDIRECT("'"&amp;$B64&amp;"'!$R$6:$R$205"),MATCH($AR64&amp;"|"&amp;R$5,INDIRECT("'"&amp;$B64&amp;"'!$AF$6:$AF$205"),0))="","",INDEX(INDIRECT("'"&amp;$B64&amp;"'!$R$6:$R$205"),MATCH($AR64&amp;"|"&amp;R$5,INDIRECT("'"&amp;$B64&amp;"'!$AF$6:$AF$205"),0))),"-"))</f>
        <v/>
      </c>
      <c r="S64" s="37">
        <f>IF(OR(AP64="",S$5="-"),"",IFERROR(IF(INDEX(INDIRECT("'"&amp;$B64&amp;"'!$R$6:$R$205"),MATCH($AR64&amp;"|"&amp;S$5,INDIRECT("'"&amp;$B64&amp;"'!$AF$6:$AF$205"),0))="","",INDEX(INDIRECT("'"&amp;$B64&amp;"'!$R$6:$R$205"),MATCH($AR64&amp;"|"&amp;S$5,INDIRECT("'"&amp;$B64&amp;"'!$AF$6:$AF$205"),0))),"-"))</f>
        <v/>
      </c>
      <c r="T64" s="37">
        <f>IF(OR(AP64="",T$5="-"),"",IFERROR(IF(INDEX(INDIRECT("'"&amp;$B64&amp;"'!$R$6:$R$205"),MATCH($AR64&amp;"|"&amp;T$5,INDIRECT("'"&amp;$B64&amp;"'!$AF$6:$AF$205"),0))="","",INDEX(INDIRECT("'"&amp;$B64&amp;"'!$R$6:$R$205"),MATCH($AR64&amp;"|"&amp;T$5,INDIRECT("'"&amp;$B64&amp;"'!$AF$6:$AF$205"),0))),"-"))</f>
        <v/>
      </c>
      <c r="U64" s="37">
        <f>IF(OR(AP64="",U$5="-"),"",IFERROR(IF(INDEX(INDIRECT("'"&amp;$B64&amp;"'!$R$6:$R$205"),MATCH($AR64&amp;"|"&amp;U$5,INDIRECT("'"&amp;$B64&amp;"'!$AF$6:$AF$205"),0))="","",INDEX(INDIRECT("'"&amp;$B64&amp;"'!$R$6:$R$205"),MATCH($AR64&amp;"|"&amp;U$5,INDIRECT("'"&amp;$B64&amp;"'!$AF$6:$AF$205"),0))),"-"))</f>
        <v/>
      </c>
      <c r="V64" s="37">
        <f>IF(OR(AP64="",V$5="-"),"",IFERROR(IF(INDEX(INDIRECT("'"&amp;$B64&amp;"'!$R$6:$R$205"),MATCH($AR64&amp;"|"&amp;V$5,INDIRECT("'"&amp;$B64&amp;"'!$AF$6:$AF$205"),0))="","",INDEX(INDIRECT("'"&amp;$B64&amp;"'!$R$6:$R$205"),MATCH($AR64&amp;"|"&amp;V$5,INDIRECT("'"&amp;$B64&amp;"'!$AF$6:$AF$205"),0))),"-"))</f>
        <v/>
      </c>
      <c r="W64" s="37">
        <f>IF(OR(AP64="",W$5="-"),"",IFERROR(IF(INDEX(INDIRECT("'"&amp;$B64&amp;"'!$R$6:$R$205"),MATCH($AR64&amp;"|"&amp;W$5,INDIRECT("'"&amp;$B64&amp;"'!$AF$6:$AF$205"),0))="","",INDEX(INDIRECT("'"&amp;$B64&amp;"'!$R$6:$R$205"),MATCH($AR64&amp;"|"&amp;W$5,INDIRECT("'"&amp;$B64&amp;"'!$AF$6:$AF$205"),0))),"-"))</f>
        <v/>
      </c>
      <c r="X64" s="38">
        <f>IF(OR(AP64="",X$5="-"),"",IFERROR(IF(INDEX(INDIRECT("'"&amp;$B64&amp;"'!$T$6:$T$205"),MATCH($AR64&amp;"|"&amp;X$5,INDIRECT("'"&amp;$B64&amp;"'!$AF$6:$AF$205"),0))="","",INDEX(INDIRECT("'"&amp;$B64&amp;"'!$T$6:$T$205"),MATCH($AR64&amp;"|"&amp;X$5,INDIRECT("'"&amp;$B64&amp;"'!$AF$6:$AF$205"),0))),"-"))</f>
        <v/>
      </c>
      <c r="Y64" s="38">
        <f>IF(OR(AP64="",Y$5="-"),"",IFERROR(IF(INDEX(INDIRECT("'"&amp;$B64&amp;"'!$T$6:$T$205"),MATCH($AR64&amp;"|"&amp;Y$5,INDIRECT("'"&amp;$B64&amp;"'!$AF$6:$AF$205"),0))="","",INDEX(INDIRECT("'"&amp;$B64&amp;"'!$T$6:$T$205"),MATCH($AR64&amp;"|"&amp;Y$5,INDIRECT("'"&amp;$B64&amp;"'!$AF$6:$AF$205"),0))),"-"))</f>
        <v/>
      </c>
      <c r="Z64" s="38">
        <f>IF(OR(AP64="",Z$5="-"),"",IFERROR(IF(INDEX(INDIRECT("'"&amp;$B64&amp;"'!$T$6:$T$205"),MATCH($AR64&amp;"|"&amp;Z$5,INDIRECT("'"&amp;$B64&amp;"'!$AF$6:$AF$205"),0))="","",INDEX(INDIRECT("'"&amp;$B64&amp;"'!$T$6:$T$205"),MATCH($AR64&amp;"|"&amp;Z$5,INDIRECT("'"&amp;$B64&amp;"'!$AF$6:$AF$205"),0))),"-"))</f>
        <v/>
      </c>
      <c r="AA64" s="38">
        <f>IF(OR(AP64="",AA$5="-"),"",IFERROR(IF(INDEX(INDIRECT("'"&amp;$B64&amp;"'!$T$6:$T$205"),MATCH($AR64&amp;"|"&amp;AA$5,INDIRECT("'"&amp;$B64&amp;"'!$AF$6:$AF$205"),0))="","",INDEX(INDIRECT("'"&amp;$B64&amp;"'!$T$6:$T$205"),MATCH($AR64&amp;"|"&amp;AA$5,INDIRECT("'"&amp;$B64&amp;"'!$AF$6:$AF$205"),0))),"-"))</f>
        <v/>
      </c>
      <c r="AB64" s="38">
        <f>IF(OR(AP64="",AB$5="-"),"",IFERROR(IF(INDEX(INDIRECT("'"&amp;$B64&amp;"'!$T$6:$T$205"),MATCH($AR64&amp;"|"&amp;AB$5,INDIRECT("'"&amp;$B64&amp;"'!$AF$6:$AF$205"),0))="","",INDEX(INDIRECT("'"&amp;$B64&amp;"'!$T$6:$T$205"),MATCH($AR64&amp;"|"&amp;AB$5,INDIRECT("'"&amp;$B64&amp;"'!$AF$6:$AF$205"),0))),"-"))</f>
        <v/>
      </c>
      <c r="AC64" s="38">
        <f>IF(OR(AP64="",AC$5="-"),"",IFERROR(IF(INDEX(INDIRECT("'"&amp;$B64&amp;"'!$T$6:$T$205"),MATCH($AR64&amp;"|"&amp;AC$5,INDIRECT("'"&amp;$B64&amp;"'!$AF$6:$AF$205"),0))="","",INDEX(INDIRECT("'"&amp;$B64&amp;"'!$T$6:$T$205"),MATCH($AR64&amp;"|"&amp;AC$5,INDIRECT("'"&amp;$B64&amp;"'!$AF$6:$AF$205"),0))),"-"))</f>
        <v/>
      </c>
      <c r="AD64" s="38">
        <f>IF(OR(AP64="",AD$5="-"),"",IFERROR(IF(INDEX(INDIRECT("'"&amp;$B64&amp;"'!$T$6:$T$205"),MATCH($AR64&amp;"|"&amp;AD$5,INDIRECT("'"&amp;$B64&amp;"'!$AF$6:$AF$205"),0))="","",INDEX(INDIRECT("'"&amp;$B64&amp;"'!$T$6:$T$205"),MATCH($AR64&amp;"|"&amp;AD$5,INDIRECT("'"&amp;$B64&amp;"'!$AF$6:$AF$205"),0))),"-"))</f>
        <v/>
      </c>
      <c r="AE64" s="38">
        <f>IF(OR(AP64="",AE$5="-"),"",IFERROR(IF(INDEX(INDIRECT("'"&amp;$B64&amp;"'!$T$6:$T$205"),MATCH($AR64&amp;"|"&amp;AE$5,INDIRECT("'"&amp;$B64&amp;"'!$AF$6:$AF$205"),0))="","",INDEX(INDIRECT("'"&amp;$B64&amp;"'!$T$6:$T$205"),MATCH($AR64&amp;"|"&amp;AE$5,INDIRECT("'"&amp;$B64&amp;"'!$AF$6:$AF$205"),0))),"-"))</f>
        <v/>
      </c>
      <c r="AF64" s="35">
        <f>IF(AG64="","",INDEX($P$5:$W$5,MATCH(AG64,P64:W64,0)))</f>
        <v/>
      </c>
      <c r="AG64" s="37">
        <f>IF(COUNT(P64:W64)=0,"",MIN(P64:W64))</f>
        <v/>
      </c>
      <c r="AH64" s="39">
        <f>IF(AG64="","",AG64*F64)</f>
        <v/>
      </c>
      <c r="AI64" s="39">
        <f>IF(COUNT(P64:W64)&lt;2,"",(MAX(P64:W64)-MIN(P64:W64))*F64)</f>
        <v/>
      </c>
      <c r="AJ64" s="20" t="n"/>
      <c r="AP64">
        <f>IF(59&gt;MAX($AN$6:$AN$9),"",COUNTIF($AN$6:$AN$9,"&lt;"&amp;59)+1)</f>
        <v/>
      </c>
      <c r="AQ64">
        <f>IF(AP64="","",59-INDEX($AO$6:$AO$9,AP64))</f>
        <v/>
      </c>
      <c r="AR64">
        <f>IF(AP64="","",INDEX(INDIRECT("'"&amp;$B64&amp;"'!$AE$6:$AE$205"),MATCH(AQ64,INDIRECT("'"&amp;$B64&amp;"'!$AI$6:$AI$205"),0)))</f>
        <v/>
      </c>
    </row>
    <row r="65">
      <c r="A65" s="34">
        <f>IF(AP65="","",60)</f>
        <v/>
      </c>
      <c r="B65" s="35">
        <f>IF(AP65="","",INDEX($AL$6:$AL$9,AP65))</f>
        <v/>
      </c>
      <c r="C65" s="34">
        <f>IF(AP65="","",INDEX(INDIRECT("'"&amp;$B65&amp;"'!$B$6:$B$205"),MATCH($AR65,INDIRECT("'"&amp;$B65&amp;"'!$AE$6:$AE$205"),0)))</f>
        <v/>
      </c>
      <c r="D65" s="34">
        <f>IF(AP65="","",INDEX(INDIRECT("'"&amp;$B65&amp;"'!$D$6:$D$205"),MATCH($AR65,INDIRECT("'"&amp;$B65&amp;"'!$AE$6:$AE$205"),0)))</f>
        <v/>
      </c>
      <c r="E65" s="36">
        <f>IF(AP65="","",INDEX(INDIRECT("'"&amp;$B65&amp;"'!$F$6:$F$205"),MATCH($AR65,INDIRECT("'"&amp;$B65&amp;"'!$AE$6:$AE$205"),0)))</f>
        <v/>
      </c>
      <c r="F65" s="34">
        <f>IF(AP65="","",INDEX(INDIRECT("'"&amp;$B65&amp;"'!$K$6:$K$205"),MATCH($AR65,INDIRECT("'"&amp;$B65&amp;"'!$AE$6:$AE$205"),0)))</f>
        <v/>
      </c>
      <c r="G65" s="34">
        <f>IF(AP65="","",INDEX(INDIRECT("'"&amp;$B65&amp;"'!$L$6:$L$205"),MATCH($AR65,INDIRECT("'"&amp;$B65&amp;"'!$AE$6:$AE$205"),0)))</f>
        <v/>
      </c>
      <c r="H65" s="34">
        <f>IF(OR(AP65="",H$5="-"),"",IFERROR(IF(INDEX(INDIRECT("'"&amp;$B65&amp;"'!$N$6:$N$205"),MATCH($AR65&amp;"|"&amp;H$5,INDIRECT("'"&amp;$B65&amp;"'!$AF$6:$AF$205"),0))="","",INDEX(INDIRECT("'"&amp;$B65&amp;"'!$N$6:$N$205"),MATCH($AR65&amp;"|"&amp;H$5,INDIRECT("'"&amp;$B65&amp;"'!$AF$6:$AF$205"),0))),"-"))</f>
        <v/>
      </c>
      <c r="I65" s="34">
        <f>IF(OR(AP65="",I$5="-"),"",IFERROR(IF(INDEX(INDIRECT("'"&amp;$B65&amp;"'!$N$6:$N$205"),MATCH($AR65&amp;"|"&amp;I$5,INDIRECT("'"&amp;$B65&amp;"'!$AF$6:$AF$205"),0))="","",INDEX(INDIRECT("'"&amp;$B65&amp;"'!$N$6:$N$205"),MATCH($AR65&amp;"|"&amp;I$5,INDIRECT("'"&amp;$B65&amp;"'!$AF$6:$AF$205"),0))),"-"))</f>
        <v/>
      </c>
      <c r="J65" s="34">
        <f>IF(OR(AP65="",J$5="-"),"",IFERROR(IF(INDEX(INDIRECT("'"&amp;$B65&amp;"'!$N$6:$N$205"),MATCH($AR65&amp;"|"&amp;J$5,INDIRECT("'"&amp;$B65&amp;"'!$AF$6:$AF$205"),0))="","",INDEX(INDIRECT("'"&amp;$B65&amp;"'!$N$6:$N$205"),MATCH($AR65&amp;"|"&amp;J$5,INDIRECT("'"&amp;$B65&amp;"'!$AF$6:$AF$205"),0))),"-"))</f>
        <v/>
      </c>
      <c r="K65" s="34">
        <f>IF(OR(AP65="",K$5="-"),"",IFERROR(IF(INDEX(INDIRECT("'"&amp;$B65&amp;"'!$N$6:$N$205"),MATCH($AR65&amp;"|"&amp;K$5,INDIRECT("'"&amp;$B65&amp;"'!$AF$6:$AF$205"),0))="","",INDEX(INDIRECT("'"&amp;$B65&amp;"'!$N$6:$N$205"),MATCH($AR65&amp;"|"&amp;K$5,INDIRECT("'"&amp;$B65&amp;"'!$AF$6:$AF$205"),0))),"-"))</f>
        <v/>
      </c>
      <c r="L65" s="34">
        <f>IF(OR(AP65="",L$5="-"),"",IFERROR(IF(INDEX(INDIRECT("'"&amp;$B65&amp;"'!$N$6:$N$205"),MATCH($AR65&amp;"|"&amp;L$5,INDIRECT("'"&amp;$B65&amp;"'!$AF$6:$AF$205"),0))="","",INDEX(INDIRECT("'"&amp;$B65&amp;"'!$N$6:$N$205"),MATCH($AR65&amp;"|"&amp;L$5,INDIRECT("'"&amp;$B65&amp;"'!$AF$6:$AF$205"),0))),"-"))</f>
        <v/>
      </c>
      <c r="M65" s="34">
        <f>IF(OR(AP65="",M$5="-"),"",IFERROR(IF(INDEX(INDIRECT("'"&amp;$B65&amp;"'!$N$6:$N$205"),MATCH($AR65&amp;"|"&amp;M$5,INDIRECT("'"&amp;$B65&amp;"'!$AF$6:$AF$205"),0))="","",INDEX(INDIRECT("'"&amp;$B65&amp;"'!$N$6:$N$205"),MATCH($AR65&amp;"|"&amp;M$5,INDIRECT("'"&amp;$B65&amp;"'!$AF$6:$AF$205"),0))),"-"))</f>
        <v/>
      </c>
      <c r="N65" s="34">
        <f>IF(OR(AP65="",N$5="-"),"",IFERROR(IF(INDEX(INDIRECT("'"&amp;$B65&amp;"'!$N$6:$N$205"),MATCH($AR65&amp;"|"&amp;N$5,INDIRECT("'"&amp;$B65&amp;"'!$AF$6:$AF$205"),0))="","",INDEX(INDIRECT("'"&amp;$B65&amp;"'!$N$6:$N$205"),MATCH($AR65&amp;"|"&amp;N$5,INDIRECT("'"&amp;$B65&amp;"'!$AF$6:$AF$205"),0))),"-"))</f>
        <v/>
      </c>
      <c r="O65" s="34">
        <f>IF(OR(AP65="",O$5="-"),"",IFERROR(IF(INDEX(INDIRECT("'"&amp;$B65&amp;"'!$N$6:$N$205"),MATCH($AR65&amp;"|"&amp;O$5,INDIRECT("'"&amp;$B65&amp;"'!$AF$6:$AF$205"),0))="","",INDEX(INDIRECT("'"&amp;$B65&amp;"'!$N$6:$N$205"),MATCH($AR65&amp;"|"&amp;O$5,INDIRECT("'"&amp;$B65&amp;"'!$AF$6:$AF$205"),0))),"-"))</f>
        <v/>
      </c>
      <c r="P65" s="37">
        <f>IF(OR(AP65="",P$5="-"),"",IFERROR(IF(INDEX(INDIRECT("'"&amp;$B65&amp;"'!$R$6:$R$205"),MATCH($AR65&amp;"|"&amp;P$5,INDIRECT("'"&amp;$B65&amp;"'!$AF$6:$AF$205"),0))="","",INDEX(INDIRECT("'"&amp;$B65&amp;"'!$R$6:$R$205"),MATCH($AR65&amp;"|"&amp;P$5,INDIRECT("'"&amp;$B65&amp;"'!$AF$6:$AF$205"),0))),"-"))</f>
        <v/>
      </c>
      <c r="Q65" s="37">
        <f>IF(OR(AP65="",Q$5="-"),"",IFERROR(IF(INDEX(INDIRECT("'"&amp;$B65&amp;"'!$R$6:$R$205"),MATCH($AR65&amp;"|"&amp;Q$5,INDIRECT("'"&amp;$B65&amp;"'!$AF$6:$AF$205"),0))="","",INDEX(INDIRECT("'"&amp;$B65&amp;"'!$R$6:$R$205"),MATCH($AR65&amp;"|"&amp;Q$5,INDIRECT("'"&amp;$B65&amp;"'!$AF$6:$AF$205"),0))),"-"))</f>
        <v/>
      </c>
      <c r="R65" s="37">
        <f>IF(OR(AP65="",R$5="-"),"",IFERROR(IF(INDEX(INDIRECT("'"&amp;$B65&amp;"'!$R$6:$R$205"),MATCH($AR65&amp;"|"&amp;R$5,INDIRECT("'"&amp;$B65&amp;"'!$AF$6:$AF$205"),0))="","",INDEX(INDIRECT("'"&amp;$B65&amp;"'!$R$6:$R$205"),MATCH($AR65&amp;"|"&amp;R$5,INDIRECT("'"&amp;$B65&amp;"'!$AF$6:$AF$205"),0))),"-"))</f>
        <v/>
      </c>
      <c r="S65" s="37">
        <f>IF(OR(AP65="",S$5="-"),"",IFERROR(IF(INDEX(INDIRECT("'"&amp;$B65&amp;"'!$R$6:$R$205"),MATCH($AR65&amp;"|"&amp;S$5,INDIRECT("'"&amp;$B65&amp;"'!$AF$6:$AF$205"),0))="","",INDEX(INDIRECT("'"&amp;$B65&amp;"'!$R$6:$R$205"),MATCH($AR65&amp;"|"&amp;S$5,INDIRECT("'"&amp;$B65&amp;"'!$AF$6:$AF$205"),0))),"-"))</f>
        <v/>
      </c>
      <c r="T65" s="37">
        <f>IF(OR(AP65="",T$5="-"),"",IFERROR(IF(INDEX(INDIRECT("'"&amp;$B65&amp;"'!$R$6:$R$205"),MATCH($AR65&amp;"|"&amp;T$5,INDIRECT("'"&amp;$B65&amp;"'!$AF$6:$AF$205"),0))="","",INDEX(INDIRECT("'"&amp;$B65&amp;"'!$R$6:$R$205"),MATCH($AR65&amp;"|"&amp;T$5,INDIRECT("'"&amp;$B65&amp;"'!$AF$6:$AF$205"),0))),"-"))</f>
        <v/>
      </c>
      <c r="U65" s="37">
        <f>IF(OR(AP65="",U$5="-"),"",IFERROR(IF(INDEX(INDIRECT("'"&amp;$B65&amp;"'!$R$6:$R$205"),MATCH($AR65&amp;"|"&amp;U$5,INDIRECT("'"&amp;$B65&amp;"'!$AF$6:$AF$205"),0))="","",INDEX(INDIRECT("'"&amp;$B65&amp;"'!$R$6:$R$205"),MATCH($AR65&amp;"|"&amp;U$5,INDIRECT("'"&amp;$B65&amp;"'!$AF$6:$AF$205"),0))),"-"))</f>
        <v/>
      </c>
      <c r="V65" s="37">
        <f>IF(OR(AP65="",V$5="-"),"",IFERROR(IF(INDEX(INDIRECT("'"&amp;$B65&amp;"'!$R$6:$R$205"),MATCH($AR65&amp;"|"&amp;V$5,INDIRECT("'"&amp;$B65&amp;"'!$AF$6:$AF$205"),0))="","",INDEX(INDIRECT("'"&amp;$B65&amp;"'!$R$6:$R$205"),MATCH($AR65&amp;"|"&amp;V$5,INDIRECT("'"&amp;$B65&amp;"'!$AF$6:$AF$205"),0))),"-"))</f>
        <v/>
      </c>
      <c r="W65" s="37">
        <f>IF(OR(AP65="",W$5="-"),"",IFERROR(IF(INDEX(INDIRECT("'"&amp;$B65&amp;"'!$R$6:$R$205"),MATCH($AR65&amp;"|"&amp;W$5,INDIRECT("'"&amp;$B65&amp;"'!$AF$6:$AF$205"),0))="","",INDEX(INDIRECT("'"&amp;$B65&amp;"'!$R$6:$R$205"),MATCH($AR65&amp;"|"&amp;W$5,INDIRECT("'"&amp;$B65&amp;"'!$AF$6:$AF$205"),0))),"-"))</f>
        <v/>
      </c>
      <c r="X65" s="38">
        <f>IF(OR(AP65="",X$5="-"),"",IFERROR(IF(INDEX(INDIRECT("'"&amp;$B65&amp;"'!$T$6:$T$205"),MATCH($AR65&amp;"|"&amp;X$5,INDIRECT("'"&amp;$B65&amp;"'!$AF$6:$AF$205"),0))="","",INDEX(INDIRECT("'"&amp;$B65&amp;"'!$T$6:$T$205"),MATCH($AR65&amp;"|"&amp;X$5,INDIRECT("'"&amp;$B65&amp;"'!$AF$6:$AF$205"),0))),"-"))</f>
        <v/>
      </c>
      <c r="Y65" s="38">
        <f>IF(OR(AP65="",Y$5="-"),"",IFERROR(IF(INDEX(INDIRECT("'"&amp;$B65&amp;"'!$T$6:$T$205"),MATCH($AR65&amp;"|"&amp;Y$5,INDIRECT("'"&amp;$B65&amp;"'!$AF$6:$AF$205"),0))="","",INDEX(INDIRECT("'"&amp;$B65&amp;"'!$T$6:$T$205"),MATCH($AR65&amp;"|"&amp;Y$5,INDIRECT("'"&amp;$B65&amp;"'!$AF$6:$AF$205"),0))),"-"))</f>
        <v/>
      </c>
      <c r="Z65" s="38">
        <f>IF(OR(AP65="",Z$5="-"),"",IFERROR(IF(INDEX(INDIRECT("'"&amp;$B65&amp;"'!$T$6:$T$205"),MATCH($AR65&amp;"|"&amp;Z$5,INDIRECT("'"&amp;$B65&amp;"'!$AF$6:$AF$205"),0))="","",INDEX(INDIRECT("'"&amp;$B65&amp;"'!$T$6:$T$205"),MATCH($AR65&amp;"|"&amp;Z$5,INDIRECT("'"&amp;$B65&amp;"'!$AF$6:$AF$205"),0))),"-"))</f>
        <v/>
      </c>
      <c r="AA65" s="38">
        <f>IF(OR(AP65="",AA$5="-"),"",IFERROR(IF(INDEX(INDIRECT("'"&amp;$B65&amp;"'!$T$6:$T$205"),MATCH($AR65&amp;"|"&amp;AA$5,INDIRECT("'"&amp;$B65&amp;"'!$AF$6:$AF$205"),0))="","",INDEX(INDIRECT("'"&amp;$B65&amp;"'!$T$6:$T$205"),MATCH($AR65&amp;"|"&amp;AA$5,INDIRECT("'"&amp;$B65&amp;"'!$AF$6:$AF$205"),0))),"-"))</f>
        <v/>
      </c>
      <c r="AB65" s="38">
        <f>IF(OR(AP65="",AB$5="-"),"",IFERROR(IF(INDEX(INDIRECT("'"&amp;$B65&amp;"'!$T$6:$T$205"),MATCH($AR65&amp;"|"&amp;AB$5,INDIRECT("'"&amp;$B65&amp;"'!$AF$6:$AF$205"),0))="","",INDEX(INDIRECT("'"&amp;$B65&amp;"'!$T$6:$T$205"),MATCH($AR65&amp;"|"&amp;AB$5,INDIRECT("'"&amp;$B65&amp;"'!$AF$6:$AF$205"),0))),"-"))</f>
        <v/>
      </c>
      <c r="AC65" s="38">
        <f>IF(OR(AP65="",AC$5="-"),"",IFERROR(IF(INDEX(INDIRECT("'"&amp;$B65&amp;"'!$T$6:$T$205"),MATCH($AR65&amp;"|"&amp;AC$5,INDIRECT("'"&amp;$B65&amp;"'!$AF$6:$AF$205"),0))="","",INDEX(INDIRECT("'"&amp;$B65&amp;"'!$T$6:$T$205"),MATCH($AR65&amp;"|"&amp;AC$5,INDIRECT("'"&amp;$B65&amp;"'!$AF$6:$AF$205"),0))),"-"))</f>
        <v/>
      </c>
      <c r="AD65" s="38">
        <f>IF(OR(AP65="",AD$5="-"),"",IFERROR(IF(INDEX(INDIRECT("'"&amp;$B65&amp;"'!$T$6:$T$205"),MATCH($AR65&amp;"|"&amp;AD$5,INDIRECT("'"&amp;$B65&amp;"'!$AF$6:$AF$205"),0))="","",INDEX(INDIRECT("'"&amp;$B65&amp;"'!$T$6:$T$205"),MATCH($AR65&amp;"|"&amp;AD$5,INDIRECT("'"&amp;$B65&amp;"'!$AF$6:$AF$205"),0))),"-"))</f>
        <v/>
      </c>
      <c r="AE65" s="38">
        <f>IF(OR(AP65="",AE$5="-"),"",IFERROR(IF(INDEX(INDIRECT("'"&amp;$B65&amp;"'!$T$6:$T$205"),MATCH($AR65&amp;"|"&amp;AE$5,INDIRECT("'"&amp;$B65&amp;"'!$AF$6:$AF$205"),0))="","",INDEX(INDIRECT("'"&amp;$B65&amp;"'!$T$6:$T$205"),MATCH($AR65&amp;"|"&amp;AE$5,INDIRECT("'"&amp;$B65&amp;"'!$AF$6:$AF$205"),0))),"-"))</f>
        <v/>
      </c>
      <c r="AF65" s="35">
        <f>IF(AG65="","",INDEX($P$5:$W$5,MATCH(AG65,P65:W65,0)))</f>
        <v/>
      </c>
      <c r="AG65" s="37">
        <f>IF(COUNT(P65:W65)=0,"",MIN(P65:W65))</f>
        <v/>
      </c>
      <c r="AH65" s="39">
        <f>IF(AG65="","",AG65*F65)</f>
        <v/>
      </c>
      <c r="AI65" s="39">
        <f>IF(COUNT(P65:W65)&lt;2,"",(MAX(P65:W65)-MIN(P65:W65))*F65)</f>
        <v/>
      </c>
      <c r="AJ65" s="20" t="n"/>
      <c r="AP65">
        <f>IF(60&gt;MAX($AN$6:$AN$9),"",COUNTIF($AN$6:$AN$9,"&lt;"&amp;60)+1)</f>
        <v/>
      </c>
      <c r="AQ65">
        <f>IF(AP65="","",60-INDEX($AO$6:$AO$9,AP65))</f>
        <v/>
      </c>
      <c r="AR65">
        <f>IF(AP65="","",INDEX(INDIRECT("'"&amp;$B65&amp;"'!$AE$6:$AE$205"),MATCH(AQ65,INDIRECT("'"&amp;$B65&amp;"'!$AI$6:$AI$205"),0)))</f>
        <v/>
      </c>
    </row>
    <row r="66">
      <c r="A66" s="34">
        <f>IF(AP66="","",61)</f>
        <v/>
      </c>
      <c r="B66" s="35">
        <f>IF(AP66="","",INDEX($AL$6:$AL$9,AP66))</f>
        <v/>
      </c>
      <c r="C66" s="34">
        <f>IF(AP66="","",INDEX(INDIRECT("'"&amp;$B66&amp;"'!$B$6:$B$205"),MATCH($AR66,INDIRECT("'"&amp;$B66&amp;"'!$AE$6:$AE$205"),0)))</f>
        <v/>
      </c>
      <c r="D66" s="34">
        <f>IF(AP66="","",INDEX(INDIRECT("'"&amp;$B66&amp;"'!$D$6:$D$205"),MATCH($AR66,INDIRECT("'"&amp;$B66&amp;"'!$AE$6:$AE$205"),0)))</f>
        <v/>
      </c>
      <c r="E66" s="36">
        <f>IF(AP66="","",INDEX(INDIRECT("'"&amp;$B66&amp;"'!$F$6:$F$205"),MATCH($AR66,INDIRECT("'"&amp;$B66&amp;"'!$AE$6:$AE$205"),0)))</f>
        <v/>
      </c>
      <c r="F66" s="34">
        <f>IF(AP66="","",INDEX(INDIRECT("'"&amp;$B66&amp;"'!$K$6:$K$205"),MATCH($AR66,INDIRECT("'"&amp;$B66&amp;"'!$AE$6:$AE$205"),0)))</f>
        <v/>
      </c>
      <c r="G66" s="34">
        <f>IF(AP66="","",INDEX(INDIRECT("'"&amp;$B66&amp;"'!$L$6:$L$205"),MATCH($AR66,INDIRECT("'"&amp;$B66&amp;"'!$AE$6:$AE$205"),0)))</f>
        <v/>
      </c>
      <c r="H66" s="34">
        <f>IF(OR(AP66="",H$5="-"),"",IFERROR(IF(INDEX(INDIRECT("'"&amp;$B66&amp;"'!$N$6:$N$205"),MATCH($AR66&amp;"|"&amp;H$5,INDIRECT("'"&amp;$B66&amp;"'!$AF$6:$AF$205"),0))="","",INDEX(INDIRECT("'"&amp;$B66&amp;"'!$N$6:$N$205"),MATCH($AR66&amp;"|"&amp;H$5,INDIRECT("'"&amp;$B66&amp;"'!$AF$6:$AF$205"),0))),"-"))</f>
        <v/>
      </c>
      <c r="I66" s="34">
        <f>IF(OR(AP66="",I$5="-"),"",IFERROR(IF(INDEX(INDIRECT("'"&amp;$B66&amp;"'!$N$6:$N$205"),MATCH($AR66&amp;"|"&amp;I$5,INDIRECT("'"&amp;$B66&amp;"'!$AF$6:$AF$205"),0))="","",INDEX(INDIRECT("'"&amp;$B66&amp;"'!$N$6:$N$205"),MATCH($AR66&amp;"|"&amp;I$5,INDIRECT("'"&amp;$B66&amp;"'!$AF$6:$AF$205"),0))),"-"))</f>
        <v/>
      </c>
      <c r="J66" s="34">
        <f>IF(OR(AP66="",J$5="-"),"",IFERROR(IF(INDEX(INDIRECT("'"&amp;$B66&amp;"'!$N$6:$N$205"),MATCH($AR66&amp;"|"&amp;J$5,INDIRECT("'"&amp;$B66&amp;"'!$AF$6:$AF$205"),0))="","",INDEX(INDIRECT("'"&amp;$B66&amp;"'!$N$6:$N$205"),MATCH($AR66&amp;"|"&amp;J$5,INDIRECT("'"&amp;$B66&amp;"'!$AF$6:$AF$205"),0))),"-"))</f>
        <v/>
      </c>
      <c r="K66" s="34">
        <f>IF(OR(AP66="",K$5="-"),"",IFERROR(IF(INDEX(INDIRECT("'"&amp;$B66&amp;"'!$N$6:$N$205"),MATCH($AR66&amp;"|"&amp;K$5,INDIRECT("'"&amp;$B66&amp;"'!$AF$6:$AF$205"),0))="","",INDEX(INDIRECT("'"&amp;$B66&amp;"'!$N$6:$N$205"),MATCH($AR66&amp;"|"&amp;K$5,INDIRECT("'"&amp;$B66&amp;"'!$AF$6:$AF$205"),0))),"-"))</f>
        <v/>
      </c>
      <c r="L66" s="34">
        <f>IF(OR(AP66="",L$5="-"),"",IFERROR(IF(INDEX(INDIRECT("'"&amp;$B66&amp;"'!$N$6:$N$205"),MATCH($AR66&amp;"|"&amp;L$5,INDIRECT("'"&amp;$B66&amp;"'!$AF$6:$AF$205"),0))="","",INDEX(INDIRECT("'"&amp;$B66&amp;"'!$N$6:$N$205"),MATCH($AR66&amp;"|"&amp;L$5,INDIRECT("'"&amp;$B66&amp;"'!$AF$6:$AF$205"),0))),"-"))</f>
        <v/>
      </c>
      <c r="M66" s="34">
        <f>IF(OR(AP66="",M$5="-"),"",IFERROR(IF(INDEX(INDIRECT("'"&amp;$B66&amp;"'!$N$6:$N$205"),MATCH($AR66&amp;"|"&amp;M$5,INDIRECT("'"&amp;$B66&amp;"'!$AF$6:$AF$205"),0))="","",INDEX(INDIRECT("'"&amp;$B66&amp;"'!$N$6:$N$205"),MATCH($AR66&amp;"|"&amp;M$5,INDIRECT("'"&amp;$B66&amp;"'!$AF$6:$AF$205"),0))),"-"))</f>
        <v/>
      </c>
      <c r="N66" s="34">
        <f>IF(OR(AP66="",N$5="-"),"",IFERROR(IF(INDEX(INDIRECT("'"&amp;$B66&amp;"'!$N$6:$N$205"),MATCH($AR66&amp;"|"&amp;N$5,INDIRECT("'"&amp;$B66&amp;"'!$AF$6:$AF$205"),0))="","",INDEX(INDIRECT("'"&amp;$B66&amp;"'!$N$6:$N$205"),MATCH($AR66&amp;"|"&amp;N$5,INDIRECT("'"&amp;$B66&amp;"'!$AF$6:$AF$205"),0))),"-"))</f>
        <v/>
      </c>
      <c r="O66" s="34">
        <f>IF(OR(AP66="",O$5="-"),"",IFERROR(IF(INDEX(INDIRECT("'"&amp;$B66&amp;"'!$N$6:$N$205"),MATCH($AR66&amp;"|"&amp;O$5,INDIRECT("'"&amp;$B66&amp;"'!$AF$6:$AF$205"),0))="","",INDEX(INDIRECT("'"&amp;$B66&amp;"'!$N$6:$N$205"),MATCH($AR66&amp;"|"&amp;O$5,INDIRECT("'"&amp;$B66&amp;"'!$AF$6:$AF$205"),0))),"-"))</f>
        <v/>
      </c>
      <c r="P66" s="37">
        <f>IF(OR(AP66="",P$5="-"),"",IFERROR(IF(INDEX(INDIRECT("'"&amp;$B66&amp;"'!$R$6:$R$205"),MATCH($AR66&amp;"|"&amp;P$5,INDIRECT("'"&amp;$B66&amp;"'!$AF$6:$AF$205"),0))="","",INDEX(INDIRECT("'"&amp;$B66&amp;"'!$R$6:$R$205"),MATCH($AR66&amp;"|"&amp;P$5,INDIRECT("'"&amp;$B66&amp;"'!$AF$6:$AF$205"),0))),"-"))</f>
        <v/>
      </c>
      <c r="Q66" s="37">
        <f>IF(OR(AP66="",Q$5="-"),"",IFERROR(IF(INDEX(INDIRECT("'"&amp;$B66&amp;"'!$R$6:$R$205"),MATCH($AR66&amp;"|"&amp;Q$5,INDIRECT("'"&amp;$B66&amp;"'!$AF$6:$AF$205"),0))="","",INDEX(INDIRECT("'"&amp;$B66&amp;"'!$R$6:$R$205"),MATCH($AR66&amp;"|"&amp;Q$5,INDIRECT("'"&amp;$B66&amp;"'!$AF$6:$AF$205"),0))),"-"))</f>
        <v/>
      </c>
      <c r="R66" s="37">
        <f>IF(OR(AP66="",R$5="-"),"",IFERROR(IF(INDEX(INDIRECT("'"&amp;$B66&amp;"'!$R$6:$R$205"),MATCH($AR66&amp;"|"&amp;R$5,INDIRECT("'"&amp;$B66&amp;"'!$AF$6:$AF$205"),0))="","",INDEX(INDIRECT("'"&amp;$B66&amp;"'!$R$6:$R$205"),MATCH($AR66&amp;"|"&amp;R$5,INDIRECT("'"&amp;$B66&amp;"'!$AF$6:$AF$205"),0))),"-"))</f>
        <v/>
      </c>
      <c r="S66" s="37">
        <f>IF(OR(AP66="",S$5="-"),"",IFERROR(IF(INDEX(INDIRECT("'"&amp;$B66&amp;"'!$R$6:$R$205"),MATCH($AR66&amp;"|"&amp;S$5,INDIRECT("'"&amp;$B66&amp;"'!$AF$6:$AF$205"),0))="","",INDEX(INDIRECT("'"&amp;$B66&amp;"'!$R$6:$R$205"),MATCH($AR66&amp;"|"&amp;S$5,INDIRECT("'"&amp;$B66&amp;"'!$AF$6:$AF$205"),0))),"-"))</f>
        <v/>
      </c>
      <c r="T66" s="37">
        <f>IF(OR(AP66="",T$5="-"),"",IFERROR(IF(INDEX(INDIRECT("'"&amp;$B66&amp;"'!$R$6:$R$205"),MATCH($AR66&amp;"|"&amp;T$5,INDIRECT("'"&amp;$B66&amp;"'!$AF$6:$AF$205"),0))="","",INDEX(INDIRECT("'"&amp;$B66&amp;"'!$R$6:$R$205"),MATCH($AR66&amp;"|"&amp;T$5,INDIRECT("'"&amp;$B66&amp;"'!$AF$6:$AF$205"),0))),"-"))</f>
        <v/>
      </c>
      <c r="U66" s="37">
        <f>IF(OR(AP66="",U$5="-"),"",IFERROR(IF(INDEX(INDIRECT("'"&amp;$B66&amp;"'!$R$6:$R$205"),MATCH($AR66&amp;"|"&amp;U$5,INDIRECT("'"&amp;$B66&amp;"'!$AF$6:$AF$205"),0))="","",INDEX(INDIRECT("'"&amp;$B66&amp;"'!$R$6:$R$205"),MATCH($AR66&amp;"|"&amp;U$5,INDIRECT("'"&amp;$B66&amp;"'!$AF$6:$AF$205"),0))),"-"))</f>
        <v/>
      </c>
      <c r="V66" s="37">
        <f>IF(OR(AP66="",V$5="-"),"",IFERROR(IF(INDEX(INDIRECT("'"&amp;$B66&amp;"'!$R$6:$R$205"),MATCH($AR66&amp;"|"&amp;V$5,INDIRECT("'"&amp;$B66&amp;"'!$AF$6:$AF$205"),0))="","",INDEX(INDIRECT("'"&amp;$B66&amp;"'!$R$6:$R$205"),MATCH($AR66&amp;"|"&amp;V$5,INDIRECT("'"&amp;$B66&amp;"'!$AF$6:$AF$205"),0))),"-"))</f>
        <v/>
      </c>
      <c r="W66" s="37">
        <f>IF(OR(AP66="",W$5="-"),"",IFERROR(IF(INDEX(INDIRECT("'"&amp;$B66&amp;"'!$R$6:$R$205"),MATCH($AR66&amp;"|"&amp;W$5,INDIRECT("'"&amp;$B66&amp;"'!$AF$6:$AF$205"),0))="","",INDEX(INDIRECT("'"&amp;$B66&amp;"'!$R$6:$R$205"),MATCH($AR66&amp;"|"&amp;W$5,INDIRECT("'"&amp;$B66&amp;"'!$AF$6:$AF$205"),0))),"-"))</f>
        <v/>
      </c>
      <c r="X66" s="38">
        <f>IF(OR(AP66="",X$5="-"),"",IFERROR(IF(INDEX(INDIRECT("'"&amp;$B66&amp;"'!$T$6:$T$205"),MATCH($AR66&amp;"|"&amp;X$5,INDIRECT("'"&amp;$B66&amp;"'!$AF$6:$AF$205"),0))="","",INDEX(INDIRECT("'"&amp;$B66&amp;"'!$T$6:$T$205"),MATCH($AR66&amp;"|"&amp;X$5,INDIRECT("'"&amp;$B66&amp;"'!$AF$6:$AF$205"),0))),"-"))</f>
        <v/>
      </c>
      <c r="Y66" s="38">
        <f>IF(OR(AP66="",Y$5="-"),"",IFERROR(IF(INDEX(INDIRECT("'"&amp;$B66&amp;"'!$T$6:$T$205"),MATCH($AR66&amp;"|"&amp;Y$5,INDIRECT("'"&amp;$B66&amp;"'!$AF$6:$AF$205"),0))="","",INDEX(INDIRECT("'"&amp;$B66&amp;"'!$T$6:$T$205"),MATCH($AR66&amp;"|"&amp;Y$5,INDIRECT("'"&amp;$B66&amp;"'!$AF$6:$AF$205"),0))),"-"))</f>
        <v/>
      </c>
      <c r="Z66" s="38">
        <f>IF(OR(AP66="",Z$5="-"),"",IFERROR(IF(INDEX(INDIRECT("'"&amp;$B66&amp;"'!$T$6:$T$205"),MATCH($AR66&amp;"|"&amp;Z$5,INDIRECT("'"&amp;$B66&amp;"'!$AF$6:$AF$205"),0))="","",INDEX(INDIRECT("'"&amp;$B66&amp;"'!$T$6:$T$205"),MATCH($AR66&amp;"|"&amp;Z$5,INDIRECT("'"&amp;$B66&amp;"'!$AF$6:$AF$205"),0))),"-"))</f>
        <v/>
      </c>
      <c r="AA66" s="38">
        <f>IF(OR(AP66="",AA$5="-"),"",IFERROR(IF(INDEX(INDIRECT("'"&amp;$B66&amp;"'!$T$6:$T$205"),MATCH($AR66&amp;"|"&amp;AA$5,INDIRECT("'"&amp;$B66&amp;"'!$AF$6:$AF$205"),0))="","",INDEX(INDIRECT("'"&amp;$B66&amp;"'!$T$6:$T$205"),MATCH($AR66&amp;"|"&amp;AA$5,INDIRECT("'"&amp;$B66&amp;"'!$AF$6:$AF$205"),0))),"-"))</f>
        <v/>
      </c>
      <c r="AB66" s="38">
        <f>IF(OR(AP66="",AB$5="-"),"",IFERROR(IF(INDEX(INDIRECT("'"&amp;$B66&amp;"'!$T$6:$T$205"),MATCH($AR66&amp;"|"&amp;AB$5,INDIRECT("'"&amp;$B66&amp;"'!$AF$6:$AF$205"),0))="","",INDEX(INDIRECT("'"&amp;$B66&amp;"'!$T$6:$T$205"),MATCH($AR66&amp;"|"&amp;AB$5,INDIRECT("'"&amp;$B66&amp;"'!$AF$6:$AF$205"),0))),"-"))</f>
        <v/>
      </c>
      <c r="AC66" s="38">
        <f>IF(OR(AP66="",AC$5="-"),"",IFERROR(IF(INDEX(INDIRECT("'"&amp;$B66&amp;"'!$T$6:$T$205"),MATCH($AR66&amp;"|"&amp;AC$5,INDIRECT("'"&amp;$B66&amp;"'!$AF$6:$AF$205"),0))="","",INDEX(INDIRECT("'"&amp;$B66&amp;"'!$T$6:$T$205"),MATCH($AR66&amp;"|"&amp;AC$5,INDIRECT("'"&amp;$B66&amp;"'!$AF$6:$AF$205"),0))),"-"))</f>
        <v/>
      </c>
      <c r="AD66" s="38">
        <f>IF(OR(AP66="",AD$5="-"),"",IFERROR(IF(INDEX(INDIRECT("'"&amp;$B66&amp;"'!$T$6:$T$205"),MATCH($AR66&amp;"|"&amp;AD$5,INDIRECT("'"&amp;$B66&amp;"'!$AF$6:$AF$205"),0))="","",INDEX(INDIRECT("'"&amp;$B66&amp;"'!$T$6:$T$205"),MATCH($AR66&amp;"|"&amp;AD$5,INDIRECT("'"&amp;$B66&amp;"'!$AF$6:$AF$205"),0))),"-"))</f>
        <v/>
      </c>
      <c r="AE66" s="38">
        <f>IF(OR(AP66="",AE$5="-"),"",IFERROR(IF(INDEX(INDIRECT("'"&amp;$B66&amp;"'!$T$6:$T$205"),MATCH($AR66&amp;"|"&amp;AE$5,INDIRECT("'"&amp;$B66&amp;"'!$AF$6:$AF$205"),0))="","",INDEX(INDIRECT("'"&amp;$B66&amp;"'!$T$6:$T$205"),MATCH($AR66&amp;"|"&amp;AE$5,INDIRECT("'"&amp;$B66&amp;"'!$AF$6:$AF$205"),0))),"-"))</f>
        <v/>
      </c>
      <c r="AF66" s="35">
        <f>IF(AG66="","",INDEX($P$5:$W$5,MATCH(AG66,P66:W66,0)))</f>
        <v/>
      </c>
      <c r="AG66" s="37">
        <f>IF(COUNT(P66:W66)=0,"",MIN(P66:W66))</f>
        <v/>
      </c>
      <c r="AH66" s="39">
        <f>IF(AG66="","",AG66*F66)</f>
        <v/>
      </c>
      <c r="AI66" s="39">
        <f>IF(COUNT(P66:W66)&lt;2,"",(MAX(P66:W66)-MIN(P66:W66))*F66)</f>
        <v/>
      </c>
      <c r="AJ66" s="20" t="n"/>
      <c r="AP66">
        <f>IF(61&gt;MAX($AN$6:$AN$9),"",COUNTIF($AN$6:$AN$9,"&lt;"&amp;61)+1)</f>
        <v/>
      </c>
      <c r="AQ66">
        <f>IF(AP66="","",61-INDEX($AO$6:$AO$9,AP66))</f>
        <v/>
      </c>
      <c r="AR66">
        <f>IF(AP66="","",INDEX(INDIRECT("'"&amp;$B66&amp;"'!$AE$6:$AE$205"),MATCH(AQ66,INDIRECT("'"&amp;$B66&amp;"'!$AI$6:$AI$205"),0)))</f>
        <v/>
      </c>
    </row>
    <row r="67">
      <c r="A67" s="34">
        <f>IF(AP67="","",62)</f>
        <v/>
      </c>
      <c r="B67" s="35">
        <f>IF(AP67="","",INDEX($AL$6:$AL$9,AP67))</f>
        <v/>
      </c>
      <c r="C67" s="34">
        <f>IF(AP67="","",INDEX(INDIRECT("'"&amp;$B67&amp;"'!$B$6:$B$205"),MATCH($AR67,INDIRECT("'"&amp;$B67&amp;"'!$AE$6:$AE$205"),0)))</f>
        <v/>
      </c>
      <c r="D67" s="34">
        <f>IF(AP67="","",INDEX(INDIRECT("'"&amp;$B67&amp;"'!$D$6:$D$205"),MATCH($AR67,INDIRECT("'"&amp;$B67&amp;"'!$AE$6:$AE$205"),0)))</f>
        <v/>
      </c>
      <c r="E67" s="36">
        <f>IF(AP67="","",INDEX(INDIRECT("'"&amp;$B67&amp;"'!$F$6:$F$205"),MATCH($AR67,INDIRECT("'"&amp;$B67&amp;"'!$AE$6:$AE$205"),0)))</f>
        <v/>
      </c>
      <c r="F67" s="34">
        <f>IF(AP67="","",INDEX(INDIRECT("'"&amp;$B67&amp;"'!$K$6:$K$205"),MATCH($AR67,INDIRECT("'"&amp;$B67&amp;"'!$AE$6:$AE$205"),0)))</f>
        <v/>
      </c>
      <c r="G67" s="34">
        <f>IF(AP67="","",INDEX(INDIRECT("'"&amp;$B67&amp;"'!$L$6:$L$205"),MATCH($AR67,INDIRECT("'"&amp;$B67&amp;"'!$AE$6:$AE$205"),0)))</f>
        <v/>
      </c>
      <c r="H67" s="34">
        <f>IF(OR(AP67="",H$5="-"),"",IFERROR(IF(INDEX(INDIRECT("'"&amp;$B67&amp;"'!$N$6:$N$205"),MATCH($AR67&amp;"|"&amp;H$5,INDIRECT("'"&amp;$B67&amp;"'!$AF$6:$AF$205"),0))="","",INDEX(INDIRECT("'"&amp;$B67&amp;"'!$N$6:$N$205"),MATCH($AR67&amp;"|"&amp;H$5,INDIRECT("'"&amp;$B67&amp;"'!$AF$6:$AF$205"),0))),"-"))</f>
        <v/>
      </c>
      <c r="I67" s="34">
        <f>IF(OR(AP67="",I$5="-"),"",IFERROR(IF(INDEX(INDIRECT("'"&amp;$B67&amp;"'!$N$6:$N$205"),MATCH($AR67&amp;"|"&amp;I$5,INDIRECT("'"&amp;$B67&amp;"'!$AF$6:$AF$205"),0))="","",INDEX(INDIRECT("'"&amp;$B67&amp;"'!$N$6:$N$205"),MATCH($AR67&amp;"|"&amp;I$5,INDIRECT("'"&amp;$B67&amp;"'!$AF$6:$AF$205"),0))),"-"))</f>
        <v/>
      </c>
      <c r="J67" s="34">
        <f>IF(OR(AP67="",J$5="-"),"",IFERROR(IF(INDEX(INDIRECT("'"&amp;$B67&amp;"'!$N$6:$N$205"),MATCH($AR67&amp;"|"&amp;J$5,INDIRECT("'"&amp;$B67&amp;"'!$AF$6:$AF$205"),0))="","",INDEX(INDIRECT("'"&amp;$B67&amp;"'!$N$6:$N$205"),MATCH($AR67&amp;"|"&amp;J$5,INDIRECT("'"&amp;$B67&amp;"'!$AF$6:$AF$205"),0))),"-"))</f>
        <v/>
      </c>
      <c r="K67" s="34">
        <f>IF(OR(AP67="",K$5="-"),"",IFERROR(IF(INDEX(INDIRECT("'"&amp;$B67&amp;"'!$N$6:$N$205"),MATCH($AR67&amp;"|"&amp;K$5,INDIRECT("'"&amp;$B67&amp;"'!$AF$6:$AF$205"),0))="","",INDEX(INDIRECT("'"&amp;$B67&amp;"'!$N$6:$N$205"),MATCH($AR67&amp;"|"&amp;K$5,INDIRECT("'"&amp;$B67&amp;"'!$AF$6:$AF$205"),0))),"-"))</f>
        <v/>
      </c>
      <c r="L67" s="34">
        <f>IF(OR(AP67="",L$5="-"),"",IFERROR(IF(INDEX(INDIRECT("'"&amp;$B67&amp;"'!$N$6:$N$205"),MATCH($AR67&amp;"|"&amp;L$5,INDIRECT("'"&amp;$B67&amp;"'!$AF$6:$AF$205"),0))="","",INDEX(INDIRECT("'"&amp;$B67&amp;"'!$N$6:$N$205"),MATCH($AR67&amp;"|"&amp;L$5,INDIRECT("'"&amp;$B67&amp;"'!$AF$6:$AF$205"),0))),"-"))</f>
        <v/>
      </c>
      <c r="M67" s="34">
        <f>IF(OR(AP67="",M$5="-"),"",IFERROR(IF(INDEX(INDIRECT("'"&amp;$B67&amp;"'!$N$6:$N$205"),MATCH($AR67&amp;"|"&amp;M$5,INDIRECT("'"&amp;$B67&amp;"'!$AF$6:$AF$205"),0))="","",INDEX(INDIRECT("'"&amp;$B67&amp;"'!$N$6:$N$205"),MATCH($AR67&amp;"|"&amp;M$5,INDIRECT("'"&amp;$B67&amp;"'!$AF$6:$AF$205"),0))),"-"))</f>
        <v/>
      </c>
      <c r="N67" s="34">
        <f>IF(OR(AP67="",N$5="-"),"",IFERROR(IF(INDEX(INDIRECT("'"&amp;$B67&amp;"'!$N$6:$N$205"),MATCH($AR67&amp;"|"&amp;N$5,INDIRECT("'"&amp;$B67&amp;"'!$AF$6:$AF$205"),0))="","",INDEX(INDIRECT("'"&amp;$B67&amp;"'!$N$6:$N$205"),MATCH($AR67&amp;"|"&amp;N$5,INDIRECT("'"&amp;$B67&amp;"'!$AF$6:$AF$205"),0))),"-"))</f>
        <v/>
      </c>
      <c r="O67" s="34">
        <f>IF(OR(AP67="",O$5="-"),"",IFERROR(IF(INDEX(INDIRECT("'"&amp;$B67&amp;"'!$N$6:$N$205"),MATCH($AR67&amp;"|"&amp;O$5,INDIRECT("'"&amp;$B67&amp;"'!$AF$6:$AF$205"),0))="","",INDEX(INDIRECT("'"&amp;$B67&amp;"'!$N$6:$N$205"),MATCH($AR67&amp;"|"&amp;O$5,INDIRECT("'"&amp;$B67&amp;"'!$AF$6:$AF$205"),0))),"-"))</f>
        <v/>
      </c>
      <c r="P67" s="37">
        <f>IF(OR(AP67="",P$5="-"),"",IFERROR(IF(INDEX(INDIRECT("'"&amp;$B67&amp;"'!$R$6:$R$205"),MATCH($AR67&amp;"|"&amp;P$5,INDIRECT("'"&amp;$B67&amp;"'!$AF$6:$AF$205"),0))="","",INDEX(INDIRECT("'"&amp;$B67&amp;"'!$R$6:$R$205"),MATCH($AR67&amp;"|"&amp;P$5,INDIRECT("'"&amp;$B67&amp;"'!$AF$6:$AF$205"),0))),"-"))</f>
        <v/>
      </c>
      <c r="Q67" s="37">
        <f>IF(OR(AP67="",Q$5="-"),"",IFERROR(IF(INDEX(INDIRECT("'"&amp;$B67&amp;"'!$R$6:$R$205"),MATCH($AR67&amp;"|"&amp;Q$5,INDIRECT("'"&amp;$B67&amp;"'!$AF$6:$AF$205"),0))="","",INDEX(INDIRECT("'"&amp;$B67&amp;"'!$R$6:$R$205"),MATCH($AR67&amp;"|"&amp;Q$5,INDIRECT("'"&amp;$B67&amp;"'!$AF$6:$AF$205"),0))),"-"))</f>
        <v/>
      </c>
      <c r="R67" s="37">
        <f>IF(OR(AP67="",R$5="-"),"",IFERROR(IF(INDEX(INDIRECT("'"&amp;$B67&amp;"'!$R$6:$R$205"),MATCH($AR67&amp;"|"&amp;R$5,INDIRECT("'"&amp;$B67&amp;"'!$AF$6:$AF$205"),0))="","",INDEX(INDIRECT("'"&amp;$B67&amp;"'!$R$6:$R$205"),MATCH($AR67&amp;"|"&amp;R$5,INDIRECT("'"&amp;$B67&amp;"'!$AF$6:$AF$205"),0))),"-"))</f>
        <v/>
      </c>
      <c r="S67" s="37">
        <f>IF(OR(AP67="",S$5="-"),"",IFERROR(IF(INDEX(INDIRECT("'"&amp;$B67&amp;"'!$R$6:$R$205"),MATCH($AR67&amp;"|"&amp;S$5,INDIRECT("'"&amp;$B67&amp;"'!$AF$6:$AF$205"),0))="","",INDEX(INDIRECT("'"&amp;$B67&amp;"'!$R$6:$R$205"),MATCH($AR67&amp;"|"&amp;S$5,INDIRECT("'"&amp;$B67&amp;"'!$AF$6:$AF$205"),0))),"-"))</f>
        <v/>
      </c>
      <c r="T67" s="37">
        <f>IF(OR(AP67="",T$5="-"),"",IFERROR(IF(INDEX(INDIRECT("'"&amp;$B67&amp;"'!$R$6:$R$205"),MATCH($AR67&amp;"|"&amp;T$5,INDIRECT("'"&amp;$B67&amp;"'!$AF$6:$AF$205"),0))="","",INDEX(INDIRECT("'"&amp;$B67&amp;"'!$R$6:$R$205"),MATCH($AR67&amp;"|"&amp;T$5,INDIRECT("'"&amp;$B67&amp;"'!$AF$6:$AF$205"),0))),"-"))</f>
        <v/>
      </c>
      <c r="U67" s="37">
        <f>IF(OR(AP67="",U$5="-"),"",IFERROR(IF(INDEX(INDIRECT("'"&amp;$B67&amp;"'!$R$6:$R$205"),MATCH($AR67&amp;"|"&amp;U$5,INDIRECT("'"&amp;$B67&amp;"'!$AF$6:$AF$205"),0))="","",INDEX(INDIRECT("'"&amp;$B67&amp;"'!$R$6:$R$205"),MATCH($AR67&amp;"|"&amp;U$5,INDIRECT("'"&amp;$B67&amp;"'!$AF$6:$AF$205"),0))),"-"))</f>
        <v/>
      </c>
      <c r="V67" s="37">
        <f>IF(OR(AP67="",V$5="-"),"",IFERROR(IF(INDEX(INDIRECT("'"&amp;$B67&amp;"'!$R$6:$R$205"),MATCH($AR67&amp;"|"&amp;V$5,INDIRECT("'"&amp;$B67&amp;"'!$AF$6:$AF$205"),0))="","",INDEX(INDIRECT("'"&amp;$B67&amp;"'!$R$6:$R$205"),MATCH($AR67&amp;"|"&amp;V$5,INDIRECT("'"&amp;$B67&amp;"'!$AF$6:$AF$205"),0))),"-"))</f>
        <v/>
      </c>
      <c r="W67" s="37">
        <f>IF(OR(AP67="",W$5="-"),"",IFERROR(IF(INDEX(INDIRECT("'"&amp;$B67&amp;"'!$R$6:$R$205"),MATCH($AR67&amp;"|"&amp;W$5,INDIRECT("'"&amp;$B67&amp;"'!$AF$6:$AF$205"),0))="","",INDEX(INDIRECT("'"&amp;$B67&amp;"'!$R$6:$R$205"),MATCH($AR67&amp;"|"&amp;W$5,INDIRECT("'"&amp;$B67&amp;"'!$AF$6:$AF$205"),0))),"-"))</f>
        <v/>
      </c>
      <c r="X67" s="38">
        <f>IF(OR(AP67="",X$5="-"),"",IFERROR(IF(INDEX(INDIRECT("'"&amp;$B67&amp;"'!$T$6:$T$205"),MATCH($AR67&amp;"|"&amp;X$5,INDIRECT("'"&amp;$B67&amp;"'!$AF$6:$AF$205"),0))="","",INDEX(INDIRECT("'"&amp;$B67&amp;"'!$T$6:$T$205"),MATCH($AR67&amp;"|"&amp;X$5,INDIRECT("'"&amp;$B67&amp;"'!$AF$6:$AF$205"),0))),"-"))</f>
        <v/>
      </c>
      <c r="Y67" s="38">
        <f>IF(OR(AP67="",Y$5="-"),"",IFERROR(IF(INDEX(INDIRECT("'"&amp;$B67&amp;"'!$T$6:$T$205"),MATCH($AR67&amp;"|"&amp;Y$5,INDIRECT("'"&amp;$B67&amp;"'!$AF$6:$AF$205"),0))="","",INDEX(INDIRECT("'"&amp;$B67&amp;"'!$T$6:$T$205"),MATCH($AR67&amp;"|"&amp;Y$5,INDIRECT("'"&amp;$B67&amp;"'!$AF$6:$AF$205"),0))),"-"))</f>
        <v/>
      </c>
      <c r="Z67" s="38">
        <f>IF(OR(AP67="",Z$5="-"),"",IFERROR(IF(INDEX(INDIRECT("'"&amp;$B67&amp;"'!$T$6:$T$205"),MATCH($AR67&amp;"|"&amp;Z$5,INDIRECT("'"&amp;$B67&amp;"'!$AF$6:$AF$205"),0))="","",INDEX(INDIRECT("'"&amp;$B67&amp;"'!$T$6:$T$205"),MATCH($AR67&amp;"|"&amp;Z$5,INDIRECT("'"&amp;$B67&amp;"'!$AF$6:$AF$205"),0))),"-"))</f>
        <v/>
      </c>
      <c r="AA67" s="38">
        <f>IF(OR(AP67="",AA$5="-"),"",IFERROR(IF(INDEX(INDIRECT("'"&amp;$B67&amp;"'!$T$6:$T$205"),MATCH($AR67&amp;"|"&amp;AA$5,INDIRECT("'"&amp;$B67&amp;"'!$AF$6:$AF$205"),0))="","",INDEX(INDIRECT("'"&amp;$B67&amp;"'!$T$6:$T$205"),MATCH($AR67&amp;"|"&amp;AA$5,INDIRECT("'"&amp;$B67&amp;"'!$AF$6:$AF$205"),0))),"-"))</f>
        <v/>
      </c>
      <c r="AB67" s="38">
        <f>IF(OR(AP67="",AB$5="-"),"",IFERROR(IF(INDEX(INDIRECT("'"&amp;$B67&amp;"'!$T$6:$T$205"),MATCH($AR67&amp;"|"&amp;AB$5,INDIRECT("'"&amp;$B67&amp;"'!$AF$6:$AF$205"),0))="","",INDEX(INDIRECT("'"&amp;$B67&amp;"'!$T$6:$T$205"),MATCH($AR67&amp;"|"&amp;AB$5,INDIRECT("'"&amp;$B67&amp;"'!$AF$6:$AF$205"),0))),"-"))</f>
        <v/>
      </c>
      <c r="AC67" s="38">
        <f>IF(OR(AP67="",AC$5="-"),"",IFERROR(IF(INDEX(INDIRECT("'"&amp;$B67&amp;"'!$T$6:$T$205"),MATCH($AR67&amp;"|"&amp;AC$5,INDIRECT("'"&amp;$B67&amp;"'!$AF$6:$AF$205"),0))="","",INDEX(INDIRECT("'"&amp;$B67&amp;"'!$T$6:$T$205"),MATCH($AR67&amp;"|"&amp;AC$5,INDIRECT("'"&amp;$B67&amp;"'!$AF$6:$AF$205"),0))),"-"))</f>
        <v/>
      </c>
      <c r="AD67" s="38">
        <f>IF(OR(AP67="",AD$5="-"),"",IFERROR(IF(INDEX(INDIRECT("'"&amp;$B67&amp;"'!$T$6:$T$205"),MATCH($AR67&amp;"|"&amp;AD$5,INDIRECT("'"&amp;$B67&amp;"'!$AF$6:$AF$205"),0))="","",INDEX(INDIRECT("'"&amp;$B67&amp;"'!$T$6:$T$205"),MATCH($AR67&amp;"|"&amp;AD$5,INDIRECT("'"&amp;$B67&amp;"'!$AF$6:$AF$205"),0))),"-"))</f>
        <v/>
      </c>
      <c r="AE67" s="38">
        <f>IF(OR(AP67="",AE$5="-"),"",IFERROR(IF(INDEX(INDIRECT("'"&amp;$B67&amp;"'!$T$6:$T$205"),MATCH($AR67&amp;"|"&amp;AE$5,INDIRECT("'"&amp;$B67&amp;"'!$AF$6:$AF$205"),0))="","",INDEX(INDIRECT("'"&amp;$B67&amp;"'!$T$6:$T$205"),MATCH($AR67&amp;"|"&amp;AE$5,INDIRECT("'"&amp;$B67&amp;"'!$AF$6:$AF$205"),0))),"-"))</f>
        <v/>
      </c>
      <c r="AF67" s="35">
        <f>IF(AG67="","",INDEX($P$5:$W$5,MATCH(AG67,P67:W67,0)))</f>
        <v/>
      </c>
      <c r="AG67" s="37">
        <f>IF(COUNT(P67:W67)=0,"",MIN(P67:W67))</f>
        <v/>
      </c>
      <c r="AH67" s="39">
        <f>IF(AG67="","",AG67*F67)</f>
        <v/>
      </c>
      <c r="AI67" s="39">
        <f>IF(COUNT(P67:W67)&lt;2,"",(MAX(P67:W67)-MIN(P67:W67))*F67)</f>
        <v/>
      </c>
      <c r="AJ67" s="20" t="n"/>
      <c r="AP67">
        <f>IF(62&gt;MAX($AN$6:$AN$9),"",COUNTIF($AN$6:$AN$9,"&lt;"&amp;62)+1)</f>
        <v/>
      </c>
      <c r="AQ67">
        <f>IF(AP67="","",62-INDEX($AO$6:$AO$9,AP67))</f>
        <v/>
      </c>
      <c r="AR67">
        <f>IF(AP67="","",INDEX(INDIRECT("'"&amp;$B67&amp;"'!$AE$6:$AE$205"),MATCH(AQ67,INDIRECT("'"&amp;$B67&amp;"'!$AI$6:$AI$205"),0)))</f>
        <v/>
      </c>
    </row>
    <row r="68">
      <c r="A68" s="34">
        <f>IF(AP68="","",63)</f>
        <v/>
      </c>
      <c r="B68" s="35">
        <f>IF(AP68="","",INDEX($AL$6:$AL$9,AP68))</f>
        <v/>
      </c>
      <c r="C68" s="34">
        <f>IF(AP68="","",INDEX(INDIRECT("'"&amp;$B68&amp;"'!$B$6:$B$205"),MATCH($AR68,INDIRECT("'"&amp;$B68&amp;"'!$AE$6:$AE$205"),0)))</f>
        <v/>
      </c>
      <c r="D68" s="34">
        <f>IF(AP68="","",INDEX(INDIRECT("'"&amp;$B68&amp;"'!$D$6:$D$205"),MATCH($AR68,INDIRECT("'"&amp;$B68&amp;"'!$AE$6:$AE$205"),0)))</f>
        <v/>
      </c>
      <c r="E68" s="36">
        <f>IF(AP68="","",INDEX(INDIRECT("'"&amp;$B68&amp;"'!$F$6:$F$205"),MATCH($AR68,INDIRECT("'"&amp;$B68&amp;"'!$AE$6:$AE$205"),0)))</f>
        <v/>
      </c>
      <c r="F68" s="34">
        <f>IF(AP68="","",INDEX(INDIRECT("'"&amp;$B68&amp;"'!$K$6:$K$205"),MATCH($AR68,INDIRECT("'"&amp;$B68&amp;"'!$AE$6:$AE$205"),0)))</f>
        <v/>
      </c>
      <c r="G68" s="34">
        <f>IF(AP68="","",INDEX(INDIRECT("'"&amp;$B68&amp;"'!$L$6:$L$205"),MATCH($AR68,INDIRECT("'"&amp;$B68&amp;"'!$AE$6:$AE$205"),0)))</f>
        <v/>
      </c>
      <c r="H68" s="34">
        <f>IF(OR(AP68="",H$5="-"),"",IFERROR(IF(INDEX(INDIRECT("'"&amp;$B68&amp;"'!$N$6:$N$205"),MATCH($AR68&amp;"|"&amp;H$5,INDIRECT("'"&amp;$B68&amp;"'!$AF$6:$AF$205"),0))="","",INDEX(INDIRECT("'"&amp;$B68&amp;"'!$N$6:$N$205"),MATCH($AR68&amp;"|"&amp;H$5,INDIRECT("'"&amp;$B68&amp;"'!$AF$6:$AF$205"),0))),"-"))</f>
        <v/>
      </c>
      <c r="I68" s="34">
        <f>IF(OR(AP68="",I$5="-"),"",IFERROR(IF(INDEX(INDIRECT("'"&amp;$B68&amp;"'!$N$6:$N$205"),MATCH($AR68&amp;"|"&amp;I$5,INDIRECT("'"&amp;$B68&amp;"'!$AF$6:$AF$205"),0))="","",INDEX(INDIRECT("'"&amp;$B68&amp;"'!$N$6:$N$205"),MATCH($AR68&amp;"|"&amp;I$5,INDIRECT("'"&amp;$B68&amp;"'!$AF$6:$AF$205"),0))),"-"))</f>
        <v/>
      </c>
      <c r="J68" s="34">
        <f>IF(OR(AP68="",J$5="-"),"",IFERROR(IF(INDEX(INDIRECT("'"&amp;$B68&amp;"'!$N$6:$N$205"),MATCH($AR68&amp;"|"&amp;J$5,INDIRECT("'"&amp;$B68&amp;"'!$AF$6:$AF$205"),0))="","",INDEX(INDIRECT("'"&amp;$B68&amp;"'!$N$6:$N$205"),MATCH($AR68&amp;"|"&amp;J$5,INDIRECT("'"&amp;$B68&amp;"'!$AF$6:$AF$205"),0))),"-"))</f>
        <v/>
      </c>
      <c r="K68" s="34">
        <f>IF(OR(AP68="",K$5="-"),"",IFERROR(IF(INDEX(INDIRECT("'"&amp;$B68&amp;"'!$N$6:$N$205"),MATCH($AR68&amp;"|"&amp;K$5,INDIRECT("'"&amp;$B68&amp;"'!$AF$6:$AF$205"),0))="","",INDEX(INDIRECT("'"&amp;$B68&amp;"'!$N$6:$N$205"),MATCH($AR68&amp;"|"&amp;K$5,INDIRECT("'"&amp;$B68&amp;"'!$AF$6:$AF$205"),0))),"-"))</f>
        <v/>
      </c>
      <c r="L68" s="34">
        <f>IF(OR(AP68="",L$5="-"),"",IFERROR(IF(INDEX(INDIRECT("'"&amp;$B68&amp;"'!$N$6:$N$205"),MATCH($AR68&amp;"|"&amp;L$5,INDIRECT("'"&amp;$B68&amp;"'!$AF$6:$AF$205"),0))="","",INDEX(INDIRECT("'"&amp;$B68&amp;"'!$N$6:$N$205"),MATCH($AR68&amp;"|"&amp;L$5,INDIRECT("'"&amp;$B68&amp;"'!$AF$6:$AF$205"),0))),"-"))</f>
        <v/>
      </c>
      <c r="M68" s="34">
        <f>IF(OR(AP68="",M$5="-"),"",IFERROR(IF(INDEX(INDIRECT("'"&amp;$B68&amp;"'!$N$6:$N$205"),MATCH($AR68&amp;"|"&amp;M$5,INDIRECT("'"&amp;$B68&amp;"'!$AF$6:$AF$205"),0))="","",INDEX(INDIRECT("'"&amp;$B68&amp;"'!$N$6:$N$205"),MATCH($AR68&amp;"|"&amp;M$5,INDIRECT("'"&amp;$B68&amp;"'!$AF$6:$AF$205"),0))),"-"))</f>
        <v/>
      </c>
      <c r="N68" s="34">
        <f>IF(OR(AP68="",N$5="-"),"",IFERROR(IF(INDEX(INDIRECT("'"&amp;$B68&amp;"'!$N$6:$N$205"),MATCH($AR68&amp;"|"&amp;N$5,INDIRECT("'"&amp;$B68&amp;"'!$AF$6:$AF$205"),0))="","",INDEX(INDIRECT("'"&amp;$B68&amp;"'!$N$6:$N$205"),MATCH($AR68&amp;"|"&amp;N$5,INDIRECT("'"&amp;$B68&amp;"'!$AF$6:$AF$205"),0))),"-"))</f>
        <v/>
      </c>
      <c r="O68" s="34">
        <f>IF(OR(AP68="",O$5="-"),"",IFERROR(IF(INDEX(INDIRECT("'"&amp;$B68&amp;"'!$N$6:$N$205"),MATCH($AR68&amp;"|"&amp;O$5,INDIRECT("'"&amp;$B68&amp;"'!$AF$6:$AF$205"),0))="","",INDEX(INDIRECT("'"&amp;$B68&amp;"'!$N$6:$N$205"),MATCH($AR68&amp;"|"&amp;O$5,INDIRECT("'"&amp;$B68&amp;"'!$AF$6:$AF$205"),0))),"-"))</f>
        <v/>
      </c>
      <c r="P68" s="37">
        <f>IF(OR(AP68="",P$5="-"),"",IFERROR(IF(INDEX(INDIRECT("'"&amp;$B68&amp;"'!$R$6:$R$205"),MATCH($AR68&amp;"|"&amp;P$5,INDIRECT("'"&amp;$B68&amp;"'!$AF$6:$AF$205"),0))="","",INDEX(INDIRECT("'"&amp;$B68&amp;"'!$R$6:$R$205"),MATCH($AR68&amp;"|"&amp;P$5,INDIRECT("'"&amp;$B68&amp;"'!$AF$6:$AF$205"),0))),"-"))</f>
        <v/>
      </c>
      <c r="Q68" s="37">
        <f>IF(OR(AP68="",Q$5="-"),"",IFERROR(IF(INDEX(INDIRECT("'"&amp;$B68&amp;"'!$R$6:$R$205"),MATCH($AR68&amp;"|"&amp;Q$5,INDIRECT("'"&amp;$B68&amp;"'!$AF$6:$AF$205"),0))="","",INDEX(INDIRECT("'"&amp;$B68&amp;"'!$R$6:$R$205"),MATCH($AR68&amp;"|"&amp;Q$5,INDIRECT("'"&amp;$B68&amp;"'!$AF$6:$AF$205"),0))),"-"))</f>
        <v/>
      </c>
      <c r="R68" s="37">
        <f>IF(OR(AP68="",R$5="-"),"",IFERROR(IF(INDEX(INDIRECT("'"&amp;$B68&amp;"'!$R$6:$R$205"),MATCH($AR68&amp;"|"&amp;R$5,INDIRECT("'"&amp;$B68&amp;"'!$AF$6:$AF$205"),0))="","",INDEX(INDIRECT("'"&amp;$B68&amp;"'!$R$6:$R$205"),MATCH($AR68&amp;"|"&amp;R$5,INDIRECT("'"&amp;$B68&amp;"'!$AF$6:$AF$205"),0))),"-"))</f>
        <v/>
      </c>
      <c r="S68" s="37">
        <f>IF(OR(AP68="",S$5="-"),"",IFERROR(IF(INDEX(INDIRECT("'"&amp;$B68&amp;"'!$R$6:$R$205"),MATCH($AR68&amp;"|"&amp;S$5,INDIRECT("'"&amp;$B68&amp;"'!$AF$6:$AF$205"),0))="","",INDEX(INDIRECT("'"&amp;$B68&amp;"'!$R$6:$R$205"),MATCH($AR68&amp;"|"&amp;S$5,INDIRECT("'"&amp;$B68&amp;"'!$AF$6:$AF$205"),0))),"-"))</f>
        <v/>
      </c>
      <c r="T68" s="37">
        <f>IF(OR(AP68="",T$5="-"),"",IFERROR(IF(INDEX(INDIRECT("'"&amp;$B68&amp;"'!$R$6:$R$205"),MATCH($AR68&amp;"|"&amp;T$5,INDIRECT("'"&amp;$B68&amp;"'!$AF$6:$AF$205"),0))="","",INDEX(INDIRECT("'"&amp;$B68&amp;"'!$R$6:$R$205"),MATCH($AR68&amp;"|"&amp;T$5,INDIRECT("'"&amp;$B68&amp;"'!$AF$6:$AF$205"),0))),"-"))</f>
        <v/>
      </c>
      <c r="U68" s="37">
        <f>IF(OR(AP68="",U$5="-"),"",IFERROR(IF(INDEX(INDIRECT("'"&amp;$B68&amp;"'!$R$6:$R$205"),MATCH($AR68&amp;"|"&amp;U$5,INDIRECT("'"&amp;$B68&amp;"'!$AF$6:$AF$205"),0))="","",INDEX(INDIRECT("'"&amp;$B68&amp;"'!$R$6:$R$205"),MATCH($AR68&amp;"|"&amp;U$5,INDIRECT("'"&amp;$B68&amp;"'!$AF$6:$AF$205"),0))),"-"))</f>
        <v/>
      </c>
      <c r="V68" s="37">
        <f>IF(OR(AP68="",V$5="-"),"",IFERROR(IF(INDEX(INDIRECT("'"&amp;$B68&amp;"'!$R$6:$R$205"),MATCH($AR68&amp;"|"&amp;V$5,INDIRECT("'"&amp;$B68&amp;"'!$AF$6:$AF$205"),0))="","",INDEX(INDIRECT("'"&amp;$B68&amp;"'!$R$6:$R$205"),MATCH($AR68&amp;"|"&amp;V$5,INDIRECT("'"&amp;$B68&amp;"'!$AF$6:$AF$205"),0))),"-"))</f>
        <v/>
      </c>
      <c r="W68" s="37">
        <f>IF(OR(AP68="",W$5="-"),"",IFERROR(IF(INDEX(INDIRECT("'"&amp;$B68&amp;"'!$R$6:$R$205"),MATCH($AR68&amp;"|"&amp;W$5,INDIRECT("'"&amp;$B68&amp;"'!$AF$6:$AF$205"),0))="","",INDEX(INDIRECT("'"&amp;$B68&amp;"'!$R$6:$R$205"),MATCH($AR68&amp;"|"&amp;W$5,INDIRECT("'"&amp;$B68&amp;"'!$AF$6:$AF$205"),0))),"-"))</f>
        <v/>
      </c>
      <c r="X68" s="38">
        <f>IF(OR(AP68="",X$5="-"),"",IFERROR(IF(INDEX(INDIRECT("'"&amp;$B68&amp;"'!$T$6:$T$205"),MATCH($AR68&amp;"|"&amp;X$5,INDIRECT("'"&amp;$B68&amp;"'!$AF$6:$AF$205"),0))="","",INDEX(INDIRECT("'"&amp;$B68&amp;"'!$T$6:$T$205"),MATCH($AR68&amp;"|"&amp;X$5,INDIRECT("'"&amp;$B68&amp;"'!$AF$6:$AF$205"),0))),"-"))</f>
        <v/>
      </c>
      <c r="Y68" s="38">
        <f>IF(OR(AP68="",Y$5="-"),"",IFERROR(IF(INDEX(INDIRECT("'"&amp;$B68&amp;"'!$T$6:$T$205"),MATCH($AR68&amp;"|"&amp;Y$5,INDIRECT("'"&amp;$B68&amp;"'!$AF$6:$AF$205"),0))="","",INDEX(INDIRECT("'"&amp;$B68&amp;"'!$T$6:$T$205"),MATCH($AR68&amp;"|"&amp;Y$5,INDIRECT("'"&amp;$B68&amp;"'!$AF$6:$AF$205"),0))),"-"))</f>
        <v/>
      </c>
      <c r="Z68" s="38">
        <f>IF(OR(AP68="",Z$5="-"),"",IFERROR(IF(INDEX(INDIRECT("'"&amp;$B68&amp;"'!$T$6:$T$205"),MATCH($AR68&amp;"|"&amp;Z$5,INDIRECT("'"&amp;$B68&amp;"'!$AF$6:$AF$205"),0))="","",INDEX(INDIRECT("'"&amp;$B68&amp;"'!$T$6:$T$205"),MATCH($AR68&amp;"|"&amp;Z$5,INDIRECT("'"&amp;$B68&amp;"'!$AF$6:$AF$205"),0))),"-"))</f>
        <v/>
      </c>
      <c r="AA68" s="38">
        <f>IF(OR(AP68="",AA$5="-"),"",IFERROR(IF(INDEX(INDIRECT("'"&amp;$B68&amp;"'!$T$6:$T$205"),MATCH($AR68&amp;"|"&amp;AA$5,INDIRECT("'"&amp;$B68&amp;"'!$AF$6:$AF$205"),0))="","",INDEX(INDIRECT("'"&amp;$B68&amp;"'!$T$6:$T$205"),MATCH($AR68&amp;"|"&amp;AA$5,INDIRECT("'"&amp;$B68&amp;"'!$AF$6:$AF$205"),0))),"-"))</f>
        <v/>
      </c>
      <c r="AB68" s="38">
        <f>IF(OR(AP68="",AB$5="-"),"",IFERROR(IF(INDEX(INDIRECT("'"&amp;$B68&amp;"'!$T$6:$T$205"),MATCH($AR68&amp;"|"&amp;AB$5,INDIRECT("'"&amp;$B68&amp;"'!$AF$6:$AF$205"),0))="","",INDEX(INDIRECT("'"&amp;$B68&amp;"'!$T$6:$T$205"),MATCH($AR68&amp;"|"&amp;AB$5,INDIRECT("'"&amp;$B68&amp;"'!$AF$6:$AF$205"),0))),"-"))</f>
        <v/>
      </c>
      <c r="AC68" s="38">
        <f>IF(OR(AP68="",AC$5="-"),"",IFERROR(IF(INDEX(INDIRECT("'"&amp;$B68&amp;"'!$T$6:$T$205"),MATCH($AR68&amp;"|"&amp;AC$5,INDIRECT("'"&amp;$B68&amp;"'!$AF$6:$AF$205"),0))="","",INDEX(INDIRECT("'"&amp;$B68&amp;"'!$T$6:$T$205"),MATCH($AR68&amp;"|"&amp;AC$5,INDIRECT("'"&amp;$B68&amp;"'!$AF$6:$AF$205"),0))),"-"))</f>
        <v/>
      </c>
      <c r="AD68" s="38">
        <f>IF(OR(AP68="",AD$5="-"),"",IFERROR(IF(INDEX(INDIRECT("'"&amp;$B68&amp;"'!$T$6:$T$205"),MATCH($AR68&amp;"|"&amp;AD$5,INDIRECT("'"&amp;$B68&amp;"'!$AF$6:$AF$205"),0))="","",INDEX(INDIRECT("'"&amp;$B68&amp;"'!$T$6:$T$205"),MATCH($AR68&amp;"|"&amp;AD$5,INDIRECT("'"&amp;$B68&amp;"'!$AF$6:$AF$205"),0))),"-"))</f>
        <v/>
      </c>
      <c r="AE68" s="38">
        <f>IF(OR(AP68="",AE$5="-"),"",IFERROR(IF(INDEX(INDIRECT("'"&amp;$B68&amp;"'!$T$6:$T$205"),MATCH($AR68&amp;"|"&amp;AE$5,INDIRECT("'"&amp;$B68&amp;"'!$AF$6:$AF$205"),0))="","",INDEX(INDIRECT("'"&amp;$B68&amp;"'!$T$6:$T$205"),MATCH($AR68&amp;"|"&amp;AE$5,INDIRECT("'"&amp;$B68&amp;"'!$AF$6:$AF$205"),0))),"-"))</f>
        <v/>
      </c>
      <c r="AF68" s="35">
        <f>IF(AG68="","",INDEX($P$5:$W$5,MATCH(AG68,P68:W68,0)))</f>
        <v/>
      </c>
      <c r="AG68" s="37">
        <f>IF(COUNT(P68:W68)=0,"",MIN(P68:W68))</f>
        <v/>
      </c>
      <c r="AH68" s="39">
        <f>IF(AG68="","",AG68*F68)</f>
        <v/>
      </c>
      <c r="AI68" s="39">
        <f>IF(COUNT(P68:W68)&lt;2,"",(MAX(P68:W68)-MIN(P68:W68))*F68)</f>
        <v/>
      </c>
      <c r="AJ68" s="20" t="n"/>
      <c r="AP68">
        <f>IF(63&gt;MAX($AN$6:$AN$9),"",COUNTIF($AN$6:$AN$9,"&lt;"&amp;63)+1)</f>
        <v/>
      </c>
      <c r="AQ68">
        <f>IF(AP68="","",63-INDEX($AO$6:$AO$9,AP68))</f>
        <v/>
      </c>
      <c r="AR68">
        <f>IF(AP68="","",INDEX(INDIRECT("'"&amp;$B68&amp;"'!$AE$6:$AE$205"),MATCH(AQ68,INDIRECT("'"&amp;$B68&amp;"'!$AI$6:$AI$205"),0)))</f>
        <v/>
      </c>
    </row>
    <row r="69">
      <c r="A69" s="34">
        <f>IF(AP69="","",64)</f>
        <v/>
      </c>
      <c r="B69" s="35">
        <f>IF(AP69="","",INDEX($AL$6:$AL$9,AP69))</f>
        <v/>
      </c>
      <c r="C69" s="34">
        <f>IF(AP69="","",INDEX(INDIRECT("'"&amp;$B69&amp;"'!$B$6:$B$205"),MATCH($AR69,INDIRECT("'"&amp;$B69&amp;"'!$AE$6:$AE$205"),0)))</f>
        <v/>
      </c>
      <c r="D69" s="34">
        <f>IF(AP69="","",INDEX(INDIRECT("'"&amp;$B69&amp;"'!$D$6:$D$205"),MATCH($AR69,INDIRECT("'"&amp;$B69&amp;"'!$AE$6:$AE$205"),0)))</f>
        <v/>
      </c>
      <c r="E69" s="36">
        <f>IF(AP69="","",INDEX(INDIRECT("'"&amp;$B69&amp;"'!$F$6:$F$205"),MATCH($AR69,INDIRECT("'"&amp;$B69&amp;"'!$AE$6:$AE$205"),0)))</f>
        <v/>
      </c>
      <c r="F69" s="34">
        <f>IF(AP69="","",INDEX(INDIRECT("'"&amp;$B69&amp;"'!$K$6:$K$205"),MATCH($AR69,INDIRECT("'"&amp;$B69&amp;"'!$AE$6:$AE$205"),0)))</f>
        <v/>
      </c>
      <c r="G69" s="34">
        <f>IF(AP69="","",INDEX(INDIRECT("'"&amp;$B69&amp;"'!$L$6:$L$205"),MATCH($AR69,INDIRECT("'"&amp;$B69&amp;"'!$AE$6:$AE$205"),0)))</f>
        <v/>
      </c>
      <c r="H69" s="34">
        <f>IF(OR(AP69="",H$5="-"),"",IFERROR(IF(INDEX(INDIRECT("'"&amp;$B69&amp;"'!$N$6:$N$205"),MATCH($AR69&amp;"|"&amp;H$5,INDIRECT("'"&amp;$B69&amp;"'!$AF$6:$AF$205"),0))="","",INDEX(INDIRECT("'"&amp;$B69&amp;"'!$N$6:$N$205"),MATCH($AR69&amp;"|"&amp;H$5,INDIRECT("'"&amp;$B69&amp;"'!$AF$6:$AF$205"),0))),"-"))</f>
        <v/>
      </c>
      <c r="I69" s="34">
        <f>IF(OR(AP69="",I$5="-"),"",IFERROR(IF(INDEX(INDIRECT("'"&amp;$B69&amp;"'!$N$6:$N$205"),MATCH($AR69&amp;"|"&amp;I$5,INDIRECT("'"&amp;$B69&amp;"'!$AF$6:$AF$205"),0))="","",INDEX(INDIRECT("'"&amp;$B69&amp;"'!$N$6:$N$205"),MATCH($AR69&amp;"|"&amp;I$5,INDIRECT("'"&amp;$B69&amp;"'!$AF$6:$AF$205"),0))),"-"))</f>
        <v/>
      </c>
      <c r="J69" s="34">
        <f>IF(OR(AP69="",J$5="-"),"",IFERROR(IF(INDEX(INDIRECT("'"&amp;$B69&amp;"'!$N$6:$N$205"),MATCH($AR69&amp;"|"&amp;J$5,INDIRECT("'"&amp;$B69&amp;"'!$AF$6:$AF$205"),0))="","",INDEX(INDIRECT("'"&amp;$B69&amp;"'!$N$6:$N$205"),MATCH($AR69&amp;"|"&amp;J$5,INDIRECT("'"&amp;$B69&amp;"'!$AF$6:$AF$205"),0))),"-"))</f>
        <v/>
      </c>
      <c r="K69" s="34">
        <f>IF(OR(AP69="",K$5="-"),"",IFERROR(IF(INDEX(INDIRECT("'"&amp;$B69&amp;"'!$N$6:$N$205"),MATCH($AR69&amp;"|"&amp;K$5,INDIRECT("'"&amp;$B69&amp;"'!$AF$6:$AF$205"),0))="","",INDEX(INDIRECT("'"&amp;$B69&amp;"'!$N$6:$N$205"),MATCH($AR69&amp;"|"&amp;K$5,INDIRECT("'"&amp;$B69&amp;"'!$AF$6:$AF$205"),0))),"-"))</f>
        <v/>
      </c>
      <c r="L69" s="34">
        <f>IF(OR(AP69="",L$5="-"),"",IFERROR(IF(INDEX(INDIRECT("'"&amp;$B69&amp;"'!$N$6:$N$205"),MATCH($AR69&amp;"|"&amp;L$5,INDIRECT("'"&amp;$B69&amp;"'!$AF$6:$AF$205"),0))="","",INDEX(INDIRECT("'"&amp;$B69&amp;"'!$N$6:$N$205"),MATCH($AR69&amp;"|"&amp;L$5,INDIRECT("'"&amp;$B69&amp;"'!$AF$6:$AF$205"),0))),"-"))</f>
        <v/>
      </c>
      <c r="M69" s="34">
        <f>IF(OR(AP69="",M$5="-"),"",IFERROR(IF(INDEX(INDIRECT("'"&amp;$B69&amp;"'!$N$6:$N$205"),MATCH($AR69&amp;"|"&amp;M$5,INDIRECT("'"&amp;$B69&amp;"'!$AF$6:$AF$205"),0))="","",INDEX(INDIRECT("'"&amp;$B69&amp;"'!$N$6:$N$205"),MATCH($AR69&amp;"|"&amp;M$5,INDIRECT("'"&amp;$B69&amp;"'!$AF$6:$AF$205"),0))),"-"))</f>
        <v/>
      </c>
      <c r="N69" s="34">
        <f>IF(OR(AP69="",N$5="-"),"",IFERROR(IF(INDEX(INDIRECT("'"&amp;$B69&amp;"'!$N$6:$N$205"),MATCH($AR69&amp;"|"&amp;N$5,INDIRECT("'"&amp;$B69&amp;"'!$AF$6:$AF$205"),0))="","",INDEX(INDIRECT("'"&amp;$B69&amp;"'!$N$6:$N$205"),MATCH($AR69&amp;"|"&amp;N$5,INDIRECT("'"&amp;$B69&amp;"'!$AF$6:$AF$205"),0))),"-"))</f>
        <v/>
      </c>
      <c r="O69" s="34">
        <f>IF(OR(AP69="",O$5="-"),"",IFERROR(IF(INDEX(INDIRECT("'"&amp;$B69&amp;"'!$N$6:$N$205"),MATCH($AR69&amp;"|"&amp;O$5,INDIRECT("'"&amp;$B69&amp;"'!$AF$6:$AF$205"),0))="","",INDEX(INDIRECT("'"&amp;$B69&amp;"'!$N$6:$N$205"),MATCH($AR69&amp;"|"&amp;O$5,INDIRECT("'"&amp;$B69&amp;"'!$AF$6:$AF$205"),0))),"-"))</f>
        <v/>
      </c>
      <c r="P69" s="37">
        <f>IF(OR(AP69="",P$5="-"),"",IFERROR(IF(INDEX(INDIRECT("'"&amp;$B69&amp;"'!$R$6:$R$205"),MATCH($AR69&amp;"|"&amp;P$5,INDIRECT("'"&amp;$B69&amp;"'!$AF$6:$AF$205"),0))="","",INDEX(INDIRECT("'"&amp;$B69&amp;"'!$R$6:$R$205"),MATCH($AR69&amp;"|"&amp;P$5,INDIRECT("'"&amp;$B69&amp;"'!$AF$6:$AF$205"),0))),"-"))</f>
        <v/>
      </c>
      <c r="Q69" s="37">
        <f>IF(OR(AP69="",Q$5="-"),"",IFERROR(IF(INDEX(INDIRECT("'"&amp;$B69&amp;"'!$R$6:$R$205"),MATCH($AR69&amp;"|"&amp;Q$5,INDIRECT("'"&amp;$B69&amp;"'!$AF$6:$AF$205"),0))="","",INDEX(INDIRECT("'"&amp;$B69&amp;"'!$R$6:$R$205"),MATCH($AR69&amp;"|"&amp;Q$5,INDIRECT("'"&amp;$B69&amp;"'!$AF$6:$AF$205"),0))),"-"))</f>
        <v/>
      </c>
      <c r="R69" s="37">
        <f>IF(OR(AP69="",R$5="-"),"",IFERROR(IF(INDEX(INDIRECT("'"&amp;$B69&amp;"'!$R$6:$R$205"),MATCH($AR69&amp;"|"&amp;R$5,INDIRECT("'"&amp;$B69&amp;"'!$AF$6:$AF$205"),0))="","",INDEX(INDIRECT("'"&amp;$B69&amp;"'!$R$6:$R$205"),MATCH($AR69&amp;"|"&amp;R$5,INDIRECT("'"&amp;$B69&amp;"'!$AF$6:$AF$205"),0))),"-"))</f>
        <v/>
      </c>
      <c r="S69" s="37">
        <f>IF(OR(AP69="",S$5="-"),"",IFERROR(IF(INDEX(INDIRECT("'"&amp;$B69&amp;"'!$R$6:$R$205"),MATCH($AR69&amp;"|"&amp;S$5,INDIRECT("'"&amp;$B69&amp;"'!$AF$6:$AF$205"),0))="","",INDEX(INDIRECT("'"&amp;$B69&amp;"'!$R$6:$R$205"),MATCH($AR69&amp;"|"&amp;S$5,INDIRECT("'"&amp;$B69&amp;"'!$AF$6:$AF$205"),0))),"-"))</f>
        <v/>
      </c>
      <c r="T69" s="37">
        <f>IF(OR(AP69="",T$5="-"),"",IFERROR(IF(INDEX(INDIRECT("'"&amp;$B69&amp;"'!$R$6:$R$205"),MATCH($AR69&amp;"|"&amp;T$5,INDIRECT("'"&amp;$B69&amp;"'!$AF$6:$AF$205"),0))="","",INDEX(INDIRECT("'"&amp;$B69&amp;"'!$R$6:$R$205"),MATCH($AR69&amp;"|"&amp;T$5,INDIRECT("'"&amp;$B69&amp;"'!$AF$6:$AF$205"),0))),"-"))</f>
        <v/>
      </c>
      <c r="U69" s="37">
        <f>IF(OR(AP69="",U$5="-"),"",IFERROR(IF(INDEX(INDIRECT("'"&amp;$B69&amp;"'!$R$6:$R$205"),MATCH($AR69&amp;"|"&amp;U$5,INDIRECT("'"&amp;$B69&amp;"'!$AF$6:$AF$205"),0))="","",INDEX(INDIRECT("'"&amp;$B69&amp;"'!$R$6:$R$205"),MATCH($AR69&amp;"|"&amp;U$5,INDIRECT("'"&amp;$B69&amp;"'!$AF$6:$AF$205"),0))),"-"))</f>
        <v/>
      </c>
      <c r="V69" s="37">
        <f>IF(OR(AP69="",V$5="-"),"",IFERROR(IF(INDEX(INDIRECT("'"&amp;$B69&amp;"'!$R$6:$R$205"),MATCH($AR69&amp;"|"&amp;V$5,INDIRECT("'"&amp;$B69&amp;"'!$AF$6:$AF$205"),0))="","",INDEX(INDIRECT("'"&amp;$B69&amp;"'!$R$6:$R$205"),MATCH($AR69&amp;"|"&amp;V$5,INDIRECT("'"&amp;$B69&amp;"'!$AF$6:$AF$205"),0))),"-"))</f>
        <v/>
      </c>
      <c r="W69" s="37">
        <f>IF(OR(AP69="",W$5="-"),"",IFERROR(IF(INDEX(INDIRECT("'"&amp;$B69&amp;"'!$R$6:$R$205"),MATCH($AR69&amp;"|"&amp;W$5,INDIRECT("'"&amp;$B69&amp;"'!$AF$6:$AF$205"),0))="","",INDEX(INDIRECT("'"&amp;$B69&amp;"'!$R$6:$R$205"),MATCH($AR69&amp;"|"&amp;W$5,INDIRECT("'"&amp;$B69&amp;"'!$AF$6:$AF$205"),0))),"-"))</f>
        <v/>
      </c>
      <c r="X69" s="38">
        <f>IF(OR(AP69="",X$5="-"),"",IFERROR(IF(INDEX(INDIRECT("'"&amp;$B69&amp;"'!$T$6:$T$205"),MATCH($AR69&amp;"|"&amp;X$5,INDIRECT("'"&amp;$B69&amp;"'!$AF$6:$AF$205"),0))="","",INDEX(INDIRECT("'"&amp;$B69&amp;"'!$T$6:$T$205"),MATCH($AR69&amp;"|"&amp;X$5,INDIRECT("'"&amp;$B69&amp;"'!$AF$6:$AF$205"),0))),"-"))</f>
        <v/>
      </c>
      <c r="Y69" s="38">
        <f>IF(OR(AP69="",Y$5="-"),"",IFERROR(IF(INDEX(INDIRECT("'"&amp;$B69&amp;"'!$T$6:$T$205"),MATCH($AR69&amp;"|"&amp;Y$5,INDIRECT("'"&amp;$B69&amp;"'!$AF$6:$AF$205"),0))="","",INDEX(INDIRECT("'"&amp;$B69&amp;"'!$T$6:$T$205"),MATCH($AR69&amp;"|"&amp;Y$5,INDIRECT("'"&amp;$B69&amp;"'!$AF$6:$AF$205"),0))),"-"))</f>
        <v/>
      </c>
      <c r="Z69" s="38">
        <f>IF(OR(AP69="",Z$5="-"),"",IFERROR(IF(INDEX(INDIRECT("'"&amp;$B69&amp;"'!$T$6:$T$205"),MATCH($AR69&amp;"|"&amp;Z$5,INDIRECT("'"&amp;$B69&amp;"'!$AF$6:$AF$205"),0))="","",INDEX(INDIRECT("'"&amp;$B69&amp;"'!$T$6:$T$205"),MATCH($AR69&amp;"|"&amp;Z$5,INDIRECT("'"&amp;$B69&amp;"'!$AF$6:$AF$205"),0))),"-"))</f>
        <v/>
      </c>
      <c r="AA69" s="38">
        <f>IF(OR(AP69="",AA$5="-"),"",IFERROR(IF(INDEX(INDIRECT("'"&amp;$B69&amp;"'!$T$6:$T$205"),MATCH($AR69&amp;"|"&amp;AA$5,INDIRECT("'"&amp;$B69&amp;"'!$AF$6:$AF$205"),0))="","",INDEX(INDIRECT("'"&amp;$B69&amp;"'!$T$6:$T$205"),MATCH($AR69&amp;"|"&amp;AA$5,INDIRECT("'"&amp;$B69&amp;"'!$AF$6:$AF$205"),0))),"-"))</f>
        <v/>
      </c>
      <c r="AB69" s="38">
        <f>IF(OR(AP69="",AB$5="-"),"",IFERROR(IF(INDEX(INDIRECT("'"&amp;$B69&amp;"'!$T$6:$T$205"),MATCH($AR69&amp;"|"&amp;AB$5,INDIRECT("'"&amp;$B69&amp;"'!$AF$6:$AF$205"),0))="","",INDEX(INDIRECT("'"&amp;$B69&amp;"'!$T$6:$T$205"),MATCH($AR69&amp;"|"&amp;AB$5,INDIRECT("'"&amp;$B69&amp;"'!$AF$6:$AF$205"),0))),"-"))</f>
        <v/>
      </c>
      <c r="AC69" s="38">
        <f>IF(OR(AP69="",AC$5="-"),"",IFERROR(IF(INDEX(INDIRECT("'"&amp;$B69&amp;"'!$T$6:$T$205"),MATCH($AR69&amp;"|"&amp;AC$5,INDIRECT("'"&amp;$B69&amp;"'!$AF$6:$AF$205"),0))="","",INDEX(INDIRECT("'"&amp;$B69&amp;"'!$T$6:$T$205"),MATCH($AR69&amp;"|"&amp;AC$5,INDIRECT("'"&amp;$B69&amp;"'!$AF$6:$AF$205"),0))),"-"))</f>
        <v/>
      </c>
      <c r="AD69" s="38">
        <f>IF(OR(AP69="",AD$5="-"),"",IFERROR(IF(INDEX(INDIRECT("'"&amp;$B69&amp;"'!$T$6:$T$205"),MATCH($AR69&amp;"|"&amp;AD$5,INDIRECT("'"&amp;$B69&amp;"'!$AF$6:$AF$205"),0))="","",INDEX(INDIRECT("'"&amp;$B69&amp;"'!$T$6:$T$205"),MATCH($AR69&amp;"|"&amp;AD$5,INDIRECT("'"&amp;$B69&amp;"'!$AF$6:$AF$205"),0))),"-"))</f>
        <v/>
      </c>
      <c r="AE69" s="38">
        <f>IF(OR(AP69="",AE$5="-"),"",IFERROR(IF(INDEX(INDIRECT("'"&amp;$B69&amp;"'!$T$6:$T$205"),MATCH($AR69&amp;"|"&amp;AE$5,INDIRECT("'"&amp;$B69&amp;"'!$AF$6:$AF$205"),0))="","",INDEX(INDIRECT("'"&amp;$B69&amp;"'!$T$6:$T$205"),MATCH($AR69&amp;"|"&amp;AE$5,INDIRECT("'"&amp;$B69&amp;"'!$AF$6:$AF$205"),0))),"-"))</f>
        <v/>
      </c>
      <c r="AF69" s="35">
        <f>IF(AG69="","",INDEX($P$5:$W$5,MATCH(AG69,P69:W69,0)))</f>
        <v/>
      </c>
      <c r="AG69" s="37">
        <f>IF(COUNT(P69:W69)=0,"",MIN(P69:W69))</f>
        <v/>
      </c>
      <c r="AH69" s="39">
        <f>IF(AG69="","",AG69*F69)</f>
        <v/>
      </c>
      <c r="AI69" s="39">
        <f>IF(COUNT(P69:W69)&lt;2,"",(MAX(P69:W69)-MIN(P69:W69))*F69)</f>
        <v/>
      </c>
      <c r="AJ69" s="20" t="n"/>
      <c r="AP69">
        <f>IF(64&gt;MAX($AN$6:$AN$9),"",COUNTIF($AN$6:$AN$9,"&lt;"&amp;64)+1)</f>
        <v/>
      </c>
      <c r="AQ69">
        <f>IF(AP69="","",64-INDEX($AO$6:$AO$9,AP69))</f>
        <v/>
      </c>
      <c r="AR69">
        <f>IF(AP69="","",INDEX(INDIRECT("'"&amp;$B69&amp;"'!$AE$6:$AE$205"),MATCH(AQ69,INDIRECT("'"&amp;$B69&amp;"'!$AI$6:$AI$205"),0)))</f>
        <v/>
      </c>
    </row>
    <row r="70">
      <c r="A70" s="34">
        <f>IF(AP70="","",65)</f>
        <v/>
      </c>
      <c r="B70" s="35">
        <f>IF(AP70="","",INDEX($AL$6:$AL$9,AP70))</f>
        <v/>
      </c>
      <c r="C70" s="34">
        <f>IF(AP70="","",INDEX(INDIRECT("'"&amp;$B70&amp;"'!$B$6:$B$205"),MATCH($AR70,INDIRECT("'"&amp;$B70&amp;"'!$AE$6:$AE$205"),0)))</f>
        <v/>
      </c>
      <c r="D70" s="34">
        <f>IF(AP70="","",INDEX(INDIRECT("'"&amp;$B70&amp;"'!$D$6:$D$205"),MATCH($AR70,INDIRECT("'"&amp;$B70&amp;"'!$AE$6:$AE$205"),0)))</f>
        <v/>
      </c>
      <c r="E70" s="36">
        <f>IF(AP70="","",INDEX(INDIRECT("'"&amp;$B70&amp;"'!$F$6:$F$205"),MATCH($AR70,INDIRECT("'"&amp;$B70&amp;"'!$AE$6:$AE$205"),0)))</f>
        <v/>
      </c>
      <c r="F70" s="34">
        <f>IF(AP70="","",INDEX(INDIRECT("'"&amp;$B70&amp;"'!$K$6:$K$205"),MATCH($AR70,INDIRECT("'"&amp;$B70&amp;"'!$AE$6:$AE$205"),0)))</f>
        <v/>
      </c>
      <c r="G70" s="34">
        <f>IF(AP70="","",INDEX(INDIRECT("'"&amp;$B70&amp;"'!$L$6:$L$205"),MATCH($AR70,INDIRECT("'"&amp;$B70&amp;"'!$AE$6:$AE$205"),0)))</f>
        <v/>
      </c>
      <c r="H70" s="34">
        <f>IF(OR(AP70="",H$5="-"),"",IFERROR(IF(INDEX(INDIRECT("'"&amp;$B70&amp;"'!$N$6:$N$205"),MATCH($AR70&amp;"|"&amp;H$5,INDIRECT("'"&amp;$B70&amp;"'!$AF$6:$AF$205"),0))="","",INDEX(INDIRECT("'"&amp;$B70&amp;"'!$N$6:$N$205"),MATCH($AR70&amp;"|"&amp;H$5,INDIRECT("'"&amp;$B70&amp;"'!$AF$6:$AF$205"),0))),"-"))</f>
        <v/>
      </c>
      <c r="I70" s="34">
        <f>IF(OR(AP70="",I$5="-"),"",IFERROR(IF(INDEX(INDIRECT("'"&amp;$B70&amp;"'!$N$6:$N$205"),MATCH($AR70&amp;"|"&amp;I$5,INDIRECT("'"&amp;$B70&amp;"'!$AF$6:$AF$205"),0))="","",INDEX(INDIRECT("'"&amp;$B70&amp;"'!$N$6:$N$205"),MATCH($AR70&amp;"|"&amp;I$5,INDIRECT("'"&amp;$B70&amp;"'!$AF$6:$AF$205"),0))),"-"))</f>
        <v/>
      </c>
      <c r="J70" s="34">
        <f>IF(OR(AP70="",J$5="-"),"",IFERROR(IF(INDEX(INDIRECT("'"&amp;$B70&amp;"'!$N$6:$N$205"),MATCH($AR70&amp;"|"&amp;J$5,INDIRECT("'"&amp;$B70&amp;"'!$AF$6:$AF$205"),0))="","",INDEX(INDIRECT("'"&amp;$B70&amp;"'!$N$6:$N$205"),MATCH($AR70&amp;"|"&amp;J$5,INDIRECT("'"&amp;$B70&amp;"'!$AF$6:$AF$205"),0))),"-"))</f>
        <v/>
      </c>
      <c r="K70" s="34">
        <f>IF(OR(AP70="",K$5="-"),"",IFERROR(IF(INDEX(INDIRECT("'"&amp;$B70&amp;"'!$N$6:$N$205"),MATCH($AR70&amp;"|"&amp;K$5,INDIRECT("'"&amp;$B70&amp;"'!$AF$6:$AF$205"),0))="","",INDEX(INDIRECT("'"&amp;$B70&amp;"'!$N$6:$N$205"),MATCH($AR70&amp;"|"&amp;K$5,INDIRECT("'"&amp;$B70&amp;"'!$AF$6:$AF$205"),0))),"-"))</f>
        <v/>
      </c>
      <c r="L70" s="34">
        <f>IF(OR(AP70="",L$5="-"),"",IFERROR(IF(INDEX(INDIRECT("'"&amp;$B70&amp;"'!$N$6:$N$205"),MATCH($AR70&amp;"|"&amp;L$5,INDIRECT("'"&amp;$B70&amp;"'!$AF$6:$AF$205"),0))="","",INDEX(INDIRECT("'"&amp;$B70&amp;"'!$N$6:$N$205"),MATCH($AR70&amp;"|"&amp;L$5,INDIRECT("'"&amp;$B70&amp;"'!$AF$6:$AF$205"),0))),"-"))</f>
        <v/>
      </c>
      <c r="M70" s="34">
        <f>IF(OR(AP70="",M$5="-"),"",IFERROR(IF(INDEX(INDIRECT("'"&amp;$B70&amp;"'!$N$6:$N$205"),MATCH($AR70&amp;"|"&amp;M$5,INDIRECT("'"&amp;$B70&amp;"'!$AF$6:$AF$205"),0))="","",INDEX(INDIRECT("'"&amp;$B70&amp;"'!$N$6:$N$205"),MATCH($AR70&amp;"|"&amp;M$5,INDIRECT("'"&amp;$B70&amp;"'!$AF$6:$AF$205"),0))),"-"))</f>
        <v/>
      </c>
      <c r="N70" s="34">
        <f>IF(OR(AP70="",N$5="-"),"",IFERROR(IF(INDEX(INDIRECT("'"&amp;$B70&amp;"'!$N$6:$N$205"),MATCH($AR70&amp;"|"&amp;N$5,INDIRECT("'"&amp;$B70&amp;"'!$AF$6:$AF$205"),0))="","",INDEX(INDIRECT("'"&amp;$B70&amp;"'!$N$6:$N$205"),MATCH($AR70&amp;"|"&amp;N$5,INDIRECT("'"&amp;$B70&amp;"'!$AF$6:$AF$205"),0))),"-"))</f>
        <v/>
      </c>
      <c r="O70" s="34">
        <f>IF(OR(AP70="",O$5="-"),"",IFERROR(IF(INDEX(INDIRECT("'"&amp;$B70&amp;"'!$N$6:$N$205"),MATCH($AR70&amp;"|"&amp;O$5,INDIRECT("'"&amp;$B70&amp;"'!$AF$6:$AF$205"),0))="","",INDEX(INDIRECT("'"&amp;$B70&amp;"'!$N$6:$N$205"),MATCH($AR70&amp;"|"&amp;O$5,INDIRECT("'"&amp;$B70&amp;"'!$AF$6:$AF$205"),0))),"-"))</f>
        <v/>
      </c>
      <c r="P70" s="37">
        <f>IF(OR(AP70="",P$5="-"),"",IFERROR(IF(INDEX(INDIRECT("'"&amp;$B70&amp;"'!$R$6:$R$205"),MATCH($AR70&amp;"|"&amp;P$5,INDIRECT("'"&amp;$B70&amp;"'!$AF$6:$AF$205"),0))="","",INDEX(INDIRECT("'"&amp;$B70&amp;"'!$R$6:$R$205"),MATCH($AR70&amp;"|"&amp;P$5,INDIRECT("'"&amp;$B70&amp;"'!$AF$6:$AF$205"),0))),"-"))</f>
        <v/>
      </c>
      <c r="Q70" s="37">
        <f>IF(OR(AP70="",Q$5="-"),"",IFERROR(IF(INDEX(INDIRECT("'"&amp;$B70&amp;"'!$R$6:$R$205"),MATCH($AR70&amp;"|"&amp;Q$5,INDIRECT("'"&amp;$B70&amp;"'!$AF$6:$AF$205"),0))="","",INDEX(INDIRECT("'"&amp;$B70&amp;"'!$R$6:$R$205"),MATCH($AR70&amp;"|"&amp;Q$5,INDIRECT("'"&amp;$B70&amp;"'!$AF$6:$AF$205"),0))),"-"))</f>
        <v/>
      </c>
      <c r="R70" s="37">
        <f>IF(OR(AP70="",R$5="-"),"",IFERROR(IF(INDEX(INDIRECT("'"&amp;$B70&amp;"'!$R$6:$R$205"),MATCH($AR70&amp;"|"&amp;R$5,INDIRECT("'"&amp;$B70&amp;"'!$AF$6:$AF$205"),0))="","",INDEX(INDIRECT("'"&amp;$B70&amp;"'!$R$6:$R$205"),MATCH($AR70&amp;"|"&amp;R$5,INDIRECT("'"&amp;$B70&amp;"'!$AF$6:$AF$205"),0))),"-"))</f>
        <v/>
      </c>
      <c r="S70" s="37">
        <f>IF(OR(AP70="",S$5="-"),"",IFERROR(IF(INDEX(INDIRECT("'"&amp;$B70&amp;"'!$R$6:$R$205"),MATCH($AR70&amp;"|"&amp;S$5,INDIRECT("'"&amp;$B70&amp;"'!$AF$6:$AF$205"),0))="","",INDEX(INDIRECT("'"&amp;$B70&amp;"'!$R$6:$R$205"),MATCH($AR70&amp;"|"&amp;S$5,INDIRECT("'"&amp;$B70&amp;"'!$AF$6:$AF$205"),0))),"-"))</f>
        <v/>
      </c>
      <c r="T70" s="37">
        <f>IF(OR(AP70="",T$5="-"),"",IFERROR(IF(INDEX(INDIRECT("'"&amp;$B70&amp;"'!$R$6:$R$205"),MATCH($AR70&amp;"|"&amp;T$5,INDIRECT("'"&amp;$B70&amp;"'!$AF$6:$AF$205"),0))="","",INDEX(INDIRECT("'"&amp;$B70&amp;"'!$R$6:$R$205"),MATCH($AR70&amp;"|"&amp;T$5,INDIRECT("'"&amp;$B70&amp;"'!$AF$6:$AF$205"),0))),"-"))</f>
        <v/>
      </c>
      <c r="U70" s="37">
        <f>IF(OR(AP70="",U$5="-"),"",IFERROR(IF(INDEX(INDIRECT("'"&amp;$B70&amp;"'!$R$6:$R$205"),MATCH($AR70&amp;"|"&amp;U$5,INDIRECT("'"&amp;$B70&amp;"'!$AF$6:$AF$205"),0))="","",INDEX(INDIRECT("'"&amp;$B70&amp;"'!$R$6:$R$205"),MATCH($AR70&amp;"|"&amp;U$5,INDIRECT("'"&amp;$B70&amp;"'!$AF$6:$AF$205"),0))),"-"))</f>
        <v/>
      </c>
      <c r="V70" s="37">
        <f>IF(OR(AP70="",V$5="-"),"",IFERROR(IF(INDEX(INDIRECT("'"&amp;$B70&amp;"'!$R$6:$R$205"),MATCH($AR70&amp;"|"&amp;V$5,INDIRECT("'"&amp;$B70&amp;"'!$AF$6:$AF$205"),0))="","",INDEX(INDIRECT("'"&amp;$B70&amp;"'!$R$6:$R$205"),MATCH($AR70&amp;"|"&amp;V$5,INDIRECT("'"&amp;$B70&amp;"'!$AF$6:$AF$205"),0))),"-"))</f>
        <v/>
      </c>
      <c r="W70" s="37">
        <f>IF(OR(AP70="",W$5="-"),"",IFERROR(IF(INDEX(INDIRECT("'"&amp;$B70&amp;"'!$R$6:$R$205"),MATCH($AR70&amp;"|"&amp;W$5,INDIRECT("'"&amp;$B70&amp;"'!$AF$6:$AF$205"),0))="","",INDEX(INDIRECT("'"&amp;$B70&amp;"'!$R$6:$R$205"),MATCH($AR70&amp;"|"&amp;W$5,INDIRECT("'"&amp;$B70&amp;"'!$AF$6:$AF$205"),0))),"-"))</f>
        <v/>
      </c>
      <c r="X70" s="38">
        <f>IF(OR(AP70="",X$5="-"),"",IFERROR(IF(INDEX(INDIRECT("'"&amp;$B70&amp;"'!$T$6:$T$205"),MATCH($AR70&amp;"|"&amp;X$5,INDIRECT("'"&amp;$B70&amp;"'!$AF$6:$AF$205"),0))="","",INDEX(INDIRECT("'"&amp;$B70&amp;"'!$T$6:$T$205"),MATCH($AR70&amp;"|"&amp;X$5,INDIRECT("'"&amp;$B70&amp;"'!$AF$6:$AF$205"),0))),"-"))</f>
        <v/>
      </c>
      <c r="Y70" s="38">
        <f>IF(OR(AP70="",Y$5="-"),"",IFERROR(IF(INDEX(INDIRECT("'"&amp;$B70&amp;"'!$T$6:$T$205"),MATCH($AR70&amp;"|"&amp;Y$5,INDIRECT("'"&amp;$B70&amp;"'!$AF$6:$AF$205"),0))="","",INDEX(INDIRECT("'"&amp;$B70&amp;"'!$T$6:$T$205"),MATCH($AR70&amp;"|"&amp;Y$5,INDIRECT("'"&amp;$B70&amp;"'!$AF$6:$AF$205"),0))),"-"))</f>
        <v/>
      </c>
      <c r="Z70" s="38">
        <f>IF(OR(AP70="",Z$5="-"),"",IFERROR(IF(INDEX(INDIRECT("'"&amp;$B70&amp;"'!$T$6:$T$205"),MATCH($AR70&amp;"|"&amp;Z$5,INDIRECT("'"&amp;$B70&amp;"'!$AF$6:$AF$205"),0))="","",INDEX(INDIRECT("'"&amp;$B70&amp;"'!$T$6:$T$205"),MATCH($AR70&amp;"|"&amp;Z$5,INDIRECT("'"&amp;$B70&amp;"'!$AF$6:$AF$205"),0))),"-"))</f>
        <v/>
      </c>
      <c r="AA70" s="38">
        <f>IF(OR(AP70="",AA$5="-"),"",IFERROR(IF(INDEX(INDIRECT("'"&amp;$B70&amp;"'!$T$6:$T$205"),MATCH($AR70&amp;"|"&amp;AA$5,INDIRECT("'"&amp;$B70&amp;"'!$AF$6:$AF$205"),0))="","",INDEX(INDIRECT("'"&amp;$B70&amp;"'!$T$6:$T$205"),MATCH($AR70&amp;"|"&amp;AA$5,INDIRECT("'"&amp;$B70&amp;"'!$AF$6:$AF$205"),0))),"-"))</f>
        <v/>
      </c>
      <c r="AB70" s="38">
        <f>IF(OR(AP70="",AB$5="-"),"",IFERROR(IF(INDEX(INDIRECT("'"&amp;$B70&amp;"'!$T$6:$T$205"),MATCH($AR70&amp;"|"&amp;AB$5,INDIRECT("'"&amp;$B70&amp;"'!$AF$6:$AF$205"),0))="","",INDEX(INDIRECT("'"&amp;$B70&amp;"'!$T$6:$T$205"),MATCH($AR70&amp;"|"&amp;AB$5,INDIRECT("'"&amp;$B70&amp;"'!$AF$6:$AF$205"),0))),"-"))</f>
        <v/>
      </c>
      <c r="AC70" s="38">
        <f>IF(OR(AP70="",AC$5="-"),"",IFERROR(IF(INDEX(INDIRECT("'"&amp;$B70&amp;"'!$T$6:$T$205"),MATCH($AR70&amp;"|"&amp;AC$5,INDIRECT("'"&amp;$B70&amp;"'!$AF$6:$AF$205"),0))="","",INDEX(INDIRECT("'"&amp;$B70&amp;"'!$T$6:$T$205"),MATCH($AR70&amp;"|"&amp;AC$5,INDIRECT("'"&amp;$B70&amp;"'!$AF$6:$AF$205"),0))),"-"))</f>
        <v/>
      </c>
      <c r="AD70" s="38">
        <f>IF(OR(AP70="",AD$5="-"),"",IFERROR(IF(INDEX(INDIRECT("'"&amp;$B70&amp;"'!$T$6:$T$205"),MATCH($AR70&amp;"|"&amp;AD$5,INDIRECT("'"&amp;$B70&amp;"'!$AF$6:$AF$205"),0))="","",INDEX(INDIRECT("'"&amp;$B70&amp;"'!$T$6:$T$205"),MATCH($AR70&amp;"|"&amp;AD$5,INDIRECT("'"&amp;$B70&amp;"'!$AF$6:$AF$205"),0))),"-"))</f>
        <v/>
      </c>
      <c r="AE70" s="38">
        <f>IF(OR(AP70="",AE$5="-"),"",IFERROR(IF(INDEX(INDIRECT("'"&amp;$B70&amp;"'!$T$6:$T$205"),MATCH($AR70&amp;"|"&amp;AE$5,INDIRECT("'"&amp;$B70&amp;"'!$AF$6:$AF$205"),0))="","",INDEX(INDIRECT("'"&amp;$B70&amp;"'!$T$6:$T$205"),MATCH($AR70&amp;"|"&amp;AE$5,INDIRECT("'"&amp;$B70&amp;"'!$AF$6:$AF$205"),0))),"-"))</f>
        <v/>
      </c>
      <c r="AF70" s="35">
        <f>IF(AG70="","",INDEX($P$5:$W$5,MATCH(AG70,P70:W70,0)))</f>
        <v/>
      </c>
      <c r="AG70" s="37">
        <f>IF(COUNT(P70:W70)=0,"",MIN(P70:W70))</f>
        <v/>
      </c>
      <c r="AH70" s="39">
        <f>IF(AG70="","",AG70*F70)</f>
        <v/>
      </c>
      <c r="AI70" s="39">
        <f>IF(COUNT(P70:W70)&lt;2,"",(MAX(P70:W70)-MIN(P70:W70))*F70)</f>
        <v/>
      </c>
      <c r="AJ70" s="20" t="n"/>
      <c r="AP70">
        <f>IF(65&gt;MAX($AN$6:$AN$9),"",COUNTIF($AN$6:$AN$9,"&lt;"&amp;65)+1)</f>
        <v/>
      </c>
      <c r="AQ70">
        <f>IF(AP70="","",65-INDEX($AO$6:$AO$9,AP70))</f>
        <v/>
      </c>
      <c r="AR70">
        <f>IF(AP70="","",INDEX(INDIRECT("'"&amp;$B70&amp;"'!$AE$6:$AE$205"),MATCH(AQ70,INDIRECT("'"&amp;$B70&amp;"'!$AI$6:$AI$205"),0)))</f>
        <v/>
      </c>
    </row>
    <row r="71">
      <c r="A71" s="34">
        <f>IF(AP71="","",66)</f>
        <v/>
      </c>
      <c r="B71" s="35">
        <f>IF(AP71="","",INDEX($AL$6:$AL$9,AP71))</f>
        <v/>
      </c>
      <c r="C71" s="34">
        <f>IF(AP71="","",INDEX(INDIRECT("'"&amp;$B71&amp;"'!$B$6:$B$205"),MATCH($AR71,INDIRECT("'"&amp;$B71&amp;"'!$AE$6:$AE$205"),0)))</f>
        <v/>
      </c>
      <c r="D71" s="34">
        <f>IF(AP71="","",INDEX(INDIRECT("'"&amp;$B71&amp;"'!$D$6:$D$205"),MATCH($AR71,INDIRECT("'"&amp;$B71&amp;"'!$AE$6:$AE$205"),0)))</f>
        <v/>
      </c>
      <c r="E71" s="36">
        <f>IF(AP71="","",INDEX(INDIRECT("'"&amp;$B71&amp;"'!$F$6:$F$205"),MATCH($AR71,INDIRECT("'"&amp;$B71&amp;"'!$AE$6:$AE$205"),0)))</f>
        <v/>
      </c>
      <c r="F71" s="34">
        <f>IF(AP71="","",INDEX(INDIRECT("'"&amp;$B71&amp;"'!$K$6:$K$205"),MATCH($AR71,INDIRECT("'"&amp;$B71&amp;"'!$AE$6:$AE$205"),0)))</f>
        <v/>
      </c>
      <c r="G71" s="34">
        <f>IF(AP71="","",INDEX(INDIRECT("'"&amp;$B71&amp;"'!$L$6:$L$205"),MATCH($AR71,INDIRECT("'"&amp;$B71&amp;"'!$AE$6:$AE$205"),0)))</f>
        <v/>
      </c>
      <c r="H71" s="34">
        <f>IF(OR(AP71="",H$5="-"),"",IFERROR(IF(INDEX(INDIRECT("'"&amp;$B71&amp;"'!$N$6:$N$205"),MATCH($AR71&amp;"|"&amp;H$5,INDIRECT("'"&amp;$B71&amp;"'!$AF$6:$AF$205"),0))="","",INDEX(INDIRECT("'"&amp;$B71&amp;"'!$N$6:$N$205"),MATCH($AR71&amp;"|"&amp;H$5,INDIRECT("'"&amp;$B71&amp;"'!$AF$6:$AF$205"),0))),"-"))</f>
        <v/>
      </c>
      <c r="I71" s="34">
        <f>IF(OR(AP71="",I$5="-"),"",IFERROR(IF(INDEX(INDIRECT("'"&amp;$B71&amp;"'!$N$6:$N$205"),MATCH($AR71&amp;"|"&amp;I$5,INDIRECT("'"&amp;$B71&amp;"'!$AF$6:$AF$205"),0))="","",INDEX(INDIRECT("'"&amp;$B71&amp;"'!$N$6:$N$205"),MATCH($AR71&amp;"|"&amp;I$5,INDIRECT("'"&amp;$B71&amp;"'!$AF$6:$AF$205"),0))),"-"))</f>
        <v/>
      </c>
      <c r="J71" s="34">
        <f>IF(OR(AP71="",J$5="-"),"",IFERROR(IF(INDEX(INDIRECT("'"&amp;$B71&amp;"'!$N$6:$N$205"),MATCH($AR71&amp;"|"&amp;J$5,INDIRECT("'"&amp;$B71&amp;"'!$AF$6:$AF$205"),0))="","",INDEX(INDIRECT("'"&amp;$B71&amp;"'!$N$6:$N$205"),MATCH($AR71&amp;"|"&amp;J$5,INDIRECT("'"&amp;$B71&amp;"'!$AF$6:$AF$205"),0))),"-"))</f>
        <v/>
      </c>
      <c r="K71" s="34">
        <f>IF(OR(AP71="",K$5="-"),"",IFERROR(IF(INDEX(INDIRECT("'"&amp;$B71&amp;"'!$N$6:$N$205"),MATCH($AR71&amp;"|"&amp;K$5,INDIRECT("'"&amp;$B71&amp;"'!$AF$6:$AF$205"),0))="","",INDEX(INDIRECT("'"&amp;$B71&amp;"'!$N$6:$N$205"),MATCH($AR71&amp;"|"&amp;K$5,INDIRECT("'"&amp;$B71&amp;"'!$AF$6:$AF$205"),0))),"-"))</f>
        <v/>
      </c>
      <c r="L71" s="34">
        <f>IF(OR(AP71="",L$5="-"),"",IFERROR(IF(INDEX(INDIRECT("'"&amp;$B71&amp;"'!$N$6:$N$205"),MATCH($AR71&amp;"|"&amp;L$5,INDIRECT("'"&amp;$B71&amp;"'!$AF$6:$AF$205"),0))="","",INDEX(INDIRECT("'"&amp;$B71&amp;"'!$N$6:$N$205"),MATCH($AR71&amp;"|"&amp;L$5,INDIRECT("'"&amp;$B71&amp;"'!$AF$6:$AF$205"),0))),"-"))</f>
        <v/>
      </c>
      <c r="M71" s="34">
        <f>IF(OR(AP71="",M$5="-"),"",IFERROR(IF(INDEX(INDIRECT("'"&amp;$B71&amp;"'!$N$6:$N$205"),MATCH($AR71&amp;"|"&amp;M$5,INDIRECT("'"&amp;$B71&amp;"'!$AF$6:$AF$205"),0))="","",INDEX(INDIRECT("'"&amp;$B71&amp;"'!$N$6:$N$205"),MATCH($AR71&amp;"|"&amp;M$5,INDIRECT("'"&amp;$B71&amp;"'!$AF$6:$AF$205"),0))),"-"))</f>
        <v/>
      </c>
      <c r="N71" s="34">
        <f>IF(OR(AP71="",N$5="-"),"",IFERROR(IF(INDEX(INDIRECT("'"&amp;$B71&amp;"'!$N$6:$N$205"),MATCH($AR71&amp;"|"&amp;N$5,INDIRECT("'"&amp;$B71&amp;"'!$AF$6:$AF$205"),0))="","",INDEX(INDIRECT("'"&amp;$B71&amp;"'!$N$6:$N$205"),MATCH($AR71&amp;"|"&amp;N$5,INDIRECT("'"&amp;$B71&amp;"'!$AF$6:$AF$205"),0))),"-"))</f>
        <v/>
      </c>
      <c r="O71" s="34">
        <f>IF(OR(AP71="",O$5="-"),"",IFERROR(IF(INDEX(INDIRECT("'"&amp;$B71&amp;"'!$N$6:$N$205"),MATCH($AR71&amp;"|"&amp;O$5,INDIRECT("'"&amp;$B71&amp;"'!$AF$6:$AF$205"),0))="","",INDEX(INDIRECT("'"&amp;$B71&amp;"'!$N$6:$N$205"),MATCH($AR71&amp;"|"&amp;O$5,INDIRECT("'"&amp;$B71&amp;"'!$AF$6:$AF$205"),0))),"-"))</f>
        <v/>
      </c>
      <c r="P71" s="37">
        <f>IF(OR(AP71="",P$5="-"),"",IFERROR(IF(INDEX(INDIRECT("'"&amp;$B71&amp;"'!$R$6:$R$205"),MATCH($AR71&amp;"|"&amp;P$5,INDIRECT("'"&amp;$B71&amp;"'!$AF$6:$AF$205"),0))="","",INDEX(INDIRECT("'"&amp;$B71&amp;"'!$R$6:$R$205"),MATCH($AR71&amp;"|"&amp;P$5,INDIRECT("'"&amp;$B71&amp;"'!$AF$6:$AF$205"),0))),"-"))</f>
        <v/>
      </c>
      <c r="Q71" s="37">
        <f>IF(OR(AP71="",Q$5="-"),"",IFERROR(IF(INDEX(INDIRECT("'"&amp;$B71&amp;"'!$R$6:$R$205"),MATCH($AR71&amp;"|"&amp;Q$5,INDIRECT("'"&amp;$B71&amp;"'!$AF$6:$AF$205"),0))="","",INDEX(INDIRECT("'"&amp;$B71&amp;"'!$R$6:$R$205"),MATCH($AR71&amp;"|"&amp;Q$5,INDIRECT("'"&amp;$B71&amp;"'!$AF$6:$AF$205"),0))),"-"))</f>
        <v/>
      </c>
      <c r="R71" s="37">
        <f>IF(OR(AP71="",R$5="-"),"",IFERROR(IF(INDEX(INDIRECT("'"&amp;$B71&amp;"'!$R$6:$R$205"),MATCH($AR71&amp;"|"&amp;R$5,INDIRECT("'"&amp;$B71&amp;"'!$AF$6:$AF$205"),0))="","",INDEX(INDIRECT("'"&amp;$B71&amp;"'!$R$6:$R$205"),MATCH($AR71&amp;"|"&amp;R$5,INDIRECT("'"&amp;$B71&amp;"'!$AF$6:$AF$205"),0))),"-"))</f>
        <v/>
      </c>
      <c r="S71" s="37">
        <f>IF(OR(AP71="",S$5="-"),"",IFERROR(IF(INDEX(INDIRECT("'"&amp;$B71&amp;"'!$R$6:$R$205"),MATCH($AR71&amp;"|"&amp;S$5,INDIRECT("'"&amp;$B71&amp;"'!$AF$6:$AF$205"),0))="","",INDEX(INDIRECT("'"&amp;$B71&amp;"'!$R$6:$R$205"),MATCH($AR71&amp;"|"&amp;S$5,INDIRECT("'"&amp;$B71&amp;"'!$AF$6:$AF$205"),0))),"-"))</f>
        <v/>
      </c>
      <c r="T71" s="37">
        <f>IF(OR(AP71="",T$5="-"),"",IFERROR(IF(INDEX(INDIRECT("'"&amp;$B71&amp;"'!$R$6:$R$205"),MATCH($AR71&amp;"|"&amp;T$5,INDIRECT("'"&amp;$B71&amp;"'!$AF$6:$AF$205"),0))="","",INDEX(INDIRECT("'"&amp;$B71&amp;"'!$R$6:$R$205"),MATCH($AR71&amp;"|"&amp;T$5,INDIRECT("'"&amp;$B71&amp;"'!$AF$6:$AF$205"),0))),"-"))</f>
        <v/>
      </c>
      <c r="U71" s="37">
        <f>IF(OR(AP71="",U$5="-"),"",IFERROR(IF(INDEX(INDIRECT("'"&amp;$B71&amp;"'!$R$6:$R$205"),MATCH($AR71&amp;"|"&amp;U$5,INDIRECT("'"&amp;$B71&amp;"'!$AF$6:$AF$205"),0))="","",INDEX(INDIRECT("'"&amp;$B71&amp;"'!$R$6:$R$205"),MATCH($AR71&amp;"|"&amp;U$5,INDIRECT("'"&amp;$B71&amp;"'!$AF$6:$AF$205"),0))),"-"))</f>
        <v/>
      </c>
      <c r="V71" s="37">
        <f>IF(OR(AP71="",V$5="-"),"",IFERROR(IF(INDEX(INDIRECT("'"&amp;$B71&amp;"'!$R$6:$R$205"),MATCH($AR71&amp;"|"&amp;V$5,INDIRECT("'"&amp;$B71&amp;"'!$AF$6:$AF$205"),0))="","",INDEX(INDIRECT("'"&amp;$B71&amp;"'!$R$6:$R$205"),MATCH($AR71&amp;"|"&amp;V$5,INDIRECT("'"&amp;$B71&amp;"'!$AF$6:$AF$205"),0))),"-"))</f>
        <v/>
      </c>
      <c r="W71" s="37">
        <f>IF(OR(AP71="",W$5="-"),"",IFERROR(IF(INDEX(INDIRECT("'"&amp;$B71&amp;"'!$R$6:$R$205"),MATCH($AR71&amp;"|"&amp;W$5,INDIRECT("'"&amp;$B71&amp;"'!$AF$6:$AF$205"),0))="","",INDEX(INDIRECT("'"&amp;$B71&amp;"'!$R$6:$R$205"),MATCH($AR71&amp;"|"&amp;W$5,INDIRECT("'"&amp;$B71&amp;"'!$AF$6:$AF$205"),0))),"-"))</f>
        <v/>
      </c>
      <c r="X71" s="38">
        <f>IF(OR(AP71="",X$5="-"),"",IFERROR(IF(INDEX(INDIRECT("'"&amp;$B71&amp;"'!$T$6:$T$205"),MATCH($AR71&amp;"|"&amp;X$5,INDIRECT("'"&amp;$B71&amp;"'!$AF$6:$AF$205"),0))="","",INDEX(INDIRECT("'"&amp;$B71&amp;"'!$T$6:$T$205"),MATCH($AR71&amp;"|"&amp;X$5,INDIRECT("'"&amp;$B71&amp;"'!$AF$6:$AF$205"),0))),"-"))</f>
        <v/>
      </c>
      <c r="Y71" s="38">
        <f>IF(OR(AP71="",Y$5="-"),"",IFERROR(IF(INDEX(INDIRECT("'"&amp;$B71&amp;"'!$T$6:$T$205"),MATCH($AR71&amp;"|"&amp;Y$5,INDIRECT("'"&amp;$B71&amp;"'!$AF$6:$AF$205"),0))="","",INDEX(INDIRECT("'"&amp;$B71&amp;"'!$T$6:$T$205"),MATCH($AR71&amp;"|"&amp;Y$5,INDIRECT("'"&amp;$B71&amp;"'!$AF$6:$AF$205"),0))),"-"))</f>
        <v/>
      </c>
      <c r="Z71" s="38">
        <f>IF(OR(AP71="",Z$5="-"),"",IFERROR(IF(INDEX(INDIRECT("'"&amp;$B71&amp;"'!$T$6:$T$205"),MATCH($AR71&amp;"|"&amp;Z$5,INDIRECT("'"&amp;$B71&amp;"'!$AF$6:$AF$205"),0))="","",INDEX(INDIRECT("'"&amp;$B71&amp;"'!$T$6:$T$205"),MATCH($AR71&amp;"|"&amp;Z$5,INDIRECT("'"&amp;$B71&amp;"'!$AF$6:$AF$205"),0))),"-"))</f>
        <v/>
      </c>
      <c r="AA71" s="38">
        <f>IF(OR(AP71="",AA$5="-"),"",IFERROR(IF(INDEX(INDIRECT("'"&amp;$B71&amp;"'!$T$6:$T$205"),MATCH($AR71&amp;"|"&amp;AA$5,INDIRECT("'"&amp;$B71&amp;"'!$AF$6:$AF$205"),0))="","",INDEX(INDIRECT("'"&amp;$B71&amp;"'!$T$6:$T$205"),MATCH($AR71&amp;"|"&amp;AA$5,INDIRECT("'"&amp;$B71&amp;"'!$AF$6:$AF$205"),0))),"-"))</f>
        <v/>
      </c>
      <c r="AB71" s="38">
        <f>IF(OR(AP71="",AB$5="-"),"",IFERROR(IF(INDEX(INDIRECT("'"&amp;$B71&amp;"'!$T$6:$T$205"),MATCH($AR71&amp;"|"&amp;AB$5,INDIRECT("'"&amp;$B71&amp;"'!$AF$6:$AF$205"),0))="","",INDEX(INDIRECT("'"&amp;$B71&amp;"'!$T$6:$T$205"),MATCH($AR71&amp;"|"&amp;AB$5,INDIRECT("'"&amp;$B71&amp;"'!$AF$6:$AF$205"),0))),"-"))</f>
        <v/>
      </c>
      <c r="AC71" s="38">
        <f>IF(OR(AP71="",AC$5="-"),"",IFERROR(IF(INDEX(INDIRECT("'"&amp;$B71&amp;"'!$T$6:$T$205"),MATCH($AR71&amp;"|"&amp;AC$5,INDIRECT("'"&amp;$B71&amp;"'!$AF$6:$AF$205"),0))="","",INDEX(INDIRECT("'"&amp;$B71&amp;"'!$T$6:$T$205"),MATCH($AR71&amp;"|"&amp;AC$5,INDIRECT("'"&amp;$B71&amp;"'!$AF$6:$AF$205"),0))),"-"))</f>
        <v/>
      </c>
      <c r="AD71" s="38">
        <f>IF(OR(AP71="",AD$5="-"),"",IFERROR(IF(INDEX(INDIRECT("'"&amp;$B71&amp;"'!$T$6:$T$205"),MATCH($AR71&amp;"|"&amp;AD$5,INDIRECT("'"&amp;$B71&amp;"'!$AF$6:$AF$205"),0))="","",INDEX(INDIRECT("'"&amp;$B71&amp;"'!$T$6:$T$205"),MATCH($AR71&amp;"|"&amp;AD$5,INDIRECT("'"&amp;$B71&amp;"'!$AF$6:$AF$205"),0))),"-"))</f>
        <v/>
      </c>
      <c r="AE71" s="38">
        <f>IF(OR(AP71="",AE$5="-"),"",IFERROR(IF(INDEX(INDIRECT("'"&amp;$B71&amp;"'!$T$6:$T$205"),MATCH($AR71&amp;"|"&amp;AE$5,INDIRECT("'"&amp;$B71&amp;"'!$AF$6:$AF$205"),0))="","",INDEX(INDIRECT("'"&amp;$B71&amp;"'!$T$6:$T$205"),MATCH($AR71&amp;"|"&amp;AE$5,INDIRECT("'"&amp;$B71&amp;"'!$AF$6:$AF$205"),0))),"-"))</f>
        <v/>
      </c>
      <c r="AF71" s="35">
        <f>IF(AG71="","",INDEX($P$5:$W$5,MATCH(AG71,P71:W71,0)))</f>
        <v/>
      </c>
      <c r="AG71" s="37">
        <f>IF(COUNT(P71:W71)=0,"",MIN(P71:W71))</f>
        <v/>
      </c>
      <c r="AH71" s="39">
        <f>IF(AG71="","",AG71*F71)</f>
        <v/>
      </c>
      <c r="AI71" s="39">
        <f>IF(COUNT(P71:W71)&lt;2,"",(MAX(P71:W71)-MIN(P71:W71))*F71)</f>
        <v/>
      </c>
      <c r="AJ71" s="20" t="n"/>
      <c r="AP71">
        <f>IF(66&gt;MAX($AN$6:$AN$9),"",COUNTIF($AN$6:$AN$9,"&lt;"&amp;66)+1)</f>
        <v/>
      </c>
      <c r="AQ71">
        <f>IF(AP71="","",66-INDEX($AO$6:$AO$9,AP71))</f>
        <v/>
      </c>
      <c r="AR71">
        <f>IF(AP71="","",INDEX(INDIRECT("'"&amp;$B71&amp;"'!$AE$6:$AE$205"),MATCH(AQ71,INDIRECT("'"&amp;$B71&amp;"'!$AI$6:$AI$205"),0)))</f>
        <v/>
      </c>
    </row>
    <row r="72">
      <c r="A72" s="34">
        <f>IF(AP72="","",67)</f>
        <v/>
      </c>
      <c r="B72" s="35">
        <f>IF(AP72="","",INDEX($AL$6:$AL$9,AP72))</f>
        <v/>
      </c>
      <c r="C72" s="34">
        <f>IF(AP72="","",INDEX(INDIRECT("'"&amp;$B72&amp;"'!$B$6:$B$205"),MATCH($AR72,INDIRECT("'"&amp;$B72&amp;"'!$AE$6:$AE$205"),0)))</f>
        <v/>
      </c>
      <c r="D72" s="34">
        <f>IF(AP72="","",INDEX(INDIRECT("'"&amp;$B72&amp;"'!$D$6:$D$205"),MATCH($AR72,INDIRECT("'"&amp;$B72&amp;"'!$AE$6:$AE$205"),0)))</f>
        <v/>
      </c>
      <c r="E72" s="36">
        <f>IF(AP72="","",INDEX(INDIRECT("'"&amp;$B72&amp;"'!$F$6:$F$205"),MATCH($AR72,INDIRECT("'"&amp;$B72&amp;"'!$AE$6:$AE$205"),0)))</f>
        <v/>
      </c>
      <c r="F72" s="34">
        <f>IF(AP72="","",INDEX(INDIRECT("'"&amp;$B72&amp;"'!$K$6:$K$205"),MATCH($AR72,INDIRECT("'"&amp;$B72&amp;"'!$AE$6:$AE$205"),0)))</f>
        <v/>
      </c>
      <c r="G72" s="34">
        <f>IF(AP72="","",INDEX(INDIRECT("'"&amp;$B72&amp;"'!$L$6:$L$205"),MATCH($AR72,INDIRECT("'"&amp;$B72&amp;"'!$AE$6:$AE$205"),0)))</f>
        <v/>
      </c>
      <c r="H72" s="34">
        <f>IF(OR(AP72="",H$5="-"),"",IFERROR(IF(INDEX(INDIRECT("'"&amp;$B72&amp;"'!$N$6:$N$205"),MATCH($AR72&amp;"|"&amp;H$5,INDIRECT("'"&amp;$B72&amp;"'!$AF$6:$AF$205"),0))="","",INDEX(INDIRECT("'"&amp;$B72&amp;"'!$N$6:$N$205"),MATCH($AR72&amp;"|"&amp;H$5,INDIRECT("'"&amp;$B72&amp;"'!$AF$6:$AF$205"),0))),"-"))</f>
        <v/>
      </c>
      <c r="I72" s="34">
        <f>IF(OR(AP72="",I$5="-"),"",IFERROR(IF(INDEX(INDIRECT("'"&amp;$B72&amp;"'!$N$6:$N$205"),MATCH($AR72&amp;"|"&amp;I$5,INDIRECT("'"&amp;$B72&amp;"'!$AF$6:$AF$205"),0))="","",INDEX(INDIRECT("'"&amp;$B72&amp;"'!$N$6:$N$205"),MATCH($AR72&amp;"|"&amp;I$5,INDIRECT("'"&amp;$B72&amp;"'!$AF$6:$AF$205"),0))),"-"))</f>
        <v/>
      </c>
      <c r="J72" s="34">
        <f>IF(OR(AP72="",J$5="-"),"",IFERROR(IF(INDEX(INDIRECT("'"&amp;$B72&amp;"'!$N$6:$N$205"),MATCH($AR72&amp;"|"&amp;J$5,INDIRECT("'"&amp;$B72&amp;"'!$AF$6:$AF$205"),0))="","",INDEX(INDIRECT("'"&amp;$B72&amp;"'!$N$6:$N$205"),MATCH($AR72&amp;"|"&amp;J$5,INDIRECT("'"&amp;$B72&amp;"'!$AF$6:$AF$205"),0))),"-"))</f>
        <v/>
      </c>
      <c r="K72" s="34">
        <f>IF(OR(AP72="",K$5="-"),"",IFERROR(IF(INDEX(INDIRECT("'"&amp;$B72&amp;"'!$N$6:$N$205"),MATCH($AR72&amp;"|"&amp;K$5,INDIRECT("'"&amp;$B72&amp;"'!$AF$6:$AF$205"),0))="","",INDEX(INDIRECT("'"&amp;$B72&amp;"'!$N$6:$N$205"),MATCH($AR72&amp;"|"&amp;K$5,INDIRECT("'"&amp;$B72&amp;"'!$AF$6:$AF$205"),0))),"-"))</f>
        <v/>
      </c>
      <c r="L72" s="34">
        <f>IF(OR(AP72="",L$5="-"),"",IFERROR(IF(INDEX(INDIRECT("'"&amp;$B72&amp;"'!$N$6:$N$205"),MATCH($AR72&amp;"|"&amp;L$5,INDIRECT("'"&amp;$B72&amp;"'!$AF$6:$AF$205"),0))="","",INDEX(INDIRECT("'"&amp;$B72&amp;"'!$N$6:$N$205"),MATCH($AR72&amp;"|"&amp;L$5,INDIRECT("'"&amp;$B72&amp;"'!$AF$6:$AF$205"),0))),"-"))</f>
        <v/>
      </c>
      <c r="M72" s="34">
        <f>IF(OR(AP72="",M$5="-"),"",IFERROR(IF(INDEX(INDIRECT("'"&amp;$B72&amp;"'!$N$6:$N$205"),MATCH($AR72&amp;"|"&amp;M$5,INDIRECT("'"&amp;$B72&amp;"'!$AF$6:$AF$205"),0))="","",INDEX(INDIRECT("'"&amp;$B72&amp;"'!$N$6:$N$205"),MATCH($AR72&amp;"|"&amp;M$5,INDIRECT("'"&amp;$B72&amp;"'!$AF$6:$AF$205"),0))),"-"))</f>
        <v/>
      </c>
      <c r="N72" s="34">
        <f>IF(OR(AP72="",N$5="-"),"",IFERROR(IF(INDEX(INDIRECT("'"&amp;$B72&amp;"'!$N$6:$N$205"),MATCH($AR72&amp;"|"&amp;N$5,INDIRECT("'"&amp;$B72&amp;"'!$AF$6:$AF$205"),0))="","",INDEX(INDIRECT("'"&amp;$B72&amp;"'!$N$6:$N$205"),MATCH($AR72&amp;"|"&amp;N$5,INDIRECT("'"&amp;$B72&amp;"'!$AF$6:$AF$205"),0))),"-"))</f>
        <v/>
      </c>
      <c r="O72" s="34">
        <f>IF(OR(AP72="",O$5="-"),"",IFERROR(IF(INDEX(INDIRECT("'"&amp;$B72&amp;"'!$N$6:$N$205"),MATCH($AR72&amp;"|"&amp;O$5,INDIRECT("'"&amp;$B72&amp;"'!$AF$6:$AF$205"),0))="","",INDEX(INDIRECT("'"&amp;$B72&amp;"'!$N$6:$N$205"),MATCH($AR72&amp;"|"&amp;O$5,INDIRECT("'"&amp;$B72&amp;"'!$AF$6:$AF$205"),0))),"-"))</f>
        <v/>
      </c>
      <c r="P72" s="37">
        <f>IF(OR(AP72="",P$5="-"),"",IFERROR(IF(INDEX(INDIRECT("'"&amp;$B72&amp;"'!$R$6:$R$205"),MATCH($AR72&amp;"|"&amp;P$5,INDIRECT("'"&amp;$B72&amp;"'!$AF$6:$AF$205"),0))="","",INDEX(INDIRECT("'"&amp;$B72&amp;"'!$R$6:$R$205"),MATCH($AR72&amp;"|"&amp;P$5,INDIRECT("'"&amp;$B72&amp;"'!$AF$6:$AF$205"),0))),"-"))</f>
        <v/>
      </c>
      <c r="Q72" s="37">
        <f>IF(OR(AP72="",Q$5="-"),"",IFERROR(IF(INDEX(INDIRECT("'"&amp;$B72&amp;"'!$R$6:$R$205"),MATCH($AR72&amp;"|"&amp;Q$5,INDIRECT("'"&amp;$B72&amp;"'!$AF$6:$AF$205"),0))="","",INDEX(INDIRECT("'"&amp;$B72&amp;"'!$R$6:$R$205"),MATCH($AR72&amp;"|"&amp;Q$5,INDIRECT("'"&amp;$B72&amp;"'!$AF$6:$AF$205"),0))),"-"))</f>
        <v/>
      </c>
      <c r="R72" s="37">
        <f>IF(OR(AP72="",R$5="-"),"",IFERROR(IF(INDEX(INDIRECT("'"&amp;$B72&amp;"'!$R$6:$R$205"),MATCH($AR72&amp;"|"&amp;R$5,INDIRECT("'"&amp;$B72&amp;"'!$AF$6:$AF$205"),0))="","",INDEX(INDIRECT("'"&amp;$B72&amp;"'!$R$6:$R$205"),MATCH($AR72&amp;"|"&amp;R$5,INDIRECT("'"&amp;$B72&amp;"'!$AF$6:$AF$205"),0))),"-"))</f>
        <v/>
      </c>
      <c r="S72" s="37">
        <f>IF(OR(AP72="",S$5="-"),"",IFERROR(IF(INDEX(INDIRECT("'"&amp;$B72&amp;"'!$R$6:$R$205"),MATCH($AR72&amp;"|"&amp;S$5,INDIRECT("'"&amp;$B72&amp;"'!$AF$6:$AF$205"),0))="","",INDEX(INDIRECT("'"&amp;$B72&amp;"'!$R$6:$R$205"),MATCH($AR72&amp;"|"&amp;S$5,INDIRECT("'"&amp;$B72&amp;"'!$AF$6:$AF$205"),0))),"-"))</f>
        <v/>
      </c>
      <c r="T72" s="37">
        <f>IF(OR(AP72="",T$5="-"),"",IFERROR(IF(INDEX(INDIRECT("'"&amp;$B72&amp;"'!$R$6:$R$205"),MATCH($AR72&amp;"|"&amp;T$5,INDIRECT("'"&amp;$B72&amp;"'!$AF$6:$AF$205"),0))="","",INDEX(INDIRECT("'"&amp;$B72&amp;"'!$R$6:$R$205"),MATCH($AR72&amp;"|"&amp;T$5,INDIRECT("'"&amp;$B72&amp;"'!$AF$6:$AF$205"),0))),"-"))</f>
        <v/>
      </c>
      <c r="U72" s="37">
        <f>IF(OR(AP72="",U$5="-"),"",IFERROR(IF(INDEX(INDIRECT("'"&amp;$B72&amp;"'!$R$6:$R$205"),MATCH($AR72&amp;"|"&amp;U$5,INDIRECT("'"&amp;$B72&amp;"'!$AF$6:$AF$205"),0))="","",INDEX(INDIRECT("'"&amp;$B72&amp;"'!$R$6:$R$205"),MATCH($AR72&amp;"|"&amp;U$5,INDIRECT("'"&amp;$B72&amp;"'!$AF$6:$AF$205"),0))),"-"))</f>
        <v/>
      </c>
      <c r="V72" s="37">
        <f>IF(OR(AP72="",V$5="-"),"",IFERROR(IF(INDEX(INDIRECT("'"&amp;$B72&amp;"'!$R$6:$R$205"),MATCH($AR72&amp;"|"&amp;V$5,INDIRECT("'"&amp;$B72&amp;"'!$AF$6:$AF$205"),0))="","",INDEX(INDIRECT("'"&amp;$B72&amp;"'!$R$6:$R$205"),MATCH($AR72&amp;"|"&amp;V$5,INDIRECT("'"&amp;$B72&amp;"'!$AF$6:$AF$205"),0))),"-"))</f>
        <v/>
      </c>
      <c r="W72" s="37">
        <f>IF(OR(AP72="",W$5="-"),"",IFERROR(IF(INDEX(INDIRECT("'"&amp;$B72&amp;"'!$R$6:$R$205"),MATCH($AR72&amp;"|"&amp;W$5,INDIRECT("'"&amp;$B72&amp;"'!$AF$6:$AF$205"),0))="","",INDEX(INDIRECT("'"&amp;$B72&amp;"'!$R$6:$R$205"),MATCH($AR72&amp;"|"&amp;W$5,INDIRECT("'"&amp;$B72&amp;"'!$AF$6:$AF$205"),0))),"-"))</f>
        <v/>
      </c>
      <c r="X72" s="38">
        <f>IF(OR(AP72="",X$5="-"),"",IFERROR(IF(INDEX(INDIRECT("'"&amp;$B72&amp;"'!$T$6:$T$205"),MATCH($AR72&amp;"|"&amp;X$5,INDIRECT("'"&amp;$B72&amp;"'!$AF$6:$AF$205"),0))="","",INDEX(INDIRECT("'"&amp;$B72&amp;"'!$T$6:$T$205"),MATCH($AR72&amp;"|"&amp;X$5,INDIRECT("'"&amp;$B72&amp;"'!$AF$6:$AF$205"),0))),"-"))</f>
        <v/>
      </c>
      <c r="Y72" s="38">
        <f>IF(OR(AP72="",Y$5="-"),"",IFERROR(IF(INDEX(INDIRECT("'"&amp;$B72&amp;"'!$T$6:$T$205"),MATCH($AR72&amp;"|"&amp;Y$5,INDIRECT("'"&amp;$B72&amp;"'!$AF$6:$AF$205"),0))="","",INDEX(INDIRECT("'"&amp;$B72&amp;"'!$T$6:$T$205"),MATCH($AR72&amp;"|"&amp;Y$5,INDIRECT("'"&amp;$B72&amp;"'!$AF$6:$AF$205"),0))),"-"))</f>
        <v/>
      </c>
      <c r="Z72" s="38">
        <f>IF(OR(AP72="",Z$5="-"),"",IFERROR(IF(INDEX(INDIRECT("'"&amp;$B72&amp;"'!$T$6:$T$205"),MATCH($AR72&amp;"|"&amp;Z$5,INDIRECT("'"&amp;$B72&amp;"'!$AF$6:$AF$205"),0))="","",INDEX(INDIRECT("'"&amp;$B72&amp;"'!$T$6:$T$205"),MATCH($AR72&amp;"|"&amp;Z$5,INDIRECT("'"&amp;$B72&amp;"'!$AF$6:$AF$205"),0))),"-"))</f>
        <v/>
      </c>
      <c r="AA72" s="38">
        <f>IF(OR(AP72="",AA$5="-"),"",IFERROR(IF(INDEX(INDIRECT("'"&amp;$B72&amp;"'!$T$6:$T$205"),MATCH($AR72&amp;"|"&amp;AA$5,INDIRECT("'"&amp;$B72&amp;"'!$AF$6:$AF$205"),0))="","",INDEX(INDIRECT("'"&amp;$B72&amp;"'!$T$6:$T$205"),MATCH($AR72&amp;"|"&amp;AA$5,INDIRECT("'"&amp;$B72&amp;"'!$AF$6:$AF$205"),0))),"-"))</f>
        <v/>
      </c>
      <c r="AB72" s="38">
        <f>IF(OR(AP72="",AB$5="-"),"",IFERROR(IF(INDEX(INDIRECT("'"&amp;$B72&amp;"'!$T$6:$T$205"),MATCH($AR72&amp;"|"&amp;AB$5,INDIRECT("'"&amp;$B72&amp;"'!$AF$6:$AF$205"),0))="","",INDEX(INDIRECT("'"&amp;$B72&amp;"'!$T$6:$T$205"),MATCH($AR72&amp;"|"&amp;AB$5,INDIRECT("'"&amp;$B72&amp;"'!$AF$6:$AF$205"),0))),"-"))</f>
        <v/>
      </c>
      <c r="AC72" s="38">
        <f>IF(OR(AP72="",AC$5="-"),"",IFERROR(IF(INDEX(INDIRECT("'"&amp;$B72&amp;"'!$T$6:$T$205"),MATCH($AR72&amp;"|"&amp;AC$5,INDIRECT("'"&amp;$B72&amp;"'!$AF$6:$AF$205"),0))="","",INDEX(INDIRECT("'"&amp;$B72&amp;"'!$T$6:$T$205"),MATCH($AR72&amp;"|"&amp;AC$5,INDIRECT("'"&amp;$B72&amp;"'!$AF$6:$AF$205"),0))),"-"))</f>
        <v/>
      </c>
      <c r="AD72" s="38">
        <f>IF(OR(AP72="",AD$5="-"),"",IFERROR(IF(INDEX(INDIRECT("'"&amp;$B72&amp;"'!$T$6:$T$205"),MATCH($AR72&amp;"|"&amp;AD$5,INDIRECT("'"&amp;$B72&amp;"'!$AF$6:$AF$205"),0))="","",INDEX(INDIRECT("'"&amp;$B72&amp;"'!$T$6:$T$205"),MATCH($AR72&amp;"|"&amp;AD$5,INDIRECT("'"&amp;$B72&amp;"'!$AF$6:$AF$205"),0))),"-"))</f>
        <v/>
      </c>
      <c r="AE72" s="38">
        <f>IF(OR(AP72="",AE$5="-"),"",IFERROR(IF(INDEX(INDIRECT("'"&amp;$B72&amp;"'!$T$6:$T$205"),MATCH($AR72&amp;"|"&amp;AE$5,INDIRECT("'"&amp;$B72&amp;"'!$AF$6:$AF$205"),0))="","",INDEX(INDIRECT("'"&amp;$B72&amp;"'!$T$6:$T$205"),MATCH($AR72&amp;"|"&amp;AE$5,INDIRECT("'"&amp;$B72&amp;"'!$AF$6:$AF$205"),0))),"-"))</f>
        <v/>
      </c>
      <c r="AF72" s="35">
        <f>IF(AG72="","",INDEX($P$5:$W$5,MATCH(AG72,P72:W72,0)))</f>
        <v/>
      </c>
      <c r="AG72" s="37">
        <f>IF(COUNT(P72:W72)=0,"",MIN(P72:W72))</f>
        <v/>
      </c>
      <c r="AH72" s="39">
        <f>IF(AG72="","",AG72*F72)</f>
        <v/>
      </c>
      <c r="AI72" s="39">
        <f>IF(COUNT(P72:W72)&lt;2,"",(MAX(P72:W72)-MIN(P72:W72))*F72)</f>
        <v/>
      </c>
      <c r="AJ72" s="20" t="n"/>
      <c r="AP72">
        <f>IF(67&gt;MAX($AN$6:$AN$9),"",COUNTIF($AN$6:$AN$9,"&lt;"&amp;67)+1)</f>
        <v/>
      </c>
      <c r="AQ72">
        <f>IF(AP72="","",67-INDEX($AO$6:$AO$9,AP72))</f>
        <v/>
      </c>
      <c r="AR72">
        <f>IF(AP72="","",INDEX(INDIRECT("'"&amp;$B72&amp;"'!$AE$6:$AE$205"),MATCH(AQ72,INDIRECT("'"&amp;$B72&amp;"'!$AI$6:$AI$205"),0)))</f>
        <v/>
      </c>
    </row>
    <row r="73">
      <c r="A73" s="34">
        <f>IF(AP73="","",68)</f>
        <v/>
      </c>
      <c r="B73" s="35">
        <f>IF(AP73="","",INDEX($AL$6:$AL$9,AP73))</f>
        <v/>
      </c>
      <c r="C73" s="34">
        <f>IF(AP73="","",INDEX(INDIRECT("'"&amp;$B73&amp;"'!$B$6:$B$205"),MATCH($AR73,INDIRECT("'"&amp;$B73&amp;"'!$AE$6:$AE$205"),0)))</f>
        <v/>
      </c>
      <c r="D73" s="34">
        <f>IF(AP73="","",INDEX(INDIRECT("'"&amp;$B73&amp;"'!$D$6:$D$205"),MATCH($AR73,INDIRECT("'"&amp;$B73&amp;"'!$AE$6:$AE$205"),0)))</f>
        <v/>
      </c>
      <c r="E73" s="36">
        <f>IF(AP73="","",INDEX(INDIRECT("'"&amp;$B73&amp;"'!$F$6:$F$205"),MATCH($AR73,INDIRECT("'"&amp;$B73&amp;"'!$AE$6:$AE$205"),0)))</f>
        <v/>
      </c>
      <c r="F73" s="34">
        <f>IF(AP73="","",INDEX(INDIRECT("'"&amp;$B73&amp;"'!$K$6:$K$205"),MATCH($AR73,INDIRECT("'"&amp;$B73&amp;"'!$AE$6:$AE$205"),0)))</f>
        <v/>
      </c>
      <c r="G73" s="34">
        <f>IF(AP73="","",INDEX(INDIRECT("'"&amp;$B73&amp;"'!$L$6:$L$205"),MATCH($AR73,INDIRECT("'"&amp;$B73&amp;"'!$AE$6:$AE$205"),0)))</f>
        <v/>
      </c>
      <c r="H73" s="34">
        <f>IF(OR(AP73="",H$5="-"),"",IFERROR(IF(INDEX(INDIRECT("'"&amp;$B73&amp;"'!$N$6:$N$205"),MATCH($AR73&amp;"|"&amp;H$5,INDIRECT("'"&amp;$B73&amp;"'!$AF$6:$AF$205"),0))="","",INDEX(INDIRECT("'"&amp;$B73&amp;"'!$N$6:$N$205"),MATCH($AR73&amp;"|"&amp;H$5,INDIRECT("'"&amp;$B73&amp;"'!$AF$6:$AF$205"),0))),"-"))</f>
        <v/>
      </c>
      <c r="I73" s="34">
        <f>IF(OR(AP73="",I$5="-"),"",IFERROR(IF(INDEX(INDIRECT("'"&amp;$B73&amp;"'!$N$6:$N$205"),MATCH($AR73&amp;"|"&amp;I$5,INDIRECT("'"&amp;$B73&amp;"'!$AF$6:$AF$205"),0))="","",INDEX(INDIRECT("'"&amp;$B73&amp;"'!$N$6:$N$205"),MATCH($AR73&amp;"|"&amp;I$5,INDIRECT("'"&amp;$B73&amp;"'!$AF$6:$AF$205"),0))),"-"))</f>
        <v/>
      </c>
      <c r="J73" s="34">
        <f>IF(OR(AP73="",J$5="-"),"",IFERROR(IF(INDEX(INDIRECT("'"&amp;$B73&amp;"'!$N$6:$N$205"),MATCH($AR73&amp;"|"&amp;J$5,INDIRECT("'"&amp;$B73&amp;"'!$AF$6:$AF$205"),0))="","",INDEX(INDIRECT("'"&amp;$B73&amp;"'!$N$6:$N$205"),MATCH($AR73&amp;"|"&amp;J$5,INDIRECT("'"&amp;$B73&amp;"'!$AF$6:$AF$205"),0))),"-"))</f>
        <v/>
      </c>
      <c r="K73" s="34">
        <f>IF(OR(AP73="",K$5="-"),"",IFERROR(IF(INDEX(INDIRECT("'"&amp;$B73&amp;"'!$N$6:$N$205"),MATCH($AR73&amp;"|"&amp;K$5,INDIRECT("'"&amp;$B73&amp;"'!$AF$6:$AF$205"),0))="","",INDEX(INDIRECT("'"&amp;$B73&amp;"'!$N$6:$N$205"),MATCH($AR73&amp;"|"&amp;K$5,INDIRECT("'"&amp;$B73&amp;"'!$AF$6:$AF$205"),0))),"-"))</f>
        <v/>
      </c>
      <c r="L73" s="34">
        <f>IF(OR(AP73="",L$5="-"),"",IFERROR(IF(INDEX(INDIRECT("'"&amp;$B73&amp;"'!$N$6:$N$205"),MATCH($AR73&amp;"|"&amp;L$5,INDIRECT("'"&amp;$B73&amp;"'!$AF$6:$AF$205"),0))="","",INDEX(INDIRECT("'"&amp;$B73&amp;"'!$N$6:$N$205"),MATCH($AR73&amp;"|"&amp;L$5,INDIRECT("'"&amp;$B73&amp;"'!$AF$6:$AF$205"),0))),"-"))</f>
        <v/>
      </c>
      <c r="M73" s="34">
        <f>IF(OR(AP73="",M$5="-"),"",IFERROR(IF(INDEX(INDIRECT("'"&amp;$B73&amp;"'!$N$6:$N$205"),MATCH($AR73&amp;"|"&amp;M$5,INDIRECT("'"&amp;$B73&amp;"'!$AF$6:$AF$205"),0))="","",INDEX(INDIRECT("'"&amp;$B73&amp;"'!$N$6:$N$205"),MATCH($AR73&amp;"|"&amp;M$5,INDIRECT("'"&amp;$B73&amp;"'!$AF$6:$AF$205"),0))),"-"))</f>
        <v/>
      </c>
      <c r="N73" s="34">
        <f>IF(OR(AP73="",N$5="-"),"",IFERROR(IF(INDEX(INDIRECT("'"&amp;$B73&amp;"'!$N$6:$N$205"),MATCH($AR73&amp;"|"&amp;N$5,INDIRECT("'"&amp;$B73&amp;"'!$AF$6:$AF$205"),0))="","",INDEX(INDIRECT("'"&amp;$B73&amp;"'!$N$6:$N$205"),MATCH($AR73&amp;"|"&amp;N$5,INDIRECT("'"&amp;$B73&amp;"'!$AF$6:$AF$205"),0))),"-"))</f>
        <v/>
      </c>
      <c r="O73" s="34">
        <f>IF(OR(AP73="",O$5="-"),"",IFERROR(IF(INDEX(INDIRECT("'"&amp;$B73&amp;"'!$N$6:$N$205"),MATCH($AR73&amp;"|"&amp;O$5,INDIRECT("'"&amp;$B73&amp;"'!$AF$6:$AF$205"),0))="","",INDEX(INDIRECT("'"&amp;$B73&amp;"'!$N$6:$N$205"),MATCH($AR73&amp;"|"&amp;O$5,INDIRECT("'"&amp;$B73&amp;"'!$AF$6:$AF$205"),0))),"-"))</f>
        <v/>
      </c>
      <c r="P73" s="37">
        <f>IF(OR(AP73="",P$5="-"),"",IFERROR(IF(INDEX(INDIRECT("'"&amp;$B73&amp;"'!$R$6:$R$205"),MATCH($AR73&amp;"|"&amp;P$5,INDIRECT("'"&amp;$B73&amp;"'!$AF$6:$AF$205"),0))="","",INDEX(INDIRECT("'"&amp;$B73&amp;"'!$R$6:$R$205"),MATCH($AR73&amp;"|"&amp;P$5,INDIRECT("'"&amp;$B73&amp;"'!$AF$6:$AF$205"),0))),"-"))</f>
        <v/>
      </c>
      <c r="Q73" s="37">
        <f>IF(OR(AP73="",Q$5="-"),"",IFERROR(IF(INDEX(INDIRECT("'"&amp;$B73&amp;"'!$R$6:$R$205"),MATCH($AR73&amp;"|"&amp;Q$5,INDIRECT("'"&amp;$B73&amp;"'!$AF$6:$AF$205"),0))="","",INDEX(INDIRECT("'"&amp;$B73&amp;"'!$R$6:$R$205"),MATCH($AR73&amp;"|"&amp;Q$5,INDIRECT("'"&amp;$B73&amp;"'!$AF$6:$AF$205"),0))),"-"))</f>
        <v/>
      </c>
      <c r="R73" s="37">
        <f>IF(OR(AP73="",R$5="-"),"",IFERROR(IF(INDEX(INDIRECT("'"&amp;$B73&amp;"'!$R$6:$R$205"),MATCH($AR73&amp;"|"&amp;R$5,INDIRECT("'"&amp;$B73&amp;"'!$AF$6:$AF$205"),0))="","",INDEX(INDIRECT("'"&amp;$B73&amp;"'!$R$6:$R$205"),MATCH($AR73&amp;"|"&amp;R$5,INDIRECT("'"&amp;$B73&amp;"'!$AF$6:$AF$205"),0))),"-"))</f>
        <v/>
      </c>
      <c r="S73" s="37">
        <f>IF(OR(AP73="",S$5="-"),"",IFERROR(IF(INDEX(INDIRECT("'"&amp;$B73&amp;"'!$R$6:$R$205"),MATCH($AR73&amp;"|"&amp;S$5,INDIRECT("'"&amp;$B73&amp;"'!$AF$6:$AF$205"),0))="","",INDEX(INDIRECT("'"&amp;$B73&amp;"'!$R$6:$R$205"),MATCH($AR73&amp;"|"&amp;S$5,INDIRECT("'"&amp;$B73&amp;"'!$AF$6:$AF$205"),0))),"-"))</f>
        <v/>
      </c>
      <c r="T73" s="37">
        <f>IF(OR(AP73="",T$5="-"),"",IFERROR(IF(INDEX(INDIRECT("'"&amp;$B73&amp;"'!$R$6:$R$205"),MATCH($AR73&amp;"|"&amp;T$5,INDIRECT("'"&amp;$B73&amp;"'!$AF$6:$AF$205"),0))="","",INDEX(INDIRECT("'"&amp;$B73&amp;"'!$R$6:$R$205"),MATCH($AR73&amp;"|"&amp;T$5,INDIRECT("'"&amp;$B73&amp;"'!$AF$6:$AF$205"),0))),"-"))</f>
        <v/>
      </c>
      <c r="U73" s="37">
        <f>IF(OR(AP73="",U$5="-"),"",IFERROR(IF(INDEX(INDIRECT("'"&amp;$B73&amp;"'!$R$6:$R$205"),MATCH($AR73&amp;"|"&amp;U$5,INDIRECT("'"&amp;$B73&amp;"'!$AF$6:$AF$205"),0))="","",INDEX(INDIRECT("'"&amp;$B73&amp;"'!$R$6:$R$205"),MATCH($AR73&amp;"|"&amp;U$5,INDIRECT("'"&amp;$B73&amp;"'!$AF$6:$AF$205"),0))),"-"))</f>
        <v/>
      </c>
      <c r="V73" s="37">
        <f>IF(OR(AP73="",V$5="-"),"",IFERROR(IF(INDEX(INDIRECT("'"&amp;$B73&amp;"'!$R$6:$R$205"),MATCH($AR73&amp;"|"&amp;V$5,INDIRECT("'"&amp;$B73&amp;"'!$AF$6:$AF$205"),0))="","",INDEX(INDIRECT("'"&amp;$B73&amp;"'!$R$6:$R$205"),MATCH($AR73&amp;"|"&amp;V$5,INDIRECT("'"&amp;$B73&amp;"'!$AF$6:$AF$205"),0))),"-"))</f>
        <v/>
      </c>
      <c r="W73" s="37">
        <f>IF(OR(AP73="",W$5="-"),"",IFERROR(IF(INDEX(INDIRECT("'"&amp;$B73&amp;"'!$R$6:$R$205"),MATCH($AR73&amp;"|"&amp;W$5,INDIRECT("'"&amp;$B73&amp;"'!$AF$6:$AF$205"),0))="","",INDEX(INDIRECT("'"&amp;$B73&amp;"'!$R$6:$R$205"),MATCH($AR73&amp;"|"&amp;W$5,INDIRECT("'"&amp;$B73&amp;"'!$AF$6:$AF$205"),0))),"-"))</f>
        <v/>
      </c>
      <c r="X73" s="38">
        <f>IF(OR(AP73="",X$5="-"),"",IFERROR(IF(INDEX(INDIRECT("'"&amp;$B73&amp;"'!$T$6:$T$205"),MATCH($AR73&amp;"|"&amp;X$5,INDIRECT("'"&amp;$B73&amp;"'!$AF$6:$AF$205"),0))="","",INDEX(INDIRECT("'"&amp;$B73&amp;"'!$T$6:$T$205"),MATCH($AR73&amp;"|"&amp;X$5,INDIRECT("'"&amp;$B73&amp;"'!$AF$6:$AF$205"),0))),"-"))</f>
        <v/>
      </c>
      <c r="Y73" s="38">
        <f>IF(OR(AP73="",Y$5="-"),"",IFERROR(IF(INDEX(INDIRECT("'"&amp;$B73&amp;"'!$T$6:$T$205"),MATCH($AR73&amp;"|"&amp;Y$5,INDIRECT("'"&amp;$B73&amp;"'!$AF$6:$AF$205"),0))="","",INDEX(INDIRECT("'"&amp;$B73&amp;"'!$T$6:$T$205"),MATCH($AR73&amp;"|"&amp;Y$5,INDIRECT("'"&amp;$B73&amp;"'!$AF$6:$AF$205"),0))),"-"))</f>
        <v/>
      </c>
      <c r="Z73" s="38">
        <f>IF(OR(AP73="",Z$5="-"),"",IFERROR(IF(INDEX(INDIRECT("'"&amp;$B73&amp;"'!$T$6:$T$205"),MATCH($AR73&amp;"|"&amp;Z$5,INDIRECT("'"&amp;$B73&amp;"'!$AF$6:$AF$205"),0))="","",INDEX(INDIRECT("'"&amp;$B73&amp;"'!$T$6:$T$205"),MATCH($AR73&amp;"|"&amp;Z$5,INDIRECT("'"&amp;$B73&amp;"'!$AF$6:$AF$205"),0))),"-"))</f>
        <v/>
      </c>
      <c r="AA73" s="38">
        <f>IF(OR(AP73="",AA$5="-"),"",IFERROR(IF(INDEX(INDIRECT("'"&amp;$B73&amp;"'!$T$6:$T$205"),MATCH($AR73&amp;"|"&amp;AA$5,INDIRECT("'"&amp;$B73&amp;"'!$AF$6:$AF$205"),0))="","",INDEX(INDIRECT("'"&amp;$B73&amp;"'!$T$6:$T$205"),MATCH($AR73&amp;"|"&amp;AA$5,INDIRECT("'"&amp;$B73&amp;"'!$AF$6:$AF$205"),0))),"-"))</f>
        <v/>
      </c>
      <c r="AB73" s="38">
        <f>IF(OR(AP73="",AB$5="-"),"",IFERROR(IF(INDEX(INDIRECT("'"&amp;$B73&amp;"'!$T$6:$T$205"),MATCH($AR73&amp;"|"&amp;AB$5,INDIRECT("'"&amp;$B73&amp;"'!$AF$6:$AF$205"),0))="","",INDEX(INDIRECT("'"&amp;$B73&amp;"'!$T$6:$T$205"),MATCH($AR73&amp;"|"&amp;AB$5,INDIRECT("'"&amp;$B73&amp;"'!$AF$6:$AF$205"),0))),"-"))</f>
        <v/>
      </c>
      <c r="AC73" s="38">
        <f>IF(OR(AP73="",AC$5="-"),"",IFERROR(IF(INDEX(INDIRECT("'"&amp;$B73&amp;"'!$T$6:$T$205"),MATCH($AR73&amp;"|"&amp;AC$5,INDIRECT("'"&amp;$B73&amp;"'!$AF$6:$AF$205"),0))="","",INDEX(INDIRECT("'"&amp;$B73&amp;"'!$T$6:$T$205"),MATCH($AR73&amp;"|"&amp;AC$5,INDIRECT("'"&amp;$B73&amp;"'!$AF$6:$AF$205"),0))),"-"))</f>
        <v/>
      </c>
      <c r="AD73" s="38">
        <f>IF(OR(AP73="",AD$5="-"),"",IFERROR(IF(INDEX(INDIRECT("'"&amp;$B73&amp;"'!$T$6:$T$205"),MATCH($AR73&amp;"|"&amp;AD$5,INDIRECT("'"&amp;$B73&amp;"'!$AF$6:$AF$205"),0))="","",INDEX(INDIRECT("'"&amp;$B73&amp;"'!$T$6:$T$205"),MATCH($AR73&amp;"|"&amp;AD$5,INDIRECT("'"&amp;$B73&amp;"'!$AF$6:$AF$205"),0))),"-"))</f>
        <v/>
      </c>
      <c r="AE73" s="38">
        <f>IF(OR(AP73="",AE$5="-"),"",IFERROR(IF(INDEX(INDIRECT("'"&amp;$B73&amp;"'!$T$6:$T$205"),MATCH($AR73&amp;"|"&amp;AE$5,INDIRECT("'"&amp;$B73&amp;"'!$AF$6:$AF$205"),0))="","",INDEX(INDIRECT("'"&amp;$B73&amp;"'!$T$6:$T$205"),MATCH($AR73&amp;"|"&amp;AE$5,INDIRECT("'"&amp;$B73&amp;"'!$AF$6:$AF$205"),0))),"-"))</f>
        <v/>
      </c>
      <c r="AF73" s="35">
        <f>IF(AG73="","",INDEX($P$5:$W$5,MATCH(AG73,P73:W73,0)))</f>
        <v/>
      </c>
      <c r="AG73" s="37">
        <f>IF(COUNT(P73:W73)=0,"",MIN(P73:W73))</f>
        <v/>
      </c>
      <c r="AH73" s="39">
        <f>IF(AG73="","",AG73*F73)</f>
        <v/>
      </c>
      <c r="AI73" s="39">
        <f>IF(COUNT(P73:W73)&lt;2,"",(MAX(P73:W73)-MIN(P73:W73))*F73)</f>
        <v/>
      </c>
      <c r="AJ73" s="20" t="n"/>
      <c r="AP73">
        <f>IF(68&gt;MAX($AN$6:$AN$9),"",COUNTIF($AN$6:$AN$9,"&lt;"&amp;68)+1)</f>
        <v/>
      </c>
      <c r="AQ73">
        <f>IF(AP73="","",68-INDEX($AO$6:$AO$9,AP73))</f>
        <v/>
      </c>
      <c r="AR73">
        <f>IF(AP73="","",INDEX(INDIRECT("'"&amp;$B73&amp;"'!$AE$6:$AE$205"),MATCH(AQ73,INDIRECT("'"&amp;$B73&amp;"'!$AI$6:$AI$205"),0)))</f>
        <v/>
      </c>
    </row>
    <row r="74">
      <c r="A74" s="34">
        <f>IF(AP74="","",69)</f>
        <v/>
      </c>
      <c r="B74" s="35">
        <f>IF(AP74="","",INDEX($AL$6:$AL$9,AP74))</f>
        <v/>
      </c>
      <c r="C74" s="34">
        <f>IF(AP74="","",INDEX(INDIRECT("'"&amp;$B74&amp;"'!$B$6:$B$205"),MATCH($AR74,INDIRECT("'"&amp;$B74&amp;"'!$AE$6:$AE$205"),0)))</f>
        <v/>
      </c>
      <c r="D74" s="34">
        <f>IF(AP74="","",INDEX(INDIRECT("'"&amp;$B74&amp;"'!$D$6:$D$205"),MATCH($AR74,INDIRECT("'"&amp;$B74&amp;"'!$AE$6:$AE$205"),0)))</f>
        <v/>
      </c>
      <c r="E74" s="36">
        <f>IF(AP74="","",INDEX(INDIRECT("'"&amp;$B74&amp;"'!$F$6:$F$205"),MATCH($AR74,INDIRECT("'"&amp;$B74&amp;"'!$AE$6:$AE$205"),0)))</f>
        <v/>
      </c>
      <c r="F74" s="34">
        <f>IF(AP74="","",INDEX(INDIRECT("'"&amp;$B74&amp;"'!$K$6:$K$205"),MATCH($AR74,INDIRECT("'"&amp;$B74&amp;"'!$AE$6:$AE$205"),0)))</f>
        <v/>
      </c>
      <c r="G74" s="34">
        <f>IF(AP74="","",INDEX(INDIRECT("'"&amp;$B74&amp;"'!$L$6:$L$205"),MATCH($AR74,INDIRECT("'"&amp;$B74&amp;"'!$AE$6:$AE$205"),0)))</f>
        <v/>
      </c>
      <c r="H74" s="34">
        <f>IF(OR(AP74="",H$5="-"),"",IFERROR(IF(INDEX(INDIRECT("'"&amp;$B74&amp;"'!$N$6:$N$205"),MATCH($AR74&amp;"|"&amp;H$5,INDIRECT("'"&amp;$B74&amp;"'!$AF$6:$AF$205"),0))="","",INDEX(INDIRECT("'"&amp;$B74&amp;"'!$N$6:$N$205"),MATCH($AR74&amp;"|"&amp;H$5,INDIRECT("'"&amp;$B74&amp;"'!$AF$6:$AF$205"),0))),"-"))</f>
        <v/>
      </c>
      <c r="I74" s="34">
        <f>IF(OR(AP74="",I$5="-"),"",IFERROR(IF(INDEX(INDIRECT("'"&amp;$B74&amp;"'!$N$6:$N$205"),MATCH($AR74&amp;"|"&amp;I$5,INDIRECT("'"&amp;$B74&amp;"'!$AF$6:$AF$205"),0))="","",INDEX(INDIRECT("'"&amp;$B74&amp;"'!$N$6:$N$205"),MATCH($AR74&amp;"|"&amp;I$5,INDIRECT("'"&amp;$B74&amp;"'!$AF$6:$AF$205"),0))),"-"))</f>
        <v/>
      </c>
      <c r="J74" s="34">
        <f>IF(OR(AP74="",J$5="-"),"",IFERROR(IF(INDEX(INDIRECT("'"&amp;$B74&amp;"'!$N$6:$N$205"),MATCH($AR74&amp;"|"&amp;J$5,INDIRECT("'"&amp;$B74&amp;"'!$AF$6:$AF$205"),0))="","",INDEX(INDIRECT("'"&amp;$B74&amp;"'!$N$6:$N$205"),MATCH($AR74&amp;"|"&amp;J$5,INDIRECT("'"&amp;$B74&amp;"'!$AF$6:$AF$205"),0))),"-"))</f>
        <v/>
      </c>
      <c r="K74" s="34">
        <f>IF(OR(AP74="",K$5="-"),"",IFERROR(IF(INDEX(INDIRECT("'"&amp;$B74&amp;"'!$N$6:$N$205"),MATCH($AR74&amp;"|"&amp;K$5,INDIRECT("'"&amp;$B74&amp;"'!$AF$6:$AF$205"),0))="","",INDEX(INDIRECT("'"&amp;$B74&amp;"'!$N$6:$N$205"),MATCH($AR74&amp;"|"&amp;K$5,INDIRECT("'"&amp;$B74&amp;"'!$AF$6:$AF$205"),0))),"-"))</f>
        <v/>
      </c>
      <c r="L74" s="34">
        <f>IF(OR(AP74="",L$5="-"),"",IFERROR(IF(INDEX(INDIRECT("'"&amp;$B74&amp;"'!$N$6:$N$205"),MATCH($AR74&amp;"|"&amp;L$5,INDIRECT("'"&amp;$B74&amp;"'!$AF$6:$AF$205"),0))="","",INDEX(INDIRECT("'"&amp;$B74&amp;"'!$N$6:$N$205"),MATCH($AR74&amp;"|"&amp;L$5,INDIRECT("'"&amp;$B74&amp;"'!$AF$6:$AF$205"),0))),"-"))</f>
        <v/>
      </c>
      <c r="M74" s="34">
        <f>IF(OR(AP74="",M$5="-"),"",IFERROR(IF(INDEX(INDIRECT("'"&amp;$B74&amp;"'!$N$6:$N$205"),MATCH($AR74&amp;"|"&amp;M$5,INDIRECT("'"&amp;$B74&amp;"'!$AF$6:$AF$205"),0))="","",INDEX(INDIRECT("'"&amp;$B74&amp;"'!$N$6:$N$205"),MATCH($AR74&amp;"|"&amp;M$5,INDIRECT("'"&amp;$B74&amp;"'!$AF$6:$AF$205"),0))),"-"))</f>
        <v/>
      </c>
      <c r="N74" s="34">
        <f>IF(OR(AP74="",N$5="-"),"",IFERROR(IF(INDEX(INDIRECT("'"&amp;$B74&amp;"'!$N$6:$N$205"),MATCH($AR74&amp;"|"&amp;N$5,INDIRECT("'"&amp;$B74&amp;"'!$AF$6:$AF$205"),0))="","",INDEX(INDIRECT("'"&amp;$B74&amp;"'!$N$6:$N$205"),MATCH($AR74&amp;"|"&amp;N$5,INDIRECT("'"&amp;$B74&amp;"'!$AF$6:$AF$205"),0))),"-"))</f>
        <v/>
      </c>
      <c r="O74" s="34">
        <f>IF(OR(AP74="",O$5="-"),"",IFERROR(IF(INDEX(INDIRECT("'"&amp;$B74&amp;"'!$N$6:$N$205"),MATCH($AR74&amp;"|"&amp;O$5,INDIRECT("'"&amp;$B74&amp;"'!$AF$6:$AF$205"),0))="","",INDEX(INDIRECT("'"&amp;$B74&amp;"'!$N$6:$N$205"),MATCH($AR74&amp;"|"&amp;O$5,INDIRECT("'"&amp;$B74&amp;"'!$AF$6:$AF$205"),0))),"-"))</f>
        <v/>
      </c>
      <c r="P74" s="37">
        <f>IF(OR(AP74="",P$5="-"),"",IFERROR(IF(INDEX(INDIRECT("'"&amp;$B74&amp;"'!$R$6:$R$205"),MATCH($AR74&amp;"|"&amp;P$5,INDIRECT("'"&amp;$B74&amp;"'!$AF$6:$AF$205"),0))="","",INDEX(INDIRECT("'"&amp;$B74&amp;"'!$R$6:$R$205"),MATCH($AR74&amp;"|"&amp;P$5,INDIRECT("'"&amp;$B74&amp;"'!$AF$6:$AF$205"),0))),"-"))</f>
        <v/>
      </c>
      <c r="Q74" s="37">
        <f>IF(OR(AP74="",Q$5="-"),"",IFERROR(IF(INDEX(INDIRECT("'"&amp;$B74&amp;"'!$R$6:$R$205"),MATCH($AR74&amp;"|"&amp;Q$5,INDIRECT("'"&amp;$B74&amp;"'!$AF$6:$AF$205"),0))="","",INDEX(INDIRECT("'"&amp;$B74&amp;"'!$R$6:$R$205"),MATCH($AR74&amp;"|"&amp;Q$5,INDIRECT("'"&amp;$B74&amp;"'!$AF$6:$AF$205"),0))),"-"))</f>
        <v/>
      </c>
      <c r="R74" s="37">
        <f>IF(OR(AP74="",R$5="-"),"",IFERROR(IF(INDEX(INDIRECT("'"&amp;$B74&amp;"'!$R$6:$R$205"),MATCH($AR74&amp;"|"&amp;R$5,INDIRECT("'"&amp;$B74&amp;"'!$AF$6:$AF$205"),0))="","",INDEX(INDIRECT("'"&amp;$B74&amp;"'!$R$6:$R$205"),MATCH($AR74&amp;"|"&amp;R$5,INDIRECT("'"&amp;$B74&amp;"'!$AF$6:$AF$205"),0))),"-"))</f>
        <v/>
      </c>
      <c r="S74" s="37">
        <f>IF(OR(AP74="",S$5="-"),"",IFERROR(IF(INDEX(INDIRECT("'"&amp;$B74&amp;"'!$R$6:$R$205"),MATCH($AR74&amp;"|"&amp;S$5,INDIRECT("'"&amp;$B74&amp;"'!$AF$6:$AF$205"),0))="","",INDEX(INDIRECT("'"&amp;$B74&amp;"'!$R$6:$R$205"),MATCH($AR74&amp;"|"&amp;S$5,INDIRECT("'"&amp;$B74&amp;"'!$AF$6:$AF$205"),0))),"-"))</f>
        <v/>
      </c>
      <c r="T74" s="37">
        <f>IF(OR(AP74="",T$5="-"),"",IFERROR(IF(INDEX(INDIRECT("'"&amp;$B74&amp;"'!$R$6:$R$205"),MATCH($AR74&amp;"|"&amp;T$5,INDIRECT("'"&amp;$B74&amp;"'!$AF$6:$AF$205"),0))="","",INDEX(INDIRECT("'"&amp;$B74&amp;"'!$R$6:$R$205"),MATCH($AR74&amp;"|"&amp;T$5,INDIRECT("'"&amp;$B74&amp;"'!$AF$6:$AF$205"),0))),"-"))</f>
        <v/>
      </c>
      <c r="U74" s="37">
        <f>IF(OR(AP74="",U$5="-"),"",IFERROR(IF(INDEX(INDIRECT("'"&amp;$B74&amp;"'!$R$6:$R$205"),MATCH($AR74&amp;"|"&amp;U$5,INDIRECT("'"&amp;$B74&amp;"'!$AF$6:$AF$205"),0))="","",INDEX(INDIRECT("'"&amp;$B74&amp;"'!$R$6:$R$205"),MATCH($AR74&amp;"|"&amp;U$5,INDIRECT("'"&amp;$B74&amp;"'!$AF$6:$AF$205"),0))),"-"))</f>
        <v/>
      </c>
      <c r="V74" s="37">
        <f>IF(OR(AP74="",V$5="-"),"",IFERROR(IF(INDEX(INDIRECT("'"&amp;$B74&amp;"'!$R$6:$R$205"),MATCH($AR74&amp;"|"&amp;V$5,INDIRECT("'"&amp;$B74&amp;"'!$AF$6:$AF$205"),0))="","",INDEX(INDIRECT("'"&amp;$B74&amp;"'!$R$6:$R$205"),MATCH($AR74&amp;"|"&amp;V$5,INDIRECT("'"&amp;$B74&amp;"'!$AF$6:$AF$205"),0))),"-"))</f>
        <v/>
      </c>
      <c r="W74" s="37">
        <f>IF(OR(AP74="",W$5="-"),"",IFERROR(IF(INDEX(INDIRECT("'"&amp;$B74&amp;"'!$R$6:$R$205"),MATCH($AR74&amp;"|"&amp;W$5,INDIRECT("'"&amp;$B74&amp;"'!$AF$6:$AF$205"),0))="","",INDEX(INDIRECT("'"&amp;$B74&amp;"'!$R$6:$R$205"),MATCH($AR74&amp;"|"&amp;W$5,INDIRECT("'"&amp;$B74&amp;"'!$AF$6:$AF$205"),0))),"-"))</f>
        <v/>
      </c>
      <c r="X74" s="38">
        <f>IF(OR(AP74="",X$5="-"),"",IFERROR(IF(INDEX(INDIRECT("'"&amp;$B74&amp;"'!$T$6:$T$205"),MATCH($AR74&amp;"|"&amp;X$5,INDIRECT("'"&amp;$B74&amp;"'!$AF$6:$AF$205"),0))="","",INDEX(INDIRECT("'"&amp;$B74&amp;"'!$T$6:$T$205"),MATCH($AR74&amp;"|"&amp;X$5,INDIRECT("'"&amp;$B74&amp;"'!$AF$6:$AF$205"),0))),"-"))</f>
        <v/>
      </c>
      <c r="Y74" s="38">
        <f>IF(OR(AP74="",Y$5="-"),"",IFERROR(IF(INDEX(INDIRECT("'"&amp;$B74&amp;"'!$T$6:$T$205"),MATCH($AR74&amp;"|"&amp;Y$5,INDIRECT("'"&amp;$B74&amp;"'!$AF$6:$AF$205"),0))="","",INDEX(INDIRECT("'"&amp;$B74&amp;"'!$T$6:$T$205"),MATCH($AR74&amp;"|"&amp;Y$5,INDIRECT("'"&amp;$B74&amp;"'!$AF$6:$AF$205"),0))),"-"))</f>
        <v/>
      </c>
      <c r="Z74" s="38">
        <f>IF(OR(AP74="",Z$5="-"),"",IFERROR(IF(INDEX(INDIRECT("'"&amp;$B74&amp;"'!$T$6:$T$205"),MATCH($AR74&amp;"|"&amp;Z$5,INDIRECT("'"&amp;$B74&amp;"'!$AF$6:$AF$205"),0))="","",INDEX(INDIRECT("'"&amp;$B74&amp;"'!$T$6:$T$205"),MATCH($AR74&amp;"|"&amp;Z$5,INDIRECT("'"&amp;$B74&amp;"'!$AF$6:$AF$205"),0))),"-"))</f>
        <v/>
      </c>
      <c r="AA74" s="38">
        <f>IF(OR(AP74="",AA$5="-"),"",IFERROR(IF(INDEX(INDIRECT("'"&amp;$B74&amp;"'!$T$6:$T$205"),MATCH($AR74&amp;"|"&amp;AA$5,INDIRECT("'"&amp;$B74&amp;"'!$AF$6:$AF$205"),0))="","",INDEX(INDIRECT("'"&amp;$B74&amp;"'!$T$6:$T$205"),MATCH($AR74&amp;"|"&amp;AA$5,INDIRECT("'"&amp;$B74&amp;"'!$AF$6:$AF$205"),0))),"-"))</f>
        <v/>
      </c>
      <c r="AB74" s="38">
        <f>IF(OR(AP74="",AB$5="-"),"",IFERROR(IF(INDEX(INDIRECT("'"&amp;$B74&amp;"'!$T$6:$T$205"),MATCH($AR74&amp;"|"&amp;AB$5,INDIRECT("'"&amp;$B74&amp;"'!$AF$6:$AF$205"),0))="","",INDEX(INDIRECT("'"&amp;$B74&amp;"'!$T$6:$T$205"),MATCH($AR74&amp;"|"&amp;AB$5,INDIRECT("'"&amp;$B74&amp;"'!$AF$6:$AF$205"),0))),"-"))</f>
        <v/>
      </c>
      <c r="AC74" s="38">
        <f>IF(OR(AP74="",AC$5="-"),"",IFERROR(IF(INDEX(INDIRECT("'"&amp;$B74&amp;"'!$T$6:$T$205"),MATCH($AR74&amp;"|"&amp;AC$5,INDIRECT("'"&amp;$B74&amp;"'!$AF$6:$AF$205"),0))="","",INDEX(INDIRECT("'"&amp;$B74&amp;"'!$T$6:$T$205"),MATCH($AR74&amp;"|"&amp;AC$5,INDIRECT("'"&amp;$B74&amp;"'!$AF$6:$AF$205"),0))),"-"))</f>
        <v/>
      </c>
      <c r="AD74" s="38">
        <f>IF(OR(AP74="",AD$5="-"),"",IFERROR(IF(INDEX(INDIRECT("'"&amp;$B74&amp;"'!$T$6:$T$205"),MATCH($AR74&amp;"|"&amp;AD$5,INDIRECT("'"&amp;$B74&amp;"'!$AF$6:$AF$205"),0))="","",INDEX(INDIRECT("'"&amp;$B74&amp;"'!$T$6:$T$205"),MATCH($AR74&amp;"|"&amp;AD$5,INDIRECT("'"&amp;$B74&amp;"'!$AF$6:$AF$205"),0))),"-"))</f>
        <v/>
      </c>
      <c r="AE74" s="38">
        <f>IF(OR(AP74="",AE$5="-"),"",IFERROR(IF(INDEX(INDIRECT("'"&amp;$B74&amp;"'!$T$6:$T$205"),MATCH($AR74&amp;"|"&amp;AE$5,INDIRECT("'"&amp;$B74&amp;"'!$AF$6:$AF$205"),0))="","",INDEX(INDIRECT("'"&amp;$B74&amp;"'!$T$6:$T$205"),MATCH($AR74&amp;"|"&amp;AE$5,INDIRECT("'"&amp;$B74&amp;"'!$AF$6:$AF$205"),0))),"-"))</f>
        <v/>
      </c>
      <c r="AF74" s="35">
        <f>IF(AG74="","",INDEX($P$5:$W$5,MATCH(AG74,P74:W74,0)))</f>
        <v/>
      </c>
      <c r="AG74" s="37">
        <f>IF(COUNT(P74:W74)=0,"",MIN(P74:W74))</f>
        <v/>
      </c>
      <c r="AH74" s="39">
        <f>IF(AG74="","",AG74*F74)</f>
        <v/>
      </c>
      <c r="AI74" s="39">
        <f>IF(COUNT(P74:W74)&lt;2,"",(MAX(P74:W74)-MIN(P74:W74))*F74)</f>
        <v/>
      </c>
      <c r="AJ74" s="20" t="n"/>
      <c r="AP74">
        <f>IF(69&gt;MAX($AN$6:$AN$9),"",COUNTIF($AN$6:$AN$9,"&lt;"&amp;69)+1)</f>
        <v/>
      </c>
      <c r="AQ74">
        <f>IF(AP74="","",69-INDEX($AO$6:$AO$9,AP74))</f>
        <v/>
      </c>
      <c r="AR74">
        <f>IF(AP74="","",INDEX(INDIRECT("'"&amp;$B74&amp;"'!$AE$6:$AE$205"),MATCH(AQ74,INDIRECT("'"&amp;$B74&amp;"'!$AI$6:$AI$205"),0)))</f>
        <v/>
      </c>
    </row>
    <row r="75">
      <c r="A75" s="34">
        <f>IF(AP75="","",70)</f>
        <v/>
      </c>
      <c r="B75" s="35">
        <f>IF(AP75="","",INDEX($AL$6:$AL$9,AP75))</f>
        <v/>
      </c>
      <c r="C75" s="34">
        <f>IF(AP75="","",INDEX(INDIRECT("'"&amp;$B75&amp;"'!$B$6:$B$205"),MATCH($AR75,INDIRECT("'"&amp;$B75&amp;"'!$AE$6:$AE$205"),0)))</f>
        <v/>
      </c>
      <c r="D75" s="34">
        <f>IF(AP75="","",INDEX(INDIRECT("'"&amp;$B75&amp;"'!$D$6:$D$205"),MATCH($AR75,INDIRECT("'"&amp;$B75&amp;"'!$AE$6:$AE$205"),0)))</f>
        <v/>
      </c>
      <c r="E75" s="36">
        <f>IF(AP75="","",INDEX(INDIRECT("'"&amp;$B75&amp;"'!$F$6:$F$205"),MATCH($AR75,INDIRECT("'"&amp;$B75&amp;"'!$AE$6:$AE$205"),0)))</f>
        <v/>
      </c>
      <c r="F75" s="34">
        <f>IF(AP75="","",INDEX(INDIRECT("'"&amp;$B75&amp;"'!$K$6:$K$205"),MATCH($AR75,INDIRECT("'"&amp;$B75&amp;"'!$AE$6:$AE$205"),0)))</f>
        <v/>
      </c>
      <c r="G75" s="34">
        <f>IF(AP75="","",INDEX(INDIRECT("'"&amp;$B75&amp;"'!$L$6:$L$205"),MATCH($AR75,INDIRECT("'"&amp;$B75&amp;"'!$AE$6:$AE$205"),0)))</f>
        <v/>
      </c>
      <c r="H75" s="34">
        <f>IF(OR(AP75="",H$5="-"),"",IFERROR(IF(INDEX(INDIRECT("'"&amp;$B75&amp;"'!$N$6:$N$205"),MATCH($AR75&amp;"|"&amp;H$5,INDIRECT("'"&amp;$B75&amp;"'!$AF$6:$AF$205"),0))="","",INDEX(INDIRECT("'"&amp;$B75&amp;"'!$N$6:$N$205"),MATCH($AR75&amp;"|"&amp;H$5,INDIRECT("'"&amp;$B75&amp;"'!$AF$6:$AF$205"),0))),"-"))</f>
        <v/>
      </c>
      <c r="I75" s="34">
        <f>IF(OR(AP75="",I$5="-"),"",IFERROR(IF(INDEX(INDIRECT("'"&amp;$B75&amp;"'!$N$6:$N$205"),MATCH($AR75&amp;"|"&amp;I$5,INDIRECT("'"&amp;$B75&amp;"'!$AF$6:$AF$205"),0))="","",INDEX(INDIRECT("'"&amp;$B75&amp;"'!$N$6:$N$205"),MATCH($AR75&amp;"|"&amp;I$5,INDIRECT("'"&amp;$B75&amp;"'!$AF$6:$AF$205"),0))),"-"))</f>
        <v/>
      </c>
      <c r="J75" s="34">
        <f>IF(OR(AP75="",J$5="-"),"",IFERROR(IF(INDEX(INDIRECT("'"&amp;$B75&amp;"'!$N$6:$N$205"),MATCH($AR75&amp;"|"&amp;J$5,INDIRECT("'"&amp;$B75&amp;"'!$AF$6:$AF$205"),0))="","",INDEX(INDIRECT("'"&amp;$B75&amp;"'!$N$6:$N$205"),MATCH($AR75&amp;"|"&amp;J$5,INDIRECT("'"&amp;$B75&amp;"'!$AF$6:$AF$205"),0))),"-"))</f>
        <v/>
      </c>
      <c r="K75" s="34">
        <f>IF(OR(AP75="",K$5="-"),"",IFERROR(IF(INDEX(INDIRECT("'"&amp;$B75&amp;"'!$N$6:$N$205"),MATCH($AR75&amp;"|"&amp;K$5,INDIRECT("'"&amp;$B75&amp;"'!$AF$6:$AF$205"),0))="","",INDEX(INDIRECT("'"&amp;$B75&amp;"'!$N$6:$N$205"),MATCH($AR75&amp;"|"&amp;K$5,INDIRECT("'"&amp;$B75&amp;"'!$AF$6:$AF$205"),0))),"-"))</f>
        <v/>
      </c>
      <c r="L75" s="34">
        <f>IF(OR(AP75="",L$5="-"),"",IFERROR(IF(INDEX(INDIRECT("'"&amp;$B75&amp;"'!$N$6:$N$205"),MATCH($AR75&amp;"|"&amp;L$5,INDIRECT("'"&amp;$B75&amp;"'!$AF$6:$AF$205"),0))="","",INDEX(INDIRECT("'"&amp;$B75&amp;"'!$N$6:$N$205"),MATCH($AR75&amp;"|"&amp;L$5,INDIRECT("'"&amp;$B75&amp;"'!$AF$6:$AF$205"),0))),"-"))</f>
        <v/>
      </c>
      <c r="M75" s="34">
        <f>IF(OR(AP75="",M$5="-"),"",IFERROR(IF(INDEX(INDIRECT("'"&amp;$B75&amp;"'!$N$6:$N$205"),MATCH($AR75&amp;"|"&amp;M$5,INDIRECT("'"&amp;$B75&amp;"'!$AF$6:$AF$205"),0))="","",INDEX(INDIRECT("'"&amp;$B75&amp;"'!$N$6:$N$205"),MATCH($AR75&amp;"|"&amp;M$5,INDIRECT("'"&amp;$B75&amp;"'!$AF$6:$AF$205"),0))),"-"))</f>
        <v/>
      </c>
      <c r="N75" s="34">
        <f>IF(OR(AP75="",N$5="-"),"",IFERROR(IF(INDEX(INDIRECT("'"&amp;$B75&amp;"'!$N$6:$N$205"),MATCH($AR75&amp;"|"&amp;N$5,INDIRECT("'"&amp;$B75&amp;"'!$AF$6:$AF$205"),0))="","",INDEX(INDIRECT("'"&amp;$B75&amp;"'!$N$6:$N$205"),MATCH($AR75&amp;"|"&amp;N$5,INDIRECT("'"&amp;$B75&amp;"'!$AF$6:$AF$205"),0))),"-"))</f>
        <v/>
      </c>
      <c r="O75" s="34">
        <f>IF(OR(AP75="",O$5="-"),"",IFERROR(IF(INDEX(INDIRECT("'"&amp;$B75&amp;"'!$N$6:$N$205"),MATCH($AR75&amp;"|"&amp;O$5,INDIRECT("'"&amp;$B75&amp;"'!$AF$6:$AF$205"),0))="","",INDEX(INDIRECT("'"&amp;$B75&amp;"'!$N$6:$N$205"),MATCH($AR75&amp;"|"&amp;O$5,INDIRECT("'"&amp;$B75&amp;"'!$AF$6:$AF$205"),0))),"-"))</f>
        <v/>
      </c>
      <c r="P75" s="37">
        <f>IF(OR(AP75="",P$5="-"),"",IFERROR(IF(INDEX(INDIRECT("'"&amp;$B75&amp;"'!$R$6:$R$205"),MATCH($AR75&amp;"|"&amp;P$5,INDIRECT("'"&amp;$B75&amp;"'!$AF$6:$AF$205"),0))="","",INDEX(INDIRECT("'"&amp;$B75&amp;"'!$R$6:$R$205"),MATCH($AR75&amp;"|"&amp;P$5,INDIRECT("'"&amp;$B75&amp;"'!$AF$6:$AF$205"),0))),"-"))</f>
        <v/>
      </c>
      <c r="Q75" s="37">
        <f>IF(OR(AP75="",Q$5="-"),"",IFERROR(IF(INDEX(INDIRECT("'"&amp;$B75&amp;"'!$R$6:$R$205"),MATCH($AR75&amp;"|"&amp;Q$5,INDIRECT("'"&amp;$B75&amp;"'!$AF$6:$AF$205"),0))="","",INDEX(INDIRECT("'"&amp;$B75&amp;"'!$R$6:$R$205"),MATCH($AR75&amp;"|"&amp;Q$5,INDIRECT("'"&amp;$B75&amp;"'!$AF$6:$AF$205"),0))),"-"))</f>
        <v/>
      </c>
      <c r="R75" s="37">
        <f>IF(OR(AP75="",R$5="-"),"",IFERROR(IF(INDEX(INDIRECT("'"&amp;$B75&amp;"'!$R$6:$R$205"),MATCH($AR75&amp;"|"&amp;R$5,INDIRECT("'"&amp;$B75&amp;"'!$AF$6:$AF$205"),0))="","",INDEX(INDIRECT("'"&amp;$B75&amp;"'!$R$6:$R$205"),MATCH($AR75&amp;"|"&amp;R$5,INDIRECT("'"&amp;$B75&amp;"'!$AF$6:$AF$205"),0))),"-"))</f>
        <v/>
      </c>
      <c r="S75" s="37">
        <f>IF(OR(AP75="",S$5="-"),"",IFERROR(IF(INDEX(INDIRECT("'"&amp;$B75&amp;"'!$R$6:$R$205"),MATCH($AR75&amp;"|"&amp;S$5,INDIRECT("'"&amp;$B75&amp;"'!$AF$6:$AF$205"),0))="","",INDEX(INDIRECT("'"&amp;$B75&amp;"'!$R$6:$R$205"),MATCH($AR75&amp;"|"&amp;S$5,INDIRECT("'"&amp;$B75&amp;"'!$AF$6:$AF$205"),0))),"-"))</f>
        <v/>
      </c>
      <c r="T75" s="37">
        <f>IF(OR(AP75="",T$5="-"),"",IFERROR(IF(INDEX(INDIRECT("'"&amp;$B75&amp;"'!$R$6:$R$205"),MATCH($AR75&amp;"|"&amp;T$5,INDIRECT("'"&amp;$B75&amp;"'!$AF$6:$AF$205"),0))="","",INDEX(INDIRECT("'"&amp;$B75&amp;"'!$R$6:$R$205"),MATCH($AR75&amp;"|"&amp;T$5,INDIRECT("'"&amp;$B75&amp;"'!$AF$6:$AF$205"),0))),"-"))</f>
        <v/>
      </c>
      <c r="U75" s="37">
        <f>IF(OR(AP75="",U$5="-"),"",IFERROR(IF(INDEX(INDIRECT("'"&amp;$B75&amp;"'!$R$6:$R$205"),MATCH($AR75&amp;"|"&amp;U$5,INDIRECT("'"&amp;$B75&amp;"'!$AF$6:$AF$205"),0))="","",INDEX(INDIRECT("'"&amp;$B75&amp;"'!$R$6:$R$205"),MATCH($AR75&amp;"|"&amp;U$5,INDIRECT("'"&amp;$B75&amp;"'!$AF$6:$AF$205"),0))),"-"))</f>
        <v/>
      </c>
      <c r="V75" s="37">
        <f>IF(OR(AP75="",V$5="-"),"",IFERROR(IF(INDEX(INDIRECT("'"&amp;$B75&amp;"'!$R$6:$R$205"),MATCH($AR75&amp;"|"&amp;V$5,INDIRECT("'"&amp;$B75&amp;"'!$AF$6:$AF$205"),0))="","",INDEX(INDIRECT("'"&amp;$B75&amp;"'!$R$6:$R$205"),MATCH($AR75&amp;"|"&amp;V$5,INDIRECT("'"&amp;$B75&amp;"'!$AF$6:$AF$205"),0))),"-"))</f>
        <v/>
      </c>
      <c r="W75" s="37">
        <f>IF(OR(AP75="",W$5="-"),"",IFERROR(IF(INDEX(INDIRECT("'"&amp;$B75&amp;"'!$R$6:$R$205"),MATCH($AR75&amp;"|"&amp;W$5,INDIRECT("'"&amp;$B75&amp;"'!$AF$6:$AF$205"),0))="","",INDEX(INDIRECT("'"&amp;$B75&amp;"'!$R$6:$R$205"),MATCH($AR75&amp;"|"&amp;W$5,INDIRECT("'"&amp;$B75&amp;"'!$AF$6:$AF$205"),0))),"-"))</f>
        <v/>
      </c>
      <c r="X75" s="38">
        <f>IF(OR(AP75="",X$5="-"),"",IFERROR(IF(INDEX(INDIRECT("'"&amp;$B75&amp;"'!$T$6:$T$205"),MATCH($AR75&amp;"|"&amp;X$5,INDIRECT("'"&amp;$B75&amp;"'!$AF$6:$AF$205"),0))="","",INDEX(INDIRECT("'"&amp;$B75&amp;"'!$T$6:$T$205"),MATCH($AR75&amp;"|"&amp;X$5,INDIRECT("'"&amp;$B75&amp;"'!$AF$6:$AF$205"),0))),"-"))</f>
        <v/>
      </c>
      <c r="Y75" s="38">
        <f>IF(OR(AP75="",Y$5="-"),"",IFERROR(IF(INDEX(INDIRECT("'"&amp;$B75&amp;"'!$T$6:$T$205"),MATCH($AR75&amp;"|"&amp;Y$5,INDIRECT("'"&amp;$B75&amp;"'!$AF$6:$AF$205"),0))="","",INDEX(INDIRECT("'"&amp;$B75&amp;"'!$T$6:$T$205"),MATCH($AR75&amp;"|"&amp;Y$5,INDIRECT("'"&amp;$B75&amp;"'!$AF$6:$AF$205"),0))),"-"))</f>
        <v/>
      </c>
      <c r="Z75" s="38">
        <f>IF(OR(AP75="",Z$5="-"),"",IFERROR(IF(INDEX(INDIRECT("'"&amp;$B75&amp;"'!$T$6:$T$205"),MATCH($AR75&amp;"|"&amp;Z$5,INDIRECT("'"&amp;$B75&amp;"'!$AF$6:$AF$205"),0))="","",INDEX(INDIRECT("'"&amp;$B75&amp;"'!$T$6:$T$205"),MATCH($AR75&amp;"|"&amp;Z$5,INDIRECT("'"&amp;$B75&amp;"'!$AF$6:$AF$205"),0))),"-"))</f>
        <v/>
      </c>
      <c r="AA75" s="38">
        <f>IF(OR(AP75="",AA$5="-"),"",IFERROR(IF(INDEX(INDIRECT("'"&amp;$B75&amp;"'!$T$6:$T$205"),MATCH($AR75&amp;"|"&amp;AA$5,INDIRECT("'"&amp;$B75&amp;"'!$AF$6:$AF$205"),0))="","",INDEX(INDIRECT("'"&amp;$B75&amp;"'!$T$6:$T$205"),MATCH($AR75&amp;"|"&amp;AA$5,INDIRECT("'"&amp;$B75&amp;"'!$AF$6:$AF$205"),0))),"-"))</f>
        <v/>
      </c>
      <c r="AB75" s="38">
        <f>IF(OR(AP75="",AB$5="-"),"",IFERROR(IF(INDEX(INDIRECT("'"&amp;$B75&amp;"'!$T$6:$T$205"),MATCH($AR75&amp;"|"&amp;AB$5,INDIRECT("'"&amp;$B75&amp;"'!$AF$6:$AF$205"),0))="","",INDEX(INDIRECT("'"&amp;$B75&amp;"'!$T$6:$T$205"),MATCH($AR75&amp;"|"&amp;AB$5,INDIRECT("'"&amp;$B75&amp;"'!$AF$6:$AF$205"),0))),"-"))</f>
        <v/>
      </c>
      <c r="AC75" s="38">
        <f>IF(OR(AP75="",AC$5="-"),"",IFERROR(IF(INDEX(INDIRECT("'"&amp;$B75&amp;"'!$T$6:$T$205"),MATCH($AR75&amp;"|"&amp;AC$5,INDIRECT("'"&amp;$B75&amp;"'!$AF$6:$AF$205"),0))="","",INDEX(INDIRECT("'"&amp;$B75&amp;"'!$T$6:$T$205"),MATCH($AR75&amp;"|"&amp;AC$5,INDIRECT("'"&amp;$B75&amp;"'!$AF$6:$AF$205"),0))),"-"))</f>
        <v/>
      </c>
      <c r="AD75" s="38">
        <f>IF(OR(AP75="",AD$5="-"),"",IFERROR(IF(INDEX(INDIRECT("'"&amp;$B75&amp;"'!$T$6:$T$205"),MATCH($AR75&amp;"|"&amp;AD$5,INDIRECT("'"&amp;$B75&amp;"'!$AF$6:$AF$205"),0))="","",INDEX(INDIRECT("'"&amp;$B75&amp;"'!$T$6:$T$205"),MATCH($AR75&amp;"|"&amp;AD$5,INDIRECT("'"&amp;$B75&amp;"'!$AF$6:$AF$205"),0))),"-"))</f>
        <v/>
      </c>
      <c r="AE75" s="38">
        <f>IF(OR(AP75="",AE$5="-"),"",IFERROR(IF(INDEX(INDIRECT("'"&amp;$B75&amp;"'!$T$6:$T$205"),MATCH($AR75&amp;"|"&amp;AE$5,INDIRECT("'"&amp;$B75&amp;"'!$AF$6:$AF$205"),0))="","",INDEX(INDIRECT("'"&amp;$B75&amp;"'!$T$6:$T$205"),MATCH($AR75&amp;"|"&amp;AE$5,INDIRECT("'"&amp;$B75&amp;"'!$AF$6:$AF$205"),0))),"-"))</f>
        <v/>
      </c>
      <c r="AF75" s="35">
        <f>IF(AG75="","",INDEX($P$5:$W$5,MATCH(AG75,P75:W75,0)))</f>
        <v/>
      </c>
      <c r="AG75" s="37">
        <f>IF(COUNT(P75:W75)=0,"",MIN(P75:W75))</f>
        <v/>
      </c>
      <c r="AH75" s="39">
        <f>IF(AG75="","",AG75*F75)</f>
        <v/>
      </c>
      <c r="AI75" s="39">
        <f>IF(COUNT(P75:W75)&lt;2,"",(MAX(P75:W75)-MIN(P75:W75))*F75)</f>
        <v/>
      </c>
      <c r="AJ75" s="20" t="n"/>
      <c r="AP75">
        <f>IF(70&gt;MAX($AN$6:$AN$9),"",COUNTIF($AN$6:$AN$9,"&lt;"&amp;70)+1)</f>
        <v/>
      </c>
      <c r="AQ75">
        <f>IF(AP75="","",70-INDEX($AO$6:$AO$9,AP75))</f>
        <v/>
      </c>
      <c r="AR75">
        <f>IF(AP75="","",INDEX(INDIRECT("'"&amp;$B75&amp;"'!$AE$6:$AE$205"),MATCH(AQ75,INDIRECT("'"&amp;$B75&amp;"'!$AI$6:$AI$205"),0)))</f>
        <v/>
      </c>
    </row>
    <row r="76">
      <c r="A76" s="34">
        <f>IF(AP76="","",71)</f>
        <v/>
      </c>
      <c r="B76" s="35">
        <f>IF(AP76="","",INDEX($AL$6:$AL$9,AP76))</f>
        <v/>
      </c>
      <c r="C76" s="34">
        <f>IF(AP76="","",INDEX(INDIRECT("'"&amp;$B76&amp;"'!$B$6:$B$205"),MATCH($AR76,INDIRECT("'"&amp;$B76&amp;"'!$AE$6:$AE$205"),0)))</f>
        <v/>
      </c>
      <c r="D76" s="34">
        <f>IF(AP76="","",INDEX(INDIRECT("'"&amp;$B76&amp;"'!$D$6:$D$205"),MATCH($AR76,INDIRECT("'"&amp;$B76&amp;"'!$AE$6:$AE$205"),0)))</f>
        <v/>
      </c>
      <c r="E76" s="36">
        <f>IF(AP76="","",INDEX(INDIRECT("'"&amp;$B76&amp;"'!$F$6:$F$205"),MATCH($AR76,INDIRECT("'"&amp;$B76&amp;"'!$AE$6:$AE$205"),0)))</f>
        <v/>
      </c>
      <c r="F76" s="34">
        <f>IF(AP76="","",INDEX(INDIRECT("'"&amp;$B76&amp;"'!$K$6:$K$205"),MATCH($AR76,INDIRECT("'"&amp;$B76&amp;"'!$AE$6:$AE$205"),0)))</f>
        <v/>
      </c>
      <c r="G76" s="34">
        <f>IF(AP76="","",INDEX(INDIRECT("'"&amp;$B76&amp;"'!$L$6:$L$205"),MATCH($AR76,INDIRECT("'"&amp;$B76&amp;"'!$AE$6:$AE$205"),0)))</f>
        <v/>
      </c>
      <c r="H76" s="34">
        <f>IF(OR(AP76="",H$5="-"),"",IFERROR(IF(INDEX(INDIRECT("'"&amp;$B76&amp;"'!$N$6:$N$205"),MATCH($AR76&amp;"|"&amp;H$5,INDIRECT("'"&amp;$B76&amp;"'!$AF$6:$AF$205"),0))="","",INDEX(INDIRECT("'"&amp;$B76&amp;"'!$N$6:$N$205"),MATCH($AR76&amp;"|"&amp;H$5,INDIRECT("'"&amp;$B76&amp;"'!$AF$6:$AF$205"),0))),"-"))</f>
        <v/>
      </c>
      <c r="I76" s="34">
        <f>IF(OR(AP76="",I$5="-"),"",IFERROR(IF(INDEX(INDIRECT("'"&amp;$B76&amp;"'!$N$6:$N$205"),MATCH($AR76&amp;"|"&amp;I$5,INDIRECT("'"&amp;$B76&amp;"'!$AF$6:$AF$205"),0))="","",INDEX(INDIRECT("'"&amp;$B76&amp;"'!$N$6:$N$205"),MATCH($AR76&amp;"|"&amp;I$5,INDIRECT("'"&amp;$B76&amp;"'!$AF$6:$AF$205"),0))),"-"))</f>
        <v/>
      </c>
      <c r="J76" s="34">
        <f>IF(OR(AP76="",J$5="-"),"",IFERROR(IF(INDEX(INDIRECT("'"&amp;$B76&amp;"'!$N$6:$N$205"),MATCH($AR76&amp;"|"&amp;J$5,INDIRECT("'"&amp;$B76&amp;"'!$AF$6:$AF$205"),0))="","",INDEX(INDIRECT("'"&amp;$B76&amp;"'!$N$6:$N$205"),MATCH($AR76&amp;"|"&amp;J$5,INDIRECT("'"&amp;$B76&amp;"'!$AF$6:$AF$205"),0))),"-"))</f>
        <v/>
      </c>
      <c r="K76" s="34">
        <f>IF(OR(AP76="",K$5="-"),"",IFERROR(IF(INDEX(INDIRECT("'"&amp;$B76&amp;"'!$N$6:$N$205"),MATCH($AR76&amp;"|"&amp;K$5,INDIRECT("'"&amp;$B76&amp;"'!$AF$6:$AF$205"),0))="","",INDEX(INDIRECT("'"&amp;$B76&amp;"'!$N$6:$N$205"),MATCH($AR76&amp;"|"&amp;K$5,INDIRECT("'"&amp;$B76&amp;"'!$AF$6:$AF$205"),0))),"-"))</f>
        <v/>
      </c>
      <c r="L76" s="34">
        <f>IF(OR(AP76="",L$5="-"),"",IFERROR(IF(INDEX(INDIRECT("'"&amp;$B76&amp;"'!$N$6:$N$205"),MATCH($AR76&amp;"|"&amp;L$5,INDIRECT("'"&amp;$B76&amp;"'!$AF$6:$AF$205"),0))="","",INDEX(INDIRECT("'"&amp;$B76&amp;"'!$N$6:$N$205"),MATCH($AR76&amp;"|"&amp;L$5,INDIRECT("'"&amp;$B76&amp;"'!$AF$6:$AF$205"),0))),"-"))</f>
        <v/>
      </c>
      <c r="M76" s="34">
        <f>IF(OR(AP76="",M$5="-"),"",IFERROR(IF(INDEX(INDIRECT("'"&amp;$B76&amp;"'!$N$6:$N$205"),MATCH($AR76&amp;"|"&amp;M$5,INDIRECT("'"&amp;$B76&amp;"'!$AF$6:$AF$205"),0))="","",INDEX(INDIRECT("'"&amp;$B76&amp;"'!$N$6:$N$205"),MATCH($AR76&amp;"|"&amp;M$5,INDIRECT("'"&amp;$B76&amp;"'!$AF$6:$AF$205"),0))),"-"))</f>
        <v/>
      </c>
      <c r="N76" s="34">
        <f>IF(OR(AP76="",N$5="-"),"",IFERROR(IF(INDEX(INDIRECT("'"&amp;$B76&amp;"'!$N$6:$N$205"),MATCH($AR76&amp;"|"&amp;N$5,INDIRECT("'"&amp;$B76&amp;"'!$AF$6:$AF$205"),0))="","",INDEX(INDIRECT("'"&amp;$B76&amp;"'!$N$6:$N$205"),MATCH($AR76&amp;"|"&amp;N$5,INDIRECT("'"&amp;$B76&amp;"'!$AF$6:$AF$205"),0))),"-"))</f>
        <v/>
      </c>
      <c r="O76" s="34">
        <f>IF(OR(AP76="",O$5="-"),"",IFERROR(IF(INDEX(INDIRECT("'"&amp;$B76&amp;"'!$N$6:$N$205"),MATCH($AR76&amp;"|"&amp;O$5,INDIRECT("'"&amp;$B76&amp;"'!$AF$6:$AF$205"),0))="","",INDEX(INDIRECT("'"&amp;$B76&amp;"'!$N$6:$N$205"),MATCH($AR76&amp;"|"&amp;O$5,INDIRECT("'"&amp;$B76&amp;"'!$AF$6:$AF$205"),0))),"-"))</f>
        <v/>
      </c>
      <c r="P76" s="37">
        <f>IF(OR(AP76="",P$5="-"),"",IFERROR(IF(INDEX(INDIRECT("'"&amp;$B76&amp;"'!$R$6:$R$205"),MATCH($AR76&amp;"|"&amp;P$5,INDIRECT("'"&amp;$B76&amp;"'!$AF$6:$AF$205"),0))="","",INDEX(INDIRECT("'"&amp;$B76&amp;"'!$R$6:$R$205"),MATCH($AR76&amp;"|"&amp;P$5,INDIRECT("'"&amp;$B76&amp;"'!$AF$6:$AF$205"),0))),"-"))</f>
        <v/>
      </c>
      <c r="Q76" s="37">
        <f>IF(OR(AP76="",Q$5="-"),"",IFERROR(IF(INDEX(INDIRECT("'"&amp;$B76&amp;"'!$R$6:$R$205"),MATCH($AR76&amp;"|"&amp;Q$5,INDIRECT("'"&amp;$B76&amp;"'!$AF$6:$AF$205"),0))="","",INDEX(INDIRECT("'"&amp;$B76&amp;"'!$R$6:$R$205"),MATCH($AR76&amp;"|"&amp;Q$5,INDIRECT("'"&amp;$B76&amp;"'!$AF$6:$AF$205"),0))),"-"))</f>
        <v/>
      </c>
      <c r="R76" s="37">
        <f>IF(OR(AP76="",R$5="-"),"",IFERROR(IF(INDEX(INDIRECT("'"&amp;$B76&amp;"'!$R$6:$R$205"),MATCH($AR76&amp;"|"&amp;R$5,INDIRECT("'"&amp;$B76&amp;"'!$AF$6:$AF$205"),0))="","",INDEX(INDIRECT("'"&amp;$B76&amp;"'!$R$6:$R$205"),MATCH($AR76&amp;"|"&amp;R$5,INDIRECT("'"&amp;$B76&amp;"'!$AF$6:$AF$205"),0))),"-"))</f>
        <v/>
      </c>
      <c r="S76" s="37">
        <f>IF(OR(AP76="",S$5="-"),"",IFERROR(IF(INDEX(INDIRECT("'"&amp;$B76&amp;"'!$R$6:$R$205"),MATCH($AR76&amp;"|"&amp;S$5,INDIRECT("'"&amp;$B76&amp;"'!$AF$6:$AF$205"),0))="","",INDEX(INDIRECT("'"&amp;$B76&amp;"'!$R$6:$R$205"),MATCH($AR76&amp;"|"&amp;S$5,INDIRECT("'"&amp;$B76&amp;"'!$AF$6:$AF$205"),0))),"-"))</f>
        <v/>
      </c>
      <c r="T76" s="37">
        <f>IF(OR(AP76="",T$5="-"),"",IFERROR(IF(INDEX(INDIRECT("'"&amp;$B76&amp;"'!$R$6:$R$205"),MATCH($AR76&amp;"|"&amp;T$5,INDIRECT("'"&amp;$B76&amp;"'!$AF$6:$AF$205"),0))="","",INDEX(INDIRECT("'"&amp;$B76&amp;"'!$R$6:$R$205"),MATCH($AR76&amp;"|"&amp;T$5,INDIRECT("'"&amp;$B76&amp;"'!$AF$6:$AF$205"),0))),"-"))</f>
        <v/>
      </c>
      <c r="U76" s="37">
        <f>IF(OR(AP76="",U$5="-"),"",IFERROR(IF(INDEX(INDIRECT("'"&amp;$B76&amp;"'!$R$6:$R$205"),MATCH($AR76&amp;"|"&amp;U$5,INDIRECT("'"&amp;$B76&amp;"'!$AF$6:$AF$205"),0))="","",INDEX(INDIRECT("'"&amp;$B76&amp;"'!$R$6:$R$205"),MATCH($AR76&amp;"|"&amp;U$5,INDIRECT("'"&amp;$B76&amp;"'!$AF$6:$AF$205"),0))),"-"))</f>
        <v/>
      </c>
      <c r="V76" s="37">
        <f>IF(OR(AP76="",V$5="-"),"",IFERROR(IF(INDEX(INDIRECT("'"&amp;$B76&amp;"'!$R$6:$R$205"),MATCH($AR76&amp;"|"&amp;V$5,INDIRECT("'"&amp;$B76&amp;"'!$AF$6:$AF$205"),0))="","",INDEX(INDIRECT("'"&amp;$B76&amp;"'!$R$6:$R$205"),MATCH($AR76&amp;"|"&amp;V$5,INDIRECT("'"&amp;$B76&amp;"'!$AF$6:$AF$205"),0))),"-"))</f>
        <v/>
      </c>
      <c r="W76" s="37">
        <f>IF(OR(AP76="",W$5="-"),"",IFERROR(IF(INDEX(INDIRECT("'"&amp;$B76&amp;"'!$R$6:$R$205"),MATCH($AR76&amp;"|"&amp;W$5,INDIRECT("'"&amp;$B76&amp;"'!$AF$6:$AF$205"),0))="","",INDEX(INDIRECT("'"&amp;$B76&amp;"'!$R$6:$R$205"),MATCH($AR76&amp;"|"&amp;W$5,INDIRECT("'"&amp;$B76&amp;"'!$AF$6:$AF$205"),0))),"-"))</f>
        <v/>
      </c>
      <c r="X76" s="38">
        <f>IF(OR(AP76="",X$5="-"),"",IFERROR(IF(INDEX(INDIRECT("'"&amp;$B76&amp;"'!$T$6:$T$205"),MATCH($AR76&amp;"|"&amp;X$5,INDIRECT("'"&amp;$B76&amp;"'!$AF$6:$AF$205"),0))="","",INDEX(INDIRECT("'"&amp;$B76&amp;"'!$T$6:$T$205"),MATCH($AR76&amp;"|"&amp;X$5,INDIRECT("'"&amp;$B76&amp;"'!$AF$6:$AF$205"),0))),"-"))</f>
        <v/>
      </c>
      <c r="Y76" s="38">
        <f>IF(OR(AP76="",Y$5="-"),"",IFERROR(IF(INDEX(INDIRECT("'"&amp;$B76&amp;"'!$T$6:$T$205"),MATCH($AR76&amp;"|"&amp;Y$5,INDIRECT("'"&amp;$B76&amp;"'!$AF$6:$AF$205"),0))="","",INDEX(INDIRECT("'"&amp;$B76&amp;"'!$T$6:$T$205"),MATCH($AR76&amp;"|"&amp;Y$5,INDIRECT("'"&amp;$B76&amp;"'!$AF$6:$AF$205"),0))),"-"))</f>
        <v/>
      </c>
      <c r="Z76" s="38">
        <f>IF(OR(AP76="",Z$5="-"),"",IFERROR(IF(INDEX(INDIRECT("'"&amp;$B76&amp;"'!$T$6:$T$205"),MATCH($AR76&amp;"|"&amp;Z$5,INDIRECT("'"&amp;$B76&amp;"'!$AF$6:$AF$205"),0))="","",INDEX(INDIRECT("'"&amp;$B76&amp;"'!$T$6:$T$205"),MATCH($AR76&amp;"|"&amp;Z$5,INDIRECT("'"&amp;$B76&amp;"'!$AF$6:$AF$205"),0))),"-"))</f>
        <v/>
      </c>
      <c r="AA76" s="38">
        <f>IF(OR(AP76="",AA$5="-"),"",IFERROR(IF(INDEX(INDIRECT("'"&amp;$B76&amp;"'!$T$6:$T$205"),MATCH($AR76&amp;"|"&amp;AA$5,INDIRECT("'"&amp;$B76&amp;"'!$AF$6:$AF$205"),0))="","",INDEX(INDIRECT("'"&amp;$B76&amp;"'!$T$6:$T$205"),MATCH($AR76&amp;"|"&amp;AA$5,INDIRECT("'"&amp;$B76&amp;"'!$AF$6:$AF$205"),0))),"-"))</f>
        <v/>
      </c>
      <c r="AB76" s="38">
        <f>IF(OR(AP76="",AB$5="-"),"",IFERROR(IF(INDEX(INDIRECT("'"&amp;$B76&amp;"'!$T$6:$T$205"),MATCH($AR76&amp;"|"&amp;AB$5,INDIRECT("'"&amp;$B76&amp;"'!$AF$6:$AF$205"),0))="","",INDEX(INDIRECT("'"&amp;$B76&amp;"'!$T$6:$T$205"),MATCH($AR76&amp;"|"&amp;AB$5,INDIRECT("'"&amp;$B76&amp;"'!$AF$6:$AF$205"),0))),"-"))</f>
        <v/>
      </c>
      <c r="AC76" s="38">
        <f>IF(OR(AP76="",AC$5="-"),"",IFERROR(IF(INDEX(INDIRECT("'"&amp;$B76&amp;"'!$T$6:$T$205"),MATCH($AR76&amp;"|"&amp;AC$5,INDIRECT("'"&amp;$B76&amp;"'!$AF$6:$AF$205"),0))="","",INDEX(INDIRECT("'"&amp;$B76&amp;"'!$T$6:$T$205"),MATCH($AR76&amp;"|"&amp;AC$5,INDIRECT("'"&amp;$B76&amp;"'!$AF$6:$AF$205"),0))),"-"))</f>
        <v/>
      </c>
      <c r="AD76" s="38">
        <f>IF(OR(AP76="",AD$5="-"),"",IFERROR(IF(INDEX(INDIRECT("'"&amp;$B76&amp;"'!$T$6:$T$205"),MATCH($AR76&amp;"|"&amp;AD$5,INDIRECT("'"&amp;$B76&amp;"'!$AF$6:$AF$205"),0))="","",INDEX(INDIRECT("'"&amp;$B76&amp;"'!$T$6:$T$205"),MATCH($AR76&amp;"|"&amp;AD$5,INDIRECT("'"&amp;$B76&amp;"'!$AF$6:$AF$205"),0))),"-"))</f>
        <v/>
      </c>
      <c r="AE76" s="38">
        <f>IF(OR(AP76="",AE$5="-"),"",IFERROR(IF(INDEX(INDIRECT("'"&amp;$B76&amp;"'!$T$6:$T$205"),MATCH($AR76&amp;"|"&amp;AE$5,INDIRECT("'"&amp;$B76&amp;"'!$AF$6:$AF$205"),0))="","",INDEX(INDIRECT("'"&amp;$B76&amp;"'!$T$6:$T$205"),MATCH($AR76&amp;"|"&amp;AE$5,INDIRECT("'"&amp;$B76&amp;"'!$AF$6:$AF$205"),0))),"-"))</f>
        <v/>
      </c>
      <c r="AF76" s="35">
        <f>IF(AG76="","",INDEX($P$5:$W$5,MATCH(AG76,P76:W76,0)))</f>
        <v/>
      </c>
      <c r="AG76" s="37">
        <f>IF(COUNT(P76:W76)=0,"",MIN(P76:W76))</f>
        <v/>
      </c>
      <c r="AH76" s="39">
        <f>IF(AG76="","",AG76*F76)</f>
        <v/>
      </c>
      <c r="AI76" s="39">
        <f>IF(COUNT(P76:W76)&lt;2,"",(MAX(P76:W76)-MIN(P76:W76))*F76)</f>
        <v/>
      </c>
      <c r="AJ76" s="20" t="n"/>
      <c r="AP76">
        <f>IF(71&gt;MAX($AN$6:$AN$9),"",COUNTIF($AN$6:$AN$9,"&lt;"&amp;71)+1)</f>
        <v/>
      </c>
      <c r="AQ76">
        <f>IF(AP76="","",71-INDEX($AO$6:$AO$9,AP76))</f>
        <v/>
      </c>
      <c r="AR76">
        <f>IF(AP76="","",INDEX(INDIRECT("'"&amp;$B76&amp;"'!$AE$6:$AE$205"),MATCH(AQ76,INDIRECT("'"&amp;$B76&amp;"'!$AI$6:$AI$205"),0)))</f>
        <v/>
      </c>
    </row>
    <row r="77">
      <c r="A77" s="34">
        <f>IF(AP77="","",72)</f>
        <v/>
      </c>
      <c r="B77" s="35">
        <f>IF(AP77="","",INDEX($AL$6:$AL$9,AP77))</f>
        <v/>
      </c>
      <c r="C77" s="34">
        <f>IF(AP77="","",INDEX(INDIRECT("'"&amp;$B77&amp;"'!$B$6:$B$205"),MATCH($AR77,INDIRECT("'"&amp;$B77&amp;"'!$AE$6:$AE$205"),0)))</f>
        <v/>
      </c>
      <c r="D77" s="34">
        <f>IF(AP77="","",INDEX(INDIRECT("'"&amp;$B77&amp;"'!$D$6:$D$205"),MATCH($AR77,INDIRECT("'"&amp;$B77&amp;"'!$AE$6:$AE$205"),0)))</f>
        <v/>
      </c>
      <c r="E77" s="36">
        <f>IF(AP77="","",INDEX(INDIRECT("'"&amp;$B77&amp;"'!$F$6:$F$205"),MATCH($AR77,INDIRECT("'"&amp;$B77&amp;"'!$AE$6:$AE$205"),0)))</f>
        <v/>
      </c>
      <c r="F77" s="34">
        <f>IF(AP77="","",INDEX(INDIRECT("'"&amp;$B77&amp;"'!$K$6:$K$205"),MATCH($AR77,INDIRECT("'"&amp;$B77&amp;"'!$AE$6:$AE$205"),0)))</f>
        <v/>
      </c>
      <c r="G77" s="34">
        <f>IF(AP77="","",INDEX(INDIRECT("'"&amp;$B77&amp;"'!$L$6:$L$205"),MATCH($AR77,INDIRECT("'"&amp;$B77&amp;"'!$AE$6:$AE$205"),0)))</f>
        <v/>
      </c>
      <c r="H77" s="34">
        <f>IF(OR(AP77="",H$5="-"),"",IFERROR(IF(INDEX(INDIRECT("'"&amp;$B77&amp;"'!$N$6:$N$205"),MATCH($AR77&amp;"|"&amp;H$5,INDIRECT("'"&amp;$B77&amp;"'!$AF$6:$AF$205"),0))="","",INDEX(INDIRECT("'"&amp;$B77&amp;"'!$N$6:$N$205"),MATCH($AR77&amp;"|"&amp;H$5,INDIRECT("'"&amp;$B77&amp;"'!$AF$6:$AF$205"),0))),"-"))</f>
        <v/>
      </c>
      <c r="I77" s="34">
        <f>IF(OR(AP77="",I$5="-"),"",IFERROR(IF(INDEX(INDIRECT("'"&amp;$B77&amp;"'!$N$6:$N$205"),MATCH($AR77&amp;"|"&amp;I$5,INDIRECT("'"&amp;$B77&amp;"'!$AF$6:$AF$205"),0))="","",INDEX(INDIRECT("'"&amp;$B77&amp;"'!$N$6:$N$205"),MATCH($AR77&amp;"|"&amp;I$5,INDIRECT("'"&amp;$B77&amp;"'!$AF$6:$AF$205"),0))),"-"))</f>
        <v/>
      </c>
      <c r="J77" s="34">
        <f>IF(OR(AP77="",J$5="-"),"",IFERROR(IF(INDEX(INDIRECT("'"&amp;$B77&amp;"'!$N$6:$N$205"),MATCH($AR77&amp;"|"&amp;J$5,INDIRECT("'"&amp;$B77&amp;"'!$AF$6:$AF$205"),0))="","",INDEX(INDIRECT("'"&amp;$B77&amp;"'!$N$6:$N$205"),MATCH($AR77&amp;"|"&amp;J$5,INDIRECT("'"&amp;$B77&amp;"'!$AF$6:$AF$205"),0))),"-"))</f>
        <v/>
      </c>
      <c r="K77" s="34">
        <f>IF(OR(AP77="",K$5="-"),"",IFERROR(IF(INDEX(INDIRECT("'"&amp;$B77&amp;"'!$N$6:$N$205"),MATCH($AR77&amp;"|"&amp;K$5,INDIRECT("'"&amp;$B77&amp;"'!$AF$6:$AF$205"),0))="","",INDEX(INDIRECT("'"&amp;$B77&amp;"'!$N$6:$N$205"),MATCH($AR77&amp;"|"&amp;K$5,INDIRECT("'"&amp;$B77&amp;"'!$AF$6:$AF$205"),0))),"-"))</f>
        <v/>
      </c>
      <c r="L77" s="34">
        <f>IF(OR(AP77="",L$5="-"),"",IFERROR(IF(INDEX(INDIRECT("'"&amp;$B77&amp;"'!$N$6:$N$205"),MATCH($AR77&amp;"|"&amp;L$5,INDIRECT("'"&amp;$B77&amp;"'!$AF$6:$AF$205"),0))="","",INDEX(INDIRECT("'"&amp;$B77&amp;"'!$N$6:$N$205"),MATCH($AR77&amp;"|"&amp;L$5,INDIRECT("'"&amp;$B77&amp;"'!$AF$6:$AF$205"),0))),"-"))</f>
        <v/>
      </c>
      <c r="M77" s="34">
        <f>IF(OR(AP77="",M$5="-"),"",IFERROR(IF(INDEX(INDIRECT("'"&amp;$B77&amp;"'!$N$6:$N$205"),MATCH($AR77&amp;"|"&amp;M$5,INDIRECT("'"&amp;$B77&amp;"'!$AF$6:$AF$205"),0))="","",INDEX(INDIRECT("'"&amp;$B77&amp;"'!$N$6:$N$205"),MATCH($AR77&amp;"|"&amp;M$5,INDIRECT("'"&amp;$B77&amp;"'!$AF$6:$AF$205"),0))),"-"))</f>
        <v/>
      </c>
      <c r="N77" s="34">
        <f>IF(OR(AP77="",N$5="-"),"",IFERROR(IF(INDEX(INDIRECT("'"&amp;$B77&amp;"'!$N$6:$N$205"),MATCH($AR77&amp;"|"&amp;N$5,INDIRECT("'"&amp;$B77&amp;"'!$AF$6:$AF$205"),0))="","",INDEX(INDIRECT("'"&amp;$B77&amp;"'!$N$6:$N$205"),MATCH($AR77&amp;"|"&amp;N$5,INDIRECT("'"&amp;$B77&amp;"'!$AF$6:$AF$205"),0))),"-"))</f>
        <v/>
      </c>
      <c r="O77" s="34">
        <f>IF(OR(AP77="",O$5="-"),"",IFERROR(IF(INDEX(INDIRECT("'"&amp;$B77&amp;"'!$N$6:$N$205"),MATCH($AR77&amp;"|"&amp;O$5,INDIRECT("'"&amp;$B77&amp;"'!$AF$6:$AF$205"),0))="","",INDEX(INDIRECT("'"&amp;$B77&amp;"'!$N$6:$N$205"),MATCH($AR77&amp;"|"&amp;O$5,INDIRECT("'"&amp;$B77&amp;"'!$AF$6:$AF$205"),0))),"-"))</f>
        <v/>
      </c>
      <c r="P77" s="37">
        <f>IF(OR(AP77="",P$5="-"),"",IFERROR(IF(INDEX(INDIRECT("'"&amp;$B77&amp;"'!$R$6:$R$205"),MATCH($AR77&amp;"|"&amp;P$5,INDIRECT("'"&amp;$B77&amp;"'!$AF$6:$AF$205"),0))="","",INDEX(INDIRECT("'"&amp;$B77&amp;"'!$R$6:$R$205"),MATCH($AR77&amp;"|"&amp;P$5,INDIRECT("'"&amp;$B77&amp;"'!$AF$6:$AF$205"),0))),"-"))</f>
        <v/>
      </c>
      <c r="Q77" s="37">
        <f>IF(OR(AP77="",Q$5="-"),"",IFERROR(IF(INDEX(INDIRECT("'"&amp;$B77&amp;"'!$R$6:$R$205"),MATCH($AR77&amp;"|"&amp;Q$5,INDIRECT("'"&amp;$B77&amp;"'!$AF$6:$AF$205"),0))="","",INDEX(INDIRECT("'"&amp;$B77&amp;"'!$R$6:$R$205"),MATCH($AR77&amp;"|"&amp;Q$5,INDIRECT("'"&amp;$B77&amp;"'!$AF$6:$AF$205"),0))),"-"))</f>
        <v/>
      </c>
      <c r="R77" s="37">
        <f>IF(OR(AP77="",R$5="-"),"",IFERROR(IF(INDEX(INDIRECT("'"&amp;$B77&amp;"'!$R$6:$R$205"),MATCH($AR77&amp;"|"&amp;R$5,INDIRECT("'"&amp;$B77&amp;"'!$AF$6:$AF$205"),0))="","",INDEX(INDIRECT("'"&amp;$B77&amp;"'!$R$6:$R$205"),MATCH($AR77&amp;"|"&amp;R$5,INDIRECT("'"&amp;$B77&amp;"'!$AF$6:$AF$205"),0))),"-"))</f>
        <v/>
      </c>
      <c r="S77" s="37">
        <f>IF(OR(AP77="",S$5="-"),"",IFERROR(IF(INDEX(INDIRECT("'"&amp;$B77&amp;"'!$R$6:$R$205"),MATCH($AR77&amp;"|"&amp;S$5,INDIRECT("'"&amp;$B77&amp;"'!$AF$6:$AF$205"),0))="","",INDEX(INDIRECT("'"&amp;$B77&amp;"'!$R$6:$R$205"),MATCH($AR77&amp;"|"&amp;S$5,INDIRECT("'"&amp;$B77&amp;"'!$AF$6:$AF$205"),0))),"-"))</f>
        <v/>
      </c>
      <c r="T77" s="37">
        <f>IF(OR(AP77="",T$5="-"),"",IFERROR(IF(INDEX(INDIRECT("'"&amp;$B77&amp;"'!$R$6:$R$205"),MATCH($AR77&amp;"|"&amp;T$5,INDIRECT("'"&amp;$B77&amp;"'!$AF$6:$AF$205"),0))="","",INDEX(INDIRECT("'"&amp;$B77&amp;"'!$R$6:$R$205"),MATCH($AR77&amp;"|"&amp;T$5,INDIRECT("'"&amp;$B77&amp;"'!$AF$6:$AF$205"),0))),"-"))</f>
        <v/>
      </c>
      <c r="U77" s="37">
        <f>IF(OR(AP77="",U$5="-"),"",IFERROR(IF(INDEX(INDIRECT("'"&amp;$B77&amp;"'!$R$6:$R$205"),MATCH($AR77&amp;"|"&amp;U$5,INDIRECT("'"&amp;$B77&amp;"'!$AF$6:$AF$205"),0))="","",INDEX(INDIRECT("'"&amp;$B77&amp;"'!$R$6:$R$205"),MATCH($AR77&amp;"|"&amp;U$5,INDIRECT("'"&amp;$B77&amp;"'!$AF$6:$AF$205"),0))),"-"))</f>
        <v/>
      </c>
      <c r="V77" s="37">
        <f>IF(OR(AP77="",V$5="-"),"",IFERROR(IF(INDEX(INDIRECT("'"&amp;$B77&amp;"'!$R$6:$R$205"),MATCH($AR77&amp;"|"&amp;V$5,INDIRECT("'"&amp;$B77&amp;"'!$AF$6:$AF$205"),0))="","",INDEX(INDIRECT("'"&amp;$B77&amp;"'!$R$6:$R$205"),MATCH($AR77&amp;"|"&amp;V$5,INDIRECT("'"&amp;$B77&amp;"'!$AF$6:$AF$205"),0))),"-"))</f>
        <v/>
      </c>
      <c r="W77" s="37">
        <f>IF(OR(AP77="",W$5="-"),"",IFERROR(IF(INDEX(INDIRECT("'"&amp;$B77&amp;"'!$R$6:$R$205"),MATCH($AR77&amp;"|"&amp;W$5,INDIRECT("'"&amp;$B77&amp;"'!$AF$6:$AF$205"),0))="","",INDEX(INDIRECT("'"&amp;$B77&amp;"'!$R$6:$R$205"),MATCH($AR77&amp;"|"&amp;W$5,INDIRECT("'"&amp;$B77&amp;"'!$AF$6:$AF$205"),0))),"-"))</f>
        <v/>
      </c>
      <c r="X77" s="38">
        <f>IF(OR(AP77="",X$5="-"),"",IFERROR(IF(INDEX(INDIRECT("'"&amp;$B77&amp;"'!$T$6:$T$205"),MATCH($AR77&amp;"|"&amp;X$5,INDIRECT("'"&amp;$B77&amp;"'!$AF$6:$AF$205"),0))="","",INDEX(INDIRECT("'"&amp;$B77&amp;"'!$T$6:$T$205"),MATCH($AR77&amp;"|"&amp;X$5,INDIRECT("'"&amp;$B77&amp;"'!$AF$6:$AF$205"),0))),"-"))</f>
        <v/>
      </c>
      <c r="Y77" s="38">
        <f>IF(OR(AP77="",Y$5="-"),"",IFERROR(IF(INDEX(INDIRECT("'"&amp;$B77&amp;"'!$T$6:$T$205"),MATCH($AR77&amp;"|"&amp;Y$5,INDIRECT("'"&amp;$B77&amp;"'!$AF$6:$AF$205"),0))="","",INDEX(INDIRECT("'"&amp;$B77&amp;"'!$T$6:$T$205"),MATCH($AR77&amp;"|"&amp;Y$5,INDIRECT("'"&amp;$B77&amp;"'!$AF$6:$AF$205"),0))),"-"))</f>
        <v/>
      </c>
      <c r="Z77" s="38">
        <f>IF(OR(AP77="",Z$5="-"),"",IFERROR(IF(INDEX(INDIRECT("'"&amp;$B77&amp;"'!$T$6:$T$205"),MATCH($AR77&amp;"|"&amp;Z$5,INDIRECT("'"&amp;$B77&amp;"'!$AF$6:$AF$205"),0))="","",INDEX(INDIRECT("'"&amp;$B77&amp;"'!$T$6:$T$205"),MATCH($AR77&amp;"|"&amp;Z$5,INDIRECT("'"&amp;$B77&amp;"'!$AF$6:$AF$205"),0))),"-"))</f>
        <v/>
      </c>
      <c r="AA77" s="38">
        <f>IF(OR(AP77="",AA$5="-"),"",IFERROR(IF(INDEX(INDIRECT("'"&amp;$B77&amp;"'!$T$6:$T$205"),MATCH($AR77&amp;"|"&amp;AA$5,INDIRECT("'"&amp;$B77&amp;"'!$AF$6:$AF$205"),0))="","",INDEX(INDIRECT("'"&amp;$B77&amp;"'!$T$6:$T$205"),MATCH($AR77&amp;"|"&amp;AA$5,INDIRECT("'"&amp;$B77&amp;"'!$AF$6:$AF$205"),0))),"-"))</f>
        <v/>
      </c>
      <c r="AB77" s="38">
        <f>IF(OR(AP77="",AB$5="-"),"",IFERROR(IF(INDEX(INDIRECT("'"&amp;$B77&amp;"'!$T$6:$T$205"),MATCH($AR77&amp;"|"&amp;AB$5,INDIRECT("'"&amp;$B77&amp;"'!$AF$6:$AF$205"),0))="","",INDEX(INDIRECT("'"&amp;$B77&amp;"'!$T$6:$T$205"),MATCH($AR77&amp;"|"&amp;AB$5,INDIRECT("'"&amp;$B77&amp;"'!$AF$6:$AF$205"),0))),"-"))</f>
        <v/>
      </c>
      <c r="AC77" s="38">
        <f>IF(OR(AP77="",AC$5="-"),"",IFERROR(IF(INDEX(INDIRECT("'"&amp;$B77&amp;"'!$T$6:$T$205"),MATCH($AR77&amp;"|"&amp;AC$5,INDIRECT("'"&amp;$B77&amp;"'!$AF$6:$AF$205"),0))="","",INDEX(INDIRECT("'"&amp;$B77&amp;"'!$T$6:$T$205"),MATCH($AR77&amp;"|"&amp;AC$5,INDIRECT("'"&amp;$B77&amp;"'!$AF$6:$AF$205"),0))),"-"))</f>
        <v/>
      </c>
      <c r="AD77" s="38">
        <f>IF(OR(AP77="",AD$5="-"),"",IFERROR(IF(INDEX(INDIRECT("'"&amp;$B77&amp;"'!$T$6:$T$205"),MATCH($AR77&amp;"|"&amp;AD$5,INDIRECT("'"&amp;$B77&amp;"'!$AF$6:$AF$205"),0))="","",INDEX(INDIRECT("'"&amp;$B77&amp;"'!$T$6:$T$205"),MATCH($AR77&amp;"|"&amp;AD$5,INDIRECT("'"&amp;$B77&amp;"'!$AF$6:$AF$205"),0))),"-"))</f>
        <v/>
      </c>
      <c r="AE77" s="38">
        <f>IF(OR(AP77="",AE$5="-"),"",IFERROR(IF(INDEX(INDIRECT("'"&amp;$B77&amp;"'!$T$6:$T$205"),MATCH($AR77&amp;"|"&amp;AE$5,INDIRECT("'"&amp;$B77&amp;"'!$AF$6:$AF$205"),0))="","",INDEX(INDIRECT("'"&amp;$B77&amp;"'!$T$6:$T$205"),MATCH($AR77&amp;"|"&amp;AE$5,INDIRECT("'"&amp;$B77&amp;"'!$AF$6:$AF$205"),0))),"-"))</f>
        <v/>
      </c>
      <c r="AF77" s="35">
        <f>IF(AG77="","",INDEX($P$5:$W$5,MATCH(AG77,P77:W77,0)))</f>
        <v/>
      </c>
      <c r="AG77" s="37">
        <f>IF(COUNT(P77:W77)=0,"",MIN(P77:W77))</f>
        <v/>
      </c>
      <c r="AH77" s="39">
        <f>IF(AG77="","",AG77*F77)</f>
        <v/>
      </c>
      <c r="AI77" s="39">
        <f>IF(COUNT(P77:W77)&lt;2,"",(MAX(P77:W77)-MIN(P77:W77))*F77)</f>
        <v/>
      </c>
      <c r="AJ77" s="20" t="n"/>
      <c r="AP77">
        <f>IF(72&gt;MAX($AN$6:$AN$9),"",COUNTIF($AN$6:$AN$9,"&lt;"&amp;72)+1)</f>
        <v/>
      </c>
      <c r="AQ77">
        <f>IF(AP77="","",72-INDEX($AO$6:$AO$9,AP77))</f>
        <v/>
      </c>
      <c r="AR77">
        <f>IF(AP77="","",INDEX(INDIRECT("'"&amp;$B77&amp;"'!$AE$6:$AE$205"),MATCH(AQ77,INDIRECT("'"&amp;$B77&amp;"'!$AI$6:$AI$205"),0)))</f>
        <v/>
      </c>
    </row>
    <row r="78">
      <c r="A78" s="34">
        <f>IF(AP78="","",73)</f>
        <v/>
      </c>
      <c r="B78" s="35">
        <f>IF(AP78="","",INDEX($AL$6:$AL$9,AP78))</f>
        <v/>
      </c>
      <c r="C78" s="34">
        <f>IF(AP78="","",INDEX(INDIRECT("'"&amp;$B78&amp;"'!$B$6:$B$205"),MATCH($AR78,INDIRECT("'"&amp;$B78&amp;"'!$AE$6:$AE$205"),0)))</f>
        <v/>
      </c>
      <c r="D78" s="34">
        <f>IF(AP78="","",INDEX(INDIRECT("'"&amp;$B78&amp;"'!$D$6:$D$205"),MATCH($AR78,INDIRECT("'"&amp;$B78&amp;"'!$AE$6:$AE$205"),0)))</f>
        <v/>
      </c>
      <c r="E78" s="36">
        <f>IF(AP78="","",INDEX(INDIRECT("'"&amp;$B78&amp;"'!$F$6:$F$205"),MATCH($AR78,INDIRECT("'"&amp;$B78&amp;"'!$AE$6:$AE$205"),0)))</f>
        <v/>
      </c>
      <c r="F78" s="34">
        <f>IF(AP78="","",INDEX(INDIRECT("'"&amp;$B78&amp;"'!$K$6:$K$205"),MATCH($AR78,INDIRECT("'"&amp;$B78&amp;"'!$AE$6:$AE$205"),0)))</f>
        <v/>
      </c>
      <c r="G78" s="34">
        <f>IF(AP78="","",INDEX(INDIRECT("'"&amp;$B78&amp;"'!$L$6:$L$205"),MATCH($AR78,INDIRECT("'"&amp;$B78&amp;"'!$AE$6:$AE$205"),0)))</f>
        <v/>
      </c>
      <c r="H78" s="34">
        <f>IF(OR(AP78="",H$5="-"),"",IFERROR(IF(INDEX(INDIRECT("'"&amp;$B78&amp;"'!$N$6:$N$205"),MATCH($AR78&amp;"|"&amp;H$5,INDIRECT("'"&amp;$B78&amp;"'!$AF$6:$AF$205"),0))="","",INDEX(INDIRECT("'"&amp;$B78&amp;"'!$N$6:$N$205"),MATCH($AR78&amp;"|"&amp;H$5,INDIRECT("'"&amp;$B78&amp;"'!$AF$6:$AF$205"),0))),"-"))</f>
        <v/>
      </c>
      <c r="I78" s="34">
        <f>IF(OR(AP78="",I$5="-"),"",IFERROR(IF(INDEX(INDIRECT("'"&amp;$B78&amp;"'!$N$6:$N$205"),MATCH($AR78&amp;"|"&amp;I$5,INDIRECT("'"&amp;$B78&amp;"'!$AF$6:$AF$205"),0))="","",INDEX(INDIRECT("'"&amp;$B78&amp;"'!$N$6:$N$205"),MATCH($AR78&amp;"|"&amp;I$5,INDIRECT("'"&amp;$B78&amp;"'!$AF$6:$AF$205"),0))),"-"))</f>
        <v/>
      </c>
      <c r="J78" s="34">
        <f>IF(OR(AP78="",J$5="-"),"",IFERROR(IF(INDEX(INDIRECT("'"&amp;$B78&amp;"'!$N$6:$N$205"),MATCH($AR78&amp;"|"&amp;J$5,INDIRECT("'"&amp;$B78&amp;"'!$AF$6:$AF$205"),0))="","",INDEX(INDIRECT("'"&amp;$B78&amp;"'!$N$6:$N$205"),MATCH($AR78&amp;"|"&amp;J$5,INDIRECT("'"&amp;$B78&amp;"'!$AF$6:$AF$205"),0))),"-"))</f>
        <v/>
      </c>
      <c r="K78" s="34">
        <f>IF(OR(AP78="",K$5="-"),"",IFERROR(IF(INDEX(INDIRECT("'"&amp;$B78&amp;"'!$N$6:$N$205"),MATCH($AR78&amp;"|"&amp;K$5,INDIRECT("'"&amp;$B78&amp;"'!$AF$6:$AF$205"),0))="","",INDEX(INDIRECT("'"&amp;$B78&amp;"'!$N$6:$N$205"),MATCH($AR78&amp;"|"&amp;K$5,INDIRECT("'"&amp;$B78&amp;"'!$AF$6:$AF$205"),0))),"-"))</f>
        <v/>
      </c>
      <c r="L78" s="34">
        <f>IF(OR(AP78="",L$5="-"),"",IFERROR(IF(INDEX(INDIRECT("'"&amp;$B78&amp;"'!$N$6:$N$205"),MATCH($AR78&amp;"|"&amp;L$5,INDIRECT("'"&amp;$B78&amp;"'!$AF$6:$AF$205"),0))="","",INDEX(INDIRECT("'"&amp;$B78&amp;"'!$N$6:$N$205"),MATCH($AR78&amp;"|"&amp;L$5,INDIRECT("'"&amp;$B78&amp;"'!$AF$6:$AF$205"),0))),"-"))</f>
        <v/>
      </c>
      <c r="M78" s="34">
        <f>IF(OR(AP78="",M$5="-"),"",IFERROR(IF(INDEX(INDIRECT("'"&amp;$B78&amp;"'!$N$6:$N$205"),MATCH($AR78&amp;"|"&amp;M$5,INDIRECT("'"&amp;$B78&amp;"'!$AF$6:$AF$205"),0))="","",INDEX(INDIRECT("'"&amp;$B78&amp;"'!$N$6:$N$205"),MATCH($AR78&amp;"|"&amp;M$5,INDIRECT("'"&amp;$B78&amp;"'!$AF$6:$AF$205"),0))),"-"))</f>
        <v/>
      </c>
      <c r="N78" s="34">
        <f>IF(OR(AP78="",N$5="-"),"",IFERROR(IF(INDEX(INDIRECT("'"&amp;$B78&amp;"'!$N$6:$N$205"),MATCH($AR78&amp;"|"&amp;N$5,INDIRECT("'"&amp;$B78&amp;"'!$AF$6:$AF$205"),0))="","",INDEX(INDIRECT("'"&amp;$B78&amp;"'!$N$6:$N$205"),MATCH($AR78&amp;"|"&amp;N$5,INDIRECT("'"&amp;$B78&amp;"'!$AF$6:$AF$205"),0))),"-"))</f>
        <v/>
      </c>
      <c r="O78" s="34">
        <f>IF(OR(AP78="",O$5="-"),"",IFERROR(IF(INDEX(INDIRECT("'"&amp;$B78&amp;"'!$N$6:$N$205"),MATCH($AR78&amp;"|"&amp;O$5,INDIRECT("'"&amp;$B78&amp;"'!$AF$6:$AF$205"),0))="","",INDEX(INDIRECT("'"&amp;$B78&amp;"'!$N$6:$N$205"),MATCH($AR78&amp;"|"&amp;O$5,INDIRECT("'"&amp;$B78&amp;"'!$AF$6:$AF$205"),0))),"-"))</f>
        <v/>
      </c>
      <c r="P78" s="37">
        <f>IF(OR(AP78="",P$5="-"),"",IFERROR(IF(INDEX(INDIRECT("'"&amp;$B78&amp;"'!$R$6:$R$205"),MATCH($AR78&amp;"|"&amp;P$5,INDIRECT("'"&amp;$B78&amp;"'!$AF$6:$AF$205"),0))="","",INDEX(INDIRECT("'"&amp;$B78&amp;"'!$R$6:$R$205"),MATCH($AR78&amp;"|"&amp;P$5,INDIRECT("'"&amp;$B78&amp;"'!$AF$6:$AF$205"),0))),"-"))</f>
        <v/>
      </c>
      <c r="Q78" s="37">
        <f>IF(OR(AP78="",Q$5="-"),"",IFERROR(IF(INDEX(INDIRECT("'"&amp;$B78&amp;"'!$R$6:$R$205"),MATCH($AR78&amp;"|"&amp;Q$5,INDIRECT("'"&amp;$B78&amp;"'!$AF$6:$AF$205"),0))="","",INDEX(INDIRECT("'"&amp;$B78&amp;"'!$R$6:$R$205"),MATCH($AR78&amp;"|"&amp;Q$5,INDIRECT("'"&amp;$B78&amp;"'!$AF$6:$AF$205"),0))),"-"))</f>
        <v/>
      </c>
      <c r="R78" s="37">
        <f>IF(OR(AP78="",R$5="-"),"",IFERROR(IF(INDEX(INDIRECT("'"&amp;$B78&amp;"'!$R$6:$R$205"),MATCH($AR78&amp;"|"&amp;R$5,INDIRECT("'"&amp;$B78&amp;"'!$AF$6:$AF$205"),0))="","",INDEX(INDIRECT("'"&amp;$B78&amp;"'!$R$6:$R$205"),MATCH($AR78&amp;"|"&amp;R$5,INDIRECT("'"&amp;$B78&amp;"'!$AF$6:$AF$205"),0))),"-"))</f>
        <v/>
      </c>
      <c r="S78" s="37">
        <f>IF(OR(AP78="",S$5="-"),"",IFERROR(IF(INDEX(INDIRECT("'"&amp;$B78&amp;"'!$R$6:$R$205"),MATCH($AR78&amp;"|"&amp;S$5,INDIRECT("'"&amp;$B78&amp;"'!$AF$6:$AF$205"),0))="","",INDEX(INDIRECT("'"&amp;$B78&amp;"'!$R$6:$R$205"),MATCH($AR78&amp;"|"&amp;S$5,INDIRECT("'"&amp;$B78&amp;"'!$AF$6:$AF$205"),0))),"-"))</f>
        <v/>
      </c>
      <c r="T78" s="37">
        <f>IF(OR(AP78="",T$5="-"),"",IFERROR(IF(INDEX(INDIRECT("'"&amp;$B78&amp;"'!$R$6:$R$205"),MATCH($AR78&amp;"|"&amp;T$5,INDIRECT("'"&amp;$B78&amp;"'!$AF$6:$AF$205"),0))="","",INDEX(INDIRECT("'"&amp;$B78&amp;"'!$R$6:$R$205"),MATCH($AR78&amp;"|"&amp;T$5,INDIRECT("'"&amp;$B78&amp;"'!$AF$6:$AF$205"),0))),"-"))</f>
        <v/>
      </c>
      <c r="U78" s="37">
        <f>IF(OR(AP78="",U$5="-"),"",IFERROR(IF(INDEX(INDIRECT("'"&amp;$B78&amp;"'!$R$6:$R$205"),MATCH($AR78&amp;"|"&amp;U$5,INDIRECT("'"&amp;$B78&amp;"'!$AF$6:$AF$205"),0))="","",INDEX(INDIRECT("'"&amp;$B78&amp;"'!$R$6:$R$205"),MATCH($AR78&amp;"|"&amp;U$5,INDIRECT("'"&amp;$B78&amp;"'!$AF$6:$AF$205"),0))),"-"))</f>
        <v/>
      </c>
      <c r="V78" s="37">
        <f>IF(OR(AP78="",V$5="-"),"",IFERROR(IF(INDEX(INDIRECT("'"&amp;$B78&amp;"'!$R$6:$R$205"),MATCH($AR78&amp;"|"&amp;V$5,INDIRECT("'"&amp;$B78&amp;"'!$AF$6:$AF$205"),0))="","",INDEX(INDIRECT("'"&amp;$B78&amp;"'!$R$6:$R$205"),MATCH($AR78&amp;"|"&amp;V$5,INDIRECT("'"&amp;$B78&amp;"'!$AF$6:$AF$205"),0))),"-"))</f>
        <v/>
      </c>
      <c r="W78" s="37">
        <f>IF(OR(AP78="",W$5="-"),"",IFERROR(IF(INDEX(INDIRECT("'"&amp;$B78&amp;"'!$R$6:$R$205"),MATCH($AR78&amp;"|"&amp;W$5,INDIRECT("'"&amp;$B78&amp;"'!$AF$6:$AF$205"),0))="","",INDEX(INDIRECT("'"&amp;$B78&amp;"'!$R$6:$R$205"),MATCH($AR78&amp;"|"&amp;W$5,INDIRECT("'"&amp;$B78&amp;"'!$AF$6:$AF$205"),0))),"-"))</f>
        <v/>
      </c>
      <c r="X78" s="38">
        <f>IF(OR(AP78="",X$5="-"),"",IFERROR(IF(INDEX(INDIRECT("'"&amp;$B78&amp;"'!$T$6:$T$205"),MATCH($AR78&amp;"|"&amp;X$5,INDIRECT("'"&amp;$B78&amp;"'!$AF$6:$AF$205"),0))="","",INDEX(INDIRECT("'"&amp;$B78&amp;"'!$T$6:$T$205"),MATCH($AR78&amp;"|"&amp;X$5,INDIRECT("'"&amp;$B78&amp;"'!$AF$6:$AF$205"),0))),"-"))</f>
        <v/>
      </c>
      <c r="Y78" s="38">
        <f>IF(OR(AP78="",Y$5="-"),"",IFERROR(IF(INDEX(INDIRECT("'"&amp;$B78&amp;"'!$T$6:$T$205"),MATCH($AR78&amp;"|"&amp;Y$5,INDIRECT("'"&amp;$B78&amp;"'!$AF$6:$AF$205"),0))="","",INDEX(INDIRECT("'"&amp;$B78&amp;"'!$T$6:$T$205"),MATCH($AR78&amp;"|"&amp;Y$5,INDIRECT("'"&amp;$B78&amp;"'!$AF$6:$AF$205"),0))),"-"))</f>
        <v/>
      </c>
      <c r="Z78" s="38">
        <f>IF(OR(AP78="",Z$5="-"),"",IFERROR(IF(INDEX(INDIRECT("'"&amp;$B78&amp;"'!$T$6:$T$205"),MATCH($AR78&amp;"|"&amp;Z$5,INDIRECT("'"&amp;$B78&amp;"'!$AF$6:$AF$205"),0))="","",INDEX(INDIRECT("'"&amp;$B78&amp;"'!$T$6:$T$205"),MATCH($AR78&amp;"|"&amp;Z$5,INDIRECT("'"&amp;$B78&amp;"'!$AF$6:$AF$205"),0))),"-"))</f>
        <v/>
      </c>
      <c r="AA78" s="38">
        <f>IF(OR(AP78="",AA$5="-"),"",IFERROR(IF(INDEX(INDIRECT("'"&amp;$B78&amp;"'!$T$6:$T$205"),MATCH($AR78&amp;"|"&amp;AA$5,INDIRECT("'"&amp;$B78&amp;"'!$AF$6:$AF$205"),0))="","",INDEX(INDIRECT("'"&amp;$B78&amp;"'!$T$6:$T$205"),MATCH($AR78&amp;"|"&amp;AA$5,INDIRECT("'"&amp;$B78&amp;"'!$AF$6:$AF$205"),0))),"-"))</f>
        <v/>
      </c>
      <c r="AB78" s="38">
        <f>IF(OR(AP78="",AB$5="-"),"",IFERROR(IF(INDEX(INDIRECT("'"&amp;$B78&amp;"'!$T$6:$T$205"),MATCH($AR78&amp;"|"&amp;AB$5,INDIRECT("'"&amp;$B78&amp;"'!$AF$6:$AF$205"),0))="","",INDEX(INDIRECT("'"&amp;$B78&amp;"'!$T$6:$T$205"),MATCH($AR78&amp;"|"&amp;AB$5,INDIRECT("'"&amp;$B78&amp;"'!$AF$6:$AF$205"),0))),"-"))</f>
        <v/>
      </c>
      <c r="AC78" s="38">
        <f>IF(OR(AP78="",AC$5="-"),"",IFERROR(IF(INDEX(INDIRECT("'"&amp;$B78&amp;"'!$T$6:$T$205"),MATCH($AR78&amp;"|"&amp;AC$5,INDIRECT("'"&amp;$B78&amp;"'!$AF$6:$AF$205"),0))="","",INDEX(INDIRECT("'"&amp;$B78&amp;"'!$T$6:$T$205"),MATCH($AR78&amp;"|"&amp;AC$5,INDIRECT("'"&amp;$B78&amp;"'!$AF$6:$AF$205"),0))),"-"))</f>
        <v/>
      </c>
      <c r="AD78" s="38">
        <f>IF(OR(AP78="",AD$5="-"),"",IFERROR(IF(INDEX(INDIRECT("'"&amp;$B78&amp;"'!$T$6:$T$205"),MATCH($AR78&amp;"|"&amp;AD$5,INDIRECT("'"&amp;$B78&amp;"'!$AF$6:$AF$205"),0))="","",INDEX(INDIRECT("'"&amp;$B78&amp;"'!$T$6:$T$205"),MATCH($AR78&amp;"|"&amp;AD$5,INDIRECT("'"&amp;$B78&amp;"'!$AF$6:$AF$205"),0))),"-"))</f>
        <v/>
      </c>
      <c r="AE78" s="38">
        <f>IF(OR(AP78="",AE$5="-"),"",IFERROR(IF(INDEX(INDIRECT("'"&amp;$B78&amp;"'!$T$6:$T$205"),MATCH($AR78&amp;"|"&amp;AE$5,INDIRECT("'"&amp;$B78&amp;"'!$AF$6:$AF$205"),0))="","",INDEX(INDIRECT("'"&amp;$B78&amp;"'!$T$6:$T$205"),MATCH($AR78&amp;"|"&amp;AE$5,INDIRECT("'"&amp;$B78&amp;"'!$AF$6:$AF$205"),0))),"-"))</f>
        <v/>
      </c>
      <c r="AF78" s="35">
        <f>IF(AG78="","",INDEX($P$5:$W$5,MATCH(AG78,P78:W78,0)))</f>
        <v/>
      </c>
      <c r="AG78" s="37">
        <f>IF(COUNT(P78:W78)=0,"",MIN(P78:W78))</f>
        <v/>
      </c>
      <c r="AH78" s="39">
        <f>IF(AG78="","",AG78*F78)</f>
        <v/>
      </c>
      <c r="AI78" s="39">
        <f>IF(COUNT(P78:W78)&lt;2,"",(MAX(P78:W78)-MIN(P78:W78))*F78)</f>
        <v/>
      </c>
      <c r="AJ78" s="20" t="n"/>
      <c r="AP78">
        <f>IF(73&gt;MAX($AN$6:$AN$9),"",COUNTIF($AN$6:$AN$9,"&lt;"&amp;73)+1)</f>
        <v/>
      </c>
      <c r="AQ78">
        <f>IF(AP78="","",73-INDEX($AO$6:$AO$9,AP78))</f>
        <v/>
      </c>
      <c r="AR78">
        <f>IF(AP78="","",INDEX(INDIRECT("'"&amp;$B78&amp;"'!$AE$6:$AE$205"),MATCH(AQ78,INDIRECT("'"&amp;$B78&amp;"'!$AI$6:$AI$205"),0)))</f>
        <v/>
      </c>
    </row>
    <row r="79">
      <c r="A79" s="34">
        <f>IF(AP79="","",74)</f>
        <v/>
      </c>
      <c r="B79" s="35">
        <f>IF(AP79="","",INDEX($AL$6:$AL$9,AP79))</f>
        <v/>
      </c>
      <c r="C79" s="34">
        <f>IF(AP79="","",INDEX(INDIRECT("'"&amp;$B79&amp;"'!$B$6:$B$205"),MATCH($AR79,INDIRECT("'"&amp;$B79&amp;"'!$AE$6:$AE$205"),0)))</f>
        <v/>
      </c>
      <c r="D79" s="34">
        <f>IF(AP79="","",INDEX(INDIRECT("'"&amp;$B79&amp;"'!$D$6:$D$205"),MATCH($AR79,INDIRECT("'"&amp;$B79&amp;"'!$AE$6:$AE$205"),0)))</f>
        <v/>
      </c>
      <c r="E79" s="36">
        <f>IF(AP79="","",INDEX(INDIRECT("'"&amp;$B79&amp;"'!$F$6:$F$205"),MATCH($AR79,INDIRECT("'"&amp;$B79&amp;"'!$AE$6:$AE$205"),0)))</f>
        <v/>
      </c>
      <c r="F79" s="34">
        <f>IF(AP79="","",INDEX(INDIRECT("'"&amp;$B79&amp;"'!$K$6:$K$205"),MATCH($AR79,INDIRECT("'"&amp;$B79&amp;"'!$AE$6:$AE$205"),0)))</f>
        <v/>
      </c>
      <c r="G79" s="34">
        <f>IF(AP79="","",INDEX(INDIRECT("'"&amp;$B79&amp;"'!$L$6:$L$205"),MATCH($AR79,INDIRECT("'"&amp;$B79&amp;"'!$AE$6:$AE$205"),0)))</f>
        <v/>
      </c>
      <c r="H79" s="34">
        <f>IF(OR(AP79="",H$5="-"),"",IFERROR(IF(INDEX(INDIRECT("'"&amp;$B79&amp;"'!$N$6:$N$205"),MATCH($AR79&amp;"|"&amp;H$5,INDIRECT("'"&amp;$B79&amp;"'!$AF$6:$AF$205"),0))="","",INDEX(INDIRECT("'"&amp;$B79&amp;"'!$N$6:$N$205"),MATCH($AR79&amp;"|"&amp;H$5,INDIRECT("'"&amp;$B79&amp;"'!$AF$6:$AF$205"),0))),"-"))</f>
        <v/>
      </c>
      <c r="I79" s="34">
        <f>IF(OR(AP79="",I$5="-"),"",IFERROR(IF(INDEX(INDIRECT("'"&amp;$B79&amp;"'!$N$6:$N$205"),MATCH($AR79&amp;"|"&amp;I$5,INDIRECT("'"&amp;$B79&amp;"'!$AF$6:$AF$205"),0))="","",INDEX(INDIRECT("'"&amp;$B79&amp;"'!$N$6:$N$205"),MATCH($AR79&amp;"|"&amp;I$5,INDIRECT("'"&amp;$B79&amp;"'!$AF$6:$AF$205"),0))),"-"))</f>
        <v/>
      </c>
      <c r="J79" s="34">
        <f>IF(OR(AP79="",J$5="-"),"",IFERROR(IF(INDEX(INDIRECT("'"&amp;$B79&amp;"'!$N$6:$N$205"),MATCH($AR79&amp;"|"&amp;J$5,INDIRECT("'"&amp;$B79&amp;"'!$AF$6:$AF$205"),0))="","",INDEX(INDIRECT("'"&amp;$B79&amp;"'!$N$6:$N$205"),MATCH($AR79&amp;"|"&amp;J$5,INDIRECT("'"&amp;$B79&amp;"'!$AF$6:$AF$205"),0))),"-"))</f>
        <v/>
      </c>
      <c r="K79" s="34">
        <f>IF(OR(AP79="",K$5="-"),"",IFERROR(IF(INDEX(INDIRECT("'"&amp;$B79&amp;"'!$N$6:$N$205"),MATCH($AR79&amp;"|"&amp;K$5,INDIRECT("'"&amp;$B79&amp;"'!$AF$6:$AF$205"),0))="","",INDEX(INDIRECT("'"&amp;$B79&amp;"'!$N$6:$N$205"),MATCH($AR79&amp;"|"&amp;K$5,INDIRECT("'"&amp;$B79&amp;"'!$AF$6:$AF$205"),0))),"-"))</f>
        <v/>
      </c>
      <c r="L79" s="34">
        <f>IF(OR(AP79="",L$5="-"),"",IFERROR(IF(INDEX(INDIRECT("'"&amp;$B79&amp;"'!$N$6:$N$205"),MATCH($AR79&amp;"|"&amp;L$5,INDIRECT("'"&amp;$B79&amp;"'!$AF$6:$AF$205"),0))="","",INDEX(INDIRECT("'"&amp;$B79&amp;"'!$N$6:$N$205"),MATCH($AR79&amp;"|"&amp;L$5,INDIRECT("'"&amp;$B79&amp;"'!$AF$6:$AF$205"),0))),"-"))</f>
        <v/>
      </c>
      <c r="M79" s="34">
        <f>IF(OR(AP79="",M$5="-"),"",IFERROR(IF(INDEX(INDIRECT("'"&amp;$B79&amp;"'!$N$6:$N$205"),MATCH($AR79&amp;"|"&amp;M$5,INDIRECT("'"&amp;$B79&amp;"'!$AF$6:$AF$205"),0))="","",INDEX(INDIRECT("'"&amp;$B79&amp;"'!$N$6:$N$205"),MATCH($AR79&amp;"|"&amp;M$5,INDIRECT("'"&amp;$B79&amp;"'!$AF$6:$AF$205"),0))),"-"))</f>
        <v/>
      </c>
      <c r="N79" s="34">
        <f>IF(OR(AP79="",N$5="-"),"",IFERROR(IF(INDEX(INDIRECT("'"&amp;$B79&amp;"'!$N$6:$N$205"),MATCH($AR79&amp;"|"&amp;N$5,INDIRECT("'"&amp;$B79&amp;"'!$AF$6:$AF$205"),0))="","",INDEX(INDIRECT("'"&amp;$B79&amp;"'!$N$6:$N$205"),MATCH($AR79&amp;"|"&amp;N$5,INDIRECT("'"&amp;$B79&amp;"'!$AF$6:$AF$205"),0))),"-"))</f>
        <v/>
      </c>
      <c r="O79" s="34">
        <f>IF(OR(AP79="",O$5="-"),"",IFERROR(IF(INDEX(INDIRECT("'"&amp;$B79&amp;"'!$N$6:$N$205"),MATCH($AR79&amp;"|"&amp;O$5,INDIRECT("'"&amp;$B79&amp;"'!$AF$6:$AF$205"),0))="","",INDEX(INDIRECT("'"&amp;$B79&amp;"'!$N$6:$N$205"),MATCH($AR79&amp;"|"&amp;O$5,INDIRECT("'"&amp;$B79&amp;"'!$AF$6:$AF$205"),0))),"-"))</f>
        <v/>
      </c>
      <c r="P79" s="37">
        <f>IF(OR(AP79="",P$5="-"),"",IFERROR(IF(INDEX(INDIRECT("'"&amp;$B79&amp;"'!$R$6:$R$205"),MATCH($AR79&amp;"|"&amp;P$5,INDIRECT("'"&amp;$B79&amp;"'!$AF$6:$AF$205"),0))="","",INDEX(INDIRECT("'"&amp;$B79&amp;"'!$R$6:$R$205"),MATCH($AR79&amp;"|"&amp;P$5,INDIRECT("'"&amp;$B79&amp;"'!$AF$6:$AF$205"),0))),"-"))</f>
        <v/>
      </c>
      <c r="Q79" s="37">
        <f>IF(OR(AP79="",Q$5="-"),"",IFERROR(IF(INDEX(INDIRECT("'"&amp;$B79&amp;"'!$R$6:$R$205"),MATCH($AR79&amp;"|"&amp;Q$5,INDIRECT("'"&amp;$B79&amp;"'!$AF$6:$AF$205"),0))="","",INDEX(INDIRECT("'"&amp;$B79&amp;"'!$R$6:$R$205"),MATCH($AR79&amp;"|"&amp;Q$5,INDIRECT("'"&amp;$B79&amp;"'!$AF$6:$AF$205"),0))),"-"))</f>
        <v/>
      </c>
      <c r="R79" s="37">
        <f>IF(OR(AP79="",R$5="-"),"",IFERROR(IF(INDEX(INDIRECT("'"&amp;$B79&amp;"'!$R$6:$R$205"),MATCH($AR79&amp;"|"&amp;R$5,INDIRECT("'"&amp;$B79&amp;"'!$AF$6:$AF$205"),0))="","",INDEX(INDIRECT("'"&amp;$B79&amp;"'!$R$6:$R$205"),MATCH($AR79&amp;"|"&amp;R$5,INDIRECT("'"&amp;$B79&amp;"'!$AF$6:$AF$205"),0))),"-"))</f>
        <v/>
      </c>
      <c r="S79" s="37">
        <f>IF(OR(AP79="",S$5="-"),"",IFERROR(IF(INDEX(INDIRECT("'"&amp;$B79&amp;"'!$R$6:$R$205"),MATCH($AR79&amp;"|"&amp;S$5,INDIRECT("'"&amp;$B79&amp;"'!$AF$6:$AF$205"),0))="","",INDEX(INDIRECT("'"&amp;$B79&amp;"'!$R$6:$R$205"),MATCH($AR79&amp;"|"&amp;S$5,INDIRECT("'"&amp;$B79&amp;"'!$AF$6:$AF$205"),0))),"-"))</f>
        <v/>
      </c>
      <c r="T79" s="37">
        <f>IF(OR(AP79="",T$5="-"),"",IFERROR(IF(INDEX(INDIRECT("'"&amp;$B79&amp;"'!$R$6:$R$205"),MATCH($AR79&amp;"|"&amp;T$5,INDIRECT("'"&amp;$B79&amp;"'!$AF$6:$AF$205"),0))="","",INDEX(INDIRECT("'"&amp;$B79&amp;"'!$R$6:$R$205"),MATCH($AR79&amp;"|"&amp;T$5,INDIRECT("'"&amp;$B79&amp;"'!$AF$6:$AF$205"),0))),"-"))</f>
        <v/>
      </c>
      <c r="U79" s="37">
        <f>IF(OR(AP79="",U$5="-"),"",IFERROR(IF(INDEX(INDIRECT("'"&amp;$B79&amp;"'!$R$6:$R$205"),MATCH($AR79&amp;"|"&amp;U$5,INDIRECT("'"&amp;$B79&amp;"'!$AF$6:$AF$205"),0))="","",INDEX(INDIRECT("'"&amp;$B79&amp;"'!$R$6:$R$205"),MATCH($AR79&amp;"|"&amp;U$5,INDIRECT("'"&amp;$B79&amp;"'!$AF$6:$AF$205"),0))),"-"))</f>
        <v/>
      </c>
      <c r="V79" s="37">
        <f>IF(OR(AP79="",V$5="-"),"",IFERROR(IF(INDEX(INDIRECT("'"&amp;$B79&amp;"'!$R$6:$R$205"),MATCH($AR79&amp;"|"&amp;V$5,INDIRECT("'"&amp;$B79&amp;"'!$AF$6:$AF$205"),0))="","",INDEX(INDIRECT("'"&amp;$B79&amp;"'!$R$6:$R$205"),MATCH($AR79&amp;"|"&amp;V$5,INDIRECT("'"&amp;$B79&amp;"'!$AF$6:$AF$205"),0))),"-"))</f>
        <v/>
      </c>
      <c r="W79" s="37">
        <f>IF(OR(AP79="",W$5="-"),"",IFERROR(IF(INDEX(INDIRECT("'"&amp;$B79&amp;"'!$R$6:$R$205"),MATCH($AR79&amp;"|"&amp;W$5,INDIRECT("'"&amp;$B79&amp;"'!$AF$6:$AF$205"),0))="","",INDEX(INDIRECT("'"&amp;$B79&amp;"'!$R$6:$R$205"),MATCH($AR79&amp;"|"&amp;W$5,INDIRECT("'"&amp;$B79&amp;"'!$AF$6:$AF$205"),0))),"-"))</f>
        <v/>
      </c>
      <c r="X79" s="38">
        <f>IF(OR(AP79="",X$5="-"),"",IFERROR(IF(INDEX(INDIRECT("'"&amp;$B79&amp;"'!$T$6:$T$205"),MATCH($AR79&amp;"|"&amp;X$5,INDIRECT("'"&amp;$B79&amp;"'!$AF$6:$AF$205"),0))="","",INDEX(INDIRECT("'"&amp;$B79&amp;"'!$T$6:$T$205"),MATCH($AR79&amp;"|"&amp;X$5,INDIRECT("'"&amp;$B79&amp;"'!$AF$6:$AF$205"),0))),"-"))</f>
        <v/>
      </c>
      <c r="Y79" s="38">
        <f>IF(OR(AP79="",Y$5="-"),"",IFERROR(IF(INDEX(INDIRECT("'"&amp;$B79&amp;"'!$T$6:$T$205"),MATCH($AR79&amp;"|"&amp;Y$5,INDIRECT("'"&amp;$B79&amp;"'!$AF$6:$AF$205"),0))="","",INDEX(INDIRECT("'"&amp;$B79&amp;"'!$T$6:$T$205"),MATCH($AR79&amp;"|"&amp;Y$5,INDIRECT("'"&amp;$B79&amp;"'!$AF$6:$AF$205"),0))),"-"))</f>
        <v/>
      </c>
      <c r="Z79" s="38">
        <f>IF(OR(AP79="",Z$5="-"),"",IFERROR(IF(INDEX(INDIRECT("'"&amp;$B79&amp;"'!$T$6:$T$205"),MATCH($AR79&amp;"|"&amp;Z$5,INDIRECT("'"&amp;$B79&amp;"'!$AF$6:$AF$205"),0))="","",INDEX(INDIRECT("'"&amp;$B79&amp;"'!$T$6:$T$205"),MATCH($AR79&amp;"|"&amp;Z$5,INDIRECT("'"&amp;$B79&amp;"'!$AF$6:$AF$205"),0))),"-"))</f>
        <v/>
      </c>
      <c r="AA79" s="38">
        <f>IF(OR(AP79="",AA$5="-"),"",IFERROR(IF(INDEX(INDIRECT("'"&amp;$B79&amp;"'!$T$6:$T$205"),MATCH($AR79&amp;"|"&amp;AA$5,INDIRECT("'"&amp;$B79&amp;"'!$AF$6:$AF$205"),0))="","",INDEX(INDIRECT("'"&amp;$B79&amp;"'!$T$6:$T$205"),MATCH($AR79&amp;"|"&amp;AA$5,INDIRECT("'"&amp;$B79&amp;"'!$AF$6:$AF$205"),0))),"-"))</f>
        <v/>
      </c>
      <c r="AB79" s="38">
        <f>IF(OR(AP79="",AB$5="-"),"",IFERROR(IF(INDEX(INDIRECT("'"&amp;$B79&amp;"'!$T$6:$T$205"),MATCH($AR79&amp;"|"&amp;AB$5,INDIRECT("'"&amp;$B79&amp;"'!$AF$6:$AF$205"),0))="","",INDEX(INDIRECT("'"&amp;$B79&amp;"'!$T$6:$T$205"),MATCH($AR79&amp;"|"&amp;AB$5,INDIRECT("'"&amp;$B79&amp;"'!$AF$6:$AF$205"),0))),"-"))</f>
        <v/>
      </c>
      <c r="AC79" s="38">
        <f>IF(OR(AP79="",AC$5="-"),"",IFERROR(IF(INDEX(INDIRECT("'"&amp;$B79&amp;"'!$T$6:$T$205"),MATCH($AR79&amp;"|"&amp;AC$5,INDIRECT("'"&amp;$B79&amp;"'!$AF$6:$AF$205"),0))="","",INDEX(INDIRECT("'"&amp;$B79&amp;"'!$T$6:$T$205"),MATCH($AR79&amp;"|"&amp;AC$5,INDIRECT("'"&amp;$B79&amp;"'!$AF$6:$AF$205"),0))),"-"))</f>
        <v/>
      </c>
      <c r="AD79" s="38">
        <f>IF(OR(AP79="",AD$5="-"),"",IFERROR(IF(INDEX(INDIRECT("'"&amp;$B79&amp;"'!$T$6:$T$205"),MATCH($AR79&amp;"|"&amp;AD$5,INDIRECT("'"&amp;$B79&amp;"'!$AF$6:$AF$205"),0))="","",INDEX(INDIRECT("'"&amp;$B79&amp;"'!$T$6:$T$205"),MATCH($AR79&amp;"|"&amp;AD$5,INDIRECT("'"&amp;$B79&amp;"'!$AF$6:$AF$205"),0))),"-"))</f>
        <v/>
      </c>
      <c r="AE79" s="38">
        <f>IF(OR(AP79="",AE$5="-"),"",IFERROR(IF(INDEX(INDIRECT("'"&amp;$B79&amp;"'!$T$6:$T$205"),MATCH($AR79&amp;"|"&amp;AE$5,INDIRECT("'"&amp;$B79&amp;"'!$AF$6:$AF$205"),0))="","",INDEX(INDIRECT("'"&amp;$B79&amp;"'!$T$6:$T$205"),MATCH($AR79&amp;"|"&amp;AE$5,INDIRECT("'"&amp;$B79&amp;"'!$AF$6:$AF$205"),0))),"-"))</f>
        <v/>
      </c>
      <c r="AF79" s="35">
        <f>IF(AG79="","",INDEX($P$5:$W$5,MATCH(AG79,P79:W79,0)))</f>
        <v/>
      </c>
      <c r="AG79" s="37">
        <f>IF(COUNT(P79:W79)=0,"",MIN(P79:W79))</f>
        <v/>
      </c>
      <c r="AH79" s="39">
        <f>IF(AG79="","",AG79*F79)</f>
        <v/>
      </c>
      <c r="AI79" s="39">
        <f>IF(COUNT(P79:W79)&lt;2,"",(MAX(P79:W79)-MIN(P79:W79))*F79)</f>
        <v/>
      </c>
      <c r="AJ79" s="20" t="n"/>
      <c r="AP79">
        <f>IF(74&gt;MAX($AN$6:$AN$9),"",COUNTIF($AN$6:$AN$9,"&lt;"&amp;74)+1)</f>
        <v/>
      </c>
      <c r="AQ79">
        <f>IF(AP79="","",74-INDEX($AO$6:$AO$9,AP79))</f>
        <v/>
      </c>
      <c r="AR79">
        <f>IF(AP79="","",INDEX(INDIRECT("'"&amp;$B79&amp;"'!$AE$6:$AE$205"),MATCH(AQ79,INDIRECT("'"&amp;$B79&amp;"'!$AI$6:$AI$205"),0)))</f>
        <v/>
      </c>
    </row>
    <row r="80">
      <c r="A80" s="34">
        <f>IF(AP80="","",75)</f>
        <v/>
      </c>
      <c r="B80" s="35">
        <f>IF(AP80="","",INDEX($AL$6:$AL$9,AP80))</f>
        <v/>
      </c>
      <c r="C80" s="34">
        <f>IF(AP80="","",INDEX(INDIRECT("'"&amp;$B80&amp;"'!$B$6:$B$205"),MATCH($AR80,INDIRECT("'"&amp;$B80&amp;"'!$AE$6:$AE$205"),0)))</f>
        <v/>
      </c>
      <c r="D80" s="34">
        <f>IF(AP80="","",INDEX(INDIRECT("'"&amp;$B80&amp;"'!$D$6:$D$205"),MATCH($AR80,INDIRECT("'"&amp;$B80&amp;"'!$AE$6:$AE$205"),0)))</f>
        <v/>
      </c>
      <c r="E80" s="36">
        <f>IF(AP80="","",INDEX(INDIRECT("'"&amp;$B80&amp;"'!$F$6:$F$205"),MATCH($AR80,INDIRECT("'"&amp;$B80&amp;"'!$AE$6:$AE$205"),0)))</f>
        <v/>
      </c>
      <c r="F80" s="34">
        <f>IF(AP80="","",INDEX(INDIRECT("'"&amp;$B80&amp;"'!$K$6:$K$205"),MATCH($AR80,INDIRECT("'"&amp;$B80&amp;"'!$AE$6:$AE$205"),0)))</f>
        <v/>
      </c>
      <c r="G80" s="34">
        <f>IF(AP80="","",INDEX(INDIRECT("'"&amp;$B80&amp;"'!$L$6:$L$205"),MATCH($AR80,INDIRECT("'"&amp;$B80&amp;"'!$AE$6:$AE$205"),0)))</f>
        <v/>
      </c>
      <c r="H80" s="34">
        <f>IF(OR(AP80="",H$5="-"),"",IFERROR(IF(INDEX(INDIRECT("'"&amp;$B80&amp;"'!$N$6:$N$205"),MATCH($AR80&amp;"|"&amp;H$5,INDIRECT("'"&amp;$B80&amp;"'!$AF$6:$AF$205"),0))="","",INDEX(INDIRECT("'"&amp;$B80&amp;"'!$N$6:$N$205"),MATCH($AR80&amp;"|"&amp;H$5,INDIRECT("'"&amp;$B80&amp;"'!$AF$6:$AF$205"),0))),"-"))</f>
        <v/>
      </c>
      <c r="I80" s="34">
        <f>IF(OR(AP80="",I$5="-"),"",IFERROR(IF(INDEX(INDIRECT("'"&amp;$B80&amp;"'!$N$6:$N$205"),MATCH($AR80&amp;"|"&amp;I$5,INDIRECT("'"&amp;$B80&amp;"'!$AF$6:$AF$205"),0))="","",INDEX(INDIRECT("'"&amp;$B80&amp;"'!$N$6:$N$205"),MATCH($AR80&amp;"|"&amp;I$5,INDIRECT("'"&amp;$B80&amp;"'!$AF$6:$AF$205"),0))),"-"))</f>
        <v/>
      </c>
      <c r="J80" s="34">
        <f>IF(OR(AP80="",J$5="-"),"",IFERROR(IF(INDEX(INDIRECT("'"&amp;$B80&amp;"'!$N$6:$N$205"),MATCH($AR80&amp;"|"&amp;J$5,INDIRECT("'"&amp;$B80&amp;"'!$AF$6:$AF$205"),0))="","",INDEX(INDIRECT("'"&amp;$B80&amp;"'!$N$6:$N$205"),MATCH($AR80&amp;"|"&amp;J$5,INDIRECT("'"&amp;$B80&amp;"'!$AF$6:$AF$205"),0))),"-"))</f>
        <v/>
      </c>
      <c r="K80" s="34">
        <f>IF(OR(AP80="",K$5="-"),"",IFERROR(IF(INDEX(INDIRECT("'"&amp;$B80&amp;"'!$N$6:$N$205"),MATCH($AR80&amp;"|"&amp;K$5,INDIRECT("'"&amp;$B80&amp;"'!$AF$6:$AF$205"),0))="","",INDEX(INDIRECT("'"&amp;$B80&amp;"'!$N$6:$N$205"),MATCH($AR80&amp;"|"&amp;K$5,INDIRECT("'"&amp;$B80&amp;"'!$AF$6:$AF$205"),0))),"-"))</f>
        <v/>
      </c>
      <c r="L80" s="34">
        <f>IF(OR(AP80="",L$5="-"),"",IFERROR(IF(INDEX(INDIRECT("'"&amp;$B80&amp;"'!$N$6:$N$205"),MATCH($AR80&amp;"|"&amp;L$5,INDIRECT("'"&amp;$B80&amp;"'!$AF$6:$AF$205"),0))="","",INDEX(INDIRECT("'"&amp;$B80&amp;"'!$N$6:$N$205"),MATCH($AR80&amp;"|"&amp;L$5,INDIRECT("'"&amp;$B80&amp;"'!$AF$6:$AF$205"),0))),"-"))</f>
        <v/>
      </c>
      <c r="M80" s="34">
        <f>IF(OR(AP80="",M$5="-"),"",IFERROR(IF(INDEX(INDIRECT("'"&amp;$B80&amp;"'!$N$6:$N$205"),MATCH($AR80&amp;"|"&amp;M$5,INDIRECT("'"&amp;$B80&amp;"'!$AF$6:$AF$205"),0))="","",INDEX(INDIRECT("'"&amp;$B80&amp;"'!$N$6:$N$205"),MATCH($AR80&amp;"|"&amp;M$5,INDIRECT("'"&amp;$B80&amp;"'!$AF$6:$AF$205"),0))),"-"))</f>
        <v/>
      </c>
      <c r="N80" s="34">
        <f>IF(OR(AP80="",N$5="-"),"",IFERROR(IF(INDEX(INDIRECT("'"&amp;$B80&amp;"'!$N$6:$N$205"),MATCH($AR80&amp;"|"&amp;N$5,INDIRECT("'"&amp;$B80&amp;"'!$AF$6:$AF$205"),0))="","",INDEX(INDIRECT("'"&amp;$B80&amp;"'!$N$6:$N$205"),MATCH($AR80&amp;"|"&amp;N$5,INDIRECT("'"&amp;$B80&amp;"'!$AF$6:$AF$205"),0))),"-"))</f>
        <v/>
      </c>
      <c r="O80" s="34">
        <f>IF(OR(AP80="",O$5="-"),"",IFERROR(IF(INDEX(INDIRECT("'"&amp;$B80&amp;"'!$N$6:$N$205"),MATCH($AR80&amp;"|"&amp;O$5,INDIRECT("'"&amp;$B80&amp;"'!$AF$6:$AF$205"),0))="","",INDEX(INDIRECT("'"&amp;$B80&amp;"'!$N$6:$N$205"),MATCH($AR80&amp;"|"&amp;O$5,INDIRECT("'"&amp;$B80&amp;"'!$AF$6:$AF$205"),0))),"-"))</f>
        <v/>
      </c>
      <c r="P80" s="37">
        <f>IF(OR(AP80="",P$5="-"),"",IFERROR(IF(INDEX(INDIRECT("'"&amp;$B80&amp;"'!$R$6:$R$205"),MATCH($AR80&amp;"|"&amp;P$5,INDIRECT("'"&amp;$B80&amp;"'!$AF$6:$AF$205"),0))="","",INDEX(INDIRECT("'"&amp;$B80&amp;"'!$R$6:$R$205"),MATCH($AR80&amp;"|"&amp;P$5,INDIRECT("'"&amp;$B80&amp;"'!$AF$6:$AF$205"),0))),"-"))</f>
        <v/>
      </c>
      <c r="Q80" s="37">
        <f>IF(OR(AP80="",Q$5="-"),"",IFERROR(IF(INDEX(INDIRECT("'"&amp;$B80&amp;"'!$R$6:$R$205"),MATCH($AR80&amp;"|"&amp;Q$5,INDIRECT("'"&amp;$B80&amp;"'!$AF$6:$AF$205"),0))="","",INDEX(INDIRECT("'"&amp;$B80&amp;"'!$R$6:$R$205"),MATCH($AR80&amp;"|"&amp;Q$5,INDIRECT("'"&amp;$B80&amp;"'!$AF$6:$AF$205"),0))),"-"))</f>
        <v/>
      </c>
      <c r="R80" s="37">
        <f>IF(OR(AP80="",R$5="-"),"",IFERROR(IF(INDEX(INDIRECT("'"&amp;$B80&amp;"'!$R$6:$R$205"),MATCH($AR80&amp;"|"&amp;R$5,INDIRECT("'"&amp;$B80&amp;"'!$AF$6:$AF$205"),0))="","",INDEX(INDIRECT("'"&amp;$B80&amp;"'!$R$6:$R$205"),MATCH($AR80&amp;"|"&amp;R$5,INDIRECT("'"&amp;$B80&amp;"'!$AF$6:$AF$205"),0))),"-"))</f>
        <v/>
      </c>
      <c r="S80" s="37">
        <f>IF(OR(AP80="",S$5="-"),"",IFERROR(IF(INDEX(INDIRECT("'"&amp;$B80&amp;"'!$R$6:$R$205"),MATCH($AR80&amp;"|"&amp;S$5,INDIRECT("'"&amp;$B80&amp;"'!$AF$6:$AF$205"),0))="","",INDEX(INDIRECT("'"&amp;$B80&amp;"'!$R$6:$R$205"),MATCH($AR80&amp;"|"&amp;S$5,INDIRECT("'"&amp;$B80&amp;"'!$AF$6:$AF$205"),0))),"-"))</f>
        <v/>
      </c>
      <c r="T80" s="37">
        <f>IF(OR(AP80="",T$5="-"),"",IFERROR(IF(INDEX(INDIRECT("'"&amp;$B80&amp;"'!$R$6:$R$205"),MATCH($AR80&amp;"|"&amp;T$5,INDIRECT("'"&amp;$B80&amp;"'!$AF$6:$AF$205"),0))="","",INDEX(INDIRECT("'"&amp;$B80&amp;"'!$R$6:$R$205"),MATCH($AR80&amp;"|"&amp;T$5,INDIRECT("'"&amp;$B80&amp;"'!$AF$6:$AF$205"),0))),"-"))</f>
        <v/>
      </c>
      <c r="U80" s="37">
        <f>IF(OR(AP80="",U$5="-"),"",IFERROR(IF(INDEX(INDIRECT("'"&amp;$B80&amp;"'!$R$6:$R$205"),MATCH($AR80&amp;"|"&amp;U$5,INDIRECT("'"&amp;$B80&amp;"'!$AF$6:$AF$205"),0))="","",INDEX(INDIRECT("'"&amp;$B80&amp;"'!$R$6:$R$205"),MATCH($AR80&amp;"|"&amp;U$5,INDIRECT("'"&amp;$B80&amp;"'!$AF$6:$AF$205"),0))),"-"))</f>
        <v/>
      </c>
      <c r="V80" s="37">
        <f>IF(OR(AP80="",V$5="-"),"",IFERROR(IF(INDEX(INDIRECT("'"&amp;$B80&amp;"'!$R$6:$R$205"),MATCH($AR80&amp;"|"&amp;V$5,INDIRECT("'"&amp;$B80&amp;"'!$AF$6:$AF$205"),0))="","",INDEX(INDIRECT("'"&amp;$B80&amp;"'!$R$6:$R$205"),MATCH($AR80&amp;"|"&amp;V$5,INDIRECT("'"&amp;$B80&amp;"'!$AF$6:$AF$205"),0))),"-"))</f>
        <v/>
      </c>
      <c r="W80" s="37">
        <f>IF(OR(AP80="",W$5="-"),"",IFERROR(IF(INDEX(INDIRECT("'"&amp;$B80&amp;"'!$R$6:$R$205"),MATCH($AR80&amp;"|"&amp;W$5,INDIRECT("'"&amp;$B80&amp;"'!$AF$6:$AF$205"),0))="","",INDEX(INDIRECT("'"&amp;$B80&amp;"'!$R$6:$R$205"),MATCH($AR80&amp;"|"&amp;W$5,INDIRECT("'"&amp;$B80&amp;"'!$AF$6:$AF$205"),0))),"-"))</f>
        <v/>
      </c>
      <c r="X80" s="38">
        <f>IF(OR(AP80="",X$5="-"),"",IFERROR(IF(INDEX(INDIRECT("'"&amp;$B80&amp;"'!$T$6:$T$205"),MATCH($AR80&amp;"|"&amp;X$5,INDIRECT("'"&amp;$B80&amp;"'!$AF$6:$AF$205"),0))="","",INDEX(INDIRECT("'"&amp;$B80&amp;"'!$T$6:$T$205"),MATCH($AR80&amp;"|"&amp;X$5,INDIRECT("'"&amp;$B80&amp;"'!$AF$6:$AF$205"),0))),"-"))</f>
        <v/>
      </c>
      <c r="Y80" s="38">
        <f>IF(OR(AP80="",Y$5="-"),"",IFERROR(IF(INDEX(INDIRECT("'"&amp;$B80&amp;"'!$T$6:$T$205"),MATCH($AR80&amp;"|"&amp;Y$5,INDIRECT("'"&amp;$B80&amp;"'!$AF$6:$AF$205"),0))="","",INDEX(INDIRECT("'"&amp;$B80&amp;"'!$T$6:$T$205"),MATCH($AR80&amp;"|"&amp;Y$5,INDIRECT("'"&amp;$B80&amp;"'!$AF$6:$AF$205"),0))),"-"))</f>
        <v/>
      </c>
      <c r="Z80" s="38">
        <f>IF(OR(AP80="",Z$5="-"),"",IFERROR(IF(INDEX(INDIRECT("'"&amp;$B80&amp;"'!$T$6:$T$205"),MATCH($AR80&amp;"|"&amp;Z$5,INDIRECT("'"&amp;$B80&amp;"'!$AF$6:$AF$205"),0))="","",INDEX(INDIRECT("'"&amp;$B80&amp;"'!$T$6:$T$205"),MATCH($AR80&amp;"|"&amp;Z$5,INDIRECT("'"&amp;$B80&amp;"'!$AF$6:$AF$205"),0))),"-"))</f>
        <v/>
      </c>
      <c r="AA80" s="38">
        <f>IF(OR(AP80="",AA$5="-"),"",IFERROR(IF(INDEX(INDIRECT("'"&amp;$B80&amp;"'!$T$6:$T$205"),MATCH($AR80&amp;"|"&amp;AA$5,INDIRECT("'"&amp;$B80&amp;"'!$AF$6:$AF$205"),0))="","",INDEX(INDIRECT("'"&amp;$B80&amp;"'!$T$6:$T$205"),MATCH($AR80&amp;"|"&amp;AA$5,INDIRECT("'"&amp;$B80&amp;"'!$AF$6:$AF$205"),0))),"-"))</f>
        <v/>
      </c>
      <c r="AB80" s="38">
        <f>IF(OR(AP80="",AB$5="-"),"",IFERROR(IF(INDEX(INDIRECT("'"&amp;$B80&amp;"'!$T$6:$T$205"),MATCH($AR80&amp;"|"&amp;AB$5,INDIRECT("'"&amp;$B80&amp;"'!$AF$6:$AF$205"),0))="","",INDEX(INDIRECT("'"&amp;$B80&amp;"'!$T$6:$T$205"),MATCH($AR80&amp;"|"&amp;AB$5,INDIRECT("'"&amp;$B80&amp;"'!$AF$6:$AF$205"),0))),"-"))</f>
        <v/>
      </c>
      <c r="AC80" s="38">
        <f>IF(OR(AP80="",AC$5="-"),"",IFERROR(IF(INDEX(INDIRECT("'"&amp;$B80&amp;"'!$T$6:$T$205"),MATCH($AR80&amp;"|"&amp;AC$5,INDIRECT("'"&amp;$B80&amp;"'!$AF$6:$AF$205"),0))="","",INDEX(INDIRECT("'"&amp;$B80&amp;"'!$T$6:$T$205"),MATCH($AR80&amp;"|"&amp;AC$5,INDIRECT("'"&amp;$B80&amp;"'!$AF$6:$AF$205"),0))),"-"))</f>
        <v/>
      </c>
      <c r="AD80" s="38">
        <f>IF(OR(AP80="",AD$5="-"),"",IFERROR(IF(INDEX(INDIRECT("'"&amp;$B80&amp;"'!$T$6:$T$205"),MATCH($AR80&amp;"|"&amp;AD$5,INDIRECT("'"&amp;$B80&amp;"'!$AF$6:$AF$205"),0))="","",INDEX(INDIRECT("'"&amp;$B80&amp;"'!$T$6:$T$205"),MATCH($AR80&amp;"|"&amp;AD$5,INDIRECT("'"&amp;$B80&amp;"'!$AF$6:$AF$205"),0))),"-"))</f>
        <v/>
      </c>
      <c r="AE80" s="38">
        <f>IF(OR(AP80="",AE$5="-"),"",IFERROR(IF(INDEX(INDIRECT("'"&amp;$B80&amp;"'!$T$6:$T$205"),MATCH($AR80&amp;"|"&amp;AE$5,INDIRECT("'"&amp;$B80&amp;"'!$AF$6:$AF$205"),0))="","",INDEX(INDIRECT("'"&amp;$B80&amp;"'!$T$6:$T$205"),MATCH($AR80&amp;"|"&amp;AE$5,INDIRECT("'"&amp;$B80&amp;"'!$AF$6:$AF$205"),0))),"-"))</f>
        <v/>
      </c>
      <c r="AF80" s="35">
        <f>IF(AG80="","",INDEX($P$5:$W$5,MATCH(AG80,P80:W80,0)))</f>
        <v/>
      </c>
      <c r="AG80" s="37">
        <f>IF(COUNT(P80:W80)=0,"",MIN(P80:W80))</f>
        <v/>
      </c>
      <c r="AH80" s="39">
        <f>IF(AG80="","",AG80*F80)</f>
        <v/>
      </c>
      <c r="AI80" s="39">
        <f>IF(COUNT(P80:W80)&lt;2,"",(MAX(P80:W80)-MIN(P80:W80))*F80)</f>
        <v/>
      </c>
      <c r="AJ80" s="20" t="n"/>
      <c r="AP80">
        <f>IF(75&gt;MAX($AN$6:$AN$9),"",COUNTIF($AN$6:$AN$9,"&lt;"&amp;75)+1)</f>
        <v/>
      </c>
      <c r="AQ80">
        <f>IF(AP80="","",75-INDEX($AO$6:$AO$9,AP80))</f>
        <v/>
      </c>
      <c r="AR80">
        <f>IF(AP80="","",INDEX(INDIRECT("'"&amp;$B80&amp;"'!$AE$6:$AE$205"),MATCH(AQ80,INDIRECT("'"&amp;$B80&amp;"'!$AI$6:$AI$205"),0)))</f>
        <v/>
      </c>
    </row>
    <row r="81">
      <c r="A81" s="34">
        <f>IF(AP81="","",76)</f>
        <v/>
      </c>
      <c r="B81" s="35">
        <f>IF(AP81="","",INDEX($AL$6:$AL$9,AP81))</f>
        <v/>
      </c>
      <c r="C81" s="34">
        <f>IF(AP81="","",INDEX(INDIRECT("'"&amp;$B81&amp;"'!$B$6:$B$205"),MATCH($AR81,INDIRECT("'"&amp;$B81&amp;"'!$AE$6:$AE$205"),0)))</f>
        <v/>
      </c>
      <c r="D81" s="34">
        <f>IF(AP81="","",INDEX(INDIRECT("'"&amp;$B81&amp;"'!$D$6:$D$205"),MATCH($AR81,INDIRECT("'"&amp;$B81&amp;"'!$AE$6:$AE$205"),0)))</f>
        <v/>
      </c>
      <c r="E81" s="36">
        <f>IF(AP81="","",INDEX(INDIRECT("'"&amp;$B81&amp;"'!$F$6:$F$205"),MATCH($AR81,INDIRECT("'"&amp;$B81&amp;"'!$AE$6:$AE$205"),0)))</f>
        <v/>
      </c>
      <c r="F81" s="34">
        <f>IF(AP81="","",INDEX(INDIRECT("'"&amp;$B81&amp;"'!$K$6:$K$205"),MATCH($AR81,INDIRECT("'"&amp;$B81&amp;"'!$AE$6:$AE$205"),0)))</f>
        <v/>
      </c>
      <c r="G81" s="34">
        <f>IF(AP81="","",INDEX(INDIRECT("'"&amp;$B81&amp;"'!$L$6:$L$205"),MATCH($AR81,INDIRECT("'"&amp;$B81&amp;"'!$AE$6:$AE$205"),0)))</f>
        <v/>
      </c>
      <c r="H81" s="34">
        <f>IF(OR(AP81="",H$5="-"),"",IFERROR(IF(INDEX(INDIRECT("'"&amp;$B81&amp;"'!$N$6:$N$205"),MATCH($AR81&amp;"|"&amp;H$5,INDIRECT("'"&amp;$B81&amp;"'!$AF$6:$AF$205"),0))="","",INDEX(INDIRECT("'"&amp;$B81&amp;"'!$N$6:$N$205"),MATCH($AR81&amp;"|"&amp;H$5,INDIRECT("'"&amp;$B81&amp;"'!$AF$6:$AF$205"),0))),"-"))</f>
        <v/>
      </c>
      <c r="I81" s="34">
        <f>IF(OR(AP81="",I$5="-"),"",IFERROR(IF(INDEX(INDIRECT("'"&amp;$B81&amp;"'!$N$6:$N$205"),MATCH($AR81&amp;"|"&amp;I$5,INDIRECT("'"&amp;$B81&amp;"'!$AF$6:$AF$205"),0))="","",INDEX(INDIRECT("'"&amp;$B81&amp;"'!$N$6:$N$205"),MATCH($AR81&amp;"|"&amp;I$5,INDIRECT("'"&amp;$B81&amp;"'!$AF$6:$AF$205"),0))),"-"))</f>
        <v/>
      </c>
      <c r="J81" s="34">
        <f>IF(OR(AP81="",J$5="-"),"",IFERROR(IF(INDEX(INDIRECT("'"&amp;$B81&amp;"'!$N$6:$N$205"),MATCH($AR81&amp;"|"&amp;J$5,INDIRECT("'"&amp;$B81&amp;"'!$AF$6:$AF$205"),0))="","",INDEX(INDIRECT("'"&amp;$B81&amp;"'!$N$6:$N$205"),MATCH($AR81&amp;"|"&amp;J$5,INDIRECT("'"&amp;$B81&amp;"'!$AF$6:$AF$205"),0))),"-"))</f>
        <v/>
      </c>
      <c r="K81" s="34">
        <f>IF(OR(AP81="",K$5="-"),"",IFERROR(IF(INDEX(INDIRECT("'"&amp;$B81&amp;"'!$N$6:$N$205"),MATCH($AR81&amp;"|"&amp;K$5,INDIRECT("'"&amp;$B81&amp;"'!$AF$6:$AF$205"),0))="","",INDEX(INDIRECT("'"&amp;$B81&amp;"'!$N$6:$N$205"),MATCH($AR81&amp;"|"&amp;K$5,INDIRECT("'"&amp;$B81&amp;"'!$AF$6:$AF$205"),0))),"-"))</f>
        <v/>
      </c>
      <c r="L81" s="34">
        <f>IF(OR(AP81="",L$5="-"),"",IFERROR(IF(INDEX(INDIRECT("'"&amp;$B81&amp;"'!$N$6:$N$205"),MATCH($AR81&amp;"|"&amp;L$5,INDIRECT("'"&amp;$B81&amp;"'!$AF$6:$AF$205"),0))="","",INDEX(INDIRECT("'"&amp;$B81&amp;"'!$N$6:$N$205"),MATCH($AR81&amp;"|"&amp;L$5,INDIRECT("'"&amp;$B81&amp;"'!$AF$6:$AF$205"),0))),"-"))</f>
        <v/>
      </c>
      <c r="M81" s="34">
        <f>IF(OR(AP81="",M$5="-"),"",IFERROR(IF(INDEX(INDIRECT("'"&amp;$B81&amp;"'!$N$6:$N$205"),MATCH($AR81&amp;"|"&amp;M$5,INDIRECT("'"&amp;$B81&amp;"'!$AF$6:$AF$205"),0))="","",INDEX(INDIRECT("'"&amp;$B81&amp;"'!$N$6:$N$205"),MATCH($AR81&amp;"|"&amp;M$5,INDIRECT("'"&amp;$B81&amp;"'!$AF$6:$AF$205"),0))),"-"))</f>
        <v/>
      </c>
      <c r="N81" s="34">
        <f>IF(OR(AP81="",N$5="-"),"",IFERROR(IF(INDEX(INDIRECT("'"&amp;$B81&amp;"'!$N$6:$N$205"),MATCH($AR81&amp;"|"&amp;N$5,INDIRECT("'"&amp;$B81&amp;"'!$AF$6:$AF$205"),0))="","",INDEX(INDIRECT("'"&amp;$B81&amp;"'!$N$6:$N$205"),MATCH($AR81&amp;"|"&amp;N$5,INDIRECT("'"&amp;$B81&amp;"'!$AF$6:$AF$205"),0))),"-"))</f>
        <v/>
      </c>
      <c r="O81" s="34">
        <f>IF(OR(AP81="",O$5="-"),"",IFERROR(IF(INDEX(INDIRECT("'"&amp;$B81&amp;"'!$N$6:$N$205"),MATCH($AR81&amp;"|"&amp;O$5,INDIRECT("'"&amp;$B81&amp;"'!$AF$6:$AF$205"),0))="","",INDEX(INDIRECT("'"&amp;$B81&amp;"'!$N$6:$N$205"),MATCH($AR81&amp;"|"&amp;O$5,INDIRECT("'"&amp;$B81&amp;"'!$AF$6:$AF$205"),0))),"-"))</f>
        <v/>
      </c>
      <c r="P81" s="37">
        <f>IF(OR(AP81="",P$5="-"),"",IFERROR(IF(INDEX(INDIRECT("'"&amp;$B81&amp;"'!$R$6:$R$205"),MATCH($AR81&amp;"|"&amp;P$5,INDIRECT("'"&amp;$B81&amp;"'!$AF$6:$AF$205"),0))="","",INDEX(INDIRECT("'"&amp;$B81&amp;"'!$R$6:$R$205"),MATCH($AR81&amp;"|"&amp;P$5,INDIRECT("'"&amp;$B81&amp;"'!$AF$6:$AF$205"),0))),"-"))</f>
        <v/>
      </c>
      <c r="Q81" s="37">
        <f>IF(OR(AP81="",Q$5="-"),"",IFERROR(IF(INDEX(INDIRECT("'"&amp;$B81&amp;"'!$R$6:$R$205"),MATCH($AR81&amp;"|"&amp;Q$5,INDIRECT("'"&amp;$B81&amp;"'!$AF$6:$AF$205"),0))="","",INDEX(INDIRECT("'"&amp;$B81&amp;"'!$R$6:$R$205"),MATCH($AR81&amp;"|"&amp;Q$5,INDIRECT("'"&amp;$B81&amp;"'!$AF$6:$AF$205"),0))),"-"))</f>
        <v/>
      </c>
      <c r="R81" s="37">
        <f>IF(OR(AP81="",R$5="-"),"",IFERROR(IF(INDEX(INDIRECT("'"&amp;$B81&amp;"'!$R$6:$R$205"),MATCH($AR81&amp;"|"&amp;R$5,INDIRECT("'"&amp;$B81&amp;"'!$AF$6:$AF$205"),0))="","",INDEX(INDIRECT("'"&amp;$B81&amp;"'!$R$6:$R$205"),MATCH($AR81&amp;"|"&amp;R$5,INDIRECT("'"&amp;$B81&amp;"'!$AF$6:$AF$205"),0))),"-"))</f>
        <v/>
      </c>
      <c r="S81" s="37">
        <f>IF(OR(AP81="",S$5="-"),"",IFERROR(IF(INDEX(INDIRECT("'"&amp;$B81&amp;"'!$R$6:$R$205"),MATCH($AR81&amp;"|"&amp;S$5,INDIRECT("'"&amp;$B81&amp;"'!$AF$6:$AF$205"),0))="","",INDEX(INDIRECT("'"&amp;$B81&amp;"'!$R$6:$R$205"),MATCH($AR81&amp;"|"&amp;S$5,INDIRECT("'"&amp;$B81&amp;"'!$AF$6:$AF$205"),0))),"-"))</f>
        <v/>
      </c>
      <c r="T81" s="37">
        <f>IF(OR(AP81="",T$5="-"),"",IFERROR(IF(INDEX(INDIRECT("'"&amp;$B81&amp;"'!$R$6:$R$205"),MATCH($AR81&amp;"|"&amp;T$5,INDIRECT("'"&amp;$B81&amp;"'!$AF$6:$AF$205"),0))="","",INDEX(INDIRECT("'"&amp;$B81&amp;"'!$R$6:$R$205"),MATCH($AR81&amp;"|"&amp;T$5,INDIRECT("'"&amp;$B81&amp;"'!$AF$6:$AF$205"),0))),"-"))</f>
        <v/>
      </c>
      <c r="U81" s="37">
        <f>IF(OR(AP81="",U$5="-"),"",IFERROR(IF(INDEX(INDIRECT("'"&amp;$B81&amp;"'!$R$6:$R$205"),MATCH($AR81&amp;"|"&amp;U$5,INDIRECT("'"&amp;$B81&amp;"'!$AF$6:$AF$205"),0))="","",INDEX(INDIRECT("'"&amp;$B81&amp;"'!$R$6:$R$205"),MATCH($AR81&amp;"|"&amp;U$5,INDIRECT("'"&amp;$B81&amp;"'!$AF$6:$AF$205"),0))),"-"))</f>
        <v/>
      </c>
      <c r="V81" s="37">
        <f>IF(OR(AP81="",V$5="-"),"",IFERROR(IF(INDEX(INDIRECT("'"&amp;$B81&amp;"'!$R$6:$R$205"),MATCH($AR81&amp;"|"&amp;V$5,INDIRECT("'"&amp;$B81&amp;"'!$AF$6:$AF$205"),0))="","",INDEX(INDIRECT("'"&amp;$B81&amp;"'!$R$6:$R$205"),MATCH($AR81&amp;"|"&amp;V$5,INDIRECT("'"&amp;$B81&amp;"'!$AF$6:$AF$205"),0))),"-"))</f>
        <v/>
      </c>
      <c r="W81" s="37">
        <f>IF(OR(AP81="",W$5="-"),"",IFERROR(IF(INDEX(INDIRECT("'"&amp;$B81&amp;"'!$R$6:$R$205"),MATCH($AR81&amp;"|"&amp;W$5,INDIRECT("'"&amp;$B81&amp;"'!$AF$6:$AF$205"),0))="","",INDEX(INDIRECT("'"&amp;$B81&amp;"'!$R$6:$R$205"),MATCH($AR81&amp;"|"&amp;W$5,INDIRECT("'"&amp;$B81&amp;"'!$AF$6:$AF$205"),0))),"-"))</f>
        <v/>
      </c>
      <c r="X81" s="38">
        <f>IF(OR(AP81="",X$5="-"),"",IFERROR(IF(INDEX(INDIRECT("'"&amp;$B81&amp;"'!$T$6:$T$205"),MATCH($AR81&amp;"|"&amp;X$5,INDIRECT("'"&amp;$B81&amp;"'!$AF$6:$AF$205"),0))="","",INDEX(INDIRECT("'"&amp;$B81&amp;"'!$T$6:$T$205"),MATCH($AR81&amp;"|"&amp;X$5,INDIRECT("'"&amp;$B81&amp;"'!$AF$6:$AF$205"),0))),"-"))</f>
        <v/>
      </c>
      <c r="Y81" s="38">
        <f>IF(OR(AP81="",Y$5="-"),"",IFERROR(IF(INDEX(INDIRECT("'"&amp;$B81&amp;"'!$T$6:$T$205"),MATCH($AR81&amp;"|"&amp;Y$5,INDIRECT("'"&amp;$B81&amp;"'!$AF$6:$AF$205"),0))="","",INDEX(INDIRECT("'"&amp;$B81&amp;"'!$T$6:$T$205"),MATCH($AR81&amp;"|"&amp;Y$5,INDIRECT("'"&amp;$B81&amp;"'!$AF$6:$AF$205"),0))),"-"))</f>
        <v/>
      </c>
      <c r="Z81" s="38">
        <f>IF(OR(AP81="",Z$5="-"),"",IFERROR(IF(INDEX(INDIRECT("'"&amp;$B81&amp;"'!$T$6:$T$205"),MATCH($AR81&amp;"|"&amp;Z$5,INDIRECT("'"&amp;$B81&amp;"'!$AF$6:$AF$205"),0))="","",INDEX(INDIRECT("'"&amp;$B81&amp;"'!$T$6:$T$205"),MATCH($AR81&amp;"|"&amp;Z$5,INDIRECT("'"&amp;$B81&amp;"'!$AF$6:$AF$205"),0))),"-"))</f>
        <v/>
      </c>
      <c r="AA81" s="38">
        <f>IF(OR(AP81="",AA$5="-"),"",IFERROR(IF(INDEX(INDIRECT("'"&amp;$B81&amp;"'!$T$6:$T$205"),MATCH($AR81&amp;"|"&amp;AA$5,INDIRECT("'"&amp;$B81&amp;"'!$AF$6:$AF$205"),0))="","",INDEX(INDIRECT("'"&amp;$B81&amp;"'!$T$6:$T$205"),MATCH($AR81&amp;"|"&amp;AA$5,INDIRECT("'"&amp;$B81&amp;"'!$AF$6:$AF$205"),0))),"-"))</f>
        <v/>
      </c>
      <c r="AB81" s="38">
        <f>IF(OR(AP81="",AB$5="-"),"",IFERROR(IF(INDEX(INDIRECT("'"&amp;$B81&amp;"'!$T$6:$T$205"),MATCH($AR81&amp;"|"&amp;AB$5,INDIRECT("'"&amp;$B81&amp;"'!$AF$6:$AF$205"),0))="","",INDEX(INDIRECT("'"&amp;$B81&amp;"'!$T$6:$T$205"),MATCH($AR81&amp;"|"&amp;AB$5,INDIRECT("'"&amp;$B81&amp;"'!$AF$6:$AF$205"),0))),"-"))</f>
        <v/>
      </c>
      <c r="AC81" s="38">
        <f>IF(OR(AP81="",AC$5="-"),"",IFERROR(IF(INDEX(INDIRECT("'"&amp;$B81&amp;"'!$T$6:$T$205"),MATCH($AR81&amp;"|"&amp;AC$5,INDIRECT("'"&amp;$B81&amp;"'!$AF$6:$AF$205"),0))="","",INDEX(INDIRECT("'"&amp;$B81&amp;"'!$T$6:$T$205"),MATCH($AR81&amp;"|"&amp;AC$5,INDIRECT("'"&amp;$B81&amp;"'!$AF$6:$AF$205"),0))),"-"))</f>
        <v/>
      </c>
      <c r="AD81" s="38">
        <f>IF(OR(AP81="",AD$5="-"),"",IFERROR(IF(INDEX(INDIRECT("'"&amp;$B81&amp;"'!$T$6:$T$205"),MATCH($AR81&amp;"|"&amp;AD$5,INDIRECT("'"&amp;$B81&amp;"'!$AF$6:$AF$205"),0))="","",INDEX(INDIRECT("'"&amp;$B81&amp;"'!$T$6:$T$205"),MATCH($AR81&amp;"|"&amp;AD$5,INDIRECT("'"&amp;$B81&amp;"'!$AF$6:$AF$205"),0))),"-"))</f>
        <v/>
      </c>
      <c r="AE81" s="38">
        <f>IF(OR(AP81="",AE$5="-"),"",IFERROR(IF(INDEX(INDIRECT("'"&amp;$B81&amp;"'!$T$6:$T$205"),MATCH($AR81&amp;"|"&amp;AE$5,INDIRECT("'"&amp;$B81&amp;"'!$AF$6:$AF$205"),0))="","",INDEX(INDIRECT("'"&amp;$B81&amp;"'!$T$6:$T$205"),MATCH($AR81&amp;"|"&amp;AE$5,INDIRECT("'"&amp;$B81&amp;"'!$AF$6:$AF$205"),0))),"-"))</f>
        <v/>
      </c>
      <c r="AF81" s="35">
        <f>IF(AG81="","",INDEX($P$5:$W$5,MATCH(AG81,P81:W81,0)))</f>
        <v/>
      </c>
      <c r="AG81" s="37">
        <f>IF(COUNT(P81:W81)=0,"",MIN(P81:W81))</f>
        <v/>
      </c>
      <c r="AH81" s="39">
        <f>IF(AG81="","",AG81*F81)</f>
        <v/>
      </c>
      <c r="AI81" s="39">
        <f>IF(COUNT(P81:W81)&lt;2,"",(MAX(P81:W81)-MIN(P81:W81))*F81)</f>
        <v/>
      </c>
      <c r="AJ81" s="20" t="n"/>
      <c r="AP81">
        <f>IF(76&gt;MAX($AN$6:$AN$9),"",COUNTIF($AN$6:$AN$9,"&lt;"&amp;76)+1)</f>
        <v/>
      </c>
      <c r="AQ81">
        <f>IF(AP81="","",76-INDEX($AO$6:$AO$9,AP81))</f>
        <v/>
      </c>
      <c r="AR81">
        <f>IF(AP81="","",INDEX(INDIRECT("'"&amp;$B81&amp;"'!$AE$6:$AE$205"),MATCH(AQ81,INDIRECT("'"&amp;$B81&amp;"'!$AI$6:$AI$205"),0)))</f>
        <v/>
      </c>
    </row>
    <row r="82">
      <c r="A82" s="34">
        <f>IF(AP82="","",77)</f>
        <v/>
      </c>
      <c r="B82" s="35">
        <f>IF(AP82="","",INDEX($AL$6:$AL$9,AP82))</f>
        <v/>
      </c>
      <c r="C82" s="34">
        <f>IF(AP82="","",INDEX(INDIRECT("'"&amp;$B82&amp;"'!$B$6:$B$205"),MATCH($AR82,INDIRECT("'"&amp;$B82&amp;"'!$AE$6:$AE$205"),0)))</f>
        <v/>
      </c>
      <c r="D82" s="34">
        <f>IF(AP82="","",INDEX(INDIRECT("'"&amp;$B82&amp;"'!$D$6:$D$205"),MATCH($AR82,INDIRECT("'"&amp;$B82&amp;"'!$AE$6:$AE$205"),0)))</f>
        <v/>
      </c>
      <c r="E82" s="36">
        <f>IF(AP82="","",INDEX(INDIRECT("'"&amp;$B82&amp;"'!$F$6:$F$205"),MATCH($AR82,INDIRECT("'"&amp;$B82&amp;"'!$AE$6:$AE$205"),0)))</f>
        <v/>
      </c>
      <c r="F82" s="34">
        <f>IF(AP82="","",INDEX(INDIRECT("'"&amp;$B82&amp;"'!$K$6:$K$205"),MATCH($AR82,INDIRECT("'"&amp;$B82&amp;"'!$AE$6:$AE$205"),0)))</f>
        <v/>
      </c>
      <c r="G82" s="34">
        <f>IF(AP82="","",INDEX(INDIRECT("'"&amp;$B82&amp;"'!$L$6:$L$205"),MATCH($AR82,INDIRECT("'"&amp;$B82&amp;"'!$AE$6:$AE$205"),0)))</f>
        <v/>
      </c>
      <c r="H82" s="34">
        <f>IF(OR(AP82="",H$5="-"),"",IFERROR(IF(INDEX(INDIRECT("'"&amp;$B82&amp;"'!$N$6:$N$205"),MATCH($AR82&amp;"|"&amp;H$5,INDIRECT("'"&amp;$B82&amp;"'!$AF$6:$AF$205"),0))="","",INDEX(INDIRECT("'"&amp;$B82&amp;"'!$N$6:$N$205"),MATCH($AR82&amp;"|"&amp;H$5,INDIRECT("'"&amp;$B82&amp;"'!$AF$6:$AF$205"),0))),"-"))</f>
        <v/>
      </c>
      <c r="I82" s="34">
        <f>IF(OR(AP82="",I$5="-"),"",IFERROR(IF(INDEX(INDIRECT("'"&amp;$B82&amp;"'!$N$6:$N$205"),MATCH($AR82&amp;"|"&amp;I$5,INDIRECT("'"&amp;$B82&amp;"'!$AF$6:$AF$205"),0))="","",INDEX(INDIRECT("'"&amp;$B82&amp;"'!$N$6:$N$205"),MATCH($AR82&amp;"|"&amp;I$5,INDIRECT("'"&amp;$B82&amp;"'!$AF$6:$AF$205"),0))),"-"))</f>
        <v/>
      </c>
      <c r="J82" s="34">
        <f>IF(OR(AP82="",J$5="-"),"",IFERROR(IF(INDEX(INDIRECT("'"&amp;$B82&amp;"'!$N$6:$N$205"),MATCH($AR82&amp;"|"&amp;J$5,INDIRECT("'"&amp;$B82&amp;"'!$AF$6:$AF$205"),0))="","",INDEX(INDIRECT("'"&amp;$B82&amp;"'!$N$6:$N$205"),MATCH($AR82&amp;"|"&amp;J$5,INDIRECT("'"&amp;$B82&amp;"'!$AF$6:$AF$205"),0))),"-"))</f>
        <v/>
      </c>
      <c r="K82" s="34">
        <f>IF(OR(AP82="",K$5="-"),"",IFERROR(IF(INDEX(INDIRECT("'"&amp;$B82&amp;"'!$N$6:$N$205"),MATCH($AR82&amp;"|"&amp;K$5,INDIRECT("'"&amp;$B82&amp;"'!$AF$6:$AF$205"),0))="","",INDEX(INDIRECT("'"&amp;$B82&amp;"'!$N$6:$N$205"),MATCH($AR82&amp;"|"&amp;K$5,INDIRECT("'"&amp;$B82&amp;"'!$AF$6:$AF$205"),0))),"-"))</f>
        <v/>
      </c>
      <c r="L82" s="34">
        <f>IF(OR(AP82="",L$5="-"),"",IFERROR(IF(INDEX(INDIRECT("'"&amp;$B82&amp;"'!$N$6:$N$205"),MATCH($AR82&amp;"|"&amp;L$5,INDIRECT("'"&amp;$B82&amp;"'!$AF$6:$AF$205"),0))="","",INDEX(INDIRECT("'"&amp;$B82&amp;"'!$N$6:$N$205"),MATCH($AR82&amp;"|"&amp;L$5,INDIRECT("'"&amp;$B82&amp;"'!$AF$6:$AF$205"),0))),"-"))</f>
        <v/>
      </c>
      <c r="M82" s="34">
        <f>IF(OR(AP82="",M$5="-"),"",IFERROR(IF(INDEX(INDIRECT("'"&amp;$B82&amp;"'!$N$6:$N$205"),MATCH($AR82&amp;"|"&amp;M$5,INDIRECT("'"&amp;$B82&amp;"'!$AF$6:$AF$205"),0))="","",INDEX(INDIRECT("'"&amp;$B82&amp;"'!$N$6:$N$205"),MATCH($AR82&amp;"|"&amp;M$5,INDIRECT("'"&amp;$B82&amp;"'!$AF$6:$AF$205"),0))),"-"))</f>
        <v/>
      </c>
      <c r="N82" s="34">
        <f>IF(OR(AP82="",N$5="-"),"",IFERROR(IF(INDEX(INDIRECT("'"&amp;$B82&amp;"'!$N$6:$N$205"),MATCH($AR82&amp;"|"&amp;N$5,INDIRECT("'"&amp;$B82&amp;"'!$AF$6:$AF$205"),0))="","",INDEX(INDIRECT("'"&amp;$B82&amp;"'!$N$6:$N$205"),MATCH($AR82&amp;"|"&amp;N$5,INDIRECT("'"&amp;$B82&amp;"'!$AF$6:$AF$205"),0))),"-"))</f>
        <v/>
      </c>
      <c r="O82" s="34">
        <f>IF(OR(AP82="",O$5="-"),"",IFERROR(IF(INDEX(INDIRECT("'"&amp;$B82&amp;"'!$N$6:$N$205"),MATCH($AR82&amp;"|"&amp;O$5,INDIRECT("'"&amp;$B82&amp;"'!$AF$6:$AF$205"),0))="","",INDEX(INDIRECT("'"&amp;$B82&amp;"'!$N$6:$N$205"),MATCH($AR82&amp;"|"&amp;O$5,INDIRECT("'"&amp;$B82&amp;"'!$AF$6:$AF$205"),0))),"-"))</f>
        <v/>
      </c>
      <c r="P82" s="37">
        <f>IF(OR(AP82="",P$5="-"),"",IFERROR(IF(INDEX(INDIRECT("'"&amp;$B82&amp;"'!$R$6:$R$205"),MATCH($AR82&amp;"|"&amp;P$5,INDIRECT("'"&amp;$B82&amp;"'!$AF$6:$AF$205"),0))="","",INDEX(INDIRECT("'"&amp;$B82&amp;"'!$R$6:$R$205"),MATCH($AR82&amp;"|"&amp;P$5,INDIRECT("'"&amp;$B82&amp;"'!$AF$6:$AF$205"),0))),"-"))</f>
        <v/>
      </c>
      <c r="Q82" s="37">
        <f>IF(OR(AP82="",Q$5="-"),"",IFERROR(IF(INDEX(INDIRECT("'"&amp;$B82&amp;"'!$R$6:$R$205"),MATCH($AR82&amp;"|"&amp;Q$5,INDIRECT("'"&amp;$B82&amp;"'!$AF$6:$AF$205"),0))="","",INDEX(INDIRECT("'"&amp;$B82&amp;"'!$R$6:$R$205"),MATCH($AR82&amp;"|"&amp;Q$5,INDIRECT("'"&amp;$B82&amp;"'!$AF$6:$AF$205"),0))),"-"))</f>
        <v/>
      </c>
      <c r="R82" s="37">
        <f>IF(OR(AP82="",R$5="-"),"",IFERROR(IF(INDEX(INDIRECT("'"&amp;$B82&amp;"'!$R$6:$R$205"),MATCH($AR82&amp;"|"&amp;R$5,INDIRECT("'"&amp;$B82&amp;"'!$AF$6:$AF$205"),0))="","",INDEX(INDIRECT("'"&amp;$B82&amp;"'!$R$6:$R$205"),MATCH($AR82&amp;"|"&amp;R$5,INDIRECT("'"&amp;$B82&amp;"'!$AF$6:$AF$205"),0))),"-"))</f>
        <v/>
      </c>
      <c r="S82" s="37">
        <f>IF(OR(AP82="",S$5="-"),"",IFERROR(IF(INDEX(INDIRECT("'"&amp;$B82&amp;"'!$R$6:$R$205"),MATCH($AR82&amp;"|"&amp;S$5,INDIRECT("'"&amp;$B82&amp;"'!$AF$6:$AF$205"),0))="","",INDEX(INDIRECT("'"&amp;$B82&amp;"'!$R$6:$R$205"),MATCH($AR82&amp;"|"&amp;S$5,INDIRECT("'"&amp;$B82&amp;"'!$AF$6:$AF$205"),0))),"-"))</f>
        <v/>
      </c>
      <c r="T82" s="37">
        <f>IF(OR(AP82="",T$5="-"),"",IFERROR(IF(INDEX(INDIRECT("'"&amp;$B82&amp;"'!$R$6:$R$205"),MATCH($AR82&amp;"|"&amp;T$5,INDIRECT("'"&amp;$B82&amp;"'!$AF$6:$AF$205"),0))="","",INDEX(INDIRECT("'"&amp;$B82&amp;"'!$R$6:$R$205"),MATCH($AR82&amp;"|"&amp;T$5,INDIRECT("'"&amp;$B82&amp;"'!$AF$6:$AF$205"),0))),"-"))</f>
        <v/>
      </c>
      <c r="U82" s="37">
        <f>IF(OR(AP82="",U$5="-"),"",IFERROR(IF(INDEX(INDIRECT("'"&amp;$B82&amp;"'!$R$6:$R$205"),MATCH($AR82&amp;"|"&amp;U$5,INDIRECT("'"&amp;$B82&amp;"'!$AF$6:$AF$205"),0))="","",INDEX(INDIRECT("'"&amp;$B82&amp;"'!$R$6:$R$205"),MATCH($AR82&amp;"|"&amp;U$5,INDIRECT("'"&amp;$B82&amp;"'!$AF$6:$AF$205"),0))),"-"))</f>
        <v/>
      </c>
      <c r="V82" s="37">
        <f>IF(OR(AP82="",V$5="-"),"",IFERROR(IF(INDEX(INDIRECT("'"&amp;$B82&amp;"'!$R$6:$R$205"),MATCH($AR82&amp;"|"&amp;V$5,INDIRECT("'"&amp;$B82&amp;"'!$AF$6:$AF$205"),0))="","",INDEX(INDIRECT("'"&amp;$B82&amp;"'!$R$6:$R$205"),MATCH($AR82&amp;"|"&amp;V$5,INDIRECT("'"&amp;$B82&amp;"'!$AF$6:$AF$205"),0))),"-"))</f>
        <v/>
      </c>
      <c r="W82" s="37">
        <f>IF(OR(AP82="",W$5="-"),"",IFERROR(IF(INDEX(INDIRECT("'"&amp;$B82&amp;"'!$R$6:$R$205"),MATCH($AR82&amp;"|"&amp;W$5,INDIRECT("'"&amp;$B82&amp;"'!$AF$6:$AF$205"),0))="","",INDEX(INDIRECT("'"&amp;$B82&amp;"'!$R$6:$R$205"),MATCH($AR82&amp;"|"&amp;W$5,INDIRECT("'"&amp;$B82&amp;"'!$AF$6:$AF$205"),0))),"-"))</f>
        <v/>
      </c>
      <c r="X82" s="38">
        <f>IF(OR(AP82="",X$5="-"),"",IFERROR(IF(INDEX(INDIRECT("'"&amp;$B82&amp;"'!$T$6:$T$205"),MATCH($AR82&amp;"|"&amp;X$5,INDIRECT("'"&amp;$B82&amp;"'!$AF$6:$AF$205"),0))="","",INDEX(INDIRECT("'"&amp;$B82&amp;"'!$T$6:$T$205"),MATCH($AR82&amp;"|"&amp;X$5,INDIRECT("'"&amp;$B82&amp;"'!$AF$6:$AF$205"),0))),"-"))</f>
        <v/>
      </c>
      <c r="Y82" s="38">
        <f>IF(OR(AP82="",Y$5="-"),"",IFERROR(IF(INDEX(INDIRECT("'"&amp;$B82&amp;"'!$T$6:$T$205"),MATCH($AR82&amp;"|"&amp;Y$5,INDIRECT("'"&amp;$B82&amp;"'!$AF$6:$AF$205"),0))="","",INDEX(INDIRECT("'"&amp;$B82&amp;"'!$T$6:$T$205"),MATCH($AR82&amp;"|"&amp;Y$5,INDIRECT("'"&amp;$B82&amp;"'!$AF$6:$AF$205"),0))),"-"))</f>
        <v/>
      </c>
      <c r="Z82" s="38">
        <f>IF(OR(AP82="",Z$5="-"),"",IFERROR(IF(INDEX(INDIRECT("'"&amp;$B82&amp;"'!$T$6:$T$205"),MATCH($AR82&amp;"|"&amp;Z$5,INDIRECT("'"&amp;$B82&amp;"'!$AF$6:$AF$205"),0))="","",INDEX(INDIRECT("'"&amp;$B82&amp;"'!$T$6:$T$205"),MATCH($AR82&amp;"|"&amp;Z$5,INDIRECT("'"&amp;$B82&amp;"'!$AF$6:$AF$205"),0))),"-"))</f>
        <v/>
      </c>
      <c r="AA82" s="38">
        <f>IF(OR(AP82="",AA$5="-"),"",IFERROR(IF(INDEX(INDIRECT("'"&amp;$B82&amp;"'!$T$6:$T$205"),MATCH($AR82&amp;"|"&amp;AA$5,INDIRECT("'"&amp;$B82&amp;"'!$AF$6:$AF$205"),0))="","",INDEX(INDIRECT("'"&amp;$B82&amp;"'!$T$6:$T$205"),MATCH($AR82&amp;"|"&amp;AA$5,INDIRECT("'"&amp;$B82&amp;"'!$AF$6:$AF$205"),0))),"-"))</f>
        <v/>
      </c>
      <c r="AB82" s="38">
        <f>IF(OR(AP82="",AB$5="-"),"",IFERROR(IF(INDEX(INDIRECT("'"&amp;$B82&amp;"'!$T$6:$T$205"),MATCH($AR82&amp;"|"&amp;AB$5,INDIRECT("'"&amp;$B82&amp;"'!$AF$6:$AF$205"),0))="","",INDEX(INDIRECT("'"&amp;$B82&amp;"'!$T$6:$T$205"),MATCH($AR82&amp;"|"&amp;AB$5,INDIRECT("'"&amp;$B82&amp;"'!$AF$6:$AF$205"),0))),"-"))</f>
        <v/>
      </c>
      <c r="AC82" s="38">
        <f>IF(OR(AP82="",AC$5="-"),"",IFERROR(IF(INDEX(INDIRECT("'"&amp;$B82&amp;"'!$T$6:$T$205"),MATCH($AR82&amp;"|"&amp;AC$5,INDIRECT("'"&amp;$B82&amp;"'!$AF$6:$AF$205"),0))="","",INDEX(INDIRECT("'"&amp;$B82&amp;"'!$T$6:$T$205"),MATCH($AR82&amp;"|"&amp;AC$5,INDIRECT("'"&amp;$B82&amp;"'!$AF$6:$AF$205"),0))),"-"))</f>
        <v/>
      </c>
      <c r="AD82" s="38">
        <f>IF(OR(AP82="",AD$5="-"),"",IFERROR(IF(INDEX(INDIRECT("'"&amp;$B82&amp;"'!$T$6:$T$205"),MATCH($AR82&amp;"|"&amp;AD$5,INDIRECT("'"&amp;$B82&amp;"'!$AF$6:$AF$205"),0))="","",INDEX(INDIRECT("'"&amp;$B82&amp;"'!$T$6:$T$205"),MATCH($AR82&amp;"|"&amp;AD$5,INDIRECT("'"&amp;$B82&amp;"'!$AF$6:$AF$205"),0))),"-"))</f>
        <v/>
      </c>
      <c r="AE82" s="38">
        <f>IF(OR(AP82="",AE$5="-"),"",IFERROR(IF(INDEX(INDIRECT("'"&amp;$B82&amp;"'!$T$6:$T$205"),MATCH($AR82&amp;"|"&amp;AE$5,INDIRECT("'"&amp;$B82&amp;"'!$AF$6:$AF$205"),0))="","",INDEX(INDIRECT("'"&amp;$B82&amp;"'!$T$6:$T$205"),MATCH($AR82&amp;"|"&amp;AE$5,INDIRECT("'"&amp;$B82&amp;"'!$AF$6:$AF$205"),0))),"-"))</f>
        <v/>
      </c>
      <c r="AF82" s="35">
        <f>IF(AG82="","",INDEX($P$5:$W$5,MATCH(AG82,P82:W82,0)))</f>
        <v/>
      </c>
      <c r="AG82" s="37">
        <f>IF(COUNT(P82:W82)=0,"",MIN(P82:W82))</f>
        <v/>
      </c>
      <c r="AH82" s="39">
        <f>IF(AG82="","",AG82*F82)</f>
        <v/>
      </c>
      <c r="AI82" s="39">
        <f>IF(COUNT(P82:W82)&lt;2,"",(MAX(P82:W82)-MIN(P82:W82))*F82)</f>
        <v/>
      </c>
      <c r="AJ82" s="20" t="n"/>
      <c r="AP82">
        <f>IF(77&gt;MAX($AN$6:$AN$9),"",COUNTIF($AN$6:$AN$9,"&lt;"&amp;77)+1)</f>
        <v/>
      </c>
      <c r="AQ82">
        <f>IF(AP82="","",77-INDEX($AO$6:$AO$9,AP82))</f>
        <v/>
      </c>
      <c r="AR82">
        <f>IF(AP82="","",INDEX(INDIRECT("'"&amp;$B82&amp;"'!$AE$6:$AE$205"),MATCH(AQ82,INDIRECT("'"&amp;$B82&amp;"'!$AI$6:$AI$205"),0)))</f>
        <v/>
      </c>
    </row>
    <row r="83">
      <c r="A83" s="34">
        <f>IF(AP83="","",78)</f>
        <v/>
      </c>
      <c r="B83" s="35">
        <f>IF(AP83="","",INDEX($AL$6:$AL$9,AP83))</f>
        <v/>
      </c>
      <c r="C83" s="34">
        <f>IF(AP83="","",INDEX(INDIRECT("'"&amp;$B83&amp;"'!$B$6:$B$205"),MATCH($AR83,INDIRECT("'"&amp;$B83&amp;"'!$AE$6:$AE$205"),0)))</f>
        <v/>
      </c>
      <c r="D83" s="34">
        <f>IF(AP83="","",INDEX(INDIRECT("'"&amp;$B83&amp;"'!$D$6:$D$205"),MATCH($AR83,INDIRECT("'"&amp;$B83&amp;"'!$AE$6:$AE$205"),0)))</f>
        <v/>
      </c>
      <c r="E83" s="36">
        <f>IF(AP83="","",INDEX(INDIRECT("'"&amp;$B83&amp;"'!$F$6:$F$205"),MATCH($AR83,INDIRECT("'"&amp;$B83&amp;"'!$AE$6:$AE$205"),0)))</f>
        <v/>
      </c>
      <c r="F83" s="34">
        <f>IF(AP83="","",INDEX(INDIRECT("'"&amp;$B83&amp;"'!$K$6:$K$205"),MATCH($AR83,INDIRECT("'"&amp;$B83&amp;"'!$AE$6:$AE$205"),0)))</f>
        <v/>
      </c>
      <c r="G83" s="34">
        <f>IF(AP83="","",INDEX(INDIRECT("'"&amp;$B83&amp;"'!$L$6:$L$205"),MATCH($AR83,INDIRECT("'"&amp;$B83&amp;"'!$AE$6:$AE$205"),0)))</f>
        <v/>
      </c>
      <c r="H83" s="34">
        <f>IF(OR(AP83="",H$5="-"),"",IFERROR(IF(INDEX(INDIRECT("'"&amp;$B83&amp;"'!$N$6:$N$205"),MATCH($AR83&amp;"|"&amp;H$5,INDIRECT("'"&amp;$B83&amp;"'!$AF$6:$AF$205"),0))="","",INDEX(INDIRECT("'"&amp;$B83&amp;"'!$N$6:$N$205"),MATCH($AR83&amp;"|"&amp;H$5,INDIRECT("'"&amp;$B83&amp;"'!$AF$6:$AF$205"),0))),"-"))</f>
        <v/>
      </c>
      <c r="I83" s="34">
        <f>IF(OR(AP83="",I$5="-"),"",IFERROR(IF(INDEX(INDIRECT("'"&amp;$B83&amp;"'!$N$6:$N$205"),MATCH($AR83&amp;"|"&amp;I$5,INDIRECT("'"&amp;$B83&amp;"'!$AF$6:$AF$205"),0))="","",INDEX(INDIRECT("'"&amp;$B83&amp;"'!$N$6:$N$205"),MATCH($AR83&amp;"|"&amp;I$5,INDIRECT("'"&amp;$B83&amp;"'!$AF$6:$AF$205"),0))),"-"))</f>
        <v/>
      </c>
      <c r="J83" s="34">
        <f>IF(OR(AP83="",J$5="-"),"",IFERROR(IF(INDEX(INDIRECT("'"&amp;$B83&amp;"'!$N$6:$N$205"),MATCH($AR83&amp;"|"&amp;J$5,INDIRECT("'"&amp;$B83&amp;"'!$AF$6:$AF$205"),0))="","",INDEX(INDIRECT("'"&amp;$B83&amp;"'!$N$6:$N$205"),MATCH($AR83&amp;"|"&amp;J$5,INDIRECT("'"&amp;$B83&amp;"'!$AF$6:$AF$205"),0))),"-"))</f>
        <v/>
      </c>
      <c r="K83" s="34">
        <f>IF(OR(AP83="",K$5="-"),"",IFERROR(IF(INDEX(INDIRECT("'"&amp;$B83&amp;"'!$N$6:$N$205"),MATCH($AR83&amp;"|"&amp;K$5,INDIRECT("'"&amp;$B83&amp;"'!$AF$6:$AF$205"),0))="","",INDEX(INDIRECT("'"&amp;$B83&amp;"'!$N$6:$N$205"),MATCH($AR83&amp;"|"&amp;K$5,INDIRECT("'"&amp;$B83&amp;"'!$AF$6:$AF$205"),0))),"-"))</f>
        <v/>
      </c>
      <c r="L83" s="34">
        <f>IF(OR(AP83="",L$5="-"),"",IFERROR(IF(INDEX(INDIRECT("'"&amp;$B83&amp;"'!$N$6:$N$205"),MATCH($AR83&amp;"|"&amp;L$5,INDIRECT("'"&amp;$B83&amp;"'!$AF$6:$AF$205"),0))="","",INDEX(INDIRECT("'"&amp;$B83&amp;"'!$N$6:$N$205"),MATCH($AR83&amp;"|"&amp;L$5,INDIRECT("'"&amp;$B83&amp;"'!$AF$6:$AF$205"),0))),"-"))</f>
        <v/>
      </c>
      <c r="M83" s="34">
        <f>IF(OR(AP83="",M$5="-"),"",IFERROR(IF(INDEX(INDIRECT("'"&amp;$B83&amp;"'!$N$6:$N$205"),MATCH($AR83&amp;"|"&amp;M$5,INDIRECT("'"&amp;$B83&amp;"'!$AF$6:$AF$205"),0))="","",INDEX(INDIRECT("'"&amp;$B83&amp;"'!$N$6:$N$205"),MATCH($AR83&amp;"|"&amp;M$5,INDIRECT("'"&amp;$B83&amp;"'!$AF$6:$AF$205"),0))),"-"))</f>
        <v/>
      </c>
      <c r="N83" s="34">
        <f>IF(OR(AP83="",N$5="-"),"",IFERROR(IF(INDEX(INDIRECT("'"&amp;$B83&amp;"'!$N$6:$N$205"),MATCH($AR83&amp;"|"&amp;N$5,INDIRECT("'"&amp;$B83&amp;"'!$AF$6:$AF$205"),0))="","",INDEX(INDIRECT("'"&amp;$B83&amp;"'!$N$6:$N$205"),MATCH($AR83&amp;"|"&amp;N$5,INDIRECT("'"&amp;$B83&amp;"'!$AF$6:$AF$205"),0))),"-"))</f>
        <v/>
      </c>
      <c r="O83" s="34">
        <f>IF(OR(AP83="",O$5="-"),"",IFERROR(IF(INDEX(INDIRECT("'"&amp;$B83&amp;"'!$N$6:$N$205"),MATCH($AR83&amp;"|"&amp;O$5,INDIRECT("'"&amp;$B83&amp;"'!$AF$6:$AF$205"),0))="","",INDEX(INDIRECT("'"&amp;$B83&amp;"'!$N$6:$N$205"),MATCH($AR83&amp;"|"&amp;O$5,INDIRECT("'"&amp;$B83&amp;"'!$AF$6:$AF$205"),0))),"-"))</f>
        <v/>
      </c>
      <c r="P83" s="37">
        <f>IF(OR(AP83="",P$5="-"),"",IFERROR(IF(INDEX(INDIRECT("'"&amp;$B83&amp;"'!$R$6:$R$205"),MATCH($AR83&amp;"|"&amp;P$5,INDIRECT("'"&amp;$B83&amp;"'!$AF$6:$AF$205"),0))="","",INDEX(INDIRECT("'"&amp;$B83&amp;"'!$R$6:$R$205"),MATCH($AR83&amp;"|"&amp;P$5,INDIRECT("'"&amp;$B83&amp;"'!$AF$6:$AF$205"),0))),"-"))</f>
        <v/>
      </c>
      <c r="Q83" s="37">
        <f>IF(OR(AP83="",Q$5="-"),"",IFERROR(IF(INDEX(INDIRECT("'"&amp;$B83&amp;"'!$R$6:$R$205"),MATCH($AR83&amp;"|"&amp;Q$5,INDIRECT("'"&amp;$B83&amp;"'!$AF$6:$AF$205"),0))="","",INDEX(INDIRECT("'"&amp;$B83&amp;"'!$R$6:$R$205"),MATCH($AR83&amp;"|"&amp;Q$5,INDIRECT("'"&amp;$B83&amp;"'!$AF$6:$AF$205"),0))),"-"))</f>
        <v/>
      </c>
      <c r="R83" s="37">
        <f>IF(OR(AP83="",R$5="-"),"",IFERROR(IF(INDEX(INDIRECT("'"&amp;$B83&amp;"'!$R$6:$R$205"),MATCH($AR83&amp;"|"&amp;R$5,INDIRECT("'"&amp;$B83&amp;"'!$AF$6:$AF$205"),0))="","",INDEX(INDIRECT("'"&amp;$B83&amp;"'!$R$6:$R$205"),MATCH($AR83&amp;"|"&amp;R$5,INDIRECT("'"&amp;$B83&amp;"'!$AF$6:$AF$205"),0))),"-"))</f>
        <v/>
      </c>
      <c r="S83" s="37">
        <f>IF(OR(AP83="",S$5="-"),"",IFERROR(IF(INDEX(INDIRECT("'"&amp;$B83&amp;"'!$R$6:$R$205"),MATCH($AR83&amp;"|"&amp;S$5,INDIRECT("'"&amp;$B83&amp;"'!$AF$6:$AF$205"),0))="","",INDEX(INDIRECT("'"&amp;$B83&amp;"'!$R$6:$R$205"),MATCH($AR83&amp;"|"&amp;S$5,INDIRECT("'"&amp;$B83&amp;"'!$AF$6:$AF$205"),0))),"-"))</f>
        <v/>
      </c>
      <c r="T83" s="37">
        <f>IF(OR(AP83="",T$5="-"),"",IFERROR(IF(INDEX(INDIRECT("'"&amp;$B83&amp;"'!$R$6:$R$205"),MATCH($AR83&amp;"|"&amp;T$5,INDIRECT("'"&amp;$B83&amp;"'!$AF$6:$AF$205"),0))="","",INDEX(INDIRECT("'"&amp;$B83&amp;"'!$R$6:$R$205"),MATCH($AR83&amp;"|"&amp;T$5,INDIRECT("'"&amp;$B83&amp;"'!$AF$6:$AF$205"),0))),"-"))</f>
        <v/>
      </c>
      <c r="U83" s="37">
        <f>IF(OR(AP83="",U$5="-"),"",IFERROR(IF(INDEX(INDIRECT("'"&amp;$B83&amp;"'!$R$6:$R$205"),MATCH($AR83&amp;"|"&amp;U$5,INDIRECT("'"&amp;$B83&amp;"'!$AF$6:$AF$205"),0))="","",INDEX(INDIRECT("'"&amp;$B83&amp;"'!$R$6:$R$205"),MATCH($AR83&amp;"|"&amp;U$5,INDIRECT("'"&amp;$B83&amp;"'!$AF$6:$AF$205"),0))),"-"))</f>
        <v/>
      </c>
      <c r="V83" s="37">
        <f>IF(OR(AP83="",V$5="-"),"",IFERROR(IF(INDEX(INDIRECT("'"&amp;$B83&amp;"'!$R$6:$R$205"),MATCH($AR83&amp;"|"&amp;V$5,INDIRECT("'"&amp;$B83&amp;"'!$AF$6:$AF$205"),0))="","",INDEX(INDIRECT("'"&amp;$B83&amp;"'!$R$6:$R$205"),MATCH($AR83&amp;"|"&amp;V$5,INDIRECT("'"&amp;$B83&amp;"'!$AF$6:$AF$205"),0))),"-"))</f>
        <v/>
      </c>
      <c r="W83" s="37">
        <f>IF(OR(AP83="",W$5="-"),"",IFERROR(IF(INDEX(INDIRECT("'"&amp;$B83&amp;"'!$R$6:$R$205"),MATCH($AR83&amp;"|"&amp;W$5,INDIRECT("'"&amp;$B83&amp;"'!$AF$6:$AF$205"),0))="","",INDEX(INDIRECT("'"&amp;$B83&amp;"'!$R$6:$R$205"),MATCH($AR83&amp;"|"&amp;W$5,INDIRECT("'"&amp;$B83&amp;"'!$AF$6:$AF$205"),0))),"-"))</f>
        <v/>
      </c>
      <c r="X83" s="38">
        <f>IF(OR(AP83="",X$5="-"),"",IFERROR(IF(INDEX(INDIRECT("'"&amp;$B83&amp;"'!$T$6:$T$205"),MATCH($AR83&amp;"|"&amp;X$5,INDIRECT("'"&amp;$B83&amp;"'!$AF$6:$AF$205"),0))="","",INDEX(INDIRECT("'"&amp;$B83&amp;"'!$T$6:$T$205"),MATCH($AR83&amp;"|"&amp;X$5,INDIRECT("'"&amp;$B83&amp;"'!$AF$6:$AF$205"),0))),"-"))</f>
        <v/>
      </c>
      <c r="Y83" s="38">
        <f>IF(OR(AP83="",Y$5="-"),"",IFERROR(IF(INDEX(INDIRECT("'"&amp;$B83&amp;"'!$T$6:$T$205"),MATCH($AR83&amp;"|"&amp;Y$5,INDIRECT("'"&amp;$B83&amp;"'!$AF$6:$AF$205"),0))="","",INDEX(INDIRECT("'"&amp;$B83&amp;"'!$T$6:$T$205"),MATCH($AR83&amp;"|"&amp;Y$5,INDIRECT("'"&amp;$B83&amp;"'!$AF$6:$AF$205"),0))),"-"))</f>
        <v/>
      </c>
      <c r="Z83" s="38">
        <f>IF(OR(AP83="",Z$5="-"),"",IFERROR(IF(INDEX(INDIRECT("'"&amp;$B83&amp;"'!$T$6:$T$205"),MATCH($AR83&amp;"|"&amp;Z$5,INDIRECT("'"&amp;$B83&amp;"'!$AF$6:$AF$205"),0))="","",INDEX(INDIRECT("'"&amp;$B83&amp;"'!$T$6:$T$205"),MATCH($AR83&amp;"|"&amp;Z$5,INDIRECT("'"&amp;$B83&amp;"'!$AF$6:$AF$205"),0))),"-"))</f>
        <v/>
      </c>
      <c r="AA83" s="38">
        <f>IF(OR(AP83="",AA$5="-"),"",IFERROR(IF(INDEX(INDIRECT("'"&amp;$B83&amp;"'!$T$6:$T$205"),MATCH($AR83&amp;"|"&amp;AA$5,INDIRECT("'"&amp;$B83&amp;"'!$AF$6:$AF$205"),0))="","",INDEX(INDIRECT("'"&amp;$B83&amp;"'!$T$6:$T$205"),MATCH($AR83&amp;"|"&amp;AA$5,INDIRECT("'"&amp;$B83&amp;"'!$AF$6:$AF$205"),0))),"-"))</f>
        <v/>
      </c>
      <c r="AB83" s="38">
        <f>IF(OR(AP83="",AB$5="-"),"",IFERROR(IF(INDEX(INDIRECT("'"&amp;$B83&amp;"'!$T$6:$T$205"),MATCH($AR83&amp;"|"&amp;AB$5,INDIRECT("'"&amp;$B83&amp;"'!$AF$6:$AF$205"),0))="","",INDEX(INDIRECT("'"&amp;$B83&amp;"'!$T$6:$T$205"),MATCH($AR83&amp;"|"&amp;AB$5,INDIRECT("'"&amp;$B83&amp;"'!$AF$6:$AF$205"),0))),"-"))</f>
        <v/>
      </c>
      <c r="AC83" s="38">
        <f>IF(OR(AP83="",AC$5="-"),"",IFERROR(IF(INDEX(INDIRECT("'"&amp;$B83&amp;"'!$T$6:$T$205"),MATCH($AR83&amp;"|"&amp;AC$5,INDIRECT("'"&amp;$B83&amp;"'!$AF$6:$AF$205"),0))="","",INDEX(INDIRECT("'"&amp;$B83&amp;"'!$T$6:$T$205"),MATCH($AR83&amp;"|"&amp;AC$5,INDIRECT("'"&amp;$B83&amp;"'!$AF$6:$AF$205"),0))),"-"))</f>
        <v/>
      </c>
      <c r="AD83" s="38">
        <f>IF(OR(AP83="",AD$5="-"),"",IFERROR(IF(INDEX(INDIRECT("'"&amp;$B83&amp;"'!$T$6:$T$205"),MATCH($AR83&amp;"|"&amp;AD$5,INDIRECT("'"&amp;$B83&amp;"'!$AF$6:$AF$205"),0))="","",INDEX(INDIRECT("'"&amp;$B83&amp;"'!$T$6:$T$205"),MATCH($AR83&amp;"|"&amp;AD$5,INDIRECT("'"&amp;$B83&amp;"'!$AF$6:$AF$205"),0))),"-"))</f>
        <v/>
      </c>
      <c r="AE83" s="38">
        <f>IF(OR(AP83="",AE$5="-"),"",IFERROR(IF(INDEX(INDIRECT("'"&amp;$B83&amp;"'!$T$6:$T$205"),MATCH($AR83&amp;"|"&amp;AE$5,INDIRECT("'"&amp;$B83&amp;"'!$AF$6:$AF$205"),0))="","",INDEX(INDIRECT("'"&amp;$B83&amp;"'!$T$6:$T$205"),MATCH($AR83&amp;"|"&amp;AE$5,INDIRECT("'"&amp;$B83&amp;"'!$AF$6:$AF$205"),0))),"-"))</f>
        <v/>
      </c>
      <c r="AF83" s="35">
        <f>IF(AG83="","",INDEX($P$5:$W$5,MATCH(AG83,P83:W83,0)))</f>
        <v/>
      </c>
      <c r="AG83" s="37">
        <f>IF(COUNT(P83:W83)=0,"",MIN(P83:W83))</f>
        <v/>
      </c>
      <c r="AH83" s="39">
        <f>IF(AG83="","",AG83*F83)</f>
        <v/>
      </c>
      <c r="AI83" s="39">
        <f>IF(COUNT(P83:W83)&lt;2,"",(MAX(P83:W83)-MIN(P83:W83))*F83)</f>
        <v/>
      </c>
      <c r="AJ83" s="20" t="n"/>
      <c r="AP83">
        <f>IF(78&gt;MAX($AN$6:$AN$9),"",COUNTIF($AN$6:$AN$9,"&lt;"&amp;78)+1)</f>
        <v/>
      </c>
      <c r="AQ83">
        <f>IF(AP83="","",78-INDEX($AO$6:$AO$9,AP83))</f>
        <v/>
      </c>
      <c r="AR83">
        <f>IF(AP83="","",INDEX(INDIRECT("'"&amp;$B83&amp;"'!$AE$6:$AE$205"),MATCH(AQ83,INDIRECT("'"&amp;$B83&amp;"'!$AI$6:$AI$205"),0)))</f>
        <v/>
      </c>
    </row>
    <row r="84">
      <c r="A84" s="34">
        <f>IF(AP84="","",79)</f>
        <v/>
      </c>
      <c r="B84" s="35">
        <f>IF(AP84="","",INDEX($AL$6:$AL$9,AP84))</f>
        <v/>
      </c>
      <c r="C84" s="34">
        <f>IF(AP84="","",INDEX(INDIRECT("'"&amp;$B84&amp;"'!$B$6:$B$205"),MATCH($AR84,INDIRECT("'"&amp;$B84&amp;"'!$AE$6:$AE$205"),0)))</f>
        <v/>
      </c>
      <c r="D84" s="34">
        <f>IF(AP84="","",INDEX(INDIRECT("'"&amp;$B84&amp;"'!$D$6:$D$205"),MATCH($AR84,INDIRECT("'"&amp;$B84&amp;"'!$AE$6:$AE$205"),0)))</f>
        <v/>
      </c>
      <c r="E84" s="36">
        <f>IF(AP84="","",INDEX(INDIRECT("'"&amp;$B84&amp;"'!$F$6:$F$205"),MATCH($AR84,INDIRECT("'"&amp;$B84&amp;"'!$AE$6:$AE$205"),0)))</f>
        <v/>
      </c>
      <c r="F84" s="34">
        <f>IF(AP84="","",INDEX(INDIRECT("'"&amp;$B84&amp;"'!$K$6:$K$205"),MATCH($AR84,INDIRECT("'"&amp;$B84&amp;"'!$AE$6:$AE$205"),0)))</f>
        <v/>
      </c>
      <c r="G84" s="34">
        <f>IF(AP84="","",INDEX(INDIRECT("'"&amp;$B84&amp;"'!$L$6:$L$205"),MATCH($AR84,INDIRECT("'"&amp;$B84&amp;"'!$AE$6:$AE$205"),0)))</f>
        <v/>
      </c>
      <c r="H84" s="34">
        <f>IF(OR(AP84="",H$5="-"),"",IFERROR(IF(INDEX(INDIRECT("'"&amp;$B84&amp;"'!$N$6:$N$205"),MATCH($AR84&amp;"|"&amp;H$5,INDIRECT("'"&amp;$B84&amp;"'!$AF$6:$AF$205"),0))="","",INDEX(INDIRECT("'"&amp;$B84&amp;"'!$N$6:$N$205"),MATCH($AR84&amp;"|"&amp;H$5,INDIRECT("'"&amp;$B84&amp;"'!$AF$6:$AF$205"),0))),"-"))</f>
        <v/>
      </c>
      <c r="I84" s="34">
        <f>IF(OR(AP84="",I$5="-"),"",IFERROR(IF(INDEX(INDIRECT("'"&amp;$B84&amp;"'!$N$6:$N$205"),MATCH($AR84&amp;"|"&amp;I$5,INDIRECT("'"&amp;$B84&amp;"'!$AF$6:$AF$205"),0))="","",INDEX(INDIRECT("'"&amp;$B84&amp;"'!$N$6:$N$205"),MATCH($AR84&amp;"|"&amp;I$5,INDIRECT("'"&amp;$B84&amp;"'!$AF$6:$AF$205"),0))),"-"))</f>
        <v/>
      </c>
      <c r="J84" s="34">
        <f>IF(OR(AP84="",J$5="-"),"",IFERROR(IF(INDEX(INDIRECT("'"&amp;$B84&amp;"'!$N$6:$N$205"),MATCH($AR84&amp;"|"&amp;J$5,INDIRECT("'"&amp;$B84&amp;"'!$AF$6:$AF$205"),0))="","",INDEX(INDIRECT("'"&amp;$B84&amp;"'!$N$6:$N$205"),MATCH($AR84&amp;"|"&amp;J$5,INDIRECT("'"&amp;$B84&amp;"'!$AF$6:$AF$205"),0))),"-"))</f>
        <v/>
      </c>
      <c r="K84" s="34">
        <f>IF(OR(AP84="",K$5="-"),"",IFERROR(IF(INDEX(INDIRECT("'"&amp;$B84&amp;"'!$N$6:$N$205"),MATCH($AR84&amp;"|"&amp;K$5,INDIRECT("'"&amp;$B84&amp;"'!$AF$6:$AF$205"),0))="","",INDEX(INDIRECT("'"&amp;$B84&amp;"'!$N$6:$N$205"),MATCH($AR84&amp;"|"&amp;K$5,INDIRECT("'"&amp;$B84&amp;"'!$AF$6:$AF$205"),0))),"-"))</f>
        <v/>
      </c>
      <c r="L84" s="34">
        <f>IF(OR(AP84="",L$5="-"),"",IFERROR(IF(INDEX(INDIRECT("'"&amp;$B84&amp;"'!$N$6:$N$205"),MATCH($AR84&amp;"|"&amp;L$5,INDIRECT("'"&amp;$B84&amp;"'!$AF$6:$AF$205"),0))="","",INDEX(INDIRECT("'"&amp;$B84&amp;"'!$N$6:$N$205"),MATCH($AR84&amp;"|"&amp;L$5,INDIRECT("'"&amp;$B84&amp;"'!$AF$6:$AF$205"),0))),"-"))</f>
        <v/>
      </c>
      <c r="M84" s="34">
        <f>IF(OR(AP84="",M$5="-"),"",IFERROR(IF(INDEX(INDIRECT("'"&amp;$B84&amp;"'!$N$6:$N$205"),MATCH($AR84&amp;"|"&amp;M$5,INDIRECT("'"&amp;$B84&amp;"'!$AF$6:$AF$205"),0))="","",INDEX(INDIRECT("'"&amp;$B84&amp;"'!$N$6:$N$205"),MATCH($AR84&amp;"|"&amp;M$5,INDIRECT("'"&amp;$B84&amp;"'!$AF$6:$AF$205"),0))),"-"))</f>
        <v/>
      </c>
      <c r="N84" s="34">
        <f>IF(OR(AP84="",N$5="-"),"",IFERROR(IF(INDEX(INDIRECT("'"&amp;$B84&amp;"'!$N$6:$N$205"),MATCH($AR84&amp;"|"&amp;N$5,INDIRECT("'"&amp;$B84&amp;"'!$AF$6:$AF$205"),0))="","",INDEX(INDIRECT("'"&amp;$B84&amp;"'!$N$6:$N$205"),MATCH($AR84&amp;"|"&amp;N$5,INDIRECT("'"&amp;$B84&amp;"'!$AF$6:$AF$205"),0))),"-"))</f>
        <v/>
      </c>
      <c r="O84" s="34">
        <f>IF(OR(AP84="",O$5="-"),"",IFERROR(IF(INDEX(INDIRECT("'"&amp;$B84&amp;"'!$N$6:$N$205"),MATCH($AR84&amp;"|"&amp;O$5,INDIRECT("'"&amp;$B84&amp;"'!$AF$6:$AF$205"),0))="","",INDEX(INDIRECT("'"&amp;$B84&amp;"'!$N$6:$N$205"),MATCH($AR84&amp;"|"&amp;O$5,INDIRECT("'"&amp;$B84&amp;"'!$AF$6:$AF$205"),0))),"-"))</f>
        <v/>
      </c>
      <c r="P84" s="37">
        <f>IF(OR(AP84="",P$5="-"),"",IFERROR(IF(INDEX(INDIRECT("'"&amp;$B84&amp;"'!$R$6:$R$205"),MATCH($AR84&amp;"|"&amp;P$5,INDIRECT("'"&amp;$B84&amp;"'!$AF$6:$AF$205"),0))="","",INDEX(INDIRECT("'"&amp;$B84&amp;"'!$R$6:$R$205"),MATCH($AR84&amp;"|"&amp;P$5,INDIRECT("'"&amp;$B84&amp;"'!$AF$6:$AF$205"),0))),"-"))</f>
        <v/>
      </c>
      <c r="Q84" s="37">
        <f>IF(OR(AP84="",Q$5="-"),"",IFERROR(IF(INDEX(INDIRECT("'"&amp;$B84&amp;"'!$R$6:$R$205"),MATCH($AR84&amp;"|"&amp;Q$5,INDIRECT("'"&amp;$B84&amp;"'!$AF$6:$AF$205"),0))="","",INDEX(INDIRECT("'"&amp;$B84&amp;"'!$R$6:$R$205"),MATCH($AR84&amp;"|"&amp;Q$5,INDIRECT("'"&amp;$B84&amp;"'!$AF$6:$AF$205"),0))),"-"))</f>
        <v/>
      </c>
      <c r="R84" s="37">
        <f>IF(OR(AP84="",R$5="-"),"",IFERROR(IF(INDEX(INDIRECT("'"&amp;$B84&amp;"'!$R$6:$R$205"),MATCH($AR84&amp;"|"&amp;R$5,INDIRECT("'"&amp;$B84&amp;"'!$AF$6:$AF$205"),0))="","",INDEX(INDIRECT("'"&amp;$B84&amp;"'!$R$6:$R$205"),MATCH($AR84&amp;"|"&amp;R$5,INDIRECT("'"&amp;$B84&amp;"'!$AF$6:$AF$205"),0))),"-"))</f>
        <v/>
      </c>
      <c r="S84" s="37">
        <f>IF(OR(AP84="",S$5="-"),"",IFERROR(IF(INDEX(INDIRECT("'"&amp;$B84&amp;"'!$R$6:$R$205"),MATCH($AR84&amp;"|"&amp;S$5,INDIRECT("'"&amp;$B84&amp;"'!$AF$6:$AF$205"),0))="","",INDEX(INDIRECT("'"&amp;$B84&amp;"'!$R$6:$R$205"),MATCH($AR84&amp;"|"&amp;S$5,INDIRECT("'"&amp;$B84&amp;"'!$AF$6:$AF$205"),0))),"-"))</f>
        <v/>
      </c>
      <c r="T84" s="37">
        <f>IF(OR(AP84="",T$5="-"),"",IFERROR(IF(INDEX(INDIRECT("'"&amp;$B84&amp;"'!$R$6:$R$205"),MATCH($AR84&amp;"|"&amp;T$5,INDIRECT("'"&amp;$B84&amp;"'!$AF$6:$AF$205"),0))="","",INDEX(INDIRECT("'"&amp;$B84&amp;"'!$R$6:$R$205"),MATCH($AR84&amp;"|"&amp;T$5,INDIRECT("'"&amp;$B84&amp;"'!$AF$6:$AF$205"),0))),"-"))</f>
        <v/>
      </c>
      <c r="U84" s="37">
        <f>IF(OR(AP84="",U$5="-"),"",IFERROR(IF(INDEX(INDIRECT("'"&amp;$B84&amp;"'!$R$6:$R$205"),MATCH($AR84&amp;"|"&amp;U$5,INDIRECT("'"&amp;$B84&amp;"'!$AF$6:$AF$205"),0))="","",INDEX(INDIRECT("'"&amp;$B84&amp;"'!$R$6:$R$205"),MATCH($AR84&amp;"|"&amp;U$5,INDIRECT("'"&amp;$B84&amp;"'!$AF$6:$AF$205"),0))),"-"))</f>
        <v/>
      </c>
      <c r="V84" s="37">
        <f>IF(OR(AP84="",V$5="-"),"",IFERROR(IF(INDEX(INDIRECT("'"&amp;$B84&amp;"'!$R$6:$R$205"),MATCH($AR84&amp;"|"&amp;V$5,INDIRECT("'"&amp;$B84&amp;"'!$AF$6:$AF$205"),0))="","",INDEX(INDIRECT("'"&amp;$B84&amp;"'!$R$6:$R$205"),MATCH($AR84&amp;"|"&amp;V$5,INDIRECT("'"&amp;$B84&amp;"'!$AF$6:$AF$205"),0))),"-"))</f>
        <v/>
      </c>
      <c r="W84" s="37">
        <f>IF(OR(AP84="",W$5="-"),"",IFERROR(IF(INDEX(INDIRECT("'"&amp;$B84&amp;"'!$R$6:$R$205"),MATCH($AR84&amp;"|"&amp;W$5,INDIRECT("'"&amp;$B84&amp;"'!$AF$6:$AF$205"),0))="","",INDEX(INDIRECT("'"&amp;$B84&amp;"'!$R$6:$R$205"),MATCH($AR84&amp;"|"&amp;W$5,INDIRECT("'"&amp;$B84&amp;"'!$AF$6:$AF$205"),0))),"-"))</f>
        <v/>
      </c>
      <c r="X84" s="38">
        <f>IF(OR(AP84="",X$5="-"),"",IFERROR(IF(INDEX(INDIRECT("'"&amp;$B84&amp;"'!$T$6:$T$205"),MATCH($AR84&amp;"|"&amp;X$5,INDIRECT("'"&amp;$B84&amp;"'!$AF$6:$AF$205"),0))="","",INDEX(INDIRECT("'"&amp;$B84&amp;"'!$T$6:$T$205"),MATCH($AR84&amp;"|"&amp;X$5,INDIRECT("'"&amp;$B84&amp;"'!$AF$6:$AF$205"),0))),"-"))</f>
        <v/>
      </c>
      <c r="Y84" s="38">
        <f>IF(OR(AP84="",Y$5="-"),"",IFERROR(IF(INDEX(INDIRECT("'"&amp;$B84&amp;"'!$T$6:$T$205"),MATCH($AR84&amp;"|"&amp;Y$5,INDIRECT("'"&amp;$B84&amp;"'!$AF$6:$AF$205"),0))="","",INDEX(INDIRECT("'"&amp;$B84&amp;"'!$T$6:$T$205"),MATCH($AR84&amp;"|"&amp;Y$5,INDIRECT("'"&amp;$B84&amp;"'!$AF$6:$AF$205"),0))),"-"))</f>
        <v/>
      </c>
      <c r="Z84" s="38">
        <f>IF(OR(AP84="",Z$5="-"),"",IFERROR(IF(INDEX(INDIRECT("'"&amp;$B84&amp;"'!$T$6:$T$205"),MATCH($AR84&amp;"|"&amp;Z$5,INDIRECT("'"&amp;$B84&amp;"'!$AF$6:$AF$205"),0))="","",INDEX(INDIRECT("'"&amp;$B84&amp;"'!$T$6:$T$205"),MATCH($AR84&amp;"|"&amp;Z$5,INDIRECT("'"&amp;$B84&amp;"'!$AF$6:$AF$205"),0))),"-"))</f>
        <v/>
      </c>
      <c r="AA84" s="38">
        <f>IF(OR(AP84="",AA$5="-"),"",IFERROR(IF(INDEX(INDIRECT("'"&amp;$B84&amp;"'!$T$6:$T$205"),MATCH($AR84&amp;"|"&amp;AA$5,INDIRECT("'"&amp;$B84&amp;"'!$AF$6:$AF$205"),0))="","",INDEX(INDIRECT("'"&amp;$B84&amp;"'!$T$6:$T$205"),MATCH($AR84&amp;"|"&amp;AA$5,INDIRECT("'"&amp;$B84&amp;"'!$AF$6:$AF$205"),0))),"-"))</f>
        <v/>
      </c>
      <c r="AB84" s="38">
        <f>IF(OR(AP84="",AB$5="-"),"",IFERROR(IF(INDEX(INDIRECT("'"&amp;$B84&amp;"'!$T$6:$T$205"),MATCH($AR84&amp;"|"&amp;AB$5,INDIRECT("'"&amp;$B84&amp;"'!$AF$6:$AF$205"),0))="","",INDEX(INDIRECT("'"&amp;$B84&amp;"'!$T$6:$T$205"),MATCH($AR84&amp;"|"&amp;AB$5,INDIRECT("'"&amp;$B84&amp;"'!$AF$6:$AF$205"),0))),"-"))</f>
        <v/>
      </c>
      <c r="AC84" s="38">
        <f>IF(OR(AP84="",AC$5="-"),"",IFERROR(IF(INDEX(INDIRECT("'"&amp;$B84&amp;"'!$T$6:$T$205"),MATCH($AR84&amp;"|"&amp;AC$5,INDIRECT("'"&amp;$B84&amp;"'!$AF$6:$AF$205"),0))="","",INDEX(INDIRECT("'"&amp;$B84&amp;"'!$T$6:$T$205"),MATCH($AR84&amp;"|"&amp;AC$5,INDIRECT("'"&amp;$B84&amp;"'!$AF$6:$AF$205"),0))),"-"))</f>
        <v/>
      </c>
      <c r="AD84" s="38">
        <f>IF(OR(AP84="",AD$5="-"),"",IFERROR(IF(INDEX(INDIRECT("'"&amp;$B84&amp;"'!$T$6:$T$205"),MATCH($AR84&amp;"|"&amp;AD$5,INDIRECT("'"&amp;$B84&amp;"'!$AF$6:$AF$205"),0))="","",INDEX(INDIRECT("'"&amp;$B84&amp;"'!$T$6:$T$205"),MATCH($AR84&amp;"|"&amp;AD$5,INDIRECT("'"&amp;$B84&amp;"'!$AF$6:$AF$205"),0))),"-"))</f>
        <v/>
      </c>
      <c r="AE84" s="38">
        <f>IF(OR(AP84="",AE$5="-"),"",IFERROR(IF(INDEX(INDIRECT("'"&amp;$B84&amp;"'!$T$6:$T$205"),MATCH($AR84&amp;"|"&amp;AE$5,INDIRECT("'"&amp;$B84&amp;"'!$AF$6:$AF$205"),0))="","",INDEX(INDIRECT("'"&amp;$B84&amp;"'!$T$6:$T$205"),MATCH($AR84&amp;"|"&amp;AE$5,INDIRECT("'"&amp;$B84&amp;"'!$AF$6:$AF$205"),0))),"-"))</f>
        <v/>
      </c>
      <c r="AF84" s="35">
        <f>IF(AG84="","",INDEX($P$5:$W$5,MATCH(AG84,P84:W84,0)))</f>
        <v/>
      </c>
      <c r="AG84" s="37">
        <f>IF(COUNT(P84:W84)=0,"",MIN(P84:W84))</f>
        <v/>
      </c>
      <c r="AH84" s="39">
        <f>IF(AG84="","",AG84*F84)</f>
        <v/>
      </c>
      <c r="AI84" s="39">
        <f>IF(COUNT(P84:W84)&lt;2,"",(MAX(P84:W84)-MIN(P84:W84))*F84)</f>
        <v/>
      </c>
      <c r="AJ84" s="20" t="n"/>
      <c r="AP84">
        <f>IF(79&gt;MAX($AN$6:$AN$9),"",COUNTIF($AN$6:$AN$9,"&lt;"&amp;79)+1)</f>
        <v/>
      </c>
      <c r="AQ84">
        <f>IF(AP84="","",79-INDEX($AO$6:$AO$9,AP84))</f>
        <v/>
      </c>
      <c r="AR84">
        <f>IF(AP84="","",INDEX(INDIRECT("'"&amp;$B84&amp;"'!$AE$6:$AE$205"),MATCH(AQ84,INDIRECT("'"&amp;$B84&amp;"'!$AI$6:$AI$205"),0)))</f>
        <v/>
      </c>
    </row>
    <row r="85">
      <c r="A85" s="34">
        <f>IF(AP85="","",80)</f>
        <v/>
      </c>
      <c r="B85" s="35">
        <f>IF(AP85="","",INDEX($AL$6:$AL$9,AP85))</f>
        <v/>
      </c>
      <c r="C85" s="34">
        <f>IF(AP85="","",INDEX(INDIRECT("'"&amp;$B85&amp;"'!$B$6:$B$205"),MATCH($AR85,INDIRECT("'"&amp;$B85&amp;"'!$AE$6:$AE$205"),0)))</f>
        <v/>
      </c>
      <c r="D85" s="34">
        <f>IF(AP85="","",INDEX(INDIRECT("'"&amp;$B85&amp;"'!$D$6:$D$205"),MATCH($AR85,INDIRECT("'"&amp;$B85&amp;"'!$AE$6:$AE$205"),0)))</f>
        <v/>
      </c>
      <c r="E85" s="36">
        <f>IF(AP85="","",INDEX(INDIRECT("'"&amp;$B85&amp;"'!$F$6:$F$205"),MATCH($AR85,INDIRECT("'"&amp;$B85&amp;"'!$AE$6:$AE$205"),0)))</f>
        <v/>
      </c>
      <c r="F85" s="34">
        <f>IF(AP85="","",INDEX(INDIRECT("'"&amp;$B85&amp;"'!$K$6:$K$205"),MATCH($AR85,INDIRECT("'"&amp;$B85&amp;"'!$AE$6:$AE$205"),0)))</f>
        <v/>
      </c>
      <c r="G85" s="34">
        <f>IF(AP85="","",INDEX(INDIRECT("'"&amp;$B85&amp;"'!$L$6:$L$205"),MATCH($AR85,INDIRECT("'"&amp;$B85&amp;"'!$AE$6:$AE$205"),0)))</f>
        <v/>
      </c>
      <c r="H85" s="34">
        <f>IF(OR(AP85="",H$5="-"),"",IFERROR(IF(INDEX(INDIRECT("'"&amp;$B85&amp;"'!$N$6:$N$205"),MATCH($AR85&amp;"|"&amp;H$5,INDIRECT("'"&amp;$B85&amp;"'!$AF$6:$AF$205"),0))="","",INDEX(INDIRECT("'"&amp;$B85&amp;"'!$N$6:$N$205"),MATCH($AR85&amp;"|"&amp;H$5,INDIRECT("'"&amp;$B85&amp;"'!$AF$6:$AF$205"),0))),"-"))</f>
        <v/>
      </c>
      <c r="I85" s="34">
        <f>IF(OR(AP85="",I$5="-"),"",IFERROR(IF(INDEX(INDIRECT("'"&amp;$B85&amp;"'!$N$6:$N$205"),MATCH($AR85&amp;"|"&amp;I$5,INDIRECT("'"&amp;$B85&amp;"'!$AF$6:$AF$205"),0))="","",INDEX(INDIRECT("'"&amp;$B85&amp;"'!$N$6:$N$205"),MATCH($AR85&amp;"|"&amp;I$5,INDIRECT("'"&amp;$B85&amp;"'!$AF$6:$AF$205"),0))),"-"))</f>
        <v/>
      </c>
      <c r="J85" s="34">
        <f>IF(OR(AP85="",J$5="-"),"",IFERROR(IF(INDEX(INDIRECT("'"&amp;$B85&amp;"'!$N$6:$N$205"),MATCH($AR85&amp;"|"&amp;J$5,INDIRECT("'"&amp;$B85&amp;"'!$AF$6:$AF$205"),0))="","",INDEX(INDIRECT("'"&amp;$B85&amp;"'!$N$6:$N$205"),MATCH($AR85&amp;"|"&amp;J$5,INDIRECT("'"&amp;$B85&amp;"'!$AF$6:$AF$205"),0))),"-"))</f>
        <v/>
      </c>
      <c r="K85" s="34">
        <f>IF(OR(AP85="",K$5="-"),"",IFERROR(IF(INDEX(INDIRECT("'"&amp;$B85&amp;"'!$N$6:$N$205"),MATCH($AR85&amp;"|"&amp;K$5,INDIRECT("'"&amp;$B85&amp;"'!$AF$6:$AF$205"),0))="","",INDEX(INDIRECT("'"&amp;$B85&amp;"'!$N$6:$N$205"),MATCH($AR85&amp;"|"&amp;K$5,INDIRECT("'"&amp;$B85&amp;"'!$AF$6:$AF$205"),0))),"-"))</f>
        <v/>
      </c>
      <c r="L85" s="34">
        <f>IF(OR(AP85="",L$5="-"),"",IFERROR(IF(INDEX(INDIRECT("'"&amp;$B85&amp;"'!$N$6:$N$205"),MATCH($AR85&amp;"|"&amp;L$5,INDIRECT("'"&amp;$B85&amp;"'!$AF$6:$AF$205"),0))="","",INDEX(INDIRECT("'"&amp;$B85&amp;"'!$N$6:$N$205"),MATCH($AR85&amp;"|"&amp;L$5,INDIRECT("'"&amp;$B85&amp;"'!$AF$6:$AF$205"),0))),"-"))</f>
        <v/>
      </c>
      <c r="M85" s="34">
        <f>IF(OR(AP85="",M$5="-"),"",IFERROR(IF(INDEX(INDIRECT("'"&amp;$B85&amp;"'!$N$6:$N$205"),MATCH($AR85&amp;"|"&amp;M$5,INDIRECT("'"&amp;$B85&amp;"'!$AF$6:$AF$205"),0))="","",INDEX(INDIRECT("'"&amp;$B85&amp;"'!$N$6:$N$205"),MATCH($AR85&amp;"|"&amp;M$5,INDIRECT("'"&amp;$B85&amp;"'!$AF$6:$AF$205"),0))),"-"))</f>
        <v/>
      </c>
      <c r="N85" s="34">
        <f>IF(OR(AP85="",N$5="-"),"",IFERROR(IF(INDEX(INDIRECT("'"&amp;$B85&amp;"'!$N$6:$N$205"),MATCH($AR85&amp;"|"&amp;N$5,INDIRECT("'"&amp;$B85&amp;"'!$AF$6:$AF$205"),0))="","",INDEX(INDIRECT("'"&amp;$B85&amp;"'!$N$6:$N$205"),MATCH($AR85&amp;"|"&amp;N$5,INDIRECT("'"&amp;$B85&amp;"'!$AF$6:$AF$205"),0))),"-"))</f>
        <v/>
      </c>
      <c r="O85" s="34">
        <f>IF(OR(AP85="",O$5="-"),"",IFERROR(IF(INDEX(INDIRECT("'"&amp;$B85&amp;"'!$N$6:$N$205"),MATCH($AR85&amp;"|"&amp;O$5,INDIRECT("'"&amp;$B85&amp;"'!$AF$6:$AF$205"),0))="","",INDEX(INDIRECT("'"&amp;$B85&amp;"'!$N$6:$N$205"),MATCH($AR85&amp;"|"&amp;O$5,INDIRECT("'"&amp;$B85&amp;"'!$AF$6:$AF$205"),0))),"-"))</f>
        <v/>
      </c>
      <c r="P85" s="37">
        <f>IF(OR(AP85="",P$5="-"),"",IFERROR(IF(INDEX(INDIRECT("'"&amp;$B85&amp;"'!$R$6:$R$205"),MATCH($AR85&amp;"|"&amp;P$5,INDIRECT("'"&amp;$B85&amp;"'!$AF$6:$AF$205"),0))="","",INDEX(INDIRECT("'"&amp;$B85&amp;"'!$R$6:$R$205"),MATCH($AR85&amp;"|"&amp;P$5,INDIRECT("'"&amp;$B85&amp;"'!$AF$6:$AF$205"),0))),"-"))</f>
        <v/>
      </c>
      <c r="Q85" s="37">
        <f>IF(OR(AP85="",Q$5="-"),"",IFERROR(IF(INDEX(INDIRECT("'"&amp;$B85&amp;"'!$R$6:$R$205"),MATCH($AR85&amp;"|"&amp;Q$5,INDIRECT("'"&amp;$B85&amp;"'!$AF$6:$AF$205"),0))="","",INDEX(INDIRECT("'"&amp;$B85&amp;"'!$R$6:$R$205"),MATCH($AR85&amp;"|"&amp;Q$5,INDIRECT("'"&amp;$B85&amp;"'!$AF$6:$AF$205"),0))),"-"))</f>
        <v/>
      </c>
      <c r="R85" s="37">
        <f>IF(OR(AP85="",R$5="-"),"",IFERROR(IF(INDEX(INDIRECT("'"&amp;$B85&amp;"'!$R$6:$R$205"),MATCH($AR85&amp;"|"&amp;R$5,INDIRECT("'"&amp;$B85&amp;"'!$AF$6:$AF$205"),0))="","",INDEX(INDIRECT("'"&amp;$B85&amp;"'!$R$6:$R$205"),MATCH($AR85&amp;"|"&amp;R$5,INDIRECT("'"&amp;$B85&amp;"'!$AF$6:$AF$205"),0))),"-"))</f>
        <v/>
      </c>
      <c r="S85" s="37">
        <f>IF(OR(AP85="",S$5="-"),"",IFERROR(IF(INDEX(INDIRECT("'"&amp;$B85&amp;"'!$R$6:$R$205"),MATCH($AR85&amp;"|"&amp;S$5,INDIRECT("'"&amp;$B85&amp;"'!$AF$6:$AF$205"),0))="","",INDEX(INDIRECT("'"&amp;$B85&amp;"'!$R$6:$R$205"),MATCH($AR85&amp;"|"&amp;S$5,INDIRECT("'"&amp;$B85&amp;"'!$AF$6:$AF$205"),0))),"-"))</f>
        <v/>
      </c>
      <c r="T85" s="37">
        <f>IF(OR(AP85="",T$5="-"),"",IFERROR(IF(INDEX(INDIRECT("'"&amp;$B85&amp;"'!$R$6:$R$205"),MATCH($AR85&amp;"|"&amp;T$5,INDIRECT("'"&amp;$B85&amp;"'!$AF$6:$AF$205"),0))="","",INDEX(INDIRECT("'"&amp;$B85&amp;"'!$R$6:$R$205"),MATCH($AR85&amp;"|"&amp;T$5,INDIRECT("'"&amp;$B85&amp;"'!$AF$6:$AF$205"),0))),"-"))</f>
        <v/>
      </c>
      <c r="U85" s="37">
        <f>IF(OR(AP85="",U$5="-"),"",IFERROR(IF(INDEX(INDIRECT("'"&amp;$B85&amp;"'!$R$6:$R$205"),MATCH($AR85&amp;"|"&amp;U$5,INDIRECT("'"&amp;$B85&amp;"'!$AF$6:$AF$205"),0))="","",INDEX(INDIRECT("'"&amp;$B85&amp;"'!$R$6:$R$205"),MATCH($AR85&amp;"|"&amp;U$5,INDIRECT("'"&amp;$B85&amp;"'!$AF$6:$AF$205"),0))),"-"))</f>
        <v/>
      </c>
      <c r="V85" s="37">
        <f>IF(OR(AP85="",V$5="-"),"",IFERROR(IF(INDEX(INDIRECT("'"&amp;$B85&amp;"'!$R$6:$R$205"),MATCH($AR85&amp;"|"&amp;V$5,INDIRECT("'"&amp;$B85&amp;"'!$AF$6:$AF$205"),0))="","",INDEX(INDIRECT("'"&amp;$B85&amp;"'!$R$6:$R$205"),MATCH($AR85&amp;"|"&amp;V$5,INDIRECT("'"&amp;$B85&amp;"'!$AF$6:$AF$205"),0))),"-"))</f>
        <v/>
      </c>
      <c r="W85" s="37">
        <f>IF(OR(AP85="",W$5="-"),"",IFERROR(IF(INDEX(INDIRECT("'"&amp;$B85&amp;"'!$R$6:$R$205"),MATCH($AR85&amp;"|"&amp;W$5,INDIRECT("'"&amp;$B85&amp;"'!$AF$6:$AF$205"),0))="","",INDEX(INDIRECT("'"&amp;$B85&amp;"'!$R$6:$R$205"),MATCH($AR85&amp;"|"&amp;W$5,INDIRECT("'"&amp;$B85&amp;"'!$AF$6:$AF$205"),0))),"-"))</f>
        <v/>
      </c>
      <c r="X85" s="38">
        <f>IF(OR(AP85="",X$5="-"),"",IFERROR(IF(INDEX(INDIRECT("'"&amp;$B85&amp;"'!$T$6:$T$205"),MATCH($AR85&amp;"|"&amp;X$5,INDIRECT("'"&amp;$B85&amp;"'!$AF$6:$AF$205"),0))="","",INDEX(INDIRECT("'"&amp;$B85&amp;"'!$T$6:$T$205"),MATCH($AR85&amp;"|"&amp;X$5,INDIRECT("'"&amp;$B85&amp;"'!$AF$6:$AF$205"),0))),"-"))</f>
        <v/>
      </c>
      <c r="Y85" s="38">
        <f>IF(OR(AP85="",Y$5="-"),"",IFERROR(IF(INDEX(INDIRECT("'"&amp;$B85&amp;"'!$T$6:$T$205"),MATCH($AR85&amp;"|"&amp;Y$5,INDIRECT("'"&amp;$B85&amp;"'!$AF$6:$AF$205"),0))="","",INDEX(INDIRECT("'"&amp;$B85&amp;"'!$T$6:$T$205"),MATCH($AR85&amp;"|"&amp;Y$5,INDIRECT("'"&amp;$B85&amp;"'!$AF$6:$AF$205"),0))),"-"))</f>
        <v/>
      </c>
      <c r="Z85" s="38">
        <f>IF(OR(AP85="",Z$5="-"),"",IFERROR(IF(INDEX(INDIRECT("'"&amp;$B85&amp;"'!$T$6:$T$205"),MATCH($AR85&amp;"|"&amp;Z$5,INDIRECT("'"&amp;$B85&amp;"'!$AF$6:$AF$205"),0))="","",INDEX(INDIRECT("'"&amp;$B85&amp;"'!$T$6:$T$205"),MATCH($AR85&amp;"|"&amp;Z$5,INDIRECT("'"&amp;$B85&amp;"'!$AF$6:$AF$205"),0))),"-"))</f>
        <v/>
      </c>
      <c r="AA85" s="38">
        <f>IF(OR(AP85="",AA$5="-"),"",IFERROR(IF(INDEX(INDIRECT("'"&amp;$B85&amp;"'!$T$6:$T$205"),MATCH($AR85&amp;"|"&amp;AA$5,INDIRECT("'"&amp;$B85&amp;"'!$AF$6:$AF$205"),0))="","",INDEX(INDIRECT("'"&amp;$B85&amp;"'!$T$6:$T$205"),MATCH($AR85&amp;"|"&amp;AA$5,INDIRECT("'"&amp;$B85&amp;"'!$AF$6:$AF$205"),0))),"-"))</f>
        <v/>
      </c>
      <c r="AB85" s="38">
        <f>IF(OR(AP85="",AB$5="-"),"",IFERROR(IF(INDEX(INDIRECT("'"&amp;$B85&amp;"'!$T$6:$T$205"),MATCH($AR85&amp;"|"&amp;AB$5,INDIRECT("'"&amp;$B85&amp;"'!$AF$6:$AF$205"),0))="","",INDEX(INDIRECT("'"&amp;$B85&amp;"'!$T$6:$T$205"),MATCH($AR85&amp;"|"&amp;AB$5,INDIRECT("'"&amp;$B85&amp;"'!$AF$6:$AF$205"),0))),"-"))</f>
        <v/>
      </c>
      <c r="AC85" s="38">
        <f>IF(OR(AP85="",AC$5="-"),"",IFERROR(IF(INDEX(INDIRECT("'"&amp;$B85&amp;"'!$T$6:$T$205"),MATCH($AR85&amp;"|"&amp;AC$5,INDIRECT("'"&amp;$B85&amp;"'!$AF$6:$AF$205"),0))="","",INDEX(INDIRECT("'"&amp;$B85&amp;"'!$T$6:$T$205"),MATCH($AR85&amp;"|"&amp;AC$5,INDIRECT("'"&amp;$B85&amp;"'!$AF$6:$AF$205"),0))),"-"))</f>
        <v/>
      </c>
      <c r="AD85" s="38">
        <f>IF(OR(AP85="",AD$5="-"),"",IFERROR(IF(INDEX(INDIRECT("'"&amp;$B85&amp;"'!$T$6:$T$205"),MATCH($AR85&amp;"|"&amp;AD$5,INDIRECT("'"&amp;$B85&amp;"'!$AF$6:$AF$205"),0))="","",INDEX(INDIRECT("'"&amp;$B85&amp;"'!$T$6:$T$205"),MATCH($AR85&amp;"|"&amp;AD$5,INDIRECT("'"&amp;$B85&amp;"'!$AF$6:$AF$205"),0))),"-"))</f>
        <v/>
      </c>
      <c r="AE85" s="38">
        <f>IF(OR(AP85="",AE$5="-"),"",IFERROR(IF(INDEX(INDIRECT("'"&amp;$B85&amp;"'!$T$6:$T$205"),MATCH($AR85&amp;"|"&amp;AE$5,INDIRECT("'"&amp;$B85&amp;"'!$AF$6:$AF$205"),0))="","",INDEX(INDIRECT("'"&amp;$B85&amp;"'!$T$6:$T$205"),MATCH($AR85&amp;"|"&amp;AE$5,INDIRECT("'"&amp;$B85&amp;"'!$AF$6:$AF$205"),0))),"-"))</f>
        <v/>
      </c>
      <c r="AF85" s="35">
        <f>IF(AG85="","",INDEX($P$5:$W$5,MATCH(AG85,P85:W85,0)))</f>
        <v/>
      </c>
      <c r="AG85" s="37">
        <f>IF(COUNT(P85:W85)=0,"",MIN(P85:W85))</f>
        <v/>
      </c>
      <c r="AH85" s="39">
        <f>IF(AG85="","",AG85*F85)</f>
        <v/>
      </c>
      <c r="AI85" s="39">
        <f>IF(COUNT(P85:W85)&lt;2,"",(MAX(P85:W85)-MIN(P85:W85))*F85)</f>
        <v/>
      </c>
      <c r="AJ85" s="20" t="n"/>
      <c r="AP85">
        <f>IF(80&gt;MAX($AN$6:$AN$9),"",COUNTIF($AN$6:$AN$9,"&lt;"&amp;80)+1)</f>
        <v/>
      </c>
      <c r="AQ85">
        <f>IF(AP85="","",80-INDEX($AO$6:$AO$9,AP85))</f>
        <v/>
      </c>
      <c r="AR85">
        <f>IF(AP85="","",INDEX(INDIRECT("'"&amp;$B85&amp;"'!$AE$6:$AE$205"),MATCH(AQ85,INDIRECT("'"&amp;$B85&amp;"'!$AI$6:$AI$205"),0)))</f>
        <v/>
      </c>
    </row>
    <row r="88">
      <c r="A88" s="2" t="inlineStr">
        <is>
          <t>※ 메모 칸(노란색)은 행 위치가 자동으로 바뀔 수 있어 참고용입니다. 확정 내용은 선박 시트 '진행상태/다음 조치'에 적어주세요.</t>
        </is>
      </c>
    </row>
  </sheetData>
  <mergeCells count="15">
    <mergeCell ref="X4:AE4"/>
    <mergeCell ref="B4:B5"/>
    <mergeCell ref="C4:C5"/>
    <mergeCell ref="A4:A5"/>
    <mergeCell ref="F4:F5"/>
    <mergeCell ref="E4:E5"/>
    <mergeCell ref="D4:D5"/>
    <mergeCell ref="G4:G5"/>
    <mergeCell ref="P4:W4"/>
    <mergeCell ref="AI4:AI5"/>
    <mergeCell ref="AF4:AF5"/>
    <mergeCell ref="AG4:AG5"/>
    <mergeCell ref="AJ4:AJ5"/>
    <mergeCell ref="AH4:AH5"/>
    <mergeCell ref="H4:O4"/>
  </mergeCells>
  <conditionalFormatting sqref="H6:O85">
    <cfRule type="cellIs" priority="1" operator="equal" dxfId="8">
      <formula>"견적접수"</formula>
    </cfRule>
    <cfRule type="cellIs" priority="2" operator="equal" dxfId="9">
      <formula>"확인필요"</formula>
    </cfRule>
    <cfRule type="cellIs" priority="3" operator="equal" dxfId="10">
      <formula>"공급불가"</formula>
    </cfRule>
    <cfRule type="cellIs" priority="4" operator="equal" dxfId="11">
      <formula>"미접수"</formula>
    </cfRule>
  </conditionalFormatting>
  <conditionalFormatting sqref="P6:W85">
    <cfRule type="expression" priority="5" dxfId="8">
      <formula>AND(ISNUMBER(P6),P6=$AG6)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AEOLUS</t>
        </is>
      </c>
      <c r="F1" s="40" t="inlineStr">
        <is>
          <t>IMO 9958298   ·   Routine   ·   RFQ상 납품항/ETA: TBA</t>
        </is>
      </c>
    </row>
    <row r="2" ht="24" customHeight="1">
      <c r="A2" s="41">
        <f>IFERROR(IF(N(INDEX(스케줄!$C$5:$C$14,MATCH("AEOLUS",스케줄!$A$5:$A$14,0)))=0,"다음 일정: 미정 (스케줄 시트에 입력)","다음 일정: "&amp;INDEX(스케줄!$B$5:$B$14,MATCH("AEOLUS",스케줄!$A$5:$A$14,0))&amp;"  "&amp;TEXT(INDEX(스케줄!$C$5:$C$14,MATCH("AEOLUS",스케줄!$A$5:$A$14,0)),"mm/dd")&amp;IF(N(INDEX(스케줄!$D$5:$D$14,MATCH("AEOLUS",스케줄!$A$5:$A$14,0)))=0,"","~"&amp;TEXT(INDEX(스케줄!$D$5:$D$14,MATCH("AEOLUS",스케줄!$A$5:$A$14,0)),"mm/dd"))),"")</f>
        <v/>
      </c>
      <c r="G2" s="42">
        <f>IFERROR(INDEX(스케줄!$I$5:$I$14,MATCH("AEOLUS",스케줄!$A$5:$A$14,0)),"")</f>
        <v/>
      </c>
      <c r="H2" s="43">
        <f>IFERROR(INDEX(스케줄!$J$5:$J$14,MATCH("AEOLUS",스케줄!$A$5:$A$14,0)),"")</f>
        <v/>
      </c>
      <c r="J2" s="44" t="inlineStr">
        <is>
          <t>출고 마감</t>
        </is>
      </c>
      <c r="K2" s="45">
        <f>IFERROR(INDEX(스케줄!$F$5:$F$14,MATCH("AEOLUS",스케줄!$A$5:$A$14,0)),"")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1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inlineStr">
        <is>
          <t>Filter Maker: Norgren, Type: F05G-2AN-AM3</t>
        </is>
      </c>
      <c r="K6" s="34" t="n">
        <v>8</v>
      </c>
      <c r="L6" s="34" t="inlineStr">
        <is>
          <t>set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621000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5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5 DAYS, OEM, EX WORK BUSAN [VALI: 20 DAYS]</t>
        </is>
      </c>
      <c r="AC6" s="34" t="inlineStr">
        <is>
          <t>검토중</t>
        </is>
      </c>
      <c r="AD6" s="36" t="n"/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1</v>
      </c>
      <c r="E7" s="34" t="inlineStr">
        <is>
          <t>NORGREN</t>
        </is>
      </c>
      <c r="F7" s="36" t="inlineStr">
        <is>
          <t>Air filter</t>
        </is>
      </c>
      <c r="G7" s="36" t="inlineStr">
        <is>
          <t>Hanwha - MAN B&amp;W 5G70ME-C10.5-GA</t>
        </is>
      </c>
      <c r="H7" s="36" t="inlineStr">
        <is>
          <t>Plate/Drawing no. 5672-0260-0001
Part no. 57</t>
        </is>
      </c>
      <c r="I7" s="36" t="inlineStr">
        <is>
          <t>Emission Control System</t>
        </is>
      </c>
      <c r="J7" s="36" t="n"/>
      <c r="K7" s="34" t="n">
        <v>8</v>
      </c>
      <c r="L7" s="34" t="inlineStr">
        <is>
          <t>set</t>
        </is>
      </c>
      <c r="M7" s="34" t="inlineStr">
        <is>
          <t>OXEN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517500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10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inlineStr">
        <is>
          <t>EXW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[옥슨 IOB-ONR-26-1016(ME)] #8 AIR FILTER COMPLETE *NORGREEN F05G-2AN-AM3 (5672-0260-0001-057) / 10 DAYS</t>
        </is>
      </c>
      <c r="AC7" s="34" t="inlineStr">
        <is>
          <t>검토중</t>
        </is>
      </c>
      <c r="AD7" s="36" t="inlineStr">
        <is>
          <t>옥슨 견적서는 ONEIROI로 표기 – 부품번호·수량이 AEOLUS RFQ와 같아 AEOLUS로 묶음 (선박 확인)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KQU-000116304</t>
        </is>
      </c>
      <c r="C8" s="34" t="inlineStr">
        <is>
          <t>01</t>
        </is>
      </c>
      <c r="D8" s="34" t="n">
        <v>2</v>
      </c>
      <c r="E8" s="34" t="inlineStr">
        <is>
          <t>NORGREN</t>
        </is>
      </c>
      <c r="F8" s="36" t="inlineStr">
        <is>
          <t>Air filter element</t>
        </is>
      </c>
      <c r="G8" s="36" t="inlineStr">
        <is>
          <t>Hanwha - MAN B&amp;W 5G70ME-C10.5-GA</t>
        </is>
      </c>
      <c r="H8" s="36" t="inlineStr">
        <is>
          <t>Plate/Drawing no. 5672-0260-0001</t>
        </is>
      </c>
      <c r="I8" s="36" t="inlineStr">
        <is>
          <t>Emission Control System</t>
        </is>
      </c>
      <c r="J8" s="36" t="inlineStr">
        <is>
          <t>Service Kit- F05G 40 MIC / Maker part No.: 3653-28</t>
        </is>
      </c>
      <c r="K8" s="34" t="n">
        <v>100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99500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OEM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D/T: 90 DAYS, OEM,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KQU-000116306</t>
        </is>
      </c>
      <c r="C9" s="34" t="inlineStr">
        <is>
          <t>04</t>
        </is>
      </c>
      <c r="D9" s="34" t="n">
        <v>1</v>
      </c>
      <c r="E9" s="34" t="inlineStr">
        <is>
          <t>WAGO</t>
        </is>
      </c>
      <c r="F9" s="36" t="inlineStr">
        <is>
          <t>WAGO module for EGR system</t>
        </is>
      </c>
      <c r="G9" s="36" t="inlineStr">
        <is>
          <t>WAGO / 750-8216/040-00</t>
        </is>
      </c>
      <c r="H9" s="36" t="inlineStr">
        <is>
          <t>As attached</t>
        </is>
      </c>
      <c r="I9" s="36" t="inlineStr">
        <is>
          <t>EGR System</t>
        </is>
      </c>
      <c r="J9" s="36" t="n"/>
      <c r="K9" s="34" t="n">
        <v>1</v>
      </c>
      <c r="L9" s="34" t="inlineStr">
        <is>
          <t>set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2300000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60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OEM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D/T: 60 DAYS, OEM, EX WORK BUSAN [VALI: 20 DAYS]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KQU-000116306</t>
        </is>
      </c>
      <c r="C10" s="34" t="inlineStr">
        <is>
          <t>04</t>
        </is>
      </c>
      <c r="D10" s="34" t="n">
        <v>1</v>
      </c>
      <c r="E10" s="34" t="inlineStr">
        <is>
          <t>WAGO</t>
        </is>
      </c>
      <c r="F10" s="36" t="inlineStr">
        <is>
          <t>WAGO module for EGR system</t>
        </is>
      </c>
      <c r="G10" s="36" t="inlineStr">
        <is>
          <t>WAGO / 750-8216/040-00</t>
        </is>
      </c>
      <c r="H10" s="36" t="inlineStr">
        <is>
          <t>As attached</t>
        </is>
      </c>
      <c r="I10" s="36" t="inlineStr">
        <is>
          <t>EGR System</t>
        </is>
      </c>
      <c r="J10" s="36" t="n"/>
      <c r="K10" s="34" t="n">
        <v>1</v>
      </c>
      <c r="L10" s="34" t="inlineStr">
        <is>
          <t>set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1873.54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28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Q.0000122664] WAGO PFC200 750-8216 COMMUNICATION MODULE / *del time: 3-4 weeks* *item cannot be returned*</t>
        </is>
      </c>
      <c r="AC10" s="34" t="inlineStr">
        <is>
          <t>검토중</t>
        </is>
      </c>
      <c r="AD10" s="36" t="inlineStr">
        <is>
          <t>납기 3-4주 → 28일로 계산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KQU-000116306</t>
        </is>
      </c>
      <c r="C11" s="34" t="inlineStr">
        <is>
          <t>04</t>
        </is>
      </c>
      <c r="D11" s="34" t="n">
        <v>1</v>
      </c>
      <c r="E11" s="34" t="inlineStr">
        <is>
          <t>WAGO</t>
        </is>
      </c>
      <c r="F11" s="36" t="inlineStr">
        <is>
          <t>WAGO module for EGR system</t>
        </is>
      </c>
      <c r="G11" s="36" t="inlineStr">
        <is>
          <t>WAGO / 750-8216/040-00</t>
        </is>
      </c>
      <c r="H11" s="36" t="inlineStr">
        <is>
          <t>As attached</t>
        </is>
      </c>
      <c r="I11" s="36" t="inlineStr">
        <is>
          <t>EGR System</t>
        </is>
      </c>
      <c r="J11" s="36" t="n"/>
      <c r="K11" s="34" t="n">
        <v>1</v>
      </c>
      <c r="L11" s="34" t="inlineStr">
        <is>
          <t>set</t>
        </is>
      </c>
      <c r="M11" s="34" t="inlineStr">
        <is>
          <t>OXEN</t>
        </is>
      </c>
      <c r="N11" s="34" t="inlineStr">
        <is>
          <t>미접수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EXW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[옥슨 IOB-ONR-26-1016(ME)] #13 WAGO module for EGR system 750-8216/040-00 – 견적중</t>
        </is>
      </c>
      <c r="AC11" s="34" t="inlineStr">
        <is>
          <t>검토중</t>
        </is>
      </c>
      <c r="AD11" s="36" t="inlineStr">
        <is>
          <t>옥슨 견적중 – 회신 대기 / 옥슨 견적서는 ONEIROI로 표기 – 부품번호·수량이 AEOLUS RFQ와 같아 AEOLUS로 묶음 (선박 확인)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IOB RFQ-06</t>
        </is>
      </c>
      <c r="C12" s="34" t="inlineStr">
        <is>
          <t>06</t>
        </is>
      </c>
      <c r="D12" s="34" t="n">
        <v>1</v>
      </c>
      <c r="E12" s="34" t="inlineStr">
        <is>
          <t>Endress+Hauser</t>
        </is>
      </c>
      <c r="F12" s="36" t="inlineStr">
        <is>
          <t>EGR pH sensor</t>
        </is>
      </c>
      <c r="G12" s="36" t="inlineStr">
        <is>
          <t>CPS11D-7BT21</t>
        </is>
      </c>
      <c r="H12" s="36" t="n"/>
      <c r="I12" s="36" t="inlineStr">
        <is>
          <t>EGR System</t>
        </is>
      </c>
      <c r="J12" s="36" t="inlineStr">
        <is>
          <t>AFS: 후속 모델 CPS11E-AA7BAA2 로 견적</t>
        </is>
      </c>
      <c r="K12" s="34" t="n">
        <v>8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903.3099999999999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35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대체품 (1:1)</t>
        </is>
      </c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Q.0000122666] CPS11E-1082/0 CPS11E-AA7BAA2 REPLACES CPS11D-7BT21 / *del time: apprx. 4-5 weeks* *item cannot be returned* *remarks from the supplier: The instruments you requested has been out of stock for some time; we hereby offer you a 1-on-1 replacement*</t>
        </is>
      </c>
      <c r="AC12" s="34" t="inlineStr">
        <is>
          <t>검토중</t>
        </is>
      </c>
      <c r="AD12" s="36" t="inlineStr">
        <is>
          <t>후속 모델 승인 여부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IOB RFQ-06</t>
        </is>
      </c>
      <c r="C13" s="34" t="inlineStr">
        <is>
          <t>06</t>
        </is>
      </c>
      <c r="D13" s="34" t="n">
        <v>1</v>
      </c>
      <c r="E13" s="34" t="inlineStr">
        <is>
          <t>Endress+Hauser</t>
        </is>
      </c>
      <c r="F13" s="36" t="inlineStr">
        <is>
          <t>EGR pH sensor</t>
        </is>
      </c>
      <c r="G13" s="36" t="inlineStr">
        <is>
          <t>CPS11D-7BT21</t>
        </is>
      </c>
      <c r="H13" s="36" t="n"/>
      <c r="I13" s="36" t="inlineStr">
        <is>
          <t>EGR System</t>
        </is>
      </c>
      <c r="J13" s="36" t="inlineStr">
        <is>
          <t>옥슨: 단종 → 신형으로 견적</t>
        </is>
      </c>
      <c r="K13" s="34" t="n">
        <v>8</v>
      </c>
      <c r="L13" s="34" t="inlineStr">
        <is>
          <t>PCS</t>
        </is>
      </c>
      <c r="M13" s="34" t="inlineStr">
        <is>
          <t>OXEN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>
        <v>1265000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10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inlineStr">
        <is>
          <t>신형</t>
        </is>
      </c>
      <c r="X13" s="34" t="inlineStr">
        <is>
          <t>EXW BUSAN</t>
        </is>
      </c>
      <c r="Y13" s="34" t="n">
        <v>20</v>
      </c>
      <c r="Z13" s="55" t="n"/>
      <c r="AA13" s="54">
        <f>IF(OR(Z13="",Y13=""),"",Z13+Y13)</f>
        <v/>
      </c>
      <c r="AB13" s="36" t="inlineStr">
        <is>
          <t>[옥슨 IOB-ONR-26-1016(ME)] #9 pH SENSOR *ENDRESS+HAUSER/ CPS11D-7BT21 – 단종 NEW TYPE 견적 / 10 DAYS</t>
        </is>
      </c>
      <c r="AC13" s="34" t="inlineStr">
        <is>
          <t>검토중</t>
        </is>
      </c>
      <c r="AD13" s="36" t="inlineStr">
        <is>
          <t>옥슨 견적서는 ONEIROI로 표기 – 부품번호·수량이 AEOLUS RFQ와 같아 AEOLUS로 묶음 (선박 확인)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IOB RFQ-06</t>
        </is>
      </c>
      <c r="C14" s="34" t="inlineStr">
        <is>
          <t>06</t>
        </is>
      </c>
      <c r="D14" s="34" t="n">
        <v>2</v>
      </c>
      <c r="E14" s="34" t="inlineStr">
        <is>
          <t>Endress+Hauser</t>
        </is>
      </c>
      <c r="F14" s="36" t="inlineStr">
        <is>
          <t>EGR PH Sensor</t>
        </is>
      </c>
      <c r="G14" s="36" t="inlineStr">
        <is>
          <t>CPS11D-7BT21</t>
        </is>
      </c>
      <c r="H14" s="36" t="inlineStr">
        <is>
          <t>Plate/Drawing no. EW-29-6549-0007-0 / RS 256-6139</t>
        </is>
      </c>
      <c r="I14" s="36" t="inlineStr">
        <is>
          <t>EGR System</t>
        </is>
      </c>
      <c r="J14" s="36" t="n"/>
      <c r="K14" s="34" t="n">
        <v>4</v>
      </c>
      <c r="L14" s="34" t="inlineStr">
        <is>
          <t>PCS</t>
        </is>
      </c>
      <c r="M14" s="34" t="inlineStr">
        <is>
          <t>AFS</t>
        </is>
      </c>
      <c r="N14" s="34" t="inlineStr">
        <is>
          <t>확인필요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/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/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Q.0000122666] *requested item same as above line*</t>
        </is>
      </c>
      <c r="AC14" s="34" t="inlineStr">
        <is>
          <t>정보 송부필요</t>
        </is>
      </c>
      <c r="AD14" s="36" t="inlineStr">
        <is>
          <t>AFS: 1번 줄과 같은 품목 → 1번(8개)에 포함인지, 총 12개 필요인지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RFQ-06</t>
        </is>
      </c>
      <c r="C15" s="34" t="inlineStr">
        <is>
          <t>06</t>
        </is>
      </c>
      <c r="D15" s="34" t="n">
        <v>3</v>
      </c>
      <c r="E15" s="34" t="n"/>
      <c r="F15" s="36" t="inlineStr">
        <is>
          <t>Buffer solution pH 7</t>
        </is>
      </c>
      <c r="G15" s="36" t="n"/>
      <c r="H15" s="36" t="n"/>
      <c r="I15" s="36" t="inlineStr">
        <is>
          <t>EGR System</t>
        </is>
      </c>
      <c r="J15" s="36" t="n"/>
      <c r="K15" s="34" t="n">
        <v>4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23.99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1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Q.0000122666] BUFFER SOLUTION FOR PH CALIBRATION - PH 7 / *del time: 1 day*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RFQ-06</t>
        </is>
      </c>
      <c r="C16" s="34" t="inlineStr">
        <is>
          <t>06</t>
        </is>
      </c>
      <c r="D16" s="34" t="n">
        <v>3</v>
      </c>
      <c r="E16" s="34" t="n"/>
      <c r="F16" s="36" t="inlineStr">
        <is>
          <t>Buffer solution pH 7</t>
        </is>
      </c>
      <c r="G16" s="36" t="n"/>
      <c r="H16" s="36" t="n"/>
      <c r="I16" s="36" t="inlineStr">
        <is>
          <t>EGR System</t>
        </is>
      </c>
      <c r="J16" s="36" t="inlineStr">
        <is>
          <t>옥슨 수량 1 (250mL) – RFQ 4개</t>
        </is>
      </c>
      <c r="K16" s="34" t="n">
        <v>1</v>
      </c>
      <c r="L16" s="34" t="inlineStr">
        <is>
          <t>PCS</t>
        </is>
      </c>
      <c r="M16" s="34" t="inlineStr">
        <is>
          <t>OXEN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149500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10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EXW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[옥슨 IOB-ONR-26-1016(ME)] #12 PH 7 BUFFER SOLUTION *ENDRESS+HAUSER 250mL / 10 DAYS</t>
        </is>
      </c>
      <c r="AC16" s="34" t="inlineStr">
        <is>
          <t>검토중</t>
        </is>
      </c>
      <c r="AD16" s="36" t="inlineStr">
        <is>
          <t>옥슨 견적서는 ONEIROI로 표기 – 부품번호·수량이 AEOLUS RFQ와 같아 AEOLUS로 묶음 (선박 확인) / 수량 다름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IOB RFQ-06</t>
        </is>
      </c>
      <c r="C17" s="34" t="inlineStr">
        <is>
          <t>06</t>
        </is>
      </c>
      <c r="D17" s="34" t="n">
        <v>4</v>
      </c>
      <c r="E17" s="34" t="n"/>
      <c r="F17" s="36" t="inlineStr">
        <is>
          <t>Buffer solution pH 4</t>
        </is>
      </c>
      <c r="G17" s="36" t="n"/>
      <c r="H17" s="36" t="n"/>
      <c r="I17" s="36" t="inlineStr">
        <is>
          <t>EGR System</t>
        </is>
      </c>
      <c r="J17" s="36" t="n"/>
      <c r="K17" s="34" t="n">
        <v>4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23.99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1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Q.0000122666] BUFFER SOLUTION FOR PH CALIBRATION - PH 4 / *del time: 1 day* *item cannot be returned*</t>
        </is>
      </c>
      <c r="AC17" s="34" t="inlineStr">
        <is>
          <t>검토중</t>
        </is>
      </c>
      <c r="AD17" s="36" t="n"/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IOB RFQ-06</t>
        </is>
      </c>
      <c r="C18" s="34" t="inlineStr">
        <is>
          <t>06</t>
        </is>
      </c>
      <c r="D18" s="34" t="n">
        <v>4</v>
      </c>
      <c r="E18" s="34" t="n"/>
      <c r="F18" s="36" t="inlineStr">
        <is>
          <t>Buffer solution pH 4</t>
        </is>
      </c>
      <c r="G18" s="36" t="n"/>
      <c r="H18" s="36" t="n"/>
      <c r="I18" s="36" t="inlineStr">
        <is>
          <t>EGR System</t>
        </is>
      </c>
      <c r="J18" s="36" t="inlineStr">
        <is>
          <t>옥슨 수량 1 (250mL) – RFQ 4개</t>
        </is>
      </c>
      <c r="K18" s="34" t="n">
        <v>1</v>
      </c>
      <c r="L18" s="34" t="inlineStr">
        <is>
          <t>PCS</t>
        </is>
      </c>
      <c r="M18" s="34" t="inlineStr">
        <is>
          <t>OXEN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149500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10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EXW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[옥슨 IOB-ONR-26-1016(ME)] #11 PH 4 BUFFER SOLUTION *ENDRESS+HAUSER 250mL / 10 DAYS</t>
        </is>
      </c>
      <c r="AC18" s="34" t="inlineStr">
        <is>
          <t>검토중</t>
        </is>
      </c>
      <c r="AD18" s="36" t="inlineStr">
        <is>
          <t>옥슨 견적서는 ONEIROI로 표기 – 부품번호·수량이 AEOLUS RFQ와 같아 AEOLUS로 묶음 (선박 확인) / 수량 다름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IOB-AEL-26-1014(OWS)</t>
        </is>
      </c>
      <c r="C19" s="34" t="inlineStr">
        <is>
          <t>-</t>
        </is>
      </c>
      <c r="D19" s="34" t="n">
        <v>1</v>
      </c>
      <c r="E19" s="34" t="inlineStr">
        <is>
          <t>SKF MARINE</t>
        </is>
      </c>
      <c r="F19" s="36" t="inlineStr">
        <is>
          <t>HycaSep Element (Long filter)</t>
        </is>
      </c>
      <c r="G19" s="36" t="inlineStr">
        <is>
          <t>SKF E5310/210930</t>
        </is>
      </c>
      <c r="H19" s="36" t="inlineStr">
        <is>
          <t>245(175912)</t>
        </is>
      </c>
      <c r="I19" s="36" t="inlineStr">
        <is>
          <t>Oily water separator</t>
        </is>
      </c>
      <c r="J19" s="36" t="n"/>
      <c r="K19" s="34" t="n">
        <v>10</v>
      </c>
      <c r="L19" s="34" t="inlineStr">
        <is>
          <t>PCS</t>
        </is>
      </c>
      <c r="M19" s="34" t="inlineStr">
        <is>
          <t>OXEN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386000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10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EQ (중국산 대체품)</t>
        </is>
      </c>
      <c r="X19" s="34" t="inlineStr">
        <is>
          <t>EX WORKS CHINA</t>
        </is>
      </c>
      <c r="Y19" s="34" t="n">
        <v>20</v>
      </c>
      <c r="Z19" s="55" t="n"/>
      <c r="AA19" s="54">
        <f>IF(OR(Z19="",Y19=""),"",Z19+Y19)</f>
        <v/>
      </c>
      <c r="AB19" s="36" t="inlineStr">
        <is>
          <t>[옥슨 IOB-AEL-26-1014(OWS)] HycaSep Element (Long filter) 245(175912) / ORIGIN: EQ (중국산 대체품) / EX WORKS AT CHINA – 국내 수입 운송비·통관비 별도 / Payment 1 month after delivery</t>
        </is>
      </c>
      <c r="AC19" s="34" t="inlineStr">
        <is>
          <t>검토중</t>
        </is>
      </c>
      <c r="AD19" s="36" t="inlineStr">
        <is>
          <t>중국산 대체품 승인 여부 / 운송·통관비 별도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BOSUNG-01</t>
        </is>
      </c>
      <c r="C20" s="34" t="inlineStr">
        <is>
          <t>B01</t>
        </is>
      </c>
      <c r="D20" s="34" t="n">
        <v>1</v>
      </c>
      <c r="E20" s="34" t="inlineStr">
        <is>
          <t>DONGHWA PNEUTEC</t>
        </is>
      </c>
      <c r="F20" s="36" t="inlineStr">
        <is>
          <t>TEMPERATURE SENSOR</t>
        </is>
      </c>
      <c r="G20" s="36" t="n"/>
      <c r="H20" s="36" t="inlineStr">
        <is>
          <t>PLATE/DRAWING NO. NXW55-480R P</t>
        </is>
      </c>
      <c r="I20" s="36" t="inlineStr">
        <is>
          <t>Control air compressor NEX-55WB</t>
        </is>
      </c>
      <c r="J20" s="36" t="n"/>
      <c r="K20" s="34" t="n">
        <v>1</v>
      </c>
      <c r="L20" s="34" t="inlineStr">
        <is>
          <t>EA</t>
        </is>
      </c>
      <c r="M20" s="34" t="inlineStr">
        <is>
          <t>DINTEC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>
        <v>250000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30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inlineStr">
        <is>
          <t>GENUINE</t>
        </is>
      </c>
      <c r="X20" s="34" t="inlineStr">
        <is>
          <t>EXW BUSAN</t>
        </is>
      </c>
      <c r="Y20" s="34" t="n">
        <v>30</v>
      </c>
      <c r="Z20" s="56" t="n">
        <v>46318</v>
      </c>
      <c r="AA20" s="54">
        <f>IF(OR(Z20="",Y20=""),"",Z20+Y20)</f>
        <v/>
      </c>
      <c r="AB20" s="36" t="inlineStr">
        <is>
          <t>[딘텍 DB26034454] Your ref 2026.10.19/AEOLUS / L/T 30 DAYS / 수출 시 우든박스/팔레트 포장비 실비 별도</t>
        </is>
      </c>
      <c r="AC20" s="34" t="inlineStr">
        <is>
          <t>검토중</t>
        </is>
      </c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BOSUNG-01</t>
        </is>
      </c>
      <c r="C21" s="34" t="inlineStr">
        <is>
          <t>B01</t>
        </is>
      </c>
      <c r="D21" s="34" t="n">
        <v>1</v>
      </c>
      <c r="E21" s="34" t="inlineStr">
        <is>
          <t>DONGHWA PNEUTEC</t>
        </is>
      </c>
      <c r="F21" s="36" t="inlineStr">
        <is>
          <t>TEMPERATURE SENSOR</t>
        </is>
      </c>
      <c r="G21" s="36" t="inlineStr">
        <is>
          <t>NeX-55WB</t>
        </is>
      </c>
      <c r="H21" s="36" t="inlineStr">
        <is>
          <t>Plate/Drawing no. NXW55-480R / Part no. 18</t>
        </is>
      </c>
      <c r="I21" s="36" t="inlineStr">
        <is>
          <t>Control air compressor</t>
        </is>
      </c>
      <c r="J21" s="36" t="n"/>
      <c r="K21" s="34" t="n">
        <v>1</v>
      </c>
      <c r="L21" s="34" t="inlineStr">
        <is>
          <t>EA</t>
        </is>
      </c>
      <c r="M21" s="34" t="inlineStr">
        <is>
          <t>BOSUNG</t>
        </is>
      </c>
      <c r="N21" s="34" t="inlineStr">
        <is>
          <t>미접수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5" t="n"/>
      <c r="AA21" s="54">
        <f>IF(OR(Z21="",Y21=""),"",Z21+Y21)</f>
        <v/>
      </c>
      <c r="AB21" s="36" t="inlineStr">
        <is>
          <t>[보성 RFQ 01 발송 2026-10-19] 회신 대기</t>
        </is>
      </c>
      <c r="AC21" s="34" t="inlineStr">
        <is>
          <t>검토중</t>
        </is>
      </c>
      <c r="AD21" s="36" t="inlineStr">
        <is>
          <t>보성 견적 회신 대기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BOSUNG-04</t>
        </is>
      </c>
      <c r="C22" s="34" t="inlineStr">
        <is>
          <t>B04</t>
        </is>
      </c>
      <c r="D22" s="34" t="n">
        <v>1</v>
      </c>
      <c r="E22" s="34" t="inlineStr">
        <is>
          <t>DAEYANG</t>
        </is>
      </c>
      <c r="F22" s="36" t="inlineStr">
        <is>
          <t>LED DRIVER DLD-45050-STN / 50W</t>
        </is>
      </c>
      <c r="G22" s="36" t="inlineStr">
        <is>
          <t>DLD-45050-STN (단종 → 신형)</t>
        </is>
      </c>
      <c r="H22" s="36" t="inlineStr">
        <is>
          <t>PLATE/DRAWING NO. DE-03-L22-001 / LO1180143 PART NO. 6</t>
        </is>
      </c>
      <c r="I22" s="36" t="inlineStr">
        <is>
          <t>Lighting (Electrical)</t>
        </is>
      </c>
      <c r="J22" s="36" t="inlineStr">
        <is>
          <t>원 요청번호 AEO-E-SP-26-V-0005 / 단종 – 같은 제조사 신형으로 견적 / 납기 미기재</t>
        </is>
      </c>
      <c r="K22" s="34" t="n">
        <v>10</v>
      </c>
      <c r="L22" s="34" t="inlineStr">
        <is>
          <t>PCS</t>
        </is>
      </c>
      <c r="M22" s="34" t="inlineStr">
        <is>
          <t>CENTMAR</t>
        </is>
      </c>
      <c r="N22" s="34" t="inlineStr">
        <is>
          <t>견적접수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>
        <v>37760</v>
      </c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inlineStr">
        <is>
          <t>신형</t>
        </is>
      </c>
      <c r="X22" s="34" t="n"/>
      <c r="Y22" s="34" t="n"/>
      <c r="Z22" s="56" t="n">
        <v>46318</v>
      </c>
      <c r="AA22" s="54">
        <f>IF(OR(Z22="",Y22=""),"",Z22+Y22)</f>
        <v/>
      </c>
      <c r="AB22" s="36" t="inlineStr">
        <is>
          <t>[중앙해사 JU26102224] LED DRIVER DLD-45050-STN / 50W – DAEYANG DLD-45050-STN (단종 → 신형) PLATE/DRAWING NO. DE-03-L22-001 / LO1180143 PART NO. 6 / 단종 – 같은 제조사 신형으로 견적 / 납기 미기재</t>
        </is>
      </c>
      <c r="AC22" s="34" t="inlineStr">
        <is>
          <t>검토중</t>
        </is>
      </c>
      <c r="AD22" s="36" t="inlineStr">
        <is>
          <t>유효기간·인도조건 미기재 – 중앙해사 확인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BOSUNG-04</t>
        </is>
      </c>
      <c r="C23" s="34" t="inlineStr">
        <is>
          <t>B04</t>
        </is>
      </c>
      <c r="D23" s="34" t="n">
        <v>1</v>
      </c>
      <c r="E23" s="34" t="inlineStr">
        <is>
          <t>DAEYANG</t>
        </is>
      </c>
      <c r="F23" s="36" t="inlineStr">
        <is>
          <t>LED DRIVER DLD-45050-STN / 50W</t>
        </is>
      </c>
      <c r="G23" s="36" t="n"/>
      <c r="H23" s="36" t="inlineStr">
        <is>
          <t>Plate/Drawing no. DE-03-L22-001 / LO1180143 Part no. 6</t>
        </is>
      </c>
      <c r="I23" s="36" t="inlineStr">
        <is>
          <t>LED driver for ceiling light</t>
        </is>
      </c>
      <c r="J23" s="36" t="n"/>
      <c r="K23" s="34" t="n">
        <v>10</v>
      </c>
      <c r="L23" s="34" t="inlineStr">
        <is>
          <t>PC</t>
        </is>
      </c>
      <c r="M23" s="34" t="inlineStr">
        <is>
          <t>BOSUNG</t>
        </is>
      </c>
      <c r="N23" s="34" t="inlineStr">
        <is>
          <t>미접수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[보성 RFQ 04 발송 2026-10-19] 회신 대기</t>
        </is>
      </c>
      <c r="AC23" s="34" t="inlineStr">
        <is>
          <t>검토중</t>
        </is>
      </c>
      <c r="AD23" s="36" t="inlineStr">
        <is>
          <t>보성 견적 회신 대기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SPAN GAS</t>
        </is>
      </c>
      <c r="C24" s="34" t="inlineStr">
        <is>
          <t>SG</t>
        </is>
      </c>
      <c r="D24" s="34" t="n">
        <v>1</v>
      </c>
      <c r="E24" s="34" t="n"/>
      <c r="F24" s="36" t="inlineStr">
        <is>
          <t>SPAN GAS CYLINDER 3.4 LTR. METHANE 3.25% (65% LEL) IN NITROGEN - 150 BAR</t>
        </is>
      </c>
      <c r="G24" s="36" t="n"/>
      <c r="H24" s="36" t="n"/>
      <c r="I24" s="36" t="inlineStr">
        <is>
          <t>Gas detection (calibration)</t>
        </is>
      </c>
      <c r="J24" s="36" t="n"/>
      <c r="K24" s="34" t="n">
        <v>1</v>
      </c>
      <c r="L24" s="34" t="inlineStr">
        <is>
          <t>PCS</t>
        </is>
      </c>
      <c r="M24" s="34" t="inlineStr">
        <is>
          <t>AFS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EUR</t>
        </is>
      </c>
      <c r="Q24" s="51" t="n">
        <v>568.26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14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inlineStr">
        <is>
          <t>미기재 (AFS 네덜란드)</t>
        </is>
      </c>
      <c r="Y24" s="34" t="n"/>
      <c r="Z24" s="56" t="n">
        <v>46317</v>
      </c>
      <c r="AA24" s="54">
        <f>IF(OR(Z24="",Y24=""),"",Z24+Y24)</f>
        <v/>
      </c>
      <c r="AB24" s="36" t="inlineStr">
        <is>
          <t>[AFS Q.0000123328] SPAN GAS CYLINDER 3.4 LTR. METHANE 3.25% (65% LEL) IN NITROGEN - 150 BAR / *del time: 2 weeks* *item cannot be returned*</t>
        </is>
      </c>
      <c r="AC24" s="34" t="inlineStr">
        <is>
          <t>검토중</t>
        </is>
      </c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SPAN GAS</t>
        </is>
      </c>
      <c r="C25" s="34" t="inlineStr">
        <is>
          <t>SG</t>
        </is>
      </c>
      <c r="D25" s="34" t="n">
        <v>2</v>
      </c>
      <c r="E25" s="34" t="n"/>
      <c r="F25" s="36" t="inlineStr">
        <is>
          <t>SPAN GAS CYLINDER 10 LTR. METHANE 35% VOL. IN N2 - 150 BAR W24.32 MM. X 1/14" EXT.</t>
        </is>
      </c>
      <c r="G25" s="36" t="n"/>
      <c r="H25" s="36" t="n"/>
      <c r="I25" s="36" t="inlineStr">
        <is>
          <t>Gas detection (calibration)</t>
        </is>
      </c>
      <c r="J25" s="36" t="n"/>
      <c r="K25" s="34" t="n">
        <v>1</v>
      </c>
      <c r="L25" s="34" t="inlineStr">
        <is>
          <t>PCS</t>
        </is>
      </c>
      <c r="M25" s="34" t="inlineStr">
        <is>
          <t>AFS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EUR</t>
        </is>
      </c>
      <c r="Q25" s="51" t="n">
        <v>947.1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14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inlineStr">
        <is>
          <t>미기재 (AFS 네덜란드)</t>
        </is>
      </c>
      <c r="Y25" s="34" t="n"/>
      <c r="Z25" s="56" t="n">
        <v>46317</v>
      </c>
      <c r="AA25" s="54">
        <f>IF(OR(Z25="",Y25=""),"",Z25+Y25)</f>
        <v/>
      </c>
      <c r="AB25" s="36" t="inlineStr">
        <is>
          <t>[AFS Q.0000123328] SPAN GAS CYLINDER 10 LTR. METHANE 35% VOL. IN N2 - 150 BAR W24.32 MM. X 1/14" EXT. / *del time: 2 weeks* *item cannot be returned*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SPAN GAS</t>
        </is>
      </c>
      <c r="C26" s="34" t="inlineStr">
        <is>
          <t>SG</t>
        </is>
      </c>
      <c r="D26" s="34" t="n">
        <v>3</v>
      </c>
      <c r="E26" s="34" t="n"/>
      <c r="F26" s="36" t="inlineStr">
        <is>
          <t>METHANE 10% VOL IN NITROGEN CALIBRATION TESTGAS 34 LTR.</t>
        </is>
      </c>
      <c r="G26" s="36" t="n"/>
      <c r="H26" s="36" t="n"/>
      <c r="I26" s="36" t="inlineStr">
        <is>
          <t>Gas detection (calibration)</t>
        </is>
      </c>
      <c r="J26" s="36" t="n"/>
      <c r="K26" s="34" t="n">
        <v>2</v>
      </c>
      <c r="L26" s="34" t="inlineStr">
        <is>
          <t>PCS</t>
        </is>
      </c>
      <c r="M26" s="34" t="inlineStr">
        <is>
          <t>AFS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EUR</t>
        </is>
      </c>
      <c r="Q26" s="51" t="n">
        <v>101.48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inlineStr">
        <is>
          <t>미기재 (AFS 네덜란드)</t>
        </is>
      </c>
      <c r="Y26" s="34" t="n"/>
      <c r="Z26" s="56" t="n">
        <v>46317</v>
      </c>
      <c r="AA26" s="54">
        <f>IF(OR(Z26="",Y26=""),"",Z26+Y26)</f>
        <v/>
      </c>
      <c r="AB26" s="36" t="inlineStr">
        <is>
          <t>[AFS Q.0000123328] METHANE 10% VOL IN NITROGEN CALIBRATION TESTGAS 34 LTR. / 납기 미기재</t>
        </is>
      </c>
      <c r="AC26" s="34" t="inlineStr">
        <is>
          <t>검토중</t>
        </is>
      </c>
      <c r="AD26" s="36" t="inlineStr">
        <is>
          <t>납기 미기재 – AFS 확인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SPAN GAS</t>
        </is>
      </c>
      <c r="C27" s="34" t="inlineStr">
        <is>
          <t>SG</t>
        </is>
      </c>
      <c r="D27" s="34" t="n">
        <v>4</v>
      </c>
      <c r="E27" s="34" t="n"/>
      <c r="F27" s="36" t="inlineStr">
        <is>
          <t>PURE NITROGEN 99.99% CALIBRATION TESTGAS 34 LTR.</t>
        </is>
      </c>
      <c r="G27" s="36" t="n"/>
      <c r="H27" s="36" t="n"/>
      <c r="I27" s="36" t="inlineStr">
        <is>
          <t>Gas detection (calibration)</t>
        </is>
      </c>
      <c r="J27" s="36" t="n"/>
      <c r="K27" s="34" t="n">
        <v>2</v>
      </c>
      <c r="L27" s="34" t="inlineStr">
        <is>
          <t>PCS</t>
        </is>
      </c>
      <c r="M27" s="34" t="inlineStr">
        <is>
          <t>AFS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EUR</t>
        </is>
      </c>
      <c r="Q27" s="51" t="n">
        <v>75.77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inlineStr">
        <is>
          <t>미기재 (AFS 네덜란드)</t>
        </is>
      </c>
      <c r="Y27" s="34" t="n"/>
      <c r="Z27" s="56" t="n">
        <v>46317</v>
      </c>
      <c r="AA27" s="54">
        <f>IF(OR(Z27="",Y27=""),"",Z27+Y27)</f>
        <v/>
      </c>
      <c r="AB27" s="36" t="inlineStr">
        <is>
          <t>[AFS Q.0000123328] PURE NITROGEN 99.99% CALIBRATION TESTGAS 34 LTR. / 납기 미기재</t>
        </is>
      </c>
      <c r="AC27" s="34" t="inlineStr">
        <is>
          <t>검토중</t>
        </is>
      </c>
      <c r="AD27" s="36" t="inlineStr">
        <is>
          <t>납기 미기재 – AFS 확인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MELICERTES</t>
        </is>
      </c>
      <c r="F1" s="57" t="inlineStr">
        <is>
          <t>IMO 9958303   ·   URGENT   ·   RFQ상 납품항/ETA: Sabetta, ETA 19-Oct-2026</t>
        </is>
      </c>
    </row>
    <row r="2" ht="24" customHeight="1">
      <c r="A2" s="41">
        <f>IFERROR(IF(N(INDEX(스케줄!$C$5:$C$14,MATCH("MELICERTES",스케줄!$A$5:$A$14,0)))=0,"다음 일정: 미정 (스케줄 시트에 입력)","다음 일정: "&amp;INDEX(스케줄!$B$5:$B$14,MATCH("MELICERTES",스케줄!$A$5:$A$14,0))&amp;"  "&amp;TEXT(INDEX(스케줄!$C$5:$C$14,MATCH("MELICERTES",스케줄!$A$5:$A$14,0)),"mm/dd")&amp;IF(N(INDEX(스케줄!$D$5:$D$14,MATCH("MELICERTES",스케줄!$A$5:$A$14,0)))=0,"","~"&amp;TEXT(INDEX(스케줄!$D$5:$D$14,MATCH("MELICERTES",스케줄!$A$5:$A$14,0)),"mm/dd"))),"")</f>
        <v/>
      </c>
      <c r="G2" s="42">
        <f>IFERROR(INDEX(스케줄!$I$5:$I$14,MATCH("MELICERTES",스케줄!$A$5:$A$14,0)),"")</f>
        <v/>
      </c>
      <c r="H2" s="43">
        <f>IFERROR(INDEX(스케줄!$J$5:$J$14,MATCH("MELICERTES",스케줄!$A$5:$A$14,0)),"")</f>
        <v/>
      </c>
      <c r="J2" s="44" t="inlineStr">
        <is>
          <t>출고 마감</t>
        </is>
      </c>
      <c r="K2" s="45">
        <f>IFERROR(INDEX(스케줄!$F$5:$F$14,MATCH("MELICERTES",스케줄!$A$5:$A$14,0)),"")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3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Hanwha-Man B&amp;W 5G70ME-C10.5-GA</t>
        </is>
      </c>
      <c r="H6" s="36" t="n"/>
      <c r="I6" s="36" t="inlineStr">
        <is>
          <t>Emission Control System 5672-0260-00001</t>
        </is>
      </c>
      <c r="J6" s="36" t="inlineStr">
        <is>
          <t>Service Kit F05G 40 MIC/ MAKER: NORGREN</t>
        </is>
      </c>
      <c r="K6" s="34" t="n">
        <v>100</v>
      </c>
      <c r="L6" s="34" t="inlineStr">
        <is>
          <t>pcs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99500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90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90 DAYS, OEM, EX WORK BUSAN [VALI: 20 DAYS]</t>
        </is>
      </c>
      <c r="AC6" s="34" t="inlineStr">
        <is>
          <t>검토중</t>
        </is>
      </c>
      <c r="AD6" s="36" t="inlineStr">
        <is>
          <t>긴급 – 납기 90일, 단축 가능 여부 확인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KQU-000116305</t>
        </is>
      </c>
      <c r="C7" s="34" t="inlineStr">
        <is>
          <t>03</t>
        </is>
      </c>
      <c r="D7" s="34" t="n">
        <v>1</v>
      </c>
      <c r="E7" s="34" t="inlineStr">
        <is>
          <t>DANFOSS</t>
        </is>
      </c>
      <c r="F7" s="36" t="inlineStr">
        <is>
          <t>Pressure transmitter DANFOSS</t>
        </is>
      </c>
      <c r="G7" s="36" t="inlineStr">
        <is>
          <t>DANFOSS</t>
        </is>
      </c>
      <c r="H7" s="36" t="inlineStr">
        <is>
          <t>MBS3350 / 0...6 BAR (060G6727)</t>
        </is>
      </c>
      <c r="I7" s="36" t="inlineStr">
        <is>
          <t>Main Engine</t>
        </is>
      </c>
      <c r="J7" s="36" t="n"/>
      <c r="K7" s="34" t="n">
        <v>1</v>
      </c>
      <c r="L7" s="34" t="inlineStr">
        <is>
          <t>PCE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261500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GENUINE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ALL; D/T: 90 DAYS, GENUINE, EX WORK BUSAN [VALI: 20 DAYS]</t>
        </is>
      </c>
      <c r="AC7" s="34" t="inlineStr">
        <is>
          <t>검토중</t>
        </is>
      </c>
      <c r="AD7" s="36" t="inlineStr">
        <is>
          <t>긴급 – 납기 90일, 단축 가능 여부 확인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1</v>
      </c>
      <c r="E8" s="34" t="inlineStr">
        <is>
          <t>DANFOSS</t>
        </is>
      </c>
      <c r="F8" s="36" t="inlineStr">
        <is>
          <t>Pressure transmitter DANFOSS</t>
        </is>
      </c>
      <c r="G8" s="36" t="inlineStr">
        <is>
          <t>DANFOSS</t>
        </is>
      </c>
      <c r="H8" s="36" t="inlineStr">
        <is>
          <t>MBS3350 / 0...6 BAR (060G6727)</t>
        </is>
      </c>
      <c r="I8" s="36" t="inlineStr">
        <is>
          <t>Main Engine</t>
        </is>
      </c>
      <c r="J8" s="36" t="inlineStr">
        <is>
          <t>AFS: 060G1476 (060G6727 대체)</t>
        </is>
      </c>
      <c r="K8" s="34" t="n">
        <v>1</v>
      </c>
      <c r="L8" s="34" t="inlineStr">
        <is>
          <t>PCE</t>
        </is>
      </c>
      <c r="M8" s="34" t="inlineStr">
        <is>
          <t>AFS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>
        <v>309.54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49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Q.0000122662] MBS3350 0-6 BAR 060G1476 (ALT. 060G6727) MBS3350-1811-A6AB08-0 / *del time: 6-7 weeks* *item cannot be returned*</t>
        </is>
      </c>
      <c r="AC8" s="34" t="inlineStr">
        <is>
          <t>검토중</t>
        </is>
      </c>
      <c r="AD8" s="36" t="inlineStr">
        <is>
          <t>대체 코드 060G1476 호환 확인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2</v>
      </c>
      <c r="E9" s="34" t="inlineStr">
        <is>
          <t>DANFOSS</t>
        </is>
      </c>
      <c r="F9" s="36" t="inlineStr">
        <is>
          <t>Pressure transmitter DANFOSS</t>
        </is>
      </c>
      <c r="G9" s="36" t="inlineStr">
        <is>
          <t>DANFOSS</t>
        </is>
      </c>
      <c r="H9" s="36" t="inlineStr">
        <is>
          <t>MBS3300 / -1…15 BAR (060G6736)</t>
        </is>
      </c>
      <c r="I9" s="36" t="inlineStr">
        <is>
          <t>Main Engine</t>
        </is>
      </c>
      <c r="J9" s="36" t="n"/>
      <c r="K9" s="34" t="n">
        <v>1</v>
      </c>
      <c r="L9" s="34" t="inlineStr">
        <is>
          <t>PCE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250000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ALL; D/T: 90 DAYS, GENUINE, EX WORK BUSAN [VALI: 20 DAYS]</t>
        </is>
      </c>
      <c r="AC9" s="34" t="inlineStr">
        <is>
          <t>검토중</t>
        </is>
      </c>
      <c r="AD9" s="36" t="inlineStr">
        <is>
          <t>긴급 – 납기 90일, 단축 가능 여부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2</v>
      </c>
      <c r="E10" s="34" t="inlineStr">
        <is>
          <t>DANFOSS</t>
        </is>
      </c>
      <c r="F10" s="36" t="inlineStr">
        <is>
          <t>Pressure transmitter DANFOSS</t>
        </is>
      </c>
      <c r="G10" s="36" t="inlineStr">
        <is>
          <t>DANFOSS</t>
        </is>
      </c>
      <c r="H10" s="36" t="inlineStr">
        <is>
          <t>MBS3300 / -1…15 BAR (060G6736)</t>
        </is>
      </c>
      <c r="I10" s="36" t="inlineStr">
        <is>
          <t>Main Engine</t>
        </is>
      </c>
      <c r="J10" s="36" t="n"/>
      <c r="K10" s="34" t="n">
        <v>1</v>
      </c>
      <c r="L10" s="34" t="inlineStr">
        <is>
          <t>PCE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286.89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49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Q.0000122662] MBS3300 -1/+15 BAR 060G6736 MBS3300-8911-A6GB08-2 ATEX / *del time: 6-7 weeks* *item cannot be returned*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3</v>
      </c>
      <c r="E11" s="34" t="inlineStr">
        <is>
          <t>DANFOSS</t>
        </is>
      </c>
      <c r="F11" s="36" t="inlineStr">
        <is>
          <t>Pressure transmitter DANFOSS</t>
        </is>
      </c>
      <c r="G11" s="36" t="inlineStr">
        <is>
          <t>DANFOSS</t>
        </is>
      </c>
      <c r="H11" s="36" t="inlineStr">
        <is>
          <t>MBS9300 / -0.1 ... 0.2 BAR (064G5260)</t>
        </is>
      </c>
      <c r="I11" s="36" t="inlineStr">
        <is>
          <t>Main Engine</t>
        </is>
      </c>
      <c r="J11" s="36" t="n"/>
      <c r="K11" s="34" t="n">
        <v>1</v>
      </c>
      <c r="L11" s="34" t="inlineStr">
        <is>
          <t>PCE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337000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90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ALL; D/T: 90 DAYS, GENUINE, EX WORK BUSAN [VALI: 20 DAYS]</t>
        </is>
      </c>
      <c r="AC11" s="34" t="inlineStr">
        <is>
          <t>검토중</t>
        </is>
      </c>
      <c r="AD11" s="36" t="inlineStr">
        <is>
          <t>긴급 – 납기 90일, 단축 가능 여부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KQU-000116305</t>
        </is>
      </c>
      <c r="C12" s="34" t="inlineStr">
        <is>
          <t>03</t>
        </is>
      </c>
      <c r="D12" s="34" t="n">
        <v>3</v>
      </c>
      <c r="E12" s="34" t="inlineStr">
        <is>
          <t>DANFOSS</t>
        </is>
      </c>
      <c r="F12" s="36" t="inlineStr">
        <is>
          <t>Pressure transmitter DANFOSS</t>
        </is>
      </c>
      <c r="G12" s="36" t="inlineStr">
        <is>
          <t>DANFOSS</t>
        </is>
      </c>
      <c r="H12" s="36" t="inlineStr">
        <is>
          <t>MBS9300 / -0.1 ... 0.2 BAR (064G5260)</t>
        </is>
      </c>
      <c r="I12" s="36" t="inlineStr">
        <is>
          <t>Main Engine</t>
        </is>
      </c>
      <c r="J12" s="36" t="n"/>
      <c r="K12" s="34" t="n">
        <v>1</v>
      </c>
      <c r="L12" s="34" t="inlineStr">
        <is>
          <t>PCE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359.88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49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Q.0000122662] MBS9300 -100/+200 MBAR 064G5260 MBS 9300-Q911-A1GB04-1 / *del time: 6-7 weeks*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KQU-000116306</t>
        </is>
      </c>
      <c r="C13" s="34" t="inlineStr">
        <is>
          <t>04</t>
        </is>
      </c>
      <c r="D13" s="34" t="n">
        <v>2</v>
      </c>
      <c r="E13" s="34" t="inlineStr">
        <is>
          <t>WAGO</t>
        </is>
      </c>
      <c r="F13" s="36" t="inlineStr">
        <is>
          <t>SD Card for EGR O2 sensors</t>
        </is>
      </c>
      <c r="G13" s="36" t="inlineStr">
        <is>
          <t>WAGO / 758-879/000-001</t>
        </is>
      </c>
      <c r="H13" s="36" t="n"/>
      <c r="I13" s="36" t="inlineStr">
        <is>
          <t>ME EGR O2 Sensor</t>
        </is>
      </c>
      <c r="J13" s="36" t="n"/>
      <c r="K13" s="34" t="n">
        <v>3</v>
      </c>
      <c r="L13" s="34" t="inlineStr">
        <is>
          <t>pcs</t>
        </is>
      </c>
      <c r="M13" s="34" t="inlineStr">
        <is>
          <t>RMS</t>
        </is>
      </c>
      <c r="N13" s="34" t="inlineStr">
        <is>
          <t>공급불가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5" t="n"/>
      <c r="AA13" s="54">
        <f>IF(OR(Z13="",Y13=""),"",Z13+Y13)</f>
        <v/>
      </c>
      <c r="AB13" s="36" t="inlineStr">
        <is>
          <t>NOT AVAILABLE</t>
        </is>
      </c>
      <c r="AC13" s="34" t="inlineStr">
        <is>
          <t>타업체 문의</t>
        </is>
      </c>
      <c r="AD13" s="36" t="inlineStr">
        <is>
          <t>타 업체 견적 요청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KQU-000116306</t>
        </is>
      </c>
      <c r="C14" s="34" t="inlineStr">
        <is>
          <t>04</t>
        </is>
      </c>
      <c r="D14" s="34" t="n">
        <v>2</v>
      </c>
      <c r="E14" s="34" t="inlineStr">
        <is>
          <t>WAGO</t>
        </is>
      </c>
      <c r="F14" s="36" t="inlineStr">
        <is>
          <t>SD Card for EGR O2 sensors</t>
        </is>
      </c>
      <c r="G14" s="36" t="inlineStr">
        <is>
          <t>WAGO / 758-879/000-001</t>
        </is>
      </c>
      <c r="H14" s="36" t="n"/>
      <c r="I14" s="36" t="inlineStr">
        <is>
          <t>ME EGR O2 Sensor</t>
        </is>
      </c>
      <c r="J14" s="36" t="inlineStr">
        <is>
          <t>AFS 형번 758-879/000-000 (요청 000-001)</t>
        </is>
      </c>
      <c r="K14" s="34" t="n">
        <v>3</v>
      </c>
      <c r="L14" s="34" t="inlineStr">
        <is>
          <t>pcs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174.41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42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Q.0000122664] WAGO 1 GB INDUSTRIAL SD CARD 758-879/000-000 / *del time: 4-6 weeks* *item cannot be returned*</t>
        </is>
      </c>
      <c r="AC14" s="34" t="inlineStr">
        <is>
          <t>검토중</t>
        </is>
      </c>
      <c r="AD14" s="36" t="inlineStr">
        <is>
          <t>AFS 견적서엔 AEOLUS 표기 – RFQ상 MELICERTES 품목 / 형번 끝자리(000 vs 001)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RFQ-05</t>
        </is>
      </c>
      <c r="C15" s="34" t="inlineStr">
        <is>
          <t>05</t>
        </is>
      </c>
      <c r="D15" s="34" t="n">
        <v>1</v>
      </c>
      <c r="E15" s="34" t="inlineStr">
        <is>
          <t>PHOENIX CONTACT</t>
        </is>
      </c>
      <c r="F15" s="36" t="inlineStr">
        <is>
          <t>DC power supply unit</t>
        </is>
      </c>
      <c r="G15" s="36" t="inlineStr">
        <is>
          <t>QUINT4-PS/1AC/24DC/40</t>
        </is>
      </c>
      <c r="H15" s="36" t="inlineStr">
        <is>
          <t>2904603</t>
        </is>
      </c>
      <c r="I15" s="36" t="n"/>
      <c r="J15" s="36" t="n"/>
      <c r="K15" s="34" t="n">
        <v>1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845.3200000000001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2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Q.0000122665] PHOENIX CONTACT - DC POWER SUPPLY UNIT QUINT4-PS/1AC/24DC/40 - 2904603 / *del time: 2 days*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RFQ-05</t>
        </is>
      </c>
      <c r="C16" s="34" t="inlineStr">
        <is>
          <t>05</t>
        </is>
      </c>
      <c r="D16" s="34" t="n">
        <v>2</v>
      </c>
      <c r="E16" s="34" t="inlineStr">
        <is>
          <t>PHOENIX CONTACT</t>
        </is>
      </c>
      <c r="F16" s="36" t="inlineStr">
        <is>
          <t>UPS Power Supply Unit Quint</t>
        </is>
      </c>
      <c r="G16" s="36" t="inlineStr">
        <is>
          <t>QUINT (전체 형번 필요)</t>
        </is>
      </c>
      <c r="H16" s="36" t="inlineStr">
        <is>
          <t>Part no. 6097173-1</t>
        </is>
      </c>
      <c r="I16" s="36" t="n"/>
      <c r="J16" s="36" t="n"/>
      <c r="K16" s="34" t="n">
        <v>2</v>
      </c>
      <c r="L16" s="34" t="inlineStr">
        <is>
          <t>PCS</t>
        </is>
      </c>
      <c r="M16" s="34" t="inlineStr">
        <is>
          <t>AFS</t>
        </is>
      </c>
      <c r="N16" s="34" t="inlineStr">
        <is>
          <t>확인필요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Q.0000122665] *remarks from supplier: Quint is name of complete serie, Need complete type nr. (Like item 1)*</t>
        </is>
      </c>
      <c r="AC16" s="34" t="inlineStr">
        <is>
          <t>정보 송부필요</t>
        </is>
      </c>
      <c r="AD16" s="36" t="inlineStr">
        <is>
          <t>명판 사진으로 전체 형번(예: QUINT4-…) 확인해 AFS에 송부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KQU-000116308</t>
        </is>
      </c>
      <c r="C17" s="34" t="inlineStr">
        <is>
          <t>07</t>
        </is>
      </c>
      <c r="D17" s="34" t="n">
        <v>1</v>
      </c>
      <c r="E17" s="34" t="inlineStr">
        <is>
          <t>VEGA</t>
        </is>
      </c>
      <c r="F17" s="36" t="inlineStr">
        <is>
          <t>DIFF. PRESS TRANSMITTER MASTER</t>
        </is>
      </c>
      <c r="G17" s="36" t="inlineStr">
        <is>
          <t>VEGABAR 83</t>
        </is>
      </c>
      <c r="H17" s="36" t="inlineStr">
        <is>
          <t>S/N:6290676 Order NO.:3026652/1 2022</t>
        </is>
      </c>
      <c r="I17" s="36" t="inlineStr">
        <is>
          <t>Main Engine EGR Water (1701)</t>
        </is>
      </c>
      <c r="J17" s="36" t="n"/>
      <c r="K17" s="34" t="n">
        <v>1</v>
      </c>
      <c r="L17" s="34" t="inlineStr">
        <is>
          <t>pce</t>
        </is>
      </c>
      <c r="M17" s="34" t="inlineStr">
        <is>
          <t>RMS</t>
        </is>
      </c>
      <c r="N17" s="34" t="inlineStr">
        <is>
          <t>공급불가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NOT AVAILABLE</t>
        </is>
      </c>
      <c r="AC17" s="34" t="inlineStr">
        <is>
          <t>타업체 문의</t>
        </is>
      </c>
      <c r="AD17" s="36" t="inlineStr">
        <is>
          <t>타 업체 견적 요청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KQU-000116308</t>
        </is>
      </c>
      <c r="C18" s="34" t="inlineStr">
        <is>
          <t>07</t>
        </is>
      </c>
      <c r="D18" s="34" t="n">
        <v>1</v>
      </c>
      <c r="E18" s="34" t="inlineStr">
        <is>
          <t>VEGA</t>
        </is>
      </c>
      <c r="F18" s="36" t="inlineStr">
        <is>
          <t>DIFF. PRESS TRANSMITTER MASTER</t>
        </is>
      </c>
      <c r="G18" s="36" t="inlineStr">
        <is>
          <t>VEGABAR 83</t>
        </is>
      </c>
      <c r="H18" s="36" t="inlineStr">
        <is>
          <t>S/N:6290676 Order NO.:3026652/1 2022</t>
        </is>
      </c>
      <c r="I18" s="36" t="inlineStr">
        <is>
          <t>Main Engine EGR Water (1701)</t>
        </is>
      </c>
      <c r="J18" s="36" t="inlineStr">
        <is>
          <t>AFS 제안: VEGABAR 83 B83.AMDUSGGMSXKI1XX</t>
        </is>
      </c>
      <c r="K18" s="34" t="n">
        <v>1</v>
      </c>
      <c r="L18" s="34" t="inlineStr">
        <is>
          <t>pce</t>
        </is>
      </c>
      <c r="M18" s="34" t="inlineStr">
        <is>
          <t>AFS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EUR</t>
        </is>
      </c>
      <c r="Q18" s="51" t="n">
        <v>1441.63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8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미기재 (AFS 네덜란드)</t>
        </is>
      </c>
      <c r="Y18" s="34" t="n"/>
      <c r="Z18" s="56" t="n">
        <v>46317</v>
      </c>
      <c r="AA18" s="54">
        <f>IF(OR(Z18="",Y18=""),"",Z18+Y18)</f>
        <v/>
      </c>
      <c r="AB18" s="36" t="inlineStr">
        <is>
          <t>[AFS Q.0000122667] VEGABAR 83 B83.AMDUSGGMSXKI1XX / *del time: 8 days* *item cannot be returned*</t>
        </is>
      </c>
      <c r="AC18" s="34" t="inlineStr">
        <is>
          <t>검토중</t>
        </is>
      </c>
      <c r="AD18" s="36" t="inlineStr">
        <is>
          <t>반품 불가 조건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KQU-000116308</t>
        </is>
      </c>
      <c r="C19" s="34" t="inlineStr">
        <is>
          <t>07</t>
        </is>
      </c>
      <c r="D19" s="34" t="n">
        <v>2</v>
      </c>
      <c r="E19" s="34" t="inlineStr">
        <is>
          <t>VEGA</t>
        </is>
      </c>
      <c r="F19" s="36" t="inlineStr">
        <is>
          <t>DIFF. PRESS TRANSMITTER SLAVE</t>
        </is>
      </c>
      <c r="G19" s="36" t="inlineStr">
        <is>
          <t>VEGABAR 83</t>
        </is>
      </c>
      <c r="H19" s="36" t="inlineStr">
        <is>
          <t>S/N: 60392712 Order NO.:3029976/2 2022</t>
        </is>
      </c>
      <c r="I19" s="36" t="inlineStr">
        <is>
          <t>Main Engine EGR Water (1701)</t>
        </is>
      </c>
      <c r="J19" s="36" t="n"/>
      <c r="K19" s="34" t="n">
        <v>1</v>
      </c>
      <c r="L19" s="34" t="inlineStr">
        <is>
          <t>pce</t>
        </is>
      </c>
      <c r="M19" s="34" t="inlineStr">
        <is>
          <t>RMS</t>
        </is>
      </c>
      <c r="N19" s="34" t="inlineStr">
        <is>
          <t>공급불가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NOT AVAILABLE</t>
        </is>
      </c>
      <c r="AC19" s="34" t="inlineStr">
        <is>
          <t>타업체 문의</t>
        </is>
      </c>
      <c r="AD19" s="36" t="inlineStr">
        <is>
          <t>타 업체 견적 요청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KQU-000116308</t>
        </is>
      </c>
      <c r="C20" s="34" t="inlineStr">
        <is>
          <t>07</t>
        </is>
      </c>
      <c r="D20" s="34" t="n">
        <v>2</v>
      </c>
      <c r="E20" s="34" t="inlineStr">
        <is>
          <t>VEGA</t>
        </is>
      </c>
      <c r="F20" s="36" t="inlineStr">
        <is>
          <t>DIFF. PRESS TRANSMITTER SLAVE</t>
        </is>
      </c>
      <c r="G20" s="36" t="inlineStr">
        <is>
          <t>VEGABAR 83</t>
        </is>
      </c>
      <c r="H20" s="36" t="inlineStr">
        <is>
          <t>S/N: 60392712 Order NO.:3029976/2 2022</t>
        </is>
      </c>
      <c r="I20" s="36" t="inlineStr">
        <is>
          <t>Main Engine EGR Water (1701)</t>
        </is>
      </c>
      <c r="J20" s="36" t="inlineStr">
        <is>
          <t>AFS 제안: VEGABAR 83 B83.AMDUSGGMHXKI1AX</t>
        </is>
      </c>
      <c r="K20" s="34" t="n">
        <v>1</v>
      </c>
      <c r="L20" s="34" t="inlineStr">
        <is>
          <t>pce</t>
        </is>
      </c>
      <c r="M20" s="34" t="inlineStr">
        <is>
          <t>AFS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EUR</t>
        </is>
      </c>
      <c r="Q20" s="51" t="n">
        <v>1696.66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8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inlineStr">
        <is>
          <t>미기재 (AFS 네덜란드)</t>
        </is>
      </c>
      <c r="Y20" s="34" t="n"/>
      <c r="Z20" s="56" t="n">
        <v>46317</v>
      </c>
      <c r="AA20" s="54">
        <f>IF(OR(Z20="",Y20=""),"",Z20+Y20)</f>
        <v/>
      </c>
      <c r="AB20" s="36" t="inlineStr">
        <is>
          <t>[AFS Q.0000122667] VEGABAR 83 B83.AMDUSGGMHXKI1AX / *del time: 8 days* *item cannot be returned*</t>
        </is>
      </c>
      <c r="AC20" s="34" t="inlineStr">
        <is>
          <t>검토중</t>
        </is>
      </c>
      <c r="AD20" s="36" t="inlineStr">
        <is>
          <t>반품 불가 조건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KQU-000116309</t>
        </is>
      </c>
      <c r="C21" s="34" t="inlineStr">
        <is>
          <t>08</t>
        </is>
      </c>
      <c r="D21" s="34" t="n">
        <v>1</v>
      </c>
      <c r="E21" s="34" t="inlineStr">
        <is>
          <t>SIEMENS</t>
        </is>
      </c>
      <c r="F21" s="36" t="inlineStr">
        <is>
          <t>Ip Converter Siemens Sipart sp2</t>
        </is>
      </c>
      <c r="G21" s="36" t="inlineStr">
        <is>
          <t>Siemens</t>
        </is>
      </c>
      <c r="H21" s="36" t="inlineStr">
        <is>
          <t>C73451-A430-D80</t>
        </is>
      </c>
      <c r="I21" s="36" t="inlineStr">
        <is>
          <t>Main engine</t>
        </is>
      </c>
      <c r="J21" s="36" t="n"/>
      <c r="K21" s="34" t="n">
        <v>2</v>
      </c>
      <c r="L21" s="34" t="inlineStr">
        <is>
          <t>pcs</t>
        </is>
      </c>
      <c r="M21" s="34" t="inlineStr">
        <is>
          <t>RMS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>
        <v>870000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>
        <v>60</v>
      </c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inlineStr">
        <is>
          <t>OEM</t>
        </is>
      </c>
      <c r="X21" s="34" t="inlineStr">
        <is>
          <t>EX WORK BUSAN</t>
        </is>
      </c>
      <c r="Y21" s="34" t="n">
        <v>20</v>
      </c>
      <c r="Z21" s="55" t="n"/>
      <c r="AA21" s="54">
        <f>IF(OR(Z21="",Y21=""),"",Z21+Y21)</f>
        <v/>
      </c>
      <c r="AB21" s="36" t="inlineStr">
        <is>
          <t>D/T: 60 DAYS, OEM, EX WORK BUSAN [VALI: 20 DAYS]</t>
        </is>
      </c>
      <c r="AC21" s="34" t="inlineStr">
        <is>
          <t>검토중</t>
        </is>
      </c>
      <c r="AD21" s="36" t="inlineStr">
        <is>
          <t>긴급 – 납기 60일, 단축 가능 여부 확인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KQU-000116313</t>
        </is>
      </c>
      <c r="C22" s="34" t="inlineStr">
        <is>
          <t>15</t>
        </is>
      </c>
      <c r="D22" s="34" t="n">
        <v>1</v>
      </c>
      <c r="E22" s="34" t="inlineStr">
        <is>
          <t>AQUAFILTER</t>
        </is>
      </c>
      <c r="F22" s="36" t="inlineStr">
        <is>
          <t>AIPRO-20M-QM</t>
        </is>
      </c>
      <c r="G22" s="36" t="inlineStr">
        <is>
          <t>TYPE: AQUAFILTER EXCITO-5-B</t>
        </is>
      </c>
      <c r="H22" s="36" t="n"/>
      <c r="I22" s="36" t="inlineStr">
        <is>
          <t>COMPONENT FOR WATER FOUNTAIN FILTERS</t>
        </is>
      </c>
      <c r="J22" s="36" t="n"/>
      <c r="K22" s="34" t="n">
        <v>6</v>
      </c>
      <c r="L22" s="34" t="inlineStr">
        <is>
          <t>PCS</t>
        </is>
      </c>
      <c r="M22" s="34" t="inlineStr">
        <is>
          <t>RMS</t>
        </is>
      </c>
      <c r="N22" s="34" t="inlineStr">
        <is>
          <t>확인필요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NEED TO CHECK ACTUAL PICTURES</t>
        </is>
      </c>
      <c r="AC22" s="34" t="inlineStr">
        <is>
          <t>정보 송부필요</t>
        </is>
      </c>
      <c r="AD22" s="36" t="inlineStr">
        <is>
          <t>실물 사진 RMS에 송부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KQU-000116313</t>
        </is>
      </c>
      <c r="C23" s="34" t="inlineStr">
        <is>
          <t>15</t>
        </is>
      </c>
      <c r="D23" s="34" t="n">
        <v>2</v>
      </c>
      <c r="E23" s="34" t="inlineStr">
        <is>
          <t>AQUAFILTER</t>
        </is>
      </c>
      <c r="F23" s="36" t="inlineStr">
        <is>
          <t>AISTRO-2-QM</t>
        </is>
      </c>
      <c r="G23" s="36" t="inlineStr">
        <is>
          <t>TYPE: AQUAFILTER EXCITO-5-B</t>
        </is>
      </c>
      <c r="H23" s="36" t="n"/>
      <c r="I23" s="36" t="inlineStr">
        <is>
          <t>COMPONENT FOR WATER FOUNTAIN FILTERS</t>
        </is>
      </c>
      <c r="J23" s="36" t="n"/>
      <c r="K23" s="34" t="n">
        <v>6</v>
      </c>
      <c r="L23" s="34" t="inlineStr">
        <is>
          <t>PCS</t>
        </is>
      </c>
      <c r="M23" s="34" t="inlineStr">
        <is>
          <t>RMS</t>
        </is>
      </c>
      <c r="N23" s="34" t="inlineStr">
        <is>
          <t>확인필요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NEED TO CHECK ACTUAL PICTURES</t>
        </is>
      </c>
      <c r="AC23" s="34" t="inlineStr">
        <is>
          <t>정보 송부필요</t>
        </is>
      </c>
      <c r="AD23" s="36" t="inlineStr">
        <is>
          <t>실물 사진 RMS에 송부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KQU-000116313</t>
        </is>
      </c>
      <c r="C24" s="34" t="inlineStr">
        <is>
          <t>15</t>
        </is>
      </c>
      <c r="D24" s="34" t="n">
        <v>3</v>
      </c>
      <c r="E24" s="34" t="inlineStr">
        <is>
          <t>AQUAFILTER</t>
        </is>
      </c>
      <c r="F24" s="36" t="inlineStr">
        <is>
          <t>AICRO-3-QM</t>
        </is>
      </c>
      <c r="G24" s="36" t="inlineStr">
        <is>
          <t>TYPE: AQUAFILTER EXCITO-5-B</t>
        </is>
      </c>
      <c r="H24" s="36" t="n"/>
      <c r="I24" s="36" t="inlineStr">
        <is>
          <t>COMPONENT FOR WATER FOUNTAIN FILTERS</t>
        </is>
      </c>
      <c r="J24" s="36" t="n"/>
      <c r="K24" s="34" t="n">
        <v>6</v>
      </c>
      <c r="L24" s="34" t="inlineStr">
        <is>
          <t>PCS</t>
        </is>
      </c>
      <c r="M24" s="34" t="inlineStr">
        <is>
          <t>RMS</t>
        </is>
      </c>
      <c r="N24" s="34" t="inlineStr">
        <is>
          <t>확인필요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NEED TO CHECK ACTUAL PICTURES</t>
        </is>
      </c>
      <c r="AC24" s="34" t="inlineStr">
        <is>
          <t>정보 송부필요</t>
        </is>
      </c>
      <c r="AD24" s="36" t="inlineStr">
        <is>
          <t>실물 사진 RMS에 송부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KQU-000116313</t>
        </is>
      </c>
      <c r="C25" s="34" t="inlineStr">
        <is>
          <t>15</t>
        </is>
      </c>
      <c r="D25" s="34" t="n">
        <v>4</v>
      </c>
      <c r="E25" s="34" t="inlineStr">
        <is>
          <t>AQUAFILTER</t>
        </is>
      </c>
      <c r="F25" s="36" t="inlineStr">
        <is>
          <t>AICRO-4-QM</t>
        </is>
      </c>
      <c r="G25" s="36" t="inlineStr">
        <is>
          <t>TYPE: AQUAFILTER EXCITO-5-B</t>
        </is>
      </c>
      <c r="H25" s="36" t="n"/>
      <c r="I25" s="36" t="inlineStr">
        <is>
          <t>COMPONENT FOR WATER FOUNTAIN FILTERS</t>
        </is>
      </c>
      <c r="J25" s="36" t="n"/>
      <c r="K25" s="34" t="n">
        <v>6</v>
      </c>
      <c r="L25" s="34" t="inlineStr">
        <is>
          <t>PCS</t>
        </is>
      </c>
      <c r="M25" s="34" t="inlineStr">
        <is>
          <t>RMS</t>
        </is>
      </c>
      <c r="N25" s="34" t="inlineStr">
        <is>
          <t>확인필요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NEED TO CHECK ACTUAL PICTURES</t>
        </is>
      </c>
      <c r="AC25" s="34" t="inlineStr">
        <is>
          <t>정보 송부필요</t>
        </is>
      </c>
      <c r="AD25" s="36" t="inlineStr">
        <is>
          <t>실물 사진 RMS에 송부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KQU-000116313</t>
        </is>
      </c>
      <c r="C26" s="34" t="inlineStr">
        <is>
          <t>15</t>
        </is>
      </c>
      <c r="D26" s="34" t="n">
        <v>5</v>
      </c>
      <c r="E26" s="34" t="inlineStr">
        <is>
          <t>AQUAFILTER</t>
        </is>
      </c>
      <c r="F26" s="36" t="inlineStr">
        <is>
          <t>UF MEMBRANE</t>
        </is>
      </c>
      <c r="G26" s="36" t="inlineStr">
        <is>
          <t>TYPE: AQUAFILTER EXCITO-5-B</t>
        </is>
      </c>
      <c r="H26" s="36" t="n"/>
      <c r="I26" s="36" t="inlineStr">
        <is>
          <t>COMPONENT FOR WATER FOUNTAIN FILTERS</t>
        </is>
      </c>
      <c r="J26" s="36" t="n"/>
      <c r="K26" s="34" t="n">
        <v>6</v>
      </c>
      <c r="L26" s="34" t="inlineStr">
        <is>
          <t>PCS</t>
        </is>
      </c>
      <c r="M26" s="34" t="inlineStr">
        <is>
          <t>RMS</t>
        </is>
      </c>
      <c r="N26" s="34" t="inlineStr">
        <is>
          <t>확인필요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5" t="n"/>
      <c r="AA26" s="54">
        <f>IF(OR(Z26="",Y26=""),"",Z26+Y26)</f>
        <v/>
      </c>
      <c r="AB26" s="36" t="inlineStr">
        <is>
          <t>NEED TO CHECK ACTUAL PICTURES</t>
        </is>
      </c>
      <c r="AC26" s="34" t="inlineStr">
        <is>
          <t>정보 송부필요</t>
        </is>
      </c>
      <c r="AD26" s="36" t="inlineStr">
        <is>
          <t>실물 사진 RMS에 송부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KQU-000116301</t>
        </is>
      </c>
      <c r="C27" s="34" t="inlineStr">
        <is>
          <t>27</t>
        </is>
      </c>
      <c r="D27" s="34" t="n">
        <v>1</v>
      </c>
      <c r="E27" s="34" t="inlineStr">
        <is>
          <t>MRC</t>
        </is>
      </c>
      <c r="F27" s="36" t="inlineStr">
        <is>
          <t>Handset with cord</t>
        </is>
      </c>
      <c r="G27" s="36" t="inlineStr">
        <is>
          <t>MRC / LVD -115D</t>
        </is>
      </c>
      <c r="H27" s="36" t="n"/>
      <c r="I27" s="36" t="inlineStr">
        <is>
          <t>Telephone system</t>
        </is>
      </c>
      <c r="J27" s="36" t="inlineStr">
        <is>
          <t>RMS: 전화기 ASSY로 견적</t>
        </is>
      </c>
      <c r="K27" s="34" t="n">
        <v>2</v>
      </c>
      <c r="L27" s="34" t="inlineStr">
        <is>
          <t>pcs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390000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14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COMPATIBLE</t>
        </is>
      </c>
      <c r="X27" s="34" t="inlineStr">
        <is>
          <t>EX WORK BUSAN</t>
        </is>
      </c>
      <c r="Y27" s="34" t="n"/>
      <c r="Z27" s="55" t="n"/>
      <c r="AA27" s="54">
        <f>IF(OR(Z27="",Y27=""),"",Z27+Y27)</f>
        <v/>
      </c>
      <c r="AB27" s="36" t="inlineStr">
        <is>
          <t>QUOTE AS TELEPHONE ASSY &amp; NEED TO CHECK IP ADDRESS, ID &amp; PASSWORD // D/T: 10 WORKING DAYS, COMPATIBLE, EX WORK BUSAN</t>
        </is>
      </c>
      <c r="AC27" s="34" t="inlineStr">
        <is>
          <t>정보 송부필요</t>
        </is>
      </c>
      <c r="AD27" s="36" t="inlineStr">
        <is>
          <t>IP 주소·ID·비밀번호 확인해 RMS 회신 / 호환품(COMPATIBLE) 승인 여부 / 유효기간 미기재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BOSUNG-01</t>
        </is>
      </c>
      <c r="C28" s="34" t="inlineStr">
        <is>
          <t>B01</t>
        </is>
      </c>
      <c r="D28" s="34" t="n">
        <v>2</v>
      </c>
      <c r="E28" s="34" t="inlineStr">
        <is>
          <t>DONGHWA PNEUTEC</t>
        </is>
      </c>
      <c r="F28" s="36" t="inlineStr">
        <is>
          <t>EL Motor</t>
        </is>
      </c>
      <c r="G28" s="36" t="n"/>
      <c r="H28" s="36" t="n"/>
      <c r="I28" s="36" t="inlineStr">
        <is>
          <t>Control Service Air Compressor</t>
        </is>
      </c>
      <c r="J28" s="36" t="n"/>
      <c r="K28" s="34" t="n">
        <v>1</v>
      </c>
      <c r="L28" s="34" t="inlineStr">
        <is>
          <t>pce</t>
        </is>
      </c>
      <c r="M28" s="34" t="inlineStr">
        <is>
          <t>BOSUNG</t>
        </is>
      </c>
      <c r="N28" s="34" t="inlineStr">
        <is>
          <t>미접수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5" t="n"/>
      <c r="AA28" s="54">
        <f>IF(OR(Z28="",Y28=""),"",Z28+Y28)</f>
        <v/>
      </c>
      <c r="AB28" s="36" t="inlineStr">
        <is>
          <t>[보성 RFQ 01 발송 2026-10-19] 회신 대기</t>
        </is>
      </c>
      <c r="AC28" s="34" t="inlineStr">
        <is>
          <t>검토중</t>
        </is>
      </c>
      <c r="AD28" s="36" t="inlineStr">
        <is>
          <t>보성 견적 회신 대기</t>
        </is>
      </c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BOSUNG-01</t>
        </is>
      </c>
      <c r="C29" s="34" t="inlineStr">
        <is>
          <t>B01</t>
        </is>
      </c>
      <c r="D29" s="34" t="n">
        <v>3</v>
      </c>
      <c r="E29" s="34" t="inlineStr">
        <is>
          <t>DONGHWA PNEUTEC</t>
        </is>
      </c>
      <c r="F29" s="36" t="inlineStr">
        <is>
          <t>Impeller for EL Motor--Item NO.6</t>
        </is>
      </c>
      <c r="G29" s="36" t="n"/>
      <c r="H29" s="36" t="n"/>
      <c r="I29" s="36" t="inlineStr">
        <is>
          <t>Control Service Air Compressor</t>
        </is>
      </c>
      <c r="J29" s="36" t="n"/>
      <c r="K29" s="34" t="n">
        <v>1</v>
      </c>
      <c r="L29" s="34" t="inlineStr">
        <is>
          <t>pce</t>
        </is>
      </c>
      <c r="M29" s="34" t="inlineStr">
        <is>
          <t>BOSUNG</t>
        </is>
      </c>
      <c r="N29" s="34" t="inlineStr">
        <is>
          <t>미접수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5" t="n"/>
      <c r="AA29" s="54">
        <f>IF(OR(Z29="",Y29=""),"",Z29+Y29)</f>
        <v/>
      </c>
      <c r="AB29" s="36" t="inlineStr">
        <is>
          <t>[보성 RFQ 01 발송 2026-10-19] 회신 대기</t>
        </is>
      </c>
      <c r="AC29" s="34" t="inlineStr">
        <is>
          <t>검토중</t>
        </is>
      </c>
      <c r="AD29" s="36" t="inlineStr">
        <is>
          <t>보성 견적 회신 대기</t>
        </is>
      </c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BOSUNG-02</t>
        </is>
      </c>
      <c r="C30" s="34" t="inlineStr">
        <is>
          <t>B02</t>
        </is>
      </c>
      <c r="D30" s="34" t="n">
        <v>1</v>
      </c>
      <c r="E30" s="34" t="inlineStr">
        <is>
          <t>SAMKUN CENTURY</t>
        </is>
      </c>
      <c r="F30" s="36" t="inlineStr">
        <is>
          <t>SANITARY GASKET</t>
        </is>
      </c>
      <c r="G30" s="36" t="inlineStr">
        <is>
          <t>JSA-4999</t>
        </is>
      </c>
      <c r="H30" s="36" t="inlineStr">
        <is>
          <t>Doc. No. H20220602002-01</t>
        </is>
      </c>
      <c r="I30" s="36" t="inlineStr">
        <is>
          <t>U.V. STERILIZER</t>
        </is>
      </c>
      <c r="J30" s="36" t="inlineStr">
        <is>
          <t>80A, SILICON</t>
        </is>
      </c>
      <c r="K30" s="34" t="n">
        <v>2</v>
      </c>
      <c r="L30" s="34" t="inlineStr">
        <is>
          <t>pcs</t>
        </is>
      </c>
      <c r="M30" s="34" t="inlineStr">
        <is>
          <t>BOSUNG</t>
        </is>
      </c>
      <c r="N30" s="34" t="inlineStr">
        <is>
          <t>미접수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5" t="n"/>
      <c r="AA30" s="54">
        <f>IF(OR(Z30="",Y30=""),"",Z30+Y30)</f>
        <v/>
      </c>
      <c r="AB30" s="36" t="inlineStr">
        <is>
          <t>[보성 RFQ 02 발송 2026-10-19] 회신 대기</t>
        </is>
      </c>
      <c r="AC30" s="34" t="inlineStr">
        <is>
          <t>검토중</t>
        </is>
      </c>
      <c r="AD30" s="36" t="inlineStr">
        <is>
          <t>보성 견적 회신 대기</t>
        </is>
      </c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BOSUNG-02</t>
        </is>
      </c>
      <c r="C31" s="34" t="inlineStr">
        <is>
          <t>B02</t>
        </is>
      </c>
      <c r="D31" s="34" t="n">
        <v>2</v>
      </c>
      <c r="E31" s="34" t="inlineStr">
        <is>
          <t>SAMKUN CENTURY</t>
        </is>
      </c>
      <c r="F31" s="36" t="inlineStr">
        <is>
          <t>GLAND FITTING</t>
        </is>
      </c>
      <c r="G31" s="36" t="inlineStr">
        <is>
          <t>JSA-5000</t>
        </is>
      </c>
      <c r="H31" s="36" t="inlineStr">
        <is>
          <t>Doc. No. H20220602002-02</t>
        </is>
      </c>
      <c r="I31" s="36" t="inlineStr">
        <is>
          <t>U.V. STERILIZER</t>
        </is>
      </c>
      <c r="J31" s="36" t="inlineStr">
        <is>
          <t>TOP</t>
        </is>
      </c>
      <c r="K31" s="34" t="n">
        <v>2</v>
      </c>
      <c r="L31" s="34" t="inlineStr">
        <is>
          <t>pcs</t>
        </is>
      </c>
      <c r="M31" s="34" t="inlineStr">
        <is>
          <t>BOSUNG</t>
        </is>
      </c>
      <c r="N31" s="34" t="inlineStr">
        <is>
          <t>미접수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5" t="n"/>
      <c r="AA31" s="54">
        <f>IF(OR(Z31="",Y31=""),"",Z31+Y31)</f>
        <v/>
      </c>
      <c r="AB31" s="36" t="inlineStr">
        <is>
          <t>[보성 RFQ 02 발송 2026-10-19] 회신 대기</t>
        </is>
      </c>
      <c r="AC31" s="34" t="inlineStr">
        <is>
          <t>검토중</t>
        </is>
      </c>
      <c r="AD31" s="36" t="inlineStr">
        <is>
          <t>보성 견적 회신 대기</t>
        </is>
      </c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inlineStr">
        <is>
          <t>BOSUNG-02</t>
        </is>
      </c>
      <c r="C32" s="34" t="inlineStr">
        <is>
          <t>B02</t>
        </is>
      </c>
      <c r="D32" s="34" t="n">
        <v>3</v>
      </c>
      <c r="E32" s="34" t="inlineStr">
        <is>
          <t>SAMKUN CENTURY</t>
        </is>
      </c>
      <c r="F32" s="36" t="inlineStr">
        <is>
          <t>BACKUP RING</t>
        </is>
      </c>
      <c r="G32" s="36" t="inlineStr">
        <is>
          <t>JSA-5001</t>
        </is>
      </c>
      <c r="H32" s="36" t="inlineStr">
        <is>
          <t>Doc. No. H20220602002-03</t>
        </is>
      </c>
      <c r="I32" s="36" t="inlineStr">
        <is>
          <t>U.V. STERILIZER</t>
        </is>
      </c>
      <c r="J32" s="36" t="n"/>
      <c r="K32" s="34" t="n">
        <v>4</v>
      </c>
      <c r="L32" s="34" t="inlineStr">
        <is>
          <t>pcs</t>
        </is>
      </c>
      <c r="M32" s="34" t="inlineStr">
        <is>
          <t>BOSUNG</t>
        </is>
      </c>
      <c r="N32" s="34" t="inlineStr">
        <is>
          <t>미접수</t>
        </is>
      </c>
      <c r="O32" s="50">
        <f>IF(N(AH32)&gt;1,"중복 "&amp;AH32&amp;"곳"&amp;IF(AK32=1," · 최저가",IF(AND(N32="견적접수",R32&lt;&gt;"")," · 비쌈","")),"")</f>
        <v/>
      </c>
      <c r="P32" s="34" t="inlineStr">
        <is>
          <t>KRW</t>
        </is>
      </c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5" t="n"/>
      <c r="AA32" s="54">
        <f>IF(OR(Z32="",Y32=""),"",Z32+Y32)</f>
        <v/>
      </c>
      <c r="AB32" s="36" t="inlineStr">
        <is>
          <t>[보성 RFQ 02 발송 2026-10-19] 회신 대기</t>
        </is>
      </c>
      <c r="AC32" s="34" t="inlineStr">
        <is>
          <t>검토중</t>
        </is>
      </c>
      <c r="AD32" s="36" t="inlineStr">
        <is>
          <t>보성 견적 회신 대기</t>
        </is>
      </c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inlineStr">
        <is>
          <t>BOSUNG-02</t>
        </is>
      </c>
      <c r="C33" s="34" t="inlineStr">
        <is>
          <t>B02</t>
        </is>
      </c>
      <c r="D33" s="34" t="n">
        <v>4</v>
      </c>
      <c r="E33" s="34" t="inlineStr">
        <is>
          <t>SAMKUN CENTURY</t>
        </is>
      </c>
      <c r="F33" s="36" t="inlineStr">
        <is>
          <t>O-RING</t>
        </is>
      </c>
      <c r="G33" s="36" t="inlineStr">
        <is>
          <t>JSA-5002</t>
        </is>
      </c>
      <c r="H33" s="36" t="inlineStr">
        <is>
          <t>Doc. No. H20220602002-04</t>
        </is>
      </c>
      <c r="I33" s="36" t="inlineStr">
        <is>
          <t>U.V. STERILIZER</t>
        </is>
      </c>
      <c r="J33" s="36" t="n"/>
      <c r="K33" s="34" t="n">
        <v>4</v>
      </c>
      <c r="L33" s="34" t="inlineStr">
        <is>
          <t>pcs</t>
        </is>
      </c>
      <c r="M33" s="34" t="inlineStr">
        <is>
          <t>BOSUNG</t>
        </is>
      </c>
      <c r="N33" s="34" t="inlineStr">
        <is>
          <t>미접수</t>
        </is>
      </c>
      <c r="O33" s="50">
        <f>IF(N(AH33)&gt;1,"중복 "&amp;AH33&amp;"곳"&amp;IF(AK33=1," · 최저가",IF(AND(N33="견적접수",R33&lt;&gt;"")," · 비쌈","")),"")</f>
        <v/>
      </c>
      <c r="P33" s="34" t="inlineStr">
        <is>
          <t>KRW</t>
        </is>
      </c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5" t="n"/>
      <c r="AA33" s="54">
        <f>IF(OR(Z33="",Y33=""),"",Z33+Y33)</f>
        <v/>
      </c>
      <c r="AB33" s="36" t="inlineStr">
        <is>
          <t>[보성 RFQ 02 발송 2026-10-19] 회신 대기</t>
        </is>
      </c>
      <c r="AC33" s="34" t="inlineStr">
        <is>
          <t>검토중</t>
        </is>
      </c>
      <c r="AD33" s="36" t="inlineStr">
        <is>
          <t>보성 견적 회신 대기</t>
        </is>
      </c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inlineStr">
        <is>
          <t>BOSUNG-02</t>
        </is>
      </c>
      <c r="C34" s="34" t="inlineStr">
        <is>
          <t>B02</t>
        </is>
      </c>
      <c r="D34" s="34" t="n">
        <v>5</v>
      </c>
      <c r="E34" s="34" t="inlineStr">
        <is>
          <t>SAMKUN CENTURY</t>
        </is>
      </c>
      <c r="F34" s="36" t="inlineStr">
        <is>
          <t>O-RING</t>
        </is>
      </c>
      <c r="G34" s="36" t="inlineStr">
        <is>
          <t>JSA-5003</t>
        </is>
      </c>
      <c r="H34" s="36" t="inlineStr">
        <is>
          <t>Doc. No. H20220602002-05</t>
        </is>
      </c>
      <c r="I34" s="36" t="inlineStr">
        <is>
          <t>U.V. STERILIZER</t>
        </is>
      </c>
      <c r="J34" s="36" t="n"/>
      <c r="K34" s="34" t="n">
        <v>4</v>
      </c>
      <c r="L34" s="34" t="inlineStr">
        <is>
          <t>pcs</t>
        </is>
      </c>
      <c r="M34" s="34" t="inlineStr">
        <is>
          <t>BOSUNG</t>
        </is>
      </c>
      <c r="N34" s="34" t="inlineStr">
        <is>
          <t>미접수</t>
        </is>
      </c>
      <c r="O34" s="50">
        <f>IF(N(AH34)&gt;1,"중복 "&amp;AH34&amp;"곳"&amp;IF(AK34=1," · 최저가",IF(AND(N34="견적접수",R34&lt;&gt;"")," · 비쌈","")),"")</f>
        <v/>
      </c>
      <c r="P34" s="34" t="inlineStr">
        <is>
          <t>KRW</t>
        </is>
      </c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5" t="n"/>
      <c r="AA34" s="54">
        <f>IF(OR(Z34="",Y34=""),"",Z34+Y34)</f>
        <v/>
      </c>
      <c r="AB34" s="36" t="inlineStr">
        <is>
          <t>[보성 RFQ 02 발송 2026-10-19] 회신 대기</t>
        </is>
      </c>
      <c r="AC34" s="34" t="inlineStr">
        <is>
          <t>검토중</t>
        </is>
      </c>
      <c r="AD34" s="36" t="inlineStr">
        <is>
          <t>보성 견적 회신 대기</t>
        </is>
      </c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inlineStr">
        <is>
          <t>BOSUNG-02</t>
        </is>
      </c>
      <c r="C35" s="34" t="inlineStr">
        <is>
          <t>B02</t>
        </is>
      </c>
      <c r="D35" s="34" t="n">
        <v>6</v>
      </c>
      <c r="E35" s="34" t="inlineStr">
        <is>
          <t>SAMKUN CENTURY</t>
        </is>
      </c>
      <c r="F35" s="36" t="inlineStr">
        <is>
          <t>SPONGE</t>
        </is>
      </c>
      <c r="G35" s="36" t="inlineStr">
        <is>
          <t>JSA-5004</t>
        </is>
      </c>
      <c r="H35" s="36" t="inlineStr">
        <is>
          <t>Doc. No. H20220602002-06</t>
        </is>
      </c>
      <c r="I35" s="36" t="inlineStr">
        <is>
          <t>U.V. STERILIZER</t>
        </is>
      </c>
      <c r="J35" s="36" t="n"/>
      <c r="K35" s="34" t="n">
        <v>4</v>
      </c>
      <c r="L35" s="34" t="inlineStr">
        <is>
          <t>pcs</t>
        </is>
      </c>
      <c r="M35" s="34" t="inlineStr">
        <is>
          <t>BOSUNG</t>
        </is>
      </c>
      <c r="N35" s="34" t="inlineStr">
        <is>
          <t>미접수</t>
        </is>
      </c>
      <c r="O35" s="50">
        <f>IF(N(AH35)&gt;1,"중복 "&amp;AH35&amp;"곳"&amp;IF(AK35=1," · 최저가",IF(AND(N35="견적접수",R35&lt;&gt;"")," · 비쌈","")),"")</f>
        <v/>
      </c>
      <c r="P35" s="34" t="inlineStr">
        <is>
          <t>KRW</t>
        </is>
      </c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5" t="n"/>
      <c r="AA35" s="54">
        <f>IF(OR(Z35="",Y35=""),"",Z35+Y35)</f>
        <v/>
      </c>
      <c r="AB35" s="36" t="inlineStr">
        <is>
          <t>[보성 RFQ 02 발송 2026-10-19] 회신 대기</t>
        </is>
      </c>
      <c r="AC35" s="34" t="inlineStr">
        <is>
          <t>검토중</t>
        </is>
      </c>
      <c r="AD35" s="36" t="inlineStr">
        <is>
          <t>보성 견적 회신 대기</t>
        </is>
      </c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inlineStr">
        <is>
          <t>BOSUNG-02</t>
        </is>
      </c>
      <c r="C36" s="34" t="inlineStr">
        <is>
          <t>B02</t>
        </is>
      </c>
      <c r="D36" s="34" t="n">
        <v>7</v>
      </c>
      <c r="E36" s="34" t="inlineStr">
        <is>
          <t>SAMKUN CENTURY</t>
        </is>
      </c>
      <c r="F36" s="36" t="inlineStr">
        <is>
          <t>GLAND FITTING</t>
        </is>
      </c>
      <c r="G36" s="36" t="inlineStr">
        <is>
          <t>JSA-5005</t>
        </is>
      </c>
      <c r="H36" s="36" t="inlineStr">
        <is>
          <t>Doc. No. H20220602002-07</t>
        </is>
      </c>
      <c r="I36" s="36" t="inlineStr">
        <is>
          <t>U.V. STERILIZER</t>
        </is>
      </c>
      <c r="J36" s="36" t="inlineStr">
        <is>
          <t>BOTTOM</t>
        </is>
      </c>
      <c r="K36" s="34" t="n">
        <v>2</v>
      </c>
      <c r="L36" s="34" t="inlineStr">
        <is>
          <t>pcs</t>
        </is>
      </c>
      <c r="M36" s="34" t="inlineStr">
        <is>
          <t>BOSUNG</t>
        </is>
      </c>
      <c r="N36" s="34" t="inlineStr">
        <is>
          <t>미접수</t>
        </is>
      </c>
      <c r="O36" s="50">
        <f>IF(N(AH36)&gt;1,"중복 "&amp;AH36&amp;"곳"&amp;IF(AK36=1," · 최저가",IF(AND(N36="견적접수",R36&lt;&gt;"")," · 비쌈","")),"")</f>
        <v/>
      </c>
      <c r="P36" s="34" t="inlineStr">
        <is>
          <t>KRW</t>
        </is>
      </c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5" t="n"/>
      <c r="AA36" s="54">
        <f>IF(OR(Z36="",Y36=""),"",Z36+Y36)</f>
        <v/>
      </c>
      <c r="AB36" s="36" t="inlineStr">
        <is>
          <t>[보성 RFQ 02 발송 2026-10-19] 회신 대기</t>
        </is>
      </c>
      <c r="AC36" s="34" t="inlineStr">
        <is>
          <t>검토중</t>
        </is>
      </c>
      <c r="AD36" s="36" t="inlineStr">
        <is>
          <t>보성 견적 회신 대기</t>
        </is>
      </c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inlineStr">
        <is>
          <t>BOSUNG-02</t>
        </is>
      </c>
      <c r="C37" s="34" t="inlineStr">
        <is>
          <t>B02</t>
        </is>
      </c>
      <c r="D37" s="34" t="n">
        <v>8</v>
      </c>
      <c r="E37" s="34" t="inlineStr">
        <is>
          <t>SAMKUN CENTURY</t>
        </is>
      </c>
      <c r="F37" s="36" t="inlineStr">
        <is>
          <t>U.V. LAMP, QUARTZ</t>
        </is>
      </c>
      <c r="G37" s="36" t="inlineStr">
        <is>
          <t>JSA-5006</t>
        </is>
      </c>
      <c r="H37" s="36" t="inlineStr">
        <is>
          <t>Doc. No. H20220602002-08</t>
        </is>
      </c>
      <c r="I37" s="36" t="inlineStr">
        <is>
          <t>U.V. STERILIZER</t>
        </is>
      </c>
      <c r="J37" s="36" t="n"/>
      <c r="K37" s="34" t="n">
        <v>2</v>
      </c>
      <c r="L37" s="34" t="inlineStr">
        <is>
          <t>pcs</t>
        </is>
      </c>
      <c r="M37" s="34" t="inlineStr">
        <is>
          <t>BOSUNG</t>
        </is>
      </c>
      <c r="N37" s="34" t="inlineStr">
        <is>
          <t>미접수</t>
        </is>
      </c>
      <c r="O37" s="50">
        <f>IF(N(AH37)&gt;1,"중복 "&amp;AH37&amp;"곳"&amp;IF(AK37=1," · 최저가",IF(AND(N37="견적접수",R37&lt;&gt;"")," · 비쌈","")),"")</f>
        <v/>
      </c>
      <c r="P37" s="34" t="inlineStr">
        <is>
          <t>KRW</t>
        </is>
      </c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5" t="n"/>
      <c r="AA37" s="54">
        <f>IF(OR(Z37="",Y37=""),"",Z37+Y37)</f>
        <v/>
      </c>
      <c r="AB37" s="36" t="inlineStr">
        <is>
          <t>[보성 RFQ 02 발송 2026-10-19] 회신 대기</t>
        </is>
      </c>
      <c r="AC37" s="34" t="inlineStr">
        <is>
          <t>검토중</t>
        </is>
      </c>
      <c r="AD37" s="36" t="inlineStr">
        <is>
          <t>보성 견적 회신 대기</t>
        </is>
      </c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inlineStr">
        <is>
          <t>BOSUNG-02</t>
        </is>
      </c>
      <c r="C38" s="34" t="inlineStr">
        <is>
          <t>B02</t>
        </is>
      </c>
      <c r="D38" s="34" t="n">
        <v>9</v>
      </c>
      <c r="E38" s="34" t="inlineStr">
        <is>
          <t>SAMKUN CENTURY</t>
        </is>
      </c>
      <c r="F38" s="36" t="inlineStr">
        <is>
          <t>SLEEVE, QUARTZ</t>
        </is>
      </c>
      <c r="G38" s="36" t="inlineStr">
        <is>
          <t>JSA-5007</t>
        </is>
      </c>
      <c r="H38" s="36" t="inlineStr">
        <is>
          <t>Doc. No. H20220602002-09</t>
        </is>
      </c>
      <c r="I38" s="36" t="inlineStr">
        <is>
          <t>U.V. STERILIZER</t>
        </is>
      </c>
      <c r="J38" s="36" t="inlineStr">
        <is>
          <t>SKUV-Q</t>
        </is>
      </c>
      <c r="K38" s="34" t="n">
        <v>3</v>
      </c>
      <c r="L38" s="34" t="inlineStr">
        <is>
          <t>pcs</t>
        </is>
      </c>
      <c r="M38" s="34" t="inlineStr">
        <is>
          <t>BOSUNG</t>
        </is>
      </c>
      <c r="N38" s="34" t="inlineStr">
        <is>
          <t>미접수</t>
        </is>
      </c>
      <c r="O38" s="50">
        <f>IF(N(AH38)&gt;1,"중복 "&amp;AH38&amp;"곳"&amp;IF(AK38=1," · 최저가",IF(AND(N38="견적접수",R38&lt;&gt;"")," · 비쌈","")),"")</f>
        <v/>
      </c>
      <c r="P38" s="34" t="inlineStr">
        <is>
          <t>KRW</t>
        </is>
      </c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5" t="n"/>
      <c r="AA38" s="54">
        <f>IF(OR(Z38="",Y38=""),"",Z38+Y38)</f>
        <v/>
      </c>
      <c r="AB38" s="36" t="inlineStr">
        <is>
          <t>[보성 RFQ 02 발송 2026-10-19] 회신 대기</t>
        </is>
      </c>
      <c r="AC38" s="34" t="inlineStr">
        <is>
          <t>검토중</t>
        </is>
      </c>
      <c r="AD38" s="36" t="inlineStr">
        <is>
          <t>보성 견적 회신 대기</t>
        </is>
      </c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inlineStr">
        <is>
          <t>BOSUNG-02</t>
        </is>
      </c>
      <c r="C39" s="34" t="inlineStr">
        <is>
          <t>B02</t>
        </is>
      </c>
      <c r="D39" s="34" t="n">
        <v>10</v>
      </c>
      <c r="E39" s="34" t="inlineStr">
        <is>
          <t>SAMKUN CENTURY</t>
        </is>
      </c>
      <c r="F39" s="36" t="inlineStr">
        <is>
          <t>O-RING, SILICON</t>
        </is>
      </c>
      <c r="G39" s="36" t="inlineStr">
        <is>
          <t>JSA-5008</t>
        </is>
      </c>
      <c r="H39" s="36" t="inlineStr">
        <is>
          <t>Doc. No. H20220602002-10</t>
        </is>
      </c>
      <c r="I39" s="36" t="inlineStr">
        <is>
          <t>U.V. STERILIZER</t>
        </is>
      </c>
      <c r="J39" s="36" t="n"/>
      <c r="K39" s="34" t="n">
        <v>2</v>
      </c>
      <c r="L39" s="34" t="inlineStr">
        <is>
          <t>pcs</t>
        </is>
      </c>
      <c r="M39" s="34" t="inlineStr">
        <is>
          <t>BOSUNG</t>
        </is>
      </c>
      <c r="N39" s="34" t="inlineStr">
        <is>
          <t>미접수</t>
        </is>
      </c>
      <c r="O39" s="50">
        <f>IF(N(AH39)&gt;1,"중복 "&amp;AH39&amp;"곳"&amp;IF(AK39=1," · 최저가",IF(AND(N39="견적접수",R39&lt;&gt;"")," · 비쌈","")),"")</f>
        <v/>
      </c>
      <c r="P39" s="34" t="inlineStr">
        <is>
          <t>KRW</t>
        </is>
      </c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5" t="n"/>
      <c r="AA39" s="54">
        <f>IF(OR(Z39="",Y39=""),"",Z39+Y39)</f>
        <v/>
      </c>
      <c r="AB39" s="36" t="inlineStr">
        <is>
          <t>[보성 RFQ 02 발송 2026-10-19] 회신 대기</t>
        </is>
      </c>
      <c r="AC39" s="34" t="inlineStr">
        <is>
          <t>검토중</t>
        </is>
      </c>
      <c r="AD39" s="36" t="inlineStr">
        <is>
          <t>보성 견적 회신 대기</t>
        </is>
      </c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inlineStr">
        <is>
          <t>BOSUNG-02</t>
        </is>
      </c>
      <c r="C40" s="34" t="inlineStr">
        <is>
          <t>B02</t>
        </is>
      </c>
      <c r="D40" s="34" t="n">
        <v>11</v>
      </c>
      <c r="E40" s="34" t="inlineStr">
        <is>
          <t>SAMKUN CENTURY</t>
        </is>
      </c>
      <c r="F40" s="36" t="inlineStr">
        <is>
          <t>GLASS</t>
        </is>
      </c>
      <c r="G40" s="36" t="inlineStr">
        <is>
          <t>JSA-5009</t>
        </is>
      </c>
      <c r="H40" s="36" t="inlineStr">
        <is>
          <t>Doc. No. H20220602002-11</t>
        </is>
      </c>
      <c r="I40" s="36" t="inlineStr">
        <is>
          <t>U.V. STERILIZER</t>
        </is>
      </c>
      <c r="J40" s="36" t="n"/>
      <c r="K40" s="34" t="n">
        <v>2</v>
      </c>
      <c r="L40" s="34" t="inlineStr">
        <is>
          <t>pcs</t>
        </is>
      </c>
      <c r="M40" s="34" t="inlineStr">
        <is>
          <t>BOSUNG</t>
        </is>
      </c>
      <c r="N40" s="34" t="inlineStr">
        <is>
          <t>미접수</t>
        </is>
      </c>
      <c r="O40" s="50">
        <f>IF(N(AH40)&gt;1,"중복 "&amp;AH40&amp;"곳"&amp;IF(AK40=1," · 최저가",IF(AND(N40="견적접수",R40&lt;&gt;"")," · 비쌈","")),"")</f>
        <v/>
      </c>
      <c r="P40" s="34" t="inlineStr">
        <is>
          <t>KRW</t>
        </is>
      </c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5" t="n"/>
      <c r="AA40" s="54">
        <f>IF(OR(Z40="",Y40=""),"",Z40+Y40)</f>
        <v/>
      </c>
      <c r="AB40" s="36" t="inlineStr">
        <is>
          <t>[보성 RFQ 02 발송 2026-10-19] 회신 대기</t>
        </is>
      </c>
      <c r="AC40" s="34" t="inlineStr">
        <is>
          <t>검토중</t>
        </is>
      </c>
      <c r="AD40" s="36" t="inlineStr">
        <is>
          <t>보성 견적 회신 대기</t>
        </is>
      </c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inlineStr">
        <is>
          <t>BOSUNG-04</t>
        </is>
      </c>
      <c r="C41" s="34" t="inlineStr">
        <is>
          <t>B04</t>
        </is>
      </c>
      <c r="D41" s="34" t="n">
        <v>2</v>
      </c>
      <c r="E41" s="34" t="inlineStr">
        <is>
          <t>DAEYANG</t>
        </is>
      </c>
      <c r="F41" s="36" t="inlineStr">
        <is>
          <t>LED DRIVERS FOR LIGHTS</t>
        </is>
      </c>
      <c r="G41" s="36" t="n"/>
      <c r="H41" s="36" t="n"/>
      <c r="I41" s="36" t="inlineStr">
        <is>
          <t>Lighting (Electrical)</t>
        </is>
      </c>
      <c r="J41" s="36" t="inlineStr">
        <is>
          <t>형식 미기재 – 첫 견적서는 'NEED MORE DETAIL', 수정 견적에서 단가 제시</t>
        </is>
      </c>
      <c r="K41" s="34" t="n">
        <v>10</v>
      </c>
      <c r="L41" s="34" t="inlineStr">
        <is>
          <t>PCS</t>
        </is>
      </c>
      <c r="M41" s="34" t="inlineStr">
        <is>
          <t>CENTMAR</t>
        </is>
      </c>
      <c r="N41" s="34" t="inlineStr">
        <is>
          <t>견적접수</t>
        </is>
      </c>
      <c r="O41" s="50">
        <f>IF(N(AH41)&gt;1,"중복 "&amp;AH41&amp;"곳"&amp;IF(AK41=1," · 최저가",IF(AND(N41="견적접수",R41&lt;&gt;"")," · 비쌈","")),"")</f>
        <v/>
      </c>
      <c r="P41" s="34" t="inlineStr">
        <is>
          <t>KRW</t>
        </is>
      </c>
      <c r="Q41" s="51" t="n">
        <v>598900</v>
      </c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>
        <v>70</v>
      </c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>
        <v>46318</v>
      </c>
      <c r="AA41" s="54">
        <f>IF(OR(Z41="",Y41=""),"",Z41+Y41)</f>
        <v/>
      </c>
      <c r="AB41" s="36" t="inlineStr">
        <is>
          <t>[중앙해사 JU26102222] LED DRIVERS FOR LIGHTS – DAEYANG / LEAD TIME 70 DAYS / 형식 미기재 – 첫 견적서는 'NEED MORE DETAIL', 수정 견적에서 단가 제시</t>
        </is>
      </c>
      <c r="AC41" s="34" t="inlineStr">
        <is>
          <t>검토중</t>
        </is>
      </c>
      <c r="AD41" s="36" t="inlineStr">
        <is>
          <t>유효기간·인도조건 미기재 – 중앙해사 확인 / 형식 재확인</t>
        </is>
      </c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inlineStr">
        <is>
          <t>BOSUNG-04</t>
        </is>
      </c>
      <c r="C42" s="34" t="inlineStr">
        <is>
          <t>B04</t>
        </is>
      </c>
      <c r="D42" s="34" t="n">
        <v>2</v>
      </c>
      <c r="E42" s="34" t="inlineStr">
        <is>
          <t>DAEYANG</t>
        </is>
      </c>
      <c r="F42" s="36" t="inlineStr">
        <is>
          <t>LED Drivers for Lights</t>
        </is>
      </c>
      <c r="G42" s="36" t="n"/>
      <c r="H42" s="36" t="n"/>
      <c r="I42" s="36" t="inlineStr">
        <is>
          <t>Lighting system</t>
        </is>
      </c>
      <c r="J42" s="36" t="n"/>
      <c r="K42" s="34" t="n">
        <v>10</v>
      </c>
      <c r="L42" s="34" t="inlineStr">
        <is>
          <t>pcs</t>
        </is>
      </c>
      <c r="M42" s="34" t="inlineStr">
        <is>
          <t>BOSUNG</t>
        </is>
      </c>
      <c r="N42" s="34" t="inlineStr">
        <is>
          <t>미접수</t>
        </is>
      </c>
      <c r="O42" s="50">
        <f>IF(N(AH42)&gt;1,"중복 "&amp;AH42&amp;"곳"&amp;IF(AK42=1," · 최저가",IF(AND(N42="견적접수",R42&lt;&gt;"")," · 비쌈","")),"")</f>
        <v/>
      </c>
      <c r="P42" s="34" t="inlineStr">
        <is>
          <t>KRW</t>
        </is>
      </c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5" t="n"/>
      <c r="AA42" s="54">
        <f>IF(OR(Z42="",Y42=""),"",Z42+Y42)</f>
        <v/>
      </c>
      <c r="AB42" s="36" t="inlineStr">
        <is>
          <t>[보성 RFQ 04 발송 2026-10-19] 회신 대기</t>
        </is>
      </c>
      <c r="AC42" s="34" t="inlineStr">
        <is>
          <t>검토중</t>
        </is>
      </c>
      <c r="AD42" s="36" t="inlineStr">
        <is>
          <t>보성 견적 회신 대기</t>
        </is>
      </c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inlineStr">
        <is>
          <t>BOSUNG-04</t>
        </is>
      </c>
      <c r="C43" s="34" t="inlineStr">
        <is>
          <t>B04</t>
        </is>
      </c>
      <c r="D43" s="34" t="n">
        <v>3</v>
      </c>
      <c r="E43" s="34" t="inlineStr">
        <is>
          <t>DAEYANG</t>
        </is>
      </c>
      <c r="F43" s="36" t="inlineStr">
        <is>
          <t>LED DRIVERS FOR LIGHTS</t>
        </is>
      </c>
      <c r="G43" s="36" t="n"/>
      <c r="H43" s="36" t="n"/>
      <c r="I43" s="36" t="inlineStr">
        <is>
          <t>Lighting (Electrical)</t>
        </is>
      </c>
      <c r="J43" s="36" t="inlineStr">
        <is>
          <t>형식 미기재 – 첫 견적서는 'NEED MORE DETAIL', 수정 견적에서 단가 제시</t>
        </is>
      </c>
      <c r="K43" s="34" t="n">
        <v>20</v>
      </c>
      <c r="L43" s="34" t="inlineStr">
        <is>
          <t>PCS</t>
        </is>
      </c>
      <c r="M43" s="34" t="inlineStr">
        <is>
          <t>CENTMAR</t>
        </is>
      </c>
      <c r="N43" s="34" t="inlineStr">
        <is>
          <t>견적접수</t>
        </is>
      </c>
      <c r="O43" s="50">
        <f>IF(N(AH43)&gt;1,"중복 "&amp;AH43&amp;"곳"&amp;IF(AK43=1," · 최저가",IF(AND(N43="견적접수",R43&lt;&gt;"")," · 비쌈","")),"")</f>
        <v/>
      </c>
      <c r="P43" s="34" t="inlineStr">
        <is>
          <t>KRW</t>
        </is>
      </c>
      <c r="Q43" s="51" t="n">
        <v>32210</v>
      </c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>
        <v>3</v>
      </c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>
        <v>46318</v>
      </c>
      <c r="AA43" s="54">
        <f>IF(OR(Z43="",Y43=""),"",Z43+Y43)</f>
        <v/>
      </c>
      <c r="AB43" s="36" t="inlineStr">
        <is>
          <t>[중앙해사 JU26102222] LED DRIVERS FOR LIGHTS – DAEYANG / LEAD TIME 3 DAYS / 형식 미기재 – 첫 견적서는 'NEED MORE DETAIL', 수정 견적에서 단가 제시</t>
        </is>
      </c>
      <c r="AC43" s="34" t="inlineStr">
        <is>
          <t>검토중</t>
        </is>
      </c>
      <c r="AD43" s="36" t="inlineStr">
        <is>
          <t>유효기간·인도조건 미기재 – 중앙해사 확인 / 형식 재확인</t>
        </is>
      </c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inlineStr">
        <is>
          <t>BOSUNG-04</t>
        </is>
      </c>
      <c r="C44" s="34" t="inlineStr">
        <is>
          <t>B04</t>
        </is>
      </c>
      <c r="D44" s="34" t="n">
        <v>3</v>
      </c>
      <c r="E44" s="34" t="inlineStr">
        <is>
          <t>DAEYANG</t>
        </is>
      </c>
      <c r="F44" s="36" t="inlineStr">
        <is>
          <t>LED Drivers for Lights</t>
        </is>
      </c>
      <c r="G44" s="36" t="n"/>
      <c r="H44" s="36" t="n"/>
      <c r="I44" s="36" t="inlineStr">
        <is>
          <t>Lighting system</t>
        </is>
      </c>
      <c r="J44" s="36" t="n"/>
      <c r="K44" s="34" t="n">
        <v>20</v>
      </c>
      <c r="L44" s="34" t="inlineStr">
        <is>
          <t>pcs</t>
        </is>
      </c>
      <c r="M44" s="34" t="inlineStr">
        <is>
          <t>BOSUNG</t>
        </is>
      </c>
      <c r="N44" s="34" t="inlineStr">
        <is>
          <t>미접수</t>
        </is>
      </c>
      <c r="O44" s="50">
        <f>IF(N(AH44)&gt;1,"중복 "&amp;AH44&amp;"곳"&amp;IF(AK44=1," · 최저가",IF(AND(N44="견적접수",R44&lt;&gt;"")," · 비쌈","")),"")</f>
        <v/>
      </c>
      <c r="P44" s="34" t="inlineStr">
        <is>
          <t>KRW</t>
        </is>
      </c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5" t="n"/>
      <c r="AA44" s="54">
        <f>IF(OR(Z44="",Y44=""),"",Z44+Y44)</f>
        <v/>
      </c>
      <c r="AB44" s="36" t="inlineStr">
        <is>
          <t>[보성 RFQ 04 발송 2026-10-19] 회신 대기</t>
        </is>
      </c>
      <c r="AC44" s="34" t="inlineStr">
        <is>
          <t>검토중</t>
        </is>
      </c>
      <c r="AD44" s="36" t="inlineStr">
        <is>
          <t>보성 견적 회신 대기</t>
        </is>
      </c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inlineStr">
        <is>
          <t>BOSUNG-05</t>
        </is>
      </c>
      <c r="C45" s="34" t="inlineStr">
        <is>
          <t>B05</t>
        </is>
      </c>
      <c r="D45" s="34" t="n">
        <v>1</v>
      </c>
      <c r="E45" s="34" t="inlineStr">
        <is>
          <t>Hi-Air Korea</t>
        </is>
      </c>
      <c r="F45" s="36" t="inlineStr">
        <is>
          <t>DRIVER FOR BLDC MOTOR</t>
        </is>
      </c>
      <c r="G45" s="36" t="inlineStr">
        <is>
          <t>HIP-10WDE</t>
        </is>
      </c>
      <c r="H45" s="36" t="inlineStr">
        <is>
          <t>HDR004F100</t>
        </is>
      </c>
      <c r="I45" s="36" t="inlineStr">
        <is>
          <t>AC PACKAGE</t>
        </is>
      </c>
      <c r="J45" s="36" t="n"/>
      <c r="K45" s="34" t="n">
        <v>5</v>
      </c>
      <c r="L45" s="34" t="inlineStr">
        <is>
          <t>PCS</t>
        </is>
      </c>
      <c r="M45" s="34" t="inlineStr">
        <is>
          <t>BOSUNG</t>
        </is>
      </c>
      <c r="N45" s="34" t="inlineStr">
        <is>
          <t>미접수</t>
        </is>
      </c>
      <c r="O45" s="50">
        <f>IF(N(AH45)&gt;1,"중복 "&amp;AH45&amp;"곳"&amp;IF(AK45=1," · 최저가",IF(AND(N45="견적접수",R45&lt;&gt;"")," · 비쌈","")),"")</f>
        <v/>
      </c>
      <c r="P45" s="34" t="inlineStr">
        <is>
          <t>KRW</t>
        </is>
      </c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5" t="n"/>
      <c r="AA45" s="54">
        <f>IF(OR(Z45="",Y45=""),"",Z45+Y45)</f>
        <v/>
      </c>
      <c r="AB45" s="36" t="inlineStr">
        <is>
          <t>[보성 RFQ 05 발송 2026-10-19] 회신 대기</t>
        </is>
      </c>
      <c r="AC45" s="34" t="inlineStr">
        <is>
          <t>검토중</t>
        </is>
      </c>
      <c r="AD45" s="36" t="inlineStr">
        <is>
          <t>보성 견적 회신 대기</t>
        </is>
      </c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NELEUS</t>
        </is>
      </c>
      <c r="F1" s="40" t="inlineStr">
        <is>
          <t>IMO 9958315   ·   Routine   ·   RFQ상 납품항/ETA: TBA</t>
        </is>
      </c>
    </row>
    <row r="2" ht="24" customHeight="1">
      <c r="A2" s="41">
        <f>IFERROR(IF(N(INDEX(스케줄!$C$5:$C$14,MATCH("NELEUS",스케줄!$A$5:$A$14,0)))=0,"다음 일정: 미정 (스케줄 시트에 입력)","다음 일정: "&amp;INDEX(스케줄!$B$5:$B$14,MATCH("NELEUS",스케줄!$A$5:$A$14,0))&amp;"  "&amp;TEXT(INDEX(스케줄!$C$5:$C$14,MATCH("NELEUS",스케줄!$A$5:$A$14,0)),"mm/dd")&amp;IF(N(INDEX(스케줄!$D$5:$D$14,MATCH("NELEUS",스케줄!$A$5:$A$14,0)))=0,"","~"&amp;TEXT(INDEX(스케줄!$D$5:$D$14,MATCH("NELEUS",스케줄!$A$5:$A$14,0)),"mm/dd"))),"")</f>
        <v/>
      </c>
      <c r="G2" s="42">
        <f>IFERROR(INDEX(스케줄!$I$5:$I$14,MATCH("NELEUS",스케줄!$A$5:$A$14,0)),"")</f>
        <v/>
      </c>
      <c r="H2" s="43">
        <f>IFERROR(INDEX(스케줄!$J$5:$J$14,MATCH("NELEUS",스케줄!$A$5:$A$14,0)),"")</f>
        <v/>
      </c>
      <c r="J2" s="44" t="inlineStr">
        <is>
          <t>출고 마감</t>
        </is>
      </c>
      <c r="K2" s="45">
        <f>IFERROR(INDEX(스케줄!$F$5:$F$14,MATCH("NELEUS",스케줄!$A$5:$A$14,0)),"")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4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n"/>
      <c r="K6" s="34" t="n">
        <v>6</v>
      </c>
      <c r="L6" s="34" t="inlineStr">
        <is>
          <t>set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5</v>
      </c>
      <c r="E7" s="34" t="inlineStr">
        <is>
          <t>NORGREN</t>
        </is>
      </c>
      <c r="F7" s="36" t="inlineStr">
        <is>
          <t>Service Kit for Air Filter</t>
        </is>
      </c>
      <c r="G7" s="36" t="inlineStr">
        <is>
          <t>Norgren / Kit F05G 40 mic</t>
        </is>
      </c>
      <c r="H7" s="36" t="inlineStr">
        <is>
          <t>Part no. 3653-28</t>
        </is>
      </c>
      <c r="I7" s="36" t="inlineStr">
        <is>
          <t>Emission Control System</t>
        </is>
      </c>
      <c r="J7" s="36" t="n"/>
      <c r="K7" s="34" t="n">
        <v>40</v>
      </c>
      <c r="L7" s="34" t="inlineStr">
        <is>
          <t>pcs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NAMEPLATE OR DETAILS</t>
        </is>
      </c>
      <c r="AC7" s="34" t="inlineStr">
        <is>
          <t>정보 송부필요</t>
        </is>
      </c>
      <c r="AD7" s="36" t="inlineStr">
        <is>
          <t>명판 사진/상세정보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4</v>
      </c>
      <c r="E8" s="34" t="inlineStr">
        <is>
          <t>DANFOSS</t>
        </is>
      </c>
      <c r="F8" s="36" t="inlineStr">
        <is>
          <t>Pressure Transmitter</t>
        </is>
      </c>
      <c r="G8" s="36" t="inlineStr">
        <is>
          <t>Danfoss</t>
        </is>
      </c>
      <c r="H8" s="36" t="inlineStr">
        <is>
          <t>Type: MBS 3350
Code No.: 060G6529</t>
        </is>
      </c>
      <c r="I8" s="36" t="inlineStr">
        <is>
          <t>Emission Control System</t>
        </is>
      </c>
      <c r="J8" s="36" t="inlineStr">
        <is>
          <t>0...10 bar / 4...20 mA / 10-32 VDC</t>
        </is>
      </c>
      <c r="K8" s="34" t="n">
        <v>2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249000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GENUINE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ALL; D/T: 90 DAYS, GENUINE,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4</v>
      </c>
      <c r="E9" s="34" t="inlineStr">
        <is>
          <t>DANFOSS</t>
        </is>
      </c>
      <c r="F9" s="36" t="inlineStr">
        <is>
          <t>Pressure Transmitter</t>
        </is>
      </c>
      <c r="G9" s="36" t="inlineStr">
        <is>
          <t>Danfoss</t>
        </is>
      </c>
      <c r="H9" s="36" t="inlineStr">
        <is>
          <t>Type: MBS 3350
Code No.: 060G6529</t>
        </is>
      </c>
      <c r="I9" s="36" t="inlineStr">
        <is>
          <t>Emission Control System</t>
        </is>
      </c>
      <c r="J9" s="36" t="n"/>
      <c r="K9" s="34" t="n">
        <v>2</v>
      </c>
      <c r="L9" s="34" t="inlineStr">
        <is>
          <t>pcs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426.2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49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Q.0000122662] MBS3350 0-10 BAR 060G6529 MBS3350-2011-A6GB08-2 / *del time: 6-7 weeks* *item cannot be returned*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5</v>
      </c>
      <c r="E10" s="34" t="inlineStr">
        <is>
          <t>DANFOSS</t>
        </is>
      </c>
      <c r="F10" s="36" t="inlineStr">
        <is>
          <t>Pressure Transmitter</t>
        </is>
      </c>
      <c r="G10" s="36" t="inlineStr">
        <is>
          <t>Danfoss</t>
        </is>
      </c>
      <c r="H10" s="36" t="inlineStr">
        <is>
          <t>Type: MBS 3300
Code No.: 060G6395</t>
        </is>
      </c>
      <c r="I10" s="36" t="inlineStr">
        <is>
          <t>Emission Control System</t>
        </is>
      </c>
      <c r="J10" s="36" t="inlineStr">
        <is>
          <t>0...10 bar / 4...20 mA / 10-32 VDC</t>
        </is>
      </c>
      <c r="K10" s="34" t="n">
        <v>2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180000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90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ALL; D/T: 90 DAYS, GENUINE, EX WORK BUSAN [VALI: 20 DAYS]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5</v>
      </c>
      <c r="E11" s="34" t="inlineStr">
        <is>
          <t>DANFOSS</t>
        </is>
      </c>
      <c r="F11" s="36" t="inlineStr">
        <is>
          <t>Pressure Transmitter</t>
        </is>
      </c>
      <c r="G11" s="36" t="inlineStr">
        <is>
          <t>Danfoss</t>
        </is>
      </c>
      <c r="H11" s="36" t="inlineStr">
        <is>
          <t>Type: MBS 3300
Code No.: 060G6395</t>
        </is>
      </c>
      <c r="I11" s="36" t="inlineStr">
        <is>
          <t>Emission Control System</t>
        </is>
      </c>
      <c r="J11" s="36" t="n"/>
      <c r="K11" s="34" t="n">
        <v>2</v>
      </c>
      <c r="L11" s="34" t="inlineStr">
        <is>
          <t>pcs</t>
        </is>
      </c>
      <c r="M11" s="34" t="inlineStr">
        <is>
          <t>AFS</t>
        </is>
      </c>
      <c r="N11" s="34" t="inlineStr">
        <is>
          <t>공급불가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Q.0000122662] *only available with the OEM, please contact them directly*</t>
        </is>
      </c>
      <c r="AC11" s="34" t="inlineStr">
        <is>
          <t>타업체 문의</t>
        </is>
      </c>
      <c r="AD11" s="36" t="inlineStr">
        <is>
          <t>AFS: OEM 전용 품목 (RMS 견적 있음)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DB26034773</t>
        </is>
      </c>
      <c r="C12" s="34" t="inlineStr">
        <is>
          <t>-</t>
        </is>
      </c>
      <c r="D12" s="34" t="n">
        <v>1</v>
      </c>
      <c r="E12" s="34" t="inlineStr">
        <is>
          <t>D&amp;J WITH</t>
        </is>
      </c>
      <c r="F12" s="36" t="inlineStr">
        <is>
          <t>CCTV CAMERA MOTOR</t>
        </is>
      </c>
      <c r="G12" s="36" t="n"/>
      <c r="H12" s="36" t="inlineStr">
        <is>
          <t>BL3630L-06P+IG32 DC 12V 1/139</t>
        </is>
      </c>
      <c r="I12" s="36" t="inlineStr">
        <is>
          <t>CCTV System</t>
        </is>
      </c>
      <c r="J12" s="36" t="n"/>
      <c r="K12" s="34" t="n">
        <v>5</v>
      </c>
      <c r="L12" s="34" t="inlineStr">
        <is>
          <t>PCS</t>
        </is>
      </c>
      <c r="M12" s="34" t="inlineStr">
        <is>
          <t>DINTEC</t>
        </is>
      </c>
      <c r="N12" s="34" t="inlineStr">
        <is>
          <t>확인필요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/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/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EXW BUSAN</t>
        </is>
      </c>
      <c r="Y12" s="34" t="n">
        <v>30</v>
      </c>
      <c r="Z12" s="56" t="n">
        <v>46317</v>
      </c>
      <c r="AA12" s="54">
        <f>IF(OR(Z12="",Y12=""),"",Z12+Y12)</f>
        <v/>
      </c>
      <c r="AB12" s="36" t="inlineStr">
        <is>
          <t>[딘텍 DB26034773] Your ref 19-Oct-2026 / WILL BE ADVISED – 모델명이 정확하지 않아 재확인 요청 / 수출 시 우든박스/팔레트 포장비 실비 별도</t>
        </is>
      </c>
      <c r="AC12" s="34" t="inlineStr">
        <is>
          <t>정보 송부필요</t>
        </is>
      </c>
      <c r="AD12" s="36" t="inlineStr">
        <is>
          <t>모델명 재확인해 딘텍에 회신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DB26034773</t>
        </is>
      </c>
      <c r="C13" s="34" t="inlineStr">
        <is>
          <t>-</t>
        </is>
      </c>
      <c r="D13" s="34" t="n">
        <v>2</v>
      </c>
      <c r="E13" s="34" t="inlineStr">
        <is>
          <t>D&amp;J WITH</t>
        </is>
      </c>
      <c r="F13" s="36" t="inlineStr">
        <is>
          <t>CCTV CAMERA MOTOR DRIVER</t>
        </is>
      </c>
      <c r="G13" s="36" t="n"/>
      <c r="H13" s="36" t="inlineStr">
        <is>
          <t>BLDC BL36301-12V PTZ PBC</t>
        </is>
      </c>
      <c r="I13" s="36" t="inlineStr">
        <is>
          <t>CCTV System</t>
        </is>
      </c>
      <c r="J13" s="36" t="n"/>
      <c r="K13" s="34" t="n">
        <v>5</v>
      </c>
      <c r="L13" s="34" t="inlineStr">
        <is>
          <t>PCS</t>
        </is>
      </c>
      <c r="M13" s="34" t="inlineStr">
        <is>
          <t>DINTEC</t>
        </is>
      </c>
      <c r="N13" s="34" t="inlineStr">
        <is>
          <t>확인필요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EXW BUSAN</t>
        </is>
      </c>
      <c r="Y13" s="34" t="n">
        <v>30</v>
      </c>
      <c r="Z13" s="56" t="n">
        <v>46317</v>
      </c>
      <c r="AA13" s="54">
        <f>IF(OR(Z13="",Y13=""),"",Z13+Y13)</f>
        <v/>
      </c>
      <c r="AB13" s="36" t="inlineStr">
        <is>
          <t>[딘텍 DB26034773] Your ref 19-Oct-2026 / WILL BE ADVISED – 모델명이 정확하지 않아 재확인 요청 / 수출 시 우든박스/팔레트 포장비 실비 별도</t>
        </is>
      </c>
      <c r="AC13" s="34" t="inlineStr">
        <is>
          <t>정보 송부필요</t>
        </is>
      </c>
      <c r="AD13" s="36" t="inlineStr">
        <is>
          <t>모델명 재확인해 딘텍에 회신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DB26034773</t>
        </is>
      </c>
      <c r="C14" s="34" t="inlineStr">
        <is>
          <t>-</t>
        </is>
      </c>
      <c r="D14" s="34" t="n">
        <v>3</v>
      </c>
      <c r="E14" s="34" t="inlineStr">
        <is>
          <t>SEANET</t>
        </is>
      </c>
      <c r="F14" s="36" t="inlineStr">
        <is>
          <t>SEANET CAMERA</t>
        </is>
      </c>
      <c r="G14" s="36" t="n"/>
      <c r="H14" s="36" t="inlineStr">
        <is>
          <t>PART NO. CTVS252521 / DWG SEA-SFC1002-001</t>
        </is>
      </c>
      <c r="I14" s="36" t="inlineStr">
        <is>
          <t>CCTV System</t>
        </is>
      </c>
      <c r="J14" s="36" t="n"/>
      <c r="K14" s="34" t="n">
        <v>1</v>
      </c>
      <c r="L14" s="34" t="inlineStr">
        <is>
          <t>PCS</t>
        </is>
      </c>
      <c r="M14" s="34" t="inlineStr">
        <is>
          <t>DINTEC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2700000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50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SEANET</t>
        </is>
      </c>
      <c r="X14" s="34" t="inlineStr">
        <is>
          <t>EXW BUSAN</t>
        </is>
      </c>
      <c r="Y14" s="34" t="n">
        <v>30</v>
      </c>
      <c r="Z14" s="56" t="n">
        <v>46317</v>
      </c>
      <c r="AA14" s="54">
        <f>IF(OR(Z14="",Y14=""),"",Z14+Y14)</f>
        <v/>
      </c>
      <c r="AB14" s="36" t="inlineStr">
        <is>
          <t>[딘텍 DB26034773] Your ref 19-Oct-2026 / L/T 50 DAYS / 수출 시 우든박스/팔레트 포장비 실비 별도</t>
        </is>
      </c>
      <c r="AC14" s="34" t="inlineStr">
        <is>
          <t>검토중</t>
        </is>
      </c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002 - UPS battery</t>
        </is>
      </c>
      <c r="C15" s="34" t="inlineStr">
        <is>
          <t>002</t>
        </is>
      </c>
      <c r="D15" s="34" t="n">
        <v>1</v>
      </c>
      <c r="E15" s="34" t="n"/>
      <c r="F15" s="36" t="inlineStr">
        <is>
          <t>UPS battery – Sealed lead acid 12V 4AH (140x39x100)</t>
        </is>
      </c>
      <c r="G15" s="36" t="n"/>
      <c r="H15" s="36" t="n"/>
      <c r="I15" s="36" t="inlineStr">
        <is>
          <t>UPS</t>
        </is>
      </c>
      <c r="J15" s="36" t="n"/>
      <c r="K15" s="34" t="n">
        <v>8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53.92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/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Q.0000122676] SEALED LEAD ACID BATTERY 12V 4AH 140X39X100 / 납기 미기재</t>
        </is>
      </c>
      <c r="AC15" s="34" t="inlineStr">
        <is>
          <t>검토중</t>
        </is>
      </c>
      <c r="AD15" s="36" t="inlineStr">
        <is>
          <t>납기 미기재 – AFS 확인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BOSUNG-01</t>
        </is>
      </c>
      <c r="C16" s="34" t="inlineStr">
        <is>
          <t>B01</t>
        </is>
      </c>
      <c r="D16" s="34" t="n">
        <v>4</v>
      </c>
      <c r="E16" s="34" t="inlineStr">
        <is>
          <t>DONGHWA PNEUTEC</t>
        </is>
      </c>
      <c r="F16" s="36" t="inlineStr">
        <is>
          <t>Air Suction Valve</t>
        </is>
      </c>
      <c r="G16" s="36" t="inlineStr">
        <is>
          <t>NeX-55WB</t>
        </is>
      </c>
      <c r="H16" s="36" t="inlineStr">
        <is>
          <t>VAL1700080-00</t>
        </is>
      </c>
      <c r="I16" s="36" t="inlineStr">
        <is>
          <t>GS &amp; Control air compressor</t>
        </is>
      </c>
      <c r="J16" s="36" t="n"/>
      <c r="K16" s="34" t="n">
        <v>3</v>
      </c>
      <c r="L16" s="34" t="inlineStr">
        <is>
          <t>pcs</t>
        </is>
      </c>
      <c r="M16" s="34" t="inlineStr">
        <is>
          <t>BOSUNG</t>
        </is>
      </c>
      <c r="N16" s="34" t="inlineStr">
        <is>
          <t>미접수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n"/>
      <c r="Y16" s="34" t="n"/>
      <c r="Z16" s="55" t="n"/>
      <c r="AA16" s="54">
        <f>IF(OR(Z16="",Y16=""),"",Z16+Y16)</f>
        <v/>
      </c>
      <c r="AB16" s="36" t="inlineStr">
        <is>
          <t>[보성 RFQ 01 발송 2026-10-19] 회신 대기</t>
        </is>
      </c>
      <c r="AC16" s="34" t="inlineStr">
        <is>
          <t>검토중</t>
        </is>
      </c>
      <c r="AD16" s="36" t="inlineStr">
        <is>
          <t>보성 견적 회신 대기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BOSUNG-01</t>
        </is>
      </c>
      <c r="C17" s="34" t="inlineStr">
        <is>
          <t>B01</t>
        </is>
      </c>
      <c r="D17" s="34" t="n">
        <v>5</v>
      </c>
      <c r="E17" s="34" t="inlineStr">
        <is>
          <t>DONGHWA PNEUTEC</t>
        </is>
      </c>
      <c r="F17" s="36" t="inlineStr">
        <is>
          <t>Air Filter Element</t>
        </is>
      </c>
      <c r="G17" s="36" t="inlineStr">
        <is>
          <t>NeX-55WB</t>
        </is>
      </c>
      <c r="H17" s="36" t="inlineStr">
        <is>
          <t>FIL1200002-00</t>
        </is>
      </c>
      <c r="I17" s="36" t="inlineStr">
        <is>
          <t>GS &amp; Control air compressor</t>
        </is>
      </c>
      <c r="J17" s="36" t="n"/>
      <c r="K17" s="34" t="n">
        <v>4</v>
      </c>
      <c r="L17" s="34" t="inlineStr">
        <is>
          <t>pcs</t>
        </is>
      </c>
      <c r="M17" s="34" t="inlineStr">
        <is>
          <t>BOSUNG</t>
        </is>
      </c>
      <c r="N17" s="34" t="inlineStr">
        <is>
          <t>미접수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[보성 RFQ 01 발송 2026-10-19] 회신 대기</t>
        </is>
      </c>
      <c r="AC17" s="34" t="inlineStr">
        <is>
          <t>검토중</t>
        </is>
      </c>
      <c r="AD17" s="36" t="inlineStr">
        <is>
          <t>보성 견적 회신 대기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BOSUNG-01</t>
        </is>
      </c>
      <c r="C18" s="34" t="inlineStr">
        <is>
          <t>B01</t>
        </is>
      </c>
      <c r="D18" s="34" t="n">
        <v>6</v>
      </c>
      <c r="E18" s="34" t="inlineStr">
        <is>
          <t>DONGHWA PNEUTEC</t>
        </is>
      </c>
      <c r="F18" s="36" t="inlineStr">
        <is>
          <t>Oil Filter Element</t>
        </is>
      </c>
      <c r="G18" s="36" t="inlineStr">
        <is>
          <t>NeX-55WB</t>
        </is>
      </c>
      <c r="H18" s="36" t="inlineStr">
        <is>
          <t>FIL1300001-00</t>
        </is>
      </c>
      <c r="I18" s="36" t="inlineStr">
        <is>
          <t>GS &amp; Control air compressor</t>
        </is>
      </c>
      <c r="J18" s="36" t="n"/>
      <c r="K18" s="34" t="n">
        <v>6</v>
      </c>
      <c r="L18" s="34" t="inlineStr">
        <is>
          <t>pcs</t>
        </is>
      </c>
      <c r="M18" s="34" t="inlineStr">
        <is>
          <t>BOSUNG</t>
        </is>
      </c>
      <c r="N18" s="34" t="inlineStr">
        <is>
          <t>미접수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5" t="n"/>
      <c r="AA18" s="54">
        <f>IF(OR(Z18="",Y18=""),"",Z18+Y18)</f>
        <v/>
      </c>
      <c r="AB18" s="36" t="inlineStr">
        <is>
          <t>[보성 RFQ 01 발송 2026-10-19] 회신 대기</t>
        </is>
      </c>
      <c r="AC18" s="34" t="inlineStr">
        <is>
          <t>검토중</t>
        </is>
      </c>
      <c r="AD18" s="36" t="inlineStr">
        <is>
          <t>보성 견적 회신 대기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BOSUNG-01</t>
        </is>
      </c>
      <c r="C19" s="34" t="inlineStr">
        <is>
          <t>B01</t>
        </is>
      </c>
      <c r="D19" s="34" t="n">
        <v>7</v>
      </c>
      <c r="E19" s="34" t="inlineStr">
        <is>
          <t>DONGHWA PNEUTEC</t>
        </is>
      </c>
      <c r="F19" s="36" t="inlineStr">
        <is>
          <t>Oil Separator Element</t>
        </is>
      </c>
      <c r="G19" s="36" t="inlineStr">
        <is>
          <t>NeX-55WB</t>
        </is>
      </c>
      <c r="H19" s="36" t="inlineStr">
        <is>
          <t>FIL1200008-00</t>
        </is>
      </c>
      <c r="I19" s="36" t="inlineStr">
        <is>
          <t>GS &amp; Control air compressor</t>
        </is>
      </c>
      <c r="J19" s="36" t="n"/>
      <c r="K19" s="34" t="n">
        <v>6</v>
      </c>
      <c r="L19" s="34" t="inlineStr">
        <is>
          <t>pcs</t>
        </is>
      </c>
      <c r="M19" s="34" t="inlineStr">
        <is>
          <t>BOSUNG</t>
        </is>
      </c>
      <c r="N19" s="34" t="inlineStr">
        <is>
          <t>미접수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[보성 RFQ 01 발송 2026-10-19] 회신 대기</t>
        </is>
      </c>
      <c r="AC19" s="34" t="inlineStr">
        <is>
          <t>검토중</t>
        </is>
      </c>
      <c r="AD19" s="36" t="inlineStr">
        <is>
          <t>보성 견적 회신 대기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BOSUNG-01</t>
        </is>
      </c>
      <c r="C20" s="34" t="inlineStr">
        <is>
          <t>B01</t>
        </is>
      </c>
      <c r="D20" s="34" t="n">
        <v>8</v>
      </c>
      <c r="E20" s="34" t="inlineStr">
        <is>
          <t>DONGHWA PNEUTEC</t>
        </is>
      </c>
      <c r="F20" s="36" t="inlineStr">
        <is>
          <t>Oil Separator Gasket</t>
        </is>
      </c>
      <c r="G20" s="36" t="inlineStr">
        <is>
          <t>NeX-55WB</t>
        </is>
      </c>
      <c r="H20" s="36" t="inlineStr">
        <is>
          <t>GAS100058-00</t>
        </is>
      </c>
      <c r="I20" s="36" t="inlineStr">
        <is>
          <t>GS &amp; Control air compressor</t>
        </is>
      </c>
      <c r="J20" s="36" t="n"/>
      <c r="K20" s="34" t="n">
        <v>6</v>
      </c>
      <c r="L20" s="34" t="inlineStr">
        <is>
          <t>pcs</t>
        </is>
      </c>
      <c r="M20" s="34" t="inlineStr">
        <is>
          <t>BOSUNG</t>
        </is>
      </c>
      <c r="N20" s="34" t="inlineStr">
        <is>
          <t>미접수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[보성 RFQ 01 발송 2026-10-19] 회신 대기</t>
        </is>
      </c>
      <c r="AC20" s="34" t="inlineStr">
        <is>
          <t>검토중</t>
        </is>
      </c>
      <c r="AD20" s="36" t="inlineStr">
        <is>
          <t>보성 견적 회신 대기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BOSUNG-01</t>
        </is>
      </c>
      <c r="C21" s="34" t="inlineStr">
        <is>
          <t>B01</t>
        </is>
      </c>
      <c r="D21" s="34" t="n">
        <v>9</v>
      </c>
      <c r="E21" s="34" t="inlineStr">
        <is>
          <t>DONGHWA PNEUTEC</t>
        </is>
      </c>
      <c r="F21" s="36" t="inlineStr">
        <is>
          <t>Pressure Sensor</t>
        </is>
      </c>
      <c r="G21" s="36" t="inlineStr">
        <is>
          <t>NeX-55WB</t>
        </is>
      </c>
      <c r="H21" s="36" t="inlineStr">
        <is>
          <t>SEN1100001-00</t>
        </is>
      </c>
      <c r="I21" s="36" t="inlineStr">
        <is>
          <t>GS &amp; Control air compressor</t>
        </is>
      </c>
      <c r="J21" s="36" t="n"/>
      <c r="K21" s="34" t="n">
        <v>2</v>
      </c>
      <c r="L21" s="34" t="inlineStr">
        <is>
          <t>pcs</t>
        </is>
      </c>
      <c r="M21" s="34" t="inlineStr">
        <is>
          <t>BOSUNG</t>
        </is>
      </c>
      <c r="N21" s="34" t="inlineStr">
        <is>
          <t>미접수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5" t="n"/>
      <c r="AA21" s="54">
        <f>IF(OR(Z21="",Y21=""),"",Z21+Y21)</f>
        <v/>
      </c>
      <c r="AB21" s="36" t="inlineStr">
        <is>
          <t>[보성 RFQ 01 발송 2026-10-19] 회신 대기</t>
        </is>
      </c>
      <c r="AC21" s="34" t="inlineStr">
        <is>
          <t>검토중</t>
        </is>
      </c>
      <c r="AD21" s="36" t="inlineStr">
        <is>
          <t>보성 견적 회신 대기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BOSUNG-01</t>
        </is>
      </c>
      <c r="C22" s="34" t="inlineStr">
        <is>
          <t>B01</t>
        </is>
      </c>
      <c r="D22" s="34" t="n">
        <v>10</v>
      </c>
      <c r="E22" s="34" t="inlineStr">
        <is>
          <t>DONGHWA PNEUTEC</t>
        </is>
      </c>
      <c r="F22" s="36" t="inlineStr">
        <is>
          <t>Temperature Sensor</t>
        </is>
      </c>
      <c r="G22" s="36" t="inlineStr">
        <is>
          <t>NeX-55WB</t>
        </is>
      </c>
      <c r="H22" s="36" t="inlineStr">
        <is>
          <t>SEN1100002-01</t>
        </is>
      </c>
      <c r="I22" s="36" t="inlineStr">
        <is>
          <t>GS &amp; Control air compressor</t>
        </is>
      </c>
      <c r="J22" s="36" t="n"/>
      <c r="K22" s="34" t="n">
        <v>2</v>
      </c>
      <c r="L22" s="34" t="inlineStr">
        <is>
          <t>pcs</t>
        </is>
      </c>
      <c r="M22" s="34" t="inlineStr">
        <is>
          <t>BOSUNG</t>
        </is>
      </c>
      <c r="N22" s="34" t="inlineStr">
        <is>
          <t>미접수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[보성 RFQ 01 발송 2026-10-19] 회신 대기</t>
        </is>
      </c>
      <c r="AC22" s="34" t="inlineStr">
        <is>
          <t>검토중</t>
        </is>
      </c>
      <c r="AD22" s="36" t="inlineStr">
        <is>
          <t>보성 견적 회신 대기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BOSUNG-01</t>
        </is>
      </c>
      <c r="C23" s="34" t="inlineStr">
        <is>
          <t>B01</t>
        </is>
      </c>
      <c r="D23" s="34" t="n">
        <v>11</v>
      </c>
      <c r="E23" s="34" t="inlineStr">
        <is>
          <t>DONGHWA PNEUTEC</t>
        </is>
      </c>
      <c r="F23" s="36" t="inlineStr">
        <is>
          <t>Thermostat V/V</t>
        </is>
      </c>
      <c r="G23" s="36" t="inlineStr">
        <is>
          <t>NeX-55WB</t>
        </is>
      </c>
      <c r="H23" s="36" t="inlineStr">
        <is>
          <t>VAL4500004-00</t>
        </is>
      </c>
      <c r="I23" s="36" t="inlineStr">
        <is>
          <t>GS &amp; Control air compressor</t>
        </is>
      </c>
      <c r="J23" s="36" t="n"/>
      <c r="K23" s="34" t="n">
        <v>2</v>
      </c>
      <c r="L23" s="34" t="inlineStr">
        <is>
          <t>pcs</t>
        </is>
      </c>
      <c r="M23" s="34" t="inlineStr">
        <is>
          <t>BOSUNG</t>
        </is>
      </c>
      <c r="N23" s="34" t="inlineStr">
        <is>
          <t>미접수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[보성 RFQ 01 발송 2026-10-19] 회신 대기</t>
        </is>
      </c>
      <c r="AC23" s="34" t="inlineStr">
        <is>
          <t>검토중</t>
        </is>
      </c>
      <c r="AD23" s="36" t="inlineStr">
        <is>
          <t>보성 견적 회신 대기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BOSUNG-01</t>
        </is>
      </c>
      <c r="C24" s="34" t="inlineStr">
        <is>
          <t>B01</t>
        </is>
      </c>
      <c r="D24" s="34" t="n">
        <v>12</v>
      </c>
      <c r="E24" s="34" t="inlineStr">
        <is>
          <t>DONGHWA PNEUTEC</t>
        </is>
      </c>
      <c r="F24" s="36" t="inlineStr">
        <is>
          <t>3-Way Test Valve</t>
        </is>
      </c>
      <c r="G24" s="36" t="inlineStr">
        <is>
          <t>NeX-55WB</t>
        </is>
      </c>
      <c r="H24" s="36" t="inlineStr">
        <is>
          <t>VAL1000002-00</t>
        </is>
      </c>
      <c r="I24" s="36" t="inlineStr">
        <is>
          <t>GS &amp; Control air compressor</t>
        </is>
      </c>
      <c r="J24" s="36" t="n"/>
      <c r="K24" s="34" t="n">
        <v>2</v>
      </c>
      <c r="L24" s="34" t="inlineStr">
        <is>
          <t>pcs</t>
        </is>
      </c>
      <c r="M24" s="34" t="inlineStr">
        <is>
          <t>BOSUNG</t>
        </is>
      </c>
      <c r="N24" s="34" t="inlineStr">
        <is>
          <t>미접수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[보성 RFQ 01 발송 2026-10-19] 회신 대기</t>
        </is>
      </c>
      <c r="AC24" s="34" t="inlineStr">
        <is>
          <t>검토중</t>
        </is>
      </c>
      <c r="AD24" s="36" t="inlineStr">
        <is>
          <t>보성 견적 회신 대기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BOSUNG-01</t>
        </is>
      </c>
      <c r="C25" s="34" t="inlineStr">
        <is>
          <t>B01</t>
        </is>
      </c>
      <c r="D25" s="34" t="n">
        <v>13</v>
      </c>
      <c r="E25" s="34" t="inlineStr">
        <is>
          <t>DONGHWA PNEUTEC</t>
        </is>
      </c>
      <c r="F25" s="36" t="inlineStr">
        <is>
          <t>Auto Drain Trap</t>
        </is>
      </c>
      <c r="G25" s="36" t="inlineStr">
        <is>
          <t>NeX-55WB</t>
        </is>
      </c>
      <c r="H25" s="36" t="inlineStr">
        <is>
          <t>VAL1900001-00</t>
        </is>
      </c>
      <c r="I25" s="36" t="inlineStr">
        <is>
          <t>GS &amp; Control air compressor</t>
        </is>
      </c>
      <c r="J25" s="36" t="n"/>
      <c r="K25" s="34" t="n">
        <v>2</v>
      </c>
      <c r="L25" s="34" t="inlineStr">
        <is>
          <t>pcs</t>
        </is>
      </c>
      <c r="M25" s="34" t="inlineStr">
        <is>
          <t>BOSUNG</t>
        </is>
      </c>
      <c r="N25" s="34" t="inlineStr">
        <is>
          <t>미접수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[보성 RFQ 01 발송 2026-10-19] 회신 대기</t>
        </is>
      </c>
      <c r="AC25" s="34" t="inlineStr">
        <is>
          <t>검토중</t>
        </is>
      </c>
      <c r="AD25" s="36" t="inlineStr">
        <is>
          <t>보성 견적 회신 대기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BOSUNG-04</t>
        </is>
      </c>
      <c r="C26" s="34" t="inlineStr">
        <is>
          <t>B04</t>
        </is>
      </c>
      <c r="D26" s="34" t="n">
        <v>4</v>
      </c>
      <c r="E26" s="34" t="inlineStr">
        <is>
          <t>DAEYANG</t>
        </is>
      </c>
      <c r="F26" s="36" t="inlineStr">
        <is>
          <t>PART NO.11 LED DRIVER FOR EXPLOSION PROOF LED FLOODLIGHT</t>
        </is>
      </c>
      <c r="G26" s="36" t="inlineStr">
        <is>
          <t>EXLED-PF250AL-220AWHFM20R2</t>
        </is>
      </c>
      <c r="H26" s="36" t="inlineStr">
        <is>
          <t>DRAWING LR6530160</t>
        </is>
      </c>
      <c r="I26" s="36" t="inlineStr">
        <is>
          <t>Lighting (Electrical)</t>
        </is>
      </c>
      <c r="J26" s="36" t="inlineStr">
        <is>
          <t>원 요청번호 003 - ELECTRICAL</t>
        </is>
      </c>
      <c r="K26" s="34" t="n">
        <v>12</v>
      </c>
      <c r="L26" s="34" t="inlineStr">
        <is>
          <t>PCS</t>
        </is>
      </c>
      <c r="M26" s="34" t="inlineStr">
        <is>
          <t>CENTMAR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188710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70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>
        <v>46318</v>
      </c>
      <c r="AA26" s="54">
        <f>IF(OR(Z26="",Y26=""),"",Z26+Y26)</f>
        <v/>
      </c>
      <c r="AB26" s="36" t="inlineStr">
        <is>
          <t>[중앙해사 JU26102223] PART NO.11 LED DRIVER FOR EXPLOSION PROOF LED FLOODLIGHT – DAEYANG EXLED-PF250AL-220AWHFM20R2 DRAWING LR6530160 / LEAD TIME 70 DAYS</t>
        </is>
      </c>
      <c r="AC26" s="34" t="inlineStr">
        <is>
          <t>검토중</t>
        </is>
      </c>
      <c r="AD26" s="36" t="inlineStr">
        <is>
          <t>유효기간·인도조건 미기재 – 중앙해사 확인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BOSUNG-04</t>
        </is>
      </c>
      <c r="C27" s="34" t="inlineStr">
        <is>
          <t>B04</t>
        </is>
      </c>
      <c r="D27" s="34" t="n">
        <v>4</v>
      </c>
      <c r="E27" s="34" t="inlineStr">
        <is>
          <t>DAEYANG</t>
        </is>
      </c>
      <c r="F27" s="36" t="inlineStr">
        <is>
          <t>LED Driver for Explosion Proof LED Floodlight</t>
        </is>
      </c>
      <c r="G27" s="36" t="inlineStr">
        <is>
          <t>EXLED-PF250AL-220AWHFM20R2</t>
        </is>
      </c>
      <c r="H27" s="36" t="inlineStr">
        <is>
          <t>Part no.11 Drawing LR6530160</t>
        </is>
      </c>
      <c r="I27" s="36" t="inlineStr">
        <is>
          <t>Explosion Proof LED Floodlight</t>
        </is>
      </c>
      <c r="J27" s="36" t="n"/>
      <c r="K27" s="34" t="n">
        <v>12</v>
      </c>
      <c r="L27" s="34" t="inlineStr">
        <is>
          <t>pcs</t>
        </is>
      </c>
      <c r="M27" s="34" t="inlineStr">
        <is>
          <t>BOSUNG</t>
        </is>
      </c>
      <c r="N27" s="34" t="inlineStr">
        <is>
          <t>미접수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5" t="n"/>
      <c r="AA27" s="54">
        <f>IF(OR(Z27="",Y27=""),"",Z27+Y27)</f>
        <v/>
      </c>
      <c r="AB27" s="36" t="inlineStr">
        <is>
          <t>[보성 RFQ 04 발송 2026-10-19] 회신 대기</t>
        </is>
      </c>
      <c r="AC27" s="34" t="inlineStr">
        <is>
          <t>검토중</t>
        </is>
      </c>
      <c r="AD27" s="36" t="inlineStr">
        <is>
          <t>보성 견적 회신 대기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BOSUNG-04</t>
        </is>
      </c>
      <c r="C28" s="34" t="inlineStr">
        <is>
          <t>B04</t>
        </is>
      </c>
      <c r="D28" s="34" t="n">
        <v>5</v>
      </c>
      <c r="E28" s="34" t="inlineStr">
        <is>
          <t>DAEYANG</t>
        </is>
      </c>
      <c r="F28" s="36" t="inlineStr">
        <is>
          <t>PART NO.4 LED DRIVERS DLD-48600-PFN</t>
        </is>
      </c>
      <c r="G28" s="36" t="inlineStr">
        <is>
          <t>PFO600L-250AWCTFC60(R25M)</t>
        </is>
      </c>
      <c r="H28" s="36" t="inlineStr">
        <is>
          <t>DRAWING NO. LR5570006</t>
        </is>
      </c>
      <c r="I28" s="36" t="inlineStr">
        <is>
          <t>Lighting (Electrical)</t>
        </is>
      </c>
      <c r="J28" s="36" t="inlineStr">
        <is>
          <t>원 요청번호 003 - ELECTRICAL</t>
        </is>
      </c>
      <c r="K28" s="34" t="n">
        <v>23</v>
      </c>
      <c r="L28" s="34" t="inlineStr">
        <is>
          <t>PCS</t>
        </is>
      </c>
      <c r="M28" s="34" t="inlineStr">
        <is>
          <t>CENTMAR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598900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70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>
        <v>46318</v>
      </c>
      <c r="AA28" s="54">
        <f>IF(OR(Z28="",Y28=""),"",Z28+Y28)</f>
        <v/>
      </c>
      <c r="AB28" s="36" t="inlineStr">
        <is>
          <t>[중앙해사 JU26102223] PART NO.4 LED DRIVERS DLD-48600-PFN – DAEYANG PFO600L-250AWCTFC60(R25M) DRAWING NO. LR5570006 / LEAD TIME 70 DAYS</t>
        </is>
      </c>
      <c r="AC28" s="34" t="inlineStr">
        <is>
          <t>검토중</t>
        </is>
      </c>
      <c r="AD28" s="36" t="inlineStr">
        <is>
          <t>유효기간·인도조건 미기재 – 중앙해사 확인</t>
        </is>
      </c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BOSUNG-04</t>
        </is>
      </c>
      <c r="C29" s="34" t="inlineStr">
        <is>
          <t>B04</t>
        </is>
      </c>
      <c r="D29" s="34" t="n">
        <v>5</v>
      </c>
      <c r="E29" s="34" t="inlineStr">
        <is>
          <t>DAEYANG</t>
        </is>
      </c>
      <c r="F29" s="36" t="inlineStr">
        <is>
          <t>LED drivers DLD-48600-PFN</t>
        </is>
      </c>
      <c r="G29" s="36" t="inlineStr">
        <is>
          <t>PFO600L-250AWCTFC60(R25M)</t>
        </is>
      </c>
      <c r="H29" s="36" t="inlineStr">
        <is>
          <t>Part no.4 Drawing no. LR5570006</t>
        </is>
      </c>
      <c r="I29" s="36" t="inlineStr">
        <is>
          <t>LED Deck Flood Light</t>
        </is>
      </c>
      <c r="J29" s="36" t="n"/>
      <c r="K29" s="34" t="n">
        <v>23</v>
      </c>
      <c r="L29" s="34" t="inlineStr">
        <is>
          <t>pcs</t>
        </is>
      </c>
      <c r="M29" s="34" t="inlineStr">
        <is>
          <t>BOSUNG</t>
        </is>
      </c>
      <c r="N29" s="34" t="inlineStr">
        <is>
          <t>미접수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5" t="n"/>
      <c r="AA29" s="54">
        <f>IF(OR(Z29="",Y29=""),"",Z29+Y29)</f>
        <v/>
      </c>
      <c r="AB29" s="36" t="inlineStr">
        <is>
          <t>[보성 RFQ 04 발송 2026-10-19] 회신 대기</t>
        </is>
      </c>
      <c r="AC29" s="34" t="inlineStr">
        <is>
          <t>검토중</t>
        </is>
      </c>
      <c r="AD29" s="36" t="inlineStr">
        <is>
          <t>보성 견적 회신 대기</t>
        </is>
      </c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ONEIROI</t>
        </is>
      </c>
      <c r="F1" s="57" t="inlineStr">
        <is>
          <t>IMO 9958327   ·   URGENT   ·   RFQ상 납품항/ETA: Europe - port TBA</t>
        </is>
      </c>
    </row>
    <row r="2" ht="24" customHeight="1">
      <c r="A2" s="41">
        <f>IFERROR(IF(N(INDEX(스케줄!$C$5:$C$14,MATCH("ONEIROI",스케줄!$A$5:$A$14,0)))=0,"다음 일정: 미정 (스케줄 시트에 입력)","다음 일정: "&amp;INDEX(스케줄!$B$5:$B$14,MATCH("ONEIROI",스케줄!$A$5:$A$14,0))&amp;"  "&amp;TEXT(INDEX(스케줄!$C$5:$C$14,MATCH("ONEIROI",스케줄!$A$5:$A$14,0)),"mm/dd")&amp;IF(N(INDEX(스케줄!$D$5:$D$14,MATCH("ONEIROI",스케줄!$A$5:$A$14,0)))=0,"","~"&amp;TEXT(INDEX(스케줄!$D$5:$D$14,MATCH("ONEIROI",스케줄!$A$5:$A$14,0)),"mm/dd"))),"")</f>
        <v/>
      </c>
      <c r="G2" s="42">
        <f>IFERROR(INDEX(스케줄!$I$5:$I$14,MATCH("ONEIROI",스케줄!$A$5:$A$14,0)),"")</f>
        <v/>
      </c>
      <c r="H2" s="43">
        <f>IFERROR(INDEX(스케줄!$J$5:$J$14,MATCH("ONEIROI",스케줄!$A$5:$A$14,0)),"")</f>
        <v/>
      </c>
      <c r="J2" s="44" t="inlineStr">
        <is>
          <t>출고 마감</t>
        </is>
      </c>
      <c r="K2" s="45">
        <f>IFERROR(INDEX(스케줄!$F$5:$F$14,MATCH("ONEIROI",스케줄!$A$5:$A$14,0)),"")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6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NORGREN F05G-2AN-AM3</t>
        </is>
      </c>
      <c r="H6" s="36" t="inlineStr">
        <is>
          <t>3653-28</t>
        </is>
      </c>
      <c r="I6" s="36" t="inlineStr">
        <is>
          <t>MAIN ENGINE/ EGR</t>
        </is>
      </c>
      <c r="J6" s="36" t="inlineStr">
        <is>
          <t>SERVICE KIT-F05G 40 MIC</t>
        </is>
      </c>
      <c r="K6" s="34" t="n">
        <v>100</v>
      </c>
      <c r="L6" s="34" t="inlineStr">
        <is>
          <t>EA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KQU-000116300</t>
        </is>
      </c>
      <c r="C7" s="34" t="inlineStr">
        <is>
          <t>10</t>
        </is>
      </c>
      <c r="D7" s="34" t="n">
        <v>1</v>
      </c>
      <c r="E7" s="34" t="inlineStr">
        <is>
          <t>HSME</t>
        </is>
      </c>
      <c r="F7" s="36" t="inlineStr">
        <is>
          <t>PMI SENSOR</t>
        </is>
      </c>
      <c r="G7" s="36" t="inlineStr">
        <is>
          <t>HSME CORPORATION/ VIHBW-M20-W27-S4</t>
        </is>
      </c>
      <c r="H7" s="36" t="inlineStr">
        <is>
          <t>VIHBW-M20-W27-S4</t>
        </is>
      </c>
      <c r="I7" s="36" t="inlineStr">
        <is>
          <t>MAIN ENGINE/ CYLINDER UNIT</t>
        </is>
      </c>
      <c r="J7" s="36" t="n"/>
      <c r="K7" s="34" t="n">
        <v>1</v>
      </c>
      <c r="L7" s="34" t="inlineStr">
        <is>
          <t>EA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DETAILED PICTURES.</t>
        </is>
      </c>
      <c r="AC7" s="34" t="inlineStr">
        <is>
          <t>정보 송부필요</t>
        </is>
      </c>
      <c r="AD7" s="36" t="inlineStr">
        <is>
          <t>상세 사진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KQU-000116300</t>
        </is>
      </c>
      <c r="C8" s="34" t="inlineStr">
        <is>
          <t>10</t>
        </is>
      </c>
      <c r="D8" s="34" t="n">
        <v>1</v>
      </c>
      <c r="E8" s="34" t="inlineStr">
        <is>
          <t>HSME</t>
        </is>
      </c>
      <c r="F8" s="36" t="inlineStr">
        <is>
          <t>PMI SENSOR</t>
        </is>
      </c>
      <c r="G8" s="36" t="inlineStr">
        <is>
          <t>HSME CORPORATION/ VIHBW-M20-W27-S4</t>
        </is>
      </c>
      <c r="H8" s="36" t="inlineStr">
        <is>
          <t>VIHBW-M20-W27-S4</t>
        </is>
      </c>
      <c r="I8" s="36" t="inlineStr">
        <is>
          <t>MAIN ENGINE/ CYLINDER UNIT</t>
        </is>
      </c>
      <c r="J8" s="36" t="n"/>
      <c r="K8" s="34" t="n">
        <v>1</v>
      </c>
      <c r="L8" s="34" t="inlineStr">
        <is>
          <t>EA</t>
        </is>
      </c>
      <c r="M8" s="34" t="inlineStr">
        <is>
          <t>AFS</t>
        </is>
      </c>
      <c r="N8" s="34" t="inlineStr">
        <is>
          <t>확인필요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/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/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Q.0000122669] *please see email*</t>
        </is>
      </c>
      <c r="AC8" s="34" t="inlineStr">
        <is>
          <t>정보 송부필요</t>
        </is>
      </c>
      <c r="AD8" s="36" t="inlineStr">
        <is>
          <t>AFS 이메일 내용 확인 (견적서엔 단가 없음)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KQU-000116300</t>
        </is>
      </c>
      <c r="C9" s="34" t="inlineStr">
        <is>
          <t>10</t>
        </is>
      </c>
      <c r="D9" s="34" t="n">
        <v>1</v>
      </c>
      <c r="E9" s="34" t="inlineStr">
        <is>
          <t>HSME</t>
        </is>
      </c>
      <c r="F9" s="36" t="inlineStr">
        <is>
          <t>PMI SENSOR</t>
        </is>
      </c>
      <c r="G9" s="36" t="inlineStr">
        <is>
          <t>HSME CORPORATION/ VIHBW-M20-W27-S4</t>
        </is>
      </c>
      <c r="H9" s="36" t="inlineStr">
        <is>
          <t>VIHBW-M20-W27-S4</t>
        </is>
      </c>
      <c r="I9" s="36" t="inlineStr">
        <is>
          <t>MAIN ENGINE/ CYLINDER UNIT</t>
        </is>
      </c>
      <c r="J9" s="36" t="n"/>
      <c r="K9" s="34" t="n">
        <v>1</v>
      </c>
      <c r="L9" s="34" t="inlineStr">
        <is>
          <t>EA</t>
        </is>
      </c>
      <c r="M9" s="34" t="inlineStr">
        <is>
          <t>OXEN</t>
        </is>
      </c>
      <c r="N9" s="34" t="inlineStr">
        <is>
          <t>미접수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/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/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EXW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[옥슨 IOB-ONR-26-1016(ME)] #10 PMI SENSOR VIHBW-M20-W27-S4 – 견적중</t>
        </is>
      </c>
      <c r="AC9" s="34" t="inlineStr">
        <is>
          <t>검토중</t>
        </is>
      </c>
      <c r="AD9" s="36" t="inlineStr">
        <is>
          <t>옥슨 견적중 – 회신 대기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KQU-000116307</t>
        </is>
      </c>
      <c r="C10" s="34" t="inlineStr">
        <is>
          <t>11</t>
        </is>
      </c>
      <c r="D10" s="34" t="n">
        <v>1</v>
      </c>
      <c r="E10" s="34" t="inlineStr">
        <is>
          <t>GRUNDFOS</t>
        </is>
      </c>
      <c r="F10" s="36" t="inlineStr">
        <is>
          <t>IMPELLER</t>
        </is>
      </c>
      <c r="G10" s="36" t="inlineStr">
        <is>
          <t>GRUNDFOS/PN-SN A-99574543</t>
        </is>
      </c>
      <c r="H10" s="36" t="inlineStr">
        <is>
          <t>Drawings not available</t>
        </is>
      </c>
      <c r="I10" s="36" t="inlineStr">
        <is>
          <t>M/E EGR WTS. WATER SUPPLY PUMP</t>
        </is>
      </c>
      <c r="J10" s="36" t="n"/>
      <c r="K10" s="34" t="n">
        <v>1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34000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D/T: 7 WORKING DAYS, GENUINE, EX WORK BUSAN [VALI: 20 DAYS]</t>
        </is>
      </c>
      <c r="AC10" s="34" t="inlineStr">
        <is>
          <t>검토중</t>
        </is>
      </c>
      <c r="AD10" s="36" t="inlineStr">
        <is>
          <t>네덜란드 보급 맞춰 포워딩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KQU-000116307</t>
        </is>
      </c>
      <c r="C11" s="34" t="inlineStr">
        <is>
          <t>11</t>
        </is>
      </c>
      <c r="D11" s="34" t="n">
        <v>1</v>
      </c>
      <c r="E11" s="34" t="inlineStr">
        <is>
          <t>GRUNDFOS</t>
        </is>
      </c>
      <c r="F11" s="36" t="inlineStr">
        <is>
          <t>IMPELLER</t>
        </is>
      </c>
      <c r="G11" s="36" t="inlineStr">
        <is>
          <t>GRUNDFOS/PN-SN A-99574543</t>
        </is>
      </c>
      <c r="H11" s="36" t="inlineStr">
        <is>
          <t>Drawings not available</t>
        </is>
      </c>
      <c r="I11" s="36" t="inlineStr">
        <is>
          <t>M/E EGR WTS. WATER SUPPLY PUMP</t>
        </is>
      </c>
      <c r="J11" s="36" t="inlineStr">
        <is>
          <t>AFS: 98394417 SPARE, IMPELLER CRN</t>
        </is>
      </c>
      <c r="K11" s="34" t="n">
        <v>1</v>
      </c>
      <c r="L11" s="34" t="inlineStr">
        <is>
          <t>pcs</t>
        </is>
      </c>
      <c r="M11" s="34" t="inlineStr">
        <is>
          <t>AFS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>
        <v>175.89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7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Q.0000122671] 98394417 SPARE, IMPELLER CRN / *del time: 1 week* *item cannot be returned*</t>
        </is>
      </c>
      <c r="AC11" s="34" t="inlineStr">
        <is>
          <t>검토중</t>
        </is>
      </c>
      <c r="AD11" s="36" t="n"/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KQU-000116307</t>
        </is>
      </c>
      <c r="C12" s="34" t="inlineStr">
        <is>
          <t>11</t>
        </is>
      </c>
      <c r="D12" s="34" t="n">
        <v>2</v>
      </c>
      <c r="E12" s="34" t="inlineStr">
        <is>
          <t>GRUNDFOS</t>
        </is>
      </c>
      <c r="F12" s="36" t="inlineStr">
        <is>
          <t>M/SEAL</t>
        </is>
      </c>
      <c r="G12" s="36" t="inlineStr">
        <is>
          <t>GRUNDFOS/PN-SN A-99574543</t>
        </is>
      </c>
      <c r="H12" s="36" t="inlineStr">
        <is>
          <t>Drawings not available</t>
        </is>
      </c>
      <c r="I12" s="36" t="inlineStr">
        <is>
          <t>M/E EGR WTS. WATER SUPPLY PUMP</t>
        </is>
      </c>
      <c r="J12" s="36" t="n"/>
      <c r="K12" s="34" t="n">
        <v>1</v>
      </c>
      <c r="L12" s="34" t="inlineStr">
        <is>
          <t>pcs</t>
        </is>
      </c>
      <c r="M12" s="34" t="inlineStr">
        <is>
          <t>RMS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>
        <v>290000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GENUINE</t>
        </is>
      </c>
      <c r="X12" s="34" t="inlineStr">
        <is>
          <t>EX WORK BUSAN</t>
        </is>
      </c>
      <c r="Y12" s="34" t="n">
        <v>20</v>
      </c>
      <c r="Z12" s="55" t="n"/>
      <c r="AA12" s="54">
        <f>IF(OR(Z12="",Y12=""),"",Z12+Y12)</f>
        <v/>
      </c>
      <c r="AB12" s="36" t="inlineStr">
        <is>
          <t>D/T: 7 WORKING DAYS, GENUINE, EX WORK BUSAN [VALI: 20 DAYS]</t>
        </is>
      </c>
      <c r="AC12" s="34" t="inlineStr">
        <is>
          <t>검토중</t>
        </is>
      </c>
      <c r="AD12" s="36" t="inlineStr">
        <is>
          <t>네덜란드 보급 맞춰 포워딩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KQU-000116307</t>
        </is>
      </c>
      <c r="C13" s="34" t="inlineStr">
        <is>
          <t>11</t>
        </is>
      </c>
      <c r="D13" s="34" t="n">
        <v>2</v>
      </c>
      <c r="E13" s="34" t="inlineStr">
        <is>
          <t>GRUNDFOS</t>
        </is>
      </c>
      <c r="F13" s="36" t="inlineStr">
        <is>
          <t>M/SEAL</t>
        </is>
      </c>
      <c r="G13" s="36" t="inlineStr">
        <is>
          <t>GRUNDFOS/PN-SN A-99574543</t>
        </is>
      </c>
      <c r="H13" s="36" t="inlineStr">
        <is>
          <t>Drawings not available</t>
        </is>
      </c>
      <c r="I13" s="36" t="inlineStr">
        <is>
          <t>M/E EGR WTS. WATER SUPPLY PUMP</t>
        </is>
      </c>
      <c r="J13" s="36" t="inlineStr">
        <is>
          <t>AFS: 샤프트씰 키트 96455086 + 가스켓 키트 96455090</t>
        </is>
      </c>
      <c r="K13" s="34" t="n">
        <v>1</v>
      </c>
      <c r="L13" s="34" t="inlineStr">
        <is>
          <t>pcs</t>
        </is>
      </c>
      <c r="M13" s="34" t="inlineStr">
        <is>
          <t>AFS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EUR</t>
        </is>
      </c>
      <c r="Q13" s="51" t="n">
        <v>439.73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7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미기재 (AFS 네덜란드)</t>
        </is>
      </c>
      <c r="Y13" s="34" t="n"/>
      <c r="Z13" s="56" t="n">
        <v>46317</v>
      </c>
      <c r="AA13" s="54">
        <f>IF(OR(Z13="",Y13=""),"",Z13+Y13)</f>
        <v/>
      </c>
      <c r="AB13" s="36" t="inlineStr">
        <is>
          <t>[AFS Q.0000122671] 96455086 KIT, SHAFT SEAL H QQEGG KB012S1 + 96455090 KIT, GASKET EPDM CR/I/N 1S/1/3/5 / *del time: 1 week* *item cannot be returned*</t>
        </is>
      </c>
      <c r="AC13" s="34" t="inlineStr">
        <is>
          <t>검토중</t>
        </is>
      </c>
      <c r="AD13" s="36" t="inlineStr">
        <is>
          <t>AFS는 씰+가스켓 키트 구성 – RMS(M/SEAL 단품)와 범위 비교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KQU-000116314</t>
        </is>
      </c>
      <c r="C14" s="34" t="inlineStr">
        <is>
          <t>25</t>
        </is>
      </c>
      <c r="D14" s="34" t="n">
        <v>1</v>
      </c>
      <c r="E14" s="34" t="inlineStr">
        <is>
          <t>HACCP MASTER</t>
        </is>
      </c>
      <c r="F14" s="36" t="inlineStr">
        <is>
          <t>Cooking Range Hot Plate</t>
        </is>
      </c>
      <c r="G14" s="36" t="inlineStr">
        <is>
          <t>HACCP MASTER / ER641</t>
        </is>
      </c>
      <c r="H14" s="36" t="inlineStr">
        <is>
          <t>A4-210x297 - 5</t>
        </is>
      </c>
      <c r="I14" s="36" t="inlineStr">
        <is>
          <t>Galley &amp; Laundry equipment. Electric Cooking Range</t>
        </is>
      </c>
      <c r="J14" s="36" t="inlineStr">
        <is>
          <t>Low insulation, Details on drawing</t>
        </is>
      </c>
      <c r="K14" s="34" t="n">
        <v>4</v>
      </c>
      <c r="L14" s="34" t="inlineStr">
        <is>
          <t>pcs</t>
        </is>
      </c>
      <c r="M14" s="34" t="inlineStr">
        <is>
          <t>RMS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320000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3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GENUINE</t>
        </is>
      </c>
      <c r="X14" s="34" t="inlineStr">
        <is>
          <t>EX WORK BUSAN</t>
        </is>
      </c>
      <c r="Y14" s="34" t="n"/>
      <c r="Z14" s="55" t="n"/>
      <c r="AA14" s="54">
        <f>IF(OR(Z14="",Y14=""),"",Z14+Y14)</f>
        <v/>
      </c>
      <c r="AB14" s="36" t="inlineStr">
        <is>
          <t>D/T: 3 DAYS, GENUINE, EX WORK BUSAN</t>
        </is>
      </c>
      <c r="AC14" s="34" t="inlineStr">
        <is>
          <t>검토중</t>
        </is>
      </c>
      <c r="AD14" s="36" t="inlineStr">
        <is>
          <t>유효기간 미기재 – RMS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KQU-000116314</t>
        </is>
      </c>
      <c r="C15" s="34" t="inlineStr">
        <is>
          <t>25</t>
        </is>
      </c>
      <c r="D15" s="34" t="n">
        <v>1</v>
      </c>
      <c r="E15" s="34" t="inlineStr">
        <is>
          <t>HACCP MASTER</t>
        </is>
      </c>
      <c r="F15" s="36" t="inlineStr">
        <is>
          <t>Cooking Range Hot Plate</t>
        </is>
      </c>
      <c r="G15" s="36" t="inlineStr">
        <is>
          <t>HACCP MASTER / ER641</t>
        </is>
      </c>
      <c r="H15" s="36" t="inlineStr">
        <is>
          <t>A4-210x297 - 5</t>
        </is>
      </c>
      <c r="I15" s="36" t="inlineStr">
        <is>
          <t>Galley &amp; Laundry equipment. Electric Cooking Range</t>
        </is>
      </c>
      <c r="J15" s="36" t="inlineStr">
        <is>
          <t>딘텍 제안: 신형 11.33460.344</t>
        </is>
      </c>
      <c r="K15" s="34" t="n">
        <v>4</v>
      </c>
      <c r="L15" s="34" t="inlineStr">
        <is>
          <t>pcs</t>
        </is>
      </c>
      <c r="M15" s="34" t="inlineStr">
        <is>
          <t>DINTEC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>
        <v>582500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0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inlineStr">
        <is>
          <t>GENUINE</t>
        </is>
      </c>
      <c r="X15" s="34" t="inlineStr">
        <is>
          <t>EXW BUSAN</t>
        </is>
      </c>
      <c r="Y15" s="34" t="n">
        <v>30</v>
      </c>
      <c r="Z15" s="56" t="n">
        <v>46316</v>
      </c>
      <c r="AA15" s="54">
        <f>IF(OR(Z15="",Y15=""),"",Z15+Y15)</f>
        <v/>
      </c>
      <c r="AB15" s="36" t="inlineStr">
        <is>
          <t>[딘텍 DB26034754] OFFER: NEW TYPE (11.33460.344) / L/T: STK (Ex stock subject to prior sale) / Your ref 2026.10.12 / 수출 시 우든박스/팔레트 포장비 실비 별도</t>
        </is>
      </c>
      <c r="AC15" s="34" t="inlineStr">
        <is>
          <t>검토중</t>
        </is>
      </c>
      <c r="AD15" s="36" t="inlineStr">
        <is>
          <t>재고품(선판매 시 소진) · 입고 후 가열 상태로 절연 점검 요청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선박요청서-30</t>
        </is>
      </c>
      <c r="C16" s="34" t="inlineStr">
        <is>
          <t>30</t>
        </is>
      </c>
      <c r="D16" s="34" t="n">
        <v>1</v>
      </c>
      <c r="E16" s="34" t="inlineStr">
        <is>
          <t>Parker</t>
        </is>
      </c>
      <c r="F16" s="36" t="inlineStr">
        <is>
          <t>Solenoid Valve for Ballast Hyd. System D1VW4CNJWF (THR TYPE)</t>
        </is>
      </c>
      <c r="G16" s="36" t="inlineStr">
        <is>
          <t>Parker</t>
        </is>
      </c>
      <c r="H16" s="36" t="inlineStr">
        <is>
          <t>VPKVVDV4301</t>
        </is>
      </c>
      <c r="I16" s="36" t="inlineStr">
        <is>
          <t>Hyd.VRC</t>
        </is>
      </c>
      <c r="J16" s="36" t="inlineStr">
        <is>
          <t>DWG:VO61-W2008-9 / RMS: 신형 D1VW004CNJW로 견적</t>
        </is>
      </c>
      <c r="K16" s="34" t="n">
        <v>3</v>
      </c>
      <c r="L16" s="34" t="inlineStr">
        <is>
          <t>pcs</t>
        </is>
      </c>
      <c r="M16" s="34" t="inlineStr">
        <is>
          <t>RMS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500000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90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inlineStr">
        <is>
          <t>GENUINE</t>
        </is>
      </c>
      <c r="X16" s="34" t="inlineStr">
        <is>
          <t>EX WORK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#1 = QUOTE AS NEW TYPE: D1VW004CNJW (OBSOLETE D1VW4CNJWF) / D/T: 90 DAYS, GENUINE, EX WORK BUSAN [VALI: 20 DAYS]</t>
        </is>
      </c>
      <c r="AC16" s="34" t="inlineStr">
        <is>
          <t>검토중</t>
        </is>
      </c>
      <c r="AD16" s="36" t="inlineStr">
        <is>
          <t>신형 대체품 호환 확인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선박요청서-30</t>
        </is>
      </c>
      <c r="C17" s="34" t="inlineStr">
        <is>
          <t>30</t>
        </is>
      </c>
      <c r="D17" s="34" t="n">
        <v>1</v>
      </c>
      <c r="E17" s="34" t="inlineStr">
        <is>
          <t>Parker</t>
        </is>
      </c>
      <c r="F17" s="36" t="inlineStr">
        <is>
          <t>Solenoid Valve for Ballast Hyd. System D1VW4CNJWF (THR TYPE)</t>
        </is>
      </c>
      <c r="G17" s="36" t="inlineStr">
        <is>
          <t>Parker</t>
        </is>
      </c>
      <c r="H17" s="36" t="inlineStr">
        <is>
          <t>VPKVVDV4301</t>
        </is>
      </c>
      <c r="I17" s="36" t="inlineStr">
        <is>
          <t>Hyd.VRC</t>
        </is>
      </c>
      <c r="J17" s="36" t="inlineStr">
        <is>
          <t>딘텍 제안: D1VW4CNJW-91 (OEM)</t>
        </is>
      </c>
      <c r="K17" s="34" t="n">
        <v>3</v>
      </c>
      <c r="L17" s="34" t="inlineStr">
        <is>
          <t>pcs</t>
        </is>
      </c>
      <c r="M17" s="34" t="inlineStr">
        <is>
          <t>DINTEC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>
        <v>205000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50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inlineStr">
        <is>
          <t>OEM</t>
        </is>
      </c>
      <c r="X17" s="34" t="inlineStr">
        <is>
          <t>EXW BUSAN</t>
        </is>
      </c>
      <c r="Y17" s="34" t="n">
        <v>30</v>
      </c>
      <c r="Z17" s="56" t="n">
        <v>46317</v>
      </c>
      <c r="AA17" s="54">
        <f>IF(OR(Z17="",Y17=""),"",Z17+Y17)</f>
        <v/>
      </c>
      <c r="AB17" s="36" t="inlineStr">
        <is>
          <t>[딘텍 DB26034753] OFFER: D1VW4CNJW-91 / L/T 50 DAYS / ORIGIN: OEM / 수출 시 우든박스/팔레트 포장비 실비 별도</t>
        </is>
      </c>
      <c r="AC17" s="34" t="inlineStr">
        <is>
          <t>검토중</t>
        </is>
      </c>
      <c r="AD17" s="36" t="inlineStr">
        <is>
          <t>OEM품 – RMS는 정품 신형(90일). 승인 여부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선박요청서-30</t>
        </is>
      </c>
      <c r="C18" s="34" t="inlineStr">
        <is>
          <t>30</t>
        </is>
      </c>
      <c r="D18" s="34" t="n">
        <v>2</v>
      </c>
      <c r="E18" s="34" t="inlineStr">
        <is>
          <t>Parker</t>
        </is>
      </c>
      <c r="F18" s="36" t="inlineStr">
        <is>
          <t>Solenoid Valve for Ballast Hyd. System D1VW20DNJWF (O/S TYPE)</t>
        </is>
      </c>
      <c r="G18" s="36" t="inlineStr">
        <is>
          <t>Parker</t>
        </is>
      </c>
      <c r="H18" s="36" t="inlineStr">
        <is>
          <t>VPKVVDV4201</t>
        </is>
      </c>
      <c r="I18" s="36" t="inlineStr">
        <is>
          <t>Hyd.VRC</t>
        </is>
      </c>
      <c r="J18" s="36" t="inlineStr">
        <is>
          <t>DWG:VO61-W2008-10 / RMS: 신형 D1VW020DNJW로 견적</t>
        </is>
      </c>
      <c r="K18" s="34" t="n">
        <v>3</v>
      </c>
      <c r="L18" s="34" t="inlineStr">
        <is>
          <t>pcs</t>
        </is>
      </c>
      <c r="M18" s="34" t="inlineStr">
        <is>
          <t>RMS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649000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90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inlineStr">
        <is>
          <t>GENUINE</t>
        </is>
      </c>
      <c r="X18" s="34" t="inlineStr">
        <is>
          <t>EX WORK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#2 = QUOTE AS NEW TYPE: D1VW020DNJW (OBSOLETE D1VW020DNJW) / D/T: 90 DAYS, GENUINE, EX WORK BUSAN [VALI: 20 DAYS]</t>
        </is>
      </c>
      <c r="AC18" s="34" t="inlineStr">
        <is>
          <t>검토중</t>
        </is>
      </c>
      <c r="AD18" s="36" t="inlineStr">
        <is>
          <t>신형 대체품 호환 확인 (RMS 비고의 OBSOLETE 형번 오기 확인)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선박요청서-30</t>
        </is>
      </c>
      <c r="C19" s="34" t="inlineStr">
        <is>
          <t>30</t>
        </is>
      </c>
      <c r="D19" s="34" t="n">
        <v>2</v>
      </c>
      <c r="E19" s="34" t="inlineStr">
        <is>
          <t>Parker</t>
        </is>
      </c>
      <c r="F19" s="36" t="inlineStr">
        <is>
          <t>Solenoid Valve for Ballast Hyd. System D1VW20DNJWF (O/S TYPE)</t>
        </is>
      </c>
      <c r="G19" s="36" t="inlineStr">
        <is>
          <t>Parker</t>
        </is>
      </c>
      <c r="H19" s="36" t="inlineStr">
        <is>
          <t>VPKVVDV4201</t>
        </is>
      </c>
      <c r="I19" s="36" t="inlineStr">
        <is>
          <t>Hyd.VRC</t>
        </is>
      </c>
      <c r="J19" s="36" t="inlineStr">
        <is>
          <t>딘텍 제안: D1VW20DNJW-91 (OEM)</t>
        </is>
      </c>
      <c r="K19" s="34" t="n">
        <v>3</v>
      </c>
      <c r="L19" s="34" t="inlineStr">
        <is>
          <t>pcs</t>
        </is>
      </c>
      <c r="M19" s="34" t="inlineStr">
        <is>
          <t>DINTEC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225000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50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OEM</t>
        </is>
      </c>
      <c r="X19" s="34" t="inlineStr">
        <is>
          <t>EXW BUSAN</t>
        </is>
      </c>
      <c r="Y19" s="34" t="n">
        <v>30</v>
      </c>
      <c r="Z19" s="56" t="n">
        <v>46317</v>
      </c>
      <c r="AA19" s="54">
        <f>IF(OR(Z19="",Y19=""),"",Z19+Y19)</f>
        <v/>
      </c>
      <c r="AB19" s="36" t="inlineStr">
        <is>
          <t>[딘텍 DB26034753] OFFER: D1VW20DNJW-91 / L/T 50 DAYS / ORIGIN: OEM / 수출 시 우든박스/팔레트 포장비 실비 별도</t>
        </is>
      </c>
      <c r="AC19" s="34" t="inlineStr">
        <is>
          <t>검토중</t>
        </is>
      </c>
      <c r="AD19" s="36" t="inlineStr">
        <is>
          <t>OEM품 – RMS는 정품 신형(90일). 승인 여부 확인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선박요청서-30</t>
        </is>
      </c>
      <c r="C20" s="34" t="inlineStr">
        <is>
          <t>30</t>
        </is>
      </c>
      <c r="D20" s="34" t="n">
        <v>3</v>
      </c>
      <c r="E20" s="34" t="n"/>
      <c r="F20" s="36" t="inlineStr">
        <is>
          <t>Solenoid Valve for Ballast Hyd. System DHW-0713P</t>
        </is>
      </c>
      <c r="G20" s="36" t="n"/>
      <c r="H20" s="36" t="inlineStr">
        <is>
          <t>VATVDV43001</t>
        </is>
      </c>
      <c r="I20" s="36" t="inlineStr">
        <is>
          <t>Hyd.VRC</t>
        </is>
      </c>
      <c r="J20" s="36" t="inlineStr">
        <is>
          <t>DWG:VO61-W2008-6</t>
        </is>
      </c>
      <c r="K20" s="34" t="n">
        <v>3</v>
      </c>
      <c r="L20" s="34" t="inlineStr">
        <is>
          <t>pcs</t>
        </is>
      </c>
      <c r="M20" s="34" t="inlineStr">
        <is>
          <t>RMS</t>
        </is>
      </c>
      <c r="N20" s="34" t="inlineStr">
        <is>
          <t>공급불가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NOT AVAILABLE</t>
        </is>
      </c>
      <c r="AC20" s="34" t="inlineStr">
        <is>
          <t>타업체 문의</t>
        </is>
      </c>
      <c r="AD20" s="36" t="inlineStr">
        <is>
          <t>타 업체 견적 요청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선박요청서-30</t>
        </is>
      </c>
      <c r="C21" s="34" t="inlineStr">
        <is>
          <t>30</t>
        </is>
      </c>
      <c r="D21" s="34" t="n">
        <v>3</v>
      </c>
      <c r="E21" s="34" t="n"/>
      <c r="F21" s="36" t="inlineStr">
        <is>
          <t>Solenoid Valve for Ballast Hyd. System DHW-0713P</t>
        </is>
      </c>
      <c r="G21" s="36" t="n"/>
      <c r="H21" s="36" t="inlineStr">
        <is>
          <t>VATVDV43001</t>
        </is>
      </c>
      <c r="I21" s="36" t="inlineStr">
        <is>
          <t>Hyd.VRC</t>
        </is>
      </c>
      <c r="J21" s="36" t="n"/>
      <c r="K21" s="34" t="n">
        <v>3</v>
      </c>
      <c r="L21" s="34" t="inlineStr">
        <is>
          <t>pcs</t>
        </is>
      </c>
      <c r="M21" s="34" t="inlineStr">
        <is>
          <t>DINTEC</t>
        </is>
      </c>
      <c r="N21" s="34" t="inlineStr">
        <is>
          <t>공급불가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inlineStr">
        <is>
          <t>EXW BUSAN</t>
        </is>
      </c>
      <c r="Y21" s="34" t="n">
        <v>30</v>
      </c>
      <c r="Z21" s="56" t="n">
        <v>46317</v>
      </c>
      <c r="AA21" s="54">
        <f>IF(OR(Z21="",Y21=""),"",Z21+Y21)</f>
        <v/>
      </c>
      <c r="AB21" s="36" t="inlineStr">
        <is>
          <t>[딘텍 DB26034753] N/A / 수출 시 우든박스/팔레트 포장비 실비 별도</t>
        </is>
      </c>
      <c r="AC21" s="34" t="inlineStr">
        <is>
          <t>타업체 문의</t>
        </is>
      </c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선박요청서-30</t>
        </is>
      </c>
      <c r="C22" s="34" t="inlineStr">
        <is>
          <t>30</t>
        </is>
      </c>
      <c r="D22" s="34" t="n">
        <v>4</v>
      </c>
      <c r="E22" s="34" t="n"/>
      <c r="F22" s="36" t="inlineStr">
        <is>
          <t>Solenoid Valve for Ballast Hyd. System DHW-0751/2</t>
        </is>
      </c>
      <c r="G22" s="36" t="n"/>
      <c r="H22" s="36" t="inlineStr">
        <is>
          <t>VATVDV42005</t>
        </is>
      </c>
      <c r="I22" s="36" t="inlineStr">
        <is>
          <t>Hyd.VRC</t>
        </is>
      </c>
      <c r="J22" s="36" t="inlineStr">
        <is>
          <t>DWG:VO61-W2008-7</t>
        </is>
      </c>
      <c r="K22" s="34" t="n">
        <v>3</v>
      </c>
      <c r="L22" s="34" t="inlineStr">
        <is>
          <t>pcs</t>
        </is>
      </c>
      <c r="M22" s="34" t="inlineStr">
        <is>
          <t>RMS</t>
        </is>
      </c>
      <c r="N22" s="34" t="inlineStr">
        <is>
          <t>공급불가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NOT AVAILABLE</t>
        </is>
      </c>
      <c r="AC22" s="34" t="inlineStr">
        <is>
          <t>타업체 문의</t>
        </is>
      </c>
      <c r="AD22" s="36" t="inlineStr">
        <is>
          <t>타 업체 견적 요청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선박요청서-30</t>
        </is>
      </c>
      <c r="C23" s="34" t="inlineStr">
        <is>
          <t>30</t>
        </is>
      </c>
      <c r="D23" s="34" t="n">
        <v>4</v>
      </c>
      <c r="E23" s="34" t="n"/>
      <c r="F23" s="36" t="inlineStr">
        <is>
          <t>Solenoid Valve for Ballast Hyd. System DHW-0751/2</t>
        </is>
      </c>
      <c r="G23" s="36" t="n"/>
      <c r="H23" s="36" t="inlineStr">
        <is>
          <t>VATVDV42005</t>
        </is>
      </c>
      <c r="I23" s="36" t="inlineStr">
        <is>
          <t>Hyd.VRC</t>
        </is>
      </c>
      <c r="J23" s="36" t="n"/>
      <c r="K23" s="34" t="n">
        <v>3</v>
      </c>
      <c r="L23" s="34" t="inlineStr">
        <is>
          <t>pcs</t>
        </is>
      </c>
      <c r="M23" s="34" t="inlineStr">
        <is>
          <t>DINTEC</t>
        </is>
      </c>
      <c r="N23" s="34" t="inlineStr">
        <is>
          <t>공급불가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inlineStr">
        <is>
          <t>EXW BUSAN</t>
        </is>
      </c>
      <c r="Y23" s="34" t="n">
        <v>30</v>
      </c>
      <c r="Z23" s="56" t="n">
        <v>46317</v>
      </c>
      <c r="AA23" s="54">
        <f>IF(OR(Z23="",Y23=""),"",Z23+Y23)</f>
        <v/>
      </c>
      <c r="AB23" s="36" t="inlineStr">
        <is>
          <t>[딘텍 DB26034753] N/A / 수출 시 우든박스/팔레트 포장비 실비 별도</t>
        </is>
      </c>
      <c r="AC23" s="34" t="inlineStr">
        <is>
          <t>타업체 문의</t>
        </is>
      </c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선박요청서-31</t>
        </is>
      </c>
      <c r="C24" s="34" t="inlineStr">
        <is>
          <t>31</t>
        </is>
      </c>
      <c r="D24" s="34" t="n">
        <v>1</v>
      </c>
      <c r="E24" s="34" t="inlineStr">
        <is>
          <t>GRUNDFOS</t>
        </is>
      </c>
      <c r="F24" s="36" t="inlineStr">
        <is>
          <t>PUMP COMPLETE</t>
        </is>
      </c>
      <c r="G24" s="36" t="inlineStr">
        <is>
          <t>GRUNDFOS/CRN3-7</t>
        </is>
      </c>
      <c r="H24" s="36" t="n"/>
      <c r="I24" s="36" t="inlineStr">
        <is>
          <t>ME EGR WTS PUMP</t>
        </is>
      </c>
      <c r="J24" s="36" t="inlineStr">
        <is>
          <t>RMS: 모터 포함 펌프 완품으로 견적</t>
        </is>
      </c>
      <c r="K24" s="34" t="n">
        <v>1</v>
      </c>
      <c r="L24" s="34" t="inlineStr">
        <is>
          <t>SET</t>
        </is>
      </c>
      <c r="M24" s="34" t="inlineStr">
        <is>
          <t>RMS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>
        <v>1996560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10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inlineStr">
        <is>
          <t>GENUINE</t>
        </is>
      </c>
      <c r="X24" s="34" t="inlineStr">
        <is>
          <t>EX WORK BUSAN</t>
        </is>
      </c>
      <c r="Y24" s="34" t="n">
        <v>20</v>
      </c>
      <c r="Z24" s="55" t="n"/>
      <c r="AA24" s="54">
        <f>IF(OR(Z24="",Y24=""),"",Z24+Y24)</f>
        <v/>
      </c>
      <c r="AB24" s="36" t="inlineStr">
        <is>
          <t>#1 = QUOTE AS PUMP WITH MOTOR COMPLETE (→ Motor Rated voltage : 3 x 220-255D / 380-440Y V, 60HZ에 사용 됩니다. / ALL: D/T: 10 DAYS, GENUINE, EX WORK BUSAN [VALI: 20 DAYS]</t>
        </is>
      </c>
      <c r="AC24" s="34" t="inlineStr">
        <is>
          <t>검토중</t>
        </is>
      </c>
      <c r="AD24" s="36" t="inlineStr">
        <is>
          <t>모터 전압/60Hz 선내 사양 일치 확인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선박요청서-31</t>
        </is>
      </c>
      <c r="C25" s="34" t="inlineStr">
        <is>
          <t>31</t>
        </is>
      </c>
      <c r="D25" s="34" t="n">
        <v>2</v>
      </c>
      <c r="E25" s="34" t="inlineStr">
        <is>
          <t>GRUNDFOS</t>
        </is>
      </c>
      <c r="F25" s="36" t="inlineStr">
        <is>
          <t>O-RING</t>
        </is>
      </c>
      <c r="G25" s="36" t="inlineStr">
        <is>
          <t>GRUNDFOS/CRN3-7</t>
        </is>
      </c>
      <c r="H25" s="36" t="inlineStr">
        <is>
          <t>CRN3-7-37</t>
        </is>
      </c>
      <c r="I25" s="36" t="inlineStr">
        <is>
          <t>ME EGR WTS PUMP</t>
        </is>
      </c>
      <c r="J25" s="36" t="n"/>
      <c r="K25" s="34" t="n">
        <v>4</v>
      </c>
      <c r="L25" s="34" t="inlineStr">
        <is>
          <t>EA</t>
        </is>
      </c>
      <c r="M25" s="34" t="inlineStr">
        <is>
          <t>RMS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>
        <v>16638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10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inlineStr">
        <is>
          <t>GENUINE</t>
        </is>
      </c>
      <c r="X25" s="34" t="inlineStr">
        <is>
          <t>EX WORK BUSAN</t>
        </is>
      </c>
      <c r="Y25" s="34" t="n">
        <v>20</v>
      </c>
      <c r="Z25" s="55" t="n"/>
      <c r="AA25" s="54">
        <f>IF(OR(Z25="",Y25=""),"",Z25+Y25)</f>
        <v/>
      </c>
      <c r="AB25" s="36" t="inlineStr">
        <is>
          <t>ALL: D/T: 10 DAYS, GENUINE, EX WORK BUSAN [VALI: 20 DAYS]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선박요청서-31</t>
        </is>
      </c>
      <c r="C26" s="34" t="inlineStr">
        <is>
          <t>31</t>
        </is>
      </c>
      <c r="D26" s="34" t="n">
        <v>3</v>
      </c>
      <c r="E26" s="34" t="inlineStr">
        <is>
          <t>GRUNDFOS</t>
        </is>
      </c>
      <c r="F26" s="36" t="inlineStr">
        <is>
          <t>CHAMBER</t>
        </is>
      </c>
      <c r="G26" s="36" t="inlineStr">
        <is>
          <t>GRUNDFOS/CRN3-7</t>
        </is>
      </c>
      <c r="H26" s="36" t="inlineStr">
        <is>
          <t>CRN3-7-4</t>
        </is>
      </c>
      <c r="I26" s="36" t="inlineStr">
        <is>
          <t>ME EGR WTS PUMP</t>
        </is>
      </c>
      <c r="J26" s="36" t="n"/>
      <c r="K26" s="34" t="n">
        <v>8</v>
      </c>
      <c r="L26" s="34" t="inlineStr">
        <is>
          <t>EA</t>
        </is>
      </c>
      <c r="M26" s="34" t="inlineStr">
        <is>
          <t>RMS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44368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10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inlineStr">
        <is>
          <t>GENUINE</t>
        </is>
      </c>
      <c r="X26" s="34" t="inlineStr">
        <is>
          <t>EX WORK BUSAN</t>
        </is>
      </c>
      <c r="Y26" s="34" t="n">
        <v>20</v>
      </c>
      <c r="Z26" s="55" t="n"/>
      <c r="AA26" s="54">
        <f>IF(OR(Z26="",Y26=""),"",Z26+Y26)</f>
        <v/>
      </c>
      <c r="AB26" s="36" t="inlineStr">
        <is>
          <t>ALL: D/T: 10 DAYS, GENUINE, EX WORK BUSAN [VALI: 20 DAYS]</t>
        </is>
      </c>
      <c r="AC26" s="34" t="inlineStr">
        <is>
          <t>검토중</t>
        </is>
      </c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선박요청서-31</t>
        </is>
      </c>
      <c r="C27" s="34" t="inlineStr">
        <is>
          <t>31</t>
        </is>
      </c>
      <c r="D27" s="34" t="n">
        <v>4</v>
      </c>
      <c r="E27" s="34" t="inlineStr">
        <is>
          <t>GRUNDFOS</t>
        </is>
      </c>
      <c r="F27" s="36" t="inlineStr">
        <is>
          <t>CHAMBER WITH BEARING</t>
        </is>
      </c>
      <c r="G27" s="36" t="inlineStr">
        <is>
          <t>GRUNDFOS/CRN3-7</t>
        </is>
      </c>
      <c r="H27" s="36" t="inlineStr">
        <is>
          <t>CRN3-7-4A</t>
        </is>
      </c>
      <c r="I27" s="36" t="inlineStr">
        <is>
          <t>ME EGR WTS PUMP</t>
        </is>
      </c>
      <c r="J27" s="36" t="n"/>
      <c r="K27" s="34" t="n">
        <v>2</v>
      </c>
      <c r="L27" s="34" t="inlineStr">
        <is>
          <t>EA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49914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10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GENUINE</t>
        </is>
      </c>
      <c r="X27" s="34" t="inlineStr">
        <is>
          <t>EX WORK BUSAN</t>
        </is>
      </c>
      <c r="Y27" s="34" t="n">
        <v>20</v>
      </c>
      <c r="Z27" s="55" t="n"/>
      <c r="AA27" s="54">
        <f>IF(OR(Z27="",Y27=""),"",Z27+Y27)</f>
        <v/>
      </c>
      <c r="AB27" s="36" t="inlineStr">
        <is>
          <t>ALL: D/T: 10 DAYS, GENUINE, EX WORK BUSAN [VALI: 20 DAYS]</t>
        </is>
      </c>
      <c r="AC27" s="34" t="inlineStr">
        <is>
          <t>검토중</t>
        </is>
      </c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선박요청서-31</t>
        </is>
      </c>
      <c r="C28" s="34" t="inlineStr">
        <is>
          <t>31</t>
        </is>
      </c>
      <c r="D28" s="34" t="n">
        <v>5</v>
      </c>
      <c r="E28" s="34" t="inlineStr">
        <is>
          <t>GRUNDFOS</t>
        </is>
      </c>
      <c r="F28" s="36" t="inlineStr">
        <is>
          <t>SPACING PIPE</t>
        </is>
      </c>
      <c r="G28" s="36" t="inlineStr">
        <is>
          <t>GRUNDFOS/CRN3-7</t>
        </is>
      </c>
      <c r="H28" s="36" t="inlineStr">
        <is>
          <t>CRN3-7-64</t>
        </is>
      </c>
      <c r="I28" s="36" t="inlineStr">
        <is>
          <t>ME EGR WTS PUMP</t>
        </is>
      </c>
      <c r="J28" s="36" t="n"/>
      <c r="K28" s="34" t="n">
        <v>7</v>
      </c>
      <c r="L28" s="34" t="inlineStr">
        <is>
          <t>EA</t>
        </is>
      </c>
      <c r="M28" s="34" t="inlineStr">
        <is>
          <t>RMS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9982.799999999999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10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inlineStr">
        <is>
          <t>GENUINE</t>
        </is>
      </c>
      <c r="X28" s="34" t="inlineStr">
        <is>
          <t>EX WORK BUSAN</t>
        </is>
      </c>
      <c r="Y28" s="34" t="n">
        <v>20</v>
      </c>
      <c r="Z28" s="55" t="n"/>
      <c r="AA28" s="54">
        <f>IF(OR(Z28="",Y28=""),"",Z28+Y28)</f>
        <v/>
      </c>
      <c r="AB28" s="36" t="inlineStr">
        <is>
          <t>ALL: D/T: 10 DAYS, GENUINE, EX WORK BUSAN [VALI: 20 DAYS]</t>
        </is>
      </c>
      <c r="AC28" s="34" t="inlineStr">
        <is>
          <t>검토중</t>
        </is>
      </c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선박요청서-31</t>
        </is>
      </c>
      <c r="C29" s="34" t="inlineStr">
        <is>
          <t>31</t>
        </is>
      </c>
      <c r="D29" s="34" t="n">
        <v>6</v>
      </c>
      <c r="E29" s="34" t="inlineStr">
        <is>
          <t>GRUNDFOS</t>
        </is>
      </c>
      <c r="F29" s="36" t="inlineStr">
        <is>
          <t>SPACING PIPE</t>
        </is>
      </c>
      <c r="G29" s="36" t="inlineStr">
        <is>
          <t>GRUNDFOS/CRN3-7</t>
        </is>
      </c>
      <c r="H29" s="36" t="inlineStr">
        <is>
          <t>CRN3-7-64A</t>
        </is>
      </c>
      <c r="I29" s="36" t="inlineStr">
        <is>
          <t>ME EGR WTS PUMP</t>
        </is>
      </c>
      <c r="J29" s="36" t="n"/>
      <c r="K29" s="34" t="n">
        <v>2</v>
      </c>
      <c r="L29" s="34" t="inlineStr">
        <is>
          <t>EA</t>
        </is>
      </c>
      <c r="M29" s="34" t="inlineStr">
        <is>
          <t>RMS</t>
        </is>
      </c>
      <c r="N29" s="34" t="inlineStr">
        <is>
          <t>견적접수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>
        <v>6655.2</v>
      </c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>
        <v>10</v>
      </c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inlineStr">
        <is>
          <t>GENUINE</t>
        </is>
      </c>
      <c r="X29" s="34" t="inlineStr">
        <is>
          <t>EX WORK BUSAN</t>
        </is>
      </c>
      <c r="Y29" s="34" t="n">
        <v>20</v>
      </c>
      <c r="Z29" s="55" t="n"/>
      <c r="AA29" s="54">
        <f>IF(OR(Z29="",Y29=""),"",Z29+Y29)</f>
        <v/>
      </c>
      <c r="AB29" s="36" t="inlineStr">
        <is>
          <t>ALL: D/T: 10 DAYS, GENUINE, EX WORK BUSAN [VALI: 20 DAYS]</t>
        </is>
      </c>
      <c r="AC29" s="34" t="inlineStr">
        <is>
          <t>검토중</t>
        </is>
      </c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선박요청서-31</t>
        </is>
      </c>
      <c r="C30" s="34" t="inlineStr">
        <is>
          <t>31</t>
        </is>
      </c>
      <c r="D30" s="34" t="n">
        <v>7</v>
      </c>
      <c r="E30" s="34" t="inlineStr">
        <is>
          <t>GRUNDFOS</t>
        </is>
      </c>
      <c r="F30" s="36" t="inlineStr">
        <is>
          <t>SPACING PIPE</t>
        </is>
      </c>
      <c r="G30" s="36" t="inlineStr">
        <is>
          <t>GRUNDFOS/CRN3-7</t>
        </is>
      </c>
      <c r="H30" s="36" t="inlineStr">
        <is>
          <t>CRN3-7-64C</t>
        </is>
      </c>
      <c r="I30" s="36" t="inlineStr">
        <is>
          <t>ME EGR WTS PUMP</t>
        </is>
      </c>
      <c r="J30" s="36" t="n"/>
      <c r="K30" s="34" t="n">
        <v>2</v>
      </c>
      <c r="L30" s="34" t="inlineStr">
        <is>
          <t>EA</t>
        </is>
      </c>
      <c r="M30" s="34" t="inlineStr">
        <is>
          <t>RMS</t>
        </is>
      </c>
      <c r="N30" s="34" t="inlineStr">
        <is>
          <t>견적접수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>
        <v>27730</v>
      </c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>
        <v>10</v>
      </c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inlineStr">
        <is>
          <t>GENUINE</t>
        </is>
      </c>
      <c r="X30" s="34" t="inlineStr">
        <is>
          <t>EX WORK BUSAN</t>
        </is>
      </c>
      <c r="Y30" s="34" t="n">
        <v>20</v>
      </c>
      <c r="Z30" s="55" t="n"/>
      <c r="AA30" s="54">
        <f>IF(OR(Z30="",Y30=""),"",Z30+Y30)</f>
        <v/>
      </c>
      <c r="AB30" s="36" t="inlineStr">
        <is>
          <t>ALL: D/T: 10 DAYS, GENUINE, EX WORK BUSAN [VALI: 20 DAYS]</t>
        </is>
      </c>
      <c r="AC30" s="34" t="inlineStr">
        <is>
          <t>검토중</t>
        </is>
      </c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선박요청서-31</t>
        </is>
      </c>
      <c r="C31" s="34" t="inlineStr">
        <is>
          <t>31</t>
        </is>
      </c>
      <c r="D31" s="34" t="n">
        <v>8</v>
      </c>
      <c r="E31" s="34" t="inlineStr">
        <is>
          <t>GRUNDFOS</t>
        </is>
      </c>
      <c r="F31" s="36" t="inlineStr">
        <is>
          <t>PACKING FOR IMPELLER</t>
        </is>
      </c>
      <c r="G31" s="36" t="inlineStr">
        <is>
          <t>GRUNDFOS/CRN3-8</t>
        </is>
      </c>
      <c r="H31" s="36" t="n"/>
      <c r="I31" s="36" t="inlineStr">
        <is>
          <t>ME EGR WTS PUMP</t>
        </is>
      </c>
      <c r="J31" s="36" t="n"/>
      <c r="K31" s="34" t="n">
        <v>14</v>
      </c>
      <c r="L31" s="34" t="inlineStr">
        <is>
          <t>EA</t>
        </is>
      </c>
      <c r="M31" s="34" t="inlineStr">
        <is>
          <t>RMS</t>
        </is>
      </c>
      <c r="N31" s="34" t="inlineStr">
        <is>
          <t>공급불가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5" t="n"/>
      <c r="AA31" s="54">
        <f>IF(OR(Z31="",Y31=""),"",Z31+Y31)</f>
        <v/>
      </c>
      <c r="AB31" s="36" t="inlineStr">
        <is>
          <t>NOT AVAILABLE</t>
        </is>
      </c>
      <c r="AC31" s="34" t="inlineStr">
        <is>
          <t>타업체 문의</t>
        </is>
      </c>
      <c r="AD31" s="36" t="inlineStr">
        <is>
          <t>타 업체 견적 요청</t>
        </is>
      </c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inlineStr">
        <is>
          <t>선박요청서-31</t>
        </is>
      </c>
      <c r="C32" s="34" t="inlineStr">
        <is>
          <t>31</t>
        </is>
      </c>
      <c r="D32" s="34" t="n">
        <v>9</v>
      </c>
      <c r="E32" s="34" t="inlineStr">
        <is>
          <t>GRUNDFOS</t>
        </is>
      </c>
      <c r="F32" s="36" t="inlineStr">
        <is>
          <t>IMPELLER</t>
        </is>
      </c>
      <c r="G32" s="36" t="inlineStr">
        <is>
          <t>GRUNDFOS/CRN3-7</t>
        </is>
      </c>
      <c r="H32" s="36" t="inlineStr">
        <is>
          <t>CRN3-7-49</t>
        </is>
      </c>
      <c r="I32" s="36" t="inlineStr">
        <is>
          <t>ME EGR WTS PUMP</t>
        </is>
      </c>
      <c r="J32" s="36" t="n"/>
      <c r="K32" s="34" t="n">
        <v>8</v>
      </c>
      <c r="L32" s="34" t="inlineStr">
        <is>
          <t>EA</t>
        </is>
      </c>
      <c r="M32" s="34" t="inlineStr">
        <is>
          <t>RMS</t>
        </is>
      </c>
      <c r="N32" s="34" t="inlineStr">
        <is>
          <t>견적접수</t>
        </is>
      </c>
      <c r="O32" s="50">
        <f>IF(N(AH32)&gt;1,"중복 "&amp;AH32&amp;"곳"&amp;IF(AK32=1," · 최저가",IF(AND(N32="견적접수",R32&lt;&gt;"")," · 비쌈","")),"")</f>
        <v/>
      </c>
      <c r="P32" s="34" t="inlineStr">
        <is>
          <t>KRW</t>
        </is>
      </c>
      <c r="Q32" s="51" t="n">
        <v>33276</v>
      </c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>
        <v>10</v>
      </c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inlineStr">
        <is>
          <t>GENUINE</t>
        </is>
      </c>
      <c r="X32" s="34" t="inlineStr">
        <is>
          <t>EX WORK BUSAN</t>
        </is>
      </c>
      <c r="Y32" s="34" t="n">
        <v>20</v>
      </c>
      <c r="Z32" s="55" t="n"/>
      <c r="AA32" s="54">
        <f>IF(OR(Z32="",Y32=""),"",Z32+Y32)</f>
        <v/>
      </c>
      <c r="AB32" s="36" t="inlineStr">
        <is>
          <t>ALL: D/T: 10 DAYS, GENUINE, EX WORK BUSAN [VALI: 20 DAYS]</t>
        </is>
      </c>
      <c r="AC32" s="34" t="inlineStr">
        <is>
          <t>검토중</t>
        </is>
      </c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inlineStr">
        <is>
          <t>선박요청서-31</t>
        </is>
      </c>
      <c r="C33" s="34" t="inlineStr">
        <is>
          <t>31</t>
        </is>
      </c>
      <c r="D33" s="34" t="n">
        <v>10</v>
      </c>
      <c r="E33" s="34" t="inlineStr">
        <is>
          <t>GRUNDFOS</t>
        </is>
      </c>
      <c r="F33" s="36" t="inlineStr">
        <is>
          <t>IMPELLER, SPECIAL</t>
        </is>
      </c>
      <c r="G33" s="36" t="inlineStr">
        <is>
          <t>GRUNDFOS/CRN3-7</t>
        </is>
      </c>
      <c r="H33" s="36" t="inlineStr">
        <is>
          <t>CRN3-7-49G</t>
        </is>
      </c>
      <c r="I33" s="36" t="inlineStr">
        <is>
          <t>ME EGR WTS PUMP</t>
        </is>
      </c>
      <c r="J33" s="36" t="n"/>
      <c r="K33" s="34" t="n">
        <v>2</v>
      </c>
      <c r="L33" s="34" t="inlineStr">
        <is>
          <t>EA</t>
        </is>
      </c>
      <c r="M33" s="34" t="inlineStr">
        <is>
          <t>RMS</t>
        </is>
      </c>
      <c r="N33" s="34" t="inlineStr">
        <is>
          <t>공급불가</t>
        </is>
      </c>
      <c r="O33" s="50">
        <f>IF(N(AH33)&gt;1,"중복 "&amp;AH33&amp;"곳"&amp;IF(AK33=1," · 최저가",IF(AND(N33="견적접수",R33&lt;&gt;"")," · 비쌈","")),"")</f>
        <v/>
      </c>
      <c r="P33" s="34" t="inlineStr">
        <is>
          <t>KRW</t>
        </is>
      </c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5" t="n"/>
      <c r="AA33" s="54">
        <f>IF(OR(Z33="",Y33=""),"",Z33+Y33)</f>
        <v/>
      </c>
      <c r="AB33" s="36" t="inlineStr">
        <is>
          <t>NOT AVAILABLE</t>
        </is>
      </c>
      <c r="AC33" s="34" t="inlineStr">
        <is>
          <t>타업체 문의</t>
        </is>
      </c>
      <c r="AD33" s="36" t="inlineStr">
        <is>
          <t>타 업체 견적 요청</t>
        </is>
      </c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inlineStr">
        <is>
          <t>선박요청서-31</t>
        </is>
      </c>
      <c r="C34" s="34" t="inlineStr">
        <is>
          <t>31</t>
        </is>
      </c>
      <c r="D34" s="34" t="n">
        <v>11</v>
      </c>
      <c r="E34" s="34" t="inlineStr">
        <is>
          <t>GRUNDFOS</t>
        </is>
      </c>
      <c r="F34" s="36" t="inlineStr">
        <is>
          <t>WASHER</t>
        </is>
      </c>
      <c r="G34" s="36" t="inlineStr">
        <is>
          <t>GRUNDFOS/CRN3-7</t>
        </is>
      </c>
      <c r="H34" s="36" t="inlineStr">
        <is>
          <t>CRN3-7-66</t>
        </is>
      </c>
      <c r="I34" s="36" t="inlineStr">
        <is>
          <t>ME EGR WTS PUMP</t>
        </is>
      </c>
      <c r="J34" s="36" t="n"/>
      <c r="K34" s="34" t="n">
        <v>4</v>
      </c>
      <c r="L34" s="34" t="inlineStr">
        <is>
          <t>EA</t>
        </is>
      </c>
      <c r="M34" s="34" t="inlineStr">
        <is>
          <t>RMS</t>
        </is>
      </c>
      <c r="N34" s="34" t="inlineStr">
        <is>
          <t>견적접수</t>
        </is>
      </c>
      <c r="O34" s="50">
        <f>IF(N(AH34)&gt;1,"중복 "&amp;AH34&amp;"곳"&amp;IF(AK34=1," · 최저가",IF(AND(N34="견적접수",R34&lt;&gt;"")," · 비쌈","")),"")</f>
        <v/>
      </c>
      <c r="P34" s="34" t="inlineStr">
        <is>
          <t>KRW</t>
        </is>
      </c>
      <c r="Q34" s="51" t="n">
        <v>14419.6</v>
      </c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>
        <v>10</v>
      </c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inlineStr">
        <is>
          <t>GENUINE</t>
        </is>
      </c>
      <c r="X34" s="34" t="inlineStr">
        <is>
          <t>EX WORK BUSAN</t>
        </is>
      </c>
      <c r="Y34" s="34" t="n">
        <v>20</v>
      </c>
      <c r="Z34" s="55" t="n"/>
      <c r="AA34" s="54">
        <f>IF(OR(Z34="",Y34=""),"",Z34+Y34)</f>
        <v/>
      </c>
      <c r="AB34" s="36" t="inlineStr">
        <is>
          <t>ALL: D/T: 10 DAYS, GENUINE, EX WORK BUSAN [VALI: 20 DAYS]</t>
        </is>
      </c>
      <c r="AC34" s="34" t="inlineStr">
        <is>
          <t>검토중</t>
        </is>
      </c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inlineStr">
        <is>
          <t>선박요청서-31</t>
        </is>
      </c>
      <c r="C35" s="34" t="inlineStr">
        <is>
          <t>31</t>
        </is>
      </c>
      <c r="D35" s="34" t="n">
        <v>12</v>
      </c>
      <c r="E35" s="34" t="inlineStr">
        <is>
          <t>GRUNDFOS</t>
        </is>
      </c>
      <c r="F35" s="36" t="inlineStr">
        <is>
          <t>NUT</t>
        </is>
      </c>
      <c r="G35" s="36" t="inlineStr">
        <is>
          <t>GRUNDFOS/CRN3-7</t>
        </is>
      </c>
      <c r="H35" s="36" t="inlineStr">
        <is>
          <t>CRN3-7-67</t>
        </is>
      </c>
      <c r="I35" s="36" t="inlineStr">
        <is>
          <t>ME EGR WTS PUMP</t>
        </is>
      </c>
      <c r="J35" s="36" t="n"/>
      <c r="K35" s="34" t="n">
        <v>2</v>
      </c>
      <c r="L35" s="34" t="inlineStr">
        <is>
          <t>EA</t>
        </is>
      </c>
      <c r="M35" s="34" t="inlineStr">
        <is>
          <t>RMS</t>
        </is>
      </c>
      <c r="N35" s="34" t="inlineStr">
        <is>
          <t>견적접수</t>
        </is>
      </c>
      <c r="O35" s="50">
        <f>IF(N(AH35)&gt;1,"중복 "&amp;AH35&amp;"곳"&amp;IF(AK35=1," · 최저가",IF(AND(N35="견적접수",R35&lt;&gt;"")," · 비쌈","")),"")</f>
        <v/>
      </c>
      <c r="P35" s="34" t="inlineStr">
        <is>
          <t>KRW</t>
        </is>
      </c>
      <c r="Q35" s="51" t="n">
        <v>8873.6</v>
      </c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>
        <v>10</v>
      </c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inlineStr">
        <is>
          <t>GENUINE</t>
        </is>
      </c>
      <c r="X35" s="34" t="inlineStr">
        <is>
          <t>EX WORK BUSAN</t>
        </is>
      </c>
      <c r="Y35" s="34" t="n">
        <v>20</v>
      </c>
      <c r="Z35" s="55" t="n"/>
      <c r="AA35" s="54">
        <f>IF(OR(Z35="",Y35=""),"",Z35+Y35)</f>
        <v/>
      </c>
      <c r="AB35" s="36" t="inlineStr">
        <is>
          <t>ALL: D/T: 10 DAYS, GENUINE, EX WORK BUSAN [VALI: 20 DAYS]</t>
        </is>
      </c>
      <c r="AC35" s="34" t="inlineStr">
        <is>
          <t>검토중</t>
        </is>
      </c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inlineStr">
        <is>
          <t>선박요청서-31</t>
        </is>
      </c>
      <c r="C36" s="34" t="inlineStr">
        <is>
          <t>31</t>
        </is>
      </c>
      <c r="D36" s="34" t="n">
        <v>13</v>
      </c>
      <c r="E36" s="34" t="inlineStr">
        <is>
          <t>GRUNDFOS</t>
        </is>
      </c>
      <c r="F36" s="36" t="inlineStr">
        <is>
          <t>M/SEAL</t>
        </is>
      </c>
      <c r="G36" s="36" t="inlineStr">
        <is>
          <t>GRUNDFOS/CRN3-7</t>
        </is>
      </c>
      <c r="H36" s="36" t="n"/>
      <c r="I36" s="36" t="inlineStr">
        <is>
          <t>ME EGR WTS PUMP</t>
        </is>
      </c>
      <c r="J36" s="36" t="n"/>
      <c r="K36" s="34" t="n">
        <v>2</v>
      </c>
      <c r="L36" s="34" t="inlineStr">
        <is>
          <t>SET</t>
        </is>
      </c>
      <c r="M36" s="34" t="inlineStr">
        <is>
          <t>RMS</t>
        </is>
      </c>
      <c r="N36" s="34" t="inlineStr">
        <is>
          <t>견적접수</t>
        </is>
      </c>
      <c r="O36" s="50">
        <f>IF(N(AH36)&gt;1,"중복 "&amp;AH36&amp;"곳"&amp;IF(AK36=1," · 최저가",IF(AND(N36="견적접수",R36&lt;&gt;"")," · 비쌈","")),"")</f>
        <v/>
      </c>
      <c r="P36" s="34" t="inlineStr">
        <is>
          <t>KRW</t>
        </is>
      </c>
      <c r="Q36" s="51" t="n">
        <v>288392</v>
      </c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>
        <v>10</v>
      </c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inlineStr">
        <is>
          <t>GENUINE</t>
        </is>
      </c>
      <c r="X36" s="34" t="inlineStr">
        <is>
          <t>EX WORK BUSAN</t>
        </is>
      </c>
      <c r="Y36" s="34" t="n">
        <v>20</v>
      </c>
      <c r="Z36" s="55" t="n"/>
      <c r="AA36" s="54">
        <f>IF(OR(Z36="",Y36=""),"",Z36+Y36)</f>
        <v/>
      </c>
      <c r="AB36" s="36" t="inlineStr">
        <is>
          <t>ALL: D/T: 10 DAYS, GENUINE, EX WORK BUSAN [VALI: 20 DAYS]</t>
        </is>
      </c>
      <c r="AC36" s="34" t="inlineStr">
        <is>
          <t>검토중</t>
        </is>
      </c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inlineStr">
        <is>
          <t>선박요청서-31</t>
        </is>
      </c>
      <c r="C37" s="34" t="inlineStr">
        <is>
          <t>31</t>
        </is>
      </c>
      <c r="D37" s="34" t="n">
        <v>14</v>
      </c>
      <c r="E37" s="34" t="inlineStr">
        <is>
          <t>GRUNDFOS</t>
        </is>
      </c>
      <c r="F37" s="36" t="inlineStr">
        <is>
          <t>BEARING RING</t>
        </is>
      </c>
      <c r="G37" s="36" t="inlineStr">
        <is>
          <t>GRUNDFOS/CRN3-7</t>
        </is>
      </c>
      <c r="H37" s="36" t="inlineStr">
        <is>
          <t>CRN3-7-47A</t>
        </is>
      </c>
      <c r="I37" s="36" t="inlineStr">
        <is>
          <t>ME EGR WTS PUMP</t>
        </is>
      </c>
      <c r="J37" s="36" t="n"/>
      <c r="K37" s="34" t="n">
        <v>2</v>
      </c>
      <c r="L37" s="34" t="inlineStr">
        <is>
          <t>EA</t>
        </is>
      </c>
      <c r="M37" s="34" t="inlineStr">
        <is>
          <t>RMS</t>
        </is>
      </c>
      <c r="N37" s="34" t="inlineStr">
        <is>
          <t>견적접수</t>
        </is>
      </c>
      <c r="O37" s="50">
        <f>IF(N(AH37)&gt;1,"중복 "&amp;AH37&amp;"곳"&amp;IF(AK37=1," · 최저가",IF(AND(N37="견적접수",R37&lt;&gt;"")," · 비쌈","")),"")</f>
        <v/>
      </c>
      <c r="P37" s="34" t="inlineStr">
        <is>
          <t>KRW</t>
        </is>
      </c>
      <c r="Q37" s="51" t="n">
        <v>33276</v>
      </c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>
        <v>10</v>
      </c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inlineStr">
        <is>
          <t>GENUINE</t>
        </is>
      </c>
      <c r="X37" s="34" t="inlineStr">
        <is>
          <t>EX WORK BUSAN</t>
        </is>
      </c>
      <c r="Y37" s="34" t="n">
        <v>20</v>
      </c>
      <c r="Z37" s="55" t="n"/>
      <c r="AA37" s="54">
        <f>IF(OR(Z37="",Y37=""),"",Z37+Y37)</f>
        <v/>
      </c>
      <c r="AB37" s="36" t="inlineStr">
        <is>
          <t>ALL: D/T: 10 DAYS, GENUINE, EX WORK BUSAN [VALI: 20 DAYS]</t>
        </is>
      </c>
      <c r="AC37" s="34" t="inlineStr">
        <is>
          <t>검토중</t>
        </is>
      </c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inlineStr">
        <is>
          <t>DB26034465</t>
        </is>
      </c>
      <c r="C38" s="34" t="inlineStr">
        <is>
          <t>-</t>
        </is>
      </c>
      <c r="D38" s="34" t="n">
        <v>1</v>
      </c>
      <c r="E38" s="34" t="inlineStr">
        <is>
          <t>HYUNDAI</t>
        </is>
      </c>
      <c r="F38" s="36" t="inlineStr">
        <is>
          <t>28360-POWER SUPPLY (COOLING CHAMBER, CLX-XT)</t>
        </is>
      </c>
      <c r="G38" s="36" t="n"/>
      <c r="H38" s="36" t="inlineStr">
        <is>
          <t>28360</t>
        </is>
      </c>
      <c r="I38" s="36" t="inlineStr">
        <is>
          <t>4S-LP-H (Cooling chamber CLX-XT)</t>
        </is>
      </c>
      <c r="J38" s="36" t="n"/>
      <c r="K38" s="34" t="n">
        <v>1</v>
      </c>
      <c r="L38" s="34" t="inlineStr">
        <is>
          <t>PCS</t>
        </is>
      </c>
      <c r="M38" s="34" t="inlineStr">
        <is>
          <t>DINTEC</t>
        </is>
      </c>
      <c r="N38" s="34" t="inlineStr">
        <is>
          <t>견적접수</t>
        </is>
      </c>
      <c r="O38" s="50">
        <f>IF(N(AH38)&gt;1,"중복 "&amp;AH38&amp;"곳"&amp;IF(AK38=1," · 최저가",IF(AND(N38="견적접수",R38&lt;&gt;"")," · 비쌈","")),"")</f>
        <v/>
      </c>
      <c r="P38" s="34" t="inlineStr">
        <is>
          <t>KRW</t>
        </is>
      </c>
      <c r="Q38" s="51" t="n">
        <v>1740000</v>
      </c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>
        <v>60</v>
      </c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inlineStr">
        <is>
          <t>GENUINE</t>
        </is>
      </c>
      <c r="X38" s="34" t="inlineStr">
        <is>
          <t>EXW BUSAN</t>
        </is>
      </c>
      <c r="Y38" s="34" t="n">
        <v>30</v>
      </c>
      <c r="Z38" s="56" t="n">
        <v>46317</v>
      </c>
      <c r="AA38" s="54">
        <f>IF(OR(Z38="",Y38=""),"",Z38+Y38)</f>
        <v/>
      </c>
      <c r="AB38" s="36" t="inlineStr">
        <is>
          <t>[딘텍 DB26034465] Your ref 2026.10.19/ONEIROI / L/T 60 DAYS / 수출 시 우든박스/팔레트 포장비 실비 별도</t>
        </is>
      </c>
      <c r="AC38" s="34" t="inlineStr">
        <is>
          <t>검토중</t>
        </is>
      </c>
      <c r="AD38" s="36" t="inlineStr">
        <is>
          <t>딘텍: 유첨 자재 사진으로 요청 자재 맞는지 확인 요청</t>
        </is>
      </c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inlineStr">
        <is>
          <t>IOB-ONR-26-1016(ME)</t>
        </is>
      </c>
      <c r="C39" s="34" t="inlineStr">
        <is>
          <t>-</t>
        </is>
      </c>
      <c r="D39" s="34" t="n">
        <v>1</v>
      </c>
      <c r="E39" s="34" t="inlineStr">
        <is>
          <t>HANWHA MAN</t>
        </is>
      </c>
      <c r="F39" s="36" t="inlineStr">
        <is>
          <t>4/3 WAY PROPORTIONAL VALVE *MAN/ 5957670-1</t>
        </is>
      </c>
      <c r="G39" s="36" t="n"/>
      <c r="H39" s="36" t="inlineStr">
        <is>
          <t>4272-2012-0002-369</t>
        </is>
      </c>
      <c r="I39" s="36" t="inlineStr">
        <is>
          <t>Main Engine 5G70ME-C10.5-GA</t>
        </is>
      </c>
      <c r="J39" s="36" t="n"/>
      <c r="K39" s="34" t="n">
        <v>2</v>
      </c>
      <c r="L39" s="34" t="inlineStr">
        <is>
          <t>EA</t>
        </is>
      </c>
      <c r="M39" s="34" t="inlineStr">
        <is>
          <t>OXEN</t>
        </is>
      </c>
      <c r="N39" s="34" t="inlineStr">
        <is>
          <t>미접수</t>
        </is>
      </c>
      <c r="O39" s="50">
        <f>IF(N(AH39)&gt;1,"중복 "&amp;AH39&amp;"곳"&amp;IF(AK39=1," · 최저가",IF(AND(N39="견적접수",R39&lt;&gt;"")," · 비쌈","")),"")</f>
        <v/>
      </c>
      <c r="P39" s="34" t="inlineStr">
        <is>
          <t>KRW</t>
        </is>
      </c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inlineStr">
        <is>
          <t>EXW BUSAN</t>
        </is>
      </c>
      <c r="Y39" s="34" t="n">
        <v>20</v>
      </c>
      <c r="Z39" s="55" t="n"/>
      <c r="AA39" s="54">
        <f>IF(OR(Z39="",Y39=""),"",Z39+Y39)</f>
        <v/>
      </c>
      <c r="AB39" s="36" t="inlineStr">
        <is>
          <t>[옥슨 IOB-ONR-26-1016(ME)] #1 4/3 WAY PROPORTIONAL VALVE *MAN/ 5957670-1 / 견적중</t>
        </is>
      </c>
      <c r="AC39" s="34" t="inlineStr">
        <is>
          <t>검토중</t>
        </is>
      </c>
      <c r="AD39" s="36" t="inlineStr">
        <is>
          <t>옥슨 견적중 – 회신 대기</t>
        </is>
      </c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inlineStr">
        <is>
          <t>DB26034465</t>
        </is>
      </c>
      <c r="C40" s="34" t="inlineStr">
        <is>
          <t>-</t>
        </is>
      </c>
      <c r="D40" s="34" t="n">
        <v>2</v>
      </c>
      <c r="E40" s="34" t="inlineStr">
        <is>
          <t>HYUNDAI</t>
        </is>
      </c>
      <c r="F40" s="36" t="inlineStr">
        <is>
          <t>28365MS-COOLING CHAMBER (CLX-XT) W/O POWER SUPPLY</t>
        </is>
      </c>
      <c r="G40" s="36" t="n"/>
      <c r="H40" s="36" t="inlineStr">
        <is>
          <t>28365MS</t>
        </is>
      </c>
      <c r="I40" s="36" t="inlineStr">
        <is>
          <t>4S-LP-H (Cooling chamber CLX-XT)</t>
        </is>
      </c>
      <c r="J40" s="36" t="n"/>
      <c r="K40" s="34" t="n">
        <v>1</v>
      </c>
      <c r="L40" s="34" t="inlineStr">
        <is>
          <t>PCS</t>
        </is>
      </c>
      <c r="M40" s="34" t="inlineStr">
        <is>
          <t>DINTEC</t>
        </is>
      </c>
      <c r="N40" s="34" t="inlineStr">
        <is>
          <t>견적접수</t>
        </is>
      </c>
      <c r="O40" s="50">
        <f>IF(N(AH40)&gt;1,"중복 "&amp;AH40&amp;"곳"&amp;IF(AK40=1," · 최저가",IF(AND(N40="견적접수",R40&lt;&gt;"")," · 비쌈","")),"")</f>
        <v/>
      </c>
      <c r="P40" s="34" t="inlineStr">
        <is>
          <t>KRW</t>
        </is>
      </c>
      <c r="Q40" s="51" t="n">
        <v>3800000</v>
      </c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>
        <v>10</v>
      </c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inlineStr">
        <is>
          <t>GENUINE</t>
        </is>
      </c>
      <c r="X40" s="34" t="inlineStr">
        <is>
          <t>EXW BUSAN</t>
        </is>
      </c>
      <c r="Y40" s="34" t="n">
        <v>30</v>
      </c>
      <c r="Z40" s="56" t="n">
        <v>46317</v>
      </c>
      <c r="AA40" s="54">
        <f>IF(OR(Z40="",Y40=""),"",Z40+Y40)</f>
        <v/>
      </c>
      <c r="AB40" s="36" t="inlineStr">
        <is>
          <t>[딘텍 DB26034465] Your ref 2026.10.19/ONEIROI / L/T 10 DAYS / 수출 시 우든박스/팔레트 포장비 실비 별도</t>
        </is>
      </c>
      <c r="AC40" s="34" t="inlineStr">
        <is>
          <t>검토중</t>
        </is>
      </c>
      <c r="AD40" s="36" t="inlineStr">
        <is>
          <t>딘텍: 유첨 자재 사진으로 요청 자재 맞는지 확인 요청</t>
        </is>
      </c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inlineStr">
        <is>
          <t>IOB-ONR-26-1016(ME)</t>
        </is>
      </c>
      <c r="C41" s="34" t="inlineStr">
        <is>
          <t>-</t>
        </is>
      </c>
      <c r="D41" s="34" t="n">
        <v>2</v>
      </c>
      <c r="E41" s="34" t="inlineStr">
        <is>
          <t>HANWHA MAN</t>
        </is>
      </c>
      <c r="F41" s="36" t="inlineStr">
        <is>
          <t>SCREW *MAN/ 5957670-1</t>
        </is>
      </c>
      <c r="G41" s="36" t="n"/>
      <c r="H41" s="36" t="inlineStr">
        <is>
          <t>4272-2012-0002-382</t>
        </is>
      </c>
      <c r="I41" s="36" t="inlineStr">
        <is>
          <t>Main Engine 5G70ME-C10.5-GA</t>
        </is>
      </c>
      <c r="J41" s="36" t="n"/>
      <c r="K41" s="34" t="n">
        <v>12</v>
      </c>
      <c r="L41" s="34" t="inlineStr">
        <is>
          <t>EA</t>
        </is>
      </c>
      <c r="M41" s="34" t="inlineStr">
        <is>
          <t>OXEN</t>
        </is>
      </c>
      <c r="N41" s="34" t="inlineStr">
        <is>
          <t>미접수</t>
        </is>
      </c>
      <c r="O41" s="50">
        <f>IF(N(AH41)&gt;1,"중복 "&amp;AH41&amp;"곳"&amp;IF(AK41=1," · 최저가",IF(AND(N41="견적접수",R41&lt;&gt;"")," · 비쌈","")),"")</f>
        <v/>
      </c>
      <c r="P41" s="34" t="inlineStr">
        <is>
          <t>KRW</t>
        </is>
      </c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inlineStr">
        <is>
          <t>EXW BUSAN</t>
        </is>
      </c>
      <c r="Y41" s="34" t="n">
        <v>20</v>
      </c>
      <c r="Z41" s="55" t="n"/>
      <c r="AA41" s="54">
        <f>IF(OR(Z41="",Y41=""),"",Z41+Y41)</f>
        <v/>
      </c>
      <c r="AB41" s="36" t="inlineStr">
        <is>
          <t>[옥슨 IOB-ONR-26-1016(ME)] #2 SCREW *MAN/ 5957670-1 / 견적중</t>
        </is>
      </c>
      <c r="AC41" s="34" t="inlineStr">
        <is>
          <t>검토중</t>
        </is>
      </c>
      <c r="AD41" s="36" t="inlineStr">
        <is>
          <t>옥슨 견적중 – 회신 대기</t>
        </is>
      </c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inlineStr">
        <is>
          <t>IOB-ONR-26-1016(ME)</t>
        </is>
      </c>
      <c r="C42" s="34" t="inlineStr">
        <is>
          <t>-</t>
        </is>
      </c>
      <c r="D42" s="34" t="n">
        <v>3</v>
      </c>
      <c r="E42" s="34" t="inlineStr">
        <is>
          <t>HANWHA MAN</t>
        </is>
      </c>
      <c r="F42" s="36" t="inlineStr">
        <is>
          <t>PRESSURE TRANSDUCER *WIKA/ IS-3</t>
        </is>
      </c>
      <c r="G42" s="36" t="n"/>
      <c r="H42" s="36" t="inlineStr">
        <is>
          <t>4272-2012-0002-142</t>
        </is>
      </c>
      <c r="I42" s="36" t="inlineStr">
        <is>
          <t>Main Engine 5G70ME-C10.5-GA</t>
        </is>
      </c>
      <c r="J42" s="36" t="n"/>
      <c r="K42" s="34" t="n">
        <v>5</v>
      </c>
      <c r="L42" s="34" t="inlineStr">
        <is>
          <t>EA</t>
        </is>
      </c>
      <c r="M42" s="34" t="inlineStr">
        <is>
          <t>OXEN</t>
        </is>
      </c>
      <c r="N42" s="34" t="inlineStr">
        <is>
          <t>견적접수</t>
        </is>
      </c>
      <c r="O42" s="50">
        <f>IF(N(AH42)&gt;1,"중복 "&amp;AH42&amp;"곳"&amp;IF(AK42=1," · 최저가",IF(AND(N42="견적접수",R42&lt;&gt;"")," · 비쌈","")),"")</f>
        <v/>
      </c>
      <c r="P42" s="34" t="inlineStr">
        <is>
          <t>KRW</t>
        </is>
      </c>
      <c r="Q42" s="51" t="n">
        <v>1265000</v>
      </c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>
        <v>60</v>
      </c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inlineStr">
        <is>
          <t>EXW BUSAN</t>
        </is>
      </c>
      <c r="Y42" s="34" t="n">
        <v>20</v>
      </c>
      <c r="Z42" s="55" t="n"/>
      <c r="AA42" s="54">
        <f>IF(OR(Z42="",Y42=""),"",Z42+Y42)</f>
        <v/>
      </c>
      <c r="AB42" s="36" t="inlineStr">
        <is>
          <t>[옥슨 IOB-ONR-26-1016(ME)] #3 PRESSURE TRANSDUCER *WIKA/ IS-3</t>
        </is>
      </c>
      <c r="AC42" s="34" t="inlineStr">
        <is>
          <t>검토중</t>
        </is>
      </c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inlineStr">
        <is>
          <t>IOB-ONR-26-1016(ME)</t>
        </is>
      </c>
      <c r="C43" s="34" t="inlineStr">
        <is>
          <t>-</t>
        </is>
      </c>
      <c r="D43" s="34" t="n">
        <v>4</v>
      </c>
      <c r="E43" s="34" t="inlineStr">
        <is>
          <t>HANWHA MAN</t>
        </is>
      </c>
      <c r="F43" s="36" t="inlineStr">
        <is>
          <t>OXYGEN SENSOR "A" *MAN/ TYPE-A</t>
        </is>
      </c>
      <c r="G43" s="36" t="n"/>
      <c r="H43" s="36" t="inlineStr">
        <is>
          <t>5672-0260-0001-248</t>
        </is>
      </c>
      <c r="I43" s="36" t="inlineStr">
        <is>
          <t>Main Engine 5G70ME-C10.5-GA</t>
        </is>
      </c>
      <c r="J43" s="36" t="inlineStr">
        <is>
          <t>SET판매 (B 포함)</t>
        </is>
      </c>
      <c r="K43" s="34" t="n">
        <v>20</v>
      </c>
      <c r="L43" s="34" t="inlineStr">
        <is>
          <t>EA</t>
        </is>
      </c>
      <c r="M43" s="34" t="inlineStr">
        <is>
          <t>OXEN</t>
        </is>
      </c>
      <c r="N43" s="34" t="inlineStr">
        <is>
          <t>견적접수</t>
        </is>
      </c>
      <c r="O43" s="50">
        <f>IF(N(AH43)&gt;1,"중복 "&amp;AH43&amp;"곳"&amp;IF(AK43=1," · 최저가",IF(AND(N43="견적접수",R43&lt;&gt;"")," · 비쌈","")),"")</f>
        <v/>
      </c>
      <c r="P43" s="34" t="inlineStr">
        <is>
          <t>KRW</t>
        </is>
      </c>
      <c r="Q43" s="51" t="n">
        <v>1725000</v>
      </c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>
        <v>60</v>
      </c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inlineStr">
        <is>
          <t>EXW BUSAN</t>
        </is>
      </c>
      <c r="Y43" s="34" t="n">
        <v>20</v>
      </c>
      <c r="Z43" s="55" t="n"/>
      <c r="AA43" s="54">
        <f>IF(OR(Z43="",Y43=""),"",Z43+Y43)</f>
        <v/>
      </c>
      <c r="AB43" s="36" t="inlineStr">
        <is>
          <t>[옥슨 IOB-ONR-26-1016(ME)] #4 OXYGEN SENSOR "A" *MAN/ TYPE-A / SET판매 (B 포함)</t>
        </is>
      </c>
      <c r="AC43" s="34" t="inlineStr">
        <is>
          <t>검토중</t>
        </is>
      </c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inlineStr">
        <is>
          <t>IOB-ONR-26-1016(ME)</t>
        </is>
      </c>
      <c r="C44" s="34" t="inlineStr">
        <is>
          <t>-</t>
        </is>
      </c>
      <c r="D44" s="34" t="n">
        <v>5</v>
      </c>
      <c r="E44" s="34" t="inlineStr">
        <is>
          <t>HANWHA MAN</t>
        </is>
      </c>
      <c r="F44" s="36" t="inlineStr">
        <is>
          <t>OXYGEN SENSOR "B" *MAN/ TYPE-B</t>
        </is>
      </c>
      <c r="G44" s="36" t="n"/>
      <c r="H44" s="36" t="inlineStr">
        <is>
          <t>5672-0260-0001-320</t>
        </is>
      </c>
      <c r="I44" s="36" t="inlineStr">
        <is>
          <t>Main Engine 5G70ME-C10.5-GA</t>
        </is>
      </c>
      <c r="J44" s="36" t="inlineStr">
        <is>
          <t>INCL. ITEM NO.4 (A 세트가에 포함)</t>
        </is>
      </c>
      <c r="K44" s="34" t="n">
        <v>20</v>
      </c>
      <c r="L44" s="34" t="inlineStr">
        <is>
          <t>EA</t>
        </is>
      </c>
      <c r="M44" s="34" t="inlineStr">
        <is>
          <t>OXEN</t>
        </is>
      </c>
      <c r="N44" s="34" t="inlineStr">
        <is>
          <t>견적접수</t>
        </is>
      </c>
      <c r="O44" s="50">
        <f>IF(N(AH44)&gt;1,"중복 "&amp;AH44&amp;"곳"&amp;IF(AK44=1," · 최저가",IF(AND(N44="견적접수",R44&lt;&gt;"")," · 비쌈","")),"")</f>
        <v/>
      </c>
      <c r="P44" s="34" t="inlineStr">
        <is>
          <t>KRW</t>
        </is>
      </c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>
        <v>60</v>
      </c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inlineStr">
        <is>
          <t>EXW BUSAN</t>
        </is>
      </c>
      <c r="Y44" s="34" t="n">
        <v>20</v>
      </c>
      <c r="Z44" s="55" t="n"/>
      <c r="AA44" s="54">
        <f>IF(OR(Z44="",Y44=""),"",Z44+Y44)</f>
        <v/>
      </c>
      <c r="AB44" s="36" t="inlineStr">
        <is>
          <t>[옥슨 IOB-ONR-26-1016(ME)] #5 OXYGEN SENSOR "B" *MAN/ TYPE-B / INCL. ITEM NO.4 (A 세트가에 포함)</t>
        </is>
      </c>
      <c r="AC44" s="34" t="inlineStr">
        <is>
          <t>검토중</t>
        </is>
      </c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inlineStr">
        <is>
          <t>IOB-ONR-26-1016(ME)</t>
        </is>
      </c>
      <c r="C45" s="34" t="inlineStr">
        <is>
          <t>-</t>
        </is>
      </c>
      <c r="D45" s="34" t="n">
        <v>6</v>
      </c>
      <c r="E45" s="34" t="inlineStr">
        <is>
          <t>HANWHA MAN</t>
        </is>
      </c>
      <c r="F45" s="36" t="inlineStr">
        <is>
          <t>PRESSURE TRANSMITTER "B" *MAN/ TYPE-B</t>
        </is>
      </c>
      <c r="G45" s="36" t="n"/>
      <c r="H45" s="36" t="inlineStr">
        <is>
          <t>5672-0260-0001-261</t>
        </is>
      </c>
      <c r="I45" s="36" t="inlineStr">
        <is>
          <t>Main Engine 5G70ME-C10.5-GA</t>
        </is>
      </c>
      <c r="J45" s="36" t="n"/>
      <c r="K45" s="34" t="n">
        <v>2</v>
      </c>
      <c r="L45" s="34" t="inlineStr">
        <is>
          <t>EA</t>
        </is>
      </c>
      <c r="M45" s="34" t="inlineStr">
        <is>
          <t>OXEN</t>
        </is>
      </c>
      <c r="N45" s="34" t="inlineStr">
        <is>
          <t>확인필요</t>
        </is>
      </c>
      <c r="O45" s="50">
        <f>IF(N(AH45)&gt;1,"중복 "&amp;AH45&amp;"곳"&amp;IF(AK45=1," · 최저가",IF(AND(N45="견적접수",R45&lt;&gt;"")," · 비쌈","")),"")</f>
        <v/>
      </c>
      <c r="P45" s="34" t="inlineStr">
        <is>
          <t>KRW</t>
        </is>
      </c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inlineStr">
        <is>
          <t>EXW BUSAN</t>
        </is>
      </c>
      <c r="Y45" s="34" t="n">
        <v>20</v>
      </c>
      <c r="Z45" s="55" t="n"/>
      <c r="AA45" s="54">
        <f>IF(OR(Z45="",Y45=""),"",Z45+Y45)</f>
        <v/>
      </c>
      <c r="AB45" s="36" t="inlineStr">
        <is>
          <t>[옥슨 IOB-ONR-26-1016(ME)] #6 PRESSURE TRANSMITTER "B" *MAN/ TYPE-B / 명판사진 필요</t>
        </is>
      </c>
      <c r="AC45" s="34" t="inlineStr">
        <is>
          <t>정보 송부필요</t>
        </is>
      </c>
      <c r="AD45" s="36" t="inlineStr">
        <is>
          <t>명판 사진 옥슨에 송부</t>
        </is>
      </c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inlineStr">
        <is>
          <t>IOB-ONR-26-1016(ME)</t>
        </is>
      </c>
      <c r="C46" s="34" t="inlineStr">
        <is>
          <t>-</t>
        </is>
      </c>
      <c r="D46" s="34" t="n">
        <v>7</v>
      </c>
      <c r="E46" s="34" t="inlineStr">
        <is>
          <t>HANWHA MAN</t>
        </is>
      </c>
      <c r="F46" s="36" t="inlineStr">
        <is>
          <t>PRESSURE TRANSMITTER "A" *MAN/ TYPE-A</t>
        </is>
      </c>
      <c r="G46" s="36" t="n"/>
      <c r="H46" s="36" t="inlineStr">
        <is>
          <t>5672-0260-0001-273</t>
        </is>
      </c>
      <c r="I46" s="36" t="inlineStr">
        <is>
          <t>Main Engine 5G70ME-C10.5-GA</t>
        </is>
      </c>
      <c r="J46" s="36" t="n"/>
      <c r="K46" s="34" t="n">
        <v>2</v>
      </c>
      <c r="L46" s="34" t="inlineStr">
        <is>
          <t>EA</t>
        </is>
      </c>
      <c r="M46" s="34" t="inlineStr">
        <is>
          <t>OXEN</t>
        </is>
      </c>
      <c r="N46" s="34" t="inlineStr">
        <is>
          <t>확인필요</t>
        </is>
      </c>
      <c r="O46" s="50">
        <f>IF(N(AH46)&gt;1,"중복 "&amp;AH46&amp;"곳"&amp;IF(AK46=1," · 최저가",IF(AND(N46="견적접수",R46&lt;&gt;"")," · 비쌈","")),"")</f>
        <v/>
      </c>
      <c r="P46" s="34" t="inlineStr">
        <is>
          <t>KRW</t>
        </is>
      </c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inlineStr">
        <is>
          <t>EXW BUSAN</t>
        </is>
      </c>
      <c r="Y46" s="34" t="n">
        <v>20</v>
      </c>
      <c r="Z46" s="55" t="n"/>
      <c r="AA46" s="54">
        <f>IF(OR(Z46="",Y46=""),"",Z46+Y46)</f>
        <v/>
      </c>
      <c r="AB46" s="36" t="inlineStr">
        <is>
          <t>[옥슨 IOB-ONR-26-1016(ME)] #7 PRESSURE TRANSMITTER "A" *MAN/ TYPE-A / 명판사진 필요</t>
        </is>
      </c>
      <c r="AC46" s="34" t="inlineStr">
        <is>
          <t>정보 송부필요</t>
        </is>
      </c>
      <c r="AD46" s="36" t="inlineStr">
        <is>
          <t>명판 사진 옥슨에 송부</t>
        </is>
      </c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inlineStr">
        <is>
          <t>IOB-ONR-26-1016(ME)</t>
        </is>
      </c>
      <c r="C47" s="34" t="inlineStr">
        <is>
          <t>-</t>
        </is>
      </c>
      <c r="D47" s="34" t="n">
        <v>14</v>
      </c>
      <c r="E47" s="34" t="inlineStr">
        <is>
          <t>HANWHA MAN</t>
        </is>
      </c>
      <c r="F47" s="36" t="inlineStr">
        <is>
          <t>3/2-way solenoid valve *MAN/ 5G70ME-C10.5-GA</t>
        </is>
      </c>
      <c r="G47" s="36" t="n"/>
      <c r="H47" s="36" t="inlineStr">
        <is>
          <t>3472-0200-0017-102</t>
        </is>
      </c>
      <c r="I47" s="36" t="inlineStr">
        <is>
          <t>Main Engine 5G70ME-C10.5-GA</t>
        </is>
      </c>
      <c r="J47" s="36" t="n"/>
      <c r="K47" s="34" t="n">
        <v>2</v>
      </c>
      <c r="L47" s="34" t="inlineStr">
        <is>
          <t>EA</t>
        </is>
      </c>
      <c r="M47" s="34" t="inlineStr">
        <is>
          <t>OXEN</t>
        </is>
      </c>
      <c r="N47" s="34" t="inlineStr">
        <is>
          <t>확인필요</t>
        </is>
      </c>
      <c r="O47" s="50">
        <f>IF(N(AH47)&gt;1,"중복 "&amp;AH47&amp;"곳"&amp;IF(AK47=1," · 최저가",IF(AND(N47="견적접수",R47&lt;&gt;"")," · 비쌈","")),"")</f>
        <v/>
      </c>
      <c r="P47" s="34" t="inlineStr">
        <is>
          <t>KRW</t>
        </is>
      </c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inlineStr">
        <is>
          <t>EXW BUSAN</t>
        </is>
      </c>
      <c r="Y47" s="34" t="n">
        <v>20</v>
      </c>
      <c r="Z47" s="55" t="n"/>
      <c r="AA47" s="54">
        <f>IF(OR(Z47="",Y47=""),"",Z47+Y47)</f>
        <v/>
      </c>
      <c r="AB47" s="36" t="inlineStr">
        <is>
          <t>[옥슨 IOB-ONR-26-1016(ME)] #14 3/2-way solenoid valve *MAN/ 5G70ME-C10.5-GA / 명판사진 필요</t>
        </is>
      </c>
      <c r="AC47" s="34" t="inlineStr">
        <is>
          <t>정보 송부필요</t>
        </is>
      </c>
      <c r="AD47" s="36" t="inlineStr">
        <is>
          <t>명판 사진 옥슨에 송부</t>
        </is>
      </c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inlineStr">
        <is>
          <t>IOB-ONR-26-1016(ME)</t>
        </is>
      </c>
      <c r="C48" s="34" t="inlineStr">
        <is>
          <t>-</t>
        </is>
      </c>
      <c r="D48" s="34" t="n">
        <v>15</v>
      </c>
      <c r="E48" s="34" t="inlineStr">
        <is>
          <t>HANWHA MAN</t>
        </is>
      </c>
      <c r="F48" s="36" t="inlineStr">
        <is>
          <t>Pressure transducer *MAN/ 5G70ME-C10.5-GA (MAKER: KISTLER)</t>
        </is>
      </c>
      <c r="G48" s="36" t="n"/>
      <c r="H48" s="36" t="inlineStr">
        <is>
          <t>2272-1000-0023-28</t>
        </is>
      </c>
      <c r="I48" s="36" t="inlineStr">
        <is>
          <t>Main Engine 5G70ME-C10.5-GA</t>
        </is>
      </c>
      <c r="J48" s="36" t="n"/>
      <c r="K48" s="34" t="n">
        <v>2</v>
      </c>
      <c r="L48" s="34" t="inlineStr">
        <is>
          <t>EA</t>
        </is>
      </c>
      <c r="M48" s="34" t="inlineStr">
        <is>
          <t>OXEN</t>
        </is>
      </c>
      <c r="N48" s="34" t="inlineStr">
        <is>
          <t>견적접수</t>
        </is>
      </c>
      <c r="O48" s="50">
        <f>IF(N(AH48)&gt;1,"중복 "&amp;AH48&amp;"곳"&amp;IF(AK48=1," · 최저가",IF(AND(N48="견적접수",R48&lt;&gt;"")," · 비쌈","")),"")</f>
        <v/>
      </c>
      <c r="P48" s="34" t="inlineStr">
        <is>
          <t>KRW</t>
        </is>
      </c>
      <c r="Q48" s="51" t="n">
        <v>7370000</v>
      </c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>
        <v>10</v>
      </c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inlineStr">
        <is>
          <t>EXW BUSAN</t>
        </is>
      </c>
      <c r="Y48" s="34" t="n">
        <v>20</v>
      </c>
      <c r="Z48" s="55" t="n"/>
      <c r="AA48" s="54">
        <f>IF(OR(Z48="",Y48=""),"",Z48+Y48)</f>
        <v/>
      </c>
      <c r="AB48" s="36" t="inlineStr">
        <is>
          <t>[옥슨 IOB-ONR-26-1016(ME)] #15 Pressure transducer *MAN/ 5G70ME-C10.5-GA (MAKER: KISTLER)</t>
        </is>
      </c>
      <c r="AC48" s="34" t="inlineStr">
        <is>
          <t>검토중</t>
        </is>
      </c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inlineStr">
        <is>
          <t>IOB-ONR-26-1016(ME)</t>
        </is>
      </c>
      <c r="C49" s="34" t="inlineStr">
        <is>
          <t>-</t>
        </is>
      </c>
      <c r="D49" s="34" t="n">
        <v>16</v>
      </c>
      <c r="E49" s="34" t="inlineStr">
        <is>
          <t>HANWHA MAN</t>
        </is>
      </c>
      <c r="F49" s="36" t="inlineStr">
        <is>
          <t>Packing *MAN/ 5G70ME-C10.5-GA</t>
        </is>
      </c>
      <c r="G49" s="36" t="n"/>
      <c r="H49" s="36" t="inlineStr">
        <is>
          <t>2272-1000-0023-16</t>
        </is>
      </c>
      <c r="I49" s="36" t="inlineStr">
        <is>
          <t>Main Engine 5G70ME-C10.5-GA</t>
        </is>
      </c>
      <c r="J49" s="36" t="n"/>
      <c r="K49" s="34" t="n">
        <v>4</v>
      </c>
      <c r="L49" s="34" t="inlineStr">
        <is>
          <t>EA</t>
        </is>
      </c>
      <c r="M49" s="34" t="inlineStr">
        <is>
          <t>OXEN</t>
        </is>
      </c>
      <c r="N49" s="34" t="inlineStr">
        <is>
          <t>견적접수</t>
        </is>
      </c>
      <c r="O49" s="50">
        <f>IF(N(AH49)&gt;1,"중복 "&amp;AH49&amp;"곳"&amp;IF(AK49=1," · 최저가",IF(AND(N49="견적접수",R49&lt;&gt;"")," · 비쌈","")),"")</f>
        <v/>
      </c>
      <c r="P49" s="34" t="inlineStr">
        <is>
          <t>KRW</t>
        </is>
      </c>
      <c r="Q49" s="51" t="n">
        <v>11000</v>
      </c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>
        <v>10</v>
      </c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inlineStr">
        <is>
          <t>EXW BUSAN</t>
        </is>
      </c>
      <c r="Y49" s="34" t="n">
        <v>20</v>
      </c>
      <c r="Z49" s="55" t="n"/>
      <c r="AA49" s="54">
        <f>IF(OR(Z49="",Y49=""),"",Z49+Y49)</f>
        <v/>
      </c>
      <c r="AB49" s="36" t="inlineStr">
        <is>
          <t>[옥슨 IOB-ONR-26-1016(ME)] #16 Packing *MAN/ 5G70ME-C10.5-GA</t>
        </is>
      </c>
      <c r="AC49" s="34" t="inlineStr">
        <is>
          <t>검토중</t>
        </is>
      </c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inlineStr">
        <is>
          <t>IOB-ONR-26-1016(ME)</t>
        </is>
      </c>
      <c r="C50" s="34" t="inlineStr">
        <is>
          <t>-</t>
        </is>
      </c>
      <c r="D50" s="34" t="n">
        <v>17</v>
      </c>
      <c r="E50" s="34" t="inlineStr">
        <is>
          <t>HANWHA MAN</t>
        </is>
      </c>
      <c r="F50" s="36" t="inlineStr">
        <is>
          <t>Indicator valve *MAN/ 5G70ME-C10.5-GA</t>
        </is>
      </c>
      <c r="G50" s="36" t="n"/>
      <c r="H50" s="36" t="inlineStr">
        <is>
          <t>2272-1000-0023-185</t>
        </is>
      </c>
      <c r="I50" s="36" t="inlineStr">
        <is>
          <t>Main Engine 5G70ME-C10.5-GA</t>
        </is>
      </c>
      <c r="J50" s="36" t="n"/>
      <c r="K50" s="34" t="n">
        <v>2</v>
      </c>
      <c r="L50" s="34" t="inlineStr">
        <is>
          <t>EA</t>
        </is>
      </c>
      <c r="M50" s="34" t="inlineStr">
        <is>
          <t>OXEN</t>
        </is>
      </c>
      <c r="N50" s="34" t="inlineStr">
        <is>
          <t>미접수</t>
        </is>
      </c>
      <c r="O50" s="50">
        <f>IF(N(AH50)&gt;1,"중복 "&amp;AH50&amp;"곳"&amp;IF(AK50=1," · 최저가",IF(AND(N50="견적접수",R50&lt;&gt;"")," · 비쌈","")),"")</f>
        <v/>
      </c>
      <c r="P50" s="34" t="inlineStr">
        <is>
          <t>KRW</t>
        </is>
      </c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inlineStr">
        <is>
          <t>EXW BUSAN</t>
        </is>
      </c>
      <c r="Y50" s="34" t="n">
        <v>20</v>
      </c>
      <c r="Z50" s="55" t="n"/>
      <c r="AA50" s="54">
        <f>IF(OR(Z50="",Y50=""),"",Z50+Y50)</f>
        <v/>
      </c>
      <c r="AB50" s="36" t="inlineStr">
        <is>
          <t>[옥슨 IOB-ONR-26-1016(ME)] #17 Indicator valve *MAN/ 5G70ME-C10.5-GA / 견적중</t>
        </is>
      </c>
      <c r="AC50" s="34" t="inlineStr">
        <is>
          <t>검토중</t>
        </is>
      </c>
      <c r="AD50" s="36" t="inlineStr">
        <is>
          <t>옥슨 견적중 – 회신 대기</t>
        </is>
      </c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inlineStr">
        <is>
          <t>BOSUNG-03</t>
        </is>
      </c>
      <c r="C51" s="34" t="inlineStr">
        <is>
          <t>B03</t>
        </is>
      </c>
      <c r="D51" s="34" t="n">
        <v>1</v>
      </c>
      <c r="E51" s="34" t="inlineStr">
        <is>
          <t>JONG HAP</t>
        </is>
      </c>
      <c r="F51" s="36" t="inlineStr">
        <is>
          <t>OH-radical lamp</t>
        </is>
      </c>
      <c r="G51" s="36" t="inlineStr">
        <is>
          <t>AEROB-45N</t>
        </is>
      </c>
      <c r="H51" s="36" t="inlineStr">
        <is>
          <t>1</t>
        </is>
      </c>
      <c r="I51" s="36" t="inlineStr">
        <is>
          <t>SEWAGE TREATMENT PLANT</t>
        </is>
      </c>
      <c r="J51" s="36" t="n"/>
      <c r="K51" s="34" t="n">
        <v>2</v>
      </c>
      <c r="L51" s="34" t="inlineStr">
        <is>
          <t>EA</t>
        </is>
      </c>
      <c r="M51" s="34" t="inlineStr">
        <is>
          <t>BOSUNG</t>
        </is>
      </c>
      <c r="N51" s="34" t="inlineStr">
        <is>
          <t>미접수</t>
        </is>
      </c>
      <c r="O51" s="50">
        <f>IF(N(AH51)&gt;1,"중복 "&amp;AH51&amp;"곳"&amp;IF(AK51=1," · 최저가",IF(AND(N51="견적접수",R51&lt;&gt;"")," · 비쌈","")),"")</f>
        <v/>
      </c>
      <c r="P51" s="34" t="inlineStr">
        <is>
          <t>KRW</t>
        </is>
      </c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5" t="n"/>
      <c r="AA51" s="54">
        <f>IF(OR(Z51="",Y51=""),"",Z51+Y51)</f>
        <v/>
      </c>
      <c r="AB51" s="36" t="inlineStr">
        <is>
          <t>[보성 RFQ 03 발송 2026-10-19] 회신 대기</t>
        </is>
      </c>
      <c r="AC51" s="34" t="inlineStr">
        <is>
          <t>검토중</t>
        </is>
      </c>
      <c r="AD51" s="36" t="inlineStr">
        <is>
          <t>보성 견적 회신 대기</t>
        </is>
      </c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inlineStr">
        <is>
          <t>BOSUNG-03</t>
        </is>
      </c>
      <c r="C52" s="34" t="inlineStr">
        <is>
          <t>B03</t>
        </is>
      </c>
      <c r="D52" s="34" t="n">
        <v>2</v>
      </c>
      <c r="E52" s="34" t="inlineStr">
        <is>
          <t>VacDrain</t>
        </is>
      </c>
      <c r="F52" s="36" t="inlineStr">
        <is>
          <t>FLAP VALVE BASE</t>
        </is>
      </c>
      <c r="G52" s="36" t="inlineStr">
        <is>
          <t>VacDrain AEROB-45N(A) / 3002000 15VMP</t>
        </is>
      </c>
      <c r="H52" s="36" t="inlineStr">
        <is>
          <t>2220153001</t>
        </is>
      </c>
      <c r="I52" s="36" t="inlineStr">
        <is>
          <t>STP VACUUM PUMP</t>
        </is>
      </c>
      <c r="J52" s="36" t="n"/>
      <c r="K52" s="34" t="n">
        <v>1</v>
      </c>
      <c r="L52" s="34" t="inlineStr">
        <is>
          <t>PCS</t>
        </is>
      </c>
      <c r="M52" s="34" t="inlineStr">
        <is>
          <t>BOSUNG</t>
        </is>
      </c>
      <c r="N52" s="34" t="inlineStr">
        <is>
          <t>미접수</t>
        </is>
      </c>
      <c r="O52" s="50">
        <f>IF(N(AH52)&gt;1,"중복 "&amp;AH52&amp;"곳"&amp;IF(AK52=1," · 최저가",IF(AND(N52="견적접수",R52&lt;&gt;"")," · 비쌈","")),"")</f>
        <v/>
      </c>
      <c r="P52" s="34" t="inlineStr">
        <is>
          <t>KRW</t>
        </is>
      </c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5" t="n"/>
      <c r="AA52" s="54">
        <f>IF(OR(Z52="",Y52=""),"",Z52+Y52)</f>
        <v/>
      </c>
      <c r="AB52" s="36" t="inlineStr">
        <is>
          <t>[보성 RFQ 03 발송 2026-10-19] 회신 대기</t>
        </is>
      </c>
      <c r="AC52" s="34" t="inlineStr">
        <is>
          <t>검토중</t>
        </is>
      </c>
      <c r="AD52" s="36" t="inlineStr">
        <is>
          <t>보성 견적 회신 대기</t>
        </is>
      </c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inlineStr">
        <is>
          <t>BOSUNG-03</t>
        </is>
      </c>
      <c r="C53" s="34" t="inlineStr">
        <is>
          <t>B03</t>
        </is>
      </c>
      <c r="D53" s="34" t="n">
        <v>3</v>
      </c>
      <c r="E53" s="34" t="inlineStr">
        <is>
          <t>VacDrain</t>
        </is>
      </c>
      <c r="F53" s="36" t="inlineStr">
        <is>
          <t>NUT M6</t>
        </is>
      </c>
      <c r="G53" s="36" t="inlineStr">
        <is>
          <t>VacDrain AEROB-45N(A) / 3002000 15VMP</t>
        </is>
      </c>
      <c r="H53" s="36" t="inlineStr">
        <is>
          <t>2220153100</t>
        </is>
      </c>
      <c r="I53" s="36" t="inlineStr">
        <is>
          <t>STP VACUUM PUMP</t>
        </is>
      </c>
      <c r="J53" s="36" t="n"/>
      <c r="K53" s="34" t="n">
        <v>4</v>
      </c>
      <c r="L53" s="34" t="inlineStr">
        <is>
          <t>PCS</t>
        </is>
      </c>
      <c r="M53" s="34" t="inlineStr">
        <is>
          <t>BOSUNG</t>
        </is>
      </c>
      <c r="N53" s="34" t="inlineStr">
        <is>
          <t>미접수</t>
        </is>
      </c>
      <c r="O53" s="50">
        <f>IF(N(AH53)&gt;1,"중복 "&amp;AH53&amp;"곳"&amp;IF(AK53=1," · 최저가",IF(AND(N53="견적접수",R53&lt;&gt;"")," · 비쌈","")),"")</f>
        <v/>
      </c>
      <c r="P53" s="34" t="inlineStr">
        <is>
          <t>KRW</t>
        </is>
      </c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5" t="n"/>
      <c r="AA53" s="54">
        <f>IF(OR(Z53="",Y53=""),"",Z53+Y53)</f>
        <v/>
      </c>
      <c r="AB53" s="36" t="inlineStr">
        <is>
          <t>[보성 RFQ 03 발송 2026-10-19] 회신 대기</t>
        </is>
      </c>
      <c r="AC53" s="34" t="inlineStr">
        <is>
          <t>검토중</t>
        </is>
      </c>
      <c r="AD53" s="36" t="inlineStr">
        <is>
          <t>보성 견적 회신 대기</t>
        </is>
      </c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inlineStr">
        <is>
          <t>BOSUNG-03</t>
        </is>
      </c>
      <c r="C54" s="34" t="inlineStr">
        <is>
          <t>B03</t>
        </is>
      </c>
      <c r="D54" s="34" t="n">
        <v>4</v>
      </c>
      <c r="E54" s="34" t="inlineStr">
        <is>
          <t>VacDrain</t>
        </is>
      </c>
      <c r="F54" s="36" t="inlineStr">
        <is>
          <t>O-RING</t>
        </is>
      </c>
      <c r="G54" s="36" t="inlineStr">
        <is>
          <t>VacDrain AEROB-45N(A) / 3002000 15VMP</t>
        </is>
      </c>
      <c r="H54" s="36" t="inlineStr">
        <is>
          <t>2220153091</t>
        </is>
      </c>
      <c r="I54" s="36" t="inlineStr">
        <is>
          <t>STP VACUUM PUMP</t>
        </is>
      </c>
      <c r="J54" s="36" t="n"/>
      <c r="K54" s="34" t="n">
        <v>4</v>
      </c>
      <c r="L54" s="34" t="inlineStr">
        <is>
          <t>PCS</t>
        </is>
      </c>
      <c r="M54" s="34" t="inlineStr">
        <is>
          <t>BOSUNG</t>
        </is>
      </c>
      <c r="N54" s="34" t="inlineStr">
        <is>
          <t>미접수</t>
        </is>
      </c>
      <c r="O54" s="50">
        <f>IF(N(AH54)&gt;1,"중복 "&amp;AH54&amp;"곳"&amp;IF(AK54=1," · 최저가",IF(AND(N54="견적접수",R54&lt;&gt;"")," · 비쌈","")),"")</f>
        <v/>
      </c>
      <c r="P54" s="34" t="inlineStr">
        <is>
          <t>KRW</t>
        </is>
      </c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5" t="n"/>
      <c r="AA54" s="54">
        <f>IF(OR(Z54="",Y54=""),"",Z54+Y54)</f>
        <v/>
      </c>
      <c r="AB54" s="36" t="inlineStr">
        <is>
          <t>[보성 RFQ 03 발송 2026-10-19] 회신 대기</t>
        </is>
      </c>
      <c r="AC54" s="34" t="inlineStr">
        <is>
          <t>검토중</t>
        </is>
      </c>
      <c r="AD54" s="36" t="inlineStr">
        <is>
          <t>보성 견적 회신 대기</t>
        </is>
      </c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inlineStr">
        <is>
          <t>BOSUNG-03</t>
        </is>
      </c>
      <c r="C55" s="34" t="inlineStr">
        <is>
          <t>B03</t>
        </is>
      </c>
      <c r="D55" s="34" t="n">
        <v>5</v>
      </c>
      <c r="E55" s="34" t="inlineStr">
        <is>
          <t>VacDrain</t>
        </is>
      </c>
      <c r="F55" s="36" t="inlineStr">
        <is>
          <t>O-RING</t>
        </is>
      </c>
      <c r="G55" s="36" t="inlineStr">
        <is>
          <t>VacDrain AEROB-45N(A) / 3002000 15VMP</t>
        </is>
      </c>
      <c r="H55" s="36" t="inlineStr">
        <is>
          <t>2220153088</t>
        </is>
      </c>
      <c r="I55" s="36" t="inlineStr">
        <is>
          <t>STP VACUUM PUMP</t>
        </is>
      </c>
      <c r="J55" s="36" t="n"/>
      <c r="K55" s="34" t="n">
        <v>4</v>
      </c>
      <c r="L55" s="34" t="inlineStr">
        <is>
          <t>PCS</t>
        </is>
      </c>
      <c r="M55" s="34" t="inlineStr">
        <is>
          <t>BOSUNG</t>
        </is>
      </c>
      <c r="N55" s="34" t="inlineStr">
        <is>
          <t>미접수</t>
        </is>
      </c>
      <c r="O55" s="50">
        <f>IF(N(AH55)&gt;1,"중복 "&amp;AH55&amp;"곳"&amp;IF(AK55=1," · 최저가",IF(AND(N55="견적접수",R55&lt;&gt;"")," · 비쌈","")),"")</f>
        <v/>
      </c>
      <c r="P55" s="34" t="inlineStr">
        <is>
          <t>KRW</t>
        </is>
      </c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5" t="n"/>
      <c r="AA55" s="54">
        <f>IF(OR(Z55="",Y55=""),"",Z55+Y55)</f>
        <v/>
      </c>
      <c r="AB55" s="36" t="inlineStr">
        <is>
          <t>[보성 RFQ 03 발송 2026-10-19] 회신 대기</t>
        </is>
      </c>
      <c r="AC55" s="34" t="inlineStr">
        <is>
          <t>검토중</t>
        </is>
      </c>
      <c r="AD55" s="36" t="inlineStr">
        <is>
          <t>보성 견적 회신 대기</t>
        </is>
      </c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inlineStr">
        <is>
          <t>BOSUNG-03</t>
        </is>
      </c>
      <c r="C56" s="34" t="inlineStr">
        <is>
          <t>B03</t>
        </is>
      </c>
      <c r="D56" s="34" t="n">
        <v>6</v>
      </c>
      <c r="E56" s="34" t="inlineStr">
        <is>
          <t>VacDrain</t>
        </is>
      </c>
      <c r="F56" s="36" t="inlineStr">
        <is>
          <t>O-RING</t>
        </is>
      </c>
      <c r="G56" s="36" t="inlineStr">
        <is>
          <t>VacDrain AEROB-45N(A) / 3002000 15VMP</t>
        </is>
      </c>
      <c r="H56" s="36" t="inlineStr">
        <is>
          <t>2220153087</t>
        </is>
      </c>
      <c r="I56" s="36" t="inlineStr">
        <is>
          <t>STP VACUUM PUMP</t>
        </is>
      </c>
      <c r="J56" s="36" t="n"/>
      <c r="K56" s="34" t="n">
        <v>4</v>
      </c>
      <c r="L56" s="34" t="inlineStr">
        <is>
          <t>PCS</t>
        </is>
      </c>
      <c r="M56" s="34" t="inlineStr">
        <is>
          <t>BOSUNG</t>
        </is>
      </c>
      <c r="N56" s="34" t="inlineStr">
        <is>
          <t>미접수</t>
        </is>
      </c>
      <c r="O56" s="50">
        <f>IF(N(AH56)&gt;1,"중복 "&amp;AH56&amp;"곳"&amp;IF(AK56=1," · 최저가",IF(AND(N56="견적접수",R56&lt;&gt;"")," · 비쌈","")),"")</f>
        <v/>
      </c>
      <c r="P56" s="34" t="inlineStr">
        <is>
          <t>KRW</t>
        </is>
      </c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5" t="n"/>
      <c r="AA56" s="54">
        <f>IF(OR(Z56="",Y56=""),"",Z56+Y56)</f>
        <v/>
      </c>
      <c r="AB56" s="36" t="inlineStr">
        <is>
          <t>[보성 RFQ 03 발송 2026-10-19] 회신 대기</t>
        </is>
      </c>
      <c r="AC56" s="34" t="inlineStr">
        <is>
          <t>검토중</t>
        </is>
      </c>
      <c r="AD56" s="36" t="inlineStr">
        <is>
          <t>보성 견적 회신 대기</t>
        </is>
      </c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inlineStr">
        <is>
          <t>BOSUNG-03</t>
        </is>
      </c>
      <c r="C57" s="34" t="inlineStr">
        <is>
          <t>B03</t>
        </is>
      </c>
      <c r="D57" s="34" t="n">
        <v>7</v>
      </c>
      <c r="E57" s="34" t="inlineStr">
        <is>
          <t>VacDrain</t>
        </is>
      </c>
      <c r="F57" s="36" t="inlineStr">
        <is>
          <t>O-RING</t>
        </is>
      </c>
      <c r="G57" s="36" t="inlineStr">
        <is>
          <t>VacDrain AEROB-45N(A) / 3002000 15VMP</t>
        </is>
      </c>
      <c r="H57" s="36" t="inlineStr">
        <is>
          <t>2220153090</t>
        </is>
      </c>
      <c r="I57" s="36" t="inlineStr">
        <is>
          <t>STP VACUUM PUMP</t>
        </is>
      </c>
      <c r="J57" s="36" t="n"/>
      <c r="K57" s="34" t="n">
        <v>4</v>
      </c>
      <c r="L57" s="34" t="inlineStr">
        <is>
          <t>PCS</t>
        </is>
      </c>
      <c r="M57" s="34" t="inlineStr">
        <is>
          <t>BOSUNG</t>
        </is>
      </c>
      <c r="N57" s="34" t="inlineStr">
        <is>
          <t>미접수</t>
        </is>
      </c>
      <c r="O57" s="50">
        <f>IF(N(AH57)&gt;1,"중복 "&amp;AH57&amp;"곳"&amp;IF(AK57=1," · 최저가",IF(AND(N57="견적접수",R57&lt;&gt;"")," · 비쌈","")),"")</f>
        <v/>
      </c>
      <c r="P57" s="34" t="inlineStr">
        <is>
          <t>KRW</t>
        </is>
      </c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5" t="n"/>
      <c r="AA57" s="54">
        <f>IF(OR(Z57="",Y57=""),"",Z57+Y57)</f>
        <v/>
      </c>
      <c r="AB57" s="36" t="inlineStr">
        <is>
          <t>[보성 RFQ 03 발송 2026-10-19] 회신 대기</t>
        </is>
      </c>
      <c r="AC57" s="34" t="inlineStr">
        <is>
          <t>검토중</t>
        </is>
      </c>
      <c r="AD57" s="36" t="inlineStr">
        <is>
          <t>보성 견적 회신 대기</t>
        </is>
      </c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inlineStr">
        <is>
          <t>BOSUNG-03</t>
        </is>
      </c>
      <c r="C58" s="34" t="inlineStr">
        <is>
          <t>B03</t>
        </is>
      </c>
      <c r="D58" s="34" t="n">
        <v>8</v>
      </c>
      <c r="E58" s="34" t="inlineStr">
        <is>
          <t>VacDrain</t>
        </is>
      </c>
      <c r="F58" s="36" t="inlineStr">
        <is>
          <t>SHAFT SEAL</t>
        </is>
      </c>
      <c r="G58" s="36" t="inlineStr">
        <is>
          <t>VacDrain AEROB-45N(A) / 3002000 15VMP</t>
        </is>
      </c>
      <c r="H58" s="36" t="inlineStr">
        <is>
          <t>2220153031</t>
        </is>
      </c>
      <c r="I58" s="36" t="inlineStr">
        <is>
          <t>STP VACUUM PUMP</t>
        </is>
      </c>
      <c r="J58" s="36" t="n"/>
      <c r="K58" s="34" t="n">
        <v>2</v>
      </c>
      <c r="L58" s="34" t="inlineStr">
        <is>
          <t>PCS</t>
        </is>
      </c>
      <c r="M58" s="34" t="inlineStr">
        <is>
          <t>BOSUNG</t>
        </is>
      </c>
      <c r="N58" s="34" t="inlineStr">
        <is>
          <t>미접수</t>
        </is>
      </c>
      <c r="O58" s="50">
        <f>IF(N(AH58)&gt;1,"중복 "&amp;AH58&amp;"곳"&amp;IF(AK58=1," · 최저가",IF(AND(N58="견적접수",R58&lt;&gt;"")," · 비쌈","")),"")</f>
        <v/>
      </c>
      <c r="P58" s="34" t="inlineStr">
        <is>
          <t>KRW</t>
        </is>
      </c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5" t="n"/>
      <c r="AA58" s="54">
        <f>IF(OR(Z58="",Y58=""),"",Z58+Y58)</f>
        <v/>
      </c>
      <c r="AB58" s="36" t="inlineStr">
        <is>
          <t>[보성 RFQ 03 발송 2026-10-19] 회신 대기</t>
        </is>
      </c>
      <c r="AC58" s="34" t="inlineStr">
        <is>
          <t>검토중</t>
        </is>
      </c>
      <c r="AD58" s="36" t="inlineStr">
        <is>
          <t>보성 견적 회신 대기</t>
        </is>
      </c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inlineStr">
        <is>
          <t>BOSUNG-03</t>
        </is>
      </c>
      <c r="C59" s="34" t="inlineStr">
        <is>
          <t>B03</t>
        </is>
      </c>
      <c r="D59" s="34" t="n">
        <v>9</v>
      </c>
      <c r="E59" s="34" t="inlineStr">
        <is>
          <t>VacDrain</t>
        </is>
      </c>
      <c r="F59" s="36" t="inlineStr">
        <is>
          <t>SHAFT SEAL</t>
        </is>
      </c>
      <c r="G59" s="36" t="inlineStr">
        <is>
          <t>VacDrain AEROB-45N(A) / 3002000 15VMP</t>
        </is>
      </c>
      <c r="H59" s="36" t="inlineStr">
        <is>
          <t>2220153020</t>
        </is>
      </c>
      <c r="I59" s="36" t="inlineStr">
        <is>
          <t>STP VACUUM PUMP</t>
        </is>
      </c>
      <c r="J59" s="36" t="n"/>
      <c r="K59" s="34" t="n">
        <v>2</v>
      </c>
      <c r="L59" s="34" t="inlineStr">
        <is>
          <t>PCS</t>
        </is>
      </c>
      <c r="M59" s="34" t="inlineStr">
        <is>
          <t>BOSUNG</t>
        </is>
      </c>
      <c r="N59" s="34" t="inlineStr">
        <is>
          <t>미접수</t>
        </is>
      </c>
      <c r="O59" s="50">
        <f>IF(N(AH59)&gt;1,"중복 "&amp;AH59&amp;"곳"&amp;IF(AK59=1," · 최저가",IF(AND(N59="견적접수",R59&lt;&gt;"")," · 비쌈","")),"")</f>
        <v/>
      </c>
      <c r="P59" s="34" t="inlineStr">
        <is>
          <t>KRW</t>
        </is>
      </c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5" t="n"/>
      <c r="AA59" s="54">
        <f>IF(OR(Z59="",Y59=""),"",Z59+Y59)</f>
        <v/>
      </c>
      <c r="AB59" s="36" t="inlineStr">
        <is>
          <t>[보성 RFQ 03 발송 2026-10-19] 회신 대기</t>
        </is>
      </c>
      <c r="AC59" s="34" t="inlineStr">
        <is>
          <t>검토중</t>
        </is>
      </c>
      <c r="AD59" s="36" t="inlineStr">
        <is>
          <t>보성 견적 회신 대기</t>
        </is>
      </c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inlineStr">
        <is>
          <t>BOSUNG-03</t>
        </is>
      </c>
      <c r="C60" s="34" t="inlineStr">
        <is>
          <t>B03</t>
        </is>
      </c>
      <c r="D60" s="34" t="n">
        <v>10</v>
      </c>
      <c r="E60" s="34" t="inlineStr">
        <is>
          <t>VacDrain</t>
        </is>
      </c>
      <c r="F60" s="36" t="inlineStr">
        <is>
          <t>SLEEVE</t>
        </is>
      </c>
      <c r="G60" s="36" t="inlineStr">
        <is>
          <t>VacDrain AEROB-45N(A) / 3002000 15VMP</t>
        </is>
      </c>
      <c r="H60" s="36" t="inlineStr">
        <is>
          <t>2220153017</t>
        </is>
      </c>
      <c r="I60" s="36" t="inlineStr">
        <is>
          <t>STP VACUUM PUMP</t>
        </is>
      </c>
      <c r="J60" s="36" t="n"/>
      <c r="K60" s="34" t="n">
        <v>4</v>
      </c>
      <c r="L60" s="34" t="inlineStr">
        <is>
          <t>PCS</t>
        </is>
      </c>
      <c r="M60" s="34" t="inlineStr">
        <is>
          <t>BOSUNG</t>
        </is>
      </c>
      <c r="N60" s="34" t="inlineStr">
        <is>
          <t>미접수</t>
        </is>
      </c>
      <c r="O60" s="50">
        <f>IF(N(AH60)&gt;1,"중복 "&amp;AH60&amp;"곳"&amp;IF(AK60=1," · 최저가",IF(AND(N60="견적접수",R60&lt;&gt;"")," · 비쌈","")),"")</f>
        <v/>
      </c>
      <c r="P60" s="34" t="inlineStr">
        <is>
          <t>KRW</t>
        </is>
      </c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5" t="n"/>
      <c r="AA60" s="54">
        <f>IF(OR(Z60="",Y60=""),"",Z60+Y60)</f>
        <v/>
      </c>
      <c r="AB60" s="36" t="inlineStr">
        <is>
          <t>[보성 RFQ 03 발송 2026-10-19] 회신 대기</t>
        </is>
      </c>
      <c r="AC60" s="34" t="inlineStr">
        <is>
          <t>검토중</t>
        </is>
      </c>
      <c r="AD60" s="36" t="inlineStr">
        <is>
          <t>보성 견적 회신 대기</t>
        </is>
      </c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inlineStr">
        <is>
          <t>BOSUNG-03</t>
        </is>
      </c>
      <c r="C61" s="34" t="inlineStr">
        <is>
          <t>B03</t>
        </is>
      </c>
      <c r="D61" s="34" t="n">
        <v>11</v>
      </c>
      <c r="E61" s="34" t="inlineStr">
        <is>
          <t>VacDrain</t>
        </is>
      </c>
      <c r="F61" s="36" t="inlineStr">
        <is>
          <t>PLATE</t>
        </is>
      </c>
      <c r="G61" s="36" t="inlineStr">
        <is>
          <t>VacDrain AEROB-45N(A) / 3002000 15VMP</t>
        </is>
      </c>
      <c r="H61" s="36" t="inlineStr">
        <is>
          <t>2220153015</t>
        </is>
      </c>
      <c r="I61" s="36" t="inlineStr">
        <is>
          <t>STP VACUUM PUMP</t>
        </is>
      </c>
      <c r="J61" s="36" t="n"/>
      <c r="K61" s="34" t="n">
        <v>2</v>
      </c>
      <c r="L61" s="34" t="inlineStr">
        <is>
          <t>PCS</t>
        </is>
      </c>
      <c r="M61" s="34" t="inlineStr">
        <is>
          <t>BOSUNG</t>
        </is>
      </c>
      <c r="N61" s="34" t="inlineStr">
        <is>
          <t>미접수</t>
        </is>
      </c>
      <c r="O61" s="50">
        <f>IF(N(AH61)&gt;1,"중복 "&amp;AH61&amp;"곳"&amp;IF(AK61=1," · 최저가",IF(AND(N61="견적접수",R61&lt;&gt;"")," · 비쌈","")),"")</f>
        <v/>
      </c>
      <c r="P61" s="34" t="inlineStr">
        <is>
          <t>KRW</t>
        </is>
      </c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5" t="n"/>
      <c r="AA61" s="54">
        <f>IF(OR(Z61="",Y61=""),"",Z61+Y61)</f>
        <v/>
      </c>
      <c r="AB61" s="36" t="inlineStr">
        <is>
          <t>[보성 RFQ 03 발송 2026-10-19] 회신 대기</t>
        </is>
      </c>
      <c r="AC61" s="34" t="inlineStr">
        <is>
          <t>검토중</t>
        </is>
      </c>
      <c r="AD61" s="36" t="inlineStr">
        <is>
          <t>보성 견적 회신 대기</t>
        </is>
      </c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inlineStr">
        <is>
          <t>BOSUNG-04</t>
        </is>
      </c>
      <c r="C62" s="34" t="inlineStr">
        <is>
          <t>B04</t>
        </is>
      </c>
      <c r="D62" s="34" t="n">
        <v>6</v>
      </c>
      <c r="E62" s="34" t="inlineStr">
        <is>
          <t>DAEYANG</t>
        </is>
      </c>
      <c r="F62" s="36" t="inlineStr">
        <is>
          <t>LED FLOOD LIGHT (COMPLETE UNIT) – HOSE HANDLING CRANE PORT &amp; STBD MISSING</t>
        </is>
      </c>
      <c r="G62" s="36" t="inlineStr">
        <is>
          <t>PFO600L-250AWCTFC60(R25M)</t>
        </is>
      </c>
      <c r="H62" s="36" t="inlineStr">
        <is>
          <t>LR5570006</t>
        </is>
      </c>
      <c r="I62" s="36" t="inlineStr">
        <is>
          <t>Lighting (Electrical)</t>
        </is>
      </c>
      <c r="J62" s="36" t="n"/>
      <c r="K62" s="34" t="n">
        <v>3</v>
      </c>
      <c r="L62" s="34" t="inlineStr">
        <is>
          <t>PCS</t>
        </is>
      </c>
      <c r="M62" s="34" t="inlineStr">
        <is>
          <t>CENTMAR</t>
        </is>
      </c>
      <c r="N62" s="34" t="inlineStr">
        <is>
          <t>견적접수</t>
        </is>
      </c>
      <c r="O62" s="50">
        <f>IF(N(AH62)&gt;1,"중복 "&amp;AH62&amp;"곳"&amp;IF(AK62=1," · 최저가",IF(AND(N62="견적접수",R62&lt;&gt;"")," · 비쌈","")),"")</f>
        <v/>
      </c>
      <c r="P62" s="34" t="inlineStr">
        <is>
          <t>KRW</t>
        </is>
      </c>
      <c r="Q62" s="51" t="n">
        <v>1638500</v>
      </c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>
        <v>70</v>
      </c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>
        <v>46318</v>
      </c>
      <c r="AA62" s="54">
        <f>IF(OR(Z62="",Y62=""),"",Z62+Y62)</f>
        <v/>
      </c>
      <c r="AB62" s="36" t="inlineStr">
        <is>
          <t>[중앙해사 JU26102221] LED FLOOD LIGHT (COMPLETE UNIT) – HOSE HANDLING CRANE PORT &amp; STBD MISSING – DAEYANG PFO600L-250AWCTFC60(R25M) LR5570006 / LEAD TIME 70 DAYS</t>
        </is>
      </c>
      <c r="AC62" s="34" t="inlineStr">
        <is>
          <t>검토중</t>
        </is>
      </c>
      <c r="AD62" s="36" t="inlineStr">
        <is>
          <t>유효기간·인도조건 미기재 – 중앙해사 확인</t>
        </is>
      </c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inlineStr">
        <is>
          <t>BOSUNG-04</t>
        </is>
      </c>
      <c r="C63" s="34" t="inlineStr">
        <is>
          <t>B04</t>
        </is>
      </c>
      <c r="D63" s="34" t="n">
        <v>6</v>
      </c>
      <c r="E63" s="34" t="inlineStr">
        <is>
          <t>DAEYANG</t>
        </is>
      </c>
      <c r="F63" s="36" t="inlineStr">
        <is>
          <t>LED FLOOD LIGHT</t>
        </is>
      </c>
      <c r="G63" s="36" t="inlineStr">
        <is>
          <t>PFO600L-250AWCTFC60(R25M)</t>
        </is>
      </c>
      <c r="H63" s="36" t="inlineStr">
        <is>
          <t>LR5570006 (complete unit)</t>
        </is>
      </c>
      <c r="I63" s="36" t="inlineStr">
        <is>
          <t>Lighting System</t>
        </is>
      </c>
      <c r="J63" s="36" t="inlineStr">
        <is>
          <t>For hose handling crane (port &amp; stbd). See drawing.</t>
        </is>
      </c>
      <c r="K63" s="34" t="n">
        <v>3</v>
      </c>
      <c r="L63" s="34" t="inlineStr">
        <is>
          <t>pcs</t>
        </is>
      </c>
      <c r="M63" s="34" t="inlineStr">
        <is>
          <t>BOSUNG</t>
        </is>
      </c>
      <c r="N63" s="34" t="inlineStr">
        <is>
          <t>미접수</t>
        </is>
      </c>
      <c r="O63" s="50">
        <f>IF(N(AH63)&gt;1,"중복 "&amp;AH63&amp;"곳"&amp;IF(AK63=1," · 최저가",IF(AND(N63="견적접수",R63&lt;&gt;"")," · 비쌈","")),"")</f>
        <v/>
      </c>
      <c r="P63" s="34" t="inlineStr">
        <is>
          <t>KRW</t>
        </is>
      </c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5" t="n"/>
      <c r="AA63" s="54">
        <f>IF(OR(Z63="",Y63=""),"",Z63+Y63)</f>
        <v/>
      </c>
      <c r="AB63" s="36" t="inlineStr">
        <is>
          <t>[보성 RFQ 04 발송 2026-10-19] 회신 대기</t>
        </is>
      </c>
      <c r="AC63" s="34" t="inlineStr">
        <is>
          <t>검토중</t>
        </is>
      </c>
      <c r="AD63" s="36" t="inlineStr">
        <is>
          <t>보성 견적 회신 대기</t>
        </is>
      </c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inlineStr">
        <is>
          <t>BOSUNG-04</t>
        </is>
      </c>
      <c r="C64" s="34" t="inlineStr">
        <is>
          <t>B04</t>
        </is>
      </c>
      <c r="D64" s="34" t="n">
        <v>7</v>
      </c>
      <c r="E64" s="34" t="inlineStr">
        <is>
          <t>DAEYANG</t>
        </is>
      </c>
      <c r="F64" s="36" t="inlineStr">
        <is>
          <t>LED DRIVER</t>
        </is>
      </c>
      <c r="G64" s="36" t="inlineStr">
        <is>
          <t>PFO600L-250AWCTFC60(R25M)</t>
        </is>
      </c>
      <c r="H64" s="36" t="inlineStr">
        <is>
          <t>LR5570006 - 4</t>
        </is>
      </c>
      <c r="I64" s="36" t="inlineStr">
        <is>
          <t>Lighting (Electrical)</t>
        </is>
      </c>
      <c r="J64" s="36" t="n"/>
      <c r="K64" s="34" t="n">
        <v>4</v>
      </c>
      <c r="L64" s="34" t="inlineStr">
        <is>
          <t>PCS</t>
        </is>
      </c>
      <c r="M64" s="34" t="inlineStr">
        <is>
          <t>CENTMAR</t>
        </is>
      </c>
      <c r="N64" s="34" t="inlineStr">
        <is>
          <t>견적접수</t>
        </is>
      </c>
      <c r="O64" s="50">
        <f>IF(N(AH64)&gt;1,"중복 "&amp;AH64&amp;"곳"&amp;IF(AK64=1," · 최저가",IF(AND(N64="견적접수",R64&lt;&gt;"")," · 비쌈","")),"")</f>
        <v/>
      </c>
      <c r="P64" s="34" t="inlineStr">
        <is>
          <t>KRW</t>
        </is>
      </c>
      <c r="Q64" s="51" t="n">
        <v>598900</v>
      </c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>
        <v>70</v>
      </c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>
        <v>46318</v>
      </c>
      <c r="AA64" s="54">
        <f>IF(OR(Z64="",Y64=""),"",Z64+Y64)</f>
        <v/>
      </c>
      <c r="AB64" s="36" t="inlineStr">
        <is>
          <t>[중앙해사 JU26102221] LED DRIVER – DAEYANG PFO600L-250AWCTFC60(R25M) LR5570006 - 4 / LEAD TIME 70 DAYS</t>
        </is>
      </c>
      <c r="AC64" s="34" t="inlineStr">
        <is>
          <t>검토중</t>
        </is>
      </c>
      <c r="AD64" s="36" t="inlineStr">
        <is>
          <t>유효기간·인도조건 미기재 – 중앙해사 확인</t>
        </is>
      </c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inlineStr">
        <is>
          <t>BOSUNG-04</t>
        </is>
      </c>
      <c r="C65" s="34" t="inlineStr">
        <is>
          <t>B04</t>
        </is>
      </c>
      <c r="D65" s="34" t="n">
        <v>7</v>
      </c>
      <c r="E65" s="34" t="inlineStr">
        <is>
          <t>DAEYANG</t>
        </is>
      </c>
      <c r="F65" s="36" t="inlineStr">
        <is>
          <t>LED Driver</t>
        </is>
      </c>
      <c r="G65" s="36" t="inlineStr">
        <is>
          <t>PFO600L-250AWCTFC60(R25M)</t>
        </is>
      </c>
      <c r="H65" s="36" t="inlineStr">
        <is>
          <t>LR5570006 - 4</t>
        </is>
      </c>
      <c r="I65" s="36" t="inlineStr">
        <is>
          <t>Lighting System</t>
        </is>
      </c>
      <c r="J65" s="36" t="n"/>
      <c r="K65" s="34" t="n">
        <v>4</v>
      </c>
      <c r="L65" s="34" t="inlineStr">
        <is>
          <t>pcs</t>
        </is>
      </c>
      <c r="M65" s="34" t="inlineStr">
        <is>
          <t>BOSUNG</t>
        </is>
      </c>
      <c r="N65" s="34" t="inlineStr">
        <is>
          <t>미접수</t>
        </is>
      </c>
      <c r="O65" s="50">
        <f>IF(N(AH65)&gt;1,"중복 "&amp;AH65&amp;"곳"&amp;IF(AK65=1," · 최저가",IF(AND(N65="견적접수",R65&lt;&gt;"")," · 비쌈","")),"")</f>
        <v/>
      </c>
      <c r="P65" s="34" t="inlineStr">
        <is>
          <t>KRW</t>
        </is>
      </c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5" t="n"/>
      <c r="AA65" s="54">
        <f>IF(OR(Z65="",Y65=""),"",Z65+Y65)</f>
        <v/>
      </c>
      <c r="AB65" s="36" t="inlineStr">
        <is>
          <t>[보성 RFQ 04 발송 2026-10-19] 회신 대기</t>
        </is>
      </c>
      <c r="AC65" s="34" t="inlineStr">
        <is>
          <t>검토중</t>
        </is>
      </c>
      <c r="AD65" s="36" t="inlineStr">
        <is>
          <t>보성 견적 회신 대기</t>
        </is>
      </c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inlineStr">
        <is>
          <t>BOSUNG-04</t>
        </is>
      </c>
      <c r="C66" s="34" t="inlineStr">
        <is>
          <t>B04</t>
        </is>
      </c>
      <c r="D66" s="34" t="n">
        <v>8</v>
      </c>
      <c r="E66" s="34" t="inlineStr">
        <is>
          <t>DAEYANG</t>
        </is>
      </c>
      <c r="F66" s="36" t="inlineStr">
        <is>
          <t>LED MODULE</t>
        </is>
      </c>
      <c r="G66" s="36" t="inlineStr">
        <is>
          <t>PFO600L-250AWCTFC60(R25M)</t>
        </is>
      </c>
      <c r="H66" s="36" t="inlineStr">
        <is>
          <t>LR5570006 - 6</t>
        </is>
      </c>
      <c r="I66" s="36" t="inlineStr">
        <is>
          <t>Lighting (Electrical)</t>
        </is>
      </c>
      <c r="J66" s="36" t="n"/>
      <c r="K66" s="34" t="n">
        <v>4</v>
      </c>
      <c r="L66" s="34" t="inlineStr">
        <is>
          <t>PCS</t>
        </is>
      </c>
      <c r="M66" s="34" t="inlineStr">
        <is>
          <t>CENTMAR</t>
        </is>
      </c>
      <c r="N66" s="34" t="inlineStr">
        <is>
          <t>견적접수</t>
        </is>
      </c>
      <c r="O66" s="50">
        <f>IF(N(AH66)&gt;1,"중복 "&amp;AH66&amp;"곳"&amp;IF(AK66=1," · 최저가",IF(AND(N66="견적접수",R66&lt;&gt;"")," · 비쌈","")),"")</f>
        <v/>
      </c>
      <c r="P66" s="34" t="inlineStr">
        <is>
          <t>KRW</t>
        </is>
      </c>
      <c r="Q66" s="51" t="n">
        <v>152550</v>
      </c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>
        <v>70</v>
      </c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>
        <v>46318</v>
      </c>
      <c r="AA66" s="54">
        <f>IF(OR(Z66="",Y66=""),"",Z66+Y66)</f>
        <v/>
      </c>
      <c r="AB66" s="36" t="inlineStr">
        <is>
          <t>[중앙해사 JU26102221] LED MODULE – DAEYANG PFO600L-250AWCTFC60(R25M) LR5570006 - 6 / LEAD TIME 70 DAYS</t>
        </is>
      </c>
      <c r="AC66" s="34" t="inlineStr">
        <is>
          <t>검토중</t>
        </is>
      </c>
      <c r="AD66" s="36" t="inlineStr">
        <is>
          <t>유효기간·인도조건 미기재 – 중앙해사 확인</t>
        </is>
      </c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inlineStr">
        <is>
          <t>BOSUNG-04</t>
        </is>
      </c>
      <c r="C67" s="34" t="inlineStr">
        <is>
          <t>B04</t>
        </is>
      </c>
      <c r="D67" s="34" t="n">
        <v>8</v>
      </c>
      <c r="E67" s="34" t="inlineStr">
        <is>
          <t>DAEYANG</t>
        </is>
      </c>
      <c r="F67" s="36" t="inlineStr">
        <is>
          <t>LED Module</t>
        </is>
      </c>
      <c r="G67" s="36" t="inlineStr">
        <is>
          <t>PFO600L-250AWCTFC60(R25M)</t>
        </is>
      </c>
      <c r="H67" s="36" t="inlineStr">
        <is>
          <t>LR5570006 - 6</t>
        </is>
      </c>
      <c r="I67" s="36" t="inlineStr">
        <is>
          <t>Lighting System</t>
        </is>
      </c>
      <c r="J67" s="36" t="n"/>
      <c r="K67" s="34" t="n">
        <v>4</v>
      </c>
      <c r="L67" s="34" t="inlineStr">
        <is>
          <t>pcs</t>
        </is>
      </c>
      <c r="M67" s="34" t="inlineStr">
        <is>
          <t>BOSUNG</t>
        </is>
      </c>
      <c r="N67" s="34" t="inlineStr">
        <is>
          <t>미접수</t>
        </is>
      </c>
      <c r="O67" s="50">
        <f>IF(N(AH67)&gt;1,"중복 "&amp;AH67&amp;"곳"&amp;IF(AK67=1," · 최저가",IF(AND(N67="견적접수",R67&lt;&gt;"")," · 비쌈","")),"")</f>
        <v/>
      </c>
      <c r="P67" s="34" t="inlineStr">
        <is>
          <t>KRW</t>
        </is>
      </c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5" t="n"/>
      <c r="AA67" s="54">
        <f>IF(OR(Z67="",Y67=""),"",Z67+Y67)</f>
        <v/>
      </c>
      <c r="AB67" s="36" t="inlineStr">
        <is>
          <t>[보성 RFQ 04 발송 2026-10-19] 회신 대기</t>
        </is>
      </c>
      <c r="AC67" s="34" t="inlineStr">
        <is>
          <t>검토중</t>
        </is>
      </c>
      <c r="AD67" s="36" t="inlineStr">
        <is>
          <t>보성 견적 회신 대기</t>
        </is>
      </c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inlineStr">
        <is>
          <t>BOSUNG-05</t>
        </is>
      </c>
      <c r="C68" s="34" t="inlineStr">
        <is>
          <t>B05</t>
        </is>
      </c>
      <c r="D68" s="34" t="n">
        <v>2</v>
      </c>
      <c r="E68" s="34" t="inlineStr">
        <is>
          <t>Hi-Air Korea</t>
        </is>
      </c>
      <c r="F68" s="36" t="inlineStr">
        <is>
          <t>Fan &amp; Motor for Shaft Generator Air Cond Unit</t>
        </is>
      </c>
      <c r="G68" s="36" t="inlineStr">
        <is>
          <t>ECA-133BL (2.2 kW 8P)</t>
        </is>
      </c>
      <c r="H68" s="36" t="inlineStr">
        <is>
          <t>DWG: HIP-20WD-02 - 1</t>
        </is>
      </c>
      <c r="I68" s="36" t="inlineStr">
        <is>
          <t>Shaft Generator room Package Air Condition</t>
        </is>
      </c>
      <c r="J68" s="36" t="n"/>
      <c r="K68" s="34" t="n">
        <v>1</v>
      </c>
      <c r="L68" s="34" t="inlineStr">
        <is>
          <t>unit</t>
        </is>
      </c>
      <c r="M68" s="34" t="inlineStr">
        <is>
          <t>BOSUNG</t>
        </is>
      </c>
      <c r="N68" s="34" t="inlineStr">
        <is>
          <t>미접수</t>
        </is>
      </c>
      <c r="O68" s="50">
        <f>IF(N(AH68)&gt;1,"중복 "&amp;AH68&amp;"곳"&amp;IF(AK68=1," · 최저가",IF(AND(N68="견적접수",R68&lt;&gt;"")," · 비쌈","")),"")</f>
        <v/>
      </c>
      <c r="P68" s="34" t="inlineStr">
        <is>
          <t>KRW</t>
        </is>
      </c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5" t="n"/>
      <c r="AA68" s="54">
        <f>IF(OR(Z68="",Y68=""),"",Z68+Y68)</f>
        <v/>
      </c>
      <c r="AB68" s="36" t="inlineStr">
        <is>
          <t>[보성 RFQ 05 발송 2026-10-19] 회신 대기</t>
        </is>
      </c>
      <c r="AC68" s="34" t="inlineStr">
        <is>
          <t>검토중</t>
        </is>
      </c>
      <c r="AD68" s="36" t="inlineStr">
        <is>
          <t>보성 견적 회신 대기</t>
        </is>
      </c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4" customWidth="1" min="4" max="4"/>
    <col width="11" customWidth="1" min="5" max="5"/>
    <col width="34" customWidth="1" min="6" max="6"/>
    <col width="7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4" customWidth="1" min="19" max="19"/>
    <col width="30" customWidth="1" min="20" max="20"/>
  </cols>
  <sheetData>
    <row r="1">
      <c r="A1" s="1" t="inlineStr">
        <is>
          <t>RFQ 목록 (발송한 견적요청서)</t>
        </is>
      </c>
    </row>
    <row r="2">
      <c r="A2" s="2" t="inlineStr">
        <is>
          <t>RFQ별 견적 확보 현황과 업체별 회신 줄 수 (선박 시트에서 자동 집계) · 새 RFQ는 빈 줄에 추가</t>
        </is>
      </c>
    </row>
    <row r="4" ht="32" customHeight="1">
      <c r="A4" s="4" t="inlineStr">
        <is>
          <t>파일</t>
        </is>
      </c>
      <c r="B4" s="4" t="inlineStr">
        <is>
          <t>RFQ No.</t>
        </is>
      </c>
      <c r="C4" s="4" t="inlineStr">
        <is>
          <t>Maker</t>
        </is>
      </c>
      <c r="D4" s="4" t="inlineStr">
        <is>
          <t>Category</t>
        </is>
      </c>
      <c r="E4" s="4" t="inlineStr">
        <is>
          <t>RFQ일</t>
        </is>
      </c>
      <c r="F4" s="4" t="inlineStr">
        <is>
          <t>대상 선박</t>
        </is>
      </c>
      <c r="G4" s="4" t="inlineStr">
        <is>
          <t>품목수</t>
        </is>
      </c>
      <c r="H4" s="18" t="inlineStr">
        <is>
          <t>견적확보
품목</t>
        </is>
      </c>
      <c r="I4" s="18" t="inlineStr">
        <is>
          <t>미확보</t>
        </is>
      </c>
      <c r="J4" s="18">
        <f>IF(설정!$E$5="","-",설정!$E$5&amp;" 회신")</f>
        <v/>
      </c>
      <c r="K4" s="18">
        <f>IF(설정!$E$6="","-",설정!$E$6&amp;" 회신")</f>
        <v/>
      </c>
      <c r="L4" s="18">
        <f>IF(설정!$E$7="","-",설정!$E$7&amp;" 회신")</f>
        <v/>
      </c>
      <c r="M4" s="18">
        <f>IF(설정!$E$8="","-",설정!$E$8&amp;" 회신")</f>
        <v/>
      </c>
      <c r="N4" s="18">
        <f>IF(설정!$E$9="","-",설정!$E$9&amp;" 회신")</f>
        <v/>
      </c>
      <c r="O4" s="18">
        <f>IF(설정!$E$10="","-",설정!$E$10&amp;" 회신")</f>
        <v/>
      </c>
      <c r="P4" s="18">
        <f>IF(설정!$E$11="","-",설정!$E$11&amp;" 회신")</f>
        <v/>
      </c>
      <c r="Q4" s="18">
        <f>IF(설정!$E$12="","-",설정!$E$12&amp;" 회신")</f>
        <v/>
      </c>
      <c r="R4" s="18" t="inlineStr">
        <is>
          <t>중복견적
품목</t>
        </is>
      </c>
      <c r="S4" s="18" t="inlineStr">
        <is>
          <t>최저가 합계
(KRW)</t>
        </is>
      </c>
      <c r="T4" s="4" t="inlineStr">
        <is>
          <t>비고</t>
        </is>
      </c>
    </row>
    <row r="5">
      <c r="A5" s="34" t="inlineStr">
        <is>
          <t>01</t>
        </is>
      </c>
      <c r="B5" s="34" t="inlineStr">
        <is>
          <t>KQU-000116304</t>
        </is>
      </c>
      <c r="C5" s="36" t="inlineStr">
        <is>
          <t>NORGREN (EGR air filters &amp; service kits)</t>
        </is>
      </c>
      <c r="D5" s="34" t="inlineStr">
        <is>
          <t>Main Engine</t>
        </is>
      </c>
      <c r="E5" s="56" t="n">
        <v>46314</v>
      </c>
      <c r="F5" s="36" t="inlineStr">
        <is>
          <t>AEOLUS / MELICERTES / NELEUS / ONEIROI</t>
        </is>
      </c>
      <c r="G5" s="34" t="n">
        <v>6</v>
      </c>
      <c r="H5" s="58">
        <f>IF($B5="","",COUNTIFS('AEOLUS'!$B$6:$B$205,$B5,'AEOLUS'!$AJ$6:$AJ$205,1)+COUNTIFS('MELICERTES'!$B$6:$B$205,$B5,'MELICERTES'!$AJ$6:$AJ$205,1)+COUNTIFS('NELEUS'!$B$6:$B$205,$B5,'NELEUS'!$AJ$6:$AJ$205,1)+COUNTIFS('ONEIROI'!$B$6:$B$205,$B5,'ONEIROI'!$AJ$6:$AJ$205,1))</f>
        <v/>
      </c>
      <c r="I5" s="58">
        <f>IF(OR($B5="",G5=""),"",G5-H5)</f>
        <v/>
      </c>
      <c r="J5" s="58">
        <f>IF(OR($B5="",설정!$E$5=""),"",COUNTIFS('AEOLUS'!$B$6:$B$205,$B5,'AEOLUS'!$M$6:$M$205,설정!$E$5)+COUNTIFS('MELICERTES'!$B$6:$B$205,$B5,'MELICERTES'!$M$6:$M$205,설정!$E$5)+COUNTIFS('NELEUS'!$B$6:$B$205,$B5,'NELEUS'!$M$6:$M$205,설정!$E$5)+COUNTIFS('ONEIROI'!$B$6:$B$205,$B5,'ONEIROI'!$M$6:$M$205,설정!$E$5))</f>
        <v/>
      </c>
      <c r="K5" s="58">
        <f>IF(OR($B5="",설정!$E$6=""),"",COUNTIFS('AEOLUS'!$B$6:$B$205,$B5,'AEOLUS'!$M$6:$M$205,설정!$E$6)+COUNTIFS('MELICERTES'!$B$6:$B$205,$B5,'MELICERTES'!$M$6:$M$205,설정!$E$6)+COUNTIFS('NELEUS'!$B$6:$B$205,$B5,'NELEUS'!$M$6:$M$205,설정!$E$6)+COUNTIFS('ONEIROI'!$B$6:$B$205,$B5,'ONEIROI'!$M$6:$M$205,설정!$E$6))</f>
        <v/>
      </c>
      <c r="L5" s="58">
        <f>IF(OR($B5="",설정!$E$7=""),"",COUNTIFS('AEOLUS'!$B$6:$B$205,$B5,'AEOLUS'!$M$6:$M$205,설정!$E$7)+COUNTIFS('MELICERTES'!$B$6:$B$205,$B5,'MELICERTES'!$M$6:$M$205,설정!$E$7)+COUNTIFS('NELEUS'!$B$6:$B$205,$B5,'NELEUS'!$M$6:$M$205,설정!$E$7)+COUNTIFS('ONEIROI'!$B$6:$B$205,$B5,'ONEIROI'!$M$6:$M$205,설정!$E$7))</f>
        <v/>
      </c>
      <c r="M5" s="58">
        <f>IF(OR($B5="",설정!$E$8=""),"",COUNTIFS('AEOLUS'!$B$6:$B$205,$B5,'AEOLUS'!$M$6:$M$205,설정!$E$8)+COUNTIFS('MELICERTES'!$B$6:$B$205,$B5,'MELICERTES'!$M$6:$M$205,설정!$E$8)+COUNTIFS('NELEUS'!$B$6:$B$205,$B5,'NELEUS'!$M$6:$M$205,설정!$E$8)+COUNTIFS('ONEIROI'!$B$6:$B$205,$B5,'ONEIROI'!$M$6:$M$205,설정!$E$8))</f>
        <v/>
      </c>
      <c r="N5" s="58">
        <f>IF(OR($B5="",설정!$E$9=""),"",COUNTIFS('AEOLUS'!$B$6:$B$205,$B5,'AEOLUS'!$M$6:$M$205,설정!$E$9)+COUNTIFS('MELICERTES'!$B$6:$B$205,$B5,'MELICERTES'!$M$6:$M$205,설정!$E$9)+COUNTIFS('NELEUS'!$B$6:$B$205,$B5,'NELEUS'!$M$6:$M$205,설정!$E$9)+COUNTIFS('ONEIROI'!$B$6:$B$205,$B5,'ONEIROI'!$M$6:$M$205,설정!$E$9))</f>
        <v/>
      </c>
      <c r="O5" s="58">
        <f>IF(OR($B5="",설정!$E$10=""),"",COUNTIFS('AEOLUS'!$B$6:$B$205,$B5,'AEOLUS'!$M$6:$M$205,설정!$E$10)+COUNTIFS('MELICERTES'!$B$6:$B$205,$B5,'MELICERTES'!$M$6:$M$205,설정!$E$10)+COUNTIFS('NELEUS'!$B$6:$B$205,$B5,'NELEUS'!$M$6:$M$205,설정!$E$10)+COUNTIFS('ONEIROI'!$B$6:$B$205,$B5,'ONEIROI'!$M$6:$M$205,설정!$E$10))</f>
        <v/>
      </c>
      <c r="P5" s="58">
        <f>IF(OR($B5="",설정!$E$11=""),"",COUNTIFS('AEOLUS'!$B$6:$B$205,$B5,'AEOLUS'!$M$6:$M$205,설정!$E$11)+COUNTIFS('MELICERTES'!$B$6:$B$205,$B5,'MELICERTES'!$M$6:$M$205,설정!$E$11)+COUNTIFS('NELEUS'!$B$6:$B$205,$B5,'NELEUS'!$M$6:$M$205,설정!$E$11)+COUNTIFS('ONEIROI'!$B$6:$B$205,$B5,'ONEIROI'!$M$6:$M$205,설정!$E$11))</f>
        <v/>
      </c>
      <c r="Q5" s="58">
        <f>IF(OR($B5="",설정!$E$12=""),"",COUNTIFS('AEOLUS'!$B$6:$B$205,$B5,'AEOLUS'!$M$6:$M$205,설정!$E$12)+COUNTIFS('MELICERTES'!$B$6:$B$205,$B5,'MELICERTES'!$M$6:$M$205,설정!$E$12)+COUNTIFS('NELEUS'!$B$6:$B$205,$B5,'NELEUS'!$M$6:$M$205,설정!$E$12)+COUNTIFS('ONEIROI'!$B$6:$B$205,$B5,'ONEIROI'!$M$6:$M$205,설정!$E$12))</f>
        <v/>
      </c>
      <c r="R5" s="58">
        <f>IF($B5="","",COUNTIFS('AEOLUS'!$B$6:$B$205,$B5,'AEOLUS'!$AI$6:$AI$205,"&gt;0")+COUNTIFS('MELICERTES'!$B$6:$B$205,$B5,'MELICERTES'!$AI$6:$AI$205,"&gt;0")+COUNTIFS('NELEUS'!$B$6:$B$205,$B5,'NELEUS'!$AI$6:$AI$205,"&gt;0")+COUNTIFS('ONEIROI'!$B$6:$B$205,$B5,'ONEIROI'!$AI$6:$AI$205,"&gt;0"))</f>
        <v/>
      </c>
      <c r="S5" s="53">
        <f>IF($B5="","",SUMIFS('AEOLUS'!$S$6:$S$205,'AEOLUS'!$B$6:$B$205,$B5,'AEOLUS'!$AK$6:$AK$205,1)+SUMIFS('MELICERTES'!$S$6:$S$205,'MELICERTES'!$B$6:$B$205,$B5,'MELICERTES'!$AK$6:$AK$205,1)+SUMIFS('NELEUS'!$S$6:$S$205,'NELEUS'!$B$6:$B$205,$B5,'NELEUS'!$AK$6:$AK$205,1)+SUMIFS('ONEIROI'!$S$6:$S$205,'ONEIROI'!$B$6:$B$205,$B5,'ONEIROI'!$AK$6:$AK$205,1))</f>
        <v/>
      </c>
      <c r="T5" s="36" t="n"/>
    </row>
    <row r="6">
      <c r="A6" s="34" t="inlineStr">
        <is>
          <t>03</t>
        </is>
      </c>
      <c r="B6" s="34" t="inlineStr">
        <is>
          <t>KQU-000116305</t>
        </is>
      </c>
      <c r="C6" s="36" t="inlineStr">
        <is>
          <t>DANFOSS (pressure transmitters)</t>
        </is>
      </c>
      <c r="D6" s="34" t="inlineStr">
        <is>
          <t>Main Engine</t>
        </is>
      </c>
      <c r="E6" s="56" t="n">
        <v>46314</v>
      </c>
      <c r="F6" s="36" t="inlineStr">
        <is>
          <t>MELICERTES / NELEUS</t>
        </is>
      </c>
      <c r="G6" s="34" t="n">
        <v>5</v>
      </c>
      <c r="H6" s="58">
        <f>IF($B6="","",COUNTIFS('AEOLUS'!$B$6:$B$205,$B6,'AEOLUS'!$AJ$6:$AJ$205,1)+COUNTIFS('MELICERTES'!$B$6:$B$205,$B6,'MELICERTES'!$AJ$6:$AJ$205,1)+COUNTIFS('NELEUS'!$B$6:$B$205,$B6,'NELEUS'!$AJ$6:$AJ$205,1)+COUNTIFS('ONEIROI'!$B$6:$B$205,$B6,'ONEIROI'!$AJ$6:$AJ$205,1))</f>
        <v/>
      </c>
      <c r="I6" s="58">
        <f>IF(OR($B6="",G6=""),"",G6-H6)</f>
        <v/>
      </c>
      <c r="J6" s="58">
        <f>IF(OR($B6="",설정!$E$5=""),"",COUNTIFS('AEOLUS'!$B$6:$B$205,$B6,'AEOLUS'!$M$6:$M$205,설정!$E$5)+COUNTIFS('MELICERTES'!$B$6:$B$205,$B6,'MELICERTES'!$M$6:$M$205,설정!$E$5)+COUNTIFS('NELEUS'!$B$6:$B$205,$B6,'NELEUS'!$M$6:$M$205,설정!$E$5)+COUNTIFS('ONEIROI'!$B$6:$B$205,$B6,'ONEIROI'!$M$6:$M$205,설정!$E$5))</f>
        <v/>
      </c>
      <c r="K6" s="58">
        <f>IF(OR($B6="",설정!$E$6=""),"",COUNTIFS('AEOLUS'!$B$6:$B$205,$B6,'AEOLUS'!$M$6:$M$205,설정!$E$6)+COUNTIFS('MELICERTES'!$B$6:$B$205,$B6,'MELICERTES'!$M$6:$M$205,설정!$E$6)+COUNTIFS('NELEUS'!$B$6:$B$205,$B6,'NELEUS'!$M$6:$M$205,설정!$E$6)+COUNTIFS('ONEIROI'!$B$6:$B$205,$B6,'ONEIROI'!$M$6:$M$205,설정!$E$6))</f>
        <v/>
      </c>
      <c r="L6" s="58">
        <f>IF(OR($B6="",설정!$E$7=""),"",COUNTIFS('AEOLUS'!$B$6:$B$205,$B6,'AEOLUS'!$M$6:$M$205,설정!$E$7)+COUNTIFS('MELICERTES'!$B$6:$B$205,$B6,'MELICERTES'!$M$6:$M$205,설정!$E$7)+COUNTIFS('NELEUS'!$B$6:$B$205,$B6,'NELEUS'!$M$6:$M$205,설정!$E$7)+COUNTIFS('ONEIROI'!$B$6:$B$205,$B6,'ONEIROI'!$M$6:$M$205,설정!$E$7))</f>
        <v/>
      </c>
      <c r="M6" s="58">
        <f>IF(OR($B6="",설정!$E$8=""),"",COUNTIFS('AEOLUS'!$B$6:$B$205,$B6,'AEOLUS'!$M$6:$M$205,설정!$E$8)+COUNTIFS('MELICERTES'!$B$6:$B$205,$B6,'MELICERTES'!$M$6:$M$205,설정!$E$8)+COUNTIFS('NELEUS'!$B$6:$B$205,$B6,'NELEUS'!$M$6:$M$205,설정!$E$8)+COUNTIFS('ONEIROI'!$B$6:$B$205,$B6,'ONEIROI'!$M$6:$M$205,설정!$E$8))</f>
        <v/>
      </c>
      <c r="N6" s="58">
        <f>IF(OR($B6="",설정!$E$9=""),"",COUNTIFS('AEOLUS'!$B$6:$B$205,$B6,'AEOLUS'!$M$6:$M$205,설정!$E$9)+COUNTIFS('MELICERTES'!$B$6:$B$205,$B6,'MELICERTES'!$M$6:$M$205,설정!$E$9)+COUNTIFS('NELEUS'!$B$6:$B$205,$B6,'NELEUS'!$M$6:$M$205,설정!$E$9)+COUNTIFS('ONEIROI'!$B$6:$B$205,$B6,'ONEIROI'!$M$6:$M$205,설정!$E$9))</f>
        <v/>
      </c>
      <c r="O6" s="58">
        <f>IF(OR($B6="",설정!$E$10=""),"",COUNTIFS('AEOLUS'!$B$6:$B$205,$B6,'AEOLUS'!$M$6:$M$205,설정!$E$10)+COUNTIFS('MELICERTES'!$B$6:$B$205,$B6,'MELICERTES'!$M$6:$M$205,설정!$E$10)+COUNTIFS('NELEUS'!$B$6:$B$205,$B6,'NELEUS'!$M$6:$M$205,설정!$E$10)+COUNTIFS('ONEIROI'!$B$6:$B$205,$B6,'ONEIROI'!$M$6:$M$205,설정!$E$10))</f>
        <v/>
      </c>
      <c r="P6" s="58">
        <f>IF(OR($B6="",설정!$E$11=""),"",COUNTIFS('AEOLUS'!$B$6:$B$205,$B6,'AEOLUS'!$M$6:$M$205,설정!$E$11)+COUNTIFS('MELICERTES'!$B$6:$B$205,$B6,'MELICERTES'!$M$6:$M$205,설정!$E$11)+COUNTIFS('NELEUS'!$B$6:$B$205,$B6,'NELEUS'!$M$6:$M$205,설정!$E$11)+COUNTIFS('ONEIROI'!$B$6:$B$205,$B6,'ONEIROI'!$M$6:$M$205,설정!$E$11))</f>
        <v/>
      </c>
      <c r="Q6" s="58">
        <f>IF(OR($B6="",설정!$E$12=""),"",COUNTIFS('AEOLUS'!$B$6:$B$205,$B6,'AEOLUS'!$M$6:$M$205,설정!$E$12)+COUNTIFS('MELICERTES'!$B$6:$B$205,$B6,'MELICERTES'!$M$6:$M$205,설정!$E$12)+COUNTIFS('NELEUS'!$B$6:$B$205,$B6,'NELEUS'!$M$6:$M$205,설정!$E$12)+COUNTIFS('ONEIROI'!$B$6:$B$205,$B6,'ONEIROI'!$M$6:$M$205,설정!$E$12))</f>
        <v/>
      </c>
      <c r="R6" s="58">
        <f>IF($B6="","",COUNTIFS('AEOLUS'!$B$6:$B$205,$B6,'AEOLUS'!$AI$6:$AI$205,"&gt;0")+COUNTIFS('MELICERTES'!$B$6:$B$205,$B6,'MELICERTES'!$AI$6:$AI$205,"&gt;0")+COUNTIFS('NELEUS'!$B$6:$B$205,$B6,'NELEUS'!$AI$6:$AI$205,"&gt;0")+COUNTIFS('ONEIROI'!$B$6:$B$205,$B6,'ONEIROI'!$AI$6:$AI$205,"&gt;0"))</f>
        <v/>
      </c>
      <c r="S6" s="53">
        <f>IF($B6="","",SUMIFS('AEOLUS'!$S$6:$S$205,'AEOLUS'!$B$6:$B$205,$B6,'AEOLUS'!$AK$6:$AK$205,1)+SUMIFS('MELICERTES'!$S$6:$S$205,'MELICERTES'!$B$6:$B$205,$B6,'MELICERTES'!$AK$6:$AK$205,1)+SUMIFS('NELEUS'!$S$6:$S$205,'NELEUS'!$B$6:$B$205,$B6,'NELEUS'!$AK$6:$AK$205,1)+SUMIFS('ONEIROI'!$S$6:$S$205,'ONEIROI'!$B$6:$B$205,$B6,'ONEIROI'!$AK$6:$AK$205,1))</f>
        <v/>
      </c>
      <c r="T6" s="36" t="n"/>
    </row>
    <row r="7">
      <c r="A7" s="34" t="inlineStr">
        <is>
          <t>04</t>
        </is>
      </c>
      <c r="B7" s="34" t="inlineStr">
        <is>
          <t>KQU-000116306</t>
        </is>
      </c>
      <c r="C7" s="36" t="inlineStr">
        <is>
          <t>WAGO</t>
        </is>
      </c>
      <c r="D7" s="34" t="inlineStr">
        <is>
          <t>Main Engine</t>
        </is>
      </c>
      <c r="E7" s="56" t="n">
        <v>46314</v>
      </c>
      <c r="F7" s="36" t="inlineStr">
        <is>
          <t>AEOLUS / MELICERTES</t>
        </is>
      </c>
      <c r="G7" s="34" t="n">
        <v>2</v>
      </c>
      <c r="H7" s="58">
        <f>IF($B7="","",COUNTIFS('AEOLUS'!$B$6:$B$205,$B7,'AEOLUS'!$AJ$6:$AJ$205,1)+COUNTIFS('MELICERTES'!$B$6:$B$205,$B7,'MELICERTES'!$AJ$6:$AJ$205,1)+COUNTIFS('NELEUS'!$B$6:$B$205,$B7,'NELEUS'!$AJ$6:$AJ$205,1)+COUNTIFS('ONEIROI'!$B$6:$B$205,$B7,'ONEIROI'!$AJ$6:$AJ$205,1))</f>
        <v/>
      </c>
      <c r="I7" s="58">
        <f>IF(OR($B7="",G7=""),"",G7-H7)</f>
        <v/>
      </c>
      <c r="J7" s="58">
        <f>IF(OR($B7="",설정!$E$5=""),"",COUNTIFS('AEOLUS'!$B$6:$B$205,$B7,'AEOLUS'!$M$6:$M$205,설정!$E$5)+COUNTIFS('MELICERTES'!$B$6:$B$205,$B7,'MELICERTES'!$M$6:$M$205,설정!$E$5)+COUNTIFS('NELEUS'!$B$6:$B$205,$B7,'NELEUS'!$M$6:$M$205,설정!$E$5)+COUNTIFS('ONEIROI'!$B$6:$B$205,$B7,'ONEIROI'!$M$6:$M$205,설정!$E$5))</f>
        <v/>
      </c>
      <c r="K7" s="58">
        <f>IF(OR($B7="",설정!$E$6=""),"",COUNTIFS('AEOLUS'!$B$6:$B$205,$B7,'AEOLUS'!$M$6:$M$205,설정!$E$6)+COUNTIFS('MELICERTES'!$B$6:$B$205,$B7,'MELICERTES'!$M$6:$M$205,설정!$E$6)+COUNTIFS('NELEUS'!$B$6:$B$205,$B7,'NELEUS'!$M$6:$M$205,설정!$E$6)+COUNTIFS('ONEIROI'!$B$6:$B$205,$B7,'ONEIROI'!$M$6:$M$205,설정!$E$6))</f>
        <v/>
      </c>
      <c r="L7" s="58">
        <f>IF(OR($B7="",설정!$E$7=""),"",COUNTIFS('AEOLUS'!$B$6:$B$205,$B7,'AEOLUS'!$M$6:$M$205,설정!$E$7)+COUNTIFS('MELICERTES'!$B$6:$B$205,$B7,'MELICERTES'!$M$6:$M$205,설정!$E$7)+COUNTIFS('NELEUS'!$B$6:$B$205,$B7,'NELEUS'!$M$6:$M$205,설정!$E$7)+COUNTIFS('ONEIROI'!$B$6:$B$205,$B7,'ONEIROI'!$M$6:$M$205,설정!$E$7))</f>
        <v/>
      </c>
      <c r="M7" s="58">
        <f>IF(OR($B7="",설정!$E$8=""),"",COUNTIFS('AEOLUS'!$B$6:$B$205,$B7,'AEOLUS'!$M$6:$M$205,설정!$E$8)+COUNTIFS('MELICERTES'!$B$6:$B$205,$B7,'MELICERTES'!$M$6:$M$205,설정!$E$8)+COUNTIFS('NELEUS'!$B$6:$B$205,$B7,'NELEUS'!$M$6:$M$205,설정!$E$8)+COUNTIFS('ONEIROI'!$B$6:$B$205,$B7,'ONEIROI'!$M$6:$M$205,설정!$E$8))</f>
        <v/>
      </c>
      <c r="N7" s="58">
        <f>IF(OR($B7="",설정!$E$9=""),"",COUNTIFS('AEOLUS'!$B$6:$B$205,$B7,'AEOLUS'!$M$6:$M$205,설정!$E$9)+COUNTIFS('MELICERTES'!$B$6:$B$205,$B7,'MELICERTES'!$M$6:$M$205,설정!$E$9)+COUNTIFS('NELEUS'!$B$6:$B$205,$B7,'NELEUS'!$M$6:$M$205,설정!$E$9)+COUNTIFS('ONEIROI'!$B$6:$B$205,$B7,'ONEIROI'!$M$6:$M$205,설정!$E$9))</f>
        <v/>
      </c>
      <c r="O7" s="58">
        <f>IF(OR($B7="",설정!$E$10=""),"",COUNTIFS('AEOLUS'!$B$6:$B$205,$B7,'AEOLUS'!$M$6:$M$205,설정!$E$10)+COUNTIFS('MELICERTES'!$B$6:$B$205,$B7,'MELICERTES'!$M$6:$M$205,설정!$E$10)+COUNTIFS('NELEUS'!$B$6:$B$205,$B7,'NELEUS'!$M$6:$M$205,설정!$E$10)+COUNTIFS('ONEIROI'!$B$6:$B$205,$B7,'ONEIROI'!$M$6:$M$205,설정!$E$10))</f>
        <v/>
      </c>
      <c r="P7" s="58">
        <f>IF(OR($B7="",설정!$E$11=""),"",COUNTIFS('AEOLUS'!$B$6:$B$205,$B7,'AEOLUS'!$M$6:$M$205,설정!$E$11)+COUNTIFS('MELICERTES'!$B$6:$B$205,$B7,'MELICERTES'!$M$6:$M$205,설정!$E$11)+COUNTIFS('NELEUS'!$B$6:$B$205,$B7,'NELEUS'!$M$6:$M$205,설정!$E$11)+COUNTIFS('ONEIROI'!$B$6:$B$205,$B7,'ONEIROI'!$M$6:$M$205,설정!$E$11))</f>
        <v/>
      </c>
      <c r="Q7" s="58">
        <f>IF(OR($B7="",설정!$E$12=""),"",COUNTIFS('AEOLUS'!$B$6:$B$205,$B7,'AEOLUS'!$M$6:$M$205,설정!$E$12)+COUNTIFS('MELICERTES'!$B$6:$B$205,$B7,'MELICERTES'!$M$6:$M$205,설정!$E$12)+COUNTIFS('NELEUS'!$B$6:$B$205,$B7,'NELEUS'!$M$6:$M$205,설정!$E$12)+COUNTIFS('ONEIROI'!$B$6:$B$205,$B7,'ONEIROI'!$M$6:$M$205,설정!$E$12))</f>
        <v/>
      </c>
      <c r="R7" s="58">
        <f>IF($B7="","",COUNTIFS('AEOLUS'!$B$6:$B$205,$B7,'AEOLUS'!$AI$6:$AI$205,"&gt;0")+COUNTIFS('MELICERTES'!$B$6:$B$205,$B7,'MELICERTES'!$AI$6:$AI$205,"&gt;0")+COUNTIFS('NELEUS'!$B$6:$B$205,$B7,'NELEUS'!$AI$6:$AI$205,"&gt;0")+COUNTIFS('ONEIROI'!$B$6:$B$205,$B7,'ONEIROI'!$AI$6:$AI$205,"&gt;0"))</f>
        <v/>
      </c>
      <c r="S7" s="53">
        <f>IF($B7="","",SUMIFS('AEOLUS'!$S$6:$S$205,'AEOLUS'!$B$6:$B$205,$B7,'AEOLUS'!$AK$6:$AK$205,1)+SUMIFS('MELICERTES'!$S$6:$S$205,'MELICERTES'!$B$6:$B$205,$B7,'MELICERTES'!$AK$6:$AK$205,1)+SUMIFS('NELEUS'!$S$6:$S$205,'NELEUS'!$B$6:$B$205,$B7,'NELEUS'!$AK$6:$AK$205,1)+SUMIFS('ONEIROI'!$S$6:$S$205,'ONEIROI'!$B$6:$B$205,$B7,'ONEIROI'!$AK$6:$AK$205,1))</f>
        <v/>
      </c>
      <c r="T7" s="36" t="n"/>
    </row>
    <row r="8">
      <c r="A8" s="34" t="inlineStr">
        <is>
          <t>05</t>
        </is>
      </c>
      <c r="B8" s="34" t="inlineStr">
        <is>
          <t>IOB RFQ-05</t>
        </is>
      </c>
      <c r="C8" s="36" t="inlineStr">
        <is>
          <t>PHOENIX CONTACT (power supply / UPS)</t>
        </is>
      </c>
      <c r="D8" s="34" t="inlineStr">
        <is>
          <t>Electrical</t>
        </is>
      </c>
      <c r="E8" s="56" t="n"/>
      <c r="F8" s="36" t="inlineStr">
        <is>
          <t>MELICERTES</t>
        </is>
      </c>
      <c r="G8" s="34" t="n">
        <v>2</v>
      </c>
      <c r="H8" s="58">
        <f>IF($B8="","",COUNTIFS('AEOLUS'!$B$6:$B$205,$B8,'AEOLUS'!$AJ$6:$AJ$205,1)+COUNTIFS('MELICERTES'!$B$6:$B$205,$B8,'MELICERTES'!$AJ$6:$AJ$205,1)+COUNTIFS('NELEUS'!$B$6:$B$205,$B8,'NELEUS'!$AJ$6:$AJ$205,1)+COUNTIFS('ONEIROI'!$B$6:$B$205,$B8,'ONEIROI'!$AJ$6:$AJ$205,1))</f>
        <v/>
      </c>
      <c r="I8" s="58">
        <f>IF(OR($B8="",G8=""),"",G8-H8)</f>
        <v/>
      </c>
      <c r="J8" s="58">
        <f>IF(OR($B8="",설정!$E$5=""),"",COUNTIFS('AEOLUS'!$B$6:$B$205,$B8,'AEOLUS'!$M$6:$M$205,설정!$E$5)+COUNTIFS('MELICERTES'!$B$6:$B$205,$B8,'MELICERTES'!$M$6:$M$205,설정!$E$5)+COUNTIFS('NELEUS'!$B$6:$B$205,$B8,'NELEUS'!$M$6:$M$205,설정!$E$5)+COUNTIFS('ONEIROI'!$B$6:$B$205,$B8,'ONEIROI'!$M$6:$M$205,설정!$E$5))</f>
        <v/>
      </c>
      <c r="K8" s="58">
        <f>IF(OR($B8="",설정!$E$6=""),"",COUNTIFS('AEOLUS'!$B$6:$B$205,$B8,'AEOLUS'!$M$6:$M$205,설정!$E$6)+COUNTIFS('MELICERTES'!$B$6:$B$205,$B8,'MELICERTES'!$M$6:$M$205,설정!$E$6)+COUNTIFS('NELEUS'!$B$6:$B$205,$B8,'NELEUS'!$M$6:$M$205,설정!$E$6)+COUNTIFS('ONEIROI'!$B$6:$B$205,$B8,'ONEIROI'!$M$6:$M$205,설정!$E$6))</f>
        <v/>
      </c>
      <c r="L8" s="58">
        <f>IF(OR($B8="",설정!$E$7=""),"",COUNTIFS('AEOLUS'!$B$6:$B$205,$B8,'AEOLUS'!$M$6:$M$205,설정!$E$7)+COUNTIFS('MELICERTES'!$B$6:$B$205,$B8,'MELICERTES'!$M$6:$M$205,설정!$E$7)+COUNTIFS('NELEUS'!$B$6:$B$205,$B8,'NELEUS'!$M$6:$M$205,설정!$E$7)+COUNTIFS('ONEIROI'!$B$6:$B$205,$B8,'ONEIROI'!$M$6:$M$205,설정!$E$7))</f>
        <v/>
      </c>
      <c r="M8" s="58">
        <f>IF(OR($B8="",설정!$E$8=""),"",COUNTIFS('AEOLUS'!$B$6:$B$205,$B8,'AEOLUS'!$M$6:$M$205,설정!$E$8)+COUNTIFS('MELICERTES'!$B$6:$B$205,$B8,'MELICERTES'!$M$6:$M$205,설정!$E$8)+COUNTIFS('NELEUS'!$B$6:$B$205,$B8,'NELEUS'!$M$6:$M$205,설정!$E$8)+COUNTIFS('ONEIROI'!$B$6:$B$205,$B8,'ONEIROI'!$M$6:$M$205,설정!$E$8))</f>
        <v/>
      </c>
      <c r="N8" s="58">
        <f>IF(OR($B8="",설정!$E$9=""),"",COUNTIFS('AEOLUS'!$B$6:$B$205,$B8,'AEOLUS'!$M$6:$M$205,설정!$E$9)+COUNTIFS('MELICERTES'!$B$6:$B$205,$B8,'MELICERTES'!$M$6:$M$205,설정!$E$9)+COUNTIFS('NELEUS'!$B$6:$B$205,$B8,'NELEUS'!$M$6:$M$205,설정!$E$9)+COUNTIFS('ONEIROI'!$B$6:$B$205,$B8,'ONEIROI'!$M$6:$M$205,설정!$E$9))</f>
        <v/>
      </c>
      <c r="O8" s="58">
        <f>IF(OR($B8="",설정!$E$10=""),"",COUNTIFS('AEOLUS'!$B$6:$B$205,$B8,'AEOLUS'!$M$6:$M$205,설정!$E$10)+COUNTIFS('MELICERTES'!$B$6:$B$205,$B8,'MELICERTES'!$M$6:$M$205,설정!$E$10)+COUNTIFS('NELEUS'!$B$6:$B$205,$B8,'NELEUS'!$M$6:$M$205,설정!$E$10)+COUNTIFS('ONEIROI'!$B$6:$B$205,$B8,'ONEIROI'!$M$6:$M$205,설정!$E$10))</f>
        <v/>
      </c>
      <c r="P8" s="58">
        <f>IF(OR($B8="",설정!$E$11=""),"",COUNTIFS('AEOLUS'!$B$6:$B$205,$B8,'AEOLUS'!$M$6:$M$205,설정!$E$11)+COUNTIFS('MELICERTES'!$B$6:$B$205,$B8,'MELICERTES'!$M$6:$M$205,설정!$E$11)+COUNTIFS('NELEUS'!$B$6:$B$205,$B8,'NELEUS'!$M$6:$M$205,설정!$E$11)+COUNTIFS('ONEIROI'!$B$6:$B$205,$B8,'ONEIROI'!$M$6:$M$205,설정!$E$11))</f>
        <v/>
      </c>
      <c r="Q8" s="58">
        <f>IF(OR($B8="",설정!$E$12=""),"",COUNTIFS('AEOLUS'!$B$6:$B$205,$B8,'AEOLUS'!$M$6:$M$205,설정!$E$12)+COUNTIFS('MELICERTES'!$B$6:$B$205,$B8,'MELICERTES'!$M$6:$M$205,설정!$E$12)+COUNTIFS('NELEUS'!$B$6:$B$205,$B8,'NELEUS'!$M$6:$M$205,설정!$E$12)+COUNTIFS('ONEIROI'!$B$6:$B$205,$B8,'ONEIROI'!$M$6:$M$205,설정!$E$12))</f>
        <v/>
      </c>
      <c r="R8" s="58">
        <f>IF($B8="","",COUNTIFS('AEOLUS'!$B$6:$B$205,$B8,'AEOLUS'!$AI$6:$AI$205,"&gt;0")+COUNTIFS('MELICERTES'!$B$6:$B$205,$B8,'MELICERTES'!$AI$6:$AI$205,"&gt;0")+COUNTIFS('NELEUS'!$B$6:$B$205,$B8,'NELEUS'!$AI$6:$AI$205,"&gt;0")+COUNTIFS('ONEIROI'!$B$6:$B$205,$B8,'ONEIROI'!$AI$6:$AI$205,"&gt;0"))</f>
        <v/>
      </c>
      <c r="S8" s="53">
        <f>IF($B8="","",SUMIFS('AEOLUS'!$S$6:$S$205,'AEOLUS'!$B$6:$B$205,$B8,'AEOLUS'!$AK$6:$AK$205,1)+SUMIFS('MELICERTES'!$S$6:$S$205,'MELICERTES'!$B$6:$B$205,$B8,'MELICERTES'!$AK$6:$AK$205,1)+SUMIFS('NELEUS'!$S$6:$S$205,'NELEUS'!$B$6:$B$205,$B8,'NELEUS'!$AK$6:$AK$205,1)+SUMIFS('ONEIROI'!$S$6:$S$205,'ONEIROI'!$B$6:$B$205,$B8,'ONEIROI'!$AK$6:$AK$205,1))</f>
        <v/>
      </c>
      <c r="T8" s="36" t="inlineStr">
        <is>
          <t>RFQ 원본 미보유 – AFS 견적서 기준</t>
        </is>
      </c>
    </row>
    <row r="9">
      <c r="A9" s="34" t="inlineStr">
        <is>
          <t>06</t>
        </is>
      </c>
      <c r="B9" s="34" t="inlineStr">
        <is>
          <t>IOB RFQ-06</t>
        </is>
      </c>
      <c r="C9" s="36" t="inlineStr">
        <is>
          <t>pH sensor / buffer solution (EGR)</t>
        </is>
      </c>
      <c r="D9" s="34" t="inlineStr">
        <is>
          <t>Main Engine</t>
        </is>
      </c>
      <c r="E9" s="56" t="n"/>
      <c r="F9" s="36" t="inlineStr">
        <is>
          <t>AEOLUS</t>
        </is>
      </c>
      <c r="G9" s="34" t="n">
        <v>4</v>
      </c>
      <c r="H9" s="58">
        <f>IF($B9="","",COUNTIFS('AEOLUS'!$B$6:$B$205,$B9,'AEOLUS'!$AJ$6:$AJ$205,1)+COUNTIFS('MELICERTES'!$B$6:$B$205,$B9,'MELICERTES'!$AJ$6:$AJ$205,1)+COUNTIFS('NELEUS'!$B$6:$B$205,$B9,'NELEUS'!$AJ$6:$AJ$205,1)+COUNTIFS('ONEIROI'!$B$6:$B$205,$B9,'ONEIROI'!$AJ$6:$AJ$205,1))</f>
        <v/>
      </c>
      <c r="I9" s="58">
        <f>IF(OR($B9="",G9=""),"",G9-H9)</f>
        <v/>
      </c>
      <c r="J9" s="58">
        <f>IF(OR($B9="",설정!$E$5=""),"",COUNTIFS('AEOLUS'!$B$6:$B$205,$B9,'AEOLUS'!$M$6:$M$205,설정!$E$5)+COUNTIFS('MELICERTES'!$B$6:$B$205,$B9,'MELICERTES'!$M$6:$M$205,설정!$E$5)+COUNTIFS('NELEUS'!$B$6:$B$205,$B9,'NELEUS'!$M$6:$M$205,설정!$E$5)+COUNTIFS('ONEIROI'!$B$6:$B$205,$B9,'ONEIROI'!$M$6:$M$205,설정!$E$5))</f>
        <v/>
      </c>
      <c r="K9" s="58">
        <f>IF(OR($B9="",설정!$E$6=""),"",COUNTIFS('AEOLUS'!$B$6:$B$205,$B9,'AEOLUS'!$M$6:$M$205,설정!$E$6)+COUNTIFS('MELICERTES'!$B$6:$B$205,$B9,'MELICERTES'!$M$6:$M$205,설정!$E$6)+COUNTIFS('NELEUS'!$B$6:$B$205,$B9,'NELEUS'!$M$6:$M$205,설정!$E$6)+COUNTIFS('ONEIROI'!$B$6:$B$205,$B9,'ONEIROI'!$M$6:$M$205,설정!$E$6))</f>
        <v/>
      </c>
      <c r="L9" s="58">
        <f>IF(OR($B9="",설정!$E$7=""),"",COUNTIFS('AEOLUS'!$B$6:$B$205,$B9,'AEOLUS'!$M$6:$M$205,설정!$E$7)+COUNTIFS('MELICERTES'!$B$6:$B$205,$B9,'MELICERTES'!$M$6:$M$205,설정!$E$7)+COUNTIFS('NELEUS'!$B$6:$B$205,$B9,'NELEUS'!$M$6:$M$205,설정!$E$7)+COUNTIFS('ONEIROI'!$B$6:$B$205,$B9,'ONEIROI'!$M$6:$M$205,설정!$E$7))</f>
        <v/>
      </c>
      <c r="M9" s="58">
        <f>IF(OR($B9="",설정!$E$8=""),"",COUNTIFS('AEOLUS'!$B$6:$B$205,$B9,'AEOLUS'!$M$6:$M$205,설정!$E$8)+COUNTIFS('MELICERTES'!$B$6:$B$205,$B9,'MELICERTES'!$M$6:$M$205,설정!$E$8)+COUNTIFS('NELEUS'!$B$6:$B$205,$B9,'NELEUS'!$M$6:$M$205,설정!$E$8)+COUNTIFS('ONEIROI'!$B$6:$B$205,$B9,'ONEIROI'!$M$6:$M$205,설정!$E$8))</f>
        <v/>
      </c>
      <c r="N9" s="58">
        <f>IF(OR($B9="",설정!$E$9=""),"",COUNTIFS('AEOLUS'!$B$6:$B$205,$B9,'AEOLUS'!$M$6:$M$205,설정!$E$9)+COUNTIFS('MELICERTES'!$B$6:$B$205,$B9,'MELICERTES'!$M$6:$M$205,설정!$E$9)+COUNTIFS('NELEUS'!$B$6:$B$205,$B9,'NELEUS'!$M$6:$M$205,설정!$E$9)+COUNTIFS('ONEIROI'!$B$6:$B$205,$B9,'ONEIROI'!$M$6:$M$205,설정!$E$9))</f>
        <v/>
      </c>
      <c r="O9" s="58">
        <f>IF(OR($B9="",설정!$E$10=""),"",COUNTIFS('AEOLUS'!$B$6:$B$205,$B9,'AEOLUS'!$M$6:$M$205,설정!$E$10)+COUNTIFS('MELICERTES'!$B$6:$B$205,$B9,'MELICERTES'!$M$6:$M$205,설정!$E$10)+COUNTIFS('NELEUS'!$B$6:$B$205,$B9,'NELEUS'!$M$6:$M$205,설정!$E$10)+COUNTIFS('ONEIROI'!$B$6:$B$205,$B9,'ONEIROI'!$M$6:$M$205,설정!$E$10))</f>
        <v/>
      </c>
      <c r="P9" s="58">
        <f>IF(OR($B9="",설정!$E$11=""),"",COUNTIFS('AEOLUS'!$B$6:$B$205,$B9,'AEOLUS'!$M$6:$M$205,설정!$E$11)+COUNTIFS('MELICERTES'!$B$6:$B$205,$B9,'MELICERTES'!$M$6:$M$205,설정!$E$11)+COUNTIFS('NELEUS'!$B$6:$B$205,$B9,'NELEUS'!$M$6:$M$205,설정!$E$11)+COUNTIFS('ONEIROI'!$B$6:$B$205,$B9,'ONEIROI'!$M$6:$M$205,설정!$E$11))</f>
        <v/>
      </c>
      <c r="Q9" s="58">
        <f>IF(OR($B9="",설정!$E$12=""),"",COUNTIFS('AEOLUS'!$B$6:$B$205,$B9,'AEOLUS'!$M$6:$M$205,설정!$E$12)+COUNTIFS('MELICERTES'!$B$6:$B$205,$B9,'MELICERTES'!$M$6:$M$205,설정!$E$12)+COUNTIFS('NELEUS'!$B$6:$B$205,$B9,'NELEUS'!$M$6:$M$205,설정!$E$12)+COUNTIFS('ONEIROI'!$B$6:$B$205,$B9,'ONEIROI'!$M$6:$M$205,설정!$E$12))</f>
        <v/>
      </c>
      <c r="R9" s="58">
        <f>IF($B9="","",COUNTIFS('AEOLUS'!$B$6:$B$205,$B9,'AEOLUS'!$AI$6:$AI$205,"&gt;0")+COUNTIFS('MELICERTES'!$B$6:$B$205,$B9,'MELICERTES'!$AI$6:$AI$205,"&gt;0")+COUNTIFS('NELEUS'!$B$6:$B$205,$B9,'NELEUS'!$AI$6:$AI$205,"&gt;0")+COUNTIFS('ONEIROI'!$B$6:$B$205,$B9,'ONEIROI'!$AI$6:$AI$205,"&gt;0"))</f>
        <v/>
      </c>
      <c r="S9" s="53">
        <f>IF($B9="","",SUMIFS('AEOLUS'!$S$6:$S$205,'AEOLUS'!$B$6:$B$205,$B9,'AEOLUS'!$AK$6:$AK$205,1)+SUMIFS('MELICERTES'!$S$6:$S$205,'MELICERTES'!$B$6:$B$205,$B9,'MELICERTES'!$AK$6:$AK$205,1)+SUMIFS('NELEUS'!$S$6:$S$205,'NELEUS'!$B$6:$B$205,$B9,'NELEUS'!$AK$6:$AK$205,1)+SUMIFS('ONEIROI'!$S$6:$S$205,'ONEIROI'!$B$6:$B$205,$B9,'ONEIROI'!$AK$6:$AK$205,1))</f>
        <v/>
      </c>
      <c r="T9" s="36" t="inlineStr">
        <is>
          <t>RFQ 원본 미보유 – AFS 견적서 기준</t>
        </is>
      </c>
    </row>
    <row r="10">
      <c r="A10" s="34" t="inlineStr">
        <is>
          <t>07</t>
        </is>
      </c>
      <c r="B10" s="34" t="inlineStr">
        <is>
          <t>KQU-000116308</t>
        </is>
      </c>
      <c r="C10" s="36" t="inlineStr">
        <is>
          <t>VEGA (VEGABAR 83)</t>
        </is>
      </c>
      <c r="D10" s="34" t="inlineStr">
        <is>
          <t>Main Engine</t>
        </is>
      </c>
      <c r="E10" s="56" t="n">
        <v>46314</v>
      </c>
      <c r="F10" s="36" t="inlineStr">
        <is>
          <t>MELICERTES</t>
        </is>
      </c>
      <c r="G10" s="34" t="n">
        <v>2</v>
      </c>
      <c r="H10" s="58">
        <f>IF($B10="","",COUNTIFS('AEOLUS'!$B$6:$B$205,$B10,'AEOLUS'!$AJ$6:$AJ$205,1)+COUNTIFS('MELICERTES'!$B$6:$B$205,$B10,'MELICERTES'!$AJ$6:$AJ$205,1)+COUNTIFS('NELEUS'!$B$6:$B$205,$B10,'NELEUS'!$AJ$6:$AJ$205,1)+COUNTIFS('ONEIROI'!$B$6:$B$205,$B10,'ONEIROI'!$AJ$6:$AJ$205,1))</f>
        <v/>
      </c>
      <c r="I10" s="58">
        <f>IF(OR($B10="",G10=""),"",G10-H10)</f>
        <v/>
      </c>
      <c r="J10" s="58">
        <f>IF(OR($B10="",설정!$E$5=""),"",COUNTIFS('AEOLUS'!$B$6:$B$205,$B10,'AEOLUS'!$M$6:$M$205,설정!$E$5)+COUNTIFS('MELICERTES'!$B$6:$B$205,$B10,'MELICERTES'!$M$6:$M$205,설정!$E$5)+COUNTIFS('NELEUS'!$B$6:$B$205,$B10,'NELEUS'!$M$6:$M$205,설정!$E$5)+COUNTIFS('ONEIROI'!$B$6:$B$205,$B10,'ONEIROI'!$M$6:$M$205,설정!$E$5))</f>
        <v/>
      </c>
      <c r="K10" s="58">
        <f>IF(OR($B10="",설정!$E$6=""),"",COUNTIFS('AEOLUS'!$B$6:$B$205,$B10,'AEOLUS'!$M$6:$M$205,설정!$E$6)+COUNTIFS('MELICERTES'!$B$6:$B$205,$B10,'MELICERTES'!$M$6:$M$205,설정!$E$6)+COUNTIFS('NELEUS'!$B$6:$B$205,$B10,'NELEUS'!$M$6:$M$205,설정!$E$6)+COUNTIFS('ONEIROI'!$B$6:$B$205,$B10,'ONEIROI'!$M$6:$M$205,설정!$E$6))</f>
        <v/>
      </c>
      <c r="L10" s="58">
        <f>IF(OR($B10="",설정!$E$7=""),"",COUNTIFS('AEOLUS'!$B$6:$B$205,$B10,'AEOLUS'!$M$6:$M$205,설정!$E$7)+COUNTIFS('MELICERTES'!$B$6:$B$205,$B10,'MELICERTES'!$M$6:$M$205,설정!$E$7)+COUNTIFS('NELEUS'!$B$6:$B$205,$B10,'NELEUS'!$M$6:$M$205,설정!$E$7)+COUNTIFS('ONEIROI'!$B$6:$B$205,$B10,'ONEIROI'!$M$6:$M$205,설정!$E$7))</f>
        <v/>
      </c>
      <c r="M10" s="58">
        <f>IF(OR($B10="",설정!$E$8=""),"",COUNTIFS('AEOLUS'!$B$6:$B$205,$B10,'AEOLUS'!$M$6:$M$205,설정!$E$8)+COUNTIFS('MELICERTES'!$B$6:$B$205,$B10,'MELICERTES'!$M$6:$M$205,설정!$E$8)+COUNTIFS('NELEUS'!$B$6:$B$205,$B10,'NELEUS'!$M$6:$M$205,설정!$E$8)+COUNTIFS('ONEIROI'!$B$6:$B$205,$B10,'ONEIROI'!$M$6:$M$205,설정!$E$8))</f>
        <v/>
      </c>
      <c r="N10" s="58">
        <f>IF(OR($B10="",설정!$E$9=""),"",COUNTIFS('AEOLUS'!$B$6:$B$205,$B10,'AEOLUS'!$M$6:$M$205,설정!$E$9)+COUNTIFS('MELICERTES'!$B$6:$B$205,$B10,'MELICERTES'!$M$6:$M$205,설정!$E$9)+COUNTIFS('NELEUS'!$B$6:$B$205,$B10,'NELEUS'!$M$6:$M$205,설정!$E$9)+COUNTIFS('ONEIROI'!$B$6:$B$205,$B10,'ONEIROI'!$M$6:$M$205,설정!$E$9))</f>
        <v/>
      </c>
      <c r="O10" s="58">
        <f>IF(OR($B10="",설정!$E$10=""),"",COUNTIFS('AEOLUS'!$B$6:$B$205,$B10,'AEOLUS'!$M$6:$M$205,설정!$E$10)+COUNTIFS('MELICERTES'!$B$6:$B$205,$B10,'MELICERTES'!$M$6:$M$205,설정!$E$10)+COUNTIFS('NELEUS'!$B$6:$B$205,$B10,'NELEUS'!$M$6:$M$205,설정!$E$10)+COUNTIFS('ONEIROI'!$B$6:$B$205,$B10,'ONEIROI'!$M$6:$M$205,설정!$E$10))</f>
        <v/>
      </c>
      <c r="P10" s="58">
        <f>IF(OR($B10="",설정!$E$11=""),"",COUNTIFS('AEOLUS'!$B$6:$B$205,$B10,'AEOLUS'!$M$6:$M$205,설정!$E$11)+COUNTIFS('MELICERTES'!$B$6:$B$205,$B10,'MELICERTES'!$M$6:$M$205,설정!$E$11)+COUNTIFS('NELEUS'!$B$6:$B$205,$B10,'NELEUS'!$M$6:$M$205,설정!$E$11)+COUNTIFS('ONEIROI'!$B$6:$B$205,$B10,'ONEIROI'!$M$6:$M$205,설정!$E$11))</f>
        <v/>
      </c>
      <c r="Q10" s="58">
        <f>IF(OR($B10="",설정!$E$12=""),"",COUNTIFS('AEOLUS'!$B$6:$B$205,$B10,'AEOLUS'!$M$6:$M$205,설정!$E$12)+COUNTIFS('MELICERTES'!$B$6:$B$205,$B10,'MELICERTES'!$M$6:$M$205,설정!$E$12)+COUNTIFS('NELEUS'!$B$6:$B$205,$B10,'NELEUS'!$M$6:$M$205,설정!$E$12)+COUNTIFS('ONEIROI'!$B$6:$B$205,$B10,'ONEIROI'!$M$6:$M$205,설정!$E$12))</f>
        <v/>
      </c>
      <c r="R10" s="58">
        <f>IF($B10="","",COUNTIFS('AEOLUS'!$B$6:$B$205,$B10,'AEOLUS'!$AI$6:$AI$205,"&gt;0")+COUNTIFS('MELICERTES'!$B$6:$B$205,$B10,'MELICERTES'!$AI$6:$AI$205,"&gt;0")+COUNTIFS('NELEUS'!$B$6:$B$205,$B10,'NELEUS'!$AI$6:$AI$205,"&gt;0")+COUNTIFS('ONEIROI'!$B$6:$B$205,$B10,'ONEIROI'!$AI$6:$AI$205,"&gt;0"))</f>
        <v/>
      </c>
      <c r="S10" s="53">
        <f>IF($B10="","",SUMIFS('AEOLUS'!$S$6:$S$205,'AEOLUS'!$B$6:$B$205,$B10,'AEOLUS'!$AK$6:$AK$205,1)+SUMIFS('MELICERTES'!$S$6:$S$205,'MELICERTES'!$B$6:$B$205,$B10,'MELICERTES'!$AK$6:$AK$205,1)+SUMIFS('NELEUS'!$S$6:$S$205,'NELEUS'!$B$6:$B$205,$B10,'NELEUS'!$AK$6:$AK$205,1)+SUMIFS('ONEIROI'!$S$6:$S$205,'ONEIROI'!$B$6:$B$205,$B10,'ONEIROI'!$AK$6:$AK$205,1))</f>
        <v/>
      </c>
      <c r="T10" s="36" t="n"/>
    </row>
    <row r="11">
      <c r="A11" s="34" t="inlineStr">
        <is>
          <t>08</t>
        </is>
      </c>
      <c r="B11" s="34" t="inlineStr">
        <is>
          <t>KQU-000116309</t>
        </is>
      </c>
      <c r="C11" s="36" t="inlineStr">
        <is>
          <t>SIEMENS (SIPART PS2 I/P converter)</t>
        </is>
      </c>
      <c r="D11" s="34" t="inlineStr">
        <is>
          <t>Main Engine</t>
        </is>
      </c>
      <c r="E11" s="56" t="n">
        <v>46314</v>
      </c>
      <c r="F11" s="36" t="inlineStr">
        <is>
          <t>MELICERTES</t>
        </is>
      </c>
      <c r="G11" s="34" t="n">
        <v>1</v>
      </c>
      <c r="H11" s="58">
        <f>IF($B11="","",COUNTIFS('AEOLUS'!$B$6:$B$205,$B11,'AEOLUS'!$AJ$6:$AJ$205,1)+COUNTIFS('MELICERTES'!$B$6:$B$205,$B11,'MELICERTES'!$AJ$6:$AJ$205,1)+COUNTIFS('NELEUS'!$B$6:$B$205,$B11,'NELEUS'!$AJ$6:$AJ$205,1)+COUNTIFS('ONEIROI'!$B$6:$B$205,$B11,'ONEIROI'!$AJ$6:$AJ$205,1))</f>
        <v/>
      </c>
      <c r="I11" s="58">
        <f>IF(OR($B11="",G11=""),"",G11-H11)</f>
        <v/>
      </c>
      <c r="J11" s="58">
        <f>IF(OR($B11="",설정!$E$5=""),"",COUNTIFS('AEOLUS'!$B$6:$B$205,$B11,'AEOLUS'!$M$6:$M$205,설정!$E$5)+COUNTIFS('MELICERTES'!$B$6:$B$205,$B11,'MELICERTES'!$M$6:$M$205,설정!$E$5)+COUNTIFS('NELEUS'!$B$6:$B$205,$B11,'NELEUS'!$M$6:$M$205,설정!$E$5)+COUNTIFS('ONEIROI'!$B$6:$B$205,$B11,'ONEIROI'!$M$6:$M$205,설정!$E$5))</f>
        <v/>
      </c>
      <c r="K11" s="58">
        <f>IF(OR($B11="",설정!$E$6=""),"",COUNTIFS('AEOLUS'!$B$6:$B$205,$B11,'AEOLUS'!$M$6:$M$205,설정!$E$6)+COUNTIFS('MELICERTES'!$B$6:$B$205,$B11,'MELICERTES'!$M$6:$M$205,설정!$E$6)+COUNTIFS('NELEUS'!$B$6:$B$205,$B11,'NELEUS'!$M$6:$M$205,설정!$E$6)+COUNTIFS('ONEIROI'!$B$6:$B$205,$B11,'ONEIROI'!$M$6:$M$205,설정!$E$6))</f>
        <v/>
      </c>
      <c r="L11" s="58">
        <f>IF(OR($B11="",설정!$E$7=""),"",COUNTIFS('AEOLUS'!$B$6:$B$205,$B11,'AEOLUS'!$M$6:$M$205,설정!$E$7)+COUNTIFS('MELICERTES'!$B$6:$B$205,$B11,'MELICERTES'!$M$6:$M$205,설정!$E$7)+COUNTIFS('NELEUS'!$B$6:$B$205,$B11,'NELEUS'!$M$6:$M$205,설정!$E$7)+COUNTIFS('ONEIROI'!$B$6:$B$205,$B11,'ONEIROI'!$M$6:$M$205,설정!$E$7))</f>
        <v/>
      </c>
      <c r="M11" s="58">
        <f>IF(OR($B11="",설정!$E$8=""),"",COUNTIFS('AEOLUS'!$B$6:$B$205,$B11,'AEOLUS'!$M$6:$M$205,설정!$E$8)+COUNTIFS('MELICERTES'!$B$6:$B$205,$B11,'MELICERTES'!$M$6:$M$205,설정!$E$8)+COUNTIFS('NELEUS'!$B$6:$B$205,$B11,'NELEUS'!$M$6:$M$205,설정!$E$8)+COUNTIFS('ONEIROI'!$B$6:$B$205,$B11,'ONEIROI'!$M$6:$M$205,설정!$E$8))</f>
        <v/>
      </c>
      <c r="N11" s="58">
        <f>IF(OR($B11="",설정!$E$9=""),"",COUNTIFS('AEOLUS'!$B$6:$B$205,$B11,'AEOLUS'!$M$6:$M$205,설정!$E$9)+COUNTIFS('MELICERTES'!$B$6:$B$205,$B11,'MELICERTES'!$M$6:$M$205,설정!$E$9)+COUNTIFS('NELEUS'!$B$6:$B$205,$B11,'NELEUS'!$M$6:$M$205,설정!$E$9)+COUNTIFS('ONEIROI'!$B$6:$B$205,$B11,'ONEIROI'!$M$6:$M$205,설정!$E$9))</f>
        <v/>
      </c>
      <c r="O11" s="58">
        <f>IF(OR($B11="",설정!$E$10=""),"",COUNTIFS('AEOLUS'!$B$6:$B$205,$B11,'AEOLUS'!$M$6:$M$205,설정!$E$10)+COUNTIFS('MELICERTES'!$B$6:$B$205,$B11,'MELICERTES'!$M$6:$M$205,설정!$E$10)+COUNTIFS('NELEUS'!$B$6:$B$205,$B11,'NELEUS'!$M$6:$M$205,설정!$E$10)+COUNTIFS('ONEIROI'!$B$6:$B$205,$B11,'ONEIROI'!$M$6:$M$205,설정!$E$10))</f>
        <v/>
      </c>
      <c r="P11" s="58">
        <f>IF(OR($B11="",설정!$E$11=""),"",COUNTIFS('AEOLUS'!$B$6:$B$205,$B11,'AEOLUS'!$M$6:$M$205,설정!$E$11)+COUNTIFS('MELICERTES'!$B$6:$B$205,$B11,'MELICERTES'!$M$6:$M$205,설정!$E$11)+COUNTIFS('NELEUS'!$B$6:$B$205,$B11,'NELEUS'!$M$6:$M$205,설정!$E$11)+COUNTIFS('ONEIROI'!$B$6:$B$205,$B11,'ONEIROI'!$M$6:$M$205,설정!$E$11))</f>
        <v/>
      </c>
      <c r="Q11" s="58">
        <f>IF(OR($B11="",설정!$E$12=""),"",COUNTIFS('AEOLUS'!$B$6:$B$205,$B11,'AEOLUS'!$M$6:$M$205,설정!$E$12)+COUNTIFS('MELICERTES'!$B$6:$B$205,$B11,'MELICERTES'!$M$6:$M$205,설정!$E$12)+COUNTIFS('NELEUS'!$B$6:$B$205,$B11,'NELEUS'!$M$6:$M$205,설정!$E$12)+COUNTIFS('ONEIROI'!$B$6:$B$205,$B11,'ONEIROI'!$M$6:$M$205,설정!$E$12))</f>
        <v/>
      </c>
      <c r="R11" s="58">
        <f>IF($B11="","",COUNTIFS('AEOLUS'!$B$6:$B$205,$B11,'AEOLUS'!$AI$6:$AI$205,"&gt;0")+COUNTIFS('MELICERTES'!$B$6:$B$205,$B11,'MELICERTES'!$AI$6:$AI$205,"&gt;0")+COUNTIFS('NELEUS'!$B$6:$B$205,$B11,'NELEUS'!$AI$6:$AI$205,"&gt;0")+COUNTIFS('ONEIROI'!$B$6:$B$205,$B11,'ONEIROI'!$AI$6:$AI$205,"&gt;0"))</f>
        <v/>
      </c>
      <c r="S11" s="53">
        <f>IF($B11="","",SUMIFS('AEOLUS'!$S$6:$S$205,'AEOLUS'!$B$6:$B$205,$B11,'AEOLUS'!$AK$6:$AK$205,1)+SUMIFS('MELICERTES'!$S$6:$S$205,'MELICERTES'!$B$6:$B$205,$B11,'MELICERTES'!$AK$6:$AK$205,1)+SUMIFS('NELEUS'!$S$6:$S$205,'NELEUS'!$B$6:$B$205,$B11,'NELEUS'!$AK$6:$AK$205,1)+SUMIFS('ONEIROI'!$S$6:$S$205,'ONEIROI'!$B$6:$B$205,$B11,'ONEIROI'!$AK$6:$AK$205,1))</f>
        <v/>
      </c>
      <c r="T11" s="36" t="n"/>
    </row>
    <row r="12">
      <c r="A12" s="34" t="inlineStr">
        <is>
          <t>10</t>
        </is>
      </c>
      <c r="B12" s="34" t="inlineStr">
        <is>
          <t>KQU-000116300</t>
        </is>
      </c>
      <c r="C12" s="36" t="inlineStr">
        <is>
          <t>HSME (PMI sensor)</t>
        </is>
      </c>
      <c r="D12" s="34" t="inlineStr">
        <is>
          <t>Main Engine</t>
        </is>
      </c>
      <c r="E12" s="56" t="n">
        <v>46314</v>
      </c>
      <c r="F12" s="36" t="inlineStr">
        <is>
          <t>ONEIROI</t>
        </is>
      </c>
      <c r="G12" s="34" t="n">
        <v>1</v>
      </c>
      <c r="H12" s="58">
        <f>IF($B12="","",COUNTIFS('AEOLUS'!$B$6:$B$205,$B12,'AEOLUS'!$AJ$6:$AJ$205,1)+COUNTIFS('MELICERTES'!$B$6:$B$205,$B12,'MELICERTES'!$AJ$6:$AJ$205,1)+COUNTIFS('NELEUS'!$B$6:$B$205,$B12,'NELEUS'!$AJ$6:$AJ$205,1)+COUNTIFS('ONEIROI'!$B$6:$B$205,$B12,'ONEIROI'!$AJ$6:$AJ$205,1))</f>
        <v/>
      </c>
      <c r="I12" s="58">
        <f>IF(OR($B12="",G12=""),"",G12-H12)</f>
        <v/>
      </c>
      <c r="J12" s="58">
        <f>IF(OR($B12="",설정!$E$5=""),"",COUNTIFS('AEOLUS'!$B$6:$B$205,$B12,'AEOLUS'!$M$6:$M$205,설정!$E$5)+COUNTIFS('MELICERTES'!$B$6:$B$205,$B12,'MELICERTES'!$M$6:$M$205,설정!$E$5)+COUNTIFS('NELEUS'!$B$6:$B$205,$B12,'NELEUS'!$M$6:$M$205,설정!$E$5)+COUNTIFS('ONEIROI'!$B$6:$B$205,$B12,'ONEIROI'!$M$6:$M$205,설정!$E$5))</f>
        <v/>
      </c>
      <c r="K12" s="58">
        <f>IF(OR($B12="",설정!$E$6=""),"",COUNTIFS('AEOLUS'!$B$6:$B$205,$B12,'AEOLUS'!$M$6:$M$205,설정!$E$6)+COUNTIFS('MELICERTES'!$B$6:$B$205,$B12,'MELICERTES'!$M$6:$M$205,설정!$E$6)+COUNTIFS('NELEUS'!$B$6:$B$205,$B12,'NELEUS'!$M$6:$M$205,설정!$E$6)+COUNTIFS('ONEIROI'!$B$6:$B$205,$B12,'ONEIROI'!$M$6:$M$205,설정!$E$6))</f>
        <v/>
      </c>
      <c r="L12" s="58">
        <f>IF(OR($B12="",설정!$E$7=""),"",COUNTIFS('AEOLUS'!$B$6:$B$205,$B12,'AEOLUS'!$M$6:$M$205,설정!$E$7)+COUNTIFS('MELICERTES'!$B$6:$B$205,$B12,'MELICERTES'!$M$6:$M$205,설정!$E$7)+COUNTIFS('NELEUS'!$B$6:$B$205,$B12,'NELEUS'!$M$6:$M$205,설정!$E$7)+COUNTIFS('ONEIROI'!$B$6:$B$205,$B12,'ONEIROI'!$M$6:$M$205,설정!$E$7))</f>
        <v/>
      </c>
      <c r="M12" s="58">
        <f>IF(OR($B12="",설정!$E$8=""),"",COUNTIFS('AEOLUS'!$B$6:$B$205,$B12,'AEOLUS'!$M$6:$M$205,설정!$E$8)+COUNTIFS('MELICERTES'!$B$6:$B$205,$B12,'MELICERTES'!$M$6:$M$205,설정!$E$8)+COUNTIFS('NELEUS'!$B$6:$B$205,$B12,'NELEUS'!$M$6:$M$205,설정!$E$8)+COUNTIFS('ONEIROI'!$B$6:$B$205,$B12,'ONEIROI'!$M$6:$M$205,설정!$E$8))</f>
        <v/>
      </c>
      <c r="N12" s="58">
        <f>IF(OR($B12="",설정!$E$9=""),"",COUNTIFS('AEOLUS'!$B$6:$B$205,$B12,'AEOLUS'!$M$6:$M$205,설정!$E$9)+COUNTIFS('MELICERTES'!$B$6:$B$205,$B12,'MELICERTES'!$M$6:$M$205,설정!$E$9)+COUNTIFS('NELEUS'!$B$6:$B$205,$B12,'NELEUS'!$M$6:$M$205,설정!$E$9)+COUNTIFS('ONEIROI'!$B$6:$B$205,$B12,'ONEIROI'!$M$6:$M$205,설정!$E$9))</f>
        <v/>
      </c>
      <c r="O12" s="58">
        <f>IF(OR($B12="",설정!$E$10=""),"",COUNTIFS('AEOLUS'!$B$6:$B$205,$B12,'AEOLUS'!$M$6:$M$205,설정!$E$10)+COUNTIFS('MELICERTES'!$B$6:$B$205,$B12,'MELICERTES'!$M$6:$M$205,설정!$E$10)+COUNTIFS('NELEUS'!$B$6:$B$205,$B12,'NELEUS'!$M$6:$M$205,설정!$E$10)+COUNTIFS('ONEIROI'!$B$6:$B$205,$B12,'ONEIROI'!$M$6:$M$205,설정!$E$10))</f>
        <v/>
      </c>
      <c r="P12" s="58">
        <f>IF(OR($B12="",설정!$E$11=""),"",COUNTIFS('AEOLUS'!$B$6:$B$205,$B12,'AEOLUS'!$M$6:$M$205,설정!$E$11)+COUNTIFS('MELICERTES'!$B$6:$B$205,$B12,'MELICERTES'!$M$6:$M$205,설정!$E$11)+COUNTIFS('NELEUS'!$B$6:$B$205,$B12,'NELEUS'!$M$6:$M$205,설정!$E$11)+COUNTIFS('ONEIROI'!$B$6:$B$205,$B12,'ONEIROI'!$M$6:$M$205,설정!$E$11))</f>
        <v/>
      </c>
      <c r="Q12" s="58">
        <f>IF(OR($B12="",설정!$E$12=""),"",COUNTIFS('AEOLUS'!$B$6:$B$205,$B12,'AEOLUS'!$M$6:$M$205,설정!$E$12)+COUNTIFS('MELICERTES'!$B$6:$B$205,$B12,'MELICERTES'!$M$6:$M$205,설정!$E$12)+COUNTIFS('NELEUS'!$B$6:$B$205,$B12,'NELEUS'!$M$6:$M$205,설정!$E$12)+COUNTIFS('ONEIROI'!$B$6:$B$205,$B12,'ONEIROI'!$M$6:$M$205,설정!$E$12))</f>
        <v/>
      </c>
      <c r="R12" s="58">
        <f>IF($B12="","",COUNTIFS('AEOLUS'!$B$6:$B$205,$B12,'AEOLUS'!$AI$6:$AI$205,"&gt;0")+COUNTIFS('MELICERTES'!$B$6:$B$205,$B12,'MELICERTES'!$AI$6:$AI$205,"&gt;0")+COUNTIFS('NELEUS'!$B$6:$B$205,$B12,'NELEUS'!$AI$6:$AI$205,"&gt;0")+COUNTIFS('ONEIROI'!$B$6:$B$205,$B12,'ONEIROI'!$AI$6:$AI$205,"&gt;0"))</f>
        <v/>
      </c>
      <c r="S12" s="53">
        <f>IF($B12="","",SUMIFS('AEOLUS'!$S$6:$S$205,'AEOLUS'!$B$6:$B$205,$B12,'AEOLUS'!$AK$6:$AK$205,1)+SUMIFS('MELICERTES'!$S$6:$S$205,'MELICERTES'!$B$6:$B$205,$B12,'MELICERTES'!$AK$6:$AK$205,1)+SUMIFS('NELEUS'!$S$6:$S$205,'NELEUS'!$B$6:$B$205,$B12,'NELEUS'!$AK$6:$AK$205,1)+SUMIFS('ONEIROI'!$S$6:$S$205,'ONEIROI'!$B$6:$B$205,$B12,'ONEIROI'!$AK$6:$AK$205,1))</f>
        <v/>
      </c>
      <c r="T12" s="36" t="n"/>
    </row>
    <row r="13">
      <c r="A13" s="34" t="inlineStr">
        <is>
          <t>11</t>
        </is>
      </c>
      <c r="B13" s="34" t="inlineStr">
        <is>
          <t>KQU-000116307</t>
        </is>
      </c>
      <c r="C13" s="36" t="inlineStr">
        <is>
          <t>GRUNDFOS (EGR WTS water supply pump)</t>
        </is>
      </c>
      <c r="D13" s="34" t="inlineStr">
        <is>
          <t>Main Engine</t>
        </is>
      </c>
      <c r="E13" s="56" t="n">
        <v>46314</v>
      </c>
      <c r="F13" s="36" t="inlineStr">
        <is>
          <t>ONEIROI</t>
        </is>
      </c>
      <c r="G13" s="34" t="n">
        <v>2</v>
      </c>
      <c r="H13" s="58">
        <f>IF($B13="","",COUNTIFS('AEOLUS'!$B$6:$B$205,$B13,'AEOLUS'!$AJ$6:$AJ$205,1)+COUNTIFS('MELICERTES'!$B$6:$B$205,$B13,'MELICERTES'!$AJ$6:$AJ$205,1)+COUNTIFS('NELEUS'!$B$6:$B$205,$B13,'NELEUS'!$AJ$6:$AJ$205,1)+COUNTIFS('ONEIROI'!$B$6:$B$205,$B13,'ONEIROI'!$AJ$6:$AJ$205,1))</f>
        <v/>
      </c>
      <c r="I13" s="58">
        <f>IF(OR($B13="",G13=""),"",G13-H13)</f>
        <v/>
      </c>
      <c r="J13" s="58">
        <f>IF(OR($B13="",설정!$E$5=""),"",COUNTIFS('AEOLUS'!$B$6:$B$205,$B13,'AEOLUS'!$M$6:$M$205,설정!$E$5)+COUNTIFS('MELICERTES'!$B$6:$B$205,$B13,'MELICERTES'!$M$6:$M$205,설정!$E$5)+COUNTIFS('NELEUS'!$B$6:$B$205,$B13,'NELEUS'!$M$6:$M$205,설정!$E$5)+COUNTIFS('ONEIROI'!$B$6:$B$205,$B13,'ONEIROI'!$M$6:$M$205,설정!$E$5))</f>
        <v/>
      </c>
      <c r="K13" s="58">
        <f>IF(OR($B13="",설정!$E$6=""),"",COUNTIFS('AEOLUS'!$B$6:$B$205,$B13,'AEOLUS'!$M$6:$M$205,설정!$E$6)+COUNTIFS('MELICERTES'!$B$6:$B$205,$B13,'MELICERTES'!$M$6:$M$205,설정!$E$6)+COUNTIFS('NELEUS'!$B$6:$B$205,$B13,'NELEUS'!$M$6:$M$205,설정!$E$6)+COUNTIFS('ONEIROI'!$B$6:$B$205,$B13,'ONEIROI'!$M$6:$M$205,설정!$E$6))</f>
        <v/>
      </c>
      <c r="L13" s="58">
        <f>IF(OR($B13="",설정!$E$7=""),"",COUNTIFS('AEOLUS'!$B$6:$B$205,$B13,'AEOLUS'!$M$6:$M$205,설정!$E$7)+COUNTIFS('MELICERTES'!$B$6:$B$205,$B13,'MELICERTES'!$M$6:$M$205,설정!$E$7)+COUNTIFS('NELEUS'!$B$6:$B$205,$B13,'NELEUS'!$M$6:$M$205,설정!$E$7)+COUNTIFS('ONEIROI'!$B$6:$B$205,$B13,'ONEIROI'!$M$6:$M$205,설정!$E$7))</f>
        <v/>
      </c>
      <c r="M13" s="58">
        <f>IF(OR($B13="",설정!$E$8=""),"",COUNTIFS('AEOLUS'!$B$6:$B$205,$B13,'AEOLUS'!$M$6:$M$205,설정!$E$8)+COUNTIFS('MELICERTES'!$B$6:$B$205,$B13,'MELICERTES'!$M$6:$M$205,설정!$E$8)+COUNTIFS('NELEUS'!$B$6:$B$205,$B13,'NELEUS'!$M$6:$M$205,설정!$E$8)+COUNTIFS('ONEIROI'!$B$6:$B$205,$B13,'ONEIROI'!$M$6:$M$205,설정!$E$8))</f>
        <v/>
      </c>
      <c r="N13" s="58">
        <f>IF(OR($B13="",설정!$E$9=""),"",COUNTIFS('AEOLUS'!$B$6:$B$205,$B13,'AEOLUS'!$M$6:$M$205,설정!$E$9)+COUNTIFS('MELICERTES'!$B$6:$B$205,$B13,'MELICERTES'!$M$6:$M$205,설정!$E$9)+COUNTIFS('NELEUS'!$B$6:$B$205,$B13,'NELEUS'!$M$6:$M$205,설정!$E$9)+COUNTIFS('ONEIROI'!$B$6:$B$205,$B13,'ONEIROI'!$M$6:$M$205,설정!$E$9))</f>
        <v/>
      </c>
      <c r="O13" s="58">
        <f>IF(OR($B13="",설정!$E$10=""),"",COUNTIFS('AEOLUS'!$B$6:$B$205,$B13,'AEOLUS'!$M$6:$M$205,설정!$E$10)+COUNTIFS('MELICERTES'!$B$6:$B$205,$B13,'MELICERTES'!$M$6:$M$205,설정!$E$10)+COUNTIFS('NELEUS'!$B$6:$B$205,$B13,'NELEUS'!$M$6:$M$205,설정!$E$10)+COUNTIFS('ONEIROI'!$B$6:$B$205,$B13,'ONEIROI'!$M$6:$M$205,설정!$E$10))</f>
        <v/>
      </c>
      <c r="P13" s="58">
        <f>IF(OR($B13="",설정!$E$11=""),"",COUNTIFS('AEOLUS'!$B$6:$B$205,$B13,'AEOLUS'!$M$6:$M$205,설정!$E$11)+COUNTIFS('MELICERTES'!$B$6:$B$205,$B13,'MELICERTES'!$M$6:$M$205,설정!$E$11)+COUNTIFS('NELEUS'!$B$6:$B$205,$B13,'NELEUS'!$M$6:$M$205,설정!$E$11)+COUNTIFS('ONEIROI'!$B$6:$B$205,$B13,'ONEIROI'!$M$6:$M$205,설정!$E$11))</f>
        <v/>
      </c>
      <c r="Q13" s="58">
        <f>IF(OR($B13="",설정!$E$12=""),"",COUNTIFS('AEOLUS'!$B$6:$B$205,$B13,'AEOLUS'!$M$6:$M$205,설정!$E$12)+COUNTIFS('MELICERTES'!$B$6:$B$205,$B13,'MELICERTES'!$M$6:$M$205,설정!$E$12)+COUNTIFS('NELEUS'!$B$6:$B$205,$B13,'NELEUS'!$M$6:$M$205,설정!$E$12)+COUNTIFS('ONEIROI'!$B$6:$B$205,$B13,'ONEIROI'!$M$6:$M$205,설정!$E$12))</f>
        <v/>
      </c>
      <c r="R13" s="58">
        <f>IF($B13="","",COUNTIFS('AEOLUS'!$B$6:$B$205,$B13,'AEOLUS'!$AI$6:$AI$205,"&gt;0")+COUNTIFS('MELICERTES'!$B$6:$B$205,$B13,'MELICERTES'!$AI$6:$AI$205,"&gt;0")+COUNTIFS('NELEUS'!$B$6:$B$205,$B13,'NELEUS'!$AI$6:$AI$205,"&gt;0")+COUNTIFS('ONEIROI'!$B$6:$B$205,$B13,'ONEIROI'!$AI$6:$AI$205,"&gt;0"))</f>
        <v/>
      </c>
      <c r="S13" s="53">
        <f>IF($B13="","",SUMIFS('AEOLUS'!$S$6:$S$205,'AEOLUS'!$B$6:$B$205,$B13,'AEOLUS'!$AK$6:$AK$205,1)+SUMIFS('MELICERTES'!$S$6:$S$205,'MELICERTES'!$B$6:$B$205,$B13,'MELICERTES'!$AK$6:$AK$205,1)+SUMIFS('NELEUS'!$S$6:$S$205,'NELEUS'!$B$6:$B$205,$B13,'NELEUS'!$AK$6:$AK$205,1)+SUMIFS('ONEIROI'!$S$6:$S$205,'ONEIROI'!$B$6:$B$205,$B13,'ONEIROI'!$AK$6:$AK$205,1))</f>
        <v/>
      </c>
      <c r="T13" s="36" t="n"/>
    </row>
    <row r="14">
      <c r="A14" s="34" t="inlineStr">
        <is>
          <t>15</t>
        </is>
      </c>
      <c r="B14" s="34" t="inlineStr">
        <is>
          <t>KQU-000116313</t>
        </is>
      </c>
      <c r="C14" s="36" t="inlineStr">
        <is>
          <t>AQUAFILTER (EXCITO-5-B)</t>
        </is>
      </c>
      <c r="D14" s="34" t="inlineStr">
        <is>
          <t>Water Fountain Filter</t>
        </is>
      </c>
      <c r="E14" s="56" t="n">
        <v>46314</v>
      </c>
      <c r="F14" s="36" t="inlineStr">
        <is>
          <t>MELICERTES</t>
        </is>
      </c>
      <c r="G14" s="34" t="n">
        <v>5</v>
      </c>
      <c r="H14" s="58">
        <f>IF($B14="","",COUNTIFS('AEOLUS'!$B$6:$B$205,$B14,'AEOLUS'!$AJ$6:$AJ$205,1)+COUNTIFS('MELICERTES'!$B$6:$B$205,$B14,'MELICERTES'!$AJ$6:$AJ$205,1)+COUNTIFS('NELEUS'!$B$6:$B$205,$B14,'NELEUS'!$AJ$6:$AJ$205,1)+COUNTIFS('ONEIROI'!$B$6:$B$205,$B14,'ONEIROI'!$AJ$6:$AJ$205,1))</f>
        <v/>
      </c>
      <c r="I14" s="58">
        <f>IF(OR($B14="",G14=""),"",G14-H14)</f>
        <v/>
      </c>
      <c r="J14" s="58">
        <f>IF(OR($B14="",설정!$E$5=""),"",COUNTIFS('AEOLUS'!$B$6:$B$205,$B14,'AEOLUS'!$M$6:$M$205,설정!$E$5)+COUNTIFS('MELICERTES'!$B$6:$B$205,$B14,'MELICERTES'!$M$6:$M$205,설정!$E$5)+COUNTIFS('NELEUS'!$B$6:$B$205,$B14,'NELEUS'!$M$6:$M$205,설정!$E$5)+COUNTIFS('ONEIROI'!$B$6:$B$205,$B14,'ONEIROI'!$M$6:$M$205,설정!$E$5))</f>
        <v/>
      </c>
      <c r="K14" s="58">
        <f>IF(OR($B14="",설정!$E$6=""),"",COUNTIFS('AEOLUS'!$B$6:$B$205,$B14,'AEOLUS'!$M$6:$M$205,설정!$E$6)+COUNTIFS('MELICERTES'!$B$6:$B$205,$B14,'MELICERTES'!$M$6:$M$205,설정!$E$6)+COUNTIFS('NELEUS'!$B$6:$B$205,$B14,'NELEUS'!$M$6:$M$205,설정!$E$6)+COUNTIFS('ONEIROI'!$B$6:$B$205,$B14,'ONEIROI'!$M$6:$M$205,설정!$E$6))</f>
        <v/>
      </c>
      <c r="L14" s="58">
        <f>IF(OR($B14="",설정!$E$7=""),"",COUNTIFS('AEOLUS'!$B$6:$B$205,$B14,'AEOLUS'!$M$6:$M$205,설정!$E$7)+COUNTIFS('MELICERTES'!$B$6:$B$205,$B14,'MELICERTES'!$M$6:$M$205,설정!$E$7)+COUNTIFS('NELEUS'!$B$6:$B$205,$B14,'NELEUS'!$M$6:$M$205,설정!$E$7)+COUNTIFS('ONEIROI'!$B$6:$B$205,$B14,'ONEIROI'!$M$6:$M$205,설정!$E$7))</f>
        <v/>
      </c>
      <c r="M14" s="58">
        <f>IF(OR($B14="",설정!$E$8=""),"",COUNTIFS('AEOLUS'!$B$6:$B$205,$B14,'AEOLUS'!$M$6:$M$205,설정!$E$8)+COUNTIFS('MELICERTES'!$B$6:$B$205,$B14,'MELICERTES'!$M$6:$M$205,설정!$E$8)+COUNTIFS('NELEUS'!$B$6:$B$205,$B14,'NELEUS'!$M$6:$M$205,설정!$E$8)+COUNTIFS('ONEIROI'!$B$6:$B$205,$B14,'ONEIROI'!$M$6:$M$205,설정!$E$8))</f>
        <v/>
      </c>
      <c r="N14" s="58">
        <f>IF(OR($B14="",설정!$E$9=""),"",COUNTIFS('AEOLUS'!$B$6:$B$205,$B14,'AEOLUS'!$M$6:$M$205,설정!$E$9)+COUNTIFS('MELICERTES'!$B$6:$B$205,$B14,'MELICERTES'!$M$6:$M$205,설정!$E$9)+COUNTIFS('NELEUS'!$B$6:$B$205,$B14,'NELEUS'!$M$6:$M$205,설정!$E$9)+COUNTIFS('ONEIROI'!$B$6:$B$205,$B14,'ONEIROI'!$M$6:$M$205,설정!$E$9))</f>
        <v/>
      </c>
      <c r="O14" s="58">
        <f>IF(OR($B14="",설정!$E$10=""),"",COUNTIFS('AEOLUS'!$B$6:$B$205,$B14,'AEOLUS'!$M$6:$M$205,설정!$E$10)+COUNTIFS('MELICERTES'!$B$6:$B$205,$B14,'MELICERTES'!$M$6:$M$205,설정!$E$10)+COUNTIFS('NELEUS'!$B$6:$B$205,$B14,'NELEUS'!$M$6:$M$205,설정!$E$10)+COUNTIFS('ONEIROI'!$B$6:$B$205,$B14,'ONEIROI'!$M$6:$M$205,설정!$E$10))</f>
        <v/>
      </c>
      <c r="P14" s="58">
        <f>IF(OR($B14="",설정!$E$11=""),"",COUNTIFS('AEOLUS'!$B$6:$B$205,$B14,'AEOLUS'!$M$6:$M$205,설정!$E$11)+COUNTIFS('MELICERTES'!$B$6:$B$205,$B14,'MELICERTES'!$M$6:$M$205,설정!$E$11)+COUNTIFS('NELEUS'!$B$6:$B$205,$B14,'NELEUS'!$M$6:$M$205,설정!$E$11)+COUNTIFS('ONEIROI'!$B$6:$B$205,$B14,'ONEIROI'!$M$6:$M$205,설정!$E$11))</f>
        <v/>
      </c>
      <c r="Q14" s="58">
        <f>IF(OR($B14="",설정!$E$12=""),"",COUNTIFS('AEOLUS'!$B$6:$B$205,$B14,'AEOLUS'!$M$6:$M$205,설정!$E$12)+COUNTIFS('MELICERTES'!$B$6:$B$205,$B14,'MELICERTES'!$M$6:$M$205,설정!$E$12)+COUNTIFS('NELEUS'!$B$6:$B$205,$B14,'NELEUS'!$M$6:$M$205,설정!$E$12)+COUNTIFS('ONEIROI'!$B$6:$B$205,$B14,'ONEIROI'!$M$6:$M$205,설정!$E$12))</f>
        <v/>
      </c>
      <c r="R14" s="58">
        <f>IF($B14="","",COUNTIFS('AEOLUS'!$B$6:$B$205,$B14,'AEOLUS'!$AI$6:$AI$205,"&gt;0")+COUNTIFS('MELICERTES'!$B$6:$B$205,$B14,'MELICERTES'!$AI$6:$AI$205,"&gt;0")+COUNTIFS('NELEUS'!$B$6:$B$205,$B14,'NELEUS'!$AI$6:$AI$205,"&gt;0")+COUNTIFS('ONEIROI'!$B$6:$B$205,$B14,'ONEIROI'!$AI$6:$AI$205,"&gt;0"))</f>
        <v/>
      </c>
      <c r="S14" s="53">
        <f>IF($B14="","",SUMIFS('AEOLUS'!$S$6:$S$205,'AEOLUS'!$B$6:$B$205,$B14,'AEOLUS'!$AK$6:$AK$205,1)+SUMIFS('MELICERTES'!$S$6:$S$205,'MELICERTES'!$B$6:$B$205,$B14,'MELICERTES'!$AK$6:$AK$205,1)+SUMIFS('NELEUS'!$S$6:$S$205,'NELEUS'!$B$6:$B$205,$B14,'NELEUS'!$AK$6:$AK$205,1)+SUMIFS('ONEIROI'!$S$6:$S$205,'ONEIROI'!$B$6:$B$205,$B14,'ONEIROI'!$AK$6:$AK$205,1))</f>
        <v/>
      </c>
      <c r="T14" s="36" t="n"/>
    </row>
    <row r="15">
      <c r="A15" s="34" t="inlineStr">
        <is>
          <t>25</t>
        </is>
      </c>
      <c r="B15" s="34" t="inlineStr">
        <is>
          <t>KQU-000116314</t>
        </is>
      </c>
      <c r="C15" s="36" t="inlineStr">
        <is>
          <t>HACCP MASTER (galley)</t>
        </is>
      </c>
      <c r="D15" s="34" t="inlineStr">
        <is>
          <t>Galley Equipment</t>
        </is>
      </c>
      <c r="E15" s="56" t="n">
        <v>46314</v>
      </c>
      <c r="F15" s="36" t="inlineStr">
        <is>
          <t>ONEIROI</t>
        </is>
      </c>
      <c r="G15" s="34" t="n">
        <v>1</v>
      </c>
      <c r="H15" s="58">
        <f>IF($B15="","",COUNTIFS('AEOLUS'!$B$6:$B$205,$B15,'AEOLUS'!$AJ$6:$AJ$205,1)+COUNTIFS('MELICERTES'!$B$6:$B$205,$B15,'MELICERTES'!$AJ$6:$AJ$205,1)+COUNTIFS('NELEUS'!$B$6:$B$205,$B15,'NELEUS'!$AJ$6:$AJ$205,1)+COUNTIFS('ONEIROI'!$B$6:$B$205,$B15,'ONEIROI'!$AJ$6:$AJ$205,1))</f>
        <v/>
      </c>
      <c r="I15" s="58">
        <f>IF(OR($B15="",G15=""),"",G15-H15)</f>
        <v/>
      </c>
      <c r="J15" s="58">
        <f>IF(OR($B15="",설정!$E$5=""),"",COUNTIFS('AEOLUS'!$B$6:$B$205,$B15,'AEOLUS'!$M$6:$M$205,설정!$E$5)+COUNTIFS('MELICERTES'!$B$6:$B$205,$B15,'MELICERTES'!$M$6:$M$205,설정!$E$5)+COUNTIFS('NELEUS'!$B$6:$B$205,$B15,'NELEUS'!$M$6:$M$205,설정!$E$5)+COUNTIFS('ONEIROI'!$B$6:$B$205,$B15,'ONEIROI'!$M$6:$M$205,설정!$E$5))</f>
        <v/>
      </c>
      <c r="K15" s="58">
        <f>IF(OR($B15="",설정!$E$6=""),"",COUNTIFS('AEOLUS'!$B$6:$B$205,$B15,'AEOLUS'!$M$6:$M$205,설정!$E$6)+COUNTIFS('MELICERTES'!$B$6:$B$205,$B15,'MELICERTES'!$M$6:$M$205,설정!$E$6)+COUNTIFS('NELEUS'!$B$6:$B$205,$B15,'NELEUS'!$M$6:$M$205,설정!$E$6)+COUNTIFS('ONEIROI'!$B$6:$B$205,$B15,'ONEIROI'!$M$6:$M$205,설정!$E$6))</f>
        <v/>
      </c>
      <c r="L15" s="58">
        <f>IF(OR($B15="",설정!$E$7=""),"",COUNTIFS('AEOLUS'!$B$6:$B$205,$B15,'AEOLUS'!$M$6:$M$205,설정!$E$7)+COUNTIFS('MELICERTES'!$B$6:$B$205,$B15,'MELICERTES'!$M$6:$M$205,설정!$E$7)+COUNTIFS('NELEUS'!$B$6:$B$205,$B15,'NELEUS'!$M$6:$M$205,설정!$E$7)+COUNTIFS('ONEIROI'!$B$6:$B$205,$B15,'ONEIROI'!$M$6:$M$205,설정!$E$7))</f>
        <v/>
      </c>
      <c r="M15" s="58">
        <f>IF(OR($B15="",설정!$E$8=""),"",COUNTIFS('AEOLUS'!$B$6:$B$205,$B15,'AEOLUS'!$M$6:$M$205,설정!$E$8)+COUNTIFS('MELICERTES'!$B$6:$B$205,$B15,'MELICERTES'!$M$6:$M$205,설정!$E$8)+COUNTIFS('NELEUS'!$B$6:$B$205,$B15,'NELEUS'!$M$6:$M$205,설정!$E$8)+COUNTIFS('ONEIROI'!$B$6:$B$205,$B15,'ONEIROI'!$M$6:$M$205,설정!$E$8))</f>
        <v/>
      </c>
      <c r="N15" s="58">
        <f>IF(OR($B15="",설정!$E$9=""),"",COUNTIFS('AEOLUS'!$B$6:$B$205,$B15,'AEOLUS'!$M$6:$M$205,설정!$E$9)+COUNTIFS('MELICERTES'!$B$6:$B$205,$B15,'MELICERTES'!$M$6:$M$205,설정!$E$9)+COUNTIFS('NELEUS'!$B$6:$B$205,$B15,'NELEUS'!$M$6:$M$205,설정!$E$9)+COUNTIFS('ONEIROI'!$B$6:$B$205,$B15,'ONEIROI'!$M$6:$M$205,설정!$E$9))</f>
        <v/>
      </c>
      <c r="O15" s="58">
        <f>IF(OR($B15="",설정!$E$10=""),"",COUNTIFS('AEOLUS'!$B$6:$B$205,$B15,'AEOLUS'!$M$6:$M$205,설정!$E$10)+COUNTIFS('MELICERTES'!$B$6:$B$205,$B15,'MELICERTES'!$M$6:$M$205,설정!$E$10)+COUNTIFS('NELEUS'!$B$6:$B$205,$B15,'NELEUS'!$M$6:$M$205,설정!$E$10)+COUNTIFS('ONEIROI'!$B$6:$B$205,$B15,'ONEIROI'!$M$6:$M$205,설정!$E$10))</f>
        <v/>
      </c>
      <c r="P15" s="58">
        <f>IF(OR($B15="",설정!$E$11=""),"",COUNTIFS('AEOLUS'!$B$6:$B$205,$B15,'AEOLUS'!$M$6:$M$205,설정!$E$11)+COUNTIFS('MELICERTES'!$B$6:$B$205,$B15,'MELICERTES'!$M$6:$M$205,설정!$E$11)+COUNTIFS('NELEUS'!$B$6:$B$205,$B15,'NELEUS'!$M$6:$M$205,설정!$E$11)+COUNTIFS('ONEIROI'!$B$6:$B$205,$B15,'ONEIROI'!$M$6:$M$205,설정!$E$11))</f>
        <v/>
      </c>
      <c r="Q15" s="58">
        <f>IF(OR($B15="",설정!$E$12=""),"",COUNTIFS('AEOLUS'!$B$6:$B$205,$B15,'AEOLUS'!$M$6:$M$205,설정!$E$12)+COUNTIFS('MELICERTES'!$B$6:$B$205,$B15,'MELICERTES'!$M$6:$M$205,설정!$E$12)+COUNTIFS('NELEUS'!$B$6:$B$205,$B15,'NELEUS'!$M$6:$M$205,설정!$E$12)+COUNTIFS('ONEIROI'!$B$6:$B$205,$B15,'ONEIROI'!$M$6:$M$205,설정!$E$12))</f>
        <v/>
      </c>
      <c r="R15" s="58">
        <f>IF($B15="","",COUNTIFS('AEOLUS'!$B$6:$B$205,$B15,'AEOLUS'!$AI$6:$AI$205,"&gt;0")+COUNTIFS('MELICERTES'!$B$6:$B$205,$B15,'MELICERTES'!$AI$6:$AI$205,"&gt;0")+COUNTIFS('NELEUS'!$B$6:$B$205,$B15,'NELEUS'!$AI$6:$AI$205,"&gt;0")+COUNTIFS('ONEIROI'!$B$6:$B$205,$B15,'ONEIROI'!$AI$6:$AI$205,"&gt;0"))</f>
        <v/>
      </c>
      <c r="S15" s="53">
        <f>IF($B15="","",SUMIFS('AEOLUS'!$S$6:$S$205,'AEOLUS'!$B$6:$B$205,$B15,'AEOLUS'!$AK$6:$AK$205,1)+SUMIFS('MELICERTES'!$S$6:$S$205,'MELICERTES'!$B$6:$B$205,$B15,'MELICERTES'!$AK$6:$AK$205,1)+SUMIFS('NELEUS'!$S$6:$S$205,'NELEUS'!$B$6:$B$205,$B15,'NELEUS'!$AK$6:$AK$205,1)+SUMIFS('ONEIROI'!$S$6:$S$205,'ONEIROI'!$B$6:$B$205,$B15,'ONEIROI'!$AK$6:$AK$205,1))</f>
        <v/>
      </c>
      <c r="T15" s="36" t="n"/>
    </row>
    <row r="16">
      <c r="A16" s="34" t="inlineStr">
        <is>
          <t>27</t>
        </is>
      </c>
      <c r="B16" s="34" t="inlineStr">
        <is>
          <t>KQU-000116301</t>
        </is>
      </c>
      <c r="C16" s="36" t="inlineStr">
        <is>
          <t>MRC (telephone)</t>
        </is>
      </c>
      <c r="D16" s="34" t="inlineStr">
        <is>
          <t>Telephone System</t>
        </is>
      </c>
      <c r="E16" s="56" t="n">
        <v>46314</v>
      </c>
      <c r="F16" s="36" t="inlineStr">
        <is>
          <t>MELICERTES</t>
        </is>
      </c>
      <c r="G16" s="34" t="n">
        <v>1</v>
      </c>
      <c r="H16" s="58">
        <f>IF($B16="","",COUNTIFS('AEOLUS'!$B$6:$B$205,$B16,'AEOLUS'!$AJ$6:$AJ$205,1)+COUNTIFS('MELICERTES'!$B$6:$B$205,$B16,'MELICERTES'!$AJ$6:$AJ$205,1)+COUNTIFS('NELEUS'!$B$6:$B$205,$B16,'NELEUS'!$AJ$6:$AJ$205,1)+COUNTIFS('ONEIROI'!$B$6:$B$205,$B16,'ONEIROI'!$AJ$6:$AJ$205,1))</f>
        <v/>
      </c>
      <c r="I16" s="58">
        <f>IF(OR($B16="",G16=""),"",G16-H16)</f>
        <v/>
      </c>
      <c r="J16" s="58">
        <f>IF(OR($B16="",설정!$E$5=""),"",COUNTIFS('AEOLUS'!$B$6:$B$205,$B16,'AEOLUS'!$M$6:$M$205,설정!$E$5)+COUNTIFS('MELICERTES'!$B$6:$B$205,$B16,'MELICERTES'!$M$6:$M$205,설정!$E$5)+COUNTIFS('NELEUS'!$B$6:$B$205,$B16,'NELEUS'!$M$6:$M$205,설정!$E$5)+COUNTIFS('ONEIROI'!$B$6:$B$205,$B16,'ONEIROI'!$M$6:$M$205,설정!$E$5))</f>
        <v/>
      </c>
      <c r="K16" s="58">
        <f>IF(OR($B16="",설정!$E$6=""),"",COUNTIFS('AEOLUS'!$B$6:$B$205,$B16,'AEOLUS'!$M$6:$M$205,설정!$E$6)+COUNTIFS('MELICERTES'!$B$6:$B$205,$B16,'MELICERTES'!$M$6:$M$205,설정!$E$6)+COUNTIFS('NELEUS'!$B$6:$B$205,$B16,'NELEUS'!$M$6:$M$205,설정!$E$6)+COUNTIFS('ONEIROI'!$B$6:$B$205,$B16,'ONEIROI'!$M$6:$M$205,설정!$E$6))</f>
        <v/>
      </c>
      <c r="L16" s="58">
        <f>IF(OR($B16="",설정!$E$7=""),"",COUNTIFS('AEOLUS'!$B$6:$B$205,$B16,'AEOLUS'!$M$6:$M$205,설정!$E$7)+COUNTIFS('MELICERTES'!$B$6:$B$205,$B16,'MELICERTES'!$M$6:$M$205,설정!$E$7)+COUNTIFS('NELEUS'!$B$6:$B$205,$B16,'NELEUS'!$M$6:$M$205,설정!$E$7)+COUNTIFS('ONEIROI'!$B$6:$B$205,$B16,'ONEIROI'!$M$6:$M$205,설정!$E$7))</f>
        <v/>
      </c>
      <c r="M16" s="58">
        <f>IF(OR($B16="",설정!$E$8=""),"",COUNTIFS('AEOLUS'!$B$6:$B$205,$B16,'AEOLUS'!$M$6:$M$205,설정!$E$8)+COUNTIFS('MELICERTES'!$B$6:$B$205,$B16,'MELICERTES'!$M$6:$M$205,설정!$E$8)+COUNTIFS('NELEUS'!$B$6:$B$205,$B16,'NELEUS'!$M$6:$M$205,설정!$E$8)+COUNTIFS('ONEIROI'!$B$6:$B$205,$B16,'ONEIROI'!$M$6:$M$205,설정!$E$8))</f>
        <v/>
      </c>
      <c r="N16" s="58">
        <f>IF(OR($B16="",설정!$E$9=""),"",COUNTIFS('AEOLUS'!$B$6:$B$205,$B16,'AEOLUS'!$M$6:$M$205,설정!$E$9)+COUNTIFS('MELICERTES'!$B$6:$B$205,$B16,'MELICERTES'!$M$6:$M$205,설정!$E$9)+COUNTIFS('NELEUS'!$B$6:$B$205,$B16,'NELEUS'!$M$6:$M$205,설정!$E$9)+COUNTIFS('ONEIROI'!$B$6:$B$205,$B16,'ONEIROI'!$M$6:$M$205,설정!$E$9))</f>
        <v/>
      </c>
      <c r="O16" s="58">
        <f>IF(OR($B16="",설정!$E$10=""),"",COUNTIFS('AEOLUS'!$B$6:$B$205,$B16,'AEOLUS'!$M$6:$M$205,설정!$E$10)+COUNTIFS('MELICERTES'!$B$6:$B$205,$B16,'MELICERTES'!$M$6:$M$205,설정!$E$10)+COUNTIFS('NELEUS'!$B$6:$B$205,$B16,'NELEUS'!$M$6:$M$205,설정!$E$10)+COUNTIFS('ONEIROI'!$B$6:$B$205,$B16,'ONEIROI'!$M$6:$M$205,설정!$E$10))</f>
        <v/>
      </c>
      <c r="P16" s="58">
        <f>IF(OR($B16="",설정!$E$11=""),"",COUNTIFS('AEOLUS'!$B$6:$B$205,$B16,'AEOLUS'!$M$6:$M$205,설정!$E$11)+COUNTIFS('MELICERTES'!$B$6:$B$205,$B16,'MELICERTES'!$M$6:$M$205,설정!$E$11)+COUNTIFS('NELEUS'!$B$6:$B$205,$B16,'NELEUS'!$M$6:$M$205,설정!$E$11)+COUNTIFS('ONEIROI'!$B$6:$B$205,$B16,'ONEIROI'!$M$6:$M$205,설정!$E$11))</f>
        <v/>
      </c>
      <c r="Q16" s="58">
        <f>IF(OR($B16="",설정!$E$12=""),"",COUNTIFS('AEOLUS'!$B$6:$B$205,$B16,'AEOLUS'!$M$6:$M$205,설정!$E$12)+COUNTIFS('MELICERTES'!$B$6:$B$205,$B16,'MELICERTES'!$M$6:$M$205,설정!$E$12)+COUNTIFS('NELEUS'!$B$6:$B$205,$B16,'NELEUS'!$M$6:$M$205,설정!$E$12)+COUNTIFS('ONEIROI'!$B$6:$B$205,$B16,'ONEIROI'!$M$6:$M$205,설정!$E$12))</f>
        <v/>
      </c>
      <c r="R16" s="58">
        <f>IF($B16="","",COUNTIFS('AEOLUS'!$B$6:$B$205,$B16,'AEOLUS'!$AI$6:$AI$205,"&gt;0")+COUNTIFS('MELICERTES'!$B$6:$B$205,$B16,'MELICERTES'!$AI$6:$AI$205,"&gt;0")+COUNTIFS('NELEUS'!$B$6:$B$205,$B16,'NELEUS'!$AI$6:$AI$205,"&gt;0")+COUNTIFS('ONEIROI'!$B$6:$B$205,$B16,'ONEIROI'!$AI$6:$AI$205,"&gt;0"))</f>
        <v/>
      </c>
      <c r="S16" s="53">
        <f>IF($B16="","",SUMIFS('AEOLUS'!$S$6:$S$205,'AEOLUS'!$B$6:$B$205,$B16,'AEOLUS'!$AK$6:$AK$205,1)+SUMIFS('MELICERTES'!$S$6:$S$205,'MELICERTES'!$B$6:$B$205,$B16,'MELICERTES'!$AK$6:$AK$205,1)+SUMIFS('NELEUS'!$S$6:$S$205,'NELEUS'!$B$6:$B$205,$B16,'NELEUS'!$AK$6:$AK$205,1)+SUMIFS('ONEIROI'!$S$6:$S$205,'ONEIROI'!$B$6:$B$205,$B16,'ONEIROI'!$AK$6:$AK$205,1))</f>
        <v/>
      </c>
      <c r="T16" s="36" t="n"/>
    </row>
    <row r="17">
      <c r="A17" s="34" t="inlineStr">
        <is>
          <t>30</t>
        </is>
      </c>
      <c r="B17" s="34" t="inlineStr">
        <is>
          <t>선박요청서-30</t>
        </is>
      </c>
      <c r="C17" s="36" t="inlineStr">
        <is>
          <t>PARKER 외 (Ballast Hyd. solenoid valve)</t>
        </is>
      </c>
      <c r="D17" s="34" t="inlineStr">
        <is>
          <t>Hyd. VRC</t>
        </is>
      </c>
      <c r="E17" s="56" t="n"/>
      <c r="F17" s="36" t="inlineStr">
        <is>
          <t>ONEIROI</t>
        </is>
      </c>
      <c r="G17" s="34" t="n">
        <v>4</v>
      </c>
      <c r="H17" s="58">
        <f>IF($B17="","",COUNTIFS('AEOLUS'!$B$6:$B$205,$B17,'AEOLUS'!$AJ$6:$AJ$205,1)+COUNTIFS('MELICERTES'!$B$6:$B$205,$B17,'MELICERTES'!$AJ$6:$AJ$205,1)+COUNTIFS('NELEUS'!$B$6:$B$205,$B17,'NELEUS'!$AJ$6:$AJ$205,1)+COUNTIFS('ONEIROI'!$B$6:$B$205,$B17,'ONEIROI'!$AJ$6:$AJ$205,1))</f>
        <v/>
      </c>
      <c r="I17" s="58">
        <f>IF(OR($B17="",G17=""),"",G17-H17)</f>
        <v/>
      </c>
      <c r="J17" s="58">
        <f>IF(OR($B17="",설정!$E$5=""),"",COUNTIFS('AEOLUS'!$B$6:$B$205,$B17,'AEOLUS'!$M$6:$M$205,설정!$E$5)+COUNTIFS('MELICERTES'!$B$6:$B$205,$B17,'MELICERTES'!$M$6:$M$205,설정!$E$5)+COUNTIFS('NELEUS'!$B$6:$B$205,$B17,'NELEUS'!$M$6:$M$205,설정!$E$5)+COUNTIFS('ONEIROI'!$B$6:$B$205,$B17,'ONEIROI'!$M$6:$M$205,설정!$E$5))</f>
        <v/>
      </c>
      <c r="K17" s="58">
        <f>IF(OR($B17="",설정!$E$6=""),"",COUNTIFS('AEOLUS'!$B$6:$B$205,$B17,'AEOLUS'!$M$6:$M$205,설정!$E$6)+COUNTIFS('MELICERTES'!$B$6:$B$205,$B17,'MELICERTES'!$M$6:$M$205,설정!$E$6)+COUNTIFS('NELEUS'!$B$6:$B$205,$B17,'NELEUS'!$M$6:$M$205,설정!$E$6)+COUNTIFS('ONEIROI'!$B$6:$B$205,$B17,'ONEIROI'!$M$6:$M$205,설정!$E$6))</f>
        <v/>
      </c>
      <c r="L17" s="58">
        <f>IF(OR($B17="",설정!$E$7=""),"",COUNTIFS('AEOLUS'!$B$6:$B$205,$B17,'AEOLUS'!$M$6:$M$205,설정!$E$7)+COUNTIFS('MELICERTES'!$B$6:$B$205,$B17,'MELICERTES'!$M$6:$M$205,설정!$E$7)+COUNTIFS('NELEUS'!$B$6:$B$205,$B17,'NELEUS'!$M$6:$M$205,설정!$E$7)+COUNTIFS('ONEIROI'!$B$6:$B$205,$B17,'ONEIROI'!$M$6:$M$205,설정!$E$7))</f>
        <v/>
      </c>
      <c r="M17" s="58">
        <f>IF(OR($B17="",설정!$E$8=""),"",COUNTIFS('AEOLUS'!$B$6:$B$205,$B17,'AEOLUS'!$M$6:$M$205,설정!$E$8)+COUNTIFS('MELICERTES'!$B$6:$B$205,$B17,'MELICERTES'!$M$6:$M$205,설정!$E$8)+COUNTIFS('NELEUS'!$B$6:$B$205,$B17,'NELEUS'!$M$6:$M$205,설정!$E$8)+COUNTIFS('ONEIROI'!$B$6:$B$205,$B17,'ONEIROI'!$M$6:$M$205,설정!$E$8))</f>
        <v/>
      </c>
      <c r="N17" s="58">
        <f>IF(OR($B17="",설정!$E$9=""),"",COUNTIFS('AEOLUS'!$B$6:$B$205,$B17,'AEOLUS'!$M$6:$M$205,설정!$E$9)+COUNTIFS('MELICERTES'!$B$6:$B$205,$B17,'MELICERTES'!$M$6:$M$205,설정!$E$9)+COUNTIFS('NELEUS'!$B$6:$B$205,$B17,'NELEUS'!$M$6:$M$205,설정!$E$9)+COUNTIFS('ONEIROI'!$B$6:$B$205,$B17,'ONEIROI'!$M$6:$M$205,설정!$E$9))</f>
        <v/>
      </c>
      <c r="O17" s="58">
        <f>IF(OR($B17="",설정!$E$10=""),"",COUNTIFS('AEOLUS'!$B$6:$B$205,$B17,'AEOLUS'!$M$6:$M$205,설정!$E$10)+COUNTIFS('MELICERTES'!$B$6:$B$205,$B17,'MELICERTES'!$M$6:$M$205,설정!$E$10)+COUNTIFS('NELEUS'!$B$6:$B$205,$B17,'NELEUS'!$M$6:$M$205,설정!$E$10)+COUNTIFS('ONEIROI'!$B$6:$B$205,$B17,'ONEIROI'!$M$6:$M$205,설정!$E$10))</f>
        <v/>
      </c>
      <c r="P17" s="58">
        <f>IF(OR($B17="",설정!$E$11=""),"",COUNTIFS('AEOLUS'!$B$6:$B$205,$B17,'AEOLUS'!$M$6:$M$205,설정!$E$11)+COUNTIFS('MELICERTES'!$B$6:$B$205,$B17,'MELICERTES'!$M$6:$M$205,설정!$E$11)+COUNTIFS('NELEUS'!$B$6:$B$205,$B17,'NELEUS'!$M$6:$M$205,설정!$E$11)+COUNTIFS('ONEIROI'!$B$6:$B$205,$B17,'ONEIROI'!$M$6:$M$205,설정!$E$11))</f>
        <v/>
      </c>
      <c r="Q17" s="58">
        <f>IF(OR($B17="",설정!$E$12=""),"",COUNTIFS('AEOLUS'!$B$6:$B$205,$B17,'AEOLUS'!$M$6:$M$205,설정!$E$12)+COUNTIFS('MELICERTES'!$B$6:$B$205,$B17,'MELICERTES'!$M$6:$M$205,설정!$E$12)+COUNTIFS('NELEUS'!$B$6:$B$205,$B17,'NELEUS'!$M$6:$M$205,설정!$E$12)+COUNTIFS('ONEIROI'!$B$6:$B$205,$B17,'ONEIROI'!$M$6:$M$205,설정!$E$12))</f>
        <v/>
      </c>
      <c r="R17" s="58">
        <f>IF($B17="","",COUNTIFS('AEOLUS'!$B$6:$B$205,$B17,'AEOLUS'!$AI$6:$AI$205,"&gt;0")+COUNTIFS('MELICERTES'!$B$6:$B$205,$B17,'MELICERTES'!$AI$6:$AI$205,"&gt;0")+COUNTIFS('NELEUS'!$B$6:$B$205,$B17,'NELEUS'!$AI$6:$AI$205,"&gt;0")+COUNTIFS('ONEIROI'!$B$6:$B$205,$B17,'ONEIROI'!$AI$6:$AI$205,"&gt;0"))</f>
        <v/>
      </c>
      <c r="S17" s="53">
        <f>IF($B17="","",SUMIFS('AEOLUS'!$S$6:$S$205,'AEOLUS'!$B$6:$B$205,$B17,'AEOLUS'!$AK$6:$AK$205,1)+SUMIFS('MELICERTES'!$S$6:$S$205,'MELICERTES'!$B$6:$B$205,$B17,'MELICERTES'!$AK$6:$AK$205,1)+SUMIFS('NELEUS'!$S$6:$S$205,'NELEUS'!$B$6:$B$205,$B17,'NELEUS'!$AK$6:$AK$205,1)+SUMIFS('ONEIROI'!$S$6:$S$205,'ONEIROI'!$B$6:$B$205,$B17,'ONEIROI'!$AK$6:$AK$205,1))</f>
        <v/>
      </c>
      <c r="T17" s="36" t="inlineStr">
        <is>
          <t>선박 요청서 양식 (RFQ No. 없음)</t>
        </is>
      </c>
    </row>
    <row r="18">
      <c r="A18" s="34" t="inlineStr">
        <is>
          <t>31</t>
        </is>
      </c>
      <c r="B18" s="34" t="inlineStr">
        <is>
          <t>선박요청서-31</t>
        </is>
      </c>
      <c r="C18" s="36" t="inlineStr">
        <is>
          <t>GRUNDFOS (EGR WTS pump CRN3-7)</t>
        </is>
      </c>
      <c r="D18" s="34" t="inlineStr">
        <is>
          <t>Main Engine</t>
        </is>
      </c>
      <c r="E18" s="56" t="n">
        <v>46314</v>
      </c>
      <c r="F18" s="36" t="inlineStr">
        <is>
          <t>ONEIROI</t>
        </is>
      </c>
      <c r="G18" s="34" t="n">
        <v>14</v>
      </c>
      <c r="H18" s="58">
        <f>IF($B18="","",COUNTIFS('AEOLUS'!$B$6:$B$205,$B18,'AEOLUS'!$AJ$6:$AJ$205,1)+COUNTIFS('MELICERTES'!$B$6:$B$205,$B18,'MELICERTES'!$AJ$6:$AJ$205,1)+COUNTIFS('NELEUS'!$B$6:$B$205,$B18,'NELEUS'!$AJ$6:$AJ$205,1)+COUNTIFS('ONEIROI'!$B$6:$B$205,$B18,'ONEIROI'!$AJ$6:$AJ$205,1))</f>
        <v/>
      </c>
      <c r="I18" s="58">
        <f>IF(OR($B18="",G18=""),"",G18-H18)</f>
        <v/>
      </c>
      <c r="J18" s="58">
        <f>IF(OR($B18="",설정!$E$5=""),"",COUNTIFS('AEOLUS'!$B$6:$B$205,$B18,'AEOLUS'!$M$6:$M$205,설정!$E$5)+COUNTIFS('MELICERTES'!$B$6:$B$205,$B18,'MELICERTES'!$M$6:$M$205,설정!$E$5)+COUNTIFS('NELEUS'!$B$6:$B$205,$B18,'NELEUS'!$M$6:$M$205,설정!$E$5)+COUNTIFS('ONEIROI'!$B$6:$B$205,$B18,'ONEIROI'!$M$6:$M$205,설정!$E$5))</f>
        <v/>
      </c>
      <c r="K18" s="58">
        <f>IF(OR($B18="",설정!$E$6=""),"",COUNTIFS('AEOLUS'!$B$6:$B$205,$B18,'AEOLUS'!$M$6:$M$205,설정!$E$6)+COUNTIFS('MELICERTES'!$B$6:$B$205,$B18,'MELICERTES'!$M$6:$M$205,설정!$E$6)+COUNTIFS('NELEUS'!$B$6:$B$205,$B18,'NELEUS'!$M$6:$M$205,설정!$E$6)+COUNTIFS('ONEIROI'!$B$6:$B$205,$B18,'ONEIROI'!$M$6:$M$205,설정!$E$6))</f>
        <v/>
      </c>
      <c r="L18" s="58">
        <f>IF(OR($B18="",설정!$E$7=""),"",COUNTIFS('AEOLUS'!$B$6:$B$205,$B18,'AEOLUS'!$M$6:$M$205,설정!$E$7)+COUNTIFS('MELICERTES'!$B$6:$B$205,$B18,'MELICERTES'!$M$6:$M$205,설정!$E$7)+COUNTIFS('NELEUS'!$B$6:$B$205,$B18,'NELEUS'!$M$6:$M$205,설정!$E$7)+COUNTIFS('ONEIROI'!$B$6:$B$205,$B18,'ONEIROI'!$M$6:$M$205,설정!$E$7))</f>
        <v/>
      </c>
      <c r="M18" s="58">
        <f>IF(OR($B18="",설정!$E$8=""),"",COUNTIFS('AEOLUS'!$B$6:$B$205,$B18,'AEOLUS'!$M$6:$M$205,설정!$E$8)+COUNTIFS('MELICERTES'!$B$6:$B$205,$B18,'MELICERTES'!$M$6:$M$205,설정!$E$8)+COUNTIFS('NELEUS'!$B$6:$B$205,$B18,'NELEUS'!$M$6:$M$205,설정!$E$8)+COUNTIFS('ONEIROI'!$B$6:$B$205,$B18,'ONEIROI'!$M$6:$M$205,설정!$E$8))</f>
        <v/>
      </c>
      <c r="N18" s="58">
        <f>IF(OR($B18="",설정!$E$9=""),"",COUNTIFS('AEOLUS'!$B$6:$B$205,$B18,'AEOLUS'!$M$6:$M$205,설정!$E$9)+COUNTIFS('MELICERTES'!$B$6:$B$205,$B18,'MELICERTES'!$M$6:$M$205,설정!$E$9)+COUNTIFS('NELEUS'!$B$6:$B$205,$B18,'NELEUS'!$M$6:$M$205,설정!$E$9)+COUNTIFS('ONEIROI'!$B$6:$B$205,$B18,'ONEIROI'!$M$6:$M$205,설정!$E$9))</f>
        <v/>
      </c>
      <c r="O18" s="58">
        <f>IF(OR($B18="",설정!$E$10=""),"",COUNTIFS('AEOLUS'!$B$6:$B$205,$B18,'AEOLUS'!$M$6:$M$205,설정!$E$10)+COUNTIFS('MELICERTES'!$B$6:$B$205,$B18,'MELICERTES'!$M$6:$M$205,설정!$E$10)+COUNTIFS('NELEUS'!$B$6:$B$205,$B18,'NELEUS'!$M$6:$M$205,설정!$E$10)+COUNTIFS('ONEIROI'!$B$6:$B$205,$B18,'ONEIROI'!$M$6:$M$205,설정!$E$10))</f>
        <v/>
      </c>
      <c r="P18" s="58">
        <f>IF(OR($B18="",설정!$E$11=""),"",COUNTIFS('AEOLUS'!$B$6:$B$205,$B18,'AEOLUS'!$M$6:$M$205,설정!$E$11)+COUNTIFS('MELICERTES'!$B$6:$B$205,$B18,'MELICERTES'!$M$6:$M$205,설정!$E$11)+COUNTIFS('NELEUS'!$B$6:$B$205,$B18,'NELEUS'!$M$6:$M$205,설정!$E$11)+COUNTIFS('ONEIROI'!$B$6:$B$205,$B18,'ONEIROI'!$M$6:$M$205,설정!$E$11))</f>
        <v/>
      </c>
      <c r="Q18" s="58">
        <f>IF(OR($B18="",설정!$E$12=""),"",COUNTIFS('AEOLUS'!$B$6:$B$205,$B18,'AEOLUS'!$M$6:$M$205,설정!$E$12)+COUNTIFS('MELICERTES'!$B$6:$B$205,$B18,'MELICERTES'!$M$6:$M$205,설정!$E$12)+COUNTIFS('NELEUS'!$B$6:$B$205,$B18,'NELEUS'!$M$6:$M$205,설정!$E$12)+COUNTIFS('ONEIROI'!$B$6:$B$205,$B18,'ONEIROI'!$M$6:$M$205,설정!$E$12))</f>
        <v/>
      </c>
      <c r="R18" s="58">
        <f>IF($B18="","",COUNTIFS('AEOLUS'!$B$6:$B$205,$B18,'AEOLUS'!$AI$6:$AI$205,"&gt;0")+COUNTIFS('MELICERTES'!$B$6:$B$205,$B18,'MELICERTES'!$AI$6:$AI$205,"&gt;0")+COUNTIFS('NELEUS'!$B$6:$B$205,$B18,'NELEUS'!$AI$6:$AI$205,"&gt;0")+COUNTIFS('ONEIROI'!$B$6:$B$205,$B18,'ONEIROI'!$AI$6:$AI$205,"&gt;0"))</f>
        <v/>
      </c>
      <c r="S18" s="53">
        <f>IF($B18="","",SUMIFS('AEOLUS'!$S$6:$S$205,'AEOLUS'!$B$6:$B$205,$B18,'AEOLUS'!$AK$6:$AK$205,1)+SUMIFS('MELICERTES'!$S$6:$S$205,'MELICERTES'!$B$6:$B$205,$B18,'MELICERTES'!$AK$6:$AK$205,1)+SUMIFS('NELEUS'!$S$6:$S$205,'NELEUS'!$B$6:$B$205,$B18,'NELEUS'!$AK$6:$AK$205,1)+SUMIFS('ONEIROI'!$S$6:$S$205,'ONEIROI'!$B$6:$B$205,$B18,'ONEIROI'!$AK$6:$AK$205,1))</f>
        <v/>
      </c>
      <c r="T18" s="36" t="inlineStr">
        <is>
          <t>선박 요청서 양식 (RFQ No. 없음)</t>
        </is>
      </c>
    </row>
    <row r="19">
      <c r="A19" s="34" t="inlineStr">
        <is>
          <t>-</t>
        </is>
      </c>
      <c r="B19" s="34" t="inlineStr">
        <is>
          <t>DB26034465</t>
        </is>
      </c>
      <c r="C19" s="36" t="inlineStr">
        <is>
          <t>HYUNDAI – 4S-LP-H (Cooling chamber CLX-XT)</t>
        </is>
      </c>
      <c r="D19" s="34" t="inlineStr"/>
      <c r="E19" s="56" t="n"/>
      <c r="F19" s="36" t="inlineStr">
        <is>
          <t>ONEIROI</t>
        </is>
      </c>
      <c r="G19" s="34" t="n">
        <v>2</v>
      </c>
      <c r="H19" s="58">
        <f>IF($B19="","",COUNTIFS('AEOLUS'!$B$6:$B$205,$B19,'AEOLUS'!$AJ$6:$AJ$205,1)+COUNTIFS('MELICERTES'!$B$6:$B$205,$B19,'MELICERTES'!$AJ$6:$AJ$205,1)+COUNTIFS('NELEUS'!$B$6:$B$205,$B19,'NELEUS'!$AJ$6:$AJ$205,1)+COUNTIFS('ONEIROI'!$B$6:$B$205,$B19,'ONEIROI'!$AJ$6:$AJ$205,1))</f>
        <v/>
      </c>
      <c r="I19" s="58">
        <f>IF(OR($B19="",G19=""),"",G19-H19)</f>
        <v/>
      </c>
      <c r="J19" s="58">
        <f>IF(OR($B19="",설정!$E$5=""),"",COUNTIFS('AEOLUS'!$B$6:$B$205,$B19,'AEOLUS'!$M$6:$M$205,설정!$E$5)+COUNTIFS('MELICERTES'!$B$6:$B$205,$B19,'MELICERTES'!$M$6:$M$205,설정!$E$5)+COUNTIFS('NELEUS'!$B$6:$B$205,$B19,'NELEUS'!$M$6:$M$205,설정!$E$5)+COUNTIFS('ONEIROI'!$B$6:$B$205,$B19,'ONEIROI'!$M$6:$M$205,설정!$E$5))</f>
        <v/>
      </c>
      <c r="K19" s="58">
        <f>IF(OR($B19="",설정!$E$6=""),"",COUNTIFS('AEOLUS'!$B$6:$B$205,$B19,'AEOLUS'!$M$6:$M$205,설정!$E$6)+COUNTIFS('MELICERTES'!$B$6:$B$205,$B19,'MELICERTES'!$M$6:$M$205,설정!$E$6)+COUNTIFS('NELEUS'!$B$6:$B$205,$B19,'NELEUS'!$M$6:$M$205,설정!$E$6)+COUNTIFS('ONEIROI'!$B$6:$B$205,$B19,'ONEIROI'!$M$6:$M$205,설정!$E$6))</f>
        <v/>
      </c>
      <c r="L19" s="58">
        <f>IF(OR($B19="",설정!$E$7=""),"",COUNTIFS('AEOLUS'!$B$6:$B$205,$B19,'AEOLUS'!$M$6:$M$205,설정!$E$7)+COUNTIFS('MELICERTES'!$B$6:$B$205,$B19,'MELICERTES'!$M$6:$M$205,설정!$E$7)+COUNTIFS('NELEUS'!$B$6:$B$205,$B19,'NELEUS'!$M$6:$M$205,설정!$E$7)+COUNTIFS('ONEIROI'!$B$6:$B$205,$B19,'ONEIROI'!$M$6:$M$205,설정!$E$7))</f>
        <v/>
      </c>
      <c r="M19" s="58">
        <f>IF(OR($B19="",설정!$E$8=""),"",COUNTIFS('AEOLUS'!$B$6:$B$205,$B19,'AEOLUS'!$M$6:$M$205,설정!$E$8)+COUNTIFS('MELICERTES'!$B$6:$B$205,$B19,'MELICERTES'!$M$6:$M$205,설정!$E$8)+COUNTIFS('NELEUS'!$B$6:$B$205,$B19,'NELEUS'!$M$6:$M$205,설정!$E$8)+COUNTIFS('ONEIROI'!$B$6:$B$205,$B19,'ONEIROI'!$M$6:$M$205,설정!$E$8))</f>
        <v/>
      </c>
      <c r="N19" s="58">
        <f>IF(OR($B19="",설정!$E$9=""),"",COUNTIFS('AEOLUS'!$B$6:$B$205,$B19,'AEOLUS'!$M$6:$M$205,설정!$E$9)+COUNTIFS('MELICERTES'!$B$6:$B$205,$B19,'MELICERTES'!$M$6:$M$205,설정!$E$9)+COUNTIFS('NELEUS'!$B$6:$B$205,$B19,'NELEUS'!$M$6:$M$205,설정!$E$9)+COUNTIFS('ONEIROI'!$B$6:$B$205,$B19,'ONEIROI'!$M$6:$M$205,설정!$E$9))</f>
        <v/>
      </c>
      <c r="O19" s="58">
        <f>IF(OR($B19="",설정!$E$10=""),"",COUNTIFS('AEOLUS'!$B$6:$B$205,$B19,'AEOLUS'!$M$6:$M$205,설정!$E$10)+COUNTIFS('MELICERTES'!$B$6:$B$205,$B19,'MELICERTES'!$M$6:$M$205,설정!$E$10)+COUNTIFS('NELEUS'!$B$6:$B$205,$B19,'NELEUS'!$M$6:$M$205,설정!$E$10)+COUNTIFS('ONEIROI'!$B$6:$B$205,$B19,'ONEIROI'!$M$6:$M$205,설정!$E$10))</f>
        <v/>
      </c>
      <c r="P19" s="58">
        <f>IF(OR($B19="",설정!$E$11=""),"",COUNTIFS('AEOLUS'!$B$6:$B$205,$B19,'AEOLUS'!$M$6:$M$205,설정!$E$11)+COUNTIFS('MELICERTES'!$B$6:$B$205,$B19,'MELICERTES'!$M$6:$M$205,설정!$E$11)+COUNTIFS('NELEUS'!$B$6:$B$205,$B19,'NELEUS'!$M$6:$M$205,설정!$E$11)+COUNTIFS('ONEIROI'!$B$6:$B$205,$B19,'ONEIROI'!$M$6:$M$205,설정!$E$11))</f>
        <v/>
      </c>
      <c r="Q19" s="58">
        <f>IF(OR($B19="",설정!$E$12=""),"",COUNTIFS('AEOLUS'!$B$6:$B$205,$B19,'AEOLUS'!$M$6:$M$205,설정!$E$12)+COUNTIFS('MELICERTES'!$B$6:$B$205,$B19,'MELICERTES'!$M$6:$M$205,설정!$E$12)+COUNTIFS('NELEUS'!$B$6:$B$205,$B19,'NELEUS'!$M$6:$M$205,설정!$E$12)+COUNTIFS('ONEIROI'!$B$6:$B$205,$B19,'ONEIROI'!$M$6:$M$205,설정!$E$12))</f>
        <v/>
      </c>
      <c r="R19" s="58">
        <f>IF($B19="","",COUNTIFS('AEOLUS'!$B$6:$B$205,$B19,'AEOLUS'!$AI$6:$AI$205,"&gt;0")+COUNTIFS('MELICERTES'!$B$6:$B$205,$B19,'MELICERTES'!$AI$6:$AI$205,"&gt;0")+COUNTIFS('NELEUS'!$B$6:$B$205,$B19,'NELEUS'!$AI$6:$AI$205,"&gt;0")+COUNTIFS('ONEIROI'!$B$6:$B$205,$B19,'ONEIROI'!$AI$6:$AI$205,"&gt;0"))</f>
        <v/>
      </c>
      <c r="S19" s="53">
        <f>IF($B19="","",SUMIFS('AEOLUS'!$S$6:$S$205,'AEOLUS'!$B$6:$B$205,$B19,'AEOLUS'!$AK$6:$AK$205,1)+SUMIFS('MELICERTES'!$S$6:$S$205,'MELICERTES'!$B$6:$B$205,$B19,'MELICERTES'!$AK$6:$AK$205,1)+SUMIFS('NELEUS'!$S$6:$S$205,'NELEUS'!$B$6:$B$205,$B19,'NELEUS'!$AK$6:$AK$205,1)+SUMIFS('ONEIROI'!$S$6:$S$205,'ONEIROI'!$B$6:$B$205,$B19,'ONEIROI'!$AK$6:$AK$205,1))</f>
        <v/>
      </c>
      <c r="T19" s="36" t="inlineStr">
        <is>
          <t>IOB RFQ 번호 미상 – 딘텍 견적번호로 임시 표기 (Your ref 2026.10.19/ONEIROI)</t>
        </is>
      </c>
    </row>
    <row r="20">
      <c r="A20" s="34" t="inlineStr">
        <is>
          <t>-</t>
        </is>
      </c>
      <c r="B20" s="34" t="inlineStr">
        <is>
          <t>DB26034773</t>
        </is>
      </c>
      <c r="C20" s="36" t="inlineStr">
        <is>
          <t>D&amp;J WITH – CCTV System</t>
        </is>
      </c>
      <c r="D20" s="34" t="inlineStr"/>
      <c r="E20" s="56" t="n"/>
      <c r="F20" s="36" t="inlineStr">
        <is>
          <t>NELEUS</t>
        </is>
      </c>
      <c r="G20" s="34" t="n">
        <v>3</v>
      </c>
      <c r="H20" s="58">
        <f>IF($B20="","",COUNTIFS('AEOLUS'!$B$6:$B$205,$B20,'AEOLUS'!$AJ$6:$AJ$205,1)+COUNTIFS('MELICERTES'!$B$6:$B$205,$B20,'MELICERTES'!$AJ$6:$AJ$205,1)+COUNTIFS('NELEUS'!$B$6:$B$205,$B20,'NELEUS'!$AJ$6:$AJ$205,1)+COUNTIFS('ONEIROI'!$B$6:$B$205,$B20,'ONEIROI'!$AJ$6:$AJ$205,1))</f>
        <v/>
      </c>
      <c r="I20" s="58">
        <f>IF(OR($B20="",G20=""),"",G20-H20)</f>
        <v/>
      </c>
      <c r="J20" s="58">
        <f>IF(OR($B20="",설정!$E$5=""),"",COUNTIFS('AEOLUS'!$B$6:$B$205,$B20,'AEOLUS'!$M$6:$M$205,설정!$E$5)+COUNTIFS('MELICERTES'!$B$6:$B$205,$B20,'MELICERTES'!$M$6:$M$205,설정!$E$5)+COUNTIFS('NELEUS'!$B$6:$B$205,$B20,'NELEUS'!$M$6:$M$205,설정!$E$5)+COUNTIFS('ONEIROI'!$B$6:$B$205,$B20,'ONEIROI'!$M$6:$M$205,설정!$E$5))</f>
        <v/>
      </c>
      <c r="K20" s="58">
        <f>IF(OR($B20="",설정!$E$6=""),"",COUNTIFS('AEOLUS'!$B$6:$B$205,$B20,'AEOLUS'!$M$6:$M$205,설정!$E$6)+COUNTIFS('MELICERTES'!$B$6:$B$205,$B20,'MELICERTES'!$M$6:$M$205,설정!$E$6)+COUNTIFS('NELEUS'!$B$6:$B$205,$B20,'NELEUS'!$M$6:$M$205,설정!$E$6)+COUNTIFS('ONEIROI'!$B$6:$B$205,$B20,'ONEIROI'!$M$6:$M$205,설정!$E$6))</f>
        <v/>
      </c>
      <c r="L20" s="58">
        <f>IF(OR($B20="",설정!$E$7=""),"",COUNTIFS('AEOLUS'!$B$6:$B$205,$B20,'AEOLUS'!$M$6:$M$205,설정!$E$7)+COUNTIFS('MELICERTES'!$B$6:$B$205,$B20,'MELICERTES'!$M$6:$M$205,설정!$E$7)+COUNTIFS('NELEUS'!$B$6:$B$205,$B20,'NELEUS'!$M$6:$M$205,설정!$E$7)+COUNTIFS('ONEIROI'!$B$6:$B$205,$B20,'ONEIROI'!$M$6:$M$205,설정!$E$7))</f>
        <v/>
      </c>
      <c r="M20" s="58">
        <f>IF(OR($B20="",설정!$E$8=""),"",COUNTIFS('AEOLUS'!$B$6:$B$205,$B20,'AEOLUS'!$M$6:$M$205,설정!$E$8)+COUNTIFS('MELICERTES'!$B$6:$B$205,$B20,'MELICERTES'!$M$6:$M$205,설정!$E$8)+COUNTIFS('NELEUS'!$B$6:$B$205,$B20,'NELEUS'!$M$6:$M$205,설정!$E$8)+COUNTIFS('ONEIROI'!$B$6:$B$205,$B20,'ONEIROI'!$M$6:$M$205,설정!$E$8))</f>
        <v/>
      </c>
      <c r="N20" s="58">
        <f>IF(OR($B20="",설정!$E$9=""),"",COUNTIFS('AEOLUS'!$B$6:$B$205,$B20,'AEOLUS'!$M$6:$M$205,설정!$E$9)+COUNTIFS('MELICERTES'!$B$6:$B$205,$B20,'MELICERTES'!$M$6:$M$205,설정!$E$9)+COUNTIFS('NELEUS'!$B$6:$B$205,$B20,'NELEUS'!$M$6:$M$205,설정!$E$9)+COUNTIFS('ONEIROI'!$B$6:$B$205,$B20,'ONEIROI'!$M$6:$M$205,설정!$E$9))</f>
        <v/>
      </c>
      <c r="O20" s="58">
        <f>IF(OR($B20="",설정!$E$10=""),"",COUNTIFS('AEOLUS'!$B$6:$B$205,$B20,'AEOLUS'!$M$6:$M$205,설정!$E$10)+COUNTIFS('MELICERTES'!$B$6:$B$205,$B20,'MELICERTES'!$M$6:$M$205,설정!$E$10)+COUNTIFS('NELEUS'!$B$6:$B$205,$B20,'NELEUS'!$M$6:$M$205,설정!$E$10)+COUNTIFS('ONEIROI'!$B$6:$B$205,$B20,'ONEIROI'!$M$6:$M$205,설정!$E$10))</f>
        <v/>
      </c>
      <c r="P20" s="58">
        <f>IF(OR($B20="",설정!$E$11=""),"",COUNTIFS('AEOLUS'!$B$6:$B$205,$B20,'AEOLUS'!$M$6:$M$205,설정!$E$11)+COUNTIFS('MELICERTES'!$B$6:$B$205,$B20,'MELICERTES'!$M$6:$M$205,설정!$E$11)+COUNTIFS('NELEUS'!$B$6:$B$205,$B20,'NELEUS'!$M$6:$M$205,설정!$E$11)+COUNTIFS('ONEIROI'!$B$6:$B$205,$B20,'ONEIROI'!$M$6:$M$205,설정!$E$11))</f>
        <v/>
      </c>
      <c r="Q20" s="58">
        <f>IF(OR($B20="",설정!$E$12=""),"",COUNTIFS('AEOLUS'!$B$6:$B$205,$B20,'AEOLUS'!$M$6:$M$205,설정!$E$12)+COUNTIFS('MELICERTES'!$B$6:$B$205,$B20,'MELICERTES'!$M$6:$M$205,설정!$E$12)+COUNTIFS('NELEUS'!$B$6:$B$205,$B20,'NELEUS'!$M$6:$M$205,설정!$E$12)+COUNTIFS('ONEIROI'!$B$6:$B$205,$B20,'ONEIROI'!$M$6:$M$205,설정!$E$12))</f>
        <v/>
      </c>
      <c r="R20" s="58">
        <f>IF($B20="","",COUNTIFS('AEOLUS'!$B$6:$B$205,$B20,'AEOLUS'!$AI$6:$AI$205,"&gt;0")+COUNTIFS('MELICERTES'!$B$6:$B$205,$B20,'MELICERTES'!$AI$6:$AI$205,"&gt;0")+COUNTIFS('NELEUS'!$B$6:$B$205,$B20,'NELEUS'!$AI$6:$AI$205,"&gt;0")+COUNTIFS('ONEIROI'!$B$6:$B$205,$B20,'ONEIROI'!$AI$6:$AI$205,"&gt;0"))</f>
        <v/>
      </c>
      <c r="S20" s="53">
        <f>IF($B20="","",SUMIFS('AEOLUS'!$S$6:$S$205,'AEOLUS'!$B$6:$B$205,$B20,'AEOLUS'!$AK$6:$AK$205,1)+SUMIFS('MELICERTES'!$S$6:$S$205,'MELICERTES'!$B$6:$B$205,$B20,'MELICERTES'!$AK$6:$AK$205,1)+SUMIFS('NELEUS'!$S$6:$S$205,'NELEUS'!$B$6:$B$205,$B20,'NELEUS'!$AK$6:$AK$205,1)+SUMIFS('ONEIROI'!$S$6:$S$205,'ONEIROI'!$B$6:$B$205,$B20,'ONEIROI'!$AK$6:$AK$205,1))</f>
        <v/>
      </c>
      <c r="T20" s="36" t="inlineStr">
        <is>
          <t>IOB RFQ 번호 미상 – 딘텍 견적번호로 임시 표기 (Your ref 19-Oct-2026)</t>
        </is>
      </c>
    </row>
    <row r="21">
      <c r="A21" s="34" t="inlineStr">
        <is>
          <t>-</t>
        </is>
      </c>
      <c r="B21" s="34" t="inlineStr">
        <is>
          <t>IOB-ONR-26-1016(ME)</t>
        </is>
      </c>
      <c r="C21" s="36" t="inlineStr">
        <is>
          <t>HANWHA MAN 5G70ME-C10.5-GA (M/E 부품)</t>
        </is>
      </c>
      <c r="D21" s="34" t="inlineStr">
        <is>
          <t>Main Engine</t>
        </is>
      </c>
      <c r="E21" s="56" t="n"/>
      <c r="F21" s="36" t="inlineStr">
        <is>
          <t>ONEIROI</t>
        </is>
      </c>
      <c r="G21" s="34" t="n">
        <v>11</v>
      </c>
      <c r="H21" s="58">
        <f>IF($B21="","",COUNTIFS('AEOLUS'!$B$6:$B$205,$B21,'AEOLUS'!$AJ$6:$AJ$205,1)+COUNTIFS('MELICERTES'!$B$6:$B$205,$B21,'MELICERTES'!$AJ$6:$AJ$205,1)+COUNTIFS('NELEUS'!$B$6:$B$205,$B21,'NELEUS'!$AJ$6:$AJ$205,1)+COUNTIFS('ONEIROI'!$B$6:$B$205,$B21,'ONEIROI'!$AJ$6:$AJ$205,1))</f>
        <v/>
      </c>
      <c r="I21" s="58">
        <f>IF(OR($B21="",G21=""),"",G21-H21)</f>
        <v/>
      </c>
      <c r="J21" s="58">
        <f>IF(OR($B21="",설정!$E$5=""),"",COUNTIFS('AEOLUS'!$B$6:$B$205,$B21,'AEOLUS'!$M$6:$M$205,설정!$E$5)+COUNTIFS('MELICERTES'!$B$6:$B$205,$B21,'MELICERTES'!$M$6:$M$205,설정!$E$5)+COUNTIFS('NELEUS'!$B$6:$B$205,$B21,'NELEUS'!$M$6:$M$205,설정!$E$5)+COUNTIFS('ONEIROI'!$B$6:$B$205,$B21,'ONEIROI'!$M$6:$M$205,설정!$E$5))</f>
        <v/>
      </c>
      <c r="K21" s="58">
        <f>IF(OR($B21="",설정!$E$6=""),"",COUNTIFS('AEOLUS'!$B$6:$B$205,$B21,'AEOLUS'!$M$6:$M$205,설정!$E$6)+COUNTIFS('MELICERTES'!$B$6:$B$205,$B21,'MELICERTES'!$M$6:$M$205,설정!$E$6)+COUNTIFS('NELEUS'!$B$6:$B$205,$B21,'NELEUS'!$M$6:$M$205,설정!$E$6)+COUNTIFS('ONEIROI'!$B$6:$B$205,$B21,'ONEIROI'!$M$6:$M$205,설정!$E$6))</f>
        <v/>
      </c>
      <c r="L21" s="58">
        <f>IF(OR($B21="",설정!$E$7=""),"",COUNTIFS('AEOLUS'!$B$6:$B$205,$B21,'AEOLUS'!$M$6:$M$205,설정!$E$7)+COUNTIFS('MELICERTES'!$B$6:$B$205,$B21,'MELICERTES'!$M$6:$M$205,설정!$E$7)+COUNTIFS('NELEUS'!$B$6:$B$205,$B21,'NELEUS'!$M$6:$M$205,설정!$E$7)+COUNTIFS('ONEIROI'!$B$6:$B$205,$B21,'ONEIROI'!$M$6:$M$205,설정!$E$7))</f>
        <v/>
      </c>
      <c r="M21" s="58">
        <f>IF(OR($B21="",설정!$E$8=""),"",COUNTIFS('AEOLUS'!$B$6:$B$205,$B21,'AEOLUS'!$M$6:$M$205,설정!$E$8)+COUNTIFS('MELICERTES'!$B$6:$B$205,$B21,'MELICERTES'!$M$6:$M$205,설정!$E$8)+COUNTIFS('NELEUS'!$B$6:$B$205,$B21,'NELEUS'!$M$6:$M$205,설정!$E$8)+COUNTIFS('ONEIROI'!$B$6:$B$205,$B21,'ONEIROI'!$M$6:$M$205,설정!$E$8))</f>
        <v/>
      </c>
      <c r="N21" s="58">
        <f>IF(OR($B21="",설정!$E$9=""),"",COUNTIFS('AEOLUS'!$B$6:$B$205,$B21,'AEOLUS'!$M$6:$M$205,설정!$E$9)+COUNTIFS('MELICERTES'!$B$6:$B$205,$B21,'MELICERTES'!$M$6:$M$205,설정!$E$9)+COUNTIFS('NELEUS'!$B$6:$B$205,$B21,'NELEUS'!$M$6:$M$205,설정!$E$9)+COUNTIFS('ONEIROI'!$B$6:$B$205,$B21,'ONEIROI'!$M$6:$M$205,설정!$E$9))</f>
        <v/>
      </c>
      <c r="O21" s="58">
        <f>IF(OR($B21="",설정!$E$10=""),"",COUNTIFS('AEOLUS'!$B$6:$B$205,$B21,'AEOLUS'!$M$6:$M$205,설정!$E$10)+COUNTIFS('MELICERTES'!$B$6:$B$205,$B21,'MELICERTES'!$M$6:$M$205,설정!$E$10)+COUNTIFS('NELEUS'!$B$6:$B$205,$B21,'NELEUS'!$M$6:$M$205,설정!$E$10)+COUNTIFS('ONEIROI'!$B$6:$B$205,$B21,'ONEIROI'!$M$6:$M$205,설정!$E$10))</f>
        <v/>
      </c>
      <c r="P21" s="58">
        <f>IF(OR($B21="",설정!$E$11=""),"",COUNTIFS('AEOLUS'!$B$6:$B$205,$B21,'AEOLUS'!$M$6:$M$205,설정!$E$11)+COUNTIFS('MELICERTES'!$B$6:$B$205,$B21,'MELICERTES'!$M$6:$M$205,설정!$E$11)+COUNTIFS('NELEUS'!$B$6:$B$205,$B21,'NELEUS'!$M$6:$M$205,설정!$E$11)+COUNTIFS('ONEIROI'!$B$6:$B$205,$B21,'ONEIROI'!$M$6:$M$205,설정!$E$11))</f>
        <v/>
      </c>
      <c r="Q21" s="58">
        <f>IF(OR($B21="",설정!$E$12=""),"",COUNTIFS('AEOLUS'!$B$6:$B$205,$B21,'AEOLUS'!$M$6:$M$205,설정!$E$12)+COUNTIFS('MELICERTES'!$B$6:$B$205,$B21,'MELICERTES'!$M$6:$M$205,설정!$E$12)+COUNTIFS('NELEUS'!$B$6:$B$205,$B21,'NELEUS'!$M$6:$M$205,설정!$E$12)+COUNTIFS('ONEIROI'!$B$6:$B$205,$B21,'ONEIROI'!$M$6:$M$205,설정!$E$12))</f>
        <v/>
      </c>
      <c r="R21" s="58">
        <f>IF($B21="","",COUNTIFS('AEOLUS'!$B$6:$B$205,$B21,'AEOLUS'!$AI$6:$AI$205,"&gt;0")+COUNTIFS('MELICERTES'!$B$6:$B$205,$B21,'MELICERTES'!$AI$6:$AI$205,"&gt;0")+COUNTIFS('NELEUS'!$B$6:$B$205,$B21,'NELEUS'!$AI$6:$AI$205,"&gt;0")+COUNTIFS('ONEIROI'!$B$6:$B$205,$B21,'ONEIROI'!$AI$6:$AI$205,"&gt;0"))</f>
        <v/>
      </c>
      <c r="S21" s="53">
        <f>IF($B21="","",SUMIFS('AEOLUS'!$S$6:$S$205,'AEOLUS'!$B$6:$B$205,$B21,'AEOLUS'!$AK$6:$AK$205,1)+SUMIFS('MELICERTES'!$S$6:$S$205,'MELICERTES'!$B$6:$B$205,$B21,'MELICERTES'!$AK$6:$AK$205,1)+SUMIFS('NELEUS'!$S$6:$S$205,'NELEUS'!$B$6:$B$205,$B21,'NELEUS'!$AK$6:$AK$205,1)+SUMIFS('ONEIROI'!$S$6:$S$205,'ONEIROI'!$B$6:$B$205,$B21,'ONEIROI'!$AK$6:$AK$205,1))</f>
        <v/>
      </c>
      <c r="T21" s="36" t="inlineStr">
        <is>
          <t>옥슨 견적번호로 임시 표기 (Your ref: E-MAIL). 견적서 17품목 중 6개는 기존 RFQ로 묶음</t>
        </is>
      </c>
    </row>
    <row r="22">
      <c r="A22" s="34" t="inlineStr">
        <is>
          <t>-</t>
        </is>
      </c>
      <c r="B22" s="34" t="inlineStr">
        <is>
          <t>IOB-AEL-26-1014(OWS)</t>
        </is>
      </c>
      <c r="C22" s="36" t="inlineStr">
        <is>
          <t>SKF MARINE OWS (HycaSep element)</t>
        </is>
      </c>
      <c r="D22" s="34" t="inlineStr">
        <is>
          <t>Oily Water Separator</t>
        </is>
      </c>
      <c r="E22" s="56" t="n"/>
      <c r="F22" s="36" t="inlineStr">
        <is>
          <t>AEOLUS</t>
        </is>
      </c>
      <c r="G22" s="34" t="n">
        <v>1</v>
      </c>
      <c r="H22" s="58">
        <f>IF($B22="","",COUNTIFS('AEOLUS'!$B$6:$B$205,$B22,'AEOLUS'!$AJ$6:$AJ$205,1)+COUNTIFS('MELICERTES'!$B$6:$B$205,$B22,'MELICERTES'!$AJ$6:$AJ$205,1)+COUNTIFS('NELEUS'!$B$6:$B$205,$B22,'NELEUS'!$AJ$6:$AJ$205,1)+COUNTIFS('ONEIROI'!$B$6:$B$205,$B22,'ONEIROI'!$AJ$6:$AJ$205,1))</f>
        <v/>
      </c>
      <c r="I22" s="58">
        <f>IF(OR($B22="",G22=""),"",G22-H22)</f>
        <v/>
      </c>
      <c r="J22" s="58">
        <f>IF(OR($B22="",설정!$E$5=""),"",COUNTIFS('AEOLUS'!$B$6:$B$205,$B22,'AEOLUS'!$M$6:$M$205,설정!$E$5)+COUNTIFS('MELICERTES'!$B$6:$B$205,$B22,'MELICERTES'!$M$6:$M$205,설정!$E$5)+COUNTIFS('NELEUS'!$B$6:$B$205,$B22,'NELEUS'!$M$6:$M$205,설정!$E$5)+COUNTIFS('ONEIROI'!$B$6:$B$205,$B22,'ONEIROI'!$M$6:$M$205,설정!$E$5))</f>
        <v/>
      </c>
      <c r="K22" s="58">
        <f>IF(OR($B22="",설정!$E$6=""),"",COUNTIFS('AEOLUS'!$B$6:$B$205,$B22,'AEOLUS'!$M$6:$M$205,설정!$E$6)+COUNTIFS('MELICERTES'!$B$6:$B$205,$B22,'MELICERTES'!$M$6:$M$205,설정!$E$6)+COUNTIFS('NELEUS'!$B$6:$B$205,$B22,'NELEUS'!$M$6:$M$205,설정!$E$6)+COUNTIFS('ONEIROI'!$B$6:$B$205,$B22,'ONEIROI'!$M$6:$M$205,설정!$E$6))</f>
        <v/>
      </c>
      <c r="L22" s="58">
        <f>IF(OR($B22="",설정!$E$7=""),"",COUNTIFS('AEOLUS'!$B$6:$B$205,$B22,'AEOLUS'!$M$6:$M$205,설정!$E$7)+COUNTIFS('MELICERTES'!$B$6:$B$205,$B22,'MELICERTES'!$M$6:$M$205,설정!$E$7)+COUNTIFS('NELEUS'!$B$6:$B$205,$B22,'NELEUS'!$M$6:$M$205,설정!$E$7)+COUNTIFS('ONEIROI'!$B$6:$B$205,$B22,'ONEIROI'!$M$6:$M$205,설정!$E$7))</f>
        <v/>
      </c>
      <c r="M22" s="58">
        <f>IF(OR($B22="",설정!$E$8=""),"",COUNTIFS('AEOLUS'!$B$6:$B$205,$B22,'AEOLUS'!$M$6:$M$205,설정!$E$8)+COUNTIFS('MELICERTES'!$B$6:$B$205,$B22,'MELICERTES'!$M$6:$M$205,설정!$E$8)+COUNTIFS('NELEUS'!$B$6:$B$205,$B22,'NELEUS'!$M$6:$M$205,설정!$E$8)+COUNTIFS('ONEIROI'!$B$6:$B$205,$B22,'ONEIROI'!$M$6:$M$205,설정!$E$8))</f>
        <v/>
      </c>
      <c r="N22" s="58">
        <f>IF(OR($B22="",설정!$E$9=""),"",COUNTIFS('AEOLUS'!$B$6:$B$205,$B22,'AEOLUS'!$M$6:$M$205,설정!$E$9)+COUNTIFS('MELICERTES'!$B$6:$B$205,$B22,'MELICERTES'!$M$6:$M$205,설정!$E$9)+COUNTIFS('NELEUS'!$B$6:$B$205,$B22,'NELEUS'!$M$6:$M$205,설정!$E$9)+COUNTIFS('ONEIROI'!$B$6:$B$205,$B22,'ONEIROI'!$M$6:$M$205,설정!$E$9))</f>
        <v/>
      </c>
      <c r="O22" s="58">
        <f>IF(OR($B22="",설정!$E$10=""),"",COUNTIFS('AEOLUS'!$B$6:$B$205,$B22,'AEOLUS'!$M$6:$M$205,설정!$E$10)+COUNTIFS('MELICERTES'!$B$6:$B$205,$B22,'MELICERTES'!$M$6:$M$205,설정!$E$10)+COUNTIFS('NELEUS'!$B$6:$B$205,$B22,'NELEUS'!$M$6:$M$205,설정!$E$10)+COUNTIFS('ONEIROI'!$B$6:$B$205,$B22,'ONEIROI'!$M$6:$M$205,설정!$E$10))</f>
        <v/>
      </c>
      <c r="P22" s="58">
        <f>IF(OR($B22="",설정!$E$11=""),"",COUNTIFS('AEOLUS'!$B$6:$B$205,$B22,'AEOLUS'!$M$6:$M$205,설정!$E$11)+COUNTIFS('MELICERTES'!$B$6:$B$205,$B22,'MELICERTES'!$M$6:$M$205,설정!$E$11)+COUNTIFS('NELEUS'!$B$6:$B$205,$B22,'NELEUS'!$M$6:$M$205,설정!$E$11)+COUNTIFS('ONEIROI'!$B$6:$B$205,$B22,'ONEIROI'!$M$6:$M$205,설정!$E$11))</f>
        <v/>
      </c>
      <c r="Q22" s="58">
        <f>IF(OR($B22="",설정!$E$12=""),"",COUNTIFS('AEOLUS'!$B$6:$B$205,$B22,'AEOLUS'!$M$6:$M$205,설정!$E$12)+COUNTIFS('MELICERTES'!$B$6:$B$205,$B22,'MELICERTES'!$M$6:$M$205,설정!$E$12)+COUNTIFS('NELEUS'!$B$6:$B$205,$B22,'NELEUS'!$M$6:$M$205,설정!$E$12)+COUNTIFS('ONEIROI'!$B$6:$B$205,$B22,'ONEIROI'!$M$6:$M$205,설정!$E$12))</f>
        <v/>
      </c>
      <c r="R22" s="58">
        <f>IF($B22="","",COUNTIFS('AEOLUS'!$B$6:$B$205,$B22,'AEOLUS'!$AI$6:$AI$205,"&gt;0")+COUNTIFS('MELICERTES'!$B$6:$B$205,$B22,'MELICERTES'!$AI$6:$AI$205,"&gt;0")+COUNTIFS('NELEUS'!$B$6:$B$205,$B22,'NELEUS'!$AI$6:$AI$205,"&gt;0")+COUNTIFS('ONEIROI'!$B$6:$B$205,$B22,'ONEIROI'!$AI$6:$AI$205,"&gt;0"))</f>
        <v/>
      </c>
      <c r="S22" s="53">
        <f>IF($B22="","",SUMIFS('AEOLUS'!$S$6:$S$205,'AEOLUS'!$B$6:$B$205,$B22,'AEOLUS'!$AK$6:$AK$205,1)+SUMIFS('MELICERTES'!$S$6:$S$205,'MELICERTES'!$B$6:$B$205,$B22,'MELICERTES'!$AK$6:$AK$205,1)+SUMIFS('NELEUS'!$S$6:$S$205,'NELEUS'!$B$6:$B$205,$B22,'NELEUS'!$AK$6:$AK$205,1)+SUMIFS('ONEIROI'!$S$6:$S$205,'ONEIROI'!$B$6:$B$205,$B22,'ONEIROI'!$AK$6:$AK$205,1))</f>
        <v/>
      </c>
      <c r="T22" s="36" t="inlineStr">
        <is>
          <t>옥슨 견적번호로 임시 표기 (Your ref: E-MAIL)</t>
        </is>
      </c>
    </row>
    <row r="23">
      <c r="A23" s="34" t="inlineStr">
        <is>
          <t>002</t>
        </is>
      </c>
      <c r="B23" s="34" t="inlineStr">
        <is>
          <t>002 - UPS battery</t>
        </is>
      </c>
      <c r="C23" s="36" t="inlineStr">
        <is>
          <t>UPS battery</t>
        </is>
      </c>
      <c r="D23" s="34" t="inlineStr">
        <is>
          <t>UPS</t>
        </is>
      </c>
      <c r="E23" s="56" t="n"/>
      <c r="F23" s="36" t="inlineStr">
        <is>
          <t>NELEUS</t>
        </is>
      </c>
      <c r="G23" s="34" t="n">
        <v>1</v>
      </c>
      <c r="H23" s="58">
        <f>IF($B23="","",COUNTIFS('AEOLUS'!$B$6:$B$205,$B23,'AEOLUS'!$AJ$6:$AJ$205,1)+COUNTIFS('MELICERTES'!$B$6:$B$205,$B23,'MELICERTES'!$AJ$6:$AJ$205,1)+COUNTIFS('NELEUS'!$B$6:$B$205,$B23,'NELEUS'!$AJ$6:$AJ$205,1)+COUNTIFS('ONEIROI'!$B$6:$B$205,$B23,'ONEIROI'!$AJ$6:$AJ$205,1))</f>
        <v/>
      </c>
      <c r="I23" s="58">
        <f>IF(OR($B23="",G23=""),"",G23-H23)</f>
        <v/>
      </c>
      <c r="J23" s="58">
        <f>IF(OR($B23="",설정!$E$5=""),"",COUNTIFS('AEOLUS'!$B$6:$B$205,$B23,'AEOLUS'!$M$6:$M$205,설정!$E$5)+COUNTIFS('MELICERTES'!$B$6:$B$205,$B23,'MELICERTES'!$M$6:$M$205,설정!$E$5)+COUNTIFS('NELEUS'!$B$6:$B$205,$B23,'NELEUS'!$M$6:$M$205,설정!$E$5)+COUNTIFS('ONEIROI'!$B$6:$B$205,$B23,'ONEIROI'!$M$6:$M$205,설정!$E$5))</f>
        <v/>
      </c>
      <c r="K23" s="58">
        <f>IF(OR($B23="",설정!$E$6=""),"",COUNTIFS('AEOLUS'!$B$6:$B$205,$B23,'AEOLUS'!$M$6:$M$205,설정!$E$6)+COUNTIFS('MELICERTES'!$B$6:$B$205,$B23,'MELICERTES'!$M$6:$M$205,설정!$E$6)+COUNTIFS('NELEUS'!$B$6:$B$205,$B23,'NELEUS'!$M$6:$M$205,설정!$E$6)+COUNTIFS('ONEIROI'!$B$6:$B$205,$B23,'ONEIROI'!$M$6:$M$205,설정!$E$6))</f>
        <v/>
      </c>
      <c r="L23" s="58">
        <f>IF(OR($B23="",설정!$E$7=""),"",COUNTIFS('AEOLUS'!$B$6:$B$205,$B23,'AEOLUS'!$M$6:$M$205,설정!$E$7)+COUNTIFS('MELICERTES'!$B$6:$B$205,$B23,'MELICERTES'!$M$6:$M$205,설정!$E$7)+COUNTIFS('NELEUS'!$B$6:$B$205,$B23,'NELEUS'!$M$6:$M$205,설정!$E$7)+COUNTIFS('ONEIROI'!$B$6:$B$205,$B23,'ONEIROI'!$M$6:$M$205,설정!$E$7))</f>
        <v/>
      </c>
      <c r="M23" s="58">
        <f>IF(OR($B23="",설정!$E$8=""),"",COUNTIFS('AEOLUS'!$B$6:$B$205,$B23,'AEOLUS'!$M$6:$M$205,설정!$E$8)+COUNTIFS('MELICERTES'!$B$6:$B$205,$B23,'MELICERTES'!$M$6:$M$205,설정!$E$8)+COUNTIFS('NELEUS'!$B$6:$B$205,$B23,'NELEUS'!$M$6:$M$205,설정!$E$8)+COUNTIFS('ONEIROI'!$B$6:$B$205,$B23,'ONEIROI'!$M$6:$M$205,설정!$E$8))</f>
        <v/>
      </c>
      <c r="N23" s="58">
        <f>IF(OR($B23="",설정!$E$9=""),"",COUNTIFS('AEOLUS'!$B$6:$B$205,$B23,'AEOLUS'!$M$6:$M$205,설정!$E$9)+COUNTIFS('MELICERTES'!$B$6:$B$205,$B23,'MELICERTES'!$M$6:$M$205,설정!$E$9)+COUNTIFS('NELEUS'!$B$6:$B$205,$B23,'NELEUS'!$M$6:$M$205,설정!$E$9)+COUNTIFS('ONEIROI'!$B$6:$B$205,$B23,'ONEIROI'!$M$6:$M$205,설정!$E$9))</f>
        <v/>
      </c>
      <c r="O23" s="58">
        <f>IF(OR($B23="",설정!$E$10=""),"",COUNTIFS('AEOLUS'!$B$6:$B$205,$B23,'AEOLUS'!$M$6:$M$205,설정!$E$10)+COUNTIFS('MELICERTES'!$B$6:$B$205,$B23,'MELICERTES'!$M$6:$M$205,설정!$E$10)+COUNTIFS('NELEUS'!$B$6:$B$205,$B23,'NELEUS'!$M$6:$M$205,설정!$E$10)+COUNTIFS('ONEIROI'!$B$6:$B$205,$B23,'ONEIROI'!$M$6:$M$205,설정!$E$10))</f>
        <v/>
      </c>
      <c r="P23" s="58">
        <f>IF(OR($B23="",설정!$E$11=""),"",COUNTIFS('AEOLUS'!$B$6:$B$205,$B23,'AEOLUS'!$M$6:$M$205,설정!$E$11)+COUNTIFS('MELICERTES'!$B$6:$B$205,$B23,'MELICERTES'!$M$6:$M$205,설정!$E$11)+COUNTIFS('NELEUS'!$B$6:$B$205,$B23,'NELEUS'!$M$6:$M$205,설정!$E$11)+COUNTIFS('ONEIROI'!$B$6:$B$205,$B23,'ONEIROI'!$M$6:$M$205,설정!$E$11))</f>
        <v/>
      </c>
      <c r="Q23" s="58">
        <f>IF(OR($B23="",설정!$E$12=""),"",COUNTIFS('AEOLUS'!$B$6:$B$205,$B23,'AEOLUS'!$M$6:$M$205,설정!$E$12)+COUNTIFS('MELICERTES'!$B$6:$B$205,$B23,'MELICERTES'!$M$6:$M$205,설정!$E$12)+COUNTIFS('NELEUS'!$B$6:$B$205,$B23,'NELEUS'!$M$6:$M$205,설정!$E$12)+COUNTIFS('ONEIROI'!$B$6:$B$205,$B23,'ONEIROI'!$M$6:$M$205,설정!$E$12))</f>
        <v/>
      </c>
      <c r="R23" s="58">
        <f>IF($B23="","",COUNTIFS('AEOLUS'!$B$6:$B$205,$B23,'AEOLUS'!$AI$6:$AI$205,"&gt;0")+COUNTIFS('MELICERTES'!$B$6:$B$205,$B23,'MELICERTES'!$AI$6:$AI$205,"&gt;0")+COUNTIFS('NELEUS'!$B$6:$B$205,$B23,'NELEUS'!$AI$6:$AI$205,"&gt;0")+COUNTIFS('ONEIROI'!$B$6:$B$205,$B23,'ONEIROI'!$AI$6:$AI$205,"&gt;0"))</f>
        <v/>
      </c>
      <c r="S23" s="53">
        <f>IF($B23="","",SUMIFS('AEOLUS'!$S$6:$S$205,'AEOLUS'!$B$6:$B$205,$B23,'AEOLUS'!$AK$6:$AK$205,1)+SUMIFS('MELICERTES'!$S$6:$S$205,'MELICERTES'!$B$6:$B$205,$B23,'MELICERTES'!$AK$6:$AK$205,1)+SUMIFS('NELEUS'!$S$6:$S$205,'NELEUS'!$B$6:$B$205,$B23,'NELEUS'!$AK$6:$AK$205,1)+SUMIFS('ONEIROI'!$S$6:$S$205,'ONEIROI'!$B$6:$B$205,$B23,'ONEIROI'!$AK$6:$AK$205,1))</f>
        <v/>
      </c>
      <c r="T23" s="36" t="inlineStr">
        <is>
          <t>RFQ 번호 없음 – AFS 견적서 참조번호(002)</t>
        </is>
      </c>
    </row>
    <row r="24">
      <c r="A24" s="34" t="inlineStr">
        <is>
          <t>B01</t>
        </is>
      </c>
      <c r="B24" s="34" t="inlineStr">
        <is>
          <t>BOSUNG-01</t>
        </is>
      </c>
      <c r="C24" s="36" t="inlineStr">
        <is>
          <t>DONGHWA PNEUTEC (control air compressor)</t>
        </is>
      </c>
      <c r="D24" s="34" t="inlineStr">
        <is>
          <t>Control Air Compressor</t>
        </is>
      </c>
      <c r="E24" s="56" t="n">
        <v>46314</v>
      </c>
      <c r="F24" s="36" t="inlineStr">
        <is>
          <t>AEOLUS / MELICERTES / NELEUS</t>
        </is>
      </c>
      <c r="G24" s="34" t="n">
        <v>13</v>
      </c>
      <c r="H24" s="58">
        <f>IF($B24="","",COUNTIFS('AEOLUS'!$B$6:$B$205,$B24,'AEOLUS'!$AJ$6:$AJ$205,1)+COUNTIFS('MELICERTES'!$B$6:$B$205,$B24,'MELICERTES'!$AJ$6:$AJ$205,1)+COUNTIFS('NELEUS'!$B$6:$B$205,$B24,'NELEUS'!$AJ$6:$AJ$205,1)+COUNTIFS('ONEIROI'!$B$6:$B$205,$B24,'ONEIROI'!$AJ$6:$AJ$205,1))</f>
        <v/>
      </c>
      <c r="I24" s="58">
        <f>IF(OR($B24="",G24=""),"",G24-H24)</f>
        <v/>
      </c>
      <c r="J24" s="58">
        <f>IF(OR($B24="",설정!$E$5=""),"",COUNTIFS('AEOLUS'!$B$6:$B$205,$B24,'AEOLUS'!$M$6:$M$205,설정!$E$5)+COUNTIFS('MELICERTES'!$B$6:$B$205,$B24,'MELICERTES'!$M$6:$M$205,설정!$E$5)+COUNTIFS('NELEUS'!$B$6:$B$205,$B24,'NELEUS'!$M$6:$M$205,설정!$E$5)+COUNTIFS('ONEIROI'!$B$6:$B$205,$B24,'ONEIROI'!$M$6:$M$205,설정!$E$5))</f>
        <v/>
      </c>
      <c r="K24" s="58">
        <f>IF(OR($B24="",설정!$E$6=""),"",COUNTIFS('AEOLUS'!$B$6:$B$205,$B24,'AEOLUS'!$M$6:$M$205,설정!$E$6)+COUNTIFS('MELICERTES'!$B$6:$B$205,$B24,'MELICERTES'!$M$6:$M$205,설정!$E$6)+COUNTIFS('NELEUS'!$B$6:$B$205,$B24,'NELEUS'!$M$6:$M$205,설정!$E$6)+COUNTIFS('ONEIROI'!$B$6:$B$205,$B24,'ONEIROI'!$M$6:$M$205,설정!$E$6))</f>
        <v/>
      </c>
      <c r="L24" s="58">
        <f>IF(OR($B24="",설정!$E$7=""),"",COUNTIFS('AEOLUS'!$B$6:$B$205,$B24,'AEOLUS'!$M$6:$M$205,설정!$E$7)+COUNTIFS('MELICERTES'!$B$6:$B$205,$B24,'MELICERTES'!$M$6:$M$205,설정!$E$7)+COUNTIFS('NELEUS'!$B$6:$B$205,$B24,'NELEUS'!$M$6:$M$205,설정!$E$7)+COUNTIFS('ONEIROI'!$B$6:$B$205,$B24,'ONEIROI'!$M$6:$M$205,설정!$E$7))</f>
        <v/>
      </c>
      <c r="M24" s="58">
        <f>IF(OR($B24="",설정!$E$8=""),"",COUNTIFS('AEOLUS'!$B$6:$B$205,$B24,'AEOLUS'!$M$6:$M$205,설정!$E$8)+COUNTIFS('MELICERTES'!$B$6:$B$205,$B24,'MELICERTES'!$M$6:$M$205,설정!$E$8)+COUNTIFS('NELEUS'!$B$6:$B$205,$B24,'NELEUS'!$M$6:$M$205,설정!$E$8)+COUNTIFS('ONEIROI'!$B$6:$B$205,$B24,'ONEIROI'!$M$6:$M$205,설정!$E$8))</f>
        <v/>
      </c>
      <c r="N24" s="58">
        <f>IF(OR($B24="",설정!$E$9=""),"",COUNTIFS('AEOLUS'!$B$6:$B$205,$B24,'AEOLUS'!$M$6:$M$205,설정!$E$9)+COUNTIFS('MELICERTES'!$B$6:$B$205,$B24,'MELICERTES'!$M$6:$M$205,설정!$E$9)+COUNTIFS('NELEUS'!$B$6:$B$205,$B24,'NELEUS'!$M$6:$M$205,설정!$E$9)+COUNTIFS('ONEIROI'!$B$6:$B$205,$B24,'ONEIROI'!$M$6:$M$205,설정!$E$9))</f>
        <v/>
      </c>
      <c r="O24" s="58">
        <f>IF(OR($B24="",설정!$E$10=""),"",COUNTIFS('AEOLUS'!$B$6:$B$205,$B24,'AEOLUS'!$M$6:$M$205,설정!$E$10)+COUNTIFS('MELICERTES'!$B$6:$B$205,$B24,'MELICERTES'!$M$6:$M$205,설정!$E$10)+COUNTIFS('NELEUS'!$B$6:$B$205,$B24,'NELEUS'!$M$6:$M$205,설정!$E$10)+COUNTIFS('ONEIROI'!$B$6:$B$205,$B24,'ONEIROI'!$M$6:$M$205,설정!$E$10))</f>
        <v/>
      </c>
      <c r="P24" s="58">
        <f>IF(OR($B24="",설정!$E$11=""),"",COUNTIFS('AEOLUS'!$B$6:$B$205,$B24,'AEOLUS'!$M$6:$M$205,설정!$E$11)+COUNTIFS('MELICERTES'!$B$6:$B$205,$B24,'MELICERTES'!$M$6:$M$205,설정!$E$11)+COUNTIFS('NELEUS'!$B$6:$B$205,$B24,'NELEUS'!$M$6:$M$205,설정!$E$11)+COUNTIFS('ONEIROI'!$B$6:$B$205,$B24,'ONEIROI'!$M$6:$M$205,설정!$E$11))</f>
        <v/>
      </c>
      <c r="Q24" s="58">
        <f>IF(OR($B24="",설정!$E$12=""),"",COUNTIFS('AEOLUS'!$B$6:$B$205,$B24,'AEOLUS'!$M$6:$M$205,설정!$E$12)+COUNTIFS('MELICERTES'!$B$6:$B$205,$B24,'MELICERTES'!$M$6:$M$205,설정!$E$12)+COUNTIFS('NELEUS'!$B$6:$B$205,$B24,'NELEUS'!$M$6:$M$205,설정!$E$12)+COUNTIFS('ONEIROI'!$B$6:$B$205,$B24,'ONEIROI'!$M$6:$M$205,설정!$E$12))</f>
        <v/>
      </c>
      <c r="R24" s="58">
        <f>IF($B24="","",COUNTIFS('AEOLUS'!$B$6:$B$205,$B24,'AEOLUS'!$AI$6:$AI$205,"&gt;0")+COUNTIFS('MELICERTES'!$B$6:$B$205,$B24,'MELICERTES'!$AI$6:$AI$205,"&gt;0")+COUNTIFS('NELEUS'!$B$6:$B$205,$B24,'NELEUS'!$AI$6:$AI$205,"&gt;0")+COUNTIFS('ONEIROI'!$B$6:$B$205,$B24,'ONEIROI'!$AI$6:$AI$205,"&gt;0"))</f>
        <v/>
      </c>
      <c r="S24" s="53">
        <f>IF($B24="","",SUMIFS('AEOLUS'!$S$6:$S$205,'AEOLUS'!$B$6:$B$205,$B24,'AEOLUS'!$AK$6:$AK$205,1)+SUMIFS('MELICERTES'!$S$6:$S$205,'MELICERTES'!$B$6:$B$205,$B24,'MELICERTES'!$AK$6:$AK$205,1)+SUMIFS('NELEUS'!$S$6:$S$205,'NELEUS'!$B$6:$B$205,$B24,'NELEUS'!$AK$6:$AK$205,1)+SUMIFS('ONEIROI'!$S$6:$S$205,'ONEIROI'!$B$6:$B$205,$B24,'ONEIROI'!$AK$6:$AK$205,1))</f>
        <v/>
      </c>
      <c r="T24" s="36" t="inlineStr">
        <is>
          <t>보성엔지니어링 앞 RFQ (RFQ No. 칸 공란 → BOSUNG-번호로 표기)</t>
        </is>
      </c>
    </row>
    <row r="25">
      <c r="A25" s="34" t="inlineStr">
        <is>
          <t>B02</t>
        </is>
      </c>
      <c r="B25" s="34" t="inlineStr">
        <is>
          <t>BOSUNG-02</t>
        </is>
      </c>
      <c r="C25" s="36" t="inlineStr">
        <is>
          <t>SAMKUN CENTURY (UV sterilizer)</t>
        </is>
      </c>
      <c r="D25" s="34" t="inlineStr">
        <is>
          <t>UV Sterilizer</t>
        </is>
      </c>
      <c r="E25" s="56" t="n">
        <v>46314</v>
      </c>
      <c r="F25" s="36" t="inlineStr">
        <is>
          <t>MELICERTES</t>
        </is>
      </c>
      <c r="G25" s="34" t="n">
        <v>11</v>
      </c>
      <c r="H25" s="58">
        <f>IF($B25="","",COUNTIFS('AEOLUS'!$B$6:$B$205,$B25,'AEOLUS'!$AJ$6:$AJ$205,1)+COUNTIFS('MELICERTES'!$B$6:$B$205,$B25,'MELICERTES'!$AJ$6:$AJ$205,1)+COUNTIFS('NELEUS'!$B$6:$B$205,$B25,'NELEUS'!$AJ$6:$AJ$205,1)+COUNTIFS('ONEIROI'!$B$6:$B$205,$B25,'ONEIROI'!$AJ$6:$AJ$205,1))</f>
        <v/>
      </c>
      <c r="I25" s="58">
        <f>IF(OR($B25="",G25=""),"",G25-H25)</f>
        <v/>
      </c>
      <c r="J25" s="58">
        <f>IF(OR($B25="",설정!$E$5=""),"",COUNTIFS('AEOLUS'!$B$6:$B$205,$B25,'AEOLUS'!$M$6:$M$205,설정!$E$5)+COUNTIFS('MELICERTES'!$B$6:$B$205,$B25,'MELICERTES'!$M$6:$M$205,설정!$E$5)+COUNTIFS('NELEUS'!$B$6:$B$205,$B25,'NELEUS'!$M$6:$M$205,설정!$E$5)+COUNTIFS('ONEIROI'!$B$6:$B$205,$B25,'ONEIROI'!$M$6:$M$205,설정!$E$5))</f>
        <v/>
      </c>
      <c r="K25" s="58">
        <f>IF(OR($B25="",설정!$E$6=""),"",COUNTIFS('AEOLUS'!$B$6:$B$205,$B25,'AEOLUS'!$M$6:$M$205,설정!$E$6)+COUNTIFS('MELICERTES'!$B$6:$B$205,$B25,'MELICERTES'!$M$6:$M$205,설정!$E$6)+COUNTIFS('NELEUS'!$B$6:$B$205,$B25,'NELEUS'!$M$6:$M$205,설정!$E$6)+COUNTIFS('ONEIROI'!$B$6:$B$205,$B25,'ONEIROI'!$M$6:$M$205,설정!$E$6))</f>
        <v/>
      </c>
      <c r="L25" s="58">
        <f>IF(OR($B25="",설정!$E$7=""),"",COUNTIFS('AEOLUS'!$B$6:$B$205,$B25,'AEOLUS'!$M$6:$M$205,설정!$E$7)+COUNTIFS('MELICERTES'!$B$6:$B$205,$B25,'MELICERTES'!$M$6:$M$205,설정!$E$7)+COUNTIFS('NELEUS'!$B$6:$B$205,$B25,'NELEUS'!$M$6:$M$205,설정!$E$7)+COUNTIFS('ONEIROI'!$B$6:$B$205,$B25,'ONEIROI'!$M$6:$M$205,설정!$E$7))</f>
        <v/>
      </c>
      <c r="M25" s="58">
        <f>IF(OR($B25="",설정!$E$8=""),"",COUNTIFS('AEOLUS'!$B$6:$B$205,$B25,'AEOLUS'!$M$6:$M$205,설정!$E$8)+COUNTIFS('MELICERTES'!$B$6:$B$205,$B25,'MELICERTES'!$M$6:$M$205,설정!$E$8)+COUNTIFS('NELEUS'!$B$6:$B$205,$B25,'NELEUS'!$M$6:$M$205,설정!$E$8)+COUNTIFS('ONEIROI'!$B$6:$B$205,$B25,'ONEIROI'!$M$6:$M$205,설정!$E$8))</f>
        <v/>
      </c>
      <c r="N25" s="58">
        <f>IF(OR($B25="",설정!$E$9=""),"",COUNTIFS('AEOLUS'!$B$6:$B$205,$B25,'AEOLUS'!$M$6:$M$205,설정!$E$9)+COUNTIFS('MELICERTES'!$B$6:$B$205,$B25,'MELICERTES'!$M$6:$M$205,설정!$E$9)+COUNTIFS('NELEUS'!$B$6:$B$205,$B25,'NELEUS'!$M$6:$M$205,설정!$E$9)+COUNTIFS('ONEIROI'!$B$6:$B$205,$B25,'ONEIROI'!$M$6:$M$205,설정!$E$9))</f>
        <v/>
      </c>
      <c r="O25" s="58">
        <f>IF(OR($B25="",설정!$E$10=""),"",COUNTIFS('AEOLUS'!$B$6:$B$205,$B25,'AEOLUS'!$M$6:$M$205,설정!$E$10)+COUNTIFS('MELICERTES'!$B$6:$B$205,$B25,'MELICERTES'!$M$6:$M$205,설정!$E$10)+COUNTIFS('NELEUS'!$B$6:$B$205,$B25,'NELEUS'!$M$6:$M$205,설정!$E$10)+COUNTIFS('ONEIROI'!$B$6:$B$205,$B25,'ONEIROI'!$M$6:$M$205,설정!$E$10))</f>
        <v/>
      </c>
      <c r="P25" s="58">
        <f>IF(OR($B25="",설정!$E$11=""),"",COUNTIFS('AEOLUS'!$B$6:$B$205,$B25,'AEOLUS'!$M$6:$M$205,설정!$E$11)+COUNTIFS('MELICERTES'!$B$6:$B$205,$B25,'MELICERTES'!$M$6:$M$205,설정!$E$11)+COUNTIFS('NELEUS'!$B$6:$B$205,$B25,'NELEUS'!$M$6:$M$205,설정!$E$11)+COUNTIFS('ONEIROI'!$B$6:$B$205,$B25,'ONEIROI'!$M$6:$M$205,설정!$E$11))</f>
        <v/>
      </c>
      <c r="Q25" s="58">
        <f>IF(OR($B25="",설정!$E$12=""),"",COUNTIFS('AEOLUS'!$B$6:$B$205,$B25,'AEOLUS'!$M$6:$M$205,설정!$E$12)+COUNTIFS('MELICERTES'!$B$6:$B$205,$B25,'MELICERTES'!$M$6:$M$205,설정!$E$12)+COUNTIFS('NELEUS'!$B$6:$B$205,$B25,'NELEUS'!$M$6:$M$205,설정!$E$12)+COUNTIFS('ONEIROI'!$B$6:$B$205,$B25,'ONEIROI'!$M$6:$M$205,설정!$E$12))</f>
        <v/>
      </c>
      <c r="R25" s="58">
        <f>IF($B25="","",COUNTIFS('AEOLUS'!$B$6:$B$205,$B25,'AEOLUS'!$AI$6:$AI$205,"&gt;0")+COUNTIFS('MELICERTES'!$B$6:$B$205,$B25,'MELICERTES'!$AI$6:$AI$205,"&gt;0")+COUNTIFS('NELEUS'!$B$6:$B$205,$B25,'NELEUS'!$AI$6:$AI$205,"&gt;0")+COUNTIFS('ONEIROI'!$B$6:$B$205,$B25,'ONEIROI'!$AI$6:$AI$205,"&gt;0"))</f>
        <v/>
      </c>
      <c r="S25" s="53">
        <f>IF($B25="","",SUMIFS('AEOLUS'!$S$6:$S$205,'AEOLUS'!$B$6:$B$205,$B25,'AEOLUS'!$AK$6:$AK$205,1)+SUMIFS('MELICERTES'!$S$6:$S$205,'MELICERTES'!$B$6:$B$205,$B25,'MELICERTES'!$AK$6:$AK$205,1)+SUMIFS('NELEUS'!$S$6:$S$205,'NELEUS'!$B$6:$B$205,$B25,'NELEUS'!$AK$6:$AK$205,1)+SUMIFS('ONEIROI'!$S$6:$S$205,'ONEIROI'!$B$6:$B$205,$B25,'ONEIROI'!$AK$6:$AK$205,1))</f>
        <v/>
      </c>
      <c r="T25" s="36" t="inlineStr">
        <is>
          <t>보성엔지니어링 앞 RFQ (RFQ No. 칸 공란 → BOSUNG-번호로 표기)</t>
        </is>
      </c>
    </row>
    <row r="26">
      <c r="A26" s="34" t="inlineStr">
        <is>
          <t>B03</t>
        </is>
      </c>
      <c r="B26" s="34" t="inlineStr">
        <is>
          <t>BOSUNG-03</t>
        </is>
      </c>
      <c r="C26" s="36" t="inlineStr">
        <is>
          <t>JONG HAP MACHINERY (sewage treatment plant)</t>
        </is>
      </c>
      <c r="D26" s="34" t="inlineStr">
        <is>
          <t>Sewage Treatment Plant</t>
        </is>
      </c>
      <c r="E26" s="56" t="n">
        <v>46314</v>
      </c>
      <c r="F26" s="36" t="inlineStr">
        <is>
          <t>ONEIROI</t>
        </is>
      </c>
      <c r="G26" s="34" t="n">
        <v>11</v>
      </c>
      <c r="H26" s="58">
        <f>IF($B26="","",COUNTIFS('AEOLUS'!$B$6:$B$205,$B26,'AEOLUS'!$AJ$6:$AJ$205,1)+COUNTIFS('MELICERTES'!$B$6:$B$205,$B26,'MELICERTES'!$AJ$6:$AJ$205,1)+COUNTIFS('NELEUS'!$B$6:$B$205,$B26,'NELEUS'!$AJ$6:$AJ$205,1)+COUNTIFS('ONEIROI'!$B$6:$B$205,$B26,'ONEIROI'!$AJ$6:$AJ$205,1))</f>
        <v/>
      </c>
      <c r="I26" s="58">
        <f>IF(OR($B26="",G26=""),"",G26-H26)</f>
        <v/>
      </c>
      <c r="J26" s="58">
        <f>IF(OR($B26="",설정!$E$5=""),"",COUNTIFS('AEOLUS'!$B$6:$B$205,$B26,'AEOLUS'!$M$6:$M$205,설정!$E$5)+COUNTIFS('MELICERTES'!$B$6:$B$205,$B26,'MELICERTES'!$M$6:$M$205,설정!$E$5)+COUNTIFS('NELEUS'!$B$6:$B$205,$B26,'NELEUS'!$M$6:$M$205,설정!$E$5)+COUNTIFS('ONEIROI'!$B$6:$B$205,$B26,'ONEIROI'!$M$6:$M$205,설정!$E$5))</f>
        <v/>
      </c>
      <c r="K26" s="58">
        <f>IF(OR($B26="",설정!$E$6=""),"",COUNTIFS('AEOLUS'!$B$6:$B$205,$B26,'AEOLUS'!$M$6:$M$205,설정!$E$6)+COUNTIFS('MELICERTES'!$B$6:$B$205,$B26,'MELICERTES'!$M$6:$M$205,설정!$E$6)+COUNTIFS('NELEUS'!$B$6:$B$205,$B26,'NELEUS'!$M$6:$M$205,설정!$E$6)+COUNTIFS('ONEIROI'!$B$6:$B$205,$B26,'ONEIROI'!$M$6:$M$205,설정!$E$6))</f>
        <v/>
      </c>
      <c r="L26" s="58">
        <f>IF(OR($B26="",설정!$E$7=""),"",COUNTIFS('AEOLUS'!$B$6:$B$205,$B26,'AEOLUS'!$M$6:$M$205,설정!$E$7)+COUNTIFS('MELICERTES'!$B$6:$B$205,$B26,'MELICERTES'!$M$6:$M$205,설정!$E$7)+COUNTIFS('NELEUS'!$B$6:$B$205,$B26,'NELEUS'!$M$6:$M$205,설정!$E$7)+COUNTIFS('ONEIROI'!$B$6:$B$205,$B26,'ONEIROI'!$M$6:$M$205,설정!$E$7))</f>
        <v/>
      </c>
      <c r="M26" s="58">
        <f>IF(OR($B26="",설정!$E$8=""),"",COUNTIFS('AEOLUS'!$B$6:$B$205,$B26,'AEOLUS'!$M$6:$M$205,설정!$E$8)+COUNTIFS('MELICERTES'!$B$6:$B$205,$B26,'MELICERTES'!$M$6:$M$205,설정!$E$8)+COUNTIFS('NELEUS'!$B$6:$B$205,$B26,'NELEUS'!$M$6:$M$205,설정!$E$8)+COUNTIFS('ONEIROI'!$B$6:$B$205,$B26,'ONEIROI'!$M$6:$M$205,설정!$E$8))</f>
        <v/>
      </c>
      <c r="N26" s="58">
        <f>IF(OR($B26="",설정!$E$9=""),"",COUNTIFS('AEOLUS'!$B$6:$B$205,$B26,'AEOLUS'!$M$6:$M$205,설정!$E$9)+COUNTIFS('MELICERTES'!$B$6:$B$205,$B26,'MELICERTES'!$M$6:$M$205,설정!$E$9)+COUNTIFS('NELEUS'!$B$6:$B$205,$B26,'NELEUS'!$M$6:$M$205,설정!$E$9)+COUNTIFS('ONEIROI'!$B$6:$B$205,$B26,'ONEIROI'!$M$6:$M$205,설정!$E$9))</f>
        <v/>
      </c>
      <c r="O26" s="58">
        <f>IF(OR($B26="",설정!$E$10=""),"",COUNTIFS('AEOLUS'!$B$6:$B$205,$B26,'AEOLUS'!$M$6:$M$205,설정!$E$10)+COUNTIFS('MELICERTES'!$B$6:$B$205,$B26,'MELICERTES'!$M$6:$M$205,설정!$E$10)+COUNTIFS('NELEUS'!$B$6:$B$205,$B26,'NELEUS'!$M$6:$M$205,설정!$E$10)+COUNTIFS('ONEIROI'!$B$6:$B$205,$B26,'ONEIROI'!$M$6:$M$205,설정!$E$10))</f>
        <v/>
      </c>
      <c r="P26" s="58">
        <f>IF(OR($B26="",설정!$E$11=""),"",COUNTIFS('AEOLUS'!$B$6:$B$205,$B26,'AEOLUS'!$M$6:$M$205,설정!$E$11)+COUNTIFS('MELICERTES'!$B$6:$B$205,$B26,'MELICERTES'!$M$6:$M$205,설정!$E$11)+COUNTIFS('NELEUS'!$B$6:$B$205,$B26,'NELEUS'!$M$6:$M$205,설정!$E$11)+COUNTIFS('ONEIROI'!$B$6:$B$205,$B26,'ONEIROI'!$M$6:$M$205,설정!$E$11))</f>
        <v/>
      </c>
      <c r="Q26" s="58">
        <f>IF(OR($B26="",설정!$E$12=""),"",COUNTIFS('AEOLUS'!$B$6:$B$205,$B26,'AEOLUS'!$M$6:$M$205,설정!$E$12)+COUNTIFS('MELICERTES'!$B$6:$B$205,$B26,'MELICERTES'!$M$6:$M$205,설정!$E$12)+COUNTIFS('NELEUS'!$B$6:$B$205,$B26,'NELEUS'!$M$6:$M$205,설정!$E$12)+COUNTIFS('ONEIROI'!$B$6:$B$205,$B26,'ONEIROI'!$M$6:$M$205,설정!$E$12))</f>
        <v/>
      </c>
      <c r="R26" s="58">
        <f>IF($B26="","",COUNTIFS('AEOLUS'!$B$6:$B$205,$B26,'AEOLUS'!$AI$6:$AI$205,"&gt;0")+COUNTIFS('MELICERTES'!$B$6:$B$205,$B26,'MELICERTES'!$AI$6:$AI$205,"&gt;0")+COUNTIFS('NELEUS'!$B$6:$B$205,$B26,'NELEUS'!$AI$6:$AI$205,"&gt;0")+COUNTIFS('ONEIROI'!$B$6:$B$205,$B26,'ONEIROI'!$AI$6:$AI$205,"&gt;0"))</f>
        <v/>
      </c>
      <c r="S26" s="53">
        <f>IF($B26="","",SUMIFS('AEOLUS'!$S$6:$S$205,'AEOLUS'!$B$6:$B$205,$B26,'AEOLUS'!$AK$6:$AK$205,1)+SUMIFS('MELICERTES'!$S$6:$S$205,'MELICERTES'!$B$6:$B$205,$B26,'MELICERTES'!$AK$6:$AK$205,1)+SUMIFS('NELEUS'!$S$6:$S$205,'NELEUS'!$B$6:$B$205,$B26,'NELEUS'!$AK$6:$AK$205,1)+SUMIFS('ONEIROI'!$S$6:$S$205,'ONEIROI'!$B$6:$B$205,$B26,'ONEIROI'!$AK$6:$AK$205,1))</f>
        <v/>
      </c>
      <c r="T26" s="36" t="inlineStr">
        <is>
          <t>보성엔지니어링 앞 RFQ (RFQ No. 칸 공란 → BOSUNG-번호로 표기)</t>
        </is>
      </c>
    </row>
    <row r="27">
      <c r="A27" s="34" t="inlineStr">
        <is>
          <t>B04</t>
        </is>
      </c>
      <c r="B27" s="34" t="inlineStr">
        <is>
          <t>BOSUNG-04</t>
        </is>
      </c>
      <c r="C27" s="36" t="inlineStr">
        <is>
          <t>DAEYANG ELECTRIC (LED driver / floodlight)</t>
        </is>
      </c>
      <c r="D27" s="34" t="inlineStr">
        <is>
          <t>LED Driver</t>
        </is>
      </c>
      <c r="E27" s="56" t="n">
        <v>46314</v>
      </c>
      <c r="F27" s="36" t="inlineStr">
        <is>
          <t>AEOLUS / MELICERTES / NELEUS / ONEIROI</t>
        </is>
      </c>
      <c r="G27" s="34" t="n">
        <v>8</v>
      </c>
      <c r="H27" s="58">
        <f>IF($B27="","",COUNTIFS('AEOLUS'!$B$6:$B$205,$B27,'AEOLUS'!$AJ$6:$AJ$205,1)+COUNTIFS('MELICERTES'!$B$6:$B$205,$B27,'MELICERTES'!$AJ$6:$AJ$205,1)+COUNTIFS('NELEUS'!$B$6:$B$205,$B27,'NELEUS'!$AJ$6:$AJ$205,1)+COUNTIFS('ONEIROI'!$B$6:$B$205,$B27,'ONEIROI'!$AJ$6:$AJ$205,1))</f>
        <v/>
      </c>
      <c r="I27" s="58">
        <f>IF(OR($B27="",G27=""),"",G27-H27)</f>
        <v/>
      </c>
      <c r="J27" s="58">
        <f>IF(OR($B27="",설정!$E$5=""),"",COUNTIFS('AEOLUS'!$B$6:$B$205,$B27,'AEOLUS'!$M$6:$M$205,설정!$E$5)+COUNTIFS('MELICERTES'!$B$6:$B$205,$B27,'MELICERTES'!$M$6:$M$205,설정!$E$5)+COUNTIFS('NELEUS'!$B$6:$B$205,$B27,'NELEUS'!$M$6:$M$205,설정!$E$5)+COUNTIFS('ONEIROI'!$B$6:$B$205,$B27,'ONEIROI'!$M$6:$M$205,설정!$E$5))</f>
        <v/>
      </c>
      <c r="K27" s="58">
        <f>IF(OR($B27="",설정!$E$6=""),"",COUNTIFS('AEOLUS'!$B$6:$B$205,$B27,'AEOLUS'!$M$6:$M$205,설정!$E$6)+COUNTIFS('MELICERTES'!$B$6:$B$205,$B27,'MELICERTES'!$M$6:$M$205,설정!$E$6)+COUNTIFS('NELEUS'!$B$6:$B$205,$B27,'NELEUS'!$M$6:$M$205,설정!$E$6)+COUNTIFS('ONEIROI'!$B$6:$B$205,$B27,'ONEIROI'!$M$6:$M$205,설정!$E$6))</f>
        <v/>
      </c>
      <c r="L27" s="58">
        <f>IF(OR($B27="",설정!$E$7=""),"",COUNTIFS('AEOLUS'!$B$6:$B$205,$B27,'AEOLUS'!$M$6:$M$205,설정!$E$7)+COUNTIFS('MELICERTES'!$B$6:$B$205,$B27,'MELICERTES'!$M$6:$M$205,설정!$E$7)+COUNTIFS('NELEUS'!$B$6:$B$205,$B27,'NELEUS'!$M$6:$M$205,설정!$E$7)+COUNTIFS('ONEIROI'!$B$6:$B$205,$B27,'ONEIROI'!$M$6:$M$205,설정!$E$7))</f>
        <v/>
      </c>
      <c r="M27" s="58">
        <f>IF(OR($B27="",설정!$E$8=""),"",COUNTIFS('AEOLUS'!$B$6:$B$205,$B27,'AEOLUS'!$M$6:$M$205,설정!$E$8)+COUNTIFS('MELICERTES'!$B$6:$B$205,$B27,'MELICERTES'!$M$6:$M$205,설정!$E$8)+COUNTIFS('NELEUS'!$B$6:$B$205,$B27,'NELEUS'!$M$6:$M$205,설정!$E$8)+COUNTIFS('ONEIROI'!$B$6:$B$205,$B27,'ONEIROI'!$M$6:$M$205,설정!$E$8))</f>
        <v/>
      </c>
      <c r="N27" s="58">
        <f>IF(OR($B27="",설정!$E$9=""),"",COUNTIFS('AEOLUS'!$B$6:$B$205,$B27,'AEOLUS'!$M$6:$M$205,설정!$E$9)+COUNTIFS('MELICERTES'!$B$6:$B$205,$B27,'MELICERTES'!$M$6:$M$205,설정!$E$9)+COUNTIFS('NELEUS'!$B$6:$B$205,$B27,'NELEUS'!$M$6:$M$205,설정!$E$9)+COUNTIFS('ONEIROI'!$B$6:$B$205,$B27,'ONEIROI'!$M$6:$M$205,설정!$E$9))</f>
        <v/>
      </c>
      <c r="O27" s="58">
        <f>IF(OR($B27="",설정!$E$10=""),"",COUNTIFS('AEOLUS'!$B$6:$B$205,$B27,'AEOLUS'!$M$6:$M$205,설정!$E$10)+COUNTIFS('MELICERTES'!$B$6:$B$205,$B27,'MELICERTES'!$M$6:$M$205,설정!$E$10)+COUNTIFS('NELEUS'!$B$6:$B$205,$B27,'NELEUS'!$M$6:$M$205,설정!$E$10)+COUNTIFS('ONEIROI'!$B$6:$B$205,$B27,'ONEIROI'!$M$6:$M$205,설정!$E$10))</f>
        <v/>
      </c>
      <c r="P27" s="58">
        <f>IF(OR($B27="",설정!$E$11=""),"",COUNTIFS('AEOLUS'!$B$6:$B$205,$B27,'AEOLUS'!$M$6:$M$205,설정!$E$11)+COUNTIFS('MELICERTES'!$B$6:$B$205,$B27,'MELICERTES'!$M$6:$M$205,설정!$E$11)+COUNTIFS('NELEUS'!$B$6:$B$205,$B27,'NELEUS'!$M$6:$M$205,설정!$E$11)+COUNTIFS('ONEIROI'!$B$6:$B$205,$B27,'ONEIROI'!$M$6:$M$205,설정!$E$11))</f>
        <v/>
      </c>
      <c r="Q27" s="58">
        <f>IF(OR($B27="",설정!$E$12=""),"",COUNTIFS('AEOLUS'!$B$6:$B$205,$B27,'AEOLUS'!$M$6:$M$205,설정!$E$12)+COUNTIFS('MELICERTES'!$B$6:$B$205,$B27,'MELICERTES'!$M$6:$M$205,설정!$E$12)+COUNTIFS('NELEUS'!$B$6:$B$205,$B27,'NELEUS'!$M$6:$M$205,설정!$E$12)+COUNTIFS('ONEIROI'!$B$6:$B$205,$B27,'ONEIROI'!$M$6:$M$205,설정!$E$12))</f>
        <v/>
      </c>
      <c r="R27" s="58">
        <f>IF($B27="","",COUNTIFS('AEOLUS'!$B$6:$B$205,$B27,'AEOLUS'!$AI$6:$AI$205,"&gt;0")+COUNTIFS('MELICERTES'!$B$6:$B$205,$B27,'MELICERTES'!$AI$6:$AI$205,"&gt;0")+COUNTIFS('NELEUS'!$B$6:$B$205,$B27,'NELEUS'!$AI$6:$AI$205,"&gt;0")+COUNTIFS('ONEIROI'!$B$6:$B$205,$B27,'ONEIROI'!$AI$6:$AI$205,"&gt;0"))</f>
        <v/>
      </c>
      <c r="S27" s="53">
        <f>IF($B27="","",SUMIFS('AEOLUS'!$S$6:$S$205,'AEOLUS'!$B$6:$B$205,$B27,'AEOLUS'!$AK$6:$AK$205,1)+SUMIFS('MELICERTES'!$S$6:$S$205,'MELICERTES'!$B$6:$B$205,$B27,'MELICERTES'!$AK$6:$AK$205,1)+SUMIFS('NELEUS'!$S$6:$S$205,'NELEUS'!$B$6:$B$205,$B27,'NELEUS'!$AK$6:$AK$205,1)+SUMIFS('ONEIROI'!$S$6:$S$205,'ONEIROI'!$B$6:$B$205,$B27,'ONEIROI'!$AK$6:$AK$205,1))</f>
        <v/>
      </c>
      <c r="T27" s="36" t="inlineStr">
        <is>
          <t>보성엔지니어링 앞 RFQ (RFQ No. 칸 공란 → BOSUNG-번호로 표기)</t>
        </is>
      </c>
    </row>
    <row r="28">
      <c r="A28" s="34" t="inlineStr">
        <is>
          <t>B05</t>
        </is>
      </c>
      <c r="B28" s="34" t="inlineStr">
        <is>
          <t>BOSUNG-05</t>
        </is>
      </c>
      <c r="C28" s="36" t="inlineStr">
        <is>
          <t>HI AIR KOREA (AC package)</t>
        </is>
      </c>
      <c r="D28" s="34" t="inlineStr">
        <is>
          <t>AC Package</t>
        </is>
      </c>
      <c r="E28" s="56" t="n">
        <v>46314</v>
      </c>
      <c r="F28" s="36" t="inlineStr">
        <is>
          <t>MELICERTES / ONEIROI</t>
        </is>
      </c>
      <c r="G28" s="34" t="n">
        <v>2</v>
      </c>
      <c r="H28" s="58">
        <f>IF($B28="","",COUNTIFS('AEOLUS'!$B$6:$B$205,$B28,'AEOLUS'!$AJ$6:$AJ$205,1)+COUNTIFS('MELICERTES'!$B$6:$B$205,$B28,'MELICERTES'!$AJ$6:$AJ$205,1)+COUNTIFS('NELEUS'!$B$6:$B$205,$B28,'NELEUS'!$AJ$6:$AJ$205,1)+COUNTIFS('ONEIROI'!$B$6:$B$205,$B28,'ONEIROI'!$AJ$6:$AJ$205,1))</f>
        <v/>
      </c>
      <c r="I28" s="58">
        <f>IF(OR($B28="",G28=""),"",G28-H28)</f>
        <v/>
      </c>
      <c r="J28" s="58">
        <f>IF(OR($B28="",설정!$E$5=""),"",COUNTIFS('AEOLUS'!$B$6:$B$205,$B28,'AEOLUS'!$M$6:$M$205,설정!$E$5)+COUNTIFS('MELICERTES'!$B$6:$B$205,$B28,'MELICERTES'!$M$6:$M$205,설정!$E$5)+COUNTIFS('NELEUS'!$B$6:$B$205,$B28,'NELEUS'!$M$6:$M$205,설정!$E$5)+COUNTIFS('ONEIROI'!$B$6:$B$205,$B28,'ONEIROI'!$M$6:$M$205,설정!$E$5))</f>
        <v/>
      </c>
      <c r="K28" s="58">
        <f>IF(OR($B28="",설정!$E$6=""),"",COUNTIFS('AEOLUS'!$B$6:$B$205,$B28,'AEOLUS'!$M$6:$M$205,설정!$E$6)+COUNTIFS('MELICERTES'!$B$6:$B$205,$B28,'MELICERTES'!$M$6:$M$205,설정!$E$6)+COUNTIFS('NELEUS'!$B$6:$B$205,$B28,'NELEUS'!$M$6:$M$205,설정!$E$6)+COUNTIFS('ONEIROI'!$B$6:$B$205,$B28,'ONEIROI'!$M$6:$M$205,설정!$E$6))</f>
        <v/>
      </c>
      <c r="L28" s="58">
        <f>IF(OR($B28="",설정!$E$7=""),"",COUNTIFS('AEOLUS'!$B$6:$B$205,$B28,'AEOLUS'!$M$6:$M$205,설정!$E$7)+COUNTIFS('MELICERTES'!$B$6:$B$205,$B28,'MELICERTES'!$M$6:$M$205,설정!$E$7)+COUNTIFS('NELEUS'!$B$6:$B$205,$B28,'NELEUS'!$M$6:$M$205,설정!$E$7)+COUNTIFS('ONEIROI'!$B$6:$B$205,$B28,'ONEIROI'!$M$6:$M$205,설정!$E$7))</f>
        <v/>
      </c>
      <c r="M28" s="58">
        <f>IF(OR($B28="",설정!$E$8=""),"",COUNTIFS('AEOLUS'!$B$6:$B$205,$B28,'AEOLUS'!$M$6:$M$205,설정!$E$8)+COUNTIFS('MELICERTES'!$B$6:$B$205,$B28,'MELICERTES'!$M$6:$M$205,설정!$E$8)+COUNTIFS('NELEUS'!$B$6:$B$205,$B28,'NELEUS'!$M$6:$M$205,설정!$E$8)+COUNTIFS('ONEIROI'!$B$6:$B$205,$B28,'ONEIROI'!$M$6:$M$205,설정!$E$8))</f>
        <v/>
      </c>
      <c r="N28" s="58">
        <f>IF(OR($B28="",설정!$E$9=""),"",COUNTIFS('AEOLUS'!$B$6:$B$205,$B28,'AEOLUS'!$M$6:$M$205,설정!$E$9)+COUNTIFS('MELICERTES'!$B$6:$B$205,$B28,'MELICERTES'!$M$6:$M$205,설정!$E$9)+COUNTIFS('NELEUS'!$B$6:$B$205,$B28,'NELEUS'!$M$6:$M$205,설정!$E$9)+COUNTIFS('ONEIROI'!$B$6:$B$205,$B28,'ONEIROI'!$M$6:$M$205,설정!$E$9))</f>
        <v/>
      </c>
      <c r="O28" s="58">
        <f>IF(OR($B28="",설정!$E$10=""),"",COUNTIFS('AEOLUS'!$B$6:$B$205,$B28,'AEOLUS'!$M$6:$M$205,설정!$E$10)+COUNTIFS('MELICERTES'!$B$6:$B$205,$B28,'MELICERTES'!$M$6:$M$205,설정!$E$10)+COUNTIFS('NELEUS'!$B$6:$B$205,$B28,'NELEUS'!$M$6:$M$205,설정!$E$10)+COUNTIFS('ONEIROI'!$B$6:$B$205,$B28,'ONEIROI'!$M$6:$M$205,설정!$E$10))</f>
        <v/>
      </c>
      <c r="P28" s="58">
        <f>IF(OR($B28="",설정!$E$11=""),"",COUNTIFS('AEOLUS'!$B$6:$B$205,$B28,'AEOLUS'!$M$6:$M$205,설정!$E$11)+COUNTIFS('MELICERTES'!$B$6:$B$205,$B28,'MELICERTES'!$M$6:$M$205,설정!$E$11)+COUNTIFS('NELEUS'!$B$6:$B$205,$B28,'NELEUS'!$M$6:$M$205,설정!$E$11)+COUNTIFS('ONEIROI'!$B$6:$B$205,$B28,'ONEIROI'!$M$6:$M$205,설정!$E$11))</f>
        <v/>
      </c>
      <c r="Q28" s="58">
        <f>IF(OR($B28="",설정!$E$12=""),"",COUNTIFS('AEOLUS'!$B$6:$B$205,$B28,'AEOLUS'!$M$6:$M$205,설정!$E$12)+COUNTIFS('MELICERTES'!$B$6:$B$205,$B28,'MELICERTES'!$M$6:$M$205,설정!$E$12)+COUNTIFS('NELEUS'!$B$6:$B$205,$B28,'NELEUS'!$M$6:$M$205,설정!$E$12)+COUNTIFS('ONEIROI'!$B$6:$B$205,$B28,'ONEIROI'!$M$6:$M$205,설정!$E$12))</f>
        <v/>
      </c>
      <c r="R28" s="58">
        <f>IF($B28="","",COUNTIFS('AEOLUS'!$B$6:$B$205,$B28,'AEOLUS'!$AI$6:$AI$205,"&gt;0")+COUNTIFS('MELICERTES'!$B$6:$B$205,$B28,'MELICERTES'!$AI$6:$AI$205,"&gt;0")+COUNTIFS('NELEUS'!$B$6:$B$205,$B28,'NELEUS'!$AI$6:$AI$205,"&gt;0")+COUNTIFS('ONEIROI'!$B$6:$B$205,$B28,'ONEIROI'!$AI$6:$AI$205,"&gt;0"))</f>
        <v/>
      </c>
      <c r="S28" s="53">
        <f>IF($B28="","",SUMIFS('AEOLUS'!$S$6:$S$205,'AEOLUS'!$B$6:$B$205,$B28,'AEOLUS'!$AK$6:$AK$205,1)+SUMIFS('MELICERTES'!$S$6:$S$205,'MELICERTES'!$B$6:$B$205,$B28,'MELICERTES'!$AK$6:$AK$205,1)+SUMIFS('NELEUS'!$S$6:$S$205,'NELEUS'!$B$6:$B$205,$B28,'NELEUS'!$AK$6:$AK$205,1)+SUMIFS('ONEIROI'!$S$6:$S$205,'ONEIROI'!$B$6:$B$205,$B28,'ONEIROI'!$AK$6:$AK$205,1))</f>
        <v/>
      </c>
      <c r="T28" s="36" t="inlineStr">
        <is>
          <t>보성엔지니어링 앞 RFQ (RFQ No. 칸 공란 → BOSUNG-번호로 표기)</t>
        </is>
      </c>
    </row>
    <row r="29">
      <c r="A29" s="34" t="inlineStr">
        <is>
          <t>SG</t>
        </is>
      </c>
      <c r="B29" s="34" t="inlineStr">
        <is>
          <t>SPAN GAS</t>
        </is>
      </c>
      <c r="C29" s="36" t="inlineStr">
        <is>
          <t>Span gas / calibration gas</t>
        </is>
      </c>
      <c r="D29" s="34" t="inlineStr">
        <is>
          <t>Gas detection</t>
        </is>
      </c>
      <c r="E29" s="56" t="n"/>
      <c r="F29" s="36" t="inlineStr">
        <is>
          <t>AEOLUS</t>
        </is>
      </c>
      <c r="G29" s="34" t="n">
        <v>4</v>
      </c>
      <c r="H29" s="58">
        <f>IF($B29="","",COUNTIFS('AEOLUS'!$B$6:$B$205,$B29,'AEOLUS'!$AJ$6:$AJ$205,1)+COUNTIFS('MELICERTES'!$B$6:$B$205,$B29,'MELICERTES'!$AJ$6:$AJ$205,1)+COUNTIFS('NELEUS'!$B$6:$B$205,$B29,'NELEUS'!$AJ$6:$AJ$205,1)+COUNTIFS('ONEIROI'!$B$6:$B$205,$B29,'ONEIROI'!$AJ$6:$AJ$205,1))</f>
        <v/>
      </c>
      <c r="I29" s="58">
        <f>IF(OR($B29="",G29=""),"",G29-H29)</f>
        <v/>
      </c>
      <c r="J29" s="58">
        <f>IF(OR($B29="",설정!$E$5=""),"",COUNTIFS('AEOLUS'!$B$6:$B$205,$B29,'AEOLUS'!$M$6:$M$205,설정!$E$5)+COUNTIFS('MELICERTES'!$B$6:$B$205,$B29,'MELICERTES'!$M$6:$M$205,설정!$E$5)+COUNTIFS('NELEUS'!$B$6:$B$205,$B29,'NELEUS'!$M$6:$M$205,설정!$E$5)+COUNTIFS('ONEIROI'!$B$6:$B$205,$B29,'ONEIROI'!$M$6:$M$205,설정!$E$5))</f>
        <v/>
      </c>
      <c r="K29" s="58">
        <f>IF(OR($B29="",설정!$E$6=""),"",COUNTIFS('AEOLUS'!$B$6:$B$205,$B29,'AEOLUS'!$M$6:$M$205,설정!$E$6)+COUNTIFS('MELICERTES'!$B$6:$B$205,$B29,'MELICERTES'!$M$6:$M$205,설정!$E$6)+COUNTIFS('NELEUS'!$B$6:$B$205,$B29,'NELEUS'!$M$6:$M$205,설정!$E$6)+COUNTIFS('ONEIROI'!$B$6:$B$205,$B29,'ONEIROI'!$M$6:$M$205,설정!$E$6))</f>
        <v/>
      </c>
      <c r="L29" s="58">
        <f>IF(OR($B29="",설정!$E$7=""),"",COUNTIFS('AEOLUS'!$B$6:$B$205,$B29,'AEOLUS'!$M$6:$M$205,설정!$E$7)+COUNTIFS('MELICERTES'!$B$6:$B$205,$B29,'MELICERTES'!$M$6:$M$205,설정!$E$7)+COUNTIFS('NELEUS'!$B$6:$B$205,$B29,'NELEUS'!$M$6:$M$205,설정!$E$7)+COUNTIFS('ONEIROI'!$B$6:$B$205,$B29,'ONEIROI'!$M$6:$M$205,설정!$E$7))</f>
        <v/>
      </c>
      <c r="M29" s="58">
        <f>IF(OR($B29="",설정!$E$8=""),"",COUNTIFS('AEOLUS'!$B$6:$B$205,$B29,'AEOLUS'!$M$6:$M$205,설정!$E$8)+COUNTIFS('MELICERTES'!$B$6:$B$205,$B29,'MELICERTES'!$M$6:$M$205,설정!$E$8)+COUNTIFS('NELEUS'!$B$6:$B$205,$B29,'NELEUS'!$M$6:$M$205,설정!$E$8)+COUNTIFS('ONEIROI'!$B$6:$B$205,$B29,'ONEIROI'!$M$6:$M$205,설정!$E$8))</f>
        <v/>
      </c>
      <c r="N29" s="58">
        <f>IF(OR($B29="",설정!$E$9=""),"",COUNTIFS('AEOLUS'!$B$6:$B$205,$B29,'AEOLUS'!$M$6:$M$205,설정!$E$9)+COUNTIFS('MELICERTES'!$B$6:$B$205,$B29,'MELICERTES'!$M$6:$M$205,설정!$E$9)+COUNTIFS('NELEUS'!$B$6:$B$205,$B29,'NELEUS'!$M$6:$M$205,설정!$E$9)+COUNTIFS('ONEIROI'!$B$6:$B$205,$B29,'ONEIROI'!$M$6:$M$205,설정!$E$9))</f>
        <v/>
      </c>
      <c r="O29" s="58">
        <f>IF(OR($B29="",설정!$E$10=""),"",COUNTIFS('AEOLUS'!$B$6:$B$205,$B29,'AEOLUS'!$M$6:$M$205,설정!$E$10)+COUNTIFS('MELICERTES'!$B$6:$B$205,$B29,'MELICERTES'!$M$6:$M$205,설정!$E$10)+COUNTIFS('NELEUS'!$B$6:$B$205,$B29,'NELEUS'!$M$6:$M$205,설정!$E$10)+COUNTIFS('ONEIROI'!$B$6:$B$205,$B29,'ONEIROI'!$M$6:$M$205,설정!$E$10))</f>
        <v/>
      </c>
      <c r="P29" s="58">
        <f>IF(OR($B29="",설정!$E$11=""),"",COUNTIFS('AEOLUS'!$B$6:$B$205,$B29,'AEOLUS'!$M$6:$M$205,설정!$E$11)+COUNTIFS('MELICERTES'!$B$6:$B$205,$B29,'MELICERTES'!$M$6:$M$205,설정!$E$11)+COUNTIFS('NELEUS'!$B$6:$B$205,$B29,'NELEUS'!$M$6:$M$205,설정!$E$11)+COUNTIFS('ONEIROI'!$B$6:$B$205,$B29,'ONEIROI'!$M$6:$M$205,설정!$E$11))</f>
        <v/>
      </c>
      <c r="Q29" s="58">
        <f>IF(OR($B29="",설정!$E$12=""),"",COUNTIFS('AEOLUS'!$B$6:$B$205,$B29,'AEOLUS'!$M$6:$M$205,설정!$E$12)+COUNTIFS('MELICERTES'!$B$6:$B$205,$B29,'MELICERTES'!$M$6:$M$205,설정!$E$12)+COUNTIFS('NELEUS'!$B$6:$B$205,$B29,'NELEUS'!$M$6:$M$205,설정!$E$12)+COUNTIFS('ONEIROI'!$B$6:$B$205,$B29,'ONEIROI'!$M$6:$M$205,설정!$E$12))</f>
        <v/>
      </c>
      <c r="R29" s="58">
        <f>IF($B29="","",COUNTIFS('AEOLUS'!$B$6:$B$205,$B29,'AEOLUS'!$AI$6:$AI$205,"&gt;0")+COUNTIFS('MELICERTES'!$B$6:$B$205,$B29,'MELICERTES'!$AI$6:$AI$205,"&gt;0")+COUNTIFS('NELEUS'!$B$6:$B$205,$B29,'NELEUS'!$AI$6:$AI$205,"&gt;0")+COUNTIFS('ONEIROI'!$B$6:$B$205,$B29,'ONEIROI'!$AI$6:$AI$205,"&gt;0"))</f>
        <v/>
      </c>
      <c r="S29" s="53">
        <f>IF($B29="","",SUMIFS('AEOLUS'!$S$6:$S$205,'AEOLUS'!$B$6:$B$205,$B29,'AEOLUS'!$AK$6:$AK$205,1)+SUMIFS('MELICERTES'!$S$6:$S$205,'MELICERTES'!$B$6:$B$205,$B29,'MELICERTES'!$AK$6:$AK$205,1)+SUMIFS('NELEUS'!$S$6:$S$205,'NELEUS'!$B$6:$B$205,$B29,'NELEUS'!$AK$6:$AK$205,1)+SUMIFS('ONEIROI'!$S$6:$S$205,'ONEIROI'!$B$6:$B$205,$B29,'ONEIROI'!$AK$6:$AK$205,1))</f>
        <v/>
      </c>
      <c r="T29" s="36" t="inlineStr">
        <is>
          <t>RFQ 번호 없음 – AFS 견적만</t>
        </is>
      </c>
    </row>
    <row r="30">
      <c r="A30" s="34" t="n"/>
      <c r="B30" s="34" t="n"/>
      <c r="C30" s="36" t="n"/>
      <c r="D30" s="34" t="n"/>
      <c r="E30" s="56" t="n"/>
      <c r="F30" s="36" t="n"/>
      <c r="G30" s="34" t="n"/>
      <c r="H30" s="58">
        <f>IF($B30="","",COUNTIFS('AEOLUS'!$B$6:$B$205,$B30,'AEOLUS'!$AJ$6:$AJ$205,1)+COUNTIFS('MELICERTES'!$B$6:$B$205,$B30,'MELICERTES'!$AJ$6:$AJ$205,1)+COUNTIFS('NELEUS'!$B$6:$B$205,$B30,'NELEUS'!$AJ$6:$AJ$205,1)+COUNTIFS('ONEIROI'!$B$6:$B$205,$B30,'ONEIROI'!$AJ$6:$AJ$205,1))</f>
        <v/>
      </c>
      <c r="I30" s="58">
        <f>IF(OR($B30="",G30=""),"",G30-H30)</f>
        <v/>
      </c>
      <c r="J30" s="58">
        <f>IF(OR($B30="",설정!$E$5=""),"",COUNTIFS('AEOLUS'!$B$6:$B$205,$B30,'AEOLUS'!$M$6:$M$205,설정!$E$5)+COUNTIFS('MELICERTES'!$B$6:$B$205,$B30,'MELICERTES'!$M$6:$M$205,설정!$E$5)+COUNTIFS('NELEUS'!$B$6:$B$205,$B30,'NELEUS'!$M$6:$M$205,설정!$E$5)+COUNTIFS('ONEIROI'!$B$6:$B$205,$B30,'ONEIROI'!$M$6:$M$205,설정!$E$5))</f>
        <v/>
      </c>
      <c r="K30" s="58">
        <f>IF(OR($B30="",설정!$E$6=""),"",COUNTIFS('AEOLUS'!$B$6:$B$205,$B30,'AEOLUS'!$M$6:$M$205,설정!$E$6)+COUNTIFS('MELICERTES'!$B$6:$B$205,$B30,'MELICERTES'!$M$6:$M$205,설정!$E$6)+COUNTIFS('NELEUS'!$B$6:$B$205,$B30,'NELEUS'!$M$6:$M$205,설정!$E$6)+COUNTIFS('ONEIROI'!$B$6:$B$205,$B30,'ONEIROI'!$M$6:$M$205,설정!$E$6))</f>
        <v/>
      </c>
      <c r="L30" s="58">
        <f>IF(OR($B30="",설정!$E$7=""),"",COUNTIFS('AEOLUS'!$B$6:$B$205,$B30,'AEOLUS'!$M$6:$M$205,설정!$E$7)+COUNTIFS('MELICERTES'!$B$6:$B$205,$B30,'MELICERTES'!$M$6:$M$205,설정!$E$7)+COUNTIFS('NELEUS'!$B$6:$B$205,$B30,'NELEUS'!$M$6:$M$205,설정!$E$7)+COUNTIFS('ONEIROI'!$B$6:$B$205,$B30,'ONEIROI'!$M$6:$M$205,설정!$E$7))</f>
        <v/>
      </c>
      <c r="M30" s="58">
        <f>IF(OR($B30="",설정!$E$8=""),"",COUNTIFS('AEOLUS'!$B$6:$B$205,$B30,'AEOLUS'!$M$6:$M$205,설정!$E$8)+COUNTIFS('MELICERTES'!$B$6:$B$205,$B30,'MELICERTES'!$M$6:$M$205,설정!$E$8)+COUNTIFS('NELEUS'!$B$6:$B$205,$B30,'NELEUS'!$M$6:$M$205,설정!$E$8)+COUNTIFS('ONEIROI'!$B$6:$B$205,$B30,'ONEIROI'!$M$6:$M$205,설정!$E$8))</f>
        <v/>
      </c>
      <c r="N30" s="58">
        <f>IF(OR($B30="",설정!$E$9=""),"",COUNTIFS('AEOLUS'!$B$6:$B$205,$B30,'AEOLUS'!$M$6:$M$205,설정!$E$9)+COUNTIFS('MELICERTES'!$B$6:$B$205,$B30,'MELICERTES'!$M$6:$M$205,설정!$E$9)+COUNTIFS('NELEUS'!$B$6:$B$205,$B30,'NELEUS'!$M$6:$M$205,설정!$E$9)+COUNTIFS('ONEIROI'!$B$6:$B$205,$B30,'ONEIROI'!$M$6:$M$205,설정!$E$9))</f>
        <v/>
      </c>
      <c r="O30" s="58">
        <f>IF(OR($B30="",설정!$E$10=""),"",COUNTIFS('AEOLUS'!$B$6:$B$205,$B30,'AEOLUS'!$M$6:$M$205,설정!$E$10)+COUNTIFS('MELICERTES'!$B$6:$B$205,$B30,'MELICERTES'!$M$6:$M$205,설정!$E$10)+COUNTIFS('NELEUS'!$B$6:$B$205,$B30,'NELEUS'!$M$6:$M$205,설정!$E$10)+COUNTIFS('ONEIROI'!$B$6:$B$205,$B30,'ONEIROI'!$M$6:$M$205,설정!$E$10))</f>
        <v/>
      </c>
      <c r="P30" s="58">
        <f>IF(OR($B30="",설정!$E$11=""),"",COUNTIFS('AEOLUS'!$B$6:$B$205,$B30,'AEOLUS'!$M$6:$M$205,설정!$E$11)+COUNTIFS('MELICERTES'!$B$6:$B$205,$B30,'MELICERTES'!$M$6:$M$205,설정!$E$11)+COUNTIFS('NELEUS'!$B$6:$B$205,$B30,'NELEUS'!$M$6:$M$205,설정!$E$11)+COUNTIFS('ONEIROI'!$B$6:$B$205,$B30,'ONEIROI'!$M$6:$M$205,설정!$E$11))</f>
        <v/>
      </c>
      <c r="Q30" s="58">
        <f>IF(OR($B30="",설정!$E$12=""),"",COUNTIFS('AEOLUS'!$B$6:$B$205,$B30,'AEOLUS'!$M$6:$M$205,설정!$E$12)+COUNTIFS('MELICERTES'!$B$6:$B$205,$B30,'MELICERTES'!$M$6:$M$205,설정!$E$12)+COUNTIFS('NELEUS'!$B$6:$B$205,$B30,'NELEUS'!$M$6:$M$205,설정!$E$12)+COUNTIFS('ONEIROI'!$B$6:$B$205,$B30,'ONEIROI'!$M$6:$M$205,설정!$E$12))</f>
        <v/>
      </c>
      <c r="R30" s="58">
        <f>IF($B30="","",COUNTIFS('AEOLUS'!$B$6:$B$205,$B30,'AEOLUS'!$AI$6:$AI$205,"&gt;0")+COUNTIFS('MELICERTES'!$B$6:$B$205,$B30,'MELICERTES'!$AI$6:$AI$205,"&gt;0")+COUNTIFS('NELEUS'!$B$6:$B$205,$B30,'NELEUS'!$AI$6:$AI$205,"&gt;0")+COUNTIFS('ONEIROI'!$B$6:$B$205,$B30,'ONEIROI'!$AI$6:$AI$205,"&gt;0"))</f>
        <v/>
      </c>
      <c r="S30" s="53">
        <f>IF($B30="","",SUMIFS('AEOLUS'!$S$6:$S$205,'AEOLUS'!$B$6:$B$205,$B30,'AEOLUS'!$AK$6:$AK$205,1)+SUMIFS('MELICERTES'!$S$6:$S$205,'MELICERTES'!$B$6:$B$205,$B30,'MELICERTES'!$AK$6:$AK$205,1)+SUMIFS('NELEUS'!$S$6:$S$205,'NELEUS'!$B$6:$B$205,$B30,'NELEUS'!$AK$6:$AK$205,1)+SUMIFS('ONEIROI'!$S$6:$S$205,'ONEIROI'!$B$6:$B$205,$B30,'ONEIROI'!$AK$6:$AK$205,1))</f>
        <v/>
      </c>
      <c r="T30" s="36" t="n"/>
    </row>
    <row r="31">
      <c r="A31" s="34" t="n"/>
      <c r="B31" s="34" t="n"/>
      <c r="C31" s="36" t="n"/>
      <c r="D31" s="34" t="n"/>
      <c r="E31" s="56" t="n"/>
      <c r="F31" s="36" t="n"/>
      <c r="G31" s="34" t="n"/>
      <c r="H31" s="58">
        <f>IF($B31="","",COUNTIFS('AEOLUS'!$B$6:$B$205,$B31,'AEOLUS'!$AJ$6:$AJ$205,1)+COUNTIFS('MELICERTES'!$B$6:$B$205,$B31,'MELICERTES'!$AJ$6:$AJ$205,1)+COUNTIFS('NELEUS'!$B$6:$B$205,$B31,'NELEUS'!$AJ$6:$AJ$205,1)+COUNTIFS('ONEIROI'!$B$6:$B$205,$B31,'ONEIROI'!$AJ$6:$AJ$205,1))</f>
        <v/>
      </c>
      <c r="I31" s="58">
        <f>IF(OR($B31="",G31=""),"",G31-H31)</f>
        <v/>
      </c>
      <c r="J31" s="58">
        <f>IF(OR($B31="",설정!$E$5=""),"",COUNTIFS('AEOLUS'!$B$6:$B$205,$B31,'AEOLUS'!$M$6:$M$205,설정!$E$5)+COUNTIFS('MELICERTES'!$B$6:$B$205,$B31,'MELICERTES'!$M$6:$M$205,설정!$E$5)+COUNTIFS('NELEUS'!$B$6:$B$205,$B31,'NELEUS'!$M$6:$M$205,설정!$E$5)+COUNTIFS('ONEIROI'!$B$6:$B$205,$B31,'ONEIROI'!$M$6:$M$205,설정!$E$5))</f>
        <v/>
      </c>
      <c r="K31" s="58">
        <f>IF(OR($B31="",설정!$E$6=""),"",COUNTIFS('AEOLUS'!$B$6:$B$205,$B31,'AEOLUS'!$M$6:$M$205,설정!$E$6)+COUNTIFS('MELICERTES'!$B$6:$B$205,$B31,'MELICERTES'!$M$6:$M$205,설정!$E$6)+COUNTIFS('NELEUS'!$B$6:$B$205,$B31,'NELEUS'!$M$6:$M$205,설정!$E$6)+COUNTIFS('ONEIROI'!$B$6:$B$205,$B31,'ONEIROI'!$M$6:$M$205,설정!$E$6))</f>
        <v/>
      </c>
      <c r="L31" s="58">
        <f>IF(OR($B31="",설정!$E$7=""),"",COUNTIFS('AEOLUS'!$B$6:$B$205,$B31,'AEOLUS'!$M$6:$M$205,설정!$E$7)+COUNTIFS('MELICERTES'!$B$6:$B$205,$B31,'MELICERTES'!$M$6:$M$205,설정!$E$7)+COUNTIFS('NELEUS'!$B$6:$B$205,$B31,'NELEUS'!$M$6:$M$205,설정!$E$7)+COUNTIFS('ONEIROI'!$B$6:$B$205,$B31,'ONEIROI'!$M$6:$M$205,설정!$E$7))</f>
        <v/>
      </c>
      <c r="M31" s="58">
        <f>IF(OR($B31="",설정!$E$8=""),"",COUNTIFS('AEOLUS'!$B$6:$B$205,$B31,'AEOLUS'!$M$6:$M$205,설정!$E$8)+COUNTIFS('MELICERTES'!$B$6:$B$205,$B31,'MELICERTES'!$M$6:$M$205,설정!$E$8)+COUNTIFS('NELEUS'!$B$6:$B$205,$B31,'NELEUS'!$M$6:$M$205,설정!$E$8)+COUNTIFS('ONEIROI'!$B$6:$B$205,$B31,'ONEIROI'!$M$6:$M$205,설정!$E$8))</f>
        <v/>
      </c>
      <c r="N31" s="58">
        <f>IF(OR($B31="",설정!$E$9=""),"",COUNTIFS('AEOLUS'!$B$6:$B$205,$B31,'AEOLUS'!$M$6:$M$205,설정!$E$9)+COUNTIFS('MELICERTES'!$B$6:$B$205,$B31,'MELICERTES'!$M$6:$M$205,설정!$E$9)+COUNTIFS('NELEUS'!$B$6:$B$205,$B31,'NELEUS'!$M$6:$M$205,설정!$E$9)+COUNTIFS('ONEIROI'!$B$6:$B$205,$B31,'ONEIROI'!$M$6:$M$205,설정!$E$9))</f>
        <v/>
      </c>
      <c r="O31" s="58">
        <f>IF(OR($B31="",설정!$E$10=""),"",COUNTIFS('AEOLUS'!$B$6:$B$205,$B31,'AEOLUS'!$M$6:$M$205,설정!$E$10)+COUNTIFS('MELICERTES'!$B$6:$B$205,$B31,'MELICERTES'!$M$6:$M$205,설정!$E$10)+COUNTIFS('NELEUS'!$B$6:$B$205,$B31,'NELEUS'!$M$6:$M$205,설정!$E$10)+COUNTIFS('ONEIROI'!$B$6:$B$205,$B31,'ONEIROI'!$M$6:$M$205,설정!$E$10))</f>
        <v/>
      </c>
      <c r="P31" s="58">
        <f>IF(OR($B31="",설정!$E$11=""),"",COUNTIFS('AEOLUS'!$B$6:$B$205,$B31,'AEOLUS'!$M$6:$M$205,설정!$E$11)+COUNTIFS('MELICERTES'!$B$6:$B$205,$B31,'MELICERTES'!$M$6:$M$205,설정!$E$11)+COUNTIFS('NELEUS'!$B$6:$B$205,$B31,'NELEUS'!$M$6:$M$205,설정!$E$11)+COUNTIFS('ONEIROI'!$B$6:$B$205,$B31,'ONEIROI'!$M$6:$M$205,설정!$E$11))</f>
        <v/>
      </c>
      <c r="Q31" s="58">
        <f>IF(OR($B31="",설정!$E$12=""),"",COUNTIFS('AEOLUS'!$B$6:$B$205,$B31,'AEOLUS'!$M$6:$M$205,설정!$E$12)+COUNTIFS('MELICERTES'!$B$6:$B$205,$B31,'MELICERTES'!$M$6:$M$205,설정!$E$12)+COUNTIFS('NELEUS'!$B$6:$B$205,$B31,'NELEUS'!$M$6:$M$205,설정!$E$12)+COUNTIFS('ONEIROI'!$B$6:$B$205,$B31,'ONEIROI'!$M$6:$M$205,설정!$E$12))</f>
        <v/>
      </c>
      <c r="R31" s="58">
        <f>IF($B31="","",COUNTIFS('AEOLUS'!$B$6:$B$205,$B31,'AEOLUS'!$AI$6:$AI$205,"&gt;0")+COUNTIFS('MELICERTES'!$B$6:$B$205,$B31,'MELICERTES'!$AI$6:$AI$205,"&gt;0")+COUNTIFS('NELEUS'!$B$6:$B$205,$B31,'NELEUS'!$AI$6:$AI$205,"&gt;0")+COUNTIFS('ONEIROI'!$B$6:$B$205,$B31,'ONEIROI'!$AI$6:$AI$205,"&gt;0"))</f>
        <v/>
      </c>
      <c r="S31" s="53">
        <f>IF($B31="","",SUMIFS('AEOLUS'!$S$6:$S$205,'AEOLUS'!$B$6:$B$205,$B31,'AEOLUS'!$AK$6:$AK$205,1)+SUMIFS('MELICERTES'!$S$6:$S$205,'MELICERTES'!$B$6:$B$205,$B31,'MELICERTES'!$AK$6:$AK$205,1)+SUMIFS('NELEUS'!$S$6:$S$205,'NELEUS'!$B$6:$B$205,$B31,'NELEUS'!$AK$6:$AK$205,1)+SUMIFS('ONEIROI'!$S$6:$S$205,'ONEIROI'!$B$6:$B$205,$B31,'ONEIROI'!$AK$6:$AK$205,1))</f>
        <v/>
      </c>
      <c r="T31" s="36" t="n"/>
    </row>
    <row r="32">
      <c r="A32" s="34" t="n"/>
      <c r="B32" s="34" t="n"/>
      <c r="C32" s="36" t="n"/>
      <c r="D32" s="34" t="n"/>
      <c r="E32" s="56" t="n"/>
      <c r="F32" s="36" t="n"/>
      <c r="G32" s="34" t="n"/>
      <c r="H32" s="58">
        <f>IF($B32="","",COUNTIFS('AEOLUS'!$B$6:$B$205,$B32,'AEOLUS'!$AJ$6:$AJ$205,1)+COUNTIFS('MELICERTES'!$B$6:$B$205,$B32,'MELICERTES'!$AJ$6:$AJ$205,1)+COUNTIFS('NELEUS'!$B$6:$B$205,$B32,'NELEUS'!$AJ$6:$AJ$205,1)+COUNTIFS('ONEIROI'!$B$6:$B$205,$B32,'ONEIROI'!$AJ$6:$AJ$205,1))</f>
        <v/>
      </c>
      <c r="I32" s="58">
        <f>IF(OR($B32="",G32=""),"",G32-H32)</f>
        <v/>
      </c>
      <c r="J32" s="58">
        <f>IF(OR($B32="",설정!$E$5=""),"",COUNTIFS('AEOLUS'!$B$6:$B$205,$B32,'AEOLUS'!$M$6:$M$205,설정!$E$5)+COUNTIFS('MELICERTES'!$B$6:$B$205,$B32,'MELICERTES'!$M$6:$M$205,설정!$E$5)+COUNTIFS('NELEUS'!$B$6:$B$205,$B32,'NELEUS'!$M$6:$M$205,설정!$E$5)+COUNTIFS('ONEIROI'!$B$6:$B$205,$B32,'ONEIROI'!$M$6:$M$205,설정!$E$5))</f>
        <v/>
      </c>
      <c r="K32" s="58">
        <f>IF(OR($B32="",설정!$E$6=""),"",COUNTIFS('AEOLUS'!$B$6:$B$205,$B32,'AEOLUS'!$M$6:$M$205,설정!$E$6)+COUNTIFS('MELICERTES'!$B$6:$B$205,$B32,'MELICERTES'!$M$6:$M$205,설정!$E$6)+COUNTIFS('NELEUS'!$B$6:$B$205,$B32,'NELEUS'!$M$6:$M$205,설정!$E$6)+COUNTIFS('ONEIROI'!$B$6:$B$205,$B32,'ONEIROI'!$M$6:$M$205,설정!$E$6))</f>
        <v/>
      </c>
      <c r="L32" s="58">
        <f>IF(OR($B32="",설정!$E$7=""),"",COUNTIFS('AEOLUS'!$B$6:$B$205,$B32,'AEOLUS'!$M$6:$M$205,설정!$E$7)+COUNTIFS('MELICERTES'!$B$6:$B$205,$B32,'MELICERTES'!$M$6:$M$205,설정!$E$7)+COUNTIFS('NELEUS'!$B$6:$B$205,$B32,'NELEUS'!$M$6:$M$205,설정!$E$7)+COUNTIFS('ONEIROI'!$B$6:$B$205,$B32,'ONEIROI'!$M$6:$M$205,설정!$E$7))</f>
        <v/>
      </c>
      <c r="M32" s="58">
        <f>IF(OR($B32="",설정!$E$8=""),"",COUNTIFS('AEOLUS'!$B$6:$B$205,$B32,'AEOLUS'!$M$6:$M$205,설정!$E$8)+COUNTIFS('MELICERTES'!$B$6:$B$205,$B32,'MELICERTES'!$M$6:$M$205,설정!$E$8)+COUNTIFS('NELEUS'!$B$6:$B$205,$B32,'NELEUS'!$M$6:$M$205,설정!$E$8)+COUNTIFS('ONEIROI'!$B$6:$B$205,$B32,'ONEIROI'!$M$6:$M$205,설정!$E$8))</f>
        <v/>
      </c>
      <c r="N32" s="58">
        <f>IF(OR($B32="",설정!$E$9=""),"",COUNTIFS('AEOLUS'!$B$6:$B$205,$B32,'AEOLUS'!$M$6:$M$205,설정!$E$9)+COUNTIFS('MELICERTES'!$B$6:$B$205,$B32,'MELICERTES'!$M$6:$M$205,설정!$E$9)+COUNTIFS('NELEUS'!$B$6:$B$205,$B32,'NELEUS'!$M$6:$M$205,설정!$E$9)+COUNTIFS('ONEIROI'!$B$6:$B$205,$B32,'ONEIROI'!$M$6:$M$205,설정!$E$9))</f>
        <v/>
      </c>
      <c r="O32" s="58">
        <f>IF(OR($B32="",설정!$E$10=""),"",COUNTIFS('AEOLUS'!$B$6:$B$205,$B32,'AEOLUS'!$M$6:$M$205,설정!$E$10)+COUNTIFS('MELICERTES'!$B$6:$B$205,$B32,'MELICERTES'!$M$6:$M$205,설정!$E$10)+COUNTIFS('NELEUS'!$B$6:$B$205,$B32,'NELEUS'!$M$6:$M$205,설정!$E$10)+COUNTIFS('ONEIROI'!$B$6:$B$205,$B32,'ONEIROI'!$M$6:$M$205,설정!$E$10))</f>
        <v/>
      </c>
      <c r="P32" s="58">
        <f>IF(OR($B32="",설정!$E$11=""),"",COUNTIFS('AEOLUS'!$B$6:$B$205,$B32,'AEOLUS'!$M$6:$M$205,설정!$E$11)+COUNTIFS('MELICERTES'!$B$6:$B$205,$B32,'MELICERTES'!$M$6:$M$205,설정!$E$11)+COUNTIFS('NELEUS'!$B$6:$B$205,$B32,'NELEUS'!$M$6:$M$205,설정!$E$11)+COUNTIFS('ONEIROI'!$B$6:$B$205,$B32,'ONEIROI'!$M$6:$M$205,설정!$E$11))</f>
        <v/>
      </c>
      <c r="Q32" s="58">
        <f>IF(OR($B32="",설정!$E$12=""),"",COUNTIFS('AEOLUS'!$B$6:$B$205,$B32,'AEOLUS'!$M$6:$M$205,설정!$E$12)+COUNTIFS('MELICERTES'!$B$6:$B$205,$B32,'MELICERTES'!$M$6:$M$205,설정!$E$12)+COUNTIFS('NELEUS'!$B$6:$B$205,$B32,'NELEUS'!$M$6:$M$205,설정!$E$12)+COUNTIFS('ONEIROI'!$B$6:$B$205,$B32,'ONEIROI'!$M$6:$M$205,설정!$E$12))</f>
        <v/>
      </c>
      <c r="R32" s="58">
        <f>IF($B32="","",COUNTIFS('AEOLUS'!$B$6:$B$205,$B32,'AEOLUS'!$AI$6:$AI$205,"&gt;0")+COUNTIFS('MELICERTES'!$B$6:$B$205,$B32,'MELICERTES'!$AI$6:$AI$205,"&gt;0")+COUNTIFS('NELEUS'!$B$6:$B$205,$B32,'NELEUS'!$AI$6:$AI$205,"&gt;0")+COUNTIFS('ONEIROI'!$B$6:$B$205,$B32,'ONEIROI'!$AI$6:$AI$205,"&gt;0"))</f>
        <v/>
      </c>
      <c r="S32" s="53">
        <f>IF($B32="","",SUMIFS('AEOLUS'!$S$6:$S$205,'AEOLUS'!$B$6:$B$205,$B32,'AEOLUS'!$AK$6:$AK$205,1)+SUMIFS('MELICERTES'!$S$6:$S$205,'MELICERTES'!$B$6:$B$205,$B32,'MELICERTES'!$AK$6:$AK$205,1)+SUMIFS('NELEUS'!$S$6:$S$205,'NELEUS'!$B$6:$B$205,$B32,'NELEUS'!$AK$6:$AK$205,1)+SUMIFS('ONEIROI'!$S$6:$S$205,'ONEIROI'!$B$6:$B$205,$B32,'ONEIROI'!$AK$6:$AK$205,1))</f>
        <v/>
      </c>
      <c r="T32" s="36" t="n"/>
    </row>
    <row r="33">
      <c r="A33" s="34" t="n"/>
      <c r="B33" s="34" t="n"/>
      <c r="C33" s="36" t="n"/>
      <c r="D33" s="34" t="n"/>
      <c r="E33" s="56" t="n"/>
      <c r="F33" s="36" t="n"/>
      <c r="G33" s="34" t="n"/>
      <c r="H33" s="58">
        <f>IF($B33="","",COUNTIFS('AEOLUS'!$B$6:$B$205,$B33,'AEOLUS'!$AJ$6:$AJ$205,1)+COUNTIFS('MELICERTES'!$B$6:$B$205,$B33,'MELICERTES'!$AJ$6:$AJ$205,1)+COUNTIFS('NELEUS'!$B$6:$B$205,$B33,'NELEUS'!$AJ$6:$AJ$205,1)+COUNTIFS('ONEIROI'!$B$6:$B$205,$B33,'ONEIROI'!$AJ$6:$AJ$205,1))</f>
        <v/>
      </c>
      <c r="I33" s="58">
        <f>IF(OR($B33="",G33=""),"",G33-H33)</f>
        <v/>
      </c>
      <c r="J33" s="58">
        <f>IF(OR($B33="",설정!$E$5=""),"",COUNTIFS('AEOLUS'!$B$6:$B$205,$B33,'AEOLUS'!$M$6:$M$205,설정!$E$5)+COUNTIFS('MELICERTES'!$B$6:$B$205,$B33,'MELICERTES'!$M$6:$M$205,설정!$E$5)+COUNTIFS('NELEUS'!$B$6:$B$205,$B33,'NELEUS'!$M$6:$M$205,설정!$E$5)+COUNTIFS('ONEIROI'!$B$6:$B$205,$B33,'ONEIROI'!$M$6:$M$205,설정!$E$5))</f>
        <v/>
      </c>
      <c r="K33" s="58">
        <f>IF(OR($B33="",설정!$E$6=""),"",COUNTIFS('AEOLUS'!$B$6:$B$205,$B33,'AEOLUS'!$M$6:$M$205,설정!$E$6)+COUNTIFS('MELICERTES'!$B$6:$B$205,$B33,'MELICERTES'!$M$6:$M$205,설정!$E$6)+COUNTIFS('NELEUS'!$B$6:$B$205,$B33,'NELEUS'!$M$6:$M$205,설정!$E$6)+COUNTIFS('ONEIROI'!$B$6:$B$205,$B33,'ONEIROI'!$M$6:$M$205,설정!$E$6))</f>
        <v/>
      </c>
      <c r="L33" s="58">
        <f>IF(OR($B33="",설정!$E$7=""),"",COUNTIFS('AEOLUS'!$B$6:$B$205,$B33,'AEOLUS'!$M$6:$M$205,설정!$E$7)+COUNTIFS('MELICERTES'!$B$6:$B$205,$B33,'MELICERTES'!$M$6:$M$205,설정!$E$7)+COUNTIFS('NELEUS'!$B$6:$B$205,$B33,'NELEUS'!$M$6:$M$205,설정!$E$7)+COUNTIFS('ONEIROI'!$B$6:$B$205,$B33,'ONEIROI'!$M$6:$M$205,설정!$E$7))</f>
        <v/>
      </c>
      <c r="M33" s="58">
        <f>IF(OR($B33="",설정!$E$8=""),"",COUNTIFS('AEOLUS'!$B$6:$B$205,$B33,'AEOLUS'!$M$6:$M$205,설정!$E$8)+COUNTIFS('MELICERTES'!$B$6:$B$205,$B33,'MELICERTES'!$M$6:$M$205,설정!$E$8)+COUNTIFS('NELEUS'!$B$6:$B$205,$B33,'NELEUS'!$M$6:$M$205,설정!$E$8)+COUNTIFS('ONEIROI'!$B$6:$B$205,$B33,'ONEIROI'!$M$6:$M$205,설정!$E$8))</f>
        <v/>
      </c>
      <c r="N33" s="58">
        <f>IF(OR($B33="",설정!$E$9=""),"",COUNTIFS('AEOLUS'!$B$6:$B$205,$B33,'AEOLUS'!$M$6:$M$205,설정!$E$9)+COUNTIFS('MELICERTES'!$B$6:$B$205,$B33,'MELICERTES'!$M$6:$M$205,설정!$E$9)+COUNTIFS('NELEUS'!$B$6:$B$205,$B33,'NELEUS'!$M$6:$M$205,설정!$E$9)+COUNTIFS('ONEIROI'!$B$6:$B$205,$B33,'ONEIROI'!$M$6:$M$205,설정!$E$9))</f>
        <v/>
      </c>
      <c r="O33" s="58">
        <f>IF(OR($B33="",설정!$E$10=""),"",COUNTIFS('AEOLUS'!$B$6:$B$205,$B33,'AEOLUS'!$M$6:$M$205,설정!$E$10)+COUNTIFS('MELICERTES'!$B$6:$B$205,$B33,'MELICERTES'!$M$6:$M$205,설정!$E$10)+COUNTIFS('NELEUS'!$B$6:$B$205,$B33,'NELEUS'!$M$6:$M$205,설정!$E$10)+COUNTIFS('ONEIROI'!$B$6:$B$205,$B33,'ONEIROI'!$M$6:$M$205,설정!$E$10))</f>
        <v/>
      </c>
      <c r="P33" s="58">
        <f>IF(OR($B33="",설정!$E$11=""),"",COUNTIFS('AEOLUS'!$B$6:$B$205,$B33,'AEOLUS'!$M$6:$M$205,설정!$E$11)+COUNTIFS('MELICERTES'!$B$6:$B$205,$B33,'MELICERTES'!$M$6:$M$205,설정!$E$11)+COUNTIFS('NELEUS'!$B$6:$B$205,$B33,'NELEUS'!$M$6:$M$205,설정!$E$11)+COUNTIFS('ONEIROI'!$B$6:$B$205,$B33,'ONEIROI'!$M$6:$M$205,설정!$E$11))</f>
        <v/>
      </c>
      <c r="Q33" s="58">
        <f>IF(OR($B33="",설정!$E$12=""),"",COUNTIFS('AEOLUS'!$B$6:$B$205,$B33,'AEOLUS'!$M$6:$M$205,설정!$E$12)+COUNTIFS('MELICERTES'!$B$6:$B$205,$B33,'MELICERTES'!$M$6:$M$205,설정!$E$12)+COUNTIFS('NELEUS'!$B$6:$B$205,$B33,'NELEUS'!$M$6:$M$205,설정!$E$12)+COUNTIFS('ONEIROI'!$B$6:$B$205,$B33,'ONEIROI'!$M$6:$M$205,설정!$E$12))</f>
        <v/>
      </c>
      <c r="R33" s="58">
        <f>IF($B33="","",COUNTIFS('AEOLUS'!$B$6:$B$205,$B33,'AEOLUS'!$AI$6:$AI$205,"&gt;0")+COUNTIFS('MELICERTES'!$B$6:$B$205,$B33,'MELICERTES'!$AI$6:$AI$205,"&gt;0")+COUNTIFS('NELEUS'!$B$6:$B$205,$B33,'NELEUS'!$AI$6:$AI$205,"&gt;0")+COUNTIFS('ONEIROI'!$B$6:$B$205,$B33,'ONEIROI'!$AI$6:$AI$205,"&gt;0"))</f>
        <v/>
      </c>
      <c r="S33" s="53">
        <f>IF($B33="","",SUMIFS('AEOLUS'!$S$6:$S$205,'AEOLUS'!$B$6:$B$205,$B33,'AEOLUS'!$AK$6:$AK$205,1)+SUMIFS('MELICERTES'!$S$6:$S$205,'MELICERTES'!$B$6:$B$205,$B33,'MELICERTES'!$AK$6:$AK$205,1)+SUMIFS('NELEUS'!$S$6:$S$205,'NELEUS'!$B$6:$B$205,$B33,'NELEUS'!$AK$6:$AK$205,1)+SUMIFS('ONEIROI'!$S$6:$S$205,'ONEIROI'!$B$6:$B$205,$B33,'ONEIROI'!$AK$6:$AK$205,1))</f>
        <v/>
      </c>
      <c r="T33" s="36" t="n"/>
    </row>
    <row r="34">
      <c r="A34" s="34" t="n"/>
      <c r="B34" s="34" t="n"/>
      <c r="C34" s="36" t="n"/>
      <c r="D34" s="34" t="n"/>
      <c r="E34" s="56" t="n"/>
      <c r="F34" s="36" t="n"/>
      <c r="G34" s="34" t="n"/>
      <c r="H34" s="58">
        <f>IF($B34="","",COUNTIFS('AEOLUS'!$B$6:$B$205,$B34,'AEOLUS'!$AJ$6:$AJ$205,1)+COUNTIFS('MELICERTES'!$B$6:$B$205,$B34,'MELICERTES'!$AJ$6:$AJ$205,1)+COUNTIFS('NELEUS'!$B$6:$B$205,$B34,'NELEUS'!$AJ$6:$AJ$205,1)+COUNTIFS('ONEIROI'!$B$6:$B$205,$B34,'ONEIROI'!$AJ$6:$AJ$205,1))</f>
        <v/>
      </c>
      <c r="I34" s="58">
        <f>IF(OR($B34="",G34=""),"",G34-H34)</f>
        <v/>
      </c>
      <c r="J34" s="58">
        <f>IF(OR($B34="",설정!$E$5=""),"",COUNTIFS('AEOLUS'!$B$6:$B$205,$B34,'AEOLUS'!$M$6:$M$205,설정!$E$5)+COUNTIFS('MELICERTES'!$B$6:$B$205,$B34,'MELICERTES'!$M$6:$M$205,설정!$E$5)+COUNTIFS('NELEUS'!$B$6:$B$205,$B34,'NELEUS'!$M$6:$M$205,설정!$E$5)+COUNTIFS('ONEIROI'!$B$6:$B$205,$B34,'ONEIROI'!$M$6:$M$205,설정!$E$5))</f>
        <v/>
      </c>
      <c r="K34" s="58">
        <f>IF(OR($B34="",설정!$E$6=""),"",COUNTIFS('AEOLUS'!$B$6:$B$205,$B34,'AEOLUS'!$M$6:$M$205,설정!$E$6)+COUNTIFS('MELICERTES'!$B$6:$B$205,$B34,'MELICERTES'!$M$6:$M$205,설정!$E$6)+COUNTIFS('NELEUS'!$B$6:$B$205,$B34,'NELEUS'!$M$6:$M$205,설정!$E$6)+COUNTIFS('ONEIROI'!$B$6:$B$205,$B34,'ONEIROI'!$M$6:$M$205,설정!$E$6))</f>
        <v/>
      </c>
      <c r="L34" s="58">
        <f>IF(OR($B34="",설정!$E$7=""),"",COUNTIFS('AEOLUS'!$B$6:$B$205,$B34,'AEOLUS'!$M$6:$M$205,설정!$E$7)+COUNTIFS('MELICERTES'!$B$6:$B$205,$B34,'MELICERTES'!$M$6:$M$205,설정!$E$7)+COUNTIFS('NELEUS'!$B$6:$B$205,$B34,'NELEUS'!$M$6:$M$205,설정!$E$7)+COUNTIFS('ONEIROI'!$B$6:$B$205,$B34,'ONEIROI'!$M$6:$M$205,설정!$E$7))</f>
        <v/>
      </c>
      <c r="M34" s="58">
        <f>IF(OR($B34="",설정!$E$8=""),"",COUNTIFS('AEOLUS'!$B$6:$B$205,$B34,'AEOLUS'!$M$6:$M$205,설정!$E$8)+COUNTIFS('MELICERTES'!$B$6:$B$205,$B34,'MELICERTES'!$M$6:$M$205,설정!$E$8)+COUNTIFS('NELEUS'!$B$6:$B$205,$B34,'NELEUS'!$M$6:$M$205,설정!$E$8)+COUNTIFS('ONEIROI'!$B$6:$B$205,$B34,'ONEIROI'!$M$6:$M$205,설정!$E$8))</f>
        <v/>
      </c>
      <c r="N34" s="58">
        <f>IF(OR($B34="",설정!$E$9=""),"",COUNTIFS('AEOLUS'!$B$6:$B$205,$B34,'AEOLUS'!$M$6:$M$205,설정!$E$9)+COUNTIFS('MELICERTES'!$B$6:$B$205,$B34,'MELICERTES'!$M$6:$M$205,설정!$E$9)+COUNTIFS('NELEUS'!$B$6:$B$205,$B34,'NELEUS'!$M$6:$M$205,설정!$E$9)+COUNTIFS('ONEIROI'!$B$6:$B$205,$B34,'ONEIROI'!$M$6:$M$205,설정!$E$9))</f>
        <v/>
      </c>
      <c r="O34" s="58">
        <f>IF(OR($B34="",설정!$E$10=""),"",COUNTIFS('AEOLUS'!$B$6:$B$205,$B34,'AEOLUS'!$M$6:$M$205,설정!$E$10)+COUNTIFS('MELICERTES'!$B$6:$B$205,$B34,'MELICERTES'!$M$6:$M$205,설정!$E$10)+COUNTIFS('NELEUS'!$B$6:$B$205,$B34,'NELEUS'!$M$6:$M$205,설정!$E$10)+COUNTIFS('ONEIROI'!$B$6:$B$205,$B34,'ONEIROI'!$M$6:$M$205,설정!$E$10))</f>
        <v/>
      </c>
      <c r="P34" s="58">
        <f>IF(OR($B34="",설정!$E$11=""),"",COUNTIFS('AEOLUS'!$B$6:$B$205,$B34,'AEOLUS'!$M$6:$M$205,설정!$E$11)+COUNTIFS('MELICERTES'!$B$6:$B$205,$B34,'MELICERTES'!$M$6:$M$205,설정!$E$11)+COUNTIFS('NELEUS'!$B$6:$B$205,$B34,'NELEUS'!$M$6:$M$205,설정!$E$11)+COUNTIFS('ONEIROI'!$B$6:$B$205,$B34,'ONEIROI'!$M$6:$M$205,설정!$E$11))</f>
        <v/>
      </c>
      <c r="Q34" s="58">
        <f>IF(OR($B34="",설정!$E$12=""),"",COUNTIFS('AEOLUS'!$B$6:$B$205,$B34,'AEOLUS'!$M$6:$M$205,설정!$E$12)+COUNTIFS('MELICERTES'!$B$6:$B$205,$B34,'MELICERTES'!$M$6:$M$205,설정!$E$12)+COUNTIFS('NELEUS'!$B$6:$B$205,$B34,'NELEUS'!$M$6:$M$205,설정!$E$12)+COUNTIFS('ONEIROI'!$B$6:$B$205,$B34,'ONEIROI'!$M$6:$M$205,설정!$E$12))</f>
        <v/>
      </c>
      <c r="R34" s="58">
        <f>IF($B34="","",COUNTIFS('AEOLUS'!$B$6:$B$205,$B34,'AEOLUS'!$AI$6:$AI$205,"&gt;0")+COUNTIFS('MELICERTES'!$B$6:$B$205,$B34,'MELICERTES'!$AI$6:$AI$205,"&gt;0")+COUNTIFS('NELEUS'!$B$6:$B$205,$B34,'NELEUS'!$AI$6:$AI$205,"&gt;0")+COUNTIFS('ONEIROI'!$B$6:$B$205,$B34,'ONEIROI'!$AI$6:$AI$205,"&gt;0"))</f>
        <v/>
      </c>
      <c r="S34" s="53">
        <f>IF($B34="","",SUMIFS('AEOLUS'!$S$6:$S$205,'AEOLUS'!$B$6:$B$205,$B34,'AEOLUS'!$AK$6:$AK$205,1)+SUMIFS('MELICERTES'!$S$6:$S$205,'MELICERTES'!$B$6:$B$205,$B34,'MELICERTES'!$AK$6:$AK$205,1)+SUMIFS('NELEUS'!$S$6:$S$205,'NELEUS'!$B$6:$B$205,$B34,'NELEUS'!$AK$6:$AK$205,1)+SUMIFS('ONEIROI'!$S$6:$S$205,'ONEIROI'!$B$6:$B$205,$B34,'ONEIROI'!$AK$6:$AK$205,1))</f>
        <v/>
      </c>
      <c r="T34" s="36" t="n"/>
    </row>
    <row r="35">
      <c r="A35" s="34" t="n"/>
      <c r="B35" s="34" t="n"/>
      <c r="C35" s="36" t="n"/>
      <c r="D35" s="34" t="n"/>
      <c r="E35" s="56" t="n"/>
      <c r="F35" s="36" t="n"/>
      <c r="G35" s="34" t="n"/>
      <c r="H35" s="58">
        <f>IF($B35="","",COUNTIFS('AEOLUS'!$B$6:$B$205,$B35,'AEOLUS'!$AJ$6:$AJ$205,1)+COUNTIFS('MELICERTES'!$B$6:$B$205,$B35,'MELICERTES'!$AJ$6:$AJ$205,1)+COUNTIFS('NELEUS'!$B$6:$B$205,$B35,'NELEUS'!$AJ$6:$AJ$205,1)+COUNTIFS('ONEIROI'!$B$6:$B$205,$B35,'ONEIROI'!$AJ$6:$AJ$205,1))</f>
        <v/>
      </c>
      <c r="I35" s="58">
        <f>IF(OR($B35="",G35=""),"",G35-H35)</f>
        <v/>
      </c>
      <c r="J35" s="58">
        <f>IF(OR($B35="",설정!$E$5=""),"",COUNTIFS('AEOLUS'!$B$6:$B$205,$B35,'AEOLUS'!$M$6:$M$205,설정!$E$5)+COUNTIFS('MELICERTES'!$B$6:$B$205,$B35,'MELICERTES'!$M$6:$M$205,설정!$E$5)+COUNTIFS('NELEUS'!$B$6:$B$205,$B35,'NELEUS'!$M$6:$M$205,설정!$E$5)+COUNTIFS('ONEIROI'!$B$6:$B$205,$B35,'ONEIROI'!$M$6:$M$205,설정!$E$5))</f>
        <v/>
      </c>
      <c r="K35" s="58">
        <f>IF(OR($B35="",설정!$E$6=""),"",COUNTIFS('AEOLUS'!$B$6:$B$205,$B35,'AEOLUS'!$M$6:$M$205,설정!$E$6)+COUNTIFS('MELICERTES'!$B$6:$B$205,$B35,'MELICERTES'!$M$6:$M$205,설정!$E$6)+COUNTIFS('NELEUS'!$B$6:$B$205,$B35,'NELEUS'!$M$6:$M$205,설정!$E$6)+COUNTIFS('ONEIROI'!$B$6:$B$205,$B35,'ONEIROI'!$M$6:$M$205,설정!$E$6))</f>
        <v/>
      </c>
      <c r="L35" s="58">
        <f>IF(OR($B35="",설정!$E$7=""),"",COUNTIFS('AEOLUS'!$B$6:$B$205,$B35,'AEOLUS'!$M$6:$M$205,설정!$E$7)+COUNTIFS('MELICERTES'!$B$6:$B$205,$B35,'MELICERTES'!$M$6:$M$205,설정!$E$7)+COUNTIFS('NELEUS'!$B$6:$B$205,$B35,'NELEUS'!$M$6:$M$205,설정!$E$7)+COUNTIFS('ONEIROI'!$B$6:$B$205,$B35,'ONEIROI'!$M$6:$M$205,설정!$E$7))</f>
        <v/>
      </c>
      <c r="M35" s="58">
        <f>IF(OR($B35="",설정!$E$8=""),"",COUNTIFS('AEOLUS'!$B$6:$B$205,$B35,'AEOLUS'!$M$6:$M$205,설정!$E$8)+COUNTIFS('MELICERTES'!$B$6:$B$205,$B35,'MELICERTES'!$M$6:$M$205,설정!$E$8)+COUNTIFS('NELEUS'!$B$6:$B$205,$B35,'NELEUS'!$M$6:$M$205,설정!$E$8)+COUNTIFS('ONEIROI'!$B$6:$B$205,$B35,'ONEIROI'!$M$6:$M$205,설정!$E$8))</f>
        <v/>
      </c>
      <c r="N35" s="58">
        <f>IF(OR($B35="",설정!$E$9=""),"",COUNTIFS('AEOLUS'!$B$6:$B$205,$B35,'AEOLUS'!$M$6:$M$205,설정!$E$9)+COUNTIFS('MELICERTES'!$B$6:$B$205,$B35,'MELICERTES'!$M$6:$M$205,설정!$E$9)+COUNTIFS('NELEUS'!$B$6:$B$205,$B35,'NELEUS'!$M$6:$M$205,설정!$E$9)+COUNTIFS('ONEIROI'!$B$6:$B$205,$B35,'ONEIROI'!$M$6:$M$205,설정!$E$9))</f>
        <v/>
      </c>
      <c r="O35" s="58">
        <f>IF(OR($B35="",설정!$E$10=""),"",COUNTIFS('AEOLUS'!$B$6:$B$205,$B35,'AEOLUS'!$M$6:$M$205,설정!$E$10)+COUNTIFS('MELICERTES'!$B$6:$B$205,$B35,'MELICERTES'!$M$6:$M$205,설정!$E$10)+COUNTIFS('NELEUS'!$B$6:$B$205,$B35,'NELEUS'!$M$6:$M$205,설정!$E$10)+COUNTIFS('ONEIROI'!$B$6:$B$205,$B35,'ONEIROI'!$M$6:$M$205,설정!$E$10))</f>
        <v/>
      </c>
      <c r="P35" s="58">
        <f>IF(OR($B35="",설정!$E$11=""),"",COUNTIFS('AEOLUS'!$B$6:$B$205,$B35,'AEOLUS'!$M$6:$M$205,설정!$E$11)+COUNTIFS('MELICERTES'!$B$6:$B$205,$B35,'MELICERTES'!$M$6:$M$205,설정!$E$11)+COUNTIFS('NELEUS'!$B$6:$B$205,$B35,'NELEUS'!$M$6:$M$205,설정!$E$11)+COUNTIFS('ONEIROI'!$B$6:$B$205,$B35,'ONEIROI'!$M$6:$M$205,설정!$E$11))</f>
        <v/>
      </c>
      <c r="Q35" s="58">
        <f>IF(OR($B35="",설정!$E$12=""),"",COUNTIFS('AEOLUS'!$B$6:$B$205,$B35,'AEOLUS'!$M$6:$M$205,설정!$E$12)+COUNTIFS('MELICERTES'!$B$6:$B$205,$B35,'MELICERTES'!$M$6:$M$205,설정!$E$12)+COUNTIFS('NELEUS'!$B$6:$B$205,$B35,'NELEUS'!$M$6:$M$205,설정!$E$12)+COUNTIFS('ONEIROI'!$B$6:$B$205,$B35,'ONEIROI'!$M$6:$M$205,설정!$E$12))</f>
        <v/>
      </c>
      <c r="R35" s="58">
        <f>IF($B35="","",COUNTIFS('AEOLUS'!$B$6:$B$205,$B35,'AEOLUS'!$AI$6:$AI$205,"&gt;0")+COUNTIFS('MELICERTES'!$B$6:$B$205,$B35,'MELICERTES'!$AI$6:$AI$205,"&gt;0")+COUNTIFS('NELEUS'!$B$6:$B$205,$B35,'NELEUS'!$AI$6:$AI$205,"&gt;0")+COUNTIFS('ONEIROI'!$B$6:$B$205,$B35,'ONEIROI'!$AI$6:$AI$205,"&gt;0"))</f>
        <v/>
      </c>
      <c r="S35" s="53">
        <f>IF($B35="","",SUMIFS('AEOLUS'!$S$6:$S$205,'AEOLUS'!$B$6:$B$205,$B35,'AEOLUS'!$AK$6:$AK$205,1)+SUMIFS('MELICERTES'!$S$6:$S$205,'MELICERTES'!$B$6:$B$205,$B35,'MELICERTES'!$AK$6:$AK$205,1)+SUMIFS('NELEUS'!$S$6:$S$205,'NELEUS'!$B$6:$B$205,$B35,'NELEUS'!$AK$6:$AK$205,1)+SUMIFS('ONEIROI'!$S$6:$S$205,'ONEIROI'!$B$6:$B$205,$B35,'ONEIROI'!$AK$6:$AK$205,1))</f>
        <v/>
      </c>
      <c r="T35" s="36" t="n"/>
    </row>
    <row r="36">
      <c r="A36" s="34" t="n"/>
      <c r="B36" s="34" t="n"/>
      <c r="C36" s="36" t="n"/>
      <c r="D36" s="34" t="n"/>
      <c r="E36" s="56" t="n"/>
      <c r="F36" s="36" t="n"/>
      <c r="G36" s="34" t="n"/>
      <c r="H36" s="58">
        <f>IF($B36="","",COUNTIFS('AEOLUS'!$B$6:$B$205,$B36,'AEOLUS'!$AJ$6:$AJ$205,1)+COUNTIFS('MELICERTES'!$B$6:$B$205,$B36,'MELICERTES'!$AJ$6:$AJ$205,1)+COUNTIFS('NELEUS'!$B$6:$B$205,$B36,'NELEUS'!$AJ$6:$AJ$205,1)+COUNTIFS('ONEIROI'!$B$6:$B$205,$B36,'ONEIROI'!$AJ$6:$AJ$205,1))</f>
        <v/>
      </c>
      <c r="I36" s="58">
        <f>IF(OR($B36="",G36=""),"",G36-H36)</f>
        <v/>
      </c>
      <c r="J36" s="58">
        <f>IF(OR($B36="",설정!$E$5=""),"",COUNTIFS('AEOLUS'!$B$6:$B$205,$B36,'AEOLUS'!$M$6:$M$205,설정!$E$5)+COUNTIFS('MELICERTES'!$B$6:$B$205,$B36,'MELICERTES'!$M$6:$M$205,설정!$E$5)+COUNTIFS('NELEUS'!$B$6:$B$205,$B36,'NELEUS'!$M$6:$M$205,설정!$E$5)+COUNTIFS('ONEIROI'!$B$6:$B$205,$B36,'ONEIROI'!$M$6:$M$205,설정!$E$5))</f>
        <v/>
      </c>
      <c r="K36" s="58">
        <f>IF(OR($B36="",설정!$E$6=""),"",COUNTIFS('AEOLUS'!$B$6:$B$205,$B36,'AEOLUS'!$M$6:$M$205,설정!$E$6)+COUNTIFS('MELICERTES'!$B$6:$B$205,$B36,'MELICERTES'!$M$6:$M$205,설정!$E$6)+COUNTIFS('NELEUS'!$B$6:$B$205,$B36,'NELEUS'!$M$6:$M$205,설정!$E$6)+COUNTIFS('ONEIROI'!$B$6:$B$205,$B36,'ONEIROI'!$M$6:$M$205,설정!$E$6))</f>
        <v/>
      </c>
      <c r="L36" s="58">
        <f>IF(OR($B36="",설정!$E$7=""),"",COUNTIFS('AEOLUS'!$B$6:$B$205,$B36,'AEOLUS'!$M$6:$M$205,설정!$E$7)+COUNTIFS('MELICERTES'!$B$6:$B$205,$B36,'MELICERTES'!$M$6:$M$205,설정!$E$7)+COUNTIFS('NELEUS'!$B$6:$B$205,$B36,'NELEUS'!$M$6:$M$205,설정!$E$7)+COUNTIFS('ONEIROI'!$B$6:$B$205,$B36,'ONEIROI'!$M$6:$M$205,설정!$E$7))</f>
        <v/>
      </c>
      <c r="M36" s="58">
        <f>IF(OR($B36="",설정!$E$8=""),"",COUNTIFS('AEOLUS'!$B$6:$B$205,$B36,'AEOLUS'!$M$6:$M$205,설정!$E$8)+COUNTIFS('MELICERTES'!$B$6:$B$205,$B36,'MELICERTES'!$M$6:$M$205,설정!$E$8)+COUNTIFS('NELEUS'!$B$6:$B$205,$B36,'NELEUS'!$M$6:$M$205,설정!$E$8)+COUNTIFS('ONEIROI'!$B$6:$B$205,$B36,'ONEIROI'!$M$6:$M$205,설정!$E$8))</f>
        <v/>
      </c>
      <c r="N36" s="58">
        <f>IF(OR($B36="",설정!$E$9=""),"",COUNTIFS('AEOLUS'!$B$6:$B$205,$B36,'AEOLUS'!$M$6:$M$205,설정!$E$9)+COUNTIFS('MELICERTES'!$B$6:$B$205,$B36,'MELICERTES'!$M$6:$M$205,설정!$E$9)+COUNTIFS('NELEUS'!$B$6:$B$205,$B36,'NELEUS'!$M$6:$M$205,설정!$E$9)+COUNTIFS('ONEIROI'!$B$6:$B$205,$B36,'ONEIROI'!$M$6:$M$205,설정!$E$9))</f>
        <v/>
      </c>
      <c r="O36" s="58">
        <f>IF(OR($B36="",설정!$E$10=""),"",COUNTIFS('AEOLUS'!$B$6:$B$205,$B36,'AEOLUS'!$M$6:$M$205,설정!$E$10)+COUNTIFS('MELICERTES'!$B$6:$B$205,$B36,'MELICERTES'!$M$6:$M$205,설정!$E$10)+COUNTIFS('NELEUS'!$B$6:$B$205,$B36,'NELEUS'!$M$6:$M$205,설정!$E$10)+COUNTIFS('ONEIROI'!$B$6:$B$205,$B36,'ONEIROI'!$M$6:$M$205,설정!$E$10))</f>
        <v/>
      </c>
      <c r="P36" s="58">
        <f>IF(OR($B36="",설정!$E$11=""),"",COUNTIFS('AEOLUS'!$B$6:$B$205,$B36,'AEOLUS'!$M$6:$M$205,설정!$E$11)+COUNTIFS('MELICERTES'!$B$6:$B$205,$B36,'MELICERTES'!$M$6:$M$205,설정!$E$11)+COUNTIFS('NELEUS'!$B$6:$B$205,$B36,'NELEUS'!$M$6:$M$205,설정!$E$11)+COUNTIFS('ONEIROI'!$B$6:$B$205,$B36,'ONEIROI'!$M$6:$M$205,설정!$E$11))</f>
        <v/>
      </c>
      <c r="Q36" s="58">
        <f>IF(OR($B36="",설정!$E$12=""),"",COUNTIFS('AEOLUS'!$B$6:$B$205,$B36,'AEOLUS'!$M$6:$M$205,설정!$E$12)+COUNTIFS('MELICERTES'!$B$6:$B$205,$B36,'MELICERTES'!$M$6:$M$205,설정!$E$12)+COUNTIFS('NELEUS'!$B$6:$B$205,$B36,'NELEUS'!$M$6:$M$205,설정!$E$12)+COUNTIFS('ONEIROI'!$B$6:$B$205,$B36,'ONEIROI'!$M$6:$M$205,설정!$E$12))</f>
        <v/>
      </c>
      <c r="R36" s="58">
        <f>IF($B36="","",COUNTIFS('AEOLUS'!$B$6:$B$205,$B36,'AEOLUS'!$AI$6:$AI$205,"&gt;0")+COUNTIFS('MELICERTES'!$B$6:$B$205,$B36,'MELICERTES'!$AI$6:$AI$205,"&gt;0")+COUNTIFS('NELEUS'!$B$6:$B$205,$B36,'NELEUS'!$AI$6:$AI$205,"&gt;0")+COUNTIFS('ONEIROI'!$B$6:$B$205,$B36,'ONEIROI'!$AI$6:$AI$205,"&gt;0"))</f>
        <v/>
      </c>
      <c r="S36" s="53">
        <f>IF($B36="","",SUMIFS('AEOLUS'!$S$6:$S$205,'AEOLUS'!$B$6:$B$205,$B36,'AEOLUS'!$AK$6:$AK$205,1)+SUMIFS('MELICERTES'!$S$6:$S$205,'MELICERTES'!$B$6:$B$205,$B36,'MELICERTES'!$AK$6:$AK$205,1)+SUMIFS('NELEUS'!$S$6:$S$205,'NELEUS'!$B$6:$B$205,$B36,'NELEUS'!$AK$6:$AK$205,1)+SUMIFS('ONEIROI'!$S$6:$S$205,'ONEIROI'!$B$6:$B$205,$B36,'ONEIROI'!$AK$6:$AK$205,1))</f>
        <v/>
      </c>
      <c r="T36" s="36" t="n"/>
    </row>
    <row r="37">
      <c r="A37" s="34" t="n"/>
      <c r="B37" s="34" t="n"/>
      <c r="C37" s="36" t="n"/>
      <c r="D37" s="34" t="n"/>
      <c r="E37" s="56" t="n"/>
      <c r="F37" s="36" t="n"/>
      <c r="G37" s="34" t="n"/>
      <c r="H37" s="58">
        <f>IF($B37="","",COUNTIFS('AEOLUS'!$B$6:$B$205,$B37,'AEOLUS'!$AJ$6:$AJ$205,1)+COUNTIFS('MELICERTES'!$B$6:$B$205,$B37,'MELICERTES'!$AJ$6:$AJ$205,1)+COUNTIFS('NELEUS'!$B$6:$B$205,$B37,'NELEUS'!$AJ$6:$AJ$205,1)+COUNTIFS('ONEIROI'!$B$6:$B$205,$B37,'ONEIROI'!$AJ$6:$AJ$205,1))</f>
        <v/>
      </c>
      <c r="I37" s="58">
        <f>IF(OR($B37="",G37=""),"",G37-H37)</f>
        <v/>
      </c>
      <c r="J37" s="58">
        <f>IF(OR($B37="",설정!$E$5=""),"",COUNTIFS('AEOLUS'!$B$6:$B$205,$B37,'AEOLUS'!$M$6:$M$205,설정!$E$5)+COUNTIFS('MELICERTES'!$B$6:$B$205,$B37,'MELICERTES'!$M$6:$M$205,설정!$E$5)+COUNTIFS('NELEUS'!$B$6:$B$205,$B37,'NELEUS'!$M$6:$M$205,설정!$E$5)+COUNTIFS('ONEIROI'!$B$6:$B$205,$B37,'ONEIROI'!$M$6:$M$205,설정!$E$5))</f>
        <v/>
      </c>
      <c r="K37" s="58">
        <f>IF(OR($B37="",설정!$E$6=""),"",COUNTIFS('AEOLUS'!$B$6:$B$205,$B37,'AEOLUS'!$M$6:$M$205,설정!$E$6)+COUNTIFS('MELICERTES'!$B$6:$B$205,$B37,'MELICERTES'!$M$6:$M$205,설정!$E$6)+COUNTIFS('NELEUS'!$B$6:$B$205,$B37,'NELEUS'!$M$6:$M$205,설정!$E$6)+COUNTIFS('ONEIROI'!$B$6:$B$205,$B37,'ONEIROI'!$M$6:$M$205,설정!$E$6))</f>
        <v/>
      </c>
      <c r="L37" s="58">
        <f>IF(OR($B37="",설정!$E$7=""),"",COUNTIFS('AEOLUS'!$B$6:$B$205,$B37,'AEOLUS'!$M$6:$M$205,설정!$E$7)+COUNTIFS('MELICERTES'!$B$6:$B$205,$B37,'MELICERTES'!$M$6:$M$205,설정!$E$7)+COUNTIFS('NELEUS'!$B$6:$B$205,$B37,'NELEUS'!$M$6:$M$205,설정!$E$7)+COUNTIFS('ONEIROI'!$B$6:$B$205,$B37,'ONEIROI'!$M$6:$M$205,설정!$E$7))</f>
        <v/>
      </c>
      <c r="M37" s="58">
        <f>IF(OR($B37="",설정!$E$8=""),"",COUNTIFS('AEOLUS'!$B$6:$B$205,$B37,'AEOLUS'!$M$6:$M$205,설정!$E$8)+COUNTIFS('MELICERTES'!$B$6:$B$205,$B37,'MELICERTES'!$M$6:$M$205,설정!$E$8)+COUNTIFS('NELEUS'!$B$6:$B$205,$B37,'NELEUS'!$M$6:$M$205,설정!$E$8)+COUNTIFS('ONEIROI'!$B$6:$B$205,$B37,'ONEIROI'!$M$6:$M$205,설정!$E$8))</f>
        <v/>
      </c>
      <c r="N37" s="58">
        <f>IF(OR($B37="",설정!$E$9=""),"",COUNTIFS('AEOLUS'!$B$6:$B$205,$B37,'AEOLUS'!$M$6:$M$205,설정!$E$9)+COUNTIFS('MELICERTES'!$B$6:$B$205,$B37,'MELICERTES'!$M$6:$M$205,설정!$E$9)+COUNTIFS('NELEUS'!$B$6:$B$205,$B37,'NELEUS'!$M$6:$M$205,설정!$E$9)+COUNTIFS('ONEIROI'!$B$6:$B$205,$B37,'ONEIROI'!$M$6:$M$205,설정!$E$9))</f>
        <v/>
      </c>
      <c r="O37" s="58">
        <f>IF(OR($B37="",설정!$E$10=""),"",COUNTIFS('AEOLUS'!$B$6:$B$205,$B37,'AEOLUS'!$M$6:$M$205,설정!$E$10)+COUNTIFS('MELICERTES'!$B$6:$B$205,$B37,'MELICERTES'!$M$6:$M$205,설정!$E$10)+COUNTIFS('NELEUS'!$B$6:$B$205,$B37,'NELEUS'!$M$6:$M$205,설정!$E$10)+COUNTIFS('ONEIROI'!$B$6:$B$205,$B37,'ONEIROI'!$M$6:$M$205,설정!$E$10))</f>
        <v/>
      </c>
      <c r="P37" s="58">
        <f>IF(OR($B37="",설정!$E$11=""),"",COUNTIFS('AEOLUS'!$B$6:$B$205,$B37,'AEOLUS'!$M$6:$M$205,설정!$E$11)+COUNTIFS('MELICERTES'!$B$6:$B$205,$B37,'MELICERTES'!$M$6:$M$205,설정!$E$11)+COUNTIFS('NELEUS'!$B$6:$B$205,$B37,'NELEUS'!$M$6:$M$205,설정!$E$11)+COUNTIFS('ONEIROI'!$B$6:$B$205,$B37,'ONEIROI'!$M$6:$M$205,설정!$E$11))</f>
        <v/>
      </c>
      <c r="Q37" s="58">
        <f>IF(OR($B37="",설정!$E$12=""),"",COUNTIFS('AEOLUS'!$B$6:$B$205,$B37,'AEOLUS'!$M$6:$M$205,설정!$E$12)+COUNTIFS('MELICERTES'!$B$6:$B$205,$B37,'MELICERTES'!$M$6:$M$205,설정!$E$12)+COUNTIFS('NELEUS'!$B$6:$B$205,$B37,'NELEUS'!$M$6:$M$205,설정!$E$12)+COUNTIFS('ONEIROI'!$B$6:$B$205,$B37,'ONEIROI'!$M$6:$M$205,설정!$E$12))</f>
        <v/>
      </c>
      <c r="R37" s="58">
        <f>IF($B37="","",COUNTIFS('AEOLUS'!$B$6:$B$205,$B37,'AEOLUS'!$AI$6:$AI$205,"&gt;0")+COUNTIFS('MELICERTES'!$B$6:$B$205,$B37,'MELICERTES'!$AI$6:$AI$205,"&gt;0")+COUNTIFS('NELEUS'!$B$6:$B$205,$B37,'NELEUS'!$AI$6:$AI$205,"&gt;0")+COUNTIFS('ONEIROI'!$B$6:$B$205,$B37,'ONEIROI'!$AI$6:$AI$205,"&gt;0"))</f>
        <v/>
      </c>
      <c r="S37" s="53">
        <f>IF($B37="","",SUMIFS('AEOLUS'!$S$6:$S$205,'AEOLUS'!$B$6:$B$205,$B37,'AEOLUS'!$AK$6:$AK$205,1)+SUMIFS('MELICERTES'!$S$6:$S$205,'MELICERTES'!$B$6:$B$205,$B37,'MELICERTES'!$AK$6:$AK$205,1)+SUMIFS('NELEUS'!$S$6:$S$205,'NELEUS'!$B$6:$B$205,$B37,'NELEUS'!$AK$6:$AK$205,1)+SUMIFS('ONEIROI'!$S$6:$S$205,'ONEIROI'!$B$6:$B$205,$B37,'ONEIROI'!$AK$6:$AK$205,1))</f>
        <v/>
      </c>
      <c r="T37" s="36" t="n"/>
    </row>
    <row r="38">
      <c r="A38" s="34" t="n"/>
      <c r="B38" s="34" t="n"/>
      <c r="C38" s="36" t="n"/>
      <c r="D38" s="34" t="n"/>
      <c r="E38" s="56" t="n"/>
      <c r="F38" s="36" t="n"/>
      <c r="G38" s="34" t="n"/>
      <c r="H38" s="58">
        <f>IF($B38="","",COUNTIFS('AEOLUS'!$B$6:$B$205,$B38,'AEOLUS'!$AJ$6:$AJ$205,1)+COUNTIFS('MELICERTES'!$B$6:$B$205,$B38,'MELICERTES'!$AJ$6:$AJ$205,1)+COUNTIFS('NELEUS'!$B$6:$B$205,$B38,'NELEUS'!$AJ$6:$AJ$205,1)+COUNTIFS('ONEIROI'!$B$6:$B$205,$B38,'ONEIROI'!$AJ$6:$AJ$205,1))</f>
        <v/>
      </c>
      <c r="I38" s="58">
        <f>IF(OR($B38="",G38=""),"",G38-H38)</f>
        <v/>
      </c>
      <c r="J38" s="58">
        <f>IF(OR($B38="",설정!$E$5=""),"",COUNTIFS('AEOLUS'!$B$6:$B$205,$B38,'AEOLUS'!$M$6:$M$205,설정!$E$5)+COUNTIFS('MELICERTES'!$B$6:$B$205,$B38,'MELICERTES'!$M$6:$M$205,설정!$E$5)+COUNTIFS('NELEUS'!$B$6:$B$205,$B38,'NELEUS'!$M$6:$M$205,설정!$E$5)+COUNTIFS('ONEIROI'!$B$6:$B$205,$B38,'ONEIROI'!$M$6:$M$205,설정!$E$5))</f>
        <v/>
      </c>
      <c r="K38" s="58">
        <f>IF(OR($B38="",설정!$E$6=""),"",COUNTIFS('AEOLUS'!$B$6:$B$205,$B38,'AEOLUS'!$M$6:$M$205,설정!$E$6)+COUNTIFS('MELICERTES'!$B$6:$B$205,$B38,'MELICERTES'!$M$6:$M$205,설정!$E$6)+COUNTIFS('NELEUS'!$B$6:$B$205,$B38,'NELEUS'!$M$6:$M$205,설정!$E$6)+COUNTIFS('ONEIROI'!$B$6:$B$205,$B38,'ONEIROI'!$M$6:$M$205,설정!$E$6))</f>
        <v/>
      </c>
      <c r="L38" s="58">
        <f>IF(OR($B38="",설정!$E$7=""),"",COUNTIFS('AEOLUS'!$B$6:$B$205,$B38,'AEOLUS'!$M$6:$M$205,설정!$E$7)+COUNTIFS('MELICERTES'!$B$6:$B$205,$B38,'MELICERTES'!$M$6:$M$205,설정!$E$7)+COUNTIFS('NELEUS'!$B$6:$B$205,$B38,'NELEUS'!$M$6:$M$205,설정!$E$7)+COUNTIFS('ONEIROI'!$B$6:$B$205,$B38,'ONEIROI'!$M$6:$M$205,설정!$E$7))</f>
        <v/>
      </c>
      <c r="M38" s="58">
        <f>IF(OR($B38="",설정!$E$8=""),"",COUNTIFS('AEOLUS'!$B$6:$B$205,$B38,'AEOLUS'!$M$6:$M$205,설정!$E$8)+COUNTIFS('MELICERTES'!$B$6:$B$205,$B38,'MELICERTES'!$M$6:$M$205,설정!$E$8)+COUNTIFS('NELEUS'!$B$6:$B$205,$B38,'NELEUS'!$M$6:$M$205,설정!$E$8)+COUNTIFS('ONEIROI'!$B$6:$B$205,$B38,'ONEIROI'!$M$6:$M$205,설정!$E$8))</f>
        <v/>
      </c>
      <c r="N38" s="58">
        <f>IF(OR($B38="",설정!$E$9=""),"",COUNTIFS('AEOLUS'!$B$6:$B$205,$B38,'AEOLUS'!$M$6:$M$205,설정!$E$9)+COUNTIFS('MELICERTES'!$B$6:$B$205,$B38,'MELICERTES'!$M$6:$M$205,설정!$E$9)+COUNTIFS('NELEUS'!$B$6:$B$205,$B38,'NELEUS'!$M$6:$M$205,설정!$E$9)+COUNTIFS('ONEIROI'!$B$6:$B$205,$B38,'ONEIROI'!$M$6:$M$205,설정!$E$9))</f>
        <v/>
      </c>
      <c r="O38" s="58">
        <f>IF(OR($B38="",설정!$E$10=""),"",COUNTIFS('AEOLUS'!$B$6:$B$205,$B38,'AEOLUS'!$M$6:$M$205,설정!$E$10)+COUNTIFS('MELICERTES'!$B$6:$B$205,$B38,'MELICERTES'!$M$6:$M$205,설정!$E$10)+COUNTIFS('NELEUS'!$B$6:$B$205,$B38,'NELEUS'!$M$6:$M$205,설정!$E$10)+COUNTIFS('ONEIROI'!$B$6:$B$205,$B38,'ONEIROI'!$M$6:$M$205,설정!$E$10))</f>
        <v/>
      </c>
      <c r="P38" s="58">
        <f>IF(OR($B38="",설정!$E$11=""),"",COUNTIFS('AEOLUS'!$B$6:$B$205,$B38,'AEOLUS'!$M$6:$M$205,설정!$E$11)+COUNTIFS('MELICERTES'!$B$6:$B$205,$B38,'MELICERTES'!$M$6:$M$205,설정!$E$11)+COUNTIFS('NELEUS'!$B$6:$B$205,$B38,'NELEUS'!$M$6:$M$205,설정!$E$11)+COUNTIFS('ONEIROI'!$B$6:$B$205,$B38,'ONEIROI'!$M$6:$M$205,설정!$E$11))</f>
        <v/>
      </c>
      <c r="Q38" s="58">
        <f>IF(OR($B38="",설정!$E$12=""),"",COUNTIFS('AEOLUS'!$B$6:$B$205,$B38,'AEOLUS'!$M$6:$M$205,설정!$E$12)+COUNTIFS('MELICERTES'!$B$6:$B$205,$B38,'MELICERTES'!$M$6:$M$205,설정!$E$12)+COUNTIFS('NELEUS'!$B$6:$B$205,$B38,'NELEUS'!$M$6:$M$205,설정!$E$12)+COUNTIFS('ONEIROI'!$B$6:$B$205,$B38,'ONEIROI'!$M$6:$M$205,설정!$E$12))</f>
        <v/>
      </c>
      <c r="R38" s="58">
        <f>IF($B38="","",COUNTIFS('AEOLUS'!$B$6:$B$205,$B38,'AEOLUS'!$AI$6:$AI$205,"&gt;0")+COUNTIFS('MELICERTES'!$B$6:$B$205,$B38,'MELICERTES'!$AI$6:$AI$205,"&gt;0")+COUNTIFS('NELEUS'!$B$6:$B$205,$B38,'NELEUS'!$AI$6:$AI$205,"&gt;0")+COUNTIFS('ONEIROI'!$B$6:$B$205,$B38,'ONEIROI'!$AI$6:$AI$205,"&gt;0"))</f>
        <v/>
      </c>
      <c r="S38" s="53">
        <f>IF($B38="","",SUMIFS('AEOLUS'!$S$6:$S$205,'AEOLUS'!$B$6:$B$205,$B38,'AEOLUS'!$AK$6:$AK$205,1)+SUMIFS('MELICERTES'!$S$6:$S$205,'MELICERTES'!$B$6:$B$205,$B38,'MELICERTES'!$AK$6:$AK$205,1)+SUMIFS('NELEUS'!$S$6:$S$205,'NELEUS'!$B$6:$B$205,$B38,'NELEUS'!$AK$6:$AK$205,1)+SUMIFS('ONEIROI'!$S$6:$S$205,'ONEIROI'!$B$6:$B$205,$B38,'ONEIROI'!$AK$6:$AK$205,1))</f>
        <v/>
      </c>
      <c r="T38" s="36" t="n"/>
    </row>
    <row r="39">
      <c r="A39" s="34" t="n"/>
      <c r="B39" s="34" t="n"/>
      <c r="C39" s="36" t="n"/>
      <c r="D39" s="34" t="n"/>
      <c r="E39" s="56" t="n"/>
      <c r="F39" s="36" t="n"/>
      <c r="G39" s="34" t="n"/>
      <c r="H39" s="58">
        <f>IF($B39="","",COUNTIFS('AEOLUS'!$B$6:$B$205,$B39,'AEOLUS'!$AJ$6:$AJ$205,1)+COUNTIFS('MELICERTES'!$B$6:$B$205,$B39,'MELICERTES'!$AJ$6:$AJ$205,1)+COUNTIFS('NELEUS'!$B$6:$B$205,$B39,'NELEUS'!$AJ$6:$AJ$205,1)+COUNTIFS('ONEIROI'!$B$6:$B$205,$B39,'ONEIROI'!$AJ$6:$AJ$205,1))</f>
        <v/>
      </c>
      <c r="I39" s="58">
        <f>IF(OR($B39="",G39=""),"",G39-H39)</f>
        <v/>
      </c>
      <c r="J39" s="58">
        <f>IF(OR($B39="",설정!$E$5=""),"",COUNTIFS('AEOLUS'!$B$6:$B$205,$B39,'AEOLUS'!$M$6:$M$205,설정!$E$5)+COUNTIFS('MELICERTES'!$B$6:$B$205,$B39,'MELICERTES'!$M$6:$M$205,설정!$E$5)+COUNTIFS('NELEUS'!$B$6:$B$205,$B39,'NELEUS'!$M$6:$M$205,설정!$E$5)+COUNTIFS('ONEIROI'!$B$6:$B$205,$B39,'ONEIROI'!$M$6:$M$205,설정!$E$5))</f>
        <v/>
      </c>
      <c r="K39" s="58">
        <f>IF(OR($B39="",설정!$E$6=""),"",COUNTIFS('AEOLUS'!$B$6:$B$205,$B39,'AEOLUS'!$M$6:$M$205,설정!$E$6)+COUNTIFS('MELICERTES'!$B$6:$B$205,$B39,'MELICERTES'!$M$6:$M$205,설정!$E$6)+COUNTIFS('NELEUS'!$B$6:$B$205,$B39,'NELEUS'!$M$6:$M$205,설정!$E$6)+COUNTIFS('ONEIROI'!$B$6:$B$205,$B39,'ONEIROI'!$M$6:$M$205,설정!$E$6))</f>
        <v/>
      </c>
      <c r="L39" s="58">
        <f>IF(OR($B39="",설정!$E$7=""),"",COUNTIFS('AEOLUS'!$B$6:$B$205,$B39,'AEOLUS'!$M$6:$M$205,설정!$E$7)+COUNTIFS('MELICERTES'!$B$6:$B$205,$B39,'MELICERTES'!$M$6:$M$205,설정!$E$7)+COUNTIFS('NELEUS'!$B$6:$B$205,$B39,'NELEUS'!$M$6:$M$205,설정!$E$7)+COUNTIFS('ONEIROI'!$B$6:$B$205,$B39,'ONEIROI'!$M$6:$M$205,설정!$E$7))</f>
        <v/>
      </c>
      <c r="M39" s="58">
        <f>IF(OR($B39="",설정!$E$8=""),"",COUNTIFS('AEOLUS'!$B$6:$B$205,$B39,'AEOLUS'!$M$6:$M$205,설정!$E$8)+COUNTIFS('MELICERTES'!$B$6:$B$205,$B39,'MELICERTES'!$M$6:$M$205,설정!$E$8)+COUNTIFS('NELEUS'!$B$6:$B$205,$B39,'NELEUS'!$M$6:$M$205,설정!$E$8)+COUNTIFS('ONEIROI'!$B$6:$B$205,$B39,'ONEIROI'!$M$6:$M$205,설정!$E$8))</f>
        <v/>
      </c>
      <c r="N39" s="58">
        <f>IF(OR($B39="",설정!$E$9=""),"",COUNTIFS('AEOLUS'!$B$6:$B$205,$B39,'AEOLUS'!$M$6:$M$205,설정!$E$9)+COUNTIFS('MELICERTES'!$B$6:$B$205,$B39,'MELICERTES'!$M$6:$M$205,설정!$E$9)+COUNTIFS('NELEUS'!$B$6:$B$205,$B39,'NELEUS'!$M$6:$M$205,설정!$E$9)+COUNTIFS('ONEIROI'!$B$6:$B$205,$B39,'ONEIROI'!$M$6:$M$205,설정!$E$9))</f>
        <v/>
      </c>
      <c r="O39" s="58">
        <f>IF(OR($B39="",설정!$E$10=""),"",COUNTIFS('AEOLUS'!$B$6:$B$205,$B39,'AEOLUS'!$M$6:$M$205,설정!$E$10)+COUNTIFS('MELICERTES'!$B$6:$B$205,$B39,'MELICERTES'!$M$6:$M$205,설정!$E$10)+COUNTIFS('NELEUS'!$B$6:$B$205,$B39,'NELEUS'!$M$6:$M$205,설정!$E$10)+COUNTIFS('ONEIROI'!$B$6:$B$205,$B39,'ONEIROI'!$M$6:$M$205,설정!$E$10))</f>
        <v/>
      </c>
      <c r="P39" s="58">
        <f>IF(OR($B39="",설정!$E$11=""),"",COUNTIFS('AEOLUS'!$B$6:$B$205,$B39,'AEOLUS'!$M$6:$M$205,설정!$E$11)+COUNTIFS('MELICERTES'!$B$6:$B$205,$B39,'MELICERTES'!$M$6:$M$205,설정!$E$11)+COUNTIFS('NELEUS'!$B$6:$B$205,$B39,'NELEUS'!$M$6:$M$205,설정!$E$11)+COUNTIFS('ONEIROI'!$B$6:$B$205,$B39,'ONEIROI'!$M$6:$M$205,설정!$E$11))</f>
        <v/>
      </c>
      <c r="Q39" s="58">
        <f>IF(OR($B39="",설정!$E$12=""),"",COUNTIFS('AEOLUS'!$B$6:$B$205,$B39,'AEOLUS'!$M$6:$M$205,설정!$E$12)+COUNTIFS('MELICERTES'!$B$6:$B$205,$B39,'MELICERTES'!$M$6:$M$205,설정!$E$12)+COUNTIFS('NELEUS'!$B$6:$B$205,$B39,'NELEUS'!$M$6:$M$205,설정!$E$12)+COUNTIFS('ONEIROI'!$B$6:$B$205,$B39,'ONEIROI'!$M$6:$M$205,설정!$E$12))</f>
        <v/>
      </c>
      <c r="R39" s="58">
        <f>IF($B39="","",COUNTIFS('AEOLUS'!$B$6:$B$205,$B39,'AEOLUS'!$AI$6:$AI$205,"&gt;0")+COUNTIFS('MELICERTES'!$B$6:$B$205,$B39,'MELICERTES'!$AI$6:$AI$205,"&gt;0")+COUNTIFS('NELEUS'!$B$6:$B$205,$B39,'NELEUS'!$AI$6:$AI$205,"&gt;0")+COUNTIFS('ONEIROI'!$B$6:$B$205,$B39,'ONEIROI'!$AI$6:$AI$205,"&gt;0"))</f>
        <v/>
      </c>
      <c r="S39" s="53">
        <f>IF($B39="","",SUMIFS('AEOLUS'!$S$6:$S$205,'AEOLUS'!$B$6:$B$205,$B39,'AEOLUS'!$AK$6:$AK$205,1)+SUMIFS('MELICERTES'!$S$6:$S$205,'MELICERTES'!$B$6:$B$205,$B39,'MELICERTES'!$AK$6:$AK$205,1)+SUMIFS('NELEUS'!$S$6:$S$205,'NELEUS'!$B$6:$B$205,$B39,'NELEUS'!$AK$6:$AK$205,1)+SUMIFS('ONEIROI'!$S$6:$S$205,'ONEIROI'!$B$6:$B$205,$B39,'ONEIROI'!$AK$6:$AK$205,1))</f>
        <v/>
      </c>
      <c r="T39" s="36" t="n"/>
    </row>
    <row r="40">
      <c r="A40" s="34" t="n"/>
      <c r="B40" s="34" t="n"/>
      <c r="C40" s="36" t="n"/>
      <c r="D40" s="34" t="n"/>
      <c r="E40" s="56" t="n"/>
      <c r="F40" s="36" t="n"/>
      <c r="G40" s="34" t="n"/>
      <c r="H40" s="58">
        <f>IF($B40="","",COUNTIFS('AEOLUS'!$B$6:$B$205,$B40,'AEOLUS'!$AJ$6:$AJ$205,1)+COUNTIFS('MELICERTES'!$B$6:$B$205,$B40,'MELICERTES'!$AJ$6:$AJ$205,1)+COUNTIFS('NELEUS'!$B$6:$B$205,$B40,'NELEUS'!$AJ$6:$AJ$205,1)+COUNTIFS('ONEIROI'!$B$6:$B$205,$B40,'ONEIROI'!$AJ$6:$AJ$205,1))</f>
        <v/>
      </c>
      <c r="I40" s="58">
        <f>IF(OR($B40="",G40=""),"",G40-H40)</f>
        <v/>
      </c>
      <c r="J40" s="58">
        <f>IF(OR($B40="",설정!$E$5=""),"",COUNTIFS('AEOLUS'!$B$6:$B$205,$B40,'AEOLUS'!$M$6:$M$205,설정!$E$5)+COUNTIFS('MELICERTES'!$B$6:$B$205,$B40,'MELICERTES'!$M$6:$M$205,설정!$E$5)+COUNTIFS('NELEUS'!$B$6:$B$205,$B40,'NELEUS'!$M$6:$M$205,설정!$E$5)+COUNTIFS('ONEIROI'!$B$6:$B$205,$B40,'ONEIROI'!$M$6:$M$205,설정!$E$5))</f>
        <v/>
      </c>
      <c r="K40" s="58">
        <f>IF(OR($B40="",설정!$E$6=""),"",COUNTIFS('AEOLUS'!$B$6:$B$205,$B40,'AEOLUS'!$M$6:$M$205,설정!$E$6)+COUNTIFS('MELICERTES'!$B$6:$B$205,$B40,'MELICERTES'!$M$6:$M$205,설정!$E$6)+COUNTIFS('NELEUS'!$B$6:$B$205,$B40,'NELEUS'!$M$6:$M$205,설정!$E$6)+COUNTIFS('ONEIROI'!$B$6:$B$205,$B40,'ONEIROI'!$M$6:$M$205,설정!$E$6))</f>
        <v/>
      </c>
      <c r="L40" s="58">
        <f>IF(OR($B40="",설정!$E$7=""),"",COUNTIFS('AEOLUS'!$B$6:$B$205,$B40,'AEOLUS'!$M$6:$M$205,설정!$E$7)+COUNTIFS('MELICERTES'!$B$6:$B$205,$B40,'MELICERTES'!$M$6:$M$205,설정!$E$7)+COUNTIFS('NELEUS'!$B$6:$B$205,$B40,'NELEUS'!$M$6:$M$205,설정!$E$7)+COUNTIFS('ONEIROI'!$B$6:$B$205,$B40,'ONEIROI'!$M$6:$M$205,설정!$E$7))</f>
        <v/>
      </c>
      <c r="M40" s="58">
        <f>IF(OR($B40="",설정!$E$8=""),"",COUNTIFS('AEOLUS'!$B$6:$B$205,$B40,'AEOLUS'!$M$6:$M$205,설정!$E$8)+COUNTIFS('MELICERTES'!$B$6:$B$205,$B40,'MELICERTES'!$M$6:$M$205,설정!$E$8)+COUNTIFS('NELEUS'!$B$6:$B$205,$B40,'NELEUS'!$M$6:$M$205,설정!$E$8)+COUNTIFS('ONEIROI'!$B$6:$B$205,$B40,'ONEIROI'!$M$6:$M$205,설정!$E$8))</f>
        <v/>
      </c>
      <c r="N40" s="58">
        <f>IF(OR($B40="",설정!$E$9=""),"",COUNTIFS('AEOLUS'!$B$6:$B$205,$B40,'AEOLUS'!$M$6:$M$205,설정!$E$9)+COUNTIFS('MELICERTES'!$B$6:$B$205,$B40,'MELICERTES'!$M$6:$M$205,설정!$E$9)+COUNTIFS('NELEUS'!$B$6:$B$205,$B40,'NELEUS'!$M$6:$M$205,설정!$E$9)+COUNTIFS('ONEIROI'!$B$6:$B$205,$B40,'ONEIROI'!$M$6:$M$205,설정!$E$9))</f>
        <v/>
      </c>
      <c r="O40" s="58">
        <f>IF(OR($B40="",설정!$E$10=""),"",COUNTIFS('AEOLUS'!$B$6:$B$205,$B40,'AEOLUS'!$M$6:$M$205,설정!$E$10)+COUNTIFS('MELICERTES'!$B$6:$B$205,$B40,'MELICERTES'!$M$6:$M$205,설정!$E$10)+COUNTIFS('NELEUS'!$B$6:$B$205,$B40,'NELEUS'!$M$6:$M$205,설정!$E$10)+COUNTIFS('ONEIROI'!$B$6:$B$205,$B40,'ONEIROI'!$M$6:$M$205,설정!$E$10))</f>
        <v/>
      </c>
      <c r="P40" s="58">
        <f>IF(OR($B40="",설정!$E$11=""),"",COUNTIFS('AEOLUS'!$B$6:$B$205,$B40,'AEOLUS'!$M$6:$M$205,설정!$E$11)+COUNTIFS('MELICERTES'!$B$6:$B$205,$B40,'MELICERTES'!$M$6:$M$205,설정!$E$11)+COUNTIFS('NELEUS'!$B$6:$B$205,$B40,'NELEUS'!$M$6:$M$205,설정!$E$11)+COUNTIFS('ONEIROI'!$B$6:$B$205,$B40,'ONEIROI'!$M$6:$M$205,설정!$E$11))</f>
        <v/>
      </c>
      <c r="Q40" s="58">
        <f>IF(OR($B40="",설정!$E$12=""),"",COUNTIFS('AEOLUS'!$B$6:$B$205,$B40,'AEOLUS'!$M$6:$M$205,설정!$E$12)+COUNTIFS('MELICERTES'!$B$6:$B$205,$B40,'MELICERTES'!$M$6:$M$205,설정!$E$12)+COUNTIFS('NELEUS'!$B$6:$B$205,$B40,'NELEUS'!$M$6:$M$205,설정!$E$12)+COUNTIFS('ONEIROI'!$B$6:$B$205,$B40,'ONEIROI'!$M$6:$M$205,설정!$E$12))</f>
        <v/>
      </c>
      <c r="R40" s="58">
        <f>IF($B40="","",COUNTIFS('AEOLUS'!$B$6:$B$205,$B40,'AEOLUS'!$AI$6:$AI$205,"&gt;0")+COUNTIFS('MELICERTES'!$B$6:$B$205,$B40,'MELICERTES'!$AI$6:$AI$205,"&gt;0")+COUNTIFS('NELEUS'!$B$6:$B$205,$B40,'NELEUS'!$AI$6:$AI$205,"&gt;0")+COUNTIFS('ONEIROI'!$B$6:$B$205,$B40,'ONEIROI'!$AI$6:$AI$205,"&gt;0"))</f>
        <v/>
      </c>
      <c r="S40" s="53">
        <f>IF($B40="","",SUMIFS('AEOLUS'!$S$6:$S$205,'AEOLUS'!$B$6:$B$205,$B40,'AEOLUS'!$AK$6:$AK$205,1)+SUMIFS('MELICERTES'!$S$6:$S$205,'MELICERTES'!$B$6:$B$205,$B40,'MELICERTES'!$AK$6:$AK$205,1)+SUMIFS('NELEUS'!$S$6:$S$205,'NELEUS'!$B$6:$B$205,$B40,'NELEUS'!$AK$6:$AK$205,1)+SUMIFS('ONEIROI'!$S$6:$S$205,'ONEIROI'!$B$6:$B$205,$B40,'ONEIROI'!$AK$6:$AK$205,1))</f>
        <v/>
      </c>
      <c r="T40" s="36" t="n"/>
    </row>
  </sheetData>
  <conditionalFormatting sqref="I5:I40">
    <cfRule type="cellIs" priority="1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3" customWidth="1" min="6" max="6"/>
    <col width="46" customWidth="1" min="7" max="7"/>
    <col width="3" customWidth="1" min="10" max="10"/>
    <col width="8" customWidth="1" min="11" max="11"/>
    <col width="11" customWidth="1" min="12" max="12"/>
    <col width="52" customWidth="1" min="13" max="13"/>
  </cols>
  <sheetData>
    <row r="1">
      <c r="A1" s="59" t="inlineStr">
        <is>
          <t>설정 (드롭다운 목록 · 환율)</t>
        </is>
      </c>
    </row>
    <row r="2">
      <c r="A2" s="60" t="inlineStr">
        <is>
          <t>노란 칸에 항목을 추가하면 선박 시트 드롭다운에 바로 반영됩니다. 견적업체는 8곳까지 (중복견적 비교 칸 수).</t>
        </is>
      </c>
    </row>
    <row r="4">
      <c r="A4" s="4" t="inlineStr">
        <is>
          <t>견적상태 (업체 회신)</t>
        </is>
      </c>
      <c r="C4" s="4" t="inlineStr">
        <is>
          <t>진행상태 (우리 쪽)</t>
        </is>
      </c>
      <c r="E4" s="4" t="inlineStr">
        <is>
          <t>견적업체 (최대 8)</t>
        </is>
      </c>
      <c r="G4" s="61" t="inlineStr">
        <is>
          <t>견적상태 뜻</t>
        </is>
      </c>
      <c r="K4" s="4" t="inlineStr">
        <is>
          <t>통화</t>
        </is>
      </c>
      <c r="L4" s="4" t="inlineStr">
        <is>
          <t>원화 환율</t>
        </is>
      </c>
      <c r="M4" s="4" t="inlineStr">
        <is>
          <t>기준 / 출처</t>
        </is>
      </c>
    </row>
    <row r="5">
      <c r="A5" s="62" t="inlineStr">
        <is>
          <t>견적접수</t>
        </is>
      </c>
      <c r="C5" s="62" t="inlineStr">
        <is>
          <t>검토중</t>
        </is>
      </c>
      <c r="E5" s="62" t="inlineStr">
        <is>
          <t>RMS</t>
        </is>
      </c>
      <c r="G5" s="63" t="inlineStr">
        <is>
          <t>견적접수 = 단가 회신 받음</t>
        </is>
      </c>
      <c r="K5" s="62" t="inlineStr">
        <is>
          <t>KRW</t>
        </is>
      </c>
      <c r="L5" s="64" t="n">
        <v>1</v>
      </c>
      <c r="M5" s="65" t="inlineStr">
        <is>
          <t>기준</t>
        </is>
      </c>
    </row>
    <row r="6">
      <c r="A6" s="62" t="inlineStr">
        <is>
          <t>확인필요</t>
        </is>
      </c>
      <c r="C6" s="62" t="inlineStr">
        <is>
          <t>정보 송부필요</t>
        </is>
      </c>
      <c r="E6" s="62" t="inlineStr">
        <is>
          <t>AFS</t>
        </is>
      </c>
      <c r="G6" s="63" t="inlineStr">
        <is>
          <t>확인필요 = 업체가 명판/상세정보 요청 (우리가 보내야 함)</t>
        </is>
      </c>
      <c r="K6" s="62" t="inlineStr">
        <is>
          <t>EUR</t>
        </is>
      </c>
      <c r="L6" s="66" t="n">
        <v>1490</v>
      </c>
      <c r="M6" s="65" t="inlineStr">
        <is>
          <t>2026-10-20 시장환율 (exchange-rates.org) – 실제 적용 환율로 수정</t>
        </is>
      </c>
    </row>
    <row r="7">
      <c r="A7" s="62" t="inlineStr">
        <is>
          <t>공급불가</t>
        </is>
      </c>
      <c r="C7" s="62" t="inlineStr">
        <is>
          <t>타업체 문의</t>
        </is>
      </c>
      <c r="E7" s="62" t="inlineStr">
        <is>
          <t>DINTEC</t>
        </is>
      </c>
      <c r="G7" s="63" t="inlineStr">
        <is>
          <t>공급불가 = NOT AVAILABLE → 타 업체 문의</t>
        </is>
      </c>
      <c r="K7" s="62" t="inlineStr">
        <is>
          <t>USD</t>
        </is>
      </c>
      <c r="L7" s="66" t="n"/>
      <c r="M7" s="65" t="inlineStr">
        <is>
          <t>필요 시 입력</t>
        </is>
      </c>
    </row>
    <row r="8">
      <c r="A8" s="62" t="inlineStr">
        <is>
          <t>미접수</t>
        </is>
      </c>
      <c r="C8" s="62" t="inlineStr">
        <is>
          <t>선주 승인대기</t>
        </is>
      </c>
      <c r="E8" s="62" t="inlineStr">
        <is>
          <t>OXEN</t>
        </is>
      </c>
      <c r="G8" s="63" t="inlineStr">
        <is>
          <t>미접수 = 아직 회신 없음</t>
        </is>
      </c>
      <c r="K8" s="62" t="n"/>
      <c r="L8" s="66" t="n"/>
      <c r="M8" s="65" t="n"/>
    </row>
    <row r="9">
      <c r="A9" s="62" t="n"/>
      <c r="C9" s="62" t="inlineStr">
        <is>
          <t>발주완료</t>
        </is>
      </c>
      <c r="E9" s="62" t="inlineStr">
        <is>
          <t>CENTMAR</t>
        </is>
      </c>
      <c r="K9" s="62" t="n"/>
      <c r="L9" s="66" t="n"/>
      <c r="M9" s="65" t="n"/>
    </row>
    <row r="10">
      <c r="A10" s="62" t="n"/>
      <c r="C10" s="62" t="inlineStr">
        <is>
          <t>보류</t>
        </is>
      </c>
      <c r="E10" s="62" t="inlineStr">
        <is>
          <t>BOSUNG</t>
        </is>
      </c>
    </row>
    <row r="11">
      <c r="A11" s="62" t="n"/>
      <c r="C11" s="62" t="inlineStr">
        <is>
          <t>취소</t>
        </is>
      </c>
      <c r="E11" s="62" t="n"/>
      <c r="K11" s="2" t="inlineStr">
        <is>
          <t>환율을 바꾸면 모든 원화 환산·최저가·합계가 자동으로 다시 계산됩니다.</t>
        </is>
      </c>
    </row>
    <row r="12">
      <c r="A12" s="62" t="n"/>
      <c r="C12" s="62" t="n"/>
      <c r="E12" s="62" t="n"/>
    </row>
    <row r="13">
      <c r="A13" s="62" t="n"/>
      <c r="C13" s="62" t="n"/>
    </row>
    <row r="14">
      <c r="A14" s="62" t="n"/>
      <c r="C14" s="62" t="n"/>
    </row>
    <row r="15">
      <c r="C15" s="62" t="n"/>
    </row>
    <row r="16">
      <c r="C16" s="6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사용법</t>
        </is>
      </c>
    </row>
    <row r="3">
      <c r="B3" s="67" t="inlineStr">
        <is>
          <t>구조</t>
        </is>
      </c>
    </row>
    <row r="4">
      <c r="B4" s="68" t="inlineStr">
        <is>
          <t>• 요약: 선박별 품목·견적확보·중복견적·최저가 합계, 스케줄 알림 (자동). 선박명 클릭 → 해당 시트</t>
        </is>
      </c>
    </row>
    <row r="5">
      <c r="B5" s="68" t="inlineStr">
        <is>
          <t>• 스케줄: 선박별 다음 일정. 예정일만 바꾸면 D-day·1주 전·4일 전 알림이 요약과 선박 시트 2행에 자동 표시</t>
        </is>
      </c>
    </row>
    <row r="6">
      <c r="B6" s="68" t="inlineStr">
        <is>
          <t>• 중복견적: 같은 품목에 업체 견적이 2곳 이상이면 자동으로 모여서 업체별 상태·원화 단가·납기를 나란히 비교</t>
        </is>
      </c>
    </row>
    <row r="7">
      <c r="B7" s="68" t="inlineStr">
        <is>
          <t>• AEOLUS · MELICERTES · NELEUS · ONEIROI: 견적 1줄 = 업체 1곳의 품목 1개 (빨간 탭 = URGENT 선박)</t>
        </is>
      </c>
    </row>
    <row r="8">
      <c r="B8" s="68" t="inlineStr">
        <is>
          <t>• RFQ목록: RFQ별 견적 확보 품목 수와 업체별 회신 줄 수</t>
        </is>
      </c>
    </row>
    <row r="9">
      <c r="B9" s="68" t="inlineStr"/>
    </row>
    <row r="10">
      <c r="B10" s="67" t="inlineStr">
        <is>
          <t>중복견적 (다른 업체 견적 추가)</t>
        </is>
      </c>
    </row>
    <row r="11">
      <c r="B11" s="68" t="inlineStr">
        <is>
          <t>• 선박 시트 빈 줄에 같은 RFQ No. + 같은 항목#를 넣고 견적업체·통화·단가를 입력 → '중복/비교' 칸에 '중복 2곳' 자동 표시</t>
        </is>
      </c>
    </row>
    <row r="12">
      <c r="B12" s="68" t="inlineStr">
        <is>
          <t>• 원화 환산으로 가장 싼 줄은 '최저가'(초록), 나머지는 '비쌈' 표시 · 중복 품목은 왼쪽 No·RFQ 칸이 보라색</t>
        </is>
      </c>
    </row>
    <row r="13">
      <c r="B13" s="68" t="inlineStr">
        <is>
          <t>• 중복견적 시트는 행을 직접 고칠 필요 없음 – 선박 시트만 고치면 자동 갱신</t>
        </is>
      </c>
    </row>
    <row r="14">
      <c r="B14" s="68" t="inlineStr">
        <is>
          <t>• RFQ가 없는 품목은 RFQ No.에 이름(예: SPAN GAS)을 정해 쓰고 항목#를 1,2,3… 로 매기면 같은 방식으로 비교됨</t>
        </is>
      </c>
    </row>
    <row r="15">
      <c r="B15" s="68" t="inlineStr">
        <is>
          <t>• 새 업체: 설정 시트 '견적업체'에 추가 (최대 8곳) · 새 통화: 설정 시트 환율표에 추가</t>
        </is>
      </c>
    </row>
    <row r="16">
      <c r="B16" s="68" t="inlineStr"/>
    </row>
    <row r="17">
      <c r="B17" s="67" t="inlineStr">
        <is>
          <t>스케줄 알림</t>
        </is>
      </c>
    </row>
    <row r="18">
      <c r="B18" s="68" t="inlineStr">
        <is>
          <t>• 1주 전(D-7) = 주황 / 4일 전(D-4) = 빨강. 파일을 열 때마다 오늘 날짜 기준으로 다시 계산</t>
        </is>
      </c>
    </row>
    <row r="19">
      <c r="B19" s="68" t="inlineStr">
        <is>
          <t>• 운송소요(일): 출고 후 선박까지 걸리는 기간. 넣으면 '출고 마감'이 그만큼 앞당겨짐</t>
        </is>
      </c>
    </row>
    <row r="20">
      <c r="B20" s="68" t="inlineStr">
        <is>
          <t>• 선박 시트 '일정 대비': 오늘 발주 시 (오늘+납기)가 출고 마감 안이면 가능, 넘으면 '초과 n일'</t>
        </is>
      </c>
    </row>
    <row r="21">
      <c r="B21" s="68" t="inlineStr"/>
    </row>
    <row r="22">
      <c r="B22" s="67" t="inlineStr">
        <is>
          <t>추가 / 빼기</t>
        </is>
      </c>
    </row>
    <row r="23">
      <c r="B23" s="68" t="inlineStr">
        <is>
          <t>• 빼기: 진행상태를 '취소'로 바꾸면 회색 처리 (기록 유지). 완전히 지우려면 행 삭제</t>
        </is>
      </c>
    </row>
    <row r="24">
      <c r="B24" s="68" t="inlineStr">
        <is>
          <t>• 정렬·필터는 자유롭게 해도 됨 (중복 판별은 RFQ No.+항목# 기준이라 줄 순서와 무관)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2026-10-26T01:05:17Z</dcterms:created>
  <dcterms:modified xmlns:dcterms="http://purl.org/dc/terms/" xmlns:xsi="http://www.w3.org/2001/XMLSchema-instance" xsi:type="dcterms:W3CDTF">2026-10-26T01:05:19Z</dcterms:modified>
</cp:coreProperties>
</file>