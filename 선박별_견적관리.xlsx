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견적목록" sheetId="1" state="visible" r:id="rId1"/>
    <sheet xmlns:r="http://schemas.openxmlformats.org/officeDocument/2006/relationships" name="선박별 요약" sheetId="2" state="visible" r:id="rId2"/>
    <sheet xmlns:r="http://schemas.openxmlformats.org/officeDocument/2006/relationships" name="설정" sheetId="3" state="visible" r:id="rId3"/>
    <sheet xmlns:r="http://schemas.openxmlformats.org/officeDocument/2006/relationships" name="사용법" sheetId="4" state="visible" r:id="rId4"/>
  </sheets>
  <definedNames>
    <definedName name="_xlnm._FilterDatabase" localSheetId="0" hidden="1">'견적목록'!$A$4:$R$504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#,##0;(#,##0);&quot;-&quot;"/>
    <numFmt numFmtId="166" formatCode="0&quot;일&quot;"/>
    <numFmt numFmtId="167" formatCode="0;-0;&quot;-&quot;"/>
  </numFmts>
  <fonts count="16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i val="1"/>
      <color rgb="00595959"/>
      <sz val="10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i val="1"/>
      <color rgb="00595959"/>
      <sz val="9"/>
    </font>
    <font>
      <name val="맑은 고딕"/>
      <b val="1"/>
      <color rgb="001F3864"/>
      <sz val="16"/>
    </font>
    <font>
      <name val="맑은 고딕"/>
      <color rgb="00595959"/>
      <sz val="9"/>
    </font>
    <font>
      <name val="맑은 고딕"/>
      <color rgb="00C00000"/>
      <sz val="9"/>
    </font>
    <font>
      <name val="맑은 고딕"/>
      <sz val="10"/>
    </font>
    <font>
      <name val="맑은 고딕"/>
      <i val="1"/>
      <color rgb="007F7F7F"/>
      <sz val="10"/>
    </font>
    <font>
      <name val="맑은 고딕"/>
      <b val="1"/>
      <sz val="10"/>
    </font>
    <font>
      <name val="맑은 고딕"/>
      <b val="1"/>
      <color rgb="00C00000"/>
      <sz val="10"/>
    </font>
    <font>
      <name val="맑은 고딕"/>
      <b val="1"/>
      <color rgb="001F3864"/>
      <sz val="12"/>
    </font>
    <font>
      <name val="맑은 고딕"/>
      <b val="1"/>
      <color rgb="001F3864"/>
      <sz val="11"/>
    </font>
    <font>
      <name val="맑은 고딕"/>
      <color rgb="00000000"/>
      <sz val="10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9E6"/>
        <bgColor rgb="00FFF9E6"/>
      </patternFill>
    </fill>
    <fill>
      <patternFill patternType="solid">
        <fgColor rgb="0044546A"/>
        <bgColor rgb="0044546A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165" fontId="10" fillId="0" borderId="1" applyAlignment="1" pivotButton="0" quotePrefix="0" xfId="0">
      <alignment horizontal="center" vertical="center" wrapText="1"/>
    </xf>
    <xf numFmtId="166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65" fontId="9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167" fontId="9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9" fontId="9" fillId="0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167" fontId="11" fillId="6" borderId="1" applyAlignment="1" pivotButton="0" quotePrefix="0" xfId="0">
      <alignment horizontal="center" vertical="center" wrapText="1"/>
    </xf>
    <xf numFmtId="167" fontId="12" fillId="6" borderId="1" applyAlignment="1" pivotButton="0" quotePrefix="0" xfId="0">
      <alignment horizontal="center" vertical="center" wrapText="1"/>
    </xf>
    <xf numFmtId="165" fontId="11" fillId="6" borderId="1" applyAlignment="1" pivotButton="0" quotePrefix="0" xfId="0">
      <alignment horizontal="center" vertical="center" wrapText="1"/>
    </xf>
    <xf numFmtId="9" fontId="11" fillId="6" borderId="1" applyAlignment="1" pivotButton="0" quotePrefix="0" xfId="0">
      <alignment horizontal="center" vertical="center" wrapText="1"/>
    </xf>
    <xf numFmtId="0" fontId="13" fillId="0" borderId="0" pivotButton="0" quotePrefix="0" xfId="0"/>
    <xf numFmtId="167" fontId="11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3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14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2">
    <dxf>
      <font>
        <color rgb="00808080"/>
      </font>
      <fill>
        <patternFill patternType="solid">
          <fgColor rgb="00EDEDED"/>
          <bgColor rgb="00EDEDED"/>
        </patternFill>
      </fill>
    </dxf>
    <dxf>
      <font>
        <b val="1"/>
        <color rgb="00000000"/>
      </font>
      <fill>
        <patternFill patternType="solid">
          <fgColor rgb="00DDEBF7"/>
          <bgColor rgb="00DDEBF7"/>
        </patternFill>
      </fill>
    </dxf>
    <dxf>
      <font>
        <b val="1"/>
        <color rgb="00000000"/>
      </font>
      <fill>
        <patternFill patternType="solid">
          <fgColor rgb="00BDD7EE"/>
          <bgColor rgb="00BDD7EE"/>
        </patternFill>
      </fill>
    </dxf>
    <dxf>
      <font>
        <b val="1"/>
        <color rgb="00000000"/>
      </font>
      <fill>
        <patternFill patternType="solid">
          <fgColor rgb="00FFE699"/>
          <bgColor rgb="00FFE699"/>
        </patternFill>
      </fill>
    </dxf>
    <dxf>
      <font>
        <b val="1"/>
        <color rgb="00000000"/>
      </font>
      <fill>
        <patternFill patternType="solid">
          <fgColor rgb="00C6EFCE"/>
          <bgColor rgb="00C6EFCE"/>
        </patternFill>
      </fill>
    </dxf>
    <dxf>
      <font>
        <b val="1"/>
        <color rgb="00000000"/>
      </font>
      <fill>
        <patternFill patternType="solid">
          <fgColor rgb="00F8CBAD"/>
          <bgColor rgb="00F8CBAD"/>
        </patternFill>
      </fill>
    </dxf>
    <dxf>
      <font>
        <b val="1"/>
        <color rgb="00000000"/>
      </font>
      <fill>
        <patternFill patternType="solid">
          <fgColor rgb="00D9D9D9"/>
          <bgColor rgb="00D9D9D9"/>
        </patternFill>
      </fill>
    </dxf>
    <dxf>
      <font>
        <b val="1"/>
        <color rgb="00FFFFFF"/>
      </font>
      <fill>
        <patternFill patternType="solid">
          <fgColor rgb="0070AD47"/>
          <bgColor rgb="0070AD47"/>
        </patternFill>
      </fill>
    </dxf>
    <dxf>
      <font>
        <b val="1"/>
        <color rgb="00000000"/>
      </font>
      <fill>
        <patternFill patternType="solid">
          <fgColor rgb="00A6A6A6"/>
          <bgColor rgb="00A6A6A6"/>
        </patternFill>
      </fill>
    </dxf>
    <dxf>
      <font>
        <b val="1"/>
        <color rgb="00C00000"/>
      </font>
    </dxf>
    <dxf>
      <font>
        <b val="1"/>
        <color rgb="00006100"/>
      </font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견적관리</author>
  </authors>
  <commentList>
    <comment ref="L4" authorId="0" shapeId="0">
      <text>
        <t>통화 가정: USD. 다른 통화를 쓰면 헤더를 바꾸고 비고에 통화를 적어주세요.</t>
      </text>
    </comment>
  </commentList>
</comments>
</file>

<file path=xl/comments/comment2.xml><?xml version="1.0" encoding="utf-8"?>
<comments xmlns="http://schemas.openxmlformats.org/spreadsheetml/2006/main">
  <authors>
    <author>견적관리</author>
  </authors>
  <commentList>
    <comment ref="K4" authorId="0" shapeId="0">
      <text>
        <t>수주율 = 수주확정 ÷ (수주확정 + 실주/취소). 종결된 건 기준.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4"/>
  <sheetViews>
    <sheetView zoomScale="9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13" customWidth="1" min="3" max="3"/>
    <col width="11" customWidth="1" min="4" max="4"/>
    <col width="30" customWidth="1" min="5" max="5"/>
    <col width="9" customWidth="1" min="6" max="6"/>
    <col width="15" customWidth="1" min="7" max="7"/>
    <col width="7" customWidth="1" min="8" max="8"/>
    <col width="11" customWidth="1" min="9" max="9"/>
    <col width="9" customWidth="1" min="10" max="10"/>
    <col width="11" customWidth="1" min="11" max="11"/>
    <col width="12" customWidth="1" min="12" max="12"/>
    <col width="11" customWidth="1" min="13" max="13"/>
    <col width="9" customWidth="1" min="14" max="14"/>
    <col width="24" customWidth="1" min="15" max="15"/>
    <col width="11" customWidth="1" min="16" max="16"/>
    <col width="22" customWidth="1" min="17" max="17"/>
    <col width="7" customWidth="1" min="18" max="18"/>
    <col hidden="1" width="9" customWidth="1" min="19" max="19"/>
  </cols>
  <sheetData>
    <row r="1">
      <c r="A1" s="1" t="inlineStr">
        <is>
          <t>선박별 견적 관리</t>
        </is>
      </c>
    </row>
    <row r="2">
      <c r="A2" s="2" t="inlineStr">
        <is>
          <t>입력: 흰 칸에 직접 입력 / 드롭다운 선택 · 회색 칸(No·발송여부·경과일)은 자동 계산 · 새 견적은 빈 행에 이어서 입력 · 빼려면 상태를 '실주/취소'로 바꾸거나 행 삭제 · 필터(▼)로 선박·상태별 보기</t>
        </is>
      </c>
    </row>
    <row r="3">
      <c r="A3" s="3" t="inlineStr">
        <is>
          <t>빨간 날짜 = 회신기한이 지났는데 아직 견적 미발송 · 회색 줄 = 종결(수주확정/실주)</t>
        </is>
      </c>
    </row>
    <row r="4" ht="32" customHeight="1">
      <c r="A4" s="4" t="inlineStr">
        <is>
          <t>No</t>
        </is>
      </c>
      <c r="B4" s="5" t="inlineStr">
        <is>
          <t>선박</t>
        </is>
      </c>
      <c r="C4" s="5" t="inlineStr">
        <is>
          <t>견적번호</t>
        </is>
      </c>
      <c r="D4" s="5" t="inlineStr">
        <is>
          <t>요청일</t>
        </is>
      </c>
      <c r="E4" s="5" t="inlineStr">
        <is>
          <t>항목 / 작업내용</t>
        </is>
      </c>
      <c r="F4" s="5" t="inlineStr">
        <is>
          <t>구분</t>
        </is>
      </c>
      <c r="G4" s="5" t="inlineStr">
        <is>
          <t>요청처 / 업체</t>
        </is>
      </c>
      <c r="H4" s="5" t="inlineStr">
        <is>
          <t>우선
순위</t>
        </is>
      </c>
      <c r="I4" s="5" t="inlineStr">
        <is>
          <t>진행상태</t>
        </is>
      </c>
      <c r="J4" s="4" t="inlineStr">
        <is>
          <t>발송여부</t>
        </is>
      </c>
      <c r="K4" s="5" t="inlineStr">
        <is>
          <t>견적발송일</t>
        </is>
      </c>
      <c r="L4" s="5" t="inlineStr">
        <is>
          <t>견적금액
(USD)</t>
        </is>
      </c>
      <c r="M4" s="5" t="inlineStr">
        <is>
          <t>회신기한</t>
        </is>
      </c>
      <c r="N4" s="5" t="inlineStr">
        <is>
          <t>담당자</t>
        </is>
      </c>
      <c r="O4" s="5" t="inlineStr">
        <is>
          <t>다음 조치</t>
        </is>
      </c>
      <c r="P4" s="5" t="inlineStr">
        <is>
          <t>최근
업데이트</t>
        </is>
      </c>
      <c r="Q4" s="5" t="inlineStr">
        <is>
          <t>비고</t>
        </is>
      </c>
      <c r="R4" s="4" t="inlineStr">
        <is>
          <t>경과일</t>
        </is>
      </c>
      <c r="S4" s="4" t="inlineStr">
        <is>
          <t>종결구분</t>
        </is>
      </c>
    </row>
    <row r="5">
      <c r="A5" s="6">
        <f>IF(B5="","",ROW()-4)</f>
        <v/>
      </c>
      <c r="B5" s="7" t="inlineStr">
        <is>
          <t>AEOLUS</t>
        </is>
      </c>
      <c r="C5" s="7" t="inlineStr">
        <is>
          <t>Q-2610-001</t>
        </is>
      </c>
      <c r="D5" s="8" t="n">
        <v>46309</v>
      </c>
      <c r="E5" s="9" t="inlineStr">
        <is>
          <t>M/E 연료펌프 오버홀</t>
        </is>
      </c>
      <c r="F5" s="7" t="inlineStr">
        <is>
          <t>수리</t>
        </is>
      </c>
      <c r="G5" s="9" t="inlineStr">
        <is>
          <t>선주사 기술팀</t>
        </is>
      </c>
      <c r="H5" s="7" t="inlineStr">
        <is>
          <t>긴급</t>
        </is>
      </c>
      <c r="I5" s="7" t="inlineStr">
        <is>
          <t>견적발송</t>
        </is>
      </c>
      <c r="J5" s="6">
        <f>IF(OR(B5="",I5=""),"",IFERROR(VLOOKUP(I5,설정!$C$5:$E$16,2,0),""))</f>
        <v/>
      </c>
      <c r="K5" s="8" t="n">
        <v>46315</v>
      </c>
      <c r="L5" s="10" t="n">
        <v>18500</v>
      </c>
      <c r="M5" s="8" t="n">
        <v>46325</v>
      </c>
      <c r="N5" s="7" t="inlineStr">
        <is>
          <t>김</t>
        </is>
      </c>
      <c r="O5" s="9" t="inlineStr">
        <is>
          <t>선주 회신 확인</t>
        </is>
      </c>
      <c r="P5" s="8" t="n">
        <v>46317</v>
      </c>
      <c r="Q5" s="9" t="inlineStr">
        <is>
          <t>예시 행 – 삭제하세요</t>
        </is>
      </c>
      <c r="R5" s="11">
        <f>IF(OR(B5="",D5="",S5="종결"),"",TODAY()-D5)</f>
        <v/>
      </c>
      <c r="S5" s="6">
        <f>IF(OR(B5="",I5=""),"",IFERROR(VLOOKUP(I5,설정!$C$5:$E$16,3,0),""))</f>
        <v/>
      </c>
    </row>
    <row r="6">
      <c r="A6" s="6">
        <f>IF(B6="","",ROW()-4)</f>
        <v/>
      </c>
      <c r="B6" s="7" t="inlineStr">
        <is>
          <t>MELICERTES</t>
        </is>
      </c>
      <c r="C6" s="7" t="inlineStr">
        <is>
          <t>Q-2610-002</t>
        </is>
      </c>
      <c r="D6" s="8" t="n">
        <v>46313</v>
      </c>
      <c r="E6" s="9" t="inlineStr">
        <is>
          <t>G/E 실린더헤드 개스킷 세트</t>
        </is>
      </c>
      <c r="F6" s="7" t="inlineStr">
        <is>
          <t>부품</t>
        </is>
      </c>
      <c r="G6" s="9" t="inlineStr">
        <is>
          <t>선주사 구매팀</t>
        </is>
      </c>
      <c r="H6" s="7" t="inlineStr">
        <is>
          <t>보통</t>
        </is>
      </c>
      <c r="I6" s="7" t="inlineStr">
        <is>
          <t>견적작성중</t>
        </is>
      </c>
      <c r="J6" s="6">
        <f>IF(OR(B6="",I6=""),"",IFERROR(VLOOKUP(I6,설정!$C$5:$E$16,2,0),""))</f>
        <v/>
      </c>
      <c r="K6" s="8" t="n"/>
      <c r="L6" s="10" t="n"/>
      <c r="M6" s="8" t="n">
        <v>46319</v>
      </c>
      <c r="N6" s="7" t="inlineStr">
        <is>
          <t>이</t>
        </is>
      </c>
      <c r="O6" s="9" t="inlineStr">
        <is>
          <t>제조사 단가 회신 대기</t>
        </is>
      </c>
      <c r="P6" s="8" t="n">
        <v>46316</v>
      </c>
      <c r="Q6" s="9" t="inlineStr">
        <is>
          <t>예시 행 – 삭제하세요</t>
        </is>
      </c>
      <c r="R6" s="11">
        <f>IF(OR(B6="",D6="",S6="종결"),"",TODAY()-D6)</f>
        <v/>
      </c>
      <c r="S6" s="6">
        <f>IF(OR(B6="",I6=""),"",IFERROR(VLOOKUP(I6,설정!$C$5:$E$16,3,0),""))</f>
        <v/>
      </c>
    </row>
    <row r="7">
      <c r="A7" s="6">
        <f>IF(B7="","",ROW()-4)</f>
        <v/>
      </c>
      <c r="B7" s="7" t="inlineStr">
        <is>
          <t>NELEUS</t>
        </is>
      </c>
      <c r="C7" s="7" t="inlineStr">
        <is>
          <t>Q-2610-003</t>
        </is>
      </c>
      <c r="D7" s="8" t="n">
        <v>46300</v>
      </c>
      <c r="E7" s="9" t="inlineStr">
        <is>
          <t>구명정 정기검사</t>
        </is>
      </c>
      <c r="F7" s="7" t="inlineStr">
        <is>
          <t>서비스</t>
        </is>
      </c>
      <c r="G7" s="9" t="inlineStr">
        <is>
          <t>선주사 해무팀</t>
        </is>
      </c>
      <c r="H7" s="7" t="inlineStr">
        <is>
          <t>보통</t>
        </is>
      </c>
      <c r="I7" s="7" t="inlineStr">
        <is>
          <t>수주확정</t>
        </is>
      </c>
      <c r="J7" s="6">
        <f>IF(OR(B7="",I7=""),"",IFERROR(VLOOKUP(I7,설정!$C$5:$E$16,2,0),""))</f>
        <v/>
      </c>
      <c r="K7" s="8" t="n">
        <v>46304</v>
      </c>
      <c r="L7" s="10" t="n">
        <v>6200</v>
      </c>
      <c r="M7" s="8" t="n">
        <v>46310</v>
      </c>
      <c r="N7" s="7" t="inlineStr">
        <is>
          <t>박</t>
        </is>
      </c>
      <c r="O7" s="9" t="inlineStr">
        <is>
          <t>작업일정 확정</t>
        </is>
      </c>
      <c r="P7" s="8" t="n">
        <v>46311</v>
      </c>
      <c r="Q7" s="9" t="inlineStr">
        <is>
          <t>예시 행 – 삭제하세요</t>
        </is>
      </c>
      <c r="R7" s="11">
        <f>IF(OR(B7="",D7="",S7="종결"),"",TODAY()-D7)</f>
        <v/>
      </c>
      <c r="S7" s="6">
        <f>IF(OR(B7="",I7=""),"",IFERROR(VLOOKUP(I7,설정!$C$5:$E$16,3,0),""))</f>
        <v/>
      </c>
    </row>
    <row r="8">
      <c r="A8" s="6">
        <f>IF(B8="","",ROW()-4)</f>
        <v/>
      </c>
      <c r="B8" s="7" t="inlineStr">
        <is>
          <t>ONEIROI</t>
        </is>
      </c>
      <c r="C8" s="7" t="inlineStr">
        <is>
          <t>Q-2610-004</t>
        </is>
      </c>
      <c r="D8" s="8" t="n">
        <v>46317</v>
      </c>
      <c r="E8" s="9" t="inlineStr">
        <is>
          <t>선용품 일괄 (Deck stores)</t>
        </is>
      </c>
      <c r="F8" s="7" t="inlineStr">
        <is>
          <t>선용품</t>
        </is>
      </c>
      <c r="G8" s="9" t="inlineStr">
        <is>
          <t>선장</t>
        </is>
      </c>
      <c r="H8" s="7" t="inlineStr">
        <is>
          <t>낮음</t>
        </is>
      </c>
      <c r="I8" s="7" t="inlineStr">
        <is>
          <t>검토중</t>
        </is>
      </c>
      <c r="J8" s="6">
        <f>IF(OR(B8="",I8=""),"",IFERROR(VLOOKUP(I8,설정!$C$5:$E$16,2,0),""))</f>
        <v/>
      </c>
      <c r="K8" s="8" t="n"/>
      <c r="L8" s="10" t="n"/>
      <c r="M8" s="8" t="n">
        <v>46329</v>
      </c>
      <c r="N8" s="7" t="inlineStr">
        <is>
          <t>김</t>
        </is>
      </c>
      <c r="O8" s="9" t="inlineStr">
        <is>
          <t>품목 리스트 확인</t>
        </is>
      </c>
      <c r="P8" s="8" t="n">
        <v>46318</v>
      </c>
      <c r="Q8" s="9" t="inlineStr">
        <is>
          <t>예시 행 – 삭제하세요</t>
        </is>
      </c>
      <c r="R8" s="11">
        <f>IF(OR(B8="",D8="",S8="종결"),"",TODAY()-D8)</f>
        <v/>
      </c>
      <c r="S8" s="6">
        <f>IF(OR(B8="",I8=""),"",IFERROR(VLOOKUP(I8,설정!$C$5:$E$16,3,0),""))</f>
        <v/>
      </c>
    </row>
    <row r="9">
      <c r="A9" s="6">
        <f>IF(B9="","",ROW()-4)</f>
        <v/>
      </c>
      <c r="B9" s="12" t="n"/>
      <c r="C9" s="12" t="n"/>
      <c r="D9" s="13" t="n"/>
      <c r="E9" s="14" t="n"/>
      <c r="F9" s="12" t="n"/>
      <c r="G9" s="14" t="n"/>
      <c r="H9" s="12" t="n"/>
      <c r="I9" s="12" t="n"/>
      <c r="J9" s="6">
        <f>IF(OR(B9="",I9=""),"",IFERROR(VLOOKUP(I9,설정!$C$5:$E$16,2,0),""))</f>
        <v/>
      </c>
      <c r="K9" s="13" t="n"/>
      <c r="L9" s="15" t="n"/>
      <c r="M9" s="13" t="n"/>
      <c r="N9" s="12" t="n"/>
      <c r="O9" s="14" t="n"/>
      <c r="P9" s="13" t="n"/>
      <c r="Q9" s="14" t="n"/>
      <c r="R9" s="11">
        <f>IF(OR(B9="",D9="",S9="종결"),"",TODAY()-D9)</f>
        <v/>
      </c>
      <c r="S9" s="6">
        <f>IF(OR(B9="",I9=""),"",IFERROR(VLOOKUP(I9,설정!$C$5:$E$16,3,0),""))</f>
        <v/>
      </c>
    </row>
    <row r="10">
      <c r="A10" s="6">
        <f>IF(B10="","",ROW()-4)</f>
        <v/>
      </c>
      <c r="B10" s="12" t="n"/>
      <c r="C10" s="12" t="n"/>
      <c r="D10" s="13" t="n"/>
      <c r="E10" s="14" t="n"/>
      <c r="F10" s="12" t="n"/>
      <c r="G10" s="14" t="n"/>
      <c r="H10" s="12" t="n"/>
      <c r="I10" s="12" t="n"/>
      <c r="J10" s="6">
        <f>IF(OR(B10="",I10=""),"",IFERROR(VLOOKUP(I10,설정!$C$5:$E$16,2,0),""))</f>
        <v/>
      </c>
      <c r="K10" s="13" t="n"/>
      <c r="L10" s="15" t="n"/>
      <c r="M10" s="13" t="n"/>
      <c r="N10" s="12" t="n"/>
      <c r="O10" s="14" t="n"/>
      <c r="P10" s="13" t="n"/>
      <c r="Q10" s="14" t="n"/>
      <c r="R10" s="11">
        <f>IF(OR(B10="",D10="",S10="종결"),"",TODAY()-D10)</f>
        <v/>
      </c>
      <c r="S10" s="6">
        <f>IF(OR(B10="",I10=""),"",IFERROR(VLOOKUP(I10,설정!$C$5:$E$16,3,0),""))</f>
        <v/>
      </c>
    </row>
    <row r="11">
      <c r="A11" s="6">
        <f>IF(B11="","",ROW()-4)</f>
        <v/>
      </c>
      <c r="B11" s="12" t="n"/>
      <c r="C11" s="12" t="n"/>
      <c r="D11" s="13" t="n"/>
      <c r="E11" s="14" t="n"/>
      <c r="F11" s="12" t="n"/>
      <c r="G11" s="14" t="n"/>
      <c r="H11" s="12" t="n"/>
      <c r="I11" s="12" t="n"/>
      <c r="J11" s="6">
        <f>IF(OR(B11="",I11=""),"",IFERROR(VLOOKUP(I11,설정!$C$5:$E$16,2,0),""))</f>
        <v/>
      </c>
      <c r="K11" s="13" t="n"/>
      <c r="L11" s="15" t="n"/>
      <c r="M11" s="13" t="n"/>
      <c r="N11" s="12" t="n"/>
      <c r="O11" s="14" t="n"/>
      <c r="P11" s="13" t="n"/>
      <c r="Q11" s="14" t="n"/>
      <c r="R11" s="11">
        <f>IF(OR(B11="",D11="",S11="종결"),"",TODAY()-D11)</f>
        <v/>
      </c>
      <c r="S11" s="6">
        <f>IF(OR(B11="",I11=""),"",IFERROR(VLOOKUP(I11,설정!$C$5:$E$16,3,0),""))</f>
        <v/>
      </c>
    </row>
    <row r="12">
      <c r="A12" s="6">
        <f>IF(B12="","",ROW()-4)</f>
        <v/>
      </c>
      <c r="B12" s="12" t="n"/>
      <c r="C12" s="12" t="n"/>
      <c r="D12" s="13" t="n"/>
      <c r="E12" s="14" t="n"/>
      <c r="F12" s="12" t="n"/>
      <c r="G12" s="14" t="n"/>
      <c r="H12" s="12" t="n"/>
      <c r="I12" s="12" t="n"/>
      <c r="J12" s="6">
        <f>IF(OR(B12="",I12=""),"",IFERROR(VLOOKUP(I12,설정!$C$5:$E$16,2,0),""))</f>
        <v/>
      </c>
      <c r="K12" s="13" t="n"/>
      <c r="L12" s="15" t="n"/>
      <c r="M12" s="13" t="n"/>
      <c r="N12" s="12" t="n"/>
      <c r="O12" s="14" t="n"/>
      <c r="P12" s="13" t="n"/>
      <c r="Q12" s="14" t="n"/>
      <c r="R12" s="11">
        <f>IF(OR(B12="",D12="",S12="종결"),"",TODAY()-D12)</f>
        <v/>
      </c>
      <c r="S12" s="6">
        <f>IF(OR(B12="",I12=""),"",IFERROR(VLOOKUP(I12,설정!$C$5:$E$16,3,0),""))</f>
        <v/>
      </c>
    </row>
    <row r="13">
      <c r="A13" s="6">
        <f>IF(B13="","",ROW()-4)</f>
        <v/>
      </c>
      <c r="B13" s="12" t="n"/>
      <c r="C13" s="12" t="n"/>
      <c r="D13" s="13" t="n"/>
      <c r="E13" s="14" t="n"/>
      <c r="F13" s="12" t="n"/>
      <c r="G13" s="14" t="n"/>
      <c r="H13" s="12" t="n"/>
      <c r="I13" s="12" t="n"/>
      <c r="J13" s="6">
        <f>IF(OR(B13="",I13=""),"",IFERROR(VLOOKUP(I13,설정!$C$5:$E$16,2,0),""))</f>
        <v/>
      </c>
      <c r="K13" s="13" t="n"/>
      <c r="L13" s="15" t="n"/>
      <c r="M13" s="13" t="n"/>
      <c r="N13" s="12" t="n"/>
      <c r="O13" s="14" t="n"/>
      <c r="P13" s="13" t="n"/>
      <c r="Q13" s="14" t="n"/>
      <c r="R13" s="11">
        <f>IF(OR(B13="",D13="",S13="종결"),"",TODAY()-D13)</f>
        <v/>
      </c>
      <c r="S13" s="6">
        <f>IF(OR(B13="",I13=""),"",IFERROR(VLOOKUP(I13,설정!$C$5:$E$16,3,0),""))</f>
        <v/>
      </c>
    </row>
    <row r="14">
      <c r="A14" s="6">
        <f>IF(B14="","",ROW()-4)</f>
        <v/>
      </c>
      <c r="B14" s="12" t="n"/>
      <c r="C14" s="12" t="n"/>
      <c r="D14" s="13" t="n"/>
      <c r="E14" s="14" t="n"/>
      <c r="F14" s="12" t="n"/>
      <c r="G14" s="14" t="n"/>
      <c r="H14" s="12" t="n"/>
      <c r="I14" s="12" t="n"/>
      <c r="J14" s="6">
        <f>IF(OR(B14="",I14=""),"",IFERROR(VLOOKUP(I14,설정!$C$5:$E$16,2,0),""))</f>
        <v/>
      </c>
      <c r="K14" s="13" t="n"/>
      <c r="L14" s="15" t="n"/>
      <c r="M14" s="13" t="n"/>
      <c r="N14" s="12" t="n"/>
      <c r="O14" s="14" t="n"/>
      <c r="P14" s="13" t="n"/>
      <c r="Q14" s="14" t="n"/>
      <c r="R14" s="11">
        <f>IF(OR(B14="",D14="",S14="종결"),"",TODAY()-D14)</f>
        <v/>
      </c>
      <c r="S14" s="6">
        <f>IF(OR(B14="",I14=""),"",IFERROR(VLOOKUP(I14,설정!$C$5:$E$16,3,0),""))</f>
        <v/>
      </c>
    </row>
    <row r="15">
      <c r="A15" s="6">
        <f>IF(B15="","",ROW()-4)</f>
        <v/>
      </c>
      <c r="B15" s="12" t="n"/>
      <c r="C15" s="12" t="n"/>
      <c r="D15" s="13" t="n"/>
      <c r="E15" s="14" t="n"/>
      <c r="F15" s="12" t="n"/>
      <c r="G15" s="14" t="n"/>
      <c r="H15" s="12" t="n"/>
      <c r="I15" s="12" t="n"/>
      <c r="J15" s="6">
        <f>IF(OR(B15="",I15=""),"",IFERROR(VLOOKUP(I15,설정!$C$5:$E$16,2,0),""))</f>
        <v/>
      </c>
      <c r="K15" s="13" t="n"/>
      <c r="L15" s="15" t="n"/>
      <c r="M15" s="13" t="n"/>
      <c r="N15" s="12" t="n"/>
      <c r="O15" s="14" t="n"/>
      <c r="P15" s="13" t="n"/>
      <c r="Q15" s="14" t="n"/>
      <c r="R15" s="11">
        <f>IF(OR(B15="",D15="",S15="종결"),"",TODAY()-D15)</f>
        <v/>
      </c>
      <c r="S15" s="6">
        <f>IF(OR(B15="",I15=""),"",IFERROR(VLOOKUP(I15,설정!$C$5:$E$16,3,0),""))</f>
        <v/>
      </c>
    </row>
    <row r="16">
      <c r="A16" s="6">
        <f>IF(B16="","",ROW()-4)</f>
        <v/>
      </c>
      <c r="B16" s="12" t="n"/>
      <c r="C16" s="12" t="n"/>
      <c r="D16" s="13" t="n"/>
      <c r="E16" s="14" t="n"/>
      <c r="F16" s="12" t="n"/>
      <c r="G16" s="14" t="n"/>
      <c r="H16" s="12" t="n"/>
      <c r="I16" s="12" t="n"/>
      <c r="J16" s="6">
        <f>IF(OR(B16="",I16=""),"",IFERROR(VLOOKUP(I16,설정!$C$5:$E$16,2,0),""))</f>
        <v/>
      </c>
      <c r="K16" s="13" t="n"/>
      <c r="L16" s="15" t="n"/>
      <c r="M16" s="13" t="n"/>
      <c r="N16" s="12" t="n"/>
      <c r="O16" s="14" t="n"/>
      <c r="P16" s="13" t="n"/>
      <c r="Q16" s="14" t="n"/>
      <c r="R16" s="11">
        <f>IF(OR(B16="",D16="",S16="종결"),"",TODAY()-D16)</f>
        <v/>
      </c>
      <c r="S16" s="6">
        <f>IF(OR(B16="",I16=""),"",IFERROR(VLOOKUP(I16,설정!$C$5:$E$16,3,0),""))</f>
        <v/>
      </c>
    </row>
    <row r="17">
      <c r="A17" s="6">
        <f>IF(B17="","",ROW()-4)</f>
        <v/>
      </c>
      <c r="B17" s="12" t="n"/>
      <c r="C17" s="12" t="n"/>
      <c r="D17" s="13" t="n"/>
      <c r="E17" s="14" t="n"/>
      <c r="F17" s="12" t="n"/>
      <c r="G17" s="14" t="n"/>
      <c r="H17" s="12" t="n"/>
      <c r="I17" s="12" t="n"/>
      <c r="J17" s="6">
        <f>IF(OR(B17="",I17=""),"",IFERROR(VLOOKUP(I17,설정!$C$5:$E$16,2,0),""))</f>
        <v/>
      </c>
      <c r="K17" s="13" t="n"/>
      <c r="L17" s="15" t="n"/>
      <c r="M17" s="13" t="n"/>
      <c r="N17" s="12" t="n"/>
      <c r="O17" s="14" t="n"/>
      <c r="P17" s="13" t="n"/>
      <c r="Q17" s="14" t="n"/>
      <c r="R17" s="11">
        <f>IF(OR(B17="",D17="",S17="종결"),"",TODAY()-D17)</f>
        <v/>
      </c>
      <c r="S17" s="6">
        <f>IF(OR(B17="",I17=""),"",IFERROR(VLOOKUP(I17,설정!$C$5:$E$16,3,0),""))</f>
        <v/>
      </c>
    </row>
    <row r="18">
      <c r="A18" s="6">
        <f>IF(B18="","",ROW()-4)</f>
        <v/>
      </c>
      <c r="B18" s="12" t="n"/>
      <c r="C18" s="12" t="n"/>
      <c r="D18" s="13" t="n"/>
      <c r="E18" s="14" t="n"/>
      <c r="F18" s="12" t="n"/>
      <c r="G18" s="14" t="n"/>
      <c r="H18" s="12" t="n"/>
      <c r="I18" s="12" t="n"/>
      <c r="J18" s="6">
        <f>IF(OR(B18="",I18=""),"",IFERROR(VLOOKUP(I18,설정!$C$5:$E$16,2,0),""))</f>
        <v/>
      </c>
      <c r="K18" s="13" t="n"/>
      <c r="L18" s="15" t="n"/>
      <c r="M18" s="13" t="n"/>
      <c r="N18" s="12" t="n"/>
      <c r="O18" s="14" t="n"/>
      <c r="P18" s="13" t="n"/>
      <c r="Q18" s="14" t="n"/>
      <c r="R18" s="11">
        <f>IF(OR(B18="",D18="",S18="종결"),"",TODAY()-D18)</f>
        <v/>
      </c>
      <c r="S18" s="6">
        <f>IF(OR(B18="",I18=""),"",IFERROR(VLOOKUP(I18,설정!$C$5:$E$16,3,0),""))</f>
        <v/>
      </c>
    </row>
    <row r="19">
      <c r="A19" s="6">
        <f>IF(B19="","",ROW()-4)</f>
        <v/>
      </c>
      <c r="B19" s="12" t="n"/>
      <c r="C19" s="12" t="n"/>
      <c r="D19" s="13" t="n"/>
      <c r="E19" s="14" t="n"/>
      <c r="F19" s="12" t="n"/>
      <c r="G19" s="14" t="n"/>
      <c r="H19" s="12" t="n"/>
      <c r="I19" s="12" t="n"/>
      <c r="J19" s="6">
        <f>IF(OR(B19="",I19=""),"",IFERROR(VLOOKUP(I19,설정!$C$5:$E$16,2,0),""))</f>
        <v/>
      </c>
      <c r="K19" s="13" t="n"/>
      <c r="L19" s="15" t="n"/>
      <c r="M19" s="13" t="n"/>
      <c r="N19" s="12" t="n"/>
      <c r="O19" s="14" t="n"/>
      <c r="P19" s="13" t="n"/>
      <c r="Q19" s="14" t="n"/>
      <c r="R19" s="11">
        <f>IF(OR(B19="",D19="",S19="종결"),"",TODAY()-D19)</f>
        <v/>
      </c>
      <c r="S19" s="6">
        <f>IF(OR(B19="",I19=""),"",IFERROR(VLOOKUP(I19,설정!$C$5:$E$16,3,0),""))</f>
        <v/>
      </c>
    </row>
    <row r="20">
      <c r="A20" s="6">
        <f>IF(B20="","",ROW()-4)</f>
        <v/>
      </c>
      <c r="B20" s="12" t="n"/>
      <c r="C20" s="12" t="n"/>
      <c r="D20" s="13" t="n"/>
      <c r="E20" s="14" t="n"/>
      <c r="F20" s="12" t="n"/>
      <c r="G20" s="14" t="n"/>
      <c r="H20" s="12" t="n"/>
      <c r="I20" s="12" t="n"/>
      <c r="J20" s="6">
        <f>IF(OR(B20="",I20=""),"",IFERROR(VLOOKUP(I20,설정!$C$5:$E$16,2,0),""))</f>
        <v/>
      </c>
      <c r="K20" s="13" t="n"/>
      <c r="L20" s="15" t="n"/>
      <c r="M20" s="13" t="n"/>
      <c r="N20" s="12" t="n"/>
      <c r="O20" s="14" t="n"/>
      <c r="P20" s="13" t="n"/>
      <c r="Q20" s="14" t="n"/>
      <c r="R20" s="11">
        <f>IF(OR(B20="",D20="",S20="종결"),"",TODAY()-D20)</f>
        <v/>
      </c>
      <c r="S20" s="6">
        <f>IF(OR(B20="",I20=""),"",IFERROR(VLOOKUP(I20,설정!$C$5:$E$16,3,0),""))</f>
        <v/>
      </c>
    </row>
    <row r="21">
      <c r="A21" s="6">
        <f>IF(B21="","",ROW()-4)</f>
        <v/>
      </c>
      <c r="B21" s="12" t="n"/>
      <c r="C21" s="12" t="n"/>
      <c r="D21" s="13" t="n"/>
      <c r="E21" s="14" t="n"/>
      <c r="F21" s="12" t="n"/>
      <c r="G21" s="14" t="n"/>
      <c r="H21" s="12" t="n"/>
      <c r="I21" s="12" t="n"/>
      <c r="J21" s="6">
        <f>IF(OR(B21="",I21=""),"",IFERROR(VLOOKUP(I21,설정!$C$5:$E$16,2,0),""))</f>
        <v/>
      </c>
      <c r="K21" s="13" t="n"/>
      <c r="L21" s="15" t="n"/>
      <c r="M21" s="13" t="n"/>
      <c r="N21" s="12" t="n"/>
      <c r="O21" s="14" t="n"/>
      <c r="P21" s="13" t="n"/>
      <c r="Q21" s="14" t="n"/>
      <c r="R21" s="11">
        <f>IF(OR(B21="",D21="",S21="종결"),"",TODAY()-D21)</f>
        <v/>
      </c>
      <c r="S21" s="6">
        <f>IF(OR(B21="",I21=""),"",IFERROR(VLOOKUP(I21,설정!$C$5:$E$16,3,0),""))</f>
        <v/>
      </c>
    </row>
    <row r="22">
      <c r="A22" s="6">
        <f>IF(B22="","",ROW()-4)</f>
        <v/>
      </c>
      <c r="B22" s="12" t="n"/>
      <c r="C22" s="12" t="n"/>
      <c r="D22" s="13" t="n"/>
      <c r="E22" s="14" t="n"/>
      <c r="F22" s="12" t="n"/>
      <c r="G22" s="14" t="n"/>
      <c r="H22" s="12" t="n"/>
      <c r="I22" s="12" t="n"/>
      <c r="J22" s="6">
        <f>IF(OR(B22="",I22=""),"",IFERROR(VLOOKUP(I22,설정!$C$5:$E$16,2,0),""))</f>
        <v/>
      </c>
      <c r="K22" s="13" t="n"/>
      <c r="L22" s="15" t="n"/>
      <c r="M22" s="13" t="n"/>
      <c r="N22" s="12" t="n"/>
      <c r="O22" s="14" t="n"/>
      <c r="P22" s="13" t="n"/>
      <c r="Q22" s="14" t="n"/>
      <c r="R22" s="11">
        <f>IF(OR(B22="",D22="",S22="종결"),"",TODAY()-D22)</f>
        <v/>
      </c>
      <c r="S22" s="6">
        <f>IF(OR(B22="",I22=""),"",IFERROR(VLOOKUP(I22,설정!$C$5:$E$16,3,0),""))</f>
        <v/>
      </c>
    </row>
    <row r="23">
      <c r="A23" s="6">
        <f>IF(B23="","",ROW()-4)</f>
        <v/>
      </c>
      <c r="B23" s="12" t="n"/>
      <c r="C23" s="12" t="n"/>
      <c r="D23" s="13" t="n"/>
      <c r="E23" s="14" t="n"/>
      <c r="F23" s="12" t="n"/>
      <c r="G23" s="14" t="n"/>
      <c r="H23" s="12" t="n"/>
      <c r="I23" s="12" t="n"/>
      <c r="J23" s="6">
        <f>IF(OR(B23="",I23=""),"",IFERROR(VLOOKUP(I23,설정!$C$5:$E$16,2,0),""))</f>
        <v/>
      </c>
      <c r="K23" s="13" t="n"/>
      <c r="L23" s="15" t="n"/>
      <c r="M23" s="13" t="n"/>
      <c r="N23" s="12" t="n"/>
      <c r="O23" s="14" t="n"/>
      <c r="P23" s="13" t="n"/>
      <c r="Q23" s="14" t="n"/>
      <c r="R23" s="11">
        <f>IF(OR(B23="",D23="",S23="종결"),"",TODAY()-D23)</f>
        <v/>
      </c>
      <c r="S23" s="6">
        <f>IF(OR(B23="",I23=""),"",IFERROR(VLOOKUP(I23,설정!$C$5:$E$16,3,0),""))</f>
        <v/>
      </c>
    </row>
    <row r="24">
      <c r="A24" s="6">
        <f>IF(B24="","",ROW()-4)</f>
        <v/>
      </c>
      <c r="B24" s="12" t="n"/>
      <c r="C24" s="12" t="n"/>
      <c r="D24" s="13" t="n"/>
      <c r="E24" s="14" t="n"/>
      <c r="F24" s="12" t="n"/>
      <c r="G24" s="14" t="n"/>
      <c r="H24" s="12" t="n"/>
      <c r="I24" s="12" t="n"/>
      <c r="J24" s="6">
        <f>IF(OR(B24="",I24=""),"",IFERROR(VLOOKUP(I24,설정!$C$5:$E$16,2,0),""))</f>
        <v/>
      </c>
      <c r="K24" s="13" t="n"/>
      <c r="L24" s="15" t="n"/>
      <c r="M24" s="13" t="n"/>
      <c r="N24" s="12" t="n"/>
      <c r="O24" s="14" t="n"/>
      <c r="P24" s="13" t="n"/>
      <c r="Q24" s="14" t="n"/>
      <c r="R24" s="11">
        <f>IF(OR(B24="",D24="",S24="종결"),"",TODAY()-D24)</f>
        <v/>
      </c>
      <c r="S24" s="6">
        <f>IF(OR(B24="",I24=""),"",IFERROR(VLOOKUP(I24,설정!$C$5:$E$16,3,0),""))</f>
        <v/>
      </c>
    </row>
    <row r="25">
      <c r="A25" s="6">
        <f>IF(B25="","",ROW()-4)</f>
        <v/>
      </c>
      <c r="B25" s="12" t="n"/>
      <c r="C25" s="12" t="n"/>
      <c r="D25" s="13" t="n"/>
      <c r="E25" s="14" t="n"/>
      <c r="F25" s="12" t="n"/>
      <c r="G25" s="14" t="n"/>
      <c r="H25" s="12" t="n"/>
      <c r="I25" s="12" t="n"/>
      <c r="J25" s="6">
        <f>IF(OR(B25="",I25=""),"",IFERROR(VLOOKUP(I25,설정!$C$5:$E$16,2,0),""))</f>
        <v/>
      </c>
      <c r="K25" s="13" t="n"/>
      <c r="L25" s="15" t="n"/>
      <c r="M25" s="13" t="n"/>
      <c r="N25" s="12" t="n"/>
      <c r="O25" s="14" t="n"/>
      <c r="P25" s="13" t="n"/>
      <c r="Q25" s="14" t="n"/>
      <c r="R25" s="11">
        <f>IF(OR(B25="",D25="",S25="종결"),"",TODAY()-D25)</f>
        <v/>
      </c>
      <c r="S25" s="6">
        <f>IF(OR(B25="",I25=""),"",IFERROR(VLOOKUP(I25,설정!$C$5:$E$16,3,0),""))</f>
        <v/>
      </c>
    </row>
    <row r="26">
      <c r="A26" s="6">
        <f>IF(B26="","",ROW()-4)</f>
        <v/>
      </c>
      <c r="B26" s="12" t="n"/>
      <c r="C26" s="12" t="n"/>
      <c r="D26" s="13" t="n"/>
      <c r="E26" s="14" t="n"/>
      <c r="F26" s="12" t="n"/>
      <c r="G26" s="14" t="n"/>
      <c r="H26" s="12" t="n"/>
      <c r="I26" s="12" t="n"/>
      <c r="J26" s="6">
        <f>IF(OR(B26="",I26=""),"",IFERROR(VLOOKUP(I26,설정!$C$5:$E$16,2,0),""))</f>
        <v/>
      </c>
      <c r="K26" s="13" t="n"/>
      <c r="L26" s="15" t="n"/>
      <c r="M26" s="13" t="n"/>
      <c r="N26" s="12" t="n"/>
      <c r="O26" s="14" t="n"/>
      <c r="P26" s="13" t="n"/>
      <c r="Q26" s="14" t="n"/>
      <c r="R26" s="11">
        <f>IF(OR(B26="",D26="",S26="종결"),"",TODAY()-D26)</f>
        <v/>
      </c>
      <c r="S26" s="6">
        <f>IF(OR(B26="",I26=""),"",IFERROR(VLOOKUP(I26,설정!$C$5:$E$16,3,0),""))</f>
        <v/>
      </c>
    </row>
    <row r="27">
      <c r="A27" s="6">
        <f>IF(B27="","",ROW()-4)</f>
        <v/>
      </c>
      <c r="B27" s="12" t="n"/>
      <c r="C27" s="12" t="n"/>
      <c r="D27" s="13" t="n"/>
      <c r="E27" s="14" t="n"/>
      <c r="F27" s="12" t="n"/>
      <c r="G27" s="14" t="n"/>
      <c r="H27" s="12" t="n"/>
      <c r="I27" s="12" t="n"/>
      <c r="J27" s="6">
        <f>IF(OR(B27="",I27=""),"",IFERROR(VLOOKUP(I27,설정!$C$5:$E$16,2,0),""))</f>
        <v/>
      </c>
      <c r="K27" s="13" t="n"/>
      <c r="L27" s="15" t="n"/>
      <c r="M27" s="13" t="n"/>
      <c r="N27" s="12" t="n"/>
      <c r="O27" s="14" t="n"/>
      <c r="P27" s="13" t="n"/>
      <c r="Q27" s="14" t="n"/>
      <c r="R27" s="11">
        <f>IF(OR(B27="",D27="",S27="종결"),"",TODAY()-D27)</f>
        <v/>
      </c>
      <c r="S27" s="6">
        <f>IF(OR(B27="",I27=""),"",IFERROR(VLOOKUP(I27,설정!$C$5:$E$16,3,0),""))</f>
        <v/>
      </c>
    </row>
    <row r="28">
      <c r="A28" s="6">
        <f>IF(B28="","",ROW()-4)</f>
        <v/>
      </c>
      <c r="B28" s="12" t="n"/>
      <c r="C28" s="12" t="n"/>
      <c r="D28" s="13" t="n"/>
      <c r="E28" s="14" t="n"/>
      <c r="F28" s="12" t="n"/>
      <c r="G28" s="14" t="n"/>
      <c r="H28" s="12" t="n"/>
      <c r="I28" s="12" t="n"/>
      <c r="J28" s="6">
        <f>IF(OR(B28="",I28=""),"",IFERROR(VLOOKUP(I28,설정!$C$5:$E$16,2,0),""))</f>
        <v/>
      </c>
      <c r="K28" s="13" t="n"/>
      <c r="L28" s="15" t="n"/>
      <c r="M28" s="13" t="n"/>
      <c r="N28" s="12" t="n"/>
      <c r="O28" s="14" t="n"/>
      <c r="P28" s="13" t="n"/>
      <c r="Q28" s="14" t="n"/>
      <c r="R28" s="11">
        <f>IF(OR(B28="",D28="",S28="종결"),"",TODAY()-D28)</f>
        <v/>
      </c>
      <c r="S28" s="6">
        <f>IF(OR(B28="",I28=""),"",IFERROR(VLOOKUP(I28,설정!$C$5:$E$16,3,0),""))</f>
        <v/>
      </c>
    </row>
    <row r="29">
      <c r="A29" s="6">
        <f>IF(B29="","",ROW()-4)</f>
        <v/>
      </c>
      <c r="B29" s="12" t="n"/>
      <c r="C29" s="12" t="n"/>
      <c r="D29" s="13" t="n"/>
      <c r="E29" s="14" t="n"/>
      <c r="F29" s="12" t="n"/>
      <c r="G29" s="14" t="n"/>
      <c r="H29" s="12" t="n"/>
      <c r="I29" s="12" t="n"/>
      <c r="J29" s="6">
        <f>IF(OR(B29="",I29=""),"",IFERROR(VLOOKUP(I29,설정!$C$5:$E$16,2,0),""))</f>
        <v/>
      </c>
      <c r="K29" s="13" t="n"/>
      <c r="L29" s="15" t="n"/>
      <c r="M29" s="13" t="n"/>
      <c r="N29" s="12" t="n"/>
      <c r="O29" s="14" t="n"/>
      <c r="P29" s="13" t="n"/>
      <c r="Q29" s="14" t="n"/>
      <c r="R29" s="11">
        <f>IF(OR(B29="",D29="",S29="종결"),"",TODAY()-D29)</f>
        <v/>
      </c>
      <c r="S29" s="6">
        <f>IF(OR(B29="",I29=""),"",IFERROR(VLOOKUP(I29,설정!$C$5:$E$16,3,0),""))</f>
        <v/>
      </c>
    </row>
    <row r="30">
      <c r="A30" s="6">
        <f>IF(B30="","",ROW()-4)</f>
        <v/>
      </c>
      <c r="B30" s="12" t="n"/>
      <c r="C30" s="12" t="n"/>
      <c r="D30" s="13" t="n"/>
      <c r="E30" s="14" t="n"/>
      <c r="F30" s="12" t="n"/>
      <c r="G30" s="14" t="n"/>
      <c r="H30" s="12" t="n"/>
      <c r="I30" s="12" t="n"/>
      <c r="J30" s="6">
        <f>IF(OR(B30="",I30=""),"",IFERROR(VLOOKUP(I30,설정!$C$5:$E$16,2,0),""))</f>
        <v/>
      </c>
      <c r="K30" s="13" t="n"/>
      <c r="L30" s="15" t="n"/>
      <c r="M30" s="13" t="n"/>
      <c r="N30" s="12" t="n"/>
      <c r="O30" s="14" t="n"/>
      <c r="P30" s="13" t="n"/>
      <c r="Q30" s="14" t="n"/>
      <c r="R30" s="11">
        <f>IF(OR(B30="",D30="",S30="종결"),"",TODAY()-D30)</f>
        <v/>
      </c>
      <c r="S30" s="6">
        <f>IF(OR(B30="",I30=""),"",IFERROR(VLOOKUP(I30,설정!$C$5:$E$16,3,0),""))</f>
        <v/>
      </c>
    </row>
    <row r="31">
      <c r="A31" s="6">
        <f>IF(B31="","",ROW()-4)</f>
        <v/>
      </c>
      <c r="B31" s="12" t="n"/>
      <c r="C31" s="12" t="n"/>
      <c r="D31" s="13" t="n"/>
      <c r="E31" s="14" t="n"/>
      <c r="F31" s="12" t="n"/>
      <c r="G31" s="14" t="n"/>
      <c r="H31" s="12" t="n"/>
      <c r="I31" s="12" t="n"/>
      <c r="J31" s="6">
        <f>IF(OR(B31="",I31=""),"",IFERROR(VLOOKUP(I31,설정!$C$5:$E$16,2,0),""))</f>
        <v/>
      </c>
      <c r="K31" s="13" t="n"/>
      <c r="L31" s="15" t="n"/>
      <c r="M31" s="13" t="n"/>
      <c r="N31" s="12" t="n"/>
      <c r="O31" s="14" t="n"/>
      <c r="P31" s="13" t="n"/>
      <c r="Q31" s="14" t="n"/>
      <c r="R31" s="11">
        <f>IF(OR(B31="",D31="",S31="종결"),"",TODAY()-D31)</f>
        <v/>
      </c>
      <c r="S31" s="6">
        <f>IF(OR(B31="",I31=""),"",IFERROR(VLOOKUP(I31,설정!$C$5:$E$16,3,0),""))</f>
        <v/>
      </c>
    </row>
    <row r="32">
      <c r="A32" s="6">
        <f>IF(B32="","",ROW()-4)</f>
        <v/>
      </c>
      <c r="B32" s="12" t="n"/>
      <c r="C32" s="12" t="n"/>
      <c r="D32" s="13" t="n"/>
      <c r="E32" s="14" t="n"/>
      <c r="F32" s="12" t="n"/>
      <c r="G32" s="14" t="n"/>
      <c r="H32" s="12" t="n"/>
      <c r="I32" s="12" t="n"/>
      <c r="J32" s="6">
        <f>IF(OR(B32="",I32=""),"",IFERROR(VLOOKUP(I32,설정!$C$5:$E$16,2,0),""))</f>
        <v/>
      </c>
      <c r="K32" s="13" t="n"/>
      <c r="L32" s="15" t="n"/>
      <c r="M32" s="13" t="n"/>
      <c r="N32" s="12" t="n"/>
      <c r="O32" s="14" t="n"/>
      <c r="P32" s="13" t="n"/>
      <c r="Q32" s="14" t="n"/>
      <c r="R32" s="11">
        <f>IF(OR(B32="",D32="",S32="종결"),"",TODAY()-D32)</f>
        <v/>
      </c>
      <c r="S32" s="6">
        <f>IF(OR(B32="",I32=""),"",IFERROR(VLOOKUP(I32,설정!$C$5:$E$16,3,0),""))</f>
        <v/>
      </c>
    </row>
    <row r="33">
      <c r="A33" s="6">
        <f>IF(B33="","",ROW()-4)</f>
        <v/>
      </c>
      <c r="B33" s="12" t="n"/>
      <c r="C33" s="12" t="n"/>
      <c r="D33" s="13" t="n"/>
      <c r="E33" s="14" t="n"/>
      <c r="F33" s="12" t="n"/>
      <c r="G33" s="14" t="n"/>
      <c r="H33" s="12" t="n"/>
      <c r="I33" s="12" t="n"/>
      <c r="J33" s="6">
        <f>IF(OR(B33="",I33=""),"",IFERROR(VLOOKUP(I33,설정!$C$5:$E$16,2,0),""))</f>
        <v/>
      </c>
      <c r="K33" s="13" t="n"/>
      <c r="L33" s="15" t="n"/>
      <c r="M33" s="13" t="n"/>
      <c r="N33" s="12" t="n"/>
      <c r="O33" s="14" t="n"/>
      <c r="P33" s="13" t="n"/>
      <c r="Q33" s="14" t="n"/>
      <c r="R33" s="11">
        <f>IF(OR(B33="",D33="",S33="종결"),"",TODAY()-D33)</f>
        <v/>
      </c>
      <c r="S33" s="6">
        <f>IF(OR(B33="",I33=""),"",IFERROR(VLOOKUP(I33,설정!$C$5:$E$16,3,0),""))</f>
        <v/>
      </c>
    </row>
    <row r="34">
      <c r="A34" s="6">
        <f>IF(B34="","",ROW()-4)</f>
        <v/>
      </c>
      <c r="B34" s="12" t="n"/>
      <c r="C34" s="12" t="n"/>
      <c r="D34" s="13" t="n"/>
      <c r="E34" s="14" t="n"/>
      <c r="F34" s="12" t="n"/>
      <c r="G34" s="14" t="n"/>
      <c r="H34" s="12" t="n"/>
      <c r="I34" s="12" t="n"/>
      <c r="J34" s="6">
        <f>IF(OR(B34="",I34=""),"",IFERROR(VLOOKUP(I34,설정!$C$5:$E$16,2,0),""))</f>
        <v/>
      </c>
      <c r="K34" s="13" t="n"/>
      <c r="L34" s="15" t="n"/>
      <c r="M34" s="13" t="n"/>
      <c r="N34" s="12" t="n"/>
      <c r="O34" s="14" t="n"/>
      <c r="P34" s="13" t="n"/>
      <c r="Q34" s="14" t="n"/>
      <c r="R34" s="11">
        <f>IF(OR(B34="",D34="",S34="종결"),"",TODAY()-D34)</f>
        <v/>
      </c>
      <c r="S34" s="6">
        <f>IF(OR(B34="",I34=""),"",IFERROR(VLOOKUP(I34,설정!$C$5:$E$16,3,0),""))</f>
        <v/>
      </c>
    </row>
    <row r="35">
      <c r="A35" s="6">
        <f>IF(B35="","",ROW()-4)</f>
        <v/>
      </c>
      <c r="B35" s="12" t="n"/>
      <c r="C35" s="12" t="n"/>
      <c r="D35" s="13" t="n"/>
      <c r="E35" s="14" t="n"/>
      <c r="F35" s="12" t="n"/>
      <c r="G35" s="14" t="n"/>
      <c r="H35" s="12" t="n"/>
      <c r="I35" s="12" t="n"/>
      <c r="J35" s="6">
        <f>IF(OR(B35="",I35=""),"",IFERROR(VLOOKUP(I35,설정!$C$5:$E$16,2,0),""))</f>
        <v/>
      </c>
      <c r="K35" s="13" t="n"/>
      <c r="L35" s="15" t="n"/>
      <c r="M35" s="13" t="n"/>
      <c r="N35" s="12" t="n"/>
      <c r="O35" s="14" t="n"/>
      <c r="P35" s="13" t="n"/>
      <c r="Q35" s="14" t="n"/>
      <c r="R35" s="11">
        <f>IF(OR(B35="",D35="",S35="종결"),"",TODAY()-D35)</f>
        <v/>
      </c>
      <c r="S35" s="6">
        <f>IF(OR(B35="",I35=""),"",IFERROR(VLOOKUP(I35,설정!$C$5:$E$16,3,0),""))</f>
        <v/>
      </c>
    </row>
    <row r="36">
      <c r="A36" s="6">
        <f>IF(B36="","",ROW()-4)</f>
        <v/>
      </c>
      <c r="B36" s="12" t="n"/>
      <c r="C36" s="12" t="n"/>
      <c r="D36" s="13" t="n"/>
      <c r="E36" s="14" t="n"/>
      <c r="F36" s="12" t="n"/>
      <c r="G36" s="14" t="n"/>
      <c r="H36" s="12" t="n"/>
      <c r="I36" s="12" t="n"/>
      <c r="J36" s="6">
        <f>IF(OR(B36="",I36=""),"",IFERROR(VLOOKUP(I36,설정!$C$5:$E$16,2,0),""))</f>
        <v/>
      </c>
      <c r="K36" s="13" t="n"/>
      <c r="L36" s="15" t="n"/>
      <c r="M36" s="13" t="n"/>
      <c r="N36" s="12" t="n"/>
      <c r="O36" s="14" t="n"/>
      <c r="P36" s="13" t="n"/>
      <c r="Q36" s="14" t="n"/>
      <c r="R36" s="11">
        <f>IF(OR(B36="",D36="",S36="종결"),"",TODAY()-D36)</f>
        <v/>
      </c>
      <c r="S36" s="6">
        <f>IF(OR(B36="",I36=""),"",IFERROR(VLOOKUP(I36,설정!$C$5:$E$16,3,0),""))</f>
        <v/>
      </c>
    </row>
    <row r="37">
      <c r="A37" s="6">
        <f>IF(B37="","",ROW()-4)</f>
        <v/>
      </c>
      <c r="B37" s="12" t="n"/>
      <c r="C37" s="12" t="n"/>
      <c r="D37" s="13" t="n"/>
      <c r="E37" s="14" t="n"/>
      <c r="F37" s="12" t="n"/>
      <c r="G37" s="14" t="n"/>
      <c r="H37" s="12" t="n"/>
      <c r="I37" s="12" t="n"/>
      <c r="J37" s="6">
        <f>IF(OR(B37="",I37=""),"",IFERROR(VLOOKUP(I37,설정!$C$5:$E$16,2,0),""))</f>
        <v/>
      </c>
      <c r="K37" s="13" t="n"/>
      <c r="L37" s="15" t="n"/>
      <c r="M37" s="13" t="n"/>
      <c r="N37" s="12" t="n"/>
      <c r="O37" s="14" t="n"/>
      <c r="P37" s="13" t="n"/>
      <c r="Q37" s="14" t="n"/>
      <c r="R37" s="11">
        <f>IF(OR(B37="",D37="",S37="종결"),"",TODAY()-D37)</f>
        <v/>
      </c>
      <c r="S37" s="6">
        <f>IF(OR(B37="",I37=""),"",IFERROR(VLOOKUP(I37,설정!$C$5:$E$16,3,0),""))</f>
        <v/>
      </c>
    </row>
    <row r="38">
      <c r="A38" s="6">
        <f>IF(B38="","",ROW()-4)</f>
        <v/>
      </c>
      <c r="B38" s="12" t="n"/>
      <c r="C38" s="12" t="n"/>
      <c r="D38" s="13" t="n"/>
      <c r="E38" s="14" t="n"/>
      <c r="F38" s="12" t="n"/>
      <c r="G38" s="14" t="n"/>
      <c r="H38" s="12" t="n"/>
      <c r="I38" s="12" t="n"/>
      <c r="J38" s="6">
        <f>IF(OR(B38="",I38=""),"",IFERROR(VLOOKUP(I38,설정!$C$5:$E$16,2,0),""))</f>
        <v/>
      </c>
      <c r="K38" s="13" t="n"/>
      <c r="L38" s="15" t="n"/>
      <c r="M38" s="13" t="n"/>
      <c r="N38" s="12" t="n"/>
      <c r="O38" s="14" t="n"/>
      <c r="P38" s="13" t="n"/>
      <c r="Q38" s="14" t="n"/>
      <c r="R38" s="11">
        <f>IF(OR(B38="",D38="",S38="종결"),"",TODAY()-D38)</f>
        <v/>
      </c>
      <c r="S38" s="6">
        <f>IF(OR(B38="",I38=""),"",IFERROR(VLOOKUP(I38,설정!$C$5:$E$16,3,0),""))</f>
        <v/>
      </c>
    </row>
    <row r="39">
      <c r="A39" s="6">
        <f>IF(B39="","",ROW()-4)</f>
        <v/>
      </c>
      <c r="B39" s="12" t="n"/>
      <c r="C39" s="12" t="n"/>
      <c r="D39" s="13" t="n"/>
      <c r="E39" s="14" t="n"/>
      <c r="F39" s="12" t="n"/>
      <c r="G39" s="14" t="n"/>
      <c r="H39" s="12" t="n"/>
      <c r="I39" s="12" t="n"/>
      <c r="J39" s="6">
        <f>IF(OR(B39="",I39=""),"",IFERROR(VLOOKUP(I39,설정!$C$5:$E$16,2,0),""))</f>
        <v/>
      </c>
      <c r="K39" s="13" t="n"/>
      <c r="L39" s="15" t="n"/>
      <c r="M39" s="13" t="n"/>
      <c r="N39" s="12" t="n"/>
      <c r="O39" s="14" t="n"/>
      <c r="P39" s="13" t="n"/>
      <c r="Q39" s="14" t="n"/>
      <c r="R39" s="11">
        <f>IF(OR(B39="",D39="",S39="종결"),"",TODAY()-D39)</f>
        <v/>
      </c>
      <c r="S39" s="6">
        <f>IF(OR(B39="",I39=""),"",IFERROR(VLOOKUP(I39,설정!$C$5:$E$16,3,0),""))</f>
        <v/>
      </c>
    </row>
    <row r="40">
      <c r="A40" s="6">
        <f>IF(B40="","",ROW()-4)</f>
        <v/>
      </c>
      <c r="B40" s="12" t="n"/>
      <c r="C40" s="12" t="n"/>
      <c r="D40" s="13" t="n"/>
      <c r="E40" s="14" t="n"/>
      <c r="F40" s="12" t="n"/>
      <c r="G40" s="14" t="n"/>
      <c r="H40" s="12" t="n"/>
      <c r="I40" s="12" t="n"/>
      <c r="J40" s="6">
        <f>IF(OR(B40="",I40=""),"",IFERROR(VLOOKUP(I40,설정!$C$5:$E$16,2,0),""))</f>
        <v/>
      </c>
      <c r="K40" s="13" t="n"/>
      <c r="L40" s="15" t="n"/>
      <c r="M40" s="13" t="n"/>
      <c r="N40" s="12" t="n"/>
      <c r="O40" s="14" t="n"/>
      <c r="P40" s="13" t="n"/>
      <c r="Q40" s="14" t="n"/>
      <c r="R40" s="11">
        <f>IF(OR(B40="",D40="",S40="종결"),"",TODAY()-D40)</f>
        <v/>
      </c>
      <c r="S40" s="6">
        <f>IF(OR(B40="",I40=""),"",IFERROR(VLOOKUP(I40,설정!$C$5:$E$16,3,0),""))</f>
        <v/>
      </c>
    </row>
    <row r="41">
      <c r="A41" s="6">
        <f>IF(B41="","",ROW()-4)</f>
        <v/>
      </c>
      <c r="B41" s="12" t="n"/>
      <c r="C41" s="12" t="n"/>
      <c r="D41" s="13" t="n"/>
      <c r="E41" s="14" t="n"/>
      <c r="F41" s="12" t="n"/>
      <c r="G41" s="14" t="n"/>
      <c r="H41" s="12" t="n"/>
      <c r="I41" s="12" t="n"/>
      <c r="J41" s="6">
        <f>IF(OR(B41="",I41=""),"",IFERROR(VLOOKUP(I41,설정!$C$5:$E$16,2,0),""))</f>
        <v/>
      </c>
      <c r="K41" s="13" t="n"/>
      <c r="L41" s="15" t="n"/>
      <c r="M41" s="13" t="n"/>
      <c r="N41" s="12" t="n"/>
      <c r="O41" s="14" t="n"/>
      <c r="P41" s="13" t="n"/>
      <c r="Q41" s="14" t="n"/>
      <c r="R41" s="11">
        <f>IF(OR(B41="",D41="",S41="종결"),"",TODAY()-D41)</f>
        <v/>
      </c>
      <c r="S41" s="6">
        <f>IF(OR(B41="",I41=""),"",IFERROR(VLOOKUP(I41,설정!$C$5:$E$16,3,0),""))</f>
        <v/>
      </c>
    </row>
    <row r="42">
      <c r="A42" s="6">
        <f>IF(B42="","",ROW()-4)</f>
        <v/>
      </c>
      <c r="B42" s="12" t="n"/>
      <c r="C42" s="12" t="n"/>
      <c r="D42" s="13" t="n"/>
      <c r="E42" s="14" t="n"/>
      <c r="F42" s="12" t="n"/>
      <c r="G42" s="14" t="n"/>
      <c r="H42" s="12" t="n"/>
      <c r="I42" s="12" t="n"/>
      <c r="J42" s="6">
        <f>IF(OR(B42="",I42=""),"",IFERROR(VLOOKUP(I42,설정!$C$5:$E$16,2,0),""))</f>
        <v/>
      </c>
      <c r="K42" s="13" t="n"/>
      <c r="L42" s="15" t="n"/>
      <c r="M42" s="13" t="n"/>
      <c r="N42" s="12" t="n"/>
      <c r="O42" s="14" t="n"/>
      <c r="P42" s="13" t="n"/>
      <c r="Q42" s="14" t="n"/>
      <c r="R42" s="11">
        <f>IF(OR(B42="",D42="",S42="종결"),"",TODAY()-D42)</f>
        <v/>
      </c>
      <c r="S42" s="6">
        <f>IF(OR(B42="",I42=""),"",IFERROR(VLOOKUP(I42,설정!$C$5:$E$16,3,0),""))</f>
        <v/>
      </c>
    </row>
    <row r="43">
      <c r="A43" s="6">
        <f>IF(B43="","",ROW()-4)</f>
        <v/>
      </c>
      <c r="B43" s="12" t="n"/>
      <c r="C43" s="12" t="n"/>
      <c r="D43" s="13" t="n"/>
      <c r="E43" s="14" t="n"/>
      <c r="F43" s="12" t="n"/>
      <c r="G43" s="14" t="n"/>
      <c r="H43" s="12" t="n"/>
      <c r="I43" s="12" t="n"/>
      <c r="J43" s="6">
        <f>IF(OR(B43="",I43=""),"",IFERROR(VLOOKUP(I43,설정!$C$5:$E$16,2,0),""))</f>
        <v/>
      </c>
      <c r="K43" s="13" t="n"/>
      <c r="L43" s="15" t="n"/>
      <c r="M43" s="13" t="n"/>
      <c r="N43" s="12" t="n"/>
      <c r="O43" s="14" t="n"/>
      <c r="P43" s="13" t="n"/>
      <c r="Q43" s="14" t="n"/>
      <c r="R43" s="11">
        <f>IF(OR(B43="",D43="",S43="종결"),"",TODAY()-D43)</f>
        <v/>
      </c>
      <c r="S43" s="6">
        <f>IF(OR(B43="",I43=""),"",IFERROR(VLOOKUP(I43,설정!$C$5:$E$16,3,0),""))</f>
        <v/>
      </c>
    </row>
    <row r="44">
      <c r="A44" s="6">
        <f>IF(B44="","",ROW()-4)</f>
        <v/>
      </c>
      <c r="B44" s="12" t="n"/>
      <c r="C44" s="12" t="n"/>
      <c r="D44" s="13" t="n"/>
      <c r="E44" s="14" t="n"/>
      <c r="F44" s="12" t="n"/>
      <c r="G44" s="14" t="n"/>
      <c r="H44" s="12" t="n"/>
      <c r="I44" s="12" t="n"/>
      <c r="J44" s="6">
        <f>IF(OR(B44="",I44=""),"",IFERROR(VLOOKUP(I44,설정!$C$5:$E$16,2,0),""))</f>
        <v/>
      </c>
      <c r="K44" s="13" t="n"/>
      <c r="L44" s="15" t="n"/>
      <c r="M44" s="13" t="n"/>
      <c r="N44" s="12" t="n"/>
      <c r="O44" s="14" t="n"/>
      <c r="P44" s="13" t="n"/>
      <c r="Q44" s="14" t="n"/>
      <c r="R44" s="11">
        <f>IF(OR(B44="",D44="",S44="종결"),"",TODAY()-D44)</f>
        <v/>
      </c>
      <c r="S44" s="6">
        <f>IF(OR(B44="",I44=""),"",IFERROR(VLOOKUP(I44,설정!$C$5:$E$16,3,0),""))</f>
        <v/>
      </c>
    </row>
    <row r="45">
      <c r="A45" s="6">
        <f>IF(B45="","",ROW()-4)</f>
        <v/>
      </c>
      <c r="B45" s="12" t="n"/>
      <c r="C45" s="12" t="n"/>
      <c r="D45" s="13" t="n"/>
      <c r="E45" s="14" t="n"/>
      <c r="F45" s="12" t="n"/>
      <c r="G45" s="14" t="n"/>
      <c r="H45" s="12" t="n"/>
      <c r="I45" s="12" t="n"/>
      <c r="J45" s="6">
        <f>IF(OR(B45="",I45=""),"",IFERROR(VLOOKUP(I45,설정!$C$5:$E$16,2,0),""))</f>
        <v/>
      </c>
      <c r="K45" s="13" t="n"/>
      <c r="L45" s="15" t="n"/>
      <c r="M45" s="13" t="n"/>
      <c r="N45" s="12" t="n"/>
      <c r="O45" s="14" t="n"/>
      <c r="P45" s="13" t="n"/>
      <c r="Q45" s="14" t="n"/>
      <c r="R45" s="11">
        <f>IF(OR(B45="",D45="",S45="종결"),"",TODAY()-D45)</f>
        <v/>
      </c>
      <c r="S45" s="6">
        <f>IF(OR(B45="",I45=""),"",IFERROR(VLOOKUP(I45,설정!$C$5:$E$16,3,0),""))</f>
        <v/>
      </c>
    </row>
    <row r="46">
      <c r="A46" s="6">
        <f>IF(B46="","",ROW()-4)</f>
        <v/>
      </c>
      <c r="B46" s="12" t="n"/>
      <c r="C46" s="12" t="n"/>
      <c r="D46" s="13" t="n"/>
      <c r="E46" s="14" t="n"/>
      <c r="F46" s="12" t="n"/>
      <c r="G46" s="14" t="n"/>
      <c r="H46" s="12" t="n"/>
      <c r="I46" s="12" t="n"/>
      <c r="J46" s="6">
        <f>IF(OR(B46="",I46=""),"",IFERROR(VLOOKUP(I46,설정!$C$5:$E$16,2,0),""))</f>
        <v/>
      </c>
      <c r="K46" s="13" t="n"/>
      <c r="L46" s="15" t="n"/>
      <c r="M46" s="13" t="n"/>
      <c r="N46" s="12" t="n"/>
      <c r="O46" s="14" t="n"/>
      <c r="P46" s="13" t="n"/>
      <c r="Q46" s="14" t="n"/>
      <c r="R46" s="11">
        <f>IF(OR(B46="",D46="",S46="종결"),"",TODAY()-D46)</f>
        <v/>
      </c>
      <c r="S46" s="6">
        <f>IF(OR(B46="",I46=""),"",IFERROR(VLOOKUP(I46,설정!$C$5:$E$16,3,0),""))</f>
        <v/>
      </c>
    </row>
    <row r="47">
      <c r="A47" s="6">
        <f>IF(B47="","",ROW()-4)</f>
        <v/>
      </c>
      <c r="B47" s="12" t="n"/>
      <c r="C47" s="12" t="n"/>
      <c r="D47" s="13" t="n"/>
      <c r="E47" s="14" t="n"/>
      <c r="F47" s="12" t="n"/>
      <c r="G47" s="14" t="n"/>
      <c r="H47" s="12" t="n"/>
      <c r="I47" s="12" t="n"/>
      <c r="J47" s="6">
        <f>IF(OR(B47="",I47=""),"",IFERROR(VLOOKUP(I47,설정!$C$5:$E$16,2,0),""))</f>
        <v/>
      </c>
      <c r="K47" s="13" t="n"/>
      <c r="L47" s="15" t="n"/>
      <c r="M47" s="13" t="n"/>
      <c r="N47" s="12" t="n"/>
      <c r="O47" s="14" t="n"/>
      <c r="P47" s="13" t="n"/>
      <c r="Q47" s="14" t="n"/>
      <c r="R47" s="11">
        <f>IF(OR(B47="",D47="",S47="종결"),"",TODAY()-D47)</f>
        <v/>
      </c>
      <c r="S47" s="6">
        <f>IF(OR(B47="",I47=""),"",IFERROR(VLOOKUP(I47,설정!$C$5:$E$16,3,0),""))</f>
        <v/>
      </c>
    </row>
    <row r="48">
      <c r="A48" s="6">
        <f>IF(B48="","",ROW()-4)</f>
        <v/>
      </c>
      <c r="B48" s="12" t="n"/>
      <c r="C48" s="12" t="n"/>
      <c r="D48" s="13" t="n"/>
      <c r="E48" s="14" t="n"/>
      <c r="F48" s="12" t="n"/>
      <c r="G48" s="14" t="n"/>
      <c r="H48" s="12" t="n"/>
      <c r="I48" s="12" t="n"/>
      <c r="J48" s="6">
        <f>IF(OR(B48="",I48=""),"",IFERROR(VLOOKUP(I48,설정!$C$5:$E$16,2,0),""))</f>
        <v/>
      </c>
      <c r="K48" s="13" t="n"/>
      <c r="L48" s="15" t="n"/>
      <c r="M48" s="13" t="n"/>
      <c r="N48" s="12" t="n"/>
      <c r="O48" s="14" t="n"/>
      <c r="P48" s="13" t="n"/>
      <c r="Q48" s="14" t="n"/>
      <c r="R48" s="11">
        <f>IF(OR(B48="",D48="",S48="종결"),"",TODAY()-D48)</f>
        <v/>
      </c>
      <c r="S48" s="6">
        <f>IF(OR(B48="",I48=""),"",IFERROR(VLOOKUP(I48,설정!$C$5:$E$16,3,0),""))</f>
        <v/>
      </c>
    </row>
    <row r="49">
      <c r="A49" s="6">
        <f>IF(B49="","",ROW()-4)</f>
        <v/>
      </c>
      <c r="B49" s="12" t="n"/>
      <c r="C49" s="12" t="n"/>
      <c r="D49" s="13" t="n"/>
      <c r="E49" s="14" t="n"/>
      <c r="F49" s="12" t="n"/>
      <c r="G49" s="14" t="n"/>
      <c r="H49" s="12" t="n"/>
      <c r="I49" s="12" t="n"/>
      <c r="J49" s="6">
        <f>IF(OR(B49="",I49=""),"",IFERROR(VLOOKUP(I49,설정!$C$5:$E$16,2,0),""))</f>
        <v/>
      </c>
      <c r="K49" s="13" t="n"/>
      <c r="L49" s="15" t="n"/>
      <c r="M49" s="13" t="n"/>
      <c r="N49" s="12" t="n"/>
      <c r="O49" s="14" t="n"/>
      <c r="P49" s="13" t="n"/>
      <c r="Q49" s="14" t="n"/>
      <c r="R49" s="11">
        <f>IF(OR(B49="",D49="",S49="종결"),"",TODAY()-D49)</f>
        <v/>
      </c>
      <c r="S49" s="6">
        <f>IF(OR(B49="",I49=""),"",IFERROR(VLOOKUP(I49,설정!$C$5:$E$16,3,0),""))</f>
        <v/>
      </c>
    </row>
    <row r="50">
      <c r="A50" s="6">
        <f>IF(B50="","",ROW()-4)</f>
        <v/>
      </c>
      <c r="B50" s="12" t="n"/>
      <c r="C50" s="12" t="n"/>
      <c r="D50" s="13" t="n"/>
      <c r="E50" s="14" t="n"/>
      <c r="F50" s="12" t="n"/>
      <c r="G50" s="14" t="n"/>
      <c r="H50" s="12" t="n"/>
      <c r="I50" s="12" t="n"/>
      <c r="J50" s="6">
        <f>IF(OR(B50="",I50=""),"",IFERROR(VLOOKUP(I50,설정!$C$5:$E$16,2,0),""))</f>
        <v/>
      </c>
      <c r="K50" s="13" t="n"/>
      <c r="L50" s="15" t="n"/>
      <c r="M50" s="13" t="n"/>
      <c r="N50" s="12" t="n"/>
      <c r="O50" s="14" t="n"/>
      <c r="P50" s="13" t="n"/>
      <c r="Q50" s="14" t="n"/>
      <c r="R50" s="11">
        <f>IF(OR(B50="",D50="",S50="종결"),"",TODAY()-D50)</f>
        <v/>
      </c>
      <c r="S50" s="6">
        <f>IF(OR(B50="",I50=""),"",IFERROR(VLOOKUP(I50,설정!$C$5:$E$16,3,0),""))</f>
        <v/>
      </c>
    </row>
    <row r="51">
      <c r="A51" s="6">
        <f>IF(B51="","",ROW()-4)</f>
        <v/>
      </c>
      <c r="B51" s="12" t="n"/>
      <c r="C51" s="12" t="n"/>
      <c r="D51" s="13" t="n"/>
      <c r="E51" s="14" t="n"/>
      <c r="F51" s="12" t="n"/>
      <c r="G51" s="14" t="n"/>
      <c r="H51" s="12" t="n"/>
      <c r="I51" s="12" t="n"/>
      <c r="J51" s="6">
        <f>IF(OR(B51="",I51=""),"",IFERROR(VLOOKUP(I51,설정!$C$5:$E$16,2,0),""))</f>
        <v/>
      </c>
      <c r="K51" s="13" t="n"/>
      <c r="L51" s="15" t="n"/>
      <c r="M51" s="13" t="n"/>
      <c r="N51" s="12" t="n"/>
      <c r="O51" s="14" t="n"/>
      <c r="P51" s="13" t="n"/>
      <c r="Q51" s="14" t="n"/>
      <c r="R51" s="11">
        <f>IF(OR(B51="",D51="",S51="종결"),"",TODAY()-D51)</f>
        <v/>
      </c>
      <c r="S51" s="6">
        <f>IF(OR(B51="",I51=""),"",IFERROR(VLOOKUP(I51,설정!$C$5:$E$16,3,0),""))</f>
        <v/>
      </c>
    </row>
    <row r="52">
      <c r="A52" s="6">
        <f>IF(B52="","",ROW()-4)</f>
        <v/>
      </c>
      <c r="B52" s="12" t="n"/>
      <c r="C52" s="12" t="n"/>
      <c r="D52" s="13" t="n"/>
      <c r="E52" s="14" t="n"/>
      <c r="F52" s="12" t="n"/>
      <c r="G52" s="14" t="n"/>
      <c r="H52" s="12" t="n"/>
      <c r="I52" s="12" t="n"/>
      <c r="J52" s="6">
        <f>IF(OR(B52="",I52=""),"",IFERROR(VLOOKUP(I52,설정!$C$5:$E$16,2,0),""))</f>
        <v/>
      </c>
      <c r="K52" s="13" t="n"/>
      <c r="L52" s="15" t="n"/>
      <c r="M52" s="13" t="n"/>
      <c r="N52" s="12" t="n"/>
      <c r="O52" s="14" t="n"/>
      <c r="P52" s="13" t="n"/>
      <c r="Q52" s="14" t="n"/>
      <c r="R52" s="11">
        <f>IF(OR(B52="",D52="",S52="종결"),"",TODAY()-D52)</f>
        <v/>
      </c>
      <c r="S52" s="6">
        <f>IF(OR(B52="",I52=""),"",IFERROR(VLOOKUP(I52,설정!$C$5:$E$16,3,0),""))</f>
        <v/>
      </c>
    </row>
    <row r="53">
      <c r="A53" s="6">
        <f>IF(B53="","",ROW()-4)</f>
        <v/>
      </c>
      <c r="B53" s="12" t="n"/>
      <c r="C53" s="12" t="n"/>
      <c r="D53" s="13" t="n"/>
      <c r="E53" s="14" t="n"/>
      <c r="F53" s="12" t="n"/>
      <c r="G53" s="14" t="n"/>
      <c r="H53" s="12" t="n"/>
      <c r="I53" s="12" t="n"/>
      <c r="J53" s="6">
        <f>IF(OR(B53="",I53=""),"",IFERROR(VLOOKUP(I53,설정!$C$5:$E$16,2,0),""))</f>
        <v/>
      </c>
      <c r="K53" s="13" t="n"/>
      <c r="L53" s="15" t="n"/>
      <c r="M53" s="13" t="n"/>
      <c r="N53" s="12" t="n"/>
      <c r="O53" s="14" t="n"/>
      <c r="P53" s="13" t="n"/>
      <c r="Q53" s="14" t="n"/>
      <c r="R53" s="11">
        <f>IF(OR(B53="",D53="",S53="종결"),"",TODAY()-D53)</f>
        <v/>
      </c>
      <c r="S53" s="6">
        <f>IF(OR(B53="",I53=""),"",IFERROR(VLOOKUP(I53,설정!$C$5:$E$16,3,0),""))</f>
        <v/>
      </c>
    </row>
    <row r="54">
      <c r="A54" s="6">
        <f>IF(B54="","",ROW()-4)</f>
        <v/>
      </c>
      <c r="B54" s="12" t="n"/>
      <c r="C54" s="12" t="n"/>
      <c r="D54" s="13" t="n"/>
      <c r="E54" s="14" t="n"/>
      <c r="F54" s="12" t="n"/>
      <c r="G54" s="14" t="n"/>
      <c r="H54" s="12" t="n"/>
      <c r="I54" s="12" t="n"/>
      <c r="J54" s="6">
        <f>IF(OR(B54="",I54=""),"",IFERROR(VLOOKUP(I54,설정!$C$5:$E$16,2,0),""))</f>
        <v/>
      </c>
      <c r="K54" s="13" t="n"/>
      <c r="L54" s="15" t="n"/>
      <c r="M54" s="13" t="n"/>
      <c r="N54" s="12" t="n"/>
      <c r="O54" s="14" t="n"/>
      <c r="P54" s="13" t="n"/>
      <c r="Q54" s="14" t="n"/>
      <c r="R54" s="11">
        <f>IF(OR(B54="",D54="",S54="종결"),"",TODAY()-D54)</f>
        <v/>
      </c>
      <c r="S54" s="6">
        <f>IF(OR(B54="",I54=""),"",IFERROR(VLOOKUP(I54,설정!$C$5:$E$16,3,0),""))</f>
        <v/>
      </c>
    </row>
    <row r="55">
      <c r="A55" s="6">
        <f>IF(B55="","",ROW()-4)</f>
        <v/>
      </c>
      <c r="B55" s="12" t="n"/>
      <c r="C55" s="12" t="n"/>
      <c r="D55" s="13" t="n"/>
      <c r="E55" s="14" t="n"/>
      <c r="F55" s="12" t="n"/>
      <c r="G55" s="14" t="n"/>
      <c r="H55" s="12" t="n"/>
      <c r="I55" s="12" t="n"/>
      <c r="J55" s="6">
        <f>IF(OR(B55="",I55=""),"",IFERROR(VLOOKUP(I55,설정!$C$5:$E$16,2,0),""))</f>
        <v/>
      </c>
      <c r="K55" s="13" t="n"/>
      <c r="L55" s="15" t="n"/>
      <c r="M55" s="13" t="n"/>
      <c r="N55" s="12" t="n"/>
      <c r="O55" s="14" t="n"/>
      <c r="P55" s="13" t="n"/>
      <c r="Q55" s="14" t="n"/>
      <c r="R55" s="11">
        <f>IF(OR(B55="",D55="",S55="종결"),"",TODAY()-D55)</f>
        <v/>
      </c>
      <c r="S55" s="6">
        <f>IF(OR(B55="",I55=""),"",IFERROR(VLOOKUP(I55,설정!$C$5:$E$16,3,0),""))</f>
        <v/>
      </c>
    </row>
    <row r="56">
      <c r="A56" s="6">
        <f>IF(B56="","",ROW()-4)</f>
        <v/>
      </c>
      <c r="B56" s="12" t="n"/>
      <c r="C56" s="12" t="n"/>
      <c r="D56" s="13" t="n"/>
      <c r="E56" s="14" t="n"/>
      <c r="F56" s="12" t="n"/>
      <c r="G56" s="14" t="n"/>
      <c r="H56" s="12" t="n"/>
      <c r="I56" s="12" t="n"/>
      <c r="J56" s="6">
        <f>IF(OR(B56="",I56=""),"",IFERROR(VLOOKUP(I56,설정!$C$5:$E$16,2,0),""))</f>
        <v/>
      </c>
      <c r="K56" s="13" t="n"/>
      <c r="L56" s="15" t="n"/>
      <c r="M56" s="13" t="n"/>
      <c r="N56" s="12" t="n"/>
      <c r="O56" s="14" t="n"/>
      <c r="P56" s="13" t="n"/>
      <c r="Q56" s="14" t="n"/>
      <c r="R56" s="11">
        <f>IF(OR(B56="",D56="",S56="종결"),"",TODAY()-D56)</f>
        <v/>
      </c>
      <c r="S56" s="6">
        <f>IF(OR(B56="",I56=""),"",IFERROR(VLOOKUP(I56,설정!$C$5:$E$16,3,0),""))</f>
        <v/>
      </c>
    </row>
    <row r="57">
      <c r="A57" s="6">
        <f>IF(B57="","",ROW()-4)</f>
        <v/>
      </c>
      <c r="B57" s="12" t="n"/>
      <c r="C57" s="12" t="n"/>
      <c r="D57" s="13" t="n"/>
      <c r="E57" s="14" t="n"/>
      <c r="F57" s="12" t="n"/>
      <c r="G57" s="14" t="n"/>
      <c r="H57" s="12" t="n"/>
      <c r="I57" s="12" t="n"/>
      <c r="J57" s="6">
        <f>IF(OR(B57="",I57=""),"",IFERROR(VLOOKUP(I57,설정!$C$5:$E$16,2,0),""))</f>
        <v/>
      </c>
      <c r="K57" s="13" t="n"/>
      <c r="L57" s="15" t="n"/>
      <c r="M57" s="13" t="n"/>
      <c r="N57" s="12" t="n"/>
      <c r="O57" s="14" t="n"/>
      <c r="P57" s="13" t="n"/>
      <c r="Q57" s="14" t="n"/>
      <c r="R57" s="11">
        <f>IF(OR(B57="",D57="",S57="종결"),"",TODAY()-D57)</f>
        <v/>
      </c>
      <c r="S57" s="6">
        <f>IF(OR(B57="",I57=""),"",IFERROR(VLOOKUP(I57,설정!$C$5:$E$16,3,0),""))</f>
        <v/>
      </c>
    </row>
    <row r="58">
      <c r="A58" s="6">
        <f>IF(B58="","",ROW()-4)</f>
        <v/>
      </c>
      <c r="B58" s="12" t="n"/>
      <c r="C58" s="12" t="n"/>
      <c r="D58" s="13" t="n"/>
      <c r="E58" s="14" t="n"/>
      <c r="F58" s="12" t="n"/>
      <c r="G58" s="14" t="n"/>
      <c r="H58" s="12" t="n"/>
      <c r="I58" s="12" t="n"/>
      <c r="J58" s="6">
        <f>IF(OR(B58="",I58=""),"",IFERROR(VLOOKUP(I58,설정!$C$5:$E$16,2,0),""))</f>
        <v/>
      </c>
      <c r="K58" s="13" t="n"/>
      <c r="L58" s="15" t="n"/>
      <c r="M58" s="13" t="n"/>
      <c r="N58" s="12" t="n"/>
      <c r="O58" s="14" t="n"/>
      <c r="P58" s="13" t="n"/>
      <c r="Q58" s="14" t="n"/>
      <c r="R58" s="11">
        <f>IF(OR(B58="",D58="",S58="종결"),"",TODAY()-D58)</f>
        <v/>
      </c>
      <c r="S58" s="6">
        <f>IF(OR(B58="",I58=""),"",IFERROR(VLOOKUP(I58,설정!$C$5:$E$16,3,0),""))</f>
        <v/>
      </c>
    </row>
    <row r="59">
      <c r="A59" s="6">
        <f>IF(B59="","",ROW()-4)</f>
        <v/>
      </c>
      <c r="B59" s="12" t="n"/>
      <c r="C59" s="12" t="n"/>
      <c r="D59" s="13" t="n"/>
      <c r="E59" s="14" t="n"/>
      <c r="F59" s="12" t="n"/>
      <c r="G59" s="14" t="n"/>
      <c r="H59" s="12" t="n"/>
      <c r="I59" s="12" t="n"/>
      <c r="J59" s="6">
        <f>IF(OR(B59="",I59=""),"",IFERROR(VLOOKUP(I59,설정!$C$5:$E$16,2,0),""))</f>
        <v/>
      </c>
      <c r="K59" s="13" t="n"/>
      <c r="L59" s="15" t="n"/>
      <c r="M59" s="13" t="n"/>
      <c r="N59" s="12" t="n"/>
      <c r="O59" s="14" t="n"/>
      <c r="P59" s="13" t="n"/>
      <c r="Q59" s="14" t="n"/>
      <c r="R59" s="11">
        <f>IF(OR(B59="",D59="",S59="종결"),"",TODAY()-D59)</f>
        <v/>
      </c>
      <c r="S59" s="6">
        <f>IF(OR(B59="",I59=""),"",IFERROR(VLOOKUP(I59,설정!$C$5:$E$16,3,0),""))</f>
        <v/>
      </c>
    </row>
    <row r="60">
      <c r="A60" s="6">
        <f>IF(B60="","",ROW()-4)</f>
        <v/>
      </c>
      <c r="B60" s="12" t="n"/>
      <c r="C60" s="12" t="n"/>
      <c r="D60" s="13" t="n"/>
      <c r="E60" s="14" t="n"/>
      <c r="F60" s="12" t="n"/>
      <c r="G60" s="14" t="n"/>
      <c r="H60" s="12" t="n"/>
      <c r="I60" s="12" t="n"/>
      <c r="J60" s="6">
        <f>IF(OR(B60="",I60=""),"",IFERROR(VLOOKUP(I60,설정!$C$5:$E$16,2,0),""))</f>
        <v/>
      </c>
      <c r="K60" s="13" t="n"/>
      <c r="L60" s="15" t="n"/>
      <c r="M60" s="13" t="n"/>
      <c r="N60" s="12" t="n"/>
      <c r="O60" s="14" t="n"/>
      <c r="P60" s="13" t="n"/>
      <c r="Q60" s="14" t="n"/>
      <c r="R60" s="11">
        <f>IF(OR(B60="",D60="",S60="종결"),"",TODAY()-D60)</f>
        <v/>
      </c>
      <c r="S60" s="6">
        <f>IF(OR(B60="",I60=""),"",IFERROR(VLOOKUP(I60,설정!$C$5:$E$16,3,0),""))</f>
        <v/>
      </c>
    </row>
    <row r="61">
      <c r="A61" s="6">
        <f>IF(B61="","",ROW()-4)</f>
        <v/>
      </c>
      <c r="B61" s="12" t="n"/>
      <c r="C61" s="12" t="n"/>
      <c r="D61" s="13" t="n"/>
      <c r="E61" s="14" t="n"/>
      <c r="F61" s="12" t="n"/>
      <c r="G61" s="14" t="n"/>
      <c r="H61" s="12" t="n"/>
      <c r="I61" s="12" t="n"/>
      <c r="J61" s="6">
        <f>IF(OR(B61="",I61=""),"",IFERROR(VLOOKUP(I61,설정!$C$5:$E$16,2,0),""))</f>
        <v/>
      </c>
      <c r="K61" s="13" t="n"/>
      <c r="L61" s="15" t="n"/>
      <c r="M61" s="13" t="n"/>
      <c r="N61" s="12" t="n"/>
      <c r="O61" s="14" t="n"/>
      <c r="P61" s="13" t="n"/>
      <c r="Q61" s="14" t="n"/>
      <c r="R61" s="11">
        <f>IF(OR(B61="",D61="",S61="종결"),"",TODAY()-D61)</f>
        <v/>
      </c>
      <c r="S61" s="6">
        <f>IF(OR(B61="",I61=""),"",IFERROR(VLOOKUP(I61,설정!$C$5:$E$16,3,0),""))</f>
        <v/>
      </c>
    </row>
    <row r="62">
      <c r="A62" s="6">
        <f>IF(B62="","",ROW()-4)</f>
        <v/>
      </c>
      <c r="B62" s="12" t="n"/>
      <c r="C62" s="12" t="n"/>
      <c r="D62" s="13" t="n"/>
      <c r="E62" s="14" t="n"/>
      <c r="F62" s="12" t="n"/>
      <c r="G62" s="14" t="n"/>
      <c r="H62" s="12" t="n"/>
      <c r="I62" s="12" t="n"/>
      <c r="J62" s="6">
        <f>IF(OR(B62="",I62=""),"",IFERROR(VLOOKUP(I62,설정!$C$5:$E$16,2,0),""))</f>
        <v/>
      </c>
      <c r="K62" s="13" t="n"/>
      <c r="L62" s="15" t="n"/>
      <c r="M62" s="13" t="n"/>
      <c r="N62" s="12" t="n"/>
      <c r="O62" s="14" t="n"/>
      <c r="P62" s="13" t="n"/>
      <c r="Q62" s="14" t="n"/>
      <c r="R62" s="11">
        <f>IF(OR(B62="",D62="",S62="종결"),"",TODAY()-D62)</f>
        <v/>
      </c>
      <c r="S62" s="6">
        <f>IF(OR(B62="",I62=""),"",IFERROR(VLOOKUP(I62,설정!$C$5:$E$16,3,0),""))</f>
        <v/>
      </c>
    </row>
    <row r="63">
      <c r="A63" s="6">
        <f>IF(B63="","",ROW()-4)</f>
        <v/>
      </c>
      <c r="B63" s="12" t="n"/>
      <c r="C63" s="12" t="n"/>
      <c r="D63" s="13" t="n"/>
      <c r="E63" s="14" t="n"/>
      <c r="F63" s="12" t="n"/>
      <c r="G63" s="14" t="n"/>
      <c r="H63" s="12" t="n"/>
      <c r="I63" s="12" t="n"/>
      <c r="J63" s="6">
        <f>IF(OR(B63="",I63=""),"",IFERROR(VLOOKUP(I63,설정!$C$5:$E$16,2,0),""))</f>
        <v/>
      </c>
      <c r="K63" s="13" t="n"/>
      <c r="L63" s="15" t="n"/>
      <c r="M63" s="13" t="n"/>
      <c r="N63" s="12" t="n"/>
      <c r="O63" s="14" t="n"/>
      <c r="P63" s="13" t="n"/>
      <c r="Q63" s="14" t="n"/>
      <c r="R63" s="11">
        <f>IF(OR(B63="",D63="",S63="종결"),"",TODAY()-D63)</f>
        <v/>
      </c>
      <c r="S63" s="6">
        <f>IF(OR(B63="",I63=""),"",IFERROR(VLOOKUP(I63,설정!$C$5:$E$16,3,0),""))</f>
        <v/>
      </c>
    </row>
    <row r="64">
      <c r="A64" s="6">
        <f>IF(B64="","",ROW()-4)</f>
        <v/>
      </c>
      <c r="B64" s="12" t="n"/>
      <c r="C64" s="12" t="n"/>
      <c r="D64" s="13" t="n"/>
      <c r="E64" s="14" t="n"/>
      <c r="F64" s="12" t="n"/>
      <c r="G64" s="14" t="n"/>
      <c r="H64" s="12" t="n"/>
      <c r="I64" s="12" t="n"/>
      <c r="J64" s="6">
        <f>IF(OR(B64="",I64=""),"",IFERROR(VLOOKUP(I64,설정!$C$5:$E$16,2,0),""))</f>
        <v/>
      </c>
      <c r="K64" s="13" t="n"/>
      <c r="L64" s="15" t="n"/>
      <c r="M64" s="13" t="n"/>
      <c r="N64" s="12" t="n"/>
      <c r="O64" s="14" t="n"/>
      <c r="P64" s="13" t="n"/>
      <c r="Q64" s="14" t="n"/>
      <c r="R64" s="11">
        <f>IF(OR(B64="",D64="",S64="종결"),"",TODAY()-D64)</f>
        <v/>
      </c>
      <c r="S64" s="6">
        <f>IF(OR(B64="",I64=""),"",IFERROR(VLOOKUP(I64,설정!$C$5:$E$16,3,0),""))</f>
        <v/>
      </c>
    </row>
    <row r="65">
      <c r="A65" s="6">
        <f>IF(B65="","",ROW()-4)</f>
        <v/>
      </c>
      <c r="B65" s="12" t="n"/>
      <c r="C65" s="12" t="n"/>
      <c r="D65" s="13" t="n"/>
      <c r="E65" s="14" t="n"/>
      <c r="F65" s="12" t="n"/>
      <c r="G65" s="14" t="n"/>
      <c r="H65" s="12" t="n"/>
      <c r="I65" s="12" t="n"/>
      <c r="J65" s="6">
        <f>IF(OR(B65="",I65=""),"",IFERROR(VLOOKUP(I65,설정!$C$5:$E$16,2,0),""))</f>
        <v/>
      </c>
      <c r="K65" s="13" t="n"/>
      <c r="L65" s="15" t="n"/>
      <c r="M65" s="13" t="n"/>
      <c r="N65" s="12" t="n"/>
      <c r="O65" s="14" t="n"/>
      <c r="P65" s="13" t="n"/>
      <c r="Q65" s="14" t="n"/>
      <c r="R65" s="11">
        <f>IF(OR(B65="",D65="",S65="종결"),"",TODAY()-D65)</f>
        <v/>
      </c>
      <c r="S65" s="6">
        <f>IF(OR(B65="",I65=""),"",IFERROR(VLOOKUP(I65,설정!$C$5:$E$16,3,0),""))</f>
        <v/>
      </c>
    </row>
    <row r="66">
      <c r="A66" s="6">
        <f>IF(B66="","",ROW()-4)</f>
        <v/>
      </c>
      <c r="B66" s="12" t="n"/>
      <c r="C66" s="12" t="n"/>
      <c r="D66" s="13" t="n"/>
      <c r="E66" s="14" t="n"/>
      <c r="F66" s="12" t="n"/>
      <c r="G66" s="14" t="n"/>
      <c r="H66" s="12" t="n"/>
      <c r="I66" s="12" t="n"/>
      <c r="J66" s="6">
        <f>IF(OR(B66="",I66=""),"",IFERROR(VLOOKUP(I66,설정!$C$5:$E$16,2,0),""))</f>
        <v/>
      </c>
      <c r="K66" s="13" t="n"/>
      <c r="L66" s="15" t="n"/>
      <c r="M66" s="13" t="n"/>
      <c r="N66" s="12" t="n"/>
      <c r="O66" s="14" t="n"/>
      <c r="P66" s="13" t="n"/>
      <c r="Q66" s="14" t="n"/>
      <c r="R66" s="11">
        <f>IF(OR(B66="",D66="",S66="종결"),"",TODAY()-D66)</f>
        <v/>
      </c>
      <c r="S66" s="6">
        <f>IF(OR(B66="",I66=""),"",IFERROR(VLOOKUP(I66,설정!$C$5:$E$16,3,0),""))</f>
        <v/>
      </c>
    </row>
    <row r="67">
      <c r="A67" s="6">
        <f>IF(B67="","",ROW()-4)</f>
        <v/>
      </c>
      <c r="B67" s="12" t="n"/>
      <c r="C67" s="12" t="n"/>
      <c r="D67" s="13" t="n"/>
      <c r="E67" s="14" t="n"/>
      <c r="F67" s="12" t="n"/>
      <c r="G67" s="14" t="n"/>
      <c r="H67" s="12" t="n"/>
      <c r="I67" s="12" t="n"/>
      <c r="J67" s="6">
        <f>IF(OR(B67="",I67=""),"",IFERROR(VLOOKUP(I67,설정!$C$5:$E$16,2,0),""))</f>
        <v/>
      </c>
      <c r="K67" s="13" t="n"/>
      <c r="L67" s="15" t="n"/>
      <c r="M67" s="13" t="n"/>
      <c r="N67" s="12" t="n"/>
      <c r="O67" s="14" t="n"/>
      <c r="P67" s="13" t="n"/>
      <c r="Q67" s="14" t="n"/>
      <c r="R67" s="11">
        <f>IF(OR(B67="",D67="",S67="종결"),"",TODAY()-D67)</f>
        <v/>
      </c>
      <c r="S67" s="6">
        <f>IF(OR(B67="",I67=""),"",IFERROR(VLOOKUP(I67,설정!$C$5:$E$16,3,0),""))</f>
        <v/>
      </c>
    </row>
    <row r="68">
      <c r="A68" s="6">
        <f>IF(B68="","",ROW()-4)</f>
        <v/>
      </c>
      <c r="B68" s="12" t="n"/>
      <c r="C68" s="12" t="n"/>
      <c r="D68" s="13" t="n"/>
      <c r="E68" s="14" t="n"/>
      <c r="F68" s="12" t="n"/>
      <c r="G68" s="14" t="n"/>
      <c r="H68" s="12" t="n"/>
      <c r="I68" s="12" t="n"/>
      <c r="J68" s="6">
        <f>IF(OR(B68="",I68=""),"",IFERROR(VLOOKUP(I68,설정!$C$5:$E$16,2,0),""))</f>
        <v/>
      </c>
      <c r="K68" s="13" t="n"/>
      <c r="L68" s="15" t="n"/>
      <c r="M68" s="13" t="n"/>
      <c r="N68" s="12" t="n"/>
      <c r="O68" s="14" t="n"/>
      <c r="P68" s="13" t="n"/>
      <c r="Q68" s="14" t="n"/>
      <c r="R68" s="11">
        <f>IF(OR(B68="",D68="",S68="종결"),"",TODAY()-D68)</f>
        <v/>
      </c>
      <c r="S68" s="6">
        <f>IF(OR(B68="",I68=""),"",IFERROR(VLOOKUP(I68,설정!$C$5:$E$16,3,0),""))</f>
        <v/>
      </c>
    </row>
    <row r="69">
      <c r="A69" s="6">
        <f>IF(B69="","",ROW()-4)</f>
        <v/>
      </c>
      <c r="B69" s="12" t="n"/>
      <c r="C69" s="12" t="n"/>
      <c r="D69" s="13" t="n"/>
      <c r="E69" s="14" t="n"/>
      <c r="F69" s="12" t="n"/>
      <c r="G69" s="14" t="n"/>
      <c r="H69" s="12" t="n"/>
      <c r="I69" s="12" t="n"/>
      <c r="J69" s="6">
        <f>IF(OR(B69="",I69=""),"",IFERROR(VLOOKUP(I69,설정!$C$5:$E$16,2,0),""))</f>
        <v/>
      </c>
      <c r="K69" s="13" t="n"/>
      <c r="L69" s="15" t="n"/>
      <c r="M69" s="13" t="n"/>
      <c r="N69" s="12" t="n"/>
      <c r="O69" s="14" t="n"/>
      <c r="P69" s="13" t="n"/>
      <c r="Q69" s="14" t="n"/>
      <c r="R69" s="11">
        <f>IF(OR(B69="",D69="",S69="종결"),"",TODAY()-D69)</f>
        <v/>
      </c>
      <c r="S69" s="6">
        <f>IF(OR(B69="",I69=""),"",IFERROR(VLOOKUP(I69,설정!$C$5:$E$16,3,0),""))</f>
        <v/>
      </c>
    </row>
    <row r="70">
      <c r="A70" s="6">
        <f>IF(B70="","",ROW()-4)</f>
        <v/>
      </c>
      <c r="B70" s="12" t="n"/>
      <c r="C70" s="12" t="n"/>
      <c r="D70" s="13" t="n"/>
      <c r="E70" s="14" t="n"/>
      <c r="F70" s="12" t="n"/>
      <c r="G70" s="14" t="n"/>
      <c r="H70" s="12" t="n"/>
      <c r="I70" s="12" t="n"/>
      <c r="J70" s="6">
        <f>IF(OR(B70="",I70=""),"",IFERROR(VLOOKUP(I70,설정!$C$5:$E$16,2,0),""))</f>
        <v/>
      </c>
      <c r="K70" s="13" t="n"/>
      <c r="L70" s="15" t="n"/>
      <c r="M70" s="13" t="n"/>
      <c r="N70" s="12" t="n"/>
      <c r="O70" s="14" t="n"/>
      <c r="P70" s="13" t="n"/>
      <c r="Q70" s="14" t="n"/>
      <c r="R70" s="11">
        <f>IF(OR(B70="",D70="",S70="종결"),"",TODAY()-D70)</f>
        <v/>
      </c>
      <c r="S70" s="6">
        <f>IF(OR(B70="",I70=""),"",IFERROR(VLOOKUP(I70,설정!$C$5:$E$16,3,0),""))</f>
        <v/>
      </c>
    </row>
    <row r="71">
      <c r="A71" s="6">
        <f>IF(B71="","",ROW()-4)</f>
        <v/>
      </c>
      <c r="B71" s="12" t="n"/>
      <c r="C71" s="12" t="n"/>
      <c r="D71" s="13" t="n"/>
      <c r="E71" s="14" t="n"/>
      <c r="F71" s="12" t="n"/>
      <c r="G71" s="14" t="n"/>
      <c r="H71" s="12" t="n"/>
      <c r="I71" s="12" t="n"/>
      <c r="J71" s="6">
        <f>IF(OR(B71="",I71=""),"",IFERROR(VLOOKUP(I71,설정!$C$5:$E$16,2,0),""))</f>
        <v/>
      </c>
      <c r="K71" s="13" t="n"/>
      <c r="L71" s="15" t="n"/>
      <c r="M71" s="13" t="n"/>
      <c r="N71" s="12" t="n"/>
      <c r="O71" s="14" t="n"/>
      <c r="P71" s="13" t="n"/>
      <c r="Q71" s="14" t="n"/>
      <c r="R71" s="11">
        <f>IF(OR(B71="",D71="",S71="종결"),"",TODAY()-D71)</f>
        <v/>
      </c>
      <c r="S71" s="6">
        <f>IF(OR(B71="",I71=""),"",IFERROR(VLOOKUP(I71,설정!$C$5:$E$16,3,0),""))</f>
        <v/>
      </c>
    </row>
    <row r="72">
      <c r="A72" s="6">
        <f>IF(B72="","",ROW()-4)</f>
        <v/>
      </c>
      <c r="B72" s="12" t="n"/>
      <c r="C72" s="12" t="n"/>
      <c r="D72" s="13" t="n"/>
      <c r="E72" s="14" t="n"/>
      <c r="F72" s="12" t="n"/>
      <c r="G72" s="14" t="n"/>
      <c r="H72" s="12" t="n"/>
      <c r="I72" s="12" t="n"/>
      <c r="J72" s="6">
        <f>IF(OR(B72="",I72=""),"",IFERROR(VLOOKUP(I72,설정!$C$5:$E$16,2,0),""))</f>
        <v/>
      </c>
      <c r="K72" s="13" t="n"/>
      <c r="L72" s="15" t="n"/>
      <c r="M72" s="13" t="n"/>
      <c r="N72" s="12" t="n"/>
      <c r="O72" s="14" t="n"/>
      <c r="P72" s="13" t="n"/>
      <c r="Q72" s="14" t="n"/>
      <c r="R72" s="11">
        <f>IF(OR(B72="",D72="",S72="종결"),"",TODAY()-D72)</f>
        <v/>
      </c>
      <c r="S72" s="6">
        <f>IF(OR(B72="",I72=""),"",IFERROR(VLOOKUP(I72,설정!$C$5:$E$16,3,0),""))</f>
        <v/>
      </c>
    </row>
    <row r="73">
      <c r="A73" s="6">
        <f>IF(B73="","",ROW()-4)</f>
        <v/>
      </c>
      <c r="B73" s="12" t="n"/>
      <c r="C73" s="12" t="n"/>
      <c r="D73" s="13" t="n"/>
      <c r="E73" s="14" t="n"/>
      <c r="F73" s="12" t="n"/>
      <c r="G73" s="14" t="n"/>
      <c r="H73" s="12" t="n"/>
      <c r="I73" s="12" t="n"/>
      <c r="J73" s="6">
        <f>IF(OR(B73="",I73=""),"",IFERROR(VLOOKUP(I73,설정!$C$5:$E$16,2,0),""))</f>
        <v/>
      </c>
      <c r="K73" s="13" t="n"/>
      <c r="L73" s="15" t="n"/>
      <c r="M73" s="13" t="n"/>
      <c r="N73" s="12" t="n"/>
      <c r="O73" s="14" t="n"/>
      <c r="P73" s="13" t="n"/>
      <c r="Q73" s="14" t="n"/>
      <c r="R73" s="11">
        <f>IF(OR(B73="",D73="",S73="종결"),"",TODAY()-D73)</f>
        <v/>
      </c>
      <c r="S73" s="6">
        <f>IF(OR(B73="",I73=""),"",IFERROR(VLOOKUP(I73,설정!$C$5:$E$16,3,0),""))</f>
        <v/>
      </c>
    </row>
    <row r="74">
      <c r="A74" s="6">
        <f>IF(B74="","",ROW()-4)</f>
        <v/>
      </c>
      <c r="B74" s="12" t="n"/>
      <c r="C74" s="12" t="n"/>
      <c r="D74" s="13" t="n"/>
      <c r="E74" s="14" t="n"/>
      <c r="F74" s="12" t="n"/>
      <c r="G74" s="14" t="n"/>
      <c r="H74" s="12" t="n"/>
      <c r="I74" s="12" t="n"/>
      <c r="J74" s="6">
        <f>IF(OR(B74="",I74=""),"",IFERROR(VLOOKUP(I74,설정!$C$5:$E$16,2,0),""))</f>
        <v/>
      </c>
      <c r="K74" s="13" t="n"/>
      <c r="L74" s="15" t="n"/>
      <c r="M74" s="13" t="n"/>
      <c r="N74" s="12" t="n"/>
      <c r="O74" s="14" t="n"/>
      <c r="P74" s="13" t="n"/>
      <c r="Q74" s="14" t="n"/>
      <c r="R74" s="11">
        <f>IF(OR(B74="",D74="",S74="종결"),"",TODAY()-D74)</f>
        <v/>
      </c>
      <c r="S74" s="6">
        <f>IF(OR(B74="",I74=""),"",IFERROR(VLOOKUP(I74,설정!$C$5:$E$16,3,0),""))</f>
        <v/>
      </c>
    </row>
    <row r="75">
      <c r="A75" s="6">
        <f>IF(B75="","",ROW()-4)</f>
        <v/>
      </c>
      <c r="B75" s="12" t="n"/>
      <c r="C75" s="12" t="n"/>
      <c r="D75" s="13" t="n"/>
      <c r="E75" s="14" t="n"/>
      <c r="F75" s="12" t="n"/>
      <c r="G75" s="14" t="n"/>
      <c r="H75" s="12" t="n"/>
      <c r="I75" s="12" t="n"/>
      <c r="J75" s="6">
        <f>IF(OR(B75="",I75=""),"",IFERROR(VLOOKUP(I75,설정!$C$5:$E$16,2,0),""))</f>
        <v/>
      </c>
      <c r="K75" s="13" t="n"/>
      <c r="L75" s="15" t="n"/>
      <c r="M75" s="13" t="n"/>
      <c r="N75" s="12" t="n"/>
      <c r="O75" s="14" t="n"/>
      <c r="P75" s="13" t="n"/>
      <c r="Q75" s="14" t="n"/>
      <c r="R75" s="11">
        <f>IF(OR(B75="",D75="",S75="종결"),"",TODAY()-D75)</f>
        <v/>
      </c>
      <c r="S75" s="6">
        <f>IF(OR(B75="",I75=""),"",IFERROR(VLOOKUP(I75,설정!$C$5:$E$16,3,0),""))</f>
        <v/>
      </c>
    </row>
    <row r="76">
      <c r="A76" s="6">
        <f>IF(B76="","",ROW()-4)</f>
        <v/>
      </c>
      <c r="B76" s="12" t="n"/>
      <c r="C76" s="12" t="n"/>
      <c r="D76" s="13" t="n"/>
      <c r="E76" s="14" t="n"/>
      <c r="F76" s="12" t="n"/>
      <c r="G76" s="14" t="n"/>
      <c r="H76" s="12" t="n"/>
      <c r="I76" s="12" t="n"/>
      <c r="J76" s="6">
        <f>IF(OR(B76="",I76=""),"",IFERROR(VLOOKUP(I76,설정!$C$5:$E$16,2,0),""))</f>
        <v/>
      </c>
      <c r="K76" s="13" t="n"/>
      <c r="L76" s="15" t="n"/>
      <c r="M76" s="13" t="n"/>
      <c r="N76" s="12" t="n"/>
      <c r="O76" s="14" t="n"/>
      <c r="P76" s="13" t="n"/>
      <c r="Q76" s="14" t="n"/>
      <c r="R76" s="11">
        <f>IF(OR(B76="",D76="",S76="종결"),"",TODAY()-D76)</f>
        <v/>
      </c>
      <c r="S76" s="6">
        <f>IF(OR(B76="",I76=""),"",IFERROR(VLOOKUP(I76,설정!$C$5:$E$16,3,0),""))</f>
        <v/>
      </c>
    </row>
    <row r="77">
      <c r="A77" s="6">
        <f>IF(B77="","",ROW()-4)</f>
        <v/>
      </c>
      <c r="B77" s="12" t="n"/>
      <c r="C77" s="12" t="n"/>
      <c r="D77" s="13" t="n"/>
      <c r="E77" s="14" t="n"/>
      <c r="F77" s="12" t="n"/>
      <c r="G77" s="14" t="n"/>
      <c r="H77" s="12" t="n"/>
      <c r="I77" s="12" t="n"/>
      <c r="J77" s="6">
        <f>IF(OR(B77="",I77=""),"",IFERROR(VLOOKUP(I77,설정!$C$5:$E$16,2,0),""))</f>
        <v/>
      </c>
      <c r="K77" s="13" t="n"/>
      <c r="L77" s="15" t="n"/>
      <c r="M77" s="13" t="n"/>
      <c r="N77" s="12" t="n"/>
      <c r="O77" s="14" t="n"/>
      <c r="P77" s="13" t="n"/>
      <c r="Q77" s="14" t="n"/>
      <c r="R77" s="11">
        <f>IF(OR(B77="",D77="",S77="종결"),"",TODAY()-D77)</f>
        <v/>
      </c>
      <c r="S77" s="6">
        <f>IF(OR(B77="",I77=""),"",IFERROR(VLOOKUP(I77,설정!$C$5:$E$16,3,0),""))</f>
        <v/>
      </c>
    </row>
    <row r="78">
      <c r="A78" s="6">
        <f>IF(B78="","",ROW()-4)</f>
        <v/>
      </c>
      <c r="B78" s="12" t="n"/>
      <c r="C78" s="12" t="n"/>
      <c r="D78" s="13" t="n"/>
      <c r="E78" s="14" t="n"/>
      <c r="F78" s="12" t="n"/>
      <c r="G78" s="14" t="n"/>
      <c r="H78" s="12" t="n"/>
      <c r="I78" s="12" t="n"/>
      <c r="J78" s="6">
        <f>IF(OR(B78="",I78=""),"",IFERROR(VLOOKUP(I78,설정!$C$5:$E$16,2,0),""))</f>
        <v/>
      </c>
      <c r="K78" s="13" t="n"/>
      <c r="L78" s="15" t="n"/>
      <c r="M78" s="13" t="n"/>
      <c r="N78" s="12" t="n"/>
      <c r="O78" s="14" t="n"/>
      <c r="P78" s="13" t="n"/>
      <c r="Q78" s="14" t="n"/>
      <c r="R78" s="11">
        <f>IF(OR(B78="",D78="",S78="종결"),"",TODAY()-D78)</f>
        <v/>
      </c>
      <c r="S78" s="6">
        <f>IF(OR(B78="",I78=""),"",IFERROR(VLOOKUP(I78,설정!$C$5:$E$16,3,0),""))</f>
        <v/>
      </c>
    </row>
    <row r="79">
      <c r="A79" s="6">
        <f>IF(B79="","",ROW()-4)</f>
        <v/>
      </c>
      <c r="B79" s="12" t="n"/>
      <c r="C79" s="12" t="n"/>
      <c r="D79" s="13" t="n"/>
      <c r="E79" s="14" t="n"/>
      <c r="F79" s="12" t="n"/>
      <c r="G79" s="14" t="n"/>
      <c r="H79" s="12" t="n"/>
      <c r="I79" s="12" t="n"/>
      <c r="J79" s="6">
        <f>IF(OR(B79="",I79=""),"",IFERROR(VLOOKUP(I79,설정!$C$5:$E$16,2,0),""))</f>
        <v/>
      </c>
      <c r="K79" s="13" t="n"/>
      <c r="L79" s="15" t="n"/>
      <c r="M79" s="13" t="n"/>
      <c r="N79" s="12" t="n"/>
      <c r="O79" s="14" t="n"/>
      <c r="P79" s="13" t="n"/>
      <c r="Q79" s="14" t="n"/>
      <c r="R79" s="11">
        <f>IF(OR(B79="",D79="",S79="종결"),"",TODAY()-D79)</f>
        <v/>
      </c>
      <c r="S79" s="6">
        <f>IF(OR(B79="",I79=""),"",IFERROR(VLOOKUP(I79,설정!$C$5:$E$16,3,0),""))</f>
        <v/>
      </c>
    </row>
    <row r="80">
      <c r="A80" s="6">
        <f>IF(B80="","",ROW()-4)</f>
        <v/>
      </c>
      <c r="B80" s="12" t="n"/>
      <c r="C80" s="12" t="n"/>
      <c r="D80" s="13" t="n"/>
      <c r="E80" s="14" t="n"/>
      <c r="F80" s="12" t="n"/>
      <c r="G80" s="14" t="n"/>
      <c r="H80" s="12" t="n"/>
      <c r="I80" s="12" t="n"/>
      <c r="J80" s="6">
        <f>IF(OR(B80="",I80=""),"",IFERROR(VLOOKUP(I80,설정!$C$5:$E$16,2,0),""))</f>
        <v/>
      </c>
      <c r="K80" s="13" t="n"/>
      <c r="L80" s="15" t="n"/>
      <c r="M80" s="13" t="n"/>
      <c r="N80" s="12" t="n"/>
      <c r="O80" s="14" t="n"/>
      <c r="P80" s="13" t="n"/>
      <c r="Q80" s="14" t="n"/>
      <c r="R80" s="11">
        <f>IF(OR(B80="",D80="",S80="종결"),"",TODAY()-D80)</f>
        <v/>
      </c>
      <c r="S80" s="6">
        <f>IF(OR(B80="",I80=""),"",IFERROR(VLOOKUP(I80,설정!$C$5:$E$16,3,0),""))</f>
        <v/>
      </c>
    </row>
    <row r="81">
      <c r="A81" s="6">
        <f>IF(B81="","",ROW()-4)</f>
        <v/>
      </c>
      <c r="B81" s="12" t="n"/>
      <c r="C81" s="12" t="n"/>
      <c r="D81" s="13" t="n"/>
      <c r="E81" s="14" t="n"/>
      <c r="F81" s="12" t="n"/>
      <c r="G81" s="14" t="n"/>
      <c r="H81" s="12" t="n"/>
      <c r="I81" s="12" t="n"/>
      <c r="J81" s="6">
        <f>IF(OR(B81="",I81=""),"",IFERROR(VLOOKUP(I81,설정!$C$5:$E$16,2,0),""))</f>
        <v/>
      </c>
      <c r="K81" s="13" t="n"/>
      <c r="L81" s="15" t="n"/>
      <c r="M81" s="13" t="n"/>
      <c r="N81" s="12" t="n"/>
      <c r="O81" s="14" t="n"/>
      <c r="P81" s="13" t="n"/>
      <c r="Q81" s="14" t="n"/>
      <c r="R81" s="11">
        <f>IF(OR(B81="",D81="",S81="종결"),"",TODAY()-D81)</f>
        <v/>
      </c>
      <c r="S81" s="6">
        <f>IF(OR(B81="",I81=""),"",IFERROR(VLOOKUP(I81,설정!$C$5:$E$16,3,0),""))</f>
        <v/>
      </c>
    </row>
    <row r="82">
      <c r="A82" s="6">
        <f>IF(B82="","",ROW()-4)</f>
        <v/>
      </c>
      <c r="B82" s="12" t="n"/>
      <c r="C82" s="12" t="n"/>
      <c r="D82" s="13" t="n"/>
      <c r="E82" s="14" t="n"/>
      <c r="F82" s="12" t="n"/>
      <c r="G82" s="14" t="n"/>
      <c r="H82" s="12" t="n"/>
      <c r="I82" s="12" t="n"/>
      <c r="J82" s="6">
        <f>IF(OR(B82="",I82=""),"",IFERROR(VLOOKUP(I82,설정!$C$5:$E$16,2,0),""))</f>
        <v/>
      </c>
      <c r="K82" s="13" t="n"/>
      <c r="L82" s="15" t="n"/>
      <c r="M82" s="13" t="n"/>
      <c r="N82" s="12" t="n"/>
      <c r="O82" s="14" t="n"/>
      <c r="P82" s="13" t="n"/>
      <c r="Q82" s="14" t="n"/>
      <c r="R82" s="11">
        <f>IF(OR(B82="",D82="",S82="종결"),"",TODAY()-D82)</f>
        <v/>
      </c>
      <c r="S82" s="6">
        <f>IF(OR(B82="",I82=""),"",IFERROR(VLOOKUP(I82,설정!$C$5:$E$16,3,0),""))</f>
        <v/>
      </c>
    </row>
    <row r="83">
      <c r="A83" s="6">
        <f>IF(B83="","",ROW()-4)</f>
        <v/>
      </c>
      <c r="B83" s="12" t="n"/>
      <c r="C83" s="12" t="n"/>
      <c r="D83" s="13" t="n"/>
      <c r="E83" s="14" t="n"/>
      <c r="F83" s="12" t="n"/>
      <c r="G83" s="14" t="n"/>
      <c r="H83" s="12" t="n"/>
      <c r="I83" s="12" t="n"/>
      <c r="J83" s="6">
        <f>IF(OR(B83="",I83=""),"",IFERROR(VLOOKUP(I83,설정!$C$5:$E$16,2,0),""))</f>
        <v/>
      </c>
      <c r="K83" s="13" t="n"/>
      <c r="L83" s="15" t="n"/>
      <c r="M83" s="13" t="n"/>
      <c r="N83" s="12" t="n"/>
      <c r="O83" s="14" t="n"/>
      <c r="P83" s="13" t="n"/>
      <c r="Q83" s="14" t="n"/>
      <c r="R83" s="11">
        <f>IF(OR(B83="",D83="",S83="종결"),"",TODAY()-D83)</f>
        <v/>
      </c>
      <c r="S83" s="6">
        <f>IF(OR(B83="",I83=""),"",IFERROR(VLOOKUP(I83,설정!$C$5:$E$16,3,0),""))</f>
        <v/>
      </c>
    </row>
    <row r="84">
      <c r="A84" s="6">
        <f>IF(B84="","",ROW()-4)</f>
        <v/>
      </c>
      <c r="B84" s="12" t="n"/>
      <c r="C84" s="12" t="n"/>
      <c r="D84" s="13" t="n"/>
      <c r="E84" s="14" t="n"/>
      <c r="F84" s="12" t="n"/>
      <c r="G84" s="14" t="n"/>
      <c r="H84" s="12" t="n"/>
      <c r="I84" s="12" t="n"/>
      <c r="J84" s="6">
        <f>IF(OR(B84="",I84=""),"",IFERROR(VLOOKUP(I84,설정!$C$5:$E$16,2,0),""))</f>
        <v/>
      </c>
      <c r="K84" s="13" t="n"/>
      <c r="L84" s="15" t="n"/>
      <c r="M84" s="13" t="n"/>
      <c r="N84" s="12" t="n"/>
      <c r="O84" s="14" t="n"/>
      <c r="P84" s="13" t="n"/>
      <c r="Q84" s="14" t="n"/>
      <c r="R84" s="11">
        <f>IF(OR(B84="",D84="",S84="종결"),"",TODAY()-D84)</f>
        <v/>
      </c>
      <c r="S84" s="6">
        <f>IF(OR(B84="",I84=""),"",IFERROR(VLOOKUP(I84,설정!$C$5:$E$16,3,0),""))</f>
        <v/>
      </c>
    </row>
    <row r="85">
      <c r="A85" s="6">
        <f>IF(B85="","",ROW()-4)</f>
        <v/>
      </c>
      <c r="B85" s="12" t="n"/>
      <c r="C85" s="12" t="n"/>
      <c r="D85" s="13" t="n"/>
      <c r="E85" s="14" t="n"/>
      <c r="F85" s="12" t="n"/>
      <c r="G85" s="14" t="n"/>
      <c r="H85" s="12" t="n"/>
      <c r="I85" s="12" t="n"/>
      <c r="J85" s="6">
        <f>IF(OR(B85="",I85=""),"",IFERROR(VLOOKUP(I85,설정!$C$5:$E$16,2,0),""))</f>
        <v/>
      </c>
      <c r="K85" s="13" t="n"/>
      <c r="L85" s="15" t="n"/>
      <c r="M85" s="13" t="n"/>
      <c r="N85" s="12" t="n"/>
      <c r="O85" s="14" t="n"/>
      <c r="P85" s="13" t="n"/>
      <c r="Q85" s="14" t="n"/>
      <c r="R85" s="11">
        <f>IF(OR(B85="",D85="",S85="종결"),"",TODAY()-D85)</f>
        <v/>
      </c>
      <c r="S85" s="6">
        <f>IF(OR(B85="",I85=""),"",IFERROR(VLOOKUP(I85,설정!$C$5:$E$16,3,0),""))</f>
        <v/>
      </c>
    </row>
    <row r="86">
      <c r="A86" s="6">
        <f>IF(B86="","",ROW()-4)</f>
        <v/>
      </c>
      <c r="B86" s="12" t="n"/>
      <c r="C86" s="12" t="n"/>
      <c r="D86" s="13" t="n"/>
      <c r="E86" s="14" t="n"/>
      <c r="F86" s="12" t="n"/>
      <c r="G86" s="14" t="n"/>
      <c r="H86" s="12" t="n"/>
      <c r="I86" s="12" t="n"/>
      <c r="J86" s="6">
        <f>IF(OR(B86="",I86=""),"",IFERROR(VLOOKUP(I86,설정!$C$5:$E$16,2,0),""))</f>
        <v/>
      </c>
      <c r="K86" s="13" t="n"/>
      <c r="L86" s="15" t="n"/>
      <c r="M86" s="13" t="n"/>
      <c r="N86" s="12" t="n"/>
      <c r="O86" s="14" t="n"/>
      <c r="P86" s="13" t="n"/>
      <c r="Q86" s="14" t="n"/>
      <c r="R86" s="11">
        <f>IF(OR(B86="",D86="",S86="종결"),"",TODAY()-D86)</f>
        <v/>
      </c>
      <c r="S86" s="6">
        <f>IF(OR(B86="",I86=""),"",IFERROR(VLOOKUP(I86,설정!$C$5:$E$16,3,0),""))</f>
        <v/>
      </c>
    </row>
    <row r="87">
      <c r="A87" s="6">
        <f>IF(B87="","",ROW()-4)</f>
        <v/>
      </c>
      <c r="B87" s="12" t="n"/>
      <c r="C87" s="12" t="n"/>
      <c r="D87" s="13" t="n"/>
      <c r="E87" s="14" t="n"/>
      <c r="F87" s="12" t="n"/>
      <c r="G87" s="14" t="n"/>
      <c r="H87" s="12" t="n"/>
      <c r="I87" s="12" t="n"/>
      <c r="J87" s="6">
        <f>IF(OR(B87="",I87=""),"",IFERROR(VLOOKUP(I87,설정!$C$5:$E$16,2,0),""))</f>
        <v/>
      </c>
      <c r="K87" s="13" t="n"/>
      <c r="L87" s="15" t="n"/>
      <c r="M87" s="13" t="n"/>
      <c r="N87" s="12" t="n"/>
      <c r="O87" s="14" t="n"/>
      <c r="P87" s="13" t="n"/>
      <c r="Q87" s="14" t="n"/>
      <c r="R87" s="11">
        <f>IF(OR(B87="",D87="",S87="종결"),"",TODAY()-D87)</f>
        <v/>
      </c>
      <c r="S87" s="6">
        <f>IF(OR(B87="",I87=""),"",IFERROR(VLOOKUP(I87,설정!$C$5:$E$16,3,0),""))</f>
        <v/>
      </c>
    </row>
    <row r="88">
      <c r="A88" s="6">
        <f>IF(B88="","",ROW()-4)</f>
        <v/>
      </c>
      <c r="B88" s="12" t="n"/>
      <c r="C88" s="12" t="n"/>
      <c r="D88" s="13" t="n"/>
      <c r="E88" s="14" t="n"/>
      <c r="F88" s="12" t="n"/>
      <c r="G88" s="14" t="n"/>
      <c r="H88" s="12" t="n"/>
      <c r="I88" s="12" t="n"/>
      <c r="J88" s="6">
        <f>IF(OR(B88="",I88=""),"",IFERROR(VLOOKUP(I88,설정!$C$5:$E$16,2,0),""))</f>
        <v/>
      </c>
      <c r="K88" s="13" t="n"/>
      <c r="L88" s="15" t="n"/>
      <c r="M88" s="13" t="n"/>
      <c r="N88" s="12" t="n"/>
      <c r="O88" s="14" t="n"/>
      <c r="P88" s="13" t="n"/>
      <c r="Q88" s="14" t="n"/>
      <c r="R88" s="11">
        <f>IF(OR(B88="",D88="",S88="종결"),"",TODAY()-D88)</f>
        <v/>
      </c>
      <c r="S88" s="6">
        <f>IF(OR(B88="",I88=""),"",IFERROR(VLOOKUP(I88,설정!$C$5:$E$16,3,0),""))</f>
        <v/>
      </c>
    </row>
    <row r="89">
      <c r="A89" s="6">
        <f>IF(B89="","",ROW()-4)</f>
        <v/>
      </c>
      <c r="B89" s="12" t="n"/>
      <c r="C89" s="12" t="n"/>
      <c r="D89" s="13" t="n"/>
      <c r="E89" s="14" t="n"/>
      <c r="F89" s="12" t="n"/>
      <c r="G89" s="14" t="n"/>
      <c r="H89" s="12" t="n"/>
      <c r="I89" s="12" t="n"/>
      <c r="J89" s="6">
        <f>IF(OR(B89="",I89=""),"",IFERROR(VLOOKUP(I89,설정!$C$5:$E$16,2,0),""))</f>
        <v/>
      </c>
      <c r="K89" s="13" t="n"/>
      <c r="L89" s="15" t="n"/>
      <c r="M89" s="13" t="n"/>
      <c r="N89" s="12" t="n"/>
      <c r="O89" s="14" t="n"/>
      <c r="P89" s="13" t="n"/>
      <c r="Q89" s="14" t="n"/>
      <c r="R89" s="11">
        <f>IF(OR(B89="",D89="",S89="종결"),"",TODAY()-D89)</f>
        <v/>
      </c>
      <c r="S89" s="6">
        <f>IF(OR(B89="",I89=""),"",IFERROR(VLOOKUP(I89,설정!$C$5:$E$16,3,0),""))</f>
        <v/>
      </c>
    </row>
    <row r="90">
      <c r="A90" s="6">
        <f>IF(B90="","",ROW()-4)</f>
        <v/>
      </c>
      <c r="B90" s="12" t="n"/>
      <c r="C90" s="12" t="n"/>
      <c r="D90" s="13" t="n"/>
      <c r="E90" s="14" t="n"/>
      <c r="F90" s="12" t="n"/>
      <c r="G90" s="14" t="n"/>
      <c r="H90" s="12" t="n"/>
      <c r="I90" s="12" t="n"/>
      <c r="J90" s="6">
        <f>IF(OR(B90="",I90=""),"",IFERROR(VLOOKUP(I90,설정!$C$5:$E$16,2,0),""))</f>
        <v/>
      </c>
      <c r="K90" s="13" t="n"/>
      <c r="L90" s="15" t="n"/>
      <c r="M90" s="13" t="n"/>
      <c r="N90" s="12" t="n"/>
      <c r="O90" s="14" t="n"/>
      <c r="P90" s="13" t="n"/>
      <c r="Q90" s="14" t="n"/>
      <c r="R90" s="11">
        <f>IF(OR(B90="",D90="",S90="종결"),"",TODAY()-D90)</f>
        <v/>
      </c>
      <c r="S90" s="6">
        <f>IF(OR(B90="",I90=""),"",IFERROR(VLOOKUP(I90,설정!$C$5:$E$16,3,0),""))</f>
        <v/>
      </c>
    </row>
    <row r="91">
      <c r="A91" s="6">
        <f>IF(B91="","",ROW()-4)</f>
        <v/>
      </c>
      <c r="B91" s="12" t="n"/>
      <c r="C91" s="12" t="n"/>
      <c r="D91" s="13" t="n"/>
      <c r="E91" s="14" t="n"/>
      <c r="F91" s="12" t="n"/>
      <c r="G91" s="14" t="n"/>
      <c r="H91" s="12" t="n"/>
      <c r="I91" s="12" t="n"/>
      <c r="J91" s="6">
        <f>IF(OR(B91="",I91=""),"",IFERROR(VLOOKUP(I91,설정!$C$5:$E$16,2,0),""))</f>
        <v/>
      </c>
      <c r="K91" s="13" t="n"/>
      <c r="L91" s="15" t="n"/>
      <c r="M91" s="13" t="n"/>
      <c r="N91" s="12" t="n"/>
      <c r="O91" s="14" t="n"/>
      <c r="P91" s="13" t="n"/>
      <c r="Q91" s="14" t="n"/>
      <c r="R91" s="11">
        <f>IF(OR(B91="",D91="",S91="종결"),"",TODAY()-D91)</f>
        <v/>
      </c>
      <c r="S91" s="6">
        <f>IF(OR(B91="",I91=""),"",IFERROR(VLOOKUP(I91,설정!$C$5:$E$16,3,0),""))</f>
        <v/>
      </c>
    </row>
    <row r="92">
      <c r="A92" s="6">
        <f>IF(B92="","",ROW()-4)</f>
        <v/>
      </c>
      <c r="B92" s="12" t="n"/>
      <c r="C92" s="12" t="n"/>
      <c r="D92" s="13" t="n"/>
      <c r="E92" s="14" t="n"/>
      <c r="F92" s="12" t="n"/>
      <c r="G92" s="14" t="n"/>
      <c r="H92" s="12" t="n"/>
      <c r="I92" s="12" t="n"/>
      <c r="J92" s="6">
        <f>IF(OR(B92="",I92=""),"",IFERROR(VLOOKUP(I92,설정!$C$5:$E$16,2,0),""))</f>
        <v/>
      </c>
      <c r="K92" s="13" t="n"/>
      <c r="L92" s="15" t="n"/>
      <c r="M92" s="13" t="n"/>
      <c r="N92" s="12" t="n"/>
      <c r="O92" s="14" t="n"/>
      <c r="P92" s="13" t="n"/>
      <c r="Q92" s="14" t="n"/>
      <c r="R92" s="11">
        <f>IF(OR(B92="",D92="",S92="종결"),"",TODAY()-D92)</f>
        <v/>
      </c>
      <c r="S92" s="6">
        <f>IF(OR(B92="",I92=""),"",IFERROR(VLOOKUP(I92,설정!$C$5:$E$16,3,0),""))</f>
        <v/>
      </c>
    </row>
    <row r="93">
      <c r="A93" s="6">
        <f>IF(B93="","",ROW()-4)</f>
        <v/>
      </c>
      <c r="B93" s="12" t="n"/>
      <c r="C93" s="12" t="n"/>
      <c r="D93" s="13" t="n"/>
      <c r="E93" s="14" t="n"/>
      <c r="F93" s="12" t="n"/>
      <c r="G93" s="14" t="n"/>
      <c r="H93" s="12" t="n"/>
      <c r="I93" s="12" t="n"/>
      <c r="J93" s="6">
        <f>IF(OR(B93="",I93=""),"",IFERROR(VLOOKUP(I93,설정!$C$5:$E$16,2,0),""))</f>
        <v/>
      </c>
      <c r="K93" s="13" t="n"/>
      <c r="L93" s="15" t="n"/>
      <c r="M93" s="13" t="n"/>
      <c r="N93" s="12" t="n"/>
      <c r="O93" s="14" t="n"/>
      <c r="P93" s="13" t="n"/>
      <c r="Q93" s="14" t="n"/>
      <c r="R93" s="11">
        <f>IF(OR(B93="",D93="",S93="종결"),"",TODAY()-D93)</f>
        <v/>
      </c>
      <c r="S93" s="6">
        <f>IF(OR(B93="",I93=""),"",IFERROR(VLOOKUP(I93,설정!$C$5:$E$16,3,0),""))</f>
        <v/>
      </c>
    </row>
    <row r="94">
      <c r="A94" s="6">
        <f>IF(B94="","",ROW()-4)</f>
        <v/>
      </c>
      <c r="B94" s="12" t="n"/>
      <c r="C94" s="12" t="n"/>
      <c r="D94" s="13" t="n"/>
      <c r="E94" s="14" t="n"/>
      <c r="F94" s="12" t="n"/>
      <c r="G94" s="14" t="n"/>
      <c r="H94" s="12" t="n"/>
      <c r="I94" s="12" t="n"/>
      <c r="J94" s="6">
        <f>IF(OR(B94="",I94=""),"",IFERROR(VLOOKUP(I94,설정!$C$5:$E$16,2,0),""))</f>
        <v/>
      </c>
      <c r="K94" s="13" t="n"/>
      <c r="L94" s="15" t="n"/>
      <c r="M94" s="13" t="n"/>
      <c r="N94" s="12" t="n"/>
      <c r="O94" s="14" t="n"/>
      <c r="P94" s="13" t="n"/>
      <c r="Q94" s="14" t="n"/>
      <c r="R94" s="11">
        <f>IF(OR(B94="",D94="",S94="종결"),"",TODAY()-D94)</f>
        <v/>
      </c>
      <c r="S94" s="6">
        <f>IF(OR(B94="",I94=""),"",IFERROR(VLOOKUP(I94,설정!$C$5:$E$16,3,0),""))</f>
        <v/>
      </c>
    </row>
    <row r="95">
      <c r="A95" s="6">
        <f>IF(B95="","",ROW()-4)</f>
        <v/>
      </c>
      <c r="B95" s="12" t="n"/>
      <c r="C95" s="12" t="n"/>
      <c r="D95" s="13" t="n"/>
      <c r="E95" s="14" t="n"/>
      <c r="F95" s="12" t="n"/>
      <c r="G95" s="14" t="n"/>
      <c r="H95" s="12" t="n"/>
      <c r="I95" s="12" t="n"/>
      <c r="J95" s="6">
        <f>IF(OR(B95="",I95=""),"",IFERROR(VLOOKUP(I95,설정!$C$5:$E$16,2,0),""))</f>
        <v/>
      </c>
      <c r="K95" s="13" t="n"/>
      <c r="L95" s="15" t="n"/>
      <c r="M95" s="13" t="n"/>
      <c r="N95" s="12" t="n"/>
      <c r="O95" s="14" t="n"/>
      <c r="P95" s="13" t="n"/>
      <c r="Q95" s="14" t="n"/>
      <c r="R95" s="11">
        <f>IF(OR(B95="",D95="",S95="종결"),"",TODAY()-D95)</f>
        <v/>
      </c>
      <c r="S95" s="6">
        <f>IF(OR(B95="",I95=""),"",IFERROR(VLOOKUP(I95,설정!$C$5:$E$16,3,0),""))</f>
        <v/>
      </c>
    </row>
    <row r="96">
      <c r="A96" s="6">
        <f>IF(B96="","",ROW()-4)</f>
        <v/>
      </c>
      <c r="B96" s="12" t="n"/>
      <c r="C96" s="12" t="n"/>
      <c r="D96" s="13" t="n"/>
      <c r="E96" s="14" t="n"/>
      <c r="F96" s="12" t="n"/>
      <c r="G96" s="14" t="n"/>
      <c r="H96" s="12" t="n"/>
      <c r="I96" s="12" t="n"/>
      <c r="J96" s="6">
        <f>IF(OR(B96="",I96=""),"",IFERROR(VLOOKUP(I96,설정!$C$5:$E$16,2,0),""))</f>
        <v/>
      </c>
      <c r="K96" s="13" t="n"/>
      <c r="L96" s="15" t="n"/>
      <c r="M96" s="13" t="n"/>
      <c r="N96" s="12" t="n"/>
      <c r="O96" s="14" t="n"/>
      <c r="P96" s="13" t="n"/>
      <c r="Q96" s="14" t="n"/>
      <c r="R96" s="11">
        <f>IF(OR(B96="",D96="",S96="종결"),"",TODAY()-D96)</f>
        <v/>
      </c>
      <c r="S96" s="6">
        <f>IF(OR(B96="",I96=""),"",IFERROR(VLOOKUP(I96,설정!$C$5:$E$16,3,0),""))</f>
        <v/>
      </c>
    </row>
    <row r="97">
      <c r="A97" s="6">
        <f>IF(B97="","",ROW()-4)</f>
        <v/>
      </c>
      <c r="B97" s="12" t="n"/>
      <c r="C97" s="12" t="n"/>
      <c r="D97" s="13" t="n"/>
      <c r="E97" s="14" t="n"/>
      <c r="F97" s="12" t="n"/>
      <c r="G97" s="14" t="n"/>
      <c r="H97" s="12" t="n"/>
      <c r="I97" s="12" t="n"/>
      <c r="J97" s="6">
        <f>IF(OR(B97="",I97=""),"",IFERROR(VLOOKUP(I97,설정!$C$5:$E$16,2,0),""))</f>
        <v/>
      </c>
      <c r="K97" s="13" t="n"/>
      <c r="L97" s="15" t="n"/>
      <c r="M97" s="13" t="n"/>
      <c r="N97" s="12" t="n"/>
      <c r="O97" s="14" t="n"/>
      <c r="P97" s="13" t="n"/>
      <c r="Q97" s="14" t="n"/>
      <c r="R97" s="11">
        <f>IF(OR(B97="",D97="",S97="종결"),"",TODAY()-D97)</f>
        <v/>
      </c>
      <c r="S97" s="6">
        <f>IF(OR(B97="",I97=""),"",IFERROR(VLOOKUP(I97,설정!$C$5:$E$16,3,0),""))</f>
        <v/>
      </c>
    </row>
    <row r="98">
      <c r="A98" s="6">
        <f>IF(B98="","",ROW()-4)</f>
        <v/>
      </c>
      <c r="B98" s="12" t="n"/>
      <c r="C98" s="12" t="n"/>
      <c r="D98" s="13" t="n"/>
      <c r="E98" s="14" t="n"/>
      <c r="F98" s="12" t="n"/>
      <c r="G98" s="14" t="n"/>
      <c r="H98" s="12" t="n"/>
      <c r="I98" s="12" t="n"/>
      <c r="J98" s="6">
        <f>IF(OR(B98="",I98=""),"",IFERROR(VLOOKUP(I98,설정!$C$5:$E$16,2,0),""))</f>
        <v/>
      </c>
      <c r="K98" s="13" t="n"/>
      <c r="L98" s="15" t="n"/>
      <c r="M98" s="13" t="n"/>
      <c r="N98" s="12" t="n"/>
      <c r="O98" s="14" t="n"/>
      <c r="P98" s="13" t="n"/>
      <c r="Q98" s="14" t="n"/>
      <c r="R98" s="11">
        <f>IF(OR(B98="",D98="",S98="종결"),"",TODAY()-D98)</f>
        <v/>
      </c>
      <c r="S98" s="6">
        <f>IF(OR(B98="",I98=""),"",IFERROR(VLOOKUP(I98,설정!$C$5:$E$16,3,0),""))</f>
        <v/>
      </c>
    </row>
    <row r="99">
      <c r="A99" s="6">
        <f>IF(B99="","",ROW()-4)</f>
        <v/>
      </c>
      <c r="B99" s="12" t="n"/>
      <c r="C99" s="12" t="n"/>
      <c r="D99" s="13" t="n"/>
      <c r="E99" s="14" t="n"/>
      <c r="F99" s="12" t="n"/>
      <c r="G99" s="14" t="n"/>
      <c r="H99" s="12" t="n"/>
      <c r="I99" s="12" t="n"/>
      <c r="J99" s="6">
        <f>IF(OR(B99="",I99=""),"",IFERROR(VLOOKUP(I99,설정!$C$5:$E$16,2,0),""))</f>
        <v/>
      </c>
      <c r="K99" s="13" t="n"/>
      <c r="L99" s="15" t="n"/>
      <c r="M99" s="13" t="n"/>
      <c r="N99" s="12" t="n"/>
      <c r="O99" s="14" t="n"/>
      <c r="P99" s="13" t="n"/>
      <c r="Q99" s="14" t="n"/>
      <c r="R99" s="11">
        <f>IF(OR(B99="",D99="",S99="종결"),"",TODAY()-D99)</f>
        <v/>
      </c>
      <c r="S99" s="6">
        <f>IF(OR(B99="",I99=""),"",IFERROR(VLOOKUP(I99,설정!$C$5:$E$16,3,0),""))</f>
        <v/>
      </c>
    </row>
    <row r="100">
      <c r="A100" s="6">
        <f>IF(B100="","",ROW()-4)</f>
        <v/>
      </c>
      <c r="B100" s="12" t="n"/>
      <c r="C100" s="12" t="n"/>
      <c r="D100" s="13" t="n"/>
      <c r="E100" s="14" t="n"/>
      <c r="F100" s="12" t="n"/>
      <c r="G100" s="14" t="n"/>
      <c r="H100" s="12" t="n"/>
      <c r="I100" s="12" t="n"/>
      <c r="J100" s="6">
        <f>IF(OR(B100="",I100=""),"",IFERROR(VLOOKUP(I100,설정!$C$5:$E$16,2,0),""))</f>
        <v/>
      </c>
      <c r="K100" s="13" t="n"/>
      <c r="L100" s="15" t="n"/>
      <c r="M100" s="13" t="n"/>
      <c r="N100" s="12" t="n"/>
      <c r="O100" s="14" t="n"/>
      <c r="P100" s="13" t="n"/>
      <c r="Q100" s="14" t="n"/>
      <c r="R100" s="11">
        <f>IF(OR(B100="",D100="",S100="종결"),"",TODAY()-D100)</f>
        <v/>
      </c>
      <c r="S100" s="6">
        <f>IF(OR(B100="",I100=""),"",IFERROR(VLOOKUP(I100,설정!$C$5:$E$16,3,0),""))</f>
        <v/>
      </c>
    </row>
    <row r="101">
      <c r="A101" s="6">
        <f>IF(B101="","",ROW()-4)</f>
        <v/>
      </c>
      <c r="B101" s="12" t="n"/>
      <c r="C101" s="12" t="n"/>
      <c r="D101" s="13" t="n"/>
      <c r="E101" s="14" t="n"/>
      <c r="F101" s="12" t="n"/>
      <c r="G101" s="14" t="n"/>
      <c r="H101" s="12" t="n"/>
      <c r="I101" s="12" t="n"/>
      <c r="J101" s="6">
        <f>IF(OR(B101="",I101=""),"",IFERROR(VLOOKUP(I101,설정!$C$5:$E$16,2,0),""))</f>
        <v/>
      </c>
      <c r="K101" s="13" t="n"/>
      <c r="L101" s="15" t="n"/>
      <c r="M101" s="13" t="n"/>
      <c r="N101" s="12" t="n"/>
      <c r="O101" s="14" t="n"/>
      <c r="P101" s="13" t="n"/>
      <c r="Q101" s="14" t="n"/>
      <c r="R101" s="11">
        <f>IF(OR(B101="",D101="",S101="종결"),"",TODAY()-D101)</f>
        <v/>
      </c>
      <c r="S101" s="6">
        <f>IF(OR(B101="",I101=""),"",IFERROR(VLOOKUP(I101,설정!$C$5:$E$16,3,0),""))</f>
        <v/>
      </c>
    </row>
    <row r="102">
      <c r="A102" s="6">
        <f>IF(B102="","",ROW()-4)</f>
        <v/>
      </c>
      <c r="B102" s="12" t="n"/>
      <c r="C102" s="12" t="n"/>
      <c r="D102" s="13" t="n"/>
      <c r="E102" s="14" t="n"/>
      <c r="F102" s="12" t="n"/>
      <c r="G102" s="14" t="n"/>
      <c r="H102" s="12" t="n"/>
      <c r="I102" s="12" t="n"/>
      <c r="J102" s="6">
        <f>IF(OR(B102="",I102=""),"",IFERROR(VLOOKUP(I102,설정!$C$5:$E$16,2,0),""))</f>
        <v/>
      </c>
      <c r="K102" s="13" t="n"/>
      <c r="L102" s="15" t="n"/>
      <c r="M102" s="13" t="n"/>
      <c r="N102" s="12" t="n"/>
      <c r="O102" s="14" t="n"/>
      <c r="P102" s="13" t="n"/>
      <c r="Q102" s="14" t="n"/>
      <c r="R102" s="11">
        <f>IF(OR(B102="",D102="",S102="종결"),"",TODAY()-D102)</f>
        <v/>
      </c>
      <c r="S102" s="6">
        <f>IF(OR(B102="",I102=""),"",IFERROR(VLOOKUP(I102,설정!$C$5:$E$16,3,0),""))</f>
        <v/>
      </c>
    </row>
    <row r="103">
      <c r="A103" s="6">
        <f>IF(B103="","",ROW()-4)</f>
        <v/>
      </c>
      <c r="B103" s="12" t="n"/>
      <c r="C103" s="12" t="n"/>
      <c r="D103" s="13" t="n"/>
      <c r="E103" s="14" t="n"/>
      <c r="F103" s="12" t="n"/>
      <c r="G103" s="14" t="n"/>
      <c r="H103" s="12" t="n"/>
      <c r="I103" s="12" t="n"/>
      <c r="J103" s="6">
        <f>IF(OR(B103="",I103=""),"",IFERROR(VLOOKUP(I103,설정!$C$5:$E$16,2,0),""))</f>
        <v/>
      </c>
      <c r="K103" s="13" t="n"/>
      <c r="L103" s="15" t="n"/>
      <c r="M103" s="13" t="n"/>
      <c r="N103" s="12" t="n"/>
      <c r="O103" s="14" t="n"/>
      <c r="P103" s="13" t="n"/>
      <c r="Q103" s="14" t="n"/>
      <c r="R103" s="11">
        <f>IF(OR(B103="",D103="",S103="종결"),"",TODAY()-D103)</f>
        <v/>
      </c>
      <c r="S103" s="6">
        <f>IF(OR(B103="",I103=""),"",IFERROR(VLOOKUP(I103,설정!$C$5:$E$16,3,0),""))</f>
        <v/>
      </c>
    </row>
    <row r="104">
      <c r="A104" s="6">
        <f>IF(B104="","",ROW()-4)</f>
        <v/>
      </c>
      <c r="B104" s="12" t="n"/>
      <c r="C104" s="12" t="n"/>
      <c r="D104" s="13" t="n"/>
      <c r="E104" s="14" t="n"/>
      <c r="F104" s="12" t="n"/>
      <c r="G104" s="14" t="n"/>
      <c r="H104" s="12" t="n"/>
      <c r="I104" s="12" t="n"/>
      <c r="J104" s="6">
        <f>IF(OR(B104="",I104=""),"",IFERROR(VLOOKUP(I104,설정!$C$5:$E$16,2,0),""))</f>
        <v/>
      </c>
      <c r="K104" s="13" t="n"/>
      <c r="L104" s="15" t="n"/>
      <c r="M104" s="13" t="n"/>
      <c r="N104" s="12" t="n"/>
      <c r="O104" s="14" t="n"/>
      <c r="P104" s="13" t="n"/>
      <c r="Q104" s="14" t="n"/>
      <c r="R104" s="11">
        <f>IF(OR(B104="",D104="",S104="종결"),"",TODAY()-D104)</f>
        <v/>
      </c>
      <c r="S104" s="6">
        <f>IF(OR(B104="",I104=""),"",IFERROR(VLOOKUP(I104,설정!$C$5:$E$16,3,0),""))</f>
        <v/>
      </c>
    </row>
    <row r="105">
      <c r="A105" s="6">
        <f>IF(B105="","",ROW()-4)</f>
        <v/>
      </c>
      <c r="B105" s="12" t="n"/>
      <c r="C105" s="12" t="n"/>
      <c r="D105" s="13" t="n"/>
      <c r="E105" s="14" t="n"/>
      <c r="F105" s="12" t="n"/>
      <c r="G105" s="14" t="n"/>
      <c r="H105" s="12" t="n"/>
      <c r="I105" s="12" t="n"/>
      <c r="J105" s="6">
        <f>IF(OR(B105="",I105=""),"",IFERROR(VLOOKUP(I105,설정!$C$5:$E$16,2,0),""))</f>
        <v/>
      </c>
      <c r="K105" s="13" t="n"/>
      <c r="L105" s="15" t="n"/>
      <c r="M105" s="13" t="n"/>
      <c r="N105" s="12" t="n"/>
      <c r="O105" s="14" t="n"/>
      <c r="P105" s="13" t="n"/>
      <c r="Q105" s="14" t="n"/>
      <c r="R105" s="11">
        <f>IF(OR(B105="",D105="",S105="종결"),"",TODAY()-D105)</f>
        <v/>
      </c>
      <c r="S105" s="6">
        <f>IF(OR(B105="",I105=""),"",IFERROR(VLOOKUP(I105,설정!$C$5:$E$16,3,0),""))</f>
        <v/>
      </c>
    </row>
    <row r="106">
      <c r="A106" s="6">
        <f>IF(B106="","",ROW()-4)</f>
        <v/>
      </c>
      <c r="B106" s="12" t="n"/>
      <c r="C106" s="12" t="n"/>
      <c r="D106" s="13" t="n"/>
      <c r="E106" s="14" t="n"/>
      <c r="F106" s="12" t="n"/>
      <c r="G106" s="14" t="n"/>
      <c r="H106" s="12" t="n"/>
      <c r="I106" s="12" t="n"/>
      <c r="J106" s="6">
        <f>IF(OR(B106="",I106=""),"",IFERROR(VLOOKUP(I106,설정!$C$5:$E$16,2,0),""))</f>
        <v/>
      </c>
      <c r="K106" s="13" t="n"/>
      <c r="L106" s="15" t="n"/>
      <c r="M106" s="13" t="n"/>
      <c r="N106" s="12" t="n"/>
      <c r="O106" s="14" t="n"/>
      <c r="P106" s="13" t="n"/>
      <c r="Q106" s="14" t="n"/>
      <c r="R106" s="11">
        <f>IF(OR(B106="",D106="",S106="종결"),"",TODAY()-D106)</f>
        <v/>
      </c>
      <c r="S106" s="6">
        <f>IF(OR(B106="",I106=""),"",IFERROR(VLOOKUP(I106,설정!$C$5:$E$16,3,0),""))</f>
        <v/>
      </c>
    </row>
    <row r="107">
      <c r="A107" s="6">
        <f>IF(B107="","",ROW()-4)</f>
        <v/>
      </c>
      <c r="B107" s="12" t="n"/>
      <c r="C107" s="12" t="n"/>
      <c r="D107" s="13" t="n"/>
      <c r="E107" s="14" t="n"/>
      <c r="F107" s="12" t="n"/>
      <c r="G107" s="14" t="n"/>
      <c r="H107" s="12" t="n"/>
      <c r="I107" s="12" t="n"/>
      <c r="J107" s="6">
        <f>IF(OR(B107="",I107=""),"",IFERROR(VLOOKUP(I107,설정!$C$5:$E$16,2,0),""))</f>
        <v/>
      </c>
      <c r="K107" s="13" t="n"/>
      <c r="L107" s="15" t="n"/>
      <c r="M107" s="13" t="n"/>
      <c r="N107" s="12" t="n"/>
      <c r="O107" s="14" t="n"/>
      <c r="P107" s="13" t="n"/>
      <c r="Q107" s="14" t="n"/>
      <c r="R107" s="11">
        <f>IF(OR(B107="",D107="",S107="종결"),"",TODAY()-D107)</f>
        <v/>
      </c>
      <c r="S107" s="6">
        <f>IF(OR(B107="",I107=""),"",IFERROR(VLOOKUP(I107,설정!$C$5:$E$16,3,0),""))</f>
        <v/>
      </c>
    </row>
    <row r="108">
      <c r="A108" s="6">
        <f>IF(B108="","",ROW()-4)</f>
        <v/>
      </c>
      <c r="B108" s="12" t="n"/>
      <c r="C108" s="12" t="n"/>
      <c r="D108" s="13" t="n"/>
      <c r="E108" s="14" t="n"/>
      <c r="F108" s="12" t="n"/>
      <c r="G108" s="14" t="n"/>
      <c r="H108" s="12" t="n"/>
      <c r="I108" s="12" t="n"/>
      <c r="J108" s="6">
        <f>IF(OR(B108="",I108=""),"",IFERROR(VLOOKUP(I108,설정!$C$5:$E$16,2,0),""))</f>
        <v/>
      </c>
      <c r="K108" s="13" t="n"/>
      <c r="L108" s="15" t="n"/>
      <c r="M108" s="13" t="n"/>
      <c r="N108" s="12" t="n"/>
      <c r="O108" s="14" t="n"/>
      <c r="P108" s="13" t="n"/>
      <c r="Q108" s="14" t="n"/>
      <c r="R108" s="11">
        <f>IF(OR(B108="",D108="",S108="종결"),"",TODAY()-D108)</f>
        <v/>
      </c>
      <c r="S108" s="6">
        <f>IF(OR(B108="",I108=""),"",IFERROR(VLOOKUP(I108,설정!$C$5:$E$16,3,0),""))</f>
        <v/>
      </c>
    </row>
    <row r="109">
      <c r="A109" s="6">
        <f>IF(B109="","",ROW()-4)</f>
        <v/>
      </c>
      <c r="B109" s="12" t="n"/>
      <c r="C109" s="12" t="n"/>
      <c r="D109" s="13" t="n"/>
      <c r="E109" s="14" t="n"/>
      <c r="F109" s="12" t="n"/>
      <c r="G109" s="14" t="n"/>
      <c r="H109" s="12" t="n"/>
      <c r="I109" s="12" t="n"/>
      <c r="J109" s="6">
        <f>IF(OR(B109="",I109=""),"",IFERROR(VLOOKUP(I109,설정!$C$5:$E$16,2,0),""))</f>
        <v/>
      </c>
      <c r="K109" s="13" t="n"/>
      <c r="L109" s="15" t="n"/>
      <c r="M109" s="13" t="n"/>
      <c r="N109" s="12" t="n"/>
      <c r="O109" s="14" t="n"/>
      <c r="P109" s="13" t="n"/>
      <c r="Q109" s="14" t="n"/>
      <c r="R109" s="11">
        <f>IF(OR(B109="",D109="",S109="종결"),"",TODAY()-D109)</f>
        <v/>
      </c>
      <c r="S109" s="6">
        <f>IF(OR(B109="",I109=""),"",IFERROR(VLOOKUP(I109,설정!$C$5:$E$16,3,0),""))</f>
        <v/>
      </c>
    </row>
    <row r="110">
      <c r="A110" s="6">
        <f>IF(B110="","",ROW()-4)</f>
        <v/>
      </c>
      <c r="B110" s="12" t="n"/>
      <c r="C110" s="12" t="n"/>
      <c r="D110" s="13" t="n"/>
      <c r="E110" s="14" t="n"/>
      <c r="F110" s="12" t="n"/>
      <c r="G110" s="14" t="n"/>
      <c r="H110" s="12" t="n"/>
      <c r="I110" s="12" t="n"/>
      <c r="J110" s="6">
        <f>IF(OR(B110="",I110=""),"",IFERROR(VLOOKUP(I110,설정!$C$5:$E$16,2,0),""))</f>
        <v/>
      </c>
      <c r="K110" s="13" t="n"/>
      <c r="L110" s="15" t="n"/>
      <c r="M110" s="13" t="n"/>
      <c r="N110" s="12" t="n"/>
      <c r="O110" s="14" t="n"/>
      <c r="P110" s="13" t="n"/>
      <c r="Q110" s="14" t="n"/>
      <c r="R110" s="11">
        <f>IF(OR(B110="",D110="",S110="종결"),"",TODAY()-D110)</f>
        <v/>
      </c>
      <c r="S110" s="6">
        <f>IF(OR(B110="",I110=""),"",IFERROR(VLOOKUP(I110,설정!$C$5:$E$16,3,0),""))</f>
        <v/>
      </c>
    </row>
    <row r="111">
      <c r="A111" s="6">
        <f>IF(B111="","",ROW()-4)</f>
        <v/>
      </c>
      <c r="B111" s="12" t="n"/>
      <c r="C111" s="12" t="n"/>
      <c r="D111" s="13" t="n"/>
      <c r="E111" s="14" t="n"/>
      <c r="F111" s="12" t="n"/>
      <c r="G111" s="14" t="n"/>
      <c r="H111" s="12" t="n"/>
      <c r="I111" s="12" t="n"/>
      <c r="J111" s="6">
        <f>IF(OR(B111="",I111=""),"",IFERROR(VLOOKUP(I111,설정!$C$5:$E$16,2,0),""))</f>
        <v/>
      </c>
      <c r="K111" s="13" t="n"/>
      <c r="L111" s="15" t="n"/>
      <c r="M111" s="13" t="n"/>
      <c r="N111" s="12" t="n"/>
      <c r="O111" s="14" t="n"/>
      <c r="P111" s="13" t="n"/>
      <c r="Q111" s="14" t="n"/>
      <c r="R111" s="11">
        <f>IF(OR(B111="",D111="",S111="종결"),"",TODAY()-D111)</f>
        <v/>
      </c>
      <c r="S111" s="6">
        <f>IF(OR(B111="",I111=""),"",IFERROR(VLOOKUP(I111,설정!$C$5:$E$16,3,0),""))</f>
        <v/>
      </c>
    </row>
    <row r="112">
      <c r="A112" s="6">
        <f>IF(B112="","",ROW()-4)</f>
        <v/>
      </c>
      <c r="B112" s="12" t="n"/>
      <c r="C112" s="12" t="n"/>
      <c r="D112" s="13" t="n"/>
      <c r="E112" s="14" t="n"/>
      <c r="F112" s="12" t="n"/>
      <c r="G112" s="14" t="n"/>
      <c r="H112" s="12" t="n"/>
      <c r="I112" s="12" t="n"/>
      <c r="J112" s="6">
        <f>IF(OR(B112="",I112=""),"",IFERROR(VLOOKUP(I112,설정!$C$5:$E$16,2,0),""))</f>
        <v/>
      </c>
      <c r="K112" s="13" t="n"/>
      <c r="L112" s="15" t="n"/>
      <c r="M112" s="13" t="n"/>
      <c r="N112" s="12" t="n"/>
      <c r="O112" s="14" t="n"/>
      <c r="P112" s="13" t="n"/>
      <c r="Q112" s="14" t="n"/>
      <c r="R112" s="11">
        <f>IF(OR(B112="",D112="",S112="종결"),"",TODAY()-D112)</f>
        <v/>
      </c>
      <c r="S112" s="6">
        <f>IF(OR(B112="",I112=""),"",IFERROR(VLOOKUP(I112,설정!$C$5:$E$16,3,0),""))</f>
        <v/>
      </c>
    </row>
    <row r="113">
      <c r="A113" s="6">
        <f>IF(B113="","",ROW()-4)</f>
        <v/>
      </c>
      <c r="B113" s="12" t="n"/>
      <c r="C113" s="12" t="n"/>
      <c r="D113" s="13" t="n"/>
      <c r="E113" s="14" t="n"/>
      <c r="F113" s="12" t="n"/>
      <c r="G113" s="14" t="n"/>
      <c r="H113" s="12" t="n"/>
      <c r="I113" s="12" t="n"/>
      <c r="J113" s="6">
        <f>IF(OR(B113="",I113=""),"",IFERROR(VLOOKUP(I113,설정!$C$5:$E$16,2,0),""))</f>
        <v/>
      </c>
      <c r="K113" s="13" t="n"/>
      <c r="L113" s="15" t="n"/>
      <c r="M113" s="13" t="n"/>
      <c r="N113" s="12" t="n"/>
      <c r="O113" s="14" t="n"/>
      <c r="P113" s="13" t="n"/>
      <c r="Q113" s="14" t="n"/>
      <c r="R113" s="11">
        <f>IF(OR(B113="",D113="",S113="종결"),"",TODAY()-D113)</f>
        <v/>
      </c>
      <c r="S113" s="6">
        <f>IF(OR(B113="",I113=""),"",IFERROR(VLOOKUP(I113,설정!$C$5:$E$16,3,0),""))</f>
        <v/>
      </c>
    </row>
    <row r="114">
      <c r="A114" s="6">
        <f>IF(B114="","",ROW()-4)</f>
        <v/>
      </c>
      <c r="B114" s="12" t="n"/>
      <c r="C114" s="12" t="n"/>
      <c r="D114" s="13" t="n"/>
      <c r="E114" s="14" t="n"/>
      <c r="F114" s="12" t="n"/>
      <c r="G114" s="14" t="n"/>
      <c r="H114" s="12" t="n"/>
      <c r="I114" s="12" t="n"/>
      <c r="J114" s="6">
        <f>IF(OR(B114="",I114=""),"",IFERROR(VLOOKUP(I114,설정!$C$5:$E$16,2,0),""))</f>
        <v/>
      </c>
      <c r="K114" s="13" t="n"/>
      <c r="L114" s="15" t="n"/>
      <c r="M114" s="13" t="n"/>
      <c r="N114" s="12" t="n"/>
      <c r="O114" s="14" t="n"/>
      <c r="P114" s="13" t="n"/>
      <c r="Q114" s="14" t="n"/>
      <c r="R114" s="11">
        <f>IF(OR(B114="",D114="",S114="종결"),"",TODAY()-D114)</f>
        <v/>
      </c>
      <c r="S114" s="6">
        <f>IF(OR(B114="",I114=""),"",IFERROR(VLOOKUP(I114,설정!$C$5:$E$16,3,0),""))</f>
        <v/>
      </c>
    </row>
    <row r="115">
      <c r="A115" s="6">
        <f>IF(B115="","",ROW()-4)</f>
        <v/>
      </c>
      <c r="B115" s="12" t="n"/>
      <c r="C115" s="12" t="n"/>
      <c r="D115" s="13" t="n"/>
      <c r="E115" s="14" t="n"/>
      <c r="F115" s="12" t="n"/>
      <c r="G115" s="14" t="n"/>
      <c r="H115" s="12" t="n"/>
      <c r="I115" s="12" t="n"/>
      <c r="J115" s="6">
        <f>IF(OR(B115="",I115=""),"",IFERROR(VLOOKUP(I115,설정!$C$5:$E$16,2,0),""))</f>
        <v/>
      </c>
      <c r="K115" s="13" t="n"/>
      <c r="L115" s="15" t="n"/>
      <c r="M115" s="13" t="n"/>
      <c r="N115" s="12" t="n"/>
      <c r="O115" s="14" t="n"/>
      <c r="P115" s="13" t="n"/>
      <c r="Q115" s="14" t="n"/>
      <c r="R115" s="11">
        <f>IF(OR(B115="",D115="",S115="종결"),"",TODAY()-D115)</f>
        <v/>
      </c>
      <c r="S115" s="6">
        <f>IF(OR(B115="",I115=""),"",IFERROR(VLOOKUP(I115,설정!$C$5:$E$16,3,0),""))</f>
        <v/>
      </c>
    </row>
    <row r="116">
      <c r="A116" s="6">
        <f>IF(B116="","",ROW()-4)</f>
        <v/>
      </c>
      <c r="B116" s="12" t="n"/>
      <c r="C116" s="12" t="n"/>
      <c r="D116" s="13" t="n"/>
      <c r="E116" s="14" t="n"/>
      <c r="F116" s="12" t="n"/>
      <c r="G116" s="14" t="n"/>
      <c r="H116" s="12" t="n"/>
      <c r="I116" s="12" t="n"/>
      <c r="J116" s="6">
        <f>IF(OR(B116="",I116=""),"",IFERROR(VLOOKUP(I116,설정!$C$5:$E$16,2,0),""))</f>
        <v/>
      </c>
      <c r="K116" s="13" t="n"/>
      <c r="L116" s="15" t="n"/>
      <c r="M116" s="13" t="n"/>
      <c r="N116" s="12" t="n"/>
      <c r="O116" s="14" t="n"/>
      <c r="P116" s="13" t="n"/>
      <c r="Q116" s="14" t="n"/>
      <c r="R116" s="11">
        <f>IF(OR(B116="",D116="",S116="종결"),"",TODAY()-D116)</f>
        <v/>
      </c>
      <c r="S116" s="6">
        <f>IF(OR(B116="",I116=""),"",IFERROR(VLOOKUP(I116,설정!$C$5:$E$16,3,0),""))</f>
        <v/>
      </c>
    </row>
    <row r="117">
      <c r="A117" s="6">
        <f>IF(B117="","",ROW()-4)</f>
        <v/>
      </c>
      <c r="B117" s="12" t="n"/>
      <c r="C117" s="12" t="n"/>
      <c r="D117" s="13" t="n"/>
      <c r="E117" s="14" t="n"/>
      <c r="F117" s="12" t="n"/>
      <c r="G117" s="14" t="n"/>
      <c r="H117" s="12" t="n"/>
      <c r="I117" s="12" t="n"/>
      <c r="J117" s="6">
        <f>IF(OR(B117="",I117=""),"",IFERROR(VLOOKUP(I117,설정!$C$5:$E$16,2,0),""))</f>
        <v/>
      </c>
      <c r="K117" s="13" t="n"/>
      <c r="L117" s="15" t="n"/>
      <c r="M117" s="13" t="n"/>
      <c r="N117" s="12" t="n"/>
      <c r="O117" s="14" t="n"/>
      <c r="P117" s="13" t="n"/>
      <c r="Q117" s="14" t="n"/>
      <c r="R117" s="11">
        <f>IF(OR(B117="",D117="",S117="종결"),"",TODAY()-D117)</f>
        <v/>
      </c>
      <c r="S117" s="6">
        <f>IF(OR(B117="",I117=""),"",IFERROR(VLOOKUP(I117,설정!$C$5:$E$16,3,0),""))</f>
        <v/>
      </c>
    </row>
    <row r="118">
      <c r="A118" s="6">
        <f>IF(B118="","",ROW()-4)</f>
        <v/>
      </c>
      <c r="B118" s="12" t="n"/>
      <c r="C118" s="12" t="n"/>
      <c r="D118" s="13" t="n"/>
      <c r="E118" s="14" t="n"/>
      <c r="F118" s="12" t="n"/>
      <c r="G118" s="14" t="n"/>
      <c r="H118" s="12" t="n"/>
      <c r="I118" s="12" t="n"/>
      <c r="J118" s="6">
        <f>IF(OR(B118="",I118=""),"",IFERROR(VLOOKUP(I118,설정!$C$5:$E$16,2,0),""))</f>
        <v/>
      </c>
      <c r="K118" s="13" t="n"/>
      <c r="L118" s="15" t="n"/>
      <c r="M118" s="13" t="n"/>
      <c r="N118" s="12" t="n"/>
      <c r="O118" s="14" t="n"/>
      <c r="P118" s="13" t="n"/>
      <c r="Q118" s="14" t="n"/>
      <c r="R118" s="11">
        <f>IF(OR(B118="",D118="",S118="종결"),"",TODAY()-D118)</f>
        <v/>
      </c>
      <c r="S118" s="6">
        <f>IF(OR(B118="",I118=""),"",IFERROR(VLOOKUP(I118,설정!$C$5:$E$16,3,0),""))</f>
        <v/>
      </c>
    </row>
    <row r="119">
      <c r="A119" s="6">
        <f>IF(B119="","",ROW()-4)</f>
        <v/>
      </c>
      <c r="B119" s="12" t="n"/>
      <c r="C119" s="12" t="n"/>
      <c r="D119" s="13" t="n"/>
      <c r="E119" s="14" t="n"/>
      <c r="F119" s="12" t="n"/>
      <c r="G119" s="14" t="n"/>
      <c r="H119" s="12" t="n"/>
      <c r="I119" s="12" t="n"/>
      <c r="J119" s="6">
        <f>IF(OR(B119="",I119=""),"",IFERROR(VLOOKUP(I119,설정!$C$5:$E$16,2,0),""))</f>
        <v/>
      </c>
      <c r="K119" s="13" t="n"/>
      <c r="L119" s="15" t="n"/>
      <c r="M119" s="13" t="n"/>
      <c r="N119" s="12" t="n"/>
      <c r="O119" s="14" t="n"/>
      <c r="P119" s="13" t="n"/>
      <c r="Q119" s="14" t="n"/>
      <c r="R119" s="11">
        <f>IF(OR(B119="",D119="",S119="종결"),"",TODAY()-D119)</f>
        <v/>
      </c>
      <c r="S119" s="6">
        <f>IF(OR(B119="",I119=""),"",IFERROR(VLOOKUP(I119,설정!$C$5:$E$16,3,0),""))</f>
        <v/>
      </c>
    </row>
    <row r="120">
      <c r="A120" s="6">
        <f>IF(B120="","",ROW()-4)</f>
        <v/>
      </c>
      <c r="B120" s="12" t="n"/>
      <c r="C120" s="12" t="n"/>
      <c r="D120" s="13" t="n"/>
      <c r="E120" s="14" t="n"/>
      <c r="F120" s="12" t="n"/>
      <c r="G120" s="14" t="n"/>
      <c r="H120" s="12" t="n"/>
      <c r="I120" s="12" t="n"/>
      <c r="J120" s="6">
        <f>IF(OR(B120="",I120=""),"",IFERROR(VLOOKUP(I120,설정!$C$5:$E$16,2,0),""))</f>
        <v/>
      </c>
      <c r="K120" s="13" t="n"/>
      <c r="L120" s="15" t="n"/>
      <c r="M120" s="13" t="n"/>
      <c r="N120" s="12" t="n"/>
      <c r="O120" s="14" t="n"/>
      <c r="P120" s="13" t="n"/>
      <c r="Q120" s="14" t="n"/>
      <c r="R120" s="11">
        <f>IF(OR(B120="",D120="",S120="종결"),"",TODAY()-D120)</f>
        <v/>
      </c>
      <c r="S120" s="6">
        <f>IF(OR(B120="",I120=""),"",IFERROR(VLOOKUP(I120,설정!$C$5:$E$16,3,0),""))</f>
        <v/>
      </c>
    </row>
    <row r="121">
      <c r="A121" s="6">
        <f>IF(B121="","",ROW()-4)</f>
        <v/>
      </c>
      <c r="B121" s="12" t="n"/>
      <c r="C121" s="12" t="n"/>
      <c r="D121" s="13" t="n"/>
      <c r="E121" s="14" t="n"/>
      <c r="F121" s="12" t="n"/>
      <c r="G121" s="14" t="n"/>
      <c r="H121" s="12" t="n"/>
      <c r="I121" s="12" t="n"/>
      <c r="J121" s="6">
        <f>IF(OR(B121="",I121=""),"",IFERROR(VLOOKUP(I121,설정!$C$5:$E$16,2,0),""))</f>
        <v/>
      </c>
      <c r="K121" s="13" t="n"/>
      <c r="L121" s="15" t="n"/>
      <c r="M121" s="13" t="n"/>
      <c r="N121" s="12" t="n"/>
      <c r="O121" s="14" t="n"/>
      <c r="P121" s="13" t="n"/>
      <c r="Q121" s="14" t="n"/>
      <c r="R121" s="11">
        <f>IF(OR(B121="",D121="",S121="종결"),"",TODAY()-D121)</f>
        <v/>
      </c>
      <c r="S121" s="6">
        <f>IF(OR(B121="",I121=""),"",IFERROR(VLOOKUP(I121,설정!$C$5:$E$16,3,0),""))</f>
        <v/>
      </c>
    </row>
    <row r="122">
      <c r="A122" s="6">
        <f>IF(B122="","",ROW()-4)</f>
        <v/>
      </c>
      <c r="B122" s="12" t="n"/>
      <c r="C122" s="12" t="n"/>
      <c r="D122" s="13" t="n"/>
      <c r="E122" s="14" t="n"/>
      <c r="F122" s="12" t="n"/>
      <c r="G122" s="14" t="n"/>
      <c r="H122" s="12" t="n"/>
      <c r="I122" s="12" t="n"/>
      <c r="J122" s="6">
        <f>IF(OR(B122="",I122=""),"",IFERROR(VLOOKUP(I122,설정!$C$5:$E$16,2,0),""))</f>
        <v/>
      </c>
      <c r="K122" s="13" t="n"/>
      <c r="L122" s="15" t="n"/>
      <c r="M122" s="13" t="n"/>
      <c r="N122" s="12" t="n"/>
      <c r="O122" s="14" t="n"/>
      <c r="P122" s="13" t="n"/>
      <c r="Q122" s="14" t="n"/>
      <c r="R122" s="11">
        <f>IF(OR(B122="",D122="",S122="종결"),"",TODAY()-D122)</f>
        <v/>
      </c>
      <c r="S122" s="6">
        <f>IF(OR(B122="",I122=""),"",IFERROR(VLOOKUP(I122,설정!$C$5:$E$16,3,0),""))</f>
        <v/>
      </c>
    </row>
    <row r="123">
      <c r="A123" s="6">
        <f>IF(B123="","",ROW()-4)</f>
        <v/>
      </c>
      <c r="B123" s="12" t="n"/>
      <c r="C123" s="12" t="n"/>
      <c r="D123" s="13" t="n"/>
      <c r="E123" s="14" t="n"/>
      <c r="F123" s="12" t="n"/>
      <c r="G123" s="14" t="n"/>
      <c r="H123" s="12" t="n"/>
      <c r="I123" s="12" t="n"/>
      <c r="J123" s="6">
        <f>IF(OR(B123="",I123=""),"",IFERROR(VLOOKUP(I123,설정!$C$5:$E$16,2,0),""))</f>
        <v/>
      </c>
      <c r="K123" s="13" t="n"/>
      <c r="L123" s="15" t="n"/>
      <c r="M123" s="13" t="n"/>
      <c r="N123" s="12" t="n"/>
      <c r="O123" s="14" t="n"/>
      <c r="P123" s="13" t="n"/>
      <c r="Q123" s="14" t="n"/>
      <c r="R123" s="11">
        <f>IF(OR(B123="",D123="",S123="종결"),"",TODAY()-D123)</f>
        <v/>
      </c>
      <c r="S123" s="6">
        <f>IF(OR(B123="",I123=""),"",IFERROR(VLOOKUP(I123,설정!$C$5:$E$16,3,0),""))</f>
        <v/>
      </c>
    </row>
    <row r="124">
      <c r="A124" s="6">
        <f>IF(B124="","",ROW()-4)</f>
        <v/>
      </c>
      <c r="B124" s="12" t="n"/>
      <c r="C124" s="12" t="n"/>
      <c r="D124" s="13" t="n"/>
      <c r="E124" s="14" t="n"/>
      <c r="F124" s="12" t="n"/>
      <c r="G124" s="14" t="n"/>
      <c r="H124" s="12" t="n"/>
      <c r="I124" s="12" t="n"/>
      <c r="J124" s="6">
        <f>IF(OR(B124="",I124=""),"",IFERROR(VLOOKUP(I124,설정!$C$5:$E$16,2,0),""))</f>
        <v/>
      </c>
      <c r="K124" s="13" t="n"/>
      <c r="L124" s="15" t="n"/>
      <c r="M124" s="13" t="n"/>
      <c r="N124" s="12" t="n"/>
      <c r="O124" s="14" t="n"/>
      <c r="P124" s="13" t="n"/>
      <c r="Q124" s="14" t="n"/>
      <c r="R124" s="11">
        <f>IF(OR(B124="",D124="",S124="종결"),"",TODAY()-D124)</f>
        <v/>
      </c>
      <c r="S124" s="6">
        <f>IF(OR(B124="",I124=""),"",IFERROR(VLOOKUP(I124,설정!$C$5:$E$16,3,0),""))</f>
        <v/>
      </c>
    </row>
    <row r="125">
      <c r="A125" s="6">
        <f>IF(B125="","",ROW()-4)</f>
        <v/>
      </c>
      <c r="B125" s="12" t="n"/>
      <c r="C125" s="12" t="n"/>
      <c r="D125" s="13" t="n"/>
      <c r="E125" s="14" t="n"/>
      <c r="F125" s="12" t="n"/>
      <c r="G125" s="14" t="n"/>
      <c r="H125" s="12" t="n"/>
      <c r="I125" s="12" t="n"/>
      <c r="J125" s="6">
        <f>IF(OR(B125="",I125=""),"",IFERROR(VLOOKUP(I125,설정!$C$5:$E$16,2,0),""))</f>
        <v/>
      </c>
      <c r="K125" s="13" t="n"/>
      <c r="L125" s="15" t="n"/>
      <c r="M125" s="13" t="n"/>
      <c r="N125" s="12" t="n"/>
      <c r="O125" s="14" t="n"/>
      <c r="P125" s="13" t="n"/>
      <c r="Q125" s="14" t="n"/>
      <c r="R125" s="11">
        <f>IF(OR(B125="",D125="",S125="종결"),"",TODAY()-D125)</f>
        <v/>
      </c>
      <c r="S125" s="6">
        <f>IF(OR(B125="",I125=""),"",IFERROR(VLOOKUP(I125,설정!$C$5:$E$16,3,0),""))</f>
        <v/>
      </c>
    </row>
    <row r="126">
      <c r="A126" s="6">
        <f>IF(B126="","",ROW()-4)</f>
        <v/>
      </c>
      <c r="B126" s="12" t="n"/>
      <c r="C126" s="12" t="n"/>
      <c r="D126" s="13" t="n"/>
      <c r="E126" s="14" t="n"/>
      <c r="F126" s="12" t="n"/>
      <c r="G126" s="14" t="n"/>
      <c r="H126" s="12" t="n"/>
      <c r="I126" s="12" t="n"/>
      <c r="J126" s="6">
        <f>IF(OR(B126="",I126=""),"",IFERROR(VLOOKUP(I126,설정!$C$5:$E$16,2,0),""))</f>
        <v/>
      </c>
      <c r="K126" s="13" t="n"/>
      <c r="L126" s="15" t="n"/>
      <c r="M126" s="13" t="n"/>
      <c r="N126" s="12" t="n"/>
      <c r="O126" s="14" t="n"/>
      <c r="P126" s="13" t="n"/>
      <c r="Q126" s="14" t="n"/>
      <c r="R126" s="11">
        <f>IF(OR(B126="",D126="",S126="종결"),"",TODAY()-D126)</f>
        <v/>
      </c>
      <c r="S126" s="6">
        <f>IF(OR(B126="",I126=""),"",IFERROR(VLOOKUP(I126,설정!$C$5:$E$16,3,0),""))</f>
        <v/>
      </c>
    </row>
    <row r="127">
      <c r="A127" s="6">
        <f>IF(B127="","",ROW()-4)</f>
        <v/>
      </c>
      <c r="B127" s="12" t="n"/>
      <c r="C127" s="12" t="n"/>
      <c r="D127" s="13" t="n"/>
      <c r="E127" s="14" t="n"/>
      <c r="F127" s="12" t="n"/>
      <c r="G127" s="14" t="n"/>
      <c r="H127" s="12" t="n"/>
      <c r="I127" s="12" t="n"/>
      <c r="J127" s="6">
        <f>IF(OR(B127="",I127=""),"",IFERROR(VLOOKUP(I127,설정!$C$5:$E$16,2,0),""))</f>
        <v/>
      </c>
      <c r="K127" s="13" t="n"/>
      <c r="L127" s="15" t="n"/>
      <c r="M127" s="13" t="n"/>
      <c r="N127" s="12" t="n"/>
      <c r="O127" s="14" t="n"/>
      <c r="P127" s="13" t="n"/>
      <c r="Q127" s="14" t="n"/>
      <c r="R127" s="11">
        <f>IF(OR(B127="",D127="",S127="종결"),"",TODAY()-D127)</f>
        <v/>
      </c>
      <c r="S127" s="6">
        <f>IF(OR(B127="",I127=""),"",IFERROR(VLOOKUP(I127,설정!$C$5:$E$16,3,0),""))</f>
        <v/>
      </c>
    </row>
    <row r="128">
      <c r="A128" s="6">
        <f>IF(B128="","",ROW()-4)</f>
        <v/>
      </c>
      <c r="B128" s="12" t="n"/>
      <c r="C128" s="12" t="n"/>
      <c r="D128" s="13" t="n"/>
      <c r="E128" s="14" t="n"/>
      <c r="F128" s="12" t="n"/>
      <c r="G128" s="14" t="n"/>
      <c r="H128" s="12" t="n"/>
      <c r="I128" s="12" t="n"/>
      <c r="J128" s="6">
        <f>IF(OR(B128="",I128=""),"",IFERROR(VLOOKUP(I128,설정!$C$5:$E$16,2,0),""))</f>
        <v/>
      </c>
      <c r="K128" s="13" t="n"/>
      <c r="L128" s="15" t="n"/>
      <c r="M128" s="13" t="n"/>
      <c r="N128" s="12" t="n"/>
      <c r="O128" s="14" t="n"/>
      <c r="P128" s="13" t="n"/>
      <c r="Q128" s="14" t="n"/>
      <c r="R128" s="11">
        <f>IF(OR(B128="",D128="",S128="종결"),"",TODAY()-D128)</f>
        <v/>
      </c>
      <c r="S128" s="6">
        <f>IF(OR(B128="",I128=""),"",IFERROR(VLOOKUP(I128,설정!$C$5:$E$16,3,0),""))</f>
        <v/>
      </c>
    </row>
    <row r="129">
      <c r="A129" s="6">
        <f>IF(B129="","",ROW()-4)</f>
        <v/>
      </c>
      <c r="B129" s="12" t="n"/>
      <c r="C129" s="12" t="n"/>
      <c r="D129" s="13" t="n"/>
      <c r="E129" s="14" t="n"/>
      <c r="F129" s="12" t="n"/>
      <c r="G129" s="14" t="n"/>
      <c r="H129" s="12" t="n"/>
      <c r="I129" s="12" t="n"/>
      <c r="J129" s="6">
        <f>IF(OR(B129="",I129=""),"",IFERROR(VLOOKUP(I129,설정!$C$5:$E$16,2,0),""))</f>
        <v/>
      </c>
      <c r="K129" s="13" t="n"/>
      <c r="L129" s="15" t="n"/>
      <c r="M129" s="13" t="n"/>
      <c r="N129" s="12" t="n"/>
      <c r="O129" s="14" t="n"/>
      <c r="P129" s="13" t="n"/>
      <c r="Q129" s="14" t="n"/>
      <c r="R129" s="11">
        <f>IF(OR(B129="",D129="",S129="종결"),"",TODAY()-D129)</f>
        <v/>
      </c>
      <c r="S129" s="6">
        <f>IF(OR(B129="",I129=""),"",IFERROR(VLOOKUP(I129,설정!$C$5:$E$16,3,0),""))</f>
        <v/>
      </c>
    </row>
    <row r="130">
      <c r="A130" s="6">
        <f>IF(B130="","",ROW()-4)</f>
        <v/>
      </c>
      <c r="B130" s="12" t="n"/>
      <c r="C130" s="12" t="n"/>
      <c r="D130" s="13" t="n"/>
      <c r="E130" s="14" t="n"/>
      <c r="F130" s="12" t="n"/>
      <c r="G130" s="14" t="n"/>
      <c r="H130" s="12" t="n"/>
      <c r="I130" s="12" t="n"/>
      <c r="J130" s="6">
        <f>IF(OR(B130="",I130=""),"",IFERROR(VLOOKUP(I130,설정!$C$5:$E$16,2,0),""))</f>
        <v/>
      </c>
      <c r="K130" s="13" t="n"/>
      <c r="L130" s="15" t="n"/>
      <c r="M130" s="13" t="n"/>
      <c r="N130" s="12" t="n"/>
      <c r="O130" s="14" t="n"/>
      <c r="P130" s="13" t="n"/>
      <c r="Q130" s="14" t="n"/>
      <c r="R130" s="11">
        <f>IF(OR(B130="",D130="",S130="종결"),"",TODAY()-D130)</f>
        <v/>
      </c>
      <c r="S130" s="6">
        <f>IF(OR(B130="",I130=""),"",IFERROR(VLOOKUP(I130,설정!$C$5:$E$16,3,0),""))</f>
        <v/>
      </c>
    </row>
    <row r="131">
      <c r="A131" s="6">
        <f>IF(B131="","",ROW()-4)</f>
        <v/>
      </c>
      <c r="B131" s="12" t="n"/>
      <c r="C131" s="12" t="n"/>
      <c r="D131" s="13" t="n"/>
      <c r="E131" s="14" t="n"/>
      <c r="F131" s="12" t="n"/>
      <c r="G131" s="14" t="n"/>
      <c r="H131" s="12" t="n"/>
      <c r="I131" s="12" t="n"/>
      <c r="J131" s="6">
        <f>IF(OR(B131="",I131=""),"",IFERROR(VLOOKUP(I131,설정!$C$5:$E$16,2,0),""))</f>
        <v/>
      </c>
      <c r="K131" s="13" t="n"/>
      <c r="L131" s="15" t="n"/>
      <c r="M131" s="13" t="n"/>
      <c r="N131" s="12" t="n"/>
      <c r="O131" s="14" t="n"/>
      <c r="P131" s="13" t="n"/>
      <c r="Q131" s="14" t="n"/>
      <c r="R131" s="11">
        <f>IF(OR(B131="",D131="",S131="종결"),"",TODAY()-D131)</f>
        <v/>
      </c>
      <c r="S131" s="6">
        <f>IF(OR(B131="",I131=""),"",IFERROR(VLOOKUP(I131,설정!$C$5:$E$16,3,0),""))</f>
        <v/>
      </c>
    </row>
    <row r="132">
      <c r="A132" s="6">
        <f>IF(B132="","",ROW()-4)</f>
        <v/>
      </c>
      <c r="B132" s="12" t="n"/>
      <c r="C132" s="12" t="n"/>
      <c r="D132" s="13" t="n"/>
      <c r="E132" s="14" t="n"/>
      <c r="F132" s="12" t="n"/>
      <c r="G132" s="14" t="n"/>
      <c r="H132" s="12" t="n"/>
      <c r="I132" s="12" t="n"/>
      <c r="J132" s="6">
        <f>IF(OR(B132="",I132=""),"",IFERROR(VLOOKUP(I132,설정!$C$5:$E$16,2,0),""))</f>
        <v/>
      </c>
      <c r="K132" s="13" t="n"/>
      <c r="L132" s="15" t="n"/>
      <c r="M132" s="13" t="n"/>
      <c r="N132" s="12" t="n"/>
      <c r="O132" s="14" t="n"/>
      <c r="P132" s="13" t="n"/>
      <c r="Q132" s="14" t="n"/>
      <c r="R132" s="11">
        <f>IF(OR(B132="",D132="",S132="종결"),"",TODAY()-D132)</f>
        <v/>
      </c>
      <c r="S132" s="6">
        <f>IF(OR(B132="",I132=""),"",IFERROR(VLOOKUP(I132,설정!$C$5:$E$16,3,0),""))</f>
        <v/>
      </c>
    </row>
    <row r="133">
      <c r="A133" s="6">
        <f>IF(B133="","",ROW()-4)</f>
        <v/>
      </c>
      <c r="B133" s="12" t="n"/>
      <c r="C133" s="12" t="n"/>
      <c r="D133" s="13" t="n"/>
      <c r="E133" s="14" t="n"/>
      <c r="F133" s="12" t="n"/>
      <c r="G133" s="14" t="n"/>
      <c r="H133" s="12" t="n"/>
      <c r="I133" s="12" t="n"/>
      <c r="J133" s="6">
        <f>IF(OR(B133="",I133=""),"",IFERROR(VLOOKUP(I133,설정!$C$5:$E$16,2,0),""))</f>
        <v/>
      </c>
      <c r="K133" s="13" t="n"/>
      <c r="L133" s="15" t="n"/>
      <c r="M133" s="13" t="n"/>
      <c r="N133" s="12" t="n"/>
      <c r="O133" s="14" t="n"/>
      <c r="P133" s="13" t="n"/>
      <c r="Q133" s="14" t="n"/>
      <c r="R133" s="11">
        <f>IF(OR(B133="",D133="",S133="종결"),"",TODAY()-D133)</f>
        <v/>
      </c>
      <c r="S133" s="6">
        <f>IF(OR(B133="",I133=""),"",IFERROR(VLOOKUP(I133,설정!$C$5:$E$16,3,0),""))</f>
        <v/>
      </c>
    </row>
    <row r="134">
      <c r="A134" s="6">
        <f>IF(B134="","",ROW()-4)</f>
        <v/>
      </c>
      <c r="B134" s="12" t="n"/>
      <c r="C134" s="12" t="n"/>
      <c r="D134" s="13" t="n"/>
      <c r="E134" s="14" t="n"/>
      <c r="F134" s="12" t="n"/>
      <c r="G134" s="14" t="n"/>
      <c r="H134" s="12" t="n"/>
      <c r="I134" s="12" t="n"/>
      <c r="J134" s="6">
        <f>IF(OR(B134="",I134=""),"",IFERROR(VLOOKUP(I134,설정!$C$5:$E$16,2,0),""))</f>
        <v/>
      </c>
      <c r="K134" s="13" t="n"/>
      <c r="L134" s="15" t="n"/>
      <c r="M134" s="13" t="n"/>
      <c r="N134" s="12" t="n"/>
      <c r="O134" s="14" t="n"/>
      <c r="P134" s="13" t="n"/>
      <c r="Q134" s="14" t="n"/>
      <c r="R134" s="11">
        <f>IF(OR(B134="",D134="",S134="종결"),"",TODAY()-D134)</f>
        <v/>
      </c>
      <c r="S134" s="6">
        <f>IF(OR(B134="",I134=""),"",IFERROR(VLOOKUP(I134,설정!$C$5:$E$16,3,0),""))</f>
        <v/>
      </c>
    </row>
    <row r="135">
      <c r="A135" s="6">
        <f>IF(B135="","",ROW()-4)</f>
        <v/>
      </c>
      <c r="B135" s="12" t="n"/>
      <c r="C135" s="12" t="n"/>
      <c r="D135" s="13" t="n"/>
      <c r="E135" s="14" t="n"/>
      <c r="F135" s="12" t="n"/>
      <c r="G135" s="14" t="n"/>
      <c r="H135" s="12" t="n"/>
      <c r="I135" s="12" t="n"/>
      <c r="J135" s="6">
        <f>IF(OR(B135="",I135=""),"",IFERROR(VLOOKUP(I135,설정!$C$5:$E$16,2,0),""))</f>
        <v/>
      </c>
      <c r="K135" s="13" t="n"/>
      <c r="L135" s="15" t="n"/>
      <c r="M135" s="13" t="n"/>
      <c r="N135" s="12" t="n"/>
      <c r="O135" s="14" t="n"/>
      <c r="P135" s="13" t="n"/>
      <c r="Q135" s="14" t="n"/>
      <c r="R135" s="11">
        <f>IF(OR(B135="",D135="",S135="종결"),"",TODAY()-D135)</f>
        <v/>
      </c>
      <c r="S135" s="6">
        <f>IF(OR(B135="",I135=""),"",IFERROR(VLOOKUP(I135,설정!$C$5:$E$16,3,0),""))</f>
        <v/>
      </c>
    </row>
    <row r="136">
      <c r="A136" s="6">
        <f>IF(B136="","",ROW()-4)</f>
        <v/>
      </c>
      <c r="B136" s="12" t="n"/>
      <c r="C136" s="12" t="n"/>
      <c r="D136" s="13" t="n"/>
      <c r="E136" s="14" t="n"/>
      <c r="F136" s="12" t="n"/>
      <c r="G136" s="14" t="n"/>
      <c r="H136" s="12" t="n"/>
      <c r="I136" s="12" t="n"/>
      <c r="J136" s="6">
        <f>IF(OR(B136="",I136=""),"",IFERROR(VLOOKUP(I136,설정!$C$5:$E$16,2,0),""))</f>
        <v/>
      </c>
      <c r="K136" s="13" t="n"/>
      <c r="L136" s="15" t="n"/>
      <c r="M136" s="13" t="n"/>
      <c r="N136" s="12" t="n"/>
      <c r="O136" s="14" t="n"/>
      <c r="P136" s="13" t="n"/>
      <c r="Q136" s="14" t="n"/>
      <c r="R136" s="11">
        <f>IF(OR(B136="",D136="",S136="종결"),"",TODAY()-D136)</f>
        <v/>
      </c>
      <c r="S136" s="6">
        <f>IF(OR(B136="",I136=""),"",IFERROR(VLOOKUP(I136,설정!$C$5:$E$16,3,0),""))</f>
        <v/>
      </c>
    </row>
    <row r="137">
      <c r="A137" s="6">
        <f>IF(B137="","",ROW()-4)</f>
        <v/>
      </c>
      <c r="B137" s="12" t="n"/>
      <c r="C137" s="12" t="n"/>
      <c r="D137" s="13" t="n"/>
      <c r="E137" s="14" t="n"/>
      <c r="F137" s="12" t="n"/>
      <c r="G137" s="14" t="n"/>
      <c r="H137" s="12" t="n"/>
      <c r="I137" s="12" t="n"/>
      <c r="J137" s="6">
        <f>IF(OR(B137="",I137=""),"",IFERROR(VLOOKUP(I137,설정!$C$5:$E$16,2,0),""))</f>
        <v/>
      </c>
      <c r="K137" s="13" t="n"/>
      <c r="L137" s="15" t="n"/>
      <c r="M137" s="13" t="n"/>
      <c r="N137" s="12" t="n"/>
      <c r="O137" s="14" t="n"/>
      <c r="P137" s="13" t="n"/>
      <c r="Q137" s="14" t="n"/>
      <c r="R137" s="11">
        <f>IF(OR(B137="",D137="",S137="종결"),"",TODAY()-D137)</f>
        <v/>
      </c>
      <c r="S137" s="6">
        <f>IF(OR(B137="",I137=""),"",IFERROR(VLOOKUP(I137,설정!$C$5:$E$16,3,0),""))</f>
        <v/>
      </c>
    </row>
    <row r="138">
      <c r="A138" s="6">
        <f>IF(B138="","",ROW()-4)</f>
        <v/>
      </c>
      <c r="B138" s="12" t="n"/>
      <c r="C138" s="12" t="n"/>
      <c r="D138" s="13" t="n"/>
      <c r="E138" s="14" t="n"/>
      <c r="F138" s="12" t="n"/>
      <c r="G138" s="14" t="n"/>
      <c r="H138" s="12" t="n"/>
      <c r="I138" s="12" t="n"/>
      <c r="J138" s="6">
        <f>IF(OR(B138="",I138=""),"",IFERROR(VLOOKUP(I138,설정!$C$5:$E$16,2,0),""))</f>
        <v/>
      </c>
      <c r="K138" s="13" t="n"/>
      <c r="L138" s="15" t="n"/>
      <c r="M138" s="13" t="n"/>
      <c r="N138" s="12" t="n"/>
      <c r="O138" s="14" t="n"/>
      <c r="P138" s="13" t="n"/>
      <c r="Q138" s="14" t="n"/>
      <c r="R138" s="11">
        <f>IF(OR(B138="",D138="",S138="종결"),"",TODAY()-D138)</f>
        <v/>
      </c>
      <c r="S138" s="6">
        <f>IF(OR(B138="",I138=""),"",IFERROR(VLOOKUP(I138,설정!$C$5:$E$16,3,0),""))</f>
        <v/>
      </c>
    </row>
    <row r="139">
      <c r="A139" s="6">
        <f>IF(B139="","",ROW()-4)</f>
        <v/>
      </c>
      <c r="B139" s="12" t="n"/>
      <c r="C139" s="12" t="n"/>
      <c r="D139" s="13" t="n"/>
      <c r="E139" s="14" t="n"/>
      <c r="F139" s="12" t="n"/>
      <c r="G139" s="14" t="n"/>
      <c r="H139" s="12" t="n"/>
      <c r="I139" s="12" t="n"/>
      <c r="J139" s="6">
        <f>IF(OR(B139="",I139=""),"",IFERROR(VLOOKUP(I139,설정!$C$5:$E$16,2,0),""))</f>
        <v/>
      </c>
      <c r="K139" s="13" t="n"/>
      <c r="L139" s="15" t="n"/>
      <c r="M139" s="13" t="n"/>
      <c r="N139" s="12" t="n"/>
      <c r="O139" s="14" t="n"/>
      <c r="P139" s="13" t="n"/>
      <c r="Q139" s="14" t="n"/>
      <c r="R139" s="11">
        <f>IF(OR(B139="",D139="",S139="종결"),"",TODAY()-D139)</f>
        <v/>
      </c>
      <c r="S139" s="6">
        <f>IF(OR(B139="",I139=""),"",IFERROR(VLOOKUP(I139,설정!$C$5:$E$16,3,0),""))</f>
        <v/>
      </c>
    </row>
    <row r="140">
      <c r="A140" s="6">
        <f>IF(B140="","",ROW()-4)</f>
        <v/>
      </c>
      <c r="B140" s="12" t="n"/>
      <c r="C140" s="12" t="n"/>
      <c r="D140" s="13" t="n"/>
      <c r="E140" s="14" t="n"/>
      <c r="F140" s="12" t="n"/>
      <c r="G140" s="14" t="n"/>
      <c r="H140" s="12" t="n"/>
      <c r="I140" s="12" t="n"/>
      <c r="J140" s="6">
        <f>IF(OR(B140="",I140=""),"",IFERROR(VLOOKUP(I140,설정!$C$5:$E$16,2,0),""))</f>
        <v/>
      </c>
      <c r="K140" s="13" t="n"/>
      <c r="L140" s="15" t="n"/>
      <c r="M140" s="13" t="n"/>
      <c r="N140" s="12" t="n"/>
      <c r="O140" s="14" t="n"/>
      <c r="P140" s="13" t="n"/>
      <c r="Q140" s="14" t="n"/>
      <c r="R140" s="11">
        <f>IF(OR(B140="",D140="",S140="종결"),"",TODAY()-D140)</f>
        <v/>
      </c>
      <c r="S140" s="6">
        <f>IF(OR(B140="",I140=""),"",IFERROR(VLOOKUP(I140,설정!$C$5:$E$16,3,0),""))</f>
        <v/>
      </c>
    </row>
    <row r="141">
      <c r="A141" s="6">
        <f>IF(B141="","",ROW()-4)</f>
        <v/>
      </c>
      <c r="B141" s="12" t="n"/>
      <c r="C141" s="12" t="n"/>
      <c r="D141" s="13" t="n"/>
      <c r="E141" s="14" t="n"/>
      <c r="F141" s="12" t="n"/>
      <c r="G141" s="14" t="n"/>
      <c r="H141" s="12" t="n"/>
      <c r="I141" s="12" t="n"/>
      <c r="J141" s="6">
        <f>IF(OR(B141="",I141=""),"",IFERROR(VLOOKUP(I141,설정!$C$5:$E$16,2,0),""))</f>
        <v/>
      </c>
      <c r="K141" s="13" t="n"/>
      <c r="L141" s="15" t="n"/>
      <c r="M141" s="13" t="n"/>
      <c r="N141" s="12" t="n"/>
      <c r="O141" s="14" t="n"/>
      <c r="P141" s="13" t="n"/>
      <c r="Q141" s="14" t="n"/>
      <c r="R141" s="11">
        <f>IF(OR(B141="",D141="",S141="종결"),"",TODAY()-D141)</f>
        <v/>
      </c>
      <c r="S141" s="6">
        <f>IF(OR(B141="",I141=""),"",IFERROR(VLOOKUP(I141,설정!$C$5:$E$16,3,0),""))</f>
        <v/>
      </c>
    </row>
    <row r="142">
      <c r="A142" s="6">
        <f>IF(B142="","",ROW()-4)</f>
        <v/>
      </c>
      <c r="B142" s="12" t="n"/>
      <c r="C142" s="12" t="n"/>
      <c r="D142" s="13" t="n"/>
      <c r="E142" s="14" t="n"/>
      <c r="F142" s="12" t="n"/>
      <c r="G142" s="14" t="n"/>
      <c r="H142" s="12" t="n"/>
      <c r="I142" s="12" t="n"/>
      <c r="J142" s="6">
        <f>IF(OR(B142="",I142=""),"",IFERROR(VLOOKUP(I142,설정!$C$5:$E$16,2,0),""))</f>
        <v/>
      </c>
      <c r="K142" s="13" t="n"/>
      <c r="L142" s="15" t="n"/>
      <c r="M142" s="13" t="n"/>
      <c r="N142" s="12" t="n"/>
      <c r="O142" s="14" t="n"/>
      <c r="P142" s="13" t="n"/>
      <c r="Q142" s="14" t="n"/>
      <c r="R142" s="11">
        <f>IF(OR(B142="",D142="",S142="종결"),"",TODAY()-D142)</f>
        <v/>
      </c>
      <c r="S142" s="6">
        <f>IF(OR(B142="",I142=""),"",IFERROR(VLOOKUP(I142,설정!$C$5:$E$16,3,0),""))</f>
        <v/>
      </c>
    </row>
    <row r="143">
      <c r="A143" s="6">
        <f>IF(B143="","",ROW()-4)</f>
        <v/>
      </c>
      <c r="B143" s="12" t="n"/>
      <c r="C143" s="12" t="n"/>
      <c r="D143" s="13" t="n"/>
      <c r="E143" s="14" t="n"/>
      <c r="F143" s="12" t="n"/>
      <c r="G143" s="14" t="n"/>
      <c r="H143" s="12" t="n"/>
      <c r="I143" s="12" t="n"/>
      <c r="J143" s="6">
        <f>IF(OR(B143="",I143=""),"",IFERROR(VLOOKUP(I143,설정!$C$5:$E$16,2,0),""))</f>
        <v/>
      </c>
      <c r="K143" s="13" t="n"/>
      <c r="L143" s="15" t="n"/>
      <c r="M143" s="13" t="n"/>
      <c r="N143" s="12" t="n"/>
      <c r="O143" s="14" t="n"/>
      <c r="P143" s="13" t="n"/>
      <c r="Q143" s="14" t="n"/>
      <c r="R143" s="11">
        <f>IF(OR(B143="",D143="",S143="종결"),"",TODAY()-D143)</f>
        <v/>
      </c>
      <c r="S143" s="6">
        <f>IF(OR(B143="",I143=""),"",IFERROR(VLOOKUP(I143,설정!$C$5:$E$16,3,0),""))</f>
        <v/>
      </c>
    </row>
    <row r="144">
      <c r="A144" s="6">
        <f>IF(B144="","",ROW()-4)</f>
        <v/>
      </c>
      <c r="B144" s="12" t="n"/>
      <c r="C144" s="12" t="n"/>
      <c r="D144" s="13" t="n"/>
      <c r="E144" s="14" t="n"/>
      <c r="F144" s="12" t="n"/>
      <c r="G144" s="14" t="n"/>
      <c r="H144" s="12" t="n"/>
      <c r="I144" s="12" t="n"/>
      <c r="J144" s="6">
        <f>IF(OR(B144="",I144=""),"",IFERROR(VLOOKUP(I144,설정!$C$5:$E$16,2,0),""))</f>
        <v/>
      </c>
      <c r="K144" s="13" t="n"/>
      <c r="L144" s="15" t="n"/>
      <c r="M144" s="13" t="n"/>
      <c r="N144" s="12" t="n"/>
      <c r="O144" s="14" t="n"/>
      <c r="P144" s="13" t="n"/>
      <c r="Q144" s="14" t="n"/>
      <c r="R144" s="11">
        <f>IF(OR(B144="",D144="",S144="종결"),"",TODAY()-D144)</f>
        <v/>
      </c>
      <c r="S144" s="6">
        <f>IF(OR(B144="",I144=""),"",IFERROR(VLOOKUP(I144,설정!$C$5:$E$16,3,0),""))</f>
        <v/>
      </c>
    </row>
    <row r="145">
      <c r="A145" s="6">
        <f>IF(B145="","",ROW()-4)</f>
        <v/>
      </c>
      <c r="B145" s="12" t="n"/>
      <c r="C145" s="12" t="n"/>
      <c r="D145" s="13" t="n"/>
      <c r="E145" s="14" t="n"/>
      <c r="F145" s="12" t="n"/>
      <c r="G145" s="14" t="n"/>
      <c r="H145" s="12" t="n"/>
      <c r="I145" s="12" t="n"/>
      <c r="J145" s="6">
        <f>IF(OR(B145="",I145=""),"",IFERROR(VLOOKUP(I145,설정!$C$5:$E$16,2,0),""))</f>
        <v/>
      </c>
      <c r="K145" s="13" t="n"/>
      <c r="L145" s="15" t="n"/>
      <c r="M145" s="13" t="n"/>
      <c r="N145" s="12" t="n"/>
      <c r="O145" s="14" t="n"/>
      <c r="P145" s="13" t="n"/>
      <c r="Q145" s="14" t="n"/>
      <c r="R145" s="11">
        <f>IF(OR(B145="",D145="",S145="종결"),"",TODAY()-D145)</f>
        <v/>
      </c>
      <c r="S145" s="6">
        <f>IF(OR(B145="",I145=""),"",IFERROR(VLOOKUP(I145,설정!$C$5:$E$16,3,0),""))</f>
        <v/>
      </c>
    </row>
    <row r="146">
      <c r="A146" s="6">
        <f>IF(B146="","",ROW()-4)</f>
        <v/>
      </c>
      <c r="B146" s="12" t="n"/>
      <c r="C146" s="12" t="n"/>
      <c r="D146" s="13" t="n"/>
      <c r="E146" s="14" t="n"/>
      <c r="F146" s="12" t="n"/>
      <c r="G146" s="14" t="n"/>
      <c r="H146" s="12" t="n"/>
      <c r="I146" s="12" t="n"/>
      <c r="J146" s="6">
        <f>IF(OR(B146="",I146=""),"",IFERROR(VLOOKUP(I146,설정!$C$5:$E$16,2,0),""))</f>
        <v/>
      </c>
      <c r="K146" s="13" t="n"/>
      <c r="L146" s="15" t="n"/>
      <c r="M146" s="13" t="n"/>
      <c r="N146" s="12" t="n"/>
      <c r="O146" s="14" t="n"/>
      <c r="P146" s="13" t="n"/>
      <c r="Q146" s="14" t="n"/>
      <c r="R146" s="11">
        <f>IF(OR(B146="",D146="",S146="종결"),"",TODAY()-D146)</f>
        <v/>
      </c>
      <c r="S146" s="6">
        <f>IF(OR(B146="",I146=""),"",IFERROR(VLOOKUP(I146,설정!$C$5:$E$16,3,0),""))</f>
        <v/>
      </c>
    </row>
    <row r="147">
      <c r="A147" s="6">
        <f>IF(B147="","",ROW()-4)</f>
        <v/>
      </c>
      <c r="B147" s="12" t="n"/>
      <c r="C147" s="12" t="n"/>
      <c r="D147" s="13" t="n"/>
      <c r="E147" s="14" t="n"/>
      <c r="F147" s="12" t="n"/>
      <c r="G147" s="14" t="n"/>
      <c r="H147" s="12" t="n"/>
      <c r="I147" s="12" t="n"/>
      <c r="J147" s="6">
        <f>IF(OR(B147="",I147=""),"",IFERROR(VLOOKUP(I147,설정!$C$5:$E$16,2,0),""))</f>
        <v/>
      </c>
      <c r="K147" s="13" t="n"/>
      <c r="L147" s="15" t="n"/>
      <c r="M147" s="13" t="n"/>
      <c r="N147" s="12" t="n"/>
      <c r="O147" s="14" t="n"/>
      <c r="P147" s="13" t="n"/>
      <c r="Q147" s="14" t="n"/>
      <c r="R147" s="11">
        <f>IF(OR(B147="",D147="",S147="종결"),"",TODAY()-D147)</f>
        <v/>
      </c>
      <c r="S147" s="6">
        <f>IF(OR(B147="",I147=""),"",IFERROR(VLOOKUP(I147,설정!$C$5:$E$16,3,0),""))</f>
        <v/>
      </c>
    </row>
    <row r="148">
      <c r="A148" s="6">
        <f>IF(B148="","",ROW()-4)</f>
        <v/>
      </c>
      <c r="B148" s="12" t="n"/>
      <c r="C148" s="12" t="n"/>
      <c r="D148" s="13" t="n"/>
      <c r="E148" s="14" t="n"/>
      <c r="F148" s="12" t="n"/>
      <c r="G148" s="14" t="n"/>
      <c r="H148" s="12" t="n"/>
      <c r="I148" s="12" t="n"/>
      <c r="J148" s="6">
        <f>IF(OR(B148="",I148=""),"",IFERROR(VLOOKUP(I148,설정!$C$5:$E$16,2,0),""))</f>
        <v/>
      </c>
      <c r="K148" s="13" t="n"/>
      <c r="L148" s="15" t="n"/>
      <c r="M148" s="13" t="n"/>
      <c r="N148" s="12" t="n"/>
      <c r="O148" s="14" t="n"/>
      <c r="P148" s="13" t="n"/>
      <c r="Q148" s="14" t="n"/>
      <c r="R148" s="11">
        <f>IF(OR(B148="",D148="",S148="종결"),"",TODAY()-D148)</f>
        <v/>
      </c>
      <c r="S148" s="6">
        <f>IF(OR(B148="",I148=""),"",IFERROR(VLOOKUP(I148,설정!$C$5:$E$16,3,0),""))</f>
        <v/>
      </c>
    </row>
    <row r="149">
      <c r="A149" s="6">
        <f>IF(B149="","",ROW()-4)</f>
        <v/>
      </c>
      <c r="B149" s="12" t="n"/>
      <c r="C149" s="12" t="n"/>
      <c r="D149" s="13" t="n"/>
      <c r="E149" s="14" t="n"/>
      <c r="F149" s="12" t="n"/>
      <c r="G149" s="14" t="n"/>
      <c r="H149" s="12" t="n"/>
      <c r="I149" s="12" t="n"/>
      <c r="J149" s="6">
        <f>IF(OR(B149="",I149=""),"",IFERROR(VLOOKUP(I149,설정!$C$5:$E$16,2,0),""))</f>
        <v/>
      </c>
      <c r="K149" s="13" t="n"/>
      <c r="L149" s="15" t="n"/>
      <c r="M149" s="13" t="n"/>
      <c r="N149" s="12" t="n"/>
      <c r="O149" s="14" t="n"/>
      <c r="P149" s="13" t="n"/>
      <c r="Q149" s="14" t="n"/>
      <c r="R149" s="11">
        <f>IF(OR(B149="",D149="",S149="종결"),"",TODAY()-D149)</f>
        <v/>
      </c>
      <c r="S149" s="6">
        <f>IF(OR(B149="",I149=""),"",IFERROR(VLOOKUP(I149,설정!$C$5:$E$16,3,0),""))</f>
        <v/>
      </c>
    </row>
    <row r="150">
      <c r="A150" s="6">
        <f>IF(B150="","",ROW()-4)</f>
        <v/>
      </c>
      <c r="B150" s="12" t="n"/>
      <c r="C150" s="12" t="n"/>
      <c r="D150" s="13" t="n"/>
      <c r="E150" s="14" t="n"/>
      <c r="F150" s="12" t="n"/>
      <c r="G150" s="14" t="n"/>
      <c r="H150" s="12" t="n"/>
      <c r="I150" s="12" t="n"/>
      <c r="J150" s="6">
        <f>IF(OR(B150="",I150=""),"",IFERROR(VLOOKUP(I150,설정!$C$5:$E$16,2,0),""))</f>
        <v/>
      </c>
      <c r="K150" s="13" t="n"/>
      <c r="L150" s="15" t="n"/>
      <c r="M150" s="13" t="n"/>
      <c r="N150" s="12" t="n"/>
      <c r="O150" s="14" t="n"/>
      <c r="P150" s="13" t="n"/>
      <c r="Q150" s="14" t="n"/>
      <c r="R150" s="11">
        <f>IF(OR(B150="",D150="",S150="종결"),"",TODAY()-D150)</f>
        <v/>
      </c>
      <c r="S150" s="6">
        <f>IF(OR(B150="",I150=""),"",IFERROR(VLOOKUP(I150,설정!$C$5:$E$16,3,0),""))</f>
        <v/>
      </c>
    </row>
    <row r="151">
      <c r="A151" s="6">
        <f>IF(B151="","",ROW()-4)</f>
        <v/>
      </c>
      <c r="B151" s="12" t="n"/>
      <c r="C151" s="12" t="n"/>
      <c r="D151" s="13" t="n"/>
      <c r="E151" s="14" t="n"/>
      <c r="F151" s="12" t="n"/>
      <c r="G151" s="14" t="n"/>
      <c r="H151" s="12" t="n"/>
      <c r="I151" s="12" t="n"/>
      <c r="J151" s="6">
        <f>IF(OR(B151="",I151=""),"",IFERROR(VLOOKUP(I151,설정!$C$5:$E$16,2,0),""))</f>
        <v/>
      </c>
      <c r="K151" s="13" t="n"/>
      <c r="L151" s="15" t="n"/>
      <c r="M151" s="13" t="n"/>
      <c r="N151" s="12" t="n"/>
      <c r="O151" s="14" t="n"/>
      <c r="P151" s="13" t="n"/>
      <c r="Q151" s="14" t="n"/>
      <c r="R151" s="11">
        <f>IF(OR(B151="",D151="",S151="종결"),"",TODAY()-D151)</f>
        <v/>
      </c>
      <c r="S151" s="6">
        <f>IF(OR(B151="",I151=""),"",IFERROR(VLOOKUP(I151,설정!$C$5:$E$16,3,0),""))</f>
        <v/>
      </c>
    </row>
    <row r="152">
      <c r="A152" s="6">
        <f>IF(B152="","",ROW()-4)</f>
        <v/>
      </c>
      <c r="B152" s="12" t="n"/>
      <c r="C152" s="12" t="n"/>
      <c r="D152" s="13" t="n"/>
      <c r="E152" s="14" t="n"/>
      <c r="F152" s="12" t="n"/>
      <c r="G152" s="14" t="n"/>
      <c r="H152" s="12" t="n"/>
      <c r="I152" s="12" t="n"/>
      <c r="J152" s="6">
        <f>IF(OR(B152="",I152=""),"",IFERROR(VLOOKUP(I152,설정!$C$5:$E$16,2,0),""))</f>
        <v/>
      </c>
      <c r="K152" s="13" t="n"/>
      <c r="L152" s="15" t="n"/>
      <c r="M152" s="13" t="n"/>
      <c r="N152" s="12" t="n"/>
      <c r="O152" s="14" t="n"/>
      <c r="P152" s="13" t="n"/>
      <c r="Q152" s="14" t="n"/>
      <c r="R152" s="11">
        <f>IF(OR(B152="",D152="",S152="종결"),"",TODAY()-D152)</f>
        <v/>
      </c>
      <c r="S152" s="6">
        <f>IF(OR(B152="",I152=""),"",IFERROR(VLOOKUP(I152,설정!$C$5:$E$16,3,0),""))</f>
        <v/>
      </c>
    </row>
    <row r="153">
      <c r="A153" s="6">
        <f>IF(B153="","",ROW()-4)</f>
        <v/>
      </c>
      <c r="B153" s="12" t="n"/>
      <c r="C153" s="12" t="n"/>
      <c r="D153" s="13" t="n"/>
      <c r="E153" s="14" t="n"/>
      <c r="F153" s="12" t="n"/>
      <c r="G153" s="14" t="n"/>
      <c r="H153" s="12" t="n"/>
      <c r="I153" s="12" t="n"/>
      <c r="J153" s="6">
        <f>IF(OR(B153="",I153=""),"",IFERROR(VLOOKUP(I153,설정!$C$5:$E$16,2,0),""))</f>
        <v/>
      </c>
      <c r="K153" s="13" t="n"/>
      <c r="L153" s="15" t="n"/>
      <c r="M153" s="13" t="n"/>
      <c r="N153" s="12" t="n"/>
      <c r="O153" s="14" t="n"/>
      <c r="P153" s="13" t="n"/>
      <c r="Q153" s="14" t="n"/>
      <c r="R153" s="11">
        <f>IF(OR(B153="",D153="",S153="종결"),"",TODAY()-D153)</f>
        <v/>
      </c>
      <c r="S153" s="6">
        <f>IF(OR(B153="",I153=""),"",IFERROR(VLOOKUP(I153,설정!$C$5:$E$16,3,0),""))</f>
        <v/>
      </c>
    </row>
    <row r="154">
      <c r="A154" s="6">
        <f>IF(B154="","",ROW()-4)</f>
        <v/>
      </c>
      <c r="B154" s="12" t="n"/>
      <c r="C154" s="12" t="n"/>
      <c r="D154" s="13" t="n"/>
      <c r="E154" s="14" t="n"/>
      <c r="F154" s="12" t="n"/>
      <c r="G154" s="14" t="n"/>
      <c r="H154" s="12" t="n"/>
      <c r="I154" s="12" t="n"/>
      <c r="J154" s="6">
        <f>IF(OR(B154="",I154=""),"",IFERROR(VLOOKUP(I154,설정!$C$5:$E$16,2,0),""))</f>
        <v/>
      </c>
      <c r="K154" s="13" t="n"/>
      <c r="L154" s="15" t="n"/>
      <c r="M154" s="13" t="n"/>
      <c r="N154" s="12" t="n"/>
      <c r="O154" s="14" t="n"/>
      <c r="P154" s="13" t="n"/>
      <c r="Q154" s="14" t="n"/>
      <c r="R154" s="11">
        <f>IF(OR(B154="",D154="",S154="종결"),"",TODAY()-D154)</f>
        <v/>
      </c>
      <c r="S154" s="6">
        <f>IF(OR(B154="",I154=""),"",IFERROR(VLOOKUP(I154,설정!$C$5:$E$16,3,0),""))</f>
        <v/>
      </c>
    </row>
    <row r="155">
      <c r="A155" s="6">
        <f>IF(B155="","",ROW()-4)</f>
        <v/>
      </c>
      <c r="B155" s="12" t="n"/>
      <c r="C155" s="12" t="n"/>
      <c r="D155" s="13" t="n"/>
      <c r="E155" s="14" t="n"/>
      <c r="F155" s="12" t="n"/>
      <c r="G155" s="14" t="n"/>
      <c r="H155" s="12" t="n"/>
      <c r="I155" s="12" t="n"/>
      <c r="J155" s="6">
        <f>IF(OR(B155="",I155=""),"",IFERROR(VLOOKUP(I155,설정!$C$5:$E$16,2,0),""))</f>
        <v/>
      </c>
      <c r="K155" s="13" t="n"/>
      <c r="L155" s="15" t="n"/>
      <c r="M155" s="13" t="n"/>
      <c r="N155" s="12" t="n"/>
      <c r="O155" s="14" t="n"/>
      <c r="P155" s="13" t="n"/>
      <c r="Q155" s="14" t="n"/>
      <c r="R155" s="11">
        <f>IF(OR(B155="",D155="",S155="종결"),"",TODAY()-D155)</f>
        <v/>
      </c>
      <c r="S155" s="6">
        <f>IF(OR(B155="",I155=""),"",IFERROR(VLOOKUP(I155,설정!$C$5:$E$16,3,0),""))</f>
        <v/>
      </c>
    </row>
    <row r="156">
      <c r="A156" s="6">
        <f>IF(B156="","",ROW()-4)</f>
        <v/>
      </c>
      <c r="B156" s="12" t="n"/>
      <c r="C156" s="12" t="n"/>
      <c r="D156" s="13" t="n"/>
      <c r="E156" s="14" t="n"/>
      <c r="F156" s="12" t="n"/>
      <c r="G156" s="14" t="n"/>
      <c r="H156" s="12" t="n"/>
      <c r="I156" s="12" t="n"/>
      <c r="J156" s="6">
        <f>IF(OR(B156="",I156=""),"",IFERROR(VLOOKUP(I156,설정!$C$5:$E$16,2,0),""))</f>
        <v/>
      </c>
      <c r="K156" s="13" t="n"/>
      <c r="L156" s="15" t="n"/>
      <c r="M156" s="13" t="n"/>
      <c r="N156" s="12" t="n"/>
      <c r="O156" s="14" t="n"/>
      <c r="P156" s="13" t="n"/>
      <c r="Q156" s="14" t="n"/>
      <c r="R156" s="11">
        <f>IF(OR(B156="",D156="",S156="종결"),"",TODAY()-D156)</f>
        <v/>
      </c>
      <c r="S156" s="6">
        <f>IF(OR(B156="",I156=""),"",IFERROR(VLOOKUP(I156,설정!$C$5:$E$16,3,0),""))</f>
        <v/>
      </c>
    </row>
    <row r="157">
      <c r="A157" s="6">
        <f>IF(B157="","",ROW()-4)</f>
        <v/>
      </c>
      <c r="B157" s="12" t="n"/>
      <c r="C157" s="12" t="n"/>
      <c r="D157" s="13" t="n"/>
      <c r="E157" s="14" t="n"/>
      <c r="F157" s="12" t="n"/>
      <c r="G157" s="14" t="n"/>
      <c r="H157" s="12" t="n"/>
      <c r="I157" s="12" t="n"/>
      <c r="J157" s="6">
        <f>IF(OR(B157="",I157=""),"",IFERROR(VLOOKUP(I157,설정!$C$5:$E$16,2,0),""))</f>
        <v/>
      </c>
      <c r="K157" s="13" t="n"/>
      <c r="L157" s="15" t="n"/>
      <c r="M157" s="13" t="n"/>
      <c r="N157" s="12" t="n"/>
      <c r="O157" s="14" t="n"/>
      <c r="P157" s="13" t="n"/>
      <c r="Q157" s="14" t="n"/>
      <c r="R157" s="11">
        <f>IF(OR(B157="",D157="",S157="종결"),"",TODAY()-D157)</f>
        <v/>
      </c>
      <c r="S157" s="6">
        <f>IF(OR(B157="",I157=""),"",IFERROR(VLOOKUP(I157,설정!$C$5:$E$16,3,0),""))</f>
        <v/>
      </c>
    </row>
    <row r="158">
      <c r="A158" s="6">
        <f>IF(B158="","",ROW()-4)</f>
        <v/>
      </c>
      <c r="B158" s="12" t="n"/>
      <c r="C158" s="12" t="n"/>
      <c r="D158" s="13" t="n"/>
      <c r="E158" s="14" t="n"/>
      <c r="F158" s="12" t="n"/>
      <c r="G158" s="14" t="n"/>
      <c r="H158" s="12" t="n"/>
      <c r="I158" s="12" t="n"/>
      <c r="J158" s="6">
        <f>IF(OR(B158="",I158=""),"",IFERROR(VLOOKUP(I158,설정!$C$5:$E$16,2,0),""))</f>
        <v/>
      </c>
      <c r="K158" s="13" t="n"/>
      <c r="L158" s="15" t="n"/>
      <c r="M158" s="13" t="n"/>
      <c r="N158" s="12" t="n"/>
      <c r="O158" s="14" t="n"/>
      <c r="P158" s="13" t="n"/>
      <c r="Q158" s="14" t="n"/>
      <c r="R158" s="11">
        <f>IF(OR(B158="",D158="",S158="종결"),"",TODAY()-D158)</f>
        <v/>
      </c>
      <c r="S158" s="6">
        <f>IF(OR(B158="",I158=""),"",IFERROR(VLOOKUP(I158,설정!$C$5:$E$16,3,0),""))</f>
        <v/>
      </c>
    </row>
    <row r="159">
      <c r="A159" s="6">
        <f>IF(B159="","",ROW()-4)</f>
        <v/>
      </c>
      <c r="B159" s="12" t="n"/>
      <c r="C159" s="12" t="n"/>
      <c r="D159" s="13" t="n"/>
      <c r="E159" s="14" t="n"/>
      <c r="F159" s="12" t="n"/>
      <c r="G159" s="14" t="n"/>
      <c r="H159" s="12" t="n"/>
      <c r="I159" s="12" t="n"/>
      <c r="J159" s="6">
        <f>IF(OR(B159="",I159=""),"",IFERROR(VLOOKUP(I159,설정!$C$5:$E$16,2,0),""))</f>
        <v/>
      </c>
      <c r="K159" s="13" t="n"/>
      <c r="L159" s="15" t="n"/>
      <c r="M159" s="13" t="n"/>
      <c r="N159" s="12" t="n"/>
      <c r="O159" s="14" t="n"/>
      <c r="P159" s="13" t="n"/>
      <c r="Q159" s="14" t="n"/>
      <c r="R159" s="11">
        <f>IF(OR(B159="",D159="",S159="종결"),"",TODAY()-D159)</f>
        <v/>
      </c>
      <c r="S159" s="6">
        <f>IF(OR(B159="",I159=""),"",IFERROR(VLOOKUP(I159,설정!$C$5:$E$16,3,0),""))</f>
        <v/>
      </c>
    </row>
    <row r="160">
      <c r="A160" s="6">
        <f>IF(B160="","",ROW()-4)</f>
        <v/>
      </c>
      <c r="B160" s="12" t="n"/>
      <c r="C160" s="12" t="n"/>
      <c r="D160" s="13" t="n"/>
      <c r="E160" s="14" t="n"/>
      <c r="F160" s="12" t="n"/>
      <c r="G160" s="14" t="n"/>
      <c r="H160" s="12" t="n"/>
      <c r="I160" s="12" t="n"/>
      <c r="J160" s="6">
        <f>IF(OR(B160="",I160=""),"",IFERROR(VLOOKUP(I160,설정!$C$5:$E$16,2,0),""))</f>
        <v/>
      </c>
      <c r="K160" s="13" t="n"/>
      <c r="L160" s="15" t="n"/>
      <c r="M160" s="13" t="n"/>
      <c r="N160" s="12" t="n"/>
      <c r="O160" s="14" t="n"/>
      <c r="P160" s="13" t="n"/>
      <c r="Q160" s="14" t="n"/>
      <c r="R160" s="11">
        <f>IF(OR(B160="",D160="",S160="종결"),"",TODAY()-D160)</f>
        <v/>
      </c>
      <c r="S160" s="6">
        <f>IF(OR(B160="",I160=""),"",IFERROR(VLOOKUP(I160,설정!$C$5:$E$16,3,0),""))</f>
        <v/>
      </c>
    </row>
    <row r="161">
      <c r="A161" s="6">
        <f>IF(B161="","",ROW()-4)</f>
        <v/>
      </c>
      <c r="B161" s="12" t="n"/>
      <c r="C161" s="12" t="n"/>
      <c r="D161" s="13" t="n"/>
      <c r="E161" s="14" t="n"/>
      <c r="F161" s="12" t="n"/>
      <c r="G161" s="14" t="n"/>
      <c r="H161" s="12" t="n"/>
      <c r="I161" s="12" t="n"/>
      <c r="J161" s="6">
        <f>IF(OR(B161="",I161=""),"",IFERROR(VLOOKUP(I161,설정!$C$5:$E$16,2,0),""))</f>
        <v/>
      </c>
      <c r="K161" s="13" t="n"/>
      <c r="L161" s="15" t="n"/>
      <c r="M161" s="13" t="n"/>
      <c r="N161" s="12" t="n"/>
      <c r="O161" s="14" t="n"/>
      <c r="P161" s="13" t="n"/>
      <c r="Q161" s="14" t="n"/>
      <c r="R161" s="11">
        <f>IF(OR(B161="",D161="",S161="종결"),"",TODAY()-D161)</f>
        <v/>
      </c>
      <c r="S161" s="6">
        <f>IF(OR(B161="",I161=""),"",IFERROR(VLOOKUP(I161,설정!$C$5:$E$16,3,0),""))</f>
        <v/>
      </c>
    </row>
    <row r="162">
      <c r="A162" s="6">
        <f>IF(B162="","",ROW()-4)</f>
        <v/>
      </c>
      <c r="B162" s="12" t="n"/>
      <c r="C162" s="12" t="n"/>
      <c r="D162" s="13" t="n"/>
      <c r="E162" s="14" t="n"/>
      <c r="F162" s="12" t="n"/>
      <c r="G162" s="14" t="n"/>
      <c r="H162" s="12" t="n"/>
      <c r="I162" s="12" t="n"/>
      <c r="J162" s="6">
        <f>IF(OR(B162="",I162=""),"",IFERROR(VLOOKUP(I162,설정!$C$5:$E$16,2,0),""))</f>
        <v/>
      </c>
      <c r="K162" s="13" t="n"/>
      <c r="L162" s="15" t="n"/>
      <c r="M162" s="13" t="n"/>
      <c r="N162" s="12" t="n"/>
      <c r="O162" s="14" t="n"/>
      <c r="P162" s="13" t="n"/>
      <c r="Q162" s="14" t="n"/>
      <c r="R162" s="11">
        <f>IF(OR(B162="",D162="",S162="종결"),"",TODAY()-D162)</f>
        <v/>
      </c>
      <c r="S162" s="6">
        <f>IF(OR(B162="",I162=""),"",IFERROR(VLOOKUP(I162,설정!$C$5:$E$16,3,0),""))</f>
        <v/>
      </c>
    </row>
    <row r="163">
      <c r="A163" s="6">
        <f>IF(B163="","",ROW()-4)</f>
        <v/>
      </c>
      <c r="B163" s="12" t="n"/>
      <c r="C163" s="12" t="n"/>
      <c r="D163" s="13" t="n"/>
      <c r="E163" s="14" t="n"/>
      <c r="F163" s="12" t="n"/>
      <c r="G163" s="14" t="n"/>
      <c r="H163" s="12" t="n"/>
      <c r="I163" s="12" t="n"/>
      <c r="J163" s="6">
        <f>IF(OR(B163="",I163=""),"",IFERROR(VLOOKUP(I163,설정!$C$5:$E$16,2,0),""))</f>
        <v/>
      </c>
      <c r="K163" s="13" t="n"/>
      <c r="L163" s="15" t="n"/>
      <c r="M163" s="13" t="n"/>
      <c r="N163" s="12" t="n"/>
      <c r="O163" s="14" t="n"/>
      <c r="P163" s="13" t="n"/>
      <c r="Q163" s="14" t="n"/>
      <c r="R163" s="11">
        <f>IF(OR(B163="",D163="",S163="종결"),"",TODAY()-D163)</f>
        <v/>
      </c>
      <c r="S163" s="6">
        <f>IF(OR(B163="",I163=""),"",IFERROR(VLOOKUP(I163,설정!$C$5:$E$16,3,0),""))</f>
        <v/>
      </c>
    </row>
    <row r="164">
      <c r="A164" s="6">
        <f>IF(B164="","",ROW()-4)</f>
        <v/>
      </c>
      <c r="B164" s="12" t="n"/>
      <c r="C164" s="12" t="n"/>
      <c r="D164" s="13" t="n"/>
      <c r="E164" s="14" t="n"/>
      <c r="F164" s="12" t="n"/>
      <c r="G164" s="14" t="n"/>
      <c r="H164" s="12" t="n"/>
      <c r="I164" s="12" t="n"/>
      <c r="J164" s="6">
        <f>IF(OR(B164="",I164=""),"",IFERROR(VLOOKUP(I164,설정!$C$5:$E$16,2,0),""))</f>
        <v/>
      </c>
      <c r="K164" s="13" t="n"/>
      <c r="L164" s="15" t="n"/>
      <c r="M164" s="13" t="n"/>
      <c r="N164" s="12" t="n"/>
      <c r="O164" s="14" t="n"/>
      <c r="P164" s="13" t="n"/>
      <c r="Q164" s="14" t="n"/>
      <c r="R164" s="11">
        <f>IF(OR(B164="",D164="",S164="종결"),"",TODAY()-D164)</f>
        <v/>
      </c>
      <c r="S164" s="6">
        <f>IF(OR(B164="",I164=""),"",IFERROR(VLOOKUP(I164,설정!$C$5:$E$16,3,0),""))</f>
        <v/>
      </c>
    </row>
    <row r="165">
      <c r="A165" s="6">
        <f>IF(B165="","",ROW()-4)</f>
        <v/>
      </c>
      <c r="B165" s="12" t="n"/>
      <c r="C165" s="12" t="n"/>
      <c r="D165" s="13" t="n"/>
      <c r="E165" s="14" t="n"/>
      <c r="F165" s="12" t="n"/>
      <c r="G165" s="14" t="n"/>
      <c r="H165" s="12" t="n"/>
      <c r="I165" s="12" t="n"/>
      <c r="J165" s="6">
        <f>IF(OR(B165="",I165=""),"",IFERROR(VLOOKUP(I165,설정!$C$5:$E$16,2,0),""))</f>
        <v/>
      </c>
      <c r="K165" s="13" t="n"/>
      <c r="L165" s="15" t="n"/>
      <c r="M165" s="13" t="n"/>
      <c r="N165" s="12" t="n"/>
      <c r="O165" s="14" t="n"/>
      <c r="P165" s="13" t="n"/>
      <c r="Q165" s="14" t="n"/>
      <c r="R165" s="11">
        <f>IF(OR(B165="",D165="",S165="종결"),"",TODAY()-D165)</f>
        <v/>
      </c>
      <c r="S165" s="6">
        <f>IF(OR(B165="",I165=""),"",IFERROR(VLOOKUP(I165,설정!$C$5:$E$16,3,0),""))</f>
        <v/>
      </c>
    </row>
    <row r="166">
      <c r="A166" s="6">
        <f>IF(B166="","",ROW()-4)</f>
        <v/>
      </c>
      <c r="B166" s="12" t="n"/>
      <c r="C166" s="12" t="n"/>
      <c r="D166" s="13" t="n"/>
      <c r="E166" s="14" t="n"/>
      <c r="F166" s="12" t="n"/>
      <c r="G166" s="14" t="n"/>
      <c r="H166" s="12" t="n"/>
      <c r="I166" s="12" t="n"/>
      <c r="J166" s="6">
        <f>IF(OR(B166="",I166=""),"",IFERROR(VLOOKUP(I166,설정!$C$5:$E$16,2,0),""))</f>
        <v/>
      </c>
      <c r="K166" s="13" t="n"/>
      <c r="L166" s="15" t="n"/>
      <c r="M166" s="13" t="n"/>
      <c r="N166" s="12" t="n"/>
      <c r="O166" s="14" t="n"/>
      <c r="P166" s="13" t="n"/>
      <c r="Q166" s="14" t="n"/>
      <c r="R166" s="11">
        <f>IF(OR(B166="",D166="",S166="종결"),"",TODAY()-D166)</f>
        <v/>
      </c>
      <c r="S166" s="6">
        <f>IF(OR(B166="",I166=""),"",IFERROR(VLOOKUP(I166,설정!$C$5:$E$16,3,0),""))</f>
        <v/>
      </c>
    </row>
    <row r="167">
      <c r="A167" s="6">
        <f>IF(B167="","",ROW()-4)</f>
        <v/>
      </c>
      <c r="B167" s="12" t="n"/>
      <c r="C167" s="12" t="n"/>
      <c r="D167" s="13" t="n"/>
      <c r="E167" s="14" t="n"/>
      <c r="F167" s="12" t="n"/>
      <c r="G167" s="14" t="n"/>
      <c r="H167" s="12" t="n"/>
      <c r="I167" s="12" t="n"/>
      <c r="J167" s="6">
        <f>IF(OR(B167="",I167=""),"",IFERROR(VLOOKUP(I167,설정!$C$5:$E$16,2,0),""))</f>
        <v/>
      </c>
      <c r="K167" s="13" t="n"/>
      <c r="L167" s="15" t="n"/>
      <c r="M167" s="13" t="n"/>
      <c r="N167" s="12" t="n"/>
      <c r="O167" s="14" t="n"/>
      <c r="P167" s="13" t="n"/>
      <c r="Q167" s="14" t="n"/>
      <c r="R167" s="11">
        <f>IF(OR(B167="",D167="",S167="종결"),"",TODAY()-D167)</f>
        <v/>
      </c>
      <c r="S167" s="6">
        <f>IF(OR(B167="",I167=""),"",IFERROR(VLOOKUP(I167,설정!$C$5:$E$16,3,0),""))</f>
        <v/>
      </c>
    </row>
    <row r="168">
      <c r="A168" s="6">
        <f>IF(B168="","",ROW()-4)</f>
        <v/>
      </c>
      <c r="B168" s="12" t="n"/>
      <c r="C168" s="12" t="n"/>
      <c r="D168" s="13" t="n"/>
      <c r="E168" s="14" t="n"/>
      <c r="F168" s="12" t="n"/>
      <c r="G168" s="14" t="n"/>
      <c r="H168" s="12" t="n"/>
      <c r="I168" s="12" t="n"/>
      <c r="J168" s="6">
        <f>IF(OR(B168="",I168=""),"",IFERROR(VLOOKUP(I168,설정!$C$5:$E$16,2,0),""))</f>
        <v/>
      </c>
      <c r="K168" s="13" t="n"/>
      <c r="L168" s="15" t="n"/>
      <c r="M168" s="13" t="n"/>
      <c r="N168" s="12" t="n"/>
      <c r="O168" s="14" t="n"/>
      <c r="P168" s="13" t="n"/>
      <c r="Q168" s="14" t="n"/>
      <c r="R168" s="11">
        <f>IF(OR(B168="",D168="",S168="종결"),"",TODAY()-D168)</f>
        <v/>
      </c>
      <c r="S168" s="6">
        <f>IF(OR(B168="",I168=""),"",IFERROR(VLOOKUP(I168,설정!$C$5:$E$16,3,0),""))</f>
        <v/>
      </c>
    </row>
    <row r="169">
      <c r="A169" s="6">
        <f>IF(B169="","",ROW()-4)</f>
        <v/>
      </c>
      <c r="B169" s="12" t="n"/>
      <c r="C169" s="12" t="n"/>
      <c r="D169" s="13" t="n"/>
      <c r="E169" s="14" t="n"/>
      <c r="F169" s="12" t="n"/>
      <c r="G169" s="14" t="n"/>
      <c r="H169" s="12" t="n"/>
      <c r="I169" s="12" t="n"/>
      <c r="J169" s="6">
        <f>IF(OR(B169="",I169=""),"",IFERROR(VLOOKUP(I169,설정!$C$5:$E$16,2,0),""))</f>
        <v/>
      </c>
      <c r="K169" s="13" t="n"/>
      <c r="L169" s="15" t="n"/>
      <c r="M169" s="13" t="n"/>
      <c r="N169" s="12" t="n"/>
      <c r="O169" s="14" t="n"/>
      <c r="P169" s="13" t="n"/>
      <c r="Q169" s="14" t="n"/>
      <c r="R169" s="11">
        <f>IF(OR(B169="",D169="",S169="종결"),"",TODAY()-D169)</f>
        <v/>
      </c>
      <c r="S169" s="6">
        <f>IF(OR(B169="",I169=""),"",IFERROR(VLOOKUP(I169,설정!$C$5:$E$16,3,0),""))</f>
        <v/>
      </c>
    </row>
    <row r="170">
      <c r="A170" s="6">
        <f>IF(B170="","",ROW()-4)</f>
        <v/>
      </c>
      <c r="B170" s="12" t="n"/>
      <c r="C170" s="12" t="n"/>
      <c r="D170" s="13" t="n"/>
      <c r="E170" s="14" t="n"/>
      <c r="F170" s="12" t="n"/>
      <c r="G170" s="14" t="n"/>
      <c r="H170" s="12" t="n"/>
      <c r="I170" s="12" t="n"/>
      <c r="J170" s="6">
        <f>IF(OR(B170="",I170=""),"",IFERROR(VLOOKUP(I170,설정!$C$5:$E$16,2,0),""))</f>
        <v/>
      </c>
      <c r="K170" s="13" t="n"/>
      <c r="L170" s="15" t="n"/>
      <c r="M170" s="13" t="n"/>
      <c r="N170" s="12" t="n"/>
      <c r="O170" s="14" t="n"/>
      <c r="P170" s="13" t="n"/>
      <c r="Q170" s="14" t="n"/>
      <c r="R170" s="11">
        <f>IF(OR(B170="",D170="",S170="종결"),"",TODAY()-D170)</f>
        <v/>
      </c>
      <c r="S170" s="6">
        <f>IF(OR(B170="",I170=""),"",IFERROR(VLOOKUP(I170,설정!$C$5:$E$16,3,0),""))</f>
        <v/>
      </c>
    </row>
    <row r="171">
      <c r="A171" s="6">
        <f>IF(B171="","",ROW()-4)</f>
        <v/>
      </c>
      <c r="B171" s="12" t="n"/>
      <c r="C171" s="12" t="n"/>
      <c r="D171" s="13" t="n"/>
      <c r="E171" s="14" t="n"/>
      <c r="F171" s="12" t="n"/>
      <c r="G171" s="14" t="n"/>
      <c r="H171" s="12" t="n"/>
      <c r="I171" s="12" t="n"/>
      <c r="J171" s="6">
        <f>IF(OR(B171="",I171=""),"",IFERROR(VLOOKUP(I171,설정!$C$5:$E$16,2,0),""))</f>
        <v/>
      </c>
      <c r="K171" s="13" t="n"/>
      <c r="L171" s="15" t="n"/>
      <c r="M171" s="13" t="n"/>
      <c r="N171" s="12" t="n"/>
      <c r="O171" s="14" t="n"/>
      <c r="P171" s="13" t="n"/>
      <c r="Q171" s="14" t="n"/>
      <c r="R171" s="11">
        <f>IF(OR(B171="",D171="",S171="종결"),"",TODAY()-D171)</f>
        <v/>
      </c>
      <c r="S171" s="6">
        <f>IF(OR(B171="",I171=""),"",IFERROR(VLOOKUP(I171,설정!$C$5:$E$16,3,0),""))</f>
        <v/>
      </c>
    </row>
    <row r="172">
      <c r="A172" s="6">
        <f>IF(B172="","",ROW()-4)</f>
        <v/>
      </c>
      <c r="B172" s="12" t="n"/>
      <c r="C172" s="12" t="n"/>
      <c r="D172" s="13" t="n"/>
      <c r="E172" s="14" t="n"/>
      <c r="F172" s="12" t="n"/>
      <c r="G172" s="14" t="n"/>
      <c r="H172" s="12" t="n"/>
      <c r="I172" s="12" t="n"/>
      <c r="J172" s="6">
        <f>IF(OR(B172="",I172=""),"",IFERROR(VLOOKUP(I172,설정!$C$5:$E$16,2,0),""))</f>
        <v/>
      </c>
      <c r="K172" s="13" t="n"/>
      <c r="L172" s="15" t="n"/>
      <c r="M172" s="13" t="n"/>
      <c r="N172" s="12" t="n"/>
      <c r="O172" s="14" t="n"/>
      <c r="P172" s="13" t="n"/>
      <c r="Q172" s="14" t="n"/>
      <c r="R172" s="11">
        <f>IF(OR(B172="",D172="",S172="종결"),"",TODAY()-D172)</f>
        <v/>
      </c>
      <c r="S172" s="6">
        <f>IF(OR(B172="",I172=""),"",IFERROR(VLOOKUP(I172,설정!$C$5:$E$16,3,0),""))</f>
        <v/>
      </c>
    </row>
    <row r="173">
      <c r="A173" s="6">
        <f>IF(B173="","",ROW()-4)</f>
        <v/>
      </c>
      <c r="B173" s="12" t="n"/>
      <c r="C173" s="12" t="n"/>
      <c r="D173" s="13" t="n"/>
      <c r="E173" s="14" t="n"/>
      <c r="F173" s="12" t="n"/>
      <c r="G173" s="14" t="n"/>
      <c r="H173" s="12" t="n"/>
      <c r="I173" s="12" t="n"/>
      <c r="J173" s="6">
        <f>IF(OR(B173="",I173=""),"",IFERROR(VLOOKUP(I173,설정!$C$5:$E$16,2,0),""))</f>
        <v/>
      </c>
      <c r="K173" s="13" t="n"/>
      <c r="L173" s="15" t="n"/>
      <c r="M173" s="13" t="n"/>
      <c r="N173" s="12" t="n"/>
      <c r="O173" s="14" t="n"/>
      <c r="P173" s="13" t="n"/>
      <c r="Q173" s="14" t="n"/>
      <c r="R173" s="11">
        <f>IF(OR(B173="",D173="",S173="종결"),"",TODAY()-D173)</f>
        <v/>
      </c>
      <c r="S173" s="6">
        <f>IF(OR(B173="",I173=""),"",IFERROR(VLOOKUP(I173,설정!$C$5:$E$16,3,0),""))</f>
        <v/>
      </c>
    </row>
    <row r="174">
      <c r="A174" s="6">
        <f>IF(B174="","",ROW()-4)</f>
        <v/>
      </c>
      <c r="B174" s="12" t="n"/>
      <c r="C174" s="12" t="n"/>
      <c r="D174" s="13" t="n"/>
      <c r="E174" s="14" t="n"/>
      <c r="F174" s="12" t="n"/>
      <c r="G174" s="14" t="n"/>
      <c r="H174" s="12" t="n"/>
      <c r="I174" s="12" t="n"/>
      <c r="J174" s="6">
        <f>IF(OR(B174="",I174=""),"",IFERROR(VLOOKUP(I174,설정!$C$5:$E$16,2,0),""))</f>
        <v/>
      </c>
      <c r="K174" s="13" t="n"/>
      <c r="L174" s="15" t="n"/>
      <c r="M174" s="13" t="n"/>
      <c r="N174" s="12" t="n"/>
      <c r="O174" s="14" t="n"/>
      <c r="P174" s="13" t="n"/>
      <c r="Q174" s="14" t="n"/>
      <c r="R174" s="11">
        <f>IF(OR(B174="",D174="",S174="종결"),"",TODAY()-D174)</f>
        <v/>
      </c>
      <c r="S174" s="6">
        <f>IF(OR(B174="",I174=""),"",IFERROR(VLOOKUP(I174,설정!$C$5:$E$16,3,0),""))</f>
        <v/>
      </c>
    </row>
    <row r="175">
      <c r="A175" s="6">
        <f>IF(B175="","",ROW()-4)</f>
        <v/>
      </c>
      <c r="B175" s="12" t="n"/>
      <c r="C175" s="12" t="n"/>
      <c r="D175" s="13" t="n"/>
      <c r="E175" s="14" t="n"/>
      <c r="F175" s="12" t="n"/>
      <c r="G175" s="14" t="n"/>
      <c r="H175" s="12" t="n"/>
      <c r="I175" s="12" t="n"/>
      <c r="J175" s="6">
        <f>IF(OR(B175="",I175=""),"",IFERROR(VLOOKUP(I175,설정!$C$5:$E$16,2,0),""))</f>
        <v/>
      </c>
      <c r="K175" s="13" t="n"/>
      <c r="L175" s="15" t="n"/>
      <c r="M175" s="13" t="n"/>
      <c r="N175" s="12" t="n"/>
      <c r="O175" s="14" t="n"/>
      <c r="P175" s="13" t="n"/>
      <c r="Q175" s="14" t="n"/>
      <c r="R175" s="11">
        <f>IF(OR(B175="",D175="",S175="종결"),"",TODAY()-D175)</f>
        <v/>
      </c>
      <c r="S175" s="6">
        <f>IF(OR(B175="",I175=""),"",IFERROR(VLOOKUP(I175,설정!$C$5:$E$16,3,0),""))</f>
        <v/>
      </c>
    </row>
    <row r="176">
      <c r="A176" s="6">
        <f>IF(B176="","",ROW()-4)</f>
        <v/>
      </c>
      <c r="B176" s="12" t="n"/>
      <c r="C176" s="12" t="n"/>
      <c r="D176" s="13" t="n"/>
      <c r="E176" s="14" t="n"/>
      <c r="F176" s="12" t="n"/>
      <c r="G176" s="14" t="n"/>
      <c r="H176" s="12" t="n"/>
      <c r="I176" s="12" t="n"/>
      <c r="J176" s="6">
        <f>IF(OR(B176="",I176=""),"",IFERROR(VLOOKUP(I176,설정!$C$5:$E$16,2,0),""))</f>
        <v/>
      </c>
      <c r="K176" s="13" t="n"/>
      <c r="L176" s="15" t="n"/>
      <c r="M176" s="13" t="n"/>
      <c r="N176" s="12" t="n"/>
      <c r="O176" s="14" t="n"/>
      <c r="P176" s="13" t="n"/>
      <c r="Q176" s="14" t="n"/>
      <c r="R176" s="11">
        <f>IF(OR(B176="",D176="",S176="종결"),"",TODAY()-D176)</f>
        <v/>
      </c>
      <c r="S176" s="6">
        <f>IF(OR(B176="",I176=""),"",IFERROR(VLOOKUP(I176,설정!$C$5:$E$16,3,0),""))</f>
        <v/>
      </c>
    </row>
    <row r="177">
      <c r="A177" s="6">
        <f>IF(B177="","",ROW()-4)</f>
        <v/>
      </c>
      <c r="B177" s="12" t="n"/>
      <c r="C177" s="12" t="n"/>
      <c r="D177" s="13" t="n"/>
      <c r="E177" s="14" t="n"/>
      <c r="F177" s="12" t="n"/>
      <c r="G177" s="14" t="n"/>
      <c r="H177" s="12" t="n"/>
      <c r="I177" s="12" t="n"/>
      <c r="J177" s="6">
        <f>IF(OR(B177="",I177=""),"",IFERROR(VLOOKUP(I177,설정!$C$5:$E$16,2,0),""))</f>
        <v/>
      </c>
      <c r="K177" s="13" t="n"/>
      <c r="L177" s="15" t="n"/>
      <c r="M177" s="13" t="n"/>
      <c r="N177" s="12" t="n"/>
      <c r="O177" s="14" t="n"/>
      <c r="P177" s="13" t="n"/>
      <c r="Q177" s="14" t="n"/>
      <c r="R177" s="11">
        <f>IF(OR(B177="",D177="",S177="종결"),"",TODAY()-D177)</f>
        <v/>
      </c>
      <c r="S177" s="6">
        <f>IF(OR(B177="",I177=""),"",IFERROR(VLOOKUP(I177,설정!$C$5:$E$16,3,0),""))</f>
        <v/>
      </c>
    </row>
    <row r="178">
      <c r="A178" s="6">
        <f>IF(B178="","",ROW()-4)</f>
        <v/>
      </c>
      <c r="B178" s="12" t="n"/>
      <c r="C178" s="12" t="n"/>
      <c r="D178" s="13" t="n"/>
      <c r="E178" s="14" t="n"/>
      <c r="F178" s="12" t="n"/>
      <c r="G178" s="14" t="n"/>
      <c r="H178" s="12" t="n"/>
      <c r="I178" s="12" t="n"/>
      <c r="J178" s="6">
        <f>IF(OR(B178="",I178=""),"",IFERROR(VLOOKUP(I178,설정!$C$5:$E$16,2,0),""))</f>
        <v/>
      </c>
      <c r="K178" s="13" t="n"/>
      <c r="L178" s="15" t="n"/>
      <c r="M178" s="13" t="n"/>
      <c r="N178" s="12" t="n"/>
      <c r="O178" s="14" t="n"/>
      <c r="P178" s="13" t="n"/>
      <c r="Q178" s="14" t="n"/>
      <c r="R178" s="11">
        <f>IF(OR(B178="",D178="",S178="종결"),"",TODAY()-D178)</f>
        <v/>
      </c>
      <c r="S178" s="6">
        <f>IF(OR(B178="",I178=""),"",IFERROR(VLOOKUP(I178,설정!$C$5:$E$16,3,0),""))</f>
        <v/>
      </c>
    </row>
    <row r="179">
      <c r="A179" s="6">
        <f>IF(B179="","",ROW()-4)</f>
        <v/>
      </c>
      <c r="B179" s="12" t="n"/>
      <c r="C179" s="12" t="n"/>
      <c r="D179" s="13" t="n"/>
      <c r="E179" s="14" t="n"/>
      <c r="F179" s="12" t="n"/>
      <c r="G179" s="14" t="n"/>
      <c r="H179" s="12" t="n"/>
      <c r="I179" s="12" t="n"/>
      <c r="J179" s="6">
        <f>IF(OR(B179="",I179=""),"",IFERROR(VLOOKUP(I179,설정!$C$5:$E$16,2,0),""))</f>
        <v/>
      </c>
      <c r="K179" s="13" t="n"/>
      <c r="L179" s="15" t="n"/>
      <c r="M179" s="13" t="n"/>
      <c r="N179" s="12" t="n"/>
      <c r="O179" s="14" t="n"/>
      <c r="P179" s="13" t="n"/>
      <c r="Q179" s="14" t="n"/>
      <c r="R179" s="11">
        <f>IF(OR(B179="",D179="",S179="종결"),"",TODAY()-D179)</f>
        <v/>
      </c>
      <c r="S179" s="6">
        <f>IF(OR(B179="",I179=""),"",IFERROR(VLOOKUP(I179,설정!$C$5:$E$16,3,0),""))</f>
        <v/>
      </c>
    </row>
    <row r="180">
      <c r="A180" s="6">
        <f>IF(B180="","",ROW()-4)</f>
        <v/>
      </c>
      <c r="B180" s="12" t="n"/>
      <c r="C180" s="12" t="n"/>
      <c r="D180" s="13" t="n"/>
      <c r="E180" s="14" t="n"/>
      <c r="F180" s="12" t="n"/>
      <c r="G180" s="14" t="n"/>
      <c r="H180" s="12" t="n"/>
      <c r="I180" s="12" t="n"/>
      <c r="J180" s="6">
        <f>IF(OR(B180="",I180=""),"",IFERROR(VLOOKUP(I180,설정!$C$5:$E$16,2,0),""))</f>
        <v/>
      </c>
      <c r="K180" s="13" t="n"/>
      <c r="L180" s="15" t="n"/>
      <c r="M180" s="13" t="n"/>
      <c r="N180" s="12" t="n"/>
      <c r="O180" s="14" t="n"/>
      <c r="P180" s="13" t="n"/>
      <c r="Q180" s="14" t="n"/>
      <c r="R180" s="11">
        <f>IF(OR(B180="",D180="",S180="종결"),"",TODAY()-D180)</f>
        <v/>
      </c>
      <c r="S180" s="6">
        <f>IF(OR(B180="",I180=""),"",IFERROR(VLOOKUP(I180,설정!$C$5:$E$16,3,0),""))</f>
        <v/>
      </c>
    </row>
    <row r="181">
      <c r="A181" s="6">
        <f>IF(B181="","",ROW()-4)</f>
        <v/>
      </c>
      <c r="B181" s="12" t="n"/>
      <c r="C181" s="12" t="n"/>
      <c r="D181" s="13" t="n"/>
      <c r="E181" s="14" t="n"/>
      <c r="F181" s="12" t="n"/>
      <c r="G181" s="14" t="n"/>
      <c r="H181" s="12" t="n"/>
      <c r="I181" s="12" t="n"/>
      <c r="J181" s="6">
        <f>IF(OR(B181="",I181=""),"",IFERROR(VLOOKUP(I181,설정!$C$5:$E$16,2,0),""))</f>
        <v/>
      </c>
      <c r="K181" s="13" t="n"/>
      <c r="L181" s="15" t="n"/>
      <c r="M181" s="13" t="n"/>
      <c r="N181" s="12" t="n"/>
      <c r="O181" s="14" t="n"/>
      <c r="P181" s="13" t="n"/>
      <c r="Q181" s="14" t="n"/>
      <c r="R181" s="11">
        <f>IF(OR(B181="",D181="",S181="종결"),"",TODAY()-D181)</f>
        <v/>
      </c>
      <c r="S181" s="6">
        <f>IF(OR(B181="",I181=""),"",IFERROR(VLOOKUP(I181,설정!$C$5:$E$16,3,0),""))</f>
        <v/>
      </c>
    </row>
    <row r="182">
      <c r="A182" s="6">
        <f>IF(B182="","",ROW()-4)</f>
        <v/>
      </c>
      <c r="B182" s="12" t="n"/>
      <c r="C182" s="12" t="n"/>
      <c r="D182" s="13" t="n"/>
      <c r="E182" s="14" t="n"/>
      <c r="F182" s="12" t="n"/>
      <c r="G182" s="14" t="n"/>
      <c r="H182" s="12" t="n"/>
      <c r="I182" s="12" t="n"/>
      <c r="J182" s="6">
        <f>IF(OR(B182="",I182=""),"",IFERROR(VLOOKUP(I182,설정!$C$5:$E$16,2,0),""))</f>
        <v/>
      </c>
      <c r="K182" s="13" t="n"/>
      <c r="L182" s="15" t="n"/>
      <c r="M182" s="13" t="n"/>
      <c r="N182" s="12" t="n"/>
      <c r="O182" s="14" t="n"/>
      <c r="P182" s="13" t="n"/>
      <c r="Q182" s="14" t="n"/>
      <c r="R182" s="11">
        <f>IF(OR(B182="",D182="",S182="종결"),"",TODAY()-D182)</f>
        <v/>
      </c>
      <c r="S182" s="6">
        <f>IF(OR(B182="",I182=""),"",IFERROR(VLOOKUP(I182,설정!$C$5:$E$16,3,0),""))</f>
        <v/>
      </c>
    </row>
    <row r="183">
      <c r="A183" s="6">
        <f>IF(B183="","",ROW()-4)</f>
        <v/>
      </c>
      <c r="B183" s="12" t="n"/>
      <c r="C183" s="12" t="n"/>
      <c r="D183" s="13" t="n"/>
      <c r="E183" s="14" t="n"/>
      <c r="F183" s="12" t="n"/>
      <c r="G183" s="14" t="n"/>
      <c r="H183" s="12" t="n"/>
      <c r="I183" s="12" t="n"/>
      <c r="J183" s="6">
        <f>IF(OR(B183="",I183=""),"",IFERROR(VLOOKUP(I183,설정!$C$5:$E$16,2,0),""))</f>
        <v/>
      </c>
      <c r="K183" s="13" t="n"/>
      <c r="L183" s="15" t="n"/>
      <c r="M183" s="13" t="n"/>
      <c r="N183" s="12" t="n"/>
      <c r="O183" s="14" t="n"/>
      <c r="P183" s="13" t="n"/>
      <c r="Q183" s="14" t="n"/>
      <c r="R183" s="11">
        <f>IF(OR(B183="",D183="",S183="종결"),"",TODAY()-D183)</f>
        <v/>
      </c>
      <c r="S183" s="6">
        <f>IF(OR(B183="",I183=""),"",IFERROR(VLOOKUP(I183,설정!$C$5:$E$16,3,0),""))</f>
        <v/>
      </c>
    </row>
    <row r="184">
      <c r="A184" s="6">
        <f>IF(B184="","",ROW()-4)</f>
        <v/>
      </c>
      <c r="B184" s="12" t="n"/>
      <c r="C184" s="12" t="n"/>
      <c r="D184" s="13" t="n"/>
      <c r="E184" s="14" t="n"/>
      <c r="F184" s="12" t="n"/>
      <c r="G184" s="14" t="n"/>
      <c r="H184" s="12" t="n"/>
      <c r="I184" s="12" t="n"/>
      <c r="J184" s="6">
        <f>IF(OR(B184="",I184=""),"",IFERROR(VLOOKUP(I184,설정!$C$5:$E$16,2,0),""))</f>
        <v/>
      </c>
      <c r="K184" s="13" t="n"/>
      <c r="L184" s="15" t="n"/>
      <c r="M184" s="13" t="n"/>
      <c r="N184" s="12" t="n"/>
      <c r="O184" s="14" t="n"/>
      <c r="P184" s="13" t="n"/>
      <c r="Q184" s="14" t="n"/>
      <c r="R184" s="11">
        <f>IF(OR(B184="",D184="",S184="종결"),"",TODAY()-D184)</f>
        <v/>
      </c>
      <c r="S184" s="6">
        <f>IF(OR(B184="",I184=""),"",IFERROR(VLOOKUP(I184,설정!$C$5:$E$16,3,0),""))</f>
        <v/>
      </c>
    </row>
    <row r="185">
      <c r="A185" s="6">
        <f>IF(B185="","",ROW()-4)</f>
        <v/>
      </c>
      <c r="B185" s="12" t="n"/>
      <c r="C185" s="12" t="n"/>
      <c r="D185" s="13" t="n"/>
      <c r="E185" s="14" t="n"/>
      <c r="F185" s="12" t="n"/>
      <c r="G185" s="14" t="n"/>
      <c r="H185" s="12" t="n"/>
      <c r="I185" s="12" t="n"/>
      <c r="J185" s="6">
        <f>IF(OR(B185="",I185=""),"",IFERROR(VLOOKUP(I185,설정!$C$5:$E$16,2,0),""))</f>
        <v/>
      </c>
      <c r="K185" s="13" t="n"/>
      <c r="L185" s="15" t="n"/>
      <c r="M185" s="13" t="n"/>
      <c r="N185" s="12" t="n"/>
      <c r="O185" s="14" t="n"/>
      <c r="P185" s="13" t="n"/>
      <c r="Q185" s="14" t="n"/>
      <c r="R185" s="11">
        <f>IF(OR(B185="",D185="",S185="종결"),"",TODAY()-D185)</f>
        <v/>
      </c>
      <c r="S185" s="6">
        <f>IF(OR(B185="",I185=""),"",IFERROR(VLOOKUP(I185,설정!$C$5:$E$16,3,0),""))</f>
        <v/>
      </c>
    </row>
    <row r="186">
      <c r="A186" s="6">
        <f>IF(B186="","",ROW()-4)</f>
        <v/>
      </c>
      <c r="B186" s="12" t="n"/>
      <c r="C186" s="12" t="n"/>
      <c r="D186" s="13" t="n"/>
      <c r="E186" s="14" t="n"/>
      <c r="F186" s="12" t="n"/>
      <c r="G186" s="14" t="n"/>
      <c r="H186" s="12" t="n"/>
      <c r="I186" s="12" t="n"/>
      <c r="J186" s="6">
        <f>IF(OR(B186="",I186=""),"",IFERROR(VLOOKUP(I186,설정!$C$5:$E$16,2,0),""))</f>
        <v/>
      </c>
      <c r="K186" s="13" t="n"/>
      <c r="L186" s="15" t="n"/>
      <c r="M186" s="13" t="n"/>
      <c r="N186" s="12" t="n"/>
      <c r="O186" s="14" t="n"/>
      <c r="P186" s="13" t="n"/>
      <c r="Q186" s="14" t="n"/>
      <c r="R186" s="11">
        <f>IF(OR(B186="",D186="",S186="종결"),"",TODAY()-D186)</f>
        <v/>
      </c>
      <c r="S186" s="6">
        <f>IF(OR(B186="",I186=""),"",IFERROR(VLOOKUP(I186,설정!$C$5:$E$16,3,0),""))</f>
        <v/>
      </c>
    </row>
    <row r="187">
      <c r="A187" s="6">
        <f>IF(B187="","",ROW()-4)</f>
        <v/>
      </c>
      <c r="B187" s="12" t="n"/>
      <c r="C187" s="12" t="n"/>
      <c r="D187" s="13" t="n"/>
      <c r="E187" s="14" t="n"/>
      <c r="F187" s="12" t="n"/>
      <c r="G187" s="14" t="n"/>
      <c r="H187" s="12" t="n"/>
      <c r="I187" s="12" t="n"/>
      <c r="J187" s="6">
        <f>IF(OR(B187="",I187=""),"",IFERROR(VLOOKUP(I187,설정!$C$5:$E$16,2,0),""))</f>
        <v/>
      </c>
      <c r="K187" s="13" t="n"/>
      <c r="L187" s="15" t="n"/>
      <c r="M187" s="13" t="n"/>
      <c r="N187" s="12" t="n"/>
      <c r="O187" s="14" t="n"/>
      <c r="P187" s="13" t="n"/>
      <c r="Q187" s="14" t="n"/>
      <c r="R187" s="11">
        <f>IF(OR(B187="",D187="",S187="종결"),"",TODAY()-D187)</f>
        <v/>
      </c>
      <c r="S187" s="6">
        <f>IF(OR(B187="",I187=""),"",IFERROR(VLOOKUP(I187,설정!$C$5:$E$16,3,0),""))</f>
        <v/>
      </c>
    </row>
    <row r="188">
      <c r="A188" s="6">
        <f>IF(B188="","",ROW()-4)</f>
        <v/>
      </c>
      <c r="B188" s="12" t="n"/>
      <c r="C188" s="12" t="n"/>
      <c r="D188" s="13" t="n"/>
      <c r="E188" s="14" t="n"/>
      <c r="F188" s="12" t="n"/>
      <c r="G188" s="14" t="n"/>
      <c r="H188" s="12" t="n"/>
      <c r="I188" s="12" t="n"/>
      <c r="J188" s="6">
        <f>IF(OR(B188="",I188=""),"",IFERROR(VLOOKUP(I188,설정!$C$5:$E$16,2,0),""))</f>
        <v/>
      </c>
      <c r="K188" s="13" t="n"/>
      <c r="L188" s="15" t="n"/>
      <c r="M188" s="13" t="n"/>
      <c r="N188" s="12" t="n"/>
      <c r="O188" s="14" t="n"/>
      <c r="P188" s="13" t="n"/>
      <c r="Q188" s="14" t="n"/>
      <c r="R188" s="11">
        <f>IF(OR(B188="",D188="",S188="종결"),"",TODAY()-D188)</f>
        <v/>
      </c>
      <c r="S188" s="6">
        <f>IF(OR(B188="",I188=""),"",IFERROR(VLOOKUP(I188,설정!$C$5:$E$16,3,0),""))</f>
        <v/>
      </c>
    </row>
    <row r="189">
      <c r="A189" s="6">
        <f>IF(B189="","",ROW()-4)</f>
        <v/>
      </c>
      <c r="B189" s="12" t="n"/>
      <c r="C189" s="12" t="n"/>
      <c r="D189" s="13" t="n"/>
      <c r="E189" s="14" t="n"/>
      <c r="F189" s="12" t="n"/>
      <c r="G189" s="14" t="n"/>
      <c r="H189" s="12" t="n"/>
      <c r="I189" s="12" t="n"/>
      <c r="J189" s="6">
        <f>IF(OR(B189="",I189=""),"",IFERROR(VLOOKUP(I189,설정!$C$5:$E$16,2,0),""))</f>
        <v/>
      </c>
      <c r="K189" s="13" t="n"/>
      <c r="L189" s="15" t="n"/>
      <c r="M189" s="13" t="n"/>
      <c r="N189" s="12" t="n"/>
      <c r="O189" s="14" t="n"/>
      <c r="P189" s="13" t="n"/>
      <c r="Q189" s="14" t="n"/>
      <c r="R189" s="11">
        <f>IF(OR(B189="",D189="",S189="종결"),"",TODAY()-D189)</f>
        <v/>
      </c>
      <c r="S189" s="6">
        <f>IF(OR(B189="",I189=""),"",IFERROR(VLOOKUP(I189,설정!$C$5:$E$16,3,0),""))</f>
        <v/>
      </c>
    </row>
    <row r="190">
      <c r="A190" s="6">
        <f>IF(B190="","",ROW()-4)</f>
        <v/>
      </c>
      <c r="B190" s="12" t="n"/>
      <c r="C190" s="12" t="n"/>
      <c r="D190" s="13" t="n"/>
      <c r="E190" s="14" t="n"/>
      <c r="F190" s="12" t="n"/>
      <c r="G190" s="14" t="n"/>
      <c r="H190" s="12" t="n"/>
      <c r="I190" s="12" t="n"/>
      <c r="J190" s="6">
        <f>IF(OR(B190="",I190=""),"",IFERROR(VLOOKUP(I190,설정!$C$5:$E$16,2,0),""))</f>
        <v/>
      </c>
      <c r="K190" s="13" t="n"/>
      <c r="L190" s="15" t="n"/>
      <c r="M190" s="13" t="n"/>
      <c r="N190" s="12" t="n"/>
      <c r="O190" s="14" t="n"/>
      <c r="P190" s="13" t="n"/>
      <c r="Q190" s="14" t="n"/>
      <c r="R190" s="11">
        <f>IF(OR(B190="",D190="",S190="종결"),"",TODAY()-D190)</f>
        <v/>
      </c>
      <c r="S190" s="6">
        <f>IF(OR(B190="",I190=""),"",IFERROR(VLOOKUP(I190,설정!$C$5:$E$16,3,0),""))</f>
        <v/>
      </c>
    </row>
    <row r="191">
      <c r="A191" s="6">
        <f>IF(B191="","",ROW()-4)</f>
        <v/>
      </c>
      <c r="B191" s="12" t="n"/>
      <c r="C191" s="12" t="n"/>
      <c r="D191" s="13" t="n"/>
      <c r="E191" s="14" t="n"/>
      <c r="F191" s="12" t="n"/>
      <c r="G191" s="14" t="n"/>
      <c r="H191" s="12" t="n"/>
      <c r="I191" s="12" t="n"/>
      <c r="J191" s="6">
        <f>IF(OR(B191="",I191=""),"",IFERROR(VLOOKUP(I191,설정!$C$5:$E$16,2,0),""))</f>
        <v/>
      </c>
      <c r="K191" s="13" t="n"/>
      <c r="L191" s="15" t="n"/>
      <c r="M191" s="13" t="n"/>
      <c r="N191" s="12" t="n"/>
      <c r="O191" s="14" t="n"/>
      <c r="P191" s="13" t="n"/>
      <c r="Q191" s="14" t="n"/>
      <c r="R191" s="11">
        <f>IF(OR(B191="",D191="",S191="종결"),"",TODAY()-D191)</f>
        <v/>
      </c>
      <c r="S191" s="6">
        <f>IF(OR(B191="",I191=""),"",IFERROR(VLOOKUP(I191,설정!$C$5:$E$16,3,0),""))</f>
        <v/>
      </c>
    </row>
    <row r="192">
      <c r="A192" s="6">
        <f>IF(B192="","",ROW()-4)</f>
        <v/>
      </c>
      <c r="B192" s="12" t="n"/>
      <c r="C192" s="12" t="n"/>
      <c r="D192" s="13" t="n"/>
      <c r="E192" s="14" t="n"/>
      <c r="F192" s="12" t="n"/>
      <c r="G192" s="14" t="n"/>
      <c r="H192" s="12" t="n"/>
      <c r="I192" s="12" t="n"/>
      <c r="J192" s="6">
        <f>IF(OR(B192="",I192=""),"",IFERROR(VLOOKUP(I192,설정!$C$5:$E$16,2,0),""))</f>
        <v/>
      </c>
      <c r="K192" s="13" t="n"/>
      <c r="L192" s="15" t="n"/>
      <c r="M192" s="13" t="n"/>
      <c r="N192" s="12" t="n"/>
      <c r="O192" s="14" t="n"/>
      <c r="P192" s="13" t="n"/>
      <c r="Q192" s="14" t="n"/>
      <c r="R192" s="11">
        <f>IF(OR(B192="",D192="",S192="종결"),"",TODAY()-D192)</f>
        <v/>
      </c>
      <c r="S192" s="6">
        <f>IF(OR(B192="",I192=""),"",IFERROR(VLOOKUP(I192,설정!$C$5:$E$16,3,0),""))</f>
        <v/>
      </c>
    </row>
    <row r="193">
      <c r="A193" s="6">
        <f>IF(B193="","",ROW()-4)</f>
        <v/>
      </c>
      <c r="B193" s="12" t="n"/>
      <c r="C193" s="12" t="n"/>
      <c r="D193" s="13" t="n"/>
      <c r="E193" s="14" t="n"/>
      <c r="F193" s="12" t="n"/>
      <c r="G193" s="14" t="n"/>
      <c r="H193" s="12" t="n"/>
      <c r="I193" s="12" t="n"/>
      <c r="J193" s="6">
        <f>IF(OR(B193="",I193=""),"",IFERROR(VLOOKUP(I193,설정!$C$5:$E$16,2,0),""))</f>
        <v/>
      </c>
      <c r="K193" s="13" t="n"/>
      <c r="L193" s="15" t="n"/>
      <c r="M193" s="13" t="n"/>
      <c r="N193" s="12" t="n"/>
      <c r="O193" s="14" t="n"/>
      <c r="P193" s="13" t="n"/>
      <c r="Q193" s="14" t="n"/>
      <c r="R193" s="11">
        <f>IF(OR(B193="",D193="",S193="종결"),"",TODAY()-D193)</f>
        <v/>
      </c>
      <c r="S193" s="6">
        <f>IF(OR(B193="",I193=""),"",IFERROR(VLOOKUP(I193,설정!$C$5:$E$16,3,0),""))</f>
        <v/>
      </c>
    </row>
    <row r="194">
      <c r="A194" s="6">
        <f>IF(B194="","",ROW()-4)</f>
        <v/>
      </c>
      <c r="B194" s="12" t="n"/>
      <c r="C194" s="12" t="n"/>
      <c r="D194" s="13" t="n"/>
      <c r="E194" s="14" t="n"/>
      <c r="F194" s="12" t="n"/>
      <c r="G194" s="14" t="n"/>
      <c r="H194" s="12" t="n"/>
      <c r="I194" s="12" t="n"/>
      <c r="J194" s="6">
        <f>IF(OR(B194="",I194=""),"",IFERROR(VLOOKUP(I194,설정!$C$5:$E$16,2,0),""))</f>
        <v/>
      </c>
      <c r="K194" s="13" t="n"/>
      <c r="L194" s="15" t="n"/>
      <c r="M194" s="13" t="n"/>
      <c r="N194" s="12" t="n"/>
      <c r="O194" s="14" t="n"/>
      <c r="P194" s="13" t="n"/>
      <c r="Q194" s="14" t="n"/>
      <c r="R194" s="11">
        <f>IF(OR(B194="",D194="",S194="종결"),"",TODAY()-D194)</f>
        <v/>
      </c>
      <c r="S194" s="6">
        <f>IF(OR(B194="",I194=""),"",IFERROR(VLOOKUP(I194,설정!$C$5:$E$16,3,0),""))</f>
        <v/>
      </c>
    </row>
    <row r="195">
      <c r="A195" s="6">
        <f>IF(B195="","",ROW()-4)</f>
        <v/>
      </c>
      <c r="B195" s="12" t="n"/>
      <c r="C195" s="12" t="n"/>
      <c r="D195" s="13" t="n"/>
      <c r="E195" s="14" t="n"/>
      <c r="F195" s="12" t="n"/>
      <c r="G195" s="14" t="n"/>
      <c r="H195" s="12" t="n"/>
      <c r="I195" s="12" t="n"/>
      <c r="J195" s="6">
        <f>IF(OR(B195="",I195=""),"",IFERROR(VLOOKUP(I195,설정!$C$5:$E$16,2,0),""))</f>
        <v/>
      </c>
      <c r="K195" s="13" t="n"/>
      <c r="L195" s="15" t="n"/>
      <c r="M195" s="13" t="n"/>
      <c r="N195" s="12" t="n"/>
      <c r="O195" s="14" t="n"/>
      <c r="P195" s="13" t="n"/>
      <c r="Q195" s="14" t="n"/>
      <c r="R195" s="11">
        <f>IF(OR(B195="",D195="",S195="종결"),"",TODAY()-D195)</f>
        <v/>
      </c>
      <c r="S195" s="6">
        <f>IF(OR(B195="",I195=""),"",IFERROR(VLOOKUP(I195,설정!$C$5:$E$16,3,0),""))</f>
        <v/>
      </c>
    </row>
    <row r="196">
      <c r="A196" s="6">
        <f>IF(B196="","",ROW()-4)</f>
        <v/>
      </c>
      <c r="B196" s="12" t="n"/>
      <c r="C196" s="12" t="n"/>
      <c r="D196" s="13" t="n"/>
      <c r="E196" s="14" t="n"/>
      <c r="F196" s="12" t="n"/>
      <c r="G196" s="14" t="n"/>
      <c r="H196" s="12" t="n"/>
      <c r="I196" s="12" t="n"/>
      <c r="J196" s="6">
        <f>IF(OR(B196="",I196=""),"",IFERROR(VLOOKUP(I196,설정!$C$5:$E$16,2,0),""))</f>
        <v/>
      </c>
      <c r="K196" s="13" t="n"/>
      <c r="L196" s="15" t="n"/>
      <c r="M196" s="13" t="n"/>
      <c r="N196" s="12" t="n"/>
      <c r="O196" s="14" t="n"/>
      <c r="P196" s="13" t="n"/>
      <c r="Q196" s="14" t="n"/>
      <c r="R196" s="11">
        <f>IF(OR(B196="",D196="",S196="종결"),"",TODAY()-D196)</f>
        <v/>
      </c>
      <c r="S196" s="6">
        <f>IF(OR(B196="",I196=""),"",IFERROR(VLOOKUP(I196,설정!$C$5:$E$16,3,0),""))</f>
        <v/>
      </c>
    </row>
    <row r="197">
      <c r="A197" s="6">
        <f>IF(B197="","",ROW()-4)</f>
        <v/>
      </c>
      <c r="B197" s="12" t="n"/>
      <c r="C197" s="12" t="n"/>
      <c r="D197" s="13" t="n"/>
      <c r="E197" s="14" t="n"/>
      <c r="F197" s="12" t="n"/>
      <c r="G197" s="14" t="n"/>
      <c r="H197" s="12" t="n"/>
      <c r="I197" s="12" t="n"/>
      <c r="J197" s="6">
        <f>IF(OR(B197="",I197=""),"",IFERROR(VLOOKUP(I197,설정!$C$5:$E$16,2,0),""))</f>
        <v/>
      </c>
      <c r="K197" s="13" t="n"/>
      <c r="L197" s="15" t="n"/>
      <c r="M197" s="13" t="n"/>
      <c r="N197" s="12" t="n"/>
      <c r="O197" s="14" t="n"/>
      <c r="P197" s="13" t="n"/>
      <c r="Q197" s="14" t="n"/>
      <c r="R197" s="11">
        <f>IF(OR(B197="",D197="",S197="종결"),"",TODAY()-D197)</f>
        <v/>
      </c>
      <c r="S197" s="6">
        <f>IF(OR(B197="",I197=""),"",IFERROR(VLOOKUP(I197,설정!$C$5:$E$16,3,0),""))</f>
        <v/>
      </c>
    </row>
    <row r="198">
      <c r="A198" s="6">
        <f>IF(B198="","",ROW()-4)</f>
        <v/>
      </c>
      <c r="B198" s="12" t="n"/>
      <c r="C198" s="12" t="n"/>
      <c r="D198" s="13" t="n"/>
      <c r="E198" s="14" t="n"/>
      <c r="F198" s="12" t="n"/>
      <c r="G198" s="14" t="n"/>
      <c r="H198" s="12" t="n"/>
      <c r="I198" s="12" t="n"/>
      <c r="J198" s="6">
        <f>IF(OR(B198="",I198=""),"",IFERROR(VLOOKUP(I198,설정!$C$5:$E$16,2,0),""))</f>
        <v/>
      </c>
      <c r="K198" s="13" t="n"/>
      <c r="L198" s="15" t="n"/>
      <c r="M198" s="13" t="n"/>
      <c r="N198" s="12" t="n"/>
      <c r="O198" s="14" t="n"/>
      <c r="P198" s="13" t="n"/>
      <c r="Q198" s="14" t="n"/>
      <c r="R198" s="11">
        <f>IF(OR(B198="",D198="",S198="종결"),"",TODAY()-D198)</f>
        <v/>
      </c>
      <c r="S198" s="6">
        <f>IF(OR(B198="",I198=""),"",IFERROR(VLOOKUP(I198,설정!$C$5:$E$16,3,0),""))</f>
        <v/>
      </c>
    </row>
    <row r="199">
      <c r="A199" s="6">
        <f>IF(B199="","",ROW()-4)</f>
        <v/>
      </c>
      <c r="B199" s="12" t="n"/>
      <c r="C199" s="12" t="n"/>
      <c r="D199" s="13" t="n"/>
      <c r="E199" s="14" t="n"/>
      <c r="F199" s="12" t="n"/>
      <c r="G199" s="14" t="n"/>
      <c r="H199" s="12" t="n"/>
      <c r="I199" s="12" t="n"/>
      <c r="J199" s="6">
        <f>IF(OR(B199="",I199=""),"",IFERROR(VLOOKUP(I199,설정!$C$5:$E$16,2,0),""))</f>
        <v/>
      </c>
      <c r="K199" s="13" t="n"/>
      <c r="L199" s="15" t="n"/>
      <c r="M199" s="13" t="n"/>
      <c r="N199" s="12" t="n"/>
      <c r="O199" s="14" t="n"/>
      <c r="P199" s="13" t="n"/>
      <c r="Q199" s="14" t="n"/>
      <c r="R199" s="11">
        <f>IF(OR(B199="",D199="",S199="종결"),"",TODAY()-D199)</f>
        <v/>
      </c>
      <c r="S199" s="6">
        <f>IF(OR(B199="",I199=""),"",IFERROR(VLOOKUP(I199,설정!$C$5:$E$16,3,0),""))</f>
        <v/>
      </c>
    </row>
    <row r="200">
      <c r="A200" s="6">
        <f>IF(B200="","",ROW()-4)</f>
        <v/>
      </c>
      <c r="B200" s="12" t="n"/>
      <c r="C200" s="12" t="n"/>
      <c r="D200" s="13" t="n"/>
      <c r="E200" s="14" t="n"/>
      <c r="F200" s="12" t="n"/>
      <c r="G200" s="14" t="n"/>
      <c r="H200" s="12" t="n"/>
      <c r="I200" s="12" t="n"/>
      <c r="J200" s="6">
        <f>IF(OR(B200="",I200=""),"",IFERROR(VLOOKUP(I200,설정!$C$5:$E$16,2,0),""))</f>
        <v/>
      </c>
      <c r="K200" s="13" t="n"/>
      <c r="L200" s="15" t="n"/>
      <c r="M200" s="13" t="n"/>
      <c r="N200" s="12" t="n"/>
      <c r="O200" s="14" t="n"/>
      <c r="P200" s="13" t="n"/>
      <c r="Q200" s="14" t="n"/>
      <c r="R200" s="11">
        <f>IF(OR(B200="",D200="",S200="종결"),"",TODAY()-D200)</f>
        <v/>
      </c>
      <c r="S200" s="6">
        <f>IF(OR(B200="",I200=""),"",IFERROR(VLOOKUP(I200,설정!$C$5:$E$16,3,0),""))</f>
        <v/>
      </c>
    </row>
    <row r="201">
      <c r="A201" s="6">
        <f>IF(B201="","",ROW()-4)</f>
        <v/>
      </c>
      <c r="B201" s="12" t="n"/>
      <c r="C201" s="12" t="n"/>
      <c r="D201" s="13" t="n"/>
      <c r="E201" s="14" t="n"/>
      <c r="F201" s="12" t="n"/>
      <c r="G201" s="14" t="n"/>
      <c r="H201" s="12" t="n"/>
      <c r="I201" s="12" t="n"/>
      <c r="J201" s="6">
        <f>IF(OR(B201="",I201=""),"",IFERROR(VLOOKUP(I201,설정!$C$5:$E$16,2,0),""))</f>
        <v/>
      </c>
      <c r="K201" s="13" t="n"/>
      <c r="L201" s="15" t="n"/>
      <c r="M201" s="13" t="n"/>
      <c r="N201" s="12" t="n"/>
      <c r="O201" s="14" t="n"/>
      <c r="P201" s="13" t="n"/>
      <c r="Q201" s="14" t="n"/>
      <c r="R201" s="11">
        <f>IF(OR(B201="",D201="",S201="종결"),"",TODAY()-D201)</f>
        <v/>
      </c>
      <c r="S201" s="6">
        <f>IF(OR(B201="",I201=""),"",IFERROR(VLOOKUP(I201,설정!$C$5:$E$16,3,0),""))</f>
        <v/>
      </c>
    </row>
    <row r="202">
      <c r="A202" s="6">
        <f>IF(B202="","",ROW()-4)</f>
        <v/>
      </c>
      <c r="B202" s="12" t="n"/>
      <c r="C202" s="12" t="n"/>
      <c r="D202" s="13" t="n"/>
      <c r="E202" s="14" t="n"/>
      <c r="F202" s="12" t="n"/>
      <c r="G202" s="14" t="n"/>
      <c r="H202" s="12" t="n"/>
      <c r="I202" s="12" t="n"/>
      <c r="J202" s="6">
        <f>IF(OR(B202="",I202=""),"",IFERROR(VLOOKUP(I202,설정!$C$5:$E$16,2,0),""))</f>
        <v/>
      </c>
      <c r="K202" s="13" t="n"/>
      <c r="L202" s="15" t="n"/>
      <c r="M202" s="13" t="n"/>
      <c r="N202" s="12" t="n"/>
      <c r="O202" s="14" t="n"/>
      <c r="P202" s="13" t="n"/>
      <c r="Q202" s="14" t="n"/>
      <c r="R202" s="11">
        <f>IF(OR(B202="",D202="",S202="종결"),"",TODAY()-D202)</f>
        <v/>
      </c>
      <c r="S202" s="6">
        <f>IF(OR(B202="",I202=""),"",IFERROR(VLOOKUP(I202,설정!$C$5:$E$16,3,0),""))</f>
        <v/>
      </c>
    </row>
    <row r="203">
      <c r="A203" s="6">
        <f>IF(B203="","",ROW()-4)</f>
        <v/>
      </c>
      <c r="B203" s="12" t="n"/>
      <c r="C203" s="12" t="n"/>
      <c r="D203" s="13" t="n"/>
      <c r="E203" s="14" t="n"/>
      <c r="F203" s="12" t="n"/>
      <c r="G203" s="14" t="n"/>
      <c r="H203" s="12" t="n"/>
      <c r="I203" s="12" t="n"/>
      <c r="J203" s="6">
        <f>IF(OR(B203="",I203=""),"",IFERROR(VLOOKUP(I203,설정!$C$5:$E$16,2,0),""))</f>
        <v/>
      </c>
      <c r="K203" s="13" t="n"/>
      <c r="L203" s="15" t="n"/>
      <c r="M203" s="13" t="n"/>
      <c r="N203" s="12" t="n"/>
      <c r="O203" s="14" t="n"/>
      <c r="P203" s="13" t="n"/>
      <c r="Q203" s="14" t="n"/>
      <c r="R203" s="11">
        <f>IF(OR(B203="",D203="",S203="종결"),"",TODAY()-D203)</f>
        <v/>
      </c>
      <c r="S203" s="6">
        <f>IF(OR(B203="",I203=""),"",IFERROR(VLOOKUP(I203,설정!$C$5:$E$16,3,0),""))</f>
        <v/>
      </c>
    </row>
    <row r="204">
      <c r="A204" s="6">
        <f>IF(B204="","",ROW()-4)</f>
        <v/>
      </c>
      <c r="B204" s="12" t="n"/>
      <c r="C204" s="12" t="n"/>
      <c r="D204" s="13" t="n"/>
      <c r="E204" s="14" t="n"/>
      <c r="F204" s="12" t="n"/>
      <c r="G204" s="14" t="n"/>
      <c r="H204" s="12" t="n"/>
      <c r="I204" s="12" t="n"/>
      <c r="J204" s="6">
        <f>IF(OR(B204="",I204=""),"",IFERROR(VLOOKUP(I204,설정!$C$5:$E$16,2,0),""))</f>
        <v/>
      </c>
      <c r="K204" s="13" t="n"/>
      <c r="L204" s="15" t="n"/>
      <c r="M204" s="13" t="n"/>
      <c r="N204" s="12" t="n"/>
      <c r="O204" s="14" t="n"/>
      <c r="P204" s="13" t="n"/>
      <c r="Q204" s="14" t="n"/>
      <c r="R204" s="11">
        <f>IF(OR(B204="",D204="",S204="종결"),"",TODAY()-D204)</f>
        <v/>
      </c>
      <c r="S204" s="6">
        <f>IF(OR(B204="",I204=""),"",IFERROR(VLOOKUP(I204,설정!$C$5:$E$16,3,0),""))</f>
        <v/>
      </c>
    </row>
    <row r="205">
      <c r="A205" s="6">
        <f>IF(B205="","",ROW()-4)</f>
        <v/>
      </c>
      <c r="B205" s="12" t="n"/>
      <c r="C205" s="12" t="n"/>
      <c r="D205" s="13" t="n"/>
      <c r="E205" s="14" t="n"/>
      <c r="F205" s="12" t="n"/>
      <c r="G205" s="14" t="n"/>
      <c r="H205" s="12" t="n"/>
      <c r="I205" s="12" t="n"/>
      <c r="J205" s="6">
        <f>IF(OR(B205="",I205=""),"",IFERROR(VLOOKUP(I205,설정!$C$5:$E$16,2,0),""))</f>
        <v/>
      </c>
      <c r="K205" s="13" t="n"/>
      <c r="L205" s="15" t="n"/>
      <c r="M205" s="13" t="n"/>
      <c r="N205" s="12" t="n"/>
      <c r="O205" s="14" t="n"/>
      <c r="P205" s="13" t="n"/>
      <c r="Q205" s="14" t="n"/>
      <c r="R205" s="11">
        <f>IF(OR(B205="",D205="",S205="종결"),"",TODAY()-D205)</f>
        <v/>
      </c>
      <c r="S205" s="6">
        <f>IF(OR(B205="",I205=""),"",IFERROR(VLOOKUP(I205,설정!$C$5:$E$16,3,0),""))</f>
        <v/>
      </c>
    </row>
    <row r="206">
      <c r="A206" s="6">
        <f>IF(B206="","",ROW()-4)</f>
        <v/>
      </c>
      <c r="B206" s="12" t="n"/>
      <c r="C206" s="12" t="n"/>
      <c r="D206" s="13" t="n"/>
      <c r="E206" s="14" t="n"/>
      <c r="F206" s="12" t="n"/>
      <c r="G206" s="14" t="n"/>
      <c r="H206" s="12" t="n"/>
      <c r="I206" s="12" t="n"/>
      <c r="J206" s="6">
        <f>IF(OR(B206="",I206=""),"",IFERROR(VLOOKUP(I206,설정!$C$5:$E$16,2,0),""))</f>
        <v/>
      </c>
      <c r="K206" s="13" t="n"/>
      <c r="L206" s="15" t="n"/>
      <c r="M206" s="13" t="n"/>
      <c r="N206" s="12" t="n"/>
      <c r="O206" s="14" t="n"/>
      <c r="P206" s="13" t="n"/>
      <c r="Q206" s="14" t="n"/>
      <c r="R206" s="11">
        <f>IF(OR(B206="",D206="",S206="종결"),"",TODAY()-D206)</f>
        <v/>
      </c>
      <c r="S206" s="6">
        <f>IF(OR(B206="",I206=""),"",IFERROR(VLOOKUP(I206,설정!$C$5:$E$16,3,0),""))</f>
        <v/>
      </c>
    </row>
    <row r="207">
      <c r="A207" s="6">
        <f>IF(B207="","",ROW()-4)</f>
        <v/>
      </c>
      <c r="B207" s="12" t="n"/>
      <c r="C207" s="12" t="n"/>
      <c r="D207" s="13" t="n"/>
      <c r="E207" s="14" t="n"/>
      <c r="F207" s="12" t="n"/>
      <c r="G207" s="14" t="n"/>
      <c r="H207" s="12" t="n"/>
      <c r="I207" s="12" t="n"/>
      <c r="J207" s="6">
        <f>IF(OR(B207="",I207=""),"",IFERROR(VLOOKUP(I207,설정!$C$5:$E$16,2,0),""))</f>
        <v/>
      </c>
      <c r="K207" s="13" t="n"/>
      <c r="L207" s="15" t="n"/>
      <c r="M207" s="13" t="n"/>
      <c r="N207" s="12" t="n"/>
      <c r="O207" s="14" t="n"/>
      <c r="P207" s="13" t="n"/>
      <c r="Q207" s="14" t="n"/>
      <c r="R207" s="11">
        <f>IF(OR(B207="",D207="",S207="종결"),"",TODAY()-D207)</f>
        <v/>
      </c>
      <c r="S207" s="6">
        <f>IF(OR(B207="",I207=""),"",IFERROR(VLOOKUP(I207,설정!$C$5:$E$16,3,0),""))</f>
        <v/>
      </c>
    </row>
    <row r="208">
      <c r="A208" s="6">
        <f>IF(B208="","",ROW()-4)</f>
        <v/>
      </c>
      <c r="B208" s="12" t="n"/>
      <c r="C208" s="12" t="n"/>
      <c r="D208" s="13" t="n"/>
      <c r="E208" s="14" t="n"/>
      <c r="F208" s="12" t="n"/>
      <c r="G208" s="14" t="n"/>
      <c r="H208" s="12" t="n"/>
      <c r="I208" s="12" t="n"/>
      <c r="J208" s="6">
        <f>IF(OR(B208="",I208=""),"",IFERROR(VLOOKUP(I208,설정!$C$5:$E$16,2,0),""))</f>
        <v/>
      </c>
      <c r="K208" s="13" t="n"/>
      <c r="L208" s="15" t="n"/>
      <c r="M208" s="13" t="n"/>
      <c r="N208" s="12" t="n"/>
      <c r="O208" s="14" t="n"/>
      <c r="P208" s="13" t="n"/>
      <c r="Q208" s="14" t="n"/>
      <c r="R208" s="11">
        <f>IF(OR(B208="",D208="",S208="종결"),"",TODAY()-D208)</f>
        <v/>
      </c>
      <c r="S208" s="6">
        <f>IF(OR(B208="",I208=""),"",IFERROR(VLOOKUP(I208,설정!$C$5:$E$16,3,0),""))</f>
        <v/>
      </c>
    </row>
    <row r="209">
      <c r="A209" s="6">
        <f>IF(B209="","",ROW()-4)</f>
        <v/>
      </c>
      <c r="B209" s="12" t="n"/>
      <c r="C209" s="12" t="n"/>
      <c r="D209" s="13" t="n"/>
      <c r="E209" s="14" t="n"/>
      <c r="F209" s="12" t="n"/>
      <c r="G209" s="14" t="n"/>
      <c r="H209" s="12" t="n"/>
      <c r="I209" s="12" t="n"/>
      <c r="J209" s="6">
        <f>IF(OR(B209="",I209=""),"",IFERROR(VLOOKUP(I209,설정!$C$5:$E$16,2,0),""))</f>
        <v/>
      </c>
      <c r="K209" s="13" t="n"/>
      <c r="L209" s="15" t="n"/>
      <c r="M209" s="13" t="n"/>
      <c r="N209" s="12" t="n"/>
      <c r="O209" s="14" t="n"/>
      <c r="P209" s="13" t="n"/>
      <c r="Q209" s="14" t="n"/>
      <c r="R209" s="11">
        <f>IF(OR(B209="",D209="",S209="종결"),"",TODAY()-D209)</f>
        <v/>
      </c>
      <c r="S209" s="6">
        <f>IF(OR(B209="",I209=""),"",IFERROR(VLOOKUP(I209,설정!$C$5:$E$16,3,0),""))</f>
        <v/>
      </c>
    </row>
    <row r="210">
      <c r="A210" s="6">
        <f>IF(B210="","",ROW()-4)</f>
        <v/>
      </c>
      <c r="B210" s="12" t="n"/>
      <c r="C210" s="12" t="n"/>
      <c r="D210" s="13" t="n"/>
      <c r="E210" s="14" t="n"/>
      <c r="F210" s="12" t="n"/>
      <c r="G210" s="14" t="n"/>
      <c r="H210" s="12" t="n"/>
      <c r="I210" s="12" t="n"/>
      <c r="J210" s="6">
        <f>IF(OR(B210="",I210=""),"",IFERROR(VLOOKUP(I210,설정!$C$5:$E$16,2,0),""))</f>
        <v/>
      </c>
      <c r="K210" s="13" t="n"/>
      <c r="L210" s="15" t="n"/>
      <c r="M210" s="13" t="n"/>
      <c r="N210" s="12" t="n"/>
      <c r="O210" s="14" t="n"/>
      <c r="P210" s="13" t="n"/>
      <c r="Q210" s="14" t="n"/>
      <c r="R210" s="11">
        <f>IF(OR(B210="",D210="",S210="종결"),"",TODAY()-D210)</f>
        <v/>
      </c>
      <c r="S210" s="6">
        <f>IF(OR(B210="",I210=""),"",IFERROR(VLOOKUP(I210,설정!$C$5:$E$16,3,0),""))</f>
        <v/>
      </c>
    </row>
    <row r="211">
      <c r="A211" s="6">
        <f>IF(B211="","",ROW()-4)</f>
        <v/>
      </c>
      <c r="B211" s="12" t="n"/>
      <c r="C211" s="12" t="n"/>
      <c r="D211" s="13" t="n"/>
      <c r="E211" s="14" t="n"/>
      <c r="F211" s="12" t="n"/>
      <c r="G211" s="14" t="n"/>
      <c r="H211" s="12" t="n"/>
      <c r="I211" s="12" t="n"/>
      <c r="J211" s="6">
        <f>IF(OR(B211="",I211=""),"",IFERROR(VLOOKUP(I211,설정!$C$5:$E$16,2,0),""))</f>
        <v/>
      </c>
      <c r="K211" s="13" t="n"/>
      <c r="L211" s="15" t="n"/>
      <c r="M211" s="13" t="n"/>
      <c r="N211" s="12" t="n"/>
      <c r="O211" s="14" t="n"/>
      <c r="P211" s="13" t="n"/>
      <c r="Q211" s="14" t="n"/>
      <c r="R211" s="11">
        <f>IF(OR(B211="",D211="",S211="종결"),"",TODAY()-D211)</f>
        <v/>
      </c>
      <c r="S211" s="6">
        <f>IF(OR(B211="",I211=""),"",IFERROR(VLOOKUP(I211,설정!$C$5:$E$16,3,0),""))</f>
        <v/>
      </c>
    </row>
    <row r="212">
      <c r="A212" s="6">
        <f>IF(B212="","",ROW()-4)</f>
        <v/>
      </c>
      <c r="B212" s="12" t="n"/>
      <c r="C212" s="12" t="n"/>
      <c r="D212" s="13" t="n"/>
      <c r="E212" s="14" t="n"/>
      <c r="F212" s="12" t="n"/>
      <c r="G212" s="14" t="n"/>
      <c r="H212" s="12" t="n"/>
      <c r="I212" s="12" t="n"/>
      <c r="J212" s="6">
        <f>IF(OR(B212="",I212=""),"",IFERROR(VLOOKUP(I212,설정!$C$5:$E$16,2,0),""))</f>
        <v/>
      </c>
      <c r="K212" s="13" t="n"/>
      <c r="L212" s="15" t="n"/>
      <c r="M212" s="13" t="n"/>
      <c r="N212" s="12" t="n"/>
      <c r="O212" s="14" t="n"/>
      <c r="P212" s="13" t="n"/>
      <c r="Q212" s="14" t="n"/>
      <c r="R212" s="11">
        <f>IF(OR(B212="",D212="",S212="종결"),"",TODAY()-D212)</f>
        <v/>
      </c>
      <c r="S212" s="6">
        <f>IF(OR(B212="",I212=""),"",IFERROR(VLOOKUP(I212,설정!$C$5:$E$16,3,0),""))</f>
        <v/>
      </c>
    </row>
    <row r="213">
      <c r="A213" s="6">
        <f>IF(B213="","",ROW()-4)</f>
        <v/>
      </c>
      <c r="B213" s="12" t="n"/>
      <c r="C213" s="12" t="n"/>
      <c r="D213" s="13" t="n"/>
      <c r="E213" s="14" t="n"/>
      <c r="F213" s="12" t="n"/>
      <c r="G213" s="14" t="n"/>
      <c r="H213" s="12" t="n"/>
      <c r="I213" s="12" t="n"/>
      <c r="J213" s="6">
        <f>IF(OR(B213="",I213=""),"",IFERROR(VLOOKUP(I213,설정!$C$5:$E$16,2,0),""))</f>
        <v/>
      </c>
      <c r="K213" s="13" t="n"/>
      <c r="L213" s="15" t="n"/>
      <c r="M213" s="13" t="n"/>
      <c r="N213" s="12" t="n"/>
      <c r="O213" s="14" t="n"/>
      <c r="P213" s="13" t="n"/>
      <c r="Q213" s="14" t="n"/>
      <c r="R213" s="11">
        <f>IF(OR(B213="",D213="",S213="종결"),"",TODAY()-D213)</f>
        <v/>
      </c>
      <c r="S213" s="6">
        <f>IF(OR(B213="",I213=""),"",IFERROR(VLOOKUP(I213,설정!$C$5:$E$16,3,0),""))</f>
        <v/>
      </c>
    </row>
    <row r="214">
      <c r="A214" s="6">
        <f>IF(B214="","",ROW()-4)</f>
        <v/>
      </c>
      <c r="B214" s="12" t="n"/>
      <c r="C214" s="12" t="n"/>
      <c r="D214" s="13" t="n"/>
      <c r="E214" s="14" t="n"/>
      <c r="F214" s="12" t="n"/>
      <c r="G214" s="14" t="n"/>
      <c r="H214" s="12" t="n"/>
      <c r="I214" s="12" t="n"/>
      <c r="J214" s="6">
        <f>IF(OR(B214="",I214=""),"",IFERROR(VLOOKUP(I214,설정!$C$5:$E$16,2,0),""))</f>
        <v/>
      </c>
      <c r="K214" s="13" t="n"/>
      <c r="L214" s="15" t="n"/>
      <c r="M214" s="13" t="n"/>
      <c r="N214" s="12" t="n"/>
      <c r="O214" s="14" t="n"/>
      <c r="P214" s="13" t="n"/>
      <c r="Q214" s="14" t="n"/>
      <c r="R214" s="11">
        <f>IF(OR(B214="",D214="",S214="종결"),"",TODAY()-D214)</f>
        <v/>
      </c>
      <c r="S214" s="6">
        <f>IF(OR(B214="",I214=""),"",IFERROR(VLOOKUP(I214,설정!$C$5:$E$16,3,0),""))</f>
        <v/>
      </c>
    </row>
    <row r="215">
      <c r="A215" s="6">
        <f>IF(B215="","",ROW()-4)</f>
        <v/>
      </c>
      <c r="B215" s="12" t="n"/>
      <c r="C215" s="12" t="n"/>
      <c r="D215" s="13" t="n"/>
      <c r="E215" s="14" t="n"/>
      <c r="F215" s="12" t="n"/>
      <c r="G215" s="14" t="n"/>
      <c r="H215" s="12" t="n"/>
      <c r="I215" s="12" t="n"/>
      <c r="J215" s="6">
        <f>IF(OR(B215="",I215=""),"",IFERROR(VLOOKUP(I215,설정!$C$5:$E$16,2,0),""))</f>
        <v/>
      </c>
      <c r="K215" s="13" t="n"/>
      <c r="L215" s="15" t="n"/>
      <c r="M215" s="13" t="n"/>
      <c r="N215" s="12" t="n"/>
      <c r="O215" s="14" t="n"/>
      <c r="P215" s="13" t="n"/>
      <c r="Q215" s="14" t="n"/>
      <c r="R215" s="11">
        <f>IF(OR(B215="",D215="",S215="종결"),"",TODAY()-D215)</f>
        <v/>
      </c>
      <c r="S215" s="6">
        <f>IF(OR(B215="",I215=""),"",IFERROR(VLOOKUP(I215,설정!$C$5:$E$16,3,0),""))</f>
        <v/>
      </c>
    </row>
    <row r="216">
      <c r="A216" s="6">
        <f>IF(B216="","",ROW()-4)</f>
        <v/>
      </c>
      <c r="B216" s="12" t="n"/>
      <c r="C216" s="12" t="n"/>
      <c r="D216" s="13" t="n"/>
      <c r="E216" s="14" t="n"/>
      <c r="F216" s="12" t="n"/>
      <c r="G216" s="14" t="n"/>
      <c r="H216" s="12" t="n"/>
      <c r="I216" s="12" t="n"/>
      <c r="J216" s="6">
        <f>IF(OR(B216="",I216=""),"",IFERROR(VLOOKUP(I216,설정!$C$5:$E$16,2,0),""))</f>
        <v/>
      </c>
      <c r="K216" s="13" t="n"/>
      <c r="L216" s="15" t="n"/>
      <c r="M216" s="13" t="n"/>
      <c r="N216" s="12" t="n"/>
      <c r="O216" s="14" t="n"/>
      <c r="P216" s="13" t="n"/>
      <c r="Q216" s="14" t="n"/>
      <c r="R216" s="11">
        <f>IF(OR(B216="",D216="",S216="종결"),"",TODAY()-D216)</f>
        <v/>
      </c>
      <c r="S216" s="6">
        <f>IF(OR(B216="",I216=""),"",IFERROR(VLOOKUP(I216,설정!$C$5:$E$16,3,0),""))</f>
        <v/>
      </c>
    </row>
    <row r="217">
      <c r="A217" s="6">
        <f>IF(B217="","",ROW()-4)</f>
        <v/>
      </c>
      <c r="B217" s="12" t="n"/>
      <c r="C217" s="12" t="n"/>
      <c r="D217" s="13" t="n"/>
      <c r="E217" s="14" t="n"/>
      <c r="F217" s="12" t="n"/>
      <c r="G217" s="14" t="n"/>
      <c r="H217" s="12" t="n"/>
      <c r="I217" s="12" t="n"/>
      <c r="J217" s="6">
        <f>IF(OR(B217="",I217=""),"",IFERROR(VLOOKUP(I217,설정!$C$5:$E$16,2,0),""))</f>
        <v/>
      </c>
      <c r="K217" s="13" t="n"/>
      <c r="L217" s="15" t="n"/>
      <c r="M217" s="13" t="n"/>
      <c r="N217" s="12" t="n"/>
      <c r="O217" s="14" t="n"/>
      <c r="P217" s="13" t="n"/>
      <c r="Q217" s="14" t="n"/>
      <c r="R217" s="11">
        <f>IF(OR(B217="",D217="",S217="종결"),"",TODAY()-D217)</f>
        <v/>
      </c>
      <c r="S217" s="6">
        <f>IF(OR(B217="",I217=""),"",IFERROR(VLOOKUP(I217,설정!$C$5:$E$16,3,0),""))</f>
        <v/>
      </c>
    </row>
    <row r="218">
      <c r="A218" s="6">
        <f>IF(B218="","",ROW()-4)</f>
        <v/>
      </c>
      <c r="B218" s="12" t="n"/>
      <c r="C218" s="12" t="n"/>
      <c r="D218" s="13" t="n"/>
      <c r="E218" s="14" t="n"/>
      <c r="F218" s="12" t="n"/>
      <c r="G218" s="14" t="n"/>
      <c r="H218" s="12" t="n"/>
      <c r="I218" s="12" t="n"/>
      <c r="J218" s="6">
        <f>IF(OR(B218="",I218=""),"",IFERROR(VLOOKUP(I218,설정!$C$5:$E$16,2,0),""))</f>
        <v/>
      </c>
      <c r="K218" s="13" t="n"/>
      <c r="L218" s="15" t="n"/>
      <c r="M218" s="13" t="n"/>
      <c r="N218" s="12" t="n"/>
      <c r="O218" s="14" t="n"/>
      <c r="P218" s="13" t="n"/>
      <c r="Q218" s="14" t="n"/>
      <c r="R218" s="11">
        <f>IF(OR(B218="",D218="",S218="종결"),"",TODAY()-D218)</f>
        <v/>
      </c>
      <c r="S218" s="6">
        <f>IF(OR(B218="",I218=""),"",IFERROR(VLOOKUP(I218,설정!$C$5:$E$16,3,0),""))</f>
        <v/>
      </c>
    </row>
    <row r="219">
      <c r="A219" s="6">
        <f>IF(B219="","",ROW()-4)</f>
        <v/>
      </c>
      <c r="B219" s="12" t="n"/>
      <c r="C219" s="12" t="n"/>
      <c r="D219" s="13" t="n"/>
      <c r="E219" s="14" t="n"/>
      <c r="F219" s="12" t="n"/>
      <c r="G219" s="14" t="n"/>
      <c r="H219" s="12" t="n"/>
      <c r="I219" s="12" t="n"/>
      <c r="J219" s="6">
        <f>IF(OR(B219="",I219=""),"",IFERROR(VLOOKUP(I219,설정!$C$5:$E$16,2,0),""))</f>
        <v/>
      </c>
      <c r="K219" s="13" t="n"/>
      <c r="L219" s="15" t="n"/>
      <c r="M219" s="13" t="n"/>
      <c r="N219" s="12" t="n"/>
      <c r="O219" s="14" t="n"/>
      <c r="P219" s="13" t="n"/>
      <c r="Q219" s="14" t="n"/>
      <c r="R219" s="11">
        <f>IF(OR(B219="",D219="",S219="종결"),"",TODAY()-D219)</f>
        <v/>
      </c>
      <c r="S219" s="6">
        <f>IF(OR(B219="",I219=""),"",IFERROR(VLOOKUP(I219,설정!$C$5:$E$16,3,0),""))</f>
        <v/>
      </c>
    </row>
    <row r="220">
      <c r="A220" s="6">
        <f>IF(B220="","",ROW()-4)</f>
        <v/>
      </c>
      <c r="B220" s="12" t="n"/>
      <c r="C220" s="12" t="n"/>
      <c r="D220" s="13" t="n"/>
      <c r="E220" s="14" t="n"/>
      <c r="F220" s="12" t="n"/>
      <c r="G220" s="14" t="n"/>
      <c r="H220" s="12" t="n"/>
      <c r="I220" s="12" t="n"/>
      <c r="J220" s="6">
        <f>IF(OR(B220="",I220=""),"",IFERROR(VLOOKUP(I220,설정!$C$5:$E$16,2,0),""))</f>
        <v/>
      </c>
      <c r="K220" s="13" t="n"/>
      <c r="L220" s="15" t="n"/>
      <c r="M220" s="13" t="n"/>
      <c r="N220" s="12" t="n"/>
      <c r="O220" s="14" t="n"/>
      <c r="P220" s="13" t="n"/>
      <c r="Q220" s="14" t="n"/>
      <c r="R220" s="11">
        <f>IF(OR(B220="",D220="",S220="종결"),"",TODAY()-D220)</f>
        <v/>
      </c>
      <c r="S220" s="6">
        <f>IF(OR(B220="",I220=""),"",IFERROR(VLOOKUP(I220,설정!$C$5:$E$16,3,0),""))</f>
        <v/>
      </c>
    </row>
    <row r="221">
      <c r="A221" s="6">
        <f>IF(B221="","",ROW()-4)</f>
        <v/>
      </c>
      <c r="B221" s="12" t="n"/>
      <c r="C221" s="12" t="n"/>
      <c r="D221" s="13" t="n"/>
      <c r="E221" s="14" t="n"/>
      <c r="F221" s="12" t="n"/>
      <c r="G221" s="14" t="n"/>
      <c r="H221" s="12" t="n"/>
      <c r="I221" s="12" t="n"/>
      <c r="J221" s="6">
        <f>IF(OR(B221="",I221=""),"",IFERROR(VLOOKUP(I221,설정!$C$5:$E$16,2,0),""))</f>
        <v/>
      </c>
      <c r="K221" s="13" t="n"/>
      <c r="L221" s="15" t="n"/>
      <c r="M221" s="13" t="n"/>
      <c r="N221" s="12" t="n"/>
      <c r="O221" s="14" t="n"/>
      <c r="P221" s="13" t="n"/>
      <c r="Q221" s="14" t="n"/>
      <c r="R221" s="11">
        <f>IF(OR(B221="",D221="",S221="종결"),"",TODAY()-D221)</f>
        <v/>
      </c>
      <c r="S221" s="6">
        <f>IF(OR(B221="",I221=""),"",IFERROR(VLOOKUP(I221,설정!$C$5:$E$16,3,0),""))</f>
        <v/>
      </c>
    </row>
    <row r="222">
      <c r="A222" s="6">
        <f>IF(B222="","",ROW()-4)</f>
        <v/>
      </c>
      <c r="B222" s="12" t="n"/>
      <c r="C222" s="12" t="n"/>
      <c r="D222" s="13" t="n"/>
      <c r="E222" s="14" t="n"/>
      <c r="F222" s="12" t="n"/>
      <c r="G222" s="14" t="n"/>
      <c r="H222" s="12" t="n"/>
      <c r="I222" s="12" t="n"/>
      <c r="J222" s="6">
        <f>IF(OR(B222="",I222=""),"",IFERROR(VLOOKUP(I222,설정!$C$5:$E$16,2,0),""))</f>
        <v/>
      </c>
      <c r="K222" s="13" t="n"/>
      <c r="L222" s="15" t="n"/>
      <c r="M222" s="13" t="n"/>
      <c r="N222" s="12" t="n"/>
      <c r="O222" s="14" t="n"/>
      <c r="P222" s="13" t="n"/>
      <c r="Q222" s="14" t="n"/>
      <c r="R222" s="11">
        <f>IF(OR(B222="",D222="",S222="종결"),"",TODAY()-D222)</f>
        <v/>
      </c>
      <c r="S222" s="6">
        <f>IF(OR(B222="",I222=""),"",IFERROR(VLOOKUP(I222,설정!$C$5:$E$16,3,0),""))</f>
        <v/>
      </c>
    </row>
    <row r="223">
      <c r="A223" s="6">
        <f>IF(B223="","",ROW()-4)</f>
        <v/>
      </c>
      <c r="B223" s="12" t="n"/>
      <c r="C223" s="12" t="n"/>
      <c r="D223" s="13" t="n"/>
      <c r="E223" s="14" t="n"/>
      <c r="F223" s="12" t="n"/>
      <c r="G223" s="14" t="n"/>
      <c r="H223" s="12" t="n"/>
      <c r="I223" s="12" t="n"/>
      <c r="J223" s="6">
        <f>IF(OR(B223="",I223=""),"",IFERROR(VLOOKUP(I223,설정!$C$5:$E$16,2,0),""))</f>
        <v/>
      </c>
      <c r="K223" s="13" t="n"/>
      <c r="L223" s="15" t="n"/>
      <c r="M223" s="13" t="n"/>
      <c r="N223" s="12" t="n"/>
      <c r="O223" s="14" t="n"/>
      <c r="P223" s="13" t="n"/>
      <c r="Q223" s="14" t="n"/>
      <c r="R223" s="11">
        <f>IF(OR(B223="",D223="",S223="종결"),"",TODAY()-D223)</f>
        <v/>
      </c>
      <c r="S223" s="6">
        <f>IF(OR(B223="",I223=""),"",IFERROR(VLOOKUP(I223,설정!$C$5:$E$16,3,0),""))</f>
        <v/>
      </c>
    </row>
    <row r="224">
      <c r="A224" s="6">
        <f>IF(B224="","",ROW()-4)</f>
        <v/>
      </c>
      <c r="B224" s="12" t="n"/>
      <c r="C224" s="12" t="n"/>
      <c r="D224" s="13" t="n"/>
      <c r="E224" s="14" t="n"/>
      <c r="F224" s="12" t="n"/>
      <c r="G224" s="14" t="n"/>
      <c r="H224" s="12" t="n"/>
      <c r="I224" s="12" t="n"/>
      <c r="J224" s="6">
        <f>IF(OR(B224="",I224=""),"",IFERROR(VLOOKUP(I224,설정!$C$5:$E$16,2,0),""))</f>
        <v/>
      </c>
      <c r="K224" s="13" t="n"/>
      <c r="L224" s="15" t="n"/>
      <c r="M224" s="13" t="n"/>
      <c r="N224" s="12" t="n"/>
      <c r="O224" s="14" t="n"/>
      <c r="P224" s="13" t="n"/>
      <c r="Q224" s="14" t="n"/>
      <c r="R224" s="11">
        <f>IF(OR(B224="",D224="",S224="종결"),"",TODAY()-D224)</f>
        <v/>
      </c>
      <c r="S224" s="6">
        <f>IF(OR(B224="",I224=""),"",IFERROR(VLOOKUP(I224,설정!$C$5:$E$16,3,0),""))</f>
        <v/>
      </c>
    </row>
    <row r="225">
      <c r="A225" s="6">
        <f>IF(B225="","",ROW()-4)</f>
        <v/>
      </c>
      <c r="B225" s="12" t="n"/>
      <c r="C225" s="12" t="n"/>
      <c r="D225" s="13" t="n"/>
      <c r="E225" s="14" t="n"/>
      <c r="F225" s="12" t="n"/>
      <c r="G225" s="14" t="n"/>
      <c r="H225" s="12" t="n"/>
      <c r="I225" s="12" t="n"/>
      <c r="J225" s="6">
        <f>IF(OR(B225="",I225=""),"",IFERROR(VLOOKUP(I225,설정!$C$5:$E$16,2,0),""))</f>
        <v/>
      </c>
      <c r="K225" s="13" t="n"/>
      <c r="L225" s="15" t="n"/>
      <c r="M225" s="13" t="n"/>
      <c r="N225" s="12" t="n"/>
      <c r="O225" s="14" t="n"/>
      <c r="P225" s="13" t="n"/>
      <c r="Q225" s="14" t="n"/>
      <c r="R225" s="11">
        <f>IF(OR(B225="",D225="",S225="종결"),"",TODAY()-D225)</f>
        <v/>
      </c>
      <c r="S225" s="6">
        <f>IF(OR(B225="",I225=""),"",IFERROR(VLOOKUP(I225,설정!$C$5:$E$16,3,0),""))</f>
        <v/>
      </c>
    </row>
    <row r="226">
      <c r="A226" s="6">
        <f>IF(B226="","",ROW()-4)</f>
        <v/>
      </c>
      <c r="B226" s="12" t="n"/>
      <c r="C226" s="12" t="n"/>
      <c r="D226" s="13" t="n"/>
      <c r="E226" s="14" t="n"/>
      <c r="F226" s="12" t="n"/>
      <c r="G226" s="14" t="n"/>
      <c r="H226" s="12" t="n"/>
      <c r="I226" s="12" t="n"/>
      <c r="J226" s="6">
        <f>IF(OR(B226="",I226=""),"",IFERROR(VLOOKUP(I226,설정!$C$5:$E$16,2,0),""))</f>
        <v/>
      </c>
      <c r="K226" s="13" t="n"/>
      <c r="L226" s="15" t="n"/>
      <c r="M226" s="13" t="n"/>
      <c r="N226" s="12" t="n"/>
      <c r="O226" s="14" t="n"/>
      <c r="P226" s="13" t="n"/>
      <c r="Q226" s="14" t="n"/>
      <c r="R226" s="11">
        <f>IF(OR(B226="",D226="",S226="종결"),"",TODAY()-D226)</f>
        <v/>
      </c>
      <c r="S226" s="6">
        <f>IF(OR(B226="",I226=""),"",IFERROR(VLOOKUP(I226,설정!$C$5:$E$16,3,0),""))</f>
        <v/>
      </c>
    </row>
    <row r="227">
      <c r="A227" s="6">
        <f>IF(B227="","",ROW()-4)</f>
        <v/>
      </c>
      <c r="B227" s="12" t="n"/>
      <c r="C227" s="12" t="n"/>
      <c r="D227" s="13" t="n"/>
      <c r="E227" s="14" t="n"/>
      <c r="F227" s="12" t="n"/>
      <c r="G227" s="14" t="n"/>
      <c r="H227" s="12" t="n"/>
      <c r="I227" s="12" t="n"/>
      <c r="J227" s="6">
        <f>IF(OR(B227="",I227=""),"",IFERROR(VLOOKUP(I227,설정!$C$5:$E$16,2,0),""))</f>
        <v/>
      </c>
      <c r="K227" s="13" t="n"/>
      <c r="L227" s="15" t="n"/>
      <c r="M227" s="13" t="n"/>
      <c r="N227" s="12" t="n"/>
      <c r="O227" s="14" t="n"/>
      <c r="P227" s="13" t="n"/>
      <c r="Q227" s="14" t="n"/>
      <c r="R227" s="11">
        <f>IF(OR(B227="",D227="",S227="종결"),"",TODAY()-D227)</f>
        <v/>
      </c>
      <c r="S227" s="6">
        <f>IF(OR(B227="",I227=""),"",IFERROR(VLOOKUP(I227,설정!$C$5:$E$16,3,0),""))</f>
        <v/>
      </c>
    </row>
    <row r="228">
      <c r="A228" s="6">
        <f>IF(B228="","",ROW()-4)</f>
        <v/>
      </c>
      <c r="B228" s="12" t="n"/>
      <c r="C228" s="12" t="n"/>
      <c r="D228" s="13" t="n"/>
      <c r="E228" s="14" t="n"/>
      <c r="F228" s="12" t="n"/>
      <c r="G228" s="14" t="n"/>
      <c r="H228" s="12" t="n"/>
      <c r="I228" s="12" t="n"/>
      <c r="J228" s="6">
        <f>IF(OR(B228="",I228=""),"",IFERROR(VLOOKUP(I228,설정!$C$5:$E$16,2,0),""))</f>
        <v/>
      </c>
      <c r="K228" s="13" t="n"/>
      <c r="L228" s="15" t="n"/>
      <c r="M228" s="13" t="n"/>
      <c r="N228" s="12" t="n"/>
      <c r="O228" s="14" t="n"/>
      <c r="P228" s="13" t="n"/>
      <c r="Q228" s="14" t="n"/>
      <c r="R228" s="11">
        <f>IF(OR(B228="",D228="",S228="종결"),"",TODAY()-D228)</f>
        <v/>
      </c>
      <c r="S228" s="6">
        <f>IF(OR(B228="",I228=""),"",IFERROR(VLOOKUP(I228,설정!$C$5:$E$16,3,0),""))</f>
        <v/>
      </c>
    </row>
    <row r="229">
      <c r="A229" s="6">
        <f>IF(B229="","",ROW()-4)</f>
        <v/>
      </c>
      <c r="B229" s="12" t="n"/>
      <c r="C229" s="12" t="n"/>
      <c r="D229" s="13" t="n"/>
      <c r="E229" s="14" t="n"/>
      <c r="F229" s="12" t="n"/>
      <c r="G229" s="14" t="n"/>
      <c r="H229" s="12" t="n"/>
      <c r="I229" s="12" t="n"/>
      <c r="J229" s="6">
        <f>IF(OR(B229="",I229=""),"",IFERROR(VLOOKUP(I229,설정!$C$5:$E$16,2,0),""))</f>
        <v/>
      </c>
      <c r="K229" s="13" t="n"/>
      <c r="L229" s="15" t="n"/>
      <c r="M229" s="13" t="n"/>
      <c r="N229" s="12" t="n"/>
      <c r="O229" s="14" t="n"/>
      <c r="P229" s="13" t="n"/>
      <c r="Q229" s="14" t="n"/>
      <c r="R229" s="11">
        <f>IF(OR(B229="",D229="",S229="종결"),"",TODAY()-D229)</f>
        <v/>
      </c>
      <c r="S229" s="6">
        <f>IF(OR(B229="",I229=""),"",IFERROR(VLOOKUP(I229,설정!$C$5:$E$16,3,0),""))</f>
        <v/>
      </c>
    </row>
    <row r="230">
      <c r="A230" s="6">
        <f>IF(B230="","",ROW()-4)</f>
        <v/>
      </c>
      <c r="B230" s="12" t="n"/>
      <c r="C230" s="12" t="n"/>
      <c r="D230" s="13" t="n"/>
      <c r="E230" s="14" t="n"/>
      <c r="F230" s="12" t="n"/>
      <c r="G230" s="14" t="n"/>
      <c r="H230" s="12" t="n"/>
      <c r="I230" s="12" t="n"/>
      <c r="J230" s="6">
        <f>IF(OR(B230="",I230=""),"",IFERROR(VLOOKUP(I230,설정!$C$5:$E$16,2,0),""))</f>
        <v/>
      </c>
      <c r="K230" s="13" t="n"/>
      <c r="L230" s="15" t="n"/>
      <c r="M230" s="13" t="n"/>
      <c r="N230" s="12" t="n"/>
      <c r="O230" s="14" t="n"/>
      <c r="P230" s="13" t="n"/>
      <c r="Q230" s="14" t="n"/>
      <c r="R230" s="11">
        <f>IF(OR(B230="",D230="",S230="종결"),"",TODAY()-D230)</f>
        <v/>
      </c>
      <c r="S230" s="6">
        <f>IF(OR(B230="",I230=""),"",IFERROR(VLOOKUP(I230,설정!$C$5:$E$16,3,0),""))</f>
        <v/>
      </c>
    </row>
    <row r="231">
      <c r="A231" s="6">
        <f>IF(B231="","",ROW()-4)</f>
        <v/>
      </c>
      <c r="B231" s="12" t="n"/>
      <c r="C231" s="12" t="n"/>
      <c r="D231" s="13" t="n"/>
      <c r="E231" s="14" t="n"/>
      <c r="F231" s="12" t="n"/>
      <c r="G231" s="14" t="n"/>
      <c r="H231" s="12" t="n"/>
      <c r="I231" s="12" t="n"/>
      <c r="J231" s="6">
        <f>IF(OR(B231="",I231=""),"",IFERROR(VLOOKUP(I231,설정!$C$5:$E$16,2,0),""))</f>
        <v/>
      </c>
      <c r="K231" s="13" t="n"/>
      <c r="L231" s="15" t="n"/>
      <c r="M231" s="13" t="n"/>
      <c r="N231" s="12" t="n"/>
      <c r="O231" s="14" t="n"/>
      <c r="P231" s="13" t="n"/>
      <c r="Q231" s="14" t="n"/>
      <c r="R231" s="11">
        <f>IF(OR(B231="",D231="",S231="종결"),"",TODAY()-D231)</f>
        <v/>
      </c>
      <c r="S231" s="6">
        <f>IF(OR(B231="",I231=""),"",IFERROR(VLOOKUP(I231,설정!$C$5:$E$16,3,0),""))</f>
        <v/>
      </c>
    </row>
    <row r="232">
      <c r="A232" s="6">
        <f>IF(B232="","",ROW()-4)</f>
        <v/>
      </c>
      <c r="B232" s="12" t="n"/>
      <c r="C232" s="12" t="n"/>
      <c r="D232" s="13" t="n"/>
      <c r="E232" s="14" t="n"/>
      <c r="F232" s="12" t="n"/>
      <c r="G232" s="14" t="n"/>
      <c r="H232" s="12" t="n"/>
      <c r="I232" s="12" t="n"/>
      <c r="J232" s="6">
        <f>IF(OR(B232="",I232=""),"",IFERROR(VLOOKUP(I232,설정!$C$5:$E$16,2,0),""))</f>
        <v/>
      </c>
      <c r="K232" s="13" t="n"/>
      <c r="L232" s="15" t="n"/>
      <c r="M232" s="13" t="n"/>
      <c r="N232" s="12" t="n"/>
      <c r="O232" s="14" t="n"/>
      <c r="P232" s="13" t="n"/>
      <c r="Q232" s="14" t="n"/>
      <c r="R232" s="11">
        <f>IF(OR(B232="",D232="",S232="종결"),"",TODAY()-D232)</f>
        <v/>
      </c>
      <c r="S232" s="6">
        <f>IF(OR(B232="",I232=""),"",IFERROR(VLOOKUP(I232,설정!$C$5:$E$16,3,0),""))</f>
        <v/>
      </c>
    </row>
    <row r="233">
      <c r="A233" s="6">
        <f>IF(B233="","",ROW()-4)</f>
        <v/>
      </c>
      <c r="B233" s="12" t="n"/>
      <c r="C233" s="12" t="n"/>
      <c r="D233" s="13" t="n"/>
      <c r="E233" s="14" t="n"/>
      <c r="F233" s="12" t="n"/>
      <c r="G233" s="14" t="n"/>
      <c r="H233" s="12" t="n"/>
      <c r="I233" s="12" t="n"/>
      <c r="J233" s="6">
        <f>IF(OR(B233="",I233=""),"",IFERROR(VLOOKUP(I233,설정!$C$5:$E$16,2,0),""))</f>
        <v/>
      </c>
      <c r="K233" s="13" t="n"/>
      <c r="L233" s="15" t="n"/>
      <c r="M233" s="13" t="n"/>
      <c r="N233" s="12" t="n"/>
      <c r="O233" s="14" t="n"/>
      <c r="P233" s="13" t="n"/>
      <c r="Q233" s="14" t="n"/>
      <c r="R233" s="11">
        <f>IF(OR(B233="",D233="",S233="종결"),"",TODAY()-D233)</f>
        <v/>
      </c>
      <c r="S233" s="6">
        <f>IF(OR(B233="",I233=""),"",IFERROR(VLOOKUP(I233,설정!$C$5:$E$16,3,0),""))</f>
        <v/>
      </c>
    </row>
    <row r="234">
      <c r="A234" s="6">
        <f>IF(B234="","",ROW()-4)</f>
        <v/>
      </c>
      <c r="B234" s="12" t="n"/>
      <c r="C234" s="12" t="n"/>
      <c r="D234" s="13" t="n"/>
      <c r="E234" s="14" t="n"/>
      <c r="F234" s="12" t="n"/>
      <c r="G234" s="14" t="n"/>
      <c r="H234" s="12" t="n"/>
      <c r="I234" s="12" t="n"/>
      <c r="J234" s="6">
        <f>IF(OR(B234="",I234=""),"",IFERROR(VLOOKUP(I234,설정!$C$5:$E$16,2,0),""))</f>
        <v/>
      </c>
      <c r="K234" s="13" t="n"/>
      <c r="L234" s="15" t="n"/>
      <c r="M234" s="13" t="n"/>
      <c r="N234" s="12" t="n"/>
      <c r="O234" s="14" t="n"/>
      <c r="P234" s="13" t="n"/>
      <c r="Q234" s="14" t="n"/>
      <c r="R234" s="11">
        <f>IF(OR(B234="",D234="",S234="종결"),"",TODAY()-D234)</f>
        <v/>
      </c>
      <c r="S234" s="6">
        <f>IF(OR(B234="",I234=""),"",IFERROR(VLOOKUP(I234,설정!$C$5:$E$16,3,0),""))</f>
        <v/>
      </c>
    </row>
    <row r="235">
      <c r="A235" s="6">
        <f>IF(B235="","",ROW()-4)</f>
        <v/>
      </c>
      <c r="B235" s="12" t="n"/>
      <c r="C235" s="12" t="n"/>
      <c r="D235" s="13" t="n"/>
      <c r="E235" s="14" t="n"/>
      <c r="F235" s="12" t="n"/>
      <c r="G235" s="14" t="n"/>
      <c r="H235" s="12" t="n"/>
      <c r="I235" s="12" t="n"/>
      <c r="J235" s="6">
        <f>IF(OR(B235="",I235=""),"",IFERROR(VLOOKUP(I235,설정!$C$5:$E$16,2,0),""))</f>
        <v/>
      </c>
      <c r="K235" s="13" t="n"/>
      <c r="L235" s="15" t="n"/>
      <c r="M235" s="13" t="n"/>
      <c r="N235" s="12" t="n"/>
      <c r="O235" s="14" t="n"/>
      <c r="P235" s="13" t="n"/>
      <c r="Q235" s="14" t="n"/>
      <c r="R235" s="11">
        <f>IF(OR(B235="",D235="",S235="종결"),"",TODAY()-D235)</f>
        <v/>
      </c>
      <c r="S235" s="6">
        <f>IF(OR(B235="",I235=""),"",IFERROR(VLOOKUP(I235,설정!$C$5:$E$16,3,0),""))</f>
        <v/>
      </c>
    </row>
    <row r="236">
      <c r="A236" s="6">
        <f>IF(B236="","",ROW()-4)</f>
        <v/>
      </c>
      <c r="B236" s="12" t="n"/>
      <c r="C236" s="12" t="n"/>
      <c r="D236" s="13" t="n"/>
      <c r="E236" s="14" t="n"/>
      <c r="F236" s="12" t="n"/>
      <c r="G236" s="14" t="n"/>
      <c r="H236" s="12" t="n"/>
      <c r="I236" s="12" t="n"/>
      <c r="J236" s="6">
        <f>IF(OR(B236="",I236=""),"",IFERROR(VLOOKUP(I236,설정!$C$5:$E$16,2,0),""))</f>
        <v/>
      </c>
      <c r="K236" s="13" t="n"/>
      <c r="L236" s="15" t="n"/>
      <c r="M236" s="13" t="n"/>
      <c r="N236" s="12" t="n"/>
      <c r="O236" s="14" t="n"/>
      <c r="P236" s="13" t="n"/>
      <c r="Q236" s="14" t="n"/>
      <c r="R236" s="11">
        <f>IF(OR(B236="",D236="",S236="종결"),"",TODAY()-D236)</f>
        <v/>
      </c>
      <c r="S236" s="6">
        <f>IF(OR(B236="",I236=""),"",IFERROR(VLOOKUP(I236,설정!$C$5:$E$16,3,0),""))</f>
        <v/>
      </c>
    </row>
    <row r="237">
      <c r="A237" s="6">
        <f>IF(B237="","",ROW()-4)</f>
        <v/>
      </c>
      <c r="B237" s="12" t="n"/>
      <c r="C237" s="12" t="n"/>
      <c r="D237" s="13" t="n"/>
      <c r="E237" s="14" t="n"/>
      <c r="F237" s="12" t="n"/>
      <c r="G237" s="14" t="n"/>
      <c r="H237" s="12" t="n"/>
      <c r="I237" s="12" t="n"/>
      <c r="J237" s="6">
        <f>IF(OR(B237="",I237=""),"",IFERROR(VLOOKUP(I237,설정!$C$5:$E$16,2,0),""))</f>
        <v/>
      </c>
      <c r="K237" s="13" t="n"/>
      <c r="L237" s="15" t="n"/>
      <c r="M237" s="13" t="n"/>
      <c r="N237" s="12" t="n"/>
      <c r="O237" s="14" t="n"/>
      <c r="P237" s="13" t="n"/>
      <c r="Q237" s="14" t="n"/>
      <c r="R237" s="11">
        <f>IF(OR(B237="",D237="",S237="종결"),"",TODAY()-D237)</f>
        <v/>
      </c>
      <c r="S237" s="6">
        <f>IF(OR(B237="",I237=""),"",IFERROR(VLOOKUP(I237,설정!$C$5:$E$16,3,0),""))</f>
        <v/>
      </c>
    </row>
    <row r="238">
      <c r="A238" s="6">
        <f>IF(B238="","",ROW()-4)</f>
        <v/>
      </c>
      <c r="B238" s="12" t="n"/>
      <c r="C238" s="12" t="n"/>
      <c r="D238" s="13" t="n"/>
      <c r="E238" s="14" t="n"/>
      <c r="F238" s="12" t="n"/>
      <c r="G238" s="14" t="n"/>
      <c r="H238" s="12" t="n"/>
      <c r="I238" s="12" t="n"/>
      <c r="J238" s="6">
        <f>IF(OR(B238="",I238=""),"",IFERROR(VLOOKUP(I238,설정!$C$5:$E$16,2,0),""))</f>
        <v/>
      </c>
      <c r="K238" s="13" t="n"/>
      <c r="L238" s="15" t="n"/>
      <c r="M238" s="13" t="n"/>
      <c r="N238" s="12" t="n"/>
      <c r="O238" s="14" t="n"/>
      <c r="P238" s="13" t="n"/>
      <c r="Q238" s="14" t="n"/>
      <c r="R238" s="11">
        <f>IF(OR(B238="",D238="",S238="종결"),"",TODAY()-D238)</f>
        <v/>
      </c>
      <c r="S238" s="6">
        <f>IF(OR(B238="",I238=""),"",IFERROR(VLOOKUP(I238,설정!$C$5:$E$16,3,0),""))</f>
        <v/>
      </c>
    </row>
    <row r="239">
      <c r="A239" s="6">
        <f>IF(B239="","",ROW()-4)</f>
        <v/>
      </c>
      <c r="B239" s="12" t="n"/>
      <c r="C239" s="12" t="n"/>
      <c r="D239" s="13" t="n"/>
      <c r="E239" s="14" t="n"/>
      <c r="F239" s="12" t="n"/>
      <c r="G239" s="14" t="n"/>
      <c r="H239" s="12" t="n"/>
      <c r="I239" s="12" t="n"/>
      <c r="J239" s="6">
        <f>IF(OR(B239="",I239=""),"",IFERROR(VLOOKUP(I239,설정!$C$5:$E$16,2,0),""))</f>
        <v/>
      </c>
      <c r="K239" s="13" t="n"/>
      <c r="L239" s="15" t="n"/>
      <c r="M239" s="13" t="n"/>
      <c r="N239" s="12" t="n"/>
      <c r="O239" s="14" t="n"/>
      <c r="P239" s="13" t="n"/>
      <c r="Q239" s="14" t="n"/>
      <c r="R239" s="11">
        <f>IF(OR(B239="",D239="",S239="종결"),"",TODAY()-D239)</f>
        <v/>
      </c>
      <c r="S239" s="6">
        <f>IF(OR(B239="",I239=""),"",IFERROR(VLOOKUP(I239,설정!$C$5:$E$16,3,0),""))</f>
        <v/>
      </c>
    </row>
    <row r="240">
      <c r="A240" s="6">
        <f>IF(B240="","",ROW()-4)</f>
        <v/>
      </c>
      <c r="B240" s="12" t="n"/>
      <c r="C240" s="12" t="n"/>
      <c r="D240" s="13" t="n"/>
      <c r="E240" s="14" t="n"/>
      <c r="F240" s="12" t="n"/>
      <c r="G240" s="14" t="n"/>
      <c r="H240" s="12" t="n"/>
      <c r="I240" s="12" t="n"/>
      <c r="J240" s="6">
        <f>IF(OR(B240="",I240=""),"",IFERROR(VLOOKUP(I240,설정!$C$5:$E$16,2,0),""))</f>
        <v/>
      </c>
      <c r="K240" s="13" t="n"/>
      <c r="L240" s="15" t="n"/>
      <c r="M240" s="13" t="n"/>
      <c r="N240" s="12" t="n"/>
      <c r="O240" s="14" t="n"/>
      <c r="P240" s="13" t="n"/>
      <c r="Q240" s="14" t="n"/>
      <c r="R240" s="11">
        <f>IF(OR(B240="",D240="",S240="종결"),"",TODAY()-D240)</f>
        <v/>
      </c>
      <c r="S240" s="6">
        <f>IF(OR(B240="",I240=""),"",IFERROR(VLOOKUP(I240,설정!$C$5:$E$16,3,0),""))</f>
        <v/>
      </c>
    </row>
    <row r="241">
      <c r="A241" s="6">
        <f>IF(B241="","",ROW()-4)</f>
        <v/>
      </c>
      <c r="B241" s="12" t="n"/>
      <c r="C241" s="12" t="n"/>
      <c r="D241" s="13" t="n"/>
      <c r="E241" s="14" t="n"/>
      <c r="F241" s="12" t="n"/>
      <c r="G241" s="14" t="n"/>
      <c r="H241" s="12" t="n"/>
      <c r="I241" s="12" t="n"/>
      <c r="J241" s="6">
        <f>IF(OR(B241="",I241=""),"",IFERROR(VLOOKUP(I241,설정!$C$5:$E$16,2,0),""))</f>
        <v/>
      </c>
      <c r="K241" s="13" t="n"/>
      <c r="L241" s="15" t="n"/>
      <c r="M241" s="13" t="n"/>
      <c r="N241" s="12" t="n"/>
      <c r="O241" s="14" t="n"/>
      <c r="P241" s="13" t="n"/>
      <c r="Q241" s="14" t="n"/>
      <c r="R241" s="11">
        <f>IF(OR(B241="",D241="",S241="종결"),"",TODAY()-D241)</f>
        <v/>
      </c>
      <c r="S241" s="6">
        <f>IF(OR(B241="",I241=""),"",IFERROR(VLOOKUP(I241,설정!$C$5:$E$16,3,0),""))</f>
        <v/>
      </c>
    </row>
    <row r="242">
      <c r="A242" s="6">
        <f>IF(B242="","",ROW()-4)</f>
        <v/>
      </c>
      <c r="B242" s="12" t="n"/>
      <c r="C242" s="12" t="n"/>
      <c r="D242" s="13" t="n"/>
      <c r="E242" s="14" t="n"/>
      <c r="F242" s="12" t="n"/>
      <c r="G242" s="14" t="n"/>
      <c r="H242" s="12" t="n"/>
      <c r="I242" s="12" t="n"/>
      <c r="J242" s="6">
        <f>IF(OR(B242="",I242=""),"",IFERROR(VLOOKUP(I242,설정!$C$5:$E$16,2,0),""))</f>
        <v/>
      </c>
      <c r="K242" s="13" t="n"/>
      <c r="L242" s="15" t="n"/>
      <c r="M242" s="13" t="n"/>
      <c r="N242" s="12" t="n"/>
      <c r="O242" s="14" t="n"/>
      <c r="P242" s="13" t="n"/>
      <c r="Q242" s="14" t="n"/>
      <c r="R242" s="11">
        <f>IF(OR(B242="",D242="",S242="종결"),"",TODAY()-D242)</f>
        <v/>
      </c>
      <c r="S242" s="6">
        <f>IF(OR(B242="",I242=""),"",IFERROR(VLOOKUP(I242,설정!$C$5:$E$16,3,0),""))</f>
        <v/>
      </c>
    </row>
    <row r="243">
      <c r="A243" s="6">
        <f>IF(B243="","",ROW()-4)</f>
        <v/>
      </c>
      <c r="B243" s="12" t="n"/>
      <c r="C243" s="12" t="n"/>
      <c r="D243" s="13" t="n"/>
      <c r="E243" s="14" t="n"/>
      <c r="F243" s="12" t="n"/>
      <c r="G243" s="14" t="n"/>
      <c r="H243" s="12" t="n"/>
      <c r="I243" s="12" t="n"/>
      <c r="J243" s="6">
        <f>IF(OR(B243="",I243=""),"",IFERROR(VLOOKUP(I243,설정!$C$5:$E$16,2,0),""))</f>
        <v/>
      </c>
      <c r="K243" s="13" t="n"/>
      <c r="L243" s="15" t="n"/>
      <c r="M243" s="13" t="n"/>
      <c r="N243" s="12" t="n"/>
      <c r="O243" s="14" t="n"/>
      <c r="P243" s="13" t="n"/>
      <c r="Q243" s="14" t="n"/>
      <c r="R243" s="11">
        <f>IF(OR(B243="",D243="",S243="종결"),"",TODAY()-D243)</f>
        <v/>
      </c>
      <c r="S243" s="6">
        <f>IF(OR(B243="",I243=""),"",IFERROR(VLOOKUP(I243,설정!$C$5:$E$16,3,0),""))</f>
        <v/>
      </c>
    </row>
    <row r="244">
      <c r="A244" s="6">
        <f>IF(B244="","",ROW()-4)</f>
        <v/>
      </c>
      <c r="B244" s="12" t="n"/>
      <c r="C244" s="12" t="n"/>
      <c r="D244" s="13" t="n"/>
      <c r="E244" s="14" t="n"/>
      <c r="F244" s="12" t="n"/>
      <c r="G244" s="14" t="n"/>
      <c r="H244" s="12" t="n"/>
      <c r="I244" s="12" t="n"/>
      <c r="J244" s="6">
        <f>IF(OR(B244="",I244=""),"",IFERROR(VLOOKUP(I244,설정!$C$5:$E$16,2,0),""))</f>
        <v/>
      </c>
      <c r="K244" s="13" t="n"/>
      <c r="L244" s="15" t="n"/>
      <c r="M244" s="13" t="n"/>
      <c r="N244" s="12" t="n"/>
      <c r="O244" s="14" t="n"/>
      <c r="P244" s="13" t="n"/>
      <c r="Q244" s="14" t="n"/>
      <c r="R244" s="11">
        <f>IF(OR(B244="",D244="",S244="종결"),"",TODAY()-D244)</f>
        <v/>
      </c>
      <c r="S244" s="6">
        <f>IF(OR(B244="",I244=""),"",IFERROR(VLOOKUP(I244,설정!$C$5:$E$16,3,0),""))</f>
        <v/>
      </c>
    </row>
    <row r="245">
      <c r="A245" s="6">
        <f>IF(B245="","",ROW()-4)</f>
        <v/>
      </c>
      <c r="B245" s="12" t="n"/>
      <c r="C245" s="12" t="n"/>
      <c r="D245" s="13" t="n"/>
      <c r="E245" s="14" t="n"/>
      <c r="F245" s="12" t="n"/>
      <c r="G245" s="14" t="n"/>
      <c r="H245" s="12" t="n"/>
      <c r="I245" s="12" t="n"/>
      <c r="J245" s="6">
        <f>IF(OR(B245="",I245=""),"",IFERROR(VLOOKUP(I245,설정!$C$5:$E$16,2,0),""))</f>
        <v/>
      </c>
      <c r="K245" s="13" t="n"/>
      <c r="L245" s="15" t="n"/>
      <c r="M245" s="13" t="n"/>
      <c r="N245" s="12" t="n"/>
      <c r="O245" s="14" t="n"/>
      <c r="P245" s="13" t="n"/>
      <c r="Q245" s="14" t="n"/>
      <c r="R245" s="11">
        <f>IF(OR(B245="",D245="",S245="종결"),"",TODAY()-D245)</f>
        <v/>
      </c>
      <c r="S245" s="6">
        <f>IF(OR(B245="",I245=""),"",IFERROR(VLOOKUP(I245,설정!$C$5:$E$16,3,0),""))</f>
        <v/>
      </c>
    </row>
    <row r="246">
      <c r="A246" s="6">
        <f>IF(B246="","",ROW()-4)</f>
        <v/>
      </c>
      <c r="B246" s="12" t="n"/>
      <c r="C246" s="12" t="n"/>
      <c r="D246" s="13" t="n"/>
      <c r="E246" s="14" t="n"/>
      <c r="F246" s="12" t="n"/>
      <c r="G246" s="14" t="n"/>
      <c r="H246" s="12" t="n"/>
      <c r="I246" s="12" t="n"/>
      <c r="J246" s="6">
        <f>IF(OR(B246="",I246=""),"",IFERROR(VLOOKUP(I246,설정!$C$5:$E$16,2,0),""))</f>
        <v/>
      </c>
      <c r="K246" s="13" t="n"/>
      <c r="L246" s="15" t="n"/>
      <c r="M246" s="13" t="n"/>
      <c r="N246" s="12" t="n"/>
      <c r="O246" s="14" t="n"/>
      <c r="P246" s="13" t="n"/>
      <c r="Q246" s="14" t="n"/>
      <c r="R246" s="11">
        <f>IF(OR(B246="",D246="",S246="종결"),"",TODAY()-D246)</f>
        <v/>
      </c>
      <c r="S246" s="6">
        <f>IF(OR(B246="",I246=""),"",IFERROR(VLOOKUP(I246,설정!$C$5:$E$16,3,0),""))</f>
        <v/>
      </c>
    </row>
    <row r="247">
      <c r="A247" s="6">
        <f>IF(B247="","",ROW()-4)</f>
        <v/>
      </c>
      <c r="B247" s="12" t="n"/>
      <c r="C247" s="12" t="n"/>
      <c r="D247" s="13" t="n"/>
      <c r="E247" s="14" t="n"/>
      <c r="F247" s="12" t="n"/>
      <c r="G247" s="14" t="n"/>
      <c r="H247" s="12" t="n"/>
      <c r="I247" s="12" t="n"/>
      <c r="J247" s="6">
        <f>IF(OR(B247="",I247=""),"",IFERROR(VLOOKUP(I247,설정!$C$5:$E$16,2,0),""))</f>
        <v/>
      </c>
      <c r="K247" s="13" t="n"/>
      <c r="L247" s="15" t="n"/>
      <c r="M247" s="13" t="n"/>
      <c r="N247" s="12" t="n"/>
      <c r="O247" s="14" t="n"/>
      <c r="P247" s="13" t="n"/>
      <c r="Q247" s="14" t="n"/>
      <c r="R247" s="11">
        <f>IF(OR(B247="",D247="",S247="종결"),"",TODAY()-D247)</f>
        <v/>
      </c>
      <c r="S247" s="6">
        <f>IF(OR(B247="",I247=""),"",IFERROR(VLOOKUP(I247,설정!$C$5:$E$16,3,0),""))</f>
        <v/>
      </c>
    </row>
    <row r="248">
      <c r="A248" s="6">
        <f>IF(B248="","",ROW()-4)</f>
        <v/>
      </c>
      <c r="B248" s="12" t="n"/>
      <c r="C248" s="12" t="n"/>
      <c r="D248" s="13" t="n"/>
      <c r="E248" s="14" t="n"/>
      <c r="F248" s="12" t="n"/>
      <c r="G248" s="14" t="n"/>
      <c r="H248" s="12" t="n"/>
      <c r="I248" s="12" t="n"/>
      <c r="J248" s="6">
        <f>IF(OR(B248="",I248=""),"",IFERROR(VLOOKUP(I248,설정!$C$5:$E$16,2,0),""))</f>
        <v/>
      </c>
      <c r="K248" s="13" t="n"/>
      <c r="L248" s="15" t="n"/>
      <c r="M248" s="13" t="n"/>
      <c r="N248" s="12" t="n"/>
      <c r="O248" s="14" t="n"/>
      <c r="P248" s="13" t="n"/>
      <c r="Q248" s="14" t="n"/>
      <c r="R248" s="11">
        <f>IF(OR(B248="",D248="",S248="종결"),"",TODAY()-D248)</f>
        <v/>
      </c>
      <c r="S248" s="6">
        <f>IF(OR(B248="",I248=""),"",IFERROR(VLOOKUP(I248,설정!$C$5:$E$16,3,0),""))</f>
        <v/>
      </c>
    </row>
    <row r="249">
      <c r="A249" s="6">
        <f>IF(B249="","",ROW()-4)</f>
        <v/>
      </c>
      <c r="B249" s="12" t="n"/>
      <c r="C249" s="12" t="n"/>
      <c r="D249" s="13" t="n"/>
      <c r="E249" s="14" t="n"/>
      <c r="F249" s="12" t="n"/>
      <c r="G249" s="14" t="n"/>
      <c r="H249" s="12" t="n"/>
      <c r="I249" s="12" t="n"/>
      <c r="J249" s="6">
        <f>IF(OR(B249="",I249=""),"",IFERROR(VLOOKUP(I249,설정!$C$5:$E$16,2,0),""))</f>
        <v/>
      </c>
      <c r="K249" s="13" t="n"/>
      <c r="L249" s="15" t="n"/>
      <c r="M249" s="13" t="n"/>
      <c r="N249" s="12" t="n"/>
      <c r="O249" s="14" t="n"/>
      <c r="P249" s="13" t="n"/>
      <c r="Q249" s="14" t="n"/>
      <c r="R249" s="11">
        <f>IF(OR(B249="",D249="",S249="종결"),"",TODAY()-D249)</f>
        <v/>
      </c>
      <c r="S249" s="6">
        <f>IF(OR(B249="",I249=""),"",IFERROR(VLOOKUP(I249,설정!$C$5:$E$16,3,0),""))</f>
        <v/>
      </c>
    </row>
    <row r="250">
      <c r="A250" s="6">
        <f>IF(B250="","",ROW()-4)</f>
        <v/>
      </c>
      <c r="B250" s="12" t="n"/>
      <c r="C250" s="12" t="n"/>
      <c r="D250" s="13" t="n"/>
      <c r="E250" s="14" t="n"/>
      <c r="F250" s="12" t="n"/>
      <c r="G250" s="14" t="n"/>
      <c r="H250" s="12" t="n"/>
      <c r="I250" s="12" t="n"/>
      <c r="J250" s="6">
        <f>IF(OR(B250="",I250=""),"",IFERROR(VLOOKUP(I250,설정!$C$5:$E$16,2,0),""))</f>
        <v/>
      </c>
      <c r="K250" s="13" t="n"/>
      <c r="L250" s="15" t="n"/>
      <c r="M250" s="13" t="n"/>
      <c r="N250" s="12" t="n"/>
      <c r="O250" s="14" t="n"/>
      <c r="P250" s="13" t="n"/>
      <c r="Q250" s="14" t="n"/>
      <c r="R250" s="11">
        <f>IF(OR(B250="",D250="",S250="종결"),"",TODAY()-D250)</f>
        <v/>
      </c>
      <c r="S250" s="6">
        <f>IF(OR(B250="",I250=""),"",IFERROR(VLOOKUP(I250,설정!$C$5:$E$16,3,0),""))</f>
        <v/>
      </c>
    </row>
    <row r="251">
      <c r="A251" s="6">
        <f>IF(B251="","",ROW()-4)</f>
        <v/>
      </c>
      <c r="B251" s="12" t="n"/>
      <c r="C251" s="12" t="n"/>
      <c r="D251" s="13" t="n"/>
      <c r="E251" s="14" t="n"/>
      <c r="F251" s="12" t="n"/>
      <c r="G251" s="14" t="n"/>
      <c r="H251" s="12" t="n"/>
      <c r="I251" s="12" t="n"/>
      <c r="J251" s="6">
        <f>IF(OR(B251="",I251=""),"",IFERROR(VLOOKUP(I251,설정!$C$5:$E$16,2,0),""))</f>
        <v/>
      </c>
      <c r="K251" s="13" t="n"/>
      <c r="L251" s="15" t="n"/>
      <c r="M251" s="13" t="n"/>
      <c r="N251" s="12" t="n"/>
      <c r="O251" s="14" t="n"/>
      <c r="P251" s="13" t="n"/>
      <c r="Q251" s="14" t="n"/>
      <c r="R251" s="11">
        <f>IF(OR(B251="",D251="",S251="종결"),"",TODAY()-D251)</f>
        <v/>
      </c>
      <c r="S251" s="6">
        <f>IF(OR(B251="",I251=""),"",IFERROR(VLOOKUP(I251,설정!$C$5:$E$16,3,0),""))</f>
        <v/>
      </c>
    </row>
    <row r="252">
      <c r="A252" s="6">
        <f>IF(B252="","",ROW()-4)</f>
        <v/>
      </c>
      <c r="B252" s="12" t="n"/>
      <c r="C252" s="12" t="n"/>
      <c r="D252" s="13" t="n"/>
      <c r="E252" s="14" t="n"/>
      <c r="F252" s="12" t="n"/>
      <c r="G252" s="14" t="n"/>
      <c r="H252" s="12" t="n"/>
      <c r="I252" s="12" t="n"/>
      <c r="J252" s="6">
        <f>IF(OR(B252="",I252=""),"",IFERROR(VLOOKUP(I252,설정!$C$5:$E$16,2,0),""))</f>
        <v/>
      </c>
      <c r="K252" s="13" t="n"/>
      <c r="L252" s="15" t="n"/>
      <c r="M252" s="13" t="n"/>
      <c r="N252" s="12" t="n"/>
      <c r="O252" s="14" t="n"/>
      <c r="P252" s="13" t="n"/>
      <c r="Q252" s="14" t="n"/>
      <c r="R252" s="11">
        <f>IF(OR(B252="",D252="",S252="종결"),"",TODAY()-D252)</f>
        <v/>
      </c>
      <c r="S252" s="6">
        <f>IF(OR(B252="",I252=""),"",IFERROR(VLOOKUP(I252,설정!$C$5:$E$16,3,0),""))</f>
        <v/>
      </c>
    </row>
    <row r="253">
      <c r="A253" s="6">
        <f>IF(B253="","",ROW()-4)</f>
        <v/>
      </c>
      <c r="B253" s="12" t="n"/>
      <c r="C253" s="12" t="n"/>
      <c r="D253" s="13" t="n"/>
      <c r="E253" s="14" t="n"/>
      <c r="F253" s="12" t="n"/>
      <c r="G253" s="14" t="n"/>
      <c r="H253" s="12" t="n"/>
      <c r="I253" s="12" t="n"/>
      <c r="J253" s="6">
        <f>IF(OR(B253="",I253=""),"",IFERROR(VLOOKUP(I253,설정!$C$5:$E$16,2,0),""))</f>
        <v/>
      </c>
      <c r="K253" s="13" t="n"/>
      <c r="L253" s="15" t="n"/>
      <c r="M253" s="13" t="n"/>
      <c r="N253" s="12" t="n"/>
      <c r="O253" s="14" t="n"/>
      <c r="P253" s="13" t="n"/>
      <c r="Q253" s="14" t="n"/>
      <c r="R253" s="11">
        <f>IF(OR(B253="",D253="",S253="종결"),"",TODAY()-D253)</f>
        <v/>
      </c>
      <c r="S253" s="6">
        <f>IF(OR(B253="",I253=""),"",IFERROR(VLOOKUP(I253,설정!$C$5:$E$16,3,0),""))</f>
        <v/>
      </c>
    </row>
    <row r="254">
      <c r="A254" s="6">
        <f>IF(B254="","",ROW()-4)</f>
        <v/>
      </c>
      <c r="B254" s="12" t="n"/>
      <c r="C254" s="12" t="n"/>
      <c r="D254" s="13" t="n"/>
      <c r="E254" s="14" t="n"/>
      <c r="F254" s="12" t="n"/>
      <c r="G254" s="14" t="n"/>
      <c r="H254" s="12" t="n"/>
      <c r="I254" s="12" t="n"/>
      <c r="J254" s="6">
        <f>IF(OR(B254="",I254=""),"",IFERROR(VLOOKUP(I254,설정!$C$5:$E$16,2,0),""))</f>
        <v/>
      </c>
      <c r="K254" s="13" t="n"/>
      <c r="L254" s="15" t="n"/>
      <c r="M254" s="13" t="n"/>
      <c r="N254" s="12" t="n"/>
      <c r="O254" s="14" t="n"/>
      <c r="P254" s="13" t="n"/>
      <c r="Q254" s="14" t="n"/>
      <c r="R254" s="11">
        <f>IF(OR(B254="",D254="",S254="종결"),"",TODAY()-D254)</f>
        <v/>
      </c>
      <c r="S254" s="6">
        <f>IF(OR(B254="",I254=""),"",IFERROR(VLOOKUP(I254,설정!$C$5:$E$16,3,0),""))</f>
        <v/>
      </c>
    </row>
    <row r="255">
      <c r="A255" s="6">
        <f>IF(B255="","",ROW()-4)</f>
        <v/>
      </c>
      <c r="B255" s="12" t="n"/>
      <c r="C255" s="12" t="n"/>
      <c r="D255" s="13" t="n"/>
      <c r="E255" s="14" t="n"/>
      <c r="F255" s="12" t="n"/>
      <c r="G255" s="14" t="n"/>
      <c r="H255" s="12" t="n"/>
      <c r="I255" s="12" t="n"/>
      <c r="J255" s="6">
        <f>IF(OR(B255="",I255=""),"",IFERROR(VLOOKUP(I255,설정!$C$5:$E$16,2,0),""))</f>
        <v/>
      </c>
      <c r="K255" s="13" t="n"/>
      <c r="L255" s="15" t="n"/>
      <c r="M255" s="13" t="n"/>
      <c r="N255" s="12" t="n"/>
      <c r="O255" s="14" t="n"/>
      <c r="P255" s="13" t="n"/>
      <c r="Q255" s="14" t="n"/>
      <c r="R255" s="11">
        <f>IF(OR(B255="",D255="",S255="종결"),"",TODAY()-D255)</f>
        <v/>
      </c>
      <c r="S255" s="6">
        <f>IF(OR(B255="",I255=""),"",IFERROR(VLOOKUP(I255,설정!$C$5:$E$16,3,0),""))</f>
        <v/>
      </c>
    </row>
    <row r="256">
      <c r="A256" s="6">
        <f>IF(B256="","",ROW()-4)</f>
        <v/>
      </c>
      <c r="B256" s="12" t="n"/>
      <c r="C256" s="12" t="n"/>
      <c r="D256" s="13" t="n"/>
      <c r="E256" s="14" t="n"/>
      <c r="F256" s="12" t="n"/>
      <c r="G256" s="14" t="n"/>
      <c r="H256" s="12" t="n"/>
      <c r="I256" s="12" t="n"/>
      <c r="J256" s="6">
        <f>IF(OR(B256="",I256=""),"",IFERROR(VLOOKUP(I256,설정!$C$5:$E$16,2,0),""))</f>
        <v/>
      </c>
      <c r="K256" s="13" t="n"/>
      <c r="L256" s="15" t="n"/>
      <c r="M256" s="13" t="n"/>
      <c r="N256" s="12" t="n"/>
      <c r="O256" s="14" t="n"/>
      <c r="P256" s="13" t="n"/>
      <c r="Q256" s="14" t="n"/>
      <c r="R256" s="11">
        <f>IF(OR(B256="",D256="",S256="종결"),"",TODAY()-D256)</f>
        <v/>
      </c>
      <c r="S256" s="6">
        <f>IF(OR(B256="",I256=""),"",IFERROR(VLOOKUP(I256,설정!$C$5:$E$16,3,0),""))</f>
        <v/>
      </c>
    </row>
    <row r="257">
      <c r="A257" s="6">
        <f>IF(B257="","",ROW()-4)</f>
        <v/>
      </c>
      <c r="B257" s="12" t="n"/>
      <c r="C257" s="12" t="n"/>
      <c r="D257" s="13" t="n"/>
      <c r="E257" s="14" t="n"/>
      <c r="F257" s="12" t="n"/>
      <c r="G257" s="14" t="n"/>
      <c r="H257" s="12" t="n"/>
      <c r="I257" s="12" t="n"/>
      <c r="J257" s="6">
        <f>IF(OR(B257="",I257=""),"",IFERROR(VLOOKUP(I257,설정!$C$5:$E$16,2,0),""))</f>
        <v/>
      </c>
      <c r="K257" s="13" t="n"/>
      <c r="L257" s="15" t="n"/>
      <c r="M257" s="13" t="n"/>
      <c r="N257" s="12" t="n"/>
      <c r="O257" s="14" t="n"/>
      <c r="P257" s="13" t="n"/>
      <c r="Q257" s="14" t="n"/>
      <c r="R257" s="11">
        <f>IF(OR(B257="",D257="",S257="종결"),"",TODAY()-D257)</f>
        <v/>
      </c>
      <c r="S257" s="6">
        <f>IF(OR(B257="",I257=""),"",IFERROR(VLOOKUP(I257,설정!$C$5:$E$16,3,0),""))</f>
        <v/>
      </c>
    </row>
    <row r="258">
      <c r="A258" s="6">
        <f>IF(B258="","",ROW()-4)</f>
        <v/>
      </c>
      <c r="B258" s="12" t="n"/>
      <c r="C258" s="12" t="n"/>
      <c r="D258" s="13" t="n"/>
      <c r="E258" s="14" t="n"/>
      <c r="F258" s="12" t="n"/>
      <c r="G258" s="14" t="n"/>
      <c r="H258" s="12" t="n"/>
      <c r="I258" s="12" t="n"/>
      <c r="J258" s="6">
        <f>IF(OR(B258="",I258=""),"",IFERROR(VLOOKUP(I258,설정!$C$5:$E$16,2,0),""))</f>
        <v/>
      </c>
      <c r="K258" s="13" t="n"/>
      <c r="L258" s="15" t="n"/>
      <c r="M258" s="13" t="n"/>
      <c r="N258" s="12" t="n"/>
      <c r="O258" s="14" t="n"/>
      <c r="P258" s="13" t="n"/>
      <c r="Q258" s="14" t="n"/>
      <c r="R258" s="11">
        <f>IF(OR(B258="",D258="",S258="종결"),"",TODAY()-D258)</f>
        <v/>
      </c>
      <c r="S258" s="6">
        <f>IF(OR(B258="",I258=""),"",IFERROR(VLOOKUP(I258,설정!$C$5:$E$16,3,0),""))</f>
        <v/>
      </c>
    </row>
    <row r="259">
      <c r="A259" s="6">
        <f>IF(B259="","",ROW()-4)</f>
        <v/>
      </c>
      <c r="B259" s="12" t="n"/>
      <c r="C259" s="12" t="n"/>
      <c r="D259" s="13" t="n"/>
      <c r="E259" s="14" t="n"/>
      <c r="F259" s="12" t="n"/>
      <c r="G259" s="14" t="n"/>
      <c r="H259" s="12" t="n"/>
      <c r="I259" s="12" t="n"/>
      <c r="J259" s="6">
        <f>IF(OR(B259="",I259=""),"",IFERROR(VLOOKUP(I259,설정!$C$5:$E$16,2,0),""))</f>
        <v/>
      </c>
      <c r="K259" s="13" t="n"/>
      <c r="L259" s="15" t="n"/>
      <c r="M259" s="13" t="n"/>
      <c r="N259" s="12" t="n"/>
      <c r="O259" s="14" t="n"/>
      <c r="P259" s="13" t="n"/>
      <c r="Q259" s="14" t="n"/>
      <c r="R259" s="11">
        <f>IF(OR(B259="",D259="",S259="종결"),"",TODAY()-D259)</f>
        <v/>
      </c>
      <c r="S259" s="6">
        <f>IF(OR(B259="",I259=""),"",IFERROR(VLOOKUP(I259,설정!$C$5:$E$16,3,0),""))</f>
        <v/>
      </c>
    </row>
    <row r="260">
      <c r="A260" s="6">
        <f>IF(B260="","",ROW()-4)</f>
        <v/>
      </c>
      <c r="B260" s="12" t="n"/>
      <c r="C260" s="12" t="n"/>
      <c r="D260" s="13" t="n"/>
      <c r="E260" s="14" t="n"/>
      <c r="F260" s="12" t="n"/>
      <c r="G260" s="14" t="n"/>
      <c r="H260" s="12" t="n"/>
      <c r="I260" s="12" t="n"/>
      <c r="J260" s="6">
        <f>IF(OR(B260="",I260=""),"",IFERROR(VLOOKUP(I260,설정!$C$5:$E$16,2,0),""))</f>
        <v/>
      </c>
      <c r="K260" s="13" t="n"/>
      <c r="L260" s="15" t="n"/>
      <c r="M260" s="13" t="n"/>
      <c r="N260" s="12" t="n"/>
      <c r="O260" s="14" t="n"/>
      <c r="P260" s="13" t="n"/>
      <c r="Q260" s="14" t="n"/>
      <c r="R260" s="11">
        <f>IF(OR(B260="",D260="",S260="종결"),"",TODAY()-D260)</f>
        <v/>
      </c>
      <c r="S260" s="6">
        <f>IF(OR(B260="",I260=""),"",IFERROR(VLOOKUP(I260,설정!$C$5:$E$16,3,0),""))</f>
        <v/>
      </c>
    </row>
    <row r="261">
      <c r="A261" s="6">
        <f>IF(B261="","",ROW()-4)</f>
        <v/>
      </c>
      <c r="B261" s="12" t="n"/>
      <c r="C261" s="12" t="n"/>
      <c r="D261" s="13" t="n"/>
      <c r="E261" s="14" t="n"/>
      <c r="F261" s="12" t="n"/>
      <c r="G261" s="14" t="n"/>
      <c r="H261" s="12" t="n"/>
      <c r="I261" s="12" t="n"/>
      <c r="J261" s="6">
        <f>IF(OR(B261="",I261=""),"",IFERROR(VLOOKUP(I261,설정!$C$5:$E$16,2,0),""))</f>
        <v/>
      </c>
      <c r="K261" s="13" t="n"/>
      <c r="L261" s="15" t="n"/>
      <c r="M261" s="13" t="n"/>
      <c r="N261" s="12" t="n"/>
      <c r="O261" s="14" t="n"/>
      <c r="P261" s="13" t="n"/>
      <c r="Q261" s="14" t="n"/>
      <c r="R261" s="11">
        <f>IF(OR(B261="",D261="",S261="종결"),"",TODAY()-D261)</f>
        <v/>
      </c>
      <c r="S261" s="6">
        <f>IF(OR(B261="",I261=""),"",IFERROR(VLOOKUP(I261,설정!$C$5:$E$16,3,0),""))</f>
        <v/>
      </c>
    </row>
    <row r="262">
      <c r="A262" s="6">
        <f>IF(B262="","",ROW()-4)</f>
        <v/>
      </c>
      <c r="B262" s="12" t="n"/>
      <c r="C262" s="12" t="n"/>
      <c r="D262" s="13" t="n"/>
      <c r="E262" s="14" t="n"/>
      <c r="F262" s="12" t="n"/>
      <c r="G262" s="14" t="n"/>
      <c r="H262" s="12" t="n"/>
      <c r="I262" s="12" t="n"/>
      <c r="J262" s="6">
        <f>IF(OR(B262="",I262=""),"",IFERROR(VLOOKUP(I262,설정!$C$5:$E$16,2,0),""))</f>
        <v/>
      </c>
      <c r="K262" s="13" t="n"/>
      <c r="L262" s="15" t="n"/>
      <c r="M262" s="13" t="n"/>
      <c r="N262" s="12" t="n"/>
      <c r="O262" s="14" t="n"/>
      <c r="P262" s="13" t="n"/>
      <c r="Q262" s="14" t="n"/>
      <c r="R262" s="11">
        <f>IF(OR(B262="",D262="",S262="종결"),"",TODAY()-D262)</f>
        <v/>
      </c>
      <c r="S262" s="6">
        <f>IF(OR(B262="",I262=""),"",IFERROR(VLOOKUP(I262,설정!$C$5:$E$16,3,0),""))</f>
        <v/>
      </c>
    </row>
    <row r="263">
      <c r="A263" s="6">
        <f>IF(B263="","",ROW()-4)</f>
        <v/>
      </c>
      <c r="B263" s="12" t="n"/>
      <c r="C263" s="12" t="n"/>
      <c r="D263" s="13" t="n"/>
      <c r="E263" s="14" t="n"/>
      <c r="F263" s="12" t="n"/>
      <c r="G263" s="14" t="n"/>
      <c r="H263" s="12" t="n"/>
      <c r="I263" s="12" t="n"/>
      <c r="J263" s="6">
        <f>IF(OR(B263="",I263=""),"",IFERROR(VLOOKUP(I263,설정!$C$5:$E$16,2,0),""))</f>
        <v/>
      </c>
      <c r="K263" s="13" t="n"/>
      <c r="L263" s="15" t="n"/>
      <c r="M263" s="13" t="n"/>
      <c r="N263" s="12" t="n"/>
      <c r="O263" s="14" t="n"/>
      <c r="P263" s="13" t="n"/>
      <c r="Q263" s="14" t="n"/>
      <c r="R263" s="11">
        <f>IF(OR(B263="",D263="",S263="종결"),"",TODAY()-D263)</f>
        <v/>
      </c>
      <c r="S263" s="6">
        <f>IF(OR(B263="",I263=""),"",IFERROR(VLOOKUP(I263,설정!$C$5:$E$16,3,0),""))</f>
        <v/>
      </c>
    </row>
    <row r="264">
      <c r="A264" s="6">
        <f>IF(B264="","",ROW()-4)</f>
        <v/>
      </c>
      <c r="B264" s="12" t="n"/>
      <c r="C264" s="12" t="n"/>
      <c r="D264" s="13" t="n"/>
      <c r="E264" s="14" t="n"/>
      <c r="F264" s="12" t="n"/>
      <c r="G264" s="14" t="n"/>
      <c r="H264" s="12" t="n"/>
      <c r="I264" s="12" t="n"/>
      <c r="J264" s="6">
        <f>IF(OR(B264="",I264=""),"",IFERROR(VLOOKUP(I264,설정!$C$5:$E$16,2,0),""))</f>
        <v/>
      </c>
      <c r="K264" s="13" t="n"/>
      <c r="L264" s="15" t="n"/>
      <c r="M264" s="13" t="n"/>
      <c r="N264" s="12" t="n"/>
      <c r="O264" s="14" t="n"/>
      <c r="P264" s="13" t="n"/>
      <c r="Q264" s="14" t="n"/>
      <c r="R264" s="11">
        <f>IF(OR(B264="",D264="",S264="종결"),"",TODAY()-D264)</f>
        <v/>
      </c>
      <c r="S264" s="6">
        <f>IF(OR(B264="",I264=""),"",IFERROR(VLOOKUP(I264,설정!$C$5:$E$16,3,0),""))</f>
        <v/>
      </c>
    </row>
    <row r="265">
      <c r="A265" s="6">
        <f>IF(B265="","",ROW()-4)</f>
        <v/>
      </c>
      <c r="B265" s="12" t="n"/>
      <c r="C265" s="12" t="n"/>
      <c r="D265" s="13" t="n"/>
      <c r="E265" s="14" t="n"/>
      <c r="F265" s="12" t="n"/>
      <c r="G265" s="14" t="n"/>
      <c r="H265" s="12" t="n"/>
      <c r="I265" s="12" t="n"/>
      <c r="J265" s="6">
        <f>IF(OR(B265="",I265=""),"",IFERROR(VLOOKUP(I265,설정!$C$5:$E$16,2,0),""))</f>
        <v/>
      </c>
      <c r="K265" s="13" t="n"/>
      <c r="L265" s="15" t="n"/>
      <c r="M265" s="13" t="n"/>
      <c r="N265" s="12" t="n"/>
      <c r="O265" s="14" t="n"/>
      <c r="P265" s="13" t="n"/>
      <c r="Q265" s="14" t="n"/>
      <c r="R265" s="11">
        <f>IF(OR(B265="",D265="",S265="종결"),"",TODAY()-D265)</f>
        <v/>
      </c>
      <c r="S265" s="6">
        <f>IF(OR(B265="",I265=""),"",IFERROR(VLOOKUP(I265,설정!$C$5:$E$16,3,0),""))</f>
        <v/>
      </c>
    </row>
    <row r="266">
      <c r="A266" s="6">
        <f>IF(B266="","",ROW()-4)</f>
        <v/>
      </c>
      <c r="B266" s="12" t="n"/>
      <c r="C266" s="12" t="n"/>
      <c r="D266" s="13" t="n"/>
      <c r="E266" s="14" t="n"/>
      <c r="F266" s="12" t="n"/>
      <c r="G266" s="14" t="n"/>
      <c r="H266" s="12" t="n"/>
      <c r="I266" s="12" t="n"/>
      <c r="J266" s="6">
        <f>IF(OR(B266="",I266=""),"",IFERROR(VLOOKUP(I266,설정!$C$5:$E$16,2,0),""))</f>
        <v/>
      </c>
      <c r="K266" s="13" t="n"/>
      <c r="L266" s="15" t="n"/>
      <c r="M266" s="13" t="n"/>
      <c r="N266" s="12" t="n"/>
      <c r="O266" s="14" t="n"/>
      <c r="P266" s="13" t="n"/>
      <c r="Q266" s="14" t="n"/>
      <c r="R266" s="11">
        <f>IF(OR(B266="",D266="",S266="종결"),"",TODAY()-D266)</f>
        <v/>
      </c>
      <c r="S266" s="6">
        <f>IF(OR(B266="",I266=""),"",IFERROR(VLOOKUP(I266,설정!$C$5:$E$16,3,0),""))</f>
        <v/>
      </c>
    </row>
    <row r="267">
      <c r="A267" s="6">
        <f>IF(B267="","",ROW()-4)</f>
        <v/>
      </c>
      <c r="B267" s="12" t="n"/>
      <c r="C267" s="12" t="n"/>
      <c r="D267" s="13" t="n"/>
      <c r="E267" s="14" t="n"/>
      <c r="F267" s="12" t="n"/>
      <c r="G267" s="14" t="n"/>
      <c r="H267" s="12" t="n"/>
      <c r="I267" s="12" t="n"/>
      <c r="J267" s="6">
        <f>IF(OR(B267="",I267=""),"",IFERROR(VLOOKUP(I267,설정!$C$5:$E$16,2,0),""))</f>
        <v/>
      </c>
      <c r="K267" s="13" t="n"/>
      <c r="L267" s="15" t="n"/>
      <c r="M267" s="13" t="n"/>
      <c r="N267" s="12" t="n"/>
      <c r="O267" s="14" t="n"/>
      <c r="P267" s="13" t="n"/>
      <c r="Q267" s="14" t="n"/>
      <c r="R267" s="11">
        <f>IF(OR(B267="",D267="",S267="종결"),"",TODAY()-D267)</f>
        <v/>
      </c>
      <c r="S267" s="6">
        <f>IF(OR(B267="",I267=""),"",IFERROR(VLOOKUP(I267,설정!$C$5:$E$16,3,0),""))</f>
        <v/>
      </c>
    </row>
    <row r="268">
      <c r="A268" s="6">
        <f>IF(B268="","",ROW()-4)</f>
        <v/>
      </c>
      <c r="B268" s="12" t="n"/>
      <c r="C268" s="12" t="n"/>
      <c r="D268" s="13" t="n"/>
      <c r="E268" s="14" t="n"/>
      <c r="F268" s="12" t="n"/>
      <c r="G268" s="14" t="n"/>
      <c r="H268" s="12" t="n"/>
      <c r="I268" s="12" t="n"/>
      <c r="J268" s="6">
        <f>IF(OR(B268="",I268=""),"",IFERROR(VLOOKUP(I268,설정!$C$5:$E$16,2,0),""))</f>
        <v/>
      </c>
      <c r="K268" s="13" t="n"/>
      <c r="L268" s="15" t="n"/>
      <c r="M268" s="13" t="n"/>
      <c r="N268" s="12" t="n"/>
      <c r="O268" s="14" t="n"/>
      <c r="P268" s="13" t="n"/>
      <c r="Q268" s="14" t="n"/>
      <c r="R268" s="11">
        <f>IF(OR(B268="",D268="",S268="종결"),"",TODAY()-D268)</f>
        <v/>
      </c>
      <c r="S268" s="6">
        <f>IF(OR(B268="",I268=""),"",IFERROR(VLOOKUP(I268,설정!$C$5:$E$16,3,0),""))</f>
        <v/>
      </c>
    </row>
    <row r="269">
      <c r="A269" s="6">
        <f>IF(B269="","",ROW()-4)</f>
        <v/>
      </c>
      <c r="B269" s="12" t="n"/>
      <c r="C269" s="12" t="n"/>
      <c r="D269" s="13" t="n"/>
      <c r="E269" s="14" t="n"/>
      <c r="F269" s="12" t="n"/>
      <c r="G269" s="14" t="n"/>
      <c r="H269" s="12" t="n"/>
      <c r="I269" s="12" t="n"/>
      <c r="J269" s="6">
        <f>IF(OR(B269="",I269=""),"",IFERROR(VLOOKUP(I269,설정!$C$5:$E$16,2,0),""))</f>
        <v/>
      </c>
      <c r="K269" s="13" t="n"/>
      <c r="L269" s="15" t="n"/>
      <c r="M269" s="13" t="n"/>
      <c r="N269" s="12" t="n"/>
      <c r="O269" s="14" t="n"/>
      <c r="P269" s="13" t="n"/>
      <c r="Q269" s="14" t="n"/>
      <c r="R269" s="11">
        <f>IF(OR(B269="",D269="",S269="종결"),"",TODAY()-D269)</f>
        <v/>
      </c>
      <c r="S269" s="6">
        <f>IF(OR(B269="",I269=""),"",IFERROR(VLOOKUP(I269,설정!$C$5:$E$16,3,0),""))</f>
        <v/>
      </c>
    </row>
    <row r="270">
      <c r="A270" s="6">
        <f>IF(B270="","",ROW()-4)</f>
        <v/>
      </c>
      <c r="B270" s="12" t="n"/>
      <c r="C270" s="12" t="n"/>
      <c r="D270" s="13" t="n"/>
      <c r="E270" s="14" t="n"/>
      <c r="F270" s="12" t="n"/>
      <c r="G270" s="14" t="n"/>
      <c r="H270" s="12" t="n"/>
      <c r="I270" s="12" t="n"/>
      <c r="J270" s="6">
        <f>IF(OR(B270="",I270=""),"",IFERROR(VLOOKUP(I270,설정!$C$5:$E$16,2,0),""))</f>
        <v/>
      </c>
      <c r="K270" s="13" t="n"/>
      <c r="L270" s="15" t="n"/>
      <c r="M270" s="13" t="n"/>
      <c r="N270" s="12" t="n"/>
      <c r="O270" s="14" t="n"/>
      <c r="P270" s="13" t="n"/>
      <c r="Q270" s="14" t="n"/>
      <c r="R270" s="11">
        <f>IF(OR(B270="",D270="",S270="종결"),"",TODAY()-D270)</f>
        <v/>
      </c>
      <c r="S270" s="6">
        <f>IF(OR(B270="",I270=""),"",IFERROR(VLOOKUP(I270,설정!$C$5:$E$16,3,0),""))</f>
        <v/>
      </c>
    </row>
    <row r="271">
      <c r="A271" s="6">
        <f>IF(B271="","",ROW()-4)</f>
        <v/>
      </c>
      <c r="B271" s="12" t="n"/>
      <c r="C271" s="12" t="n"/>
      <c r="D271" s="13" t="n"/>
      <c r="E271" s="14" t="n"/>
      <c r="F271" s="12" t="n"/>
      <c r="G271" s="14" t="n"/>
      <c r="H271" s="12" t="n"/>
      <c r="I271" s="12" t="n"/>
      <c r="J271" s="6">
        <f>IF(OR(B271="",I271=""),"",IFERROR(VLOOKUP(I271,설정!$C$5:$E$16,2,0),""))</f>
        <v/>
      </c>
      <c r="K271" s="13" t="n"/>
      <c r="L271" s="15" t="n"/>
      <c r="M271" s="13" t="n"/>
      <c r="N271" s="12" t="n"/>
      <c r="O271" s="14" t="n"/>
      <c r="P271" s="13" t="n"/>
      <c r="Q271" s="14" t="n"/>
      <c r="R271" s="11">
        <f>IF(OR(B271="",D271="",S271="종결"),"",TODAY()-D271)</f>
        <v/>
      </c>
      <c r="S271" s="6">
        <f>IF(OR(B271="",I271=""),"",IFERROR(VLOOKUP(I271,설정!$C$5:$E$16,3,0),""))</f>
        <v/>
      </c>
    </row>
    <row r="272">
      <c r="A272" s="6">
        <f>IF(B272="","",ROW()-4)</f>
        <v/>
      </c>
      <c r="B272" s="12" t="n"/>
      <c r="C272" s="12" t="n"/>
      <c r="D272" s="13" t="n"/>
      <c r="E272" s="14" t="n"/>
      <c r="F272" s="12" t="n"/>
      <c r="G272" s="14" t="n"/>
      <c r="H272" s="12" t="n"/>
      <c r="I272" s="12" t="n"/>
      <c r="J272" s="6">
        <f>IF(OR(B272="",I272=""),"",IFERROR(VLOOKUP(I272,설정!$C$5:$E$16,2,0),""))</f>
        <v/>
      </c>
      <c r="K272" s="13" t="n"/>
      <c r="L272" s="15" t="n"/>
      <c r="M272" s="13" t="n"/>
      <c r="N272" s="12" t="n"/>
      <c r="O272" s="14" t="n"/>
      <c r="P272" s="13" t="n"/>
      <c r="Q272" s="14" t="n"/>
      <c r="R272" s="11">
        <f>IF(OR(B272="",D272="",S272="종결"),"",TODAY()-D272)</f>
        <v/>
      </c>
      <c r="S272" s="6">
        <f>IF(OR(B272="",I272=""),"",IFERROR(VLOOKUP(I272,설정!$C$5:$E$16,3,0),""))</f>
        <v/>
      </c>
    </row>
    <row r="273">
      <c r="A273" s="6">
        <f>IF(B273="","",ROW()-4)</f>
        <v/>
      </c>
      <c r="B273" s="12" t="n"/>
      <c r="C273" s="12" t="n"/>
      <c r="D273" s="13" t="n"/>
      <c r="E273" s="14" t="n"/>
      <c r="F273" s="12" t="n"/>
      <c r="G273" s="14" t="n"/>
      <c r="H273" s="12" t="n"/>
      <c r="I273" s="12" t="n"/>
      <c r="J273" s="6">
        <f>IF(OR(B273="",I273=""),"",IFERROR(VLOOKUP(I273,설정!$C$5:$E$16,2,0),""))</f>
        <v/>
      </c>
      <c r="K273" s="13" t="n"/>
      <c r="L273" s="15" t="n"/>
      <c r="M273" s="13" t="n"/>
      <c r="N273" s="12" t="n"/>
      <c r="O273" s="14" t="n"/>
      <c r="P273" s="13" t="n"/>
      <c r="Q273" s="14" t="n"/>
      <c r="R273" s="11">
        <f>IF(OR(B273="",D273="",S273="종결"),"",TODAY()-D273)</f>
        <v/>
      </c>
      <c r="S273" s="6">
        <f>IF(OR(B273="",I273=""),"",IFERROR(VLOOKUP(I273,설정!$C$5:$E$16,3,0),""))</f>
        <v/>
      </c>
    </row>
    <row r="274">
      <c r="A274" s="6">
        <f>IF(B274="","",ROW()-4)</f>
        <v/>
      </c>
      <c r="B274" s="12" t="n"/>
      <c r="C274" s="12" t="n"/>
      <c r="D274" s="13" t="n"/>
      <c r="E274" s="14" t="n"/>
      <c r="F274" s="12" t="n"/>
      <c r="G274" s="14" t="n"/>
      <c r="H274" s="12" t="n"/>
      <c r="I274" s="12" t="n"/>
      <c r="J274" s="6">
        <f>IF(OR(B274="",I274=""),"",IFERROR(VLOOKUP(I274,설정!$C$5:$E$16,2,0),""))</f>
        <v/>
      </c>
      <c r="K274" s="13" t="n"/>
      <c r="L274" s="15" t="n"/>
      <c r="M274" s="13" t="n"/>
      <c r="N274" s="12" t="n"/>
      <c r="O274" s="14" t="n"/>
      <c r="P274" s="13" t="n"/>
      <c r="Q274" s="14" t="n"/>
      <c r="R274" s="11">
        <f>IF(OR(B274="",D274="",S274="종결"),"",TODAY()-D274)</f>
        <v/>
      </c>
      <c r="S274" s="6">
        <f>IF(OR(B274="",I274=""),"",IFERROR(VLOOKUP(I274,설정!$C$5:$E$16,3,0),""))</f>
        <v/>
      </c>
    </row>
    <row r="275">
      <c r="A275" s="6">
        <f>IF(B275="","",ROW()-4)</f>
        <v/>
      </c>
      <c r="B275" s="12" t="n"/>
      <c r="C275" s="12" t="n"/>
      <c r="D275" s="13" t="n"/>
      <c r="E275" s="14" t="n"/>
      <c r="F275" s="12" t="n"/>
      <c r="G275" s="14" t="n"/>
      <c r="H275" s="12" t="n"/>
      <c r="I275" s="12" t="n"/>
      <c r="J275" s="6">
        <f>IF(OR(B275="",I275=""),"",IFERROR(VLOOKUP(I275,설정!$C$5:$E$16,2,0),""))</f>
        <v/>
      </c>
      <c r="K275" s="13" t="n"/>
      <c r="L275" s="15" t="n"/>
      <c r="M275" s="13" t="n"/>
      <c r="N275" s="12" t="n"/>
      <c r="O275" s="14" t="n"/>
      <c r="P275" s="13" t="n"/>
      <c r="Q275" s="14" t="n"/>
      <c r="R275" s="11">
        <f>IF(OR(B275="",D275="",S275="종결"),"",TODAY()-D275)</f>
        <v/>
      </c>
      <c r="S275" s="6">
        <f>IF(OR(B275="",I275=""),"",IFERROR(VLOOKUP(I275,설정!$C$5:$E$16,3,0),""))</f>
        <v/>
      </c>
    </row>
    <row r="276">
      <c r="A276" s="6">
        <f>IF(B276="","",ROW()-4)</f>
        <v/>
      </c>
      <c r="B276" s="12" t="n"/>
      <c r="C276" s="12" t="n"/>
      <c r="D276" s="13" t="n"/>
      <c r="E276" s="14" t="n"/>
      <c r="F276" s="12" t="n"/>
      <c r="G276" s="14" t="n"/>
      <c r="H276" s="12" t="n"/>
      <c r="I276" s="12" t="n"/>
      <c r="J276" s="6">
        <f>IF(OR(B276="",I276=""),"",IFERROR(VLOOKUP(I276,설정!$C$5:$E$16,2,0),""))</f>
        <v/>
      </c>
      <c r="K276" s="13" t="n"/>
      <c r="L276" s="15" t="n"/>
      <c r="M276" s="13" t="n"/>
      <c r="N276" s="12" t="n"/>
      <c r="O276" s="14" t="n"/>
      <c r="P276" s="13" t="n"/>
      <c r="Q276" s="14" t="n"/>
      <c r="R276" s="11">
        <f>IF(OR(B276="",D276="",S276="종결"),"",TODAY()-D276)</f>
        <v/>
      </c>
      <c r="S276" s="6">
        <f>IF(OR(B276="",I276=""),"",IFERROR(VLOOKUP(I276,설정!$C$5:$E$16,3,0),""))</f>
        <v/>
      </c>
    </row>
    <row r="277">
      <c r="A277" s="6">
        <f>IF(B277="","",ROW()-4)</f>
        <v/>
      </c>
      <c r="B277" s="12" t="n"/>
      <c r="C277" s="12" t="n"/>
      <c r="D277" s="13" t="n"/>
      <c r="E277" s="14" t="n"/>
      <c r="F277" s="12" t="n"/>
      <c r="G277" s="14" t="n"/>
      <c r="H277" s="12" t="n"/>
      <c r="I277" s="12" t="n"/>
      <c r="J277" s="6">
        <f>IF(OR(B277="",I277=""),"",IFERROR(VLOOKUP(I277,설정!$C$5:$E$16,2,0),""))</f>
        <v/>
      </c>
      <c r="K277" s="13" t="n"/>
      <c r="L277" s="15" t="n"/>
      <c r="M277" s="13" t="n"/>
      <c r="N277" s="12" t="n"/>
      <c r="O277" s="14" t="n"/>
      <c r="P277" s="13" t="n"/>
      <c r="Q277" s="14" t="n"/>
      <c r="R277" s="11">
        <f>IF(OR(B277="",D277="",S277="종결"),"",TODAY()-D277)</f>
        <v/>
      </c>
      <c r="S277" s="6">
        <f>IF(OR(B277="",I277=""),"",IFERROR(VLOOKUP(I277,설정!$C$5:$E$16,3,0),""))</f>
        <v/>
      </c>
    </row>
    <row r="278">
      <c r="A278" s="6">
        <f>IF(B278="","",ROW()-4)</f>
        <v/>
      </c>
      <c r="B278" s="12" t="n"/>
      <c r="C278" s="12" t="n"/>
      <c r="D278" s="13" t="n"/>
      <c r="E278" s="14" t="n"/>
      <c r="F278" s="12" t="n"/>
      <c r="G278" s="14" t="n"/>
      <c r="H278" s="12" t="n"/>
      <c r="I278" s="12" t="n"/>
      <c r="J278" s="6">
        <f>IF(OR(B278="",I278=""),"",IFERROR(VLOOKUP(I278,설정!$C$5:$E$16,2,0),""))</f>
        <v/>
      </c>
      <c r="K278" s="13" t="n"/>
      <c r="L278" s="15" t="n"/>
      <c r="M278" s="13" t="n"/>
      <c r="N278" s="12" t="n"/>
      <c r="O278" s="14" t="n"/>
      <c r="P278" s="13" t="n"/>
      <c r="Q278" s="14" t="n"/>
      <c r="R278" s="11">
        <f>IF(OR(B278="",D278="",S278="종결"),"",TODAY()-D278)</f>
        <v/>
      </c>
      <c r="S278" s="6">
        <f>IF(OR(B278="",I278=""),"",IFERROR(VLOOKUP(I278,설정!$C$5:$E$16,3,0),""))</f>
        <v/>
      </c>
    </row>
    <row r="279">
      <c r="A279" s="6">
        <f>IF(B279="","",ROW()-4)</f>
        <v/>
      </c>
      <c r="B279" s="12" t="n"/>
      <c r="C279" s="12" t="n"/>
      <c r="D279" s="13" t="n"/>
      <c r="E279" s="14" t="n"/>
      <c r="F279" s="12" t="n"/>
      <c r="G279" s="14" t="n"/>
      <c r="H279" s="12" t="n"/>
      <c r="I279" s="12" t="n"/>
      <c r="J279" s="6">
        <f>IF(OR(B279="",I279=""),"",IFERROR(VLOOKUP(I279,설정!$C$5:$E$16,2,0),""))</f>
        <v/>
      </c>
      <c r="K279" s="13" t="n"/>
      <c r="L279" s="15" t="n"/>
      <c r="M279" s="13" t="n"/>
      <c r="N279" s="12" t="n"/>
      <c r="O279" s="14" t="n"/>
      <c r="P279" s="13" t="n"/>
      <c r="Q279" s="14" t="n"/>
      <c r="R279" s="11">
        <f>IF(OR(B279="",D279="",S279="종결"),"",TODAY()-D279)</f>
        <v/>
      </c>
      <c r="S279" s="6">
        <f>IF(OR(B279="",I279=""),"",IFERROR(VLOOKUP(I279,설정!$C$5:$E$16,3,0),""))</f>
        <v/>
      </c>
    </row>
    <row r="280">
      <c r="A280" s="6">
        <f>IF(B280="","",ROW()-4)</f>
        <v/>
      </c>
      <c r="B280" s="12" t="n"/>
      <c r="C280" s="12" t="n"/>
      <c r="D280" s="13" t="n"/>
      <c r="E280" s="14" t="n"/>
      <c r="F280" s="12" t="n"/>
      <c r="G280" s="14" t="n"/>
      <c r="H280" s="12" t="n"/>
      <c r="I280" s="12" t="n"/>
      <c r="J280" s="6">
        <f>IF(OR(B280="",I280=""),"",IFERROR(VLOOKUP(I280,설정!$C$5:$E$16,2,0),""))</f>
        <v/>
      </c>
      <c r="K280" s="13" t="n"/>
      <c r="L280" s="15" t="n"/>
      <c r="M280" s="13" t="n"/>
      <c r="N280" s="12" t="n"/>
      <c r="O280" s="14" t="n"/>
      <c r="P280" s="13" t="n"/>
      <c r="Q280" s="14" t="n"/>
      <c r="R280" s="11">
        <f>IF(OR(B280="",D280="",S280="종결"),"",TODAY()-D280)</f>
        <v/>
      </c>
      <c r="S280" s="6">
        <f>IF(OR(B280="",I280=""),"",IFERROR(VLOOKUP(I280,설정!$C$5:$E$16,3,0),""))</f>
        <v/>
      </c>
    </row>
    <row r="281">
      <c r="A281" s="6">
        <f>IF(B281="","",ROW()-4)</f>
        <v/>
      </c>
      <c r="B281" s="12" t="n"/>
      <c r="C281" s="12" t="n"/>
      <c r="D281" s="13" t="n"/>
      <c r="E281" s="14" t="n"/>
      <c r="F281" s="12" t="n"/>
      <c r="G281" s="14" t="n"/>
      <c r="H281" s="12" t="n"/>
      <c r="I281" s="12" t="n"/>
      <c r="J281" s="6">
        <f>IF(OR(B281="",I281=""),"",IFERROR(VLOOKUP(I281,설정!$C$5:$E$16,2,0),""))</f>
        <v/>
      </c>
      <c r="K281" s="13" t="n"/>
      <c r="L281" s="15" t="n"/>
      <c r="M281" s="13" t="n"/>
      <c r="N281" s="12" t="n"/>
      <c r="O281" s="14" t="n"/>
      <c r="P281" s="13" t="n"/>
      <c r="Q281" s="14" t="n"/>
      <c r="R281" s="11">
        <f>IF(OR(B281="",D281="",S281="종결"),"",TODAY()-D281)</f>
        <v/>
      </c>
      <c r="S281" s="6">
        <f>IF(OR(B281="",I281=""),"",IFERROR(VLOOKUP(I281,설정!$C$5:$E$16,3,0),""))</f>
        <v/>
      </c>
    </row>
    <row r="282">
      <c r="A282" s="6">
        <f>IF(B282="","",ROW()-4)</f>
        <v/>
      </c>
      <c r="B282" s="12" t="n"/>
      <c r="C282" s="12" t="n"/>
      <c r="D282" s="13" t="n"/>
      <c r="E282" s="14" t="n"/>
      <c r="F282" s="12" t="n"/>
      <c r="G282" s="14" t="n"/>
      <c r="H282" s="12" t="n"/>
      <c r="I282" s="12" t="n"/>
      <c r="J282" s="6">
        <f>IF(OR(B282="",I282=""),"",IFERROR(VLOOKUP(I282,설정!$C$5:$E$16,2,0),""))</f>
        <v/>
      </c>
      <c r="K282" s="13" t="n"/>
      <c r="L282" s="15" t="n"/>
      <c r="M282" s="13" t="n"/>
      <c r="N282" s="12" t="n"/>
      <c r="O282" s="14" t="n"/>
      <c r="P282" s="13" t="n"/>
      <c r="Q282" s="14" t="n"/>
      <c r="R282" s="11">
        <f>IF(OR(B282="",D282="",S282="종결"),"",TODAY()-D282)</f>
        <v/>
      </c>
      <c r="S282" s="6">
        <f>IF(OR(B282="",I282=""),"",IFERROR(VLOOKUP(I282,설정!$C$5:$E$16,3,0),""))</f>
        <v/>
      </c>
    </row>
    <row r="283">
      <c r="A283" s="6">
        <f>IF(B283="","",ROW()-4)</f>
        <v/>
      </c>
      <c r="B283" s="12" t="n"/>
      <c r="C283" s="12" t="n"/>
      <c r="D283" s="13" t="n"/>
      <c r="E283" s="14" t="n"/>
      <c r="F283" s="12" t="n"/>
      <c r="G283" s="14" t="n"/>
      <c r="H283" s="12" t="n"/>
      <c r="I283" s="12" t="n"/>
      <c r="J283" s="6">
        <f>IF(OR(B283="",I283=""),"",IFERROR(VLOOKUP(I283,설정!$C$5:$E$16,2,0),""))</f>
        <v/>
      </c>
      <c r="K283" s="13" t="n"/>
      <c r="L283" s="15" t="n"/>
      <c r="M283" s="13" t="n"/>
      <c r="N283" s="12" t="n"/>
      <c r="O283" s="14" t="n"/>
      <c r="P283" s="13" t="n"/>
      <c r="Q283" s="14" t="n"/>
      <c r="R283" s="11">
        <f>IF(OR(B283="",D283="",S283="종결"),"",TODAY()-D283)</f>
        <v/>
      </c>
      <c r="S283" s="6">
        <f>IF(OR(B283="",I283=""),"",IFERROR(VLOOKUP(I283,설정!$C$5:$E$16,3,0),""))</f>
        <v/>
      </c>
    </row>
    <row r="284">
      <c r="A284" s="6">
        <f>IF(B284="","",ROW()-4)</f>
        <v/>
      </c>
      <c r="B284" s="12" t="n"/>
      <c r="C284" s="12" t="n"/>
      <c r="D284" s="13" t="n"/>
      <c r="E284" s="14" t="n"/>
      <c r="F284" s="12" t="n"/>
      <c r="G284" s="14" t="n"/>
      <c r="H284" s="12" t="n"/>
      <c r="I284" s="12" t="n"/>
      <c r="J284" s="6">
        <f>IF(OR(B284="",I284=""),"",IFERROR(VLOOKUP(I284,설정!$C$5:$E$16,2,0),""))</f>
        <v/>
      </c>
      <c r="K284" s="13" t="n"/>
      <c r="L284" s="15" t="n"/>
      <c r="M284" s="13" t="n"/>
      <c r="N284" s="12" t="n"/>
      <c r="O284" s="14" t="n"/>
      <c r="P284" s="13" t="n"/>
      <c r="Q284" s="14" t="n"/>
      <c r="R284" s="11">
        <f>IF(OR(B284="",D284="",S284="종결"),"",TODAY()-D284)</f>
        <v/>
      </c>
      <c r="S284" s="6">
        <f>IF(OR(B284="",I284=""),"",IFERROR(VLOOKUP(I284,설정!$C$5:$E$16,3,0),""))</f>
        <v/>
      </c>
    </row>
    <row r="285">
      <c r="A285" s="6">
        <f>IF(B285="","",ROW()-4)</f>
        <v/>
      </c>
      <c r="B285" s="12" t="n"/>
      <c r="C285" s="12" t="n"/>
      <c r="D285" s="13" t="n"/>
      <c r="E285" s="14" t="n"/>
      <c r="F285" s="12" t="n"/>
      <c r="G285" s="14" t="n"/>
      <c r="H285" s="12" t="n"/>
      <c r="I285" s="12" t="n"/>
      <c r="J285" s="6">
        <f>IF(OR(B285="",I285=""),"",IFERROR(VLOOKUP(I285,설정!$C$5:$E$16,2,0),""))</f>
        <v/>
      </c>
      <c r="K285" s="13" t="n"/>
      <c r="L285" s="15" t="n"/>
      <c r="M285" s="13" t="n"/>
      <c r="N285" s="12" t="n"/>
      <c r="O285" s="14" t="n"/>
      <c r="P285" s="13" t="n"/>
      <c r="Q285" s="14" t="n"/>
      <c r="R285" s="11">
        <f>IF(OR(B285="",D285="",S285="종결"),"",TODAY()-D285)</f>
        <v/>
      </c>
      <c r="S285" s="6">
        <f>IF(OR(B285="",I285=""),"",IFERROR(VLOOKUP(I285,설정!$C$5:$E$16,3,0),""))</f>
        <v/>
      </c>
    </row>
    <row r="286">
      <c r="A286" s="6">
        <f>IF(B286="","",ROW()-4)</f>
        <v/>
      </c>
      <c r="B286" s="12" t="n"/>
      <c r="C286" s="12" t="n"/>
      <c r="D286" s="13" t="n"/>
      <c r="E286" s="14" t="n"/>
      <c r="F286" s="12" t="n"/>
      <c r="G286" s="14" t="n"/>
      <c r="H286" s="12" t="n"/>
      <c r="I286" s="12" t="n"/>
      <c r="J286" s="6">
        <f>IF(OR(B286="",I286=""),"",IFERROR(VLOOKUP(I286,설정!$C$5:$E$16,2,0),""))</f>
        <v/>
      </c>
      <c r="K286" s="13" t="n"/>
      <c r="L286" s="15" t="n"/>
      <c r="M286" s="13" t="n"/>
      <c r="N286" s="12" t="n"/>
      <c r="O286" s="14" t="n"/>
      <c r="P286" s="13" t="n"/>
      <c r="Q286" s="14" t="n"/>
      <c r="R286" s="11">
        <f>IF(OR(B286="",D286="",S286="종결"),"",TODAY()-D286)</f>
        <v/>
      </c>
      <c r="S286" s="6">
        <f>IF(OR(B286="",I286=""),"",IFERROR(VLOOKUP(I286,설정!$C$5:$E$16,3,0),""))</f>
        <v/>
      </c>
    </row>
    <row r="287">
      <c r="A287" s="6">
        <f>IF(B287="","",ROW()-4)</f>
        <v/>
      </c>
      <c r="B287" s="12" t="n"/>
      <c r="C287" s="12" t="n"/>
      <c r="D287" s="13" t="n"/>
      <c r="E287" s="14" t="n"/>
      <c r="F287" s="12" t="n"/>
      <c r="G287" s="14" t="n"/>
      <c r="H287" s="12" t="n"/>
      <c r="I287" s="12" t="n"/>
      <c r="J287" s="6">
        <f>IF(OR(B287="",I287=""),"",IFERROR(VLOOKUP(I287,설정!$C$5:$E$16,2,0),""))</f>
        <v/>
      </c>
      <c r="K287" s="13" t="n"/>
      <c r="L287" s="15" t="n"/>
      <c r="M287" s="13" t="n"/>
      <c r="N287" s="12" t="n"/>
      <c r="O287" s="14" t="n"/>
      <c r="P287" s="13" t="n"/>
      <c r="Q287" s="14" t="n"/>
      <c r="R287" s="11">
        <f>IF(OR(B287="",D287="",S287="종결"),"",TODAY()-D287)</f>
        <v/>
      </c>
      <c r="S287" s="6">
        <f>IF(OR(B287="",I287=""),"",IFERROR(VLOOKUP(I287,설정!$C$5:$E$16,3,0),""))</f>
        <v/>
      </c>
    </row>
    <row r="288">
      <c r="A288" s="6">
        <f>IF(B288="","",ROW()-4)</f>
        <v/>
      </c>
      <c r="B288" s="12" t="n"/>
      <c r="C288" s="12" t="n"/>
      <c r="D288" s="13" t="n"/>
      <c r="E288" s="14" t="n"/>
      <c r="F288" s="12" t="n"/>
      <c r="G288" s="14" t="n"/>
      <c r="H288" s="12" t="n"/>
      <c r="I288" s="12" t="n"/>
      <c r="J288" s="6">
        <f>IF(OR(B288="",I288=""),"",IFERROR(VLOOKUP(I288,설정!$C$5:$E$16,2,0),""))</f>
        <v/>
      </c>
      <c r="K288" s="13" t="n"/>
      <c r="L288" s="15" t="n"/>
      <c r="M288" s="13" t="n"/>
      <c r="N288" s="12" t="n"/>
      <c r="O288" s="14" t="n"/>
      <c r="P288" s="13" t="n"/>
      <c r="Q288" s="14" t="n"/>
      <c r="R288" s="11">
        <f>IF(OR(B288="",D288="",S288="종결"),"",TODAY()-D288)</f>
        <v/>
      </c>
      <c r="S288" s="6">
        <f>IF(OR(B288="",I288=""),"",IFERROR(VLOOKUP(I288,설정!$C$5:$E$16,3,0),""))</f>
        <v/>
      </c>
    </row>
    <row r="289">
      <c r="A289" s="6">
        <f>IF(B289="","",ROW()-4)</f>
        <v/>
      </c>
      <c r="B289" s="12" t="n"/>
      <c r="C289" s="12" t="n"/>
      <c r="D289" s="13" t="n"/>
      <c r="E289" s="14" t="n"/>
      <c r="F289" s="12" t="n"/>
      <c r="G289" s="14" t="n"/>
      <c r="H289" s="12" t="n"/>
      <c r="I289" s="12" t="n"/>
      <c r="J289" s="6">
        <f>IF(OR(B289="",I289=""),"",IFERROR(VLOOKUP(I289,설정!$C$5:$E$16,2,0),""))</f>
        <v/>
      </c>
      <c r="K289" s="13" t="n"/>
      <c r="L289" s="15" t="n"/>
      <c r="M289" s="13" t="n"/>
      <c r="N289" s="12" t="n"/>
      <c r="O289" s="14" t="n"/>
      <c r="P289" s="13" t="n"/>
      <c r="Q289" s="14" t="n"/>
      <c r="R289" s="11">
        <f>IF(OR(B289="",D289="",S289="종결"),"",TODAY()-D289)</f>
        <v/>
      </c>
      <c r="S289" s="6">
        <f>IF(OR(B289="",I289=""),"",IFERROR(VLOOKUP(I289,설정!$C$5:$E$16,3,0),""))</f>
        <v/>
      </c>
    </row>
    <row r="290">
      <c r="A290" s="6">
        <f>IF(B290="","",ROW()-4)</f>
        <v/>
      </c>
      <c r="B290" s="12" t="n"/>
      <c r="C290" s="12" t="n"/>
      <c r="D290" s="13" t="n"/>
      <c r="E290" s="14" t="n"/>
      <c r="F290" s="12" t="n"/>
      <c r="G290" s="14" t="n"/>
      <c r="H290" s="12" t="n"/>
      <c r="I290" s="12" t="n"/>
      <c r="J290" s="6">
        <f>IF(OR(B290="",I290=""),"",IFERROR(VLOOKUP(I290,설정!$C$5:$E$16,2,0),""))</f>
        <v/>
      </c>
      <c r="K290" s="13" t="n"/>
      <c r="L290" s="15" t="n"/>
      <c r="M290" s="13" t="n"/>
      <c r="N290" s="12" t="n"/>
      <c r="O290" s="14" t="n"/>
      <c r="P290" s="13" t="n"/>
      <c r="Q290" s="14" t="n"/>
      <c r="R290" s="11">
        <f>IF(OR(B290="",D290="",S290="종결"),"",TODAY()-D290)</f>
        <v/>
      </c>
      <c r="S290" s="6">
        <f>IF(OR(B290="",I290=""),"",IFERROR(VLOOKUP(I290,설정!$C$5:$E$16,3,0),""))</f>
        <v/>
      </c>
    </row>
    <row r="291">
      <c r="A291" s="6">
        <f>IF(B291="","",ROW()-4)</f>
        <v/>
      </c>
      <c r="B291" s="12" t="n"/>
      <c r="C291" s="12" t="n"/>
      <c r="D291" s="13" t="n"/>
      <c r="E291" s="14" t="n"/>
      <c r="F291" s="12" t="n"/>
      <c r="G291" s="14" t="n"/>
      <c r="H291" s="12" t="n"/>
      <c r="I291" s="12" t="n"/>
      <c r="J291" s="6">
        <f>IF(OR(B291="",I291=""),"",IFERROR(VLOOKUP(I291,설정!$C$5:$E$16,2,0),""))</f>
        <v/>
      </c>
      <c r="K291" s="13" t="n"/>
      <c r="L291" s="15" t="n"/>
      <c r="M291" s="13" t="n"/>
      <c r="N291" s="12" t="n"/>
      <c r="O291" s="14" t="n"/>
      <c r="P291" s="13" t="n"/>
      <c r="Q291" s="14" t="n"/>
      <c r="R291" s="11">
        <f>IF(OR(B291="",D291="",S291="종결"),"",TODAY()-D291)</f>
        <v/>
      </c>
      <c r="S291" s="6">
        <f>IF(OR(B291="",I291=""),"",IFERROR(VLOOKUP(I291,설정!$C$5:$E$16,3,0),""))</f>
        <v/>
      </c>
    </row>
    <row r="292">
      <c r="A292" s="6">
        <f>IF(B292="","",ROW()-4)</f>
        <v/>
      </c>
      <c r="B292" s="12" t="n"/>
      <c r="C292" s="12" t="n"/>
      <c r="D292" s="13" t="n"/>
      <c r="E292" s="14" t="n"/>
      <c r="F292" s="12" t="n"/>
      <c r="G292" s="14" t="n"/>
      <c r="H292" s="12" t="n"/>
      <c r="I292" s="12" t="n"/>
      <c r="J292" s="6">
        <f>IF(OR(B292="",I292=""),"",IFERROR(VLOOKUP(I292,설정!$C$5:$E$16,2,0),""))</f>
        <v/>
      </c>
      <c r="K292" s="13" t="n"/>
      <c r="L292" s="15" t="n"/>
      <c r="M292" s="13" t="n"/>
      <c r="N292" s="12" t="n"/>
      <c r="O292" s="14" t="n"/>
      <c r="P292" s="13" t="n"/>
      <c r="Q292" s="14" t="n"/>
      <c r="R292" s="11">
        <f>IF(OR(B292="",D292="",S292="종결"),"",TODAY()-D292)</f>
        <v/>
      </c>
      <c r="S292" s="6">
        <f>IF(OR(B292="",I292=""),"",IFERROR(VLOOKUP(I292,설정!$C$5:$E$16,3,0),""))</f>
        <v/>
      </c>
    </row>
    <row r="293">
      <c r="A293" s="6">
        <f>IF(B293="","",ROW()-4)</f>
        <v/>
      </c>
      <c r="B293" s="12" t="n"/>
      <c r="C293" s="12" t="n"/>
      <c r="D293" s="13" t="n"/>
      <c r="E293" s="14" t="n"/>
      <c r="F293" s="12" t="n"/>
      <c r="G293" s="14" t="n"/>
      <c r="H293" s="12" t="n"/>
      <c r="I293" s="12" t="n"/>
      <c r="J293" s="6">
        <f>IF(OR(B293="",I293=""),"",IFERROR(VLOOKUP(I293,설정!$C$5:$E$16,2,0),""))</f>
        <v/>
      </c>
      <c r="K293" s="13" t="n"/>
      <c r="L293" s="15" t="n"/>
      <c r="M293" s="13" t="n"/>
      <c r="N293" s="12" t="n"/>
      <c r="O293" s="14" t="n"/>
      <c r="P293" s="13" t="n"/>
      <c r="Q293" s="14" t="n"/>
      <c r="R293" s="11">
        <f>IF(OR(B293="",D293="",S293="종결"),"",TODAY()-D293)</f>
        <v/>
      </c>
      <c r="S293" s="6">
        <f>IF(OR(B293="",I293=""),"",IFERROR(VLOOKUP(I293,설정!$C$5:$E$16,3,0),""))</f>
        <v/>
      </c>
    </row>
    <row r="294">
      <c r="A294" s="6">
        <f>IF(B294="","",ROW()-4)</f>
        <v/>
      </c>
      <c r="B294" s="12" t="n"/>
      <c r="C294" s="12" t="n"/>
      <c r="D294" s="13" t="n"/>
      <c r="E294" s="14" t="n"/>
      <c r="F294" s="12" t="n"/>
      <c r="G294" s="14" t="n"/>
      <c r="H294" s="12" t="n"/>
      <c r="I294" s="12" t="n"/>
      <c r="J294" s="6">
        <f>IF(OR(B294="",I294=""),"",IFERROR(VLOOKUP(I294,설정!$C$5:$E$16,2,0),""))</f>
        <v/>
      </c>
      <c r="K294" s="13" t="n"/>
      <c r="L294" s="15" t="n"/>
      <c r="M294" s="13" t="n"/>
      <c r="N294" s="12" t="n"/>
      <c r="O294" s="14" t="n"/>
      <c r="P294" s="13" t="n"/>
      <c r="Q294" s="14" t="n"/>
      <c r="R294" s="11">
        <f>IF(OR(B294="",D294="",S294="종결"),"",TODAY()-D294)</f>
        <v/>
      </c>
      <c r="S294" s="6">
        <f>IF(OR(B294="",I294=""),"",IFERROR(VLOOKUP(I294,설정!$C$5:$E$16,3,0),""))</f>
        <v/>
      </c>
    </row>
    <row r="295">
      <c r="A295" s="6">
        <f>IF(B295="","",ROW()-4)</f>
        <v/>
      </c>
      <c r="B295" s="12" t="n"/>
      <c r="C295" s="12" t="n"/>
      <c r="D295" s="13" t="n"/>
      <c r="E295" s="14" t="n"/>
      <c r="F295" s="12" t="n"/>
      <c r="G295" s="14" t="n"/>
      <c r="H295" s="12" t="n"/>
      <c r="I295" s="12" t="n"/>
      <c r="J295" s="6">
        <f>IF(OR(B295="",I295=""),"",IFERROR(VLOOKUP(I295,설정!$C$5:$E$16,2,0),""))</f>
        <v/>
      </c>
      <c r="K295" s="13" t="n"/>
      <c r="L295" s="15" t="n"/>
      <c r="M295" s="13" t="n"/>
      <c r="N295" s="12" t="n"/>
      <c r="O295" s="14" t="n"/>
      <c r="P295" s="13" t="n"/>
      <c r="Q295" s="14" t="n"/>
      <c r="R295" s="11">
        <f>IF(OR(B295="",D295="",S295="종결"),"",TODAY()-D295)</f>
        <v/>
      </c>
      <c r="S295" s="6">
        <f>IF(OR(B295="",I295=""),"",IFERROR(VLOOKUP(I295,설정!$C$5:$E$16,3,0),""))</f>
        <v/>
      </c>
    </row>
    <row r="296">
      <c r="A296" s="6">
        <f>IF(B296="","",ROW()-4)</f>
        <v/>
      </c>
      <c r="B296" s="12" t="n"/>
      <c r="C296" s="12" t="n"/>
      <c r="D296" s="13" t="n"/>
      <c r="E296" s="14" t="n"/>
      <c r="F296" s="12" t="n"/>
      <c r="G296" s="14" t="n"/>
      <c r="H296" s="12" t="n"/>
      <c r="I296" s="12" t="n"/>
      <c r="J296" s="6">
        <f>IF(OR(B296="",I296=""),"",IFERROR(VLOOKUP(I296,설정!$C$5:$E$16,2,0),""))</f>
        <v/>
      </c>
      <c r="K296" s="13" t="n"/>
      <c r="L296" s="15" t="n"/>
      <c r="M296" s="13" t="n"/>
      <c r="N296" s="12" t="n"/>
      <c r="O296" s="14" t="n"/>
      <c r="P296" s="13" t="n"/>
      <c r="Q296" s="14" t="n"/>
      <c r="R296" s="11">
        <f>IF(OR(B296="",D296="",S296="종결"),"",TODAY()-D296)</f>
        <v/>
      </c>
      <c r="S296" s="6">
        <f>IF(OR(B296="",I296=""),"",IFERROR(VLOOKUP(I296,설정!$C$5:$E$16,3,0),""))</f>
        <v/>
      </c>
    </row>
    <row r="297">
      <c r="A297" s="6">
        <f>IF(B297="","",ROW()-4)</f>
        <v/>
      </c>
      <c r="B297" s="12" t="n"/>
      <c r="C297" s="12" t="n"/>
      <c r="D297" s="13" t="n"/>
      <c r="E297" s="14" t="n"/>
      <c r="F297" s="12" t="n"/>
      <c r="G297" s="14" t="n"/>
      <c r="H297" s="12" t="n"/>
      <c r="I297" s="12" t="n"/>
      <c r="J297" s="6">
        <f>IF(OR(B297="",I297=""),"",IFERROR(VLOOKUP(I297,설정!$C$5:$E$16,2,0),""))</f>
        <v/>
      </c>
      <c r="K297" s="13" t="n"/>
      <c r="L297" s="15" t="n"/>
      <c r="M297" s="13" t="n"/>
      <c r="N297" s="12" t="n"/>
      <c r="O297" s="14" t="n"/>
      <c r="P297" s="13" t="n"/>
      <c r="Q297" s="14" t="n"/>
      <c r="R297" s="11">
        <f>IF(OR(B297="",D297="",S297="종결"),"",TODAY()-D297)</f>
        <v/>
      </c>
      <c r="S297" s="6">
        <f>IF(OR(B297="",I297=""),"",IFERROR(VLOOKUP(I297,설정!$C$5:$E$16,3,0),""))</f>
        <v/>
      </c>
    </row>
    <row r="298">
      <c r="A298" s="6">
        <f>IF(B298="","",ROW()-4)</f>
        <v/>
      </c>
      <c r="B298" s="12" t="n"/>
      <c r="C298" s="12" t="n"/>
      <c r="D298" s="13" t="n"/>
      <c r="E298" s="14" t="n"/>
      <c r="F298" s="12" t="n"/>
      <c r="G298" s="14" t="n"/>
      <c r="H298" s="12" t="n"/>
      <c r="I298" s="12" t="n"/>
      <c r="J298" s="6">
        <f>IF(OR(B298="",I298=""),"",IFERROR(VLOOKUP(I298,설정!$C$5:$E$16,2,0),""))</f>
        <v/>
      </c>
      <c r="K298" s="13" t="n"/>
      <c r="L298" s="15" t="n"/>
      <c r="M298" s="13" t="n"/>
      <c r="N298" s="12" t="n"/>
      <c r="O298" s="14" t="n"/>
      <c r="P298" s="13" t="n"/>
      <c r="Q298" s="14" t="n"/>
      <c r="R298" s="11">
        <f>IF(OR(B298="",D298="",S298="종결"),"",TODAY()-D298)</f>
        <v/>
      </c>
      <c r="S298" s="6">
        <f>IF(OR(B298="",I298=""),"",IFERROR(VLOOKUP(I298,설정!$C$5:$E$16,3,0),""))</f>
        <v/>
      </c>
    </row>
    <row r="299">
      <c r="A299" s="6">
        <f>IF(B299="","",ROW()-4)</f>
        <v/>
      </c>
      <c r="B299" s="12" t="n"/>
      <c r="C299" s="12" t="n"/>
      <c r="D299" s="13" t="n"/>
      <c r="E299" s="14" t="n"/>
      <c r="F299" s="12" t="n"/>
      <c r="G299" s="14" t="n"/>
      <c r="H299" s="12" t="n"/>
      <c r="I299" s="12" t="n"/>
      <c r="J299" s="6">
        <f>IF(OR(B299="",I299=""),"",IFERROR(VLOOKUP(I299,설정!$C$5:$E$16,2,0),""))</f>
        <v/>
      </c>
      <c r="K299" s="13" t="n"/>
      <c r="L299" s="15" t="n"/>
      <c r="M299" s="13" t="n"/>
      <c r="N299" s="12" t="n"/>
      <c r="O299" s="14" t="n"/>
      <c r="P299" s="13" t="n"/>
      <c r="Q299" s="14" t="n"/>
      <c r="R299" s="11">
        <f>IF(OR(B299="",D299="",S299="종결"),"",TODAY()-D299)</f>
        <v/>
      </c>
      <c r="S299" s="6">
        <f>IF(OR(B299="",I299=""),"",IFERROR(VLOOKUP(I299,설정!$C$5:$E$16,3,0),""))</f>
        <v/>
      </c>
    </row>
    <row r="300">
      <c r="A300" s="6">
        <f>IF(B300="","",ROW()-4)</f>
        <v/>
      </c>
      <c r="B300" s="12" t="n"/>
      <c r="C300" s="12" t="n"/>
      <c r="D300" s="13" t="n"/>
      <c r="E300" s="14" t="n"/>
      <c r="F300" s="12" t="n"/>
      <c r="G300" s="14" t="n"/>
      <c r="H300" s="12" t="n"/>
      <c r="I300" s="12" t="n"/>
      <c r="J300" s="6">
        <f>IF(OR(B300="",I300=""),"",IFERROR(VLOOKUP(I300,설정!$C$5:$E$16,2,0),""))</f>
        <v/>
      </c>
      <c r="K300" s="13" t="n"/>
      <c r="L300" s="15" t="n"/>
      <c r="M300" s="13" t="n"/>
      <c r="N300" s="12" t="n"/>
      <c r="O300" s="14" t="n"/>
      <c r="P300" s="13" t="n"/>
      <c r="Q300" s="14" t="n"/>
      <c r="R300" s="11">
        <f>IF(OR(B300="",D300="",S300="종결"),"",TODAY()-D300)</f>
        <v/>
      </c>
      <c r="S300" s="6">
        <f>IF(OR(B300="",I300=""),"",IFERROR(VLOOKUP(I300,설정!$C$5:$E$16,3,0),""))</f>
        <v/>
      </c>
    </row>
    <row r="301">
      <c r="A301" s="6">
        <f>IF(B301="","",ROW()-4)</f>
        <v/>
      </c>
      <c r="B301" s="12" t="n"/>
      <c r="C301" s="12" t="n"/>
      <c r="D301" s="13" t="n"/>
      <c r="E301" s="14" t="n"/>
      <c r="F301" s="12" t="n"/>
      <c r="G301" s="14" t="n"/>
      <c r="H301" s="12" t="n"/>
      <c r="I301" s="12" t="n"/>
      <c r="J301" s="6">
        <f>IF(OR(B301="",I301=""),"",IFERROR(VLOOKUP(I301,설정!$C$5:$E$16,2,0),""))</f>
        <v/>
      </c>
      <c r="K301" s="13" t="n"/>
      <c r="L301" s="15" t="n"/>
      <c r="M301" s="13" t="n"/>
      <c r="N301" s="12" t="n"/>
      <c r="O301" s="14" t="n"/>
      <c r="P301" s="13" t="n"/>
      <c r="Q301" s="14" t="n"/>
      <c r="R301" s="11">
        <f>IF(OR(B301="",D301="",S301="종결"),"",TODAY()-D301)</f>
        <v/>
      </c>
      <c r="S301" s="6">
        <f>IF(OR(B301="",I301=""),"",IFERROR(VLOOKUP(I301,설정!$C$5:$E$16,3,0),""))</f>
        <v/>
      </c>
    </row>
    <row r="302">
      <c r="A302" s="6">
        <f>IF(B302="","",ROW()-4)</f>
        <v/>
      </c>
      <c r="B302" s="12" t="n"/>
      <c r="C302" s="12" t="n"/>
      <c r="D302" s="13" t="n"/>
      <c r="E302" s="14" t="n"/>
      <c r="F302" s="12" t="n"/>
      <c r="G302" s="14" t="n"/>
      <c r="H302" s="12" t="n"/>
      <c r="I302" s="12" t="n"/>
      <c r="J302" s="6">
        <f>IF(OR(B302="",I302=""),"",IFERROR(VLOOKUP(I302,설정!$C$5:$E$16,2,0),""))</f>
        <v/>
      </c>
      <c r="K302" s="13" t="n"/>
      <c r="L302" s="15" t="n"/>
      <c r="M302" s="13" t="n"/>
      <c r="N302" s="12" t="n"/>
      <c r="O302" s="14" t="n"/>
      <c r="P302" s="13" t="n"/>
      <c r="Q302" s="14" t="n"/>
      <c r="R302" s="11">
        <f>IF(OR(B302="",D302="",S302="종결"),"",TODAY()-D302)</f>
        <v/>
      </c>
      <c r="S302" s="6">
        <f>IF(OR(B302="",I302=""),"",IFERROR(VLOOKUP(I302,설정!$C$5:$E$16,3,0),""))</f>
        <v/>
      </c>
    </row>
    <row r="303">
      <c r="A303" s="6">
        <f>IF(B303="","",ROW()-4)</f>
        <v/>
      </c>
      <c r="B303" s="12" t="n"/>
      <c r="C303" s="12" t="n"/>
      <c r="D303" s="13" t="n"/>
      <c r="E303" s="14" t="n"/>
      <c r="F303" s="12" t="n"/>
      <c r="G303" s="14" t="n"/>
      <c r="H303" s="12" t="n"/>
      <c r="I303" s="12" t="n"/>
      <c r="J303" s="6">
        <f>IF(OR(B303="",I303=""),"",IFERROR(VLOOKUP(I303,설정!$C$5:$E$16,2,0),""))</f>
        <v/>
      </c>
      <c r="K303" s="13" t="n"/>
      <c r="L303" s="15" t="n"/>
      <c r="M303" s="13" t="n"/>
      <c r="N303" s="12" t="n"/>
      <c r="O303" s="14" t="n"/>
      <c r="P303" s="13" t="n"/>
      <c r="Q303" s="14" t="n"/>
      <c r="R303" s="11">
        <f>IF(OR(B303="",D303="",S303="종결"),"",TODAY()-D303)</f>
        <v/>
      </c>
      <c r="S303" s="6">
        <f>IF(OR(B303="",I303=""),"",IFERROR(VLOOKUP(I303,설정!$C$5:$E$16,3,0),""))</f>
        <v/>
      </c>
    </row>
    <row r="304">
      <c r="A304" s="6">
        <f>IF(B304="","",ROW()-4)</f>
        <v/>
      </c>
      <c r="B304" s="12" t="n"/>
      <c r="C304" s="12" t="n"/>
      <c r="D304" s="13" t="n"/>
      <c r="E304" s="14" t="n"/>
      <c r="F304" s="12" t="n"/>
      <c r="G304" s="14" t="n"/>
      <c r="H304" s="12" t="n"/>
      <c r="I304" s="12" t="n"/>
      <c r="J304" s="6">
        <f>IF(OR(B304="",I304=""),"",IFERROR(VLOOKUP(I304,설정!$C$5:$E$16,2,0),""))</f>
        <v/>
      </c>
      <c r="K304" s="13" t="n"/>
      <c r="L304" s="15" t="n"/>
      <c r="M304" s="13" t="n"/>
      <c r="N304" s="12" t="n"/>
      <c r="O304" s="14" t="n"/>
      <c r="P304" s="13" t="n"/>
      <c r="Q304" s="14" t="n"/>
      <c r="R304" s="11">
        <f>IF(OR(B304="",D304="",S304="종결"),"",TODAY()-D304)</f>
        <v/>
      </c>
      <c r="S304" s="6">
        <f>IF(OR(B304="",I304=""),"",IFERROR(VLOOKUP(I304,설정!$C$5:$E$16,3,0),""))</f>
        <v/>
      </c>
    </row>
    <row r="305">
      <c r="A305" s="6">
        <f>IF(B305="","",ROW()-4)</f>
        <v/>
      </c>
      <c r="B305" s="12" t="n"/>
      <c r="C305" s="12" t="n"/>
      <c r="D305" s="13" t="n"/>
      <c r="E305" s="14" t="n"/>
      <c r="F305" s="12" t="n"/>
      <c r="G305" s="14" t="n"/>
      <c r="H305" s="12" t="n"/>
      <c r="I305" s="12" t="n"/>
      <c r="J305" s="6">
        <f>IF(OR(B305="",I305=""),"",IFERROR(VLOOKUP(I305,설정!$C$5:$E$16,2,0),""))</f>
        <v/>
      </c>
      <c r="K305" s="13" t="n"/>
      <c r="L305" s="15" t="n"/>
      <c r="M305" s="13" t="n"/>
      <c r="N305" s="12" t="n"/>
      <c r="O305" s="14" t="n"/>
      <c r="P305" s="13" t="n"/>
      <c r="Q305" s="14" t="n"/>
      <c r="R305" s="11">
        <f>IF(OR(B305="",D305="",S305="종결"),"",TODAY()-D305)</f>
        <v/>
      </c>
      <c r="S305" s="6">
        <f>IF(OR(B305="",I305=""),"",IFERROR(VLOOKUP(I305,설정!$C$5:$E$16,3,0),""))</f>
        <v/>
      </c>
    </row>
    <row r="306">
      <c r="A306" s="6">
        <f>IF(B306="","",ROW()-4)</f>
        <v/>
      </c>
      <c r="B306" s="12" t="n"/>
      <c r="C306" s="12" t="n"/>
      <c r="D306" s="13" t="n"/>
      <c r="E306" s="14" t="n"/>
      <c r="F306" s="12" t="n"/>
      <c r="G306" s="14" t="n"/>
      <c r="H306" s="12" t="n"/>
      <c r="I306" s="12" t="n"/>
      <c r="J306" s="6">
        <f>IF(OR(B306="",I306=""),"",IFERROR(VLOOKUP(I306,설정!$C$5:$E$16,2,0),""))</f>
        <v/>
      </c>
      <c r="K306" s="13" t="n"/>
      <c r="L306" s="15" t="n"/>
      <c r="M306" s="13" t="n"/>
      <c r="N306" s="12" t="n"/>
      <c r="O306" s="14" t="n"/>
      <c r="P306" s="13" t="n"/>
      <c r="Q306" s="14" t="n"/>
      <c r="R306" s="11">
        <f>IF(OR(B306="",D306="",S306="종결"),"",TODAY()-D306)</f>
        <v/>
      </c>
      <c r="S306" s="6">
        <f>IF(OR(B306="",I306=""),"",IFERROR(VLOOKUP(I306,설정!$C$5:$E$16,3,0),""))</f>
        <v/>
      </c>
    </row>
    <row r="307">
      <c r="A307" s="6">
        <f>IF(B307="","",ROW()-4)</f>
        <v/>
      </c>
      <c r="B307" s="12" t="n"/>
      <c r="C307" s="12" t="n"/>
      <c r="D307" s="13" t="n"/>
      <c r="E307" s="14" t="n"/>
      <c r="F307" s="12" t="n"/>
      <c r="G307" s="14" t="n"/>
      <c r="H307" s="12" t="n"/>
      <c r="I307" s="12" t="n"/>
      <c r="J307" s="6">
        <f>IF(OR(B307="",I307=""),"",IFERROR(VLOOKUP(I307,설정!$C$5:$E$16,2,0),""))</f>
        <v/>
      </c>
      <c r="K307" s="13" t="n"/>
      <c r="L307" s="15" t="n"/>
      <c r="M307" s="13" t="n"/>
      <c r="N307" s="12" t="n"/>
      <c r="O307" s="14" t="n"/>
      <c r="P307" s="13" t="n"/>
      <c r="Q307" s="14" t="n"/>
      <c r="R307" s="11">
        <f>IF(OR(B307="",D307="",S307="종결"),"",TODAY()-D307)</f>
        <v/>
      </c>
      <c r="S307" s="6">
        <f>IF(OR(B307="",I307=""),"",IFERROR(VLOOKUP(I307,설정!$C$5:$E$16,3,0),""))</f>
        <v/>
      </c>
    </row>
    <row r="308">
      <c r="A308" s="6">
        <f>IF(B308="","",ROW()-4)</f>
        <v/>
      </c>
      <c r="B308" s="12" t="n"/>
      <c r="C308" s="12" t="n"/>
      <c r="D308" s="13" t="n"/>
      <c r="E308" s="14" t="n"/>
      <c r="F308" s="12" t="n"/>
      <c r="G308" s="14" t="n"/>
      <c r="H308" s="12" t="n"/>
      <c r="I308" s="12" t="n"/>
      <c r="J308" s="6">
        <f>IF(OR(B308="",I308=""),"",IFERROR(VLOOKUP(I308,설정!$C$5:$E$16,2,0),""))</f>
        <v/>
      </c>
      <c r="K308" s="13" t="n"/>
      <c r="L308" s="15" t="n"/>
      <c r="M308" s="13" t="n"/>
      <c r="N308" s="12" t="n"/>
      <c r="O308" s="14" t="n"/>
      <c r="P308" s="13" t="n"/>
      <c r="Q308" s="14" t="n"/>
      <c r="R308" s="11">
        <f>IF(OR(B308="",D308="",S308="종결"),"",TODAY()-D308)</f>
        <v/>
      </c>
      <c r="S308" s="6">
        <f>IF(OR(B308="",I308=""),"",IFERROR(VLOOKUP(I308,설정!$C$5:$E$16,3,0),""))</f>
        <v/>
      </c>
    </row>
    <row r="309">
      <c r="A309" s="6">
        <f>IF(B309="","",ROW()-4)</f>
        <v/>
      </c>
      <c r="B309" s="12" t="n"/>
      <c r="C309" s="12" t="n"/>
      <c r="D309" s="13" t="n"/>
      <c r="E309" s="14" t="n"/>
      <c r="F309" s="12" t="n"/>
      <c r="G309" s="14" t="n"/>
      <c r="H309" s="12" t="n"/>
      <c r="I309" s="12" t="n"/>
      <c r="J309" s="6">
        <f>IF(OR(B309="",I309=""),"",IFERROR(VLOOKUP(I309,설정!$C$5:$E$16,2,0),""))</f>
        <v/>
      </c>
      <c r="K309" s="13" t="n"/>
      <c r="L309" s="15" t="n"/>
      <c r="M309" s="13" t="n"/>
      <c r="N309" s="12" t="n"/>
      <c r="O309" s="14" t="n"/>
      <c r="P309" s="13" t="n"/>
      <c r="Q309" s="14" t="n"/>
      <c r="R309" s="11">
        <f>IF(OR(B309="",D309="",S309="종결"),"",TODAY()-D309)</f>
        <v/>
      </c>
      <c r="S309" s="6">
        <f>IF(OR(B309="",I309=""),"",IFERROR(VLOOKUP(I309,설정!$C$5:$E$16,3,0),""))</f>
        <v/>
      </c>
    </row>
    <row r="310">
      <c r="A310" s="6">
        <f>IF(B310="","",ROW()-4)</f>
        <v/>
      </c>
      <c r="B310" s="12" t="n"/>
      <c r="C310" s="12" t="n"/>
      <c r="D310" s="13" t="n"/>
      <c r="E310" s="14" t="n"/>
      <c r="F310" s="12" t="n"/>
      <c r="G310" s="14" t="n"/>
      <c r="H310" s="12" t="n"/>
      <c r="I310" s="12" t="n"/>
      <c r="J310" s="6">
        <f>IF(OR(B310="",I310=""),"",IFERROR(VLOOKUP(I310,설정!$C$5:$E$16,2,0),""))</f>
        <v/>
      </c>
      <c r="K310" s="13" t="n"/>
      <c r="L310" s="15" t="n"/>
      <c r="M310" s="13" t="n"/>
      <c r="N310" s="12" t="n"/>
      <c r="O310" s="14" t="n"/>
      <c r="P310" s="13" t="n"/>
      <c r="Q310" s="14" t="n"/>
      <c r="R310" s="11">
        <f>IF(OR(B310="",D310="",S310="종결"),"",TODAY()-D310)</f>
        <v/>
      </c>
      <c r="S310" s="6">
        <f>IF(OR(B310="",I310=""),"",IFERROR(VLOOKUP(I310,설정!$C$5:$E$16,3,0),""))</f>
        <v/>
      </c>
    </row>
    <row r="311">
      <c r="A311" s="6">
        <f>IF(B311="","",ROW()-4)</f>
        <v/>
      </c>
      <c r="B311" s="12" t="n"/>
      <c r="C311" s="12" t="n"/>
      <c r="D311" s="13" t="n"/>
      <c r="E311" s="14" t="n"/>
      <c r="F311" s="12" t="n"/>
      <c r="G311" s="14" t="n"/>
      <c r="H311" s="12" t="n"/>
      <c r="I311" s="12" t="n"/>
      <c r="J311" s="6">
        <f>IF(OR(B311="",I311=""),"",IFERROR(VLOOKUP(I311,설정!$C$5:$E$16,2,0),""))</f>
        <v/>
      </c>
      <c r="K311" s="13" t="n"/>
      <c r="L311" s="15" t="n"/>
      <c r="M311" s="13" t="n"/>
      <c r="N311" s="12" t="n"/>
      <c r="O311" s="14" t="n"/>
      <c r="P311" s="13" t="n"/>
      <c r="Q311" s="14" t="n"/>
      <c r="R311" s="11">
        <f>IF(OR(B311="",D311="",S311="종결"),"",TODAY()-D311)</f>
        <v/>
      </c>
      <c r="S311" s="6">
        <f>IF(OR(B311="",I311=""),"",IFERROR(VLOOKUP(I311,설정!$C$5:$E$16,3,0),""))</f>
        <v/>
      </c>
    </row>
    <row r="312">
      <c r="A312" s="6">
        <f>IF(B312="","",ROW()-4)</f>
        <v/>
      </c>
      <c r="B312" s="12" t="n"/>
      <c r="C312" s="12" t="n"/>
      <c r="D312" s="13" t="n"/>
      <c r="E312" s="14" t="n"/>
      <c r="F312" s="12" t="n"/>
      <c r="G312" s="14" t="n"/>
      <c r="H312" s="12" t="n"/>
      <c r="I312" s="12" t="n"/>
      <c r="J312" s="6">
        <f>IF(OR(B312="",I312=""),"",IFERROR(VLOOKUP(I312,설정!$C$5:$E$16,2,0),""))</f>
        <v/>
      </c>
      <c r="K312" s="13" t="n"/>
      <c r="L312" s="15" t="n"/>
      <c r="M312" s="13" t="n"/>
      <c r="N312" s="12" t="n"/>
      <c r="O312" s="14" t="n"/>
      <c r="P312" s="13" t="n"/>
      <c r="Q312" s="14" t="n"/>
      <c r="R312" s="11">
        <f>IF(OR(B312="",D312="",S312="종결"),"",TODAY()-D312)</f>
        <v/>
      </c>
      <c r="S312" s="6">
        <f>IF(OR(B312="",I312=""),"",IFERROR(VLOOKUP(I312,설정!$C$5:$E$16,3,0),""))</f>
        <v/>
      </c>
    </row>
    <row r="313">
      <c r="A313" s="6">
        <f>IF(B313="","",ROW()-4)</f>
        <v/>
      </c>
      <c r="B313" s="12" t="n"/>
      <c r="C313" s="12" t="n"/>
      <c r="D313" s="13" t="n"/>
      <c r="E313" s="14" t="n"/>
      <c r="F313" s="12" t="n"/>
      <c r="G313" s="14" t="n"/>
      <c r="H313" s="12" t="n"/>
      <c r="I313" s="12" t="n"/>
      <c r="J313" s="6">
        <f>IF(OR(B313="",I313=""),"",IFERROR(VLOOKUP(I313,설정!$C$5:$E$16,2,0),""))</f>
        <v/>
      </c>
      <c r="K313" s="13" t="n"/>
      <c r="L313" s="15" t="n"/>
      <c r="M313" s="13" t="n"/>
      <c r="N313" s="12" t="n"/>
      <c r="O313" s="14" t="n"/>
      <c r="P313" s="13" t="n"/>
      <c r="Q313" s="14" t="n"/>
      <c r="R313" s="11">
        <f>IF(OR(B313="",D313="",S313="종결"),"",TODAY()-D313)</f>
        <v/>
      </c>
      <c r="S313" s="6">
        <f>IF(OR(B313="",I313=""),"",IFERROR(VLOOKUP(I313,설정!$C$5:$E$16,3,0),""))</f>
        <v/>
      </c>
    </row>
    <row r="314">
      <c r="A314" s="6">
        <f>IF(B314="","",ROW()-4)</f>
        <v/>
      </c>
      <c r="B314" s="12" t="n"/>
      <c r="C314" s="12" t="n"/>
      <c r="D314" s="13" t="n"/>
      <c r="E314" s="14" t="n"/>
      <c r="F314" s="12" t="n"/>
      <c r="G314" s="14" t="n"/>
      <c r="H314" s="12" t="n"/>
      <c r="I314" s="12" t="n"/>
      <c r="J314" s="6">
        <f>IF(OR(B314="",I314=""),"",IFERROR(VLOOKUP(I314,설정!$C$5:$E$16,2,0),""))</f>
        <v/>
      </c>
      <c r="K314" s="13" t="n"/>
      <c r="L314" s="15" t="n"/>
      <c r="M314" s="13" t="n"/>
      <c r="N314" s="12" t="n"/>
      <c r="O314" s="14" t="n"/>
      <c r="P314" s="13" t="n"/>
      <c r="Q314" s="14" t="n"/>
      <c r="R314" s="11">
        <f>IF(OR(B314="",D314="",S314="종결"),"",TODAY()-D314)</f>
        <v/>
      </c>
      <c r="S314" s="6">
        <f>IF(OR(B314="",I314=""),"",IFERROR(VLOOKUP(I314,설정!$C$5:$E$16,3,0),""))</f>
        <v/>
      </c>
    </row>
    <row r="315">
      <c r="A315" s="6">
        <f>IF(B315="","",ROW()-4)</f>
        <v/>
      </c>
      <c r="B315" s="12" t="n"/>
      <c r="C315" s="12" t="n"/>
      <c r="D315" s="13" t="n"/>
      <c r="E315" s="14" t="n"/>
      <c r="F315" s="12" t="n"/>
      <c r="G315" s="14" t="n"/>
      <c r="H315" s="12" t="n"/>
      <c r="I315" s="12" t="n"/>
      <c r="J315" s="6">
        <f>IF(OR(B315="",I315=""),"",IFERROR(VLOOKUP(I315,설정!$C$5:$E$16,2,0),""))</f>
        <v/>
      </c>
      <c r="K315" s="13" t="n"/>
      <c r="L315" s="15" t="n"/>
      <c r="M315" s="13" t="n"/>
      <c r="N315" s="12" t="n"/>
      <c r="O315" s="14" t="n"/>
      <c r="P315" s="13" t="n"/>
      <c r="Q315" s="14" t="n"/>
      <c r="R315" s="11">
        <f>IF(OR(B315="",D315="",S315="종결"),"",TODAY()-D315)</f>
        <v/>
      </c>
      <c r="S315" s="6">
        <f>IF(OR(B315="",I315=""),"",IFERROR(VLOOKUP(I315,설정!$C$5:$E$16,3,0),""))</f>
        <v/>
      </c>
    </row>
    <row r="316">
      <c r="A316" s="6">
        <f>IF(B316="","",ROW()-4)</f>
        <v/>
      </c>
      <c r="B316" s="12" t="n"/>
      <c r="C316" s="12" t="n"/>
      <c r="D316" s="13" t="n"/>
      <c r="E316" s="14" t="n"/>
      <c r="F316" s="12" t="n"/>
      <c r="G316" s="14" t="n"/>
      <c r="H316" s="12" t="n"/>
      <c r="I316" s="12" t="n"/>
      <c r="J316" s="6">
        <f>IF(OR(B316="",I316=""),"",IFERROR(VLOOKUP(I316,설정!$C$5:$E$16,2,0),""))</f>
        <v/>
      </c>
      <c r="K316" s="13" t="n"/>
      <c r="L316" s="15" t="n"/>
      <c r="M316" s="13" t="n"/>
      <c r="N316" s="12" t="n"/>
      <c r="O316" s="14" t="n"/>
      <c r="P316" s="13" t="n"/>
      <c r="Q316" s="14" t="n"/>
      <c r="R316" s="11">
        <f>IF(OR(B316="",D316="",S316="종결"),"",TODAY()-D316)</f>
        <v/>
      </c>
      <c r="S316" s="6">
        <f>IF(OR(B316="",I316=""),"",IFERROR(VLOOKUP(I316,설정!$C$5:$E$16,3,0),""))</f>
        <v/>
      </c>
    </row>
    <row r="317">
      <c r="A317" s="6">
        <f>IF(B317="","",ROW()-4)</f>
        <v/>
      </c>
      <c r="B317" s="12" t="n"/>
      <c r="C317" s="12" t="n"/>
      <c r="D317" s="13" t="n"/>
      <c r="E317" s="14" t="n"/>
      <c r="F317" s="12" t="n"/>
      <c r="G317" s="14" t="n"/>
      <c r="H317" s="12" t="n"/>
      <c r="I317" s="12" t="n"/>
      <c r="J317" s="6">
        <f>IF(OR(B317="",I317=""),"",IFERROR(VLOOKUP(I317,설정!$C$5:$E$16,2,0),""))</f>
        <v/>
      </c>
      <c r="K317" s="13" t="n"/>
      <c r="L317" s="15" t="n"/>
      <c r="M317" s="13" t="n"/>
      <c r="N317" s="12" t="n"/>
      <c r="O317" s="14" t="n"/>
      <c r="P317" s="13" t="n"/>
      <c r="Q317" s="14" t="n"/>
      <c r="R317" s="11">
        <f>IF(OR(B317="",D317="",S317="종결"),"",TODAY()-D317)</f>
        <v/>
      </c>
      <c r="S317" s="6">
        <f>IF(OR(B317="",I317=""),"",IFERROR(VLOOKUP(I317,설정!$C$5:$E$16,3,0),""))</f>
        <v/>
      </c>
    </row>
    <row r="318">
      <c r="A318" s="6">
        <f>IF(B318="","",ROW()-4)</f>
        <v/>
      </c>
      <c r="B318" s="12" t="n"/>
      <c r="C318" s="12" t="n"/>
      <c r="D318" s="13" t="n"/>
      <c r="E318" s="14" t="n"/>
      <c r="F318" s="12" t="n"/>
      <c r="G318" s="14" t="n"/>
      <c r="H318" s="12" t="n"/>
      <c r="I318" s="12" t="n"/>
      <c r="J318" s="6">
        <f>IF(OR(B318="",I318=""),"",IFERROR(VLOOKUP(I318,설정!$C$5:$E$16,2,0),""))</f>
        <v/>
      </c>
      <c r="K318" s="13" t="n"/>
      <c r="L318" s="15" t="n"/>
      <c r="M318" s="13" t="n"/>
      <c r="N318" s="12" t="n"/>
      <c r="O318" s="14" t="n"/>
      <c r="P318" s="13" t="n"/>
      <c r="Q318" s="14" t="n"/>
      <c r="R318" s="11">
        <f>IF(OR(B318="",D318="",S318="종결"),"",TODAY()-D318)</f>
        <v/>
      </c>
      <c r="S318" s="6">
        <f>IF(OR(B318="",I318=""),"",IFERROR(VLOOKUP(I318,설정!$C$5:$E$16,3,0),""))</f>
        <v/>
      </c>
    </row>
    <row r="319">
      <c r="A319" s="6">
        <f>IF(B319="","",ROW()-4)</f>
        <v/>
      </c>
      <c r="B319" s="12" t="n"/>
      <c r="C319" s="12" t="n"/>
      <c r="D319" s="13" t="n"/>
      <c r="E319" s="14" t="n"/>
      <c r="F319" s="12" t="n"/>
      <c r="G319" s="14" t="n"/>
      <c r="H319" s="12" t="n"/>
      <c r="I319" s="12" t="n"/>
      <c r="J319" s="6">
        <f>IF(OR(B319="",I319=""),"",IFERROR(VLOOKUP(I319,설정!$C$5:$E$16,2,0),""))</f>
        <v/>
      </c>
      <c r="K319" s="13" t="n"/>
      <c r="L319" s="15" t="n"/>
      <c r="M319" s="13" t="n"/>
      <c r="N319" s="12" t="n"/>
      <c r="O319" s="14" t="n"/>
      <c r="P319" s="13" t="n"/>
      <c r="Q319" s="14" t="n"/>
      <c r="R319" s="11">
        <f>IF(OR(B319="",D319="",S319="종결"),"",TODAY()-D319)</f>
        <v/>
      </c>
      <c r="S319" s="6">
        <f>IF(OR(B319="",I319=""),"",IFERROR(VLOOKUP(I319,설정!$C$5:$E$16,3,0),""))</f>
        <v/>
      </c>
    </row>
    <row r="320">
      <c r="A320" s="6">
        <f>IF(B320="","",ROW()-4)</f>
        <v/>
      </c>
      <c r="B320" s="12" t="n"/>
      <c r="C320" s="12" t="n"/>
      <c r="D320" s="13" t="n"/>
      <c r="E320" s="14" t="n"/>
      <c r="F320" s="12" t="n"/>
      <c r="G320" s="14" t="n"/>
      <c r="H320" s="12" t="n"/>
      <c r="I320" s="12" t="n"/>
      <c r="J320" s="6">
        <f>IF(OR(B320="",I320=""),"",IFERROR(VLOOKUP(I320,설정!$C$5:$E$16,2,0),""))</f>
        <v/>
      </c>
      <c r="K320" s="13" t="n"/>
      <c r="L320" s="15" t="n"/>
      <c r="M320" s="13" t="n"/>
      <c r="N320" s="12" t="n"/>
      <c r="O320" s="14" t="n"/>
      <c r="P320" s="13" t="n"/>
      <c r="Q320" s="14" t="n"/>
      <c r="R320" s="11">
        <f>IF(OR(B320="",D320="",S320="종결"),"",TODAY()-D320)</f>
        <v/>
      </c>
      <c r="S320" s="6">
        <f>IF(OR(B320="",I320=""),"",IFERROR(VLOOKUP(I320,설정!$C$5:$E$16,3,0),""))</f>
        <v/>
      </c>
    </row>
    <row r="321">
      <c r="A321" s="6">
        <f>IF(B321="","",ROW()-4)</f>
        <v/>
      </c>
      <c r="B321" s="12" t="n"/>
      <c r="C321" s="12" t="n"/>
      <c r="D321" s="13" t="n"/>
      <c r="E321" s="14" t="n"/>
      <c r="F321" s="12" t="n"/>
      <c r="G321" s="14" t="n"/>
      <c r="H321" s="12" t="n"/>
      <c r="I321" s="12" t="n"/>
      <c r="J321" s="6">
        <f>IF(OR(B321="",I321=""),"",IFERROR(VLOOKUP(I321,설정!$C$5:$E$16,2,0),""))</f>
        <v/>
      </c>
      <c r="K321" s="13" t="n"/>
      <c r="L321" s="15" t="n"/>
      <c r="M321" s="13" t="n"/>
      <c r="N321" s="12" t="n"/>
      <c r="O321" s="14" t="n"/>
      <c r="P321" s="13" t="n"/>
      <c r="Q321" s="14" t="n"/>
      <c r="R321" s="11">
        <f>IF(OR(B321="",D321="",S321="종결"),"",TODAY()-D321)</f>
        <v/>
      </c>
      <c r="S321" s="6">
        <f>IF(OR(B321="",I321=""),"",IFERROR(VLOOKUP(I321,설정!$C$5:$E$16,3,0),""))</f>
        <v/>
      </c>
    </row>
    <row r="322">
      <c r="A322" s="6">
        <f>IF(B322="","",ROW()-4)</f>
        <v/>
      </c>
      <c r="B322" s="12" t="n"/>
      <c r="C322" s="12" t="n"/>
      <c r="D322" s="13" t="n"/>
      <c r="E322" s="14" t="n"/>
      <c r="F322" s="12" t="n"/>
      <c r="G322" s="14" t="n"/>
      <c r="H322" s="12" t="n"/>
      <c r="I322" s="12" t="n"/>
      <c r="J322" s="6">
        <f>IF(OR(B322="",I322=""),"",IFERROR(VLOOKUP(I322,설정!$C$5:$E$16,2,0),""))</f>
        <v/>
      </c>
      <c r="K322" s="13" t="n"/>
      <c r="L322" s="15" t="n"/>
      <c r="M322" s="13" t="n"/>
      <c r="N322" s="12" t="n"/>
      <c r="O322" s="14" t="n"/>
      <c r="P322" s="13" t="n"/>
      <c r="Q322" s="14" t="n"/>
      <c r="R322" s="11">
        <f>IF(OR(B322="",D322="",S322="종결"),"",TODAY()-D322)</f>
        <v/>
      </c>
      <c r="S322" s="6">
        <f>IF(OR(B322="",I322=""),"",IFERROR(VLOOKUP(I322,설정!$C$5:$E$16,3,0),""))</f>
        <v/>
      </c>
    </row>
    <row r="323">
      <c r="A323" s="6">
        <f>IF(B323="","",ROW()-4)</f>
        <v/>
      </c>
      <c r="B323" s="12" t="n"/>
      <c r="C323" s="12" t="n"/>
      <c r="D323" s="13" t="n"/>
      <c r="E323" s="14" t="n"/>
      <c r="F323" s="12" t="n"/>
      <c r="G323" s="14" t="n"/>
      <c r="H323" s="12" t="n"/>
      <c r="I323" s="12" t="n"/>
      <c r="J323" s="6">
        <f>IF(OR(B323="",I323=""),"",IFERROR(VLOOKUP(I323,설정!$C$5:$E$16,2,0),""))</f>
        <v/>
      </c>
      <c r="K323" s="13" t="n"/>
      <c r="L323" s="15" t="n"/>
      <c r="M323" s="13" t="n"/>
      <c r="N323" s="12" t="n"/>
      <c r="O323" s="14" t="n"/>
      <c r="P323" s="13" t="n"/>
      <c r="Q323" s="14" t="n"/>
      <c r="R323" s="11">
        <f>IF(OR(B323="",D323="",S323="종결"),"",TODAY()-D323)</f>
        <v/>
      </c>
      <c r="S323" s="6">
        <f>IF(OR(B323="",I323=""),"",IFERROR(VLOOKUP(I323,설정!$C$5:$E$16,3,0),""))</f>
        <v/>
      </c>
    </row>
    <row r="324">
      <c r="A324" s="6">
        <f>IF(B324="","",ROW()-4)</f>
        <v/>
      </c>
      <c r="B324" s="12" t="n"/>
      <c r="C324" s="12" t="n"/>
      <c r="D324" s="13" t="n"/>
      <c r="E324" s="14" t="n"/>
      <c r="F324" s="12" t="n"/>
      <c r="G324" s="14" t="n"/>
      <c r="H324" s="12" t="n"/>
      <c r="I324" s="12" t="n"/>
      <c r="J324" s="6">
        <f>IF(OR(B324="",I324=""),"",IFERROR(VLOOKUP(I324,설정!$C$5:$E$16,2,0),""))</f>
        <v/>
      </c>
      <c r="K324" s="13" t="n"/>
      <c r="L324" s="15" t="n"/>
      <c r="M324" s="13" t="n"/>
      <c r="N324" s="12" t="n"/>
      <c r="O324" s="14" t="n"/>
      <c r="P324" s="13" t="n"/>
      <c r="Q324" s="14" t="n"/>
      <c r="R324" s="11">
        <f>IF(OR(B324="",D324="",S324="종결"),"",TODAY()-D324)</f>
        <v/>
      </c>
      <c r="S324" s="6">
        <f>IF(OR(B324="",I324=""),"",IFERROR(VLOOKUP(I324,설정!$C$5:$E$16,3,0),""))</f>
        <v/>
      </c>
    </row>
    <row r="325">
      <c r="A325" s="6">
        <f>IF(B325="","",ROW()-4)</f>
        <v/>
      </c>
      <c r="B325" s="12" t="n"/>
      <c r="C325" s="12" t="n"/>
      <c r="D325" s="13" t="n"/>
      <c r="E325" s="14" t="n"/>
      <c r="F325" s="12" t="n"/>
      <c r="G325" s="14" t="n"/>
      <c r="H325" s="12" t="n"/>
      <c r="I325" s="12" t="n"/>
      <c r="J325" s="6">
        <f>IF(OR(B325="",I325=""),"",IFERROR(VLOOKUP(I325,설정!$C$5:$E$16,2,0),""))</f>
        <v/>
      </c>
      <c r="K325" s="13" t="n"/>
      <c r="L325" s="15" t="n"/>
      <c r="M325" s="13" t="n"/>
      <c r="N325" s="12" t="n"/>
      <c r="O325" s="14" t="n"/>
      <c r="P325" s="13" t="n"/>
      <c r="Q325" s="14" t="n"/>
      <c r="R325" s="11">
        <f>IF(OR(B325="",D325="",S325="종결"),"",TODAY()-D325)</f>
        <v/>
      </c>
      <c r="S325" s="6">
        <f>IF(OR(B325="",I325=""),"",IFERROR(VLOOKUP(I325,설정!$C$5:$E$16,3,0),""))</f>
        <v/>
      </c>
    </row>
    <row r="326">
      <c r="A326" s="6">
        <f>IF(B326="","",ROW()-4)</f>
        <v/>
      </c>
      <c r="B326" s="12" t="n"/>
      <c r="C326" s="12" t="n"/>
      <c r="D326" s="13" t="n"/>
      <c r="E326" s="14" t="n"/>
      <c r="F326" s="12" t="n"/>
      <c r="G326" s="14" t="n"/>
      <c r="H326" s="12" t="n"/>
      <c r="I326" s="12" t="n"/>
      <c r="J326" s="6">
        <f>IF(OR(B326="",I326=""),"",IFERROR(VLOOKUP(I326,설정!$C$5:$E$16,2,0),""))</f>
        <v/>
      </c>
      <c r="K326" s="13" t="n"/>
      <c r="L326" s="15" t="n"/>
      <c r="M326" s="13" t="n"/>
      <c r="N326" s="12" t="n"/>
      <c r="O326" s="14" t="n"/>
      <c r="P326" s="13" t="n"/>
      <c r="Q326" s="14" t="n"/>
      <c r="R326" s="11">
        <f>IF(OR(B326="",D326="",S326="종결"),"",TODAY()-D326)</f>
        <v/>
      </c>
      <c r="S326" s="6">
        <f>IF(OR(B326="",I326=""),"",IFERROR(VLOOKUP(I326,설정!$C$5:$E$16,3,0),""))</f>
        <v/>
      </c>
    </row>
    <row r="327">
      <c r="A327" s="6">
        <f>IF(B327="","",ROW()-4)</f>
        <v/>
      </c>
      <c r="B327" s="12" t="n"/>
      <c r="C327" s="12" t="n"/>
      <c r="D327" s="13" t="n"/>
      <c r="E327" s="14" t="n"/>
      <c r="F327" s="12" t="n"/>
      <c r="G327" s="14" t="n"/>
      <c r="H327" s="12" t="n"/>
      <c r="I327" s="12" t="n"/>
      <c r="J327" s="6">
        <f>IF(OR(B327="",I327=""),"",IFERROR(VLOOKUP(I327,설정!$C$5:$E$16,2,0),""))</f>
        <v/>
      </c>
      <c r="K327" s="13" t="n"/>
      <c r="L327" s="15" t="n"/>
      <c r="M327" s="13" t="n"/>
      <c r="N327" s="12" t="n"/>
      <c r="O327" s="14" t="n"/>
      <c r="P327" s="13" t="n"/>
      <c r="Q327" s="14" t="n"/>
      <c r="R327" s="11">
        <f>IF(OR(B327="",D327="",S327="종결"),"",TODAY()-D327)</f>
        <v/>
      </c>
      <c r="S327" s="6">
        <f>IF(OR(B327="",I327=""),"",IFERROR(VLOOKUP(I327,설정!$C$5:$E$16,3,0),""))</f>
        <v/>
      </c>
    </row>
    <row r="328">
      <c r="A328" s="6">
        <f>IF(B328="","",ROW()-4)</f>
        <v/>
      </c>
      <c r="B328" s="12" t="n"/>
      <c r="C328" s="12" t="n"/>
      <c r="D328" s="13" t="n"/>
      <c r="E328" s="14" t="n"/>
      <c r="F328" s="12" t="n"/>
      <c r="G328" s="14" t="n"/>
      <c r="H328" s="12" t="n"/>
      <c r="I328" s="12" t="n"/>
      <c r="J328" s="6">
        <f>IF(OR(B328="",I328=""),"",IFERROR(VLOOKUP(I328,설정!$C$5:$E$16,2,0),""))</f>
        <v/>
      </c>
      <c r="K328" s="13" t="n"/>
      <c r="L328" s="15" t="n"/>
      <c r="M328" s="13" t="n"/>
      <c r="N328" s="12" t="n"/>
      <c r="O328" s="14" t="n"/>
      <c r="P328" s="13" t="n"/>
      <c r="Q328" s="14" t="n"/>
      <c r="R328" s="11">
        <f>IF(OR(B328="",D328="",S328="종결"),"",TODAY()-D328)</f>
        <v/>
      </c>
      <c r="S328" s="6">
        <f>IF(OR(B328="",I328=""),"",IFERROR(VLOOKUP(I328,설정!$C$5:$E$16,3,0),""))</f>
        <v/>
      </c>
    </row>
    <row r="329">
      <c r="A329" s="6">
        <f>IF(B329="","",ROW()-4)</f>
        <v/>
      </c>
      <c r="B329" s="12" t="n"/>
      <c r="C329" s="12" t="n"/>
      <c r="D329" s="13" t="n"/>
      <c r="E329" s="14" t="n"/>
      <c r="F329" s="12" t="n"/>
      <c r="G329" s="14" t="n"/>
      <c r="H329" s="12" t="n"/>
      <c r="I329" s="12" t="n"/>
      <c r="J329" s="6">
        <f>IF(OR(B329="",I329=""),"",IFERROR(VLOOKUP(I329,설정!$C$5:$E$16,2,0),""))</f>
        <v/>
      </c>
      <c r="K329" s="13" t="n"/>
      <c r="L329" s="15" t="n"/>
      <c r="M329" s="13" t="n"/>
      <c r="N329" s="12" t="n"/>
      <c r="O329" s="14" t="n"/>
      <c r="P329" s="13" t="n"/>
      <c r="Q329" s="14" t="n"/>
      <c r="R329" s="11">
        <f>IF(OR(B329="",D329="",S329="종결"),"",TODAY()-D329)</f>
        <v/>
      </c>
      <c r="S329" s="6">
        <f>IF(OR(B329="",I329=""),"",IFERROR(VLOOKUP(I329,설정!$C$5:$E$16,3,0),""))</f>
        <v/>
      </c>
    </row>
    <row r="330">
      <c r="A330" s="6">
        <f>IF(B330="","",ROW()-4)</f>
        <v/>
      </c>
      <c r="B330" s="12" t="n"/>
      <c r="C330" s="12" t="n"/>
      <c r="D330" s="13" t="n"/>
      <c r="E330" s="14" t="n"/>
      <c r="F330" s="12" t="n"/>
      <c r="G330" s="14" t="n"/>
      <c r="H330" s="12" t="n"/>
      <c r="I330" s="12" t="n"/>
      <c r="J330" s="6">
        <f>IF(OR(B330="",I330=""),"",IFERROR(VLOOKUP(I330,설정!$C$5:$E$16,2,0),""))</f>
        <v/>
      </c>
      <c r="K330" s="13" t="n"/>
      <c r="L330" s="15" t="n"/>
      <c r="M330" s="13" t="n"/>
      <c r="N330" s="12" t="n"/>
      <c r="O330" s="14" t="n"/>
      <c r="P330" s="13" t="n"/>
      <c r="Q330" s="14" t="n"/>
      <c r="R330" s="11">
        <f>IF(OR(B330="",D330="",S330="종결"),"",TODAY()-D330)</f>
        <v/>
      </c>
      <c r="S330" s="6">
        <f>IF(OR(B330="",I330=""),"",IFERROR(VLOOKUP(I330,설정!$C$5:$E$16,3,0),""))</f>
        <v/>
      </c>
    </row>
    <row r="331">
      <c r="A331" s="6">
        <f>IF(B331="","",ROW()-4)</f>
        <v/>
      </c>
      <c r="B331" s="12" t="n"/>
      <c r="C331" s="12" t="n"/>
      <c r="D331" s="13" t="n"/>
      <c r="E331" s="14" t="n"/>
      <c r="F331" s="12" t="n"/>
      <c r="G331" s="14" t="n"/>
      <c r="H331" s="12" t="n"/>
      <c r="I331" s="12" t="n"/>
      <c r="J331" s="6">
        <f>IF(OR(B331="",I331=""),"",IFERROR(VLOOKUP(I331,설정!$C$5:$E$16,2,0),""))</f>
        <v/>
      </c>
      <c r="K331" s="13" t="n"/>
      <c r="L331" s="15" t="n"/>
      <c r="M331" s="13" t="n"/>
      <c r="N331" s="12" t="n"/>
      <c r="O331" s="14" t="n"/>
      <c r="P331" s="13" t="n"/>
      <c r="Q331" s="14" t="n"/>
      <c r="R331" s="11">
        <f>IF(OR(B331="",D331="",S331="종결"),"",TODAY()-D331)</f>
        <v/>
      </c>
      <c r="S331" s="6">
        <f>IF(OR(B331="",I331=""),"",IFERROR(VLOOKUP(I331,설정!$C$5:$E$16,3,0),""))</f>
        <v/>
      </c>
    </row>
    <row r="332">
      <c r="A332" s="6">
        <f>IF(B332="","",ROW()-4)</f>
        <v/>
      </c>
      <c r="B332" s="12" t="n"/>
      <c r="C332" s="12" t="n"/>
      <c r="D332" s="13" t="n"/>
      <c r="E332" s="14" t="n"/>
      <c r="F332" s="12" t="n"/>
      <c r="G332" s="14" t="n"/>
      <c r="H332" s="12" t="n"/>
      <c r="I332" s="12" t="n"/>
      <c r="J332" s="6">
        <f>IF(OR(B332="",I332=""),"",IFERROR(VLOOKUP(I332,설정!$C$5:$E$16,2,0),""))</f>
        <v/>
      </c>
      <c r="K332" s="13" t="n"/>
      <c r="L332" s="15" t="n"/>
      <c r="M332" s="13" t="n"/>
      <c r="N332" s="12" t="n"/>
      <c r="O332" s="14" t="n"/>
      <c r="P332" s="13" t="n"/>
      <c r="Q332" s="14" t="n"/>
      <c r="R332" s="11">
        <f>IF(OR(B332="",D332="",S332="종결"),"",TODAY()-D332)</f>
        <v/>
      </c>
      <c r="S332" s="6">
        <f>IF(OR(B332="",I332=""),"",IFERROR(VLOOKUP(I332,설정!$C$5:$E$16,3,0),""))</f>
        <v/>
      </c>
    </row>
    <row r="333">
      <c r="A333" s="6">
        <f>IF(B333="","",ROW()-4)</f>
        <v/>
      </c>
      <c r="B333" s="12" t="n"/>
      <c r="C333" s="12" t="n"/>
      <c r="D333" s="13" t="n"/>
      <c r="E333" s="14" t="n"/>
      <c r="F333" s="12" t="n"/>
      <c r="G333" s="14" t="n"/>
      <c r="H333" s="12" t="n"/>
      <c r="I333" s="12" t="n"/>
      <c r="J333" s="6">
        <f>IF(OR(B333="",I333=""),"",IFERROR(VLOOKUP(I333,설정!$C$5:$E$16,2,0),""))</f>
        <v/>
      </c>
      <c r="K333" s="13" t="n"/>
      <c r="L333" s="15" t="n"/>
      <c r="M333" s="13" t="n"/>
      <c r="N333" s="12" t="n"/>
      <c r="O333" s="14" t="n"/>
      <c r="P333" s="13" t="n"/>
      <c r="Q333" s="14" t="n"/>
      <c r="R333" s="11">
        <f>IF(OR(B333="",D333="",S333="종결"),"",TODAY()-D333)</f>
        <v/>
      </c>
      <c r="S333" s="6">
        <f>IF(OR(B333="",I333=""),"",IFERROR(VLOOKUP(I333,설정!$C$5:$E$16,3,0),""))</f>
        <v/>
      </c>
    </row>
    <row r="334">
      <c r="A334" s="6">
        <f>IF(B334="","",ROW()-4)</f>
        <v/>
      </c>
      <c r="B334" s="12" t="n"/>
      <c r="C334" s="12" t="n"/>
      <c r="D334" s="13" t="n"/>
      <c r="E334" s="14" t="n"/>
      <c r="F334" s="12" t="n"/>
      <c r="G334" s="14" t="n"/>
      <c r="H334" s="12" t="n"/>
      <c r="I334" s="12" t="n"/>
      <c r="J334" s="6">
        <f>IF(OR(B334="",I334=""),"",IFERROR(VLOOKUP(I334,설정!$C$5:$E$16,2,0),""))</f>
        <v/>
      </c>
      <c r="K334" s="13" t="n"/>
      <c r="L334" s="15" t="n"/>
      <c r="M334" s="13" t="n"/>
      <c r="N334" s="12" t="n"/>
      <c r="O334" s="14" t="n"/>
      <c r="P334" s="13" t="n"/>
      <c r="Q334" s="14" t="n"/>
      <c r="R334" s="11">
        <f>IF(OR(B334="",D334="",S334="종결"),"",TODAY()-D334)</f>
        <v/>
      </c>
      <c r="S334" s="6">
        <f>IF(OR(B334="",I334=""),"",IFERROR(VLOOKUP(I334,설정!$C$5:$E$16,3,0),""))</f>
        <v/>
      </c>
    </row>
    <row r="335">
      <c r="A335" s="6">
        <f>IF(B335="","",ROW()-4)</f>
        <v/>
      </c>
      <c r="B335" s="12" t="n"/>
      <c r="C335" s="12" t="n"/>
      <c r="D335" s="13" t="n"/>
      <c r="E335" s="14" t="n"/>
      <c r="F335" s="12" t="n"/>
      <c r="G335" s="14" t="n"/>
      <c r="H335" s="12" t="n"/>
      <c r="I335" s="12" t="n"/>
      <c r="J335" s="6">
        <f>IF(OR(B335="",I335=""),"",IFERROR(VLOOKUP(I335,설정!$C$5:$E$16,2,0),""))</f>
        <v/>
      </c>
      <c r="K335" s="13" t="n"/>
      <c r="L335" s="15" t="n"/>
      <c r="M335" s="13" t="n"/>
      <c r="N335" s="12" t="n"/>
      <c r="O335" s="14" t="n"/>
      <c r="P335" s="13" t="n"/>
      <c r="Q335" s="14" t="n"/>
      <c r="R335" s="11">
        <f>IF(OR(B335="",D335="",S335="종결"),"",TODAY()-D335)</f>
        <v/>
      </c>
      <c r="S335" s="6">
        <f>IF(OR(B335="",I335=""),"",IFERROR(VLOOKUP(I335,설정!$C$5:$E$16,3,0),""))</f>
        <v/>
      </c>
    </row>
    <row r="336">
      <c r="A336" s="6">
        <f>IF(B336="","",ROW()-4)</f>
        <v/>
      </c>
      <c r="B336" s="12" t="n"/>
      <c r="C336" s="12" t="n"/>
      <c r="D336" s="13" t="n"/>
      <c r="E336" s="14" t="n"/>
      <c r="F336" s="12" t="n"/>
      <c r="G336" s="14" t="n"/>
      <c r="H336" s="12" t="n"/>
      <c r="I336" s="12" t="n"/>
      <c r="J336" s="6">
        <f>IF(OR(B336="",I336=""),"",IFERROR(VLOOKUP(I336,설정!$C$5:$E$16,2,0),""))</f>
        <v/>
      </c>
      <c r="K336" s="13" t="n"/>
      <c r="L336" s="15" t="n"/>
      <c r="M336" s="13" t="n"/>
      <c r="N336" s="12" t="n"/>
      <c r="O336" s="14" t="n"/>
      <c r="P336" s="13" t="n"/>
      <c r="Q336" s="14" t="n"/>
      <c r="R336" s="11">
        <f>IF(OR(B336="",D336="",S336="종결"),"",TODAY()-D336)</f>
        <v/>
      </c>
      <c r="S336" s="6">
        <f>IF(OR(B336="",I336=""),"",IFERROR(VLOOKUP(I336,설정!$C$5:$E$16,3,0),""))</f>
        <v/>
      </c>
    </row>
    <row r="337">
      <c r="A337" s="6">
        <f>IF(B337="","",ROW()-4)</f>
        <v/>
      </c>
      <c r="B337" s="12" t="n"/>
      <c r="C337" s="12" t="n"/>
      <c r="D337" s="13" t="n"/>
      <c r="E337" s="14" t="n"/>
      <c r="F337" s="12" t="n"/>
      <c r="G337" s="14" t="n"/>
      <c r="H337" s="12" t="n"/>
      <c r="I337" s="12" t="n"/>
      <c r="J337" s="6">
        <f>IF(OR(B337="",I337=""),"",IFERROR(VLOOKUP(I337,설정!$C$5:$E$16,2,0),""))</f>
        <v/>
      </c>
      <c r="K337" s="13" t="n"/>
      <c r="L337" s="15" t="n"/>
      <c r="M337" s="13" t="n"/>
      <c r="N337" s="12" t="n"/>
      <c r="O337" s="14" t="n"/>
      <c r="P337" s="13" t="n"/>
      <c r="Q337" s="14" t="n"/>
      <c r="R337" s="11">
        <f>IF(OR(B337="",D337="",S337="종결"),"",TODAY()-D337)</f>
        <v/>
      </c>
      <c r="S337" s="6">
        <f>IF(OR(B337="",I337=""),"",IFERROR(VLOOKUP(I337,설정!$C$5:$E$16,3,0),""))</f>
        <v/>
      </c>
    </row>
    <row r="338">
      <c r="A338" s="6">
        <f>IF(B338="","",ROW()-4)</f>
        <v/>
      </c>
      <c r="B338" s="12" t="n"/>
      <c r="C338" s="12" t="n"/>
      <c r="D338" s="13" t="n"/>
      <c r="E338" s="14" t="n"/>
      <c r="F338" s="12" t="n"/>
      <c r="G338" s="14" t="n"/>
      <c r="H338" s="12" t="n"/>
      <c r="I338" s="12" t="n"/>
      <c r="J338" s="6">
        <f>IF(OR(B338="",I338=""),"",IFERROR(VLOOKUP(I338,설정!$C$5:$E$16,2,0),""))</f>
        <v/>
      </c>
      <c r="K338" s="13" t="n"/>
      <c r="L338" s="15" t="n"/>
      <c r="M338" s="13" t="n"/>
      <c r="N338" s="12" t="n"/>
      <c r="O338" s="14" t="n"/>
      <c r="P338" s="13" t="n"/>
      <c r="Q338" s="14" t="n"/>
      <c r="R338" s="11">
        <f>IF(OR(B338="",D338="",S338="종결"),"",TODAY()-D338)</f>
        <v/>
      </c>
      <c r="S338" s="6">
        <f>IF(OR(B338="",I338=""),"",IFERROR(VLOOKUP(I338,설정!$C$5:$E$16,3,0),""))</f>
        <v/>
      </c>
    </row>
    <row r="339">
      <c r="A339" s="6">
        <f>IF(B339="","",ROW()-4)</f>
        <v/>
      </c>
      <c r="B339" s="12" t="n"/>
      <c r="C339" s="12" t="n"/>
      <c r="D339" s="13" t="n"/>
      <c r="E339" s="14" t="n"/>
      <c r="F339" s="12" t="n"/>
      <c r="G339" s="14" t="n"/>
      <c r="H339" s="12" t="n"/>
      <c r="I339" s="12" t="n"/>
      <c r="J339" s="6">
        <f>IF(OR(B339="",I339=""),"",IFERROR(VLOOKUP(I339,설정!$C$5:$E$16,2,0),""))</f>
        <v/>
      </c>
      <c r="K339" s="13" t="n"/>
      <c r="L339" s="15" t="n"/>
      <c r="M339" s="13" t="n"/>
      <c r="N339" s="12" t="n"/>
      <c r="O339" s="14" t="n"/>
      <c r="P339" s="13" t="n"/>
      <c r="Q339" s="14" t="n"/>
      <c r="R339" s="11">
        <f>IF(OR(B339="",D339="",S339="종결"),"",TODAY()-D339)</f>
        <v/>
      </c>
      <c r="S339" s="6">
        <f>IF(OR(B339="",I339=""),"",IFERROR(VLOOKUP(I339,설정!$C$5:$E$16,3,0),""))</f>
        <v/>
      </c>
    </row>
    <row r="340">
      <c r="A340" s="6">
        <f>IF(B340="","",ROW()-4)</f>
        <v/>
      </c>
      <c r="B340" s="12" t="n"/>
      <c r="C340" s="12" t="n"/>
      <c r="D340" s="13" t="n"/>
      <c r="E340" s="14" t="n"/>
      <c r="F340" s="12" t="n"/>
      <c r="G340" s="14" t="n"/>
      <c r="H340" s="12" t="n"/>
      <c r="I340" s="12" t="n"/>
      <c r="J340" s="6">
        <f>IF(OR(B340="",I340=""),"",IFERROR(VLOOKUP(I340,설정!$C$5:$E$16,2,0),""))</f>
        <v/>
      </c>
      <c r="K340" s="13" t="n"/>
      <c r="L340" s="15" t="n"/>
      <c r="M340" s="13" t="n"/>
      <c r="N340" s="12" t="n"/>
      <c r="O340" s="14" t="n"/>
      <c r="P340" s="13" t="n"/>
      <c r="Q340" s="14" t="n"/>
      <c r="R340" s="11">
        <f>IF(OR(B340="",D340="",S340="종결"),"",TODAY()-D340)</f>
        <v/>
      </c>
      <c r="S340" s="6">
        <f>IF(OR(B340="",I340=""),"",IFERROR(VLOOKUP(I340,설정!$C$5:$E$16,3,0),""))</f>
        <v/>
      </c>
    </row>
    <row r="341">
      <c r="A341" s="6">
        <f>IF(B341="","",ROW()-4)</f>
        <v/>
      </c>
      <c r="B341" s="12" t="n"/>
      <c r="C341" s="12" t="n"/>
      <c r="D341" s="13" t="n"/>
      <c r="E341" s="14" t="n"/>
      <c r="F341" s="12" t="n"/>
      <c r="G341" s="14" t="n"/>
      <c r="H341" s="12" t="n"/>
      <c r="I341" s="12" t="n"/>
      <c r="J341" s="6">
        <f>IF(OR(B341="",I341=""),"",IFERROR(VLOOKUP(I341,설정!$C$5:$E$16,2,0),""))</f>
        <v/>
      </c>
      <c r="K341" s="13" t="n"/>
      <c r="L341" s="15" t="n"/>
      <c r="M341" s="13" t="n"/>
      <c r="N341" s="12" t="n"/>
      <c r="O341" s="14" t="n"/>
      <c r="P341" s="13" t="n"/>
      <c r="Q341" s="14" t="n"/>
      <c r="R341" s="11">
        <f>IF(OR(B341="",D341="",S341="종결"),"",TODAY()-D341)</f>
        <v/>
      </c>
      <c r="S341" s="6">
        <f>IF(OR(B341="",I341=""),"",IFERROR(VLOOKUP(I341,설정!$C$5:$E$16,3,0),""))</f>
        <v/>
      </c>
    </row>
    <row r="342">
      <c r="A342" s="6">
        <f>IF(B342="","",ROW()-4)</f>
        <v/>
      </c>
      <c r="B342" s="12" t="n"/>
      <c r="C342" s="12" t="n"/>
      <c r="D342" s="13" t="n"/>
      <c r="E342" s="14" t="n"/>
      <c r="F342" s="12" t="n"/>
      <c r="G342" s="14" t="n"/>
      <c r="H342" s="12" t="n"/>
      <c r="I342" s="12" t="n"/>
      <c r="J342" s="6">
        <f>IF(OR(B342="",I342=""),"",IFERROR(VLOOKUP(I342,설정!$C$5:$E$16,2,0),""))</f>
        <v/>
      </c>
      <c r="K342" s="13" t="n"/>
      <c r="L342" s="15" t="n"/>
      <c r="M342" s="13" t="n"/>
      <c r="N342" s="12" t="n"/>
      <c r="O342" s="14" t="n"/>
      <c r="P342" s="13" t="n"/>
      <c r="Q342" s="14" t="n"/>
      <c r="R342" s="11">
        <f>IF(OR(B342="",D342="",S342="종결"),"",TODAY()-D342)</f>
        <v/>
      </c>
      <c r="S342" s="6">
        <f>IF(OR(B342="",I342=""),"",IFERROR(VLOOKUP(I342,설정!$C$5:$E$16,3,0),""))</f>
        <v/>
      </c>
    </row>
    <row r="343">
      <c r="A343" s="6">
        <f>IF(B343="","",ROW()-4)</f>
        <v/>
      </c>
      <c r="B343" s="12" t="n"/>
      <c r="C343" s="12" t="n"/>
      <c r="D343" s="13" t="n"/>
      <c r="E343" s="14" t="n"/>
      <c r="F343" s="12" t="n"/>
      <c r="G343" s="14" t="n"/>
      <c r="H343" s="12" t="n"/>
      <c r="I343" s="12" t="n"/>
      <c r="J343" s="6">
        <f>IF(OR(B343="",I343=""),"",IFERROR(VLOOKUP(I343,설정!$C$5:$E$16,2,0),""))</f>
        <v/>
      </c>
      <c r="K343" s="13" t="n"/>
      <c r="L343" s="15" t="n"/>
      <c r="M343" s="13" t="n"/>
      <c r="N343" s="12" t="n"/>
      <c r="O343" s="14" t="n"/>
      <c r="P343" s="13" t="n"/>
      <c r="Q343" s="14" t="n"/>
      <c r="R343" s="11">
        <f>IF(OR(B343="",D343="",S343="종결"),"",TODAY()-D343)</f>
        <v/>
      </c>
      <c r="S343" s="6">
        <f>IF(OR(B343="",I343=""),"",IFERROR(VLOOKUP(I343,설정!$C$5:$E$16,3,0),""))</f>
        <v/>
      </c>
    </row>
    <row r="344">
      <c r="A344" s="6">
        <f>IF(B344="","",ROW()-4)</f>
        <v/>
      </c>
      <c r="B344" s="12" t="n"/>
      <c r="C344" s="12" t="n"/>
      <c r="D344" s="13" t="n"/>
      <c r="E344" s="14" t="n"/>
      <c r="F344" s="12" t="n"/>
      <c r="G344" s="14" t="n"/>
      <c r="H344" s="12" t="n"/>
      <c r="I344" s="12" t="n"/>
      <c r="J344" s="6">
        <f>IF(OR(B344="",I344=""),"",IFERROR(VLOOKUP(I344,설정!$C$5:$E$16,2,0),""))</f>
        <v/>
      </c>
      <c r="K344" s="13" t="n"/>
      <c r="L344" s="15" t="n"/>
      <c r="M344" s="13" t="n"/>
      <c r="N344" s="12" t="n"/>
      <c r="O344" s="14" t="n"/>
      <c r="P344" s="13" t="n"/>
      <c r="Q344" s="14" t="n"/>
      <c r="R344" s="11">
        <f>IF(OR(B344="",D344="",S344="종결"),"",TODAY()-D344)</f>
        <v/>
      </c>
      <c r="S344" s="6">
        <f>IF(OR(B344="",I344=""),"",IFERROR(VLOOKUP(I344,설정!$C$5:$E$16,3,0),""))</f>
        <v/>
      </c>
    </row>
    <row r="345">
      <c r="A345" s="6">
        <f>IF(B345="","",ROW()-4)</f>
        <v/>
      </c>
      <c r="B345" s="12" t="n"/>
      <c r="C345" s="12" t="n"/>
      <c r="D345" s="13" t="n"/>
      <c r="E345" s="14" t="n"/>
      <c r="F345" s="12" t="n"/>
      <c r="G345" s="14" t="n"/>
      <c r="H345" s="12" t="n"/>
      <c r="I345" s="12" t="n"/>
      <c r="J345" s="6">
        <f>IF(OR(B345="",I345=""),"",IFERROR(VLOOKUP(I345,설정!$C$5:$E$16,2,0),""))</f>
        <v/>
      </c>
      <c r="K345" s="13" t="n"/>
      <c r="L345" s="15" t="n"/>
      <c r="M345" s="13" t="n"/>
      <c r="N345" s="12" t="n"/>
      <c r="O345" s="14" t="n"/>
      <c r="P345" s="13" t="n"/>
      <c r="Q345" s="14" t="n"/>
      <c r="R345" s="11">
        <f>IF(OR(B345="",D345="",S345="종결"),"",TODAY()-D345)</f>
        <v/>
      </c>
      <c r="S345" s="6">
        <f>IF(OR(B345="",I345=""),"",IFERROR(VLOOKUP(I345,설정!$C$5:$E$16,3,0),""))</f>
        <v/>
      </c>
    </row>
    <row r="346">
      <c r="A346" s="6">
        <f>IF(B346="","",ROW()-4)</f>
        <v/>
      </c>
      <c r="B346" s="12" t="n"/>
      <c r="C346" s="12" t="n"/>
      <c r="D346" s="13" t="n"/>
      <c r="E346" s="14" t="n"/>
      <c r="F346" s="12" t="n"/>
      <c r="G346" s="14" t="n"/>
      <c r="H346" s="12" t="n"/>
      <c r="I346" s="12" t="n"/>
      <c r="J346" s="6">
        <f>IF(OR(B346="",I346=""),"",IFERROR(VLOOKUP(I346,설정!$C$5:$E$16,2,0),""))</f>
        <v/>
      </c>
      <c r="K346" s="13" t="n"/>
      <c r="L346" s="15" t="n"/>
      <c r="M346" s="13" t="n"/>
      <c r="N346" s="12" t="n"/>
      <c r="O346" s="14" t="n"/>
      <c r="P346" s="13" t="n"/>
      <c r="Q346" s="14" t="n"/>
      <c r="R346" s="11">
        <f>IF(OR(B346="",D346="",S346="종결"),"",TODAY()-D346)</f>
        <v/>
      </c>
      <c r="S346" s="6">
        <f>IF(OR(B346="",I346=""),"",IFERROR(VLOOKUP(I346,설정!$C$5:$E$16,3,0),""))</f>
        <v/>
      </c>
    </row>
    <row r="347">
      <c r="A347" s="6">
        <f>IF(B347="","",ROW()-4)</f>
        <v/>
      </c>
      <c r="B347" s="12" t="n"/>
      <c r="C347" s="12" t="n"/>
      <c r="D347" s="13" t="n"/>
      <c r="E347" s="14" t="n"/>
      <c r="F347" s="12" t="n"/>
      <c r="G347" s="14" t="n"/>
      <c r="H347" s="12" t="n"/>
      <c r="I347" s="12" t="n"/>
      <c r="J347" s="6">
        <f>IF(OR(B347="",I347=""),"",IFERROR(VLOOKUP(I347,설정!$C$5:$E$16,2,0),""))</f>
        <v/>
      </c>
      <c r="K347" s="13" t="n"/>
      <c r="L347" s="15" t="n"/>
      <c r="M347" s="13" t="n"/>
      <c r="N347" s="12" t="n"/>
      <c r="O347" s="14" t="n"/>
      <c r="P347" s="13" t="n"/>
      <c r="Q347" s="14" t="n"/>
      <c r="R347" s="11">
        <f>IF(OR(B347="",D347="",S347="종결"),"",TODAY()-D347)</f>
        <v/>
      </c>
      <c r="S347" s="6">
        <f>IF(OR(B347="",I347=""),"",IFERROR(VLOOKUP(I347,설정!$C$5:$E$16,3,0),""))</f>
        <v/>
      </c>
    </row>
    <row r="348">
      <c r="A348" s="6">
        <f>IF(B348="","",ROW()-4)</f>
        <v/>
      </c>
      <c r="B348" s="12" t="n"/>
      <c r="C348" s="12" t="n"/>
      <c r="D348" s="13" t="n"/>
      <c r="E348" s="14" t="n"/>
      <c r="F348" s="12" t="n"/>
      <c r="G348" s="14" t="n"/>
      <c r="H348" s="12" t="n"/>
      <c r="I348" s="12" t="n"/>
      <c r="J348" s="6">
        <f>IF(OR(B348="",I348=""),"",IFERROR(VLOOKUP(I348,설정!$C$5:$E$16,2,0),""))</f>
        <v/>
      </c>
      <c r="K348" s="13" t="n"/>
      <c r="L348" s="15" t="n"/>
      <c r="M348" s="13" t="n"/>
      <c r="N348" s="12" t="n"/>
      <c r="O348" s="14" t="n"/>
      <c r="P348" s="13" t="n"/>
      <c r="Q348" s="14" t="n"/>
      <c r="R348" s="11">
        <f>IF(OR(B348="",D348="",S348="종결"),"",TODAY()-D348)</f>
        <v/>
      </c>
      <c r="S348" s="6">
        <f>IF(OR(B348="",I348=""),"",IFERROR(VLOOKUP(I348,설정!$C$5:$E$16,3,0),""))</f>
        <v/>
      </c>
    </row>
    <row r="349">
      <c r="A349" s="6">
        <f>IF(B349="","",ROW()-4)</f>
        <v/>
      </c>
      <c r="B349" s="12" t="n"/>
      <c r="C349" s="12" t="n"/>
      <c r="D349" s="13" t="n"/>
      <c r="E349" s="14" t="n"/>
      <c r="F349" s="12" t="n"/>
      <c r="G349" s="14" t="n"/>
      <c r="H349" s="12" t="n"/>
      <c r="I349" s="12" t="n"/>
      <c r="J349" s="6">
        <f>IF(OR(B349="",I349=""),"",IFERROR(VLOOKUP(I349,설정!$C$5:$E$16,2,0),""))</f>
        <v/>
      </c>
      <c r="K349" s="13" t="n"/>
      <c r="L349" s="15" t="n"/>
      <c r="M349" s="13" t="n"/>
      <c r="N349" s="12" t="n"/>
      <c r="O349" s="14" t="n"/>
      <c r="P349" s="13" t="n"/>
      <c r="Q349" s="14" t="n"/>
      <c r="R349" s="11">
        <f>IF(OR(B349="",D349="",S349="종결"),"",TODAY()-D349)</f>
        <v/>
      </c>
      <c r="S349" s="6">
        <f>IF(OR(B349="",I349=""),"",IFERROR(VLOOKUP(I349,설정!$C$5:$E$16,3,0),""))</f>
        <v/>
      </c>
    </row>
    <row r="350">
      <c r="A350" s="6">
        <f>IF(B350="","",ROW()-4)</f>
        <v/>
      </c>
      <c r="B350" s="12" t="n"/>
      <c r="C350" s="12" t="n"/>
      <c r="D350" s="13" t="n"/>
      <c r="E350" s="14" t="n"/>
      <c r="F350" s="12" t="n"/>
      <c r="G350" s="14" t="n"/>
      <c r="H350" s="12" t="n"/>
      <c r="I350" s="12" t="n"/>
      <c r="J350" s="6">
        <f>IF(OR(B350="",I350=""),"",IFERROR(VLOOKUP(I350,설정!$C$5:$E$16,2,0),""))</f>
        <v/>
      </c>
      <c r="K350" s="13" t="n"/>
      <c r="L350" s="15" t="n"/>
      <c r="M350" s="13" t="n"/>
      <c r="N350" s="12" t="n"/>
      <c r="O350" s="14" t="n"/>
      <c r="P350" s="13" t="n"/>
      <c r="Q350" s="14" t="n"/>
      <c r="R350" s="11">
        <f>IF(OR(B350="",D350="",S350="종결"),"",TODAY()-D350)</f>
        <v/>
      </c>
      <c r="S350" s="6">
        <f>IF(OR(B350="",I350=""),"",IFERROR(VLOOKUP(I350,설정!$C$5:$E$16,3,0),""))</f>
        <v/>
      </c>
    </row>
    <row r="351">
      <c r="A351" s="6">
        <f>IF(B351="","",ROW()-4)</f>
        <v/>
      </c>
      <c r="B351" s="12" t="n"/>
      <c r="C351" s="12" t="n"/>
      <c r="D351" s="13" t="n"/>
      <c r="E351" s="14" t="n"/>
      <c r="F351" s="12" t="n"/>
      <c r="G351" s="14" t="n"/>
      <c r="H351" s="12" t="n"/>
      <c r="I351" s="12" t="n"/>
      <c r="J351" s="6">
        <f>IF(OR(B351="",I351=""),"",IFERROR(VLOOKUP(I351,설정!$C$5:$E$16,2,0),""))</f>
        <v/>
      </c>
      <c r="K351" s="13" t="n"/>
      <c r="L351" s="15" t="n"/>
      <c r="M351" s="13" t="n"/>
      <c r="N351" s="12" t="n"/>
      <c r="O351" s="14" t="n"/>
      <c r="P351" s="13" t="n"/>
      <c r="Q351" s="14" t="n"/>
      <c r="R351" s="11">
        <f>IF(OR(B351="",D351="",S351="종결"),"",TODAY()-D351)</f>
        <v/>
      </c>
      <c r="S351" s="6">
        <f>IF(OR(B351="",I351=""),"",IFERROR(VLOOKUP(I351,설정!$C$5:$E$16,3,0),""))</f>
        <v/>
      </c>
    </row>
    <row r="352">
      <c r="A352" s="6">
        <f>IF(B352="","",ROW()-4)</f>
        <v/>
      </c>
      <c r="B352" s="12" t="n"/>
      <c r="C352" s="12" t="n"/>
      <c r="D352" s="13" t="n"/>
      <c r="E352" s="14" t="n"/>
      <c r="F352" s="12" t="n"/>
      <c r="G352" s="14" t="n"/>
      <c r="H352" s="12" t="n"/>
      <c r="I352" s="12" t="n"/>
      <c r="J352" s="6">
        <f>IF(OR(B352="",I352=""),"",IFERROR(VLOOKUP(I352,설정!$C$5:$E$16,2,0),""))</f>
        <v/>
      </c>
      <c r="K352" s="13" t="n"/>
      <c r="L352" s="15" t="n"/>
      <c r="M352" s="13" t="n"/>
      <c r="N352" s="12" t="n"/>
      <c r="O352" s="14" t="n"/>
      <c r="P352" s="13" t="n"/>
      <c r="Q352" s="14" t="n"/>
      <c r="R352" s="11">
        <f>IF(OR(B352="",D352="",S352="종결"),"",TODAY()-D352)</f>
        <v/>
      </c>
      <c r="S352" s="6">
        <f>IF(OR(B352="",I352=""),"",IFERROR(VLOOKUP(I352,설정!$C$5:$E$16,3,0),""))</f>
        <v/>
      </c>
    </row>
    <row r="353">
      <c r="A353" s="6">
        <f>IF(B353="","",ROW()-4)</f>
        <v/>
      </c>
      <c r="B353" s="12" t="n"/>
      <c r="C353" s="12" t="n"/>
      <c r="D353" s="13" t="n"/>
      <c r="E353" s="14" t="n"/>
      <c r="F353" s="12" t="n"/>
      <c r="G353" s="14" t="n"/>
      <c r="H353" s="12" t="n"/>
      <c r="I353" s="12" t="n"/>
      <c r="J353" s="6">
        <f>IF(OR(B353="",I353=""),"",IFERROR(VLOOKUP(I353,설정!$C$5:$E$16,2,0),""))</f>
        <v/>
      </c>
      <c r="K353" s="13" t="n"/>
      <c r="L353" s="15" t="n"/>
      <c r="M353" s="13" t="n"/>
      <c r="N353" s="12" t="n"/>
      <c r="O353" s="14" t="n"/>
      <c r="P353" s="13" t="n"/>
      <c r="Q353" s="14" t="n"/>
      <c r="R353" s="11">
        <f>IF(OR(B353="",D353="",S353="종결"),"",TODAY()-D353)</f>
        <v/>
      </c>
      <c r="S353" s="6">
        <f>IF(OR(B353="",I353=""),"",IFERROR(VLOOKUP(I353,설정!$C$5:$E$16,3,0),""))</f>
        <v/>
      </c>
    </row>
    <row r="354">
      <c r="A354" s="6">
        <f>IF(B354="","",ROW()-4)</f>
        <v/>
      </c>
      <c r="B354" s="12" t="n"/>
      <c r="C354" s="12" t="n"/>
      <c r="D354" s="13" t="n"/>
      <c r="E354" s="14" t="n"/>
      <c r="F354" s="12" t="n"/>
      <c r="G354" s="14" t="n"/>
      <c r="H354" s="12" t="n"/>
      <c r="I354" s="12" t="n"/>
      <c r="J354" s="6">
        <f>IF(OR(B354="",I354=""),"",IFERROR(VLOOKUP(I354,설정!$C$5:$E$16,2,0),""))</f>
        <v/>
      </c>
      <c r="K354" s="13" t="n"/>
      <c r="L354" s="15" t="n"/>
      <c r="M354" s="13" t="n"/>
      <c r="N354" s="12" t="n"/>
      <c r="O354" s="14" t="n"/>
      <c r="P354" s="13" t="n"/>
      <c r="Q354" s="14" t="n"/>
      <c r="R354" s="11">
        <f>IF(OR(B354="",D354="",S354="종결"),"",TODAY()-D354)</f>
        <v/>
      </c>
      <c r="S354" s="6">
        <f>IF(OR(B354="",I354=""),"",IFERROR(VLOOKUP(I354,설정!$C$5:$E$16,3,0),""))</f>
        <v/>
      </c>
    </row>
    <row r="355">
      <c r="A355" s="6">
        <f>IF(B355="","",ROW()-4)</f>
        <v/>
      </c>
      <c r="B355" s="12" t="n"/>
      <c r="C355" s="12" t="n"/>
      <c r="D355" s="13" t="n"/>
      <c r="E355" s="14" t="n"/>
      <c r="F355" s="12" t="n"/>
      <c r="G355" s="14" t="n"/>
      <c r="H355" s="12" t="n"/>
      <c r="I355" s="12" t="n"/>
      <c r="J355" s="6">
        <f>IF(OR(B355="",I355=""),"",IFERROR(VLOOKUP(I355,설정!$C$5:$E$16,2,0),""))</f>
        <v/>
      </c>
      <c r="K355" s="13" t="n"/>
      <c r="L355" s="15" t="n"/>
      <c r="M355" s="13" t="n"/>
      <c r="N355" s="12" t="n"/>
      <c r="O355" s="14" t="n"/>
      <c r="P355" s="13" t="n"/>
      <c r="Q355" s="14" t="n"/>
      <c r="R355" s="11">
        <f>IF(OR(B355="",D355="",S355="종결"),"",TODAY()-D355)</f>
        <v/>
      </c>
      <c r="S355" s="6">
        <f>IF(OR(B355="",I355=""),"",IFERROR(VLOOKUP(I355,설정!$C$5:$E$16,3,0),""))</f>
        <v/>
      </c>
    </row>
    <row r="356">
      <c r="A356" s="6">
        <f>IF(B356="","",ROW()-4)</f>
        <v/>
      </c>
      <c r="B356" s="12" t="n"/>
      <c r="C356" s="12" t="n"/>
      <c r="D356" s="13" t="n"/>
      <c r="E356" s="14" t="n"/>
      <c r="F356" s="12" t="n"/>
      <c r="G356" s="14" t="n"/>
      <c r="H356" s="12" t="n"/>
      <c r="I356" s="12" t="n"/>
      <c r="J356" s="6">
        <f>IF(OR(B356="",I356=""),"",IFERROR(VLOOKUP(I356,설정!$C$5:$E$16,2,0),""))</f>
        <v/>
      </c>
      <c r="K356" s="13" t="n"/>
      <c r="L356" s="15" t="n"/>
      <c r="M356" s="13" t="n"/>
      <c r="N356" s="12" t="n"/>
      <c r="O356" s="14" t="n"/>
      <c r="P356" s="13" t="n"/>
      <c r="Q356" s="14" t="n"/>
      <c r="R356" s="11">
        <f>IF(OR(B356="",D356="",S356="종결"),"",TODAY()-D356)</f>
        <v/>
      </c>
      <c r="S356" s="6">
        <f>IF(OR(B356="",I356=""),"",IFERROR(VLOOKUP(I356,설정!$C$5:$E$16,3,0),""))</f>
        <v/>
      </c>
    </row>
    <row r="357">
      <c r="A357" s="6">
        <f>IF(B357="","",ROW()-4)</f>
        <v/>
      </c>
      <c r="B357" s="12" t="n"/>
      <c r="C357" s="12" t="n"/>
      <c r="D357" s="13" t="n"/>
      <c r="E357" s="14" t="n"/>
      <c r="F357" s="12" t="n"/>
      <c r="G357" s="14" t="n"/>
      <c r="H357" s="12" t="n"/>
      <c r="I357" s="12" t="n"/>
      <c r="J357" s="6">
        <f>IF(OR(B357="",I357=""),"",IFERROR(VLOOKUP(I357,설정!$C$5:$E$16,2,0),""))</f>
        <v/>
      </c>
      <c r="K357" s="13" t="n"/>
      <c r="L357" s="15" t="n"/>
      <c r="M357" s="13" t="n"/>
      <c r="N357" s="12" t="n"/>
      <c r="O357" s="14" t="n"/>
      <c r="P357" s="13" t="n"/>
      <c r="Q357" s="14" t="n"/>
      <c r="R357" s="11">
        <f>IF(OR(B357="",D357="",S357="종결"),"",TODAY()-D357)</f>
        <v/>
      </c>
      <c r="S357" s="6">
        <f>IF(OR(B357="",I357=""),"",IFERROR(VLOOKUP(I357,설정!$C$5:$E$16,3,0),""))</f>
        <v/>
      </c>
    </row>
    <row r="358">
      <c r="A358" s="6">
        <f>IF(B358="","",ROW()-4)</f>
        <v/>
      </c>
      <c r="B358" s="12" t="n"/>
      <c r="C358" s="12" t="n"/>
      <c r="D358" s="13" t="n"/>
      <c r="E358" s="14" t="n"/>
      <c r="F358" s="12" t="n"/>
      <c r="G358" s="14" t="n"/>
      <c r="H358" s="12" t="n"/>
      <c r="I358" s="12" t="n"/>
      <c r="J358" s="6">
        <f>IF(OR(B358="",I358=""),"",IFERROR(VLOOKUP(I358,설정!$C$5:$E$16,2,0),""))</f>
        <v/>
      </c>
      <c r="K358" s="13" t="n"/>
      <c r="L358" s="15" t="n"/>
      <c r="M358" s="13" t="n"/>
      <c r="N358" s="12" t="n"/>
      <c r="O358" s="14" t="n"/>
      <c r="P358" s="13" t="n"/>
      <c r="Q358" s="14" t="n"/>
      <c r="R358" s="11">
        <f>IF(OR(B358="",D358="",S358="종결"),"",TODAY()-D358)</f>
        <v/>
      </c>
      <c r="S358" s="6">
        <f>IF(OR(B358="",I358=""),"",IFERROR(VLOOKUP(I358,설정!$C$5:$E$16,3,0),""))</f>
        <v/>
      </c>
    </row>
    <row r="359">
      <c r="A359" s="6">
        <f>IF(B359="","",ROW()-4)</f>
        <v/>
      </c>
      <c r="B359" s="12" t="n"/>
      <c r="C359" s="12" t="n"/>
      <c r="D359" s="13" t="n"/>
      <c r="E359" s="14" t="n"/>
      <c r="F359" s="12" t="n"/>
      <c r="G359" s="14" t="n"/>
      <c r="H359" s="12" t="n"/>
      <c r="I359" s="12" t="n"/>
      <c r="J359" s="6">
        <f>IF(OR(B359="",I359=""),"",IFERROR(VLOOKUP(I359,설정!$C$5:$E$16,2,0),""))</f>
        <v/>
      </c>
      <c r="K359" s="13" t="n"/>
      <c r="L359" s="15" t="n"/>
      <c r="M359" s="13" t="n"/>
      <c r="N359" s="12" t="n"/>
      <c r="O359" s="14" t="n"/>
      <c r="P359" s="13" t="n"/>
      <c r="Q359" s="14" t="n"/>
      <c r="R359" s="11">
        <f>IF(OR(B359="",D359="",S359="종결"),"",TODAY()-D359)</f>
        <v/>
      </c>
      <c r="S359" s="6">
        <f>IF(OR(B359="",I359=""),"",IFERROR(VLOOKUP(I359,설정!$C$5:$E$16,3,0),""))</f>
        <v/>
      </c>
    </row>
    <row r="360">
      <c r="A360" s="6">
        <f>IF(B360="","",ROW()-4)</f>
        <v/>
      </c>
      <c r="B360" s="12" t="n"/>
      <c r="C360" s="12" t="n"/>
      <c r="D360" s="13" t="n"/>
      <c r="E360" s="14" t="n"/>
      <c r="F360" s="12" t="n"/>
      <c r="G360" s="14" t="n"/>
      <c r="H360" s="12" t="n"/>
      <c r="I360" s="12" t="n"/>
      <c r="J360" s="6">
        <f>IF(OR(B360="",I360=""),"",IFERROR(VLOOKUP(I360,설정!$C$5:$E$16,2,0),""))</f>
        <v/>
      </c>
      <c r="K360" s="13" t="n"/>
      <c r="L360" s="15" t="n"/>
      <c r="M360" s="13" t="n"/>
      <c r="N360" s="12" t="n"/>
      <c r="O360" s="14" t="n"/>
      <c r="P360" s="13" t="n"/>
      <c r="Q360" s="14" t="n"/>
      <c r="R360" s="11">
        <f>IF(OR(B360="",D360="",S360="종결"),"",TODAY()-D360)</f>
        <v/>
      </c>
      <c r="S360" s="6">
        <f>IF(OR(B360="",I360=""),"",IFERROR(VLOOKUP(I360,설정!$C$5:$E$16,3,0),""))</f>
        <v/>
      </c>
    </row>
    <row r="361">
      <c r="A361" s="6">
        <f>IF(B361="","",ROW()-4)</f>
        <v/>
      </c>
      <c r="B361" s="12" t="n"/>
      <c r="C361" s="12" t="n"/>
      <c r="D361" s="13" t="n"/>
      <c r="E361" s="14" t="n"/>
      <c r="F361" s="12" t="n"/>
      <c r="G361" s="14" t="n"/>
      <c r="H361" s="12" t="n"/>
      <c r="I361" s="12" t="n"/>
      <c r="J361" s="6">
        <f>IF(OR(B361="",I361=""),"",IFERROR(VLOOKUP(I361,설정!$C$5:$E$16,2,0),""))</f>
        <v/>
      </c>
      <c r="K361" s="13" t="n"/>
      <c r="L361" s="15" t="n"/>
      <c r="M361" s="13" t="n"/>
      <c r="N361" s="12" t="n"/>
      <c r="O361" s="14" t="n"/>
      <c r="P361" s="13" t="n"/>
      <c r="Q361" s="14" t="n"/>
      <c r="R361" s="11">
        <f>IF(OR(B361="",D361="",S361="종결"),"",TODAY()-D361)</f>
        <v/>
      </c>
      <c r="S361" s="6">
        <f>IF(OR(B361="",I361=""),"",IFERROR(VLOOKUP(I361,설정!$C$5:$E$16,3,0),""))</f>
        <v/>
      </c>
    </row>
    <row r="362">
      <c r="A362" s="6">
        <f>IF(B362="","",ROW()-4)</f>
        <v/>
      </c>
      <c r="B362" s="12" t="n"/>
      <c r="C362" s="12" t="n"/>
      <c r="D362" s="13" t="n"/>
      <c r="E362" s="14" t="n"/>
      <c r="F362" s="12" t="n"/>
      <c r="G362" s="14" t="n"/>
      <c r="H362" s="12" t="n"/>
      <c r="I362" s="12" t="n"/>
      <c r="J362" s="6">
        <f>IF(OR(B362="",I362=""),"",IFERROR(VLOOKUP(I362,설정!$C$5:$E$16,2,0),""))</f>
        <v/>
      </c>
      <c r="K362" s="13" t="n"/>
      <c r="L362" s="15" t="n"/>
      <c r="M362" s="13" t="n"/>
      <c r="N362" s="12" t="n"/>
      <c r="O362" s="14" t="n"/>
      <c r="P362" s="13" t="n"/>
      <c r="Q362" s="14" t="n"/>
      <c r="R362" s="11">
        <f>IF(OR(B362="",D362="",S362="종결"),"",TODAY()-D362)</f>
        <v/>
      </c>
      <c r="S362" s="6">
        <f>IF(OR(B362="",I362=""),"",IFERROR(VLOOKUP(I362,설정!$C$5:$E$16,3,0),""))</f>
        <v/>
      </c>
    </row>
    <row r="363">
      <c r="A363" s="6">
        <f>IF(B363="","",ROW()-4)</f>
        <v/>
      </c>
      <c r="B363" s="12" t="n"/>
      <c r="C363" s="12" t="n"/>
      <c r="D363" s="13" t="n"/>
      <c r="E363" s="14" t="n"/>
      <c r="F363" s="12" t="n"/>
      <c r="G363" s="14" t="n"/>
      <c r="H363" s="12" t="n"/>
      <c r="I363" s="12" t="n"/>
      <c r="J363" s="6">
        <f>IF(OR(B363="",I363=""),"",IFERROR(VLOOKUP(I363,설정!$C$5:$E$16,2,0),""))</f>
        <v/>
      </c>
      <c r="K363" s="13" t="n"/>
      <c r="L363" s="15" t="n"/>
      <c r="M363" s="13" t="n"/>
      <c r="N363" s="12" t="n"/>
      <c r="O363" s="14" t="n"/>
      <c r="P363" s="13" t="n"/>
      <c r="Q363" s="14" t="n"/>
      <c r="R363" s="11">
        <f>IF(OR(B363="",D363="",S363="종결"),"",TODAY()-D363)</f>
        <v/>
      </c>
      <c r="S363" s="6">
        <f>IF(OR(B363="",I363=""),"",IFERROR(VLOOKUP(I363,설정!$C$5:$E$16,3,0),""))</f>
        <v/>
      </c>
    </row>
    <row r="364">
      <c r="A364" s="6">
        <f>IF(B364="","",ROW()-4)</f>
        <v/>
      </c>
      <c r="B364" s="12" t="n"/>
      <c r="C364" s="12" t="n"/>
      <c r="D364" s="13" t="n"/>
      <c r="E364" s="14" t="n"/>
      <c r="F364" s="12" t="n"/>
      <c r="G364" s="14" t="n"/>
      <c r="H364" s="12" t="n"/>
      <c r="I364" s="12" t="n"/>
      <c r="J364" s="6">
        <f>IF(OR(B364="",I364=""),"",IFERROR(VLOOKUP(I364,설정!$C$5:$E$16,2,0),""))</f>
        <v/>
      </c>
      <c r="K364" s="13" t="n"/>
      <c r="L364" s="15" t="n"/>
      <c r="M364" s="13" t="n"/>
      <c r="N364" s="12" t="n"/>
      <c r="O364" s="14" t="n"/>
      <c r="P364" s="13" t="n"/>
      <c r="Q364" s="14" t="n"/>
      <c r="R364" s="11">
        <f>IF(OR(B364="",D364="",S364="종결"),"",TODAY()-D364)</f>
        <v/>
      </c>
      <c r="S364" s="6">
        <f>IF(OR(B364="",I364=""),"",IFERROR(VLOOKUP(I364,설정!$C$5:$E$16,3,0),""))</f>
        <v/>
      </c>
    </row>
    <row r="365">
      <c r="A365" s="6">
        <f>IF(B365="","",ROW()-4)</f>
        <v/>
      </c>
      <c r="B365" s="12" t="n"/>
      <c r="C365" s="12" t="n"/>
      <c r="D365" s="13" t="n"/>
      <c r="E365" s="14" t="n"/>
      <c r="F365" s="12" t="n"/>
      <c r="G365" s="14" t="n"/>
      <c r="H365" s="12" t="n"/>
      <c r="I365" s="12" t="n"/>
      <c r="J365" s="6">
        <f>IF(OR(B365="",I365=""),"",IFERROR(VLOOKUP(I365,설정!$C$5:$E$16,2,0),""))</f>
        <v/>
      </c>
      <c r="K365" s="13" t="n"/>
      <c r="L365" s="15" t="n"/>
      <c r="M365" s="13" t="n"/>
      <c r="N365" s="12" t="n"/>
      <c r="O365" s="14" t="n"/>
      <c r="P365" s="13" t="n"/>
      <c r="Q365" s="14" t="n"/>
      <c r="R365" s="11">
        <f>IF(OR(B365="",D365="",S365="종결"),"",TODAY()-D365)</f>
        <v/>
      </c>
      <c r="S365" s="6">
        <f>IF(OR(B365="",I365=""),"",IFERROR(VLOOKUP(I365,설정!$C$5:$E$16,3,0),""))</f>
        <v/>
      </c>
    </row>
    <row r="366">
      <c r="A366" s="6">
        <f>IF(B366="","",ROW()-4)</f>
        <v/>
      </c>
      <c r="B366" s="12" t="n"/>
      <c r="C366" s="12" t="n"/>
      <c r="D366" s="13" t="n"/>
      <c r="E366" s="14" t="n"/>
      <c r="F366" s="12" t="n"/>
      <c r="G366" s="14" t="n"/>
      <c r="H366" s="12" t="n"/>
      <c r="I366" s="12" t="n"/>
      <c r="J366" s="6">
        <f>IF(OR(B366="",I366=""),"",IFERROR(VLOOKUP(I366,설정!$C$5:$E$16,2,0),""))</f>
        <v/>
      </c>
      <c r="K366" s="13" t="n"/>
      <c r="L366" s="15" t="n"/>
      <c r="M366" s="13" t="n"/>
      <c r="N366" s="12" t="n"/>
      <c r="O366" s="14" t="n"/>
      <c r="P366" s="13" t="n"/>
      <c r="Q366" s="14" t="n"/>
      <c r="R366" s="11">
        <f>IF(OR(B366="",D366="",S366="종결"),"",TODAY()-D366)</f>
        <v/>
      </c>
      <c r="S366" s="6">
        <f>IF(OR(B366="",I366=""),"",IFERROR(VLOOKUP(I366,설정!$C$5:$E$16,3,0),""))</f>
        <v/>
      </c>
    </row>
    <row r="367">
      <c r="A367" s="6">
        <f>IF(B367="","",ROW()-4)</f>
        <v/>
      </c>
      <c r="B367" s="12" t="n"/>
      <c r="C367" s="12" t="n"/>
      <c r="D367" s="13" t="n"/>
      <c r="E367" s="14" t="n"/>
      <c r="F367" s="12" t="n"/>
      <c r="G367" s="14" t="n"/>
      <c r="H367" s="12" t="n"/>
      <c r="I367" s="12" t="n"/>
      <c r="J367" s="6">
        <f>IF(OR(B367="",I367=""),"",IFERROR(VLOOKUP(I367,설정!$C$5:$E$16,2,0),""))</f>
        <v/>
      </c>
      <c r="K367" s="13" t="n"/>
      <c r="L367" s="15" t="n"/>
      <c r="M367" s="13" t="n"/>
      <c r="N367" s="12" t="n"/>
      <c r="O367" s="14" t="n"/>
      <c r="P367" s="13" t="n"/>
      <c r="Q367" s="14" t="n"/>
      <c r="R367" s="11">
        <f>IF(OR(B367="",D367="",S367="종결"),"",TODAY()-D367)</f>
        <v/>
      </c>
      <c r="S367" s="6">
        <f>IF(OR(B367="",I367=""),"",IFERROR(VLOOKUP(I367,설정!$C$5:$E$16,3,0),""))</f>
        <v/>
      </c>
    </row>
    <row r="368">
      <c r="A368" s="6">
        <f>IF(B368="","",ROW()-4)</f>
        <v/>
      </c>
      <c r="B368" s="12" t="n"/>
      <c r="C368" s="12" t="n"/>
      <c r="D368" s="13" t="n"/>
      <c r="E368" s="14" t="n"/>
      <c r="F368" s="12" t="n"/>
      <c r="G368" s="14" t="n"/>
      <c r="H368" s="12" t="n"/>
      <c r="I368" s="12" t="n"/>
      <c r="J368" s="6">
        <f>IF(OR(B368="",I368=""),"",IFERROR(VLOOKUP(I368,설정!$C$5:$E$16,2,0),""))</f>
        <v/>
      </c>
      <c r="K368" s="13" t="n"/>
      <c r="L368" s="15" t="n"/>
      <c r="M368" s="13" t="n"/>
      <c r="N368" s="12" t="n"/>
      <c r="O368" s="14" t="n"/>
      <c r="P368" s="13" t="n"/>
      <c r="Q368" s="14" t="n"/>
      <c r="R368" s="11">
        <f>IF(OR(B368="",D368="",S368="종결"),"",TODAY()-D368)</f>
        <v/>
      </c>
      <c r="S368" s="6">
        <f>IF(OR(B368="",I368=""),"",IFERROR(VLOOKUP(I368,설정!$C$5:$E$16,3,0),""))</f>
        <v/>
      </c>
    </row>
    <row r="369">
      <c r="A369" s="6">
        <f>IF(B369="","",ROW()-4)</f>
        <v/>
      </c>
      <c r="B369" s="12" t="n"/>
      <c r="C369" s="12" t="n"/>
      <c r="D369" s="13" t="n"/>
      <c r="E369" s="14" t="n"/>
      <c r="F369" s="12" t="n"/>
      <c r="G369" s="14" t="n"/>
      <c r="H369" s="12" t="n"/>
      <c r="I369" s="12" t="n"/>
      <c r="J369" s="6">
        <f>IF(OR(B369="",I369=""),"",IFERROR(VLOOKUP(I369,설정!$C$5:$E$16,2,0),""))</f>
        <v/>
      </c>
      <c r="K369" s="13" t="n"/>
      <c r="L369" s="15" t="n"/>
      <c r="M369" s="13" t="n"/>
      <c r="N369" s="12" t="n"/>
      <c r="O369" s="14" t="n"/>
      <c r="P369" s="13" t="n"/>
      <c r="Q369" s="14" t="n"/>
      <c r="R369" s="11">
        <f>IF(OR(B369="",D369="",S369="종결"),"",TODAY()-D369)</f>
        <v/>
      </c>
      <c r="S369" s="6">
        <f>IF(OR(B369="",I369=""),"",IFERROR(VLOOKUP(I369,설정!$C$5:$E$16,3,0),""))</f>
        <v/>
      </c>
    </row>
    <row r="370">
      <c r="A370" s="6">
        <f>IF(B370="","",ROW()-4)</f>
        <v/>
      </c>
      <c r="B370" s="12" t="n"/>
      <c r="C370" s="12" t="n"/>
      <c r="D370" s="13" t="n"/>
      <c r="E370" s="14" t="n"/>
      <c r="F370" s="12" t="n"/>
      <c r="G370" s="14" t="n"/>
      <c r="H370" s="12" t="n"/>
      <c r="I370" s="12" t="n"/>
      <c r="J370" s="6">
        <f>IF(OR(B370="",I370=""),"",IFERROR(VLOOKUP(I370,설정!$C$5:$E$16,2,0),""))</f>
        <v/>
      </c>
      <c r="K370" s="13" t="n"/>
      <c r="L370" s="15" t="n"/>
      <c r="M370" s="13" t="n"/>
      <c r="N370" s="12" t="n"/>
      <c r="O370" s="14" t="n"/>
      <c r="P370" s="13" t="n"/>
      <c r="Q370" s="14" t="n"/>
      <c r="R370" s="11">
        <f>IF(OR(B370="",D370="",S370="종결"),"",TODAY()-D370)</f>
        <v/>
      </c>
      <c r="S370" s="6">
        <f>IF(OR(B370="",I370=""),"",IFERROR(VLOOKUP(I370,설정!$C$5:$E$16,3,0),""))</f>
        <v/>
      </c>
    </row>
    <row r="371">
      <c r="A371" s="6">
        <f>IF(B371="","",ROW()-4)</f>
        <v/>
      </c>
      <c r="B371" s="12" t="n"/>
      <c r="C371" s="12" t="n"/>
      <c r="D371" s="13" t="n"/>
      <c r="E371" s="14" t="n"/>
      <c r="F371" s="12" t="n"/>
      <c r="G371" s="14" t="n"/>
      <c r="H371" s="12" t="n"/>
      <c r="I371" s="12" t="n"/>
      <c r="J371" s="6">
        <f>IF(OR(B371="",I371=""),"",IFERROR(VLOOKUP(I371,설정!$C$5:$E$16,2,0),""))</f>
        <v/>
      </c>
      <c r="K371" s="13" t="n"/>
      <c r="L371" s="15" t="n"/>
      <c r="M371" s="13" t="n"/>
      <c r="N371" s="12" t="n"/>
      <c r="O371" s="14" t="n"/>
      <c r="P371" s="13" t="n"/>
      <c r="Q371" s="14" t="n"/>
      <c r="R371" s="11">
        <f>IF(OR(B371="",D371="",S371="종결"),"",TODAY()-D371)</f>
        <v/>
      </c>
      <c r="S371" s="6">
        <f>IF(OR(B371="",I371=""),"",IFERROR(VLOOKUP(I371,설정!$C$5:$E$16,3,0),""))</f>
        <v/>
      </c>
    </row>
    <row r="372">
      <c r="A372" s="6">
        <f>IF(B372="","",ROW()-4)</f>
        <v/>
      </c>
      <c r="B372" s="12" t="n"/>
      <c r="C372" s="12" t="n"/>
      <c r="D372" s="13" t="n"/>
      <c r="E372" s="14" t="n"/>
      <c r="F372" s="12" t="n"/>
      <c r="G372" s="14" t="n"/>
      <c r="H372" s="12" t="n"/>
      <c r="I372" s="12" t="n"/>
      <c r="J372" s="6">
        <f>IF(OR(B372="",I372=""),"",IFERROR(VLOOKUP(I372,설정!$C$5:$E$16,2,0),""))</f>
        <v/>
      </c>
      <c r="K372" s="13" t="n"/>
      <c r="L372" s="15" t="n"/>
      <c r="M372" s="13" t="n"/>
      <c r="N372" s="12" t="n"/>
      <c r="O372" s="14" t="n"/>
      <c r="P372" s="13" t="n"/>
      <c r="Q372" s="14" t="n"/>
      <c r="R372" s="11">
        <f>IF(OR(B372="",D372="",S372="종결"),"",TODAY()-D372)</f>
        <v/>
      </c>
      <c r="S372" s="6">
        <f>IF(OR(B372="",I372=""),"",IFERROR(VLOOKUP(I372,설정!$C$5:$E$16,3,0),""))</f>
        <v/>
      </c>
    </row>
    <row r="373">
      <c r="A373" s="6">
        <f>IF(B373="","",ROW()-4)</f>
        <v/>
      </c>
      <c r="B373" s="12" t="n"/>
      <c r="C373" s="12" t="n"/>
      <c r="D373" s="13" t="n"/>
      <c r="E373" s="14" t="n"/>
      <c r="F373" s="12" t="n"/>
      <c r="G373" s="14" t="n"/>
      <c r="H373" s="12" t="n"/>
      <c r="I373" s="12" t="n"/>
      <c r="J373" s="6">
        <f>IF(OR(B373="",I373=""),"",IFERROR(VLOOKUP(I373,설정!$C$5:$E$16,2,0),""))</f>
        <v/>
      </c>
      <c r="K373" s="13" t="n"/>
      <c r="L373" s="15" t="n"/>
      <c r="M373" s="13" t="n"/>
      <c r="N373" s="12" t="n"/>
      <c r="O373" s="14" t="n"/>
      <c r="P373" s="13" t="n"/>
      <c r="Q373" s="14" t="n"/>
      <c r="R373" s="11">
        <f>IF(OR(B373="",D373="",S373="종결"),"",TODAY()-D373)</f>
        <v/>
      </c>
      <c r="S373" s="6">
        <f>IF(OR(B373="",I373=""),"",IFERROR(VLOOKUP(I373,설정!$C$5:$E$16,3,0),""))</f>
        <v/>
      </c>
    </row>
    <row r="374">
      <c r="A374" s="6">
        <f>IF(B374="","",ROW()-4)</f>
        <v/>
      </c>
      <c r="B374" s="12" t="n"/>
      <c r="C374" s="12" t="n"/>
      <c r="D374" s="13" t="n"/>
      <c r="E374" s="14" t="n"/>
      <c r="F374" s="12" t="n"/>
      <c r="G374" s="14" t="n"/>
      <c r="H374" s="12" t="n"/>
      <c r="I374" s="12" t="n"/>
      <c r="J374" s="6">
        <f>IF(OR(B374="",I374=""),"",IFERROR(VLOOKUP(I374,설정!$C$5:$E$16,2,0),""))</f>
        <v/>
      </c>
      <c r="K374" s="13" t="n"/>
      <c r="L374" s="15" t="n"/>
      <c r="M374" s="13" t="n"/>
      <c r="N374" s="12" t="n"/>
      <c r="O374" s="14" t="n"/>
      <c r="P374" s="13" t="n"/>
      <c r="Q374" s="14" t="n"/>
      <c r="R374" s="11">
        <f>IF(OR(B374="",D374="",S374="종결"),"",TODAY()-D374)</f>
        <v/>
      </c>
      <c r="S374" s="6">
        <f>IF(OR(B374="",I374=""),"",IFERROR(VLOOKUP(I374,설정!$C$5:$E$16,3,0),""))</f>
        <v/>
      </c>
    </row>
    <row r="375">
      <c r="A375" s="6">
        <f>IF(B375="","",ROW()-4)</f>
        <v/>
      </c>
      <c r="B375" s="12" t="n"/>
      <c r="C375" s="12" t="n"/>
      <c r="D375" s="13" t="n"/>
      <c r="E375" s="14" t="n"/>
      <c r="F375" s="12" t="n"/>
      <c r="G375" s="14" t="n"/>
      <c r="H375" s="12" t="n"/>
      <c r="I375" s="12" t="n"/>
      <c r="J375" s="6">
        <f>IF(OR(B375="",I375=""),"",IFERROR(VLOOKUP(I375,설정!$C$5:$E$16,2,0),""))</f>
        <v/>
      </c>
      <c r="K375" s="13" t="n"/>
      <c r="L375" s="15" t="n"/>
      <c r="M375" s="13" t="n"/>
      <c r="N375" s="12" t="n"/>
      <c r="O375" s="14" t="n"/>
      <c r="P375" s="13" t="n"/>
      <c r="Q375" s="14" t="n"/>
      <c r="R375" s="11">
        <f>IF(OR(B375="",D375="",S375="종결"),"",TODAY()-D375)</f>
        <v/>
      </c>
      <c r="S375" s="6">
        <f>IF(OR(B375="",I375=""),"",IFERROR(VLOOKUP(I375,설정!$C$5:$E$16,3,0),""))</f>
        <v/>
      </c>
    </row>
    <row r="376">
      <c r="A376" s="6">
        <f>IF(B376="","",ROW()-4)</f>
        <v/>
      </c>
      <c r="B376" s="12" t="n"/>
      <c r="C376" s="12" t="n"/>
      <c r="D376" s="13" t="n"/>
      <c r="E376" s="14" t="n"/>
      <c r="F376" s="12" t="n"/>
      <c r="G376" s="14" t="n"/>
      <c r="H376" s="12" t="n"/>
      <c r="I376" s="12" t="n"/>
      <c r="J376" s="6">
        <f>IF(OR(B376="",I376=""),"",IFERROR(VLOOKUP(I376,설정!$C$5:$E$16,2,0),""))</f>
        <v/>
      </c>
      <c r="K376" s="13" t="n"/>
      <c r="L376" s="15" t="n"/>
      <c r="M376" s="13" t="n"/>
      <c r="N376" s="12" t="n"/>
      <c r="O376" s="14" t="n"/>
      <c r="P376" s="13" t="n"/>
      <c r="Q376" s="14" t="n"/>
      <c r="R376" s="11">
        <f>IF(OR(B376="",D376="",S376="종결"),"",TODAY()-D376)</f>
        <v/>
      </c>
      <c r="S376" s="6">
        <f>IF(OR(B376="",I376=""),"",IFERROR(VLOOKUP(I376,설정!$C$5:$E$16,3,0),""))</f>
        <v/>
      </c>
    </row>
    <row r="377">
      <c r="A377" s="6">
        <f>IF(B377="","",ROW()-4)</f>
        <v/>
      </c>
      <c r="B377" s="12" t="n"/>
      <c r="C377" s="12" t="n"/>
      <c r="D377" s="13" t="n"/>
      <c r="E377" s="14" t="n"/>
      <c r="F377" s="12" t="n"/>
      <c r="G377" s="14" t="n"/>
      <c r="H377" s="12" t="n"/>
      <c r="I377" s="12" t="n"/>
      <c r="J377" s="6">
        <f>IF(OR(B377="",I377=""),"",IFERROR(VLOOKUP(I377,설정!$C$5:$E$16,2,0),""))</f>
        <v/>
      </c>
      <c r="K377" s="13" t="n"/>
      <c r="L377" s="15" t="n"/>
      <c r="M377" s="13" t="n"/>
      <c r="N377" s="12" t="n"/>
      <c r="O377" s="14" t="n"/>
      <c r="P377" s="13" t="n"/>
      <c r="Q377" s="14" t="n"/>
      <c r="R377" s="11">
        <f>IF(OR(B377="",D377="",S377="종결"),"",TODAY()-D377)</f>
        <v/>
      </c>
      <c r="S377" s="6">
        <f>IF(OR(B377="",I377=""),"",IFERROR(VLOOKUP(I377,설정!$C$5:$E$16,3,0),""))</f>
        <v/>
      </c>
    </row>
    <row r="378">
      <c r="A378" s="6">
        <f>IF(B378="","",ROW()-4)</f>
        <v/>
      </c>
      <c r="B378" s="12" t="n"/>
      <c r="C378" s="12" t="n"/>
      <c r="D378" s="13" t="n"/>
      <c r="E378" s="14" t="n"/>
      <c r="F378" s="12" t="n"/>
      <c r="G378" s="14" t="n"/>
      <c r="H378" s="12" t="n"/>
      <c r="I378" s="12" t="n"/>
      <c r="J378" s="6">
        <f>IF(OR(B378="",I378=""),"",IFERROR(VLOOKUP(I378,설정!$C$5:$E$16,2,0),""))</f>
        <v/>
      </c>
      <c r="K378" s="13" t="n"/>
      <c r="L378" s="15" t="n"/>
      <c r="M378" s="13" t="n"/>
      <c r="N378" s="12" t="n"/>
      <c r="O378" s="14" t="n"/>
      <c r="P378" s="13" t="n"/>
      <c r="Q378" s="14" t="n"/>
      <c r="R378" s="11">
        <f>IF(OR(B378="",D378="",S378="종결"),"",TODAY()-D378)</f>
        <v/>
      </c>
      <c r="S378" s="6">
        <f>IF(OR(B378="",I378=""),"",IFERROR(VLOOKUP(I378,설정!$C$5:$E$16,3,0),""))</f>
        <v/>
      </c>
    </row>
    <row r="379">
      <c r="A379" s="6">
        <f>IF(B379="","",ROW()-4)</f>
        <v/>
      </c>
      <c r="B379" s="12" t="n"/>
      <c r="C379" s="12" t="n"/>
      <c r="D379" s="13" t="n"/>
      <c r="E379" s="14" t="n"/>
      <c r="F379" s="12" t="n"/>
      <c r="G379" s="14" t="n"/>
      <c r="H379" s="12" t="n"/>
      <c r="I379" s="12" t="n"/>
      <c r="J379" s="6">
        <f>IF(OR(B379="",I379=""),"",IFERROR(VLOOKUP(I379,설정!$C$5:$E$16,2,0),""))</f>
        <v/>
      </c>
      <c r="K379" s="13" t="n"/>
      <c r="L379" s="15" t="n"/>
      <c r="M379" s="13" t="n"/>
      <c r="N379" s="12" t="n"/>
      <c r="O379" s="14" t="n"/>
      <c r="P379" s="13" t="n"/>
      <c r="Q379" s="14" t="n"/>
      <c r="R379" s="11">
        <f>IF(OR(B379="",D379="",S379="종결"),"",TODAY()-D379)</f>
        <v/>
      </c>
      <c r="S379" s="6">
        <f>IF(OR(B379="",I379=""),"",IFERROR(VLOOKUP(I379,설정!$C$5:$E$16,3,0),""))</f>
        <v/>
      </c>
    </row>
    <row r="380">
      <c r="A380" s="6">
        <f>IF(B380="","",ROW()-4)</f>
        <v/>
      </c>
      <c r="B380" s="12" t="n"/>
      <c r="C380" s="12" t="n"/>
      <c r="D380" s="13" t="n"/>
      <c r="E380" s="14" t="n"/>
      <c r="F380" s="12" t="n"/>
      <c r="G380" s="14" t="n"/>
      <c r="H380" s="12" t="n"/>
      <c r="I380" s="12" t="n"/>
      <c r="J380" s="6">
        <f>IF(OR(B380="",I380=""),"",IFERROR(VLOOKUP(I380,설정!$C$5:$E$16,2,0),""))</f>
        <v/>
      </c>
      <c r="K380" s="13" t="n"/>
      <c r="L380" s="15" t="n"/>
      <c r="M380" s="13" t="n"/>
      <c r="N380" s="12" t="n"/>
      <c r="O380" s="14" t="n"/>
      <c r="P380" s="13" t="n"/>
      <c r="Q380" s="14" t="n"/>
      <c r="R380" s="11">
        <f>IF(OR(B380="",D380="",S380="종결"),"",TODAY()-D380)</f>
        <v/>
      </c>
      <c r="S380" s="6">
        <f>IF(OR(B380="",I380=""),"",IFERROR(VLOOKUP(I380,설정!$C$5:$E$16,3,0),""))</f>
        <v/>
      </c>
    </row>
    <row r="381">
      <c r="A381" s="6">
        <f>IF(B381="","",ROW()-4)</f>
        <v/>
      </c>
      <c r="B381" s="12" t="n"/>
      <c r="C381" s="12" t="n"/>
      <c r="D381" s="13" t="n"/>
      <c r="E381" s="14" t="n"/>
      <c r="F381" s="12" t="n"/>
      <c r="G381" s="14" t="n"/>
      <c r="H381" s="12" t="n"/>
      <c r="I381" s="12" t="n"/>
      <c r="J381" s="6">
        <f>IF(OR(B381="",I381=""),"",IFERROR(VLOOKUP(I381,설정!$C$5:$E$16,2,0),""))</f>
        <v/>
      </c>
      <c r="K381" s="13" t="n"/>
      <c r="L381" s="15" t="n"/>
      <c r="M381" s="13" t="n"/>
      <c r="N381" s="12" t="n"/>
      <c r="O381" s="14" t="n"/>
      <c r="P381" s="13" t="n"/>
      <c r="Q381" s="14" t="n"/>
      <c r="R381" s="11">
        <f>IF(OR(B381="",D381="",S381="종결"),"",TODAY()-D381)</f>
        <v/>
      </c>
      <c r="S381" s="6">
        <f>IF(OR(B381="",I381=""),"",IFERROR(VLOOKUP(I381,설정!$C$5:$E$16,3,0),""))</f>
        <v/>
      </c>
    </row>
    <row r="382">
      <c r="A382" s="6">
        <f>IF(B382="","",ROW()-4)</f>
        <v/>
      </c>
      <c r="B382" s="12" t="n"/>
      <c r="C382" s="12" t="n"/>
      <c r="D382" s="13" t="n"/>
      <c r="E382" s="14" t="n"/>
      <c r="F382" s="12" t="n"/>
      <c r="G382" s="14" t="n"/>
      <c r="H382" s="12" t="n"/>
      <c r="I382" s="12" t="n"/>
      <c r="J382" s="6">
        <f>IF(OR(B382="",I382=""),"",IFERROR(VLOOKUP(I382,설정!$C$5:$E$16,2,0),""))</f>
        <v/>
      </c>
      <c r="K382" s="13" t="n"/>
      <c r="L382" s="15" t="n"/>
      <c r="M382" s="13" t="n"/>
      <c r="N382" s="12" t="n"/>
      <c r="O382" s="14" t="n"/>
      <c r="P382" s="13" t="n"/>
      <c r="Q382" s="14" t="n"/>
      <c r="R382" s="11">
        <f>IF(OR(B382="",D382="",S382="종결"),"",TODAY()-D382)</f>
        <v/>
      </c>
      <c r="S382" s="6">
        <f>IF(OR(B382="",I382=""),"",IFERROR(VLOOKUP(I382,설정!$C$5:$E$16,3,0),""))</f>
        <v/>
      </c>
    </row>
    <row r="383">
      <c r="A383" s="6">
        <f>IF(B383="","",ROW()-4)</f>
        <v/>
      </c>
      <c r="B383" s="12" t="n"/>
      <c r="C383" s="12" t="n"/>
      <c r="D383" s="13" t="n"/>
      <c r="E383" s="14" t="n"/>
      <c r="F383" s="12" t="n"/>
      <c r="G383" s="14" t="n"/>
      <c r="H383" s="12" t="n"/>
      <c r="I383" s="12" t="n"/>
      <c r="J383" s="6">
        <f>IF(OR(B383="",I383=""),"",IFERROR(VLOOKUP(I383,설정!$C$5:$E$16,2,0),""))</f>
        <v/>
      </c>
      <c r="K383" s="13" t="n"/>
      <c r="L383" s="15" t="n"/>
      <c r="M383" s="13" t="n"/>
      <c r="N383" s="12" t="n"/>
      <c r="O383" s="14" t="n"/>
      <c r="P383" s="13" t="n"/>
      <c r="Q383" s="14" t="n"/>
      <c r="R383" s="11">
        <f>IF(OR(B383="",D383="",S383="종결"),"",TODAY()-D383)</f>
        <v/>
      </c>
      <c r="S383" s="6">
        <f>IF(OR(B383="",I383=""),"",IFERROR(VLOOKUP(I383,설정!$C$5:$E$16,3,0),""))</f>
        <v/>
      </c>
    </row>
    <row r="384">
      <c r="A384" s="6">
        <f>IF(B384="","",ROW()-4)</f>
        <v/>
      </c>
      <c r="B384" s="12" t="n"/>
      <c r="C384" s="12" t="n"/>
      <c r="D384" s="13" t="n"/>
      <c r="E384" s="14" t="n"/>
      <c r="F384" s="12" t="n"/>
      <c r="G384" s="14" t="n"/>
      <c r="H384" s="12" t="n"/>
      <c r="I384" s="12" t="n"/>
      <c r="J384" s="6">
        <f>IF(OR(B384="",I384=""),"",IFERROR(VLOOKUP(I384,설정!$C$5:$E$16,2,0),""))</f>
        <v/>
      </c>
      <c r="K384" s="13" t="n"/>
      <c r="L384" s="15" t="n"/>
      <c r="M384" s="13" t="n"/>
      <c r="N384" s="12" t="n"/>
      <c r="O384" s="14" t="n"/>
      <c r="P384" s="13" t="n"/>
      <c r="Q384" s="14" t="n"/>
      <c r="R384" s="11">
        <f>IF(OR(B384="",D384="",S384="종결"),"",TODAY()-D384)</f>
        <v/>
      </c>
      <c r="S384" s="6">
        <f>IF(OR(B384="",I384=""),"",IFERROR(VLOOKUP(I384,설정!$C$5:$E$16,3,0),""))</f>
        <v/>
      </c>
    </row>
    <row r="385">
      <c r="A385" s="6">
        <f>IF(B385="","",ROW()-4)</f>
        <v/>
      </c>
      <c r="B385" s="12" t="n"/>
      <c r="C385" s="12" t="n"/>
      <c r="D385" s="13" t="n"/>
      <c r="E385" s="14" t="n"/>
      <c r="F385" s="12" t="n"/>
      <c r="G385" s="14" t="n"/>
      <c r="H385" s="12" t="n"/>
      <c r="I385" s="12" t="n"/>
      <c r="J385" s="6">
        <f>IF(OR(B385="",I385=""),"",IFERROR(VLOOKUP(I385,설정!$C$5:$E$16,2,0),""))</f>
        <v/>
      </c>
      <c r="K385" s="13" t="n"/>
      <c r="L385" s="15" t="n"/>
      <c r="M385" s="13" t="n"/>
      <c r="N385" s="12" t="n"/>
      <c r="O385" s="14" t="n"/>
      <c r="P385" s="13" t="n"/>
      <c r="Q385" s="14" t="n"/>
      <c r="R385" s="11">
        <f>IF(OR(B385="",D385="",S385="종결"),"",TODAY()-D385)</f>
        <v/>
      </c>
      <c r="S385" s="6">
        <f>IF(OR(B385="",I385=""),"",IFERROR(VLOOKUP(I385,설정!$C$5:$E$16,3,0),""))</f>
        <v/>
      </c>
    </row>
    <row r="386">
      <c r="A386" s="6">
        <f>IF(B386="","",ROW()-4)</f>
        <v/>
      </c>
      <c r="B386" s="12" t="n"/>
      <c r="C386" s="12" t="n"/>
      <c r="D386" s="13" t="n"/>
      <c r="E386" s="14" t="n"/>
      <c r="F386" s="12" t="n"/>
      <c r="G386" s="14" t="n"/>
      <c r="H386" s="12" t="n"/>
      <c r="I386" s="12" t="n"/>
      <c r="J386" s="6">
        <f>IF(OR(B386="",I386=""),"",IFERROR(VLOOKUP(I386,설정!$C$5:$E$16,2,0),""))</f>
        <v/>
      </c>
      <c r="K386" s="13" t="n"/>
      <c r="L386" s="15" t="n"/>
      <c r="M386" s="13" t="n"/>
      <c r="N386" s="12" t="n"/>
      <c r="O386" s="14" t="n"/>
      <c r="P386" s="13" t="n"/>
      <c r="Q386" s="14" t="n"/>
      <c r="R386" s="11">
        <f>IF(OR(B386="",D386="",S386="종결"),"",TODAY()-D386)</f>
        <v/>
      </c>
      <c r="S386" s="6">
        <f>IF(OR(B386="",I386=""),"",IFERROR(VLOOKUP(I386,설정!$C$5:$E$16,3,0),""))</f>
        <v/>
      </c>
    </row>
    <row r="387">
      <c r="A387" s="6">
        <f>IF(B387="","",ROW()-4)</f>
        <v/>
      </c>
      <c r="B387" s="12" t="n"/>
      <c r="C387" s="12" t="n"/>
      <c r="D387" s="13" t="n"/>
      <c r="E387" s="14" t="n"/>
      <c r="F387" s="12" t="n"/>
      <c r="G387" s="14" t="n"/>
      <c r="H387" s="12" t="n"/>
      <c r="I387" s="12" t="n"/>
      <c r="J387" s="6">
        <f>IF(OR(B387="",I387=""),"",IFERROR(VLOOKUP(I387,설정!$C$5:$E$16,2,0),""))</f>
        <v/>
      </c>
      <c r="K387" s="13" t="n"/>
      <c r="L387" s="15" t="n"/>
      <c r="M387" s="13" t="n"/>
      <c r="N387" s="12" t="n"/>
      <c r="O387" s="14" t="n"/>
      <c r="P387" s="13" t="n"/>
      <c r="Q387" s="14" t="n"/>
      <c r="R387" s="11">
        <f>IF(OR(B387="",D387="",S387="종결"),"",TODAY()-D387)</f>
        <v/>
      </c>
      <c r="S387" s="6">
        <f>IF(OR(B387="",I387=""),"",IFERROR(VLOOKUP(I387,설정!$C$5:$E$16,3,0),""))</f>
        <v/>
      </c>
    </row>
    <row r="388">
      <c r="A388" s="6">
        <f>IF(B388="","",ROW()-4)</f>
        <v/>
      </c>
      <c r="B388" s="12" t="n"/>
      <c r="C388" s="12" t="n"/>
      <c r="D388" s="13" t="n"/>
      <c r="E388" s="14" t="n"/>
      <c r="F388" s="12" t="n"/>
      <c r="G388" s="14" t="n"/>
      <c r="H388" s="12" t="n"/>
      <c r="I388" s="12" t="n"/>
      <c r="J388" s="6">
        <f>IF(OR(B388="",I388=""),"",IFERROR(VLOOKUP(I388,설정!$C$5:$E$16,2,0),""))</f>
        <v/>
      </c>
      <c r="K388" s="13" t="n"/>
      <c r="L388" s="15" t="n"/>
      <c r="M388" s="13" t="n"/>
      <c r="N388" s="12" t="n"/>
      <c r="O388" s="14" t="n"/>
      <c r="P388" s="13" t="n"/>
      <c r="Q388" s="14" t="n"/>
      <c r="R388" s="11">
        <f>IF(OR(B388="",D388="",S388="종결"),"",TODAY()-D388)</f>
        <v/>
      </c>
      <c r="S388" s="6">
        <f>IF(OR(B388="",I388=""),"",IFERROR(VLOOKUP(I388,설정!$C$5:$E$16,3,0),""))</f>
        <v/>
      </c>
    </row>
    <row r="389">
      <c r="A389" s="6">
        <f>IF(B389="","",ROW()-4)</f>
        <v/>
      </c>
      <c r="B389" s="12" t="n"/>
      <c r="C389" s="12" t="n"/>
      <c r="D389" s="13" t="n"/>
      <c r="E389" s="14" t="n"/>
      <c r="F389" s="12" t="n"/>
      <c r="G389" s="14" t="n"/>
      <c r="H389" s="12" t="n"/>
      <c r="I389" s="12" t="n"/>
      <c r="J389" s="6">
        <f>IF(OR(B389="",I389=""),"",IFERROR(VLOOKUP(I389,설정!$C$5:$E$16,2,0),""))</f>
        <v/>
      </c>
      <c r="K389" s="13" t="n"/>
      <c r="L389" s="15" t="n"/>
      <c r="M389" s="13" t="n"/>
      <c r="N389" s="12" t="n"/>
      <c r="O389" s="14" t="n"/>
      <c r="P389" s="13" t="n"/>
      <c r="Q389" s="14" t="n"/>
      <c r="R389" s="11">
        <f>IF(OR(B389="",D389="",S389="종결"),"",TODAY()-D389)</f>
        <v/>
      </c>
      <c r="S389" s="6">
        <f>IF(OR(B389="",I389=""),"",IFERROR(VLOOKUP(I389,설정!$C$5:$E$16,3,0),""))</f>
        <v/>
      </c>
    </row>
    <row r="390">
      <c r="A390" s="6">
        <f>IF(B390="","",ROW()-4)</f>
        <v/>
      </c>
      <c r="B390" s="12" t="n"/>
      <c r="C390" s="12" t="n"/>
      <c r="D390" s="13" t="n"/>
      <c r="E390" s="14" t="n"/>
      <c r="F390" s="12" t="n"/>
      <c r="G390" s="14" t="n"/>
      <c r="H390" s="12" t="n"/>
      <c r="I390" s="12" t="n"/>
      <c r="J390" s="6">
        <f>IF(OR(B390="",I390=""),"",IFERROR(VLOOKUP(I390,설정!$C$5:$E$16,2,0),""))</f>
        <v/>
      </c>
      <c r="K390" s="13" t="n"/>
      <c r="L390" s="15" t="n"/>
      <c r="M390" s="13" t="n"/>
      <c r="N390" s="12" t="n"/>
      <c r="O390" s="14" t="n"/>
      <c r="P390" s="13" t="n"/>
      <c r="Q390" s="14" t="n"/>
      <c r="R390" s="11">
        <f>IF(OR(B390="",D390="",S390="종결"),"",TODAY()-D390)</f>
        <v/>
      </c>
      <c r="S390" s="6">
        <f>IF(OR(B390="",I390=""),"",IFERROR(VLOOKUP(I390,설정!$C$5:$E$16,3,0),""))</f>
        <v/>
      </c>
    </row>
    <row r="391">
      <c r="A391" s="6">
        <f>IF(B391="","",ROW()-4)</f>
        <v/>
      </c>
      <c r="B391" s="12" t="n"/>
      <c r="C391" s="12" t="n"/>
      <c r="D391" s="13" t="n"/>
      <c r="E391" s="14" t="n"/>
      <c r="F391" s="12" t="n"/>
      <c r="G391" s="14" t="n"/>
      <c r="H391" s="12" t="n"/>
      <c r="I391" s="12" t="n"/>
      <c r="J391" s="6">
        <f>IF(OR(B391="",I391=""),"",IFERROR(VLOOKUP(I391,설정!$C$5:$E$16,2,0),""))</f>
        <v/>
      </c>
      <c r="K391" s="13" t="n"/>
      <c r="L391" s="15" t="n"/>
      <c r="M391" s="13" t="n"/>
      <c r="N391" s="12" t="n"/>
      <c r="O391" s="14" t="n"/>
      <c r="P391" s="13" t="n"/>
      <c r="Q391" s="14" t="n"/>
      <c r="R391" s="11">
        <f>IF(OR(B391="",D391="",S391="종결"),"",TODAY()-D391)</f>
        <v/>
      </c>
      <c r="S391" s="6">
        <f>IF(OR(B391="",I391=""),"",IFERROR(VLOOKUP(I391,설정!$C$5:$E$16,3,0),""))</f>
        <v/>
      </c>
    </row>
    <row r="392">
      <c r="A392" s="6">
        <f>IF(B392="","",ROW()-4)</f>
        <v/>
      </c>
      <c r="B392" s="12" t="n"/>
      <c r="C392" s="12" t="n"/>
      <c r="D392" s="13" t="n"/>
      <c r="E392" s="14" t="n"/>
      <c r="F392" s="12" t="n"/>
      <c r="G392" s="14" t="n"/>
      <c r="H392" s="12" t="n"/>
      <c r="I392" s="12" t="n"/>
      <c r="J392" s="6">
        <f>IF(OR(B392="",I392=""),"",IFERROR(VLOOKUP(I392,설정!$C$5:$E$16,2,0),""))</f>
        <v/>
      </c>
      <c r="K392" s="13" t="n"/>
      <c r="L392" s="15" t="n"/>
      <c r="M392" s="13" t="n"/>
      <c r="N392" s="12" t="n"/>
      <c r="O392" s="14" t="n"/>
      <c r="P392" s="13" t="n"/>
      <c r="Q392" s="14" t="n"/>
      <c r="R392" s="11">
        <f>IF(OR(B392="",D392="",S392="종결"),"",TODAY()-D392)</f>
        <v/>
      </c>
      <c r="S392" s="6">
        <f>IF(OR(B392="",I392=""),"",IFERROR(VLOOKUP(I392,설정!$C$5:$E$16,3,0),""))</f>
        <v/>
      </c>
    </row>
    <row r="393">
      <c r="A393" s="6">
        <f>IF(B393="","",ROW()-4)</f>
        <v/>
      </c>
      <c r="B393" s="12" t="n"/>
      <c r="C393" s="12" t="n"/>
      <c r="D393" s="13" t="n"/>
      <c r="E393" s="14" t="n"/>
      <c r="F393" s="12" t="n"/>
      <c r="G393" s="14" t="n"/>
      <c r="H393" s="12" t="n"/>
      <c r="I393" s="12" t="n"/>
      <c r="J393" s="6">
        <f>IF(OR(B393="",I393=""),"",IFERROR(VLOOKUP(I393,설정!$C$5:$E$16,2,0),""))</f>
        <v/>
      </c>
      <c r="K393" s="13" t="n"/>
      <c r="L393" s="15" t="n"/>
      <c r="M393" s="13" t="n"/>
      <c r="N393" s="12" t="n"/>
      <c r="O393" s="14" t="n"/>
      <c r="P393" s="13" t="n"/>
      <c r="Q393" s="14" t="n"/>
      <c r="R393" s="11">
        <f>IF(OR(B393="",D393="",S393="종결"),"",TODAY()-D393)</f>
        <v/>
      </c>
      <c r="S393" s="6">
        <f>IF(OR(B393="",I393=""),"",IFERROR(VLOOKUP(I393,설정!$C$5:$E$16,3,0),""))</f>
        <v/>
      </c>
    </row>
    <row r="394">
      <c r="A394" s="6">
        <f>IF(B394="","",ROW()-4)</f>
        <v/>
      </c>
      <c r="B394" s="12" t="n"/>
      <c r="C394" s="12" t="n"/>
      <c r="D394" s="13" t="n"/>
      <c r="E394" s="14" t="n"/>
      <c r="F394" s="12" t="n"/>
      <c r="G394" s="14" t="n"/>
      <c r="H394" s="12" t="n"/>
      <c r="I394" s="12" t="n"/>
      <c r="J394" s="6">
        <f>IF(OR(B394="",I394=""),"",IFERROR(VLOOKUP(I394,설정!$C$5:$E$16,2,0),""))</f>
        <v/>
      </c>
      <c r="K394" s="13" t="n"/>
      <c r="L394" s="15" t="n"/>
      <c r="M394" s="13" t="n"/>
      <c r="N394" s="12" t="n"/>
      <c r="O394" s="14" t="n"/>
      <c r="P394" s="13" t="n"/>
      <c r="Q394" s="14" t="n"/>
      <c r="R394" s="11">
        <f>IF(OR(B394="",D394="",S394="종결"),"",TODAY()-D394)</f>
        <v/>
      </c>
      <c r="S394" s="6">
        <f>IF(OR(B394="",I394=""),"",IFERROR(VLOOKUP(I394,설정!$C$5:$E$16,3,0),""))</f>
        <v/>
      </c>
    </row>
    <row r="395">
      <c r="A395" s="6">
        <f>IF(B395="","",ROW()-4)</f>
        <v/>
      </c>
      <c r="B395" s="12" t="n"/>
      <c r="C395" s="12" t="n"/>
      <c r="D395" s="13" t="n"/>
      <c r="E395" s="14" t="n"/>
      <c r="F395" s="12" t="n"/>
      <c r="G395" s="14" t="n"/>
      <c r="H395" s="12" t="n"/>
      <c r="I395" s="12" t="n"/>
      <c r="J395" s="6">
        <f>IF(OR(B395="",I395=""),"",IFERROR(VLOOKUP(I395,설정!$C$5:$E$16,2,0),""))</f>
        <v/>
      </c>
      <c r="K395" s="13" t="n"/>
      <c r="L395" s="15" t="n"/>
      <c r="M395" s="13" t="n"/>
      <c r="N395" s="12" t="n"/>
      <c r="O395" s="14" t="n"/>
      <c r="P395" s="13" t="n"/>
      <c r="Q395" s="14" t="n"/>
      <c r="R395" s="11">
        <f>IF(OR(B395="",D395="",S395="종결"),"",TODAY()-D395)</f>
        <v/>
      </c>
      <c r="S395" s="6">
        <f>IF(OR(B395="",I395=""),"",IFERROR(VLOOKUP(I395,설정!$C$5:$E$16,3,0),""))</f>
        <v/>
      </c>
    </row>
    <row r="396">
      <c r="A396" s="6">
        <f>IF(B396="","",ROW()-4)</f>
        <v/>
      </c>
      <c r="B396" s="12" t="n"/>
      <c r="C396" s="12" t="n"/>
      <c r="D396" s="13" t="n"/>
      <c r="E396" s="14" t="n"/>
      <c r="F396" s="12" t="n"/>
      <c r="G396" s="14" t="n"/>
      <c r="H396" s="12" t="n"/>
      <c r="I396" s="12" t="n"/>
      <c r="J396" s="6">
        <f>IF(OR(B396="",I396=""),"",IFERROR(VLOOKUP(I396,설정!$C$5:$E$16,2,0),""))</f>
        <v/>
      </c>
      <c r="K396" s="13" t="n"/>
      <c r="L396" s="15" t="n"/>
      <c r="M396" s="13" t="n"/>
      <c r="N396" s="12" t="n"/>
      <c r="O396" s="14" t="n"/>
      <c r="P396" s="13" t="n"/>
      <c r="Q396" s="14" t="n"/>
      <c r="R396" s="11">
        <f>IF(OR(B396="",D396="",S396="종결"),"",TODAY()-D396)</f>
        <v/>
      </c>
      <c r="S396" s="6">
        <f>IF(OR(B396="",I396=""),"",IFERROR(VLOOKUP(I396,설정!$C$5:$E$16,3,0),""))</f>
        <v/>
      </c>
    </row>
    <row r="397">
      <c r="A397" s="6">
        <f>IF(B397="","",ROW()-4)</f>
        <v/>
      </c>
      <c r="B397" s="12" t="n"/>
      <c r="C397" s="12" t="n"/>
      <c r="D397" s="13" t="n"/>
      <c r="E397" s="14" t="n"/>
      <c r="F397" s="12" t="n"/>
      <c r="G397" s="14" t="n"/>
      <c r="H397" s="12" t="n"/>
      <c r="I397" s="12" t="n"/>
      <c r="J397" s="6">
        <f>IF(OR(B397="",I397=""),"",IFERROR(VLOOKUP(I397,설정!$C$5:$E$16,2,0),""))</f>
        <v/>
      </c>
      <c r="K397" s="13" t="n"/>
      <c r="L397" s="15" t="n"/>
      <c r="M397" s="13" t="n"/>
      <c r="N397" s="12" t="n"/>
      <c r="O397" s="14" t="n"/>
      <c r="P397" s="13" t="n"/>
      <c r="Q397" s="14" t="n"/>
      <c r="R397" s="11">
        <f>IF(OR(B397="",D397="",S397="종결"),"",TODAY()-D397)</f>
        <v/>
      </c>
      <c r="S397" s="6">
        <f>IF(OR(B397="",I397=""),"",IFERROR(VLOOKUP(I397,설정!$C$5:$E$16,3,0),""))</f>
        <v/>
      </c>
    </row>
    <row r="398">
      <c r="A398" s="6">
        <f>IF(B398="","",ROW()-4)</f>
        <v/>
      </c>
      <c r="B398" s="12" t="n"/>
      <c r="C398" s="12" t="n"/>
      <c r="D398" s="13" t="n"/>
      <c r="E398" s="14" t="n"/>
      <c r="F398" s="12" t="n"/>
      <c r="G398" s="14" t="n"/>
      <c r="H398" s="12" t="n"/>
      <c r="I398" s="12" t="n"/>
      <c r="J398" s="6">
        <f>IF(OR(B398="",I398=""),"",IFERROR(VLOOKUP(I398,설정!$C$5:$E$16,2,0),""))</f>
        <v/>
      </c>
      <c r="K398" s="13" t="n"/>
      <c r="L398" s="15" t="n"/>
      <c r="M398" s="13" t="n"/>
      <c r="N398" s="12" t="n"/>
      <c r="O398" s="14" t="n"/>
      <c r="P398" s="13" t="n"/>
      <c r="Q398" s="14" t="n"/>
      <c r="R398" s="11">
        <f>IF(OR(B398="",D398="",S398="종결"),"",TODAY()-D398)</f>
        <v/>
      </c>
      <c r="S398" s="6">
        <f>IF(OR(B398="",I398=""),"",IFERROR(VLOOKUP(I398,설정!$C$5:$E$16,3,0),""))</f>
        <v/>
      </c>
    </row>
    <row r="399">
      <c r="A399" s="6">
        <f>IF(B399="","",ROW()-4)</f>
        <v/>
      </c>
      <c r="B399" s="12" t="n"/>
      <c r="C399" s="12" t="n"/>
      <c r="D399" s="13" t="n"/>
      <c r="E399" s="14" t="n"/>
      <c r="F399" s="12" t="n"/>
      <c r="G399" s="14" t="n"/>
      <c r="H399" s="12" t="n"/>
      <c r="I399" s="12" t="n"/>
      <c r="J399" s="6">
        <f>IF(OR(B399="",I399=""),"",IFERROR(VLOOKUP(I399,설정!$C$5:$E$16,2,0),""))</f>
        <v/>
      </c>
      <c r="K399" s="13" t="n"/>
      <c r="L399" s="15" t="n"/>
      <c r="M399" s="13" t="n"/>
      <c r="N399" s="12" t="n"/>
      <c r="O399" s="14" t="n"/>
      <c r="P399" s="13" t="n"/>
      <c r="Q399" s="14" t="n"/>
      <c r="R399" s="11">
        <f>IF(OR(B399="",D399="",S399="종결"),"",TODAY()-D399)</f>
        <v/>
      </c>
      <c r="S399" s="6">
        <f>IF(OR(B399="",I399=""),"",IFERROR(VLOOKUP(I399,설정!$C$5:$E$16,3,0),""))</f>
        <v/>
      </c>
    </row>
    <row r="400">
      <c r="A400" s="6">
        <f>IF(B400="","",ROW()-4)</f>
        <v/>
      </c>
      <c r="B400" s="12" t="n"/>
      <c r="C400" s="12" t="n"/>
      <c r="D400" s="13" t="n"/>
      <c r="E400" s="14" t="n"/>
      <c r="F400" s="12" t="n"/>
      <c r="G400" s="14" t="n"/>
      <c r="H400" s="12" t="n"/>
      <c r="I400" s="12" t="n"/>
      <c r="J400" s="6">
        <f>IF(OR(B400="",I400=""),"",IFERROR(VLOOKUP(I400,설정!$C$5:$E$16,2,0),""))</f>
        <v/>
      </c>
      <c r="K400" s="13" t="n"/>
      <c r="L400" s="15" t="n"/>
      <c r="M400" s="13" t="n"/>
      <c r="N400" s="12" t="n"/>
      <c r="O400" s="14" t="n"/>
      <c r="P400" s="13" t="n"/>
      <c r="Q400" s="14" t="n"/>
      <c r="R400" s="11">
        <f>IF(OR(B400="",D400="",S400="종결"),"",TODAY()-D400)</f>
        <v/>
      </c>
      <c r="S400" s="6">
        <f>IF(OR(B400="",I400=""),"",IFERROR(VLOOKUP(I400,설정!$C$5:$E$16,3,0),""))</f>
        <v/>
      </c>
    </row>
    <row r="401">
      <c r="A401" s="6">
        <f>IF(B401="","",ROW()-4)</f>
        <v/>
      </c>
      <c r="B401" s="12" t="n"/>
      <c r="C401" s="12" t="n"/>
      <c r="D401" s="13" t="n"/>
      <c r="E401" s="14" t="n"/>
      <c r="F401" s="12" t="n"/>
      <c r="G401" s="14" t="n"/>
      <c r="H401" s="12" t="n"/>
      <c r="I401" s="12" t="n"/>
      <c r="J401" s="6">
        <f>IF(OR(B401="",I401=""),"",IFERROR(VLOOKUP(I401,설정!$C$5:$E$16,2,0),""))</f>
        <v/>
      </c>
      <c r="K401" s="13" t="n"/>
      <c r="L401" s="15" t="n"/>
      <c r="M401" s="13" t="n"/>
      <c r="N401" s="12" t="n"/>
      <c r="O401" s="14" t="n"/>
      <c r="P401" s="13" t="n"/>
      <c r="Q401" s="14" t="n"/>
      <c r="R401" s="11">
        <f>IF(OR(B401="",D401="",S401="종결"),"",TODAY()-D401)</f>
        <v/>
      </c>
      <c r="S401" s="6">
        <f>IF(OR(B401="",I401=""),"",IFERROR(VLOOKUP(I401,설정!$C$5:$E$16,3,0),""))</f>
        <v/>
      </c>
    </row>
    <row r="402">
      <c r="A402" s="6">
        <f>IF(B402="","",ROW()-4)</f>
        <v/>
      </c>
      <c r="B402" s="12" t="n"/>
      <c r="C402" s="12" t="n"/>
      <c r="D402" s="13" t="n"/>
      <c r="E402" s="14" t="n"/>
      <c r="F402" s="12" t="n"/>
      <c r="G402" s="14" t="n"/>
      <c r="H402" s="12" t="n"/>
      <c r="I402" s="12" t="n"/>
      <c r="J402" s="6">
        <f>IF(OR(B402="",I402=""),"",IFERROR(VLOOKUP(I402,설정!$C$5:$E$16,2,0),""))</f>
        <v/>
      </c>
      <c r="K402" s="13" t="n"/>
      <c r="L402" s="15" t="n"/>
      <c r="M402" s="13" t="n"/>
      <c r="N402" s="12" t="n"/>
      <c r="O402" s="14" t="n"/>
      <c r="P402" s="13" t="n"/>
      <c r="Q402" s="14" t="n"/>
      <c r="R402" s="11">
        <f>IF(OR(B402="",D402="",S402="종결"),"",TODAY()-D402)</f>
        <v/>
      </c>
      <c r="S402" s="6">
        <f>IF(OR(B402="",I402=""),"",IFERROR(VLOOKUP(I402,설정!$C$5:$E$16,3,0),""))</f>
        <v/>
      </c>
    </row>
    <row r="403">
      <c r="A403" s="6">
        <f>IF(B403="","",ROW()-4)</f>
        <v/>
      </c>
      <c r="B403" s="12" t="n"/>
      <c r="C403" s="12" t="n"/>
      <c r="D403" s="13" t="n"/>
      <c r="E403" s="14" t="n"/>
      <c r="F403" s="12" t="n"/>
      <c r="G403" s="14" t="n"/>
      <c r="H403" s="12" t="n"/>
      <c r="I403" s="12" t="n"/>
      <c r="J403" s="6">
        <f>IF(OR(B403="",I403=""),"",IFERROR(VLOOKUP(I403,설정!$C$5:$E$16,2,0),""))</f>
        <v/>
      </c>
      <c r="K403" s="13" t="n"/>
      <c r="L403" s="15" t="n"/>
      <c r="M403" s="13" t="n"/>
      <c r="N403" s="12" t="n"/>
      <c r="O403" s="14" t="n"/>
      <c r="P403" s="13" t="n"/>
      <c r="Q403" s="14" t="n"/>
      <c r="R403" s="11">
        <f>IF(OR(B403="",D403="",S403="종결"),"",TODAY()-D403)</f>
        <v/>
      </c>
      <c r="S403" s="6">
        <f>IF(OR(B403="",I403=""),"",IFERROR(VLOOKUP(I403,설정!$C$5:$E$16,3,0),""))</f>
        <v/>
      </c>
    </row>
    <row r="404">
      <c r="A404" s="6">
        <f>IF(B404="","",ROW()-4)</f>
        <v/>
      </c>
      <c r="B404" s="12" t="n"/>
      <c r="C404" s="12" t="n"/>
      <c r="D404" s="13" t="n"/>
      <c r="E404" s="14" t="n"/>
      <c r="F404" s="12" t="n"/>
      <c r="G404" s="14" t="n"/>
      <c r="H404" s="12" t="n"/>
      <c r="I404" s="12" t="n"/>
      <c r="J404" s="6">
        <f>IF(OR(B404="",I404=""),"",IFERROR(VLOOKUP(I404,설정!$C$5:$E$16,2,0),""))</f>
        <v/>
      </c>
      <c r="K404" s="13" t="n"/>
      <c r="L404" s="15" t="n"/>
      <c r="M404" s="13" t="n"/>
      <c r="N404" s="12" t="n"/>
      <c r="O404" s="14" t="n"/>
      <c r="P404" s="13" t="n"/>
      <c r="Q404" s="14" t="n"/>
      <c r="R404" s="11">
        <f>IF(OR(B404="",D404="",S404="종결"),"",TODAY()-D404)</f>
        <v/>
      </c>
      <c r="S404" s="6">
        <f>IF(OR(B404="",I404=""),"",IFERROR(VLOOKUP(I404,설정!$C$5:$E$16,3,0),""))</f>
        <v/>
      </c>
    </row>
    <row r="405">
      <c r="A405" s="6">
        <f>IF(B405="","",ROW()-4)</f>
        <v/>
      </c>
      <c r="B405" s="12" t="n"/>
      <c r="C405" s="12" t="n"/>
      <c r="D405" s="13" t="n"/>
      <c r="E405" s="14" t="n"/>
      <c r="F405" s="12" t="n"/>
      <c r="G405" s="14" t="n"/>
      <c r="H405" s="12" t="n"/>
      <c r="I405" s="12" t="n"/>
      <c r="J405" s="6">
        <f>IF(OR(B405="",I405=""),"",IFERROR(VLOOKUP(I405,설정!$C$5:$E$16,2,0),""))</f>
        <v/>
      </c>
      <c r="K405" s="13" t="n"/>
      <c r="L405" s="15" t="n"/>
      <c r="M405" s="13" t="n"/>
      <c r="N405" s="12" t="n"/>
      <c r="O405" s="14" t="n"/>
      <c r="P405" s="13" t="n"/>
      <c r="Q405" s="14" t="n"/>
      <c r="R405" s="11">
        <f>IF(OR(B405="",D405="",S405="종결"),"",TODAY()-D405)</f>
        <v/>
      </c>
      <c r="S405" s="6">
        <f>IF(OR(B405="",I405=""),"",IFERROR(VLOOKUP(I405,설정!$C$5:$E$16,3,0),""))</f>
        <v/>
      </c>
    </row>
    <row r="406">
      <c r="A406" s="6">
        <f>IF(B406="","",ROW()-4)</f>
        <v/>
      </c>
      <c r="B406" s="12" t="n"/>
      <c r="C406" s="12" t="n"/>
      <c r="D406" s="13" t="n"/>
      <c r="E406" s="14" t="n"/>
      <c r="F406" s="12" t="n"/>
      <c r="G406" s="14" t="n"/>
      <c r="H406" s="12" t="n"/>
      <c r="I406" s="12" t="n"/>
      <c r="J406" s="6">
        <f>IF(OR(B406="",I406=""),"",IFERROR(VLOOKUP(I406,설정!$C$5:$E$16,2,0),""))</f>
        <v/>
      </c>
      <c r="K406" s="13" t="n"/>
      <c r="L406" s="15" t="n"/>
      <c r="M406" s="13" t="n"/>
      <c r="N406" s="12" t="n"/>
      <c r="O406" s="14" t="n"/>
      <c r="P406" s="13" t="n"/>
      <c r="Q406" s="14" t="n"/>
      <c r="R406" s="11">
        <f>IF(OR(B406="",D406="",S406="종결"),"",TODAY()-D406)</f>
        <v/>
      </c>
      <c r="S406" s="6">
        <f>IF(OR(B406="",I406=""),"",IFERROR(VLOOKUP(I406,설정!$C$5:$E$16,3,0),""))</f>
        <v/>
      </c>
    </row>
    <row r="407">
      <c r="A407" s="6">
        <f>IF(B407="","",ROW()-4)</f>
        <v/>
      </c>
      <c r="B407" s="12" t="n"/>
      <c r="C407" s="12" t="n"/>
      <c r="D407" s="13" t="n"/>
      <c r="E407" s="14" t="n"/>
      <c r="F407" s="12" t="n"/>
      <c r="G407" s="14" t="n"/>
      <c r="H407" s="12" t="n"/>
      <c r="I407" s="12" t="n"/>
      <c r="J407" s="6">
        <f>IF(OR(B407="",I407=""),"",IFERROR(VLOOKUP(I407,설정!$C$5:$E$16,2,0),""))</f>
        <v/>
      </c>
      <c r="K407" s="13" t="n"/>
      <c r="L407" s="15" t="n"/>
      <c r="M407" s="13" t="n"/>
      <c r="N407" s="12" t="n"/>
      <c r="O407" s="14" t="n"/>
      <c r="P407" s="13" t="n"/>
      <c r="Q407" s="14" t="n"/>
      <c r="R407" s="11">
        <f>IF(OR(B407="",D407="",S407="종결"),"",TODAY()-D407)</f>
        <v/>
      </c>
      <c r="S407" s="6">
        <f>IF(OR(B407="",I407=""),"",IFERROR(VLOOKUP(I407,설정!$C$5:$E$16,3,0),""))</f>
        <v/>
      </c>
    </row>
    <row r="408">
      <c r="A408" s="6">
        <f>IF(B408="","",ROW()-4)</f>
        <v/>
      </c>
      <c r="B408" s="12" t="n"/>
      <c r="C408" s="12" t="n"/>
      <c r="D408" s="13" t="n"/>
      <c r="E408" s="14" t="n"/>
      <c r="F408" s="12" t="n"/>
      <c r="G408" s="14" t="n"/>
      <c r="H408" s="12" t="n"/>
      <c r="I408" s="12" t="n"/>
      <c r="J408" s="6">
        <f>IF(OR(B408="",I408=""),"",IFERROR(VLOOKUP(I408,설정!$C$5:$E$16,2,0),""))</f>
        <v/>
      </c>
      <c r="K408" s="13" t="n"/>
      <c r="L408" s="15" t="n"/>
      <c r="M408" s="13" t="n"/>
      <c r="N408" s="12" t="n"/>
      <c r="O408" s="14" t="n"/>
      <c r="P408" s="13" t="n"/>
      <c r="Q408" s="14" t="n"/>
      <c r="R408" s="11">
        <f>IF(OR(B408="",D408="",S408="종결"),"",TODAY()-D408)</f>
        <v/>
      </c>
      <c r="S408" s="6">
        <f>IF(OR(B408="",I408=""),"",IFERROR(VLOOKUP(I408,설정!$C$5:$E$16,3,0),""))</f>
        <v/>
      </c>
    </row>
    <row r="409">
      <c r="A409" s="6">
        <f>IF(B409="","",ROW()-4)</f>
        <v/>
      </c>
      <c r="B409" s="12" t="n"/>
      <c r="C409" s="12" t="n"/>
      <c r="D409" s="13" t="n"/>
      <c r="E409" s="14" t="n"/>
      <c r="F409" s="12" t="n"/>
      <c r="G409" s="14" t="n"/>
      <c r="H409" s="12" t="n"/>
      <c r="I409" s="12" t="n"/>
      <c r="J409" s="6">
        <f>IF(OR(B409="",I409=""),"",IFERROR(VLOOKUP(I409,설정!$C$5:$E$16,2,0),""))</f>
        <v/>
      </c>
      <c r="K409" s="13" t="n"/>
      <c r="L409" s="15" t="n"/>
      <c r="M409" s="13" t="n"/>
      <c r="N409" s="12" t="n"/>
      <c r="O409" s="14" t="n"/>
      <c r="P409" s="13" t="n"/>
      <c r="Q409" s="14" t="n"/>
      <c r="R409" s="11">
        <f>IF(OR(B409="",D409="",S409="종결"),"",TODAY()-D409)</f>
        <v/>
      </c>
      <c r="S409" s="6">
        <f>IF(OR(B409="",I409=""),"",IFERROR(VLOOKUP(I409,설정!$C$5:$E$16,3,0),""))</f>
        <v/>
      </c>
    </row>
    <row r="410">
      <c r="A410" s="6">
        <f>IF(B410="","",ROW()-4)</f>
        <v/>
      </c>
      <c r="B410" s="12" t="n"/>
      <c r="C410" s="12" t="n"/>
      <c r="D410" s="13" t="n"/>
      <c r="E410" s="14" t="n"/>
      <c r="F410" s="12" t="n"/>
      <c r="G410" s="14" t="n"/>
      <c r="H410" s="12" t="n"/>
      <c r="I410" s="12" t="n"/>
      <c r="J410" s="6">
        <f>IF(OR(B410="",I410=""),"",IFERROR(VLOOKUP(I410,설정!$C$5:$E$16,2,0),""))</f>
        <v/>
      </c>
      <c r="K410" s="13" t="n"/>
      <c r="L410" s="15" t="n"/>
      <c r="M410" s="13" t="n"/>
      <c r="N410" s="12" t="n"/>
      <c r="O410" s="14" t="n"/>
      <c r="P410" s="13" t="n"/>
      <c r="Q410" s="14" t="n"/>
      <c r="R410" s="11">
        <f>IF(OR(B410="",D410="",S410="종결"),"",TODAY()-D410)</f>
        <v/>
      </c>
      <c r="S410" s="6">
        <f>IF(OR(B410="",I410=""),"",IFERROR(VLOOKUP(I410,설정!$C$5:$E$16,3,0),""))</f>
        <v/>
      </c>
    </row>
    <row r="411">
      <c r="A411" s="6">
        <f>IF(B411="","",ROW()-4)</f>
        <v/>
      </c>
      <c r="B411" s="12" t="n"/>
      <c r="C411" s="12" t="n"/>
      <c r="D411" s="13" t="n"/>
      <c r="E411" s="14" t="n"/>
      <c r="F411" s="12" t="n"/>
      <c r="G411" s="14" t="n"/>
      <c r="H411" s="12" t="n"/>
      <c r="I411" s="12" t="n"/>
      <c r="J411" s="6">
        <f>IF(OR(B411="",I411=""),"",IFERROR(VLOOKUP(I411,설정!$C$5:$E$16,2,0),""))</f>
        <v/>
      </c>
      <c r="K411" s="13" t="n"/>
      <c r="L411" s="15" t="n"/>
      <c r="M411" s="13" t="n"/>
      <c r="N411" s="12" t="n"/>
      <c r="O411" s="14" t="n"/>
      <c r="P411" s="13" t="n"/>
      <c r="Q411" s="14" t="n"/>
      <c r="R411" s="11">
        <f>IF(OR(B411="",D411="",S411="종결"),"",TODAY()-D411)</f>
        <v/>
      </c>
      <c r="S411" s="6">
        <f>IF(OR(B411="",I411=""),"",IFERROR(VLOOKUP(I411,설정!$C$5:$E$16,3,0),""))</f>
        <v/>
      </c>
    </row>
    <row r="412">
      <c r="A412" s="6">
        <f>IF(B412="","",ROW()-4)</f>
        <v/>
      </c>
      <c r="B412" s="12" t="n"/>
      <c r="C412" s="12" t="n"/>
      <c r="D412" s="13" t="n"/>
      <c r="E412" s="14" t="n"/>
      <c r="F412" s="12" t="n"/>
      <c r="G412" s="14" t="n"/>
      <c r="H412" s="12" t="n"/>
      <c r="I412" s="12" t="n"/>
      <c r="J412" s="6">
        <f>IF(OR(B412="",I412=""),"",IFERROR(VLOOKUP(I412,설정!$C$5:$E$16,2,0),""))</f>
        <v/>
      </c>
      <c r="K412" s="13" t="n"/>
      <c r="L412" s="15" t="n"/>
      <c r="M412" s="13" t="n"/>
      <c r="N412" s="12" t="n"/>
      <c r="O412" s="14" t="n"/>
      <c r="P412" s="13" t="n"/>
      <c r="Q412" s="14" t="n"/>
      <c r="R412" s="11">
        <f>IF(OR(B412="",D412="",S412="종결"),"",TODAY()-D412)</f>
        <v/>
      </c>
      <c r="S412" s="6">
        <f>IF(OR(B412="",I412=""),"",IFERROR(VLOOKUP(I412,설정!$C$5:$E$16,3,0),""))</f>
        <v/>
      </c>
    </row>
    <row r="413">
      <c r="A413" s="6">
        <f>IF(B413="","",ROW()-4)</f>
        <v/>
      </c>
      <c r="B413" s="12" t="n"/>
      <c r="C413" s="12" t="n"/>
      <c r="D413" s="13" t="n"/>
      <c r="E413" s="14" t="n"/>
      <c r="F413" s="12" t="n"/>
      <c r="G413" s="14" t="n"/>
      <c r="H413" s="12" t="n"/>
      <c r="I413" s="12" t="n"/>
      <c r="J413" s="6">
        <f>IF(OR(B413="",I413=""),"",IFERROR(VLOOKUP(I413,설정!$C$5:$E$16,2,0),""))</f>
        <v/>
      </c>
      <c r="K413" s="13" t="n"/>
      <c r="L413" s="15" t="n"/>
      <c r="M413" s="13" t="n"/>
      <c r="N413" s="12" t="n"/>
      <c r="O413" s="14" t="n"/>
      <c r="P413" s="13" t="n"/>
      <c r="Q413" s="14" t="n"/>
      <c r="R413" s="11">
        <f>IF(OR(B413="",D413="",S413="종결"),"",TODAY()-D413)</f>
        <v/>
      </c>
      <c r="S413" s="6">
        <f>IF(OR(B413="",I413=""),"",IFERROR(VLOOKUP(I413,설정!$C$5:$E$16,3,0),""))</f>
        <v/>
      </c>
    </row>
    <row r="414">
      <c r="A414" s="6">
        <f>IF(B414="","",ROW()-4)</f>
        <v/>
      </c>
      <c r="B414" s="12" t="n"/>
      <c r="C414" s="12" t="n"/>
      <c r="D414" s="13" t="n"/>
      <c r="E414" s="14" t="n"/>
      <c r="F414" s="12" t="n"/>
      <c r="G414" s="14" t="n"/>
      <c r="H414" s="12" t="n"/>
      <c r="I414" s="12" t="n"/>
      <c r="J414" s="6">
        <f>IF(OR(B414="",I414=""),"",IFERROR(VLOOKUP(I414,설정!$C$5:$E$16,2,0),""))</f>
        <v/>
      </c>
      <c r="K414" s="13" t="n"/>
      <c r="L414" s="15" t="n"/>
      <c r="M414" s="13" t="n"/>
      <c r="N414" s="12" t="n"/>
      <c r="O414" s="14" t="n"/>
      <c r="P414" s="13" t="n"/>
      <c r="Q414" s="14" t="n"/>
      <c r="R414" s="11">
        <f>IF(OR(B414="",D414="",S414="종결"),"",TODAY()-D414)</f>
        <v/>
      </c>
      <c r="S414" s="6">
        <f>IF(OR(B414="",I414=""),"",IFERROR(VLOOKUP(I414,설정!$C$5:$E$16,3,0),""))</f>
        <v/>
      </c>
    </row>
    <row r="415">
      <c r="A415" s="6">
        <f>IF(B415="","",ROW()-4)</f>
        <v/>
      </c>
      <c r="B415" s="12" t="n"/>
      <c r="C415" s="12" t="n"/>
      <c r="D415" s="13" t="n"/>
      <c r="E415" s="14" t="n"/>
      <c r="F415" s="12" t="n"/>
      <c r="G415" s="14" t="n"/>
      <c r="H415" s="12" t="n"/>
      <c r="I415" s="12" t="n"/>
      <c r="J415" s="6">
        <f>IF(OR(B415="",I415=""),"",IFERROR(VLOOKUP(I415,설정!$C$5:$E$16,2,0),""))</f>
        <v/>
      </c>
      <c r="K415" s="13" t="n"/>
      <c r="L415" s="15" t="n"/>
      <c r="M415" s="13" t="n"/>
      <c r="N415" s="12" t="n"/>
      <c r="O415" s="14" t="n"/>
      <c r="P415" s="13" t="n"/>
      <c r="Q415" s="14" t="n"/>
      <c r="R415" s="11">
        <f>IF(OR(B415="",D415="",S415="종결"),"",TODAY()-D415)</f>
        <v/>
      </c>
      <c r="S415" s="6">
        <f>IF(OR(B415="",I415=""),"",IFERROR(VLOOKUP(I415,설정!$C$5:$E$16,3,0),""))</f>
        <v/>
      </c>
    </row>
    <row r="416">
      <c r="A416" s="6">
        <f>IF(B416="","",ROW()-4)</f>
        <v/>
      </c>
      <c r="B416" s="12" t="n"/>
      <c r="C416" s="12" t="n"/>
      <c r="D416" s="13" t="n"/>
      <c r="E416" s="14" t="n"/>
      <c r="F416" s="12" t="n"/>
      <c r="G416" s="14" t="n"/>
      <c r="H416" s="12" t="n"/>
      <c r="I416" s="12" t="n"/>
      <c r="J416" s="6">
        <f>IF(OR(B416="",I416=""),"",IFERROR(VLOOKUP(I416,설정!$C$5:$E$16,2,0),""))</f>
        <v/>
      </c>
      <c r="K416" s="13" t="n"/>
      <c r="L416" s="15" t="n"/>
      <c r="M416" s="13" t="n"/>
      <c r="N416" s="12" t="n"/>
      <c r="O416" s="14" t="n"/>
      <c r="P416" s="13" t="n"/>
      <c r="Q416" s="14" t="n"/>
      <c r="R416" s="11">
        <f>IF(OR(B416="",D416="",S416="종결"),"",TODAY()-D416)</f>
        <v/>
      </c>
      <c r="S416" s="6">
        <f>IF(OR(B416="",I416=""),"",IFERROR(VLOOKUP(I416,설정!$C$5:$E$16,3,0),""))</f>
        <v/>
      </c>
    </row>
    <row r="417">
      <c r="A417" s="6">
        <f>IF(B417="","",ROW()-4)</f>
        <v/>
      </c>
      <c r="B417" s="12" t="n"/>
      <c r="C417" s="12" t="n"/>
      <c r="D417" s="13" t="n"/>
      <c r="E417" s="14" t="n"/>
      <c r="F417" s="12" t="n"/>
      <c r="G417" s="14" t="n"/>
      <c r="H417" s="12" t="n"/>
      <c r="I417" s="12" t="n"/>
      <c r="J417" s="6">
        <f>IF(OR(B417="",I417=""),"",IFERROR(VLOOKUP(I417,설정!$C$5:$E$16,2,0),""))</f>
        <v/>
      </c>
      <c r="K417" s="13" t="n"/>
      <c r="L417" s="15" t="n"/>
      <c r="M417" s="13" t="n"/>
      <c r="N417" s="12" t="n"/>
      <c r="O417" s="14" t="n"/>
      <c r="P417" s="13" t="n"/>
      <c r="Q417" s="14" t="n"/>
      <c r="R417" s="11">
        <f>IF(OR(B417="",D417="",S417="종결"),"",TODAY()-D417)</f>
        <v/>
      </c>
      <c r="S417" s="6">
        <f>IF(OR(B417="",I417=""),"",IFERROR(VLOOKUP(I417,설정!$C$5:$E$16,3,0),""))</f>
        <v/>
      </c>
    </row>
    <row r="418">
      <c r="A418" s="6">
        <f>IF(B418="","",ROW()-4)</f>
        <v/>
      </c>
      <c r="B418" s="12" t="n"/>
      <c r="C418" s="12" t="n"/>
      <c r="D418" s="13" t="n"/>
      <c r="E418" s="14" t="n"/>
      <c r="F418" s="12" t="n"/>
      <c r="G418" s="14" t="n"/>
      <c r="H418" s="12" t="n"/>
      <c r="I418" s="12" t="n"/>
      <c r="J418" s="6">
        <f>IF(OR(B418="",I418=""),"",IFERROR(VLOOKUP(I418,설정!$C$5:$E$16,2,0),""))</f>
        <v/>
      </c>
      <c r="K418" s="13" t="n"/>
      <c r="L418" s="15" t="n"/>
      <c r="M418" s="13" t="n"/>
      <c r="N418" s="12" t="n"/>
      <c r="O418" s="14" t="n"/>
      <c r="P418" s="13" t="n"/>
      <c r="Q418" s="14" t="n"/>
      <c r="R418" s="11">
        <f>IF(OR(B418="",D418="",S418="종결"),"",TODAY()-D418)</f>
        <v/>
      </c>
      <c r="S418" s="6">
        <f>IF(OR(B418="",I418=""),"",IFERROR(VLOOKUP(I418,설정!$C$5:$E$16,3,0),""))</f>
        <v/>
      </c>
    </row>
    <row r="419">
      <c r="A419" s="6">
        <f>IF(B419="","",ROW()-4)</f>
        <v/>
      </c>
      <c r="B419" s="12" t="n"/>
      <c r="C419" s="12" t="n"/>
      <c r="D419" s="13" t="n"/>
      <c r="E419" s="14" t="n"/>
      <c r="F419" s="12" t="n"/>
      <c r="G419" s="14" t="n"/>
      <c r="H419" s="12" t="n"/>
      <c r="I419" s="12" t="n"/>
      <c r="J419" s="6">
        <f>IF(OR(B419="",I419=""),"",IFERROR(VLOOKUP(I419,설정!$C$5:$E$16,2,0),""))</f>
        <v/>
      </c>
      <c r="K419" s="13" t="n"/>
      <c r="L419" s="15" t="n"/>
      <c r="M419" s="13" t="n"/>
      <c r="N419" s="12" t="n"/>
      <c r="O419" s="14" t="n"/>
      <c r="P419" s="13" t="n"/>
      <c r="Q419" s="14" t="n"/>
      <c r="R419" s="11">
        <f>IF(OR(B419="",D419="",S419="종결"),"",TODAY()-D419)</f>
        <v/>
      </c>
      <c r="S419" s="6">
        <f>IF(OR(B419="",I419=""),"",IFERROR(VLOOKUP(I419,설정!$C$5:$E$16,3,0),""))</f>
        <v/>
      </c>
    </row>
    <row r="420">
      <c r="A420" s="6">
        <f>IF(B420="","",ROW()-4)</f>
        <v/>
      </c>
      <c r="B420" s="12" t="n"/>
      <c r="C420" s="12" t="n"/>
      <c r="D420" s="13" t="n"/>
      <c r="E420" s="14" t="n"/>
      <c r="F420" s="12" t="n"/>
      <c r="G420" s="14" t="n"/>
      <c r="H420" s="12" t="n"/>
      <c r="I420" s="12" t="n"/>
      <c r="J420" s="6">
        <f>IF(OR(B420="",I420=""),"",IFERROR(VLOOKUP(I420,설정!$C$5:$E$16,2,0),""))</f>
        <v/>
      </c>
      <c r="K420" s="13" t="n"/>
      <c r="L420" s="15" t="n"/>
      <c r="M420" s="13" t="n"/>
      <c r="N420" s="12" t="n"/>
      <c r="O420" s="14" t="n"/>
      <c r="P420" s="13" t="n"/>
      <c r="Q420" s="14" t="n"/>
      <c r="R420" s="11">
        <f>IF(OR(B420="",D420="",S420="종결"),"",TODAY()-D420)</f>
        <v/>
      </c>
      <c r="S420" s="6">
        <f>IF(OR(B420="",I420=""),"",IFERROR(VLOOKUP(I420,설정!$C$5:$E$16,3,0),""))</f>
        <v/>
      </c>
    </row>
    <row r="421">
      <c r="A421" s="6">
        <f>IF(B421="","",ROW()-4)</f>
        <v/>
      </c>
      <c r="B421" s="12" t="n"/>
      <c r="C421" s="12" t="n"/>
      <c r="D421" s="13" t="n"/>
      <c r="E421" s="14" t="n"/>
      <c r="F421" s="12" t="n"/>
      <c r="G421" s="14" t="n"/>
      <c r="H421" s="12" t="n"/>
      <c r="I421" s="12" t="n"/>
      <c r="J421" s="6">
        <f>IF(OR(B421="",I421=""),"",IFERROR(VLOOKUP(I421,설정!$C$5:$E$16,2,0),""))</f>
        <v/>
      </c>
      <c r="K421" s="13" t="n"/>
      <c r="L421" s="15" t="n"/>
      <c r="M421" s="13" t="n"/>
      <c r="N421" s="12" t="n"/>
      <c r="O421" s="14" t="n"/>
      <c r="P421" s="13" t="n"/>
      <c r="Q421" s="14" t="n"/>
      <c r="R421" s="11">
        <f>IF(OR(B421="",D421="",S421="종결"),"",TODAY()-D421)</f>
        <v/>
      </c>
      <c r="S421" s="6">
        <f>IF(OR(B421="",I421=""),"",IFERROR(VLOOKUP(I421,설정!$C$5:$E$16,3,0),""))</f>
        <v/>
      </c>
    </row>
    <row r="422">
      <c r="A422" s="6">
        <f>IF(B422="","",ROW()-4)</f>
        <v/>
      </c>
      <c r="B422" s="12" t="n"/>
      <c r="C422" s="12" t="n"/>
      <c r="D422" s="13" t="n"/>
      <c r="E422" s="14" t="n"/>
      <c r="F422" s="12" t="n"/>
      <c r="G422" s="14" t="n"/>
      <c r="H422" s="12" t="n"/>
      <c r="I422" s="12" t="n"/>
      <c r="J422" s="6">
        <f>IF(OR(B422="",I422=""),"",IFERROR(VLOOKUP(I422,설정!$C$5:$E$16,2,0),""))</f>
        <v/>
      </c>
      <c r="K422" s="13" t="n"/>
      <c r="L422" s="15" t="n"/>
      <c r="M422" s="13" t="n"/>
      <c r="N422" s="12" t="n"/>
      <c r="O422" s="14" t="n"/>
      <c r="P422" s="13" t="n"/>
      <c r="Q422" s="14" t="n"/>
      <c r="R422" s="11">
        <f>IF(OR(B422="",D422="",S422="종결"),"",TODAY()-D422)</f>
        <v/>
      </c>
      <c r="S422" s="6">
        <f>IF(OR(B422="",I422=""),"",IFERROR(VLOOKUP(I422,설정!$C$5:$E$16,3,0),""))</f>
        <v/>
      </c>
    </row>
    <row r="423">
      <c r="A423" s="6">
        <f>IF(B423="","",ROW()-4)</f>
        <v/>
      </c>
      <c r="B423" s="12" t="n"/>
      <c r="C423" s="12" t="n"/>
      <c r="D423" s="13" t="n"/>
      <c r="E423" s="14" t="n"/>
      <c r="F423" s="12" t="n"/>
      <c r="G423" s="14" t="n"/>
      <c r="H423" s="12" t="n"/>
      <c r="I423" s="12" t="n"/>
      <c r="J423" s="6">
        <f>IF(OR(B423="",I423=""),"",IFERROR(VLOOKUP(I423,설정!$C$5:$E$16,2,0),""))</f>
        <v/>
      </c>
      <c r="K423" s="13" t="n"/>
      <c r="L423" s="15" t="n"/>
      <c r="M423" s="13" t="n"/>
      <c r="N423" s="12" t="n"/>
      <c r="O423" s="14" t="n"/>
      <c r="P423" s="13" t="n"/>
      <c r="Q423" s="14" t="n"/>
      <c r="R423" s="11">
        <f>IF(OR(B423="",D423="",S423="종결"),"",TODAY()-D423)</f>
        <v/>
      </c>
      <c r="S423" s="6">
        <f>IF(OR(B423="",I423=""),"",IFERROR(VLOOKUP(I423,설정!$C$5:$E$16,3,0),""))</f>
        <v/>
      </c>
    </row>
    <row r="424">
      <c r="A424" s="6">
        <f>IF(B424="","",ROW()-4)</f>
        <v/>
      </c>
      <c r="B424" s="12" t="n"/>
      <c r="C424" s="12" t="n"/>
      <c r="D424" s="13" t="n"/>
      <c r="E424" s="14" t="n"/>
      <c r="F424" s="12" t="n"/>
      <c r="G424" s="14" t="n"/>
      <c r="H424" s="12" t="n"/>
      <c r="I424" s="12" t="n"/>
      <c r="J424" s="6">
        <f>IF(OR(B424="",I424=""),"",IFERROR(VLOOKUP(I424,설정!$C$5:$E$16,2,0),""))</f>
        <v/>
      </c>
      <c r="K424" s="13" t="n"/>
      <c r="L424" s="15" t="n"/>
      <c r="M424" s="13" t="n"/>
      <c r="N424" s="12" t="n"/>
      <c r="O424" s="14" t="n"/>
      <c r="P424" s="13" t="n"/>
      <c r="Q424" s="14" t="n"/>
      <c r="R424" s="11">
        <f>IF(OR(B424="",D424="",S424="종결"),"",TODAY()-D424)</f>
        <v/>
      </c>
      <c r="S424" s="6">
        <f>IF(OR(B424="",I424=""),"",IFERROR(VLOOKUP(I424,설정!$C$5:$E$16,3,0),""))</f>
        <v/>
      </c>
    </row>
    <row r="425">
      <c r="A425" s="6">
        <f>IF(B425="","",ROW()-4)</f>
        <v/>
      </c>
      <c r="B425" s="12" t="n"/>
      <c r="C425" s="12" t="n"/>
      <c r="D425" s="13" t="n"/>
      <c r="E425" s="14" t="n"/>
      <c r="F425" s="12" t="n"/>
      <c r="G425" s="14" t="n"/>
      <c r="H425" s="12" t="n"/>
      <c r="I425" s="12" t="n"/>
      <c r="J425" s="6">
        <f>IF(OR(B425="",I425=""),"",IFERROR(VLOOKUP(I425,설정!$C$5:$E$16,2,0),""))</f>
        <v/>
      </c>
      <c r="K425" s="13" t="n"/>
      <c r="L425" s="15" t="n"/>
      <c r="M425" s="13" t="n"/>
      <c r="N425" s="12" t="n"/>
      <c r="O425" s="14" t="n"/>
      <c r="P425" s="13" t="n"/>
      <c r="Q425" s="14" t="n"/>
      <c r="R425" s="11">
        <f>IF(OR(B425="",D425="",S425="종결"),"",TODAY()-D425)</f>
        <v/>
      </c>
      <c r="S425" s="6">
        <f>IF(OR(B425="",I425=""),"",IFERROR(VLOOKUP(I425,설정!$C$5:$E$16,3,0),""))</f>
        <v/>
      </c>
    </row>
    <row r="426">
      <c r="A426" s="6">
        <f>IF(B426="","",ROW()-4)</f>
        <v/>
      </c>
      <c r="B426" s="12" t="n"/>
      <c r="C426" s="12" t="n"/>
      <c r="D426" s="13" t="n"/>
      <c r="E426" s="14" t="n"/>
      <c r="F426" s="12" t="n"/>
      <c r="G426" s="14" t="n"/>
      <c r="H426" s="12" t="n"/>
      <c r="I426" s="12" t="n"/>
      <c r="J426" s="6">
        <f>IF(OR(B426="",I426=""),"",IFERROR(VLOOKUP(I426,설정!$C$5:$E$16,2,0),""))</f>
        <v/>
      </c>
      <c r="K426" s="13" t="n"/>
      <c r="L426" s="15" t="n"/>
      <c r="M426" s="13" t="n"/>
      <c r="N426" s="12" t="n"/>
      <c r="O426" s="14" t="n"/>
      <c r="P426" s="13" t="n"/>
      <c r="Q426" s="14" t="n"/>
      <c r="R426" s="11">
        <f>IF(OR(B426="",D426="",S426="종결"),"",TODAY()-D426)</f>
        <v/>
      </c>
      <c r="S426" s="6">
        <f>IF(OR(B426="",I426=""),"",IFERROR(VLOOKUP(I426,설정!$C$5:$E$16,3,0),""))</f>
        <v/>
      </c>
    </row>
    <row r="427">
      <c r="A427" s="6">
        <f>IF(B427="","",ROW()-4)</f>
        <v/>
      </c>
      <c r="B427" s="12" t="n"/>
      <c r="C427" s="12" t="n"/>
      <c r="D427" s="13" t="n"/>
      <c r="E427" s="14" t="n"/>
      <c r="F427" s="12" t="n"/>
      <c r="G427" s="14" t="n"/>
      <c r="H427" s="12" t="n"/>
      <c r="I427" s="12" t="n"/>
      <c r="J427" s="6">
        <f>IF(OR(B427="",I427=""),"",IFERROR(VLOOKUP(I427,설정!$C$5:$E$16,2,0),""))</f>
        <v/>
      </c>
      <c r="K427" s="13" t="n"/>
      <c r="L427" s="15" t="n"/>
      <c r="M427" s="13" t="n"/>
      <c r="N427" s="12" t="n"/>
      <c r="O427" s="14" t="n"/>
      <c r="P427" s="13" t="n"/>
      <c r="Q427" s="14" t="n"/>
      <c r="R427" s="11">
        <f>IF(OR(B427="",D427="",S427="종결"),"",TODAY()-D427)</f>
        <v/>
      </c>
      <c r="S427" s="6">
        <f>IF(OR(B427="",I427=""),"",IFERROR(VLOOKUP(I427,설정!$C$5:$E$16,3,0),""))</f>
        <v/>
      </c>
    </row>
    <row r="428">
      <c r="A428" s="6">
        <f>IF(B428="","",ROW()-4)</f>
        <v/>
      </c>
      <c r="B428" s="12" t="n"/>
      <c r="C428" s="12" t="n"/>
      <c r="D428" s="13" t="n"/>
      <c r="E428" s="14" t="n"/>
      <c r="F428" s="12" t="n"/>
      <c r="G428" s="14" t="n"/>
      <c r="H428" s="12" t="n"/>
      <c r="I428" s="12" t="n"/>
      <c r="J428" s="6">
        <f>IF(OR(B428="",I428=""),"",IFERROR(VLOOKUP(I428,설정!$C$5:$E$16,2,0),""))</f>
        <v/>
      </c>
      <c r="K428" s="13" t="n"/>
      <c r="L428" s="15" t="n"/>
      <c r="M428" s="13" t="n"/>
      <c r="N428" s="12" t="n"/>
      <c r="O428" s="14" t="n"/>
      <c r="P428" s="13" t="n"/>
      <c r="Q428" s="14" t="n"/>
      <c r="R428" s="11">
        <f>IF(OR(B428="",D428="",S428="종결"),"",TODAY()-D428)</f>
        <v/>
      </c>
      <c r="S428" s="6">
        <f>IF(OR(B428="",I428=""),"",IFERROR(VLOOKUP(I428,설정!$C$5:$E$16,3,0),""))</f>
        <v/>
      </c>
    </row>
    <row r="429">
      <c r="A429" s="6">
        <f>IF(B429="","",ROW()-4)</f>
        <v/>
      </c>
      <c r="B429" s="12" t="n"/>
      <c r="C429" s="12" t="n"/>
      <c r="D429" s="13" t="n"/>
      <c r="E429" s="14" t="n"/>
      <c r="F429" s="12" t="n"/>
      <c r="G429" s="14" t="n"/>
      <c r="H429" s="12" t="n"/>
      <c r="I429" s="12" t="n"/>
      <c r="J429" s="6">
        <f>IF(OR(B429="",I429=""),"",IFERROR(VLOOKUP(I429,설정!$C$5:$E$16,2,0),""))</f>
        <v/>
      </c>
      <c r="K429" s="13" t="n"/>
      <c r="L429" s="15" t="n"/>
      <c r="M429" s="13" t="n"/>
      <c r="N429" s="12" t="n"/>
      <c r="O429" s="14" t="n"/>
      <c r="P429" s="13" t="n"/>
      <c r="Q429" s="14" t="n"/>
      <c r="R429" s="11">
        <f>IF(OR(B429="",D429="",S429="종결"),"",TODAY()-D429)</f>
        <v/>
      </c>
      <c r="S429" s="6">
        <f>IF(OR(B429="",I429=""),"",IFERROR(VLOOKUP(I429,설정!$C$5:$E$16,3,0),""))</f>
        <v/>
      </c>
    </row>
    <row r="430">
      <c r="A430" s="6">
        <f>IF(B430="","",ROW()-4)</f>
        <v/>
      </c>
      <c r="B430" s="12" t="n"/>
      <c r="C430" s="12" t="n"/>
      <c r="D430" s="13" t="n"/>
      <c r="E430" s="14" t="n"/>
      <c r="F430" s="12" t="n"/>
      <c r="G430" s="14" t="n"/>
      <c r="H430" s="12" t="n"/>
      <c r="I430" s="12" t="n"/>
      <c r="J430" s="6">
        <f>IF(OR(B430="",I430=""),"",IFERROR(VLOOKUP(I430,설정!$C$5:$E$16,2,0),""))</f>
        <v/>
      </c>
      <c r="K430" s="13" t="n"/>
      <c r="L430" s="15" t="n"/>
      <c r="M430" s="13" t="n"/>
      <c r="N430" s="12" t="n"/>
      <c r="O430" s="14" t="n"/>
      <c r="P430" s="13" t="n"/>
      <c r="Q430" s="14" t="n"/>
      <c r="R430" s="11">
        <f>IF(OR(B430="",D430="",S430="종결"),"",TODAY()-D430)</f>
        <v/>
      </c>
      <c r="S430" s="6">
        <f>IF(OR(B430="",I430=""),"",IFERROR(VLOOKUP(I430,설정!$C$5:$E$16,3,0),""))</f>
        <v/>
      </c>
    </row>
    <row r="431">
      <c r="A431" s="6">
        <f>IF(B431="","",ROW()-4)</f>
        <v/>
      </c>
      <c r="B431" s="12" t="n"/>
      <c r="C431" s="12" t="n"/>
      <c r="D431" s="13" t="n"/>
      <c r="E431" s="14" t="n"/>
      <c r="F431" s="12" t="n"/>
      <c r="G431" s="14" t="n"/>
      <c r="H431" s="12" t="n"/>
      <c r="I431" s="12" t="n"/>
      <c r="J431" s="6">
        <f>IF(OR(B431="",I431=""),"",IFERROR(VLOOKUP(I431,설정!$C$5:$E$16,2,0),""))</f>
        <v/>
      </c>
      <c r="K431" s="13" t="n"/>
      <c r="L431" s="15" t="n"/>
      <c r="M431" s="13" t="n"/>
      <c r="N431" s="12" t="n"/>
      <c r="O431" s="14" t="n"/>
      <c r="P431" s="13" t="n"/>
      <c r="Q431" s="14" t="n"/>
      <c r="R431" s="11">
        <f>IF(OR(B431="",D431="",S431="종결"),"",TODAY()-D431)</f>
        <v/>
      </c>
      <c r="S431" s="6">
        <f>IF(OR(B431="",I431=""),"",IFERROR(VLOOKUP(I431,설정!$C$5:$E$16,3,0),""))</f>
        <v/>
      </c>
    </row>
    <row r="432">
      <c r="A432" s="6">
        <f>IF(B432="","",ROW()-4)</f>
        <v/>
      </c>
      <c r="B432" s="12" t="n"/>
      <c r="C432" s="12" t="n"/>
      <c r="D432" s="13" t="n"/>
      <c r="E432" s="14" t="n"/>
      <c r="F432" s="12" t="n"/>
      <c r="G432" s="14" t="n"/>
      <c r="H432" s="12" t="n"/>
      <c r="I432" s="12" t="n"/>
      <c r="J432" s="6">
        <f>IF(OR(B432="",I432=""),"",IFERROR(VLOOKUP(I432,설정!$C$5:$E$16,2,0),""))</f>
        <v/>
      </c>
      <c r="K432" s="13" t="n"/>
      <c r="L432" s="15" t="n"/>
      <c r="M432" s="13" t="n"/>
      <c r="N432" s="12" t="n"/>
      <c r="O432" s="14" t="n"/>
      <c r="P432" s="13" t="n"/>
      <c r="Q432" s="14" t="n"/>
      <c r="R432" s="11">
        <f>IF(OR(B432="",D432="",S432="종결"),"",TODAY()-D432)</f>
        <v/>
      </c>
      <c r="S432" s="6">
        <f>IF(OR(B432="",I432=""),"",IFERROR(VLOOKUP(I432,설정!$C$5:$E$16,3,0),""))</f>
        <v/>
      </c>
    </row>
    <row r="433">
      <c r="A433" s="6">
        <f>IF(B433="","",ROW()-4)</f>
        <v/>
      </c>
      <c r="B433" s="12" t="n"/>
      <c r="C433" s="12" t="n"/>
      <c r="D433" s="13" t="n"/>
      <c r="E433" s="14" t="n"/>
      <c r="F433" s="12" t="n"/>
      <c r="G433" s="14" t="n"/>
      <c r="H433" s="12" t="n"/>
      <c r="I433" s="12" t="n"/>
      <c r="J433" s="6">
        <f>IF(OR(B433="",I433=""),"",IFERROR(VLOOKUP(I433,설정!$C$5:$E$16,2,0),""))</f>
        <v/>
      </c>
      <c r="K433" s="13" t="n"/>
      <c r="L433" s="15" t="n"/>
      <c r="M433" s="13" t="n"/>
      <c r="N433" s="12" t="n"/>
      <c r="O433" s="14" t="n"/>
      <c r="P433" s="13" t="n"/>
      <c r="Q433" s="14" t="n"/>
      <c r="R433" s="11">
        <f>IF(OR(B433="",D433="",S433="종결"),"",TODAY()-D433)</f>
        <v/>
      </c>
      <c r="S433" s="6">
        <f>IF(OR(B433="",I433=""),"",IFERROR(VLOOKUP(I433,설정!$C$5:$E$16,3,0),""))</f>
        <v/>
      </c>
    </row>
    <row r="434">
      <c r="A434" s="6">
        <f>IF(B434="","",ROW()-4)</f>
        <v/>
      </c>
      <c r="B434" s="12" t="n"/>
      <c r="C434" s="12" t="n"/>
      <c r="D434" s="13" t="n"/>
      <c r="E434" s="14" t="n"/>
      <c r="F434" s="12" t="n"/>
      <c r="G434" s="14" t="n"/>
      <c r="H434" s="12" t="n"/>
      <c r="I434" s="12" t="n"/>
      <c r="J434" s="6">
        <f>IF(OR(B434="",I434=""),"",IFERROR(VLOOKUP(I434,설정!$C$5:$E$16,2,0),""))</f>
        <v/>
      </c>
      <c r="K434" s="13" t="n"/>
      <c r="L434" s="15" t="n"/>
      <c r="M434" s="13" t="n"/>
      <c r="N434" s="12" t="n"/>
      <c r="O434" s="14" t="n"/>
      <c r="P434" s="13" t="n"/>
      <c r="Q434" s="14" t="n"/>
      <c r="R434" s="11">
        <f>IF(OR(B434="",D434="",S434="종결"),"",TODAY()-D434)</f>
        <v/>
      </c>
      <c r="S434" s="6">
        <f>IF(OR(B434="",I434=""),"",IFERROR(VLOOKUP(I434,설정!$C$5:$E$16,3,0),""))</f>
        <v/>
      </c>
    </row>
    <row r="435">
      <c r="A435" s="6">
        <f>IF(B435="","",ROW()-4)</f>
        <v/>
      </c>
      <c r="B435" s="12" t="n"/>
      <c r="C435" s="12" t="n"/>
      <c r="D435" s="13" t="n"/>
      <c r="E435" s="14" t="n"/>
      <c r="F435" s="12" t="n"/>
      <c r="G435" s="14" t="n"/>
      <c r="H435" s="12" t="n"/>
      <c r="I435" s="12" t="n"/>
      <c r="J435" s="6">
        <f>IF(OR(B435="",I435=""),"",IFERROR(VLOOKUP(I435,설정!$C$5:$E$16,2,0),""))</f>
        <v/>
      </c>
      <c r="K435" s="13" t="n"/>
      <c r="L435" s="15" t="n"/>
      <c r="M435" s="13" t="n"/>
      <c r="N435" s="12" t="n"/>
      <c r="O435" s="14" t="n"/>
      <c r="P435" s="13" t="n"/>
      <c r="Q435" s="14" t="n"/>
      <c r="R435" s="11">
        <f>IF(OR(B435="",D435="",S435="종결"),"",TODAY()-D435)</f>
        <v/>
      </c>
      <c r="S435" s="6">
        <f>IF(OR(B435="",I435=""),"",IFERROR(VLOOKUP(I435,설정!$C$5:$E$16,3,0),""))</f>
        <v/>
      </c>
    </row>
    <row r="436">
      <c r="A436" s="6">
        <f>IF(B436="","",ROW()-4)</f>
        <v/>
      </c>
      <c r="B436" s="12" t="n"/>
      <c r="C436" s="12" t="n"/>
      <c r="D436" s="13" t="n"/>
      <c r="E436" s="14" t="n"/>
      <c r="F436" s="12" t="n"/>
      <c r="G436" s="14" t="n"/>
      <c r="H436" s="12" t="n"/>
      <c r="I436" s="12" t="n"/>
      <c r="J436" s="6">
        <f>IF(OR(B436="",I436=""),"",IFERROR(VLOOKUP(I436,설정!$C$5:$E$16,2,0),""))</f>
        <v/>
      </c>
      <c r="K436" s="13" t="n"/>
      <c r="L436" s="15" t="n"/>
      <c r="M436" s="13" t="n"/>
      <c r="N436" s="12" t="n"/>
      <c r="O436" s="14" t="n"/>
      <c r="P436" s="13" t="n"/>
      <c r="Q436" s="14" t="n"/>
      <c r="R436" s="11">
        <f>IF(OR(B436="",D436="",S436="종결"),"",TODAY()-D436)</f>
        <v/>
      </c>
      <c r="S436" s="6">
        <f>IF(OR(B436="",I436=""),"",IFERROR(VLOOKUP(I436,설정!$C$5:$E$16,3,0),""))</f>
        <v/>
      </c>
    </row>
    <row r="437">
      <c r="A437" s="6">
        <f>IF(B437="","",ROW()-4)</f>
        <v/>
      </c>
      <c r="B437" s="12" t="n"/>
      <c r="C437" s="12" t="n"/>
      <c r="D437" s="13" t="n"/>
      <c r="E437" s="14" t="n"/>
      <c r="F437" s="12" t="n"/>
      <c r="G437" s="14" t="n"/>
      <c r="H437" s="12" t="n"/>
      <c r="I437" s="12" t="n"/>
      <c r="J437" s="6">
        <f>IF(OR(B437="",I437=""),"",IFERROR(VLOOKUP(I437,설정!$C$5:$E$16,2,0),""))</f>
        <v/>
      </c>
      <c r="K437" s="13" t="n"/>
      <c r="L437" s="15" t="n"/>
      <c r="M437" s="13" t="n"/>
      <c r="N437" s="12" t="n"/>
      <c r="O437" s="14" t="n"/>
      <c r="P437" s="13" t="n"/>
      <c r="Q437" s="14" t="n"/>
      <c r="R437" s="11">
        <f>IF(OR(B437="",D437="",S437="종결"),"",TODAY()-D437)</f>
        <v/>
      </c>
      <c r="S437" s="6">
        <f>IF(OR(B437="",I437=""),"",IFERROR(VLOOKUP(I437,설정!$C$5:$E$16,3,0),""))</f>
        <v/>
      </c>
    </row>
    <row r="438">
      <c r="A438" s="6">
        <f>IF(B438="","",ROW()-4)</f>
        <v/>
      </c>
      <c r="B438" s="12" t="n"/>
      <c r="C438" s="12" t="n"/>
      <c r="D438" s="13" t="n"/>
      <c r="E438" s="14" t="n"/>
      <c r="F438" s="12" t="n"/>
      <c r="G438" s="14" t="n"/>
      <c r="H438" s="12" t="n"/>
      <c r="I438" s="12" t="n"/>
      <c r="J438" s="6">
        <f>IF(OR(B438="",I438=""),"",IFERROR(VLOOKUP(I438,설정!$C$5:$E$16,2,0),""))</f>
        <v/>
      </c>
      <c r="K438" s="13" t="n"/>
      <c r="L438" s="15" t="n"/>
      <c r="M438" s="13" t="n"/>
      <c r="N438" s="12" t="n"/>
      <c r="O438" s="14" t="n"/>
      <c r="P438" s="13" t="n"/>
      <c r="Q438" s="14" t="n"/>
      <c r="R438" s="11">
        <f>IF(OR(B438="",D438="",S438="종결"),"",TODAY()-D438)</f>
        <v/>
      </c>
      <c r="S438" s="6">
        <f>IF(OR(B438="",I438=""),"",IFERROR(VLOOKUP(I438,설정!$C$5:$E$16,3,0),""))</f>
        <v/>
      </c>
    </row>
    <row r="439">
      <c r="A439" s="6">
        <f>IF(B439="","",ROW()-4)</f>
        <v/>
      </c>
      <c r="B439" s="12" t="n"/>
      <c r="C439" s="12" t="n"/>
      <c r="D439" s="13" t="n"/>
      <c r="E439" s="14" t="n"/>
      <c r="F439" s="12" t="n"/>
      <c r="G439" s="14" t="n"/>
      <c r="H439" s="12" t="n"/>
      <c r="I439" s="12" t="n"/>
      <c r="J439" s="6">
        <f>IF(OR(B439="",I439=""),"",IFERROR(VLOOKUP(I439,설정!$C$5:$E$16,2,0),""))</f>
        <v/>
      </c>
      <c r="K439" s="13" t="n"/>
      <c r="L439" s="15" t="n"/>
      <c r="M439" s="13" t="n"/>
      <c r="N439" s="12" t="n"/>
      <c r="O439" s="14" t="n"/>
      <c r="P439" s="13" t="n"/>
      <c r="Q439" s="14" t="n"/>
      <c r="R439" s="11">
        <f>IF(OR(B439="",D439="",S439="종결"),"",TODAY()-D439)</f>
        <v/>
      </c>
      <c r="S439" s="6">
        <f>IF(OR(B439="",I439=""),"",IFERROR(VLOOKUP(I439,설정!$C$5:$E$16,3,0),""))</f>
        <v/>
      </c>
    </row>
    <row r="440">
      <c r="A440" s="6">
        <f>IF(B440="","",ROW()-4)</f>
        <v/>
      </c>
      <c r="B440" s="12" t="n"/>
      <c r="C440" s="12" t="n"/>
      <c r="D440" s="13" t="n"/>
      <c r="E440" s="14" t="n"/>
      <c r="F440" s="12" t="n"/>
      <c r="G440" s="14" t="n"/>
      <c r="H440" s="12" t="n"/>
      <c r="I440" s="12" t="n"/>
      <c r="J440" s="6">
        <f>IF(OR(B440="",I440=""),"",IFERROR(VLOOKUP(I440,설정!$C$5:$E$16,2,0),""))</f>
        <v/>
      </c>
      <c r="K440" s="13" t="n"/>
      <c r="L440" s="15" t="n"/>
      <c r="M440" s="13" t="n"/>
      <c r="N440" s="12" t="n"/>
      <c r="O440" s="14" t="n"/>
      <c r="P440" s="13" t="n"/>
      <c r="Q440" s="14" t="n"/>
      <c r="R440" s="11">
        <f>IF(OR(B440="",D440="",S440="종결"),"",TODAY()-D440)</f>
        <v/>
      </c>
      <c r="S440" s="6">
        <f>IF(OR(B440="",I440=""),"",IFERROR(VLOOKUP(I440,설정!$C$5:$E$16,3,0),""))</f>
        <v/>
      </c>
    </row>
    <row r="441">
      <c r="A441" s="6">
        <f>IF(B441="","",ROW()-4)</f>
        <v/>
      </c>
      <c r="B441" s="12" t="n"/>
      <c r="C441" s="12" t="n"/>
      <c r="D441" s="13" t="n"/>
      <c r="E441" s="14" t="n"/>
      <c r="F441" s="12" t="n"/>
      <c r="G441" s="14" t="n"/>
      <c r="H441" s="12" t="n"/>
      <c r="I441" s="12" t="n"/>
      <c r="J441" s="6">
        <f>IF(OR(B441="",I441=""),"",IFERROR(VLOOKUP(I441,설정!$C$5:$E$16,2,0),""))</f>
        <v/>
      </c>
      <c r="K441" s="13" t="n"/>
      <c r="L441" s="15" t="n"/>
      <c r="M441" s="13" t="n"/>
      <c r="N441" s="12" t="n"/>
      <c r="O441" s="14" t="n"/>
      <c r="P441" s="13" t="n"/>
      <c r="Q441" s="14" t="n"/>
      <c r="R441" s="11">
        <f>IF(OR(B441="",D441="",S441="종결"),"",TODAY()-D441)</f>
        <v/>
      </c>
      <c r="S441" s="6">
        <f>IF(OR(B441="",I441=""),"",IFERROR(VLOOKUP(I441,설정!$C$5:$E$16,3,0),""))</f>
        <v/>
      </c>
    </row>
    <row r="442">
      <c r="A442" s="6">
        <f>IF(B442="","",ROW()-4)</f>
        <v/>
      </c>
      <c r="B442" s="12" t="n"/>
      <c r="C442" s="12" t="n"/>
      <c r="D442" s="13" t="n"/>
      <c r="E442" s="14" t="n"/>
      <c r="F442" s="12" t="n"/>
      <c r="G442" s="14" t="n"/>
      <c r="H442" s="12" t="n"/>
      <c r="I442" s="12" t="n"/>
      <c r="J442" s="6">
        <f>IF(OR(B442="",I442=""),"",IFERROR(VLOOKUP(I442,설정!$C$5:$E$16,2,0),""))</f>
        <v/>
      </c>
      <c r="K442" s="13" t="n"/>
      <c r="L442" s="15" t="n"/>
      <c r="M442" s="13" t="n"/>
      <c r="N442" s="12" t="n"/>
      <c r="O442" s="14" t="n"/>
      <c r="P442" s="13" t="n"/>
      <c r="Q442" s="14" t="n"/>
      <c r="R442" s="11">
        <f>IF(OR(B442="",D442="",S442="종결"),"",TODAY()-D442)</f>
        <v/>
      </c>
      <c r="S442" s="6">
        <f>IF(OR(B442="",I442=""),"",IFERROR(VLOOKUP(I442,설정!$C$5:$E$16,3,0),""))</f>
        <v/>
      </c>
    </row>
    <row r="443">
      <c r="A443" s="6">
        <f>IF(B443="","",ROW()-4)</f>
        <v/>
      </c>
      <c r="B443" s="12" t="n"/>
      <c r="C443" s="12" t="n"/>
      <c r="D443" s="13" t="n"/>
      <c r="E443" s="14" t="n"/>
      <c r="F443" s="12" t="n"/>
      <c r="G443" s="14" t="n"/>
      <c r="H443" s="12" t="n"/>
      <c r="I443" s="12" t="n"/>
      <c r="J443" s="6">
        <f>IF(OR(B443="",I443=""),"",IFERROR(VLOOKUP(I443,설정!$C$5:$E$16,2,0),""))</f>
        <v/>
      </c>
      <c r="K443" s="13" t="n"/>
      <c r="L443" s="15" t="n"/>
      <c r="M443" s="13" t="n"/>
      <c r="N443" s="12" t="n"/>
      <c r="O443" s="14" t="n"/>
      <c r="P443" s="13" t="n"/>
      <c r="Q443" s="14" t="n"/>
      <c r="R443" s="11">
        <f>IF(OR(B443="",D443="",S443="종결"),"",TODAY()-D443)</f>
        <v/>
      </c>
      <c r="S443" s="6">
        <f>IF(OR(B443="",I443=""),"",IFERROR(VLOOKUP(I443,설정!$C$5:$E$16,3,0),""))</f>
        <v/>
      </c>
    </row>
    <row r="444">
      <c r="A444" s="6">
        <f>IF(B444="","",ROW()-4)</f>
        <v/>
      </c>
      <c r="B444" s="12" t="n"/>
      <c r="C444" s="12" t="n"/>
      <c r="D444" s="13" t="n"/>
      <c r="E444" s="14" t="n"/>
      <c r="F444" s="12" t="n"/>
      <c r="G444" s="14" t="n"/>
      <c r="H444" s="12" t="n"/>
      <c r="I444" s="12" t="n"/>
      <c r="J444" s="6">
        <f>IF(OR(B444="",I444=""),"",IFERROR(VLOOKUP(I444,설정!$C$5:$E$16,2,0),""))</f>
        <v/>
      </c>
      <c r="K444" s="13" t="n"/>
      <c r="L444" s="15" t="n"/>
      <c r="M444" s="13" t="n"/>
      <c r="N444" s="12" t="n"/>
      <c r="O444" s="14" t="n"/>
      <c r="P444" s="13" t="n"/>
      <c r="Q444" s="14" t="n"/>
      <c r="R444" s="11">
        <f>IF(OR(B444="",D444="",S444="종결"),"",TODAY()-D444)</f>
        <v/>
      </c>
      <c r="S444" s="6">
        <f>IF(OR(B444="",I444=""),"",IFERROR(VLOOKUP(I444,설정!$C$5:$E$16,3,0),""))</f>
        <v/>
      </c>
    </row>
    <row r="445">
      <c r="A445" s="6">
        <f>IF(B445="","",ROW()-4)</f>
        <v/>
      </c>
      <c r="B445" s="12" t="n"/>
      <c r="C445" s="12" t="n"/>
      <c r="D445" s="13" t="n"/>
      <c r="E445" s="14" t="n"/>
      <c r="F445" s="12" t="n"/>
      <c r="G445" s="14" t="n"/>
      <c r="H445" s="12" t="n"/>
      <c r="I445" s="12" t="n"/>
      <c r="J445" s="6">
        <f>IF(OR(B445="",I445=""),"",IFERROR(VLOOKUP(I445,설정!$C$5:$E$16,2,0),""))</f>
        <v/>
      </c>
      <c r="K445" s="13" t="n"/>
      <c r="L445" s="15" t="n"/>
      <c r="M445" s="13" t="n"/>
      <c r="N445" s="12" t="n"/>
      <c r="O445" s="14" t="n"/>
      <c r="P445" s="13" t="n"/>
      <c r="Q445" s="14" t="n"/>
      <c r="R445" s="11">
        <f>IF(OR(B445="",D445="",S445="종결"),"",TODAY()-D445)</f>
        <v/>
      </c>
      <c r="S445" s="6">
        <f>IF(OR(B445="",I445=""),"",IFERROR(VLOOKUP(I445,설정!$C$5:$E$16,3,0),""))</f>
        <v/>
      </c>
    </row>
    <row r="446">
      <c r="A446" s="6">
        <f>IF(B446="","",ROW()-4)</f>
        <v/>
      </c>
      <c r="B446" s="12" t="n"/>
      <c r="C446" s="12" t="n"/>
      <c r="D446" s="13" t="n"/>
      <c r="E446" s="14" t="n"/>
      <c r="F446" s="12" t="n"/>
      <c r="G446" s="14" t="n"/>
      <c r="H446" s="12" t="n"/>
      <c r="I446" s="12" t="n"/>
      <c r="J446" s="6">
        <f>IF(OR(B446="",I446=""),"",IFERROR(VLOOKUP(I446,설정!$C$5:$E$16,2,0),""))</f>
        <v/>
      </c>
      <c r="K446" s="13" t="n"/>
      <c r="L446" s="15" t="n"/>
      <c r="M446" s="13" t="n"/>
      <c r="N446" s="12" t="n"/>
      <c r="O446" s="14" t="n"/>
      <c r="P446" s="13" t="n"/>
      <c r="Q446" s="14" t="n"/>
      <c r="R446" s="11">
        <f>IF(OR(B446="",D446="",S446="종결"),"",TODAY()-D446)</f>
        <v/>
      </c>
      <c r="S446" s="6">
        <f>IF(OR(B446="",I446=""),"",IFERROR(VLOOKUP(I446,설정!$C$5:$E$16,3,0),""))</f>
        <v/>
      </c>
    </row>
    <row r="447">
      <c r="A447" s="6">
        <f>IF(B447="","",ROW()-4)</f>
        <v/>
      </c>
      <c r="B447" s="12" t="n"/>
      <c r="C447" s="12" t="n"/>
      <c r="D447" s="13" t="n"/>
      <c r="E447" s="14" t="n"/>
      <c r="F447" s="12" t="n"/>
      <c r="G447" s="14" t="n"/>
      <c r="H447" s="12" t="n"/>
      <c r="I447" s="12" t="n"/>
      <c r="J447" s="6">
        <f>IF(OR(B447="",I447=""),"",IFERROR(VLOOKUP(I447,설정!$C$5:$E$16,2,0),""))</f>
        <v/>
      </c>
      <c r="K447" s="13" t="n"/>
      <c r="L447" s="15" t="n"/>
      <c r="M447" s="13" t="n"/>
      <c r="N447" s="12" t="n"/>
      <c r="O447" s="14" t="n"/>
      <c r="P447" s="13" t="n"/>
      <c r="Q447" s="14" t="n"/>
      <c r="R447" s="11">
        <f>IF(OR(B447="",D447="",S447="종결"),"",TODAY()-D447)</f>
        <v/>
      </c>
      <c r="S447" s="6">
        <f>IF(OR(B447="",I447=""),"",IFERROR(VLOOKUP(I447,설정!$C$5:$E$16,3,0),""))</f>
        <v/>
      </c>
    </row>
    <row r="448">
      <c r="A448" s="6">
        <f>IF(B448="","",ROW()-4)</f>
        <v/>
      </c>
      <c r="B448" s="12" t="n"/>
      <c r="C448" s="12" t="n"/>
      <c r="D448" s="13" t="n"/>
      <c r="E448" s="14" t="n"/>
      <c r="F448" s="12" t="n"/>
      <c r="G448" s="14" t="n"/>
      <c r="H448" s="12" t="n"/>
      <c r="I448" s="12" t="n"/>
      <c r="J448" s="6">
        <f>IF(OR(B448="",I448=""),"",IFERROR(VLOOKUP(I448,설정!$C$5:$E$16,2,0),""))</f>
        <v/>
      </c>
      <c r="K448" s="13" t="n"/>
      <c r="L448" s="15" t="n"/>
      <c r="M448" s="13" t="n"/>
      <c r="N448" s="12" t="n"/>
      <c r="O448" s="14" t="n"/>
      <c r="P448" s="13" t="n"/>
      <c r="Q448" s="14" t="n"/>
      <c r="R448" s="11">
        <f>IF(OR(B448="",D448="",S448="종결"),"",TODAY()-D448)</f>
        <v/>
      </c>
      <c r="S448" s="6">
        <f>IF(OR(B448="",I448=""),"",IFERROR(VLOOKUP(I448,설정!$C$5:$E$16,3,0),""))</f>
        <v/>
      </c>
    </row>
    <row r="449">
      <c r="A449" s="6">
        <f>IF(B449="","",ROW()-4)</f>
        <v/>
      </c>
      <c r="B449" s="12" t="n"/>
      <c r="C449" s="12" t="n"/>
      <c r="D449" s="13" t="n"/>
      <c r="E449" s="14" t="n"/>
      <c r="F449" s="12" t="n"/>
      <c r="G449" s="14" t="n"/>
      <c r="H449" s="12" t="n"/>
      <c r="I449" s="12" t="n"/>
      <c r="J449" s="6">
        <f>IF(OR(B449="",I449=""),"",IFERROR(VLOOKUP(I449,설정!$C$5:$E$16,2,0),""))</f>
        <v/>
      </c>
      <c r="K449" s="13" t="n"/>
      <c r="L449" s="15" t="n"/>
      <c r="M449" s="13" t="n"/>
      <c r="N449" s="12" t="n"/>
      <c r="O449" s="14" t="n"/>
      <c r="P449" s="13" t="n"/>
      <c r="Q449" s="14" t="n"/>
      <c r="R449" s="11">
        <f>IF(OR(B449="",D449="",S449="종결"),"",TODAY()-D449)</f>
        <v/>
      </c>
      <c r="S449" s="6">
        <f>IF(OR(B449="",I449=""),"",IFERROR(VLOOKUP(I449,설정!$C$5:$E$16,3,0),""))</f>
        <v/>
      </c>
    </row>
    <row r="450">
      <c r="A450" s="6">
        <f>IF(B450="","",ROW()-4)</f>
        <v/>
      </c>
      <c r="B450" s="12" t="n"/>
      <c r="C450" s="12" t="n"/>
      <c r="D450" s="13" t="n"/>
      <c r="E450" s="14" t="n"/>
      <c r="F450" s="12" t="n"/>
      <c r="G450" s="14" t="n"/>
      <c r="H450" s="12" t="n"/>
      <c r="I450" s="12" t="n"/>
      <c r="J450" s="6">
        <f>IF(OR(B450="",I450=""),"",IFERROR(VLOOKUP(I450,설정!$C$5:$E$16,2,0),""))</f>
        <v/>
      </c>
      <c r="K450" s="13" t="n"/>
      <c r="L450" s="15" t="n"/>
      <c r="M450" s="13" t="n"/>
      <c r="N450" s="12" t="n"/>
      <c r="O450" s="14" t="n"/>
      <c r="P450" s="13" t="n"/>
      <c r="Q450" s="14" t="n"/>
      <c r="R450" s="11">
        <f>IF(OR(B450="",D450="",S450="종결"),"",TODAY()-D450)</f>
        <v/>
      </c>
      <c r="S450" s="6">
        <f>IF(OR(B450="",I450=""),"",IFERROR(VLOOKUP(I450,설정!$C$5:$E$16,3,0),""))</f>
        <v/>
      </c>
    </row>
    <row r="451">
      <c r="A451" s="6">
        <f>IF(B451="","",ROW()-4)</f>
        <v/>
      </c>
      <c r="B451" s="12" t="n"/>
      <c r="C451" s="12" t="n"/>
      <c r="D451" s="13" t="n"/>
      <c r="E451" s="14" t="n"/>
      <c r="F451" s="12" t="n"/>
      <c r="G451" s="14" t="n"/>
      <c r="H451" s="12" t="n"/>
      <c r="I451" s="12" t="n"/>
      <c r="J451" s="6">
        <f>IF(OR(B451="",I451=""),"",IFERROR(VLOOKUP(I451,설정!$C$5:$E$16,2,0),""))</f>
        <v/>
      </c>
      <c r="K451" s="13" t="n"/>
      <c r="L451" s="15" t="n"/>
      <c r="M451" s="13" t="n"/>
      <c r="N451" s="12" t="n"/>
      <c r="O451" s="14" t="n"/>
      <c r="P451" s="13" t="n"/>
      <c r="Q451" s="14" t="n"/>
      <c r="R451" s="11">
        <f>IF(OR(B451="",D451="",S451="종결"),"",TODAY()-D451)</f>
        <v/>
      </c>
      <c r="S451" s="6">
        <f>IF(OR(B451="",I451=""),"",IFERROR(VLOOKUP(I451,설정!$C$5:$E$16,3,0),""))</f>
        <v/>
      </c>
    </row>
    <row r="452">
      <c r="A452" s="6">
        <f>IF(B452="","",ROW()-4)</f>
        <v/>
      </c>
      <c r="B452" s="12" t="n"/>
      <c r="C452" s="12" t="n"/>
      <c r="D452" s="13" t="n"/>
      <c r="E452" s="14" t="n"/>
      <c r="F452" s="12" t="n"/>
      <c r="G452" s="14" t="n"/>
      <c r="H452" s="12" t="n"/>
      <c r="I452" s="12" t="n"/>
      <c r="J452" s="6">
        <f>IF(OR(B452="",I452=""),"",IFERROR(VLOOKUP(I452,설정!$C$5:$E$16,2,0),""))</f>
        <v/>
      </c>
      <c r="K452" s="13" t="n"/>
      <c r="L452" s="15" t="n"/>
      <c r="M452" s="13" t="n"/>
      <c r="N452" s="12" t="n"/>
      <c r="O452" s="14" t="n"/>
      <c r="P452" s="13" t="n"/>
      <c r="Q452" s="14" t="n"/>
      <c r="R452" s="11">
        <f>IF(OR(B452="",D452="",S452="종결"),"",TODAY()-D452)</f>
        <v/>
      </c>
      <c r="S452" s="6">
        <f>IF(OR(B452="",I452=""),"",IFERROR(VLOOKUP(I452,설정!$C$5:$E$16,3,0),""))</f>
        <v/>
      </c>
    </row>
    <row r="453">
      <c r="A453" s="6">
        <f>IF(B453="","",ROW()-4)</f>
        <v/>
      </c>
      <c r="B453" s="12" t="n"/>
      <c r="C453" s="12" t="n"/>
      <c r="D453" s="13" t="n"/>
      <c r="E453" s="14" t="n"/>
      <c r="F453" s="12" t="n"/>
      <c r="G453" s="14" t="n"/>
      <c r="H453" s="12" t="n"/>
      <c r="I453" s="12" t="n"/>
      <c r="J453" s="6">
        <f>IF(OR(B453="",I453=""),"",IFERROR(VLOOKUP(I453,설정!$C$5:$E$16,2,0),""))</f>
        <v/>
      </c>
      <c r="K453" s="13" t="n"/>
      <c r="L453" s="15" t="n"/>
      <c r="M453" s="13" t="n"/>
      <c r="N453" s="12" t="n"/>
      <c r="O453" s="14" t="n"/>
      <c r="P453" s="13" t="n"/>
      <c r="Q453" s="14" t="n"/>
      <c r="R453" s="11">
        <f>IF(OR(B453="",D453="",S453="종결"),"",TODAY()-D453)</f>
        <v/>
      </c>
      <c r="S453" s="6">
        <f>IF(OR(B453="",I453=""),"",IFERROR(VLOOKUP(I453,설정!$C$5:$E$16,3,0),""))</f>
        <v/>
      </c>
    </row>
    <row r="454">
      <c r="A454" s="6">
        <f>IF(B454="","",ROW()-4)</f>
        <v/>
      </c>
      <c r="B454" s="12" t="n"/>
      <c r="C454" s="12" t="n"/>
      <c r="D454" s="13" t="n"/>
      <c r="E454" s="14" t="n"/>
      <c r="F454" s="12" t="n"/>
      <c r="G454" s="14" t="n"/>
      <c r="H454" s="12" t="n"/>
      <c r="I454" s="12" t="n"/>
      <c r="J454" s="6">
        <f>IF(OR(B454="",I454=""),"",IFERROR(VLOOKUP(I454,설정!$C$5:$E$16,2,0),""))</f>
        <v/>
      </c>
      <c r="K454" s="13" t="n"/>
      <c r="L454" s="15" t="n"/>
      <c r="M454" s="13" t="n"/>
      <c r="N454" s="12" t="n"/>
      <c r="O454" s="14" t="n"/>
      <c r="P454" s="13" t="n"/>
      <c r="Q454" s="14" t="n"/>
      <c r="R454" s="11">
        <f>IF(OR(B454="",D454="",S454="종결"),"",TODAY()-D454)</f>
        <v/>
      </c>
      <c r="S454" s="6">
        <f>IF(OR(B454="",I454=""),"",IFERROR(VLOOKUP(I454,설정!$C$5:$E$16,3,0),""))</f>
        <v/>
      </c>
    </row>
    <row r="455">
      <c r="A455" s="6">
        <f>IF(B455="","",ROW()-4)</f>
        <v/>
      </c>
      <c r="B455" s="12" t="n"/>
      <c r="C455" s="12" t="n"/>
      <c r="D455" s="13" t="n"/>
      <c r="E455" s="14" t="n"/>
      <c r="F455" s="12" t="n"/>
      <c r="G455" s="14" t="n"/>
      <c r="H455" s="12" t="n"/>
      <c r="I455" s="12" t="n"/>
      <c r="J455" s="6">
        <f>IF(OR(B455="",I455=""),"",IFERROR(VLOOKUP(I455,설정!$C$5:$E$16,2,0),""))</f>
        <v/>
      </c>
      <c r="K455" s="13" t="n"/>
      <c r="L455" s="15" t="n"/>
      <c r="M455" s="13" t="n"/>
      <c r="N455" s="12" t="n"/>
      <c r="O455" s="14" t="n"/>
      <c r="P455" s="13" t="n"/>
      <c r="Q455" s="14" t="n"/>
      <c r="R455" s="11">
        <f>IF(OR(B455="",D455="",S455="종결"),"",TODAY()-D455)</f>
        <v/>
      </c>
      <c r="S455" s="6">
        <f>IF(OR(B455="",I455=""),"",IFERROR(VLOOKUP(I455,설정!$C$5:$E$16,3,0),""))</f>
        <v/>
      </c>
    </row>
    <row r="456">
      <c r="A456" s="6">
        <f>IF(B456="","",ROW()-4)</f>
        <v/>
      </c>
      <c r="B456" s="12" t="n"/>
      <c r="C456" s="12" t="n"/>
      <c r="D456" s="13" t="n"/>
      <c r="E456" s="14" t="n"/>
      <c r="F456" s="12" t="n"/>
      <c r="G456" s="14" t="n"/>
      <c r="H456" s="12" t="n"/>
      <c r="I456" s="12" t="n"/>
      <c r="J456" s="6">
        <f>IF(OR(B456="",I456=""),"",IFERROR(VLOOKUP(I456,설정!$C$5:$E$16,2,0),""))</f>
        <v/>
      </c>
      <c r="K456" s="13" t="n"/>
      <c r="L456" s="15" t="n"/>
      <c r="M456" s="13" t="n"/>
      <c r="N456" s="12" t="n"/>
      <c r="O456" s="14" t="n"/>
      <c r="P456" s="13" t="n"/>
      <c r="Q456" s="14" t="n"/>
      <c r="R456" s="11">
        <f>IF(OR(B456="",D456="",S456="종결"),"",TODAY()-D456)</f>
        <v/>
      </c>
      <c r="S456" s="6">
        <f>IF(OR(B456="",I456=""),"",IFERROR(VLOOKUP(I456,설정!$C$5:$E$16,3,0),""))</f>
        <v/>
      </c>
    </row>
    <row r="457">
      <c r="A457" s="6">
        <f>IF(B457="","",ROW()-4)</f>
        <v/>
      </c>
      <c r="B457" s="12" t="n"/>
      <c r="C457" s="12" t="n"/>
      <c r="D457" s="13" t="n"/>
      <c r="E457" s="14" t="n"/>
      <c r="F457" s="12" t="n"/>
      <c r="G457" s="14" t="n"/>
      <c r="H457" s="12" t="n"/>
      <c r="I457" s="12" t="n"/>
      <c r="J457" s="6">
        <f>IF(OR(B457="",I457=""),"",IFERROR(VLOOKUP(I457,설정!$C$5:$E$16,2,0),""))</f>
        <v/>
      </c>
      <c r="K457" s="13" t="n"/>
      <c r="L457" s="15" t="n"/>
      <c r="M457" s="13" t="n"/>
      <c r="N457" s="12" t="n"/>
      <c r="O457" s="14" t="n"/>
      <c r="P457" s="13" t="n"/>
      <c r="Q457" s="14" t="n"/>
      <c r="R457" s="11">
        <f>IF(OR(B457="",D457="",S457="종결"),"",TODAY()-D457)</f>
        <v/>
      </c>
      <c r="S457" s="6">
        <f>IF(OR(B457="",I457=""),"",IFERROR(VLOOKUP(I457,설정!$C$5:$E$16,3,0),""))</f>
        <v/>
      </c>
    </row>
    <row r="458">
      <c r="A458" s="6">
        <f>IF(B458="","",ROW()-4)</f>
        <v/>
      </c>
      <c r="B458" s="12" t="n"/>
      <c r="C458" s="12" t="n"/>
      <c r="D458" s="13" t="n"/>
      <c r="E458" s="14" t="n"/>
      <c r="F458" s="12" t="n"/>
      <c r="G458" s="14" t="n"/>
      <c r="H458" s="12" t="n"/>
      <c r="I458" s="12" t="n"/>
      <c r="J458" s="6">
        <f>IF(OR(B458="",I458=""),"",IFERROR(VLOOKUP(I458,설정!$C$5:$E$16,2,0),""))</f>
        <v/>
      </c>
      <c r="K458" s="13" t="n"/>
      <c r="L458" s="15" t="n"/>
      <c r="M458" s="13" t="n"/>
      <c r="N458" s="12" t="n"/>
      <c r="O458" s="14" t="n"/>
      <c r="P458" s="13" t="n"/>
      <c r="Q458" s="14" t="n"/>
      <c r="R458" s="11">
        <f>IF(OR(B458="",D458="",S458="종결"),"",TODAY()-D458)</f>
        <v/>
      </c>
      <c r="S458" s="6">
        <f>IF(OR(B458="",I458=""),"",IFERROR(VLOOKUP(I458,설정!$C$5:$E$16,3,0),""))</f>
        <v/>
      </c>
    </row>
    <row r="459">
      <c r="A459" s="6">
        <f>IF(B459="","",ROW()-4)</f>
        <v/>
      </c>
      <c r="B459" s="12" t="n"/>
      <c r="C459" s="12" t="n"/>
      <c r="D459" s="13" t="n"/>
      <c r="E459" s="14" t="n"/>
      <c r="F459" s="12" t="n"/>
      <c r="G459" s="14" t="n"/>
      <c r="H459" s="12" t="n"/>
      <c r="I459" s="12" t="n"/>
      <c r="J459" s="6">
        <f>IF(OR(B459="",I459=""),"",IFERROR(VLOOKUP(I459,설정!$C$5:$E$16,2,0),""))</f>
        <v/>
      </c>
      <c r="K459" s="13" t="n"/>
      <c r="L459" s="15" t="n"/>
      <c r="M459" s="13" t="n"/>
      <c r="N459" s="12" t="n"/>
      <c r="O459" s="14" t="n"/>
      <c r="P459" s="13" t="n"/>
      <c r="Q459" s="14" t="n"/>
      <c r="R459" s="11">
        <f>IF(OR(B459="",D459="",S459="종결"),"",TODAY()-D459)</f>
        <v/>
      </c>
      <c r="S459" s="6">
        <f>IF(OR(B459="",I459=""),"",IFERROR(VLOOKUP(I459,설정!$C$5:$E$16,3,0),""))</f>
        <v/>
      </c>
    </row>
    <row r="460">
      <c r="A460" s="6">
        <f>IF(B460="","",ROW()-4)</f>
        <v/>
      </c>
      <c r="B460" s="12" t="n"/>
      <c r="C460" s="12" t="n"/>
      <c r="D460" s="13" t="n"/>
      <c r="E460" s="14" t="n"/>
      <c r="F460" s="12" t="n"/>
      <c r="G460" s="14" t="n"/>
      <c r="H460" s="12" t="n"/>
      <c r="I460" s="12" t="n"/>
      <c r="J460" s="6">
        <f>IF(OR(B460="",I460=""),"",IFERROR(VLOOKUP(I460,설정!$C$5:$E$16,2,0),""))</f>
        <v/>
      </c>
      <c r="K460" s="13" t="n"/>
      <c r="L460" s="15" t="n"/>
      <c r="M460" s="13" t="n"/>
      <c r="N460" s="12" t="n"/>
      <c r="O460" s="14" t="n"/>
      <c r="P460" s="13" t="n"/>
      <c r="Q460" s="14" t="n"/>
      <c r="R460" s="11">
        <f>IF(OR(B460="",D460="",S460="종결"),"",TODAY()-D460)</f>
        <v/>
      </c>
      <c r="S460" s="6">
        <f>IF(OR(B460="",I460=""),"",IFERROR(VLOOKUP(I460,설정!$C$5:$E$16,3,0),""))</f>
        <v/>
      </c>
    </row>
    <row r="461">
      <c r="A461" s="6">
        <f>IF(B461="","",ROW()-4)</f>
        <v/>
      </c>
      <c r="B461" s="12" t="n"/>
      <c r="C461" s="12" t="n"/>
      <c r="D461" s="13" t="n"/>
      <c r="E461" s="14" t="n"/>
      <c r="F461" s="12" t="n"/>
      <c r="G461" s="14" t="n"/>
      <c r="H461" s="12" t="n"/>
      <c r="I461" s="12" t="n"/>
      <c r="J461" s="6">
        <f>IF(OR(B461="",I461=""),"",IFERROR(VLOOKUP(I461,설정!$C$5:$E$16,2,0),""))</f>
        <v/>
      </c>
      <c r="K461" s="13" t="n"/>
      <c r="L461" s="15" t="n"/>
      <c r="M461" s="13" t="n"/>
      <c r="N461" s="12" t="n"/>
      <c r="O461" s="14" t="n"/>
      <c r="P461" s="13" t="n"/>
      <c r="Q461" s="14" t="n"/>
      <c r="R461" s="11">
        <f>IF(OR(B461="",D461="",S461="종결"),"",TODAY()-D461)</f>
        <v/>
      </c>
      <c r="S461" s="6">
        <f>IF(OR(B461="",I461=""),"",IFERROR(VLOOKUP(I461,설정!$C$5:$E$16,3,0),""))</f>
        <v/>
      </c>
    </row>
    <row r="462">
      <c r="A462" s="6">
        <f>IF(B462="","",ROW()-4)</f>
        <v/>
      </c>
      <c r="B462" s="12" t="n"/>
      <c r="C462" s="12" t="n"/>
      <c r="D462" s="13" t="n"/>
      <c r="E462" s="14" t="n"/>
      <c r="F462" s="12" t="n"/>
      <c r="G462" s="14" t="n"/>
      <c r="H462" s="12" t="n"/>
      <c r="I462" s="12" t="n"/>
      <c r="J462" s="6">
        <f>IF(OR(B462="",I462=""),"",IFERROR(VLOOKUP(I462,설정!$C$5:$E$16,2,0),""))</f>
        <v/>
      </c>
      <c r="K462" s="13" t="n"/>
      <c r="L462" s="15" t="n"/>
      <c r="M462" s="13" t="n"/>
      <c r="N462" s="12" t="n"/>
      <c r="O462" s="14" t="n"/>
      <c r="P462" s="13" t="n"/>
      <c r="Q462" s="14" t="n"/>
      <c r="R462" s="11">
        <f>IF(OR(B462="",D462="",S462="종결"),"",TODAY()-D462)</f>
        <v/>
      </c>
      <c r="S462" s="6">
        <f>IF(OR(B462="",I462=""),"",IFERROR(VLOOKUP(I462,설정!$C$5:$E$16,3,0),""))</f>
        <v/>
      </c>
    </row>
    <row r="463">
      <c r="A463" s="6">
        <f>IF(B463="","",ROW()-4)</f>
        <v/>
      </c>
      <c r="B463" s="12" t="n"/>
      <c r="C463" s="12" t="n"/>
      <c r="D463" s="13" t="n"/>
      <c r="E463" s="14" t="n"/>
      <c r="F463" s="12" t="n"/>
      <c r="G463" s="14" t="n"/>
      <c r="H463" s="12" t="n"/>
      <c r="I463" s="12" t="n"/>
      <c r="J463" s="6">
        <f>IF(OR(B463="",I463=""),"",IFERROR(VLOOKUP(I463,설정!$C$5:$E$16,2,0),""))</f>
        <v/>
      </c>
      <c r="K463" s="13" t="n"/>
      <c r="L463" s="15" t="n"/>
      <c r="M463" s="13" t="n"/>
      <c r="N463" s="12" t="n"/>
      <c r="O463" s="14" t="n"/>
      <c r="P463" s="13" t="n"/>
      <c r="Q463" s="14" t="n"/>
      <c r="R463" s="11">
        <f>IF(OR(B463="",D463="",S463="종결"),"",TODAY()-D463)</f>
        <v/>
      </c>
      <c r="S463" s="6">
        <f>IF(OR(B463="",I463=""),"",IFERROR(VLOOKUP(I463,설정!$C$5:$E$16,3,0),""))</f>
        <v/>
      </c>
    </row>
    <row r="464">
      <c r="A464" s="6">
        <f>IF(B464="","",ROW()-4)</f>
        <v/>
      </c>
      <c r="B464" s="12" t="n"/>
      <c r="C464" s="12" t="n"/>
      <c r="D464" s="13" t="n"/>
      <c r="E464" s="14" t="n"/>
      <c r="F464" s="12" t="n"/>
      <c r="G464" s="14" t="n"/>
      <c r="H464" s="12" t="n"/>
      <c r="I464" s="12" t="n"/>
      <c r="J464" s="6">
        <f>IF(OR(B464="",I464=""),"",IFERROR(VLOOKUP(I464,설정!$C$5:$E$16,2,0),""))</f>
        <v/>
      </c>
      <c r="K464" s="13" t="n"/>
      <c r="L464" s="15" t="n"/>
      <c r="M464" s="13" t="n"/>
      <c r="N464" s="12" t="n"/>
      <c r="O464" s="14" t="n"/>
      <c r="P464" s="13" t="n"/>
      <c r="Q464" s="14" t="n"/>
      <c r="R464" s="11">
        <f>IF(OR(B464="",D464="",S464="종결"),"",TODAY()-D464)</f>
        <v/>
      </c>
      <c r="S464" s="6">
        <f>IF(OR(B464="",I464=""),"",IFERROR(VLOOKUP(I464,설정!$C$5:$E$16,3,0),""))</f>
        <v/>
      </c>
    </row>
    <row r="465">
      <c r="A465" s="6">
        <f>IF(B465="","",ROW()-4)</f>
        <v/>
      </c>
      <c r="B465" s="12" t="n"/>
      <c r="C465" s="12" t="n"/>
      <c r="D465" s="13" t="n"/>
      <c r="E465" s="14" t="n"/>
      <c r="F465" s="12" t="n"/>
      <c r="G465" s="14" t="n"/>
      <c r="H465" s="12" t="n"/>
      <c r="I465" s="12" t="n"/>
      <c r="J465" s="6">
        <f>IF(OR(B465="",I465=""),"",IFERROR(VLOOKUP(I465,설정!$C$5:$E$16,2,0),""))</f>
        <v/>
      </c>
      <c r="K465" s="13" t="n"/>
      <c r="L465" s="15" t="n"/>
      <c r="M465" s="13" t="n"/>
      <c r="N465" s="12" t="n"/>
      <c r="O465" s="14" t="n"/>
      <c r="P465" s="13" t="n"/>
      <c r="Q465" s="14" t="n"/>
      <c r="R465" s="11">
        <f>IF(OR(B465="",D465="",S465="종결"),"",TODAY()-D465)</f>
        <v/>
      </c>
      <c r="S465" s="6">
        <f>IF(OR(B465="",I465=""),"",IFERROR(VLOOKUP(I465,설정!$C$5:$E$16,3,0),""))</f>
        <v/>
      </c>
    </row>
    <row r="466">
      <c r="A466" s="6">
        <f>IF(B466="","",ROW()-4)</f>
        <v/>
      </c>
      <c r="B466" s="12" t="n"/>
      <c r="C466" s="12" t="n"/>
      <c r="D466" s="13" t="n"/>
      <c r="E466" s="14" t="n"/>
      <c r="F466" s="12" t="n"/>
      <c r="G466" s="14" t="n"/>
      <c r="H466" s="12" t="n"/>
      <c r="I466" s="12" t="n"/>
      <c r="J466" s="6">
        <f>IF(OR(B466="",I466=""),"",IFERROR(VLOOKUP(I466,설정!$C$5:$E$16,2,0),""))</f>
        <v/>
      </c>
      <c r="K466" s="13" t="n"/>
      <c r="L466" s="15" t="n"/>
      <c r="M466" s="13" t="n"/>
      <c r="N466" s="12" t="n"/>
      <c r="O466" s="14" t="n"/>
      <c r="P466" s="13" t="n"/>
      <c r="Q466" s="14" t="n"/>
      <c r="R466" s="11">
        <f>IF(OR(B466="",D466="",S466="종결"),"",TODAY()-D466)</f>
        <v/>
      </c>
      <c r="S466" s="6">
        <f>IF(OR(B466="",I466=""),"",IFERROR(VLOOKUP(I466,설정!$C$5:$E$16,3,0),""))</f>
        <v/>
      </c>
    </row>
    <row r="467">
      <c r="A467" s="6">
        <f>IF(B467="","",ROW()-4)</f>
        <v/>
      </c>
      <c r="B467" s="12" t="n"/>
      <c r="C467" s="12" t="n"/>
      <c r="D467" s="13" t="n"/>
      <c r="E467" s="14" t="n"/>
      <c r="F467" s="12" t="n"/>
      <c r="G467" s="14" t="n"/>
      <c r="H467" s="12" t="n"/>
      <c r="I467" s="12" t="n"/>
      <c r="J467" s="6">
        <f>IF(OR(B467="",I467=""),"",IFERROR(VLOOKUP(I467,설정!$C$5:$E$16,2,0),""))</f>
        <v/>
      </c>
      <c r="K467" s="13" t="n"/>
      <c r="L467" s="15" t="n"/>
      <c r="M467" s="13" t="n"/>
      <c r="N467" s="12" t="n"/>
      <c r="O467" s="14" t="n"/>
      <c r="P467" s="13" t="n"/>
      <c r="Q467" s="14" t="n"/>
      <c r="R467" s="11">
        <f>IF(OR(B467="",D467="",S467="종결"),"",TODAY()-D467)</f>
        <v/>
      </c>
      <c r="S467" s="6">
        <f>IF(OR(B467="",I467=""),"",IFERROR(VLOOKUP(I467,설정!$C$5:$E$16,3,0),""))</f>
        <v/>
      </c>
    </row>
    <row r="468">
      <c r="A468" s="6">
        <f>IF(B468="","",ROW()-4)</f>
        <v/>
      </c>
      <c r="B468" s="12" t="n"/>
      <c r="C468" s="12" t="n"/>
      <c r="D468" s="13" t="n"/>
      <c r="E468" s="14" t="n"/>
      <c r="F468" s="12" t="n"/>
      <c r="G468" s="14" t="n"/>
      <c r="H468" s="12" t="n"/>
      <c r="I468" s="12" t="n"/>
      <c r="J468" s="6">
        <f>IF(OR(B468="",I468=""),"",IFERROR(VLOOKUP(I468,설정!$C$5:$E$16,2,0),""))</f>
        <v/>
      </c>
      <c r="K468" s="13" t="n"/>
      <c r="L468" s="15" t="n"/>
      <c r="M468" s="13" t="n"/>
      <c r="N468" s="12" t="n"/>
      <c r="O468" s="14" t="n"/>
      <c r="P468" s="13" t="n"/>
      <c r="Q468" s="14" t="n"/>
      <c r="R468" s="11">
        <f>IF(OR(B468="",D468="",S468="종결"),"",TODAY()-D468)</f>
        <v/>
      </c>
      <c r="S468" s="6">
        <f>IF(OR(B468="",I468=""),"",IFERROR(VLOOKUP(I468,설정!$C$5:$E$16,3,0),""))</f>
        <v/>
      </c>
    </row>
    <row r="469">
      <c r="A469" s="6">
        <f>IF(B469="","",ROW()-4)</f>
        <v/>
      </c>
      <c r="B469" s="12" t="n"/>
      <c r="C469" s="12" t="n"/>
      <c r="D469" s="13" t="n"/>
      <c r="E469" s="14" t="n"/>
      <c r="F469" s="12" t="n"/>
      <c r="G469" s="14" t="n"/>
      <c r="H469" s="12" t="n"/>
      <c r="I469" s="12" t="n"/>
      <c r="J469" s="6">
        <f>IF(OR(B469="",I469=""),"",IFERROR(VLOOKUP(I469,설정!$C$5:$E$16,2,0),""))</f>
        <v/>
      </c>
      <c r="K469" s="13" t="n"/>
      <c r="L469" s="15" t="n"/>
      <c r="M469" s="13" t="n"/>
      <c r="N469" s="12" t="n"/>
      <c r="O469" s="14" t="n"/>
      <c r="P469" s="13" t="n"/>
      <c r="Q469" s="14" t="n"/>
      <c r="R469" s="11">
        <f>IF(OR(B469="",D469="",S469="종결"),"",TODAY()-D469)</f>
        <v/>
      </c>
      <c r="S469" s="6">
        <f>IF(OR(B469="",I469=""),"",IFERROR(VLOOKUP(I469,설정!$C$5:$E$16,3,0),""))</f>
        <v/>
      </c>
    </row>
    <row r="470">
      <c r="A470" s="6">
        <f>IF(B470="","",ROW()-4)</f>
        <v/>
      </c>
      <c r="B470" s="12" t="n"/>
      <c r="C470" s="12" t="n"/>
      <c r="D470" s="13" t="n"/>
      <c r="E470" s="14" t="n"/>
      <c r="F470" s="12" t="n"/>
      <c r="G470" s="14" t="n"/>
      <c r="H470" s="12" t="n"/>
      <c r="I470" s="12" t="n"/>
      <c r="J470" s="6">
        <f>IF(OR(B470="",I470=""),"",IFERROR(VLOOKUP(I470,설정!$C$5:$E$16,2,0),""))</f>
        <v/>
      </c>
      <c r="K470" s="13" t="n"/>
      <c r="L470" s="15" t="n"/>
      <c r="M470" s="13" t="n"/>
      <c r="N470" s="12" t="n"/>
      <c r="O470" s="14" t="n"/>
      <c r="P470" s="13" t="n"/>
      <c r="Q470" s="14" t="n"/>
      <c r="R470" s="11">
        <f>IF(OR(B470="",D470="",S470="종결"),"",TODAY()-D470)</f>
        <v/>
      </c>
      <c r="S470" s="6">
        <f>IF(OR(B470="",I470=""),"",IFERROR(VLOOKUP(I470,설정!$C$5:$E$16,3,0),""))</f>
        <v/>
      </c>
    </row>
    <row r="471">
      <c r="A471" s="6">
        <f>IF(B471="","",ROW()-4)</f>
        <v/>
      </c>
      <c r="B471" s="12" t="n"/>
      <c r="C471" s="12" t="n"/>
      <c r="D471" s="13" t="n"/>
      <c r="E471" s="14" t="n"/>
      <c r="F471" s="12" t="n"/>
      <c r="G471" s="14" t="n"/>
      <c r="H471" s="12" t="n"/>
      <c r="I471" s="12" t="n"/>
      <c r="J471" s="6">
        <f>IF(OR(B471="",I471=""),"",IFERROR(VLOOKUP(I471,설정!$C$5:$E$16,2,0),""))</f>
        <v/>
      </c>
      <c r="K471" s="13" t="n"/>
      <c r="L471" s="15" t="n"/>
      <c r="M471" s="13" t="n"/>
      <c r="N471" s="12" t="n"/>
      <c r="O471" s="14" t="n"/>
      <c r="P471" s="13" t="n"/>
      <c r="Q471" s="14" t="n"/>
      <c r="R471" s="11">
        <f>IF(OR(B471="",D471="",S471="종결"),"",TODAY()-D471)</f>
        <v/>
      </c>
      <c r="S471" s="6">
        <f>IF(OR(B471="",I471=""),"",IFERROR(VLOOKUP(I471,설정!$C$5:$E$16,3,0),""))</f>
        <v/>
      </c>
    </row>
    <row r="472">
      <c r="A472" s="6">
        <f>IF(B472="","",ROW()-4)</f>
        <v/>
      </c>
      <c r="B472" s="12" t="n"/>
      <c r="C472" s="12" t="n"/>
      <c r="D472" s="13" t="n"/>
      <c r="E472" s="14" t="n"/>
      <c r="F472" s="12" t="n"/>
      <c r="G472" s="14" t="n"/>
      <c r="H472" s="12" t="n"/>
      <c r="I472" s="12" t="n"/>
      <c r="J472" s="6">
        <f>IF(OR(B472="",I472=""),"",IFERROR(VLOOKUP(I472,설정!$C$5:$E$16,2,0),""))</f>
        <v/>
      </c>
      <c r="K472" s="13" t="n"/>
      <c r="L472" s="15" t="n"/>
      <c r="M472" s="13" t="n"/>
      <c r="N472" s="12" t="n"/>
      <c r="O472" s="14" t="n"/>
      <c r="P472" s="13" t="n"/>
      <c r="Q472" s="14" t="n"/>
      <c r="R472" s="11">
        <f>IF(OR(B472="",D472="",S472="종결"),"",TODAY()-D472)</f>
        <v/>
      </c>
      <c r="S472" s="6">
        <f>IF(OR(B472="",I472=""),"",IFERROR(VLOOKUP(I472,설정!$C$5:$E$16,3,0),""))</f>
        <v/>
      </c>
    </row>
    <row r="473">
      <c r="A473" s="6">
        <f>IF(B473="","",ROW()-4)</f>
        <v/>
      </c>
      <c r="B473" s="12" t="n"/>
      <c r="C473" s="12" t="n"/>
      <c r="D473" s="13" t="n"/>
      <c r="E473" s="14" t="n"/>
      <c r="F473" s="12" t="n"/>
      <c r="G473" s="14" t="n"/>
      <c r="H473" s="12" t="n"/>
      <c r="I473" s="12" t="n"/>
      <c r="J473" s="6">
        <f>IF(OR(B473="",I473=""),"",IFERROR(VLOOKUP(I473,설정!$C$5:$E$16,2,0),""))</f>
        <v/>
      </c>
      <c r="K473" s="13" t="n"/>
      <c r="L473" s="15" t="n"/>
      <c r="M473" s="13" t="n"/>
      <c r="N473" s="12" t="n"/>
      <c r="O473" s="14" t="n"/>
      <c r="P473" s="13" t="n"/>
      <c r="Q473" s="14" t="n"/>
      <c r="R473" s="11">
        <f>IF(OR(B473="",D473="",S473="종결"),"",TODAY()-D473)</f>
        <v/>
      </c>
      <c r="S473" s="6">
        <f>IF(OR(B473="",I473=""),"",IFERROR(VLOOKUP(I473,설정!$C$5:$E$16,3,0),""))</f>
        <v/>
      </c>
    </row>
    <row r="474">
      <c r="A474" s="6">
        <f>IF(B474="","",ROW()-4)</f>
        <v/>
      </c>
      <c r="B474" s="12" t="n"/>
      <c r="C474" s="12" t="n"/>
      <c r="D474" s="13" t="n"/>
      <c r="E474" s="14" t="n"/>
      <c r="F474" s="12" t="n"/>
      <c r="G474" s="14" t="n"/>
      <c r="H474" s="12" t="n"/>
      <c r="I474" s="12" t="n"/>
      <c r="J474" s="6">
        <f>IF(OR(B474="",I474=""),"",IFERROR(VLOOKUP(I474,설정!$C$5:$E$16,2,0),""))</f>
        <v/>
      </c>
      <c r="K474" s="13" t="n"/>
      <c r="L474" s="15" t="n"/>
      <c r="M474" s="13" t="n"/>
      <c r="N474" s="12" t="n"/>
      <c r="O474" s="14" t="n"/>
      <c r="P474" s="13" t="n"/>
      <c r="Q474" s="14" t="n"/>
      <c r="R474" s="11">
        <f>IF(OR(B474="",D474="",S474="종결"),"",TODAY()-D474)</f>
        <v/>
      </c>
      <c r="S474" s="6">
        <f>IF(OR(B474="",I474=""),"",IFERROR(VLOOKUP(I474,설정!$C$5:$E$16,3,0),""))</f>
        <v/>
      </c>
    </row>
    <row r="475">
      <c r="A475" s="6">
        <f>IF(B475="","",ROW()-4)</f>
        <v/>
      </c>
      <c r="B475" s="12" t="n"/>
      <c r="C475" s="12" t="n"/>
      <c r="D475" s="13" t="n"/>
      <c r="E475" s="14" t="n"/>
      <c r="F475" s="12" t="n"/>
      <c r="G475" s="14" t="n"/>
      <c r="H475" s="12" t="n"/>
      <c r="I475" s="12" t="n"/>
      <c r="J475" s="6">
        <f>IF(OR(B475="",I475=""),"",IFERROR(VLOOKUP(I475,설정!$C$5:$E$16,2,0),""))</f>
        <v/>
      </c>
      <c r="K475" s="13" t="n"/>
      <c r="L475" s="15" t="n"/>
      <c r="M475" s="13" t="n"/>
      <c r="N475" s="12" t="n"/>
      <c r="O475" s="14" t="n"/>
      <c r="P475" s="13" t="n"/>
      <c r="Q475" s="14" t="n"/>
      <c r="R475" s="11">
        <f>IF(OR(B475="",D475="",S475="종결"),"",TODAY()-D475)</f>
        <v/>
      </c>
      <c r="S475" s="6">
        <f>IF(OR(B475="",I475=""),"",IFERROR(VLOOKUP(I475,설정!$C$5:$E$16,3,0),""))</f>
        <v/>
      </c>
    </row>
    <row r="476">
      <c r="A476" s="6">
        <f>IF(B476="","",ROW()-4)</f>
        <v/>
      </c>
      <c r="B476" s="12" t="n"/>
      <c r="C476" s="12" t="n"/>
      <c r="D476" s="13" t="n"/>
      <c r="E476" s="14" t="n"/>
      <c r="F476" s="12" t="n"/>
      <c r="G476" s="14" t="n"/>
      <c r="H476" s="12" t="n"/>
      <c r="I476" s="12" t="n"/>
      <c r="J476" s="6">
        <f>IF(OR(B476="",I476=""),"",IFERROR(VLOOKUP(I476,설정!$C$5:$E$16,2,0),""))</f>
        <v/>
      </c>
      <c r="K476" s="13" t="n"/>
      <c r="L476" s="15" t="n"/>
      <c r="M476" s="13" t="n"/>
      <c r="N476" s="12" t="n"/>
      <c r="O476" s="14" t="n"/>
      <c r="P476" s="13" t="n"/>
      <c r="Q476" s="14" t="n"/>
      <c r="R476" s="11">
        <f>IF(OR(B476="",D476="",S476="종결"),"",TODAY()-D476)</f>
        <v/>
      </c>
      <c r="S476" s="6">
        <f>IF(OR(B476="",I476=""),"",IFERROR(VLOOKUP(I476,설정!$C$5:$E$16,3,0),""))</f>
        <v/>
      </c>
    </row>
    <row r="477">
      <c r="A477" s="6">
        <f>IF(B477="","",ROW()-4)</f>
        <v/>
      </c>
      <c r="B477" s="12" t="n"/>
      <c r="C477" s="12" t="n"/>
      <c r="D477" s="13" t="n"/>
      <c r="E477" s="14" t="n"/>
      <c r="F477" s="12" t="n"/>
      <c r="G477" s="14" t="n"/>
      <c r="H477" s="12" t="n"/>
      <c r="I477" s="12" t="n"/>
      <c r="J477" s="6">
        <f>IF(OR(B477="",I477=""),"",IFERROR(VLOOKUP(I477,설정!$C$5:$E$16,2,0),""))</f>
        <v/>
      </c>
      <c r="K477" s="13" t="n"/>
      <c r="L477" s="15" t="n"/>
      <c r="M477" s="13" t="n"/>
      <c r="N477" s="12" t="n"/>
      <c r="O477" s="14" t="n"/>
      <c r="P477" s="13" t="n"/>
      <c r="Q477" s="14" t="n"/>
      <c r="R477" s="11">
        <f>IF(OR(B477="",D477="",S477="종결"),"",TODAY()-D477)</f>
        <v/>
      </c>
      <c r="S477" s="6">
        <f>IF(OR(B477="",I477=""),"",IFERROR(VLOOKUP(I477,설정!$C$5:$E$16,3,0),""))</f>
        <v/>
      </c>
    </row>
    <row r="478">
      <c r="A478" s="6">
        <f>IF(B478="","",ROW()-4)</f>
        <v/>
      </c>
      <c r="B478" s="12" t="n"/>
      <c r="C478" s="12" t="n"/>
      <c r="D478" s="13" t="n"/>
      <c r="E478" s="14" t="n"/>
      <c r="F478" s="12" t="n"/>
      <c r="G478" s="14" t="n"/>
      <c r="H478" s="12" t="n"/>
      <c r="I478" s="12" t="n"/>
      <c r="J478" s="6">
        <f>IF(OR(B478="",I478=""),"",IFERROR(VLOOKUP(I478,설정!$C$5:$E$16,2,0),""))</f>
        <v/>
      </c>
      <c r="K478" s="13" t="n"/>
      <c r="L478" s="15" t="n"/>
      <c r="M478" s="13" t="n"/>
      <c r="N478" s="12" t="n"/>
      <c r="O478" s="14" t="n"/>
      <c r="P478" s="13" t="n"/>
      <c r="Q478" s="14" t="n"/>
      <c r="R478" s="11">
        <f>IF(OR(B478="",D478="",S478="종결"),"",TODAY()-D478)</f>
        <v/>
      </c>
      <c r="S478" s="6">
        <f>IF(OR(B478="",I478=""),"",IFERROR(VLOOKUP(I478,설정!$C$5:$E$16,3,0),""))</f>
        <v/>
      </c>
    </row>
    <row r="479">
      <c r="A479" s="6">
        <f>IF(B479="","",ROW()-4)</f>
        <v/>
      </c>
      <c r="B479" s="12" t="n"/>
      <c r="C479" s="12" t="n"/>
      <c r="D479" s="13" t="n"/>
      <c r="E479" s="14" t="n"/>
      <c r="F479" s="12" t="n"/>
      <c r="G479" s="14" t="n"/>
      <c r="H479" s="12" t="n"/>
      <c r="I479" s="12" t="n"/>
      <c r="J479" s="6">
        <f>IF(OR(B479="",I479=""),"",IFERROR(VLOOKUP(I479,설정!$C$5:$E$16,2,0),""))</f>
        <v/>
      </c>
      <c r="K479" s="13" t="n"/>
      <c r="L479" s="15" t="n"/>
      <c r="M479" s="13" t="n"/>
      <c r="N479" s="12" t="n"/>
      <c r="O479" s="14" t="n"/>
      <c r="P479" s="13" t="n"/>
      <c r="Q479" s="14" t="n"/>
      <c r="R479" s="11">
        <f>IF(OR(B479="",D479="",S479="종결"),"",TODAY()-D479)</f>
        <v/>
      </c>
      <c r="S479" s="6">
        <f>IF(OR(B479="",I479=""),"",IFERROR(VLOOKUP(I479,설정!$C$5:$E$16,3,0),""))</f>
        <v/>
      </c>
    </row>
    <row r="480">
      <c r="A480" s="6">
        <f>IF(B480="","",ROW()-4)</f>
        <v/>
      </c>
      <c r="B480" s="12" t="n"/>
      <c r="C480" s="12" t="n"/>
      <c r="D480" s="13" t="n"/>
      <c r="E480" s="14" t="n"/>
      <c r="F480" s="12" t="n"/>
      <c r="G480" s="14" t="n"/>
      <c r="H480" s="12" t="n"/>
      <c r="I480" s="12" t="n"/>
      <c r="J480" s="6">
        <f>IF(OR(B480="",I480=""),"",IFERROR(VLOOKUP(I480,설정!$C$5:$E$16,2,0),""))</f>
        <v/>
      </c>
      <c r="K480" s="13" t="n"/>
      <c r="L480" s="15" t="n"/>
      <c r="M480" s="13" t="n"/>
      <c r="N480" s="12" t="n"/>
      <c r="O480" s="14" t="n"/>
      <c r="P480" s="13" t="n"/>
      <c r="Q480" s="14" t="n"/>
      <c r="R480" s="11">
        <f>IF(OR(B480="",D480="",S480="종결"),"",TODAY()-D480)</f>
        <v/>
      </c>
      <c r="S480" s="6">
        <f>IF(OR(B480="",I480=""),"",IFERROR(VLOOKUP(I480,설정!$C$5:$E$16,3,0),""))</f>
        <v/>
      </c>
    </row>
    <row r="481">
      <c r="A481" s="6">
        <f>IF(B481="","",ROW()-4)</f>
        <v/>
      </c>
      <c r="B481" s="12" t="n"/>
      <c r="C481" s="12" t="n"/>
      <c r="D481" s="13" t="n"/>
      <c r="E481" s="14" t="n"/>
      <c r="F481" s="12" t="n"/>
      <c r="G481" s="14" t="n"/>
      <c r="H481" s="12" t="n"/>
      <c r="I481" s="12" t="n"/>
      <c r="J481" s="6">
        <f>IF(OR(B481="",I481=""),"",IFERROR(VLOOKUP(I481,설정!$C$5:$E$16,2,0),""))</f>
        <v/>
      </c>
      <c r="K481" s="13" t="n"/>
      <c r="L481" s="15" t="n"/>
      <c r="M481" s="13" t="n"/>
      <c r="N481" s="12" t="n"/>
      <c r="O481" s="14" t="n"/>
      <c r="P481" s="13" t="n"/>
      <c r="Q481" s="14" t="n"/>
      <c r="R481" s="11">
        <f>IF(OR(B481="",D481="",S481="종결"),"",TODAY()-D481)</f>
        <v/>
      </c>
      <c r="S481" s="6">
        <f>IF(OR(B481="",I481=""),"",IFERROR(VLOOKUP(I481,설정!$C$5:$E$16,3,0),""))</f>
        <v/>
      </c>
    </row>
    <row r="482">
      <c r="A482" s="6">
        <f>IF(B482="","",ROW()-4)</f>
        <v/>
      </c>
      <c r="B482" s="12" t="n"/>
      <c r="C482" s="12" t="n"/>
      <c r="D482" s="13" t="n"/>
      <c r="E482" s="14" t="n"/>
      <c r="F482" s="12" t="n"/>
      <c r="G482" s="14" t="n"/>
      <c r="H482" s="12" t="n"/>
      <c r="I482" s="12" t="n"/>
      <c r="J482" s="6">
        <f>IF(OR(B482="",I482=""),"",IFERROR(VLOOKUP(I482,설정!$C$5:$E$16,2,0),""))</f>
        <v/>
      </c>
      <c r="K482" s="13" t="n"/>
      <c r="L482" s="15" t="n"/>
      <c r="M482" s="13" t="n"/>
      <c r="N482" s="12" t="n"/>
      <c r="O482" s="14" t="n"/>
      <c r="P482" s="13" t="n"/>
      <c r="Q482" s="14" t="n"/>
      <c r="R482" s="11">
        <f>IF(OR(B482="",D482="",S482="종결"),"",TODAY()-D482)</f>
        <v/>
      </c>
      <c r="S482" s="6">
        <f>IF(OR(B482="",I482=""),"",IFERROR(VLOOKUP(I482,설정!$C$5:$E$16,3,0),""))</f>
        <v/>
      </c>
    </row>
    <row r="483">
      <c r="A483" s="6">
        <f>IF(B483="","",ROW()-4)</f>
        <v/>
      </c>
      <c r="B483" s="12" t="n"/>
      <c r="C483" s="12" t="n"/>
      <c r="D483" s="13" t="n"/>
      <c r="E483" s="14" t="n"/>
      <c r="F483" s="12" t="n"/>
      <c r="G483" s="14" t="n"/>
      <c r="H483" s="12" t="n"/>
      <c r="I483" s="12" t="n"/>
      <c r="J483" s="6">
        <f>IF(OR(B483="",I483=""),"",IFERROR(VLOOKUP(I483,설정!$C$5:$E$16,2,0),""))</f>
        <v/>
      </c>
      <c r="K483" s="13" t="n"/>
      <c r="L483" s="15" t="n"/>
      <c r="M483" s="13" t="n"/>
      <c r="N483" s="12" t="n"/>
      <c r="O483" s="14" t="n"/>
      <c r="P483" s="13" t="n"/>
      <c r="Q483" s="14" t="n"/>
      <c r="R483" s="11">
        <f>IF(OR(B483="",D483="",S483="종결"),"",TODAY()-D483)</f>
        <v/>
      </c>
      <c r="S483" s="6">
        <f>IF(OR(B483="",I483=""),"",IFERROR(VLOOKUP(I483,설정!$C$5:$E$16,3,0),""))</f>
        <v/>
      </c>
    </row>
    <row r="484">
      <c r="A484" s="6">
        <f>IF(B484="","",ROW()-4)</f>
        <v/>
      </c>
      <c r="B484" s="12" t="n"/>
      <c r="C484" s="12" t="n"/>
      <c r="D484" s="13" t="n"/>
      <c r="E484" s="14" t="n"/>
      <c r="F484" s="12" t="n"/>
      <c r="G484" s="14" t="n"/>
      <c r="H484" s="12" t="n"/>
      <c r="I484" s="12" t="n"/>
      <c r="J484" s="6">
        <f>IF(OR(B484="",I484=""),"",IFERROR(VLOOKUP(I484,설정!$C$5:$E$16,2,0),""))</f>
        <v/>
      </c>
      <c r="K484" s="13" t="n"/>
      <c r="L484" s="15" t="n"/>
      <c r="M484" s="13" t="n"/>
      <c r="N484" s="12" t="n"/>
      <c r="O484" s="14" t="n"/>
      <c r="P484" s="13" t="n"/>
      <c r="Q484" s="14" t="n"/>
      <c r="R484" s="11">
        <f>IF(OR(B484="",D484="",S484="종결"),"",TODAY()-D484)</f>
        <v/>
      </c>
      <c r="S484" s="6">
        <f>IF(OR(B484="",I484=""),"",IFERROR(VLOOKUP(I484,설정!$C$5:$E$16,3,0),""))</f>
        <v/>
      </c>
    </row>
    <row r="485">
      <c r="A485" s="6">
        <f>IF(B485="","",ROW()-4)</f>
        <v/>
      </c>
      <c r="B485" s="12" t="n"/>
      <c r="C485" s="12" t="n"/>
      <c r="D485" s="13" t="n"/>
      <c r="E485" s="14" t="n"/>
      <c r="F485" s="12" t="n"/>
      <c r="G485" s="14" t="n"/>
      <c r="H485" s="12" t="n"/>
      <c r="I485" s="12" t="n"/>
      <c r="J485" s="6">
        <f>IF(OR(B485="",I485=""),"",IFERROR(VLOOKUP(I485,설정!$C$5:$E$16,2,0),""))</f>
        <v/>
      </c>
      <c r="K485" s="13" t="n"/>
      <c r="L485" s="15" t="n"/>
      <c r="M485" s="13" t="n"/>
      <c r="N485" s="12" t="n"/>
      <c r="O485" s="14" t="n"/>
      <c r="P485" s="13" t="n"/>
      <c r="Q485" s="14" t="n"/>
      <c r="R485" s="11">
        <f>IF(OR(B485="",D485="",S485="종결"),"",TODAY()-D485)</f>
        <v/>
      </c>
      <c r="S485" s="6">
        <f>IF(OR(B485="",I485=""),"",IFERROR(VLOOKUP(I485,설정!$C$5:$E$16,3,0),""))</f>
        <v/>
      </c>
    </row>
    <row r="486">
      <c r="A486" s="6">
        <f>IF(B486="","",ROW()-4)</f>
        <v/>
      </c>
      <c r="B486" s="12" t="n"/>
      <c r="C486" s="12" t="n"/>
      <c r="D486" s="13" t="n"/>
      <c r="E486" s="14" t="n"/>
      <c r="F486" s="12" t="n"/>
      <c r="G486" s="14" t="n"/>
      <c r="H486" s="12" t="n"/>
      <c r="I486" s="12" t="n"/>
      <c r="J486" s="6">
        <f>IF(OR(B486="",I486=""),"",IFERROR(VLOOKUP(I486,설정!$C$5:$E$16,2,0),""))</f>
        <v/>
      </c>
      <c r="K486" s="13" t="n"/>
      <c r="L486" s="15" t="n"/>
      <c r="M486" s="13" t="n"/>
      <c r="N486" s="12" t="n"/>
      <c r="O486" s="14" t="n"/>
      <c r="P486" s="13" t="n"/>
      <c r="Q486" s="14" t="n"/>
      <c r="R486" s="11">
        <f>IF(OR(B486="",D486="",S486="종결"),"",TODAY()-D486)</f>
        <v/>
      </c>
      <c r="S486" s="6">
        <f>IF(OR(B486="",I486=""),"",IFERROR(VLOOKUP(I486,설정!$C$5:$E$16,3,0),""))</f>
        <v/>
      </c>
    </row>
    <row r="487">
      <c r="A487" s="6">
        <f>IF(B487="","",ROW()-4)</f>
        <v/>
      </c>
      <c r="B487" s="12" t="n"/>
      <c r="C487" s="12" t="n"/>
      <c r="D487" s="13" t="n"/>
      <c r="E487" s="14" t="n"/>
      <c r="F487" s="12" t="n"/>
      <c r="G487" s="14" t="n"/>
      <c r="H487" s="12" t="n"/>
      <c r="I487" s="12" t="n"/>
      <c r="J487" s="6">
        <f>IF(OR(B487="",I487=""),"",IFERROR(VLOOKUP(I487,설정!$C$5:$E$16,2,0),""))</f>
        <v/>
      </c>
      <c r="K487" s="13" t="n"/>
      <c r="L487" s="15" t="n"/>
      <c r="M487" s="13" t="n"/>
      <c r="N487" s="12" t="n"/>
      <c r="O487" s="14" t="n"/>
      <c r="P487" s="13" t="n"/>
      <c r="Q487" s="14" t="n"/>
      <c r="R487" s="11">
        <f>IF(OR(B487="",D487="",S487="종결"),"",TODAY()-D487)</f>
        <v/>
      </c>
      <c r="S487" s="6">
        <f>IF(OR(B487="",I487=""),"",IFERROR(VLOOKUP(I487,설정!$C$5:$E$16,3,0),""))</f>
        <v/>
      </c>
    </row>
    <row r="488">
      <c r="A488" s="6">
        <f>IF(B488="","",ROW()-4)</f>
        <v/>
      </c>
      <c r="B488" s="12" t="n"/>
      <c r="C488" s="12" t="n"/>
      <c r="D488" s="13" t="n"/>
      <c r="E488" s="14" t="n"/>
      <c r="F488" s="12" t="n"/>
      <c r="G488" s="14" t="n"/>
      <c r="H488" s="12" t="n"/>
      <c r="I488" s="12" t="n"/>
      <c r="J488" s="6">
        <f>IF(OR(B488="",I488=""),"",IFERROR(VLOOKUP(I488,설정!$C$5:$E$16,2,0),""))</f>
        <v/>
      </c>
      <c r="K488" s="13" t="n"/>
      <c r="L488" s="15" t="n"/>
      <c r="M488" s="13" t="n"/>
      <c r="N488" s="12" t="n"/>
      <c r="O488" s="14" t="n"/>
      <c r="P488" s="13" t="n"/>
      <c r="Q488" s="14" t="n"/>
      <c r="R488" s="11">
        <f>IF(OR(B488="",D488="",S488="종결"),"",TODAY()-D488)</f>
        <v/>
      </c>
      <c r="S488" s="6">
        <f>IF(OR(B488="",I488=""),"",IFERROR(VLOOKUP(I488,설정!$C$5:$E$16,3,0),""))</f>
        <v/>
      </c>
    </row>
    <row r="489">
      <c r="A489" s="6">
        <f>IF(B489="","",ROW()-4)</f>
        <v/>
      </c>
      <c r="B489" s="12" t="n"/>
      <c r="C489" s="12" t="n"/>
      <c r="D489" s="13" t="n"/>
      <c r="E489" s="14" t="n"/>
      <c r="F489" s="12" t="n"/>
      <c r="G489" s="14" t="n"/>
      <c r="H489" s="12" t="n"/>
      <c r="I489" s="12" t="n"/>
      <c r="J489" s="6">
        <f>IF(OR(B489="",I489=""),"",IFERROR(VLOOKUP(I489,설정!$C$5:$E$16,2,0),""))</f>
        <v/>
      </c>
      <c r="K489" s="13" t="n"/>
      <c r="L489" s="15" t="n"/>
      <c r="M489" s="13" t="n"/>
      <c r="N489" s="12" t="n"/>
      <c r="O489" s="14" t="n"/>
      <c r="P489" s="13" t="n"/>
      <c r="Q489" s="14" t="n"/>
      <c r="R489" s="11">
        <f>IF(OR(B489="",D489="",S489="종결"),"",TODAY()-D489)</f>
        <v/>
      </c>
      <c r="S489" s="6">
        <f>IF(OR(B489="",I489=""),"",IFERROR(VLOOKUP(I489,설정!$C$5:$E$16,3,0),""))</f>
        <v/>
      </c>
    </row>
    <row r="490">
      <c r="A490" s="6">
        <f>IF(B490="","",ROW()-4)</f>
        <v/>
      </c>
      <c r="B490" s="12" t="n"/>
      <c r="C490" s="12" t="n"/>
      <c r="D490" s="13" t="n"/>
      <c r="E490" s="14" t="n"/>
      <c r="F490" s="12" t="n"/>
      <c r="G490" s="14" t="n"/>
      <c r="H490" s="12" t="n"/>
      <c r="I490" s="12" t="n"/>
      <c r="J490" s="6">
        <f>IF(OR(B490="",I490=""),"",IFERROR(VLOOKUP(I490,설정!$C$5:$E$16,2,0),""))</f>
        <v/>
      </c>
      <c r="K490" s="13" t="n"/>
      <c r="L490" s="15" t="n"/>
      <c r="M490" s="13" t="n"/>
      <c r="N490" s="12" t="n"/>
      <c r="O490" s="14" t="n"/>
      <c r="P490" s="13" t="n"/>
      <c r="Q490" s="14" t="n"/>
      <c r="R490" s="11">
        <f>IF(OR(B490="",D490="",S490="종결"),"",TODAY()-D490)</f>
        <v/>
      </c>
      <c r="S490" s="6">
        <f>IF(OR(B490="",I490=""),"",IFERROR(VLOOKUP(I490,설정!$C$5:$E$16,3,0),""))</f>
        <v/>
      </c>
    </row>
    <row r="491">
      <c r="A491" s="6">
        <f>IF(B491="","",ROW()-4)</f>
        <v/>
      </c>
      <c r="B491" s="12" t="n"/>
      <c r="C491" s="12" t="n"/>
      <c r="D491" s="13" t="n"/>
      <c r="E491" s="14" t="n"/>
      <c r="F491" s="12" t="n"/>
      <c r="G491" s="14" t="n"/>
      <c r="H491" s="12" t="n"/>
      <c r="I491" s="12" t="n"/>
      <c r="J491" s="6">
        <f>IF(OR(B491="",I491=""),"",IFERROR(VLOOKUP(I491,설정!$C$5:$E$16,2,0),""))</f>
        <v/>
      </c>
      <c r="K491" s="13" t="n"/>
      <c r="L491" s="15" t="n"/>
      <c r="M491" s="13" t="n"/>
      <c r="N491" s="12" t="n"/>
      <c r="O491" s="14" t="n"/>
      <c r="P491" s="13" t="n"/>
      <c r="Q491" s="14" t="n"/>
      <c r="R491" s="11">
        <f>IF(OR(B491="",D491="",S491="종결"),"",TODAY()-D491)</f>
        <v/>
      </c>
      <c r="S491" s="6">
        <f>IF(OR(B491="",I491=""),"",IFERROR(VLOOKUP(I491,설정!$C$5:$E$16,3,0),""))</f>
        <v/>
      </c>
    </row>
    <row r="492">
      <c r="A492" s="6">
        <f>IF(B492="","",ROW()-4)</f>
        <v/>
      </c>
      <c r="B492" s="12" t="n"/>
      <c r="C492" s="12" t="n"/>
      <c r="D492" s="13" t="n"/>
      <c r="E492" s="14" t="n"/>
      <c r="F492" s="12" t="n"/>
      <c r="G492" s="14" t="n"/>
      <c r="H492" s="12" t="n"/>
      <c r="I492" s="12" t="n"/>
      <c r="J492" s="6">
        <f>IF(OR(B492="",I492=""),"",IFERROR(VLOOKUP(I492,설정!$C$5:$E$16,2,0),""))</f>
        <v/>
      </c>
      <c r="K492" s="13" t="n"/>
      <c r="L492" s="15" t="n"/>
      <c r="M492" s="13" t="n"/>
      <c r="N492" s="12" t="n"/>
      <c r="O492" s="14" t="n"/>
      <c r="P492" s="13" t="n"/>
      <c r="Q492" s="14" t="n"/>
      <c r="R492" s="11">
        <f>IF(OR(B492="",D492="",S492="종결"),"",TODAY()-D492)</f>
        <v/>
      </c>
      <c r="S492" s="6">
        <f>IF(OR(B492="",I492=""),"",IFERROR(VLOOKUP(I492,설정!$C$5:$E$16,3,0),""))</f>
        <v/>
      </c>
    </row>
    <row r="493">
      <c r="A493" s="6">
        <f>IF(B493="","",ROW()-4)</f>
        <v/>
      </c>
      <c r="B493" s="12" t="n"/>
      <c r="C493" s="12" t="n"/>
      <c r="D493" s="13" t="n"/>
      <c r="E493" s="14" t="n"/>
      <c r="F493" s="12" t="n"/>
      <c r="G493" s="14" t="n"/>
      <c r="H493" s="12" t="n"/>
      <c r="I493" s="12" t="n"/>
      <c r="J493" s="6">
        <f>IF(OR(B493="",I493=""),"",IFERROR(VLOOKUP(I493,설정!$C$5:$E$16,2,0),""))</f>
        <v/>
      </c>
      <c r="K493" s="13" t="n"/>
      <c r="L493" s="15" t="n"/>
      <c r="M493" s="13" t="n"/>
      <c r="N493" s="12" t="n"/>
      <c r="O493" s="14" t="n"/>
      <c r="P493" s="13" t="n"/>
      <c r="Q493" s="14" t="n"/>
      <c r="R493" s="11">
        <f>IF(OR(B493="",D493="",S493="종결"),"",TODAY()-D493)</f>
        <v/>
      </c>
      <c r="S493" s="6">
        <f>IF(OR(B493="",I493=""),"",IFERROR(VLOOKUP(I493,설정!$C$5:$E$16,3,0),""))</f>
        <v/>
      </c>
    </row>
    <row r="494">
      <c r="A494" s="6">
        <f>IF(B494="","",ROW()-4)</f>
        <v/>
      </c>
      <c r="B494" s="12" t="n"/>
      <c r="C494" s="12" t="n"/>
      <c r="D494" s="13" t="n"/>
      <c r="E494" s="14" t="n"/>
      <c r="F494" s="12" t="n"/>
      <c r="G494" s="14" t="n"/>
      <c r="H494" s="12" t="n"/>
      <c r="I494" s="12" t="n"/>
      <c r="J494" s="6">
        <f>IF(OR(B494="",I494=""),"",IFERROR(VLOOKUP(I494,설정!$C$5:$E$16,2,0),""))</f>
        <v/>
      </c>
      <c r="K494" s="13" t="n"/>
      <c r="L494" s="15" t="n"/>
      <c r="M494" s="13" t="n"/>
      <c r="N494" s="12" t="n"/>
      <c r="O494" s="14" t="n"/>
      <c r="P494" s="13" t="n"/>
      <c r="Q494" s="14" t="n"/>
      <c r="R494" s="11">
        <f>IF(OR(B494="",D494="",S494="종결"),"",TODAY()-D494)</f>
        <v/>
      </c>
      <c r="S494" s="6">
        <f>IF(OR(B494="",I494=""),"",IFERROR(VLOOKUP(I494,설정!$C$5:$E$16,3,0),""))</f>
        <v/>
      </c>
    </row>
    <row r="495">
      <c r="A495" s="6">
        <f>IF(B495="","",ROW()-4)</f>
        <v/>
      </c>
      <c r="B495" s="12" t="n"/>
      <c r="C495" s="12" t="n"/>
      <c r="D495" s="13" t="n"/>
      <c r="E495" s="14" t="n"/>
      <c r="F495" s="12" t="n"/>
      <c r="G495" s="14" t="n"/>
      <c r="H495" s="12" t="n"/>
      <c r="I495" s="12" t="n"/>
      <c r="J495" s="6">
        <f>IF(OR(B495="",I495=""),"",IFERROR(VLOOKUP(I495,설정!$C$5:$E$16,2,0),""))</f>
        <v/>
      </c>
      <c r="K495" s="13" t="n"/>
      <c r="L495" s="15" t="n"/>
      <c r="M495" s="13" t="n"/>
      <c r="N495" s="12" t="n"/>
      <c r="O495" s="14" t="n"/>
      <c r="P495" s="13" t="n"/>
      <c r="Q495" s="14" t="n"/>
      <c r="R495" s="11">
        <f>IF(OR(B495="",D495="",S495="종결"),"",TODAY()-D495)</f>
        <v/>
      </c>
      <c r="S495" s="6">
        <f>IF(OR(B495="",I495=""),"",IFERROR(VLOOKUP(I495,설정!$C$5:$E$16,3,0),""))</f>
        <v/>
      </c>
    </row>
    <row r="496">
      <c r="A496" s="6">
        <f>IF(B496="","",ROW()-4)</f>
        <v/>
      </c>
      <c r="B496" s="12" t="n"/>
      <c r="C496" s="12" t="n"/>
      <c r="D496" s="13" t="n"/>
      <c r="E496" s="14" t="n"/>
      <c r="F496" s="12" t="n"/>
      <c r="G496" s="14" t="n"/>
      <c r="H496" s="12" t="n"/>
      <c r="I496" s="12" t="n"/>
      <c r="J496" s="6">
        <f>IF(OR(B496="",I496=""),"",IFERROR(VLOOKUP(I496,설정!$C$5:$E$16,2,0),""))</f>
        <v/>
      </c>
      <c r="K496" s="13" t="n"/>
      <c r="L496" s="15" t="n"/>
      <c r="M496" s="13" t="n"/>
      <c r="N496" s="12" t="n"/>
      <c r="O496" s="14" t="n"/>
      <c r="P496" s="13" t="n"/>
      <c r="Q496" s="14" t="n"/>
      <c r="R496" s="11">
        <f>IF(OR(B496="",D496="",S496="종결"),"",TODAY()-D496)</f>
        <v/>
      </c>
      <c r="S496" s="6">
        <f>IF(OR(B496="",I496=""),"",IFERROR(VLOOKUP(I496,설정!$C$5:$E$16,3,0),""))</f>
        <v/>
      </c>
    </row>
    <row r="497">
      <c r="A497" s="6">
        <f>IF(B497="","",ROW()-4)</f>
        <v/>
      </c>
      <c r="B497" s="12" t="n"/>
      <c r="C497" s="12" t="n"/>
      <c r="D497" s="13" t="n"/>
      <c r="E497" s="14" t="n"/>
      <c r="F497" s="12" t="n"/>
      <c r="G497" s="14" t="n"/>
      <c r="H497" s="12" t="n"/>
      <c r="I497" s="12" t="n"/>
      <c r="J497" s="6">
        <f>IF(OR(B497="",I497=""),"",IFERROR(VLOOKUP(I497,설정!$C$5:$E$16,2,0),""))</f>
        <v/>
      </c>
      <c r="K497" s="13" t="n"/>
      <c r="L497" s="15" t="n"/>
      <c r="M497" s="13" t="n"/>
      <c r="N497" s="12" t="n"/>
      <c r="O497" s="14" t="n"/>
      <c r="P497" s="13" t="n"/>
      <c r="Q497" s="14" t="n"/>
      <c r="R497" s="11">
        <f>IF(OR(B497="",D497="",S497="종결"),"",TODAY()-D497)</f>
        <v/>
      </c>
      <c r="S497" s="6">
        <f>IF(OR(B497="",I497=""),"",IFERROR(VLOOKUP(I497,설정!$C$5:$E$16,3,0),""))</f>
        <v/>
      </c>
    </row>
    <row r="498">
      <c r="A498" s="6">
        <f>IF(B498="","",ROW()-4)</f>
        <v/>
      </c>
      <c r="B498" s="12" t="n"/>
      <c r="C498" s="12" t="n"/>
      <c r="D498" s="13" t="n"/>
      <c r="E498" s="14" t="n"/>
      <c r="F498" s="12" t="n"/>
      <c r="G498" s="14" t="n"/>
      <c r="H498" s="12" t="n"/>
      <c r="I498" s="12" t="n"/>
      <c r="J498" s="6">
        <f>IF(OR(B498="",I498=""),"",IFERROR(VLOOKUP(I498,설정!$C$5:$E$16,2,0),""))</f>
        <v/>
      </c>
      <c r="K498" s="13" t="n"/>
      <c r="L498" s="15" t="n"/>
      <c r="M498" s="13" t="n"/>
      <c r="N498" s="12" t="n"/>
      <c r="O498" s="14" t="n"/>
      <c r="P498" s="13" t="n"/>
      <c r="Q498" s="14" t="n"/>
      <c r="R498" s="11">
        <f>IF(OR(B498="",D498="",S498="종결"),"",TODAY()-D498)</f>
        <v/>
      </c>
      <c r="S498" s="6">
        <f>IF(OR(B498="",I498=""),"",IFERROR(VLOOKUP(I498,설정!$C$5:$E$16,3,0),""))</f>
        <v/>
      </c>
    </row>
    <row r="499">
      <c r="A499" s="6">
        <f>IF(B499="","",ROW()-4)</f>
        <v/>
      </c>
      <c r="B499" s="12" t="n"/>
      <c r="C499" s="12" t="n"/>
      <c r="D499" s="13" t="n"/>
      <c r="E499" s="14" t="n"/>
      <c r="F499" s="12" t="n"/>
      <c r="G499" s="14" t="n"/>
      <c r="H499" s="12" t="n"/>
      <c r="I499" s="12" t="n"/>
      <c r="J499" s="6">
        <f>IF(OR(B499="",I499=""),"",IFERROR(VLOOKUP(I499,설정!$C$5:$E$16,2,0),""))</f>
        <v/>
      </c>
      <c r="K499" s="13" t="n"/>
      <c r="L499" s="15" t="n"/>
      <c r="M499" s="13" t="n"/>
      <c r="N499" s="12" t="n"/>
      <c r="O499" s="14" t="n"/>
      <c r="P499" s="13" t="n"/>
      <c r="Q499" s="14" t="n"/>
      <c r="R499" s="11">
        <f>IF(OR(B499="",D499="",S499="종결"),"",TODAY()-D499)</f>
        <v/>
      </c>
      <c r="S499" s="6">
        <f>IF(OR(B499="",I499=""),"",IFERROR(VLOOKUP(I499,설정!$C$5:$E$16,3,0),""))</f>
        <v/>
      </c>
    </row>
    <row r="500">
      <c r="A500" s="6">
        <f>IF(B500="","",ROW()-4)</f>
        <v/>
      </c>
      <c r="B500" s="12" t="n"/>
      <c r="C500" s="12" t="n"/>
      <c r="D500" s="13" t="n"/>
      <c r="E500" s="14" t="n"/>
      <c r="F500" s="12" t="n"/>
      <c r="G500" s="14" t="n"/>
      <c r="H500" s="12" t="n"/>
      <c r="I500" s="12" t="n"/>
      <c r="J500" s="6">
        <f>IF(OR(B500="",I500=""),"",IFERROR(VLOOKUP(I500,설정!$C$5:$E$16,2,0),""))</f>
        <v/>
      </c>
      <c r="K500" s="13" t="n"/>
      <c r="L500" s="15" t="n"/>
      <c r="M500" s="13" t="n"/>
      <c r="N500" s="12" t="n"/>
      <c r="O500" s="14" t="n"/>
      <c r="P500" s="13" t="n"/>
      <c r="Q500" s="14" t="n"/>
      <c r="R500" s="11">
        <f>IF(OR(B500="",D500="",S500="종결"),"",TODAY()-D500)</f>
        <v/>
      </c>
      <c r="S500" s="6">
        <f>IF(OR(B500="",I500=""),"",IFERROR(VLOOKUP(I500,설정!$C$5:$E$16,3,0),""))</f>
        <v/>
      </c>
    </row>
    <row r="501">
      <c r="A501" s="6">
        <f>IF(B501="","",ROW()-4)</f>
        <v/>
      </c>
      <c r="B501" s="12" t="n"/>
      <c r="C501" s="12" t="n"/>
      <c r="D501" s="13" t="n"/>
      <c r="E501" s="14" t="n"/>
      <c r="F501" s="12" t="n"/>
      <c r="G501" s="14" t="n"/>
      <c r="H501" s="12" t="n"/>
      <c r="I501" s="12" t="n"/>
      <c r="J501" s="6">
        <f>IF(OR(B501="",I501=""),"",IFERROR(VLOOKUP(I501,설정!$C$5:$E$16,2,0),""))</f>
        <v/>
      </c>
      <c r="K501" s="13" t="n"/>
      <c r="L501" s="15" t="n"/>
      <c r="M501" s="13" t="n"/>
      <c r="N501" s="12" t="n"/>
      <c r="O501" s="14" t="n"/>
      <c r="P501" s="13" t="n"/>
      <c r="Q501" s="14" t="n"/>
      <c r="R501" s="11">
        <f>IF(OR(B501="",D501="",S501="종결"),"",TODAY()-D501)</f>
        <v/>
      </c>
      <c r="S501" s="6">
        <f>IF(OR(B501="",I501=""),"",IFERROR(VLOOKUP(I501,설정!$C$5:$E$16,3,0),""))</f>
        <v/>
      </c>
    </row>
    <row r="502">
      <c r="A502" s="6">
        <f>IF(B502="","",ROW()-4)</f>
        <v/>
      </c>
      <c r="B502" s="12" t="n"/>
      <c r="C502" s="12" t="n"/>
      <c r="D502" s="13" t="n"/>
      <c r="E502" s="14" t="n"/>
      <c r="F502" s="12" t="n"/>
      <c r="G502" s="14" t="n"/>
      <c r="H502" s="12" t="n"/>
      <c r="I502" s="12" t="n"/>
      <c r="J502" s="6">
        <f>IF(OR(B502="",I502=""),"",IFERROR(VLOOKUP(I502,설정!$C$5:$E$16,2,0),""))</f>
        <v/>
      </c>
      <c r="K502" s="13" t="n"/>
      <c r="L502" s="15" t="n"/>
      <c r="M502" s="13" t="n"/>
      <c r="N502" s="12" t="n"/>
      <c r="O502" s="14" t="n"/>
      <c r="P502" s="13" t="n"/>
      <c r="Q502" s="14" t="n"/>
      <c r="R502" s="11">
        <f>IF(OR(B502="",D502="",S502="종결"),"",TODAY()-D502)</f>
        <v/>
      </c>
      <c r="S502" s="6">
        <f>IF(OR(B502="",I502=""),"",IFERROR(VLOOKUP(I502,설정!$C$5:$E$16,3,0),""))</f>
        <v/>
      </c>
    </row>
    <row r="503">
      <c r="A503" s="6">
        <f>IF(B503="","",ROW()-4)</f>
        <v/>
      </c>
      <c r="B503" s="12" t="n"/>
      <c r="C503" s="12" t="n"/>
      <c r="D503" s="13" t="n"/>
      <c r="E503" s="14" t="n"/>
      <c r="F503" s="12" t="n"/>
      <c r="G503" s="14" t="n"/>
      <c r="H503" s="12" t="n"/>
      <c r="I503" s="12" t="n"/>
      <c r="J503" s="6">
        <f>IF(OR(B503="",I503=""),"",IFERROR(VLOOKUP(I503,설정!$C$5:$E$16,2,0),""))</f>
        <v/>
      </c>
      <c r="K503" s="13" t="n"/>
      <c r="L503" s="15" t="n"/>
      <c r="M503" s="13" t="n"/>
      <c r="N503" s="12" t="n"/>
      <c r="O503" s="14" t="n"/>
      <c r="P503" s="13" t="n"/>
      <c r="Q503" s="14" t="n"/>
      <c r="R503" s="11">
        <f>IF(OR(B503="",D503="",S503="종결"),"",TODAY()-D503)</f>
        <v/>
      </c>
      <c r="S503" s="6">
        <f>IF(OR(B503="",I503=""),"",IFERROR(VLOOKUP(I503,설정!$C$5:$E$16,3,0),""))</f>
        <v/>
      </c>
    </row>
    <row r="504">
      <c r="A504" s="6">
        <f>IF(B504="","",ROW()-4)</f>
        <v/>
      </c>
      <c r="B504" s="12" t="n"/>
      <c r="C504" s="12" t="n"/>
      <c r="D504" s="13" t="n"/>
      <c r="E504" s="14" t="n"/>
      <c r="F504" s="12" t="n"/>
      <c r="G504" s="14" t="n"/>
      <c r="H504" s="12" t="n"/>
      <c r="I504" s="12" t="n"/>
      <c r="J504" s="6">
        <f>IF(OR(B504="",I504=""),"",IFERROR(VLOOKUP(I504,설정!$C$5:$E$16,2,0),""))</f>
        <v/>
      </c>
      <c r="K504" s="13" t="n"/>
      <c r="L504" s="15" t="n"/>
      <c r="M504" s="13" t="n"/>
      <c r="N504" s="12" t="n"/>
      <c r="O504" s="14" t="n"/>
      <c r="P504" s="13" t="n"/>
      <c r="Q504" s="14" t="n"/>
      <c r="R504" s="11">
        <f>IF(OR(B504="",D504="",S504="종결"),"",TODAY()-D504)</f>
        <v/>
      </c>
      <c r="S504" s="6">
        <f>IF(OR(B504="",I504=""),"",IFERROR(VLOOKUP(I504,설정!$C$5:$E$16,3,0),""))</f>
        <v/>
      </c>
    </row>
  </sheetData>
  <autoFilter ref="A4:R504"/>
  <conditionalFormatting sqref="A5:S504">
    <cfRule type="expression" priority="1" dxfId="0">
      <formula>$S5="종결"</formula>
    </cfRule>
  </conditionalFormatting>
  <conditionalFormatting sqref="I5:I504">
    <cfRule type="cellIs" priority="2" operator="equal" dxfId="1">
      <formula>"접수"</formula>
    </cfRule>
    <cfRule type="cellIs" priority="3" operator="equal" dxfId="2">
      <formula>"검토중"</formula>
    </cfRule>
    <cfRule type="cellIs" priority="4" operator="equal" dxfId="3">
      <formula>"견적작성중"</formula>
    </cfRule>
    <cfRule type="cellIs" priority="5" operator="equal" dxfId="4">
      <formula>"견적발송"</formula>
    </cfRule>
    <cfRule type="cellIs" priority="6" operator="equal" dxfId="5">
      <formula>"협상/수정"</formula>
    </cfRule>
    <cfRule type="cellIs" priority="7" operator="equal" dxfId="6">
      <formula>"보류"</formula>
    </cfRule>
    <cfRule type="cellIs" priority="8" operator="equal" dxfId="7">
      <formula>"수주확정"</formula>
    </cfRule>
    <cfRule type="cellIs" priority="9" operator="equal" dxfId="8">
      <formula>"실주/취소"</formula>
    </cfRule>
  </conditionalFormatting>
  <conditionalFormatting sqref="J5:J504">
    <cfRule type="cellIs" priority="10" operator="equal" dxfId="9">
      <formula>"미발송"</formula>
    </cfRule>
    <cfRule type="cellIs" priority="11" operator="equal" dxfId="10">
      <formula>"발송"</formula>
    </cfRule>
  </conditionalFormatting>
  <conditionalFormatting sqref="M5:M504">
    <cfRule type="expression" priority="12" dxfId="11">
      <formula>AND($M5&lt;&gt;"",$M5&lt;TODAY(),$J5="미발송",$S5="진행중")</formula>
    </cfRule>
  </conditionalFormatting>
  <conditionalFormatting sqref="H5:H504">
    <cfRule type="cellIs" priority="13" operator="equal" dxfId="9">
      <formula>"긴급"</formula>
    </cfRule>
  </conditionalFormatting>
  <dataValidations count="5">
    <dataValidation sqref="B5:B504" showDropDown="0" showInputMessage="0" showErrorMessage="0" allowBlank="1" errorTitle="입력 확인" error="목록에서 선택하세요 (목록은 '설정' 시트에서 추가)" type="list">
      <formula1>=설정!$A$5:$A$24</formula1>
    </dataValidation>
    <dataValidation sqref="F5:F504" showDropDown="0" showInputMessage="0" showErrorMessage="0" allowBlank="1" errorTitle="입력 확인" error="목록에서 선택하세요 (목록은 '설정' 시트에서 추가)" type="list">
      <formula1>=설정!$G$5:$G$14</formula1>
    </dataValidation>
    <dataValidation sqref="H5:H504" showDropDown="0" showInputMessage="0" showErrorMessage="0" allowBlank="1" errorTitle="입력 확인" error="목록에서 선택하세요 (목록은 '설정' 시트에서 추가)" type="list">
      <formula1>=설정!$I$5:$I$7</formula1>
    </dataValidation>
    <dataValidation sqref="I5:I504" showDropDown="0" showInputMessage="0" showErrorMessage="0" allowBlank="1" errorTitle="입력 확인" error="목록에서 선택하세요 (목록은 '설정' 시트에서 추가)" type="list">
      <formula1>=설정!$C$5:$C$16</formula1>
    </dataValidation>
    <dataValidation sqref="D5:D504 K5:K504 M5:M504 P5:P504" showDropDown="0" showInputMessage="0" showErrorMessage="0" allowBlank="1" error="날짜 형식으로 입력하세요 (예: 2026-10-26)" type="date" operator="greaterThan">
      <formula1>36526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10" customWidth="1" min="4" max="4"/>
    <col width="10" customWidth="1" min="5" max="5"/>
    <col width="10" customWidth="1" min="6" max="6"/>
    <col width="9" customWidth="1" min="7" max="7"/>
    <col width="9" customWidth="1" min="8" max="8"/>
    <col width="14" customWidth="1" min="9" max="9"/>
    <col width="14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선박별 견적 현황 요약</t>
        </is>
      </c>
    </row>
    <row r="2">
      <c r="A2" s="2">
        <f>"기준일: "&amp;TEXT(TODAY(),"yyyy-mm-dd")&amp;"  ·  모든 숫자는 견적목록에서 자동 집계 (입력 불필요)"</f>
        <v/>
      </c>
    </row>
    <row r="4" ht="34" customHeight="1">
      <c r="A4" s="5" t="inlineStr">
        <is>
          <t>선박</t>
        </is>
      </c>
      <c r="B4" s="5" t="inlineStr">
        <is>
          <t>전체</t>
        </is>
      </c>
      <c r="C4" s="5" t="inlineStr">
        <is>
          <t>진행중</t>
        </is>
      </c>
      <c r="D4" s="5" t="inlineStr">
        <is>
          <t>미발송
(진행중)</t>
        </is>
      </c>
      <c r="E4" s="5" t="inlineStr">
        <is>
          <t>발송
(회신대기)</t>
        </is>
      </c>
      <c r="F4" s="5" t="inlineStr">
        <is>
          <t>기한초과
미발송</t>
        </is>
      </c>
      <c r="G4" s="5" t="inlineStr">
        <is>
          <t>수주확정</t>
        </is>
      </c>
      <c r="H4" s="5" t="inlineStr">
        <is>
          <t>실주/취소</t>
        </is>
      </c>
      <c r="I4" s="5" t="inlineStr">
        <is>
          <t>발송 견적액
(USD)</t>
        </is>
      </c>
      <c r="J4" s="5" t="inlineStr">
        <is>
          <t>수주액
(USD)</t>
        </is>
      </c>
      <c r="K4" s="5" t="inlineStr">
        <is>
          <t>수주율</t>
        </is>
      </c>
    </row>
    <row r="5">
      <c r="A5" s="16">
        <f>IF(설정!$A$5="","",설정!$A$5)</f>
        <v/>
      </c>
      <c r="B5" s="17">
        <f>IF($A5="","",COUNTIFS(견적목록!$B$5:$B$504,$A5))</f>
        <v/>
      </c>
      <c r="C5" s="17">
        <f>IF($A5="","",COUNTIFS(견적목록!$B$5:$B$504,$A5,견적목록!$S$5:$S$504,"진행중"))</f>
        <v/>
      </c>
      <c r="D5" s="18">
        <f>IF($A5="","",COUNTIFS(견적목록!$B$5:$B$504,$A5,견적목록!$S$5:$S$504,"진행중",견적목록!$J$5:$J$504,"미발송"))</f>
        <v/>
      </c>
      <c r="E5" s="17">
        <f>IF($A5="","",COUNTIFS(견적목록!$B$5:$B$504,$A5,견적목록!$S$5:$S$504,"진행중",견적목록!$J$5:$J$504,"발송"))</f>
        <v/>
      </c>
      <c r="F5" s="18">
        <f>IF($A5="","",COUNTIFS(견적목록!$B$5:$B$504,$A5,견적목록!$S$5:$S$504,"진행중",견적목록!$J$5:$J$504,"미발송",견적목록!$M$5:$M$504,"&lt;"&amp;TODAY()))</f>
        <v/>
      </c>
      <c r="G5" s="17">
        <f>IF($A5="","",COUNTIFS(견적목록!$B$5:$B$504,$A5,견적목록!$I$5:$I$504,"수주확정"))</f>
        <v/>
      </c>
      <c r="H5" s="17">
        <f>IF($A5="","",COUNTIFS(견적목록!$B$5:$B$504,$A5,견적목록!$I$5:$I$504,"실주/취소"))</f>
        <v/>
      </c>
      <c r="I5" s="15">
        <f>IF($A5="","",SUMIFS(견적목록!$L$5:$L$504,견적목록!$B$5:$B$504,$A5,견적목록!$J$5:$J$504,"발송"))</f>
        <v/>
      </c>
      <c r="J5" s="15">
        <f>IF($A5="","",SUMIFS(견적목록!$L$5:$L$504,견적목록!$B$5:$B$504,$A5,견적목록!$I$5:$I$504,"수주확정"))</f>
        <v/>
      </c>
      <c r="K5" s="19">
        <f>IF($A5="","",IF(G5+H5=0,"-",G5/(G5+H5)))</f>
        <v/>
      </c>
    </row>
    <row r="6">
      <c r="A6" s="16">
        <f>IF(설정!$A$6="","",설정!$A$6)</f>
        <v/>
      </c>
      <c r="B6" s="17">
        <f>IF($A6="","",COUNTIFS(견적목록!$B$5:$B$504,$A6))</f>
        <v/>
      </c>
      <c r="C6" s="17">
        <f>IF($A6="","",COUNTIFS(견적목록!$B$5:$B$504,$A6,견적목록!$S$5:$S$504,"진행중"))</f>
        <v/>
      </c>
      <c r="D6" s="18">
        <f>IF($A6="","",COUNTIFS(견적목록!$B$5:$B$504,$A6,견적목록!$S$5:$S$504,"진행중",견적목록!$J$5:$J$504,"미발송"))</f>
        <v/>
      </c>
      <c r="E6" s="17">
        <f>IF($A6="","",COUNTIFS(견적목록!$B$5:$B$504,$A6,견적목록!$S$5:$S$504,"진행중",견적목록!$J$5:$J$504,"발송"))</f>
        <v/>
      </c>
      <c r="F6" s="18">
        <f>IF($A6="","",COUNTIFS(견적목록!$B$5:$B$504,$A6,견적목록!$S$5:$S$504,"진행중",견적목록!$J$5:$J$504,"미발송",견적목록!$M$5:$M$504,"&lt;"&amp;TODAY()))</f>
        <v/>
      </c>
      <c r="G6" s="17">
        <f>IF($A6="","",COUNTIFS(견적목록!$B$5:$B$504,$A6,견적목록!$I$5:$I$504,"수주확정"))</f>
        <v/>
      </c>
      <c r="H6" s="17">
        <f>IF($A6="","",COUNTIFS(견적목록!$B$5:$B$504,$A6,견적목록!$I$5:$I$504,"실주/취소"))</f>
        <v/>
      </c>
      <c r="I6" s="15">
        <f>IF($A6="","",SUMIFS(견적목록!$L$5:$L$504,견적목록!$B$5:$B$504,$A6,견적목록!$J$5:$J$504,"발송"))</f>
        <v/>
      </c>
      <c r="J6" s="15">
        <f>IF($A6="","",SUMIFS(견적목록!$L$5:$L$504,견적목록!$B$5:$B$504,$A6,견적목록!$I$5:$I$504,"수주확정"))</f>
        <v/>
      </c>
      <c r="K6" s="19">
        <f>IF($A6="","",IF(G6+H6=0,"-",G6/(G6+H6)))</f>
        <v/>
      </c>
    </row>
    <row r="7">
      <c r="A7" s="16">
        <f>IF(설정!$A$7="","",설정!$A$7)</f>
        <v/>
      </c>
      <c r="B7" s="17">
        <f>IF($A7="","",COUNTIFS(견적목록!$B$5:$B$504,$A7))</f>
        <v/>
      </c>
      <c r="C7" s="17">
        <f>IF($A7="","",COUNTIFS(견적목록!$B$5:$B$504,$A7,견적목록!$S$5:$S$504,"진행중"))</f>
        <v/>
      </c>
      <c r="D7" s="18">
        <f>IF($A7="","",COUNTIFS(견적목록!$B$5:$B$504,$A7,견적목록!$S$5:$S$504,"진행중",견적목록!$J$5:$J$504,"미발송"))</f>
        <v/>
      </c>
      <c r="E7" s="17">
        <f>IF($A7="","",COUNTIFS(견적목록!$B$5:$B$504,$A7,견적목록!$S$5:$S$504,"진행중",견적목록!$J$5:$J$504,"발송"))</f>
        <v/>
      </c>
      <c r="F7" s="18">
        <f>IF($A7="","",COUNTIFS(견적목록!$B$5:$B$504,$A7,견적목록!$S$5:$S$504,"진행중",견적목록!$J$5:$J$504,"미발송",견적목록!$M$5:$M$504,"&lt;"&amp;TODAY()))</f>
        <v/>
      </c>
      <c r="G7" s="17">
        <f>IF($A7="","",COUNTIFS(견적목록!$B$5:$B$504,$A7,견적목록!$I$5:$I$504,"수주확정"))</f>
        <v/>
      </c>
      <c r="H7" s="17">
        <f>IF($A7="","",COUNTIFS(견적목록!$B$5:$B$504,$A7,견적목록!$I$5:$I$504,"실주/취소"))</f>
        <v/>
      </c>
      <c r="I7" s="15">
        <f>IF($A7="","",SUMIFS(견적목록!$L$5:$L$504,견적목록!$B$5:$B$504,$A7,견적목록!$J$5:$J$504,"발송"))</f>
        <v/>
      </c>
      <c r="J7" s="15">
        <f>IF($A7="","",SUMIFS(견적목록!$L$5:$L$504,견적목록!$B$5:$B$504,$A7,견적목록!$I$5:$I$504,"수주확정"))</f>
        <v/>
      </c>
      <c r="K7" s="19">
        <f>IF($A7="","",IF(G7+H7=0,"-",G7/(G7+H7)))</f>
        <v/>
      </c>
    </row>
    <row r="8">
      <c r="A8" s="16">
        <f>IF(설정!$A$8="","",설정!$A$8)</f>
        <v/>
      </c>
      <c r="B8" s="17">
        <f>IF($A8="","",COUNTIFS(견적목록!$B$5:$B$504,$A8))</f>
        <v/>
      </c>
      <c r="C8" s="17">
        <f>IF($A8="","",COUNTIFS(견적목록!$B$5:$B$504,$A8,견적목록!$S$5:$S$504,"진행중"))</f>
        <v/>
      </c>
      <c r="D8" s="18">
        <f>IF($A8="","",COUNTIFS(견적목록!$B$5:$B$504,$A8,견적목록!$S$5:$S$504,"진행중",견적목록!$J$5:$J$504,"미발송"))</f>
        <v/>
      </c>
      <c r="E8" s="17">
        <f>IF($A8="","",COUNTIFS(견적목록!$B$5:$B$504,$A8,견적목록!$S$5:$S$504,"진행중",견적목록!$J$5:$J$504,"발송"))</f>
        <v/>
      </c>
      <c r="F8" s="18">
        <f>IF($A8="","",COUNTIFS(견적목록!$B$5:$B$504,$A8,견적목록!$S$5:$S$504,"진행중",견적목록!$J$5:$J$504,"미발송",견적목록!$M$5:$M$504,"&lt;"&amp;TODAY()))</f>
        <v/>
      </c>
      <c r="G8" s="17">
        <f>IF($A8="","",COUNTIFS(견적목록!$B$5:$B$504,$A8,견적목록!$I$5:$I$504,"수주확정"))</f>
        <v/>
      </c>
      <c r="H8" s="17">
        <f>IF($A8="","",COUNTIFS(견적목록!$B$5:$B$504,$A8,견적목록!$I$5:$I$504,"실주/취소"))</f>
        <v/>
      </c>
      <c r="I8" s="15">
        <f>IF($A8="","",SUMIFS(견적목록!$L$5:$L$504,견적목록!$B$5:$B$504,$A8,견적목록!$J$5:$J$504,"발송"))</f>
        <v/>
      </c>
      <c r="J8" s="15">
        <f>IF($A8="","",SUMIFS(견적목록!$L$5:$L$504,견적목록!$B$5:$B$504,$A8,견적목록!$I$5:$I$504,"수주확정"))</f>
        <v/>
      </c>
      <c r="K8" s="19">
        <f>IF($A8="","",IF(G8+H8=0,"-",G8/(G8+H8)))</f>
        <v/>
      </c>
    </row>
    <row r="9">
      <c r="A9" s="16">
        <f>IF(설정!$A$9="","",설정!$A$9)</f>
        <v/>
      </c>
      <c r="B9" s="17">
        <f>IF($A9="","",COUNTIFS(견적목록!$B$5:$B$504,$A9))</f>
        <v/>
      </c>
      <c r="C9" s="17">
        <f>IF($A9="","",COUNTIFS(견적목록!$B$5:$B$504,$A9,견적목록!$S$5:$S$504,"진행중"))</f>
        <v/>
      </c>
      <c r="D9" s="18">
        <f>IF($A9="","",COUNTIFS(견적목록!$B$5:$B$504,$A9,견적목록!$S$5:$S$504,"진행중",견적목록!$J$5:$J$504,"미발송"))</f>
        <v/>
      </c>
      <c r="E9" s="17">
        <f>IF($A9="","",COUNTIFS(견적목록!$B$5:$B$504,$A9,견적목록!$S$5:$S$504,"진행중",견적목록!$J$5:$J$504,"발송"))</f>
        <v/>
      </c>
      <c r="F9" s="18">
        <f>IF($A9="","",COUNTIFS(견적목록!$B$5:$B$504,$A9,견적목록!$S$5:$S$504,"진행중",견적목록!$J$5:$J$504,"미발송",견적목록!$M$5:$M$504,"&lt;"&amp;TODAY()))</f>
        <v/>
      </c>
      <c r="G9" s="17">
        <f>IF($A9="","",COUNTIFS(견적목록!$B$5:$B$504,$A9,견적목록!$I$5:$I$504,"수주확정"))</f>
        <v/>
      </c>
      <c r="H9" s="17">
        <f>IF($A9="","",COUNTIFS(견적목록!$B$5:$B$504,$A9,견적목록!$I$5:$I$504,"실주/취소"))</f>
        <v/>
      </c>
      <c r="I9" s="15">
        <f>IF($A9="","",SUMIFS(견적목록!$L$5:$L$504,견적목록!$B$5:$B$504,$A9,견적목록!$J$5:$J$504,"발송"))</f>
        <v/>
      </c>
      <c r="J9" s="15">
        <f>IF($A9="","",SUMIFS(견적목록!$L$5:$L$504,견적목록!$B$5:$B$504,$A9,견적목록!$I$5:$I$504,"수주확정"))</f>
        <v/>
      </c>
      <c r="K9" s="19">
        <f>IF($A9="","",IF(G9+H9=0,"-",G9/(G9+H9)))</f>
        <v/>
      </c>
    </row>
    <row r="10">
      <c r="A10" s="16">
        <f>IF(설정!$A$10="","",설정!$A$10)</f>
        <v/>
      </c>
      <c r="B10" s="17">
        <f>IF($A10="","",COUNTIFS(견적목록!$B$5:$B$504,$A10))</f>
        <v/>
      </c>
      <c r="C10" s="17">
        <f>IF($A10="","",COUNTIFS(견적목록!$B$5:$B$504,$A10,견적목록!$S$5:$S$504,"진행중"))</f>
        <v/>
      </c>
      <c r="D10" s="18">
        <f>IF($A10="","",COUNTIFS(견적목록!$B$5:$B$504,$A10,견적목록!$S$5:$S$504,"진행중",견적목록!$J$5:$J$504,"미발송"))</f>
        <v/>
      </c>
      <c r="E10" s="17">
        <f>IF($A10="","",COUNTIFS(견적목록!$B$5:$B$504,$A10,견적목록!$S$5:$S$504,"진행중",견적목록!$J$5:$J$504,"발송"))</f>
        <v/>
      </c>
      <c r="F10" s="18">
        <f>IF($A10="","",COUNTIFS(견적목록!$B$5:$B$504,$A10,견적목록!$S$5:$S$504,"진행중",견적목록!$J$5:$J$504,"미발송",견적목록!$M$5:$M$504,"&lt;"&amp;TODAY()))</f>
        <v/>
      </c>
      <c r="G10" s="17">
        <f>IF($A10="","",COUNTIFS(견적목록!$B$5:$B$504,$A10,견적목록!$I$5:$I$504,"수주확정"))</f>
        <v/>
      </c>
      <c r="H10" s="17">
        <f>IF($A10="","",COUNTIFS(견적목록!$B$5:$B$504,$A10,견적목록!$I$5:$I$504,"실주/취소"))</f>
        <v/>
      </c>
      <c r="I10" s="15">
        <f>IF($A10="","",SUMIFS(견적목록!$L$5:$L$504,견적목록!$B$5:$B$504,$A10,견적목록!$J$5:$J$504,"발송"))</f>
        <v/>
      </c>
      <c r="J10" s="15">
        <f>IF($A10="","",SUMIFS(견적목록!$L$5:$L$504,견적목록!$B$5:$B$504,$A10,견적목록!$I$5:$I$504,"수주확정"))</f>
        <v/>
      </c>
      <c r="K10" s="19">
        <f>IF($A10="","",IF(G10+H10=0,"-",G10/(G10+H10)))</f>
        <v/>
      </c>
    </row>
    <row r="11">
      <c r="A11" s="16">
        <f>IF(설정!$A$11="","",설정!$A$11)</f>
        <v/>
      </c>
      <c r="B11" s="17">
        <f>IF($A11="","",COUNTIFS(견적목록!$B$5:$B$504,$A11))</f>
        <v/>
      </c>
      <c r="C11" s="17">
        <f>IF($A11="","",COUNTIFS(견적목록!$B$5:$B$504,$A11,견적목록!$S$5:$S$504,"진행중"))</f>
        <v/>
      </c>
      <c r="D11" s="18">
        <f>IF($A11="","",COUNTIFS(견적목록!$B$5:$B$504,$A11,견적목록!$S$5:$S$504,"진행중",견적목록!$J$5:$J$504,"미발송"))</f>
        <v/>
      </c>
      <c r="E11" s="17">
        <f>IF($A11="","",COUNTIFS(견적목록!$B$5:$B$504,$A11,견적목록!$S$5:$S$504,"진행중",견적목록!$J$5:$J$504,"발송"))</f>
        <v/>
      </c>
      <c r="F11" s="18">
        <f>IF($A11="","",COUNTIFS(견적목록!$B$5:$B$504,$A11,견적목록!$S$5:$S$504,"진행중",견적목록!$J$5:$J$504,"미발송",견적목록!$M$5:$M$504,"&lt;"&amp;TODAY()))</f>
        <v/>
      </c>
      <c r="G11" s="17">
        <f>IF($A11="","",COUNTIFS(견적목록!$B$5:$B$504,$A11,견적목록!$I$5:$I$504,"수주확정"))</f>
        <v/>
      </c>
      <c r="H11" s="17">
        <f>IF($A11="","",COUNTIFS(견적목록!$B$5:$B$504,$A11,견적목록!$I$5:$I$504,"실주/취소"))</f>
        <v/>
      </c>
      <c r="I11" s="15">
        <f>IF($A11="","",SUMIFS(견적목록!$L$5:$L$504,견적목록!$B$5:$B$504,$A11,견적목록!$J$5:$J$504,"발송"))</f>
        <v/>
      </c>
      <c r="J11" s="15">
        <f>IF($A11="","",SUMIFS(견적목록!$L$5:$L$504,견적목록!$B$5:$B$504,$A11,견적목록!$I$5:$I$504,"수주확정"))</f>
        <v/>
      </c>
      <c r="K11" s="19">
        <f>IF($A11="","",IF(G11+H11=0,"-",G11/(G11+H11)))</f>
        <v/>
      </c>
    </row>
    <row r="12">
      <c r="A12" s="16">
        <f>IF(설정!$A$12="","",설정!$A$12)</f>
        <v/>
      </c>
      <c r="B12" s="17">
        <f>IF($A12="","",COUNTIFS(견적목록!$B$5:$B$504,$A12))</f>
        <v/>
      </c>
      <c r="C12" s="17">
        <f>IF($A12="","",COUNTIFS(견적목록!$B$5:$B$504,$A12,견적목록!$S$5:$S$504,"진행중"))</f>
        <v/>
      </c>
      <c r="D12" s="18">
        <f>IF($A12="","",COUNTIFS(견적목록!$B$5:$B$504,$A12,견적목록!$S$5:$S$504,"진행중",견적목록!$J$5:$J$504,"미발송"))</f>
        <v/>
      </c>
      <c r="E12" s="17">
        <f>IF($A12="","",COUNTIFS(견적목록!$B$5:$B$504,$A12,견적목록!$S$5:$S$504,"진행중",견적목록!$J$5:$J$504,"발송"))</f>
        <v/>
      </c>
      <c r="F12" s="18">
        <f>IF($A12="","",COUNTIFS(견적목록!$B$5:$B$504,$A12,견적목록!$S$5:$S$504,"진행중",견적목록!$J$5:$J$504,"미발송",견적목록!$M$5:$M$504,"&lt;"&amp;TODAY()))</f>
        <v/>
      </c>
      <c r="G12" s="17">
        <f>IF($A12="","",COUNTIFS(견적목록!$B$5:$B$504,$A12,견적목록!$I$5:$I$504,"수주확정"))</f>
        <v/>
      </c>
      <c r="H12" s="17">
        <f>IF($A12="","",COUNTIFS(견적목록!$B$5:$B$504,$A12,견적목록!$I$5:$I$504,"실주/취소"))</f>
        <v/>
      </c>
      <c r="I12" s="15">
        <f>IF($A12="","",SUMIFS(견적목록!$L$5:$L$504,견적목록!$B$5:$B$504,$A12,견적목록!$J$5:$J$504,"발송"))</f>
        <v/>
      </c>
      <c r="J12" s="15">
        <f>IF($A12="","",SUMIFS(견적목록!$L$5:$L$504,견적목록!$B$5:$B$504,$A12,견적목록!$I$5:$I$504,"수주확정"))</f>
        <v/>
      </c>
      <c r="K12" s="19">
        <f>IF($A12="","",IF(G12+H12=0,"-",G12/(G12+H12)))</f>
        <v/>
      </c>
    </row>
    <row r="13">
      <c r="A13" s="16">
        <f>IF(설정!$A$13="","",설정!$A$13)</f>
        <v/>
      </c>
      <c r="B13" s="17">
        <f>IF($A13="","",COUNTIFS(견적목록!$B$5:$B$504,$A13))</f>
        <v/>
      </c>
      <c r="C13" s="17">
        <f>IF($A13="","",COUNTIFS(견적목록!$B$5:$B$504,$A13,견적목록!$S$5:$S$504,"진행중"))</f>
        <v/>
      </c>
      <c r="D13" s="18">
        <f>IF($A13="","",COUNTIFS(견적목록!$B$5:$B$504,$A13,견적목록!$S$5:$S$504,"진행중",견적목록!$J$5:$J$504,"미발송"))</f>
        <v/>
      </c>
      <c r="E13" s="17">
        <f>IF($A13="","",COUNTIFS(견적목록!$B$5:$B$504,$A13,견적목록!$S$5:$S$504,"진행중",견적목록!$J$5:$J$504,"발송"))</f>
        <v/>
      </c>
      <c r="F13" s="18">
        <f>IF($A13="","",COUNTIFS(견적목록!$B$5:$B$504,$A13,견적목록!$S$5:$S$504,"진행중",견적목록!$J$5:$J$504,"미발송",견적목록!$M$5:$M$504,"&lt;"&amp;TODAY()))</f>
        <v/>
      </c>
      <c r="G13" s="17">
        <f>IF($A13="","",COUNTIFS(견적목록!$B$5:$B$504,$A13,견적목록!$I$5:$I$504,"수주확정"))</f>
        <v/>
      </c>
      <c r="H13" s="17">
        <f>IF($A13="","",COUNTIFS(견적목록!$B$5:$B$504,$A13,견적목록!$I$5:$I$504,"실주/취소"))</f>
        <v/>
      </c>
      <c r="I13" s="15">
        <f>IF($A13="","",SUMIFS(견적목록!$L$5:$L$504,견적목록!$B$5:$B$504,$A13,견적목록!$J$5:$J$504,"발송"))</f>
        <v/>
      </c>
      <c r="J13" s="15">
        <f>IF($A13="","",SUMIFS(견적목록!$L$5:$L$504,견적목록!$B$5:$B$504,$A13,견적목록!$I$5:$I$504,"수주확정"))</f>
        <v/>
      </c>
      <c r="K13" s="19">
        <f>IF($A13="","",IF(G13+H13=0,"-",G13/(G13+H13)))</f>
        <v/>
      </c>
    </row>
    <row r="14">
      <c r="A14" s="16">
        <f>IF(설정!$A$14="","",설정!$A$14)</f>
        <v/>
      </c>
      <c r="B14" s="17">
        <f>IF($A14="","",COUNTIFS(견적목록!$B$5:$B$504,$A14))</f>
        <v/>
      </c>
      <c r="C14" s="17">
        <f>IF($A14="","",COUNTIFS(견적목록!$B$5:$B$504,$A14,견적목록!$S$5:$S$504,"진행중"))</f>
        <v/>
      </c>
      <c r="D14" s="18">
        <f>IF($A14="","",COUNTIFS(견적목록!$B$5:$B$504,$A14,견적목록!$S$5:$S$504,"진행중",견적목록!$J$5:$J$504,"미발송"))</f>
        <v/>
      </c>
      <c r="E14" s="17">
        <f>IF($A14="","",COUNTIFS(견적목록!$B$5:$B$504,$A14,견적목록!$S$5:$S$504,"진행중",견적목록!$J$5:$J$504,"발송"))</f>
        <v/>
      </c>
      <c r="F14" s="18">
        <f>IF($A14="","",COUNTIFS(견적목록!$B$5:$B$504,$A14,견적목록!$S$5:$S$504,"진행중",견적목록!$J$5:$J$504,"미발송",견적목록!$M$5:$M$504,"&lt;"&amp;TODAY()))</f>
        <v/>
      </c>
      <c r="G14" s="17">
        <f>IF($A14="","",COUNTIFS(견적목록!$B$5:$B$504,$A14,견적목록!$I$5:$I$504,"수주확정"))</f>
        <v/>
      </c>
      <c r="H14" s="17">
        <f>IF($A14="","",COUNTIFS(견적목록!$B$5:$B$504,$A14,견적목록!$I$5:$I$504,"실주/취소"))</f>
        <v/>
      </c>
      <c r="I14" s="15">
        <f>IF($A14="","",SUMIFS(견적목록!$L$5:$L$504,견적목록!$B$5:$B$504,$A14,견적목록!$J$5:$J$504,"발송"))</f>
        <v/>
      </c>
      <c r="J14" s="15">
        <f>IF($A14="","",SUMIFS(견적목록!$L$5:$L$504,견적목록!$B$5:$B$504,$A14,견적목록!$I$5:$I$504,"수주확정"))</f>
        <v/>
      </c>
      <c r="K14" s="19">
        <f>IF($A14="","",IF(G14+H14=0,"-",G14/(G14+H14)))</f>
        <v/>
      </c>
    </row>
    <row r="15">
      <c r="A15" s="20" t="inlineStr">
        <is>
          <t>합계</t>
        </is>
      </c>
      <c r="B15" s="21">
        <f>SUM(B5:B14)</f>
        <v/>
      </c>
      <c r="C15" s="21">
        <f>SUM(C5:C14)</f>
        <v/>
      </c>
      <c r="D15" s="22">
        <f>SUM(D5:D14)</f>
        <v/>
      </c>
      <c r="E15" s="21">
        <f>SUM(E5:E14)</f>
        <v/>
      </c>
      <c r="F15" s="22">
        <f>SUM(F5:F14)</f>
        <v/>
      </c>
      <c r="G15" s="21">
        <f>SUM(G5:G14)</f>
        <v/>
      </c>
      <c r="H15" s="21">
        <f>SUM(H5:H14)</f>
        <v/>
      </c>
      <c r="I15" s="23">
        <f>SUM(I5:I14)</f>
        <v/>
      </c>
      <c r="J15" s="23">
        <f>SUM(J5:J14)</f>
        <v/>
      </c>
      <c r="K15" s="24">
        <f>IF(G15+H15=0,"-",G15/(G15+H15))</f>
        <v/>
      </c>
    </row>
    <row r="17">
      <c r="A17" s="25" t="inlineStr">
        <is>
          <t>선박 × 진행상태 (건수)</t>
        </is>
      </c>
    </row>
    <row r="18">
      <c r="A18" s="5" t="inlineStr">
        <is>
          <t>선박</t>
        </is>
      </c>
      <c r="B18" s="5">
        <f>IF(설정!$C$5="","",설정!$C$5)</f>
        <v/>
      </c>
      <c r="C18" s="5">
        <f>IF(설정!$C$6="","",설정!$C$6)</f>
        <v/>
      </c>
      <c r="D18" s="5">
        <f>IF(설정!$C$7="","",설정!$C$7)</f>
        <v/>
      </c>
      <c r="E18" s="5">
        <f>IF(설정!$C$8="","",설정!$C$8)</f>
        <v/>
      </c>
      <c r="F18" s="5">
        <f>IF(설정!$C$9="","",설정!$C$9)</f>
        <v/>
      </c>
      <c r="G18" s="5">
        <f>IF(설정!$C$10="","",설정!$C$10)</f>
        <v/>
      </c>
      <c r="H18" s="5">
        <f>IF(설정!$C$11="","",설정!$C$11)</f>
        <v/>
      </c>
      <c r="I18" s="5">
        <f>IF(설정!$C$12="","",설정!$C$12)</f>
        <v/>
      </c>
      <c r="J18" s="5">
        <f>IF(설정!$C$13="","",설정!$C$13)</f>
        <v/>
      </c>
      <c r="K18" s="5">
        <f>IF(설정!$C$14="","",설정!$C$14)</f>
        <v/>
      </c>
      <c r="L18" s="5">
        <f>IF(설정!$C$15="","",설정!$C$15)</f>
        <v/>
      </c>
      <c r="M18" s="5">
        <f>IF(설정!$C$16="","",설정!$C$16)</f>
        <v/>
      </c>
    </row>
    <row r="19">
      <c r="A19" s="26">
        <f>$A5</f>
        <v/>
      </c>
      <c r="B19" s="17">
        <f>IF(OR($A19="",B$18=""),"",COUNTIFS(견적목록!$B$5:$B$504,$A19,견적목록!$I$5:$I$504,B$18))</f>
        <v/>
      </c>
      <c r="C19" s="17">
        <f>IF(OR($A19="",C$18=""),"",COUNTIFS(견적목록!$B$5:$B$504,$A19,견적목록!$I$5:$I$504,C$18))</f>
        <v/>
      </c>
      <c r="D19" s="17">
        <f>IF(OR($A19="",D$18=""),"",COUNTIFS(견적목록!$B$5:$B$504,$A19,견적목록!$I$5:$I$504,D$18))</f>
        <v/>
      </c>
      <c r="E19" s="17">
        <f>IF(OR($A19="",E$18=""),"",COUNTIFS(견적목록!$B$5:$B$504,$A19,견적목록!$I$5:$I$504,E$18))</f>
        <v/>
      </c>
      <c r="F19" s="17">
        <f>IF(OR($A19="",F$18=""),"",COUNTIFS(견적목록!$B$5:$B$504,$A19,견적목록!$I$5:$I$504,F$18))</f>
        <v/>
      </c>
      <c r="G19" s="17">
        <f>IF(OR($A19="",G$18=""),"",COUNTIFS(견적목록!$B$5:$B$504,$A19,견적목록!$I$5:$I$504,G$18))</f>
        <v/>
      </c>
      <c r="H19" s="17">
        <f>IF(OR($A19="",H$18=""),"",COUNTIFS(견적목록!$B$5:$B$504,$A19,견적목록!$I$5:$I$504,H$18))</f>
        <v/>
      </c>
      <c r="I19" s="17">
        <f>IF(OR($A19="",I$18=""),"",COUNTIFS(견적목록!$B$5:$B$504,$A19,견적목록!$I$5:$I$504,I$18))</f>
        <v/>
      </c>
      <c r="J19" s="17">
        <f>IF(OR($A19="",J$18=""),"",COUNTIFS(견적목록!$B$5:$B$504,$A19,견적목록!$I$5:$I$504,J$18))</f>
        <v/>
      </c>
      <c r="K19" s="17">
        <f>IF(OR($A19="",K$18=""),"",COUNTIFS(견적목록!$B$5:$B$504,$A19,견적목록!$I$5:$I$504,K$18))</f>
        <v/>
      </c>
      <c r="L19" s="17">
        <f>IF(OR($A19="",L$18=""),"",COUNTIFS(견적목록!$B$5:$B$504,$A19,견적목록!$I$5:$I$504,L$18))</f>
        <v/>
      </c>
      <c r="M19" s="17">
        <f>IF(OR($A19="",M$18=""),"",COUNTIFS(견적목록!$B$5:$B$504,$A19,견적목록!$I$5:$I$504,M$18))</f>
        <v/>
      </c>
    </row>
    <row r="20">
      <c r="A20" s="26">
        <f>$A6</f>
        <v/>
      </c>
      <c r="B20" s="17">
        <f>IF(OR($A20="",B$18=""),"",COUNTIFS(견적목록!$B$5:$B$504,$A20,견적목록!$I$5:$I$504,B$18))</f>
        <v/>
      </c>
      <c r="C20" s="17">
        <f>IF(OR($A20="",C$18=""),"",COUNTIFS(견적목록!$B$5:$B$504,$A20,견적목록!$I$5:$I$504,C$18))</f>
        <v/>
      </c>
      <c r="D20" s="17">
        <f>IF(OR($A20="",D$18=""),"",COUNTIFS(견적목록!$B$5:$B$504,$A20,견적목록!$I$5:$I$504,D$18))</f>
        <v/>
      </c>
      <c r="E20" s="17">
        <f>IF(OR($A20="",E$18=""),"",COUNTIFS(견적목록!$B$5:$B$504,$A20,견적목록!$I$5:$I$504,E$18))</f>
        <v/>
      </c>
      <c r="F20" s="17">
        <f>IF(OR($A20="",F$18=""),"",COUNTIFS(견적목록!$B$5:$B$504,$A20,견적목록!$I$5:$I$504,F$18))</f>
        <v/>
      </c>
      <c r="G20" s="17">
        <f>IF(OR($A20="",G$18=""),"",COUNTIFS(견적목록!$B$5:$B$504,$A20,견적목록!$I$5:$I$504,G$18))</f>
        <v/>
      </c>
      <c r="H20" s="17">
        <f>IF(OR($A20="",H$18=""),"",COUNTIFS(견적목록!$B$5:$B$504,$A20,견적목록!$I$5:$I$504,H$18))</f>
        <v/>
      </c>
      <c r="I20" s="17">
        <f>IF(OR($A20="",I$18=""),"",COUNTIFS(견적목록!$B$5:$B$504,$A20,견적목록!$I$5:$I$504,I$18))</f>
        <v/>
      </c>
      <c r="J20" s="17">
        <f>IF(OR($A20="",J$18=""),"",COUNTIFS(견적목록!$B$5:$B$504,$A20,견적목록!$I$5:$I$504,J$18))</f>
        <v/>
      </c>
      <c r="K20" s="17">
        <f>IF(OR($A20="",K$18=""),"",COUNTIFS(견적목록!$B$5:$B$504,$A20,견적목록!$I$5:$I$504,K$18))</f>
        <v/>
      </c>
      <c r="L20" s="17">
        <f>IF(OR($A20="",L$18=""),"",COUNTIFS(견적목록!$B$5:$B$504,$A20,견적목록!$I$5:$I$504,L$18))</f>
        <v/>
      </c>
      <c r="M20" s="17">
        <f>IF(OR($A20="",M$18=""),"",COUNTIFS(견적목록!$B$5:$B$504,$A20,견적목록!$I$5:$I$504,M$18))</f>
        <v/>
      </c>
    </row>
    <row r="21">
      <c r="A21" s="26">
        <f>$A7</f>
        <v/>
      </c>
      <c r="B21" s="17">
        <f>IF(OR($A21="",B$18=""),"",COUNTIFS(견적목록!$B$5:$B$504,$A21,견적목록!$I$5:$I$504,B$18))</f>
        <v/>
      </c>
      <c r="C21" s="17">
        <f>IF(OR($A21="",C$18=""),"",COUNTIFS(견적목록!$B$5:$B$504,$A21,견적목록!$I$5:$I$504,C$18))</f>
        <v/>
      </c>
      <c r="D21" s="17">
        <f>IF(OR($A21="",D$18=""),"",COUNTIFS(견적목록!$B$5:$B$504,$A21,견적목록!$I$5:$I$504,D$18))</f>
        <v/>
      </c>
      <c r="E21" s="17">
        <f>IF(OR($A21="",E$18=""),"",COUNTIFS(견적목록!$B$5:$B$504,$A21,견적목록!$I$5:$I$504,E$18))</f>
        <v/>
      </c>
      <c r="F21" s="17">
        <f>IF(OR($A21="",F$18=""),"",COUNTIFS(견적목록!$B$5:$B$504,$A21,견적목록!$I$5:$I$504,F$18))</f>
        <v/>
      </c>
      <c r="G21" s="17">
        <f>IF(OR($A21="",G$18=""),"",COUNTIFS(견적목록!$B$5:$B$504,$A21,견적목록!$I$5:$I$504,G$18))</f>
        <v/>
      </c>
      <c r="H21" s="17">
        <f>IF(OR($A21="",H$18=""),"",COUNTIFS(견적목록!$B$5:$B$504,$A21,견적목록!$I$5:$I$504,H$18))</f>
        <v/>
      </c>
      <c r="I21" s="17">
        <f>IF(OR($A21="",I$18=""),"",COUNTIFS(견적목록!$B$5:$B$504,$A21,견적목록!$I$5:$I$504,I$18))</f>
        <v/>
      </c>
      <c r="J21" s="17">
        <f>IF(OR($A21="",J$18=""),"",COUNTIFS(견적목록!$B$5:$B$504,$A21,견적목록!$I$5:$I$504,J$18))</f>
        <v/>
      </c>
      <c r="K21" s="17">
        <f>IF(OR($A21="",K$18=""),"",COUNTIFS(견적목록!$B$5:$B$504,$A21,견적목록!$I$5:$I$504,K$18))</f>
        <v/>
      </c>
      <c r="L21" s="17">
        <f>IF(OR($A21="",L$18=""),"",COUNTIFS(견적목록!$B$5:$B$504,$A21,견적목록!$I$5:$I$504,L$18))</f>
        <v/>
      </c>
      <c r="M21" s="17">
        <f>IF(OR($A21="",M$18=""),"",COUNTIFS(견적목록!$B$5:$B$504,$A21,견적목록!$I$5:$I$504,M$18))</f>
        <v/>
      </c>
    </row>
    <row r="22">
      <c r="A22" s="26">
        <f>$A8</f>
        <v/>
      </c>
      <c r="B22" s="17">
        <f>IF(OR($A22="",B$18=""),"",COUNTIFS(견적목록!$B$5:$B$504,$A22,견적목록!$I$5:$I$504,B$18))</f>
        <v/>
      </c>
      <c r="C22" s="17">
        <f>IF(OR($A22="",C$18=""),"",COUNTIFS(견적목록!$B$5:$B$504,$A22,견적목록!$I$5:$I$504,C$18))</f>
        <v/>
      </c>
      <c r="D22" s="17">
        <f>IF(OR($A22="",D$18=""),"",COUNTIFS(견적목록!$B$5:$B$504,$A22,견적목록!$I$5:$I$504,D$18))</f>
        <v/>
      </c>
      <c r="E22" s="17">
        <f>IF(OR($A22="",E$18=""),"",COUNTIFS(견적목록!$B$5:$B$504,$A22,견적목록!$I$5:$I$504,E$18))</f>
        <v/>
      </c>
      <c r="F22" s="17">
        <f>IF(OR($A22="",F$18=""),"",COUNTIFS(견적목록!$B$5:$B$504,$A22,견적목록!$I$5:$I$504,F$18))</f>
        <v/>
      </c>
      <c r="G22" s="17">
        <f>IF(OR($A22="",G$18=""),"",COUNTIFS(견적목록!$B$5:$B$504,$A22,견적목록!$I$5:$I$504,G$18))</f>
        <v/>
      </c>
      <c r="H22" s="17">
        <f>IF(OR($A22="",H$18=""),"",COUNTIFS(견적목록!$B$5:$B$504,$A22,견적목록!$I$5:$I$504,H$18))</f>
        <v/>
      </c>
      <c r="I22" s="17">
        <f>IF(OR($A22="",I$18=""),"",COUNTIFS(견적목록!$B$5:$B$504,$A22,견적목록!$I$5:$I$504,I$18))</f>
        <v/>
      </c>
      <c r="J22" s="17">
        <f>IF(OR($A22="",J$18=""),"",COUNTIFS(견적목록!$B$5:$B$504,$A22,견적목록!$I$5:$I$504,J$18))</f>
        <v/>
      </c>
      <c r="K22" s="17">
        <f>IF(OR($A22="",K$18=""),"",COUNTIFS(견적목록!$B$5:$B$504,$A22,견적목록!$I$5:$I$504,K$18))</f>
        <v/>
      </c>
      <c r="L22" s="17">
        <f>IF(OR($A22="",L$18=""),"",COUNTIFS(견적목록!$B$5:$B$504,$A22,견적목록!$I$5:$I$504,L$18))</f>
        <v/>
      </c>
      <c r="M22" s="17">
        <f>IF(OR($A22="",M$18=""),"",COUNTIFS(견적목록!$B$5:$B$504,$A22,견적목록!$I$5:$I$504,M$18))</f>
        <v/>
      </c>
    </row>
    <row r="23">
      <c r="A23" s="26">
        <f>$A9</f>
        <v/>
      </c>
      <c r="B23" s="17">
        <f>IF(OR($A23="",B$18=""),"",COUNTIFS(견적목록!$B$5:$B$504,$A23,견적목록!$I$5:$I$504,B$18))</f>
        <v/>
      </c>
      <c r="C23" s="17">
        <f>IF(OR($A23="",C$18=""),"",COUNTIFS(견적목록!$B$5:$B$504,$A23,견적목록!$I$5:$I$504,C$18))</f>
        <v/>
      </c>
      <c r="D23" s="17">
        <f>IF(OR($A23="",D$18=""),"",COUNTIFS(견적목록!$B$5:$B$504,$A23,견적목록!$I$5:$I$504,D$18))</f>
        <v/>
      </c>
      <c r="E23" s="17">
        <f>IF(OR($A23="",E$18=""),"",COUNTIFS(견적목록!$B$5:$B$504,$A23,견적목록!$I$5:$I$504,E$18))</f>
        <v/>
      </c>
      <c r="F23" s="17">
        <f>IF(OR($A23="",F$18=""),"",COUNTIFS(견적목록!$B$5:$B$504,$A23,견적목록!$I$5:$I$504,F$18))</f>
        <v/>
      </c>
      <c r="G23" s="17">
        <f>IF(OR($A23="",G$18=""),"",COUNTIFS(견적목록!$B$5:$B$504,$A23,견적목록!$I$5:$I$504,G$18))</f>
        <v/>
      </c>
      <c r="H23" s="17">
        <f>IF(OR($A23="",H$18=""),"",COUNTIFS(견적목록!$B$5:$B$504,$A23,견적목록!$I$5:$I$504,H$18))</f>
        <v/>
      </c>
      <c r="I23" s="17">
        <f>IF(OR($A23="",I$18=""),"",COUNTIFS(견적목록!$B$5:$B$504,$A23,견적목록!$I$5:$I$504,I$18))</f>
        <v/>
      </c>
      <c r="J23" s="17">
        <f>IF(OR($A23="",J$18=""),"",COUNTIFS(견적목록!$B$5:$B$504,$A23,견적목록!$I$5:$I$504,J$18))</f>
        <v/>
      </c>
      <c r="K23" s="17">
        <f>IF(OR($A23="",K$18=""),"",COUNTIFS(견적목록!$B$5:$B$504,$A23,견적목록!$I$5:$I$504,K$18))</f>
        <v/>
      </c>
      <c r="L23" s="17">
        <f>IF(OR($A23="",L$18=""),"",COUNTIFS(견적목록!$B$5:$B$504,$A23,견적목록!$I$5:$I$504,L$18))</f>
        <v/>
      </c>
      <c r="M23" s="17">
        <f>IF(OR($A23="",M$18=""),"",COUNTIFS(견적목록!$B$5:$B$504,$A23,견적목록!$I$5:$I$504,M$18))</f>
        <v/>
      </c>
    </row>
    <row r="24">
      <c r="A24" s="26">
        <f>$A10</f>
        <v/>
      </c>
      <c r="B24" s="17">
        <f>IF(OR($A24="",B$18=""),"",COUNTIFS(견적목록!$B$5:$B$504,$A24,견적목록!$I$5:$I$504,B$18))</f>
        <v/>
      </c>
      <c r="C24" s="17">
        <f>IF(OR($A24="",C$18=""),"",COUNTIFS(견적목록!$B$5:$B$504,$A24,견적목록!$I$5:$I$504,C$18))</f>
        <v/>
      </c>
      <c r="D24" s="17">
        <f>IF(OR($A24="",D$18=""),"",COUNTIFS(견적목록!$B$5:$B$504,$A24,견적목록!$I$5:$I$504,D$18))</f>
        <v/>
      </c>
      <c r="E24" s="17">
        <f>IF(OR($A24="",E$18=""),"",COUNTIFS(견적목록!$B$5:$B$504,$A24,견적목록!$I$5:$I$504,E$18))</f>
        <v/>
      </c>
      <c r="F24" s="17">
        <f>IF(OR($A24="",F$18=""),"",COUNTIFS(견적목록!$B$5:$B$504,$A24,견적목록!$I$5:$I$504,F$18))</f>
        <v/>
      </c>
      <c r="G24" s="17">
        <f>IF(OR($A24="",G$18=""),"",COUNTIFS(견적목록!$B$5:$B$504,$A24,견적목록!$I$5:$I$504,G$18))</f>
        <v/>
      </c>
      <c r="H24" s="17">
        <f>IF(OR($A24="",H$18=""),"",COUNTIFS(견적목록!$B$5:$B$504,$A24,견적목록!$I$5:$I$504,H$18))</f>
        <v/>
      </c>
      <c r="I24" s="17">
        <f>IF(OR($A24="",I$18=""),"",COUNTIFS(견적목록!$B$5:$B$504,$A24,견적목록!$I$5:$I$504,I$18))</f>
        <v/>
      </c>
      <c r="J24" s="17">
        <f>IF(OR($A24="",J$18=""),"",COUNTIFS(견적목록!$B$5:$B$504,$A24,견적목록!$I$5:$I$504,J$18))</f>
        <v/>
      </c>
      <c r="K24" s="17">
        <f>IF(OR($A24="",K$18=""),"",COUNTIFS(견적목록!$B$5:$B$504,$A24,견적목록!$I$5:$I$504,K$18))</f>
        <v/>
      </c>
      <c r="L24" s="17">
        <f>IF(OR($A24="",L$18=""),"",COUNTIFS(견적목록!$B$5:$B$504,$A24,견적목록!$I$5:$I$504,L$18))</f>
        <v/>
      </c>
      <c r="M24" s="17">
        <f>IF(OR($A24="",M$18=""),"",COUNTIFS(견적목록!$B$5:$B$504,$A24,견적목록!$I$5:$I$504,M$18))</f>
        <v/>
      </c>
    </row>
    <row r="25">
      <c r="A25" s="26">
        <f>$A11</f>
        <v/>
      </c>
      <c r="B25" s="17">
        <f>IF(OR($A25="",B$18=""),"",COUNTIFS(견적목록!$B$5:$B$504,$A25,견적목록!$I$5:$I$504,B$18))</f>
        <v/>
      </c>
      <c r="C25" s="17">
        <f>IF(OR($A25="",C$18=""),"",COUNTIFS(견적목록!$B$5:$B$504,$A25,견적목록!$I$5:$I$504,C$18))</f>
        <v/>
      </c>
      <c r="D25" s="17">
        <f>IF(OR($A25="",D$18=""),"",COUNTIFS(견적목록!$B$5:$B$504,$A25,견적목록!$I$5:$I$504,D$18))</f>
        <v/>
      </c>
      <c r="E25" s="17">
        <f>IF(OR($A25="",E$18=""),"",COUNTIFS(견적목록!$B$5:$B$504,$A25,견적목록!$I$5:$I$504,E$18))</f>
        <v/>
      </c>
      <c r="F25" s="17">
        <f>IF(OR($A25="",F$18=""),"",COUNTIFS(견적목록!$B$5:$B$504,$A25,견적목록!$I$5:$I$504,F$18))</f>
        <v/>
      </c>
      <c r="G25" s="17">
        <f>IF(OR($A25="",G$18=""),"",COUNTIFS(견적목록!$B$5:$B$504,$A25,견적목록!$I$5:$I$504,G$18))</f>
        <v/>
      </c>
      <c r="H25" s="17">
        <f>IF(OR($A25="",H$18=""),"",COUNTIFS(견적목록!$B$5:$B$504,$A25,견적목록!$I$5:$I$504,H$18))</f>
        <v/>
      </c>
      <c r="I25" s="17">
        <f>IF(OR($A25="",I$18=""),"",COUNTIFS(견적목록!$B$5:$B$504,$A25,견적목록!$I$5:$I$504,I$18))</f>
        <v/>
      </c>
      <c r="J25" s="17">
        <f>IF(OR($A25="",J$18=""),"",COUNTIFS(견적목록!$B$5:$B$504,$A25,견적목록!$I$5:$I$504,J$18))</f>
        <v/>
      </c>
      <c r="K25" s="17">
        <f>IF(OR($A25="",K$18=""),"",COUNTIFS(견적목록!$B$5:$B$504,$A25,견적목록!$I$5:$I$504,K$18))</f>
        <v/>
      </c>
      <c r="L25" s="17">
        <f>IF(OR($A25="",L$18=""),"",COUNTIFS(견적목록!$B$5:$B$504,$A25,견적목록!$I$5:$I$504,L$18))</f>
        <v/>
      </c>
      <c r="M25" s="17">
        <f>IF(OR($A25="",M$18=""),"",COUNTIFS(견적목록!$B$5:$B$504,$A25,견적목록!$I$5:$I$504,M$18))</f>
        <v/>
      </c>
    </row>
    <row r="26">
      <c r="A26" s="26">
        <f>$A12</f>
        <v/>
      </c>
      <c r="B26" s="17">
        <f>IF(OR($A26="",B$18=""),"",COUNTIFS(견적목록!$B$5:$B$504,$A26,견적목록!$I$5:$I$504,B$18))</f>
        <v/>
      </c>
      <c r="C26" s="17">
        <f>IF(OR($A26="",C$18=""),"",COUNTIFS(견적목록!$B$5:$B$504,$A26,견적목록!$I$5:$I$504,C$18))</f>
        <v/>
      </c>
      <c r="D26" s="17">
        <f>IF(OR($A26="",D$18=""),"",COUNTIFS(견적목록!$B$5:$B$504,$A26,견적목록!$I$5:$I$504,D$18))</f>
        <v/>
      </c>
      <c r="E26" s="17">
        <f>IF(OR($A26="",E$18=""),"",COUNTIFS(견적목록!$B$5:$B$504,$A26,견적목록!$I$5:$I$504,E$18))</f>
        <v/>
      </c>
      <c r="F26" s="17">
        <f>IF(OR($A26="",F$18=""),"",COUNTIFS(견적목록!$B$5:$B$504,$A26,견적목록!$I$5:$I$504,F$18))</f>
        <v/>
      </c>
      <c r="G26" s="17">
        <f>IF(OR($A26="",G$18=""),"",COUNTIFS(견적목록!$B$5:$B$504,$A26,견적목록!$I$5:$I$504,G$18))</f>
        <v/>
      </c>
      <c r="H26" s="17">
        <f>IF(OR($A26="",H$18=""),"",COUNTIFS(견적목록!$B$5:$B$504,$A26,견적목록!$I$5:$I$504,H$18))</f>
        <v/>
      </c>
      <c r="I26" s="17">
        <f>IF(OR($A26="",I$18=""),"",COUNTIFS(견적목록!$B$5:$B$504,$A26,견적목록!$I$5:$I$504,I$18))</f>
        <v/>
      </c>
      <c r="J26" s="17">
        <f>IF(OR($A26="",J$18=""),"",COUNTIFS(견적목록!$B$5:$B$504,$A26,견적목록!$I$5:$I$504,J$18))</f>
        <v/>
      </c>
      <c r="K26" s="17">
        <f>IF(OR($A26="",K$18=""),"",COUNTIFS(견적목록!$B$5:$B$504,$A26,견적목록!$I$5:$I$504,K$18))</f>
        <v/>
      </c>
      <c r="L26" s="17">
        <f>IF(OR($A26="",L$18=""),"",COUNTIFS(견적목록!$B$5:$B$504,$A26,견적목록!$I$5:$I$504,L$18))</f>
        <v/>
      </c>
      <c r="M26" s="17">
        <f>IF(OR($A26="",M$18=""),"",COUNTIFS(견적목록!$B$5:$B$504,$A26,견적목록!$I$5:$I$504,M$18))</f>
        <v/>
      </c>
    </row>
    <row r="27">
      <c r="A27" s="26">
        <f>$A13</f>
        <v/>
      </c>
      <c r="B27" s="17">
        <f>IF(OR($A27="",B$18=""),"",COUNTIFS(견적목록!$B$5:$B$504,$A27,견적목록!$I$5:$I$504,B$18))</f>
        <v/>
      </c>
      <c r="C27" s="17">
        <f>IF(OR($A27="",C$18=""),"",COUNTIFS(견적목록!$B$5:$B$504,$A27,견적목록!$I$5:$I$504,C$18))</f>
        <v/>
      </c>
      <c r="D27" s="17">
        <f>IF(OR($A27="",D$18=""),"",COUNTIFS(견적목록!$B$5:$B$504,$A27,견적목록!$I$5:$I$504,D$18))</f>
        <v/>
      </c>
      <c r="E27" s="17">
        <f>IF(OR($A27="",E$18=""),"",COUNTIFS(견적목록!$B$5:$B$504,$A27,견적목록!$I$5:$I$504,E$18))</f>
        <v/>
      </c>
      <c r="F27" s="17">
        <f>IF(OR($A27="",F$18=""),"",COUNTIFS(견적목록!$B$5:$B$504,$A27,견적목록!$I$5:$I$504,F$18))</f>
        <v/>
      </c>
      <c r="G27" s="17">
        <f>IF(OR($A27="",G$18=""),"",COUNTIFS(견적목록!$B$5:$B$504,$A27,견적목록!$I$5:$I$504,G$18))</f>
        <v/>
      </c>
      <c r="H27" s="17">
        <f>IF(OR($A27="",H$18=""),"",COUNTIFS(견적목록!$B$5:$B$504,$A27,견적목록!$I$5:$I$504,H$18))</f>
        <v/>
      </c>
      <c r="I27" s="17">
        <f>IF(OR($A27="",I$18=""),"",COUNTIFS(견적목록!$B$5:$B$504,$A27,견적목록!$I$5:$I$504,I$18))</f>
        <v/>
      </c>
      <c r="J27" s="17">
        <f>IF(OR($A27="",J$18=""),"",COUNTIFS(견적목록!$B$5:$B$504,$A27,견적목록!$I$5:$I$504,J$18))</f>
        <v/>
      </c>
      <c r="K27" s="17">
        <f>IF(OR($A27="",K$18=""),"",COUNTIFS(견적목록!$B$5:$B$504,$A27,견적목록!$I$5:$I$504,K$18))</f>
        <v/>
      </c>
      <c r="L27" s="17">
        <f>IF(OR($A27="",L$18=""),"",COUNTIFS(견적목록!$B$5:$B$504,$A27,견적목록!$I$5:$I$504,L$18))</f>
        <v/>
      </c>
      <c r="M27" s="17">
        <f>IF(OR($A27="",M$18=""),"",COUNTIFS(견적목록!$B$5:$B$504,$A27,견적목록!$I$5:$I$504,M$18))</f>
        <v/>
      </c>
    </row>
    <row r="28">
      <c r="A28" s="26">
        <f>$A14</f>
        <v/>
      </c>
      <c r="B28" s="17">
        <f>IF(OR($A28="",B$18=""),"",COUNTIFS(견적목록!$B$5:$B$504,$A28,견적목록!$I$5:$I$504,B$18))</f>
        <v/>
      </c>
      <c r="C28" s="17">
        <f>IF(OR($A28="",C$18=""),"",COUNTIFS(견적목록!$B$5:$B$504,$A28,견적목록!$I$5:$I$504,C$18))</f>
        <v/>
      </c>
      <c r="D28" s="17">
        <f>IF(OR($A28="",D$18=""),"",COUNTIFS(견적목록!$B$5:$B$504,$A28,견적목록!$I$5:$I$504,D$18))</f>
        <v/>
      </c>
      <c r="E28" s="17">
        <f>IF(OR($A28="",E$18=""),"",COUNTIFS(견적목록!$B$5:$B$504,$A28,견적목록!$I$5:$I$504,E$18))</f>
        <v/>
      </c>
      <c r="F28" s="17">
        <f>IF(OR($A28="",F$18=""),"",COUNTIFS(견적목록!$B$5:$B$504,$A28,견적목록!$I$5:$I$504,F$18))</f>
        <v/>
      </c>
      <c r="G28" s="17">
        <f>IF(OR($A28="",G$18=""),"",COUNTIFS(견적목록!$B$5:$B$504,$A28,견적목록!$I$5:$I$504,G$18))</f>
        <v/>
      </c>
      <c r="H28" s="17">
        <f>IF(OR($A28="",H$18=""),"",COUNTIFS(견적목록!$B$5:$B$504,$A28,견적목록!$I$5:$I$504,H$18))</f>
        <v/>
      </c>
      <c r="I28" s="17">
        <f>IF(OR($A28="",I$18=""),"",COUNTIFS(견적목록!$B$5:$B$504,$A28,견적목록!$I$5:$I$504,I$18))</f>
        <v/>
      </c>
      <c r="J28" s="17">
        <f>IF(OR($A28="",J$18=""),"",COUNTIFS(견적목록!$B$5:$B$504,$A28,견적목록!$I$5:$I$504,J$18))</f>
        <v/>
      </c>
      <c r="K28" s="17">
        <f>IF(OR($A28="",K$18=""),"",COUNTIFS(견적목록!$B$5:$B$504,$A28,견적목록!$I$5:$I$504,K$18))</f>
        <v/>
      </c>
      <c r="L28" s="17">
        <f>IF(OR($A28="",L$18=""),"",COUNTIFS(견적목록!$B$5:$B$504,$A28,견적목록!$I$5:$I$504,L$18))</f>
        <v/>
      </c>
      <c r="M28" s="17">
        <f>IF(OR($A28="",M$18=""),"",COUNTIFS(견적목록!$B$5:$B$504,$A28,견적목록!$I$5:$I$504,M$18))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16" customWidth="1" min="1" max="1"/>
    <col width="3" customWidth="1" min="2" max="2"/>
    <col width="14" customWidth="1" min="3" max="3"/>
    <col width="11" customWidth="1" min="4" max="4"/>
    <col width="11" customWidth="1" min="5" max="5"/>
    <col width="3" customWidth="1" min="6" max="6"/>
    <col width="12" customWidth="1" min="7" max="7"/>
    <col width="3" customWidth="1" min="8" max="8"/>
    <col width="12" customWidth="1" min="9" max="9"/>
  </cols>
  <sheetData>
    <row r="1">
      <c r="A1" s="27" t="inlineStr">
        <is>
          <t>설정 (목록 관리)</t>
        </is>
      </c>
    </row>
    <row r="2">
      <c r="A2" s="28" t="inlineStr">
        <is>
          <t>노란 칸에 선박·상태·구분을 추가/수정하면 견적목록의 드롭다운과 요약에 자동 반영됩니다.</t>
        </is>
      </c>
    </row>
    <row r="4">
      <c r="A4" s="5" t="inlineStr">
        <is>
          <t>선박명</t>
        </is>
      </c>
      <c r="C4" s="5" t="inlineStr">
        <is>
          <t>진행상태</t>
        </is>
      </c>
      <c r="D4" s="5" t="inlineStr">
        <is>
          <t>발송여부</t>
        </is>
      </c>
      <c r="E4" s="5" t="inlineStr">
        <is>
          <t>진행/종결</t>
        </is>
      </c>
      <c r="G4" s="5" t="inlineStr">
        <is>
          <t>구분</t>
        </is>
      </c>
      <c r="I4" s="5" t="inlineStr">
        <is>
          <t>우선순위</t>
        </is>
      </c>
    </row>
    <row r="5">
      <c r="A5" s="29" t="inlineStr">
        <is>
          <t>AEOLUS</t>
        </is>
      </c>
      <c r="C5" s="30" t="inlineStr">
        <is>
          <t>접수</t>
        </is>
      </c>
      <c r="D5" s="30" t="inlineStr">
        <is>
          <t>미발송</t>
        </is>
      </c>
      <c r="E5" s="30" t="inlineStr">
        <is>
          <t>진행중</t>
        </is>
      </c>
      <c r="G5" s="29" t="inlineStr">
        <is>
          <t>부품</t>
        </is>
      </c>
      <c r="I5" s="29" t="inlineStr">
        <is>
          <t>긴급</t>
        </is>
      </c>
    </row>
    <row r="6">
      <c r="A6" s="29" t="inlineStr">
        <is>
          <t>MELICERTES</t>
        </is>
      </c>
      <c r="C6" s="30" t="inlineStr">
        <is>
          <t>검토중</t>
        </is>
      </c>
      <c r="D6" s="30" t="inlineStr">
        <is>
          <t>미발송</t>
        </is>
      </c>
      <c r="E6" s="30" t="inlineStr">
        <is>
          <t>진행중</t>
        </is>
      </c>
      <c r="G6" s="29" t="inlineStr">
        <is>
          <t>수리</t>
        </is>
      </c>
      <c r="I6" s="29" t="inlineStr">
        <is>
          <t>보통</t>
        </is>
      </c>
    </row>
    <row r="7">
      <c r="A7" s="29" t="inlineStr">
        <is>
          <t>NELEUS</t>
        </is>
      </c>
      <c r="C7" s="30" t="inlineStr">
        <is>
          <t>견적작성중</t>
        </is>
      </c>
      <c r="D7" s="30" t="inlineStr">
        <is>
          <t>미발송</t>
        </is>
      </c>
      <c r="E7" s="30" t="inlineStr">
        <is>
          <t>진행중</t>
        </is>
      </c>
      <c r="G7" s="29" t="inlineStr">
        <is>
          <t>서비스</t>
        </is>
      </c>
      <c r="I7" s="29" t="inlineStr">
        <is>
          <t>낮음</t>
        </is>
      </c>
    </row>
    <row r="8">
      <c r="A8" s="29" t="inlineStr">
        <is>
          <t>ONEIROI</t>
        </is>
      </c>
      <c r="C8" s="30" t="inlineStr">
        <is>
          <t>견적발송</t>
        </is>
      </c>
      <c r="D8" s="30" t="inlineStr">
        <is>
          <t>발송</t>
        </is>
      </c>
      <c r="E8" s="30" t="inlineStr">
        <is>
          <t>진행중</t>
        </is>
      </c>
      <c r="G8" s="29" t="inlineStr">
        <is>
          <t>선용품</t>
        </is>
      </c>
    </row>
    <row r="9">
      <c r="A9" s="29" t="n"/>
      <c r="C9" s="30" t="inlineStr">
        <is>
          <t>협상/수정</t>
        </is>
      </c>
      <c r="D9" s="30" t="inlineStr">
        <is>
          <t>발송</t>
        </is>
      </c>
      <c r="E9" s="30" t="inlineStr">
        <is>
          <t>진행중</t>
        </is>
      </c>
      <c r="G9" s="29" t="inlineStr">
        <is>
          <t>기타</t>
        </is>
      </c>
    </row>
    <row r="10">
      <c r="A10" s="29" t="n"/>
      <c r="C10" s="30" t="inlineStr">
        <is>
          <t>보류</t>
        </is>
      </c>
      <c r="D10" s="30" t="inlineStr">
        <is>
          <t>미발송</t>
        </is>
      </c>
      <c r="E10" s="30" t="inlineStr">
        <is>
          <t>진행중</t>
        </is>
      </c>
      <c r="G10" s="29" t="n"/>
    </row>
    <row r="11">
      <c r="A11" s="29" t="n"/>
      <c r="C11" s="30" t="inlineStr">
        <is>
          <t>수주확정</t>
        </is>
      </c>
      <c r="D11" s="30" t="inlineStr">
        <is>
          <t>발송</t>
        </is>
      </c>
      <c r="E11" s="30" t="inlineStr">
        <is>
          <t>종결</t>
        </is>
      </c>
      <c r="G11" s="29" t="n"/>
    </row>
    <row r="12">
      <c r="A12" s="29" t="n"/>
      <c r="C12" s="30" t="inlineStr">
        <is>
          <t>실주/취소</t>
        </is>
      </c>
      <c r="D12" s="30" t="inlineStr">
        <is>
          <t>발송</t>
        </is>
      </c>
      <c r="E12" s="30" t="inlineStr">
        <is>
          <t>종결</t>
        </is>
      </c>
      <c r="G12" s="29" t="n"/>
    </row>
    <row r="13">
      <c r="A13" s="29" t="n"/>
      <c r="C13" s="30" t="n"/>
      <c r="D13" s="30" t="n"/>
      <c r="E13" s="30" t="n"/>
      <c r="G13" s="29" t="n"/>
    </row>
    <row r="14">
      <c r="A14" s="29" t="n"/>
      <c r="C14" s="30" t="n"/>
      <c r="D14" s="30" t="n"/>
      <c r="E14" s="30" t="n"/>
      <c r="G14" s="29" t="n"/>
    </row>
    <row r="15">
      <c r="A15" s="29" t="n"/>
      <c r="C15" s="30" t="n"/>
      <c r="D15" s="30" t="n"/>
      <c r="E15" s="30" t="n"/>
    </row>
    <row r="16">
      <c r="A16" s="29" t="n"/>
      <c r="C16" s="30" t="n"/>
      <c r="D16" s="30" t="n"/>
      <c r="E16" s="30" t="n"/>
    </row>
    <row r="17">
      <c r="A17" s="29" t="n"/>
    </row>
    <row r="18">
      <c r="A18" s="29" t="n"/>
      <c r="C18" s="31" t="inlineStr">
        <is>
          <t>※ 진행상태 색상은 견적목록의 조건부서식에 설정되어 있습니다. 상태 이름을 바꾸면 색상 규칙도 함께 바꿔주세요.</t>
        </is>
      </c>
    </row>
    <row r="19">
      <c r="A19" s="29" t="n"/>
    </row>
    <row r="20">
      <c r="A20" s="29" t="n"/>
    </row>
    <row r="21">
      <c r="A21" s="29" t="n"/>
    </row>
    <row r="22">
      <c r="A22" s="29" t="n"/>
    </row>
    <row r="23">
      <c r="A23" s="29" t="n"/>
    </row>
    <row r="24">
      <c r="A24" s="2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B27"/>
  <sheetViews>
    <sheetView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1">
      <c r="B1" s="1" t="inlineStr">
        <is>
          <t>사용법</t>
        </is>
      </c>
    </row>
    <row r="3">
      <c r="B3" s="32" t="inlineStr">
        <is>
          <t>구조</t>
        </is>
      </c>
    </row>
    <row r="4">
      <c r="B4" s="33" t="inlineStr">
        <is>
          <t>• 견적목록: 모든 선박의 견적을 한 표에 1건 = 1줄로 입력 (선박별로 시트를 나누지 않음 → 추가/삭제/검색이 쉬움)</t>
        </is>
      </c>
    </row>
    <row r="5">
      <c r="B5" s="33" t="inlineStr">
        <is>
          <t>• 선박별 요약: 선박마다 진행중·미발송·발송·기한초과·수주 건수와 금액이 자동 집계</t>
        </is>
      </c>
    </row>
    <row r="6">
      <c r="B6" s="33" t="inlineStr">
        <is>
          <t>• 설정: 선박명, 진행상태, 구분, 우선순위 목록 관리 (여기서 선박을 추가하면 드롭다운·요약에 바로 반영)</t>
        </is>
      </c>
    </row>
    <row r="7">
      <c r="B7" s="33" t="inlineStr"/>
    </row>
    <row r="8">
      <c r="B8" s="32" t="inlineStr">
        <is>
          <t>추가 / 빼기</t>
        </is>
      </c>
    </row>
    <row r="9">
      <c r="B9" s="33" t="inlineStr">
        <is>
          <t>• 새 견적: 견적목록의 다음 빈 줄에 선박부터 입력 → No·발송여부·경과일이 자동으로 채워짐</t>
        </is>
      </c>
    </row>
    <row r="10">
      <c r="B10" s="33" t="inlineStr">
        <is>
          <t>• 빼기: 기록을 남기려면 진행상태를 '실주/취소'로 변경 (회색 처리), 완전히 지우려면 행 전체 삭제</t>
        </is>
      </c>
    </row>
    <row r="11">
      <c r="B11" s="33" t="inlineStr">
        <is>
          <t>• 새 선박: 설정 시트 '선박명' 아래 빈 노란 칸에 이름 입력</t>
        </is>
      </c>
    </row>
    <row r="12">
      <c r="B12" s="33" t="inlineStr">
        <is>
          <t>• 예시 4줄(회색 기울임)은 확인 후 행 삭제하세요</t>
        </is>
      </c>
    </row>
    <row r="13">
      <c r="B13" s="33" t="inlineStr"/>
    </row>
    <row r="14">
      <c r="B14" s="32" t="inlineStr">
        <is>
          <t>진행상태 흐름</t>
        </is>
      </c>
    </row>
    <row r="15">
      <c r="B15" s="33" t="inlineStr">
        <is>
          <t>접수 → 검토중 → 견적작성중 → 견적발송 → 협상/수정 → 수주확정 또는 실주/취소   (중간에 멈추면 '보류')</t>
        </is>
      </c>
    </row>
    <row r="16">
      <c r="B16" s="33" t="inlineStr">
        <is>
          <t>• 발송여부는 진행상태로 자동 판단: 견적발송 이후 단계 = '발송', 그 이전·보류 = '미발송'</t>
        </is>
      </c>
    </row>
    <row r="17">
      <c r="B17" s="33" t="inlineStr">
        <is>
          <t>• 상태를 바꿀 때 '최근 업데이트'에 날짜(Ctrl+;)를 같이 적으면 오래 방치된 건을 찾기 쉬움</t>
        </is>
      </c>
    </row>
    <row r="18">
      <c r="B18" s="33" t="inlineStr"/>
    </row>
    <row r="19">
      <c r="B19" s="32" t="inlineStr">
        <is>
          <t>보는 방법</t>
        </is>
      </c>
    </row>
    <row r="20">
      <c r="B20" s="33" t="inlineStr">
        <is>
          <t>• 선박별로 보기: 견적목록 '선박' 머리글의 ▼ 필터 → 원하는 선박만 체크</t>
        </is>
      </c>
    </row>
    <row r="21">
      <c r="B21" s="33" t="inlineStr">
        <is>
          <t>• 안 나간 견적만 보기: '발송여부' 필터 → 미발송</t>
        </is>
      </c>
    </row>
    <row r="22">
      <c r="B22" s="33" t="inlineStr">
        <is>
          <t>• 끝난 건 숨기기: '진행상태' 필터에서 수주확정·실주/취소 체크 해제</t>
        </is>
      </c>
    </row>
    <row r="23">
      <c r="B23" s="33" t="inlineStr">
        <is>
          <t>• 급한 건 먼저: '회신기한' 머리글 ▼ → 오름차순 정렬. 빨간 칸 = 기한 지났는데 미발송</t>
        </is>
      </c>
    </row>
    <row r="24">
      <c r="B24" s="33" t="inlineStr"/>
    </row>
    <row r="25">
      <c r="B25" s="32" t="inlineStr">
        <is>
          <t>참고</t>
        </is>
      </c>
    </row>
    <row r="26">
      <c r="B26" s="33" t="inlineStr">
        <is>
          <t>• 견적금액은 USD 기준으로 가정했습니다. 원화 등 다른 통화를 쓰면 헤더를 바꾸고 비고에 통화를 적어주세요.</t>
        </is>
      </c>
    </row>
    <row r="27">
      <c r="B27" s="33" t="inlineStr">
        <is>
          <t>• 입력 가능 행: 5~504행 (500건). 더 필요하면 마지막 줄을 복사해서 아래로 붙여넣기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2026-10-26T00:03:34Z</dcterms:created>
  <dcterms:modified xmlns:dcterms="http://purl.org/dc/terms/" xmlns:xsi="http://www.w3.org/2001/XMLSchema-instance" xsi:type="dcterms:W3CDTF">2026-10-26T00:03:50Z</dcterms:modified>
</cp:coreProperties>
</file>