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스케줄" sheetId="2" state="visible" r:id="rId2"/>
    <sheet xmlns:r="http://schemas.openxmlformats.org/officeDocument/2006/relationships" name="AEOLUS" sheetId="3" state="visible" r:id="rId3"/>
    <sheet xmlns:r="http://schemas.openxmlformats.org/officeDocument/2006/relationships" name="MELICERTES" sheetId="4" state="visible" r:id="rId4"/>
    <sheet xmlns:r="http://schemas.openxmlformats.org/officeDocument/2006/relationships" name="NELEUS" sheetId="5" state="visible" r:id="rId5"/>
    <sheet xmlns:r="http://schemas.openxmlformats.org/officeDocument/2006/relationships" name="ONEIROI" sheetId="6" state="visible" r:id="rId6"/>
    <sheet xmlns:r="http://schemas.openxmlformats.org/officeDocument/2006/relationships" name="RFQ목록" sheetId="7" state="visible" r:id="rId7"/>
    <sheet xmlns:r="http://schemas.openxmlformats.org/officeDocument/2006/relationships" name="설정" sheetId="8" state="visible" r:id="rId8"/>
    <sheet xmlns:r="http://schemas.openxmlformats.org/officeDocument/2006/relationships" name="사용법" sheetId="9" state="visible" r:id="rId9"/>
  </sheets>
  <definedNames>
    <definedName name="_xlnm._FilterDatabase" localSheetId="2" hidden="1">'AEOLUS'!$A$5:$Z$205</definedName>
    <definedName name="_xlnm._FilterDatabase" localSheetId="3" hidden="1">'MELICERTES'!$A$5:$Z$205</definedName>
    <definedName name="_xlnm._FilterDatabase" localSheetId="4" hidden="1">'NELEUS'!$A$5:$Z$205</definedName>
    <definedName name="_xlnm._FilterDatabase" localSheetId="5" hidden="1">'ONEIROI'!$A$5:$Z$205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-dd (aaa)"/>
    <numFmt numFmtId="166" formatCode="0&quot;일&quot;"/>
    <numFmt numFmtId="167" formatCode="&quot;D-&quot;0;&quot;D+&quot;0;&quot;D-DAY&quot;"/>
    <numFmt numFmtId="168" formatCode="0;-0;&quot;-&quot;"/>
    <numFmt numFmtId="169" formatCode="#,##0;(#,##0);&quot;-&quot;"/>
    <numFmt numFmtId="170" formatCode="mm-dd (aaa)"/>
  </numFmts>
  <fonts count="19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404040"/>
      <sz val="10"/>
    </font>
    <font>
      <name val="맑은 고딕"/>
      <b val="1"/>
      <color rgb="00FFFFFF"/>
      <sz val="9"/>
    </font>
    <font>
      <name val="맑은 고딕"/>
      <b val="1"/>
      <sz val="11"/>
    </font>
    <font>
      <name val="맑은 고딕"/>
      <b val="1"/>
      <color rgb="00C00000"/>
      <sz val="10"/>
    </font>
    <font>
      <name val="맑은 고딕"/>
      <b val="1"/>
      <color rgb="00C00000"/>
      <sz val="11"/>
    </font>
    <font>
      <name val="맑은 고딕"/>
      <b val="1"/>
      <color rgb="000563C1"/>
      <sz val="10"/>
      <u val="single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1F3864"/>
      <sz val="14"/>
    </font>
    <font>
      <name val="맑은 고딕"/>
      <i val="1"/>
      <color rgb="00595959"/>
      <sz val="9"/>
    </font>
    <font>
      <name val="맑은 고딕"/>
      <color rgb="000000FF"/>
      <sz val="10"/>
    </font>
    <font>
      <name val="맑은 고딕"/>
      <b val="1"/>
      <color rgb="001F3864"/>
      <sz val="10"/>
    </font>
    <font>
      <name val="맑은 고딕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595959"/>
        <bgColor rgb="00595959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44546A"/>
        <bgColor rgb="0044546A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70" fontId="12" fillId="0" borderId="1" applyAlignment="1" pivotButton="0" quotePrefix="0" xfId="0">
      <alignment horizontal="center" vertical="center" wrapText="1"/>
    </xf>
    <xf numFmtId="167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68" fontId="12" fillId="0" borderId="1" applyAlignment="1" pivotButton="0" quotePrefix="0" xfId="0">
      <alignment horizontal="center" vertical="center" wrapText="1"/>
    </xf>
    <xf numFmtId="169" fontId="12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170" fontId="13" fillId="7" borderId="1" applyAlignment="1" pivotButton="0" quotePrefix="0" xfId="0">
      <alignment horizontal="center" vertical="center" wrapText="1"/>
    </xf>
    <xf numFmtId="167" fontId="13" fillId="7" borderId="1" applyAlignment="1" pivotButton="0" quotePrefix="0" xfId="0">
      <alignment horizontal="center" vertical="center" wrapText="1"/>
    </xf>
    <xf numFmtId="168" fontId="13" fillId="7" borderId="1" applyAlignment="1" pivotButton="0" quotePrefix="0" xfId="0">
      <alignment horizontal="center" vertical="center" wrapText="1"/>
    </xf>
    <xf numFmtId="169" fontId="1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167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8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9" fontId="8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169" fontId="5" fillId="5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168" fontId="5" fillId="5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7" fillId="0" borderId="0" pivotButton="0" quotePrefix="0" xfId="0"/>
    <xf numFmtId="0" fontId="16" fillId="4" borderId="1" pivotButton="0" quotePrefix="0" xfId="0"/>
    <xf numFmtId="0" fontId="5" fillId="0" borderId="0" pivotButton="0" quotePrefix="0" xfId="0"/>
    <xf numFmtId="0" fontId="18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12"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000000"/>
      </font>
      <fill>
        <patternFill patternType="solid">
          <fgColor rgb="00FFC000"/>
          <bgColor rgb="00FFC000"/>
        </patternFill>
      </fill>
    </dxf>
    <dxf>
      <font>
        <b val="1"/>
        <color rgb="009C5700"/>
      </font>
    </dxf>
    <dxf>
      <font>
        <b val="1"/>
        <color rgb="009C0006"/>
      </font>
    </dxf>
    <dxf>
      <font>
        <b val="1"/>
        <color rgb="00C00000"/>
      </font>
    </dxf>
    <dxf>
      <font>
        <color rgb="00808080"/>
      </font>
    </dxf>
    <dxf>
      <font>
        <b val="1"/>
      </font>
      <fill>
        <patternFill patternType="solid">
          <fgColor rgb="00FFC000"/>
          <bgColor rgb="00FFC000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404040"/>
      </font>
      <fill>
        <patternFill patternType="solid">
          <fgColor rgb="00D9D9D9"/>
          <bgColor rgb="00D9D9D9"/>
        </patternFill>
      </fill>
    </dxf>
    <dxf>
      <font>
        <color rgb="00808080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견적관리</author>
  </authors>
  <commentList>
    <comment ref="M4" authorId="0" shapeId="0">
      <text>
        <t>오늘 발주해도 부산 출고 마감을 넘기는 품목 수 (납기 기준)</t>
      </text>
    </comment>
    <comment ref="N4" authorId="0" shapeId="0">
      <text>
        <t>유효만료일이 지났거나 5일 이내인 품목 수 (견적접수일을 입력해야 계산됨)</t>
      </text>
    </comment>
  </commentList>
</comments>
</file>

<file path=xl/comments/comment2.xml><?xml version="1.0" encoding="utf-8"?>
<comments xmlns="http://schemas.openxmlformats.org/spreadsheetml/2006/main">
  <authors>
    <author>견적관리</author>
  </authors>
  <commentList>
    <comment ref="E4" authorId="0" shapeId="0">
      <text>
        <t>부산 출고 후 선박까지 가는 데 걸리는 일수 (포워딩·항공 등). 비우면 0일로 계산.</t>
      </text>
    </comment>
    <comment ref="F4" authorId="0" shapeId="0">
      <text>
        <t>예정일 − 운송소요일. 선박 시트의 '일정 대비'가 이 날짜와 비교합니다.</t>
      </text>
    </comment>
  </commentList>
</comments>
</file>

<file path=xl/comments/comment3.xml><?xml version="1.0" encoding="utf-8"?>
<comments xmlns="http://schemas.openxmlformats.org/spreadsheetml/2006/main">
  <authors>
    <author>견적관리</author>
  </authors>
  <commentList>
    <comment ref="Q5" authorId="0" shapeId="0">
      <text>
        <t>오늘 발주한다고 가정한 부산 출고 예상일 = 오늘 + 납기. 발주가 늦어지면 같이 밀립니다.</t>
      </text>
    </comment>
    <comment ref="R5" authorId="0" shapeId="0">
      <text>
        <t>준비 예상일이 '부산 출고 마감'(2행) 안에 들어오는지. 마감은 스케줄 시트의 예정일 − 운송소요일.</t>
      </text>
    </comment>
    <comment ref="V5" authorId="0" shapeId="0">
      <text>
        <t>RMS 회신 파일에 견적일이 없어 비워둠. 회신 받은 날짜를 입력하면 유효만료일이 계산됩니다.</t>
      </text>
    </comment>
    <comment ref="W5" authorId="0" shapeId="0">
      <text>
        <t>견적접수일 + 유효일수. 빨강 = 만료, 노랑 = 5일 이내 만료</t>
      </text>
    </comment>
  </commentList>
</comments>
</file>

<file path=xl/comments/comment4.xml><?xml version="1.0" encoding="utf-8"?>
<comments xmlns="http://schemas.openxmlformats.org/spreadsheetml/2006/main">
  <authors>
    <author>견적관리</author>
  </authors>
  <commentList>
    <comment ref="Q5" authorId="0" shapeId="0">
      <text>
        <t>오늘 발주한다고 가정한 부산 출고 예상일 = 오늘 + 납기. 발주가 늦어지면 같이 밀립니다.</t>
      </text>
    </comment>
    <comment ref="R5" authorId="0" shapeId="0">
      <text>
        <t>준비 예상일이 '부산 출고 마감'(2행) 안에 들어오는지. 마감은 스케줄 시트의 예정일 − 운송소요일.</t>
      </text>
    </comment>
    <comment ref="V5" authorId="0" shapeId="0">
      <text>
        <t>RMS 회신 파일에 견적일이 없어 비워둠. 회신 받은 날짜를 입력하면 유효만료일이 계산됩니다.</t>
      </text>
    </comment>
    <comment ref="W5" authorId="0" shapeId="0">
      <text>
        <t>견적접수일 + 유효일수. 빨강 = 만료, 노랑 = 5일 이내 만료</t>
      </text>
    </comment>
  </commentList>
</comments>
</file>

<file path=xl/comments/comment5.xml><?xml version="1.0" encoding="utf-8"?>
<comments xmlns="http://schemas.openxmlformats.org/spreadsheetml/2006/main">
  <authors>
    <author>견적관리</author>
  </authors>
  <commentList>
    <comment ref="Q5" authorId="0" shapeId="0">
      <text>
        <t>오늘 발주한다고 가정한 부산 출고 예상일 = 오늘 + 납기. 발주가 늦어지면 같이 밀립니다.</t>
      </text>
    </comment>
    <comment ref="R5" authorId="0" shapeId="0">
      <text>
        <t>준비 예상일이 '부산 출고 마감'(2행) 안에 들어오는지. 마감은 스케줄 시트의 예정일 − 운송소요일.</t>
      </text>
    </comment>
    <comment ref="V5" authorId="0" shapeId="0">
      <text>
        <t>RMS 회신 파일에 견적일이 없어 비워둠. 회신 받은 날짜를 입력하면 유효만료일이 계산됩니다.</t>
      </text>
    </comment>
    <comment ref="W5" authorId="0" shapeId="0">
      <text>
        <t>견적접수일 + 유효일수. 빨강 = 만료, 노랑 = 5일 이내 만료</t>
      </text>
    </comment>
  </commentList>
</comments>
</file>

<file path=xl/comments/comment6.xml><?xml version="1.0" encoding="utf-8"?>
<comments xmlns="http://schemas.openxmlformats.org/spreadsheetml/2006/main">
  <authors>
    <author>견적관리</author>
  </authors>
  <commentList>
    <comment ref="Q5" authorId="0" shapeId="0">
      <text>
        <t>오늘 발주한다고 가정한 부산 출고 예상일 = 오늘 + 납기. 발주가 늦어지면 같이 밀립니다.</t>
      </text>
    </comment>
    <comment ref="R5" authorId="0" shapeId="0">
      <text>
        <t>준비 예상일이 '부산 출고 마감'(2행) 안에 들어오는지. 마감은 스케줄 시트의 예정일 − 운송소요일.</t>
      </text>
    </comment>
    <comment ref="V5" authorId="0" shapeId="0">
      <text>
        <t>RMS 회신 파일에 견적일이 없어 비워둠. 회신 받은 날짜를 입력하면 유효만료일이 계산됩니다.</t>
      </text>
    </comment>
    <comment ref="W5" authorId="0" shapeId="0">
      <text>
        <t>견적접수일 + 유효일수. 빨강 = 만료, 노랑 = 5일 이내 만료</t>
      </text>
    </comment>
  </commentList>
</comments>
</file>

<file path=xl/comments/comment7.xml><?xml version="1.0" encoding="utf-8"?>
<comments xmlns="http://schemas.openxmlformats.org/spreadsheetml/2006/main">
  <authors>
    <author>견적관리</author>
  </authors>
  <commentList>
    <comment ref="K4" authorId="0" shapeId="0">
      <text>
        <t>품목수 − (견적접수+확인필요+공급불가). 0보다 크면 아직 선박 시트에 안 들어간 품목이 있음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EOLUS'!A1" TargetMode="External" Id="rId1"/><Relationship Type="http://schemas.openxmlformats.org/officeDocument/2006/relationships/hyperlink" Target="#'MELICERTES'!A1" TargetMode="External" Id="rId2"/><Relationship Type="http://schemas.openxmlformats.org/officeDocument/2006/relationships/hyperlink" Target="#'NELEUS'!A1" TargetMode="External" Id="rId3"/><Relationship Type="http://schemas.openxmlformats.org/officeDocument/2006/relationships/hyperlink" Target="#'ONEIROI'!A1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11" customWidth="1" min="4" max="4"/>
    <col width="8" customWidth="1" min="5" max="5"/>
    <col width="20" customWidth="1" min="6" max="6"/>
    <col width="6" customWidth="1" min="7" max="7"/>
    <col width="8" customWidth="1" min="8" max="8"/>
    <col width="8" customWidth="1" min="9" max="9"/>
    <col width="8" customWidth="1" min="10" max="10"/>
    <col width="7" customWidth="1" min="11" max="11"/>
    <col width="14" customWidth="1" min="12" max="12"/>
    <col width="9" customWidth="1" min="13" max="13"/>
    <col width="9" customWidth="1" min="14" max="14"/>
    <col width="8" customWidth="1" min="15" max="15"/>
  </cols>
  <sheetData>
    <row r="1">
      <c r="A1" s="1" t="inlineStr">
        <is>
          <t>선박별 견적 현황</t>
        </is>
      </c>
    </row>
    <row r="2">
      <c r="A2" s="2">
        <f>"기준일 "&amp;TEXT(TODAY(),"yyyy-mm-dd")&amp;"  ·  선박 시트·스케줄 시트에서 자동 집계 (입력 불필요)"</f>
        <v/>
      </c>
    </row>
    <row r="3">
      <c r="A3" s="3">
        <f>"⏰ 알림:  4일 이내 "&amp;COUNTIFS(스케줄!$I$5:$I$14,"&gt;=0",스케줄!$I$5:$I$14,"&lt;=4")&amp;"척  ·  1주 이내 "&amp;COUNTIFS(스케줄!$I$5:$I$14,"&gt;4",스케줄!$I$5:$I$14,"&lt;=7")&amp;"척  ·  일정 미정 "&amp;COUNTIFS(스케줄!$A$5:$A$14,"&lt;&gt;",스케줄!$C$5:$C$14,"")&amp;"척"</f>
        <v/>
      </c>
    </row>
    <row r="4" ht="32" customHeight="1">
      <c r="A4" s="4" t="inlineStr">
        <is>
          <t>선박</t>
        </is>
      </c>
      <c r="B4" s="4" t="inlineStr">
        <is>
          <t>우선순위</t>
        </is>
      </c>
      <c r="C4" s="4" t="inlineStr">
        <is>
          <t>다음 일정</t>
        </is>
      </c>
      <c r="D4" s="4" t="inlineStr">
        <is>
          <t>예정일</t>
        </is>
      </c>
      <c r="E4" s="4" t="inlineStr">
        <is>
          <t>D-day</t>
        </is>
      </c>
      <c r="F4" s="4" t="inlineStr">
        <is>
          <t>알림</t>
        </is>
      </c>
      <c r="G4" s="4" t="inlineStr">
        <is>
          <t>품목</t>
        </is>
      </c>
      <c r="H4" s="4" t="inlineStr">
        <is>
          <t>견적접수</t>
        </is>
      </c>
      <c r="I4" s="4" t="inlineStr">
        <is>
          <t>확인필요</t>
        </is>
      </c>
      <c r="J4" s="4" t="inlineStr">
        <is>
          <t>공급불가</t>
        </is>
      </c>
      <c r="K4" s="4" t="inlineStr">
        <is>
          <t>미접수</t>
        </is>
      </c>
      <c r="L4" s="4" t="inlineStr">
        <is>
          <t>견적금액 (KRW)</t>
        </is>
      </c>
      <c r="M4" s="4" t="inlineStr">
        <is>
          <t>일정 초과
품목</t>
        </is>
      </c>
      <c r="N4" s="4" t="inlineStr">
        <is>
          <t>만료
임박/지남</t>
        </is>
      </c>
      <c r="O4" s="4" t="inlineStr">
        <is>
          <t>발주완료</t>
        </is>
      </c>
    </row>
    <row r="5">
      <c r="A5" s="5" t="inlineStr">
        <is>
          <t>AEOLUS</t>
        </is>
      </c>
      <c r="B5" s="6" t="inlineStr">
        <is>
          <t>Routine</t>
        </is>
      </c>
      <c r="C5" s="6">
        <f>IFERROR(IF(INDEX(스케줄!$B$5:$B$14,MATCH($A5,스케줄!$A$5:$A$14,0))="","-",INDEX(스케줄!$B$5:$B$14,MATCH($A5,스케줄!$A$5:$A$14,0))),"-")</f>
        <v/>
      </c>
      <c r="D5" s="7">
        <f>IFERROR(IF(N(INDEX(스케줄!$C$5:$C$14,MATCH($A5,스케줄!$A$5:$A$14,0)))=0,"",INDEX(스케줄!$C$5:$C$14,MATCH($A5,스케줄!$A$5:$A$14,0))),"")</f>
        <v/>
      </c>
      <c r="E5" s="8">
        <f>IFERROR(INDEX(스케줄!$I$5:$I$14,MATCH($A5,스케줄!$A$5:$A$14,0)),"")</f>
        <v/>
      </c>
      <c r="F5" s="9">
        <f>IFERROR(INDEX(스케줄!$J$5:$J$14,MATCH($A5,스케줄!$A$5:$A$14,0)),"")</f>
        <v/>
      </c>
      <c r="G5" s="10">
        <f>COUNTA('AEOLUS'!$E$6:$E$205)</f>
        <v/>
      </c>
      <c r="H5" s="10">
        <f>COUNTIF('AEOLUS'!$M$6:$M$205,"견적접수")</f>
        <v/>
      </c>
      <c r="I5" s="10">
        <f>COUNTIF('AEOLUS'!$M$6:$M$205,"확인필요")</f>
        <v/>
      </c>
      <c r="J5" s="10">
        <f>COUNTIF('AEOLUS'!$M$6:$M$205,"공급불가")</f>
        <v/>
      </c>
      <c r="K5" s="10">
        <f>COUNTIF('AEOLUS'!$M$6:$M$205,"미접수")</f>
        <v/>
      </c>
      <c r="L5" s="11">
        <f>SUM('AEOLUS'!$O$6:$O$205)</f>
        <v/>
      </c>
      <c r="M5" s="10">
        <f>COUNTIF('AEOLUS'!$R$6:$R$205,"초과*")</f>
        <v/>
      </c>
      <c r="N5" s="10">
        <f>COUNTIFS('AEOLUS'!$W$6:$W$205,"&lt;="&amp;(TODAY()+5))</f>
        <v/>
      </c>
      <c r="O5" s="10">
        <f>COUNTIF('AEOLUS'!$Y$6:$Y$205,"발주완료")</f>
        <v/>
      </c>
    </row>
    <row r="6">
      <c r="A6" s="5" t="inlineStr">
        <is>
          <t>MELICERTES</t>
        </is>
      </c>
      <c r="B6" s="12" t="inlineStr">
        <is>
          <t>URGENT</t>
        </is>
      </c>
      <c r="C6" s="6">
        <f>IFERROR(IF(INDEX(스케줄!$B$5:$B$14,MATCH($A6,스케줄!$A$5:$A$14,0))="","-",INDEX(스케줄!$B$5:$B$14,MATCH($A6,스케줄!$A$5:$A$14,0))),"-")</f>
        <v/>
      </c>
      <c r="D6" s="7">
        <f>IFERROR(IF(N(INDEX(스케줄!$C$5:$C$14,MATCH($A6,스케줄!$A$5:$A$14,0)))=0,"",INDEX(스케줄!$C$5:$C$14,MATCH($A6,스케줄!$A$5:$A$14,0))),"")</f>
        <v/>
      </c>
      <c r="E6" s="8">
        <f>IFERROR(INDEX(스케줄!$I$5:$I$14,MATCH($A6,스케줄!$A$5:$A$14,0)),"")</f>
        <v/>
      </c>
      <c r="F6" s="9">
        <f>IFERROR(INDEX(스케줄!$J$5:$J$14,MATCH($A6,스케줄!$A$5:$A$14,0)),"")</f>
        <v/>
      </c>
      <c r="G6" s="10">
        <f>COUNTA('MELICERTES'!$E$6:$E$205)</f>
        <v/>
      </c>
      <c r="H6" s="10">
        <f>COUNTIF('MELICERTES'!$M$6:$M$205,"견적접수")</f>
        <v/>
      </c>
      <c r="I6" s="10">
        <f>COUNTIF('MELICERTES'!$M$6:$M$205,"확인필요")</f>
        <v/>
      </c>
      <c r="J6" s="10">
        <f>COUNTIF('MELICERTES'!$M$6:$M$205,"공급불가")</f>
        <v/>
      </c>
      <c r="K6" s="10">
        <f>COUNTIF('MELICERTES'!$M$6:$M$205,"미접수")</f>
        <v/>
      </c>
      <c r="L6" s="11">
        <f>SUM('MELICERTES'!$O$6:$O$205)</f>
        <v/>
      </c>
      <c r="M6" s="10">
        <f>COUNTIF('MELICERTES'!$R$6:$R$205,"초과*")</f>
        <v/>
      </c>
      <c r="N6" s="10">
        <f>COUNTIFS('MELICERTES'!$W$6:$W$205,"&lt;="&amp;(TODAY()+5))</f>
        <v/>
      </c>
      <c r="O6" s="10">
        <f>COUNTIF('MELICERTES'!$Y$6:$Y$205,"발주완료")</f>
        <v/>
      </c>
    </row>
    <row r="7">
      <c r="A7" s="5" t="inlineStr">
        <is>
          <t>NELEUS</t>
        </is>
      </c>
      <c r="B7" s="6" t="inlineStr">
        <is>
          <t>Routine</t>
        </is>
      </c>
      <c r="C7" s="6">
        <f>IFERROR(IF(INDEX(스케줄!$B$5:$B$14,MATCH($A7,스케줄!$A$5:$A$14,0))="","-",INDEX(스케줄!$B$5:$B$14,MATCH($A7,스케줄!$A$5:$A$14,0))),"-")</f>
        <v/>
      </c>
      <c r="D7" s="7">
        <f>IFERROR(IF(N(INDEX(스케줄!$C$5:$C$14,MATCH($A7,스케줄!$A$5:$A$14,0)))=0,"",INDEX(스케줄!$C$5:$C$14,MATCH($A7,스케줄!$A$5:$A$14,0))),"")</f>
        <v/>
      </c>
      <c r="E7" s="8">
        <f>IFERROR(INDEX(스케줄!$I$5:$I$14,MATCH($A7,스케줄!$A$5:$A$14,0)),"")</f>
        <v/>
      </c>
      <c r="F7" s="9">
        <f>IFERROR(INDEX(스케줄!$J$5:$J$14,MATCH($A7,스케줄!$A$5:$A$14,0)),"")</f>
        <v/>
      </c>
      <c r="G7" s="10">
        <f>COUNTA('NELEUS'!$E$6:$E$205)</f>
        <v/>
      </c>
      <c r="H7" s="10">
        <f>COUNTIF('NELEUS'!$M$6:$M$205,"견적접수")</f>
        <v/>
      </c>
      <c r="I7" s="10">
        <f>COUNTIF('NELEUS'!$M$6:$M$205,"확인필요")</f>
        <v/>
      </c>
      <c r="J7" s="10">
        <f>COUNTIF('NELEUS'!$M$6:$M$205,"공급불가")</f>
        <v/>
      </c>
      <c r="K7" s="10">
        <f>COUNTIF('NELEUS'!$M$6:$M$205,"미접수")</f>
        <v/>
      </c>
      <c r="L7" s="11">
        <f>SUM('NELEUS'!$O$6:$O$205)</f>
        <v/>
      </c>
      <c r="M7" s="10">
        <f>COUNTIF('NELEUS'!$R$6:$R$205,"초과*")</f>
        <v/>
      </c>
      <c r="N7" s="10">
        <f>COUNTIFS('NELEUS'!$W$6:$W$205,"&lt;="&amp;(TODAY()+5))</f>
        <v/>
      </c>
      <c r="O7" s="10">
        <f>COUNTIF('NELEUS'!$Y$6:$Y$205,"발주완료")</f>
        <v/>
      </c>
    </row>
    <row r="8">
      <c r="A8" s="5" t="inlineStr">
        <is>
          <t>ONEIROI</t>
        </is>
      </c>
      <c r="B8" s="12" t="inlineStr">
        <is>
          <t>URGENT</t>
        </is>
      </c>
      <c r="C8" s="6">
        <f>IFERROR(IF(INDEX(스케줄!$B$5:$B$14,MATCH($A8,스케줄!$A$5:$A$14,0))="","-",INDEX(스케줄!$B$5:$B$14,MATCH($A8,스케줄!$A$5:$A$14,0))),"-")</f>
        <v/>
      </c>
      <c r="D8" s="7">
        <f>IFERROR(IF(N(INDEX(스케줄!$C$5:$C$14,MATCH($A8,스케줄!$A$5:$A$14,0)))=0,"",INDEX(스케줄!$C$5:$C$14,MATCH($A8,스케줄!$A$5:$A$14,0))),"")</f>
        <v/>
      </c>
      <c r="E8" s="8">
        <f>IFERROR(INDEX(스케줄!$I$5:$I$14,MATCH($A8,스케줄!$A$5:$A$14,0)),"")</f>
        <v/>
      </c>
      <c r="F8" s="9">
        <f>IFERROR(INDEX(스케줄!$J$5:$J$14,MATCH($A8,스케줄!$A$5:$A$14,0)),"")</f>
        <v/>
      </c>
      <c r="G8" s="10">
        <f>COUNTA('ONEIROI'!$E$6:$E$205)</f>
        <v/>
      </c>
      <c r="H8" s="10">
        <f>COUNTIF('ONEIROI'!$M$6:$M$205,"견적접수")</f>
        <v/>
      </c>
      <c r="I8" s="10">
        <f>COUNTIF('ONEIROI'!$M$6:$M$205,"확인필요")</f>
        <v/>
      </c>
      <c r="J8" s="10">
        <f>COUNTIF('ONEIROI'!$M$6:$M$205,"공급불가")</f>
        <v/>
      </c>
      <c r="K8" s="10">
        <f>COUNTIF('ONEIROI'!$M$6:$M$205,"미접수")</f>
        <v/>
      </c>
      <c r="L8" s="11">
        <f>SUM('ONEIROI'!$O$6:$O$205)</f>
        <v/>
      </c>
      <c r="M8" s="10">
        <f>COUNTIF('ONEIROI'!$R$6:$R$205,"초과*")</f>
        <v/>
      </c>
      <c r="N8" s="10">
        <f>COUNTIFS('ONEIROI'!$W$6:$W$205,"&lt;="&amp;(TODAY()+5))</f>
        <v/>
      </c>
      <c r="O8" s="10">
        <f>COUNTIF('ONEIROI'!$Y$6:$Y$205,"발주완료")</f>
        <v/>
      </c>
    </row>
    <row r="9">
      <c r="A9" s="13" t="inlineStr">
        <is>
          <t>합계</t>
        </is>
      </c>
      <c r="B9" s="13" t="n"/>
      <c r="C9" s="13" t="n"/>
      <c r="D9" s="14" t="n"/>
      <c r="E9" s="15" t="n"/>
      <c r="F9" s="13" t="n"/>
      <c r="G9" s="16">
        <f>SUM(G5:G8)</f>
        <v/>
      </c>
      <c r="H9" s="16">
        <f>SUM(H5:H8)</f>
        <v/>
      </c>
      <c r="I9" s="16">
        <f>SUM(I5:I8)</f>
        <v/>
      </c>
      <c r="J9" s="16">
        <f>SUM(J5:J8)</f>
        <v/>
      </c>
      <c r="K9" s="16">
        <f>SUM(K5:K8)</f>
        <v/>
      </c>
      <c r="L9" s="17">
        <f>SUM(L5:L8)</f>
        <v/>
      </c>
      <c r="M9" s="16">
        <f>SUM(M5:M8)</f>
        <v/>
      </c>
      <c r="N9" s="16">
        <f>SUM(N5:N8)</f>
        <v/>
      </c>
      <c r="O9" s="16">
        <f>SUM(O5:O8)</f>
        <v/>
      </c>
    </row>
    <row r="11">
      <c r="A11" s="2" t="inlineStr">
        <is>
          <t>선박명을 누르면 해당 시트로 이동합니다. 일정 수정은 '스케줄' 시트. 통화: KRW (RFQ 기준).</t>
        </is>
      </c>
    </row>
  </sheetData>
  <conditionalFormatting sqref="E5:F8">
    <cfRule type="expression" priority="1" dxfId="0">
      <formula>AND(ISNUMBER($E5),$E5&gt;=0,$E5&lt;=4)</formula>
    </cfRule>
    <cfRule type="expression" priority="2" dxfId="1">
      <formula>AND(ISNUMBER($E5),$E5&gt;4,$E5&lt;=7)</formula>
    </cfRule>
  </conditionalFormatting>
  <conditionalFormatting sqref="I5:I9">
    <cfRule type="cellIs" priority="3" operator="greaterThan" dxfId="2">
      <formula>0</formula>
    </cfRule>
  </conditionalFormatting>
  <conditionalFormatting sqref="J5:J9">
    <cfRule type="cellIs" priority="4" operator="greaterThan" dxfId="3">
      <formula>0</formula>
    </cfRule>
  </conditionalFormatting>
  <conditionalFormatting sqref="M5:M9">
    <cfRule type="cellIs" priority="5" operator="greaterThan" dxfId="4">
      <formula>0</formula>
    </cfRule>
  </conditionalFormatting>
  <conditionalFormatting sqref="N5:N9">
    <cfRule type="cellIs" priority="6" operator="greaterThan" dxfId="4">
      <formula>0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24" customWidth="1" min="10" max="10"/>
    <col width="40" customWidth="1" min="11" max="11"/>
  </cols>
  <sheetData>
    <row r="1">
      <c r="A1" s="1" t="inlineStr">
        <is>
          <t>선박 스케줄 · 알림</t>
        </is>
      </c>
    </row>
    <row r="2">
      <c r="A2" s="2" t="inlineStr">
        <is>
          <t>노란 칸(일정·예정일·종료일·운송소요일)만 수정하면 D-day와 알림이 자동으로 바뀝니다 · 1주 전 = 주황, 4일 전 = 빨강 · 파일을 열 때마다 오늘 날짜 기준으로 다시 계산</t>
        </is>
      </c>
    </row>
    <row r="4" ht="32" customHeight="1">
      <c r="A4" s="4" t="inlineStr">
        <is>
          <t>선박</t>
        </is>
      </c>
      <c r="B4" s="4" t="inlineStr">
        <is>
          <t>일정</t>
        </is>
      </c>
      <c r="C4" s="4" t="inlineStr">
        <is>
          <t>예정일
(시작)</t>
        </is>
      </c>
      <c r="D4" s="4" t="inlineStr">
        <is>
          <t>종료일</t>
        </is>
      </c>
      <c r="E4" s="4" t="inlineStr">
        <is>
          <t>운송
소요(일)</t>
        </is>
      </c>
      <c r="F4" s="18" t="inlineStr">
        <is>
          <t>부산 출고
마감</t>
        </is>
      </c>
      <c r="G4" s="18" t="inlineStr">
        <is>
          <t>1주 전
(D-7)</t>
        </is>
      </c>
      <c r="H4" s="18" t="inlineStr">
        <is>
          <t>4일 전
(D-4)</t>
        </is>
      </c>
      <c r="I4" s="18" t="inlineStr">
        <is>
          <t>남은 일수</t>
        </is>
      </c>
      <c r="J4" s="18" t="inlineStr">
        <is>
          <t>알림</t>
        </is>
      </c>
      <c r="K4" s="4" t="inlineStr">
        <is>
          <t>비고</t>
        </is>
      </c>
    </row>
    <row r="5">
      <c r="A5" s="19" t="inlineStr">
        <is>
          <t>AEOLUS</t>
        </is>
      </c>
      <c r="B5" s="20" t="inlineStr">
        <is>
          <t>한국 통과</t>
        </is>
      </c>
      <c r="C5" s="21" t="n">
        <v>46336</v>
      </c>
      <c r="D5" s="21" t="n"/>
      <c r="E5" s="22" t="n"/>
      <c r="F5" s="23">
        <f>IF(C5="","",C5-N(E5))</f>
        <v/>
      </c>
      <c r="G5" s="23">
        <f>IF(C5="","",C5-7)</f>
        <v/>
      </c>
      <c r="H5" s="23">
        <f>IF(C5="","",C5-4)</f>
        <v/>
      </c>
      <c r="I5" s="24">
        <f>IF(C5="","",C5-TODAY())</f>
        <v/>
      </c>
      <c r="J5" s="25">
        <f>IF(A5="","",IF(C5="","일정 미정 – 입력 필요",IF(I5&lt;0,IF(AND(D5&lt;&gt;"",D5&gt;=TODAY()),"진행중 (종료일까지)","지남 – 다음 일정 입력"),IF(I5=0,"오늘 도착",IF(I5&lt;=4,"4일 전 – 최종 확인",IF(I5&lt;=7,"1주 전 – 준비 시작","대기"))))))</f>
        <v/>
      </c>
      <c r="K5" s="20" t="n"/>
    </row>
    <row r="6">
      <c r="A6" s="19" t="inlineStr">
        <is>
          <t>MELICERTES</t>
        </is>
      </c>
      <c r="B6" s="20" t="n"/>
      <c r="C6" s="21" t="n"/>
      <c r="D6" s="21" t="n"/>
      <c r="E6" s="22" t="n"/>
      <c r="F6" s="23">
        <f>IF(C6="","",C6-N(E6))</f>
        <v/>
      </c>
      <c r="G6" s="23">
        <f>IF(C6="","",C6-7)</f>
        <v/>
      </c>
      <c r="H6" s="23">
        <f>IF(C6="","",C6-4)</f>
        <v/>
      </c>
      <c r="I6" s="24">
        <f>IF(C6="","",C6-TODAY())</f>
        <v/>
      </c>
      <c r="J6" s="25">
        <f>IF(A6="","",IF(C6="","일정 미정 – 입력 필요",IF(I6&lt;0,IF(AND(D6&lt;&gt;"",D6&gt;=TODAY()),"진행중 (종료일까지)","지남 – 다음 일정 입력"),IF(I6=0,"오늘 도착",IF(I6&lt;=4,"4일 전 – 최종 확인",IF(I6&lt;=7,"1주 전 – 준비 시작","대기"))))))</f>
        <v/>
      </c>
      <c r="K6" s="20" t="inlineStr">
        <is>
          <t>일정 확인 필요 (RFQ상 Sabetta ETA 19-Oct 지남)</t>
        </is>
      </c>
    </row>
    <row r="7">
      <c r="A7" s="19" t="inlineStr">
        <is>
          <t>NELEUS</t>
        </is>
      </c>
      <c r="B7" s="20" t="n"/>
      <c r="C7" s="21" t="n"/>
      <c r="D7" s="21" t="n"/>
      <c r="E7" s="22" t="n"/>
      <c r="F7" s="23">
        <f>IF(C7="","",C7-N(E7))</f>
        <v/>
      </c>
      <c r="G7" s="23">
        <f>IF(C7="","",C7-7)</f>
        <v/>
      </c>
      <c r="H7" s="23">
        <f>IF(C7="","",C7-4)</f>
        <v/>
      </c>
      <c r="I7" s="24">
        <f>IF(C7="","",C7-TODAY())</f>
        <v/>
      </c>
      <c r="J7" s="25">
        <f>IF(A7="","",IF(C7="","일정 미정 – 입력 필요",IF(I7&lt;0,IF(AND(D7&lt;&gt;"",D7&gt;=TODAY()),"진행중 (종료일까지)","지남 – 다음 일정 입력"),IF(I7=0,"오늘 도착",IF(I7&lt;=4,"4일 전 – 최종 확인",IF(I7&lt;=7,"1주 전 – 준비 시작","대기"))))))</f>
        <v/>
      </c>
      <c r="K7" s="20" t="inlineStr">
        <is>
          <t>일정 확인 필요</t>
        </is>
      </c>
    </row>
    <row r="8">
      <c r="A8" s="19" t="inlineStr">
        <is>
          <t>ONEIROI</t>
        </is>
      </c>
      <c r="B8" s="20" t="inlineStr">
        <is>
          <t>네덜란드 보급</t>
        </is>
      </c>
      <c r="C8" s="21" t="n">
        <v>46338</v>
      </c>
      <c r="D8" s="21" t="n">
        <v>46339</v>
      </c>
      <c r="E8" s="22" t="n"/>
      <c r="F8" s="23">
        <f>IF(C8="","",C8-N(E8))</f>
        <v/>
      </c>
      <c r="G8" s="23">
        <f>IF(C8="","",C8-7)</f>
        <v/>
      </c>
      <c r="H8" s="23">
        <f>IF(C8="","",C8-4)</f>
        <v/>
      </c>
      <c r="I8" s="24">
        <f>IF(C8="","",C8-TODAY())</f>
        <v/>
      </c>
      <c r="J8" s="25">
        <f>IF(A8="","",IF(C8="","일정 미정 – 입력 필요",IF(I8&lt;0,IF(AND(D8&lt;&gt;"",D8&gt;=TODAY()),"진행중 (종료일까지)","지남 – 다음 일정 입력"),IF(I8=0,"오늘 도착",IF(I8&lt;=4,"4일 전 – 최종 확인",IF(I8&lt;=7,"1주 전 – 준비 시작","대기"))))))</f>
        <v/>
      </c>
      <c r="K8" s="20" t="inlineStr">
        <is>
          <t>EXW 부산 → 네덜란드 포워딩 기간 별도</t>
        </is>
      </c>
    </row>
    <row r="9">
      <c r="A9" s="19" t="n"/>
      <c r="B9" s="20" t="n"/>
      <c r="C9" s="21" t="n"/>
      <c r="D9" s="21" t="n"/>
      <c r="E9" s="22" t="n"/>
      <c r="F9" s="23">
        <f>IF(C9="","",C9-N(E9))</f>
        <v/>
      </c>
      <c r="G9" s="23">
        <f>IF(C9="","",C9-7)</f>
        <v/>
      </c>
      <c r="H9" s="23">
        <f>IF(C9="","",C9-4)</f>
        <v/>
      </c>
      <c r="I9" s="24">
        <f>IF(C9="","",C9-TODAY())</f>
        <v/>
      </c>
      <c r="J9" s="25">
        <f>IF(A9="","",IF(C9="","일정 미정 – 입력 필요",IF(I9&lt;0,IF(AND(D9&lt;&gt;"",D9&gt;=TODAY()),"진행중 (종료일까지)","지남 – 다음 일정 입력"),IF(I9=0,"오늘 도착",IF(I9&lt;=4,"4일 전 – 최종 확인",IF(I9&lt;=7,"1주 전 – 준비 시작","대기"))))))</f>
        <v/>
      </c>
      <c r="K9" s="20" t="n"/>
    </row>
    <row r="10">
      <c r="A10" s="19" t="n"/>
      <c r="B10" s="20" t="n"/>
      <c r="C10" s="21" t="n"/>
      <c r="D10" s="21" t="n"/>
      <c r="E10" s="22" t="n"/>
      <c r="F10" s="23">
        <f>IF(C10="","",C10-N(E10))</f>
        <v/>
      </c>
      <c r="G10" s="23">
        <f>IF(C10="","",C10-7)</f>
        <v/>
      </c>
      <c r="H10" s="23">
        <f>IF(C10="","",C10-4)</f>
        <v/>
      </c>
      <c r="I10" s="24">
        <f>IF(C10="","",C10-TODAY())</f>
        <v/>
      </c>
      <c r="J10" s="25">
        <f>IF(A10="","",IF(C10="","일정 미정 – 입력 필요",IF(I10&lt;0,IF(AND(D10&lt;&gt;"",D10&gt;=TODAY()),"진행중 (종료일까지)","지남 – 다음 일정 입력"),IF(I10=0,"오늘 도착",IF(I10&lt;=4,"4일 전 – 최종 확인",IF(I10&lt;=7,"1주 전 – 준비 시작","대기"))))))</f>
        <v/>
      </c>
      <c r="K10" s="20" t="n"/>
    </row>
    <row r="11">
      <c r="A11" s="19" t="n"/>
      <c r="B11" s="20" t="n"/>
      <c r="C11" s="21" t="n"/>
      <c r="D11" s="21" t="n"/>
      <c r="E11" s="22" t="n"/>
      <c r="F11" s="23">
        <f>IF(C11="","",C11-N(E11))</f>
        <v/>
      </c>
      <c r="G11" s="23">
        <f>IF(C11="","",C11-7)</f>
        <v/>
      </c>
      <c r="H11" s="23">
        <f>IF(C11="","",C11-4)</f>
        <v/>
      </c>
      <c r="I11" s="24">
        <f>IF(C11="","",C11-TODAY())</f>
        <v/>
      </c>
      <c r="J11" s="25">
        <f>IF(A11="","",IF(C11="","일정 미정 – 입력 필요",IF(I11&lt;0,IF(AND(D11&lt;&gt;"",D11&gt;=TODAY()),"진행중 (종료일까지)","지남 – 다음 일정 입력"),IF(I11=0,"오늘 도착",IF(I11&lt;=4,"4일 전 – 최종 확인",IF(I11&lt;=7,"1주 전 – 준비 시작","대기"))))))</f>
        <v/>
      </c>
      <c r="K11" s="20" t="n"/>
    </row>
    <row r="12">
      <c r="A12" s="19" t="n"/>
      <c r="B12" s="20" t="n"/>
      <c r="C12" s="21" t="n"/>
      <c r="D12" s="21" t="n"/>
      <c r="E12" s="22" t="n"/>
      <c r="F12" s="23">
        <f>IF(C12="","",C12-N(E12))</f>
        <v/>
      </c>
      <c r="G12" s="23">
        <f>IF(C12="","",C12-7)</f>
        <v/>
      </c>
      <c r="H12" s="23">
        <f>IF(C12="","",C12-4)</f>
        <v/>
      </c>
      <c r="I12" s="24">
        <f>IF(C12="","",C12-TODAY())</f>
        <v/>
      </c>
      <c r="J12" s="25">
        <f>IF(A12="","",IF(C12="","일정 미정 – 입력 필요",IF(I12&lt;0,IF(AND(D12&lt;&gt;"",D12&gt;=TODAY()),"진행중 (종료일까지)","지남 – 다음 일정 입력"),IF(I12=0,"오늘 도착",IF(I12&lt;=4,"4일 전 – 최종 확인",IF(I12&lt;=7,"1주 전 – 준비 시작","대기"))))))</f>
        <v/>
      </c>
      <c r="K12" s="20" t="n"/>
    </row>
    <row r="13">
      <c r="A13" s="19" t="n"/>
      <c r="B13" s="20" t="n"/>
      <c r="C13" s="21" t="n"/>
      <c r="D13" s="21" t="n"/>
      <c r="E13" s="22" t="n"/>
      <c r="F13" s="23">
        <f>IF(C13="","",C13-N(E13))</f>
        <v/>
      </c>
      <c r="G13" s="23">
        <f>IF(C13="","",C13-7)</f>
        <v/>
      </c>
      <c r="H13" s="23">
        <f>IF(C13="","",C13-4)</f>
        <v/>
      </c>
      <c r="I13" s="24">
        <f>IF(C13="","",C13-TODAY())</f>
        <v/>
      </c>
      <c r="J13" s="25">
        <f>IF(A13="","",IF(C13="","일정 미정 – 입력 필요",IF(I13&lt;0,IF(AND(D13&lt;&gt;"",D13&gt;=TODAY()),"진행중 (종료일까지)","지남 – 다음 일정 입력"),IF(I13=0,"오늘 도착",IF(I13&lt;=4,"4일 전 – 최종 확인",IF(I13&lt;=7,"1주 전 – 준비 시작","대기"))))))</f>
        <v/>
      </c>
      <c r="K13" s="20" t="n"/>
    </row>
    <row r="14">
      <c r="A14" s="19" t="n"/>
      <c r="B14" s="20" t="n"/>
      <c r="C14" s="21" t="n"/>
      <c r="D14" s="21" t="n"/>
      <c r="E14" s="22" t="n"/>
      <c r="F14" s="23">
        <f>IF(C14="","",C14-N(E14))</f>
        <v/>
      </c>
      <c r="G14" s="23">
        <f>IF(C14="","",C14-7)</f>
        <v/>
      </c>
      <c r="H14" s="23">
        <f>IF(C14="","",C14-4)</f>
        <v/>
      </c>
      <c r="I14" s="24">
        <f>IF(C14="","",C14-TODAY())</f>
        <v/>
      </c>
      <c r="J14" s="25">
        <f>IF(A14="","",IF(C14="","일정 미정 – 입력 필요",IF(I14&lt;0,IF(AND(D14&lt;&gt;"",D14&gt;=TODAY()),"진행중 (종료일까지)","지남 – 다음 일정 입력"),IF(I14=0,"오늘 도착",IF(I14&lt;=4,"4일 전 – 최종 확인",IF(I14&lt;=7,"1주 전 – 준비 시작","대기"))))))</f>
        <v/>
      </c>
      <c r="K14" s="20" t="n"/>
    </row>
    <row r="16">
      <c r="A16" s="2" t="inlineStr">
        <is>
          <t>선박 1척 = 1줄 (다음 일정만). 일정이 끝나면 같은 줄의 일정·날짜를 다음 일정으로 바꿔 쓰세요.</t>
        </is>
      </c>
    </row>
  </sheetData>
  <conditionalFormatting sqref="I5:J14">
    <cfRule type="expression" priority="1" dxfId="0">
      <formula>AND(ISNUMBER($I5),$I5&gt;=0,$I5&lt;=4)</formula>
    </cfRule>
    <cfRule type="expression" priority="2" dxfId="1">
      <formula>AND(ISNUMBER($I5),$I5&gt;4,$I5&lt;=7)</formula>
    </cfRule>
    <cfRule type="expression" priority="3" dxfId="5">
      <formula>AND(ISNUMBER($I5),$I5&lt;0)</formula>
    </cfRule>
  </conditionalFormatting>
  <conditionalFormatting sqref="G5:G14">
    <cfRule type="expression" priority="4" dxfId="6">
      <formula>AND(ISNUMBER($G5),TODAY()&gt;=$G5,TODAY()&lt;=$C5)</formula>
    </cfRule>
  </conditionalFormatting>
  <conditionalFormatting sqref="H5:H14">
    <cfRule type="expression" priority="5" dxfId="0">
      <formula>AND(ISNUMBER($H5),TODAY()&gt;=$H5,TODAY()&lt;=$C5)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Z205"/>
  <sheetViews>
    <sheetView zoomScale="9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" customWidth="1" min="3" max="3"/>
    <col width="11" customWidth="1" min="4" max="4"/>
    <col width="28" customWidth="1" min="5" max="5"/>
    <col width="20" customWidth="1" min="6" max="6"/>
    <col width="24" customWidth="1" min="7" max="7"/>
    <col width="18" customWidth="1" min="8" max="8"/>
    <col width="22" customWidth="1" min="9" max="9"/>
    <col width="6" customWidth="1" min="10" max="10"/>
    <col width="6" customWidth="1" min="11" max="11"/>
    <col width="9" customWidth="1" min="12" max="12"/>
    <col width="10" customWidth="1" min="13" max="13"/>
    <col width="12" customWidth="1" min="14" max="14"/>
    <col width="13" customWidth="1" min="15" max="15"/>
    <col width="7" customWidth="1" min="16" max="16"/>
    <col width="11" customWidth="1" min="17" max="17"/>
    <col width="12" customWidth="1" min="18" max="18"/>
    <col width="9" customWidth="1" min="19" max="19"/>
    <col width="14" customWidth="1" min="20" max="20"/>
    <col width="6" customWidth="1" min="21" max="21"/>
    <col width="11" customWidth="1" min="22" max="22"/>
    <col width="11" customWidth="1" min="23" max="23"/>
    <col width="34" customWidth="1" min="24" max="24"/>
    <col width="13" customWidth="1" min="25" max="25"/>
    <col width="30" customWidth="1" min="26" max="26"/>
  </cols>
  <sheetData>
    <row r="1">
      <c r="A1" s="1" t="inlineStr">
        <is>
          <t>AEOLUS</t>
        </is>
      </c>
      <c r="D1" s="26" t="inlineStr">
        <is>
          <t>IMO 9958298   ·   Routine   ·   납품항/ETA: TBA</t>
        </is>
      </c>
    </row>
    <row r="2" ht="24" customHeight="1">
      <c r="A2" s="27">
        <f>IFERROR(IF(N(INDEX(스케줄!$C$5:$C$14,MATCH("AEOLUS",스케줄!$A$5:$A$14,0)))=0,"다음 일정: 미정 (스케줄 시트에 입력)","다음 일정: "&amp;INDEX(스케줄!$B$5:$B$14,MATCH("AEOLUS",스케줄!$A$5:$A$14,0))&amp;"  "&amp;TEXT(INDEX(스케줄!$C$5:$C$14,MATCH("AEOLUS",스케줄!$A$5:$A$14,0)),"mm/dd")&amp;IF(N(INDEX(스케줄!$D$5:$D$14,MATCH("AEOLUS",스케줄!$A$5:$A$14,0)))=0,"","~"&amp;TEXT(INDEX(스케줄!$D$5:$D$14,MATCH("AEOLUS",스케줄!$A$5:$A$14,0)),"mm/dd"))),"")</f>
        <v/>
      </c>
      <c r="F2" s="28">
        <f>IFERROR(INDEX(스케줄!$I$5:$I$14,MATCH("AEOLUS",스케줄!$A$5:$A$14,0)),"")</f>
        <v/>
      </c>
      <c r="G2" s="29">
        <f>IFERROR(INDEX(스케줄!$J$5:$J$14,MATCH("AEOLUS",스케줄!$A$5:$A$14,0)),"")</f>
        <v/>
      </c>
      <c r="I2" s="30" t="inlineStr">
        <is>
          <t>부산 출고 마감</t>
        </is>
      </c>
      <c r="J2" s="31">
        <f>IFERROR(INDEX(스케줄!$F$5:$F$14,MATCH("AEOLUS",스케줄!$A$5:$A$14,0)),"")</f>
        <v/>
      </c>
    </row>
    <row r="3" ht="22" customHeight="1">
      <c r="A3" s="30" t="inlineStr">
        <is>
          <t>품목</t>
        </is>
      </c>
      <c r="B3" s="32">
        <f>COUNTA($E$6:$E$205)</f>
        <v/>
      </c>
      <c r="C3" s="30" t="inlineStr">
        <is>
          <t>견적접수</t>
        </is>
      </c>
      <c r="D3" s="32">
        <f>COUNTIF($M$6:$M$205,"견적접수")</f>
        <v/>
      </c>
      <c r="E3" s="30" t="inlineStr">
        <is>
          <t>확인필요</t>
        </is>
      </c>
      <c r="F3" s="32">
        <f>COUNTIF($M$6:$M$205,"확인필요")</f>
        <v/>
      </c>
      <c r="G3" s="30" t="inlineStr">
        <is>
          <t>공급불가</t>
        </is>
      </c>
      <c r="H3" s="32">
        <f>COUNTIF($M$6:$M$205,"공급불가")</f>
        <v/>
      </c>
      <c r="I3" s="30" t="inlineStr">
        <is>
          <t>미접수</t>
        </is>
      </c>
      <c r="J3" s="32">
        <f>COUNTIF($M$6:$M$205,"미접수")</f>
        <v/>
      </c>
      <c r="K3" s="30" t="inlineStr">
        <is>
          <t>견적금액 합계 (KRW)</t>
        </is>
      </c>
      <c r="L3" s="33" t="n"/>
      <c r="M3" s="34">
        <f>SUM($O$6:$O$205)</f>
        <v/>
      </c>
    </row>
    <row r="4">
      <c r="A4" s="2" t="inlineStr">
        <is>
          <t>노란 칸 = 입력 / 회색 칸 = 자동 계산 · 새 품목·다른 업체 견적은 아래 빈 줄에 추가 · ▼ 필터로 상태별 보기 · 일정은 '스케줄' 시트에서 수정</t>
        </is>
      </c>
    </row>
    <row r="5" ht="32" customHeight="1">
      <c r="A5" s="18" t="inlineStr">
        <is>
          <t>No</t>
        </is>
      </c>
      <c r="B5" s="4" t="inlineStr">
        <is>
          <t>RFQ No.</t>
        </is>
      </c>
      <c r="C5" s="4" t="inlineStr">
        <is>
          <t>파일</t>
        </is>
      </c>
      <c r="D5" s="4" t="inlineStr">
        <is>
          <t>Maker</t>
        </is>
      </c>
      <c r="E5" s="4" t="inlineStr">
        <is>
          <t>품목 (Item)</t>
        </is>
      </c>
      <c r="F5" s="4" t="inlineStr">
        <is>
          <t>Model</t>
        </is>
      </c>
      <c r="G5" s="4" t="inlineStr">
        <is>
          <t>Part No. / Drawing</t>
        </is>
      </c>
      <c r="H5" s="4" t="inlineStr">
        <is>
          <t>Equipment / System</t>
        </is>
      </c>
      <c r="I5" s="4" t="inlineStr">
        <is>
          <t>Spec / 비고</t>
        </is>
      </c>
      <c r="J5" s="4" t="inlineStr">
        <is>
          <t>수량</t>
        </is>
      </c>
      <c r="K5" s="4" t="inlineStr">
        <is>
          <t>단위</t>
        </is>
      </c>
      <c r="L5" s="4" t="inlineStr">
        <is>
          <t>견적업체</t>
        </is>
      </c>
      <c r="M5" s="4" t="inlineStr">
        <is>
          <t>견적상태</t>
        </is>
      </c>
      <c r="N5" s="4" t="inlineStr">
        <is>
          <t>단가
(KRW)</t>
        </is>
      </c>
      <c r="O5" s="18" t="inlineStr">
        <is>
          <t>금액
(KRW)</t>
        </is>
      </c>
      <c r="P5" s="4" t="inlineStr">
        <is>
          <t>납기
(일)</t>
        </is>
      </c>
      <c r="Q5" s="18" t="inlineStr">
        <is>
          <t>준비
예상일</t>
        </is>
      </c>
      <c r="R5" s="18" t="inlineStr">
        <is>
          <t>일정
대비</t>
        </is>
      </c>
      <c r="S5" s="4" t="inlineStr">
        <is>
          <t>정품/
OEM</t>
        </is>
      </c>
      <c r="T5" s="4" t="inlineStr">
        <is>
          <t>인도조건</t>
        </is>
      </c>
      <c r="U5" s="4" t="inlineStr">
        <is>
          <t>유효
(일)</t>
        </is>
      </c>
      <c r="V5" s="4" t="inlineStr">
        <is>
          <t>접수일</t>
        </is>
      </c>
      <c r="W5" s="18" t="inlineStr">
        <is>
          <t>만료일</t>
        </is>
      </c>
      <c r="X5" s="4" t="inlineStr">
        <is>
          <t>업체 회신 원문</t>
        </is>
      </c>
      <c r="Y5" s="4" t="inlineStr">
        <is>
          <t>진행상태</t>
        </is>
      </c>
      <c r="Z5" s="4" t="inlineStr">
        <is>
          <t>다음 조치</t>
        </is>
      </c>
    </row>
    <row r="6">
      <c r="A6" s="35">
        <f>IF(E6="","",ROW()-5)</f>
        <v/>
      </c>
      <c r="B6" s="36" t="inlineStr">
        <is>
          <t>KQU-000116304</t>
        </is>
      </c>
      <c r="C6" s="36" t="inlineStr">
        <is>
          <t>01</t>
        </is>
      </c>
      <c r="D6" s="36" t="inlineStr">
        <is>
          <t>NORGREN</t>
        </is>
      </c>
      <c r="E6" s="37" t="inlineStr">
        <is>
          <t>Air filter</t>
        </is>
      </c>
      <c r="F6" s="37" t="inlineStr">
        <is>
          <t>Hanwha - MAN B&amp;W 5G70ME-C10.5-GA</t>
        </is>
      </c>
      <c r="G6" s="37" t="inlineStr">
        <is>
          <t>Plate/Drawing no. 5672-0260-0001
Part no. 57</t>
        </is>
      </c>
      <c r="H6" s="37" t="inlineStr">
        <is>
          <t>Emission Control System</t>
        </is>
      </c>
      <c r="I6" s="37" t="inlineStr">
        <is>
          <t>Filter Maker: Norgren, Type: F05G-2AN-AM3</t>
        </is>
      </c>
      <c r="J6" s="36" t="n">
        <v>8</v>
      </c>
      <c r="K6" s="36" t="inlineStr">
        <is>
          <t>set</t>
        </is>
      </c>
      <c r="L6" s="36" t="inlineStr">
        <is>
          <t>RMS</t>
        </is>
      </c>
      <c r="M6" s="36" t="inlineStr">
        <is>
          <t>견적접수</t>
        </is>
      </c>
      <c r="N6" s="38" t="n">
        <v>621000</v>
      </c>
      <c r="O6" s="39">
        <f>IF(OR(N6="",J6=""),"",N6*J6)</f>
        <v/>
      </c>
      <c r="P6" s="40" t="n">
        <v>5</v>
      </c>
      <c r="Q6" s="41">
        <f>IF(OR(P6="",Y6="발주완료",Y6="취소"),"",TODAY()+P6)</f>
        <v/>
      </c>
      <c r="R6" s="35">
        <f>IF(OR(Q6="",NOT(ISNUMBER($J$2))),"",IF(Q6&lt;=$J$2,"가능","초과 "&amp;(Q6-$J$2)&amp;"일"))</f>
        <v/>
      </c>
      <c r="S6" s="36" t="inlineStr">
        <is>
          <t>OEM</t>
        </is>
      </c>
      <c r="T6" s="36" t="inlineStr">
        <is>
          <t>EX WORK BUSAN</t>
        </is>
      </c>
      <c r="U6" s="36" t="n">
        <v>20</v>
      </c>
      <c r="V6" s="42" t="n"/>
      <c r="W6" s="41">
        <f>IF(OR(V6="",U6=""),"",V6+U6)</f>
        <v/>
      </c>
      <c r="X6" s="37" t="inlineStr">
        <is>
          <t>D/T: 5 DAYS, OEM, EX WORK BUSAN [VALI: 20 DAYS]</t>
        </is>
      </c>
      <c r="Y6" s="36" t="inlineStr">
        <is>
          <t>검토중</t>
        </is>
      </c>
      <c r="Z6" s="37" t="n"/>
    </row>
    <row r="7">
      <c r="A7" s="35">
        <f>IF(E7="","",ROW()-5)</f>
        <v/>
      </c>
      <c r="B7" s="36" t="inlineStr">
        <is>
          <t>KQU-000116304</t>
        </is>
      </c>
      <c r="C7" s="36" t="inlineStr">
        <is>
          <t>01</t>
        </is>
      </c>
      <c r="D7" s="36" t="inlineStr">
        <is>
          <t>NORGREN</t>
        </is>
      </c>
      <c r="E7" s="37" t="inlineStr">
        <is>
          <t>Air filter element</t>
        </is>
      </c>
      <c r="F7" s="37" t="inlineStr">
        <is>
          <t>Hanwha - MAN B&amp;W 5G70ME-C10.5-GA</t>
        </is>
      </c>
      <c r="G7" s="37" t="inlineStr">
        <is>
          <t>Plate/Drawing no. 5672-0260-0001</t>
        </is>
      </c>
      <c r="H7" s="37" t="inlineStr">
        <is>
          <t>Emission Control System</t>
        </is>
      </c>
      <c r="I7" s="37" t="inlineStr">
        <is>
          <t>Service Kit- F05G 40 MIC / Maker part No.: 3653-28</t>
        </is>
      </c>
      <c r="J7" s="36" t="n">
        <v>100</v>
      </c>
      <c r="K7" s="36" t="inlineStr">
        <is>
          <t>pcs</t>
        </is>
      </c>
      <c r="L7" s="36" t="inlineStr">
        <is>
          <t>RMS</t>
        </is>
      </c>
      <c r="M7" s="36" t="inlineStr">
        <is>
          <t>견적접수</t>
        </is>
      </c>
      <c r="N7" s="38" t="n">
        <v>99500</v>
      </c>
      <c r="O7" s="39">
        <f>IF(OR(N7="",J7=""),"",N7*J7)</f>
        <v/>
      </c>
      <c r="P7" s="40" t="n">
        <v>90</v>
      </c>
      <c r="Q7" s="41">
        <f>IF(OR(P7="",Y7="발주완료",Y7="취소"),"",TODAY()+P7)</f>
        <v/>
      </c>
      <c r="R7" s="35">
        <f>IF(OR(Q7="",NOT(ISNUMBER($J$2))),"",IF(Q7&lt;=$J$2,"가능","초과 "&amp;(Q7-$J$2)&amp;"일"))</f>
        <v/>
      </c>
      <c r="S7" s="36" t="inlineStr">
        <is>
          <t>OEM</t>
        </is>
      </c>
      <c r="T7" s="36" t="inlineStr">
        <is>
          <t>EX WORK BUSAN</t>
        </is>
      </c>
      <c r="U7" s="36" t="n">
        <v>20</v>
      </c>
      <c r="V7" s="42" t="n"/>
      <c r="W7" s="41">
        <f>IF(OR(V7="",U7=""),"",V7+U7)</f>
        <v/>
      </c>
      <c r="X7" s="37" t="inlineStr">
        <is>
          <t>D/T: 90 DAYS, OEM, EX WORK BUSAN [VALI: 20 DAYS]</t>
        </is>
      </c>
      <c r="Y7" s="36" t="inlineStr">
        <is>
          <t>검토중</t>
        </is>
      </c>
      <c r="Z7" s="37" t="n"/>
    </row>
    <row r="8">
      <c r="A8" s="35">
        <f>IF(E8="","",ROW()-5)</f>
        <v/>
      </c>
      <c r="B8" s="36" t="inlineStr">
        <is>
          <t>KQU-000116306</t>
        </is>
      </c>
      <c r="C8" s="36" t="inlineStr">
        <is>
          <t>04</t>
        </is>
      </c>
      <c r="D8" s="36" t="inlineStr">
        <is>
          <t>WAGO</t>
        </is>
      </c>
      <c r="E8" s="37" t="inlineStr">
        <is>
          <t>WAGO module for EGR system</t>
        </is>
      </c>
      <c r="F8" s="37" t="inlineStr">
        <is>
          <t>WAGO / 750-8216/040-00</t>
        </is>
      </c>
      <c r="G8" s="37" t="inlineStr">
        <is>
          <t>As attached</t>
        </is>
      </c>
      <c r="H8" s="37" t="inlineStr">
        <is>
          <t>EGR System</t>
        </is>
      </c>
      <c r="I8" s="37" t="n"/>
      <c r="J8" s="36" t="n">
        <v>1</v>
      </c>
      <c r="K8" s="36" t="inlineStr">
        <is>
          <t>set</t>
        </is>
      </c>
      <c r="L8" s="36" t="inlineStr">
        <is>
          <t>RMS</t>
        </is>
      </c>
      <c r="M8" s="36" t="inlineStr">
        <is>
          <t>견적접수</t>
        </is>
      </c>
      <c r="N8" s="38" t="n">
        <v>2300000</v>
      </c>
      <c r="O8" s="39">
        <f>IF(OR(N8="",J8=""),"",N8*J8)</f>
        <v/>
      </c>
      <c r="P8" s="40" t="n">
        <v>60</v>
      </c>
      <c r="Q8" s="41">
        <f>IF(OR(P8="",Y8="발주완료",Y8="취소"),"",TODAY()+P8)</f>
        <v/>
      </c>
      <c r="R8" s="35">
        <f>IF(OR(Q8="",NOT(ISNUMBER($J$2))),"",IF(Q8&lt;=$J$2,"가능","초과 "&amp;(Q8-$J$2)&amp;"일"))</f>
        <v/>
      </c>
      <c r="S8" s="36" t="inlineStr">
        <is>
          <t>OEM</t>
        </is>
      </c>
      <c r="T8" s="36" t="inlineStr">
        <is>
          <t>EX WORK BUSAN</t>
        </is>
      </c>
      <c r="U8" s="36" t="n">
        <v>20</v>
      </c>
      <c r="V8" s="42" t="n"/>
      <c r="W8" s="41">
        <f>IF(OR(V8="",U8=""),"",V8+U8)</f>
        <v/>
      </c>
      <c r="X8" s="37" t="inlineStr">
        <is>
          <t>D/T: 60 DAYS, OEM, EX WORK BUSAN [VALI: 20 DAYS]</t>
        </is>
      </c>
      <c r="Y8" s="36" t="inlineStr">
        <is>
          <t>검토중</t>
        </is>
      </c>
      <c r="Z8" s="37" t="n"/>
    </row>
    <row r="9">
      <c r="A9" s="35">
        <f>IF(E9="","",ROW()-5)</f>
        <v/>
      </c>
      <c r="B9" s="36" t="n"/>
      <c r="C9" s="36" t="n"/>
      <c r="D9" s="36" t="n"/>
      <c r="E9" s="37" t="n"/>
      <c r="F9" s="37" t="n"/>
      <c r="G9" s="37" t="n"/>
      <c r="H9" s="37" t="n"/>
      <c r="I9" s="37" t="n"/>
      <c r="J9" s="36" t="n"/>
      <c r="K9" s="36" t="n"/>
      <c r="L9" s="36" t="n"/>
      <c r="M9" s="36" t="n"/>
      <c r="N9" s="38" t="n"/>
      <c r="O9" s="39">
        <f>IF(OR(N9="",J9=""),"",N9*J9)</f>
        <v/>
      </c>
      <c r="P9" s="40" t="n"/>
      <c r="Q9" s="41">
        <f>IF(OR(P9="",Y9="발주완료",Y9="취소"),"",TODAY()+P9)</f>
        <v/>
      </c>
      <c r="R9" s="35">
        <f>IF(OR(Q9="",NOT(ISNUMBER($J$2))),"",IF(Q9&lt;=$J$2,"가능","초과 "&amp;(Q9-$J$2)&amp;"일"))</f>
        <v/>
      </c>
      <c r="S9" s="36" t="n"/>
      <c r="T9" s="36" t="n"/>
      <c r="U9" s="36" t="n"/>
      <c r="V9" s="43" t="n"/>
      <c r="W9" s="41">
        <f>IF(OR(V9="",U9=""),"",V9+U9)</f>
        <v/>
      </c>
      <c r="X9" s="37" t="n"/>
      <c r="Y9" s="36" t="n"/>
      <c r="Z9" s="37" t="n"/>
    </row>
    <row r="10">
      <c r="A10" s="35">
        <f>IF(E10="","",ROW()-5)</f>
        <v/>
      </c>
      <c r="B10" s="36" t="n"/>
      <c r="C10" s="36" t="n"/>
      <c r="D10" s="36" t="n"/>
      <c r="E10" s="37" t="n"/>
      <c r="F10" s="37" t="n"/>
      <c r="G10" s="37" t="n"/>
      <c r="H10" s="37" t="n"/>
      <c r="I10" s="37" t="n"/>
      <c r="J10" s="36" t="n"/>
      <c r="K10" s="36" t="n"/>
      <c r="L10" s="36" t="n"/>
      <c r="M10" s="36" t="n"/>
      <c r="N10" s="38" t="n"/>
      <c r="O10" s="39">
        <f>IF(OR(N10="",J10=""),"",N10*J10)</f>
        <v/>
      </c>
      <c r="P10" s="40" t="n"/>
      <c r="Q10" s="41">
        <f>IF(OR(P10="",Y10="발주완료",Y10="취소"),"",TODAY()+P10)</f>
        <v/>
      </c>
      <c r="R10" s="35">
        <f>IF(OR(Q10="",NOT(ISNUMBER($J$2))),"",IF(Q10&lt;=$J$2,"가능","초과 "&amp;(Q10-$J$2)&amp;"일"))</f>
        <v/>
      </c>
      <c r="S10" s="36" t="n"/>
      <c r="T10" s="36" t="n"/>
      <c r="U10" s="36" t="n"/>
      <c r="V10" s="43" t="n"/>
      <c r="W10" s="41">
        <f>IF(OR(V10="",U10=""),"",V10+U10)</f>
        <v/>
      </c>
      <c r="X10" s="37" t="n"/>
      <c r="Y10" s="36" t="n"/>
      <c r="Z10" s="37" t="n"/>
    </row>
    <row r="11">
      <c r="A11" s="35">
        <f>IF(E11="","",ROW()-5)</f>
        <v/>
      </c>
      <c r="B11" s="36" t="n"/>
      <c r="C11" s="36" t="n"/>
      <c r="D11" s="36" t="n"/>
      <c r="E11" s="37" t="n"/>
      <c r="F11" s="37" t="n"/>
      <c r="G11" s="37" t="n"/>
      <c r="H11" s="37" t="n"/>
      <c r="I11" s="37" t="n"/>
      <c r="J11" s="36" t="n"/>
      <c r="K11" s="36" t="n"/>
      <c r="L11" s="36" t="n"/>
      <c r="M11" s="36" t="n"/>
      <c r="N11" s="38" t="n"/>
      <c r="O11" s="39">
        <f>IF(OR(N11="",J11=""),"",N11*J11)</f>
        <v/>
      </c>
      <c r="P11" s="40" t="n"/>
      <c r="Q11" s="41">
        <f>IF(OR(P11="",Y11="발주완료",Y11="취소"),"",TODAY()+P11)</f>
        <v/>
      </c>
      <c r="R11" s="35">
        <f>IF(OR(Q11="",NOT(ISNUMBER($J$2))),"",IF(Q11&lt;=$J$2,"가능","초과 "&amp;(Q11-$J$2)&amp;"일"))</f>
        <v/>
      </c>
      <c r="S11" s="36" t="n"/>
      <c r="T11" s="36" t="n"/>
      <c r="U11" s="36" t="n"/>
      <c r="V11" s="43" t="n"/>
      <c r="W11" s="41">
        <f>IF(OR(V11="",U11=""),"",V11+U11)</f>
        <v/>
      </c>
      <c r="X11" s="37" t="n"/>
      <c r="Y11" s="36" t="n"/>
      <c r="Z11" s="37" t="n"/>
    </row>
    <row r="12">
      <c r="A12" s="35">
        <f>IF(E12="","",ROW()-5)</f>
        <v/>
      </c>
      <c r="B12" s="36" t="n"/>
      <c r="C12" s="36" t="n"/>
      <c r="D12" s="36" t="n"/>
      <c r="E12" s="37" t="n"/>
      <c r="F12" s="37" t="n"/>
      <c r="G12" s="37" t="n"/>
      <c r="H12" s="37" t="n"/>
      <c r="I12" s="37" t="n"/>
      <c r="J12" s="36" t="n"/>
      <c r="K12" s="36" t="n"/>
      <c r="L12" s="36" t="n"/>
      <c r="M12" s="36" t="n"/>
      <c r="N12" s="38" t="n"/>
      <c r="O12" s="39">
        <f>IF(OR(N12="",J12=""),"",N12*J12)</f>
        <v/>
      </c>
      <c r="P12" s="40" t="n"/>
      <c r="Q12" s="41">
        <f>IF(OR(P12="",Y12="발주완료",Y12="취소"),"",TODAY()+P12)</f>
        <v/>
      </c>
      <c r="R12" s="35">
        <f>IF(OR(Q12="",NOT(ISNUMBER($J$2))),"",IF(Q12&lt;=$J$2,"가능","초과 "&amp;(Q12-$J$2)&amp;"일"))</f>
        <v/>
      </c>
      <c r="S12" s="36" t="n"/>
      <c r="T12" s="36" t="n"/>
      <c r="U12" s="36" t="n"/>
      <c r="V12" s="43" t="n"/>
      <c r="W12" s="41">
        <f>IF(OR(V12="",U12=""),"",V12+U12)</f>
        <v/>
      </c>
      <c r="X12" s="37" t="n"/>
      <c r="Y12" s="36" t="n"/>
      <c r="Z12" s="37" t="n"/>
    </row>
    <row r="13">
      <c r="A13" s="35">
        <f>IF(E13="","",ROW()-5)</f>
        <v/>
      </c>
      <c r="B13" s="36" t="n"/>
      <c r="C13" s="36" t="n"/>
      <c r="D13" s="36" t="n"/>
      <c r="E13" s="37" t="n"/>
      <c r="F13" s="37" t="n"/>
      <c r="G13" s="37" t="n"/>
      <c r="H13" s="37" t="n"/>
      <c r="I13" s="37" t="n"/>
      <c r="J13" s="36" t="n"/>
      <c r="K13" s="36" t="n"/>
      <c r="L13" s="36" t="n"/>
      <c r="M13" s="36" t="n"/>
      <c r="N13" s="38" t="n"/>
      <c r="O13" s="39">
        <f>IF(OR(N13="",J13=""),"",N13*J13)</f>
        <v/>
      </c>
      <c r="P13" s="40" t="n"/>
      <c r="Q13" s="41">
        <f>IF(OR(P13="",Y13="발주완료",Y13="취소"),"",TODAY()+P13)</f>
        <v/>
      </c>
      <c r="R13" s="35">
        <f>IF(OR(Q13="",NOT(ISNUMBER($J$2))),"",IF(Q13&lt;=$J$2,"가능","초과 "&amp;(Q13-$J$2)&amp;"일"))</f>
        <v/>
      </c>
      <c r="S13" s="36" t="n"/>
      <c r="T13" s="36" t="n"/>
      <c r="U13" s="36" t="n"/>
      <c r="V13" s="43" t="n"/>
      <c r="W13" s="41">
        <f>IF(OR(V13="",U13=""),"",V13+U13)</f>
        <v/>
      </c>
      <c r="X13" s="37" t="n"/>
      <c r="Y13" s="36" t="n"/>
      <c r="Z13" s="37" t="n"/>
    </row>
    <row r="14">
      <c r="A14" s="35">
        <f>IF(E14="","",ROW()-5)</f>
        <v/>
      </c>
      <c r="B14" s="36" t="n"/>
      <c r="C14" s="36" t="n"/>
      <c r="D14" s="36" t="n"/>
      <c r="E14" s="37" t="n"/>
      <c r="F14" s="37" t="n"/>
      <c r="G14" s="37" t="n"/>
      <c r="H14" s="37" t="n"/>
      <c r="I14" s="37" t="n"/>
      <c r="J14" s="36" t="n"/>
      <c r="K14" s="36" t="n"/>
      <c r="L14" s="36" t="n"/>
      <c r="M14" s="36" t="n"/>
      <c r="N14" s="38" t="n"/>
      <c r="O14" s="39">
        <f>IF(OR(N14="",J14=""),"",N14*J14)</f>
        <v/>
      </c>
      <c r="P14" s="40" t="n"/>
      <c r="Q14" s="41">
        <f>IF(OR(P14="",Y14="발주완료",Y14="취소"),"",TODAY()+P14)</f>
        <v/>
      </c>
      <c r="R14" s="35">
        <f>IF(OR(Q14="",NOT(ISNUMBER($J$2))),"",IF(Q14&lt;=$J$2,"가능","초과 "&amp;(Q14-$J$2)&amp;"일"))</f>
        <v/>
      </c>
      <c r="S14" s="36" t="n"/>
      <c r="T14" s="36" t="n"/>
      <c r="U14" s="36" t="n"/>
      <c r="V14" s="43" t="n"/>
      <c r="W14" s="41">
        <f>IF(OR(V14="",U14=""),"",V14+U14)</f>
        <v/>
      </c>
      <c r="X14" s="37" t="n"/>
      <c r="Y14" s="36" t="n"/>
      <c r="Z14" s="37" t="n"/>
    </row>
    <row r="15">
      <c r="A15" s="35">
        <f>IF(E15="","",ROW()-5)</f>
        <v/>
      </c>
      <c r="B15" s="36" t="n"/>
      <c r="C15" s="36" t="n"/>
      <c r="D15" s="36" t="n"/>
      <c r="E15" s="37" t="n"/>
      <c r="F15" s="37" t="n"/>
      <c r="G15" s="37" t="n"/>
      <c r="H15" s="37" t="n"/>
      <c r="I15" s="37" t="n"/>
      <c r="J15" s="36" t="n"/>
      <c r="K15" s="36" t="n"/>
      <c r="L15" s="36" t="n"/>
      <c r="M15" s="36" t="n"/>
      <c r="N15" s="38" t="n"/>
      <c r="O15" s="39">
        <f>IF(OR(N15="",J15=""),"",N15*J15)</f>
        <v/>
      </c>
      <c r="P15" s="40" t="n"/>
      <c r="Q15" s="41">
        <f>IF(OR(P15="",Y15="발주완료",Y15="취소"),"",TODAY()+P15)</f>
        <v/>
      </c>
      <c r="R15" s="35">
        <f>IF(OR(Q15="",NOT(ISNUMBER($J$2))),"",IF(Q15&lt;=$J$2,"가능","초과 "&amp;(Q15-$J$2)&amp;"일"))</f>
        <v/>
      </c>
      <c r="S15" s="36" t="n"/>
      <c r="T15" s="36" t="n"/>
      <c r="U15" s="36" t="n"/>
      <c r="V15" s="43" t="n"/>
      <c r="W15" s="41">
        <f>IF(OR(V15="",U15=""),"",V15+U15)</f>
        <v/>
      </c>
      <c r="X15" s="37" t="n"/>
      <c r="Y15" s="36" t="n"/>
      <c r="Z15" s="37" t="n"/>
    </row>
    <row r="16">
      <c r="A16" s="35">
        <f>IF(E16="","",ROW()-5)</f>
        <v/>
      </c>
      <c r="B16" s="36" t="n"/>
      <c r="C16" s="36" t="n"/>
      <c r="D16" s="36" t="n"/>
      <c r="E16" s="37" t="n"/>
      <c r="F16" s="37" t="n"/>
      <c r="G16" s="37" t="n"/>
      <c r="H16" s="37" t="n"/>
      <c r="I16" s="37" t="n"/>
      <c r="J16" s="36" t="n"/>
      <c r="K16" s="36" t="n"/>
      <c r="L16" s="36" t="n"/>
      <c r="M16" s="36" t="n"/>
      <c r="N16" s="38" t="n"/>
      <c r="O16" s="39">
        <f>IF(OR(N16="",J16=""),"",N16*J16)</f>
        <v/>
      </c>
      <c r="P16" s="40" t="n"/>
      <c r="Q16" s="41">
        <f>IF(OR(P16="",Y16="발주완료",Y16="취소"),"",TODAY()+P16)</f>
        <v/>
      </c>
      <c r="R16" s="35">
        <f>IF(OR(Q16="",NOT(ISNUMBER($J$2))),"",IF(Q16&lt;=$J$2,"가능","초과 "&amp;(Q16-$J$2)&amp;"일"))</f>
        <v/>
      </c>
      <c r="S16" s="36" t="n"/>
      <c r="T16" s="36" t="n"/>
      <c r="U16" s="36" t="n"/>
      <c r="V16" s="43" t="n"/>
      <c r="W16" s="41">
        <f>IF(OR(V16="",U16=""),"",V16+U16)</f>
        <v/>
      </c>
      <c r="X16" s="37" t="n"/>
      <c r="Y16" s="36" t="n"/>
      <c r="Z16" s="37" t="n"/>
    </row>
    <row r="17">
      <c r="A17" s="35">
        <f>IF(E17="","",ROW()-5)</f>
        <v/>
      </c>
      <c r="B17" s="36" t="n"/>
      <c r="C17" s="36" t="n"/>
      <c r="D17" s="36" t="n"/>
      <c r="E17" s="37" t="n"/>
      <c r="F17" s="37" t="n"/>
      <c r="G17" s="37" t="n"/>
      <c r="H17" s="37" t="n"/>
      <c r="I17" s="37" t="n"/>
      <c r="J17" s="36" t="n"/>
      <c r="K17" s="36" t="n"/>
      <c r="L17" s="36" t="n"/>
      <c r="M17" s="36" t="n"/>
      <c r="N17" s="38" t="n"/>
      <c r="O17" s="39">
        <f>IF(OR(N17="",J17=""),"",N17*J17)</f>
        <v/>
      </c>
      <c r="P17" s="40" t="n"/>
      <c r="Q17" s="41">
        <f>IF(OR(P17="",Y17="발주완료",Y17="취소"),"",TODAY()+P17)</f>
        <v/>
      </c>
      <c r="R17" s="35">
        <f>IF(OR(Q17="",NOT(ISNUMBER($J$2))),"",IF(Q17&lt;=$J$2,"가능","초과 "&amp;(Q17-$J$2)&amp;"일"))</f>
        <v/>
      </c>
      <c r="S17" s="36" t="n"/>
      <c r="T17" s="36" t="n"/>
      <c r="U17" s="36" t="n"/>
      <c r="V17" s="43" t="n"/>
      <c r="W17" s="41">
        <f>IF(OR(V17="",U17=""),"",V17+U17)</f>
        <v/>
      </c>
      <c r="X17" s="37" t="n"/>
      <c r="Y17" s="36" t="n"/>
      <c r="Z17" s="37" t="n"/>
    </row>
    <row r="18">
      <c r="A18" s="35">
        <f>IF(E18="","",ROW()-5)</f>
        <v/>
      </c>
      <c r="B18" s="36" t="n"/>
      <c r="C18" s="36" t="n"/>
      <c r="D18" s="36" t="n"/>
      <c r="E18" s="37" t="n"/>
      <c r="F18" s="37" t="n"/>
      <c r="G18" s="37" t="n"/>
      <c r="H18" s="37" t="n"/>
      <c r="I18" s="37" t="n"/>
      <c r="J18" s="36" t="n"/>
      <c r="K18" s="36" t="n"/>
      <c r="L18" s="36" t="n"/>
      <c r="M18" s="36" t="n"/>
      <c r="N18" s="38" t="n"/>
      <c r="O18" s="39">
        <f>IF(OR(N18="",J18=""),"",N18*J18)</f>
        <v/>
      </c>
      <c r="P18" s="40" t="n"/>
      <c r="Q18" s="41">
        <f>IF(OR(P18="",Y18="발주완료",Y18="취소"),"",TODAY()+P18)</f>
        <v/>
      </c>
      <c r="R18" s="35">
        <f>IF(OR(Q18="",NOT(ISNUMBER($J$2))),"",IF(Q18&lt;=$J$2,"가능","초과 "&amp;(Q18-$J$2)&amp;"일"))</f>
        <v/>
      </c>
      <c r="S18" s="36" t="n"/>
      <c r="T18" s="36" t="n"/>
      <c r="U18" s="36" t="n"/>
      <c r="V18" s="43" t="n"/>
      <c r="W18" s="41">
        <f>IF(OR(V18="",U18=""),"",V18+U18)</f>
        <v/>
      </c>
      <c r="X18" s="37" t="n"/>
      <c r="Y18" s="36" t="n"/>
      <c r="Z18" s="37" t="n"/>
    </row>
    <row r="19">
      <c r="A19" s="35">
        <f>IF(E19="","",ROW()-5)</f>
        <v/>
      </c>
      <c r="B19" s="36" t="n"/>
      <c r="C19" s="36" t="n"/>
      <c r="D19" s="36" t="n"/>
      <c r="E19" s="37" t="n"/>
      <c r="F19" s="37" t="n"/>
      <c r="G19" s="37" t="n"/>
      <c r="H19" s="37" t="n"/>
      <c r="I19" s="37" t="n"/>
      <c r="J19" s="36" t="n"/>
      <c r="K19" s="36" t="n"/>
      <c r="L19" s="36" t="n"/>
      <c r="M19" s="36" t="n"/>
      <c r="N19" s="38" t="n"/>
      <c r="O19" s="39">
        <f>IF(OR(N19="",J19=""),"",N19*J19)</f>
        <v/>
      </c>
      <c r="P19" s="40" t="n"/>
      <c r="Q19" s="41">
        <f>IF(OR(P19="",Y19="발주완료",Y19="취소"),"",TODAY()+P19)</f>
        <v/>
      </c>
      <c r="R19" s="35">
        <f>IF(OR(Q19="",NOT(ISNUMBER($J$2))),"",IF(Q19&lt;=$J$2,"가능","초과 "&amp;(Q19-$J$2)&amp;"일"))</f>
        <v/>
      </c>
      <c r="S19" s="36" t="n"/>
      <c r="T19" s="36" t="n"/>
      <c r="U19" s="36" t="n"/>
      <c r="V19" s="43" t="n"/>
      <c r="W19" s="41">
        <f>IF(OR(V19="",U19=""),"",V19+U19)</f>
        <v/>
      </c>
      <c r="X19" s="37" t="n"/>
      <c r="Y19" s="36" t="n"/>
      <c r="Z19" s="37" t="n"/>
    </row>
    <row r="20">
      <c r="A20" s="35">
        <f>IF(E20="","",ROW()-5)</f>
        <v/>
      </c>
      <c r="B20" s="36" t="n"/>
      <c r="C20" s="36" t="n"/>
      <c r="D20" s="36" t="n"/>
      <c r="E20" s="37" t="n"/>
      <c r="F20" s="37" t="n"/>
      <c r="G20" s="37" t="n"/>
      <c r="H20" s="37" t="n"/>
      <c r="I20" s="37" t="n"/>
      <c r="J20" s="36" t="n"/>
      <c r="K20" s="36" t="n"/>
      <c r="L20" s="36" t="n"/>
      <c r="M20" s="36" t="n"/>
      <c r="N20" s="38" t="n"/>
      <c r="O20" s="39">
        <f>IF(OR(N20="",J20=""),"",N20*J20)</f>
        <v/>
      </c>
      <c r="P20" s="40" t="n"/>
      <c r="Q20" s="41">
        <f>IF(OR(P20="",Y20="발주완료",Y20="취소"),"",TODAY()+P20)</f>
        <v/>
      </c>
      <c r="R20" s="35">
        <f>IF(OR(Q20="",NOT(ISNUMBER($J$2))),"",IF(Q20&lt;=$J$2,"가능","초과 "&amp;(Q20-$J$2)&amp;"일"))</f>
        <v/>
      </c>
      <c r="S20" s="36" t="n"/>
      <c r="T20" s="36" t="n"/>
      <c r="U20" s="36" t="n"/>
      <c r="V20" s="43" t="n"/>
      <c r="W20" s="41">
        <f>IF(OR(V20="",U20=""),"",V20+U20)</f>
        <v/>
      </c>
      <c r="X20" s="37" t="n"/>
      <c r="Y20" s="36" t="n"/>
      <c r="Z20" s="37" t="n"/>
    </row>
    <row r="21">
      <c r="A21" s="35">
        <f>IF(E21="","",ROW()-5)</f>
        <v/>
      </c>
      <c r="B21" s="36" t="n"/>
      <c r="C21" s="36" t="n"/>
      <c r="D21" s="36" t="n"/>
      <c r="E21" s="37" t="n"/>
      <c r="F21" s="37" t="n"/>
      <c r="G21" s="37" t="n"/>
      <c r="H21" s="37" t="n"/>
      <c r="I21" s="37" t="n"/>
      <c r="J21" s="36" t="n"/>
      <c r="K21" s="36" t="n"/>
      <c r="L21" s="36" t="n"/>
      <c r="M21" s="36" t="n"/>
      <c r="N21" s="38" t="n"/>
      <c r="O21" s="39">
        <f>IF(OR(N21="",J21=""),"",N21*J21)</f>
        <v/>
      </c>
      <c r="P21" s="40" t="n"/>
      <c r="Q21" s="41">
        <f>IF(OR(P21="",Y21="발주완료",Y21="취소"),"",TODAY()+P21)</f>
        <v/>
      </c>
      <c r="R21" s="35">
        <f>IF(OR(Q21="",NOT(ISNUMBER($J$2))),"",IF(Q21&lt;=$J$2,"가능","초과 "&amp;(Q21-$J$2)&amp;"일"))</f>
        <v/>
      </c>
      <c r="S21" s="36" t="n"/>
      <c r="T21" s="36" t="n"/>
      <c r="U21" s="36" t="n"/>
      <c r="V21" s="43" t="n"/>
      <c r="W21" s="41">
        <f>IF(OR(V21="",U21=""),"",V21+U21)</f>
        <v/>
      </c>
      <c r="X21" s="37" t="n"/>
      <c r="Y21" s="36" t="n"/>
      <c r="Z21" s="37" t="n"/>
    </row>
    <row r="22">
      <c r="A22" s="35">
        <f>IF(E22="","",ROW()-5)</f>
        <v/>
      </c>
      <c r="B22" s="36" t="n"/>
      <c r="C22" s="36" t="n"/>
      <c r="D22" s="36" t="n"/>
      <c r="E22" s="37" t="n"/>
      <c r="F22" s="37" t="n"/>
      <c r="G22" s="37" t="n"/>
      <c r="H22" s="37" t="n"/>
      <c r="I22" s="37" t="n"/>
      <c r="J22" s="36" t="n"/>
      <c r="K22" s="36" t="n"/>
      <c r="L22" s="36" t="n"/>
      <c r="M22" s="36" t="n"/>
      <c r="N22" s="38" t="n"/>
      <c r="O22" s="39">
        <f>IF(OR(N22="",J22=""),"",N22*J22)</f>
        <v/>
      </c>
      <c r="P22" s="40" t="n"/>
      <c r="Q22" s="41">
        <f>IF(OR(P22="",Y22="발주완료",Y22="취소"),"",TODAY()+P22)</f>
        <v/>
      </c>
      <c r="R22" s="35">
        <f>IF(OR(Q22="",NOT(ISNUMBER($J$2))),"",IF(Q22&lt;=$J$2,"가능","초과 "&amp;(Q22-$J$2)&amp;"일"))</f>
        <v/>
      </c>
      <c r="S22" s="36" t="n"/>
      <c r="T22" s="36" t="n"/>
      <c r="U22" s="36" t="n"/>
      <c r="V22" s="43" t="n"/>
      <c r="W22" s="41">
        <f>IF(OR(V22="",U22=""),"",V22+U22)</f>
        <v/>
      </c>
      <c r="X22" s="37" t="n"/>
      <c r="Y22" s="36" t="n"/>
      <c r="Z22" s="37" t="n"/>
    </row>
    <row r="23">
      <c r="A23" s="35">
        <f>IF(E23="","",ROW()-5)</f>
        <v/>
      </c>
      <c r="B23" s="36" t="n"/>
      <c r="C23" s="36" t="n"/>
      <c r="D23" s="36" t="n"/>
      <c r="E23" s="37" t="n"/>
      <c r="F23" s="37" t="n"/>
      <c r="G23" s="37" t="n"/>
      <c r="H23" s="37" t="n"/>
      <c r="I23" s="37" t="n"/>
      <c r="J23" s="36" t="n"/>
      <c r="K23" s="36" t="n"/>
      <c r="L23" s="36" t="n"/>
      <c r="M23" s="36" t="n"/>
      <c r="N23" s="38" t="n"/>
      <c r="O23" s="39">
        <f>IF(OR(N23="",J23=""),"",N23*J23)</f>
        <v/>
      </c>
      <c r="P23" s="40" t="n"/>
      <c r="Q23" s="41">
        <f>IF(OR(P23="",Y23="발주완료",Y23="취소"),"",TODAY()+P23)</f>
        <v/>
      </c>
      <c r="R23" s="35">
        <f>IF(OR(Q23="",NOT(ISNUMBER($J$2))),"",IF(Q23&lt;=$J$2,"가능","초과 "&amp;(Q23-$J$2)&amp;"일"))</f>
        <v/>
      </c>
      <c r="S23" s="36" t="n"/>
      <c r="T23" s="36" t="n"/>
      <c r="U23" s="36" t="n"/>
      <c r="V23" s="43" t="n"/>
      <c r="W23" s="41">
        <f>IF(OR(V23="",U23=""),"",V23+U23)</f>
        <v/>
      </c>
      <c r="X23" s="37" t="n"/>
      <c r="Y23" s="36" t="n"/>
      <c r="Z23" s="37" t="n"/>
    </row>
    <row r="24">
      <c r="A24" s="35">
        <f>IF(E24="","",ROW()-5)</f>
        <v/>
      </c>
      <c r="B24" s="36" t="n"/>
      <c r="C24" s="36" t="n"/>
      <c r="D24" s="36" t="n"/>
      <c r="E24" s="37" t="n"/>
      <c r="F24" s="37" t="n"/>
      <c r="G24" s="37" t="n"/>
      <c r="H24" s="37" t="n"/>
      <c r="I24" s="37" t="n"/>
      <c r="J24" s="36" t="n"/>
      <c r="K24" s="36" t="n"/>
      <c r="L24" s="36" t="n"/>
      <c r="M24" s="36" t="n"/>
      <c r="N24" s="38" t="n"/>
      <c r="O24" s="39">
        <f>IF(OR(N24="",J24=""),"",N24*J24)</f>
        <v/>
      </c>
      <c r="P24" s="40" t="n"/>
      <c r="Q24" s="41">
        <f>IF(OR(P24="",Y24="발주완료",Y24="취소"),"",TODAY()+P24)</f>
        <v/>
      </c>
      <c r="R24" s="35">
        <f>IF(OR(Q24="",NOT(ISNUMBER($J$2))),"",IF(Q24&lt;=$J$2,"가능","초과 "&amp;(Q24-$J$2)&amp;"일"))</f>
        <v/>
      </c>
      <c r="S24" s="36" t="n"/>
      <c r="T24" s="36" t="n"/>
      <c r="U24" s="36" t="n"/>
      <c r="V24" s="43" t="n"/>
      <c r="W24" s="41">
        <f>IF(OR(V24="",U24=""),"",V24+U24)</f>
        <v/>
      </c>
      <c r="X24" s="37" t="n"/>
      <c r="Y24" s="36" t="n"/>
      <c r="Z24" s="37" t="n"/>
    </row>
    <row r="25">
      <c r="A25" s="35">
        <f>IF(E25="","",ROW()-5)</f>
        <v/>
      </c>
      <c r="B25" s="36" t="n"/>
      <c r="C25" s="36" t="n"/>
      <c r="D25" s="36" t="n"/>
      <c r="E25" s="37" t="n"/>
      <c r="F25" s="37" t="n"/>
      <c r="G25" s="37" t="n"/>
      <c r="H25" s="37" t="n"/>
      <c r="I25" s="37" t="n"/>
      <c r="J25" s="36" t="n"/>
      <c r="K25" s="36" t="n"/>
      <c r="L25" s="36" t="n"/>
      <c r="M25" s="36" t="n"/>
      <c r="N25" s="38" t="n"/>
      <c r="O25" s="39">
        <f>IF(OR(N25="",J25=""),"",N25*J25)</f>
        <v/>
      </c>
      <c r="P25" s="40" t="n"/>
      <c r="Q25" s="41">
        <f>IF(OR(P25="",Y25="발주완료",Y25="취소"),"",TODAY()+P25)</f>
        <v/>
      </c>
      <c r="R25" s="35">
        <f>IF(OR(Q25="",NOT(ISNUMBER($J$2))),"",IF(Q25&lt;=$J$2,"가능","초과 "&amp;(Q25-$J$2)&amp;"일"))</f>
        <v/>
      </c>
      <c r="S25" s="36" t="n"/>
      <c r="T25" s="36" t="n"/>
      <c r="U25" s="36" t="n"/>
      <c r="V25" s="43" t="n"/>
      <c r="W25" s="41">
        <f>IF(OR(V25="",U25=""),"",V25+U25)</f>
        <v/>
      </c>
      <c r="X25" s="37" t="n"/>
      <c r="Y25" s="36" t="n"/>
      <c r="Z25" s="37" t="n"/>
    </row>
    <row r="26">
      <c r="A26" s="35">
        <f>IF(E26="","",ROW()-5)</f>
        <v/>
      </c>
      <c r="B26" s="36" t="n"/>
      <c r="C26" s="36" t="n"/>
      <c r="D26" s="36" t="n"/>
      <c r="E26" s="37" t="n"/>
      <c r="F26" s="37" t="n"/>
      <c r="G26" s="37" t="n"/>
      <c r="H26" s="37" t="n"/>
      <c r="I26" s="37" t="n"/>
      <c r="J26" s="36" t="n"/>
      <c r="K26" s="36" t="n"/>
      <c r="L26" s="36" t="n"/>
      <c r="M26" s="36" t="n"/>
      <c r="N26" s="38" t="n"/>
      <c r="O26" s="39">
        <f>IF(OR(N26="",J26=""),"",N26*J26)</f>
        <v/>
      </c>
      <c r="P26" s="40" t="n"/>
      <c r="Q26" s="41">
        <f>IF(OR(P26="",Y26="발주완료",Y26="취소"),"",TODAY()+P26)</f>
        <v/>
      </c>
      <c r="R26" s="35">
        <f>IF(OR(Q26="",NOT(ISNUMBER($J$2))),"",IF(Q26&lt;=$J$2,"가능","초과 "&amp;(Q26-$J$2)&amp;"일"))</f>
        <v/>
      </c>
      <c r="S26" s="36" t="n"/>
      <c r="T26" s="36" t="n"/>
      <c r="U26" s="36" t="n"/>
      <c r="V26" s="43" t="n"/>
      <c r="W26" s="41">
        <f>IF(OR(V26="",U26=""),"",V26+U26)</f>
        <v/>
      </c>
      <c r="X26" s="37" t="n"/>
      <c r="Y26" s="36" t="n"/>
      <c r="Z26" s="37" t="n"/>
    </row>
    <row r="27">
      <c r="A27" s="35">
        <f>IF(E27="","",ROW()-5)</f>
        <v/>
      </c>
      <c r="B27" s="36" t="n"/>
      <c r="C27" s="36" t="n"/>
      <c r="D27" s="36" t="n"/>
      <c r="E27" s="37" t="n"/>
      <c r="F27" s="37" t="n"/>
      <c r="G27" s="37" t="n"/>
      <c r="H27" s="37" t="n"/>
      <c r="I27" s="37" t="n"/>
      <c r="J27" s="36" t="n"/>
      <c r="K27" s="36" t="n"/>
      <c r="L27" s="36" t="n"/>
      <c r="M27" s="36" t="n"/>
      <c r="N27" s="38" t="n"/>
      <c r="O27" s="39">
        <f>IF(OR(N27="",J27=""),"",N27*J27)</f>
        <v/>
      </c>
      <c r="P27" s="40" t="n"/>
      <c r="Q27" s="41">
        <f>IF(OR(P27="",Y27="발주완료",Y27="취소"),"",TODAY()+P27)</f>
        <v/>
      </c>
      <c r="R27" s="35">
        <f>IF(OR(Q27="",NOT(ISNUMBER($J$2))),"",IF(Q27&lt;=$J$2,"가능","초과 "&amp;(Q27-$J$2)&amp;"일"))</f>
        <v/>
      </c>
      <c r="S27" s="36" t="n"/>
      <c r="T27" s="36" t="n"/>
      <c r="U27" s="36" t="n"/>
      <c r="V27" s="43" t="n"/>
      <c r="W27" s="41">
        <f>IF(OR(V27="",U27=""),"",V27+U27)</f>
        <v/>
      </c>
      <c r="X27" s="37" t="n"/>
      <c r="Y27" s="36" t="n"/>
      <c r="Z27" s="37" t="n"/>
    </row>
    <row r="28">
      <c r="A28" s="35">
        <f>IF(E28="","",ROW()-5)</f>
        <v/>
      </c>
      <c r="B28" s="36" t="n"/>
      <c r="C28" s="36" t="n"/>
      <c r="D28" s="36" t="n"/>
      <c r="E28" s="37" t="n"/>
      <c r="F28" s="37" t="n"/>
      <c r="G28" s="37" t="n"/>
      <c r="H28" s="37" t="n"/>
      <c r="I28" s="37" t="n"/>
      <c r="J28" s="36" t="n"/>
      <c r="K28" s="36" t="n"/>
      <c r="L28" s="36" t="n"/>
      <c r="M28" s="36" t="n"/>
      <c r="N28" s="38" t="n"/>
      <c r="O28" s="39">
        <f>IF(OR(N28="",J28=""),"",N28*J28)</f>
        <v/>
      </c>
      <c r="P28" s="40" t="n"/>
      <c r="Q28" s="41">
        <f>IF(OR(P28="",Y28="발주완료",Y28="취소"),"",TODAY()+P28)</f>
        <v/>
      </c>
      <c r="R28" s="35">
        <f>IF(OR(Q28="",NOT(ISNUMBER($J$2))),"",IF(Q28&lt;=$J$2,"가능","초과 "&amp;(Q28-$J$2)&amp;"일"))</f>
        <v/>
      </c>
      <c r="S28" s="36" t="n"/>
      <c r="T28" s="36" t="n"/>
      <c r="U28" s="36" t="n"/>
      <c r="V28" s="43" t="n"/>
      <c r="W28" s="41">
        <f>IF(OR(V28="",U28=""),"",V28+U28)</f>
        <v/>
      </c>
      <c r="X28" s="37" t="n"/>
      <c r="Y28" s="36" t="n"/>
      <c r="Z28" s="37" t="n"/>
    </row>
    <row r="29">
      <c r="A29" s="35">
        <f>IF(E29="","",ROW()-5)</f>
        <v/>
      </c>
      <c r="B29" s="36" t="n"/>
      <c r="C29" s="36" t="n"/>
      <c r="D29" s="36" t="n"/>
      <c r="E29" s="37" t="n"/>
      <c r="F29" s="37" t="n"/>
      <c r="G29" s="37" t="n"/>
      <c r="H29" s="37" t="n"/>
      <c r="I29" s="37" t="n"/>
      <c r="J29" s="36" t="n"/>
      <c r="K29" s="36" t="n"/>
      <c r="L29" s="36" t="n"/>
      <c r="M29" s="36" t="n"/>
      <c r="N29" s="38" t="n"/>
      <c r="O29" s="39">
        <f>IF(OR(N29="",J29=""),"",N29*J29)</f>
        <v/>
      </c>
      <c r="P29" s="40" t="n"/>
      <c r="Q29" s="41">
        <f>IF(OR(P29="",Y29="발주완료",Y29="취소"),"",TODAY()+P29)</f>
        <v/>
      </c>
      <c r="R29" s="35">
        <f>IF(OR(Q29="",NOT(ISNUMBER($J$2))),"",IF(Q29&lt;=$J$2,"가능","초과 "&amp;(Q29-$J$2)&amp;"일"))</f>
        <v/>
      </c>
      <c r="S29" s="36" t="n"/>
      <c r="T29" s="36" t="n"/>
      <c r="U29" s="36" t="n"/>
      <c r="V29" s="43" t="n"/>
      <c r="W29" s="41">
        <f>IF(OR(V29="",U29=""),"",V29+U29)</f>
        <v/>
      </c>
      <c r="X29" s="37" t="n"/>
      <c r="Y29" s="36" t="n"/>
      <c r="Z29" s="37" t="n"/>
    </row>
    <row r="30">
      <c r="A30" s="35">
        <f>IF(E30="","",ROW()-5)</f>
        <v/>
      </c>
      <c r="B30" s="36" t="n"/>
      <c r="C30" s="36" t="n"/>
      <c r="D30" s="36" t="n"/>
      <c r="E30" s="37" t="n"/>
      <c r="F30" s="37" t="n"/>
      <c r="G30" s="37" t="n"/>
      <c r="H30" s="37" t="n"/>
      <c r="I30" s="37" t="n"/>
      <c r="J30" s="36" t="n"/>
      <c r="K30" s="36" t="n"/>
      <c r="L30" s="36" t="n"/>
      <c r="M30" s="36" t="n"/>
      <c r="N30" s="38" t="n"/>
      <c r="O30" s="39">
        <f>IF(OR(N30="",J30=""),"",N30*J30)</f>
        <v/>
      </c>
      <c r="P30" s="40" t="n"/>
      <c r="Q30" s="41">
        <f>IF(OR(P30="",Y30="발주완료",Y30="취소"),"",TODAY()+P30)</f>
        <v/>
      </c>
      <c r="R30" s="35">
        <f>IF(OR(Q30="",NOT(ISNUMBER($J$2))),"",IF(Q30&lt;=$J$2,"가능","초과 "&amp;(Q30-$J$2)&amp;"일"))</f>
        <v/>
      </c>
      <c r="S30" s="36" t="n"/>
      <c r="T30" s="36" t="n"/>
      <c r="U30" s="36" t="n"/>
      <c r="V30" s="43" t="n"/>
      <c r="W30" s="41">
        <f>IF(OR(V30="",U30=""),"",V30+U30)</f>
        <v/>
      </c>
      <c r="X30" s="37" t="n"/>
      <c r="Y30" s="36" t="n"/>
      <c r="Z30" s="37" t="n"/>
    </row>
    <row r="31">
      <c r="A31" s="35">
        <f>IF(E31="","",ROW()-5)</f>
        <v/>
      </c>
      <c r="B31" s="36" t="n"/>
      <c r="C31" s="36" t="n"/>
      <c r="D31" s="36" t="n"/>
      <c r="E31" s="37" t="n"/>
      <c r="F31" s="37" t="n"/>
      <c r="G31" s="37" t="n"/>
      <c r="H31" s="37" t="n"/>
      <c r="I31" s="37" t="n"/>
      <c r="J31" s="36" t="n"/>
      <c r="K31" s="36" t="n"/>
      <c r="L31" s="36" t="n"/>
      <c r="M31" s="36" t="n"/>
      <c r="N31" s="38" t="n"/>
      <c r="O31" s="39">
        <f>IF(OR(N31="",J31=""),"",N31*J31)</f>
        <v/>
      </c>
      <c r="P31" s="40" t="n"/>
      <c r="Q31" s="41">
        <f>IF(OR(P31="",Y31="발주완료",Y31="취소"),"",TODAY()+P31)</f>
        <v/>
      </c>
      <c r="R31" s="35">
        <f>IF(OR(Q31="",NOT(ISNUMBER($J$2))),"",IF(Q31&lt;=$J$2,"가능","초과 "&amp;(Q31-$J$2)&amp;"일"))</f>
        <v/>
      </c>
      <c r="S31" s="36" t="n"/>
      <c r="T31" s="36" t="n"/>
      <c r="U31" s="36" t="n"/>
      <c r="V31" s="43" t="n"/>
      <c r="W31" s="41">
        <f>IF(OR(V31="",U31=""),"",V31+U31)</f>
        <v/>
      </c>
      <c r="X31" s="37" t="n"/>
      <c r="Y31" s="36" t="n"/>
      <c r="Z31" s="37" t="n"/>
    </row>
    <row r="32">
      <c r="A32" s="35">
        <f>IF(E32="","",ROW()-5)</f>
        <v/>
      </c>
      <c r="B32" s="36" t="n"/>
      <c r="C32" s="36" t="n"/>
      <c r="D32" s="36" t="n"/>
      <c r="E32" s="37" t="n"/>
      <c r="F32" s="37" t="n"/>
      <c r="G32" s="37" t="n"/>
      <c r="H32" s="37" t="n"/>
      <c r="I32" s="37" t="n"/>
      <c r="J32" s="36" t="n"/>
      <c r="K32" s="36" t="n"/>
      <c r="L32" s="36" t="n"/>
      <c r="M32" s="36" t="n"/>
      <c r="N32" s="38" t="n"/>
      <c r="O32" s="39">
        <f>IF(OR(N32="",J32=""),"",N32*J32)</f>
        <v/>
      </c>
      <c r="P32" s="40" t="n"/>
      <c r="Q32" s="41">
        <f>IF(OR(P32="",Y32="발주완료",Y32="취소"),"",TODAY()+P32)</f>
        <v/>
      </c>
      <c r="R32" s="35">
        <f>IF(OR(Q32="",NOT(ISNUMBER($J$2))),"",IF(Q32&lt;=$J$2,"가능","초과 "&amp;(Q32-$J$2)&amp;"일"))</f>
        <v/>
      </c>
      <c r="S32" s="36" t="n"/>
      <c r="T32" s="36" t="n"/>
      <c r="U32" s="36" t="n"/>
      <c r="V32" s="43" t="n"/>
      <c r="W32" s="41">
        <f>IF(OR(V32="",U32=""),"",V32+U32)</f>
        <v/>
      </c>
      <c r="X32" s="37" t="n"/>
      <c r="Y32" s="36" t="n"/>
      <c r="Z32" s="37" t="n"/>
    </row>
    <row r="33">
      <c r="A33" s="35">
        <f>IF(E33="","",ROW()-5)</f>
        <v/>
      </c>
      <c r="B33" s="36" t="n"/>
      <c r="C33" s="36" t="n"/>
      <c r="D33" s="36" t="n"/>
      <c r="E33" s="37" t="n"/>
      <c r="F33" s="37" t="n"/>
      <c r="G33" s="37" t="n"/>
      <c r="H33" s="37" t="n"/>
      <c r="I33" s="37" t="n"/>
      <c r="J33" s="36" t="n"/>
      <c r="K33" s="36" t="n"/>
      <c r="L33" s="36" t="n"/>
      <c r="M33" s="36" t="n"/>
      <c r="N33" s="38" t="n"/>
      <c r="O33" s="39">
        <f>IF(OR(N33="",J33=""),"",N33*J33)</f>
        <v/>
      </c>
      <c r="P33" s="40" t="n"/>
      <c r="Q33" s="41">
        <f>IF(OR(P33="",Y33="발주완료",Y33="취소"),"",TODAY()+P33)</f>
        <v/>
      </c>
      <c r="R33" s="35">
        <f>IF(OR(Q33="",NOT(ISNUMBER($J$2))),"",IF(Q33&lt;=$J$2,"가능","초과 "&amp;(Q33-$J$2)&amp;"일"))</f>
        <v/>
      </c>
      <c r="S33" s="36" t="n"/>
      <c r="T33" s="36" t="n"/>
      <c r="U33" s="36" t="n"/>
      <c r="V33" s="43" t="n"/>
      <c r="W33" s="41">
        <f>IF(OR(V33="",U33=""),"",V33+U33)</f>
        <v/>
      </c>
      <c r="X33" s="37" t="n"/>
      <c r="Y33" s="36" t="n"/>
      <c r="Z33" s="37" t="n"/>
    </row>
    <row r="34">
      <c r="A34" s="35">
        <f>IF(E34="","",ROW()-5)</f>
        <v/>
      </c>
      <c r="B34" s="36" t="n"/>
      <c r="C34" s="36" t="n"/>
      <c r="D34" s="36" t="n"/>
      <c r="E34" s="37" t="n"/>
      <c r="F34" s="37" t="n"/>
      <c r="G34" s="37" t="n"/>
      <c r="H34" s="37" t="n"/>
      <c r="I34" s="37" t="n"/>
      <c r="J34" s="36" t="n"/>
      <c r="K34" s="36" t="n"/>
      <c r="L34" s="36" t="n"/>
      <c r="M34" s="36" t="n"/>
      <c r="N34" s="38" t="n"/>
      <c r="O34" s="39">
        <f>IF(OR(N34="",J34=""),"",N34*J34)</f>
        <v/>
      </c>
      <c r="P34" s="40" t="n"/>
      <c r="Q34" s="41">
        <f>IF(OR(P34="",Y34="발주완료",Y34="취소"),"",TODAY()+P34)</f>
        <v/>
      </c>
      <c r="R34" s="35">
        <f>IF(OR(Q34="",NOT(ISNUMBER($J$2))),"",IF(Q34&lt;=$J$2,"가능","초과 "&amp;(Q34-$J$2)&amp;"일"))</f>
        <v/>
      </c>
      <c r="S34" s="36" t="n"/>
      <c r="T34" s="36" t="n"/>
      <c r="U34" s="36" t="n"/>
      <c r="V34" s="43" t="n"/>
      <c r="W34" s="41">
        <f>IF(OR(V34="",U34=""),"",V34+U34)</f>
        <v/>
      </c>
      <c r="X34" s="37" t="n"/>
      <c r="Y34" s="36" t="n"/>
      <c r="Z34" s="37" t="n"/>
    </row>
    <row r="35">
      <c r="A35" s="35">
        <f>IF(E35="","",ROW()-5)</f>
        <v/>
      </c>
      <c r="B35" s="36" t="n"/>
      <c r="C35" s="36" t="n"/>
      <c r="D35" s="36" t="n"/>
      <c r="E35" s="37" t="n"/>
      <c r="F35" s="37" t="n"/>
      <c r="G35" s="37" t="n"/>
      <c r="H35" s="37" t="n"/>
      <c r="I35" s="37" t="n"/>
      <c r="J35" s="36" t="n"/>
      <c r="K35" s="36" t="n"/>
      <c r="L35" s="36" t="n"/>
      <c r="M35" s="36" t="n"/>
      <c r="N35" s="38" t="n"/>
      <c r="O35" s="39">
        <f>IF(OR(N35="",J35=""),"",N35*J35)</f>
        <v/>
      </c>
      <c r="P35" s="40" t="n"/>
      <c r="Q35" s="41">
        <f>IF(OR(P35="",Y35="발주완료",Y35="취소"),"",TODAY()+P35)</f>
        <v/>
      </c>
      <c r="R35" s="35">
        <f>IF(OR(Q35="",NOT(ISNUMBER($J$2))),"",IF(Q35&lt;=$J$2,"가능","초과 "&amp;(Q35-$J$2)&amp;"일"))</f>
        <v/>
      </c>
      <c r="S35" s="36" t="n"/>
      <c r="T35" s="36" t="n"/>
      <c r="U35" s="36" t="n"/>
      <c r="V35" s="43" t="n"/>
      <c r="W35" s="41">
        <f>IF(OR(V35="",U35=""),"",V35+U35)</f>
        <v/>
      </c>
      <c r="X35" s="37" t="n"/>
      <c r="Y35" s="36" t="n"/>
      <c r="Z35" s="37" t="n"/>
    </row>
    <row r="36">
      <c r="A36" s="35">
        <f>IF(E36="","",ROW()-5)</f>
        <v/>
      </c>
      <c r="B36" s="36" t="n"/>
      <c r="C36" s="36" t="n"/>
      <c r="D36" s="36" t="n"/>
      <c r="E36" s="37" t="n"/>
      <c r="F36" s="37" t="n"/>
      <c r="G36" s="37" t="n"/>
      <c r="H36" s="37" t="n"/>
      <c r="I36" s="37" t="n"/>
      <c r="J36" s="36" t="n"/>
      <c r="K36" s="36" t="n"/>
      <c r="L36" s="36" t="n"/>
      <c r="M36" s="36" t="n"/>
      <c r="N36" s="38" t="n"/>
      <c r="O36" s="39">
        <f>IF(OR(N36="",J36=""),"",N36*J36)</f>
        <v/>
      </c>
      <c r="P36" s="40" t="n"/>
      <c r="Q36" s="41">
        <f>IF(OR(P36="",Y36="발주완료",Y36="취소"),"",TODAY()+P36)</f>
        <v/>
      </c>
      <c r="R36" s="35">
        <f>IF(OR(Q36="",NOT(ISNUMBER($J$2))),"",IF(Q36&lt;=$J$2,"가능","초과 "&amp;(Q36-$J$2)&amp;"일"))</f>
        <v/>
      </c>
      <c r="S36" s="36" t="n"/>
      <c r="T36" s="36" t="n"/>
      <c r="U36" s="36" t="n"/>
      <c r="V36" s="43" t="n"/>
      <c r="W36" s="41">
        <f>IF(OR(V36="",U36=""),"",V36+U36)</f>
        <v/>
      </c>
      <c r="X36" s="37" t="n"/>
      <c r="Y36" s="36" t="n"/>
      <c r="Z36" s="37" t="n"/>
    </row>
    <row r="37">
      <c r="A37" s="35">
        <f>IF(E37="","",ROW()-5)</f>
        <v/>
      </c>
      <c r="B37" s="36" t="n"/>
      <c r="C37" s="36" t="n"/>
      <c r="D37" s="36" t="n"/>
      <c r="E37" s="37" t="n"/>
      <c r="F37" s="37" t="n"/>
      <c r="G37" s="37" t="n"/>
      <c r="H37" s="37" t="n"/>
      <c r="I37" s="37" t="n"/>
      <c r="J37" s="36" t="n"/>
      <c r="K37" s="36" t="n"/>
      <c r="L37" s="36" t="n"/>
      <c r="M37" s="36" t="n"/>
      <c r="N37" s="38" t="n"/>
      <c r="O37" s="39">
        <f>IF(OR(N37="",J37=""),"",N37*J37)</f>
        <v/>
      </c>
      <c r="P37" s="40" t="n"/>
      <c r="Q37" s="41">
        <f>IF(OR(P37="",Y37="발주완료",Y37="취소"),"",TODAY()+P37)</f>
        <v/>
      </c>
      <c r="R37" s="35">
        <f>IF(OR(Q37="",NOT(ISNUMBER($J$2))),"",IF(Q37&lt;=$J$2,"가능","초과 "&amp;(Q37-$J$2)&amp;"일"))</f>
        <v/>
      </c>
      <c r="S37" s="36" t="n"/>
      <c r="T37" s="36" t="n"/>
      <c r="U37" s="36" t="n"/>
      <c r="V37" s="43" t="n"/>
      <c r="W37" s="41">
        <f>IF(OR(V37="",U37=""),"",V37+U37)</f>
        <v/>
      </c>
      <c r="X37" s="37" t="n"/>
      <c r="Y37" s="36" t="n"/>
      <c r="Z37" s="37" t="n"/>
    </row>
    <row r="38">
      <c r="A38" s="35">
        <f>IF(E38="","",ROW()-5)</f>
        <v/>
      </c>
      <c r="B38" s="36" t="n"/>
      <c r="C38" s="36" t="n"/>
      <c r="D38" s="36" t="n"/>
      <c r="E38" s="37" t="n"/>
      <c r="F38" s="37" t="n"/>
      <c r="G38" s="37" t="n"/>
      <c r="H38" s="37" t="n"/>
      <c r="I38" s="37" t="n"/>
      <c r="J38" s="36" t="n"/>
      <c r="K38" s="36" t="n"/>
      <c r="L38" s="36" t="n"/>
      <c r="M38" s="36" t="n"/>
      <c r="N38" s="38" t="n"/>
      <c r="O38" s="39">
        <f>IF(OR(N38="",J38=""),"",N38*J38)</f>
        <v/>
      </c>
      <c r="P38" s="40" t="n"/>
      <c r="Q38" s="41">
        <f>IF(OR(P38="",Y38="발주완료",Y38="취소"),"",TODAY()+P38)</f>
        <v/>
      </c>
      <c r="R38" s="35">
        <f>IF(OR(Q38="",NOT(ISNUMBER($J$2))),"",IF(Q38&lt;=$J$2,"가능","초과 "&amp;(Q38-$J$2)&amp;"일"))</f>
        <v/>
      </c>
      <c r="S38" s="36" t="n"/>
      <c r="T38" s="36" t="n"/>
      <c r="U38" s="36" t="n"/>
      <c r="V38" s="43" t="n"/>
      <c r="W38" s="41">
        <f>IF(OR(V38="",U38=""),"",V38+U38)</f>
        <v/>
      </c>
      <c r="X38" s="37" t="n"/>
      <c r="Y38" s="36" t="n"/>
      <c r="Z38" s="37" t="n"/>
    </row>
    <row r="39">
      <c r="A39" s="35">
        <f>IF(E39="","",ROW()-5)</f>
        <v/>
      </c>
      <c r="B39" s="36" t="n"/>
      <c r="C39" s="36" t="n"/>
      <c r="D39" s="36" t="n"/>
      <c r="E39" s="37" t="n"/>
      <c r="F39" s="37" t="n"/>
      <c r="G39" s="37" t="n"/>
      <c r="H39" s="37" t="n"/>
      <c r="I39" s="37" t="n"/>
      <c r="J39" s="36" t="n"/>
      <c r="K39" s="36" t="n"/>
      <c r="L39" s="36" t="n"/>
      <c r="M39" s="36" t="n"/>
      <c r="N39" s="38" t="n"/>
      <c r="O39" s="39">
        <f>IF(OR(N39="",J39=""),"",N39*J39)</f>
        <v/>
      </c>
      <c r="P39" s="40" t="n"/>
      <c r="Q39" s="41">
        <f>IF(OR(P39="",Y39="발주완료",Y39="취소"),"",TODAY()+P39)</f>
        <v/>
      </c>
      <c r="R39" s="35">
        <f>IF(OR(Q39="",NOT(ISNUMBER($J$2))),"",IF(Q39&lt;=$J$2,"가능","초과 "&amp;(Q39-$J$2)&amp;"일"))</f>
        <v/>
      </c>
      <c r="S39" s="36" t="n"/>
      <c r="T39" s="36" t="n"/>
      <c r="U39" s="36" t="n"/>
      <c r="V39" s="43" t="n"/>
      <c r="W39" s="41">
        <f>IF(OR(V39="",U39=""),"",V39+U39)</f>
        <v/>
      </c>
      <c r="X39" s="37" t="n"/>
      <c r="Y39" s="36" t="n"/>
      <c r="Z39" s="37" t="n"/>
    </row>
    <row r="40">
      <c r="A40" s="35">
        <f>IF(E40="","",ROW()-5)</f>
        <v/>
      </c>
      <c r="B40" s="36" t="n"/>
      <c r="C40" s="36" t="n"/>
      <c r="D40" s="36" t="n"/>
      <c r="E40" s="37" t="n"/>
      <c r="F40" s="37" t="n"/>
      <c r="G40" s="37" t="n"/>
      <c r="H40" s="37" t="n"/>
      <c r="I40" s="37" t="n"/>
      <c r="J40" s="36" t="n"/>
      <c r="K40" s="36" t="n"/>
      <c r="L40" s="36" t="n"/>
      <c r="M40" s="36" t="n"/>
      <c r="N40" s="38" t="n"/>
      <c r="O40" s="39">
        <f>IF(OR(N40="",J40=""),"",N40*J40)</f>
        <v/>
      </c>
      <c r="P40" s="40" t="n"/>
      <c r="Q40" s="41">
        <f>IF(OR(P40="",Y40="발주완료",Y40="취소"),"",TODAY()+P40)</f>
        <v/>
      </c>
      <c r="R40" s="35">
        <f>IF(OR(Q40="",NOT(ISNUMBER($J$2))),"",IF(Q40&lt;=$J$2,"가능","초과 "&amp;(Q40-$J$2)&amp;"일"))</f>
        <v/>
      </c>
      <c r="S40" s="36" t="n"/>
      <c r="T40" s="36" t="n"/>
      <c r="U40" s="36" t="n"/>
      <c r="V40" s="43" t="n"/>
      <c r="W40" s="41">
        <f>IF(OR(V40="",U40=""),"",V40+U40)</f>
        <v/>
      </c>
      <c r="X40" s="37" t="n"/>
      <c r="Y40" s="36" t="n"/>
      <c r="Z40" s="37" t="n"/>
    </row>
    <row r="41">
      <c r="A41" s="35">
        <f>IF(E41="","",ROW()-5)</f>
        <v/>
      </c>
      <c r="B41" s="36" t="n"/>
      <c r="C41" s="36" t="n"/>
      <c r="D41" s="36" t="n"/>
      <c r="E41" s="37" t="n"/>
      <c r="F41" s="37" t="n"/>
      <c r="G41" s="37" t="n"/>
      <c r="H41" s="37" t="n"/>
      <c r="I41" s="37" t="n"/>
      <c r="J41" s="36" t="n"/>
      <c r="K41" s="36" t="n"/>
      <c r="L41" s="36" t="n"/>
      <c r="M41" s="36" t="n"/>
      <c r="N41" s="38" t="n"/>
      <c r="O41" s="39">
        <f>IF(OR(N41="",J41=""),"",N41*J41)</f>
        <v/>
      </c>
      <c r="P41" s="40" t="n"/>
      <c r="Q41" s="41">
        <f>IF(OR(P41="",Y41="발주완료",Y41="취소"),"",TODAY()+P41)</f>
        <v/>
      </c>
      <c r="R41" s="35">
        <f>IF(OR(Q41="",NOT(ISNUMBER($J$2))),"",IF(Q41&lt;=$J$2,"가능","초과 "&amp;(Q41-$J$2)&amp;"일"))</f>
        <v/>
      </c>
      <c r="S41" s="36" t="n"/>
      <c r="T41" s="36" t="n"/>
      <c r="U41" s="36" t="n"/>
      <c r="V41" s="43" t="n"/>
      <c r="W41" s="41">
        <f>IF(OR(V41="",U41=""),"",V41+U41)</f>
        <v/>
      </c>
      <c r="X41" s="37" t="n"/>
      <c r="Y41" s="36" t="n"/>
      <c r="Z41" s="37" t="n"/>
    </row>
    <row r="42">
      <c r="A42" s="35">
        <f>IF(E42="","",ROW()-5)</f>
        <v/>
      </c>
      <c r="B42" s="36" t="n"/>
      <c r="C42" s="36" t="n"/>
      <c r="D42" s="36" t="n"/>
      <c r="E42" s="37" t="n"/>
      <c r="F42" s="37" t="n"/>
      <c r="G42" s="37" t="n"/>
      <c r="H42" s="37" t="n"/>
      <c r="I42" s="37" t="n"/>
      <c r="J42" s="36" t="n"/>
      <c r="K42" s="36" t="n"/>
      <c r="L42" s="36" t="n"/>
      <c r="M42" s="36" t="n"/>
      <c r="N42" s="38" t="n"/>
      <c r="O42" s="39">
        <f>IF(OR(N42="",J42=""),"",N42*J42)</f>
        <v/>
      </c>
      <c r="P42" s="40" t="n"/>
      <c r="Q42" s="41">
        <f>IF(OR(P42="",Y42="발주완료",Y42="취소"),"",TODAY()+P42)</f>
        <v/>
      </c>
      <c r="R42" s="35">
        <f>IF(OR(Q42="",NOT(ISNUMBER($J$2))),"",IF(Q42&lt;=$J$2,"가능","초과 "&amp;(Q42-$J$2)&amp;"일"))</f>
        <v/>
      </c>
      <c r="S42" s="36" t="n"/>
      <c r="T42" s="36" t="n"/>
      <c r="U42" s="36" t="n"/>
      <c r="V42" s="43" t="n"/>
      <c r="W42" s="41">
        <f>IF(OR(V42="",U42=""),"",V42+U42)</f>
        <v/>
      </c>
      <c r="X42" s="37" t="n"/>
      <c r="Y42" s="36" t="n"/>
      <c r="Z42" s="37" t="n"/>
    </row>
    <row r="43">
      <c r="A43" s="35">
        <f>IF(E43="","",ROW()-5)</f>
        <v/>
      </c>
      <c r="B43" s="36" t="n"/>
      <c r="C43" s="36" t="n"/>
      <c r="D43" s="36" t="n"/>
      <c r="E43" s="37" t="n"/>
      <c r="F43" s="37" t="n"/>
      <c r="G43" s="37" t="n"/>
      <c r="H43" s="37" t="n"/>
      <c r="I43" s="37" t="n"/>
      <c r="J43" s="36" t="n"/>
      <c r="K43" s="36" t="n"/>
      <c r="L43" s="36" t="n"/>
      <c r="M43" s="36" t="n"/>
      <c r="N43" s="38" t="n"/>
      <c r="O43" s="39">
        <f>IF(OR(N43="",J43=""),"",N43*J43)</f>
        <v/>
      </c>
      <c r="P43" s="40" t="n"/>
      <c r="Q43" s="41">
        <f>IF(OR(P43="",Y43="발주완료",Y43="취소"),"",TODAY()+P43)</f>
        <v/>
      </c>
      <c r="R43" s="35">
        <f>IF(OR(Q43="",NOT(ISNUMBER($J$2))),"",IF(Q43&lt;=$J$2,"가능","초과 "&amp;(Q43-$J$2)&amp;"일"))</f>
        <v/>
      </c>
      <c r="S43" s="36" t="n"/>
      <c r="T43" s="36" t="n"/>
      <c r="U43" s="36" t="n"/>
      <c r="V43" s="43" t="n"/>
      <c r="W43" s="41">
        <f>IF(OR(V43="",U43=""),"",V43+U43)</f>
        <v/>
      </c>
      <c r="X43" s="37" t="n"/>
      <c r="Y43" s="36" t="n"/>
      <c r="Z43" s="37" t="n"/>
    </row>
    <row r="44">
      <c r="A44" s="35">
        <f>IF(E44="","",ROW()-5)</f>
        <v/>
      </c>
      <c r="B44" s="36" t="n"/>
      <c r="C44" s="36" t="n"/>
      <c r="D44" s="36" t="n"/>
      <c r="E44" s="37" t="n"/>
      <c r="F44" s="37" t="n"/>
      <c r="G44" s="37" t="n"/>
      <c r="H44" s="37" t="n"/>
      <c r="I44" s="37" t="n"/>
      <c r="J44" s="36" t="n"/>
      <c r="K44" s="36" t="n"/>
      <c r="L44" s="36" t="n"/>
      <c r="M44" s="36" t="n"/>
      <c r="N44" s="38" t="n"/>
      <c r="O44" s="39">
        <f>IF(OR(N44="",J44=""),"",N44*J44)</f>
        <v/>
      </c>
      <c r="P44" s="40" t="n"/>
      <c r="Q44" s="41">
        <f>IF(OR(P44="",Y44="발주완료",Y44="취소"),"",TODAY()+P44)</f>
        <v/>
      </c>
      <c r="R44" s="35">
        <f>IF(OR(Q44="",NOT(ISNUMBER($J$2))),"",IF(Q44&lt;=$J$2,"가능","초과 "&amp;(Q44-$J$2)&amp;"일"))</f>
        <v/>
      </c>
      <c r="S44" s="36" t="n"/>
      <c r="T44" s="36" t="n"/>
      <c r="U44" s="36" t="n"/>
      <c r="V44" s="43" t="n"/>
      <c r="W44" s="41">
        <f>IF(OR(V44="",U44=""),"",V44+U44)</f>
        <v/>
      </c>
      <c r="X44" s="37" t="n"/>
      <c r="Y44" s="36" t="n"/>
      <c r="Z44" s="37" t="n"/>
    </row>
    <row r="45">
      <c r="A45" s="35">
        <f>IF(E45="","",ROW()-5)</f>
        <v/>
      </c>
      <c r="B45" s="36" t="n"/>
      <c r="C45" s="36" t="n"/>
      <c r="D45" s="36" t="n"/>
      <c r="E45" s="37" t="n"/>
      <c r="F45" s="37" t="n"/>
      <c r="G45" s="37" t="n"/>
      <c r="H45" s="37" t="n"/>
      <c r="I45" s="37" t="n"/>
      <c r="J45" s="36" t="n"/>
      <c r="K45" s="36" t="n"/>
      <c r="L45" s="36" t="n"/>
      <c r="M45" s="36" t="n"/>
      <c r="N45" s="38" t="n"/>
      <c r="O45" s="39">
        <f>IF(OR(N45="",J45=""),"",N45*J45)</f>
        <v/>
      </c>
      <c r="P45" s="40" t="n"/>
      <c r="Q45" s="41">
        <f>IF(OR(P45="",Y45="발주완료",Y45="취소"),"",TODAY()+P45)</f>
        <v/>
      </c>
      <c r="R45" s="35">
        <f>IF(OR(Q45="",NOT(ISNUMBER($J$2))),"",IF(Q45&lt;=$J$2,"가능","초과 "&amp;(Q45-$J$2)&amp;"일"))</f>
        <v/>
      </c>
      <c r="S45" s="36" t="n"/>
      <c r="T45" s="36" t="n"/>
      <c r="U45" s="36" t="n"/>
      <c r="V45" s="43" t="n"/>
      <c r="W45" s="41">
        <f>IF(OR(V45="",U45=""),"",V45+U45)</f>
        <v/>
      </c>
      <c r="X45" s="37" t="n"/>
      <c r="Y45" s="36" t="n"/>
      <c r="Z45" s="37" t="n"/>
    </row>
    <row r="46">
      <c r="A46" s="35">
        <f>IF(E46="","",ROW()-5)</f>
        <v/>
      </c>
      <c r="B46" s="36" t="n"/>
      <c r="C46" s="36" t="n"/>
      <c r="D46" s="36" t="n"/>
      <c r="E46" s="37" t="n"/>
      <c r="F46" s="37" t="n"/>
      <c r="G46" s="37" t="n"/>
      <c r="H46" s="37" t="n"/>
      <c r="I46" s="37" t="n"/>
      <c r="J46" s="36" t="n"/>
      <c r="K46" s="36" t="n"/>
      <c r="L46" s="36" t="n"/>
      <c r="M46" s="36" t="n"/>
      <c r="N46" s="38" t="n"/>
      <c r="O46" s="39">
        <f>IF(OR(N46="",J46=""),"",N46*J46)</f>
        <v/>
      </c>
      <c r="P46" s="40" t="n"/>
      <c r="Q46" s="41">
        <f>IF(OR(P46="",Y46="발주완료",Y46="취소"),"",TODAY()+P46)</f>
        <v/>
      </c>
      <c r="R46" s="35">
        <f>IF(OR(Q46="",NOT(ISNUMBER($J$2))),"",IF(Q46&lt;=$J$2,"가능","초과 "&amp;(Q46-$J$2)&amp;"일"))</f>
        <v/>
      </c>
      <c r="S46" s="36" t="n"/>
      <c r="T46" s="36" t="n"/>
      <c r="U46" s="36" t="n"/>
      <c r="V46" s="43" t="n"/>
      <c r="W46" s="41">
        <f>IF(OR(V46="",U46=""),"",V46+U46)</f>
        <v/>
      </c>
      <c r="X46" s="37" t="n"/>
      <c r="Y46" s="36" t="n"/>
      <c r="Z46" s="37" t="n"/>
    </row>
    <row r="47">
      <c r="A47" s="35">
        <f>IF(E47="","",ROW()-5)</f>
        <v/>
      </c>
      <c r="B47" s="36" t="n"/>
      <c r="C47" s="36" t="n"/>
      <c r="D47" s="36" t="n"/>
      <c r="E47" s="37" t="n"/>
      <c r="F47" s="37" t="n"/>
      <c r="G47" s="37" t="n"/>
      <c r="H47" s="37" t="n"/>
      <c r="I47" s="37" t="n"/>
      <c r="J47" s="36" t="n"/>
      <c r="K47" s="36" t="n"/>
      <c r="L47" s="36" t="n"/>
      <c r="M47" s="36" t="n"/>
      <c r="N47" s="38" t="n"/>
      <c r="O47" s="39">
        <f>IF(OR(N47="",J47=""),"",N47*J47)</f>
        <v/>
      </c>
      <c r="P47" s="40" t="n"/>
      <c r="Q47" s="41">
        <f>IF(OR(P47="",Y47="발주완료",Y47="취소"),"",TODAY()+P47)</f>
        <v/>
      </c>
      <c r="R47" s="35">
        <f>IF(OR(Q47="",NOT(ISNUMBER($J$2))),"",IF(Q47&lt;=$J$2,"가능","초과 "&amp;(Q47-$J$2)&amp;"일"))</f>
        <v/>
      </c>
      <c r="S47" s="36" t="n"/>
      <c r="T47" s="36" t="n"/>
      <c r="U47" s="36" t="n"/>
      <c r="V47" s="43" t="n"/>
      <c r="W47" s="41">
        <f>IF(OR(V47="",U47=""),"",V47+U47)</f>
        <v/>
      </c>
      <c r="X47" s="37" t="n"/>
      <c r="Y47" s="36" t="n"/>
      <c r="Z47" s="37" t="n"/>
    </row>
    <row r="48">
      <c r="A48" s="35">
        <f>IF(E48="","",ROW()-5)</f>
        <v/>
      </c>
      <c r="B48" s="36" t="n"/>
      <c r="C48" s="36" t="n"/>
      <c r="D48" s="36" t="n"/>
      <c r="E48" s="37" t="n"/>
      <c r="F48" s="37" t="n"/>
      <c r="G48" s="37" t="n"/>
      <c r="H48" s="37" t="n"/>
      <c r="I48" s="37" t="n"/>
      <c r="J48" s="36" t="n"/>
      <c r="K48" s="36" t="n"/>
      <c r="L48" s="36" t="n"/>
      <c r="M48" s="36" t="n"/>
      <c r="N48" s="38" t="n"/>
      <c r="O48" s="39">
        <f>IF(OR(N48="",J48=""),"",N48*J48)</f>
        <v/>
      </c>
      <c r="P48" s="40" t="n"/>
      <c r="Q48" s="41">
        <f>IF(OR(P48="",Y48="발주완료",Y48="취소"),"",TODAY()+P48)</f>
        <v/>
      </c>
      <c r="R48" s="35">
        <f>IF(OR(Q48="",NOT(ISNUMBER($J$2))),"",IF(Q48&lt;=$J$2,"가능","초과 "&amp;(Q48-$J$2)&amp;"일"))</f>
        <v/>
      </c>
      <c r="S48" s="36" t="n"/>
      <c r="T48" s="36" t="n"/>
      <c r="U48" s="36" t="n"/>
      <c r="V48" s="43" t="n"/>
      <c r="W48" s="41">
        <f>IF(OR(V48="",U48=""),"",V48+U48)</f>
        <v/>
      </c>
      <c r="X48" s="37" t="n"/>
      <c r="Y48" s="36" t="n"/>
      <c r="Z48" s="37" t="n"/>
    </row>
    <row r="49">
      <c r="A49" s="35">
        <f>IF(E49="","",ROW()-5)</f>
        <v/>
      </c>
      <c r="B49" s="36" t="n"/>
      <c r="C49" s="36" t="n"/>
      <c r="D49" s="36" t="n"/>
      <c r="E49" s="37" t="n"/>
      <c r="F49" s="37" t="n"/>
      <c r="G49" s="37" t="n"/>
      <c r="H49" s="37" t="n"/>
      <c r="I49" s="37" t="n"/>
      <c r="J49" s="36" t="n"/>
      <c r="K49" s="36" t="n"/>
      <c r="L49" s="36" t="n"/>
      <c r="M49" s="36" t="n"/>
      <c r="N49" s="38" t="n"/>
      <c r="O49" s="39">
        <f>IF(OR(N49="",J49=""),"",N49*J49)</f>
        <v/>
      </c>
      <c r="P49" s="40" t="n"/>
      <c r="Q49" s="41">
        <f>IF(OR(P49="",Y49="발주완료",Y49="취소"),"",TODAY()+P49)</f>
        <v/>
      </c>
      <c r="R49" s="35">
        <f>IF(OR(Q49="",NOT(ISNUMBER($J$2))),"",IF(Q49&lt;=$J$2,"가능","초과 "&amp;(Q49-$J$2)&amp;"일"))</f>
        <v/>
      </c>
      <c r="S49" s="36" t="n"/>
      <c r="T49" s="36" t="n"/>
      <c r="U49" s="36" t="n"/>
      <c r="V49" s="43" t="n"/>
      <c r="W49" s="41">
        <f>IF(OR(V49="",U49=""),"",V49+U49)</f>
        <v/>
      </c>
      <c r="X49" s="37" t="n"/>
      <c r="Y49" s="36" t="n"/>
      <c r="Z49" s="37" t="n"/>
    </row>
    <row r="50">
      <c r="A50" s="35">
        <f>IF(E50="","",ROW()-5)</f>
        <v/>
      </c>
      <c r="B50" s="36" t="n"/>
      <c r="C50" s="36" t="n"/>
      <c r="D50" s="36" t="n"/>
      <c r="E50" s="37" t="n"/>
      <c r="F50" s="37" t="n"/>
      <c r="G50" s="37" t="n"/>
      <c r="H50" s="37" t="n"/>
      <c r="I50" s="37" t="n"/>
      <c r="J50" s="36" t="n"/>
      <c r="K50" s="36" t="n"/>
      <c r="L50" s="36" t="n"/>
      <c r="M50" s="36" t="n"/>
      <c r="N50" s="38" t="n"/>
      <c r="O50" s="39">
        <f>IF(OR(N50="",J50=""),"",N50*J50)</f>
        <v/>
      </c>
      <c r="P50" s="40" t="n"/>
      <c r="Q50" s="41">
        <f>IF(OR(P50="",Y50="발주완료",Y50="취소"),"",TODAY()+P50)</f>
        <v/>
      </c>
      <c r="R50" s="35">
        <f>IF(OR(Q50="",NOT(ISNUMBER($J$2))),"",IF(Q50&lt;=$J$2,"가능","초과 "&amp;(Q50-$J$2)&amp;"일"))</f>
        <v/>
      </c>
      <c r="S50" s="36" t="n"/>
      <c r="T50" s="36" t="n"/>
      <c r="U50" s="36" t="n"/>
      <c r="V50" s="43" t="n"/>
      <c r="W50" s="41">
        <f>IF(OR(V50="",U50=""),"",V50+U50)</f>
        <v/>
      </c>
      <c r="X50" s="37" t="n"/>
      <c r="Y50" s="36" t="n"/>
      <c r="Z50" s="37" t="n"/>
    </row>
    <row r="51">
      <c r="A51" s="35">
        <f>IF(E51="","",ROW()-5)</f>
        <v/>
      </c>
      <c r="B51" s="36" t="n"/>
      <c r="C51" s="36" t="n"/>
      <c r="D51" s="36" t="n"/>
      <c r="E51" s="37" t="n"/>
      <c r="F51" s="37" t="n"/>
      <c r="G51" s="37" t="n"/>
      <c r="H51" s="37" t="n"/>
      <c r="I51" s="37" t="n"/>
      <c r="J51" s="36" t="n"/>
      <c r="K51" s="36" t="n"/>
      <c r="L51" s="36" t="n"/>
      <c r="M51" s="36" t="n"/>
      <c r="N51" s="38" t="n"/>
      <c r="O51" s="39">
        <f>IF(OR(N51="",J51=""),"",N51*J51)</f>
        <v/>
      </c>
      <c r="P51" s="40" t="n"/>
      <c r="Q51" s="41">
        <f>IF(OR(P51="",Y51="발주완료",Y51="취소"),"",TODAY()+P51)</f>
        <v/>
      </c>
      <c r="R51" s="35">
        <f>IF(OR(Q51="",NOT(ISNUMBER($J$2))),"",IF(Q51&lt;=$J$2,"가능","초과 "&amp;(Q51-$J$2)&amp;"일"))</f>
        <v/>
      </c>
      <c r="S51" s="36" t="n"/>
      <c r="T51" s="36" t="n"/>
      <c r="U51" s="36" t="n"/>
      <c r="V51" s="43" t="n"/>
      <c r="W51" s="41">
        <f>IF(OR(V51="",U51=""),"",V51+U51)</f>
        <v/>
      </c>
      <c r="X51" s="37" t="n"/>
      <c r="Y51" s="36" t="n"/>
      <c r="Z51" s="37" t="n"/>
    </row>
    <row r="52">
      <c r="A52" s="35">
        <f>IF(E52="","",ROW()-5)</f>
        <v/>
      </c>
      <c r="B52" s="36" t="n"/>
      <c r="C52" s="36" t="n"/>
      <c r="D52" s="36" t="n"/>
      <c r="E52" s="37" t="n"/>
      <c r="F52" s="37" t="n"/>
      <c r="G52" s="37" t="n"/>
      <c r="H52" s="37" t="n"/>
      <c r="I52" s="37" t="n"/>
      <c r="J52" s="36" t="n"/>
      <c r="K52" s="36" t="n"/>
      <c r="L52" s="36" t="n"/>
      <c r="M52" s="36" t="n"/>
      <c r="N52" s="38" t="n"/>
      <c r="O52" s="39">
        <f>IF(OR(N52="",J52=""),"",N52*J52)</f>
        <v/>
      </c>
      <c r="P52" s="40" t="n"/>
      <c r="Q52" s="41">
        <f>IF(OR(P52="",Y52="발주완료",Y52="취소"),"",TODAY()+P52)</f>
        <v/>
      </c>
      <c r="R52" s="35">
        <f>IF(OR(Q52="",NOT(ISNUMBER($J$2))),"",IF(Q52&lt;=$J$2,"가능","초과 "&amp;(Q52-$J$2)&amp;"일"))</f>
        <v/>
      </c>
      <c r="S52" s="36" t="n"/>
      <c r="T52" s="36" t="n"/>
      <c r="U52" s="36" t="n"/>
      <c r="V52" s="43" t="n"/>
      <c r="W52" s="41">
        <f>IF(OR(V52="",U52=""),"",V52+U52)</f>
        <v/>
      </c>
      <c r="X52" s="37" t="n"/>
      <c r="Y52" s="36" t="n"/>
      <c r="Z52" s="37" t="n"/>
    </row>
    <row r="53">
      <c r="A53" s="35">
        <f>IF(E53="","",ROW()-5)</f>
        <v/>
      </c>
      <c r="B53" s="36" t="n"/>
      <c r="C53" s="36" t="n"/>
      <c r="D53" s="36" t="n"/>
      <c r="E53" s="37" t="n"/>
      <c r="F53" s="37" t="n"/>
      <c r="G53" s="37" t="n"/>
      <c r="H53" s="37" t="n"/>
      <c r="I53" s="37" t="n"/>
      <c r="J53" s="36" t="n"/>
      <c r="K53" s="36" t="n"/>
      <c r="L53" s="36" t="n"/>
      <c r="M53" s="36" t="n"/>
      <c r="N53" s="38" t="n"/>
      <c r="O53" s="39">
        <f>IF(OR(N53="",J53=""),"",N53*J53)</f>
        <v/>
      </c>
      <c r="P53" s="40" t="n"/>
      <c r="Q53" s="41">
        <f>IF(OR(P53="",Y53="발주완료",Y53="취소"),"",TODAY()+P53)</f>
        <v/>
      </c>
      <c r="R53" s="35">
        <f>IF(OR(Q53="",NOT(ISNUMBER($J$2))),"",IF(Q53&lt;=$J$2,"가능","초과 "&amp;(Q53-$J$2)&amp;"일"))</f>
        <v/>
      </c>
      <c r="S53" s="36" t="n"/>
      <c r="T53" s="36" t="n"/>
      <c r="U53" s="36" t="n"/>
      <c r="V53" s="43" t="n"/>
      <c r="W53" s="41">
        <f>IF(OR(V53="",U53=""),"",V53+U53)</f>
        <v/>
      </c>
      <c r="X53" s="37" t="n"/>
      <c r="Y53" s="36" t="n"/>
      <c r="Z53" s="37" t="n"/>
    </row>
    <row r="54">
      <c r="A54" s="35">
        <f>IF(E54="","",ROW()-5)</f>
        <v/>
      </c>
      <c r="B54" s="36" t="n"/>
      <c r="C54" s="36" t="n"/>
      <c r="D54" s="36" t="n"/>
      <c r="E54" s="37" t="n"/>
      <c r="F54" s="37" t="n"/>
      <c r="G54" s="37" t="n"/>
      <c r="H54" s="37" t="n"/>
      <c r="I54" s="37" t="n"/>
      <c r="J54" s="36" t="n"/>
      <c r="K54" s="36" t="n"/>
      <c r="L54" s="36" t="n"/>
      <c r="M54" s="36" t="n"/>
      <c r="N54" s="38" t="n"/>
      <c r="O54" s="39">
        <f>IF(OR(N54="",J54=""),"",N54*J54)</f>
        <v/>
      </c>
      <c r="P54" s="40" t="n"/>
      <c r="Q54" s="41">
        <f>IF(OR(P54="",Y54="발주완료",Y54="취소"),"",TODAY()+P54)</f>
        <v/>
      </c>
      <c r="R54" s="35">
        <f>IF(OR(Q54="",NOT(ISNUMBER($J$2))),"",IF(Q54&lt;=$J$2,"가능","초과 "&amp;(Q54-$J$2)&amp;"일"))</f>
        <v/>
      </c>
      <c r="S54" s="36" t="n"/>
      <c r="T54" s="36" t="n"/>
      <c r="U54" s="36" t="n"/>
      <c r="V54" s="43" t="n"/>
      <c r="W54" s="41">
        <f>IF(OR(V54="",U54=""),"",V54+U54)</f>
        <v/>
      </c>
      <c r="X54" s="37" t="n"/>
      <c r="Y54" s="36" t="n"/>
      <c r="Z54" s="37" t="n"/>
    </row>
    <row r="55">
      <c r="A55" s="35">
        <f>IF(E55="","",ROW()-5)</f>
        <v/>
      </c>
      <c r="B55" s="36" t="n"/>
      <c r="C55" s="36" t="n"/>
      <c r="D55" s="36" t="n"/>
      <c r="E55" s="37" t="n"/>
      <c r="F55" s="37" t="n"/>
      <c r="G55" s="37" t="n"/>
      <c r="H55" s="37" t="n"/>
      <c r="I55" s="37" t="n"/>
      <c r="J55" s="36" t="n"/>
      <c r="K55" s="36" t="n"/>
      <c r="L55" s="36" t="n"/>
      <c r="M55" s="36" t="n"/>
      <c r="N55" s="38" t="n"/>
      <c r="O55" s="39">
        <f>IF(OR(N55="",J55=""),"",N55*J55)</f>
        <v/>
      </c>
      <c r="P55" s="40" t="n"/>
      <c r="Q55" s="41">
        <f>IF(OR(P55="",Y55="발주완료",Y55="취소"),"",TODAY()+P55)</f>
        <v/>
      </c>
      <c r="R55" s="35">
        <f>IF(OR(Q55="",NOT(ISNUMBER($J$2))),"",IF(Q55&lt;=$J$2,"가능","초과 "&amp;(Q55-$J$2)&amp;"일"))</f>
        <v/>
      </c>
      <c r="S55" s="36" t="n"/>
      <c r="T55" s="36" t="n"/>
      <c r="U55" s="36" t="n"/>
      <c r="V55" s="43" t="n"/>
      <c r="W55" s="41">
        <f>IF(OR(V55="",U55=""),"",V55+U55)</f>
        <v/>
      </c>
      <c r="X55" s="37" t="n"/>
      <c r="Y55" s="36" t="n"/>
      <c r="Z55" s="37" t="n"/>
    </row>
    <row r="56">
      <c r="A56" s="35">
        <f>IF(E56="","",ROW()-5)</f>
        <v/>
      </c>
      <c r="B56" s="36" t="n"/>
      <c r="C56" s="36" t="n"/>
      <c r="D56" s="36" t="n"/>
      <c r="E56" s="37" t="n"/>
      <c r="F56" s="37" t="n"/>
      <c r="G56" s="37" t="n"/>
      <c r="H56" s="37" t="n"/>
      <c r="I56" s="37" t="n"/>
      <c r="J56" s="36" t="n"/>
      <c r="K56" s="36" t="n"/>
      <c r="L56" s="36" t="n"/>
      <c r="M56" s="36" t="n"/>
      <c r="N56" s="38" t="n"/>
      <c r="O56" s="39">
        <f>IF(OR(N56="",J56=""),"",N56*J56)</f>
        <v/>
      </c>
      <c r="P56" s="40" t="n"/>
      <c r="Q56" s="41">
        <f>IF(OR(P56="",Y56="발주완료",Y56="취소"),"",TODAY()+P56)</f>
        <v/>
      </c>
      <c r="R56" s="35">
        <f>IF(OR(Q56="",NOT(ISNUMBER($J$2))),"",IF(Q56&lt;=$J$2,"가능","초과 "&amp;(Q56-$J$2)&amp;"일"))</f>
        <v/>
      </c>
      <c r="S56" s="36" t="n"/>
      <c r="T56" s="36" t="n"/>
      <c r="U56" s="36" t="n"/>
      <c r="V56" s="43" t="n"/>
      <c r="W56" s="41">
        <f>IF(OR(V56="",U56=""),"",V56+U56)</f>
        <v/>
      </c>
      <c r="X56" s="37" t="n"/>
      <c r="Y56" s="36" t="n"/>
      <c r="Z56" s="37" t="n"/>
    </row>
    <row r="57">
      <c r="A57" s="35">
        <f>IF(E57="","",ROW()-5)</f>
        <v/>
      </c>
      <c r="B57" s="36" t="n"/>
      <c r="C57" s="36" t="n"/>
      <c r="D57" s="36" t="n"/>
      <c r="E57" s="37" t="n"/>
      <c r="F57" s="37" t="n"/>
      <c r="G57" s="37" t="n"/>
      <c r="H57" s="37" t="n"/>
      <c r="I57" s="37" t="n"/>
      <c r="J57" s="36" t="n"/>
      <c r="K57" s="36" t="n"/>
      <c r="L57" s="36" t="n"/>
      <c r="M57" s="36" t="n"/>
      <c r="N57" s="38" t="n"/>
      <c r="O57" s="39">
        <f>IF(OR(N57="",J57=""),"",N57*J57)</f>
        <v/>
      </c>
      <c r="P57" s="40" t="n"/>
      <c r="Q57" s="41">
        <f>IF(OR(P57="",Y57="발주완료",Y57="취소"),"",TODAY()+P57)</f>
        <v/>
      </c>
      <c r="R57" s="35">
        <f>IF(OR(Q57="",NOT(ISNUMBER($J$2))),"",IF(Q57&lt;=$J$2,"가능","초과 "&amp;(Q57-$J$2)&amp;"일"))</f>
        <v/>
      </c>
      <c r="S57" s="36" t="n"/>
      <c r="T57" s="36" t="n"/>
      <c r="U57" s="36" t="n"/>
      <c r="V57" s="43" t="n"/>
      <c r="W57" s="41">
        <f>IF(OR(V57="",U57=""),"",V57+U57)</f>
        <v/>
      </c>
      <c r="X57" s="37" t="n"/>
      <c r="Y57" s="36" t="n"/>
      <c r="Z57" s="37" t="n"/>
    </row>
    <row r="58">
      <c r="A58" s="35">
        <f>IF(E58="","",ROW()-5)</f>
        <v/>
      </c>
      <c r="B58" s="36" t="n"/>
      <c r="C58" s="36" t="n"/>
      <c r="D58" s="36" t="n"/>
      <c r="E58" s="37" t="n"/>
      <c r="F58" s="37" t="n"/>
      <c r="G58" s="37" t="n"/>
      <c r="H58" s="37" t="n"/>
      <c r="I58" s="37" t="n"/>
      <c r="J58" s="36" t="n"/>
      <c r="K58" s="36" t="n"/>
      <c r="L58" s="36" t="n"/>
      <c r="M58" s="36" t="n"/>
      <c r="N58" s="38" t="n"/>
      <c r="O58" s="39">
        <f>IF(OR(N58="",J58=""),"",N58*J58)</f>
        <v/>
      </c>
      <c r="P58" s="40" t="n"/>
      <c r="Q58" s="41">
        <f>IF(OR(P58="",Y58="발주완료",Y58="취소"),"",TODAY()+P58)</f>
        <v/>
      </c>
      <c r="R58" s="35">
        <f>IF(OR(Q58="",NOT(ISNUMBER($J$2))),"",IF(Q58&lt;=$J$2,"가능","초과 "&amp;(Q58-$J$2)&amp;"일"))</f>
        <v/>
      </c>
      <c r="S58" s="36" t="n"/>
      <c r="T58" s="36" t="n"/>
      <c r="U58" s="36" t="n"/>
      <c r="V58" s="43" t="n"/>
      <c r="W58" s="41">
        <f>IF(OR(V58="",U58=""),"",V58+U58)</f>
        <v/>
      </c>
      <c r="X58" s="37" t="n"/>
      <c r="Y58" s="36" t="n"/>
      <c r="Z58" s="37" t="n"/>
    </row>
    <row r="59">
      <c r="A59" s="35">
        <f>IF(E59="","",ROW()-5)</f>
        <v/>
      </c>
      <c r="B59" s="36" t="n"/>
      <c r="C59" s="36" t="n"/>
      <c r="D59" s="36" t="n"/>
      <c r="E59" s="37" t="n"/>
      <c r="F59" s="37" t="n"/>
      <c r="G59" s="37" t="n"/>
      <c r="H59" s="37" t="n"/>
      <c r="I59" s="37" t="n"/>
      <c r="J59" s="36" t="n"/>
      <c r="K59" s="36" t="n"/>
      <c r="L59" s="36" t="n"/>
      <c r="M59" s="36" t="n"/>
      <c r="N59" s="38" t="n"/>
      <c r="O59" s="39">
        <f>IF(OR(N59="",J59=""),"",N59*J59)</f>
        <v/>
      </c>
      <c r="P59" s="40" t="n"/>
      <c r="Q59" s="41">
        <f>IF(OR(P59="",Y59="발주완료",Y59="취소"),"",TODAY()+P59)</f>
        <v/>
      </c>
      <c r="R59" s="35">
        <f>IF(OR(Q59="",NOT(ISNUMBER($J$2))),"",IF(Q59&lt;=$J$2,"가능","초과 "&amp;(Q59-$J$2)&amp;"일"))</f>
        <v/>
      </c>
      <c r="S59" s="36" t="n"/>
      <c r="T59" s="36" t="n"/>
      <c r="U59" s="36" t="n"/>
      <c r="V59" s="43" t="n"/>
      <c r="W59" s="41">
        <f>IF(OR(V59="",U59=""),"",V59+U59)</f>
        <v/>
      </c>
      <c r="X59" s="37" t="n"/>
      <c r="Y59" s="36" t="n"/>
      <c r="Z59" s="37" t="n"/>
    </row>
    <row r="60">
      <c r="A60" s="35">
        <f>IF(E60="","",ROW()-5)</f>
        <v/>
      </c>
      <c r="B60" s="36" t="n"/>
      <c r="C60" s="36" t="n"/>
      <c r="D60" s="36" t="n"/>
      <c r="E60" s="37" t="n"/>
      <c r="F60" s="37" t="n"/>
      <c r="G60" s="37" t="n"/>
      <c r="H60" s="37" t="n"/>
      <c r="I60" s="37" t="n"/>
      <c r="J60" s="36" t="n"/>
      <c r="K60" s="36" t="n"/>
      <c r="L60" s="36" t="n"/>
      <c r="M60" s="36" t="n"/>
      <c r="N60" s="38" t="n"/>
      <c r="O60" s="39">
        <f>IF(OR(N60="",J60=""),"",N60*J60)</f>
        <v/>
      </c>
      <c r="P60" s="40" t="n"/>
      <c r="Q60" s="41">
        <f>IF(OR(P60="",Y60="발주완료",Y60="취소"),"",TODAY()+P60)</f>
        <v/>
      </c>
      <c r="R60" s="35">
        <f>IF(OR(Q60="",NOT(ISNUMBER($J$2))),"",IF(Q60&lt;=$J$2,"가능","초과 "&amp;(Q60-$J$2)&amp;"일"))</f>
        <v/>
      </c>
      <c r="S60" s="36" t="n"/>
      <c r="T60" s="36" t="n"/>
      <c r="U60" s="36" t="n"/>
      <c r="V60" s="43" t="n"/>
      <c r="W60" s="41">
        <f>IF(OR(V60="",U60=""),"",V60+U60)</f>
        <v/>
      </c>
      <c r="X60" s="37" t="n"/>
      <c r="Y60" s="36" t="n"/>
      <c r="Z60" s="37" t="n"/>
    </row>
    <row r="61">
      <c r="A61" s="35">
        <f>IF(E61="","",ROW()-5)</f>
        <v/>
      </c>
      <c r="B61" s="36" t="n"/>
      <c r="C61" s="36" t="n"/>
      <c r="D61" s="36" t="n"/>
      <c r="E61" s="37" t="n"/>
      <c r="F61" s="37" t="n"/>
      <c r="G61" s="37" t="n"/>
      <c r="H61" s="37" t="n"/>
      <c r="I61" s="37" t="n"/>
      <c r="J61" s="36" t="n"/>
      <c r="K61" s="36" t="n"/>
      <c r="L61" s="36" t="n"/>
      <c r="M61" s="36" t="n"/>
      <c r="N61" s="38" t="n"/>
      <c r="O61" s="39">
        <f>IF(OR(N61="",J61=""),"",N61*J61)</f>
        <v/>
      </c>
      <c r="P61" s="40" t="n"/>
      <c r="Q61" s="41">
        <f>IF(OR(P61="",Y61="발주완료",Y61="취소"),"",TODAY()+P61)</f>
        <v/>
      </c>
      <c r="R61" s="35">
        <f>IF(OR(Q61="",NOT(ISNUMBER($J$2))),"",IF(Q61&lt;=$J$2,"가능","초과 "&amp;(Q61-$J$2)&amp;"일"))</f>
        <v/>
      </c>
      <c r="S61" s="36" t="n"/>
      <c r="T61" s="36" t="n"/>
      <c r="U61" s="36" t="n"/>
      <c r="V61" s="43" t="n"/>
      <c r="W61" s="41">
        <f>IF(OR(V61="",U61=""),"",V61+U61)</f>
        <v/>
      </c>
      <c r="X61" s="37" t="n"/>
      <c r="Y61" s="36" t="n"/>
      <c r="Z61" s="37" t="n"/>
    </row>
    <row r="62">
      <c r="A62" s="35">
        <f>IF(E62="","",ROW()-5)</f>
        <v/>
      </c>
      <c r="B62" s="36" t="n"/>
      <c r="C62" s="36" t="n"/>
      <c r="D62" s="36" t="n"/>
      <c r="E62" s="37" t="n"/>
      <c r="F62" s="37" t="n"/>
      <c r="G62" s="37" t="n"/>
      <c r="H62" s="37" t="n"/>
      <c r="I62" s="37" t="n"/>
      <c r="J62" s="36" t="n"/>
      <c r="K62" s="36" t="n"/>
      <c r="L62" s="36" t="n"/>
      <c r="M62" s="36" t="n"/>
      <c r="N62" s="38" t="n"/>
      <c r="O62" s="39">
        <f>IF(OR(N62="",J62=""),"",N62*J62)</f>
        <v/>
      </c>
      <c r="P62" s="40" t="n"/>
      <c r="Q62" s="41">
        <f>IF(OR(P62="",Y62="발주완료",Y62="취소"),"",TODAY()+P62)</f>
        <v/>
      </c>
      <c r="R62" s="35">
        <f>IF(OR(Q62="",NOT(ISNUMBER($J$2))),"",IF(Q62&lt;=$J$2,"가능","초과 "&amp;(Q62-$J$2)&amp;"일"))</f>
        <v/>
      </c>
      <c r="S62" s="36" t="n"/>
      <c r="T62" s="36" t="n"/>
      <c r="U62" s="36" t="n"/>
      <c r="V62" s="43" t="n"/>
      <c r="W62" s="41">
        <f>IF(OR(V62="",U62=""),"",V62+U62)</f>
        <v/>
      </c>
      <c r="X62" s="37" t="n"/>
      <c r="Y62" s="36" t="n"/>
      <c r="Z62" s="37" t="n"/>
    </row>
    <row r="63">
      <c r="A63" s="35">
        <f>IF(E63="","",ROW()-5)</f>
        <v/>
      </c>
      <c r="B63" s="36" t="n"/>
      <c r="C63" s="36" t="n"/>
      <c r="D63" s="36" t="n"/>
      <c r="E63" s="37" t="n"/>
      <c r="F63" s="37" t="n"/>
      <c r="G63" s="37" t="n"/>
      <c r="H63" s="37" t="n"/>
      <c r="I63" s="37" t="n"/>
      <c r="J63" s="36" t="n"/>
      <c r="K63" s="36" t="n"/>
      <c r="L63" s="36" t="n"/>
      <c r="M63" s="36" t="n"/>
      <c r="N63" s="38" t="n"/>
      <c r="O63" s="39">
        <f>IF(OR(N63="",J63=""),"",N63*J63)</f>
        <v/>
      </c>
      <c r="P63" s="40" t="n"/>
      <c r="Q63" s="41">
        <f>IF(OR(P63="",Y63="발주완료",Y63="취소"),"",TODAY()+P63)</f>
        <v/>
      </c>
      <c r="R63" s="35">
        <f>IF(OR(Q63="",NOT(ISNUMBER($J$2))),"",IF(Q63&lt;=$J$2,"가능","초과 "&amp;(Q63-$J$2)&amp;"일"))</f>
        <v/>
      </c>
      <c r="S63" s="36" t="n"/>
      <c r="T63" s="36" t="n"/>
      <c r="U63" s="36" t="n"/>
      <c r="V63" s="43" t="n"/>
      <c r="W63" s="41">
        <f>IF(OR(V63="",U63=""),"",V63+U63)</f>
        <v/>
      </c>
      <c r="X63" s="37" t="n"/>
      <c r="Y63" s="36" t="n"/>
      <c r="Z63" s="37" t="n"/>
    </row>
    <row r="64">
      <c r="A64" s="35">
        <f>IF(E64="","",ROW()-5)</f>
        <v/>
      </c>
      <c r="B64" s="36" t="n"/>
      <c r="C64" s="36" t="n"/>
      <c r="D64" s="36" t="n"/>
      <c r="E64" s="37" t="n"/>
      <c r="F64" s="37" t="n"/>
      <c r="G64" s="37" t="n"/>
      <c r="H64" s="37" t="n"/>
      <c r="I64" s="37" t="n"/>
      <c r="J64" s="36" t="n"/>
      <c r="K64" s="36" t="n"/>
      <c r="L64" s="36" t="n"/>
      <c r="M64" s="36" t="n"/>
      <c r="N64" s="38" t="n"/>
      <c r="O64" s="39">
        <f>IF(OR(N64="",J64=""),"",N64*J64)</f>
        <v/>
      </c>
      <c r="P64" s="40" t="n"/>
      <c r="Q64" s="41">
        <f>IF(OR(P64="",Y64="발주완료",Y64="취소"),"",TODAY()+P64)</f>
        <v/>
      </c>
      <c r="R64" s="35">
        <f>IF(OR(Q64="",NOT(ISNUMBER($J$2))),"",IF(Q64&lt;=$J$2,"가능","초과 "&amp;(Q64-$J$2)&amp;"일"))</f>
        <v/>
      </c>
      <c r="S64" s="36" t="n"/>
      <c r="T64" s="36" t="n"/>
      <c r="U64" s="36" t="n"/>
      <c r="V64" s="43" t="n"/>
      <c r="W64" s="41">
        <f>IF(OR(V64="",U64=""),"",V64+U64)</f>
        <v/>
      </c>
      <c r="X64" s="37" t="n"/>
      <c r="Y64" s="36" t="n"/>
      <c r="Z64" s="37" t="n"/>
    </row>
    <row r="65">
      <c r="A65" s="35">
        <f>IF(E65="","",ROW()-5)</f>
        <v/>
      </c>
      <c r="B65" s="36" t="n"/>
      <c r="C65" s="36" t="n"/>
      <c r="D65" s="36" t="n"/>
      <c r="E65" s="37" t="n"/>
      <c r="F65" s="37" t="n"/>
      <c r="G65" s="37" t="n"/>
      <c r="H65" s="37" t="n"/>
      <c r="I65" s="37" t="n"/>
      <c r="J65" s="36" t="n"/>
      <c r="K65" s="36" t="n"/>
      <c r="L65" s="36" t="n"/>
      <c r="M65" s="36" t="n"/>
      <c r="N65" s="38" t="n"/>
      <c r="O65" s="39">
        <f>IF(OR(N65="",J65=""),"",N65*J65)</f>
        <v/>
      </c>
      <c r="P65" s="40" t="n"/>
      <c r="Q65" s="41">
        <f>IF(OR(P65="",Y65="발주완료",Y65="취소"),"",TODAY()+P65)</f>
        <v/>
      </c>
      <c r="R65" s="35">
        <f>IF(OR(Q65="",NOT(ISNUMBER($J$2))),"",IF(Q65&lt;=$J$2,"가능","초과 "&amp;(Q65-$J$2)&amp;"일"))</f>
        <v/>
      </c>
      <c r="S65" s="36" t="n"/>
      <c r="T65" s="36" t="n"/>
      <c r="U65" s="36" t="n"/>
      <c r="V65" s="43" t="n"/>
      <c r="W65" s="41">
        <f>IF(OR(V65="",U65=""),"",V65+U65)</f>
        <v/>
      </c>
      <c r="X65" s="37" t="n"/>
      <c r="Y65" s="36" t="n"/>
      <c r="Z65" s="37" t="n"/>
    </row>
    <row r="66">
      <c r="A66" s="35">
        <f>IF(E66="","",ROW()-5)</f>
        <v/>
      </c>
      <c r="B66" s="36" t="n"/>
      <c r="C66" s="36" t="n"/>
      <c r="D66" s="36" t="n"/>
      <c r="E66" s="37" t="n"/>
      <c r="F66" s="37" t="n"/>
      <c r="G66" s="37" t="n"/>
      <c r="H66" s="37" t="n"/>
      <c r="I66" s="37" t="n"/>
      <c r="J66" s="36" t="n"/>
      <c r="K66" s="36" t="n"/>
      <c r="L66" s="36" t="n"/>
      <c r="M66" s="36" t="n"/>
      <c r="N66" s="38" t="n"/>
      <c r="O66" s="39">
        <f>IF(OR(N66="",J66=""),"",N66*J66)</f>
        <v/>
      </c>
      <c r="P66" s="40" t="n"/>
      <c r="Q66" s="41">
        <f>IF(OR(P66="",Y66="발주완료",Y66="취소"),"",TODAY()+P66)</f>
        <v/>
      </c>
      <c r="R66" s="35">
        <f>IF(OR(Q66="",NOT(ISNUMBER($J$2))),"",IF(Q66&lt;=$J$2,"가능","초과 "&amp;(Q66-$J$2)&amp;"일"))</f>
        <v/>
      </c>
      <c r="S66" s="36" t="n"/>
      <c r="T66" s="36" t="n"/>
      <c r="U66" s="36" t="n"/>
      <c r="V66" s="43" t="n"/>
      <c r="W66" s="41">
        <f>IF(OR(V66="",U66=""),"",V66+U66)</f>
        <v/>
      </c>
      <c r="X66" s="37" t="n"/>
      <c r="Y66" s="36" t="n"/>
      <c r="Z66" s="37" t="n"/>
    </row>
    <row r="67">
      <c r="A67" s="35">
        <f>IF(E67="","",ROW()-5)</f>
        <v/>
      </c>
      <c r="B67" s="36" t="n"/>
      <c r="C67" s="36" t="n"/>
      <c r="D67" s="36" t="n"/>
      <c r="E67" s="37" t="n"/>
      <c r="F67" s="37" t="n"/>
      <c r="G67" s="37" t="n"/>
      <c r="H67" s="37" t="n"/>
      <c r="I67" s="37" t="n"/>
      <c r="J67" s="36" t="n"/>
      <c r="K67" s="36" t="n"/>
      <c r="L67" s="36" t="n"/>
      <c r="M67" s="36" t="n"/>
      <c r="N67" s="38" t="n"/>
      <c r="O67" s="39">
        <f>IF(OR(N67="",J67=""),"",N67*J67)</f>
        <v/>
      </c>
      <c r="P67" s="40" t="n"/>
      <c r="Q67" s="41">
        <f>IF(OR(P67="",Y67="발주완료",Y67="취소"),"",TODAY()+P67)</f>
        <v/>
      </c>
      <c r="R67" s="35">
        <f>IF(OR(Q67="",NOT(ISNUMBER($J$2))),"",IF(Q67&lt;=$J$2,"가능","초과 "&amp;(Q67-$J$2)&amp;"일"))</f>
        <v/>
      </c>
      <c r="S67" s="36" t="n"/>
      <c r="T67" s="36" t="n"/>
      <c r="U67" s="36" t="n"/>
      <c r="V67" s="43" t="n"/>
      <c r="W67" s="41">
        <f>IF(OR(V67="",U67=""),"",V67+U67)</f>
        <v/>
      </c>
      <c r="X67" s="37" t="n"/>
      <c r="Y67" s="36" t="n"/>
      <c r="Z67" s="37" t="n"/>
    </row>
    <row r="68">
      <c r="A68" s="35">
        <f>IF(E68="","",ROW()-5)</f>
        <v/>
      </c>
      <c r="B68" s="36" t="n"/>
      <c r="C68" s="36" t="n"/>
      <c r="D68" s="36" t="n"/>
      <c r="E68" s="37" t="n"/>
      <c r="F68" s="37" t="n"/>
      <c r="G68" s="37" t="n"/>
      <c r="H68" s="37" t="n"/>
      <c r="I68" s="37" t="n"/>
      <c r="J68" s="36" t="n"/>
      <c r="K68" s="36" t="n"/>
      <c r="L68" s="36" t="n"/>
      <c r="M68" s="36" t="n"/>
      <c r="N68" s="38" t="n"/>
      <c r="O68" s="39">
        <f>IF(OR(N68="",J68=""),"",N68*J68)</f>
        <v/>
      </c>
      <c r="P68" s="40" t="n"/>
      <c r="Q68" s="41">
        <f>IF(OR(P68="",Y68="발주완료",Y68="취소"),"",TODAY()+P68)</f>
        <v/>
      </c>
      <c r="R68" s="35">
        <f>IF(OR(Q68="",NOT(ISNUMBER($J$2))),"",IF(Q68&lt;=$J$2,"가능","초과 "&amp;(Q68-$J$2)&amp;"일"))</f>
        <v/>
      </c>
      <c r="S68" s="36" t="n"/>
      <c r="T68" s="36" t="n"/>
      <c r="U68" s="36" t="n"/>
      <c r="V68" s="43" t="n"/>
      <c r="W68" s="41">
        <f>IF(OR(V68="",U68=""),"",V68+U68)</f>
        <v/>
      </c>
      <c r="X68" s="37" t="n"/>
      <c r="Y68" s="36" t="n"/>
      <c r="Z68" s="37" t="n"/>
    </row>
    <row r="69">
      <c r="A69" s="35">
        <f>IF(E69="","",ROW()-5)</f>
        <v/>
      </c>
      <c r="B69" s="36" t="n"/>
      <c r="C69" s="36" t="n"/>
      <c r="D69" s="36" t="n"/>
      <c r="E69" s="37" t="n"/>
      <c r="F69" s="37" t="n"/>
      <c r="G69" s="37" t="n"/>
      <c r="H69" s="37" t="n"/>
      <c r="I69" s="37" t="n"/>
      <c r="J69" s="36" t="n"/>
      <c r="K69" s="36" t="n"/>
      <c r="L69" s="36" t="n"/>
      <c r="M69" s="36" t="n"/>
      <c r="N69" s="38" t="n"/>
      <c r="O69" s="39">
        <f>IF(OR(N69="",J69=""),"",N69*J69)</f>
        <v/>
      </c>
      <c r="P69" s="40" t="n"/>
      <c r="Q69" s="41">
        <f>IF(OR(P69="",Y69="발주완료",Y69="취소"),"",TODAY()+P69)</f>
        <v/>
      </c>
      <c r="R69" s="35">
        <f>IF(OR(Q69="",NOT(ISNUMBER($J$2))),"",IF(Q69&lt;=$J$2,"가능","초과 "&amp;(Q69-$J$2)&amp;"일"))</f>
        <v/>
      </c>
      <c r="S69" s="36" t="n"/>
      <c r="T69" s="36" t="n"/>
      <c r="U69" s="36" t="n"/>
      <c r="V69" s="43" t="n"/>
      <c r="W69" s="41">
        <f>IF(OR(V69="",U69=""),"",V69+U69)</f>
        <v/>
      </c>
      <c r="X69" s="37" t="n"/>
      <c r="Y69" s="36" t="n"/>
      <c r="Z69" s="37" t="n"/>
    </row>
    <row r="70">
      <c r="A70" s="35">
        <f>IF(E70="","",ROW()-5)</f>
        <v/>
      </c>
      <c r="B70" s="36" t="n"/>
      <c r="C70" s="36" t="n"/>
      <c r="D70" s="36" t="n"/>
      <c r="E70" s="37" t="n"/>
      <c r="F70" s="37" t="n"/>
      <c r="G70" s="37" t="n"/>
      <c r="H70" s="37" t="n"/>
      <c r="I70" s="37" t="n"/>
      <c r="J70" s="36" t="n"/>
      <c r="K70" s="36" t="n"/>
      <c r="L70" s="36" t="n"/>
      <c r="M70" s="36" t="n"/>
      <c r="N70" s="38" t="n"/>
      <c r="O70" s="39">
        <f>IF(OR(N70="",J70=""),"",N70*J70)</f>
        <v/>
      </c>
      <c r="P70" s="40" t="n"/>
      <c r="Q70" s="41">
        <f>IF(OR(P70="",Y70="발주완료",Y70="취소"),"",TODAY()+P70)</f>
        <v/>
      </c>
      <c r="R70" s="35">
        <f>IF(OR(Q70="",NOT(ISNUMBER($J$2))),"",IF(Q70&lt;=$J$2,"가능","초과 "&amp;(Q70-$J$2)&amp;"일"))</f>
        <v/>
      </c>
      <c r="S70" s="36" t="n"/>
      <c r="T70" s="36" t="n"/>
      <c r="U70" s="36" t="n"/>
      <c r="V70" s="43" t="n"/>
      <c r="W70" s="41">
        <f>IF(OR(V70="",U70=""),"",V70+U70)</f>
        <v/>
      </c>
      <c r="X70" s="37" t="n"/>
      <c r="Y70" s="36" t="n"/>
      <c r="Z70" s="37" t="n"/>
    </row>
    <row r="71">
      <c r="A71" s="35">
        <f>IF(E71="","",ROW()-5)</f>
        <v/>
      </c>
      <c r="B71" s="36" t="n"/>
      <c r="C71" s="36" t="n"/>
      <c r="D71" s="36" t="n"/>
      <c r="E71" s="37" t="n"/>
      <c r="F71" s="37" t="n"/>
      <c r="G71" s="37" t="n"/>
      <c r="H71" s="37" t="n"/>
      <c r="I71" s="37" t="n"/>
      <c r="J71" s="36" t="n"/>
      <c r="K71" s="36" t="n"/>
      <c r="L71" s="36" t="n"/>
      <c r="M71" s="36" t="n"/>
      <c r="N71" s="38" t="n"/>
      <c r="O71" s="39">
        <f>IF(OR(N71="",J71=""),"",N71*J71)</f>
        <v/>
      </c>
      <c r="P71" s="40" t="n"/>
      <c r="Q71" s="41">
        <f>IF(OR(P71="",Y71="발주완료",Y71="취소"),"",TODAY()+P71)</f>
        <v/>
      </c>
      <c r="R71" s="35">
        <f>IF(OR(Q71="",NOT(ISNUMBER($J$2))),"",IF(Q71&lt;=$J$2,"가능","초과 "&amp;(Q71-$J$2)&amp;"일"))</f>
        <v/>
      </c>
      <c r="S71" s="36" t="n"/>
      <c r="T71" s="36" t="n"/>
      <c r="U71" s="36" t="n"/>
      <c r="V71" s="43" t="n"/>
      <c r="W71" s="41">
        <f>IF(OR(V71="",U71=""),"",V71+U71)</f>
        <v/>
      </c>
      <c r="X71" s="37" t="n"/>
      <c r="Y71" s="36" t="n"/>
      <c r="Z71" s="37" t="n"/>
    </row>
    <row r="72">
      <c r="A72" s="35">
        <f>IF(E72="","",ROW()-5)</f>
        <v/>
      </c>
      <c r="B72" s="36" t="n"/>
      <c r="C72" s="36" t="n"/>
      <c r="D72" s="36" t="n"/>
      <c r="E72" s="37" t="n"/>
      <c r="F72" s="37" t="n"/>
      <c r="G72" s="37" t="n"/>
      <c r="H72" s="37" t="n"/>
      <c r="I72" s="37" t="n"/>
      <c r="J72" s="36" t="n"/>
      <c r="K72" s="36" t="n"/>
      <c r="L72" s="36" t="n"/>
      <c r="M72" s="36" t="n"/>
      <c r="N72" s="38" t="n"/>
      <c r="O72" s="39">
        <f>IF(OR(N72="",J72=""),"",N72*J72)</f>
        <v/>
      </c>
      <c r="P72" s="40" t="n"/>
      <c r="Q72" s="41">
        <f>IF(OR(P72="",Y72="발주완료",Y72="취소"),"",TODAY()+P72)</f>
        <v/>
      </c>
      <c r="R72" s="35">
        <f>IF(OR(Q72="",NOT(ISNUMBER($J$2))),"",IF(Q72&lt;=$J$2,"가능","초과 "&amp;(Q72-$J$2)&amp;"일"))</f>
        <v/>
      </c>
      <c r="S72" s="36" t="n"/>
      <c r="T72" s="36" t="n"/>
      <c r="U72" s="36" t="n"/>
      <c r="V72" s="43" t="n"/>
      <c r="W72" s="41">
        <f>IF(OR(V72="",U72=""),"",V72+U72)</f>
        <v/>
      </c>
      <c r="X72" s="37" t="n"/>
      <c r="Y72" s="36" t="n"/>
      <c r="Z72" s="37" t="n"/>
    </row>
    <row r="73">
      <c r="A73" s="35">
        <f>IF(E73="","",ROW()-5)</f>
        <v/>
      </c>
      <c r="B73" s="36" t="n"/>
      <c r="C73" s="36" t="n"/>
      <c r="D73" s="36" t="n"/>
      <c r="E73" s="37" t="n"/>
      <c r="F73" s="37" t="n"/>
      <c r="G73" s="37" t="n"/>
      <c r="H73" s="37" t="n"/>
      <c r="I73" s="37" t="n"/>
      <c r="J73" s="36" t="n"/>
      <c r="K73" s="36" t="n"/>
      <c r="L73" s="36" t="n"/>
      <c r="M73" s="36" t="n"/>
      <c r="N73" s="38" t="n"/>
      <c r="O73" s="39">
        <f>IF(OR(N73="",J73=""),"",N73*J73)</f>
        <v/>
      </c>
      <c r="P73" s="40" t="n"/>
      <c r="Q73" s="41">
        <f>IF(OR(P73="",Y73="발주완료",Y73="취소"),"",TODAY()+P73)</f>
        <v/>
      </c>
      <c r="R73" s="35">
        <f>IF(OR(Q73="",NOT(ISNUMBER($J$2))),"",IF(Q73&lt;=$J$2,"가능","초과 "&amp;(Q73-$J$2)&amp;"일"))</f>
        <v/>
      </c>
      <c r="S73" s="36" t="n"/>
      <c r="T73" s="36" t="n"/>
      <c r="U73" s="36" t="n"/>
      <c r="V73" s="43" t="n"/>
      <c r="W73" s="41">
        <f>IF(OR(V73="",U73=""),"",V73+U73)</f>
        <v/>
      </c>
      <c r="X73" s="37" t="n"/>
      <c r="Y73" s="36" t="n"/>
      <c r="Z73" s="37" t="n"/>
    </row>
    <row r="74">
      <c r="A74" s="35">
        <f>IF(E74="","",ROW()-5)</f>
        <v/>
      </c>
      <c r="B74" s="36" t="n"/>
      <c r="C74" s="36" t="n"/>
      <c r="D74" s="36" t="n"/>
      <c r="E74" s="37" t="n"/>
      <c r="F74" s="37" t="n"/>
      <c r="G74" s="37" t="n"/>
      <c r="H74" s="37" t="n"/>
      <c r="I74" s="37" t="n"/>
      <c r="J74" s="36" t="n"/>
      <c r="K74" s="36" t="n"/>
      <c r="L74" s="36" t="n"/>
      <c r="M74" s="36" t="n"/>
      <c r="N74" s="38" t="n"/>
      <c r="O74" s="39">
        <f>IF(OR(N74="",J74=""),"",N74*J74)</f>
        <v/>
      </c>
      <c r="P74" s="40" t="n"/>
      <c r="Q74" s="41">
        <f>IF(OR(P74="",Y74="발주완료",Y74="취소"),"",TODAY()+P74)</f>
        <v/>
      </c>
      <c r="R74" s="35">
        <f>IF(OR(Q74="",NOT(ISNUMBER($J$2))),"",IF(Q74&lt;=$J$2,"가능","초과 "&amp;(Q74-$J$2)&amp;"일"))</f>
        <v/>
      </c>
      <c r="S74" s="36" t="n"/>
      <c r="T74" s="36" t="n"/>
      <c r="U74" s="36" t="n"/>
      <c r="V74" s="43" t="n"/>
      <c r="W74" s="41">
        <f>IF(OR(V74="",U74=""),"",V74+U74)</f>
        <v/>
      </c>
      <c r="X74" s="37" t="n"/>
      <c r="Y74" s="36" t="n"/>
      <c r="Z74" s="37" t="n"/>
    </row>
    <row r="75">
      <c r="A75" s="35">
        <f>IF(E75="","",ROW()-5)</f>
        <v/>
      </c>
      <c r="B75" s="36" t="n"/>
      <c r="C75" s="36" t="n"/>
      <c r="D75" s="36" t="n"/>
      <c r="E75" s="37" t="n"/>
      <c r="F75" s="37" t="n"/>
      <c r="G75" s="37" t="n"/>
      <c r="H75" s="37" t="n"/>
      <c r="I75" s="37" t="n"/>
      <c r="J75" s="36" t="n"/>
      <c r="K75" s="36" t="n"/>
      <c r="L75" s="36" t="n"/>
      <c r="M75" s="36" t="n"/>
      <c r="N75" s="38" t="n"/>
      <c r="O75" s="39">
        <f>IF(OR(N75="",J75=""),"",N75*J75)</f>
        <v/>
      </c>
      <c r="P75" s="40" t="n"/>
      <c r="Q75" s="41">
        <f>IF(OR(P75="",Y75="발주완료",Y75="취소"),"",TODAY()+P75)</f>
        <v/>
      </c>
      <c r="R75" s="35">
        <f>IF(OR(Q75="",NOT(ISNUMBER($J$2))),"",IF(Q75&lt;=$J$2,"가능","초과 "&amp;(Q75-$J$2)&amp;"일"))</f>
        <v/>
      </c>
      <c r="S75" s="36" t="n"/>
      <c r="T75" s="36" t="n"/>
      <c r="U75" s="36" t="n"/>
      <c r="V75" s="43" t="n"/>
      <c r="W75" s="41">
        <f>IF(OR(V75="",U75=""),"",V75+U75)</f>
        <v/>
      </c>
      <c r="X75" s="37" t="n"/>
      <c r="Y75" s="36" t="n"/>
      <c r="Z75" s="37" t="n"/>
    </row>
    <row r="76">
      <c r="A76" s="35">
        <f>IF(E76="","",ROW()-5)</f>
        <v/>
      </c>
      <c r="B76" s="36" t="n"/>
      <c r="C76" s="36" t="n"/>
      <c r="D76" s="36" t="n"/>
      <c r="E76" s="37" t="n"/>
      <c r="F76" s="37" t="n"/>
      <c r="G76" s="37" t="n"/>
      <c r="H76" s="37" t="n"/>
      <c r="I76" s="37" t="n"/>
      <c r="J76" s="36" t="n"/>
      <c r="K76" s="36" t="n"/>
      <c r="L76" s="36" t="n"/>
      <c r="M76" s="36" t="n"/>
      <c r="N76" s="38" t="n"/>
      <c r="O76" s="39">
        <f>IF(OR(N76="",J76=""),"",N76*J76)</f>
        <v/>
      </c>
      <c r="P76" s="40" t="n"/>
      <c r="Q76" s="41">
        <f>IF(OR(P76="",Y76="발주완료",Y76="취소"),"",TODAY()+P76)</f>
        <v/>
      </c>
      <c r="R76" s="35">
        <f>IF(OR(Q76="",NOT(ISNUMBER($J$2))),"",IF(Q76&lt;=$J$2,"가능","초과 "&amp;(Q76-$J$2)&amp;"일"))</f>
        <v/>
      </c>
      <c r="S76" s="36" t="n"/>
      <c r="T76" s="36" t="n"/>
      <c r="U76" s="36" t="n"/>
      <c r="V76" s="43" t="n"/>
      <c r="W76" s="41">
        <f>IF(OR(V76="",U76=""),"",V76+U76)</f>
        <v/>
      </c>
      <c r="X76" s="37" t="n"/>
      <c r="Y76" s="36" t="n"/>
      <c r="Z76" s="37" t="n"/>
    </row>
    <row r="77">
      <c r="A77" s="35">
        <f>IF(E77="","",ROW()-5)</f>
        <v/>
      </c>
      <c r="B77" s="36" t="n"/>
      <c r="C77" s="36" t="n"/>
      <c r="D77" s="36" t="n"/>
      <c r="E77" s="37" t="n"/>
      <c r="F77" s="37" t="n"/>
      <c r="G77" s="37" t="n"/>
      <c r="H77" s="37" t="n"/>
      <c r="I77" s="37" t="n"/>
      <c r="J77" s="36" t="n"/>
      <c r="K77" s="36" t="n"/>
      <c r="L77" s="36" t="n"/>
      <c r="M77" s="36" t="n"/>
      <c r="N77" s="38" t="n"/>
      <c r="O77" s="39">
        <f>IF(OR(N77="",J77=""),"",N77*J77)</f>
        <v/>
      </c>
      <c r="P77" s="40" t="n"/>
      <c r="Q77" s="41">
        <f>IF(OR(P77="",Y77="발주완료",Y77="취소"),"",TODAY()+P77)</f>
        <v/>
      </c>
      <c r="R77" s="35">
        <f>IF(OR(Q77="",NOT(ISNUMBER($J$2))),"",IF(Q77&lt;=$J$2,"가능","초과 "&amp;(Q77-$J$2)&amp;"일"))</f>
        <v/>
      </c>
      <c r="S77" s="36" t="n"/>
      <c r="T77" s="36" t="n"/>
      <c r="U77" s="36" t="n"/>
      <c r="V77" s="43" t="n"/>
      <c r="W77" s="41">
        <f>IF(OR(V77="",U77=""),"",V77+U77)</f>
        <v/>
      </c>
      <c r="X77" s="37" t="n"/>
      <c r="Y77" s="36" t="n"/>
      <c r="Z77" s="37" t="n"/>
    </row>
    <row r="78">
      <c r="A78" s="35">
        <f>IF(E78="","",ROW()-5)</f>
        <v/>
      </c>
      <c r="B78" s="36" t="n"/>
      <c r="C78" s="36" t="n"/>
      <c r="D78" s="36" t="n"/>
      <c r="E78" s="37" t="n"/>
      <c r="F78" s="37" t="n"/>
      <c r="G78" s="37" t="n"/>
      <c r="H78" s="37" t="n"/>
      <c r="I78" s="37" t="n"/>
      <c r="J78" s="36" t="n"/>
      <c r="K78" s="36" t="n"/>
      <c r="L78" s="36" t="n"/>
      <c r="M78" s="36" t="n"/>
      <c r="N78" s="38" t="n"/>
      <c r="O78" s="39">
        <f>IF(OR(N78="",J78=""),"",N78*J78)</f>
        <v/>
      </c>
      <c r="P78" s="40" t="n"/>
      <c r="Q78" s="41">
        <f>IF(OR(P78="",Y78="발주완료",Y78="취소"),"",TODAY()+P78)</f>
        <v/>
      </c>
      <c r="R78" s="35">
        <f>IF(OR(Q78="",NOT(ISNUMBER($J$2))),"",IF(Q78&lt;=$J$2,"가능","초과 "&amp;(Q78-$J$2)&amp;"일"))</f>
        <v/>
      </c>
      <c r="S78" s="36" t="n"/>
      <c r="T78" s="36" t="n"/>
      <c r="U78" s="36" t="n"/>
      <c r="V78" s="43" t="n"/>
      <c r="W78" s="41">
        <f>IF(OR(V78="",U78=""),"",V78+U78)</f>
        <v/>
      </c>
      <c r="X78" s="37" t="n"/>
      <c r="Y78" s="36" t="n"/>
      <c r="Z78" s="37" t="n"/>
    </row>
    <row r="79">
      <c r="A79" s="35">
        <f>IF(E79="","",ROW()-5)</f>
        <v/>
      </c>
      <c r="B79" s="36" t="n"/>
      <c r="C79" s="36" t="n"/>
      <c r="D79" s="36" t="n"/>
      <c r="E79" s="37" t="n"/>
      <c r="F79" s="37" t="n"/>
      <c r="G79" s="37" t="n"/>
      <c r="H79" s="37" t="n"/>
      <c r="I79" s="37" t="n"/>
      <c r="J79" s="36" t="n"/>
      <c r="K79" s="36" t="n"/>
      <c r="L79" s="36" t="n"/>
      <c r="M79" s="36" t="n"/>
      <c r="N79" s="38" t="n"/>
      <c r="O79" s="39">
        <f>IF(OR(N79="",J79=""),"",N79*J79)</f>
        <v/>
      </c>
      <c r="P79" s="40" t="n"/>
      <c r="Q79" s="41">
        <f>IF(OR(P79="",Y79="발주완료",Y79="취소"),"",TODAY()+P79)</f>
        <v/>
      </c>
      <c r="R79" s="35">
        <f>IF(OR(Q79="",NOT(ISNUMBER($J$2))),"",IF(Q79&lt;=$J$2,"가능","초과 "&amp;(Q79-$J$2)&amp;"일"))</f>
        <v/>
      </c>
      <c r="S79" s="36" t="n"/>
      <c r="T79" s="36" t="n"/>
      <c r="U79" s="36" t="n"/>
      <c r="V79" s="43" t="n"/>
      <c r="W79" s="41">
        <f>IF(OR(V79="",U79=""),"",V79+U79)</f>
        <v/>
      </c>
      <c r="X79" s="37" t="n"/>
      <c r="Y79" s="36" t="n"/>
      <c r="Z79" s="37" t="n"/>
    </row>
    <row r="80">
      <c r="A80" s="35">
        <f>IF(E80="","",ROW()-5)</f>
        <v/>
      </c>
      <c r="B80" s="36" t="n"/>
      <c r="C80" s="36" t="n"/>
      <c r="D80" s="36" t="n"/>
      <c r="E80" s="37" t="n"/>
      <c r="F80" s="37" t="n"/>
      <c r="G80" s="37" t="n"/>
      <c r="H80" s="37" t="n"/>
      <c r="I80" s="37" t="n"/>
      <c r="J80" s="36" t="n"/>
      <c r="K80" s="36" t="n"/>
      <c r="L80" s="36" t="n"/>
      <c r="M80" s="36" t="n"/>
      <c r="N80" s="38" t="n"/>
      <c r="O80" s="39">
        <f>IF(OR(N80="",J80=""),"",N80*J80)</f>
        <v/>
      </c>
      <c r="P80" s="40" t="n"/>
      <c r="Q80" s="41">
        <f>IF(OR(P80="",Y80="발주완료",Y80="취소"),"",TODAY()+P80)</f>
        <v/>
      </c>
      <c r="R80" s="35">
        <f>IF(OR(Q80="",NOT(ISNUMBER($J$2))),"",IF(Q80&lt;=$J$2,"가능","초과 "&amp;(Q80-$J$2)&amp;"일"))</f>
        <v/>
      </c>
      <c r="S80" s="36" t="n"/>
      <c r="T80" s="36" t="n"/>
      <c r="U80" s="36" t="n"/>
      <c r="V80" s="43" t="n"/>
      <c r="W80" s="41">
        <f>IF(OR(V80="",U80=""),"",V80+U80)</f>
        <v/>
      </c>
      <c r="X80" s="37" t="n"/>
      <c r="Y80" s="36" t="n"/>
      <c r="Z80" s="37" t="n"/>
    </row>
    <row r="81">
      <c r="A81" s="35">
        <f>IF(E81="","",ROW()-5)</f>
        <v/>
      </c>
      <c r="B81" s="36" t="n"/>
      <c r="C81" s="36" t="n"/>
      <c r="D81" s="36" t="n"/>
      <c r="E81" s="37" t="n"/>
      <c r="F81" s="37" t="n"/>
      <c r="G81" s="37" t="n"/>
      <c r="H81" s="37" t="n"/>
      <c r="I81" s="37" t="n"/>
      <c r="J81" s="36" t="n"/>
      <c r="K81" s="36" t="n"/>
      <c r="L81" s="36" t="n"/>
      <c r="M81" s="36" t="n"/>
      <c r="N81" s="38" t="n"/>
      <c r="O81" s="39">
        <f>IF(OR(N81="",J81=""),"",N81*J81)</f>
        <v/>
      </c>
      <c r="P81" s="40" t="n"/>
      <c r="Q81" s="41">
        <f>IF(OR(P81="",Y81="발주완료",Y81="취소"),"",TODAY()+P81)</f>
        <v/>
      </c>
      <c r="R81" s="35">
        <f>IF(OR(Q81="",NOT(ISNUMBER($J$2))),"",IF(Q81&lt;=$J$2,"가능","초과 "&amp;(Q81-$J$2)&amp;"일"))</f>
        <v/>
      </c>
      <c r="S81" s="36" t="n"/>
      <c r="T81" s="36" t="n"/>
      <c r="U81" s="36" t="n"/>
      <c r="V81" s="43" t="n"/>
      <c r="W81" s="41">
        <f>IF(OR(V81="",U81=""),"",V81+U81)</f>
        <v/>
      </c>
      <c r="X81" s="37" t="n"/>
      <c r="Y81" s="36" t="n"/>
      <c r="Z81" s="37" t="n"/>
    </row>
    <row r="82">
      <c r="A82" s="35">
        <f>IF(E82="","",ROW()-5)</f>
        <v/>
      </c>
      <c r="B82" s="36" t="n"/>
      <c r="C82" s="36" t="n"/>
      <c r="D82" s="36" t="n"/>
      <c r="E82" s="37" t="n"/>
      <c r="F82" s="37" t="n"/>
      <c r="G82" s="37" t="n"/>
      <c r="H82" s="37" t="n"/>
      <c r="I82" s="37" t="n"/>
      <c r="J82" s="36" t="n"/>
      <c r="K82" s="36" t="n"/>
      <c r="L82" s="36" t="n"/>
      <c r="M82" s="36" t="n"/>
      <c r="N82" s="38" t="n"/>
      <c r="O82" s="39">
        <f>IF(OR(N82="",J82=""),"",N82*J82)</f>
        <v/>
      </c>
      <c r="P82" s="40" t="n"/>
      <c r="Q82" s="41">
        <f>IF(OR(P82="",Y82="발주완료",Y82="취소"),"",TODAY()+P82)</f>
        <v/>
      </c>
      <c r="R82" s="35">
        <f>IF(OR(Q82="",NOT(ISNUMBER($J$2))),"",IF(Q82&lt;=$J$2,"가능","초과 "&amp;(Q82-$J$2)&amp;"일"))</f>
        <v/>
      </c>
      <c r="S82" s="36" t="n"/>
      <c r="T82" s="36" t="n"/>
      <c r="U82" s="36" t="n"/>
      <c r="V82" s="43" t="n"/>
      <c r="W82" s="41">
        <f>IF(OR(V82="",U82=""),"",V82+U82)</f>
        <v/>
      </c>
      <c r="X82" s="37" t="n"/>
      <c r="Y82" s="36" t="n"/>
      <c r="Z82" s="37" t="n"/>
    </row>
    <row r="83">
      <c r="A83" s="35">
        <f>IF(E83="","",ROW()-5)</f>
        <v/>
      </c>
      <c r="B83" s="36" t="n"/>
      <c r="C83" s="36" t="n"/>
      <c r="D83" s="36" t="n"/>
      <c r="E83" s="37" t="n"/>
      <c r="F83" s="37" t="n"/>
      <c r="G83" s="37" t="n"/>
      <c r="H83" s="37" t="n"/>
      <c r="I83" s="37" t="n"/>
      <c r="J83" s="36" t="n"/>
      <c r="K83" s="36" t="n"/>
      <c r="L83" s="36" t="n"/>
      <c r="M83" s="36" t="n"/>
      <c r="N83" s="38" t="n"/>
      <c r="O83" s="39">
        <f>IF(OR(N83="",J83=""),"",N83*J83)</f>
        <v/>
      </c>
      <c r="P83" s="40" t="n"/>
      <c r="Q83" s="41">
        <f>IF(OR(P83="",Y83="발주완료",Y83="취소"),"",TODAY()+P83)</f>
        <v/>
      </c>
      <c r="R83" s="35">
        <f>IF(OR(Q83="",NOT(ISNUMBER($J$2))),"",IF(Q83&lt;=$J$2,"가능","초과 "&amp;(Q83-$J$2)&amp;"일"))</f>
        <v/>
      </c>
      <c r="S83" s="36" t="n"/>
      <c r="T83" s="36" t="n"/>
      <c r="U83" s="36" t="n"/>
      <c r="V83" s="43" t="n"/>
      <c r="W83" s="41">
        <f>IF(OR(V83="",U83=""),"",V83+U83)</f>
        <v/>
      </c>
      <c r="X83" s="37" t="n"/>
      <c r="Y83" s="36" t="n"/>
      <c r="Z83" s="37" t="n"/>
    </row>
    <row r="84">
      <c r="A84" s="35">
        <f>IF(E84="","",ROW()-5)</f>
        <v/>
      </c>
      <c r="B84" s="36" t="n"/>
      <c r="C84" s="36" t="n"/>
      <c r="D84" s="36" t="n"/>
      <c r="E84" s="37" t="n"/>
      <c r="F84" s="37" t="n"/>
      <c r="G84" s="37" t="n"/>
      <c r="H84" s="37" t="n"/>
      <c r="I84" s="37" t="n"/>
      <c r="J84" s="36" t="n"/>
      <c r="K84" s="36" t="n"/>
      <c r="L84" s="36" t="n"/>
      <c r="M84" s="36" t="n"/>
      <c r="N84" s="38" t="n"/>
      <c r="O84" s="39">
        <f>IF(OR(N84="",J84=""),"",N84*J84)</f>
        <v/>
      </c>
      <c r="P84" s="40" t="n"/>
      <c r="Q84" s="41">
        <f>IF(OR(P84="",Y84="발주완료",Y84="취소"),"",TODAY()+P84)</f>
        <v/>
      </c>
      <c r="R84" s="35">
        <f>IF(OR(Q84="",NOT(ISNUMBER($J$2))),"",IF(Q84&lt;=$J$2,"가능","초과 "&amp;(Q84-$J$2)&amp;"일"))</f>
        <v/>
      </c>
      <c r="S84" s="36" t="n"/>
      <c r="T84" s="36" t="n"/>
      <c r="U84" s="36" t="n"/>
      <c r="V84" s="43" t="n"/>
      <c r="W84" s="41">
        <f>IF(OR(V84="",U84=""),"",V84+U84)</f>
        <v/>
      </c>
      <c r="X84" s="37" t="n"/>
      <c r="Y84" s="36" t="n"/>
      <c r="Z84" s="37" t="n"/>
    </row>
    <row r="85">
      <c r="A85" s="35">
        <f>IF(E85="","",ROW()-5)</f>
        <v/>
      </c>
      <c r="B85" s="36" t="n"/>
      <c r="C85" s="36" t="n"/>
      <c r="D85" s="36" t="n"/>
      <c r="E85" s="37" t="n"/>
      <c r="F85" s="37" t="n"/>
      <c r="G85" s="37" t="n"/>
      <c r="H85" s="37" t="n"/>
      <c r="I85" s="37" t="n"/>
      <c r="J85" s="36" t="n"/>
      <c r="K85" s="36" t="n"/>
      <c r="L85" s="36" t="n"/>
      <c r="M85" s="36" t="n"/>
      <c r="N85" s="38" t="n"/>
      <c r="O85" s="39">
        <f>IF(OR(N85="",J85=""),"",N85*J85)</f>
        <v/>
      </c>
      <c r="P85" s="40" t="n"/>
      <c r="Q85" s="41">
        <f>IF(OR(P85="",Y85="발주완료",Y85="취소"),"",TODAY()+P85)</f>
        <v/>
      </c>
      <c r="R85" s="35">
        <f>IF(OR(Q85="",NOT(ISNUMBER($J$2))),"",IF(Q85&lt;=$J$2,"가능","초과 "&amp;(Q85-$J$2)&amp;"일"))</f>
        <v/>
      </c>
      <c r="S85" s="36" t="n"/>
      <c r="T85" s="36" t="n"/>
      <c r="U85" s="36" t="n"/>
      <c r="V85" s="43" t="n"/>
      <c r="W85" s="41">
        <f>IF(OR(V85="",U85=""),"",V85+U85)</f>
        <v/>
      </c>
      <c r="X85" s="37" t="n"/>
      <c r="Y85" s="36" t="n"/>
      <c r="Z85" s="37" t="n"/>
    </row>
    <row r="86">
      <c r="A86" s="35">
        <f>IF(E86="","",ROW()-5)</f>
        <v/>
      </c>
      <c r="B86" s="36" t="n"/>
      <c r="C86" s="36" t="n"/>
      <c r="D86" s="36" t="n"/>
      <c r="E86" s="37" t="n"/>
      <c r="F86" s="37" t="n"/>
      <c r="G86" s="37" t="n"/>
      <c r="H86" s="37" t="n"/>
      <c r="I86" s="37" t="n"/>
      <c r="J86" s="36" t="n"/>
      <c r="K86" s="36" t="n"/>
      <c r="L86" s="36" t="n"/>
      <c r="M86" s="36" t="n"/>
      <c r="N86" s="38" t="n"/>
      <c r="O86" s="39">
        <f>IF(OR(N86="",J86=""),"",N86*J86)</f>
        <v/>
      </c>
      <c r="P86" s="40" t="n"/>
      <c r="Q86" s="41">
        <f>IF(OR(P86="",Y86="발주완료",Y86="취소"),"",TODAY()+P86)</f>
        <v/>
      </c>
      <c r="R86" s="35">
        <f>IF(OR(Q86="",NOT(ISNUMBER($J$2))),"",IF(Q86&lt;=$J$2,"가능","초과 "&amp;(Q86-$J$2)&amp;"일"))</f>
        <v/>
      </c>
      <c r="S86" s="36" t="n"/>
      <c r="T86" s="36" t="n"/>
      <c r="U86" s="36" t="n"/>
      <c r="V86" s="43" t="n"/>
      <c r="W86" s="41">
        <f>IF(OR(V86="",U86=""),"",V86+U86)</f>
        <v/>
      </c>
      <c r="X86" s="37" t="n"/>
      <c r="Y86" s="36" t="n"/>
      <c r="Z86" s="37" t="n"/>
    </row>
    <row r="87">
      <c r="A87" s="35">
        <f>IF(E87="","",ROW()-5)</f>
        <v/>
      </c>
      <c r="B87" s="36" t="n"/>
      <c r="C87" s="36" t="n"/>
      <c r="D87" s="36" t="n"/>
      <c r="E87" s="37" t="n"/>
      <c r="F87" s="37" t="n"/>
      <c r="G87" s="37" t="n"/>
      <c r="H87" s="37" t="n"/>
      <c r="I87" s="37" t="n"/>
      <c r="J87" s="36" t="n"/>
      <c r="K87" s="36" t="n"/>
      <c r="L87" s="36" t="n"/>
      <c r="M87" s="36" t="n"/>
      <c r="N87" s="38" t="n"/>
      <c r="O87" s="39">
        <f>IF(OR(N87="",J87=""),"",N87*J87)</f>
        <v/>
      </c>
      <c r="P87" s="40" t="n"/>
      <c r="Q87" s="41">
        <f>IF(OR(P87="",Y87="발주완료",Y87="취소"),"",TODAY()+P87)</f>
        <v/>
      </c>
      <c r="R87" s="35">
        <f>IF(OR(Q87="",NOT(ISNUMBER($J$2))),"",IF(Q87&lt;=$J$2,"가능","초과 "&amp;(Q87-$J$2)&amp;"일"))</f>
        <v/>
      </c>
      <c r="S87" s="36" t="n"/>
      <c r="T87" s="36" t="n"/>
      <c r="U87" s="36" t="n"/>
      <c r="V87" s="43" t="n"/>
      <c r="W87" s="41">
        <f>IF(OR(V87="",U87=""),"",V87+U87)</f>
        <v/>
      </c>
      <c r="X87" s="37" t="n"/>
      <c r="Y87" s="36" t="n"/>
      <c r="Z87" s="37" t="n"/>
    </row>
    <row r="88">
      <c r="A88" s="35">
        <f>IF(E88="","",ROW()-5)</f>
        <v/>
      </c>
      <c r="B88" s="36" t="n"/>
      <c r="C88" s="36" t="n"/>
      <c r="D88" s="36" t="n"/>
      <c r="E88" s="37" t="n"/>
      <c r="F88" s="37" t="n"/>
      <c r="G88" s="37" t="n"/>
      <c r="H88" s="37" t="n"/>
      <c r="I88" s="37" t="n"/>
      <c r="J88" s="36" t="n"/>
      <c r="K88" s="36" t="n"/>
      <c r="L88" s="36" t="n"/>
      <c r="M88" s="36" t="n"/>
      <c r="N88" s="38" t="n"/>
      <c r="O88" s="39">
        <f>IF(OR(N88="",J88=""),"",N88*J88)</f>
        <v/>
      </c>
      <c r="P88" s="40" t="n"/>
      <c r="Q88" s="41">
        <f>IF(OR(P88="",Y88="발주완료",Y88="취소"),"",TODAY()+P88)</f>
        <v/>
      </c>
      <c r="R88" s="35">
        <f>IF(OR(Q88="",NOT(ISNUMBER($J$2))),"",IF(Q88&lt;=$J$2,"가능","초과 "&amp;(Q88-$J$2)&amp;"일"))</f>
        <v/>
      </c>
      <c r="S88" s="36" t="n"/>
      <c r="T88" s="36" t="n"/>
      <c r="U88" s="36" t="n"/>
      <c r="V88" s="43" t="n"/>
      <c r="W88" s="41">
        <f>IF(OR(V88="",U88=""),"",V88+U88)</f>
        <v/>
      </c>
      <c r="X88" s="37" t="n"/>
      <c r="Y88" s="36" t="n"/>
      <c r="Z88" s="37" t="n"/>
    </row>
    <row r="89">
      <c r="A89" s="35">
        <f>IF(E89="","",ROW()-5)</f>
        <v/>
      </c>
      <c r="B89" s="36" t="n"/>
      <c r="C89" s="36" t="n"/>
      <c r="D89" s="36" t="n"/>
      <c r="E89" s="37" t="n"/>
      <c r="F89" s="37" t="n"/>
      <c r="G89" s="37" t="n"/>
      <c r="H89" s="37" t="n"/>
      <c r="I89" s="37" t="n"/>
      <c r="J89" s="36" t="n"/>
      <c r="K89" s="36" t="n"/>
      <c r="L89" s="36" t="n"/>
      <c r="M89" s="36" t="n"/>
      <c r="N89" s="38" t="n"/>
      <c r="O89" s="39">
        <f>IF(OR(N89="",J89=""),"",N89*J89)</f>
        <v/>
      </c>
      <c r="P89" s="40" t="n"/>
      <c r="Q89" s="41">
        <f>IF(OR(P89="",Y89="발주완료",Y89="취소"),"",TODAY()+P89)</f>
        <v/>
      </c>
      <c r="R89" s="35">
        <f>IF(OR(Q89="",NOT(ISNUMBER($J$2))),"",IF(Q89&lt;=$J$2,"가능","초과 "&amp;(Q89-$J$2)&amp;"일"))</f>
        <v/>
      </c>
      <c r="S89" s="36" t="n"/>
      <c r="T89" s="36" t="n"/>
      <c r="U89" s="36" t="n"/>
      <c r="V89" s="43" t="n"/>
      <c r="W89" s="41">
        <f>IF(OR(V89="",U89=""),"",V89+U89)</f>
        <v/>
      </c>
      <c r="X89" s="37" t="n"/>
      <c r="Y89" s="36" t="n"/>
      <c r="Z89" s="37" t="n"/>
    </row>
    <row r="90">
      <c r="A90" s="35">
        <f>IF(E90="","",ROW()-5)</f>
        <v/>
      </c>
      <c r="B90" s="36" t="n"/>
      <c r="C90" s="36" t="n"/>
      <c r="D90" s="36" t="n"/>
      <c r="E90" s="37" t="n"/>
      <c r="F90" s="37" t="n"/>
      <c r="G90" s="37" t="n"/>
      <c r="H90" s="37" t="n"/>
      <c r="I90" s="37" t="n"/>
      <c r="J90" s="36" t="n"/>
      <c r="K90" s="36" t="n"/>
      <c r="L90" s="36" t="n"/>
      <c r="M90" s="36" t="n"/>
      <c r="N90" s="38" t="n"/>
      <c r="O90" s="39">
        <f>IF(OR(N90="",J90=""),"",N90*J90)</f>
        <v/>
      </c>
      <c r="P90" s="40" t="n"/>
      <c r="Q90" s="41">
        <f>IF(OR(P90="",Y90="발주완료",Y90="취소"),"",TODAY()+P90)</f>
        <v/>
      </c>
      <c r="R90" s="35">
        <f>IF(OR(Q90="",NOT(ISNUMBER($J$2))),"",IF(Q90&lt;=$J$2,"가능","초과 "&amp;(Q90-$J$2)&amp;"일"))</f>
        <v/>
      </c>
      <c r="S90" s="36" t="n"/>
      <c r="T90" s="36" t="n"/>
      <c r="U90" s="36" t="n"/>
      <c r="V90" s="43" t="n"/>
      <c r="W90" s="41">
        <f>IF(OR(V90="",U90=""),"",V90+U90)</f>
        <v/>
      </c>
      <c r="X90" s="37" t="n"/>
      <c r="Y90" s="36" t="n"/>
      <c r="Z90" s="37" t="n"/>
    </row>
    <row r="91">
      <c r="A91" s="35">
        <f>IF(E91="","",ROW()-5)</f>
        <v/>
      </c>
      <c r="B91" s="36" t="n"/>
      <c r="C91" s="36" t="n"/>
      <c r="D91" s="36" t="n"/>
      <c r="E91" s="37" t="n"/>
      <c r="F91" s="37" t="n"/>
      <c r="G91" s="37" t="n"/>
      <c r="H91" s="37" t="n"/>
      <c r="I91" s="37" t="n"/>
      <c r="J91" s="36" t="n"/>
      <c r="K91" s="36" t="n"/>
      <c r="L91" s="36" t="n"/>
      <c r="M91" s="36" t="n"/>
      <c r="N91" s="38" t="n"/>
      <c r="O91" s="39">
        <f>IF(OR(N91="",J91=""),"",N91*J91)</f>
        <v/>
      </c>
      <c r="P91" s="40" t="n"/>
      <c r="Q91" s="41">
        <f>IF(OR(P91="",Y91="발주완료",Y91="취소"),"",TODAY()+P91)</f>
        <v/>
      </c>
      <c r="R91" s="35">
        <f>IF(OR(Q91="",NOT(ISNUMBER($J$2))),"",IF(Q91&lt;=$J$2,"가능","초과 "&amp;(Q91-$J$2)&amp;"일"))</f>
        <v/>
      </c>
      <c r="S91" s="36" t="n"/>
      <c r="T91" s="36" t="n"/>
      <c r="U91" s="36" t="n"/>
      <c r="V91" s="43" t="n"/>
      <c r="W91" s="41">
        <f>IF(OR(V91="",U91=""),"",V91+U91)</f>
        <v/>
      </c>
      <c r="X91" s="37" t="n"/>
      <c r="Y91" s="36" t="n"/>
      <c r="Z91" s="37" t="n"/>
    </row>
    <row r="92">
      <c r="A92" s="35">
        <f>IF(E92="","",ROW()-5)</f>
        <v/>
      </c>
      <c r="B92" s="36" t="n"/>
      <c r="C92" s="36" t="n"/>
      <c r="D92" s="36" t="n"/>
      <c r="E92" s="37" t="n"/>
      <c r="F92" s="37" t="n"/>
      <c r="G92" s="37" t="n"/>
      <c r="H92" s="37" t="n"/>
      <c r="I92" s="37" t="n"/>
      <c r="J92" s="36" t="n"/>
      <c r="K92" s="36" t="n"/>
      <c r="L92" s="36" t="n"/>
      <c r="M92" s="36" t="n"/>
      <c r="N92" s="38" t="n"/>
      <c r="O92" s="39">
        <f>IF(OR(N92="",J92=""),"",N92*J92)</f>
        <v/>
      </c>
      <c r="P92" s="40" t="n"/>
      <c r="Q92" s="41">
        <f>IF(OR(P92="",Y92="발주완료",Y92="취소"),"",TODAY()+P92)</f>
        <v/>
      </c>
      <c r="R92" s="35">
        <f>IF(OR(Q92="",NOT(ISNUMBER($J$2))),"",IF(Q92&lt;=$J$2,"가능","초과 "&amp;(Q92-$J$2)&amp;"일"))</f>
        <v/>
      </c>
      <c r="S92" s="36" t="n"/>
      <c r="T92" s="36" t="n"/>
      <c r="U92" s="36" t="n"/>
      <c r="V92" s="43" t="n"/>
      <c r="W92" s="41">
        <f>IF(OR(V92="",U92=""),"",V92+U92)</f>
        <v/>
      </c>
      <c r="X92" s="37" t="n"/>
      <c r="Y92" s="36" t="n"/>
      <c r="Z92" s="37" t="n"/>
    </row>
    <row r="93">
      <c r="A93" s="35">
        <f>IF(E93="","",ROW()-5)</f>
        <v/>
      </c>
      <c r="B93" s="36" t="n"/>
      <c r="C93" s="36" t="n"/>
      <c r="D93" s="36" t="n"/>
      <c r="E93" s="37" t="n"/>
      <c r="F93" s="37" t="n"/>
      <c r="G93" s="37" t="n"/>
      <c r="H93" s="37" t="n"/>
      <c r="I93" s="37" t="n"/>
      <c r="J93" s="36" t="n"/>
      <c r="K93" s="36" t="n"/>
      <c r="L93" s="36" t="n"/>
      <c r="M93" s="36" t="n"/>
      <c r="N93" s="38" t="n"/>
      <c r="O93" s="39">
        <f>IF(OR(N93="",J93=""),"",N93*J93)</f>
        <v/>
      </c>
      <c r="P93" s="40" t="n"/>
      <c r="Q93" s="41">
        <f>IF(OR(P93="",Y93="발주완료",Y93="취소"),"",TODAY()+P93)</f>
        <v/>
      </c>
      <c r="R93" s="35">
        <f>IF(OR(Q93="",NOT(ISNUMBER($J$2))),"",IF(Q93&lt;=$J$2,"가능","초과 "&amp;(Q93-$J$2)&amp;"일"))</f>
        <v/>
      </c>
      <c r="S93" s="36" t="n"/>
      <c r="T93" s="36" t="n"/>
      <c r="U93" s="36" t="n"/>
      <c r="V93" s="43" t="n"/>
      <c r="W93" s="41">
        <f>IF(OR(V93="",U93=""),"",V93+U93)</f>
        <v/>
      </c>
      <c r="X93" s="37" t="n"/>
      <c r="Y93" s="36" t="n"/>
      <c r="Z93" s="37" t="n"/>
    </row>
    <row r="94">
      <c r="A94" s="35">
        <f>IF(E94="","",ROW()-5)</f>
        <v/>
      </c>
      <c r="B94" s="36" t="n"/>
      <c r="C94" s="36" t="n"/>
      <c r="D94" s="36" t="n"/>
      <c r="E94" s="37" t="n"/>
      <c r="F94" s="37" t="n"/>
      <c r="G94" s="37" t="n"/>
      <c r="H94" s="37" t="n"/>
      <c r="I94" s="37" t="n"/>
      <c r="J94" s="36" t="n"/>
      <c r="K94" s="36" t="n"/>
      <c r="L94" s="36" t="n"/>
      <c r="M94" s="36" t="n"/>
      <c r="N94" s="38" t="n"/>
      <c r="O94" s="39">
        <f>IF(OR(N94="",J94=""),"",N94*J94)</f>
        <v/>
      </c>
      <c r="P94" s="40" t="n"/>
      <c r="Q94" s="41">
        <f>IF(OR(P94="",Y94="발주완료",Y94="취소"),"",TODAY()+P94)</f>
        <v/>
      </c>
      <c r="R94" s="35">
        <f>IF(OR(Q94="",NOT(ISNUMBER($J$2))),"",IF(Q94&lt;=$J$2,"가능","초과 "&amp;(Q94-$J$2)&amp;"일"))</f>
        <v/>
      </c>
      <c r="S94" s="36" t="n"/>
      <c r="T94" s="36" t="n"/>
      <c r="U94" s="36" t="n"/>
      <c r="V94" s="43" t="n"/>
      <c r="W94" s="41">
        <f>IF(OR(V94="",U94=""),"",V94+U94)</f>
        <v/>
      </c>
      <c r="X94" s="37" t="n"/>
      <c r="Y94" s="36" t="n"/>
      <c r="Z94" s="37" t="n"/>
    </row>
    <row r="95">
      <c r="A95" s="35">
        <f>IF(E95="","",ROW()-5)</f>
        <v/>
      </c>
      <c r="B95" s="36" t="n"/>
      <c r="C95" s="36" t="n"/>
      <c r="D95" s="36" t="n"/>
      <c r="E95" s="37" t="n"/>
      <c r="F95" s="37" t="n"/>
      <c r="G95" s="37" t="n"/>
      <c r="H95" s="37" t="n"/>
      <c r="I95" s="37" t="n"/>
      <c r="J95" s="36" t="n"/>
      <c r="K95" s="36" t="n"/>
      <c r="L95" s="36" t="n"/>
      <c r="M95" s="36" t="n"/>
      <c r="N95" s="38" t="n"/>
      <c r="O95" s="39">
        <f>IF(OR(N95="",J95=""),"",N95*J95)</f>
        <v/>
      </c>
      <c r="P95" s="40" t="n"/>
      <c r="Q95" s="41">
        <f>IF(OR(P95="",Y95="발주완료",Y95="취소"),"",TODAY()+P95)</f>
        <v/>
      </c>
      <c r="R95" s="35">
        <f>IF(OR(Q95="",NOT(ISNUMBER($J$2))),"",IF(Q95&lt;=$J$2,"가능","초과 "&amp;(Q95-$J$2)&amp;"일"))</f>
        <v/>
      </c>
      <c r="S95" s="36" t="n"/>
      <c r="T95" s="36" t="n"/>
      <c r="U95" s="36" t="n"/>
      <c r="V95" s="43" t="n"/>
      <c r="W95" s="41">
        <f>IF(OR(V95="",U95=""),"",V95+U95)</f>
        <v/>
      </c>
      <c r="X95" s="37" t="n"/>
      <c r="Y95" s="36" t="n"/>
      <c r="Z95" s="37" t="n"/>
    </row>
    <row r="96">
      <c r="A96" s="35">
        <f>IF(E96="","",ROW()-5)</f>
        <v/>
      </c>
      <c r="B96" s="36" t="n"/>
      <c r="C96" s="36" t="n"/>
      <c r="D96" s="36" t="n"/>
      <c r="E96" s="37" t="n"/>
      <c r="F96" s="37" t="n"/>
      <c r="G96" s="37" t="n"/>
      <c r="H96" s="37" t="n"/>
      <c r="I96" s="37" t="n"/>
      <c r="J96" s="36" t="n"/>
      <c r="K96" s="36" t="n"/>
      <c r="L96" s="36" t="n"/>
      <c r="M96" s="36" t="n"/>
      <c r="N96" s="38" t="n"/>
      <c r="O96" s="39">
        <f>IF(OR(N96="",J96=""),"",N96*J96)</f>
        <v/>
      </c>
      <c r="P96" s="40" t="n"/>
      <c r="Q96" s="41">
        <f>IF(OR(P96="",Y96="발주완료",Y96="취소"),"",TODAY()+P96)</f>
        <v/>
      </c>
      <c r="R96" s="35">
        <f>IF(OR(Q96="",NOT(ISNUMBER($J$2))),"",IF(Q96&lt;=$J$2,"가능","초과 "&amp;(Q96-$J$2)&amp;"일"))</f>
        <v/>
      </c>
      <c r="S96" s="36" t="n"/>
      <c r="T96" s="36" t="n"/>
      <c r="U96" s="36" t="n"/>
      <c r="V96" s="43" t="n"/>
      <c r="W96" s="41">
        <f>IF(OR(V96="",U96=""),"",V96+U96)</f>
        <v/>
      </c>
      <c r="X96" s="37" t="n"/>
      <c r="Y96" s="36" t="n"/>
      <c r="Z96" s="37" t="n"/>
    </row>
    <row r="97">
      <c r="A97" s="35">
        <f>IF(E97="","",ROW()-5)</f>
        <v/>
      </c>
      <c r="B97" s="36" t="n"/>
      <c r="C97" s="36" t="n"/>
      <c r="D97" s="36" t="n"/>
      <c r="E97" s="37" t="n"/>
      <c r="F97" s="37" t="n"/>
      <c r="G97" s="37" t="n"/>
      <c r="H97" s="37" t="n"/>
      <c r="I97" s="37" t="n"/>
      <c r="J97" s="36" t="n"/>
      <c r="K97" s="36" t="n"/>
      <c r="L97" s="36" t="n"/>
      <c r="M97" s="36" t="n"/>
      <c r="N97" s="38" t="n"/>
      <c r="O97" s="39">
        <f>IF(OR(N97="",J97=""),"",N97*J97)</f>
        <v/>
      </c>
      <c r="P97" s="40" t="n"/>
      <c r="Q97" s="41">
        <f>IF(OR(P97="",Y97="발주완료",Y97="취소"),"",TODAY()+P97)</f>
        <v/>
      </c>
      <c r="R97" s="35">
        <f>IF(OR(Q97="",NOT(ISNUMBER($J$2))),"",IF(Q97&lt;=$J$2,"가능","초과 "&amp;(Q97-$J$2)&amp;"일"))</f>
        <v/>
      </c>
      <c r="S97" s="36" t="n"/>
      <c r="T97" s="36" t="n"/>
      <c r="U97" s="36" t="n"/>
      <c r="V97" s="43" t="n"/>
      <c r="W97" s="41">
        <f>IF(OR(V97="",U97=""),"",V97+U97)</f>
        <v/>
      </c>
      <c r="X97" s="37" t="n"/>
      <c r="Y97" s="36" t="n"/>
      <c r="Z97" s="37" t="n"/>
    </row>
    <row r="98">
      <c r="A98" s="35">
        <f>IF(E98="","",ROW()-5)</f>
        <v/>
      </c>
      <c r="B98" s="36" t="n"/>
      <c r="C98" s="36" t="n"/>
      <c r="D98" s="36" t="n"/>
      <c r="E98" s="37" t="n"/>
      <c r="F98" s="37" t="n"/>
      <c r="G98" s="37" t="n"/>
      <c r="H98" s="37" t="n"/>
      <c r="I98" s="37" t="n"/>
      <c r="J98" s="36" t="n"/>
      <c r="K98" s="36" t="n"/>
      <c r="L98" s="36" t="n"/>
      <c r="M98" s="36" t="n"/>
      <c r="N98" s="38" t="n"/>
      <c r="O98" s="39">
        <f>IF(OR(N98="",J98=""),"",N98*J98)</f>
        <v/>
      </c>
      <c r="P98" s="40" t="n"/>
      <c r="Q98" s="41">
        <f>IF(OR(P98="",Y98="발주완료",Y98="취소"),"",TODAY()+P98)</f>
        <v/>
      </c>
      <c r="R98" s="35">
        <f>IF(OR(Q98="",NOT(ISNUMBER($J$2))),"",IF(Q98&lt;=$J$2,"가능","초과 "&amp;(Q98-$J$2)&amp;"일"))</f>
        <v/>
      </c>
      <c r="S98" s="36" t="n"/>
      <c r="T98" s="36" t="n"/>
      <c r="U98" s="36" t="n"/>
      <c r="V98" s="43" t="n"/>
      <c r="W98" s="41">
        <f>IF(OR(V98="",U98=""),"",V98+U98)</f>
        <v/>
      </c>
      <c r="X98" s="37" t="n"/>
      <c r="Y98" s="36" t="n"/>
      <c r="Z98" s="37" t="n"/>
    </row>
    <row r="99">
      <c r="A99" s="35">
        <f>IF(E99="","",ROW()-5)</f>
        <v/>
      </c>
      <c r="B99" s="36" t="n"/>
      <c r="C99" s="36" t="n"/>
      <c r="D99" s="36" t="n"/>
      <c r="E99" s="37" t="n"/>
      <c r="F99" s="37" t="n"/>
      <c r="G99" s="37" t="n"/>
      <c r="H99" s="37" t="n"/>
      <c r="I99" s="37" t="n"/>
      <c r="J99" s="36" t="n"/>
      <c r="K99" s="36" t="n"/>
      <c r="L99" s="36" t="n"/>
      <c r="M99" s="36" t="n"/>
      <c r="N99" s="38" t="n"/>
      <c r="O99" s="39">
        <f>IF(OR(N99="",J99=""),"",N99*J99)</f>
        <v/>
      </c>
      <c r="P99" s="40" t="n"/>
      <c r="Q99" s="41">
        <f>IF(OR(P99="",Y99="발주완료",Y99="취소"),"",TODAY()+P99)</f>
        <v/>
      </c>
      <c r="R99" s="35">
        <f>IF(OR(Q99="",NOT(ISNUMBER($J$2))),"",IF(Q99&lt;=$J$2,"가능","초과 "&amp;(Q99-$J$2)&amp;"일"))</f>
        <v/>
      </c>
      <c r="S99" s="36" t="n"/>
      <c r="T99" s="36" t="n"/>
      <c r="U99" s="36" t="n"/>
      <c r="V99" s="43" t="n"/>
      <c r="W99" s="41">
        <f>IF(OR(V99="",U99=""),"",V99+U99)</f>
        <v/>
      </c>
      <c r="X99" s="37" t="n"/>
      <c r="Y99" s="36" t="n"/>
      <c r="Z99" s="37" t="n"/>
    </row>
    <row r="100">
      <c r="A100" s="35">
        <f>IF(E100="","",ROW()-5)</f>
        <v/>
      </c>
      <c r="B100" s="36" t="n"/>
      <c r="C100" s="36" t="n"/>
      <c r="D100" s="36" t="n"/>
      <c r="E100" s="37" t="n"/>
      <c r="F100" s="37" t="n"/>
      <c r="G100" s="37" t="n"/>
      <c r="H100" s="37" t="n"/>
      <c r="I100" s="37" t="n"/>
      <c r="J100" s="36" t="n"/>
      <c r="K100" s="36" t="n"/>
      <c r="L100" s="36" t="n"/>
      <c r="M100" s="36" t="n"/>
      <c r="N100" s="38" t="n"/>
      <c r="O100" s="39">
        <f>IF(OR(N100="",J100=""),"",N100*J100)</f>
        <v/>
      </c>
      <c r="P100" s="40" t="n"/>
      <c r="Q100" s="41">
        <f>IF(OR(P100="",Y100="발주완료",Y100="취소"),"",TODAY()+P100)</f>
        <v/>
      </c>
      <c r="R100" s="35">
        <f>IF(OR(Q100="",NOT(ISNUMBER($J$2))),"",IF(Q100&lt;=$J$2,"가능","초과 "&amp;(Q100-$J$2)&amp;"일"))</f>
        <v/>
      </c>
      <c r="S100" s="36" t="n"/>
      <c r="T100" s="36" t="n"/>
      <c r="U100" s="36" t="n"/>
      <c r="V100" s="43" t="n"/>
      <c r="W100" s="41">
        <f>IF(OR(V100="",U100=""),"",V100+U100)</f>
        <v/>
      </c>
      <c r="X100" s="37" t="n"/>
      <c r="Y100" s="36" t="n"/>
      <c r="Z100" s="37" t="n"/>
    </row>
    <row r="101">
      <c r="A101" s="35">
        <f>IF(E101="","",ROW()-5)</f>
        <v/>
      </c>
      <c r="B101" s="36" t="n"/>
      <c r="C101" s="36" t="n"/>
      <c r="D101" s="36" t="n"/>
      <c r="E101" s="37" t="n"/>
      <c r="F101" s="37" t="n"/>
      <c r="G101" s="37" t="n"/>
      <c r="H101" s="37" t="n"/>
      <c r="I101" s="37" t="n"/>
      <c r="J101" s="36" t="n"/>
      <c r="K101" s="36" t="n"/>
      <c r="L101" s="36" t="n"/>
      <c r="M101" s="36" t="n"/>
      <c r="N101" s="38" t="n"/>
      <c r="O101" s="39">
        <f>IF(OR(N101="",J101=""),"",N101*J101)</f>
        <v/>
      </c>
      <c r="P101" s="40" t="n"/>
      <c r="Q101" s="41">
        <f>IF(OR(P101="",Y101="발주완료",Y101="취소"),"",TODAY()+P101)</f>
        <v/>
      </c>
      <c r="R101" s="35">
        <f>IF(OR(Q101="",NOT(ISNUMBER($J$2))),"",IF(Q101&lt;=$J$2,"가능","초과 "&amp;(Q101-$J$2)&amp;"일"))</f>
        <v/>
      </c>
      <c r="S101" s="36" t="n"/>
      <c r="T101" s="36" t="n"/>
      <c r="U101" s="36" t="n"/>
      <c r="V101" s="43" t="n"/>
      <c r="W101" s="41">
        <f>IF(OR(V101="",U101=""),"",V101+U101)</f>
        <v/>
      </c>
      <c r="X101" s="37" t="n"/>
      <c r="Y101" s="36" t="n"/>
      <c r="Z101" s="37" t="n"/>
    </row>
    <row r="102">
      <c r="A102" s="35">
        <f>IF(E102="","",ROW()-5)</f>
        <v/>
      </c>
      <c r="B102" s="36" t="n"/>
      <c r="C102" s="36" t="n"/>
      <c r="D102" s="36" t="n"/>
      <c r="E102" s="37" t="n"/>
      <c r="F102" s="37" t="n"/>
      <c r="G102" s="37" t="n"/>
      <c r="H102" s="37" t="n"/>
      <c r="I102" s="37" t="n"/>
      <c r="J102" s="36" t="n"/>
      <c r="K102" s="36" t="n"/>
      <c r="L102" s="36" t="n"/>
      <c r="M102" s="36" t="n"/>
      <c r="N102" s="38" t="n"/>
      <c r="O102" s="39">
        <f>IF(OR(N102="",J102=""),"",N102*J102)</f>
        <v/>
      </c>
      <c r="P102" s="40" t="n"/>
      <c r="Q102" s="41">
        <f>IF(OR(P102="",Y102="발주완료",Y102="취소"),"",TODAY()+P102)</f>
        <v/>
      </c>
      <c r="R102" s="35">
        <f>IF(OR(Q102="",NOT(ISNUMBER($J$2))),"",IF(Q102&lt;=$J$2,"가능","초과 "&amp;(Q102-$J$2)&amp;"일"))</f>
        <v/>
      </c>
      <c r="S102" s="36" t="n"/>
      <c r="T102" s="36" t="n"/>
      <c r="U102" s="36" t="n"/>
      <c r="V102" s="43" t="n"/>
      <c r="W102" s="41">
        <f>IF(OR(V102="",U102=""),"",V102+U102)</f>
        <v/>
      </c>
      <c r="X102" s="37" t="n"/>
      <c r="Y102" s="36" t="n"/>
      <c r="Z102" s="37" t="n"/>
    </row>
    <row r="103">
      <c r="A103" s="35">
        <f>IF(E103="","",ROW()-5)</f>
        <v/>
      </c>
      <c r="B103" s="36" t="n"/>
      <c r="C103" s="36" t="n"/>
      <c r="D103" s="36" t="n"/>
      <c r="E103" s="37" t="n"/>
      <c r="F103" s="37" t="n"/>
      <c r="G103" s="37" t="n"/>
      <c r="H103" s="37" t="n"/>
      <c r="I103" s="37" t="n"/>
      <c r="J103" s="36" t="n"/>
      <c r="K103" s="36" t="n"/>
      <c r="L103" s="36" t="n"/>
      <c r="M103" s="36" t="n"/>
      <c r="N103" s="38" t="n"/>
      <c r="O103" s="39">
        <f>IF(OR(N103="",J103=""),"",N103*J103)</f>
        <v/>
      </c>
      <c r="P103" s="40" t="n"/>
      <c r="Q103" s="41">
        <f>IF(OR(P103="",Y103="발주완료",Y103="취소"),"",TODAY()+P103)</f>
        <v/>
      </c>
      <c r="R103" s="35">
        <f>IF(OR(Q103="",NOT(ISNUMBER($J$2))),"",IF(Q103&lt;=$J$2,"가능","초과 "&amp;(Q103-$J$2)&amp;"일"))</f>
        <v/>
      </c>
      <c r="S103" s="36" t="n"/>
      <c r="T103" s="36" t="n"/>
      <c r="U103" s="36" t="n"/>
      <c r="V103" s="43" t="n"/>
      <c r="W103" s="41">
        <f>IF(OR(V103="",U103=""),"",V103+U103)</f>
        <v/>
      </c>
      <c r="X103" s="37" t="n"/>
      <c r="Y103" s="36" t="n"/>
      <c r="Z103" s="37" t="n"/>
    </row>
    <row r="104">
      <c r="A104" s="35">
        <f>IF(E104="","",ROW()-5)</f>
        <v/>
      </c>
      <c r="B104" s="36" t="n"/>
      <c r="C104" s="36" t="n"/>
      <c r="D104" s="36" t="n"/>
      <c r="E104" s="37" t="n"/>
      <c r="F104" s="37" t="n"/>
      <c r="G104" s="37" t="n"/>
      <c r="H104" s="37" t="n"/>
      <c r="I104" s="37" t="n"/>
      <c r="J104" s="36" t="n"/>
      <c r="K104" s="36" t="n"/>
      <c r="L104" s="36" t="n"/>
      <c r="M104" s="36" t="n"/>
      <c r="N104" s="38" t="n"/>
      <c r="O104" s="39">
        <f>IF(OR(N104="",J104=""),"",N104*J104)</f>
        <v/>
      </c>
      <c r="P104" s="40" t="n"/>
      <c r="Q104" s="41">
        <f>IF(OR(P104="",Y104="발주완료",Y104="취소"),"",TODAY()+P104)</f>
        <v/>
      </c>
      <c r="R104" s="35">
        <f>IF(OR(Q104="",NOT(ISNUMBER($J$2))),"",IF(Q104&lt;=$J$2,"가능","초과 "&amp;(Q104-$J$2)&amp;"일"))</f>
        <v/>
      </c>
      <c r="S104" s="36" t="n"/>
      <c r="T104" s="36" t="n"/>
      <c r="U104" s="36" t="n"/>
      <c r="V104" s="43" t="n"/>
      <c r="W104" s="41">
        <f>IF(OR(V104="",U104=""),"",V104+U104)</f>
        <v/>
      </c>
      <c r="X104" s="37" t="n"/>
      <c r="Y104" s="36" t="n"/>
      <c r="Z104" s="37" t="n"/>
    </row>
    <row r="105">
      <c r="A105" s="35">
        <f>IF(E105="","",ROW()-5)</f>
        <v/>
      </c>
      <c r="B105" s="36" t="n"/>
      <c r="C105" s="36" t="n"/>
      <c r="D105" s="36" t="n"/>
      <c r="E105" s="37" t="n"/>
      <c r="F105" s="37" t="n"/>
      <c r="G105" s="37" t="n"/>
      <c r="H105" s="37" t="n"/>
      <c r="I105" s="37" t="n"/>
      <c r="J105" s="36" t="n"/>
      <c r="K105" s="36" t="n"/>
      <c r="L105" s="36" t="n"/>
      <c r="M105" s="36" t="n"/>
      <c r="N105" s="38" t="n"/>
      <c r="O105" s="39">
        <f>IF(OR(N105="",J105=""),"",N105*J105)</f>
        <v/>
      </c>
      <c r="P105" s="40" t="n"/>
      <c r="Q105" s="41">
        <f>IF(OR(P105="",Y105="발주완료",Y105="취소"),"",TODAY()+P105)</f>
        <v/>
      </c>
      <c r="R105" s="35">
        <f>IF(OR(Q105="",NOT(ISNUMBER($J$2))),"",IF(Q105&lt;=$J$2,"가능","초과 "&amp;(Q105-$J$2)&amp;"일"))</f>
        <v/>
      </c>
      <c r="S105" s="36" t="n"/>
      <c r="T105" s="36" t="n"/>
      <c r="U105" s="36" t="n"/>
      <c r="V105" s="43" t="n"/>
      <c r="W105" s="41">
        <f>IF(OR(V105="",U105=""),"",V105+U105)</f>
        <v/>
      </c>
      <c r="X105" s="37" t="n"/>
      <c r="Y105" s="36" t="n"/>
      <c r="Z105" s="37" t="n"/>
    </row>
    <row r="106">
      <c r="A106" s="35">
        <f>IF(E106="","",ROW()-5)</f>
        <v/>
      </c>
      <c r="B106" s="36" t="n"/>
      <c r="C106" s="36" t="n"/>
      <c r="D106" s="36" t="n"/>
      <c r="E106" s="37" t="n"/>
      <c r="F106" s="37" t="n"/>
      <c r="G106" s="37" t="n"/>
      <c r="H106" s="37" t="n"/>
      <c r="I106" s="37" t="n"/>
      <c r="J106" s="36" t="n"/>
      <c r="K106" s="36" t="n"/>
      <c r="L106" s="36" t="n"/>
      <c r="M106" s="36" t="n"/>
      <c r="N106" s="38" t="n"/>
      <c r="O106" s="39">
        <f>IF(OR(N106="",J106=""),"",N106*J106)</f>
        <v/>
      </c>
      <c r="P106" s="40" t="n"/>
      <c r="Q106" s="41">
        <f>IF(OR(P106="",Y106="발주완료",Y106="취소"),"",TODAY()+P106)</f>
        <v/>
      </c>
      <c r="R106" s="35">
        <f>IF(OR(Q106="",NOT(ISNUMBER($J$2))),"",IF(Q106&lt;=$J$2,"가능","초과 "&amp;(Q106-$J$2)&amp;"일"))</f>
        <v/>
      </c>
      <c r="S106" s="36" t="n"/>
      <c r="T106" s="36" t="n"/>
      <c r="U106" s="36" t="n"/>
      <c r="V106" s="43" t="n"/>
      <c r="W106" s="41">
        <f>IF(OR(V106="",U106=""),"",V106+U106)</f>
        <v/>
      </c>
      <c r="X106" s="37" t="n"/>
      <c r="Y106" s="36" t="n"/>
      <c r="Z106" s="37" t="n"/>
    </row>
    <row r="107">
      <c r="A107" s="35">
        <f>IF(E107="","",ROW()-5)</f>
        <v/>
      </c>
      <c r="B107" s="36" t="n"/>
      <c r="C107" s="36" t="n"/>
      <c r="D107" s="36" t="n"/>
      <c r="E107" s="37" t="n"/>
      <c r="F107" s="37" t="n"/>
      <c r="G107" s="37" t="n"/>
      <c r="H107" s="37" t="n"/>
      <c r="I107" s="37" t="n"/>
      <c r="J107" s="36" t="n"/>
      <c r="K107" s="36" t="n"/>
      <c r="L107" s="36" t="n"/>
      <c r="M107" s="36" t="n"/>
      <c r="N107" s="38" t="n"/>
      <c r="O107" s="39">
        <f>IF(OR(N107="",J107=""),"",N107*J107)</f>
        <v/>
      </c>
      <c r="P107" s="40" t="n"/>
      <c r="Q107" s="41">
        <f>IF(OR(P107="",Y107="발주완료",Y107="취소"),"",TODAY()+P107)</f>
        <v/>
      </c>
      <c r="R107" s="35">
        <f>IF(OR(Q107="",NOT(ISNUMBER($J$2))),"",IF(Q107&lt;=$J$2,"가능","초과 "&amp;(Q107-$J$2)&amp;"일"))</f>
        <v/>
      </c>
      <c r="S107" s="36" t="n"/>
      <c r="T107" s="36" t="n"/>
      <c r="U107" s="36" t="n"/>
      <c r="V107" s="43" t="n"/>
      <c r="W107" s="41">
        <f>IF(OR(V107="",U107=""),"",V107+U107)</f>
        <v/>
      </c>
      <c r="X107" s="37" t="n"/>
      <c r="Y107" s="36" t="n"/>
      <c r="Z107" s="37" t="n"/>
    </row>
    <row r="108">
      <c r="A108" s="35">
        <f>IF(E108="","",ROW()-5)</f>
        <v/>
      </c>
      <c r="B108" s="36" t="n"/>
      <c r="C108" s="36" t="n"/>
      <c r="D108" s="36" t="n"/>
      <c r="E108" s="37" t="n"/>
      <c r="F108" s="37" t="n"/>
      <c r="G108" s="37" t="n"/>
      <c r="H108" s="37" t="n"/>
      <c r="I108" s="37" t="n"/>
      <c r="J108" s="36" t="n"/>
      <c r="K108" s="36" t="n"/>
      <c r="L108" s="36" t="n"/>
      <c r="M108" s="36" t="n"/>
      <c r="N108" s="38" t="n"/>
      <c r="O108" s="39">
        <f>IF(OR(N108="",J108=""),"",N108*J108)</f>
        <v/>
      </c>
      <c r="P108" s="40" t="n"/>
      <c r="Q108" s="41">
        <f>IF(OR(P108="",Y108="발주완료",Y108="취소"),"",TODAY()+P108)</f>
        <v/>
      </c>
      <c r="R108" s="35">
        <f>IF(OR(Q108="",NOT(ISNUMBER($J$2))),"",IF(Q108&lt;=$J$2,"가능","초과 "&amp;(Q108-$J$2)&amp;"일"))</f>
        <v/>
      </c>
      <c r="S108" s="36" t="n"/>
      <c r="T108" s="36" t="n"/>
      <c r="U108" s="36" t="n"/>
      <c r="V108" s="43" t="n"/>
      <c r="W108" s="41">
        <f>IF(OR(V108="",U108=""),"",V108+U108)</f>
        <v/>
      </c>
      <c r="X108" s="37" t="n"/>
      <c r="Y108" s="36" t="n"/>
      <c r="Z108" s="37" t="n"/>
    </row>
    <row r="109">
      <c r="A109" s="35">
        <f>IF(E109="","",ROW()-5)</f>
        <v/>
      </c>
      <c r="B109" s="36" t="n"/>
      <c r="C109" s="36" t="n"/>
      <c r="D109" s="36" t="n"/>
      <c r="E109" s="37" t="n"/>
      <c r="F109" s="37" t="n"/>
      <c r="G109" s="37" t="n"/>
      <c r="H109" s="37" t="n"/>
      <c r="I109" s="37" t="n"/>
      <c r="J109" s="36" t="n"/>
      <c r="K109" s="36" t="n"/>
      <c r="L109" s="36" t="n"/>
      <c r="M109" s="36" t="n"/>
      <c r="N109" s="38" t="n"/>
      <c r="O109" s="39">
        <f>IF(OR(N109="",J109=""),"",N109*J109)</f>
        <v/>
      </c>
      <c r="P109" s="40" t="n"/>
      <c r="Q109" s="41">
        <f>IF(OR(P109="",Y109="발주완료",Y109="취소"),"",TODAY()+P109)</f>
        <v/>
      </c>
      <c r="R109" s="35">
        <f>IF(OR(Q109="",NOT(ISNUMBER($J$2))),"",IF(Q109&lt;=$J$2,"가능","초과 "&amp;(Q109-$J$2)&amp;"일"))</f>
        <v/>
      </c>
      <c r="S109" s="36" t="n"/>
      <c r="T109" s="36" t="n"/>
      <c r="U109" s="36" t="n"/>
      <c r="V109" s="43" t="n"/>
      <c r="W109" s="41">
        <f>IF(OR(V109="",U109=""),"",V109+U109)</f>
        <v/>
      </c>
      <c r="X109" s="37" t="n"/>
      <c r="Y109" s="36" t="n"/>
      <c r="Z109" s="37" t="n"/>
    </row>
    <row r="110">
      <c r="A110" s="35">
        <f>IF(E110="","",ROW()-5)</f>
        <v/>
      </c>
      <c r="B110" s="36" t="n"/>
      <c r="C110" s="36" t="n"/>
      <c r="D110" s="36" t="n"/>
      <c r="E110" s="37" t="n"/>
      <c r="F110" s="37" t="n"/>
      <c r="G110" s="37" t="n"/>
      <c r="H110" s="37" t="n"/>
      <c r="I110" s="37" t="n"/>
      <c r="J110" s="36" t="n"/>
      <c r="K110" s="36" t="n"/>
      <c r="L110" s="36" t="n"/>
      <c r="M110" s="36" t="n"/>
      <c r="N110" s="38" t="n"/>
      <c r="O110" s="39">
        <f>IF(OR(N110="",J110=""),"",N110*J110)</f>
        <v/>
      </c>
      <c r="P110" s="40" t="n"/>
      <c r="Q110" s="41">
        <f>IF(OR(P110="",Y110="발주완료",Y110="취소"),"",TODAY()+P110)</f>
        <v/>
      </c>
      <c r="R110" s="35">
        <f>IF(OR(Q110="",NOT(ISNUMBER($J$2))),"",IF(Q110&lt;=$J$2,"가능","초과 "&amp;(Q110-$J$2)&amp;"일"))</f>
        <v/>
      </c>
      <c r="S110" s="36" t="n"/>
      <c r="T110" s="36" t="n"/>
      <c r="U110" s="36" t="n"/>
      <c r="V110" s="43" t="n"/>
      <c r="W110" s="41">
        <f>IF(OR(V110="",U110=""),"",V110+U110)</f>
        <v/>
      </c>
      <c r="X110" s="37" t="n"/>
      <c r="Y110" s="36" t="n"/>
      <c r="Z110" s="37" t="n"/>
    </row>
    <row r="111">
      <c r="A111" s="35">
        <f>IF(E111="","",ROW()-5)</f>
        <v/>
      </c>
      <c r="B111" s="36" t="n"/>
      <c r="C111" s="36" t="n"/>
      <c r="D111" s="36" t="n"/>
      <c r="E111" s="37" t="n"/>
      <c r="F111" s="37" t="n"/>
      <c r="G111" s="37" t="n"/>
      <c r="H111" s="37" t="n"/>
      <c r="I111" s="37" t="n"/>
      <c r="J111" s="36" t="n"/>
      <c r="K111" s="36" t="n"/>
      <c r="L111" s="36" t="n"/>
      <c r="M111" s="36" t="n"/>
      <c r="N111" s="38" t="n"/>
      <c r="O111" s="39">
        <f>IF(OR(N111="",J111=""),"",N111*J111)</f>
        <v/>
      </c>
      <c r="P111" s="40" t="n"/>
      <c r="Q111" s="41">
        <f>IF(OR(P111="",Y111="발주완료",Y111="취소"),"",TODAY()+P111)</f>
        <v/>
      </c>
      <c r="R111" s="35">
        <f>IF(OR(Q111="",NOT(ISNUMBER($J$2))),"",IF(Q111&lt;=$J$2,"가능","초과 "&amp;(Q111-$J$2)&amp;"일"))</f>
        <v/>
      </c>
      <c r="S111" s="36" t="n"/>
      <c r="T111" s="36" t="n"/>
      <c r="U111" s="36" t="n"/>
      <c r="V111" s="43" t="n"/>
      <c r="W111" s="41">
        <f>IF(OR(V111="",U111=""),"",V111+U111)</f>
        <v/>
      </c>
      <c r="X111" s="37" t="n"/>
      <c r="Y111" s="36" t="n"/>
      <c r="Z111" s="37" t="n"/>
    </row>
    <row r="112">
      <c r="A112" s="35">
        <f>IF(E112="","",ROW()-5)</f>
        <v/>
      </c>
      <c r="B112" s="36" t="n"/>
      <c r="C112" s="36" t="n"/>
      <c r="D112" s="36" t="n"/>
      <c r="E112" s="37" t="n"/>
      <c r="F112" s="37" t="n"/>
      <c r="G112" s="37" t="n"/>
      <c r="H112" s="37" t="n"/>
      <c r="I112" s="37" t="n"/>
      <c r="J112" s="36" t="n"/>
      <c r="K112" s="36" t="n"/>
      <c r="L112" s="36" t="n"/>
      <c r="M112" s="36" t="n"/>
      <c r="N112" s="38" t="n"/>
      <c r="O112" s="39">
        <f>IF(OR(N112="",J112=""),"",N112*J112)</f>
        <v/>
      </c>
      <c r="P112" s="40" t="n"/>
      <c r="Q112" s="41">
        <f>IF(OR(P112="",Y112="발주완료",Y112="취소"),"",TODAY()+P112)</f>
        <v/>
      </c>
      <c r="R112" s="35">
        <f>IF(OR(Q112="",NOT(ISNUMBER($J$2))),"",IF(Q112&lt;=$J$2,"가능","초과 "&amp;(Q112-$J$2)&amp;"일"))</f>
        <v/>
      </c>
      <c r="S112" s="36" t="n"/>
      <c r="T112" s="36" t="n"/>
      <c r="U112" s="36" t="n"/>
      <c r="V112" s="43" t="n"/>
      <c r="W112" s="41">
        <f>IF(OR(V112="",U112=""),"",V112+U112)</f>
        <v/>
      </c>
      <c r="X112" s="37" t="n"/>
      <c r="Y112" s="36" t="n"/>
      <c r="Z112" s="37" t="n"/>
    </row>
    <row r="113">
      <c r="A113" s="35">
        <f>IF(E113="","",ROW()-5)</f>
        <v/>
      </c>
      <c r="B113" s="36" t="n"/>
      <c r="C113" s="36" t="n"/>
      <c r="D113" s="36" t="n"/>
      <c r="E113" s="37" t="n"/>
      <c r="F113" s="37" t="n"/>
      <c r="G113" s="37" t="n"/>
      <c r="H113" s="37" t="n"/>
      <c r="I113" s="37" t="n"/>
      <c r="J113" s="36" t="n"/>
      <c r="K113" s="36" t="n"/>
      <c r="L113" s="36" t="n"/>
      <c r="M113" s="36" t="n"/>
      <c r="N113" s="38" t="n"/>
      <c r="O113" s="39">
        <f>IF(OR(N113="",J113=""),"",N113*J113)</f>
        <v/>
      </c>
      <c r="P113" s="40" t="n"/>
      <c r="Q113" s="41">
        <f>IF(OR(P113="",Y113="발주완료",Y113="취소"),"",TODAY()+P113)</f>
        <v/>
      </c>
      <c r="R113" s="35">
        <f>IF(OR(Q113="",NOT(ISNUMBER($J$2))),"",IF(Q113&lt;=$J$2,"가능","초과 "&amp;(Q113-$J$2)&amp;"일"))</f>
        <v/>
      </c>
      <c r="S113" s="36" t="n"/>
      <c r="T113" s="36" t="n"/>
      <c r="U113" s="36" t="n"/>
      <c r="V113" s="43" t="n"/>
      <c r="W113" s="41">
        <f>IF(OR(V113="",U113=""),"",V113+U113)</f>
        <v/>
      </c>
      <c r="X113" s="37" t="n"/>
      <c r="Y113" s="36" t="n"/>
      <c r="Z113" s="37" t="n"/>
    </row>
    <row r="114">
      <c r="A114" s="35">
        <f>IF(E114="","",ROW()-5)</f>
        <v/>
      </c>
      <c r="B114" s="36" t="n"/>
      <c r="C114" s="36" t="n"/>
      <c r="D114" s="36" t="n"/>
      <c r="E114" s="37" t="n"/>
      <c r="F114" s="37" t="n"/>
      <c r="G114" s="37" t="n"/>
      <c r="H114" s="37" t="n"/>
      <c r="I114" s="37" t="n"/>
      <c r="J114" s="36" t="n"/>
      <c r="K114" s="36" t="n"/>
      <c r="L114" s="36" t="n"/>
      <c r="M114" s="36" t="n"/>
      <c r="N114" s="38" t="n"/>
      <c r="O114" s="39">
        <f>IF(OR(N114="",J114=""),"",N114*J114)</f>
        <v/>
      </c>
      <c r="P114" s="40" t="n"/>
      <c r="Q114" s="41">
        <f>IF(OR(P114="",Y114="발주완료",Y114="취소"),"",TODAY()+P114)</f>
        <v/>
      </c>
      <c r="R114" s="35">
        <f>IF(OR(Q114="",NOT(ISNUMBER($J$2))),"",IF(Q114&lt;=$J$2,"가능","초과 "&amp;(Q114-$J$2)&amp;"일"))</f>
        <v/>
      </c>
      <c r="S114" s="36" t="n"/>
      <c r="T114" s="36" t="n"/>
      <c r="U114" s="36" t="n"/>
      <c r="V114" s="43" t="n"/>
      <c r="W114" s="41">
        <f>IF(OR(V114="",U114=""),"",V114+U114)</f>
        <v/>
      </c>
      <c r="X114" s="37" t="n"/>
      <c r="Y114" s="36" t="n"/>
      <c r="Z114" s="37" t="n"/>
    </row>
    <row r="115">
      <c r="A115" s="35">
        <f>IF(E115="","",ROW()-5)</f>
        <v/>
      </c>
      <c r="B115" s="36" t="n"/>
      <c r="C115" s="36" t="n"/>
      <c r="D115" s="36" t="n"/>
      <c r="E115" s="37" t="n"/>
      <c r="F115" s="37" t="n"/>
      <c r="G115" s="37" t="n"/>
      <c r="H115" s="37" t="n"/>
      <c r="I115" s="37" t="n"/>
      <c r="J115" s="36" t="n"/>
      <c r="K115" s="36" t="n"/>
      <c r="L115" s="36" t="n"/>
      <c r="M115" s="36" t="n"/>
      <c r="N115" s="38" t="n"/>
      <c r="O115" s="39">
        <f>IF(OR(N115="",J115=""),"",N115*J115)</f>
        <v/>
      </c>
      <c r="P115" s="40" t="n"/>
      <c r="Q115" s="41">
        <f>IF(OR(P115="",Y115="발주완료",Y115="취소"),"",TODAY()+P115)</f>
        <v/>
      </c>
      <c r="R115" s="35">
        <f>IF(OR(Q115="",NOT(ISNUMBER($J$2))),"",IF(Q115&lt;=$J$2,"가능","초과 "&amp;(Q115-$J$2)&amp;"일"))</f>
        <v/>
      </c>
      <c r="S115" s="36" t="n"/>
      <c r="T115" s="36" t="n"/>
      <c r="U115" s="36" t="n"/>
      <c r="V115" s="43" t="n"/>
      <c r="W115" s="41">
        <f>IF(OR(V115="",U115=""),"",V115+U115)</f>
        <v/>
      </c>
      <c r="X115" s="37" t="n"/>
      <c r="Y115" s="36" t="n"/>
      <c r="Z115" s="37" t="n"/>
    </row>
    <row r="116">
      <c r="A116" s="35">
        <f>IF(E116="","",ROW()-5)</f>
        <v/>
      </c>
      <c r="B116" s="36" t="n"/>
      <c r="C116" s="36" t="n"/>
      <c r="D116" s="36" t="n"/>
      <c r="E116" s="37" t="n"/>
      <c r="F116" s="37" t="n"/>
      <c r="G116" s="37" t="n"/>
      <c r="H116" s="37" t="n"/>
      <c r="I116" s="37" t="n"/>
      <c r="J116" s="36" t="n"/>
      <c r="K116" s="36" t="n"/>
      <c r="L116" s="36" t="n"/>
      <c r="M116" s="36" t="n"/>
      <c r="N116" s="38" t="n"/>
      <c r="O116" s="39">
        <f>IF(OR(N116="",J116=""),"",N116*J116)</f>
        <v/>
      </c>
      <c r="P116" s="40" t="n"/>
      <c r="Q116" s="41">
        <f>IF(OR(P116="",Y116="발주완료",Y116="취소"),"",TODAY()+P116)</f>
        <v/>
      </c>
      <c r="R116" s="35">
        <f>IF(OR(Q116="",NOT(ISNUMBER($J$2))),"",IF(Q116&lt;=$J$2,"가능","초과 "&amp;(Q116-$J$2)&amp;"일"))</f>
        <v/>
      </c>
      <c r="S116" s="36" t="n"/>
      <c r="T116" s="36" t="n"/>
      <c r="U116" s="36" t="n"/>
      <c r="V116" s="43" t="n"/>
      <c r="W116" s="41">
        <f>IF(OR(V116="",U116=""),"",V116+U116)</f>
        <v/>
      </c>
      <c r="X116" s="37" t="n"/>
      <c r="Y116" s="36" t="n"/>
      <c r="Z116" s="37" t="n"/>
    </row>
    <row r="117">
      <c r="A117" s="35">
        <f>IF(E117="","",ROW()-5)</f>
        <v/>
      </c>
      <c r="B117" s="36" t="n"/>
      <c r="C117" s="36" t="n"/>
      <c r="D117" s="36" t="n"/>
      <c r="E117" s="37" t="n"/>
      <c r="F117" s="37" t="n"/>
      <c r="G117" s="37" t="n"/>
      <c r="H117" s="37" t="n"/>
      <c r="I117" s="37" t="n"/>
      <c r="J117" s="36" t="n"/>
      <c r="K117" s="36" t="n"/>
      <c r="L117" s="36" t="n"/>
      <c r="M117" s="36" t="n"/>
      <c r="N117" s="38" t="n"/>
      <c r="O117" s="39">
        <f>IF(OR(N117="",J117=""),"",N117*J117)</f>
        <v/>
      </c>
      <c r="P117" s="40" t="n"/>
      <c r="Q117" s="41">
        <f>IF(OR(P117="",Y117="발주완료",Y117="취소"),"",TODAY()+P117)</f>
        <v/>
      </c>
      <c r="R117" s="35">
        <f>IF(OR(Q117="",NOT(ISNUMBER($J$2))),"",IF(Q117&lt;=$J$2,"가능","초과 "&amp;(Q117-$J$2)&amp;"일"))</f>
        <v/>
      </c>
      <c r="S117" s="36" t="n"/>
      <c r="T117" s="36" t="n"/>
      <c r="U117" s="36" t="n"/>
      <c r="V117" s="43" t="n"/>
      <c r="W117" s="41">
        <f>IF(OR(V117="",U117=""),"",V117+U117)</f>
        <v/>
      </c>
      <c r="X117" s="37" t="n"/>
      <c r="Y117" s="36" t="n"/>
      <c r="Z117" s="37" t="n"/>
    </row>
    <row r="118">
      <c r="A118" s="35">
        <f>IF(E118="","",ROW()-5)</f>
        <v/>
      </c>
      <c r="B118" s="36" t="n"/>
      <c r="C118" s="36" t="n"/>
      <c r="D118" s="36" t="n"/>
      <c r="E118" s="37" t="n"/>
      <c r="F118" s="37" t="n"/>
      <c r="G118" s="37" t="n"/>
      <c r="H118" s="37" t="n"/>
      <c r="I118" s="37" t="n"/>
      <c r="J118" s="36" t="n"/>
      <c r="K118" s="36" t="n"/>
      <c r="L118" s="36" t="n"/>
      <c r="M118" s="36" t="n"/>
      <c r="N118" s="38" t="n"/>
      <c r="O118" s="39">
        <f>IF(OR(N118="",J118=""),"",N118*J118)</f>
        <v/>
      </c>
      <c r="P118" s="40" t="n"/>
      <c r="Q118" s="41">
        <f>IF(OR(P118="",Y118="발주완료",Y118="취소"),"",TODAY()+P118)</f>
        <v/>
      </c>
      <c r="R118" s="35">
        <f>IF(OR(Q118="",NOT(ISNUMBER($J$2))),"",IF(Q118&lt;=$J$2,"가능","초과 "&amp;(Q118-$J$2)&amp;"일"))</f>
        <v/>
      </c>
      <c r="S118" s="36" t="n"/>
      <c r="T118" s="36" t="n"/>
      <c r="U118" s="36" t="n"/>
      <c r="V118" s="43" t="n"/>
      <c r="W118" s="41">
        <f>IF(OR(V118="",U118=""),"",V118+U118)</f>
        <v/>
      </c>
      <c r="X118" s="37" t="n"/>
      <c r="Y118" s="36" t="n"/>
      <c r="Z118" s="37" t="n"/>
    </row>
    <row r="119">
      <c r="A119" s="35">
        <f>IF(E119="","",ROW()-5)</f>
        <v/>
      </c>
      <c r="B119" s="36" t="n"/>
      <c r="C119" s="36" t="n"/>
      <c r="D119" s="36" t="n"/>
      <c r="E119" s="37" t="n"/>
      <c r="F119" s="37" t="n"/>
      <c r="G119" s="37" t="n"/>
      <c r="H119" s="37" t="n"/>
      <c r="I119" s="37" t="n"/>
      <c r="J119" s="36" t="n"/>
      <c r="K119" s="36" t="n"/>
      <c r="L119" s="36" t="n"/>
      <c r="M119" s="36" t="n"/>
      <c r="N119" s="38" t="n"/>
      <c r="O119" s="39">
        <f>IF(OR(N119="",J119=""),"",N119*J119)</f>
        <v/>
      </c>
      <c r="P119" s="40" t="n"/>
      <c r="Q119" s="41">
        <f>IF(OR(P119="",Y119="발주완료",Y119="취소"),"",TODAY()+P119)</f>
        <v/>
      </c>
      <c r="R119" s="35">
        <f>IF(OR(Q119="",NOT(ISNUMBER($J$2))),"",IF(Q119&lt;=$J$2,"가능","초과 "&amp;(Q119-$J$2)&amp;"일"))</f>
        <v/>
      </c>
      <c r="S119" s="36" t="n"/>
      <c r="T119" s="36" t="n"/>
      <c r="U119" s="36" t="n"/>
      <c r="V119" s="43" t="n"/>
      <c r="W119" s="41">
        <f>IF(OR(V119="",U119=""),"",V119+U119)</f>
        <v/>
      </c>
      <c r="X119" s="37" t="n"/>
      <c r="Y119" s="36" t="n"/>
      <c r="Z119" s="37" t="n"/>
    </row>
    <row r="120">
      <c r="A120" s="35">
        <f>IF(E120="","",ROW()-5)</f>
        <v/>
      </c>
      <c r="B120" s="36" t="n"/>
      <c r="C120" s="36" t="n"/>
      <c r="D120" s="36" t="n"/>
      <c r="E120" s="37" t="n"/>
      <c r="F120" s="37" t="n"/>
      <c r="G120" s="37" t="n"/>
      <c r="H120" s="37" t="n"/>
      <c r="I120" s="37" t="n"/>
      <c r="J120" s="36" t="n"/>
      <c r="K120" s="36" t="n"/>
      <c r="L120" s="36" t="n"/>
      <c r="M120" s="36" t="n"/>
      <c r="N120" s="38" t="n"/>
      <c r="O120" s="39">
        <f>IF(OR(N120="",J120=""),"",N120*J120)</f>
        <v/>
      </c>
      <c r="P120" s="40" t="n"/>
      <c r="Q120" s="41">
        <f>IF(OR(P120="",Y120="발주완료",Y120="취소"),"",TODAY()+P120)</f>
        <v/>
      </c>
      <c r="R120" s="35">
        <f>IF(OR(Q120="",NOT(ISNUMBER($J$2))),"",IF(Q120&lt;=$J$2,"가능","초과 "&amp;(Q120-$J$2)&amp;"일"))</f>
        <v/>
      </c>
      <c r="S120" s="36" t="n"/>
      <c r="T120" s="36" t="n"/>
      <c r="U120" s="36" t="n"/>
      <c r="V120" s="43" t="n"/>
      <c r="W120" s="41">
        <f>IF(OR(V120="",U120=""),"",V120+U120)</f>
        <v/>
      </c>
      <c r="X120" s="37" t="n"/>
      <c r="Y120" s="36" t="n"/>
      <c r="Z120" s="37" t="n"/>
    </row>
    <row r="121">
      <c r="A121" s="35">
        <f>IF(E121="","",ROW()-5)</f>
        <v/>
      </c>
      <c r="B121" s="36" t="n"/>
      <c r="C121" s="36" t="n"/>
      <c r="D121" s="36" t="n"/>
      <c r="E121" s="37" t="n"/>
      <c r="F121" s="37" t="n"/>
      <c r="G121" s="37" t="n"/>
      <c r="H121" s="37" t="n"/>
      <c r="I121" s="37" t="n"/>
      <c r="J121" s="36" t="n"/>
      <c r="K121" s="36" t="n"/>
      <c r="L121" s="36" t="n"/>
      <c r="M121" s="36" t="n"/>
      <c r="N121" s="38" t="n"/>
      <c r="O121" s="39">
        <f>IF(OR(N121="",J121=""),"",N121*J121)</f>
        <v/>
      </c>
      <c r="P121" s="40" t="n"/>
      <c r="Q121" s="41">
        <f>IF(OR(P121="",Y121="발주완료",Y121="취소"),"",TODAY()+P121)</f>
        <v/>
      </c>
      <c r="R121" s="35">
        <f>IF(OR(Q121="",NOT(ISNUMBER($J$2))),"",IF(Q121&lt;=$J$2,"가능","초과 "&amp;(Q121-$J$2)&amp;"일"))</f>
        <v/>
      </c>
      <c r="S121" s="36" t="n"/>
      <c r="T121" s="36" t="n"/>
      <c r="U121" s="36" t="n"/>
      <c r="V121" s="43" t="n"/>
      <c r="W121" s="41">
        <f>IF(OR(V121="",U121=""),"",V121+U121)</f>
        <v/>
      </c>
      <c r="X121" s="37" t="n"/>
      <c r="Y121" s="36" t="n"/>
      <c r="Z121" s="37" t="n"/>
    </row>
    <row r="122">
      <c r="A122" s="35">
        <f>IF(E122="","",ROW()-5)</f>
        <v/>
      </c>
      <c r="B122" s="36" t="n"/>
      <c r="C122" s="36" t="n"/>
      <c r="D122" s="36" t="n"/>
      <c r="E122" s="37" t="n"/>
      <c r="F122" s="37" t="n"/>
      <c r="G122" s="37" t="n"/>
      <c r="H122" s="37" t="n"/>
      <c r="I122" s="37" t="n"/>
      <c r="J122" s="36" t="n"/>
      <c r="K122" s="36" t="n"/>
      <c r="L122" s="36" t="n"/>
      <c r="M122" s="36" t="n"/>
      <c r="N122" s="38" t="n"/>
      <c r="O122" s="39">
        <f>IF(OR(N122="",J122=""),"",N122*J122)</f>
        <v/>
      </c>
      <c r="P122" s="40" t="n"/>
      <c r="Q122" s="41">
        <f>IF(OR(P122="",Y122="발주완료",Y122="취소"),"",TODAY()+P122)</f>
        <v/>
      </c>
      <c r="R122" s="35">
        <f>IF(OR(Q122="",NOT(ISNUMBER($J$2))),"",IF(Q122&lt;=$J$2,"가능","초과 "&amp;(Q122-$J$2)&amp;"일"))</f>
        <v/>
      </c>
      <c r="S122" s="36" t="n"/>
      <c r="T122" s="36" t="n"/>
      <c r="U122" s="36" t="n"/>
      <c r="V122" s="43" t="n"/>
      <c r="W122" s="41">
        <f>IF(OR(V122="",U122=""),"",V122+U122)</f>
        <v/>
      </c>
      <c r="X122" s="37" t="n"/>
      <c r="Y122" s="36" t="n"/>
      <c r="Z122" s="37" t="n"/>
    </row>
    <row r="123">
      <c r="A123" s="35">
        <f>IF(E123="","",ROW()-5)</f>
        <v/>
      </c>
      <c r="B123" s="36" t="n"/>
      <c r="C123" s="36" t="n"/>
      <c r="D123" s="36" t="n"/>
      <c r="E123" s="37" t="n"/>
      <c r="F123" s="37" t="n"/>
      <c r="G123" s="37" t="n"/>
      <c r="H123" s="37" t="n"/>
      <c r="I123" s="37" t="n"/>
      <c r="J123" s="36" t="n"/>
      <c r="K123" s="36" t="n"/>
      <c r="L123" s="36" t="n"/>
      <c r="M123" s="36" t="n"/>
      <c r="N123" s="38" t="n"/>
      <c r="O123" s="39">
        <f>IF(OR(N123="",J123=""),"",N123*J123)</f>
        <v/>
      </c>
      <c r="P123" s="40" t="n"/>
      <c r="Q123" s="41">
        <f>IF(OR(P123="",Y123="발주완료",Y123="취소"),"",TODAY()+P123)</f>
        <v/>
      </c>
      <c r="R123" s="35">
        <f>IF(OR(Q123="",NOT(ISNUMBER($J$2))),"",IF(Q123&lt;=$J$2,"가능","초과 "&amp;(Q123-$J$2)&amp;"일"))</f>
        <v/>
      </c>
      <c r="S123" s="36" t="n"/>
      <c r="T123" s="36" t="n"/>
      <c r="U123" s="36" t="n"/>
      <c r="V123" s="43" t="n"/>
      <c r="W123" s="41">
        <f>IF(OR(V123="",U123=""),"",V123+U123)</f>
        <v/>
      </c>
      <c r="X123" s="37" t="n"/>
      <c r="Y123" s="36" t="n"/>
      <c r="Z123" s="37" t="n"/>
    </row>
    <row r="124">
      <c r="A124" s="35">
        <f>IF(E124="","",ROW()-5)</f>
        <v/>
      </c>
      <c r="B124" s="36" t="n"/>
      <c r="C124" s="36" t="n"/>
      <c r="D124" s="36" t="n"/>
      <c r="E124" s="37" t="n"/>
      <c r="F124" s="37" t="n"/>
      <c r="G124" s="37" t="n"/>
      <c r="H124" s="37" t="n"/>
      <c r="I124" s="37" t="n"/>
      <c r="J124" s="36" t="n"/>
      <c r="K124" s="36" t="n"/>
      <c r="L124" s="36" t="n"/>
      <c r="M124" s="36" t="n"/>
      <c r="N124" s="38" t="n"/>
      <c r="O124" s="39">
        <f>IF(OR(N124="",J124=""),"",N124*J124)</f>
        <v/>
      </c>
      <c r="P124" s="40" t="n"/>
      <c r="Q124" s="41">
        <f>IF(OR(P124="",Y124="발주완료",Y124="취소"),"",TODAY()+P124)</f>
        <v/>
      </c>
      <c r="R124" s="35">
        <f>IF(OR(Q124="",NOT(ISNUMBER($J$2))),"",IF(Q124&lt;=$J$2,"가능","초과 "&amp;(Q124-$J$2)&amp;"일"))</f>
        <v/>
      </c>
      <c r="S124" s="36" t="n"/>
      <c r="T124" s="36" t="n"/>
      <c r="U124" s="36" t="n"/>
      <c r="V124" s="43" t="n"/>
      <c r="W124" s="41">
        <f>IF(OR(V124="",U124=""),"",V124+U124)</f>
        <v/>
      </c>
      <c r="X124" s="37" t="n"/>
      <c r="Y124" s="36" t="n"/>
      <c r="Z124" s="37" t="n"/>
    </row>
    <row r="125">
      <c r="A125" s="35">
        <f>IF(E125="","",ROW()-5)</f>
        <v/>
      </c>
      <c r="B125" s="36" t="n"/>
      <c r="C125" s="36" t="n"/>
      <c r="D125" s="36" t="n"/>
      <c r="E125" s="37" t="n"/>
      <c r="F125" s="37" t="n"/>
      <c r="G125" s="37" t="n"/>
      <c r="H125" s="37" t="n"/>
      <c r="I125" s="37" t="n"/>
      <c r="J125" s="36" t="n"/>
      <c r="K125" s="36" t="n"/>
      <c r="L125" s="36" t="n"/>
      <c r="M125" s="36" t="n"/>
      <c r="N125" s="38" t="n"/>
      <c r="O125" s="39">
        <f>IF(OR(N125="",J125=""),"",N125*J125)</f>
        <v/>
      </c>
      <c r="P125" s="40" t="n"/>
      <c r="Q125" s="41">
        <f>IF(OR(P125="",Y125="발주완료",Y125="취소"),"",TODAY()+P125)</f>
        <v/>
      </c>
      <c r="R125" s="35">
        <f>IF(OR(Q125="",NOT(ISNUMBER($J$2))),"",IF(Q125&lt;=$J$2,"가능","초과 "&amp;(Q125-$J$2)&amp;"일"))</f>
        <v/>
      </c>
      <c r="S125" s="36" t="n"/>
      <c r="T125" s="36" t="n"/>
      <c r="U125" s="36" t="n"/>
      <c r="V125" s="43" t="n"/>
      <c r="W125" s="41">
        <f>IF(OR(V125="",U125=""),"",V125+U125)</f>
        <v/>
      </c>
      <c r="X125" s="37" t="n"/>
      <c r="Y125" s="36" t="n"/>
      <c r="Z125" s="37" t="n"/>
    </row>
    <row r="126">
      <c r="A126" s="35">
        <f>IF(E126="","",ROW()-5)</f>
        <v/>
      </c>
      <c r="B126" s="36" t="n"/>
      <c r="C126" s="36" t="n"/>
      <c r="D126" s="36" t="n"/>
      <c r="E126" s="37" t="n"/>
      <c r="F126" s="37" t="n"/>
      <c r="G126" s="37" t="n"/>
      <c r="H126" s="37" t="n"/>
      <c r="I126" s="37" t="n"/>
      <c r="J126" s="36" t="n"/>
      <c r="K126" s="36" t="n"/>
      <c r="L126" s="36" t="n"/>
      <c r="M126" s="36" t="n"/>
      <c r="N126" s="38" t="n"/>
      <c r="O126" s="39">
        <f>IF(OR(N126="",J126=""),"",N126*J126)</f>
        <v/>
      </c>
      <c r="P126" s="40" t="n"/>
      <c r="Q126" s="41">
        <f>IF(OR(P126="",Y126="발주완료",Y126="취소"),"",TODAY()+P126)</f>
        <v/>
      </c>
      <c r="R126" s="35">
        <f>IF(OR(Q126="",NOT(ISNUMBER($J$2))),"",IF(Q126&lt;=$J$2,"가능","초과 "&amp;(Q126-$J$2)&amp;"일"))</f>
        <v/>
      </c>
      <c r="S126" s="36" t="n"/>
      <c r="T126" s="36" t="n"/>
      <c r="U126" s="36" t="n"/>
      <c r="V126" s="43" t="n"/>
      <c r="W126" s="41">
        <f>IF(OR(V126="",U126=""),"",V126+U126)</f>
        <v/>
      </c>
      <c r="X126" s="37" t="n"/>
      <c r="Y126" s="36" t="n"/>
      <c r="Z126" s="37" t="n"/>
    </row>
    <row r="127">
      <c r="A127" s="35">
        <f>IF(E127="","",ROW()-5)</f>
        <v/>
      </c>
      <c r="B127" s="36" t="n"/>
      <c r="C127" s="36" t="n"/>
      <c r="D127" s="36" t="n"/>
      <c r="E127" s="37" t="n"/>
      <c r="F127" s="37" t="n"/>
      <c r="G127" s="37" t="n"/>
      <c r="H127" s="37" t="n"/>
      <c r="I127" s="37" t="n"/>
      <c r="J127" s="36" t="n"/>
      <c r="K127" s="36" t="n"/>
      <c r="L127" s="36" t="n"/>
      <c r="M127" s="36" t="n"/>
      <c r="N127" s="38" t="n"/>
      <c r="O127" s="39">
        <f>IF(OR(N127="",J127=""),"",N127*J127)</f>
        <v/>
      </c>
      <c r="P127" s="40" t="n"/>
      <c r="Q127" s="41">
        <f>IF(OR(P127="",Y127="발주완료",Y127="취소"),"",TODAY()+P127)</f>
        <v/>
      </c>
      <c r="R127" s="35">
        <f>IF(OR(Q127="",NOT(ISNUMBER($J$2))),"",IF(Q127&lt;=$J$2,"가능","초과 "&amp;(Q127-$J$2)&amp;"일"))</f>
        <v/>
      </c>
      <c r="S127" s="36" t="n"/>
      <c r="T127" s="36" t="n"/>
      <c r="U127" s="36" t="n"/>
      <c r="V127" s="43" t="n"/>
      <c r="W127" s="41">
        <f>IF(OR(V127="",U127=""),"",V127+U127)</f>
        <v/>
      </c>
      <c r="X127" s="37" t="n"/>
      <c r="Y127" s="36" t="n"/>
      <c r="Z127" s="37" t="n"/>
    </row>
    <row r="128">
      <c r="A128" s="35">
        <f>IF(E128="","",ROW()-5)</f>
        <v/>
      </c>
      <c r="B128" s="36" t="n"/>
      <c r="C128" s="36" t="n"/>
      <c r="D128" s="36" t="n"/>
      <c r="E128" s="37" t="n"/>
      <c r="F128" s="37" t="n"/>
      <c r="G128" s="37" t="n"/>
      <c r="H128" s="37" t="n"/>
      <c r="I128" s="37" t="n"/>
      <c r="J128" s="36" t="n"/>
      <c r="K128" s="36" t="n"/>
      <c r="L128" s="36" t="n"/>
      <c r="M128" s="36" t="n"/>
      <c r="N128" s="38" t="n"/>
      <c r="O128" s="39">
        <f>IF(OR(N128="",J128=""),"",N128*J128)</f>
        <v/>
      </c>
      <c r="P128" s="40" t="n"/>
      <c r="Q128" s="41">
        <f>IF(OR(P128="",Y128="발주완료",Y128="취소"),"",TODAY()+P128)</f>
        <v/>
      </c>
      <c r="R128" s="35">
        <f>IF(OR(Q128="",NOT(ISNUMBER($J$2))),"",IF(Q128&lt;=$J$2,"가능","초과 "&amp;(Q128-$J$2)&amp;"일"))</f>
        <v/>
      </c>
      <c r="S128" s="36" t="n"/>
      <c r="T128" s="36" t="n"/>
      <c r="U128" s="36" t="n"/>
      <c r="V128" s="43" t="n"/>
      <c r="W128" s="41">
        <f>IF(OR(V128="",U128=""),"",V128+U128)</f>
        <v/>
      </c>
      <c r="X128" s="37" t="n"/>
      <c r="Y128" s="36" t="n"/>
      <c r="Z128" s="37" t="n"/>
    </row>
    <row r="129">
      <c r="A129" s="35">
        <f>IF(E129="","",ROW()-5)</f>
        <v/>
      </c>
      <c r="B129" s="36" t="n"/>
      <c r="C129" s="36" t="n"/>
      <c r="D129" s="36" t="n"/>
      <c r="E129" s="37" t="n"/>
      <c r="F129" s="37" t="n"/>
      <c r="G129" s="37" t="n"/>
      <c r="H129" s="37" t="n"/>
      <c r="I129" s="37" t="n"/>
      <c r="J129" s="36" t="n"/>
      <c r="K129" s="36" t="n"/>
      <c r="L129" s="36" t="n"/>
      <c r="M129" s="36" t="n"/>
      <c r="N129" s="38" t="n"/>
      <c r="O129" s="39">
        <f>IF(OR(N129="",J129=""),"",N129*J129)</f>
        <v/>
      </c>
      <c r="P129" s="40" t="n"/>
      <c r="Q129" s="41">
        <f>IF(OR(P129="",Y129="발주완료",Y129="취소"),"",TODAY()+P129)</f>
        <v/>
      </c>
      <c r="R129" s="35">
        <f>IF(OR(Q129="",NOT(ISNUMBER($J$2))),"",IF(Q129&lt;=$J$2,"가능","초과 "&amp;(Q129-$J$2)&amp;"일"))</f>
        <v/>
      </c>
      <c r="S129" s="36" t="n"/>
      <c r="T129" s="36" t="n"/>
      <c r="U129" s="36" t="n"/>
      <c r="V129" s="43" t="n"/>
      <c r="W129" s="41">
        <f>IF(OR(V129="",U129=""),"",V129+U129)</f>
        <v/>
      </c>
      <c r="X129" s="37" t="n"/>
      <c r="Y129" s="36" t="n"/>
      <c r="Z129" s="37" t="n"/>
    </row>
    <row r="130">
      <c r="A130" s="35">
        <f>IF(E130="","",ROW()-5)</f>
        <v/>
      </c>
      <c r="B130" s="36" t="n"/>
      <c r="C130" s="36" t="n"/>
      <c r="D130" s="36" t="n"/>
      <c r="E130" s="37" t="n"/>
      <c r="F130" s="37" t="n"/>
      <c r="G130" s="37" t="n"/>
      <c r="H130" s="37" t="n"/>
      <c r="I130" s="37" t="n"/>
      <c r="J130" s="36" t="n"/>
      <c r="K130" s="36" t="n"/>
      <c r="L130" s="36" t="n"/>
      <c r="M130" s="36" t="n"/>
      <c r="N130" s="38" t="n"/>
      <c r="O130" s="39">
        <f>IF(OR(N130="",J130=""),"",N130*J130)</f>
        <v/>
      </c>
      <c r="P130" s="40" t="n"/>
      <c r="Q130" s="41">
        <f>IF(OR(P130="",Y130="발주완료",Y130="취소"),"",TODAY()+P130)</f>
        <v/>
      </c>
      <c r="R130" s="35">
        <f>IF(OR(Q130="",NOT(ISNUMBER($J$2))),"",IF(Q130&lt;=$J$2,"가능","초과 "&amp;(Q130-$J$2)&amp;"일"))</f>
        <v/>
      </c>
      <c r="S130" s="36" t="n"/>
      <c r="T130" s="36" t="n"/>
      <c r="U130" s="36" t="n"/>
      <c r="V130" s="43" t="n"/>
      <c r="W130" s="41">
        <f>IF(OR(V130="",U130=""),"",V130+U130)</f>
        <v/>
      </c>
      <c r="X130" s="37" t="n"/>
      <c r="Y130" s="36" t="n"/>
      <c r="Z130" s="37" t="n"/>
    </row>
    <row r="131">
      <c r="A131" s="35">
        <f>IF(E131="","",ROW()-5)</f>
        <v/>
      </c>
      <c r="B131" s="36" t="n"/>
      <c r="C131" s="36" t="n"/>
      <c r="D131" s="36" t="n"/>
      <c r="E131" s="37" t="n"/>
      <c r="F131" s="37" t="n"/>
      <c r="G131" s="37" t="n"/>
      <c r="H131" s="37" t="n"/>
      <c r="I131" s="37" t="n"/>
      <c r="J131" s="36" t="n"/>
      <c r="K131" s="36" t="n"/>
      <c r="L131" s="36" t="n"/>
      <c r="M131" s="36" t="n"/>
      <c r="N131" s="38" t="n"/>
      <c r="O131" s="39">
        <f>IF(OR(N131="",J131=""),"",N131*J131)</f>
        <v/>
      </c>
      <c r="P131" s="40" t="n"/>
      <c r="Q131" s="41">
        <f>IF(OR(P131="",Y131="발주완료",Y131="취소"),"",TODAY()+P131)</f>
        <v/>
      </c>
      <c r="R131" s="35">
        <f>IF(OR(Q131="",NOT(ISNUMBER($J$2))),"",IF(Q131&lt;=$J$2,"가능","초과 "&amp;(Q131-$J$2)&amp;"일"))</f>
        <v/>
      </c>
      <c r="S131" s="36" t="n"/>
      <c r="T131" s="36" t="n"/>
      <c r="U131" s="36" t="n"/>
      <c r="V131" s="43" t="n"/>
      <c r="W131" s="41">
        <f>IF(OR(V131="",U131=""),"",V131+U131)</f>
        <v/>
      </c>
      <c r="X131" s="37" t="n"/>
      <c r="Y131" s="36" t="n"/>
      <c r="Z131" s="37" t="n"/>
    </row>
    <row r="132">
      <c r="A132" s="35">
        <f>IF(E132="","",ROW()-5)</f>
        <v/>
      </c>
      <c r="B132" s="36" t="n"/>
      <c r="C132" s="36" t="n"/>
      <c r="D132" s="36" t="n"/>
      <c r="E132" s="37" t="n"/>
      <c r="F132" s="37" t="n"/>
      <c r="G132" s="37" t="n"/>
      <c r="H132" s="37" t="n"/>
      <c r="I132" s="37" t="n"/>
      <c r="J132" s="36" t="n"/>
      <c r="K132" s="36" t="n"/>
      <c r="L132" s="36" t="n"/>
      <c r="M132" s="36" t="n"/>
      <c r="N132" s="38" t="n"/>
      <c r="O132" s="39">
        <f>IF(OR(N132="",J132=""),"",N132*J132)</f>
        <v/>
      </c>
      <c r="P132" s="40" t="n"/>
      <c r="Q132" s="41">
        <f>IF(OR(P132="",Y132="발주완료",Y132="취소"),"",TODAY()+P132)</f>
        <v/>
      </c>
      <c r="R132" s="35">
        <f>IF(OR(Q132="",NOT(ISNUMBER($J$2))),"",IF(Q132&lt;=$J$2,"가능","초과 "&amp;(Q132-$J$2)&amp;"일"))</f>
        <v/>
      </c>
      <c r="S132" s="36" t="n"/>
      <c r="T132" s="36" t="n"/>
      <c r="U132" s="36" t="n"/>
      <c r="V132" s="43" t="n"/>
      <c r="W132" s="41">
        <f>IF(OR(V132="",U132=""),"",V132+U132)</f>
        <v/>
      </c>
      <c r="X132" s="37" t="n"/>
      <c r="Y132" s="36" t="n"/>
      <c r="Z132" s="37" t="n"/>
    </row>
    <row r="133">
      <c r="A133" s="35">
        <f>IF(E133="","",ROW()-5)</f>
        <v/>
      </c>
      <c r="B133" s="36" t="n"/>
      <c r="C133" s="36" t="n"/>
      <c r="D133" s="36" t="n"/>
      <c r="E133" s="37" t="n"/>
      <c r="F133" s="37" t="n"/>
      <c r="G133" s="37" t="n"/>
      <c r="H133" s="37" t="n"/>
      <c r="I133" s="37" t="n"/>
      <c r="J133" s="36" t="n"/>
      <c r="K133" s="36" t="n"/>
      <c r="L133" s="36" t="n"/>
      <c r="M133" s="36" t="n"/>
      <c r="N133" s="38" t="n"/>
      <c r="O133" s="39">
        <f>IF(OR(N133="",J133=""),"",N133*J133)</f>
        <v/>
      </c>
      <c r="P133" s="40" t="n"/>
      <c r="Q133" s="41">
        <f>IF(OR(P133="",Y133="발주완료",Y133="취소"),"",TODAY()+P133)</f>
        <v/>
      </c>
      <c r="R133" s="35">
        <f>IF(OR(Q133="",NOT(ISNUMBER($J$2))),"",IF(Q133&lt;=$J$2,"가능","초과 "&amp;(Q133-$J$2)&amp;"일"))</f>
        <v/>
      </c>
      <c r="S133" s="36" t="n"/>
      <c r="T133" s="36" t="n"/>
      <c r="U133" s="36" t="n"/>
      <c r="V133" s="43" t="n"/>
      <c r="W133" s="41">
        <f>IF(OR(V133="",U133=""),"",V133+U133)</f>
        <v/>
      </c>
      <c r="X133" s="37" t="n"/>
      <c r="Y133" s="36" t="n"/>
      <c r="Z133" s="37" t="n"/>
    </row>
    <row r="134">
      <c r="A134" s="35">
        <f>IF(E134="","",ROW()-5)</f>
        <v/>
      </c>
      <c r="B134" s="36" t="n"/>
      <c r="C134" s="36" t="n"/>
      <c r="D134" s="36" t="n"/>
      <c r="E134" s="37" t="n"/>
      <c r="F134" s="37" t="n"/>
      <c r="G134" s="37" t="n"/>
      <c r="H134" s="37" t="n"/>
      <c r="I134" s="37" t="n"/>
      <c r="J134" s="36" t="n"/>
      <c r="K134" s="36" t="n"/>
      <c r="L134" s="36" t="n"/>
      <c r="M134" s="36" t="n"/>
      <c r="N134" s="38" t="n"/>
      <c r="O134" s="39">
        <f>IF(OR(N134="",J134=""),"",N134*J134)</f>
        <v/>
      </c>
      <c r="P134" s="40" t="n"/>
      <c r="Q134" s="41">
        <f>IF(OR(P134="",Y134="발주완료",Y134="취소"),"",TODAY()+P134)</f>
        <v/>
      </c>
      <c r="R134" s="35">
        <f>IF(OR(Q134="",NOT(ISNUMBER($J$2))),"",IF(Q134&lt;=$J$2,"가능","초과 "&amp;(Q134-$J$2)&amp;"일"))</f>
        <v/>
      </c>
      <c r="S134" s="36" t="n"/>
      <c r="T134" s="36" t="n"/>
      <c r="U134" s="36" t="n"/>
      <c r="V134" s="43" t="n"/>
      <c r="W134" s="41">
        <f>IF(OR(V134="",U134=""),"",V134+U134)</f>
        <v/>
      </c>
      <c r="X134" s="37" t="n"/>
      <c r="Y134" s="36" t="n"/>
      <c r="Z134" s="37" t="n"/>
    </row>
    <row r="135">
      <c r="A135" s="35">
        <f>IF(E135="","",ROW()-5)</f>
        <v/>
      </c>
      <c r="B135" s="36" t="n"/>
      <c r="C135" s="36" t="n"/>
      <c r="D135" s="36" t="n"/>
      <c r="E135" s="37" t="n"/>
      <c r="F135" s="37" t="n"/>
      <c r="G135" s="37" t="n"/>
      <c r="H135" s="37" t="n"/>
      <c r="I135" s="37" t="n"/>
      <c r="J135" s="36" t="n"/>
      <c r="K135" s="36" t="n"/>
      <c r="L135" s="36" t="n"/>
      <c r="M135" s="36" t="n"/>
      <c r="N135" s="38" t="n"/>
      <c r="O135" s="39">
        <f>IF(OR(N135="",J135=""),"",N135*J135)</f>
        <v/>
      </c>
      <c r="P135" s="40" t="n"/>
      <c r="Q135" s="41">
        <f>IF(OR(P135="",Y135="발주완료",Y135="취소"),"",TODAY()+P135)</f>
        <v/>
      </c>
      <c r="R135" s="35">
        <f>IF(OR(Q135="",NOT(ISNUMBER($J$2))),"",IF(Q135&lt;=$J$2,"가능","초과 "&amp;(Q135-$J$2)&amp;"일"))</f>
        <v/>
      </c>
      <c r="S135" s="36" t="n"/>
      <c r="T135" s="36" t="n"/>
      <c r="U135" s="36" t="n"/>
      <c r="V135" s="43" t="n"/>
      <c r="W135" s="41">
        <f>IF(OR(V135="",U135=""),"",V135+U135)</f>
        <v/>
      </c>
      <c r="X135" s="37" t="n"/>
      <c r="Y135" s="36" t="n"/>
      <c r="Z135" s="37" t="n"/>
    </row>
    <row r="136">
      <c r="A136" s="35">
        <f>IF(E136="","",ROW()-5)</f>
        <v/>
      </c>
      <c r="B136" s="36" t="n"/>
      <c r="C136" s="36" t="n"/>
      <c r="D136" s="36" t="n"/>
      <c r="E136" s="37" t="n"/>
      <c r="F136" s="37" t="n"/>
      <c r="G136" s="37" t="n"/>
      <c r="H136" s="37" t="n"/>
      <c r="I136" s="37" t="n"/>
      <c r="J136" s="36" t="n"/>
      <c r="K136" s="36" t="n"/>
      <c r="L136" s="36" t="n"/>
      <c r="M136" s="36" t="n"/>
      <c r="N136" s="38" t="n"/>
      <c r="O136" s="39">
        <f>IF(OR(N136="",J136=""),"",N136*J136)</f>
        <v/>
      </c>
      <c r="P136" s="40" t="n"/>
      <c r="Q136" s="41">
        <f>IF(OR(P136="",Y136="발주완료",Y136="취소"),"",TODAY()+P136)</f>
        <v/>
      </c>
      <c r="R136" s="35">
        <f>IF(OR(Q136="",NOT(ISNUMBER($J$2))),"",IF(Q136&lt;=$J$2,"가능","초과 "&amp;(Q136-$J$2)&amp;"일"))</f>
        <v/>
      </c>
      <c r="S136" s="36" t="n"/>
      <c r="T136" s="36" t="n"/>
      <c r="U136" s="36" t="n"/>
      <c r="V136" s="43" t="n"/>
      <c r="W136" s="41">
        <f>IF(OR(V136="",U136=""),"",V136+U136)</f>
        <v/>
      </c>
      <c r="X136" s="37" t="n"/>
      <c r="Y136" s="36" t="n"/>
      <c r="Z136" s="37" t="n"/>
    </row>
    <row r="137">
      <c r="A137" s="35">
        <f>IF(E137="","",ROW()-5)</f>
        <v/>
      </c>
      <c r="B137" s="36" t="n"/>
      <c r="C137" s="36" t="n"/>
      <c r="D137" s="36" t="n"/>
      <c r="E137" s="37" t="n"/>
      <c r="F137" s="37" t="n"/>
      <c r="G137" s="37" t="n"/>
      <c r="H137" s="37" t="n"/>
      <c r="I137" s="37" t="n"/>
      <c r="J137" s="36" t="n"/>
      <c r="K137" s="36" t="n"/>
      <c r="L137" s="36" t="n"/>
      <c r="M137" s="36" t="n"/>
      <c r="N137" s="38" t="n"/>
      <c r="O137" s="39">
        <f>IF(OR(N137="",J137=""),"",N137*J137)</f>
        <v/>
      </c>
      <c r="P137" s="40" t="n"/>
      <c r="Q137" s="41">
        <f>IF(OR(P137="",Y137="발주완료",Y137="취소"),"",TODAY()+P137)</f>
        <v/>
      </c>
      <c r="R137" s="35">
        <f>IF(OR(Q137="",NOT(ISNUMBER($J$2))),"",IF(Q137&lt;=$J$2,"가능","초과 "&amp;(Q137-$J$2)&amp;"일"))</f>
        <v/>
      </c>
      <c r="S137" s="36" t="n"/>
      <c r="T137" s="36" t="n"/>
      <c r="U137" s="36" t="n"/>
      <c r="V137" s="43" t="n"/>
      <c r="W137" s="41">
        <f>IF(OR(V137="",U137=""),"",V137+U137)</f>
        <v/>
      </c>
      <c r="X137" s="37" t="n"/>
      <c r="Y137" s="36" t="n"/>
      <c r="Z137" s="37" t="n"/>
    </row>
    <row r="138">
      <c r="A138" s="35">
        <f>IF(E138="","",ROW()-5)</f>
        <v/>
      </c>
      <c r="B138" s="36" t="n"/>
      <c r="C138" s="36" t="n"/>
      <c r="D138" s="36" t="n"/>
      <c r="E138" s="37" t="n"/>
      <c r="F138" s="37" t="n"/>
      <c r="G138" s="37" t="n"/>
      <c r="H138" s="37" t="n"/>
      <c r="I138" s="37" t="n"/>
      <c r="J138" s="36" t="n"/>
      <c r="K138" s="36" t="n"/>
      <c r="L138" s="36" t="n"/>
      <c r="M138" s="36" t="n"/>
      <c r="N138" s="38" t="n"/>
      <c r="O138" s="39">
        <f>IF(OR(N138="",J138=""),"",N138*J138)</f>
        <v/>
      </c>
      <c r="P138" s="40" t="n"/>
      <c r="Q138" s="41">
        <f>IF(OR(P138="",Y138="발주완료",Y138="취소"),"",TODAY()+P138)</f>
        <v/>
      </c>
      <c r="R138" s="35">
        <f>IF(OR(Q138="",NOT(ISNUMBER($J$2))),"",IF(Q138&lt;=$J$2,"가능","초과 "&amp;(Q138-$J$2)&amp;"일"))</f>
        <v/>
      </c>
      <c r="S138" s="36" t="n"/>
      <c r="T138" s="36" t="n"/>
      <c r="U138" s="36" t="n"/>
      <c r="V138" s="43" t="n"/>
      <c r="W138" s="41">
        <f>IF(OR(V138="",U138=""),"",V138+U138)</f>
        <v/>
      </c>
      <c r="X138" s="37" t="n"/>
      <c r="Y138" s="36" t="n"/>
      <c r="Z138" s="37" t="n"/>
    </row>
    <row r="139">
      <c r="A139" s="35">
        <f>IF(E139="","",ROW()-5)</f>
        <v/>
      </c>
      <c r="B139" s="36" t="n"/>
      <c r="C139" s="36" t="n"/>
      <c r="D139" s="36" t="n"/>
      <c r="E139" s="37" t="n"/>
      <c r="F139" s="37" t="n"/>
      <c r="G139" s="37" t="n"/>
      <c r="H139" s="37" t="n"/>
      <c r="I139" s="37" t="n"/>
      <c r="J139" s="36" t="n"/>
      <c r="K139" s="36" t="n"/>
      <c r="L139" s="36" t="n"/>
      <c r="M139" s="36" t="n"/>
      <c r="N139" s="38" t="n"/>
      <c r="O139" s="39">
        <f>IF(OR(N139="",J139=""),"",N139*J139)</f>
        <v/>
      </c>
      <c r="P139" s="40" t="n"/>
      <c r="Q139" s="41">
        <f>IF(OR(P139="",Y139="발주완료",Y139="취소"),"",TODAY()+P139)</f>
        <v/>
      </c>
      <c r="R139" s="35">
        <f>IF(OR(Q139="",NOT(ISNUMBER($J$2))),"",IF(Q139&lt;=$J$2,"가능","초과 "&amp;(Q139-$J$2)&amp;"일"))</f>
        <v/>
      </c>
      <c r="S139" s="36" t="n"/>
      <c r="T139" s="36" t="n"/>
      <c r="U139" s="36" t="n"/>
      <c r="V139" s="43" t="n"/>
      <c r="W139" s="41">
        <f>IF(OR(V139="",U139=""),"",V139+U139)</f>
        <v/>
      </c>
      <c r="X139" s="37" t="n"/>
      <c r="Y139" s="36" t="n"/>
      <c r="Z139" s="37" t="n"/>
    </row>
    <row r="140">
      <c r="A140" s="35">
        <f>IF(E140="","",ROW()-5)</f>
        <v/>
      </c>
      <c r="B140" s="36" t="n"/>
      <c r="C140" s="36" t="n"/>
      <c r="D140" s="36" t="n"/>
      <c r="E140" s="37" t="n"/>
      <c r="F140" s="37" t="n"/>
      <c r="G140" s="37" t="n"/>
      <c r="H140" s="37" t="n"/>
      <c r="I140" s="37" t="n"/>
      <c r="J140" s="36" t="n"/>
      <c r="K140" s="36" t="n"/>
      <c r="L140" s="36" t="n"/>
      <c r="M140" s="36" t="n"/>
      <c r="N140" s="38" t="n"/>
      <c r="O140" s="39">
        <f>IF(OR(N140="",J140=""),"",N140*J140)</f>
        <v/>
      </c>
      <c r="P140" s="40" t="n"/>
      <c r="Q140" s="41">
        <f>IF(OR(P140="",Y140="발주완료",Y140="취소"),"",TODAY()+P140)</f>
        <v/>
      </c>
      <c r="R140" s="35">
        <f>IF(OR(Q140="",NOT(ISNUMBER($J$2))),"",IF(Q140&lt;=$J$2,"가능","초과 "&amp;(Q140-$J$2)&amp;"일"))</f>
        <v/>
      </c>
      <c r="S140" s="36" t="n"/>
      <c r="T140" s="36" t="n"/>
      <c r="U140" s="36" t="n"/>
      <c r="V140" s="43" t="n"/>
      <c r="W140" s="41">
        <f>IF(OR(V140="",U140=""),"",V140+U140)</f>
        <v/>
      </c>
      <c r="X140" s="37" t="n"/>
      <c r="Y140" s="36" t="n"/>
      <c r="Z140" s="37" t="n"/>
    </row>
    <row r="141">
      <c r="A141" s="35">
        <f>IF(E141="","",ROW()-5)</f>
        <v/>
      </c>
      <c r="B141" s="36" t="n"/>
      <c r="C141" s="36" t="n"/>
      <c r="D141" s="36" t="n"/>
      <c r="E141" s="37" t="n"/>
      <c r="F141" s="37" t="n"/>
      <c r="G141" s="37" t="n"/>
      <c r="H141" s="37" t="n"/>
      <c r="I141" s="37" t="n"/>
      <c r="J141" s="36" t="n"/>
      <c r="K141" s="36" t="n"/>
      <c r="L141" s="36" t="n"/>
      <c r="M141" s="36" t="n"/>
      <c r="N141" s="38" t="n"/>
      <c r="O141" s="39">
        <f>IF(OR(N141="",J141=""),"",N141*J141)</f>
        <v/>
      </c>
      <c r="P141" s="40" t="n"/>
      <c r="Q141" s="41">
        <f>IF(OR(P141="",Y141="발주완료",Y141="취소"),"",TODAY()+P141)</f>
        <v/>
      </c>
      <c r="R141" s="35">
        <f>IF(OR(Q141="",NOT(ISNUMBER($J$2))),"",IF(Q141&lt;=$J$2,"가능","초과 "&amp;(Q141-$J$2)&amp;"일"))</f>
        <v/>
      </c>
      <c r="S141" s="36" t="n"/>
      <c r="T141" s="36" t="n"/>
      <c r="U141" s="36" t="n"/>
      <c r="V141" s="43" t="n"/>
      <c r="W141" s="41">
        <f>IF(OR(V141="",U141=""),"",V141+U141)</f>
        <v/>
      </c>
      <c r="X141" s="37" t="n"/>
      <c r="Y141" s="36" t="n"/>
      <c r="Z141" s="37" t="n"/>
    </row>
    <row r="142">
      <c r="A142" s="35">
        <f>IF(E142="","",ROW()-5)</f>
        <v/>
      </c>
      <c r="B142" s="36" t="n"/>
      <c r="C142" s="36" t="n"/>
      <c r="D142" s="36" t="n"/>
      <c r="E142" s="37" t="n"/>
      <c r="F142" s="37" t="n"/>
      <c r="G142" s="37" t="n"/>
      <c r="H142" s="37" t="n"/>
      <c r="I142" s="37" t="n"/>
      <c r="J142" s="36" t="n"/>
      <c r="K142" s="36" t="n"/>
      <c r="L142" s="36" t="n"/>
      <c r="M142" s="36" t="n"/>
      <c r="N142" s="38" t="n"/>
      <c r="O142" s="39">
        <f>IF(OR(N142="",J142=""),"",N142*J142)</f>
        <v/>
      </c>
      <c r="P142" s="40" t="n"/>
      <c r="Q142" s="41">
        <f>IF(OR(P142="",Y142="발주완료",Y142="취소"),"",TODAY()+P142)</f>
        <v/>
      </c>
      <c r="R142" s="35">
        <f>IF(OR(Q142="",NOT(ISNUMBER($J$2))),"",IF(Q142&lt;=$J$2,"가능","초과 "&amp;(Q142-$J$2)&amp;"일"))</f>
        <v/>
      </c>
      <c r="S142" s="36" t="n"/>
      <c r="T142" s="36" t="n"/>
      <c r="U142" s="36" t="n"/>
      <c r="V142" s="43" t="n"/>
      <c r="W142" s="41">
        <f>IF(OR(V142="",U142=""),"",V142+U142)</f>
        <v/>
      </c>
      <c r="X142" s="37" t="n"/>
      <c r="Y142" s="36" t="n"/>
      <c r="Z142" s="37" t="n"/>
    </row>
    <row r="143">
      <c r="A143" s="35">
        <f>IF(E143="","",ROW()-5)</f>
        <v/>
      </c>
      <c r="B143" s="36" t="n"/>
      <c r="C143" s="36" t="n"/>
      <c r="D143" s="36" t="n"/>
      <c r="E143" s="37" t="n"/>
      <c r="F143" s="37" t="n"/>
      <c r="G143" s="37" t="n"/>
      <c r="H143" s="37" t="n"/>
      <c r="I143" s="37" t="n"/>
      <c r="J143" s="36" t="n"/>
      <c r="K143" s="36" t="n"/>
      <c r="L143" s="36" t="n"/>
      <c r="M143" s="36" t="n"/>
      <c r="N143" s="38" t="n"/>
      <c r="O143" s="39">
        <f>IF(OR(N143="",J143=""),"",N143*J143)</f>
        <v/>
      </c>
      <c r="P143" s="40" t="n"/>
      <c r="Q143" s="41">
        <f>IF(OR(P143="",Y143="발주완료",Y143="취소"),"",TODAY()+P143)</f>
        <v/>
      </c>
      <c r="R143" s="35">
        <f>IF(OR(Q143="",NOT(ISNUMBER($J$2))),"",IF(Q143&lt;=$J$2,"가능","초과 "&amp;(Q143-$J$2)&amp;"일"))</f>
        <v/>
      </c>
      <c r="S143" s="36" t="n"/>
      <c r="T143" s="36" t="n"/>
      <c r="U143" s="36" t="n"/>
      <c r="V143" s="43" t="n"/>
      <c r="W143" s="41">
        <f>IF(OR(V143="",U143=""),"",V143+U143)</f>
        <v/>
      </c>
      <c r="X143" s="37" t="n"/>
      <c r="Y143" s="36" t="n"/>
      <c r="Z143" s="37" t="n"/>
    </row>
    <row r="144">
      <c r="A144" s="35">
        <f>IF(E144="","",ROW()-5)</f>
        <v/>
      </c>
      <c r="B144" s="36" t="n"/>
      <c r="C144" s="36" t="n"/>
      <c r="D144" s="36" t="n"/>
      <c r="E144" s="37" t="n"/>
      <c r="F144" s="37" t="n"/>
      <c r="G144" s="37" t="n"/>
      <c r="H144" s="37" t="n"/>
      <c r="I144" s="37" t="n"/>
      <c r="J144" s="36" t="n"/>
      <c r="K144" s="36" t="n"/>
      <c r="L144" s="36" t="n"/>
      <c r="M144" s="36" t="n"/>
      <c r="N144" s="38" t="n"/>
      <c r="O144" s="39">
        <f>IF(OR(N144="",J144=""),"",N144*J144)</f>
        <v/>
      </c>
      <c r="P144" s="40" t="n"/>
      <c r="Q144" s="41">
        <f>IF(OR(P144="",Y144="발주완료",Y144="취소"),"",TODAY()+P144)</f>
        <v/>
      </c>
      <c r="R144" s="35">
        <f>IF(OR(Q144="",NOT(ISNUMBER($J$2))),"",IF(Q144&lt;=$J$2,"가능","초과 "&amp;(Q144-$J$2)&amp;"일"))</f>
        <v/>
      </c>
      <c r="S144" s="36" t="n"/>
      <c r="T144" s="36" t="n"/>
      <c r="U144" s="36" t="n"/>
      <c r="V144" s="43" t="n"/>
      <c r="W144" s="41">
        <f>IF(OR(V144="",U144=""),"",V144+U144)</f>
        <v/>
      </c>
      <c r="X144" s="37" t="n"/>
      <c r="Y144" s="36" t="n"/>
      <c r="Z144" s="37" t="n"/>
    </row>
    <row r="145">
      <c r="A145" s="35">
        <f>IF(E145="","",ROW()-5)</f>
        <v/>
      </c>
      <c r="B145" s="36" t="n"/>
      <c r="C145" s="36" t="n"/>
      <c r="D145" s="36" t="n"/>
      <c r="E145" s="37" t="n"/>
      <c r="F145" s="37" t="n"/>
      <c r="G145" s="37" t="n"/>
      <c r="H145" s="37" t="n"/>
      <c r="I145" s="37" t="n"/>
      <c r="J145" s="36" t="n"/>
      <c r="K145" s="36" t="n"/>
      <c r="L145" s="36" t="n"/>
      <c r="M145" s="36" t="n"/>
      <c r="N145" s="38" t="n"/>
      <c r="O145" s="39">
        <f>IF(OR(N145="",J145=""),"",N145*J145)</f>
        <v/>
      </c>
      <c r="P145" s="40" t="n"/>
      <c r="Q145" s="41">
        <f>IF(OR(P145="",Y145="발주완료",Y145="취소"),"",TODAY()+P145)</f>
        <v/>
      </c>
      <c r="R145" s="35">
        <f>IF(OR(Q145="",NOT(ISNUMBER($J$2))),"",IF(Q145&lt;=$J$2,"가능","초과 "&amp;(Q145-$J$2)&amp;"일"))</f>
        <v/>
      </c>
      <c r="S145" s="36" t="n"/>
      <c r="T145" s="36" t="n"/>
      <c r="U145" s="36" t="n"/>
      <c r="V145" s="43" t="n"/>
      <c r="W145" s="41">
        <f>IF(OR(V145="",U145=""),"",V145+U145)</f>
        <v/>
      </c>
      <c r="X145" s="37" t="n"/>
      <c r="Y145" s="36" t="n"/>
      <c r="Z145" s="37" t="n"/>
    </row>
    <row r="146">
      <c r="A146" s="35">
        <f>IF(E146="","",ROW()-5)</f>
        <v/>
      </c>
      <c r="B146" s="36" t="n"/>
      <c r="C146" s="36" t="n"/>
      <c r="D146" s="36" t="n"/>
      <c r="E146" s="37" t="n"/>
      <c r="F146" s="37" t="n"/>
      <c r="G146" s="37" t="n"/>
      <c r="H146" s="37" t="n"/>
      <c r="I146" s="37" t="n"/>
      <c r="J146" s="36" t="n"/>
      <c r="K146" s="36" t="n"/>
      <c r="L146" s="36" t="n"/>
      <c r="M146" s="36" t="n"/>
      <c r="N146" s="38" t="n"/>
      <c r="O146" s="39">
        <f>IF(OR(N146="",J146=""),"",N146*J146)</f>
        <v/>
      </c>
      <c r="P146" s="40" t="n"/>
      <c r="Q146" s="41">
        <f>IF(OR(P146="",Y146="발주완료",Y146="취소"),"",TODAY()+P146)</f>
        <v/>
      </c>
      <c r="R146" s="35">
        <f>IF(OR(Q146="",NOT(ISNUMBER($J$2))),"",IF(Q146&lt;=$J$2,"가능","초과 "&amp;(Q146-$J$2)&amp;"일"))</f>
        <v/>
      </c>
      <c r="S146" s="36" t="n"/>
      <c r="T146" s="36" t="n"/>
      <c r="U146" s="36" t="n"/>
      <c r="V146" s="43" t="n"/>
      <c r="W146" s="41">
        <f>IF(OR(V146="",U146=""),"",V146+U146)</f>
        <v/>
      </c>
      <c r="X146" s="37" t="n"/>
      <c r="Y146" s="36" t="n"/>
      <c r="Z146" s="37" t="n"/>
    </row>
    <row r="147">
      <c r="A147" s="35">
        <f>IF(E147="","",ROW()-5)</f>
        <v/>
      </c>
      <c r="B147" s="36" t="n"/>
      <c r="C147" s="36" t="n"/>
      <c r="D147" s="36" t="n"/>
      <c r="E147" s="37" t="n"/>
      <c r="F147" s="37" t="n"/>
      <c r="G147" s="37" t="n"/>
      <c r="H147" s="37" t="n"/>
      <c r="I147" s="37" t="n"/>
      <c r="J147" s="36" t="n"/>
      <c r="K147" s="36" t="n"/>
      <c r="L147" s="36" t="n"/>
      <c r="M147" s="36" t="n"/>
      <c r="N147" s="38" t="n"/>
      <c r="O147" s="39">
        <f>IF(OR(N147="",J147=""),"",N147*J147)</f>
        <v/>
      </c>
      <c r="P147" s="40" t="n"/>
      <c r="Q147" s="41">
        <f>IF(OR(P147="",Y147="발주완료",Y147="취소"),"",TODAY()+P147)</f>
        <v/>
      </c>
      <c r="R147" s="35">
        <f>IF(OR(Q147="",NOT(ISNUMBER($J$2))),"",IF(Q147&lt;=$J$2,"가능","초과 "&amp;(Q147-$J$2)&amp;"일"))</f>
        <v/>
      </c>
      <c r="S147" s="36" t="n"/>
      <c r="T147" s="36" t="n"/>
      <c r="U147" s="36" t="n"/>
      <c r="V147" s="43" t="n"/>
      <c r="W147" s="41">
        <f>IF(OR(V147="",U147=""),"",V147+U147)</f>
        <v/>
      </c>
      <c r="X147" s="37" t="n"/>
      <c r="Y147" s="36" t="n"/>
      <c r="Z147" s="37" t="n"/>
    </row>
    <row r="148">
      <c r="A148" s="35">
        <f>IF(E148="","",ROW()-5)</f>
        <v/>
      </c>
      <c r="B148" s="36" t="n"/>
      <c r="C148" s="36" t="n"/>
      <c r="D148" s="36" t="n"/>
      <c r="E148" s="37" t="n"/>
      <c r="F148" s="37" t="n"/>
      <c r="G148" s="37" t="n"/>
      <c r="H148" s="37" t="n"/>
      <c r="I148" s="37" t="n"/>
      <c r="J148" s="36" t="n"/>
      <c r="K148" s="36" t="n"/>
      <c r="L148" s="36" t="n"/>
      <c r="M148" s="36" t="n"/>
      <c r="N148" s="38" t="n"/>
      <c r="O148" s="39">
        <f>IF(OR(N148="",J148=""),"",N148*J148)</f>
        <v/>
      </c>
      <c r="P148" s="40" t="n"/>
      <c r="Q148" s="41">
        <f>IF(OR(P148="",Y148="발주완료",Y148="취소"),"",TODAY()+P148)</f>
        <v/>
      </c>
      <c r="R148" s="35">
        <f>IF(OR(Q148="",NOT(ISNUMBER($J$2))),"",IF(Q148&lt;=$J$2,"가능","초과 "&amp;(Q148-$J$2)&amp;"일"))</f>
        <v/>
      </c>
      <c r="S148" s="36" t="n"/>
      <c r="T148" s="36" t="n"/>
      <c r="U148" s="36" t="n"/>
      <c r="V148" s="43" t="n"/>
      <c r="W148" s="41">
        <f>IF(OR(V148="",U148=""),"",V148+U148)</f>
        <v/>
      </c>
      <c r="X148" s="37" t="n"/>
      <c r="Y148" s="36" t="n"/>
      <c r="Z148" s="37" t="n"/>
    </row>
    <row r="149">
      <c r="A149" s="35">
        <f>IF(E149="","",ROW()-5)</f>
        <v/>
      </c>
      <c r="B149" s="36" t="n"/>
      <c r="C149" s="36" t="n"/>
      <c r="D149" s="36" t="n"/>
      <c r="E149" s="37" t="n"/>
      <c r="F149" s="37" t="n"/>
      <c r="G149" s="37" t="n"/>
      <c r="H149" s="37" t="n"/>
      <c r="I149" s="37" t="n"/>
      <c r="J149" s="36" t="n"/>
      <c r="K149" s="36" t="n"/>
      <c r="L149" s="36" t="n"/>
      <c r="M149" s="36" t="n"/>
      <c r="N149" s="38" t="n"/>
      <c r="O149" s="39">
        <f>IF(OR(N149="",J149=""),"",N149*J149)</f>
        <v/>
      </c>
      <c r="P149" s="40" t="n"/>
      <c r="Q149" s="41">
        <f>IF(OR(P149="",Y149="발주완료",Y149="취소"),"",TODAY()+P149)</f>
        <v/>
      </c>
      <c r="R149" s="35">
        <f>IF(OR(Q149="",NOT(ISNUMBER($J$2))),"",IF(Q149&lt;=$J$2,"가능","초과 "&amp;(Q149-$J$2)&amp;"일"))</f>
        <v/>
      </c>
      <c r="S149" s="36" t="n"/>
      <c r="T149" s="36" t="n"/>
      <c r="U149" s="36" t="n"/>
      <c r="V149" s="43" t="n"/>
      <c r="W149" s="41">
        <f>IF(OR(V149="",U149=""),"",V149+U149)</f>
        <v/>
      </c>
      <c r="X149" s="37" t="n"/>
      <c r="Y149" s="36" t="n"/>
      <c r="Z149" s="37" t="n"/>
    </row>
    <row r="150">
      <c r="A150" s="35">
        <f>IF(E150="","",ROW()-5)</f>
        <v/>
      </c>
      <c r="B150" s="36" t="n"/>
      <c r="C150" s="36" t="n"/>
      <c r="D150" s="36" t="n"/>
      <c r="E150" s="37" t="n"/>
      <c r="F150" s="37" t="n"/>
      <c r="G150" s="37" t="n"/>
      <c r="H150" s="37" t="n"/>
      <c r="I150" s="37" t="n"/>
      <c r="J150" s="36" t="n"/>
      <c r="K150" s="36" t="n"/>
      <c r="L150" s="36" t="n"/>
      <c r="M150" s="36" t="n"/>
      <c r="N150" s="38" t="n"/>
      <c r="O150" s="39">
        <f>IF(OR(N150="",J150=""),"",N150*J150)</f>
        <v/>
      </c>
      <c r="P150" s="40" t="n"/>
      <c r="Q150" s="41">
        <f>IF(OR(P150="",Y150="발주완료",Y150="취소"),"",TODAY()+P150)</f>
        <v/>
      </c>
      <c r="R150" s="35">
        <f>IF(OR(Q150="",NOT(ISNUMBER($J$2))),"",IF(Q150&lt;=$J$2,"가능","초과 "&amp;(Q150-$J$2)&amp;"일"))</f>
        <v/>
      </c>
      <c r="S150" s="36" t="n"/>
      <c r="T150" s="36" t="n"/>
      <c r="U150" s="36" t="n"/>
      <c r="V150" s="43" t="n"/>
      <c r="W150" s="41">
        <f>IF(OR(V150="",U150=""),"",V150+U150)</f>
        <v/>
      </c>
      <c r="X150" s="37" t="n"/>
      <c r="Y150" s="36" t="n"/>
      <c r="Z150" s="37" t="n"/>
    </row>
    <row r="151">
      <c r="A151" s="35">
        <f>IF(E151="","",ROW()-5)</f>
        <v/>
      </c>
      <c r="B151" s="36" t="n"/>
      <c r="C151" s="36" t="n"/>
      <c r="D151" s="36" t="n"/>
      <c r="E151" s="37" t="n"/>
      <c r="F151" s="37" t="n"/>
      <c r="G151" s="37" t="n"/>
      <c r="H151" s="37" t="n"/>
      <c r="I151" s="37" t="n"/>
      <c r="J151" s="36" t="n"/>
      <c r="K151" s="36" t="n"/>
      <c r="L151" s="36" t="n"/>
      <c r="M151" s="36" t="n"/>
      <c r="N151" s="38" t="n"/>
      <c r="O151" s="39">
        <f>IF(OR(N151="",J151=""),"",N151*J151)</f>
        <v/>
      </c>
      <c r="P151" s="40" t="n"/>
      <c r="Q151" s="41">
        <f>IF(OR(P151="",Y151="발주완료",Y151="취소"),"",TODAY()+P151)</f>
        <v/>
      </c>
      <c r="R151" s="35">
        <f>IF(OR(Q151="",NOT(ISNUMBER($J$2))),"",IF(Q151&lt;=$J$2,"가능","초과 "&amp;(Q151-$J$2)&amp;"일"))</f>
        <v/>
      </c>
      <c r="S151" s="36" t="n"/>
      <c r="T151" s="36" t="n"/>
      <c r="U151" s="36" t="n"/>
      <c r="V151" s="43" t="n"/>
      <c r="W151" s="41">
        <f>IF(OR(V151="",U151=""),"",V151+U151)</f>
        <v/>
      </c>
      <c r="X151" s="37" t="n"/>
      <c r="Y151" s="36" t="n"/>
      <c r="Z151" s="37" t="n"/>
    </row>
    <row r="152">
      <c r="A152" s="35">
        <f>IF(E152="","",ROW()-5)</f>
        <v/>
      </c>
      <c r="B152" s="36" t="n"/>
      <c r="C152" s="36" t="n"/>
      <c r="D152" s="36" t="n"/>
      <c r="E152" s="37" t="n"/>
      <c r="F152" s="37" t="n"/>
      <c r="G152" s="37" t="n"/>
      <c r="H152" s="37" t="n"/>
      <c r="I152" s="37" t="n"/>
      <c r="J152" s="36" t="n"/>
      <c r="K152" s="36" t="n"/>
      <c r="L152" s="36" t="n"/>
      <c r="M152" s="36" t="n"/>
      <c r="N152" s="38" t="n"/>
      <c r="O152" s="39">
        <f>IF(OR(N152="",J152=""),"",N152*J152)</f>
        <v/>
      </c>
      <c r="P152" s="40" t="n"/>
      <c r="Q152" s="41">
        <f>IF(OR(P152="",Y152="발주완료",Y152="취소"),"",TODAY()+P152)</f>
        <v/>
      </c>
      <c r="R152" s="35">
        <f>IF(OR(Q152="",NOT(ISNUMBER($J$2))),"",IF(Q152&lt;=$J$2,"가능","초과 "&amp;(Q152-$J$2)&amp;"일"))</f>
        <v/>
      </c>
      <c r="S152" s="36" t="n"/>
      <c r="T152" s="36" t="n"/>
      <c r="U152" s="36" t="n"/>
      <c r="V152" s="43" t="n"/>
      <c r="W152" s="41">
        <f>IF(OR(V152="",U152=""),"",V152+U152)</f>
        <v/>
      </c>
      <c r="X152" s="37" t="n"/>
      <c r="Y152" s="36" t="n"/>
      <c r="Z152" s="37" t="n"/>
    </row>
    <row r="153">
      <c r="A153" s="35">
        <f>IF(E153="","",ROW()-5)</f>
        <v/>
      </c>
      <c r="B153" s="36" t="n"/>
      <c r="C153" s="36" t="n"/>
      <c r="D153" s="36" t="n"/>
      <c r="E153" s="37" t="n"/>
      <c r="F153" s="37" t="n"/>
      <c r="G153" s="37" t="n"/>
      <c r="H153" s="37" t="n"/>
      <c r="I153" s="37" t="n"/>
      <c r="J153" s="36" t="n"/>
      <c r="K153" s="36" t="n"/>
      <c r="L153" s="36" t="n"/>
      <c r="M153" s="36" t="n"/>
      <c r="N153" s="38" t="n"/>
      <c r="O153" s="39">
        <f>IF(OR(N153="",J153=""),"",N153*J153)</f>
        <v/>
      </c>
      <c r="P153" s="40" t="n"/>
      <c r="Q153" s="41">
        <f>IF(OR(P153="",Y153="발주완료",Y153="취소"),"",TODAY()+P153)</f>
        <v/>
      </c>
      <c r="R153" s="35">
        <f>IF(OR(Q153="",NOT(ISNUMBER($J$2))),"",IF(Q153&lt;=$J$2,"가능","초과 "&amp;(Q153-$J$2)&amp;"일"))</f>
        <v/>
      </c>
      <c r="S153" s="36" t="n"/>
      <c r="T153" s="36" t="n"/>
      <c r="U153" s="36" t="n"/>
      <c r="V153" s="43" t="n"/>
      <c r="W153" s="41">
        <f>IF(OR(V153="",U153=""),"",V153+U153)</f>
        <v/>
      </c>
      <c r="X153" s="37" t="n"/>
      <c r="Y153" s="36" t="n"/>
      <c r="Z153" s="37" t="n"/>
    </row>
    <row r="154">
      <c r="A154" s="35">
        <f>IF(E154="","",ROW()-5)</f>
        <v/>
      </c>
      <c r="B154" s="36" t="n"/>
      <c r="C154" s="36" t="n"/>
      <c r="D154" s="36" t="n"/>
      <c r="E154" s="37" t="n"/>
      <c r="F154" s="37" t="n"/>
      <c r="G154" s="37" t="n"/>
      <c r="H154" s="37" t="n"/>
      <c r="I154" s="37" t="n"/>
      <c r="J154" s="36" t="n"/>
      <c r="K154" s="36" t="n"/>
      <c r="L154" s="36" t="n"/>
      <c r="M154" s="36" t="n"/>
      <c r="N154" s="38" t="n"/>
      <c r="O154" s="39">
        <f>IF(OR(N154="",J154=""),"",N154*J154)</f>
        <v/>
      </c>
      <c r="P154" s="40" t="n"/>
      <c r="Q154" s="41">
        <f>IF(OR(P154="",Y154="발주완료",Y154="취소"),"",TODAY()+P154)</f>
        <v/>
      </c>
      <c r="R154" s="35">
        <f>IF(OR(Q154="",NOT(ISNUMBER($J$2))),"",IF(Q154&lt;=$J$2,"가능","초과 "&amp;(Q154-$J$2)&amp;"일"))</f>
        <v/>
      </c>
      <c r="S154" s="36" t="n"/>
      <c r="T154" s="36" t="n"/>
      <c r="U154" s="36" t="n"/>
      <c r="V154" s="43" t="n"/>
      <c r="W154" s="41">
        <f>IF(OR(V154="",U154=""),"",V154+U154)</f>
        <v/>
      </c>
      <c r="X154" s="37" t="n"/>
      <c r="Y154" s="36" t="n"/>
      <c r="Z154" s="37" t="n"/>
    </row>
    <row r="155">
      <c r="A155" s="35">
        <f>IF(E155="","",ROW()-5)</f>
        <v/>
      </c>
      <c r="B155" s="36" t="n"/>
      <c r="C155" s="36" t="n"/>
      <c r="D155" s="36" t="n"/>
      <c r="E155" s="37" t="n"/>
      <c r="F155" s="37" t="n"/>
      <c r="G155" s="37" t="n"/>
      <c r="H155" s="37" t="n"/>
      <c r="I155" s="37" t="n"/>
      <c r="J155" s="36" t="n"/>
      <c r="K155" s="36" t="n"/>
      <c r="L155" s="36" t="n"/>
      <c r="M155" s="36" t="n"/>
      <c r="N155" s="38" t="n"/>
      <c r="O155" s="39">
        <f>IF(OR(N155="",J155=""),"",N155*J155)</f>
        <v/>
      </c>
      <c r="P155" s="40" t="n"/>
      <c r="Q155" s="41">
        <f>IF(OR(P155="",Y155="발주완료",Y155="취소"),"",TODAY()+P155)</f>
        <v/>
      </c>
      <c r="R155" s="35">
        <f>IF(OR(Q155="",NOT(ISNUMBER($J$2))),"",IF(Q155&lt;=$J$2,"가능","초과 "&amp;(Q155-$J$2)&amp;"일"))</f>
        <v/>
      </c>
      <c r="S155" s="36" t="n"/>
      <c r="T155" s="36" t="n"/>
      <c r="U155" s="36" t="n"/>
      <c r="V155" s="43" t="n"/>
      <c r="W155" s="41">
        <f>IF(OR(V155="",U155=""),"",V155+U155)</f>
        <v/>
      </c>
      <c r="X155" s="37" t="n"/>
      <c r="Y155" s="36" t="n"/>
      <c r="Z155" s="37" t="n"/>
    </row>
    <row r="156">
      <c r="A156" s="35">
        <f>IF(E156="","",ROW()-5)</f>
        <v/>
      </c>
      <c r="B156" s="36" t="n"/>
      <c r="C156" s="36" t="n"/>
      <c r="D156" s="36" t="n"/>
      <c r="E156" s="37" t="n"/>
      <c r="F156" s="37" t="n"/>
      <c r="G156" s="37" t="n"/>
      <c r="H156" s="37" t="n"/>
      <c r="I156" s="37" t="n"/>
      <c r="J156" s="36" t="n"/>
      <c r="K156" s="36" t="n"/>
      <c r="L156" s="36" t="n"/>
      <c r="M156" s="36" t="n"/>
      <c r="N156" s="38" t="n"/>
      <c r="O156" s="39">
        <f>IF(OR(N156="",J156=""),"",N156*J156)</f>
        <v/>
      </c>
      <c r="P156" s="40" t="n"/>
      <c r="Q156" s="41">
        <f>IF(OR(P156="",Y156="발주완료",Y156="취소"),"",TODAY()+P156)</f>
        <v/>
      </c>
      <c r="R156" s="35">
        <f>IF(OR(Q156="",NOT(ISNUMBER($J$2))),"",IF(Q156&lt;=$J$2,"가능","초과 "&amp;(Q156-$J$2)&amp;"일"))</f>
        <v/>
      </c>
      <c r="S156" s="36" t="n"/>
      <c r="T156" s="36" t="n"/>
      <c r="U156" s="36" t="n"/>
      <c r="V156" s="43" t="n"/>
      <c r="W156" s="41">
        <f>IF(OR(V156="",U156=""),"",V156+U156)</f>
        <v/>
      </c>
      <c r="X156" s="37" t="n"/>
      <c r="Y156" s="36" t="n"/>
      <c r="Z156" s="37" t="n"/>
    </row>
    <row r="157">
      <c r="A157" s="35">
        <f>IF(E157="","",ROW()-5)</f>
        <v/>
      </c>
      <c r="B157" s="36" t="n"/>
      <c r="C157" s="36" t="n"/>
      <c r="D157" s="36" t="n"/>
      <c r="E157" s="37" t="n"/>
      <c r="F157" s="37" t="n"/>
      <c r="G157" s="37" t="n"/>
      <c r="H157" s="37" t="n"/>
      <c r="I157" s="37" t="n"/>
      <c r="J157" s="36" t="n"/>
      <c r="K157" s="36" t="n"/>
      <c r="L157" s="36" t="n"/>
      <c r="M157" s="36" t="n"/>
      <c r="N157" s="38" t="n"/>
      <c r="O157" s="39">
        <f>IF(OR(N157="",J157=""),"",N157*J157)</f>
        <v/>
      </c>
      <c r="P157" s="40" t="n"/>
      <c r="Q157" s="41">
        <f>IF(OR(P157="",Y157="발주완료",Y157="취소"),"",TODAY()+P157)</f>
        <v/>
      </c>
      <c r="R157" s="35">
        <f>IF(OR(Q157="",NOT(ISNUMBER($J$2))),"",IF(Q157&lt;=$J$2,"가능","초과 "&amp;(Q157-$J$2)&amp;"일"))</f>
        <v/>
      </c>
      <c r="S157" s="36" t="n"/>
      <c r="T157" s="36" t="n"/>
      <c r="U157" s="36" t="n"/>
      <c r="V157" s="43" t="n"/>
      <c r="W157" s="41">
        <f>IF(OR(V157="",U157=""),"",V157+U157)</f>
        <v/>
      </c>
      <c r="X157" s="37" t="n"/>
      <c r="Y157" s="36" t="n"/>
      <c r="Z157" s="37" t="n"/>
    </row>
    <row r="158">
      <c r="A158" s="35">
        <f>IF(E158="","",ROW()-5)</f>
        <v/>
      </c>
      <c r="B158" s="36" t="n"/>
      <c r="C158" s="36" t="n"/>
      <c r="D158" s="36" t="n"/>
      <c r="E158" s="37" t="n"/>
      <c r="F158" s="37" t="n"/>
      <c r="G158" s="37" t="n"/>
      <c r="H158" s="37" t="n"/>
      <c r="I158" s="37" t="n"/>
      <c r="J158" s="36" t="n"/>
      <c r="K158" s="36" t="n"/>
      <c r="L158" s="36" t="n"/>
      <c r="M158" s="36" t="n"/>
      <c r="N158" s="38" t="n"/>
      <c r="O158" s="39">
        <f>IF(OR(N158="",J158=""),"",N158*J158)</f>
        <v/>
      </c>
      <c r="P158" s="40" t="n"/>
      <c r="Q158" s="41">
        <f>IF(OR(P158="",Y158="발주완료",Y158="취소"),"",TODAY()+P158)</f>
        <v/>
      </c>
      <c r="R158" s="35">
        <f>IF(OR(Q158="",NOT(ISNUMBER($J$2))),"",IF(Q158&lt;=$J$2,"가능","초과 "&amp;(Q158-$J$2)&amp;"일"))</f>
        <v/>
      </c>
      <c r="S158" s="36" t="n"/>
      <c r="T158" s="36" t="n"/>
      <c r="U158" s="36" t="n"/>
      <c r="V158" s="43" t="n"/>
      <c r="W158" s="41">
        <f>IF(OR(V158="",U158=""),"",V158+U158)</f>
        <v/>
      </c>
      <c r="X158" s="37" t="n"/>
      <c r="Y158" s="36" t="n"/>
      <c r="Z158" s="37" t="n"/>
    </row>
    <row r="159">
      <c r="A159" s="35">
        <f>IF(E159="","",ROW()-5)</f>
        <v/>
      </c>
      <c r="B159" s="36" t="n"/>
      <c r="C159" s="36" t="n"/>
      <c r="D159" s="36" t="n"/>
      <c r="E159" s="37" t="n"/>
      <c r="F159" s="37" t="n"/>
      <c r="G159" s="37" t="n"/>
      <c r="H159" s="37" t="n"/>
      <c r="I159" s="37" t="n"/>
      <c r="J159" s="36" t="n"/>
      <c r="K159" s="36" t="n"/>
      <c r="L159" s="36" t="n"/>
      <c r="M159" s="36" t="n"/>
      <c r="N159" s="38" t="n"/>
      <c r="O159" s="39">
        <f>IF(OR(N159="",J159=""),"",N159*J159)</f>
        <v/>
      </c>
      <c r="P159" s="40" t="n"/>
      <c r="Q159" s="41">
        <f>IF(OR(P159="",Y159="발주완료",Y159="취소"),"",TODAY()+P159)</f>
        <v/>
      </c>
      <c r="R159" s="35">
        <f>IF(OR(Q159="",NOT(ISNUMBER($J$2))),"",IF(Q159&lt;=$J$2,"가능","초과 "&amp;(Q159-$J$2)&amp;"일"))</f>
        <v/>
      </c>
      <c r="S159" s="36" t="n"/>
      <c r="T159" s="36" t="n"/>
      <c r="U159" s="36" t="n"/>
      <c r="V159" s="43" t="n"/>
      <c r="W159" s="41">
        <f>IF(OR(V159="",U159=""),"",V159+U159)</f>
        <v/>
      </c>
      <c r="X159" s="37" t="n"/>
      <c r="Y159" s="36" t="n"/>
      <c r="Z159" s="37" t="n"/>
    </row>
    <row r="160">
      <c r="A160" s="35">
        <f>IF(E160="","",ROW()-5)</f>
        <v/>
      </c>
      <c r="B160" s="36" t="n"/>
      <c r="C160" s="36" t="n"/>
      <c r="D160" s="36" t="n"/>
      <c r="E160" s="37" t="n"/>
      <c r="F160" s="37" t="n"/>
      <c r="G160" s="37" t="n"/>
      <c r="H160" s="37" t="n"/>
      <c r="I160" s="37" t="n"/>
      <c r="J160" s="36" t="n"/>
      <c r="K160" s="36" t="n"/>
      <c r="L160" s="36" t="n"/>
      <c r="M160" s="36" t="n"/>
      <c r="N160" s="38" t="n"/>
      <c r="O160" s="39">
        <f>IF(OR(N160="",J160=""),"",N160*J160)</f>
        <v/>
      </c>
      <c r="P160" s="40" t="n"/>
      <c r="Q160" s="41">
        <f>IF(OR(P160="",Y160="발주완료",Y160="취소"),"",TODAY()+P160)</f>
        <v/>
      </c>
      <c r="R160" s="35">
        <f>IF(OR(Q160="",NOT(ISNUMBER($J$2))),"",IF(Q160&lt;=$J$2,"가능","초과 "&amp;(Q160-$J$2)&amp;"일"))</f>
        <v/>
      </c>
      <c r="S160" s="36" t="n"/>
      <c r="T160" s="36" t="n"/>
      <c r="U160" s="36" t="n"/>
      <c r="V160" s="43" t="n"/>
      <c r="W160" s="41">
        <f>IF(OR(V160="",U160=""),"",V160+U160)</f>
        <v/>
      </c>
      <c r="X160" s="37" t="n"/>
      <c r="Y160" s="36" t="n"/>
      <c r="Z160" s="37" t="n"/>
    </row>
    <row r="161">
      <c r="A161" s="35">
        <f>IF(E161="","",ROW()-5)</f>
        <v/>
      </c>
      <c r="B161" s="36" t="n"/>
      <c r="C161" s="36" t="n"/>
      <c r="D161" s="36" t="n"/>
      <c r="E161" s="37" t="n"/>
      <c r="F161" s="37" t="n"/>
      <c r="G161" s="37" t="n"/>
      <c r="H161" s="37" t="n"/>
      <c r="I161" s="37" t="n"/>
      <c r="J161" s="36" t="n"/>
      <c r="K161" s="36" t="n"/>
      <c r="L161" s="36" t="n"/>
      <c r="M161" s="36" t="n"/>
      <c r="N161" s="38" t="n"/>
      <c r="O161" s="39">
        <f>IF(OR(N161="",J161=""),"",N161*J161)</f>
        <v/>
      </c>
      <c r="P161" s="40" t="n"/>
      <c r="Q161" s="41">
        <f>IF(OR(P161="",Y161="발주완료",Y161="취소"),"",TODAY()+P161)</f>
        <v/>
      </c>
      <c r="R161" s="35">
        <f>IF(OR(Q161="",NOT(ISNUMBER($J$2))),"",IF(Q161&lt;=$J$2,"가능","초과 "&amp;(Q161-$J$2)&amp;"일"))</f>
        <v/>
      </c>
      <c r="S161" s="36" t="n"/>
      <c r="T161" s="36" t="n"/>
      <c r="U161" s="36" t="n"/>
      <c r="V161" s="43" t="n"/>
      <c r="W161" s="41">
        <f>IF(OR(V161="",U161=""),"",V161+U161)</f>
        <v/>
      </c>
      <c r="X161" s="37" t="n"/>
      <c r="Y161" s="36" t="n"/>
      <c r="Z161" s="37" t="n"/>
    </row>
    <row r="162">
      <c r="A162" s="35">
        <f>IF(E162="","",ROW()-5)</f>
        <v/>
      </c>
      <c r="B162" s="36" t="n"/>
      <c r="C162" s="36" t="n"/>
      <c r="D162" s="36" t="n"/>
      <c r="E162" s="37" t="n"/>
      <c r="F162" s="37" t="n"/>
      <c r="G162" s="37" t="n"/>
      <c r="H162" s="37" t="n"/>
      <c r="I162" s="37" t="n"/>
      <c r="J162" s="36" t="n"/>
      <c r="K162" s="36" t="n"/>
      <c r="L162" s="36" t="n"/>
      <c r="M162" s="36" t="n"/>
      <c r="N162" s="38" t="n"/>
      <c r="O162" s="39">
        <f>IF(OR(N162="",J162=""),"",N162*J162)</f>
        <v/>
      </c>
      <c r="P162" s="40" t="n"/>
      <c r="Q162" s="41">
        <f>IF(OR(P162="",Y162="발주완료",Y162="취소"),"",TODAY()+P162)</f>
        <v/>
      </c>
      <c r="R162" s="35">
        <f>IF(OR(Q162="",NOT(ISNUMBER($J$2))),"",IF(Q162&lt;=$J$2,"가능","초과 "&amp;(Q162-$J$2)&amp;"일"))</f>
        <v/>
      </c>
      <c r="S162" s="36" t="n"/>
      <c r="T162" s="36" t="n"/>
      <c r="U162" s="36" t="n"/>
      <c r="V162" s="43" t="n"/>
      <c r="W162" s="41">
        <f>IF(OR(V162="",U162=""),"",V162+U162)</f>
        <v/>
      </c>
      <c r="X162" s="37" t="n"/>
      <c r="Y162" s="36" t="n"/>
      <c r="Z162" s="37" t="n"/>
    </row>
    <row r="163">
      <c r="A163" s="35">
        <f>IF(E163="","",ROW()-5)</f>
        <v/>
      </c>
      <c r="B163" s="36" t="n"/>
      <c r="C163" s="36" t="n"/>
      <c r="D163" s="36" t="n"/>
      <c r="E163" s="37" t="n"/>
      <c r="F163" s="37" t="n"/>
      <c r="G163" s="37" t="n"/>
      <c r="H163" s="37" t="n"/>
      <c r="I163" s="37" t="n"/>
      <c r="J163" s="36" t="n"/>
      <c r="K163" s="36" t="n"/>
      <c r="L163" s="36" t="n"/>
      <c r="M163" s="36" t="n"/>
      <c r="N163" s="38" t="n"/>
      <c r="O163" s="39">
        <f>IF(OR(N163="",J163=""),"",N163*J163)</f>
        <v/>
      </c>
      <c r="P163" s="40" t="n"/>
      <c r="Q163" s="41">
        <f>IF(OR(P163="",Y163="발주완료",Y163="취소"),"",TODAY()+P163)</f>
        <v/>
      </c>
      <c r="R163" s="35">
        <f>IF(OR(Q163="",NOT(ISNUMBER($J$2))),"",IF(Q163&lt;=$J$2,"가능","초과 "&amp;(Q163-$J$2)&amp;"일"))</f>
        <v/>
      </c>
      <c r="S163" s="36" t="n"/>
      <c r="T163" s="36" t="n"/>
      <c r="U163" s="36" t="n"/>
      <c r="V163" s="43" t="n"/>
      <c r="W163" s="41">
        <f>IF(OR(V163="",U163=""),"",V163+U163)</f>
        <v/>
      </c>
      <c r="X163" s="37" t="n"/>
      <c r="Y163" s="36" t="n"/>
      <c r="Z163" s="37" t="n"/>
    </row>
    <row r="164">
      <c r="A164" s="35">
        <f>IF(E164="","",ROW()-5)</f>
        <v/>
      </c>
      <c r="B164" s="36" t="n"/>
      <c r="C164" s="36" t="n"/>
      <c r="D164" s="36" t="n"/>
      <c r="E164" s="37" t="n"/>
      <c r="F164" s="37" t="n"/>
      <c r="G164" s="37" t="n"/>
      <c r="H164" s="37" t="n"/>
      <c r="I164" s="37" t="n"/>
      <c r="J164" s="36" t="n"/>
      <c r="K164" s="36" t="n"/>
      <c r="L164" s="36" t="n"/>
      <c r="M164" s="36" t="n"/>
      <c r="N164" s="38" t="n"/>
      <c r="O164" s="39">
        <f>IF(OR(N164="",J164=""),"",N164*J164)</f>
        <v/>
      </c>
      <c r="P164" s="40" t="n"/>
      <c r="Q164" s="41">
        <f>IF(OR(P164="",Y164="발주완료",Y164="취소"),"",TODAY()+P164)</f>
        <v/>
      </c>
      <c r="R164" s="35">
        <f>IF(OR(Q164="",NOT(ISNUMBER($J$2))),"",IF(Q164&lt;=$J$2,"가능","초과 "&amp;(Q164-$J$2)&amp;"일"))</f>
        <v/>
      </c>
      <c r="S164" s="36" t="n"/>
      <c r="T164" s="36" t="n"/>
      <c r="U164" s="36" t="n"/>
      <c r="V164" s="43" t="n"/>
      <c r="W164" s="41">
        <f>IF(OR(V164="",U164=""),"",V164+U164)</f>
        <v/>
      </c>
      <c r="X164" s="37" t="n"/>
      <c r="Y164" s="36" t="n"/>
      <c r="Z164" s="37" t="n"/>
    </row>
    <row r="165">
      <c r="A165" s="35">
        <f>IF(E165="","",ROW()-5)</f>
        <v/>
      </c>
      <c r="B165" s="36" t="n"/>
      <c r="C165" s="36" t="n"/>
      <c r="D165" s="36" t="n"/>
      <c r="E165" s="37" t="n"/>
      <c r="F165" s="37" t="n"/>
      <c r="G165" s="37" t="n"/>
      <c r="H165" s="37" t="n"/>
      <c r="I165" s="37" t="n"/>
      <c r="J165" s="36" t="n"/>
      <c r="K165" s="36" t="n"/>
      <c r="L165" s="36" t="n"/>
      <c r="M165" s="36" t="n"/>
      <c r="N165" s="38" t="n"/>
      <c r="O165" s="39">
        <f>IF(OR(N165="",J165=""),"",N165*J165)</f>
        <v/>
      </c>
      <c r="P165" s="40" t="n"/>
      <c r="Q165" s="41">
        <f>IF(OR(P165="",Y165="발주완료",Y165="취소"),"",TODAY()+P165)</f>
        <v/>
      </c>
      <c r="R165" s="35">
        <f>IF(OR(Q165="",NOT(ISNUMBER($J$2))),"",IF(Q165&lt;=$J$2,"가능","초과 "&amp;(Q165-$J$2)&amp;"일"))</f>
        <v/>
      </c>
      <c r="S165" s="36" t="n"/>
      <c r="T165" s="36" t="n"/>
      <c r="U165" s="36" t="n"/>
      <c r="V165" s="43" t="n"/>
      <c r="W165" s="41">
        <f>IF(OR(V165="",U165=""),"",V165+U165)</f>
        <v/>
      </c>
      <c r="X165" s="37" t="n"/>
      <c r="Y165" s="36" t="n"/>
      <c r="Z165" s="37" t="n"/>
    </row>
    <row r="166">
      <c r="A166" s="35">
        <f>IF(E166="","",ROW()-5)</f>
        <v/>
      </c>
      <c r="B166" s="36" t="n"/>
      <c r="C166" s="36" t="n"/>
      <c r="D166" s="36" t="n"/>
      <c r="E166" s="37" t="n"/>
      <c r="F166" s="37" t="n"/>
      <c r="G166" s="37" t="n"/>
      <c r="H166" s="37" t="n"/>
      <c r="I166" s="37" t="n"/>
      <c r="J166" s="36" t="n"/>
      <c r="K166" s="36" t="n"/>
      <c r="L166" s="36" t="n"/>
      <c r="M166" s="36" t="n"/>
      <c r="N166" s="38" t="n"/>
      <c r="O166" s="39">
        <f>IF(OR(N166="",J166=""),"",N166*J166)</f>
        <v/>
      </c>
      <c r="P166" s="40" t="n"/>
      <c r="Q166" s="41">
        <f>IF(OR(P166="",Y166="발주완료",Y166="취소"),"",TODAY()+P166)</f>
        <v/>
      </c>
      <c r="R166" s="35">
        <f>IF(OR(Q166="",NOT(ISNUMBER($J$2))),"",IF(Q166&lt;=$J$2,"가능","초과 "&amp;(Q166-$J$2)&amp;"일"))</f>
        <v/>
      </c>
      <c r="S166" s="36" t="n"/>
      <c r="T166" s="36" t="n"/>
      <c r="U166" s="36" t="n"/>
      <c r="V166" s="43" t="n"/>
      <c r="W166" s="41">
        <f>IF(OR(V166="",U166=""),"",V166+U166)</f>
        <v/>
      </c>
      <c r="X166" s="37" t="n"/>
      <c r="Y166" s="36" t="n"/>
      <c r="Z166" s="37" t="n"/>
    </row>
    <row r="167">
      <c r="A167" s="35">
        <f>IF(E167="","",ROW()-5)</f>
        <v/>
      </c>
      <c r="B167" s="36" t="n"/>
      <c r="C167" s="36" t="n"/>
      <c r="D167" s="36" t="n"/>
      <c r="E167" s="37" t="n"/>
      <c r="F167" s="37" t="n"/>
      <c r="G167" s="37" t="n"/>
      <c r="H167" s="37" t="n"/>
      <c r="I167" s="37" t="n"/>
      <c r="J167" s="36" t="n"/>
      <c r="K167" s="36" t="n"/>
      <c r="L167" s="36" t="n"/>
      <c r="M167" s="36" t="n"/>
      <c r="N167" s="38" t="n"/>
      <c r="O167" s="39">
        <f>IF(OR(N167="",J167=""),"",N167*J167)</f>
        <v/>
      </c>
      <c r="P167" s="40" t="n"/>
      <c r="Q167" s="41">
        <f>IF(OR(P167="",Y167="발주완료",Y167="취소"),"",TODAY()+P167)</f>
        <v/>
      </c>
      <c r="R167" s="35">
        <f>IF(OR(Q167="",NOT(ISNUMBER($J$2))),"",IF(Q167&lt;=$J$2,"가능","초과 "&amp;(Q167-$J$2)&amp;"일"))</f>
        <v/>
      </c>
      <c r="S167" s="36" t="n"/>
      <c r="T167" s="36" t="n"/>
      <c r="U167" s="36" t="n"/>
      <c r="V167" s="43" t="n"/>
      <c r="W167" s="41">
        <f>IF(OR(V167="",U167=""),"",V167+U167)</f>
        <v/>
      </c>
      <c r="X167" s="37" t="n"/>
      <c r="Y167" s="36" t="n"/>
      <c r="Z167" s="37" t="n"/>
    </row>
    <row r="168">
      <c r="A168" s="35">
        <f>IF(E168="","",ROW()-5)</f>
        <v/>
      </c>
      <c r="B168" s="36" t="n"/>
      <c r="C168" s="36" t="n"/>
      <c r="D168" s="36" t="n"/>
      <c r="E168" s="37" t="n"/>
      <c r="F168" s="37" t="n"/>
      <c r="G168" s="37" t="n"/>
      <c r="H168" s="37" t="n"/>
      <c r="I168" s="37" t="n"/>
      <c r="J168" s="36" t="n"/>
      <c r="K168" s="36" t="n"/>
      <c r="L168" s="36" t="n"/>
      <c r="M168" s="36" t="n"/>
      <c r="N168" s="38" t="n"/>
      <c r="O168" s="39">
        <f>IF(OR(N168="",J168=""),"",N168*J168)</f>
        <v/>
      </c>
      <c r="P168" s="40" t="n"/>
      <c r="Q168" s="41">
        <f>IF(OR(P168="",Y168="발주완료",Y168="취소"),"",TODAY()+P168)</f>
        <v/>
      </c>
      <c r="R168" s="35">
        <f>IF(OR(Q168="",NOT(ISNUMBER($J$2))),"",IF(Q168&lt;=$J$2,"가능","초과 "&amp;(Q168-$J$2)&amp;"일"))</f>
        <v/>
      </c>
      <c r="S168" s="36" t="n"/>
      <c r="T168" s="36" t="n"/>
      <c r="U168" s="36" t="n"/>
      <c r="V168" s="43" t="n"/>
      <c r="W168" s="41">
        <f>IF(OR(V168="",U168=""),"",V168+U168)</f>
        <v/>
      </c>
      <c r="X168" s="37" t="n"/>
      <c r="Y168" s="36" t="n"/>
      <c r="Z168" s="37" t="n"/>
    </row>
    <row r="169">
      <c r="A169" s="35">
        <f>IF(E169="","",ROW()-5)</f>
        <v/>
      </c>
      <c r="B169" s="36" t="n"/>
      <c r="C169" s="36" t="n"/>
      <c r="D169" s="36" t="n"/>
      <c r="E169" s="37" t="n"/>
      <c r="F169" s="37" t="n"/>
      <c r="G169" s="37" t="n"/>
      <c r="H169" s="37" t="n"/>
      <c r="I169" s="37" t="n"/>
      <c r="J169" s="36" t="n"/>
      <c r="K169" s="36" t="n"/>
      <c r="L169" s="36" t="n"/>
      <c r="M169" s="36" t="n"/>
      <c r="N169" s="38" t="n"/>
      <c r="O169" s="39">
        <f>IF(OR(N169="",J169=""),"",N169*J169)</f>
        <v/>
      </c>
      <c r="P169" s="40" t="n"/>
      <c r="Q169" s="41">
        <f>IF(OR(P169="",Y169="발주완료",Y169="취소"),"",TODAY()+P169)</f>
        <v/>
      </c>
      <c r="R169" s="35">
        <f>IF(OR(Q169="",NOT(ISNUMBER($J$2))),"",IF(Q169&lt;=$J$2,"가능","초과 "&amp;(Q169-$J$2)&amp;"일"))</f>
        <v/>
      </c>
      <c r="S169" s="36" t="n"/>
      <c r="T169" s="36" t="n"/>
      <c r="U169" s="36" t="n"/>
      <c r="V169" s="43" t="n"/>
      <c r="W169" s="41">
        <f>IF(OR(V169="",U169=""),"",V169+U169)</f>
        <v/>
      </c>
      <c r="X169" s="37" t="n"/>
      <c r="Y169" s="36" t="n"/>
      <c r="Z169" s="37" t="n"/>
    </row>
    <row r="170">
      <c r="A170" s="35">
        <f>IF(E170="","",ROW()-5)</f>
        <v/>
      </c>
      <c r="B170" s="36" t="n"/>
      <c r="C170" s="36" t="n"/>
      <c r="D170" s="36" t="n"/>
      <c r="E170" s="37" t="n"/>
      <c r="F170" s="37" t="n"/>
      <c r="G170" s="37" t="n"/>
      <c r="H170" s="37" t="n"/>
      <c r="I170" s="37" t="n"/>
      <c r="J170" s="36" t="n"/>
      <c r="K170" s="36" t="n"/>
      <c r="L170" s="36" t="n"/>
      <c r="M170" s="36" t="n"/>
      <c r="N170" s="38" t="n"/>
      <c r="O170" s="39">
        <f>IF(OR(N170="",J170=""),"",N170*J170)</f>
        <v/>
      </c>
      <c r="P170" s="40" t="n"/>
      <c r="Q170" s="41">
        <f>IF(OR(P170="",Y170="발주완료",Y170="취소"),"",TODAY()+P170)</f>
        <v/>
      </c>
      <c r="R170" s="35">
        <f>IF(OR(Q170="",NOT(ISNUMBER($J$2))),"",IF(Q170&lt;=$J$2,"가능","초과 "&amp;(Q170-$J$2)&amp;"일"))</f>
        <v/>
      </c>
      <c r="S170" s="36" t="n"/>
      <c r="T170" s="36" t="n"/>
      <c r="U170" s="36" t="n"/>
      <c r="V170" s="43" t="n"/>
      <c r="W170" s="41">
        <f>IF(OR(V170="",U170=""),"",V170+U170)</f>
        <v/>
      </c>
      <c r="X170" s="37" t="n"/>
      <c r="Y170" s="36" t="n"/>
      <c r="Z170" s="37" t="n"/>
    </row>
    <row r="171">
      <c r="A171" s="35">
        <f>IF(E171="","",ROW()-5)</f>
        <v/>
      </c>
      <c r="B171" s="36" t="n"/>
      <c r="C171" s="36" t="n"/>
      <c r="D171" s="36" t="n"/>
      <c r="E171" s="37" t="n"/>
      <c r="F171" s="37" t="n"/>
      <c r="G171" s="37" t="n"/>
      <c r="H171" s="37" t="n"/>
      <c r="I171" s="37" t="n"/>
      <c r="J171" s="36" t="n"/>
      <c r="K171" s="36" t="n"/>
      <c r="L171" s="36" t="n"/>
      <c r="M171" s="36" t="n"/>
      <c r="N171" s="38" t="n"/>
      <c r="O171" s="39">
        <f>IF(OR(N171="",J171=""),"",N171*J171)</f>
        <v/>
      </c>
      <c r="P171" s="40" t="n"/>
      <c r="Q171" s="41">
        <f>IF(OR(P171="",Y171="발주완료",Y171="취소"),"",TODAY()+P171)</f>
        <v/>
      </c>
      <c r="R171" s="35">
        <f>IF(OR(Q171="",NOT(ISNUMBER($J$2))),"",IF(Q171&lt;=$J$2,"가능","초과 "&amp;(Q171-$J$2)&amp;"일"))</f>
        <v/>
      </c>
      <c r="S171" s="36" t="n"/>
      <c r="T171" s="36" t="n"/>
      <c r="U171" s="36" t="n"/>
      <c r="V171" s="43" t="n"/>
      <c r="W171" s="41">
        <f>IF(OR(V171="",U171=""),"",V171+U171)</f>
        <v/>
      </c>
      <c r="X171" s="37" t="n"/>
      <c r="Y171" s="36" t="n"/>
      <c r="Z171" s="37" t="n"/>
    </row>
    <row r="172">
      <c r="A172" s="35">
        <f>IF(E172="","",ROW()-5)</f>
        <v/>
      </c>
      <c r="B172" s="36" t="n"/>
      <c r="C172" s="36" t="n"/>
      <c r="D172" s="36" t="n"/>
      <c r="E172" s="37" t="n"/>
      <c r="F172" s="37" t="n"/>
      <c r="G172" s="37" t="n"/>
      <c r="H172" s="37" t="n"/>
      <c r="I172" s="37" t="n"/>
      <c r="J172" s="36" t="n"/>
      <c r="K172" s="36" t="n"/>
      <c r="L172" s="36" t="n"/>
      <c r="M172" s="36" t="n"/>
      <c r="N172" s="38" t="n"/>
      <c r="O172" s="39">
        <f>IF(OR(N172="",J172=""),"",N172*J172)</f>
        <v/>
      </c>
      <c r="P172" s="40" t="n"/>
      <c r="Q172" s="41">
        <f>IF(OR(P172="",Y172="발주완료",Y172="취소"),"",TODAY()+P172)</f>
        <v/>
      </c>
      <c r="R172" s="35">
        <f>IF(OR(Q172="",NOT(ISNUMBER($J$2))),"",IF(Q172&lt;=$J$2,"가능","초과 "&amp;(Q172-$J$2)&amp;"일"))</f>
        <v/>
      </c>
      <c r="S172" s="36" t="n"/>
      <c r="T172" s="36" t="n"/>
      <c r="U172" s="36" t="n"/>
      <c r="V172" s="43" t="n"/>
      <c r="W172" s="41">
        <f>IF(OR(V172="",U172=""),"",V172+U172)</f>
        <v/>
      </c>
      <c r="X172" s="37" t="n"/>
      <c r="Y172" s="36" t="n"/>
      <c r="Z172" s="37" t="n"/>
    </row>
    <row r="173">
      <c r="A173" s="35">
        <f>IF(E173="","",ROW()-5)</f>
        <v/>
      </c>
      <c r="B173" s="36" t="n"/>
      <c r="C173" s="36" t="n"/>
      <c r="D173" s="36" t="n"/>
      <c r="E173" s="37" t="n"/>
      <c r="F173" s="37" t="n"/>
      <c r="G173" s="37" t="n"/>
      <c r="H173" s="37" t="n"/>
      <c r="I173" s="37" t="n"/>
      <c r="J173" s="36" t="n"/>
      <c r="K173" s="36" t="n"/>
      <c r="L173" s="36" t="n"/>
      <c r="M173" s="36" t="n"/>
      <c r="N173" s="38" t="n"/>
      <c r="O173" s="39">
        <f>IF(OR(N173="",J173=""),"",N173*J173)</f>
        <v/>
      </c>
      <c r="P173" s="40" t="n"/>
      <c r="Q173" s="41">
        <f>IF(OR(P173="",Y173="발주완료",Y173="취소"),"",TODAY()+P173)</f>
        <v/>
      </c>
      <c r="R173" s="35">
        <f>IF(OR(Q173="",NOT(ISNUMBER($J$2))),"",IF(Q173&lt;=$J$2,"가능","초과 "&amp;(Q173-$J$2)&amp;"일"))</f>
        <v/>
      </c>
      <c r="S173" s="36" t="n"/>
      <c r="T173" s="36" t="n"/>
      <c r="U173" s="36" t="n"/>
      <c r="V173" s="43" t="n"/>
      <c r="W173" s="41">
        <f>IF(OR(V173="",U173=""),"",V173+U173)</f>
        <v/>
      </c>
      <c r="X173" s="37" t="n"/>
      <c r="Y173" s="36" t="n"/>
      <c r="Z173" s="37" t="n"/>
    </row>
    <row r="174">
      <c r="A174" s="35">
        <f>IF(E174="","",ROW()-5)</f>
        <v/>
      </c>
      <c r="B174" s="36" t="n"/>
      <c r="C174" s="36" t="n"/>
      <c r="D174" s="36" t="n"/>
      <c r="E174" s="37" t="n"/>
      <c r="F174" s="37" t="n"/>
      <c r="G174" s="37" t="n"/>
      <c r="H174" s="37" t="n"/>
      <c r="I174" s="37" t="n"/>
      <c r="J174" s="36" t="n"/>
      <c r="K174" s="36" t="n"/>
      <c r="L174" s="36" t="n"/>
      <c r="M174" s="36" t="n"/>
      <c r="N174" s="38" t="n"/>
      <c r="O174" s="39">
        <f>IF(OR(N174="",J174=""),"",N174*J174)</f>
        <v/>
      </c>
      <c r="P174" s="40" t="n"/>
      <c r="Q174" s="41">
        <f>IF(OR(P174="",Y174="발주완료",Y174="취소"),"",TODAY()+P174)</f>
        <v/>
      </c>
      <c r="R174" s="35">
        <f>IF(OR(Q174="",NOT(ISNUMBER($J$2))),"",IF(Q174&lt;=$J$2,"가능","초과 "&amp;(Q174-$J$2)&amp;"일"))</f>
        <v/>
      </c>
      <c r="S174" s="36" t="n"/>
      <c r="T174" s="36" t="n"/>
      <c r="U174" s="36" t="n"/>
      <c r="V174" s="43" t="n"/>
      <c r="W174" s="41">
        <f>IF(OR(V174="",U174=""),"",V174+U174)</f>
        <v/>
      </c>
      <c r="X174" s="37" t="n"/>
      <c r="Y174" s="36" t="n"/>
      <c r="Z174" s="37" t="n"/>
    </row>
    <row r="175">
      <c r="A175" s="35">
        <f>IF(E175="","",ROW()-5)</f>
        <v/>
      </c>
      <c r="B175" s="36" t="n"/>
      <c r="C175" s="36" t="n"/>
      <c r="D175" s="36" t="n"/>
      <c r="E175" s="37" t="n"/>
      <c r="F175" s="37" t="n"/>
      <c r="G175" s="37" t="n"/>
      <c r="H175" s="37" t="n"/>
      <c r="I175" s="37" t="n"/>
      <c r="J175" s="36" t="n"/>
      <c r="K175" s="36" t="n"/>
      <c r="L175" s="36" t="n"/>
      <c r="M175" s="36" t="n"/>
      <c r="N175" s="38" t="n"/>
      <c r="O175" s="39">
        <f>IF(OR(N175="",J175=""),"",N175*J175)</f>
        <v/>
      </c>
      <c r="P175" s="40" t="n"/>
      <c r="Q175" s="41">
        <f>IF(OR(P175="",Y175="발주완료",Y175="취소"),"",TODAY()+P175)</f>
        <v/>
      </c>
      <c r="R175" s="35">
        <f>IF(OR(Q175="",NOT(ISNUMBER($J$2))),"",IF(Q175&lt;=$J$2,"가능","초과 "&amp;(Q175-$J$2)&amp;"일"))</f>
        <v/>
      </c>
      <c r="S175" s="36" t="n"/>
      <c r="T175" s="36" t="n"/>
      <c r="U175" s="36" t="n"/>
      <c r="V175" s="43" t="n"/>
      <c r="W175" s="41">
        <f>IF(OR(V175="",U175=""),"",V175+U175)</f>
        <v/>
      </c>
      <c r="X175" s="37" t="n"/>
      <c r="Y175" s="36" t="n"/>
      <c r="Z175" s="37" t="n"/>
    </row>
    <row r="176">
      <c r="A176" s="35">
        <f>IF(E176="","",ROW()-5)</f>
        <v/>
      </c>
      <c r="B176" s="36" t="n"/>
      <c r="C176" s="36" t="n"/>
      <c r="D176" s="36" t="n"/>
      <c r="E176" s="37" t="n"/>
      <c r="F176" s="37" t="n"/>
      <c r="G176" s="37" t="n"/>
      <c r="H176" s="37" t="n"/>
      <c r="I176" s="37" t="n"/>
      <c r="J176" s="36" t="n"/>
      <c r="K176" s="36" t="n"/>
      <c r="L176" s="36" t="n"/>
      <c r="M176" s="36" t="n"/>
      <c r="N176" s="38" t="n"/>
      <c r="O176" s="39">
        <f>IF(OR(N176="",J176=""),"",N176*J176)</f>
        <v/>
      </c>
      <c r="P176" s="40" t="n"/>
      <c r="Q176" s="41">
        <f>IF(OR(P176="",Y176="발주완료",Y176="취소"),"",TODAY()+P176)</f>
        <v/>
      </c>
      <c r="R176" s="35">
        <f>IF(OR(Q176="",NOT(ISNUMBER($J$2))),"",IF(Q176&lt;=$J$2,"가능","초과 "&amp;(Q176-$J$2)&amp;"일"))</f>
        <v/>
      </c>
      <c r="S176" s="36" t="n"/>
      <c r="T176" s="36" t="n"/>
      <c r="U176" s="36" t="n"/>
      <c r="V176" s="43" t="n"/>
      <c r="W176" s="41">
        <f>IF(OR(V176="",U176=""),"",V176+U176)</f>
        <v/>
      </c>
      <c r="X176" s="37" t="n"/>
      <c r="Y176" s="36" t="n"/>
      <c r="Z176" s="37" t="n"/>
    </row>
    <row r="177">
      <c r="A177" s="35">
        <f>IF(E177="","",ROW()-5)</f>
        <v/>
      </c>
      <c r="B177" s="36" t="n"/>
      <c r="C177" s="36" t="n"/>
      <c r="D177" s="36" t="n"/>
      <c r="E177" s="37" t="n"/>
      <c r="F177" s="37" t="n"/>
      <c r="G177" s="37" t="n"/>
      <c r="H177" s="37" t="n"/>
      <c r="I177" s="37" t="n"/>
      <c r="J177" s="36" t="n"/>
      <c r="K177" s="36" t="n"/>
      <c r="L177" s="36" t="n"/>
      <c r="M177" s="36" t="n"/>
      <c r="N177" s="38" t="n"/>
      <c r="O177" s="39">
        <f>IF(OR(N177="",J177=""),"",N177*J177)</f>
        <v/>
      </c>
      <c r="P177" s="40" t="n"/>
      <c r="Q177" s="41">
        <f>IF(OR(P177="",Y177="발주완료",Y177="취소"),"",TODAY()+P177)</f>
        <v/>
      </c>
      <c r="R177" s="35">
        <f>IF(OR(Q177="",NOT(ISNUMBER($J$2))),"",IF(Q177&lt;=$J$2,"가능","초과 "&amp;(Q177-$J$2)&amp;"일"))</f>
        <v/>
      </c>
      <c r="S177" s="36" t="n"/>
      <c r="T177" s="36" t="n"/>
      <c r="U177" s="36" t="n"/>
      <c r="V177" s="43" t="n"/>
      <c r="W177" s="41">
        <f>IF(OR(V177="",U177=""),"",V177+U177)</f>
        <v/>
      </c>
      <c r="X177" s="37" t="n"/>
      <c r="Y177" s="36" t="n"/>
      <c r="Z177" s="37" t="n"/>
    </row>
    <row r="178">
      <c r="A178" s="35">
        <f>IF(E178="","",ROW()-5)</f>
        <v/>
      </c>
      <c r="B178" s="36" t="n"/>
      <c r="C178" s="36" t="n"/>
      <c r="D178" s="36" t="n"/>
      <c r="E178" s="37" t="n"/>
      <c r="F178" s="37" t="n"/>
      <c r="G178" s="37" t="n"/>
      <c r="H178" s="37" t="n"/>
      <c r="I178" s="37" t="n"/>
      <c r="J178" s="36" t="n"/>
      <c r="K178" s="36" t="n"/>
      <c r="L178" s="36" t="n"/>
      <c r="M178" s="36" t="n"/>
      <c r="N178" s="38" t="n"/>
      <c r="O178" s="39">
        <f>IF(OR(N178="",J178=""),"",N178*J178)</f>
        <v/>
      </c>
      <c r="P178" s="40" t="n"/>
      <c r="Q178" s="41">
        <f>IF(OR(P178="",Y178="발주완료",Y178="취소"),"",TODAY()+P178)</f>
        <v/>
      </c>
      <c r="R178" s="35">
        <f>IF(OR(Q178="",NOT(ISNUMBER($J$2))),"",IF(Q178&lt;=$J$2,"가능","초과 "&amp;(Q178-$J$2)&amp;"일"))</f>
        <v/>
      </c>
      <c r="S178" s="36" t="n"/>
      <c r="T178" s="36" t="n"/>
      <c r="U178" s="36" t="n"/>
      <c r="V178" s="43" t="n"/>
      <c r="W178" s="41">
        <f>IF(OR(V178="",U178=""),"",V178+U178)</f>
        <v/>
      </c>
      <c r="X178" s="37" t="n"/>
      <c r="Y178" s="36" t="n"/>
      <c r="Z178" s="37" t="n"/>
    </row>
    <row r="179">
      <c r="A179" s="35">
        <f>IF(E179="","",ROW()-5)</f>
        <v/>
      </c>
      <c r="B179" s="36" t="n"/>
      <c r="C179" s="36" t="n"/>
      <c r="D179" s="36" t="n"/>
      <c r="E179" s="37" t="n"/>
      <c r="F179" s="37" t="n"/>
      <c r="G179" s="37" t="n"/>
      <c r="H179" s="37" t="n"/>
      <c r="I179" s="37" t="n"/>
      <c r="J179" s="36" t="n"/>
      <c r="K179" s="36" t="n"/>
      <c r="L179" s="36" t="n"/>
      <c r="M179" s="36" t="n"/>
      <c r="N179" s="38" t="n"/>
      <c r="O179" s="39">
        <f>IF(OR(N179="",J179=""),"",N179*J179)</f>
        <v/>
      </c>
      <c r="P179" s="40" t="n"/>
      <c r="Q179" s="41">
        <f>IF(OR(P179="",Y179="발주완료",Y179="취소"),"",TODAY()+P179)</f>
        <v/>
      </c>
      <c r="R179" s="35">
        <f>IF(OR(Q179="",NOT(ISNUMBER($J$2))),"",IF(Q179&lt;=$J$2,"가능","초과 "&amp;(Q179-$J$2)&amp;"일"))</f>
        <v/>
      </c>
      <c r="S179" s="36" t="n"/>
      <c r="T179" s="36" t="n"/>
      <c r="U179" s="36" t="n"/>
      <c r="V179" s="43" t="n"/>
      <c r="W179" s="41">
        <f>IF(OR(V179="",U179=""),"",V179+U179)</f>
        <v/>
      </c>
      <c r="X179" s="37" t="n"/>
      <c r="Y179" s="36" t="n"/>
      <c r="Z179" s="37" t="n"/>
    </row>
    <row r="180">
      <c r="A180" s="35">
        <f>IF(E180="","",ROW()-5)</f>
        <v/>
      </c>
      <c r="B180" s="36" t="n"/>
      <c r="C180" s="36" t="n"/>
      <c r="D180" s="36" t="n"/>
      <c r="E180" s="37" t="n"/>
      <c r="F180" s="37" t="n"/>
      <c r="G180" s="37" t="n"/>
      <c r="H180" s="37" t="n"/>
      <c r="I180" s="37" t="n"/>
      <c r="J180" s="36" t="n"/>
      <c r="K180" s="36" t="n"/>
      <c r="L180" s="36" t="n"/>
      <c r="M180" s="36" t="n"/>
      <c r="N180" s="38" t="n"/>
      <c r="O180" s="39">
        <f>IF(OR(N180="",J180=""),"",N180*J180)</f>
        <v/>
      </c>
      <c r="P180" s="40" t="n"/>
      <c r="Q180" s="41">
        <f>IF(OR(P180="",Y180="발주완료",Y180="취소"),"",TODAY()+P180)</f>
        <v/>
      </c>
      <c r="R180" s="35">
        <f>IF(OR(Q180="",NOT(ISNUMBER($J$2))),"",IF(Q180&lt;=$J$2,"가능","초과 "&amp;(Q180-$J$2)&amp;"일"))</f>
        <v/>
      </c>
      <c r="S180" s="36" t="n"/>
      <c r="T180" s="36" t="n"/>
      <c r="U180" s="36" t="n"/>
      <c r="V180" s="43" t="n"/>
      <c r="W180" s="41">
        <f>IF(OR(V180="",U180=""),"",V180+U180)</f>
        <v/>
      </c>
      <c r="X180" s="37" t="n"/>
      <c r="Y180" s="36" t="n"/>
      <c r="Z180" s="37" t="n"/>
    </row>
    <row r="181">
      <c r="A181" s="35">
        <f>IF(E181="","",ROW()-5)</f>
        <v/>
      </c>
      <c r="B181" s="36" t="n"/>
      <c r="C181" s="36" t="n"/>
      <c r="D181" s="36" t="n"/>
      <c r="E181" s="37" t="n"/>
      <c r="F181" s="37" t="n"/>
      <c r="G181" s="37" t="n"/>
      <c r="H181" s="37" t="n"/>
      <c r="I181" s="37" t="n"/>
      <c r="J181" s="36" t="n"/>
      <c r="K181" s="36" t="n"/>
      <c r="L181" s="36" t="n"/>
      <c r="M181" s="36" t="n"/>
      <c r="N181" s="38" t="n"/>
      <c r="O181" s="39">
        <f>IF(OR(N181="",J181=""),"",N181*J181)</f>
        <v/>
      </c>
      <c r="P181" s="40" t="n"/>
      <c r="Q181" s="41">
        <f>IF(OR(P181="",Y181="발주완료",Y181="취소"),"",TODAY()+P181)</f>
        <v/>
      </c>
      <c r="R181" s="35">
        <f>IF(OR(Q181="",NOT(ISNUMBER($J$2))),"",IF(Q181&lt;=$J$2,"가능","초과 "&amp;(Q181-$J$2)&amp;"일"))</f>
        <v/>
      </c>
      <c r="S181" s="36" t="n"/>
      <c r="T181" s="36" t="n"/>
      <c r="U181" s="36" t="n"/>
      <c r="V181" s="43" t="n"/>
      <c r="W181" s="41">
        <f>IF(OR(V181="",U181=""),"",V181+U181)</f>
        <v/>
      </c>
      <c r="X181" s="37" t="n"/>
      <c r="Y181" s="36" t="n"/>
      <c r="Z181" s="37" t="n"/>
    </row>
    <row r="182">
      <c r="A182" s="35">
        <f>IF(E182="","",ROW()-5)</f>
        <v/>
      </c>
      <c r="B182" s="36" t="n"/>
      <c r="C182" s="36" t="n"/>
      <c r="D182" s="36" t="n"/>
      <c r="E182" s="37" t="n"/>
      <c r="F182" s="37" t="n"/>
      <c r="G182" s="37" t="n"/>
      <c r="H182" s="37" t="n"/>
      <c r="I182" s="37" t="n"/>
      <c r="J182" s="36" t="n"/>
      <c r="K182" s="36" t="n"/>
      <c r="L182" s="36" t="n"/>
      <c r="M182" s="36" t="n"/>
      <c r="N182" s="38" t="n"/>
      <c r="O182" s="39">
        <f>IF(OR(N182="",J182=""),"",N182*J182)</f>
        <v/>
      </c>
      <c r="P182" s="40" t="n"/>
      <c r="Q182" s="41">
        <f>IF(OR(P182="",Y182="발주완료",Y182="취소"),"",TODAY()+P182)</f>
        <v/>
      </c>
      <c r="R182" s="35">
        <f>IF(OR(Q182="",NOT(ISNUMBER($J$2))),"",IF(Q182&lt;=$J$2,"가능","초과 "&amp;(Q182-$J$2)&amp;"일"))</f>
        <v/>
      </c>
      <c r="S182" s="36" t="n"/>
      <c r="T182" s="36" t="n"/>
      <c r="U182" s="36" t="n"/>
      <c r="V182" s="43" t="n"/>
      <c r="W182" s="41">
        <f>IF(OR(V182="",U182=""),"",V182+U182)</f>
        <v/>
      </c>
      <c r="X182" s="37" t="n"/>
      <c r="Y182" s="36" t="n"/>
      <c r="Z182" s="37" t="n"/>
    </row>
    <row r="183">
      <c r="A183" s="35">
        <f>IF(E183="","",ROW()-5)</f>
        <v/>
      </c>
      <c r="B183" s="36" t="n"/>
      <c r="C183" s="36" t="n"/>
      <c r="D183" s="36" t="n"/>
      <c r="E183" s="37" t="n"/>
      <c r="F183" s="37" t="n"/>
      <c r="G183" s="37" t="n"/>
      <c r="H183" s="37" t="n"/>
      <c r="I183" s="37" t="n"/>
      <c r="J183" s="36" t="n"/>
      <c r="K183" s="36" t="n"/>
      <c r="L183" s="36" t="n"/>
      <c r="M183" s="36" t="n"/>
      <c r="N183" s="38" t="n"/>
      <c r="O183" s="39">
        <f>IF(OR(N183="",J183=""),"",N183*J183)</f>
        <v/>
      </c>
      <c r="P183" s="40" t="n"/>
      <c r="Q183" s="41">
        <f>IF(OR(P183="",Y183="발주완료",Y183="취소"),"",TODAY()+P183)</f>
        <v/>
      </c>
      <c r="R183" s="35">
        <f>IF(OR(Q183="",NOT(ISNUMBER($J$2))),"",IF(Q183&lt;=$J$2,"가능","초과 "&amp;(Q183-$J$2)&amp;"일"))</f>
        <v/>
      </c>
      <c r="S183" s="36" t="n"/>
      <c r="T183" s="36" t="n"/>
      <c r="U183" s="36" t="n"/>
      <c r="V183" s="43" t="n"/>
      <c r="W183" s="41">
        <f>IF(OR(V183="",U183=""),"",V183+U183)</f>
        <v/>
      </c>
      <c r="X183" s="37" t="n"/>
      <c r="Y183" s="36" t="n"/>
      <c r="Z183" s="37" t="n"/>
    </row>
    <row r="184">
      <c r="A184" s="35">
        <f>IF(E184="","",ROW()-5)</f>
        <v/>
      </c>
      <c r="B184" s="36" t="n"/>
      <c r="C184" s="36" t="n"/>
      <c r="D184" s="36" t="n"/>
      <c r="E184" s="37" t="n"/>
      <c r="F184" s="37" t="n"/>
      <c r="G184" s="37" t="n"/>
      <c r="H184" s="37" t="n"/>
      <c r="I184" s="37" t="n"/>
      <c r="J184" s="36" t="n"/>
      <c r="K184" s="36" t="n"/>
      <c r="L184" s="36" t="n"/>
      <c r="M184" s="36" t="n"/>
      <c r="N184" s="38" t="n"/>
      <c r="O184" s="39">
        <f>IF(OR(N184="",J184=""),"",N184*J184)</f>
        <v/>
      </c>
      <c r="P184" s="40" t="n"/>
      <c r="Q184" s="41">
        <f>IF(OR(P184="",Y184="발주완료",Y184="취소"),"",TODAY()+P184)</f>
        <v/>
      </c>
      <c r="R184" s="35">
        <f>IF(OR(Q184="",NOT(ISNUMBER($J$2))),"",IF(Q184&lt;=$J$2,"가능","초과 "&amp;(Q184-$J$2)&amp;"일"))</f>
        <v/>
      </c>
      <c r="S184" s="36" t="n"/>
      <c r="T184" s="36" t="n"/>
      <c r="U184" s="36" t="n"/>
      <c r="V184" s="43" t="n"/>
      <c r="W184" s="41">
        <f>IF(OR(V184="",U184=""),"",V184+U184)</f>
        <v/>
      </c>
      <c r="X184" s="37" t="n"/>
      <c r="Y184" s="36" t="n"/>
      <c r="Z184" s="37" t="n"/>
    </row>
    <row r="185">
      <c r="A185" s="35">
        <f>IF(E185="","",ROW()-5)</f>
        <v/>
      </c>
      <c r="B185" s="36" t="n"/>
      <c r="C185" s="36" t="n"/>
      <c r="D185" s="36" t="n"/>
      <c r="E185" s="37" t="n"/>
      <c r="F185" s="37" t="n"/>
      <c r="G185" s="37" t="n"/>
      <c r="H185" s="37" t="n"/>
      <c r="I185" s="37" t="n"/>
      <c r="J185" s="36" t="n"/>
      <c r="K185" s="36" t="n"/>
      <c r="L185" s="36" t="n"/>
      <c r="M185" s="36" t="n"/>
      <c r="N185" s="38" t="n"/>
      <c r="O185" s="39">
        <f>IF(OR(N185="",J185=""),"",N185*J185)</f>
        <v/>
      </c>
      <c r="P185" s="40" t="n"/>
      <c r="Q185" s="41">
        <f>IF(OR(P185="",Y185="발주완료",Y185="취소"),"",TODAY()+P185)</f>
        <v/>
      </c>
      <c r="R185" s="35">
        <f>IF(OR(Q185="",NOT(ISNUMBER($J$2))),"",IF(Q185&lt;=$J$2,"가능","초과 "&amp;(Q185-$J$2)&amp;"일"))</f>
        <v/>
      </c>
      <c r="S185" s="36" t="n"/>
      <c r="T185" s="36" t="n"/>
      <c r="U185" s="36" t="n"/>
      <c r="V185" s="43" t="n"/>
      <c r="W185" s="41">
        <f>IF(OR(V185="",U185=""),"",V185+U185)</f>
        <v/>
      </c>
      <c r="X185" s="37" t="n"/>
      <c r="Y185" s="36" t="n"/>
      <c r="Z185" s="37" t="n"/>
    </row>
    <row r="186">
      <c r="A186" s="35">
        <f>IF(E186="","",ROW()-5)</f>
        <v/>
      </c>
      <c r="B186" s="36" t="n"/>
      <c r="C186" s="36" t="n"/>
      <c r="D186" s="36" t="n"/>
      <c r="E186" s="37" t="n"/>
      <c r="F186" s="37" t="n"/>
      <c r="G186" s="37" t="n"/>
      <c r="H186" s="37" t="n"/>
      <c r="I186" s="37" t="n"/>
      <c r="J186" s="36" t="n"/>
      <c r="K186" s="36" t="n"/>
      <c r="L186" s="36" t="n"/>
      <c r="M186" s="36" t="n"/>
      <c r="N186" s="38" t="n"/>
      <c r="O186" s="39">
        <f>IF(OR(N186="",J186=""),"",N186*J186)</f>
        <v/>
      </c>
      <c r="P186" s="40" t="n"/>
      <c r="Q186" s="41">
        <f>IF(OR(P186="",Y186="발주완료",Y186="취소"),"",TODAY()+P186)</f>
        <v/>
      </c>
      <c r="R186" s="35">
        <f>IF(OR(Q186="",NOT(ISNUMBER($J$2))),"",IF(Q186&lt;=$J$2,"가능","초과 "&amp;(Q186-$J$2)&amp;"일"))</f>
        <v/>
      </c>
      <c r="S186" s="36" t="n"/>
      <c r="T186" s="36" t="n"/>
      <c r="U186" s="36" t="n"/>
      <c r="V186" s="43" t="n"/>
      <c r="W186" s="41">
        <f>IF(OR(V186="",U186=""),"",V186+U186)</f>
        <v/>
      </c>
      <c r="X186" s="37" t="n"/>
      <c r="Y186" s="36" t="n"/>
      <c r="Z186" s="37" t="n"/>
    </row>
    <row r="187">
      <c r="A187" s="35">
        <f>IF(E187="","",ROW()-5)</f>
        <v/>
      </c>
      <c r="B187" s="36" t="n"/>
      <c r="C187" s="36" t="n"/>
      <c r="D187" s="36" t="n"/>
      <c r="E187" s="37" t="n"/>
      <c r="F187" s="37" t="n"/>
      <c r="G187" s="37" t="n"/>
      <c r="H187" s="37" t="n"/>
      <c r="I187" s="37" t="n"/>
      <c r="J187" s="36" t="n"/>
      <c r="K187" s="36" t="n"/>
      <c r="L187" s="36" t="n"/>
      <c r="M187" s="36" t="n"/>
      <c r="N187" s="38" t="n"/>
      <c r="O187" s="39">
        <f>IF(OR(N187="",J187=""),"",N187*J187)</f>
        <v/>
      </c>
      <c r="P187" s="40" t="n"/>
      <c r="Q187" s="41">
        <f>IF(OR(P187="",Y187="발주완료",Y187="취소"),"",TODAY()+P187)</f>
        <v/>
      </c>
      <c r="R187" s="35">
        <f>IF(OR(Q187="",NOT(ISNUMBER($J$2))),"",IF(Q187&lt;=$J$2,"가능","초과 "&amp;(Q187-$J$2)&amp;"일"))</f>
        <v/>
      </c>
      <c r="S187" s="36" t="n"/>
      <c r="T187" s="36" t="n"/>
      <c r="U187" s="36" t="n"/>
      <c r="V187" s="43" t="n"/>
      <c r="W187" s="41">
        <f>IF(OR(V187="",U187=""),"",V187+U187)</f>
        <v/>
      </c>
      <c r="X187" s="37" t="n"/>
      <c r="Y187" s="36" t="n"/>
      <c r="Z187" s="37" t="n"/>
    </row>
    <row r="188">
      <c r="A188" s="35">
        <f>IF(E188="","",ROW()-5)</f>
        <v/>
      </c>
      <c r="B188" s="36" t="n"/>
      <c r="C188" s="36" t="n"/>
      <c r="D188" s="36" t="n"/>
      <c r="E188" s="37" t="n"/>
      <c r="F188" s="37" t="n"/>
      <c r="G188" s="37" t="n"/>
      <c r="H188" s="37" t="n"/>
      <c r="I188" s="37" t="n"/>
      <c r="J188" s="36" t="n"/>
      <c r="K188" s="36" t="n"/>
      <c r="L188" s="36" t="n"/>
      <c r="M188" s="36" t="n"/>
      <c r="N188" s="38" t="n"/>
      <c r="O188" s="39">
        <f>IF(OR(N188="",J188=""),"",N188*J188)</f>
        <v/>
      </c>
      <c r="P188" s="40" t="n"/>
      <c r="Q188" s="41">
        <f>IF(OR(P188="",Y188="발주완료",Y188="취소"),"",TODAY()+P188)</f>
        <v/>
      </c>
      <c r="R188" s="35">
        <f>IF(OR(Q188="",NOT(ISNUMBER($J$2))),"",IF(Q188&lt;=$J$2,"가능","초과 "&amp;(Q188-$J$2)&amp;"일"))</f>
        <v/>
      </c>
      <c r="S188" s="36" t="n"/>
      <c r="T188" s="36" t="n"/>
      <c r="U188" s="36" t="n"/>
      <c r="V188" s="43" t="n"/>
      <c r="W188" s="41">
        <f>IF(OR(V188="",U188=""),"",V188+U188)</f>
        <v/>
      </c>
      <c r="X188" s="37" t="n"/>
      <c r="Y188" s="36" t="n"/>
      <c r="Z188" s="37" t="n"/>
    </row>
    <row r="189">
      <c r="A189" s="35">
        <f>IF(E189="","",ROW()-5)</f>
        <v/>
      </c>
      <c r="B189" s="36" t="n"/>
      <c r="C189" s="36" t="n"/>
      <c r="D189" s="36" t="n"/>
      <c r="E189" s="37" t="n"/>
      <c r="F189" s="37" t="n"/>
      <c r="G189" s="37" t="n"/>
      <c r="H189" s="37" t="n"/>
      <c r="I189" s="37" t="n"/>
      <c r="J189" s="36" t="n"/>
      <c r="K189" s="36" t="n"/>
      <c r="L189" s="36" t="n"/>
      <c r="M189" s="36" t="n"/>
      <c r="N189" s="38" t="n"/>
      <c r="O189" s="39">
        <f>IF(OR(N189="",J189=""),"",N189*J189)</f>
        <v/>
      </c>
      <c r="P189" s="40" t="n"/>
      <c r="Q189" s="41">
        <f>IF(OR(P189="",Y189="발주완료",Y189="취소"),"",TODAY()+P189)</f>
        <v/>
      </c>
      <c r="R189" s="35">
        <f>IF(OR(Q189="",NOT(ISNUMBER($J$2))),"",IF(Q189&lt;=$J$2,"가능","초과 "&amp;(Q189-$J$2)&amp;"일"))</f>
        <v/>
      </c>
      <c r="S189" s="36" t="n"/>
      <c r="T189" s="36" t="n"/>
      <c r="U189" s="36" t="n"/>
      <c r="V189" s="43" t="n"/>
      <c r="W189" s="41">
        <f>IF(OR(V189="",U189=""),"",V189+U189)</f>
        <v/>
      </c>
      <c r="X189" s="37" t="n"/>
      <c r="Y189" s="36" t="n"/>
      <c r="Z189" s="37" t="n"/>
    </row>
    <row r="190">
      <c r="A190" s="35">
        <f>IF(E190="","",ROW()-5)</f>
        <v/>
      </c>
      <c r="B190" s="36" t="n"/>
      <c r="C190" s="36" t="n"/>
      <c r="D190" s="36" t="n"/>
      <c r="E190" s="37" t="n"/>
      <c r="F190" s="37" t="n"/>
      <c r="G190" s="37" t="n"/>
      <c r="H190" s="37" t="n"/>
      <c r="I190" s="37" t="n"/>
      <c r="J190" s="36" t="n"/>
      <c r="K190" s="36" t="n"/>
      <c r="L190" s="36" t="n"/>
      <c r="M190" s="36" t="n"/>
      <c r="N190" s="38" t="n"/>
      <c r="O190" s="39">
        <f>IF(OR(N190="",J190=""),"",N190*J190)</f>
        <v/>
      </c>
      <c r="P190" s="40" t="n"/>
      <c r="Q190" s="41">
        <f>IF(OR(P190="",Y190="발주완료",Y190="취소"),"",TODAY()+P190)</f>
        <v/>
      </c>
      <c r="R190" s="35">
        <f>IF(OR(Q190="",NOT(ISNUMBER($J$2))),"",IF(Q190&lt;=$J$2,"가능","초과 "&amp;(Q190-$J$2)&amp;"일"))</f>
        <v/>
      </c>
      <c r="S190" s="36" t="n"/>
      <c r="T190" s="36" t="n"/>
      <c r="U190" s="36" t="n"/>
      <c r="V190" s="43" t="n"/>
      <c r="W190" s="41">
        <f>IF(OR(V190="",U190=""),"",V190+U190)</f>
        <v/>
      </c>
      <c r="X190" s="37" t="n"/>
      <c r="Y190" s="36" t="n"/>
      <c r="Z190" s="37" t="n"/>
    </row>
    <row r="191">
      <c r="A191" s="35">
        <f>IF(E191="","",ROW()-5)</f>
        <v/>
      </c>
      <c r="B191" s="36" t="n"/>
      <c r="C191" s="36" t="n"/>
      <c r="D191" s="36" t="n"/>
      <c r="E191" s="37" t="n"/>
      <c r="F191" s="37" t="n"/>
      <c r="G191" s="37" t="n"/>
      <c r="H191" s="37" t="n"/>
      <c r="I191" s="37" t="n"/>
      <c r="J191" s="36" t="n"/>
      <c r="K191" s="36" t="n"/>
      <c r="L191" s="36" t="n"/>
      <c r="M191" s="36" t="n"/>
      <c r="N191" s="38" t="n"/>
      <c r="O191" s="39">
        <f>IF(OR(N191="",J191=""),"",N191*J191)</f>
        <v/>
      </c>
      <c r="P191" s="40" t="n"/>
      <c r="Q191" s="41">
        <f>IF(OR(P191="",Y191="발주완료",Y191="취소"),"",TODAY()+P191)</f>
        <v/>
      </c>
      <c r="R191" s="35">
        <f>IF(OR(Q191="",NOT(ISNUMBER($J$2))),"",IF(Q191&lt;=$J$2,"가능","초과 "&amp;(Q191-$J$2)&amp;"일"))</f>
        <v/>
      </c>
      <c r="S191" s="36" t="n"/>
      <c r="T191" s="36" t="n"/>
      <c r="U191" s="36" t="n"/>
      <c r="V191" s="43" t="n"/>
      <c r="W191" s="41">
        <f>IF(OR(V191="",U191=""),"",V191+U191)</f>
        <v/>
      </c>
      <c r="X191" s="37" t="n"/>
      <c r="Y191" s="36" t="n"/>
      <c r="Z191" s="37" t="n"/>
    </row>
    <row r="192">
      <c r="A192" s="35">
        <f>IF(E192="","",ROW()-5)</f>
        <v/>
      </c>
      <c r="B192" s="36" t="n"/>
      <c r="C192" s="36" t="n"/>
      <c r="D192" s="36" t="n"/>
      <c r="E192" s="37" t="n"/>
      <c r="F192" s="37" t="n"/>
      <c r="G192" s="37" t="n"/>
      <c r="H192" s="37" t="n"/>
      <c r="I192" s="37" t="n"/>
      <c r="J192" s="36" t="n"/>
      <c r="K192" s="36" t="n"/>
      <c r="L192" s="36" t="n"/>
      <c r="M192" s="36" t="n"/>
      <c r="N192" s="38" t="n"/>
      <c r="O192" s="39">
        <f>IF(OR(N192="",J192=""),"",N192*J192)</f>
        <v/>
      </c>
      <c r="P192" s="40" t="n"/>
      <c r="Q192" s="41">
        <f>IF(OR(P192="",Y192="발주완료",Y192="취소"),"",TODAY()+P192)</f>
        <v/>
      </c>
      <c r="R192" s="35">
        <f>IF(OR(Q192="",NOT(ISNUMBER($J$2))),"",IF(Q192&lt;=$J$2,"가능","초과 "&amp;(Q192-$J$2)&amp;"일"))</f>
        <v/>
      </c>
      <c r="S192" s="36" t="n"/>
      <c r="T192" s="36" t="n"/>
      <c r="U192" s="36" t="n"/>
      <c r="V192" s="43" t="n"/>
      <c r="W192" s="41">
        <f>IF(OR(V192="",U192=""),"",V192+U192)</f>
        <v/>
      </c>
      <c r="X192" s="37" t="n"/>
      <c r="Y192" s="36" t="n"/>
      <c r="Z192" s="37" t="n"/>
    </row>
    <row r="193">
      <c r="A193" s="35">
        <f>IF(E193="","",ROW()-5)</f>
        <v/>
      </c>
      <c r="B193" s="36" t="n"/>
      <c r="C193" s="36" t="n"/>
      <c r="D193" s="36" t="n"/>
      <c r="E193" s="37" t="n"/>
      <c r="F193" s="37" t="n"/>
      <c r="G193" s="37" t="n"/>
      <c r="H193" s="37" t="n"/>
      <c r="I193" s="37" t="n"/>
      <c r="J193" s="36" t="n"/>
      <c r="K193" s="36" t="n"/>
      <c r="L193" s="36" t="n"/>
      <c r="M193" s="36" t="n"/>
      <c r="N193" s="38" t="n"/>
      <c r="O193" s="39">
        <f>IF(OR(N193="",J193=""),"",N193*J193)</f>
        <v/>
      </c>
      <c r="P193" s="40" t="n"/>
      <c r="Q193" s="41">
        <f>IF(OR(P193="",Y193="발주완료",Y193="취소"),"",TODAY()+P193)</f>
        <v/>
      </c>
      <c r="R193" s="35">
        <f>IF(OR(Q193="",NOT(ISNUMBER($J$2))),"",IF(Q193&lt;=$J$2,"가능","초과 "&amp;(Q193-$J$2)&amp;"일"))</f>
        <v/>
      </c>
      <c r="S193" s="36" t="n"/>
      <c r="T193" s="36" t="n"/>
      <c r="U193" s="36" t="n"/>
      <c r="V193" s="43" t="n"/>
      <c r="W193" s="41">
        <f>IF(OR(V193="",U193=""),"",V193+U193)</f>
        <v/>
      </c>
      <c r="X193" s="37" t="n"/>
      <c r="Y193" s="36" t="n"/>
      <c r="Z193" s="37" t="n"/>
    </row>
    <row r="194">
      <c r="A194" s="35">
        <f>IF(E194="","",ROW()-5)</f>
        <v/>
      </c>
      <c r="B194" s="36" t="n"/>
      <c r="C194" s="36" t="n"/>
      <c r="D194" s="36" t="n"/>
      <c r="E194" s="37" t="n"/>
      <c r="F194" s="37" t="n"/>
      <c r="G194" s="37" t="n"/>
      <c r="H194" s="37" t="n"/>
      <c r="I194" s="37" t="n"/>
      <c r="J194" s="36" t="n"/>
      <c r="K194" s="36" t="n"/>
      <c r="L194" s="36" t="n"/>
      <c r="M194" s="36" t="n"/>
      <c r="N194" s="38" t="n"/>
      <c r="O194" s="39">
        <f>IF(OR(N194="",J194=""),"",N194*J194)</f>
        <v/>
      </c>
      <c r="P194" s="40" t="n"/>
      <c r="Q194" s="41">
        <f>IF(OR(P194="",Y194="발주완료",Y194="취소"),"",TODAY()+P194)</f>
        <v/>
      </c>
      <c r="R194" s="35">
        <f>IF(OR(Q194="",NOT(ISNUMBER($J$2))),"",IF(Q194&lt;=$J$2,"가능","초과 "&amp;(Q194-$J$2)&amp;"일"))</f>
        <v/>
      </c>
      <c r="S194" s="36" t="n"/>
      <c r="T194" s="36" t="n"/>
      <c r="U194" s="36" t="n"/>
      <c r="V194" s="43" t="n"/>
      <c r="W194" s="41">
        <f>IF(OR(V194="",U194=""),"",V194+U194)</f>
        <v/>
      </c>
      <c r="X194" s="37" t="n"/>
      <c r="Y194" s="36" t="n"/>
      <c r="Z194" s="37" t="n"/>
    </row>
    <row r="195">
      <c r="A195" s="35">
        <f>IF(E195="","",ROW()-5)</f>
        <v/>
      </c>
      <c r="B195" s="36" t="n"/>
      <c r="C195" s="36" t="n"/>
      <c r="D195" s="36" t="n"/>
      <c r="E195" s="37" t="n"/>
      <c r="F195" s="37" t="n"/>
      <c r="G195" s="37" t="n"/>
      <c r="H195" s="37" t="n"/>
      <c r="I195" s="37" t="n"/>
      <c r="J195" s="36" t="n"/>
      <c r="K195" s="36" t="n"/>
      <c r="L195" s="36" t="n"/>
      <c r="M195" s="36" t="n"/>
      <c r="N195" s="38" t="n"/>
      <c r="O195" s="39">
        <f>IF(OR(N195="",J195=""),"",N195*J195)</f>
        <v/>
      </c>
      <c r="P195" s="40" t="n"/>
      <c r="Q195" s="41">
        <f>IF(OR(P195="",Y195="발주완료",Y195="취소"),"",TODAY()+P195)</f>
        <v/>
      </c>
      <c r="R195" s="35">
        <f>IF(OR(Q195="",NOT(ISNUMBER($J$2))),"",IF(Q195&lt;=$J$2,"가능","초과 "&amp;(Q195-$J$2)&amp;"일"))</f>
        <v/>
      </c>
      <c r="S195" s="36" t="n"/>
      <c r="T195" s="36" t="n"/>
      <c r="U195" s="36" t="n"/>
      <c r="V195" s="43" t="n"/>
      <c r="W195" s="41">
        <f>IF(OR(V195="",U195=""),"",V195+U195)</f>
        <v/>
      </c>
      <c r="X195" s="37" t="n"/>
      <c r="Y195" s="36" t="n"/>
      <c r="Z195" s="37" t="n"/>
    </row>
    <row r="196">
      <c r="A196" s="35">
        <f>IF(E196="","",ROW()-5)</f>
        <v/>
      </c>
      <c r="B196" s="36" t="n"/>
      <c r="C196" s="36" t="n"/>
      <c r="D196" s="36" t="n"/>
      <c r="E196" s="37" t="n"/>
      <c r="F196" s="37" t="n"/>
      <c r="G196" s="37" t="n"/>
      <c r="H196" s="37" t="n"/>
      <c r="I196" s="37" t="n"/>
      <c r="J196" s="36" t="n"/>
      <c r="K196" s="36" t="n"/>
      <c r="L196" s="36" t="n"/>
      <c r="M196" s="36" t="n"/>
      <c r="N196" s="38" t="n"/>
      <c r="O196" s="39">
        <f>IF(OR(N196="",J196=""),"",N196*J196)</f>
        <v/>
      </c>
      <c r="P196" s="40" t="n"/>
      <c r="Q196" s="41">
        <f>IF(OR(P196="",Y196="발주완료",Y196="취소"),"",TODAY()+P196)</f>
        <v/>
      </c>
      <c r="R196" s="35">
        <f>IF(OR(Q196="",NOT(ISNUMBER($J$2))),"",IF(Q196&lt;=$J$2,"가능","초과 "&amp;(Q196-$J$2)&amp;"일"))</f>
        <v/>
      </c>
      <c r="S196" s="36" t="n"/>
      <c r="T196" s="36" t="n"/>
      <c r="U196" s="36" t="n"/>
      <c r="V196" s="43" t="n"/>
      <c r="W196" s="41">
        <f>IF(OR(V196="",U196=""),"",V196+U196)</f>
        <v/>
      </c>
      <c r="X196" s="37" t="n"/>
      <c r="Y196" s="36" t="n"/>
      <c r="Z196" s="37" t="n"/>
    </row>
    <row r="197">
      <c r="A197" s="35">
        <f>IF(E197="","",ROW()-5)</f>
        <v/>
      </c>
      <c r="B197" s="36" t="n"/>
      <c r="C197" s="36" t="n"/>
      <c r="D197" s="36" t="n"/>
      <c r="E197" s="37" t="n"/>
      <c r="F197" s="37" t="n"/>
      <c r="G197" s="37" t="n"/>
      <c r="H197" s="37" t="n"/>
      <c r="I197" s="37" t="n"/>
      <c r="J197" s="36" t="n"/>
      <c r="K197" s="36" t="n"/>
      <c r="L197" s="36" t="n"/>
      <c r="M197" s="36" t="n"/>
      <c r="N197" s="38" t="n"/>
      <c r="O197" s="39">
        <f>IF(OR(N197="",J197=""),"",N197*J197)</f>
        <v/>
      </c>
      <c r="P197" s="40" t="n"/>
      <c r="Q197" s="41">
        <f>IF(OR(P197="",Y197="발주완료",Y197="취소"),"",TODAY()+P197)</f>
        <v/>
      </c>
      <c r="R197" s="35">
        <f>IF(OR(Q197="",NOT(ISNUMBER($J$2))),"",IF(Q197&lt;=$J$2,"가능","초과 "&amp;(Q197-$J$2)&amp;"일"))</f>
        <v/>
      </c>
      <c r="S197" s="36" t="n"/>
      <c r="T197" s="36" t="n"/>
      <c r="U197" s="36" t="n"/>
      <c r="V197" s="43" t="n"/>
      <c r="W197" s="41">
        <f>IF(OR(V197="",U197=""),"",V197+U197)</f>
        <v/>
      </c>
      <c r="X197" s="37" t="n"/>
      <c r="Y197" s="36" t="n"/>
      <c r="Z197" s="37" t="n"/>
    </row>
    <row r="198">
      <c r="A198" s="35">
        <f>IF(E198="","",ROW()-5)</f>
        <v/>
      </c>
      <c r="B198" s="36" t="n"/>
      <c r="C198" s="36" t="n"/>
      <c r="D198" s="36" t="n"/>
      <c r="E198" s="37" t="n"/>
      <c r="F198" s="37" t="n"/>
      <c r="G198" s="37" t="n"/>
      <c r="H198" s="37" t="n"/>
      <c r="I198" s="37" t="n"/>
      <c r="J198" s="36" t="n"/>
      <c r="K198" s="36" t="n"/>
      <c r="L198" s="36" t="n"/>
      <c r="M198" s="36" t="n"/>
      <c r="N198" s="38" t="n"/>
      <c r="O198" s="39">
        <f>IF(OR(N198="",J198=""),"",N198*J198)</f>
        <v/>
      </c>
      <c r="P198" s="40" t="n"/>
      <c r="Q198" s="41">
        <f>IF(OR(P198="",Y198="발주완료",Y198="취소"),"",TODAY()+P198)</f>
        <v/>
      </c>
      <c r="R198" s="35">
        <f>IF(OR(Q198="",NOT(ISNUMBER($J$2))),"",IF(Q198&lt;=$J$2,"가능","초과 "&amp;(Q198-$J$2)&amp;"일"))</f>
        <v/>
      </c>
      <c r="S198" s="36" t="n"/>
      <c r="T198" s="36" t="n"/>
      <c r="U198" s="36" t="n"/>
      <c r="V198" s="43" t="n"/>
      <c r="W198" s="41">
        <f>IF(OR(V198="",U198=""),"",V198+U198)</f>
        <v/>
      </c>
      <c r="X198" s="37" t="n"/>
      <c r="Y198" s="36" t="n"/>
      <c r="Z198" s="37" t="n"/>
    </row>
    <row r="199">
      <c r="A199" s="35">
        <f>IF(E199="","",ROW()-5)</f>
        <v/>
      </c>
      <c r="B199" s="36" t="n"/>
      <c r="C199" s="36" t="n"/>
      <c r="D199" s="36" t="n"/>
      <c r="E199" s="37" t="n"/>
      <c r="F199" s="37" t="n"/>
      <c r="G199" s="37" t="n"/>
      <c r="H199" s="37" t="n"/>
      <c r="I199" s="37" t="n"/>
      <c r="J199" s="36" t="n"/>
      <c r="K199" s="36" t="n"/>
      <c r="L199" s="36" t="n"/>
      <c r="M199" s="36" t="n"/>
      <c r="N199" s="38" t="n"/>
      <c r="O199" s="39">
        <f>IF(OR(N199="",J199=""),"",N199*J199)</f>
        <v/>
      </c>
      <c r="P199" s="40" t="n"/>
      <c r="Q199" s="41">
        <f>IF(OR(P199="",Y199="발주완료",Y199="취소"),"",TODAY()+P199)</f>
        <v/>
      </c>
      <c r="R199" s="35">
        <f>IF(OR(Q199="",NOT(ISNUMBER($J$2))),"",IF(Q199&lt;=$J$2,"가능","초과 "&amp;(Q199-$J$2)&amp;"일"))</f>
        <v/>
      </c>
      <c r="S199" s="36" t="n"/>
      <c r="T199" s="36" t="n"/>
      <c r="U199" s="36" t="n"/>
      <c r="V199" s="43" t="n"/>
      <c r="W199" s="41">
        <f>IF(OR(V199="",U199=""),"",V199+U199)</f>
        <v/>
      </c>
      <c r="X199" s="37" t="n"/>
      <c r="Y199" s="36" t="n"/>
      <c r="Z199" s="37" t="n"/>
    </row>
    <row r="200">
      <c r="A200" s="35">
        <f>IF(E200="","",ROW()-5)</f>
        <v/>
      </c>
      <c r="B200" s="36" t="n"/>
      <c r="C200" s="36" t="n"/>
      <c r="D200" s="36" t="n"/>
      <c r="E200" s="37" t="n"/>
      <c r="F200" s="37" t="n"/>
      <c r="G200" s="37" t="n"/>
      <c r="H200" s="37" t="n"/>
      <c r="I200" s="37" t="n"/>
      <c r="J200" s="36" t="n"/>
      <c r="K200" s="36" t="n"/>
      <c r="L200" s="36" t="n"/>
      <c r="M200" s="36" t="n"/>
      <c r="N200" s="38" t="n"/>
      <c r="O200" s="39">
        <f>IF(OR(N200="",J200=""),"",N200*J200)</f>
        <v/>
      </c>
      <c r="P200" s="40" t="n"/>
      <c r="Q200" s="41">
        <f>IF(OR(P200="",Y200="발주완료",Y200="취소"),"",TODAY()+P200)</f>
        <v/>
      </c>
      <c r="R200" s="35">
        <f>IF(OR(Q200="",NOT(ISNUMBER($J$2))),"",IF(Q200&lt;=$J$2,"가능","초과 "&amp;(Q200-$J$2)&amp;"일"))</f>
        <v/>
      </c>
      <c r="S200" s="36" t="n"/>
      <c r="T200" s="36" t="n"/>
      <c r="U200" s="36" t="n"/>
      <c r="V200" s="43" t="n"/>
      <c r="W200" s="41">
        <f>IF(OR(V200="",U200=""),"",V200+U200)</f>
        <v/>
      </c>
      <c r="X200" s="37" t="n"/>
      <c r="Y200" s="36" t="n"/>
      <c r="Z200" s="37" t="n"/>
    </row>
    <row r="201">
      <c r="A201" s="35">
        <f>IF(E201="","",ROW()-5)</f>
        <v/>
      </c>
      <c r="B201" s="36" t="n"/>
      <c r="C201" s="36" t="n"/>
      <c r="D201" s="36" t="n"/>
      <c r="E201" s="37" t="n"/>
      <c r="F201" s="37" t="n"/>
      <c r="G201" s="37" t="n"/>
      <c r="H201" s="37" t="n"/>
      <c r="I201" s="37" t="n"/>
      <c r="J201" s="36" t="n"/>
      <c r="K201" s="36" t="n"/>
      <c r="L201" s="36" t="n"/>
      <c r="M201" s="36" t="n"/>
      <c r="N201" s="38" t="n"/>
      <c r="O201" s="39">
        <f>IF(OR(N201="",J201=""),"",N201*J201)</f>
        <v/>
      </c>
      <c r="P201" s="40" t="n"/>
      <c r="Q201" s="41">
        <f>IF(OR(P201="",Y201="발주완료",Y201="취소"),"",TODAY()+P201)</f>
        <v/>
      </c>
      <c r="R201" s="35">
        <f>IF(OR(Q201="",NOT(ISNUMBER($J$2))),"",IF(Q201&lt;=$J$2,"가능","초과 "&amp;(Q201-$J$2)&amp;"일"))</f>
        <v/>
      </c>
      <c r="S201" s="36" t="n"/>
      <c r="T201" s="36" t="n"/>
      <c r="U201" s="36" t="n"/>
      <c r="V201" s="43" t="n"/>
      <c r="W201" s="41">
        <f>IF(OR(V201="",U201=""),"",V201+U201)</f>
        <v/>
      </c>
      <c r="X201" s="37" t="n"/>
      <c r="Y201" s="36" t="n"/>
      <c r="Z201" s="37" t="n"/>
    </row>
    <row r="202">
      <c r="A202" s="35">
        <f>IF(E202="","",ROW()-5)</f>
        <v/>
      </c>
      <c r="B202" s="36" t="n"/>
      <c r="C202" s="36" t="n"/>
      <c r="D202" s="36" t="n"/>
      <c r="E202" s="37" t="n"/>
      <c r="F202" s="37" t="n"/>
      <c r="G202" s="37" t="n"/>
      <c r="H202" s="37" t="n"/>
      <c r="I202" s="37" t="n"/>
      <c r="J202" s="36" t="n"/>
      <c r="K202" s="36" t="n"/>
      <c r="L202" s="36" t="n"/>
      <c r="M202" s="36" t="n"/>
      <c r="N202" s="38" t="n"/>
      <c r="O202" s="39">
        <f>IF(OR(N202="",J202=""),"",N202*J202)</f>
        <v/>
      </c>
      <c r="P202" s="40" t="n"/>
      <c r="Q202" s="41">
        <f>IF(OR(P202="",Y202="발주완료",Y202="취소"),"",TODAY()+P202)</f>
        <v/>
      </c>
      <c r="R202" s="35">
        <f>IF(OR(Q202="",NOT(ISNUMBER($J$2))),"",IF(Q202&lt;=$J$2,"가능","초과 "&amp;(Q202-$J$2)&amp;"일"))</f>
        <v/>
      </c>
      <c r="S202" s="36" t="n"/>
      <c r="T202" s="36" t="n"/>
      <c r="U202" s="36" t="n"/>
      <c r="V202" s="43" t="n"/>
      <c r="W202" s="41">
        <f>IF(OR(V202="",U202=""),"",V202+U202)</f>
        <v/>
      </c>
      <c r="X202" s="37" t="n"/>
      <c r="Y202" s="36" t="n"/>
      <c r="Z202" s="37" t="n"/>
    </row>
    <row r="203">
      <c r="A203" s="35">
        <f>IF(E203="","",ROW()-5)</f>
        <v/>
      </c>
      <c r="B203" s="36" t="n"/>
      <c r="C203" s="36" t="n"/>
      <c r="D203" s="36" t="n"/>
      <c r="E203" s="37" t="n"/>
      <c r="F203" s="37" t="n"/>
      <c r="G203" s="37" t="n"/>
      <c r="H203" s="37" t="n"/>
      <c r="I203" s="37" t="n"/>
      <c r="J203" s="36" t="n"/>
      <c r="K203" s="36" t="n"/>
      <c r="L203" s="36" t="n"/>
      <c r="M203" s="36" t="n"/>
      <c r="N203" s="38" t="n"/>
      <c r="O203" s="39">
        <f>IF(OR(N203="",J203=""),"",N203*J203)</f>
        <v/>
      </c>
      <c r="P203" s="40" t="n"/>
      <c r="Q203" s="41">
        <f>IF(OR(P203="",Y203="발주완료",Y203="취소"),"",TODAY()+P203)</f>
        <v/>
      </c>
      <c r="R203" s="35">
        <f>IF(OR(Q203="",NOT(ISNUMBER($J$2))),"",IF(Q203&lt;=$J$2,"가능","초과 "&amp;(Q203-$J$2)&amp;"일"))</f>
        <v/>
      </c>
      <c r="S203" s="36" t="n"/>
      <c r="T203" s="36" t="n"/>
      <c r="U203" s="36" t="n"/>
      <c r="V203" s="43" t="n"/>
      <c r="W203" s="41">
        <f>IF(OR(V203="",U203=""),"",V203+U203)</f>
        <v/>
      </c>
      <c r="X203" s="37" t="n"/>
      <c r="Y203" s="36" t="n"/>
      <c r="Z203" s="37" t="n"/>
    </row>
    <row r="204">
      <c r="A204" s="35">
        <f>IF(E204="","",ROW()-5)</f>
        <v/>
      </c>
      <c r="B204" s="36" t="n"/>
      <c r="C204" s="36" t="n"/>
      <c r="D204" s="36" t="n"/>
      <c r="E204" s="37" t="n"/>
      <c r="F204" s="37" t="n"/>
      <c r="G204" s="37" t="n"/>
      <c r="H204" s="37" t="n"/>
      <c r="I204" s="37" t="n"/>
      <c r="J204" s="36" t="n"/>
      <c r="K204" s="36" t="n"/>
      <c r="L204" s="36" t="n"/>
      <c r="M204" s="36" t="n"/>
      <c r="N204" s="38" t="n"/>
      <c r="O204" s="39">
        <f>IF(OR(N204="",J204=""),"",N204*J204)</f>
        <v/>
      </c>
      <c r="P204" s="40" t="n"/>
      <c r="Q204" s="41">
        <f>IF(OR(P204="",Y204="발주완료",Y204="취소"),"",TODAY()+P204)</f>
        <v/>
      </c>
      <c r="R204" s="35">
        <f>IF(OR(Q204="",NOT(ISNUMBER($J$2))),"",IF(Q204&lt;=$J$2,"가능","초과 "&amp;(Q204-$J$2)&amp;"일"))</f>
        <v/>
      </c>
      <c r="S204" s="36" t="n"/>
      <c r="T204" s="36" t="n"/>
      <c r="U204" s="36" t="n"/>
      <c r="V204" s="43" t="n"/>
      <c r="W204" s="41">
        <f>IF(OR(V204="",U204=""),"",V204+U204)</f>
        <v/>
      </c>
      <c r="X204" s="37" t="n"/>
      <c r="Y204" s="36" t="n"/>
      <c r="Z204" s="37" t="n"/>
    </row>
    <row r="205">
      <c r="A205" s="35">
        <f>IF(E205="","",ROW()-5)</f>
        <v/>
      </c>
      <c r="B205" s="36" t="n"/>
      <c r="C205" s="36" t="n"/>
      <c r="D205" s="36" t="n"/>
      <c r="E205" s="37" t="n"/>
      <c r="F205" s="37" t="n"/>
      <c r="G205" s="37" t="n"/>
      <c r="H205" s="37" t="n"/>
      <c r="I205" s="37" t="n"/>
      <c r="J205" s="36" t="n"/>
      <c r="K205" s="36" t="n"/>
      <c r="L205" s="36" t="n"/>
      <c r="M205" s="36" t="n"/>
      <c r="N205" s="38" t="n"/>
      <c r="O205" s="39">
        <f>IF(OR(N205="",J205=""),"",N205*J205)</f>
        <v/>
      </c>
      <c r="P205" s="40" t="n"/>
      <c r="Q205" s="41">
        <f>IF(OR(P205="",Y205="발주완료",Y205="취소"),"",TODAY()+P205)</f>
        <v/>
      </c>
      <c r="R205" s="35">
        <f>IF(OR(Q205="",NOT(ISNUMBER($J$2))),"",IF(Q205&lt;=$J$2,"가능","초과 "&amp;(Q205-$J$2)&amp;"일"))</f>
        <v/>
      </c>
      <c r="S205" s="36" t="n"/>
      <c r="T205" s="36" t="n"/>
      <c r="U205" s="36" t="n"/>
      <c r="V205" s="43" t="n"/>
      <c r="W205" s="41">
        <f>IF(OR(V205="",U205=""),"",V205+U205)</f>
        <v/>
      </c>
      <c r="X205" s="37" t="n"/>
      <c r="Y205" s="36" t="n"/>
      <c r="Z205" s="37" t="n"/>
    </row>
  </sheetData>
  <autoFilter ref="A5:Z205"/>
  <mergeCells count="5">
    <mergeCell ref="A2:E2"/>
    <mergeCell ref="G2:H2"/>
    <mergeCell ref="J2:K2"/>
    <mergeCell ref="M3:N3"/>
    <mergeCell ref="K3:L3"/>
  </mergeCells>
  <conditionalFormatting sqref="A2">
    <cfRule type="expression" priority="1" dxfId="0">
      <formula>AND(ISNUMBER($F$2),$F$2&gt;=0,$F$2&lt;=4)</formula>
    </cfRule>
    <cfRule type="expression" priority="2" dxfId="1">
      <formula>AND(ISNUMBER($F$2),$F$2&gt;4,$F$2&lt;=7)</formula>
    </cfRule>
  </conditionalFormatting>
  <conditionalFormatting sqref="F2">
    <cfRule type="expression" priority="3" dxfId="0">
      <formula>AND(ISNUMBER($F$2),$F$2&gt;=0,$F$2&lt;=4)</formula>
    </cfRule>
    <cfRule type="expression" priority="4" dxfId="1">
      <formula>AND(ISNUMBER($F$2),$F$2&gt;4,$F$2&lt;=7)</formula>
    </cfRule>
  </conditionalFormatting>
  <conditionalFormatting sqref="G2">
    <cfRule type="expression" priority="5" dxfId="0">
      <formula>AND(ISNUMBER($F$2),$F$2&gt;=0,$F$2&lt;=4)</formula>
    </cfRule>
    <cfRule type="expression" priority="6" dxfId="1">
      <formula>AND(ISNUMBER($F$2),$F$2&gt;4,$F$2&lt;=7)</formula>
    </cfRule>
  </conditionalFormatting>
  <conditionalFormatting sqref="M6:M205">
    <cfRule type="cellIs" priority="7" operator="equal" dxfId="7">
      <formula>"견적접수"</formula>
    </cfRule>
    <cfRule type="cellIs" priority="8" operator="equal" dxfId="8">
      <formula>"확인필요"</formula>
    </cfRule>
    <cfRule type="cellIs" priority="9" operator="equal" dxfId="9">
      <formula>"공급불가"</formula>
    </cfRule>
    <cfRule type="cellIs" priority="10" operator="equal" dxfId="10">
      <formula>"미접수"</formula>
    </cfRule>
  </conditionalFormatting>
  <conditionalFormatting sqref="A6:Z205">
    <cfRule type="expression" priority="11" dxfId="11">
      <formula>OR($Y6="발주완료",$Y6="취소")</formula>
    </cfRule>
  </conditionalFormatting>
  <conditionalFormatting sqref="W6:W205">
    <cfRule type="expression" priority="12" dxfId="0">
      <formula>AND($W6&lt;&gt;"",$W6&lt;TODAY())</formula>
    </cfRule>
    <cfRule type="expression" priority="13" dxfId="8">
      <formula>AND($W6&lt;&gt;"",$W6-TODAY()&lt;=5)</formula>
    </cfRule>
  </conditionalFormatting>
  <conditionalFormatting sqref="R6:R205">
    <cfRule type="expression" priority="14" dxfId="9">
      <formula>LEFT($R6,2)="초과"</formula>
    </cfRule>
    <cfRule type="cellIs" priority="15" operator="equal" dxfId="7">
      <formula>"가능"</formula>
    </cfRule>
  </conditionalFormatting>
  <dataValidations count="3">
    <dataValidation sqref="M6:M205" showDropDown="0" showInputMessage="0" showErrorMessage="0" allowBlank="1" errorTitle="입력 확인" error="목록에서 선택하세요" type="list">
      <formula1>=설정!$A$5:$A$14</formula1>
    </dataValidation>
    <dataValidation sqref="Y6:Y205" showDropDown="0" showInputMessage="0" showErrorMessage="0" allowBlank="1" errorTitle="입력 확인" error="목록에서 선택하세요 ('설정' 시트에서 추가 가능)" type="list">
      <formula1>=설정!$C$5:$C$16</formula1>
    </dataValidation>
    <dataValidation sqref="L6:L205" showDropDown="0" showInputMessage="0" showErrorMessage="0" allowBlank="1" errorTitle="입력 확인" error="업체는 '설정' 시트에 먼저 추가하세요" type="list">
      <formula1>=설정!$E$5:$E$24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Z205"/>
  <sheetViews>
    <sheetView zoomScale="9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" customWidth="1" min="3" max="3"/>
    <col width="11" customWidth="1" min="4" max="4"/>
    <col width="28" customWidth="1" min="5" max="5"/>
    <col width="20" customWidth="1" min="6" max="6"/>
    <col width="24" customWidth="1" min="7" max="7"/>
    <col width="18" customWidth="1" min="8" max="8"/>
    <col width="22" customWidth="1" min="9" max="9"/>
    <col width="6" customWidth="1" min="10" max="10"/>
    <col width="6" customWidth="1" min="11" max="11"/>
    <col width="9" customWidth="1" min="12" max="12"/>
    <col width="10" customWidth="1" min="13" max="13"/>
    <col width="12" customWidth="1" min="14" max="14"/>
    <col width="13" customWidth="1" min="15" max="15"/>
    <col width="7" customWidth="1" min="16" max="16"/>
    <col width="11" customWidth="1" min="17" max="17"/>
    <col width="12" customWidth="1" min="18" max="18"/>
    <col width="9" customWidth="1" min="19" max="19"/>
    <col width="14" customWidth="1" min="20" max="20"/>
    <col width="6" customWidth="1" min="21" max="21"/>
    <col width="11" customWidth="1" min="22" max="22"/>
    <col width="11" customWidth="1" min="23" max="23"/>
    <col width="34" customWidth="1" min="24" max="24"/>
    <col width="13" customWidth="1" min="25" max="25"/>
    <col width="30" customWidth="1" min="26" max="26"/>
  </cols>
  <sheetData>
    <row r="1">
      <c r="A1" s="1" t="inlineStr">
        <is>
          <t>MELICERTES</t>
        </is>
      </c>
      <c r="D1" s="44" t="inlineStr">
        <is>
          <t>IMO 9958303   ·   URGENT   ·   납품항/ETA: Sabetta, ETA 19-Oct-2026</t>
        </is>
      </c>
    </row>
    <row r="2" ht="24" customHeight="1">
      <c r="A2" s="27">
        <f>IFERROR(IF(N(INDEX(스케줄!$C$5:$C$14,MATCH("MELICERTES",스케줄!$A$5:$A$14,0)))=0,"다음 일정: 미정 (스케줄 시트에 입력)","다음 일정: "&amp;INDEX(스케줄!$B$5:$B$14,MATCH("MELICERTES",스케줄!$A$5:$A$14,0))&amp;"  "&amp;TEXT(INDEX(스케줄!$C$5:$C$14,MATCH("MELICERTES",스케줄!$A$5:$A$14,0)),"mm/dd")&amp;IF(N(INDEX(스케줄!$D$5:$D$14,MATCH("MELICERTES",스케줄!$A$5:$A$14,0)))=0,"","~"&amp;TEXT(INDEX(스케줄!$D$5:$D$14,MATCH("MELICERTES",스케줄!$A$5:$A$14,0)),"mm/dd"))),"")</f>
        <v/>
      </c>
      <c r="F2" s="28">
        <f>IFERROR(INDEX(스케줄!$I$5:$I$14,MATCH("MELICERTES",스케줄!$A$5:$A$14,0)),"")</f>
        <v/>
      </c>
      <c r="G2" s="29">
        <f>IFERROR(INDEX(스케줄!$J$5:$J$14,MATCH("MELICERTES",스케줄!$A$5:$A$14,0)),"")</f>
        <v/>
      </c>
      <c r="I2" s="30" t="inlineStr">
        <is>
          <t>부산 출고 마감</t>
        </is>
      </c>
      <c r="J2" s="31">
        <f>IFERROR(INDEX(스케줄!$F$5:$F$14,MATCH("MELICERTES",스케줄!$A$5:$A$14,0)),"")</f>
        <v/>
      </c>
    </row>
    <row r="3" ht="22" customHeight="1">
      <c r="A3" s="30" t="inlineStr">
        <is>
          <t>품목</t>
        </is>
      </c>
      <c r="B3" s="32">
        <f>COUNTA($E$6:$E$205)</f>
        <v/>
      </c>
      <c r="C3" s="30" t="inlineStr">
        <is>
          <t>견적접수</t>
        </is>
      </c>
      <c r="D3" s="32">
        <f>COUNTIF($M$6:$M$205,"견적접수")</f>
        <v/>
      </c>
      <c r="E3" s="30" t="inlineStr">
        <is>
          <t>확인필요</t>
        </is>
      </c>
      <c r="F3" s="32">
        <f>COUNTIF($M$6:$M$205,"확인필요")</f>
        <v/>
      </c>
      <c r="G3" s="30" t="inlineStr">
        <is>
          <t>공급불가</t>
        </is>
      </c>
      <c r="H3" s="32">
        <f>COUNTIF($M$6:$M$205,"공급불가")</f>
        <v/>
      </c>
      <c r="I3" s="30" t="inlineStr">
        <is>
          <t>미접수</t>
        </is>
      </c>
      <c r="J3" s="32">
        <f>COUNTIF($M$6:$M$205,"미접수")</f>
        <v/>
      </c>
      <c r="K3" s="30" t="inlineStr">
        <is>
          <t>견적금액 합계 (KRW)</t>
        </is>
      </c>
      <c r="L3" s="33" t="n"/>
      <c r="M3" s="34">
        <f>SUM($O$6:$O$205)</f>
        <v/>
      </c>
    </row>
    <row r="4">
      <c r="A4" s="2" t="inlineStr">
        <is>
          <t>노란 칸 = 입력 / 회색 칸 = 자동 계산 · 새 품목·다른 업체 견적은 아래 빈 줄에 추가 · ▼ 필터로 상태별 보기 · 일정은 '스케줄' 시트에서 수정</t>
        </is>
      </c>
    </row>
    <row r="5" ht="32" customHeight="1">
      <c r="A5" s="18" t="inlineStr">
        <is>
          <t>No</t>
        </is>
      </c>
      <c r="B5" s="4" t="inlineStr">
        <is>
          <t>RFQ No.</t>
        </is>
      </c>
      <c r="C5" s="4" t="inlineStr">
        <is>
          <t>파일</t>
        </is>
      </c>
      <c r="D5" s="4" t="inlineStr">
        <is>
          <t>Maker</t>
        </is>
      </c>
      <c r="E5" s="4" t="inlineStr">
        <is>
          <t>품목 (Item)</t>
        </is>
      </c>
      <c r="F5" s="4" t="inlineStr">
        <is>
          <t>Model</t>
        </is>
      </c>
      <c r="G5" s="4" t="inlineStr">
        <is>
          <t>Part No. / Drawing</t>
        </is>
      </c>
      <c r="H5" s="4" t="inlineStr">
        <is>
          <t>Equipment / System</t>
        </is>
      </c>
      <c r="I5" s="4" t="inlineStr">
        <is>
          <t>Spec / 비고</t>
        </is>
      </c>
      <c r="J5" s="4" t="inlineStr">
        <is>
          <t>수량</t>
        </is>
      </c>
      <c r="K5" s="4" t="inlineStr">
        <is>
          <t>단위</t>
        </is>
      </c>
      <c r="L5" s="4" t="inlineStr">
        <is>
          <t>견적업체</t>
        </is>
      </c>
      <c r="M5" s="4" t="inlineStr">
        <is>
          <t>견적상태</t>
        </is>
      </c>
      <c r="N5" s="4" t="inlineStr">
        <is>
          <t>단가
(KRW)</t>
        </is>
      </c>
      <c r="O5" s="18" t="inlineStr">
        <is>
          <t>금액
(KRW)</t>
        </is>
      </c>
      <c r="P5" s="4" t="inlineStr">
        <is>
          <t>납기
(일)</t>
        </is>
      </c>
      <c r="Q5" s="18" t="inlineStr">
        <is>
          <t>준비
예상일</t>
        </is>
      </c>
      <c r="R5" s="18" t="inlineStr">
        <is>
          <t>일정
대비</t>
        </is>
      </c>
      <c r="S5" s="4" t="inlineStr">
        <is>
          <t>정품/
OEM</t>
        </is>
      </c>
      <c r="T5" s="4" t="inlineStr">
        <is>
          <t>인도조건</t>
        </is>
      </c>
      <c r="U5" s="4" t="inlineStr">
        <is>
          <t>유효
(일)</t>
        </is>
      </c>
      <c r="V5" s="4" t="inlineStr">
        <is>
          <t>접수일</t>
        </is>
      </c>
      <c r="W5" s="18" t="inlineStr">
        <is>
          <t>만료일</t>
        </is>
      </c>
      <c r="X5" s="4" t="inlineStr">
        <is>
          <t>업체 회신 원문</t>
        </is>
      </c>
      <c r="Y5" s="4" t="inlineStr">
        <is>
          <t>진행상태</t>
        </is>
      </c>
      <c r="Z5" s="4" t="inlineStr">
        <is>
          <t>다음 조치</t>
        </is>
      </c>
    </row>
    <row r="6">
      <c r="A6" s="35">
        <f>IF(E6="","",ROW()-5)</f>
        <v/>
      </c>
      <c r="B6" s="36" t="inlineStr">
        <is>
          <t>KQU-000116304</t>
        </is>
      </c>
      <c r="C6" s="36" t="inlineStr">
        <is>
          <t>01</t>
        </is>
      </c>
      <c r="D6" s="36" t="inlineStr">
        <is>
          <t>NORGREN</t>
        </is>
      </c>
      <c r="E6" s="37" t="inlineStr">
        <is>
          <t>Air Filter Element</t>
        </is>
      </c>
      <c r="F6" s="37" t="inlineStr">
        <is>
          <t>Hanwha-Man B&amp;W 5G70ME-C10.5-GA</t>
        </is>
      </c>
      <c r="G6" s="37" t="n"/>
      <c r="H6" s="37" t="inlineStr">
        <is>
          <t>Emission Control System 5672-0260-00001</t>
        </is>
      </c>
      <c r="I6" s="37" t="inlineStr">
        <is>
          <t>Service Kit F05G 40 MIC/ MAKER: NORGREN</t>
        </is>
      </c>
      <c r="J6" s="36" t="n">
        <v>100</v>
      </c>
      <c r="K6" s="36" t="inlineStr">
        <is>
          <t>pcs</t>
        </is>
      </c>
      <c r="L6" s="36" t="inlineStr">
        <is>
          <t>RMS</t>
        </is>
      </c>
      <c r="M6" s="36" t="inlineStr">
        <is>
          <t>견적접수</t>
        </is>
      </c>
      <c r="N6" s="38" t="n">
        <v>99500</v>
      </c>
      <c r="O6" s="39">
        <f>IF(OR(N6="",J6=""),"",N6*J6)</f>
        <v/>
      </c>
      <c r="P6" s="40" t="n">
        <v>90</v>
      </c>
      <c r="Q6" s="41">
        <f>IF(OR(P6="",Y6="발주완료",Y6="취소"),"",TODAY()+P6)</f>
        <v/>
      </c>
      <c r="R6" s="35">
        <f>IF(OR(Q6="",NOT(ISNUMBER($J$2))),"",IF(Q6&lt;=$J$2,"가능","초과 "&amp;(Q6-$J$2)&amp;"일"))</f>
        <v/>
      </c>
      <c r="S6" s="36" t="inlineStr">
        <is>
          <t>OEM</t>
        </is>
      </c>
      <c r="T6" s="36" t="inlineStr">
        <is>
          <t>EX WORK BUSAN</t>
        </is>
      </c>
      <c r="U6" s="36" t="n">
        <v>20</v>
      </c>
      <c r="V6" s="42" t="n"/>
      <c r="W6" s="41">
        <f>IF(OR(V6="",U6=""),"",V6+U6)</f>
        <v/>
      </c>
      <c r="X6" s="37" t="inlineStr">
        <is>
          <t>D/T: 90 DAYS, OEM, EX WORK BUSAN [VALI: 20 DAYS]</t>
        </is>
      </c>
      <c r="Y6" s="36" t="inlineStr">
        <is>
          <t>검토중</t>
        </is>
      </c>
      <c r="Z6" s="37" t="inlineStr">
        <is>
          <t>긴급 – 납기 90일, 단축 가능 여부 확인</t>
        </is>
      </c>
    </row>
    <row r="7">
      <c r="A7" s="35">
        <f>IF(E7="","",ROW()-5)</f>
        <v/>
      </c>
      <c r="B7" s="36" t="inlineStr">
        <is>
          <t>KQU-000116305</t>
        </is>
      </c>
      <c r="C7" s="36" t="inlineStr">
        <is>
          <t>03</t>
        </is>
      </c>
      <c r="D7" s="36" t="inlineStr">
        <is>
          <t>DANFOSS</t>
        </is>
      </c>
      <c r="E7" s="37" t="inlineStr">
        <is>
          <t>Pressure transmitter DANFOSS</t>
        </is>
      </c>
      <c r="F7" s="37" t="inlineStr">
        <is>
          <t>DANFOSS</t>
        </is>
      </c>
      <c r="G7" s="37" t="inlineStr">
        <is>
          <t>MBS3350 / 0...6 BAR (060G6727)</t>
        </is>
      </c>
      <c r="H7" s="37" t="inlineStr">
        <is>
          <t>Main Engine</t>
        </is>
      </c>
      <c r="I7" s="37" t="n"/>
      <c r="J7" s="36" t="n">
        <v>1</v>
      </c>
      <c r="K7" s="36" t="inlineStr">
        <is>
          <t>PCE</t>
        </is>
      </c>
      <c r="L7" s="36" t="inlineStr">
        <is>
          <t>RMS</t>
        </is>
      </c>
      <c r="M7" s="36" t="inlineStr">
        <is>
          <t>견적접수</t>
        </is>
      </c>
      <c r="N7" s="38" t="n">
        <v>261500</v>
      </c>
      <c r="O7" s="39">
        <f>IF(OR(N7="",J7=""),"",N7*J7)</f>
        <v/>
      </c>
      <c r="P7" s="40" t="n">
        <v>90</v>
      </c>
      <c r="Q7" s="41">
        <f>IF(OR(P7="",Y7="발주완료",Y7="취소"),"",TODAY()+P7)</f>
        <v/>
      </c>
      <c r="R7" s="35">
        <f>IF(OR(Q7="",NOT(ISNUMBER($J$2))),"",IF(Q7&lt;=$J$2,"가능","초과 "&amp;(Q7-$J$2)&amp;"일"))</f>
        <v/>
      </c>
      <c r="S7" s="36" t="inlineStr">
        <is>
          <t>GENUINE</t>
        </is>
      </c>
      <c r="T7" s="36" t="inlineStr">
        <is>
          <t>EX WORK BUSAN</t>
        </is>
      </c>
      <c r="U7" s="36" t="n">
        <v>20</v>
      </c>
      <c r="V7" s="42" t="n"/>
      <c r="W7" s="41">
        <f>IF(OR(V7="",U7=""),"",V7+U7)</f>
        <v/>
      </c>
      <c r="X7" s="37" t="inlineStr">
        <is>
          <t>ALL; D/T: 90 DAYS, GENUINE, EX WORK BUSAN [VALI: 20 DAYS]</t>
        </is>
      </c>
      <c r="Y7" s="36" t="inlineStr">
        <is>
          <t>검토중</t>
        </is>
      </c>
      <c r="Z7" s="37" t="inlineStr">
        <is>
          <t>긴급 – 납기 90일, 단축 가능 여부 확인</t>
        </is>
      </c>
    </row>
    <row r="8">
      <c r="A8" s="35">
        <f>IF(E8="","",ROW()-5)</f>
        <v/>
      </c>
      <c r="B8" s="36" t="inlineStr">
        <is>
          <t>KQU-000116305</t>
        </is>
      </c>
      <c r="C8" s="36" t="inlineStr">
        <is>
          <t>03</t>
        </is>
      </c>
      <c r="D8" s="36" t="inlineStr">
        <is>
          <t>DANFOSS</t>
        </is>
      </c>
      <c r="E8" s="37" t="inlineStr">
        <is>
          <t>Pressure transmitter DANFOSS</t>
        </is>
      </c>
      <c r="F8" s="37" t="inlineStr">
        <is>
          <t>DANFOSS</t>
        </is>
      </c>
      <c r="G8" s="37" t="inlineStr">
        <is>
          <t>MBS3300 / -1…15 BAR (060G6736)</t>
        </is>
      </c>
      <c r="H8" s="37" t="inlineStr">
        <is>
          <t>Main Engine</t>
        </is>
      </c>
      <c r="I8" s="37" t="n"/>
      <c r="J8" s="36" t="n">
        <v>1</v>
      </c>
      <c r="K8" s="36" t="inlineStr">
        <is>
          <t>PCE</t>
        </is>
      </c>
      <c r="L8" s="36" t="inlineStr">
        <is>
          <t>RMS</t>
        </is>
      </c>
      <c r="M8" s="36" t="inlineStr">
        <is>
          <t>견적접수</t>
        </is>
      </c>
      <c r="N8" s="38" t="n">
        <v>250000</v>
      </c>
      <c r="O8" s="39">
        <f>IF(OR(N8="",J8=""),"",N8*J8)</f>
        <v/>
      </c>
      <c r="P8" s="40" t="n">
        <v>90</v>
      </c>
      <c r="Q8" s="41">
        <f>IF(OR(P8="",Y8="발주완료",Y8="취소"),"",TODAY()+P8)</f>
        <v/>
      </c>
      <c r="R8" s="35">
        <f>IF(OR(Q8="",NOT(ISNUMBER($J$2))),"",IF(Q8&lt;=$J$2,"가능","초과 "&amp;(Q8-$J$2)&amp;"일"))</f>
        <v/>
      </c>
      <c r="S8" s="36" t="inlineStr">
        <is>
          <t>GENUINE</t>
        </is>
      </c>
      <c r="T8" s="36" t="inlineStr">
        <is>
          <t>EX WORK BUSAN</t>
        </is>
      </c>
      <c r="U8" s="36" t="n">
        <v>20</v>
      </c>
      <c r="V8" s="42" t="n"/>
      <c r="W8" s="41">
        <f>IF(OR(V8="",U8=""),"",V8+U8)</f>
        <v/>
      </c>
      <c r="X8" s="37" t="inlineStr">
        <is>
          <t>ALL; D/T: 90 DAYS, GENUINE, EX WORK BUSAN [VALI: 20 DAYS]</t>
        </is>
      </c>
      <c r="Y8" s="36" t="inlineStr">
        <is>
          <t>검토중</t>
        </is>
      </c>
      <c r="Z8" s="37" t="inlineStr">
        <is>
          <t>긴급 – 납기 90일, 단축 가능 여부 확인</t>
        </is>
      </c>
    </row>
    <row r="9">
      <c r="A9" s="35">
        <f>IF(E9="","",ROW()-5)</f>
        <v/>
      </c>
      <c r="B9" s="36" t="inlineStr">
        <is>
          <t>KQU-000116305</t>
        </is>
      </c>
      <c r="C9" s="36" t="inlineStr">
        <is>
          <t>03</t>
        </is>
      </c>
      <c r="D9" s="36" t="inlineStr">
        <is>
          <t>DANFOSS</t>
        </is>
      </c>
      <c r="E9" s="37" t="inlineStr">
        <is>
          <t>Pressure transmitter DANFOSS</t>
        </is>
      </c>
      <c r="F9" s="37" t="inlineStr">
        <is>
          <t>DANFOSS</t>
        </is>
      </c>
      <c r="G9" s="37" t="inlineStr">
        <is>
          <t>MBS9300 / -0.1 ... 0.2 BAR (064G5260)</t>
        </is>
      </c>
      <c r="H9" s="37" t="inlineStr">
        <is>
          <t>Main Engine</t>
        </is>
      </c>
      <c r="I9" s="37" t="n"/>
      <c r="J9" s="36" t="n">
        <v>1</v>
      </c>
      <c r="K9" s="36" t="inlineStr">
        <is>
          <t>PCE</t>
        </is>
      </c>
      <c r="L9" s="36" t="inlineStr">
        <is>
          <t>RMS</t>
        </is>
      </c>
      <c r="M9" s="36" t="inlineStr">
        <is>
          <t>견적접수</t>
        </is>
      </c>
      <c r="N9" s="38" t="n">
        <v>337000</v>
      </c>
      <c r="O9" s="39">
        <f>IF(OR(N9="",J9=""),"",N9*J9)</f>
        <v/>
      </c>
      <c r="P9" s="40" t="n">
        <v>90</v>
      </c>
      <c r="Q9" s="41">
        <f>IF(OR(P9="",Y9="발주완료",Y9="취소"),"",TODAY()+P9)</f>
        <v/>
      </c>
      <c r="R9" s="35">
        <f>IF(OR(Q9="",NOT(ISNUMBER($J$2))),"",IF(Q9&lt;=$J$2,"가능","초과 "&amp;(Q9-$J$2)&amp;"일"))</f>
        <v/>
      </c>
      <c r="S9" s="36" t="inlineStr">
        <is>
          <t>GENUINE</t>
        </is>
      </c>
      <c r="T9" s="36" t="inlineStr">
        <is>
          <t>EX WORK BUSAN</t>
        </is>
      </c>
      <c r="U9" s="36" t="n">
        <v>20</v>
      </c>
      <c r="V9" s="42" t="n"/>
      <c r="W9" s="41">
        <f>IF(OR(V9="",U9=""),"",V9+U9)</f>
        <v/>
      </c>
      <c r="X9" s="37" t="inlineStr">
        <is>
          <t>ALL; D/T: 90 DAYS, GENUINE, EX WORK BUSAN [VALI: 20 DAYS]</t>
        </is>
      </c>
      <c r="Y9" s="36" t="inlineStr">
        <is>
          <t>검토중</t>
        </is>
      </c>
      <c r="Z9" s="37" t="inlineStr">
        <is>
          <t>긴급 – 납기 90일, 단축 가능 여부 확인</t>
        </is>
      </c>
    </row>
    <row r="10">
      <c r="A10" s="35">
        <f>IF(E10="","",ROW()-5)</f>
        <v/>
      </c>
      <c r="B10" s="36" t="inlineStr">
        <is>
          <t>KQU-000116306</t>
        </is>
      </c>
      <c r="C10" s="36" t="inlineStr">
        <is>
          <t>04</t>
        </is>
      </c>
      <c r="D10" s="36" t="inlineStr">
        <is>
          <t>WAGO</t>
        </is>
      </c>
      <c r="E10" s="37" t="inlineStr">
        <is>
          <t>SD Card for EGR O2 sensors</t>
        </is>
      </c>
      <c r="F10" s="37" t="inlineStr">
        <is>
          <t>WAGO / 758-879/000-001</t>
        </is>
      </c>
      <c r="G10" s="37" t="n"/>
      <c r="H10" s="37" t="inlineStr">
        <is>
          <t>ME EGR O2 Sensor</t>
        </is>
      </c>
      <c r="I10" s="37" t="n"/>
      <c r="J10" s="36" t="n">
        <v>3</v>
      </c>
      <c r="K10" s="36" t="inlineStr">
        <is>
          <t>pcs</t>
        </is>
      </c>
      <c r="L10" s="36" t="inlineStr">
        <is>
          <t>RMS</t>
        </is>
      </c>
      <c r="M10" s="36" t="inlineStr">
        <is>
          <t>공급불가</t>
        </is>
      </c>
      <c r="N10" s="38" t="n"/>
      <c r="O10" s="39">
        <f>IF(OR(N10="",J10=""),"",N10*J10)</f>
        <v/>
      </c>
      <c r="P10" s="40" t="n"/>
      <c r="Q10" s="41">
        <f>IF(OR(P10="",Y10="발주완료",Y10="취소"),"",TODAY()+P10)</f>
        <v/>
      </c>
      <c r="R10" s="35">
        <f>IF(OR(Q10="",NOT(ISNUMBER($J$2))),"",IF(Q10&lt;=$J$2,"가능","초과 "&amp;(Q10-$J$2)&amp;"일"))</f>
        <v/>
      </c>
      <c r="S10" s="36" t="n"/>
      <c r="T10" s="36" t="n"/>
      <c r="U10" s="36" t="n"/>
      <c r="V10" s="42" t="n"/>
      <c r="W10" s="41">
        <f>IF(OR(V10="",U10=""),"",V10+U10)</f>
        <v/>
      </c>
      <c r="X10" s="37" t="inlineStr">
        <is>
          <t>NOT AVAILABLE</t>
        </is>
      </c>
      <c r="Y10" s="36" t="inlineStr">
        <is>
          <t>타업체 문의</t>
        </is>
      </c>
      <c r="Z10" s="37" t="inlineStr">
        <is>
          <t>타 업체 견적 요청</t>
        </is>
      </c>
    </row>
    <row r="11">
      <c r="A11" s="35">
        <f>IF(E11="","",ROW()-5)</f>
        <v/>
      </c>
      <c r="B11" s="36" t="inlineStr">
        <is>
          <t>KQU-000116308</t>
        </is>
      </c>
      <c r="C11" s="36" t="inlineStr">
        <is>
          <t>07</t>
        </is>
      </c>
      <c r="D11" s="36" t="inlineStr">
        <is>
          <t>VEGA</t>
        </is>
      </c>
      <c r="E11" s="37" t="inlineStr">
        <is>
          <t>DIFF. PRESS TRANSMITTER MASTER</t>
        </is>
      </c>
      <c r="F11" s="37" t="inlineStr">
        <is>
          <t>VEGABAR 83</t>
        </is>
      </c>
      <c r="G11" s="37" t="inlineStr">
        <is>
          <t>S/N:6290676 Order NO.:3026652/1 2022</t>
        </is>
      </c>
      <c r="H11" s="37" t="inlineStr">
        <is>
          <t>Main Engine EGR Water (1701)</t>
        </is>
      </c>
      <c r="I11" s="37" t="n"/>
      <c r="J11" s="36" t="n">
        <v>1</v>
      </c>
      <c r="K11" s="36" t="inlineStr">
        <is>
          <t>pce</t>
        </is>
      </c>
      <c r="L11" s="36" t="inlineStr">
        <is>
          <t>RMS</t>
        </is>
      </c>
      <c r="M11" s="36" t="inlineStr">
        <is>
          <t>공급불가</t>
        </is>
      </c>
      <c r="N11" s="38" t="n"/>
      <c r="O11" s="39">
        <f>IF(OR(N11="",J11=""),"",N11*J11)</f>
        <v/>
      </c>
      <c r="P11" s="40" t="n"/>
      <c r="Q11" s="41">
        <f>IF(OR(P11="",Y11="발주완료",Y11="취소"),"",TODAY()+P11)</f>
        <v/>
      </c>
      <c r="R11" s="35">
        <f>IF(OR(Q11="",NOT(ISNUMBER($J$2))),"",IF(Q11&lt;=$J$2,"가능","초과 "&amp;(Q11-$J$2)&amp;"일"))</f>
        <v/>
      </c>
      <c r="S11" s="36" t="n"/>
      <c r="T11" s="36" t="n"/>
      <c r="U11" s="36" t="n"/>
      <c r="V11" s="42" t="n"/>
      <c r="W11" s="41">
        <f>IF(OR(V11="",U11=""),"",V11+U11)</f>
        <v/>
      </c>
      <c r="X11" s="37" t="inlineStr">
        <is>
          <t>NOT AVAILABLE</t>
        </is>
      </c>
      <c r="Y11" s="36" t="inlineStr">
        <is>
          <t>타업체 문의</t>
        </is>
      </c>
      <c r="Z11" s="37" t="inlineStr">
        <is>
          <t>타 업체 견적 요청</t>
        </is>
      </c>
    </row>
    <row r="12">
      <c r="A12" s="35">
        <f>IF(E12="","",ROW()-5)</f>
        <v/>
      </c>
      <c r="B12" s="36" t="inlineStr">
        <is>
          <t>KQU-000116308</t>
        </is>
      </c>
      <c r="C12" s="36" t="inlineStr">
        <is>
          <t>07</t>
        </is>
      </c>
      <c r="D12" s="36" t="inlineStr">
        <is>
          <t>VEGA</t>
        </is>
      </c>
      <c r="E12" s="37" t="inlineStr">
        <is>
          <t>DIFF. PRESS TRANSMITTER SLAVE</t>
        </is>
      </c>
      <c r="F12" s="37" t="inlineStr">
        <is>
          <t>VEGABAR 83</t>
        </is>
      </c>
      <c r="G12" s="37" t="inlineStr">
        <is>
          <t>S/N: 60392712 Order NO.:3029976/2 2022</t>
        </is>
      </c>
      <c r="H12" s="37" t="inlineStr">
        <is>
          <t>Main Engine EGR Water (1701)</t>
        </is>
      </c>
      <c r="I12" s="37" t="n"/>
      <c r="J12" s="36" t="n">
        <v>1</v>
      </c>
      <c r="K12" s="36" t="inlineStr">
        <is>
          <t>pce</t>
        </is>
      </c>
      <c r="L12" s="36" t="inlineStr">
        <is>
          <t>RMS</t>
        </is>
      </c>
      <c r="M12" s="36" t="inlineStr">
        <is>
          <t>공급불가</t>
        </is>
      </c>
      <c r="N12" s="38" t="n"/>
      <c r="O12" s="39">
        <f>IF(OR(N12="",J12=""),"",N12*J12)</f>
        <v/>
      </c>
      <c r="P12" s="40" t="n"/>
      <c r="Q12" s="41">
        <f>IF(OR(P12="",Y12="발주완료",Y12="취소"),"",TODAY()+P12)</f>
        <v/>
      </c>
      <c r="R12" s="35">
        <f>IF(OR(Q12="",NOT(ISNUMBER($J$2))),"",IF(Q12&lt;=$J$2,"가능","초과 "&amp;(Q12-$J$2)&amp;"일"))</f>
        <v/>
      </c>
      <c r="S12" s="36" t="n"/>
      <c r="T12" s="36" t="n"/>
      <c r="U12" s="36" t="n"/>
      <c r="V12" s="42" t="n"/>
      <c r="W12" s="41">
        <f>IF(OR(V12="",U12=""),"",V12+U12)</f>
        <v/>
      </c>
      <c r="X12" s="37" t="inlineStr">
        <is>
          <t>NOT AVAILABLE</t>
        </is>
      </c>
      <c r="Y12" s="36" t="inlineStr">
        <is>
          <t>타업체 문의</t>
        </is>
      </c>
      <c r="Z12" s="37" t="inlineStr">
        <is>
          <t>타 업체 견적 요청</t>
        </is>
      </c>
    </row>
    <row r="13">
      <c r="A13" s="35">
        <f>IF(E13="","",ROW()-5)</f>
        <v/>
      </c>
      <c r="B13" s="36" t="inlineStr">
        <is>
          <t>KQU-000116309</t>
        </is>
      </c>
      <c r="C13" s="36" t="inlineStr">
        <is>
          <t>08</t>
        </is>
      </c>
      <c r="D13" s="36" t="inlineStr">
        <is>
          <t>SIEMENS</t>
        </is>
      </c>
      <c r="E13" s="37" t="inlineStr">
        <is>
          <t>Ip Converter Siemens Sipart sp2</t>
        </is>
      </c>
      <c r="F13" s="37" t="inlineStr">
        <is>
          <t>Siemens</t>
        </is>
      </c>
      <c r="G13" s="37" t="inlineStr">
        <is>
          <t>C73451-A430-D80</t>
        </is>
      </c>
      <c r="H13" s="37" t="inlineStr">
        <is>
          <t>Main engine</t>
        </is>
      </c>
      <c r="I13" s="37" t="n"/>
      <c r="J13" s="36" t="n">
        <v>2</v>
      </c>
      <c r="K13" s="36" t="inlineStr">
        <is>
          <t>pcs</t>
        </is>
      </c>
      <c r="L13" s="36" t="inlineStr">
        <is>
          <t>RMS</t>
        </is>
      </c>
      <c r="M13" s="36" t="inlineStr">
        <is>
          <t>견적접수</t>
        </is>
      </c>
      <c r="N13" s="38" t="n">
        <v>870000</v>
      </c>
      <c r="O13" s="39">
        <f>IF(OR(N13="",J13=""),"",N13*J13)</f>
        <v/>
      </c>
      <c r="P13" s="40" t="n">
        <v>60</v>
      </c>
      <c r="Q13" s="41">
        <f>IF(OR(P13="",Y13="발주완료",Y13="취소"),"",TODAY()+P13)</f>
        <v/>
      </c>
      <c r="R13" s="35">
        <f>IF(OR(Q13="",NOT(ISNUMBER($J$2))),"",IF(Q13&lt;=$J$2,"가능","초과 "&amp;(Q13-$J$2)&amp;"일"))</f>
        <v/>
      </c>
      <c r="S13" s="36" t="inlineStr">
        <is>
          <t>OEM</t>
        </is>
      </c>
      <c r="T13" s="36" t="inlineStr">
        <is>
          <t>EX WORK BUSAN</t>
        </is>
      </c>
      <c r="U13" s="36" t="n">
        <v>20</v>
      </c>
      <c r="V13" s="42" t="n"/>
      <c r="W13" s="41">
        <f>IF(OR(V13="",U13=""),"",V13+U13)</f>
        <v/>
      </c>
      <c r="X13" s="37" t="inlineStr">
        <is>
          <t>D/T: 60 DAYS, OEM, EX WORK BUSAN [VALI: 20 DAYS]</t>
        </is>
      </c>
      <c r="Y13" s="36" t="inlineStr">
        <is>
          <t>검토중</t>
        </is>
      </c>
      <c r="Z13" s="37" t="inlineStr">
        <is>
          <t>긴급 – 납기 60일, 단축 가능 여부 확인</t>
        </is>
      </c>
    </row>
    <row r="14">
      <c r="A14" s="35">
        <f>IF(E14="","",ROW()-5)</f>
        <v/>
      </c>
      <c r="B14" s="36" t="inlineStr">
        <is>
          <t>KQU-000116313</t>
        </is>
      </c>
      <c r="C14" s="36" t="inlineStr">
        <is>
          <t>15</t>
        </is>
      </c>
      <c r="D14" s="36" t="inlineStr">
        <is>
          <t>AQUAFILTER</t>
        </is>
      </c>
      <c r="E14" s="37" t="inlineStr">
        <is>
          <t>AIPRO-20M-QM</t>
        </is>
      </c>
      <c r="F14" s="37" t="inlineStr">
        <is>
          <t>TYPE: AQUAFILTER EXCITO-5-B</t>
        </is>
      </c>
      <c r="G14" s="37" t="n"/>
      <c r="H14" s="37" t="inlineStr">
        <is>
          <t>COMPONENT FOR WATER FOUNTAIN FILTERS</t>
        </is>
      </c>
      <c r="I14" s="37" t="n"/>
      <c r="J14" s="36" t="n">
        <v>6</v>
      </c>
      <c r="K14" s="36" t="inlineStr">
        <is>
          <t>PCS</t>
        </is>
      </c>
      <c r="L14" s="36" t="inlineStr">
        <is>
          <t>RMS</t>
        </is>
      </c>
      <c r="M14" s="36" t="inlineStr">
        <is>
          <t>확인필요</t>
        </is>
      </c>
      <c r="N14" s="38" t="n"/>
      <c r="O14" s="39">
        <f>IF(OR(N14="",J14=""),"",N14*J14)</f>
        <v/>
      </c>
      <c r="P14" s="40" t="n"/>
      <c r="Q14" s="41">
        <f>IF(OR(P14="",Y14="발주완료",Y14="취소"),"",TODAY()+P14)</f>
        <v/>
      </c>
      <c r="R14" s="35">
        <f>IF(OR(Q14="",NOT(ISNUMBER($J$2))),"",IF(Q14&lt;=$J$2,"가능","초과 "&amp;(Q14-$J$2)&amp;"일"))</f>
        <v/>
      </c>
      <c r="S14" s="36" t="n"/>
      <c r="T14" s="36" t="n"/>
      <c r="U14" s="36" t="n"/>
      <c r="V14" s="42" t="n"/>
      <c r="W14" s="41">
        <f>IF(OR(V14="",U14=""),"",V14+U14)</f>
        <v/>
      </c>
      <c r="X14" s="37" t="inlineStr">
        <is>
          <t>NEED TO CHECK ACTUAL PICTURES</t>
        </is>
      </c>
      <c r="Y14" s="36" t="inlineStr">
        <is>
          <t>정보 송부필요</t>
        </is>
      </c>
      <c r="Z14" s="37" t="inlineStr">
        <is>
          <t>실물 사진 RMS에 송부</t>
        </is>
      </c>
    </row>
    <row r="15">
      <c r="A15" s="35">
        <f>IF(E15="","",ROW()-5)</f>
        <v/>
      </c>
      <c r="B15" s="36" t="inlineStr">
        <is>
          <t>KQU-000116313</t>
        </is>
      </c>
      <c r="C15" s="36" t="inlineStr">
        <is>
          <t>15</t>
        </is>
      </c>
      <c r="D15" s="36" t="inlineStr">
        <is>
          <t>AQUAFILTER</t>
        </is>
      </c>
      <c r="E15" s="37" t="inlineStr">
        <is>
          <t>AISTRO-2-QM</t>
        </is>
      </c>
      <c r="F15" s="37" t="inlineStr">
        <is>
          <t>TYPE: AQUAFILTER EXCITO-5-B</t>
        </is>
      </c>
      <c r="G15" s="37" t="n"/>
      <c r="H15" s="37" t="inlineStr">
        <is>
          <t>COMPONENT FOR WATER FOUNTAIN FILTERS</t>
        </is>
      </c>
      <c r="I15" s="37" t="n"/>
      <c r="J15" s="36" t="n">
        <v>6</v>
      </c>
      <c r="K15" s="36" t="inlineStr">
        <is>
          <t>PCS</t>
        </is>
      </c>
      <c r="L15" s="36" t="inlineStr">
        <is>
          <t>RMS</t>
        </is>
      </c>
      <c r="M15" s="36" t="inlineStr">
        <is>
          <t>확인필요</t>
        </is>
      </c>
      <c r="N15" s="38" t="n"/>
      <c r="O15" s="39">
        <f>IF(OR(N15="",J15=""),"",N15*J15)</f>
        <v/>
      </c>
      <c r="P15" s="40" t="n"/>
      <c r="Q15" s="41">
        <f>IF(OR(P15="",Y15="발주완료",Y15="취소"),"",TODAY()+P15)</f>
        <v/>
      </c>
      <c r="R15" s="35">
        <f>IF(OR(Q15="",NOT(ISNUMBER($J$2))),"",IF(Q15&lt;=$J$2,"가능","초과 "&amp;(Q15-$J$2)&amp;"일"))</f>
        <v/>
      </c>
      <c r="S15" s="36" t="n"/>
      <c r="T15" s="36" t="n"/>
      <c r="U15" s="36" t="n"/>
      <c r="V15" s="42" t="n"/>
      <c r="W15" s="41">
        <f>IF(OR(V15="",U15=""),"",V15+U15)</f>
        <v/>
      </c>
      <c r="X15" s="37" t="inlineStr">
        <is>
          <t>NEED TO CHECK ACTUAL PICTURES</t>
        </is>
      </c>
      <c r="Y15" s="36" t="inlineStr">
        <is>
          <t>정보 송부필요</t>
        </is>
      </c>
      <c r="Z15" s="37" t="inlineStr">
        <is>
          <t>실물 사진 RMS에 송부</t>
        </is>
      </c>
    </row>
    <row r="16">
      <c r="A16" s="35">
        <f>IF(E16="","",ROW()-5)</f>
        <v/>
      </c>
      <c r="B16" s="36" t="inlineStr">
        <is>
          <t>KQU-000116313</t>
        </is>
      </c>
      <c r="C16" s="36" t="inlineStr">
        <is>
          <t>15</t>
        </is>
      </c>
      <c r="D16" s="36" t="inlineStr">
        <is>
          <t>AQUAFILTER</t>
        </is>
      </c>
      <c r="E16" s="37" t="inlineStr">
        <is>
          <t>AICRO-3-QM</t>
        </is>
      </c>
      <c r="F16" s="37" t="inlineStr">
        <is>
          <t>TYPE: AQUAFILTER EXCITO-5-B</t>
        </is>
      </c>
      <c r="G16" s="37" t="n"/>
      <c r="H16" s="37" t="inlineStr">
        <is>
          <t>COMPONENT FOR WATER FOUNTAIN FILTERS</t>
        </is>
      </c>
      <c r="I16" s="37" t="n"/>
      <c r="J16" s="36" t="n">
        <v>6</v>
      </c>
      <c r="K16" s="36" t="inlineStr">
        <is>
          <t>PCS</t>
        </is>
      </c>
      <c r="L16" s="36" t="inlineStr">
        <is>
          <t>RMS</t>
        </is>
      </c>
      <c r="M16" s="36" t="inlineStr">
        <is>
          <t>확인필요</t>
        </is>
      </c>
      <c r="N16" s="38" t="n"/>
      <c r="O16" s="39">
        <f>IF(OR(N16="",J16=""),"",N16*J16)</f>
        <v/>
      </c>
      <c r="P16" s="40" t="n"/>
      <c r="Q16" s="41">
        <f>IF(OR(P16="",Y16="발주완료",Y16="취소"),"",TODAY()+P16)</f>
        <v/>
      </c>
      <c r="R16" s="35">
        <f>IF(OR(Q16="",NOT(ISNUMBER($J$2))),"",IF(Q16&lt;=$J$2,"가능","초과 "&amp;(Q16-$J$2)&amp;"일"))</f>
        <v/>
      </c>
      <c r="S16" s="36" t="n"/>
      <c r="T16" s="36" t="n"/>
      <c r="U16" s="36" t="n"/>
      <c r="V16" s="42" t="n"/>
      <c r="W16" s="41">
        <f>IF(OR(V16="",U16=""),"",V16+U16)</f>
        <v/>
      </c>
      <c r="X16" s="37" t="inlineStr">
        <is>
          <t>NEED TO CHECK ACTUAL PICTURES</t>
        </is>
      </c>
      <c r="Y16" s="36" t="inlineStr">
        <is>
          <t>정보 송부필요</t>
        </is>
      </c>
      <c r="Z16" s="37" t="inlineStr">
        <is>
          <t>실물 사진 RMS에 송부</t>
        </is>
      </c>
    </row>
    <row r="17">
      <c r="A17" s="35">
        <f>IF(E17="","",ROW()-5)</f>
        <v/>
      </c>
      <c r="B17" s="36" t="inlineStr">
        <is>
          <t>KQU-000116313</t>
        </is>
      </c>
      <c r="C17" s="36" t="inlineStr">
        <is>
          <t>15</t>
        </is>
      </c>
      <c r="D17" s="36" t="inlineStr">
        <is>
          <t>AQUAFILTER</t>
        </is>
      </c>
      <c r="E17" s="37" t="inlineStr">
        <is>
          <t>AICRO-4-QM</t>
        </is>
      </c>
      <c r="F17" s="37" t="inlineStr">
        <is>
          <t>TYPE: AQUAFILTER EXCITO-5-B</t>
        </is>
      </c>
      <c r="G17" s="37" t="n"/>
      <c r="H17" s="37" t="inlineStr">
        <is>
          <t>COMPONENT FOR WATER FOUNTAIN FILTERS</t>
        </is>
      </c>
      <c r="I17" s="37" t="n"/>
      <c r="J17" s="36" t="n">
        <v>6</v>
      </c>
      <c r="K17" s="36" t="inlineStr">
        <is>
          <t>PCS</t>
        </is>
      </c>
      <c r="L17" s="36" t="inlineStr">
        <is>
          <t>RMS</t>
        </is>
      </c>
      <c r="M17" s="36" t="inlineStr">
        <is>
          <t>확인필요</t>
        </is>
      </c>
      <c r="N17" s="38" t="n"/>
      <c r="O17" s="39">
        <f>IF(OR(N17="",J17=""),"",N17*J17)</f>
        <v/>
      </c>
      <c r="P17" s="40" t="n"/>
      <c r="Q17" s="41">
        <f>IF(OR(P17="",Y17="발주완료",Y17="취소"),"",TODAY()+P17)</f>
        <v/>
      </c>
      <c r="R17" s="35">
        <f>IF(OR(Q17="",NOT(ISNUMBER($J$2))),"",IF(Q17&lt;=$J$2,"가능","초과 "&amp;(Q17-$J$2)&amp;"일"))</f>
        <v/>
      </c>
      <c r="S17" s="36" t="n"/>
      <c r="T17" s="36" t="n"/>
      <c r="U17" s="36" t="n"/>
      <c r="V17" s="42" t="n"/>
      <c r="W17" s="41">
        <f>IF(OR(V17="",U17=""),"",V17+U17)</f>
        <v/>
      </c>
      <c r="X17" s="37" t="inlineStr">
        <is>
          <t>NEED TO CHECK ACTUAL PICTURES</t>
        </is>
      </c>
      <c r="Y17" s="36" t="inlineStr">
        <is>
          <t>정보 송부필요</t>
        </is>
      </c>
      <c r="Z17" s="37" t="inlineStr">
        <is>
          <t>실물 사진 RMS에 송부</t>
        </is>
      </c>
    </row>
    <row r="18">
      <c r="A18" s="35">
        <f>IF(E18="","",ROW()-5)</f>
        <v/>
      </c>
      <c r="B18" s="36" t="inlineStr">
        <is>
          <t>KQU-000116313</t>
        </is>
      </c>
      <c r="C18" s="36" t="inlineStr">
        <is>
          <t>15</t>
        </is>
      </c>
      <c r="D18" s="36" t="inlineStr">
        <is>
          <t>AQUAFILTER</t>
        </is>
      </c>
      <c r="E18" s="37" t="inlineStr">
        <is>
          <t>UF MEMBRANE</t>
        </is>
      </c>
      <c r="F18" s="37" t="inlineStr">
        <is>
          <t>TYPE: AQUAFILTER EXCITO-5-B</t>
        </is>
      </c>
      <c r="G18" s="37" t="n"/>
      <c r="H18" s="37" t="inlineStr">
        <is>
          <t>COMPONENT FOR WATER FOUNTAIN FILTERS</t>
        </is>
      </c>
      <c r="I18" s="37" t="n"/>
      <c r="J18" s="36" t="n">
        <v>6</v>
      </c>
      <c r="K18" s="36" t="inlineStr">
        <is>
          <t>PCS</t>
        </is>
      </c>
      <c r="L18" s="36" t="inlineStr">
        <is>
          <t>RMS</t>
        </is>
      </c>
      <c r="M18" s="36" t="inlineStr">
        <is>
          <t>확인필요</t>
        </is>
      </c>
      <c r="N18" s="38" t="n"/>
      <c r="O18" s="39">
        <f>IF(OR(N18="",J18=""),"",N18*J18)</f>
        <v/>
      </c>
      <c r="P18" s="40" t="n"/>
      <c r="Q18" s="41">
        <f>IF(OR(P18="",Y18="발주완료",Y18="취소"),"",TODAY()+P18)</f>
        <v/>
      </c>
      <c r="R18" s="35">
        <f>IF(OR(Q18="",NOT(ISNUMBER($J$2))),"",IF(Q18&lt;=$J$2,"가능","초과 "&amp;(Q18-$J$2)&amp;"일"))</f>
        <v/>
      </c>
      <c r="S18" s="36" t="n"/>
      <c r="T18" s="36" t="n"/>
      <c r="U18" s="36" t="n"/>
      <c r="V18" s="42" t="n"/>
      <c r="W18" s="41">
        <f>IF(OR(V18="",U18=""),"",V18+U18)</f>
        <v/>
      </c>
      <c r="X18" s="37" t="inlineStr">
        <is>
          <t>NEED TO CHECK ACTUAL PICTURES</t>
        </is>
      </c>
      <c r="Y18" s="36" t="inlineStr">
        <is>
          <t>정보 송부필요</t>
        </is>
      </c>
      <c r="Z18" s="37" t="inlineStr">
        <is>
          <t>실물 사진 RMS에 송부</t>
        </is>
      </c>
    </row>
    <row r="19">
      <c r="A19" s="35">
        <f>IF(E19="","",ROW()-5)</f>
        <v/>
      </c>
      <c r="B19" s="36" t="inlineStr">
        <is>
          <t>KQU-000116301</t>
        </is>
      </c>
      <c r="C19" s="36" t="inlineStr">
        <is>
          <t>27</t>
        </is>
      </c>
      <c r="D19" s="36" t="inlineStr">
        <is>
          <t>MRC</t>
        </is>
      </c>
      <c r="E19" s="37" t="inlineStr">
        <is>
          <t>Handset with cord</t>
        </is>
      </c>
      <c r="F19" s="37" t="inlineStr">
        <is>
          <t>MRC / LVD -115D</t>
        </is>
      </c>
      <c r="G19" s="37" t="n"/>
      <c r="H19" s="37" t="inlineStr">
        <is>
          <t>Telephone system</t>
        </is>
      </c>
      <c r="I19" s="37" t="inlineStr">
        <is>
          <t>RMS: 전화기 ASSY로 견적</t>
        </is>
      </c>
      <c r="J19" s="36" t="n">
        <v>2</v>
      </c>
      <c r="K19" s="36" t="inlineStr">
        <is>
          <t>pcs</t>
        </is>
      </c>
      <c r="L19" s="36" t="inlineStr">
        <is>
          <t>RMS</t>
        </is>
      </c>
      <c r="M19" s="36" t="inlineStr">
        <is>
          <t>견적접수</t>
        </is>
      </c>
      <c r="N19" s="38" t="n">
        <v>390000</v>
      </c>
      <c r="O19" s="39">
        <f>IF(OR(N19="",J19=""),"",N19*J19)</f>
        <v/>
      </c>
      <c r="P19" s="40" t="n">
        <v>14</v>
      </c>
      <c r="Q19" s="41">
        <f>IF(OR(P19="",Y19="발주완료",Y19="취소"),"",TODAY()+P19)</f>
        <v/>
      </c>
      <c r="R19" s="35">
        <f>IF(OR(Q19="",NOT(ISNUMBER($J$2))),"",IF(Q19&lt;=$J$2,"가능","초과 "&amp;(Q19-$J$2)&amp;"일"))</f>
        <v/>
      </c>
      <c r="S19" s="36" t="inlineStr">
        <is>
          <t>COMPATIBLE</t>
        </is>
      </c>
      <c r="T19" s="36" t="inlineStr">
        <is>
          <t>EX WORK BUSAN</t>
        </is>
      </c>
      <c r="U19" s="36" t="n"/>
      <c r="V19" s="42" t="n"/>
      <c r="W19" s="41">
        <f>IF(OR(V19="",U19=""),"",V19+U19)</f>
        <v/>
      </c>
      <c r="X19" s="37" t="inlineStr">
        <is>
          <t>QUOTE AS TELEPHONE ASSY &amp; NEED TO CHECK IP ADDRESS, ID &amp; PASSWORD // D/T: 10 WORKING DAYS, COMPATIBLE, EX WORK BUSAN</t>
        </is>
      </c>
      <c r="Y19" s="36" t="inlineStr">
        <is>
          <t>정보 송부필요</t>
        </is>
      </c>
      <c r="Z19" s="37" t="inlineStr">
        <is>
          <t>IP 주소·ID·비밀번호 확인해 RMS 회신 / 호환품(COMPATIBLE) 승인 여부 / 유효기간 미기재</t>
        </is>
      </c>
    </row>
    <row r="20">
      <c r="A20" s="35">
        <f>IF(E20="","",ROW()-5)</f>
        <v/>
      </c>
      <c r="B20" s="36" t="n"/>
      <c r="C20" s="36" t="n"/>
      <c r="D20" s="36" t="n"/>
      <c r="E20" s="37" t="n"/>
      <c r="F20" s="37" t="n"/>
      <c r="G20" s="37" t="n"/>
      <c r="H20" s="37" t="n"/>
      <c r="I20" s="37" t="n"/>
      <c r="J20" s="36" t="n"/>
      <c r="K20" s="36" t="n"/>
      <c r="L20" s="36" t="n"/>
      <c r="M20" s="36" t="n"/>
      <c r="N20" s="38" t="n"/>
      <c r="O20" s="39">
        <f>IF(OR(N20="",J20=""),"",N20*J20)</f>
        <v/>
      </c>
      <c r="P20" s="40" t="n"/>
      <c r="Q20" s="41">
        <f>IF(OR(P20="",Y20="발주완료",Y20="취소"),"",TODAY()+P20)</f>
        <v/>
      </c>
      <c r="R20" s="35">
        <f>IF(OR(Q20="",NOT(ISNUMBER($J$2))),"",IF(Q20&lt;=$J$2,"가능","초과 "&amp;(Q20-$J$2)&amp;"일"))</f>
        <v/>
      </c>
      <c r="S20" s="36" t="n"/>
      <c r="T20" s="36" t="n"/>
      <c r="U20" s="36" t="n"/>
      <c r="V20" s="43" t="n"/>
      <c r="W20" s="41">
        <f>IF(OR(V20="",U20=""),"",V20+U20)</f>
        <v/>
      </c>
      <c r="X20" s="37" t="n"/>
      <c r="Y20" s="36" t="n"/>
      <c r="Z20" s="37" t="n"/>
    </row>
    <row r="21">
      <c r="A21" s="35">
        <f>IF(E21="","",ROW()-5)</f>
        <v/>
      </c>
      <c r="B21" s="36" t="n"/>
      <c r="C21" s="36" t="n"/>
      <c r="D21" s="36" t="n"/>
      <c r="E21" s="37" t="n"/>
      <c r="F21" s="37" t="n"/>
      <c r="G21" s="37" t="n"/>
      <c r="H21" s="37" t="n"/>
      <c r="I21" s="37" t="n"/>
      <c r="J21" s="36" t="n"/>
      <c r="K21" s="36" t="n"/>
      <c r="L21" s="36" t="n"/>
      <c r="M21" s="36" t="n"/>
      <c r="N21" s="38" t="n"/>
      <c r="O21" s="39">
        <f>IF(OR(N21="",J21=""),"",N21*J21)</f>
        <v/>
      </c>
      <c r="P21" s="40" t="n"/>
      <c r="Q21" s="41">
        <f>IF(OR(P21="",Y21="발주완료",Y21="취소"),"",TODAY()+P21)</f>
        <v/>
      </c>
      <c r="R21" s="35">
        <f>IF(OR(Q21="",NOT(ISNUMBER($J$2))),"",IF(Q21&lt;=$J$2,"가능","초과 "&amp;(Q21-$J$2)&amp;"일"))</f>
        <v/>
      </c>
      <c r="S21" s="36" t="n"/>
      <c r="T21" s="36" t="n"/>
      <c r="U21" s="36" t="n"/>
      <c r="V21" s="43" t="n"/>
      <c r="W21" s="41">
        <f>IF(OR(V21="",U21=""),"",V21+U21)</f>
        <v/>
      </c>
      <c r="X21" s="37" t="n"/>
      <c r="Y21" s="36" t="n"/>
      <c r="Z21" s="37" t="n"/>
    </row>
    <row r="22">
      <c r="A22" s="35">
        <f>IF(E22="","",ROW()-5)</f>
        <v/>
      </c>
      <c r="B22" s="36" t="n"/>
      <c r="C22" s="36" t="n"/>
      <c r="D22" s="36" t="n"/>
      <c r="E22" s="37" t="n"/>
      <c r="F22" s="37" t="n"/>
      <c r="G22" s="37" t="n"/>
      <c r="H22" s="37" t="n"/>
      <c r="I22" s="37" t="n"/>
      <c r="J22" s="36" t="n"/>
      <c r="K22" s="36" t="n"/>
      <c r="L22" s="36" t="n"/>
      <c r="M22" s="36" t="n"/>
      <c r="N22" s="38" t="n"/>
      <c r="O22" s="39">
        <f>IF(OR(N22="",J22=""),"",N22*J22)</f>
        <v/>
      </c>
      <c r="P22" s="40" t="n"/>
      <c r="Q22" s="41">
        <f>IF(OR(P22="",Y22="발주완료",Y22="취소"),"",TODAY()+P22)</f>
        <v/>
      </c>
      <c r="R22" s="35">
        <f>IF(OR(Q22="",NOT(ISNUMBER($J$2))),"",IF(Q22&lt;=$J$2,"가능","초과 "&amp;(Q22-$J$2)&amp;"일"))</f>
        <v/>
      </c>
      <c r="S22" s="36" t="n"/>
      <c r="T22" s="36" t="n"/>
      <c r="U22" s="36" t="n"/>
      <c r="V22" s="43" t="n"/>
      <c r="W22" s="41">
        <f>IF(OR(V22="",U22=""),"",V22+U22)</f>
        <v/>
      </c>
      <c r="X22" s="37" t="n"/>
      <c r="Y22" s="36" t="n"/>
      <c r="Z22" s="37" t="n"/>
    </row>
    <row r="23">
      <c r="A23" s="35">
        <f>IF(E23="","",ROW()-5)</f>
        <v/>
      </c>
      <c r="B23" s="36" t="n"/>
      <c r="C23" s="36" t="n"/>
      <c r="D23" s="36" t="n"/>
      <c r="E23" s="37" t="n"/>
      <c r="F23" s="37" t="n"/>
      <c r="G23" s="37" t="n"/>
      <c r="H23" s="37" t="n"/>
      <c r="I23" s="37" t="n"/>
      <c r="J23" s="36" t="n"/>
      <c r="K23" s="36" t="n"/>
      <c r="L23" s="36" t="n"/>
      <c r="M23" s="36" t="n"/>
      <c r="N23" s="38" t="n"/>
      <c r="O23" s="39">
        <f>IF(OR(N23="",J23=""),"",N23*J23)</f>
        <v/>
      </c>
      <c r="P23" s="40" t="n"/>
      <c r="Q23" s="41">
        <f>IF(OR(P23="",Y23="발주완료",Y23="취소"),"",TODAY()+P23)</f>
        <v/>
      </c>
      <c r="R23" s="35">
        <f>IF(OR(Q23="",NOT(ISNUMBER($J$2))),"",IF(Q23&lt;=$J$2,"가능","초과 "&amp;(Q23-$J$2)&amp;"일"))</f>
        <v/>
      </c>
      <c r="S23" s="36" t="n"/>
      <c r="T23" s="36" t="n"/>
      <c r="U23" s="36" t="n"/>
      <c r="V23" s="43" t="n"/>
      <c r="W23" s="41">
        <f>IF(OR(V23="",U23=""),"",V23+U23)</f>
        <v/>
      </c>
      <c r="X23" s="37" t="n"/>
      <c r="Y23" s="36" t="n"/>
      <c r="Z23" s="37" t="n"/>
    </row>
    <row r="24">
      <c r="A24" s="35">
        <f>IF(E24="","",ROW()-5)</f>
        <v/>
      </c>
      <c r="B24" s="36" t="n"/>
      <c r="C24" s="36" t="n"/>
      <c r="D24" s="36" t="n"/>
      <c r="E24" s="37" t="n"/>
      <c r="F24" s="37" t="n"/>
      <c r="G24" s="37" t="n"/>
      <c r="H24" s="37" t="n"/>
      <c r="I24" s="37" t="n"/>
      <c r="J24" s="36" t="n"/>
      <c r="K24" s="36" t="n"/>
      <c r="L24" s="36" t="n"/>
      <c r="M24" s="36" t="n"/>
      <c r="N24" s="38" t="n"/>
      <c r="O24" s="39">
        <f>IF(OR(N24="",J24=""),"",N24*J24)</f>
        <v/>
      </c>
      <c r="P24" s="40" t="n"/>
      <c r="Q24" s="41">
        <f>IF(OR(P24="",Y24="발주완료",Y24="취소"),"",TODAY()+P24)</f>
        <v/>
      </c>
      <c r="R24" s="35">
        <f>IF(OR(Q24="",NOT(ISNUMBER($J$2))),"",IF(Q24&lt;=$J$2,"가능","초과 "&amp;(Q24-$J$2)&amp;"일"))</f>
        <v/>
      </c>
      <c r="S24" s="36" t="n"/>
      <c r="T24" s="36" t="n"/>
      <c r="U24" s="36" t="n"/>
      <c r="V24" s="43" t="n"/>
      <c r="W24" s="41">
        <f>IF(OR(V24="",U24=""),"",V24+U24)</f>
        <v/>
      </c>
      <c r="X24" s="37" t="n"/>
      <c r="Y24" s="36" t="n"/>
      <c r="Z24" s="37" t="n"/>
    </row>
    <row r="25">
      <c r="A25" s="35">
        <f>IF(E25="","",ROW()-5)</f>
        <v/>
      </c>
      <c r="B25" s="36" t="n"/>
      <c r="C25" s="36" t="n"/>
      <c r="D25" s="36" t="n"/>
      <c r="E25" s="37" t="n"/>
      <c r="F25" s="37" t="n"/>
      <c r="G25" s="37" t="n"/>
      <c r="H25" s="37" t="n"/>
      <c r="I25" s="37" t="n"/>
      <c r="J25" s="36" t="n"/>
      <c r="K25" s="36" t="n"/>
      <c r="L25" s="36" t="n"/>
      <c r="M25" s="36" t="n"/>
      <c r="N25" s="38" t="n"/>
      <c r="O25" s="39">
        <f>IF(OR(N25="",J25=""),"",N25*J25)</f>
        <v/>
      </c>
      <c r="P25" s="40" t="n"/>
      <c r="Q25" s="41">
        <f>IF(OR(P25="",Y25="발주완료",Y25="취소"),"",TODAY()+P25)</f>
        <v/>
      </c>
      <c r="R25" s="35">
        <f>IF(OR(Q25="",NOT(ISNUMBER($J$2))),"",IF(Q25&lt;=$J$2,"가능","초과 "&amp;(Q25-$J$2)&amp;"일"))</f>
        <v/>
      </c>
      <c r="S25" s="36" t="n"/>
      <c r="T25" s="36" t="n"/>
      <c r="U25" s="36" t="n"/>
      <c r="V25" s="43" t="n"/>
      <c r="W25" s="41">
        <f>IF(OR(V25="",U25=""),"",V25+U25)</f>
        <v/>
      </c>
      <c r="X25" s="37" t="n"/>
      <c r="Y25" s="36" t="n"/>
      <c r="Z25" s="37" t="n"/>
    </row>
    <row r="26">
      <c r="A26" s="35">
        <f>IF(E26="","",ROW()-5)</f>
        <v/>
      </c>
      <c r="B26" s="36" t="n"/>
      <c r="C26" s="36" t="n"/>
      <c r="D26" s="36" t="n"/>
      <c r="E26" s="37" t="n"/>
      <c r="F26" s="37" t="n"/>
      <c r="G26" s="37" t="n"/>
      <c r="H26" s="37" t="n"/>
      <c r="I26" s="37" t="n"/>
      <c r="J26" s="36" t="n"/>
      <c r="K26" s="36" t="n"/>
      <c r="L26" s="36" t="n"/>
      <c r="M26" s="36" t="n"/>
      <c r="N26" s="38" t="n"/>
      <c r="O26" s="39">
        <f>IF(OR(N26="",J26=""),"",N26*J26)</f>
        <v/>
      </c>
      <c r="P26" s="40" t="n"/>
      <c r="Q26" s="41">
        <f>IF(OR(P26="",Y26="발주완료",Y26="취소"),"",TODAY()+P26)</f>
        <v/>
      </c>
      <c r="R26" s="35">
        <f>IF(OR(Q26="",NOT(ISNUMBER($J$2))),"",IF(Q26&lt;=$J$2,"가능","초과 "&amp;(Q26-$J$2)&amp;"일"))</f>
        <v/>
      </c>
      <c r="S26" s="36" t="n"/>
      <c r="T26" s="36" t="n"/>
      <c r="U26" s="36" t="n"/>
      <c r="V26" s="43" t="n"/>
      <c r="W26" s="41">
        <f>IF(OR(V26="",U26=""),"",V26+U26)</f>
        <v/>
      </c>
      <c r="X26" s="37" t="n"/>
      <c r="Y26" s="36" t="n"/>
      <c r="Z26" s="37" t="n"/>
    </row>
    <row r="27">
      <c r="A27" s="35">
        <f>IF(E27="","",ROW()-5)</f>
        <v/>
      </c>
      <c r="B27" s="36" t="n"/>
      <c r="C27" s="36" t="n"/>
      <c r="D27" s="36" t="n"/>
      <c r="E27" s="37" t="n"/>
      <c r="F27" s="37" t="n"/>
      <c r="G27" s="37" t="n"/>
      <c r="H27" s="37" t="n"/>
      <c r="I27" s="37" t="n"/>
      <c r="J27" s="36" t="n"/>
      <c r="K27" s="36" t="n"/>
      <c r="L27" s="36" t="n"/>
      <c r="M27" s="36" t="n"/>
      <c r="N27" s="38" t="n"/>
      <c r="O27" s="39">
        <f>IF(OR(N27="",J27=""),"",N27*J27)</f>
        <v/>
      </c>
      <c r="P27" s="40" t="n"/>
      <c r="Q27" s="41">
        <f>IF(OR(P27="",Y27="발주완료",Y27="취소"),"",TODAY()+P27)</f>
        <v/>
      </c>
      <c r="R27" s="35">
        <f>IF(OR(Q27="",NOT(ISNUMBER($J$2))),"",IF(Q27&lt;=$J$2,"가능","초과 "&amp;(Q27-$J$2)&amp;"일"))</f>
        <v/>
      </c>
      <c r="S27" s="36" t="n"/>
      <c r="T27" s="36" t="n"/>
      <c r="U27" s="36" t="n"/>
      <c r="V27" s="43" t="n"/>
      <c r="W27" s="41">
        <f>IF(OR(V27="",U27=""),"",V27+U27)</f>
        <v/>
      </c>
      <c r="X27" s="37" t="n"/>
      <c r="Y27" s="36" t="n"/>
      <c r="Z27" s="37" t="n"/>
    </row>
    <row r="28">
      <c r="A28" s="35">
        <f>IF(E28="","",ROW()-5)</f>
        <v/>
      </c>
      <c r="B28" s="36" t="n"/>
      <c r="C28" s="36" t="n"/>
      <c r="D28" s="36" t="n"/>
      <c r="E28" s="37" t="n"/>
      <c r="F28" s="37" t="n"/>
      <c r="G28" s="37" t="n"/>
      <c r="H28" s="37" t="n"/>
      <c r="I28" s="37" t="n"/>
      <c r="J28" s="36" t="n"/>
      <c r="K28" s="36" t="n"/>
      <c r="L28" s="36" t="n"/>
      <c r="M28" s="36" t="n"/>
      <c r="N28" s="38" t="n"/>
      <c r="O28" s="39">
        <f>IF(OR(N28="",J28=""),"",N28*J28)</f>
        <v/>
      </c>
      <c r="P28" s="40" t="n"/>
      <c r="Q28" s="41">
        <f>IF(OR(P28="",Y28="발주완료",Y28="취소"),"",TODAY()+P28)</f>
        <v/>
      </c>
      <c r="R28" s="35">
        <f>IF(OR(Q28="",NOT(ISNUMBER($J$2))),"",IF(Q28&lt;=$J$2,"가능","초과 "&amp;(Q28-$J$2)&amp;"일"))</f>
        <v/>
      </c>
      <c r="S28" s="36" t="n"/>
      <c r="T28" s="36" t="n"/>
      <c r="U28" s="36" t="n"/>
      <c r="V28" s="43" t="n"/>
      <c r="W28" s="41">
        <f>IF(OR(V28="",U28=""),"",V28+U28)</f>
        <v/>
      </c>
      <c r="X28" s="37" t="n"/>
      <c r="Y28" s="36" t="n"/>
      <c r="Z28" s="37" t="n"/>
    </row>
    <row r="29">
      <c r="A29" s="35">
        <f>IF(E29="","",ROW()-5)</f>
        <v/>
      </c>
      <c r="B29" s="36" t="n"/>
      <c r="C29" s="36" t="n"/>
      <c r="D29" s="36" t="n"/>
      <c r="E29" s="37" t="n"/>
      <c r="F29" s="37" t="n"/>
      <c r="G29" s="37" t="n"/>
      <c r="H29" s="37" t="n"/>
      <c r="I29" s="37" t="n"/>
      <c r="J29" s="36" t="n"/>
      <c r="K29" s="36" t="n"/>
      <c r="L29" s="36" t="n"/>
      <c r="M29" s="36" t="n"/>
      <c r="N29" s="38" t="n"/>
      <c r="O29" s="39">
        <f>IF(OR(N29="",J29=""),"",N29*J29)</f>
        <v/>
      </c>
      <c r="P29" s="40" t="n"/>
      <c r="Q29" s="41">
        <f>IF(OR(P29="",Y29="발주완료",Y29="취소"),"",TODAY()+P29)</f>
        <v/>
      </c>
      <c r="R29" s="35">
        <f>IF(OR(Q29="",NOT(ISNUMBER($J$2))),"",IF(Q29&lt;=$J$2,"가능","초과 "&amp;(Q29-$J$2)&amp;"일"))</f>
        <v/>
      </c>
      <c r="S29" s="36" t="n"/>
      <c r="T29" s="36" t="n"/>
      <c r="U29" s="36" t="n"/>
      <c r="V29" s="43" t="n"/>
      <c r="W29" s="41">
        <f>IF(OR(V29="",U29=""),"",V29+U29)</f>
        <v/>
      </c>
      <c r="X29" s="37" t="n"/>
      <c r="Y29" s="36" t="n"/>
      <c r="Z29" s="37" t="n"/>
    </row>
    <row r="30">
      <c r="A30" s="35">
        <f>IF(E30="","",ROW()-5)</f>
        <v/>
      </c>
      <c r="B30" s="36" t="n"/>
      <c r="C30" s="36" t="n"/>
      <c r="D30" s="36" t="n"/>
      <c r="E30" s="37" t="n"/>
      <c r="F30" s="37" t="n"/>
      <c r="G30" s="37" t="n"/>
      <c r="H30" s="37" t="n"/>
      <c r="I30" s="37" t="n"/>
      <c r="J30" s="36" t="n"/>
      <c r="K30" s="36" t="n"/>
      <c r="L30" s="36" t="n"/>
      <c r="M30" s="36" t="n"/>
      <c r="N30" s="38" t="n"/>
      <c r="O30" s="39">
        <f>IF(OR(N30="",J30=""),"",N30*J30)</f>
        <v/>
      </c>
      <c r="P30" s="40" t="n"/>
      <c r="Q30" s="41">
        <f>IF(OR(P30="",Y30="발주완료",Y30="취소"),"",TODAY()+P30)</f>
        <v/>
      </c>
      <c r="R30" s="35">
        <f>IF(OR(Q30="",NOT(ISNUMBER($J$2))),"",IF(Q30&lt;=$J$2,"가능","초과 "&amp;(Q30-$J$2)&amp;"일"))</f>
        <v/>
      </c>
      <c r="S30" s="36" t="n"/>
      <c r="T30" s="36" t="n"/>
      <c r="U30" s="36" t="n"/>
      <c r="V30" s="43" t="n"/>
      <c r="W30" s="41">
        <f>IF(OR(V30="",U30=""),"",V30+U30)</f>
        <v/>
      </c>
      <c r="X30" s="37" t="n"/>
      <c r="Y30" s="36" t="n"/>
      <c r="Z30" s="37" t="n"/>
    </row>
    <row r="31">
      <c r="A31" s="35">
        <f>IF(E31="","",ROW()-5)</f>
        <v/>
      </c>
      <c r="B31" s="36" t="n"/>
      <c r="C31" s="36" t="n"/>
      <c r="D31" s="36" t="n"/>
      <c r="E31" s="37" t="n"/>
      <c r="F31" s="37" t="n"/>
      <c r="G31" s="37" t="n"/>
      <c r="H31" s="37" t="n"/>
      <c r="I31" s="37" t="n"/>
      <c r="J31" s="36" t="n"/>
      <c r="K31" s="36" t="n"/>
      <c r="L31" s="36" t="n"/>
      <c r="M31" s="36" t="n"/>
      <c r="N31" s="38" t="n"/>
      <c r="O31" s="39">
        <f>IF(OR(N31="",J31=""),"",N31*J31)</f>
        <v/>
      </c>
      <c r="P31" s="40" t="n"/>
      <c r="Q31" s="41">
        <f>IF(OR(P31="",Y31="발주완료",Y31="취소"),"",TODAY()+P31)</f>
        <v/>
      </c>
      <c r="R31" s="35">
        <f>IF(OR(Q31="",NOT(ISNUMBER($J$2))),"",IF(Q31&lt;=$J$2,"가능","초과 "&amp;(Q31-$J$2)&amp;"일"))</f>
        <v/>
      </c>
      <c r="S31" s="36" t="n"/>
      <c r="T31" s="36" t="n"/>
      <c r="U31" s="36" t="n"/>
      <c r="V31" s="43" t="n"/>
      <c r="W31" s="41">
        <f>IF(OR(V31="",U31=""),"",V31+U31)</f>
        <v/>
      </c>
      <c r="X31" s="37" t="n"/>
      <c r="Y31" s="36" t="n"/>
      <c r="Z31" s="37" t="n"/>
    </row>
    <row r="32">
      <c r="A32" s="35">
        <f>IF(E32="","",ROW()-5)</f>
        <v/>
      </c>
      <c r="B32" s="36" t="n"/>
      <c r="C32" s="36" t="n"/>
      <c r="D32" s="36" t="n"/>
      <c r="E32" s="37" t="n"/>
      <c r="F32" s="37" t="n"/>
      <c r="G32" s="37" t="n"/>
      <c r="H32" s="37" t="n"/>
      <c r="I32" s="37" t="n"/>
      <c r="J32" s="36" t="n"/>
      <c r="K32" s="36" t="n"/>
      <c r="L32" s="36" t="n"/>
      <c r="M32" s="36" t="n"/>
      <c r="N32" s="38" t="n"/>
      <c r="O32" s="39">
        <f>IF(OR(N32="",J32=""),"",N32*J32)</f>
        <v/>
      </c>
      <c r="P32" s="40" t="n"/>
      <c r="Q32" s="41">
        <f>IF(OR(P32="",Y32="발주완료",Y32="취소"),"",TODAY()+P32)</f>
        <v/>
      </c>
      <c r="R32" s="35">
        <f>IF(OR(Q32="",NOT(ISNUMBER($J$2))),"",IF(Q32&lt;=$J$2,"가능","초과 "&amp;(Q32-$J$2)&amp;"일"))</f>
        <v/>
      </c>
      <c r="S32" s="36" t="n"/>
      <c r="T32" s="36" t="n"/>
      <c r="U32" s="36" t="n"/>
      <c r="V32" s="43" t="n"/>
      <c r="W32" s="41">
        <f>IF(OR(V32="",U32=""),"",V32+U32)</f>
        <v/>
      </c>
      <c r="X32" s="37" t="n"/>
      <c r="Y32" s="36" t="n"/>
      <c r="Z32" s="37" t="n"/>
    </row>
    <row r="33">
      <c r="A33" s="35">
        <f>IF(E33="","",ROW()-5)</f>
        <v/>
      </c>
      <c r="B33" s="36" t="n"/>
      <c r="C33" s="36" t="n"/>
      <c r="D33" s="36" t="n"/>
      <c r="E33" s="37" t="n"/>
      <c r="F33" s="37" t="n"/>
      <c r="G33" s="37" t="n"/>
      <c r="H33" s="37" t="n"/>
      <c r="I33" s="37" t="n"/>
      <c r="J33" s="36" t="n"/>
      <c r="K33" s="36" t="n"/>
      <c r="L33" s="36" t="n"/>
      <c r="M33" s="36" t="n"/>
      <c r="N33" s="38" t="n"/>
      <c r="O33" s="39">
        <f>IF(OR(N33="",J33=""),"",N33*J33)</f>
        <v/>
      </c>
      <c r="P33" s="40" t="n"/>
      <c r="Q33" s="41">
        <f>IF(OR(P33="",Y33="발주완료",Y33="취소"),"",TODAY()+P33)</f>
        <v/>
      </c>
      <c r="R33" s="35">
        <f>IF(OR(Q33="",NOT(ISNUMBER($J$2))),"",IF(Q33&lt;=$J$2,"가능","초과 "&amp;(Q33-$J$2)&amp;"일"))</f>
        <v/>
      </c>
      <c r="S33" s="36" t="n"/>
      <c r="T33" s="36" t="n"/>
      <c r="U33" s="36" t="n"/>
      <c r="V33" s="43" t="n"/>
      <c r="W33" s="41">
        <f>IF(OR(V33="",U33=""),"",V33+U33)</f>
        <v/>
      </c>
      <c r="X33" s="37" t="n"/>
      <c r="Y33" s="36" t="n"/>
      <c r="Z33" s="37" t="n"/>
    </row>
    <row r="34">
      <c r="A34" s="35">
        <f>IF(E34="","",ROW()-5)</f>
        <v/>
      </c>
      <c r="B34" s="36" t="n"/>
      <c r="C34" s="36" t="n"/>
      <c r="D34" s="36" t="n"/>
      <c r="E34" s="37" t="n"/>
      <c r="F34" s="37" t="n"/>
      <c r="G34" s="37" t="n"/>
      <c r="H34" s="37" t="n"/>
      <c r="I34" s="37" t="n"/>
      <c r="J34" s="36" t="n"/>
      <c r="K34" s="36" t="n"/>
      <c r="L34" s="36" t="n"/>
      <c r="M34" s="36" t="n"/>
      <c r="N34" s="38" t="n"/>
      <c r="O34" s="39">
        <f>IF(OR(N34="",J34=""),"",N34*J34)</f>
        <v/>
      </c>
      <c r="P34" s="40" t="n"/>
      <c r="Q34" s="41">
        <f>IF(OR(P34="",Y34="발주완료",Y34="취소"),"",TODAY()+P34)</f>
        <v/>
      </c>
      <c r="R34" s="35">
        <f>IF(OR(Q34="",NOT(ISNUMBER($J$2))),"",IF(Q34&lt;=$J$2,"가능","초과 "&amp;(Q34-$J$2)&amp;"일"))</f>
        <v/>
      </c>
      <c r="S34" s="36" t="n"/>
      <c r="T34" s="36" t="n"/>
      <c r="U34" s="36" t="n"/>
      <c r="V34" s="43" t="n"/>
      <c r="W34" s="41">
        <f>IF(OR(V34="",U34=""),"",V34+U34)</f>
        <v/>
      </c>
      <c r="X34" s="37" t="n"/>
      <c r="Y34" s="36" t="n"/>
      <c r="Z34" s="37" t="n"/>
    </row>
    <row r="35">
      <c r="A35" s="35">
        <f>IF(E35="","",ROW()-5)</f>
        <v/>
      </c>
      <c r="B35" s="36" t="n"/>
      <c r="C35" s="36" t="n"/>
      <c r="D35" s="36" t="n"/>
      <c r="E35" s="37" t="n"/>
      <c r="F35" s="37" t="n"/>
      <c r="G35" s="37" t="n"/>
      <c r="H35" s="37" t="n"/>
      <c r="I35" s="37" t="n"/>
      <c r="J35" s="36" t="n"/>
      <c r="K35" s="36" t="n"/>
      <c r="L35" s="36" t="n"/>
      <c r="M35" s="36" t="n"/>
      <c r="N35" s="38" t="n"/>
      <c r="O35" s="39">
        <f>IF(OR(N35="",J35=""),"",N35*J35)</f>
        <v/>
      </c>
      <c r="P35" s="40" t="n"/>
      <c r="Q35" s="41">
        <f>IF(OR(P35="",Y35="발주완료",Y35="취소"),"",TODAY()+P35)</f>
        <v/>
      </c>
      <c r="R35" s="35">
        <f>IF(OR(Q35="",NOT(ISNUMBER($J$2))),"",IF(Q35&lt;=$J$2,"가능","초과 "&amp;(Q35-$J$2)&amp;"일"))</f>
        <v/>
      </c>
      <c r="S35" s="36" t="n"/>
      <c r="T35" s="36" t="n"/>
      <c r="U35" s="36" t="n"/>
      <c r="V35" s="43" t="n"/>
      <c r="W35" s="41">
        <f>IF(OR(V35="",U35=""),"",V35+U35)</f>
        <v/>
      </c>
      <c r="X35" s="37" t="n"/>
      <c r="Y35" s="36" t="n"/>
      <c r="Z35" s="37" t="n"/>
    </row>
    <row r="36">
      <c r="A36" s="35">
        <f>IF(E36="","",ROW()-5)</f>
        <v/>
      </c>
      <c r="B36" s="36" t="n"/>
      <c r="C36" s="36" t="n"/>
      <c r="D36" s="36" t="n"/>
      <c r="E36" s="37" t="n"/>
      <c r="F36" s="37" t="n"/>
      <c r="G36" s="37" t="n"/>
      <c r="H36" s="37" t="n"/>
      <c r="I36" s="37" t="n"/>
      <c r="J36" s="36" t="n"/>
      <c r="K36" s="36" t="n"/>
      <c r="L36" s="36" t="n"/>
      <c r="M36" s="36" t="n"/>
      <c r="N36" s="38" t="n"/>
      <c r="O36" s="39">
        <f>IF(OR(N36="",J36=""),"",N36*J36)</f>
        <v/>
      </c>
      <c r="P36" s="40" t="n"/>
      <c r="Q36" s="41">
        <f>IF(OR(P36="",Y36="발주완료",Y36="취소"),"",TODAY()+P36)</f>
        <v/>
      </c>
      <c r="R36" s="35">
        <f>IF(OR(Q36="",NOT(ISNUMBER($J$2))),"",IF(Q36&lt;=$J$2,"가능","초과 "&amp;(Q36-$J$2)&amp;"일"))</f>
        <v/>
      </c>
      <c r="S36" s="36" t="n"/>
      <c r="T36" s="36" t="n"/>
      <c r="U36" s="36" t="n"/>
      <c r="V36" s="43" t="n"/>
      <c r="W36" s="41">
        <f>IF(OR(V36="",U36=""),"",V36+U36)</f>
        <v/>
      </c>
      <c r="X36" s="37" t="n"/>
      <c r="Y36" s="36" t="n"/>
      <c r="Z36" s="37" t="n"/>
    </row>
    <row r="37">
      <c r="A37" s="35">
        <f>IF(E37="","",ROW()-5)</f>
        <v/>
      </c>
      <c r="B37" s="36" t="n"/>
      <c r="C37" s="36" t="n"/>
      <c r="D37" s="36" t="n"/>
      <c r="E37" s="37" t="n"/>
      <c r="F37" s="37" t="n"/>
      <c r="G37" s="37" t="n"/>
      <c r="H37" s="37" t="n"/>
      <c r="I37" s="37" t="n"/>
      <c r="J37" s="36" t="n"/>
      <c r="K37" s="36" t="n"/>
      <c r="L37" s="36" t="n"/>
      <c r="M37" s="36" t="n"/>
      <c r="N37" s="38" t="n"/>
      <c r="O37" s="39">
        <f>IF(OR(N37="",J37=""),"",N37*J37)</f>
        <v/>
      </c>
      <c r="P37" s="40" t="n"/>
      <c r="Q37" s="41">
        <f>IF(OR(P37="",Y37="발주완료",Y37="취소"),"",TODAY()+P37)</f>
        <v/>
      </c>
      <c r="R37" s="35">
        <f>IF(OR(Q37="",NOT(ISNUMBER($J$2))),"",IF(Q37&lt;=$J$2,"가능","초과 "&amp;(Q37-$J$2)&amp;"일"))</f>
        <v/>
      </c>
      <c r="S37" s="36" t="n"/>
      <c r="T37" s="36" t="n"/>
      <c r="U37" s="36" t="n"/>
      <c r="V37" s="43" t="n"/>
      <c r="W37" s="41">
        <f>IF(OR(V37="",U37=""),"",V37+U37)</f>
        <v/>
      </c>
      <c r="X37" s="37" t="n"/>
      <c r="Y37" s="36" t="n"/>
      <c r="Z37" s="37" t="n"/>
    </row>
    <row r="38">
      <c r="A38" s="35">
        <f>IF(E38="","",ROW()-5)</f>
        <v/>
      </c>
      <c r="B38" s="36" t="n"/>
      <c r="C38" s="36" t="n"/>
      <c r="D38" s="36" t="n"/>
      <c r="E38" s="37" t="n"/>
      <c r="F38" s="37" t="n"/>
      <c r="G38" s="37" t="n"/>
      <c r="H38" s="37" t="n"/>
      <c r="I38" s="37" t="n"/>
      <c r="J38" s="36" t="n"/>
      <c r="K38" s="36" t="n"/>
      <c r="L38" s="36" t="n"/>
      <c r="M38" s="36" t="n"/>
      <c r="N38" s="38" t="n"/>
      <c r="O38" s="39">
        <f>IF(OR(N38="",J38=""),"",N38*J38)</f>
        <v/>
      </c>
      <c r="P38" s="40" t="n"/>
      <c r="Q38" s="41">
        <f>IF(OR(P38="",Y38="발주완료",Y38="취소"),"",TODAY()+P38)</f>
        <v/>
      </c>
      <c r="R38" s="35">
        <f>IF(OR(Q38="",NOT(ISNUMBER($J$2))),"",IF(Q38&lt;=$J$2,"가능","초과 "&amp;(Q38-$J$2)&amp;"일"))</f>
        <v/>
      </c>
      <c r="S38" s="36" t="n"/>
      <c r="T38" s="36" t="n"/>
      <c r="U38" s="36" t="n"/>
      <c r="V38" s="43" t="n"/>
      <c r="W38" s="41">
        <f>IF(OR(V38="",U38=""),"",V38+U38)</f>
        <v/>
      </c>
      <c r="X38" s="37" t="n"/>
      <c r="Y38" s="36" t="n"/>
      <c r="Z38" s="37" t="n"/>
    </row>
    <row r="39">
      <c r="A39" s="35">
        <f>IF(E39="","",ROW()-5)</f>
        <v/>
      </c>
      <c r="B39" s="36" t="n"/>
      <c r="C39" s="36" t="n"/>
      <c r="D39" s="36" t="n"/>
      <c r="E39" s="37" t="n"/>
      <c r="F39" s="37" t="n"/>
      <c r="G39" s="37" t="n"/>
      <c r="H39" s="37" t="n"/>
      <c r="I39" s="37" t="n"/>
      <c r="J39" s="36" t="n"/>
      <c r="K39" s="36" t="n"/>
      <c r="L39" s="36" t="n"/>
      <c r="M39" s="36" t="n"/>
      <c r="N39" s="38" t="n"/>
      <c r="O39" s="39">
        <f>IF(OR(N39="",J39=""),"",N39*J39)</f>
        <v/>
      </c>
      <c r="P39" s="40" t="n"/>
      <c r="Q39" s="41">
        <f>IF(OR(P39="",Y39="발주완료",Y39="취소"),"",TODAY()+P39)</f>
        <v/>
      </c>
      <c r="R39" s="35">
        <f>IF(OR(Q39="",NOT(ISNUMBER($J$2))),"",IF(Q39&lt;=$J$2,"가능","초과 "&amp;(Q39-$J$2)&amp;"일"))</f>
        <v/>
      </c>
      <c r="S39" s="36" t="n"/>
      <c r="T39" s="36" t="n"/>
      <c r="U39" s="36" t="n"/>
      <c r="V39" s="43" t="n"/>
      <c r="W39" s="41">
        <f>IF(OR(V39="",U39=""),"",V39+U39)</f>
        <v/>
      </c>
      <c r="X39" s="37" t="n"/>
      <c r="Y39" s="36" t="n"/>
      <c r="Z39" s="37" t="n"/>
    </row>
    <row r="40">
      <c r="A40" s="35">
        <f>IF(E40="","",ROW()-5)</f>
        <v/>
      </c>
      <c r="B40" s="36" t="n"/>
      <c r="C40" s="36" t="n"/>
      <c r="D40" s="36" t="n"/>
      <c r="E40" s="37" t="n"/>
      <c r="F40" s="37" t="n"/>
      <c r="G40" s="37" t="n"/>
      <c r="H40" s="37" t="n"/>
      <c r="I40" s="37" t="n"/>
      <c r="J40" s="36" t="n"/>
      <c r="K40" s="36" t="n"/>
      <c r="L40" s="36" t="n"/>
      <c r="M40" s="36" t="n"/>
      <c r="N40" s="38" t="n"/>
      <c r="O40" s="39">
        <f>IF(OR(N40="",J40=""),"",N40*J40)</f>
        <v/>
      </c>
      <c r="P40" s="40" t="n"/>
      <c r="Q40" s="41">
        <f>IF(OR(P40="",Y40="발주완료",Y40="취소"),"",TODAY()+P40)</f>
        <v/>
      </c>
      <c r="R40" s="35">
        <f>IF(OR(Q40="",NOT(ISNUMBER($J$2))),"",IF(Q40&lt;=$J$2,"가능","초과 "&amp;(Q40-$J$2)&amp;"일"))</f>
        <v/>
      </c>
      <c r="S40" s="36" t="n"/>
      <c r="T40" s="36" t="n"/>
      <c r="U40" s="36" t="n"/>
      <c r="V40" s="43" t="n"/>
      <c r="W40" s="41">
        <f>IF(OR(V40="",U40=""),"",V40+U40)</f>
        <v/>
      </c>
      <c r="X40" s="37" t="n"/>
      <c r="Y40" s="36" t="n"/>
      <c r="Z40" s="37" t="n"/>
    </row>
    <row r="41">
      <c r="A41" s="35">
        <f>IF(E41="","",ROW()-5)</f>
        <v/>
      </c>
      <c r="B41" s="36" t="n"/>
      <c r="C41" s="36" t="n"/>
      <c r="D41" s="36" t="n"/>
      <c r="E41" s="37" t="n"/>
      <c r="F41" s="37" t="n"/>
      <c r="G41" s="37" t="n"/>
      <c r="H41" s="37" t="n"/>
      <c r="I41" s="37" t="n"/>
      <c r="J41" s="36" t="n"/>
      <c r="K41" s="36" t="n"/>
      <c r="L41" s="36" t="n"/>
      <c r="M41" s="36" t="n"/>
      <c r="N41" s="38" t="n"/>
      <c r="O41" s="39">
        <f>IF(OR(N41="",J41=""),"",N41*J41)</f>
        <v/>
      </c>
      <c r="P41" s="40" t="n"/>
      <c r="Q41" s="41">
        <f>IF(OR(P41="",Y41="발주완료",Y41="취소"),"",TODAY()+P41)</f>
        <v/>
      </c>
      <c r="R41" s="35">
        <f>IF(OR(Q41="",NOT(ISNUMBER($J$2))),"",IF(Q41&lt;=$J$2,"가능","초과 "&amp;(Q41-$J$2)&amp;"일"))</f>
        <v/>
      </c>
      <c r="S41" s="36" t="n"/>
      <c r="T41" s="36" t="n"/>
      <c r="U41" s="36" t="n"/>
      <c r="V41" s="43" t="n"/>
      <c r="W41" s="41">
        <f>IF(OR(V41="",U41=""),"",V41+U41)</f>
        <v/>
      </c>
      <c r="X41" s="37" t="n"/>
      <c r="Y41" s="36" t="n"/>
      <c r="Z41" s="37" t="n"/>
    </row>
    <row r="42">
      <c r="A42" s="35">
        <f>IF(E42="","",ROW()-5)</f>
        <v/>
      </c>
      <c r="B42" s="36" t="n"/>
      <c r="C42" s="36" t="n"/>
      <c r="D42" s="36" t="n"/>
      <c r="E42" s="37" t="n"/>
      <c r="F42" s="37" t="n"/>
      <c r="G42" s="37" t="n"/>
      <c r="H42" s="37" t="n"/>
      <c r="I42" s="37" t="n"/>
      <c r="J42" s="36" t="n"/>
      <c r="K42" s="36" t="n"/>
      <c r="L42" s="36" t="n"/>
      <c r="M42" s="36" t="n"/>
      <c r="N42" s="38" t="n"/>
      <c r="O42" s="39">
        <f>IF(OR(N42="",J42=""),"",N42*J42)</f>
        <v/>
      </c>
      <c r="P42" s="40" t="n"/>
      <c r="Q42" s="41">
        <f>IF(OR(P42="",Y42="발주완료",Y42="취소"),"",TODAY()+P42)</f>
        <v/>
      </c>
      <c r="R42" s="35">
        <f>IF(OR(Q42="",NOT(ISNUMBER($J$2))),"",IF(Q42&lt;=$J$2,"가능","초과 "&amp;(Q42-$J$2)&amp;"일"))</f>
        <v/>
      </c>
      <c r="S42" s="36" t="n"/>
      <c r="T42" s="36" t="n"/>
      <c r="U42" s="36" t="n"/>
      <c r="V42" s="43" t="n"/>
      <c r="W42" s="41">
        <f>IF(OR(V42="",U42=""),"",V42+U42)</f>
        <v/>
      </c>
      <c r="X42" s="37" t="n"/>
      <c r="Y42" s="36" t="n"/>
      <c r="Z42" s="37" t="n"/>
    </row>
    <row r="43">
      <c r="A43" s="35">
        <f>IF(E43="","",ROW()-5)</f>
        <v/>
      </c>
      <c r="B43" s="36" t="n"/>
      <c r="C43" s="36" t="n"/>
      <c r="D43" s="36" t="n"/>
      <c r="E43" s="37" t="n"/>
      <c r="F43" s="37" t="n"/>
      <c r="G43" s="37" t="n"/>
      <c r="H43" s="37" t="n"/>
      <c r="I43" s="37" t="n"/>
      <c r="J43" s="36" t="n"/>
      <c r="K43" s="36" t="n"/>
      <c r="L43" s="36" t="n"/>
      <c r="M43" s="36" t="n"/>
      <c r="N43" s="38" t="n"/>
      <c r="O43" s="39">
        <f>IF(OR(N43="",J43=""),"",N43*J43)</f>
        <v/>
      </c>
      <c r="P43" s="40" t="n"/>
      <c r="Q43" s="41">
        <f>IF(OR(P43="",Y43="발주완료",Y43="취소"),"",TODAY()+P43)</f>
        <v/>
      </c>
      <c r="R43" s="35">
        <f>IF(OR(Q43="",NOT(ISNUMBER($J$2))),"",IF(Q43&lt;=$J$2,"가능","초과 "&amp;(Q43-$J$2)&amp;"일"))</f>
        <v/>
      </c>
      <c r="S43" s="36" t="n"/>
      <c r="T43" s="36" t="n"/>
      <c r="U43" s="36" t="n"/>
      <c r="V43" s="43" t="n"/>
      <c r="W43" s="41">
        <f>IF(OR(V43="",U43=""),"",V43+U43)</f>
        <v/>
      </c>
      <c r="X43" s="37" t="n"/>
      <c r="Y43" s="36" t="n"/>
      <c r="Z43" s="37" t="n"/>
    </row>
    <row r="44">
      <c r="A44" s="35">
        <f>IF(E44="","",ROW()-5)</f>
        <v/>
      </c>
      <c r="B44" s="36" t="n"/>
      <c r="C44" s="36" t="n"/>
      <c r="D44" s="36" t="n"/>
      <c r="E44" s="37" t="n"/>
      <c r="F44" s="37" t="n"/>
      <c r="G44" s="37" t="n"/>
      <c r="H44" s="37" t="n"/>
      <c r="I44" s="37" t="n"/>
      <c r="J44" s="36" t="n"/>
      <c r="K44" s="36" t="n"/>
      <c r="L44" s="36" t="n"/>
      <c r="M44" s="36" t="n"/>
      <c r="N44" s="38" t="n"/>
      <c r="O44" s="39">
        <f>IF(OR(N44="",J44=""),"",N44*J44)</f>
        <v/>
      </c>
      <c r="P44" s="40" t="n"/>
      <c r="Q44" s="41">
        <f>IF(OR(P44="",Y44="발주완료",Y44="취소"),"",TODAY()+P44)</f>
        <v/>
      </c>
      <c r="R44" s="35">
        <f>IF(OR(Q44="",NOT(ISNUMBER($J$2))),"",IF(Q44&lt;=$J$2,"가능","초과 "&amp;(Q44-$J$2)&amp;"일"))</f>
        <v/>
      </c>
      <c r="S44" s="36" t="n"/>
      <c r="T44" s="36" t="n"/>
      <c r="U44" s="36" t="n"/>
      <c r="V44" s="43" t="n"/>
      <c r="W44" s="41">
        <f>IF(OR(V44="",U44=""),"",V44+U44)</f>
        <v/>
      </c>
      <c r="X44" s="37" t="n"/>
      <c r="Y44" s="36" t="n"/>
      <c r="Z44" s="37" t="n"/>
    </row>
    <row r="45">
      <c r="A45" s="35">
        <f>IF(E45="","",ROW()-5)</f>
        <v/>
      </c>
      <c r="B45" s="36" t="n"/>
      <c r="C45" s="36" t="n"/>
      <c r="D45" s="36" t="n"/>
      <c r="E45" s="37" t="n"/>
      <c r="F45" s="37" t="n"/>
      <c r="G45" s="37" t="n"/>
      <c r="H45" s="37" t="n"/>
      <c r="I45" s="37" t="n"/>
      <c r="J45" s="36" t="n"/>
      <c r="K45" s="36" t="n"/>
      <c r="L45" s="36" t="n"/>
      <c r="M45" s="36" t="n"/>
      <c r="N45" s="38" t="n"/>
      <c r="O45" s="39">
        <f>IF(OR(N45="",J45=""),"",N45*J45)</f>
        <v/>
      </c>
      <c r="P45" s="40" t="n"/>
      <c r="Q45" s="41">
        <f>IF(OR(P45="",Y45="발주완료",Y45="취소"),"",TODAY()+P45)</f>
        <v/>
      </c>
      <c r="R45" s="35">
        <f>IF(OR(Q45="",NOT(ISNUMBER($J$2))),"",IF(Q45&lt;=$J$2,"가능","초과 "&amp;(Q45-$J$2)&amp;"일"))</f>
        <v/>
      </c>
      <c r="S45" s="36" t="n"/>
      <c r="T45" s="36" t="n"/>
      <c r="U45" s="36" t="n"/>
      <c r="V45" s="43" t="n"/>
      <c r="W45" s="41">
        <f>IF(OR(V45="",U45=""),"",V45+U45)</f>
        <v/>
      </c>
      <c r="X45" s="37" t="n"/>
      <c r="Y45" s="36" t="n"/>
      <c r="Z45" s="37" t="n"/>
    </row>
    <row r="46">
      <c r="A46" s="35">
        <f>IF(E46="","",ROW()-5)</f>
        <v/>
      </c>
      <c r="B46" s="36" t="n"/>
      <c r="C46" s="36" t="n"/>
      <c r="D46" s="36" t="n"/>
      <c r="E46" s="37" t="n"/>
      <c r="F46" s="37" t="n"/>
      <c r="G46" s="37" t="n"/>
      <c r="H46" s="37" t="n"/>
      <c r="I46" s="37" t="n"/>
      <c r="J46" s="36" t="n"/>
      <c r="K46" s="36" t="n"/>
      <c r="L46" s="36" t="n"/>
      <c r="M46" s="36" t="n"/>
      <c r="N46" s="38" t="n"/>
      <c r="O46" s="39">
        <f>IF(OR(N46="",J46=""),"",N46*J46)</f>
        <v/>
      </c>
      <c r="P46" s="40" t="n"/>
      <c r="Q46" s="41">
        <f>IF(OR(P46="",Y46="발주완료",Y46="취소"),"",TODAY()+P46)</f>
        <v/>
      </c>
      <c r="R46" s="35">
        <f>IF(OR(Q46="",NOT(ISNUMBER($J$2))),"",IF(Q46&lt;=$J$2,"가능","초과 "&amp;(Q46-$J$2)&amp;"일"))</f>
        <v/>
      </c>
      <c r="S46" s="36" t="n"/>
      <c r="T46" s="36" t="n"/>
      <c r="U46" s="36" t="n"/>
      <c r="V46" s="43" t="n"/>
      <c r="W46" s="41">
        <f>IF(OR(V46="",U46=""),"",V46+U46)</f>
        <v/>
      </c>
      <c r="X46" s="37" t="n"/>
      <c r="Y46" s="36" t="n"/>
      <c r="Z46" s="37" t="n"/>
    </row>
    <row r="47">
      <c r="A47" s="35">
        <f>IF(E47="","",ROW()-5)</f>
        <v/>
      </c>
      <c r="B47" s="36" t="n"/>
      <c r="C47" s="36" t="n"/>
      <c r="D47" s="36" t="n"/>
      <c r="E47" s="37" t="n"/>
      <c r="F47" s="37" t="n"/>
      <c r="G47" s="37" t="n"/>
      <c r="H47" s="37" t="n"/>
      <c r="I47" s="37" t="n"/>
      <c r="J47" s="36" t="n"/>
      <c r="K47" s="36" t="n"/>
      <c r="L47" s="36" t="n"/>
      <c r="M47" s="36" t="n"/>
      <c r="N47" s="38" t="n"/>
      <c r="O47" s="39">
        <f>IF(OR(N47="",J47=""),"",N47*J47)</f>
        <v/>
      </c>
      <c r="P47" s="40" t="n"/>
      <c r="Q47" s="41">
        <f>IF(OR(P47="",Y47="발주완료",Y47="취소"),"",TODAY()+P47)</f>
        <v/>
      </c>
      <c r="R47" s="35">
        <f>IF(OR(Q47="",NOT(ISNUMBER($J$2))),"",IF(Q47&lt;=$J$2,"가능","초과 "&amp;(Q47-$J$2)&amp;"일"))</f>
        <v/>
      </c>
      <c r="S47" s="36" t="n"/>
      <c r="T47" s="36" t="n"/>
      <c r="U47" s="36" t="n"/>
      <c r="V47" s="43" t="n"/>
      <c r="W47" s="41">
        <f>IF(OR(V47="",U47=""),"",V47+U47)</f>
        <v/>
      </c>
      <c r="X47" s="37" t="n"/>
      <c r="Y47" s="36" t="n"/>
      <c r="Z47" s="37" t="n"/>
    </row>
    <row r="48">
      <c r="A48" s="35">
        <f>IF(E48="","",ROW()-5)</f>
        <v/>
      </c>
      <c r="B48" s="36" t="n"/>
      <c r="C48" s="36" t="n"/>
      <c r="D48" s="36" t="n"/>
      <c r="E48" s="37" t="n"/>
      <c r="F48" s="37" t="n"/>
      <c r="G48" s="37" t="n"/>
      <c r="H48" s="37" t="n"/>
      <c r="I48" s="37" t="n"/>
      <c r="J48" s="36" t="n"/>
      <c r="K48" s="36" t="n"/>
      <c r="L48" s="36" t="n"/>
      <c r="M48" s="36" t="n"/>
      <c r="N48" s="38" t="n"/>
      <c r="O48" s="39">
        <f>IF(OR(N48="",J48=""),"",N48*J48)</f>
        <v/>
      </c>
      <c r="P48" s="40" t="n"/>
      <c r="Q48" s="41">
        <f>IF(OR(P48="",Y48="발주완료",Y48="취소"),"",TODAY()+P48)</f>
        <v/>
      </c>
      <c r="R48" s="35">
        <f>IF(OR(Q48="",NOT(ISNUMBER($J$2))),"",IF(Q48&lt;=$J$2,"가능","초과 "&amp;(Q48-$J$2)&amp;"일"))</f>
        <v/>
      </c>
      <c r="S48" s="36" t="n"/>
      <c r="T48" s="36" t="n"/>
      <c r="U48" s="36" t="n"/>
      <c r="V48" s="43" t="n"/>
      <c r="W48" s="41">
        <f>IF(OR(V48="",U48=""),"",V48+U48)</f>
        <v/>
      </c>
      <c r="X48" s="37" t="n"/>
      <c r="Y48" s="36" t="n"/>
      <c r="Z48" s="37" t="n"/>
    </row>
    <row r="49">
      <c r="A49" s="35">
        <f>IF(E49="","",ROW()-5)</f>
        <v/>
      </c>
      <c r="B49" s="36" t="n"/>
      <c r="C49" s="36" t="n"/>
      <c r="D49" s="36" t="n"/>
      <c r="E49" s="37" t="n"/>
      <c r="F49" s="37" t="n"/>
      <c r="G49" s="37" t="n"/>
      <c r="H49" s="37" t="n"/>
      <c r="I49" s="37" t="n"/>
      <c r="J49" s="36" t="n"/>
      <c r="K49" s="36" t="n"/>
      <c r="L49" s="36" t="n"/>
      <c r="M49" s="36" t="n"/>
      <c r="N49" s="38" t="n"/>
      <c r="O49" s="39">
        <f>IF(OR(N49="",J49=""),"",N49*J49)</f>
        <v/>
      </c>
      <c r="P49" s="40" t="n"/>
      <c r="Q49" s="41">
        <f>IF(OR(P49="",Y49="발주완료",Y49="취소"),"",TODAY()+P49)</f>
        <v/>
      </c>
      <c r="R49" s="35">
        <f>IF(OR(Q49="",NOT(ISNUMBER($J$2))),"",IF(Q49&lt;=$J$2,"가능","초과 "&amp;(Q49-$J$2)&amp;"일"))</f>
        <v/>
      </c>
      <c r="S49" s="36" t="n"/>
      <c r="T49" s="36" t="n"/>
      <c r="U49" s="36" t="n"/>
      <c r="V49" s="43" t="n"/>
      <c r="W49" s="41">
        <f>IF(OR(V49="",U49=""),"",V49+U49)</f>
        <v/>
      </c>
      <c r="X49" s="37" t="n"/>
      <c r="Y49" s="36" t="n"/>
      <c r="Z49" s="37" t="n"/>
    </row>
    <row r="50">
      <c r="A50" s="35">
        <f>IF(E50="","",ROW()-5)</f>
        <v/>
      </c>
      <c r="B50" s="36" t="n"/>
      <c r="C50" s="36" t="n"/>
      <c r="D50" s="36" t="n"/>
      <c r="E50" s="37" t="n"/>
      <c r="F50" s="37" t="n"/>
      <c r="G50" s="37" t="n"/>
      <c r="H50" s="37" t="n"/>
      <c r="I50" s="37" t="n"/>
      <c r="J50" s="36" t="n"/>
      <c r="K50" s="36" t="n"/>
      <c r="L50" s="36" t="n"/>
      <c r="M50" s="36" t="n"/>
      <c r="N50" s="38" t="n"/>
      <c r="O50" s="39">
        <f>IF(OR(N50="",J50=""),"",N50*J50)</f>
        <v/>
      </c>
      <c r="P50" s="40" t="n"/>
      <c r="Q50" s="41">
        <f>IF(OR(P50="",Y50="발주완료",Y50="취소"),"",TODAY()+P50)</f>
        <v/>
      </c>
      <c r="R50" s="35">
        <f>IF(OR(Q50="",NOT(ISNUMBER($J$2))),"",IF(Q50&lt;=$J$2,"가능","초과 "&amp;(Q50-$J$2)&amp;"일"))</f>
        <v/>
      </c>
      <c r="S50" s="36" t="n"/>
      <c r="T50" s="36" t="n"/>
      <c r="U50" s="36" t="n"/>
      <c r="V50" s="43" t="n"/>
      <c r="W50" s="41">
        <f>IF(OR(V50="",U50=""),"",V50+U50)</f>
        <v/>
      </c>
      <c r="X50" s="37" t="n"/>
      <c r="Y50" s="36" t="n"/>
      <c r="Z50" s="37" t="n"/>
    </row>
    <row r="51">
      <c r="A51" s="35">
        <f>IF(E51="","",ROW()-5)</f>
        <v/>
      </c>
      <c r="B51" s="36" t="n"/>
      <c r="C51" s="36" t="n"/>
      <c r="D51" s="36" t="n"/>
      <c r="E51" s="37" t="n"/>
      <c r="F51" s="37" t="n"/>
      <c r="G51" s="37" t="n"/>
      <c r="H51" s="37" t="n"/>
      <c r="I51" s="37" t="n"/>
      <c r="J51" s="36" t="n"/>
      <c r="K51" s="36" t="n"/>
      <c r="L51" s="36" t="n"/>
      <c r="M51" s="36" t="n"/>
      <c r="N51" s="38" t="n"/>
      <c r="O51" s="39">
        <f>IF(OR(N51="",J51=""),"",N51*J51)</f>
        <v/>
      </c>
      <c r="P51" s="40" t="n"/>
      <c r="Q51" s="41">
        <f>IF(OR(P51="",Y51="발주완료",Y51="취소"),"",TODAY()+P51)</f>
        <v/>
      </c>
      <c r="R51" s="35">
        <f>IF(OR(Q51="",NOT(ISNUMBER($J$2))),"",IF(Q51&lt;=$J$2,"가능","초과 "&amp;(Q51-$J$2)&amp;"일"))</f>
        <v/>
      </c>
      <c r="S51" s="36" t="n"/>
      <c r="T51" s="36" t="n"/>
      <c r="U51" s="36" t="n"/>
      <c r="V51" s="43" t="n"/>
      <c r="W51" s="41">
        <f>IF(OR(V51="",U51=""),"",V51+U51)</f>
        <v/>
      </c>
      <c r="X51" s="37" t="n"/>
      <c r="Y51" s="36" t="n"/>
      <c r="Z51" s="37" t="n"/>
    </row>
    <row r="52">
      <c r="A52" s="35">
        <f>IF(E52="","",ROW()-5)</f>
        <v/>
      </c>
      <c r="B52" s="36" t="n"/>
      <c r="C52" s="36" t="n"/>
      <c r="D52" s="36" t="n"/>
      <c r="E52" s="37" t="n"/>
      <c r="F52" s="37" t="n"/>
      <c r="G52" s="37" t="n"/>
      <c r="H52" s="37" t="n"/>
      <c r="I52" s="37" t="n"/>
      <c r="J52" s="36" t="n"/>
      <c r="K52" s="36" t="n"/>
      <c r="L52" s="36" t="n"/>
      <c r="M52" s="36" t="n"/>
      <c r="N52" s="38" t="n"/>
      <c r="O52" s="39">
        <f>IF(OR(N52="",J52=""),"",N52*J52)</f>
        <v/>
      </c>
      <c r="P52" s="40" t="n"/>
      <c r="Q52" s="41">
        <f>IF(OR(P52="",Y52="발주완료",Y52="취소"),"",TODAY()+P52)</f>
        <v/>
      </c>
      <c r="R52" s="35">
        <f>IF(OR(Q52="",NOT(ISNUMBER($J$2))),"",IF(Q52&lt;=$J$2,"가능","초과 "&amp;(Q52-$J$2)&amp;"일"))</f>
        <v/>
      </c>
      <c r="S52" s="36" t="n"/>
      <c r="T52" s="36" t="n"/>
      <c r="U52" s="36" t="n"/>
      <c r="V52" s="43" t="n"/>
      <c r="W52" s="41">
        <f>IF(OR(V52="",U52=""),"",V52+U52)</f>
        <v/>
      </c>
      <c r="X52" s="37" t="n"/>
      <c r="Y52" s="36" t="n"/>
      <c r="Z52" s="37" t="n"/>
    </row>
    <row r="53">
      <c r="A53" s="35">
        <f>IF(E53="","",ROW()-5)</f>
        <v/>
      </c>
      <c r="B53" s="36" t="n"/>
      <c r="C53" s="36" t="n"/>
      <c r="D53" s="36" t="n"/>
      <c r="E53" s="37" t="n"/>
      <c r="F53" s="37" t="n"/>
      <c r="G53" s="37" t="n"/>
      <c r="H53" s="37" t="n"/>
      <c r="I53" s="37" t="n"/>
      <c r="J53" s="36" t="n"/>
      <c r="K53" s="36" t="n"/>
      <c r="L53" s="36" t="n"/>
      <c r="M53" s="36" t="n"/>
      <c r="N53" s="38" t="n"/>
      <c r="O53" s="39">
        <f>IF(OR(N53="",J53=""),"",N53*J53)</f>
        <v/>
      </c>
      <c r="P53" s="40" t="n"/>
      <c r="Q53" s="41">
        <f>IF(OR(P53="",Y53="발주완료",Y53="취소"),"",TODAY()+P53)</f>
        <v/>
      </c>
      <c r="R53" s="35">
        <f>IF(OR(Q53="",NOT(ISNUMBER($J$2))),"",IF(Q53&lt;=$J$2,"가능","초과 "&amp;(Q53-$J$2)&amp;"일"))</f>
        <v/>
      </c>
      <c r="S53" s="36" t="n"/>
      <c r="T53" s="36" t="n"/>
      <c r="U53" s="36" t="n"/>
      <c r="V53" s="43" t="n"/>
      <c r="W53" s="41">
        <f>IF(OR(V53="",U53=""),"",V53+U53)</f>
        <v/>
      </c>
      <c r="X53" s="37" t="n"/>
      <c r="Y53" s="36" t="n"/>
      <c r="Z53" s="37" t="n"/>
    </row>
    <row r="54">
      <c r="A54" s="35">
        <f>IF(E54="","",ROW()-5)</f>
        <v/>
      </c>
      <c r="B54" s="36" t="n"/>
      <c r="C54" s="36" t="n"/>
      <c r="D54" s="36" t="n"/>
      <c r="E54" s="37" t="n"/>
      <c r="F54" s="37" t="n"/>
      <c r="G54" s="37" t="n"/>
      <c r="H54" s="37" t="n"/>
      <c r="I54" s="37" t="n"/>
      <c r="J54" s="36" t="n"/>
      <c r="K54" s="36" t="n"/>
      <c r="L54" s="36" t="n"/>
      <c r="M54" s="36" t="n"/>
      <c r="N54" s="38" t="n"/>
      <c r="O54" s="39">
        <f>IF(OR(N54="",J54=""),"",N54*J54)</f>
        <v/>
      </c>
      <c r="P54" s="40" t="n"/>
      <c r="Q54" s="41">
        <f>IF(OR(P54="",Y54="발주완료",Y54="취소"),"",TODAY()+P54)</f>
        <v/>
      </c>
      <c r="R54" s="35">
        <f>IF(OR(Q54="",NOT(ISNUMBER($J$2))),"",IF(Q54&lt;=$J$2,"가능","초과 "&amp;(Q54-$J$2)&amp;"일"))</f>
        <v/>
      </c>
      <c r="S54" s="36" t="n"/>
      <c r="T54" s="36" t="n"/>
      <c r="U54" s="36" t="n"/>
      <c r="V54" s="43" t="n"/>
      <c r="W54" s="41">
        <f>IF(OR(V54="",U54=""),"",V54+U54)</f>
        <v/>
      </c>
      <c r="X54" s="37" t="n"/>
      <c r="Y54" s="36" t="n"/>
      <c r="Z54" s="37" t="n"/>
    </row>
    <row r="55">
      <c r="A55" s="35">
        <f>IF(E55="","",ROW()-5)</f>
        <v/>
      </c>
      <c r="B55" s="36" t="n"/>
      <c r="C55" s="36" t="n"/>
      <c r="D55" s="36" t="n"/>
      <c r="E55" s="37" t="n"/>
      <c r="F55" s="37" t="n"/>
      <c r="G55" s="37" t="n"/>
      <c r="H55" s="37" t="n"/>
      <c r="I55" s="37" t="n"/>
      <c r="J55" s="36" t="n"/>
      <c r="K55" s="36" t="n"/>
      <c r="L55" s="36" t="n"/>
      <c r="M55" s="36" t="n"/>
      <c r="N55" s="38" t="n"/>
      <c r="O55" s="39">
        <f>IF(OR(N55="",J55=""),"",N55*J55)</f>
        <v/>
      </c>
      <c r="P55" s="40" t="n"/>
      <c r="Q55" s="41">
        <f>IF(OR(P55="",Y55="발주완료",Y55="취소"),"",TODAY()+P55)</f>
        <v/>
      </c>
      <c r="R55" s="35">
        <f>IF(OR(Q55="",NOT(ISNUMBER($J$2))),"",IF(Q55&lt;=$J$2,"가능","초과 "&amp;(Q55-$J$2)&amp;"일"))</f>
        <v/>
      </c>
      <c r="S55" s="36" t="n"/>
      <c r="T55" s="36" t="n"/>
      <c r="U55" s="36" t="n"/>
      <c r="V55" s="43" t="n"/>
      <c r="W55" s="41">
        <f>IF(OR(V55="",U55=""),"",V55+U55)</f>
        <v/>
      </c>
      <c r="X55" s="37" t="n"/>
      <c r="Y55" s="36" t="n"/>
      <c r="Z55" s="37" t="n"/>
    </row>
    <row r="56">
      <c r="A56" s="35">
        <f>IF(E56="","",ROW()-5)</f>
        <v/>
      </c>
      <c r="B56" s="36" t="n"/>
      <c r="C56" s="36" t="n"/>
      <c r="D56" s="36" t="n"/>
      <c r="E56" s="37" t="n"/>
      <c r="F56" s="37" t="n"/>
      <c r="G56" s="37" t="n"/>
      <c r="H56" s="37" t="n"/>
      <c r="I56" s="37" t="n"/>
      <c r="J56" s="36" t="n"/>
      <c r="K56" s="36" t="n"/>
      <c r="L56" s="36" t="n"/>
      <c r="M56" s="36" t="n"/>
      <c r="N56" s="38" t="n"/>
      <c r="O56" s="39">
        <f>IF(OR(N56="",J56=""),"",N56*J56)</f>
        <v/>
      </c>
      <c r="P56" s="40" t="n"/>
      <c r="Q56" s="41">
        <f>IF(OR(P56="",Y56="발주완료",Y56="취소"),"",TODAY()+P56)</f>
        <v/>
      </c>
      <c r="R56" s="35">
        <f>IF(OR(Q56="",NOT(ISNUMBER($J$2))),"",IF(Q56&lt;=$J$2,"가능","초과 "&amp;(Q56-$J$2)&amp;"일"))</f>
        <v/>
      </c>
      <c r="S56" s="36" t="n"/>
      <c r="T56" s="36" t="n"/>
      <c r="U56" s="36" t="n"/>
      <c r="V56" s="43" t="n"/>
      <c r="W56" s="41">
        <f>IF(OR(V56="",U56=""),"",V56+U56)</f>
        <v/>
      </c>
      <c r="X56" s="37" t="n"/>
      <c r="Y56" s="36" t="n"/>
      <c r="Z56" s="37" t="n"/>
    </row>
    <row r="57">
      <c r="A57" s="35">
        <f>IF(E57="","",ROW()-5)</f>
        <v/>
      </c>
      <c r="B57" s="36" t="n"/>
      <c r="C57" s="36" t="n"/>
      <c r="D57" s="36" t="n"/>
      <c r="E57" s="37" t="n"/>
      <c r="F57" s="37" t="n"/>
      <c r="G57" s="37" t="n"/>
      <c r="H57" s="37" t="n"/>
      <c r="I57" s="37" t="n"/>
      <c r="J57" s="36" t="n"/>
      <c r="K57" s="36" t="n"/>
      <c r="L57" s="36" t="n"/>
      <c r="M57" s="36" t="n"/>
      <c r="N57" s="38" t="n"/>
      <c r="O57" s="39">
        <f>IF(OR(N57="",J57=""),"",N57*J57)</f>
        <v/>
      </c>
      <c r="P57" s="40" t="n"/>
      <c r="Q57" s="41">
        <f>IF(OR(P57="",Y57="발주완료",Y57="취소"),"",TODAY()+P57)</f>
        <v/>
      </c>
      <c r="R57" s="35">
        <f>IF(OR(Q57="",NOT(ISNUMBER($J$2))),"",IF(Q57&lt;=$J$2,"가능","초과 "&amp;(Q57-$J$2)&amp;"일"))</f>
        <v/>
      </c>
      <c r="S57" s="36" t="n"/>
      <c r="T57" s="36" t="n"/>
      <c r="U57" s="36" t="n"/>
      <c r="V57" s="43" t="n"/>
      <c r="W57" s="41">
        <f>IF(OR(V57="",U57=""),"",V57+U57)</f>
        <v/>
      </c>
      <c r="X57" s="37" t="n"/>
      <c r="Y57" s="36" t="n"/>
      <c r="Z57" s="37" t="n"/>
    </row>
    <row r="58">
      <c r="A58" s="35">
        <f>IF(E58="","",ROW()-5)</f>
        <v/>
      </c>
      <c r="B58" s="36" t="n"/>
      <c r="C58" s="36" t="n"/>
      <c r="D58" s="36" t="n"/>
      <c r="E58" s="37" t="n"/>
      <c r="F58" s="37" t="n"/>
      <c r="G58" s="37" t="n"/>
      <c r="H58" s="37" t="n"/>
      <c r="I58" s="37" t="n"/>
      <c r="J58" s="36" t="n"/>
      <c r="K58" s="36" t="n"/>
      <c r="L58" s="36" t="n"/>
      <c r="M58" s="36" t="n"/>
      <c r="N58" s="38" t="n"/>
      <c r="O58" s="39">
        <f>IF(OR(N58="",J58=""),"",N58*J58)</f>
        <v/>
      </c>
      <c r="P58" s="40" t="n"/>
      <c r="Q58" s="41">
        <f>IF(OR(P58="",Y58="발주완료",Y58="취소"),"",TODAY()+P58)</f>
        <v/>
      </c>
      <c r="R58" s="35">
        <f>IF(OR(Q58="",NOT(ISNUMBER($J$2))),"",IF(Q58&lt;=$J$2,"가능","초과 "&amp;(Q58-$J$2)&amp;"일"))</f>
        <v/>
      </c>
      <c r="S58" s="36" t="n"/>
      <c r="T58" s="36" t="n"/>
      <c r="U58" s="36" t="n"/>
      <c r="V58" s="43" t="n"/>
      <c r="W58" s="41">
        <f>IF(OR(V58="",U58=""),"",V58+U58)</f>
        <v/>
      </c>
      <c r="X58" s="37" t="n"/>
      <c r="Y58" s="36" t="n"/>
      <c r="Z58" s="37" t="n"/>
    </row>
    <row r="59">
      <c r="A59" s="35">
        <f>IF(E59="","",ROW()-5)</f>
        <v/>
      </c>
      <c r="B59" s="36" t="n"/>
      <c r="C59" s="36" t="n"/>
      <c r="D59" s="36" t="n"/>
      <c r="E59" s="37" t="n"/>
      <c r="F59" s="37" t="n"/>
      <c r="G59" s="37" t="n"/>
      <c r="H59" s="37" t="n"/>
      <c r="I59" s="37" t="n"/>
      <c r="J59" s="36" t="n"/>
      <c r="K59" s="36" t="n"/>
      <c r="L59" s="36" t="n"/>
      <c r="M59" s="36" t="n"/>
      <c r="N59" s="38" t="n"/>
      <c r="O59" s="39">
        <f>IF(OR(N59="",J59=""),"",N59*J59)</f>
        <v/>
      </c>
      <c r="P59" s="40" t="n"/>
      <c r="Q59" s="41">
        <f>IF(OR(P59="",Y59="발주완료",Y59="취소"),"",TODAY()+P59)</f>
        <v/>
      </c>
      <c r="R59" s="35">
        <f>IF(OR(Q59="",NOT(ISNUMBER($J$2))),"",IF(Q59&lt;=$J$2,"가능","초과 "&amp;(Q59-$J$2)&amp;"일"))</f>
        <v/>
      </c>
      <c r="S59" s="36" t="n"/>
      <c r="T59" s="36" t="n"/>
      <c r="U59" s="36" t="n"/>
      <c r="V59" s="43" t="n"/>
      <c r="W59" s="41">
        <f>IF(OR(V59="",U59=""),"",V59+U59)</f>
        <v/>
      </c>
      <c r="X59" s="37" t="n"/>
      <c r="Y59" s="36" t="n"/>
      <c r="Z59" s="37" t="n"/>
    </row>
    <row r="60">
      <c r="A60" s="35">
        <f>IF(E60="","",ROW()-5)</f>
        <v/>
      </c>
      <c r="B60" s="36" t="n"/>
      <c r="C60" s="36" t="n"/>
      <c r="D60" s="36" t="n"/>
      <c r="E60" s="37" t="n"/>
      <c r="F60" s="37" t="n"/>
      <c r="G60" s="37" t="n"/>
      <c r="H60" s="37" t="n"/>
      <c r="I60" s="37" t="n"/>
      <c r="J60" s="36" t="n"/>
      <c r="K60" s="36" t="n"/>
      <c r="L60" s="36" t="n"/>
      <c r="M60" s="36" t="n"/>
      <c r="N60" s="38" t="n"/>
      <c r="O60" s="39">
        <f>IF(OR(N60="",J60=""),"",N60*J60)</f>
        <v/>
      </c>
      <c r="P60" s="40" t="n"/>
      <c r="Q60" s="41">
        <f>IF(OR(P60="",Y60="발주완료",Y60="취소"),"",TODAY()+P60)</f>
        <v/>
      </c>
      <c r="R60" s="35">
        <f>IF(OR(Q60="",NOT(ISNUMBER($J$2))),"",IF(Q60&lt;=$J$2,"가능","초과 "&amp;(Q60-$J$2)&amp;"일"))</f>
        <v/>
      </c>
      <c r="S60" s="36" t="n"/>
      <c r="T60" s="36" t="n"/>
      <c r="U60" s="36" t="n"/>
      <c r="V60" s="43" t="n"/>
      <c r="W60" s="41">
        <f>IF(OR(V60="",U60=""),"",V60+U60)</f>
        <v/>
      </c>
      <c r="X60" s="37" t="n"/>
      <c r="Y60" s="36" t="n"/>
      <c r="Z60" s="37" t="n"/>
    </row>
    <row r="61">
      <c r="A61" s="35">
        <f>IF(E61="","",ROW()-5)</f>
        <v/>
      </c>
      <c r="B61" s="36" t="n"/>
      <c r="C61" s="36" t="n"/>
      <c r="D61" s="36" t="n"/>
      <c r="E61" s="37" t="n"/>
      <c r="F61" s="37" t="n"/>
      <c r="G61" s="37" t="n"/>
      <c r="H61" s="37" t="n"/>
      <c r="I61" s="37" t="n"/>
      <c r="J61" s="36" t="n"/>
      <c r="K61" s="36" t="n"/>
      <c r="L61" s="36" t="n"/>
      <c r="M61" s="36" t="n"/>
      <c r="N61" s="38" t="n"/>
      <c r="O61" s="39">
        <f>IF(OR(N61="",J61=""),"",N61*J61)</f>
        <v/>
      </c>
      <c r="P61" s="40" t="n"/>
      <c r="Q61" s="41">
        <f>IF(OR(P61="",Y61="발주완료",Y61="취소"),"",TODAY()+P61)</f>
        <v/>
      </c>
      <c r="R61" s="35">
        <f>IF(OR(Q61="",NOT(ISNUMBER($J$2))),"",IF(Q61&lt;=$J$2,"가능","초과 "&amp;(Q61-$J$2)&amp;"일"))</f>
        <v/>
      </c>
      <c r="S61" s="36" t="n"/>
      <c r="T61" s="36" t="n"/>
      <c r="U61" s="36" t="n"/>
      <c r="V61" s="43" t="n"/>
      <c r="W61" s="41">
        <f>IF(OR(V61="",U61=""),"",V61+U61)</f>
        <v/>
      </c>
      <c r="X61" s="37" t="n"/>
      <c r="Y61" s="36" t="n"/>
      <c r="Z61" s="37" t="n"/>
    </row>
    <row r="62">
      <c r="A62" s="35">
        <f>IF(E62="","",ROW()-5)</f>
        <v/>
      </c>
      <c r="B62" s="36" t="n"/>
      <c r="C62" s="36" t="n"/>
      <c r="D62" s="36" t="n"/>
      <c r="E62" s="37" t="n"/>
      <c r="F62" s="37" t="n"/>
      <c r="G62" s="37" t="n"/>
      <c r="H62" s="37" t="n"/>
      <c r="I62" s="37" t="n"/>
      <c r="J62" s="36" t="n"/>
      <c r="K62" s="36" t="n"/>
      <c r="L62" s="36" t="n"/>
      <c r="M62" s="36" t="n"/>
      <c r="N62" s="38" t="n"/>
      <c r="O62" s="39">
        <f>IF(OR(N62="",J62=""),"",N62*J62)</f>
        <v/>
      </c>
      <c r="P62" s="40" t="n"/>
      <c r="Q62" s="41">
        <f>IF(OR(P62="",Y62="발주완료",Y62="취소"),"",TODAY()+P62)</f>
        <v/>
      </c>
      <c r="R62" s="35">
        <f>IF(OR(Q62="",NOT(ISNUMBER($J$2))),"",IF(Q62&lt;=$J$2,"가능","초과 "&amp;(Q62-$J$2)&amp;"일"))</f>
        <v/>
      </c>
      <c r="S62" s="36" t="n"/>
      <c r="T62" s="36" t="n"/>
      <c r="U62" s="36" t="n"/>
      <c r="V62" s="43" t="n"/>
      <c r="W62" s="41">
        <f>IF(OR(V62="",U62=""),"",V62+U62)</f>
        <v/>
      </c>
      <c r="X62" s="37" t="n"/>
      <c r="Y62" s="36" t="n"/>
      <c r="Z62" s="37" t="n"/>
    </row>
    <row r="63">
      <c r="A63" s="35">
        <f>IF(E63="","",ROW()-5)</f>
        <v/>
      </c>
      <c r="B63" s="36" t="n"/>
      <c r="C63" s="36" t="n"/>
      <c r="D63" s="36" t="n"/>
      <c r="E63" s="37" t="n"/>
      <c r="F63" s="37" t="n"/>
      <c r="G63" s="37" t="n"/>
      <c r="H63" s="37" t="n"/>
      <c r="I63" s="37" t="n"/>
      <c r="J63" s="36" t="n"/>
      <c r="K63" s="36" t="n"/>
      <c r="L63" s="36" t="n"/>
      <c r="M63" s="36" t="n"/>
      <c r="N63" s="38" t="n"/>
      <c r="O63" s="39">
        <f>IF(OR(N63="",J63=""),"",N63*J63)</f>
        <v/>
      </c>
      <c r="P63" s="40" t="n"/>
      <c r="Q63" s="41">
        <f>IF(OR(P63="",Y63="발주완료",Y63="취소"),"",TODAY()+P63)</f>
        <v/>
      </c>
      <c r="R63" s="35">
        <f>IF(OR(Q63="",NOT(ISNUMBER($J$2))),"",IF(Q63&lt;=$J$2,"가능","초과 "&amp;(Q63-$J$2)&amp;"일"))</f>
        <v/>
      </c>
      <c r="S63" s="36" t="n"/>
      <c r="T63" s="36" t="n"/>
      <c r="U63" s="36" t="n"/>
      <c r="V63" s="43" t="n"/>
      <c r="W63" s="41">
        <f>IF(OR(V63="",U63=""),"",V63+U63)</f>
        <v/>
      </c>
      <c r="X63" s="37" t="n"/>
      <c r="Y63" s="36" t="n"/>
      <c r="Z63" s="37" t="n"/>
    </row>
    <row r="64">
      <c r="A64" s="35">
        <f>IF(E64="","",ROW()-5)</f>
        <v/>
      </c>
      <c r="B64" s="36" t="n"/>
      <c r="C64" s="36" t="n"/>
      <c r="D64" s="36" t="n"/>
      <c r="E64" s="37" t="n"/>
      <c r="F64" s="37" t="n"/>
      <c r="G64" s="37" t="n"/>
      <c r="H64" s="37" t="n"/>
      <c r="I64" s="37" t="n"/>
      <c r="J64" s="36" t="n"/>
      <c r="K64" s="36" t="n"/>
      <c r="L64" s="36" t="n"/>
      <c r="M64" s="36" t="n"/>
      <c r="N64" s="38" t="n"/>
      <c r="O64" s="39">
        <f>IF(OR(N64="",J64=""),"",N64*J64)</f>
        <v/>
      </c>
      <c r="P64" s="40" t="n"/>
      <c r="Q64" s="41">
        <f>IF(OR(P64="",Y64="발주완료",Y64="취소"),"",TODAY()+P64)</f>
        <v/>
      </c>
      <c r="R64" s="35">
        <f>IF(OR(Q64="",NOT(ISNUMBER($J$2))),"",IF(Q64&lt;=$J$2,"가능","초과 "&amp;(Q64-$J$2)&amp;"일"))</f>
        <v/>
      </c>
      <c r="S64" s="36" t="n"/>
      <c r="T64" s="36" t="n"/>
      <c r="U64" s="36" t="n"/>
      <c r="V64" s="43" t="n"/>
      <c r="W64" s="41">
        <f>IF(OR(V64="",U64=""),"",V64+U64)</f>
        <v/>
      </c>
      <c r="X64" s="37" t="n"/>
      <c r="Y64" s="36" t="n"/>
      <c r="Z64" s="37" t="n"/>
    </row>
    <row r="65">
      <c r="A65" s="35">
        <f>IF(E65="","",ROW()-5)</f>
        <v/>
      </c>
      <c r="B65" s="36" t="n"/>
      <c r="C65" s="36" t="n"/>
      <c r="D65" s="36" t="n"/>
      <c r="E65" s="37" t="n"/>
      <c r="F65" s="37" t="n"/>
      <c r="G65" s="37" t="n"/>
      <c r="H65" s="37" t="n"/>
      <c r="I65" s="37" t="n"/>
      <c r="J65" s="36" t="n"/>
      <c r="K65" s="36" t="n"/>
      <c r="L65" s="36" t="n"/>
      <c r="M65" s="36" t="n"/>
      <c r="N65" s="38" t="n"/>
      <c r="O65" s="39">
        <f>IF(OR(N65="",J65=""),"",N65*J65)</f>
        <v/>
      </c>
      <c r="P65" s="40" t="n"/>
      <c r="Q65" s="41">
        <f>IF(OR(P65="",Y65="발주완료",Y65="취소"),"",TODAY()+P65)</f>
        <v/>
      </c>
      <c r="R65" s="35">
        <f>IF(OR(Q65="",NOT(ISNUMBER($J$2))),"",IF(Q65&lt;=$J$2,"가능","초과 "&amp;(Q65-$J$2)&amp;"일"))</f>
        <v/>
      </c>
      <c r="S65" s="36" t="n"/>
      <c r="T65" s="36" t="n"/>
      <c r="U65" s="36" t="n"/>
      <c r="V65" s="43" t="n"/>
      <c r="W65" s="41">
        <f>IF(OR(V65="",U65=""),"",V65+U65)</f>
        <v/>
      </c>
      <c r="X65" s="37" t="n"/>
      <c r="Y65" s="36" t="n"/>
      <c r="Z65" s="37" t="n"/>
    </row>
    <row r="66">
      <c r="A66" s="35">
        <f>IF(E66="","",ROW()-5)</f>
        <v/>
      </c>
      <c r="B66" s="36" t="n"/>
      <c r="C66" s="36" t="n"/>
      <c r="D66" s="36" t="n"/>
      <c r="E66" s="37" t="n"/>
      <c r="F66" s="37" t="n"/>
      <c r="G66" s="37" t="n"/>
      <c r="H66" s="37" t="n"/>
      <c r="I66" s="37" t="n"/>
      <c r="J66" s="36" t="n"/>
      <c r="K66" s="36" t="n"/>
      <c r="L66" s="36" t="n"/>
      <c r="M66" s="36" t="n"/>
      <c r="N66" s="38" t="n"/>
      <c r="O66" s="39">
        <f>IF(OR(N66="",J66=""),"",N66*J66)</f>
        <v/>
      </c>
      <c r="P66" s="40" t="n"/>
      <c r="Q66" s="41">
        <f>IF(OR(P66="",Y66="발주완료",Y66="취소"),"",TODAY()+P66)</f>
        <v/>
      </c>
      <c r="R66" s="35">
        <f>IF(OR(Q66="",NOT(ISNUMBER($J$2))),"",IF(Q66&lt;=$J$2,"가능","초과 "&amp;(Q66-$J$2)&amp;"일"))</f>
        <v/>
      </c>
      <c r="S66" s="36" t="n"/>
      <c r="T66" s="36" t="n"/>
      <c r="U66" s="36" t="n"/>
      <c r="V66" s="43" t="n"/>
      <c r="W66" s="41">
        <f>IF(OR(V66="",U66=""),"",V66+U66)</f>
        <v/>
      </c>
      <c r="X66" s="37" t="n"/>
      <c r="Y66" s="36" t="n"/>
      <c r="Z66" s="37" t="n"/>
    </row>
    <row r="67">
      <c r="A67" s="35">
        <f>IF(E67="","",ROW()-5)</f>
        <v/>
      </c>
      <c r="B67" s="36" t="n"/>
      <c r="C67" s="36" t="n"/>
      <c r="D67" s="36" t="n"/>
      <c r="E67" s="37" t="n"/>
      <c r="F67" s="37" t="n"/>
      <c r="G67" s="37" t="n"/>
      <c r="H67" s="37" t="n"/>
      <c r="I67" s="37" t="n"/>
      <c r="J67" s="36" t="n"/>
      <c r="K67" s="36" t="n"/>
      <c r="L67" s="36" t="n"/>
      <c r="M67" s="36" t="n"/>
      <c r="N67" s="38" t="n"/>
      <c r="O67" s="39">
        <f>IF(OR(N67="",J67=""),"",N67*J67)</f>
        <v/>
      </c>
      <c r="P67" s="40" t="n"/>
      <c r="Q67" s="41">
        <f>IF(OR(P67="",Y67="발주완료",Y67="취소"),"",TODAY()+P67)</f>
        <v/>
      </c>
      <c r="R67" s="35">
        <f>IF(OR(Q67="",NOT(ISNUMBER($J$2))),"",IF(Q67&lt;=$J$2,"가능","초과 "&amp;(Q67-$J$2)&amp;"일"))</f>
        <v/>
      </c>
      <c r="S67" s="36" t="n"/>
      <c r="T67" s="36" t="n"/>
      <c r="U67" s="36" t="n"/>
      <c r="V67" s="43" t="n"/>
      <c r="W67" s="41">
        <f>IF(OR(V67="",U67=""),"",V67+U67)</f>
        <v/>
      </c>
      <c r="X67" s="37" t="n"/>
      <c r="Y67" s="36" t="n"/>
      <c r="Z67" s="37" t="n"/>
    </row>
    <row r="68">
      <c r="A68" s="35">
        <f>IF(E68="","",ROW()-5)</f>
        <v/>
      </c>
      <c r="B68" s="36" t="n"/>
      <c r="C68" s="36" t="n"/>
      <c r="D68" s="36" t="n"/>
      <c r="E68" s="37" t="n"/>
      <c r="F68" s="37" t="n"/>
      <c r="G68" s="37" t="n"/>
      <c r="H68" s="37" t="n"/>
      <c r="I68" s="37" t="n"/>
      <c r="J68" s="36" t="n"/>
      <c r="K68" s="36" t="n"/>
      <c r="L68" s="36" t="n"/>
      <c r="M68" s="36" t="n"/>
      <c r="N68" s="38" t="n"/>
      <c r="O68" s="39">
        <f>IF(OR(N68="",J68=""),"",N68*J68)</f>
        <v/>
      </c>
      <c r="P68" s="40" t="n"/>
      <c r="Q68" s="41">
        <f>IF(OR(P68="",Y68="발주완료",Y68="취소"),"",TODAY()+P68)</f>
        <v/>
      </c>
      <c r="R68" s="35">
        <f>IF(OR(Q68="",NOT(ISNUMBER($J$2))),"",IF(Q68&lt;=$J$2,"가능","초과 "&amp;(Q68-$J$2)&amp;"일"))</f>
        <v/>
      </c>
      <c r="S68" s="36" t="n"/>
      <c r="T68" s="36" t="n"/>
      <c r="U68" s="36" t="n"/>
      <c r="V68" s="43" t="n"/>
      <c r="W68" s="41">
        <f>IF(OR(V68="",U68=""),"",V68+U68)</f>
        <v/>
      </c>
      <c r="X68" s="37" t="n"/>
      <c r="Y68" s="36" t="n"/>
      <c r="Z68" s="37" t="n"/>
    </row>
    <row r="69">
      <c r="A69" s="35">
        <f>IF(E69="","",ROW()-5)</f>
        <v/>
      </c>
      <c r="B69" s="36" t="n"/>
      <c r="C69" s="36" t="n"/>
      <c r="D69" s="36" t="n"/>
      <c r="E69" s="37" t="n"/>
      <c r="F69" s="37" t="n"/>
      <c r="G69" s="37" t="n"/>
      <c r="H69" s="37" t="n"/>
      <c r="I69" s="37" t="n"/>
      <c r="J69" s="36" t="n"/>
      <c r="K69" s="36" t="n"/>
      <c r="L69" s="36" t="n"/>
      <c r="M69" s="36" t="n"/>
      <c r="N69" s="38" t="n"/>
      <c r="O69" s="39">
        <f>IF(OR(N69="",J69=""),"",N69*J69)</f>
        <v/>
      </c>
      <c r="P69" s="40" t="n"/>
      <c r="Q69" s="41">
        <f>IF(OR(P69="",Y69="발주완료",Y69="취소"),"",TODAY()+P69)</f>
        <v/>
      </c>
      <c r="R69" s="35">
        <f>IF(OR(Q69="",NOT(ISNUMBER($J$2))),"",IF(Q69&lt;=$J$2,"가능","초과 "&amp;(Q69-$J$2)&amp;"일"))</f>
        <v/>
      </c>
      <c r="S69" s="36" t="n"/>
      <c r="T69" s="36" t="n"/>
      <c r="U69" s="36" t="n"/>
      <c r="V69" s="43" t="n"/>
      <c r="W69" s="41">
        <f>IF(OR(V69="",U69=""),"",V69+U69)</f>
        <v/>
      </c>
      <c r="X69" s="37" t="n"/>
      <c r="Y69" s="36" t="n"/>
      <c r="Z69" s="37" t="n"/>
    </row>
    <row r="70">
      <c r="A70" s="35">
        <f>IF(E70="","",ROW()-5)</f>
        <v/>
      </c>
      <c r="B70" s="36" t="n"/>
      <c r="C70" s="36" t="n"/>
      <c r="D70" s="36" t="n"/>
      <c r="E70" s="37" t="n"/>
      <c r="F70" s="37" t="n"/>
      <c r="G70" s="37" t="n"/>
      <c r="H70" s="37" t="n"/>
      <c r="I70" s="37" t="n"/>
      <c r="J70" s="36" t="n"/>
      <c r="K70" s="36" t="n"/>
      <c r="L70" s="36" t="n"/>
      <c r="M70" s="36" t="n"/>
      <c r="N70" s="38" t="n"/>
      <c r="O70" s="39">
        <f>IF(OR(N70="",J70=""),"",N70*J70)</f>
        <v/>
      </c>
      <c r="P70" s="40" t="n"/>
      <c r="Q70" s="41">
        <f>IF(OR(P70="",Y70="발주완료",Y70="취소"),"",TODAY()+P70)</f>
        <v/>
      </c>
      <c r="R70" s="35">
        <f>IF(OR(Q70="",NOT(ISNUMBER($J$2))),"",IF(Q70&lt;=$J$2,"가능","초과 "&amp;(Q70-$J$2)&amp;"일"))</f>
        <v/>
      </c>
      <c r="S70" s="36" t="n"/>
      <c r="T70" s="36" t="n"/>
      <c r="U70" s="36" t="n"/>
      <c r="V70" s="43" t="n"/>
      <c r="W70" s="41">
        <f>IF(OR(V70="",U70=""),"",V70+U70)</f>
        <v/>
      </c>
      <c r="X70" s="37" t="n"/>
      <c r="Y70" s="36" t="n"/>
      <c r="Z70" s="37" t="n"/>
    </row>
    <row r="71">
      <c r="A71" s="35">
        <f>IF(E71="","",ROW()-5)</f>
        <v/>
      </c>
      <c r="B71" s="36" t="n"/>
      <c r="C71" s="36" t="n"/>
      <c r="D71" s="36" t="n"/>
      <c r="E71" s="37" t="n"/>
      <c r="F71" s="37" t="n"/>
      <c r="G71" s="37" t="n"/>
      <c r="H71" s="37" t="n"/>
      <c r="I71" s="37" t="n"/>
      <c r="J71" s="36" t="n"/>
      <c r="K71" s="36" t="n"/>
      <c r="L71" s="36" t="n"/>
      <c r="M71" s="36" t="n"/>
      <c r="N71" s="38" t="n"/>
      <c r="O71" s="39">
        <f>IF(OR(N71="",J71=""),"",N71*J71)</f>
        <v/>
      </c>
      <c r="P71" s="40" t="n"/>
      <c r="Q71" s="41">
        <f>IF(OR(P71="",Y71="발주완료",Y71="취소"),"",TODAY()+P71)</f>
        <v/>
      </c>
      <c r="R71" s="35">
        <f>IF(OR(Q71="",NOT(ISNUMBER($J$2))),"",IF(Q71&lt;=$J$2,"가능","초과 "&amp;(Q71-$J$2)&amp;"일"))</f>
        <v/>
      </c>
      <c r="S71" s="36" t="n"/>
      <c r="T71" s="36" t="n"/>
      <c r="U71" s="36" t="n"/>
      <c r="V71" s="43" t="n"/>
      <c r="W71" s="41">
        <f>IF(OR(V71="",U71=""),"",V71+U71)</f>
        <v/>
      </c>
      <c r="X71" s="37" t="n"/>
      <c r="Y71" s="36" t="n"/>
      <c r="Z71" s="37" t="n"/>
    </row>
    <row r="72">
      <c r="A72" s="35">
        <f>IF(E72="","",ROW()-5)</f>
        <v/>
      </c>
      <c r="B72" s="36" t="n"/>
      <c r="C72" s="36" t="n"/>
      <c r="D72" s="36" t="n"/>
      <c r="E72" s="37" t="n"/>
      <c r="F72" s="37" t="n"/>
      <c r="G72" s="37" t="n"/>
      <c r="H72" s="37" t="n"/>
      <c r="I72" s="37" t="n"/>
      <c r="J72" s="36" t="n"/>
      <c r="K72" s="36" t="n"/>
      <c r="L72" s="36" t="n"/>
      <c r="M72" s="36" t="n"/>
      <c r="N72" s="38" t="n"/>
      <c r="O72" s="39">
        <f>IF(OR(N72="",J72=""),"",N72*J72)</f>
        <v/>
      </c>
      <c r="P72" s="40" t="n"/>
      <c r="Q72" s="41">
        <f>IF(OR(P72="",Y72="발주완료",Y72="취소"),"",TODAY()+P72)</f>
        <v/>
      </c>
      <c r="R72" s="35">
        <f>IF(OR(Q72="",NOT(ISNUMBER($J$2))),"",IF(Q72&lt;=$J$2,"가능","초과 "&amp;(Q72-$J$2)&amp;"일"))</f>
        <v/>
      </c>
      <c r="S72" s="36" t="n"/>
      <c r="T72" s="36" t="n"/>
      <c r="U72" s="36" t="n"/>
      <c r="V72" s="43" t="n"/>
      <c r="W72" s="41">
        <f>IF(OR(V72="",U72=""),"",V72+U72)</f>
        <v/>
      </c>
      <c r="X72" s="37" t="n"/>
      <c r="Y72" s="36" t="n"/>
      <c r="Z72" s="37" t="n"/>
    </row>
    <row r="73">
      <c r="A73" s="35">
        <f>IF(E73="","",ROW()-5)</f>
        <v/>
      </c>
      <c r="B73" s="36" t="n"/>
      <c r="C73" s="36" t="n"/>
      <c r="D73" s="36" t="n"/>
      <c r="E73" s="37" t="n"/>
      <c r="F73" s="37" t="n"/>
      <c r="G73" s="37" t="n"/>
      <c r="H73" s="37" t="n"/>
      <c r="I73" s="37" t="n"/>
      <c r="J73" s="36" t="n"/>
      <c r="K73" s="36" t="n"/>
      <c r="L73" s="36" t="n"/>
      <c r="M73" s="36" t="n"/>
      <c r="N73" s="38" t="n"/>
      <c r="O73" s="39">
        <f>IF(OR(N73="",J73=""),"",N73*J73)</f>
        <v/>
      </c>
      <c r="P73" s="40" t="n"/>
      <c r="Q73" s="41">
        <f>IF(OR(P73="",Y73="발주완료",Y73="취소"),"",TODAY()+P73)</f>
        <v/>
      </c>
      <c r="R73" s="35">
        <f>IF(OR(Q73="",NOT(ISNUMBER($J$2))),"",IF(Q73&lt;=$J$2,"가능","초과 "&amp;(Q73-$J$2)&amp;"일"))</f>
        <v/>
      </c>
      <c r="S73" s="36" t="n"/>
      <c r="T73" s="36" t="n"/>
      <c r="U73" s="36" t="n"/>
      <c r="V73" s="43" t="n"/>
      <c r="W73" s="41">
        <f>IF(OR(V73="",U73=""),"",V73+U73)</f>
        <v/>
      </c>
      <c r="X73" s="37" t="n"/>
      <c r="Y73" s="36" t="n"/>
      <c r="Z73" s="37" t="n"/>
    </row>
    <row r="74">
      <c r="A74" s="35">
        <f>IF(E74="","",ROW()-5)</f>
        <v/>
      </c>
      <c r="B74" s="36" t="n"/>
      <c r="C74" s="36" t="n"/>
      <c r="D74" s="36" t="n"/>
      <c r="E74" s="37" t="n"/>
      <c r="F74" s="37" t="n"/>
      <c r="G74" s="37" t="n"/>
      <c r="H74" s="37" t="n"/>
      <c r="I74" s="37" t="n"/>
      <c r="J74" s="36" t="n"/>
      <c r="K74" s="36" t="n"/>
      <c r="L74" s="36" t="n"/>
      <c r="M74" s="36" t="n"/>
      <c r="N74" s="38" t="n"/>
      <c r="O74" s="39">
        <f>IF(OR(N74="",J74=""),"",N74*J74)</f>
        <v/>
      </c>
      <c r="P74" s="40" t="n"/>
      <c r="Q74" s="41">
        <f>IF(OR(P74="",Y74="발주완료",Y74="취소"),"",TODAY()+P74)</f>
        <v/>
      </c>
      <c r="R74" s="35">
        <f>IF(OR(Q74="",NOT(ISNUMBER($J$2))),"",IF(Q74&lt;=$J$2,"가능","초과 "&amp;(Q74-$J$2)&amp;"일"))</f>
        <v/>
      </c>
      <c r="S74" s="36" t="n"/>
      <c r="T74" s="36" t="n"/>
      <c r="U74" s="36" t="n"/>
      <c r="V74" s="43" t="n"/>
      <c r="W74" s="41">
        <f>IF(OR(V74="",U74=""),"",V74+U74)</f>
        <v/>
      </c>
      <c r="X74" s="37" t="n"/>
      <c r="Y74" s="36" t="n"/>
      <c r="Z74" s="37" t="n"/>
    </row>
    <row r="75">
      <c r="A75" s="35">
        <f>IF(E75="","",ROW()-5)</f>
        <v/>
      </c>
      <c r="B75" s="36" t="n"/>
      <c r="C75" s="36" t="n"/>
      <c r="D75" s="36" t="n"/>
      <c r="E75" s="37" t="n"/>
      <c r="F75" s="37" t="n"/>
      <c r="G75" s="37" t="n"/>
      <c r="H75" s="37" t="n"/>
      <c r="I75" s="37" t="n"/>
      <c r="J75" s="36" t="n"/>
      <c r="K75" s="36" t="n"/>
      <c r="L75" s="36" t="n"/>
      <c r="M75" s="36" t="n"/>
      <c r="N75" s="38" t="n"/>
      <c r="O75" s="39">
        <f>IF(OR(N75="",J75=""),"",N75*J75)</f>
        <v/>
      </c>
      <c r="P75" s="40" t="n"/>
      <c r="Q75" s="41">
        <f>IF(OR(P75="",Y75="발주완료",Y75="취소"),"",TODAY()+P75)</f>
        <v/>
      </c>
      <c r="R75" s="35">
        <f>IF(OR(Q75="",NOT(ISNUMBER($J$2))),"",IF(Q75&lt;=$J$2,"가능","초과 "&amp;(Q75-$J$2)&amp;"일"))</f>
        <v/>
      </c>
      <c r="S75" s="36" t="n"/>
      <c r="T75" s="36" t="n"/>
      <c r="U75" s="36" t="n"/>
      <c r="V75" s="43" t="n"/>
      <c r="W75" s="41">
        <f>IF(OR(V75="",U75=""),"",V75+U75)</f>
        <v/>
      </c>
      <c r="X75" s="37" t="n"/>
      <c r="Y75" s="36" t="n"/>
      <c r="Z75" s="37" t="n"/>
    </row>
    <row r="76">
      <c r="A76" s="35">
        <f>IF(E76="","",ROW()-5)</f>
        <v/>
      </c>
      <c r="B76" s="36" t="n"/>
      <c r="C76" s="36" t="n"/>
      <c r="D76" s="36" t="n"/>
      <c r="E76" s="37" t="n"/>
      <c r="F76" s="37" t="n"/>
      <c r="G76" s="37" t="n"/>
      <c r="H76" s="37" t="n"/>
      <c r="I76" s="37" t="n"/>
      <c r="J76" s="36" t="n"/>
      <c r="K76" s="36" t="n"/>
      <c r="L76" s="36" t="n"/>
      <c r="M76" s="36" t="n"/>
      <c r="N76" s="38" t="n"/>
      <c r="O76" s="39">
        <f>IF(OR(N76="",J76=""),"",N76*J76)</f>
        <v/>
      </c>
      <c r="P76" s="40" t="n"/>
      <c r="Q76" s="41">
        <f>IF(OR(P76="",Y76="발주완료",Y76="취소"),"",TODAY()+P76)</f>
        <v/>
      </c>
      <c r="R76" s="35">
        <f>IF(OR(Q76="",NOT(ISNUMBER($J$2))),"",IF(Q76&lt;=$J$2,"가능","초과 "&amp;(Q76-$J$2)&amp;"일"))</f>
        <v/>
      </c>
      <c r="S76" s="36" t="n"/>
      <c r="T76" s="36" t="n"/>
      <c r="U76" s="36" t="n"/>
      <c r="V76" s="43" t="n"/>
      <c r="W76" s="41">
        <f>IF(OR(V76="",U76=""),"",V76+U76)</f>
        <v/>
      </c>
      <c r="X76" s="37" t="n"/>
      <c r="Y76" s="36" t="n"/>
      <c r="Z76" s="37" t="n"/>
    </row>
    <row r="77">
      <c r="A77" s="35">
        <f>IF(E77="","",ROW()-5)</f>
        <v/>
      </c>
      <c r="B77" s="36" t="n"/>
      <c r="C77" s="36" t="n"/>
      <c r="D77" s="36" t="n"/>
      <c r="E77" s="37" t="n"/>
      <c r="F77" s="37" t="n"/>
      <c r="G77" s="37" t="n"/>
      <c r="H77" s="37" t="n"/>
      <c r="I77" s="37" t="n"/>
      <c r="J77" s="36" t="n"/>
      <c r="K77" s="36" t="n"/>
      <c r="L77" s="36" t="n"/>
      <c r="M77" s="36" t="n"/>
      <c r="N77" s="38" t="n"/>
      <c r="O77" s="39">
        <f>IF(OR(N77="",J77=""),"",N77*J77)</f>
        <v/>
      </c>
      <c r="P77" s="40" t="n"/>
      <c r="Q77" s="41">
        <f>IF(OR(P77="",Y77="발주완료",Y77="취소"),"",TODAY()+P77)</f>
        <v/>
      </c>
      <c r="R77" s="35">
        <f>IF(OR(Q77="",NOT(ISNUMBER($J$2))),"",IF(Q77&lt;=$J$2,"가능","초과 "&amp;(Q77-$J$2)&amp;"일"))</f>
        <v/>
      </c>
      <c r="S77" s="36" t="n"/>
      <c r="T77" s="36" t="n"/>
      <c r="U77" s="36" t="n"/>
      <c r="V77" s="43" t="n"/>
      <c r="W77" s="41">
        <f>IF(OR(V77="",U77=""),"",V77+U77)</f>
        <v/>
      </c>
      <c r="X77" s="37" t="n"/>
      <c r="Y77" s="36" t="n"/>
      <c r="Z77" s="37" t="n"/>
    </row>
    <row r="78">
      <c r="A78" s="35">
        <f>IF(E78="","",ROW()-5)</f>
        <v/>
      </c>
      <c r="B78" s="36" t="n"/>
      <c r="C78" s="36" t="n"/>
      <c r="D78" s="36" t="n"/>
      <c r="E78" s="37" t="n"/>
      <c r="F78" s="37" t="n"/>
      <c r="G78" s="37" t="n"/>
      <c r="H78" s="37" t="n"/>
      <c r="I78" s="37" t="n"/>
      <c r="J78" s="36" t="n"/>
      <c r="K78" s="36" t="n"/>
      <c r="L78" s="36" t="n"/>
      <c r="M78" s="36" t="n"/>
      <c r="N78" s="38" t="n"/>
      <c r="O78" s="39">
        <f>IF(OR(N78="",J78=""),"",N78*J78)</f>
        <v/>
      </c>
      <c r="P78" s="40" t="n"/>
      <c r="Q78" s="41">
        <f>IF(OR(P78="",Y78="발주완료",Y78="취소"),"",TODAY()+P78)</f>
        <v/>
      </c>
      <c r="R78" s="35">
        <f>IF(OR(Q78="",NOT(ISNUMBER($J$2))),"",IF(Q78&lt;=$J$2,"가능","초과 "&amp;(Q78-$J$2)&amp;"일"))</f>
        <v/>
      </c>
      <c r="S78" s="36" t="n"/>
      <c r="T78" s="36" t="n"/>
      <c r="U78" s="36" t="n"/>
      <c r="V78" s="43" t="n"/>
      <c r="W78" s="41">
        <f>IF(OR(V78="",U78=""),"",V78+U78)</f>
        <v/>
      </c>
      <c r="X78" s="37" t="n"/>
      <c r="Y78" s="36" t="n"/>
      <c r="Z78" s="37" t="n"/>
    </row>
    <row r="79">
      <c r="A79" s="35">
        <f>IF(E79="","",ROW()-5)</f>
        <v/>
      </c>
      <c r="B79" s="36" t="n"/>
      <c r="C79" s="36" t="n"/>
      <c r="D79" s="36" t="n"/>
      <c r="E79" s="37" t="n"/>
      <c r="F79" s="37" t="n"/>
      <c r="G79" s="37" t="n"/>
      <c r="H79" s="37" t="n"/>
      <c r="I79" s="37" t="n"/>
      <c r="J79" s="36" t="n"/>
      <c r="K79" s="36" t="n"/>
      <c r="L79" s="36" t="n"/>
      <c r="M79" s="36" t="n"/>
      <c r="N79" s="38" t="n"/>
      <c r="O79" s="39">
        <f>IF(OR(N79="",J79=""),"",N79*J79)</f>
        <v/>
      </c>
      <c r="P79" s="40" t="n"/>
      <c r="Q79" s="41">
        <f>IF(OR(P79="",Y79="발주완료",Y79="취소"),"",TODAY()+P79)</f>
        <v/>
      </c>
      <c r="R79" s="35">
        <f>IF(OR(Q79="",NOT(ISNUMBER($J$2))),"",IF(Q79&lt;=$J$2,"가능","초과 "&amp;(Q79-$J$2)&amp;"일"))</f>
        <v/>
      </c>
      <c r="S79" s="36" t="n"/>
      <c r="T79" s="36" t="n"/>
      <c r="U79" s="36" t="n"/>
      <c r="V79" s="43" t="n"/>
      <c r="W79" s="41">
        <f>IF(OR(V79="",U79=""),"",V79+U79)</f>
        <v/>
      </c>
      <c r="X79" s="37" t="n"/>
      <c r="Y79" s="36" t="n"/>
      <c r="Z79" s="37" t="n"/>
    </row>
    <row r="80">
      <c r="A80" s="35">
        <f>IF(E80="","",ROW()-5)</f>
        <v/>
      </c>
      <c r="B80" s="36" t="n"/>
      <c r="C80" s="36" t="n"/>
      <c r="D80" s="36" t="n"/>
      <c r="E80" s="37" t="n"/>
      <c r="F80" s="37" t="n"/>
      <c r="G80" s="37" t="n"/>
      <c r="H80" s="37" t="n"/>
      <c r="I80" s="37" t="n"/>
      <c r="J80" s="36" t="n"/>
      <c r="K80" s="36" t="n"/>
      <c r="L80" s="36" t="n"/>
      <c r="M80" s="36" t="n"/>
      <c r="N80" s="38" t="n"/>
      <c r="O80" s="39">
        <f>IF(OR(N80="",J80=""),"",N80*J80)</f>
        <v/>
      </c>
      <c r="P80" s="40" t="n"/>
      <c r="Q80" s="41">
        <f>IF(OR(P80="",Y80="발주완료",Y80="취소"),"",TODAY()+P80)</f>
        <v/>
      </c>
      <c r="R80" s="35">
        <f>IF(OR(Q80="",NOT(ISNUMBER($J$2))),"",IF(Q80&lt;=$J$2,"가능","초과 "&amp;(Q80-$J$2)&amp;"일"))</f>
        <v/>
      </c>
      <c r="S80" s="36" t="n"/>
      <c r="T80" s="36" t="n"/>
      <c r="U80" s="36" t="n"/>
      <c r="V80" s="43" t="n"/>
      <c r="W80" s="41">
        <f>IF(OR(V80="",U80=""),"",V80+U80)</f>
        <v/>
      </c>
      <c r="X80" s="37" t="n"/>
      <c r="Y80" s="36" t="n"/>
      <c r="Z80" s="37" t="n"/>
    </row>
    <row r="81">
      <c r="A81" s="35">
        <f>IF(E81="","",ROW()-5)</f>
        <v/>
      </c>
      <c r="B81" s="36" t="n"/>
      <c r="C81" s="36" t="n"/>
      <c r="D81" s="36" t="n"/>
      <c r="E81" s="37" t="n"/>
      <c r="F81" s="37" t="n"/>
      <c r="G81" s="37" t="n"/>
      <c r="H81" s="37" t="n"/>
      <c r="I81" s="37" t="n"/>
      <c r="J81" s="36" t="n"/>
      <c r="K81" s="36" t="n"/>
      <c r="L81" s="36" t="n"/>
      <c r="M81" s="36" t="n"/>
      <c r="N81" s="38" t="n"/>
      <c r="O81" s="39">
        <f>IF(OR(N81="",J81=""),"",N81*J81)</f>
        <v/>
      </c>
      <c r="P81" s="40" t="n"/>
      <c r="Q81" s="41">
        <f>IF(OR(P81="",Y81="발주완료",Y81="취소"),"",TODAY()+P81)</f>
        <v/>
      </c>
      <c r="R81" s="35">
        <f>IF(OR(Q81="",NOT(ISNUMBER($J$2))),"",IF(Q81&lt;=$J$2,"가능","초과 "&amp;(Q81-$J$2)&amp;"일"))</f>
        <v/>
      </c>
      <c r="S81" s="36" t="n"/>
      <c r="T81" s="36" t="n"/>
      <c r="U81" s="36" t="n"/>
      <c r="V81" s="43" t="n"/>
      <c r="W81" s="41">
        <f>IF(OR(V81="",U81=""),"",V81+U81)</f>
        <v/>
      </c>
      <c r="X81" s="37" t="n"/>
      <c r="Y81" s="36" t="n"/>
      <c r="Z81" s="37" t="n"/>
    </row>
    <row r="82">
      <c r="A82" s="35">
        <f>IF(E82="","",ROW()-5)</f>
        <v/>
      </c>
      <c r="B82" s="36" t="n"/>
      <c r="C82" s="36" t="n"/>
      <c r="D82" s="36" t="n"/>
      <c r="E82" s="37" t="n"/>
      <c r="F82" s="37" t="n"/>
      <c r="G82" s="37" t="n"/>
      <c r="H82" s="37" t="n"/>
      <c r="I82" s="37" t="n"/>
      <c r="J82" s="36" t="n"/>
      <c r="K82" s="36" t="n"/>
      <c r="L82" s="36" t="n"/>
      <c r="M82" s="36" t="n"/>
      <c r="N82" s="38" t="n"/>
      <c r="O82" s="39">
        <f>IF(OR(N82="",J82=""),"",N82*J82)</f>
        <v/>
      </c>
      <c r="P82" s="40" t="n"/>
      <c r="Q82" s="41">
        <f>IF(OR(P82="",Y82="발주완료",Y82="취소"),"",TODAY()+P82)</f>
        <v/>
      </c>
      <c r="R82" s="35">
        <f>IF(OR(Q82="",NOT(ISNUMBER($J$2))),"",IF(Q82&lt;=$J$2,"가능","초과 "&amp;(Q82-$J$2)&amp;"일"))</f>
        <v/>
      </c>
      <c r="S82" s="36" t="n"/>
      <c r="T82" s="36" t="n"/>
      <c r="U82" s="36" t="n"/>
      <c r="V82" s="43" t="n"/>
      <c r="W82" s="41">
        <f>IF(OR(V82="",U82=""),"",V82+U82)</f>
        <v/>
      </c>
      <c r="X82" s="37" t="n"/>
      <c r="Y82" s="36" t="n"/>
      <c r="Z82" s="37" t="n"/>
    </row>
    <row r="83">
      <c r="A83" s="35">
        <f>IF(E83="","",ROW()-5)</f>
        <v/>
      </c>
      <c r="B83" s="36" t="n"/>
      <c r="C83" s="36" t="n"/>
      <c r="D83" s="36" t="n"/>
      <c r="E83" s="37" t="n"/>
      <c r="F83" s="37" t="n"/>
      <c r="G83" s="37" t="n"/>
      <c r="H83" s="37" t="n"/>
      <c r="I83" s="37" t="n"/>
      <c r="J83" s="36" t="n"/>
      <c r="K83" s="36" t="n"/>
      <c r="L83" s="36" t="n"/>
      <c r="M83" s="36" t="n"/>
      <c r="N83" s="38" t="n"/>
      <c r="O83" s="39">
        <f>IF(OR(N83="",J83=""),"",N83*J83)</f>
        <v/>
      </c>
      <c r="P83" s="40" t="n"/>
      <c r="Q83" s="41">
        <f>IF(OR(P83="",Y83="발주완료",Y83="취소"),"",TODAY()+P83)</f>
        <v/>
      </c>
      <c r="R83" s="35">
        <f>IF(OR(Q83="",NOT(ISNUMBER($J$2))),"",IF(Q83&lt;=$J$2,"가능","초과 "&amp;(Q83-$J$2)&amp;"일"))</f>
        <v/>
      </c>
      <c r="S83" s="36" t="n"/>
      <c r="T83" s="36" t="n"/>
      <c r="U83" s="36" t="n"/>
      <c r="V83" s="43" t="n"/>
      <c r="W83" s="41">
        <f>IF(OR(V83="",U83=""),"",V83+U83)</f>
        <v/>
      </c>
      <c r="X83" s="37" t="n"/>
      <c r="Y83" s="36" t="n"/>
      <c r="Z83" s="37" t="n"/>
    </row>
    <row r="84">
      <c r="A84" s="35">
        <f>IF(E84="","",ROW()-5)</f>
        <v/>
      </c>
      <c r="B84" s="36" t="n"/>
      <c r="C84" s="36" t="n"/>
      <c r="D84" s="36" t="n"/>
      <c r="E84" s="37" t="n"/>
      <c r="F84" s="37" t="n"/>
      <c r="G84" s="37" t="n"/>
      <c r="H84" s="37" t="n"/>
      <c r="I84" s="37" t="n"/>
      <c r="J84" s="36" t="n"/>
      <c r="K84" s="36" t="n"/>
      <c r="L84" s="36" t="n"/>
      <c r="M84" s="36" t="n"/>
      <c r="N84" s="38" t="n"/>
      <c r="O84" s="39">
        <f>IF(OR(N84="",J84=""),"",N84*J84)</f>
        <v/>
      </c>
      <c r="P84" s="40" t="n"/>
      <c r="Q84" s="41">
        <f>IF(OR(P84="",Y84="발주완료",Y84="취소"),"",TODAY()+P84)</f>
        <v/>
      </c>
      <c r="R84" s="35">
        <f>IF(OR(Q84="",NOT(ISNUMBER($J$2))),"",IF(Q84&lt;=$J$2,"가능","초과 "&amp;(Q84-$J$2)&amp;"일"))</f>
        <v/>
      </c>
      <c r="S84" s="36" t="n"/>
      <c r="T84" s="36" t="n"/>
      <c r="U84" s="36" t="n"/>
      <c r="V84" s="43" t="n"/>
      <c r="W84" s="41">
        <f>IF(OR(V84="",U84=""),"",V84+U84)</f>
        <v/>
      </c>
      <c r="X84" s="37" t="n"/>
      <c r="Y84" s="36" t="n"/>
      <c r="Z84" s="37" t="n"/>
    </row>
    <row r="85">
      <c r="A85" s="35">
        <f>IF(E85="","",ROW()-5)</f>
        <v/>
      </c>
      <c r="B85" s="36" t="n"/>
      <c r="C85" s="36" t="n"/>
      <c r="D85" s="36" t="n"/>
      <c r="E85" s="37" t="n"/>
      <c r="F85" s="37" t="n"/>
      <c r="G85" s="37" t="n"/>
      <c r="H85" s="37" t="n"/>
      <c r="I85" s="37" t="n"/>
      <c r="J85" s="36" t="n"/>
      <c r="K85" s="36" t="n"/>
      <c r="L85" s="36" t="n"/>
      <c r="M85" s="36" t="n"/>
      <c r="N85" s="38" t="n"/>
      <c r="O85" s="39">
        <f>IF(OR(N85="",J85=""),"",N85*J85)</f>
        <v/>
      </c>
      <c r="P85" s="40" t="n"/>
      <c r="Q85" s="41">
        <f>IF(OR(P85="",Y85="발주완료",Y85="취소"),"",TODAY()+P85)</f>
        <v/>
      </c>
      <c r="R85" s="35">
        <f>IF(OR(Q85="",NOT(ISNUMBER($J$2))),"",IF(Q85&lt;=$J$2,"가능","초과 "&amp;(Q85-$J$2)&amp;"일"))</f>
        <v/>
      </c>
      <c r="S85" s="36" t="n"/>
      <c r="T85" s="36" t="n"/>
      <c r="U85" s="36" t="n"/>
      <c r="V85" s="43" t="n"/>
      <c r="W85" s="41">
        <f>IF(OR(V85="",U85=""),"",V85+U85)</f>
        <v/>
      </c>
      <c r="X85" s="37" t="n"/>
      <c r="Y85" s="36" t="n"/>
      <c r="Z85" s="37" t="n"/>
    </row>
    <row r="86">
      <c r="A86" s="35">
        <f>IF(E86="","",ROW()-5)</f>
        <v/>
      </c>
      <c r="B86" s="36" t="n"/>
      <c r="C86" s="36" t="n"/>
      <c r="D86" s="36" t="n"/>
      <c r="E86" s="37" t="n"/>
      <c r="F86" s="37" t="n"/>
      <c r="G86" s="37" t="n"/>
      <c r="H86" s="37" t="n"/>
      <c r="I86" s="37" t="n"/>
      <c r="J86" s="36" t="n"/>
      <c r="K86" s="36" t="n"/>
      <c r="L86" s="36" t="n"/>
      <c r="M86" s="36" t="n"/>
      <c r="N86" s="38" t="n"/>
      <c r="O86" s="39">
        <f>IF(OR(N86="",J86=""),"",N86*J86)</f>
        <v/>
      </c>
      <c r="P86" s="40" t="n"/>
      <c r="Q86" s="41">
        <f>IF(OR(P86="",Y86="발주완료",Y86="취소"),"",TODAY()+P86)</f>
        <v/>
      </c>
      <c r="R86" s="35">
        <f>IF(OR(Q86="",NOT(ISNUMBER($J$2))),"",IF(Q86&lt;=$J$2,"가능","초과 "&amp;(Q86-$J$2)&amp;"일"))</f>
        <v/>
      </c>
      <c r="S86" s="36" t="n"/>
      <c r="T86" s="36" t="n"/>
      <c r="U86" s="36" t="n"/>
      <c r="V86" s="43" t="n"/>
      <c r="W86" s="41">
        <f>IF(OR(V86="",U86=""),"",V86+U86)</f>
        <v/>
      </c>
      <c r="X86" s="37" t="n"/>
      <c r="Y86" s="36" t="n"/>
      <c r="Z86" s="37" t="n"/>
    </row>
    <row r="87">
      <c r="A87" s="35">
        <f>IF(E87="","",ROW()-5)</f>
        <v/>
      </c>
      <c r="B87" s="36" t="n"/>
      <c r="C87" s="36" t="n"/>
      <c r="D87" s="36" t="n"/>
      <c r="E87" s="37" t="n"/>
      <c r="F87" s="37" t="n"/>
      <c r="G87" s="37" t="n"/>
      <c r="H87" s="37" t="n"/>
      <c r="I87" s="37" t="n"/>
      <c r="J87" s="36" t="n"/>
      <c r="K87" s="36" t="n"/>
      <c r="L87" s="36" t="n"/>
      <c r="M87" s="36" t="n"/>
      <c r="N87" s="38" t="n"/>
      <c r="O87" s="39">
        <f>IF(OR(N87="",J87=""),"",N87*J87)</f>
        <v/>
      </c>
      <c r="P87" s="40" t="n"/>
      <c r="Q87" s="41">
        <f>IF(OR(P87="",Y87="발주완료",Y87="취소"),"",TODAY()+P87)</f>
        <v/>
      </c>
      <c r="R87" s="35">
        <f>IF(OR(Q87="",NOT(ISNUMBER($J$2))),"",IF(Q87&lt;=$J$2,"가능","초과 "&amp;(Q87-$J$2)&amp;"일"))</f>
        <v/>
      </c>
      <c r="S87" s="36" t="n"/>
      <c r="T87" s="36" t="n"/>
      <c r="U87" s="36" t="n"/>
      <c r="V87" s="43" t="n"/>
      <c r="W87" s="41">
        <f>IF(OR(V87="",U87=""),"",V87+U87)</f>
        <v/>
      </c>
      <c r="X87" s="37" t="n"/>
      <c r="Y87" s="36" t="n"/>
      <c r="Z87" s="37" t="n"/>
    </row>
    <row r="88">
      <c r="A88" s="35">
        <f>IF(E88="","",ROW()-5)</f>
        <v/>
      </c>
      <c r="B88" s="36" t="n"/>
      <c r="C88" s="36" t="n"/>
      <c r="D88" s="36" t="n"/>
      <c r="E88" s="37" t="n"/>
      <c r="F88" s="37" t="n"/>
      <c r="G88" s="37" t="n"/>
      <c r="H88" s="37" t="n"/>
      <c r="I88" s="37" t="n"/>
      <c r="J88" s="36" t="n"/>
      <c r="K88" s="36" t="n"/>
      <c r="L88" s="36" t="n"/>
      <c r="M88" s="36" t="n"/>
      <c r="N88" s="38" t="n"/>
      <c r="O88" s="39">
        <f>IF(OR(N88="",J88=""),"",N88*J88)</f>
        <v/>
      </c>
      <c r="P88" s="40" t="n"/>
      <c r="Q88" s="41">
        <f>IF(OR(P88="",Y88="발주완료",Y88="취소"),"",TODAY()+P88)</f>
        <v/>
      </c>
      <c r="R88" s="35">
        <f>IF(OR(Q88="",NOT(ISNUMBER($J$2))),"",IF(Q88&lt;=$J$2,"가능","초과 "&amp;(Q88-$J$2)&amp;"일"))</f>
        <v/>
      </c>
      <c r="S88" s="36" t="n"/>
      <c r="T88" s="36" t="n"/>
      <c r="U88" s="36" t="n"/>
      <c r="V88" s="43" t="n"/>
      <c r="W88" s="41">
        <f>IF(OR(V88="",U88=""),"",V88+U88)</f>
        <v/>
      </c>
      <c r="X88" s="37" t="n"/>
      <c r="Y88" s="36" t="n"/>
      <c r="Z88" s="37" t="n"/>
    </row>
    <row r="89">
      <c r="A89" s="35">
        <f>IF(E89="","",ROW()-5)</f>
        <v/>
      </c>
      <c r="B89" s="36" t="n"/>
      <c r="C89" s="36" t="n"/>
      <c r="D89" s="36" t="n"/>
      <c r="E89" s="37" t="n"/>
      <c r="F89" s="37" t="n"/>
      <c r="G89" s="37" t="n"/>
      <c r="H89" s="37" t="n"/>
      <c r="I89" s="37" t="n"/>
      <c r="J89" s="36" t="n"/>
      <c r="K89" s="36" t="n"/>
      <c r="L89" s="36" t="n"/>
      <c r="M89" s="36" t="n"/>
      <c r="N89" s="38" t="n"/>
      <c r="O89" s="39">
        <f>IF(OR(N89="",J89=""),"",N89*J89)</f>
        <v/>
      </c>
      <c r="P89" s="40" t="n"/>
      <c r="Q89" s="41">
        <f>IF(OR(P89="",Y89="발주완료",Y89="취소"),"",TODAY()+P89)</f>
        <v/>
      </c>
      <c r="R89" s="35">
        <f>IF(OR(Q89="",NOT(ISNUMBER($J$2))),"",IF(Q89&lt;=$J$2,"가능","초과 "&amp;(Q89-$J$2)&amp;"일"))</f>
        <v/>
      </c>
      <c r="S89" s="36" t="n"/>
      <c r="T89" s="36" t="n"/>
      <c r="U89" s="36" t="n"/>
      <c r="V89" s="43" t="n"/>
      <c r="W89" s="41">
        <f>IF(OR(V89="",U89=""),"",V89+U89)</f>
        <v/>
      </c>
      <c r="X89" s="37" t="n"/>
      <c r="Y89" s="36" t="n"/>
      <c r="Z89" s="37" t="n"/>
    </row>
    <row r="90">
      <c r="A90" s="35">
        <f>IF(E90="","",ROW()-5)</f>
        <v/>
      </c>
      <c r="B90" s="36" t="n"/>
      <c r="C90" s="36" t="n"/>
      <c r="D90" s="36" t="n"/>
      <c r="E90" s="37" t="n"/>
      <c r="F90" s="37" t="n"/>
      <c r="G90" s="37" t="n"/>
      <c r="H90" s="37" t="n"/>
      <c r="I90" s="37" t="n"/>
      <c r="J90" s="36" t="n"/>
      <c r="K90" s="36" t="n"/>
      <c r="L90" s="36" t="n"/>
      <c r="M90" s="36" t="n"/>
      <c r="N90" s="38" t="n"/>
      <c r="O90" s="39">
        <f>IF(OR(N90="",J90=""),"",N90*J90)</f>
        <v/>
      </c>
      <c r="P90" s="40" t="n"/>
      <c r="Q90" s="41">
        <f>IF(OR(P90="",Y90="발주완료",Y90="취소"),"",TODAY()+P90)</f>
        <v/>
      </c>
      <c r="R90" s="35">
        <f>IF(OR(Q90="",NOT(ISNUMBER($J$2))),"",IF(Q90&lt;=$J$2,"가능","초과 "&amp;(Q90-$J$2)&amp;"일"))</f>
        <v/>
      </c>
      <c r="S90" s="36" t="n"/>
      <c r="T90" s="36" t="n"/>
      <c r="U90" s="36" t="n"/>
      <c r="V90" s="43" t="n"/>
      <c r="W90" s="41">
        <f>IF(OR(V90="",U90=""),"",V90+U90)</f>
        <v/>
      </c>
      <c r="X90" s="37" t="n"/>
      <c r="Y90" s="36" t="n"/>
      <c r="Z90" s="37" t="n"/>
    </row>
    <row r="91">
      <c r="A91" s="35">
        <f>IF(E91="","",ROW()-5)</f>
        <v/>
      </c>
      <c r="B91" s="36" t="n"/>
      <c r="C91" s="36" t="n"/>
      <c r="D91" s="36" t="n"/>
      <c r="E91" s="37" t="n"/>
      <c r="F91" s="37" t="n"/>
      <c r="G91" s="37" t="n"/>
      <c r="H91" s="37" t="n"/>
      <c r="I91" s="37" t="n"/>
      <c r="J91" s="36" t="n"/>
      <c r="K91" s="36" t="n"/>
      <c r="L91" s="36" t="n"/>
      <c r="M91" s="36" t="n"/>
      <c r="N91" s="38" t="n"/>
      <c r="O91" s="39">
        <f>IF(OR(N91="",J91=""),"",N91*J91)</f>
        <v/>
      </c>
      <c r="P91" s="40" t="n"/>
      <c r="Q91" s="41">
        <f>IF(OR(P91="",Y91="발주완료",Y91="취소"),"",TODAY()+P91)</f>
        <v/>
      </c>
      <c r="R91" s="35">
        <f>IF(OR(Q91="",NOT(ISNUMBER($J$2))),"",IF(Q91&lt;=$J$2,"가능","초과 "&amp;(Q91-$J$2)&amp;"일"))</f>
        <v/>
      </c>
      <c r="S91" s="36" t="n"/>
      <c r="T91" s="36" t="n"/>
      <c r="U91" s="36" t="n"/>
      <c r="V91" s="43" t="n"/>
      <c r="W91" s="41">
        <f>IF(OR(V91="",U91=""),"",V91+U91)</f>
        <v/>
      </c>
      <c r="X91" s="37" t="n"/>
      <c r="Y91" s="36" t="n"/>
      <c r="Z91" s="37" t="n"/>
    </row>
    <row r="92">
      <c r="A92" s="35">
        <f>IF(E92="","",ROW()-5)</f>
        <v/>
      </c>
      <c r="B92" s="36" t="n"/>
      <c r="C92" s="36" t="n"/>
      <c r="D92" s="36" t="n"/>
      <c r="E92" s="37" t="n"/>
      <c r="F92" s="37" t="n"/>
      <c r="G92" s="37" t="n"/>
      <c r="H92" s="37" t="n"/>
      <c r="I92" s="37" t="n"/>
      <c r="J92" s="36" t="n"/>
      <c r="K92" s="36" t="n"/>
      <c r="L92" s="36" t="n"/>
      <c r="M92" s="36" t="n"/>
      <c r="N92" s="38" t="n"/>
      <c r="O92" s="39">
        <f>IF(OR(N92="",J92=""),"",N92*J92)</f>
        <v/>
      </c>
      <c r="P92" s="40" t="n"/>
      <c r="Q92" s="41">
        <f>IF(OR(P92="",Y92="발주완료",Y92="취소"),"",TODAY()+P92)</f>
        <v/>
      </c>
      <c r="R92" s="35">
        <f>IF(OR(Q92="",NOT(ISNUMBER($J$2))),"",IF(Q92&lt;=$J$2,"가능","초과 "&amp;(Q92-$J$2)&amp;"일"))</f>
        <v/>
      </c>
      <c r="S92" s="36" t="n"/>
      <c r="T92" s="36" t="n"/>
      <c r="U92" s="36" t="n"/>
      <c r="V92" s="43" t="n"/>
      <c r="W92" s="41">
        <f>IF(OR(V92="",U92=""),"",V92+U92)</f>
        <v/>
      </c>
      <c r="X92" s="37" t="n"/>
      <c r="Y92" s="36" t="n"/>
      <c r="Z92" s="37" t="n"/>
    </row>
    <row r="93">
      <c r="A93" s="35">
        <f>IF(E93="","",ROW()-5)</f>
        <v/>
      </c>
      <c r="B93" s="36" t="n"/>
      <c r="C93" s="36" t="n"/>
      <c r="D93" s="36" t="n"/>
      <c r="E93" s="37" t="n"/>
      <c r="F93" s="37" t="n"/>
      <c r="G93" s="37" t="n"/>
      <c r="H93" s="37" t="n"/>
      <c r="I93" s="37" t="n"/>
      <c r="J93" s="36" t="n"/>
      <c r="K93" s="36" t="n"/>
      <c r="L93" s="36" t="n"/>
      <c r="M93" s="36" t="n"/>
      <c r="N93" s="38" t="n"/>
      <c r="O93" s="39">
        <f>IF(OR(N93="",J93=""),"",N93*J93)</f>
        <v/>
      </c>
      <c r="P93" s="40" t="n"/>
      <c r="Q93" s="41">
        <f>IF(OR(P93="",Y93="발주완료",Y93="취소"),"",TODAY()+P93)</f>
        <v/>
      </c>
      <c r="R93" s="35">
        <f>IF(OR(Q93="",NOT(ISNUMBER($J$2))),"",IF(Q93&lt;=$J$2,"가능","초과 "&amp;(Q93-$J$2)&amp;"일"))</f>
        <v/>
      </c>
      <c r="S93" s="36" t="n"/>
      <c r="T93" s="36" t="n"/>
      <c r="U93" s="36" t="n"/>
      <c r="V93" s="43" t="n"/>
      <c r="W93" s="41">
        <f>IF(OR(V93="",U93=""),"",V93+U93)</f>
        <v/>
      </c>
      <c r="X93" s="37" t="n"/>
      <c r="Y93" s="36" t="n"/>
      <c r="Z93" s="37" t="n"/>
    </row>
    <row r="94">
      <c r="A94" s="35">
        <f>IF(E94="","",ROW()-5)</f>
        <v/>
      </c>
      <c r="B94" s="36" t="n"/>
      <c r="C94" s="36" t="n"/>
      <c r="D94" s="36" t="n"/>
      <c r="E94" s="37" t="n"/>
      <c r="F94" s="37" t="n"/>
      <c r="G94" s="37" t="n"/>
      <c r="H94" s="37" t="n"/>
      <c r="I94" s="37" t="n"/>
      <c r="J94" s="36" t="n"/>
      <c r="K94" s="36" t="n"/>
      <c r="L94" s="36" t="n"/>
      <c r="M94" s="36" t="n"/>
      <c r="N94" s="38" t="n"/>
      <c r="O94" s="39">
        <f>IF(OR(N94="",J94=""),"",N94*J94)</f>
        <v/>
      </c>
      <c r="P94" s="40" t="n"/>
      <c r="Q94" s="41">
        <f>IF(OR(P94="",Y94="발주완료",Y94="취소"),"",TODAY()+P94)</f>
        <v/>
      </c>
      <c r="R94" s="35">
        <f>IF(OR(Q94="",NOT(ISNUMBER($J$2))),"",IF(Q94&lt;=$J$2,"가능","초과 "&amp;(Q94-$J$2)&amp;"일"))</f>
        <v/>
      </c>
      <c r="S94" s="36" t="n"/>
      <c r="T94" s="36" t="n"/>
      <c r="U94" s="36" t="n"/>
      <c r="V94" s="43" t="n"/>
      <c r="W94" s="41">
        <f>IF(OR(V94="",U94=""),"",V94+U94)</f>
        <v/>
      </c>
      <c r="X94" s="37" t="n"/>
      <c r="Y94" s="36" t="n"/>
      <c r="Z94" s="37" t="n"/>
    </row>
    <row r="95">
      <c r="A95" s="35">
        <f>IF(E95="","",ROW()-5)</f>
        <v/>
      </c>
      <c r="B95" s="36" t="n"/>
      <c r="C95" s="36" t="n"/>
      <c r="D95" s="36" t="n"/>
      <c r="E95" s="37" t="n"/>
      <c r="F95" s="37" t="n"/>
      <c r="G95" s="37" t="n"/>
      <c r="H95" s="37" t="n"/>
      <c r="I95" s="37" t="n"/>
      <c r="J95" s="36" t="n"/>
      <c r="K95" s="36" t="n"/>
      <c r="L95" s="36" t="n"/>
      <c r="M95" s="36" t="n"/>
      <c r="N95" s="38" t="n"/>
      <c r="O95" s="39">
        <f>IF(OR(N95="",J95=""),"",N95*J95)</f>
        <v/>
      </c>
      <c r="P95" s="40" t="n"/>
      <c r="Q95" s="41">
        <f>IF(OR(P95="",Y95="발주완료",Y95="취소"),"",TODAY()+P95)</f>
        <v/>
      </c>
      <c r="R95" s="35">
        <f>IF(OR(Q95="",NOT(ISNUMBER($J$2))),"",IF(Q95&lt;=$J$2,"가능","초과 "&amp;(Q95-$J$2)&amp;"일"))</f>
        <v/>
      </c>
      <c r="S95" s="36" t="n"/>
      <c r="T95" s="36" t="n"/>
      <c r="U95" s="36" t="n"/>
      <c r="V95" s="43" t="n"/>
      <c r="W95" s="41">
        <f>IF(OR(V95="",U95=""),"",V95+U95)</f>
        <v/>
      </c>
      <c r="X95" s="37" t="n"/>
      <c r="Y95" s="36" t="n"/>
      <c r="Z95" s="37" t="n"/>
    </row>
    <row r="96">
      <c r="A96" s="35">
        <f>IF(E96="","",ROW()-5)</f>
        <v/>
      </c>
      <c r="B96" s="36" t="n"/>
      <c r="C96" s="36" t="n"/>
      <c r="D96" s="36" t="n"/>
      <c r="E96" s="37" t="n"/>
      <c r="F96" s="37" t="n"/>
      <c r="G96" s="37" t="n"/>
      <c r="H96" s="37" t="n"/>
      <c r="I96" s="37" t="n"/>
      <c r="J96" s="36" t="n"/>
      <c r="K96" s="36" t="n"/>
      <c r="L96" s="36" t="n"/>
      <c r="M96" s="36" t="n"/>
      <c r="N96" s="38" t="n"/>
      <c r="O96" s="39">
        <f>IF(OR(N96="",J96=""),"",N96*J96)</f>
        <v/>
      </c>
      <c r="P96" s="40" t="n"/>
      <c r="Q96" s="41">
        <f>IF(OR(P96="",Y96="발주완료",Y96="취소"),"",TODAY()+P96)</f>
        <v/>
      </c>
      <c r="R96" s="35">
        <f>IF(OR(Q96="",NOT(ISNUMBER($J$2))),"",IF(Q96&lt;=$J$2,"가능","초과 "&amp;(Q96-$J$2)&amp;"일"))</f>
        <v/>
      </c>
      <c r="S96" s="36" t="n"/>
      <c r="T96" s="36" t="n"/>
      <c r="U96" s="36" t="n"/>
      <c r="V96" s="43" t="n"/>
      <c r="W96" s="41">
        <f>IF(OR(V96="",U96=""),"",V96+U96)</f>
        <v/>
      </c>
      <c r="X96" s="37" t="n"/>
      <c r="Y96" s="36" t="n"/>
      <c r="Z96" s="37" t="n"/>
    </row>
    <row r="97">
      <c r="A97" s="35">
        <f>IF(E97="","",ROW()-5)</f>
        <v/>
      </c>
      <c r="B97" s="36" t="n"/>
      <c r="C97" s="36" t="n"/>
      <c r="D97" s="36" t="n"/>
      <c r="E97" s="37" t="n"/>
      <c r="F97" s="37" t="n"/>
      <c r="G97" s="37" t="n"/>
      <c r="H97" s="37" t="n"/>
      <c r="I97" s="37" t="n"/>
      <c r="J97" s="36" t="n"/>
      <c r="K97" s="36" t="n"/>
      <c r="L97" s="36" t="n"/>
      <c r="M97" s="36" t="n"/>
      <c r="N97" s="38" t="n"/>
      <c r="O97" s="39">
        <f>IF(OR(N97="",J97=""),"",N97*J97)</f>
        <v/>
      </c>
      <c r="P97" s="40" t="n"/>
      <c r="Q97" s="41">
        <f>IF(OR(P97="",Y97="발주완료",Y97="취소"),"",TODAY()+P97)</f>
        <v/>
      </c>
      <c r="R97" s="35">
        <f>IF(OR(Q97="",NOT(ISNUMBER($J$2))),"",IF(Q97&lt;=$J$2,"가능","초과 "&amp;(Q97-$J$2)&amp;"일"))</f>
        <v/>
      </c>
      <c r="S97" s="36" t="n"/>
      <c r="T97" s="36" t="n"/>
      <c r="U97" s="36" t="n"/>
      <c r="V97" s="43" t="n"/>
      <c r="W97" s="41">
        <f>IF(OR(V97="",U97=""),"",V97+U97)</f>
        <v/>
      </c>
      <c r="X97" s="37" t="n"/>
      <c r="Y97" s="36" t="n"/>
      <c r="Z97" s="37" t="n"/>
    </row>
    <row r="98">
      <c r="A98" s="35">
        <f>IF(E98="","",ROW()-5)</f>
        <v/>
      </c>
      <c r="B98" s="36" t="n"/>
      <c r="C98" s="36" t="n"/>
      <c r="D98" s="36" t="n"/>
      <c r="E98" s="37" t="n"/>
      <c r="F98" s="37" t="n"/>
      <c r="G98" s="37" t="n"/>
      <c r="H98" s="37" t="n"/>
      <c r="I98" s="37" t="n"/>
      <c r="J98" s="36" t="n"/>
      <c r="K98" s="36" t="n"/>
      <c r="L98" s="36" t="n"/>
      <c r="M98" s="36" t="n"/>
      <c r="N98" s="38" t="n"/>
      <c r="O98" s="39">
        <f>IF(OR(N98="",J98=""),"",N98*J98)</f>
        <v/>
      </c>
      <c r="P98" s="40" t="n"/>
      <c r="Q98" s="41">
        <f>IF(OR(P98="",Y98="발주완료",Y98="취소"),"",TODAY()+P98)</f>
        <v/>
      </c>
      <c r="R98" s="35">
        <f>IF(OR(Q98="",NOT(ISNUMBER($J$2))),"",IF(Q98&lt;=$J$2,"가능","초과 "&amp;(Q98-$J$2)&amp;"일"))</f>
        <v/>
      </c>
      <c r="S98" s="36" t="n"/>
      <c r="T98" s="36" t="n"/>
      <c r="U98" s="36" t="n"/>
      <c r="V98" s="43" t="n"/>
      <c r="W98" s="41">
        <f>IF(OR(V98="",U98=""),"",V98+U98)</f>
        <v/>
      </c>
      <c r="X98" s="37" t="n"/>
      <c r="Y98" s="36" t="n"/>
      <c r="Z98" s="37" t="n"/>
    </row>
    <row r="99">
      <c r="A99" s="35">
        <f>IF(E99="","",ROW()-5)</f>
        <v/>
      </c>
      <c r="B99" s="36" t="n"/>
      <c r="C99" s="36" t="n"/>
      <c r="D99" s="36" t="n"/>
      <c r="E99" s="37" t="n"/>
      <c r="F99" s="37" t="n"/>
      <c r="G99" s="37" t="n"/>
      <c r="H99" s="37" t="n"/>
      <c r="I99" s="37" t="n"/>
      <c r="J99" s="36" t="n"/>
      <c r="K99" s="36" t="n"/>
      <c r="L99" s="36" t="n"/>
      <c r="M99" s="36" t="n"/>
      <c r="N99" s="38" t="n"/>
      <c r="O99" s="39">
        <f>IF(OR(N99="",J99=""),"",N99*J99)</f>
        <v/>
      </c>
      <c r="P99" s="40" t="n"/>
      <c r="Q99" s="41">
        <f>IF(OR(P99="",Y99="발주완료",Y99="취소"),"",TODAY()+P99)</f>
        <v/>
      </c>
      <c r="R99" s="35">
        <f>IF(OR(Q99="",NOT(ISNUMBER($J$2))),"",IF(Q99&lt;=$J$2,"가능","초과 "&amp;(Q99-$J$2)&amp;"일"))</f>
        <v/>
      </c>
      <c r="S99" s="36" t="n"/>
      <c r="T99" s="36" t="n"/>
      <c r="U99" s="36" t="n"/>
      <c r="V99" s="43" t="n"/>
      <c r="W99" s="41">
        <f>IF(OR(V99="",U99=""),"",V99+U99)</f>
        <v/>
      </c>
      <c r="X99" s="37" t="n"/>
      <c r="Y99" s="36" t="n"/>
      <c r="Z99" s="37" t="n"/>
    </row>
    <row r="100">
      <c r="A100" s="35">
        <f>IF(E100="","",ROW()-5)</f>
        <v/>
      </c>
      <c r="B100" s="36" t="n"/>
      <c r="C100" s="36" t="n"/>
      <c r="D100" s="36" t="n"/>
      <c r="E100" s="37" t="n"/>
      <c r="F100" s="37" t="n"/>
      <c r="G100" s="37" t="n"/>
      <c r="H100" s="37" t="n"/>
      <c r="I100" s="37" t="n"/>
      <c r="J100" s="36" t="n"/>
      <c r="K100" s="36" t="n"/>
      <c r="L100" s="36" t="n"/>
      <c r="M100" s="36" t="n"/>
      <c r="N100" s="38" t="n"/>
      <c r="O100" s="39">
        <f>IF(OR(N100="",J100=""),"",N100*J100)</f>
        <v/>
      </c>
      <c r="P100" s="40" t="n"/>
      <c r="Q100" s="41">
        <f>IF(OR(P100="",Y100="발주완료",Y100="취소"),"",TODAY()+P100)</f>
        <v/>
      </c>
      <c r="R100" s="35">
        <f>IF(OR(Q100="",NOT(ISNUMBER($J$2))),"",IF(Q100&lt;=$J$2,"가능","초과 "&amp;(Q100-$J$2)&amp;"일"))</f>
        <v/>
      </c>
      <c r="S100" s="36" t="n"/>
      <c r="T100" s="36" t="n"/>
      <c r="U100" s="36" t="n"/>
      <c r="V100" s="43" t="n"/>
      <c r="W100" s="41">
        <f>IF(OR(V100="",U100=""),"",V100+U100)</f>
        <v/>
      </c>
      <c r="X100" s="37" t="n"/>
      <c r="Y100" s="36" t="n"/>
      <c r="Z100" s="37" t="n"/>
    </row>
    <row r="101">
      <c r="A101" s="35">
        <f>IF(E101="","",ROW()-5)</f>
        <v/>
      </c>
      <c r="B101" s="36" t="n"/>
      <c r="C101" s="36" t="n"/>
      <c r="D101" s="36" t="n"/>
      <c r="E101" s="37" t="n"/>
      <c r="F101" s="37" t="n"/>
      <c r="G101" s="37" t="n"/>
      <c r="H101" s="37" t="n"/>
      <c r="I101" s="37" t="n"/>
      <c r="J101" s="36" t="n"/>
      <c r="K101" s="36" t="n"/>
      <c r="L101" s="36" t="n"/>
      <c r="M101" s="36" t="n"/>
      <c r="N101" s="38" t="n"/>
      <c r="O101" s="39">
        <f>IF(OR(N101="",J101=""),"",N101*J101)</f>
        <v/>
      </c>
      <c r="P101" s="40" t="n"/>
      <c r="Q101" s="41">
        <f>IF(OR(P101="",Y101="발주완료",Y101="취소"),"",TODAY()+P101)</f>
        <v/>
      </c>
      <c r="R101" s="35">
        <f>IF(OR(Q101="",NOT(ISNUMBER($J$2))),"",IF(Q101&lt;=$J$2,"가능","초과 "&amp;(Q101-$J$2)&amp;"일"))</f>
        <v/>
      </c>
      <c r="S101" s="36" t="n"/>
      <c r="T101" s="36" t="n"/>
      <c r="U101" s="36" t="n"/>
      <c r="V101" s="43" t="n"/>
      <c r="W101" s="41">
        <f>IF(OR(V101="",U101=""),"",V101+U101)</f>
        <v/>
      </c>
      <c r="X101" s="37" t="n"/>
      <c r="Y101" s="36" t="n"/>
      <c r="Z101" s="37" t="n"/>
    </row>
    <row r="102">
      <c r="A102" s="35">
        <f>IF(E102="","",ROW()-5)</f>
        <v/>
      </c>
      <c r="B102" s="36" t="n"/>
      <c r="C102" s="36" t="n"/>
      <c r="D102" s="36" t="n"/>
      <c r="E102" s="37" t="n"/>
      <c r="F102" s="37" t="n"/>
      <c r="G102" s="37" t="n"/>
      <c r="H102" s="37" t="n"/>
      <c r="I102" s="37" t="n"/>
      <c r="J102" s="36" t="n"/>
      <c r="K102" s="36" t="n"/>
      <c r="L102" s="36" t="n"/>
      <c r="M102" s="36" t="n"/>
      <c r="N102" s="38" t="n"/>
      <c r="O102" s="39">
        <f>IF(OR(N102="",J102=""),"",N102*J102)</f>
        <v/>
      </c>
      <c r="P102" s="40" t="n"/>
      <c r="Q102" s="41">
        <f>IF(OR(P102="",Y102="발주완료",Y102="취소"),"",TODAY()+P102)</f>
        <v/>
      </c>
      <c r="R102" s="35">
        <f>IF(OR(Q102="",NOT(ISNUMBER($J$2))),"",IF(Q102&lt;=$J$2,"가능","초과 "&amp;(Q102-$J$2)&amp;"일"))</f>
        <v/>
      </c>
      <c r="S102" s="36" t="n"/>
      <c r="T102" s="36" t="n"/>
      <c r="U102" s="36" t="n"/>
      <c r="V102" s="43" t="n"/>
      <c r="W102" s="41">
        <f>IF(OR(V102="",U102=""),"",V102+U102)</f>
        <v/>
      </c>
      <c r="X102" s="37" t="n"/>
      <c r="Y102" s="36" t="n"/>
      <c r="Z102" s="37" t="n"/>
    </row>
    <row r="103">
      <c r="A103" s="35">
        <f>IF(E103="","",ROW()-5)</f>
        <v/>
      </c>
      <c r="B103" s="36" t="n"/>
      <c r="C103" s="36" t="n"/>
      <c r="D103" s="36" t="n"/>
      <c r="E103" s="37" t="n"/>
      <c r="F103" s="37" t="n"/>
      <c r="G103" s="37" t="n"/>
      <c r="H103" s="37" t="n"/>
      <c r="I103" s="37" t="n"/>
      <c r="J103" s="36" t="n"/>
      <c r="K103" s="36" t="n"/>
      <c r="L103" s="36" t="n"/>
      <c r="M103" s="36" t="n"/>
      <c r="N103" s="38" t="n"/>
      <c r="O103" s="39">
        <f>IF(OR(N103="",J103=""),"",N103*J103)</f>
        <v/>
      </c>
      <c r="P103" s="40" t="n"/>
      <c r="Q103" s="41">
        <f>IF(OR(P103="",Y103="발주완료",Y103="취소"),"",TODAY()+P103)</f>
        <v/>
      </c>
      <c r="R103" s="35">
        <f>IF(OR(Q103="",NOT(ISNUMBER($J$2))),"",IF(Q103&lt;=$J$2,"가능","초과 "&amp;(Q103-$J$2)&amp;"일"))</f>
        <v/>
      </c>
      <c r="S103" s="36" t="n"/>
      <c r="T103" s="36" t="n"/>
      <c r="U103" s="36" t="n"/>
      <c r="V103" s="43" t="n"/>
      <c r="W103" s="41">
        <f>IF(OR(V103="",U103=""),"",V103+U103)</f>
        <v/>
      </c>
      <c r="X103" s="37" t="n"/>
      <c r="Y103" s="36" t="n"/>
      <c r="Z103" s="37" t="n"/>
    </row>
    <row r="104">
      <c r="A104" s="35">
        <f>IF(E104="","",ROW()-5)</f>
        <v/>
      </c>
      <c r="B104" s="36" t="n"/>
      <c r="C104" s="36" t="n"/>
      <c r="D104" s="36" t="n"/>
      <c r="E104" s="37" t="n"/>
      <c r="F104" s="37" t="n"/>
      <c r="G104" s="37" t="n"/>
      <c r="H104" s="37" t="n"/>
      <c r="I104" s="37" t="n"/>
      <c r="J104" s="36" t="n"/>
      <c r="K104" s="36" t="n"/>
      <c r="L104" s="36" t="n"/>
      <c r="M104" s="36" t="n"/>
      <c r="N104" s="38" t="n"/>
      <c r="O104" s="39">
        <f>IF(OR(N104="",J104=""),"",N104*J104)</f>
        <v/>
      </c>
      <c r="P104" s="40" t="n"/>
      <c r="Q104" s="41">
        <f>IF(OR(P104="",Y104="발주완료",Y104="취소"),"",TODAY()+P104)</f>
        <v/>
      </c>
      <c r="R104" s="35">
        <f>IF(OR(Q104="",NOT(ISNUMBER($J$2))),"",IF(Q104&lt;=$J$2,"가능","초과 "&amp;(Q104-$J$2)&amp;"일"))</f>
        <v/>
      </c>
      <c r="S104" s="36" t="n"/>
      <c r="T104" s="36" t="n"/>
      <c r="U104" s="36" t="n"/>
      <c r="V104" s="43" t="n"/>
      <c r="W104" s="41">
        <f>IF(OR(V104="",U104=""),"",V104+U104)</f>
        <v/>
      </c>
      <c r="X104" s="37" t="n"/>
      <c r="Y104" s="36" t="n"/>
      <c r="Z104" s="37" t="n"/>
    </row>
    <row r="105">
      <c r="A105" s="35">
        <f>IF(E105="","",ROW()-5)</f>
        <v/>
      </c>
      <c r="B105" s="36" t="n"/>
      <c r="C105" s="36" t="n"/>
      <c r="D105" s="36" t="n"/>
      <c r="E105" s="37" t="n"/>
      <c r="F105" s="37" t="n"/>
      <c r="G105" s="37" t="n"/>
      <c r="H105" s="37" t="n"/>
      <c r="I105" s="37" t="n"/>
      <c r="J105" s="36" t="n"/>
      <c r="K105" s="36" t="n"/>
      <c r="L105" s="36" t="n"/>
      <c r="M105" s="36" t="n"/>
      <c r="N105" s="38" t="n"/>
      <c r="O105" s="39">
        <f>IF(OR(N105="",J105=""),"",N105*J105)</f>
        <v/>
      </c>
      <c r="P105" s="40" t="n"/>
      <c r="Q105" s="41">
        <f>IF(OR(P105="",Y105="발주완료",Y105="취소"),"",TODAY()+P105)</f>
        <v/>
      </c>
      <c r="R105" s="35">
        <f>IF(OR(Q105="",NOT(ISNUMBER($J$2))),"",IF(Q105&lt;=$J$2,"가능","초과 "&amp;(Q105-$J$2)&amp;"일"))</f>
        <v/>
      </c>
      <c r="S105" s="36" t="n"/>
      <c r="T105" s="36" t="n"/>
      <c r="U105" s="36" t="n"/>
      <c r="V105" s="43" t="n"/>
      <c r="W105" s="41">
        <f>IF(OR(V105="",U105=""),"",V105+U105)</f>
        <v/>
      </c>
      <c r="X105" s="37" t="n"/>
      <c r="Y105" s="36" t="n"/>
      <c r="Z105" s="37" t="n"/>
    </row>
    <row r="106">
      <c r="A106" s="35">
        <f>IF(E106="","",ROW()-5)</f>
        <v/>
      </c>
      <c r="B106" s="36" t="n"/>
      <c r="C106" s="36" t="n"/>
      <c r="D106" s="36" t="n"/>
      <c r="E106" s="37" t="n"/>
      <c r="F106" s="37" t="n"/>
      <c r="G106" s="37" t="n"/>
      <c r="H106" s="37" t="n"/>
      <c r="I106" s="37" t="n"/>
      <c r="J106" s="36" t="n"/>
      <c r="K106" s="36" t="n"/>
      <c r="L106" s="36" t="n"/>
      <c r="M106" s="36" t="n"/>
      <c r="N106" s="38" t="n"/>
      <c r="O106" s="39">
        <f>IF(OR(N106="",J106=""),"",N106*J106)</f>
        <v/>
      </c>
      <c r="P106" s="40" t="n"/>
      <c r="Q106" s="41">
        <f>IF(OR(P106="",Y106="발주완료",Y106="취소"),"",TODAY()+P106)</f>
        <v/>
      </c>
      <c r="R106" s="35">
        <f>IF(OR(Q106="",NOT(ISNUMBER($J$2))),"",IF(Q106&lt;=$J$2,"가능","초과 "&amp;(Q106-$J$2)&amp;"일"))</f>
        <v/>
      </c>
      <c r="S106" s="36" t="n"/>
      <c r="T106" s="36" t="n"/>
      <c r="U106" s="36" t="n"/>
      <c r="V106" s="43" t="n"/>
      <c r="W106" s="41">
        <f>IF(OR(V106="",U106=""),"",V106+U106)</f>
        <v/>
      </c>
      <c r="X106" s="37" t="n"/>
      <c r="Y106" s="36" t="n"/>
      <c r="Z106" s="37" t="n"/>
    </row>
    <row r="107">
      <c r="A107" s="35">
        <f>IF(E107="","",ROW()-5)</f>
        <v/>
      </c>
      <c r="B107" s="36" t="n"/>
      <c r="C107" s="36" t="n"/>
      <c r="D107" s="36" t="n"/>
      <c r="E107" s="37" t="n"/>
      <c r="F107" s="37" t="n"/>
      <c r="G107" s="37" t="n"/>
      <c r="H107" s="37" t="n"/>
      <c r="I107" s="37" t="n"/>
      <c r="J107" s="36" t="n"/>
      <c r="K107" s="36" t="n"/>
      <c r="L107" s="36" t="n"/>
      <c r="M107" s="36" t="n"/>
      <c r="N107" s="38" t="n"/>
      <c r="O107" s="39">
        <f>IF(OR(N107="",J107=""),"",N107*J107)</f>
        <v/>
      </c>
      <c r="P107" s="40" t="n"/>
      <c r="Q107" s="41">
        <f>IF(OR(P107="",Y107="발주완료",Y107="취소"),"",TODAY()+P107)</f>
        <v/>
      </c>
      <c r="R107" s="35">
        <f>IF(OR(Q107="",NOT(ISNUMBER($J$2))),"",IF(Q107&lt;=$J$2,"가능","초과 "&amp;(Q107-$J$2)&amp;"일"))</f>
        <v/>
      </c>
      <c r="S107" s="36" t="n"/>
      <c r="T107" s="36" t="n"/>
      <c r="U107" s="36" t="n"/>
      <c r="V107" s="43" t="n"/>
      <c r="W107" s="41">
        <f>IF(OR(V107="",U107=""),"",V107+U107)</f>
        <v/>
      </c>
      <c r="X107" s="37" t="n"/>
      <c r="Y107" s="36" t="n"/>
      <c r="Z107" s="37" t="n"/>
    </row>
    <row r="108">
      <c r="A108" s="35">
        <f>IF(E108="","",ROW()-5)</f>
        <v/>
      </c>
      <c r="B108" s="36" t="n"/>
      <c r="C108" s="36" t="n"/>
      <c r="D108" s="36" t="n"/>
      <c r="E108" s="37" t="n"/>
      <c r="F108" s="37" t="n"/>
      <c r="G108" s="37" t="n"/>
      <c r="H108" s="37" t="n"/>
      <c r="I108" s="37" t="n"/>
      <c r="J108" s="36" t="n"/>
      <c r="K108" s="36" t="n"/>
      <c r="L108" s="36" t="n"/>
      <c r="M108" s="36" t="n"/>
      <c r="N108" s="38" t="n"/>
      <c r="O108" s="39">
        <f>IF(OR(N108="",J108=""),"",N108*J108)</f>
        <v/>
      </c>
      <c r="P108" s="40" t="n"/>
      <c r="Q108" s="41">
        <f>IF(OR(P108="",Y108="발주완료",Y108="취소"),"",TODAY()+P108)</f>
        <v/>
      </c>
      <c r="R108" s="35">
        <f>IF(OR(Q108="",NOT(ISNUMBER($J$2))),"",IF(Q108&lt;=$J$2,"가능","초과 "&amp;(Q108-$J$2)&amp;"일"))</f>
        <v/>
      </c>
      <c r="S108" s="36" t="n"/>
      <c r="T108" s="36" t="n"/>
      <c r="U108" s="36" t="n"/>
      <c r="V108" s="43" t="n"/>
      <c r="W108" s="41">
        <f>IF(OR(V108="",U108=""),"",V108+U108)</f>
        <v/>
      </c>
      <c r="X108" s="37" t="n"/>
      <c r="Y108" s="36" t="n"/>
      <c r="Z108" s="37" t="n"/>
    </row>
    <row r="109">
      <c r="A109" s="35">
        <f>IF(E109="","",ROW()-5)</f>
        <v/>
      </c>
      <c r="B109" s="36" t="n"/>
      <c r="C109" s="36" t="n"/>
      <c r="D109" s="36" t="n"/>
      <c r="E109" s="37" t="n"/>
      <c r="F109" s="37" t="n"/>
      <c r="G109" s="37" t="n"/>
      <c r="H109" s="37" t="n"/>
      <c r="I109" s="37" t="n"/>
      <c r="J109" s="36" t="n"/>
      <c r="K109" s="36" t="n"/>
      <c r="L109" s="36" t="n"/>
      <c r="M109" s="36" t="n"/>
      <c r="N109" s="38" t="n"/>
      <c r="O109" s="39">
        <f>IF(OR(N109="",J109=""),"",N109*J109)</f>
        <v/>
      </c>
      <c r="P109" s="40" t="n"/>
      <c r="Q109" s="41">
        <f>IF(OR(P109="",Y109="발주완료",Y109="취소"),"",TODAY()+P109)</f>
        <v/>
      </c>
      <c r="R109" s="35">
        <f>IF(OR(Q109="",NOT(ISNUMBER($J$2))),"",IF(Q109&lt;=$J$2,"가능","초과 "&amp;(Q109-$J$2)&amp;"일"))</f>
        <v/>
      </c>
      <c r="S109" s="36" t="n"/>
      <c r="T109" s="36" t="n"/>
      <c r="U109" s="36" t="n"/>
      <c r="V109" s="43" t="n"/>
      <c r="W109" s="41">
        <f>IF(OR(V109="",U109=""),"",V109+U109)</f>
        <v/>
      </c>
      <c r="X109" s="37" t="n"/>
      <c r="Y109" s="36" t="n"/>
      <c r="Z109" s="37" t="n"/>
    </row>
    <row r="110">
      <c r="A110" s="35">
        <f>IF(E110="","",ROW()-5)</f>
        <v/>
      </c>
      <c r="B110" s="36" t="n"/>
      <c r="C110" s="36" t="n"/>
      <c r="D110" s="36" t="n"/>
      <c r="E110" s="37" t="n"/>
      <c r="F110" s="37" t="n"/>
      <c r="G110" s="37" t="n"/>
      <c r="H110" s="37" t="n"/>
      <c r="I110" s="37" t="n"/>
      <c r="J110" s="36" t="n"/>
      <c r="K110" s="36" t="n"/>
      <c r="L110" s="36" t="n"/>
      <c r="M110" s="36" t="n"/>
      <c r="N110" s="38" t="n"/>
      <c r="O110" s="39">
        <f>IF(OR(N110="",J110=""),"",N110*J110)</f>
        <v/>
      </c>
      <c r="P110" s="40" t="n"/>
      <c r="Q110" s="41">
        <f>IF(OR(P110="",Y110="발주완료",Y110="취소"),"",TODAY()+P110)</f>
        <v/>
      </c>
      <c r="R110" s="35">
        <f>IF(OR(Q110="",NOT(ISNUMBER($J$2))),"",IF(Q110&lt;=$J$2,"가능","초과 "&amp;(Q110-$J$2)&amp;"일"))</f>
        <v/>
      </c>
      <c r="S110" s="36" t="n"/>
      <c r="T110" s="36" t="n"/>
      <c r="U110" s="36" t="n"/>
      <c r="V110" s="43" t="n"/>
      <c r="W110" s="41">
        <f>IF(OR(V110="",U110=""),"",V110+U110)</f>
        <v/>
      </c>
      <c r="X110" s="37" t="n"/>
      <c r="Y110" s="36" t="n"/>
      <c r="Z110" s="37" t="n"/>
    </row>
    <row r="111">
      <c r="A111" s="35">
        <f>IF(E111="","",ROW()-5)</f>
        <v/>
      </c>
      <c r="B111" s="36" t="n"/>
      <c r="C111" s="36" t="n"/>
      <c r="D111" s="36" t="n"/>
      <c r="E111" s="37" t="n"/>
      <c r="F111" s="37" t="n"/>
      <c r="G111" s="37" t="n"/>
      <c r="H111" s="37" t="n"/>
      <c r="I111" s="37" t="n"/>
      <c r="J111" s="36" t="n"/>
      <c r="K111" s="36" t="n"/>
      <c r="L111" s="36" t="n"/>
      <c r="M111" s="36" t="n"/>
      <c r="N111" s="38" t="n"/>
      <c r="O111" s="39">
        <f>IF(OR(N111="",J111=""),"",N111*J111)</f>
        <v/>
      </c>
      <c r="P111" s="40" t="n"/>
      <c r="Q111" s="41">
        <f>IF(OR(P111="",Y111="발주완료",Y111="취소"),"",TODAY()+P111)</f>
        <v/>
      </c>
      <c r="R111" s="35">
        <f>IF(OR(Q111="",NOT(ISNUMBER($J$2))),"",IF(Q111&lt;=$J$2,"가능","초과 "&amp;(Q111-$J$2)&amp;"일"))</f>
        <v/>
      </c>
      <c r="S111" s="36" t="n"/>
      <c r="T111" s="36" t="n"/>
      <c r="U111" s="36" t="n"/>
      <c r="V111" s="43" t="n"/>
      <c r="W111" s="41">
        <f>IF(OR(V111="",U111=""),"",V111+U111)</f>
        <v/>
      </c>
      <c r="X111" s="37" t="n"/>
      <c r="Y111" s="36" t="n"/>
      <c r="Z111" s="37" t="n"/>
    </row>
    <row r="112">
      <c r="A112" s="35">
        <f>IF(E112="","",ROW()-5)</f>
        <v/>
      </c>
      <c r="B112" s="36" t="n"/>
      <c r="C112" s="36" t="n"/>
      <c r="D112" s="36" t="n"/>
      <c r="E112" s="37" t="n"/>
      <c r="F112" s="37" t="n"/>
      <c r="G112" s="37" t="n"/>
      <c r="H112" s="37" t="n"/>
      <c r="I112" s="37" t="n"/>
      <c r="J112" s="36" t="n"/>
      <c r="K112" s="36" t="n"/>
      <c r="L112" s="36" t="n"/>
      <c r="M112" s="36" t="n"/>
      <c r="N112" s="38" t="n"/>
      <c r="O112" s="39">
        <f>IF(OR(N112="",J112=""),"",N112*J112)</f>
        <v/>
      </c>
      <c r="P112" s="40" t="n"/>
      <c r="Q112" s="41">
        <f>IF(OR(P112="",Y112="발주완료",Y112="취소"),"",TODAY()+P112)</f>
        <v/>
      </c>
      <c r="R112" s="35">
        <f>IF(OR(Q112="",NOT(ISNUMBER($J$2))),"",IF(Q112&lt;=$J$2,"가능","초과 "&amp;(Q112-$J$2)&amp;"일"))</f>
        <v/>
      </c>
      <c r="S112" s="36" t="n"/>
      <c r="T112" s="36" t="n"/>
      <c r="U112" s="36" t="n"/>
      <c r="V112" s="43" t="n"/>
      <c r="W112" s="41">
        <f>IF(OR(V112="",U112=""),"",V112+U112)</f>
        <v/>
      </c>
      <c r="X112" s="37" t="n"/>
      <c r="Y112" s="36" t="n"/>
      <c r="Z112" s="37" t="n"/>
    </row>
    <row r="113">
      <c r="A113" s="35">
        <f>IF(E113="","",ROW()-5)</f>
        <v/>
      </c>
      <c r="B113" s="36" t="n"/>
      <c r="C113" s="36" t="n"/>
      <c r="D113" s="36" t="n"/>
      <c r="E113" s="37" t="n"/>
      <c r="F113" s="37" t="n"/>
      <c r="G113" s="37" t="n"/>
      <c r="H113" s="37" t="n"/>
      <c r="I113" s="37" t="n"/>
      <c r="J113" s="36" t="n"/>
      <c r="K113" s="36" t="n"/>
      <c r="L113" s="36" t="n"/>
      <c r="M113" s="36" t="n"/>
      <c r="N113" s="38" t="n"/>
      <c r="O113" s="39">
        <f>IF(OR(N113="",J113=""),"",N113*J113)</f>
        <v/>
      </c>
      <c r="P113" s="40" t="n"/>
      <c r="Q113" s="41">
        <f>IF(OR(P113="",Y113="발주완료",Y113="취소"),"",TODAY()+P113)</f>
        <v/>
      </c>
      <c r="R113" s="35">
        <f>IF(OR(Q113="",NOT(ISNUMBER($J$2))),"",IF(Q113&lt;=$J$2,"가능","초과 "&amp;(Q113-$J$2)&amp;"일"))</f>
        <v/>
      </c>
      <c r="S113" s="36" t="n"/>
      <c r="T113" s="36" t="n"/>
      <c r="U113" s="36" t="n"/>
      <c r="V113" s="43" t="n"/>
      <c r="W113" s="41">
        <f>IF(OR(V113="",U113=""),"",V113+U113)</f>
        <v/>
      </c>
      <c r="X113" s="37" t="n"/>
      <c r="Y113" s="36" t="n"/>
      <c r="Z113" s="37" t="n"/>
    </row>
    <row r="114">
      <c r="A114" s="35">
        <f>IF(E114="","",ROW()-5)</f>
        <v/>
      </c>
      <c r="B114" s="36" t="n"/>
      <c r="C114" s="36" t="n"/>
      <c r="D114" s="36" t="n"/>
      <c r="E114" s="37" t="n"/>
      <c r="F114" s="37" t="n"/>
      <c r="G114" s="37" t="n"/>
      <c r="H114" s="37" t="n"/>
      <c r="I114" s="37" t="n"/>
      <c r="J114" s="36" t="n"/>
      <c r="K114" s="36" t="n"/>
      <c r="L114" s="36" t="n"/>
      <c r="M114" s="36" t="n"/>
      <c r="N114" s="38" t="n"/>
      <c r="O114" s="39">
        <f>IF(OR(N114="",J114=""),"",N114*J114)</f>
        <v/>
      </c>
      <c r="P114" s="40" t="n"/>
      <c r="Q114" s="41">
        <f>IF(OR(P114="",Y114="발주완료",Y114="취소"),"",TODAY()+P114)</f>
        <v/>
      </c>
      <c r="R114" s="35">
        <f>IF(OR(Q114="",NOT(ISNUMBER($J$2))),"",IF(Q114&lt;=$J$2,"가능","초과 "&amp;(Q114-$J$2)&amp;"일"))</f>
        <v/>
      </c>
      <c r="S114" s="36" t="n"/>
      <c r="T114" s="36" t="n"/>
      <c r="U114" s="36" t="n"/>
      <c r="V114" s="43" t="n"/>
      <c r="W114" s="41">
        <f>IF(OR(V114="",U114=""),"",V114+U114)</f>
        <v/>
      </c>
      <c r="X114" s="37" t="n"/>
      <c r="Y114" s="36" t="n"/>
      <c r="Z114" s="37" t="n"/>
    </row>
    <row r="115">
      <c r="A115" s="35">
        <f>IF(E115="","",ROW()-5)</f>
        <v/>
      </c>
      <c r="B115" s="36" t="n"/>
      <c r="C115" s="36" t="n"/>
      <c r="D115" s="36" t="n"/>
      <c r="E115" s="37" t="n"/>
      <c r="F115" s="37" t="n"/>
      <c r="G115" s="37" t="n"/>
      <c r="H115" s="37" t="n"/>
      <c r="I115" s="37" t="n"/>
      <c r="J115" s="36" t="n"/>
      <c r="K115" s="36" t="n"/>
      <c r="L115" s="36" t="n"/>
      <c r="M115" s="36" t="n"/>
      <c r="N115" s="38" t="n"/>
      <c r="O115" s="39">
        <f>IF(OR(N115="",J115=""),"",N115*J115)</f>
        <v/>
      </c>
      <c r="P115" s="40" t="n"/>
      <c r="Q115" s="41">
        <f>IF(OR(P115="",Y115="발주완료",Y115="취소"),"",TODAY()+P115)</f>
        <v/>
      </c>
      <c r="R115" s="35">
        <f>IF(OR(Q115="",NOT(ISNUMBER($J$2))),"",IF(Q115&lt;=$J$2,"가능","초과 "&amp;(Q115-$J$2)&amp;"일"))</f>
        <v/>
      </c>
      <c r="S115" s="36" t="n"/>
      <c r="T115" s="36" t="n"/>
      <c r="U115" s="36" t="n"/>
      <c r="V115" s="43" t="n"/>
      <c r="W115" s="41">
        <f>IF(OR(V115="",U115=""),"",V115+U115)</f>
        <v/>
      </c>
      <c r="X115" s="37" t="n"/>
      <c r="Y115" s="36" t="n"/>
      <c r="Z115" s="37" t="n"/>
    </row>
    <row r="116">
      <c r="A116" s="35">
        <f>IF(E116="","",ROW()-5)</f>
        <v/>
      </c>
      <c r="B116" s="36" t="n"/>
      <c r="C116" s="36" t="n"/>
      <c r="D116" s="36" t="n"/>
      <c r="E116" s="37" t="n"/>
      <c r="F116" s="37" t="n"/>
      <c r="G116" s="37" t="n"/>
      <c r="H116" s="37" t="n"/>
      <c r="I116" s="37" t="n"/>
      <c r="J116" s="36" t="n"/>
      <c r="K116" s="36" t="n"/>
      <c r="L116" s="36" t="n"/>
      <c r="M116" s="36" t="n"/>
      <c r="N116" s="38" t="n"/>
      <c r="O116" s="39">
        <f>IF(OR(N116="",J116=""),"",N116*J116)</f>
        <v/>
      </c>
      <c r="P116" s="40" t="n"/>
      <c r="Q116" s="41">
        <f>IF(OR(P116="",Y116="발주완료",Y116="취소"),"",TODAY()+P116)</f>
        <v/>
      </c>
      <c r="R116" s="35">
        <f>IF(OR(Q116="",NOT(ISNUMBER($J$2))),"",IF(Q116&lt;=$J$2,"가능","초과 "&amp;(Q116-$J$2)&amp;"일"))</f>
        <v/>
      </c>
      <c r="S116" s="36" t="n"/>
      <c r="T116" s="36" t="n"/>
      <c r="U116" s="36" t="n"/>
      <c r="V116" s="43" t="n"/>
      <c r="W116" s="41">
        <f>IF(OR(V116="",U116=""),"",V116+U116)</f>
        <v/>
      </c>
      <c r="X116" s="37" t="n"/>
      <c r="Y116" s="36" t="n"/>
      <c r="Z116" s="37" t="n"/>
    </row>
    <row r="117">
      <c r="A117" s="35">
        <f>IF(E117="","",ROW()-5)</f>
        <v/>
      </c>
      <c r="B117" s="36" t="n"/>
      <c r="C117" s="36" t="n"/>
      <c r="D117" s="36" t="n"/>
      <c r="E117" s="37" t="n"/>
      <c r="F117" s="37" t="n"/>
      <c r="G117" s="37" t="n"/>
      <c r="H117" s="37" t="n"/>
      <c r="I117" s="37" t="n"/>
      <c r="J117" s="36" t="n"/>
      <c r="K117" s="36" t="n"/>
      <c r="L117" s="36" t="n"/>
      <c r="M117" s="36" t="n"/>
      <c r="N117" s="38" t="n"/>
      <c r="O117" s="39">
        <f>IF(OR(N117="",J117=""),"",N117*J117)</f>
        <v/>
      </c>
      <c r="P117" s="40" t="n"/>
      <c r="Q117" s="41">
        <f>IF(OR(P117="",Y117="발주완료",Y117="취소"),"",TODAY()+P117)</f>
        <v/>
      </c>
      <c r="R117" s="35">
        <f>IF(OR(Q117="",NOT(ISNUMBER($J$2))),"",IF(Q117&lt;=$J$2,"가능","초과 "&amp;(Q117-$J$2)&amp;"일"))</f>
        <v/>
      </c>
      <c r="S117" s="36" t="n"/>
      <c r="T117" s="36" t="n"/>
      <c r="U117" s="36" t="n"/>
      <c r="V117" s="43" t="n"/>
      <c r="W117" s="41">
        <f>IF(OR(V117="",U117=""),"",V117+U117)</f>
        <v/>
      </c>
      <c r="X117" s="37" t="n"/>
      <c r="Y117" s="36" t="n"/>
      <c r="Z117" s="37" t="n"/>
    </row>
    <row r="118">
      <c r="A118" s="35">
        <f>IF(E118="","",ROW()-5)</f>
        <v/>
      </c>
      <c r="B118" s="36" t="n"/>
      <c r="C118" s="36" t="n"/>
      <c r="D118" s="36" t="n"/>
      <c r="E118" s="37" t="n"/>
      <c r="F118" s="37" t="n"/>
      <c r="G118" s="37" t="n"/>
      <c r="H118" s="37" t="n"/>
      <c r="I118" s="37" t="n"/>
      <c r="J118" s="36" t="n"/>
      <c r="K118" s="36" t="n"/>
      <c r="L118" s="36" t="n"/>
      <c r="M118" s="36" t="n"/>
      <c r="N118" s="38" t="n"/>
      <c r="O118" s="39">
        <f>IF(OR(N118="",J118=""),"",N118*J118)</f>
        <v/>
      </c>
      <c r="P118" s="40" t="n"/>
      <c r="Q118" s="41">
        <f>IF(OR(P118="",Y118="발주완료",Y118="취소"),"",TODAY()+P118)</f>
        <v/>
      </c>
      <c r="R118" s="35">
        <f>IF(OR(Q118="",NOT(ISNUMBER($J$2))),"",IF(Q118&lt;=$J$2,"가능","초과 "&amp;(Q118-$J$2)&amp;"일"))</f>
        <v/>
      </c>
      <c r="S118" s="36" t="n"/>
      <c r="T118" s="36" t="n"/>
      <c r="U118" s="36" t="n"/>
      <c r="V118" s="43" t="n"/>
      <c r="W118" s="41">
        <f>IF(OR(V118="",U118=""),"",V118+U118)</f>
        <v/>
      </c>
      <c r="X118" s="37" t="n"/>
      <c r="Y118" s="36" t="n"/>
      <c r="Z118" s="37" t="n"/>
    </row>
    <row r="119">
      <c r="A119" s="35">
        <f>IF(E119="","",ROW()-5)</f>
        <v/>
      </c>
      <c r="B119" s="36" t="n"/>
      <c r="C119" s="36" t="n"/>
      <c r="D119" s="36" t="n"/>
      <c r="E119" s="37" t="n"/>
      <c r="F119" s="37" t="n"/>
      <c r="G119" s="37" t="n"/>
      <c r="H119" s="37" t="n"/>
      <c r="I119" s="37" t="n"/>
      <c r="J119" s="36" t="n"/>
      <c r="K119" s="36" t="n"/>
      <c r="L119" s="36" t="n"/>
      <c r="M119" s="36" t="n"/>
      <c r="N119" s="38" t="n"/>
      <c r="O119" s="39">
        <f>IF(OR(N119="",J119=""),"",N119*J119)</f>
        <v/>
      </c>
      <c r="P119" s="40" t="n"/>
      <c r="Q119" s="41">
        <f>IF(OR(P119="",Y119="발주완료",Y119="취소"),"",TODAY()+P119)</f>
        <v/>
      </c>
      <c r="R119" s="35">
        <f>IF(OR(Q119="",NOT(ISNUMBER($J$2))),"",IF(Q119&lt;=$J$2,"가능","초과 "&amp;(Q119-$J$2)&amp;"일"))</f>
        <v/>
      </c>
      <c r="S119" s="36" t="n"/>
      <c r="T119" s="36" t="n"/>
      <c r="U119" s="36" t="n"/>
      <c r="V119" s="43" t="n"/>
      <c r="W119" s="41">
        <f>IF(OR(V119="",U119=""),"",V119+U119)</f>
        <v/>
      </c>
      <c r="X119" s="37" t="n"/>
      <c r="Y119" s="36" t="n"/>
      <c r="Z119" s="37" t="n"/>
    </row>
    <row r="120">
      <c r="A120" s="35">
        <f>IF(E120="","",ROW()-5)</f>
        <v/>
      </c>
      <c r="B120" s="36" t="n"/>
      <c r="C120" s="36" t="n"/>
      <c r="D120" s="36" t="n"/>
      <c r="E120" s="37" t="n"/>
      <c r="F120" s="37" t="n"/>
      <c r="G120" s="37" t="n"/>
      <c r="H120" s="37" t="n"/>
      <c r="I120" s="37" t="n"/>
      <c r="J120" s="36" t="n"/>
      <c r="K120" s="36" t="n"/>
      <c r="L120" s="36" t="n"/>
      <c r="M120" s="36" t="n"/>
      <c r="N120" s="38" t="n"/>
      <c r="O120" s="39">
        <f>IF(OR(N120="",J120=""),"",N120*J120)</f>
        <v/>
      </c>
      <c r="P120" s="40" t="n"/>
      <c r="Q120" s="41">
        <f>IF(OR(P120="",Y120="발주완료",Y120="취소"),"",TODAY()+P120)</f>
        <v/>
      </c>
      <c r="R120" s="35">
        <f>IF(OR(Q120="",NOT(ISNUMBER($J$2))),"",IF(Q120&lt;=$J$2,"가능","초과 "&amp;(Q120-$J$2)&amp;"일"))</f>
        <v/>
      </c>
      <c r="S120" s="36" t="n"/>
      <c r="T120" s="36" t="n"/>
      <c r="U120" s="36" t="n"/>
      <c r="V120" s="43" t="n"/>
      <c r="W120" s="41">
        <f>IF(OR(V120="",U120=""),"",V120+U120)</f>
        <v/>
      </c>
      <c r="X120" s="37" t="n"/>
      <c r="Y120" s="36" t="n"/>
      <c r="Z120" s="37" t="n"/>
    </row>
    <row r="121">
      <c r="A121" s="35">
        <f>IF(E121="","",ROW()-5)</f>
        <v/>
      </c>
      <c r="B121" s="36" t="n"/>
      <c r="C121" s="36" t="n"/>
      <c r="D121" s="36" t="n"/>
      <c r="E121" s="37" t="n"/>
      <c r="F121" s="37" t="n"/>
      <c r="G121" s="37" t="n"/>
      <c r="H121" s="37" t="n"/>
      <c r="I121" s="37" t="n"/>
      <c r="J121" s="36" t="n"/>
      <c r="K121" s="36" t="n"/>
      <c r="L121" s="36" t="n"/>
      <c r="M121" s="36" t="n"/>
      <c r="N121" s="38" t="n"/>
      <c r="O121" s="39">
        <f>IF(OR(N121="",J121=""),"",N121*J121)</f>
        <v/>
      </c>
      <c r="P121" s="40" t="n"/>
      <c r="Q121" s="41">
        <f>IF(OR(P121="",Y121="발주완료",Y121="취소"),"",TODAY()+P121)</f>
        <v/>
      </c>
      <c r="R121" s="35">
        <f>IF(OR(Q121="",NOT(ISNUMBER($J$2))),"",IF(Q121&lt;=$J$2,"가능","초과 "&amp;(Q121-$J$2)&amp;"일"))</f>
        <v/>
      </c>
      <c r="S121" s="36" t="n"/>
      <c r="T121" s="36" t="n"/>
      <c r="U121" s="36" t="n"/>
      <c r="V121" s="43" t="n"/>
      <c r="W121" s="41">
        <f>IF(OR(V121="",U121=""),"",V121+U121)</f>
        <v/>
      </c>
      <c r="X121" s="37" t="n"/>
      <c r="Y121" s="36" t="n"/>
      <c r="Z121" s="37" t="n"/>
    </row>
    <row r="122">
      <c r="A122" s="35">
        <f>IF(E122="","",ROW()-5)</f>
        <v/>
      </c>
      <c r="B122" s="36" t="n"/>
      <c r="C122" s="36" t="n"/>
      <c r="D122" s="36" t="n"/>
      <c r="E122" s="37" t="n"/>
      <c r="F122" s="37" t="n"/>
      <c r="G122" s="37" t="n"/>
      <c r="H122" s="37" t="n"/>
      <c r="I122" s="37" t="n"/>
      <c r="J122" s="36" t="n"/>
      <c r="K122" s="36" t="n"/>
      <c r="L122" s="36" t="n"/>
      <c r="M122" s="36" t="n"/>
      <c r="N122" s="38" t="n"/>
      <c r="O122" s="39">
        <f>IF(OR(N122="",J122=""),"",N122*J122)</f>
        <v/>
      </c>
      <c r="P122" s="40" t="n"/>
      <c r="Q122" s="41">
        <f>IF(OR(P122="",Y122="발주완료",Y122="취소"),"",TODAY()+P122)</f>
        <v/>
      </c>
      <c r="R122" s="35">
        <f>IF(OR(Q122="",NOT(ISNUMBER($J$2))),"",IF(Q122&lt;=$J$2,"가능","초과 "&amp;(Q122-$J$2)&amp;"일"))</f>
        <v/>
      </c>
      <c r="S122" s="36" t="n"/>
      <c r="T122" s="36" t="n"/>
      <c r="U122" s="36" t="n"/>
      <c r="V122" s="43" t="n"/>
      <c r="W122" s="41">
        <f>IF(OR(V122="",U122=""),"",V122+U122)</f>
        <v/>
      </c>
      <c r="X122" s="37" t="n"/>
      <c r="Y122" s="36" t="n"/>
      <c r="Z122" s="37" t="n"/>
    </row>
    <row r="123">
      <c r="A123" s="35">
        <f>IF(E123="","",ROW()-5)</f>
        <v/>
      </c>
      <c r="B123" s="36" t="n"/>
      <c r="C123" s="36" t="n"/>
      <c r="D123" s="36" t="n"/>
      <c r="E123" s="37" t="n"/>
      <c r="F123" s="37" t="n"/>
      <c r="G123" s="37" t="n"/>
      <c r="H123" s="37" t="n"/>
      <c r="I123" s="37" t="n"/>
      <c r="J123" s="36" t="n"/>
      <c r="K123" s="36" t="n"/>
      <c r="L123" s="36" t="n"/>
      <c r="M123" s="36" t="n"/>
      <c r="N123" s="38" t="n"/>
      <c r="O123" s="39">
        <f>IF(OR(N123="",J123=""),"",N123*J123)</f>
        <v/>
      </c>
      <c r="P123" s="40" t="n"/>
      <c r="Q123" s="41">
        <f>IF(OR(P123="",Y123="발주완료",Y123="취소"),"",TODAY()+P123)</f>
        <v/>
      </c>
      <c r="R123" s="35">
        <f>IF(OR(Q123="",NOT(ISNUMBER($J$2))),"",IF(Q123&lt;=$J$2,"가능","초과 "&amp;(Q123-$J$2)&amp;"일"))</f>
        <v/>
      </c>
      <c r="S123" s="36" t="n"/>
      <c r="T123" s="36" t="n"/>
      <c r="U123" s="36" t="n"/>
      <c r="V123" s="43" t="n"/>
      <c r="W123" s="41">
        <f>IF(OR(V123="",U123=""),"",V123+U123)</f>
        <v/>
      </c>
      <c r="X123" s="37" t="n"/>
      <c r="Y123" s="36" t="n"/>
      <c r="Z123" s="37" t="n"/>
    </row>
    <row r="124">
      <c r="A124" s="35">
        <f>IF(E124="","",ROW()-5)</f>
        <v/>
      </c>
      <c r="B124" s="36" t="n"/>
      <c r="C124" s="36" t="n"/>
      <c r="D124" s="36" t="n"/>
      <c r="E124" s="37" t="n"/>
      <c r="F124" s="37" t="n"/>
      <c r="G124" s="37" t="n"/>
      <c r="H124" s="37" t="n"/>
      <c r="I124" s="37" t="n"/>
      <c r="J124" s="36" t="n"/>
      <c r="K124" s="36" t="n"/>
      <c r="L124" s="36" t="n"/>
      <c r="M124" s="36" t="n"/>
      <c r="N124" s="38" t="n"/>
      <c r="O124" s="39">
        <f>IF(OR(N124="",J124=""),"",N124*J124)</f>
        <v/>
      </c>
      <c r="P124" s="40" t="n"/>
      <c r="Q124" s="41">
        <f>IF(OR(P124="",Y124="발주완료",Y124="취소"),"",TODAY()+P124)</f>
        <v/>
      </c>
      <c r="R124" s="35">
        <f>IF(OR(Q124="",NOT(ISNUMBER($J$2))),"",IF(Q124&lt;=$J$2,"가능","초과 "&amp;(Q124-$J$2)&amp;"일"))</f>
        <v/>
      </c>
      <c r="S124" s="36" t="n"/>
      <c r="T124" s="36" t="n"/>
      <c r="U124" s="36" t="n"/>
      <c r="V124" s="43" t="n"/>
      <c r="W124" s="41">
        <f>IF(OR(V124="",U124=""),"",V124+U124)</f>
        <v/>
      </c>
      <c r="X124" s="37" t="n"/>
      <c r="Y124" s="36" t="n"/>
      <c r="Z124" s="37" t="n"/>
    </row>
    <row r="125">
      <c r="A125" s="35">
        <f>IF(E125="","",ROW()-5)</f>
        <v/>
      </c>
      <c r="B125" s="36" t="n"/>
      <c r="C125" s="36" t="n"/>
      <c r="D125" s="36" t="n"/>
      <c r="E125" s="37" t="n"/>
      <c r="F125" s="37" t="n"/>
      <c r="G125" s="37" t="n"/>
      <c r="H125" s="37" t="n"/>
      <c r="I125" s="37" t="n"/>
      <c r="J125" s="36" t="n"/>
      <c r="K125" s="36" t="n"/>
      <c r="L125" s="36" t="n"/>
      <c r="M125" s="36" t="n"/>
      <c r="N125" s="38" t="n"/>
      <c r="O125" s="39">
        <f>IF(OR(N125="",J125=""),"",N125*J125)</f>
        <v/>
      </c>
      <c r="P125" s="40" t="n"/>
      <c r="Q125" s="41">
        <f>IF(OR(P125="",Y125="발주완료",Y125="취소"),"",TODAY()+P125)</f>
        <v/>
      </c>
      <c r="R125" s="35">
        <f>IF(OR(Q125="",NOT(ISNUMBER($J$2))),"",IF(Q125&lt;=$J$2,"가능","초과 "&amp;(Q125-$J$2)&amp;"일"))</f>
        <v/>
      </c>
      <c r="S125" s="36" t="n"/>
      <c r="T125" s="36" t="n"/>
      <c r="U125" s="36" t="n"/>
      <c r="V125" s="43" t="n"/>
      <c r="W125" s="41">
        <f>IF(OR(V125="",U125=""),"",V125+U125)</f>
        <v/>
      </c>
      <c r="X125" s="37" t="n"/>
      <c r="Y125" s="36" t="n"/>
      <c r="Z125" s="37" t="n"/>
    </row>
    <row r="126">
      <c r="A126" s="35">
        <f>IF(E126="","",ROW()-5)</f>
        <v/>
      </c>
      <c r="B126" s="36" t="n"/>
      <c r="C126" s="36" t="n"/>
      <c r="D126" s="36" t="n"/>
      <c r="E126" s="37" t="n"/>
      <c r="F126" s="37" t="n"/>
      <c r="G126" s="37" t="n"/>
      <c r="H126" s="37" t="n"/>
      <c r="I126" s="37" t="n"/>
      <c r="J126" s="36" t="n"/>
      <c r="K126" s="36" t="n"/>
      <c r="L126" s="36" t="n"/>
      <c r="M126" s="36" t="n"/>
      <c r="N126" s="38" t="n"/>
      <c r="O126" s="39">
        <f>IF(OR(N126="",J126=""),"",N126*J126)</f>
        <v/>
      </c>
      <c r="P126" s="40" t="n"/>
      <c r="Q126" s="41">
        <f>IF(OR(P126="",Y126="발주완료",Y126="취소"),"",TODAY()+P126)</f>
        <v/>
      </c>
      <c r="R126" s="35">
        <f>IF(OR(Q126="",NOT(ISNUMBER($J$2))),"",IF(Q126&lt;=$J$2,"가능","초과 "&amp;(Q126-$J$2)&amp;"일"))</f>
        <v/>
      </c>
      <c r="S126" s="36" t="n"/>
      <c r="T126" s="36" t="n"/>
      <c r="U126" s="36" t="n"/>
      <c r="V126" s="43" t="n"/>
      <c r="W126" s="41">
        <f>IF(OR(V126="",U126=""),"",V126+U126)</f>
        <v/>
      </c>
      <c r="X126" s="37" t="n"/>
      <c r="Y126" s="36" t="n"/>
      <c r="Z126" s="37" t="n"/>
    </row>
    <row r="127">
      <c r="A127" s="35">
        <f>IF(E127="","",ROW()-5)</f>
        <v/>
      </c>
      <c r="B127" s="36" t="n"/>
      <c r="C127" s="36" t="n"/>
      <c r="D127" s="36" t="n"/>
      <c r="E127" s="37" t="n"/>
      <c r="F127" s="37" t="n"/>
      <c r="G127" s="37" t="n"/>
      <c r="H127" s="37" t="n"/>
      <c r="I127" s="37" t="n"/>
      <c r="J127" s="36" t="n"/>
      <c r="K127" s="36" t="n"/>
      <c r="L127" s="36" t="n"/>
      <c r="M127" s="36" t="n"/>
      <c r="N127" s="38" t="n"/>
      <c r="O127" s="39">
        <f>IF(OR(N127="",J127=""),"",N127*J127)</f>
        <v/>
      </c>
      <c r="P127" s="40" t="n"/>
      <c r="Q127" s="41">
        <f>IF(OR(P127="",Y127="발주완료",Y127="취소"),"",TODAY()+P127)</f>
        <v/>
      </c>
      <c r="R127" s="35">
        <f>IF(OR(Q127="",NOT(ISNUMBER($J$2))),"",IF(Q127&lt;=$J$2,"가능","초과 "&amp;(Q127-$J$2)&amp;"일"))</f>
        <v/>
      </c>
      <c r="S127" s="36" t="n"/>
      <c r="T127" s="36" t="n"/>
      <c r="U127" s="36" t="n"/>
      <c r="V127" s="43" t="n"/>
      <c r="W127" s="41">
        <f>IF(OR(V127="",U127=""),"",V127+U127)</f>
        <v/>
      </c>
      <c r="X127" s="37" t="n"/>
      <c r="Y127" s="36" t="n"/>
      <c r="Z127" s="37" t="n"/>
    </row>
    <row r="128">
      <c r="A128" s="35">
        <f>IF(E128="","",ROW()-5)</f>
        <v/>
      </c>
      <c r="B128" s="36" t="n"/>
      <c r="C128" s="36" t="n"/>
      <c r="D128" s="36" t="n"/>
      <c r="E128" s="37" t="n"/>
      <c r="F128" s="37" t="n"/>
      <c r="G128" s="37" t="n"/>
      <c r="H128" s="37" t="n"/>
      <c r="I128" s="37" t="n"/>
      <c r="J128" s="36" t="n"/>
      <c r="K128" s="36" t="n"/>
      <c r="L128" s="36" t="n"/>
      <c r="M128" s="36" t="n"/>
      <c r="N128" s="38" t="n"/>
      <c r="O128" s="39">
        <f>IF(OR(N128="",J128=""),"",N128*J128)</f>
        <v/>
      </c>
      <c r="P128" s="40" t="n"/>
      <c r="Q128" s="41">
        <f>IF(OR(P128="",Y128="발주완료",Y128="취소"),"",TODAY()+P128)</f>
        <v/>
      </c>
      <c r="R128" s="35">
        <f>IF(OR(Q128="",NOT(ISNUMBER($J$2))),"",IF(Q128&lt;=$J$2,"가능","초과 "&amp;(Q128-$J$2)&amp;"일"))</f>
        <v/>
      </c>
      <c r="S128" s="36" t="n"/>
      <c r="T128" s="36" t="n"/>
      <c r="U128" s="36" t="n"/>
      <c r="V128" s="43" t="n"/>
      <c r="W128" s="41">
        <f>IF(OR(V128="",U128=""),"",V128+U128)</f>
        <v/>
      </c>
      <c r="X128" s="37" t="n"/>
      <c r="Y128" s="36" t="n"/>
      <c r="Z128" s="37" t="n"/>
    </row>
    <row r="129">
      <c r="A129" s="35">
        <f>IF(E129="","",ROW()-5)</f>
        <v/>
      </c>
      <c r="B129" s="36" t="n"/>
      <c r="C129" s="36" t="n"/>
      <c r="D129" s="36" t="n"/>
      <c r="E129" s="37" t="n"/>
      <c r="F129" s="37" t="n"/>
      <c r="G129" s="37" t="n"/>
      <c r="H129" s="37" t="n"/>
      <c r="I129" s="37" t="n"/>
      <c r="J129" s="36" t="n"/>
      <c r="K129" s="36" t="n"/>
      <c r="L129" s="36" t="n"/>
      <c r="M129" s="36" t="n"/>
      <c r="N129" s="38" t="n"/>
      <c r="O129" s="39">
        <f>IF(OR(N129="",J129=""),"",N129*J129)</f>
        <v/>
      </c>
      <c r="P129" s="40" t="n"/>
      <c r="Q129" s="41">
        <f>IF(OR(P129="",Y129="발주완료",Y129="취소"),"",TODAY()+P129)</f>
        <v/>
      </c>
      <c r="R129" s="35">
        <f>IF(OR(Q129="",NOT(ISNUMBER($J$2))),"",IF(Q129&lt;=$J$2,"가능","초과 "&amp;(Q129-$J$2)&amp;"일"))</f>
        <v/>
      </c>
      <c r="S129" s="36" t="n"/>
      <c r="T129" s="36" t="n"/>
      <c r="U129" s="36" t="n"/>
      <c r="V129" s="43" t="n"/>
      <c r="W129" s="41">
        <f>IF(OR(V129="",U129=""),"",V129+U129)</f>
        <v/>
      </c>
      <c r="X129" s="37" t="n"/>
      <c r="Y129" s="36" t="n"/>
      <c r="Z129" s="37" t="n"/>
    </row>
    <row r="130">
      <c r="A130" s="35">
        <f>IF(E130="","",ROW()-5)</f>
        <v/>
      </c>
      <c r="B130" s="36" t="n"/>
      <c r="C130" s="36" t="n"/>
      <c r="D130" s="36" t="n"/>
      <c r="E130" s="37" t="n"/>
      <c r="F130" s="37" t="n"/>
      <c r="G130" s="37" t="n"/>
      <c r="H130" s="37" t="n"/>
      <c r="I130" s="37" t="n"/>
      <c r="J130" s="36" t="n"/>
      <c r="K130" s="36" t="n"/>
      <c r="L130" s="36" t="n"/>
      <c r="M130" s="36" t="n"/>
      <c r="N130" s="38" t="n"/>
      <c r="O130" s="39">
        <f>IF(OR(N130="",J130=""),"",N130*J130)</f>
        <v/>
      </c>
      <c r="P130" s="40" t="n"/>
      <c r="Q130" s="41">
        <f>IF(OR(P130="",Y130="발주완료",Y130="취소"),"",TODAY()+P130)</f>
        <v/>
      </c>
      <c r="R130" s="35">
        <f>IF(OR(Q130="",NOT(ISNUMBER($J$2))),"",IF(Q130&lt;=$J$2,"가능","초과 "&amp;(Q130-$J$2)&amp;"일"))</f>
        <v/>
      </c>
      <c r="S130" s="36" t="n"/>
      <c r="T130" s="36" t="n"/>
      <c r="U130" s="36" t="n"/>
      <c r="V130" s="43" t="n"/>
      <c r="W130" s="41">
        <f>IF(OR(V130="",U130=""),"",V130+U130)</f>
        <v/>
      </c>
      <c r="X130" s="37" t="n"/>
      <c r="Y130" s="36" t="n"/>
      <c r="Z130" s="37" t="n"/>
    </row>
    <row r="131">
      <c r="A131" s="35">
        <f>IF(E131="","",ROW()-5)</f>
        <v/>
      </c>
      <c r="B131" s="36" t="n"/>
      <c r="C131" s="36" t="n"/>
      <c r="D131" s="36" t="n"/>
      <c r="E131" s="37" t="n"/>
      <c r="F131" s="37" t="n"/>
      <c r="G131" s="37" t="n"/>
      <c r="H131" s="37" t="n"/>
      <c r="I131" s="37" t="n"/>
      <c r="J131" s="36" t="n"/>
      <c r="K131" s="36" t="n"/>
      <c r="L131" s="36" t="n"/>
      <c r="M131" s="36" t="n"/>
      <c r="N131" s="38" t="n"/>
      <c r="O131" s="39">
        <f>IF(OR(N131="",J131=""),"",N131*J131)</f>
        <v/>
      </c>
      <c r="P131" s="40" t="n"/>
      <c r="Q131" s="41">
        <f>IF(OR(P131="",Y131="발주완료",Y131="취소"),"",TODAY()+P131)</f>
        <v/>
      </c>
      <c r="R131" s="35">
        <f>IF(OR(Q131="",NOT(ISNUMBER($J$2))),"",IF(Q131&lt;=$J$2,"가능","초과 "&amp;(Q131-$J$2)&amp;"일"))</f>
        <v/>
      </c>
      <c r="S131" s="36" t="n"/>
      <c r="T131" s="36" t="n"/>
      <c r="U131" s="36" t="n"/>
      <c r="V131" s="43" t="n"/>
      <c r="W131" s="41">
        <f>IF(OR(V131="",U131=""),"",V131+U131)</f>
        <v/>
      </c>
      <c r="X131" s="37" t="n"/>
      <c r="Y131" s="36" t="n"/>
      <c r="Z131" s="37" t="n"/>
    </row>
    <row r="132">
      <c r="A132" s="35">
        <f>IF(E132="","",ROW()-5)</f>
        <v/>
      </c>
      <c r="B132" s="36" t="n"/>
      <c r="C132" s="36" t="n"/>
      <c r="D132" s="36" t="n"/>
      <c r="E132" s="37" t="n"/>
      <c r="F132" s="37" t="n"/>
      <c r="G132" s="37" t="n"/>
      <c r="H132" s="37" t="n"/>
      <c r="I132" s="37" t="n"/>
      <c r="J132" s="36" t="n"/>
      <c r="K132" s="36" t="n"/>
      <c r="L132" s="36" t="n"/>
      <c r="M132" s="36" t="n"/>
      <c r="N132" s="38" t="n"/>
      <c r="O132" s="39">
        <f>IF(OR(N132="",J132=""),"",N132*J132)</f>
        <v/>
      </c>
      <c r="P132" s="40" t="n"/>
      <c r="Q132" s="41">
        <f>IF(OR(P132="",Y132="발주완료",Y132="취소"),"",TODAY()+P132)</f>
        <v/>
      </c>
      <c r="R132" s="35">
        <f>IF(OR(Q132="",NOT(ISNUMBER($J$2))),"",IF(Q132&lt;=$J$2,"가능","초과 "&amp;(Q132-$J$2)&amp;"일"))</f>
        <v/>
      </c>
      <c r="S132" s="36" t="n"/>
      <c r="T132" s="36" t="n"/>
      <c r="U132" s="36" t="n"/>
      <c r="V132" s="43" t="n"/>
      <c r="W132" s="41">
        <f>IF(OR(V132="",U132=""),"",V132+U132)</f>
        <v/>
      </c>
      <c r="X132" s="37" t="n"/>
      <c r="Y132" s="36" t="n"/>
      <c r="Z132" s="37" t="n"/>
    </row>
    <row r="133">
      <c r="A133" s="35">
        <f>IF(E133="","",ROW()-5)</f>
        <v/>
      </c>
      <c r="B133" s="36" t="n"/>
      <c r="C133" s="36" t="n"/>
      <c r="D133" s="36" t="n"/>
      <c r="E133" s="37" t="n"/>
      <c r="F133" s="37" t="n"/>
      <c r="G133" s="37" t="n"/>
      <c r="H133" s="37" t="n"/>
      <c r="I133" s="37" t="n"/>
      <c r="J133" s="36" t="n"/>
      <c r="K133" s="36" t="n"/>
      <c r="L133" s="36" t="n"/>
      <c r="M133" s="36" t="n"/>
      <c r="N133" s="38" t="n"/>
      <c r="O133" s="39">
        <f>IF(OR(N133="",J133=""),"",N133*J133)</f>
        <v/>
      </c>
      <c r="P133" s="40" t="n"/>
      <c r="Q133" s="41">
        <f>IF(OR(P133="",Y133="발주완료",Y133="취소"),"",TODAY()+P133)</f>
        <v/>
      </c>
      <c r="R133" s="35">
        <f>IF(OR(Q133="",NOT(ISNUMBER($J$2))),"",IF(Q133&lt;=$J$2,"가능","초과 "&amp;(Q133-$J$2)&amp;"일"))</f>
        <v/>
      </c>
      <c r="S133" s="36" t="n"/>
      <c r="T133" s="36" t="n"/>
      <c r="U133" s="36" t="n"/>
      <c r="V133" s="43" t="n"/>
      <c r="W133" s="41">
        <f>IF(OR(V133="",U133=""),"",V133+U133)</f>
        <v/>
      </c>
      <c r="X133" s="37" t="n"/>
      <c r="Y133" s="36" t="n"/>
      <c r="Z133" s="37" t="n"/>
    </row>
    <row r="134">
      <c r="A134" s="35">
        <f>IF(E134="","",ROW()-5)</f>
        <v/>
      </c>
      <c r="B134" s="36" t="n"/>
      <c r="C134" s="36" t="n"/>
      <c r="D134" s="36" t="n"/>
      <c r="E134" s="37" t="n"/>
      <c r="F134" s="37" t="n"/>
      <c r="G134" s="37" t="n"/>
      <c r="H134" s="37" t="n"/>
      <c r="I134" s="37" t="n"/>
      <c r="J134" s="36" t="n"/>
      <c r="K134" s="36" t="n"/>
      <c r="L134" s="36" t="n"/>
      <c r="M134" s="36" t="n"/>
      <c r="N134" s="38" t="n"/>
      <c r="O134" s="39">
        <f>IF(OR(N134="",J134=""),"",N134*J134)</f>
        <v/>
      </c>
      <c r="P134" s="40" t="n"/>
      <c r="Q134" s="41">
        <f>IF(OR(P134="",Y134="발주완료",Y134="취소"),"",TODAY()+P134)</f>
        <v/>
      </c>
      <c r="R134" s="35">
        <f>IF(OR(Q134="",NOT(ISNUMBER($J$2))),"",IF(Q134&lt;=$J$2,"가능","초과 "&amp;(Q134-$J$2)&amp;"일"))</f>
        <v/>
      </c>
      <c r="S134" s="36" t="n"/>
      <c r="T134" s="36" t="n"/>
      <c r="U134" s="36" t="n"/>
      <c r="V134" s="43" t="n"/>
      <c r="W134" s="41">
        <f>IF(OR(V134="",U134=""),"",V134+U134)</f>
        <v/>
      </c>
      <c r="X134" s="37" t="n"/>
      <c r="Y134" s="36" t="n"/>
      <c r="Z134" s="37" t="n"/>
    </row>
    <row r="135">
      <c r="A135" s="35">
        <f>IF(E135="","",ROW()-5)</f>
        <v/>
      </c>
      <c r="B135" s="36" t="n"/>
      <c r="C135" s="36" t="n"/>
      <c r="D135" s="36" t="n"/>
      <c r="E135" s="37" t="n"/>
      <c r="F135" s="37" t="n"/>
      <c r="G135" s="37" t="n"/>
      <c r="H135" s="37" t="n"/>
      <c r="I135" s="37" t="n"/>
      <c r="J135" s="36" t="n"/>
      <c r="K135" s="36" t="n"/>
      <c r="L135" s="36" t="n"/>
      <c r="M135" s="36" t="n"/>
      <c r="N135" s="38" t="n"/>
      <c r="O135" s="39">
        <f>IF(OR(N135="",J135=""),"",N135*J135)</f>
        <v/>
      </c>
      <c r="P135" s="40" t="n"/>
      <c r="Q135" s="41">
        <f>IF(OR(P135="",Y135="발주완료",Y135="취소"),"",TODAY()+P135)</f>
        <v/>
      </c>
      <c r="R135" s="35">
        <f>IF(OR(Q135="",NOT(ISNUMBER($J$2))),"",IF(Q135&lt;=$J$2,"가능","초과 "&amp;(Q135-$J$2)&amp;"일"))</f>
        <v/>
      </c>
      <c r="S135" s="36" t="n"/>
      <c r="T135" s="36" t="n"/>
      <c r="U135" s="36" t="n"/>
      <c r="V135" s="43" t="n"/>
      <c r="W135" s="41">
        <f>IF(OR(V135="",U135=""),"",V135+U135)</f>
        <v/>
      </c>
      <c r="X135" s="37" t="n"/>
      <c r="Y135" s="36" t="n"/>
      <c r="Z135" s="37" t="n"/>
    </row>
    <row r="136">
      <c r="A136" s="35">
        <f>IF(E136="","",ROW()-5)</f>
        <v/>
      </c>
      <c r="B136" s="36" t="n"/>
      <c r="C136" s="36" t="n"/>
      <c r="D136" s="36" t="n"/>
      <c r="E136" s="37" t="n"/>
      <c r="F136" s="37" t="n"/>
      <c r="G136" s="37" t="n"/>
      <c r="H136" s="37" t="n"/>
      <c r="I136" s="37" t="n"/>
      <c r="J136" s="36" t="n"/>
      <c r="K136" s="36" t="n"/>
      <c r="L136" s="36" t="n"/>
      <c r="M136" s="36" t="n"/>
      <c r="N136" s="38" t="n"/>
      <c r="O136" s="39">
        <f>IF(OR(N136="",J136=""),"",N136*J136)</f>
        <v/>
      </c>
      <c r="P136" s="40" t="n"/>
      <c r="Q136" s="41">
        <f>IF(OR(P136="",Y136="발주완료",Y136="취소"),"",TODAY()+P136)</f>
        <v/>
      </c>
      <c r="R136" s="35">
        <f>IF(OR(Q136="",NOT(ISNUMBER($J$2))),"",IF(Q136&lt;=$J$2,"가능","초과 "&amp;(Q136-$J$2)&amp;"일"))</f>
        <v/>
      </c>
      <c r="S136" s="36" t="n"/>
      <c r="T136" s="36" t="n"/>
      <c r="U136" s="36" t="n"/>
      <c r="V136" s="43" t="n"/>
      <c r="W136" s="41">
        <f>IF(OR(V136="",U136=""),"",V136+U136)</f>
        <v/>
      </c>
      <c r="X136" s="37" t="n"/>
      <c r="Y136" s="36" t="n"/>
      <c r="Z136" s="37" t="n"/>
    </row>
    <row r="137">
      <c r="A137" s="35">
        <f>IF(E137="","",ROW()-5)</f>
        <v/>
      </c>
      <c r="B137" s="36" t="n"/>
      <c r="C137" s="36" t="n"/>
      <c r="D137" s="36" t="n"/>
      <c r="E137" s="37" t="n"/>
      <c r="F137" s="37" t="n"/>
      <c r="G137" s="37" t="n"/>
      <c r="H137" s="37" t="n"/>
      <c r="I137" s="37" t="n"/>
      <c r="J137" s="36" t="n"/>
      <c r="K137" s="36" t="n"/>
      <c r="L137" s="36" t="n"/>
      <c r="M137" s="36" t="n"/>
      <c r="N137" s="38" t="n"/>
      <c r="O137" s="39">
        <f>IF(OR(N137="",J137=""),"",N137*J137)</f>
        <v/>
      </c>
      <c r="P137" s="40" t="n"/>
      <c r="Q137" s="41">
        <f>IF(OR(P137="",Y137="발주완료",Y137="취소"),"",TODAY()+P137)</f>
        <v/>
      </c>
      <c r="R137" s="35">
        <f>IF(OR(Q137="",NOT(ISNUMBER($J$2))),"",IF(Q137&lt;=$J$2,"가능","초과 "&amp;(Q137-$J$2)&amp;"일"))</f>
        <v/>
      </c>
      <c r="S137" s="36" t="n"/>
      <c r="T137" s="36" t="n"/>
      <c r="U137" s="36" t="n"/>
      <c r="V137" s="43" t="n"/>
      <c r="W137" s="41">
        <f>IF(OR(V137="",U137=""),"",V137+U137)</f>
        <v/>
      </c>
      <c r="X137" s="37" t="n"/>
      <c r="Y137" s="36" t="n"/>
      <c r="Z137" s="37" t="n"/>
    </row>
    <row r="138">
      <c r="A138" s="35">
        <f>IF(E138="","",ROW()-5)</f>
        <v/>
      </c>
      <c r="B138" s="36" t="n"/>
      <c r="C138" s="36" t="n"/>
      <c r="D138" s="36" t="n"/>
      <c r="E138" s="37" t="n"/>
      <c r="F138" s="37" t="n"/>
      <c r="G138" s="37" t="n"/>
      <c r="H138" s="37" t="n"/>
      <c r="I138" s="37" t="n"/>
      <c r="J138" s="36" t="n"/>
      <c r="K138" s="36" t="n"/>
      <c r="L138" s="36" t="n"/>
      <c r="M138" s="36" t="n"/>
      <c r="N138" s="38" t="n"/>
      <c r="O138" s="39">
        <f>IF(OR(N138="",J138=""),"",N138*J138)</f>
        <v/>
      </c>
      <c r="P138" s="40" t="n"/>
      <c r="Q138" s="41">
        <f>IF(OR(P138="",Y138="발주완료",Y138="취소"),"",TODAY()+P138)</f>
        <v/>
      </c>
      <c r="R138" s="35">
        <f>IF(OR(Q138="",NOT(ISNUMBER($J$2))),"",IF(Q138&lt;=$J$2,"가능","초과 "&amp;(Q138-$J$2)&amp;"일"))</f>
        <v/>
      </c>
      <c r="S138" s="36" t="n"/>
      <c r="T138" s="36" t="n"/>
      <c r="U138" s="36" t="n"/>
      <c r="V138" s="43" t="n"/>
      <c r="W138" s="41">
        <f>IF(OR(V138="",U138=""),"",V138+U138)</f>
        <v/>
      </c>
      <c r="X138" s="37" t="n"/>
      <c r="Y138" s="36" t="n"/>
      <c r="Z138" s="37" t="n"/>
    </row>
    <row r="139">
      <c r="A139" s="35">
        <f>IF(E139="","",ROW()-5)</f>
        <v/>
      </c>
      <c r="B139" s="36" t="n"/>
      <c r="C139" s="36" t="n"/>
      <c r="D139" s="36" t="n"/>
      <c r="E139" s="37" t="n"/>
      <c r="F139" s="37" t="n"/>
      <c r="G139" s="37" t="n"/>
      <c r="H139" s="37" t="n"/>
      <c r="I139" s="37" t="n"/>
      <c r="J139" s="36" t="n"/>
      <c r="K139" s="36" t="n"/>
      <c r="L139" s="36" t="n"/>
      <c r="M139" s="36" t="n"/>
      <c r="N139" s="38" t="n"/>
      <c r="O139" s="39">
        <f>IF(OR(N139="",J139=""),"",N139*J139)</f>
        <v/>
      </c>
      <c r="P139" s="40" t="n"/>
      <c r="Q139" s="41">
        <f>IF(OR(P139="",Y139="발주완료",Y139="취소"),"",TODAY()+P139)</f>
        <v/>
      </c>
      <c r="R139" s="35">
        <f>IF(OR(Q139="",NOT(ISNUMBER($J$2))),"",IF(Q139&lt;=$J$2,"가능","초과 "&amp;(Q139-$J$2)&amp;"일"))</f>
        <v/>
      </c>
      <c r="S139" s="36" t="n"/>
      <c r="T139" s="36" t="n"/>
      <c r="U139" s="36" t="n"/>
      <c r="V139" s="43" t="n"/>
      <c r="W139" s="41">
        <f>IF(OR(V139="",U139=""),"",V139+U139)</f>
        <v/>
      </c>
      <c r="X139" s="37" t="n"/>
      <c r="Y139" s="36" t="n"/>
      <c r="Z139" s="37" t="n"/>
    </row>
    <row r="140">
      <c r="A140" s="35">
        <f>IF(E140="","",ROW()-5)</f>
        <v/>
      </c>
      <c r="B140" s="36" t="n"/>
      <c r="C140" s="36" t="n"/>
      <c r="D140" s="36" t="n"/>
      <c r="E140" s="37" t="n"/>
      <c r="F140" s="37" t="n"/>
      <c r="G140" s="37" t="n"/>
      <c r="H140" s="37" t="n"/>
      <c r="I140" s="37" t="n"/>
      <c r="J140" s="36" t="n"/>
      <c r="K140" s="36" t="n"/>
      <c r="L140" s="36" t="n"/>
      <c r="M140" s="36" t="n"/>
      <c r="N140" s="38" t="n"/>
      <c r="O140" s="39">
        <f>IF(OR(N140="",J140=""),"",N140*J140)</f>
        <v/>
      </c>
      <c r="P140" s="40" t="n"/>
      <c r="Q140" s="41">
        <f>IF(OR(P140="",Y140="발주완료",Y140="취소"),"",TODAY()+P140)</f>
        <v/>
      </c>
      <c r="R140" s="35">
        <f>IF(OR(Q140="",NOT(ISNUMBER($J$2))),"",IF(Q140&lt;=$J$2,"가능","초과 "&amp;(Q140-$J$2)&amp;"일"))</f>
        <v/>
      </c>
      <c r="S140" s="36" t="n"/>
      <c r="T140" s="36" t="n"/>
      <c r="U140" s="36" t="n"/>
      <c r="V140" s="43" t="n"/>
      <c r="W140" s="41">
        <f>IF(OR(V140="",U140=""),"",V140+U140)</f>
        <v/>
      </c>
      <c r="X140" s="37" t="n"/>
      <c r="Y140" s="36" t="n"/>
      <c r="Z140" s="37" t="n"/>
    </row>
    <row r="141">
      <c r="A141" s="35">
        <f>IF(E141="","",ROW()-5)</f>
        <v/>
      </c>
      <c r="B141" s="36" t="n"/>
      <c r="C141" s="36" t="n"/>
      <c r="D141" s="36" t="n"/>
      <c r="E141" s="37" t="n"/>
      <c r="F141" s="37" t="n"/>
      <c r="G141" s="37" t="n"/>
      <c r="H141" s="37" t="n"/>
      <c r="I141" s="37" t="n"/>
      <c r="J141" s="36" t="n"/>
      <c r="K141" s="36" t="n"/>
      <c r="L141" s="36" t="n"/>
      <c r="M141" s="36" t="n"/>
      <c r="N141" s="38" t="n"/>
      <c r="O141" s="39">
        <f>IF(OR(N141="",J141=""),"",N141*J141)</f>
        <v/>
      </c>
      <c r="P141" s="40" t="n"/>
      <c r="Q141" s="41">
        <f>IF(OR(P141="",Y141="발주완료",Y141="취소"),"",TODAY()+P141)</f>
        <v/>
      </c>
      <c r="R141" s="35">
        <f>IF(OR(Q141="",NOT(ISNUMBER($J$2))),"",IF(Q141&lt;=$J$2,"가능","초과 "&amp;(Q141-$J$2)&amp;"일"))</f>
        <v/>
      </c>
      <c r="S141" s="36" t="n"/>
      <c r="T141" s="36" t="n"/>
      <c r="U141" s="36" t="n"/>
      <c r="V141" s="43" t="n"/>
      <c r="W141" s="41">
        <f>IF(OR(V141="",U141=""),"",V141+U141)</f>
        <v/>
      </c>
      <c r="X141" s="37" t="n"/>
      <c r="Y141" s="36" t="n"/>
      <c r="Z141" s="37" t="n"/>
    </row>
    <row r="142">
      <c r="A142" s="35">
        <f>IF(E142="","",ROW()-5)</f>
        <v/>
      </c>
      <c r="B142" s="36" t="n"/>
      <c r="C142" s="36" t="n"/>
      <c r="D142" s="36" t="n"/>
      <c r="E142" s="37" t="n"/>
      <c r="F142" s="37" t="n"/>
      <c r="G142" s="37" t="n"/>
      <c r="H142" s="37" t="n"/>
      <c r="I142" s="37" t="n"/>
      <c r="J142" s="36" t="n"/>
      <c r="K142" s="36" t="n"/>
      <c r="L142" s="36" t="n"/>
      <c r="M142" s="36" t="n"/>
      <c r="N142" s="38" t="n"/>
      <c r="O142" s="39">
        <f>IF(OR(N142="",J142=""),"",N142*J142)</f>
        <v/>
      </c>
      <c r="P142" s="40" t="n"/>
      <c r="Q142" s="41">
        <f>IF(OR(P142="",Y142="발주완료",Y142="취소"),"",TODAY()+P142)</f>
        <v/>
      </c>
      <c r="R142" s="35">
        <f>IF(OR(Q142="",NOT(ISNUMBER($J$2))),"",IF(Q142&lt;=$J$2,"가능","초과 "&amp;(Q142-$J$2)&amp;"일"))</f>
        <v/>
      </c>
      <c r="S142" s="36" t="n"/>
      <c r="T142" s="36" t="n"/>
      <c r="U142" s="36" t="n"/>
      <c r="V142" s="43" t="n"/>
      <c r="W142" s="41">
        <f>IF(OR(V142="",U142=""),"",V142+U142)</f>
        <v/>
      </c>
      <c r="X142" s="37" t="n"/>
      <c r="Y142" s="36" t="n"/>
      <c r="Z142" s="37" t="n"/>
    </row>
    <row r="143">
      <c r="A143" s="35">
        <f>IF(E143="","",ROW()-5)</f>
        <v/>
      </c>
      <c r="B143" s="36" t="n"/>
      <c r="C143" s="36" t="n"/>
      <c r="D143" s="36" t="n"/>
      <c r="E143" s="37" t="n"/>
      <c r="F143" s="37" t="n"/>
      <c r="G143" s="37" t="n"/>
      <c r="H143" s="37" t="n"/>
      <c r="I143" s="37" t="n"/>
      <c r="J143" s="36" t="n"/>
      <c r="K143" s="36" t="n"/>
      <c r="L143" s="36" t="n"/>
      <c r="M143" s="36" t="n"/>
      <c r="N143" s="38" t="n"/>
      <c r="O143" s="39">
        <f>IF(OR(N143="",J143=""),"",N143*J143)</f>
        <v/>
      </c>
      <c r="P143" s="40" t="n"/>
      <c r="Q143" s="41">
        <f>IF(OR(P143="",Y143="발주완료",Y143="취소"),"",TODAY()+P143)</f>
        <v/>
      </c>
      <c r="R143" s="35">
        <f>IF(OR(Q143="",NOT(ISNUMBER($J$2))),"",IF(Q143&lt;=$J$2,"가능","초과 "&amp;(Q143-$J$2)&amp;"일"))</f>
        <v/>
      </c>
      <c r="S143" s="36" t="n"/>
      <c r="T143" s="36" t="n"/>
      <c r="U143" s="36" t="n"/>
      <c r="V143" s="43" t="n"/>
      <c r="W143" s="41">
        <f>IF(OR(V143="",U143=""),"",V143+U143)</f>
        <v/>
      </c>
      <c r="X143" s="37" t="n"/>
      <c r="Y143" s="36" t="n"/>
      <c r="Z143" s="37" t="n"/>
    </row>
    <row r="144">
      <c r="A144" s="35">
        <f>IF(E144="","",ROW()-5)</f>
        <v/>
      </c>
      <c r="B144" s="36" t="n"/>
      <c r="C144" s="36" t="n"/>
      <c r="D144" s="36" t="n"/>
      <c r="E144" s="37" t="n"/>
      <c r="F144" s="37" t="n"/>
      <c r="G144" s="37" t="n"/>
      <c r="H144" s="37" t="n"/>
      <c r="I144" s="37" t="n"/>
      <c r="J144" s="36" t="n"/>
      <c r="K144" s="36" t="n"/>
      <c r="L144" s="36" t="n"/>
      <c r="M144" s="36" t="n"/>
      <c r="N144" s="38" t="n"/>
      <c r="O144" s="39">
        <f>IF(OR(N144="",J144=""),"",N144*J144)</f>
        <v/>
      </c>
      <c r="P144" s="40" t="n"/>
      <c r="Q144" s="41">
        <f>IF(OR(P144="",Y144="발주완료",Y144="취소"),"",TODAY()+P144)</f>
        <v/>
      </c>
      <c r="R144" s="35">
        <f>IF(OR(Q144="",NOT(ISNUMBER($J$2))),"",IF(Q144&lt;=$J$2,"가능","초과 "&amp;(Q144-$J$2)&amp;"일"))</f>
        <v/>
      </c>
      <c r="S144" s="36" t="n"/>
      <c r="T144" s="36" t="n"/>
      <c r="U144" s="36" t="n"/>
      <c r="V144" s="43" t="n"/>
      <c r="W144" s="41">
        <f>IF(OR(V144="",U144=""),"",V144+U144)</f>
        <v/>
      </c>
      <c r="X144" s="37" t="n"/>
      <c r="Y144" s="36" t="n"/>
      <c r="Z144" s="37" t="n"/>
    </row>
    <row r="145">
      <c r="A145" s="35">
        <f>IF(E145="","",ROW()-5)</f>
        <v/>
      </c>
      <c r="B145" s="36" t="n"/>
      <c r="C145" s="36" t="n"/>
      <c r="D145" s="36" t="n"/>
      <c r="E145" s="37" t="n"/>
      <c r="F145" s="37" t="n"/>
      <c r="G145" s="37" t="n"/>
      <c r="H145" s="37" t="n"/>
      <c r="I145" s="37" t="n"/>
      <c r="J145" s="36" t="n"/>
      <c r="K145" s="36" t="n"/>
      <c r="L145" s="36" t="n"/>
      <c r="M145" s="36" t="n"/>
      <c r="N145" s="38" t="n"/>
      <c r="O145" s="39">
        <f>IF(OR(N145="",J145=""),"",N145*J145)</f>
        <v/>
      </c>
      <c r="P145" s="40" t="n"/>
      <c r="Q145" s="41">
        <f>IF(OR(P145="",Y145="발주완료",Y145="취소"),"",TODAY()+P145)</f>
        <v/>
      </c>
      <c r="R145" s="35">
        <f>IF(OR(Q145="",NOT(ISNUMBER($J$2))),"",IF(Q145&lt;=$J$2,"가능","초과 "&amp;(Q145-$J$2)&amp;"일"))</f>
        <v/>
      </c>
      <c r="S145" s="36" t="n"/>
      <c r="T145" s="36" t="n"/>
      <c r="U145" s="36" t="n"/>
      <c r="V145" s="43" t="n"/>
      <c r="W145" s="41">
        <f>IF(OR(V145="",U145=""),"",V145+U145)</f>
        <v/>
      </c>
      <c r="X145" s="37" t="n"/>
      <c r="Y145" s="36" t="n"/>
      <c r="Z145" s="37" t="n"/>
    </row>
    <row r="146">
      <c r="A146" s="35">
        <f>IF(E146="","",ROW()-5)</f>
        <v/>
      </c>
      <c r="B146" s="36" t="n"/>
      <c r="C146" s="36" t="n"/>
      <c r="D146" s="36" t="n"/>
      <c r="E146" s="37" t="n"/>
      <c r="F146" s="37" t="n"/>
      <c r="G146" s="37" t="n"/>
      <c r="H146" s="37" t="n"/>
      <c r="I146" s="37" t="n"/>
      <c r="J146" s="36" t="n"/>
      <c r="K146" s="36" t="n"/>
      <c r="L146" s="36" t="n"/>
      <c r="M146" s="36" t="n"/>
      <c r="N146" s="38" t="n"/>
      <c r="O146" s="39">
        <f>IF(OR(N146="",J146=""),"",N146*J146)</f>
        <v/>
      </c>
      <c r="P146" s="40" t="n"/>
      <c r="Q146" s="41">
        <f>IF(OR(P146="",Y146="발주완료",Y146="취소"),"",TODAY()+P146)</f>
        <v/>
      </c>
      <c r="R146" s="35">
        <f>IF(OR(Q146="",NOT(ISNUMBER($J$2))),"",IF(Q146&lt;=$J$2,"가능","초과 "&amp;(Q146-$J$2)&amp;"일"))</f>
        <v/>
      </c>
      <c r="S146" s="36" t="n"/>
      <c r="T146" s="36" t="n"/>
      <c r="U146" s="36" t="n"/>
      <c r="V146" s="43" t="n"/>
      <c r="W146" s="41">
        <f>IF(OR(V146="",U146=""),"",V146+U146)</f>
        <v/>
      </c>
      <c r="X146" s="37" t="n"/>
      <c r="Y146" s="36" t="n"/>
      <c r="Z146" s="37" t="n"/>
    </row>
    <row r="147">
      <c r="A147" s="35">
        <f>IF(E147="","",ROW()-5)</f>
        <v/>
      </c>
      <c r="B147" s="36" t="n"/>
      <c r="C147" s="36" t="n"/>
      <c r="D147" s="36" t="n"/>
      <c r="E147" s="37" t="n"/>
      <c r="F147" s="37" t="n"/>
      <c r="G147" s="37" t="n"/>
      <c r="H147" s="37" t="n"/>
      <c r="I147" s="37" t="n"/>
      <c r="J147" s="36" t="n"/>
      <c r="K147" s="36" t="n"/>
      <c r="L147" s="36" t="n"/>
      <c r="M147" s="36" t="n"/>
      <c r="N147" s="38" t="n"/>
      <c r="O147" s="39">
        <f>IF(OR(N147="",J147=""),"",N147*J147)</f>
        <v/>
      </c>
      <c r="P147" s="40" t="n"/>
      <c r="Q147" s="41">
        <f>IF(OR(P147="",Y147="발주완료",Y147="취소"),"",TODAY()+P147)</f>
        <v/>
      </c>
      <c r="R147" s="35">
        <f>IF(OR(Q147="",NOT(ISNUMBER($J$2))),"",IF(Q147&lt;=$J$2,"가능","초과 "&amp;(Q147-$J$2)&amp;"일"))</f>
        <v/>
      </c>
      <c r="S147" s="36" t="n"/>
      <c r="T147" s="36" t="n"/>
      <c r="U147" s="36" t="n"/>
      <c r="V147" s="43" t="n"/>
      <c r="W147" s="41">
        <f>IF(OR(V147="",U147=""),"",V147+U147)</f>
        <v/>
      </c>
      <c r="X147" s="37" t="n"/>
      <c r="Y147" s="36" t="n"/>
      <c r="Z147" s="37" t="n"/>
    </row>
    <row r="148">
      <c r="A148" s="35">
        <f>IF(E148="","",ROW()-5)</f>
        <v/>
      </c>
      <c r="B148" s="36" t="n"/>
      <c r="C148" s="36" t="n"/>
      <c r="D148" s="36" t="n"/>
      <c r="E148" s="37" t="n"/>
      <c r="F148" s="37" t="n"/>
      <c r="G148" s="37" t="n"/>
      <c r="H148" s="37" t="n"/>
      <c r="I148" s="37" t="n"/>
      <c r="J148" s="36" t="n"/>
      <c r="K148" s="36" t="n"/>
      <c r="L148" s="36" t="n"/>
      <c r="M148" s="36" t="n"/>
      <c r="N148" s="38" t="n"/>
      <c r="O148" s="39">
        <f>IF(OR(N148="",J148=""),"",N148*J148)</f>
        <v/>
      </c>
      <c r="P148" s="40" t="n"/>
      <c r="Q148" s="41">
        <f>IF(OR(P148="",Y148="발주완료",Y148="취소"),"",TODAY()+P148)</f>
        <v/>
      </c>
      <c r="R148" s="35">
        <f>IF(OR(Q148="",NOT(ISNUMBER($J$2))),"",IF(Q148&lt;=$J$2,"가능","초과 "&amp;(Q148-$J$2)&amp;"일"))</f>
        <v/>
      </c>
      <c r="S148" s="36" t="n"/>
      <c r="T148" s="36" t="n"/>
      <c r="U148" s="36" t="n"/>
      <c r="V148" s="43" t="n"/>
      <c r="W148" s="41">
        <f>IF(OR(V148="",U148=""),"",V148+U148)</f>
        <v/>
      </c>
      <c r="X148" s="37" t="n"/>
      <c r="Y148" s="36" t="n"/>
      <c r="Z148" s="37" t="n"/>
    </row>
    <row r="149">
      <c r="A149" s="35">
        <f>IF(E149="","",ROW()-5)</f>
        <v/>
      </c>
      <c r="B149" s="36" t="n"/>
      <c r="C149" s="36" t="n"/>
      <c r="D149" s="36" t="n"/>
      <c r="E149" s="37" t="n"/>
      <c r="F149" s="37" t="n"/>
      <c r="G149" s="37" t="n"/>
      <c r="H149" s="37" t="n"/>
      <c r="I149" s="37" t="n"/>
      <c r="J149" s="36" t="n"/>
      <c r="K149" s="36" t="n"/>
      <c r="L149" s="36" t="n"/>
      <c r="M149" s="36" t="n"/>
      <c r="N149" s="38" t="n"/>
      <c r="O149" s="39">
        <f>IF(OR(N149="",J149=""),"",N149*J149)</f>
        <v/>
      </c>
      <c r="P149" s="40" t="n"/>
      <c r="Q149" s="41">
        <f>IF(OR(P149="",Y149="발주완료",Y149="취소"),"",TODAY()+P149)</f>
        <v/>
      </c>
      <c r="R149" s="35">
        <f>IF(OR(Q149="",NOT(ISNUMBER($J$2))),"",IF(Q149&lt;=$J$2,"가능","초과 "&amp;(Q149-$J$2)&amp;"일"))</f>
        <v/>
      </c>
      <c r="S149" s="36" t="n"/>
      <c r="T149" s="36" t="n"/>
      <c r="U149" s="36" t="n"/>
      <c r="V149" s="43" t="n"/>
      <c r="W149" s="41">
        <f>IF(OR(V149="",U149=""),"",V149+U149)</f>
        <v/>
      </c>
      <c r="X149" s="37" t="n"/>
      <c r="Y149" s="36" t="n"/>
      <c r="Z149" s="37" t="n"/>
    </row>
    <row r="150">
      <c r="A150" s="35">
        <f>IF(E150="","",ROW()-5)</f>
        <v/>
      </c>
      <c r="B150" s="36" t="n"/>
      <c r="C150" s="36" t="n"/>
      <c r="D150" s="36" t="n"/>
      <c r="E150" s="37" t="n"/>
      <c r="F150" s="37" t="n"/>
      <c r="G150" s="37" t="n"/>
      <c r="H150" s="37" t="n"/>
      <c r="I150" s="37" t="n"/>
      <c r="J150" s="36" t="n"/>
      <c r="K150" s="36" t="n"/>
      <c r="L150" s="36" t="n"/>
      <c r="M150" s="36" t="n"/>
      <c r="N150" s="38" t="n"/>
      <c r="O150" s="39">
        <f>IF(OR(N150="",J150=""),"",N150*J150)</f>
        <v/>
      </c>
      <c r="P150" s="40" t="n"/>
      <c r="Q150" s="41">
        <f>IF(OR(P150="",Y150="발주완료",Y150="취소"),"",TODAY()+P150)</f>
        <v/>
      </c>
      <c r="R150" s="35">
        <f>IF(OR(Q150="",NOT(ISNUMBER($J$2))),"",IF(Q150&lt;=$J$2,"가능","초과 "&amp;(Q150-$J$2)&amp;"일"))</f>
        <v/>
      </c>
      <c r="S150" s="36" t="n"/>
      <c r="T150" s="36" t="n"/>
      <c r="U150" s="36" t="n"/>
      <c r="V150" s="43" t="n"/>
      <c r="W150" s="41">
        <f>IF(OR(V150="",U150=""),"",V150+U150)</f>
        <v/>
      </c>
      <c r="X150" s="37" t="n"/>
      <c r="Y150" s="36" t="n"/>
      <c r="Z150" s="37" t="n"/>
    </row>
    <row r="151">
      <c r="A151" s="35">
        <f>IF(E151="","",ROW()-5)</f>
        <v/>
      </c>
      <c r="B151" s="36" t="n"/>
      <c r="C151" s="36" t="n"/>
      <c r="D151" s="36" t="n"/>
      <c r="E151" s="37" t="n"/>
      <c r="F151" s="37" t="n"/>
      <c r="G151" s="37" t="n"/>
      <c r="H151" s="37" t="n"/>
      <c r="I151" s="37" t="n"/>
      <c r="J151" s="36" t="n"/>
      <c r="K151" s="36" t="n"/>
      <c r="L151" s="36" t="n"/>
      <c r="M151" s="36" t="n"/>
      <c r="N151" s="38" t="n"/>
      <c r="O151" s="39">
        <f>IF(OR(N151="",J151=""),"",N151*J151)</f>
        <v/>
      </c>
      <c r="P151" s="40" t="n"/>
      <c r="Q151" s="41">
        <f>IF(OR(P151="",Y151="발주완료",Y151="취소"),"",TODAY()+P151)</f>
        <v/>
      </c>
      <c r="R151" s="35">
        <f>IF(OR(Q151="",NOT(ISNUMBER($J$2))),"",IF(Q151&lt;=$J$2,"가능","초과 "&amp;(Q151-$J$2)&amp;"일"))</f>
        <v/>
      </c>
      <c r="S151" s="36" t="n"/>
      <c r="T151" s="36" t="n"/>
      <c r="U151" s="36" t="n"/>
      <c r="V151" s="43" t="n"/>
      <c r="W151" s="41">
        <f>IF(OR(V151="",U151=""),"",V151+U151)</f>
        <v/>
      </c>
      <c r="X151" s="37" t="n"/>
      <c r="Y151" s="36" t="n"/>
      <c r="Z151" s="37" t="n"/>
    </row>
    <row r="152">
      <c r="A152" s="35">
        <f>IF(E152="","",ROW()-5)</f>
        <v/>
      </c>
      <c r="B152" s="36" t="n"/>
      <c r="C152" s="36" t="n"/>
      <c r="D152" s="36" t="n"/>
      <c r="E152" s="37" t="n"/>
      <c r="F152" s="37" t="n"/>
      <c r="G152" s="37" t="n"/>
      <c r="H152" s="37" t="n"/>
      <c r="I152" s="37" t="n"/>
      <c r="J152" s="36" t="n"/>
      <c r="K152" s="36" t="n"/>
      <c r="L152" s="36" t="n"/>
      <c r="M152" s="36" t="n"/>
      <c r="N152" s="38" t="n"/>
      <c r="O152" s="39">
        <f>IF(OR(N152="",J152=""),"",N152*J152)</f>
        <v/>
      </c>
      <c r="P152" s="40" t="n"/>
      <c r="Q152" s="41">
        <f>IF(OR(P152="",Y152="발주완료",Y152="취소"),"",TODAY()+P152)</f>
        <v/>
      </c>
      <c r="R152" s="35">
        <f>IF(OR(Q152="",NOT(ISNUMBER($J$2))),"",IF(Q152&lt;=$J$2,"가능","초과 "&amp;(Q152-$J$2)&amp;"일"))</f>
        <v/>
      </c>
      <c r="S152" s="36" t="n"/>
      <c r="T152" s="36" t="n"/>
      <c r="U152" s="36" t="n"/>
      <c r="V152" s="43" t="n"/>
      <c r="W152" s="41">
        <f>IF(OR(V152="",U152=""),"",V152+U152)</f>
        <v/>
      </c>
      <c r="X152" s="37" t="n"/>
      <c r="Y152" s="36" t="n"/>
      <c r="Z152" s="37" t="n"/>
    </row>
    <row r="153">
      <c r="A153" s="35">
        <f>IF(E153="","",ROW()-5)</f>
        <v/>
      </c>
      <c r="B153" s="36" t="n"/>
      <c r="C153" s="36" t="n"/>
      <c r="D153" s="36" t="n"/>
      <c r="E153" s="37" t="n"/>
      <c r="F153" s="37" t="n"/>
      <c r="G153" s="37" t="n"/>
      <c r="H153" s="37" t="n"/>
      <c r="I153" s="37" t="n"/>
      <c r="J153" s="36" t="n"/>
      <c r="K153" s="36" t="n"/>
      <c r="L153" s="36" t="n"/>
      <c r="M153" s="36" t="n"/>
      <c r="N153" s="38" t="n"/>
      <c r="O153" s="39">
        <f>IF(OR(N153="",J153=""),"",N153*J153)</f>
        <v/>
      </c>
      <c r="P153" s="40" t="n"/>
      <c r="Q153" s="41">
        <f>IF(OR(P153="",Y153="발주완료",Y153="취소"),"",TODAY()+P153)</f>
        <v/>
      </c>
      <c r="R153" s="35">
        <f>IF(OR(Q153="",NOT(ISNUMBER($J$2))),"",IF(Q153&lt;=$J$2,"가능","초과 "&amp;(Q153-$J$2)&amp;"일"))</f>
        <v/>
      </c>
      <c r="S153" s="36" t="n"/>
      <c r="T153" s="36" t="n"/>
      <c r="U153" s="36" t="n"/>
      <c r="V153" s="43" t="n"/>
      <c r="W153" s="41">
        <f>IF(OR(V153="",U153=""),"",V153+U153)</f>
        <v/>
      </c>
      <c r="X153" s="37" t="n"/>
      <c r="Y153" s="36" t="n"/>
      <c r="Z153" s="37" t="n"/>
    </row>
    <row r="154">
      <c r="A154" s="35">
        <f>IF(E154="","",ROW()-5)</f>
        <v/>
      </c>
      <c r="B154" s="36" t="n"/>
      <c r="C154" s="36" t="n"/>
      <c r="D154" s="36" t="n"/>
      <c r="E154" s="37" t="n"/>
      <c r="F154" s="37" t="n"/>
      <c r="G154" s="37" t="n"/>
      <c r="H154" s="37" t="n"/>
      <c r="I154" s="37" t="n"/>
      <c r="J154" s="36" t="n"/>
      <c r="K154" s="36" t="n"/>
      <c r="L154" s="36" t="n"/>
      <c r="M154" s="36" t="n"/>
      <c r="N154" s="38" t="n"/>
      <c r="O154" s="39">
        <f>IF(OR(N154="",J154=""),"",N154*J154)</f>
        <v/>
      </c>
      <c r="P154" s="40" t="n"/>
      <c r="Q154" s="41">
        <f>IF(OR(P154="",Y154="발주완료",Y154="취소"),"",TODAY()+P154)</f>
        <v/>
      </c>
      <c r="R154" s="35">
        <f>IF(OR(Q154="",NOT(ISNUMBER($J$2))),"",IF(Q154&lt;=$J$2,"가능","초과 "&amp;(Q154-$J$2)&amp;"일"))</f>
        <v/>
      </c>
      <c r="S154" s="36" t="n"/>
      <c r="T154" s="36" t="n"/>
      <c r="U154" s="36" t="n"/>
      <c r="V154" s="43" t="n"/>
      <c r="W154" s="41">
        <f>IF(OR(V154="",U154=""),"",V154+U154)</f>
        <v/>
      </c>
      <c r="X154" s="37" t="n"/>
      <c r="Y154" s="36" t="n"/>
      <c r="Z154" s="37" t="n"/>
    </row>
    <row r="155">
      <c r="A155" s="35">
        <f>IF(E155="","",ROW()-5)</f>
        <v/>
      </c>
      <c r="B155" s="36" t="n"/>
      <c r="C155" s="36" t="n"/>
      <c r="D155" s="36" t="n"/>
      <c r="E155" s="37" t="n"/>
      <c r="F155" s="37" t="n"/>
      <c r="G155" s="37" t="n"/>
      <c r="H155" s="37" t="n"/>
      <c r="I155" s="37" t="n"/>
      <c r="J155" s="36" t="n"/>
      <c r="K155" s="36" t="n"/>
      <c r="L155" s="36" t="n"/>
      <c r="M155" s="36" t="n"/>
      <c r="N155" s="38" t="n"/>
      <c r="O155" s="39">
        <f>IF(OR(N155="",J155=""),"",N155*J155)</f>
        <v/>
      </c>
      <c r="P155" s="40" t="n"/>
      <c r="Q155" s="41">
        <f>IF(OR(P155="",Y155="발주완료",Y155="취소"),"",TODAY()+P155)</f>
        <v/>
      </c>
      <c r="R155" s="35">
        <f>IF(OR(Q155="",NOT(ISNUMBER($J$2))),"",IF(Q155&lt;=$J$2,"가능","초과 "&amp;(Q155-$J$2)&amp;"일"))</f>
        <v/>
      </c>
      <c r="S155" s="36" t="n"/>
      <c r="T155" s="36" t="n"/>
      <c r="U155" s="36" t="n"/>
      <c r="V155" s="43" t="n"/>
      <c r="W155" s="41">
        <f>IF(OR(V155="",U155=""),"",V155+U155)</f>
        <v/>
      </c>
      <c r="X155" s="37" t="n"/>
      <c r="Y155" s="36" t="n"/>
      <c r="Z155" s="37" t="n"/>
    </row>
    <row r="156">
      <c r="A156" s="35">
        <f>IF(E156="","",ROW()-5)</f>
        <v/>
      </c>
      <c r="B156" s="36" t="n"/>
      <c r="C156" s="36" t="n"/>
      <c r="D156" s="36" t="n"/>
      <c r="E156" s="37" t="n"/>
      <c r="F156" s="37" t="n"/>
      <c r="G156" s="37" t="n"/>
      <c r="H156" s="37" t="n"/>
      <c r="I156" s="37" t="n"/>
      <c r="J156" s="36" t="n"/>
      <c r="K156" s="36" t="n"/>
      <c r="L156" s="36" t="n"/>
      <c r="M156" s="36" t="n"/>
      <c r="N156" s="38" t="n"/>
      <c r="O156" s="39">
        <f>IF(OR(N156="",J156=""),"",N156*J156)</f>
        <v/>
      </c>
      <c r="P156" s="40" t="n"/>
      <c r="Q156" s="41">
        <f>IF(OR(P156="",Y156="발주완료",Y156="취소"),"",TODAY()+P156)</f>
        <v/>
      </c>
      <c r="R156" s="35">
        <f>IF(OR(Q156="",NOT(ISNUMBER($J$2))),"",IF(Q156&lt;=$J$2,"가능","초과 "&amp;(Q156-$J$2)&amp;"일"))</f>
        <v/>
      </c>
      <c r="S156" s="36" t="n"/>
      <c r="T156" s="36" t="n"/>
      <c r="U156" s="36" t="n"/>
      <c r="V156" s="43" t="n"/>
      <c r="W156" s="41">
        <f>IF(OR(V156="",U156=""),"",V156+U156)</f>
        <v/>
      </c>
      <c r="X156" s="37" t="n"/>
      <c r="Y156" s="36" t="n"/>
      <c r="Z156" s="37" t="n"/>
    </row>
    <row r="157">
      <c r="A157" s="35">
        <f>IF(E157="","",ROW()-5)</f>
        <v/>
      </c>
      <c r="B157" s="36" t="n"/>
      <c r="C157" s="36" t="n"/>
      <c r="D157" s="36" t="n"/>
      <c r="E157" s="37" t="n"/>
      <c r="F157" s="37" t="n"/>
      <c r="G157" s="37" t="n"/>
      <c r="H157" s="37" t="n"/>
      <c r="I157" s="37" t="n"/>
      <c r="J157" s="36" t="n"/>
      <c r="K157" s="36" t="n"/>
      <c r="L157" s="36" t="n"/>
      <c r="M157" s="36" t="n"/>
      <c r="N157" s="38" t="n"/>
      <c r="O157" s="39">
        <f>IF(OR(N157="",J157=""),"",N157*J157)</f>
        <v/>
      </c>
      <c r="P157" s="40" t="n"/>
      <c r="Q157" s="41">
        <f>IF(OR(P157="",Y157="발주완료",Y157="취소"),"",TODAY()+P157)</f>
        <v/>
      </c>
      <c r="R157" s="35">
        <f>IF(OR(Q157="",NOT(ISNUMBER($J$2))),"",IF(Q157&lt;=$J$2,"가능","초과 "&amp;(Q157-$J$2)&amp;"일"))</f>
        <v/>
      </c>
      <c r="S157" s="36" t="n"/>
      <c r="T157" s="36" t="n"/>
      <c r="U157" s="36" t="n"/>
      <c r="V157" s="43" t="n"/>
      <c r="W157" s="41">
        <f>IF(OR(V157="",U157=""),"",V157+U157)</f>
        <v/>
      </c>
      <c r="X157" s="37" t="n"/>
      <c r="Y157" s="36" t="n"/>
      <c r="Z157" s="37" t="n"/>
    </row>
    <row r="158">
      <c r="A158" s="35">
        <f>IF(E158="","",ROW()-5)</f>
        <v/>
      </c>
      <c r="B158" s="36" t="n"/>
      <c r="C158" s="36" t="n"/>
      <c r="D158" s="36" t="n"/>
      <c r="E158" s="37" t="n"/>
      <c r="F158" s="37" t="n"/>
      <c r="G158" s="37" t="n"/>
      <c r="H158" s="37" t="n"/>
      <c r="I158" s="37" t="n"/>
      <c r="J158" s="36" t="n"/>
      <c r="K158" s="36" t="n"/>
      <c r="L158" s="36" t="n"/>
      <c r="M158" s="36" t="n"/>
      <c r="N158" s="38" t="n"/>
      <c r="O158" s="39">
        <f>IF(OR(N158="",J158=""),"",N158*J158)</f>
        <v/>
      </c>
      <c r="P158" s="40" t="n"/>
      <c r="Q158" s="41">
        <f>IF(OR(P158="",Y158="발주완료",Y158="취소"),"",TODAY()+P158)</f>
        <v/>
      </c>
      <c r="R158" s="35">
        <f>IF(OR(Q158="",NOT(ISNUMBER($J$2))),"",IF(Q158&lt;=$J$2,"가능","초과 "&amp;(Q158-$J$2)&amp;"일"))</f>
        <v/>
      </c>
      <c r="S158" s="36" t="n"/>
      <c r="T158" s="36" t="n"/>
      <c r="U158" s="36" t="n"/>
      <c r="V158" s="43" t="n"/>
      <c r="W158" s="41">
        <f>IF(OR(V158="",U158=""),"",V158+U158)</f>
        <v/>
      </c>
      <c r="X158" s="37" t="n"/>
      <c r="Y158" s="36" t="n"/>
      <c r="Z158" s="37" t="n"/>
    </row>
    <row r="159">
      <c r="A159" s="35">
        <f>IF(E159="","",ROW()-5)</f>
        <v/>
      </c>
      <c r="B159" s="36" t="n"/>
      <c r="C159" s="36" t="n"/>
      <c r="D159" s="36" t="n"/>
      <c r="E159" s="37" t="n"/>
      <c r="F159" s="37" t="n"/>
      <c r="G159" s="37" t="n"/>
      <c r="H159" s="37" t="n"/>
      <c r="I159" s="37" t="n"/>
      <c r="J159" s="36" t="n"/>
      <c r="K159" s="36" t="n"/>
      <c r="L159" s="36" t="n"/>
      <c r="M159" s="36" t="n"/>
      <c r="N159" s="38" t="n"/>
      <c r="O159" s="39">
        <f>IF(OR(N159="",J159=""),"",N159*J159)</f>
        <v/>
      </c>
      <c r="P159" s="40" t="n"/>
      <c r="Q159" s="41">
        <f>IF(OR(P159="",Y159="발주완료",Y159="취소"),"",TODAY()+P159)</f>
        <v/>
      </c>
      <c r="R159" s="35">
        <f>IF(OR(Q159="",NOT(ISNUMBER($J$2))),"",IF(Q159&lt;=$J$2,"가능","초과 "&amp;(Q159-$J$2)&amp;"일"))</f>
        <v/>
      </c>
      <c r="S159" s="36" t="n"/>
      <c r="T159" s="36" t="n"/>
      <c r="U159" s="36" t="n"/>
      <c r="V159" s="43" t="n"/>
      <c r="W159" s="41">
        <f>IF(OR(V159="",U159=""),"",V159+U159)</f>
        <v/>
      </c>
      <c r="X159" s="37" t="n"/>
      <c r="Y159" s="36" t="n"/>
      <c r="Z159" s="37" t="n"/>
    </row>
    <row r="160">
      <c r="A160" s="35">
        <f>IF(E160="","",ROW()-5)</f>
        <v/>
      </c>
      <c r="B160" s="36" t="n"/>
      <c r="C160" s="36" t="n"/>
      <c r="D160" s="36" t="n"/>
      <c r="E160" s="37" t="n"/>
      <c r="F160" s="37" t="n"/>
      <c r="G160" s="37" t="n"/>
      <c r="H160" s="37" t="n"/>
      <c r="I160" s="37" t="n"/>
      <c r="J160" s="36" t="n"/>
      <c r="K160" s="36" t="n"/>
      <c r="L160" s="36" t="n"/>
      <c r="M160" s="36" t="n"/>
      <c r="N160" s="38" t="n"/>
      <c r="O160" s="39">
        <f>IF(OR(N160="",J160=""),"",N160*J160)</f>
        <v/>
      </c>
      <c r="P160" s="40" t="n"/>
      <c r="Q160" s="41">
        <f>IF(OR(P160="",Y160="발주완료",Y160="취소"),"",TODAY()+P160)</f>
        <v/>
      </c>
      <c r="R160" s="35">
        <f>IF(OR(Q160="",NOT(ISNUMBER($J$2))),"",IF(Q160&lt;=$J$2,"가능","초과 "&amp;(Q160-$J$2)&amp;"일"))</f>
        <v/>
      </c>
      <c r="S160" s="36" t="n"/>
      <c r="T160" s="36" t="n"/>
      <c r="U160" s="36" t="n"/>
      <c r="V160" s="43" t="n"/>
      <c r="W160" s="41">
        <f>IF(OR(V160="",U160=""),"",V160+U160)</f>
        <v/>
      </c>
      <c r="X160" s="37" t="n"/>
      <c r="Y160" s="36" t="n"/>
      <c r="Z160" s="37" t="n"/>
    </row>
    <row r="161">
      <c r="A161" s="35">
        <f>IF(E161="","",ROW()-5)</f>
        <v/>
      </c>
      <c r="B161" s="36" t="n"/>
      <c r="C161" s="36" t="n"/>
      <c r="D161" s="36" t="n"/>
      <c r="E161" s="37" t="n"/>
      <c r="F161" s="37" t="n"/>
      <c r="G161" s="37" t="n"/>
      <c r="H161" s="37" t="n"/>
      <c r="I161" s="37" t="n"/>
      <c r="J161" s="36" t="n"/>
      <c r="K161" s="36" t="n"/>
      <c r="L161" s="36" t="n"/>
      <c r="M161" s="36" t="n"/>
      <c r="N161" s="38" t="n"/>
      <c r="O161" s="39">
        <f>IF(OR(N161="",J161=""),"",N161*J161)</f>
        <v/>
      </c>
      <c r="P161" s="40" t="n"/>
      <c r="Q161" s="41">
        <f>IF(OR(P161="",Y161="발주완료",Y161="취소"),"",TODAY()+P161)</f>
        <v/>
      </c>
      <c r="R161" s="35">
        <f>IF(OR(Q161="",NOT(ISNUMBER($J$2))),"",IF(Q161&lt;=$J$2,"가능","초과 "&amp;(Q161-$J$2)&amp;"일"))</f>
        <v/>
      </c>
      <c r="S161" s="36" t="n"/>
      <c r="T161" s="36" t="n"/>
      <c r="U161" s="36" t="n"/>
      <c r="V161" s="43" t="n"/>
      <c r="W161" s="41">
        <f>IF(OR(V161="",U161=""),"",V161+U161)</f>
        <v/>
      </c>
      <c r="X161" s="37" t="n"/>
      <c r="Y161" s="36" t="n"/>
      <c r="Z161" s="37" t="n"/>
    </row>
    <row r="162">
      <c r="A162" s="35">
        <f>IF(E162="","",ROW()-5)</f>
        <v/>
      </c>
      <c r="B162" s="36" t="n"/>
      <c r="C162" s="36" t="n"/>
      <c r="D162" s="36" t="n"/>
      <c r="E162" s="37" t="n"/>
      <c r="F162" s="37" t="n"/>
      <c r="G162" s="37" t="n"/>
      <c r="H162" s="37" t="n"/>
      <c r="I162" s="37" t="n"/>
      <c r="J162" s="36" t="n"/>
      <c r="K162" s="36" t="n"/>
      <c r="L162" s="36" t="n"/>
      <c r="M162" s="36" t="n"/>
      <c r="N162" s="38" t="n"/>
      <c r="O162" s="39">
        <f>IF(OR(N162="",J162=""),"",N162*J162)</f>
        <v/>
      </c>
      <c r="P162" s="40" t="n"/>
      <c r="Q162" s="41">
        <f>IF(OR(P162="",Y162="발주완료",Y162="취소"),"",TODAY()+P162)</f>
        <v/>
      </c>
      <c r="R162" s="35">
        <f>IF(OR(Q162="",NOT(ISNUMBER($J$2))),"",IF(Q162&lt;=$J$2,"가능","초과 "&amp;(Q162-$J$2)&amp;"일"))</f>
        <v/>
      </c>
      <c r="S162" s="36" t="n"/>
      <c r="T162" s="36" t="n"/>
      <c r="U162" s="36" t="n"/>
      <c r="V162" s="43" t="n"/>
      <c r="W162" s="41">
        <f>IF(OR(V162="",U162=""),"",V162+U162)</f>
        <v/>
      </c>
      <c r="X162" s="37" t="n"/>
      <c r="Y162" s="36" t="n"/>
      <c r="Z162" s="37" t="n"/>
    </row>
    <row r="163">
      <c r="A163" s="35">
        <f>IF(E163="","",ROW()-5)</f>
        <v/>
      </c>
      <c r="B163" s="36" t="n"/>
      <c r="C163" s="36" t="n"/>
      <c r="D163" s="36" t="n"/>
      <c r="E163" s="37" t="n"/>
      <c r="F163" s="37" t="n"/>
      <c r="G163" s="37" t="n"/>
      <c r="H163" s="37" t="n"/>
      <c r="I163" s="37" t="n"/>
      <c r="J163" s="36" t="n"/>
      <c r="K163" s="36" t="n"/>
      <c r="L163" s="36" t="n"/>
      <c r="M163" s="36" t="n"/>
      <c r="N163" s="38" t="n"/>
      <c r="O163" s="39">
        <f>IF(OR(N163="",J163=""),"",N163*J163)</f>
        <v/>
      </c>
      <c r="P163" s="40" t="n"/>
      <c r="Q163" s="41">
        <f>IF(OR(P163="",Y163="발주완료",Y163="취소"),"",TODAY()+P163)</f>
        <v/>
      </c>
      <c r="R163" s="35">
        <f>IF(OR(Q163="",NOT(ISNUMBER($J$2))),"",IF(Q163&lt;=$J$2,"가능","초과 "&amp;(Q163-$J$2)&amp;"일"))</f>
        <v/>
      </c>
      <c r="S163" s="36" t="n"/>
      <c r="T163" s="36" t="n"/>
      <c r="U163" s="36" t="n"/>
      <c r="V163" s="43" t="n"/>
      <c r="W163" s="41">
        <f>IF(OR(V163="",U163=""),"",V163+U163)</f>
        <v/>
      </c>
      <c r="X163" s="37" t="n"/>
      <c r="Y163" s="36" t="n"/>
      <c r="Z163" s="37" t="n"/>
    </row>
    <row r="164">
      <c r="A164" s="35">
        <f>IF(E164="","",ROW()-5)</f>
        <v/>
      </c>
      <c r="B164" s="36" t="n"/>
      <c r="C164" s="36" t="n"/>
      <c r="D164" s="36" t="n"/>
      <c r="E164" s="37" t="n"/>
      <c r="F164" s="37" t="n"/>
      <c r="G164" s="37" t="n"/>
      <c r="H164" s="37" t="n"/>
      <c r="I164" s="37" t="n"/>
      <c r="J164" s="36" t="n"/>
      <c r="K164" s="36" t="n"/>
      <c r="L164" s="36" t="n"/>
      <c r="M164" s="36" t="n"/>
      <c r="N164" s="38" t="n"/>
      <c r="O164" s="39">
        <f>IF(OR(N164="",J164=""),"",N164*J164)</f>
        <v/>
      </c>
      <c r="P164" s="40" t="n"/>
      <c r="Q164" s="41">
        <f>IF(OR(P164="",Y164="발주완료",Y164="취소"),"",TODAY()+P164)</f>
        <v/>
      </c>
      <c r="R164" s="35">
        <f>IF(OR(Q164="",NOT(ISNUMBER($J$2))),"",IF(Q164&lt;=$J$2,"가능","초과 "&amp;(Q164-$J$2)&amp;"일"))</f>
        <v/>
      </c>
      <c r="S164" s="36" t="n"/>
      <c r="T164" s="36" t="n"/>
      <c r="U164" s="36" t="n"/>
      <c r="V164" s="43" t="n"/>
      <c r="W164" s="41">
        <f>IF(OR(V164="",U164=""),"",V164+U164)</f>
        <v/>
      </c>
      <c r="X164" s="37" t="n"/>
      <c r="Y164" s="36" t="n"/>
      <c r="Z164" s="37" t="n"/>
    </row>
    <row r="165">
      <c r="A165" s="35">
        <f>IF(E165="","",ROW()-5)</f>
        <v/>
      </c>
      <c r="B165" s="36" t="n"/>
      <c r="C165" s="36" t="n"/>
      <c r="D165" s="36" t="n"/>
      <c r="E165" s="37" t="n"/>
      <c r="F165" s="37" t="n"/>
      <c r="G165" s="37" t="n"/>
      <c r="H165" s="37" t="n"/>
      <c r="I165" s="37" t="n"/>
      <c r="J165" s="36" t="n"/>
      <c r="K165" s="36" t="n"/>
      <c r="L165" s="36" t="n"/>
      <c r="M165" s="36" t="n"/>
      <c r="N165" s="38" t="n"/>
      <c r="O165" s="39">
        <f>IF(OR(N165="",J165=""),"",N165*J165)</f>
        <v/>
      </c>
      <c r="P165" s="40" t="n"/>
      <c r="Q165" s="41">
        <f>IF(OR(P165="",Y165="발주완료",Y165="취소"),"",TODAY()+P165)</f>
        <v/>
      </c>
      <c r="R165" s="35">
        <f>IF(OR(Q165="",NOT(ISNUMBER($J$2))),"",IF(Q165&lt;=$J$2,"가능","초과 "&amp;(Q165-$J$2)&amp;"일"))</f>
        <v/>
      </c>
      <c r="S165" s="36" t="n"/>
      <c r="T165" s="36" t="n"/>
      <c r="U165" s="36" t="n"/>
      <c r="V165" s="43" t="n"/>
      <c r="W165" s="41">
        <f>IF(OR(V165="",U165=""),"",V165+U165)</f>
        <v/>
      </c>
      <c r="X165" s="37" t="n"/>
      <c r="Y165" s="36" t="n"/>
      <c r="Z165" s="37" t="n"/>
    </row>
    <row r="166">
      <c r="A166" s="35">
        <f>IF(E166="","",ROW()-5)</f>
        <v/>
      </c>
      <c r="B166" s="36" t="n"/>
      <c r="C166" s="36" t="n"/>
      <c r="D166" s="36" t="n"/>
      <c r="E166" s="37" t="n"/>
      <c r="F166" s="37" t="n"/>
      <c r="G166" s="37" t="n"/>
      <c r="H166" s="37" t="n"/>
      <c r="I166" s="37" t="n"/>
      <c r="J166" s="36" t="n"/>
      <c r="K166" s="36" t="n"/>
      <c r="L166" s="36" t="n"/>
      <c r="M166" s="36" t="n"/>
      <c r="N166" s="38" t="n"/>
      <c r="O166" s="39">
        <f>IF(OR(N166="",J166=""),"",N166*J166)</f>
        <v/>
      </c>
      <c r="P166" s="40" t="n"/>
      <c r="Q166" s="41">
        <f>IF(OR(P166="",Y166="발주완료",Y166="취소"),"",TODAY()+P166)</f>
        <v/>
      </c>
      <c r="R166" s="35">
        <f>IF(OR(Q166="",NOT(ISNUMBER($J$2))),"",IF(Q166&lt;=$J$2,"가능","초과 "&amp;(Q166-$J$2)&amp;"일"))</f>
        <v/>
      </c>
      <c r="S166" s="36" t="n"/>
      <c r="T166" s="36" t="n"/>
      <c r="U166" s="36" t="n"/>
      <c r="V166" s="43" t="n"/>
      <c r="W166" s="41">
        <f>IF(OR(V166="",U166=""),"",V166+U166)</f>
        <v/>
      </c>
      <c r="X166" s="37" t="n"/>
      <c r="Y166" s="36" t="n"/>
      <c r="Z166" s="37" t="n"/>
    </row>
    <row r="167">
      <c r="A167" s="35">
        <f>IF(E167="","",ROW()-5)</f>
        <v/>
      </c>
      <c r="B167" s="36" t="n"/>
      <c r="C167" s="36" t="n"/>
      <c r="D167" s="36" t="n"/>
      <c r="E167" s="37" t="n"/>
      <c r="F167" s="37" t="n"/>
      <c r="G167" s="37" t="n"/>
      <c r="H167" s="37" t="n"/>
      <c r="I167" s="37" t="n"/>
      <c r="J167" s="36" t="n"/>
      <c r="K167" s="36" t="n"/>
      <c r="L167" s="36" t="n"/>
      <c r="M167" s="36" t="n"/>
      <c r="N167" s="38" t="n"/>
      <c r="O167" s="39">
        <f>IF(OR(N167="",J167=""),"",N167*J167)</f>
        <v/>
      </c>
      <c r="P167" s="40" t="n"/>
      <c r="Q167" s="41">
        <f>IF(OR(P167="",Y167="발주완료",Y167="취소"),"",TODAY()+P167)</f>
        <v/>
      </c>
      <c r="R167" s="35">
        <f>IF(OR(Q167="",NOT(ISNUMBER($J$2))),"",IF(Q167&lt;=$J$2,"가능","초과 "&amp;(Q167-$J$2)&amp;"일"))</f>
        <v/>
      </c>
      <c r="S167" s="36" t="n"/>
      <c r="T167" s="36" t="n"/>
      <c r="U167" s="36" t="n"/>
      <c r="V167" s="43" t="n"/>
      <c r="W167" s="41">
        <f>IF(OR(V167="",U167=""),"",V167+U167)</f>
        <v/>
      </c>
      <c r="X167" s="37" t="n"/>
      <c r="Y167" s="36" t="n"/>
      <c r="Z167" s="37" t="n"/>
    </row>
    <row r="168">
      <c r="A168" s="35">
        <f>IF(E168="","",ROW()-5)</f>
        <v/>
      </c>
      <c r="B168" s="36" t="n"/>
      <c r="C168" s="36" t="n"/>
      <c r="D168" s="36" t="n"/>
      <c r="E168" s="37" t="n"/>
      <c r="F168" s="37" t="n"/>
      <c r="G168" s="37" t="n"/>
      <c r="H168" s="37" t="n"/>
      <c r="I168" s="37" t="n"/>
      <c r="J168" s="36" t="n"/>
      <c r="K168" s="36" t="n"/>
      <c r="L168" s="36" t="n"/>
      <c r="M168" s="36" t="n"/>
      <c r="N168" s="38" t="n"/>
      <c r="O168" s="39">
        <f>IF(OR(N168="",J168=""),"",N168*J168)</f>
        <v/>
      </c>
      <c r="P168" s="40" t="n"/>
      <c r="Q168" s="41">
        <f>IF(OR(P168="",Y168="발주완료",Y168="취소"),"",TODAY()+P168)</f>
        <v/>
      </c>
      <c r="R168" s="35">
        <f>IF(OR(Q168="",NOT(ISNUMBER($J$2))),"",IF(Q168&lt;=$J$2,"가능","초과 "&amp;(Q168-$J$2)&amp;"일"))</f>
        <v/>
      </c>
      <c r="S168" s="36" t="n"/>
      <c r="T168" s="36" t="n"/>
      <c r="U168" s="36" t="n"/>
      <c r="V168" s="43" t="n"/>
      <c r="W168" s="41">
        <f>IF(OR(V168="",U168=""),"",V168+U168)</f>
        <v/>
      </c>
      <c r="X168" s="37" t="n"/>
      <c r="Y168" s="36" t="n"/>
      <c r="Z168" s="37" t="n"/>
    </row>
    <row r="169">
      <c r="A169" s="35">
        <f>IF(E169="","",ROW()-5)</f>
        <v/>
      </c>
      <c r="B169" s="36" t="n"/>
      <c r="C169" s="36" t="n"/>
      <c r="D169" s="36" t="n"/>
      <c r="E169" s="37" t="n"/>
      <c r="F169" s="37" t="n"/>
      <c r="G169" s="37" t="n"/>
      <c r="H169" s="37" t="n"/>
      <c r="I169" s="37" t="n"/>
      <c r="J169" s="36" t="n"/>
      <c r="K169" s="36" t="n"/>
      <c r="L169" s="36" t="n"/>
      <c r="M169" s="36" t="n"/>
      <c r="N169" s="38" t="n"/>
      <c r="O169" s="39">
        <f>IF(OR(N169="",J169=""),"",N169*J169)</f>
        <v/>
      </c>
      <c r="P169" s="40" t="n"/>
      <c r="Q169" s="41">
        <f>IF(OR(P169="",Y169="발주완료",Y169="취소"),"",TODAY()+P169)</f>
        <v/>
      </c>
      <c r="R169" s="35">
        <f>IF(OR(Q169="",NOT(ISNUMBER($J$2))),"",IF(Q169&lt;=$J$2,"가능","초과 "&amp;(Q169-$J$2)&amp;"일"))</f>
        <v/>
      </c>
      <c r="S169" s="36" t="n"/>
      <c r="T169" s="36" t="n"/>
      <c r="U169" s="36" t="n"/>
      <c r="V169" s="43" t="n"/>
      <c r="W169" s="41">
        <f>IF(OR(V169="",U169=""),"",V169+U169)</f>
        <v/>
      </c>
      <c r="X169" s="37" t="n"/>
      <c r="Y169" s="36" t="n"/>
      <c r="Z169" s="37" t="n"/>
    </row>
    <row r="170">
      <c r="A170" s="35">
        <f>IF(E170="","",ROW()-5)</f>
        <v/>
      </c>
      <c r="B170" s="36" t="n"/>
      <c r="C170" s="36" t="n"/>
      <c r="D170" s="36" t="n"/>
      <c r="E170" s="37" t="n"/>
      <c r="F170" s="37" t="n"/>
      <c r="G170" s="37" t="n"/>
      <c r="H170" s="37" t="n"/>
      <c r="I170" s="37" t="n"/>
      <c r="J170" s="36" t="n"/>
      <c r="K170" s="36" t="n"/>
      <c r="L170" s="36" t="n"/>
      <c r="M170" s="36" t="n"/>
      <c r="N170" s="38" t="n"/>
      <c r="O170" s="39">
        <f>IF(OR(N170="",J170=""),"",N170*J170)</f>
        <v/>
      </c>
      <c r="P170" s="40" t="n"/>
      <c r="Q170" s="41">
        <f>IF(OR(P170="",Y170="발주완료",Y170="취소"),"",TODAY()+P170)</f>
        <v/>
      </c>
      <c r="R170" s="35">
        <f>IF(OR(Q170="",NOT(ISNUMBER($J$2))),"",IF(Q170&lt;=$J$2,"가능","초과 "&amp;(Q170-$J$2)&amp;"일"))</f>
        <v/>
      </c>
      <c r="S170" s="36" t="n"/>
      <c r="T170" s="36" t="n"/>
      <c r="U170" s="36" t="n"/>
      <c r="V170" s="43" t="n"/>
      <c r="W170" s="41">
        <f>IF(OR(V170="",U170=""),"",V170+U170)</f>
        <v/>
      </c>
      <c r="X170" s="37" t="n"/>
      <c r="Y170" s="36" t="n"/>
      <c r="Z170" s="37" t="n"/>
    </row>
    <row r="171">
      <c r="A171" s="35">
        <f>IF(E171="","",ROW()-5)</f>
        <v/>
      </c>
      <c r="B171" s="36" t="n"/>
      <c r="C171" s="36" t="n"/>
      <c r="D171" s="36" t="n"/>
      <c r="E171" s="37" t="n"/>
      <c r="F171" s="37" t="n"/>
      <c r="G171" s="37" t="n"/>
      <c r="H171" s="37" t="n"/>
      <c r="I171" s="37" t="n"/>
      <c r="J171" s="36" t="n"/>
      <c r="K171" s="36" t="n"/>
      <c r="L171" s="36" t="n"/>
      <c r="M171" s="36" t="n"/>
      <c r="N171" s="38" t="n"/>
      <c r="O171" s="39">
        <f>IF(OR(N171="",J171=""),"",N171*J171)</f>
        <v/>
      </c>
      <c r="P171" s="40" t="n"/>
      <c r="Q171" s="41">
        <f>IF(OR(P171="",Y171="발주완료",Y171="취소"),"",TODAY()+P171)</f>
        <v/>
      </c>
      <c r="R171" s="35">
        <f>IF(OR(Q171="",NOT(ISNUMBER($J$2))),"",IF(Q171&lt;=$J$2,"가능","초과 "&amp;(Q171-$J$2)&amp;"일"))</f>
        <v/>
      </c>
      <c r="S171" s="36" t="n"/>
      <c r="T171" s="36" t="n"/>
      <c r="U171" s="36" t="n"/>
      <c r="V171" s="43" t="n"/>
      <c r="W171" s="41">
        <f>IF(OR(V171="",U171=""),"",V171+U171)</f>
        <v/>
      </c>
      <c r="X171" s="37" t="n"/>
      <c r="Y171" s="36" t="n"/>
      <c r="Z171" s="37" t="n"/>
    </row>
    <row r="172">
      <c r="A172" s="35">
        <f>IF(E172="","",ROW()-5)</f>
        <v/>
      </c>
      <c r="B172" s="36" t="n"/>
      <c r="C172" s="36" t="n"/>
      <c r="D172" s="36" t="n"/>
      <c r="E172" s="37" t="n"/>
      <c r="F172" s="37" t="n"/>
      <c r="G172" s="37" t="n"/>
      <c r="H172" s="37" t="n"/>
      <c r="I172" s="37" t="n"/>
      <c r="J172" s="36" t="n"/>
      <c r="K172" s="36" t="n"/>
      <c r="L172" s="36" t="n"/>
      <c r="M172" s="36" t="n"/>
      <c r="N172" s="38" t="n"/>
      <c r="O172" s="39">
        <f>IF(OR(N172="",J172=""),"",N172*J172)</f>
        <v/>
      </c>
      <c r="P172" s="40" t="n"/>
      <c r="Q172" s="41">
        <f>IF(OR(P172="",Y172="발주완료",Y172="취소"),"",TODAY()+P172)</f>
        <v/>
      </c>
      <c r="R172" s="35">
        <f>IF(OR(Q172="",NOT(ISNUMBER($J$2))),"",IF(Q172&lt;=$J$2,"가능","초과 "&amp;(Q172-$J$2)&amp;"일"))</f>
        <v/>
      </c>
      <c r="S172" s="36" t="n"/>
      <c r="T172" s="36" t="n"/>
      <c r="U172" s="36" t="n"/>
      <c r="V172" s="43" t="n"/>
      <c r="W172" s="41">
        <f>IF(OR(V172="",U172=""),"",V172+U172)</f>
        <v/>
      </c>
      <c r="X172" s="37" t="n"/>
      <c r="Y172" s="36" t="n"/>
      <c r="Z172" s="37" t="n"/>
    </row>
    <row r="173">
      <c r="A173" s="35">
        <f>IF(E173="","",ROW()-5)</f>
        <v/>
      </c>
      <c r="B173" s="36" t="n"/>
      <c r="C173" s="36" t="n"/>
      <c r="D173" s="36" t="n"/>
      <c r="E173" s="37" t="n"/>
      <c r="F173" s="37" t="n"/>
      <c r="G173" s="37" t="n"/>
      <c r="H173" s="37" t="n"/>
      <c r="I173" s="37" t="n"/>
      <c r="J173" s="36" t="n"/>
      <c r="K173" s="36" t="n"/>
      <c r="L173" s="36" t="n"/>
      <c r="M173" s="36" t="n"/>
      <c r="N173" s="38" t="n"/>
      <c r="O173" s="39">
        <f>IF(OR(N173="",J173=""),"",N173*J173)</f>
        <v/>
      </c>
      <c r="P173" s="40" t="n"/>
      <c r="Q173" s="41">
        <f>IF(OR(P173="",Y173="발주완료",Y173="취소"),"",TODAY()+P173)</f>
        <v/>
      </c>
      <c r="R173" s="35">
        <f>IF(OR(Q173="",NOT(ISNUMBER($J$2))),"",IF(Q173&lt;=$J$2,"가능","초과 "&amp;(Q173-$J$2)&amp;"일"))</f>
        <v/>
      </c>
      <c r="S173" s="36" t="n"/>
      <c r="T173" s="36" t="n"/>
      <c r="U173" s="36" t="n"/>
      <c r="V173" s="43" t="n"/>
      <c r="W173" s="41">
        <f>IF(OR(V173="",U173=""),"",V173+U173)</f>
        <v/>
      </c>
      <c r="X173" s="37" t="n"/>
      <c r="Y173" s="36" t="n"/>
      <c r="Z173" s="37" t="n"/>
    </row>
    <row r="174">
      <c r="A174" s="35">
        <f>IF(E174="","",ROW()-5)</f>
        <v/>
      </c>
      <c r="B174" s="36" t="n"/>
      <c r="C174" s="36" t="n"/>
      <c r="D174" s="36" t="n"/>
      <c r="E174" s="37" t="n"/>
      <c r="F174" s="37" t="n"/>
      <c r="G174" s="37" t="n"/>
      <c r="H174" s="37" t="n"/>
      <c r="I174" s="37" t="n"/>
      <c r="J174" s="36" t="n"/>
      <c r="K174" s="36" t="n"/>
      <c r="L174" s="36" t="n"/>
      <c r="M174" s="36" t="n"/>
      <c r="N174" s="38" t="n"/>
      <c r="O174" s="39">
        <f>IF(OR(N174="",J174=""),"",N174*J174)</f>
        <v/>
      </c>
      <c r="P174" s="40" t="n"/>
      <c r="Q174" s="41">
        <f>IF(OR(P174="",Y174="발주완료",Y174="취소"),"",TODAY()+P174)</f>
        <v/>
      </c>
      <c r="R174" s="35">
        <f>IF(OR(Q174="",NOT(ISNUMBER($J$2))),"",IF(Q174&lt;=$J$2,"가능","초과 "&amp;(Q174-$J$2)&amp;"일"))</f>
        <v/>
      </c>
      <c r="S174" s="36" t="n"/>
      <c r="T174" s="36" t="n"/>
      <c r="U174" s="36" t="n"/>
      <c r="V174" s="43" t="n"/>
      <c r="W174" s="41">
        <f>IF(OR(V174="",U174=""),"",V174+U174)</f>
        <v/>
      </c>
      <c r="X174" s="37" t="n"/>
      <c r="Y174" s="36" t="n"/>
      <c r="Z174" s="37" t="n"/>
    </row>
    <row r="175">
      <c r="A175" s="35">
        <f>IF(E175="","",ROW()-5)</f>
        <v/>
      </c>
      <c r="B175" s="36" t="n"/>
      <c r="C175" s="36" t="n"/>
      <c r="D175" s="36" t="n"/>
      <c r="E175" s="37" t="n"/>
      <c r="F175" s="37" t="n"/>
      <c r="G175" s="37" t="n"/>
      <c r="H175" s="37" t="n"/>
      <c r="I175" s="37" t="n"/>
      <c r="J175" s="36" t="n"/>
      <c r="K175" s="36" t="n"/>
      <c r="L175" s="36" t="n"/>
      <c r="M175" s="36" t="n"/>
      <c r="N175" s="38" t="n"/>
      <c r="O175" s="39">
        <f>IF(OR(N175="",J175=""),"",N175*J175)</f>
        <v/>
      </c>
      <c r="P175" s="40" t="n"/>
      <c r="Q175" s="41">
        <f>IF(OR(P175="",Y175="발주완료",Y175="취소"),"",TODAY()+P175)</f>
        <v/>
      </c>
      <c r="R175" s="35">
        <f>IF(OR(Q175="",NOT(ISNUMBER($J$2))),"",IF(Q175&lt;=$J$2,"가능","초과 "&amp;(Q175-$J$2)&amp;"일"))</f>
        <v/>
      </c>
      <c r="S175" s="36" t="n"/>
      <c r="T175" s="36" t="n"/>
      <c r="U175" s="36" t="n"/>
      <c r="V175" s="43" t="n"/>
      <c r="W175" s="41">
        <f>IF(OR(V175="",U175=""),"",V175+U175)</f>
        <v/>
      </c>
      <c r="X175" s="37" t="n"/>
      <c r="Y175" s="36" t="n"/>
      <c r="Z175" s="37" t="n"/>
    </row>
    <row r="176">
      <c r="A176" s="35">
        <f>IF(E176="","",ROW()-5)</f>
        <v/>
      </c>
      <c r="B176" s="36" t="n"/>
      <c r="C176" s="36" t="n"/>
      <c r="D176" s="36" t="n"/>
      <c r="E176" s="37" t="n"/>
      <c r="F176" s="37" t="n"/>
      <c r="G176" s="37" t="n"/>
      <c r="H176" s="37" t="n"/>
      <c r="I176" s="37" t="n"/>
      <c r="J176" s="36" t="n"/>
      <c r="K176" s="36" t="n"/>
      <c r="L176" s="36" t="n"/>
      <c r="M176" s="36" t="n"/>
      <c r="N176" s="38" t="n"/>
      <c r="O176" s="39">
        <f>IF(OR(N176="",J176=""),"",N176*J176)</f>
        <v/>
      </c>
      <c r="P176" s="40" t="n"/>
      <c r="Q176" s="41">
        <f>IF(OR(P176="",Y176="발주완료",Y176="취소"),"",TODAY()+P176)</f>
        <v/>
      </c>
      <c r="R176" s="35">
        <f>IF(OR(Q176="",NOT(ISNUMBER($J$2))),"",IF(Q176&lt;=$J$2,"가능","초과 "&amp;(Q176-$J$2)&amp;"일"))</f>
        <v/>
      </c>
      <c r="S176" s="36" t="n"/>
      <c r="T176" s="36" t="n"/>
      <c r="U176" s="36" t="n"/>
      <c r="V176" s="43" t="n"/>
      <c r="W176" s="41">
        <f>IF(OR(V176="",U176=""),"",V176+U176)</f>
        <v/>
      </c>
      <c r="X176" s="37" t="n"/>
      <c r="Y176" s="36" t="n"/>
      <c r="Z176" s="37" t="n"/>
    </row>
    <row r="177">
      <c r="A177" s="35">
        <f>IF(E177="","",ROW()-5)</f>
        <v/>
      </c>
      <c r="B177" s="36" t="n"/>
      <c r="C177" s="36" t="n"/>
      <c r="D177" s="36" t="n"/>
      <c r="E177" s="37" t="n"/>
      <c r="F177" s="37" t="n"/>
      <c r="G177" s="37" t="n"/>
      <c r="H177" s="37" t="n"/>
      <c r="I177" s="37" t="n"/>
      <c r="J177" s="36" t="n"/>
      <c r="K177" s="36" t="n"/>
      <c r="L177" s="36" t="n"/>
      <c r="M177" s="36" t="n"/>
      <c r="N177" s="38" t="n"/>
      <c r="O177" s="39">
        <f>IF(OR(N177="",J177=""),"",N177*J177)</f>
        <v/>
      </c>
      <c r="P177" s="40" t="n"/>
      <c r="Q177" s="41">
        <f>IF(OR(P177="",Y177="발주완료",Y177="취소"),"",TODAY()+P177)</f>
        <v/>
      </c>
      <c r="R177" s="35">
        <f>IF(OR(Q177="",NOT(ISNUMBER($J$2))),"",IF(Q177&lt;=$J$2,"가능","초과 "&amp;(Q177-$J$2)&amp;"일"))</f>
        <v/>
      </c>
      <c r="S177" s="36" t="n"/>
      <c r="T177" s="36" t="n"/>
      <c r="U177" s="36" t="n"/>
      <c r="V177" s="43" t="n"/>
      <c r="W177" s="41">
        <f>IF(OR(V177="",U177=""),"",V177+U177)</f>
        <v/>
      </c>
      <c r="X177" s="37" t="n"/>
      <c r="Y177" s="36" t="n"/>
      <c r="Z177" s="37" t="n"/>
    </row>
    <row r="178">
      <c r="A178" s="35">
        <f>IF(E178="","",ROW()-5)</f>
        <v/>
      </c>
      <c r="B178" s="36" t="n"/>
      <c r="C178" s="36" t="n"/>
      <c r="D178" s="36" t="n"/>
      <c r="E178" s="37" t="n"/>
      <c r="F178" s="37" t="n"/>
      <c r="G178" s="37" t="n"/>
      <c r="H178" s="37" t="n"/>
      <c r="I178" s="37" t="n"/>
      <c r="J178" s="36" t="n"/>
      <c r="K178" s="36" t="n"/>
      <c r="L178" s="36" t="n"/>
      <c r="M178" s="36" t="n"/>
      <c r="N178" s="38" t="n"/>
      <c r="O178" s="39">
        <f>IF(OR(N178="",J178=""),"",N178*J178)</f>
        <v/>
      </c>
      <c r="P178" s="40" t="n"/>
      <c r="Q178" s="41">
        <f>IF(OR(P178="",Y178="발주완료",Y178="취소"),"",TODAY()+P178)</f>
        <v/>
      </c>
      <c r="R178" s="35">
        <f>IF(OR(Q178="",NOT(ISNUMBER($J$2))),"",IF(Q178&lt;=$J$2,"가능","초과 "&amp;(Q178-$J$2)&amp;"일"))</f>
        <v/>
      </c>
      <c r="S178" s="36" t="n"/>
      <c r="T178" s="36" t="n"/>
      <c r="U178" s="36" t="n"/>
      <c r="V178" s="43" t="n"/>
      <c r="W178" s="41">
        <f>IF(OR(V178="",U178=""),"",V178+U178)</f>
        <v/>
      </c>
      <c r="X178" s="37" t="n"/>
      <c r="Y178" s="36" t="n"/>
      <c r="Z178" s="37" t="n"/>
    </row>
    <row r="179">
      <c r="A179" s="35">
        <f>IF(E179="","",ROW()-5)</f>
        <v/>
      </c>
      <c r="B179" s="36" t="n"/>
      <c r="C179" s="36" t="n"/>
      <c r="D179" s="36" t="n"/>
      <c r="E179" s="37" t="n"/>
      <c r="F179" s="37" t="n"/>
      <c r="G179" s="37" t="n"/>
      <c r="H179" s="37" t="n"/>
      <c r="I179" s="37" t="n"/>
      <c r="J179" s="36" t="n"/>
      <c r="K179" s="36" t="n"/>
      <c r="L179" s="36" t="n"/>
      <c r="M179" s="36" t="n"/>
      <c r="N179" s="38" t="n"/>
      <c r="O179" s="39">
        <f>IF(OR(N179="",J179=""),"",N179*J179)</f>
        <v/>
      </c>
      <c r="P179" s="40" t="n"/>
      <c r="Q179" s="41">
        <f>IF(OR(P179="",Y179="발주완료",Y179="취소"),"",TODAY()+P179)</f>
        <v/>
      </c>
      <c r="R179" s="35">
        <f>IF(OR(Q179="",NOT(ISNUMBER($J$2))),"",IF(Q179&lt;=$J$2,"가능","초과 "&amp;(Q179-$J$2)&amp;"일"))</f>
        <v/>
      </c>
      <c r="S179" s="36" t="n"/>
      <c r="T179" s="36" t="n"/>
      <c r="U179" s="36" t="n"/>
      <c r="V179" s="43" t="n"/>
      <c r="W179" s="41">
        <f>IF(OR(V179="",U179=""),"",V179+U179)</f>
        <v/>
      </c>
      <c r="X179" s="37" t="n"/>
      <c r="Y179" s="36" t="n"/>
      <c r="Z179" s="37" t="n"/>
    </row>
    <row r="180">
      <c r="A180" s="35">
        <f>IF(E180="","",ROW()-5)</f>
        <v/>
      </c>
      <c r="B180" s="36" t="n"/>
      <c r="C180" s="36" t="n"/>
      <c r="D180" s="36" t="n"/>
      <c r="E180" s="37" t="n"/>
      <c r="F180" s="37" t="n"/>
      <c r="G180" s="37" t="n"/>
      <c r="H180" s="37" t="n"/>
      <c r="I180" s="37" t="n"/>
      <c r="J180" s="36" t="n"/>
      <c r="K180" s="36" t="n"/>
      <c r="L180" s="36" t="n"/>
      <c r="M180" s="36" t="n"/>
      <c r="N180" s="38" t="n"/>
      <c r="O180" s="39">
        <f>IF(OR(N180="",J180=""),"",N180*J180)</f>
        <v/>
      </c>
      <c r="P180" s="40" t="n"/>
      <c r="Q180" s="41">
        <f>IF(OR(P180="",Y180="발주완료",Y180="취소"),"",TODAY()+P180)</f>
        <v/>
      </c>
      <c r="R180" s="35">
        <f>IF(OR(Q180="",NOT(ISNUMBER($J$2))),"",IF(Q180&lt;=$J$2,"가능","초과 "&amp;(Q180-$J$2)&amp;"일"))</f>
        <v/>
      </c>
      <c r="S180" s="36" t="n"/>
      <c r="T180" s="36" t="n"/>
      <c r="U180" s="36" t="n"/>
      <c r="V180" s="43" t="n"/>
      <c r="W180" s="41">
        <f>IF(OR(V180="",U180=""),"",V180+U180)</f>
        <v/>
      </c>
      <c r="X180" s="37" t="n"/>
      <c r="Y180" s="36" t="n"/>
      <c r="Z180" s="37" t="n"/>
    </row>
    <row r="181">
      <c r="A181" s="35">
        <f>IF(E181="","",ROW()-5)</f>
        <v/>
      </c>
      <c r="B181" s="36" t="n"/>
      <c r="C181" s="36" t="n"/>
      <c r="D181" s="36" t="n"/>
      <c r="E181" s="37" t="n"/>
      <c r="F181" s="37" t="n"/>
      <c r="G181" s="37" t="n"/>
      <c r="H181" s="37" t="n"/>
      <c r="I181" s="37" t="n"/>
      <c r="J181" s="36" t="n"/>
      <c r="K181" s="36" t="n"/>
      <c r="L181" s="36" t="n"/>
      <c r="M181" s="36" t="n"/>
      <c r="N181" s="38" t="n"/>
      <c r="O181" s="39">
        <f>IF(OR(N181="",J181=""),"",N181*J181)</f>
        <v/>
      </c>
      <c r="P181" s="40" t="n"/>
      <c r="Q181" s="41">
        <f>IF(OR(P181="",Y181="발주완료",Y181="취소"),"",TODAY()+P181)</f>
        <v/>
      </c>
      <c r="R181" s="35">
        <f>IF(OR(Q181="",NOT(ISNUMBER($J$2))),"",IF(Q181&lt;=$J$2,"가능","초과 "&amp;(Q181-$J$2)&amp;"일"))</f>
        <v/>
      </c>
      <c r="S181" s="36" t="n"/>
      <c r="T181" s="36" t="n"/>
      <c r="U181" s="36" t="n"/>
      <c r="V181" s="43" t="n"/>
      <c r="W181" s="41">
        <f>IF(OR(V181="",U181=""),"",V181+U181)</f>
        <v/>
      </c>
      <c r="X181" s="37" t="n"/>
      <c r="Y181" s="36" t="n"/>
      <c r="Z181" s="37" t="n"/>
    </row>
    <row r="182">
      <c r="A182" s="35">
        <f>IF(E182="","",ROW()-5)</f>
        <v/>
      </c>
      <c r="B182" s="36" t="n"/>
      <c r="C182" s="36" t="n"/>
      <c r="D182" s="36" t="n"/>
      <c r="E182" s="37" t="n"/>
      <c r="F182" s="37" t="n"/>
      <c r="G182" s="37" t="n"/>
      <c r="H182" s="37" t="n"/>
      <c r="I182" s="37" t="n"/>
      <c r="J182" s="36" t="n"/>
      <c r="K182" s="36" t="n"/>
      <c r="L182" s="36" t="n"/>
      <c r="M182" s="36" t="n"/>
      <c r="N182" s="38" t="n"/>
      <c r="O182" s="39">
        <f>IF(OR(N182="",J182=""),"",N182*J182)</f>
        <v/>
      </c>
      <c r="P182" s="40" t="n"/>
      <c r="Q182" s="41">
        <f>IF(OR(P182="",Y182="발주완료",Y182="취소"),"",TODAY()+P182)</f>
        <v/>
      </c>
      <c r="R182" s="35">
        <f>IF(OR(Q182="",NOT(ISNUMBER($J$2))),"",IF(Q182&lt;=$J$2,"가능","초과 "&amp;(Q182-$J$2)&amp;"일"))</f>
        <v/>
      </c>
      <c r="S182" s="36" t="n"/>
      <c r="T182" s="36" t="n"/>
      <c r="U182" s="36" t="n"/>
      <c r="V182" s="43" t="n"/>
      <c r="W182" s="41">
        <f>IF(OR(V182="",U182=""),"",V182+U182)</f>
        <v/>
      </c>
      <c r="X182" s="37" t="n"/>
      <c r="Y182" s="36" t="n"/>
      <c r="Z182" s="37" t="n"/>
    </row>
    <row r="183">
      <c r="A183" s="35">
        <f>IF(E183="","",ROW()-5)</f>
        <v/>
      </c>
      <c r="B183" s="36" t="n"/>
      <c r="C183" s="36" t="n"/>
      <c r="D183" s="36" t="n"/>
      <c r="E183" s="37" t="n"/>
      <c r="F183" s="37" t="n"/>
      <c r="G183" s="37" t="n"/>
      <c r="H183" s="37" t="n"/>
      <c r="I183" s="37" t="n"/>
      <c r="J183" s="36" t="n"/>
      <c r="K183" s="36" t="n"/>
      <c r="L183" s="36" t="n"/>
      <c r="M183" s="36" t="n"/>
      <c r="N183" s="38" t="n"/>
      <c r="O183" s="39">
        <f>IF(OR(N183="",J183=""),"",N183*J183)</f>
        <v/>
      </c>
      <c r="P183" s="40" t="n"/>
      <c r="Q183" s="41">
        <f>IF(OR(P183="",Y183="발주완료",Y183="취소"),"",TODAY()+P183)</f>
        <v/>
      </c>
      <c r="R183" s="35">
        <f>IF(OR(Q183="",NOT(ISNUMBER($J$2))),"",IF(Q183&lt;=$J$2,"가능","초과 "&amp;(Q183-$J$2)&amp;"일"))</f>
        <v/>
      </c>
      <c r="S183" s="36" t="n"/>
      <c r="T183" s="36" t="n"/>
      <c r="U183" s="36" t="n"/>
      <c r="V183" s="43" t="n"/>
      <c r="W183" s="41">
        <f>IF(OR(V183="",U183=""),"",V183+U183)</f>
        <v/>
      </c>
      <c r="X183" s="37" t="n"/>
      <c r="Y183" s="36" t="n"/>
      <c r="Z183" s="37" t="n"/>
    </row>
    <row r="184">
      <c r="A184" s="35">
        <f>IF(E184="","",ROW()-5)</f>
        <v/>
      </c>
      <c r="B184" s="36" t="n"/>
      <c r="C184" s="36" t="n"/>
      <c r="D184" s="36" t="n"/>
      <c r="E184" s="37" t="n"/>
      <c r="F184" s="37" t="n"/>
      <c r="G184" s="37" t="n"/>
      <c r="H184" s="37" t="n"/>
      <c r="I184" s="37" t="n"/>
      <c r="J184" s="36" t="n"/>
      <c r="K184" s="36" t="n"/>
      <c r="L184" s="36" t="n"/>
      <c r="M184" s="36" t="n"/>
      <c r="N184" s="38" t="n"/>
      <c r="O184" s="39">
        <f>IF(OR(N184="",J184=""),"",N184*J184)</f>
        <v/>
      </c>
      <c r="P184" s="40" t="n"/>
      <c r="Q184" s="41">
        <f>IF(OR(P184="",Y184="발주완료",Y184="취소"),"",TODAY()+P184)</f>
        <v/>
      </c>
      <c r="R184" s="35">
        <f>IF(OR(Q184="",NOT(ISNUMBER($J$2))),"",IF(Q184&lt;=$J$2,"가능","초과 "&amp;(Q184-$J$2)&amp;"일"))</f>
        <v/>
      </c>
      <c r="S184" s="36" t="n"/>
      <c r="T184" s="36" t="n"/>
      <c r="U184" s="36" t="n"/>
      <c r="V184" s="43" t="n"/>
      <c r="W184" s="41">
        <f>IF(OR(V184="",U184=""),"",V184+U184)</f>
        <v/>
      </c>
      <c r="X184" s="37" t="n"/>
      <c r="Y184" s="36" t="n"/>
      <c r="Z184" s="37" t="n"/>
    </row>
    <row r="185">
      <c r="A185" s="35">
        <f>IF(E185="","",ROW()-5)</f>
        <v/>
      </c>
      <c r="B185" s="36" t="n"/>
      <c r="C185" s="36" t="n"/>
      <c r="D185" s="36" t="n"/>
      <c r="E185" s="37" t="n"/>
      <c r="F185" s="37" t="n"/>
      <c r="G185" s="37" t="n"/>
      <c r="H185" s="37" t="n"/>
      <c r="I185" s="37" t="n"/>
      <c r="J185" s="36" t="n"/>
      <c r="K185" s="36" t="n"/>
      <c r="L185" s="36" t="n"/>
      <c r="M185" s="36" t="n"/>
      <c r="N185" s="38" t="n"/>
      <c r="O185" s="39">
        <f>IF(OR(N185="",J185=""),"",N185*J185)</f>
        <v/>
      </c>
      <c r="P185" s="40" t="n"/>
      <c r="Q185" s="41">
        <f>IF(OR(P185="",Y185="발주완료",Y185="취소"),"",TODAY()+P185)</f>
        <v/>
      </c>
      <c r="R185" s="35">
        <f>IF(OR(Q185="",NOT(ISNUMBER($J$2))),"",IF(Q185&lt;=$J$2,"가능","초과 "&amp;(Q185-$J$2)&amp;"일"))</f>
        <v/>
      </c>
      <c r="S185" s="36" t="n"/>
      <c r="T185" s="36" t="n"/>
      <c r="U185" s="36" t="n"/>
      <c r="V185" s="43" t="n"/>
      <c r="W185" s="41">
        <f>IF(OR(V185="",U185=""),"",V185+U185)</f>
        <v/>
      </c>
      <c r="X185" s="37" t="n"/>
      <c r="Y185" s="36" t="n"/>
      <c r="Z185" s="37" t="n"/>
    </row>
    <row r="186">
      <c r="A186" s="35">
        <f>IF(E186="","",ROW()-5)</f>
        <v/>
      </c>
      <c r="B186" s="36" t="n"/>
      <c r="C186" s="36" t="n"/>
      <c r="D186" s="36" t="n"/>
      <c r="E186" s="37" t="n"/>
      <c r="F186" s="37" t="n"/>
      <c r="G186" s="37" t="n"/>
      <c r="H186" s="37" t="n"/>
      <c r="I186" s="37" t="n"/>
      <c r="J186" s="36" t="n"/>
      <c r="K186" s="36" t="n"/>
      <c r="L186" s="36" t="n"/>
      <c r="M186" s="36" t="n"/>
      <c r="N186" s="38" t="n"/>
      <c r="O186" s="39">
        <f>IF(OR(N186="",J186=""),"",N186*J186)</f>
        <v/>
      </c>
      <c r="P186" s="40" t="n"/>
      <c r="Q186" s="41">
        <f>IF(OR(P186="",Y186="발주완료",Y186="취소"),"",TODAY()+P186)</f>
        <v/>
      </c>
      <c r="R186" s="35">
        <f>IF(OR(Q186="",NOT(ISNUMBER($J$2))),"",IF(Q186&lt;=$J$2,"가능","초과 "&amp;(Q186-$J$2)&amp;"일"))</f>
        <v/>
      </c>
      <c r="S186" s="36" t="n"/>
      <c r="T186" s="36" t="n"/>
      <c r="U186" s="36" t="n"/>
      <c r="V186" s="43" t="n"/>
      <c r="W186" s="41">
        <f>IF(OR(V186="",U186=""),"",V186+U186)</f>
        <v/>
      </c>
      <c r="X186" s="37" t="n"/>
      <c r="Y186" s="36" t="n"/>
      <c r="Z186" s="37" t="n"/>
    </row>
    <row r="187">
      <c r="A187" s="35">
        <f>IF(E187="","",ROW()-5)</f>
        <v/>
      </c>
      <c r="B187" s="36" t="n"/>
      <c r="C187" s="36" t="n"/>
      <c r="D187" s="36" t="n"/>
      <c r="E187" s="37" t="n"/>
      <c r="F187" s="37" t="n"/>
      <c r="G187" s="37" t="n"/>
      <c r="H187" s="37" t="n"/>
      <c r="I187" s="37" t="n"/>
      <c r="J187" s="36" t="n"/>
      <c r="K187" s="36" t="n"/>
      <c r="L187" s="36" t="n"/>
      <c r="M187" s="36" t="n"/>
      <c r="N187" s="38" t="n"/>
      <c r="O187" s="39">
        <f>IF(OR(N187="",J187=""),"",N187*J187)</f>
        <v/>
      </c>
      <c r="P187" s="40" t="n"/>
      <c r="Q187" s="41">
        <f>IF(OR(P187="",Y187="발주완료",Y187="취소"),"",TODAY()+P187)</f>
        <v/>
      </c>
      <c r="R187" s="35">
        <f>IF(OR(Q187="",NOT(ISNUMBER($J$2))),"",IF(Q187&lt;=$J$2,"가능","초과 "&amp;(Q187-$J$2)&amp;"일"))</f>
        <v/>
      </c>
      <c r="S187" s="36" t="n"/>
      <c r="T187" s="36" t="n"/>
      <c r="U187" s="36" t="n"/>
      <c r="V187" s="43" t="n"/>
      <c r="W187" s="41">
        <f>IF(OR(V187="",U187=""),"",V187+U187)</f>
        <v/>
      </c>
      <c r="X187" s="37" t="n"/>
      <c r="Y187" s="36" t="n"/>
      <c r="Z187" s="37" t="n"/>
    </row>
    <row r="188">
      <c r="A188" s="35">
        <f>IF(E188="","",ROW()-5)</f>
        <v/>
      </c>
      <c r="B188" s="36" t="n"/>
      <c r="C188" s="36" t="n"/>
      <c r="D188" s="36" t="n"/>
      <c r="E188" s="37" t="n"/>
      <c r="F188" s="37" t="n"/>
      <c r="G188" s="37" t="n"/>
      <c r="H188" s="37" t="n"/>
      <c r="I188" s="37" t="n"/>
      <c r="J188" s="36" t="n"/>
      <c r="K188" s="36" t="n"/>
      <c r="L188" s="36" t="n"/>
      <c r="M188" s="36" t="n"/>
      <c r="N188" s="38" t="n"/>
      <c r="O188" s="39">
        <f>IF(OR(N188="",J188=""),"",N188*J188)</f>
        <v/>
      </c>
      <c r="P188" s="40" t="n"/>
      <c r="Q188" s="41">
        <f>IF(OR(P188="",Y188="발주완료",Y188="취소"),"",TODAY()+P188)</f>
        <v/>
      </c>
      <c r="R188" s="35">
        <f>IF(OR(Q188="",NOT(ISNUMBER($J$2))),"",IF(Q188&lt;=$J$2,"가능","초과 "&amp;(Q188-$J$2)&amp;"일"))</f>
        <v/>
      </c>
      <c r="S188" s="36" t="n"/>
      <c r="T188" s="36" t="n"/>
      <c r="U188" s="36" t="n"/>
      <c r="V188" s="43" t="n"/>
      <c r="W188" s="41">
        <f>IF(OR(V188="",U188=""),"",V188+U188)</f>
        <v/>
      </c>
      <c r="X188" s="37" t="n"/>
      <c r="Y188" s="36" t="n"/>
      <c r="Z188" s="37" t="n"/>
    </row>
    <row r="189">
      <c r="A189" s="35">
        <f>IF(E189="","",ROW()-5)</f>
        <v/>
      </c>
      <c r="B189" s="36" t="n"/>
      <c r="C189" s="36" t="n"/>
      <c r="D189" s="36" t="n"/>
      <c r="E189" s="37" t="n"/>
      <c r="F189" s="37" t="n"/>
      <c r="G189" s="37" t="n"/>
      <c r="H189" s="37" t="n"/>
      <c r="I189" s="37" t="n"/>
      <c r="J189" s="36" t="n"/>
      <c r="K189" s="36" t="n"/>
      <c r="L189" s="36" t="n"/>
      <c r="M189" s="36" t="n"/>
      <c r="N189" s="38" t="n"/>
      <c r="O189" s="39">
        <f>IF(OR(N189="",J189=""),"",N189*J189)</f>
        <v/>
      </c>
      <c r="P189" s="40" t="n"/>
      <c r="Q189" s="41">
        <f>IF(OR(P189="",Y189="발주완료",Y189="취소"),"",TODAY()+P189)</f>
        <v/>
      </c>
      <c r="R189" s="35">
        <f>IF(OR(Q189="",NOT(ISNUMBER($J$2))),"",IF(Q189&lt;=$J$2,"가능","초과 "&amp;(Q189-$J$2)&amp;"일"))</f>
        <v/>
      </c>
      <c r="S189" s="36" t="n"/>
      <c r="T189" s="36" t="n"/>
      <c r="U189" s="36" t="n"/>
      <c r="V189" s="43" t="n"/>
      <c r="W189" s="41">
        <f>IF(OR(V189="",U189=""),"",V189+U189)</f>
        <v/>
      </c>
      <c r="X189" s="37" t="n"/>
      <c r="Y189" s="36" t="n"/>
      <c r="Z189" s="37" t="n"/>
    </row>
    <row r="190">
      <c r="A190" s="35">
        <f>IF(E190="","",ROW()-5)</f>
        <v/>
      </c>
      <c r="B190" s="36" t="n"/>
      <c r="C190" s="36" t="n"/>
      <c r="D190" s="36" t="n"/>
      <c r="E190" s="37" t="n"/>
      <c r="F190" s="37" t="n"/>
      <c r="G190" s="37" t="n"/>
      <c r="H190" s="37" t="n"/>
      <c r="I190" s="37" t="n"/>
      <c r="J190" s="36" t="n"/>
      <c r="K190" s="36" t="n"/>
      <c r="L190" s="36" t="n"/>
      <c r="M190" s="36" t="n"/>
      <c r="N190" s="38" t="n"/>
      <c r="O190" s="39">
        <f>IF(OR(N190="",J190=""),"",N190*J190)</f>
        <v/>
      </c>
      <c r="P190" s="40" t="n"/>
      <c r="Q190" s="41">
        <f>IF(OR(P190="",Y190="발주완료",Y190="취소"),"",TODAY()+P190)</f>
        <v/>
      </c>
      <c r="R190" s="35">
        <f>IF(OR(Q190="",NOT(ISNUMBER($J$2))),"",IF(Q190&lt;=$J$2,"가능","초과 "&amp;(Q190-$J$2)&amp;"일"))</f>
        <v/>
      </c>
      <c r="S190" s="36" t="n"/>
      <c r="T190" s="36" t="n"/>
      <c r="U190" s="36" t="n"/>
      <c r="V190" s="43" t="n"/>
      <c r="W190" s="41">
        <f>IF(OR(V190="",U190=""),"",V190+U190)</f>
        <v/>
      </c>
      <c r="X190" s="37" t="n"/>
      <c r="Y190" s="36" t="n"/>
      <c r="Z190" s="37" t="n"/>
    </row>
    <row r="191">
      <c r="A191" s="35">
        <f>IF(E191="","",ROW()-5)</f>
        <v/>
      </c>
      <c r="B191" s="36" t="n"/>
      <c r="C191" s="36" t="n"/>
      <c r="D191" s="36" t="n"/>
      <c r="E191" s="37" t="n"/>
      <c r="F191" s="37" t="n"/>
      <c r="G191" s="37" t="n"/>
      <c r="H191" s="37" t="n"/>
      <c r="I191" s="37" t="n"/>
      <c r="J191" s="36" t="n"/>
      <c r="K191" s="36" t="n"/>
      <c r="L191" s="36" t="n"/>
      <c r="M191" s="36" t="n"/>
      <c r="N191" s="38" t="n"/>
      <c r="O191" s="39">
        <f>IF(OR(N191="",J191=""),"",N191*J191)</f>
        <v/>
      </c>
      <c r="P191" s="40" t="n"/>
      <c r="Q191" s="41">
        <f>IF(OR(P191="",Y191="발주완료",Y191="취소"),"",TODAY()+P191)</f>
        <v/>
      </c>
      <c r="R191" s="35">
        <f>IF(OR(Q191="",NOT(ISNUMBER($J$2))),"",IF(Q191&lt;=$J$2,"가능","초과 "&amp;(Q191-$J$2)&amp;"일"))</f>
        <v/>
      </c>
      <c r="S191" s="36" t="n"/>
      <c r="T191" s="36" t="n"/>
      <c r="U191" s="36" t="n"/>
      <c r="V191" s="43" t="n"/>
      <c r="W191" s="41">
        <f>IF(OR(V191="",U191=""),"",V191+U191)</f>
        <v/>
      </c>
      <c r="X191" s="37" t="n"/>
      <c r="Y191" s="36" t="n"/>
      <c r="Z191" s="37" t="n"/>
    </row>
    <row r="192">
      <c r="A192" s="35">
        <f>IF(E192="","",ROW()-5)</f>
        <v/>
      </c>
      <c r="B192" s="36" t="n"/>
      <c r="C192" s="36" t="n"/>
      <c r="D192" s="36" t="n"/>
      <c r="E192" s="37" t="n"/>
      <c r="F192" s="37" t="n"/>
      <c r="G192" s="37" t="n"/>
      <c r="H192" s="37" t="n"/>
      <c r="I192" s="37" t="n"/>
      <c r="J192" s="36" t="n"/>
      <c r="K192" s="36" t="n"/>
      <c r="L192" s="36" t="n"/>
      <c r="M192" s="36" t="n"/>
      <c r="N192" s="38" t="n"/>
      <c r="O192" s="39">
        <f>IF(OR(N192="",J192=""),"",N192*J192)</f>
        <v/>
      </c>
      <c r="P192" s="40" t="n"/>
      <c r="Q192" s="41">
        <f>IF(OR(P192="",Y192="발주완료",Y192="취소"),"",TODAY()+P192)</f>
        <v/>
      </c>
      <c r="R192" s="35">
        <f>IF(OR(Q192="",NOT(ISNUMBER($J$2))),"",IF(Q192&lt;=$J$2,"가능","초과 "&amp;(Q192-$J$2)&amp;"일"))</f>
        <v/>
      </c>
      <c r="S192" s="36" t="n"/>
      <c r="T192" s="36" t="n"/>
      <c r="U192" s="36" t="n"/>
      <c r="V192" s="43" t="n"/>
      <c r="W192" s="41">
        <f>IF(OR(V192="",U192=""),"",V192+U192)</f>
        <v/>
      </c>
      <c r="X192" s="37" t="n"/>
      <c r="Y192" s="36" t="n"/>
      <c r="Z192" s="37" t="n"/>
    </row>
    <row r="193">
      <c r="A193" s="35">
        <f>IF(E193="","",ROW()-5)</f>
        <v/>
      </c>
      <c r="B193" s="36" t="n"/>
      <c r="C193" s="36" t="n"/>
      <c r="D193" s="36" t="n"/>
      <c r="E193" s="37" t="n"/>
      <c r="F193" s="37" t="n"/>
      <c r="G193" s="37" t="n"/>
      <c r="H193" s="37" t="n"/>
      <c r="I193" s="37" t="n"/>
      <c r="J193" s="36" t="n"/>
      <c r="K193" s="36" t="n"/>
      <c r="L193" s="36" t="n"/>
      <c r="M193" s="36" t="n"/>
      <c r="N193" s="38" t="n"/>
      <c r="O193" s="39">
        <f>IF(OR(N193="",J193=""),"",N193*J193)</f>
        <v/>
      </c>
      <c r="P193" s="40" t="n"/>
      <c r="Q193" s="41">
        <f>IF(OR(P193="",Y193="발주완료",Y193="취소"),"",TODAY()+P193)</f>
        <v/>
      </c>
      <c r="R193" s="35">
        <f>IF(OR(Q193="",NOT(ISNUMBER($J$2))),"",IF(Q193&lt;=$J$2,"가능","초과 "&amp;(Q193-$J$2)&amp;"일"))</f>
        <v/>
      </c>
      <c r="S193" s="36" t="n"/>
      <c r="T193" s="36" t="n"/>
      <c r="U193" s="36" t="n"/>
      <c r="V193" s="43" t="n"/>
      <c r="W193" s="41">
        <f>IF(OR(V193="",U193=""),"",V193+U193)</f>
        <v/>
      </c>
      <c r="X193" s="37" t="n"/>
      <c r="Y193" s="36" t="n"/>
      <c r="Z193" s="37" t="n"/>
    </row>
    <row r="194">
      <c r="A194" s="35">
        <f>IF(E194="","",ROW()-5)</f>
        <v/>
      </c>
      <c r="B194" s="36" t="n"/>
      <c r="C194" s="36" t="n"/>
      <c r="D194" s="36" t="n"/>
      <c r="E194" s="37" t="n"/>
      <c r="F194" s="37" t="n"/>
      <c r="G194" s="37" t="n"/>
      <c r="H194" s="37" t="n"/>
      <c r="I194" s="37" t="n"/>
      <c r="J194" s="36" t="n"/>
      <c r="K194" s="36" t="n"/>
      <c r="L194" s="36" t="n"/>
      <c r="M194" s="36" t="n"/>
      <c r="N194" s="38" t="n"/>
      <c r="O194" s="39">
        <f>IF(OR(N194="",J194=""),"",N194*J194)</f>
        <v/>
      </c>
      <c r="P194" s="40" t="n"/>
      <c r="Q194" s="41">
        <f>IF(OR(P194="",Y194="발주완료",Y194="취소"),"",TODAY()+P194)</f>
        <v/>
      </c>
      <c r="R194" s="35">
        <f>IF(OR(Q194="",NOT(ISNUMBER($J$2))),"",IF(Q194&lt;=$J$2,"가능","초과 "&amp;(Q194-$J$2)&amp;"일"))</f>
        <v/>
      </c>
      <c r="S194" s="36" t="n"/>
      <c r="T194" s="36" t="n"/>
      <c r="U194" s="36" t="n"/>
      <c r="V194" s="43" t="n"/>
      <c r="W194" s="41">
        <f>IF(OR(V194="",U194=""),"",V194+U194)</f>
        <v/>
      </c>
      <c r="X194" s="37" t="n"/>
      <c r="Y194" s="36" t="n"/>
      <c r="Z194" s="37" t="n"/>
    </row>
    <row r="195">
      <c r="A195" s="35">
        <f>IF(E195="","",ROW()-5)</f>
        <v/>
      </c>
      <c r="B195" s="36" t="n"/>
      <c r="C195" s="36" t="n"/>
      <c r="D195" s="36" t="n"/>
      <c r="E195" s="37" t="n"/>
      <c r="F195" s="37" t="n"/>
      <c r="G195" s="37" t="n"/>
      <c r="H195" s="37" t="n"/>
      <c r="I195" s="37" t="n"/>
      <c r="J195" s="36" t="n"/>
      <c r="K195" s="36" t="n"/>
      <c r="L195" s="36" t="n"/>
      <c r="M195" s="36" t="n"/>
      <c r="N195" s="38" t="n"/>
      <c r="O195" s="39">
        <f>IF(OR(N195="",J195=""),"",N195*J195)</f>
        <v/>
      </c>
      <c r="P195" s="40" t="n"/>
      <c r="Q195" s="41">
        <f>IF(OR(P195="",Y195="발주완료",Y195="취소"),"",TODAY()+P195)</f>
        <v/>
      </c>
      <c r="R195" s="35">
        <f>IF(OR(Q195="",NOT(ISNUMBER($J$2))),"",IF(Q195&lt;=$J$2,"가능","초과 "&amp;(Q195-$J$2)&amp;"일"))</f>
        <v/>
      </c>
      <c r="S195" s="36" t="n"/>
      <c r="T195" s="36" t="n"/>
      <c r="U195" s="36" t="n"/>
      <c r="V195" s="43" t="n"/>
      <c r="W195" s="41">
        <f>IF(OR(V195="",U195=""),"",V195+U195)</f>
        <v/>
      </c>
      <c r="X195" s="37" t="n"/>
      <c r="Y195" s="36" t="n"/>
      <c r="Z195" s="37" t="n"/>
    </row>
    <row r="196">
      <c r="A196" s="35">
        <f>IF(E196="","",ROW()-5)</f>
        <v/>
      </c>
      <c r="B196" s="36" t="n"/>
      <c r="C196" s="36" t="n"/>
      <c r="D196" s="36" t="n"/>
      <c r="E196" s="37" t="n"/>
      <c r="F196" s="37" t="n"/>
      <c r="G196" s="37" t="n"/>
      <c r="H196" s="37" t="n"/>
      <c r="I196" s="37" t="n"/>
      <c r="J196" s="36" t="n"/>
      <c r="K196" s="36" t="n"/>
      <c r="L196" s="36" t="n"/>
      <c r="M196" s="36" t="n"/>
      <c r="N196" s="38" t="n"/>
      <c r="O196" s="39">
        <f>IF(OR(N196="",J196=""),"",N196*J196)</f>
        <v/>
      </c>
      <c r="P196" s="40" t="n"/>
      <c r="Q196" s="41">
        <f>IF(OR(P196="",Y196="발주완료",Y196="취소"),"",TODAY()+P196)</f>
        <v/>
      </c>
      <c r="R196" s="35">
        <f>IF(OR(Q196="",NOT(ISNUMBER($J$2))),"",IF(Q196&lt;=$J$2,"가능","초과 "&amp;(Q196-$J$2)&amp;"일"))</f>
        <v/>
      </c>
      <c r="S196" s="36" t="n"/>
      <c r="T196" s="36" t="n"/>
      <c r="U196" s="36" t="n"/>
      <c r="V196" s="43" t="n"/>
      <c r="W196" s="41">
        <f>IF(OR(V196="",U196=""),"",V196+U196)</f>
        <v/>
      </c>
      <c r="X196" s="37" t="n"/>
      <c r="Y196" s="36" t="n"/>
      <c r="Z196" s="37" t="n"/>
    </row>
    <row r="197">
      <c r="A197" s="35">
        <f>IF(E197="","",ROW()-5)</f>
        <v/>
      </c>
      <c r="B197" s="36" t="n"/>
      <c r="C197" s="36" t="n"/>
      <c r="D197" s="36" t="n"/>
      <c r="E197" s="37" t="n"/>
      <c r="F197" s="37" t="n"/>
      <c r="G197" s="37" t="n"/>
      <c r="H197" s="37" t="n"/>
      <c r="I197" s="37" t="n"/>
      <c r="J197" s="36" t="n"/>
      <c r="K197" s="36" t="n"/>
      <c r="L197" s="36" t="n"/>
      <c r="M197" s="36" t="n"/>
      <c r="N197" s="38" t="n"/>
      <c r="O197" s="39">
        <f>IF(OR(N197="",J197=""),"",N197*J197)</f>
        <v/>
      </c>
      <c r="P197" s="40" t="n"/>
      <c r="Q197" s="41">
        <f>IF(OR(P197="",Y197="발주완료",Y197="취소"),"",TODAY()+P197)</f>
        <v/>
      </c>
      <c r="R197" s="35">
        <f>IF(OR(Q197="",NOT(ISNUMBER($J$2))),"",IF(Q197&lt;=$J$2,"가능","초과 "&amp;(Q197-$J$2)&amp;"일"))</f>
        <v/>
      </c>
      <c r="S197" s="36" t="n"/>
      <c r="T197" s="36" t="n"/>
      <c r="U197" s="36" t="n"/>
      <c r="V197" s="43" t="n"/>
      <c r="W197" s="41">
        <f>IF(OR(V197="",U197=""),"",V197+U197)</f>
        <v/>
      </c>
      <c r="X197" s="37" t="n"/>
      <c r="Y197" s="36" t="n"/>
      <c r="Z197" s="37" t="n"/>
    </row>
    <row r="198">
      <c r="A198" s="35">
        <f>IF(E198="","",ROW()-5)</f>
        <v/>
      </c>
      <c r="B198" s="36" t="n"/>
      <c r="C198" s="36" t="n"/>
      <c r="D198" s="36" t="n"/>
      <c r="E198" s="37" t="n"/>
      <c r="F198" s="37" t="n"/>
      <c r="G198" s="37" t="n"/>
      <c r="H198" s="37" t="n"/>
      <c r="I198" s="37" t="n"/>
      <c r="J198" s="36" t="n"/>
      <c r="K198" s="36" t="n"/>
      <c r="L198" s="36" t="n"/>
      <c r="M198" s="36" t="n"/>
      <c r="N198" s="38" t="n"/>
      <c r="O198" s="39">
        <f>IF(OR(N198="",J198=""),"",N198*J198)</f>
        <v/>
      </c>
      <c r="P198" s="40" t="n"/>
      <c r="Q198" s="41">
        <f>IF(OR(P198="",Y198="발주완료",Y198="취소"),"",TODAY()+P198)</f>
        <v/>
      </c>
      <c r="R198" s="35">
        <f>IF(OR(Q198="",NOT(ISNUMBER($J$2))),"",IF(Q198&lt;=$J$2,"가능","초과 "&amp;(Q198-$J$2)&amp;"일"))</f>
        <v/>
      </c>
      <c r="S198" s="36" t="n"/>
      <c r="T198" s="36" t="n"/>
      <c r="U198" s="36" t="n"/>
      <c r="V198" s="43" t="n"/>
      <c r="W198" s="41">
        <f>IF(OR(V198="",U198=""),"",V198+U198)</f>
        <v/>
      </c>
      <c r="X198" s="37" t="n"/>
      <c r="Y198" s="36" t="n"/>
      <c r="Z198" s="37" t="n"/>
    </row>
    <row r="199">
      <c r="A199" s="35">
        <f>IF(E199="","",ROW()-5)</f>
        <v/>
      </c>
      <c r="B199" s="36" t="n"/>
      <c r="C199" s="36" t="n"/>
      <c r="D199" s="36" t="n"/>
      <c r="E199" s="37" t="n"/>
      <c r="F199" s="37" t="n"/>
      <c r="G199" s="37" t="n"/>
      <c r="H199" s="37" t="n"/>
      <c r="I199" s="37" t="n"/>
      <c r="J199" s="36" t="n"/>
      <c r="K199" s="36" t="n"/>
      <c r="L199" s="36" t="n"/>
      <c r="M199" s="36" t="n"/>
      <c r="N199" s="38" t="n"/>
      <c r="O199" s="39">
        <f>IF(OR(N199="",J199=""),"",N199*J199)</f>
        <v/>
      </c>
      <c r="P199" s="40" t="n"/>
      <c r="Q199" s="41">
        <f>IF(OR(P199="",Y199="발주완료",Y199="취소"),"",TODAY()+P199)</f>
        <v/>
      </c>
      <c r="R199" s="35">
        <f>IF(OR(Q199="",NOT(ISNUMBER($J$2))),"",IF(Q199&lt;=$J$2,"가능","초과 "&amp;(Q199-$J$2)&amp;"일"))</f>
        <v/>
      </c>
      <c r="S199" s="36" t="n"/>
      <c r="T199" s="36" t="n"/>
      <c r="U199" s="36" t="n"/>
      <c r="V199" s="43" t="n"/>
      <c r="W199" s="41">
        <f>IF(OR(V199="",U199=""),"",V199+U199)</f>
        <v/>
      </c>
      <c r="X199" s="37" t="n"/>
      <c r="Y199" s="36" t="n"/>
      <c r="Z199" s="37" t="n"/>
    </row>
    <row r="200">
      <c r="A200" s="35">
        <f>IF(E200="","",ROW()-5)</f>
        <v/>
      </c>
      <c r="B200" s="36" t="n"/>
      <c r="C200" s="36" t="n"/>
      <c r="D200" s="36" t="n"/>
      <c r="E200" s="37" t="n"/>
      <c r="F200" s="37" t="n"/>
      <c r="G200" s="37" t="n"/>
      <c r="H200" s="37" t="n"/>
      <c r="I200" s="37" t="n"/>
      <c r="J200" s="36" t="n"/>
      <c r="K200" s="36" t="n"/>
      <c r="L200" s="36" t="n"/>
      <c r="M200" s="36" t="n"/>
      <c r="N200" s="38" t="n"/>
      <c r="O200" s="39">
        <f>IF(OR(N200="",J200=""),"",N200*J200)</f>
        <v/>
      </c>
      <c r="P200" s="40" t="n"/>
      <c r="Q200" s="41">
        <f>IF(OR(P200="",Y200="발주완료",Y200="취소"),"",TODAY()+P200)</f>
        <v/>
      </c>
      <c r="R200" s="35">
        <f>IF(OR(Q200="",NOT(ISNUMBER($J$2))),"",IF(Q200&lt;=$J$2,"가능","초과 "&amp;(Q200-$J$2)&amp;"일"))</f>
        <v/>
      </c>
      <c r="S200" s="36" t="n"/>
      <c r="T200" s="36" t="n"/>
      <c r="U200" s="36" t="n"/>
      <c r="V200" s="43" t="n"/>
      <c r="W200" s="41">
        <f>IF(OR(V200="",U200=""),"",V200+U200)</f>
        <v/>
      </c>
      <c r="X200" s="37" t="n"/>
      <c r="Y200" s="36" t="n"/>
      <c r="Z200" s="37" t="n"/>
    </row>
    <row r="201">
      <c r="A201" s="35">
        <f>IF(E201="","",ROW()-5)</f>
        <v/>
      </c>
      <c r="B201" s="36" t="n"/>
      <c r="C201" s="36" t="n"/>
      <c r="D201" s="36" t="n"/>
      <c r="E201" s="37" t="n"/>
      <c r="F201" s="37" t="n"/>
      <c r="G201" s="37" t="n"/>
      <c r="H201" s="37" t="n"/>
      <c r="I201" s="37" t="n"/>
      <c r="J201" s="36" t="n"/>
      <c r="K201" s="36" t="n"/>
      <c r="L201" s="36" t="n"/>
      <c r="M201" s="36" t="n"/>
      <c r="N201" s="38" t="n"/>
      <c r="O201" s="39">
        <f>IF(OR(N201="",J201=""),"",N201*J201)</f>
        <v/>
      </c>
      <c r="P201" s="40" t="n"/>
      <c r="Q201" s="41">
        <f>IF(OR(P201="",Y201="발주완료",Y201="취소"),"",TODAY()+P201)</f>
        <v/>
      </c>
      <c r="R201" s="35">
        <f>IF(OR(Q201="",NOT(ISNUMBER($J$2))),"",IF(Q201&lt;=$J$2,"가능","초과 "&amp;(Q201-$J$2)&amp;"일"))</f>
        <v/>
      </c>
      <c r="S201" s="36" t="n"/>
      <c r="T201" s="36" t="n"/>
      <c r="U201" s="36" t="n"/>
      <c r="V201" s="43" t="n"/>
      <c r="W201" s="41">
        <f>IF(OR(V201="",U201=""),"",V201+U201)</f>
        <v/>
      </c>
      <c r="X201" s="37" t="n"/>
      <c r="Y201" s="36" t="n"/>
      <c r="Z201" s="37" t="n"/>
    </row>
    <row r="202">
      <c r="A202" s="35">
        <f>IF(E202="","",ROW()-5)</f>
        <v/>
      </c>
      <c r="B202" s="36" t="n"/>
      <c r="C202" s="36" t="n"/>
      <c r="D202" s="36" t="n"/>
      <c r="E202" s="37" t="n"/>
      <c r="F202" s="37" t="n"/>
      <c r="G202" s="37" t="n"/>
      <c r="H202" s="37" t="n"/>
      <c r="I202" s="37" t="n"/>
      <c r="J202" s="36" t="n"/>
      <c r="K202" s="36" t="n"/>
      <c r="L202" s="36" t="n"/>
      <c r="M202" s="36" t="n"/>
      <c r="N202" s="38" t="n"/>
      <c r="O202" s="39">
        <f>IF(OR(N202="",J202=""),"",N202*J202)</f>
        <v/>
      </c>
      <c r="P202" s="40" t="n"/>
      <c r="Q202" s="41">
        <f>IF(OR(P202="",Y202="발주완료",Y202="취소"),"",TODAY()+P202)</f>
        <v/>
      </c>
      <c r="R202" s="35">
        <f>IF(OR(Q202="",NOT(ISNUMBER($J$2))),"",IF(Q202&lt;=$J$2,"가능","초과 "&amp;(Q202-$J$2)&amp;"일"))</f>
        <v/>
      </c>
      <c r="S202" s="36" t="n"/>
      <c r="T202" s="36" t="n"/>
      <c r="U202" s="36" t="n"/>
      <c r="V202" s="43" t="n"/>
      <c r="W202" s="41">
        <f>IF(OR(V202="",U202=""),"",V202+U202)</f>
        <v/>
      </c>
      <c r="X202" s="37" t="n"/>
      <c r="Y202" s="36" t="n"/>
      <c r="Z202" s="37" t="n"/>
    </row>
    <row r="203">
      <c r="A203" s="35">
        <f>IF(E203="","",ROW()-5)</f>
        <v/>
      </c>
      <c r="B203" s="36" t="n"/>
      <c r="C203" s="36" t="n"/>
      <c r="D203" s="36" t="n"/>
      <c r="E203" s="37" t="n"/>
      <c r="F203" s="37" t="n"/>
      <c r="G203" s="37" t="n"/>
      <c r="H203" s="37" t="n"/>
      <c r="I203" s="37" t="n"/>
      <c r="J203" s="36" t="n"/>
      <c r="K203" s="36" t="n"/>
      <c r="L203" s="36" t="n"/>
      <c r="M203" s="36" t="n"/>
      <c r="N203" s="38" t="n"/>
      <c r="O203" s="39">
        <f>IF(OR(N203="",J203=""),"",N203*J203)</f>
        <v/>
      </c>
      <c r="P203" s="40" t="n"/>
      <c r="Q203" s="41">
        <f>IF(OR(P203="",Y203="발주완료",Y203="취소"),"",TODAY()+P203)</f>
        <v/>
      </c>
      <c r="R203" s="35">
        <f>IF(OR(Q203="",NOT(ISNUMBER($J$2))),"",IF(Q203&lt;=$J$2,"가능","초과 "&amp;(Q203-$J$2)&amp;"일"))</f>
        <v/>
      </c>
      <c r="S203" s="36" t="n"/>
      <c r="T203" s="36" t="n"/>
      <c r="U203" s="36" t="n"/>
      <c r="V203" s="43" t="n"/>
      <c r="W203" s="41">
        <f>IF(OR(V203="",U203=""),"",V203+U203)</f>
        <v/>
      </c>
      <c r="X203" s="37" t="n"/>
      <c r="Y203" s="36" t="n"/>
      <c r="Z203" s="37" t="n"/>
    </row>
    <row r="204">
      <c r="A204" s="35">
        <f>IF(E204="","",ROW()-5)</f>
        <v/>
      </c>
      <c r="B204" s="36" t="n"/>
      <c r="C204" s="36" t="n"/>
      <c r="D204" s="36" t="n"/>
      <c r="E204" s="37" t="n"/>
      <c r="F204" s="37" t="n"/>
      <c r="G204" s="37" t="n"/>
      <c r="H204" s="37" t="n"/>
      <c r="I204" s="37" t="n"/>
      <c r="J204" s="36" t="n"/>
      <c r="K204" s="36" t="n"/>
      <c r="L204" s="36" t="n"/>
      <c r="M204" s="36" t="n"/>
      <c r="N204" s="38" t="n"/>
      <c r="O204" s="39">
        <f>IF(OR(N204="",J204=""),"",N204*J204)</f>
        <v/>
      </c>
      <c r="P204" s="40" t="n"/>
      <c r="Q204" s="41">
        <f>IF(OR(P204="",Y204="발주완료",Y204="취소"),"",TODAY()+P204)</f>
        <v/>
      </c>
      <c r="R204" s="35">
        <f>IF(OR(Q204="",NOT(ISNUMBER($J$2))),"",IF(Q204&lt;=$J$2,"가능","초과 "&amp;(Q204-$J$2)&amp;"일"))</f>
        <v/>
      </c>
      <c r="S204" s="36" t="n"/>
      <c r="T204" s="36" t="n"/>
      <c r="U204" s="36" t="n"/>
      <c r="V204" s="43" t="n"/>
      <c r="W204" s="41">
        <f>IF(OR(V204="",U204=""),"",V204+U204)</f>
        <v/>
      </c>
      <c r="X204" s="37" t="n"/>
      <c r="Y204" s="36" t="n"/>
      <c r="Z204" s="37" t="n"/>
    </row>
    <row r="205">
      <c r="A205" s="35">
        <f>IF(E205="","",ROW()-5)</f>
        <v/>
      </c>
      <c r="B205" s="36" t="n"/>
      <c r="C205" s="36" t="n"/>
      <c r="D205" s="36" t="n"/>
      <c r="E205" s="37" t="n"/>
      <c r="F205" s="37" t="n"/>
      <c r="G205" s="37" t="n"/>
      <c r="H205" s="37" t="n"/>
      <c r="I205" s="37" t="n"/>
      <c r="J205" s="36" t="n"/>
      <c r="K205" s="36" t="n"/>
      <c r="L205" s="36" t="n"/>
      <c r="M205" s="36" t="n"/>
      <c r="N205" s="38" t="n"/>
      <c r="O205" s="39">
        <f>IF(OR(N205="",J205=""),"",N205*J205)</f>
        <v/>
      </c>
      <c r="P205" s="40" t="n"/>
      <c r="Q205" s="41">
        <f>IF(OR(P205="",Y205="발주완료",Y205="취소"),"",TODAY()+P205)</f>
        <v/>
      </c>
      <c r="R205" s="35">
        <f>IF(OR(Q205="",NOT(ISNUMBER($J$2))),"",IF(Q205&lt;=$J$2,"가능","초과 "&amp;(Q205-$J$2)&amp;"일"))</f>
        <v/>
      </c>
      <c r="S205" s="36" t="n"/>
      <c r="T205" s="36" t="n"/>
      <c r="U205" s="36" t="n"/>
      <c r="V205" s="43" t="n"/>
      <c r="W205" s="41">
        <f>IF(OR(V205="",U205=""),"",V205+U205)</f>
        <v/>
      </c>
      <c r="X205" s="37" t="n"/>
      <c r="Y205" s="36" t="n"/>
      <c r="Z205" s="37" t="n"/>
    </row>
  </sheetData>
  <autoFilter ref="A5:Z205"/>
  <mergeCells count="5">
    <mergeCell ref="A2:E2"/>
    <mergeCell ref="G2:H2"/>
    <mergeCell ref="J2:K2"/>
    <mergeCell ref="M3:N3"/>
    <mergeCell ref="K3:L3"/>
  </mergeCells>
  <conditionalFormatting sqref="A2">
    <cfRule type="expression" priority="1" dxfId="0">
      <formula>AND(ISNUMBER($F$2),$F$2&gt;=0,$F$2&lt;=4)</formula>
    </cfRule>
    <cfRule type="expression" priority="2" dxfId="1">
      <formula>AND(ISNUMBER($F$2),$F$2&gt;4,$F$2&lt;=7)</formula>
    </cfRule>
  </conditionalFormatting>
  <conditionalFormatting sqref="F2">
    <cfRule type="expression" priority="3" dxfId="0">
      <formula>AND(ISNUMBER($F$2),$F$2&gt;=0,$F$2&lt;=4)</formula>
    </cfRule>
    <cfRule type="expression" priority="4" dxfId="1">
      <formula>AND(ISNUMBER($F$2),$F$2&gt;4,$F$2&lt;=7)</formula>
    </cfRule>
  </conditionalFormatting>
  <conditionalFormatting sqref="G2">
    <cfRule type="expression" priority="5" dxfId="0">
      <formula>AND(ISNUMBER($F$2),$F$2&gt;=0,$F$2&lt;=4)</formula>
    </cfRule>
    <cfRule type="expression" priority="6" dxfId="1">
      <formula>AND(ISNUMBER($F$2),$F$2&gt;4,$F$2&lt;=7)</formula>
    </cfRule>
  </conditionalFormatting>
  <conditionalFormatting sqref="M6:M205">
    <cfRule type="cellIs" priority="7" operator="equal" dxfId="7">
      <formula>"견적접수"</formula>
    </cfRule>
    <cfRule type="cellIs" priority="8" operator="equal" dxfId="8">
      <formula>"확인필요"</formula>
    </cfRule>
    <cfRule type="cellIs" priority="9" operator="equal" dxfId="9">
      <formula>"공급불가"</formula>
    </cfRule>
    <cfRule type="cellIs" priority="10" operator="equal" dxfId="10">
      <formula>"미접수"</formula>
    </cfRule>
  </conditionalFormatting>
  <conditionalFormatting sqref="A6:Z205">
    <cfRule type="expression" priority="11" dxfId="11">
      <formula>OR($Y6="발주완료",$Y6="취소")</formula>
    </cfRule>
  </conditionalFormatting>
  <conditionalFormatting sqref="W6:W205">
    <cfRule type="expression" priority="12" dxfId="0">
      <formula>AND($W6&lt;&gt;"",$W6&lt;TODAY())</formula>
    </cfRule>
    <cfRule type="expression" priority="13" dxfId="8">
      <formula>AND($W6&lt;&gt;"",$W6-TODAY()&lt;=5)</formula>
    </cfRule>
  </conditionalFormatting>
  <conditionalFormatting sqref="R6:R205">
    <cfRule type="expression" priority="14" dxfId="9">
      <formula>LEFT($R6,2)="초과"</formula>
    </cfRule>
    <cfRule type="cellIs" priority="15" operator="equal" dxfId="7">
      <formula>"가능"</formula>
    </cfRule>
  </conditionalFormatting>
  <dataValidations count="3">
    <dataValidation sqref="M6:M205" showDropDown="0" showInputMessage="0" showErrorMessage="0" allowBlank="1" errorTitle="입력 확인" error="목록에서 선택하세요" type="list">
      <formula1>=설정!$A$5:$A$14</formula1>
    </dataValidation>
    <dataValidation sqref="Y6:Y205" showDropDown="0" showInputMessage="0" showErrorMessage="0" allowBlank="1" errorTitle="입력 확인" error="목록에서 선택하세요 ('설정' 시트에서 추가 가능)" type="list">
      <formula1>=설정!$C$5:$C$16</formula1>
    </dataValidation>
    <dataValidation sqref="L6:L205" showDropDown="0" showInputMessage="0" showErrorMessage="0" allowBlank="1" errorTitle="입력 확인" error="업체는 '설정' 시트에 먼저 추가하세요" type="list">
      <formula1>=설정!$E$5:$E$24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/>
  </sheetPr>
  <dimension ref="A1:Z205"/>
  <sheetViews>
    <sheetView zoomScale="9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" customWidth="1" min="3" max="3"/>
    <col width="11" customWidth="1" min="4" max="4"/>
    <col width="28" customWidth="1" min="5" max="5"/>
    <col width="20" customWidth="1" min="6" max="6"/>
    <col width="24" customWidth="1" min="7" max="7"/>
    <col width="18" customWidth="1" min="8" max="8"/>
    <col width="22" customWidth="1" min="9" max="9"/>
    <col width="6" customWidth="1" min="10" max="10"/>
    <col width="6" customWidth="1" min="11" max="11"/>
    <col width="9" customWidth="1" min="12" max="12"/>
    <col width="10" customWidth="1" min="13" max="13"/>
    <col width="12" customWidth="1" min="14" max="14"/>
    <col width="13" customWidth="1" min="15" max="15"/>
    <col width="7" customWidth="1" min="16" max="16"/>
    <col width="11" customWidth="1" min="17" max="17"/>
    <col width="12" customWidth="1" min="18" max="18"/>
    <col width="9" customWidth="1" min="19" max="19"/>
    <col width="14" customWidth="1" min="20" max="20"/>
    <col width="6" customWidth="1" min="21" max="21"/>
    <col width="11" customWidth="1" min="22" max="22"/>
    <col width="11" customWidth="1" min="23" max="23"/>
    <col width="34" customWidth="1" min="24" max="24"/>
    <col width="13" customWidth="1" min="25" max="25"/>
    <col width="30" customWidth="1" min="26" max="26"/>
  </cols>
  <sheetData>
    <row r="1">
      <c r="A1" s="1" t="inlineStr">
        <is>
          <t>NELEUS</t>
        </is>
      </c>
      <c r="D1" s="26" t="inlineStr">
        <is>
          <t>IMO 9958315   ·   Routine   ·   납품항/ETA: TBA</t>
        </is>
      </c>
    </row>
    <row r="2" ht="24" customHeight="1">
      <c r="A2" s="27">
        <f>IFERROR(IF(N(INDEX(스케줄!$C$5:$C$14,MATCH("NELEUS",스케줄!$A$5:$A$14,0)))=0,"다음 일정: 미정 (스케줄 시트에 입력)","다음 일정: "&amp;INDEX(스케줄!$B$5:$B$14,MATCH("NELEUS",스케줄!$A$5:$A$14,0))&amp;"  "&amp;TEXT(INDEX(스케줄!$C$5:$C$14,MATCH("NELEUS",스케줄!$A$5:$A$14,0)),"mm/dd")&amp;IF(N(INDEX(스케줄!$D$5:$D$14,MATCH("NELEUS",스케줄!$A$5:$A$14,0)))=0,"","~"&amp;TEXT(INDEX(스케줄!$D$5:$D$14,MATCH("NELEUS",스케줄!$A$5:$A$14,0)),"mm/dd"))),"")</f>
        <v/>
      </c>
      <c r="F2" s="28">
        <f>IFERROR(INDEX(스케줄!$I$5:$I$14,MATCH("NELEUS",스케줄!$A$5:$A$14,0)),"")</f>
        <v/>
      </c>
      <c r="G2" s="29">
        <f>IFERROR(INDEX(스케줄!$J$5:$J$14,MATCH("NELEUS",스케줄!$A$5:$A$14,0)),"")</f>
        <v/>
      </c>
      <c r="I2" s="30" t="inlineStr">
        <is>
          <t>부산 출고 마감</t>
        </is>
      </c>
      <c r="J2" s="31">
        <f>IFERROR(INDEX(스케줄!$F$5:$F$14,MATCH("NELEUS",스케줄!$A$5:$A$14,0)),"")</f>
        <v/>
      </c>
    </row>
    <row r="3" ht="22" customHeight="1">
      <c r="A3" s="30" t="inlineStr">
        <is>
          <t>품목</t>
        </is>
      </c>
      <c r="B3" s="32">
        <f>COUNTA($E$6:$E$205)</f>
        <v/>
      </c>
      <c r="C3" s="30" t="inlineStr">
        <is>
          <t>견적접수</t>
        </is>
      </c>
      <c r="D3" s="32">
        <f>COUNTIF($M$6:$M$205,"견적접수")</f>
        <v/>
      </c>
      <c r="E3" s="30" t="inlineStr">
        <is>
          <t>확인필요</t>
        </is>
      </c>
      <c r="F3" s="32">
        <f>COUNTIF($M$6:$M$205,"확인필요")</f>
        <v/>
      </c>
      <c r="G3" s="30" t="inlineStr">
        <is>
          <t>공급불가</t>
        </is>
      </c>
      <c r="H3" s="32">
        <f>COUNTIF($M$6:$M$205,"공급불가")</f>
        <v/>
      </c>
      <c r="I3" s="30" t="inlineStr">
        <is>
          <t>미접수</t>
        </is>
      </c>
      <c r="J3" s="32">
        <f>COUNTIF($M$6:$M$205,"미접수")</f>
        <v/>
      </c>
      <c r="K3" s="30" t="inlineStr">
        <is>
          <t>견적금액 합계 (KRW)</t>
        </is>
      </c>
      <c r="L3" s="33" t="n"/>
      <c r="M3" s="34">
        <f>SUM($O$6:$O$205)</f>
        <v/>
      </c>
    </row>
    <row r="4">
      <c r="A4" s="2" t="inlineStr">
        <is>
          <t>노란 칸 = 입력 / 회색 칸 = 자동 계산 · 새 품목·다른 업체 견적은 아래 빈 줄에 추가 · ▼ 필터로 상태별 보기 · 일정은 '스케줄' 시트에서 수정</t>
        </is>
      </c>
    </row>
    <row r="5" ht="32" customHeight="1">
      <c r="A5" s="18" t="inlineStr">
        <is>
          <t>No</t>
        </is>
      </c>
      <c r="B5" s="4" t="inlineStr">
        <is>
          <t>RFQ No.</t>
        </is>
      </c>
      <c r="C5" s="4" t="inlineStr">
        <is>
          <t>파일</t>
        </is>
      </c>
      <c r="D5" s="4" t="inlineStr">
        <is>
          <t>Maker</t>
        </is>
      </c>
      <c r="E5" s="4" t="inlineStr">
        <is>
          <t>품목 (Item)</t>
        </is>
      </c>
      <c r="F5" s="4" t="inlineStr">
        <is>
          <t>Model</t>
        </is>
      </c>
      <c r="G5" s="4" t="inlineStr">
        <is>
          <t>Part No. / Drawing</t>
        </is>
      </c>
      <c r="H5" s="4" t="inlineStr">
        <is>
          <t>Equipment / System</t>
        </is>
      </c>
      <c r="I5" s="4" t="inlineStr">
        <is>
          <t>Spec / 비고</t>
        </is>
      </c>
      <c r="J5" s="4" t="inlineStr">
        <is>
          <t>수량</t>
        </is>
      </c>
      <c r="K5" s="4" t="inlineStr">
        <is>
          <t>단위</t>
        </is>
      </c>
      <c r="L5" s="4" t="inlineStr">
        <is>
          <t>견적업체</t>
        </is>
      </c>
      <c r="M5" s="4" t="inlineStr">
        <is>
          <t>견적상태</t>
        </is>
      </c>
      <c r="N5" s="4" t="inlineStr">
        <is>
          <t>단가
(KRW)</t>
        </is>
      </c>
      <c r="O5" s="18" t="inlineStr">
        <is>
          <t>금액
(KRW)</t>
        </is>
      </c>
      <c r="P5" s="4" t="inlineStr">
        <is>
          <t>납기
(일)</t>
        </is>
      </c>
      <c r="Q5" s="18" t="inlineStr">
        <is>
          <t>준비
예상일</t>
        </is>
      </c>
      <c r="R5" s="18" t="inlineStr">
        <is>
          <t>일정
대비</t>
        </is>
      </c>
      <c r="S5" s="4" t="inlineStr">
        <is>
          <t>정품/
OEM</t>
        </is>
      </c>
      <c r="T5" s="4" t="inlineStr">
        <is>
          <t>인도조건</t>
        </is>
      </c>
      <c r="U5" s="4" t="inlineStr">
        <is>
          <t>유효
(일)</t>
        </is>
      </c>
      <c r="V5" s="4" t="inlineStr">
        <is>
          <t>접수일</t>
        </is>
      </c>
      <c r="W5" s="18" t="inlineStr">
        <is>
          <t>만료일</t>
        </is>
      </c>
      <c r="X5" s="4" t="inlineStr">
        <is>
          <t>업체 회신 원문</t>
        </is>
      </c>
      <c r="Y5" s="4" t="inlineStr">
        <is>
          <t>진행상태</t>
        </is>
      </c>
      <c r="Z5" s="4" t="inlineStr">
        <is>
          <t>다음 조치</t>
        </is>
      </c>
    </row>
    <row r="6">
      <c r="A6" s="35">
        <f>IF(E6="","",ROW()-5)</f>
        <v/>
      </c>
      <c r="B6" s="36" t="inlineStr">
        <is>
          <t>KQU-000116304</t>
        </is>
      </c>
      <c r="C6" s="36" t="inlineStr">
        <is>
          <t>01</t>
        </is>
      </c>
      <c r="D6" s="36" t="inlineStr">
        <is>
          <t>NORGREN</t>
        </is>
      </c>
      <c r="E6" s="37" t="inlineStr">
        <is>
          <t>Air Filter</t>
        </is>
      </c>
      <c r="F6" s="37" t="inlineStr">
        <is>
          <t>Hanwha - MAN B&amp;W 5G70ME-C10.5-GA</t>
        </is>
      </c>
      <c r="G6" s="37" t="inlineStr">
        <is>
          <t>Plate/Drawing no. 5672-0260-0001
Part no. 57</t>
        </is>
      </c>
      <c r="H6" s="37" t="inlineStr">
        <is>
          <t>Emission Control System</t>
        </is>
      </c>
      <c r="I6" s="37" t="n"/>
      <c r="J6" s="36" t="n">
        <v>6</v>
      </c>
      <c r="K6" s="36" t="inlineStr">
        <is>
          <t>set</t>
        </is>
      </c>
      <c r="L6" s="36" t="inlineStr">
        <is>
          <t>RMS</t>
        </is>
      </c>
      <c r="M6" s="36" t="inlineStr">
        <is>
          <t>확인필요</t>
        </is>
      </c>
      <c r="N6" s="38" t="n"/>
      <c r="O6" s="39">
        <f>IF(OR(N6="",J6=""),"",N6*J6)</f>
        <v/>
      </c>
      <c r="P6" s="40" t="n"/>
      <c r="Q6" s="41">
        <f>IF(OR(P6="",Y6="발주완료",Y6="취소"),"",TODAY()+P6)</f>
        <v/>
      </c>
      <c r="R6" s="35">
        <f>IF(OR(Q6="",NOT(ISNUMBER($J$2))),"",IF(Q6&lt;=$J$2,"가능","초과 "&amp;(Q6-$J$2)&amp;"일"))</f>
        <v/>
      </c>
      <c r="S6" s="36" t="n"/>
      <c r="T6" s="36" t="n"/>
      <c r="U6" s="36" t="n"/>
      <c r="V6" s="42" t="n"/>
      <c r="W6" s="41">
        <f>IF(OR(V6="",U6=""),"",V6+U6)</f>
        <v/>
      </c>
      <c r="X6" s="37" t="inlineStr">
        <is>
          <t>NEED TO CHECK NAMEPLATE OR DETAILS</t>
        </is>
      </c>
      <c r="Y6" s="36" t="inlineStr">
        <is>
          <t>정보 송부필요</t>
        </is>
      </c>
      <c r="Z6" s="37" t="inlineStr">
        <is>
          <t>명판 사진/상세정보 RMS에 송부</t>
        </is>
      </c>
    </row>
    <row r="7">
      <c r="A7" s="35">
        <f>IF(E7="","",ROW()-5)</f>
        <v/>
      </c>
      <c r="B7" s="36" t="inlineStr">
        <is>
          <t>KQU-000116304</t>
        </is>
      </c>
      <c r="C7" s="36" t="inlineStr">
        <is>
          <t>01</t>
        </is>
      </c>
      <c r="D7" s="36" t="inlineStr">
        <is>
          <t>NORGREN</t>
        </is>
      </c>
      <c r="E7" s="37" t="inlineStr">
        <is>
          <t>Service Kit for Air Filter</t>
        </is>
      </c>
      <c r="F7" s="37" t="inlineStr">
        <is>
          <t>Norgren / Kit F05G 40 mic</t>
        </is>
      </c>
      <c r="G7" s="37" t="inlineStr">
        <is>
          <t>Part no. 3653-28</t>
        </is>
      </c>
      <c r="H7" s="37" t="inlineStr">
        <is>
          <t>Emission Control System</t>
        </is>
      </c>
      <c r="I7" s="37" t="n"/>
      <c r="J7" s="36" t="n">
        <v>40</v>
      </c>
      <c r="K7" s="36" t="inlineStr">
        <is>
          <t>pcs</t>
        </is>
      </c>
      <c r="L7" s="36" t="inlineStr">
        <is>
          <t>RMS</t>
        </is>
      </c>
      <c r="M7" s="36" t="inlineStr">
        <is>
          <t>확인필요</t>
        </is>
      </c>
      <c r="N7" s="38" t="n"/>
      <c r="O7" s="39">
        <f>IF(OR(N7="",J7=""),"",N7*J7)</f>
        <v/>
      </c>
      <c r="P7" s="40" t="n"/>
      <c r="Q7" s="41">
        <f>IF(OR(P7="",Y7="발주완료",Y7="취소"),"",TODAY()+P7)</f>
        <v/>
      </c>
      <c r="R7" s="35">
        <f>IF(OR(Q7="",NOT(ISNUMBER($J$2))),"",IF(Q7&lt;=$J$2,"가능","초과 "&amp;(Q7-$J$2)&amp;"일"))</f>
        <v/>
      </c>
      <c r="S7" s="36" t="n"/>
      <c r="T7" s="36" t="n"/>
      <c r="U7" s="36" t="n"/>
      <c r="V7" s="42" t="n"/>
      <c r="W7" s="41">
        <f>IF(OR(V7="",U7=""),"",V7+U7)</f>
        <v/>
      </c>
      <c r="X7" s="37" t="inlineStr">
        <is>
          <t>NEED TO CHECK NAMEPLATE OR DETAILS</t>
        </is>
      </c>
      <c r="Y7" s="36" t="inlineStr">
        <is>
          <t>정보 송부필요</t>
        </is>
      </c>
      <c r="Z7" s="37" t="inlineStr">
        <is>
          <t>명판 사진/상세정보 RMS에 송부</t>
        </is>
      </c>
    </row>
    <row r="8">
      <c r="A8" s="35">
        <f>IF(E8="","",ROW()-5)</f>
        <v/>
      </c>
      <c r="B8" s="36" t="inlineStr">
        <is>
          <t>KQU-000116305</t>
        </is>
      </c>
      <c r="C8" s="36" t="inlineStr">
        <is>
          <t>03</t>
        </is>
      </c>
      <c r="D8" s="36" t="inlineStr">
        <is>
          <t>DANFOSS</t>
        </is>
      </c>
      <c r="E8" s="37" t="inlineStr">
        <is>
          <t>Pressure Transmitter</t>
        </is>
      </c>
      <c r="F8" s="37" t="inlineStr">
        <is>
          <t>Danfoss</t>
        </is>
      </c>
      <c r="G8" s="37" t="inlineStr">
        <is>
          <t>Type: MBS 3350
Code No.: 060G6529</t>
        </is>
      </c>
      <c r="H8" s="37" t="inlineStr">
        <is>
          <t>Emission Control System</t>
        </is>
      </c>
      <c r="I8" s="37" t="inlineStr">
        <is>
          <t>0...10 bar / 4...20 mA / 10-32 VDC</t>
        </is>
      </c>
      <c r="J8" s="36" t="n">
        <v>2</v>
      </c>
      <c r="K8" s="36" t="inlineStr">
        <is>
          <t>pcs</t>
        </is>
      </c>
      <c r="L8" s="36" t="inlineStr">
        <is>
          <t>RMS</t>
        </is>
      </c>
      <c r="M8" s="36" t="inlineStr">
        <is>
          <t>견적접수</t>
        </is>
      </c>
      <c r="N8" s="38" t="n">
        <v>249000</v>
      </c>
      <c r="O8" s="39">
        <f>IF(OR(N8="",J8=""),"",N8*J8)</f>
        <v/>
      </c>
      <c r="P8" s="40" t="n">
        <v>90</v>
      </c>
      <c r="Q8" s="41">
        <f>IF(OR(P8="",Y8="발주완료",Y8="취소"),"",TODAY()+P8)</f>
        <v/>
      </c>
      <c r="R8" s="35">
        <f>IF(OR(Q8="",NOT(ISNUMBER($J$2))),"",IF(Q8&lt;=$J$2,"가능","초과 "&amp;(Q8-$J$2)&amp;"일"))</f>
        <v/>
      </c>
      <c r="S8" s="36" t="inlineStr">
        <is>
          <t>GENUINE</t>
        </is>
      </c>
      <c r="T8" s="36" t="inlineStr">
        <is>
          <t>EX WORK BUSAN</t>
        </is>
      </c>
      <c r="U8" s="36" t="n">
        <v>20</v>
      </c>
      <c r="V8" s="42" t="n"/>
      <c r="W8" s="41">
        <f>IF(OR(V8="",U8=""),"",V8+U8)</f>
        <v/>
      </c>
      <c r="X8" s="37" t="inlineStr">
        <is>
          <t>ALL; D/T: 90 DAYS, GENUINE, EX WORK BUSAN [VALI: 20 DAYS]</t>
        </is>
      </c>
      <c r="Y8" s="36" t="inlineStr">
        <is>
          <t>검토중</t>
        </is>
      </c>
      <c r="Z8" s="37" t="n"/>
    </row>
    <row r="9">
      <c r="A9" s="35">
        <f>IF(E9="","",ROW()-5)</f>
        <v/>
      </c>
      <c r="B9" s="36" t="inlineStr">
        <is>
          <t>KQU-000116305</t>
        </is>
      </c>
      <c r="C9" s="36" t="inlineStr">
        <is>
          <t>03</t>
        </is>
      </c>
      <c r="D9" s="36" t="inlineStr">
        <is>
          <t>DANFOSS</t>
        </is>
      </c>
      <c r="E9" s="37" t="inlineStr">
        <is>
          <t>Pressure Transmitter</t>
        </is>
      </c>
      <c r="F9" s="37" t="inlineStr">
        <is>
          <t>Danfoss</t>
        </is>
      </c>
      <c r="G9" s="37" t="inlineStr">
        <is>
          <t>Type: MBS 3300
Code No.: 060G6395</t>
        </is>
      </c>
      <c r="H9" s="37" t="inlineStr">
        <is>
          <t>Emission Control System</t>
        </is>
      </c>
      <c r="I9" s="37" t="inlineStr">
        <is>
          <t>0...10 bar / 4...20 mA / 10-32 VDC</t>
        </is>
      </c>
      <c r="J9" s="36" t="n">
        <v>2</v>
      </c>
      <c r="K9" s="36" t="inlineStr">
        <is>
          <t>pcs</t>
        </is>
      </c>
      <c r="L9" s="36" t="inlineStr">
        <is>
          <t>RMS</t>
        </is>
      </c>
      <c r="M9" s="36" t="inlineStr">
        <is>
          <t>견적접수</t>
        </is>
      </c>
      <c r="N9" s="38" t="n">
        <v>180000</v>
      </c>
      <c r="O9" s="39">
        <f>IF(OR(N9="",J9=""),"",N9*J9)</f>
        <v/>
      </c>
      <c r="P9" s="40" t="n">
        <v>90</v>
      </c>
      <c r="Q9" s="41">
        <f>IF(OR(P9="",Y9="발주완료",Y9="취소"),"",TODAY()+P9)</f>
        <v/>
      </c>
      <c r="R9" s="35">
        <f>IF(OR(Q9="",NOT(ISNUMBER($J$2))),"",IF(Q9&lt;=$J$2,"가능","초과 "&amp;(Q9-$J$2)&amp;"일"))</f>
        <v/>
      </c>
      <c r="S9" s="36" t="inlineStr">
        <is>
          <t>GENUINE</t>
        </is>
      </c>
      <c r="T9" s="36" t="inlineStr">
        <is>
          <t>EX WORK BUSAN</t>
        </is>
      </c>
      <c r="U9" s="36" t="n">
        <v>20</v>
      </c>
      <c r="V9" s="42" t="n"/>
      <c r="W9" s="41">
        <f>IF(OR(V9="",U9=""),"",V9+U9)</f>
        <v/>
      </c>
      <c r="X9" s="37" t="inlineStr">
        <is>
          <t>ALL; D/T: 90 DAYS, GENUINE, EX WORK BUSAN [VALI: 20 DAYS]</t>
        </is>
      </c>
      <c r="Y9" s="36" t="inlineStr">
        <is>
          <t>검토중</t>
        </is>
      </c>
      <c r="Z9" s="37" t="n"/>
    </row>
    <row r="10">
      <c r="A10" s="35">
        <f>IF(E10="","",ROW()-5)</f>
        <v/>
      </c>
      <c r="B10" s="36" t="n"/>
      <c r="C10" s="36" t="n"/>
      <c r="D10" s="36" t="n"/>
      <c r="E10" s="37" t="n"/>
      <c r="F10" s="37" t="n"/>
      <c r="G10" s="37" t="n"/>
      <c r="H10" s="37" t="n"/>
      <c r="I10" s="37" t="n"/>
      <c r="J10" s="36" t="n"/>
      <c r="K10" s="36" t="n"/>
      <c r="L10" s="36" t="n"/>
      <c r="M10" s="36" t="n"/>
      <c r="N10" s="38" t="n"/>
      <c r="O10" s="39">
        <f>IF(OR(N10="",J10=""),"",N10*J10)</f>
        <v/>
      </c>
      <c r="P10" s="40" t="n"/>
      <c r="Q10" s="41">
        <f>IF(OR(P10="",Y10="발주완료",Y10="취소"),"",TODAY()+P10)</f>
        <v/>
      </c>
      <c r="R10" s="35">
        <f>IF(OR(Q10="",NOT(ISNUMBER($J$2))),"",IF(Q10&lt;=$J$2,"가능","초과 "&amp;(Q10-$J$2)&amp;"일"))</f>
        <v/>
      </c>
      <c r="S10" s="36" t="n"/>
      <c r="T10" s="36" t="n"/>
      <c r="U10" s="36" t="n"/>
      <c r="V10" s="43" t="n"/>
      <c r="W10" s="41">
        <f>IF(OR(V10="",U10=""),"",V10+U10)</f>
        <v/>
      </c>
      <c r="X10" s="37" t="n"/>
      <c r="Y10" s="36" t="n"/>
      <c r="Z10" s="37" t="n"/>
    </row>
    <row r="11">
      <c r="A11" s="35">
        <f>IF(E11="","",ROW()-5)</f>
        <v/>
      </c>
      <c r="B11" s="36" t="n"/>
      <c r="C11" s="36" t="n"/>
      <c r="D11" s="36" t="n"/>
      <c r="E11" s="37" t="n"/>
      <c r="F11" s="37" t="n"/>
      <c r="G11" s="37" t="n"/>
      <c r="H11" s="37" t="n"/>
      <c r="I11" s="37" t="n"/>
      <c r="J11" s="36" t="n"/>
      <c r="K11" s="36" t="n"/>
      <c r="L11" s="36" t="n"/>
      <c r="M11" s="36" t="n"/>
      <c r="N11" s="38" t="n"/>
      <c r="O11" s="39">
        <f>IF(OR(N11="",J11=""),"",N11*J11)</f>
        <v/>
      </c>
      <c r="P11" s="40" t="n"/>
      <c r="Q11" s="41">
        <f>IF(OR(P11="",Y11="발주완료",Y11="취소"),"",TODAY()+P11)</f>
        <v/>
      </c>
      <c r="R11" s="35">
        <f>IF(OR(Q11="",NOT(ISNUMBER($J$2))),"",IF(Q11&lt;=$J$2,"가능","초과 "&amp;(Q11-$J$2)&amp;"일"))</f>
        <v/>
      </c>
      <c r="S11" s="36" t="n"/>
      <c r="T11" s="36" t="n"/>
      <c r="U11" s="36" t="n"/>
      <c r="V11" s="43" t="n"/>
      <c r="W11" s="41">
        <f>IF(OR(V11="",U11=""),"",V11+U11)</f>
        <v/>
      </c>
      <c r="X11" s="37" t="n"/>
      <c r="Y11" s="36" t="n"/>
      <c r="Z11" s="37" t="n"/>
    </row>
    <row r="12">
      <c r="A12" s="35">
        <f>IF(E12="","",ROW()-5)</f>
        <v/>
      </c>
      <c r="B12" s="36" t="n"/>
      <c r="C12" s="36" t="n"/>
      <c r="D12" s="36" t="n"/>
      <c r="E12" s="37" t="n"/>
      <c r="F12" s="37" t="n"/>
      <c r="G12" s="37" t="n"/>
      <c r="H12" s="37" t="n"/>
      <c r="I12" s="37" t="n"/>
      <c r="J12" s="36" t="n"/>
      <c r="K12" s="36" t="n"/>
      <c r="L12" s="36" t="n"/>
      <c r="M12" s="36" t="n"/>
      <c r="N12" s="38" t="n"/>
      <c r="O12" s="39">
        <f>IF(OR(N12="",J12=""),"",N12*J12)</f>
        <v/>
      </c>
      <c r="P12" s="40" t="n"/>
      <c r="Q12" s="41">
        <f>IF(OR(P12="",Y12="발주완료",Y12="취소"),"",TODAY()+P12)</f>
        <v/>
      </c>
      <c r="R12" s="35">
        <f>IF(OR(Q12="",NOT(ISNUMBER($J$2))),"",IF(Q12&lt;=$J$2,"가능","초과 "&amp;(Q12-$J$2)&amp;"일"))</f>
        <v/>
      </c>
      <c r="S12" s="36" t="n"/>
      <c r="T12" s="36" t="n"/>
      <c r="U12" s="36" t="n"/>
      <c r="V12" s="43" t="n"/>
      <c r="W12" s="41">
        <f>IF(OR(V12="",U12=""),"",V12+U12)</f>
        <v/>
      </c>
      <c r="X12" s="37" t="n"/>
      <c r="Y12" s="36" t="n"/>
      <c r="Z12" s="37" t="n"/>
    </row>
    <row r="13">
      <c r="A13" s="35">
        <f>IF(E13="","",ROW()-5)</f>
        <v/>
      </c>
      <c r="B13" s="36" t="n"/>
      <c r="C13" s="36" t="n"/>
      <c r="D13" s="36" t="n"/>
      <c r="E13" s="37" t="n"/>
      <c r="F13" s="37" t="n"/>
      <c r="G13" s="37" t="n"/>
      <c r="H13" s="37" t="n"/>
      <c r="I13" s="37" t="n"/>
      <c r="J13" s="36" t="n"/>
      <c r="K13" s="36" t="n"/>
      <c r="L13" s="36" t="n"/>
      <c r="M13" s="36" t="n"/>
      <c r="N13" s="38" t="n"/>
      <c r="O13" s="39">
        <f>IF(OR(N13="",J13=""),"",N13*J13)</f>
        <v/>
      </c>
      <c r="P13" s="40" t="n"/>
      <c r="Q13" s="41">
        <f>IF(OR(P13="",Y13="발주완료",Y13="취소"),"",TODAY()+P13)</f>
        <v/>
      </c>
      <c r="R13" s="35">
        <f>IF(OR(Q13="",NOT(ISNUMBER($J$2))),"",IF(Q13&lt;=$J$2,"가능","초과 "&amp;(Q13-$J$2)&amp;"일"))</f>
        <v/>
      </c>
      <c r="S13" s="36" t="n"/>
      <c r="T13" s="36" t="n"/>
      <c r="U13" s="36" t="n"/>
      <c r="V13" s="43" t="n"/>
      <c r="W13" s="41">
        <f>IF(OR(V13="",U13=""),"",V13+U13)</f>
        <v/>
      </c>
      <c r="X13" s="37" t="n"/>
      <c r="Y13" s="36" t="n"/>
      <c r="Z13" s="37" t="n"/>
    </row>
    <row r="14">
      <c r="A14" s="35">
        <f>IF(E14="","",ROW()-5)</f>
        <v/>
      </c>
      <c r="B14" s="36" t="n"/>
      <c r="C14" s="36" t="n"/>
      <c r="D14" s="36" t="n"/>
      <c r="E14" s="37" t="n"/>
      <c r="F14" s="37" t="n"/>
      <c r="G14" s="37" t="n"/>
      <c r="H14" s="37" t="n"/>
      <c r="I14" s="37" t="n"/>
      <c r="J14" s="36" t="n"/>
      <c r="K14" s="36" t="n"/>
      <c r="L14" s="36" t="n"/>
      <c r="M14" s="36" t="n"/>
      <c r="N14" s="38" t="n"/>
      <c r="O14" s="39">
        <f>IF(OR(N14="",J14=""),"",N14*J14)</f>
        <v/>
      </c>
      <c r="P14" s="40" t="n"/>
      <c r="Q14" s="41">
        <f>IF(OR(P14="",Y14="발주완료",Y14="취소"),"",TODAY()+P14)</f>
        <v/>
      </c>
      <c r="R14" s="35">
        <f>IF(OR(Q14="",NOT(ISNUMBER($J$2))),"",IF(Q14&lt;=$J$2,"가능","초과 "&amp;(Q14-$J$2)&amp;"일"))</f>
        <v/>
      </c>
      <c r="S14" s="36" t="n"/>
      <c r="T14" s="36" t="n"/>
      <c r="U14" s="36" t="n"/>
      <c r="V14" s="43" t="n"/>
      <c r="W14" s="41">
        <f>IF(OR(V14="",U14=""),"",V14+U14)</f>
        <v/>
      </c>
      <c r="X14" s="37" t="n"/>
      <c r="Y14" s="36" t="n"/>
      <c r="Z14" s="37" t="n"/>
    </row>
    <row r="15">
      <c r="A15" s="35">
        <f>IF(E15="","",ROW()-5)</f>
        <v/>
      </c>
      <c r="B15" s="36" t="n"/>
      <c r="C15" s="36" t="n"/>
      <c r="D15" s="36" t="n"/>
      <c r="E15" s="37" t="n"/>
      <c r="F15" s="37" t="n"/>
      <c r="G15" s="37" t="n"/>
      <c r="H15" s="37" t="n"/>
      <c r="I15" s="37" t="n"/>
      <c r="J15" s="36" t="n"/>
      <c r="K15" s="36" t="n"/>
      <c r="L15" s="36" t="n"/>
      <c r="M15" s="36" t="n"/>
      <c r="N15" s="38" t="n"/>
      <c r="O15" s="39">
        <f>IF(OR(N15="",J15=""),"",N15*J15)</f>
        <v/>
      </c>
      <c r="P15" s="40" t="n"/>
      <c r="Q15" s="41">
        <f>IF(OR(P15="",Y15="발주완료",Y15="취소"),"",TODAY()+P15)</f>
        <v/>
      </c>
      <c r="R15" s="35">
        <f>IF(OR(Q15="",NOT(ISNUMBER($J$2))),"",IF(Q15&lt;=$J$2,"가능","초과 "&amp;(Q15-$J$2)&amp;"일"))</f>
        <v/>
      </c>
      <c r="S15" s="36" t="n"/>
      <c r="T15" s="36" t="n"/>
      <c r="U15" s="36" t="n"/>
      <c r="V15" s="43" t="n"/>
      <c r="W15" s="41">
        <f>IF(OR(V15="",U15=""),"",V15+U15)</f>
        <v/>
      </c>
      <c r="X15" s="37" t="n"/>
      <c r="Y15" s="36" t="n"/>
      <c r="Z15" s="37" t="n"/>
    </row>
    <row r="16">
      <c r="A16" s="35">
        <f>IF(E16="","",ROW()-5)</f>
        <v/>
      </c>
      <c r="B16" s="36" t="n"/>
      <c r="C16" s="36" t="n"/>
      <c r="D16" s="36" t="n"/>
      <c r="E16" s="37" t="n"/>
      <c r="F16" s="37" t="n"/>
      <c r="G16" s="37" t="n"/>
      <c r="H16" s="37" t="n"/>
      <c r="I16" s="37" t="n"/>
      <c r="J16" s="36" t="n"/>
      <c r="K16" s="36" t="n"/>
      <c r="L16" s="36" t="n"/>
      <c r="M16" s="36" t="n"/>
      <c r="N16" s="38" t="n"/>
      <c r="O16" s="39">
        <f>IF(OR(N16="",J16=""),"",N16*J16)</f>
        <v/>
      </c>
      <c r="P16" s="40" t="n"/>
      <c r="Q16" s="41">
        <f>IF(OR(P16="",Y16="발주완료",Y16="취소"),"",TODAY()+P16)</f>
        <v/>
      </c>
      <c r="R16" s="35">
        <f>IF(OR(Q16="",NOT(ISNUMBER($J$2))),"",IF(Q16&lt;=$J$2,"가능","초과 "&amp;(Q16-$J$2)&amp;"일"))</f>
        <v/>
      </c>
      <c r="S16" s="36" t="n"/>
      <c r="T16" s="36" t="n"/>
      <c r="U16" s="36" t="n"/>
      <c r="V16" s="43" t="n"/>
      <c r="W16" s="41">
        <f>IF(OR(V16="",U16=""),"",V16+U16)</f>
        <v/>
      </c>
      <c r="X16" s="37" t="n"/>
      <c r="Y16" s="36" t="n"/>
      <c r="Z16" s="37" t="n"/>
    </row>
    <row r="17">
      <c r="A17" s="35">
        <f>IF(E17="","",ROW()-5)</f>
        <v/>
      </c>
      <c r="B17" s="36" t="n"/>
      <c r="C17" s="36" t="n"/>
      <c r="D17" s="36" t="n"/>
      <c r="E17" s="37" t="n"/>
      <c r="F17" s="37" t="n"/>
      <c r="G17" s="37" t="n"/>
      <c r="H17" s="37" t="n"/>
      <c r="I17" s="37" t="n"/>
      <c r="J17" s="36" t="n"/>
      <c r="K17" s="36" t="n"/>
      <c r="L17" s="36" t="n"/>
      <c r="M17" s="36" t="n"/>
      <c r="N17" s="38" t="n"/>
      <c r="O17" s="39">
        <f>IF(OR(N17="",J17=""),"",N17*J17)</f>
        <v/>
      </c>
      <c r="P17" s="40" t="n"/>
      <c r="Q17" s="41">
        <f>IF(OR(P17="",Y17="발주완료",Y17="취소"),"",TODAY()+P17)</f>
        <v/>
      </c>
      <c r="R17" s="35">
        <f>IF(OR(Q17="",NOT(ISNUMBER($J$2))),"",IF(Q17&lt;=$J$2,"가능","초과 "&amp;(Q17-$J$2)&amp;"일"))</f>
        <v/>
      </c>
      <c r="S17" s="36" t="n"/>
      <c r="T17" s="36" t="n"/>
      <c r="U17" s="36" t="n"/>
      <c r="V17" s="43" t="n"/>
      <c r="W17" s="41">
        <f>IF(OR(V17="",U17=""),"",V17+U17)</f>
        <v/>
      </c>
      <c r="X17" s="37" t="n"/>
      <c r="Y17" s="36" t="n"/>
      <c r="Z17" s="37" t="n"/>
    </row>
    <row r="18">
      <c r="A18" s="35">
        <f>IF(E18="","",ROW()-5)</f>
        <v/>
      </c>
      <c r="B18" s="36" t="n"/>
      <c r="C18" s="36" t="n"/>
      <c r="D18" s="36" t="n"/>
      <c r="E18" s="37" t="n"/>
      <c r="F18" s="37" t="n"/>
      <c r="G18" s="37" t="n"/>
      <c r="H18" s="37" t="n"/>
      <c r="I18" s="37" t="n"/>
      <c r="J18" s="36" t="n"/>
      <c r="K18" s="36" t="n"/>
      <c r="L18" s="36" t="n"/>
      <c r="M18" s="36" t="n"/>
      <c r="N18" s="38" t="n"/>
      <c r="O18" s="39">
        <f>IF(OR(N18="",J18=""),"",N18*J18)</f>
        <v/>
      </c>
      <c r="P18" s="40" t="n"/>
      <c r="Q18" s="41">
        <f>IF(OR(P18="",Y18="발주완료",Y18="취소"),"",TODAY()+P18)</f>
        <v/>
      </c>
      <c r="R18" s="35">
        <f>IF(OR(Q18="",NOT(ISNUMBER($J$2))),"",IF(Q18&lt;=$J$2,"가능","초과 "&amp;(Q18-$J$2)&amp;"일"))</f>
        <v/>
      </c>
      <c r="S18" s="36" t="n"/>
      <c r="T18" s="36" t="n"/>
      <c r="U18" s="36" t="n"/>
      <c r="V18" s="43" t="n"/>
      <c r="W18" s="41">
        <f>IF(OR(V18="",U18=""),"",V18+U18)</f>
        <v/>
      </c>
      <c r="X18" s="37" t="n"/>
      <c r="Y18" s="36" t="n"/>
      <c r="Z18" s="37" t="n"/>
    </row>
    <row r="19">
      <c r="A19" s="35">
        <f>IF(E19="","",ROW()-5)</f>
        <v/>
      </c>
      <c r="B19" s="36" t="n"/>
      <c r="C19" s="36" t="n"/>
      <c r="D19" s="36" t="n"/>
      <c r="E19" s="37" t="n"/>
      <c r="F19" s="37" t="n"/>
      <c r="G19" s="37" t="n"/>
      <c r="H19" s="37" t="n"/>
      <c r="I19" s="37" t="n"/>
      <c r="J19" s="36" t="n"/>
      <c r="K19" s="36" t="n"/>
      <c r="L19" s="36" t="n"/>
      <c r="M19" s="36" t="n"/>
      <c r="N19" s="38" t="n"/>
      <c r="O19" s="39">
        <f>IF(OR(N19="",J19=""),"",N19*J19)</f>
        <v/>
      </c>
      <c r="P19" s="40" t="n"/>
      <c r="Q19" s="41">
        <f>IF(OR(P19="",Y19="발주완료",Y19="취소"),"",TODAY()+P19)</f>
        <v/>
      </c>
      <c r="R19" s="35">
        <f>IF(OR(Q19="",NOT(ISNUMBER($J$2))),"",IF(Q19&lt;=$J$2,"가능","초과 "&amp;(Q19-$J$2)&amp;"일"))</f>
        <v/>
      </c>
      <c r="S19" s="36" t="n"/>
      <c r="T19" s="36" t="n"/>
      <c r="U19" s="36" t="n"/>
      <c r="V19" s="43" t="n"/>
      <c r="W19" s="41">
        <f>IF(OR(V19="",U19=""),"",V19+U19)</f>
        <v/>
      </c>
      <c r="X19" s="37" t="n"/>
      <c r="Y19" s="36" t="n"/>
      <c r="Z19" s="37" t="n"/>
    </row>
    <row r="20">
      <c r="A20" s="35">
        <f>IF(E20="","",ROW()-5)</f>
        <v/>
      </c>
      <c r="B20" s="36" t="n"/>
      <c r="C20" s="36" t="n"/>
      <c r="D20" s="36" t="n"/>
      <c r="E20" s="37" t="n"/>
      <c r="F20" s="37" t="n"/>
      <c r="G20" s="37" t="n"/>
      <c r="H20" s="37" t="n"/>
      <c r="I20" s="37" t="n"/>
      <c r="J20" s="36" t="n"/>
      <c r="K20" s="36" t="n"/>
      <c r="L20" s="36" t="n"/>
      <c r="M20" s="36" t="n"/>
      <c r="N20" s="38" t="n"/>
      <c r="O20" s="39">
        <f>IF(OR(N20="",J20=""),"",N20*J20)</f>
        <v/>
      </c>
      <c r="P20" s="40" t="n"/>
      <c r="Q20" s="41">
        <f>IF(OR(P20="",Y20="발주완료",Y20="취소"),"",TODAY()+P20)</f>
        <v/>
      </c>
      <c r="R20" s="35">
        <f>IF(OR(Q20="",NOT(ISNUMBER($J$2))),"",IF(Q20&lt;=$J$2,"가능","초과 "&amp;(Q20-$J$2)&amp;"일"))</f>
        <v/>
      </c>
      <c r="S20" s="36" t="n"/>
      <c r="T20" s="36" t="n"/>
      <c r="U20" s="36" t="n"/>
      <c r="V20" s="43" t="n"/>
      <c r="W20" s="41">
        <f>IF(OR(V20="",U20=""),"",V20+U20)</f>
        <v/>
      </c>
      <c r="X20" s="37" t="n"/>
      <c r="Y20" s="36" t="n"/>
      <c r="Z20" s="37" t="n"/>
    </row>
    <row r="21">
      <c r="A21" s="35">
        <f>IF(E21="","",ROW()-5)</f>
        <v/>
      </c>
      <c r="B21" s="36" t="n"/>
      <c r="C21" s="36" t="n"/>
      <c r="D21" s="36" t="n"/>
      <c r="E21" s="37" t="n"/>
      <c r="F21" s="37" t="n"/>
      <c r="G21" s="37" t="n"/>
      <c r="H21" s="37" t="n"/>
      <c r="I21" s="37" t="n"/>
      <c r="J21" s="36" t="n"/>
      <c r="K21" s="36" t="n"/>
      <c r="L21" s="36" t="n"/>
      <c r="M21" s="36" t="n"/>
      <c r="N21" s="38" t="n"/>
      <c r="O21" s="39">
        <f>IF(OR(N21="",J21=""),"",N21*J21)</f>
        <v/>
      </c>
      <c r="P21" s="40" t="n"/>
      <c r="Q21" s="41">
        <f>IF(OR(P21="",Y21="발주완료",Y21="취소"),"",TODAY()+P21)</f>
        <v/>
      </c>
      <c r="R21" s="35">
        <f>IF(OR(Q21="",NOT(ISNUMBER($J$2))),"",IF(Q21&lt;=$J$2,"가능","초과 "&amp;(Q21-$J$2)&amp;"일"))</f>
        <v/>
      </c>
      <c r="S21" s="36" t="n"/>
      <c r="T21" s="36" t="n"/>
      <c r="U21" s="36" t="n"/>
      <c r="V21" s="43" t="n"/>
      <c r="W21" s="41">
        <f>IF(OR(V21="",U21=""),"",V21+U21)</f>
        <v/>
      </c>
      <c r="X21" s="37" t="n"/>
      <c r="Y21" s="36" t="n"/>
      <c r="Z21" s="37" t="n"/>
    </row>
    <row r="22">
      <c r="A22" s="35">
        <f>IF(E22="","",ROW()-5)</f>
        <v/>
      </c>
      <c r="B22" s="36" t="n"/>
      <c r="C22" s="36" t="n"/>
      <c r="D22" s="36" t="n"/>
      <c r="E22" s="37" t="n"/>
      <c r="F22" s="37" t="n"/>
      <c r="G22" s="37" t="n"/>
      <c r="H22" s="37" t="n"/>
      <c r="I22" s="37" t="n"/>
      <c r="J22" s="36" t="n"/>
      <c r="K22" s="36" t="n"/>
      <c r="L22" s="36" t="n"/>
      <c r="M22" s="36" t="n"/>
      <c r="N22" s="38" t="n"/>
      <c r="O22" s="39">
        <f>IF(OR(N22="",J22=""),"",N22*J22)</f>
        <v/>
      </c>
      <c r="P22" s="40" t="n"/>
      <c r="Q22" s="41">
        <f>IF(OR(P22="",Y22="발주완료",Y22="취소"),"",TODAY()+P22)</f>
        <v/>
      </c>
      <c r="R22" s="35">
        <f>IF(OR(Q22="",NOT(ISNUMBER($J$2))),"",IF(Q22&lt;=$J$2,"가능","초과 "&amp;(Q22-$J$2)&amp;"일"))</f>
        <v/>
      </c>
      <c r="S22" s="36" t="n"/>
      <c r="T22" s="36" t="n"/>
      <c r="U22" s="36" t="n"/>
      <c r="V22" s="43" t="n"/>
      <c r="W22" s="41">
        <f>IF(OR(V22="",U22=""),"",V22+U22)</f>
        <v/>
      </c>
      <c r="X22" s="37" t="n"/>
      <c r="Y22" s="36" t="n"/>
      <c r="Z22" s="37" t="n"/>
    </row>
    <row r="23">
      <c r="A23" s="35">
        <f>IF(E23="","",ROW()-5)</f>
        <v/>
      </c>
      <c r="B23" s="36" t="n"/>
      <c r="C23" s="36" t="n"/>
      <c r="D23" s="36" t="n"/>
      <c r="E23" s="37" t="n"/>
      <c r="F23" s="37" t="n"/>
      <c r="G23" s="37" t="n"/>
      <c r="H23" s="37" t="n"/>
      <c r="I23" s="37" t="n"/>
      <c r="J23" s="36" t="n"/>
      <c r="K23" s="36" t="n"/>
      <c r="L23" s="36" t="n"/>
      <c r="M23" s="36" t="n"/>
      <c r="N23" s="38" t="n"/>
      <c r="O23" s="39">
        <f>IF(OR(N23="",J23=""),"",N23*J23)</f>
        <v/>
      </c>
      <c r="P23" s="40" t="n"/>
      <c r="Q23" s="41">
        <f>IF(OR(P23="",Y23="발주완료",Y23="취소"),"",TODAY()+P23)</f>
        <v/>
      </c>
      <c r="R23" s="35">
        <f>IF(OR(Q23="",NOT(ISNUMBER($J$2))),"",IF(Q23&lt;=$J$2,"가능","초과 "&amp;(Q23-$J$2)&amp;"일"))</f>
        <v/>
      </c>
      <c r="S23" s="36" t="n"/>
      <c r="T23" s="36" t="n"/>
      <c r="U23" s="36" t="n"/>
      <c r="V23" s="43" t="n"/>
      <c r="W23" s="41">
        <f>IF(OR(V23="",U23=""),"",V23+U23)</f>
        <v/>
      </c>
      <c r="X23" s="37" t="n"/>
      <c r="Y23" s="36" t="n"/>
      <c r="Z23" s="37" t="n"/>
    </row>
    <row r="24">
      <c r="A24" s="35">
        <f>IF(E24="","",ROW()-5)</f>
        <v/>
      </c>
      <c r="B24" s="36" t="n"/>
      <c r="C24" s="36" t="n"/>
      <c r="D24" s="36" t="n"/>
      <c r="E24" s="37" t="n"/>
      <c r="F24" s="37" t="n"/>
      <c r="G24" s="37" t="n"/>
      <c r="H24" s="37" t="n"/>
      <c r="I24" s="37" t="n"/>
      <c r="J24" s="36" t="n"/>
      <c r="K24" s="36" t="n"/>
      <c r="L24" s="36" t="n"/>
      <c r="M24" s="36" t="n"/>
      <c r="N24" s="38" t="n"/>
      <c r="O24" s="39">
        <f>IF(OR(N24="",J24=""),"",N24*J24)</f>
        <v/>
      </c>
      <c r="P24" s="40" t="n"/>
      <c r="Q24" s="41">
        <f>IF(OR(P24="",Y24="발주완료",Y24="취소"),"",TODAY()+P24)</f>
        <v/>
      </c>
      <c r="R24" s="35">
        <f>IF(OR(Q24="",NOT(ISNUMBER($J$2))),"",IF(Q24&lt;=$J$2,"가능","초과 "&amp;(Q24-$J$2)&amp;"일"))</f>
        <v/>
      </c>
      <c r="S24" s="36" t="n"/>
      <c r="T24" s="36" t="n"/>
      <c r="U24" s="36" t="n"/>
      <c r="V24" s="43" t="n"/>
      <c r="W24" s="41">
        <f>IF(OR(V24="",U24=""),"",V24+U24)</f>
        <v/>
      </c>
      <c r="X24" s="37" t="n"/>
      <c r="Y24" s="36" t="n"/>
      <c r="Z24" s="37" t="n"/>
    </row>
    <row r="25">
      <c r="A25" s="35">
        <f>IF(E25="","",ROW()-5)</f>
        <v/>
      </c>
      <c r="B25" s="36" t="n"/>
      <c r="C25" s="36" t="n"/>
      <c r="D25" s="36" t="n"/>
      <c r="E25" s="37" t="n"/>
      <c r="F25" s="37" t="n"/>
      <c r="G25" s="37" t="n"/>
      <c r="H25" s="37" t="n"/>
      <c r="I25" s="37" t="n"/>
      <c r="J25" s="36" t="n"/>
      <c r="K25" s="36" t="n"/>
      <c r="L25" s="36" t="n"/>
      <c r="M25" s="36" t="n"/>
      <c r="N25" s="38" t="n"/>
      <c r="O25" s="39">
        <f>IF(OR(N25="",J25=""),"",N25*J25)</f>
        <v/>
      </c>
      <c r="P25" s="40" t="n"/>
      <c r="Q25" s="41">
        <f>IF(OR(P25="",Y25="발주완료",Y25="취소"),"",TODAY()+P25)</f>
        <v/>
      </c>
      <c r="R25" s="35">
        <f>IF(OR(Q25="",NOT(ISNUMBER($J$2))),"",IF(Q25&lt;=$J$2,"가능","초과 "&amp;(Q25-$J$2)&amp;"일"))</f>
        <v/>
      </c>
      <c r="S25" s="36" t="n"/>
      <c r="T25" s="36" t="n"/>
      <c r="U25" s="36" t="n"/>
      <c r="V25" s="43" t="n"/>
      <c r="W25" s="41">
        <f>IF(OR(V25="",U25=""),"",V25+U25)</f>
        <v/>
      </c>
      <c r="X25" s="37" t="n"/>
      <c r="Y25" s="36" t="n"/>
      <c r="Z25" s="37" t="n"/>
    </row>
    <row r="26">
      <c r="A26" s="35">
        <f>IF(E26="","",ROW()-5)</f>
        <v/>
      </c>
      <c r="B26" s="36" t="n"/>
      <c r="C26" s="36" t="n"/>
      <c r="D26" s="36" t="n"/>
      <c r="E26" s="37" t="n"/>
      <c r="F26" s="37" t="n"/>
      <c r="G26" s="37" t="n"/>
      <c r="H26" s="37" t="n"/>
      <c r="I26" s="37" t="n"/>
      <c r="J26" s="36" t="n"/>
      <c r="K26" s="36" t="n"/>
      <c r="L26" s="36" t="n"/>
      <c r="M26" s="36" t="n"/>
      <c r="N26" s="38" t="n"/>
      <c r="O26" s="39">
        <f>IF(OR(N26="",J26=""),"",N26*J26)</f>
        <v/>
      </c>
      <c r="P26" s="40" t="n"/>
      <c r="Q26" s="41">
        <f>IF(OR(P26="",Y26="발주완료",Y26="취소"),"",TODAY()+P26)</f>
        <v/>
      </c>
      <c r="R26" s="35">
        <f>IF(OR(Q26="",NOT(ISNUMBER($J$2))),"",IF(Q26&lt;=$J$2,"가능","초과 "&amp;(Q26-$J$2)&amp;"일"))</f>
        <v/>
      </c>
      <c r="S26" s="36" t="n"/>
      <c r="T26" s="36" t="n"/>
      <c r="U26" s="36" t="n"/>
      <c r="V26" s="43" t="n"/>
      <c r="W26" s="41">
        <f>IF(OR(V26="",U26=""),"",V26+U26)</f>
        <v/>
      </c>
      <c r="X26" s="37" t="n"/>
      <c r="Y26" s="36" t="n"/>
      <c r="Z26" s="37" t="n"/>
    </row>
    <row r="27">
      <c r="A27" s="35">
        <f>IF(E27="","",ROW()-5)</f>
        <v/>
      </c>
      <c r="B27" s="36" t="n"/>
      <c r="C27" s="36" t="n"/>
      <c r="D27" s="36" t="n"/>
      <c r="E27" s="37" t="n"/>
      <c r="F27" s="37" t="n"/>
      <c r="G27" s="37" t="n"/>
      <c r="H27" s="37" t="n"/>
      <c r="I27" s="37" t="n"/>
      <c r="J27" s="36" t="n"/>
      <c r="K27" s="36" t="n"/>
      <c r="L27" s="36" t="n"/>
      <c r="M27" s="36" t="n"/>
      <c r="N27" s="38" t="n"/>
      <c r="O27" s="39">
        <f>IF(OR(N27="",J27=""),"",N27*J27)</f>
        <v/>
      </c>
      <c r="P27" s="40" t="n"/>
      <c r="Q27" s="41">
        <f>IF(OR(P27="",Y27="발주완료",Y27="취소"),"",TODAY()+P27)</f>
        <v/>
      </c>
      <c r="R27" s="35">
        <f>IF(OR(Q27="",NOT(ISNUMBER($J$2))),"",IF(Q27&lt;=$J$2,"가능","초과 "&amp;(Q27-$J$2)&amp;"일"))</f>
        <v/>
      </c>
      <c r="S27" s="36" t="n"/>
      <c r="T27" s="36" t="n"/>
      <c r="U27" s="36" t="n"/>
      <c r="V27" s="43" t="n"/>
      <c r="W27" s="41">
        <f>IF(OR(V27="",U27=""),"",V27+U27)</f>
        <v/>
      </c>
      <c r="X27" s="37" t="n"/>
      <c r="Y27" s="36" t="n"/>
      <c r="Z27" s="37" t="n"/>
    </row>
    <row r="28">
      <c r="A28" s="35">
        <f>IF(E28="","",ROW()-5)</f>
        <v/>
      </c>
      <c r="B28" s="36" t="n"/>
      <c r="C28" s="36" t="n"/>
      <c r="D28" s="36" t="n"/>
      <c r="E28" s="37" t="n"/>
      <c r="F28" s="37" t="n"/>
      <c r="G28" s="37" t="n"/>
      <c r="H28" s="37" t="n"/>
      <c r="I28" s="37" t="n"/>
      <c r="J28" s="36" t="n"/>
      <c r="K28" s="36" t="n"/>
      <c r="L28" s="36" t="n"/>
      <c r="M28" s="36" t="n"/>
      <c r="N28" s="38" t="n"/>
      <c r="O28" s="39">
        <f>IF(OR(N28="",J28=""),"",N28*J28)</f>
        <v/>
      </c>
      <c r="P28" s="40" t="n"/>
      <c r="Q28" s="41">
        <f>IF(OR(P28="",Y28="발주완료",Y28="취소"),"",TODAY()+P28)</f>
        <v/>
      </c>
      <c r="R28" s="35">
        <f>IF(OR(Q28="",NOT(ISNUMBER($J$2))),"",IF(Q28&lt;=$J$2,"가능","초과 "&amp;(Q28-$J$2)&amp;"일"))</f>
        <v/>
      </c>
      <c r="S28" s="36" t="n"/>
      <c r="T28" s="36" t="n"/>
      <c r="U28" s="36" t="n"/>
      <c r="V28" s="43" t="n"/>
      <c r="W28" s="41">
        <f>IF(OR(V28="",U28=""),"",V28+U28)</f>
        <v/>
      </c>
      <c r="X28" s="37" t="n"/>
      <c r="Y28" s="36" t="n"/>
      <c r="Z28" s="37" t="n"/>
    </row>
    <row r="29">
      <c r="A29" s="35">
        <f>IF(E29="","",ROW()-5)</f>
        <v/>
      </c>
      <c r="B29" s="36" t="n"/>
      <c r="C29" s="36" t="n"/>
      <c r="D29" s="36" t="n"/>
      <c r="E29" s="37" t="n"/>
      <c r="F29" s="37" t="n"/>
      <c r="G29" s="37" t="n"/>
      <c r="H29" s="37" t="n"/>
      <c r="I29" s="37" t="n"/>
      <c r="J29" s="36" t="n"/>
      <c r="K29" s="36" t="n"/>
      <c r="L29" s="36" t="n"/>
      <c r="M29" s="36" t="n"/>
      <c r="N29" s="38" t="n"/>
      <c r="O29" s="39">
        <f>IF(OR(N29="",J29=""),"",N29*J29)</f>
        <v/>
      </c>
      <c r="P29" s="40" t="n"/>
      <c r="Q29" s="41">
        <f>IF(OR(P29="",Y29="발주완료",Y29="취소"),"",TODAY()+P29)</f>
        <v/>
      </c>
      <c r="R29" s="35">
        <f>IF(OR(Q29="",NOT(ISNUMBER($J$2))),"",IF(Q29&lt;=$J$2,"가능","초과 "&amp;(Q29-$J$2)&amp;"일"))</f>
        <v/>
      </c>
      <c r="S29" s="36" t="n"/>
      <c r="T29" s="36" t="n"/>
      <c r="U29" s="36" t="n"/>
      <c r="V29" s="43" t="n"/>
      <c r="W29" s="41">
        <f>IF(OR(V29="",U29=""),"",V29+U29)</f>
        <v/>
      </c>
      <c r="X29" s="37" t="n"/>
      <c r="Y29" s="36" t="n"/>
      <c r="Z29" s="37" t="n"/>
    </row>
    <row r="30">
      <c r="A30" s="35">
        <f>IF(E30="","",ROW()-5)</f>
        <v/>
      </c>
      <c r="B30" s="36" t="n"/>
      <c r="C30" s="36" t="n"/>
      <c r="D30" s="36" t="n"/>
      <c r="E30" s="37" t="n"/>
      <c r="F30" s="37" t="n"/>
      <c r="G30" s="37" t="n"/>
      <c r="H30" s="37" t="n"/>
      <c r="I30" s="37" t="n"/>
      <c r="J30" s="36" t="n"/>
      <c r="K30" s="36" t="n"/>
      <c r="L30" s="36" t="n"/>
      <c r="M30" s="36" t="n"/>
      <c r="N30" s="38" t="n"/>
      <c r="O30" s="39">
        <f>IF(OR(N30="",J30=""),"",N30*J30)</f>
        <v/>
      </c>
      <c r="P30" s="40" t="n"/>
      <c r="Q30" s="41">
        <f>IF(OR(P30="",Y30="발주완료",Y30="취소"),"",TODAY()+P30)</f>
        <v/>
      </c>
      <c r="R30" s="35">
        <f>IF(OR(Q30="",NOT(ISNUMBER($J$2))),"",IF(Q30&lt;=$J$2,"가능","초과 "&amp;(Q30-$J$2)&amp;"일"))</f>
        <v/>
      </c>
      <c r="S30" s="36" t="n"/>
      <c r="T30" s="36" t="n"/>
      <c r="U30" s="36" t="n"/>
      <c r="V30" s="43" t="n"/>
      <c r="W30" s="41">
        <f>IF(OR(V30="",U30=""),"",V30+U30)</f>
        <v/>
      </c>
      <c r="X30" s="37" t="n"/>
      <c r="Y30" s="36" t="n"/>
      <c r="Z30" s="37" t="n"/>
    </row>
    <row r="31">
      <c r="A31" s="35">
        <f>IF(E31="","",ROW()-5)</f>
        <v/>
      </c>
      <c r="B31" s="36" t="n"/>
      <c r="C31" s="36" t="n"/>
      <c r="D31" s="36" t="n"/>
      <c r="E31" s="37" t="n"/>
      <c r="F31" s="37" t="n"/>
      <c r="G31" s="37" t="n"/>
      <c r="H31" s="37" t="n"/>
      <c r="I31" s="37" t="n"/>
      <c r="J31" s="36" t="n"/>
      <c r="K31" s="36" t="n"/>
      <c r="L31" s="36" t="n"/>
      <c r="M31" s="36" t="n"/>
      <c r="N31" s="38" t="n"/>
      <c r="O31" s="39">
        <f>IF(OR(N31="",J31=""),"",N31*J31)</f>
        <v/>
      </c>
      <c r="P31" s="40" t="n"/>
      <c r="Q31" s="41">
        <f>IF(OR(P31="",Y31="발주완료",Y31="취소"),"",TODAY()+P31)</f>
        <v/>
      </c>
      <c r="R31" s="35">
        <f>IF(OR(Q31="",NOT(ISNUMBER($J$2))),"",IF(Q31&lt;=$J$2,"가능","초과 "&amp;(Q31-$J$2)&amp;"일"))</f>
        <v/>
      </c>
      <c r="S31" s="36" t="n"/>
      <c r="T31" s="36" t="n"/>
      <c r="U31" s="36" t="n"/>
      <c r="V31" s="43" t="n"/>
      <c r="W31" s="41">
        <f>IF(OR(V31="",U31=""),"",V31+U31)</f>
        <v/>
      </c>
      <c r="X31" s="37" t="n"/>
      <c r="Y31" s="36" t="n"/>
      <c r="Z31" s="37" t="n"/>
    </row>
    <row r="32">
      <c r="A32" s="35">
        <f>IF(E32="","",ROW()-5)</f>
        <v/>
      </c>
      <c r="B32" s="36" t="n"/>
      <c r="C32" s="36" t="n"/>
      <c r="D32" s="36" t="n"/>
      <c r="E32" s="37" t="n"/>
      <c r="F32" s="37" t="n"/>
      <c r="G32" s="37" t="n"/>
      <c r="H32" s="37" t="n"/>
      <c r="I32" s="37" t="n"/>
      <c r="J32" s="36" t="n"/>
      <c r="K32" s="36" t="n"/>
      <c r="L32" s="36" t="n"/>
      <c r="M32" s="36" t="n"/>
      <c r="N32" s="38" t="n"/>
      <c r="O32" s="39">
        <f>IF(OR(N32="",J32=""),"",N32*J32)</f>
        <v/>
      </c>
      <c r="P32" s="40" t="n"/>
      <c r="Q32" s="41">
        <f>IF(OR(P32="",Y32="발주완료",Y32="취소"),"",TODAY()+P32)</f>
        <v/>
      </c>
      <c r="R32" s="35">
        <f>IF(OR(Q32="",NOT(ISNUMBER($J$2))),"",IF(Q32&lt;=$J$2,"가능","초과 "&amp;(Q32-$J$2)&amp;"일"))</f>
        <v/>
      </c>
      <c r="S32" s="36" t="n"/>
      <c r="T32" s="36" t="n"/>
      <c r="U32" s="36" t="n"/>
      <c r="V32" s="43" t="n"/>
      <c r="W32" s="41">
        <f>IF(OR(V32="",U32=""),"",V32+U32)</f>
        <v/>
      </c>
      <c r="X32" s="37" t="n"/>
      <c r="Y32" s="36" t="n"/>
      <c r="Z32" s="37" t="n"/>
    </row>
    <row r="33">
      <c r="A33" s="35">
        <f>IF(E33="","",ROW()-5)</f>
        <v/>
      </c>
      <c r="B33" s="36" t="n"/>
      <c r="C33" s="36" t="n"/>
      <c r="D33" s="36" t="n"/>
      <c r="E33" s="37" t="n"/>
      <c r="F33" s="37" t="n"/>
      <c r="G33" s="37" t="n"/>
      <c r="H33" s="37" t="n"/>
      <c r="I33" s="37" t="n"/>
      <c r="J33" s="36" t="n"/>
      <c r="K33" s="36" t="n"/>
      <c r="L33" s="36" t="n"/>
      <c r="M33" s="36" t="n"/>
      <c r="N33" s="38" t="n"/>
      <c r="O33" s="39">
        <f>IF(OR(N33="",J33=""),"",N33*J33)</f>
        <v/>
      </c>
      <c r="P33" s="40" t="n"/>
      <c r="Q33" s="41">
        <f>IF(OR(P33="",Y33="발주완료",Y33="취소"),"",TODAY()+P33)</f>
        <v/>
      </c>
      <c r="R33" s="35">
        <f>IF(OR(Q33="",NOT(ISNUMBER($J$2))),"",IF(Q33&lt;=$J$2,"가능","초과 "&amp;(Q33-$J$2)&amp;"일"))</f>
        <v/>
      </c>
      <c r="S33" s="36" t="n"/>
      <c r="T33" s="36" t="n"/>
      <c r="U33" s="36" t="n"/>
      <c r="V33" s="43" t="n"/>
      <c r="W33" s="41">
        <f>IF(OR(V33="",U33=""),"",V33+U33)</f>
        <v/>
      </c>
      <c r="X33" s="37" t="n"/>
      <c r="Y33" s="36" t="n"/>
      <c r="Z33" s="37" t="n"/>
    </row>
    <row r="34">
      <c r="A34" s="35">
        <f>IF(E34="","",ROW()-5)</f>
        <v/>
      </c>
      <c r="B34" s="36" t="n"/>
      <c r="C34" s="36" t="n"/>
      <c r="D34" s="36" t="n"/>
      <c r="E34" s="37" t="n"/>
      <c r="F34" s="37" t="n"/>
      <c r="G34" s="37" t="n"/>
      <c r="H34" s="37" t="n"/>
      <c r="I34" s="37" t="n"/>
      <c r="J34" s="36" t="n"/>
      <c r="K34" s="36" t="n"/>
      <c r="L34" s="36" t="n"/>
      <c r="M34" s="36" t="n"/>
      <c r="N34" s="38" t="n"/>
      <c r="O34" s="39">
        <f>IF(OR(N34="",J34=""),"",N34*J34)</f>
        <v/>
      </c>
      <c r="P34" s="40" t="n"/>
      <c r="Q34" s="41">
        <f>IF(OR(P34="",Y34="발주완료",Y34="취소"),"",TODAY()+P34)</f>
        <v/>
      </c>
      <c r="R34" s="35">
        <f>IF(OR(Q34="",NOT(ISNUMBER($J$2))),"",IF(Q34&lt;=$J$2,"가능","초과 "&amp;(Q34-$J$2)&amp;"일"))</f>
        <v/>
      </c>
      <c r="S34" s="36" t="n"/>
      <c r="T34" s="36" t="n"/>
      <c r="U34" s="36" t="n"/>
      <c r="V34" s="43" t="n"/>
      <c r="W34" s="41">
        <f>IF(OR(V34="",U34=""),"",V34+U34)</f>
        <v/>
      </c>
      <c r="X34" s="37" t="n"/>
      <c r="Y34" s="36" t="n"/>
      <c r="Z34" s="37" t="n"/>
    </row>
    <row r="35">
      <c r="A35" s="35">
        <f>IF(E35="","",ROW()-5)</f>
        <v/>
      </c>
      <c r="B35" s="36" t="n"/>
      <c r="C35" s="36" t="n"/>
      <c r="D35" s="36" t="n"/>
      <c r="E35" s="37" t="n"/>
      <c r="F35" s="37" t="n"/>
      <c r="G35" s="37" t="n"/>
      <c r="H35" s="37" t="n"/>
      <c r="I35" s="37" t="n"/>
      <c r="J35" s="36" t="n"/>
      <c r="K35" s="36" t="n"/>
      <c r="L35" s="36" t="n"/>
      <c r="M35" s="36" t="n"/>
      <c r="N35" s="38" t="n"/>
      <c r="O35" s="39">
        <f>IF(OR(N35="",J35=""),"",N35*J35)</f>
        <v/>
      </c>
      <c r="P35" s="40" t="n"/>
      <c r="Q35" s="41">
        <f>IF(OR(P35="",Y35="발주완료",Y35="취소"),"",TODAY()+P35)</f>
        <v/>
      </c>
      <c r="R35" s="35">
        <f>IF(OR(Q35="",NOT(ISNUMBER($J$2))),"",IF(Q35&lt;=$J$2,"가능","초과 "&amp;(Q35-$J$2)&amp;"일"))</f>
        <v/>
      </c>
      <c r="S35" s="36" t="n"/>
      <c r="T35" s="36" t="n"/>
      <c r="U35" s="36" t="n"/>
      <c r="V35" s="43" t="n"/>
      <c r="W35" s="41">
        <f>IF(OR(V35="",U35=""),"",V35+U35)</f>
        <v/>
      </c>
      <c r="X35" s="37" t="n"/>
      <c r="Y35" s="36" t="n"/>
      <c r="Z35" s="37" t="n"/>
    </row>
    <row r="36">
      <c r="A36" s="35">
        <f>IF(E36="","",ROW()-5)</f>
        <v/>
      </c>
      <c r="B36" s="36" t="n"/>
      <c r="C36" s="36" t="n"/>
      <c r="D36" s="36" t="n"/>
      <c r="E36" s="37" t="n"/>
      <c r="F36" s="37" t="n"/>
      <c r="G36" s="37" t="n"/>
      <c r="H36" s="37" t="n"/>
      <c r="I36" s="37" t="n"/>
      <c r="J36" s="36" t="n"/>
      <c r="K36" s="36" t="n"/>
      <c r="L36" s="36" t="n"/>
      <c r="M36" s="36" t="n"/>
      <c r="N36" s="38" t="n"/>
      <c r="O36" s="39">
        <f>IF(OR(N36="",J36=""),"",N36*J36)</f>
        <v/>
      </c>
      <c r="P36" s="40" t="n"/>
      <c r="Q36" s="41">
        <f>IF(OR(P36="",Y36="발주완료",Y36="취소"),"",TODAY()+P36)</f>
        <v/>
      </c>
      <c r="R36" s="35">
        <f>IF(OR(Q36="",NOT(ISNUMBER($J$2))),"",IF(Q36&lt;=$J$2,"가능","초과 "&amp;(Q36-$J$2)&amp;"일"))</f>
        <v/>
      </c>
      <c r="S36" s="36" t="n"/>
      <c r="T36" s="36" t="n"/>
      <c r="U36" s="36" t="n"/>
      <c r="V36" s="43" t="n"/>
      <c r="W36" s="41">
        <f>IF(OR(V36="",U36=""),"",V36+U36)</f>
        <v/>
      </c>
      <c r="X36" s="37" t="n"/>
      <c r="Y36" s="36" t="n"/>
      <c r="Z36" s="37" t="n"/>
    </row>
    <row r="37">
      <c r="A37" s="35">
        <f>IF(E37="","",ROW()-5)</f>
        <v/>
      </c>
      <c r="B37" s="36" t="n"/>
      <c r="C37" s="36" t="n"/>
      <c r="D37" s="36" t="n"/>
      <c r="E37" s="37" t="n"/>
      <c r="F37" s="37" t="n"/>
      <c r="G37" s="37" t="n"/>
      <c r="H37" s="37" t="n"/>
      <c r="I37" s="37" t="n"/>
      <c r="J37" s="36" t="n"/>
      <c r="K37" s="36" t="n"/>
      <c r="L37" s="36" t="n"/>
      <c r="M37" s="36" t="n"/>
      <c r="N37" s="38" t="n"/>
      <c r="O37" s="39">
        <f>IF(OR(N37="",J37=""),"",N37*J37)</f>
        <v/>
      </c>
      <c r="P37" s="40" t="n"/>
      <c r="Q37" s="41">
        <f>IF(OR(P37="",Y37="발주완료",Y37="취소"),"",TODAY()+P37)</f>
        <v/>
      </c>
      <c r="R37" s="35">
        <f>IF(OR(Q37="",NOT(ISNUMBER($J$2))),"",IF(Q37&lt;=$J$2,"가능","초과 "&amp;(Q37-$J$2)&amp;"일"))</f>
        <v/>
      </c>
      <c r="S37" s="36" t="n"/>
      <c r="T37" s="36" t="n"/>
      <c r="U37" s="36" t="n"/>
      <c r="V37" s="43" t="n"/>
      <c r="W37" s="41">
        <f>IF(OR(V37="",U37=""),"",V37+U37)</f>
        <v/>
      </c>
      <c r="X37" s="37" t="n"/>
      <c r="Y37" s="36" t="n"/>
      <c r="Z37" s="37" t="n"/>
    </row>
    <row r="38">
      <c r="A38" s="35">
        <f>IF(E38="","",ROW()-5)</f>
        <v/>
      </c>
      <c r="B38" s="36" t="n"/>
      <c r="C38" s="36" t="n"/>
      <c r="D38" s="36" t="n"/>
      <c r="E38" s="37" t="n"/>
      <c r="F38" s="37" t="n"/>
      <c r="G38" s="37" t="n"/>
      <c r="H38" s="37" t="n"/>
      <c r="I38" s="37" t="n"/>
      <c r="J38" s="36" t="n"/>
      <c r="K38" s="36" t="n"/>
      <c r="L38" s="36" t="n"/>
      <c r="M38" s="36" t="n"/>
      <c r="N38" s="38" t="n"/>
      <c r="O38" s="39">
        <f>IF(OR(N38="",J38=""),"",N38*J38)</f>
        <v/>
      </c>
      <c r="P38" s="40" t="n"/>
      <c r="Q38" s="41">
        <f>IF(OR(P38="",Y38="발주완료",Y38="취소"),"",TODAY()+P38)</f>
        <v/>
      </c>
      <c r="R38" s="35">
        <f>IF(OR(Q38="",NOT(ISNUMBER($J$2))),"",IF(Q38&lt;=$J$2,"가능","초과 "&amp;(Q38-$J$2)&amp;"일"))</f>
        <v/>
      </c>
      <c r="S38" s="36" t="n"/>
      <c r="T38" s="36" t="n"/>
      <c r="U38" s="36" t="n"/>
      <c r="V38" s="43" t="n"/>
      <c r="W38" s="41">
        <f>IF(OR(V38="",U38=""),"",V38+U38)</f>
        <v/>
      </c>
      <c r="X38" s="37" t="n"/>
      <c r="Y38" s="36" t="n"/>
      <c r="Z38" s="37" t="n"/>
    </row>
    <row r="39">
      <c r="A39" s="35">
        <f>IF(E39="","",ROW()-5)</f>
        <v/>
      </c>
      <c r="B39" s="36" t="n"/>
      <c r="C39" s="36" t="n"/>
      <c r="D39" s="36" t="n"/>
      <c r="E39" s="37" t="n"/>
      <c r="F39" s="37" t="n"/>
      <c r="G39" s="37" t="n"/>
      <c r="H39" s="37" t="n"/>
      <c r="I39" s="37" t="n"/>
      <c r="J39" s="36" t="n"/>
      <c r="K39" s="36" t="n"/>
      <c r="L39" s="36" t="n"/>
      <c r="M39" s="36" t="n"/>
      <c r="N39" s="38" t="n"/>
      <c r="O39" s="39">
        <f>IF(OR(N39="",J39=""),"",N39*J39)</f>
        <v/>
      </c>
      <c r="P39" s="40" t="n"/>
      <c r="Q39" s="41">
        <f>IF(OR(P39="",Y39="발주완료",Y39="취소"),"",TODAY()+P39)</f>
        <v/>
      </c>
      <c r="R39" s="35">
        <f>IF(OR(Q39="",NOT(ISNUMBER($J$2))),"",IF(Q39&lt;=$J$2,"가능","초과 "&amp;(Q39-$J$2)&amp;"일"))</f>
        <v/>
      </c>
      <c r="S39" s="36" t="n"/>
      <c r="T39" s="36" t="n"/>
      <c r="U39" s="36" t="n"/>
      <c r="V39" s="43" t="n"/>
      <c r="W39" s="41">
        <f>IF(OR(V39="",U39=""),"",V39+U39)</f>
        <v/>
      </c>
      <c r="X39" s="37" t="n"/>
      <c r="Y39" s="36" t="n"/>
      <c r="Z39" s="37" t="n"/>
    </row>
    <row r="40">
      <c r="A40" s="35">
        <f>IF(E40="","",ROW()-5)</f>
        <v/>
      </c>
      <c r="B40" s="36" t="n"/>
      <c r="C40" s="36" t="n"/>
      <c r="D40" s="36" t="n"/>
      <c r="E40" s="37" t="n"/>
      <c r="F40" s="37" t="n"/>
      <c r="G40" s="37" t="n"/>
      <c r="H40" s="37" t="n"/>
      <c r="I40" s="37" t="n"/>
      <c r="J40" s="36" t="n"/>
      <c r="K40" s="36" t="n"/>
      <c r="L40" s="36" t="n"/>
      <c r="M40" s="36" t="n"/>
      <c r="N40" s="38" t="n"/>
      <c r="O40" s="39">
        <f>IF(OR(N40="",J40=""),"",N40*J40)</f>
        <v/>
      </c>
      <c r="P40" s="40" t="n"/>
      <c r="Q40" s="41">
        <f>IF(OR(P40="",Y40="발주완료",Y40="취소"),"",TODAY()+P40)</f>
        <v/>
      </c>
      <c r="R40" s="35">
        <f>IF(OR(Q40="",NOT(ISNUMBER($J$2))),"",IF(Q40&lt;=$J$2,"가능","초과 "&amp;(Q40-$J$2)&amp;"일"))</f>
        <v/>
      </c>
      <c r="S40" s="36" t="n"/>
      <c r="T40" s="36" t="n"/>
      <c r="U40" s="36" t="n"/>
      <c r="V40" s="43" t="n"/>
      <c r="W40" s="41">
        <f>IF(OR(V40="",U40=""),"",V40+U40)</f>
        <v/>
      </c>
      <c r="X40" s="37" t="n"/>
      <c r="Y40" s="36" t="n"/>
      <c r="Z40" s="37" t="n"/>
    </row>
    <row r="41">
      <c r="A41" s="35">
        <f>IF(E41="","",ROW()-5)</f>
        <v/>
      </c>
      <c r="B41" s="36" t="n"/>
      <c r="C41" s="36" t="n"/>
      <c r="D41" s="36" t="n"/>
      <c r="E41" s="37" t="n"/>
      <c r="F41" s="37" t="n"/>
      <c r="G41" s="37" t="n"/>
      <c r="H41" s="37" t="n"/>
      <c r="I41" s="37" t="n"/>
      <c r="J41" s="36" t="n"/>
      <c r="K41" s="36" t="n"/>
      <c r="L41" s="36" t="n"/>
      <c r="M41" s="36" t="n"/>
      <c r="N41" s="38" t="n"/>
      <c r="O41" s="39">
        <f>IF(OR(N41="",J41=""),"",N41*J41)</f>
        <v/>
      </c>
      <c r="P41" s="40" t="n"/>
      <c r="Q41" s="41">
        <f>IF(OR(P41="",Y41="발주완료",Y41="취소"),"",TODAY()+P41)</f>
        <v/>
      </c>
      <c r="R41" s="35">
        <f>IF(OR(Q41="",NOT(ISNUMBER($J$2))),"",IF(Q41&lt;=$J$2,"가능","초과 "&amp;(Q41-$J$2)&amp;"일"))</f>
        <v/>
      </c>
      <c r="S41" s="36" t="n"/>
      <c r="T41" s="36" t="n"/>
      <c r="U41" s="36" t="n"/>
      <c r="V41" s="43" t="n"/>
      <c r="W41" s="41">
        <f>IF(OR(V41="",U41=""),"",V41+U41)</f>
        <v/>
      </c>
      <c r="X41" s="37" t="n"/>
      <c r="Y41" s="36" t="n"/>
      <c r="Z41" s="37" t="n"/>
    </row>
    <row r="42">
      <c r="A42" s="35">
        <f>IF(E42="","",ROW()-5)</f>
        <v/>
      </c>
      <c r="B42" s="36" t="n"/>
      <c r="C42" s="36" t="n"/>
      <c r="D42" s="36" t="n"/>
      <c r="E42" s="37" t="n"/>
      <c r="F42" s="37" t="n"/>
      <c r="G42" s="37" t="n"/>
      <c r="H42" s="37" t="n"/>
      <c r="I42" s="37" t="n"/>
      <c r="J42" s="36" t="n"/>
      <c r="K42" s="36" t="n"/>
      <c r="L42" s="36" t="n"/>
      <c r="M42" s="36" t="n"/>
      <c r="N42" s="38" t="n"/>
      <c r="O42" s="39">
        <f>IF(OR(N42="",J42=""),"",N42*J42)</f>
        <v/>
      </c>
      <c r="P42" s="40" t="n"/>
      <c r="Q42" s="41">
        <f>IF(OR(P42="",Y42="발주완료",Y42="취소"),"",TODAY()+P42)</f>
        <v/>
      </c>
      <c r="R42" s="35">
        <f>IF(OR(Q42="",NOT(ISNUMBER($J$2))),"",IF(Q42&lt;=$J$2,"가능","초과 "&amp;(Q42-$J$2)&amp;"일"))</f>
        <v/>
      </c>
      <c r="S42" s="36" t="n"/>
      <c r="T42" s="36" t="n"/>
      <c r="U42" s="36" t="n"/>
      <c r="V42" s="43" t="n"/>
      <c r="W42" s="41">
        <f>IF(OR(V42="",U42=""),"",V42+U42)</f>
        <v/>
      </c>
      <c r="X42" s="37" t="n"/>
      <c r="Y42" s="36" t="n"/>
      <c r="Z42" s="37" t="n"/>
    </row>
    <row r="43">
      <c r="A43" s="35">
        <f>IF(E43="","",ROW()-5)</f>
        <v/>
      </c>
      <c r="B43" s="36" t="n"/>
      <c r="C43" s="36" t="n"/>
      <c r="D43" s="36" t="n"/>
      <c r="E43" s="37" t="n"/>
      <c r="F43" s="37" t="n"/>
      <c r="G43" s="37" t="n"/>
      <c r="H43" s="37" t="n"/>
      <c r="I43" s="37" t="n"/>
      <c r="J43" s="36" t="n"/>
      <c r="K43" s="36" t="n"/>
      <c r="L43" s="36" t="n"/>
      <c r="M43" s="36" t="n"/>
      <c r="N43" s="38" t="n"/>
      <c r="O43" s="39">
        <f>IF(OR(N43="",J43=""),"",N43*J43)</f>
        <v/>
      </c>
      <c r="P43" s="40" t="n"/>
      <c r="Q43" s="41">
        <f>IF(OR(P43="",Y43="발주완료",Y43="취소"),"",TODAY()+P43)</f>
        <v/>
      </c>
      <c r="R43" s="35">
        <f>IF(OR(Q43="",NOT(ISNUMBER($J$2))),"",IF(Q43&lt;=$J$2,"가능","초과 "&amp;(Q43-$J$2)&amp;"일"))</f>
        <v/>
      </c>
      <c r="S43" s="36" t="n"/>
      <c r="T43" s="36" t="n"/>
      <c r="U43" s="36" t="n"/>
      <c r="V43" s="43" t="n"/>
      <c r="W43" s="41">
        <f>IF(OR(V43="",U43=""),"",V43+U43)</f>
        <v/>
      </c>
      <c r="X43" s="37" t="n"/>
      <c r="Y43" s="36" t="n"/>
      <c r="Z43" s="37" t="n"/>
    </row>
    <row r="44">
      <c r="A44" s="35">
        <f>IF(E44="","",ROW()-5)</f>
        <v/>
      </c>
      <c r="B44" s="36" t="n"/>
      <c r="C44" s="36" t="n"/>
      <c r="D44" s="36" t="n"/>
      <c r="E44" s="37" t="n"/>
      <c r="F44" s="37" t="n"/>
      <c r="G44" s="37" t="n"/>
      <c r="H44" s="37" t="n"/>
      <c r="I44" s="37" t="n"/>
      <c r="J44" s="36" t="n"/>
      <c r="K44" s="36" t="n"/>
      <c r="L44" s="36" t="n"/>
      <c r="M44" s="36" t="n"/>
      <c r="N44" s="38" t="n"/>
      <c r="O44" s="39">
        <f>IF(OR(N44="",J44=""),"",N44*J44)</f>
        <v/>
      </c>
      <c r="P44" s="40" t="n"/>
      <c r="Q44" s="41">
        <f>IF(OR(P44="",Y44="발주완료",Y44="취소"),"",TODAY()+P44)</f>
        <v/>
      </c>
      <c r="R44" s="35">
        <f>IF(OR(Q44="",NOT(ISNUMBER($J$2))),"",IF(Q44&lt;=$J$2,"가능","초과 "&amp;(Q44-$J$2)&amp;"일"))</f>
        <v/>
      </c>
      <c r="S44" s="36" t="n"/>
      <c r="T44" s="36" t="n"/>
      <c r="U44" s="36" t="n"/>
      <c r="V44" s="43" t="n"/>
      <c r="W44" s="41">
        <f>IF(OR(V44="",U44=""),"",V44+U44)</f>
        <v/>
      </c>
      <c r="X44" s="37" t="n"/>
      <c r="Y44" s="36" t="n"/>
      <c r="Z44" s="37" t="n"/>
    </row>
    <row r="45">
      <c r="A45" s="35">
        <f>IF(E45="","",ROW()-5)</f>
        <v/>
      </c>
      <c r="B45" s="36" t="n"/>
      <c r="C45" s="36" t="n"/>
      <c r="D45" s="36" t="n"/>
      <c r="E45" s="37" t="n"/>
      <c r="F45" s="37" t="n"/>
      <c r="G45" s="37" t="n"/>
      <c r="H45" s="37" t="n"/>
      <c r="I45" s="37" t="n"/>
      <c r="J45" s="36" t="n"/>
      <c r="K45" s="36" t="n"/>
      <c r="L45" s="36" t="n"/>
      <c r="M45" s="36" t="n"/>
      <c r="N45" s="38" t="n"/>
      <c r="O45" s="39">
        <f>IF(OR(N45="",J45=""),"",N45*J45)</f>
        <v/>
      </c>
      <c r="P45" s="40" t="n"/>
      <c r="Q45" s="41">
        <f>IF(OR(P45="",Y45="발주완료",Y45="취소"),"",TODAY()+P45)</f>
        <v/>
      </c>
      <c r="R45" s="35">
        <f>IF(OR(Q45="",NOT(ISNUMBER($J$2))),"",IF(Q45&lt;=$J$2,"가능","초과 "&amp;(Q45-$J$2)&amp;"일"))</f>
        <v/>
      </c>
      <c r="S45" s="36" t="n"/>
      <c r="T45" s="36" t="n"/>
      <c r="U45" s="36" t="n"/>
      <c r="V45" s="43" t="n"/>
      <c r="W45" s="41">
        <f>IF(OR(V45="",U45=""),"",V45+U45)</f>
        <v/>
      </c>
      <c r="X45" s="37" t="n"/>
      <c r="Y45" s="36" t="n"/>
      <c r="Z45" s="37" t="n"/>
    </row>
    <row r="46">
      <c r="A46" s="35">
        <f>IF(E46="","",ROW()-5)</f>
        <v/>
      </c>
      <c r="B46" s="36" t="n"/>
      <c r="C46" s="36" t="n"/>
      <c r="D46" s="36" t="n"/>
      <c r="E46" s="37" t="n"/>
      <c r="F46" s="37" t="n"/>
      <c r="G46" s="37" t="n"/>
      <c r="H46" s="37" t="n"/>
      <c r="I46" s="37" t="n"/>
      <c r="J46" s="36" t="n"/>
      <c r="K46" s="36" t="n"/>
      <c r="L46" s="36" t="n"/>
      <c r="M46" s="36" t="n"/>
      <c r="N46" s="38" t="n"/>
      <c r="O46" s="39">
        <f>IF(OR(N46="",J46=""),"",N46*J46)</f>
        <v/>
      </c>
      <c r="P46" s="40" t="n"/>
      <c r="Q46" s="41">
        <f>IF(OR(P46="",Y46="발주완료",Y46="취소"),"",TODAY()+P46)</f>
        <v/>
      </c>
      <c r="R46" s="35">
        <f>IF(OR(Q46="",NOT(ISNUMBER($J$2))),"",IF(Q46&lt;=$J$2,"가능","초과 "&amp;(Q46-$J$2)&amp;"일"))</f>
        <v/>
      </c>
      <c r="S46" s="36" t="n"/>
      <c r="T46" s="36" t="n"/>
      <c r="U46" s="36" t="n"/>
      <c r="V46" s="43" t="n"/>
      <c r="W46" s="41">
        <f>IF(OR(V46="",U46=""),"",V46+U46)</f>
        <v/>
      </c>
      <c r="X46" s="37" t="n"/>
      <c r="Y46" s="36" t="n"/>
      <c r="Z46" s="37" t="n"/>
    </row>
    <row r="47">
      <c r="A47" s="35">
        <f>IF(E47="","",ROW()-5)</f>
        <v/>
      </c>
      <c r="B47" s="36" t="n"/>
      <c r="C47" s="36" t="n"/>
      <c r="D47" s="36" t="n"/>
      <c r="E47" s="37" t="n"/>
      <c r="F47" s="37" t="n"/>
      <c r="G47" s="37" t="n"/>
      <c r="H47" s="37" t="n"/>
      <c r="I47" s="37" t="n"/>
      <c r="J47" s="36" t="n"/>
      <c r="K47" s="36" t="n"/>
      <c r="L47" s="36" t="n"/>
      <c r="M47" s="36" t="n"/>
      <c r="N47" s="38" t="n"/>
      <c r="O47" s="39">
        <f>IF(OR(N47="",J47=""),"",N47*J47)</f>
        <v/>
      </c>
      <c r="P47" s="40" t="n"/>
      <c r="Q47" s="41">
        <f>IF(OR(P47="",Y47="발주완료",Y47="취소"),"",TODAY()+P47)</f>
        <v/>
      </c>
      <c r="R47" s="35">
        <f>IF(OR(Q47="",NOT(ISNUMBER($J$2))),"",IF(Q47&lt;=$J$2,"가능","초과 "&amp;(Q47-$J$2)&amp;"일"))</f>
        <v/>
      </c>
      <c r="S47" s="36" t="n"/>
      <c r="T47" s="36" t="n"/>
      <c r="U47" s="36" t="n"/>
      <c r="V47" s="43" t="n"/>
      <c r="W47" s="41">
        <f>IF(OR(V47="",U47=""),"",V47+U47)</f>
        <v/>
      </c>
      <c r="X47" s="37" t="n"/>
      <c r="Y47" s="36" t="n"/>
      <c r="Z47" s="37" t="n"/>
    </row>
    <row r="48">
      <c r="A48" s="35">
        <f>IF(E48="","",ROW()-5)</f>
        <v/>
      </c>
      <c r="B48" s="36" t="n"/>
      <c r="C48" s="36" t="n"/>
      <c r="D48" s="36" t="n"/>
      <c r="E48" s="37" t="n"/>
      <c r="F48" s="37" t="n"/>
      <c r="G48" s="37" t="n"/>
      <c r="H48" s="37" t="n"/>
      <c r="I48" s="37" t="n"/>
      <c r="J48" s="36" t="n"/>
      <c r="K48" s="36" t="n"/>
      <c r="L48" s="36" t="n"/>
      <c r="M48" s="36" t="n"/>
      <c r="N48" s="38" t="n"/>
      <c r="O48" s="39">
        <f>IF(OR(N48="",J48=""),"",N48*J48)</f>
        <v/>
      </c>
      <c r="P48" s="40" t="n"/>
      <c r="Q48" s="41">
        <f>IF(OR(P48="",Y48="발주완료",Y48="취소"),"",TODAY()+P48)</f>
        <v/>
      </c>
      <c r="R48" s="35">
        <f>IF(OR(Q48="",NOT(ISNUMBER($J$2))),"",IF(Q48&lt;=$J$2,"가능","초과 "&amp;(Q48-$J$2)&amp;"일"))</f>
        <v/>
      </c>
      <c r="S48" s="36" t="n"/>
      <c r="T48" s="36" t="n"/>
      <c r="U48" s="36" t="n"/>
      <c r="V48" s="43" t="n"/>
      <c r="W48" s="41">
        <f>IF(OR(V48="",U48=""),"",V48+U48)</f>
        <v/>
      </c>
      <c r="X48" s="37" t="n"/>
      <c r="Y48" s="36" t="n"/>
      <c r="Z48" s="37" t="n"/>
    </row>
    <row r="49">
      <c r="A49" s="35">
        <f>IF(E49="","",ROW()-5)</f>
        <v/>
      </c>
      <c r="B49" s="36" t="n"/>
      <c r="C49" s="36" t="n"/>
      <c r="D49" s="36" t="n"/>
      <c r="E49" s="37" t="n"/>
      <c r="F49" s="37" t="n"/>
      <c r="G49" s="37" t="n"/>
      <c r="H49" s="37" t="n"/>
      <c r="I49" s="37" t="n"/>
      <c r="J49" s="36" t="n"/>
      <c r="K49" s="36" t="n"/>
      <c r="L49" s="36" t="n"/>
      <c r="M49" s="36" t="n"/>
      <c r="N49" s="38" t="n"/>
      <c r="O49" s="39">
        <f>IF(OR(N49="",J49=""),"",N49*J49)</f>
        <v/>
      </c>
      <c r="P49" s="40" t="n"/>
      <c r="Q49" s="41">
        <f>IF(OR(P49="",Y49="발주완료",Y49="취소"),"",TODAY()+P49)</f>
        <v/>
      </c>
      <c r="R49" s="35">
        <f>IF(OR(Q49="",NOT(ISNUMBER($J$2))),"",IF(Q49&lt;=$J$2,"가능","초과 "&amp;(Q49-$J$2)&amp;"일"))</f>
        <v/>
      </c>
      <c r="S49" s="36" t="n"/>
      <c r="T49" s="36" t="n"/>
      <c r="U49" s="36" t="n"/>
      <c r="V49" s="43" t="n"/>
      <c r="W49" s="41">
        <f>IF(OR(V49="",U49=""),"",V49+U49)</f>
        <v/>
      </c>
      <c r="X49" s="37" t="n"/>
      <c r="Y49" s="36" t="n"/>
      <c r="Z49" s="37" t="n"/>
    </row>
    <row r="50">
      <c r="A50" s="35">
        <f>IF(E50="","",ROW()-5)</f>
        <v/>
      </c>
      <c r="B50" s="36" t="n"/>
      <c r="C50" s="36" t="n"/>
      <c r="D50" s="36" t="n"/>
      <c r="E50" s="37" t="n"/>
      <c r="F50" s="37" t="n"/>
      <c r="G50" s="37" t="n"/>
      <c r="H50" s="37" t="n"/>
      <c r="I50" s="37" t="n"/>
      <c r="J50" s="36" t="n"/>
      <c r="K50" s="36" t="n"/>
      <c r="L50" s="36" t="n"/>
      <c r="M50" s="36" t="n"/>
      <c r="N50" s="38" t="n"/>
      <c r="O50" s="39">
        <f>IF(OR(N50="",J50=""),"",N50*J50)</f>
        <v/>
      </c>
      <c r="P50" s="40" t="n"/>
      <c r="Q50" s="41">
        <f>IF(OR(P50="",Y50="발주완료",Y50="취소"),"",TODAY()+P50)</f>
        <v/>
      </c>
      <c r="R50" s="35">
        <f>IF(OR(Q50="",NOT(ISNUMBER($J$2))),"",IF(Q50&lt;=$J$2,"가능","초과 "&amp;(Q50-$J$2)&amp;"일"))</f>
        <v/>
      </c>
      <c r="S50" s="36" t="n"/>
      <c r="T50" s="36" t="n"/>
      <c r="U50" s="36" t="n"/>
      <c r="V50" s="43" t="n"/>
      <c r="W50" s="41">
        <f>IF(OR(V50="",U50=""),"",V50+U50)</f>
        <v/>
      </c>
      <c r="X50" s="37" t="n"/>
      <c r="Y50" s="36" t="n"/>
      <c r="Z50" s="37" t="n"/>
    </row>
    <row r="51">
      <c r="A51" s="35">
        <f>IF(E51="","",ROW()-5)</f>
        <v/>
      </c>
      <c r="B51" s="36" t="n"/>
      <c r="C51" s="36" t="n"/>
      <c r="D51" s="36" t="n"/>
      <c r="E51" s="37" t="n"/>
      <c r="F51" s="37" t="n"/>
      <c r="G51" s="37" t="n"/>
      <c r="H51" s="37" t="n"/>
      <c r="I51" s="37" t="n"/>
      <c r="J51" s="36" t="n"/>
      <c r="K51" s="36" t="n"/>
      <c r="L51" s="36" t="n"/>
      <c r="M51" s="36" t="n"/>
      <c r="N51" s="38" t="n"/>
      <c r="O51" s="39">
        <f>IF(OR(N51="",J51=""),"",N51*J51)</f>
        <v/>
      </c>
      <c r="P51" s="40" t="n"/>
      <c r="Q51" s="41">
        <f>IF(OR(P51="",Y51="발주완료",Y51="취소"),"",TODAY()+P51)</f>
        <v/>
      </c>
      <c r="R51" s="35">
        <f>IF(OR(Q51="",NOT(ISNUMBER($J$2))),"",IF(Q51&lt;=$J$2,"가능","초과 "&amp;(Q51-$J$2)&amp;"일"))</f>
        <v/>
      </c>
      <c r="S51" s="36" t="n"/>
      <c r="T51" s="36" t="n"/>
      <c r="U51" s="36" t="n"/>
      <c r="V51" s="43" t="n"/>
      <c r="W51" s="41">
        <f>IF(OR(V51="",U51=""),"",V51+U51)</f>
        <v/>
      </c>
      <c r="X51" s="37" t="n"/>
      <c r="Y51" s="36" t="n"/>
      <c r="Z51" s="37" t="n"/>
    </row>
    <row r="52">
      <c r="A52" s="35">
        <f>IF(E52="","",ROW()-5)</f>
        <v/>
      </c>
      <c r="B52" s="36" t="n"/>
      <c r="C52" s="36" t="n"/>
      <c r="D52" s="36" t="n"/>
      <c r="E52" s="37" t="n"/>
      <c r="F52" s="37" t="n"/>
      <c r="G52" s="37" t="n"/>
      <c r="H52" s="37" t="n"/>
      <c r="I52" s="37" t="n"/>
      <c r="J52" s="36" t="n"/>
      <c r="K52" s="36" t="n"/>
      <c r="L52" s="36" t="n"/>
      <c r="M52" s="36" t="n"/>
      <c r="N52" s="38" t="n"/>
      <c r="O52" s="39">
        <f>IF(OR(N52="",J52=""),"",N52*J52)</f>
        <v/>
      </c>
      <c r="P52" s="40" t="n"/>
      <c r="Q52" s="41">
        <f>IF(OR(P52="",Y52="발주완료",Y52="취소"),"",TODAY()+P52)</f>
        <v/>
      </c>
      <c r="R52" s="35">
        <f>IF(OR(Q52="",NOT(ISNUMBER($J$2))),"",IF(Q52&lt;=$J$2,"가능","초과 "&amp;(Q52-$J$2)&amp;"일"))</f>
        <v/>
      </c>
      <c r="S52" s="36" t="n"/>
      <c r="T52" s="36" t="n"/>
      <c r="U52" s="36" t="n"/>
      <c r="V52" s="43" t="n"/>
      <c r="W52" s="41">
        <f>IF(OR(V52="",U52=""),"",V52+U52)</f>
        <v/>
      </c>
      <c r="X52" s="37" t="n"/>
      <c r="Y52" s="36" t="n"/>
      <c r="Z52" s="37" t="n"/>
    </row>
    <row r="53">
      <c r="A53" s="35">
        <f>IF(E53="","",ROW()-5)</f>
        <v/>
      </c>
      <c r="B53" s="36" t="n"/>
      <c r="C53" s="36" t="n"/>
      <c r="D53" s="36" t="n"/>
      <c r="E53" s="37" t="n"/>
      <c r="F53" s="37" t="n"/>
      <c r="G53" s="37" t="n"/>
      <c r="H53" s="37" t="n"/>
      <c r="I53" s="37" t="n"/>
      <c r="J53" s="36" t="n"/>
      <c r="K53" s="36" t="n"/>
      <c r="L53" s="36" t="n"/>
      <c r="M53" s="36" t="n"/>
      <c r="N53" s="38" t="n"/>
      <c r="O53" s="39">
        <f>IF(OR(N53="",J53=""),"",N53*J53)</f>
        <v/>
      </c>
      <c r="P53" s="40" t="n"/>
      <c r="Q53" s="41">
        <f>IF(OR(P53="",Y53="발주완료",Y53="취소"),"",TODAY()+P53)</f>
        <v/>
      </c>
      <c r="R53" s="35">
        <f>IF(OR(Q53="",NOT(ISNUMBER($J$2))),"",IF(Q53&lt;=$J$2,"가능","초과 "&amp;(Q53-$J$2)&amp;"일"))</f>
        <v/>
      </c>
      <c r="S53" s="36" t="n"/>
      <c r="T53" s="36" t="n"/>
      <c r="U53" s="36" t="n"/>
      <c r="V53" s="43" t="n"/>
      <c r="W53" s="41">
        <f>IF(OR(V53="",U53=""),"",V53+U53)</f>
        <v/>
      </c>
      <c r="X53" s="37" t="n"/>
      <c r="Y53" s="36" t="n"/>
      <c r="Z53" s="37" t="n"/>
    </row>
    <row r="54">
      <c r="A54" s="35">
        <f>IF(E54="","",ROW()-5)</f>
        <v/>
      </c>
      <c r="B54" s="36" t="n"/>
      <c r="C54" s="36" t="n"/>
      <c r="D54" s="36" t="n"/>
      <c r="E54" s="37" t="n"/>
      <c r="F54" s="37" t="n"/>
      <c r="G54" s="37" t="n"/>
      <c r="H54" s="37" t="n"/>
      <c r="I54" s="37" t="n"/>
      <c r="J54" s="36" t="n"/>
      <c r="K54" s="36" t="n"/>
      <c r="L54" s="36" t="n"/>
      <c r="M54" s="36" t="n"/>
      <c r="N54" s="38" t="n"/>
      <c r="O54" s="39">
        <f>IF(OR(N54="",J54=""),"",N54*J54)</f>
        <v/>
      </c>
      <c r="P54" s="40" t="n"/>
      <c r="Q54" s="41">
        <f>IF(OR(P54="",Y54="발주완료",Y54="취소"),"",TODAY()+P54)</f>
        <v/>
      </c>
      <c r="R54" s="35">
        <f>IF(OR(Q54="",NOT(ISNUMBER($J$2))),"",IF(Q54&lt;=$J$2,"가능","초과 "&amp;(Q54-$J$2)&amp;"일"))</f>
        <v/>
      </c>
      <c r="S54" s="36" t="n"/>
      <c r="T54" s="36" t="n"/>
      <c r="U54" s="36" t="n"/>
      <c r="V54" s="43" t="n"/>
      <c r="W54" s="41">
        <f>IF(OR(V54="",U54=""),"",V54+U54)</f>
        <v/>
      </c>
      <c r="X54" s="37" t="n"/>
      <c r="Y54" s="36" t="n"/>
      <c r="Z54" s="37" t="n"/>
    </row>
    <row r="55">
      <c r="A55" s="35">
        <f>IF(E55="","",ROW()-5)</f>
        <v/>
      </c>
      <c r="B55" s="36" t="n"/>
      <c r="C55" s="36" t="n"/>
      <c r="D55" s="36" t="n"/>
      <c r="E55" s="37" t="n"/>
      <c r="F55" s="37" t="n"/>
      <c r="G55" s="37" t="n"/>
      <c r="H55" s="37" t="n"/>
      <c r="I55" s="37" t="n"/>
      <c r="J55" s="36" t="n"/>
      <c r="K55" s="36" t="n"/>
      <c r="L55" s="36" t="n"/>
      <c r="M55" s="36" t="n"/>
      <c r="N55" s="38" t="n"/>
      <c r="O55" s="39">
        <f>IF(OR(N55="",J55=""),"",N55*J55)</f>
        <v/>
      </c>
      <c r="P55" s="40" t="n"/>
      <c r="Q55" s="41">
        <f>IF(OR(P55="",Y55="발주완료",Y55="취소"),"",TODAY()+P55)</f>
        <v/>
      </c>
      <c r="R55" s="35">
        <f>IF(OR(Q55="",NOT(ISNUMBER($J$2))),"",IF(Q55&lt;=$J$2,"가능","초과 "&amp;(Q55-$J$2)&amp;"일"))</f>
        <v/>
      </c>
      <c r="S55" s="36" t="n"/>
      <c r="T55" s="36" t="n"/>
      <c r="U55" s="36" t="n"/>
      <c r="V55" s="43" t="n"/>
      <c r="W55" s="41">
        <f>IF(OR(V55="",U55=""),"",V55+U55)</f>
        <v/>
      </c>
      <c r="X55" s="37" t="n"/>
      <c r="Y55" s="36" t="n"/>
      <c r="Z55" s="37" t="n"/>
    </row>
    <row r="56">
      <c r="A56" s="35">
        <f>IF(E56="","",ROW()-5)</f>
        <v/>
      </c>
      <c r="B56" s="36" t="n"/>
      <c r="C56" s="36" t="n"/>
      <c r="D56" s="36" t="n"/>
      <c r="E56" s="37" t="n"/>
      <c r="F56" s="37" t="n"/>
      <c r="G56" s="37" t="n"/>
      <c r="H56" s="37" t="n"/>
      <c r="I56" s="37" t="n"/>
      <c r="J56" s="36" t="n"/>
      <c r="K56" s="36" t="n"/>
      <c r="L56" s="36" t="n"/>
      <c r="M56" s="36" t="n"/>
      <c r="N56" s="38" t="n"/>
      <c r="O56" s="39">
        <f>IF(OR(N56="",J56=""),"",N56*J56)</f>
        <v/>
      </c>
      <c r="P56" s="40" t="n"/>
      <c r="Q56" s="41">
        <f>IF(OR(P56="",Y56="발주완료",Y56="취소"),"",TODAY()+P56)</f>
        <v/>
      </c>
      <c r="R56" s="35">
        <f>IF(OR(Q56="",NOT(ISNUMBER($J$2))),"",IF(Q56&lt;=$J$2,"가능","초과 "&amp;(Q56-$J$2)&amp;"일"))</f>
        <v/>
      </c>
      <c r="S56" s="36" t="n"/>
      <c r="T56" s="36" t="n"/>
      <c r="U56" s="36" t="n"/>
      <c r="V56" s="43" t="n"/>
      <c r="W56" s="41">
        <f>IF(OR(V56="",U56=""),"",V56+U56)</f>
        <v/>
      </c>
      <c r="X56" s="37" t="n"/>
      <c r="Y56" s="36" t="n"/>
      <c r="Z56" s="37" t="n"/>
    </row>
    <row r="57">
      <c r="A57" s="35">
        <f>IF(E57="","",ROW()-5)</f>
        <v/>
      </c>
      <c r="B57" s="36" t="n"/>
      <c r="C57" s="36" t="n"/>
      <c r="D57" s="36" t="n"/>
      <c r="E57" s="37" t="n"/>
      <c r="F57" s="37" t="n"/>
      <c r="G57" s="37" t="n"/>
      <c r="H57" s="37" t="n"/>
      <c r="I57" s="37" t="n"/>
      <c r="J57" s="36" t="n"/>
      <c r="K57" s="36" t="n"/>
      <c r="L57" s="36" t="n"/>
      <c r="M57" s="36" t="n"/>
      <c r="N57" s="38" t="n"/>
      <c r="O57" s="39">
        <f>IF(OR(N57="",J57=""),"",N57*J57)</f>
        <v/>
      </c>
      <c r="P57" s="40" t="n"/>
      <c r="Q57" s="41">
        <f>IF(OR(P57="",Y57="발주완료",Y57="취소"),"",TODAY()+P57)</f>
        <v/>
      </c>
      <c r="R57" s="35">
        <f>IF(OR(Q57="",NOT(ISNUMBER($J$2))),"",IF(Q57&lt;=$J$2,"가능","초과 "&amp;(Q57-$J$2)&amp;"일"))</f>
        <v/>
      </c>
      <c r="S57" s="36" t="n"/>
      <c r="T57" s="36" t="n"/>
      <c r="U57" s="36" t="n"/>
      <c r="V57" s="43" t="n"/>
      <c r="W57" s="41">
        <f>IF(OR(V57="",U57=""),"",V57+U57)</f>
        <v/>
      </c>
      <c r="X57" s="37" t="n"/>
      <c r="Y57" s="36" t="n"/>
      <c r="Z57" s="37" t="n"/>
    </row>
    <row r="58">
      <c r="A58" s="35">
        <f>IF(E58="","",ROW()-5)</f>
        <v/>
      </c>
      <c r="B58" s="36" t="n"/>
      <c r="C58" s="36" t="n"/>
      <c r="D58" s="36" t="n"/>
      <c r="E58" s="37" t="n"/>
      <c r="F58" s="37" t="n"/>
      <c r="G58" s="37" t="n"/>
      <c r="H58" s="37" t="n"/>
      <c r="I58" s="37" t="n"/>
      <c r="J58" s="36" t="n"/>
      <c r="K58" s="36" t="n"/>
      <c r="L58" s="36" t="n"/>
      <c r="M58" s="36" t="n"/>
      <c r="N58" s="38" t="n"/>
      <c r="O58" s="39">
        <f>IF(OR(N58="",J58=""),"",N58*J58)</f>
        <v/>
      </c>
      <c r="P58" s="40" t="n"/>
      <c r="Q58" s="41">
        <f>IF(OR(P58="",Y58="발주완료",Y58="취소"),"",TODAY()+P58)</f>
        <v/>
      </c>
      <c r="R58" s="35">
        <f>IF(OR(Q58="",NOT(ISNUMBER($J$2))),"",IF(Q58&lt;=$J$2,"가능","초과 "&amp;(Q58-$J$2)&amp;"일"))</f>
        <v/>
      </c>
      <c r="S58" s="36" t="n"/>
      <c r="T58" s="36" t="n"/>
      <c r="U58" s="36" t="n"/>
      <c r="V58" s="43" t="n"/>
      <c r="W58" s="41">
        <f>IF(OR(V58="",U58=""),"",V58+U58)</f>
        <v/>
      </c>
      <c r="X58" s="37" t="n"/>
      <c r="Y58" s="36" t="n"/>
      <c r="Z58" s="37" t="n"/>
    </row>
    <row r="59">
      <c r="A59" s="35">
        <f>IF(E59="","",ROW()-5)</f>
        <v/>
      </c>
      <c r="B59" s="36" t="n"/>
      <c r="C59" s="36" t="n"/>
      <c r="D59" s="36" t="n"/>
      <c r="E59" s="37" t="n"/>
      <c r="F59" s="37" t="n"/>
      <c r="G59" s="37" t="n"/>
      <c r="H59" s="37" t="n"/>
      <c r="I59" s="37" t="n"/>
      <c r="J59" s="36" t="n"/>
      <c r="K59" s="36" t="n"/>
      <c r="L59" s="36" t="n"/>
      <c r="M59" s="36" t="n"/>
      <c r="N59" s="38" t="n"/>
      <c r="O59" s="39">
        <f>IF(OR(N59="",J59=""),"",N59*J59)</f>
        <v/>
      </c>
      <c r="P59" s="40" t="n"/>
      <c r="Q59" s="41">
        <f>IF(OR(P59="",Y59="발주완료",Y59="취소"),"",TODAY()+P59)</f>
        <v/>
      </c>
      <c r="R59" s="35">
        <f>IF(OR(Q59="",NOT(ISNUMBER($J$2))),"",IF(Q59&lt;=$J$2,"가능","초과 "&amp;(Q59-$J$2)&amp;"일"))</f>
        <v/>
      </c>
      <c r="S59" s="36" t="n"/>
      <c r="T59" s="36" t="n"/>
      <c r="U59" s="36" t="n"/>
      <c r="V59" s="43" t="n"/>
      <c r="W59" s="41">
        <f>IF(OR(V59="",U59=""),"",V59+U59)</f>
        <v/>
      </c>
      <c r="X59" s="37" t="n"/>
      <c r="Y59" s="36" t="n"/>
      <c r="Z59" s="37" t="n"/>
    </row>
    <row r="60">
      <c r="A60" s="35">
        <f>IF(E60="","",ROW()-5)</f>
        <v/>
      </c>
      <c r="B60" s="36" t="n"/>
      <c r="C60" s="36" t="n"/>
      <c r="D60" s="36" t="n"/>
      <c r="E60" s="37" t="n"/>
      <c r="F60" s="37" t="n"/>
      <c r="G60" s="37" t="n"/>
      <c r="H60" s="37" t="n"/>
      <c r="I60" s="37" t="n"/>
      <c r="J60" s="36" t="n"/>
      <c r="K60" s="36" t="n"/>
      <c r="L60" s="36" t="n"/>
      <c r="M60" s="36" t="n"/>
      <c r="N60" s="38" t="n"/>
      <c r="O60" s="39">
        <f>IF(OR(N60="",J60=""),"",N60*J60)</f>
        <v/>
      </c>
      <c r="P60" s="40" t="n"/>
      <c r="Q60" s="41">
        <f>IF(OR(P60="",Y60="발주완료",Y60="취소"),"",TODAY()+P60)</f>
        <v/>
      </c>
      <c r="R60" s="35">
        <f>IF(OR(Q60="",NOT(ISNUMBER($J$2))),"",IF(Q60&lt;=$J$2,"가능","초과 "&amp;(Q60-$J$2)&amp;"일"))</f>
        <v/>
      </c>
      <c r="S60" s="36" t="n"/>
      <c r="T60" s="36" t="n"/>
      <c r="U60" s="36" t="n"/>
      <c r="V60" s="43" t="n"/>
      <c r="W60" s="41">
        <f>IF(OR(V60="",U60=""),"",V60+U60)</f>
        <v/>
      </c>
      <c r="X60" s="37" t="n"/>
      <c r="Y60" s="36" t="n"/>
      <c r="Z60" s="37" t="n"/>
    </row>
    <row r="61">
      <c r="A61" s="35">
        <f>IF(E61="","",ROW()-5)</f>
        <v/>
      </c>
      <c r="B61" s="36" t="n"/>
      <c r="C61" s="36" t="n"/>
      <c r="D61" s="36" t="n"/>
      <c r="E61" s="37" t="n"/>
      <c r="F61" s="37" t="n"/>
      <c r="G61" s="37" t="n"/>
      <c r="H61" s="37" t="n"/>
      <c r="I61" s="37" t="n"/>
      <c r="J61" s="36" t="n"/>
      <c r="K61" s="36" t="n"/>
      <c r="L61" s="36" t="n"/>
      <c r="M61" s="36" t="n"/>
      <c r="N61" s="38" t="n"/>
      <c r="O61" s="39">
        <f>IF(OR(N61="",J61=""),"",N61*J61)</f>
        <v/>
      </c>
      <c r="P61" s="40" t="n"/>
      <c r="Q61" s="41">
        <f>IF(OR(P61="",Y61="발주완료",Y61="취소"),"",TODAY()+P61)</f>
        <v/>
      </c>
      <c r="R61" s="35">
        <f>IF(OR(Q61="",NOT(ISNUMBER($J$2))),"",IF(Q61&lt;=$J$2,"가능","초과 "&amp;(Q61-$J$2)&amp;"일"))</f>
        <v/>
      </c>
      <c r="S61" s="36" t="n"/>
      <c r="T61" s="36" t="n"/>
      <c r="U61" s="36" t="n"/>
      <c r="V61" s="43" t="n"/>
      <c r="W61" s="41">
        <f>IF(OR(V61="",U61=""),"",V61+U61)</f>
        <v/>
      </c>
      <c r="X61" s="37" t="n"/>
      <c r="Y61" s="36" t="n"/>
      <c r="Z61" s="37" t="n"/>
    </row>
    <row r="62">
      <c r="A62" s="35">
        <f>IF(E62="","",ROW()-5)</f>
        <v/>
      </c>
      <c r="B62" s="36" t="n"/>
      <c r="C62" s="36" t="n"/>
      <c r="D62" s="36" t="n"/>
      <c r="E62" s="37" t="n"/>
      <c r="F62" s="37" t="n"/>
      <c r="G62" s="37" t="n"/>
      <c r="H62" s="37" t="n"/>
      <c r="I62" s="37" t="n"/>
      <c r="J62" s="36" t="n"/>
      <c r="K62" s="36" t="n"/>
      <c r="L62" s="36" t="n"/>
      <c r="M62" s="36" t="n"/>
      <c r="N62" s="38" t="n"/>
      <c r="O62" s="39">
        <f>IF(OR(N62="",J62=""),"",N62*J62)</f>
        <v/>
      </c>
      <c r="P62" s="40" t="n"/>
      <c r="Q62" s="41">
        <f>IF(OR(P62="",Y62="발주완료",Y62="취소"),"",TODAY()+P62)</f>
        <v/>
      </c>
      <c r="R62" s="35">
        <f>IF(OR(Q62="",NOT(ISNUMBER($J$2))),"",IF(Q62&lt;=$J$2,"가능","초과 "&amp;(Q62-$J$2)&amp;"일"))</f>
        <v/>
      </c>
      <c r="S62" s="36" t="n"/>
      <c r="T62" s="36" t="n"/>
      <c r="U62" s="36" t="n"/>
      <c r="V62" s="43" t="n"/>
      <c r="W62" s="41">
        <f>IF(OR(V62="",U62=""),"",V62+U62)</f>
        <v/>
      </c>
      <c r="X62" s="37" t="n"/>
      <c r="Y62" s="36" t="n"/>
      <c r="Z62" s="37" t="n"/>
    </row>
    <row r="63">
      <c r="A63" s="35">
        <f>IF(E63="","",ROW()-5)</f>
        <v/>
      </c>
      <c r="B63" s="36" t="n"/>
      <c r="C63" s="36" t="n"/>
      <c r="D63" s="36" t="n"/>
      <c r="E63" s="37" t="n"/>
      <c r="F63" s="37" t="n"/>
      <c r="G63" s="37" t="n"/>
      <c r="H63" s="37" t="n"/>
      <c r="I63" s="37" t="n"/>
      <c r="J63" s="36" t="n"/>
      <c r="K63" s="36" t="n"/>
      <c r="L63" s="36" t="n"/>
      <c r="M63" s="36" t="n"/>
      <c r="N63" s="38" t="n"/>
      <c r="O63" s="39">
        <f>IF(OR(N63="",J63=""),"",N63*J63)</f>
        <v/>
      </c>
      <c r="P63" s="40" t="n"/>
      <c r="Q63" s="41">
        <f>IF(OR(P63="",Y63="발주완료",Y63="취소"),"",TODAY()+P63)</f>
        <v/>
      </c>
      <c r="R63" s="35">
        <f>IF(OR(Q63="",NOT(ISNUMBER($J$2))),"",IF(Q63&lt;=$J$2,"가능","초과 "&amp;(Q63-$J$2)&amp;"일"))</f>
        <v/>
      </c>
      <c r="S63" s="36" t="n"/>
      <c r="T63" s="36" t="n"/>
      <c r="U63" s="36" t="n"/>
      <c r="V63" s="43" t="n"/>
      <c r="W63" s="41">
        <f>IF(OR(V63="",U63=""),"",V63+U63)</f>
        <v/>
      </c>
      <c r="X63" s="37" t="n"/>
      <c r="Y63" s="36" t="n"/>
      <c r="Z63" s="37" t="n"/>
    </row>
    <row r="64">
      <c r="A64" s="35">
        <f>IF(E64="","",ROW()-5)</f>
        <v/>
      </c>
      <c r="B64" s="36" t="n"/>
      <c r="C64" s="36" t="n"/>
      <c r="D64" s="36" t="n"/>
      <c r="E64" s="37" t="n"/>
      <c r="F64" s="37" t="n"/>
      <c r="G64" s="37" t="n"/>
      <c r="H64" s="37" t="n"/>
      <c r="I64" s="37" t="n"/>
      <c r="J64" s="36" t="n"/>
      <c r="K64" s="36" t="n"/>
      <c r="L64" s="36" t="n"/>
      <c r="M64" s="36" t="n"/>
      <c r="N64" s="38" t="n"/>
      <c r="O64" s="39">
        <f>IF(OR(N64="",J64=""),"",N64*J64)</f>
        <v/>
      </c>
      <c r="P64" s="40" t="n"/>
      <c r="Q64" s="41">
        <f>IF(OR(P64="",Y64="발주완료",Y64="취소"),"",TODAY()+P64)</f>
        <v/>
      </c>
      <c r="R64" s="35">
        <f>IF(OR(Q64="",NOT(ISNUMBER($J$2))),"",IF(Q64&lt;=$J$2,"가능","초과 "&amp;(Q64-$J$2)&amp;"일"))</f>
        <v/>
      </c>
      <c r="S64" s="36" t="n"/>
      <c r="T64" s="36" t="n"/>
      <c r="U64" s="36" t="n"/>
      <c r="V64" s="43" t="n"/>
      <c r="W64" s="41">
        <f>IF(OR(V64="",U64=""),"",V64+U64)</f>
        <v/>
      </c>
      <c r="X64" s="37" t="n"/>
      <c r="Y64" s="36" t="n"/>
      <c r="Z64" s="37" t="n"/>
    </row>
    <row r="65">
      <c r="A65" s="35">
        <f>IF(E65="","",ROW()-5)</f>
        <v/>
      </c>
      <c r="B65" s="36" t="n"/>
      <c r="C65" s="36" t="n"/>
      <c r="D65" s="36" t="n"/>
      <c r="E65" s="37" t="n"/>
      <c r="F65" s="37" t="n"/>
      <c r="G65" s="37" t="n"/>
      <c r="H65" s="37" t="n"/>
      <c r="I65" s="37" t="n"/>
      <c r="J65" s="36" t="n"/>
      <c r="K65" s="36" t="n"/>
      <c r="L65" s="36" t="n"/>
      <c r="M65" s="36" t="n"/>
      <c r="N65" s="38" t="n"/>
      <c r="O65" s="39">
        <f>IF(OR(N65="",J65=""),"",N65*J65)</f>
        <v/>
      </c>
      <c r="P65" s="40" t="n"/>
      <c r="Q65" s="41">
        <f>IF(OR(P65="",Y65="발주완료",Y65="취소"),"",TODAY()+P65)</f>
        <v/>
      </c>
      <c r="R65" s="35">
        <f>IF(OR(Q65="",NOT(ISNUMBER($J$2))),"",IF(Q65&lt;=$J$2,"가능","초과 "&amp;(Q65-$J$2)&amp;"일"))</f>
        <v/>
      </c>
      <c r="S65" s="36" t="n"/>
      <c r="T65" s="36" t="n"/>
      <c r="U65" s="36" t="n"/>
      <c r="V65" s="43" t="n"/>
      <c r="W65" s="41">
        <f>IF(OR(V65="",U65=""),"",V65+U65)</f>
        <v/>
      </c>
      <c r="X65" s="37" t="n"/>
      <c r="Y65" s="36" t="n"/>
      <c r="Z65" s="37" t="n"/>
    </row>
    <row r="66">
      <c r="A66" s="35">
        <f>IF(E66="","",ROW()-5)</f>
        <v/>
      </c>
      <c r="B66" s="36" t="n"/>
      <c r="C66" s="36" t="n"/>
      <c r="D66" s="36" t="n"/>
      <c r="E66" s="37" t="n"/>
      <c r="F66" s="37" t="n"/>
      <c r="G66" s="37" t="n"/>
      <c r="H66" s="37" t="n"/>
      <c r="I66" s="37" t="n"/>
      <c r="J66" s="36" t="n"/>
      <c r="K66" s="36" t="n"/>
      <c r="L66" s="36" t="n"/>
      <c r="M66" s="36" t="n"/>
      <c r="N66" s="38" t="n"/>
      <c r="O66" s="39">
        <f>IF(OR(N66="",J66=""),"",N66*J66)</f>
        <v/>
      </c>
      <c r="P66" s="40" t="n"/>
      <c r="Q66" s="41">
        <f>IF(OR(P66="",Y66="발주완료",Y66="취소"),"",TODAY()+P66)</f>
        <v/>
      </c>
      <c r="R66" s="35">
        <f>IF(OR(Q66="",NOT(ISNUMBER($J$2))),"",IF(Q66&lt;=$J$2,"가능","초과 "&amp;(Q66-$J$2)&amp;"일"))</f>
        <v/>
      </c>
      <c r="S66" s="36" t="n"/>
      <c r="T66" s="36" t="n"/>
      <c r="U66" s="36" t="n"/>
      <c r="V66" s="43" t="n"/>
      <c r="W66" s="41">
        <f>IF(OR(V66="",U66=""),"",V66+U66)</f>
        <v/>
      </c>
      <c r="X66" s="37" t="n"/>
      <c r="Y66" s="36" t="n"/>
      <c r="Z66" s="37" t="n"/>
    </row>
    <row r="67">
      <c r="A67" s="35">
        <f>IF(E67="","",ROW()-5)</f>
        <v/>
      </c>
      <c r="B67" s="36" t="n"/>
      <c r="C67" s="36" t="n"/>
      <c r="D67" s="36" t="n"/>
      <c r="E67" s="37" t="n"/>
      <c r="F67" s="37" t="n"/>
      <c r="G67" s="37" t="n"/>
      <c r="H67" s="37" t="n"/>
      <c r="I67" s="37" t="n"/>
      <c r="J67" s="36" t="n"/>
      <c r="K67" s="36" t="n"/>
      <c r="L67" s="36" t="n"/>
      <c r="M67" s="36" t="n"/>
      <c r="N67" s="38" t="n"/>
      <c r="O67" s="39">
        <f>IF(OR(N67="",J67=""),"",N67*J67)</f>
        <v/>
      </c>
      <c r="P67" s="40" t="n"/>
      <c r="Q67" s="41">
        <f>IF(OR(P67="",Y67="발주완료",Y67="취소"),"",TODAY()+P67)</f>
        <v/>
      </c>
      <c r="R67" s="35">
        <f>IF(OR(Q67="",NOT(ISNUMBER($J$2))),"",IF(Q67&lt;=$J$2,"가능","초과 "&amp;(Q67-$J$2)&amp;"일"))</f>
        <v/>
      </c>
      <c r="S67" s="36" t="n"/>
      <c r="T67" s="36" t="n"/>
      <c r="U67" s="36" t="n"/>
      <c r="V67" s="43" t="n"/>
      <c r="W67" s="41">
        <f>IF(OR(V67="",U67=""),"",V67+U67)</f>
        <v/>
      </c>
      <c r="X67" s="37" t="n"/>
      <c r="Y67" s="36" t="n"/>
      <c r="Z67" s="37" t="n"/>
    </row>
    <row r="68">
      <c r="A68" s="35">
        <f>IF(E68="","",ROW()-5)</f>
        <v/>
      </c>
      <c r="B68" s="36" t="n"/>
      <c r="C68" s="36" t="n"/>
      <c r="D68" s="36" t="n"/>
      <c r="E68" s="37" t="n"/>
      <c r="F68" s="37" t="n"/>
      <c r="G68" s="37" t="n"/>
      <c r="H68" s="37" t="n"/>
      <c r="I68" s="37" t="n"/>
      <c r="J68" s="36" t="n"/>
      <c r="K68" s="36" t="n"/>
      <c r="L68" s="36" t="n"/>
      <c r="M68" s="36" t="n"/>
      <c r="N68" s="38" t="n"/>
      <c r="O68" s="39">
        <f>IF(OR(N68="",J68=""),"",N68*J68)</f>
        <v/>
      </c>
      <c r="P68" s="40" t="n"/>
      <c r="Q68" s="41">
        <f>IF(OR(P68="",Y68="발주완료",Y68="취소"),"",TODAY()+P68)</f>
        <v/>
      </c>
      <c r="R68" s="35">
        <f>IF(OR(Q68="",NOT(ISNUMBER($J$2))),"",IF(Q68&lt;=$J$2,"가능","초과 "&amp;(Q68-$J$2)&amp;"일"))</f>
        <v/>
      </c>
      <c r="S68" s="36" t="n"/>
      <c r="T68" s="36" t="n"/>
      <c r="U68" s="36" t="n"/>
      <c r="V68" s="43" t="n"/>
      <c r="W68" s="41">
        <f>IF(OR(V68="",U68=""),"",V68+U68)</f>
        <v/>
      </c>
      <c r="X68" s="37" t="n"/>
      <c r="Y68" s="36" t="n"/>
      <c r="Z68" s="37" t="n"/>
    </row>
    <row r="69">
      <c r="A69" s="35">
        <f>IF(E69="","",ROW()-5)</f>
        <v/>
      </c>
      <c r="B69" s="36" t="n"/>
      <c r="C69" s="36" t="n"/>
      <c r="D69" s="36" t="n"/>
      <c r="E69" s="37" t="n"/>
      <c r="F69" s="37" t="n"/>
      <c r="G69" s="37" t="n"/>
      <c r="H69" s="37" t="n"/>
      <c r="I69" s="37" t="n"/>
      <c r="J69" s="36" t="n"/>
      <c r="K69" s="36" t="n"/>
      <c r="L69" s="36" t="n"/>
      <c r="M69" s="36" t="n"/>
      <c r="N69" s="38" t="n"/>
      <c r="O69" s="39">
        <f>IF(OR(N69="",J69=""),"",N69*J69)</f>
        <v/>
      </c>
      <c r="P69" s="40" t="n"/>
      <c r="Q69" s="41">
        <f>IF(OR(P69="",Y69="발주완료",Y69="취소"),"",TODAY()+P69)</f>
        <v/>
      </c>
      <c r="R69" s="35">
        <f>IF(OR(Q69="",NOT(ISNUMBER($J$2))),"",IF(Q69&lt;=$J$2,"가능","초과 "&amp;(Q69-$J$2)&amp;"일"))</f>
        <v/>
      </c>
      <c r="S69" s="36" t="n"/>
      <c r="T69" s="36" t="n"/>
      <c r="U69" s="36" t="n"/>
      <c r="V69" s="43" t="n"/>
      <c r="W69" s="41">
        <f>IF(OR(V69="",U69=""),"",V69+U69)</f>
        <v/>
      </c>
      <c r="X69" s="37" t="n"/>
      <c r="Y69" s="36" t="n"/>
      <c r="Z69" s="37" t="n"/>
    </row>
    <row r="70">
      <c r="A70" s="35">
        <f>IF(E70="","",ROW()-5)</f>
        <v/>
      </c>
      <c r="B70" s="36" t="n"/>
      <c r="C70" s="36" t="n"/>
      <c r="D70" s="36" t="n"/>
      <c r="E70" s="37" t="n"/>
      <c r="F70" s="37" t="n"/>
      <c r="G70" s="37" t="n"/>
      <c r="H70" s="37" t="n"/>
      <c r="I70" s="37" t="n"/>
      <c r="J70" s="36" t="n"/>
      <c r="K70" s="36" t="n"/>
      <c r="L70" s="36" t="n"/>
      <c r="M70" s="36" t="n"/>
      <c r="N70" s="38" t="n"/>
      <c r="O70" s="39">
        <f>IF(OR(N70="",J70=""),"",N70*J70)</f>
        <v/>
      </c>
      <c r="P70" s="40" t="n"/>
      <c r="Q70" s="41">
        <f>IF(OR(P70="",Y70="발주완료",Y70="취소"),"",TODAY()+P70)</f>
        <v/>
      </c>
      <c r="R70" s="35">
        <f>IF(OR(Q70="",NOT(ISNUMBER($J$2))),"",IF(Q70&lt;=$J$2,"가능","초과 "&amp;(Q70-$J$2)&amp;"일"))</f>
        <v/>
      </c>
      <c r="S70" s="36" t="n"/>
      <c r="T70" s="36" t="n"/>
      <c r="U70" s="36" t="n"/>
      <c r="V70" s="43" t="n"/>
      <c r="W70" s="41">
        <f>IF(OR(V70="",U70=""),"",V70+U70)</f>
        <v/>
      </c>
      <c r="X70" s="37" t="n"/>
      <c r="Y70" s="36" t="n"/>
      <c r="Z70" s="37" t="n"/>
    </row>
    <row r="71">
      <c r="A71" s="35">
        <f>IF(E71="","",ROW()-5)</f>
        <v/>
      </c>
      <c r="B71" s="36" t="n"/>
      <c r="C71" s="36" t="n"/>
      <c r="D71" s="36" t="n"/>
      <c r="E71" s="37" t="n"/>
      <c r="F71" s="37" t="n"/>
      <c r="G71" s="37" t="n"/>
      <c r="H71" s="37" t="n"/>
      <c r="I71" s="37" t="n"/>
      <c r="J71" s="36" t="n"/>
      <c r="K71" s="36" t="n"/>
      <c r="L71" s="36" t="n"/>
      <c r="M71" s="36" t="n"/>
      <c r="N71" s="38" t="n"/>
      <c r="O71" s="39">
        <f>IF(OR(N71="",J71=""),"",N71*J71)</f>
        <v/>
      </c>
      <c r="P71" s="40" t="n"/>
      <c r="Q71" s="41">
        <f>IF(OR(P71="",Y71="발주완료",Y71="취소"),"",TODAY()+P71)</f>
        <v/>
      </c>
      <c r="R71" s="35">
        <f>IF(OR(Q71="",NOT(ISNUMBER($J$2))),"",IF(Q71&lt;=$J$2,"가능","초과 "&amp;(Q71-$J$2)&amp;"일"))</f>
        <v/>
      </c>
      <c r="S71" s="36" t="n"/>
      <c r="T71" s="36" t="n"/>
      <c r="U71" s="36" t="n"/>
      <c r="V71" s="43" t="n"/>
      <c r="W71" s="41">
        <f>IF(OR(V71="",U71=""),"",V71+U71)</f>
        <v/>
      </c>
      <c r="X71" s="37" t="n"/>
      <c r="Y71" s="36" t="n"/>
      <c r="Z71" s="37" t="n"/>
    </row>
    <row r="72">
      <c r="A72" s="35">
        <f>IF(E72="","",ROW()-5)</f>
        <v/>
      </c>
      <c r="B72" s="36" t="n"/>
      <c r="C72" s="36" t="n"/>
      <c r="D72" s="36" t="n"/>
      <c r="E72" s="37" t="n"/>
      <c r="F72" s="37" t="n"/>
      <c r="G72" s="37" t="n"/>
      <c r="H72" s="37" t="n"/>
      <c r="I72" s="37" t="n"/>
      <c r="J72" s="36" t="n"/>
      <c r="K72" s="36" t="n"/>
      <c r="L72" s="36" t="n"/>
      <c r="M72" s="36" t="n"/>
      <c r="N72" s="38" t="n"/>
      <c r="O72" s="39">
        <f>IF(OR(N72="",J72=""),"",N72*J72)</f>
        <v/>
      </c>
      <c r="P72" s="40" t="n"/>
      <c r="Q72" s="41">
        <f>IF(OR(P72="",Y72="발주완료",Y72="취소"),"",TODAY()+P72)</f>
        <v/>
      </c>
      <c r="R72" s="35">
        <f>IF(OR(Q72="",NOT(ISNUMBER($J$2))),"",IF(Q72&lt;=$J$2,"가능","초과 "&amp;(Q72-$J$2)&amp;"일"))</f>
        <v/>
      </c>
      <c r="S72" s="36" t="n"/>
      <c r="T72" s="36" t="n"/>
      <c r="U72" s="36" t="n"/>
      <c r="V72" s="43" t="n"/>
      <c r="W72" s="41">
        <f>IF(OR(V72="",U72=""),"",V72+U72)</f>
        <v/>
      </c>
      <c r="X72" s="37" t="n"/>
      <c r="Y72" s="36" t="n"/>
      <c r="Z72" s="37" t="n"/>
    </row>
    <row r="73">
      <c r="A73" s="35">
        <f>IF(E73="","",ROW()-5)</f>
        <v/>
      </c>
      <c r="B73" s="36" t="n"/>
      <c r="C73" s="36" t="n"/>
      <c r="D73" s="36" t="n"/>
      <c r="E73" s="37" t="n"/>
      <c r="F73" s="37" t="n"/>
      <c r="G73" s="37" t="n"/>
      <c r="H73" s="37" t="n"/>
      <c r="I73" s="37" t="n"/>
      <c r="J73" s="36" t="n"/>
      <c r="K73" s="36" t="n"/>
      <c r="L73" s="36" t="n"/>
      <c r="M73" s="36" t="n"/>
      <c r="N73" s="38" t="n"/>
      <c r="O73" s="39">
        <f>IF(OR(N73="",J73=""),"",N73*J73)</f>
        <v/>
      </c>
      <c r="P73" s="40" t="n"/>
      <c r="Q73" s="41">
        <f>IF(OR(P73="",Y73="발주완료",Y73="취소"),"",TODAY()+P73)</f>
        <v/>
      </c>
      <c r="R73" s="35">
        <f>IF(OR(Q73="",NOT(ISNUMBER($J$2))),"",IF(Q73&lt;=$J$2,"가능","초과 "&amp;(Q73-$J$2)&amp;"일"))</f>
        <v/>
      </c>
      <c r="S73" s="36" t="n"/>
      <c r="T73" s="36" t="n"/>
      <c r="U73" s="36" t="n"/>
      <c r="V73" s="43" t="n"/>
      <c r="W73" s="41">
        <f>IF(OR(V73="",U73=""),"",V73+U73)</f>
        <v/>
      </c>
      <c r="X73" s="37" t="n"/>
      <c r="Y73" s="36" t="n"/>
      <c r="Z73" s="37" t="n"/>
    </row>
    <row r="74">
      <c r="A74" s="35">
        <f>IF(E74="","",ROW()-5)</f>
        <v/>
      </c>
      <c r="B74" s="36" t="n"/>
      <c r="C74" s="36" t="n"/>
      <c r="D74" s="36" t="n"/>
      <c r="E74" s="37" t="n"/>
      <c r="F74" s="37" t="n"/>
      <c r="G74" s="37" t="n"/>
      <c r="H74" s="37" t="n"/>
      <c r="I74" s="37" t="n"/>
      <c r="J74" s="36" t="n"/>
      <c r="K74" s="36" t="n"/>
      <c r="L74" s="36" t="n"/>
      <c r="M74" s="36" t="n"/>
      <c r="N74" s="38" t="n"/>
      <c r="O74" s="39">
        <f>IF(OR(N74="",J74=""),"",N74*J74)</f>
        <v/>
      </c>
      <c r="P74" s="40" t="n"/>
      <c r="Q74" s="41">
        <f>IF(OR(P74="",Y74="발주완료",Y74="취소"),"",TODAY()+P74)</f>
        <v/>
      </c>
      <c r="R74" s="35">
        <f>IF(OR(Q74="",NOT(ISNUMBER($J$2))),"",IF(Q74&lt;=$J$2,"가능","초과 "&amp;(Q74-$J$2)&amp;"일"))</f>
        <v/>
      </c>
      <c r="S74" s="36" t="n"/>
      <c r="T74" s="36" t="n"/>
      <c r="U74" s="36" t="n"/>
      <c r="V74" s="43" t="n"/>
      <c r="W74" s="41">
        <f>IF(OR(V74="",U74=""),"",V74+U74)</f>
        <v/>
      </c>
      <c r="X74" s="37" t="n"/>
      <c r="Y74" s="36" t="n"/>
      <c r="Z74" s="37" t="n"/>
    </row>
    <row r="75">
      <c r="A75" s="35">
        <f>IF(E75="","",ROW()-5)</f>
        <v/>
      </c>
      <c r="B75" s="36" t="n"/>
      <c r="C75" s="36" t="n"/>
      <c r="D75" s="36" t="n"/>
      <c r="E75" s="37" t="n"/>
      <c r="F75" s="37" t="n"/>
      <c r="G75" s="37" t="n"/>
      <c r="H75" s="37" t="n"/>
      <c r="I75" s="37" t="n"/>
      <c r="J75" s="36" t="n"/>
      <c r="K75" s="36" t="n"/>
      <c r="L75" s="36" t="n"/>
      <c r="M75" s="36" t="n"/>
      <c r="N75" s="38" t="n"/>
      <c r="O75" s="39">
        <f>IF(OR(N75="",J75=""),"",N75*J75)</f>
        <v/>
      </c>
      <c r="P75" s="40" t="n"/>
      <c r="Q75" s="41">
        <f>IF(OR(P75="",Y75="발주완료",Y75="취소"),"",TODAY()+P75)</f>
        <v/>
      </c>
      <c r="R75" s="35">
        <f>IF(OR(Q75="",NOT(ISNUMBER($J$2))),"",IF(Q75&lt;=$J$2,"가능","초과 "&amp;(Q75-$J$2)&amp;"일"))</f>
        <v/>
      </c>
      <c r="S75" s="36" t="n"/>
      <c r="T75" s="36" t="n"/>
      <c r="U75" s="36" t="n"/>
      <c r="V75" s="43" t="n"/>
      <c r="W75" s="41">
        <f>IF(OR(V75="",U75=""),"",V75+U75)</f>
        <v/>
      </c>
      <c r="X75" s="37" t="n"/>
      <c r="Y75" s="36" t="n"/>
      <c r="Z75" s="37" t="n"/>
    </row>
    <row r="76">
      <c r="A76" s="35">
        <f>IF(E76="","",ROW()-5)</f>
        <v/>
      </c>
      <c r="B76" s="36" t="n"/>
      <c r="C76" s="36" t="n"/>
      <c r="D76" s="36" t="n"/>
      <c r="E76" s="37" t="n"/>
      <c r="F76" s="37" t="n"/>
      <c r="G76" s="37" t="n"/>
      <c r="H76" s="37" t="n"/>
      <c r="I76" s="37" t="n"/>
      <c r="J76" s="36" t="n"/>
      <c r="K76" s="36" t="n"/>
      <c r="L76" s="36" t="n"/>
      <c r="M76" s="36" t="n"/>
      <c r="N76" s="38" t="n"/>
      <c r="O76" s="39">
        <f>IF(OR(N76="",J76=""),"",N76*J76)</f>
        <v/>
      </c>
      <c r="P76" s="40" t="n"/>
      <c r="Q76" s="41">
        <f>IF(OR(P76="",Y76="발주완료",Y76="취소"),"",TODAY()+P76)</f>
        <v/>
      </c>
      <c r="R76" s="35">
        <f>IF(OR(Q76="",NOT(ISNUMBER($J$2))),"",IF(Q76&lt;=$J$2,"가능","초과 "&amp;(Q76-$J$2)&amp;"일"))</f>
        <v/>
      </c>
      <c r="S76" s="36" t="n"/>
      <c r="T76" s="36" t="n"/>
      <c r="U76" s="36" t="n"/>
      <c r="V76" s="43" t="n"/>
      <c r="W76" s="41">
        <f>IF(OR(V76="",U76=""),"",V76+U76)</f>
        <v/>
      </c>
      <c r="X76" s="37" t="n"/>
      <c r="Y76" s="36" t="n"/>
      <c r="Z76" s="37" t="n"/>
    </row>
    <row r="77">
      <c r="A77" s="35">
        <f>IF(E77="","",ROW()-5)</f>
        <v/>
      </c>
      <c r="B77" s="36" t="n"/>
      <c r="C77" s="36" t="n"/>
      <c r="D77" s="36" t="n"/>
      <c r="E77" s="37" t="n"/>
      <c r="F77" s="37" t="n"/>
      <c r="G77" s="37" t="n"/>
      <c r="H77" s="37" t="n"/>
      <c r="I77" s="37" t="n"/>
      <c r="J77" s="36" t="n"/>
      <c r="K77" s="36" t="n"/>
      <c r="L77" s="36" t="n"/>
      <c r="M77" s="36" t="n"/>
      <c r="N77" s="38" t="n"/>
      <c r="O77" s="39">
        <f>IF(OR(N77="",J77=""),"",N77*J77)</f>
        <v/>
      </c>
      <c r="P77" s="40" t="n"/>
      <c r="Q77" s="41">
        <f>IF(OR(P77="",Y77="발주완료",Y77="취소"),"",TODAY()+P77)</f>
        <v/>
      </c>
      <c r="R77" s="35">
        <f>IF(OR(Q77="",NOT(ISNUMBER($J$2))),"",IF(Q77&lt;=$J$2,"가능","초과 "&amp;(Q77-$J$2)&amp;"일"))</f>
        <v/>
      </c>
      <c r="S77" s="36" t="n"/>
      <c r="T77" s="36" t="n"/>
      <c r="U77" s="36" t="n"/>
      <c r="V77" s="43" t="n"/>
      <c r="W77" s="41">
        <f>IF(OR(V77="",U77=""),"",V77+U77)</f>
        <v/>
      </c>
      <c r="X77" s="37" t="n"/>
      <c r="Y77" s="36" t="n"/>
      <c r="Z77" s="37" t="n"/>
    </row>
    <row r="78">
      <c r="A78" s="35">
        <f>IF(E78="","",ROW()-5)</f>
        <v/>
      </c>
      <c r="B78" s="36" t="n"/>
      <c r="C78" s="36" t="n"/>
      <c r="D78" s="36" t="n"/>
      <c r="E78" s="37" t="n"/>
      <c r="F78" s="37" t="n"/>
      <c r="G78" s="37" t="n"/>
      <c r="H78" s="37" t="n"/>
      <c r="I78" s="37" t="n"/>
      <c r="J78" s="36" t="n"/>
      <c r="K78" s="36" t="n"/>
      <c r="L78" s="36" t="n"/>
      <c r="M78" s="36" t="n"/>
      <c r="N78" s="38" t="n"/>
      <c r="O78" s="39">
        <f>IF(OR(N78="",J78=""),"",N78*J78)</f>
        <v/>
      </c>
      <c r="P78" s="40" t="n"/>
      <c r="Q78" s="41">
        <f>IF(OR(P78="",Y78="발주완료",Y78="취소"),"",TODAY()+P78)</f>
        <v/>
      </c>
      <c r="R78" s="35">
        <f>IF(OR(Q78="",NOT(ISNUMBER($J$2))),"",IF(Q78&lt;=$J$2,"가능","초과 "&amp;(Q78-$J$2)&amp;"일"))</f>
        <v/>
      </c>
      <c r="S78" s="36" t="n"/>
      <c r="T78" s="36" t="n"/>
      <c r="U78" s="36" t="n"/>
      <c r="V78" s="43" t="n"/>
      <c r="W78" s="41">
        <f>IF(OR(V78="",U78=""),"",V78+U78)</f>
        <v/>
      </c>
      <c r="X78" s="37" t="n"/>
      <c r="Y78" s="36" t="n"/>
      <c r="Z78" s="37" t="n"/>
    </row>
    <row r="79">
      <c r="A79" s="35">
        <f>IF(E79="","",ROW()-5)</f>
        <v/>
      </c>
      <c r="B79" s="36" t="n"/>
      <c r="C79" s="36" t="n"/>
      <c r="D79" s="36" t="n"/>
      <c r="E79" s="37" t="n"/>
      <c r="F79" s="37" t="n"/>
      <c r="G79" s="37" t="n"/>
      <c r="H79" s="37" t="n"/>
      <c r="I79" s="37" t="n"/>
      <c r="J79" s="36" t="n"/>
      <c r="K79" s="36" t="n"/>
      <c r="L79" s="36" t="n"/>
      <c r="M79" s="36" t="n"/>
      <c r="N79" s="38" t="n"/>
      <c r="O79" s="39">
        <f>IF(OR(N79="",J79=""),"",N79*J79)</f>
        <v/>
      </c>
      <c r="P79" s="40" t="n"/>
      <c r="Q79" s="41">
        <f>IF(OR(P79="",Y79="발주완료",Y79="취소"),"",TODAY()+P79)</f>
        <v/>
      </c>
      <c r="R79" s="35">
        <f>IF(OR(Q79="",NOT(ISNUMBER($J$2))),"",IF(Q79&lt;=$J$2,"가능","초과 "&amp;(Q79-$J$2)&amp;"일"))</f>
        <v/>
      </c>
      <c r="S79" s="36" t="n"/>
      <c r="T79" s="36" t="n"/>
      <c r="U79" s="36" t="n"/>
      <c r="V79" s="43" t="n"/>
      <c r="W79" s="41">
        <f>IF(OR(V79="",U79=""),"",V79+U79)</f>
        <v/>
      </c>
      <c r="X79" s="37" t="n"/>
      <c r="Y79" s="36" t="n"/>
      <c r="Z79" s="37" t="n"/>
    </row>
    <row r="80">
      <c r="A80" s="35">
        <f>IF(E80="","",ROW()-5)</f>
        <v/>
      </c>
      <c r="B80" s="36" t="n"/>
      <c r="C80" s="36" t="n"/>
      <c r="D80" s="36" t="n"/>
      <c r="E80" s="37" t="n"/>
      <c r="F80" s="37" t="n"/>
      <c r="G80" s="37" t="n"/>
      <c r="H80" s="37" t="n"/>
      <c r="I80" s="37" t="n"/>
      <c r="J80" s="36" t="n"/>
      <c r="K80" s="36" t="n"/>
      <c r="L80" s="36" t="n"/>
      <c r="M80" s="36" t="n"/>
      <c r="N80" s="38" t="n"/>
      <c r="O80" s="39">
        <f>IF(OR(N80="",J80=""),"",N80*J80)</f>
        <v/>
      </c>
      <c r="P80" s="40" t="n"/>
      <c r="Q80" s="41">
        <f>IF(OR(P80="",Y80="발주완료",Y80="취소"),"",TODAY()+P80)</f>
        <v/>
      </c>
      <c r="R80" s="35">
        <f>IF(OR(Q80="",NOT(ISNUMBER($J$2))),"",IF(Q80&lt;=$J$2,"가능","초과 "&amp;(Q80-$J$2)&amp;"일"))</f>
        <v/>
      </c>
      <c r="S80" s="36" t="n"/>
      <c r="T80" s="36" t="n"/>
      <c r="U80" s="36" t="n"/>
      <c r="V80" s="43" t="n"/>
      <c r="W80" s="41">
        <f>IF(OR(V80="",U80=""),"",V80+U80)</f>
        <v/>
      </c>
      <c r="X80" s="37" t="n"/>
      <c r="Y80" s="36" t="n"/>
      <c r="Z80" s="37" t="n"/>
    </row>
    <row r="81">
      <c r="A81" s="35">
        <f>IF(E81="","",ROW()-5)</f>
        <v/>
      </c>
      <c r="B81" s="36" t="n"/>
      <c r="C81" s="36" t="n"/>
      <c r="D81" s="36" t="n"/>
      <c r="E81" s="37" t="n"/>
      <c r="F81" s="37" t="n"/>
      <c r="G81" s="37" t="n"/>
      <c r="H81" s="37" t="n"/>
      <c r="I81" s="37" t="n"/>
      <c r="J81" s="36" t="n"/>
      <c r="K81" s="36" t="n"/>
      <c r="L81" s="36" t="n"/>
      <c r="M81" s="36" t="n"/>
      <c r="N81" s="38" t="n"/>
      <c r="O81" s="39">
        <f>IF(OR(N81="",J81=""),"",N81*J81)</f>
        <v/>
      </c>
      <c r="P81" s="40" t="n"/>
      <c r="Q81" s="41">
        <f>IF(OR(P81="",Y81="발주완료",Y81="취소"),"",TODAY()+P81)</f>
        <v/>
      </c>
      <c r="R81" s="35">
        <f>IF(OR(Q81="",NOT(ISNUMBER($J$2))),"",IF(Q81&lt;=$J$2,"가능","초과 "&amp;(Q81-$J$2)&amp;"일"))</f>
        <v/>
      </c>
      <c r="S81" s="36" t="n"/>
      <c r="T81" s="36" t="n"/>
      <c r="U81" s="36" t="n"/>
      <c r="V81" s="43" t="n"/>
      <c r="W81" s="41">
        <f>IF(OR(V81="",U81=""),"",V81+U81)</f>
        <v/>
      </c>
      <c r="X81" s="37" t="n"/>
      <c r="Y81" s="36" t="n"/>
      <c r="Z81" s="37" t="n"/>
    </row>
    <row r="82">
      <c r="A82" s="35">
        <f>IF(E82="","",ROW()-5)</f>
        <v/>
      </c>
      <c r="B82" s="36" t="n"/>
      <c r="C82" s="36" t="n"/>
      <c r="D82" s="36" t="n"/>
      <c r="E82" s="37" t="n"/>
      <c r="F82" s="37" t="n"/>
      <c r="G82" s="37" t="n"/>
      <c r="H82" s="37" t="n"/>
      <c r="I82" s="37" t="n"/>
      <c r="J82" s="36" t="n"/>
      <c r="K82" s="36" t="n"/>
      <c r="L82" s="36" t="n"/>
      <c r="M82" s="36" t="n"/>
      <c r="N82" s="38" t="n"/>
      <c r="O82" s="39">
        <f>IF(OR(N82="",J82=""),"",N82*J82)</f>
        <v/>
      </c>
      <c r="P82" s="40" t="n"/>
      <c r="Q82" s="41">
        <f>IF(OR(P82="",Y82="발주완료",Y82="취소"),"",TODAY()+P82)</f>
        <v/>
      </c>
      <c r="R82" s="35">
        <f>IF(OR(Q82="",NOT(ISNUMBER($J$2))),"",IF(Q82&lt;=$J$2,"가능","초과 "&amp;(Q82-$J$2)&amp;"일"))</f>
        <v/>
      </c>
      <c r="S82" s="36" t="n"/>
      <c r="T82" s="36" t="n"/>
      <c r="U82" s="36" t="n"/>
      <c r="V82" s="43" t="n"/>
      <c r="W82" s="41">
        <f>IF(OR(V82="",U82=""),"",V82+U82)</f>
        <v/>
      </c>
      <c r="X82" s="37" t="n"/>
      <c r="Y82" s="36" t="n"/>
      <c r="Z82" s="37" t="n"/>
    </row>
    <row r="83">
      <c r="A83" s="35">
        <f>IF(E83="","",ROW()-5)</f>
        <v/>
      </c>
      <c r="B83" s="36" t="n"/>
      <c r="C83" s="36" t="n"/>
      <c r="D83" s="36" t="n"/>
      <c r="E83" s="37" t="n"/>
      <c r="F83" s="37" t="n"/>
      <c r="G83" s="37" t="n"/>
      <c r="H83" s="37" t="n"/>
      <c r="I83" s="37" t="n"/>
      <c r="J83" s="36" t="n"/>
      <c r="K83" s="36" t="n"/>
      <c r="L83" s="36" t="n"/>
      <c r="M83" s="36" t="n"/>
      <c r="N83" s="38" t="n"/>
      <c r="O83" s="39">
        <f>IF(OR(N83="",J83=""),"",N83*J83)</f>
        <v/>
      </c>
      <c r="P83" s="40" t="n"/>
      <c r="Q83" s="41">
        <f>IF(OR(P83="",Y83="발주완료",Y83="취소"),"",TODAY()+P83)</f>
        <v/>
      </c>
      <c r="R83" s="35">
        <f>IF(OR(Q83="",NOT(ISNUMBER($J$2))),"",IF(Q83&lt;=$J$2,"가능","초과 "&amp;(Q83-$J$2)&amp;"일"))</f>
        <v/>
      </c>
      <c r="S83" s="36" t="n"/>
      <c r="T83" s="36" t="n"/>
      <c r="U83" s="36" t="n"/>
      <c r="V83" s="43" t="n"/>
      <c r="W83" s="41">
        <f>IF(OR(V83="",U83=""),"",V83+U83)</f>
        <v/>
      </c>
      <c r="X83" s="37" t="n"/>
      <c r="Y83" s="36" t="n"/>
      <c r="Z83" s="37" t="n"/>
    </row>
    <row r="84">
      <c r="A84" s="35">
        <f>IF(E84="","",ROW()-5)</f>
        <v/>
      </c>
      <c r="B84" s="36" t="n"/>
      <c r="C84" s="36" t="n"/>
      <c r="D84" s="36" t="n"/>
      <c r="E84" s="37" t="n"/>
      <c r="F84" s="37" t="n"/>
      <c r="G84" s="37" t="n"/>
      <c r="H84" s="37" t="n"/>
      <c r="I84" s="37" t="n"/>
      <c r="J84" s="36" t="n"/>
      <c r="K84" s="36" t="n"/>
      <c r="L84" s="36" t="n"/>
      <c r="M84" s="36" t="n"/>
      <c r="N84" s="38" t="n"/>
      <c r="O84" s="39">
        <f>IF(OR(N84="",J84=""),"",N84*J84)</f>
        <v/>
      </c>
      <c r="P84" s="40" t="n"/>
      <c r="Q84" s="41">
        <f>IF(OR(P84="",Y84="발주완료",Y84="취소"),"",TODAY()+P84)</f>
        <v/>
      </c>
      <c r="R84" s="35">
        <f>IF(OR(Q84="",NOT(ISNUMBER($J$2))),"",IF(Q84&lt;=$J$2,"가능","초과 "&amp;(Q84-$J$2)&amp;"일"))</f>
        <v/>
      </c>
      <c r="S84" s="36" t="n"/>
      <c r="T84" s="36" t="n"/>
      <c r="U84" s="36" t="n"/>
      <c r="V84" s="43" t="n"/>
      <c r="W84" s="41">
        <f>IF(OR(V84="",U84=""),"",V84+U84)</f>
        <v/>
      </c>
      <c r="X84" s="37" t="n"/>
      <c r="Y84" s="36" t="n"/>
      <c r="Z84" s="37" t="n"/>
    </row>
    <row r="85">
      <c r="A85" s="35">
        <f>IF(E85="","",ROW()-5)</f>
        <v/>
      </c>
      <c r="B85" s="36" t="n"/>
      <c r="C85" s="36" t="n"/>
      <c r="D85" s="36" t="n"/>
      <c r="E85" s="37" t="n"/>
      <c r="F85" s="37" t="n"/>
      <c r="G85" s="37" t="n"/>
      <c r="H85" s="37" t="n"/>
      <c r="I85" s="37" t="n"/>
      <c r="J85" s="36" t="n"/>
      <c r="K85" s="36" t="n"/>
      <c r="L85" s="36" t="n"/>
      <c r="M85" s="36" t="n"/>
      <c r="N85" s="38" t="n"/>
      <c r="O85" s="39">
        <f>IF(OR(N85="",J85=""),"",N85*J85)</f>
        <v/>
      </c>
      <c r="P85" s="40" t="n"/>
      <c r="Q85" s="41">
        <f>IF(OR(P85="",Y85="발주완료",Y85="취소"),"",TODAY()+P85)</f>
        <v/>
      </c>
      <c r="R85" s="35">
        <f>IF(OR(Q85="",NOT(ISNUMBER($J$2))),"",IF(Q85&lt;=$J$2,"가능","초과 "&amp;(Q85-$J$2)&amp;"일"))</f>
        <v/>
      </c>
      <c r="S85" s="36" t="n"/>
      <c r="T85" s="36" t="n"/>
      <c r="U85" s="36" t="n"/>
      <c r="V85" s="43" t="n"/>
      <c r="W85" s="41">
        <f>IF(OR(V85="",U85=""),"",V85+U85)</f>
        <v/>
      </c>
      <c r="X85" s="37" t="n"/>
      <c r="Y85" s="36" t="n"/>
      <c r="Z85" s="37" t="n"/>
    </row>
    <row r="86">
      <c r="A86" s="35">
        <f>IF(E86="","",ROW()-5)</f>
        <v/>
      </c>
      <c r="B86" s="36" t="n"/>
      <c r="C86" s="36" t="n"/>
      <c r="D86" s="36" t="n"/>
      <c r="E86" s="37" t="n"/>
      <c r="F86" s="37" t="n"/>
      <c r="G86" s="37" t="n"/>
      <c r="H86" s="37" t="n"/>
      <c r="I86" s="37" t="n"/>
      <c r="J86" s="36" t="n"/>
      <c r="K86" s="36" t="n"/>
      <c r="L86" s="36" t="n"/>
      <c r="M86" s="36" t="n"/>
      <c r="N86" s="38" t="n"/>
      <c r="O86" s="39">
        <f>IF(OR(N86="",J86=""),"",N86*J86)</f>
        <v/>
      </c>
      <c r="P86" s="40" t="n"/>
      <c r="Q86" s="41">
        <f>IF(OR(P86="",Y86="발주완료",Y86="취소"),"",TODAY()+P86)</f>
        <v/>
      </c>
      <c r="R86" s="35">
        <f>IF(OR(Q86="",NOT(ISNUMBER($J$2))),"",IF(Q86&lt;=$J$2,"가능","초과 "&amp;(Q86-$J$2)&amp;"일"))</f>
        <v/>
      </c>
      <c r="S86" s="36" t="n"/>
      <c r="T86" s="36" t="n"/>
      <c r="U86" s="36" t="n"/>
      <c r="V86" s="43" t="n"/>
      <c r="W86" s="41">
        <f>IF(OR(V86="",U86=""),"",V86+U86)</f>
        <v/>
      </c>
      <c r="X86" s="37" t="n"/>
      <c r="Y86" s="36" t="n"/>
      <c r="Z86" s="37" t="n"/>
    </row>
    <row r="87">
      <c r="A87" s="35">
        <f>IF(E87="","",ROW()-5)</f>
        <v/>
      </c>
      <c r="B87" s="36" t="n"/>
      <c r="C87" s="36" t="n"/>
      <c r="D87" s="36" t="n"/>
      <c r="E87" s="37" t="n"/>
      <c r="F87" s="37" t="n"/>
      <c r="G87" s="37" t="n"/>
      <c r="H87" s="37" t="n"/>
      <c r="I87" s="37" t="n"/>
      <c r="J87" s="36" t="n"/>
      <c r="K87" s="36" t="n"/>
      <c r="L87" s="36" t="n"/>
      <c r="M87" s="36" t="n"/>
      <c r="N87" s="38" t="n"/>
      <c r="O87" s="39">
        <f>IF(OR(N87="",J87=""),"",N87*J87)</f>
        <v/>
      </c>
      <c r="P87" s="40" t="n"/>
      <c r="Q87" s="41">
        <f>IF(OR(P87="",Y87="발주완료",Y87="취소"),"",TODAY()+P87)</f>
        <v/>
      </c>
      <c r="R87" s="35">
        <f>IF(OR(Q87="",NOT(ISNUMBER($J$2))),"",IF(Q87&lt;=$J$2,"가능","초과 "&amp;(Q87-$J$2)&amp;"일"))</f>
        <v/>
      </c>
      <c r="S87" s="36" t="n"/>
      <c r="T87" s="36" t="n"/>
      <c r="U87" s="36" t="n"/>
      <c r="V87" s="43" t="n"/>
      <c r="W87" s="41">
        <f>IF(OR(V87="",U87=""),"",V87+U87)</f>
        <v/>
      </c>
      <c r="X87" s="37" t="n"/>
      <c r="Y87" s="36" t="n"/>
      <c r="Z87" s="37" t="n"/>
    </row>
    <row r="88">
      <c r="A88" s="35">
        <f>IF(E88="","",ROW()-5)</f>
        <v/>
      </c>
      <c r="B88" s="36" t="n"/>
      <c r="C88" s="36" t="n"/>
      <c r="D88" s="36" t="n"/>
      <c r="E88" s="37" t="n"/>
      <c r="F88" s="37" t="n"/>
      <c r="G88" s="37" t="n"/>
      <c r="H88" s="37" t="n"/>
      <c r="I88" s="37" t="n"/>
      <c r="J88" s="36" t="n"/>
      <c r="K88" s="36" t="n"/>
      <c r="L88" s="36" t="n"/>
      <c r="M88" s="36" t="n"/>
      <c r="N88" s="38" t="n"/>
      <c r="O88" s="39">
        <f>IF(OR(N88="",J88=""),"",N88*J88)</f>
        <v/>
      </c>
      <c r="P88" s="40" t="n"/>
      <c r="Q88" s="41">
        <f>IF(OR(P88="",Y88="발주완료",Y88="취소"),"",TODAY()+P88)</f>
        <v/>
      </c>
      <c r="R88" s="35">
        <f>IF(OR(Q88="",NOT(ISNUMBER($J$2))),"",IF(Q88&lt;=$J$2,"가능","초과 "&amp;(Q88-$J$2)&amp;"일"))</f>
        <v/>
      </c>
      <c r="S88" s="36" t="n"/>
      <c r="T88" s="36" t="n"/>
      <c r="U88" s="36" t="n"/>
      <c r="V88" s="43" t="n"/>
      <c r="W88" s="41">
        <f>IF(OR(V88="",U88=""),"",V88+U88)</f>
        <v/>
      </c>
      <c r="X88" s="37" t="n"/>
      <c r="Y88" s="36" t="n"/>
      <c r="Z88" s="37" t="n"/>
    </row>
    <row r="89">
      <c r="A89" s="35">
        <f>IF(E89="","",ROW()-5)</f>
        <v/>
      </c>
      <c r="B89" s="36" t="n"/>
      <c r="C89" s="36" t="n"/>
      <c r="D89" s="36" t="n"/>
      <c r="E89" s="37" t="n"/>
      <c r="F89" s="37" t="n"/>
      <c r="G89" s="37" t="n"/>
      <c r="H89" s="37" t="n"/>
      <c r="I89" s="37" t="n"/>
      <c r="J89" s="36" t="n"/>
      <c r="K89" s="36" t="n"/>
      <c r="L89" s="36" t="n"/>
      <c r="M89" s="36" t="n"/>
      <c r="N89" s="38" t="n"/>
      <c r="O89" s="39">
        <f>IF(OR(N89="",J89=""),"",N89*J89)</f>
        <v/>
      </c>
      <c r="P89" s="40" t="n"/>
      <c r="Q89" s="41">
        <f>IF(OR(P89="",Y89="발주완료",Y89="취소"),"",TODAY()+P89)</f>
        <v/>
      </c>
      <c r="R89" s="35">
        <f>IF(OR(Q89="",NOT(ISNUMBER($J$2))),"",IF(Q89&lt;=$J$2,"가능","초과 "&amp;(Q89-$J$2)&amp;"일"))</f>
        <v/>
      </c>
      <c r="S89" s="36" t="n"/>
      <c r="T89" s="36" t="n"/>
      <c r="U89" s="36" t="n"/>
      <c r="V89" s="43" t="n"/>
      <c r="W89" s="41">
        <f>IF(OR(V89="",U89=""),"",V89+U89)</f>
        <v/>
      </c>
      <c r="X89" s="37" t="n"/>
      <c r="Y89" s="36" t="n"/>
      <c r="Z89" s="37" t="n"/>
    </row>
    <row r="90">
      <c r="A90" s="35">
        <f>IF(E90="","",ROW()-5)</f>
        <v/>
      </c>
      <c r="B90" s="36" t="n"/>
      <c r="C90" s="36" t="n"/>
      <c r="D90" s="36" t="n"/>
      <c r="E90" s="37" t="n"/>
      <c r="F90" s="37" t="n"/>
      <c r="G90" s="37" t="n"/>
      <c r="H90" s="37" t="n"/>
      <c r="I90" s="37" t="n"/>
      <c r="J90" s="36" t="n"/>
      <c r="K90" s="36" t="n"/>
      <c r="L90" s="36" t="n"/>
      <c r="M90" s="36" t="n"/>
      <c r="N90" s="38" t="n"/>
      <c r="O90" s="39">
        <f>IF(OR(N90="",J90=""),"",N90*J90)</f>
        <v/>
      </c>
      <c r="P90" s="40" t="n"/>
      <c r="Q90" s="41">
        <f>IF(OR(P90="",Y90="발주완료",Y90="취소"),"",TODAY()+P90)</f>
        <v/>
      </c>
      <c r="R90" s="35">
        <f>IF(OR(Q90="",NOT(ISNUMBER($J$2))),"",IF(Q90&lt;=$J$2,"가능","초과 "&amp;(Q90-$J$2)&amp;"일"))</f>
        <v/>
      </c>
      <c r="S90" s="36" t="n"/>
      <c r="T90" s="36" t="n"/>
      <c r="U90" s="36" t="n"/>
      <c r="V90" s="43" t="n"/>
      <c r="W90" s="41">
        <f>IF(OR(V90="",U90=""),"",V90+U90)</f>
        <v/>
      </c>
      <c r="X90" s="37" t="n"/>
      <c r="Y90" s="36" t="n"/>
      <c r="Z90" s="37" t="n"/>
    </row>
    <row r="91">
      <c r="A91" s="35">
        <f>IF(E91="","",ROW()-5)</f>
        <v/>
      </c>
      <c r="B91" s="36" t="n"/>
      <c r="C91" s="36" t="n"/>
      <c r="D91" s="36" t="n"/>
      <c r="E91" s="37" t="n"/>
      <c r="F91" s="37" t="n"/>
      <c r="G91" s="37" t="n"/>
      <c r="H91" s="37" t="n"/>
      <c r="I91" s="37" t="n"/>
      <c r="J91" s="36" t="n"/>
      <c r="K91" s="36" t="n"/>
      <c r="L91" s="36" t="n"/>
      <c r="M91" s="36" t="n"/>
      <c r="N91" s="38" t="n"/>
      <c r="O91" s="39">
        <f>IF(OR(N91="",J91=""),"",N91*J91)</f>
        <v/>
      </c>
      <c r="P91" s="40" t="n"/>
      <c r="Q91" s="41">
        <f>IF(OR(P91="",Y91="발주완료",Y91="취소"),"",TODAY()+P91)</f>
        <v/>
      </c>
      <c r="R91" s="35">
        <f>IF(OR(Q91="",NOT(ISNUMBER($J$2))),"",IF(Q91&lt;=$J$2,"가능","초과 "&amp;(Q91-$J$2)&amp;"일"))</f>
        <v/>
      </c>
      <c r="S91" s="36" t="n"/>
      <c r="T91" s="36" t="n"/>
      <c r="U91" s="36" t="n"/>
      <c r="V91" s="43" t="n"/>
      <c r="W91" s="41">
        <f>IF(OR(V91="",U91=""),"",V91+U91)</f>
        <v/>
      </c>
      <c r="X91" s="37" t="n"/>
      <c r="Y91" s="36" t="n"/>
      <c r="Z91" s="37" t="n"/>
    </row>
    <row r="92">
      <c r="A92" s="35">
        <f>IF(E92="","",ROW()-5)</f>
        <v/>
      </c>
      <c r="B92" s="36" t="n"/>
      <c r="C92" s="36" t="n"/>
      <c r="D92" s="36" t="n"/>
      <c r="E92" s="37" t="n"/>
      <c r="F92" s="37" t="n"/>
      <c r="G92" s="37" t="n"/>
      <c r="H92" s="37" t="n"/>
      <c r="I92" s="37" t="n"/>
      <c r="J92" s="36" t="n"/>
      <c r="K92" s="36" t="n"/>
      <c r="L92" s="36" t="n"/>
      <c r="M92" s="36" t="n"/>
      <c r="N92" s="38" t="n"/>
      <c r="O92" s="39">
        <f>IF(OR(N92="",J92=""),"",N92*J92)</f>
        <v/>
      </c>
      <c r="P92" s="40" t="n"/>
      <c r="Q92" s="41">
        <f>IF(OR(P92="",Y92="발주완료",Y92="취소"),"",TODAY()+P92)</f>
        <v/>
      </c>
      <c r="R92" s="35">
        <f>IF(OR(Q92="",NOT(ISNUMBER($J$2))),"",IF(Q92&lt;=$J$2,"가능","초과 "&amp;(Q92-$J$2)&amp;"일"))</f>
        <v/>
      </c>
      <c r="S92" s="36" t="n"/>
      <c r="T92" s="36" t="n"/>
      <c r="U92" s="36" t="n"/>
      <c r="V92" s="43" t="n"/>
      <c r="W92" s="41">
        <f>IF(OR(V92="",U92=""),"",V92+U92)</f>
        <v/>
      </c>
      <c r="X92" s="37" t="n"/>
      <c r="Y92" s="36" t="n"/>
      <c r="Z92" s="37" t="n"/>
    </row>
    <row r="93">
      <c r="A93" s="35">
        <f>IF(E93="","",ROW()-5)</f>
        <v/>
      </c>
      <c r="B93" s="36" t="n"/>
      <c r="C93" s="36" t="n"/>
      <c r="D93" s="36" t="n"/>
      <c r="E93" s="37" t="n"/>
      <c r="F93" s="37" t="n"/>
      <c r="G93" s="37" t="n"/>
      <c r="H93" s="37" t="n"/>
      <c r="I93" s="37" t="n"/>
      <c r="J93" s="36" t="n"/>
      <c r="K93" s="36" t="n"/>
      <c r="L93" s="36" t="n"/>
      <c r="M93" s="36" t="n"/>
      <c r="N93" s="38" t="n"/>
      <c r="O93" s="39">
        <f>IF(OR(N93="",J93=""),"",N93*J93)</f>
        <v/>
      </c>
      <c r="P93" s="40" t="n"/>
      <c r="Q93" s="41">
        <f>IF(OR(P93="",Y93="발주완료",Y93="취소"),"",TODAY()+P93)</f>
        <v/>
      </c>
      <c r="R93" s="35">
        <f>IF(OR(Q93="",NOT(ISNUMBER($J$2))),"",IF(Q93&lt;=$J$2,"가능","초과 "&amp;(Q93-$J$2)&amp;"일"))</f>
        <v/>
      </c>
      <c r="S93" s="36" t="n"/>
      <c r="T93" s="36" t="n"/>
      <c r="U93" s="36" t="n"/>
      <c r="V93" s="43" t="n"/>
      <c r="W93" s="41">
        <f>IF(OR(V93="",U93=""),"",V93+U93)</f>
        <v/>
      </c>
      <c r="X93" s="37" t="n"/>
      <c r="Y93" s="36" t="n"/>
      <c r="Z93" s="37" t="n"/>
    </row>
    <row r="94">
      <c r="A94" s="35">
        <f>IF(E94="","",ROW()-5)</f>
        <v/>
      </c>
      <c r="B94" s="36" t="n"/>
      <c r="C94" s="36" t="n"/>
      <c r="D94" s="36" t="n"/>
      <c r="E94" s="37" t="n"/>
      <c r="F94" s="37" t="n"/>
      <c r="G94" s="37" t="n"/>
      <c r="H94" s="37" t="n"/>
      <c r="I94" s="37" t="n"/>
      <c r="J94" s="36" t="n"/>
      <c r="K94" s="36" t="n"/>
      <c r="L94" s="36" t="n"/>
      <c r="M94" s="36" t="n"/>
      <c r="N94" s="38" t="n"/>
      <c r="O94" s="39">
        <f>IF(OR(N94="",J94=""),"",N94*J94)</f>
        <v/>
      </c>
      <c r="P94" s="40" t="n"/>
      <c r="Q94" s="41">
        <f>IF(OR(P94="",Y94="발주완료",Y94="취소"),"",TODAY()+P94)</f>
        <v/>
      </c>
      <c r="R94" s="35">
        <f>IF(OR(Q94="",NOT(ISNUMBER($J$2))),"",IF(Q94&lt;=$J$2,"가능","초과 "&amp;(Q94-$J$2)&amp;"일"))</f>
        <v/>
      </c>
      <c r="S94" s="36" t="n"/>
      <c r="T94" s="36" t="n"/>
      <c r="U94" s="36" t="n"/>
      <c r="V94" s="43" t="n"/>
      <c r="W94" s="41">
        <f>IF(OR(V94="",U94=""),"",V94+U94)</f>
        <v/>
      </c>
      <c r="X94" s="37" t="n"/>
      <c r="Y94" s="36" t="n"/>
      <c r="Z94" s="37" t="n"/>
    </row>
    <row r="95">
      <c r="A95" s="35">
        <f>IF(E95="","",ROW()-5)</f>
        <v/>
      </c>
      <c r="B95" s="36" t="n"/>
      <c r="C95" s="36" t="n"/>
      <c r="D95" s="36" t="n"/>
      <c r="E95" s="37" t="n"/>
      <c r="F95" s="37" t="n"/>
      <c r="G95" s="37" t="n"/>
      <c r="H95" s="37" t="n"/>
      <c r="I95" s="37" t="n"/>
      <c r="J95" s="36" t="n"/>
      <c r="K95" s="36" t="n"/>
      <c r="L95" s="36" t="n"/>
      <c r="M95" s="36" t="n"/>
      <c r="N95" s="38" t="n"/>
      <c r="O95" s="39">
        <f>IF(OR(N95="",J95=""),"",N95*J95)</f>
        <v/>
      </c>
      <c r="P95" s="40" t="n"/>
      <c r="Q95" s="41">
        <f>IF(OR(P95="",Y95="발주완료",Y95="취소"),"",TODAY()+P95)</f>
        <v/>
      </c>
      <c r="R95" s="35">
        <f>IF(OR(Q95="",NOT(ISNUMBER($J$2))),"",IF(Q95&lt;=$J$2,"가능","초과 "&amp;(Q95-$J$2)&amp;"일"))</f>
        <v/>
      </c>
      <c r="S95" s="36" t="n"/>
      <c r="T95" s="36" t="n"/>
      <c r="U95" s="36" t="n"/>
      <c r="V95" s="43" t="n"/>
      <c r="W95" s="41">
        <f>IF(OR(V95="",U95=""),"",V95+U95)</f>
        <v/>
      </c>
      <c r="X95" s="37" t="n"/>
      <c r="Y95" s="36" t="n"/>
      <c r="Z95" s="37" t="n"/>
    </row>
    <row r="96">
      <c r="A96" s="35">
        <f>IF(E96="","",ROW()-5)</f>
        <v/>
      </c>
      <c r="B96" s="36" t="n"/>
      <c r="C96" s="36" t="n"/>
      <c r="D96" s="36" t="n"/>
      <c r="E96" s="37" t="n"/>
      <c r="F96" s="37" t="n"/>
      <c r="G96" s="37" t="n"/>
      <c r="H96" s="37" t="n"/>
      <c r="I96" s="37" t="n"/>
      <c r="J96" s="36" t="n"/>
      <c r="K96" s="36" t="n"/>
      <c r="L96" s="36" t="n"/>
      <c r="M96" s="36" t="n"/>
      <c r="N96" s="38" t="n"/>
      <c r="O96" s="39">
        <f>IF(OR(N96="",J96=""),"",N96*J96)</f>
        <v/>
      </c>
      <c r="P96" s="40" t="n"/>
      <c r="Q96" s="41">
        <f>IF(OR(P96="",Y96="발주완료",Y96="취소"),"",TODAY()+P96)</f>
        <v/>
      </c>
      <c r="R96" s="35">
        <f>IF(OR(Q96="",NOT(ISNUMBER($J$2))),"",IF(Q96&lt;=$J$2,"가능","초과 "&amp;(Q96-$J$2)&amp;"일"))</f>
        <v/>
      </c>
      <c r="S96" s="36" t="n"/>
      <c r="T96" s="36" t="n"/>
      <c r="U96" s="36" t="n"/>
      <c r="V96" s="43" t="n"/>
      <c r="W96" s="41">
        <f>IF(OR(V96="",U96=""),"",V96+U96)</f>
        <v/>
      </c>
      <c r="X96" s="37" t="n"/>
      <c r="Y96" s="36" t="n"/>
      <c r="Z96" s="37" t="n"/>
    </row>
    <row r="97">
      <c r="A97" s="35">
        <f>IF(E97="","",ROW()-5)</f>
        <v/>
      </c>
      <c r="B97" s="36" t="n"/>
      <c r="C97" s="36" t="n"/>
      <c r="D97" s="36" t="n"/>
      <c r="E97" s="37" t="n"/>
      <c r="F97" s="37" t="n"/>
      <c r="G97" s="37" t="n"/>
      <c r="H97" s="37" t="n"/>
      <c r="I97" s="37" t="n"/>
      <c r="J97" s="36" t="n"/>
      <c r="K97" s="36" t="n"/>
      <c r="L97" s="36" t="n"/>
      <c r="M97" s="36" t="n"/>
      <c r="N97" s="38" t="n"/>
      <c r="O97" s="39">
        <f>IF(OR(N97="",J97=""),"",N97*J97)</f>
        <v/>
      </c>
      <c r="P97" s="40" t="n"/>
      <c r="Q97" s="41">
        <f>IF(OR(P97="",Y97="발주완료",Y97="취소"),"",TODAY()+P97)</f>
        <v/>
      </c>
      <c r="R97" s="35">
        <f>IF(OR(Q97="",NOT(ISNUMBER($J$2))),"",IF(Q97&lt;=$J$2,"가능","초과 "&amp;(Q97-$J$2)&amp;"일"))</f>
        <v/>
      </c>
      <c r="S97" s="36" t="n"/>
      <c r="T97" s="36" t="n"/>
      <c r="U97" s="36" t="n"/>
      <c r="V97" s="43" t="n"/>
      <c r="W97" s="41">
        <f>IF(OR(V97="",U97=""),"",V97+U97)</f>
        <v/>
      </c>
      <c r="X97" s="37" t="n"/>
      <c r="Y97" s="36" t="n"/>
      <c r="Z97" s="37" t="n"/>
    </row>
    <row r="98">
      <c r="A98" s="35">
        <f>IF(E98="","",ROW()-5)</f>
        <v/>
      </c>
      <c r="B98" s="36" t="n"/>
      <c r="C98" s="36" t="n"/>
      <c r="D98" s="36" t="n"/>
      <c r="E98" s="37" t="n"/>
      <c r="F98" s="37" t="n"/>
      <c r="G98" s="37" t="n"/>
      <c r="H98" s="37" t="n"/>
      <c r="I98" s="37" t="n"/>
      <c r="J98" s="36" t="n"/>
      <c r="K98" s="36" t="n"/>
      <c r="L98" s="36" t="n"/>
      <c r="M98" s="36" t="n"/>
      <c r="N98" s="38" t="n"/>
      <c r="O98" s="39">
        <f>IF(OR(N98="",J98=""),"",N98*J98)</f>
        <v/>
      </c>
      <c r="P98" s="40" t="n"/>
      <c r="Q98" s="41">
        <f>IF(OR(P98="",Y98="발주완료",Y98="취소"),"",TODAY()+P98)</f>
        <v/>
      </c>
      <c r="R98" s="35">
        <f>IF(OR(Q98="",NOT(ISNUMBER($J$2))),"",IF(Q98&lt;=$J$2,"가능","초과 "&amp;(Q98-$J$2)&amp;"일"))</f>
        <v/>
      </c>
      <c r="S98" s="36" t="n"/>
      <c r="T98" s="36" t="n"/>
      <c r="U98" s="36" t="n"/>
      <c r="V98" s="43" t="n"/>
      <c r="W98" s="41">
        <f>IF(OR(V98="",U98=""),"",V98+U98)</f>
        <v/>
      </c>
      <c r="X98" s="37" t="n"/>
      <c r="Y98" s="36" t="n"/>
      <c r="Z98" s="37" t="n"/>
    </row>
    <row r="99">
      <c r="A99" s="35">
        <f>IF(E99="","",ROW()-5)</f>
        <v/>
      </c>
      <c r="B99" s="36" t="n"/>
      <c r="C99" s="36" t="n"/>
      <c r="D99" s="36" t="n"/>
      <c r="E99" s="37" t="n"/>
      <c r="F99" s="37" t="n"/>
      <c r="G99" s="37" t="n"/>
      <c r="H99" s="37" t="n"/>
      <c r="I99" s="37" t="n"/>
      <c r="J99" s="36" t="n"/>
      <c r="K99" s="36" t="n"/>
      <c r="L99" s="36" t="n"/>
      <c r="M99" s="36" t="n"/>
      <c r="N99" s="38" t="n"/>
      <c r="O99" s="39">
        <f>IF(OR(N99="",J99=""),"",N99*J99)</f>
        <v/>
      </c>
      <c r="P99" s="40" t="n"/>
      <c r="Q99" s="41">
        <f>IF(OR(P99="",Y99="발주완료",Y99="취소"),"",TODAY()+P99)</f>
        <v/>
      </c>
      <c r="R99" s="35">
        <f>IF(OR(Q99="",NOT(ISNUMBER($J$2))),"",IF(Q99&lt;=$J$2,"가능","초과 "&amp;(Q99-$J$2)&amp;"일"))</f>
        <v/>
      </c>
      <c r="S99" s="36" t="n"/>
      <c r="T99" s="36" t="n"/>
      <c r="U99" s="36" t="n"/>
      <c r="V99" s="43" t="n"/>
      <c r="W99" s="41">
        <f>IF(OR(V99="",U99=""),"",V99+U99)</f>
        <v/>
      </c>
      <c r="X99" s="37" t="n"/>
      <c r="Y99" s="36" t="n"/>
      <c r="Z99" s="37" t="n"/>
    </row>
    <row r="100">
      <c r="A100" s="35">
        <f>IF(E100="","",ROW()-5)</f>
        <v/>
      </c>
      <c r="B100" s="36" t="n"/>
      <c r="C100" s="36" t="n"/>
      <c r="D100" s="36" t="n"/>
      <c r="E100" s="37" t="n"/>
      <c r="F100" s="37" t="n"/>
      <c r="G100" s="37" t="n"/>
      <c r="H100" s="37" t="n"/>
      <c r="I100" s="37" t="n"/>
      <c r="J100" s="36" t="n"/>
      <c r="K100" s="36" t="n"/>
      <c r="L100" s="36" t="n"/>
      <c r="M100" s="36" t="n"/>
      <c r="N100" s="38" t="n"/>
      <c r="O100" s="39">
        <f>IF(OR(N100="",J100=""),"",N100*J100)</f>
        <v/>
      </c>
      <c r="P100" s="40" t="n"/>
      <c r="Q100" s="41">
        <f>IF(OR(P100="",Y100="발주완료",Y100="취소"),"",TODAY()+P100)</f>
        <v/>
      </c>
      <c r="R100" s="35">
        <f>IF(OR(Q100="",NOT(ISNUMBER($J$2))),"",IF(Q100&lt;=$J$2,"가능","초과 "&amp;(Q100-$J$2)&amp;"일"))</f>
        <v/>
      </c>
      <c r="S100" s="36" t="n"/>
      <c r="T100" s="36" t="n"/>
      <c r="U100" s="36" t="n"/>
      <c r="V100" s="43" t="n"/>
      <c r="W100" s="41">
        <f>IF(OR(V100="",U100=""),"",V100+U100)</f>
        <v/>
      </c>
      <c r="X100" s="37" t="n"/>
      <c r="Y100" s="36" t="n"/>
      <c r="Z100" s="37" t="n"/>
    </row>
    <row r="101">
      <c r="A101" s="35">
        <f>IF(E101="","",ROW()-5)</f>
        <v/>
      </c>
      <c r="B101" s="36" t="n"/>
      <c r="C101" s="36" t="n"/>
      <c r="D101" s="36" t="n"/>
      <c r="E101" s="37" t="n"/>
      <c r="F101" s="37" t="n"/>
      <c r="G101" s="37" t="n"/>
      <c r="H101" s="37" t="n"/>
      <c r="I101" s="37" t="n"/>
      <c r="J101" s="36" t="n"/>
      <c r="K101" s="36" t="n"/>
      <c r="L101" s="36" t="n"/>
      <c r="M101" s="36" t="n"/>
      <c r="N101" s="38" t="n"/>
      <c r="O101" s="39">
        <f>IF(OR(N101="",J101=""),"",N101*J101)</f>
        <v/>
      </c>
      <c r="P101" s="40" t="n"/>
      <c r="Q101" s="41">
        <f>IF(OR(P101="",Y101="발주완료",Y101="취소"),"",TODAY()+P101)</f>
        <v/>
      </c>
      <c r="R101" s="35">
        <f>IF(OR(Q101="",NOT(ISNUMBER($J$2))),"",IF(Q101&lt;=$J$2,"가능","초과 "&amp;(Q101-$J$2)&amp;"일"))</f>
        <v/>
      </c>
      <c r="S101" s="36" t="n"/>
      <c r="T101" s="36" t="n"/>
      <c r="U101" s="36" t="n"/>
      <c r="V101" s="43" t="n"/>
      <c r="W101" s="41">
        <f>IF(OR(V101="",U101=""),"",V101+U101)</f>
        <v/>
      </c>
      <c r="X101" s="37" t="n"/>
      <c r="Y101" s="36" t="n"/>
      <c r="Z101" s="37" t="n"/>
    </row>
    <row r="102">
      <c r="A102" s="35">
        <f>IF(E102="","",ROW()-5)</f>
        <v/>
      </c>
      <c r="B102" s="36" t="n"/>
      <c r="C102" s="36" t="n"/>
      <c r="D102" s="36" t="n"/>
      <c r="E102" s="37" t="n"/>
      <c r="F102" s="37" t="n"/>
      <c r="G102" s="37" t="n"/>
      <c r="H102" s="37" t="n"/>
      <c r="I102" s="37" t="n"/>
      <c r="J102" s="36" t="n"/>
      <c r="K102" s="36" t="n"/>
      <c r="L102" s="36" t="n"/>
      <c r="M102" s="36" t="n"/>
      <c r="N102" s="38" t="n"/>
      <c r="O102" s="39">
        <f>IF(OR(N102="",J102=""),"",N102*J102)</f>
        <v/>
      </c>
      <c r="P102" s="40" t="n"/>
      <c r="Q102" s="41">
        <f>IF(OR(P102="",Y102="발주완료",Y102="취소"),"",TODAY()+P102)</f>
        <v/>
      </c>
      <c r="R102" s="35">
        <f>IF(OR(Q102="",NOT(ISNUMBER($J$2))),"",IF(Q102&lt;=$J$2,"가능","초과 "&amp;(Q102-$J$2)&amp;"일"))</f>
        <v/>
      </c>
      <c r="S102" s="36" t="n"/>
      <c r="T102" s="36" t="n"/>
      <c r="U102" s="36" t="n"/>
      <c r="V102" s="43" t="n"/>
      <c r="W102" s="41">
        <f>IF(OR(V102="",U102=""),"",V102+U102)</f>
        <v/>
      </c>
      <c r="X102" s="37" t="n"/>
      <c r="Y102" s="36" t="n"/>
      <c r="Z102" s="37" t="n"/>
    </row>
    <row r="103">
      <c r="A103" s="35">
        <f>IF(E103="","",ROW()-5)</f>
        <v/>
      </c>
      <c r="B103" s="36" t="n"/>
      <c r="C103" s="36" t="n"/>
      <c r="D103" s="36" t="n"/>
      <c r="E103" s="37" t="n"/>
      <c r="F103" s="37" t="n"/>
      <c r="G103" s="37" t="n"/>
      <c r="H103" s="37" t="n"/>
      <c r="I103" s="37" t="n"/>
      <c r="J103" s="36" t="n"/>
      <c r="K103" s="36" t="n"/>
      <c r="L103" s="36" t="n"/>
      <c r="M103" s="36" t="n"/>
      <c r="N103" s="38" t="n"/>
      <c r="O103" s="39">
        <f>IF(OR(N103="",J103=""),"",N103*J103)</f>
        <v/>
      </c>
      <c r="P103" s="40" t="n"/>
      <c r="Q103" s="41">
        <f>IF(OR(P103="",Y103="발주완료",Y103="취소"),"",TODAY()+P103)</f>
        <v/>
      </c>
      <c r="R103" s="35">
        <f>IF(OR(Q103="",NOT(ISNUMBER($J$2))),"",IF(Q103&lt;=$J$2,"가능","초과 "&amp;(Q103-$J$2)&amp;"일"))</f>
        <v/>
      </c>
      <c r="S103" s="36" t="n"/>
      <c r="T103" s="36" t="n"/>
      <c r="U103" s="36" t="n"/>
      <c r="V103" s="43" t="n"/>
      <c r="W103" s="41">
        <f>IF(OR(V103="",U103=""),"",V103+U103)</f>
        <v/>
      </c>
      <c r="X103" s="37" t="n"/>
      <c r="Y103" s="36" t="n"/>
      <c r="Z103" s="37" t="n"/>
    </row>
    <row r="104">
      <c r="A104" s="35">
        <f>IF(E104="","",ROW()-5)</f>
        <v/>
      </c>
      <c r="B104" s="36" t="n"/>
      <c r="C104" s="36" t="n"/>
      <c r="D104" s="36" t="n"/>
      <c r="E104" s="37" t="n"/>
      <c r="F104" s="37" t="n"/>
      <c r="G104" s="37" t="n"/>
      <c r="H104" s="37" t="n"/>
      <c r="I104" s="37" t="n"/>
      <c r="J104" s="36" t="n"/>
      <c r="K104" s="36" t="n"/>
      <c r="L104" s="36" t="n"/>
      <c r="M104" s="36" t="n"/>
      <c r="N104" s="38" t="n"/>
      <c r="O104" s="39">
        <f>IF(OR(N104="",J104=""),"",N104*J104)</f>
        <v/>
      </c>
      <c r="P104" s="40" t="n"/>
      <c r="Q104" s="41">
        <f>IF(OR(P104="",Y104="발주완료",Y104="취소"),"",TODAY()+P104)</f>
        <v/>
      </c>
      <c r="R104" s="35">
        <f>IF(OR(Q104="",NOT(ISNUMBER($J$2))),"",IF(Q104&lt;=$J$2,"가능","초과 "&amp;(Q104-$J$2)&amp;"일"))</f>
        <v/>
      </c>
      <c r="S104" s="36" t="n"/>
      <c r="T104" s="36" t="n"/>
      <c r="U104" s="36" t="n"/>
      <c r="V104" s="43" t="n"/>
      <c r="W104" s="41">
        <f>IF(OR(V104="",U104=""),"",V104+U104)</f>
        <v/>
      </c>
      <c r="X104" s="37" t="n"/>
      <c r="Y104" s="36" t="n"/>
      <c r="Z104" s="37" t="n"/>
    </row>
    <row r="105">
      <c r="A105" s="35">
        <f>IF(E105="","",ROW()-5)</f>
        <v/>
      </c>
      <c r="B105" s="36" t="n"/>
      <c r="C105" s="36" t="n"/>
      <c r="D105" s="36" t="n"/>
      <c r="E105" s="37" t="n"/>
      <c r="F105" s="37" t="n"/>
      <c r="G105" s="37" t="n"/>
      <c r="H105" s="37" t="n"/>
      <c r="I105" s="37" t="n"/>
      <c r="J105" s="36" t="n"/>
      <c r="K105" s="36" t="n"/>
      <c r="L105" s="36" t="n"/>
      <c r="M105" s="36" t="n"/>
      <c r="N105" s="38" t="n"/>
      <c r="O105" s="39">
        <f>IF(OR(N105="",J105=""),"",N105*J105)</f>
        <v/>
      </c>
      <c r="P105" s="40" t="n"/>
      <c r="Q105" s="41">
        <f>IF(OR(P105="",Y105="발주완료",Y105="취소"),"",TODAY()+P105)</f>
        <v/>
      </c>
      <c r="R105" s="35">
        <f>IF(OR(Q105="",NOT(ISNUMBER($J$2))),"",IF(Q105&lt;=$J$2,"가능","초과 "&amp;(Q105-$J$2)&amp;"일"))</f>
        <v/>
      </c>
      <c r="S105" s="36" t="n"/>
      <c r="T105" s="36" t="n"/>
      <c r="U105" s="36" t="n"/>
      <c r="V105" s="43" t="n"/>
      <c r="W105" s="41">
        <f>IF(OR(V105="",U105=""),"",V105+U105)</f>
        <v/>
      </c>
      <c r="X105" s="37" t="n"/>
      <c r="Y105" s="36" t="n"/>
      <c r="Z105" s="37" t="n"/>
    </row>
    <row r="106">
      <c r="A106" s="35">
        <f>IF(E106="","",ROW()-5)</f>
        <v/>
      </c>
      <c r="B106" s="36" t="n"/>
      <c r="C106" s="36" t="n"/>
      <c r="D106" s="36" t="n"/>
      <c r="E106" s="37" t="n"/>
      <c r="F106" s="37" t="n"/>
      <c r="G106" s="37" t="n"/>
      <c r="H106" s="37" t="n"/>
      <c r="I106" s="37" t="n"/>
      <c r="J106" s="36" t="n"/>
      <c r="K106" s="36" t="n"/>
      <c r="L106" s="36" t="n"/>
      <c r="M106" s="36" t="n"/>
      <c r="N106" s="38" t="n"/>
      <c r="O106" s="39">
        <f>IF(OR(N106="",J106=""),"",N106*J106)</f>
        <v/>
      </c>
      <c r="P106" s="40" t="n"/>
      <c r="Q106" s="41">
        <f>IF(OR(P106="",Y106="발주완료",Y106="취소"),"",TODAY()+P106)</f>
        <v/>
      </c>
      <c r="R106" s="35">
        <f>IF(OR(Q106="",NOT(ISNUMBER($J$2))),"",IF(Q106&lt;=$J$2,"가능","초과 "&amp;(Q106-$J$2)&amp;"일"))</f>
        <v/>
      </c>
      <c r="S106" s="36" t="n"/>
      <c r="T106" s="36" t="n"/>
      <c r="U106" s="36" t="n"/>
      <c r="V106" s="43" t="n"/>
      <c r="W106" s="41">
        <f>IF(OR(V106="",U106=""),"",V106+U106)</f>
        <v/>
      </c>
      <c r="X106" s="37" t="n"/>
      <c r="Y106" s="36" t="n"/>
      <c r="Z106" s="37" t="n"/>
    </row>
    <row r="107">
      <c r="A107" s="35">
        <f>IF(E107="","",ROW()-5)</f>
        <v/>
      </c>
      <c r="B107" s="36" t="n"/>
      <c r="C107" s="36" t="n"/>
      <c r="D107" s="36" t="n"/>
      <c r="E107" s="37" t="n"/>
      <c r="F107" s="37" t="n"/>
      <c r="G107" s="37" t="n"/>
      <c r="H107" s="37" t="n"/>
      <c r="I107" s="37" t="n"/>
      <c r="J107" s="36" t="n"/>
      <c r="K107" s="36" t="n"/>
      <c r="L107" s="36" t="n"/>
      <c r="M107" s="36" t="n"/>
      <c r="N107" s="38" t="n"/>
      <c r="O107" s="39">
        <f>IF(OR(N107="",J107=""),"",N107*J107)</f>
        <v/>
      </c>
      <c r="P107" s="40" t="n"/>
      <c r="Q107" s="41">
        <f>IF(OR(P107="",Y107="발주완료",Y107="취소"),"",TODAY()+P107)</f>
        <v/>
      </c>
      <c r="R107" s="35">
        <f>IF(OR(Q107="",NOT(ISNUMBER($J$2))),"",IF(Q107&lt;=$J$2,"가능","초과 "&amp;(Q107-$J$2)&amp;"일"))</f>
        <v/>
      </c>
      <c r="S107" s="36" t="n"/>
      <c r="T107" s="36" t="n"/>
      <c r="U107" s="36" t="n"/>
      <c r="V107" s="43" t="n"/>
      <c r="W107" s="41">
        <f>IF(OR(V107="",U107=""),"",V107+U107)</f>
        <v/>
      </c>
      <c r="X107" s="37" t="n"/>
      <c r="Y107" s="36" t="n"/>
      <c r="Z107" s="37" t="n"/>
    </row>
    <row r="108">
      <c r="A108" s="35">
        <f>IF(E108="","",ROW()-5)</f>
        <v/>
      </c>
      <c r="B108" s="36" t="n"/>
      <c r="C108" s="36" t="n"/>
      <c r="D108" s="36" t="n"/>
      <c r="E108" s="37" t="n"/>
      <c r="F108" s="37" t="n"/>
      <c r="G108" s="37" t="n"/>
      <c r="H108" s="37" t="n"/>
      <c r="I108" s="37" t="n"/>
      <c r="J108" s="36" t="n"/>
      <c r="K108" s="36" t="n"/>
      <c r="L108" s="36" t="n"/>
      <c r="M108" s="36" t="n"/>
      <c r="N108" s="38" t="n"/>
      <c r="O108" s="39">
        <f>IF(OR(N108="",J108=""),"",N108*J108)</f>
        <v/>
      </c>
      <c r="P108" s="40" t="n"/>
      <c r="Q108" s="41">
        <f>IF(OR(P108="",Y108="발주완료",Y108="취소"),"",TODAY()+P108)</f>
        <v/>
      </c>
      <c r="R108" s="35">
        <f>IF(OR(Q108="",NOT(ISNUMBER($J$2))),"",IF(Q108&lt;=$J$2,"가능","초과 "&amp;(Q108-$J$2)&amp;"일"))</f>
        <v/>
      </c>
      <c r="S108" s="36" t="n"/>
      <c r="T108" s="36" t="n"/>
      <c r="U108" s="36" t="n"/>
      <c r="V108" s="43" t="n"/>
      <c r="W108" s="41">
        <f>IF(OR(V108="",U108=""),"",V108+U108)</f>
        <v/>
      </c>
      <c r="X108" s="37" t="n"/>
      <c r="Y108" s="36" t="n"/>
      <c r="Z108" s="37" t="n"/>
    </row>
    <row r="109">
      <c r="A109" s="35">
        <f>IF(E109="","",ROW()-5)</f>
        <v/>
      </c>
      <c r="B109" s="36" t="n"/>
      <c r="C109" s="36" t="n"/>
      <c r="D109" s="36" t="n"/>
      <c r="E109" s="37" t="n"/>
      <c r="F109" s="37" t="n"/>
      <c r="G109" s="37" t="n"/>
      <c r="H109" s="37" t="n"/>
      <c r="I109" s="37" t="n"/>
      <c r="J109" s="36" t="n"/>
      <c r="K109" s="36" t="n"/>
      <c r="L109" s="36" t="n"/>
      <c r="M109" s="36" t="n"/>
      <c r="N109" s="38" t="n"/>
      <c r="O109" s="39">
        <f>IF(OR(N109="",J109=""),"",N109*J109)</f>
        <v/>
      </c>
      <c r="P109" s="40" t="n"/>
      <c r="Q109" s="41">
        <f>IF(OR(P109="",Y109="발주완료",Y109="취소"),"",TODAY()+P109)</f>
        <v/>
      </c>
      <c r="R109" s="35">
        <f>IF(OR(Q109="",NOT(ISNUMBER($J$2))),"",IF(Q109&lt;=$J$2,"가능","초과 "&amp;(Q109-$J$2)&amp;"일"))</f>
        <v/>
      </c>
      <c r="S109" s="36" t="n"/>
      <c r="T109" s="36" t="n"/>
      <c r="U109" s="36" t="n"/>
      <c r="V109" s="43" t="n"/>
      <c r="W109" s="41">
        <f>IF(OR(V109="",U109=""),"",V109+U109)</f>
        <v/>
      </c>
      <c r="X109" s="37" t="n"/>
      <c r="Y109" s="36" t="n"/>
      <c r="Z109" s="37" t="n"/>
    </row>
    <row r="110">
      <c r="A110" s="35">
        <f>IF(E110="","",ROW()-5)</f>
        <v/>
      </c>
      <c r="B110" s="36" t="n"/>
      <c r="C110" s="36" t="n"/>
      <c r="D110" s="36" t="n"/>
      <c r="E110" s="37" t="n"/>
      <c r="F110" s="37" t="n"/>
      <c r="G110" s="37" t="n"/>
      <c r="H110" s="37" t="n"/>
      <c r="I110" s="37" t="n"/>
      <c r="J110" s="36" t="n"/>
      <c r="K110" s="36" t="n"/>
      <c r="L110" s="36" t="n"/>
      <c r="M110" s="36" t="n"/>
      <c r="N110" s="38" t="n"/>
      <c r="O110" s="39">
        <f>IF(OR(N110="",J110=""),"",N110*J110)</f>
        <v/>
      </c>
      <c r="P110" s="40" t="n"/>
      <c r="Q110" s="41">
        <f>IF(OR(P110="",Y110="발주완료",Y110="취소"),"",TODAY()+P110)</f>
        <v/>
      </c>
      <c r="R110" s="35">
        <f>IF(OR(Q110="",NOT(ISNUMBER($J$2))),"",IF(Q110&lt;=$J$2,"가능","초과 "&amp;(Q110-$J$2)&amp;"일"))</f>
        <v/>
      </c>
      <c r="S110" s="36" t="n"/>
      <c r="T110" s="36" t="n"/>
      <c r="U110" s="36" t="n"/>
      <c r="V110" s="43" t="n"/>
      <c r="W110" s="41">
        <f>IF(OR(V110="",U110=""),"",V110+U110)</f>
        <v/>
      </c>
      <c r="X110" s="37" t="n"/>
      <c r="Y110" s="36" t="n"/>
      <c r="Z110" s="37" t="n"/>
    </row>
    <row r="111">
      <c r="A111" s="35">
        <f>IF(E111="","",ROW()-5)</f>
        <v/>
      </c>
      <c r="B111" s="36" t="n"/>
      <c r="C111" s="36" t="n"/>
      <c r="D111" s="36" t="n"/>
      <c r="E111" s="37" t="n"/>
      <c r="F111" s="37" t="n"/>
      <c r="G111" s="37" t="n"/>
      <c r="H111" s="37" t="n"/>
      <c r="I111" s="37" t="n"/>
      <c r="J111" s="36" t="n"/>
      <c r="K111" s="36" t="n"/>
      <c r="L111" s="36" t="n"/>
      <c r="M111" s="36" t="n"/>
      <c r="N111" s="38" t="n"/>
      <c r="O111" s="39">
        <f>IF(OR(N111="",J111=""),"",N111*J111)</f>
        <v/>
      </c>
      <c r="P111" s="40" t="n"/>
      <c r="Q111" s="41">
        <f>IF(OR(P111="",Y111="발주완료",Y111="취소"),"",TODAY()+P111)</f>
        <v/>
      </c>
      <c r="R111" s="35">
        <f>IF(OR(Q111="",NOT(ISNUMBER($J$2))),"",IF(Q111&lt;=$J$2,"가능","초과 "&amp;(Q111-$J$2)&amp;"일"))</f>
        <v/>
      </c>
      <c r="S111" s="36" t="n"/>
      <c r="T111" s="36" t="n"/>
      <c r="U111" s="36" t="n"/>
      <c r="V111" s="43" t="n"/>
      <c r="W111" s="41">
        <f>IF(OR(V111="",U111=""),"",V111+U111)</f>
        <v/>
      </c>
      <c r="X111" s="37" t="n"/>
      <c r="Y111" s="36" t="n"/>
      <c r="Z111" s="37" t="n"/>
    </row>
    <row r="112">
      <c r="A112" s="35">
        <f>IF(E112="","",ROW()-5)</f>
        <v/>
      </c>
      <c r="B112" s="36" t="n"/>
      <c r="C112" s="36" t="n"/>
      <c r="D112" s="36" t="n"/>
      <c r="E112" s="37" t="n"/>
      <c r="F112" s="37" t="n"/>
      <c r="G112" s="37" t="n"/>
      <c r="H112" s="37" t="n"/>
      <c r="I112" s="37" t="n"/>
      <c r="J112" s="36" t="n"/>
      <c r="K112" s="36" t="n"/>
      <c r="L112" s="36" t="n"/>
      <c r="M112" s="36" t="n"/>
      <c r="N112" s="38" t="n"/>
      <c r="O112" s="39">
        <f>IF(OR(N112="",J112=""),"",N112*J112)</f>
        <v/>
      </c>
      <c r="P112" s="40" t="n"/>
      <c r="Q112" s="41">
        <f>IF(OR(P112="",Y112="발주완료",Y112="취소"),"",TODAY()+P112)</f>
        <v/>
      </c>
      <c r="R112" s="35">
        <f>IF(OR(Q112="",NOT(ISNUMBER($J$2))),"",IF(Q112&lt;=$J$2,"가능","초과 "&amp;(Q112-$J$2)&amp;"일"))</f>
        <v/>
      </c>
      <c r="S112" s="36" t="n"/>
      <c r="T112" s="36" t="n"/>
      <c r="U112" s="36" t="n"/>
      <c r="V112" s="43" t="n"/>
      <c r="W112" s="41">
        <f>IF(OR(V112="",U112=""),"",V112+U112)</f>
        <v/>
      </c>
      <c r="X112" s="37" t="n"/>
      <c r="Y112" s="36" t="n"/>
      <c r="Z112" s="37" t="n"/>
    </row>
    <row r="113">
      <c r="A113" s="35">
        <f>IF(E113="","",ROW()-5)</f>
        <v/>
      </c>
      <c r="B113" s="36" t="n"/>
      <c r="C113" s="36" t="n"/>
      <c r="D113" s="36" t="n"/>
      <c r="E113" s="37" t="n"/>
      <c r="F113" s="37" t="n"/>
      <c r="G113" s="37" t="n"/>
      <c r="H113" s="37" t="n"/>
      <c r="I113" s="37" t="n"/>
      <c r="J113" s="36" t="n"/>
      <c r="K113" s="36" t="n"/>
      <c r="L113" s="36" t="n"/>
      <c r="M113" s="36" t="n"/>
      <c r="N113" s="38" t="n"/>
      <c r="O113" s="39">
        <f>IF(OR(N113="",J113=""),"",N113*J113)</f>
        <v/>
      </c>
      <c r="P113" s="40" t="n"/>
      <c r="Q113" s="41">
        <f>IF(OR(P113="",Y113="발주완료",Y113="취소"),"",TODAY()+P113)</f>
        <v/>
      </c>
      <c r="R113" s="35">
        <f>IF(OR(Q113="",NOT(ISNUMBER($J$2))),"",IF(Q113&lt;=$J$2,"가능","초과 "&amp;(Q113-$J$2)&amp;"일"))</f>
        <v/>
      </c>
      <c r="S113" s="36" t="n"/>
      <c r="T113" s="36" t="n"/>
      <c r="U113" s="36" t="n"/>
      <c r="V113" s="43" t="n"/>
      <c r="W113" s="41">
        <f>IF(OR(V113="",U113=""),"",V113+U113)</f>
        <v/>
      </c>
      <c r="X113" s="37" t="n"/>
      <c r="Y113" s="36" t="n"/>
      <c r="Z113" s="37" t="n"/>
    </row>
    <row r="114">
      <c r="A114" s="35">
        <f>IF(E114="","",ROW()-5)</f>
        <v/>
      </c>
      <c r="B114" s="36" t="n"/>
      <c r="C114" s="36" t="n"/>
      <c r="D114" s="36" t="n"/>
      <c r="E114" s="37" t="n"/>
      <c r="F114" s="37" t="n"/>
      <c r="G114" s="37" t="n"/>
      <c r="H114" s="37" t="n"/>
      <c r="I114" s="37" t="n"/>
      <c r="J114" s="36" t="n"/>
      <c r="K114" s="36" t="n"/>
      <c r="L114" s="36" t="n"/>
      <c r="M114" s="36" t="n"/>
      <c r="N114" s="38" t="n"/>
      <c r="O114" s="39">
        <f>IF(OR(N114="",J114=""),"",N114*J114)</f>
        <v/>
      </c>
      <c r="P114" s="40" t="n"/>
      <c r="Q114" s="41">
        <f>IF(OR(P114="",Y114="발주완료",Y114="취소"),"",TODAY()+P114)</f>
        <v/>
      </c>
      <c r="R114" s="35">
        <f>IF(OR(Q114="",NOT(ISNUMBER($J$2))),"",IF(Q114&lt;=$J$2,"가능","초과 "&amp;(Q114-$J$2)&amp;"일"))</f>
        <v/>
      </c>
      <c r="S114" s="36" t="n"/>
      <c r="T114" s="36" t="n"/>
      <c r="U114" s="36" t="n"/>
      <c r="V114" s="43" t="n"/>
      <c r="W114" s="41">
        <f>IF(OR(V114="",U114=""),"",V114+U114)</f>
        <v/>
      </c>
      <c r="X114" s="37" t="n"/>
      <c r="Y114" s="36" t="n"/>
      <c r="Z114" s="37" t="n"/>
    </row>
    <row r="115">
      <c r="A115" s="35">
        <f>IF(E115="","",ROW()-5)</f>
        <v/>
      </c>
      <c r="B115" s="36" t="n"/>
      <c r="C115" s="36" t="n"/>
      <c r="D115" s="36" t="n"/>
      <c r="E115" s="37" t="n"/>
      <c r="F115" s="37" t="n"/>
      <c r="G115" s="37" t="n"/>
      <c r="H115" s="37" t="n"/>
      <c r="I115" s="37" t="n"/>
      <c r="J115" s="36" t="n"/>
      <c r="K115" s="36" t="n"/>
      <c r="L115" s="36" t="n"/>
      <c r="M115" s="36" t="n"/>
      <c r="N115" s="38" t="n"/>
      <c r="O115" s="39">
        <f>IF(OR(N115="",J115=""),"",N115*J115)</f>
        <v/>
      </c>
      <c r="P115" s="40" t="n"/>
      <c r="Q115" s="41">
        <f>IF(OR(P115="",Y115="발주완료",Y115="취소"),"",TODAY()+P115)</f>
        <v/>
      </c>
      <c r="R115" s="35">
        <f>IF(OR(Q115="",NOT(ISNUMBER($J$2))),"",IF(Q115&lt;=$J$2,"가능","초과 "&amp;(Q115-$J$2)&amp;"일"))</f>
        <v/>
      </c>
      <c r="S115" s="36" t="n"/>
      <c r="T115" s="36" t="n"/>
      <c r="U115" s="36" t="n"/>
      <c r="V115" s="43" t="n"/>
      <c r="W115" s="41">
        <f>IF(OR(V115="",U115=""),"",V115+U115)</f>
        <v/>
      </c>
      <c r="X115" s="37" t="n"/>
      <c r="Y115" s="36" t="n"/>
      <c r="Z115" s="37" t="n"/>
    </row>
    <row r="116">
      <c r="A116" s="35">
        <f>IF(E116="","",ROW()-5)</f>
        <v/>
      </c>
      <c r="B116" s="36" t="n"/>
      <c r="C116" s="36" t="n"/>
      <c r="D116" s="36" t="n"/>
      <c r="E116" s="37" t="n"/>
      <c r="F116" s="37" t="n"/>
      <c r="G116" s="37" t="n"/>
      <c r="H116" s="37" t="n"/>
      <c r="I116" s="37" t="n"/>
      <c r="J116" s="36" t="n"/>
      <c r="K116" s="36" t="n"/>
      <c r="L116" s="36" t="n"/>
      <c r="M116" s="36" t="n"/>
      <c r="N116" s="38" t="n"/>
      <c r="O116" s="39">
        <f>IF(OR(N116="",J116=""),"",N116*J116)</f>
        <v/>
      </c>
      <c r="P116" s="40" t="n"/>
      <c r="Q116" s="41">
        <f>IF(OR(P116="",Y116="발주완료",Y116="취소"),"",TODAY()+P116)</f>
        <v/>
      </c>
      <c r="R116" s="35">
        <f>IF(OR(Q116="",NOT(ISNUMBER($J$2))),"",IF(Q116&lt;=$J$2,"가능","초과 "&amp;(Q116-$J$2)&amp;"일"))</f>
        <v/>
      </c>
      <c r="S116" s="36" t="n"/>
      <c r="T116" s="36" t="n"/>
      <c r="U116" s="36" t="n"/>
      <c r="V116" s="43" t="n"/>
      <c r="W116" s="41">
        <f>IF(OR(V116="",U116=""),"",V116+U116)</f>
        <v/>
      </c>
      <c r="X116" s="37" t="n"/>
      <c r="Y116" s="36" t="n"/>
      <c r="Z116" s="37" t="n"/>
    </row>
    <row r="117">
      <c r="A117" s="35">
        <f>IF(E117="","",ROW()-5)</f>
        <v/>
      </c>
      <c r="B117" s="36" t="n"/>
      <c r="C117" s="36" t="n"/>
      <c r="D117" s="36" t="n"/>
      <c r="E117" s="37" t="n"/>
      <c r="F117" s="37" t="n"/>
      <c r="G117" s="37" t="n"/>
      <c r="H117" s="37" t="n"/>
      <c r="I117" s="37" t="n"/>
      <c r="J117" s="36" t="n"/>
      <c r="K117" s="36" t="n"/>
      <c r="L117" s="36" t="n"/>
      <c r="M117" s="36" t="n"/>
      <c r="N117" s="38" t="n"/>
      <c r="O117" s="39">
        <f>IF(OR(N117="",J117=""),"",N117*J117)</f>
        <v/>
      </c>
      <c r="P117" s="40" t="n"/>
      <c r="Q117" s="41">
        <f>IF(OR(P117="",Y117="발주완료",Y117="취소"),"",TODAY()+P117)</f>
        <v/>
      </c>
      <c r="R117" s="35">
        <f>IF(OR(Q117="",NOT(ISNUMBER($J$2))),"",IF(Q117&lt;=$J$2,"가능","초과 "&amp;(Q117-$J$2)&amp;"일"))</f>
        <v/>
      </c>
      <c r="S117" s="36" t="n"/>
      <c r="T117" s="36" t="n"/>
      <c r="U117" s="36" t="n"/>
      <c r="V117" s="43" t="n"/>
      <c r="W117" s="41">
        <f>IF(OR(V117="",U117=""),"",V117+U117)</f>
        <v/>
      </c>
      <c r="X117" s="37" t="n"/>
      <c r="Y117" s="36" t="n"/>
      <c r="Z117" s="37" t="n"/>
    </row>
    <row r="118">
      <c r="A118" s="35">
        <f>IF(E118="","",ROW()-5)</f>
        <v/>
      </c>
      <c r="B118" s="36" t="n"/>
      <c r="C118" s="36" t="n"/>
      <c r="D118" s="36" t="n"/>
      <c r="E118" s="37" t="n"/>
      <c r="F118" s="37" t="n"/>
      <c r="G118" s="37" t="n"/>
      <c r="H118" s="37" t="n"/>
      <c r="I118" s="37" t="n"/>
      <c r="J118" s="36" t="n"/>
      <c r="K118" s="36" t="n"/>
      <c r="L118" s="36" t="n"/>
      <c r="M118" s="36" t="n"/>
      <c r="N118" s="38" t="n"/>
      <c r="O118" s="39">
        <f>IF(OR(N118="",J118=""),"",N118*J118)</f>
        <v/>
      </c>
      <c r="P118" s="40" t="n"/>
      <c r="Q118" s="41">
        <f>IF(OR(P118="",Y118="발주완료",Y118="취소"),"",TODAY()+P118)</f>
        <v/>
      </c>
      <c r="R118" s="35">
        <f>IF(OR(Q118="",NOT(ISNUMBER($J$2))),"",IF(Q118&lt;=$J$2,"가능","초과 "&amp;(Q118-$J$2)&amp;"일"))</f>
        <v/>
      </c>
      <c r="S118" s="36" t="n"/>
      <c r="T118" s="36" t="n"/>
      <c r="U118" s="36" t="n"/>
      <c r="V118" s="43" t="n"/>
      <c r="W118" s="41">
        <f>IF(OR(V118="",U118=""),"",V118+U118)</f>
        <v/>
      </c>
      <c r="X118" s="37" t="n"/>
      <c r="Y118" s="36" t="n"/>
      <c r="Z118" s="37" t="n"/>
    </row>
    <row r="119">
      <c r="A119" s="35">
        <f>IF(E119="","",ROW()-5)</f>
        <v/>
      </c>
      <c r="B119" s="36" t="n"/>
      <c r="C119" s="36" t="n"/>
      <c r="D119" s="36" t="n"/>
      <c r="E119" s="37" t="n"/>
      <c r="F119" s="37" t="n"/>
      <c r="G119" s="37" t="n"/>
      <c r="H119" s="37" t="n"/>
      <c r="I119" s="37" t="n"/>
      <c r="J119" s="36" t="n"/>
      <c r="K119" s="36" t="n"/>
      <c r="L119" s="36" t="n"/>
      <c r="M119" s="36" t="n"/>
      <c r="N119" s="38" t="n"/>
      <c r="O119" s="39">
        <f>IF(OR(N119="",J119=""),"",N119*J119)</f>
        <v/>
      </c>
      <c r="P119" s="40" t="n"/>
      <c r="Q119" s="41">
        <f>IF(OR(P119="",Y119="발주완료",Y119="취소"),"",TODAY()+P119)</f>
        <v/>
      </c>
      <c r="R119" s="35">
        <f>IF(OR(Q119="",NOT(ISNUMBER($J$2))),"",IF(Q119&lt;=$J$2,"가능","초과 "&amp;(Q119-$J$2)&amp;"일"))</f>
        <v/>
      </c>
      <c r="S119" s="36" t="n"/>
      <c r="T119" s="36" t="n"/>
      <c r="U119" s="36" t="n"/>
      <c r="V119" s="43" t="n"/>
      <c r="W119" s="41">
        <f>IF(OR(V119="",U119=""),"",V119+U119)</f>
        <v/>
      </c>
      <c r="X119" s="37" t="n"/>
      <c r="Y119" s="36" t="n"/>
      <c r="Z119" s="37" t="n"/>
    </row>
    <row r="120">
      <c r="A120" s="35">
        <f>IF(E120="","",ROW()-5)</f>
        <v/>
      </c>
      <c r="B120" s="36" t="n"/>
      <c r="C120" s="36" t="n"/>
      <c r="D120" s="36" t="n"/>
      <c r="E120" s="37" t="n"/>
      <c r="F120" s="37" t="n"/>
      <c r="G120" s="37" t="n"/>
      <c r="H120" s="37" t="n"/>
      <c r="I120" s="37" t="n"/>
      <c r="J120" s="36" t="n"/>
      <c r="K120" s="36" t="n"/>
      <c r="L120" s="36" t="n"/>
      <c r="M120" s="36" t="n"/>
      <c r="N120" s="38" t="n"/>
      <c r="O120" s="39">
        <f>IF(OR(N120="",J120=""),"",N120*J120)</f>
        <v/>
      </c>
      <c r="P120" s="40" t="n"/>
      <c r="Q120" s="41">
        <f>IF(OR(P120="",Y120="발주완료",Y120="취소"),"",TODAY()+P120)</f>
        <v/>
      </c>
      <c r="R120" s="35">
        <f>IF(OR(Q120="",NOT(ISNUMBER($J$2))),"",IF(Q120&lt;=$J$2,"가능","초과 "&amp;(Q120-$J$2)&amp;"일"))</f>
        <v/>
      </c>
      <c r="S120" s="36" t="n"/>
      <c r="T120" s="36" t="n"/>
      <c r="U120" s="36" t="n"/>
      <c r="V120" s="43" t="n"/>
      <c r="W120" s="41">
        <f>IF(OR(V120="",U120=""),"",V120+U120)</f>
        <v/>
      </c>
      <c r="X120" s="37" t="n"/>
      <c r="Y120" s="36" t="n"/>
      <c r="Z120" s="37" t="n"/>
    </row>
    <row r="121">
      <c r="A121" s="35">
        <f>IF(E121="","",ROW()-5)</f>
        <v/>
      </c>
      <c r="B121" s="36" t="n"/>
      <c r="C121" s="36" t="n"/>
      <c r="D121" s="36" t="n"/>
      <c r="E121" s="37" t="n"/>
      <c r="F121" s="37" t="n"/>
      <c r="G121" s="37" t="n"/>
      <c r="H121" s="37" t="n"/>
      <c r="I121" s="37" t="n"/>
      <c r="J121" s="36" t="n"/>
      <c r="K121" s="36" t="n"/>
      <c r="L121" s="36" t="n"/>
      <c r="M121" s="36" t="n"/>
      <c r="N121" s="38" t="n"/>
      <c r="O121" s="39">
        <f>IF(OR(N121="",J121=""),"",N121*J121)</f>
        <v/>
      </c>
      <c r="P121" s="40" t="n"/>
      <c r="Q121" s="41">
        <f>IF(OR(P121="",Y121="발주완료",Y121="취소"),"",TODAY()+P121)</f>
        <v/>
      </c>
      <c r="R121" s="35">
        <f>IF(OR(Q121="",NOT(ISNUMBER($J$2))),"",IF(Q121&lt;=$J$2,"가능","초과 "&amp;(Q121-$J$2)&amp;"일"))</f>
        <v/>
      </c>
      <c r="S121" s="36" t="n"/>
      <c r="T121" s="36" t="n"/>
      <c r="U121" s="36" t="n"/>
      <c r="V121" s="43" t="n"/>
      <c r="W121" s="41">
        <f>IF(OR(V121="",U121=""),"",V121+U121)</f>
        <v/>
      </c>
      <c r="X121" s="37" t="n"/>
      <c r="Y121" s="36" t="n"/>
      <c r="Z121" s="37" t="n"/>
    </row>
    <row r="122">
      <c r="A122" s="35">
        <f>IF(E122="","",ROW()-5)</f>
        <v/>
      </c>
      <c r="B122" s="36" t="n"/>
      <c r="C122" s="36" t="n"/>
      <c r="D122" s="36" t="n"/>
      <c r="E122" s="37" t="n"/>
      <c r="F122" s="37" t="n"/>
      <c r="G122" s="37" t="n"/>
      <c r="H122" s="37" t="n"/>
      <c r="I122" s="37" t="n"/>
      <c r="J122" s="36" t="n"/>
      <c r="K122" s="36" t="n"/>
      <c r="L122" s="36" t="n"/>
      <c r="M122" s="36" t="n"/>
      <c r="N122" s="38" t="n"/>
      <c r="O122" s="39">
        <f>IF(OR(N122="",J122=""),"",N122*J122)</f>
        <v/>
      </c>
      <c r="P122" s="40" t="n"/>
      <c r="Q122" s="41">
        <f>IF(OR(P122="",Y122="발주완료",Y122="취소"),"",TODAY()+P122)</f>
        <v/>
      </c>
      <c r="R122" s="35">
        <f>IF(OR(Q122="",NOT(ISNUMBER($J$2))),"",IF(Q122&lt;=$J$2,"가능","초과 "&amp;(Q122-$J$2)&amp;"일"))</f>
        <v/>
      </c>
      <c r="S122" s="36" t="n"/>
      <c r="T122" s="36" t="n"/>
      <c r="U122" s="36" t="n"/>
      <c r="V122" s="43" t="n"/>
      <c r="W122" s="41">
        <f>IF(OR(V122="",U122=""),"",V122+U122)</f>
        <v/>
      </c>
      <c r="X122" s="37" t="n"/>
      <c r="Y122" s="36" t="n"/>
      <c r="Z122" s="37" t="n"/>
    </row>
    <row r="123">
      <c r="A123" s="35">
        <f>IF(E123="","",ROW()-5)</f>
        <v/>
      </c>
      <c r="B123" s="36" t="n"/>
      <c r="C123" s="36" t="n"/>
      <c r="D123" s="36" t="n"/>
      <c r="E123" s="37" t="n"/>
      <c r="F123" s="37" t="n"/>
      <c r="G123" s="37" t="n"/>
      <c r="H123" s="37" t="n"/>
      <c r="I123" s="37" t="n"/>
      <c r="J123" s="36" t="n"/>
      <c r="K123" s="36" t="n"/>
      <c r="L123" s="36" t="n"/>
      <c r="M123" s="36" t="n"/>
      <c r="N123" s="38" t="n"/>
      <c r="O123" s="39">
        <f>IF(OR(N123="",J123=""),"",N123*J123)</f>
        <v/>
      </c>
      <c r="P123" s="40" t="n"/>
      <c r="Q123" s="41">
        <f>IF(OR(P123="",Y123="발주완료",Y123="취소"),"",TODAY()+P123)</f>
        <v/>
      </c>
      <c r="R123" s="35">
        <f>IF(OR(Q123="",NOT(ISNUMBER($J$2))),"",IF(Q123&lt;=$J$2,"가능","초과 "&amp;(Q123-$J$2)&amp;"일"))</f>
        <v/>
      </c>
      <c r="S123" s="36" t="n"/>
      <c r="T123" s="36" t="n"/>
      <c r="U123" s="36" t="n"/>
      <c r="V123" s="43" t="n"/>
      <c r="W123" s="41">
        <f>IF(OR(V123="",U123=""),"",V123+U123)</f>
        <v/>
      </c>
      <c r="X123" s="37" t="n"/>
      <c r="Y123" s="36" t="n"/>
      <c r="Z123" s="37" t="n"/>
    </row>
    <row r="124">
      <c r="A124" s="35">
        <f>IF(E124="","",ROW()-5)</f>
        <v/>
      </c>
      <c r="B124" s="36" t="n"/>
      <c r="C124" s="36" t="n"/>
      <c r="D124" s="36" t="n"/>
      <c r="E124" s="37" t="n"/>
      <c r="F124" s="37" t="n"/>
      <c r="G124" s="37" t="n"/>
      <c r="H124" s="37" t="n"/>
      <c r="I124" s="37" t="n"/>
      <c r="J124" s="36" t="n"/>
      <c r="K124" s="36" t="n"/>
      <c r="L124" s="36" t="n"/>
      <c r="M124" s="36" t="n"/>
      <c r="N124" s="38" t="n"/>
      <c r="O124" s="39">
        <f>IF(OR(N124="",J124=""),"",N124*J124)</f>
        <v/>
      </c>
      <c r="P124" s="40" t="n"/>
      <c r="Q124" s="41">
        <f>IF(OR(P124="",Y124="발주완료",Y124="취소"),"",TODAY()+P124)</f>
        <v/>
      </c>
      <c r="R124" s="35">
        <f>IF(OR(Q124="",NOT(ISNUMBER($J$2))),"",IF(Q124&lt;=$J$2,"가능","초과 "&amp;(Q124-$J$2)&amp;"일"))</f>
        <v/>
      </c>
      <c r="S124" s="36" t="n"/>
      <c r="T124" s="36" t="n"/>
      <c r="U124" s="36" t="n"/>
      <c r="V124" s="43" t="n"/>
      <c r="W124" s="41">
        <f>IF(OR(V124="",U124=""),"",V124+U124)</f>
        <v/>
      </c>
      <c r="X124" s="37" t="n"/>
      <c r="Y124" s="36" t="n"/>
      <c r="Z124" s="37" t="n"/>
    </row>
    <row r="125">
      <c r="A125" s="35">
        <f>IF(E125="","",ROW()-5)</f>
        <v/>
      </c>
      <c r="B125" s="36" t="n"/>
      <c r="C125" s="36" t="n"/>
      <c r="D125" s="36" t="n"/>
      <c r="E125" s="37" t="n"/>
      <c r="F125" s="37" t="n"/>
      <c r="G125" s="37" t="n"/>
      <c r="H125" s="37" t="n"/>
      <c r="I125" s="37" t="n"/>
      <c r="J125" s="36" t="n"/>
      <c r="K125" s="36" t="n"/>
      <c r="L125" s="36" t="n"/>
      <c r="M125" s="36" t="n"/>
      <c r="N125" s="38" t="n"/>
      <c r="O125" s="39">
        <f>IF(OR(N125="",J125=""),"",N125*J125)</f>
        <v/>
      </c>
      <c r="P125" s="40" t="n"/>
      <c r="Q125" s="41">
        <f>IF(OR(P125="",Y125="발주완료",Y125="취소"),"",TODAY()+P125)</f>
        <v/>
      </c>
      <c r="R125" s="35">
        <f>IF(OR(Q125="",NOT(ISNUMBER($J$2))),"",IF(Q125&lt;=$J$2,"가능","초과 "&amp;(Q125-$J$2)&amp;"일"))</f>
        <v/>
      </c>
      <c r="S125" s="36" t="n"/>
      <c r="T125" s="36" t="n"/>
      <c r="U125" s="36" t="n"/>
      <c r="V125" s="43" t="n"/>
      <c r="W125" s="41">
        <f>IF(OR(V125="",U125=""),"",V125+U125)</f>
        <v/>
      </c>
      <c r="X125" s="37" t="n"/>
      <c r="Y125" s="36" t="n"/>
      <c r="Z125" s="37" t="n"/>
    </row>
    <row r="126">
      <c r="A126" s="35">
        <f>IF(E126="","",ROW()-5)</f>
        <v/>
      </c>
      <c r="B126" s="36" t="n"/>
      <c r="C126" s="36" t="n"/>
      <c r="D126" s="36" t="n"/>
      <c r="E126" s="37" t="n"/>
      <c r="F126" s="37" t="n"/>
      <c r="G126" s="37" t="n"/>
      <c r="H126" s="37" t="n"/>
      <c r="I126" s="37" t="n"/>
      <c r="J126" s="36" t="n"/>
      <c r="K126" s="36" t="n"/>
      <c r="L126" s="36" t="n"/>
      <c r="M126" s="36" t="n"/>
      <c r="N126" s="38" t="n"/>
      <c r="O126" s="39">
        <f>IF(OR(N126="",J126=""),"",N126*J126)</f>
        <v/>
      </c>
      <c r="P126" s="40" t="n"/>
      <c r="Q126" s="41">
        <f>IF(OR(P126="",Y126="발주완료",Y126="취소"),"",TODAY()+P126)</f>
        <v/>
      </c>
      <c r="R126" s="35">
        <f>IF(OR(Q126="",NOT(ISNUMBER($J$2))),"",IF(Q126&lt;=$J$2,"가능","초과 "&amp;(Q126-$J$2)&amp;"일"))</f>
        <v/>
      </c>
      <c r="S126" s="36" t="n"/>
      <c r="T126" s="36" t="n"/>
      <c r="U126" s="36" t="n"/>
      <c r="V126" s="43" t="n"/>
      <c r="W126" s="41">
        <f>IF(OR(V126="",U126=""),"",V126+U126)</f>
        <v/>
      </c>
      <c r="X126" s="37" t="n"/>
      <c r="Y126" s="36" t="n"/>
      <c r="Z126" s="37" t="n"/>
    </row>
    <row r="127">
      <c r="A127" s="35">
        <f>IF(E127="","",ROW()-5)</f>
        <v/>
      </c>
      <c r="B127" s="36" t="n"/>
      <c r="C127" s="36" t="n"/>
      <c r="D127" s="36" t="n"/>
      <c r="E127" s="37" t="n"/>
      <c r="F127" s="37" t="n"/>
      <c r="G127" s="37" t="n"/>
      <c r="H127" s="37" t="n"/>
      <c r="I127" s="37" t="n"/>
      <c r="J127" s="36" t="n"/>
      <c r="K127" s="36" t="n"/>
      <c r="L127" s="36" t="n"/>
      <c r="M127" s="36" t="n"/>
      <c r="N127" s="38" t="n"/>
      <c r="O127" s="39">
        <f>IF(OR(N127="",J127=""),"",N127*J127)</f>
        <v/>
      </c>
      <c r="P127" s="40" t="n"/>
      <c r="Q127" s="41">
        <f>IF(OR(P127="",Y127="발주완료",Y127="취소"),"",TODAY()+P127)</f>
        <v/>
      </c>
      <c r="R127" s="35">
        <f>IF(OR(Q127="",NOT(ISNUMBER($J$2))),"",IF(Q127&lt;=$J$2,"가능","초과 "&amp;(Q127-$J$2)&amp;"일"))</f>
        <v/>
      </c>
      <c r="S127" s="36" t="n"/>
      <c r="T127" s="36" t="n"/>
      <c r="U127" s="36" t="n"/>
      <c r="V127" s="43" t="n"/>
      <c r="W127" s="41">
        <f>IF(OR(V127="",U127=""),"",V127+U127)</f>
        <v/>
      </c>
      <c r="X127" s="37" t="n"/>
      <c r="Y127" s="36" t="n"/>
      <c r="Z127" s="37" t="n"/>
    </row>
    <row r="128">
      <c r="A128" s="35">
        <f>IF(E128="","",ROW()-5)</f>
        <v/>
      </c>
      <c r="B128" s="36" t="n"/>
      <c r="C128" s="36" t="n"/>
      <c r="D128" s="36" t="n"/>
      <c r="E128" s="37" t="n"/>
      <c r="F128" s="37" t="n"/>
      <c r="G128" s="37" t="n"/>
      <c r="H128" s="37" t="n"/>
      <c r="I128" s="37" t="n"/>
      <c r="J128" s="36" t="n"/>
      <c r="K128" s="36" t="n"/>
      <c r="L128" s="36" t="n"/>
      <c r="M128" s="36" t="n"/>
      <c r="N128" s="38" t="n"/>
      <c r="O128" s="39">
        <f>IF(OR(N128="",J128=""),"",N128*J128)</f>
        <v/>
      </c>
      <c r="P128" s="40" t="n"/>
      <c r="Q128" s="41">
        <f>IF(OR(P128="",Y128="발주완료",Y128="취소"),"",TODAY()+P128)</f>
        <v/>
      </c>
      <c r="R128" s="35">
        <f>IF(OR(Q128="",NOT(ISNUMBER($J$2))),"",IF(Q128&lt;=$J$2,"가능","초과 "&amp;(Q128-$J$2)&amp;"일"))</f>
        <v/>
      </c>
      <c r="S128" s="36" t="n"/>
      <c r="T128" s="36" t="n"/>
      <c r="U128" s="36" t="n"/>
      <c r="V128" s="43" t="n"/>
      <c r="W128" s="41">
        <f>IF(OR(V128="",U128=""),"",V128+U128)</f>
        <v/>
      </c>
      <c r="X128" s="37" t="n"/>
      <c r="Y128" s="36" t="n"/>
      <c r="Z128" s="37" t="n"/>
    </row>
    <row r="129">
      <c r="A129" s="35">
        <f>IF(E129="","",ROW()-5)</f>
        <v/>
      </c>
      <c r="B129" s="36" t="n"/>
      <c r="C129" s="36" t="n"/>
      <c r="D129" s="36" t="n"/>
      <c r="E129" s="37" t="n"/>
      <c r="F129" s="37" t="n"/>
      <c r="G129" s="37" t="n"/>
      <c r="H129" s="37" t="n"/>
      <c r="I129" s="37" t="n"/>
      <c r="J129" s="36" t="n"/>
      <c r="K129" s="36" t="n"/>
      <c r="L129" s="36" t="n"/>
      <c r="M129" s="36" t="n"/>
      <c r="N129" s="38" t="n"/>
      <c r="O129" s="39">
        <f>IF(OR(N129="",J129=""),"",N129*J129)</f>
        <v/>
      </c>
      <c r="P129" s="40" t="n"/>
      <c r="Q129" s="41">
        <f>IF(OR(P129="",Y129="발주완료",Y129="취소"),"",TODAY()+P129)</f>
        <v/>
      </c>
      <c r="R129" s="35">
        <f>IF(OR(Q129="",NOT(ISNUMBER($J$2))),"",IF(Q129&lt;=$J$2,"가능","초과 "&amp;(Q129-$J$2)&amp;"일"))</f>
        <v/>
      </c>
      <c r="S129" s="36" t="n"/>
      <c r="T129" s="36" t="n"/>
      <c r="U129" s="36" t="n"/>
      <c r="V129" s="43" t="n"/>
      <c r="W129" s="41">
        <f>IF(OR(V129="",U129=""),"",V129+U129)</f>
        <v/>
      </c>
      <c r="X129" s="37" t="n"/>
      <c r="Y129" s="36" t="n"/>
      <c r="Z129" s="37" t="n"/>
    </row>
    <row r="130">
      <c r="A130" s="35">
        <f>IF(E130="","",ROW()-5)</f>
        <v/>
      </c>
      <c r="B130" s="36" t="n"/>
      <c r="C130" s="36" t="n"/>
      <c r="D130" s="36" t="n"/>
      <c r="E130" s="37" t="n"/>
      <c r="F130" s="37" t="n"/>
      <c r="G130" s="37" t="n"/>
      <c r="H130" s="37" t="n"/>
      <c r="I130" s="37" t="n"/>
      <c r="J130" s="36" t="n"/>
      <c r="K130" s="36" t="n"/>
      <c r="L130" s="36" t="n"/>
      <c r="M130" s="36" t="n"/>
      <c r="N130" s="38" t="n"/>
      <c r="O130" s="39">
        <f>IF(OR(N130="",J130=""),"",N130*J130)</f>
        <v/>
      </c>
      <c r="P130" s="40" t="n"/>
      <c r="Q130" s="41">
        <f>IF(OR(P130="",Y130="발주완료",Y130="취소"),"",TODAY()+P130)</f>
        <v/>
      </c>
      <c r="R130" s="35">
        <f>IF(OR(Q130="",NOT(ISNUMBER($J$2))),"",IF(Q130&lt;=$J$2,"가능","초과 "&amp;(Q130-$J$2)&amp;"일"))</f>
        <v/>
      </c>
      <c r="S130" s="36" t="n"/>
      <c r="T130" s="36" t="n"/>
      <c r="U130" s="36" t="n"/>
      <c r="V130" s="43" t="n"/>
      <c r="W130" s="41">
        <f>IF(OR(V130="",U130=""),"",V130+U130)</f>
        <v/>
      </c>
      <c r="X130" s="37" t="n"/>
      <c r="Y130" s="36" t="n"/>
      <c r="Z130" s="37" t="n"/>
    </row>
    <row r="131">
      <c r="A131" s="35">
        <f>IF(E131="","",ROW()-5)</f>
        <v/>
      </c>
      <c r="B131" s="36" t="n"/>
      <c r="C131" s="36" t="n"/>
      <c r="D131" s="36" t="n"/>
      <c r="E131" s="37" t="n"/>
      <c r="F131" s="37" t="n"/>
      <c r="G131" s="37" t="n"/>
      <c r="H131" s="37" t="n"/>
      <c r="I131" s="37" t="n"/>
      <c r="J131" s="36" t="n"/>
      <c r="K131" s="36" t="n"/>
      <c r="L131" s="36" t="n"/>
      <c r="M131" s="36" t="n"/>
      <c r="N131" s="38" t="n"/>
      <c r="O131" s="39">
        <f>IF(OR(N131="",J131=""),"",N131*J131)</f>
        <v/>
      </c>
      <c r="P131" s="40" t="n"/>
      <c r="Q131" s="41">
        <f>IF(OR(P131="",Y131="발주완료",Y131="취소"),"",TODAY()+P131)</f>
        <v/>
      </c>
      <c r="R131" s="35">
        <f>IF(OR(Q131="",NOT(ISNUMBER($J$2))),"",IF(Q131&lt;=$J$2,"가능","초과 "&amp;(Q131-$J$2)&amp;"일"))</f>
        <v/>
      </c>
      <c r="S131" s="36" t="n"/>
      <c r="T131" s="36" t="n"/>
      <c r="U131" s="36" t="n"/>
      <c r="V131" s="43" t="n"/>
      <c r="W131" s="41">
        <f>IF(OR(V131="",U131=""),"",V131+U131)</f>
        <v/>
      </c>
      <c r="X131" s="37" t="n"/>
      <c r="Y131" s="36" t="n"/>
      <c r="Z131" s="37" t="n"/>
    </row>
    <row r="132">
      <c r="A132" s="35">
        <f>IF(E132="","",ROW()-5)</f>
        <v/>
      </c>
      <c r="B132" s="36" t="n"/>
      <c r="C132" s="36" t="n"/>
      <c r="D132" s="36" t="n"/>
      <c r="E132" s="37" t="n"/>
      <c r="F132" s="37" t="n"/>
      <c r="G132" s="37" t="n"/>
      <c r="H132" s="37" t="n"/>
      <c r="I132" s="37" t="n"/>
      <c r="J132" s="36" t="n"/>
      <c r="K132" s="36" t="n"/>
      <c r="L132" s="36" t="n"/>
      <c r="M132" s="36" t="n"/>
      <c r="N132" s="38" t="n"/>
      <c r="O132" s="39">
        <f>IF(OR(N132="",J132=""),"",N132*J132)</f>
        <v/>
      </c>
      <c r="P132" s="40" t="n"/>
      <c r="Q132" s="41">
        <f>IF(OR(P132="",Y132="발주완료",Y132="취소"),"",TODAY()+P132)</f>
        <v/>
      </c>
      <c r="R132" s="35">
        <f>IF(OR(Q132="",NOT(ISNUMBER($J$2))),"",IF(Q132&lt;=$J$2,"가능","초과 "&amp;(Q132-$J$2)&amp;"일"))</f>
        <v/>
      </c>
      <c r="S132" s="36" t="n"/>
      <c r="T132" s="36" t="n"/>
      <c r="U132" s="36" t="n"/>
      <c r="V132" s="43" t="n"/>
      <c r="W132" s="41">
        <f>IF(OR(V132="",U132=""),"",V132+U132)</f>
        <v/>
      </c>
      <c r="X132" s="37" t="n"/>
      <c r="Y132" s="36" t="n"/>
      <c r="Z132" s="37" t="n"/>
    </row>
    <row r="133">
      <c r="A133" s="35">
        <f>IF(E133="","",ROW()-5)</f>
        <v/>
      </c>
      <c r="B133" s="36" t="n"/>
      <c r="C133" s="36" t="n"/>
      <c r="D133" s="36" t="n"/>
      <c r="E133" s="37" t="n"/>
      <c r="F133" s="37" t="n"/>
      <c r="G133" s="37" t="n"/>
      <c r="H133" s="37" t="n"/>
      <c r="I133" s="37" t="n"/>
      <c r="J133" s="36" t="n"/>
      <c r="K133" s="36" t="n"/>
      <c r="L133" s="36" t="n"/>
      <c r="M133" s="36" t="n"/>
      <c r="N133" s="38" t="n"/>
      <c r="O133" s="39">
        <f>IF(OR(N133="",J133=""),"",N133*J133)</f>
        <v/>
      </c>
      <c r="P133" s="40" t="n"/>
      <c r="Q133" s="41">
        <f>IF(OR(P133="",Y133="발주완료",Y133="취소"),"",TODAY()+P133)</f>
        <v/>
      </c>
      <c r="R133" s="35">
        <f>IF(OR(Q133="",NOT(ISNUMBER($J$2))),"",IF(Q133&lt;=$J$2,"가능","초과 "&amp;(Q133-$J$2)&amp;"일"))</f>
        <v/>
      </c>
      <c r="S133" s="36" t="n"/>
      <c r="T133" s="36" t="n"/>
      <c r="U133" s="36" t="n"/>
      <c r="V133" s="43" t="n"/>
      <c r="W133" s="41">
        <f>IF(OR(V133="",U133=""),"",V133+U133)</f>
        <v/>
      </c>
      <c r="X133" s="37" t="n"/>
      <c r="Y133" s="36" t="n"/>
      <c r="Z133" s="37" t="n"/>
    </row>
    <row r="134">
      <c r="A134" s="35">
        <f>IF(E134="","",ROW()-5)</f>
        <v/>
      </c>
      <c r="B134" s="36" t="n"/>
      <c r="C134" s="36" t="n"/>
      <c r="D134" s="36" t="n"/>
      <c r="E134" s="37" t="n"/>
      <c r="F134" s="37" t="n"/>
      <c r="G134" s="37" t="n"/>
      <c r="H134" s="37" t="n"/>
      <c r="I134" s="37" t="n"/>
      <c r="J134" s="36" t="n"/>
      <c r="K134" s="36" t="n"/>
      <c r="L134" s="36" t="n"/>
      <c r="M134" s="36" t="n"/>
      <c r="N134" s="38" t="n"/>
      <c r="O134" s="39">
        <f>IF(OR(N134="",J134=""),"",N134*J134)</f>
        <v/>
      </c>
      <c r="P134" s="40" t="n"/>
      <c r="Q134" s="41">
        <f>IF(OR(P134="",Y134="발주완료",Y134="취소"),"",TODAY()+P134)</f>
        <v/>
      </c>
      <c r="R134" s="35">
        <f>IF(OR(Q134="",NOT(ISNUMBER($J$2))),"",IF(Q134&lt;=$J$2,"가능","초과 "&amp;(Q134-$J$2)&amp;"일"))</f>
        <v/>
      </c>
      <c r="S134" s="36" t="n"/>
      <c r="T134" s="36" t="n"/>
      <c r="U134" s="36" t="n"/>
      <c r="V134" s="43" t="n"/>
      <c r="W134" s="41">
        <f>IF(OR(V134="",U134=""),"",V134+U134)</f>
        <v/>
      </c>
      <c r="X134" s="37" t="n"/>
      <c r="Y134" s="36" t="n"/>
      <c r="Z134" s="37" t="n"/>
    </row>
    <row r="135">
      <c r="A135" s="35">
        <f>IF(E135="","",ROW()-5)</f>
        <v/>
      </c>
      <c r="B135" s="36" t="n"/>
      <c r="C135" s="36" t="n"/>
      <c r="D135" s="36" t="n"/>
      <c r="E135" s="37" t="n"/>
      <c r="F135" s="37" t="n"/>
      <c r="G135" s="37" t="n"/>
      <c r="H135" s="37" t="n"/>
      <c r="I135" s="37" t="n"/>
      <c r="J135" s="36" t="n"/>
      <c r="K135" s="36" t="n"/>
      <c r="L135" s="36" t="n"/>
      <c r="M135" s="36" t="n"/>
      <c r="N135" s="38" t="n"/>
      <c r="O135" s="39">
        <f>IF(OR(N135="",J135=""),"",N135*J135)</f>
        <v/>
      </c>
      <c r="P135" s="40" t="n"/>
      <c r="Q135" s="41">
        <f>IF(OR(P135="",Y135="발주완료",Y135="취소"),"",TODAY()+P135)</f>
        <v/>
      </c>
      <c r="R135" s="35">
        <f>IF(OR(Q135="",NOT(ISNUMBER($J$2))),"",IF(Q135&lt;=$J$2,"가능","초과 "&amp;(Q135-$J$2)&amp;"일"))</f>
        <v/>
      </c>
      <c r="S135" s="36" t="n"/>
      <c r="T135" s="36" t="n"/>
      <c r="U135" s="36" t="n"/>
      <c r="V135" s="43" t="n"/>
      <c r="W135" s="41">
        <f>IF(OR(V135="",U135=""),"",V135+U135)</f>
        <v/>
      </c>
      <c r="X135" s="37" t="n"/>
      <c r="Y135" s="36" t="n"/>
      <c r="Z135" s="37" t="n"/>
    </row>
    <row r="136">
      <c r="A136" s="35">
        <f>IF(E136="","",ROW()-5)</f>
        <v/>
      </c>
      <c r="B136" s="36" t="n"/>
      <c r="C136" s="36" t="n"/>
      <c r="D136" s="36" t="n"/>
      <c r="E136" s="37" t="n"/>
      <c r="F136" s="37" t="n"/>
      <c r="G136" s="37" t="n"/>
      <c r="H136" s="37" t="n"/>
      <c r="I136" s="37" t="n"/>
      <c r="J136" s="36" t="n"/>
      <c r="K136" s="36" t="n"/>
      <c r="L136" s="36" t="n"/>
      <c r="M136" s="36" t="n"/>
      <c r="N136" s="38" t="n"/>
      <c r="O136" s="39">
        <f>IF(OR(N136="",J136=""),"",N136*J136)</f>
        <v/>
      </c>
      <c r="P136" s="40" t="n"/>
      <c r="Q136" s="41">
        <f>IF(OR(P136="",Y136="발주완료",Y136="취소"),"",TODAY()+P136)</f>
        <v/>
      </c>
      <c r="R136" s="35">
        <f>IF(OR(Q136="",NOT(ISNUMBER($J$2))),"",IF(Q136&lt;=$J$2,"가능","초과 "&amp;(Q136-$J$2)&amp;"일"))</f>
        <v/>
      </c>
      <c r="S136" s="36" t="n"/>
      <c r="T136" s="36" t="n"/>
      <c r="U136" s="36" t="n"/>
      <c r="V136" s="43" t="n"/>
      <c r="W136" s="41">
        <f>IF(OR(V136="",U136=""),"",V136+U136)</f>
        <v/>
      </c>
      <c r="X136" s="37" t="n"/>
      <c r="Y136" s="36" t="n"/>
      <c r="Z136" s="37" t="n"/>
    </row>
    <row r="137">
      <c r="A137" s="35">
        <f>IF(E137="","",ROW()-5)</f>
        <v/>
      </c>
      <c r="B137" s="36" t="n"/>
      <c r="C137" s="36" t="n"/>
      <c r="D137" s="36" t="n"/>
      <c r="E137" s="37" t="n"/>
      <c r="F137" s="37" t="n"/>
      <c r="G137" s="37" t="n"/>
      <c r="H137" s="37" t="n"/>
      <c r="I137" s="37" t="n"/>
      <c r="J137" s="36" t="n"/>
      <c r="K137" s="36" t="n"/>
      <c r="L137" s="36" t="n"/>
      <c r="M137" s="36" t="n"/>
      <c r="N137" s="38" t="n"/>
      <c r="O137" s="39">
        <f>IF(OR(N137="",J137=""),"",N137*J137)</f>
        <v/>
      </c>
      <c r="P137" s="40" t="n"/>
      <c r="Q137" s="41">
        <f>IF(OR(P137="",Y137="발주완료",Y137="취소"),"",TODAY()+P137)</f>
        <v/>
      </c>
      <c r="R137" s="35">
        <f>IF(OR(Q137="",NOT(ISNUMBER($J$2))),"",IF(Q137&lt;=$J$2,"가능","초과 "&amp;(Q137-$J$2)&amp;"일"))</f>
        <v/>
      </c>
      <c r="S137" s="36" t="n"/>
      <c r="T137" s="36" t="n"/>
      <c r="U137" s="36" t="n"/>
      <c r="V137" s="43" t="n"/>
      <c r="W137" s="41">
        <f>IF(OR(V137="",U137=""),"",V137+U137)</f>
        <v/>
      </c>
      <c r="X137" s="37" t="n"/>
      <c r="Y137" s="36" t="n"/>
      <c r="Z137" s="37" t="n"/>
    </row>
    <row r="138">
      <c r="A138" s="35">
        <f>IF(E138="","",ROW()-5)</f>
        <v/>
      </c>
      <c r="B138" s="36" t="n"/>
      <c r="C138" s="36" t="n"/>
      <c r="D138" s="36" t="n"/>
      <c r="E138" s="37" t="n"/>
      <c r="F138" s="37" t="n"/>
      <c r="G138" s="37" t="n"/>
      <c r="H138" s="37" t="n"/>
      <c r="I138" s="37" t="n"/>
      <c r="J138" s="36" t="n"/>
      <c r="K138" s="36" t="n"/>
      <c r="L138" s="36" t="n"/>
      <c r="M138" s="36" t="n"/>
      <c r="N138" s="38" t="n"/>
      <c r="O138" s="39">
        <f>IF(OR(N138="",J138=""),"",N138*J138)</f>
        <v/>
      </c>
      <c r="P138" s="40" t="n"/>
      <c r="Q138" s="41">
        <f>IF(OR(P138="",Y138="발주완료",Y138="취소"),"",TODAY()+P138)</f>
        <v/>
      </c>
      <c r="R138" s="35">
        <f>IF(OR(Q138="",NOT(ISNUMBER($J$2))),"",IF(Q138&lt;=$J$2,"가능","초과 "&amp;(Q138-$J$2)&amp;"일"))</f>
        <v/>
      </c>
      <c r="S138" s="36" t="n"/>
      <c r="T138" s="36" t="n"/>
      <c r="U138" s="36" t="n"/>
      <c r="V138" s="43" t="n"/>
      <c r="W138" s="41">
        <f>IF(OR(V138="",U138=""),"",V138+U138)</f>
        <v/>
      </c>
      <c r="X138" s="37" t="n"/>
      <c r="Y138" s="36" t="n"/>
      <c r="Z138" s="37" t="n"/>
    </row>
    <row r="139">
      <c r="A139" s="35">
        <f>IF(E139="","",ROW()-5)</f>
        <v/>
      </c>
      <c r="B139" s="36" t="n"/>
      <c r="C139" s="36" t="n"/>
      <c r="D139" s="36" t="n"/>
      <c r="E139" s="37" t="n"/>
      <c r="F139" s="37" t="n"/>
      <c r="G139" s="37" t="n"/>
      <c r="H139" s="37" t="n"/>
      <c r="I139" s="37" t="n"/>
      <c r="J139" s="36" t="n"/>
      <c r="K139" s="36" t="n"/>
      <c r="L139" s="36" t="n"/>
      <c r="M139" s="36" t="n"/>
      <c r="N139" s="38" t="n"/>
      <c r="O139" s="39">
        <f>IF(OR(N139="",J139=""),"",N139*J139)</f>
        <v/>
      </c>
      <c r="P139" s="40" t="n"/>
      <c r="Q139" s="41">
        <f>IF(OR(P139="",Y139="발주완료",Y139="취소"),"",TODAY()+P139)</f>
        <v/>
      </c>
      <c r="R139" s="35">
        <f>IF(OR(Q139="",NOT(ISNUMBER($J$2))),"",IF(Q139&lt;=$J$2,"가능","초과 "&amp;(Q139-$J$2)&amp;"일"))</f>
        <v/>
      </c>
      <c r="S139" s="36" t="n"/>
      <c r="T139" s="36" t="n"/>
      <c r="U139" s="36" t="n"/>
      <c r="V139" s="43" t="n"/>
      <c r="W139" s="41">
        <f>IF(OR(V139="",U139=""),"",V139+U139)</f>
        <v/>
      </c>
      <c r="X139" s="37" t="n"/>
      <c r="Y139" s="36" t="n"/>
      <c r="Z139" s="37" t="n"/>
    </row>
    <row r="140">
      <c r="A140" s="35">
        <f>IF(E140="","",ROW()-5)</f>
        <v/>
      </c>
      <c r="B140" s="36" t="n"/>
      <c r="C140" s="36" t="n"/>
      <c r="D140" s="36" t="n"/>
      <c r="E140" s="37" t="n"/>
      <c r="F140" s="37" t="n"/>
      <c r="G140" s="37" t="n"/>
      <c r="H140" s="37" t="n"/>
      <c r="I140" s="37" t="n"/>
      <c r="J140" s="36" t="n"/>
      <c r="K140" s="36" t="n"/>
      <c r="L140" s="36" t="n"/>
      <c r="M140" s="36" t="n"/>
      <c r="N140" s="38" t="n"/>
      <c r="O140" s="39">
        <f>IF(OR(N140="",J140=""),"",N140*J140)</f>
        <v/>
      </c>
      <c r="P140" s="40" t="n"/>
      <c r="Q140" s="41">
        <f>IF(OR(P140="",Y140="발주완료",Y140="취소"),"",TODAY()+P140)</f>
        <v/>
      </c>
      <c r="R140" s="35">
        <f>IF(OR(Q140="",NOT(ISNUMBER($J$2))),"",IF(Q140&lt;=$J$2,"가능","초과 "&amp;(Q140-$J$2)&amp;"일"))</f>
        <v/>
      </c>
      <c r="S140" s="36" t="n"/>
      <c r="T140" s="36" t="n"/>
      <c r="U140" s="36" t="n"/>
      <c r="V140" s="43" t="n"/>
      <c r="W140" s="41">
        <f>IF(OR(V140="",U140=""),"",V140+U140)</f>
        <v/>
      </c>
      <c r="X140" s="37" t="n"/>
      <c r="Y140" s="36" t="n"/>
      <c r="Z140" s="37" t="n"/>
    </row>
    <row r="141">
      <c r="A141" s="35">
        <f>IF(E141="","",ROW()-5)</f>
        <v/>
      </c>
      <c r="B141" s="36" t="n"/>
      <c r="C141" s="36" t="n"/>
      <c r="D141" s="36" t="n"/>
      <c r="E141" s="37" t="n"/>
      <c r="F141" s="37" t="n"/>
      <c r="G141" s="37" t="n"/>
      <c r="H141" s="37" t="n"/>
      <c r="I141" s="37" t="n"/>
      <c r="J141" s="36" t="n"/>
      <c r="K141" s="36" t="n"/>
      <c r="L141" s="36" t="n"/>
      <c r="M141" s="36" t="n"/>
      <c r="N141" s="38" t="n"/>
      <c r="O141" s="39">
        <f>IF(OR(N141="",J141=""),"",N141*J141)</f>
        <v/>
      </c>
      <c r="P141" s="40" t="n"/>
      <c r="Q141" s="41">
        <f>IF(OR(P141="",Y141="발주완료",Y141="취소"),"",TODAY()+P141)</f>
        <v/>
      </c>
      <c r="R141" s="35">
        <f>IF(OR(Q141="",NOT(ISNUMBER($J$2))),"",IF(Q141&lt;=$J$2,"가능","초과 "&amp;(Q141-$J$2)&amp;"일"))</f>
        <v/>
      </c>
      <c r="S141" s="36" t="n"/>
      <c r="T141" s="36" t="n"/>
      <c r="U141" s="36" t="n"/>
      <c r="V141" s="43" t="n"/>
      <c r="W141" s="41">
        <f>IF(OR(V141="",U141=""),"",V141+U141)</f>
        <v/>
      </c>
      <c r="X141" s="37" t="n"/>
      <c r="Y141" s="36" t="n"/>
      <c r="Z141" s="37" t="n"/>
    </row>
    <row r="142">
      <c r="A142" s="35">
        <f>IF(E142="","",ROW()-5)</f>
        <v/>
      </c>
      <c r="B142" s="36" t="n"/>
      <c r="C142" s="36" t="n"/>
      <c r="D142" s="36" t="n"/>
      <c r="E142" s="37" t="n"/>
      <c r="F142" s="37" t="n"/>
      <c r="G142" s="37" t="n"/>
      <c r="H142" s="37" t="n"/>
      <c r="I142" s="37" t="n"/>
      <c r="J142" s="36" t="n"/>
      <c r="K142" s="36" t="n"/>
      <c r="L142" s="36" t="n"/>
      <c r="M142" s="36" t="n"/>
      <c r="N142" s="38" t="n"/>
      <c r="O142" s="39">
        <f>IF(OR(N142="",J142=""),"",N142*J142)</f>
        <v/>
      </c>
      <c r="P142" s="40" t="n"/>
      <c r="Q142" s="41">
        <f>IF(OR(P142="",Y142="발주완료",Y142="취소"),"",TODAY()+P142)</f>
        <v/>
      </c>
      <c r="R142" s="35">
        <f>IF(OR(Q142="",NOT(ISNUMBER($J$2))),"",IF(Q142&lt;=$J$2,"가능","초과 "&amp;(Q142-$J$2)&amp;"일"))</f>
        <v/>
      </c>
      <c r="S142" s="36" t="n"/>
      <c r="T142" s="36" t="n"/>
      <c r="U142" s="36" t="n"/>
      <c r="V142" s="43" t="n"/>
      <c r="W142" s="41">
        <f>IF(OR(V142="",U142=""),"",V142+U142)</f>
        <v/>
      </c>
      <c r="X142" s="37" t="n"/>
      <c r="Y142" s="36" t="n"/>
      <c r="Z142" s="37" t="n"/>
    </row>
    <row r="143">
      <c r="A143" s="35">
        <f>IF(E143="","",ROW()-5)</f>
        <v/>
      </c>
      <c r="B143" s="36" t="n"/>
      <c r="C143" s="36" t="n"/>
      <c r="D143" s="36" t="n"/>
      <c r="E143" s="37" t="n"/>
      <c r="F143" s="37" t="n"/>
      <c r="G143" s="37" t="n"/>
      <c r="H143" s="37" t="n"/>
      <c r="I143" s="37" t="n"/>
      <c r="J143" s="36" t="n"/>
      <c r="K143" s="36" t="n"/>
      <c r="L143" s="36" t="n"/>
      <c r="M143" s="36" t="n"/>
      <c r="N143" s="38" t="n"/>
      <c r="O143" s="39">
        <f>IF(OR(N143="",J143=""),"",N143*J143)</f>
        <v/>
      </c>
      <c r="P143" s="40" t="n"/>
      <c r="Q143" s="41">
        <f>IF(OR(P143="",Y143="발주완료",Y143="취소"),"",TODAY()+P143)</f>
        <v/>
      </c>
      <c r="R143" s="35">
        <f>IF(OR(Q143="",NOT(ISNUMBER($J$2))),"",IF(Q143&lt;=$J$2,"가능","초과 "&amp;(Q143-$J$2)&amp;"일"))</f>
        <v/>
      </c>
      <c r="S143" s="36" t="n"/>
      <c r="T143" s="36" t="n"/>
      <c r="U143" s="36" t="n"/>
      <c r="V143" s="43" t="n"/>
      <c r="W143" s="41">
        <f>IF(OR(V143="",U143=""),"",V143+U143)</f>
        <v/>
      </c>
      <c r="X143" s="37" t="n"/>
      <c r="Y143" s="36" t="n"/>
      <c r="Z143" s="37" t="n"/>
    </row>
    <row r="144">
      <c r="A144" s="35">
        <f>IF(E144="","",ROW()-5)</f>
        <v/>
      </c>
      <c r="B144" s="36" t="n"/>
      <c r="C144" s="36" t="n"/>
      <c r="D144" s="36" t="n"/>
      <c r="E144" s="37" t="n"/>
      <c r="F144" s="37" t="n"/>
      <c r="G144" s="37" t="n"/>
      <c r="H144" s="37" t="n"/>
      <c r="I144" s="37" t="n"/>
      <c r="J144" s="36" t="n"/>
      <c r="K144" s="36" t="n"/>
      <c r="L144" s="36" t="n"/>
      <c r="M144" s="36" t="n"/>
      <c r="N144" s="38" t="n"/>
      <c r="O144" s="39">
        <f>IF(OR(N144="",J144=""),"",N144*J144)</f>
        <v/>
      </c>
      <c r="P144" s="40" t="n"/>
      <c r="Q144" s="41">
        <f>IF(OR(P144="",Y144="발주완료",Y144="취소"),"",TODAY()+P144)</f>
        <v/>
      </c>
      <c r="R144" s="35">
        <f>IF(OR(Q144="",NOT(ISNUMBER($J$2))),"",IF(Q144&lt;=$J$2,"가능","초과 "&amp;(Q144-$J$2)&amp;"일"))</f>
        <v/>
      </c>
      <c r="S144" s="36" t="n"/>
      <c r="T144" s="36" t="n"/>
      <c r="U144" s="36" t="n"/>
      <c r="V144" s="43" t="n"/>
      <c r="W144" s="41">
        <f>IF(OR(V144="",U144=""),"",V144+U144)</f>
        <v/>
      </c>
      <c r="X144" s="37" t="n"/>
      <c r="Y144" s="36" t="n"/>
      <c r="Z144" s="37" t="n"/>
    </row>
    <row r="145">
      <c r="A145" s="35">
        <f>IF(E145="","",ROW()-5)</f>
        <v/>
      </c>
      <c r="B145" s="36" t="n"/>
      <c r="C145" s="36" t="n"/>
      <c r="D145" s="36" t="n"/>
      <c r="E145" s="37" t="n"/>
      <c r="F145" s="37" t="n"/>
      <c r="G145" s="37" t="n"/>
      <c r="H145" s="37" t="n"/>
      <c r="I145" s="37" t="n"/>
      <c r="J145" s="36" t="n"/>
      <c r="K145" s="36" t="n"/>
      <c r="L145" s="36" t="n"/>
      <c r="M145" s="36" t="n"/>
      <c r="N145" s="38" t="n"/>
      <c r="O145" s="39">
        <f>IF(OR(N145="",J145=""),"",N145*J145)</f>
        <v/>
      </c>
      <c r="P145" s="40" t="n"/>
      <c r="Q145" s="41">
        <f>IF(OR(P145="",Y145="발주완료",Y145="취소"),"",TODAY()+P145)</f>
        <v/>
      </c>
      <c r="R145" s="35">
        <f>IF(OR(Q145="",NOT(ISNUMBER($J$2))),"",IF(Q145&lt;=$J$2,"가능","초과 "&amp;(Q145-$J$2)&amp;"일"))</f>
        <v/>
      </c>
      <c r="S145" s="36" t="n"/>
      <c r="T145" s="36" t="n"/>
      <c r="U145" s="36" t="n"/>
      <c r="V145" s="43" t="n"/>
      <c r="W145" s="41">
        <f>IF(OR(V145="",U145=""),"",V145+U145)</f>
        <v/>
      </c>
      <c r="X145" s="37" t="n"/>
      <c r="Y145" s="36" t="n"/>
      <c r="Z145" s="37" t="n"/>
    </row>
    <row r="146">
      <c r="A146" s="35">
        <f>IF(E146="","",ROW()-5)</f>
        <v/>
      </c>
      <c r="B146" s="36" t="n"/>
      <c r="C146" s="36" t="n"/>
      <c r="D146" s="36" t="n"/>
      <c r="E146" s="37" t="n"/>
      <c r="F146" s="37" t="n"/>
      <c r="G146" s="37" t="n"/>
      <c r="H146" s="37" t="n"/>
      <c r="I146" s="37" t="n"/>
      <c r="J146" s="36" t="n"/>
      <c r="K146" s="36" t="n"/>
      <c r="L146" s="36" t="n"/>
      <c r="M146" s="36" t="n"/>
      <c r="N146" s="38" t="n"/>
      <c r="O146" s="39">
        <f>IF(OR(N146="",J146=""),"",N146*J146)</f>
        <v/>
      </c>
      <c r="P146" s="40" t="n"/>
      <c r="Q146" s="41">
        <f>IF(OR(P146="",Y146="발주완료",Y146="취소"),"",TODAY()+P146)</f>
        <v/>
      </c>
      <c r="R146" s="35">
        <f>IF(OR(Q146="",NOT(ISNUMBER($J$2))),"",IF(Q146&lt;=$J$2,"가능","초과 "&amp;(Q146-$J$2)&amp;"일"))</f>
        <v/>
      </c>
      <c r="S146" s="36" t="n"/>
      <c r="T146" s="36" t="n"/>
      <c r="U146" s="36" t="n"/>
      <c r="V146" s="43" t="n"/>
      <c r="W146" s="41">
        <f>IF(OR(V146="",U146=""),"",V146+U146)</f>
        <v/>
      </c>
      <c r="X146" s="37" t="n"/>
      <c r="Y146" s="36" t="n"/>
      <c r="Z146" s="37" t="n"/>
    </row>
    <row r="147">
      <c r="A147" s="35">
        <f>IF(E147="","",ROW()-5)</f>
        <v/>
      </c>
      <c r="B147" s="36" t="n"/>
      <c r="C147" s="36" t="n"/>
      <c r="D147" s="36" t="n"/>
      <c r="E147" s="37" t="n"/>
      <c r="F147" s="37" t="n"/>
      <c r="G147" s="37" t="n"/>
      <c r="H147" s="37" t="n"/>
      <c r="I147" s="37" t="n"/>
      <c r="J147" s="36" t="n"/>
      <c r="K147" s="36" t="n"/>
      <c r="L147" s="36" t="n"/>
      <c r="M147" s="36" t="n"/>
      <c r="N147" s="38" t="n"/>
      <c r="O147" s="39">
        <f>IF(OR(N147="",J147=""),"",N147*J147)</f>
        <v/>
      </c>
      <c r="P147" s="40" t="n"/>
      <c r="Q147" s="41">
        <f>IF(OR(P147="",Y147="발주완료",Y147="취소"),"",TODAY()+P147)</f>
        <v/>
      </c>
      <c r="R147" s="35">
        <f>IF(OR(Q147="",NOT(ISNUMBER($J$2))),"",IF(Q147&lt;=$J$2,"가능","초과 "&amp;(Q147-$J$2)&amp;"일"))</f>
        <v/>
      </c>
      <c r="S147" s="36" t="n"/>
      <c r="T147" s="36" t="n"/>
      <c r="U147" s="36" t="n"/>
      <c r="V147" s="43" t="n"/>
      <c r="W147" s="41">
        <f>IF(OR(V147="",U147=""),"",V147+U147)</f>
        <v/>
      </c>
      <c r="X147" s="37" t="n"/>
      <c r="Y147" s="36" t="n"/>
      <c r="Z147" s="37" t="n"/>
    </row>
    <row r="148">
      <c r="A148" s="35">
        <f>IF(E148="","",ROW()-5)</f>
        <v/>
      </c>
      <c r="B148" s="36" t="n"/>
      <c r="C148" s="36" t="n"/>
      <c r="D148" s="36" t="n"/>
      <c r="E148" s="37" t="n"/>
      <c r="F148" s="37" t="n"/>
      <c r="G148" s="37" t="n"/>
      <c r="H148" s="37" t="n"/>
      <c r="I148" s="37" t="n"/>
      <c r="J148" s="36" t="n"/>
      <c r="K148" s="36" t="n"/>
      <c r="L148" s="36" t="n"/>
      <c r="M148" s="36" t="n"/>
      <c r="N148" s="38" t="n"/>
      <c r="O148" s="39">
        <f>IF(OR(N148="",J148=""),"",N148*J148)</f>
        <v/>
      </c>
      <c r="P148" s="40" t="n"/>
      <c r="Q148" s="41">
        <f>IF(OR(P148="",Y148="발주완료",Y148="취소"),"",TODAY()+P148)</f>
        <v/>
      </c>
      <c r="R148" s="35">
        <f>IF(OR(Q148="",NOT(ISNUMBER($J$2))),"",IF(Q148&lt;=$J$2,"가능","초과 "&amp;(Q148-$J$2)&amp;"일"))</f>
        <v/>
      </c>
      <c r="S148" s="36" t="n"/>
      <c r="T148" s="36" t="n"/>
      <c r="U148" s="36" t="n"/>
      <c r="V148" s="43" t="n"/>
      <c r="W148" s="41">
        <f>IF(OR(V148="",U148=""),"",V148+U148)</f>
        <v/>
      </c>
      <c r="X148" s="37" t="n"/>
      <c r="Y148" s="36" t="n"/>
      <c r="Z148" s="37" t="n"/>
    </row>
    <row r="149">
      <c r="A149" s="35">
        <f>IF(E149="","",ROW()-5)</f>
        <v/>
      </c>
      <c r="B149" s="36" t="n"/>
      <c r="C149" s="36" t="n"/>
      <c r="D149" s="36" t="n"/>
      <c r="E149" s="37" t="n"/>
      <c r="F149" s="37" t="n"/>
      <c r="G149" s="37" t="n"/>
      <c r="H149" s="37" t="n"/>
      <c r="I149" s="37" t="n"/>
      <c r="J149" s="36" t="n"/>
      <c r="K149" s="36" t="n"/>
      <c r="L149" s="36" t="n"/>
      <c r="M149" s="36" t="n"/>
      <c r="N149" s="38" t="n"/>
      <c r="O149" s="39">
        <f>IF(OR(N149="",J149=""),"",N149*J149)</f>
        <v/>
      </c>
      <c r="P149" s="40" t="n"/>
      <c r="Q149" s="41">
        <f>IF(OR(P149="",Y149="발주완료",Y149="취소"),"",TODAY()+P149)</f>
        <v/>
      </c>
      <c r="R149" s="35">
        <f>IF(OR(Q149="",NOT(ISNUMBER($J$2))),"",IF(Q149&lt;=$J$2,"가능","초과 "&amp;(Q149-$J$2)&amp;"일"))</f>
        <v/>
      </c>
      <c r="S149" s="36" t="n"/>
      <c r="T149" s="36" t="n"/>
      <c r="U149" s="36" t="n"/>
      <c r="V149" s="43" t="n"/>
      <c r="W149" s="41">
        <f>IF(OR(V149="",U149=""),"",V149+U149)</f>
        <v/>
      </c>
      <c r="X149" s="37" t="n"/>
      <c r="Y149" s="36" t="n"/>
      <c r="Z149" s="37" t="n"/>
    </row>
    <row r="150">
      <c r="A150" s="35">
        <f>IF(E150="","",ROW()-5)</f>
        <v/>
      </c>
      <c r="B150" s="36" t="n"/>
      <c r="C150" s="36" t="n"/>
      <c r="D150" s="36" t="n"/>
      <c r="E150" s="37" t="n"/>
      <c r="F150" s="37" t="n"/>
      <c r="G150" s="37" t="n"/>
      <c r="H150" s="37" t="n"/>
      <c r="I150" s="37" t="n"/>
      <c r="J150" s="36" t="n"/>
      <c r="K150" s="36" t="n"/>
      <c r="L150" s="36" t="n"/>
      <c r="M150" s="36" t="n"/>
      <c r="N150" s="38" t="n"/>
      <c r="O150" s="39">
        <f>IF(OR(N150="",J150=""),"",N150*J150)</f>
        <v/>
      </c>
      <c r="P150" s="40" t="n"/>
      <c r="Q150" s="41">
        <f>IF(OR(P150="",Y150="발주완료",Y150="취소"),"",TODAY()+P150)</f>
        <v/>
      </c>
      <c r="R150" s="35">
        <f>IF(OR(Q150="",NOT(ISNUMBER($J$2))),"",IF(Q150&lt;=$J$2,"가능","초과 "&amp;(Q150-$J$2)&amp;"일"))</f>
        <v/>
      </c>
      <c r="S150" s="36" t="n"/>
      <c r="T150" s="36" t="n"/>
      <c r="U150" s="36" t="n"/>
      <c r="V150" s="43" t="n"/>
      <c r="W150" s="41">
        <f>IF(OR(V150="",U150=""),"",V150+U150)</f>
        <v/>
      </c>
      <c r="X150" s="37" t="n"/>
      <c r="Y150" s="36" t="n"/>
      <c r="Z150" s="37" t="n"/>
    </row>
    <row r="151">
      <c r="A151" s="35">
        <f>IF(E151="","",ROW()-5)</f>
        <v/>
      </c>
      <c r="B151" s="36" t="n"/>
      <c r="C151" s="36" t="n"/>
      <c r="D151" s="36" t="n"/>
      <c r="E151" s="37" t="n"/>
      <c r="F151" s="37" t="n"/>
      <c r="G151" s="37" t="n"/>
      <c r="H151" s="37" t="n"/>
      <c r="I151" s="37" t="n"/>
      <c r="J151" s="36" t="n"/>
      <c r="K151" s="36" t="n"/>
      <c r="L151" s="36" t="n"/>
      <c r="M151" s="36" t="n"/>
      <c r="N151" s="38" t="n"/>
      <c r="O151" s="39">
        <f>IF(OR(N151="",J151=""),"",N151*J151)</f>
        <v/>
      </c>
      <c r="P151" s="40" t="n"/>
      <c r="Q151" s="41">
        <f>IF(OR(P151="",Y151="발주완료",Y151="취소"),"",TODAY()+P151)</f>
        <v/>
      </c>
      <c r="R151" s="35">
        <f>IF(OR(Q151="",NOT(ISNUMBER($J$2))),"",IF(Q151&lt;=$J$2,"가능","초과 "&amp;(Q151-$J$2)&amp;"일"))</f>
        <v/>
      </c>
      <c r="S151" s="36" t="n"/>
      <c r="T151" s="36" t="n"/>
      <c r="U151" s="36" t="n"/>
      <c r="V151" s="43" t="n"/>
      <c r="W151" s="41">
        <f>IF(OR(V151="",U151=""),"",V151+U151)</f>
        <v/>
      </c>
      <c r="X151" s="37" t="n"/>
      <c r="Y151" s="36" t="n"/>
      <c r="Z151" s="37" t="n"/>
    </row>
    <row r="152">
      <c r="A152" s="35">
        <f>IF(E152="","",ROW()-5)</f>
        <v/>
      </c>
      <c r="B152" s="36" t="n"/>
      <c r="C152" s="36" t="n"/>
      <c r="D152" s="36" t="n"/>
      <c r="E152" s="37" t="n"/>
      <c r="F152" s="37" t="n"/>
      <c r="G152" s="37" t="n"/>
      <c r="H152" s="37" t="n"/>
      <c r="I152" s="37" t="n"/>
      <c r="J152" s="36" t="n"/>
      <c r="K152" s="36" t="n"/>
      <c r="L152" s="36" t="n"/>
      <c r="M152" s="36" t="n"/>
      <c r="N152" s="38" t="n"/>
      <c r="O152" s="39">
        <f>IF(OR(N152="",J152=""),"",N152*J152)</f>
        <v/>
      </c>
      <c r="P152" s="40" t="n"/>
      <c r="Q152" s="41">
        <f>IF(OR(P152="",Y152="발주완료",Y152="취소"),"",TODAY()+P152)</f>
        <v/>
      </c>
      <c r="R152" s="35">
        <f>IF(OR(Q152="",NOT(ISNUMBER($J$2))),"",IF(Q152&lt;=$J$2,"가능","초과 "&amp;(Q152-$J$2)&amp;"일"))</f>
        <v/>
      </c>
      <c r="S152" s="36" t="n"/>
      <c r="T152" s="36" t="n"/>
      <c r="U152" s="36" t="n"/>
      <c r="V152" s="43" t="n"/>
      <c r="W152" s="41">
        <f>IF(OR(V152="",U152=""),"",V152+U152)</f>
        <v/>
      </c>
      <c r="X152" s="37" t="n"/>
      <c r="Y152" s="36" t="n"/>
      <c r="Z152" s="37" t="n"/>
    </row>
    <row r="153">
      <c r="A153" s="35">
        <f>IF(E153="","",ROW()-5)</f>
        <v/>
      </c>
      <c r="B153" s="36" t="n"/>
      <c r="C153" s="36" t="n"/>
      <c r="D153" s="36" t="n"/>
      <c r="E153" s="37" t="n"/>
      <c r="F153" s="37" t="n"/>
      <c r="G153" s="37" t="n"/>
      <c r="H153" s="37" t="n"/>
      <c r="I153" s="37" t="n"/>
      <c r="J153" s="36" t="n"/>
      <c r="K153" s="36" t="n"/>
      <c r="L153" s="36" t="n"/>
      <c r="M153" s="36" t="n"/>
      <c r="N153" s="38" t="n"/>
      <c r="O153" s="39">
        <f>IF(OR(N153="",J153=""),"",N153*J153)</f>
        <v/>
      </c>
      <c r="P153" s="40" t="n"/>
      <c r="Q153" s="41">
        <f>IF(OR(P153="",Y153="발주완료",Y153="취소"),"",TODAY()+P153)</f>
        <v/>
      </c>
      <c r="R153" s="35">
        <f>IF(OR(Q153="",NOT(ISNUMBER($J$2))),"",IF(Q153&lt;=$J$2,"가능","초과 "&amp;(Q153-$J$2)&amp;"일"))</f>
        <v/>
      </c>
      <c r="S153" s="36" t="n"/>
      <c r="T153" s="36" t="n"/>
      <c r="U153" s="36" t="n"/>
      <c r="V153" s="43" t="n"/>
      <c r="W153" s="41">
        <f>IF(OR(V153="",U153=""),"",V153+U153)</f>
        <v/>
      </c>
      <c r="X153" s="37" t="n"/>
      <c r="Y153" s="36" t="n"/>
      <c r="Z153" s="37" t="n"/>
    </row>
    <row r="154">
      <c r="A154" s="35">
        <f>IF(E154="","",ROW()-5)</f>
        <v/>
      </c>
      <c r="B154" s="36" t="n"/>
      <c r="C154" s="36" t="n"/>
      <c r="D154" s="36" t="n"/>
      <c r="E154" s="37" t="n"/>
      <c r="F154" s="37" t="n"/>
      <c r="G154" s="37" t="n"/>
      <c r="H154" s="37" t="n"/>
      <c r="I154" s="37" t="n"/>
      <c r="J154" s="36" t="n"/>
      <c r="K154" s="36" t="n"/>
      <c r="L154" s="36" t="n"/>
      <c r="M154" s="36" t="n"/>
      <c r="N154" s="38" t="n"/>
      <c r="O154" s="39">
        <f>IF(OR(N154="",J154=""),"",N154*J154)</f>
        <v/>
      </c>
      <c r="P154" s="40" t="n"/>
      <c r="Q154" s="41">
        <f>IF(OR(P154="",Y154="발주완료",Y154="취소"),"",TODAY()+P154)</f>
        <v/>
      </c>
      <c r="R154" s="35">
        <f>IF(OR(Q154="",NOT(ISNUMBER($J$2))),"",IF(Q154&lt;=$J$2,"가능","초과 "&amp;(Q154-$J$2)&amp;"일"))</f>
        <v/>
      </c>
      <c r="S154" s="36" t="n"/>
      <c r="T154" s="36" t="n"/>
      <c r="U154" s="36" t="n"/>
      <c r="V154" s="43" t="n"/>
      <c r="W154" s="41">
        <f>IF(OR(V154="",U154=""),"",V154+U154)</f>
        <v/>
      </c>
      <c r="X154" s="37" t="n"/>
      <c r="Y154" s="36" t="n"/>
      <c r="Z154" s="37" t="n"/>
    </row>
    <row r="155">
      <c r="A155" s="35">
        <f>IF(E155="","",ROW()-5)</f>
        <v/>
      </c>
      <c r="B155" s="36" t="n"/>
      <c r="C155" s="36" t="n"/>
      <c r="D155" s="36" t="n"/>
      <c r="E155" s="37" t="n"/>
      <c r="F155" s="37" t="n"/>
      <c r="G155" s="37" t="n"/>
      <c r="H155" s="37" t="n"/>
      <c r="I155" s="37" t="n"/>
      <c r="J155" s="36" t="n"/>
      <c r="K155" s="36" t="n"/>
      <c r="L155" s="36" t="n"/>
      <c r="M155" s="36" t="n"/>
      <c r="N155" s="38" t="n"/>
      <c r="O155" s="39">
        <f>IF(OR(N155="",J155=""),"",N155*J155)</f>
        <v/>
      </c>
      <c r="P155" s="40" t="n"/>
      <c r="Q155" s="41">
        <f>IF(OR(P155="",Y155="발주완료",Y155="취소"),"",TODAY()+P155)</f>
        <v/>
      </c>
      <c r="R155" s="35">
        <f>IF(OR(Q155="",NOT(ISNUMBER($J$2))),"",IF(Q155&lt;=$J$2,"가능","초과 "&amp;(Q155-$J$2)&amp;"일"))</f>
        <v/>
      </c>
      <c r="S155" s="36" t="n"/>
      <c r="T155" s="36" t="n"/>
      <c r="U155" s="36" t="n"/>
      <c r="V155" s="43" t="n"/>
      <c r="W155" s="41">
        <f>IF(OR(V155="",U155=""),"",V155+U155)</f>
        <v/>
      </c>
      <c r="X155" s="37" t="n"/>
      <c r="Y155" s="36" t="n"/>
      <c r="Z155" s="37" t="n"/>
    </row>
    <row r="156">
      <c r="A156" s="35">
        <f>IF(E156="","",ROW()-5)</f>
        <v/>
      </c>
      <c r="B156" s="36" t="n"/>
      <c r="C156" s="36" t="n"/>
      <c r="D156" s="36" t="n"/>
      <c r="E156" s="37" t="n"/>
      <c r="F156" s="37" t="n"/>
      <c r="G156" s="37" t="n"/>
      <c r="H156" s="37" t="n"/>
      <c r="I156" s="37" t="n"/>
      <c r="J156" s="36" t="n"/>
      <c r="K156" s="36" t="n"/>
      <c r="L156" s="36" t="n"/>
      <c r="M156" s="36" t="n"/>
      <c r="N156" s="38" t="n"/>
      <c r="O156" s="39">
        <f>IF(OR(N156="",J156=""),"",N156*J156)</f>
        <v/>
      </c>
      <c r="P156" s="40" t="n"/>
      <c r="Q156" s="41">
        <f>IF(OR(P156="",Y156="발주완료",Y156="취소"),"",TODAY()+P156)</f>
        <v/>
      </c>
      <c r="R156" s="35">
        <f>IF(OR(Q156="",NOT(ISNUMBER($J$2))),"",IF(Q156&lt;=$J$2,"가능","초과 "&amp;(Q156-$J$2)&amp;"일"))</f>
        <v/>
      </c>
      <c r="S156" s="36" t="n"/>
      <c r="T156" s="36" t="n"/>
      <c r="U156" s="36" t="n"/>
      <c r="V156" s="43" t="n"/>
      <c r="W156" s="41">
        <f>IF(OR(V156="",U156=""),"",V156+U156)</f>
        <v/>
      </c>
      <c r="X156" s="37" t="n"/>
      <c r="Y156" s="36" t="n"/>
      <c r="Z156" s="37" t="n"/>
    </row>
    <row r="157">
      <c r="A157" s="35">
        <f>IF(E157="","",ROW()-5)</f>
        <v/>
      </c>
      <c r="B157" s="36" t="n"/>
      <c r="C157" s="36" t="n"/>
      <c r="D157" s="36" t="n"/>
      <c r="E157" s="37" t="n"/>
      <c r="F157" s="37" t="n"/>
      <c r="G157" s="37" t="n"/>
      <c r="H157" s="37" t="n"/>
      <c r="I157" s="37" t="n"/>
      <c r="J157" s="36" t="n"/>
      <c r="K157" s="36" t="n"/>
      <c r="L157" s="36" t="n"/>
      <c r="M157" s="36" t="n"/>
      <c r="N157" s="38" t="n"/>
      <c r="O157" s="39">
        <f>IF(OR(N157="",J157=""),"",N157*J157)</f>
        <v/>
      </c>
      <c r="P157" s="40" t="n"/>
      <c r="Q157" s="41">
        <f>IF(OR(P157="",Y157="발주완료",Y157="취소"),"",TODAY()+P157)</f>
        <v/>
      </c>
      <c r="R157" s="35">
        <f>IF(OR(Q157="",NOT(ISNUMBER($J$2))),"",IF(Q157&lt;=$J$2,"가능","초과 "&amp;(Q157-$J$2)&amp;"일"))</f>
        <v/>
      </c>
      <c r="S157" s="36" t="n"/>
      <c r="T157" s="36" t="n"/>
      <c r="U157" s="36" t="n"/>
      <c r="V157" s="43" t="n"/>
      <c r="W157" s="41">
        <f>IF(OR(V157="",U157=""),"",V157+U157)</f>
        <v/>
      </c>
      <c r="X157" s="37" t="n"/>
      <c r="Y157" s="36" t="n"/>
      <c r="Z157" s="37" t="n"/>
    </row>
    <row r="158">
      <c r="A158" s="35">
        <f>IF(E158="","",ROW()-5)</f>
        <v/>
      </c>
      <c r="B158" s="36" t="n"/>
      <c r="C158" s="36" t="n"/>
      <c r="D158" s="36" t="n"/>
      <c r="E158" s="37" t="n"/>
      <c r="F158" s="37" t="n"/>
      <c r="G158" s="37" t="n"/>
      <c r="H158" s="37" t="n"/>
      <c r="I158" s="37" t="n"/>
      <c r="J158" s="36" t="n"/>
      <c r="K158" s="36" t="n"/>
      <c r="L158" s="36" t="n"/>
      <c r="M158" s="36" t="n"/>
      <c r="N158" s="38" t="n"/>
      <c r="O158" s="39">
        <f>IF(OR(N158="",J158=""),"",N158*J158)</f>
        <v/>
      </c>
      <c r="P158" s="40" t="n"/>
      <c r="Q158" s="41">
        <f>IF(OR(P158="",Y158="발주완료",Y158="취소"),"",TODAY()+P158)</f>
        <v/>
      </c>
      <c r="R158" s="35">
        <f>IF(OR(Q158="",NOT(ISNUMBER($J$2))),"",IF(Q158&lt;=$J$2,"가능","초과 "&amp;(Q158-$J$2)&amp;"일"))</f>
        <v/>
      </c>
      <c r="S158" s="36" t="n"/>
      <c r="T158" s="36" t="n"/>
      <c r="U158" s="36" t="n"/>
      <c r="V158" s="43" t="n"/>
      <c r="W158" s="41">
        <f>IF(OR(V158="",U158=""),"",V158+U158)</f>
        <v/>
      </c>
      <c r="X158" s="37" t="n"/>
      <c r="Y158" s="36" t="n"/>
      <c r="Z158" s="37" t="n"/>
    </row>
    <row r="159">
      <c r="A159" s="35">
        <f>IF(E159="","",ROW()-5)</f>
        <v/>
      </c>
      <c r="B159" s="36" t="n"/>
      <c r="C159" s="36" t="n"/>
      <c r="D159" s="36" t="n"/>
      <c r="E159" s="37" t="n"/>
      <c r="F159" s="37" t="n"/>
      <c r="G159" s="37" t="n"/>
      <c r="H159" s="37" t="n"/>
      <c r="I159" s="37" t="n"/>
      <c r="J159" s="36" t="n"/>
      <c r="K159" s="36" t="n"/>
      <c r="L159" s="36" t="n"/>
      <c r="M159" s="36" t="n"/>
      <c r="N159" s="38" t="n"/>
      <c r="O159" s="39">
        <f>IF(OR(N159="",J159=""),"",N159*J159)</f>
        <v/>
      </c>
      <c r="P159" s="40" t="n"/>
      <c r="Q159" s="41">
        <f>IF(OR(P159="",Y159="발주완료",Y159="취소"),"",TODAY()+P159)</f>
        <v/>
      </c>
      <c r="R159" s="35">
        <f>IF(OR(Q159="",NOT(ISNUMBER($J$2))),"",IF(Q159&lt;=$J$2,"가능","초과 "&amp;(Q159-$J$2)&amp;"일"))</f>
        <v/>
      </c>
      <c r="S159" s="36" t="n"/>
      <c r="T159" s="36" t="n"/>
      <c r="U159" s="36" t="n"/>
      <c r="V159" s="43" t="n"/>
      <c r="W159" s="41">
        <f>IF(OR(V159="",U159=""),"",V159+U159)</f>
        <v/>
      </c>
      <c r="X159" s="37" t="n"/>
      <c r="Y159" s="36" t="n"/>
      <c r="Z159" s="37" t="n"/>
    </row>
    <row r="160">
      <c r="A160" s="35">
        <f>IF(E160="","",ROW()-5)</f>
        <v/>
      </c>
      <c r="B160" s="36" t="n"/>
      <c r="C160" s="36" t="n"/>
      <c r="D160" s="36" t="n"/>
      <c r="E160" s="37" t="n"/>
      <c r="F160" s="37" t="n"/>
      <c r="G160" s="37" t="n"/>
      <c r="H160" s="37" t="n"/>
      <c r="I160" s="37" t="n"/>
      <c r="J160" s="36" t="n"/>
      <c r="K160" s="36" t="n"/>
      <c r="L160" s="36" t="n"/>
      <c r="M160" s="36" t="n"/>
      <c r="N160" s="38" t="n"/>
      <c r="O160" s="39">
        <f>IF(OR(N160="",J160=""),"",N160*J160)</f>
        <v/>
      </c>
      <c r="P160" s="40" t="n"/>
      <c r="Q160" s="41">
        <f>IF(OR(P160="",Y160="발주완료",Y160="취소"),"",TODAY()+P160)</f>
        <v/>
      </c>
      <c r="R160" s="35">
        <f>IF(OR(Q160="",NOT(ISNUMBER($J$2))),"",IF(Q160&lt;=$J$2,"가능","초과 "&amp;(Q160-$J$2)&amp;"일"))</f>
        <v/>
      </c>
      <c r="S160" s="36" t="n"/>
      <c r="T160" s="36" t="n"/>
      <c r="U160" s="36" t="n"/>
      <c r="V160" s="43" t="n"/>
      <c r="W160" s="41">
        <f>IF(OR(V160="",U160=""),"",V160+U160)</f>
        <v/>
      </c>
      <c r="X160" s="37" t="n"/>
      <c r="Y160" s="36" t="n"/>
      <c r="Z160" s="37" t="n"/>
    </row>
    <row r="161">
      <c r="A161" s="35">
        <f>IF(E161="","",ROW()-5)</f>
        <v/>
      </c>
      <c r="B161" s="36" t="n"/>
      <c r="C161" s="36" t="n"/>
      <c r="D161" s="36" t="n"/>
      <c r="E161" s="37" t="n"/>
      <c r="F161" s="37" t="n"/>
      <c r="G161" s="37" t="n"/>
      <c r="H161" s="37" t="n"/>
      <c r="I161" s="37" t="n"/>
      <c r="J161" s="36" t="n"/>
      <c r="K161" s="36" t="n"/>
      <c r="L161" s="36" t="n"/>
      <c r="M161" s="36" t="n"/>
      <c r="N161" s="38" t="n"/>
      <c r="O161" s="39">
        <f>IF(OR(N161="",J161=""),"",N161*J161)</f>
        <v/>
      </c>
      <c r="P161" s="40" t="n"/>
      <c r="Q161" s="41">
        <f>IF(OR(P161="",Y161="발주완료",Y161="취소"),"",TODAY()+P161)</f>
        <v/>
      </c>
      <c r="R161" s="35">
        <f>IF(OR(Q161="",NOT(ISNUMBER($J$2))),"",IF(Q161&lt;=$J$2,"가능","초과 "&amp;(Q161-$J$2)&amp;"일"))</f>
        <v/>
      </c>
      <c r="S161" s="36" t="n"/>
      <c r="T161" s="36" t="n"/>
      <c r="U161" s="36" t="n"/>
      <c r="V161" s="43" t="n"/>
      <c r="W161" s="41">
        <f>IF(OR(V161="",U161=""),"",V161+U161)</f>
        <v/>
      </c>
      <c r="X161" s="37" t="n"/>
      <c r="Y161" s="36" t="n"/>
      <c r="Z161" s="37" t="n"/>
    </row>
    <row r="162">
      <c r="A162" s="35">
        <f>IF(E162="","",ROW()-5)</f>
        <v/>
      </c>
      <c r="B162" s="36" t="n"/>
      <c r="C162" s="36" t="n"/>
      <c r="D162" s="36" t="n"/>
      <c r="E162" s="37" t="n"/>
      <c r="F162" s="37" t="n"/>
      <c r="G162" s="37" t="n"/>
      <c r="H162" s="37" t="n"/>
      <c r="I162" s="37" t="n"/>
      <c r="J162" s="36" t="n"/>
      <c r="K162" s="36" t="n"/>
      <c r="L162" s="36" t="n"/>
      <c r="M162" s="36" t="n"/>
      <c r="N162" s="38" t="n"/>
      <c r="O162" s="39">
        <f>IF(OR(N162="",J162=""),"",N162*J162)</f>
        <v/>
      </c>
      <c r="P162" s="40" t="n"/>
      <c r="Q162" s="41">
        <f>IF(OR(P162="",Y162="발주완료",Y162="취소"),"",TODAY()+P162)</f>
        <v/>
      </c>
      <c r="R162" s="35">
        <f>IF(OR(Q162="",NOT(ISNUMBER($J$2))),"",IF(Q162&lt;=$J$2,"가능","초과 "&amp;(Q162-$J$2)&amp;"일"))</f>
        <v/>
      </c>
      <c r="S162" s="36" t="n"/>
      <c r="T162" s="36" t="n"/>
      <c r="U162" s="36" t="n"/>
      <c r="V162" s="43" t="n"/>
      <c r="W162" s="41">
        <f>IF(OR(V162="",U162=""),"",V162+U162)</f>
        <v/>
      </c>
      <c r="X162" s="37" t="n"/>
      <c r="Y162" s="36" t="n"/>
      <c r="Z162" s="37" t="n"/>
    </row>
    <row r="163">
      <c r="A163" s="35">
        <f>IF(E163="","",ROW()-5)</f>
        <v/>
      </c>
      <c r="B163" s="36" t="n"/>
      <c r="C163" s="36" t="n"/>
      <c r="D163" s="36" t="n"/>
      <c r="E163" s="37" t="n"/>
      <c r="F163" s="37" t="n"/>
      <c r="G163" s="37" t="n"/>
      <c r="H163" s="37" t="n"/>
      <c r="I163" s="37" t="n"/>
      <c r="J163" s="36" t="n"/>
      <c r="K163" s="36" t="n"/>
      <c r="L163" s="36" t="n"/>
      <c r="M163" s="36" t="n"/>
      <c r="N163" s="38" t="n"/>
      <c r="O163" s="39">
        <f>IF(OR(N163="",J163=""),"",N163*J163)</f>
        <v/>
      </c>
      <c r="P163" s="40" t="n"/>
      <c r="Q163" s="41">
        <f>IF(OR(P163="",Y163="발주완료",Y163="취소"),"",TODAY()+P163)</f>
        <v/>
      </c>
      <c r="R163" s="35">
        <f>IF(OR(Q163="",NOT(ISNUMBER($J$2))),"",IF(Q163&lt;=$J$2,"가능","초과 "&amp;(Q163-$J$2)&amp;"일"))</f>
        <v/>
      </c>
      <c r="S163" s="36" t="n"/>
      <c r="T163" s="36" t="n"/>
      <c r="U163" s="36" t="n"/>
      <c r="V163" s="43" t="n"/>
      <c r="W163" s="41">
        <f>IF(OR(V163="",U163=""),"",V163+U163)</f>
        <v/>
      </c>
      <c r="X163" s="37" t="n"/>
      <c r="Y163" s="36" t="n"/>
      <c r="Z163" s="37" t="n"/>
    </row>
    <row r="164">
      <c r="A164" s="35">
        <f>IF(E164="","",ROW()-5)</f>
        <v/>
      </c>
      <c r="B164" s="36" t="n"/>
      <c r="C164" s="36" t="n"/>
      <c r="D164" s="36" t="n"/>
      <c r="E164" s="37" t="n"/>
      <c r="F164" s="37" t="n"/>
      <c r="G164" s="37" t="n"/>
      <c r="H164" s="37" t="n"/>
      <c r="I164" s="37" t="n"/>
      <c r="J164" s="36" t="n"/>
      <c r="K164" s="36" t="n"/>
      <c r="L164" s="36" t="n"/>
      <c r="M164" s="36" t="n"/>
      <c r="N164" s="38" t="n"/>
      <c r="O164" s="39">
        <f>IF(OR(N164="",J164=""),"",N164*J164)</f>
        <v/>
      </c>
      <c r="P164" s="40" t="n"/>
      <c r="Q164" s="41">
        <f>IF(OR(P164="",Y164="발주완료",Y164="취소"),"",TODAY()+P164)</f>
        <v/>
      </c>
      <c r="R164" s="35">
        <f>IF(OR(Q164="",NOT(ISNUMBER($J$2))),"",IF(Q164&lt;=$J$2,"가능","초과 "&amp;(Q164-$J$2)&amp;"일"))</f>
        <v/>
      </c>
      <c r="S164" s="36" t="n"/>
      <c r="T164" s="36" t="n"/>
      <c r="U164" s="36" t="n"/>
      <c r="V164" s="43" t="n"/>
      <c r="W164" s="41">
        <f>IF(OR(V164="",U164=""),"",V164+U164)</f>
        <v/>
      </c>
      <c r="X164" s="37" t="n"/>
      <c r="Y164" s="36" t="n"/>
      <c r="Z164" s="37" t="n"/>
    </row>
    <row r="165">
      <c r="A165" s="35">
        <f>IF(E165="","",ROW()-5)</f>
        <v/>
      </c>
      <c r="B165" s="36" t="n"/>
      <c r="C165" s="36" t="n"/>
      <c r="D165" s="36" t="n"/>
      <c r="E165" s="37" t="n"/>
      <c r="F165" s="37" t="n"/>
      <c r="G165" s="37" t="n"/>
      <c r="H165" s="37" t="n"/>
      <c r="I165" s="37" t="n"/>
      <c r="J165" s="36" t="n"/>
      <c r="K165" s="36" t="n"/>
      <c r="L165" s="36" t="n"/>
      <c r="M165" s="36" t="n"/>
      <c r="N165" s="38" t="n"/>
      <c r="O165" s="39">
        <f>IF(OR(N165="",J165=""),"",N165*J165)</f>
        <v/>
      </c>
      <c r="P165" s="40" t="n"/>
      <c r="Q165" s="41">
        <f>IF(OR(P165="",Y165="발주완료",Y165="취소"),"",TODAY()+P165)</f>
        <v/>
      </c>
      <c r="R165" s="35">
        <f>IF(OR(Q165="",NOT(ISNUMBER($J$2))),"",IF(Q165&lt;=$J$2,"가능","초과 "&amp;(Q165-$J$2)&amp;"일"))</f>
        <v/>
      </c>
      <c r="S165" s="36" t="n"/>
      <c r="T165" s="36" t="n"/>
      <c r="U165" s="36" t="n"/>
      <c r="V165" s="43" t="n"/>
      <c r="W165" s="41">
        <f>IF(OR(V165="",U165=""),"",V165+U165)</f>
        <v/>
      </c>
      <c r="X165" s="37" t="n"/>
      <c r="Y165" s="36" t="n"/>
      <c r="Z165" s="37" t="n"/>
    </row>
    <row r="166">
      <c r="A166" s="35">
        <f>IF(E166="","",ROW()-5)</f>
        <v/>
      </c>
      <c r="B166" s="36" t="n"/>
      <c r="C166" s="36" t="n"/>
      <c r="D166" s="36" t="n"/>
      <c r="E166" s="37" t="n"/>
      <c r="F166" s="37" t="n"/>
      <c r="G166" s="37" t="n"/>
      <c r="H166" s="37" t="n"/>
      <c r="I166" s="37" t="n"/>
      <c r="J166" s="36" t="n"/>
      <c r="K166" s="36" t="n"/>
      <c r="L166" s="36" t="n"/>
      <c r="M166" s="36" t="n"/>
      <c r="N166" s="38" t="n"/>
      <c r="O166" s="39">
        <f>IF(OR(N166="",J166=""),"",N166*J166)</f>
        <v/>
      </c>
      <c r="P166" s="40" t="n"/>
      <c r="Q166" s="41">
        <f>IF(OR(P166="",Y166="발주완료",Y166="취소"),"",TODAY()+P166)</f>
        <v/>
      </c>
      <c r="R166" s="35">
        <f>IF(OR(Q166="",NOT(ISNUMBER($J$2))),"",IF(Q166&lt;=$J$2,"가능","초과 "&amp;(Q166-$J$2)&amp;"일"))</f>
        <v/>
      </c>
      <c r="S166" s="36" t="n"/>
      <c r="T166" s="36" t="n"/>
      <c r="U166" s="36" t="n"/>
      <c r="V166" s="43" t="n"/>
      <c r="W166" s="41">
        <f>IF(OR(V166="",U166=""),"",V166+U166)</f>
        <v/>
      </c>
      <c r="X166" s="37" t="n"/>
      <c r="Y166" s="36" t="n"/>
      <c r="Z166" s="37" t="n"/>
    </row>
    <row r="167">
      <c r="A167" s="35">
        <f>IF(E167="","",ROW()-5)</f>
        <v/>
      </c>
      <c r="B167" s="36" t="n"/>
      <c r="C167" s="36" t="n"/>
      <c r="D167" s="36" t="n"/>
      <c r="E167" s="37" t="n"/>
      <c r="F167" s="37" t="n"/>
      <c r="G167" s="37" t="n"/>
      <c r="H167" s="37" t="n"/>
      <c r="I167" s="37" t="n"/>
      <c r="J167" s="36" t="n"/>
      <c r="K167" s="36" t="n"/>
      <c r="L167" s="36" t="n"/>
      <c r="M167" s="36" t="n"/>
      <c r="N167" s="38" t="n"/>
      <c r="O167" s="39">
        <f>IF(OR(N167="",J167=""),"",N167*J167)</f>
        <v/>
      </c>
      <c r="P167" s="40" t="n"/>
      <c r="Q167" s="41">
        <f>IF(OR(P167="",Y167="발주완료",Y167="취소"),"",TODAY()+P167)</f>
        <v/>
      </c>
      <c r="R167" s="35">
        <f>IF(OR(Q167="",NOT(ISNUMBER($J$2))),"",IF(Q167&lt;=$J$2,"가능","초과 "&amp;(Q167-$J$2)&amp;"일"))</f>
        <v/>
      </c>
      <c r="S167" s="36" t="n"/>
      <c r="T167" s="36" t="n"/>
      <c r="U167" s="36" t="n"/>
      <c r="V167" s="43" t="n"/>
      <c r="W167" s="41">
        <f>IF(OR(V167="",U167=""),"",V167+U167)</f>
        <v/>
      </c>
      <c r="X167" s="37" t="n"/>
      <c r="Y167" s="36" t="n"/>
      <c r="Z167" s="37" t="n"/>
    </row>
    <row r="168">
      <c r="A168" s="35">
        <f>IF(E168="","",ROW()-5)</f>
        <v/>
      </c>
      <c r="B168" s="36" t="n"/>
      <c r="C168" s="36" t="n"/>
      <c r="D168" s="36" t="n"/>
      <c r="E168" s="37" t="n"/>
      <c r="F168" s="37" t="n"/>
      <c r="G168" s="37" t="n"/>
      <c r="H168" s="37" t="n"/>
      <c r="I168" s="37" t="n"/>
      <c r="J168" s="36" t="n"/>
      <c r="K168" s="36" t="n"/>
      <c r="L168" s="36" t="n"/>
      <c r="M168" s="36" t="n"/>
      <c r="N168" s="38" t="n"/>
      <c r="O168" s="39">
        <f>IF(OR(N168="",J168=""),"",N168*J168)</f>
        <v/>
      </c>
      <c r="P168" s="40" t="n"/>
      <c r="Q168" s="41">
        <f>IF(OR(P168="",Y168="발주완료",Y168="취소"),"",TODAY()+P168)</f>
        <v/>
      </c>
      <c r="R168" s="35">
        <f>IF(OR(Q168="",NOT(ISNUMBER($J$2))),"",IF(Q168&lt;=$J$2,"가능","초과 "&amp;(Q168-$J$2)&amp;"일"))</f>
        <v/>
      </c>
      <c r="S168" s="36" t="n"/>
      <c r="T168" s="36" t="n"/>
      <c r="U168" s="36" t="n"/>
      <c r="V168" s="43" t="n"/>
      <c r="W168" s="41">
        <f>IF(OR(V168="",U168=""),"",V168+U168)</f>
        <v/>
      </c>
      <c r="X168" s="37" t="n"/>
      <c r="Y168" s="36" t="n"/>
      <c r="Z168" s="37" t="n"/>
    </row>
    <row r="169">
      <c r="A169" s="35">
        <f>IF(E169="","",ROW()-5)</f>
        <v/>
      </c>
      <c r="B169" s="36" t="n"/>
      <c r="C169" s="36" t="n"/>
      <c r="D169" s="36" t="n"/>
      <c r="E169" s="37" t="n"/>
      <c r="F169" s="37" t="n"/>
      <c r="G169" s="37" t="n"/>
      <c r="H169" s="37" t="n"/>
      <c r="I169" s="37" t="n"/>
      <c r="J169" s="36" t="n"/>
      <c r="K169" s="36" t="n"/>
      <c r="L169" s="36" t="n"/>
      <c r="M169" s="36" t="n"/>
      <c r="N169" s="38" t="n"/>
      <c r="O169" s="39">
        <f>IF(OR(N169="",J169=""),"",N169*J169)</f>
        <v/>
      </c>
      <c r="P169" s="40" t="n"/>
      <c r="Q169" s="41">
        <f>IF(OR(P169="",Y169="발주완료",Y169="취소"),"",TODAY()+P169)</f>
        <v/>
      </c>
      <c r="R169" s="35">
        <f>IF(OR(Q169="",NOT(ISNUMBER($J$2))),"",IF(Q169&lt;=$J$2,"가능","초과 "&amp;(Q169-$J$2)&amp;"일"))</f>
        <v/>
      </c>
      <c r="S169" s="36" t="n"/>
      <c r="T169" s="36" t="n"/>
      <c r="U169" s="36" t="n"/>
      <c r="V169" s="43" t="n"/>
      <c r="W169" s="41">
        <f>IF(OR(V169="",U169=""),"",V169+U169)</f>
        <v/>
      </c>
      <c r="X169" s="37" t="n"/>
      <c r="Y169" s="36" t="n"/>
      <c r="Z169" s="37" t="n"/>
    </row>
    <row r="170">
      <c r="A170" s="35">
        <f>IF(E170="","",ROW()-5)</f>
        <v/>
      </c>
      <c r="B170" s="36" t="n"/>
      <c r="C170" s="36" t="n"/>
      <c r="D170" s="36" t="n"/>
      <c r="E170" s="37" t="n"/>
      <c r="F170" s="37" t="n"/>
      <c r="G170" s="37" t="n"/>
      <c r="H170" s="37" t="n"/>
      <c r="I170" s="37" t="n"/>
      <c r="J170" s="36" t="n"/>
      <c r="K170" s="36" t="n"/>
      <c r="L170" s="36" t="n"/>
      <c r="M170" s="36" t="n"/>
      <c r="N170" s="38" t="n"/>
      <c r="O170" s="39">
        <f>IF(OR(N170="",J170=""),"",N170*J170)</f>
        <v/>
      </c>
      <c r="P170" s="40" t="n"/>
      <c r="Q170" s="41">
        <f>IF(OR(P170="",Y170="발주완료",Y170="취소"),"",TODAY()+P170)</f>
        <v/>
      </c>
      <c r="R170" s="35">
        <f>IF(OR(Q170="",NOT(ISNUMBER($J$2))),"",IF(Q170&lt;=$J$2,"가능","초과 "&amp;(Q170-$J$2)&amp;"일"))</f>
        <v/>
      </c>
      <c r="S170" s="36" t="n"/>
      <c r="T170" s="36" t="n"/>
      <c r="U170" s="36" t="n"/>
      <c r="V170" s="43" t="n"/>
      <c r="W170" s="41">
        <f>IF(OR(V170="",U170=""),"",V170+U170)</f>
        <v/>
      </c>
      <c r="X170" s="37" t="n"/>
      <c r="Y170" s="36" t="n"/>
      <c r="Z170" s="37" t="n"/>
    </row>
    <row r="171">
      <c r="A171" s="35">
        <f>IF(E171="","",ROW()-5)</f>
        <v/>
      </c>
      <c r="B171" s="36" t="n"/>
      <c r="C171" s="36" t="n"/>
      <c r="D171" s="36" t="n"/>
      <c r="E171" s="37" t="n"/>
      <c r="F171" s="37" t="n"/>
      <c r="G171" s="37" t="n"/>
      <c r="H171" s="37" t="n"/>
      <c r="I171" s="37" t="n"/>
      <c r="J171" s="36" t="n"/>
      <c r="K171" s="36" t="n"/>
      <c r="L171" s="36" t="n"/>
      <c r="M171" s="36" t="n"/>
      <c r="N171" s="38" t="n"/>
      <c r="O171" s="39">
        <f>IF(OR(N171="",J171=""),"",N171*J171)</f>
        <v/>
      </c>
      <c r="P171" s="40" t="n"/>
      <c r="Q171" s="41">
        <f>IF(OR(P171="",Y171="발주완료",Y171="취소"),"",TODAY()+P171)</f>
        <v/>
      </c>
      <c r="R171" s="35">
        <f>IF(OR(Q171="",NOT(ISNUMBER($J$2))),"",IF(Q171&lt;=$J$2,"가능","초과 "&amp;(Q171-$J$2)&amp;"일"))</f>
        <v/>
      </c>
      <c r="S171" s="36" t="n"/>
      <c r="T171" s="36" t="n"/>
      <c r="U171" s="36" t="n"/>
      <c r="V171" s="43" t="n"/>
      <c r="W171" s="41">
        <f>IF(OR(V171="",U171=""),"",V171+U171)</f>
        <v/>
      </c>
      <c r="X171" s="37" t="n"/>
      <c r="Y171" s="36" t="n"/>
      <c r="Z171" s="37" t="n"/>
    </row>
    <row r="172">
      <c r="A172" s="35">
        <f>IF(E172="","",ROW()-5)</f>
        <v/>
      </c>
      <c r="B172" s="36" t="n"/>
      <c r="C172" s="36" t="n"/>
      <c r="D172" s="36" t="n"/>
      <c r="E172" s="37" t="n"/>
      <c r="F172" s="37" t="n"/>
      <c r="G172" s="37" t="n"/>
      <c r="H172" s="37" t="n"/>
      <c r="I172" s="37" t="n"/>
      <c r="J172" s="36" t="n"/>
      <c r="K172" s="36" t="n"/>
      <c r="L172" s="36" t="n"/>
      <c r="M172" s="36" t="n"/>
      <c r="N172" s="38" t="n"/>
      <c r="O172" s="39">
        <f>IF(OR(N172="",J172=""),"",N172*J172)</f>
        <v/>
      </c>
      <c r="P172" s="40" t="n"/>
      <c r="Q172" s="41">
        <f>IF(OR(P172="",Y172="발주완료",Y172="취소"),"",TODAY()+P172)</f>
        <v/>
      </c>
      <c r="R172" s="35">
        <f>IF(OR(Q172="",NOT(ISNUMBER($J$2))),"",IF(Q172&lt;=$J$2,"가능","초과 "&amp;(Q172-$J$2)&amp;"일"))</f>
        <v/>
      </c>
      <c r="S172" s="36" t="n"/>
      <c r="T172" s="36" t="n"/>
      <c r="U172" s="36" t="n"/>
      <c r="V172" s="43" t="n"/>
      <c r="W172" s="41">
        <f>IF(OR(V172="",U172=""),"",V172+U172)</f>
        <v/>
      </c>
      <c r="X172" s="37" t="n"/>
      <c r="Y172" s="36" t="n"/>
      <c r="Z172" s="37" t="n"/>
    </row>
    <row r="173">
      <c r="A173" s="35">
        <f>IF(E173="","",ROW()-5)</f>
        <v/>
      </c>
      <c r="B173" s="36" t="n"/>
      <c r="C173" s="36" t="n"/>
      <c r="D173" s="36" t="n"/>
      <c r="E173" s="37" t="n"/>
      <c r="F173" s="37" t="n"/>
      <c r="G173" s="37" t="n"/>
      <c r="H173" s="37" t="n"/>
      <c r="I173" s="37" t="n"/>
      <c r="J173" s="36" t="n"/>
      <c r="K173" s="36" t="n"/>
      <c r="L173" s="36" t="n"/>
      <c r="M173" s="36" t="n"/>
      <c r="N173" s="38" t="n"/>
      <c r="O173" s="39">
        <f>IF(OR(N173="",J173=""),"",N173*J173)</f>
        <v/>
      </c>
      <c r="P173" s="40" t="n"/>
      <c r="Q173" s="41">
        <f>IF(OR(P173="",Y173="발주완료",Y173="취소"),"",TODAY()+P173)</f>
        <v/>
      </c>
      <c r="R173" s="35">
        <f>IF(OR(Q173="",NOT(ISNUMBER($J$2))),"",IF(Q173&lt;=$J$2,"가능","초과 "&amp;(Q173-$J$2)&amp;"일"))</f>
        <v/>
      </c>
      <c r="S173" s="36" t="n"/>
      <c r="T173" s="36" t="n"/>
      <c r="U173" s="36" t="n"/>
      <c r="V173" s="43" t="n"/>
      <c r="W173" s="41">
        <f>IF(OR(V173="",U173=""),"",V173+U173)</f>
        <v/>
      </c>
      <c r="X173" s="37" t="n"/>
      <c r="Y173" s="36" t="n"/>
      <c r="Z173" s="37" t="n"/>
    </row>
    <row r="174">
      <c r="A174" s="35">
        <f>IF(E174="","",ROW()-5)</f>
        <v/>
      </c>
      <c r="B174" s="36" t="n"/>
      <c r="C174" s="36" t="n"/>
      <c r="D174" s="36" t="n"/>
      <c r="E174" s="37" t="n"/>
      <c r="F174" s="37" t="n"/>
      <c r="G174" s="37" t="n"/>
      <c r="H174" s="37" t="n"/>
      <c r="I174" s="37" t="n"/>
      <c r="J174" s="36" t="n"/>
      <c r="K174" s="36" t="n"/>
      <c r="L174" s="36" t="n"/>
      <c r="M174" s="36" t="n"/>
      <c r="N174" s="38" t="n"/>
      <c r="O174" s="39">
        <f>IF(OR(N174="",J174=""),"",N174*J174)</f>
        <v/>
      </c>
      <c r="P174" s="40" t="n"/>
      <c r="Q174" s="41">
        <f>IF(OR(P174="",Y174="발주완료",Y174="취소"),"",TODAY()+P174)</f>
        <v/>
      </c>
      <c r="R174" s="35">
        <f>IF(OR(Q174="",NOT(ISNUMBER($J$2))),"",IF(Q174&lt;=$J$2,"가능","초과 "&amp;(Q174-$J$2)&amp;"일"))</f>
        <v/>
      </c>
      <c r="S174" s="36" t="n"/>
      <c r="T174" s="36" t="n"/>
      <c r="U174" s="36" t="n"/>
      <c r="V174" s="43" t="n"/>
      <c r="W174" s="41">
        <f>IF(OR(V174="",U174=""),"",V174+U174)</f>
        <v/>
      </c>
      <c r="X174" s="37" t="n"/>
      <c r="Y174" s="36" t="n"/>
      <c r="Z174" s="37" t="n"/>
    </row>
    <row r="175">
      <c r="A175" s="35">
        <f>IF(E175="","",ROW()-5)</f>
        <v/>
      </c>
      <c r="B175" s="36" t="n"/>
      <c r="C175" s="36" t="n"/>
      <c r="D175" s="36" t="n"/>
      <c r="E175" s="37" t="n"/>
      <c r="F175" s="37" t="n"/>
      <c r="G175" s="37" t="n"/>
      <c r="H175" s="37" t="n"/>
      <c r="I175" s="37" t="n"/>
      <c r="J175" s="36" t="n"/>
      <c r="K175" s="36" t="n"/>
      <c r="L175" s="36" t="n"/>
      <c r="M175" s="36" t="n"/>
      <c r="N175" s="38" t="n"/>
      <c r="O175" s="39">
        <f>IF(OR(N175="",J175=""),"",N175*J175)</f>
        <v/>
      </c>
      <c r="P175" s="40" t="n"/>
      <c r="Q175" s="41">
        <f>IF(OR(P175="",Y175="발주완료",Y175="취소"),"",TODAY()+P175)</f>
        <v/>
      </c>
      <c r="R175" s="35">
        <f>IF(OR(Q175="",NOT(ISNUMBER($J$2))),"",IF(Q175&lt;=$J$2,"가능","초과 "&amp;(Q175-$J$2)&amp;"일"))</f>
        <v/>
      </c>
      <c r="S175" s="36" t="n"/>
      <c r="T175" s="36" t="n"/>
      <c r="U175" s="36" t="n"/>
      <c r="V175" s="43" t="n"/>
      <c r="W175" s="41">
        <f>IF(OR(V175="",U175=""),"",V175+U175)</f>
        <v/>
      </c>
      <c r="X175" s="37" t="n"/>
      <c r="Y175" s="36" t="n"/>
      <c r="Z175" s="37" t="n"/>
    </row>
    <row r="176">
      <c r="A176" s="35">
        <f>IF(E176="","",ROW()-5)</f>
        <v/>
      </c>
      <c r="B176" s="36" t="n"/>
      <c r="C176" s="36" t="n"/>
      <c r="D176" s="36" t="n"/>
      <c r="E176" s="37" t="n"/>
      <c r="F176" s="37" t="n"/>
      <c r="G176" s="37" t="n"/>
      <c r="H176" s="37" t="n"/>
      <c r="I176" s="37" t="n"/>
      <c r="J176" s="36" t="n"/>
      <c r="K176" s="36" t="n"/>
      <c r="L176" s="36" t="n"/>
      <c r="M176" s="36" t="n"/>
      <c r="N176" s="38" t="n"/>
      <c r="O176" s="39">
        <f>IF(OR(N176="",J176=""),"",N176*J176)</f>
        <v/>
      </c>
      <c r="P176" s="40" t="n"/>
      <c r="Q176" s="41">
        <f>IF(OR(P176="",Y176="발주완료",Y176="취소"),"",TODAY()+P176)</f>
        <v/>
      </c>
      <c r="R176" s="35">
        <f>IF(OR(Q176="",NOT(ISNUMBER($J$2))),"",IF(Q176&lt;=$J$2,"가능","초과 "&amp;(Q176-$J$2)&amp;"일"))</f>
        <v/>
      </c>
      <c r="S176" s="36" t="n"/>
      <c r="T176" s="36" t="n"/>
      <c r="U176" s="36" t="n"/>
      <c r="V176" s="43" t="n"/>
      <c r="W176" s="41">
        <f>IF(OR(V176="",U176=""),"",V176+U176)</f>
        <v/>
      </c>
      <c r="X176" s="37" t="n"/>
      <c r="Y176" s="36" t="n"/>
      <c r="Z176" s="37" t="n"/>
    </row>
    <row r="177">
      <c r="A177" s="35">
        <f>IF(E177="","",ROW()-5)</f>
        <v/>
      </c>
      <c r="B177" s="36" t="n"/>
      <c r="C177" s="36" t="n"/>
      <c r="D177" s="36" t="n"/>
      <c r="E177" s="37" t="n"/>
      <c r="F177" s="37" t="n"/>
      <c r="G177" s="37" t="n"/>
      <c r="H177" s="37" t="n"/>
      <c r="I177" s="37" t="n"/>
      <c r="J177" s="36" t="n"/>
      <c r="K177" s="36" t="n"/>
      <c r="L177" s="36" t="n"/>
      <c r="M177" s="36" t="n"/>
      <c r="N177" s="38" t="n"/>
      <c r="O177" s="39">
        <f>IF(OR(N177="",J177=""),"",N177*J177)</f>
        <v/>
      </c>
      <c r="P177" s="40" t="n"/>
      <c r="Q177" s="41">
        <f>IF(OR(P177="",Y177="발주완료",Y177="취소"),"",TODAY()+P177)</f>
        <v/>
      </c>
      <c r="R177" s="35">
        <f>IF(OR(Q177="",NOT(ISNUMBER($J$2))),"",IF(Q177&lt;=$J$2,"가능","초과 "&amp;(Q177-$J$2)&amp;"일"))</f>
        <v/>
      </c>
      <c r="S177" s="36" t="n"/>
      <c r="T177" s="36" t="n"/>
      <c r="U177" s="36" t="n"/>
      <c r="V177" s="43" t="n"/>
      <c r="W177" s="41">
        <f>IF(OR(V177="",U177=""),"",V177+U177)</f>
        <v/>
      </c>
      <c r="X177" s="37" t="n"/>
      <c r="Y177" s="36" t="n"/>
      <c r="Z177" s="37" t="n"/>
    </row>
    <row r="178">
      <c r="A178" s="35">
        <f>IF(E178="","",ROW()-5)</f>
        <v/>
      </c>
      <c r="B178" s="36" t="n"/>
      <c r="C178" s="36" t="n"/>
      <c r="D178" s="36" t="n"/>
      <c r="E178" s="37" t="n"/>
      <c r="F178" s="37" t="n"/>
      <c r="G178" s="37" t="n"/>
      <c r="H178" s="37" t="n"/>
      <c r="I178" s="37" t="n"/>
      <c r="J178" s="36" t="n"/>
      <c r="K178" s="36" t="n"/>
      <c r="L178" s="36" t="n"/>
      <c r="M178" s="36" t="n"/>
      <c r="N178" s="38" t="n"/>
      <c r="O178" s="39">
        <f>IF(OR(N178="",J178=""),"",N178*J178)</f>
        <v/>
      </c>
      <c r="P178" s="40" t="n"/>
      <c r="Q178" s="41">
        <f>IF(OR(P178="",Y178="발주완료",Y178="취소"),"",TODAY()+P178)</f>
        <v/>
      </c>
      <c r="R178" s="35">
        <f>IF(OR(Q178="",NOT(ISNUMBER($J$2))),"",IF(Q178&lt;=$J$2,"가능","초과 "&amp;(Q178-$J$2)&amp;"일"))</f>
        <v/>
      </c>
      <c r="S178" s="36" t="n"/>
      <c r="T178" s="36" t="n"/>
      <c r="U178" s="36" t="n"/>
      <c r="V178" s="43" t="n"/>
      <c r="W178" s="41">
        <f>IF(OR(V178="",U178=""),"",V178+U178)</f>
        <v/>
      </c>
      <c r="X178" s="37" t="n"/>
      <c r="Y178" s="36" t="n"/>
      <c r="Z178" s="37" t="n"/>
    </row>
    <row r="179">
      <c r="A179" s="35">
        <f>IF(E179="","",ROW()-5)</f>
        <v/>
      </c>
      <c r="B179" s="36" t="n"/>
      <c r="C179" s="36" t="n"/>
      <c r="D179" s="36" t="n"/>
      <c r="E179" s="37" t="n"/>
      <c r="F179" s="37" t="n"/>
      <c r="G179" s="37" t="n"/>
      <c r="H179" s="37" t="n"/>
      <c r="I179" s="37" t="n"/>
      <c r="J179" s="36" t="n"/>
      <c r="K179" s="36" t="n"/>
      <c r="L179" s="36" t="n"/>
      <c r="M179" s="36" t="n"/>
      <c r="N179" s="38" t="n"/>
      <c r="O179" s="39">
        <f>IF(OR(N179="",J179=""),"",N179*J179)</f>
        <v/>
      </c>
      <c r="P179" s="40" t="n"/>
      <c r="Q179" s="41">
        <f>IF(OR(P179="",Y179="발주완료",Y179="취소"),"",TODAY()+P179)</f>
        <v/>
      </c>
      <c r="R179" s="35">
        <f>IF(OR(Q179="",NOT(ISNUMBER($J$2))),"",IF(Q179&lt;=$J$2,"가능","초과 "&amp;(Q179-$J$2)&amp;"일"))</f>
        <v/>
      </c>
      <c r="S179" s="36" t="n"/>
      <c r="T179" s="36" t="n"/>
      <c r="U179" s="36" t="n"/>
      <c r="V179" s="43" t="n"/>
      <c r="W179" s="41">
        <f>IF(OR(V179="",U179=""),"",V179+U179)</f>
        <v/>
      </c>
      <c r="X179" s="37" t="n"/>
      <c r="Y179" s="36" t="n"/>
      <c r="Z179" s="37" t="n"/>
    </row>
    <row r="180">
      <c r="A180" s="35">
        <f>IF(E180="","",ROW()-5)</f>
        <v/>
      </c>
      <c r="B180" s="36" t="n"/>
      <c r="C180" s="36" t="n"/>
      <c r="D180" s="36" t="n"/>
      <c r="E180" s="37" t="n"/>
      <c r="F180" s="37" t="n"/>
      <c r="G180" s="37" t="n"/>
      <c r="H180" s="37" t="n"/>
      <c r="I180" s="37" t="n"/>
      <c r="J180" s="36" t="n"/>
      <c r="K180" s="36" t="n"/>
      <c r="L180" s="36" t="n"/>
      <c r="M180" s="36" t="n"/>
      <c r="N180" s="38" t="n"/>
      <c r="O180" s="39">
        <f>IF(OR(N180="",J180=""),"",N180*J180)</f>
        <v/>
      </c>
      <c r="P180" s="40" t="n"/>
      <c r="Q180" s="41">
        <f>IF(OR(P180="",Y180="발주완료",Y180="취소"),"",TODAY()+P180)</f>
        <v/>
      </c>
      <c r="R180" s="35">
        <f>IF(OR(Q180="",NOT(ISNUMBER($J$2))),"",IF(Q180&lt;=$J$2,"가능","초과 "&amp;(Q180-$J$2)&amp;"일"))</f>
        <v/>
      </c>
      <c r="S180" s="36" t="n"/>
      <c r="T180" s="36" t="n"/>
      <c r="U180" s="36" t="n"/>
      <c r="V180" s="43" t="n"/>
      <c r="W180" s="41">
        <f>IF(OR(V180="",U180=""),"",V180+U180)</f>
        <v/>
      </c>
      <c r="X180" s="37" t="n"/>
      <c r="Y180" s="36" t="n"/>
      <c r="Z180" s="37" t="n"/>
    </row>
    <row r="181">
      <c r="A181" s="35">
        <f>IF(E181="","",ROW()-5)</f>
        <v/>
      </c>
      <c r="B181" s="36" t="n"/>
      <c r="C181" s="36" t="n"/>
      <c r="D181" s="36" t="n"/>
      <c r="E181" s="37" t="n"/>
      <c r="F181" s="37" t="n"/>
      <c r="G181" s="37" t="n"/>
      <c r="H181" s="37" t="n"/>
      <c r="I181" s="37" t="n"/>
      <c r="J181" s="36" t="n"/>
      <c r="K181" s="36" t="n"/>
      <c r="L181" s="36" t="n"/>
      <c r="M181" s="36" t="n"/>
      <c r="N181" s="38" t="n"/>
      <c r="O181" s="39">
        <f>IF(OR(N181="",J181=""),"",N181*J181)</f>
        <v/>
      </c>
      <c r="P181" s="40" t="n"/>
      <c r="Q181" s="41">
        <f>IF(OR(P181="",Y181="발주완료",Y181="취소"),"",TODAY()+P181)</f>
        <v/>
      </c>
      <c r="R181" s="35">
        <f>IF(OR(Q181="",NOT(ISNUMBER($J$2))),"",IF(Q181&lt;=$J$2,"가능","초과 "&amp;(Q181-$J$2)&amp;"일"))</f>
        <v/>
      </c>
      <c r="S181" s="36" t="n"/>
      <c r="T181" s="36" t="n"/>
      <c r="U181" s="36" t="n"/>
      <c r="V181" s="43" t="n"/>
      <c r="W181" s="41">
        <f>IF(OR(V181="",U181=""),"",V181+U181)</f>
        <v/>
      </c>
      <c r="X181" s="37" t="n"/>
      <c r="Y181" s="36" t="n"/>
      <c r="Z181" s="37" t="n"/>
    </row>
    <row r="182">
      <c r="A182" s="35">
        <f>IF(E182="","",ROW()-5)</f>
        <v/>
      </c>
      <c r="B182" s="36" t="n"/>
      <c r="C182" s="36" t="n"/>
      <c r="D182" s="36" t="n"/>
      <c r="E182" s="37" t="n"/>
      <c r="F182" s="37" t="n"/>
      <c r="G182" s="37" t="n"/>
      <c r="H182" s="37" t="n"/>
      <c r="I182" s="37" t="n"/>
      <c r="J182" s="36" t="n"/>
      <c r="K182" s="36" t="n"/>
      <c r="L182" s="36" t="n"/>
      <c r="M182" s="36" t="n"/>
      <c r="N182" s="38" t="n"/>
      <c r="O182" s="39">
        <f>IF(OR(N182="",J182=""),"",N182*J182)</f>
        <v/>
      </c>
      <c r="P182" s="40" t="n"/>
      <c r="Q182" s="41">
        <f>IF(OR(P182="",Y182="발주완료",Y182="취소"),"",TODAY()+P182)</f>
        <v/>
      </c>
      <c r="R182" s="35">
        <f>IF(OR(Q182="",NOT(ISNUMBER($J$2))),"",IF(Q182&lt;=$J$2,"가능","초과 "&amp;(Q182-$J$2)&amp;"일"))</f>
        <v/>
      </c>
      <c r="S182" s="36" t="n"/>
      <c r="T182" s="36" t="n"/>
      <c r="U182" s="36" t="n"/>
      <c r="V182" s="43" t="n"/>
      <c r="W182" s="41">
        <f>IF(OR(V182="",U182=""),"",V182+U182)</f>
        <v/>
      </c>
      <c r="X182" s="37" t="n"/>
      <c r="Y182" s="36" t="n"/>
      <c r="Z182" s="37" t="n"/>
    </row>
    <row r="183">
      <c r="A183" s="35">
        <f>IF(E183="","",ROW()-5)</f>
        <v/>
      </c>
      <c r="B183" s="36" t="n"/>
      <c r="C183" s="36" t="n"/>
      <c r="D183" s="36" t="n"/>
      <c r="E183" s="37" t="n"/>
      <c r="F183" s="37" t="n"/>
      <c r="G183" s="37" t="n"/>
      <c r="H183" s="37" t="n"/>
      <c r="I183" s="37" t="n"/>
      <c r="J183" s="36" t="n"/>
      <c r="K183" s="36" t="n"/>
      <c r="L183" s="36" t="n"/>
      <c r="M183" s="36" t="n"/>
      <c r="N183" s="38" t="n"/>
      <c r="O183" s="39">
        <f>IF(OR(N183="",J183=""),"",N183*J183)</f>
        <v/>
      </c>
      <c r="P183" s="40" t="n"/>
      <c r="Q183" s="41">
        <f>IF(OR(P183="",Y183="발주완료",Y183="취소"),"",TODAY()+P183)</f>
        <v/>
      </c>
      <c r="R183" s="35">
        <f>IF(OR(Q183="",NOT(ISNUMBER($J$2))),"",IF(Q183&lt;=$J$2,"가능","초과 "&amp;(Q183-$J$2)&amp;"일"))</f>
        <v/>
      </c>
      <c r="S183" s="36" t="n"/>
      <c r="T183" s="36" t="n"/>
      <c r="U183" s="36" t="n"/>
      <c r="V183" s="43" t="n"/>
      <c r="W183" s="41">
        <f>IF(OR(V183="",U183=""),"",V183+U183)</f>
        <v/>
      </c>
      <c r="X183" s="37" t="n"/>
      <c r="Y183" s="36" t="n"/>
      <c r="Z183" s="37" t="n"/>
    </row>
    <row r="184">
      <c r="A184" s="35">
        <f>IF(E184="","",ROW()-5)</f>
        <v/>
      </c>
      <c r="B184" s="36" t="n"/>
      <c r="C184" s="36" t="n"/>
      <c r="D184" s="36" t="n"/>
      <c r="E184" s="37" t="n"/>
      <c r="F184" s="37" t="n"/>
      <c r="G184" s="37" t="n"/>
      <c r="H184" s="37" t="n"/>
      <c r="I184" s="37" t="n"/>
      <c r="J184" s="36" t="n"/>
      <c r="K184" s="36" t="n"/>
      <c r="L184" s="36" t="n"/>
      <c r="M184" s="36" t="n"/>
      <c r="N184" s="38" t="n"/>
      <c r="O184" s="39">
        <f>IF(OR(N184="",J184=""),"",N184*J184)</f>
        <v/>
      </c>
      <c r="P184" s="40" t="n"/>
      <c r="Q184" s="41">
        <f>IF(OR(P184="",Y184="발주완료",Y184="취소"),"",TODAY()+P184)</f>
        <v/>
      </c>
      <c r="R184" s="35">
        <f>IF(OR(Q184="",NOT(ISNUMBER($J$2))),"",IF(Q184&lt;=$J$2,"가능","초과 "&amp;(Q184-$J$2)&amp;"일"))</f>
        <v/>
      </c>
      <c r="S184" s="36" t="n"/>
      <c r="T184" s="36" t="n"/>
      <c r="U184" s="36" t="n"/>
      <c r="V184" s="43" t="n"/>
      <c r="W184" s="41">
        <f>IF(OR(V184="",U184=""),"",V184+U184)</f>
        <v/>
      </c>
      <c r="X184" s="37" t="n"/>
      <c r="Y184" s="36" t="n"/>
      <c r="Z184" s="37" t="n"/>
    </row>
    <row r="185">
      <c r="A185" s="35">
        <f>IF(E185="","",ROW()-5)</f>
        <v/>
      </c>
      <c r="B185" s="36" t="n"/>
      <c r="C185" s="36" t="n"/>
      <c r="D185" s="36" t="n"/>
      <c r="E185" s="37" t="n"/>
      <c r="F185" s="37" t="n"/>
      <c r="G185" s="37" t="n"/>
      <c r="H185" s="37" t="n"/>
      <c r="I185" s="37" t="n"/>
      <c r="J185" s="36" t="n"/>
      <c r="K185" s="36" t="n"/>
      <c r="L185" s="36" t="n"/>
      <c r="M185" s="36" t="n"/>
      <c r="N185" s="38" t="n"/>
      <c r="O185" s="39">
        <f>IF(OR(N185="",J185=""),"",N185*J185)</f>
        <v/>
      </c>
      <c r="P185" s="40" t="n"/>
      <c r="Q185" s="41">
        <f>IF(OR(P185="",Y185="발주완료",Y185="취소"),"",TODAY()+P185)</f>
        <v/>
      </c>
      <c r="R185" s="35">
        <f>IF(OR(Q185="",NOT(ISNUMBER($J$2))),"",IF(Q185&lt;=$J$2,"가능","초과 "&amp;(Q185-$J$2)&amp;"일"))</f>
        <v/>
      </c>
      <c r="S185" s="36" t="n"/>
      <c r="T185" s="36" t="n"/>
      <c r="U185" s="36" t="n"/>
      <c r="V185" s="43" t="n"/>
      <c r="W185" s="41">
        <f>IF(OR(V185="",U185=""),"",V185+U185)</f>
        <v/>
      </c>
      <c r="X185" s="37" t="n"/>
      <c r="Y185" s="36" t="n"/>
      <c r="Z185" s="37" t="n"/>
    </row>
    <row r="186">
      <c r="A186" s="35">
        <f>IF(E186="","",ROW()-5)</f>
        <v/>
      </c>
      <c r="B186" s="36" t="n"/>
      <c r="C186" s="36" t="n"/>
      <c r="D186" s="36" t="n"/>
      <c r="E186" s="37" t="n"/>
      <c r="F186" s="37" t="n"/>
      <c r="G186" s="37" t="n"/>
      <c r="H186" s="37" t="n"/>
      <c r="I186" s="37" t="n"/>
      <c r="J186" s="36" t="n"/>
      <c r="K186" s="36" t="n"/>
      <c r="L186" s="36" t="n"/>
      <c r="M186" s="36" t="n"/>
      <c r="N186" s="38" t="n"/>
      <c r="O186" s="39">
        <f>IF(OR(N186="",J186=""),"",N186*J186)</f>
        <v/>
      </c>
      <c r="P186" s="40" t="n"/>
      <c r="Q186" s="41">
        <f>IF(OR(P186="",Y186="발주완료",Y186="취소"),"",TODAY()+P186)</f>
        <v/>
      </c>
      <c r="R186" s="35">
        <f>IF(OR(Q186="",NOT(ISNUMBER($J$2))),"",IF(Q186&lt;=$J$2,"가능","초과 "&amp;(Q186-$J$2)&amp;"일"))</f>
        <v/>
      </c>
      <c r="S186" s="36" t="n"/>
      <c r="T186" s="36" t="n"/>
      <c r="U186" s="36" t="n"/>
      <c r="V186" s="43" t="n"/>
      <c r="W186" s="41">
        <f>IF(OR(V186="",U186=""),"",V186+U186)</f>
        <v/>
      </c>
      <c r="X186" s="37" t="n"/>
      <c r="Y186" s="36" t="n"/>
      <c r="Z186" s="37" t="n"/>
    </row>
    <row r="187">
      <c r="A187" s="35">
        <f>IF(E187="","",ROW()-5)</f>
        <v/>
      </c>
      <c r="B187" s="36" t="n"/>
      <c r="C187" s="36" t="n"/>
      <c r="D187" s="36" t="n"/>
      <c r="E187" s="37" t="n"/>
      <c r="F187" s="37" t="n"/>
      <c r="G187" s="37" t="n"/>
      <c r="H187" s="37" t="n"/>
      <c r="I187" s="37" t="n"/>
      <c r="J187" s="36" t="n"/>
      <c r="K187" s="36" t="n"/>
      <c r="L187" s="36" t="n"/>
      <c r="M187" s="36" t="n"/>
      <c r="N187" s="38" t="n"/>
      <c r="O187" s="39">
        <f>IF(OR(N187="",J187=""),"",N187*J187)</f>
        <v/>
      </c>
      <c r="P187" s="40" t="n"/>
      <c r="Q187" s="41">
        <f>IF(OR(P187="",Y187="발주완료",Y187="취소"),"",TODAY()+P187)</f>
        <v/>
      </c>
      <c r="R187" s="35">
        <f>IF(OR(Q187="",NOT(ISNUMBER($J$2))),"",IF(Q187&lt;=$J$2,"가능","초과 "&amp;(Q187-$J$2)&amp;"일"))</f>
        <v/>
      </c>
      <c r="S187" s="36" t="n"/>
      <c r="T187" s="36" t="n"/>
      <c r="U187" s="36" t="n"/>
      <c r="V187" s="43" t="n"/>
      <c r="W187" s="41">
        <f>IF(OR(V187="",U187=""),"",V187+U187)</f>
        <v/>
      </c>
      <c r="X187" s="37" t="n"/>
      <c r="Y187" s="36" t="n"/>
      <c r="Z187" s="37" t="n"/>
    </row>
    <row r="188">
      <c r="A188" s="35">
        <f>IF(E188="","",ROW()-5)</f>
        <v/>
      </c>
      <c r="B188" s="36" t="n"/>
      <c r="C188" s="36" t="n"/>
      <c r="D188" s="36" t="n"/>
      <c r="E188" s="37" t="n"/>
      <c r="F188" s="37" t="n"/>
      <c r="G188" s="37" t="n"/>
      <c r="H188" s="37" t="n"/>
      <c r="I188" s="37" t="n"/>
      <c r="J188" s="36" t="n"/>
      <c r="K188" s="36" t="n"/>
      <c r="L188" s="36" t="n"/>
      <c r="M188" s="36" t="n"/>
      <c r="N188" s="38" t="n"/>
      <c r="O188" s="39">
        <f>IF(OR(N188="",J188=""),"",N188*J188)</f>
        <v/>
      </c>
      <c r="P188" s="40" t="n"/>
      <c r="Q188" s="41">
        <f>IF(OR(P188="",Y188="발주완료",Y188="취소"),"",TODAY()+P188)</f>
        <v/>
      </c>
      <c r="R188" s="35">
        <f>IF(OR(Q188="",NOT(ISNUMBER($J$2))),"",IF(Q188&lt;=$J$2,"가능","초과 "&amp;(Q188-$J$2)&amp;"일"))</f>
        <v/>
      </c>
      <c r="S188" s="36" t="n"/>
      <c r="T188" s="36" t="n"/>
      <c r="U188" s="36" t="n"/>
      <c r="V188" s="43" t="n"/>
      <c r="W188" s="41">
        <f>IF(OR(V188="",U188=""),"",V188+U188)</f>
        <v/>
      </c>
      <c r="X188" s="37" t="n"/>
      <c r="Y188" s="36" t="n"/>
      <c r="Z188" s="37" t="n"/>
    </row>
    <row r="189">
      <c r="A189" s="35">
        <f>IF(E189="","",ROW()-5)</f>
        <v/>
      </c>
      <c r="B189" s="36" t="n"/>
      <c r="C189" s="36" t="n"/>
      <c r="D189" s="36" t="n"/>
      <c r="E189" s="37" t="n"/>
      <c r="F189" s="37" t="n"/>
      <c r="G189" s="37" t="n"/>
      <c r="H189" s="37" t="n"/>
      <c r="I189" s="37" t="n"/>
      <c r="J189" s="36" t="n"/>
      <c r="K189" s="36" t="n"/>
      <c r="L189" s="36" t="n"/>
      <c r="M189" s="36" t="n"/>
      <c r="N189" s="38" t="n"/>
      <c r="O189" s="39">
        <f>IF(OR(N189="",J189=""),"",N189*J189)</f>
        <v/>
      </c>
      <c r="P189" s="40" t="n"/>
      <c r="Q189" s="41">
        <f>IF(OR(P189="",Y189="발주완료",Y189="취소"),"",TODAY()+P189)</f>
        <v/>
      </c>
      <c r="R189" s="35">
        <f>IF(OR(Q189="",NOT(ISNUMBER($J$2))),"",IF(Q189&lt;=$J$2,"가능","초과 "&amp;(Q189-$J$2)&amp;"일"))</f>
        <v/>
      </c>
      <c r="S189" s="36" t="n"/>
      <c r="T189" s="36" t="n"/>
      <c r="U189" s="36" t="n"/>
      <c r="V189" s="43" t="n"/>
      <c r="W189" s="41">
        <f>IF(OR(V189="",U189=""),"",V189+U189)</f>
        <v/>
      </c>
      <c r="X189" s="37" t="n"/>
      <c r="Y189" s="36" t="n"/>
      <c r="Z189" s="37" t="n"/>
    </row>
    <row r="190">
      <c r="A190" s="35">
        <f>IF(E190="","",ROW()-5)</f>
        <v/>
      </c>
      <c r="B190" s="36" t="n"/>
      <c r="C190" s="36" t="n"/>
      <c r="D190" s="36" t="n"/>
      <c r="E190" s="37" t="n"/>
      <c r="F190" s="37" t="n"/>
      <c r="G190" s="37" t="n"/>
      <c r="H190" s="37" t="n"/>
      <c r="I190" s="37" t="n"/>
      <c r="J190" s="36" t="n"/>
      <c r="K190" s="36" t="n"/>
      <c r="L190" s="36" t="n"/>
      <c r="M190" s="36" t="n"/>
      <c r="N190" s="38" t="n"/>
      <c r="O190" s="39">
        <f>IF(OR(N190="",J190=""),"",N190*J190)</f>
        <v/>
      </c>
      <c r="P190" s="40" t="n"/>
      <c r="Q190" s="41">
        <f>IF(OR(P190="",Y190="발주완료",Y190="취소"),"",TODAY()+P190)</f>
        <v/>
      </c>
      <c r="R190" s="35">
        <f>IF(OR(Q190="",NOT(ISNUMBER($J$2))),"",IF(Q190&lt;=$J$2,"가능","초과 "&amp;(Q190-$J$2)&amp;"일"))</f>
        <v/>
      </c>
      <c r="S190" s="36" t="n"/>
      <c r="T190" s="36" t="n"/>
      <c r="U190" s="36" t="n"/>
      <c r="V190" s="43" t="n"/>
      <c r="W190" s="41">
        <f>IF(OR(V190="",U190=""),"",V190+U190)</f>
        <v/>
      </c>
      <c r="X190" s="37" t="n"/>
      <c r="Y190" s="36" t="n"/>
      <c r="Z190" s="37" t="n"/>
    </row>
    <row r="191">
      <c r="A191" s="35">
        <f>IF(E191="","",ROW()-5)</f>
        <v/>
      </c>
      <c r="B191" s="36" t="n"/>
      <c r="C191" s="36" t="n"/>
      <c r="D191" s="36" t="n"/>
      <c r="E191" s="37" t="n"/>
      <c r="F191" s="37" t="n"/>
      <c r="G191" s="37" t="n"/>
      <c r="H191" s="37" t="n"/>
      <c r="I191" s="37" t="n"/>
      <c r="J191" s="36" t="n"/>
      <c r="K191" s="36" t="n"/>
      <c r="L191" s="36" t="n"/>
      <c r="M191" s="36" t="n"/>
      <c r="N191" s="38" t="n"/>
      <c r="O191" s="39">
        <f>IF(OR(N191="",J191=""),"",N191*J191)</f>
        <v/>
      </c>
      <c r="P191" s="40" t="n"/>
      <c r="Q191" s="41">
        <f>IF(OR(P191="",Y191="발주완료",Y191="취소"),"",TODAY()+P191)</f>
        <v/>
      </c>
      <c r="R191" s="35">
        <f>IF(OR(Q191="",NOT(ISNUMBER($J$2))),"",IF(Q191&lt;=$J$2,"가능","초과 "&amp;(Q191-$J$2)&amp;"일"))</f>
        <v/>
      </c>
      <c r="S191" s="36" t="n"/>
      <c r="T191" s="36" t="n"/>
      <c r="U191" s="36" t="n"/>
      <c r="V191" s="43" t="n"/>
      <c r="W191" s="41">
        <f>IF(OR(V191="",U191=""),"",V191+U191)</f>
        <v/>
      </c>
      <c r="X191" s="37" t="n"/>
      <c r="Y191" s="36" t="n"/>
      <c r="Z191" s="37" t="n"/>
    </row>
    <row r="192">
      <c r="A192" s="35">
        <f>IF(E192="","",ROW()-5)</f>
        <v/>
      </c>
      <c r="B192" s="36" t="n"/>
      <c r="C192" s="36" t="n"/>
      <c r="D192" s="36" t="n"/>
      <c r="E192" s="37" t="n"/>
      <c r="F192" s="37" t="n"/>
      <c r="G192" s="37" t="n"/>
      <c r="H192" s="37" t="n"/>
      <c r="I192" s="37" t="n"/>
      <c r="J192" s="36" t="n"/>
      <c r="K192" s="36" t="n"/>
      <c r="L192" s="36" t="n"/>
      <c r="M192" s="36" t="n"/>
      <c r="N192" s="38" t="n"/>
      <c r="O192" s="39">
        <f>IF(OR(N192="",J192=""),"",N192*J192)</f>
        <v/>
      </c>
      <c r="P192" s="40" t="n"/>
      <c r="Q192" s="41">
        <f>IF(OR(P192="",Y192="발주완료",Y192="취소"),"",TODAY()+P192)</f>
        <v/>
      </c>
      <c r="R192" s="35">
        <f>IF(OR(Q192="",NOT(ISNUMBER($J$2))),"",IF(Q192&lt;=$J$2,"가능","초과 "&amp;(Q192-$J$2)&amp;"일"))</f>
        <v/>
      </c>
      <c r="S192" s="36" t="n"/>
      <c r="T192" s="36" t="n"/>
      <c r="U192" s="36" t="n"/>
      <c r="V192" s="43" t="n"/>
      <c r="W192" s="41">
        <f>IF(OR(V192="",U192=""),"",V192+U192)</f>
        <v/>
      </c>
      <c r="X192" s="37" t="n"/>
      <c r="Y192" s="36" t="n"/>
      <c r="Z192" s="37" t="n"/>
    </row>
    <row r="193">
      <c r="A193" s="35">
        <f>IF(E193="","",ROW()-5)</f>
        <v/>
      </c>
      <c r="B193" s="36" t="n"/>
      <c r="C193" s="36" t="n"/>
      <c r="D193" s="36" t="n"/>
      <c r="E193" s="37" t="n"/>
      <c r="F193" s="37" t="n"/>
      <c r="G193" s="37" t="n"/>
      <c r="H193" s="37" t="n"/>
      <c r="I193" s="37" t="n"/>
      <c r="J193" s="36" t="n"/>
      <c r="K193" s="36" t="n"/>
      <c r="L193" s="36" t="n"/>
      <c r="M193" s="36" t="n"/>
      <c r="N193" s="38" t="n"/>
      <c r="O193" s="39">
        <f>IF(OR(N193="",J193=""),"",N193*J193)</f>
        <v/>
      </c>
      <c r="P193" s="40" t="n"/>
      <c r="Q193" s="41">
        <f>IF(OR(P193="",Y193="발주완료",Y193="취소"),"",TODAY()+P193)</f>
        <v/>
      </c>
      <c r="R193" s="35">
        <f>IF(OR(Q193="",NOT(ISNUMBER($J$2))),"",IF(Q193&lt;=$J$2,"가능","초과 "&amp;(Q193-$J$2)&amp;"일"))</f>
        <v/>
      </c>
      <c r="S193" s="36" t="n"/>
      <c r="T193" s="36" t="n"/>
      <c r="U193" s="36" t="n"/>
      <c r="V193" s="43" t="n"/>
      <c r="W193" s="41">
        <f>IF(OR(V193="",U193=""),"",V193+U193)</f>
        <v/>
      </c>
      <c r="X193" s="37" t="n"/>
      <c r="Y193" s="36" t="n"/>
      <c r="Z193" s="37" t="n"/>
    </row>
    <row r="194">
      <c r="A194" s="35">
        <f>IF(E194="","",ROW()-5)</f>
        <v/>
      </c>
      <c r="B194" s="36" t="n"/>
      <c r="C194" s="36" t="n"/>
      <c r="D194" s="36" t="n"/>
      <c r="E194" s="37" t="n"/>
      <c r="F194" s="37" t="n"/>
      <c r="G194" s="37" t="n"/>
      <c r="H194" s="37" t="n"/>
      <c r="I194" s="37" t="n"/>
      <c r="J194" s="36" t="n"/>
      <c r="K194" s="36" t="n"/>
      <c r="L194" s="36" t="n"/>
      <c r="M194" s="36" t="n"/>
      <c r="N194" s="38" t="n"/>
      <c r="O194" s="39">
        <f>IF(OR(N194="",J194=""),"",N194*J194)</f>
        <v/>
      </c>
      <c r="P194" s="40" t="n"/>
      <c r="Q194" s="41">
        <f>IF(OR(P194="",Y194="발주완료",Y194="취소"),"",TODAY()+P194)</f>
        <v/>
      </c>
      <c r="R194" s="35">
        <f>IF(OR(Q194="",NOT(ISNUMBER($J$2))),"",IF(Q194&lt;=$J$2,"가능","초과 "&amp;(Q194-$J$2)&amp;"일"))</f>
        <v/>
      </c>
      <c r="S194" s="36" t="n"/>
      <c r="T194" s="36" t="n"/>
      <c r="U194" s="36" t="n"/>
      <c r="V194" s="43" t="n"/>
      <c r="W194" s="41">
        <f>IF(OR(V194="",U194=""),"",V194+U194)</f>
        <v/>
      </c>
      <c r="X194" s="37" t="n"/>
      <c r="Y194" s="36" t="n"/>
      <c r="Z194" s="37" t="n"/>
    </row>
    <row r="195">
      <c r="A195" s="35">
        <f>IF(E195="","",ROW()-5)</f>
        <v/>
      </c>
      <c r="B195" s="36" t="n"/>
      <c r="C195" s="36" t="n"/>
      <c r="D195" s="36" t="n"/>
      <c r="E195" s="37" t="n"/>
      <c r="F195" s="37" t="n"/>
      <c r="G195" s="37" t="n"/>
      <c r="H195" s="37" t="n"/>
      <c r="I195" s="37" t="n"/>
      <c r="J195" s="36" t="n"/>
      <c r="K195" s="36" t="n"/>
      <c r="L195" s="36" t="n"/>
      <c r="M195" s="36" t="n"/>
      <c r="N195" s="38" t="n"/>
      <c r="O195" s="39">
        <f>IF(OR(N195="",J195=""),"",N195*J195)</f>
        <v/>
      </c>
      <c r="P195" s="40" t="n"/>
      <c r="Q195" s="41">
        <f>IF(OR(P195="",Y195="발주완료",Y195="취소"),"",TODAY()+P195)</f>
        <v/>
      </c>
      <c r="R195" s="35">
        <f>IF(OR(Q195="",NOT(ISNUMBER($J$2))),"",IF(Q195&lt;=$J$2,"가능","초과 "&amp;(Q195-$J$2)&amp;"일"))</f>
        <v/>
      </c>
      <c r="S195" s="36" t="n"/>
      <c r="T195" s="36" t="n"/>
      <c r="U195" s="36" t="n"/>
      <c r="V195" s="43" t="n"/>
      <c r="W195" s="41">
        <f>IF(OR(V195="",U195=""),"",V195+U195)</f>
        <v/>
      </c>
      <c r="X195" s="37" t="n"/>
      <c r="Y195" s="36" t="n"/>
      <c r="Z195" s="37" t="n"/>
    </row>
    <row r="196">
      <c r="A196" s="35">
        <f>IF(E196="","",ROW()-5)</f>
        <v/>
      </c>
      <c r="B196" s="36" t="n"/>
      <c r="C196" s="36" t="n"/>
      <c r="D196" s="36" t="n"/>
      <c r="E196" s="37" t="n"/>
      <c r="F196" s="37" t="n"/>
      <c r="G196" s="37" t="n"/>
      <c r="H196" s="37" t="n"/>
      <c r="I196" s="37" t="n"/>
      <c r="J196" s="36" t="n"/>
      <c r="K196" s="36" t="n"/>
      <c r="L196" s="36" t="n"/>
      <c r="M196" s="36" t="n"/>
      <c r="N196" s="38" t="n"/>
      <c r="O196" s="39">
        <f>IF(OR(N196="",J196=""),"",N196*J196)</f>
        <v/>
      </c>
      <c r="P196" s="40" t="n"/>
      <c r="Q196" s="41">
        <f>IF(OR(P196="",Y196="발주완료",Y196="취소"),"",TODAY()+P196)</f>
        <v/>
      </c>
      <c r="R196" s="35">
        <f>IF(OR(Q196="",NOT(ISNUMBER($J$2))),"",IF(Q196&lt;=$J$2,"가능","초과 "&amp;(Q196-$J$2)&amp;"일"))</f>
        <v/>
      </c>
      <c r="S196" s="36" t="n"/>
      <c r="T196" s="36" t="n"/>
      <c r="U196" s="36" t="n"/>
      <c r="V196" s="43" t="n"/>
      <c r="W196" s="41">
        <f>IF(OR(V196="",U196=""),"",V196+U196)</f>
        <v/>
      </c>
      <c r="X196" s="37" t="n"/>
      <c r="Y196" s="36" t="n"/>
      <c r="Z196" s="37" t="n"/>
    </row>
    <row r="197">
      <c r="A197" s="35">
        <f>IF(E197="","",ROW()-5)</f>
        <v/>
      </c>
      <c r="B197" s="36" t="n"/>
      <c r="C197" s="36" t="n"/>
      <c r="D197" s="36" t="n"/>
      <c r="E197" s="37" t="n"/>
      <c r="F197" s="37" t="n"/>
      <c r="G197" s="37" t="n"/>
      <c r="H197" s="37" t="n"/>
      <c r="I197" s="37" t="n"/>
      <c r="J197" s="36" t="n"/>
      <c r="K197" s="36" t="n"/>
      <c r="L197" s="36" t="n"/>
      <c r="M197" s="36" t="n"/>
      <c r="N197" s="38" t="n"/>
      <c r="O197" s="39">
        <f>IF(OR(N197="",J197=""),"",N197*J197)</f>
        <v/>
      </c>
      <c r="P197" s="40" t="n"/>
      <c r="Q197" s="41">
        <f>IF(OR(P197="",Y197="발주완료",Y197="취소"),"",TODAY()+P197)</f>
        <v/>
      </c>
      <c r="R197" s="35">
        <f>IF(OR(Q197="",NOT(ISNUMBER($J$2))),"",IF(Q197&lt;=$J$2,"가능","초과 "&amp;(Q197-$J$2)&amp;"일"))</f>
        <v/>
      </c>
      <c r="S197" s="36" t="n"/>
      <c r="T197" s="36" t="n"/>
      <c r="U197" s="36" t="n"/>
      <c r="V197" s="43" t="n"/>
      <c r="W197" s="41">
        <f>IF(OR(V197="",U197=""),"",V197+U197)</f>
        <v/>
      </c>
      <c r="X197" s="37" t="n"/>
      <c r="Y197" s="36" t="n"/>
      <c r="Z197" s="37" t="n"/>
    </row>
    <row r="198">
      <c r="A198" s="35">
        <f>IF(E198="","",ROW()-5)</f>
        <v/>
      </c>
      <c r="B198" s="36" t="n"/>
      <c r="C198" s="36" t="n"/>
      <c r="D198" s="36" t="n"/>
      <c r="E198" s="37" t="n"/>
      <c r="F198" s="37" t="n"/>
      <c r="G198" s="37" t="n"/>
      <c r="H198" s="37" t="n"/>
      <c r="I198" s="37" t="n"/>
      <c r="J198" s="36" t="n"/>
      <c r="K198" s="36" t="n"/>
      <c r="L198" s="36" t="n"/>
      <c r="M198" s="36" t="n"/>
      <c r="N198" s="38" t="n"/>
      <c r="O198" s="39">
        <f>IF(OR(N198="",J198=""),"",N198*J198)</f>
        <v/>
      </c>
      <c r="P198" s="40" t="n"/>
      <c r="Q198" s="41">
        <f>IF(OR(P198="",Y198="발주완료",Y198="취소"),"",TODAY()+P198)</f>
        <v/>
      </c>
      <c r="R198" s="35">
        <f>IF(OR(Q198="",NOT(ISNUMBER($J$2))),"",IF(Q198&lt;=$J$2,"가능","초과 "&amp;(Q198-$J$2)&amp;"일"))</f>
        <v/>
      </c>
      <c r="S198" s="36" t="n"/>
      <c r="T198" s="36" t="n"/>
      <c r="U198" s="36" t="n"/>
      <c r="V198" s="43" t="n"/>
      <c r="W198" s="41">
        <f>IF(OR(V198="",U198=""),"",V198+U198)</f>
        <v/>
      </c>
      <c r="X198" s="37" t="n"/>
      <c r="Y198" s="36" t="n"/>
      <c r="Z198" s="37" t="n"/>
    </row>
    <row r="199">
      <c r="A199" s="35">
        <f>IF(E199="","",ROW()-5)</f>
        <v/>
      </c>
      <c r="B199" s="36" t="n"/>
      <c r="C199" s="36" t="n"/>
      <c r="D199" s="36" t="n"/>
      <c r="E199" s="37" t="n"/>
      <c r="F199" s="37" t="n"/>
      <c r="G199" s="37" t="n"/>
      <c r="H199" s="37" t="n"/>
      <c r="I199" s="37" t="n"/>
      <c r="J199" s="36" t="n"/>
      <c r="K199" s="36" t="n"/>
      <c r="L199" s="36" t="n"/>
      <c r="M199" s="36" t="n"/>
      <c r="N199" s="38" t="n"/>
      <c r="O199" s="39">
        <f>IF(OR(N199="",J199=""),"",N199*J199)</f>
        <v/>
      </c>
      <c r="P199" s="40" t="n"/>
      <c r="Q199" s="41">
        <f>IF(OR(P199="",Y199="발주완료",Y199="취소"),"",TODAY()+P199)</f>
        <v/>
      </c>
      <c r="R199" s="35">
        <f>IF(OR(Q199="",NOT(ISNUMBER($J$2))),"",IF(Q199&lt;=$J$2,"가능","초과 "&amp;(Q199-$J$2)&amp;"일"))</f>
        <v/>
      </c>
      <c r="S199" s="36" t="n"/>
      <c r="T199" s="36" t="n"/>
      <c r="U199" s="36" t="n"/>
      <c r="V199" s="43" t="n"/>
      <c r="W199" s="41">
        <f>IF(OR(V199="",U199=""),"",V199+U199)</f>
        <v/>
      </c>
      <c r="X199" s="37" t="n"/>
      <c r="Y199" s="36" t="n"/>
      <c r="Z199" s="37" t="n"/>
    </row>
    <row r="200">
      <c r="A200" s="35">
        <f>IF(E200="","",ROW()-5)</f>
        <v/>
      </c>
      <c r="B200" s="36" t="n"/>
      <c r="C200" s="36" t="n"/>
      <c r="D200" s="36" t="n"/>
      <c r="E200" s="37" t="n"/>
      <c r="F200" s="37" t="n"/>
      <c r="G200" s="37" t="n"/>
      <c r="H200" s="37" t="n"/>
      <c r="I200" s="37" t="n"/>
      <c r="J200" s="36" t="n"/>
      <c r="K200" s="36" t="n"/>
      <c r="L200" s="36" t="n"/>
      <c r="M200" s="36" t="n"/>
      <c r="N200" s="38" t="n"/>
      <c r="O200" s="39">
        <f>IF(OR(N200="",J200=""),"",N200*J200)</f>
        <v/>
      </c>
      <c r="P200" s="40" t="n"/>
      <c r="Q200" s="41">
        <f>IF(OR(P200="",Y200="발주완료",Y200="취소"),"",TODAY()+P200)</f>
        <v/>
      </c>
      <c r="R200" s="35">
        <f>IF(OR(Q200="",NOT(ISNUMBER($J$2))),"",IF(Q200&lt;=$J$2,"가능","초과 "&amp;(Q200-$J$2)&amp;"일"))</f>
        <v/>
      </c>
      <c r="S200" s="36" t="n"/>
      <c r="T200" s="36" t="n"/>
      <c r="U200" s="36" t="n"/>
      <c r="V200" s="43" t="n"/>
      <c r="W200" s="41">
        <f>IF(OR(V200="",U200=""),"",V200+U200)</f>
        <v/>
      </c>
      <c r="X200" s="37" t="n"/>
      <c r="Y200" s="36" t="n"/>
      <c r="Z200" s="37" t="n"/>
    </row>
    <row r="201">
      <c r="A201" s="35">
        <f>IF(E201="","",ROW()-5)</f>
        <v/>
      </c>
      <c r="B201" s="36" t="n"/>
      <c r="C201" s="36" t="n"/>
      <c r="D201" s="36" t="n"/>
      <c r="E201" s="37" t="n"/>
      <c r="F201" s="37" t="n"/>
      <c r="G201" s="37" t="n"/>
      <c r="H201" s="37" t="n"/>
      <c r="I201" s="37" t="n"/>
      <c r="J201" s="36" t="n"/>
      <c r="K201" s="36" t="n"/>
      <c r="L201" s="36" t="n"/>
      <c r="M201" s="36" t="n"/>
      <c r="N201" s="38" t="n"/>
      <c r="O201" s="39">
        <f>IF(OR(N201="",J201=""),"",N201*J201)</f>
        <v/>
      </c>
      <c r="P201" s="40" t="n"/>
      <c r="Q201" s="41">
        <f>IF(OR(P201="",Y201="발주완료",Y201="취소"),"",TODAY()+P201)</f>
        <v/>
      </c>
      <c r="R201" s="35">
        <f>IF(OR(Q201="",NOT(ISNUMBER($J$2))),"",IF(Q201&lt;=$J$2,"가능","초과 "&amp;(Q201-$J$2)&amp;"일"))</f>
        <v/>
      </c>
      <c r="S201" s="36" t="n"/>
      <c r="T201" s="36" t="n"/>
      <c r="U201" s="36" t="n"/>
      <c r="V201" s="43" t="n"/>
      <c r="W201" s="41">
        <f>IF(OR(V201="",U201=""),"",V201+U201)</f>
        <v/>
      </c>
      <c r="X201" s="37" t="n"/>
      <c r="Y201" s="36" t="n"/>
      <c r="Z201" s="37" t="n"/>
    </row>
    <row r="202">
      <c r="A202" s="35">
        <f>IF(E202="","",ROW()-5)</f>
        <v/>
      </c>
      <c r="B202" s="36" t="n"/>
      <c r="C202" s="36" t="n"/>
      <c r="D202" s="36" t="n"/>
      <c r="E202" s="37" t="n"/>
      <c r="F202" s="37" t="n"/>
      <c r="G202" s="37" t="n"/>
      <c r="H202" s="37" t="n"/>
      <c r="I202" s="37" t="n"/>
      <c r="J202" s="36" t="n"/>
      <c r="K202" s="36" t="n"/>
      <c r="L202" s="36" t="n"/>
      <c r="M202" s="36" t="n"/>
      <c r="N202" s="38" t="n"/>
      <c r="O202" s="39">
        <f>IF(OR(N202="",J202=""),"",N202*J202)</f>
        <v/>
      </c>
      <c r="P202" s="40" t="n"/>
      <c r="Q202" s="41">
        <f>IF(OR(P202="",Y202="발주완료",Y202="취소"),"",TODAY()+P202)</f>
        <v/>
      </c>
      <c r="R202" s="35">
        <f>IF(OR(Q202="",NOT(ISNUMBER($J$2))),"",IF(Q202&lt;=$J$2,"가능","초과 "&amp;(Q202-$J$2)&amp;"일"))</f>
        <v/>
      </c>
      <c r="S202" s="36" t="n"/>
      <c r="T202" s="36" t="n"/>
      <c r="U202" s="36" t="n"/>
      <c r="V202" s="43" t="n"/>
      <c r="W202" s="41">
        <f>IF(OR(V202="",U202=""),"",V202+U202)</f>
        <v/>
      </c>
      <c r="X202" s="37" t="n"/>
      <c r="Y202" s="36" t="n"/>
      <c r="Z202" s="37" t="n"/>
    </row>
    <row r="203">
      <c r="A203" s="35">
        <f>IF(E203="","",ROW()-5)</f>
        <v/>
      </c>
      <c r="B203" s="36" t="n"/>
      <c r="C203" s="36" t="n"/>
      <c r="D203" s="36" t="n"/>
      <c r="E203" s="37" t="n"/>
      <c r="F203" s="37" t="n"/>
      <c r="G203" s="37" t="n"/>
      <c r="H203" s="37" t="n"/>
      <c r="I203" s="37" t="n"/>
      <c r="J203" s="36" t="n"/>
      <c r="K203" s="36" t="n"/>
      <c r="L203" s="36" t="n"/>
      <c r="M203" s="36" t="n"/>
      <c r="N203" s="38" t="n"/>
      <c r="O203" s="39">
        <f>IF(OR(N203="",J203=""),"",N203*J203)</f>
        <v/>
      </c>
      <c r="P203" s="40" t="n"/>
      <c r="Q203" s="41">
        <f>IF(OR(P203="",Y203="발주완료",Y203="취소"),"",TODAY()+P203)</f>
        <v/>
      </c>
      <c r="R203" s="35">
        <f>IF(OR(Q203="",NOT(ISNUMBER($J$2))),"",IF(Q203&lt;=$J$2,"가능","초과 "&amp;(Q203-$J$2)&amp;"일"))</f>
        <v/>
      </c>
      <c r="S203" s="36" t="n"/>
      <c r="T203" s="36" t="n"/>
      <c r="U203" s="36" t="n"/>
      <c r="V203" s="43" t="n"/>
      <c r="W203" s="41">
        <f>IF(OR(V203="",U203=""),"",V203+U203)</f>
        <v/>
      </c>
      <c r="X203" s="37" t="n"/>
      <c r="Y203" s="36" t="n"/>
      <c r="Z203" s="37" t="n"/>
    </row>
    <row r="204">
      <c r="A204" s="35">
        <f>IF(E204="","",ROW()-5)</f>
        <v/>
      </c>
      <c r="B204" s="36" t="n"/>
      <c r="C204" s="36" t="n"/>
      <c r="D204" s="36" t="n"/>
      <c r="E204" s="37" t="n"/>
      <c r="F204" s="37" t="n"/>
      <c r="G204" s="37" t="n"/>
      <c r="H204" s="37" t="n"/>
      <c r="I204" s="37" t="n"/>
      <c r="J204" s="36" t="n"/>
      <c r="K204" s="36" t="n"/>
      <c r="L204" s="36" t="n"/>
      <c r="M204" s="36" t="n"/>
      <c r="N204" s="38" t="n"/>
      <c r="O204" s="39">
        <f>IF(OR(N204="",J204=""),"",N204*J204)</f>
        <v/>
      </c>
      <c r="P204" s="40" t="n"/>
      <c r="Q204" s="41">
        <f>IF(OR(P204="",Y204="발주완료",Y204="취소"),"",TODAY()+P204)</f>
        <v/>
      </c>
      <c r="R204" s="35">
        <f>IF(OR(Q204="",NOT(ISNUMBER($J$2))),"",IF(Q204&lt;=$J$2,"가능","초과 "&amp;(Q204-$J$2)&amp;"일"))</f>
        <v/>
      </c>
      <c r="S204" s="36" t="n"/>
      <c r="T204" s="36" t="n"/>
      <c r="U204" s="36" t="n"/>
      <c r="V204" s="43" t="n"/>
      <c r="W204" s="41">
        <f>IF(OR(V204="",U204=""),"",V204+U204)</f>
        <v/>
      </c>
      <c r="X204" s="37" t="n"/>
      <c r="Y204" s="36" t="n"/>
      <c r="Z204" s="37" t="n"/>
    </row>
    <row r="205">
      <c r="A205" s="35">
        <f>IF(E205="","",ROW()-5)</f>
        <v/>
      </c>
      <c r="B205" s="36" t="n"/>
      <c r="C205" s="36" t="n"/>
      <c r="D205" s="36" t="n"/>
      <c r="E205" s="37" t="n"/>
      <c r="F205" s="37" t="n"/>
      <c r="G205" s="37" t="n"/>
      <c r="H205" s="37" t="n"/>
      <c r="I205" s="37" t="n"/>
      <c r="J205" s="36" t="n"/>
      <c r="K205" s="36" t="n"/>
      <c r="L205" s="36" t="n"/>
      <c r="M205" s="36" t="n"/>
      <c r="N205" s="38" t="n"/>
      <c r="O205" s="39">
        <f>IF(OR(N205="",J205=""),"",N205*J205)</f>
        <v/>
      </c>
      <c r="P205" s="40" t="n"/>
      <c r="Q205" s="41">
        <f>IF(OR(P205="",Y205="발주완료",Y205="취소"),"",TODAY()+P205)</f>
        <v/>
      </c>
      <c r="R205" s="35">
        <f>IF(OR(Q205="",NOT(ISNUMBER($J$2))),"",IF(Q205&lt;=$J$2,"가능","초과 "&amp;(Q205-$J$2)&amp;"일"))</f>
        <v/>
      </c>
      <c r="S205" s="36" t="n"/>
      <c r="T205" s="36" t="n"/>
      <c r="U205" s="36" t="n"/>
      <c r="V205" s="43" t="n"/>
      <c r="W205" s="41">
        <f>IF(OR(V205="",U205=""),"",V205+U205)</f>
        <v/>
      </c>
      <c r="X205" s="37" t="n"/>
      <c r="Y205" s="36" t="n"/>
      <c r="Z205" s="37" t="n"/>
    </row>
  </sheetData>
  <autoFilter ref="A5:Z205"/>
  <mergeCells count="5">
    <mergeCell ref="A2:E2"/>
    <mergeCell ref="G2:H2"/>
    <mergeCell ref="J2:K2"/>
    <mergeCell ref="M3:N3"/>
    <mergeCell ref="K3:L3"/>
  </mergeCells>
  <conditionalFormatting sqref="A2">
    <cfRule type="expression" priority="1" dxfId="0">
      <formula>AND(ISNUMBER($F$2),$F$2&gt;=0,$F$2&lt;=4)</formula>
    </cfRule>
    <cfRule type="expression" priority="2" dxfId="1">
      <formula>AND(ISNUMBER($F$2),$F$2&gt;4,$F$2&lt;=7)</formula>
    </cfRule>
  </conditionalFormatting>
  <conditionalFormatting sqref="F2">
    <cfRule type="expression" priority="3" dxfId="0">
      <formula>AND(ISNUMBER($F$2),$F$2&gt;=0,$F$2&lt;=4)</formula>
    </cfRule>
    <cfRule type="expression" priority="4" dxfId="1">
      <formula>AND(ISNUMBER($F$2),$F$2&gt;4,$F$2&lt;=7)</formula>
    </cfRule>
  </conditionalFormatting>
  <conditionalFormatting sqref="G2">
    <cfRule type="expression" priority="5" dxfId="0">
      <formula>AND(ISNUMBER($F$2),$F$2&gt;=0,$F$2&lt;=4)</formula>
    </cfRule>
    <cfRule type="expression" priority="6" dxfId="1">
      <formula>AND(ISNUMBER($F$2),$F$2&gt;4,$F$2&lt;=7)</formula>
    </cfRule>
  </conditionalFormatting>
  <conditionalFormatting sqref="M6:M205">
    <cfRule type="cellIs" priority="7" operator="equal" dxfId="7">
      <formula>"견적접수"</formula>
    </cfRule>
    <cfRule type="cellIs" priority="8" operator="equal" dxfId="8">
      <formula>"확인필요"</formula>
    </cfRule>
    <cfRule type="cellIs" priority="9" operator="equal" dxfId="9">
      <formula>"공급불가"</formula>
    </cfRule>
    <cfRule type="cellIs" priority="10" operator="equal" dxfId="10">
      <formula>"미접수"</formula>
    </cfRule>
  </conditionalFormatting>
  <conditionalFormatting sqref="A6:Z205">
    <cfRule type="expression" priority="11" dxfId="11">
      <formula>OR($Y6="발주완료",$Y6="취소")</formula>
    </cfRule>
  </conditionalFormatting>
  <conditionalFormatting sqref="W6:W205">
    <cfRule type="expression" priority="12" dxfId="0">
      <formula>AND($W6&lt;&gt;"",$W6&lt;TODAY())</formula>
    </cfRule>
    <cfRule type="expression" priority="13" dxfId="8">
      <formula>AND($W6&lt;&gt;"",$W6-TODAY()&lt;=5)</formula>
    </cfRule>
  </conditionalFormatting>
  <conditionalFormatting sqref="R6:R205">
    <cfRule type="expression" priority="14" dxfId="9">
      <formula>LEFT($R6,2)="초과"</formula>
    </cfRule>
    <cfRule type="cellIs" priority="15" operator="equal" dxfId="7">
      <formula>"가능"</formula>
    </cfRule>
  </conditionalFormatting>
  <dataValidations count="3">
    <dataValidation sqref="M6:M205" showDropDown="0" showInputMessage="0" showErrorMessage="0" allowBlank="1" errorTitle="입력 확인" error="목록에서 선택하세요" type="list">
      <formula1>=설정!$A$5:$A$14</formula1>
    </dataValidation>
    <dataValidation sqref="Y6:Y205" showDropDown="0" showInputMessage="0" showErrorMessage="0" allowBlank="1" errorTitle="입력 확인" error="목록에서 선택하세요 ('설정' 시트에서 추가 가능)" type="list">
      <formula1>=설정!$C$5:$C$16</formula1>
    </dataValidation>
    <dataValidation sqref="L6:L205" showDropDown="0" showInputMessage="0" showErrorMessage="0" allowBlank="1" errorTitle="입력 확인" error="업체는 '설정' 시트에 먼저 추가하세요" type="list">
      <formula1>=설정!$E$5:$E$24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Z205"/>
  <sheetViews>
    <sheetView zoomScale="9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" customWidth="1" min="3" max="3"/>
    <col width="11" customWidth="1" min="4" max="4"/>
    <col width="28" customWidth="1" min="5" max="5"/>
    <col width="20" customWidth="1" min="6" max="6"/>
    <col width="24" customWidth="1" min="7" max="7"/>
    <col width="18" customWidth="1" min="8" max="8"/>
    <col width="22" customWidth="1" min="9" max="9"/>
    <col width="6" customWidth="1" min="10" max="10"/>
    <col width="6" customWidth="1" min="11" max="11"/>
    <col width="9" customWidth="1" min="12" max="12"/>
    <col width="10" customWidth="1" min="13" max="13"/>
    <col width="12" customWidth="1" min="14" max="14"/>
    <col width="13" customWidth="1" min="15" max="15"/>
    <col width="7" customWidth="1" min="16" max="16"/>
    <col width="11" customWidth="1" min="17" max="17"/>
    <col width="12" customWidth="1" min="18" max="18"/>
    <col width="9" customWidth="1" min="19" max="19"/>
    <col width="14" customWidth="1" min="20" max="20"/>
    <col width="6" customWidth="1" min="21" max="21"/>
    <col width="11" customWidth="1" min="22" max="22"/>
    <col width="11" customWidth="1" min="23" max="23"/>
    <col width="34" customWidth="1" min="24" max="24"/>
    <col width="13" customWidth="1" min="25" max="25"/>
    <col width="30" customWidth="1" min="26" max="26"/>
  </cols>
  <sheetData>
    <row r="1">
      <c r="A1" s="1" t="inlineStr">
        <is>
          <t>ONEIROI</t>
        </is>
      </c>
      <c r="D1" s="44" t="inlineStr">
        <is>
          <t>IMO 9958327   ·   URGENT   ·   납품항/ETA: Europe - port TBA</t>
        </is>
      </c>
    </row>
    <row r="2" ht="24" customHeight="1">
      <c r="A2" s="27">
        <f>IFERROR(IF(N(INDEX(스케줄!$C$5:$C$14,MATCH("ONEIROI",스케줄!$A$5:$A$14,0)))=0,"다음 일정: 미정 (스케줄 시트에 입력)","다음 일정: "&amp;INDEX(스케줄!$B$5:$B$14,MATCH("ONEIROI",스케줄!$A$5:$A$14,0))&amp;"  "&amp;TEXT(INDEX(스케줄!$C$5:$C$14,MATCH("ONEIROI",스케줄!$A$5:$A$14,0)),"mm/dd")&amp;IF(N(INDEX(스케줄!$D$5:$D$14,MATCH("ONEIROI",스케줄!$A$5:$A$14,0)))=0,"","~"&amp;TEXT(INDEX(스케줄!$D$5:$D$14,MATCH("ONEIROI",스케줄!$A$5:$A$14,0)),"mm/dd"))),"")</f>
        <v/>
      </c>
      <c r="F2" s="28">
        <f>IFERROR(INDEX(스케줄!$I$5:$I$14,MATCH("ONEIROI",스케줄!$A$5:$A$14,0)),"")</f>
        <v/>
      </c>
      <c r="G2" s="29">
        <f>IFERROR(INDEX(스케줄!$J$5:$J$14,MATCH("ONEIROI",스케줄!$A$5:$A$14,0)),"")</f>
        <v/>
      </c>
      <c r="I2" s="30" t="inlineStr">
        <is>
          <t>부산 출고 마감</t>
        </is>
      </c>
      <c r="J2" s="31">
        <f>IFERROR(INDEX(스케줄!$F$5:$F$14,MATCH("ONEIROI",스케줄!$A$5:$A$14,0)),"")</f>
        <v/>
      </c>
    </row>
    <row r="3" ht="22" customHeight="1">
      <c r="A3" s="30" t="inlineStr">
        <is>
          <t>품목</t>
        </is>
      </c>
      <c r="B3" s="32">
        <f>COUNTA($E$6:$E$205)</f>
        <v/>
      </c>
      <c r="C3" s="30" t="inlineStr">
        <is>
          <t>견적접수</t>
        </is>
      </c>
      <c r="D3" s="32">
        <f>COUNTIF($M$6:$M$205,"견적접수")</f>
        <v/>
      </c>
      <c r="E3" s="30" t="inlineStr">
        <is>
          <t>확인필요</t>
        </is>
      </c>
      <c r="F3" s="32">
        <f>COUNTIF($M$6:$M$205,"확인필요")</f>
        <v/>
      </c>
      <c r="G3" s="30" t="inlineStr">
        <is>
          <t>공급불가</t>
        </is>
      </c>
      <c r="H3" s="32">
        <f>COUNTIF($M$6:$M$205,"공급불가")</f>
        <v/>
      </c>
      <c r="I3" s="30" t="inlineStr">
        <is>
          <t>미접수</t>
        </is>
      </c>
      <c r="J3" s="32">
        <f>COUNTIF($M$6:$M$205,"미접수")</f>
        <v/>
      </c>
      <c r="K3" s="30" t="inlineStr">
        <is>
          <t>견적금액 합계 (KRW)</t>
        </is>
      </c>
      <c r="L3" s="33" t="n"/>
      <c r="M3" s="34">
        <f>SUM($O$6:$O$205)</f>
        <v/>
      </c>
    </row>
    <row r="4">
      <c r="A4" s="2" t="inlineStr">
        <is>
          <t>노란 칸 = 입력 / 회색 칸 = 자동 계산 · 새 품목·다른 업체 견적은 아래 빈 줄에 추가 · ▼ 필터로 상태별 보기 · 일정은 '스케줄' 시트에서 수정</t>
        </is>
      </c>
    </row>
    <row r="5" ht="32" customHeight="1">
      <c r="A5" s="18" t="inlineStr">
        <is>
          <t>No</t>
        </is>
      </c>
      <c r="B5" s="4" t="inlineStr">
        <is>
          <t>RFQ No.</t>
        </is>
      </c>
      <c r="C5" s="4" t="inlineStr">
        <is>
          <t>파일</t>
        </is>
      </c>
      <c r="D5" s="4" t="inlineStr">
        <is>
          <t>Maker</t>
        </is>
      </c>
      <c r="E5" s="4" t="inlineStr">
        <is>
          <t>품목 (Item)</t>
        </is>
      </c>
      <c r="F5" s="4" t="inlineStr">
        <is>
          <t>Model</t>
        </is>
      </c>
      <c r="G5" s="4" t="inlineStr">
        <is>
          <t>Part No. / Drawing</t>
        </is>
      </c>
      <c r="H5" s="4" t="inlineStr">
        <is>
          <t>Equipment / System</t>
        </is>
      </c>
      <c r="I5" s="4" t="inlineStr">
        <is>
          <t>Spec / 비고</t>
        </is>
      </c>
      <c r="J5" s="4" t="inlineStr">
        <is>
          <t>수량</t>
        </is>
      </c>
      <c r="K5" s="4" t="inlineStr">
        <is>
          <t>단위</t>
        </is>
      </c>
      <c r="L5" s="4" t="inlineStr">
        <is>
          <t>견적업체</t>
        </is>
      </c>
      <c r="M5" s="4" t="inlineStr">
        <is>
          <t>견적상태</t>
        </is>
      </c>
      <c r="N5" s="4" t="inlineStr">
        <is>
          <t>단가
(KRW)</t>
        </is>
      </c>
      <c r="O5" s="18" t="inlineStr">
        <is>
          <t>금액
(KRW)</t>
        </is>
      </c>
      <c r="P5" s="4" t="inlineStr">
        <is>
          <t>납기
(일)</t>
        </is>
      </c>
      <c r="Q5" s="18" t="inlineStr">
        <is>
          <t>준비
예상일</t>
        </is>
      </c>
      <c r="R5" s="18" t="inlineStr">
        <is>
          <t>일정
대비</t>
        </is>
      </c>
      <c r="S5" s="4" t="inlineStr">
        <is>
          <t>정품/
OEM</t>
        </is>
      </c>
      <c r="T5" s="4" t="inlineStr">
        <is>
          <t>인도조건</t>
        </is>
      </c>
      <c r="U5" s="4" t="inlineStr">
        <is>
          <t>유효
(일)</t>
        </is>
      </c>
      <c r="V5" s="4" t="inlineStr">
        <is>
          <t>접수일</t>
        </is>
      </c>
      <c r="W5" s="18" t="inlineStr">
        <is>
          <t>만료일</t>
        </is>
      </c>
      <c r="X5" s="4" t="inlineStr">
        <is>
          <t>업체 회신 원문</t>
        </is>
      </c>
      <c r="Y5" s="4" t="inlineStr">
        <is>
          <t>진행상태</t>
        </is>
      </c>
      <c r="Z5" s="4" t="inlineStr">
        <is>
          <t>다음 조치</t>
        </is>
      </c>
    </row>
    <row r="6">
      <c r="A6" s="35">
        <f>IF(E6="","",ROW()-5)</f>
        <v/>
      </c>
      <c r="B6" s="36" t="inlineStr">
        <is>
          <t>KQU-000116304</t>
        </is>
      </c>
      <c r="C6" s="36" t="inlineStr">
        <is>
          <t>01</t>
        </is>
      </c>
      <c r="D6" s="36" t="inlineStr">
        <is>
          <t>NORGREN</t>
        </is>
      </c>
      <c r="E6" s="37" t="inlineStr">
        <is>
          <t>AIR FILTER ELEMENT</t>
        </is>
      </c>
      <c r="F6" s="37" t="inlineStr">
        <is>
          <t>NORGREN F05G-2AN-AM3</t>
        </is>
      </c>
      <c r="G6" s="37" t="inlineStr">
        <is>
          <t>3653-28</t>
        </is>
      </c>
      <c r="H6" s="37" t="inlineStr">
        <is>
          <t>MAIN ENGINE/ EGR</t>
        </is>
      </c>
      <c r="I6" s="37" t="inlineStr">
        <is>
          <t>SERVICE KIT-F05G 40 MIC</t>
        </is>
      </c>
      <c r="J6" s="36" t="n">
        <v>100</v>
      </c>
      <c r="K6" s="36" t="inlineStr">
        <is>
          <t>EA</t>
        </is>
      </c>
      <c r="L6" s="36" t="inlineStr">
        <is>
          <t>RMS</t>
        </is>
      </c>
      <c r="M6" s="36" t="inlineStr">
        <is>
          <t>확인필요</t>
        </is>
      </c>
      <c r="N6" s="38" t="n"/>
      <c r="O6" s="39">
        <f>IF(OR(N6="",J6=""),"",N6*J6)</f>
        <v/>
      </c>
      <c r="P6" s="40" t="n"/>
      <c r="Q6" s="41">
        <f>IF(OR(P6="",Y6="발주완료",Y6="취소"),"",TODAY()+P6)</f>
        <v/>
      </c>
      <c r="R6" s="35">
        <f>IF(OR(Q6="",NOT(ISNUMBER($J$2))),"",IF(Q6&lt;=$J$2,"가능","초과 "&amp;(Q6-$J$2)&amp;"일"))</f>
        <v/>
      </c>
      <c r="S6" s="36" t="n"/>
      <c r="T6" s="36" t="n"/>
      <c r="U6" s="36" t="n"/>
      <c r="V6" s="42" t="n"/>
      <c r="W6" s="41">
        <f>IF(OR(V6="",U6=""),"",V6+U6)</f>
        <v/>
      </c>
      <c r="X6" s="37" t="inlineStr">
        <is>
          <t>NEED TO CHECK NAMEPLATE OR DETAILS</t>
        </is>
      </c>
      <c r="Y6" s="36" t="inlineStr">
        <is>
          <t>정보 송부필요</t>
        </is>
      </c>
      <c r="Z6" s="37" t="inlineStr">
        <is>
          <t>명판 사진/상세정보 RMS에 송부</t>
        </is>
      </c>
    </row>
    <row r="7">
      <c r="A7" s="35">
        <f>IF(E7="","",ROW()-5)</f>
        <v/>
      </c>
      <c r="B7" s="36" t="inlineStr">
        <is>
          <t>KQU-000116300</t>
        </is>
      </c>
      <c r="C7" s="36" t="inlineStr">
        <is>
          <t>10</t>
        </is>
      </c>
      <c r="D7" s="36" t="inlineStr">
        <is>
          <t>HSME</t>
        </is>
      </c>
      <c r="E7" s="37" t="inlineStr">
        <is>
          <t>PMI SENSOR</t>
        </is>
      </c>
      <c r="F7" s="37" t="inlineStr">
        <is>
          <t>HSME CORPORATION/ VIHBW-M20-W27-S4</t>
        </is>
      </c>
      <c r="G7" s="37" t="inlineStr">
        <is>
          <t>VIHBW-M20-W27-S4</t>
        </is>
      </c>
      <c r="H7" s="37" t="inlineStr">
        <is>
          <t>MAIN ENGINE/ CYLINDER UNIT</t>
        </is>
      </c>
      <c r="I7" s="37" t="n"/>
      <c r="J7" s="36" t="n">
        <v>1</v>
      </c>
      <c r="K7" s="36" t="inlineStr">
        <is>
          <t>EA</t>
        </is>
      </c>
      <c r="L7" s="36" t="inlineStr">
        <is>
          <t>RMS</t>
        </is>
      </c>
      <c r="M7" s="36" t="inlineStr">
        <is>
          <t>확인필요</t>
        </is>
      </c>
      <c r="N7" s="38" t="n"/>
      <c r="O7" s="39">
        <f>IF(OR(N7="",J7=""),"",N7*J7)</f>
        <v/>
      </c>
      <c r="P7" s="40" t="n"/>
      <c r="Q7" s="41">
        <f>IF(OR(P7="",Y7="발주완료",Y7="취소"),"",TODAY()+P7)</f>
        <v/>
      </c>
      <c r="R7" s="35">
        <f>IF(OR(Q7="",NOT(ISNUMBER($J$2))),"",IF(Q7&lt;=$J$2,"가능","초과 "&amp;(Q7-$J$2)&amp;"일"))</f>
        <v/>
      </c>
      <c r="S7" s="36" t="n"/>
      <c r="T7" s="36" t="n"/>
      <c r="U7" s="36" t="n"/>
      <c r="V7" s="42" t="n"/>
      <c r="W7" s="41">
        <f>IF(OR(V7="",U7=""),"",V7+U7)</f>
        <v/>
      </c>
      <c r="X7" s="37" t="inlineStr">
        <is>
          <t>NEED TO CHECK DETAILED PICTURES.</t>
        </is>
      </c>
      <c r="Y7" s="36" t="inlineStr">
        <is>
          <t>정보 송부필요</t>
        </is>
      </c>
      <c r="Z7" s="37" t="inlineStr">
        <is>
          <t>상세 사진 RMS에 송부</t>
        </is>
      </c>
    </row>
    <row r="8">
      <c r="A8" s="35">
        <f>IF(E8="","",ROW()-5)</f>
        <v/>
      </c>
      <c r="B8" s="36" t="inlineStr">
        <is>
          <t>KQU-000116307</t>
        </is>
      </c>
      <c r="C8" s="36" t="inlineStr">
        <is>
          <t>11</t>
        </is>
      </c>
      <c r="D8" s="36" t="inlineStr">
        <is>
          <t>GRUNDFOS</t>
        </is>
      </c>
      <c r="E8" s="37" t="inlineStr">
        <is>
          <t>IMPELLER</t>
        </is>
      </c>
      <c r="F8" s="37" t="inlineStr">
        <is>
          <t>GRUNDFOS/PN-SN A-99574543</t>
        </is>
      </c>
      <c r="G8" s="37" t="inlineStr">
        <is>
          <t>Drawings not available</t>
        </is>
      </c>
      <c r="H8" s="37" t="inlineStr">
        <is>
          <t>M/E EGR WTS. WATER SUPPLY PUMP</t>
        </is>
      </c>
      <c r="I8" s="37" t="n"/>
      <c r="J8" s="36" t="n">
        <v>1</v>
      </c>
      <c r="K8" s="36" t="inlineStr">
        <is>
          <t>pcs</t>
        </is>
      </c>
      <c r="L8" s="36" t="inlineStr">
        <is>
          <t>RMS</t>
        </is>
      </c>
      <c r="M8" s="36" t="inlineStr">
        <is>
          <t>견적접수</t>
        </is>
      </c>
      <c r="N8" s="38" t="n">
        <v>34000</v>
      </c>
      <c r="O8" s="39">
        <f>IF(OR(N8="",J8=""),"",N8*J8)</f>
        <v/>
      </c>
      <c r="P8" s="40" t="n">
        <v>9</v>
      </c>
      <c r="Q8" s="41">
        <f>IF(OR(P8="",Y8="발주완료",Y8="취소"),"",TODAY()+P8)</f>
        <v/>
      </c>
      <c r="R8" s="35">
        <f>IF(OR(Q8="",NOT(ISNUMBER($J$2))),"",IF(Q8&lt;=$J$2,"가능","초과 "&amp;(Q8-$J$2)&amp;"일"))</f>
        <v/>
      </c>
      <c r="S8" s="36" t="inlineStr">
        <is>
          <t>GENUINE</t>
        </is>
      </c>
      <c r="T8" s="36" t="inlineStr">
        <is>
          <t>EX WORK BUSAN</t>
        </is>
      </c>
      <c r="U8" s="36" t="n">
        <v>20</v>
      </c>
      <c r="V8" s="42" t="n"/>
      <c r="W8" s="41">
        <f>IF(OR(V8="",U8=""),"",V8+U8)</f>
        <v/>
      </c>
      <c r="X8" s="37" t="inlineStr">
        <is>
          <t>D/T: 7 WORKING DAYS, GENUINE, EX WORK BUSAN [VALI: 20 DAYS]</t>
        </is>
      </c>
      <c r="Y8" s="36" t="inlineStr">
        <is>
          <t>검토중</t>
        </is>
      </c>
      <c r="Z8" s="37" t="inlineStr">
        <is>
          <t>네덜란드 보급 맞춰 포워딩 확인</t>
        </is>
      </c>
    </row>
    <row r="9">
      <c r="A9" s="35">
        <f>IF(E9="","",ROW()-5)</f>
        <v/>
      </c>
      <c r="B9" s="36" t="inlineStr">
        <is>
          <t>KQU-000116307</t>
        </is>
      </c>
      <c r="C9" s="36" t="inlineStr">
        <is>
          <t>11</t>
        </is>
      </c>
      <c r="D9" s="36" t="inlineStr">
        <is>
          <t>GRUNDFOS</t>
        </is>
      </c>
      <c r="E9" s="37" t="inlineStr">
        <is>
          <t>M/SEAL</t>
        </is>
      </c>
      <c r="F9" s="37" t="inlineStr">
        <is>
          <t>GRUNDFOS/PN-SN A-99574543</t>
        </is>
      </c>
      <c r="G9" s="37" t="inlineStr">
        <is>
          <t>Drawings not available</t>
        </is>
      </c>
      <c r="H9" s="37" t="inlineStr">
        <is>
          <t>M/E EGR WTS. WATER SUPPLY PUMP</t>
        </is>
      </c>
      <c r="I9" s="37" t="n"/>
      <c r="J9" s="36" t="n">
        <v>1</v>
      </c>
      <c r="K9" s="36" t="inlineStr">
        <is>
          <t>pcs</t>
        </is>
      </c>
      <c r="L9" s="36" t="inlineStr">
        <is>
          <t>RMS</t>
        </is>
      </c>
      <c r="M9" s="36" t="inlineStr">
        <is>
          <t>견적접수</t>
        </is>
      </c>
      <c r="N9" s="38" t="n">
        <v>290000</v>
      </c>
      <c r="O9" s="39">
        <f>IF(OR(N9="",J9=""),"",N9*J9)</f>
        <v/>
      </c>
      <c r="P9" s="40" t="n">
        <v>9</v>
      </c>
      <c r="Q9" s="41">
        <f>IF(OR(P9="",Y9="발주완료",Y9="취소"),"",TODAY()+P9)</f>
        <v/>
      </c>
      <c r="R9" s="35">
        <f>IF(OR(Q9="",NOT(ISNUMBER($J$2))),"",IF(Q9&lt;=$J$2,"가능","초과 "&amp;(Q9-$J$2)&amp;"일"))</f>
        <v/>
      </c>
      <c r="S9" s="36" t="inlineStr">
        <is>
          <t>GENUINE</t>
        </is>
      </c>
      <c r="T9" s="36" t="inlineStr">
        <is>
          <t>EX WORK BUSAN</t>
        </is>
      </c>
      <c r="U9" s="36" t="n">
        <v>20</v>
      </c>
      <c r="V9" s="42" t="n"/>
      <c r="W9" s="41">
        <f>IF(OR(V9="",U9=""),"",V9+U9)</f>
        <v/>
      </c>
      <c r="X9" s="37" t="inlineStr">
        <is>
          <t>D/T: 7 WORKING DAYS, GENUINE, EX WORK BUSAN [VALI: 20 DAYS]</t>
        </is>
      </c>
      <c r="Y9" s="36" t="inlineStr">
        <is>
          <t>검토중</t>
        </is>
      </c>
      <c r="Z9" s="37" t="inlineStr">
        <is>
          <t>네덜란드 보급 맞춰 포워딩 확인</t>
        </is>
      </c>
    </row>
    <row r="10">
      <c r="A10" s="35">
        <f>IF(E10="","",ROW()-5)</f>
        <v/>
      </c>
      <c r="B10" s="36" t="inlineStr">
        <is>
          <t>KQU-000116314</t>
        </is>
      </c>
      <c r="C10" s="36" t="inlineStr">
        <is>
          <t>25</t>
        </is>
      </c>
      <c r="D10" s="36" t="inlineStr">
        <is>
          <t>HACCP MASTER</t>
        </is>
      </c>
      <c r="E10" s="37" t="inlineStr">
        <is>
          <t>Cooking Range Hot Plate</t>
        </is>
      </c>
      <c r="F10" s="37" t="inlineStr">
        <is>
          <t>HACCP MASTER / ER641</t>
        </is>
      </c>
      <c r="G10" s="37" t="inlineStr">
        <is>
          <t>A4-210x297 - 5</t>
        </is>
      </c>
      <c r="H10" s="37" t="inlineStr">
        <is>
          <t>Galley &amp; Laundry equipment. Electric Cooking Range</t>
        </is>
      </c>
      <c r="I10" s="37" t="inlineStr">
        <is>
          <t>Low insulation, Details on drawing</t>
        </is>
      </c>
      <c r="J10" s="36" t="n">
        <v>4</v>
      </c>
      <c r="K10" s="36" t="inlineStr">
        <is>
          <t>pcs</t>
        </is>
      </c>
      <c r="L10" s="36" t="inlineStr">
        <is>
          <t>RMS</t>
        </is>
      </c>
      <c r="M10" s="36" t="inlineStr">
        <is>
          <t>견적접수</t>
        </is>
      </c>
      <c r="N10" s="38" t="n">
        <v>320000</v>
      </c>
      <c r="O10" s="39">
        <f>IF(OR(N10="",J10=""),"",N10*J10)</f>
        <v/>
      </c>
      <c r="P10" s="40" t="n">
        <v>3</v>
      </c>
      <c r="Q10" s="41">
        <f>IF(OR(P10="",Y10="발주완료",Y10="취소"),"",TODAY()+P10)</f>
        <v/>
      </c>
      <c r="R10" s="35">
        <f>IF(OR(Q10="",NOT(ISNUMBER($J$2))),"",IF(Q10&lt;=$J$2,"가능","초과 "&amp;(Q10-$J$2)&amp;"일"))</f>
        <v/>
      </c>
      <c r="S10" s="36" t="inlineStr">
        <is>
          <t>GENUINE</t>
        </is>
      </c>
      <c r="T10" s="36" t="inlineStr">
        <is>
          <t>EX WORK BUSAN</t>
        </is>
      </c>
      <c r="U10" s="36" t="n"/>
      <c r="V10" s="42" t="n"/>
      <c r="W10" s="41">
        <f>IF(OR(V10="",U10=""),"",V10+U10)</f>
        <v/>
      </c>
      <c r="X10" s="37" t="inlineStr">
        <is>
          <t>D/T: 3 DAYS, GENUINE, EX WORK BUSAN</t>
        </is>
      </c>
      <c r="Y10" s="36" t="inlineStr">
        <is>
          <t>검토중</t>
        </is>
      </c>
      <c r="Z10" s="37" t="inlineStr">
        <is>
          <t>유효기간 미기재 – RMS 확인</t>
        </is>
      </c>
    </row>
    <row r="11">
      <c r="A11" s="35">
        <f>IF(E11="","",ROW()-5)</f>
        <v/>
      </c>
      <c r="B11" s="36" t="inlineStr">
        <is>
          <t>선박요청서-30</t>
        </is>
      </c>
      <c r="C11" s="36" t="inlineStr">
        <is>
          <t>30</t>
        </is>
      </c>
      <c r="D11" s="36" t="inlineStr">
        <is>
          <t>Parker</t>
        </is>
      </c>
      <c r="E11" s="37" t="inlineStr">
        <is>
          <t>Solenoid Valve for Ballast Hyd. System D1VW4CNJWF (THR TYPE)</t>
        </is>
      </c>
      <c r="F11" s="37" t="inlineStr">
        <is>
          <t>Parker</t>
        </is>
      </c>
      <c r="G11" s="37" t="inlineStr">
        <is>
          <t>VPKVVDV4301</t>
        </is>
      </c>
      <c r="H11" s="37" t="inlineStr">
        <is>
          <t>Hyd.VRC</t>
        </is>
      </c>
      <c r="I11" s="37" t="inlineStr">
        <is>
          <t>DWG:VO61-W2008-9 / RMS: 신형 D1VW004CNJW로 견적</t>
        </is>
      </c>
      <c r="J11" s="36" t="n">
        <v>3</v>
      </c>
      <c r="K11" s="36" t="inlineStr">
        <is>
          <t>pcs</t>
        </is>
      </c>
      <c r="L11" s="36" t="inlineStr">
        <is>
          <t>RMS</t>
        </is>
      </c>
      <c r="M11" s="36" t="inlineStr">
        <is>
          <t>견적접수</t>
        </is>
      </c>
      <c r="N11" s="38" t="n">
        <v>500000</v>
      </c>
      <c r="O11" s="39">
        <f>IF(OR(N11="",J11=""),"",N11*J11)</f>
        <v/>
      </c>
      <c r="P11" s="40" t="n">
        <v>90</v>
      </c>
      <c r="Q11" s="41">
        <f>IF(OR(P11="",Y11="발주완료",Y11="취소"),"",TODAY()+P11)</f>
        <v/>
      </c>
      <c r="R11" s="35">
        <f>IF(OR(Q11="",NOT(ISNUMBER($J$2))),"",IF(Q11&lt;=$J$2,"가능","초과 "&amp;(Q11-$J$2)&amp;"일"))</f>
        <v/>
      </c>
      <c r="S11" s="36" t="inlineStr">
        <is>
          <t>GENUINE</t>
        </is>
      </c>
      <c r="T11" s="36" t="inlineStr">
        <is>
          <t>EX WORK BUSAN</t>
        </is>
      </c>
      <c r="U11" s="36" t="n">
        <v>20</v>
      </c>
      <c r="V11" s="42" t="n"/>
      <c r="W11" s="41">
        <f>IF(OR(V11="",U11=""),"",V11+U11)</f>
        <v/>
      </c>
      <c r="X11" s="37" t="inlineStr">
        <is>
          <t>#1 = QUOTE AS NEW TYPE: D1VW004CNJW (OBSOLETE D1VW4CNJWF) / D/T: 90 DAYS, GENUINE, EX WORK BUSAN [VALI: 20 DAYS]</t>
        </is>
      </c>
      <c r="Y11" s="36" t="inlineStr">
        <is>
          <t>검토중</t>
        </is>
      </c>
      <c r="Z11" s="37" t="inlineStr">
        <is>
          <t>신형 대체품 호환 확인</t>
        </is>
      </c>
    </row>
    <row r="12">
      <c r="A12" s="35">
        <f>IF(E12="","",ROW()-5)</f>
        <v/>
      </c>
      <c r="B12" s="36" t="inlineStr">
        <is>
          <t>선박요청서-30</t>
        </is>
      </c>
      <c r="C12" s="36" t="inlineStr">
        <is>
          <t>30</t>
        </is>
      </c>
      <c r="D12" s="36" t="inlineStr">
        <is>
          <t>Parker</t>
        </is>
      </c>
      <c r="E12" s="37" t="inlineStr">
        <is>
          <t>Solenoid Valve for Ballast Hyd. System D1VW20DNJWF (O/S TYPE)</t>
        </is>
      </c>
      <c r="F12" s="37" t="inlineStr">
        <is>
          <t>Parker</t>
        </is>
      </c>
      <c r="G12" s="37" t="inlineStr">
        <is>
          <t>VPKVVDV4201</t>
        </is>
      </c>
      <c r="H12" s="37" t="inlineStr">
        <is>
          <t>Hyd.VRC</t>
        </is>
      </c>
      <c r="I12" s="37" t="inlineStr">
        <is>
          <t>DWG:VO61-W2008-10 / RMS: 신형 D1VW020DNJW로 견적</t>
        </is>
      </c>
      <c r="J12" s="36" t="n">
        <v>3</v>
      </c>
      <c r="K12" s="36" t="inlineStr">
        <is>
          <t>pcs</t>
        </is>
      </c>
      <c r="L12" s="36" t="inlineStr">
        <is>
          <t>RMS</t>
        </is>
      </c>
      <c r="M12" s="36" t="inlineStr">
        <is>
          <t>견적접수</t>
        </is>
      </c>
      <c r="N12" s="38" t="n">
        <v>649000</v>
      </c>
      <c r="O12" s="39">
        <f>IF(OR(N12="",J12=""),"",N12*J12)</f>
        <v/>
      </c>
      <c r="P12" s="40" t="n">
        <v>90</v>
      </c>
      <c r="Q12" s="41">
        <f>IF(OR(P12="",Y12="발주완료",Y12="취소"),"",TODAY()+P12)</f>
        <v/>
      </c>
      <c r="R12" s="35">
        <f>IF(OR(Q12="",NOT(ISNUMBER($J$2))),"",IF(Q12&lt;=$J$2,"가능","초과 "&amp;(Q12-$J$2)&amp;"일"))</f>
        <v/>
      </c>
      <c r="S12" s="36" t="inlineStr">
        <is>
          <t>GENUINE</t>
        </is>
      </c>
      <c r="T12" s="36" t="inlineStr">
        <is>
          <t>EX WORK BUSAN</t>
        </is>
      </c>
      <c r="U12" s="36" t="n">
        <v>20</v>
      </c>
      <c r="V12" s="42" t="n"/>
      <c r="W12" s="41">
        <f>IF(OR(V12="",U12=""),"",V12+U12)</f>
        <v/>
      </c>
      <c r="X12" s="37" t="inlineStr">
        <is>
          <t>#2 = QUOTE AS NEW TYPE: D1VW020DNJW (OBSOLETE D1VW020DNJW) / D/T: 90 DAYS, GENUINE, EX WORK BUSAN [VALI: 20 DAYS]</t>
        </is>
      </c>
      <c r="Y12" s="36" t="inlineStr">
        <is>
          <t>검토중</t>
        </is>
      </c>
      <c r="Z12" s="37" t="inlineStr">
        <is>
          <t>신형 대체품 호환 확인 (RMS 비고의 OBSOLETE 형번 오기 확인)</t>
        </is>
      </c>
    </row>
    <row r="13">
      <c r="A13" s="35">
        <f>IF(E13="","",ROW()-5)</f>
        <v/>
      </c>
      <c r="B13" s="36" t="inlineStr">
        <is>
          <t>선박요청서-30</t>
        </is>
      </c>
      <c r="C13" s="36" t="inlineStr">
        <is>
          <t>30</t>
        </is>
      </c>
      <c r="D13" s="36" t="n"/>
      <c r="E13" s="37" t="inlineStr">
        <is>
          <t>Solenoid Valve for Ballast Hyd. System DHW-0713P</t>
        </is>
      </c>
      <c r="F13" s="37" t="n"/>
      <c r="G13" s="37" t="inlineStr">
        <is>
          <t>VATVDV43001</t>
        </is>
      </c>
      <c r="H13" s="37" t="inlineStr">
        <is>
          <t>Hyd.VRC</t>
        </is>
      </c>
      <c r="I13" s="37" t="inlineStr">
        <is>
          <t>DWG:VO61-W2008-6</t>
        </is>
      </c>
      <c r="J13" s="36" t="n">
        <v>3</v>
      </c>
      <c r="K13" s="36" t="inlineStr">
        <is>
          <t>pcs</t>
        </is>
      </c>
      <c r="L13" s="36" t="inlineStr">
        <is>
          <t>RMS</t>
        </is>
      </c>
      <c r="M13" s="36" t="inlineStr">
        <is>
          <t>공급불가</t>
        </is>
      </c>
      <c r="N13" s="38" t="n"/>
      <c r="O13" s="39">
        <f>IF(OR(N13="",J13=""),"",N13*J13)</f>
        <v/>
      </c>
      <c r="P13" s="40" t="n"/>
      <c r="Q13" s="41">
        <f>IF(OR(P13="",Y13="발주완료",Y13="취소"),"",TODAY()+P13)</f>
        <v/>
      </c>
      <c r="R13" s="35">
        <f>IF(OR(Q13="",NOT(ISNUMBER($J$2))),"",IF(Q13&lt;=$J$2,"가능","초과 "&amp;(Q13-$J$2)&amp;"일"))</f>
        <v/>
      </c>
      <c r="S13" s="36" t="n"/>
      <c r="T13" s="36" t="n"/>
      <c r="U13" s="36" t="n"/>
      <c r="V13" s="42" t="n"/>
      <c r="W13" s="41">
        <f>IF(OR(V13="",U13=""),"",V13+U13)</f>
        <v/>
      </c>
      <c r="X13" s="37" t="inlineStr">
        <is>
          <t>NOT AVAILABLE</t>
        </is>
      </c>
      <c r="Y13" s="36" t="inlineStr">
        <is>
          <t>타업체 문의</t>
        </is>
      </c>
      <c r="Z13" s="37" t="inlineStr">
        <is>
          <t>타 업체 견적 요청</t>
        </is>
      </c>
    </row>
    <row r="14">
      <c r="A14" s="35">
        <f>IF(E14="","",ROW()-5)</f>
        <v/>
      </c>
      <c r="B14" s="36" t="inlineStr">
        <is>
          <t>선박요청서-30</t>
        </is>
      </c>
      <c r="C14" s="36" t="inlineStr">
        <is>
          <t>30</t>
        </is>
      </c>
      <c r="D14" s="36" t="n"/>
      <c r="E14" s="37" t="inlineStr">
        <is>
          <t>Solenoid Valve for Ballast Hyd. System DHW-0751/2</t>
        </is>
      </c>
      <c r="F14" s="37" t="n"/>
      <c r="G14" s="37" t="inlineStr">
        <is>
          <t>VATVDV42005</t>
        </is>
      </c>
      <c r="H14" s="37" t="inlineStr">
        <is>
          <t>Hyd.VRC</t>
        </is>
      </c>
      <c r="I14" s="37" t="inlineStr">
        <is>
          <t>DWG:VO61-W2008-7</t>
        </is>
      </c>
      <c r="J14" s="36" t="n">
        <v>3</v>
      </c>
      <c r="K14" s="36" t="inlineStr">
        <is>
          <t>pcs</t>
        </is>
      </c>
      <c r="L14" s="36" t="inlineStr">
        <is>
          <t>RMS</t>
        </is>
      </c>
      <c r="M14" s="36" t="inlineStr">
        <is>
          <t>공급불가</t>
        </is>
      </c>
      <c r="N14" s="38" t="n"/>
      <c r="O14" s="39">
        <f>IF(OR(N14="",J14=""),"",N14*J14)</f>
        <v/>
      </c>
      <c r="P14" s="40" t="n"/>
      <c r="Q14" s="41">
        <f>IF(OR(P14="",Y14="발주완료",Y14="취소"),"",TODAY()+P14)</f>
        <v/>
      </c>
      <c r="R14" s="35">
        <f>IF(OR(Q14="",NOT(ISNUMBER($J$2))),"",IF(Q14&lt;=$J$2,"가능","초과 "&amp;(Q14-$J$2)&amp;"일"))</f>
        <v/>
      </c>
      <c r="S14" s="36" t="n"/>
      <c r="T14" s="36" t="n"/>
      <c r="U14" s="36" t="n"/>
      <c r="V14" s="42" t="n"/>
      <c r="W14" s="41">
        <f>IF(OR(V14="",U14=""),"",V14+U14)</f>
        <v/>
      </c>
      <c r="X14" s="37" t="inlineStr">
        <is>
          <t>NOT AVAILABLE</t>
        </is>
      </c>
      <c r="Y14" s="36" t="inlineStr">
        <is>
          <t>타업체 문의</t>
        </is>
      </c>
      <c r="Z14" s="37" t="inlineStr">
        <is>
          <t>타 업체 견적 요청</t>
        </is>
      </c>
    </row>
    <row r="15">
      <c r="A15" s="35">
        <f>IF(E15="","",ROW()-5)</f>
        <v/>
      </c>
      <c r="B15" s="36" t="inlineStr">
        <is>
          <t>선박요청서-31</t>
        </is>
      </c>
      <c r="C15" s="36" t="inlineStr">
        <is>
          <t>31</t>
        </is>
      </c>
      <c r="D15" s="36" t="inlineStr">
        <is>
          <t>GRUNDFOS</t>
        </is>
      </c>
      <c r="E15" s="37" t="inlineStr">
        <is>
          <t>PUMP COMPLETE</t>
        </is>
      </c>
      <c r="F15" s="37" t="inlineStr">
        <is>
          <t>GRUNDFOS/CRN3-7</t>
        </is>
      </c>
      <c r="G15" s="37" t="n"/>
      <c r="H15" s="37" t="inlineStr">
        <is>
          <t>ME EGR WTS PUMP</t>
        </is>
      </c>
      <c r="I15" s="37" t="inlineStr">
        <is>
          <t>RMS: 모터 포함 펌프 완품으로 견적</t>
        </is>
      </c>
      <c r="J15" s="36" t="n">
        <v>1</v>
      </c>
      <c r="K15" s="36" t="inlineStr">
        <is>
          <t>SET</t>
        </is>
      </c>
      <c r="L15" s="36" t="inlineStr">
        <is>
          <t>RMS</t>
        </is>
      </c>
      <c r="M15" s="36" t="inlineStr">
        <is>
          <t>견적접수</t>
        </is>
      </c>
      <c r="N15" s="38" t="n">
        <v>1996560</v>
      </c>
      <c r="O15" s="39">
        <f>IF(OR(N15="",J15=""),"",N15*J15)</f>
        <v/>
      </c>
      <c r="P15" s="40" t="n">
        <v>10</v>
      </c>
      <c r="Q15" s="41">
        <f>IF(OR(P15="",Y15="발주완료",Y15="취소"),"",TODAY()+P15)</f>
        <v/>
      </c>
      <c r="R15" s="35">
        <f>IF(OR(Q15="",NOT(ISNUMBER($J$2))),"",IF(Q15&lt;=$J$2,"가능","초과 "&amp;(Q15-$J$2)&amp;"일"))</f>
        <v/>
      </c>
      <c r="S15" s="36" t="inlineStr">
        <is>
          <t>GENUINE</t>
        </is>
      </c>
      <c r="T15" s="36" t="inlineStr">
        <is>
          <t>EX WORK BUSAN</t>
        </is>
      </c>
      <c r="U15" s="36" t="n">
        <v>20</v>
      </c>
      <c r="V15" s="42" t="n"/>
      <c r="W15" s="41">
        <f>IF(OR(V15="",U15=""),"",V15+U15)</f>
        <v/>
      </c>
      <c r="X15" s="37" t="inlineStr">
        <is>
          <t>#1 = QUOTE AS PUMP WITH MOTOR COMPLETE (→ Motor Rated voltage : 3 x 220-255D / 380-440Y V, 60HZ에 사용 됩니다. / ALL: D/T: 10 DAYS, GENUINE, EX WORK BUSAN [VALI: 20 DAYS]</t>
        </is>
      </c>
      <c r="Y15" s="36" t="inlineStr">
        <is>
          <t>검토중</t>
        </is>
      </c>
      <c r="Z15" s="37" t="inlineStr">
        <is>
          <t>모터 전압/60Hz 선내 사양 일치 확인</t>
        </is>
      </c>
    </row>
    <row r="16">
      <c r="A16" s="35">
        <f>IF(E16="","",ROW()-5)</f>
        <v/>
      </c>
      <c r="B16" s="36" t="inlineStr">
        <is>
          <t>선박요청서-31</t>
        </is>
      </c>
      <c r="C16" s="36" t="inlineStr">
        <is>
          <t>31</t>
        </is>
      </c>
      <c r="D16" s="36" t="inlineStr">
        <is>
          <t>GRUNDFOS</t>
        </is>
      </c>
      <c r="E16" s="37" t="inlineStr">
        <is>
          <t>O-RING</t>
        </is>
      </c>
      <c r="F16" s="37" t="inlineStr">
        <is>
          <t>GRUNDFOS/CRN3-7</t>
        </is>
      </c>
      <c r="G16" s="37" t="inlineStr">
        <is>
          <t>CRN3-7-37</t>
        </is>
      </c>
      <c r="H16" s="37" t="inlineStr">
        <is>
          <t>ME EGR WTS PUMP</t>
        </is>
      </c>
      <c r="I16" s="37" t="n"/>
      <c r="J16" s="36" t="n">
        <v>4</v>
      </c>
      <c r="K16" s="36" t="inlineStr">
        <is>
          <t>EA</t>
        </is>
      </c>
      <c r="L16" s="36" t="inlineStr">
        <is>
          <t>RMS</t>
        </is>
      </c>
      <c r="M16" s="36" t="inlineStr">
        <is>
          <t>견적접수</t>
        </is>
      </c>
      <c r="N16" s="38" t="n">
        <v>16638</v>
      </c>
      <c r="O16" s="39">
        <f>IF(OR(N16="",J16=""),"",N16*J16)</f>
        <v/>
      </c>
      <c r="P16" s="40" t="n">
        <v>10</v>
      </c>
      <c r="Q16" s="41">
        <f>IF(OR(P16="",Y16="발주완료",Y16="취소"),"",TODAY()+P16)</f>
        <v/>
      </c>
      <c r="R16" s="35">
        <f>IF(OR(Q16="",NOT(ISNUMBER($J$2))),"",IF(Q16&lt;=$J$2,"가능","초과 "&amp;(Q16-$J$2)&amp;"일"))</f>
        <v/>
      </c>
      <c r="S16" s="36" t="inlineStr">
        <is>
          <t>GENUINE</t>
        </is>
      </c>
      <c r="T16" s="36" t="inlineStr">
        <is>
          <t>EX WORK BUSAN</t>
        </is>
      </c>
      <c r="U16" s="36" t="n">
        <v>20</v>
      </c>
      <c r="V16" s="42" t="n"/>
      <c r="W16" s="41">
        <f>IF(OR(V16="",U16=""),"",V16+U16)</f>
        <v/>
      </c>
      <c r="X16" s="37" t="inlineStr">
        <is>
          <t>ALL: D/T: 10 DAYS, GENUINE, EX WORK BUSAN [VALI: 20 DAYS]</t>
        </is>
      </c>
      <c r="Y16" s="36" t="inlineStr">
        <is>
          <t>검토중</t>
        </is>
      </c>
      <c r="Z16" s="37" t="n"/>
    </row>
    <row r="17">
      <c r="A17" s="35">
        <f>IF(E17="","",ROW()-5)</f>
        <v/>
      </c>
      <c r="B17" s="36" t="inlineStr">
        <is>
          <t>선박요청서-31</t>
        </is>
      </c>
      <c r="C17" s="36" t="inlineStr">
        <is>
          <t>31</t>
        </is>
      </c>
      <c r="D17" s="36" t="inlineStr">
        <is>
          <t>GRUNDFOS</t>
        </is>
      </c>
      <c r="E17" s="37" t="inlineStr">
        <is>
          <t>CHAMBER</t>
        </is>
      </c>
      <c r="F17" s="37" t="inlineStr">
        <is>
          <t>GRUNDFOS/CRN3-7</t>
        </is>
      </c>
      <c r="G17" s="37" t="inlineStr">
        <is>
          <t>CRN3-7-4</t>
        </is>
      </c>
      <c r="H17" s="37" t="inlineStr">
        <is>
          <t>ME EGR WTS PUMP</t>
        </is>
      </c>
      <c r="I17" s="37" t="n"/>
      <c r="J17" s="36" t="n">
        <v>8</v>
      </c>
      <c r="K17" s="36" t="inlineStr">
        <is>
          <t>EA</t>
        </is>
      </c>
      <c r="L17" s="36" t="inlineStr">
        <is>
          <t>RMS</t>
        </is>
      </c>
      <c r="M17" s="36" t="inlineStr">
        <is>
          <t>견적접수</t>
        </is>
      </c>
      <c r="N17" s="38" t="n">
        <v>44368</v>
      </c>
      <c r="O17" s="39">
        <f>IF(OR(N17="",J17=""),"",N17*J17)</f>
        <v/>
      </c>
      <c r="P17" s="40" t="n">
        <v>10</v>
      </c>
      <c r="Q17" s="41">
        <f>IF(OR(P17="",Y17="발주완료",Y17="취소"),"",TODAY()+P17)</f>
        <v/>
      </c>
      <c r="R17" s="35">
        <f>IF(OR(Q17="",NOT(ISNUMBER($J$2))),"",IF(Q17&lt;=$J$2,"가능","초과 "&amp;(Q17-$J$2)&amp;"일"))</f>
        <v/>
      </c>
      <c r="S17" s="36" t="inlineStr">
        <is>
          <t>GENUINE</t>
        </is>
      </c>
      <c r="T17" s="36" t="inlineStr">
        <is>
          <t>EX WORK BUSAN</t>
        </is>
      </c>
      <c r="U17" s="36" t="n">
        <v>20</v>
      </c>
      <c r="V17" s="42" t="n"/>
      <c r="W17" s="41">
        <f>IF(OR(V17="",U17=""),"",V17+U17)</f>
        <v/>
      </c>
      <c r="X17" s="37" t="inlineStr">
        <is>
          <t>ALL: D/T: 10 DAYS, GENUINE, EX WORK BUSAN [VALI: 20 DAYS]</t>
        </is>
      </c>
      <c r="Y17" s="36" t="inlineStr">
        <is>
          <t>검토중</t>
        </is>
      </c>
      <c r="Z17" s="37" t="n"/>
    </row>
    <row r="18">
      <c r="A18" s="35">
        <f>IF(E18="","",ROW()-5)</f>
        <v/>
      </c>
      <c r="B18" s="36" t="inlineStr">
        <is>
          <t>선박요청서-31</t>
        </is>
      </c>
      <c r="C18" s="36" t="inlineStr">
        <is>
          <t>31</t>
        </is>
      </c>
      <c r="D18" s="36" t="inlineStr">
        <is>
          <t>GRUNDFOS</t>
        </is>
      </c>
      <c r="E18" s="37" t="inlineStr">
        <is>
          <t>CHAMBER WITH BEARING</t>
        </is>
      </c>
      <c r="F18" s="37" t="inlineStr">
        <is>
          <t>GRUNDFOS/CRN3-7</t>
        </is>
      </c>
      <c r="G18" s="37" t="inlineStr">
        <is>
          <t>CRN3-7-4A</t>
        </is>
      </c>
      <c r="H18" s="37" t="inlineStr">
        <is>
          <t>ME EGR WTS PUMP</t>
        </is>
      </c>
      <c r="I18" s="37" t="n"/>
      <c r="J18" s="36" t="n">
        <v>2</v>
      </c>
      <c r="K18" s="36" t="inlineStr">
        <is>
          <t>EA</t>
        </is>
      </c>
      <c r="L18" s="36" t="inlineStr">
        <is>
          <t>RMS</t>
        </is>
      </c>
      <c r="M18" s="36" t="inlineStr">
        <is>
          <t>견적접수</t>
        </is>
      </c>
      <c r="N18" s="38" t="n">
        <v>49914</v>
      </c>
      <c r="O18" s="39">
        <f>IF(OR(N18="",J18=""),"",N18*J18)</f>
        <v/>
      </c>
      <c r="P18" s="40" t="n">
        <v>10</v>
      </c>
      <c r="Q18" s="41">
        <f>IF(OR(P18="",Y18="발주완료",Y18="취소"),"",TODAY()+P18)</f>
        <v/>
      </c>
      <c r="R18" s="35">
        <f>IF(OR(Q18="",NOT(ISNUMBER($J$2))),"",IF(Q18&lt;=$J$2,"가능","초과 "&amp;(Q18-$J$2)&amp;"일"))</f>
        <v/>
      </c>
      <c r="S18" s="36" t="inlineStr">
        <is>
          <t>GENUINE</t>
        </is>
      </c>
      <c r="T18" s="36" t="inlineStr">
        <is>
          <t>EX WORK BUSAN</t>
        </is>
      </c>
      <c r="U18" s="36" t="n">
        <v>20</v>
      </c>
      <c r="V18" s="42" t="n"/>
      <c r="W18" s="41">
        <f>IF(OR(V18="",U18=""),"",V18+U18)</f>
        <v/>
      </c>
      <c r="X18" s="37" t="inlineStr">
        <is>
          <t>ALL: D/T: 10 DAYS, GENUINE, EX WORK BUSAN [VALI: 20 DAYS]</t>
        </is>
      </c>
      <c r="Y18" s="36" t="inlineStr">
        <is>
          <t>검토중</t>
        </is>
      </c>
      <c r="Z18" s="37" t="n"/>
    </row>
    <row r="19">
      <c r="A19" s="35">
        <f>IF(E19="","",ROW()-5)</f>
        <v/>
      </c>
      <c r="B19" s="36" t="inlineStr">
        <is>
          <t>선박요청서-31</t>
        </is>
      </c>
      <c r="C19" s="36" t="inlineStr">
        <is>
          <t>31</t>
        </is>
      </c>
      <c r="D19" s="36" t="inlineStr">
        <is>
          <t>GRUNDFOS</t>
        </is>
      </c>
      <c r="E19" s="37" t="inlineStr">
        <is>
          <t>SPACING PIPE</t>
        </is>
      </c>
      <c r="F19" s="37" t="inlineStr">
        <is>
          <t>GRUNDFOS/CRN3-7</t>
        </is>
      </c>
      <c r="G19" s="37" t="inlineStr">
        <is>
          <t>CRN3-7-64</t>
        </is>
      </c>
      <c r="H19" s="37" t="inlineStr">
        <is>
          <t>ME EGR WTS PUMP</t>
        </is>
      </c>
      <c r="I19" s="37" t="n"/>
      <c r="J19" s="36" t="n">
        <v>7</v>
      </c>
      <c r="K19" s="36" t="inlineStr">
        <is>
          <t>EA</t>
        </is>
      </c>
      <c r="L19" s="36" t="inlineStr">
        <is>
          <t>RMS</t>
        </is>
      </c>
      <c r="M19" s="36" t="inlineStr">
        <is>
          <t>견적접수</t>
        </is>
      </c>
      <c r="N19" s="38" t="n">
        <v>9982.799999999999</v>
      </c>
      <c r="O19" s="39">
        <f>IF(OR(N19="",J19=""),"",N19*J19)</f>
        <v/>
      </c>
      <c r="P19" s="40" t="n">
        <v>10</v>
      </c>
      <c r="Q19" s="41">
        <f>IF(OR(P19="",Y19="발주완료",Y19="취소"),"",TODAY()+P19)</f>
        <v/>
      </c>
      <c r="R19" s="35">
        <f>IF(OR(Q19="",NOT(ISNUMBER($J$2))),"",IF(Q19&lt;=$J$2,"가능","초과 "&amp;(Q19-$J$2)&amp;"일"))</f>
        <v/>
      </c>
      <c r="S19" s="36" t="inlineStr">
        <is>
          <t>GENUINE</t>
        </is>
      </c>
      <c r="T19" s="36" t="inlineStr">
        <is>
          <t>EX WORK BUSAN</t>
        </is>
      </c>
      <c r="U19" s="36" t="n">
        <v>20</v>
      </c>
      <c r="V19" s="42" t="n"/>
      <c r="W19" s="41">
        <f>IF(OR(V19="",U19=""),"",V19+U19)</f>
        <v/>
      </c>
      <c r="X19" s="37" t="inlineStr">
        <is>
          <t>ALL: D/T: 10 DAYS, GENUINE, EX WORK BUSAN [VALI: 20 DAYS]</t>
        </is>
      </c>
      <c r="Y19" s="36" t="inlineStr">
        <is>
          <t>검토중</t>
        </is>
      </c>
      <c r="Z19" s="37" t="n"/>
    </row>
    <row r="20">
      <c r="A20" s="35">
        <f>IF(E20="","",ROW()-5)</f>
        <v/>
      </c>
      <c r="B20" s="36" t="inlineStr">
        <is>
          <t>선박요청서-31</t>
        </is>
      </c>
      <c r="C20" s="36" t="inlineStr">
        <is>
          <t>31</t>
        </is>
      </c>
      <c r="D20" s="36" t="inlineStr">
        <is>
          <t>GRUNDFOS</t>
        </is>
      </c>
      <c r="E20" s="37" t="inlineStr">
        <is>
          <t>SPACING PIPE</t>
        </is>
      </c>
      <c r="F20" s="37" t="inlineStr">
        <is>
          <t>GRUNDFOS/CRN3-7</t>
        </is>
      </c>
      <c r="G20" s="37" t="inlineStr">
        <is>
          <t>CRN3-7-64A</t>
        </is>
      </c>
      <c r="H20" s="37" t="inlineStr">
        <is>
          <t>ME EGR WTS PUMP</t>
        </is>
      </c>
      <c r="I20" s="37" t="n"/>
      <c r="J20" s="36" t="n">
        <v>2</v>
      </c>
      <c r="K20" s="36" t="inlineStr">
        <is>
          <t>EA</t>
        </is>
      </c>
      <c r="L20" s="36" t="inlineStr">
        <is>
          <t>RMS</t>
        </is>
      </c>
      <c r="M20" s="36" t="inlineStr">
        <is>
          <t>견적접수</t>
        </is>
      </c>
      <c r="N20" s="38" t="n">
        <v>6655.2</v>
      </c>
      <c r="O20" s="39">
        <f>IF(OR(N20="",J20=""),"",N20*J20)</f>
        <v/>
      </c>
      <c r="P20" s="40" t="n">
        <v>10</v>
      </c>
      <c r="Q20" s="41">
        <f>IF(OR(P20="",Y20="발주완료",Y20="취소"),"",TODAY()+P20)</f>
        <v/>
      </c>
      <c r="R20" s="35">
        <f>IF(OR(Q20="",NOT(ISNUMBER($J$2))),"",IF(Q20&lt;=$J$2,"가능","초과 "&amp;(Q20-$J$2)&amp;"일"))</f>
        <v/>
      </c>
      <c r="S20" s="36" t="inlineStr">
        <is>
          <t>GENUINE</t>
        </is>
      </c>
      <c r="T20" s="36" t="inlineStr">
        <is>
          <t>EX WORK BUSAN</t>
        </is>
      </c>
      <c r="U20" s="36" t="n">
        <v>20</v>
      </c>
      <c r="V20" s="42" t="n"/>
      <c r="W20" s="41">
        <f>IF(OR(V20="",U20=""),"",V20+U20)</f>
        <v/>
      </c>
      <c r="X20" s="37" t="inlineStr">
        <is>
          <t>ALL: D/T: 10 DAYS, GENUINE, EX WORK BUSAN [VALI: 20 DAYS]</t>
        </is>
      </c>
      <c r="Y20" s="36" t="inlineStr">
        <is>
          <t>검토중</t>
        </is>
      </c>
      <c r="Z20" s="37" t="n"/>
    </row>
    <row r="21">
      <c r="A21" s="35">
        <f>IF(E21="","",ROW()-5)</f>
        <v/>
      </c>
      <c r="B21" s="36" t="inlineStr">
        <is>
          <t>선박요청서-31</t>
        </is>
      </c>
      <c r="C21" s="36" t="inlineStr">
        <is>
          <t>31</t>
        </is>
      </c>
      <c r="D21" s="36" t="inlineStr">
        <is>
          <t>GRUNDFOS</t>
        </is>
      </c>
      <c r="E21" s="37" t="inlineStr">
        <is>
          <t>SPACING PIPE</t>
        </is>
      </c>
      <c r="F21" s="37" t="inlineStr">
        <is>
          <t>GRUNDFOS/CRN3-7</t>
        </is>
      </c>
      <c r="G21" s="37" t="inlineStr">
        <is>
          <t>CRN3-7-64C</t>
        </is>
      </c>
      <c r="H21" s="37" t="inlineStr">
        <is>
          <t>ME EGR WTS PUMP</t>
        </is>
      </c>
      <c r="I21" s="37" t="n"/>
      <c r="J21" s="36" t="n">
        <v>2</v>
      </c>
      <c r="K21" s="36" t="inlineStr">
        <is>
          <t>EA</t>
        </is>
      </c>
      <c r="L21" s="36" t="inlineStr">
        <is>
          <t>RMS</t>
        </is>
      </c>
      <c r="M21" s="36" t="inlineStr">
        <is>
          <t>견적접수</t>
        </is>
      </c>
      <c r="N21" s="38" t="n">
        <v>27730</v>
      </c>
      <c r="O21" s="39">
        <f>IF(OR(N21="",J21=""),"",N21*J21)</f>
        <v/>
      </c>
      <c r="P21" s="40" t="n">
        <v>10</v>
      </c>
      <c r="Q21" s="41">
        <f>IF(OR(P21="",Y21="발주완료",Y21="취소"),"",TODAY()+P21)</f>
        <v/>
      </c>
      <c r="R21" s="35">
        <f>IF(OR(Q21="",NOT(ISNUMBER($J$2))),"",IF(Q21&lt;=$J$2,"가능","초과 "&amp;(Q21-$J$2)&amp;"일"))</f>
        <v/>
      </c>
      <c r="S21" s="36" t="inlineStr">
        <is>
          <t>GENUINE</t>
        </is>
      </c>
      <c r="T21" s="36" t="inlineStr">
        <is>
          <t>EX WORK BUSAN</t>
        </is>
      </c>
      <c r="U21" s="36" t="n">
        <v>20</v>
      </c>
      <c r="V21" s="42" t="n"/>
      <c r="W21" s="41">
        <f>IF(OR(V21="",U21=""),"",V21+U21)</f>
        <v/>
      </c>
      <c r="X21" s="37" t="inlineStr">
        <is>
          <t>ALL: D/T: 10 DAYS, GENUINE, EX WORK BUSAN [VALI: 20 DAYS]</t>
        </is>
      </c>
      <c r="Y21" s="36" t="inlineStr">
        <is>
          <t>검토중</t>
        </is>
      </c>
      <c r="Z21" s="37" t="n"/>
    </row>
    <row r="22">
      <c r="A22" s="35">
        <f>IF(E22="","",ROW()-5)</f>
        <v/>
      </c>
      <c r="B22" s="36" t="inlineStr">
        <is>
          <t>선박요청서-31</t>
        </is>
      </c>
      <c r="C22" s="36" t="inlineStr">
        <is>
          <t>31</t>
        </is>
      </c>
      <c r="D22" s="36" t="inlineStr">
        <is>
          <t>GRUNDFOS</t>
        </is>
      </c>
      <c r="E22" s="37" t="inlineStr">
        <is>
          <t>PACKING FOR IMPELLER</t>
        </is>
      </c>
      <c r="F22" s="37" t="inlineStr">
        <is>
          <t>GRUNDFOS/CRN3-8</t>
        </is>
      </c>
      <c r="G22" s="37" t="n"/>
      <c r="H22" s="37" t="inlineStr">
        <is>
          <t>ME EGR WTS PUMP</t>
        </is>
      </c>
      <c r="I22" s="37" t="n"/>
      <c r="J22" s="36" t="n">
        <v>14</v>
      </c>
      <c r="K22" s="36" t="inlineStr">
        <is>
          <t>EA</t>
        </is>
      </c>
      <c r="L22" s="36" t="inlineStr">
        <is>
          <t>RMS</t>
        </is>
      </c>
      <c r="M22" s="36" t="inlineStr">
        <is>
          <t>공급불가</t>
        </is>
      </c>
      <c r="N22" s="38" t="n"/>
      <c r="O22" s="39">
        <f>IF(OR(N22="",J22=""),"",N22*J22)</f>
        <v/>
      </c>
      <c r="P22" s="40" t="n"/>
      <c r="Q22" s="41">
        <f>IF(OR(P22="",Y22="발주완료",Y22="취소"),"",TODAY()+P22)</f>
        <v/>
      </c>
      <c r="R22" s="35">
        <f>IF(OR(Q22="",NOT(ISNUMBER($J$2))),"",IF(Q22&lt;=$J$2,"가능","초과 "&amp;(Q22-$J$2)&amp;"일"))</f>
        <v/>
      </c>
      <c r="S22" s="36" t="n"/>
      <c r="T22" s="36" t="n"/>
      <c r="U22" s="36" t="n"/>
      <c r="V22" s="42" t="n"/>
      <c r="W22" s="41">
        <f>IF(OR(V22="",U22=""),"",V22+U22)</f>
        <v/>
      </c>
      <c r="X22" s="37" t="inlineStr">
        <is>
          <t>NOT AVAILABLE</t>
        </is>
      </c>
      <c r="Y22" s="36" t="inlineStr">
        <is>
          <t>타업체 문의</t>
        </is>
      </c>
      <c r="Z22" s="37" t="inlineStr">
        <is>
          <t>타 업체 견적 요청</t>
        </is>
      </c>
    </row>
    <row r="23">
      <c r="A23" s="35">
        <f>IF(E23="","",ROW()-5)</f>
        <v/>
      </c>
      <c r="B23" s="36" t="inlineStr">
        <is>
          <t>선박요청서-31</t>
        </is>
      </c>
      <c r="C23" s="36" t="inlineStr">
        <is>
          <t>31</t>
        </is>
      </c>
      <c r="D23" s="36" t="inlineStr">
        <is>
          <t>GRUNDFOS</t>
        </is>
      </c>
      <c r="E23" s="37" t="inlineStr">
        <is>
          <t>IMPELLER</t>
        </is>
      </c>
      <c r="F23" s="37" t="inlineStr">
        <is>
          <t>GRUNDFOS/CRN3-7</t>
        </is>
      </c>
      <c r="G23" s="37" t="inlineStr">
        <is>
          <t>CRN3-7-49</t>
        </is>
      </c>
      <c r="H23" s="37" t="inlineStr">
        <is>
          <t>ME EGR WTS PUMP</t>
        </is>
      </c>
      <c r="I23" s="37" t="n"/>
      <c r="J23" s="36" t="n">
        <v>8</v>
      </c>
      <c r="K23" s="36" t="inlineStr">
        <is>
          <t>EA</t>
        </is>
      </c>
      <c r="L23" s="36" t="inlineStr">
        <is>
          <t>RMS</t>
        </is>
      </c>
      <c r="M23" s="36" t="inlineStr">
        <is>
          <t>견적접수</t>
        </is>
      </c>
      <c r="N23" s="38" t="n">
        <v>33276</v>
      </c>
      <c r="O23" s="39">
        <f>IF(OR(N23="",J23=""),"",N23*J23)</f>
        <v/>
      </c>
      <c r="P23" s="40" t="n">
        <v>10</v>
      </c>
      <c r="Q23" s="41">
        <f>IF(OR(P23="",Y23="발주완료",Y23="취소"),"",TODAY()+P23)</f>
        <v/>
      </c>
      <c r="R23" s="35">
        <f>IF(OR(Q23="",NOT(ISNUMBER($J$2))),"",IF(Q23&lt;=$J$2,"가능","초과 "&amp;(Q23-$J$2)&amp;"일"))</f>
        <v/>
      </c>
      <c r="S23" s="36" t="inlineStr">
        <is>
          <t>GENUINE</t>
        </is>
      </c>
      <c r="T23" s="36" t="inlineStr">
        <is>
          <t>EX WORK BUSAN</t>
        </is>
      </c>
      <c r="U23" s="36" t="n">
        <v>20</v>
      </c>
      <c r="V23" s="42" t="n"/>
      <c r="W23" s="41">
        <f>IF(OR(V23="",U23=""),"",V23+U23)</f>
        <v/>
      </c>
      <c r="X23" s="37" t="inlineStr">
        <is>
          <t>ALL: D/T: 10 DAYS, GENUINE, EX WORK BUSAN [VALI: 20 DAYS]</t>
        </is>
      </c>
      <c r="Y23" s="36" t="inlineStr">
        <is>
          <t>검토중</t>
        </is>
      </c>
      <c r="Z23" s="37" t="n"/>
    </row>
    <row r="24">
      <c r="A24" s="35">
        <f>IF(E24="","",ROW()-5)</f>
        <v/>
      </c>
      <c r="B24" s="36" t="inlineStr">
        <is>
          <t>선박요청서-31</t>
        </is>
      </c>
      <c r="C24" s="36" t="inlineStr">
        <is>
          <t>31</t>
        </is>
      </c>
      <c r="D24" s="36" t="inlineStr">
        <is>
          <t>GRUNDFOS</t>
        </is>
      </c>
      <c r="E24" s="37" t="inlineStr">
        <is>
          <t>IMPELLER, SPECIAL</t>
        </is>
      </c>
      <c r="F24" s="37" t="inlineStr">
        <is>
          <t>GRUNDFOS/CRN3-7</t>
        </is>
      </c>
      <c r="G24" s="37" t="inlineStr">
        <is>
          <t>CRN3-7-49G</t>
        </is>
      </c>
      <c r="H24" s="37" t="inlineStr">
        <is>
          <t>ME EGR WTS PUMP</t>
        </is>
      </c>
      <c r="I24" s="37" t="n"/>
      <c r="J24" s="36" t="n">
        <v>2</v>
      </c>
      <c r="K24" s="36" t="inlineStr">
        <is>
          <t>EA</t>
        </is>
      </c>
      <c r="L24" s="36" t="inlineStr">
        <is>
          <t>RMS</t>
        </is>
      </c>
      <c r="M24" s="36" t="inlineStr">
        <is>
          <t>공급불가</t>
        </is>
      </c>
      <c r="N24" s="38" t="n"/>
      <c r="O24" s="39">
        <f>IF(OR(N24="",J24=""),"",N24*J24)</f>
        <v/>
      </c>
      <c r="P24" s="40" t="n"/>
      <c r="Q24" s="41">
        <f>IF(OR(P24="",Y24="발주완료",Y24="취소"),"",TODAY()+P24)</f>
        <v/>
      </c>
      <c r="R24" s="35">
        <f>IF(OR(Q24="",NOT(ISNUMBER($J$2))),"",IF(Q24&lt;=$J$2,"가능","초과 "&amp;(Q24-$J$2)&amp;"일"))</f>
        <v/>
      </c>
      <c r="S24" s="36" t="n"/>
      <c r="T24" s="36" t="n"/>
      <c r="U24" s="36" t="n"/>
      <c r="V24" s="42" t="n"/>
      <c r="W24" s="41">
        <f>IF(OR(V24="",U24=""),"",V24+U24)</f>
        <v/>
      </c>
      <c r="X24" s="37" t="inlineStr">
        <is>
          <t>NOT AVAILABLE</t>
        </is>
      </c>
      <c r="Y24" s="36" t="inlineStr">
        <is>
          <t>타업체 문의</t>
        </is>
      </c>
      <c r="Z24" s="37" t="inlineStr">
        <is>
          <t>타 업체 견적 요청</t>
        </is>
      </c>
    </row>
    <row r="25">
      <c r="A25" s="35">
        <f>IF(E25="","",ROW()-5)</f>
        <v/>
      </c>
      <c r="B25" s="36" t="inlineStr">
        <is>
          <t>선박요청서-31</t>
        </is>
      </c>
      <c r="C25" s="36" t="inlineStr">
        <is>
          <t>31</t>
        </is>
      </c>
      <c r="D25" s="36" t="inlineStr">
        <is>
          <t>GRUNDFOS</t>
        </is>
      </c>
      <c r="E25" s="37" t="inlineStr">
        <is>
          <t>WASHER</t>
        </is>
      </c>
      <c r="F25" s="37" t="inlineStr">
        <is>
          <t>GRUNDFOS/CRN3-7</t>
        </is>
      </c>
      <c r="G25" s="37" t="inlineStr">
        <is>
          <t>CRN3-7-66</t>
        </is>
      </c>
      <c r="H25" s="37" t="inlineStr">
        <is>
          <t>ME EGR WTS PUMP</t>
        </is>
      </c>
      <c r="I25" s="37" t="n"/>
      <c r="J25" s="36" t="n">
        <v>4</v>
      </c>
      <c r="K25" s="36" t="inlineStr">
        <is>
          <t>EA</t>
        </is>
      </c>
      <c r="L25" s="36" t="inlineStr">
        <is>
          <t>RMS</t>
        </is>
      </c>
      <c r="M25" s="36" t="inlineStr">
        <is>
          <t>견적접수</t>
        </is>
      </c>
      <c r="N25" s="38" t="n">
        <v>14419.6</v>
      </c>
      <c r="O25" s="39">
        <f>IF(OR(N25="",J25=""),"",N25*J25)</f>
        <v/>
      </c>
      <c r="P25" s="40" t="n">
        <v>10</v>
      </c>
      <c r="Q25" s="41">
        <f>IF(OR(P25="",Y25="발주완료",Y25="취소"),"",TODAY()+P25)</f>
        <v/>
      </c>
      <c r="R25" s="35">
        <f>IF(OR(Q25="",NOT(ISNUMBER($J$2))),"",IF(Q25&lt;=$J$2,"가능","초과 "&amp;(Q25-$J$2)&amp;"일"))</f>
        <v/>
      </c>
      <c r="S25" s="36" t="inlineStr">
        <is>
          <t>GENUINE</t>
        </is>
      </c>
      <c r="T25" s="36" t="inlineStr">
        <is>
          <t>EX WORK BUSAN</t>
        </is>
      </c>
      <c r="U25" s="36" t="n">
        <v>20</v>
      </c>
      <c r="V25" s="42" t="n"/>
      <c r="W25" s="41">
        <f>IF(OR(V25="",U25=""),"",V25+U25)</f>
        <v/>
      </c>
      <c r="X25" s="37" t="inlineStr">
        <is>
          <t>ALL: D/T: 10 DAYS, GENUINE, EX WORK BUSAN [VALI: 20 DAYS]</t>
        </is>
      </c>
      <c r="Y25" s="36" t="inlineStr">
        <is>
          <t>검토중</t>
        </is>
      </c>
      <c r="Z25" s="37" t="n"/>
    </row>
    <row r="26">
      <c r="A26" s="35">
        <f>IF(E26="","",ROW()-5)</f>
        <v/>
      </c>
      <c r="B26" s="36" t="inlineStr">
        <is>
          <t>선박요청서-31</t>
        </is>
      </c>
      <c r="C26" s="36" t="inlineStr">
        <is>
          <t>31</t>
        </is>
      </c>
      <c r="D26" s="36" t="inlineStr">
        <is>
          <t>GRUNDFOS</t>
        </is>
      </c>
      <c r="E26" s="37" t="inlineStr">
        <is>
          <t>NUT</t>
        </is>
      </c>
      <c r="F26" s="37" t="inlineStr">
        <is>
          <t>GRUNDFOS/CRN3-7</t>
        </is>
      </c>
      <c r="G26" s="37" t="inlineStr">
        <is>
          <t>CRN3-7-67</t>
        </is>
      </c>
      <c r="H26" s="37" t="inlineStr">
        <is>
          <t>ME EGR WTS PUMP</t>
        </is>
      </c>
      <c r="I26" s="37" t="n"/>
      <c r="J26" s="36" t="n">
        <v>2</v>
      </c>
      <c r="K26" s="36" t="inlineStr">
        <is>
          <t>EA</t>
        </is>
      </c>
      <c r="L26" s="36" t="inlineStr">
        <is>
          <t>RMS</t>
        </is>
      </c>
      <c r="M26" s="36" t="inlineStr">
        <is>
          <t>견적접수</t>
        </is>
      </c>
      <c r="N26" s="38" t="n">
        <v>8873.6</v>
      </c>
      <c r="O26" s="39">
        <f>IF(OR(N26="",J26=""),"",N26*J26)</f>
        <v/>
      </c>
      <c r="P26" s="40" t="n">
        <v>10</v>
      </c>
      <c r="Q26" s="41">
        <f>IF(OR(P26="",Y26="발주완료",Y26="취소"),"",TODAY()+P26)</f>
        <v/>
      </c>
      <c r="R26" s="35">
        <f>IF(OR(Q26="",NOT(ISNUMBER($J$2))),"",IF(Q26&lt;=$J$2,"가능","초과 "&amp;(Q26-$J$2)&amp;"일"))</f>
        <v/>
      </c>
      <c r="S26" s="36" t="inlineStr">
        <is>
          <t>GENUINE</t>
        </is>
      </c>
      <c r="T26" s="36" t="inlineStr">
        <is>
          <t>EX WORK BUSAN</t>
        </is>
      </c>
      <c r="U26" s="36" t="n">
        <v>20</v>
      </c>
      <c r="V26" s="42" t="n"/>
      <c r="W26" s="41">
        <f>IF(OR(V26="",U26=""),"",V26+U26)</f>
        <v/>
      </c>
      <c r="X26" s="37" t="inlineStr">
        <is>
          <t>ALL: D/T: 10 DAYS, GENUINE, EX WORK BUSAN [VALI: 20 DAYS]</t>
        </is>
      </c>
      <c r="Y26" s="36" t="inlineStr">
        <is>
          <t>검토중</t>
        </is>
      </c>
      <c r="Z26" s="37" t="n"/>
    </row>
    <row r="27">
      <c r="A27" s="35">
        <f>IF(E27="","",ROW()-5)</f>
        <v/>
      </c>
      <c r="B27" s="36" t="inlineStr">
        <is>
          <t>선박요청서-31</t>
        </is>
      </c>
      <c r="C27" s="36" t="inlineStr">
        <is>
          <t>31</t>
        </is>
      </c>
      <c r="D27" s="36" t="inlineStr">
        <is>
          <t>GRUNDFOS</t>
        </is>
      </c>
      <c r="E27" s="37" t="inlineStr">
        <is>
          <t>M/SEAL</t>
        </is>
      </c>
      <c r="F27" s="37" t="inlineStr">
        <is>
          <t>GRUNDFOS/CRN3-7</t>
        </is>
      </c>
      <c r="G27" s="37" t="n"/>
      <c r="H27" s="37" t="inlineStr">
        <is>
          <t>ME EGR WTS PUMP</t>
        </is>
      </c>
      <c r="I27" s="37" t="n"/>
      <c r="J27" s="36" t="n">
        <v>2</v>
      </c>
      <c r="K27" s="36" t="inlineStr">
        <is>
          <t>SET</t>
        </is>
      </c>
      <c r="L27" s="36" t="inlineStr">
        <is>
          <t>RMS</t>
        </is>
      </c>
      <c r="M27" s="36" t="inlineStr">
        <is>
          <t>견적접수</t>
        </is>
      </c>
      <c r="N27" s="38" t="n">
        <v>288392</v>
      </c>
      <c r="O27" s="39">
        <f>IF(OR(N27="",J27=""),"",N27*J27)</f>
        <v/>
      </c>
      <c r="P27" s="40" t="n">
        <v>10</v>
      </c>
      <c r="Q27" s="41">
        <f>IF(OR(P27="",Y27="발주완료",Y27="취소"),"",TODAY()+P27)</f>
        <v/>
      </c>
      <c r="R27" s="35">
        <f>IF(OR(Q27="",NOT(ISNUMBER($J$2))),"",IF(Q27&lt;=$J$2,"가능","초과 "&amp;(Q27-$J$2)&amp;"일"))</f>
        <v/>
      </c>
      <c r="S27" s="36" t="inlineStr">
        <is>
          <t>GENUINE</t>
        </is>
      </c>
      <c r="T27" s="36" t="inlineStr">
        <is>
          <t>EX WORK BUSAN</t>
        </is>
      </c>
      <c r="U27" s="36" t="n">
        <v>20</v>
      </c>
      <c r="V27" s="42" t="n"/>
      <c r="W27" s="41">
        <f>IF(OR(V27="",U27=""),"",V27+U27)</f>
        <v/>
      </c>
      <c r="X27" s="37" t="inlineStr">
        <is>
          <t>ALL: D/T: 10 DAYS, GENUINE, EX WORK BUSAN [VALI: 20 DAYS]</t>
        </is>
      </c>
      <c r="Y27" s="36" t="inlineStr">
        <is>
          <t>검토중</t>
        </is>
      </c>
      <c r="Z27" s="37" t="n"/>
    </row>
    <row r="28">
      <c r="A28" s="35">
        <f>IF(E28="","",ROW()-5)</f>
        <v/>
      </c>
      <c r="B28" s="36" t="inlineStr">
        <is>
          <t>선박요청서-31</t>
        </is>
      </c>
      <c r="C28" s="36" t="inlineStr">
        <is>
          <t>31</t>
        </is>
      </c>
      <c r="D28" s="36" t="inlineStr">
        <is>
          <t>GRUNDFOS</t>
        </is>
      </c>
      <c r="E28" s="37" t="inlineStr">
        <is>
          <t>BEARING RING</t>
        </is>
      </c>
      <c r="F28" s="37" t="inlineStr">
        <is>
          <t>GRUNDFOS/CRN3-7</t>
        </is>
      </c>
      <c r="G28" s="37" t="inlineStr">
        <is>
          <t>CRN3-7-47A</t>
        </is>
      </c>
      <c r="H28" s="37" t="inlineStr">
        <is>
          <t>ME EGR WTS PUMP</t>
        </is>
      </c>
      <c r="I28" s="37" t="n"/>
      <c r="J28" s="36" t="n">
        <v>2</v>
      </c>
      <c r="K28" s="36" t="inlineStr">
        <is>
          <t>EA</t>
        </is>
      </c>
      <c r="L28" s="36" t="inlineStr">
        <is>
          <t>RMS</t>
        </is>
      </c>
      <c r="M28" s="36" t="inlineStr">
        <is>
          <t>견적접수</t>
        </is>
      </c>
      <c r="N28" s="38" t="n">
        <v>33276</v>
      </c>
      <c r="O28" s="39">
        <f>IF(OR(N28="",J28=""),"",N28*J28)</f>
        <v/>
      </c>
      <c r="P28" s="40" t="n">
        <v>10</v>
      </c>
      <c r="Q28" s="41">
        <f>IF(OR(P28="",Y28="발주완료",Y28="취소"),"",TODAY()+P28)</f>
        <v/>
      </c>
      <c r="R28" s="35">
        <f>IF(OR(Q28="",NOT(ISNUMBER($J$2))),"",IF(Q28&lt;=$J$2,"가능","초과 "&amp;(Q28-$J$2)&amp;"일"))</f>
        <v/>
      </c>
      <c r="S28" s="36" t="inlineStr">
        <is>
          <t>GENUINE</t>
        </is>
      </c>
      <c r="T28" s="36" t="inlineStr">
        <is>
          <t>EX WORK BUSAN</t>
        </is>
      </c>
      <c r="U28" s="36" t="n">
        <v>20</v>
      </c>
      <c r="V28" s="42" t="n"/>
      <c r="W28" s="41">
        <f>IF(OR(V28="",U28=""),"",V28+U28)</f>
        <v/>
      </c>
      <c r="X28" s="37" t="inlineStr">
        <is>
          <t>ALL: D/T: 10 DAYS, GENUINE, EX WORK BUSAN [VALI: 20 DAYS]</t>
        </is>
      </c>
      <c r="Y28" s="36" t="inlineStr">
        <is>
          <t>검토중</t>
        </is>
      </c>
      <c r="Z28" s="37" t="n"/>
    </row>
    <row r="29">
      <c r="A29" s="35">
        <f>IF(E29="","",ROW()-5)</f>
        <v/>
      </c>
      <c r="B29" s="36" t="n"/>
      <c r="C29" s="36" t="n"/>
      <c r="D29" s="36" t="n"/>
      <c r="E29" s="37" t="n"/>
      <c r="F29" s="37" t="n"/>
      <c r="G29" s="37" t="n"/>
      <c r="H29" s="37" t="n"/>
      <c r="I29" s="37" t="n"/>
      <c r="J29" s="36" t="n"/>
      <c r="K29" s="36" t="n"/>
      <c r="L29" s="36" t="n"/>
      <c r="M29" s="36" t="n"/>
      <c r="N29" s="38" t="n"/>
      <c r="O29" s="39">
        <f>IF(OR(N29="",J29=""),"",N29*J29)</f>
        <v/>
      </c>
      <c r="P29" s="40" t="n"/>
      <c r="Q29" s="41">
        <f>IF(OR(P29="",Y29="발주완료",Y29="취소"),"",TODAY()+P29)</f>
        <v/>
      </c>
      <c r="R29" s="35">
        <f>IF(OR(Q29="",NOT(ISNUMBER($J$2))),"",IF(Q29&lt;=$J$2,"가능","초과 "&amp;(Q29-$J$2)&amp;"일"))</f>
        <v/>
      </c>
      <c r="S29" s="36" t="n"/>
      <c r="T29" s="36" t="n"/>
      <c r="U29" s="36" t="n"/>
      <c r="V29" s="43" t="n"/>
      <c r="W29" s="41">
        <f>IF(OR(V29="",U29=""),"",V29+U29)</f>
        <v/>
      </c>
      <c r="X29" s="37" t="n"/>
      <c r="Y29" s="36" t="n"/>
      <c r="Z29" s="37" t="n"/>
    </row>
    <row r="30">
      <c r="A30" s="35">
        <f>IF(E30="","",ROW()-5)</f>
        <v/>
      </c>
      <c r="B30" s="36" t="n"/>
      <c r="C30" s="36" t="n"/>
      <c r="D30" s="36" t="n"/>
      <c r="E30" s="37" t="n"/>
      <c r="F30" s="37" t="n"/>
      <c r="G30" s="37" t="n"/>
      <c r="H30" s="37" t="n"/>
      <c r="I30" s="37" t="n"/>
      <c r="J30" s="36" t="n"/>
      <c r="K30" s="36" t="n"/>
      <c r="L30" s="36" t="n"/>
      <c r="M30" s="36" t="n"/>
      <c r="N30" s="38" t="n"/>
      <c r="O30" s="39">
        <f>IF(OR(N30="",J30=""),"",N30*J30)</f>
        <v/>
      </c>
      <c r="P30" s="40" t="n"/>
      <c r="Q30" s="41">
        <f>IF(OR(P30="",Y30="발주완료",Y30="취소"),"",TODAY()+P30)</f>
        <v/>
      </c>
      <c r="R30" s="35">
        <f>IF(OR(Q30="",NOT(ISNUMBER($J$2))),"",IF(Q30&lt;=$J$2,"가능","초과 "&amp;(Q30-$J$2)&amp;"일"))</f>
        <v/>
      </c>
      <c r="S30" s="36" t="n"/>
      <c r="T30" s="36" t="n"/>
      <c r="U30" s="36" t="n"/>
      <c r="V30" s="43" t="n"/>
      <c r="W30" s="41">
        <f>IF(OR(V30="",U30=""),"",V30+U30)</f>
        <v/>
      </c>
      <c r="X30" s="37" t="n"/>
      <c r="Y30" s="36" t="n"/>
      <c r="Z30" s="37" t="n"/>
    </row>
    <row r="31">
      <c r="A31" s="35">
        <f>IF(E31="","",ROW()-5)</f>
        <v/>
      </c>
      <c r="B31" s="36" t="n"/>
      <c r="C31" s="36" t="n"/>
      <c r="D31" s="36" t="n"/>
      <c r="E31" s="37" t="n"/>
      <c r="F31" s="37" t="n"/>
      <c r="G31" s="37" t="n"/>
      <c r="H31" s="37" t="n"/>
      <c r="I31" s="37" t="n"/>
      <c r="J31" s="36" t="n"/>
      <c r="K31" s="36" t="n"/>
      <c r="L31" s="36" t="n"/>
      <c r="M31" s="36" t="n"/>
      <c r="N31" s="38" t="n"/>
      <c r="O31" s="39">
        <f>IF(OR(N31="",J31=""),"",N31*J31)</f>
        <v/>
      </c>
      <c r="P31" s="40" t="n"/>
      <c r="Q31" s="41">
        <f>IF(OR(P31="",Y31="발주완료",Y31="취소"),"",TODAY()+P31)</f>
        <v/>
      </c>
      <c r="R31" s="35">
        <f>IF(OR(Q31="",NOT(ISNUMBER($J$2))),"",IF(Q31&lt;=$J$2,"가능","초과 "&amp;(Q31-$J$2)&amp;"일"))</f>
        <v/>
      </c>
      <c r="S31" s="36" t="n"/>
      <c r="T31" s="36" t="n"/>
      <c r="U31" s="36" t="n"/>
      <c r="V31" s="43" t="n"/>
      <c r="W31" s="41">
        <f>IF(OR(V31="",U31=""),"",V31+U31)</f>
        <v/>
      </c>
      <c r="X31" s="37" t="n"/>
      <c r="Y31" s="36" t="n"/>
      <c r="Z31" s="37" t="n"/>
    </row>
    <row r="32">
      <c r="A32" s="35">
        <f>IF(E32="","",ROW()-5)</f>
        <v/>
      </c>
      <c r="B32" s="36" t="n"/>
      <c r="C32" s="36" t="n"/>
      <c r="D32" s="36" t="n"/>
      <c r="E32" s="37" t="n"/>
      <c r="F32" s="37" t="n"/>
      <c r="G32" s="37" t="n"/>
      <c r="H32" s="37" t="n"/>
      <c r="I32" s="37" t="n"/>
      <c r="J32" s="36" t="n"/>
      <c r="K32" s="36" t="n"/>
      <c r="L32" s="36" t="n"/>
      <c r="M32" s="36" t="n"/>
      <c r="N32" s="38" t="n"/>
      <c r="O32" s="39">
        <f>IF(OR(N32="",J32=""),"",N32*J32)</f>
        <v/>
      </c>
      <c r="P32" s="40" t="n"/>
      <c r="Q32" s="41">
        <f>IF(OR(P32="",Y32="발주완료",Y32="취소"),"",TODAY()+P32)</f>
        <v/>
      </c>
      <c r="R32" s="35">
        <f>IF(OR(Q32="",NOT(ISNUMBER($J$2))),"",IF(Q32&lt;=$J$2,"가능","초과 "&amp;(Q32-$J$2)&amp;"일"))</f>
        <v/>
      </c>
      <c r="S32" s="36" t="n"/>
      <c r="T32" s="36" t="n"/>
      <c r="U32" s="36" t="n"/>
      <c r="V32" s="43" t="n"/>
      <c r="W32" s="41">
        <f>IF(OR(V32="",U32=""),"",V32+U32)</f>
        <v/>
      </c>
      <c r="X32" s="37" t="n"/>
      <c r="Y32" s="36" t="n"/>
      <c r="Z32" s="37" t="n"/>
    </row>
    <row r="33">
      <c r="A33" s="35">
        <f>IF(E33="","",ROW()-5)</f>
        <v/>
      </c>
      <c r="B33" s="36" t="n"/>
      <c r="C33" s="36" t="n"/>
      <c r="D33" s="36" t="n"/>
      <c r="E33" s="37" t="n"/>
      <c r="F33" s="37" t="n"/>
      <c r="G33" s="37" t="n"/>
      <c r="H33" s="37" t="n"/>
      <c r="I33" s="37" t="n"/>
      <c r="J33" s="36" t="n"/>
      <c r="K33" s="36" t="n"/>
      <c r="L33" s="36" t="n"/>
      <c r="M33" s="36" t="n"/>
      <c r="N33" s="38" t="n"/>
      <c r="O33" s="39">
        <f>IF(OR(N33="",J33=""),"",N33*J33)</f>
        <v/>
      </c>
      <c r="P33" s="40" t="n"/>
      <c r="Q33" s="41">
        <f>IF(OR(P33="",Y33="발주완료",Y33="취소"),"",TODAY()+P33)</f>
        <v/>
      </c>
      <c r="R33" s="35">
        <f>IF(OR(Q33="",NOT(ISNUMBER($J$2))),"",IF(Q33&lt;=$J$2,"가능","초과 "&amp;(Q33-$J$2)&amp;"일"))</f>
        <v/>
      </c>
      <c r="S33" s="36" t="n"/>
      <c r="T33" s="36" t="n"/>
      <c r="U33" s="36" t="n"/>
      <c r="V33" s="43" t="n"/>
      <c r="W33" s="41">
        <f>IF(OR(V33="",U33=""),"",V33+U33)</f>
        <v/>
      </c>
      <c r="X33" s="37" t="n"/>
      <c r="Y33" s="36" t="n"/>
      <c r="Z33" s="37" t="n"/>
    </row>
    <row r="34">
      <c r="A34" s="35">
        <f>IF(E34="","",ROW()-5)</f>
        <v/>
      </c>
      <c r="B34" s="36" t="n"/>
      <c r="C34" s="36" t="n"/>
      <c r="D34" s="36" t="n"/>
      <c r="E34" s="37" t="n"/>
      <c r="F34" s="37" t="n"/>
      <c r="G34" s="37" t="n"/>
      <c r="H34" s="37" t="n"/>
      <c r="I34" s="37" t="n"/>
      <c r="J34" s="36" t="n"/>
      <c r="K34" s="36" t="n"/>
      <c r="L34" s="36" t="n"/>
      <c r="M34" s="36" t="n"/>
      <c r="N34" s="38" t="n"/>
      <c r="O34" s="39">
        <f>IF(OR(N34="",J34=""),"",N34*J34)</f>
        <v/>
      </c>
      <c r="P34" s="40" t="n"/>
      <c r="Q34" s="41">
        <f>IF(OR(P34="",Y34="발주완료",Y34="취소"),"",TODAY()+P34)</f>
        <v/>
      </c>
      <c r="R34" s="35">
        <f>IF(OR(Q34="",NOT(ISNUMBER($J$2))),"",IF(Q34&lt;=$J$2,"가능","초과 "&amp;(Q34-$J$2)&amp;"일"))</f>
        <v/>
      </c>
      <c r="S34" s="36" t="n"/>
      <c r="T34" s="36" t="n"/>
      <c r="U34" s="36" t="n"/>
      <c r="V34" s="43" t="n"/>
      <c r="W34" s="41">
        <f>IF(OR(V34="",U34=""),"",V34+U34)</f>
        <v/>
      </c>
      <c r="X34" s="37" t="n"/>
      <c r="Y34" s="36" t="n"/>
      <c r="Z34" s="37" t="n"/>
    </row>
    <row r="35">
      <c r="A35" s="35">
        <f>IF(E35="","",ROW()-5)</f>
        <v/>
      </c>
      <c r="B35" s="36" t="n"/>
      <c r="C35" s="36" t="n"/>
      <c r="D35" s="36" t="n"/>
      <c r="E35" s="37" t="n"/>
      <c r="F35" s="37" t="n"/>
      <c r="G35" s="37" t="n"/>
      <c r="H35" s="37" t="n"/>
      <c r="I35" s="37" t="n"/>
      <c r="J35" s="36" t="n"/>
      <c r="K35" s="36" t="n"/>
      <c r="L35" s="36" t="n"/>
      <c r="M35" s="36" t="n"/>
      <c r="N35" s="38" t="n"/>
      <c r="O35" s="39">
        <f>IF(OR(N35="",J35=""),"",N35*J35)</f>
        <v/>
      </c>
      <c r="P35" s="40" t="n"/>
      <c r="Q35" s="41">
        <f>IF(OR(P35="",Y35="발주완료",Y35="취소"),"",TODAY()+P35)</f>
        <v/>
      </c>
      <c r="R35" s="35">
        <f>IF(OR(Q35="",NOT(ISNUMBER($J$2))),"",IF(Q35&lt;=$J$2,"가능","초과 "&amp;(Q35-$J$2)&amp;"일"))</f>
        <v/>
      </c>
      <c r="S35" s="36" t="n"/>
      <c r="T35" s="36" t="n"/>
      <c r="U35" s="36" t="n"/>
      <c r="V35" s="43" t="n"/>
      <c r="W35" s="41">
        <f>IF(OR(V35="",U35=""),"",V35+U35)</f>
        <v/>
      </c>
      <c r="X35" s="37" t="n"/>
      <c r="Y35" s="36" t="n"/>
      <c r="Z35" s="37" t="n"/>
    </row>
    <row r="36">
      <c r="A36" s="35">
        <f>IF(E36="","",ROW()-5)</f>
        <v/>
      </c>
      <c r="B36" s="36" t="n"/>
      <c r="C36" s="36" t="n"/>
      <c r="D36" s="36" t="n"/>
      <c r="E36" s="37" t="n"/>
      <c r="F36" s="37" t="n"/>
      <c r="G36" s="37" t="n"/>
      <c r="H36" s="37" t="n"/>
      <c r="I36" s="37" t="n"/>
      <c r="J36" s="36" t="n"/>
      <c r="K36" s="36" t="n"/>
      <c r="L36" s="36" t="n"/>
      <c r="M36" s="36" t="n"/>
      <c r="N36" s="38" t="n"/>
      <c r="O36" s="39">
        <f>IF(OR(N36="",J36=""),"",N36*J36)</f>
        <v/>
      </c>
      <c r="P36" s="40" t="n"/>
      <c r="Q36" s="41">
        <f>IF(OR(P36="",Y36="발주완료",Y36="취소"),"",TODAY()+P36)</f>
        <v/>
      </c>
      <c r="R36" s="35">
        <f>IF(OR(Q36="",NOT(ISNUMBER($J$2))),"",IF(Q36&lt;=$J$2,"가능","초과 "&amp;(Q36-$J$2)&amp;"일"))</f>
        <v/>
      </c>
      <c r="S36" s="36" t="n"/>
      <c r="T36" s="36" t="n"/>
      <c r="U36" s="36" t="n"/>
      <c r="V36" s="43" t="n"/>
      <c r="W36" s="41">
        <f>IF(OR(V36="",U36=""),"",V36+U36)</f>
        <v/>
      </c>
      <c r="X36" s="37" t="n"/>
      <c r="Y36" s="36" t="n"/>
      <c r="Z36" s="37" t="n"/>
    </row>
    <row r="37">
      <c r="A37" s="35">
        <f>IF(E37="","",ROW()-5)</f>
        <v/>
      </c>
      <c r="B37" s="36" t="n"/>
      <c r="C37" s="36" t="n"/>
      <c r="D37" s="36" t="n"/>
      <c r="E37" s="37" t="n"/>
      <c r="F37" s="37" t="n"/>
      <c r="G37" s="37" t="n"/>
      <c r="H37" s="37" t="n"/>
      <c r="I37" s="37" t="n"/>
      <c r="J37" s="36" t="n"/>
      <c r="K37" s="36" t="n"/>
      <c r="L37" s="36" t="n"/>
      <c r="M37" s="36" t="n"/>
      <c r="N37" s="38" t="n"/>
      <c r="O37" s="39">
        <f>IF(OR(N37="",J37=""),"",N37*J37)</f>
        <v/>
      </c>
      <c r="P37" s="40" t="n"/>
      <c r="Q37" s="41">
        <f>IF(OR(P37="",Y37="발주완료",Y37="취소"),"",TODAY()+P37)</f>
        <v/>
      </c>
      <c r="R37" s="35">
        <f>IF(OR(Q37="",NOT(ISNUMBER($J$2))),"",IF(Q37&lt;=$J$2,"가능","초과 "&amp;(Q37-$J$2)&amp;"일"))</f>
        <v/>
      </c>
      <c r="S37" s="36" t="n"/>
      <c r="T37" s="36" t="n"/>
      <c r="U37" s="36" t="n"/>
      <c r="V37" s="43" t="n"/>
      <c r="W37" s="41">
        <f>IF(OR(V37="",U37=""),"",V37+U37)</f>
        <v/>
      </c>
      <c r="X37" s="37" t="n"/>
      <c r="Y37" s="36" t="n"/>
      <c r="Z37" s="37" t="n"/>
    </row>
    <row r="38">
      <c r="A38" s="35">
        <f>IF(E38="","",ROW()-5)</f>
        <v/>
      </c>
      <c r="B38" s="36" t="n"/>
      <c r="C38" s="36" t="n"/>
      <c r="D38" s="36" t="n"/>
      <c r="E38" s="37" t="n"/>
      <c r="F38" s="37" t="n"/>
      <c r="G38" s="37" t="n"/>
      <c r="H38" s="37" t="n"/>
      <c r="I38" s="37" t="n"/>
      <c r="J38" s="36" t="n"/>
      <c r="K38" s="36" t="n"/>
      <c r="L38" s="36" t="n"/>
      <c r="M38" s="36" t="n"/>
      <c r="N38" s="38" t="n"/>
      <c r="O38" s="39">
        <f>IF(OR(N38="",J38=""),"",N38*J38)</f>
        <v/>
      </c>
      <c r="P38" s="40" t="n"/>
      <c r="Q38" s="41">
        <f>IF(OR(P38="",Y38="발주완료",Y38="취소"),"",TODAY()+P38)</f>
        <v/>
      </c>
      <c r="R38" s="35">
        <f>IF(OR(Q38="",NOT(ISNUMBER($J$2))),"",IF(Q38&lt;=$J$2,"가능","초과 "&amp;(Q38-$J$2)&amp;"일"))</f>
        <v/>
      </c>
      <c r="S38" s="36" t="n"/>
      <c r="T38" s="36" t="n"/>
      <c r="U38" s="36" t="n"/>
      <c r="V38" s="43" t="n"/>
      <c r="W38" s="41">
        <f>IF(OR(V38="",U38=""),"",V38+U38)</f>
        <v/>
      </c>
      <c r="X38" s="37" t="n"/>
      <c r="Y38" s="36" t="n"/>
      <c r="Z38" s="37" t="n"/>
    </row>
    <row r="39">
      <c r="A39" s="35">
        <f>IF(E39="","",ROW()-5)</f>
        <v/>
      </c>
      <c r="B39" s="36" t="n"/>
      <c r="C39" s="36" t="n"/>
      <c r="D39" s="36" t="n"/>
      <c r="E39" s="37" t="n"/>
      <c r="F39" s="37" t="n"/>
      <c r="G39" s="37" t="n"/>
      <c r="H39" s="37" t="n"/>
      <c r="I39" s="37" t="n"/>
      <c r="J39" s="36" t="n"/>
      <c r="K39" s="36" t="n"/>
      <c r="L39" s="36" t="n"/>
      <c r="M39" s="36" t="n"/>
      <c r="N39" s="38" t="n"/>
      <c r="O39" s="39">
        <f>IF(OR(N39="",J39=""),"",N39*J39)</f>
        <v/>
      </c>
      <c r="P39" s="40" t="n"/>
      <c r="Q39" s="41">
        <f>IF(OR(P39="",Y39="발주완료",Y39="취소"),"",TODAY()+P39)</f>
        <v/>
      </c>
      <c r="R39" s="35">
        <f>IF(OR(Q39="",NOT(ISNUMBER($J$2))),"",IF(Q39&lt;=$J$2,"가능","초과 "&amp;(Q39-$J$2)&amp;"일"))</f>
        <v/>
      </c>
      <c r="S39" s="36" t="n"/>
      <c r="T39" s="36" t="n"/>
      <c r="U39" s="36" t="n"/>
      <c r="V39" s="43" t="n"/>
      <c r="W39" s="41">
        <f>IF(OR(V39="",U39=""),"",V39+U39)</f>
        <v/>
      </c>
      <c r="X39" s="37" t="n"/>
      <c r="Y39" s="36" t="n"/>
      <c r="Z39" s="37" t="n"/>
    </row>
    <row r="40">
      <c r="A40" s="35">
        <f>IF(E40="","",ROW()-5)</f>
        <v/>
      </c>
      <c r="B40" s="36" t="n"/>
      <c r="C40" s="36" t="n"/>
      <c r="D40" s="36" t="n"/>
      <c r="E40" s="37" t="n"/>
      <c r="F40" s="37" t="n"/>
      <c r="G40" s="37" t="n"/>
      <c r="H40" s="37" t="n"/>
      <c r="I40" s="37" t="n"/>
      <c r="J40" s="36" t="n"/>
      <c r="K40" s="36" t="n"/>
      <c r="L40" s="36" t="n"/>
      <c r="M40" s="36" t="n"/>
      <c r="N40" s="38" t="n"/>
      <c r="O40" s="39">
        <f>IF(OR(N40="",J40=""),"",N40*J40)</f>
        <v/>
      </c>
      <c r="P40" s="40" t="n"/>
      <c r="Q40" s="41">
        <f>IF(OR(P40="",Y40="발주완료",Y40="취소"),"",TODAY()+P40)</f>
        <v/>
      </c>
      <c r="R40" s="35">
        <f>IF(OR(Q40="",NOT(ISNUMBER($J$2))),"",IF(Q40&lt;=$J$2,"가능","초과 "&amp;(Q40-$J$2)&amp;"일"))</f>
        <v/>
      </c>
      <c r="S40" s="36" t="n"/>
      <c r="T40" s="36" t="n"/>
      <c r="U40" s="36" t="n"/>
      <c r="V40" s="43" t="n"/>
      <c r="W40" s="41">
        <f>IF(OR(V40="",U40=""),"",V40+U40)</f>
        <v/>
      </c>
      <c r="X40" s="37" t="n"/>
      <c r="Y40" s="36" t="n"/>
      <c r="Z40" s="37" t="n"/>
    </row>
    <row r="41">
      <c r="A41" s="35">
        <f>IF(E41="","",ROW()-5)</f>
        <v/>
      </c>
      <c r="B41" s="36" t="n"/>
      <c r="C41" s="36" t="n"/>
      <c r="D41" s="36" t="n"/>
      <c r="E41" s="37" t="n"/>
      <c r="F41" s="37" t="n"/>
      <c r="G41" s="37" t="n"/>
      <c r="H41" s="37" t="n"/>
      <c r="I41" s="37" t="n"/>
      <c r="J41" s="36" t="n"/>
      <c r="K41" s="36" t="n"/>
      <c r="L41" s="36" t="n"/>
      <c r="M41" s="36" t="n"/>
      <c r="N41" s="38" t="n"/>
      <c r="O41" s="39">
        <f>IF(OR(N41="",J41=""),"",N41*J41)</f>
        <v/>
      </c>
      <c r="P41" s="40" t="n"/>
      <c r="Q41" s="41">
        <f>IF(OR(P41="",Y41="발주완료",Y41="취소"),"",TODAY()+P41)</f>
        <v/>
      </c>
      <c r="R41" s="35">
        <f>IF(OR(Q41="",NOT(ISNUMBER($J$2))),"",IF(Q41&lt;=$J$2,"가능","초과 "&amp;(Q41-$J$2)&amp;"일"))</f>
        <v/>
      </c>
      <c r="S41" s="36" t="n"/>
      <c r="T41" s="36" t="n"/>
      <c r="U41" s="36" t="n"/>
      <c r="V41" s="43" t="n"/>
      <c r="W41" s="41">
        <f>IF(OR(V41="",U41=""),"",V41+U41)</f>
        <v/>
      </c>
      <c r="X41" s="37" t="n"/>
      <c r="Y41" s="36" t="n"/>
      <c r="Z41" s="37" t="n"/>
    </row>
    <row r="42">
      <c r="A42" s="35">
        <f>IF(E42="","",ROW()-5)</f>
        <v/>
      </c>
      <c r="B42" s="36" t="n"/>
      <c r="C42" s="36" t="n"/>
      <c r="D42" s="36" t="n"/>
      <c r="E42" s="37" t="n"/>
      <c r="F42" s="37" t="n"/>
      <c r="G42" s="37" t="n"/>
      <c r="H42" s="37" t="n"/>
      <c r="I42" s="37" t="n"/>
      <c r="J42" s="36" t="n"/>
      <c r="K42" s="36" t="n"/>
      <c r="L42" s="36" t="n"/>
      <c r="M42" s="36" t="n"/>
      <c r="N42" s="38" t="n"/>
      <c r="O42" s="39">
        <f>IF(OR(N42="",J42=""),"",N42*J42)</f>
        <v/>
      </c>
      <c r="P42" s="40" t="n"/>
      <c r="Q42" s="41">
        <f>IF(OR(P42="",Y42="발주완료",Y42="취소"),"",TODAY()+P42)</f>
        <v/>
      </c>
      <c r="R42" s="35">
        <f>IF(OR(Q42="",NOT(ISNUMBER($J$2))),"",IF(Q42&lt;=$J$2,"가능","초과 "&amp;(Q42-$J$2)&amp;"일"))</f>
        <v/>
      </c>
      <c r="S42" s="36" t="n"/>
      <c r="T42" s="36" t="n"/>
      <c r="U42" s="36" t="n"/>
      <c r="V42" s="43" t="n"/>
      <c r="W42" s="41">
        <f>IF(OR(V42="",U42=""),"",V42+U42)</f>
        <v/>
      </c>
      <c r="X42" s="37" t="n"/>
      <c r="Y42" s="36" t="n"/>
      <c r="Z42" s="37" t="n"/>
    </row>
    <row r="43">
      <c r="A43" s="35">
        <f>IF(E43="","",ROW()-5)</f>
        <v/>
      </c>
      <c r="B43" s="36" t="n"/>
      <c r="C43" s="36" t="n"/>
      <c r="D43" s="36" t="n"/>
      <c r="E43" s="37" t="n"/>
      <c r="F43" s="37" t="n"/>
      <c r="G43" s="37" t="n"/>
      <c r="H43" s="37" t="n"/>
      <c r="I43" s="37" t="n"/>
      <c r="J43" s="36" t="n"/>
      <c r="K43" s="36" t="n"/>
      <c r="L43" s="36" t="n"/>
      <c r="M43" s="36" t="n"/>
      <c r="N43" s="38" t="n"/>
      <c r="O43" s="39">
        <f>IF(OR(N43="",J43=""),"",N43*J43)</f>
        <v/>
      </c>
      <c r="P43" s="40" t="n"/>
      <c r="Q43" s="41">
        <f>IF(OR(P43="",Y43="발주완료",Y43="취소"),"",TODAY()+P43)</f>
        <v/>
      </c>
      <c r="R43" s="35">
        <f>IF(OR(Q43="",NOT(ISNUMBER($J$2))),"",IF(Q43&lt;=$J$2,"가능","초과 "&amp;(Q43-$J$2)&amp;"일"))</f>
        <v/>
      </c>
      <c r="S43" s="36" t="n"/>
      <c r="T43" s="36" t="n"/>
      <c r="U43" s="36" t="n"/>
      <c r="V43" s="43" t="n"/>
      <c r="W43" s="41">
        <f>IF(OR(V43="",U43=""),"",V43+U43)</f>
        <v/>
      </c>
      <c r="X43" s="37" t="n"/>
      <c r="Y43" s="36" t="n"/>
      <c r="Z43" s="37" t="n"/>
    </row>
    <row r="44">
      <c r="A44" s="35">
        <f>IF(E44="","",ROW()-5)</f>
        <v/>
      </c>
      <c r="B44" s="36" t="n"/>
      <c r="C44" s="36" t="n"/>
      <c r="D44" s="36" t="n"/>
      <c r="E44" s="37" t="n"/>
      <c r="F44" s="37" t="n"/>
      <c r="G44" s="37" t="n"/>
      <c r="H44" s="37" t="n"/>
      <c r="I44" s="37" t="n"/>
      <c r="J44" s="36" t="n"/>
      <c r="K44" s="36" t="n"/>
      <c r="L44" s="36" t="n"/>
      <c r="M44" s="36" t="n"/>
      <c r="N44" s="38" t="n"/>
      <c r="O44" s="39">
        <f>IF(OR(N44="",J44=""),"",N44*J44)</f>
        <v/>
      </c>
      <c r="P44" s="40" t="n"/>
      <c r="Q44" s="41">
        <f>IF(OR(P44="",Y44="발주완료",Y44="취소"),"",TODAY()+P44)</f>
        <v/>
      </c>
      <c r="R44" s="35">
        <f>IF(OR(Q44="",NOT(ISNUMBER($J$2))),"",IF(Q44&lt;=$J$2,"가능","초과 "&amp;(Q44-$J$2)&amp;"일"))</f>
        <v/>
      </c>
      <c r="S44" s="36" t="n"/>
      <c r="T44" s="36" t="n"/>
      <c r="U44" s="36" t="n"/>
      <c r="V44" s="43" t="n"/>
      <c r="W44" s="41">
        <f>IF(OR(V44="",U44=""),"",V44+U44)</f>
        <v/>
      </c>
      <c r="X44" s="37" t="n"/>
      <c r="Y44" s="36" t="n"/>
      <c r="Z44" s="37" t="n"/>
    </row>
    <row r="45">
      <c r="A45" s="35">
        <f>IF(E45="","",ROW()-5)</f>
        <v/>
      </c>
      <c r="B45" s="36" t="n"/>
      <c r="C45" s="36" t="n"/>
      <c r="D45" s="36" t="n"/>
      <c r="E45" s="37" t="n"/>
      <c r="F45" s="37" t="n"/>
      <c r="G45" s="37" t="n"/>
      <c r="H45" s="37" t="n"/>
      <c r="I45" s="37" t="n"/>
      <c r="J45" s="36" t="n"/>
      <c r="K45" s="36" t="n"/>
      <c r="L45" s="36" t="n"/>
      <c r="M45" s="36" t="n"/>
      <c r="N45" s="38" t="n"/>
      <c r="O45" s="39">
        <f>IF(OR(N45="",J45=""),"",N45*J45)</f>
        <v/>
      </c>
      <c r="P45" s="40" t="n"/>
      <c r="Q45" s="41">
        <f>IF(OR(P45="",Y45="발주완료",Y45="취소"),"",TODAY()+P45)</f>
        <v/>
      </c>
      <c r="R45" s="35">
        <f>IF(OR(Q45="",NOT(ISNUMBER($J$2))),"",IF(Q45&lt;=$J$2,"가능","초과 "&amp;(Q45-$J$2)&amp;"일"))</f>
        <v/>
      </c>
      <c r="S45" s="36" t="n"/>
      <c r="T45" s="36" t="n"/>
      <c r="U45" s="36" t="n"/>
      <c r="V45" s="43" t="n"/>
      <c r="W45" s="41">
        <f>IF(OR(V45="",U45=""),"",V45+U45)</f>
        <v/>
      </c>
      <c r="X45" s="37" t="n"/>
      <c r="Y45" s="36" t="n"/>
      <c r="Z45" s="37" t="n"/>
    </row>
    <row r="46">
      <c r="A46" s="35">
        <f>IF(E46="","",ROW()-5)</f>
        <v/>
      </c>
      <c r="B46" s="36" t="n"/>
      <c r="C46" s="36" t="n"/>
      <c r="D46" s="36" t="n"/>
      <c r="E46" s="37" t="n"/>
      <c r="F46" s="37" t="n"/>
      <c r="G46" s="37" t="n"/>
      <c r="H46" s="37" t="n"/>
      <c r="I46" s="37" t="n"/>
      <c r="J46" s="36" t="n"/>
      <c r="K46" s="36" t="n"/>
      <c r="L46" s="36" t="n"/>
      <c r="M46" s="36" t="n"/>
      <c r="N46" s="38" t="n"/>
      <c r="O46" s="39">
        <f>IF(OR(N46="",J46=""),"",N46*J46)</f>
        <v/>
      </c>
      <c r="P46" s="40" t="n"/>
      <c r="Q46" s="41">
        <f>IF(OR(P46="",Y46="발주완료",Y46="취소"),"",TODAY()+P46)</f>
        <v/>
      </c>
      <c r="R46" s="35">
        <f>IF(OR(Q46="",NOT(ISNUMBER($J$2))),"",IF(Q46&lt;=$J$2,"가능","초과 "&amp;(Q46-$J$2)&amp;"일"))</f>
        <v/>
      </c>
      <c r="S46" s="36" t="n"/>
      <c r="T46" s="36" t="n"/>
      <c r="U46" s="36" t="n"/>
      <c r="V46" s="43" t="n"/>
      <c r="W46" s="41">
        <f>IF(OR(V46="",U46=""),"",V46+U46)</f>
        <v/>
      </c>
      <c r="X46" s="37" t="n"/>
      <c r="Y46" s="36" t="n"/>
      <c r="Z46" s="37" t="n"/>
    </row>
    <row r="47">
      <c r="A47" s="35">
        <f>IF(E47="","",ROW()-5)</f>
        <v/>
      </c>
      <c r="B47" s="36" t="n"/>
      <c r="C47" s="36" t="n"/>
      <c r="D47" s="36" t="n"/>
      <c r="E47" s="37" t="n"/>
      <c r="F47" s="37" t="n"/>
      <c r="G47" s="37" t="n"/>
      <c r="H47" s="37" t="n"/>
      <c r="I47" s="37" t="n"/>
      <c r="J47" s="36" t="n"/>
      <c r="K47" s="36" t="n"/>
      <c r="L47" s="36" t="n"/>
      <c r="M47" s="36" t="n"/>
      <c r="N47" s="38" t="n"/>
      <c r="O47" s="39">
        <f>IF(OR(N47="",J47=""),"",N47*J47)</f>
        <v/>
      </c>
      <c r="P47" s="40" t="n"/>
      <c r="Q47" s="41">
        <f>IF(OR(P47="",Y47="발주완료",Y47="취소"),"",TODAY()+P47)</f>
        <v/>
      </c>
      <c r="R47" s="35">
        <f>IF(OR(Q47="",NOT(ISNUMBER($J$2))),"",IF(Q47&lt;=$J$2,"가능","초과 "&amp;(Q47-$J$2)&amp;"일"))</f>
        <v/>
      </c>
      <c r="S47" s="36" t="n"/>
      <c r="T47" s="36" t="n"/>
      <c r="U47" s="36" t="n"/>
      <c r="V47" s="43" t="n"/>
      <c r="W47" s="41">
        <f>IF(OR(V47="",U47=""),"",V47+U47)</f>
        <v/>
      </c>
      <c r="X47" s="37" t="n"/>
      <c r="Y47" s="36" t="n"/>
      <c r="Z47" s="37" t="n"/>
    </row>
    <row r="48">
      <c r="A48" s="35">
        <f>IF(E48="","",ROW()-5)</f>
        <v/>
      </c>
      <c r="B48" s="36" t="n"/>
      <c r="C48" s="36" t="n"/>
      <c r="D48" s="36" t="n"/>
      <c r="E48" s="37" t="n"/>
      <c r="F48" s="37" t="n"/>
      <c r="G48" s="37" t="n"/>
      <c r="H48" s="37" t="n"/>
      <c r="I48" s="37" t="n"/>
      <c r="J48" s="36" t="n"/>
      <c r="K48" s="36" t="n"/>
      <c r="L48" s="36" t="n"/>
      <c r="M48" s="36" t="n"/>
      <c r="N48" s="38" t="n"/>
      <c r="O48" s="39">
        <f>IF(OR(N48="",J48=""),"",N48*J48)</f>
        <v/>
      </c>
      <c r="P48" s="40" t="n"/>
      <c r="Q48" s="41">
        <f>IF(OR(P48="",Y48="발주완료",Y48="취소"),"",TODAY()+P48)</f>
        <v/>
      </c>
      <c r="R48" s="35">
        <f>IF(OR(Q48="",NOT(ISNUMBER($J$2))),"",IF(Q48&lt;=$J$2,"가능","초과 "&amp;(Q48-$J$2)&amp;"일"))</f>
        <v/>
      </c>
      <c r="S48" s="36" t="n"/>
      <c r="T48" s="36" t="n"/>
      <c r="U48" s="36" t="n"/>
      <c r="V48" s="43" t="n"/>
      <c r="W48" s="41">
        <f>IF(OR(V48="",U48=""),"",V48+U48)</f>
        <v/>
      </c>
      <c r="X48" s="37" t="n"/>
      <c r="Y48" s="36" t="n"/>
      <c r="Z48" s="37" t="n"/>
    </row>
    <row r="49">
      <c r="A49" s="35">
        <f>IF(E49="","",ROW()-5)</f>
        <v/>
      </c>
      <c r="B49" s="36" t="n"/>
      <c r="C49" s="36" t="n"/>
      <c r="D49" s="36" t="n"/>
      <c r="E49" s="37" t="n"/>
      <c r="F49" s="37" t="n"/>
      <c r="G49" s="37" t="n"/>
      <c r="H49" s="37" t="n"/>
      <c r="I49" s="37" t="n"/>
      <c r="J49" s="36" t="n"/>
      <c r="K49" s="36" t="n"/>
      <c r="L49" s="36" t="n"/>
      <c r="M49" s="36" t="n"/>
      <c r="N49" s="38" t="n"/>
      <c r="O49" s="39">
        <f>IF(OR(N49="",J49=""),"",N49*J49)</f>
        <v/>
      </c>
      <c r="P49" s="40" t="n"/>
      <c r="Q49" s="41">
        <f>IF(OR(P49="",Y49="발주완료",Y49="취소"),"",TODAY()+P49)</f>
        <v/>
      </c>
      <c r="R49" s="35">
        <f>IF(OR(Q49="",NOT(ISNUMBER($J$2))),"",IF(Q49&lt;=$J$2,"가능","초과 "&amp;(Q49-$J$2)&amp;"일"))</f>
        <v/>
      </c>
      <c r="S49" s="36" t="n"/>
      <c r="T49" s="36" t="n"/>
      <c r="U49" s="36" t="n"/>
      <c r="V49" s="43" t="n"/>
      <c r="W49" s="41">
        <f>IF(OR(V49="",U49=""),"",V49+U49)</f>
        <v/>
      </c>
      <c r="X49" s="37" t="n"/>
      <c r="Y49" s="36" t="n"/>
      <c r="Z49" s="37" t="n"/>
    </row>
    <row r="50">
      <c r="A50" s="35">
        <f>IF(E50="","",ROW()-5)</f>
        <v/>
      </c>
      <c r="B50" s="36" t="n"/>
      <c r="C50" s="36" t="n"/>
      <c r="D50" s="36" t="n"/>
      <c r="E50" s="37" t="n"/>
      <c r="F50" s="37" t="n"/>
      <c r="G50" s="37" t="n"/>
      <c r="H50" s="37" t="n"/>
      <c r="I50" s="37" t="n"/>
      <c r="J50" s="36" t="n"/>
      <c r="K50" s="36" t="n"/>
      <c r="L50" s="36" t="n"/>
      <c r="M50" s="36" t="n"/>
      <c r="N50" s="38" t="n"/>
      <c r="O50" s="39">
        <f>IF(OR(N50="",J50=""),"",N50*J50)</f>
        <v/>
      </c>
      <c r="P50" s="40" t="n"/>
      <c r="Q50" s="41">
        <f>IF(OR(P50="",Y50="발주완료",Y50="취소"),"",TODAY()+P50)</f>
        <v/>
      </c>
      <c r="R50" s="35">
        <f>IF(OR(Q50="",NOT(ISNUMBER($J$2))),"",IF(Q50&lt;=$J$2,"가능","초과 "&amp;(Q50-$J$2)&amp;"일"))</f>
        <v/>
      </c>
      <c r="S50" s="36" t="n"/>
      <c r="T50" s="36" t="n"/>
      <c r="U50" s="36" t="n"/>
      <c r="V50" s="43" t="n"/>
      <c r="W50" s="41">
        <f>IF(OR(V50="",U50=""),"",V50+U50)</f>
        <v/>
      </c>
      <c r="X50" s="37" t="n"/>
      <c r="Y50" s="36" t="n"/>
      <c r="Z50" s="37" t="n"/>
    </row>
    <row r="51">
      <c r="A51" s="35">
        <f>IF(E51="","",ROW()-5)</f>
        <v/>
      </c>
      <c r="B51" s="36" t="n"/>
      <c r="C51" s="36" t="n"/>
      <c r="D51" s="36" t="n"/>
      <c r="E51" s="37" t="n"/>
      <c r="F51" s="37" t="n"/>
      <c r="G51" s="37" t="n"/>
      <c r="H51" s="37" t="n"/>
      <c r="I51" s="37" t="n"/>
      <c r="J51" s="36" t="n"/>
      <c r="K51" s="36" t="n"/>
      <c r="L51" s="36" t="n"/>
      <c r="M51" s="36" t="n"/>
      <c r="N51" s="38" t="n"/>
      <c r="O51" s="39">
        <f>IF(OR(N51="",J51=""),"",N51*J51)</f>
        <v/>
      </c>
      <c r="P51" s="40" t="n"/>
      <c r="Q51" s="41">
        <f>IF(OR(P51="",Y51="발주완료",Y51="취소"),"",TODAY()+P51)</f>
        <v/>
      </c>
      <c r="R51" s="35">
        <f>IF(OR(Q51="",NOT(ISNUMBER($J$2))),"",IF(Q51&lt;=$J$2,"가능","초과 "&amp;(Q51-$J$2)&amp;"일"))</f>
        <v/>
      </c>
      <c r="S51" s="36" t="n"/>
      <c r="T51" s="36" t="n"/>
      <c r="U51" s="36" t="n"/>
      <c r="V51" s="43" t="n"/>
      <c r="W51" s="41">
        <f>IF(OR(V51="",U51=""),"",V51+U51)</f>
        <v/>
      </c>
      <c r="X51" s="37" t="n"/>
      <c r="Y51" s="36" t="n"/>
      <c r="Z51" s="37" t="n"/>
    </row>
    <row r="52">
      <c r="A52" s="35">
        <f>IF(E52="","",ROW()-5)</f>
        <v/>
      </c>
      <c r="B52" s="36" t="n"/>
      <c r="C52" s="36" t="n"/>
      <c r="D52" s="36" t="n"/>
      <c r="E52" s="37" t="n"/>
      <c r="F52" s="37" t="n"/>
      <c r="G52" s="37" t="n"/>
      <c r="H52" s="37" t="n"/>
      <c r="I52" s="37" t="n"/>
      <c r="J52" s="36" t="n"/>
      <c r="K52" s="36" t="n"/>
      <c r="L52" s="36" t="n"/>
      <c r="M52" s="36" t="n"/>
      <c r="N52" s="38" t="n"/>
      <c r="O52" s="39">
        <f>IF(OR(N52="",J52=""),"",N52*J52)</f>
        <v/>
      </c>
      <c r="P52" s="40" t="n"/>
      <c r="Q52" s="41">
        <f>IF(OR(P52="",Y52="발주완료",Y52="취소"),"",TODAY()+P52)</f>
        <v/>
      </c>
      <c r="R52" s="35">
        <f>IF(OR(Q52="",NOT(ISNUMBER($J$2))),"",IF(Q52&lt;=$J$2,"가능","초과 "&amp;(Q52-$J$2)&amp;"일"))</f>
        <v/>
      </c>
      <c r="S52" s="36" t="n"/>
      <c r="T52" s="36" t="n"/>
      <c r="U52" s="36" t="n"/>
      <c r="V52" s="43" t="n"/>
      <c r="W52" s="41">
        <f>IF(OR(V52="",U52=""),"",V52+U52)</f>
        <v/>
      </c>
      <c r="X52" s="37" t="n"/>
      <c r="Y52" s="36" t="n"/>
      <c r="Z52" s="37" t="n"/>
    </row>
    <row r="53">
      <c r="A53" s="35">
        <f>IF(E53="","",ROW()-5)</f>
        <v/>
      </c>
      <c r="B53" s="36" t="n"/>
      <c r="C53" s="36" t="n"/>
      <c r="D53" s="36" t="n"/>
      <c r="E53" s="37" t="n"/>
      <c r="F53" s="37" t="n"/>
      <c r="G53" s="37" t="n"/>
      <c r="H53" s="37" t="n"/>
      <c r="I53" s="37" t="n"/>
      <c r="J53" s="36" t="n"/>
      <c r="K53" s="36" t="n"/>
      <c r="L53" s="36" t="n"/>
      <c r="M53" s="36" t="n"/>
      <c r="N53" s="38" t="n"/>
      <c r="O53" s="39">
        <f>IF(OR(N53="",J53=""),"",N53*J53)</f>
        <v/>
      </c>
      <c r="P53" s="40" t="n"/>
      <c r="Q53" s="41">
        <f>IF(OR(P53="",Y53="발주완료",Y53="취소"),"",TODAY()+P53)</f>
        <v/>
      </c>
      <c r="R53" s="35">
        <f>IF(OR(Q53="",NOT(ISNUMBER($J$2))),"",IF(Q53&lt;=$J$2,"가능","초과 "&amp;(Q53-$J$2)&amp;"일"))</f>
        <v/>
      </c>
      <c r="S53" s="36" t="n"/>
      <c r="T53" s="36" t="n"/>
      <c r="U53" s="36" t="n"/>
      <c r="V53" s="43" t="n"/>
      <c r="W53" s="41">
        <f>IF(OR(V53="",U53=""),"",V53+U53)</f>
        <v/>
      </c>
      <c r="X53" s="37" t="n"/>
      <c r="Y53" s="36" t="n"/>
      <c r="Z53" s="37" t="n"/>
    </row>
    <row r="54">
      <c r="A54" s="35">
        <f>IF(E54="","",ROW()-5)</f>
        <v/>
      </c>
      <c r="B54" s="36" t="n"/>
      <c r="C54" s="36" t="n"/>
      <c r="D54" s="36" t="n"/>
      <c r="E54" s="37" t="n"/>
      <c r="F54" s="37" t="n"/>
      <c r="G54" s="37" t="n"/>
      <c r="H54" s="37" t="n"/>
      <c r="I54" s="37" t="n"/>
      <c r="J54" s="36" t="n"/>
      <c r="K54" s="36" t="n"/>
      <c r="L54" s="36" t="n"/>
      <c r="M54" s="36" t="n"/>
      <c r="N54" s="38" t="n"/>
      <c r="O54" s="39">
        <f>IF(OR(N54="",J54=""),"",N54*J54)</f>
        <v/>
      </c>
      <c r="P54" s="40" t="n"/>
      <c r="Q54" s="41">
        <f>IF(OR(P54="",Y54="발주완료",Y54="취소"),"",TODAY()+P54)</f>
        <v/>
      </c>
      <c r="R54" s="35">
        <f>IF(OR(Q54="",NOT(ISNUMBER($J$2))),"",IF(Q54&lt;=$J$2,"가능","초과 "&amp;(Q54-$J$2)&amp;"일"))</f>
        <v/>
      </c>
      <c r="S54" s="36" t="n"/>
      <c r="T54" s="36" t="n"/>
      <c r="U54" s="36" t="n"/>
      <c r="V54" s="43" t="n"/>
      <c r="W54" s="41">
        <f>IF(OR(V54="",U54=""),"",V54+U54)</f>
        <v/>
      </c>
      <c r="X54" s="37" t="n"/>
      <c r="Y54" s="36" t="n"/>
      <c r="Z54" s="37" t="n"/>
    </row>
    <row r="55">
      <c r="A55" s="35">
        <f>IF(E55="","",ROW()-5)</f>
        <v/>
      </c>
      <c r="B55" s="36" t="n"/>
      <c r="C55" s="36" t="n"/>
      <c r="D55" s="36" t="n"/>
      <c r="E55" s="37" t="n"/>
      <c r="F55" s="37" t="n"/>
      <c r="G55" s="37" t="n"/>
      <c r="H55" s="37" t="n"/>
      <c r="I55" s="37" t="n"/>
      <c r="J55" s="36" t="n"/>
      <c r="K55" s="36" t="n"/>
      <c r="L55" s="36" t="n"/>
      <c r="M55" s="36" t="n"/>
      <c r="N55" s="38" t="n"/>
      <c r="O55" s="39">
        <f>IF(OR(N55="",J55=""),"",N55*J55)</f>
        <v/>
      </c>
      <c r="P55" s="40" t="n"/>
      <c r="Q55" s="41">
        <f>IF(OR(P55="",Y55="발주완료",Y55="취소"),"",TODAY()+P55)</f>
        <v/>
      </c>
      <c r="R55" s="35">
        <f>IF(OR(Q55="",NOT(ISNUMBER($J$2))),"",IF(Q55&lt;=$J$2,"가능","초과 "&amp;(Q55-$J$2)&amp;"일"))</f>
        <v/>
      </c>
      <c r="S55" s="36" t="n"/>
      <c r="T55" s="36" t="n"/>
      <c r="U55" s="36" t="n"/>
      <c r="V55" s="43" t="n"/>
      <c r="W55" s="41">
        <f>IF(OR(V55="",U55=""),"",V55+U55)</f>
        <v/>
      </c>
      <c r="X55" s="37" t="n"/>
      <c r="Y55" s="36" t="n"/>
      <c r="Z55" s="37" t="n"/>
    </row>
    <row r="56">
      <c r="A56" s="35">
        <f>IF(E56="","",ROW()-5)</f>
        <v/>
      </c>
      <c r="B56" s="36" t="n"/>
      <c r="C56" s="36" t="n"/>
      <c r="D56" s="36" t="n"/>
      <c r="E56" s="37" t="n"/>
      <c r="F56" s="37" t="n"/>
      <c r="G56" s="37" t="n"/>
      <c r="H56" s="37" t="n"/>
      <c r="I56" s="37" t="n"/>
      <c r="J56" s="36" t="n"/>
      <c r="K56" s="36" t="n"/>
      <c r="L56" s="36" t="n"/>
      <c r="M56" s="36" t="n"/>
      <c r="N56" s="38" t="n"/>
      <c r="O56" s="39">
        <f>IF(OR(N56="",J56=""),"",N56*J56)</f>
        <v/>
      </c>
      <c r="P56" s="40" t="n"/>
      <c r="Q56" s="41">
        <f>IF(OR(P56="",Y56="발주완료",Y56="취소"),"",TODAY()+P56)</f>
        <v/>
      </c>
      <c r="R56" s="35">
        <f>IF(OR(Q56="",NOT(ISNUMBER($J$2))),"",IF(Q56&lt;=$J$2,"가능","초과 "&amp;(Q56-$J$2)&amp;"일"))</f>
        <v/>
      </c>
      <c r="S56" s="36" t="n"/>
      <c r="T56" s="36" t="n"/>
      <c r="U56" s="36" t="n"/>
      <c r="V56" s="43" t="n"/>
      <c r="W56" s="41">
        <f>IF(OR(V56="",U56=""),"",V56+U56)</f>
        <v/>
      </c>
      <c r="X56" s="37" t="n"/>
      <c r="Y56" s="36" t="n"/>
      <c r="Z56" s="37" t="n"/>
    </row>
    <row r="57">
      <c r="A57" s="35">
        <f>IF(E57="","",ROW()-5)</f>
        <v/>
      </c>
      <c r="B57" s="36" t="n"/>
      <c r="C57" s="36" t="n"/>
      <c r="D57" s="36" t="n"/>
      <c r="E57" s="37" t="n"/>
      <c r="F57" s="37" t="n"/>
      <c r="G57" s="37" t="n"/>
      <c r="H57" s="37" t="n"/>
      <c r="I57" s="37" t="n"/>
      <c r="J57" s="36" t="n"/>
      <c r="K57" s="36" t="n"/>
      <c r="L57" s="36" t="n"/>
      <c r="M57" s="36" t="n"/>
      <c r="N57" s="38" t="n"/>
      <c r="O57" s="39">
        <f>IF(OR(N57="",J57=""),"",N57*J57)</f>
        <v/>
      </c>
      <c r="P57" s="40" t="n"/>
      <c r="Q57" s="41">
        <f>IF(OR(P57="",Y57="발주완료",Y57="취소"),"",TODAY()+P57)</f>
        <v/>
      </c>
      <c r="R57" s="35">
        <f>IF(OR(Q57="",NOT(ISNUMBER($J$2))),"",IF(Q57&lt;=$J$2,"가능","초과 "&amp;(Q57-$J$2)&amp;"일"))</f>
        <v/>
      </c>
      <c r="S57" s="36" t="n"/>
      <c r="T57" s="36" t="n"/>
      <c r="U57" s="36" t="n"/>
      <c r="V57" s="43" t="n"/>
      <c r="W57" s="41">
        <f>IF(OR(V57="",U57=""),"",V57+U57)</f>
        <v/>
      </c>
      <c r="X57" s="37" t="n"/>
      <c r="Y57" s="36" t="n"/>
      <c r="Z57" s="37" t="n"/>
    </row>
    <row r="58">
      <c r="A58" s="35">
        <f>IF(E58="","",ROW()-5)</f>
        <v/>
      </c>
      <c r="B58" s="36" t="n"/>
      <c r="C58" s="36" t="n"/>
      <c r="D58" s="36" t="n"/>
      <c r="E58" s="37" t="n"/>
      <c r="F58" s="37" t="n"/>
      <c r="G58" s="37" t="n"/>
      <c r="H58" s="37" t="n"/>
      <c r="I58" s="37" t="n"/>
      <c r="J58" s="36" t="n"/>
      <c r="K58" s="36" t="n"/>
      <c r="L58" s="36" t="n"/>
      <c r="M58" s="36" t="n"/>
      <c r="N58" s="38" t="n"/>
      <c r="O58" s="39">
        <f>IF(OR(N58="",J58=""),"",N58*J58)</f>
        <v/>
      </c>
      <c r="P58" s="40" t="n"/>
      <c r="Q58" s="41">
        <f>IF(OR(P58="",Y58="발주완료",Y58="취소"),"",TODAY()+P58)</f>
        <v/>
      </c>
      <c r="R58" s="35">
        <f>IF(OR(Q58="",NOT(ISNUMBER($J$2))),"",IF(Q58&lt;=$J$2,"가능","초과 "&amp;(Q58-$J$2)&amp;"일"))</f>
        <v/>
      </c>
      <c r="S58" s="36" t="n"/>
      <c r="T58" s="36" t="n"/>
      <c r="U58" s="36" t="n"/>
      <c r="V58" s="43" t="n"/>
      <c r="W58" s="41">
        <f>IF(OR(V58="",U58=""),"",V58+U58)</f>
        <v/>
      </c>
      <c r="X58" s="37" t="n"/>
      <c r="Y58" s="36" t="n"/>
      <c r="Z58" s="37" t="n"/>
    </row>
    <row r="59">
      <c r="A59" s="35">
        <f>IF(E59="","",ROW()-5)</f>
        <v/>
      </c>
      <c r="B59" s="36" t="n"/>
      <c r="C59" s="36" t="n"/>
      <c r="D59" s="36" t="n"/>
      <c r="E59" s="37" t="n"/>
      <c r="F59" s="37" t="n"/>
      <c r="G59" s="37" t="n"/>
      <c r="H59" s="37" t="n"/>
      <c r="I59" s="37" t="n"/>
      <c r="J59" s="36" t="n"/>
      <c r="K59" s="36" t="n"/>
      <c r="L59" s="36" t="n"/>
      <c r="M59" s="36" t="n"/>
      <c r="N59" s="38" t="n"/>
      <c r="O59" s="39">
        <f>IF(OR(N59="",J59=""),"",N59*J59)</f>
        <v/>
      </c>
      <c r="P59" s="40" t="n"/>
      <c r="Q59" s="41">
        <f>IF(OR(P59="",Y59="발주완료",Y59="취소"),"",TODAY()+P59)</f>
        <v/>
      </c>
      <c r="R59" s="35">
        <f>IF(OR(Q59="",NOT(ISNUMBER($J$2))),"",IF(Q59&lt;=$J$2,"가능","초과 "&amp;(Q59-$J$2)&amp;"일"))</f>
        <v/>
      </c>
      <c r="S59" s="36" t="n"/>
      <c r="T59" s="36" t="n"/>
      <c r="U59" s="36" t="n"/>
      <c r="V59" s="43" t="n"/>
      <c r="W59" s="41">
        <f>IF(OR(V59="",U59=""),"",V59+U59)</f>
        <v/>
      </c>
      <c r="X59" s="37" t="n"/>
      <c r="Y59" s="36" t="n"/>
      <c r="Z59" s="37" t="n"/>
    </row>
    <row r="60">
      <c r="A60" s="35">
        <f>IF(E60="","",ROW()-5)</f>
        <v/>
      </c>
      <c r="B60" s="36" t="n"/>
      <c r="C60" s="36" t="n"/>
      <c r="D60" s="36" t="n"/>
      <c r="E60" s="37" t="n"/>
      <c r="F60" s="37" t="n"/>
      <c r="G60" s="37" t="n"/>
      <c r="H60" s="37" t="n"/>
      <c r="I60" s="37" t="n"/>
      <c r="J60" s="36" t="n"/>
      <c r="K60" s="36" t="n"/>
      <c r="L60" s="36" t="n"/>
      <c r="M60" s="36" t="n"/>
      <c r="N60" s="38" t="n"/>
      <c r="O60" s="39">
        <f>IF(OR(N60="",J60=""),"",N60*J60)</f>
        <v/>
      </c>
      <c r="P60" s="40" t="n"/>
      <c r="Q60" s="41">
        <f>IF(OR(P60="",Y60="발주완료",Y60="취소"),"",TODAY()+P60)</f>
        <v/>
      </c>
      <c r="R60" s="35">
        <f>IF(OR(Q60="",NOT(ISNUMBER($J$2))),"",IF(Q60&lt;=$J$2,"가능","초과 "&amp;(Q60-$J$2)&amp;"일"))</f>
        <v/>
      </c>
      <c r="S60" s="36" t="n"/>
      <c r="T60" s="36" t="n"/>
      <c r="U60" s="36" t="n"/>
      <c r="V60" s="43" t="n"/>
      <c r="W60" s="41">
        <f>IF(OR(V60="",U60=""),"",V60+U60)</f>
        <v/>
      </c>
      <c r="X60" s="37" t="n"/>
      <c r="Y60" s="36" t="n"/>
      <c r="Z60" s="37" t="n"/>
    </row>
    <row r="61">
      <c r="A61" s="35">
        <f>IF(E61="","",ROW()-5)</f>
        <v/>
      </c>
      <c r="B61" s="36" t="n"/>
      <c r="C61" s="36" t="n"/>
      <c r="D61" s="36" t="n"/>
      <c r="E61" s="37" t="n"/>
      <c r="F61" s="37" t="n"/>
      <c r="G61" s="37" t="n"/>
      <c r="H61" s="37" t="n"/>
      <c r="I61" s="37" t="n"/>
      <c r="J61" s="36" t="n"/>
      <c r="K61" s="36" t="n"/>
      <c r="L61" s="36" t="n"/>
      <c r="M61" s="36" t="n"/>
      <c r="N61" s="38" t="n"/>
      <c r="O61" s="39">
        <f>IF(OR(N61="",J61=""),"",N61*J61)</f>
        <v/>
      </c>
      <c r="P61" s="40" t="n"/>
      <c r="Q61" s="41">
        <f>IF(OR(P61="",Y61="발주완료",Y61="취소"),"",TODAY()+P61)</f>
        <v/>
      </c>
      <c r="R61" s="35">
        <f>IF(OR(Q61="",NOT(ISNUMBER($J$2))),"",IF(Q61&lt;=$J$2,"가능","초과 "&amp;(Q61-$J$2)&amp;"일"))</f>
        <v/>
      </c>
      <c r="S61" s="36" t="n"/>
      <c r="T61" s="36" t="n"/>
      <c r="U61" s="36" t="n"/>
      <c r="V61" s="43" t="n"/>
      <c r="W61" s="41">
        <f>IF(OR(V61="",U61=""),"",V61+U61)</f>
        <v/>
      </c>
      <c r="X61" s="37" t="n"/>
      <c r="Y61" s="36" t="n"/>
      <c r="Z61" s="37" t="n"/>
    </row>
    <row r="62">
      <c r="A62" s="35">
        <f>IF(E62="","",ROW()-5)</f>
        <v/>
      </c>
      <c r="B62" s="36" t="n"/>
      <c r="C62" s="36" t="n"/>
      <c r="D62" s="36" t="n"/>
      <c r="E62" s="37" t="n"/>
      <c r="F62" s="37" t="n"/>
      <c r="G62" s="37" t="n"/>
      <c r="H62" s="37" t="n"/>
      <c r="I62" s="37" t="n"/>
      <c r="J62" s="36" t="n"/>
      <c r="K62" s="36" t="n"/>
      <c r="L62" s="36" t="n"/>
      <c r="M62" s="36" t="n"/>
      <c r="N62" s="38" t="n"/>
      <c r="O62" s="39">
        <f>IF(OR(N62="",J62=""),"",N62*J62)</f>
        <v/>
      </c>
      <c r="P62" s="40" t="n"/>
      <c r="Q62" s="41">
        <f>IF(OR(P62="",Y62="발주완료",Y62="취소"),"",TODAY()+P62)</f>
        <v/>
      </c>
      <c r="R62" s="35">
        <f>IF(OR(Q62="",NOT(ISNUMBER($J$2))),"",IF(Q62&lt;=$J$2,"가능","초과 "&amp;(Q62-$J$2)&amp;"일"))</f>
        <v/>
      </c>
      <c r="S62" s="36" t="n"/>
      <c r="T62" s="36" t="n"/>
      <c r="U62" s="36" t="n"/>
      <c r="V62" s="43" t="n"/>
      <c r="W62" s="41">
        <f>IF(OR(V62="",U62=""),"",V62+U62)</f>
        <v/>
      </c>
      <c r="X62" s="37" t="n"/>
      <c r="Y62" s="36" t="n"/>
      <c r="Z62" s="37" t="n"/>
    </row>
    <row r="63">
      <c r="A63" s="35">
        <f>IF(E63="","",ROW()-5)</f>
        <v/>
      </c>
      <c r="B63" s="36" t="n"/>
      <c r="C63" s="36" t="n"/>
      <c r="D63" s="36" t="n"/>
      <c r="E63" s="37" t="n"/>
      <c r="F63" s="37" t="n"/>
      <c r="G63" s="37" t="n"/>
      <c r="H63" s="37" t="n"/>
      <c r="I63" s="37" t="n"/>
      <c r="J63" s="36" t="n"/>
      <c r="K63" s="36" t="n"/>
      <c r="L63" s="36" t="n"/>
      <c r="M63" s="36" t="n"/>
      <c r="N63" s="38" t="n"/>
      <c r="O63" s="39">
        <f>IF(OR(N63="",J63=""),"",N63*J63)</f>
        <v/>
      </c>
      <c r="P63" s="40" t="n"/>
      <c r="Q63" s="41">
        <f>IF(OR(P63="",Y63="발주완료",Y63="취소"),"",TODAY()+P63)</f>
        <v/>
      </c>
      <c r="R63" s="35">
        <f>IF(OR(Q63="",NOT(ISNUMBER($J$2))),"",IF(Q63&lt;=$J$2,"가능","초과 "&amp;(Q63-$J$2)&amp;"일"))</f>
        <v/>
      </c>
      <c r="S63" s="36" t="n"/>
      <c r="T63" s="36" t="n"/>
      <c r="U63" s="36" t="n"/>
      <c r="V63" s="43" t="n"/>
      <c r="W63" s="41">
        <f>IF(OR(V63="",U63=""),"",V63+U63)</f>
        <v/>
      </c>
      <c r="X63" s="37" t="n"/>
      <c r="Y63" s="36" t="n"/>
      <c r="Z63" s="37" t="n"/>
    </row>
    <row r="64">
      <c r="A64" s="35">
        <f>IF(E64="","",ROW()-5)</f>
        <v/>
      </c>
      <c r="B64" s="36" t="n"/>
      <c r="C64" s="36" t="n"/>
      <c r="D64" s="36" t="n"/>
      <c r="E64" s="37" t="n"/>
      <c r="F64" s="37" t="n"/>
      <c r="G64" s="37" t="n"/>
      <c r="H64" s="37" t="n"/>
      <c r="I64" s="37" t="n"/>
      <c r="J64" s="36" t="n"/>
      <c r="K64" s="36" t="n"/>
      <c r="L64" s="36" t="n"/>
      <c r="M64" s="36" t="n"/>
      <c r="N64" s="38" t="n"/>
      <c r="O64" s="39">
        <f>IF(OR(N64="",J64=""),"",N64*J64)</f>
        <v/>
      </c>
      <c r="P64" s="40" t="n"/>
      <c r="Q64" s="41">
        <f>IF(OR(P64="",Y64="발주완료",Y64="취소"),"",TODAY()+P64)</f>
        <v/>
      </c>
      <c r="R64" s="35">
        <f>IF(OR(Q64="",NOT(ISNUMBER($J$2))),"",IF(Q64&lt;=$J$2,"가능","초과 "&amp;(Q64-$J$2)&amp;"일"))</f>
        <v/>
      </c>
      <c r="S64" s="36" t="n"/>
      <c r="T64" s="36" t="n"/>
      <c r="U64" s="36" t="n"/>
      <c r="V64" s="43" t="n"/>
      <c r="W64" s="41">
        <f>IF(OR(V64="",U64=""),"",V64+U64)</f>
        <v/>
      </c>
      <c r="X64" s="37" t="n"/>
      <c r="Y64" s="36" t="n"/>
      <c r="Z64" s="37" t="n"/>
    </row>
    <row r="65">
      <c r="A65" s="35">
        <f>IF(E65="","",ROW()-5)</f>
        <v/>
      </c>
      <c r="B65" s="36" t="n"/>
      <c r="C65" s="36" t="n"/>
      <c r="D65" s="36" t="n"/>
      <c r="E65" s="37" t="n"/>
      <c r="F65" s="37" t="n"/>
      <c r="G65" s="37" t="n"/>
      <c r="H65" s="37" t="n"/>
      <c r="I65" s="37" t="n"/>
      <c r="J65" s="36" t="n"/>
      <c r="K65" s="36" t="n"/>
      <c r="L65" s="36" t="n"/>
      <c r="M65" s="36" t="n"/>
      <c r="N65" s="38" t="n"/>
      <c r="O65" s="39">
        <f>IF(OR(N65="",J65=""),"",N65*J65)</f>
        <v/>
      </c>
      <c r="P65" s="40" t="n"/>
      <c r="Q65" s="41">
        <f>IF(OR(P65="",Y65="발주완료",Y65="취소"),"",TODAY()+P65)</f>
        <v/>
      </c>
      <c r="R65" s="35">
        <f>IF(OR(Q65="",NOT(ISNUMBER($J$2))),"",IF(Q65&lt;=$J$2,"가능","초과 "&amp;(Q65-$J$2)&amp;"일"))</f>
        <v/>
      </c>
      <c r="S65" s="36" t="n"/>
      <c r="T65" s="36" t="n"/>
      <c r="U65" s="36" t="n"/>
      <c r="V65" s="43" t="n"/>
      <c r="W65" s="41">
        <f>IF(OR(V65="",U65=""),"",V65+U65)</f>
        <v/>
      </c>
      <c r="X65" s="37" t="n"/>
      <c r="Y65" s="36" t="n"/>
      <c r="Z65" s="37" t="n"/>
    </row>
    <row r="66">
      <c r="A66" s="35">
        <f>IF(E66="","",ROW()-5)</f>
        <v/>
      </c>
      <c r="B66" s="36" t="n"/>
      <c r="C66" s="36" t="n"/>
      <c r="D66" s="36" t="n"/>
      <c r="E66" s="37" t="n"/>
      <c r="F66" s="37" t="n"/>
      <c r="G66" s="37" t="n"/>
      <c r="H66" s="37" t="n"/>
      <c r="I66" s="37" t="n"/>
      <c r="J66" s="36" t="n"/>
      <c r="K66" s="36" t="n"/>
      <c r="L66" s="36" t="n"/>
      <c r="M66" s="36" t="n"/>
      <c r="N66" s="38" t="n"/>
      <c r="O66" s="39">
        <f>IF(OR(N66="",J66=""),"",N66*J66)</f>
        <v/>
      </c>
      <c r="P66" s="40" t="n"/>
      <c r="Q66" s="41">
        <f>IF(OR(P66="",Y66="발주완료",Y66="취소"),"",TODAY()+P66)</f>
        <v/>
      </c>
      <c r="R66" s="35">
        <f>IF(OR(Q66="",NOT(ISNUMBER($J$2))),"",IF(Q66&lt;=$J$2,"가능","초과 "&amp;(Q66-$J$2)&amp;"일"))</f>
        <v/>
      </c>
      <c r="S66" s="36" t="n"/>
      <c r="T66" s="36" t="n"/>
      <c r="U66" s="36" t="n"/>
      <c r="V66" s="43" t="n"/>
      <c r="W66" s="41">
        <f>IF(OR(V66="",U66=""),"",V66+U66)</f>
        <v/>
      </c>
      <c r="X66" s="37" t="n"/>
      <c r="Y66" s="36" t="n"/>
      <c r="Z66" s="37" t="n"/>
    </row>
    <row r="67">
      <c r="A67" s="35">
        <f>IF(E67="","",ROW()-5)</f>
        <v/>
      </c>
      <c r="B67" s="36" t="n"/>
      <c r="C67" s="36" t="n"/>
      <c r="D67" s="36" t="n"/>
      <c r="E67" s="37" t="n"/>
      <c r="F67" s="37" t="n"/>
      <c r="G67" s="37" t="n"/>
      <c r="H67" s="37" t="n"/>
      <c r="I67" s="37" t="n"/>
      <c r="J67" s="36" t="n"/>
      <c r="K67" s="36" t="n"/>
      <c r="L67" s="36" t="n"/>
      <c r="M67" s="36" t="n"/>
      <c r="N67" s="38" t="n"/>
      <c r="O67" s="39">
        <f>IF(OR(N67="",J67=""),"",N67*J67)</f>
        <v/>
      </c>
      <c r="P67" s="40" t="n"/>
      <c r="Q67" s="41">
        <f>IF(OR(P67="",Y67="발주완료",Y67="취소"),"",TODAY()+P67)</f>
        <v/>
      </c>
      <c r="R67" s="35">
        <f>IF(OR(Q67="",NOT(ISNUMBER($J$2))),"",IF(Q67&lt;=$J$2,"가능","초과 "&amp;(Q67-$J$2)&amp;"일"))</f>
        <v/>
      </c>
      <c r="S67" s="36" t="n"/>
      <c r="T67" s="36" t="n"/>
      <c r="U67" s="36" t="n"/>
      <c r="V67" s="43" t="n"/>
      <c r="W67" s="41">
        <f>IF(OR(V67="",U67=""),"",V67+U67)</f>
        <v/>
      </c>
      <c r="X67" s="37" t="n"/>
      <c r="Y67" s="36" t="n"/>
      <c r="Z67" s="37" t="n"/>
    </row>
    <row r="68">
      <c r="A68" s="35">
        <f>IF(E68="","",ROW()-5)</f>
        <v/>
      </c>
      <c r="B68" s="36" t="n"/>
      <c r="C68" s="36" t="n"/>
      <c r="D68" s="36" t="n"/>
      <c r="E68" s="37" t="n"/>
      <c r="F68" s="37" t="n"/>
      <c r="G68" s="37" t="n"/>
      <c r="H68" s="37" t="n"/>
      <c r="I68" s="37" t="n"/>
      <c r="J68" s="36" t="n"/>
      <c r="K68" s="36" t="n"/>
      <c r="L68" s="36" t="n"/>
      <c r="M68" s="36" t="n"/>
      <c r="N68" s="38" t="n"/>
      <c r="O68" s="39">
        <f>IF(OR(N68="",J68=""),"",N68*J68)</f>
        <v/>
      </c>
      <c r="P68" s="40" t="n"/>
      <c r="Q68" s="41">
        <f>IF(OR(P68="",Y68="발주완료",Y68="취소"),"",TODAY()+P68)</f>
        <v/>
      </c>
      <c r="R68" s="35">
        <f>IF(OR(Q68="",NOT(ISNUMBER($J$2))),"",IF(Q68&lt;=$J$2,"가능","초과 "&amp;(Q68-$J$2)&amp;"일"))</f>
        <v/>
      </c>
      <c r="S68" s="36" t="n"/>
      <c r="T68" s="36" t="n"/>
      <c r="U68" s="36" t="n"/>
      <c r="V68" s="43" t="n"/>
      <c r="W68" s="41">
        <f>IF(OR(V68="",U68=""),"",V68+U68)</f>
        <v/>
      </c>
      <c r="X68" s="37" t="n"/>
      <c r="Y68" s="36" t="n"/>
      <c r="Z68" s="37" t="n"/>
    </row>
    <row r="69">
      <c r="A69" s="35">
        <f>IF(E69="","",ROW()-5)</f>
        <v/>
      </c>
      <c r="B69" s="36" t="n"/>
      <c r="C69" s="36" t="n"/>
      <c r="D69" s="36" t="n"/>
      <c r="E69" s="37" t="n"/>
      <c r="F69" s="37" t="n"/>
      <c r="G69" s="37" t="n"/>
      <c r="H69" s="37" t="n"/>
      <c r="I69" s="37" t="n"/>
      <c r="J69" s="36" t="n"/>
      <c r="K69" s="36" t="n"/>
      <c r="L69" s="36" t="n"/>
      <c r="M69" s="36" t="n"/>
      <c r="N69" s="38" t="n"/>
      <c r="O69" s="39">
        <f>IF(OR(N69="",J69=""),"",N69*J69)</f>
        <v/>
      </c>
      <c r="P69" s="40" t="n"/>
      <c r="Q69" s="41">
        <f>IF(OR(P69="",Y69="발주완료",Y69="취소"),"",TODAY()+P69)</f>
        <v/>
      </c>
      <c r="R69" s="35">
        <f>IF(OR(Q69="",NOT(ISNUMBER($J$2))),"",IF(Q69&lt;=$J$2,"가능","초과 "&amp;(Q69-$J$2)&amp;"일"))</f>
        <v/>
      </c>
      <c r="S69" s="36" t="n"/>
      <c r="T69" s="36" t="n"/>
      <c r="U69" s="36" t="n"/>
      <c r="V69" s="43" t="n"/>
      <c r="W69" s="41">
        <f>IF(OR(V69="",U69=""),"",V69+U69)</f>
        <v/>
      </c>
      <c r="X69" s="37" t="n"/>
      <c r="Y69" s="36" t="n"/>
      <c r="Z69" s="37" t="n"/>
    </row>
    <row r="70">
      <c r="A70" s="35">
        <f>IF(E70="","",ROW()-5)</f>
        <v/>
      </c>
      <c r="B70" s="36" t="n"/>
      <c r="C70" s="36" t="n"/>
      <c r="D70" s="36" t="n"/>
      <c r="E70" s="37" t="n"/>
      <c r="F70" s="37" t="n"/>
      <c r="G70" s="37" t="n"/>
      <c r="H70" s="37" t="n"/>
      <c r="I70" s="37" t="n"/>
      <c r="J70" s="36" t="n"/>
      <c r="K70" s="36" t="n"/>
      <c r="L70" s="36" t="n"/>
      <c r="M70" s="36" t="n"/>
      <c r="N70" s="38" t="n"/>
      <c r="O70" s="39">
        <f>IF(OR(N70="",J70=""),"",N70*J70)</f>
        <v/>
      </c>
      <c r="P70" s="40" t="n"/>
      <c r="Q70" s="41">
        <f>IF(OR(P70="",Y70="발주완료",Y70="취소"),"",TODAY()+P70)</f>
        <v/>
      </c>
      <c r="R70" s="35">
        <f>IF(OR(Q70="",NOT(ISNUMBER($J$2))),"",IF(Q70&lt;=$J$2,"가능","초과 "&amp;(Q70-$J$2)&amp;"일"))</f>
        <v/>
      </c>
      <c r="S70" s="36" t="n"/>
      <c r="T70" s="36" t="n"/>
      <c r="U70" s="36" t="n"/>
      <c r="V70" s="43" t="n"/>
      <c r="W70" s="41">
        <f>IF(OR(V70="",U70=""),"",V70+U70)</f>
        <v/>
      </c>
      <c r="X70" s="37" t="n"/>
      <c r="Y70" s="36" t="n"/>
      <c r="Z70" s="37" t="n"/>
    </row>
    <row r="71">
      <c r="A71" s="35">
        <f>IF(E71="","",ROW()-5)</f>
        <v/>
      </c>
      <c r="B71" s="36" t="n"/>
      <c r="C71" s="36" t="n"/>
      <c r="D71" s="36" t="n"/>
      <c r="E71" s="37" t="n"/>
      <c r="F71" s="37" t="n"/>
      <c r="G71" s="37" t="n"/>
      <c r="H71" s="37" t="n"/>
      <c r="I71" s="37" t="n"/>
      <c r="J71" s="36" t="n"/>
      <c r="K71" s="36" t="n"/>
      <c r="L71" s="36" t="n"/>
      <c r="M71" s="36" t="n"/>
      <c r="N71" s="38" t="n"/>
      <c r="O71" s="39">
        <f>IF(OR(N71="",J71=""),"",N71*J71)</f>
        <v/>
      </c>
      <c r="P71" s="40" t="n"/>
      <c r="Q71" s="41">
        <f>IF(OR(P71="",Y71="발주완료",Y71="취소"),"",TODAY()+P71)</f>
        <v/>
      </c>
      <c r="R71" s="35">
        <f>IF(OR(Q71="",NOT(ISNUMBER($J$2))),"",IF(Q71&lt;=$J$2,"가능","초과 "&amp;(Q71-$J$2)&amp;"일"))</f>
        <v/>
      </c>
      <c r="S71" s="36" t="n"/>
      <c r="T71" s="36" t="n"/>
      <c r="U71" s="36" t="n"/>
      <c r="V71" s="43" t="n"/>
      <c r="W71" s="41">
        <f>IF(OR(V71="",U71=""),"",V71+U71)</f>
        <v/>
      </c>
      <c r="X71" s="37" t="n"/>
      <c r="Y71" s="36" t="n"/>
      <c r="Z71" s="37" t="n"/>
    </row>
    <row r="72">
      <c r="A72" s="35">
        <f>IF(E72="","",ROW()-5)</f>
        <v/>
      </c>
      <c r="B72" s="36" t="n"/>
      <c r="C72" s="36" t="n"/>
      <c r="D72" s="36" t="n"/>
      <c r="E72" s="37" t="n"/>
      <c r="F72" s="37" t="n"/>
      <c r="G72" s="37" t="n"/>
      <c r="H72" s="37" t="n"/>
      <c r="I72" s="37" t="n"/>
      <c r="J72" s="36" t="n"/>
      <c r="K72" s="36" t="n"/>
      <c r="L72" s="36" t="n"/>
      <c r="M72" s="36" t="n"/>
      <c r="N72" s="38" t="n"/>
      <c r="O72" s="39">
        <f>IF(OR(N72="",J72=""),"",N72*J72)</f>
        <v/>
      </c>
      <c r="P72" s="40" t="n"/>
      <c r="Q72" s="41">
        <f>IF(OR(P72="",Y72="발주완료",Y72="취소"),"",TODAY()+P72)</f>
        <v/>
      </c>
      <c r="R72" s="35">
        <f>IF(OR(Q72="",NOT(ISNUMBER($J$2))),"",IF(Q72&lt;=$J$2,"가능","초과 "&amp;(Q72-$J$2)&amp;"일"))</f>
        <v/>
      </c>
      <c r="S72" s="36" t="n"/>
      <c r="T72" s="36" t="n"/>
      <c r="U72" s="36" t="n"/>
      <c r="V72" s="43" t="n"/>
      <c r="W72" s="41">
        <f>IF(OR(V72="",U72=""),"",V72+U72)</f>
        <v/>
      </c>
      <c r="X72" s="37" t="n"/>
      <c r="Y72" s="36" t="n"/>
      <c r="Z72" s="37" t="n"/>
    </row>
    <row r="73">
      <c r="A73" s="35">
        <f>IF(E73="","",ROW()-5)</f>
        <v/>
      </c>
      <c r="B73" s="36" t="n"/>
      <c r="C73" s="36" t="n"/>
      <c r="D73" s="36" t="n"/>
      <c r="E73" s="37" t="n"/>
      <c r="F73" s="37" t="n"/>
      <c r="G73" s="37" t="n"/>
      <c r="H73" s="37" t="n"/>
      <c r="I73" s="37" t="n"/>
      <c r="J73" s="36" t="n"/>
      <c r="K73" s="36" t="n"/>
      <c r="L73" s="36" t="n"/>
      <c r="M73" s="36" t="n"/>
      <c r="N73" s="38" t="n"/>
      <c r="O73" s="39">
        <f>IF(OR(N73="",J73=""),"",N73*J73)</f>
        <v/>
      </c>
      <c r="P73" s="40" t="n"/>
      <c r="Q73" s="41">
        <f>IF(OR(P73="",Y73="발주완료",Y73="취소"),"",TODAY()+P73)</f>
        <v/>
      </c>
      <c r="R73" s="35">
        <f>IF(OR(Q73="",NOT(ISNUMBER($J$2))),"",IF(Q73&lt;=$J$2,"가능","초과 "&amp;(Q73-$J$2)&amp;"일"))</f>
        <v/>
      </c>
      <c r="S73" s="36" t="n"/>
      <c r="T73" s="36" t="n"/>
      <c r="U73" s="36" t="n"/>
      <c r="V73" s="43" t="n"/>
      <c r="W73" s="41">
        <f>IF(OR(V73="",U73=""),"",V73+U73)</f>
        <v/>
      </c>
      <c r="X73" s="37" t="n"/>
      <c r="Y73" s="36" t="n"/>
      <c r="Z73" s="37" t="n"/>
    </row>
    <row r="74">
      <c r="A74" s="35">
        <f>IF(E74="","",ROW()-5)</f>
        <v/>
      </c>
      <c r="B74" s="36" t="n"/>
      <c r="C74" s="36" t="n"/>
      <c r="D74" s="36" t="n"/>
      <c r="E74" s="37" t="n"/>
      <c r="F74" s="37" t="n"/>
      <c r="G74" s="37" t="n"/>
      <c r="H74" s="37" t="n"/>
      <c r="I74" s="37" t="n"/>
      <c r="J74" s="36" t="n"/>
      <c r="K74" s="36" t="n"/>
      <c r="L74" s="36" t="n"/>
      <c r="M74" s="36" t="n"/>
      <c r="N74" s="38" t="n"/>
      <c r="O74" s="39">
        <f>IF(OR(N74="",J74=""),"",N74*J74)</f>
        <v/>
      </c>
      <c r="P74" s="40" t="n"/>
      <c r="Q74" s="41">
        <f>IF(OR(P74="",Y74="발주완료",Y74="취소"),"",TODAY()+P74)</f>
        <v/>
      </c>
      <c r="R74" s="35">
        <f>IF(OR(Q74="",NOT(ISNUMBER($J$2))),"",IF(Q74&lt;=$J$2,"가능","초과 "&amp;(Q74-$J$2)&amp;"일"))</f>
        <v/>
      </c>
      <c r="S74" s="36" t="n"/>
      <c r="T74" s="36" t="n"/>
      <c r="U74" s="36" t="n"/>
      <c r="V74" s="43" t="n"/>
      <c r="W74" s="41">
        <f>IF(OR(V74="",U74=""),"",V74+U74)</f>
        <v/>
      </c>
      <c r="X74" s="37" t="n"/>
      <c r="Y74" s="36" t="n"/>
      <c r="Z74" s="37" t="n"/>
    </row>
    <row r="75">
      <c r="A75" s="35">
        <f>IF(E75="","",ROW()-5)</f>
        <v/>
      </c>
      <c r="B75" s="36" t="n"/>
      <c r="C75" s="36" t="n"/>
      <c r="D75" s="36" t="n"/>
      <c r="E75" s="37" t="n"/>
      <c r="F75" s="37" t="n"/>
      <c r="G75" s="37" t="n"/>
      <c r="H75" s="37" t="n"/>
      <c r="I75" s="37" t="n"/>
      <c r="J75" s="36" t="n"/>
      <c r="K75" s="36" t="n"/>
      <c r="L75" s="36" t="n"/>
      <c r="M75" s="36" t="n"/>
      <c r="N75" s="38" t="n"/>
      <c r="O75" s="39">
        <f>IF(OR(N75="",J75=""),"",N75*J75)</f>
        <v/>
      </c>
      <c r="P75" s="40" t="n"/>
      <c r="Q75" s="41">
        <f>IF(OR(P75="",Y75="발주완료",Y75="취소"),"",TODAY()+P75)</f>
        <v/>
      </c>
      <c r="R75" s="35">
        <f>IF(OR(Q75="",NOT(ISNUMBER($J$2))),"",IF(Q75&lt;=$J$2,"가능","초과 "&amp;(Q75-$J$2)&amp;"일"))</f>
        <v/>
      </c>
      <c r="S75" s="36" t="n"/>
      <c r="T75" s="36" t="n"/>
      <c r="U75" s="36" t="n"/>
      <c r="V75" s="43" t="n"/>
      <c r="W75" s="41">
        <f>IF(OR(V75="",U75=""),"",V75+U75)</f>
        <v/>
      </c>
      <c r="X75" s="37" t="n"/>
      <c r="Y75" s="36" t="n"/>
      <c r="Z75" s="37" t="n"/>
    </row>
    <row r="76">
      <c r="A76" s="35">
        <f>IF(E76="","",ROW()-5)</f>
        <v/>
      </c>
      <c r="B76" s="36" t="n"/>
      <c r="C76" s="36" t="n"/>
      <c r="D76" s="36" t="n"/>
      <c r="E76" s="37" t="n"/>
      <c r="F76" s="37" t="n"/>
      <c r="G76" s="37" t="n"/>
      <c r="H76" s="37" t="n"/>
      <c r="I76" s="37" t="n"/>
      <c r="J76" s="36" t="n"/>
      <c r="K76" s="36" t="n"/>
      <c r="L76" s="36" t="n"/>
      <c r="M76" s="36" t="n"/>
      <c r="N76" s="38" t="n"/>
      <c r="O76" s="39">
        <f>IF(OR(N76="",J76=""),"",N76*J76)</f>
        <v/>
      </c>
      <c r="P76" s="40" t="n"/>
      <c r="Q76" s="41">
        <f>IF(OR(P76="",Y76="발주완료",Y76="취소"),"",TODAY()+P76)</f>
        <v/>
      </c>
      <c r="R76" s="35">
        <f>IF(OR(Q76="",NOT(ISNUMBER($J$2))),"",IF(Q76&lt;=$J$2,"가능","초과 "&amp;(Q76-$J$2)&amp;"일"))</f>
        <v/>
      </c>
      <c r="S76" s="36" t="n"/>
      <c r="T76" s="36" t="n"/>
      <c r="U76" s="36" t="n"/>
      <c r="V76" s="43" t="n"/>
      <c r="W76" s="41">
        <f>IF(OR(V76="",U76=""),"",V76+U76)</f>
        <v/>
      </c>
      <c r="X76" s="37" t="n"/>
      <c r="Y76" s="36" t="n"/>
      <c r="Z76" s="37" t="n"/>
    </row>
    <row r="77">
      <c r="A77" s="35">
        <f>IF(E77="","",ROW()-5)</f>
        <v/>
      </c>
      <c r="B77" s="36" t="n"/>
      <c r="C77" s="36" t="n"/>
      <c r="D77" s="36" t="n"/>
      <c r="E77" s="37" t="n"/>
      <c r="F77" s="37" t="n"/>
      <c r="G77" s="37" t="n"/>
      <c r="H77" s="37" t="n"/>
      <c r="I77" s="37" t="n"/>
      <c r="J77" s="36" t="n"/>
      <c r="K77" s="36" t="n"/>
      <c r="L77" s="36" t="n"/>
      <c r="M77" s="36" t="n"/>
      <c r="N77" s="38" t="n"/>
      <c r="O77" s="39">
        <f>IF(OR(N77="",J77=""),"",N77*J77)</f>
        <v/>
      </c>
      <c r="P77" s="40" t="n"/>
      <c r="Q77" s="41">
        <f>IF(OR(P77="",Y77="발주완료",Y77="취소"),"",TODAY()+P77)</f>
        <v/>
      </c>
      <c r="R77" s="35">
        <f>IF(OR(Q77="",NOT(ISNUMBER($J$2))),"",IF(Q77&lt;=$J$2,"가능","초과 "&amp;(Q77-$J$2)&amp;"일"))</f>
        <v/>
      </c>
      <c r="S77" s="36" t="n"/>
      <c r="T77" s="36" t="n"/>
      <c r="U77" s="36" t="n"/>
      <c r="V77" s="43" t="n"/>
      <c r="W77" s="41">
        <f>IF(OR(V77="",U77=""),"",V77+U77)</f>
        <v/>
      </c>
      <c r="X77" s="37" t="n"/>
      <c r="Y77" s="36" t="n"/>
      <c r="Z77" s="37" t="n"/>
    </row>
    <row r="78">
      <c r="A78" s="35">
        <f>IF(E78="","",ROW()-5)</f>
        <v/>
      </c>
      <c r="B78" s="36" t="n"/>
      <c r="C78" s="36" t="n"/>
      <c r="D78" s="36" t="n"/>
      <c r="E78" s="37" t="n"/>
      <c r="F78" s="37" t="n"/>
      <c r="G78" s="37" t="n"/>
      <c r="H78" s="37" t="n"/>
      <c r="I78" s="37" t="n"/>
      <c r="J78" s="36" t="n"/>
      <c r="K78" s="36" t="n"/>
      <c r="L78" s="36" t="n"/>
      <c r="M78" s="36" t="n"/>
      <c r="N78" s="38" t="n"/>
      <c r="O78" s="39">
        <f>IF(OR(N78="",J78=""),"",N78*J78)</f>
        <v/>
      </c>
      <c r="P78" s="40" t="n"/>
      <c r="Q78" s="41">
        <f>IF(OR(P78="",Y78="발주완료",Y78="취소"),"",TODAY()+P78)</f>
        <v/>
      </c>
      <c r="R78" s="35">
        <f>IF(OR(Q78="",NOT(ISNUMBER($J$2))),"",IF(Q78&lt;=$J$2,"가능","초과 "&amp;(Q78-$J$2)&amp;"일"))</f>
        <v/>
      </c>
      <c r="S78" s="36" t="n"/>
      <c r="T78" s="36" t="n"/>
      <c r="U78" s="36" t="n"/>
      <c r="V78" s="43" t="n"/>
      <c r="W78" s="41">
        <f>IF(OR(V78="",U78=""),"",V78+U78)</f>
        <v/>
      </c>
      <c r="X78" s="37" t="n"/>
      <c r="Y78" s="36" t="n"/>
      <c r="Z78" s="37" t="n"/>
    </row>
    <row r="79">
      <c r="A79" s="35">
        <f>IF(E79="","",ROW()-5)</f>
        <v/>
      </c>
      <c r="B79" s="36" t="n"/>
      <c r="C79" s="36" t="n"/>
      <c r="D79" s="36" t="n"/>
      <c r="E79" s="37" t="n"/>
      <c r="F79" s="37" t="n"/>
      <c r="G79" s="37" t="n"/>
      <c r="H79" s="37" t="n"/>
      <c r="I79" s="37" t="n"/>
      <c r="J79" s="36" t="n"/>
      <c r="K79" s="36" t="n"/>
      <c r="L79" s="36" t="n"/>
      <c r="M79" s="36" t="n"/>
      <c r="N79" s="38" t="n"/>
      <c r="O79" s="39">
        <f>IF(OR(N79="",J79=""),"",N79*J79)</f>
        <v/>
      </c>
      <c r="P79" s="40" t="n"/>
      <c r="Q79" s="41">
        <f>IF(OR(P79="",Y79="발주완료",Y79="취소"),"",TODAY()+P79)</f>
        <v/>
      </c>
      <c r="R79" s="35">
        <f>IF(OR(Q79="",NOT(ISNUMBER($J$2))),"",IF(Q79&lt;=$J$2,"가능","초과 "&amp;(Q79-$J$2)&amp;"일"))</f>
        <v/>
      </c>
      <c r="S79" s="36" t="n"/>
      <c r="T79" s="36" t="n"/>
      <c r="U79" s="36" t="n"/>
      <c r="V79" s="43" t="n"/>
      <c r="W79" s="41">
        <f>IF(OR(V79="",U79=""),"",V79+U79)</f>
        <v/>
      </c>
      <c r="X79" s="37" t="n"/>
      <c r="Y79" s="36" t="n"/>
      <c r="Z79" s="37" t="n"/>
    </row>
    <row r="80">
      <c r="A80" s="35">
        <f>IF(E80="","",ROW()-5)</f>
        <v/>
      </c>
      <c r="B80" s="36" t="n"/>
      <c r="C80" s="36" t="n"/>
      <c r="D80" s="36" t="n"/>
      <c r="E80" s="37" t="n"/>
      <c r="F80" s="37" t="n"/>
      <c r="G80" s="37" t="n"/>
      <c r="H80" s="37" t="n"/>
      <c r="I80" s="37" t="n"/>
      <c r="J80" s="36" t="n"/>
      <c r="K80" s="36" t="n"/>
      <c r="L80" s="36" t="n"/>
      <c r="M80" s="36" t="n"/>
      <c r="N80" s="38" t="n"/>
      <c r="O80" s="39">
        <f>IF(OR(N80="",J80=""),"",N80*J80)</f>
        <v/>
      </c>
      <c r="P80" s="40" t="n"/>
      <c r="Q80" s="41">
        <f>IF(OR(P80="",Y80="발주완료",Y80="취소"),"",TODAY()+P80)</f>
        <v/>
      </c>
      <c r="R80" s="35">
        <f>IF(OR(Q80="",NOT(ISNUMBER($J$2))),"",IF(Q80&lt;=$J$2,"가능","초과 "&amp;(Q80-$J$2)&amp;"일"))</f>
        <v/>
      </c>
      <c r="S80" s="36" t="n"/>
      <c r="T80" s="36" t="n"/>
      <c r="U80" s="36" t="n"/>
      <c r="V80" s="43" t="n"/>
      <c r="W80" s="41">
        <f>IF(OR(V80="",U80=""),"",V80+U80)</f>
        <v/>
      </c>
      <c r="X80" s="37" t="n"/>
      <c r="Y80" s="36" t="n"/>
      <c r="Z80" s="37" t="n"/>
    </row>
    <row r="81">
      <c r="A81" s="35">
        <f>IF(E81="","",ROW()-5)</f>
        <v/>
      </c>
      <c r="B81" s="36" t="n"/>
      <c r="C81" s="36" t="n"/>
      <c r="D81" s="36" t="n"/>
      <c r="E81" s="37" t="n"/>
      <c r="F81" s="37" t="n"/>
      <c r="G81" s="37" t="n"/>
      <c r="H81" s="37" t="n"/>
      <c r="I81" s="37" t="n"/>
      <c r="J81" s="36" t="n"/>
      <c r="K81" s="36" t="n"/>
      <c r="L81" s="36" t="n"/>
      <c r="M81" s="36" t="n"/>
      <c r="N81" s="38" t="n"/>
      <c r="O81" s="39">
        <f>IF(OR(N81="",J81=""),"",N81*J81)</f>
        <v/>
      </c>
      <c r="P81" s="40" t="n"/>
      <c r="Q81" s="41">
        <f>IF(OR(P81="",Y81="발주완료",Y81="취소"),"",TODAY()+P81)</f>
        <v/>
      </c>
      <c r="R81" s="35">
        <f>IF(OR(Q81="",NOT(ISNUMBER($J$2))),"",IF(Q81&lt;=$J$2,"가능","초과 "&amp;(Q81-$J$2)&amp;"일"))</f>
        <v/>
      </c>
      <c r="S81" s="36" t="n"/>
      <c r="T81" s="36" t="n"/>
      <c r="U81" s="36" t="n"/>
      <c r="V81" s="43" t="n"/>
      <c r="W81" s="41">
        <f>IF(OR(V81="",U81=""),"",V81+U81)</f>
        <v/>
      </c>
      <c r="X81" s="37" t="n"/>
      <c r="Y81" s="36" t="n"/>
      <c r="Z81" s="37" t="n"/>
    </row>
    <row r="82">
      <c r="A82" s="35">
        <f>IF(E82="","",ROW()-5)</f>
        <v/>
      </c>
      <c r="B82" s="36" t="n"/>
      <c r="C82" s="36" t="n"/>
      <c r="D82" s="36" t="n"/>
      <c r="E82" s="37" t="n"/>
      <c r="F82" s="37" t="n"/>
      <c r="G82" s="37" t="n"/>
      <c r="H82" s="37" t="n"/>
      <c r="I82" s="37" t="n"/>
      <c r="J82" s="36" t="n"/>
      <c r="K82" s="36" t="n"/>
      <c r="L82" s="36" t="n"/>
      <c r="M82" s="36" t="n"/>
      <c r="N82" s="38" t="n"/>
      <c r="O82" s="39">
        <f>IF(OR(N82="",J82=""),"",N82*J82)</f>
        <v/>
      </c>
      <c r="P82" s="40" t="n"/>
      <c r="Q82" s="41">
        <f>IF(OR(P82="",Y82="발주완료",Y82="취소"),"",TODAY()+P82)</f>
        <v/>
      </c>
      <c r="R82" s="35">
        <f>IF(OR(Q82="",NOT(ISNUMBER($J$2))),"",IF(Q82&lt;=$J$2,"가능","초과 "&amp;(Q82-$J$2)&amp;"일"))</f>
        <v/>
      </c>
      <c r="S82" s="36" t="n"/>
      <c r="T82" s="36" t="n"/>
      <c r="U82" s="36" t="n"/>
      <c r="V82" s="43" t="n"/>
      <c r="W82" s="41">
        <f>IF(OR(V82="",U82=""),"",V82+U82)</f>
        <v/>
      </c>
      <c r="X82" s="37" t="n"/>
      <c r="Y82" s="36" t="n"/>
      <c r="Z82" s="37" t="n"/>
    </row>
    <row r="83">
      <c r="A83" s="35">
        <f>IF(E83="","",ROW()-5)</f>
        <v/>
      </c>
      <c r="B83" s="36" t="n"/>
      <c r="C83" s="36" t="n"/>
      <c r="D83" s="36" t="n"/>
      <c r="E83" s="37" t="n"/>
      <c r="F83" s="37" t="n"/>
      <c r="G83" s="37" t="n"/>
      <c r="H83" s="37" t="n"/>
      <c r="I83" s="37" t="n"/>
      <c r="J83" s="36" t="n"/>
      <c r="K83" s="36" t="n"/>
      <c r="L83" s="36" t="n"/>
      <c r="M83" s="36" t="n"/>
      <c r="N83" s="38" t="n"/>
      <c r="O83" s="39">
        <f>IF(OR(N83="",J83=""),"",N83*J83)</f>
        <v/>
      </c>
      <c r="P83" s="40" t="n"/>
      <c r="Q83" s="41">
        <f>IF(OR(P83="",Y83="발주완료",Y83="취소"),"",TODAY()+P83)</f>
        <v/>
      </c>
      <c r="R83" s="35">
        <f>IF(OR(Q83="",NOT(ISNUMBER($J$2))),"",IF(Q83&lt;=$J$2,"가능","초과 "&amp;(Q83-$J$2)&amp;"일"))</f>
        <v/>
      </c>
      <c r="S83" s="36" t="n"/>
      <c r="T83" s="36" t="n"/>
      <c r="U83" s="36" t="n"/>
      <c r="V83" s="43" t="n"/>
      <c r="W83" s="41">
        <f>IF(OR(V83="",U83=""),"",V83+U83)</f>
        <v/>
      </c>
      <c r="X83" s="37" t="n"/>
      <c r="Y83" s="36" t="n"/>
      <c r="Z83" s="37" t="n"/>
    </row>
    <row r="84">
      <c r="A84" s="35">
        <f>IF(E84="","",ROW()-5)</f>
        <v/>
      </c>
      <c r="B84" s="36" t="n"/>
      <c r="C84" s="36" t="n"/>
      <c r="D84" s="36" t="n"/>
      <c r="E84" s="37" t="n"/>
      <c r="F84" s="37" t="n"/>
      <c r="G84" s="37" t="n"/>
      <c r="H84" s="37" t="n"/>
      <c r="I84" s="37" t="n"/>
      <c r="J84" s="36" t="n"/>
      <c r="K84" s="36" t="n"/>
      <c r="L84" s="36" t="n"/>
      <c r="M84" s="36" t="n"/>
      <c r="N84" s="38" t="n"/>
      <c r="O84" s="39">
        <f>IF(OR(N84="",J84=""),"",N84*J84)</f>
        <v/>
      </c>
      <c r="P84" s="40" t="n"/>
      <c r="Q84" s="41">
        <f>IF(OR(P84="",Y84="발주완료",Y84="취소"),"",TODAY()+P84)</f>
        <v/>
      </c>
      <c r="R84" s="35">
        <f>IF(OR(Q84="",NOT(ISNUMBER($J$2))),"",IF(Q84&lt;=$J$2,"가능","초과 "&amp;(Q84-$J$2)&amp;"일"))</f>
        <v/>
      </c>
      <c r="S84" s="36" t="n"/>
      <c r="T84" s="36" t="n"/>
      <c r="U84" s="36" t="n"/>
      <c r="V84" s="43" t="n"/>
      <c r="W84" s="41">
        <f>IF(OR(V84="",U84=""),"",V84+U84)</f>
        <v/>
      </c>
      <c r="X84" s="37" t="n"/>
      <c r="Y84" s="36" t="n"/>
      <c r="Z84" s="37" t="n"/>
    </row>
    <row r="85">
      <c r="A85" s="35">
        <f>IF(E85="","",ROW()-5)</f>
        <v/>
      </c>
      <c r="B85" s="36" t="n"/>
      <c r="C85" s="36" t="n"/>
      <c r="D85" s="36" t="n"/>
      <c r="E85" s="37" t="n"/>
      <c r="F85" s="37" t="n"/>
      <c r="G85" s="37" t="n"/>
      <c r="H85" s="37" t="n"/>
      <c r="I85" s="37" t="n"/>
      <c r="J85" s="36" t="n"/>
      <c r="K85" s="36" t="n"/>
      <c r="L85" s="36" t="n"/>
      <c r="M85" s="36" t="n"/>
      <c r="N85" s="38" t="n"/>
      <c r="O85" s="39">
        <f>IF(OR(N85="",J85=""),"",N85*J85)</f>
        <v/>
      </c>
      <c r="P85" s="40" t="n"/>
      <c r="Q85" s="41">
        <f>IF(OR(P85="",Y85="발주완료",Y85="취소"),"",TODAY()+P85)</f>
        <v/>
      </c>
      <c r="R85" s="35">
        <f>IF(OR(Q85="",NOT(ISNUMBER($J$2))),"",IF(Q85&lt;=$J$2,"가능","초과 "&amp;(Q85-$J$2)&amp;"일"))</f>
        <v/>
      </c>
      <c r="S85" s="36" t="n"/>
      <c r="T85" s="36" t="n"/>
      <c r="U85" s="36" t="n"/>
      <c r="V85" s="43" t="n"/>
      <c r="W85" s="41">
        <f>IF(OR(V85="",U85=""),"",V85+U85)</f>
        <v/>
      </c>
      <c r="X85" s="37" t="n"/>
      <c r="Y85" s="36" t="n"/>
      <c r="Z85" s="37" t="n"/>
    </row>
    <row r="86">
      <c r="A86" s="35">
        <f>IF(E86="","",ROW()-5)</f>
        <v/>
      </c>
      <c r="B86" s="36" t="n"/>
      <c r="C86" s="36" t="n"/>
      <c r="D86" s="36" t="n"/>
      <c r="E86" s="37" t="n"/>
      <c r="F86" s="37" t="n"/>
      <c r="G86" s="37" t="n"/>
      <c r="H86" s="37" t="n"/>
      <c r="I86" s="37" t="n"/>
      <c r="J86" s="36" t="n"/>
      <c r="K86" s="36" t="n"/>
      <c r="L86" s="36" t="n"/>
      <c r="M86" s="36" t="n"/>
      <c r="N86" s="38" t="n"/>
      <c r="O86" s="39">
        <f>IF(OR(N86="",J86=""),"",N86*J86)</f>
        <v/>
      </c>
      <c r="P86" s="40" t="n"/>
      <c r="Q86" s="41">
        <f>IF(OR(P86="",Y86="발주완료",Y86="취소"),"",TODAY()+P86)</f>
        <v/>
      </c>
      <c r="R86" s="35">
        <f>IF(OR(Q86="",NOT(ISNUMBER($J$2))),"",IF(Q86&lt;=$J$2,"가능","초과 "&amp;(Q86-$J$2)&amp;"일"))</f>
        <v/>
      </c>
      <c r="S86" s="36" t="n"/>
      <c r="T86" s="36" t="n"/>
      <c r="U86" s="36" t="n"/>
      <c r="V86" s="43" t="n"/>
      <c r="W86" s="41">
        <f>IF(OR(V86="",U86=""),"",V86+U86)</f>
        <v/>
      </c>
      <c r="X86" s="37" t="n"/>
      <c r="Y86" s="36" t="n"/>
      <c r="Z86" s="37" t="n"/>
    </row>
    <row r="87">
      <c r="A87" s="35">
        <f>IF(E87="","",ROW()-5)</f>
        <v/>
      </c>
      <c r="B87" s="36" t="n"/>
      <c r="C87" s="36" t="n"/>
      <c r="D87" s="36" t="n"/>
      <c r="E87" s="37" t="n"/>
      <c r="F87" s="37" t="n"/>
      <c r="G87" s="37" t="n"/>
      <c r="H87" s="37" t="n"/>
      <c r="I87" s="37" t="n"/>
      <c r="J87" s="36" t="n"/>
      <c r="K87" s="36" t="n"/>
      <c r="L87" s="36" t="n"/>
      <c r="M87" s="36" t="n"/>
      <c r="N87" s="38" t="n"/>
      <c r="O87" s="39">
        <f>IF(OR(N87="",J87=""),"",N87*J87)</f>
        <v/>
      </c>
      <c r="P87" s="40" t="n"/>
      <c r="Q87" s="41">
        <f>IF(OR(P87="",Y87="발주완료",Y87="취소"),"",TODAY()+P87)</f>
        <v/>
      </c>
      <c r="R87" s="35">
        <f>IF(OR(Q87="",NOT(ISNUMBER($J$2))),"",IF(Q87&lt;=$J$2,"가능","초과 "&amp;(Q87-$J$2)&amp;"일"))</f>
        <v/>
      </c>
      <c r="S87" s="36" t="n"/>
      <c r="T87" s="36" t="n"/>
      <c r="U87" s="36" t="n"/>
      <c r="V87" s="43" t="n"/>
      <c r="W87" s="41">
        <f>IF(OR(V87="",U87=""),"",V87+U87)</f>
        <v/>
      </c>
      <c r="X87" s="37" t="n"/>
      <c r="Y87" s="36" t="n"/>
      <c r="Z87" s="37" t="n"/>
    </row>
    <row r="88">
      <c r="A88" s="35">
        <f>IF(E88="","",ROW()-5)</f>
        <v/>
      </c>
      <c r="B88" s="36" t="n"/>
      <c r="C88" s="36" t="n"/>
      <c r="D88" s="36" t="n"/>
      <c r="E88" s="37" t="n"/>
      <c r="F88" s="37" t="n"/>
      <c r="G88" s="37" t="n"/>
      <c r="H88" s="37" t="n"/>
      <c r="I88" s="37" t="n"/>
      <c r="J88" s="36" t="n"/>
      <c r="K88" s="36" t="n"/>
      <c r="L88" s="36" t="n"/>
      <c r="M88" s="36" t="n"/>
      <c r="N88" s="38" t="n"/>
      <c r="O88" s="39">
        <f>IF(OR(N88="",J88=""),"",N88*J88)</f>
        <v/>
      </c>
      <c r="P88" s="40" t="n"/>
      <c r="Q88" s="41">
        <f>IF(OR(P88="",Y88="발주완료",Y88="취소"),"",TODAY()+P88)</f>
        <v/>
      </c>
      <c r="R88" s="35">
        <f>IF(OR(Q88="",NOT(ISNUMBER($J$2))),"",IF(Q88&lt;=$J$2,"가능","초과 "&amp;(Q88-$J$2)&amp;"일"))</f>
        <v/>
      </c>
      <c r="S88" s="36" t="n"/>
      <c r="T88" s="36" t="n"/>
      <c r="U88" s="36" t="n"/>
      <c r="V88" s="43" t="n"/>
      <c r="W88" s="41">
        <f>IF(OR(V88="",U88=""),"",V88+U88)</f>
        <v/>
      </c>
      <c r="X88" s="37" t="n"/>
      <c r="Y88" s="36" t="n"/>
      <c r="Z88" s="37" t="n"/>
    </row>
    <row r="89">
      <c r="A89" s="35">
        <f>IF(E89="","",ROW()-5)</f>
        <v/>
      </c>
      <c r="B89" s="36" t="n"/>
      <c r="C89" s="36" t="n"/>
      <c r="D89" s="36" t="n"/>
      <c r="E89" s="37" t="n"/>
      <c r="F89" s="37" t="n"/>
      <c r="G89" s="37" t="n"/>
      <c r="H89" s="37" t="n"/>
      <c r="I89" s="37" t="n"/>
      <c r="J89" s="36" t="n"/>
      <c r="K89" s="36" t="n"/>
      <c r="L89" s="36" t="n"/>
      <c r="M89" s="36" t="n"/>
      <c r="N89" s="38" t="n"/>
      <c r="O89" s="39">
        <f>IF(OR(N89="",J89=""),"",N89*J89)</f>
        <v/>
      </c>
      <c r="P89" s="40" t="n"/>
      <c r="Q89" s="41">
        <f>IF(OR(P89="",Y89="발주완료",Y89="취소"),"",TODAY()+P89)</f>
        <v/>
      </c>
      <c r="R89" s="35">
        <f>IF(OR(Q89="",NOT(ISNUMBER($J$2))),"",IF(Q89&lt;=$J$2,"가능","초과 "&amp;(Q89-$J$2)&amp;"일"))</f>
        <v/>
      </c>
      <c r="S89" s="36" t="n"/>
      <c r="T89" s="36" t="n"/>
      <c r="U89" s="36" t="n"/>
      <c r="V89" s="43" t="n"/>
      <c r="W89" s="41">
        <f>IF(OR(V89="",U89=""),"",V89+U89)</f>
        <v/>
      </c>
      <c r="X89" s="37" t="n"/>
      <c r="Y89" s="36" t="n"/>
      <c r="Z89" s="37" t="n"/>
    </row>
    <row r="90">
      <c r="A90" s="35">
        <f>IF(E90="","",ROW()-5)</f>
        <v/>
      </c>
      <c r="B90" s="36" t="n"/>
      <c r="C90" s="36" t="n"/>
      <c r="D90" s="36" t="n"/>
      <c r="E90" s="37" t="n"/>
      <c r="F90" s="37" t="n"/>
      <c r="G90" s="37" t="n"/>
      <c r="H90" s="37" t="n"/>
      <c r="I90" s="37" t="n"/>
      <c r="J90" s="36" t="n"/>
      <c r="K90" s="36" t="n"/>
      <c r="L90" s="36" t="n"/>
      <c r="M90" s="36" t="n"/>
      <c r="N90" s="38" t="n"/>
      <c r="O90" s="39">
        <f>IF(OR(N90="",J90=""),"",N90*J90)</f>
        <v/>
      </c>
      <c r="P90" s="40" t="n"/>
      <c r="Q90" s="41">
        <f>IF(OR(P90="",Y90="발주완료",Y90="취소"),"",TODAY()+P90)</f>
        <v/>
      </c>
      <c r="R90" s="35">
        <f>IF(OR(Q90="",NOT(ISNUMBER($J$2))),"",IF(Q90&lt;=$J$2,"가능","초과 "&amp;(Q90-$J$2)&amp;"일"))</f>
        <v/>
      </c>
      <c r="S90" s="36" t="n"/>
      <c r="T90" s="36" t="n"/>
      <c r="U90" s="36" t="n"/>
      <c r="V90" s="43" t="n"/>
      <c r="W90" s="41">
        <f>IF(OR(V90="",U90=""),"",V90+U90)</f>
        <v/>
      </c>
      <c r="X90" s="37" t="n"/>
      <c r="Y90" s="36" t="n"/>
      <c r="Z90" s="37" t="n"/>
    </row>
    <row r="91">
      <c r="A91" s="35">
        <f>IF(E91="","",ROW()-5)</f>
        <v/>
      </c>
      <c r="B91" s="36" t="n"/>
      <c r="C91" s="36" t="n"/>
      <c r="D91" s="36" t="n"/>
      <c r="E91" s="37" t="n"/>
      <c r="F91" s="37" t="n"/>
      <c r="G91" s="37" t="n"/>
      <c r="H91" s="37" t="n"/>
      <c r="I91" s="37" t="n"/>
      <c r="J91" s="36" t="n"/>
      <c r="K91" s="36" t="n"/>
      <c r="L91" s="36" t="n"/>
      <c r="M91" s="36" t="n"/>
      <c r="N91" s="38" t="n"/>
      <c r="O91" s="39">
        <f>IF(OR(N91="",J91=""),"",N91*J91)</f>
        <v/>
      </c>
      <c r="P91" s="40" t="n"/>
      <c r="Q91" s="41">
        <f>IF(OR(P91="",Y91="발주완료",Y91="취소"),"",TODAY()+P91)</f>
        <v/>
      </c>
      <c r="R91" s="35">
        <f>IF(OR(Q91="",NOT(ISNUMBER($J$2))),"",IF(Q91&lt;=$J$2,"가능","초과 "&amp;(Q91-$J$2)&amp;"일"))</f>
        <v/>
      </c>
      <c r="S91" s="36" t="n"/>
      <c r="T91" s="36" t="n"/>
      <c r="U91" s="36" t="n"/>
      <c r="V91" s="43" t="n"/>
      <c r="W91" s="41">
        <f>IF(OR(V91="",U91=""),"",V91+U91)</f>
        <v/>
      </c>
      <c r="X91" s="37" t="n"/>
      <c r="Y91" s="36" t="n"/>
      <c r="Z91" s="37" t="n"/>
    </row>
    <row r="92">
      <c r="A92" s="35">
        <f>IF(E92="","",ROW()-5)</f>
        <v/>
      </c>
      <c r="B92" s="36" t="n"/>
      <c r="C92" s="36" t="n"/>
      <c r="D92" s="36" t="n"/>
      <c r="E92" s="37" t="n"/>
      <c r="F92" s="37" t="n"/>
      <c r="G92" s="37" t="n"/>
      <c r="H92" s="37" t="n"/>
      <c r="I92" s="37" t="n"/>
      <c r="J92" s="36" t="n"/>
      <c r="K92" s="36" t="n"/>
      <c r="L92" s="36" t="n"/>
      <c r="M92" s="36" t="n"/>
      <c r="N92" s="38" t="n"/>
      <c r="O92" s="39">
        <f>IF(OR(N92="",J92=""),"",N92*J92)</f>
        <v/>
      </c>
      <c r="P92" s="40" t="n"/>
      <c r="Q92" s="41">
        <f>IF(OR(P92="",Y92="발주완료",Y92="취소"),"",TODAY()+P92)</f>
        <v/>
      </c>
      <c r="R92" s="35">
        <f>IF(OR(Q92="",NOT(ISNUMBER($J$2))),"",IF(Q92&lt;=$J$2,"가능","초과 "&amp;(Q92-$J$2)&amp;"일"))</f>
        <v/>
      </c>
      <c r="S92" s="36" t="n"/>
      <c r="T92" s="36" t="n"/>
      <c r="U92" s="36" t="n"/>
      <c r="V92" s="43" t="n"/>
      <c r="W92" s="41">
        <f>IF(OR(V92="",U92=""),"",V92+U92)</f>
        <v/>
      </c>
      <c r="X92" s="37" t="n"/>
      <c r="Y92" s="36" t="n"/>
      <c r="Z92" s="37" t="n"/>
    </row>
    <row r="93">
      <c r="A93" s="35">
        <f>IF(E93="","",ROW()-5)</f>
        <v/>
      </c>
      <c r="B93" s="36" t="n"/>
      <c r="C93" s="36" t="n"/>
      <c r="D93" s="36" t="n"/>
      <c r="E93" s="37" t="n"/>
      <c r="F93" s="37" t="n"/>
      <c r="G93" s="37" t="n"/>
      <c r="H93" s="37" t="n"/>
      <c r="I93" s="37" t="n"/>
      <c r="J93" s="36" t="n"/>
      <c r="K93" s="36" t="n"/>
      <c r="L93" s="36" t="n"/>
      <c r="M93" s="36" t="n"/>
      <c r="N93" s="38" t="n"/>
      <c r="O93" s="39">
        <f>IF(OR(N93="",J93=""),"",N93*J93)</f>
        <v/>
      </c>
      <c r="P93" s="40" t="n"/>
      <c r="Q93" s="41">
        <f>IF(OR(P93="",Y93="발주완료",Y93="취소"),"",TODAY()+P93)</f>
        <v/>
      </c>
      <c r="R93" s="35">
        <f>IF(OR(Q93="",NOT(ISNUMBER($J$2))),"",IF(Q93&lt;=$J$2,"가능","초과 "&amp;(Q93-$J$2)&amp;"일"))</f>
        <v/>
      </c>
      <c r="S93" s="36" t="n"/>
      <c r="T93" s="36" t="n"/>
      <c r="U93" s="36" t="n"/>
      <c r="V93" s="43" t="n"/>
      <c r="W93" s="41">
        <f>IF(OR(V93="",U93=""),"",V93+U93)</f>
        <v/>
      </c>
      <c r="X93" s="37" t="n"/>
      <c r="Y93" s="36" t="n"/>
      <c r="Z93" s="37" t="n"/>
    </row>
    <row r="94">
      <c r="A94" s="35">
        <f>IF(E94="","",ROW()-5)</f>
        <v/>
      </c>
      <c r="B94" s="36" t="n"/>
      <c r="C94" s="36" t="n"/>
      <c r="D94" s="36" t="n"/>
      <c r="E94" s="37" t="n"/>
      <c r="F94" s="37" t="n"/>
      <c r="G94" s="37" t="n"/>
      <c r="H94" s="37" t="n"/>
      <c r="I94" s="37" t="n"/>
      <c r="J94" s="36" t="n"/>
      <c r="K94" s="36" t="n"/>
      <c r="L94" s="36" t="n"/>
      <c r="M94" s="36" t="n"/>
      <c r="N94" s="38" t="n"/>
      <c r="O94" s="39">
        <f>IF(OR(N94="",J94=""),"",N94*J94)</f>
        <v/>
      </c>
      <c r="P94" s="40" t="n"/>
      <c r="Q94" s="41">
        <f>IF(OR(P94="",Y94="발주완료",Y94="취소"),"",TODAY()+P94)</f>
        <v/>
      </c>
      <c r="R94" s="35">
        <f>IF(OR(Q94="",NOT(ISNUMBER($J$2))),"",IF(Q94&lt;=$J$2,"가능","초과 "&amp;(Q94-$J$2)&amp;"일"))</f>
        <v/>
      </c>
      <c r="S94" s="36" t="n"/>
      <c r="T94" s="36" t="n"/>
      <c r="U94" s="36" t="n"/>
      <c r="V94" s="43" t="n"/>
      <c r="W94" s="41">
        <f>IF(OR(V94="",U94=""),"",V94+U94)</f>
        <v/>
      </c>
      <c r="X94" s="37" t="n"/>
      <c r="Y94" s="36" t="n"/>
      <c r="Z94" s="37" t="n"/>
    </row>
    <row r="95">
      <c r="A95" s="35">
        <f>IF(E95="","",ROW()-5)</f>
        <v/>
      </c>
      <c r="B95" s="36" t="n"/>
      <c r="C95" s="36" t="n"/>
      <c r="D95" s="36" t="n"/>
      <c r="E95" s="37" t="n"/>
      <c r="F95" s="37" t="n"/>
      <c r="G95" s="37" t="n"/>
      <c r="H95" s="37" t="n"/>
      <c r="I95" s="37" t="n"/>
      <c r="J95" s="36" t="n"/>
      <c r="K95" s="36" t="n"/>
      <c r="L95" s="36" t="n"/>
      <c r="M95" s="36" t="n"/>
      <c r="N95" s="38" t="n"/>
      <c r="O95" s="39">
        <f>IF(OR(N95="",J95=""),"",N95*J95)</f>
        <v/>
      </c>
      <c r="P95" s="40" t="n"/>
      <c r="Q95" s="41">
        <f>IF(OR(P95="",Y95="발주완료",Y95="취소"),"",TODAY()+P95)</f>
        <v/>
      </c>
      <c r="R95" s="35">
        <f>IF(OR(Q95="",NOT(ISNUMBER($J$2))),"",IF(Q95&lt;=$J$2,"가능","초과 "&amp;(Q95-$J$2)&amp;"일"))</f>
        <v/>
      </c>
      <c r="S95" s="36" t="n"/>
      <c r="T95" s="36" t="n"/>
      <c r="U95" s="36" t="n"/>
      <c r="V95" s="43" t="n"/>
      <c r="W95" s="41">
        <f>IF(OR(V95="",U95=""),"",V95+U95)</f>
        <v/>
      </c>
      <c r="X95" s="37" t="n"/>
      <c r="Y95" s="36" t="n"/>
      <c r="Z95" s="37" t="n"/>
    </row>
    <row r="96">
      <c r="A96" s="35">
        <f>IF(E96="","",ROW()-5)</f>
        <v/>
      </c>
      <c r="B96" s="36" t="n"/>
      <c r="C96" s="36" t="n"/>
      <c r="D96" s="36" t="n"/>
      <c r="E96" s="37" t="n"/>
      <c r="F96" s="37" t="n"/>
      <c r="G96" s="37" t="n"/>
      <c r="H96" s="37" t="n"/>
      <c r="I96" s="37" t="n"/>
      <c r="J96" s="36" t="n"/>
      <c r="K96" s="36" t="n"/>
      <c r="L96" s="36" t="n"/>
      <c r="M96" s="36" t="n"/>
      <c r="N96" s="38" t="n"/>
      <c r="O96" s="39">
        <f>IF(OR(N96="",J96=""),"",N96*J96)</f>
        <v/>
      </c>
      <c r="P96" s="40" t="n"/>
      <c r="Q96" s="41">
        <f>IF(OR(P96="",Y96="발주완료",Y96="취소"),"",TODAY()+P96)</f>
        <v/>
      </c>
      <c r="R96" s="35">
        <f>IF(OR(Q96="",NOT(ISNUMBER($J$2))),"",IF(Q96&lt;=$J$2,"가능","초과 "&amp;(Q96-$J$2)&amp;"일"))</f>
        <v/>
      </c>
      <c r="S96" s="36" t="n"/>
      <c r="T96" s="36" t="n"/>
      <c r="U96" s="36" t="n"/>
      <c r="V96" s="43" t="n"/>
      <c r="W96" s="41">
        <f>IF(OR(V96="",U96=""),"",V96+U96)</f>
        <v/>
      </c>
      <c r="X96" s="37" t="n"/>
      <c r="Y96" s="36" t="n"/>
      <c r="Z96" s="37" t="n"/>
    </row>
    <row r="97">
      <c r="A97" s="35">
        <f>IF(E97="","",ROW()-5)</f>
        <v/>
      </c>
      <c r="B97" s="36" t="n"/>
      <c r="C97" s="36" t="n"/>
      <c r="D97" s="36" t="n"/>
      <c r="E97" s="37" t="n"/>
      <c r="F97" s="37" t="n"/>
      <c r="G97" s="37" t="n"/>
      <c r="H97" s="37" t="n"/>
      <c r="I97" s="37" t="n"/>
      <c r="J97" s="36" t="n"/>
      <c r="K97" s="36" t="n"/>
      <c r="L97" s="36" t="n"/>
      <c r="M97" s="36" t="n"/>
      <c r="N97" s="38" t="n"/>
      <c r="O97" s="39">
        <f>IF(OR(N97="",J97=""),"",N97*J97)</f>
        <v/>
      </c>
      <c r="P97" s="40" t="n"/>
      <c r="Q97" s="41">
        <f>IF(OR(P97="",Y97="발주완료",Y97="취소"),"",TODAY()+P97)</f>
        <v/>
      </c>
      <c r="R97" s="35">
        <f>IF(OR(Q97="",NOT(ISNUMBER($J$2))),"",IF(Q97&lt;=$J$2,"가능","초과 "&amp;(Q97-$J$2)&amp;"일"))</f>
        <v/>
      </c>
      <c r="S97" s="36" t="n"/>
      <c r="T97" s="36" t="n"/>
      <c r="U97" s="36" t="n"/>
      <c r="V97" s="43" t="n"/>
      <c r="W97" s="41">
        <f>IF(OR(V97="",U97=""),"",V97+U97)</f>
        <v/>
      </c>
      <c r="X97" s="37" t="n"/>
      <c r="Y97" s="36" t="n"/>
      <c r="Z97" s="37" t="n"/>
    </row>
    <row r="98">
      <c r="A98" s="35">
        <f>IF(E98="","",ROW()-5)</f>
        <v/>
      </c>
      <c r="B98" s="36" t="n"/>
      <c r="C98" s="36" t="n"/>
      <c r="D98" s="36" t="n"/>
      <c r="E98" s="37" t="n"/>
      <c r="F98" s="37" t="n"/>
      <c r="G98" s="37" t="n"/>
      <c r="H98" s="37" t="n"/>
      <c r="I98" s="37" t="n"/>
      <c r="J98" s="36" t="n"/>
      <c r="K98" s="36" t="n"/>
      <c r="L98" s="36" t="n"/>
      <c r="M98" s="36" t="n"/>
      <c r="N98" s="38" t="n"/>
      <c r="O98" s="39">
        <f>IF(OR(N98="",J98=""),"",N98*J98)</f>
        <v/>
      </c>
      <c r="P98" s="40" t="n"/>
      <c r="Q98" s="41">
        <f>IF(OR(P98="",Y98="발주완료",Y98="취소"),"",TODAY()+P98)</f>
        <v/>
      </c>
      <c r="R98" s="35">
        <f>IF(OR(Q98="",NOT(ISNUMBER($J$2))),"",IF(Q98&lt;=$J$2,"가능","초과 "&amp;(Q98-$J$2)&amp;"일"))</f>
        <v/>
      </c>
      <c r="S98" s="36" t="n"/>
      <c r="T98" s="36" t="n"/>
      <c r="U98" s="36" t="n"/>
      <c r="V98" s="43" t="n"/>
      <c r="W98" s="41">
        <f>IF(OR(V98="",U98=""),"",V98+U98)</f>
        <v/>
      </c>
      <c r="X98" s="37" t="n"/>
      <c r="Y98" s="36" t="n"/>
      <c r="Z98" s="37" t="n"/>
    </row>
    <row r="99">
      <c r="A99" s="35">
        <f>IF(E99="","",ROW()-5)</f>
        <v/>
      </c>
      <c r="B99" s="36" t="n"/>
      <c r="C99" s="36" t="n"/>
      <c r="D99" s="36" t="n"/>
      <c r="E99" s="37" t="n"/>
      <c r="F99" s="37" t="n"/>
      <c r="G99" s="37" t="n"/>
      <c r="H99" s="37" t="n"/>
      <c r="I99" s="37" t="n"/>
      <c r="J99" s="36" t="n"/>
      <c r="K99" s="36" t="n"/>
      <c r="L99" s="36" t="n"/>
      <c r="M99" s="36" t="n"/>
      <c r="N99" s="38" t="n"/>
      <c r="O99" s="39">
        <f>IF(OR(N99="",J99=""),"",N99*J99)</f>
        <v/>
      </c>
      <c r="P99" s="40" t="n"/>
      <c r="Q99" s="41">
        <f>IF(OR(P99="",Y99="발주완료",Y99="취소"),"",TODAY()+P99)</f>
        <v/>
      </c>
      <c r="R99" s="35">
        <f>IF(OR(Q99="",NOT(ISNUMBER($J$2))),"",IF(Q99&lt;=$J$2,"가능","초과 "&amp;(Q99-$J$2)&amp;"일"))</f>
        <v/>
      </c>
      <c r="S99" s="36" t="n"/>
      <c r="T99" s="36" t="n"/>
      <c r="U99" s="36" t="n"/>
      <c r="V99" s="43" t="n"/>
      <c r="W99" s="41">
        <f>IF(OR(V99="",U99=""),"",V99+U99)</f>
        <v/>
      </c>
      <c r="X99" s="37" t="n"/>
      <c r="Y99" s="36" t="n"/>
      <c r="Z99" s="37" t="n"/>
    </row>
    <row r="100">
      <c r="A100" s="35">
        <f>IF(E100="","",ROW()-5)</f>
        <v/>
      </c>
      <c r="B100" s="36" t="n"/>
      <c r="C100" s="36" t="n"/>
      <c r="D100" s="36" t="n"/>
      <c r="E100" s="37" t="n"/>
      <c r="F100" s="37" t="n"/>
      <c r="G100" s="37" t="n"/>
      <c r="H100" s="37" t="n"/>
      <c r="I100" s="37" t="n"/>
      <c r="J100" s="36" t="n"/>
      <c r="K100" s="36" t="n"/>
      <c r="L100" s="36" t="n"/>
      <c r="M100" s="36" t="n"/>
      <c r="N100" s="38" t="n"/>
      <c r="O100" s="39">
        <f>IF(OR(N100="",J100=""),"",N100*J100)</f>
        <v/>
      </c>
      <c r="P100" s="40" t="n"/>
      <c r="Q100" s="41">
        <f>IF(OR(P100="",Y100="발주완료",Y100="취소"),"",TODAY()+P100)</f>
        <v/>
      </c>
      <c r="R100" s="35">
        <f>IF(OR(Q100="",NOT(ISNUMBER($J$2))),"",IF(Q100&lt;=$J$2,"가능","초과 "&amp;(Q100-$J$2)&amp;"일"))</f>
        <v/>
      </c>
      <c r="S100" s="36" t="n"/>
      <c r="T100" s="36" t="n"/>
      <c r="U100" s="36" t="n"/>
      <c r="V100" s="43" t="n"/>
      <c r="W100" s="41">
        <f>IF(OR(V100="",U100=""),"",V100+U100)</f>
        <v/>
      </c>
      <c r="X100" s="37" t="n"/>
      <c r="Y100" s="36" t="n"/>
      <c r="Z100" s="37" t="n"/>
    </row>
    <row r="101">
      <c r="A101" s="35">
        <f>IF(E101="","",ROW()-5)</f>
        <v/>
      </c>
      <c r="B101" s="36" t="n"/>
      <c r="C101" s="36" t="n"/>
      <c r="D101" s="36" t="n"/>
      <c r="E101" s="37" t="n"/>
      <c r="F101" s="37" t="n"/>
      <c r="G101" s="37" t="n"/>
      <c r="H101" s="37" t="n"/>
      <c r="I101" s="37" t="n"/>
      <c r="J101" s="36" t="n"/>
      <c r="K101" s="36" t="n"/>
      <c r="L101" s="36" t="n"/>
      <c r="M101" s="36" t="n"/>
      <c r="N101" s="38" t="n"/>
      <c r="O101" s="39">
        <f>IF(OR(N101="",J101=""),"",N101*J101)</f>
        <v/>
      </c>
      <c r="P101" s="40" t="n"/>
      <c r="Q101" s="41">
        <f>IF(OR(P101="",Y101="발주완료",Y101="취소"),"",TODAY()+P101)</f>
        <v/>
      </c>
      <c r="R101" s="35">
        <f>IF(OR(Q101="",NOT(ISNUMBER($J$2))),"",IF(Q101&lt;=$J$2,"가능","초과 "&amp;(Q101-$J$2)&amp;"일"))</f>
        <v/>
      </c>
      <c r="S101" s="36" t="n"/>
      <c r="T101" s="36" t="n"/>
      <c r="U101" s="36" t="n"/>
      <c r="V101" s="43" t="n"/>
      <c r="W101" s="41">
        <f>IF(OR(V101="",U101=""),"",V101+U101)</f>
        <v/>
      </c>
      <c r="X101" s="37" t="n"/>
      <c r="Y101" s="36" t="n"/>
      <c r="Z101" s="37" t="n"/>
    </row>
    <row r="102">
      <c r="A102" s="35">
        <f>IF(E102="","",ROW()-5)</f>
        <v/>
      </c>
      <c r="B102" s="36" t="n"/>
      <c r="C102" s="36" t="n"/>
      <c r="D102" s="36" t="n"/>
      <c r="E102" s="37" t="n"/>
      <c r="F102" s="37" t="n"/>
      <c r="G102" s="37" t="n"/>
      <c r="H102" s="37" t="n"/>
      <c r="I102" s="37" t="n"/>
      <c r="J102" s="36" t="n"/>
      <c r="K102" s="36" t="n"/>
      <c r="L102" s="36" t="n"/>
      <c r="M102" s="36" t="n"/>
      <c r="N102" s="38" t="n"/>
      <c r="O102" s="39">
        <f>IF(OR(N102="",J102=""),"",N102*J102)</f>
        <v/>
      </c>
      <c r="P102" s="40" t="n"/>
      <c r="Q102" s="41">
        <f>IF(OR(P102="",Y102="발주완료",Y102="취소"),"",TODAY()+P102)</f>
        <v/>
      </c>
      <c r="R102" s="35">
        <f>IF(OR(Q102="",NOT(ISNUMBER($J$2))),"",IF(Q102&lt;=$J$2,"가능","초과 "&amp;(Q102-$J$2)&amp;"일"))</f>
        <v/>
      </c>
      <c r="S102" s="36" t="n"/>
      <c r="T102" s="36" t="n"/>
      <c r="U102" s="36" t="n"/>
      <c r="V102" s="43" t="n"/>
      <c r="W102" s="41">
        <f>IF(OR(V102="",U102=""),"",V102+U102)</f>
        <v/>
      </c>
      <c r="X102" s="37" t="n"/>
      <c r="Y102" s="36" t="n"/>
      <c r="Z102" s="37" t="n"/>
    </row>
    <row r="103">
      <c r="A103" s="35">
        <f>IF(E103="","",ROW()-5)</f>
        <v/>
      </c>
      <c r="B103" s="36" t="n"/>
      <c r="C103" s="36" t="n"/>
      <c r="D103" s="36" t="n"/>
      <c r="E103" s="37" t="n"/>
      <c r="F103" s="37" t="n"/>
      <c r="G103" s="37" t="n"/>
      <c r="H103" s="37" t="n"/>
      <c r="I103" s="37" t="n"/>
      <c r="J103" s="36" t="n"/>
      <c r="K103" s="36" t="n"/>
      <c r="L103" s="36" t="n"/>
      <c r="M103" s="36" t="n"/>
      <c r="N103" s="38" t="n"/>
      <c r="O103" s="39">
        <f>IF(OR(N103="",J103=""),"",N103*J103)</f>
        <v/>
      </c>
      <c r="P103" s="40" t="n"/>
      <c r="Q103" s="41">
        <f>IF(OR(P103="",Y103="발주완료",Y103="취소"),"",TODAY()+P103)</f>
        <v/>
      </c>
      <c r="R103" s="35">
        <f>IF(OR(Q103="",NOT(ISNUMBER($J$2))),"",IF(Q103&lt;=$J$2,"가능","초과 "&amp;(Q103-$J$2)&amp;"일"))</f>
        <v/>
      </c>
      <c r="S103" s="36" t="n"/>
      <c r="T103" s="36" t="n"/>
      <c r="U103" s="36" t="n"/>
      <c r="V103" s="43" t="n"/>
      <c r="W103" s="41">
        <f>IF(OR(V103="",U103=""),"",V103+U103)</f>
        <v/>
      </c>
      <c r="X103" s="37" t="n"/>
      <c r="Y103" s="36" t="n"/>
      <c r="Z103" s="37" t="n"/>
    </row>
    <row r="104">
      <c r="A104" s="35">
        <f>IF(E104="","",ROW()-5)</f>
        <v/>
      </c>
      <c r="B104" s="36" t="n"/>
      <c r="C104" s="36" t="n"/>
      <c r="D104" s="36" t="n"/>
      <c r="E104" s="37" t="n"/>
      <c r="F104" s="37" t="n"/>
      <c r="G104" s="37" t="n"/>
      <c r="H104" s="37" t="n"/>
      <c r="I104" s="37" t="n"/>
      <c r="J104" s="36" t="n"/>
      <c r="K104" s="36" t="n"/>
      <c r="L104" s="36" t="n"/>
      <c r="M104" s="36" t="n"/>
      <c r="N104" s="38" t="n"/>
      <c r="O104" s="39">
        <f>IF(OR(N104="",J104=""),"",N104*J104)</f>
        <v/>
      </c>
      <c r="P104" s="40" t="n"/>
      <c r="Q104" s="41">
        <f>IF(OR(P104="",Y104="발주완료",Y104="취소"),"",TODAY()+P104)</f>
        <v/>
      </c>
      <c r="R104" s="35">
        <f>IF(OR(Q104="",NOT(ISNUMBER($J$2))),"",IF(Q104&lt;=$J$2,"가능","초과 "&amp;(Q104-$J$2)&amp;"일"))</f>
        <v/>
      </c>
      <c r="S104" s="36" t="n"/>
      <c r="T104" s="36" t="n"/>
      <c r="U104" s="36" t="n"/>
      <c r="V104" s="43" t="n"/>
      <c r="W104" s="41">
        <f>IF(OR(V104="",U104=""),"",V104+U104)</f>
        <v/>
      </c>
      <c r="X104" s="37" t="n"/>
      <c r="Y104" s="36" t="n"/>
      <c r="Z104" s="37" t="n"/>
    </row>
    <row r="105">
      <c r="A105" s="35">
        <f>IF(E105="","",ROW()-5)</f>
        <v/>
      </c>
      <c r="B105" s="36" t="n"/>
      <c r="C105" s="36" t="n"/>
      <c r="D105" s="36" t="n"/>
      <c r="E105" s="37" t="n"/>
      <c r="F105" s="37" t="n"/>
      <c r="G105" s="37" t="n"/>
      <c r="H105" s="37" t="n"/>
      <c r="I105" s="37" t="n"/>
      <c r="J105" s="36" t="n"/>
      <c r="K105" s="36" t="n"/>
      <c r="L105" s="36" t="n"/>
      <c r="M105" s="36" t="n"/>
      <c r="N105" s="38" t="n"/>
      <c r="O105" s="39">
        <f>IF(OR(N105="",J105=""),"",N105*J105)</f>
        <v/>
      </c>
      <c r="P105" s="40" t="n"/>
      <c r="Q105" s="41">
        <f>IF(OR(P105="",Y105="발주완료",Y105="취소"),"",TODAY()+P105)</f>
        <v/>
      </c>
      <c r="R105" s="35">
        <f>IF(OR(Q105="",NOT(ISNUMBER($J$2))),"",IF(Q105&lt;=$J$2,"가능","초과 "&amp;(Q105-$J$2)&amp;"일"))</f>
        <v/>
      </c>
      <c r="S105" s="36" t="n"/>
      <c r="T105" s="36" t="n"/>
      <c r="U105" s="36" t="n"/>
      <c r="V105" s="43" t="n"/>
      <c r="W105" s="41">
        <f>IF(OR(V105="",U105=""),"",V105+U105)</f>
        <v/>
      </c>
      <c r="X105" s="37" t="n"/>
      <c r="Y105" s="36" t="n"/>
      <c r="Z105" s="37" t="n"/>
    </row>
    <row r="106">
      <c r="A106" s="35">
        <f>IF(E106="","",ROW()-5)</f>
        <v/>
      </c>
      <c r="B106" s="36" t="n"/>
      <c r="C106" s="36" t="n"/>
      <c r="D106" s="36" t="n"/>
      <c r="E106" s="37" t="n"/>
      <c r="F106" s="37" t="n"/>
      <c r="G106" s="37" t="n"/>
      <c r="H106" s="37" t="n"/>
      <c r="I106" s="37" t="n"/>
      <c r="J106" s="36" t="n"/>
      <c r="K106" s="36" t="n"/>
      <c r="L106" s="36" t="n"/>
      <c r="M106" s="36" t="n"/>
      <c r="N106" s="38" t="n"/>
      <c r="O106" s="39">
        <f>IF(OR(N106="",J106=""),"",N106*J106)</f>
        <v/>
      </c>
      <c r="P106" s="40" t="n"/>
      <c r="Q106" s="41">
        <f>IF(OR(P106="",Y106="발주완료",Y106="취소"),"",TODAY()+P106)</f>
        <v/>
      </c>
      <c r="R106" s="35">
        <f>IF(OR(Q106="",NOT(ISNUMBER($J$2))),"",IF(Q106&lt;=$J$2,"가능","초과 "&amp;(Q106-$J$2)&amp;"일"))</f>
        <v/>
      </c>
      <c r="S106" s="36" t="n"/>
      <c r="T106" s="36" t="n"/>
      <c r="U106" s="36" t="n"/>
      <c r="V106" s="43" t="n"/>
      <c r="W106" s="41">
        <f>IF(OR(V106="",U106=""),"",V106+U106)</f>
        <v/>
      </c>
      <c r="X106" s="37" t="n"/>
      <c r="Y106" s="36" t="n"/>
      <c r="Z106" s="37" t="n"/>
    </row>
    <row r="107">
      <c r="A107" s="35">
        <f>IF(E107="","",ROW()-5)</f>
        <v/>
      </c>
      <c r="B107" s="36" t="n"/>
      <c r="C107" s="36" t="n"/>
      <c r="D107" s="36" t="n"/>
      <c r="E107" s="37" t="n"/>
      <c r="F107" s="37" t="n"/>
      <c r="G107" s="37" t="n"/>
      <c r="H107" s="37" t="n"/>
      <c r="I107" s="37" t="n"/>
      <c r="J107" s="36" t="n"/>
      <c r="K107" s="36" t="n"/>
      <c r="L107" s="36" t="n"/>
      <c r="M107" s="36" t="n"/>
      <c r="N107" s="38" t="n"/>
      <c r="O107" s="39">
        <f>IF(OR(N107="",J107=""),"",N107*J107)</f>
        <v/>
      </c>
      <c r="P107" s="40" t="n"/>
      <c r="Q107" s="41">
        <f>IF(OR(P107="",Y107="발주완료",Y107="취소"),"",TODAY()+P107)</f>
        <v/>
      </c>
      <c r="R107" s="35">
        <f>IF(OR(Q107="",NOT(ISNUMBER($J$2))),"",IF(Q107&lt;=$J$2,"가능","초과 "&amp;(Q107-$J$2)&amp;"일"))</f>
        <v/>
      </c>
      <c r="S107" s="36" t="n"/>
      <c r="T107" s="36" t="n"/>
      <c r="U107" s="36" t="n"/>
      <c r="V107" s="43" t="n"/>
      <c r="W107" s="41">
        <f>IF(OR(V107="",U107=""),"",V107+U107)</f>
        <v/>
      </c>
      <c r="X107" s="37" t="n"/>
      <c r="Y107" s="36" t="n"/>
      <c r="Z107" s="37" t="n"/>
    </row>
    <row r="108">
      <c r="A108" s="35">
        <f>IF(E108="","",ROW()-5)</f>
        <v/>
      </c>
      <c r="B108" s="36" t="n"/>
      <c r="C108" s="36" t="n"/>
      <c r="D108" s="36" t="n"/>
      <c r="E108" s="37" t="n"/>
      <c r="F108" s="37" t="n"/>
      <c r="G108" s="37" t="n"/>
      <c r="H108" s="37" t="n"/>
      <c r="I108" s="37" t="n"/>
      <c r="J108" s="36" t="n"/>
      <c r="K108" s="36" t="n"/>
      <c r="L108" s="36" t="n"/>
      <c r="M108" s="36" t="n"/>
      <c r="N108" s="38" t="n"/>
      <c r="O108" s="39">
        <f>IF(OR(N108="",J108=""),"",N108*J108)</f>
        <v/>
      </c>
      <c r="P108" s="40" t="n"/>
      <c r="Q108" s="41">
        <f>IF(OR(P108="",Y108="발주완료",Y108="취소"),"",TODAY()+P108)</f>
        <v/>
      </c>
      <c r="R108" s="35">
        <f>IF(OR(Q108="",NOT(ISNUMBER($J$2))),"",IF(Q108&lt;=$J$2,"가능","초과 "&amp;(Q108-$J$2)&amp;"일"))</f>
        <v/>
      </c>
      <c r="S108" s="36" t="n"/>
      <c r="T108" s="36" t="n"/>
      <c r="U108" s="36" t="n"/>
      <c r="V108" s="43" t="n"/>
      <c r="W108" s="41">
        <f>IF(OR(V108="",U108=""),"",V108+U108)</f>
        <v/>
      </c>
      <c r="X108" s="37" t="n"/>
      <c r="Y108" s="36" t="n"/>
      <c r="Z108" s="37" t="n"/>
    </row>
    <row r="109">
      <c r="A109" s="35">
        <f>IF(E109="","",ROW()-5)</f>
        <v/>
      </c>
      <c r="B109" s="36" t="n"/>
      <c r="C109" s="36" t="n"/>
      <c r="D109" s="36" t="n"/>
      <c r="E109" s="37" t="n"/>
      <c r="F109" s="37" t="n"/>
      <c r="G109" s="37" t="n"/>
      <c r="H109" s="37" t="n"/>
      <c r="I109" s="37" t="n"/>
      <c r="J109" s="36" t="n"/>
      <c r="K109" s="36" t="n"/>
      <c r="L109" s="36" t="n"/>
      <c r="M109" s="36" t="n"/>
      <c r="N109" s="38" t="n"/>
      <c r="O109" s="39">
        <f>IF(OR(N109="",J109=""),"",N109*J109)</f>
        <v/>
      </c>
      <c r="P109" s="40" t="n"/>
      <c r="Q109" s="41">
        <f>IF(OR(P109="",Y109="발주완료",Y109="취소"),"",TODAY()+P109)</f>
        <v/>
      </c>
      <c r="R109" s="35">
        <f>IF(OR(Q109="",NOT(ISNUMBER($J$2))),"",IF(Q109&lt;=$J$2,"가능","초과 "&amp;(Q109-$J$2)&amp;"일"))</f>
        <v/>
      </c>
      <c r="S109" s="36" t="n"/>
      <c r="T109" s="36" t="n"/>
      <c r="U109" s="36" t="n"/>
      <c r="V109" s="43" t="n"/>
      <c r="W109" s="41">
        <f>IF(OR(V109="",U109=""),"",V109+U109)</f>
        <v/>
      </c>
      <c r="X109" s="37" t="n"/>
      <c r="Y109" s="36" t="n"/>
      <c r="Z109" s="37" t="n"/>
    </row>
    <row r="110">
      <c r="A110" s="35">
        <f>IF(E110="","",ROW()-5)</f>
        <v/>
      </c>
      <c r="B110" s="36" t="n"/>
      <c r="C110" s="36" t="n"/>
      <c r="D110" s="36" t="n"/>
      <c r="E110" s="37" t="n"/>
      <c r="F110" s="37" t="n"/>
      <c r="G110" s="37" t="n"/>
      <c r="H110" s="37" t="n"/>
      <c r="I110" s="37" t="n"/>
      <c r="J110" s="36" t="n"/>
      <c r="K110" s="36" t="n"/>
      <c r="L110" s="36" t="n"/>
      <c r="M110" s="36" t="n"/>
      <c r="N110" s="38" t="n"/>
      <c r="O110" s="39">
        <f>IF(OR(N110="",J110=""),"",N110*J110)</f>
        <v/>
      </c>
      <c r="P110" s="40" t="n"/>
      <c r="Q110" s="41">
        <f>IF(OR(P110="",Y110="발주완료",Y110="취소"),"",TODAY()+P110)</f>
        <v/>
      </c>
      <c r="R110" s="35">
        <f>IF(OR(Q110="",NOT(ISNUMBER($J$2))),"",IF(Q110&lt;=$J$2,"가능","초과 "&amp;(Q110-$J$2)&amp;"일"))</f>
        <v/>
      </c>
      <c r="S110" s="36" t="n"/>
      <c r="T110" s="36" t="n"/>
      <c r="U110" s="36" t="n"/>
      <c r="V110" s="43" t="n"/>
      <c r="W110" s="41">
        <f>IF(OR(V110="",U110=""),"",V110+U110)</f>
        <v/>
      </c>
      <c r="X110" s="37" t="n"/>
      <c r="Y110" s="36" t="n"/>
      <c r="Z110" s="37" t="n"/>
    </row>
    <row r="111">
      <c r="A111" s="35">
        <f>IF(E111="","",ROW()-5)</f>
        <v/>
      </c>
      <c r="B111" s="36" t="n"/>
      <c r="C111" s="36" t="n"/>
      <c r="D111" s="36" t="n"/>
      <c r="E111" s="37" t="n"/>
      <c r="F111" s="37" t="n"/>
      <c r="G111" s="37" t="n"/>
      <c r="H111" s="37" t="n"/>
      <c r="I111" s="37" t="n"/>
      <c r="J111" s="36" t="n"/>
      <c r="K111" s="36" t="n"/>
      <c r="L111" s="36" t="n"/>
      <c r="M111" s="36" t="n"/>
      <c r="N111" s="38" t="n"/>
      <c r="O111" s="39">
        <f>IF(OR(N111="",J111=""),"",N111*J111)</f>
        <v/>
      </c>
      <c r="P111" s="40" t="n"/>
      <c r="Q111" s="41">
        <f>IF(OR(P111="",Y111="발주완료",Y111="취소"),"",TODAY()+P111)</f>
        <v/>
      </c>
      <c r="R111" s="35">
        <f>IF(OR(Q111="",NOT(ISNUMBER($J$2))),"",IF(Q111&lt;=$J$2,"가능","초과 "&amp;(Q111-$J$2)&amp;"일"))</f>
        <v/>
      </c>
      <c r="S111" s="36" t="n"/>
      <c r="T111" s="36" t="n"/>
      <c r="U111" s="36" t="n"/>
      <c r="V111" s="43" t="n"/>
      <c r="W111" s="41">
        <f>IF(OR(V111="",U111=""),"",V111+U111)</f>
        <v/>
      </c>
      <c r="X111" s="37" t="n"/>
      <c r="Y111" s="36" t="n"/>
      <c r="Z111" s="37" t="n"/>
    </row>
    <row r="112">
      <c r="A112" s="35">
        <f>IF(E112="","",ROW()-5)</f>
        <v/>
      </c>
      <c r="B112" s="36" t="n"/>
      <c r="C112" s="36" t="n"/>
      <c r="D112" s="36" t="n"/>
      <c r="E112" s="37" t="n"/>
      <c r="F112" s="37" t="n"/>
      <c r="G112" s="37" t="n"/>
      <c r="H112" s="37" t="n"/>
      <c r="I112" s="37" t="n"/>
      <c r="J112" s="36" t="n"/>
      <c r="K112" s="36" t="n"/>
      <c r="L112" s="36" t="n"/>
      <c r="M112" s="36" t="n"/>
      <c r="N112" s="38" t="n"/>
      <c r="O112" s="39">
        <f>IF(OR(N112="",J112=""),"",N112*J112)</f>
        <v/>
      </c>
      <c r="P112" s="40" t="n"/>
      <c r="Q112" s="41">
        <f>IF(OR(P112="",Y112="발주완료",Y112="취소"),"",TODAY()+P112)</f>
        <v/>
      </c>
      <c r="R112" s="35">
        <f>IF(OR(Q112="",NOT(ISNUMBER($J$2))),"",IF(Q112&lt;=$J$2,"가능","초과 "&amp;(Q112-$J$2)&amp;"일"))</f>
        <v/>
      </c>
      <c r="S112" s="36" t="n"/>
      <c r="T112" s="36" t="n"/>
      <c r="U112" s="36" t="n"/>
      <c r="V112" s="43" t="n"/>
      <c r="W112" s="41">
        <f>IF(OR(V112="",U112=""),"",V112+U112)</f>
        <v/>
      </c>
      <c r="X112" s="37" t="n"/>
      <c r="Y112" s="36" t="n"/>
      <c r="Z112" s="37" t="n"/>
    </row>
    <row r="113">
      <c r="A113" s="35">
        <f>IF(E113="","",ROW()-5)</f>
        <v/>
      </c>
      <c r="B113" s="36" t="n"/>
      <c r="C113" s="36" t="n"/>
      <c r="D113" s="36" t="n"/>
      <c r="E113" s="37" t="n"/>
      <c r="F113" s="37" t="n"/>
      <c r="G113" s="37" t="n"/>
      <c r="H113" s="37" t="n"/>
      <c r="I113" s="37" t="n"/>
      <c r="J113" s="36" t="n"/>
      <c r="K113" s="36" t="n"/>
      <c r="L113" s="36" t="n"/>
      <c r="M113" s="36" t="n"/>
      <c r="N113" s="38" t="n"/>
      <c r="O113" s="39">
        <f>IF(OR(N113="",J113=""),"",N113*J113)</f>
        <v/>
      </c>
      <c r="P113" s="40" t="n"/>
      <c r="Q113" s="41">
        <f>IF(OR(P113="",Y113="발주완료",Y113="취소"),"",TODAY()+P113)</f>
        <v/>
      </c>
      <c r="R113" s="35">
        <f>IF(OR(Q113="",NOT(ISNUMBER($J$2))),"",IF(Q113&lt;=$J$2,"가능","초과 "&amp;(Q113-$J$2)&amp;"일"))</f>
        <v/>
      </c>
      <c r="S113" s="36" t="n"/>
      <c r="T113" s="36" t="n"/>
      <c r="U113" s="36" t="n"/>
      <c r="V113" s="43" t="n"/>
      <c r="W113" s="41">
        <f>IF(OR(V113="",U113=""),"",V113+U113)</f>
        <v/>
      </c>
      <c r="X113" s="37" t="n"/>
      <c r="Y113" s="36" t="n"/>
      <c r="Z113" s="37" t="n"/>
    </row>
    <row r="114">
      <c r="A114" s="35">
        <f>IF(E114="","",ROW()-5)</f>
        <v/>
      </c>
      <c r="B114" s="36" t="n"/>
      <c r="C114" s="36" t="n"/>
      <c r="D114" s="36" t="n"/>
      <c r="E114" s="37" t="n"/>
      <c r="F114" s="37" t="n"/>
      <c r="G114" s="37" t="n"/>
      <c r="H114" s="37" t="n"/>
      <c r="I114" s="37" t="n"/>
      <c r="J114" s="36" t="n"/>
      <c r="K114" s="36" t="n"/>
      <c r="L114" s="36" t="n"/>
      <c r="M114" s="36" t="n"/>
      <c r="N114" s="38" t="n"/>
      <c r="O114" s="39">
        <f>IF(OR(N114="",J114=""),"",N114*J114)</f>
        <v/>
      </c>
      <c r="P114" s="40" t="n"/>
      <c r="Q114" s="41">
        <f>IF(OR(P114="",Y114="발주완료",Y114="취소"),"",TODAY()+P114)</f>
        <v/>
      </c>
      <c r="R114" s="35">
        <f>IF(OR(Q114="",NOT(ISNUMBER($J$2))),"",IF(Q114&lt;=$J$2,"가능","초과 "&amp;(Q114-$J$2)&amp;"일"))</f>
        <v/>
      </c>
      <c r="S114" s="36" t="n"/>
      <c r="T114" s="36" t="n"/>
      <c r="U114" s="36" t="n"/>
      <c r="V114" s="43" t="n"/>
      <c r="W114" s="41">
        <f>IF(OR(V114="",U114=""),"",V114+U114)</f>
        <v/>
      </c>
      <c r="X114" s="37" t="n"/>
      <c r="Y114" s="36" t="n"/>
      <c r="Z114" s="37" t="n"/>
    </row>
    <row r="115">
      <c r="A115" s="35">
        <f>IF(E115="","",ROW()-5)</f>
        <v/>
      </c>
      <c r="B115" s="36" t="n"/>
      <c r="C115" s="36" t="n"/>
      <c r="D115" s="36" t="n"/>
      <c r="E115" s="37" t="n"/>
      <c r="F115" s="37" t="n"/>
      <c r="G115" s="37" t="n"/>
      <c r="H115" s="37" t="n"/>
      <c r="I115" s="37" t="n"/>
      <c r="J115" s="36" t="n"/>
      <c r="K115" s="36" t="n"/>
      <c r="L115" s="36" t="n"/>
      <c r="M115" s="36" t="n"/>
      <c r="N115" s="38" t="n"/>
      <c r="O115" s="39">
        <f>IF(OR(N115="",J115=""),"",N115*J115)</f>
        <v/>
      </c>
      <c r="P115" s="40" t="n"/>
      <c r="Q115" s="41">
        <f>IF(OR(P115="",Y115="발주완료",Y115="취소"),"",TODAY()+P115)</f>
        <v/>
      </c>
      <c r="R115" s="35">
        <f>IF(OR(Q115="",NOT(ISNUMBER($J$2))),"",IF(Q115&lt;=$J$2,"가능","초과 "&amp;(Q115-$J$2)&amp;"일"))</f>
        <v/>
      </c>
      <c r="S115" s="36" t="n"/>
      <c r="T115" s="36" t="n"/>
      <c r="U115" s="36" t="n"/>
      <c r="V115" s="43" t="n"/>
      <c r="W115" s="41">
        <f>IF(OR(V115="",U115=""),"",V115+U115)</f>
        <v/>
      </c>
      <c r="X115" s="37" t="n"/>
      <c r="Y115" s="36" t="n"/>
      <c r="Z115" s="37" t="n"/>
    </row>
    <row r="116">
      <c r="A116" s="35">
        <f>IF(E116="","",ROW()-5)</f>
        <v/>
      </c>
      <c r="B116" s="36" t="n"/>
      <c r="C116" s="36" t="n"/>
      <c r="D116" s="36" t="n"/>
      <c r="E116" s="37" t="n"/>
      <c r="F116" s="37" t="n"/>
      <c r="G116" s="37" t="n"/>
      <c r="H116" s="37" t="n"/>
      <c r="I116" s="37" t="n"/>
      <c r="J116" s="36" t="n"/>
      <c r="K116" s="36" t="n"/>
      <c r="L116" s="36" t="n"/>
      <c r="M116" s="36" t="n"/>
      <c r="N116" s="38" t="n"/>
      <c r="O116" s="39">
        <f>IF(OR(N116="",J116=""),"",N116*J116)</f>
        <v/>
      </c>
      <c r="P116" s="40" t="n"/>
      <c r="Q116" s="41">
        <f>IF(OR(P116="",Y116="발주완료",Y116="취소"),"",TODAY()+P116)</f>
        <v/>
      </c>
      <c r="R116" s="35">
        <f>IF(OR(Q116="",NOT(ISNUMBER($J$2))),"",IF(Q116&lt;=$J$2,"가능","초과 "&amp;(Q116-$J$2)&amp;"일"))</f>
        <v/>
      </c>
      <c r="S116" s="36" t="n"/>
      <c r="T116" s="36" t="n"/>
      <c r="U116" s="36" t="n"/>
      <c r="V116" s="43" t="n"/>
      <c r="W116" s="41">
        <f>IF(OR(V116="",U116=""),"",V116+U116)</f>
        <v/>
      </c>
      <c r="X116" s="37" t="n"/>
      <c r="Y116" s="36" t="n"/>
      <c r="Z116" s="37" t="n"/>
    </row>
    <row r="117">
      <c r="A117" s="35">
        <f>IF(E117="","",ROW()-5)</f>
        <v/>
      </c>
      <c r="B117" s="36" t="n"/>
      <c r="C117" s="36" t="n"/>
      <c r="D117" s="36" t="n"/>
      <c r="E117" s="37" t="n"/>
      <c r="F117" s="37" t="n"/>
      <c r="G117" s="37" t="n"/>
      <c r="H117" s="37" t="n"/>
      <c r="I117" s="37" t="n"/>
      <c r="J117" s="36" t="n"/>
      <c r="K117" s="36" t="n"/>
      <c r="L117" s="36" t="n"/>
      <c r="M117" s="36" t="n"/>
      <c r="N117" s="38" t="n"/>
      <c r="O117" s="39">
        <f>IF(OR(N117="",J117=""),"",N117*J117)</f>
        <v/>
      </c>
      <c r="P117" s="40" t="n"/>
      <c r="Q117" s="41">
        <f>IF(OR(P117="",Y117="발주완료",Y117="취소"),"",TODAY()+P117)</f>
        <v/>
      </c>
      <c r="R117" s="35">
        <f>IF(OR(Q117="",NOT(ISNUMBER($J$2))),"",IF(Q117&lt;=$J$2,"가능","초과 "&amp;(Q117-$J$2)&amp;"일"))</f>
        <v/>
      </c>
      <c r="S117" s="36" t="n"/>
      <c r="T117" s="36" t="n"/>
      <c r="U117" s="36" t="n"/>
      <c r="V117" s="43" t="n"/>
      <c r="W117" s="41">
        <f>IF(OR(V117="",U117=""),"",V117+U117)</f>
        <v/>
      </c>
      <c r="X117" s="37" t="n"/>
      <c r="Y117" s="36" t="n"/>
      <c r="Z117" s="37" t="n"/>
    </row>
    <row r="118">
      <c r="A118" s="35">
        <f>IF(E118="","",ROW()-5)</f>
        <v/>
      </c>
      <c r="B118" s="36" t="n"/>
      <c r="C118" s="36" t="n"/>
      <c r="D118" s="36" t="n"/>
      <c r="E118" s="37" t="n"/>
      <c r="F118" s="37" t="n"/>
      <c r="G118" s="37" t="n"/>
      <c r="H118" s="37" t="n"/>
      <c r="I118" s="37" t="n"/>
      <c r="J118" s="36" t="n"/>
      <c r="K118" s="36" t="n"/>
      <c r="L118" s="36" t="n"/>
      <c r="M118" s="36" t="n"/>
      <c r="N118" s="38" t="n"/>
      <c r="O118" s="39">
        <f>IF(OR(N118="",J118=""),"",N118*J118)</f>
        <v/>
      </c>
      <c r="P118" s="40" t="n"/>
      <c r="Q118" s="41">
        <f>IF(OR(P118="",Y118="발주완료",Y118="취소"),"",TODAY()+P118)</f>
        <v/>
      </c>
      <c r="R118" s="35">
        <f>IF(OR(Q118="",NOT(ISNUMBER($J$2))),"",IF(Q118&lt;=$J$2,"가능","초과 "&amp;(Q118-$J$2)&amp;"일"))</f>
        <v/>
      </c>
      <c r="S118" s="36" t="n"/>
      <c r="T118" s="36" t="n"/>
      <c r="U118" s="36" t="n"/>
      <c r="V118" s="43" t="n"/>
      <c r="W118" s="41">
        <f>IF(OR(V118="",U118=""),"",V118+U118)</f>
        <v/>
      </c>
      <c r="X118" s="37" t="n"/>
      <c r="Y118" s="36" t="n"/>
      <c r="Z118" s="37" t="n"/>
    </row>
    <row r="119">
      <c r="A119" s="35">
        <f>IF(E119="","",ROW()-5)</f>
        <v/>
      </c>
      <c r="B119" s="36" t="n"/>
      <c r="C119" s="36" t="n"/>
      <c r="D119" s="36" t="n"/>
      <c r="E119" s="37" t="n"/>
      <c r="F119" s="37" t="n"/>
      <c r="G119" s="37" t="n"/>
      <c r="H119" s="37" t="n"/>
      <c r="I119" s="37" t="n"/>
      <c r="J119" s="36" t="n"/>
      <c r="K119" s="36" t="n"/>
      <c r="L119" s="36" t="n"/>
      <c r="M119" s="36" t="n"/>
      <c r="N119" s="38" t="n"/>
      <c r="O119" s="39">
        <f>IF(OR(N119="",J119=""),"",N119*J119)</f>
        <v/>
      </c>
      <c r="P119" s="40" t="n"/>
      <c r="Q119" s="41">
        <f>IF(OR(P119="",Y119="발주완료",Y119="취소"),"",TODAY()+P119)</f>
        <v/>
      </c>
      <c r="R119" s="35">
        <f>IF(OR(Q119="",NOT(ISNUMBER($J$2))),"",IF(Q119&lt;=$J$2,"가능","초과 "&amp;(Q119-$J$2)&amp;"일"))</f>
        <v/>
      </c>
      <c r="S119" s="36" t="n"/>
      <c r="T119" s="36" t="n"/>
      <c r="U119" s="36" t="n"/>
      <c r="V119" s="43" t="n"/>
      <c r="W119" s="41">
        <f>IF(OR(V119="",U119=""),"",V119+U119)</f>
        <v/>
      </c>
      <c r="X119" s="37" t="n"/>
      <c r="Y119" s="36" t="n"/>
      <c r="Z119" s="37" t="n"/>
    </row>
    <row r="120">
      <c r="A120" s="35">
        <f>IF(E120="","",ROW()-5)</f>
        <v/>
      </c>
      <c r="B120" s="36" t="n"/>
      <c r="C120" s="36" t="n"/>
      <c r="D120" s="36" t="n"/>
      <c r="E120" s="37" t="n"/>
      <c r="F120" s="37" t="n"/>
      <c r="G120" s="37" t="n"/>
      <c r="H120" s="37" t="n"/>
      <c r="I120" s="37" t="n"/>
      <c r="J120" s="36" t="n"/>
      <c r="K120" s="36" t="n"/>
      <c r="L120" s="36" t="n"/>
      <c r="M120" s="36" t="n"/>
      <c r="N120" s="38" t="n"/>
      <c r="O120" s="39">
        <f>IF(OR(N120="",J120=""),"",N120*J120)</f>
        <v/>
      </c>
      <c r="P120" s="40" t="n"/>
      <c r="Q120" s="41">
        <f>IF(OR(P120="",Y120="발주완료",Y120="취소"),"",TODAY()+P120)</f>
        <v/>
      </c>
      <c r="R120" s="35">
        <f>IF(OR(Q120="",NOT(ISNUMBER($J$2))),"",IF(Q120&lt;=$J$2,"가능","초과 "&amp;(Q120-$J$2)&amp;"일"))</f>
        <v/>
      </c>
      <c r="S120" s="36" t="n"/>
      <c r="T120" s="36" t="n"/>
      <c r="U120" s="36" t="n"/>
      <c r="V120" s="43" t="n"/>
      <c r="W120" s="41">
        <f>IF(OR(V120="",U120=""),"",V120+U120)</f>
        <v/>
      </c>
      <c r="X120" s="37" t="n"/>
      <c r="Y120" s="36" t="n"/>
      <c r="Z120" s="37" t="n"/>
    </row>
    <row r="121">
      <c r="A121" s="35">
        <f>IF(E121="","",ROW()-5)</f>
        <v/>
      </c>
      <c r="B121" s="36" t="n"/>
      <c r="C121" s="36" t="n"/>
      <c r="D121" s="36" t="n"/>
      <c r="E121" s="37" t="n"/>
      <c r="F121" s="37" t="n"/>
      <c r="G121" s="37" t="n"/>
      <c r="H121" s="37" t="n"/>
      <c r="I121" s="37" t="n"/>
      <c r="J121" s="36" t="n"/>
      <c r="K121" s="36" t="n"/>
      <c r="L121" s="36" t="n"/>
      <c r="M121" s="36" t="n"/>
      <c r="N121" s="38" t="n"/>
      <c r="O121" s="39">
        <f>IF(OR(N121="",J121=""),"",N121*J121)</f>
        <v/>
      </c>
      <c r="P121" s="40" t="n"/>
      <c r="Q121" s="41">
        <f>IF(OR(P121="",Y121="발주완료",Y121="취소"),"",TODAY()+P121)</f>
        <v/>
      </c>
      <c r="R121" s="35">
        <f>IF(OR(Q121="",NOT(ISNUMBER($J$2))),"",IF(Q121&lt;=$J$2,"가능","초과 "&amp;(Q121-$J$2)&amp;"일"))</f>
        <v/>
      </c>
      <c r="S121" s="36" t="n"/>
      <c r="T121" s="36" t="n"/>
      <c r="U121" s="36" t="n"/>
      <c r="V121" s="43" t="n"/>
      <c r="W121" s="41">
        <f>IF(OR(V121="",U121=""),"",V121+U121)</f>
        <v/>
      </c>
      <c r="X121" s="37" t="n"/>
      <c r="Y121" s="36" t="n"/>
      <c r="Z121" s="37" t="n"/>
    </row>
    <row r="122">
      <c r="A122" s="35">
        <f>IF(E122="","",ROW()-5)</f>
        <v/>
      </c>
      <c r="B122" s="36" t="n"/>
      <c r="C122" s="36" t="n"/>
      <c r="D122" s="36" t="n"/>
      <c r="E122" s="37" t="n"/>
      <c r="F122" s="37" t="n"/>
      <c r="G122" s="37" t="n"/>
      <c r="H122" s="37" t="n"/>
      <c r="I122" s="37" t="n"/>
      <c r="J122" s="36" t="n"/>
      <c r="K122" s="36" t="n"/>
      <c r="L122" s="36" t="n"/>
      <c r="M122" s="36" t="n"/>
      <c r="N122" s="38" t="n"/>
      <c r="O122" s="39">
        <f>IF(OR(N122="",J122=""),"",N122*J122)</f>
        <v/>
      </c>
      <c r="P122" s="40" t="n"/>
      <c r="Q122" s="41">
        <f>IF(OR(P122="",Y122="발주완료",Y122="취소"),"",TODAY()+P122)</f>
        <v/>
      </c>
      <c r="R122" s="35">
        <f>IF(OR(Q122="",NOT(ISNUMBER($J$2))),"",IF(Q122&lt;=$J$2,"가능","초과 "&amp;(Q122-$J$2)&amp;"일"))</f>
        <v/>
      </c>
      <c r="S122" s="36" t="n"/>
      <c r="T122" s="36" t="n"/>
      <c r="U122" s="36" t="n"/>
      <c r="V122" s="43" t="n"/>
      <c r="W122" s="41">
        <f>IF(OR(V122="",U122=""),"",V122+U122)</f>
        <v/>
      </c>
      <c r="X122" s="37" t="n"/>
      <c r="Y122" s="36" t="n"/>
      <c r="Z122" s="37" t="n"/>
    </row>
    <row r="123">
      <c r="A123" s="35">
        <f>IF(E123="","",ROW()-5)</f>
        <v/>
      </c>
      <c r="B123" s="36" t="n"/>
      <c r="C123" s="36" t="n"/>
      <c r="D123" s="36" t="n"/>
      <c r="E123" s="37" t="n"/>
      <c r="F123" s="37" t="n"/>
      <c r="G123" s="37" t="n"/>
      <c r="H123" s="37" t="n"/>
      <c r="I123" s="37" t="n"/>
      <c r="J123" s="36" t="n"/>
      <c r="K123" s="36" t="n"/>
      <c r="L123" s="36" t="n"/>
      <c r="M123" s="36" t="n"/>
      <c r="N123" s="38" t="n"/>
      <c r="O123" s="39">
        <f>IF(OR(N123="",J123=""),"",N123*J123)</f>
        <v/>
      </c>
      <c r="P123" s="40" t="n"/>
      <c r="Q123" s="41">
        <f>IF(OR(P123="",Y123="발주완료",Y123="취소"),"",TODAY()+P123)</f>
        <v/>
      </c>
      <c r="R123" s="35">
        <f>IF(OR(Q123="",NOT(ISNUMBER($J$2))),"",IF(Q123&lt;=$J$2,"가능","초과 "&amp;(Q123-$J$2)&amp;"일"))</f>
        <v/>
      </c>
      <c r="S123" s="36" t="n"/>
      <c r="T123" s="36" t="n"/>
      <c r="U123" s="36" t="n"/>
      <c r="V123" s="43" t="n"/>
      <c r="W123" s="41">
        <f>IF(OR(V123="",U123=""),"",V123+U123)</f>
        <v/>
      </c>
      <c r="X123" s="37" t="n"/>
      <c r="Y123" s="36" t="n"/>
      <c r="Z123" s="37" t="n"/>
    </row>
    <row r="124">
      <c r="A124" s="35">
        <f>IF(E124="","",ROW()-5)</f>
        <v/>
      </c>
      <c r="B124" s="36" t="n"/>
      <c r="C124" s="36" t="n"/>
      <c r="D124" s="36" t="n"/>
      <c r="E124" s="37" t="n"/>
      <c r="F124" s="37" t="n"/>
      <c r="G124" s="37" t="n"/>
      <c r="H124" s="37" t="n"/>
      <c r="I124" s="37" t="n"/>
      <c r="J124" s="36" t="n"/>
      <c r="K124" s="36" t="n"/>
      <c r="L124" s="36" t="n"/>
      <c r="M124" s="36" t="n"/>
      <c r="N124" s="38" t="n"/>
      <c r="O124" s="39">
        <f>IF(OR(N124="",J124=""),"",N124*J124)</f>
        <v/>
      </c>
      <c r="P124" s="40" t="n"/>
      <c r="Q124" s="41">
        <f>IF(OR(P124="",Y124="발주완료",Y124="취소"),"",TODAY()+P124)</f>
        <v/>
      </c>
      <c r="R124" s="35">
        <f>IF(OR(Q124="",NOT(ISNUMBER($J$2))),"",IF(Q124&lt;=$J$2,"가능","초과 "&amp;(Q124-$J$2)&amp;"일"))</f>
        <v/>
      </c>
      <c r="S124" s="36" t="n"/>
      <c r="T124" s="36" t="n"/>
      <c r="U124" s="36" t="n"/>
      <c r="V124" s="43" t="n"/>
      <c r="W124" s="41">
        <f>IF(OR(V124="",U124=""),"",V124+U124)</f>
        <v/>
      </c>
      <c r="X124" s="37" t="n"/>
      <c r="Y124" s="36" t="n"/>
      <c r="Z124" s="37" t="n"/>
    </row>
    <row r="125">
      <c r="A125" s="35">
        <f>IF(E125="","",ROW()-5)</f>
        <v/>
      </c>
      <c r="B125" s="36" t="n"/>
      <c r="C125" s="36" t="n"/>
      <c r="D125" s="36" t="n"/>
      <c r="E125" s="37" t="n"/>
      <c r="F125" s="37" t="n"/>
      <c r="G125" s="37" t="n"/>
      <c r="H125" s="37" t="n"/>
      <c r="I125" s="37" t="n"/>
      <c r="J125" s="36" t="n"/>
      <c r="K125" s="36" t="n"/>
      <c r="L125" s="36" t="n"/>
      <c r="M125" s="36" t="n"/>
      <c r="N125" s="38" t="n"/>
      <c r="O125" s="39">
        <f>IF(OR(N125="",J125=""),"",N125*J125)</f>
        <v/>
      </c>
      <c r="P125" s="40" t="n"/>
      <c r="Q125" s="41">
        <f>IF(OR(P125="",Y125="발주완료",Y125="취소"),"",TODAY()+P125)</f>
        <v/>
      </c>
      <c r="R125" s="35">
        <f>IF(OR(Q125="",NOT(ISNUMBER($J$2))),"",IF(Q125&lt;=$J$2,"가능","초과 "&amp;(Q125-$J$2)&amp;"일"))</f>
        <v/>
      </c>
      <c r="S125" s="36" t="n"/>
      <c r="T125" s="36" t="n"/>
      <c r="U125" s="36" t="n"/>
      <c r="V125" s="43" t="n"/>
      <c r="W125" s="41">
        <f>IF(OR(V125="",U125=""),"",V125+U125)</f>
        <v/>
      </c>
      <c r="X125" s="37" t="n"/>
      <c r="Y125" s="36" t="n"/>
      <c r="Z125" s="37" t="n"/>
    </row>
    <row r="126">
      <c r="A126" s="35">
        <f>IF(E126="","",ROW()-5)</f>
        <v/>
      </c>
      <c r="B126" s="36" t="n"/>
      <c r="C126" s="36" t="n"/>
      <c r="D126" s="36" t="n"/>
      <c r="E126" s="37" t="n"/>
      <c r="F126" s="37" t="n"/>
      <c r="G126" s="37" t="n"/>
      <c r="H126" s="37" t="n"/>
      <c r="I126" s="37" t="n"/>
      <c r="J126" s="36" t="n"/>
      <c r="K126" s="36" t="n"/>
      <c r="L126" s="36" t="n"/>
      <c r="M126" s="36" t="n"/>
      <c r="N126" s="38" t="n"/>
      <c r="O126" s="39">
        <f>IF(OR(N126="",J126=""),"",N126*J126)</f>
        <v/>
      </c>
      <c r="P126" s="40" t="n"/>
      <c r="Q126" s="41">
        <f>IF(OR(P126="",Y126="발주완료",Y126="취소"),"",TODAY()+P126)</f>
        <v/>
      </c>
      <c r="R126" s="35">
        <f>IF(OR(Q126="",NOT(ISNUMBER($J$2))),"",IF(Q126&lt;=$J$2,"가능","초과 "&amp;(Q126-$J$2)&amp;"일"))</f>
        <v/>
      </c>
      <c r="S126" s="36" t="n"/>
      <c r="T126" s="36" t="n"/>
      <c r="U126" s="36" t="n"/>
      <c r="V126" s="43" t="n"/>
      <c r="W126" s="41">
        <f>IF(OR(V126="",U126=""),"",V126+U126)</f>
        <v/>
      </c>
      <c r="X126" s="37" t="n"/>
      <c r="Y126" s="36" t="n"/>
      <c r="Z126" s="37" t="n"/>
    </row>
    <row r="127">
      <c r="A127" s="35">
        <f>IF(E127="","",ROW()-5)</f>
        <v/>
      </c>
      <c r="B127" s="36" t="n"/>
      <c r="C127" s="36" t="n"/>
      <c r="D127" s="36" t="n"/>
      <c r="E127" s="37" t="n"/>
      <c r="F127" s="37" t="n"/>
      <c r="G127" s="37" t="n"/>
      <c r="H127" s="37" t="n"/>
      <c r="I127" s="37" t="n"/>
      <c r="J127" s="36" t="n"/>
      <c r="K127" s="36" t="n"/>
      <c r="L127" s="36" t="n"/>
      <c r="M127" s="36" t="n"/>
      <c r="N127" s="38" t="n"/>
      <c r="O127" s="39">
        <f>IF(OR(N127="",J127=""),"",N127*J127)</f>
        <v/>
      </c>
      <c r="P127" s="40" t="n"/>
      <c r="Q127" s="41">
        <f>IF(OR(P127="",Y127="발주완료",Y127="취소"),"",TODAY()+P127)</f>
        <v/>
      </c>
      <c r="R127" s="35">
        <f>IF(OR(Q127="",NOT(ISNUMBER($J$2))),"",IF(Q127&lt;=$J$2,"가능","초과 "&amp;(Q127-$J$2)&amp;"일"))</f>
        <v/>
      </c>
      <c r="S127" s="36" t="n"/>
      <c r="T127" s="36" t="n"/>
      <c r="U127" s="36" t="n"/>
      <c r="V127" s="43" t="n"/>
      <c r="W127" s="41">
        <f>IF(OR(V127="",U127=""),"",V127+U127)</f>
        <v/>
      </c>
      <c r="X127" s="37" t="n"/>
      <c r="Y127" s="36" t="n"/>
      <c r="Z127" s="37" t="n"/>
    </row>
    <row r="128">
      <c r="A128" s="35">
        <f>IF(E128="","",ROW()-5)</f>
        <v/>
      </c>
      <c r="B128" s="36" t="n"/>
      <c r="C128" s="36" t="n"/>
      <c r="D128" s="36" t="n"/>
      <c r="E128" s="37" t="n"/>
      <c r="F128" s="37" t="n"/>
      <c r="G128" s="37" t="n"/>
      <c r="H128" s="37" t="n"/>
      <c r="I128" s="37" t="n"/>
      <c r="J128" s="36" t="n"/>
      <c r="K128" s="36" t="n"/>
      <c r="L128" s="36" t="n"/>
      <c r="M128" s="36" t="n"/>
      <c r="N128" s="38" t="n"/>
      <c r="O128" s="39">
        <f>IF(OR(N128="",J128=""),"",N128*J128)</f>
        <v/>
      </c>
      <c r="P128" s="40" t="n"/>
      <c r="Q128" s="41">
        <f>IF(OR(P128="",Y128="발주완료",Y128="취소"),"",TODAY()+P128)</f>
        <v/>
      </c>
      <c r="R128" s="35">
        <f>IF(OR(Q128="",NOT(ISNUMBER($J$2))),"",IF(Q128&lt;=$J$2,"가능","초과 "&amp;(Q128-$J$2)&amp;"일"))</f>
        <v/>
      </c>
      <c r="S128" s="36" t="n"/>
      <c r="T128" s="36" t="n"/>
      <c r="U128" s="36" t="n"/>
      <c r="V128" s="43" t="n"/>
      <c r="W128" s="41">
        <f>IF(OR(V128="",U128=""),"",V128+U128)</f>
        <v/>
      </c>
      <c r="X128" s="37" t="n"/>
      <c r="Y128" s="36" t="n"/>
      <c r="Z128" s="37" t="n"/>
    </row>
    <row r="129">
      <c r="A129" s="35">
        <f>IF(E129="","",ROW()-5)</f>
        <v/>
      </c>
      <c r="B129" s="36" t="n"/>
      <c r="C129" s="36" t="n"/>
      <c r="D129" s="36" t="n"/>
      <c r="E129" s="37" t="n"/>
      <c r="F129" s="37" t="n"/>
      <c r="G129" s="37" t="n"/>
      <c r="H129" s="37" t="n"/>
      <c r="I129" s="37" t="n"/>
      <c r="J129" s="36" t="n"/>
      <c r="K129" s="36" t="n"/>
      <c r="L129" s="36" t="n"/>
      <c r="M129" s="36" t="n"/>
      <c r="N129" s="38" t="n"/>
      <c r="O129" s="39">
        <f>IF(OR(N129="",J129=""),"",N129*J129)</f>
        <v/>
      </c>
      <c r="P129" s="40" t="n"/>
      <c r="Q129" s="41">
        <f>IF(OR(P129="",Y129="발주완료",Y129="취소"),"",TODAY()+P129)</f>
        <v/>
      </c>
      <c r="R129" s="35">
        <f>IF(OR(Q129="",NOT(ISNUMBER($J$2))),"",IF(Q129&lt;=$J$2,"가능","초과 "&amp;(Q129-$J$2)&amp;"일"))</f>
        <v/>
      </c>
      <c r="S129" s="36" t="n"/>
      <c r="T129" s="36" t="n"/>
      <c r="U129" s="36" t="n"/>
      <c r="V129" s="43" t="n"/>
      <c r="W129" s="41">
        <f>IF(OR(V129="",U129=""),"",V129+U129)</f>
        <v/>
      </c>
      <c r="X129" s="37" t="n"/>
      <c r="Y129" s="36" t="n"/>
      <c r="Z129" s="37" t="n"/>
    </row>
    <row r="130">
      <c r="A130" s="35">
        <f>IF(E130="","",ROW()-5)</f>
        <v/>
      </c>
      <c r="B130" s="36" t="n"/>
      <c r="C130" s="36" t="n"/>
      <c r="D130" s="36" t="n"/>
      <c r="E130" s="37" t="n"/>
      <c r="F130" s="37" t="n"/>
      <c r="G130" s="37" t="n"/>
      <c r="H130" s="37" t="n"/>
      <c r="I130" s="37" t="n"/>
      <c r="J130" s="36" t="n"/>
      <c r="K130" s="36" t="n"/>
      <c r="L130" s="36" t="n"/>
      <c r="M130" s="36" t="n"/>
      <c r="N130" s="38" t="n"/>
      <c r="O130" s="39">
        <f>IF(OR(N130="",J130=""),"",N130*J130)</f>
        <v/>
      </c>
      <c r="P130" s="40" t="n"/>
      <c r="Q130" s="41">
        <f>IF(OR(P130="",Y130="발주완료",Y130="취소"),"",TODAY()+P130)</f>
        <v/>
      </c>
      <c r="R130" s="35">
        <f>IF(OR(Q130="",NOT(ISNUMBER($J$2))),"",IF(Q130&lt;=$J$2,"가능","초과 "&amp;(Q130-$J$2)&amp;"일"))</f>
        <v/>
      </c>
      <c r="S130" s="36" t="n"/>
      <c r="T130" s="36" t="n"/>
      <c r="U130" s="36" t="n"/>
      <c r="V130" s="43" t="n"/>
      <c r="W130" s="41">
        <f>IF(OR(V130="",U130=""),"",V130+U130)</f>
        <v/>
      </c>
      <c r="X130" s="37" t="n"/>
      <c r="Y130" s="36" t="n"/>
      <c r="Z130" s="37" t="n"/>
    </row>
    <row r="131">
      <c r="A131" s="35">
        <f>IF(E131="","",ROW()-5)</f>
        <v/>
      </c>
      <c r="B131" s="36" t="n"/>
      <c r="C131" s="36" t="n"/>
      <c r="D131" s="36" t="n"/>
      <c r="E131" s="37" t="n"/>
      <c r="F131" s="37" t="n"/>
      <c r="G131" s="37" t="n"/>
      <c r="H131" s="37" t="n"/>
      <c r="I131" s="37" t="n"/>
      <c r="J131" s="36" t="n"/>
      <c r="K131" s="36" t="n"/>
      <c r="L131" s="36" t="n"/>
      <c r="M131" s="36" t="n"/>
      <c r="N131" s="38" t="n"/>
      <c r="O131" s="39">
        <f>IF(OR(N131="",J131=""),"",N131*J131)</f>
        <v/>
      </c>
      <c r="P131" s="40" t="n"/>
      <c r="Q131" s="41">
        <f>IF(OR(P131="",Y131="발주완료",Y131="취소"),"",TODAY()+P131)</f>
        <v/>
      </c>
      <c r="R131" s="35">
        <f>IF(OR(Q131="",NOT(ISNUMBER($J$2))),"",IF(Q131&lt;=$J$2,"가능","초과 "&amp;(Q131-$J$2)&amp;"일"))</f>
        <v/>
      </c>
      <c r="S131" s="36" t="n"/>
      <c r="T131" s="36" t="n"/>
      <c r="U131" s="36" t="n"/>
      <c r="V131" s="43" t="n"/>
      <c r="W131" s="41">
        <f>IF(OR(V131="",U131=""),"",V131+U131)</f>
        <v/>
      </c>
      <c r="X131" s="37" t="n"/>
      <c r="Y131" s="36" t="n"/>
      <c r="Z131" s="37" t="n"/>
    </row>
    <row r="132">
      <c r="A132" s="35">
        <f>IF(E132="","",ROW()-5)</f>
        <v/>
      </c>
      <c r="B132" s="36" t="n"/>
      <c r="C132" s="36" t="n"/>
      <c r="D132" s="36" t="n"/>
      <c r="E132" s="37" t="n"/>
      <c r="F132" s="37" t="n"/>
      <c r="G132" s="37" t="n"/>
      <c r="H132" s="37" t="n"/>
      <c r="I132" s="37" t="n"/>
      <c r="J132" s="36" t="n"/>
      <c r="K132" s="36" t="n"/>
      <c r="L132" s="36" t="n"/>
      <c r="M132" s="36" t="n"/>
      <c r="N132" s="38" t="n"/>
      <c r="O132" s="39">
        <f>IF(OR(N132="",J132=""),"",N132*J132)</f>
        <v/>
      </c>
      <c r="P132" s="40" t="n"/>
      <c r="Q132" s="41">
        <f>IF(OR(P132="",Y132="발주완료",Y132="취소"),"",TODAY()+P132)</f>
        <v/>
      </c>
      <c r="R132" s="35">
        <f>IF(OR(Q132="",NOT(ISNUMBER($J$2))),"",IF(Q132&lt;=$J$2,"가능","초과 "&amp;(Q132-$J$2)&amp;"일"))</f>
        <v/>
      </c>
      <c r="S132" s="36" t="n"/>
      <c r="T132" s="36" t="n"/>
      <c r="U132" s="36" t="n"/>
      <c r="V132" s="43" t="n"/>
      <c r="W132" s="41">
        <f>IF(OR(V132="",U132=""),"",V132+U132)</f>
        <v/>
      </c>
      <c r="X132" s="37" t="n"/>
      <c r="Y132" s="36" t="n"/>
      <c r="Z132" s="37" t="n"/>
    </row>
    <row r="133">
      <c r="A133" s="35">
        <f>IF(E133="","",ROW()-5)</f>
        <v/>
      </c>
      <c r="B133" s="36" t="n"/>
      <c r="C133" s="36" t="n"/>
      <c r="D133" s="36" t="n"/>
      <c r="E133" s="37" t="n"/>
      <c r="F133" s="37" t="n"/>
      <c r="G133" s="37" t="n"/>
      <c r="H133" s="37" t="n"/>
      <c r="I133" s="37" t="n"/>
      <c r="J133" s="36" t="n"/>
      <c r="K133" s="36" t="n"/>
      <c r="L133" s="36" t="n"/>
      <c r="M133" s="36" t="n"/>
      <c r="N133" s="38" t="n"/>
      <c r="O133" s="39">
        <f>IF(OR(N133="",J133=""),"",N133*J133)</f>
        <v/>
      </c>
      <c r="P133" s="40" t="n"/>
      <c r="Q133" s="41">
        <f>IF(OR(P133="",Y133="발주완료",Y133="취소"),"",TODAY()+P133)</f>
        <v/>
      </c>
      <c r="R133" s="35">
        <f>IF(OR(Q133="",NOT(ISNUMBER($J$2))),"",IF(Q133&lt;=$J$2,"가능","초과 "&amp;(Q133-$J$2)&amp;"일"))</f>
        <v/>
      </c>
      <c r="S133" s="36" t="n"/>
      <c r="T133" s="36" t="n"/>
      <c r="U133" s="36" t="n"/>
      <c r="V133" s="43" t="n"/>
      <c r="W133" s="41">
        <f>IF(OR(V133="",U133=""),"",V133+U133)</f>
        <v/>
      </c>
      <c r="X133" s="37" t="n"/>
      <c r="Y133" s="36" t="n"/>
      <c r="Z133" s="37" t="n"/>
    </row>
    <row r="134">
      <c r="A134" s="35">
        <f>IF(E134="","",ROW()-5)</f>
        <v/>
      </c>
      <c r="B134" s="36" t="n"/>
      <c r="C134" s="36" t="n"/>
      <c r="D134" s="36" t="n"/>
      <c r="E134" s="37" t="n"/>
      <c r="F134" s="37" t="n"/>
      <c r="G134" s="37" t="n"/>
      <c r="H134" s="37" t="n"/>
      <c r="I134" s="37" t="n"/>
      <c r="J134" s="36" t="n"/>
      <c r="K134" s="36" t="n"/>
      <c r="L134" s="36" t="n"/>
      <c r="M134" s="36" t="n"/>
      <c r="N134" s="38" t="n"/>
      <c r="O134" s="39">
        <f>IF(OR(N134="",J134=""),"",N134*J134)</f>
        <v/>
      </c>
      <c r="P134" s="40" t="n"/>
      <c r="Q134" s="41">
        <f>IF(OR(P134="",Y134="발주완료",Y134="취소"),"",TODAY()+P134)</f>
        <v/>
      </c>
      <c r="R134" s="35">
        <f>IF(OR(Q134="",NOT(ISNUMBER($J$2))),"",IF(Q134&lt;=$J$2,"가능","초과 "&amp;(Q134-$J$2)&amp;"일"))</f>
        <v/>
      </c>
      <c r="S134" s="36" t="n"/>
      <c r="T134" s="36" t="n"/>
      <c r="U134" s="36" t="n"/>
      <c r="V134" s="43" t="n"/>
      <c r="W134" s="41">
        <f>IF(OR(V134="",U134=""),"",V134+U134)</f>
        <v/>
      </c>
      <c r="X134" s="37" t="n"/>
      <c r="Y134" s="36" t="n"/>
      <c r="Z134" s="37" t="n"/>
    </row>
    <row r="135">
      <c r="A135" s="35">
        <f>IF(E135="","",ROW()-5)</f>
        <v/>
      </c>
      <c r="B135" s="36" t="n"/>
      <c r="C135" s="36" t="n"/>
      <c r="D135" s="36" t="n"/>
      <c r="E135" s="37" t="n"/>
      <c r="F135" s="37" t="n"/>
      <c r="G135" s="37" t="n"/>
      <c r="H135" s="37" t="n"/>
      <c r="I135" s="37" t="n"/>
      <c r="J135" s="36" t="n"/>
      <c r="K135" s="36" t="n"/>
      <c r="L135" s="36" t="n"/>
      <c r="M135" s="36" t="n"/>
      <c r="N135" s="38" t="n"/>
      <c r="O135" s="39">
        <f>IF(OR(N135="",J135=""),"",N135*J135)</f>
        <v/>
      </c>
      <c r="P135" s="40" t="n"/>
      <c r="Q135" s="41">
        <f>IF(OR(P135="",Y135="발주완료",Y135="취소"),"",TODAY()+P135)</f>
        <v/>
      </c>
      <c r="R135" s="35">
        <f>IF(OR(Q135="",NOT(ISNUMBER($J$2))),"",IF(Q135&lt;=$J$2,"가능","초과 "&amp;(Q135-$J$2)&amp;"일"))</f>
        <v/>
      </c>
      <c r="S135" s="36" t="n"/>
      <c r="T135" s="36" t="n"/>
      <c r="U135" s="36" t="n"/>
      <c r="V135" s="43" t="n"/>
      <c r="W135" s="41">
        <f>IF(OR(V135="",U135=""),"",V135+U135)</f>
        <v/>
      </c>
      <c r="X135" s="37" t="n"/>
      <c r="Y135" s="36" t="n"/>
      <c r="Z135" s="37" t="n"/>
    </row>
    <row r="136">
      <c r="A136" s="35">
        <f>IF(E136="","",ROW()-5)</f>
        <v/>
      </c>
      <c r="B136" s="36" t="n"/>
      <c r="C136" s="36" t="n"/>
      <c r="D136" s="36" t="n"/>
      <c r="E136" s="37" t="n"/>
      <c r="F136" s="37" t="n"/>
      <c r="G136" s="37" t="n"/>
      <c r="H136" s="37" t="n"/>
      <c r="I136" s="37" t="n"/>
      <c r="J136" s="36" t="n"/>
      <c r="K136" s="36" t="n"/>
      <c r="L136" s="36" t="n"/>
      <c r="M136" s="36" t="n"/>
      <c r="N136" s="38" t="n"/>
      <c r="O136" s="39">
        <f>IF(OR(N136="",J136=""),"",N136*J136)</f>
        <v/>
      </c>
      <c r="P136" s="40" t="n"/>
      <c r="Q136" s="41">
        <f>IF(OR(P136="",Y136="발주완료",Y136="취소"),"",TODAY()+P136)</f>
        <v/>
      </c>
      <c r="R136" s="35">
        <f>IF(OR(Q136="",NOT(ISNUMBER($J$2))),"",IF(Q136&lt;=$J$2,"가능","초과 "&amp;(Q136-$J$2)&amp;"일"))</f>
        <v/>
      </c>
      <c r="S136" s="36" t="n"/>
      <c r="T136" s="36" t="n"/>
      <c r="U136" s="36" t="n"/>
      <c r="V136" s="43" t="n"/>
      <c r="W136" s="41">
        <f>IF(OR(V136="",U136=""),"",V136+U136)</f>
        <v/>
      </c>
      <c r="X136" s="37" t="n"/>
      <c r="Y136" s="36" t="n"/>
      <c r="Z136" s="37" t="n"/>
    </row>
    <row r="137">
      <c r="A137" s="35">
        <f>IF(E137="","",ROW()-5)</f>
        <v/>
      </c>
      <c r="B137" s="36" t="n"/>
      <c r="C137" s="36" t="n"/>
      <c r="D137" s="36" t="n"/>
      <c r="E137" s="37" t="n"/>
      <c r="F137" s="37" t="n"/>
      <c r="G137" s="37" t="n"/>
      <c r="H137" s="37" t="n"/>
      <c r="I137" s="37" t="n"/>
      <c r="J137" s="36" t="n"/>
      <c r="K137" s="36" t="n"/>
      <c r="L137" s="36" t="n"/>
      <c r="M137" s="36" t="n"/>
      <c r="N137" s="38" t="n"/>
      <c r="O137" s="39">
        <f>IF(OR(N137="",J137=""),"",N137*J137)</f>
        <v/>
      </c>
      <c r="P137" s="40" t="n"/>
      <c r="Q137" s="41">
        <f>IF(OR(P137="",Y137="발주완료",Y137="취소"),"",TODAY()+P137)</f>
        <v/>
      </c>
      <c r="R137" s="35">
        <f>IF(OR(Q137="",NOT(ISNUMBER($J$2))),"",IF(Q137&lt;=$J$2,"가능","초과 "&amp;(Q137-$J$2)&amp;"일"))</f>
        <v/>
      </c>
      <c r="S137" s="36" t="n"/>
      <c r="T137" s="36" t="n"/>
      <c r="U137" s="36" t="n"/>
      <c r="V137" s="43" t="n"/>
      <c r="W137" s="41">
        <f>IF(OR(V137="",U137=""),"",V137+U137)</f>
        <v/>
      </c>
      <c r="X137" s="37" t="n"/>
      <c r="Y137" s="36" t="n"/>
      <c r="Z137" s="37" t="n"/>
    </row>
    <row r="138">
      <c r="A138" s="35">
        <f>IF(E138="","",ROW()-5)</f>
        <v/>
      </c>
      <c r="B138" s="36" t="n"/>
      <c r="C138" s="36" t="n"/>
      <c r="D138" s="36" t="n"/>
      <c r="E138" s="37" t="n"/>
      <c r="F138" s="37" t="n"/>
      <c r="G138" s="37" t="n"/>
      <c r="H138" s="37" t="n"/>
      <c r="I138" s="37" t="n"/>
      <c r="J138" s="36" t="n"/>
      <c r="K138" s="36" t="n"/>
      <c r="L138" s="36" t="n"/>
      <c r="M138" s="36" t="n"/>
      <c r="N138" s="38" t="n"/>
      <c r="O138" s="39">
        <f>IF(OR(N138="",J138=""),"",N138*J138)</f>
        <v/>
      </c>
      <c r="P138" s="40" t="n"/>
      <c r="Q138" s="41">
        <f>IF(OR(P138="",Y138="발주완료",Y138="취소"),"",TODAY()+P138)</f>
        <v/>
      </c>
      <c r="R138" s="35">
        <f>IF(OR(Q138="",NOT(ISNUMBER($J$2))),"",IF(Q138&lt;=$J$2,"가능","초과 "&amp;(Q138-$J$2)&amp;"일"))</f>
        <v/>
      </c>
      <c r="S138" s="36" t="n"/>
      <c r="T138" s="36" t="n"/>
      <c r="U138" s="36" t="n"/>
      <c r="V138" s="43" t="n"/>
      <c r="W138" s="41">
        <f>IF(OR(V138="",U138=""),"",V138+U138)</f>
        <v/>
      </c>
      <c r="X138" s="37" t="n"/>
      <c r="Y138" s="36" t="n"/>
      <c r="Z138" s="37" t="n"/>
    </row>
    <row r="139">
      <c r="A139" s="35">
        <f>IF(E139="","",ROW()-5)</f>
        <v/>
      </c>
      <c r="B139" s="36" t="n"/>
      <c r="C139" s="36" t="n"/>
      <c r="D139" s="36" t="n"/>
      <c r="E139" s="37" t="n"/>
      <c r="F139" s="37" t="n"/>
      <c r="G139" s="37" t="n"/>
      <c r="H139" s="37" t="n"/>
      <c r="I139" s="37" t="n"/>
      <c r="J139" s="36" t="n"/>
      <c r="K139" s="36" t="n"/>
      <c r="L139" s="36" t="n"/>
      <c r="M139" s="36" t="n"/>
      <c r="N139" s="38" t="n"/>
      <c r="O139" s="39">
        <f>IF(OR(N139="",J139=""),"",N139*J139)</f>
        <v/>
      </c>
      <c r="P139" s="40" t="n"/>
      <c r="Q139" s="41">
        <f>IF(OR(P139="",Y139="발주완료",Y139="취소"),"",TODAY()+P139)</f>
        <v/>
      </c>
      <c r="R139" s="35">
        <f>IF(OR(Q139="",NOT(ISNUMBER($J$2))),"",IF(Q139&lt;=$J$2,"가능","초과 "&amp;(Q139-$J$2)&amp;"일"))</f>
        <v/>
      </c>
      <c r="S139" s="36" t="n"/>
      <c r="T139" s="36" t="n"/>
      <c r="U139" s="36" t="n"/>
      <c r="V139" s="43" t="n"/>
      <c r="W139" s="41">
        <f>IF(OR(V139="",U139=""),"",V139+U139)</f>
        <v/>
      </c>
      <c r="X139" s="37" t="n"/>
      <c r="Y139" s="36" t="n"/>
      <c r="Z139" s="37" t="n"/>
    </row>
    <row r="140">
      <c r="A140" s="35">
        <f>IF(E140="","",ROW()-5)</f>
        <v/>
      </c>
      <c r="B140" s="36" t="n"/>
      <c r="C140" s="36" t="n"/>
      <c r="D140" s="36" t="n"/>
      <c r="E140" s="37" t="n"/>
      <c r="F140" s="37" t="n"/>
      <c r="G140" s="37" t="n"/>
      <c r="H140" s="37" t="n"/>
      <c r="I140" s="37" t="n"/>
      <c r="J140" s="36" t="n"/>
      <c r="K140" s="36" t="n"/>
      <c r="L140" s="36" t="n"/>
      <c r="M140" s="36" t="n"/>
      <c r="N140" s="38" t="n"/>
      <c r="O140" s="39">
        <f>IF(OR(N140="",J140=""),"",N140*J140)</f>
        <v/>
      </c>
      <c r="P140" s="40" t="n"/>
      <c r="Q140" s="41">
        <f>IF(OR(P140="",Y140="발주완료",Y140="취소"),"",TODAY()+P140)</f>
        <v/>
      </c>
      <c r="R140" s="35">
        <f>IF(OR(Q140="",NOT(ISNUMBER($J$2))),"",IF(Q140&lt;=$J$2,"가능","초과 "&amp;(Q140-$J$2)&amp;"일"))</f>
        <v/>
      </c>
      <c r="S140" s="36" t="n"/>
      <c r="T140" s="36" t="n"/>
      <c r="U140" s="36" t="n"/>
      <c r="V140" s="43" t="n"/>
      <c r="W140" s="41">
        <f>IF(OR(V140="",U140=""),"",V140+U140)</f>
        <v/>
      </c>
      <c r="X140" s="37" t="n"/>
      <c r="Y140" s="36" t="n"/>
      <c r="Z140" s="37" t="n"/>
    </row>
    <row r="141">
      <c r="A141" s="35">
        <f>IF(E141="","",ROW()-5)</f>
        <v/>
      </c>
      <c r="B141" s="36" t="n"/>
      <c r="C141" s="36" t="n"/>
      <c r="D141" s="36" t="n"/>
      <c r="E141" s="37" t="n"/>
      <c r="F141" s="37" t="n"/>
      <c r="G141" s="37" t="n"/>
      <c r="H141" s="37" t="n"/>
      <c r="I141" s="37" t="n"/>
      <c r="J141" s="36" t="n"/>
      <c r="K141" s="36" t="n"/>
      <c r="L141" s="36" t="n"/>
      <c r="M141" s="36" t="n"/>
      <c r="N141" s="38" t="n"/>
      <c r="O141" s="39">
        <f>IF(OR(N141="",J141=""),"",N141*J141)</f>
        <v/>
      </c>
      <c r="P141" s="40" t="n"/>
      <c r="Q141" s="41">
        <f>IF(OR(P141="",Y141="발주완료",Y141="취소"),"",TODAY()+P141)</f>
        <v/>
      </c>
      <c r="R141" s="35">
        <f>IF(OR(Q141="",NOT(ISNUMBER($J$2))),"",IF(Q141&lt;=$J$2,"가능","초과 "&amp;(Q141-$J$2)&amp;"일"))</f>
        <v/>
      </c>
      <c r="S141" s="36" t="n"/>
      <c r="T141" s="36" t="n"/>
      <c r="U141" s="36" t="n"/>
      <c r="V141" s="43" t="n"/>
      <c r="W141" s="41">
        <f>IF(OR(V141="",U141=""),"",V141+U141)</f>
        <v/>
      </c>
      <c r="X141" s="37" t="n"/>
      <c r="Y141" s="36" t="n"/>
      <c r="Z141" s="37" t="n"/>
    </row>
    <row r="142">
      <c r="A142" s="35">
        <f>IF(E142="","",ROW()-5)</f>
        <v/>
      </c>
      <c r="B142" s="36" t="n"/>
      <c r="C142" s="36" t="n"/>
      <c r="D142" s="36" t="n"/>
      <c r="E142" s="37" t="n"/>
      <c r="F142" s="37" t="n"/>
      <c r="G142" s="37" t="n"/>
      <c r="H142" s="37" t="n"/>
      <c r="I142" s="37" t="n"/>
      <c r="J142" s="36" t="n"/>
      <c r="K142" s="36" t="n"/>
      <c r="L142" s="36" t="n"/>
      <c r="M142" s="36" t="n"/>
      <c r="N142" s="38" t="n"/>
      <c r="O142" s="39">
        <f>IF(OR(N142="",J142=""),"",N142*J142)</f>
        <v/>
      </c>
      <c r="P142" s="40" t="n"/>
      <c r="Q142" s="41">
        <f>IF(OR(P142="",Y142="발주완료",Y142="취소"),"",TODAY()+P142)</f>
        <v/>
      </c>
      <c r="R142" s="35">
        <f>IF(OR(Q142="",NOT(ISNUMBER($J$2))),"",IF(Q142&lt;=$J$2,"가능","초과 "&amp;(Q142-$J$2)&amp;"일"))</f>
        <v/>
      </c>
      <c r="S142" s="36" t="n"/>
      <c r="T142" s="36" t="n"/>
      <c r="U142" s="36" t="n"/>
      <c r="V142" s="43" t="n"/>
      <c r="W142" s="41">
        <f>IF(OR(V142="",U142=""),"",V142+U142)</f>
        <v/>
      </c>
      <c r="X142" s="37" t="n"/>
      <c r="Y142" s="36" t="n"/>
      <c r="Z142" s="37" t="n"/>
    </row>
    <row r="143">
      <c r="A143" s="35">
        <f>IF(E143="","",ROW()-5)</f>
        <v/>
      </c>
      <c r="B143" s="36" t="n"/>
      <c r="C143" s="36" t="n"/>
      <c r="D143" s="36" t="n"/>
      <c r="E143" s="37" t="n"/>
      <c r="F143" s="37" t="n"/>
      <c r="G143" s="37" t="n"/>
      <c r="H143" s="37" t="n"/>
      <c r="I143" s="37" t="n"/>
      <c r="J143" s="36" t="n"/>
      <c r="K143" s="36" t="n"/>
      <c r="L143" s="36" t="n"/>
      <c r="M143" s="36" t="n"/>
      <c r="N143" s="38" t="n"/>
      <c r="O143" s="39">
        <f>IF(OR(N143="",J143=""),"",N143*J143)</f>
        <v/>
      </c>
      <c r="P143" s="40" t="n"/>
      <c r="Q143" s="41">
        <f>IF(OR(P143="",Y143="발주완료",Y143="취소"),"",TODAY()+P143)</f>
        <v/>
      </c>
      <c r="R143" s="35">
        <f>IF(OR(Q143="",NOT(ISNUMBER($J$2))),"",IF(Q143&lt;=$J$2,"가능","초과 "&amp;(Q143-$J$2)&amp;"일"))</f>
        <v/>
      </c>
      <c r="S143" s="36" t="n"/>
      <c r="T143" s="36" t="n"/>
      <c r="U143" s="36" t="n"/>
      <c r="V143" s="43" t="n"/>
      <c r="W143" s="41">
        <f>IF(OR(V143="",U143=""),"",V143+U143)</f>
        <v/>
      </c>
      <c r="X143" s="37" t="n"/>
      <c r="Y143" s="36" t="n"/>
      <c r="Z143" s="37" t="n"/>
    </row>
    <row r="144">
      <c r="A144" s="35">
        <f>IF(E144="","",ROW()-5)</f>
        <v/>
      </c>
      <c r="B144" s="36" t="n"/>
      <c r="C144" s="36" t="n"/>
      <c r="D144" s="36" t="n"/>
      <c r="E144" s="37" t="n"/>
      <c r="F144" s="37" t="n"/>
      <c r="G144" s="37" t="n"/>
      <c r="H144" s="37" t="n"/>
      <c r="I144" s="37" t="n"/>
      <c r="J144" s="36" t="n"/>
      <c r="K144" s="36" t="n"/>
      <c r="L144" s="36" t="n"/>
      <c r="M144" s="36" t="n"/>
      <c r="N144" s="38" t="n"/>
      <c r="O144" s="39">
        <f>IF(OR(N144="",J144=""),"",N144*J144)</f>
        <v/>
      </c>
      <c r="P144" s="40" t="n"/>
      <c r="Q144" s="41">
        <f>IF(OR(P144="",Y144="발주완료",Y144="취소"),"",TODAY()+P144)</f>
        <v/>
      </c>
      <c r="R144" s="35">
        <f>IF(OR(Q144="",NOT(ISNUMBER($J$2))),"",IF(Q144&lt;=$J$2,"가능","초과 "&amp;(Q144-$J$2)&amp;"일"))</f>
        <v/>
      </c>
      <c r="S144" s="36" t="n"/>
      <c r="T144" s="36" t="n"/>
      <c r="U144" s="36" t="n"/>
      <c r="V144" s="43" t="n"/>
      <c r="W144" s="41">
        <f>IF(OR(V144="",U144=""),"",V144+U144)</f>
        <v/>
      </c>
      <c r="X144" s="37" t="n"/>
      <c r="Y144" s="36" t="n"/>
      <c r="Z144" s="37" t="n"/>
    </row>
    <row r="145">
      <c r="A145" s="35">
        <f>IF(E145="","",ROW()-5)</f>
        <v/>
      </c>
      <c r="B145" s="36" t="n"/>
      <c r="C145" s="36" t="n"/>
      <c r="D145" s="36" t="n"/>
      <c r="E145" s="37" t="n"/>
      <c r="F145" s="37" t="n"/>
      <c r="G145" s="37" t="n"/>
      <c r="H145" s="37" t="n"/>
      <c r="I145" s="37" t="n"/>
      <c r="J145" s="36" t="n"/>
      <c r="K145" s="36" t="n"/>
      <c r="L145" s="36" t="n"/>
      <c r="M145" s="36" t="n"/>
      <c r="N145" s="38" t="n"/>
      <c r="O145" s="39">
        <f>IF(OR(N145="",J145=""),"",N145*J145)</f>
        <v/>
      </c>
      <c r="P145" s="40" t="n"/>
      <c r="Q145" s="41">
        <f>IF(OR(P145="",Y145="발주완료",Y145="취소"),"",TODAY()+P145)</f>
        <v/>
      </c>
      <c r="R145" s="35">
        <f>IF(OR(Q145="",NOT(ISNUMBER($J$2))),"",IF(Q145&lt;=$J$2,"가능","초과 "&amp;(Q145-$J$2)&amp;"일"))</f>
        <v/>
      </c>
      <c r="S145" s="36" t="n"/>
      <c r="T145" s="36" t="n"/>
      <c r="U145" s="36" t="n"/>
      <c r="V145" s="43" t="n"/>
      <c r="W145" s="41">
        <f>IF(OR(V145="",U145=""),"",V145+U145)</f>
        <v/>
      </c>
      <c r="X145" s="37" t="n"/>
      <c r="Y145" s="36" t="n"/>
      <c r="Z145" s="37" t="n"/>
    </row>
    <row r="146">
      <c r="A146" s="35">
        <f>IF(E146="","",ROW()-5)</f>
        <v/>
      </c>
      <c r="B146" s="36" t="n"/>
      <c r="C146" s="36" t="n"/>
      <c r="D146" s="36" t="n"/>
      <c r="E146" s="37" t="n"/>
      <c r="F146" s="37" t="n"/>
      <c r="G146" s="37" t="n"/>
      <c r="H146" s="37" t="n"/>
      <c r="I146" s="37" t="n"/>
      <c r="J146" s="36" t="n"/>
      <c r="K146" s="36" t="n"/>
      <c r="L146" s="36" t="n"/>
      <c r="M146" s="36" t="n"/>
      <c r="N146" s="38" t="n"/>
      <c r="O146" s="39">
        <f>IF(OR(N146="",J146=""),"",N146*J146)</f>
        <v/>
      </c>
      <c r="P146" s="40" t="n"/>
      <c r="Q146" s="41">
        <f>IF(OR(P146="",Y146="발주완료",Y146="취소"),"",TODAY()+P146)</f>
        <v/>
      </c>
      <c r="R146" s="35">
        <f>IF(OR(Q146="",NOT(ISNUMBER($J$2))),"",IF(Q146&lt;=$J$2,"가능","초과 "&amp;(Q146-$J$2)&amp;"일"))</f>
        <v/>
      </c>
      <c r="S146" s="36" t="n"/>
      <c r="T146" s="36" t="n"/>
      <c r="U146" s="36" t="n"/>
      <c r="V146" s="43" t="n"/>
      <c r="W146" s="41">
        <f>IF(OR(V146="",U146=""),"",V146+U146)</f>
        <v/>
      </c>
      <c r="X146" s="37" t="n"/>
      <c r="Y146" s="36" t="n"/>
      <c r="Z146" s="37" t="n"/>
    </row>
    <row r="147">
      <c r="A147" s="35">
        <f>IF(E147="","",ROW()-5)</f>
        <v/>
      </c>
      <c r="B147" s="36" t="n"/>
      <c r="C147" s="36" t="n"/>
      <c r="D147" s="36" t="n"/>
      <c r="E147" s="37" t="n"/>
      <c r="F147" s="37" t="n"/>
      <c r="G147" s="37" t="n"/>
      <c r="H147" s="37" t="n"/>
      <c r="I147" s="37" t="n"/>
      <c r="J147" s="36" t="n"/>
      <c r="K147" s="36" t="n"/>
      <c r="L147" s="36" t="n"/>
      <c r="M147" s="36" t="n"/>
      <c r="N147" s="38" t="n"/>
      <c r="O147" s="39">
        <f>IF(OR(N147="",J147=""),"",N147*J147)</f>
        <v/>
      </c>
      <c r="P147" s="40" t="n"/>
      <c r="Q147" s="41">
        <f>IF(OR(P147="",Y147="발주완료",Y147="취소"),"",TODAY()+P147)</f>
        <v/>
      </c>
      <c r="R147" s="35">
        <f>IF(OR(Q147="",NOT(ISNUMBER($J$2))),"",IF(Q147&lt;=$J$2,"가능","초과 "&amp;(Q147-$J$2)&amp;"일"))</f>
        <v/>
      </c>
      <c r="S147" s="36" t="n"/>
      <c r="T147" s="36" t="n"/>
      <c r="U147" s="36" t="n"/>
      <c r="V147" s="43" t="n"/>
      <c r="W147" s="41">
        <f>IF(OR(V147="",U147=""),"",V147+U147)</f>
        <v/>
      </c>
      <c r="X147" s="37" t="n"/>
      <c r="Y147" s="36" t="n"/>
      <c r="Z147" s="37" t="n"/>
    </row>
    <row r="148">
      <c r="A148" s="35">
        <f>IF(E148="","",ROW()-5)</f>
        <v/>
      </c>
      <c r="B148" s="36" t="n"/>
      <c r="C148" s="36" t="n"/>
      <c r="D148" s="36" t="n"/>
      <c r="E148" s="37" t="n"/>
      <c r="F148" s="37" t="n"/>
      <c r="G148" s="37" t="n"/>
      <c r="H148" s="37" t="n"/>
      <c r="I148" s="37" t="n"/>
      <c r="J148" s="36" t="n"/>
      <c r="K148" s="36" t="n"/>
      <c r="L148" s="36" t="n"/>
      <c r="M148" s="36" t="n"/>
      <c r="N148" s="38" t="n"/>
      <c r="O148" s="39">
        <f>IF(OR(N148="",J148=""),"",N148*J148)</f>
        <v/>
      </c>
      <c r="P148" s="40" t="n"/>
      <c r="Q148" s="41">
        <f>IF(OR(P148="",Y148="발주완료",Y148="취소"),"",TODAY()+P148)</f>
        <v/>
      </c>
      <c r="R148" s="35">
        <f>IF(OR(Q148="",NOT(ISNUMBER($J$2))),"",IF(Q148&lt;=$J$2,"가능","초과 "&amp;(Q148-$J$2)&amp;"일"))</f>
        <v/>
      </c>
      <c r="S148" s="36" t="n"/>
      <c r="T148" s="36" t="n"/>
      <c r="U148" s="36" t="n"/>
      <c r="V148" s="43" t="n"/>
      <c r="W148" s="41">
        <f>IF(OR(V148="",U148=""),"",V148+U148)</f>
        <v/>
      </c>
      <c r="X148" s="37" t="n"/>
      <c r="Y148" s="36" t="n"/>
      <c r="Z148" s="37" t="n"/>
    </row>
    <row r="149">
      <c r="A149" s="35">
        <f>IF(E149="","",ROW()-5)</f>
        <v/>
      </c>
      <c r="B149" s="36" t="n"/>
      <c r="C149" s="36" t="n"/>
      <c r="D149" s="36" t="n"/>
      <c r="E149" s="37" t="n"/>
      <c r="F149" s="37" t="n"/>
      <c r="G149" s="37" t="n"/>
      <c r="H149" s="37" t="n"/>
      <c r="I149" s="37" t="n"/>
      <c r="J149" s="36" t="n"/>
      <c r="K149" s="36" t="n"/>
      <c r="L149" s="36" t="n"/>
      <c r="M149" s="36" t="n"/>
      <c r="N149" s="38" t="n"/>
      <c r="O149" s="39">
        <f>IF(OR(N149="",J149=""),"",N149*J149)</f>
        <v/>
      </c>
      <c r="P149" s="40" t="n"/>
      <c r="Q149" s="41">
        <f>IF(OR(P149="",Y149="발주완료",Y149="취소"),"",TODAY()+P149)</f>
        <v/>
      </c>
      <c r="R149" s="35">
        <f>IF(OR(Q149="",NOT(ISNUMBER($J$2))),"",IF(Q149&lt;=$J$2,"가능","초과 "&amp;(Q149-$J$2)&amp;"일"))</f>
        <v/>
      </c>
      <c r="S149" s="36" t="n"/>
      <c r="T149" s="36" t="n"/>
      <c r="U149" s="36" t="n"/>
      <c r="V149" s="43" t="n"/>
      <c r="W149" s="41">
        <f>IF(OR(V149="",U149=""),"",V149+U149)</f>
        <v/>
      </c>
      <c r="X149" s="37" t="n"/>
      <c r="Y149" s="36" t="n"/>
      <c r="Z149" s="37" t="n"/>
    </row>
    <row r="150">
      <c r="A150" s="35">
        <f>IF(E150="","",ROW()-5)</f>
        <v/>
      </c>
      <c r="B150" s="36" t="n"/>
      <c r="C150" s="36" t="n"/>
      <c r="D150" s="36" t="n"/>
      <c r="E150" s="37" t="n"/>
      <c r="F150" s="37" t="n"/>
      <c r="G150" s="37" t="n"/>
      <c r="H150" s="37" t="n"/>
      <c r="I150" s="37" t="n"/>
      <c r="J150" s="36" t="n"/>
      <c r="K150" s="36" t="n"/>
      <c r="L150" s="36" t="n"/>
      <c r="M150" s="36" t="n"/>
      <c r="N150" s="38" t="n"/>
      <c r="O150" s="39">
        <f>IF(OR(N150="",J150=""),"",N150*J150)</f>
        <v/>
      </c>
      <c r="P150" s="40" t="n"/>
      <c r="Q150" s="41">
        <f>IF(OR(P150="",Y150="발주완료",Y150="취소"),"",TODAY()+P150)</f>
        <v/>
      </c>
      <c r="R150" s="35">
        <f>IF(OR(Q150="",NOT(ISNUMBER($J$2))),"",IF(Q150&lt;=$J$2,"가능","초과 "&amp;(Q150-$J$2)&amp;"일"))</f>
        <v/>
      </c>
      <c r="S150" s="36" t="n"/>
      <c r="T150" s="36" t="n"/>
      <c r="U150" s="36" t="n"/>
      <c r="V150" s="43" t="n"/>
      <c r="W150" s="41">
        <f>IF(OR(V150="",U150=""),"",V150+U150)</f>
        <v/>
      </c>
      <c r="X150" s="37" t="n"/>
      <c r="Y150" s="36" t="n"/>
      <c r="Z150" s="37" t="n"/>
    </row>
    <row r="151">
      <c r="A151" s="35">
        <f>IF(E151="","",ROW()-5)</f>
        <v/>
      </c>
      <c r="B151" s="36" t="n"/>
      <c r="C151" s="36" t="n"/>
      <c r="D151" s="36" t="n"/>
      <c r="E151" s="37" t="n"/>
      <c r="F151" s="37" t="n"/>
      <c r="G151" s="37" t="n"/>
      <c r="H151" s="37" t="n"/>
      <c r="I151" s="37" t="n"/>
      <c r="J151" s="36" t="n"/>
      <c r="K151" s="36" t="n"/>
      <c r="L151" s="36" t="n"/>
      <c r="M151" s="36" t="n"/>
      <c r="N151" s="38" t="n"/>
      <c r="O151" s="39">
        <f>IF(OR(N151="",J151=""),"",N151*J151)</f>
        <v/>
      </c>
      <c r="P151" s="40" t="n"/>
      <c r="Q151" s="41">
        <f>IF(OR(P151="",Y151="발주완료",Y151="취소"),"",TODAY()+P151)</f>
        <v/>
      </c>
      <c r="R151" s="35">
        <f>IF(OR(Q151="",NOT(ISNUMBER($J$2))),"",IF(Q151&lt;=$J$2,"가능","초과 "&amp;(Q151-$J$2)&amp;"일"))</f>
        <v/>
      </c>
      <c r="S151" s="36" t="n"/>
      <c r="T151" s="36" t="n"/>
      <c r="U151" s="36" t="n"/>
      <c r="V151" s="43" t="n"/>
      <c r="W151" s="41">
        <f>IF(OR(V151="",U151=""),"",V151+U151)</f>
        <v/>
      </c>
      <c r="X151" s="37" t="n"/>
      <c r="Y151" s="36" t="n"/>
      <c r="Z151" s="37" t="n"/>
    </row>
    <row r="152">
      <c r="A152" s="35">
        <f>IF(E152="","",ROW()-5)</f>
        <v/>
      </c>
      <c r="B152" s="36" t="n"/>
      <c r="C152" s="36" t="n"/>
      <c r="D152" s="36" t="n"/>
      <c r="E152" s="37" t="n"/>
      <c r="F152" s="37" t="n"/>
      <c r="G152" s="37" t="n"/>
      <c r="H152" s="37" t="n"/>
      <c r="I152" s="37" t="n"/>
      <c r="J152" s="36" t="n"/>
      <c r="K152" s="36" t="n"/>
      <c r="L152" s="36" t="n"/>
      <c r="M152" s="36" t="n"/>
      <c r="N152" s="38" t="n"/>
      <c r="O152" s="39">
        <f>IF(OR(N152="",J152=""),"",N152*J152)</f>
        <v/>
      </c>
      <c r="P152" s="40" t="n"/>
      <c r="Q152" s="41">
        <f>IF(OR(P152="",Y152="발주완료",Y152="취소"),"",TODAY()+P152)</f>
        <v/>
      </c>
      <c r="R152" s="35">
        <f>IF(OR(Q152="",NOT(ISNUMBER($J$2))),"",IF(Q152&lt;=$J$2,"가능","초과 "&amp;(Q152-$J$2)&amp;"일"))</f>
        <v/>
      </c>
      <c r="S152" s="36" t="n"/>
      <c r="T152" s="36" t="n"/>
      <c r="U152" s="36" t="n"/>
      <c r="V152" s="43" t="n"/>
      <c r="W152" s="41">
        <f>IF(OR(V152="",U152=""),"",V152+U152)</f>
        <v/>
      </c>
      <c r="X152" s="37" t="n"/>
      <c r="Y152" s="36" t="n"/>
      <c r="Z152" s="37" t="n"/>
    </row>
    <row r="153">
      <c r="A153" s="35">
        <f>IF(E153="","",ROW()-5)</f>
        <v/>
      </c>
      <c r="B153" s="36" t="n"/>
      <c r="C153" s="36" t="n"/>
      <c r="D153" s="36" t="n"/>
      <c r="E153" s="37" t="n"/>
      <c r="F153" s="37" t="n"/>
      <c r="G153" s="37" t="n"/>
      <c r="H153" s="37" t="n"/>
      <c r="I153" s="37" t="n"/>
      <c r="J153" s="36" t="n"/>
      <c r="K153" s="36" t="n"/>
      <c r="L153" s="36" t="n"/>
      <c r="M153" s="36" t="n"/>
      <c r="N153" s="38" t="n"/>
      <c r="O153" s="39">
        <f>IF(OR(N153="",J153=""),"",N153*J153)</f>
        <v/>
      </c>
      <c r="P153" s="40" t="n"/>
      <c r="Q153" s="41">
        <f>IF(OR(P153="",Y153="발주완료",Y153="취소"),"",TODAY()+P153)</f>
        <v/>
      </c>
      <c r="R153" s="35">
        <f>IF(OR(Q153="",NOT(ISNUMBER($J$2))),"",IF(Q153&lt;=$J$2,"가능","초과 "&amp;(Q153-$J$2)&amp;"일"))</f>
        <v/>
      </c>
      <c r="S153" s="36" t="n"/>
      <c r="T153" s="36" t="n"/>
      <c r="U153" s="36" t="n"/>
      <c r="V153" s="43" t="n"/>
      <c r="W153" s="41">
        <f>IF(OR(V153="",U153=""),"",V153+U153)</f>
        <v/>
      </c>
      <c r="X153" s="37" t="n"/>
      <c r="Y153" s="36" t="n"/>
      <c r="Z153" s="37" t="n"/>
    </row>
    <row r="154">
      <c r="A154" s="35">
        <f>IF(E154="","",ROW()-5)</f>
        <v/>
      </c>
      <c r="B154" s="36" t="n"/>
      <c r="C154" s="36" t="n"/>
      <c r="D154" s="36" t="n"/>
      <c r="E154" s="37" t="n"/>
      <c r="F154" s="37" t="n"/>
      <c r="G154" s="37" t="n"/>
      <c r="H154" s="37" t="n"/>
      <c r="I154" s="37" t="n"/>
      <c r="J154" s="36" t="n"/>
      <c r="K154" s="36" t="n"/>
      <c r="L154" s="36" t="n"/>
      <c r="M154" s="36" t="n"/>
      <c r="N154" s="38" t="n"/>
      <c r="O154" s="39">
        <f>IF(OR(N154="",J154=""),"",N154*J154)</f>
        <v/>
      </c>
      <c r="P154" s="40" t="n"/>
      <c r="Q154" s="41">
        <f>IF(OR(P154="",Y154="발주완료",Y154="취소"),"",TODAY()+P154)</f>
        <v/>
      </c>
      <c r="R154" s="35">
        <f>IF(OR(Q154="",NOT(ISNUMBER($J$2))),"",IF(Q154&lt;=$J$2,"가능","초과 "&amp;(Q154-$J$2)&amp;"일"))</f>
        <v/>
      </c>
      <c r="S154" s="36" t="n"/>
      <c r="T154" s="36" t="n"/>
      <c r="U154" s="36" t="n"/>
      <c r="V154" s="43" t="n"/>
      <c r="W154" s="41">
        <f>IF(OR(V154="",U154=""),"",V154+U154)</f>
        <v/>
      </c>
      <c r="X154" s="37" t="n"/>
      <c r="Y154" s="36" t="n"/>
      <c r="Z154" s="37" t="n"/>
    </row>
    <row r="155">
      <c r="A155" s="35">
        <f>IF(E155="","",ROW()-5)</f>
        <v/>
      </c>
      <c r="B155" s="36" t="n"/>
      <c r="C155" s="36" t="n"/>
      <c r="D155" s="36" t="n"/>
      <c r="E155" s="37" t="n"/>
      <c r="F155" s="37" t="n"/>
      <c r="G155" s="37" t="n"/>
      <c r="H155" s="37" t="n"/>
      <c r="I155" s="37" t="n"/>
      <c r="J155" s="36" t="n"/>
      <c r="K155" s="36" t="n"/>
      <c r="L155" s="36" t="n"/>
      <c r="M155" s="36" t="n"/>
      <c r="N155" s="38" t="n"/>
      <c r="O155" s="39">
        <f>IF(OR(N155="",J155=""),"",N155*J155)</f>
        <v/>
      </c>
      <c r="P155" s="40" t="n"/>
      <c r="Q155" s="41">
        <f>IF(OR(P155="",Y155="발주완료",Y155="취소"),"",TODAY()+P155)</f>
        <v/>
      </c>
      <c r="R155" s="35">
        <f>IF(OR(Q155="",NOT(ISNUMBER($J$2))),"",IF(Q155&lt;=$J$2,"가능","초과 "&amp;(Q155-$J$2)&amp;"일"))</f>
        <v/>
      </c>
      <c r="S155" s="36" t="n"/>
      <c r="T155" s="36" t="n"/>
      <c r="U155" s="36" t="n"/>
      <c r="V155" s="43" t="n"/>
      <c r="W155" s="41">
        <f>IF(OR(V155="",U155=""),"",V155+U155)</f>
        <v/>
      </c>
      <c r="X155" s="37" t="n"/>
      <c r="Y155" s="36" t="n"/>
      <c r="Z155" s="37" t="n"/>
    </row>
    <row r="156">
      <c r="A156" s="35">
        <f>IF(E156="","",ROW()-5)</f>
        <v/>
      </c>
      <c r="B156" s="36" t="n"/>
      <c r="C156" s="36" t="n"/>
      <c r="D156" s="36" t="n"/>
      <c r="E156" s="37" t="n"/>
      <c r="F156" s="37" t="n"/>
      <c r="G156" s="37" t="n"/>
      <c r="H156" s="37" t="n"/>
      <c r="I156" s="37" t="n"/>
      <c r="J156" s="36" t="n"/>
      <c r="K156" s="36" t="n"/>
      <c r="L156" s="36" t="n"/>
      <c r="M156" s="36" t="n"/>
      <c r="N156" s="38" t="n"/>
      <c r="O156" s="39">
        <f>IF(OR(N156="",J156=""),"",N156*J156)</f>
        <v/>
      </c>
      <c r="P156" s="40" t="n"/>
      <c r="Q156" s="41">
        <f>IF(OR(P156="",Y156="발주완료",Y156="취소"),"",TODAY()+P156)</f>
        <v/>
      </c>
      <c r="R156" s="35">
        <f>IF(OR(Q156="",NOT(ISNUMBER($J$2))),"",IF(Q156&lt;=$J$2,"가능","초과 "&amp;(Q156-$J$2)&amp;"일"))</f>
        <v/>
      </c>
      <c r="S156" s="36" t="n"/>
      <c r="T156" s="36" t="n"/>
      <c r="U156" s="36" t="n"/>
      <c r="V156" s="43" t="n"/>
      <c r="W156" s="41">
        <f>IF(OR(V156="",U156=""),"",V156+U156)</f>
        <v/>
      </c>
      <c r="X156" s="37" t="n"/>
      <c r="Y156" s="36" t="n"/>
      <c r="Z156" s="37" t="n"/>
    </row>
    <row r="157">
      <c r="A157" s="35">
        <f>IF(E157="","",ROW()-5)</f>
        <v/>
      </c>
      <c r="B157" s="36" t="n"/>
      <c r="C157" s="36" t="n"/>
      <c r="D157" s="36" t="n"/>
      <c r="E157" s="37" t="n"/>
      <c r="F157" s="37" t="n"/>
      <c r="G157" s="37" t="n"/>
      <c r="H157" s="37" t="n"/>
      <c r="I157" s="37" t="n"/>
      <c r="J157" s="36" t="n"/>
      <c r="K157" s="36" t="n"/>
      <c r="L157" s="36" t="n"/>
      <c r="M157" s="36" t="n"/>
      <c r="N157" s="38" t="n"/>
      <c r="O157" s="39">
        <f>IF(OR(N157="",J157=""),"",N157*J157)</f>
        <v/>
      </c>
      <c r="P157" s="40" t="n"/>
      <c r="Q157" s="41">
        <f>IF(OR(P157="",Y157="발주완료",Y157="취소"),"",TODAY()+P157)</f>
        <v/>
      </c>
      <c r="R157" s="35">
        <f>IF(OR(Q157="",NOT(ISNUMBER($J$2))),"",IF(Q157&lt;=$J$2,"가능","초과 "&amp;(Q157-$J$2)&amp;"일"))</f>
        <v/>
      </c>
      <c r="S157" s="36" t="n"/>
      <c r="T157" s="36" t="n"/>
      <c r="U157" s="36" t="n"/>
      <c r="V157" s="43" t="n"/>
      <c r="W157" s="41">
        <f>IF(OR(V157="",U157=""),"",V157+U157)</f>
        <v/>
      </c>
      <c r="X157" s="37" t="n"/>
      <c r="Y157" s="36" t="n"/>
      <c r="Z157" s="37" t="n"/>
    </row>
    <row r="158">
      <c r="A158" s="35">
        <f>IF(E158="","",ROW()-5)</f>
        <v/>
      </c>
      <c r="B158" s="36" t="n"/>
      <c r="C158" s="36" t="n"/>
      <c r="D158" s="36" t="n"/>
      <c r="E158" s="37" t="n"/>
      <c r="F158" s="37" t="n"/>
      <c r="G158" s="37" t="n"/>
      <c r="H158" s="37" t="n"/>
      <c r="I158" s="37" t="n"/>
      <c r="J158" s="36" t="n"/>
      <c r="K158" s="36" t="n"/>
      <c r="L158" s="36" t="n"/>
      <c r="M158" s="36" t="n"/>
      <c r="N158" s="38" t="n"/>
      <c r="O158" s="39">
        <f>IF(OR(N158="",J158=""),"",N158*J158)</f>
        <v/>
      </c>
      <c r="P158" s="40" t="n"/>
      <c r="Q158" s="41">
        <f>IF(OR(P158="",Y158="발주완료",Y158="취소"),"",TODAY()+P158)</f>
        <v/>
      </c>
      <c r="R158" s="35">
        <f>IF(OR(Q158="",NOT(ISNUMBER($J$2))),"",IF(Q158&lt;=$J$2,"가능","초과 "&amp;(Q158-$J$2)&amp;"일"))</f>
        <v/>
      </c>
      <c r="S158" s="36" t="n"/>
      <c r="T158" s="36" t="n"/>
      <c r="U158" s="36" t="n"/>
      <c r="V158" s="43" t="n"/>
      <c r="W158" s="41">
        <f>IF(OR(V158="",U158=""),"",V158+U158)</f>
        <v/>
      </c>
      <c r="X158" s="37" t="n"/>
      <c r="Y158" s="36" t="n"/>
      <c r="Z158" s="37" t="n"/>
    </row>
    <row r="159">
      <c r="A159" s="35">
        <f>IF(E159="","",ROW()-5)</f>
        <v/>
      </c>
      <c r="B159" s="36" t="n"/>
      <c r="C159" s="36" t="n"/>
      <c r="D159" s="36" t="n"/>
      <c r="E159" s="37" t="n"/>
      <c r="F159" s="37" t="n"/>
      <c r="G159" s="37" t="n"/>
      <c r="H159" s="37" t="n"/>
      <c r="I159" s="37" t="n"/>
      <c r="J159" s="36" t="n"/>
      <c r="K159" s="36" t="n"/>
      <c r="L159" s="36" t="n"/>
      <c r="M159" s="36" t="n"/>
      <c r="N159" s="38" t="n"/>
      <c r="O159" s="39">
        <f>IF(OR(N159="",J159=""),"",N159*J159)</f>
        <v/>
      </c>
      <c r="P159" s="40" t="n"/>
      <c r="Q159" s="41">
        <f>IF(OR(P159="",Y159="발주완료",Y159="취소"),"",TODAY()+P159)</f>
        <v/>
      </c>
      <c r="R159" s="35">
        <f>IF(OR(Q159="",NOT(ISNUMBER($J$2))),"",IF(Q159&lt;=$J$2,"가능","초과 "&amp;(Q159-$J$2)&amp;"일"))</f>
        <v/>
      </c>
      <c r="S159" s="36" t="n"/>
      <c r="T159" s="36" t="n"/>
      <c r="U159" s="36" t="n"/>
      <c r="V159" s="43" t="n"/>
      <c r="W159" s="41">
        <f>IF(OR(V159="",U159=""),"",V159+U159)</f>
        <v/>
      </c>
      <c r="X159" s="37" t="n"/>
      <c r="Y159" s="36" t="n"/>
      <c r="Z159" s="37" t="n"/>
    </row>
    <row r="160">
      <c r="A160" s="35">
        <f>IF(E160="","",ROW()-5)</f>
        <v/>
      </c>
      <c r="B160" s="36" t="n"/>
      <c r="C160" s="36" t="n"/>
      <c r="D160" s="36" t="n"/>
      <c r="E160" s="37" t="n"/>
      <c r="F160" s="37" t="n"/>
      <c r="G160" s="37" t="n"/>
      <c r="H160" s="37" t="n"/>
      <c r="I160" s="37" t="n"/>
      <c r="J160" s="36" t="n"/>
      <c r="K160" s="36" t="n"/>
      <c r="L160" s="36" t="n"/>
      <c r="M160" s="36" t="n"/>
      <c r="N160" s="38" t="n"/>
      <c r="O160" s="39">
        <f>IF(OR(N160="",J160=""),"",N160*J160)</f>
        <v/>
      </c>
      <c r="P160" s="40" t="n"/>
      <c r="Q160" s="41">
        <f>IF(OR(P160="",Y160="발주완료",Y160="취소"),"",TODAY()+P160)</f>
        <v/>
      </c>
      <c r="R160" s="35">
        <f>IF(OR(Q160="",NOT(ISNUMBER($J$2))),"",IF(Q160&lt;=$J$2,"가능","초과 "&amp;(Q160-$J$2)&amp;"일"))</f>
        <v/>
      </c>
      <c r="S160" s="36" t="n"/>
      <c r="T160" s="36" t="n"/>
      <c r="U160" s="36" t="n"/>
      <c r="V160" s="43" t="n"/>
      <c r="W160" s="41">
        <f>IF(OR(V160="",U160=""),"",V160+U160)</f>
        <v/>
      </c>
      <c r="X160" s="37" t="n"/>
      <c r="Y160" s="36" t="n"/>
      <c r="Z160" s="37" t="n"/>
    </row>
    <row r="161">
      <c r="A161" s="35">
        <f>IF(E161="","",ROW()-5)</f>
        <v/>
      </c>
      <c r="B161" s="36" t="n"/>
      <c r="C161" s="36" t="n"/>
      <c r="D161" s="36" t="n"/>
      <c r="E161" s="37" t="n"/>
      <c r="F161" s="37" t="n"/>
      <c r="G161" s="37" t="n"/>
      <c r="H161" s="37" t="n"/>
      <c r="I161" s="37" t="n"/>
      <c r="J161" s="36" t="n"/>
      <c r="K161" s="36" t="n"/>
      <c r="L161" s="36" t="n"/>
      <c r="M161" s="36" t="n"/>
      <c r="N161" s="38" t="n"/>
      <c r="O161" s="39">
        <f>IF(OR(N161="",J161=""),"",N161*J161)</f>
        <v/>
      </c>
      <c r="P161" s="40" t="n"/>
      <c r="Q161" s="41">
        <f>IF(OR(P161="",Y161="발주완료",Y161="취소"),"",TODAY()+P161)</f>
        <v/>
      </c>
      <c r="R161" s="35">
        <f>IF(OR(Q161="",NOT(ISNUMBER($J$2))),"",IF(Q161&lt;=$J$2,"가능","초과 "&amp;(Q161-$J$2)&amp;"일"))</f>
        <v/>
      </c>
      <c r="S161" s="36" t="n"/>
      <c r="T161" s="36" t="n"/>
      <c r="U161" s="36" t="n"/>
      <c r="V161" s="43" t="n"/>
      <c r="W161" s="41">
        <f>IF(OR(V161="",U161=""),"",V161+U161)</f>
        <v/>
      </c>
      <c r="X161" s="37" t="n"/>
      <c r="Y161" s="36" t="n"/>
      <c r="Z161" s="37" t="n"/>
    </row>
    <row r="162">
      <c r="A162" s="35">
        <f>IF(E162="","",ROW()-5)</f>
        <v/>
      </c>
      <c r="B162" s="36" t="n"/>
      <c r="C162" s="36" t="n"/>
      <c r="D162" s="36" t="n"/>
      <c r="E162" s="37" t="n"/>
      <c r="F162" s="37" t="n"/>
      <c r="G162" s="37" t="n"/>
      <c r="H162" s="37" t="n"/>
      <c r="I162" s="37" t="n"/>
      <c r="J162" s="36" t="n"/>
      <c r="K162" s="36" t="n"/>
      <c r="L162" s="36" t="n"/>
      <c r="M162" s="36" t="n"/>
      <c r="N162" s="38" t="n"/>
      <c r="O162" s="39">
        <f>IF(OR(N162="",J162=""),"",N162*J162)</f>
        <v/>
      </c>
      <c r="P162" s="40" t="n"/>
      <c r="Q162" s="41">
        <f>IF(OR(P162="",Y162="발주완료",Y162="취소"),"",TODAY()+P162)</f>
        <v/>
      </c>
      <c r="R162" s="35">
        <f>IF(OR(Q162="",NOT(ISNUMBER($J$2))),"",IF(Q162&lt;=$J$2,"가능","초과 "&amp;(Q162-$J$2)&amp;"일"))</f>
        <v/>
      </c>
      <c r="S162" s="36" t="n"/>
      <c r="T162" s="36" t="n"/>
      <c r="U162" s="36" t="n"/>
      <c r="V162" s="43" t="n"/>
      <c r="W162" s="41">
        <f>IF(OR(V162="",U162=""),"",V162+U162)</f>
        <v/>
      </c>
      <c r="X162" s="37" t="n"/>
      <c r="Y162" s="36" t="n"/>
      <c r="Z162" s="37" t="n"/>
    </row>
    <row r="163">
      <c r="A163" s="35">
        <f>IF(E163="","",ROW()-5)</f>
        <v/>
      </c>
      <c r="B163" s="36" t="n"/>
      <c r="C163" s="36" t="n"/>
      <c r="D163" s="36" t="n"/>
      <c r="E163" s="37" t="n"/>
      <c r="F163" s="37" t="n"/>
      <c r="G163" s="37" t="n"/>
      <c r="H163" s="37" t="n"/>
      <c r="I163" s="37" t="n"/>
      <c r="J163" s="36" t="n"/>
      <c r="K163" s="36" t="n"/>
      <c r="L163" s="36" t="n"/>
      <c r="M163" s="36" t="n"/>
      <c r="N163" s="38" t="n"/>
      <c r="O163" s="39">
        <f>IF(OR(N163="",J163=""),"",N163*J163)</f>
        <v/>
      </c>
      <c r="P163" s="40" t="n"/>
      <c r="Q163" s="41">
        <f>IF(OR(P163="",Y163="발주완료",Y163="취소"),"",TODAY()+P163)</f>
        <v/>
      </c>
      <c r="R163" s="35">
        <f>IF(OR(Q163="",NOT(ISNUMBER($J$2))),"",IF(Q163&lt;=$J$2,"가능","초과 "&amp;(Q163-$J$2)&amp;"일"))</f>
        <v/>
      </c>
      <c r="S163" s="36" t="n"/>
      <c r="T163" s="36" t="n"/>
      <c r="U163" s="36" t="n"/>
      <c r="V163" s="43" t="n"/>
      <c r="W163" s="41">
        <f>IF(OR(V163="",U163=""),"",V163+U163)</f>
        <v/>
      </c>
      <c r="X163" s="37" t="n"/>
      <c r="Y163" s="36" t="n"/>
      <c r="Z163" s="37" t="n"/>
    </row>
    <row r="164">
      <c r="A164" s="35">
        <f>IF(E164="","",ROW()-5)</f>
        <v/>
      </c>
      <c r="B164" s="36" t="n"/>
      <c r="C164" s="36" t="n"/>
      <c r="D164" s="36" t="n"/>
      <c r="E164" s="37" t="n"/>
      <c r="F164" s="37" t="n"/>
      <c r="G164" s="37" t="n"/>
      <c r="H164" s="37" t="n"/>
      <c r="I164" s="37" t="n"/>
      <c r="J164" s="36" t="n"/>
      <c r="K164" s="36" t="n"/>
      <c r="L164" s="36" t="n"/>
      <c r="M164" s="36" t="n"/>
      <c r="N164" s="38" t="n"/>
      <c r="O164" s="39">
        <f>IF(OR(N164="",J164=""),"",N164*J164)</f>
        <v/>
      </c>
      <c r="P164" s="40" t="n"/>
      <c r="Q164" s="41">
        <f>IF(OR(P164="",Y164="발주완료",Y164="취소"),"",TODAY()+P164)</f>
        <v/>
      </c>
      <c r="R164" s="35">
        <f>IF(OR(Q164="",NOT(ISNUMBER($J$2))),"",IF(Q164&lt;=$J$2,"가능","초과 "&amp;(Q164-$J$2)&amp;"일"))</f>
        <v/>
      </c>
      <c r="S164" s="36" t="n"/>
      <c r="T164" s="36" t="n"/>
      <c r="U164" s="36" t="n"/>
      <c r="V164" s="43" t="n"/>
      <c r="W164" s="41">
        <f>IF(OR(V164="",U164=""),"",V164+U164)</f>
        <v/>
      </c>
      <c r="X164" s="37" t="n"/>
      <c r="Y164" s="36" t="n"/>
      <c r="Z164" s="37" t="n"/>
    </row>
    <row r="165">
      <c r="A165" s="35">
        <f>IF(E165="","",ROW()-5)</f>
        <v/>
      </c>
      <c r="B165" s="36" t="n"/>
      <c r="C165" s="36" t="n"/>
      <c r="D165" s="36" t="n"/>
      <c r="E165" s="37" t="n"/>
      <c r="F165" s="37" t="n"/>
      <c r="G165" s="37" t="n"/>
      <c r="H165" s="37" t="n"/>
      <c r="I165" s="37" t="n"/>
      <c r="J165" s="36" t="n"/>
      <c r="K165" s="36" t="n"/>
      <c r="L165" s="36" t="n"/>
      <c r="M165" s="36" t="n"/>
      <c r="N165" s="38" t="n"/>
      <c r="O165" s="39">
        <f>IF(OR(N165="",J165=""),"",N165*J165)</f>
        <v/>
      </c>
      <c r="P165" s="40" t="n"/>
      <c r="Q165" s="41">
        <f>IF(OR(P165="",Y165="발주완료",Y165="취소"),"",TODAY()+P165)</f>
        <v/>
      </c>
      <c r="R165" s="35">
        <f>IF(OR(Q165="",NOT(ISNUMBER($J$2))),"",IF(Q165&lt;=$J$2,"가능","초과 "&amp;(Q165-$J$2)&amp;"일"))</f>
        <v/>
      </c>
      <c r="S165" s="36" t="n"/>
      <c r="T165" s="36" t="n"/>
      <c r="U165" s="36" t="n"/>
      <c r="V165" s="43" t="n"/>
      <c r="W165" s="41">
        <f>IF(OR(V165="",U165=""),"",V165+U165)</f>
        <v/>
      </c>
      <c r="X165" s="37" t="n"/>
      <c r="Y165" s="36" t="n"/>
      <c r="Z165" s="37" t="n"/>
    </row>
    <row r="166">
      <c r="A166" s="35">
        <f>IF(E166="","",ROW()-5)</f>
        <v/>
      </c>
      <c r="B166" s="36" t="n"/>
      <c r="C166" s="36" t="n"/>
      <c r="D166" s="36" t="n"/>
      <c r="E166" s="37" t="n"/>
      <c r="F166" s="37" t="n"/>
      <c r="G166" s="37" t="n"/>
      <c r="H166" s="37" t="n"/>
      <c r="I166" s="37" t="n"/>
      <c r="J166" s="36" t="n"/>
      <c r="K166" s="36" t="n"/>
      <c r="L166" s="36" t="n"/>
      <c r="M166" s="36" t="n"/>
      <c r="N166" s="38" t="n"/>
      <c r="O166" s="39">
        <f>IF(OR(N166="",J166=""),"",N166*J166)</f>
        <v/>
      </c>
      <c r="P166" s="40" t="n"/>
      <c r="Q166" s="41">
        <f>IF(OR(P166="",Y166="발주완료",Y166="취소"),"",TODAY()+P166)</f>
        <v/>
      </c>
      <c r="R166" s="35">
        <f>IF(OR(Q166="",NOT(ISNUMBER($J$2))),"",IF(Q166&lt;=$J$2,"가능","초과 "&amp;(Q166-$J$2)&amp;"일"))</f>
        <v/>
      </c>
      <c r="S166" s="36" t="n"/>
      <c r="T166" s="36" t="n"/>
      <c r="U166" s="36" t="n"/>
      <c r="V166" s="43" t="n"/>
      <c r="W166" s="41">
        <f>IF(OR(V166="",U166=""),"",V166+U166)</f>
        <v/>
      </c>
      <c r="X166" s="37" t="n"/>
      <c r="Y166" s="36" t="n"/>
      <c r="Z166" s="37" t="n"/>
    </row>
    <row r="167">
      <c r="A167" s="35">
        <f>IF(E167="","",ROW()-5)</f>
        <v/>
      </c>
      <c r="B167" s="36" t="n"/>
      <c r="C167" s="36" t="n"/>
      <c r="D167" s="36" t="n"/>
      <c r="E167" s="37" t="n"/>
      <c r="F167" s="37" t="n"/>
      <c r="G167" s="37" t="n"/>
      <c r="H167" s="37" t="n"/>
      <c r="I167" s="37" t="n"/>
      <c r="J167" s="36" t="n"/>
      <c r="K167" s="36" t="n"/>
      <c r="L167" s="36" t="n"/>
      <c r="M167" s="36" t="n"/>
      <c r="N167" s="38" t="n"/>
      <c r="O167" s="39">
        <f>IF(OR(N167="",J167=""),"",N167*J167)</f>
        <v/>
      </c>
      <c r="P167" s="40" t="n"/>
      <c r="Q167" s="41">
        <f>IF(OR(P167="",Y167="발주완료",Y167="취소"),"",TODAY()+P167)</f>
        <v/>
      </c>
      <c r="R167" s="35">
        <f>IF(OR(Q167="",NOT(ISNUMBER($J$2))),"",IF(Q167&lt;=$J$2,"가능","초과 "&amp;(Q167-$J$2)&amp;"일"))</f>
        <v/>
      </c>
      <c r="S167" s="36" t="n"/>
      <c r="T167" s="36" t="n"/>
      <c r="U167" s="36" t="n"/>
      <c r="V167" s="43" t="n"/>
      <c r="W167" s="41">
        <f>IF(OR(V167="",U167=""),"",V167+U167)</f>
        <v/>
      </c>
      <c r="X167" s="37" t="n"/>
      <c r="Y167" s="36" t="n"/>
      <c r="Z167" s="37" t="n"/>
    </row>
    <row r="168">
      <c r="A168" s="35">
        <f>IF(E168="","",ROW()-5)</f>
        <v/>
      </c>
      <c r="B168" s="36" t="n"/>
      <c r="C168" s="36" t="n"/>
      <c r="D168" s="36" t="n"/>
      <c r="E168" s="37" t="n"/>
      <c r="F168" s="37" t="n"/>
      <c r="G168" s="37" t="n"/>
      <c r="H168" s="37" t="n"/>
      <c r="I168" s="37" t="n"/>
      <c r="J168" s="36" t="n"/>
      <c r="K168" s="36" t="n"/>
      <c r="L168" s="36" t="n"/>
      <c r="M168" s="36" t="n"/>
      <c r="N168" s="38" t="n"/>
      <c r="O168" s="39">
        <f>IF(OR(N168="",J168=""),"",N168*J168)</f>
        <v/>
      </c>
      <c r="P168" s="40" t="n"/>
      <c r="Q168" s="41">
        <f>IF(OR(P168="",Y168="발주완료",Y168="취소"),"",TODAY()+P168)</f>
        <v/>
      </c>
      <c r="R168" s="35">
        <f>IF(OR(Q168="",NOT(ISNUMBER($J$2))),"",IF(Q168&lt;=$J$2,"가능","초과 "&amp;(Q168-$J$2)&amp;"일"))</f>
        <v/>
      </c>
      <c r="S168" s="36" t="n"/>
      <c r="T168" s="36" t="n"/>
      <c r="U168" s="36" t="n"/>
      <c r="V168" s="43" t="n"/>
      <c r="W168" s="41">
        <f>IF(OR(V168="",U168=""),"",V168+U168)</f>
        <v/>
      </c>
      <c r="X168" s="37" t="n"/>
      <c r="Y168" s="36" t="n"/>
      <c r="Z168" s="37" t="n"/>
    </row>
    <row r="169">
      <c r="A169" s="35">
        <f>IF(E169="","",ROW()-5)</f>
        <v/>
      </c>
      <c r="B169" s="36" t="n"/>
      <c r="C169" s="36" t="n"/>
      <c r="D169" s="36" t="n"/>
      <c r="E169" s="37" t="n"/>
      <c r="F169" s="37" t="n"/>
      <c r="G169" s="37" t="n"/>
      <c r="H169" s="37" t="n"/>
      <c r="I169" s="37" t="n"/>
      <c r="J169" s="36" t="n"/>
      <c r="K169" s="36" t="n"/>
      <c r="L169" s="36" t="n"/>
      <c r="M169" s="36" t="n"/>
      <c r="N169" s="38" t="n"/>
      <c r="O169" s="39">
        <f>IF(OR(N169="",J169=""),"",N169*J169)</f>
        <v/>
      </c>
      <c r="P169" s="40" t="n"/>
      <c r="Q169" s="41">
        <f>IF(OR(P169="",Y169="발주완료",Y169="취소"),"",TODAY()+P169)</f>
        <v/>
      </c>
      <c r="R169" s="35">
        <f>IF(OR(Q169="",NOT(ISNUMBER($J$2))),"",IF(Q169&lt;=$J$2,"가능","초과 "&amp;(Q169-$J$2)&amp;"일"))</f>
        <v/>
      </c>
      <c r="S169" s="36" t="n"/>
      <c r="T169" s="36" t="n"/>
      <c r="U169" s="36" t="n"/>
      <c r="V169" s="43" t="n"/>
      <c r="W169" s="41">
        <f>IF(OR(V169="",U169=""),"",V169+U169)</f>
        <v/>
      </c>
      <c r="X169" s="37" t="n"/>
      <c r="Y169" s="36" t="n"/>
      <c r="Z169" s="37" t="n"/>
    </row>
    <row r="170">
      <c r="A170" s="35">
        <f>IF(E170="","",ROW()-5)</f>
        <v/>
      </c>
      <c r="B170" s="36" t="n"/>
      <c r="C170" s="36" t="n"/>
      <c r="D170" s="36" t="n"/>
      <c r="E170" s="37" t="n"/>
      <c r="F170" s="37" t="n"/>
      <c r="G170" s="37" t="n"/>
      <c r="H170" s="37" t="n"/>
      <c r="I170" s="37" t="n"/>
      <c r="J170" s="36" t="n"/>
      <c r="K170" s="36" t="n"/>
      <c r="L170" s="36" t="n"/>
      <c r="M170" s="36" t="n"/>
      <c r="N170" s="38" t="n"/>
      <c r="O170" s="39">
        <f>IF(OR(N170="",J170=""),"",N170*J170)</f>
        <v/>
      </c>
      <c r="P170" s="40" t="n"/>
      <c r="Q170" s="41">
        <f>IF(OR(P170="",Y170="발주완료",Y170="취소"),"",TODAY()+P170)</f>
        <v/>
      </c>
      <c r="R170" s="35">
        <f>IF(OR(Q170="",NOT(ISNUMBER($J$2))),"",IF(Q170&lt;=$J$2,"가능","초과 "&amp;(Q170-$J$2)&amp;"일"))</f>
        <v/>
      </c>
      <c r="S170" s="36" t="n"/>
      <c r="T170" s="36" t="n"/>
      <c r="U170" s="36" t="n"/>
      <c r="V170" s="43" t="n"/>
      <c r="W170" s="41">
        <f>IF(OR(V170="",U170=""),"",V170+U170)</f>
        <v/>
      </c>
      <c r="X170" s="37" t="n"/>
      <c r="Y170" s="36" t="n"/>
      <c r="Z170" s="37" t="n"/>
    </row>
    <row r="171">
      <c r="A171" s="35">
        <f>IF(E171="","",ROW()-5)</f>
        <v/>
      </c>
      <c r="B171" s="36" t="n"/>
      <c r="C171" s="36" t="n"/>
      <c r="D171" s="36" t="n"/>
      <c r="E171" s="37" t="n"/>
      <c r="F171" s="37" t="n"/>
      <c r="G171" s="37" t="n"/>
      <c r="H171" s="37" t="n"/>
      <c r="I171" s="37" t="n"/>
      <c r="J171" s="36" t="n"/>
      <c r="K171" s="36" t="n"/>
      <c r="L171" s="36" t="n"/>
      <c r="M171" s="36" t="n"/>
      <c r="N171" s="38" t="n"/>
      <c r="O171" s="39">
        <f>IF(OR(N171="",J171=""),"",N171*J171)</f>
        <v/>
      </c>
      <c r="P171" s="40" t="n"/>
      <c r="Q171" s="41">
        <f>IF(OR(P171="",Y171="발주완료",Y171="취소"),"",TODAY()+P171)</f>
        <v/>
      </c>
      <c r="R171" s="35">
        <f>IF(OR(Q171="",NOT(ISNUMBER($J$2))),"",IF(Q171&lt;=$J$2,"가능","초과 "&amp;(Q171-$J$2)&amp;"일"))</f>
        <v/>
      </c>
      <c r="S171" s="36" t="n"/>
      <c r="T171" s="36" t="n"/>
      <c r="U171" s="36" t="n"/>
      <c r="V171" s="43" t="n"/>
      <c r="W171" s="41">
        <f>IF(OR(V171="",U171=""),"",V171+U171)</f>
        <v/>
      </c>
      <c r="X171" s="37" t="n"/>
      <c r="Y171" s="36" t="n"/>
      <c r="Z171" s="37" t="n"/>
    </row>
    <row r="172">
      <c r="A172" s="35">
        <f>IF(E172="","",ROW()-5)</f>
        <v/>
      </c>
      <c r="B172" s="36" t="n"/>
      <c r="C172" s="36" t="n"/>
      <c r="D172" s="36" t="n"/>
      <c r="E172" s="37" t="n"/>
      <c r="F172" s="37" t="n"/>
      <c r="G172" s="37" t="n"/>
      <c r="H172" s="37" t="n"/>
      <c r="I172" s="37" t="n"/>
      <c r="J172" s="36" t="n"/>
      <c r="K172" s="36" t="n"/>
      <c r="L172" s="36" t="n"/>
      <c r="M172" s="36" t="n"/>
      <c r="N172" s="38" t="n"/>
      <c r="O172" s="39">
        <f>IF(OR(N172="",J172=""),"",N172*J172)</f>
        <v/>
      </c>
      <c r="P172" s="40" t="n"/>
      <c r="Q172" s="41">
        <f>IF(OR(P172="",Y172="발주완료",Y172="취소"),"",TODAY()+P172)</f>
        <v/>
      </c>
      <c r="R172" s="35">
        <f>IF(OR(Q172="",NOT(ISNUMBER($J$2))),"",IF(Q172&lt;=$J$2,"가능","초과 "&amp;(Q172-$J$2)&amp;"일"))</f>
        <v/>
      </c>
      <c r="S172" s="36" t="n"/>
      <c r="T172" s="36" t="n"/>
      <c r="U172" s="36" t="n"/>
      <c r="V172" s="43" t="n"/>
      <c r="W172" s="41">
        <f>IF(OR(V172="",U172=""),"",V172+U172)</f>
        <v/>
      </c>
      <c r="X172" s="37" t="n"/>
      <c r="Y172" s="36" t="n"/>
      <c r="Z172" s="37" t="n"/>
    </row>
    <row r="173">
      <c r="A173" s="35">
        <f>IF(E173="","",ROW()-5)</f>
        <v/>
      </c>
      <c r="B173" s="36" t="n"/>
      <c r="C173" s="36" t="n"/>
      <c r="D173" s="36" t="n"/>
      <c r="E173" s="37" t="n"/>
      <c r="F173" s="37" t="n"/>
      <c r="G173" s="37" t="n"/>
      <c r="H173" s="37" t="n"/>
      <c r="I173" s="37" t="n"/>
      <c r="J173" s="36" t="n"/>
      <c r="K173" s="36" t="n"/>
      <c r="L173" s="36" t="n"/>
      <c r="M173" s="36" t="n"/>
      <c r="N173" s="38" t="n"/>
      <c r="O173" s="39">
        <f>IF(OR(N173="",J173=""),"",N173*J173)</f>
        <v/>
      </c>
      <c r="P173" s="40" t="n"/>
      <c r="Q173" s="41">
        <f>IF(OR(P173="",Y173="발주완료",Y173="취소"),"",TODAY()+P173)</f>
        <v/>
      </c>
      <c r="R173" s="35">
        <f>IF(OR(Q173="",NOT(ISNUMBER($J$2))),"",IF(Q173&lt;=$J$2,"가능","초과 "&amp;(Q173-$J$2)&amp;"일"))</f>
        <v/>
      </c>
      <c r="S173" s="36" t="n"/>
      <c r="T173" s="36" t="n"/>
      <c r="U173" s="36" t="n"/>
      <c r="V173" s="43" t="n"/>
      <c r="W173" s="41">
        <f>IF(OR(V173="",U173=""),"",V173+U173)</f>
        <v/>
      </c>
      <c r="X173" s="37" t="n"/>
      <c r="Y173" s="36" t="n"/>
      <c r="Z173" s="37" t="n"/>
    </row>
    <row r="174">
      <c r="A174" s="35">
        <f>IF(E174="","",ROW()-5)</f>
        <v/>
      </c>
      <c r="B174" s="36" t="n"/>
      <c r="C174" s="36" t="n"/>
      <c r="D174" s="36" t="n"/>
      <c r="E174" s="37" t="n"/>
      <c r="F174" s="37" t="n"/>
      <c r="G174" s="37" t="n"/>
      <c r="H174" s="37" t="n"/>
      <c r="I174" s="37" t="n"/>
      <c r="J174" s="36" t="n"/>
      <c r="K174" s="36" t="n"/>
      <c r="L174" s="36" t="n"/>
      <c r="M174" s="36" t="n"/>
      <c r="N174" s="38" t="n"/>
      <c r="O174" s="39">
        <f>IF(OR(N174="",J174=""),"",N174*J174)</f>
        <v/>
      </c>
      <c r="P174" s="40" t="n"/>
      <c r="Q174" s="41">
        <f>IF(OR(P174="",Y174="발주완료",Y174="취소"),"",TODAY()+P174)</f>
        <v/>
      </c>
      <c r="R174" s="35">
        <f>IF(OR(Q174="",NOT(ISNUMBER($J$2))),"",IF(Q174&lt;=$J$2,"가능","초과 "&amp;(Q174-$J$2)&amp;"일"))</f>
        <v/>
      </c>
      <c r="S174" s="36" t="n"/>
      <c r="T174" s="36" t="n"/>
      <c r="U174" s="36" t="n"/>
      <c r="V174" s="43" t="n"/>
      <c r="W174" s="41">
        <f>IF(OR(V174="",U174=""),"",V174+U174)</f>
        <v/>
      </c>
      <c r="X174" s="37" t="n"/>
      <c r="Y174" s="36" t="n"/>
      <c r="Z174" s="37" t="n"/>
    </row>
    <row r="175">
      <c r="A175" s="35">
        <f>IF(E175="","",ROW()-5)</f>
        <v/>
      </c>
      <c r="B175" s="36" t="n"/>
      <c r="C175" s="36" t="n"/>
      <c r="D175" s="36" t="n"/>
      <c r="E175" s="37" t="n"/>
      <c r="F175" s="37" t="n"/>
      <c r="G175" s="37" t="n"/>
      <c r="H175" s="37" t="n"/>
      <c r="I175" s="37" t="n"/>
      <c r="J175" s="36" t="n"/>
      <c r="K175" s="36" t="n"/>
      <c r="L175" s="36" t="n"/>
      <c r="M175" s="36" t="n"/>
      <c r="N175" s="38" t="n"/>
      <c r="O175" s="39">
        <f>IF(OR(N175="",J175=""),"",N175*J175)</f>
        <v/>
      </c>
      <c r="P175" s="40" t="n"/>
      <c r="Q175" s="41">
        <f>IF(OR(P175="",Y175="발주완료",Y175="취소"),"",TODAY()+P175)</f>
        <v/>
      </c>
      <c r="R175" s="35">
        <f>IF(OR(Q175="",NOT(ISNUMBER($J$2))),"",IF(Q175&lt;=$J$2,"가능","초과 "&amp;(Q175-$J$2)&amp;"일"))</f>
        <v/>
      </c>
      <c r="S175" s="36" t="n"/>
      <c r="T175" s="36" t="n"/>
      <c r="U175" s="36" t="n"/>
      <c r="V175" s="43" t="n"/>
      <c r="W175" s="41">
        <f>IF(OR(V175="",U175=""),"",V175+U175)</f>
        <v/>
      </c>
      <c r="X175" s="37" t="n"/>
      <c r="Y175" s="36" t="n"/>
      <c r="Z175" s="37" t="n"/>
    </row>
    <row r="176">
      <c r="A176" s="35">
        <f>IF(E176="","",ROW()-5)</f>
        <v/>
      </c>
      <c r="B176" s="36" t="n"/>
      <c r="C176" s="36" t="n"/>
      <c r="D176" s="36" t="n"/>
      <c r="E176" s="37" t="n"/>
      <c r="F176" s="37" t="n"/>
      <c r="G176" s="37" t="n"/>
      <c r="H176" s="37" t="n"/>
      <c r="I176" s="37" t="n"/>
      <c r="J176" s="36" t="n"/>
      <c r="K176" s="36" t="n"/>
      <c r="L176" s="36" t="n"/>
      <c r="M176" s="36" t="n"/>
      <c r="N176" s="38" t="n"/>
      <c r="O176" s="39">
        <f>IF(OR(N176="",J176=""),"",N176*J176)</f>
        <v/>
      </c>
      <c r="P176" s="40" t="n"/>
      <c r="Q176" s="41">
        <f>IF(OR(P176="",Y176="발주완료",Y176="취소"),"",TODAY()+P176)</f>
        <v/>
      </c>
      <c r="R176" s="35">
        <f>IF(OR(Q176="",NOT(ISNUMBER($J$2))),"",IF(Q176&lt;=$J$2,"가능","초과 "&amp;(Q176-$J$2)&amp;"일"))</f>
        <v/>
      </c>
      <c r="S176" s="36" t="n"/>
      <c r="T176" s="36" t="n"/>
      <c r="U176" s="36" t="n"/>
      <c r="V176" s="43" t="n"/>
      <c r="W176" s="41">
        <f>IF(OR(V176="",U176=""),"",V176+U176)</f>
        <v/>
      </c>
      <c r="X176" s="37" t="n"/>
      <c r="Y176" s="36" t="n"/>
      <c r="Z176" s="37" t="n"/>
    </row>
    <row r="177">
      <c r="A177" s="35">
        <f>IF(E177="","",ROW()-5)</f>
        <v/>
      </c>
      <c r="B177" s="36" t="n"/>
      <c r="C177" s="36" t="n"/>
      <c r="D177" s="36" t="n"/>
      <c r="E177" s="37" t="n"/>
      <c r="F177" s="37" t="n"/>
      <c r="G177" s="37" t="n"/>
      <c r="H177" s="37" t="n"/>
      <c r="I177" s="37" t="n"/>
      <c r="J177" s="36" t="n"/>
      <c r="K177" s="36" t="n"/>
      <c r="L177" s="36" t="n"/>
      <c r="M177" s="36" t="n"/>
      <c r="N177" s="38" t="n"/>
      <c r="O177" s="39">
        <f>IF(OR(N177="",J177=""),"",N177*J177)</f>
        <v/>
      </c>
      <c r="P177" s="40" t="n"/>
      <c r="Q177" s="41">
        <f>IF(OR(P177="",Y177="발주완료",Y177="취소"),"",TODAY()+P177)</f>
        <v/>
      </c>
      <c r="R177" s="35">
        <f>IF(OR(Q177="",NOT(ISNUMBER($J$2))),"",IF(Q177&lt;=$J$2,"가능","초과 "&amp;(Q177-$J$2)&amp;"일"))</f>
        <v/>
      </c>
      <c r="S177" s="36" t="n"/>
      <c r="T177" s="36" t="n"/>
      <c r="U177" s="36" t="n"/>
      <c r="V177" s="43" t="n"/>
      <c r="W177" s="41">
        <f>IF(OR(V177="",U177=""),"",V177+U177)</f>
        <v/>
      </c>
      <c r="X177" s="37" t="n"/>
      <c r="Y177" s="36" t="n"/>
      <c r="Z177" s="37" t="n"/>
    </row>
    <row r="178">
      <c r="A178" s="35">
        <f>IF(E178="","",ROW()-5)</f>
        <v/>
      </c>
      <c r="B178" s="36" t="n"/>
      <c r="C178" s="36" t="n"/>
      <c r="D178" s="36" t="n"/>
      <c r="E178" s="37" t="n"/>
      <c r="F178" s="37" t="n"/>
      <c r="G178" s="37" t="n"/>
      <c r="H178" s="37" t="n"/>
      <c r="I178" s="37" t="n"/>
      <c r="J178" s="36" t="n"/>
      <c r="K178" s="36" t="n"/>
      <c r="L178" s="36" t="n"/>
      <c r="M178" s="36" t="n"/>
      <c r="N178" s="38" t="n"/>
      <c r="O178" s="39">
        <f>IF(OR(N178="",J178=""),"",N178*J178)</f>
        <v/>
      </c>
      <c r="P178" s="40" t="n"/>
      <c r="Q178" s="41">
        <f>IF(OR(P178="",Y178="발주완료",Y178="취소"),"",TODAY()+P178)</f>
        <v/>
      </c>
      <c r="R178" s="35">
        <f>IF(OR(Q178="",NOT(ISNUMBER($J$2))),"",IF(Q178&lt;=$J$2,"가능","초과 "&amp;(Q178-$J$2)&amp;"일"))</f>
        <v/>
      </c>
      <c r="S178" s="36" t="n"/>
      <c r="T178" s="36" t="n"/>
      <c r="U178" s="36" t="n"/>
      <c r="V178" s="43" t="n"/>
      <c r="W178" s="41">
        <f>IF(OR(V178="",U178=""),"",V178+U178)</f>
        <v/>
      </c>
      <c r="X178" s="37" t="n"/>
      <c r="Y178" s="36" t="n"/>
      <c r="Z178" s="37" t="n"/>
    </row>
    <row r="179">
      <c r="A179" s="35">
        <f>IF(E179="","",ROW()-5)</f>
        <v/>
      </c>
      <c r="B179" s="36" t="n"/>
      <c r="C179" s="36" t="n"/>
      <c r="D179" s="36" t="n"/>
      <c r="E179" s="37" t="n"/>
      <c r="F179" s="37" t="n"/>
      <c r="G179" s="37" t="n"/>
      <c r="H179" s="37" t="n"/>
      <c r="I179" s="37" t="n"/>
      <c r="J179" s="36" t="n"/>
      <c r="K179" s="36" t="n"/>
      <c r="L179" s="36" t="n"/>
      <c r="M179" s="36" t="n"/>
      <c r="N179" s="38" t="n"/>
      <c r="O179" s="39">
        <f>IF(OR(N179="",J179=""),"",N179*J179)</f>
        <v/>
      </c>
      <c r="P179" s="40" t="n"/>
      <c r="Q179" s="41">
        <f>IF(OR(P179="",Y179="발주완료",Y179="취소"),"",TODAY()+P179)</f>
        <v/>
      </c>
      <c r="R179" s="35">
        <f>IF(OR(Q179="",NOT(ISNUMBER($J$2))),"",IF(Q179&lt;=$J$2,"가능","초과 "&amp;(Q179-$J$2)&amp;"일"))</f>
        <v/>
      </c>
      <c r="S179" s="36" t="n"/>
      <c r="T179" s="36" t="n"/>
      <c r="U179" s="36" t="n"/>
      <c r="V179" s="43" t="n"/>
      <c r="W179" s="41">
        <f>IF(OR(V179="",U179=""),"",V179+U179)</f>
        <v/>
      </c>
      <c r="X179" s="37" t="n"/>
      <c r="Y179" s="36" t="n"/>
      <c r="Z179" s="37" t="n"/>
    </row>
    <row r="180">
      <c r="A180" s="35">
        <f>IF(E180="","",ROW()-5)</f>
        <v/>
      </c>
      <c r="B180" s="36" t="n"/>
      <c r="C180" s="36" t="n"/>
      <c r="D180" s="36" t="n"/>
      <c r="E180" s="37" t="n"/>
      <c r="F180" s="37" t="n"/>
      <c r="G180" s="37" t="n"/>
      <c r="H180" s="37" t="n"/>
      <c r="I180" s="37" t="n"/>
      <c r="J180" s="36" t="n"/>
      <c r="K180" s="36" t="n"/>
      <c r="L180" s="36" t="n"/>
      <c r="M180" s="36" t="n"/>
      <c r="N180" s="38" t="n"/>
      <c r="O180" s="39">
        <f>IF(OR(N180="",J180=""),"",N180*J180)</f>
        <v/>
      </c>
      <c r="P180" s="40" t="n"/>
      <c r="Q180" s="41">
        <f>IF(OR(P180="",Y180="발주완료",Y180="취소"),"",TODAY()+P180)</f>
        <v/>
      </c>
      <c r="R180" s="35">
        <f>IF(OR(Q180="",NOT(ISNUMBER($J$2))),"",IF(Q180&lt;=$J$2,"가능","초과 "&amp;(Q180-$J$2)&amp;"일"))</f>
        <v/>
      </c>
      <c r="S180" s="36" t="n"/>
      <c r="T180" s="36" t="n"/>
      <c r="U180" s="36" t="n"/>
      <c r="V180" s="43" t="n"/>
      <c r="W180" s="41">
        <f>IF(OR(V180="",U180=""),"",V180+U180)</f>
        <v/>
      </c>
      <c r="X180" s="37" t="n"/>
      <c r="Y180" s="36" t="n"/>
      <c r="Z180" s="37" t="n"/>
    </row>
    <row r="181">
      <c r="A181" s="35">
        <f>IF(E181="","",ROW()-5)</f>
        <v/>
      </c>
      <c r="B181" s="36" t="n"/>
      <c r="C181" s="36" t="n"/>
      <c r="D181" s="36" t="n"/>
      <c r="E181" s="37" t="n"/>
      <c r="F181" s="37" t="n"/>
      <c r="G181" s="37" t="n"/>
      <c r="H181" s="37" t="n"/>
      <c r="I181" s="37" t="n"/>
      <c r="J181" s="36" t="n"/>
      <c r="K181" s="36" t="n"/>
      <c r="L181" s="36" t="n"/>
      <c r="M181" s="36" t="n"/>
      <c r="N181" s="38" t="n"/>
      <c r="O181" s="39">
        <f>IF(OR(N181="",J181=""),"",N181*J181)</f>
        <v/>
      </c>
      <c r="P181" s="40" t="n"/>
      <c r="Q181" s="41">
        <f>IF(OR(P181="",Y181="발주완료",Y181="취소"),"",TODAY()+P181)</f>
        <v/>
      </c>
      <c r="R181" s="35">
        <f>IF(OR(Q181="",NOT(ISNUMBER($J$2))),"",IF(Q181&lt;=$J$2,"가능","초과 "&amp;(Q181-$J$2)&amp;"일"))</f>
        <v/>
      </c>
      <c r="S181" s="36" t="n"/>
      <c r="T181" s="36" t="n"/>
      <c r="U181" s="36" t="n"/>
      <c r="V181" s="43" t="n"/>
      <c r="W181" s="41">
        <f>IF(OR(V181="",U181=""),"",V181+U181)</f>
        <v/>
      </c>
      <c r="X181" s="37" t="n"/>
      <c r="Y181" s="36" t="n"/>
      <c r="Z181" s="37" t="n"/>
    </row>
    <row r="182">
      <c r="A182" s="35">
        <f>IF(E182="","",ROW()-5)</f>
        <v/>
      </c>
      <c r="B182" s="36" t="n"/>
      <c r="C182" s="36" t="n"/>
      <c r="D182" s="36" t="n"/>
      <c r="E182" s="37" t="n"/>
      <c r="F182" s="37" t="n"/>
      <c r="G182" s="37" t="n"/>
      <c r="H182" s="37" t="n"/>
      <c r="I182" s="37" t="n"/>
      <c r="J182" s="36" t="n"/>
      <c r="K182" s="36" t="n"/>
      <c r="L182" s="36" t="n"/>
      <c r="M182" s="36" t="n"/>
      <c r="N182" s="38" t="n"/>
      <c r="O182" s="39">
        <f>IF(OR(N182="",J182=""),"",N182*J182)</f>
        <v/>
      </c>
      <c r="P182" s="40" t="n"/>
      <c r="Q182" s="41">
        <f>IF(OR(P182="",Y182="발주완료",Y182="취소"),"",TODAY()+P182)</f>
        <v/>
      </c>
      <c r="R182" s="35">
        <f>IF(OR(Q182="",NOT(ISNUMBER($J$2))),"",IF(Q182&lt;=$J$2,"가능","초과 "&amp;(Q182-$J$2)&amp;"일"))</f>
        <v/>
      </c>
      <c r="S182" s="36" t="n"/>
      <c r="T182" s="36" t="n"/>
      <c r="U182" s="36" t="n"/>
      <c r="V182" s="43" t="n"/>
      <c r="W182" s="41">
        <f>IF(OR(V182="",U182=""),"",V182+U182)</f>
        <v/>
      </c>
      <c r="X182" s="37" t="n"/>
      <c r="Y182" s="36" t="n"/>
      <c r="Z182" s="37" t="n"/>
    </row>
    <row r="183">
      <c r="A183" s="35">
        <f>IF(E183="","",ROW()-5)</f>
        <v/>
      </c>
      <c r="B183" s="36" t="n"/>
      <c r="C183" s="36" t="n"/>
      <c r="D183" s="36" t="n"/>
      <c r="E183" s="37" t="n"/>
      <c r="F183" s="37" t="n"/>
      <c r="G183" s="37" t="n"/>
      <c r="H183" s="37" t="n"/>
      <c r="I183" s="37" t="n"/>
      <c r="J183" s="36" t="n"/>
      <c r="K183" s="36" t="n"/>
      <c r="L183" s="36" t="n"/>
      <c r="M183" s="36" t="n"/>
      <c r="N183" s="38" t="n"/>
      <c r="O183" s="39">
        <f>IF(OR(N183="",J183=""),"",N183*J183)</f>
        <v/>
      </c>
      <c r="P183" s="40" t="n"/>
      <c r="Q183" s="41">
        <f>IF(OR(P183="",Y183="발주완료",Y183="취소"),"",TODAY()+P183)</f>
        <v/>
      </c>
      <c r="R183" s="35">
        <f>IF(OR(Q183="",NOT(ISNUMBER($J$2))),"",IF(Q183&lt;=$J$2,"가능","초과 "&amp;(Q183-$J$2)&amp;"일"))</f>
        <v/>
      </c>
      <c r="S183" s="36" t="n"/>
      <c r="T183" s="36" t="n"/>
      <c r="U183" s="36" t="n"/>
      <c r="V183" s="43" t="n"/>
      <c r="W183" s="41">
        <f>IF(OR(V183="",U183=""),"",V183+U183)</f>
        <v/>
      </c>
      <c r="X183" s="37" t="n"/>
      <c r="Y183" s="36" t="n"/>
      <c r="Z183" s="37" t="n"/>
    </row>
    <row r="184">
      <c r="A184" s="35">
        <f>IF(E184="","",ROW()-5)</f>
        <v/>
      </c>
      <c r="B184" s="36" t="n"/>
      <c r="C184" s="36" t="n"/>
      <c r="D184" s="36" t="n"/>
      <c r="E184" s="37" t="n"/>
      <c r="F184" s="37" t="n"/>
      <c r="G184" s="37" t="n"/>
      <c r="H184" s="37" t="n"/>
      <c r="I184" s="37" t="n"/>
      <c r="J184" s="36" t="n"/>
      <c r="K184" s="36" t="n"/>
      <c r="L184" s="36" t="n"/>
      <c r="M184" s="36" t="n"/>
      <c r="N184" s="38" t="n"/>
      <c r="O184" s="39">
        <f>IF(OR(N184="",J184=""),"",N184*J184)</f>
        <v/>
      </c>
      <c r="P184" s="40" t="n"/>
      <c r="Q184" s="41">
        <f>IF(OR(P184="",Y184="발주완료",Y184="취소"),"",TODAY()+P184)</f>
        <v/>
      </c>
      <c r="R184" s="35">
        <f>IF(OR(Q184="",NOT(ISNUMBER($J$2))),"",IF(Q184&lt;=$J$2,"가능","초과 "&amp;(Q184-$J$2)&amp;"일"))</f>
        <v/>
      </c>
      <c r="S184" s="36" t="n"/>
      <c r="T184" s="36" t="n"/>
      <c r="U184" s="36" t="n"/>
      <c r="V184" s="43" t="n"/>
      <c r="W184" s="41">
        <f>IF(OR(V184="",U184=""),"",V184+U184)</f>
        <v/>
      </c>
      <c r="X184" s="37" t="n"/>
      <c r="Y184" s="36" t="n"/>
      <c r="Z184" s="37" t="n"/>
    </row>
    <row r="185">
      <c r="A185" s="35">
        <f>IF(E185="","",ROW()-5)</f>
        <v/>
      </c>
      <c r="B185" s="36" t="n"/>
      <c r="C185" s="36" t="n"/>
      <c r="D185" s="36" t="n"/>
      <c r="E185" s="37" t="n"/>
      <c r="F185" s="37" t="n"/>
      <c r="G185" s="37" t="n"/>
      <c r="H185" s="37" t="n"/>
      <c r="I185" s="37" t="n"/>
      <c r="J185" s="36" t="n"/>
      <c r="K185" s="36" t="n"/>
      <c r="L185" s="36" t="n"/>
      <c r="M185" s="36" t="n"/>
      <c r="N185" s="38" t="n"/>
      <c r="O185" s="39">
        <f>IF(OR(N185="",J185=""),"",N185*J185)</f>
        <v/>
      </c>
      <c r="P185" s="40" t="n"/>
      <c r="Q185" s="41">
        <f>IF(OR(P185="",Y185="발주완료",Y185="취소"),"",TODAY()+P185)</f>
        <v/>
      </c>
      <c r="R185" s="35">
        <f>IF(OR(Q185="",NOT(ISNUMBER($J$2))),"",IF(Q185&lt;=$J$2,"가능","초과 "&amp;(Q185-$J$2)&amp;"일"))</f>
        <v/>
      </c>
      <c r="S185" s="36" t="n"/>
      <c r="T185" s="36" t="n"/>
      <c r="U185" s="36" t="n"/>
      <c r="V185" s="43" t="n"/>
      <c r="W185" s="41">
        <f>IF(OR(V185="",U185=""),"",V185+U185)</f>
        <v/>
      </c>
      <c r="X185" s="37" t="n"/>
      <c r="Y185" s="36" t="n"/>
      <c r="Z185" s="37" t="n"/>
    </row>
    <row r="186">
      <c r="A186" s="35">
        <f>IF(E186="","",ROW()-5)</f>
        <v/>
      </c>
      <c r="B186" s="36" t="n"/>
      <c r="C186" s="36" t="n"/>
      <c r="D186" s="36" t="n"/>
      <c r="E186" s="37" t="n"/>
      <c r="F186" s="37" t="n"/>
      <c r="G186" s="37" t="n"/>
      <c r="H186" s="37" t="n"/>
      <c r="I186" s="37" t="n"/>
      <c r="J186" s="36" t="n"/>
      <c r="K186" s="36" t="n"/>
      <c r="L186" s="36" t="n"/>
      <c r="M186" s="36" t="n"/>
      <c r="N186" s="38" t="n"/>
      <c r="O186" s="39">
        <f>IF(OR(N186="",J186=""),"",N186*J186)</f>
        <v/>
      </c>
      <c r="P186" s="40" t="n"/>
      <c r="Q186" s="41">
        <f>IF(OR(P186="",Y186="발주완료",Y186="취소"),"",TODAY()+P186)</f>
        <v/>
      </c>
      <c r="R186" s="35">
        <f>IF(OR(Q186="",NOT(ISNUMBER($J$2))),"",IF(Q186&lt;=$J$2,"가능","초과 "&amp;(Q186-$J$2)&amp;"일"))</f>
        <v/>
      </c>
      <c r="S186" s="36" t="n"/>
      <c r="T186" s="36" t="n"/>
      <c r="U186" s="36" t="n"/>
      <c r="V186" s="43" t="n"/>
      <c r="W186" s="41">
        <f>IF(OR(V186="",U186=""),"",V186+U186)</f>
        <v/>
      </c>
      <c r="X186" s="37" t="n"/>
      <c r="Y186" s="36" t="n"/>
      <c r="Z186" s="37" t="n"/>
    </row>
    <row r="187">
      <c r="A187" s="35">
        <f>IF(E187="","",ROW()-5)</f>
        <v/>
      </c>
      <c r="B187" s="36" t="n"/>
      <c r="C187" s="36" t="n"/>
      <c r="D187" s="36" t="n"/>
      <c r="E187" s="37" t="n"/>
      <c r="F187" s="37" t="n"/>
      <c r="G187" s="37" t="n"/>
      <c r="H187" s="37" t="n"/>
      <c r="I187" s="37" t="n"/>
      <c r="J187" s="36" t="n"/>
      <c r="K187" s="36" t="n"/>
      <c r="L187" s="36" t="n"/>
      <c r="M187" s="36" t="n"/>
      <c r="N187" s="38" t="n"/>
      <c r="O187" s="39">
        <f>IF(OR(N187="",J187=""),"",N187*J187)</f>
        <v/>
      </c>
      <c r="P187" s="40" t="n"/>
      <c r="Q187" s="41">
        <f>IF(OR(P187="",Y187="발주완료",Y187="취소"),"",TODAY()+P187)</f>
        <v/>
      </c>
      <c r="R187" s="35">
        <f>IF(OR(Q187="",NOT(ISNUMBER($J$2))),"",IF(Q187&lt;=$J$2,"가능","초과 "&amp;(Q187-$J$2)&amp;"일"))</f>
        <v/>
      </c>
      <c r="S187" s="36" t="n"/>
      <c r="T187" s="36" t="n"/>
      <c r="U187" s="36" t="n"/>
      <c r="V187" s="43" t="n"/>
      <c r="W187" s="41">
        <f>IF(OR(V187="",U187=""),"",V187+U187)</f>
        <v/>
      </c>
      <c r="X187" s="37" t="n"/>
      <c r="Y187" s="36" t="n"/>
      <c r="Z187" s="37" t="n"/>
    </row>
    <row r="188">
      <c r="A188" s="35">
        <f>IF(E188="","",ROW()-5)</f>
        <v/>
      </c>
      <c r="B188" s="36" t="n"/>
      <c r="C188" s="36" t="n"/>
      <c r="D188" s="36" t="n"/>
      <c r="E188" s="37" t="n"/>
      <c r="F188" s="37" t="n"/>
      <c r="G188" s="37" t="n"/>
      <c r="H188" s="37" t="n"/>
      <c r="I188" s="37" t="n"/>
      <c r="J188" s="36" t="n"/>
      <c r="K188" s="36" t="n"/>
      <c r="L188" s="36" t="n"/>
      <c r="M188" s="36" t="n"/>
      <c r="N188" s="38" t="n"/>
      <c r="O188" s="39">
        <f>IF(OR(N188="",J188=""),"",N188*J188)</f>
        <v/>
      </c>
      <c r="P188" s="40" t="n"/>
      <c r="Q188" s="41">
        <f>IF(OR(P188="",Y188="발주완료",Y188="취소"),"",TODAY()+P188)</f>
        <v/>
      </c>
      <c r="R188" s="35">
        <f>IF(OR(Q188="",NOT(ISNUMBER($J$2))),"",IF(Q188&lt;=$J$2,"가능","초과 "&amp;(Q188-$J$2)&amp;"일"))</f>
        <v/>
      </c>
      <c r="S188" s="36" t="n"/>
      <c r="T188" s="36" t="n"/>
      <c r="U188" s="36" t="n"/>
      <c r="V188" s="43" t="n"/>
      <c r="W188" s="41">
        <f>IF(OR(V188="",U188=""),"",V188+U188)</f>
        <v/>
      </c>
      <c r="X188" s="37" t="n"/>
      <c r="Y188" s="36" t="n"/>
      <c r="Z188" s="37" t="n"/>
    </row>
    <row r="189">
      <c r="A189" s="35">
        <f>IF(E189="","",ROW()-5)</f>
        <v/>
      </c>
      <c r="B189" s="36" t="n"/>
      <c r="C189" s="36" t="n"/>
      <c r="D189" s="36" t="n"/>
      <c r="E189" s="37" t="n"/>
      <c r="F189" s="37" t="n"/>
      <c r="G189" s="37" t="n"/>
      <c r="H189" s="37" t="n"/>
      <c r="I189" s="37" t="n"/>
      <c r="J189" s="36" t="n"/>
      <c r="K189" s="36" t="n"/>
      <c r="L189" s="36" t="n"/>
      <c r="M189" s="36" t="n"/>
      <c r="N189" s="38" t="n"/>
      <c r="O189" s="39">
        <f>IF(OR(N189="",J189=""),"",N189*J189)</f>
        <v/>
      </c>
      <c r="P189" s="40" t="n"/>
      <c r="Q189" s="41">
        <f>IF(OR(P189="",Y189="발주완료",Y189="취소"),"",TODAY()+P189)</f>
        <v/>
      </c>
      <c r="R189" s="35">
        <f>IF(OR(Q189="",NOT(ISNUMBER($J$2))),"",IF(Q189&lt;=$J$2,"가능","초과 "&amp;(Q189-$J$2)&amp;"일"))</f>
        <v/>
      </c>
      <c r="S189" s="36" t="n"/>
      <c r="T189" s="36" t="n"/>
      <c r="U189" s="36" t="n"/>
      <c r="V189" s="43" t="n"/>
      <c r="W189" s="41">
        <f>IF(OR(V189="",U189=""),"",V189+U189)</f>
        <v/>
      </c>
      <c r="X189" s="37" t="n"/>
      <c r="Y189" s="36" t="n"/>
      <c r="Z189" s="37" t="n"/>
    </row>
    <row r="190">
      <c r="A190" s="35">
        <f>IF(E190="","",ROW()-5)</f>
        <v/>
      </c>
      <c r="B190" s="36" t="n"/>
      <c r="C190" s="36" t="n"/>
      <c r="D190" s="36" t="n"/>
      <c r="E190" s="37" t="n"/>
      <c r="F190" s="37" t="n"/>
      <c r="G190" s="37" t="n"/>
      <c r="H190" s="37" t="n"/>
      <c r="I190" s="37" t="n"/>
      <c r="J190" s="36" t="n"/>
      <c r="K190" s="36" t="n"/>
      <c r="L190" s="36" t="n"/>
      <c r="M190" s="36" t="n"/>
      <c r="N190" s="38" t="n"/>
      <c r="O190" s="39">
        <f>IF(OR(N190="",J190=""),"",N190*J190)</f>
        <v/>
      </c>
      <c r="P190" s="40" t="n"/>
      <c r="Q190" s="41">
        <f>IF(OR(P190="",Y190="발주완료",Y190="취소"),"",TODAY()+P190)</f>
        <v/>
      </c>
      <c r="R190" s="35">
        <f>IF(OR(Q190="",NOT(ISNUMBER($J$2))),"",IF(Q190&lt;=$J$2,"가능","초과 "&amp;(Q190-$J$2)&amp;"일"))</f>
        <v/>
      </c>
      <c r="S190" s="36" t="n"/>
      <c r="T190" s="36" t="n"/>
      <c r="U190" s="36" t="n"/>
      <c r="V190" s="43" t="n"/>
      <c r="W190" s="41">
        <f>IF(OR(V190="",U190=""),"",V190+U190)</f>
        <v/>
      </c>
      <c r="X190" s="37" t="n"/>
      <c r="Y190" s="36" t="n"/>
      <c r="Z190" s="37" t="n"/>
    </row>
    <row r="191">
      <c r="A191" s="35">
        <f>IF(E191="","",ROW()-5)</f>
        <v/>
      </c>
      <c r="B191" s="36" t="n"/>
      <c r="C191" s="36" t="n"/>
      <c r="D191" s="36" t="n"/>
      <c r="E191" s="37" t="n"/>
      <c r="F191" s="37" t="n"/>
      <c r="G191" s="37" t="n"/>
      <c r="H191" s="37" t="n"/>
      <c r="I191" s="37" t="n"/>
      <c r="J191" s="36" t="n"/>
      <c r="K191" s="36" t="n"/>
      <c r="L191" s="36" t="n"/>
      <c r="M191" s="36" t="n"/>
      <c r="N191" s="38" t="n"/>
      <c r="O191" s="39">
        <f>IF(OR(N191="",J191=""),"",N191*J191)</f>
        <v/>
      </c>
      <c r="P191" s="40" t="n"/>
      <c r="Q191" s="41">
        <f>IF(OR(P191="",Y191="발주완료",Y191="취소"),"",TODAY()+P191)</f>
        <v/>
      </c>
      <c r="R191" s="35">
        <f>IF(OR(Q191="",NOT(ISNUMBER($J$2))),"",IF(Q191&lt;=$J$2,"가능","초과 "&amp;(Q191-$J$2)&amp;"일"))</f>
        <v/>
      </c>
      <c r="S191" s="36" t="n"/>
      <c r="T191" s="36" t="n"/>
      <c r="U191" s="36" t="n"/>
      <c r="V191" s="43" t="n"/>
      <c r="W191" s="41">
        <f>IF(OR(V191="",U191=""),"",V191+U191)</f>
        <v/>
      </c>
      <c r="X191" s="37" t="n"/>
      <c r="Y191" s="36" t="n"/>
      <c r="Z191" s="37" t="n"/>
    </row>
    <row r="192">
      <c r="A192" s="35">
        <f>IF(E192="","",ROW()-5)</f>
        <v/>
      </c>
      <c r="B192" s="36" t="n"/>
      <c r="C192" s="36" t="n"/>
      <c r="D192" s="36" t="n"/>
      <c r="E192" s="37" t="n"/>
      <c r="F192" s="37" t="n"/>
      <c r="G192" s="37" t="n"/>
      <c r="H192" s="37" t="n"/>
      <c r="I192" s="37" t="n"/>
      <c r="J192" s="36" t="n"/>
      <c r="K192" s="36" t="n"/>
      <c r="L192" s="36" t="n"/>
      <c r="M192" s="36" t="n"/>
      <c r="N192" s="38" t="n"/>
      <c r="O192" s="39">
        <f>IF(OR(N192="",J192=""),"",N192*J192)</f>
        <v/>
      </c>
      <c r="P192" s="40" t="n"/>
      <c r="Q192" s="41">
        <f>IF(OR(P192="",Y192="발주완료",Y192="취소"),"",TODAY()+P192)</f>
        <v/>
      </c>
      <c r="R192" s="35">
        <f>IF(OR(Q192="",NOT(ISNUMBER($J$2))),"",IF(Q192&lt;=$J$2,"가능","초과 "&amp;(Q192-$J$2)&amp;"일"))</f>
        <v/>
      </c>
      <c r="S192" s="36" t="n"/>
      <c r="T192" s="36" t="n"/>
      <c r="U192" s="36" t="n"/>
      <c r="V192" s="43" t="n"/>
      <c r="W192" s="41">
        <f>IF(OR(V192="",U192=""),"",V192+U192)</f>
        <v/>
      </c>
      <c r="X192" s="37" t="n"/>
      <c r="Y192" s="36" t="n"/>
      <c r="Z192" s="37" t="n"/>
    </row>
    <row r="193">
      <c r="A193" s="35">
        <f>IF(E193="","",ROW()-5)</f>
        <v/>
      </c>
      <c r="B193" s="36" t="n"/>
      <c r="C193" s="36" t="n"/>
      <c r="D193" s="36" t="n"/>
      <c r="E193" s="37" t="n"/>
      <c r="F193" s="37" t="n"/>
      <c r="G193" s="37" t="n"/>
      <c r="H193" s="37" t="n"/>
      <c r="I193" s="37" t="n"/>
      <c r="J193" s="36" t="n"/>
      <c r="K193" s="36" t="n"/>
      <c r="L193" s="36" t="n"/>
      <c r="M193" s="36" t="n"/>
      <c r="N193" s="38" t="n"/>
      <c r="O193" s="39">
        <f>IF(OR(N193="",J193=""),"",N193*J193)</f>
        <v/>
      </c>
      <c r="P193" s="40" t="n"/>
      <c r="Q193" s="41">
        <f>IF(OR(P193="",Y193="발주완료",Y193="취소"),"",TODAY()+P193)</f>
        <v/>
      </c>
      <c r="R193" s="35">
        <f>IF(OR(Q193="",NOT(ISNUMBER($J$2))),"",IF(Q193&lt;=$J$2,"가능","초과 "&amp;(Q193-$J$2)&amp;"일"))</f>
        <v/>
      </c>
      <c r="S193" s="36" t="n"/>
      <c r="T193" s="36" t="n"/>
      <c r="U193" s="36" t="n"/>
      <c r="V193" s="43" t="n"/>
      <c r="W193" s="41">
        <f>IF(OR(V193="",U193=""),"",V193+U193)</f>
        <v/>
      </c>
      <c r="X193" s="37" t="n"/>
      <c r="Y193" s="36" t="n"/>
      <c r="Z193" s="37" t="n"/>
    </row>
    <row r="194">
      <c r="A194" s="35">
        <f>IF(E194="","",ROW()-5)</f>
        <v/>
      </c>
      <c r="B194" s="36" t="n"/>
      <c r="C194" s="36" t="n"/>
      <c r="D194" s="36" t="n"/>
      <c r="E194" s="37" t="n"/>
      <c r="F194" s="37" t="n"/>
      <c r="G194" s="37" t="n"/>
      <c r="H194" s="37" t="n"/>
      <c r="I194" s="37" t="n"/>
      <c r="J194" s="36" t="n"/>
      <c r="K194" s="36" t="n"/>
      <c r="L194" s="36" t="n"/>
      <c r="M194" s="36" t="n"/>
      <c r="N194" s="38" t="n"/>
      <c r="O194" s="39">
        <f>IF(OR(N194="",J194=""),"",N194*J194)</f>
        <v/>
      </c>
      <c r="P194" s="40" t="n"/>
      <c r="Q194" s="41">
        <f>IF(OR(P194="",Y194="발주완료",Y194="취소"),"",TODAY()+P194)</f>
        <v/>
      </c>
      <c r="R194" s="35">
        <f>IF(OR(Q194="",NOT(ISNUMBER($J$2))),"",IF(Q194&lt;=$J$2,"가능","초과 "&amp;(Q194-$J$2)&amp;"일"))</f>
        <v/>
      </c>
      <c r="S194" s="36" t="n"/>
      <c r="T194" s="36" t="n"/>
      <c r="U194" s="36" t="n"/>
      <c r="V194" s="43" t="n"/>
      <c r="W194" s="41">
        <f>IF(OR(V194="",U194=""),"",V194+U194)</f>
        <v/>
      </c>
      <c r="X194" s="37" t="n"/>
      <c r="Y194" s="36" t="n"/>
      <c r="Z194" s="37" t="n"/>
    </row>
    <row r="195">
      <c r="A195" s="35">
        <f>IF(E195="","",ROW()-5)</f>
        <v/>
      </c>
      <c r="B195" s="36" t="n"/>
      <c r="C195" s="36" t="n"/>
      <c r="D195" s="36" t="n"/>
      <c r="E195" s="37" t="n"/>
      <c r="F195" s="37" t="n"/>
      <c r="G195" s="37" t="n"/>
      <c r="H195" s="37" t="n"/>
      <c r="I195" s="37" t="n"/>
      <c r="J195" s="36" t="n"/>
      <c r="K195" s="36" t="n"/>
      <c r="L195" s="36" t="n"/>
      <c r="M195" s="36" t="n"/>
      <c r="N195" s="38" t="n"/>
      <c r="O195" s="39">
        <f>IF(OR(N195="",J195=""),"",N195*J195)</f>
        <v/>
      </c>
      <c r="P195" s="40" t="n"/>
      <c r="Q195" s="41">
        <f>IF(OR(P195="",Y195="발주완료",Y195="취소"),"",TODAY()+P195)</f>
        <v/>
      </c>
      <c r="R195" s="35">
        <f>IF(OR(Q195="",NOT(ISNUMBER($J$2))),"",IF(Q195&lt;=$J$2,"가능","초과 "&amp;(Q195-$J$2)&amp;"일"))</f>
        <v/>
      </c>
      <c r="S195" s="36" t="n"/>
      <c r="T195" s="36" t="n"/>
      <c r="U195" s="36" t="n"/>
      <c r="V195" s="43" t="n"/>
      <c r="W195" s="41">
        <f>IF(OR(V195="",U195=""),"",V195+U195)</f>
        <v/>
      </c>
      <c r="X195" s="37" t="n"/>
      <c r="Y195" s="36" t="n"/>
      <c r="Z195" s="37" t="n"/>
    </row>
    <row r="196">
      <c r="A196" s="35">
        <f>IF(E196="","",ROW()-5)</f>
        <v/>
      </c>
      <c r="B196" s="36" t="n"/>
      <c r="C196" s="36" t="n"/>
      <c r="D196" s="36" t="n"/>
      <c r="E196" s="37" t="n"/>
      <c r="F196" s="37" t="n"/>
      <c r="G196" s="37" t="n"/>
      <c r="H196" s="37" t="n"/>
      <c r="I196" s="37" t="n"/>
      <c r="J196" s="36" t="n"/>
      <c r="K196" s="36" t="n"/>
      <c r="L196" s="36" t="n"/>
      <c r="M196" s="36" t="n"/>
      <c r="N196" s="38" t="n"/>
      <c r="O196" s="39">
        <f>IF(OR(N196="",J196=""),"",N196*J196)</f>
        <v/>
      </c>
      <c r="P196" s="40" t="n"/>
      <c r="Q196" s="41">
        <f>IF(OR(P196="",Y196="발주완료",Y196="취소"),"",TODAY()+P196)</f>
        <v/>
      </c>
      <c r="R196" s="35">
        <f>IF(OR(Q196="",NOT(ISNUMBER($J$2))),"",IF(Q196&lt;=$J$2,"가능","초과 "&amp;(Q196-$J$2)&amp;"일"))</f>
        <v/>
      </c>
      <c r="S196" s="36" t="n"/>
      <c r="T196" s="36" t="n"/>
      <c r="U196" s="36" t="n"/>
      <c r="V196" s="43" t="n"/>
      <c r="W196" s="41">
        <f>IF(OR(V196="",U196=""),"",V196+U196)</f>
        <v/>
      </c>
      <c r="X196" s="37" t="n"/>
      <c r="Y196" s="36" t="n"/>
      <c r="Z196" s="37" t="n"/>
    </row>
    <row r="197">
      <c r="A197" s="35">
        <f>IF(E197="","",ROW()-5)</f>
        <v/>
      </c>
      <c r="B197" s="36" t="n"/>
      <c r="C197" s="36" t="n"/>
      <c r="D197" s="36" t="n"/>
      <c r="E197" s="37" t="n"/>
      <c r="F197" s="37" t="n"/>
      <c r="G197" s="37" t="n"/>
      <c r="H197" s="37" t="n"/>
      <c r="I197" s="37" t="n"/>
      <c r="J197" s="36" t="n"/>
      <c r="K197" s="36" t="n"/>
      <c r="L197" s="36" t="n"/>
      <c r="M197" s="36" t="n"/>
      <c r="N197" s="38" t="n"/>
      <c r="O197" s="39">
        <f>IF(OR(N197="",J197=""),"",N197*J197)</f>
        <v/>
      </c>
      <c r="P197" s="40" t="n"/>
      <c r="Q197" s="41">
        <f>IF(OR(P197="",Y197="발주완료",Y197="취소"),"",TODAY()+P197)</f>
        <v/>
      </c>
      <c r="R197" s="35">
        <f>IF(OR(Q197="",NOT(ISNUMBER($J$2))),"",IF(Q197&lt;=$J$2,"가능","초과 "&amp;(Q197-$J$2)&amp;"일"))</f>
        <v/>
      </c>
      <c r="S197" s="36" t="n"/>
      <c r="T197" s="36" t="n"/>
      <c r="U197" s="36" t="n"/>
      <c r="V197" s="43" t="n"/>
      <c r="W197" s="41">
        <f>IF(OR(V197="",U197=""),"",V197+U197)</f>
        <v/>
      </c>
      <c r="X197" s="37" t="n"/>
      <c r="Y197" s="36" t="n"/>
      <c r="Z197" s="37" t="n"/>
    </row>
    <row r="198">
      <c r="A198" s="35">
        <f>IF(E198="","",ROW()-5)</f>
        <v/>
      </c>
      <c r="B198" s="36" t="n"/>
      <c r="C198" s="36" t="n"/>
      <c r="D198" s="36" t="n"/>
      <c r="E198" s="37" t="n"/>
      <c r="F198" s="37" t="n"/>
      <c r="G198" s="37" t="n"/>
      <c r="H198" s="37" t="n"/>
      <c r="I198" s="37" t="n"/>
      <c r="J198" s="36" t="n"/>
      <c r="K198" s="36" t="n"/>
      <c r="L198" s="36" t="n"/>
      <c r="M198" s="36" t="n"/>
      <c r="N198" s="38" t="n"/>
      <c r="O198" s="39">
        <f>IF(OR(N198="",J198=""),"",N198*J198)</f>
        <v/>
      </c>
      <c r="P198" s="40" t="n"/>
      <c r="Q198" s="41">
        <f>IF(OR(P198="",Y198="발주완료",Y198="취소"),"",TODAY()+P198)</f>
        <v/>
      </c>
      <c r="R198" s="35">
        <f>IF(OR(Q198="",NOT(ISNUMBER($J$2))),"",IF(Q198&lt;=$J$2,"가능","초과 "&amp;(Q198-$J$2)&amp;"일"))</f>
        <v/>
      </c>
      <c r="S198" s="36" t="n"/>
      <c r="T198" s="36" t="n"/>
      <c r="U198" s="36" t="n"/>
      <c r="V198" s="43" t="n"/>
      <c r="W198" s="41">
        <f>IF(OR(V198="",U198=""),"",V198+U198)</f>
        <v/>
      </c>
      <c r="X198" s="37" t="n"/>
      <c r="Y198" s="36" t="n"/>
      <c r="Z198" s="37" t="n"/>
    </row>
    <row r="199">
      <c r="A199" s="35">
        <f>IF(E199="","",ROW()-5)</f>
        <v/>
      </c>
      <c r="B199" s="36" t="n"/>
      <c r="C199" s="36" t="n"/>
      <c r="D199" s="36" t="n"/>
      <c r="E199" s="37" t="n"/>
      <c r="F199" s="37" t="n"/>
      <c r="G199" s="37" t="n"/>
      <c r="H199" s="37" t="n"/>
      <c r="I199" s="37" t="n"/>
      <c r="J199" s="36" t="n"/>
      <c r="K199" s="36" t="n"/>
      <c r="L199" s="36" t="n"/>
      <c r="M199" s="36" t="n"/>
      <c r="N199" s="38" t="n"/>
      <c r="O199" s="39">
        <f>IF(OR(N199="",J199=""),"",N199*J199)</f>
        <v/>
      </c>
      <c r="P199" s="40" t="n"/>
      <c r="Q199" s="41">
        <f>IF(OR(P199="",Y199="발주완료",Y199="취소"),"",TODAY()+P199)</f>
        <v/>
      </c>
      <c r="R199" s="35">
        <f>IF(OR(Q199="",NOT(ISNUMBER($J$2))),"",IF(Q199&lt;=$J$2,"가능","초과 "&amp;(Q199-$J$2)&amp;"일"))</f>
        <v/>
      </c>
      <c r="S199" s="36" t="n"/>
      <c r="T199" s="36" t="n"/>
      <c r="U199" s="36" t="n"/>
      <c r="V199" s="43" t="n"/>
      <c r="W199" s="41">
        <f>IF(OR(V199="",U199=""),"",V199+U199)</f>
        <v/>
      </c>
      <c r="X199" s="37" t="n"/>
      <c r="Y199" s="36" t="n"/>
      <c r="Z199" s="37" t="n"/>
    </row>
    <row r="200">
      <c r="A200" s="35">
        <f>IF(E200="","",ROW()-5)</f>
        <v/>
      </c>
      <c r="B200" s="36" t="n"/>
      <c r="C200" s="36" t="n"/>
      <c r="D200" s="36" t="n"/>
      <c r="E200" s="37" t="n"/>
      <c r="F200" s="37" t="n"/>
      <c r="G200" s="37" t="n"/>
      <c r="H200" s="37" t="n"/>
      <c r="I200" s="37" t="n"/>
      <c r="J200" s="36" t="n"/>
      <c r="K200" s="36" t="n"/>
      <c r="L200" s="36" t="n"/>
      <c r="M200" s="36" t="n"/>
      <c r="N200" s="38" t="n"/>
      <c r="O200" s="39">
        <f>IF(OR(N200="",J200=""),"",N200*J200)</f>
        <v/>
      </c>
      <c r="P200" s="40" t="n"/>
      <c r="Q200" s="41">
        <f>IF(OR(P200="",Y200="발주완료",Y200="취소"),"",TODAY()+P200)</f>
        <v/>
      </c>
      <c r="R200" s="35">
        <f>IF(OR(Q200="",NOT(ISNUMBER($J$2))),"",IF(Q200&lt;=$J$2,"가능","초과 "&amp;(Q200-$J$2)&amp;"일"))</f>
        <v/>
      </c>
      <c r="S200" s="36" t="n"/>
      <c r="T200" s="36" t="n"/>
      <c r="U200" s="36" t="n"/>
      <c r="V200" s="43" t="n"/>
      <c r="W200" s="41">
        <f>IF(OR(V200="",U200=""),"",V200+U200)</f>
        <v/>
      </c>
      <c r="X200" s="37" t="n"/>
      <c r="Y200" s="36" t="n"/>
      <c r="Z200" s="37" t="n"/>
    </row>
    <row r="201">
      <c r="A201" s="35">
        <f>IF(E201="","",ROW()-5)</f>
        <v/>
      </c>
      <c r="B201" s="36" t="n"/>
      <c r="C201" s="36" t="n"/>
      <c r="D201" s="36" t="n"/>
      <c r="E201" s="37" t="n"/>
      <c r="F201" s="37" t="n"/>
      <c r="G201" s="37" t="n"/>
      <c r="H201" s="37" t="n"/>
      <c r="I201" s="37" t="n"/>
      <c r="J201" s="36" t="n"/>
      <c r="K201" s="36" t="n"/>
      <c r="L201" s="36" t="n"/>
      <c r="M201" s="36" t="n"/>
      <c r="N201" s="38" t="n"/>
      <c r="O201" s="39">
        <f>IF(OR(N201="",J201=""),"",N201*J201)</f>
        <v/>
      </c>
      <c r="P201" s="40" t="n"/>
      <c r="Q201" s="41">
        <f>IF(OR(P201="",Y201="발주완료",Y201="취소"),"",TODAY()+P201)</f>
        <v/>
      </c>
      <c r="R201" s="35">
        <f>IF(OR(Q201="",NOT(ISNUMBER($J$2))),"",IF(Q201&lt;=$J$2,"가능","초과 "&amp;(Q201-$J$2)&amp;"일"))</f>
        <v/>
      </c>
      <c r="S201" s="36" t="n"/>
      <c r="T201" s="36" t="n"/>
      <c r="U201" s="36" t="n"/>
      <c r="V201" s="43" t="n"/>
      <c r="W201" s="41">
        <f>IF(OR(V201="",U201=""),"",V201+U201)</f>
        <v/>
      </c>
      <c r="X201" s="37" t="n"/>
      <c r="Y201" s="36" t="n"/>
      <c r="Z201" s="37" t="n"/>
    </row>
    <row r="202">
      <c r="A202" s="35">
        <f>IF(E202="","",ROW()-5)</f>
        <v/>
      </c>
      <c r="B202" s="36" t="n"/>
      <c r="C202" s="36" t="n"/>
      <c r="D202" s="36" t="n"/>
      <c r="E202" s="37" t="n"/>
      <c r="F202" s="37" t="n"/>
      <c r="G202" s="37" t="n"/>
      <c r="H202" s="37" t="n"/>
      <c r="I202" s="37" t="n"/>
      <c r="J202" s="36" t="n"/>
      <c r="K202" s="36" t="n"/>
      <c r="L202" s="36" t="n"/>
      <c r="M202" s="36" t="n"/>
      <c r="N202" s="38" t="n"/>
      <c r="O202" s="39">
        <f>IF(OR(N202="",J202=""),"",N202*J202)</f>
        <v/>
      </c>
      <c r="P202" s="40" t="n"/>
      <c r="Q202" s="41">
        <f>IF(OR(P202="",Y202="발주완료",Y202="취소"),"",TODAY()+P202)</f>
        <v/>
      </c>
      <c r="R202" s="35">
        <f>IF(OR(Q202="",NOT(ISNUMBER($J$2))),"",IF(Q202&lt;=$J$2,"가능","초과 "&amp;(Q202-$J$2)&amp;"일"))</f>
        <v/>
      </c>
      <c r="S202" s="36" t="n"/>
      <c r="T202" s="36" t="n"/>
      <c r="U202" s="36" t="n"/>
      <c r="V202" s="43" t="n"/>
      <c r="W202" s="41">
        <f>IF(OR(V202="",U202=""),"",V202+U202)</f>
        <v/>
      </c>
      <c r="X202" s="37" t="n"/>
      <c r="Y202" s="36" t="n"/>
      <c r="Z202" s="37" t="n"/>
    </row>
    <row r="203">
      <c r="A203" s="35">
        <f>IF(E203="","",ROW()-5)</f>
        <v/>
      </c>
      <c r="B203" s="36" t="n"/>
      <c r="C203" s="36" t="n"/>
      <c r="D203" s="36" t="n"/>
      <c r="E203" s="37" t="n"/>
      <c r="F203" s="37" t="n"/>
      <c r="G203" s="37" t="n"/>
      <c r="H203" s="37" t="n"/>
      <c r="I203" s="37" t="n"/>
      <c r="J203" s="36" t="n"/>
      <c r="K203" s="36" t="n"/>
      <c r="L203" s="36" t="n"/>
      <c r="M203" s="36" t="n"/>
      <c r="N203" s="38" t="n"/>
      <c r="O203" s="39">
        <f>IF(OR(N203="",J203=""),"",N203*J203)</f>
        <v/>
      </c>
      <c r="P203" s="40" t="n"/>
      <c r="Q203" s="41">
        <f>IF(OR(P203="",Y203="발주완료",Y203="취소"),"",TODAY()+P203)</f>
        <v/>
      </c>
      <c r="R203" s="35">
        <f>IF(OR(Q203="",NOT(ISNUMBER($J$2))),"",IF(Q203&lt;=$J$2,"가능","초과 "&amp;(Q203-$J$2)&amp;"일"))</f>
        <v/>
      </c>
      <c r="S203" s="36" t="n"/>
      <c r="T203" s="36" t="n"/>
      <c r="U203" s="36" t="n"/>
      <c r="V203" s="43" t="n"/>
      <c r="W203" s="41">
        <f>IF(OR(V203="",U203=""),"",V203+U203)</f>
        <v/>
      </c>
      <c r="X203" s="37" t="n"/>
      <c r="Y203" s="36" t="n"/>
      <c r="Z203" s="37" t="n"/>
    </row>
    <row r="204">
      <c r="A204" s="35">
        <f>IF(E204="","",ROW()-5)</f>
        <v/>
      </c>
      <c r="B204" s="36" t="n"/>
      <c r="C204" s="36" t="n"/>
      <c r="D204" s="36" t="n"/>
      <c r="E204" s="37" t="n"/>
      <c r="F204" s="37" t="n"/>
      <c r="G204" s="37" t="n"/>
      <c r="H204" s="37" t="n"/>
      <c r="I204" s="37" t="n"/>
      <c r="J204" s="36" t="n"/>
      <c r="K204" s="36" t="n"/>
      <c r="L204" s="36" t="n"/>
      <c r="M204" s="36" t="n"/>
      <c r="N204" s="38" t="n"/>
      <c r="O204" s="39">
        <f>IF(OR(N204="",J204=""),"",N204*J204)</f>
        <v/>
      </c>
      <c r="P204" s="40" t="n"/>
      <c r="Q204" s="41">
        <f>IF(OR(P204="",Y204="발주완료",Y204="취소"),"",TODAY()+P204)</f>
        <v/>
      </c>
      <c r="R204" s="35">
        <f>IF(OR(Q204="",NOT(ISNUMBER($J$2))),"",IF(Q204&lt;=$J$2,"가능","초과 "&amp;(Q204-$J$2)&amp;"일"))</f>
        <v/>
      </c>
      <c r="S204" s="36" t="n"/>
      <c r="T204" s="36" t="n"/>
      <c r="U204" s="36" t="n"/>
      <c r="V204" s="43" t="n"/>
      <c r="W204" s="41">
        <f>IF(OR(V204="",U204=""),"",V204+U204)</f>
        <v/>
      </c>
      <c r="X204" s="37" t="n"/>
      <c r="Y204" s="36" t="n"/>
      <c r="Z204" s="37" t="n"/>
    </row>
    <row r="205">
      <c r="A205" s="35">
        <f>IF(E205="","",ROW()-5)</f>
        <v/>
      </c>
      <c r="B205" s="36" t="n"/>
      <c r="C205" s="36" t="n"/>
      <c r="D205" s="36" t="n"/>
      <c r="E205" s="37" t="n"/>
      <c r="F205" s="37" t="n"/>
      <c r="G205" s="37" t="n"/>
      <c r="H205" s="37" t="n"/>
      <c r="I205" s="37" t="n"/>
      <c r="J205" s="36" t="n"/>
      <c r="K205" s="36" t="n"/>
      <c r="L205" s="36" t="n"/>
      <c r="M205" s="36" t="n"/>
      <c r="N205" s="38" t="n"/>
      <c r="O205" s="39">
        <f>IF(OR(N205="",J205=""),"",N205*J205)</f>
        <v/>
      </c>
      <c r="P205" s="40" t="n"/>
      <c r="Q205" s="41">
        <f>IF(OR(P205="",Y205="발주완료",Y205="취소"),"",TODAY()+P205)</f>
        <v/>
      </c>
      <c r="R205" s="35">
        <f>IF(OR(Q205="",NOT(ISNUMBER($J$2))),"",IF(Q205&lt;=$J$2,"가능","초과 "&amp;(Q205-$J$2)&amp;"일"))</f>
        <v/>
      </c>
      <c r="S205" s="36" t="n"/>
      <c r="T205" s="36" t="n"/>
      <c r="U205" s="36" t="n"/>
      <c r="V205" s="43" t="n"/>
      <c r="W205" s="41">
        <f>IF(OR(V205="",U205=""),"",V205+U205)</f>
        <v/>
      </c>
      <c r="X205" s="37" t="n"/>
      <c r="Y205" s="36" t="n"/>
      <c r="Z205" s="37" t="n"/>
    </row>
  </sheetData>
  <autoFilter ref="A5:Z205"/>
  <mergeCells count="5">
    <mergeCell ref="A2:E2"/>
    <mergeCell ref="G2:H2"/>
    <mergeCell ref="J2:K2"/>
    <mergeCell ref="M3:N3"/>
    <mergeCell ref="K3:L3"/>
  </mergeCells>
  <conditionalFormatting sqref="A2">
    <cfRule type="expression" priority="1" dxfId="0">
      <formula>AND(ISNUMBER($F$2),$F$2&gt;=0,$F$2&lt;=4)</formula>
    </cfRule>
    <cfRule type="expression" priority="2" dxfId="1">
      <formula>AND(ISNUMBER($F$2),$F$2&gt;4,$F$2&lt;=7)</formula>
    </cfRule>
  </conditionalFormatting>
  <conditionalFormatting sqref="F2">
    <cfRule type="expression" priority="3" dxfId="0">
      <formula>AND(ISNUMBER($F$2),$F$2&gt;=0,$F$2&lt;=4)</formula>
    </cfRule>
    <cfRule type="expression" priority="4" dxfId="1">
      <formula>AND(ISNUMBER($F$2),$F$2&gt;4,$F$2&lt;=7)</formula>
    </cfRule>
  </conditionalFormatting>
  <conditionalFormatting sqref="G2">
    <cfRule type="expression" priority="5" dxfId="0">
      <formula>AND(ISNUMBER($F$2),$F$2&gt;=0,$F$2&lt;=4)</formula>
    </cfRule>
    <cfRule type="expression" priority="6" dxfId="1">
      <formula>AND(ISNUMBER($F$2),$F$2&gt;4,$F$2&lt;=7)</formula>
    </cfRule>
  </conditionalFormatting>
  <conditionalFormatting sqref="M6:M205">
    <cfRule type="cellIs" priority="7" operator="equal" dxfId="7">
      <formula>"견적접수"</formula>
    </cfRule>
    <cfRule type="cellIs" priority="8" operator="equal" dxfId="8">
      <formula>"확인필요"</formula>
    </cfRule>
    <cfRule type="cellIs" priority="9" operator="equal" dxfId="9">
      <formula>"공급불가"</formula>
    </cfRule>
    <cfRule type="cellIs" priority="10" operator="equal" dxfId="10">
      <formula>"미접수"</formula>
    </cfRule>
  </conditionalFormatting>
  <conditionalFormatting sqref="A6:Z205">
    <cfRule type="expression" priority="11" dxfId="11">
      <formula>OR($Y6="발주완료",$Y6="취소")</formula>
    </cfRule>
  </conditionalFormatting>
  <conditionalFormatting sqref="W6:W205">
    <cfRule type="expression" priority="12" dxfId="0">
      <formula>AND($W6&lt;&gt;"",$W6&lt;TODAY())</formula>
    </cfRule>
    <cfRule type="expression" priority="13" dxfId="8">
      <formula>AND($W6&lt;&gt;"",$W6-TODAY()&lt;=5)</formula>
    </cfRule>
  </conditionalFormatting>
  <conditionalFormatting sqref="R6:R205">
    <cfRule type="expression" priority="14" dxfId="9">
      <formula>LEFT($R6,2)="초과"</formula>
    </cfRule>
    <cfRule type="cellIs" priority="15" operator="equal" dxfId="7">
      <formula>"가능"</formula>
    </cfRule>
  </conditionalFormatting>
  <dataValidations count="3">
    <dataValidation sqref="M6:M205" showDropDown="0" showInputMessage="0" showErrorMessage="0" allowBlank="1" errorTitle="입력 확인" error="목록에서 선택하세요" type="list">
      <formula1>=설정!$A$5:$A$14</formula1>
    </dataValidation>
    <dataValidation sqref="Y6:Y205" showDropDown="0" showInputMessage="0" showErrorMessage="0" allowBlank="1" errorTitle="입력 확인" error="목록에서 선택하세요 ('설정' 시트에서 추가 가능)" type="list">
      <formula1>=설정!$C$5:$C$16</formula1>
    </dataValidation>
    <dataValidation sqref="L6:L205" showDropDown="0" showInputMessage="0" showErrorMessage="0" allowBlank="1" errorTitle="입력 확인" error="업체는 '설정' 시트에 먼저 추가하세요" type="list">
      <formula1>=설정!$E$5:$E$24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12" customWidth="1" min="4" max="4"/>
    <col width="11" customWidth="1" min="5" max="5"/>
    <col width="34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14" customWidth="1" min="12" max="12"/>
    <col width="24" customWidth="1" min="13" max="13"/>
  </cols>
  <sheetData>
    <row r="1">
      <c r="A1" s="1" t="inlineStr">
        <is>
          <t>RFQ 목록 (발송한 견적요청서)</t>
        </is>
      </c>
    </row>
    <row r="2">
      <c r="A2" s="2" t="inlineStr">
        <is>
          <t>RFQ별로 몇 품목이 견적 들어왔는지 선박 시트에서 자동 집계 · 새 RFQ는 빈 줄에 추가</t>
        </is>
      </c>
    </row>
    <row r="4" ht="32" customHeight="1">
      <c r="A4" s="4" t="inlineStr">
        <is>
          <t>파일</t>
        </is>
      </c>
      <c r="B4" s="4" t="inlineStr">
        <is>
          <t>RFQ No.</t>
        </is>
      </c>
      <c r="C4" s="4" t="inlineStr">
        <is>
          <t>Maker</t>
        </is>
      </c>
      <c r="D4" s="4" t="inlineStr">
        <is>
          <t>Category</t>
        </is>
      </c>
      <c r="E4" s="4" t="inlineStr">
        <is>
          <t>RFQ일</t>
        </is>
      </c>
      <c r="F4" s="4" t="inlineStr">
        <is>
          <t>대상 선박</t>
        </is>
      </c>
      <c r="G4" s="4" t="inlineStr">
        <is>
          <t>품목수</t>
        </is>
      </c>
      <c r="H4" s="18" t="inlineStr">
        <is>
          <t>견적접수</t>
        </is>
      </c>
      <c r="I4" s="18" t="inlineStr">
        <is>
          <t>확인필요</t>
        </is>
      </c>
      <c r="J4" s="18" t="inlineStr">
        <is>
          <t>공급불가</t>
        </is>
      </c>
      <c r="K4" s="18" t="inlineStr">
        <is>
          <t>미접수/
미입력</t>
        </is>
      </c>
      <c r="L4" s="18" t="inlineStr">
        <is>
          <t>견적금액
(KRW)</t>
        </is>
      </c>
      <c r="M4" s="4" t="inlineStr">
        <is>
          <t>비고</t>
        </is>
      </c>
    </row>
    <row r="5">
      <c r="A5" s="36" t="inlineStr">
        <is>
          <t>01</t>
        </is>
      </c>
      <c r="B5" s="36" t="inlineStr">
        <is>
          <t>KQU-000116304</t>
        </is>
      </c>
      <c r="C5" s="37" t="inlineStr">
        <is>
          <t>NORGREN (EGR air filters &amp; service kits)</t>
        </is>
      </c>
      <c r="D5" s="36" t="inlineStr">
        <is>
          <t>Main Engine</t>
        </is>
      </c>
      <c r="E5" s="43" t="n">
        <v>46314</v>
      </c>
      <c r="F5" s="37" t="inlineStr">
        <is>
          <t>AEOLUS / MELICERTES / NELEUS / ONEIROI</t>
        </is>
      </c>
      <c r="G5" s="36" t="n">
        <v>6</v>
      </c>
      <c r="H5" s="45">
        <f>IF($B5="","",COUNTIFS('AEOLUS'!$B$6:$B$205,$B5,'AEOLUS'!$M$6:$M$205,"견적접수")+COUNTIFS('MELICERTES'!$B$6:$B$205,$B5,'MELICERTES'!$M$6:$M$205,"견적접수")+COUNTIFS('NELEUS'!$B$6:$B$205,$B5,'NELEUS'!$M$6:$M$205,"견적접수")+COUNTIFS('ONEIROI'!$B$6:$B$205,$B5,'ONEIROI'!$M$6:$M$205,"견적접수"))</f>
        <v/>
      </c>
      <c r="I5" s="45">
        <f>IF($B5="","",COUNTIFS('AEOLUS'!$B$6:$B$205,$B5,'AEOLUS'!$M$6:$M$205,"확인필요")+COUNTIFS('MELICERTES'!$B$6:$B$205,$B5,'MELICERTES'!$M$6:$M$205,"확인필요")+COUNTIFS('NELEUS'!$B$6:$B$205,$B5,'NELEUS'!$M$6:$M$205,"확인필요")+COUNTIFS('ONEIROI'!$B$6:$B$205,$B5,'ONEIROI'!$M$6:$M$205,"확인필요"))</f>
        <v/>
      </c>
      <c r="J5" s="45">
        <f>IF($B5="","",COUNTIFS('AEOLUS'!$B$6:$B$205,$B5,'AEOLUS'!$M$6:$M$205,"공급불가")+COUNTIFS('MELICERTES'!$B$6:$B$205,$B5,'MELICERTES'!$M$6:$M$205,"공급불가")+COUNTIFS('NELEUS'!$B$6:$B$205,$B5,'NELEUS'!$M$6:$M$205,"공급불가")+COUNTIFS('ONEIROI'!$B$6:$B$205,$B5,'ONEIROI'!$M$6:$M$205,"공급불가"))</f>
        <v/>
      </c>
      <c r="K5" s="45">
        <f>IF(OR($B5="",G5=""),"",G5-H5-I5-J5)</f>
        <v/>
      </c>
      <c r="L5" s="39">
        <f>IF($B5="","",SUMIFS('AEOLUS'!$O$6:$O$205,'AEOLUS'!$B$6:$B$205,$B5)+SUMIFS('MELICERTES'!$O$6:$O$205,'MELICERTES'!$B$6:$B$205,$B5)+SUMIFS('NELEUS'!$O$6:$O$205,'NELEUS'!$B$6:$B$205,$B5)+SUMIFS('ONEIROI'!$O$6:$O$205,'ONEIROI'!$B$6:$B$205,$B5))</f>
        <v/>
      </c>
      <c r="M5" s="37" t="inlineStr">
        <is>
          <t>RMS 회신</t>
        </is>
      </c>
    </row>
    <row r="6">
      <c r="A6" s="36" t="inlineStr">
        <is>
          <t>03</t>
        </is>
      </c>
      <c r="B6" s="36" t="inlineStr">
        <is>
          <t>KQU-000116305</t>
        </is>
      </c>
      <c r="C6" s="37" t="inlineStr">
        <is>
          <t>DANFOSS (pressure transmitters)</t>
        </is>
      </c>
      <c r="D6" s="36" t="inlineStr">
        <is>
          <t>Main Engine</t>
        </is>
      </c>
      <c r="E6" s="43" t="n">
        <v>46314</v>
      </c>
      <c r="F6" s="37" t="inlineStr">
        <is>
          <t>MELICERTES / NELEUS</t>
        </is>
      </c>
      <c r="G6" s="36" t="n">
        <v>5</v>
      </c>
      <c r="H6" s="45">
        <f>IF($B6="","",COUNTIFS('AEOLUS'!$B$6:$B$205,$B6,'AEOLUS'!$M$6:$M$205,"견적접수")+COUNTIFS('MELICERTES'!$B$6:$B$205,$B6,'MELICERTES'!$M$6:$M$205,"견적접수")+COUNTIFS('NELEUS'!$B$6:$B$205,$B6,'NELEUS'!$M$6:$M$205,"견적접수")+COUNTIFS('ONEIROI'!$B$6:$B$205,$B6,'ONEIROI'!$M$6:$M$205,"견적접수"))</f>
        <v/>
      </c>
      <c r="I6" s="45">
        <f>IF($B6="","",COUNTIFS('AEOLUS'!$B$6:$B$205,$B6,'AEOLUS'!$M$6:$M$205,"확인필요")+COUNTIFS('MELICERTES'!$B$6:$B$205,$B6,'MELICERTES'!$M$6:$M$205,"확인필요")+COUNTIFS('NELEUS'!$B$6:$B$205,$B6,'NELEUS'!$M$6:$M$205,"확인필요")+COUNTIFS('ONEIROI'!$B$6:$B$205,$B6,'ONEIROI'!$M$6:$M$205,"확인필요"))</f>
        <v/>
      </c>
      <c r="J6" s="45">
        <f>IF($B6="","",COUNTIFS('AEOLUS'!$B$6:$B$205,$B6,'AEOLUS'!$M$6:$M$205,"공급불가")+COUNTIFS('MELICERTES'!$B$6:$B$205,$B6,'MELICERTES'!$M$6:$M$205,"공급불가")+COUNTIFS('NELEUS'!$B$6:$B$205,$B6,'NELEUS'!$M$6:$M$205,"공급불가")+COUNTIFS('ONEIROI'!$B$6:$B$205,$B6,'ONEIROI'!$M$6:$M$205,"공급불가"))</f>
        <v/>
      </c>
      <c r="K6" s="45">
        <f>IF(OR($B6="",G6=""),"",G6-H6-I6-J6)</f>
        <v/>
      </c>
      <c r="L6" s="39">
        <f>IF($B6="","",SUMIFS('AEOLUS'!$O$6:$O$205,'AEOLUS'!$B$6:$B$205,$B6)+SUMIFS('MELICERTES'!$O$6:$O$205,'MELICERTES'!$B$6:$B$205,$B6)+SUMIFS('NELEUS'!$O$6:$O$205,'NELEUS'!$B$6:$B$205,$B6)+SUMIFS('ONEIROI'!$O$6:$O$205,'ONEIROI'!$B$6:$B$205,$B6))</f>
        <v/>
      </c>
      <c r="M6" s="37" t="inlineStr">
        <is>
          <t>RMS 회신</t>
        </is>
      </c>
    </row>
    <row r="7">
      <c r="A7" s="36" t="inlineStr">
        <is>
          <t>04</t>
        </is>
      </c>
      <c r="B7" s="36" t="inlineStr">
        <is>
          <t>KQU-000116306</t>
        </is>
      </c>
      <c r="C7" s="37" t="inlineStr">
        <is>
          <t>WAGO</t>
        </is>
      </c>
      <c r="D7" s="36" t="inlineStr">
        <is>
          <t>Main Engine</t>
        </is>
      </c>
      <c r="E7" s="43" t="n">
        <v>46314</v>
      </c>
      <c r="F7" s="37" t="inlineStr">
        <is>
          <t>AEOLUS / MELICERTES</t>
        </is>
      </c>
      <c r="G7" s="36" t="n">
        <v>2</v>
      </c>
      <c r="H7" s="45">
        <f>IF($B7="","",COUNTIFS('AEOLUS'!$B$6:$B$205,$B7,'AEOLUS'!$M$6:$M$205,"견적접수")+COUNTIFS('MELICERTES'!$B$6:$B$205,$B7,'MELICERTES'!$M$6:$M$205,"견적접수")+COUNTIFS('NELEUS'!$B$6:$B$205,$B7,'NELEUS'!$M$6:$M$205,"견적접수")+COUNTIFS('ONEIROI'!$B$6:$B$205,$B7,'ONEIROI'!$M$6:$M$205,"견적접수"))</f>
        <v/>
      </c>
      <c r="I7" s="45">
        <f>IF($B7="","",COUNTIFS('AEOLUS'!$B$6:$B$205,$B7,'AEOLUS'!$M$6:$M$205,"확인필요")+COUNTIFS('MELICERTES'!$B$6:$B$205,$B7,'MELICERTES'!$M$6:$M$205,"확인필요")+COUNTIFS('NELEUS'!$B$6:$B$205,$B7,'NELEUS'!$M$6:$M$205,"확인필요")+COUNTIFS('ONEIROI'!$B$6:$B$205,$B7,'ONEIROI'!$M$6:$M$205,"확인필요"))</f>
        <v/>
      </c>
      <c r="J7" s="45">
        <f>IF($B7="","",COUNTIFS('AEOLUS'!$B$6:$B$205,$B7,'AEOLUS'!$M$6:$M$205,"공급불가")+COUNTIFS('MELICERTES'!$B$6:$B$205,$B7,'MELICERTES'!$M$6:$M$205,"공급불가")+COUNTIFS('NELEUS'!$B$6:$B$205,$B7,'NELEUS'!$M$6:$M$205,"공급불가")+COUNTIFS('ONEIROI'!$B$6:$B$205,$B7,'ONEIROI'!$M$6:$M$205,"공급불가"))</f>
        <v/>
      </c>
      <c r="K7" s="45">
        <f>IF(OR($B7="",G7=""),"",G7-H7-I7-J7)</f>
        <v/>
      </c>
      <c r="L7" s="39">
        <f>IF($B7="","",SUMIFS('AEOLUS'!$O$6:$O$205,'AEOLUS'!$B$6:$B$205,$B7)+SUMIFS('MELICERTES'!$O$6:$O$205,'MELICERTES'!$B$6:$B$205,$B7)+SUMIFS('NELEUS'!$O$6:$O$205,'NELEUS'!$B$6:$B$205,$B7)+SUMIFS('ONEIROI'!$O$6:$O$205,'ONEIROI'!$B$6:$B$205,$B7))</f>
        <v/>
      </c>
      <c r="M7" s="37" t="inlineStr">
        <is>
          <t>RMS 회신</t>
        </is>
      </c>
    </row>
    <row r="8">
      <c r="A8" s="36" t="inlineStr">
        <is>
          <t>07</t>
        </is>
      </c>
      <c r="B8" s="36" t="inlineStr">
        <is>
          <t>KQU-000116308</t>
        </is>
      </c>
      <c r="C8" s="37" t="inlineStr">
        <is>
          <t>VEGA (VEGABAR 83)</t>
        </is>
      </c>
      <c r="D8" s="36" t="inlineStr">
        <is>
          <t>Main Engine</t>
        </is>
      </c>
      <c r="E8" s="43" t="n">
        <v>46314</v>
      </c>
      <c r="F8" s="37" t="inlineStr">
        <is>
          <t>MELICERTES</t>
        </is>
      </c>
      <c r="G8" s="36" t="n">
        <v>2</v>
      </c>
      <c r="H8" s="45">
        <f>IF($B8="","",COUNTIFS('AEOLUS'!$B$6:$B$205,$B8,'AEOLUS'!$M$6:$M$205,"견적접수")+COUNTIFS('MELICERTES'!$B$6:$B$205,$B8,'MELICERTES'!$M$6:$M$205,"견적접수")+COUNTIFS('NELEUS'!$B$6:$B$205,$B8,'NELEUS'!$M$6:$M$205,"견적접수")+COUNTIFS('ONEIROI'!$B$6:$B$205,$B8,'ONEIROI'!$M$6:$M$205,"견적접수"))</f>
        <v/>
      </c>
      <c r="I8" s="45">
        <f>IF($B8="","",COUNTIFS('AEOLUS'!$B$6:$B$205,$B8,'AEOLUS'!$M$6:$M$205,"확인필요")+COUNTIFS('MELICERTES'!$B$6:$B$205,$B8,'MELICERTES'!$M$6:$M$205,"확인필요")+COUNTIFS('NELEUS'!$B$6:$B$205,$B8,'NELEUS'!$M$6:$M$205,"확인필요")+COUNTIFS('ONEIROI'!$B$6:$B$205,$B8,'ONEIROI'!$M$6:$M$205,"확인필요"))</f>
        <v/>
      </c>
      <c r="J8" s="45">
        <f>IF($B8="","",COUNTIFS('AEOLUS'!$B$6:$B$205,$B8,'AEOLUS'!$M$6:$M$205,"공급불가")+COUNTIFS('MELICERTES'!$B$6:$B$205,$B8,'MELICERTES'!$M$6:$M$205,"공급불가")+COUNTIFS('NELEUS'!$B$6:$B$205,$B8,'NELEUS'!$M$6:$M$205,"공급불가")+COUNTIFS('ONEIROI'!$B$6:$B$205,$B8,'ONEIROI'!$M$6:$M$205,"공급불가"))</f>
        <v/>
      </c>
      <c r="K8" s="45">
        <f>IF(OR($B8="",G8=""),"",G8-H8-I8-J8)</f>
        <v/>
      </c>
      <c r="L8" s="39">
        <f>IF($B8="","",SUMIFS('AEOLUS'!$O$6:$O$205,'AEOLUS'!$B$6:$B$205,$B8)+SUMIFS('MELICERTES'!$O$6:$O$205,'MELICERTES'!$B$6:$B$205,$B8)+SUMIFS('NELEUS'!$O$6:$O$205,'NELEUS'!$B$6:$B$205,$B8)+SUMIFS('ONEIROI'!$O$6:$O$205,'ONEIROI'!$B$6:$B$205,$B8))</f>
        <v/>
      </c>
      <c r="M8" s="37" t="inlineStr">
        <is>
          <t>RMS 회신</t>
        </is>
      </c>
    </row>
    <row r="9">
      <c r="A9" s="36" t="inlineStr">
        <is>
          <t>08</t>
        </is>
      </c>
      <c r="B9" s="36" t="inlineStr">
        <is>
          <t>KQU-000116309</t>
        </is>
      </c>
      <c r="C9" s="37" t="inlineStr">
        <is>
          <t>SIEMENS (SIPART PS2 I/P converter)</t>
        </is>
      </c>
      <c r="D9" s="36" t="inlineStr">
        <is>
          <t>Main Engine</t>
        </is>
      </c>
      <c r="E9" s="43" t="n">
        <v>46314</v>
      </c>
      <c r="F9" s="37" t="inlineStr">
        <is>
          <t>MELICERTES</t>
        </is>
      </c>
      <c r="G9" s="36" t="n">
        <v>1</v>
      </c>
      <c r="H9" s="45">
        <f>IF($B9="","",COUNTIFS('AEOLUS'!$B$6:$B$205,$B9,'AEOLUS'!$M$6:$M$205,"견적접수")+COUNTIFS('MELICERTES'!$B$6:$B$205,$B9,'MELICERTES'!$M$6:$M$205,"견적접수")+COUNTIFS('NELEUS'!$B$6:$B$205,$B9,'NELEUS'!$M$6:$M$205,"견적접수")+COUNTIFS('ONEIROI'!$B$6:$B$205,$B9,'ONEIROI'!$M$6:$M$205,"견적접수"))</f>
        <v/>
      </c>
      <c r="I9" s="45">
        <f>IF($B9="","",COUNTIFS('AEOLUS'!$B$6:$B$205,$B9,'AEOLUS'!$M$6:$M$205,"확인필요")+COUNTIFS('MELICERTES'!$B$6:$B$205,$B9,'MELICERTES'!$M$6:$M$205,"확인필요")+COUNTIFS('NELEUS'!$B$6:$B$205,$B9,'NELEUS'!$M$6:$M$205,"확인필요")+COUNTIFS('ONEIROI'!$B$6:$B$205,$B9,'ONEIROI'!$M$6:$M$205,"확인필요"))</f>
        <v/>
      </c>
      <c r="J9" s="45">
        <f>IF($B9="","",COUNTIFS('AEOLUS'!$B$6:$B$205,$B9,'AEOLUS'!$M$6:$M$205,"공급불가")+COUNTIFS('MELICERTES'!$B$6:$B$205,$B9,'MELICERTES'!$M$6:$M$205,"공급불가")+COUNTIFS('NELEUS'!$B$6:$B$205,$B9,'NELEUS'!$M$6:$M$205,"공급불가")+COUNTIFS('ONEIROI'!$B$6:$B$205,$B9,'ONEIROI'!$M$6:$M$205,"공급불가"))</f>
        <v/>
      </c>
      <c r="K9" s="45">
        <f>IF(OR($B9="",G9=""),"",G9-H9-I9-J9)</f>
        <v/>
      </c>
      <c r="L9" s="39">
        <f>IF($B9="","",SUMIFS('AEOLUS'!$O$6:$O$205,'AEOLUS'!$B$6:$B$205,$B9)+SUMIFS('MELICERTES'!$O$6:$O$205,'MELICERTES'!$B$6:$B$205,$B9)+SUMIFS('NELEUS'!$O$6:$O$205,'NELEUS'!$B$6:$B$205,$B9)+SUMIFS('ONEIROI'!$O$6:$O$205,'ONEIROI'!$B$6:$B$205,$B9))</f>
        <v/>
      </c>
      <c r="M9" s="37" t="inlineStr">
        <is>
          <t>RMS 회신</t>
        </is>
      </c>
    </row>
    <row r="10">
      <c r="A10" s="36" t="inlineStr">
        <is>
          <t>10</t>
        </is>
      </c>
      <c r="B10" s="36" t="inlineStr">
        <is>
          <t>KQU-000116300</t>
        </is>
      </c>
      <c r="C10" s="37" t="inlineStr">
        <is>
          <t>HSME (PMI sensor)</t>
        </is>
      </c>
      <c r="D10" s="36" t="inlineStr">
        <is>
          <t>Main Engine</t>
        </is>
      </c>
      <c r="E10" s="43" t="n">
        <v>46314</v>
      </c>
      <c r="F10" s="37" t="inlineStr">
        <is>
          <t>ONEIROI</t>
        </is>
      </c>
      <c r="G10" s="36" t="n">
        <v>1</v>
      </c>
      <c r="H10" s="45">
        <f>IF($B10="","",COUNTIFS('AEOLUS'!$B$6:$B$205,$B10,'AEOLUS'!$M$6:$M$205,"견적접수")+COUNTIFS('MELICERTES'!$B$6:$B$205,$B10,'MELICERTES'!$M$6:$M$205,"견적접수")+COUNTIFS('NELEUS'!$B$6:$B$205,$B10,'NELEUS'!$M$6:$M$205,"견적접수")+COUNTIFS('ONEIROI'!$B$6:$B$205,$B10,'ONEIROI'!$M$6:$M$205,"견적접수"))</f>
        <v/>
      </c>
      <c r="I10" s="45">
        <f>IF($B10="","",COUNTIFS('AEOLUS'!$B$6:$B$205,$B10,'AEOLUS'!$M$6:$M$205,"확인필요")+COUNTIFS('MELICERTES'!$B$6:$B$205,$B10,'MELICERTES'!$M$6:$M$205,"확인필요")+COUNTIFS('NELEUS'!$B$6:$B$205,$B10,'NELEUS'!$M$6:$M$205,"확인필요")+COUNTIFS('ONEIROI'!$B$6:$B$205,$B10,'ONEIROI'!$M$6:$M$205,"확인필요"))</f>
        <v/>
      </c>
      <c r="J10" s="45">
        <f>IF($B10="","",COUNTIFS('AEOLUS'!$B$6:$B$205,$B10,'AEOLUS'!$M$6:$M$205,"공급불가")+COUNTIFS('MELICERTES'!$B$6:$B$205,$B10,'MELICERTES'!$M$6:$M$205,"공급불가")+COUNTIFS('NELEUS'!$B$6:$B$205,$B10,'NELEUS'!$M$6:$M$205,"공급불가")+COUNTIFS('ONEIROI'!$B$6:$B$205,$B10,'ONEIROI'!$M$6:$M$205,"공급불가"))</f>
        <v/>
      </c>
      <c r="K10" s="45">
        <f>IF(OR($B10="",G10=""),"",G10-H10-I10-J10)</f>
        <v/>
      </c>
      <c r="L10" s="39">
        <f>IF($B10="","",SUMIFS('AEOLUS'!$O$6:$O$205,'AEOLUS'!$B$6:$B$205,$B10)+SUMIFS('MELICERTES'!$O$6:$O$205,'MELICERTES'!$B$6:$B$205,$B10)+SUMIFS('NELEUS'!$O$6:$O$205,'NELEUS'!$B$6:$B$205,$B10)+SUMIFS('ONEIROI'!$O$6:$O$205,'ONEIROI'!$B$6:$B$205,$B10))</f>
        <v/>
      </c>
      <c r="M10" s="37" t="inlineStr">
        <is>
          <t>RMS 회신</t>
        </is>
      </c>
    </row>
    <row r="11">
      <c r="A11" s="36" t="inlineStr">
        <is>
          <t>11</t>
        </is>
      </c>
      <c r="B11" s="36" t="inlineStr">
        <is>
          <t>KQU-000116307</t>
        </is>
      </c>
      <c r="C11" s="37" t="inlineStr">
        <is>
          <t>GRUNDFOS (EGR WTS water supply pump)</t>
        </is>
      </c>
      <c r="D11" s="36" t="inlineStr">
        <is>
          <t>Main Engine</t>
        </is>
      </c>
      <c r="E11" s="43" t="n">
        <v>46314</v>
      </c>
      <c r="F11" s="37" t="inlineStr">
        <is>
          <t>ONEIROI</t>
        </is>
      </c>
      <c r="G11" s="36" t="n">
        <v>2</v>
      </c>
      <c r="H11" s="45">
        <f>IF($B11="","",COUNTIFS('AEOLUS'!$B$6:$B$205,$B11,'AEOLUS'!$M$6:$M$205,"견적접수")+COUNTIFS('MELICERTES'!$B$6:$B$205,$B11,'MELICERTES'!$M$6:$M$205,"견적접수")+COUNTIFS('NELEUS'!$B$6:$B$205,$B11,'NELEUS'!$M$6:$M$205,"견적접수")+COUNTIFS('ONEIROI'!$B$6:$B$205,$B11,'ONEIROI'!$M$6:$M$205,"견적접수"))</f>
        <v/>
      </c>
      <c r="I11" s="45">
        <f>IF($B11="","",COUNTIFS('AEOLUS'!$B$6:$B$205,$B11,'AEOLUS'!$M$6:$M$205,"확인필요")+COUNTIFS('MELICERTES'!$B$6:$B$205,$B11,'MELICERTES'!$M$6:$M$205,"확인필요")+COUNTIFS('NELEUS'!$B$6:$B$205,$B11,'NELEUS'!$M$6:$M$205,"확인필요")+COUNTIFS('ONEIROI'!$B$6:$B$205,$B11,'ONEIROI'!$M$6:$M$205,"확인필요"))</f>
        <v/>
      </c>
      <c r="J11" s="45">
        <f>IF($B11="","",COUNTIFS('AEOLUS'!$B$6:$B$205,$B11,'AEOLUS'!$M$6:$M$205,"공급불가")+COUNTIFS('MELICERTES'!$B$6:$B$205,$B11,'MELICERTES'!$M$6:$M$205,"공급불가")+COUNTIFS('NELEUS'!$B$6:$B$205,$B11,'NELEUS'!$M$6:$M$205,"공급불가")+COUNTIFS('ONEIROI'!$B$6:$B$205,$B11,'ONEIROI'!$M$6:$M$205,"공급불가"))</f>
        <v/>
      </c>
      <c r="K11" s="45">
        <f>IF(OR($B11="",G11=""),"",G11-H11-I11-J11)</f>
        <v/>
      </c>
      <c r="L11" s="39">
        <f>IF($B11="","",SUMIFS('AEOLUS'!$O$6:$O$205,'AEOLUS'!$B$6:$B$205,$B11)+SUMIFS('MELICERTES'!$O$6:$O$205,'MELICERTES'!$B$6:$B$205,$B11)+SUMIFS('NELEUS'!$O$6:$O$205,'NELEUS'!$B$6:$B$205,$B11)+SUMIFS('ONEIROI'!$O$6:$O$205,'ONEIROI'!$B$6:$B$205,$B11))</f>
        <v/>
      </c>
      <c r="M11" s="37" t="inlineStr">
        <is>
          <t>RMS 회신</t>
        </is>
      </c>
    </row>
    <row r="12">
      <c r="A12" s="36" t="inlineStr">
        <is>
          <t>15</t>
        </is>
      </c>
      <c r="B12" s="36" t="inlineStr">
        <is>
          <t>KQU-000116313</t>
        </is>
      </c>
      <c r="C12" s="37" t="inlineStr">
        <is>
          <t>AQUAFILTER (EXCITO-5-B)</t>
        </is>
      </c>
      <c r="D12" s="36" t="inlineStr">
        <is>
          <t>Water Fountain Filter</t>
        </is>
      </c>
      <c r="E12" s="43" t="n">
        <v>46314</v>
      </c>
      <c r="F12" s="37" t="inlineStr">
        <is>
          <t>MELICERTES</t>
        </is>
      </c>
      <c r="G12" s="36" t="n">
        <v>5</v>
      </c>
      <c r="H12" s="45">
        <f>IF($B12="","",COUNTIFS('AEOLUS'!$B$6:$B$205,$B12,'AEOLUS'!$M$6:$M$205,"견적접수")+COUNTIFS('MELICERTES'!$B$6:$B$205,$B12,'MELICERTES'!$M$6:$M$205,"견적접수")+COUNTIFS('NELEUS'!$B$6:$B$205,$B12,'NELEUS'!$M$6:$M$205,"견적접수")+COUNTIFS('ONEIROI'!$B$6:$B$205,$B12,'ONEIROI'!$M$6:$M$205,"견적접수"))</f>
        <v/>
      </c>
      <c r="I12" s="45">
        <f>IF($B12="","",COUNTIFS('AEOLUS'!$B$6:$B$205,$B12,'AEOLUS'!$M$6:$M$205,"확인필요")+COUNTIFS('MELICERTES'!$B$6:$B$205,$B12,'MELICERTES'!$M$6:$M$205,"확인필요")+COUNTIFS('NELEUS'!$B$6:$B$205,$B12,'NELEUS'!$M$6:$M$205,"확인필요")+COUNTIFS('ONEIROI'!$B$6:$B$205,$B12,'ONEIROI'!$M$6:$M$205,"확인필요"))</f>
        <v/>
      </c>
      <c r="J12" s="45">
        <f>IF($B12="","",COUNTIFS('AEOLUS'!$B$6:$B$205,$B12,'AEOLUS'!$M$6:$M$205,"공급불가")+COUNTIFS('MELICERTES'!$B$6:$B$205,$B12,'MELICERTES'!$M$6:$M$205,"공급불가")+COUNTIFS('NELEUS'!$B$6:$B$205,$B12,'NELEUS'!$M$6:$M$205,"공급불가")+COUNTIFS('ONEIROI'!$B$6:$B$205,$B12,'ONEIROI'!$M$6:$M$205,"공급불가"))</f>
        <v/>
      </c>
      <c r="K12" s="45">
        <f>IF(OR($B12="",G12=""),"",G12-H12-I12-J12)</f>
        <v/>
      </c>
      <c r="L12" s="39">
        <f>IF($B12="","",SUMIFS('AEOLUS'!$O$6:$O$205,'AEOLUS'!$B$6:$B$205,$B12)+SUMIFS('MELICERTES'!$O$6:$O$205,'MELICERTES'!$B$6:$B$205,$B12)+SUMIFS('NELEUS'!$O$6:$O$205,'NELEUS'!$B$6:$B$205,$B12)+SUMIFS('ONEIROI'!$O$6:$O$205,'ONEIROI'!$B$6:$B$205,$B12))</f>
        <v/>
      </c>
      <c r="M12" s="37" t="inlineStr">
        <is>
          <t>RMS 회신</t>
        </is>
      </c>
    </row>
    <row r="13">
      <c r="A13" s="36" t="inlineStr">
        <is>
          <t>25</t>
        </is>
      </c>
      <c r="B13" s="36" t="inlineStr">
        <is>
          <t>KQU-000116314</t>
        </is>
      </c>
      <c r="C13" s="37" t="inlineStr">
        <is>
          <t>HACCP MASTER (galley)</t>
        </is>
      </c>
      <c r="D13" s="36" t="inlineStr">
        <is>
          <t>Galley Equipment</t>
        </is>
      </c>
      <c r="E13" s="43" t="n">
        <v>46314</v>
      </c>
      <c r="F13" s="37" t="inlineStr">
        <is>
          <t>ONEIROI</t>
        </is>
      </c>
      <c r="G13" s="36" t="n">
        <v>1</v>
      </c>
      <c r="H13" s="45">
        <f>IF($B13="","",COUNTIFS('AEOLUS'!$B$6:$B$205,$B13,'AEOLUS'!$M$6:$M$205,"견적접수")+COUNTIFS('MELICERTES'!$B$6:$B$205,$B13,'MELICERTES'!$M$6:$M$205,"견적접수")+COUNTIFS('NELEUS'!$B$6:$B$205,$B13,'NELEUS'!$M$6:$M$205,"견적접수")+COUNTIFS('ONEIROI'!$B$6:$B$205,$B13,'ONEIROI'!$M$6:$M$205,"견적접수"))</f>
        <v/>
      </c>
      <c r="I13" s="45">
        <f>IF($B13="","",COUNTIFS('AEOLUS'!$B$6:$B$205,$B13,'AEOLUS'!$M$6:$M$205,"확인필요")+COUNTIFS('MELICERTES'!$B$6:$B$205,$B13,'MELICERTES'!$M$6:$M$205,"확인필요")+COUNTIFS('NELEUS'!$B$6:$B$205,$B13,'NELEUS'!$M$6:$M$205,"확인필요")+COUNTIFS('ONEIROI'!$B$6:$B$205,$B13,'ONEIROI'!$M$6:$M$205,"확인필요"))</f>
        <v/>
      </c>
      <c r="J13" s="45">
        <f>IF($B13="","",COUNTIFS('AEOLUS'!$B$6:$B$205,$B13,'AEOLUS'!$M$6:$M$205,"공급불가")+COUNTIFS('MELICERTES'!$B$6:$B$205,$B13,'MELICERTES'!$M$6:$M$205,"공급불가")+COUNTIFS('NELEUS'!$B$6:$B$205,$B13,'NELEUS'!$M$6:$M$205,"공급불가")+COUNTIFS('ONEIROI'!$B$6:$B$205,$B13,'ONEIROI'!$M$6:$M$205,"공급불가"))</f>
        <v/>
      </c>
      <c r="K13" s="45">
        <f>IF(OR($B13="",G13=""),"",G13-H13-I13-J13)</f>
        <v/>
      </c>
      <c r="L13" s="39">
        <f>IF($B13="","",SUMIFS('AEOLUS'!$O$6:$O$205,'AEOLUS'!$B$6:$B$205,$B13)+SUMIFS('MELICERTES'!$O$6:$O$205,'MELICERTES'!$B$6:$B$205,$B13)+SUMIFS('NELEUS'!$O$6:$O$205,'NELEUS'!$B$6:$B$205,$B13)+SUMIFS('ONEIROI'!$O$6:$O$205,'ONEIROI'!$B$6:$B$205,$B13))</f>
        <v/>
      </c>
      <c r="M13" s="37" t="inlineStr">
        <is>
          <t>RMS 회신</t>
        </is>
      </c>
    </row>
    <row r="14">
      <c r="A14" s="36" t="inlineStr">
        <is>
          <t>27</t>
        </is>
      </c>
      <c r="B14" s="36" t="inlineStr">
        <is>
          <t>KQU-000116301</t>
        </is>
      </c>
      <c r="C14" s="37" t="inlineStr">
        <is>
          <t>MRC (telephone)</t>
        </is>
      </c>
      <c r="D14" s="36" t="inlineStr">
        <is>
          <t>Telephone System</t>
        </is>
      </c>
      <c r="E14" s="43" t="n">
        <v>46314</v>
      </c>
      <c r="F14" s="37" t="inlineStr">
        <is>
          <t>MELICERTES</t>
        </is>
      </c>
      <c r="G14" s="36" t="n">
        <v>1</v>
      </c>
      <c r="H14" s="45">
        <f>IF($B14="","",COUNTIFS('AEOLUS'!$B$6:$B$205,$B14,'AEOLUS'!$M$6:$M$205,"견적접수")+COUNTIFS('MELICERTES'!$B$6:$B$205,$B14,'MELICERTES'!$M$6:$M$205,"견적접수")+COUNTIFS('NELEUS'!$B$6:$B$205,$B14,'NELEUS'!$M$6:$M$205,"견적접수")+COUNTIFS('ONEIROI'!$B$6:$B$205,$B14,'ONEIROI'!$M$6:$M$205,"견적접수"))</f>
        <v/>
      </c>
      <c r="I14" s="45">
        <f>IF($B14="","",COUNTIFS('AEOLUS'!$B$6:$B$205,$B14,'AEOLUS'!$M$6:$M$205,"확인필요")+COUNTIFS('MELICERTES'!$B$6:$B$205,$B14,'MELICERTES'!$M$6:$M$205,"확인필요")+COUNTIFS('NELEUS'!$B$6:$B$205,$B14,'NELEUS'!$M$6:$M$205,"확인필요")+COUNTIFS('ONEIROI'!$B$6:$B$205,$B14,'ONEIROI'!$M$6:$M$205,"확인필요"))</f>
        <v/>
      </c>
      <c r="J14" s="45">
        <f>IF($B14="","",COUNTIFS('AEOLUS'!$B$6:$B$205,$B14,'AEOLUS'!$M$6:$M$205,"공급불가")+COUNTIFS('MELICERTES'!$B$6:$B$205,$B14,'MELICERTES'!$M$6:$M$205,"공급불가")+COUNTIFS('NELEUS'!$B$6:$B$205,$B14,'NELEUS'!$M$6:$M$205,"공급불가")+COUNTIFS('ONEIROI'!$B$6:$B$205,$B14,'ONEIROI'!$M$6:$M$205,"공급불가"))</f>
        <v/>
      </c>
      <c r="K14" s="45">
        <f>IF(OR($B14="",G14=""),"",G14-H14-I14-J14)</f>
        <v/>
      </c>
      <c r="L14" s="39">
        <f>IF($B14="","",SUMIFS('AEOLUS'!$O$6:$O$205,'AEOLUS'!$B$6:$B$205,$B14)+SUMIFS('MELICERTES'!$O$6:$O$205,'MELICERTES'!$B$6:$B$205,$B14)+SUMIFS('NELEUS'!$O$6:$O$205,'NELEUS'!$B$6:$B$205,$B14)+SUMIFS('ONEIROI'!$O$6:$O$205,'ONEIROI'!$B$6:$B$205,$B14))</f>
        <v/>
      </c>
      <c r="M14" s="37" t="inlineStr">
        <is>
          <t>RMS 회신</t>
        </is>
      </c>
    </row>
    <row r="15">
      <c r="A15" s="36" t="inlineStr">
        <is>
          <t>30</t>
        </is>
      </c>
      <c r="B15" s="36" t="inlineStr">
        <is>
          <t>선박요청서-30</t>
        </is>
      </c>
      <c r="C15" s="37" t="inlineStr">
        <is>
          <t>PARKER 외 (Ballast Hyd. solenoid valve)</t>
        </is>
      </c>
      <c r="D15" s="36" t="inlineStr">
        <is>
          <t>Hyd. VRC</t>
        </is>
      </c>
      <c r="E15" s="43" t="n"/>
      <c r="F15" s="37" t="inlineStr">
        <is>
          <t>ONEIROI</t>
        </is>
      </c>
      <c r="G15" s="36" t="n">
        <v>4</v>
      </c>
      <c r="H15" s="45">
        <f>IF($B15="","",COUNTIFS('AEOLUS'!$B$6:$B$205,$B15,'AEOLUS'!$M$6:$M$205,"견적접수")+COUNTIFS('MELICERTES'!$B$6:$B$205,$B15,'MELICERTES'!$M$6:$M$205,"견적접수")+COUNTIFS('NELEUS'!$B$6:$B$205,$B15,'NELEUS'!$M$6:$M$205,"견적접수")+COUNTIFS('ONEIROI'!$B$6:$B$205,$B15,'ONEIROI'!$M$6:$M$205,"견적접수"))</f>
        <v/>
      </c>
      <c r="I15" s="45">
        <f>IF($B15="","",COUNTIFS('AEOLUS'!$B$6:$B$205,$B15,'AEOLUS'!$M$6:$M$205,"확인필요")+COUNTIFS('MELICERTES'!$B$6:$B$205,$B15,'MELICERTES'!$M$6:$M$205,"확인필요")+COUNTIFS('NELEUS'!$B$6:$B$205,$B15,'NELEUS'!$M$6:$M$205,"확인필요")+COUNTIFS('ONEIROI'!$B$6:$B$205,$B15,'ONEIROI'!$M$6:$M$205,"확인필요"))</f>
        <v/>
      </c>
      <c r="J15" s="45">
        <f>IF($B15="","",COUNTIFS('AEOLUS'!$B$6:$B$205,$B15,'AEOLUS'!$M$6:$M$205,"공급불가")+COUNTIFS('MELICERTES'!$B$6:$B$205,$B15,'MELICERTES'!$M$6:$M$205,"공급불가")+COUNTIFS('NELEUS'!$B$6:$B$205,$B15,'NELEUS'!$M$6:$M$205,"공급불가")+COUNTIFS('ONEIROI'!$B$6:$B$205,$B15,'ONEIROI'!$M$6:$M$205,"공급불가"))</f>
        <v/>
      </c>
      <c r="K15" s="45">
        <f>IF(OR($B15="",G15=""),"",G15-H15-I15-J15)</f>
        <v/>
      </c>
      <c r="L15" s="39">
        <f>IF($B15="","",SUMIFS('AEOLUS'!$O$6:$O$205,'AEOLUS'!$B$6:$B$205,$B15)+SUMIFS('MELICERTES'!$O$6:$O$205,'MELICERTES'!$B$6:$B$205,$B15)+SUMIFS('NELEUS'!$O$6:$O$205,'NELEUS'!$B$6:$B$205,$B15)+SUMIFS('ONEIROI'!$O$6:$O$205,'ONEIROI'!$B$6:$B$205,$B15))</f>
        <v/>
      </c>
      <c r="M15" s="37" t="inlineStr">
        <is>
          <t>RMS 회신</t>
        </is>
      </c>
    </row>
    <row r="16">
      <c r="A16" s="36" t="inlineStr">
        <is>
          <t>31</t>
        </is>
      </c>
      <c r="B16" s="36" t="inlineStr">
        <is>
          <t>선박요청서-31</t>
        </is>
      </c>
      <c r="C16" s="37" t="inlineStr">
        <is>
          <t>GRUNDFOS (EGR WTS pump CRN3-7)</t>
        </is>
      </c>
      <c r="D16" s="36" t="inlineStr">
        <is>
          <t>Main Engine</t>
        </is>
      </c>
      <c r="E16" s="43" t="n">
        <v>46314</v>
      </c>
      <c r="F16" s="37" t="inlineStr">
        <is>
          <t>ONEIROI</t>
        </is>
      </c>
      <c r="G16" s="36" t="n">
        <v>14</v>
      </c>
      <c r="H16" s="45">
        <f>IF($B16="","",COUNTIFS('AEOLUS'!$B$6:$B$205,$B16,'AEOLUS'!$M$6:$M$205,"견적접수")+COUNTIFS('MELICERTES'!$B$6:$B$205,$B16,'MELICERTES'!$M$6:$M$205,"견적접수")+COUNTIFS('NELEUS'!$B$6:$B$205,$B16,'NELEUS'!$M$6:$M$205,"견적접수")+COUNTIFS('ONEIROI'!$B$6:$B$205,$B16,'ONEIROI'!$M$6:$M$205,"견적접수"))</f>
        <v/>
      </c>
      <c r="I16" s="45">
        <f>IF($B16="","",COUNTIFS('AEOLUS'!$B$6:$B$205,$B16,'AEOLUS'!$M$6:$M$205,"확인필요")+COUNTIFS('MELICERTES'!$B$6:$B$205,$B16,'MELICERTES'!$M$6:$M$205,"확인필요")+COUNTIFS('NELEUS'!$B$6:$B$205,$B16,'NELEUS'!$M$6:$M$205,"확인필요")+COUNTIFS('ONEIROI'!$B$6:$B$205,$B16,'ONEIROI'!$M$6:$M$205,"확인필요"))</f>
        <v/>
      </c>
      <c r="J16" s="45">
        <f>IF($B16="","",COUNTIFS('AEOLUS'!$B$6:$B$205,$B16,'AEOLUS'!$M$6:$M$205,"공급불가")+COUNTIFS('MELICERTES'!$B$6:$B$205,$B16,'MELICERTES'!$M$6:$M$205,"공급불가")+COUNTIFS('NELEUS'!$B$6:$B$205,$B16,'NELEUS'!$M$6:$M$205,"공급불가")+COUNTIFS('ONEIROI'!$B$6:$B$205,$B16,'ONEIROI'!$M$6:$M$205,"공급불가"))</f>
        <v/>
      </c>
      <c r="K16" s="45">
        <f>IF(OR($B16="",G16=""),"",G16-H16-I16-J16)</f>
        <v/>
      </c>
      <c r="L16" s="39">
        <f>IF($B16="","",SUMIFS('AEOLUS'!$O$6:$O$205,'AEOLUS'!$B$6:$B$205,$B16)+SUMIFS('MELICERTES'!$O$6:$O$205,'MELICERTES'!$B$6:$B$205,$B16)+SUMIFS('NELEUS'!$O$6:$O$205,'NELEUS'!$B$6:$B$205,$B16)+SUMIFS('ONEIROI'!$O$6:$O$205,'ONEIROI'!$B$6:$B$205,$B16))</f>
        <v/>
      </c>
      <c r="M16" s="37" t="inlineStr">
        <is>
          <t>RMS 회신</t>
        </is>
      </c>
    </row>
    <row r="17">
      <c r="A17" s="36" t="n"/>
      <c r="B17" s="36" t="n"/>
      <c r="C17" s="37" t="n"/>
      <c r="D17" s="36" t="n"/>
      <c r="E17" s="43" t="n"/>
      <c r="F17" s="37" t="n"/>
      <c r="G17" s="36" t="n"/>
      <c r="H17" s="45">
        <f>IF($B17="","",COUNTIFS('AEOLUS'!$B$6:$B$205,$B17,'AEOLUS'!$M$6:$M$205,"견적접수")+COUNTIFS('MELICERTES'!$B$6:$B$205,$B17,'MELICERTES'!$M$6:$M$205,"견적접수")+COUNTIFS('NELEUS'!$B$6:$B$205,$B17,'NELEUS'!$M$6:$M$205,"견적접수")+COUNTIFS('ONEIROI'!$B$6:$B$205,$B17,'ONEIROI'!$M$6:$M$205,"견적접수"))</f>
        <v/>
      </c>
      <c r="I17" s="45">
        <f>IF($B17="","",COUNTIFS('AEOLUS'!$B$6:$B$205,$B17,'AEOLUS'!$M$6:$M$205,"확인필요")+COUNTIFS('MELICERTES'!$B$6:$B$205,$B17,'MELICERTES'!$M$6:$M$205,"확인필요")+COUNTIFS('NELEUS'!$B$6:$B$205,$B17,'NELEUS'!$M$6:$M$205,"확인필요")+COUNTIFS('ONEIROI'!$B$6:$B$205,$B17,'ONEIROI'!$M$6:$M$205,"확인필요"))</f>
        <v/>
      </c>
      <c r="J17" s="45">
        <f>IF($B17="","",COUNTIFS('AEOLUS'!$B$6:$B$205,$B17,'AEOLUS'!$M$6:$M$205,"공급불가")+COUNTIFS('MELICERTES'!$B$6:$B$205,$B17,'MELICERTES'!$M$6:$M$205,"공급불가")+COUNTIFS('NELEUS'!$B$6:$B$205,$B17,'NELEUS'!$M$6:$M$205,"공급불가")+COUNTIFS('ONEIROI'!$B$6:$B$205,$B17,'ONEIROI'!$M$6:$M$205,"공급불가"))</f>
        <v/>
      </c>
      <c r="K17" s="45">
        <f>IF(OR($B17="",G17=""),"",G17-H17-I17-J17)</f>
        <v/>
      </c>
      <c r="L17" s="39">
        <f>IF($B17="","",SUMIFS('AEOLUS'!$O$6:$O$205,'AEOLUS'!$B$6:$B$205,$B17)+SUMIFS('MELICERTES'!$O$6:$O$205,'MELICERTES'!$B$6:$B$205,$B17)+SUMIFS('NELEUS'!$O$6:$O$205,'NELEUS'!$B$6:$B$205,$B17)+SUMIFS('ONEIROI'!$O$6:$O$205,'ONEIROI'!$B$6:$B$205,$B17))</f>
        <v/>
      </c>
      <c r="M17" s="37" t="n"/>
    </row>
    <row r="18">
      <c r="A18" s="36" t="n"/>
      <c r="B18" s="36" t="n"/>
      <c r="C18" s="37" t="n"/>
      <c r="D18" s="36" t="n"/>
      <c r="E18" s="43" t="n"/>
      <c r="F18" s="37" t="n"/>
      <c r="G18" s="36" t="n"/>
      <c r="H18" s="45">
        <f>IF($B18="","",COUNTIFS('AEOLUS'!$B$6:$B$205,$B18,'AEOLUS'!$M$6:$M$205,"견적접수")+COUNTIFS('MELICERTES'!$B$6:$B$205,$B18,'MELICERTES'!$M$6:$M$205,"견적접수")+COUNTIFS('NELEUS'!$B$6:$B$205,$B18,'NELEUS'!$M$6:$M$205,"견적접수")+COUNTIFS('ONEIROI'!$B$6:$B$205,$B18,'ONEIROI'!$M$6:$M$205,"견적접수"))</f>
        <v/>
      </c>
      <c r="I18" s="45">
        <f>IF($B18="","",COUNTIFS('AEOLUS'!$B$6:$B$205,$B18,'AEOLUS'!$M$6:$M$205,"확인필요")+COUNTIFS('MELICERTES'!$B$6:$B$205,$B18,'MELICERTES'!$M$6:$M$205,"확인필요")+COUNTIFS('NELEUS'!$B$6:$B$205,$B18,'NELEUS'!$M$6:$M$205,"확인필요")+COUNTIFS('ONEIROI'!$B$6:$B$205,$B18,'ONEIROI'!$M$6:$M$205,"확인필요"))</f>
        <v/>
      </c>
      <c r="J18" s="45">
        <f>IF($B18="","",COUNTIFS('AEOLUS'!$B$6:$B$205,$B18,'AEOLUS'!$M$6:$M$205,"공급불가")+COUNTIFS('MELICERTES'!$B$6:$B$205,$B18,'MELICERTES'!$M$6:$M$205,"공급불가")+COUNTIFS('NELEUS'!$B$6:$B$205,$B18,'NELEUS'!$M$6:$M$205,"공급불가")+COUNTIFS('ONEIROI'!$B$6:$B$205,$B18,'ONEIROI'!$M$6:$M$205,"공급불가"))</f>
        <v/>
      </c>
      <c r="K18" s="45">
        <f>IF(OR($B18="",G18=""),"",G18-H18-I18-J18)</f>
        <v/>
      </c>
      <c r="L18" s="39">
        <f>IF($B18="","",SUMIFS('AEOLUS'!$O$6:$O$205,'AEOLUS'!$B$6:$B$205,$B18)+SUMIFS('MELICERTES'!$O$6:$O$205,'MELICERTES'!$B$6:$B$205,$B18)+SUMIFS('NELEUS'!$O$6:$O$205,'NELEUS'!$B$6:$B$205,$B18)+SUMIFS('ONEIROI'!$O$6:$O$205,'ONEIROI'!$B$6:$B$205,$B18))</f>
        <v/>
      </c>
      <c r="M18" s="37" t="n"/>
    </row>
    <row r="19">
      <c r="A19" s="36" t="n"/>
      <c r="B19" s="36" t="n"/>
      <c r="C19" s="37" t="n"/>
      <c r="D19" s="36" t="n"/>
      <c r="E19" s="43" t="n"/>
      <c r="F19" s="37" t="n"/>
      <c r="G19" s="36" t="n"/>
      <c r="H19" s="45">
        <f>IF($B19="","",COUNTIFS('AEOLUS'!$B$6:$B$205,$B19,'AEOLUS'!$M$6:$M$205,"견적접수")+COUNTIFS('MELICERTES'!$B$6:$B$205,$B19,'MELICERTES'!$M$6:$M$205,"견적접수")+COUNTIFS('NELEUS'!$B$6:$B$205,$B19,'NELEUS'!$M$6:$M$205,"견적접수")+COUNTIFS('ONEIROI'!$B$6:$B$205,$B19,'ONEIROI'!$M$6:$M$205,"견적접수"))</f>
        <v/>
      </c>
      <c r="I19" s="45">
        <f>IF($B19="","",COUNTIFS('AEOLUS'!$B$6:$B$205,$B19,'AEOLUS'!$M$6:$M$205,"확인필요")+COUNTIFS('MELICERTES'!$B$6:$B$205,$B19,'MELICERTES'!$M$6:$M$205,"확인필요")+COUNTIFS('NELEUS'!$B$6:$B$205,$B19,'NELEUS'!$M$6:$M$205,"확인필요")+COUNTIFS('ONEIROI'!$B$6:$B$205,$B19,'ONEIROI'!$M$6:$M$205,"확인필요"))</f>
        <v/>
      </c>
      <c r="J19" s="45">
        <f>IF($B19="","",COUNTIFS('AEOLUS'!$B$6:$B$205,$B19,'AEOLUS'!$M$6:$M$205,"공급불가")+COUNTIFS('MELICERTES'!$B$6:$B$205,$B19,'MELICERTES'!$M$6:$M$205,"공급불가")+COUNTIFS('NELEUS'!$B$6:$B$205,$B19,'NELEUS'!$M$6:$M$205,"공급불가")+COUNTIFS('ONEIROI'!$B$6:$B$205,$B19,'ONEIROI'!$M$6:$M$205,"공급불가"))</f>
        <v/>
      </c>
      <c r="K19" s="45">
        <f>IF(OR($B19="",G19=""),"",G19-H19-I19-J19)</f>
        <v/>
      </c>
      <c r="L19" s="39">
        <f>IF($B19="","",SUMIFS('AEOLUS'!$O$6:$O$205,'AEOLUS'!$B$6:$B$205,$B19)+SUMIFS('MELICERTES'!$O$6:$O$205,'MELICERTES'!$B$6:$B$205,$B19)+SUMIFS('NELEUS'!$O$6:$O$205,'NELEUS'!$B$6:$B$205,$B19)+SUMIFS('ONEIROI'!$O$6:$O$205,'ONEIROI'!$B$6:$B$205,$B19))</f>
        <v/>
      </c>
      <c r="M19" s="37" t="n"/>
    </row>
    <row r="20">
      <c r="A20" s="36" t="n"/>
      <c r="B20" s="36" t="n"/>
      <c r="C20" s="37" t="n"/>
      <c r="D20" s="36" t="n"/>
      <c r="E20" s="43" t="n"/>
      <c r="F20" s="37" t="n"/>
      <c r="G20" s="36" t="n"/>
      <c r="H20" s="45">
        <f>IF($B20="","",COUNTIFS('AEOLUS'!$B$6:$B$205,$B20,'AEOLUS'!$M$6:$M$205,"견적접수")+COUNTIFS('MELICERTES'!$B$6:$B$205,$B20,'MELICERTES'!$M$6:$M$205,"견적접수")+COUNTIFS('NELEUS'!$B$6:$B$205,$B20,'NELEUS'!$M$6:$M$205,"견적접수")+COUNTIFS('ONEIROI'!$B$6:$B$205,$B20,'ONEIROI'!$M$6:$M$205,"견적접수"))</f>
        <v/>
      </c>
      <c r="I20" s="45">
        <f>IF($B20="","",COUNTIFS('AEOLUS'!$B$6:$B$205,$B20,'AEOLUS'!$M$6:$M$205,"확인필요")+COUNTIFS('MELICERTES'!$B$6:$B$205,$B20,'MELICERTES'!$M$6:$M$205,"확인필요")+COUNTIFS('NELEUS'!$B$6:$B$205,$B20,'NELEUS'!$M$6:$M$205,"확인필요")+COUNTIFS('ONEIROI'!$B$6:$B$205,$B20,'ONEIROI'!$M$6:$M$205,"확인필요"))</f>
        <v/>
      </c>
      <c r="J20" s="45">
        <f>IF($B20="","",COUNTIFS('AEOLUS'!$B$6:$B$205,$B20,'AEOLUS'!$M$6:$M$205,"공급불가")+COUNTIFS('MELICERTES'!$B$6:$B$205,$B20,'MELICERTES'!$M$6:$M$205,"공급불가")+COUNTIFS('NELEUS'!$B$6:$B$205,$B20,'NELEUS'!$M$6:$M$205,"공급불가")+COUNTIFS('ONEIROI'!$B$6:$B$205,$B20,'ONEIROI'!$M$6:$M$205,"공급불가"))</f>
        <v/>
      </c>
      <c r="K20" s="45">
        <f>IF(OR($B20="",G20=""),"",G20-H20-I20-J20)</f>
        <v/>
      </c>
      <c r="L20" s="39">
        <f>IF($B20="","",SUMIFS('AEOLUS'!$O$6:$O$205,'AEOLUS'!$B$6:$B$205,$B20)+SUMIFS('MELICERTES'!$O$6:$O$205,'MELICERTES'!$B$6:$B$205,$B20)+SUMIFS('NELEUS'!$O$6:$O$205,'NELEUS'!$B$6:$B$205,$B20)+SUMIFS('ONEIROI'!$O$6:$O$205,'ONEIROI'!$B$6:$B$205,$B20))</f>
        <v/>
      </c>
      <c r="M20" s="37" t="n"/>
    </row>
    <row r="21">
      <c r="A21" s="36" t="n"/>
      <c r="B21" s="36" t="n"/>
      <c r="C21" s="37" t="n"/>
      <c r="D21" s="36" t="n"/>
      <c r="E21" s="43" t="n"/>
      <c r="F21" s="37" t="n"/>
      <c r="G21" s="36" t="n"/>
      <c r="H21" s="45">
        <f>IF($B21="","",COUNTIFS('AEOLUS'!$B$6:$B$205,$B21,'AEOLUS'!$M$6:$M$205,"견적접수")+COUNTIFS('MELICERTES'!$B$6:$B$205,$B21,'MELICERTES'!$M$6:$M$205,"견적접수")+COUNTIFS('NELEUS'!$B$6:$B$205,$B21,'NELEUS'!$M$6:$M$205,"견적접수")+COUNTIFS('ONEIROI'!$B$6:$B$205,$B21,'ONEIROI'!$M$6:$M$205,"견적접수"))</f>
        <v/>
      </c>
      <c r="I21" s="45">
        <f>IF($B21="","",COUNTIFS('AEOLUS'!$B$6:$B$205,$B21,'AEOLUS'!$M$6:$M$205,"확인필요")+COUNTIFS('MELICERTES'!$B$6:$B$205,$B21,'MELICERTES'!$M$6:$M$205,"확인필요")+COUNTIFS('NELEUS'!$B$6:$B$205,$B21,'NELEUS'!$M$6:$M$205,"확인필요")+COUNTIFS('ONEIROI'!$B$6:$B$205,$B21,'ONEIROI'!$M$6:$M$205,"확인필요"))</f>
        <v/>
      </c>
      <c r="J21" s="45">
        <f>IF($B21="","",COUNTIFS('AEOLUS'!$B$6:$B$205,$B21,'AEOLUS'!$M$6:$M$205,"공급불가")+COUNTIFS('MELICERTES'!$B$6:$B$205,$B21,'MELICERTES'!$M$6:$M$205,"공급불가")+COUNTIFS('NELEUS'!$B$6:$B$205,$B21,'NELEUS'!$M$6:$M$205,"공급불가")+COUNTIFS('ONEIROI'!$B$6:$B$205,$B21,'ONEIROI'!$M$6:$M$205,"공급불가"))</f>
        <v/>
      </c>
      <c r="K21" s="45">
        <f>IF(OR($B21="",G21=""),"",G21-H21-I21-J21)</f>
        <v/>
      </c>
      <c r="L21" s="39">
        <f>IF($B21="","",SUMIFS('AEOLUS'!$O$6:$O$205,'AEOLUS'!$B$6:$B$205,$B21)+SUMIFS('MELICERTES'!$O$6:$O$205,'MELICERTES'!$B$6:$B$205,$B21)+SUMIFS('NELEUS'!$O$6:$O$205,'NELEUS'!$B$6:$B$205,$B21)+SUMIFS('ONEIROI'!$O$6:$O$205,'ONEIROI'!$B$6:$B$205,$B21))</f>
        <v/>
      </c>
      <c r="M21" s="37" t="n"/>
    </row>
    <row r="22">
      <c r="A22" s="36" t="n"/>
      <c r="B22" s="36" t="n"/>
      <c r="C22" s="37" t="n"/>
      <c r="D22" s="36" t="n"/>
      <c r="E22" s="43" t="n"/>
      <c r="F22" s="37" t="n"/>
      <c r="G22" s="36" t="n"/>
      <c r="H22" s="45">
        <f>IF($B22="","",COUNTIFS('AEOLUS'!$B$6:$B$205,$B22,'AEOLUS'!$M$6:$M$205,"견적접수")+COUNTIFS('MELICERTES'!$B$6:$B$205,$B22,'MELICERTES'!$M$6:$M$205,"견적접수")+COUNTIFS('NELEUS'!$B$6:$B$205,$B22,'NELEUS'!$M$6:$M$205,"견적접수")+COUNTIFS('ONEIROI'!$B$6:$B$205,$B22,'ONEIROI'!$M$6:$M$205,"견적접수"))</f>
        <v/>
      </c>
      <c r="I22" s="45">
        <f>IF($B22="","",COUNTIFS('AEOLUS'!$B$6:$B$205,$B22,'AEOLUS'!$M$6:$M$205,"확인필요")+COUNTIFS('MELICERTES'!$B$6:$B$205,$B22,'MELICERTES'!$M$6:$M$205,"확인필요")+COUNTIFS('NELEUS'!$B$6:$B$205,$B22,'NELEUS'!$M$6:$M$205,"확인필요")+COUNTIFS('ONEIROI'!$B$6:$B$205,$B22,'ONEIROI'!$M$6:$M$205,"확인필요"))</f>
        <v/>
      </c>
      <c r="J22" s="45">
        <f>IF($B22="","",COUNTIFS('AEOLUS'!$B$6:$B$205,$B22,'AEOLUS'!$M$6:$M$205,"공급불가")+COUNTIFS('MELICERTES'!$B$6:$B$205,$B22,'MELICERTES'!$M$6:$M$205,"공급불가")+COUNTIFS('NELEUS'!$B$6:$B$205,$B22,'NELEUS'!$M$6:$M$205,"공급불가")+COUNTIFS('ONEIROI'!$B$6:$B$205,$B22,'ONEIROI'!$M$6:$M$205,"공급불가"))</f>
        <v/>
      </c>
      <c r="K22" s="45">
        <f>IF(OR($B22="",G22=""),"",G22-H22-I22-J22)</f>
        <v/>
      </c>
      <c r="L22" s="39">
        <f>IF($B22="","",SUMIFS('AEOLUS'!$O$6:$O$205,'AEOLUS'!$B$6:$B$205,$B22)+SUMIFS('MELICERTES'!$O$6:$O$205,'MELICERTES'!$B$6:$B$205,$B22)+SUMIFS('NELEUS'!$O$6:$O$205,'NELEUS'!$B$6:$B$205,$B22)+SUMIFS('ONEIROI'!$O$6:$O$205,'ONEIROI'!$B$6:$B$205,$B22))</f>
        <v/>
      </c>
      <c r="M22" s="37" t="n"/>
    </row>
    <row r="23">
      <c r="A23" s="36" t="n"/>
      <c r="B23" s="36" t="n"/>
      <c r="C23" s="37" t="n"/>
      <c r="D23" s="36" t="n"/>
      <c r="E23" s="43" t="n"/>
      <c r="F23" s="37" t="n"/>
      <c r="G23" s="36" t="n"/>
      <c r="H23" s="45">
        <f>IF($B23="","",COUNTIFS('AEOLUS'!$B$6:$B$205,$B23,'AEOLUS'!$M$6:$M$205,"견적접수")+COUNTIFS('MELICERTES'!$B$6:$B$205,$B23,'MELICERTES'!$M$6:$M$205,"견적접수")+COUNTIFS('NELEUS'!$B$6:$B$205,$B23,'NELEUS'!$M$6:$M$205,"견적접수")+COUNTIFS('ONEIROI'!$B$6:$B$205,$B23,'ONEIROI'!$M$6:$M$205,"견적접수"))</f>
        <v/>
      </c>
      <c r="I23" s="45">
        <f>IF($B23="","",COUNTIFS('AEOLUS'!$B$6:$B$205,$B23,'AEOLUS'!$M$6:$M$205,"확인필요")+COUNTIFS('MELICERTES'!$B$6:$B$205,$B23,'MELICERTES'!$M$6:$M$205,"확인필요")+COUNTIFS('NELEUS'!$B$6:$B$205,$B23,'NELEUS'!$M$6:$M$205,"확인필요")+COUNTIFS('ONEIROI'!$B$6:$B$205,$B23,'ONEIROI'!$M$6:$M$205,"확인필요"))</f>
        <v/>
      </c>
      <c r="J23" s="45">
        <f>IF($B23="","",COUNTIFS('AEOLUS'!$B$6:$B$205,$B23,'AEOLUS'!$M$6:$M$205,"공급불가")+COUNTIFS('MELICERTES'!$B$6:$B$205,$B23,'MELICERTES'!$M$6:$M$205,"공급불가")+COUNTIFS('NELEUS'!$B$6:$B$205,$B23,'NELEUS'!$M$6:$M$205,"공급불가")+COUNTIFS('ONEIROI'!$B$6:$B$205,$B23,'ONEIROI'!$M$6:$M$205,"공급불가"))</f>
        <v/>
      </c>
      <c r="K23" s="45">
        <f>IF(OR($B23="",G23=""),"",G23-H23-I23-J23)</f>
        <v/>
      </c>
      <c r="L23" s="39">
        <f>IF($B23="","",SUMIFS('AEOLUS'!$O$6:$O$205,'AEOLUS'!$B$6:$B$205,$B23)+SUMIFS('MELICERTES'!$O$6:$O$205,'MELICERTES'!$B$6:$B$205,$B23)+SUMIFS('NELEUS'!$O$6:$O$205,'NELEUS'!$B$6:$B$205,$B23)+SUMIFS('ONEIROI'!$O$6:$O$205,'ONEIROI'!$B$6:$B$205,$B23))</f>
        <v/>
      </c>
      <c r="M23" s="37" t="n"/>
    </row>
    <row r="24">
      <c r="A24" s="36" t="n"/>
      <c r="B24" s="36" t="n"/>
      <c r="C24" s="37" t="n"/>
      <c r="D24" s="36" t="n"/>
      <c r="E24" s="43" t="n"/>
      <c r="F24" s="37" t="n"/>
      <c r="G24" s="36" t="n"/>
      <c r="H24" s="45">
        <f>IF($B24="","",COUNTIFS('AEOLUS'!$B$6:$B$205,$B24,'AEOLUS'!$M$6:$M$205,"견적접수")+COUNTIFS('MELICERTES'!$B$6:$B$205,$B24,'MELICERTES'!$M$6:$M$205,"견적접수")+COUNTIFS('NELEUS'!$B$6:$B$205,$B24,'NELEUS'!$M$6:$M$205,"견적접수")+COUNTIFS('ONEIROI'!$B$6:$B$205,$B24,'ONEIROI'!$M$6:$M$205,"견적접수"))</f>
        <v/>
      </c>
      <c r="I24" s="45">
        <f>IF($B24="","",COUNTIFS('AEOLUS'!$B$6:$B$205,$B24,'AEOLUS'!$M$6:$M$205,"확인필요")+COUNTIFS('MELICERTES'!$B$6:$B$205,$B24,'MELICERTES'!$M$6:$M$205,"확인필요")+COUNTIFS('NELEUS'!$B$6:$B$205,$B24,'NELEUS'!$M$6:$M$205,"확인필요")+COUNTIFS('ONEIROI'!$B$6:$B$205,$B24,'ONEIROI'!$M$6:$M$205,"확인필요"))</f>
        <v/>
      </c>
      <c r="J24" s="45">
        <f>IF($B24="","",COUNTIFS('AEOLUS'!$B$6:$B$205,$B24,'AEOLUS'!$M$6:$M$205,"공급불가")+COUNTIFS('MELICERTES'!$B$6:$B$205,$B24,'MELICERTES'!$M$6:$M$205,"공급불가")+COUNTIFS('NELEUS'!$B$6:$B$205,$B24,'NELEUS'!$M$6:$M$205,"공급불가")+COUNTIFS('ONEIROI'!$B$6:$B$205,$B24,'ONEIROI'!$M$6:$M$205,"공급불가"))</f>
        <v/>
      </c>
      <c r="K24" s="45">
        <f>IF(OR($B24="",G24=""),"",G24-H24-I24-J24)</f>
        <v/>
      </c>
      <c r="L24" s="39">
        <f>IF($B24="","",SUMIFS('AEOLUS'!$O$6:$O$205,'AEOLUS'!$B$6:$B$205,$B24)+SUMIFS('MELICERTES'!$O$6:$O$205,'MELICERTES'!$B$6:$B$205,$B24)+SUMIFS('NELEUS'!$O$6:$O$205,'NELEUS'!$B$6:$B$205,$B24)+SUMIFS('ONEIROI'!$O$6:$O$205,'ONEIROI'!$B$6:$B$205,$B24))</f>
        <v/>
      </c>
      <c r="M24" s="37" t="n"/>
    </row>
    <row r="25">
      <c r="A25" s="36" t="n"/>
      <c r="B25" s="36" t="n"/>
      <c r="C25" s="37" t="n"/>
      <c r="D25" s="36" t="n"/>
      <c r="E25" s="43" t="n"/>
      <c r="F25" s="37" t="n"/>
      <c r="G25" s="36" t="n"/>
      <c r="H25" s="45">
        <f>IF($B25="","",COUNTIFS('AEOLUS'!$B$6:$B$205,$B25,'AEOLUS'!$M$6:$M$205,"견적접수")+COUNTIFS('MELICERTES'!$B$6:$B$205,$B25,'MELICERTES'!$M$6:$M$205,"견적접수")+COUNTIFS('NELEUS'!$B$6:$B$205,$B25,'NELEUS'!$M$6:$M$205,"견적접수")+COUNTIFS('ONEIROI'!$B$6:$B$205,$B25,'ONEIROI'!$M$6:$M$205,"견적접수"))</f>
        <v/>
      </c>
      <c r="I25" s="45">
        <f>IF($B25="","",COUNTIFS('AEOLUS'!$B$6:$B$205,$B25,'AEOLUS'!$M$6:$M$205,"확인필요")+COUNTIFS('MELICERTES'!$B$6:$B$205,$B25,'MELICERTES'!$M$6:$M$205,"확인필요")+COUNTIFS('NELEUS'!$B$6:$B$205,$B25,'NELEUS'!$M$6:$M$205,"확인필요")+COUNTIFS('ONEIROI'!$B$6:$B$205,$B25,'ONEIROI'!$M$6:$M$205,"확인필요"))</f>
        <v/>
      </c>
      <c r="J25" s="45">
        <f>IF($B25="","",COUNTIFS('AEOLUS'!$B$6:$B$205,$B25,'AEOLUS'!$M$6:$M$205,"공급불가")+COUNTIFS('MELICERTES'!$B$6:$B$205,$B25,'MELICERTES'!$M$6:$M$205,"공급불가")+COUNTIFS('NELEUS'!$B$6:$B$205,$B25,'NELEUS'!$M$6:$M$205,"공급불가")+COUNTIFS('ONEIROI'!$B$6:$B$205,$B25,'ONEIROI'!$M$6:$M$205,"공급불가"))</f>
        <v/>
      </c>
      <c r="K25" s="45">
        <f>IF(OR($B25="",G25=""),"",G25-H25-I25-J25)</f>
        <v/>
      </c>
      <c r="L25" s="39">
        <f>IF($B25="","",SUMIFS('AEOLUS'!$O$6:$O$205,'AEOLUS'!$B$6:$B$205,$B25)+SUMIFS('MELICERTES'!$O$6:$O$205,'MELICERTES'!$B$6:$B$205,$B25)+SUMIFS('NELEUS'!$O$6:$O$205,'NELEUS'!$B$6:$B$205,$B25)+SUMIFS('ONEIROI'!$O$6:$O$205,'ONEIROI'!$B$6:$B$205,$B25))</f>
        <v/>
      </c>
      <c r="M25" s="37" t="n"/>
    </row>
    <row r="26">
      <c r="A26" s="36" t="n"/>
      <c r="B26" s="36" t="n"/>
      <c r="C26" s="37" t="n"/>
      <c r="D26" s="36" t="n"/>
      <c r="E26" s="43" t="n"/>
      <c r="F26" s="37" t="n"/>
      <c r="G26" s="36" t="n"/>
      <c r="H26" s="45">
        <f>IF($B26="","",COUNTIFS('AEOLUS'!$B$6:$B$205,$B26,'AEOLUS'!$M$6:$M$205,"견적접수")+COUNTIFS('MELICERTES'!$B$6:$B$205,$B26,'MELICERTES'!$M$6:$M$205,"견적접수")+COUNTIFS('NELEUS'!$B$6:$B$205,$B26,'NELEUS'!$M$6:$M$205,"견적접수")+COUNTIFS('ONEIROI'!$B$6:$B$205,$B26,'ONEIROI'!$M$6:$M$205,"견적접수"))</f>
        <v/>
      </c>
      <c r="I26" s="45">
        <f>IF($B26="","",COUNTIFS('AEOLUS'!$B$6:$B$205,$B26,'AEOLUS'!$M$6:$M$205,"확인필요")+COUNTIFS('MELICERTES'!$B$6:$B$205,$B26,'MELICERTES'!$M$6:$M$205,"확인필요")+COUNTIFS('NELEUS'!$B$6:$B$205,$B26,'NELEUS'!$M$6:$M$205,"확인필요")+COUNTIFS('ONEIROI'!$B$6:$B$205,$B26,'ONEIROI'!$M$6:$M$205,"확인필요"))</f>
        <v/>
      </c>
      <c r="J26" s="45">
        <f>IF($B26="","",COUNTIFS('AEOLUS'!$B$6:$B$205,$B26,'AEOLUS'!$M$6:$M$205,"공급불가")+COUNTIFS('MELICERTES'!$B$6:$B$205,$B26,'MELICERTES'!$M$6:$M$205,"공급불가")+COUNTIFS('NELEUS'!$B$6:$B$205,$B26,'NELEUS'!$M$6:$M$205,"공급불가")+COUNTIFS('ONEIROI'!$B$6:$B$205,$B26,'ONEIROI'!$M$6:$M$205,"공급불가"))</f>
        <v/>
      </c>
      <c r="K26" s="45">
        <f>IF(OR($B26="",G26=""),"",G26-H26-I26-J26)</f>
        <v/>
      </c>
      <c r="L26" s="39">
        <f>IF($B26="","",SUMIFS('AEOLUS'!$O$6:$O$205,'AEOLUS'!$B$6:$B$205,$B26)+SUMIFS('MELICERTES'!$O$6:$O$205,'MELICERTES'!$B$6:$B$205,$B26)+SUMIFS('NELEUS'!$O$6:$O$205,'NELEUS'!$B$6:$B$205,$B26)+SUMIFS('ONEIROI'!$O$6:$O$205,'ONEIROI'!$B$6:$B$205,$B26))</f>
        <v/>
      </c>
      <c r="M26" s="37" t="n"/>
    </row>
    <row r="27">
      <c r="A27" s="36" t="n"/>
      <c r="B27" s="36" t="n"/>
      <c r="C27" s="37" t="n"/>
      <c r="D27" s="36" t="n"/>
      <c r="E27" s="43" t="n"/>
      <c r="F27" s="37" t="n"/>
      <c r="G27" s="36" t="n"/>
      <c r="H27" s="45">
        <f>IF($B27="","",COUNTIFS('AEOLUS'!$B$6:$B$205,$B27,'AEOLUS'!$M$6:$M$205,"견적접수")+COUNTIFS('MELICERTES'!$B$6:$B$205,$B27,'MELICERTES'!$M$6:$M$205,"견적접수")+COUNTIFS('NELEUS'!$B$6:$B$205,$B27,'NELEUS'!$M$6:$M$205,"견적접수")+COUNTIFS('ONEIROI'!$B$6:$B$205,$B27,'ONEIROI'!$M$6:$M$205,"견적접수"))</f>
        <v/>
      </c>
      <c r="I27" s="45">
        <f>IF($B27="","",COUNTIFS('AEOLUS'!$B$6:$B$205,$B27,'AEOLUS'!$M$6:$M$205,"확인필요")+COUNTIFS('MELICERTES'!$B$6:$B$205,$B27,'MELICERTES'!$M$6:$M$205,"확인필요")+COUNTIFS('NELEUS'!$B$6:$B$205,$B27,'NELEUS'!$M$6:$M$205,"확인필요")+COUNTIFS('ONEIROI'!$B$6:$B$205,$B27,'ONEIROI'!$M$6:$M$205,"확인필요"))</f>
        <v/>
      </c>
      <c r="J27" s="45">
        <f>IF($B27="","",COUNTIFS('AEOLUS'!$B$6:$B$205,$B27,'AEOLUS'!$M$6:$M$205,"공급불가")+COUNTIFS('MELICERTES'!$B$6:$B$205,$B27,'MELICERTES'!$M$6:$M$205,"공급불가")+COUNTIFS('NELEUS'!$B$6:$B$205,$B27,'NELEUS'!$M$6:$M$205,"공급불가")+COUNTIFS('ONEIROI'!$B$6:$B$205,$B27,'ONEIROI'!$M$6:$M$205,"공급불가"))</f>
        <v/>
      </c>
      <c r="K27" s="45">
        <f>IF(OR($B27="",G27=""),"",G27-H27-I27-J27)</f>
        <v/>
      </c>
      <c r="L27" s="39">
        <f>IF($B27="","",SUMIFS('AEOLUS'!$O$6:$O$205,'AEOLUS'!$B$6:$B$205,$B27)+SUMIFS('MELICERTES'!$O$6:$O$205,'MELICERTES'!$B$6:$B$205,$B27)+SUMIFS('NELEUS'!$O$6:$O$205,'NELEUS'!$B$6:$B$205,$B27)+SUMIFS('ONEIROI'!$O$6:$O$205,'ONEIROI'!$B$6:$B$205,$B27))</f>
        <v/>
      </c>
      <c r="M27" s="37" t="n"/>
    </row>
    <row r="28">
      <c r="A28" s="36" t="n"/>
      <c r="B28" s="36" t="n"/>
      <c r="C28" s="37" t="n"/>
      <c r="D28" s="36" t="n"/>
      <c r="E28" s="43" t="n"/>
      <c r="F28" s="37" t="n"/>
      <c r="G28" s="36" t="n"/>
      <c r="H28" s="45">
        <f>IF($B28="","",COUNTIFS('AEOLUS'!$B$6:$B$205,$B28,'AEOLUS'!$M$6:$M$205,"견적접수")+COUNTIFS('MELICERTES'!$B$6:$B$205,$B28,'MELICERTES'!$M$6:$M$205,"견적접수")+COUNTIFS('NELEUS'!$B$6:$B$205,$B28,'NELEUS'!$M$6:$M$205,"견적접수")+COUNTIFS('ONEIROI'!$B$6:$B$205,$B28,'ONEIROI'!$M$6:$M$205,"견적접수"))</f>
        <v/>
      </c>
      <c r="I28" s="45">
        <f>IF($B28="","",COUNTIFS('AEOLUS'!$B$6:$B$205,$B28,'AEOLUS'!$M$6:$M$205,"확인필요")+COUNTIFS('MELICERTES'!$B$6:$B$205,$B28,'MELICERTES'!$M$6:$M$205,"확인필요")+COUNTIFS('NELEUS'!$B$6:$B$205,$B28,'NELEUS'!$M$6:$M$205,"확인필요")+COUNTIFS('ONEIROI'!$B$6:$B$205,$B28,'ONEIROI'!$M$6:$M$205,"확인필요"))</f>
        <v/>
      </c>
      <c r="J28" s="45">
        <f>IF($B28="","",COUNTIFS('AEOLUS'!$B$6:$B$205,$B28,'AEOLUS'!$M$6:$M$205,"공급불가")+COUNTIFS('MELICERTES'!$B$6:$B$205,$B28,'MELICERTES'!$M$6:$M$205,"공급불가")+COUNTIFS('NELEUS'!$B$6:$B$205,$B28,'NELEUS'!$M$6:$M$205,"공급불가")+COUNTIFS('ONEIROI'!$B$6:$B$205,$B28,'ONEIROI'!$M$6:$M$205,"공급불가"))</f>
        <v/>
      </c>
      <c r="K28" s="45">
        <f>IF(OR($B28="",G28=""),"",G28-H28-I28-J28)</f>
        <v/>
      </c>
      <c r="L28" s="39">
        <f>IF($B28="","",SUMIFS('AEOLUS'!$O$6:$O$205,'AEOLUS'!$B$6:$B$205,$B28)+SUMIFS('MELICERTES'!$O$6:$O$205,'MELICERTES'!$B$6:$B$205,$B28)+SUMIFS('NELEUS'!$O$6:$O$205,'NELEUS'!$B$6:$B$205,$B28)+SUMIFS('ONEIROI'!$O$6:$O$205,'ONEIROI'!$B$6:$B$205,$B28))</f>
        <v/>
      </c>
      <c r="M28" s="37" t="n"/>
    </row>
    <row r="29">
      <c r="A29" s="36" t="n"/>
      <c r="B29" s="36" t="n"/>
      <c r="C29" s="37" t="n"/>
      <c r="D29" s="36" t="n"/>
      <c r="E29" s="43" t="n"/>
      <c r="F29" s="37" t="n"/>
      <c r="G29" s="36" t="n"/>
      <c r="H29" s="45">
        <f>IF($B29="","",COUNTIFS('AEOLUS'!$B$6:$B$205,$B29,'AEOLUS'!$M$6:$M$205,"견적접수")+COUNTIFS('MELICERTES'!$B$6:$B$205,$B29,'MELICERTES'!$M$6:$M$205,"견적접수")+COUNTIFS('NELEUS'!$B$6:$B$205,$B29,'NELEUS'!$M$6:$M$205,"견적접수")+COUNTIFS('ONEIROI'!$B$6:$B$205,$B29,'ONEIROI'!$M$6:$M$205,"견적접수"))</f>
        <v/>
      </c>
      <c r="I29" s="45">
        <f>IF($B29="","",COUNTIFS('AEOLUS'!$B$6:$B$205,$B29,'AEOLUS'!$M$6:$M$205,"확인필요")+COUNTIFS('MELICERTES'!$B$6:$B$205,$B29,'MELICERTES'!$M$6:$M$205,"확인필요")+COUNTIFS('NELEUS'!$B$6:$B$205,$B29,'NELEUS'!$M$6:$M$205,"확인필요")+COUNTIFS('ONEIROI'!$B$6:$B$205,$B29,'ONEIROI'!$M$6:$M$205,"확인필요"))</f>
        <v/>
      </c>
      <c r="J29" s="45">
        <f>IF($B29="","",COUNTIFS('AEOLUS'!$B$6:$B$205,$B29,'AEOLUS'!$M$6:$M$205,"공급불가")+COUNTIFS('MELICERTES'!$B$6:$B$205,$B29,'MELICERTES'!$M$6:$M$205,"공급불가")+COUNTIFS('NELEUS'!$B$6:$B$205,$B29,'NELEUS'!$M$6:$M$205,"공급불가")+COUNTIFS('ONEIROI'!$B$6:$B$205,$B29,'ONEIROI'!$M$6:$M$205,"공급불가"))</f>
        <v/>
      </c>
      <c r="K29" s="45">
        <f>IF(OR($B29="",G29=""),"",G29-H29-I29-J29)</f>
        <v/>
      </c>
      <c r="L29" s="39">
        <f>IF($B29="","",SUMIFS('AEOLUS'!$O$6:$O$205,'AEOLUS'!$B$6:$B$205,$B29)+SUMIFS('MELICERTES'!$O$6:$O$205,'MELICERTES'!$B$6:$B$205,$B29)+SUMIFS('NELEUS'!$O$6:$O$205,'NELEUS'!$B$6:$B$205,$B29)+SUMIFS('ONEIROI'!$O$6:$O$205,'ONEIROI'!$B$6:$B$205,$B29))</f>
        <v/>
      </c>
      <c r="M29" s="37" t="n"/>
    </row>
    <row r="30">
      <c r="A30" s="36" t="n"/>
      <c r="B30" s="36" t="n"/>
      <c r="C30" s="37" t="n"/>
      <c r="D30" s="36" t="n"/>
      <c r="E30" s="43" t="n"/>
      <c r="F30" s="37" t="n"/>
      <c r="G30" s="36" t="n"/>
      <c r="H30" s="45">
        <f>IF($B30="","",COUNTIFS('AEOLUS'!$B$6:$B$205,$B30,'AEOLUS'!$M$6:$M$205,"견적접수")+COUNTIFS('MELICERTES'!$B$6:$B$205,$B30,'MELICERTES'!$M$6:$M$205,"견적접수")+COUNTIFS('NELEUS'!$B$6:$B$205,$B30,'NELEUS'!$M$6:$M$205,"견적접수")+COUNTIFS('ONEIROI'!$B$6:$B$205,$B30,'ONEIROI'!$M$6:$M$205,"견적접수"))</f>
        <v/>
      </c>
      <c r="I30" s="45">
        <f>IF($B30="","",COUNTIFS('AEOLUS'!$B$6:$B$205,$B30,'AEOLUS'!$M$6:$M$205,"확인필요")+COUNTIFS('MELICERTES'!$B$6:$B$205,$B30,'MELICERTES'!$M$6:$M$205,"확인필요")+COUNTIFS('NELEUS'!$B$6:$B$205,$B30,'NELEUS'!$M$6:$M$205,"확인필요")+COUNTIFS('ONEIROI'!$B$6:$B$205,$B30,'ONEIROI'!$M$6:$M$205,"확인필요"))</f>
        <v/>
      </c>
      <c r="J30" s="45">
        <f>IF($B30="","",COUNTIFS('AEOLUS'!$B$6:$B$205,$B30,'AEOLUS'!$M$6:$M$205,"공급불가")+COUNTIFS('MELICERTES'!$B$6:$B$205,$B30,'MELICERTES'!$M$6:$M$205,"공급불가")+COUNTIFS('NELEUS'!$B$6:$B$205,$B30,'NELEUS'!$M$6:$M$205,"공급불가")+COUNTIFS('ONEIROI'!$B$6:$B$205,$B30,'ONEIROI'!$M$6:$M$205,"공급불가"))</f>
        <v/>
      </c>
      <c r="K30" s="45">
        <f>IF(OR($B30="",G30=""),"",G30-H30-I30-J30)</f>
        <v/>
      </c>
      <c r="L30" s="39">
        <f>IF($B30="","",SUMIFS('AEOLUS'!$O$6:$O$205,'AEOLUS'!$B$6:$B$205,$B30)+SUMIFS('MELICERTES'!$O$6:$O$205,'MELICERTES'!$B$6:$B$205,$B30)+SUMIFS('NELEUS'!$O$6:$O$205,'NELEUS'!$B$6:$B$205,$B30)+SUMIFS('ONEIROI'!$O$6:$O$205,'ONEIROI'!$B$6:$B$205,$B30))</f>
        <v/>
      </c>
      <c r="M30" s="37" t="n"/>
    </row>
    <row r="31">
      <c r="A31" s="36" t="n"/>
      <c r="B31" s="36" t="n"/>
      <c r="C31" s="37" t="n"/>
      <c r="D31" s="36" t="n"/>
      <c r="E31" s="43" t="n"/>
      <c r="F31" s="37" t="n"/>
      <c r="G31" s="36" t="n"/>
      <c r="H31" s="45">
        <f>IF($B31="","",COUNTIFS('AEOLUS'!$B$6:$B$205,$B31,'AEOLUS'!$M$6:$M$205,"견적접수")+COUNTIFS('MELICERTES'!$B$6:$B$205,$B31,'MELICERTES'!$M$6:$M$205,"견적접수")+COUNTIFS('NELEUS'!$B$6:$B$205,$B31,'NELEUS'!$M$6:$M$205,"견적접수")+COUNTIFS('ONEIROI'!$B$6:$B$205,$B31,'ONEIROI'!$M$6:$M$205,"견적접수"))</f>
        <v/>
      </c>
      <c r="I31" s="45">
        <f>IF($B31="","",COUNTIFS('AEOLUS'!$B$6:$B$205,$B31,'AEOLUS'!$M$6:$M$205,"확인필요")+COUNTIFS('MELICERTES'!$B$6:$B$205,$B31,'MELICERTES'!$M$6:$M$205,"확인필요")+COUNTIFS('NELEUS'!$B$6:$B$205,$B31,'NELEUS'!$M$6:$M$205,"확인필요")+COUNTIFS('ONEIROI'!$B$6:$B$205,$B31,'ONEIROI'!$M$6:$M$205,"확인필요"))</f>
        <v/>
      </c>
      <c r="J31" s="45">
        <f>IF($B31="","",COUNTIFS('AEOLUS'!$B$6:$B$205,$B31,'AEOLUS'!$M$6:$M$205,"공급불가")+COUNTIFS('MELICERTES'!$B$6:$B$205,$B31,'MELICERTES'!$M$6:$M$205,"공급불가")+COUNTIFS('NELEUS'!$B$6:$B$205,$B31,'NELEUS'!$M$6:$M$205,"공급불가")+COUNTIFS('ONEIROI'!$B$6:$B$205,$B31,'ONEIROI'!$M$6:$M$205,"공급불가"))</f>
        <v/>
      </c>
      <c r="K31" s="45">
        <f>IF(OR($B31="",G31=""),"",G31-H31-I31-J31)</f>
        <v/>
      </c>
      <c r="L31" s="39">
        <f>IF($B31="","",SUMIFS('AEOLUS'!$O$6:$O$205,'AEOLUS'!$B$6:$B$205,$B31)+SUMIFS('MELICERTES'!$O$6:$O$205,'MELICERTES'!$B$6:$B$205,$B31)+SUMIFS('NELEUS'!$O$6:$O$205,'NELEUS'!$B$6:$B$205,$B31)+SUMIFS('ONEIROI'!$O$6:$O$205,'ONEIROI'!$B$6:$B$205,$B31))</f>
        <v/>
      </c>
      <c r="M31" s="37" t="n"/>
    </row>
    <row r="32">
      <c r="A32" s="36" t="n"/>
      <c r="B32" s="36" t="n"/>
      <c r="C32" s="37" t="n"/>
      <c r="D32" s="36" t="n"/>
      <c r="E32" s="43" t="n"/>
      <c r="F32" s="37" t="n"/>
      <c r="G32" s="36" t="n"/>
      <c r="H32" s="45">
        <f>IF($B32="","",COUNTIFS('AEOLUS'!$B$6:$B$205,$B32,'AEOLUS'!$M$6:$M$205,"견적접수")+COUNTIFS('MELICERTES'!$B$6:$B$205,$B32,'MELICERTES'!$M$6:$M$205,"견적접수")+COUNTIFS('NELEUS'!$B$6:$B$205,$B32,'NELEUS'!$M$6:$M$205,"견적접수")+COUNTIFS('ONEIROI'!$B$6:$B$205,$B32,'ONEIROI'!$M$6:$M$205,"견적접수"))</f>
        <v/>
      </c>
      <c r="I32" s="45">
        <f>IF($B32="","",COUNTIFS('AEOLUS'!$B$6:$B$205,$B32,'AEOLUS'!$M$6:$M$205,"확인필요")+COUNTIFS('MELICERTES'!$B$6:$B$205,$B32,'MELICERTES'!$M$6:$M$205,"확인필요")+COUNTIFS('NELEUS'!$B$6:$B$205,$B32,'NELEUS'!$M$6:$M$205,"확인필요")+COUNTIFS('ONEIROI'!$B$6:$B$205,$B32,'ONEIROI'!$M$6:$M$205,"확인필요"))</f>
        <v/>
      </c>
      <c r="J32" s="45">
        <f>IF($B32="","",COUNTIFS('AEOLUS'!$B$6:$B$205,$B32,'AEOLUS'!$M$6:$M$205,"공급불가")+COUNTIFS('MELICERTES'!$B$6:$B$205,$B32,'MELICERTES'!$M$6:$M$205,"공급불가")+COUNTIFS('NELEUS'!$B$6:$B$205,$B32,'NELEUS'!$M$6:$M$205,"공급불가")+COUNTIFS('ONEIROI'!$B$6:$B$205,$B32,'ONEIROI'!$M$6:$M$205,"공급불가"))</f>
        <v/>
      </c>
      <c r="K32" s="45">
        <f>IF(OR($B32="",G32=""),"",G32-H32-I32-J32)</f>
        <v/>
      </c>
      <c r="L32" s="39">
        <f>IF($B32="","",SUMIFS('AEOLUS'!$O$6:$O$205,'AEOLUS'!$B$6:$B$205,$B32)+SUMIFS('MELICERTES'!$O$6:$O$205,'MELICERTES'!$B$6:$B$205,$B32)+SUMIFS('NELEUS'!$O$6:$O$205,'NELEUS'!$B$6:$B$205,$B32)+SUMIFS('ONEIROI'!$O$6:$O$205,'ONEIROI'!$B$6:$B$205,$B32))</f>
        <v/>
      </c>
      <c r="M32" s="37" t="n"/>
    </row>
    <row r="33">
      <c r="A33" s="36" t="n"/>
      <c r="B33" s="36" t="n"/>
      <c r="C33" s="37" t="n"/>
      <c r="D33" s="36" t="n"/>
      <c r="E33" s="43" t="n"/>
      <c r="F33" s="37" t="n"/>
      <c r="G33" s="36" t="n"/>
      <c r="H33" s="45">
        <f>IF($B33="","",COUNTIFS('AEOLUS'!$B$6:$B$205,$B33,'AEOLUS'!$M$6:$M$205,"견적접수")+COUNTIFS('MELICERTES'!$B$6:$B$205,$B33,'MELICERTES'!$M$6:$M$205,"견적접수")+COUNTIFS('NELEUS'!$B$6:$B$205,$B33,'NELEUS'!$M$6:$M$205,"견적접수")+COUNTIFS('ONEIROI'!$B$6:$B$205,$B33,'ONEIROI'!$M$6:$M$205,"견적접수"))</f>
        <v/>
      </c>
      <c r="I33" s="45">
        <f>IF($B33="","",COUNTIFS('AEOLUS'!$B$6:$B$205,$B33,'AEOLUS'!$M$6:$M$205,"확인필요")+COUNTIFS('MELICERTES'!$B$6:$B$205,$B33,'MELICERTES'!$M$6:$M$205,"확인필요")+COUNTIFS('NELEUS'!$B$6:$B$205,$B33,'NELEUS'!$M$6:$M$205,"확인필요")+COUNTIFS('ONEIROI'!$B$6:$B$205,$B33,'ONEIROI'!$M$6:$M$205,"확인필요"))</f>
        <v/>
      </c>
      <c r="J33" s="45">
        <f>IF($B33="","",COUNTIFS('AEOLUS'!$B$6:$B$205,$B33,'AEOLUS'!$M$6:$M$205,"공급불가")+COUNTIFS('MELICERTES'!$B$6:$B$205,$B33,'MELICERTES'!$M$6:$M$205,"공급불가")+COUNTIFS('NELEUS'!$B$6:$B$205,$B33,'NELEUS'!$M$6:$M$205,"공급불가")+COUNTIFS('ONEIROI'!$B$6:$B$205,$B33,'ONEIROI'!$M$6:$M$205,"공급불가"))</f>
        <v/>
      </c>
      <c r="K33" s="45">
        <f>IF(OR($B33="",G33=""),"",G33-H33-I33-J33)</f>
        <v/>
      </c>
      <c r="L33" s="39">
        <f>IF($B33="","",SUMIFS('AEOLUS'!$O$6:$O$205,'AEOLUS'!$B$6:$B$205,$B33)+SUMIFS('MELICERTES'!$O$6:$O$205,'MELICERTES'!$B$6:$B$205,$B33)+SUMIFS('NELEUS'!$O$6:$O$205,'NELEUS'!$B$6:$B$205,$B33)+SUMIFS('ONEIROI'!$O$6:$O$205,'ONEIROI'!$B$6:$B$205,$B33))</f>
        <v/>
      </c>
      <c r="M33" s="37" t="n"/>
    </row>
  </sheetData>
  <conditionalFormatting sqref="K5:K33">
    <cfRule type="cellIs" priority="1" operator="greaterThan" dxfId="4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20" customWidth="1" min="3" max="3"/>
    <col width="3" customWidth="1" min="4" max="4"/>
    <col width="20" customWidth="1" min="5" max="5"/>
    <col width="50" customWidth="1" min="7" max="7"/>
  </cols>
  <sheetData>
    <row r="1">
      <c r="A1" s="46" t="inlineStr">
        <is>
          <t>설정 (드롭다운 목록)</t>
        </is>
      </c>
    </row>
    <row r="2">
      <c r="A2" s="47" t="inlineStr">
        <is>
          <t>노란 칸에 항목을 추가하면 선박 시트 드롭다운에 바로 반영됩니다.</t>
        </is>
      </c>
    </row>
    <row r="4">
      <c r="A4" s="4" t="inlineStr">
        <is>
          <t>견적상태 (업체 회신)</t>
        </is>
      </c>
      <c r="C4" s="4" t="inlineStr">
        <is>
          <t>진행상태 (우리 쪽)</t>
        </is>
      </c>
      <c r="E4" s="4" t="inlineStr">
        <is>
          <t>견적업체</t>
        </is>
      </c>
      <c r="G4" s="48" t="inlineStr">
        <is>
          <t>견적상태 뜻</t>
        </is>
      </c>
    </row>
    <row r="5">
      <c r="A5" s="49" t="inlineStr">
        <is>
          <t>견적접수</t>
        </is>
      </c>
      <c r="C5" s="49" t="inlineStr">
        <is>
          <t>검토중</t>
        </is>
      </c>
      <c r="E5" s="49" t="inlineStr">
        <is>
          <t>RMS</t>
        </is>
      </c>
      <c r="G5" s="50" t="inlineStr">
        <is>
          <t>견적접수 = 단가 회신 받음</t>
        </is>
      </c>
    </row>
    <row r="6">
      <c r="A6" s="49" t="inlineStr">
        <is>
          <t>확인필요</t>
        </is>
      </c>
      <c r="C6" s="49" t="inlineStr">
        <is>
          <t>정보 송부필요</t>
        </is>
      </c>
      <c r="E6" s="49" t="n"/>
      <c r="G6" s="50" t="inlineStr">
        <is>
          <t>확인필요 = 업체가 명판/상세정보 요청 (우리가 보내야 함)</t>
        </is>
      </c>
    </row>
    <row r="7">
      <c r="A7" s="49" t="inlineStr">
        <is>
          <t>공급불가</t>
        </is>
      </c>
      <c r="C7" s="49" t="inlineStr">
        <is>
          <t>타업체 문의</t>
        </is>
      </c>
      <c r="E7" s="49" t="n"/>
      <c r="G7" s="50" t="inlineStr">
        <is>
          <t>공급불가 = NOT AVAILABLE → 타 업체 문의</t>
        </is>
      </c>
    </row>
    <row r="8">
      <c r="A8" s="49" t="inlineStr">
        <is>
          <t>미접수</t>
        </is>
      </c>
      <c r="C8" s="49" t="inlineStr">
        <is>
          <t>선주 승인대기</t>
        </is>
      </c>
      <c r="E8" s="49" t="n"/>
      <c r="G8" s="50" t="inlineStr">
        <is>
          <t>미접수 = 아직 회신 없음</t>
        </is>
      </c>
    </row>
    <row r="9">
      <c r="A9" s="49" t="n"/>
      <c r="C9" s="49" t="inlineStr">
        <is>
          <t>발주완료</t>
        </is>
      </c>
      <c r="E9" s="49" t="n"/>
    </row>
    <row r="10">
      <c r="A10" s="49" t="n"/>
      <c r="C10" s="49" t="inlineStr">
        <is>
          <t>보류</t>
        </is>
      </c>
      <c r="E10" s="49" t="n"/>
    </row>
    <row r="11">
      <c r="A11" s="49" t="n"/>
      <c r="C11" s="49" t="inlineStr">
        <is>
          <t>취소</t>
        </is>
      </c>
      <c r="E11" s="49" t="n"/>
    </row>
    <row r="12">
      <c r="A12" s="49" t="n"/>
      <c r="C12" s="49" t="n"/>
      <c r="E12" s="49" t="n"/>
    </row>
    <row r="13">
      <c r="A13" s="49" t="n"/>
      <c r="C13" s="49" t="n"/>
      <c r="E13" s="49" t="n"/>
    </row>
    <row r="14">
      <c r="A14" s="49" t="n"/>
      <c r="C14" s="49" t="n"/>
      <c r="E14" s="49" t="n"/>
    </row>
    <row r="15">
      <c r="C15" s="49" t="n"/>
      <c r="E15" s="49" t="n"/>
    </row>
    <row r="16">
      <c r="C16" s="49" t="n"/>
      <c r="E16" s="49" t="n"/>
    </row>
    <row r="17">
      <c r="E17" s="49" t="n"/>
    </row>
    <row r="18">
      <c r="E18" s="49" t="n"/>
    </row>
    <row r="19">
      <c r="E19" s="49" t="n"/>
    </row>
    <row r="20">
      <c r="E20" s="49" t="n"/>
    </row>
    <row r="21">
      <c r="E21" s="49" t="n"/>
    </row>
    <row r="22">
      <c r="E22" s="49" t="n"/>
    </row>
    <row r="23">
      <c r="E23" s="49" t="n"/>
    </row>
    <row r="24">
      <c r="E24" s="4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B26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사용법</t>
        </is>
      </c>
    </row>
    <row r="3">
      <c r="B3" s="51" t="inlineStr">
        <is>
          <t>구조</t>
        </is>
      </c>
    </row>
    <row r="4">
      <c r="B4" s="52" t="inlineStr">
        <is>
          <t>• 요약: 선박별 견적접수 / 확인필요 / 공급불가 / 미접수 건수와 금액 (자동). 선박명 클릭 → 해당 시트</t>
        </is>
      </c>
    </row>
    <row r="5">
      <c r="B5" s="52" t="inlineStr">
        <is>
          <t>• AEOLUS · MELICERTES · NELEUS · ONEIROI: 선박마다 1품목 = 1줄 (빨간 탭 = URGENT 선박)</t>
        </is>
      </c>
    </row>
    <row r="6">
      <c r="B6" s="52" t="inlineStr">
        <is>
          <t>• RFQ목록: 보낸 RFQ별로 몇 품목이 회신됐는지 자동 집계 (미접수/미입력 &gt; 0 이면 빨간 숫자)</t>
        </is>
      </c>
    </row>
    <row r="7">
      <c r="B7" s="52" t="inlineStr">
        <is>
          <t>• 스케줄: 선박별 다음 일정. 예정일만 바꾸면 D-day·1주 전·4일 전 알림이 요약과 선박 시트 2행에 자동 표시</t>
        </is>
      </c>
    </row>
    <row r="8">
      <c r="B8" s="52" t="inlineStr"/>
    </row>
    <row r="9">
      <c r="B9" s="51" t="inlineStr">
        <is>
          <t>스케줄 알림</t>
        </is>
      </c>
    </row>
    <row r="10">
      <c r="B10" s="52" t="inlineStr">
        <is>
          <t>• 1주 전(D-7) = 주황 / 4일 전(D-4) = 빨강. 파일을 열 때마다 오늘 날짜 기준으로 다시 계산</t>
        </is>
      </c>
    </row>
    <row r="11">
      <c r="B11" s="52" t="inlineStr">
        <is>
          <t>• 운송소요(일): 부산 출고 후 선박까지 걸리는 기간. 넣으면 '부산 출고 마감'이 그만큼 앞당겨짐</t>
        </is>
      </c>
    </row>
    <row r="12">
      <c r="B12" s="52" t="inlineStr">
        <is>
          <t>• 선박 시트 '일정 대비': 오늘 발주 시 (오늘+납기)가 출고 마감 안이면 가능, 넘으면 '초과 n일'</t>
        </is>
      </c>
    </row>
    <row r="13">
      <c r="B13" s="52" t="inlineStr"/>
    </row>
    <row r="14">
      <c r="B14" s="51" t="inlineStr">
        <is>
          <t>견적 들어오면</t>
        </is>
      </c>
    </row>
    <row r="15">
      <c r="B15" s="52" t="inlineStr">
        <is>
          <t>• 해당 선박 시트에서 그 품목 줄의 견적상태·단가·납기·정품/OEM·인도조건·유효일수를 입력 → 금액 자동 계산</t>
        </is>
      </c>
    </row>
    <row r="16">
      <c r="B16" s="52" t="inlineStr">
        <is>
          <t>• 견적접수일(노란 칸)을 넣으면 유효만료일이 계산되고, 만료 임박(5일 이내) 노랑 / 만료 빨강으로 표시</t>
        </is>
      </c>
    </row>
    <row r="17">
      <c r="B17" s="52" t="inlineStr">
        <is>
          <t>• 같은 품목에 다른 업체 견적이 오면: 그 줄을 복사해 아래 빈 줄에 붙이고 견적업체·단가만 바꿔서 비교</t>
        </is>
      </c>
    </row>
    <row r="18">
      <c r="B18" s="52" t="inlineStr"/>
    </row>
    <row r="19">
      <c r="B19" s="51" t="inlineStr">
        <is>
          <t>추가 / 빼기</t>
        </is>
      </c>
    </row>
    <row r="20">
      <c r="B20" s="52" t="inlineStr">
        <is>
          <t>• 새 RFQ·품목: 선박 시트 빈 줄에 추가하고, RFQ목록에도 한 줄 추가</t>
        </is>
      </c>
    </row>
    <row r="21">
      <c r="B21" s="52" t="inlineStr">
        <is>
          <t>• 빼기: 진행상태를 '취소'로 바꾸면 회색 처리 (기록 유지). 완전히 지우려면 행 삭제</t>
        </is>
      </c>
    </row>
    <row r="22">
      <c r="B22" s="52" t="inlineStr">
        <is>
          <t>• 새 업체: 설정 시트 '견적업체'에 이름 추가 → 드롭다운에 나옴</t>
        </is>
      </c>
    </row>
    <row r="23">
      <c r="B23" s="52" t="inlineStr"/>
    </row>
    <row r="24">
      <c r="B24" s="51" t="inlineStr">
        <is>
          <t>보는 방법</t>
        </is>
      </c>
    </row>
    <row r="25">
      <c r="B25" s="52" t="inlineStr">
        <is>
          <t>• 선박 시트 머리글 ▼ 필터: 견적상태 = 공급불가 → 다른 업체에 다시 물어볼 품목만 보기</t>
        </is>
      </c>
    </row>
    <row r="26">
      <c r="B26" s="52" t="inlineStr">
        <is>
          <t>• 진행상태 필터: 발주완료·취소 체크 해제 → 아직 진행 중인 것만 보기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2026-10-26T00:34:15Z</dcterms:created>
  <dcterms:modified xmlns:dcterms="http://purl.org/dc/terms/" xmlns:xsi="http://www.w3.org/2001/XMLSchema-instance" xsi:type="dcterms:W3CDTF">2026-10-26T00:34:17Z</dcterms:modified>
</cp:coreProperties>
</file>