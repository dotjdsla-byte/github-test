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제품 요약" sheetId="1" state="visible" r:id="rId1"/>
    <sheet name="유종별 적용" sheetId="2" state="visible" r:id="rId2"/>
    <sheet name="Reference 상세" sheetId="3" state="visible" r:id="rId3"/>
    <sheet name="투입량·비용 산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&quot;  MT / 1L&quot;"/>
    <numFmt numFmtId="165" formatCode="#,##0&quot;  L&quot;"/>
    <numFmt numFmtId="166" formatCode="&quot;USD &quot;#,##0.00"/>
    <numFmt numFmtId="167" formatCode="&quot;USD &quot;#,##0;(&quot;USD &quot;#,##0);-"/>
    <numFmt numFmtId="168" formatCode="#,##0.0"/>
    <numFmt numFmtId="169" formatCode="0&quot;℃&quot;"/>
    <numFmt numFmtId="170" formatCode="#,##0&quot;  MT&quot;"/>
  </numFmts>
  <fonts count="23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404040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b val="1"/>
      <color rgb="001F3864"/>
      <sz val="11"/>
    </font>
    <font>
      <name val="맑은 고딕"/>
      <color rgb="00595959"/>
      <sz val="9"/>
    </font>
    <font>
      <name val="맑은 고딕"/>
      <color rgb="00000000"/>
      <sz val="10"/>
    </font>
    <font>
      <name val="맑은 고딕"/>
      <b val="1"/>
      <color rgb="00C00000"/>
      <sz val="10"/>
    </font>
    <font>
      <name val="맑은 고딕"/>
      <b val="1"/>
      <color rgb="00C00000"/>
      <sz val="9"/>
    </font>
    <font>
      <name val="맑은 고딕"/>
      <b val="1"/>
      <color rgb="000000FF"/>
      <sz val="10"/>
    </font>
    <font>
      <name val="맑은 고딕"/>
      <b val="1"/>
      <color rgb="001F3864"/>
      <sz val="10"/>
    </font>
    <font>
      <name val="맑은 고딕"/>
      <b val="1"/>
      <color rgb="00FFFFFF"/>
      <sz val="14"/>
    </font>
    <font>
      <name val="맑은 고딕"/>
      <b val="1"/>
      <color rgb="001F3864"/>
      <sz val="13"/>
    </font>
    <font>
      <name val="맑은 고딕"/>
      <b val="1"/>
      <color rgb="00A6A6A6"/>
      <sz val="13"/>
    </font>
    <font>
      <name val="맑은 고딕"/>
      <b val="1"/>
      <color rgb="00BF8F00"/>
      <sz val="13"/>
    </font>
    <font>
      <name val="맑은 고딕"/>
      <color rgb="00000000"/>
      <sz val="9"/>
    </font>
    <font>
      <name val="맑은 고딕"/>
      <b val="1"/>
      <color rgb="00000000"/>
      <sz val="9"/>
    </font>
    <font>
      <name val="맑은 고딕"/>
      <b val="1"/>
      <color rgb="00FFFFFF"/>
      <sz val="11"/>
    </font>
    <font>
      <name val="맑은 고딕"/>
      <color rgb="00595959"/>
      <sz val="8"/>
    </font>
    <font>
      <name val="맑은 고딕"/>
      <b val="1"/>
      <color rgb="001F3864"/>
      <sz val="8"/>
    </font>
    <font>
      <name val="맑은 고딕"/>
      <b val="1"/>
      <color rgb="00000000"/>
      <sz val="11"/>
    </font>
    <font>
      <name val="맑은 고딕"/>
      <b val="1"/>
      <color rgb="000000FF"/>
      <sz val="12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C8A"/>
      </patternFill>
    </fill>
    <fill>
      <patternFill patternType="solid">
        <fgColor rgb="00EDF2F9"/>
      </patternFill>
    </fill>
    <fill>
      <patternFill patternType="solid">
        <fgColor rgb="00FFF2CC"/>
      </patternFill>
    </fill>
    <fill>
      <patternFill patternType="solid">
        <fgColor rgb="00D9E2F3"/>
      </patternFill>
    </fill>
    <fill>
      <patternFill patternType="solid">
        <fgColor rgb="00FFF9E6"/>
      </patternFill>
    </fill>
    <fill>
      <patternFill patternType="solid">
        <fgColor rgb="00F7F9FC"/>
      </patternFill>
    </fill>
  </fills>
  <borders count="5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 style="thin">
        <color rgb="00A6A6A6"/>
      </left>
      <right/>
      <top/>
      <bottom/>
      <diagonal/>
    </border>
    <border>
      <left style="thin">
        <color rgb="00A6A6A6"/>
      </left>
      <right style="thin">
        <color rgb="00A6A6A6"/>
      </right>
      <top/>
      <bottom/>
      <diagonal/>
    </border>
    <border>
      <left style="thin">
        <color rgb="00A6A6A6"/>
      </left>
      <right style="thin">
        <color rgb="00A6A6A6"/>
      </right>
      <top/>
      <bottom style="thin">
        <color rgb="00A6A6A6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7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164" fontId="10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166" fontId="10" fillId="5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0" fontId="17" fillId="8" borderId="1" applyAlignment="1" pivotButton="0" quotePrefix="0" xfId="0">
      <alignment horizontal="left" vertical="center" wrapText="1"/>
    </xf>
    <xf numFmtId="0" fontId="16" fillId="8" borderId="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left" vertical="center" wrapText="1"/>
    </xf>
    <xf numFmtId="0" fontId="18" fillId="3" borderId="0" applyAlignment="1" pivotButton="0" quotePrefix="0" xfId="0">
      <alignment horizontal="left" vertical="center"/>
    </xf>
    <xf numFmtId="0" fontId="17" fillId="6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left" vertical="center"/>
    </xf>
    <xf numFmtId="168" fontId="16" fillId="0" borderId="1" applyAlignment="1" pivotButton="0" quotePrefix="0" xfId="0">
      <alignment horizontal="center" vertical="center" wrapText="1"/>
    </xf>
    <xf numFmtId="2" fontId="16" fillId="0" borderId="1" applyAlignment="1" pivotButton="0" quotePrefix="0" xfId="0">
      <alignment horizontal="center" vertical="center" wrapText="1"/>
    </xf>
    <xf numFmtId="169" fontId="16" fillId="0" borderId="1" applyAlignment="1" pivotButton="0" quotePrefix="0" xfId="0">
      <alignment horizontal="center" vertical="center" wrapText="1"/>
    </xf>
    <xf numFmtId="10" fontId="16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left" vertical="center" wrapText="1"/>
    </xf>
    <xf numFmtId="4" fontId="17" fillId="6" borderId="1" applyAlignment="1" pivotButton="0" quotePrefix="0" xfId="0">
      <alignment horizontal="center" vertical="center" wrapText="1"/>
    </xf>
    <xf numFmtId="10" fontId="11" fillId="6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right" vertical="center"/>
    </xf>
    <xf numFmtId="170" fontId="22" fillId="5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40" customWidth="1" min="3" max="3"/>
    <col width="40" customWidth="1" min="4" max="4"/>
    <col width="40" customWidth="1" min="5" max="5"/>
    <col width="30" customWidth="1" min="6" max="6"/>
  </cols>
  <sheetData>
    <row r="1" ht="34" customHeight="1">
      <c r="A1" s="1" t="inlineStr">
        <is>
          <t>Unitor™ 연료유 첨가제 제품 자료 (제출용)</t>
        </is>
      </c>
    </row>
    <row r="2" ht="30" customHeight="1">
      <c r="A2" s="2" t="inlineStr">
        <is>
          <t>※ 고객 요청 양식 기준 재구성 · 제품 3종 (FuelPower Conditioner / FuelPower Catalyst / DieselPower Lubricity)
※ 제품별 적용 유종이 상이하여 열(column)을 「유종」이 아닌 「제품」 기준으로 배열하고, 유종 적용 범위는 별도 행 및 '유종별 적용' 시트에 표기</t>
        </is>
      </c>
    </row>
    <row r="4" ht="22" customHeight="1">
      <c r="A4" s="3" t="inlineStr">
        <is>
          <t>구분</t>
        </is>
      </c>
      <c r="B4" s="3" t="inlineStr">
        <is>
          <t>항목</t>
        </is>
      </c>
      <c r="C4" s="3" t="inlineStr">
        <is>
          <t>제품 ①</t>
        </is>
      </c>
      <c r="D4" s="3" t="inlineStr">
        <is>
          <t>제품 ②</t>
        </is>
      </c>
      <c r="E4" s="3" t="inlineStr">
        <is>
          <t>제품 ③</t>
        </is>
      </c>
      <c r="F4" s="3" t="inlineStr">
        <is>
          <t>비고</t>
        </is>
      </c>
    </row>
    <row r="5" ht="46" customHeight="1">
      <c r="A5" s="4" t="inlineStr">
        <is>
          <t>기본 정보</t>
        </is>
      </c>
      <c r="B5" s="5" t="inlineStr">
        <is>
          <t>제품명</t>
        </is>
      </c>
      <c r="C5" s="6" t="inlineStr">
        <is>
          <t>Unitor™ FuelPower™
Conditioner</t>
        </is>
      </c>
      <c r="D5" s="6" t="inlineStr">
        <is>
          <t>Unitor™ FuelPower™
Catalyst</t>
        </is>
      </c>
      <c r="E5" s="6" t="inlineStr">
        <is>
          <t>Unitor™ DieselPower™
Lubricity</t>
        </is>
      </c>
      <c r="F5" s="7" t="inlineStr"/>
    </row>
    <row r="6" ht="46" customHeight="1">
      <c r="A6" s="8" t="n"/>
      <c r="B6" s="5" t="inlineStr">
        <is>
          <t>제조사 / 브랜드</t>
        </is>
      </c>
      <c r="C6" s="9" t="inlineStr">
        <is>
          <t>UNITOR
(Wilhelmsen Ships Service)</t>
        </is>
      </c>
      <c r="D6" s="9" t="inlineStr">
        <is>
          <t>UNITOR
(Wilhelmsen Ships Service)</t>
        </is>
      </c>
      <c r="E6" s="9" t="inlineStr">
        <is>
          <t>UNITOR
(Wilhelmsen Ships Service)</t>
        </is>
      </c>
      <c r="F6" s="7" t="inlineStr"/>
    </row>
    <row r="7" ht="46" customHeight="1">
      <c r="A7" s="8" t="n"/>
      <c r="B7" s="5" t="inlineStr">
        <is>
          <t>국내 총판 · 대리점</t>
        </is>
      </c>
      <c r="C7" s="9" t="inlineStr">
        <is>
          <t>WSS Korea</t>
        </is>
      </c>
      <c r="D7" s="9" t="inlineStr">
        <is>
          <t>WSS Korea</t>
        </is>
      </c>
      <c r="E7" s="9" t="inlineStr">
        <is>
          <t>WSS Korea</t>
        </is>
      </c>
      <c r="F7" s="7" t="inlineStr"/>
    </row>
    <row r="8" ht="46" customHeight="1">
      <c r="A8" s="8" t="n"/>
      <c r="B8" s="5" t="inlineStr">
        <is>
          <t>제품 번호</t>
        </is>
      </c>
      <c r="C8" s="10" t="inlineStr">
        <is>
          <t>확인 필요</t>
        </is>
      </c>
      <c r="D8" s="10" t="inlineStr">
        <is>
          <t>확인 필요</t>
        </is>
      </c>
      <c r="E8" s="11" t="inlineStr">
        <is>
          <t>650-779094</t>
        </is>
      </c>
      <c r="F8" s="7" t="inlineStr">
        <is>
          <t>제품 매뉴얼 기재 번호</t>
        </is>
      </c>
    </row>
    <row r="9" ht="46" customHeight="1">
      <c r="A9" s="4" t="inlineStr">
        <is>
          <t>적용 범위</t>
        </is>
      </c>
      <c r="B9" s="5" t="inlineStr">
        <is>
          <t>적용 유종</t>
        </is>
      </c>
      <c r="C9" s="9" t="inlineStr">
        <is>
          <t>HSFO / VLSFO /
Bio-VLSFO (B30) / Bio-HFO
※ 잔사유 전용 (MGO 미적용)</t>
        </is>
      </c>
      <c r="D9" s="9" t="inlineStr">
        <is>
          <t>HSFO / VLSFO /
Bio-VLSFO (B30) / Bio-HFO
※ 잔사유 전용 (MGO 미적용)</t>
        </is>
      </c>
      <c r="E9" s="9" t="inlineStr">
        <is>
          <t>LSMGO / MGO / MDO / ULSD
Bio-LSMGO (조건부)
※ 증류유 전용</t>
        </is>
      </c>
      <c r="F9" s="7" t="inlineStr">
        <is>
          <t>상세: '유종별 적용' 시트 참조</t>
        </is>
      </c>
    </row>
    <row r="10" ht="46" customHeight="1">
      <c r="A10" s="8" t="n"/>
      <c r="B10" s="5" t="inlineStr">
        <is>
          <t>사용 목적</t>
        </is>
      </c>
      <c r="C10" s="9" t="inlineStr">
        <is>
          <t>아스팔텐 슬러지 분산 및 침전 억제
연료 안정성 · 블렌드 호환성 확보
(Stability &amp; Dispersant)</t>
        </is>
      </c>
      <c r="D10" s="9" t="inlineStr">
        <is>
          <t>연소 효율 개선 (Combustion Improver)
+ 경미한 슬러지 분산
(Mild sludge dispersancy)</t>
        </is>
      </c>
      <c r="E10" s="9" t="inlineStr">
        <is>
          <t>윤활성 개선 (Lubricity Improver)
연료펌프 플런저 · 인젝터
마모 및 고착 방지</t>
        </is>
      </c>
      <c r="F10" s="7" t="inlineStr"/>
    </row>
    <row r="11" ht="46" customHeight="1">
      <c r="A11" s="8" t="n"/>
      <c r="B11" s="5" t="inlineStr">
        <is>
          <t>기능별 주요 성분</t>
        </is>
      </c>
      <c r="C11" s="9" t="inlineStr">
        <is>
          <t>아스팔텐 분산제 계열
(상세 조성 SDS 별첨)</t>
        </is>
      </c>
      <c r="D11" s="9" t="inlineStr">
        <is>
          <t>철계 연소촉매
(Iron-based catalyst)</t>
        </is>
      </c>
      <c r="E11" s="9" t="inlineStr">
        <is>
          <t>윤활성 향상제 계열
(상세 조성 SDS 별첨)</t>
        </is>
      </c>
      <c r="F11" s="7" t="inlineStr">
        <is>
          <t>Conditioner · Lubricity 상세 조성 확인 필요</t>
        </is>
      </c>
    </row>
    <row r="12" ht="46" customHeight="1">
      <c r="A12" s="4" t="inlineStr">
        <is>
          <t>성상</t>
        </is>
      </c>
      <c r="B12" s="5" t="inlineStr">
        <is>
          <t>밀도 (kg/m³ @15℃)</t>
        </is>
      </c>
      <c r="C12" s="9" t="inlineStr">
        <is>
          <t>0.84</t>
        </is>
      </c>
      <c r="D12" s="9" t="inlineStr">
        <is>
          <t>0.96</t>
        </is>
      </c>
      <c r="E12" s="10" t="inlineStr">
        <is>
          <t>확인 필요</t>
        </is>
      </c>
      <c r="F12" s="7" t="inlineStr"/>
    </row>
    <row r="13" ht="46" customHeight="1">
      <c r="A13" s="8" t="n"/>
      <c r="B13" s="5" t="inlineStr">
        <is>
          <t>점도 (cSt)</t>
        </is>
      </c>
      <c r="C13" s="9" t="inlineStr">
        <is>
          <t>-</t>
        </is>
      </c>
      <c r="D13" s="9" t="inlineStr">
        <is>
          <t>-</t>
        </is>
      </c>
      <c r="E13" s="9" t="inlineStr">
        <is>
          <t>-</t>
        </is>
      </c>
      <c r="F13" s="7" t="inlineStr"/>
    </row>
    <row r="14" ht="46" customHeight="1">
      <c r="A14" s="8" t="n"/>
      <c r="B14" s="5" t="inlineStr">
        <is>
          <t>인화점 (℃)</t>
        </is>
      </c>
      <c r="C14" s="9" t="inlineStr">
        <is>
          <t>61℃ 초과</t>
        </is>
      </c>
      <c r="D14" s="9" t="inlineStr">
        <is>
          <t>61℃ 초과</t>
        </is>
      </c>
      <c r="E14" s="10" t="inlineStr">
        <is>
          <t>확인 필요</t>
        </is>
      </c>
      <c r="F14" s="7" t="inlineStr"/>
    </row>
    <row r="15" ht="46" customHeight="1">
      <c r="A15" s="4" t="inlineStr">
        <is>
          <t>투입 방법</t>
        </is>
      </c>
      <c r="B15" s="5" t="inlineStr">
        <is>
          <t>투입 지점</t>
        </is>
      </c>
      <c r="C15" s="9" t="inlineStr">
        <is>
          <t>Storage TK
(벙커링 시 투입 권장)</t>
        </is>
      </c>
      <c r="D15" s="9" t="inlineStr">
        <is>
          <t>Storage TK
(벙커링 시 투입 권장)</t>
        </is>
      </c>
      <c r="E15" s="9" t="inlineStr">
        <is>
          <t>Storage → Settling / Service
(Transfer Pump 이용)</t>
        </is>
      </c>
      <c r="F15" s="7" t="inlineStr"/>
    </row>
    <row r="16" ht="46" customHeight="1">
      <c r="A16" s="8" t="n"/>
      <c r="B16" s="5" t="inlineStr">
        <is>
          <t>취급 · 주의사항</t>
        </is>
      </c>
      <c r="C16" s="9" t="inlineStr">
        <is>
          <t>-</t>
        </is>
      </c>
      <c r="D16" s="9" t="inlineStr">
        <is>
          <t>-</t>
        </is>
      </c>
      <c r="E16" s="9" t="inlineStr">
        <is>
          <t>보관온도 20~40℃
천연고무 · NBR · PVC · 폴리우레탄 씰 부적합
유동점강하제 · 세탄가향상제 · 소포제 병용 가능</t>
        </is>
      </c>
      <c r="F16" s="7" t="inlineStr">
        <is>
          <t>DP Lubricity 제품 매뉴얼 기준</t>
        </is>
      </c>
    </row>
    <row r="17" ht="46" customHeight="1">
      <c r="A17" s="4" t="inlineStr">
        <is>
          <t>투입 비율
(상세)</t>
        </is>
      </c>
      <c r="B17" s="5" t="inlineStr">
        <is>
          <t>투입기준 ①
평상시 (General)</t>
        </is>
      </c>
      <c r="C17" s="9" t="inlineStr">
        <is>
          <t>1L : 15 MT
(1 : 15,000)</t>
        </is>
      </c>
      <c r="D17" s="9" t="inlineStr">
        <is>
          <t>1L : 15 MT
(1 : 15,000)</t>
        </is>
      </c>
      <c r="E17" s="9" t="inlineStr">
        <is>
          <t>1L : 10 MT
(0.1 L/ton, 100 ppm)</t>
        </is>
      </c>
      <c r="F17" s="7" t="inlineStr"/>
    </row>
    <row r="18" ht="46" customHeight="1">
      <c r="A18" s="8" t="n"/>
      <c r="B18" s="5" t="inlineStr">
        <is>
          <t>투입기준 ②
최대 (Max.)</t>
        </is>
      </c>
      <c r="C18" s="9" t="inlineStr">
        <is>
          <t>1L : 5 MT
(1 : 5,000)
※ 고 TSP · 불안정 연료 · 블렌드 불호환 시</t>
        </is>
      </c>
      <c r="D18" s="9" t="inlineStr">
        <is>
          <t>1L : 4 MT
(1 : 4,000)</t>
        </is>
      </c>
      <c r="E18" s="9" t="inlineStr">
        <is>
          <t>1L : 5 MT
(0.2 L/ton, 200 ppm)</t>
        </is>
      </c>
      <c r="F18" s="7" t="inlineStr"/>
    </row>
    <row r="19" ht="46" customHeight="1">
      <c r="A19" s="8" t="n"/>
      <c r="B19" s="5" t="inlineStr">
        <is>
          <t>투입기준 ③
최소 (Min.)</t>
        </is>
      </c>
      <c r="C19" s="9" t="inlineStr">
        <is>
          <t>1L : 25 MT
(1 : 25,000)</t>
        </is>
      </c>
      <c r="D19" s="9" t="inlineStr">
        <is>
          <t>1L : 15 MT
(1 : 15,000)</t>
        </is>
      </c>
      <c r="E19" s="9" t="inlineStr">
        <is>
          <t>1L : 10 MT
(0.1 L/ton)</t>
        </is>
      </c>
      <c r="F19" s="7" t="inlineStr"/>
    </row>
    <row r="20" ht="46" customHeight="1">
      <c r="A20" s="8" t="n"/>
      <c r="B20" s="5" t="inlineStr">
        <is>
          <t>실측 시험 근거 투입량</t>
        </is>
      </c>
      <c r="C20" s="9" t="inlineStr">
        <is>
          <t>Hot Spin 시험 기준
(제품 자료상 1 : 10,000 적용 사례 있음)</t>
        </is>
      </c>
      <c r="D20" s="9" t="inlineStr">
        <is>
          <t>100 ppm = 1L : 10 MT
★ SFOC 개선 실측 데이터는 전부
100 ppm 조건에서 취득</t>
        </is>
      </c>
      <c r="E20" s="9" t="inlineStr">
        <is>
          <t>125 ppm = 0.125 L/ton
→ HFRR 460 µm 미만 달성</t>
        </is>
      </c>
      <c r="F20" s="12" t="inlineStr">
        <is>
          <t>★ 연료절감을 목적으로 할 경우
Catalyst는 1L : 10 MT 적용 권장</t>
        </is>
      </c>
    </row>
    <row r="21" ht="46" customHeight="1">
      <c r="A21" s="4" t="inlineStr">
        <is>
          <t>투입량 · 비용</t>
        </is>
      </c>
      <c r="B21" s="5" t="inlineStr">
        <is>
          <t>평상시 기준 처리량
(1 L 당 처리 톤수, MT)</t>
        </is>
      </c>
      <c r="C21" s="13" t="n">
        <v>15</v>
      </c>
      <c r="D21" s="13" t="n">
        <v>15</v>
      </c>
      <c r="E21" s="13" t="n">
        <v>10</v>
      </c>
      <c r="F21" s="7" t="inlineStr">
        <is>
          <t>아래 계산식의 입력값 (파란색)</t>
        </is>
      </c>
    </row>
    <row r="22" ht="46" customHeight="1">
      <c r="A22" s="8" t="n"/>
      <c r="B22" s="5" t="inlineStr">
        <is>
          <t>1,000 M/T 기준 투입량 (L)</t>
        </is>
      </c>
      <c r="C22" s="14">
        <f>ROUND(1000/C21,0)</f>
        <v/>
      </c>
      <c r="D22" s="14">
        <f>ROUND(1000/D21,0)</f>
        <v/>
      </c>
      <c r="E22" s="14">
        <f>ROUND(1000/E21,0)</f>
        <v/>
      </c>
      <c r="F22" s="7">
        <f> ROUND(1000 / 처리톤수, 0)</f>
        <v/>
      </c>
    </row>
    <row r="23" ht="46" customHeight="1">
      <c r="A23" s="8" t="n"/>
      <c r="B23" s="5" t="inlineStr">
        <is>
          <t>제품단가 (USD / LITER)</t>
        </is>
      </c>
      <c r="C23" s="15" t="n"/>
      <c r="D23" s="15" t="n"/>
      <c r="E23" s="15" t="n"/>
      <c r="F23" s="12" t="inlineStr">
        <is>
          <t>★ 노란색 셀에 단가 입력</t>
        </is>
      </c>
    </row>
    <row r="24" ht="46" customHeight="1">
      <c r="A24" s="8" t="n"/>
      <c r="B24" s="5" t="inlineStr">
        <is>
          <t>1,000 M/T 기준 예상 비용 (USD)</t>
        </is>
      </c>
      <c r="C24" s="16">
        <f>IF(C23="","",C22*C23)</f>
        <v/>
      </c>
      <c r="D24" s="16">
        <f>IF(D23="","",D22*D23)</f>
        <v/>
      </c>
      <c r="E24" s="16">
        <f>IF(E23="","",E22*E23)</f>
        <v/>
      </c>
      <c r="F24" s="7">
        <f> 투입량 × 단가 (자동 계산)</f>
        <v/>
      </c>
    </row>
    <row r="25" ht="46" customHeight="1">
      <c r="A25" s="4" t="inlineStr">
        <is>
          <t>공급 조건</t>
        </is>
      </c>
      <c r="B25" s="5" t="inlineStr">
        <is>
          <t>포장 규격</t>
        </is>
      </c>
      <c r="C25" s="10" t="inlineStr">
        <is>
          <t>확인 필요</t>
        </is>
      </c>
      <c r="D25" s="10" t="inlineStr">
        <is>
          <t>확인 필요</t>
        </is>
      </c>
      <c r="E25" s="10" t="inlineStr">
        <is>
          <t>확인 필요</t>
        </is>
      </c>
      <c r="F25" s="7" t="inlineStr">
        <is>
          <t>표준 CAN / DRUM 규격 확인 후 기입</t>
        </is>
      </c>
    </row>
    <row r="26" ht="46" customHeight="1">
      <c r="A26" s="8" t="n"/>
      <c r="B26" s="5" t="inlineStr">
        <is>
          <t>보급가능지역 - 국내</t>
        </is>
      </c>
      <c r="C26" s="9" t="inlineStr">
        <is>
          <t>가능</t>
        </is>
      </c>
      <c r="D26" s="9" t="inlineStr">
        <is>
          <t>가능</t>
        </is>
      </c>
      <c r="E26" s="9" t="inlineStr">
        <is>
          <t>가능</t>
        </is>
      </c>
      <c r="F26" s="7" t="inlineStr"/>
    </row>
    <row r="27" ht="46" customHeight="1">
      <c r="A27" s="8" t="n"/>
      <c r="B27" s="5" t="inlineStr">
        <is>
          <t>보급가능지역 - 국외</t>
        </is>
      </c>
      <c r="C27" s="9" t="inlineStr">
        <is>
          <t>가능
(WSS 글로벌 네트워크)</t>
        </is>
      </c>
      <c r="D27" s="9" t="inlineStr">
        <is>
          <t>가능
(WSS 글로벌 네트워크)</t>
        </is>
      </c>
      <c r="E27" s="9" t="inlineStr">
        <is>
          <t>가능
(WSS 글로벌 네트워크)</t>
        </is>
      </c>
      <c r="F27" s="7" t="inlineStr">
        <is>
          <t>구체적 공급 가능 항구 목록 별첨 필요</t>
        </is>
      </c>
    </row>
    <row r="28" ht="46" customHeight="1">
      <c r="A28" s="4" t="inlineStr">
        <is>
          <t>기대 효과</t>
        </is>
      </c>
      <c r="B28" s="5" t="inlineStr">
        <is>
          <t>연료절감
[보증 여부]</t>
        </is>
      </c>
      <c r="C28" s="9" t="inlineStr">
        <is>
          <t>단독 기준 연료절감률 미제시
(보증 불가)
※ Catalyst 병용 시 SFOC 최대 1.31% 개선
  (CCS 입회 실선 엔진 시험)</t>
        </is>
      </c>
      <c r="D28" s="9" t="inlineStr">
        <is>
          <t>VLSFO : SFOC 1.454% 개선
Bio-VLSFO (B30) : SFOC 최대 1.31% 개선
[보증 불가 — 실측 시험 자료 기준]</t>
        </is>
      </c>
      <c r="E28" s="9" t="inlineStr">
        <is>
          <t>해당 없음
(윤활성 개선 제품)</t>
        </is>
      </c>
      <c r="F28" s="7" t="inlineStr">
        <is>
          <t>실측 시험 자료는 'Reference 상세' 시트 참조</t>
        </is>
      </c>
    </row>
    <row r="29" ht="46" customHeight="1">
      <c r="A29" s="8" t="n"/>
      <c r="B29" s="5" t="inlineStr">
        <is>
          <t>기타 효과</t>
        </is>
      </c>
      <c r="C29" s="9" t="inlineStr">
        <is>
          <t>Hot Spin 침전 평균 35.5% 감소
(8개 항구 RMG380 실측, 최고 46.67%)
정유기 · 필터 막힘 저감
블렌드 간 호환성 개선</t>
        </is>
      </c>
      <c r="D29" s="9" t="inlineStr">
        <is>
          <t>ECN (점화성 지수) 6.25% 개선
Ignition Delay 4.92% 단축
(IP 541 / FIA-100 FCA, VPS)</t>
        </is>
      </c>
      <c r="E29" s="9" t="inlineStr">
        <is>
          <t>HFRR 마모흔 535 µm (ULSD 단독, 부적합)
→ 100 ppm 396 µm / 150 ppm 355 µm
ISO 8217 (520) · EN 590 (460) 모두 충족</t>
        </is>
      </c>
      <c r="F29" s="7" t="inlineStr"/>
    </row>
    <row r="30" ht="46" customHeight="1">
      <c r="A30" s="4" t="inlineStr">
        <is>
          <t>검증 · 실적</t>
        </is>
      </c>
      <c r="B30" s="5" t="inlineStr">
        <is>
          <t>제3자 검증 /
선급 · 시험기관</t>
        </is>
      </c>
      <c r="C30" s="9" t="inlineStr">
        <is>
          <t>Lloyd's Register FOBAS
Additive Performance
Certification Scheme</t>
        </is>
      </c>
      <c r="D30" s="9" t="inlineStr">
        <is>
          <t>Veritas Petroleum Services (VPS)
China Classification Society (CCS)
Wärtsilä Letter of No Objection</t>
        </is>
      </c>
      <c r="E30" s="9" t="inlineStr">
        <is>
          <t>Lloyd's Register
Product Verification Scheme
ISO 12156-1 (HFRR)</t>
        </is>
      </c>
      <c r="F30" s="7" t="inlineStr"/>
    </row>
    <row r="31" ht="46" customHeight="1">
      <c r="A31" s="8" t="n"/>
      <c r="B31" s="5" t="inlineStr">
        <is>
          <t>주요 Reference</t>
        </is>
      </c>
      <c r="C31" s="9" t="inlineStr">
        <is>
          <t>8개 항구 RMG380 Hot Spin 실측
LR FOBAS 인증</t>
        </is>
      </c>
      <c r="D31" s="9" t="inlineStr">
        <is>
          <t>Tokyo Univ. of Marine Science &amp;
Technology (VLSFO)
Shanghai Maritime Univ. /
MAN ME-C 6S35 (B30)</t>
        </is>
      </c>
      <c r="E31" s="9" t="inlineStr">
        <is>
          <t>사내 Lab Test (ULSD, ISO 12156-1)
LR Product Verification Scheme</t>
        </is>
      </c>
      <c r="F31" s="7" t="inlineStr">
        <is>
          <t>상세: 'Reference 상세' 시트 참조</t>
        </is>
      </c>
    </row>
    <row r="32" ht="46" customHeight="1">
      <c r="A32" s="8" t="n"/>
      <c r="B32" s="5" t="inlineStr">
        <is>
          <t>주요고객 · 판매실적
(최근 3년)</t>
        </is>
      </c>
      <c r="C32" s="10" t="inlineStr">
        <is>
          <t>작성 필요</t>
        </is>
      </c>
      <c r="D32" s="10" t="inlineStr">
        <is>
          <t>작성 필요</t>
        </is>
      </c>
      <c r="E32" s="10" t="inlineStr">
        <is>
          <t>작성 필요</t>
        </is>
      </c>
      <c r="F32" s="12" t="inlineStr">
        <is>
          <t>★ 거래처별 판매실적 내부 확인 후 기입</t>
        </is>
      </c>
    </row>
    <row r="33" ht="46" customHeight="1">
      <c r="A33" s="4" t="inlineStr">
        <is>
          <t>담당자</t>
        </is>
      </c>
      <c r="B33" s="5" t="inlineStr">
        <is>
          <t>담당자 연락처</t>
        </is>
      </c>
      <c r="C33" s="11" t="inlineStr">
        <is>
          <t>이름 :
이메일 :
전화번호 :</t>
        </is>
      </c>
      <c r="D33" s="11" t="inlineStr">
        <is>
          <t>이름 :
이메일 :
전화번호 :</t>
        </is>
      </c>
      <c r="E33" s="11" t="inlineStr">
        <is>
          <t>이름 :
이메일 :
전화번호 :</t>
        </is>
      </c>
      <c r="F33" s="12" t="inlineStr">
        <is>
          <t>★ 기입 필요</t>
        </is>
      </c>
    </row>
    <row r="35" ht="108" customHeight="1">
      <c r="A35" s="17" t="inlineStr">
        <is>
          <t>▣ 작성 안내
  · 노란색 셀 = 기입 필요 항목 (제품단가 / 포장 규격 / 판매실적 / 담당자 연락처 / 제품번호 · 성상 일부)
  · 파란색 숫자 = 계산 입력값. '평상시 기준 처리량'을 바꾸면 투입량과 예상 비용이 자동으로 재계산됩니다.
  · 예상 비용 = 1,000 M/T 기준 투입량 × 제품단가. 단가 입력 전에는 공란으로 표시됩니다.
  · ★ Catalyst의 SFOC 개선 실측치(1.454% / 1.31%)는 100 ppm(1L : 10 MT) 조건에서 취득한 값입니다. 평상시 권장 투입비율(1L : 15 MT)과 다르므로, 연료절감을 제안 근거로 사용할 경우 투입량을 1L : 10 MT(1,000 M/T 당 100 L)로 산정해야 합니다.
  · 본 자료의 모든 수치는 제3자 시험기관 · 선급 실측 자료에 근거하며, 연료절감률에 대한 보증은 제공되지 않습니다.</t>
        </is>
      </c>
    </row>
  </sheetData>
  <mergeCells count="12">
    <mergeCell ref="A2:F2"/>
    <mergeCell ref="A30:A32"/>
    <mergeCell ref="A12:A14"/>
    <mergeCell ref="A28:A29"/>
    <mergeCell ref="A1:F1"/>
    <mergeCell ref="A17:A20"/>
    <mergeCell ref="A25:A27"/>
    <mergeCell ref="A15:A16"/>
    <mergeCell ref="A21:A24"/>
    <mergeCell ref="A35:F35"/>
    <mergeCell ref="A5:A8"/>
    <mergeCell ref="A9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0" customHeight="1">
      <c r="A1" s="18" t="inlineStr">
        <is>
          <t>제품별 · 유종별 적용 범위</t>
        </is>
      </c>
    </row>
    <row r="2">
      <c r="A2" s="19" t="inlineStr">
        <is>
          <t>● 권장 (Recommended)    △ 조건부 적용 (Case by case)    –  해당 없음 (N/A)</t>
        </is>
      </c>
    </row>
    <row r="4" ht="42" customHeight="1">
      <c r="A4" s="3" t="inlineStr">
        <is>
          <t>제품명</t>
        </is>
      </c>
      <c r="B4" s="3" t="inlineStr">
        <is>
          <t>HSFO</t>
        </is>
      </c>
      <c r="C4" s="3" t="inlineStr">
        <is>
          <t>VLSFO</t>
        </is>
      </c>
      <c r="D4" s="3" t="inlineStr">
        <is>
          <t>Bio-VLSFO
/ Bio-HFO
(B30)</t>
        </is>
      </c>
      <c r="E4" s="3" t="inlineStr">
        <is>
          <t>LSMGO / MGO
/ MDO</t>
        </is>
      </c>
      <c r="F4" s="3" t="inlineStr">
        <is>
          <t>Bio-LSMGO
/ Bio-MDO</t>
        </is>
      </c>
      <c r="G4" s="3" t="inlineStr">
        <is>
          <t>B100</t>
        </is>
      </c>
      <c r="H4" s="3" t="inlineStr">
        <is>
          <t>기타 용도
(Tank Mixing 등)</t>
        </is>
      </c>
    </row>
    <row r="5" ht="30" customHeight="1">
      <c r="A5" s="20" t="inlineStr">
        <is>
          <t>Unitor™ FuelPower™ Conditioner</t>
        </is>
      </c>
      <c r="B5" s="21" t="inlineStr">
        <is>
          <t>●</t>
        </is>
      </c>
      <c r="C5" s="21" t="inlineStr">
        <is>
          <t>●</t>
        </is>
      </c>
      <c r="D5" s="21" t="inlineStr">
        <is>
          <t>●</t>
        </is>
      </c>
      <c r="E5" s="22" t="inlineStr">
        <is>
          <t>–</t>
        </is>
      </c>
      <c r="F5" s="22" t="inlineStr">
        <is>
          <t>–</t>
        </is>
      </c>
      <c r="G5" s="22" t="inlineStr">
        <is>
          <t>–</t>
        </is>
      </c>
      <c r="H5" s="21" t="inlineStr">
        <is>
          <t>●</t>
        </is>
      </c>
    </row>
    <row r="6" ht="30" customHeight="1">
      <c r="A6" s="20" t="inlineStr">
        <is>
          <t>Unitor™ FuelPower™ Catalyst</t>
        </is>
      </c>
      <c r="B6" s="21" t="inlineStr">
        <is>
          <t>●</t>
        </is>
      </c>
      <c r="C6" s="21" t="inlineStr">
        <is>
          <t>●</t>
        </is>
      </c>
      <c r="D6" s="21" t="inlineStr">
        <is>
          <t>●</t>
        </is>
      </c>
      <c r="E6" s="22" t="inlineStr">
        <is>
          <t>–</t>
        </is>
      </c>
      <c r="F6" s="22" t="inlineStr">
        <is>
          <t>–</t>
        </is>
      </c>
      <c r="G6" s="22" t="inlineStr">
        <is>
          <t>–</t>
        </is>
      </c>
      <c r="H6" s="22" t="inlineStr">
        <is>
          <t>–</t>
        </is>
      </c>
    </row>
    <row r="7" ht="30" customHeight="1">
      <c r="A7" s="20" t="inlineStr">
        <is>
          <t>Unitor™ DieselPower™ Lubricity</t>
        </is>
      </c>
      <c r="B7" s="22" t="inlineStr">
        <is>
          <t>–</t>
        </is>
      </c>
      <c r="C7" s="22" t="inlineStr">
        <is>
          <t>–</t>
        </is>
      </c>
      <c r="D7" s="22" t="inlineStr">
        <is>
          <t>–</t>
        </is>
      </c>
      <c r="E7" s="21" t="inlineStr">
        <is>
          <t>●</t>
        </is>
      </c>
      <c r="F7" s="23" t="inlineStr">
        <is>
          <t>△</t>
        </is>
      </c>
      <c r="G7" s="23" t="inlineStr">
        <is>
          <t>△</t>
        </is>
      </c>
      <c r="H7" s="22" t="inlineStr">
        <is>
          <t>–</t>
        </is>
      </c>
    </row>
    <row r="9" ht="96" customHeight="1">
      <c r="A9" s="17" t="inlineStr">
        <is>
          <t>▣ 적용 근거 및 단서
  · FuelPower Conditioner / Catalyst : 잔사유(Residual) 전용 제품으로 MGO 등 증류유에는 적용하지 않습니다.
  · 기타 용도(Tank Mixing) : 서로 다른 벙커 간 혼합 시 발생하는 불호환(Incompatibility) 완화 목적의 Conditioner 적용을 의미합니다.
  · DieselPower Lubricity — Bio-LSMGO : FAME 성분 자체가 윤활성을 보완하므로 윤활성 부적합 가능성이 낮습니다. 성적서상 HFRR 값 확인 후 적용을 판단합니다.
  · DieselPower Lubricity — B100 : HVO(수소첨가 식물성 오일)에 한해 윤활성 저하가 나타납니다. 일반 FAME B100은 해당하지 않습니다.
  · 본 표는 3개 제품에 한정된 것으로, 미생물 · 저온유동성 · 산화안정성 · Ash · Soot 등 그 밖의 이슈에 대해서는 별도 제품군이 적용됩니다.</t>
        </is>
      </c>
    </row>
  </sheetData>
  <mergeCells count="3">
    <mergeCell ref="A9:H9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0" customWidth="1" min="3" max="3"/>
    <col width="30" customWidth="1" min="4" max="4"/>
    <col width="26" customWidth="1" min="5" max="5"/>
    <col width="40" customWidth="1" min="6" max="6"/>
    <col width="14" customWidth="1" min="7" max="7"/>
    <col width="30" customWidth="1" min="8" max="8"/>
  </cols>
  <sheetData>
    <row r="1" ht="30" customHeight="1">
      <c r="A1" s="18" t="inlineStr">
        <is>
          <t>제품별 실측 시험 · 제3자 검증 Reference</t>
        </is>
      </c>
    </row>
    <row r="2">
      <c r="A2" s="2" t="inlineStr">
        <is>
          <t>※ 시험/인증 기관, 적용 유종, 시험 엔진·선박, 주요 결과 요약</t>
        </is>
      </c>
    </row>
    <row r="4" ht="24" customHeight="1">
      <c r="A4" s="3" t="inlineStr">
        <is>
          <t>No.</t>
        </is>
      </c>
      <c r="B4" s="3" t="inlineStr">
        <is>
          <t>제품명</t>
        </is>
      </c>
      <c r="C4" s="3" t="inlineStr">
        <is>
          <t>적용 유종</t>
        </is>
      </c>
      <c r="D4" s="3" t="inlineStr">
        <is>
          <t>시험 / 인증 기관</t>
        </is>
      </c>
      <c r="E4" s="3" t="inlineStr">
        <is>
          <t>시험 엔진 · 선박</t>
        </is>
      </c>
      <c r="F4" s="3" t="inlineStr">
        <is>
          <t>주요 결과 요약</t>
        </is>
      </c>
      <c r="G4" s="3" t="inlineStr">
        <is>
          <t>시험 구분</t>
        </is>
      </c>
      <c r="H4" s="3" t="inlineStr">
        <is>
          <t>비고</t>
        </is>
      </c>
    </row>
    <row r="5" ht="66" customHeight="1">
      <c r="A5" s="24" t="n">
        <v>1</v>
      </c>
      <c r="B5" s="25" t="inlineStr">
        <is>
          <t>Unitor™ FuelPower™ Conditioner</t>
        </is>
      </c>
      <c r="C5" s="24" t="inlineStr">
        <is>
          <t>HSFO / VLSFO
(RMG380)</t>
        </is>
      </c>
      <c r="D5" s="26" t="inlineStr">
        <is>
          <t>Lloyd's Register FOBAS
Additive Performance
Certification Scheme</t>
        </is>
      </c>
      <c r="E5" s="26" t="inlineStr">
        <is>
          <t>-</t>
        </is>
      </c>
      <c r="F5" s="26" t="inlineStr">
        <is>
          <t>Hot Spin 침전량 평균 35.5% 감소
(8개 항구 실측, 최고 46.67%)
분리온도 40 / 98℃ 조건</t>
        </is>
      </c>
      <c r="G5" s="24" t="inlineStr">
        <is>
          <t>Actual Trial
(실측 시험)</t>
        </is>
      </c>
      <c r="H5" s="26" t="inlineStr">
        <is>
          <t>항구별 상세 결과 하단 표 참조</t>
        </is>
      </c>
    </row>
    <row r="6" ht="66" customHeight="1">
      <c r="A6" s="27" t="n">
        <v>2</v>
      </c>
      <c r="B6" s="28" t="inlineStr">
        <is>
          <t>Unitor™ FuelPower™ Conditioner
+ Unitor™ FuelPower™ Catalyst</t>
        </is>
      </c>
      <c r="C6" s="27" t="inlineStr">
        <is>
          <t>Bio-VLSFO (B30)
B30 = Bio 30%,
FAME 순도 98.8%</t>
        </is>
      </c>
      <c r="D6" s="29" t="inlineStr">
        <is>
          <t>China Classification
Society (CCS)
Wärtsilä Letter of No Objection</t>
        </is>
      </c>
      <c r="E6" s="29" t="inlineStr">
        <is>
          <t>MAN ME-C 6S35
(Shanghai Maritime Univ.)</t>
        </is>
      </c>
      <c r="F6" s="29" t="inlineStr">
        <is>
          <t>SFOC 최대 1.31% 개선
CCS 전 구간 입회, 2초 간격 데이터 기록</t>
        </is>
      </c>
      <c r="G6" s="27" t="inlineStr">
        <is>
          <t>Actual Trial
(실측 시험)</t>
        </is>
      </c>
      <c r="H6" s="29" t="inlineStr">
        <is>
          <t>CCS 검증 완료
Hot Spin 성능은 LR 검증</t>
        </is>
      </c>
    </row>
    <row r="7" ht="66" customHeight="1">
      <c r="A7" s="24" t="n">
        <v>3</v>
      </c>
      <c r="B7" s="25" t="inlineStr">
        <is>
          <t>Unitor™ FuelPower™ Catalyst</t>
        </is>
      </c>
      <c r="C7" s="24" t="inlineStr">
        <is>
          <t>VLSFO</t>
        </is>
      </c>
      <c r="D7" s="26" t="inlineStr">
        <is>
          <t>Veritas Petroleum
Services (VPS)
Wärtsilä Letter of No Objection</t>
        </is>
      </c>
      <c r="E7" s="26" t="inlineStr">
        <is>
          <t>-</t>
        </is>
      </c>
      <c r="F7" s="26" t="inlineStr">
        <is>
          <t>SFOC 1.454% 개선
ECN (점화성 지수) 6.25% 개선
Ignition Delay 4.92% 단축
(IP 541 / FIA-100 FCA 연소분석)</t>
        </is>
      </c>
      <c r="G7" s="24" t="inlineStr">
        <is>
          <t>Actual Trial
(실측 시험)</t>
        </is>
      </c>
      <c r="H7" s="26" t="inlineStr">
        <is>
          <t>SFOC 시험은 Tokyo Univ. of Marine
Science &amp; Technology 에서 고객사 실시</t>
        </is>
      </c>
    </row>
    <row r="8" ht="66" customHeight="1">
      <c r="A8" s="27" t="n">
        <v>4</v>
      </c>
      <c r="B8" s="28" t="inlineStr">
        <is>
          <t>Unitor™ FuelPower™ Catalyst</t>
        </is>
      </c>
      <c r="C8" s="27" t="inlineStr">
        <is>
          <t>Bio-VLSFO (B30)</t>
        </is>
      </c>
      <c r="D8" s="29" t="inlineStr">
        <is>
          <t>China Classification
Society (CCS)
Wärtsilä Letter of No Objection</t>
        </is>
      </c>
      <c r="E8" s="29" t="inlineStr">
        <is>
          <t>MAN ME-C 6S35
(Shanghai Maritime Univ.)</t>
        </is>
      </c>
      <c r="F8" s="29" t="inlineStr">
        <is>
          <t>SFOC 최대 1.31% 개선
(Engine Trial)</t>
        </is>
      </c>
      <c r="G8" s="27" t="inlineStr">
        <is>
          <t>Actual Trial
(실측 시험)</t>
        </is>
      </c>
      <c r="H8" s="29" t="inlineStr">
        <is>
          <t>CCS 검증 완료</t>
        </is>
      </c>
    </row>
    <row r="9" ht="66" customHeight="1">
      <c r="A9" s="24" t="n">
        <v>5</v>
      </c>
      <c r="B9" s="25" t="inlineStr">
        <is>
          <t>Unitor™ DieselPower™ Lubricity</t>
        </is>
      </c>
      <c r="C9" s="24" t="inlineStr">
        <is>
          <t>LSMGO / ULSD</t>
        </is>
      </c>
      <c r="D9" s="26" t="inlineStr">
        <is>
          <t>Lloyd's Register
Product Verification Scheme
ISO 12156-1 (HFRR)</t>
        </is>
      </c>
      <c r="E9" s="26" t="inlineStr">
        <is>
          <t>-</t>
        </is>
      </c>
      <c r="F9" s="26" t="inlineStr">
        <is>
          <t>HFRR 마모흔 (WS1.4, µm)
· ULSD 단독 : 535 (부적합)
· + 100 ppm : 396 (합격)
· + 150 ppm : 355 (합격)</t>
        </is>
      </c>
      <c r="G9" s="24" t="inlineStr">
        <is>
          <t>Lab Test
(사내 시험)</t>
        </is>
      </c>
      <c r="H9" s="26" t="inlineStr">
        <is>
          <t>ISO 8217 한계 520 µm,
EN 590 한계 460 µm 모두 충족</t>
        </is>
      </c>
    </row>
    <row r="11" ht="24" customHeight="1">
      <c r="A11" s="30" t="inlineStr">
        <is>
          <t>[상세] Unitor™ FuelPower™ Conditioner — Hot Spin Test 항구별 실측 결과 (RMG380)</t>
        </is>
      </c>
    </row>
    <row r="12" ht="32" customHeight="1">
      <c r="A12" s="31" t="inlineStr">
        <is>
          <t>항구</t>
        </is>
      </c>
      <c r="B12" s="31" t="inlineStr">
        <is>
          <t>점도
(cSt @50℃)</t>
        </is>
      </c>
      <c r="C12" s="31" t="inlineStr">
        <is>
          <t>MCR (%)</t>
        </is>
      </c>
      <c r="D12" s="31" t="inlineStr">
        <is>
          <t>분리온도
(℃)</t>
        </is>
      </c>
      <c r="E12" s="31" t="inlineStr">
        <is>
          <t>Before
(침전 %)</t>
        </is>
      </c>
      <c r="F12" s="31" t="inlineStr">
        <is>
          <t>After
(침전 %)</t>
        </is>
      </c>
      <c r="G12" s="31" t="inlineStr">
        <is>
          <t>개선율 (%)</t>
        </is>
      </c>
      <c r="H12" s="31" t="inlineStr">
        <is>
          <t>비고</t>
        </is>
      </c>
    </row>
    <row r="13" ht="18" customHeight="1">
      <c r="A13" s="32" t="inlineStr">
        <is>
          <t>Zeebrugge</t>
        </is>
      </c>
      <c r="B13" s="33" t="n">
        <v>335.2</v>
      </c>
      <c r="C13" s="34" t="n">
        <v>11.6</v>
      </c>
      <c r="D13" s="35" t="n">
        <v>98</v>
      </c>
      <c r="E13" s="34" t="n">
        <v>0.19</v>
      </c>
      <c r="F13" s="34" t="n">
        <v>0.13</v>
      </c>
      <c r="G13" s="36">
        <f>(E13-F13)/E13</f>
        <v/>
      </c>
      <c r="H13" s="37" t="inlineStr"/>
    </row>
    <row r="14" ht="18" customHeight="1">
      <c r="A14" s="32" t="inlineStr">
        <is>
          <t>Tuapse</t>
        </is>
      </c>
      <c r="B14" s="33" t="n">
        <v>18.9</v>
      </c>
      <c r="C14" s="34" t="n">
        <v>2.96</v>
      </c>
      <c r="D14" s="35" t="n">
        <v>40</v>
      </c>
      <c r="E14" s="34" t="n">
        <v>0.24</v>
      </c>
      <c r="F14" s="34" t="n">
        <v>0.2</v>
      </c>
      <c r="G14" s="36">
        <f>(E14-F14)/E14</f>
        <v/>
      </c>
      <c r="H14" s="37" t="inlineStr">
        <is>
          <t>저점도 · 분리온도 40℃ 조건</t>
        </is>
      </c>
    </row>
    <row r="15" ht="18" customHeight="1">
      <c r="A15" s="32" t="inlineStr">
        <is>
          <t>Amsterdam</t>
        </is>
      </c>
      <c r="B15" s="33" t="n">
        <v>206.6</v>
      </c>
      <c r="C15" s="34" t="n">
        <v>10.91</v>
      </c>
      <c r="D15" s="35" t="n">
        <v>98</v>
      </c>
      <c r="E15" s="34" t="n">
        <v>0.15</v>
      </c>
      <c r="F15" s="34" t="n">
        <v>0.08</v>
      </c>
      <c r="G15" s="36">
        <f>(E15-F15)/E15</f>
        <v/>
      </c>
      <c r="H15" s="37" t="inlineStr"/>
    </row>
    <row r="16" ht="18" customHeight="1">
      <c r="A16" s="32" t="inlineStr">
        <is>
          <t>Flushing</t>
        </is>
      </c>
      <c r="B16" s="33" t="n">
        <v>239.7</v>
      </c>
      <c r="C16" s="34" t="n">
        <v>9.08</v>
      </c>
      <c r="D16" s="35" t="n">
        <v>98</v>
      </c>
      <c r="E16" s="34" t="n">
        <v>0.13</v>
      </c>
      <c r="F16" s="34" t="n">
        <v>0.09</v>
      </c>
      <c r="G16" s="36">
        <f>(E16-F16)/E16</f>
        <v/>
      </c>
      <c r="H16" s="37" t="inlineStr"/>
    </row>
    <row r="17" ht="18" customHeight="1">
      <c r="A17" s="32" t="inlineStr">
        <is>
          <t>Duqm</t>
        </is>
      </c>
      <c r="B17" s="33" t="n">
        <v>230.7</v>
      </c>
      <c r="C17" s="34" t="n">
        <v>7.15</v>
      </c>
      <c r="D17" s="35" t="n">
        <v>98</v>
      </c>
      <c r="E17" s="34" t="n">
        <v>0.33</v>
      </c>
      <c r="F17" s="34" t="n">
        <v>0.2</v>
      </c>
      <c r="G17" s="36">
        <f>(E17-F17)/E17</f>
        <v/>
      </c>
      <c r="H17" s="37" t="inlineStr"/>
    </row>
    <row r="18" ht="18" customHeight="1">
      <c r="A18" s="32" t="inlineStr">
        <is>
          <t>Amsterdam</t>
        </is>
      </c>
      <c r="B18" s="33" t="n">
        <v>314.4</v>
      </c>
      <c r="C18" s="34" t="n">
        <v>10.02</v>
      </c>
      <c r="D18" s="35" t="n">
        <v>98</v>
      </c>
      <c r="E18" s="34" t="n">
        <v>0.16</v>
      </c>
      <c r="F18" s="34" t="n">
        <v>0.1</v>
      </c>
      <c r="G18" s="36">
        <f>(E18-F18)/E18</f>
        <v/>
      </c>
      <c r="H18" s="37" t="inlineStr"/>
    </row>
    <row r="19" ht="18" customHeight="1">
      <c r="A19" s="32" t="inlineStr">
        <is>
          <t>Vlissingen</t>
        </is>
      </c>
      <c r="B19" s="33" t="n">
        <v>242.8</v>
      </c>
      <c r="C19" s="34" t="n">
        <v>10.5</v>
      </c>
      <c r="D19" s="35" t="n">
        <v>98</v>
      </c>
      <c r="E19" s="34" t="n">
        <v>0.13</v>
      </c>
      <c r="F19" s="34" t="n">
        <v>0.07000000000000001</v>
      </c>
      <c r="G19" s="36">
        <f>(E19-F19)/E19</f>
        <v/>
      </c>
      <c r="H19" s="37" t="inlineStr"/>
    </row>
    <row r="20" ht="18" customHeight="1">
      <c r="A20" s="32" t="inlineStr">
        <is>
          <t>Callao</t>
        </is>
      </c>
      <c r="B20" s="33" t="n">
        <v>335.1</v>
      </c>
      <c r="C20" s="34" t="n">
        <v>8.84</v>
      </c>
      <c r="D20" s="35" t="n">
        <v>98</v>
      </c>
      <c r="E20" s="34" t="n">
        <v>0.17</v>
      </c>
      <c r="F20" s="34" t="n">
        <v>0.11</v>
      </c>
      <c r="G20" s="36">
        <f>(E20-F20)/E20</f>
        <v/>
      </c>
      <c r="H20" s="37" t="inlineStr"/>
    </row>
    <row r="21">
      <c r="A21" s="31" t="inlineStr">
        <is>
          <t>평균</t>
        </is>
      </c>
      <c r="B21" s="38">
        <f>AVERAGE(B13:B20)</f>
        <v/>
      </c>
      <c r="C21" s="38">
        <f>AVERAGE(C13:C20)</f>
        <v/>
      </c>
      <c r="D21" s="31" t="inlineStr">
        <is>
          <t>-</t>
        </is>
      </c>
      <c r="E21" s="38">
        <f>AVERAGE(E13:E20)</f>
        <v/>
      </c>
      <c r="F21" s="38">
        <f>AVERAGE(F13:F20)</f>
        <v/>
      </c>
      <c r="G21" s="39">
        <f>AVERAGE(G13:G20)</f>
        <v/>
      </c>
      <c r="H21" s="40" t="inlineStr">
        <is>
          <t>최고 개선율 46.67% (Amsterdam)</t>
        </is>
      </c>
    </row>
    <row r="23" ht="82" customHeight="1">
      <c r="A23" s="17" t="inlineStr">
        <is>
          <t>▣ 출처 및 단서
  · Hot Spin 실측 : Wilhelmsen Ships Service 사내 실측 데이터 (RMG380, 분리온도 40 / 98℃) · Lloyd's Register FOBAS 인증
  · Hot Spin Test 는 저장 중 발생할 슬러지 생성 가능성을 사전 측정하는 시험으로, 원심관 바닥 축적량 약 0.2% 이상을 위험 신호로 봅니다.
  · HFRR 마모흔은 시험구(⌀6 mm 볼)에 생긴 자국의 지름이며, 펌프 내부 치수가 아닙니다. 한계선은 실제 분사장비 고장 이력에서 정해졌습니다.
  · SFOC 개선 수치는 해당 시험 조건(연료 · 엔진 · 부하 · 투입량)에서의 실측 결과이며, 타 선박에서의 동일한 결과를 보증하지 않습니다.</t>
        </is>
      </c>
    </row>
  </sheetData>
  <mergeCells count="4">
    <mergeCell ref="A23:H23"/>
    <mergeCell ref="A11:H11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30" customWidth="1" min="3" max="3"/>
    <col width="18" customWidth="1" min="4" max="4"/>
    <col width="18" customWidth="1" min="5" max="5"/>
    <col width="16" customWidth="1" min="6" max="6"/>
    <col width="20" customWidth="1" min="7" max="7"/>
  </cols>
  <sheetData>
    <row r="1" ht="30" customHeight="1">
      <c r="A1" s="18" t="inlineStr">
        <is>
          <t>벙커량 기준 투입량 · 비용 산출</t>
        </is>
      </c>
    </row>
    <row r="2">
      <c r="A2" s="2" t="inlineStr">
        <is>
          <t>※ 노란색 셀(벙커량 · 제품단가)만 입력하면 투입량과 비용이 자동 계산됩니다.</t>
        </is>
      </c>
    </row>
    <row r="4">
      <c r="A4" s="41" t="inlineStr">
        <is>
          <t>벙커량 (M/T)</t>
        </is>
      </c>
      <c r="B4" s="42" t="n">
        <v>1000</v>
      </c>
      <c r="C4" s="43" t="inlineStr">
        <is>
          <t>← 실제 벙커 수량을 입력하십시오 (기본값 1,000 M/T)</t>
        </is>
      </c>
    </row>
    <row r="6" ht="36" customHeight="1">
      <c r="A6" s="3" t="inlineStr">
        <is>
          <t>제품명</t>
        </is>
      </c>
      <c r="B6" s="3" t="inlineStr">
        <is>
          <t>적용 유종</t>
        </is>
      </c>
      <c r="C6" s="3" t="inlineStr">
        <is>
          <t>투입 시나리오</t>
        </is>
      </c>
      <c r="D6" s="3" t="inlineStr">
        <is>
          <t>투입 비율
(1 L 당 처리 MT)</t>
        </is>
      </c>
      <c r="E6" s="3" t="inlineStr">
        <is>
          <t>필요 투입량 (L)</t>
        </is>
      </c>
      <c r="F6" s="3" t="inlineStr">
        <is>
          <t>제품단가
(USD / L)</t>
        </is>
      </c>
      <c r="G6" s="3" t="inlineStr">
        <is>
          <t>예상 비용 (USD)</t>
        </is>
      </c>
    </row>
    <row r="7" ht="30" customHeight="1">
      <c r="A7" s="20" t="inlineStr">
        <is>
          <t>Unitor™ FuelPower™ Conditioner</t>
        </is>
      </c>
      <c r="B7" s="27" t="inlineStr">
        <is>
          <t>HSFO / VLSFO /
Bio-VLSFO</t>
        </is>
      </c>
      <c r="C7" s="29" t="inlineStr">
        <is>
          <t>평상시 (General)</t>
        </is>
      </c>
      <c r="D7" s="13" t="n">
        <v>15</v>
      </c>
      <c r="E7" s="14">
        <f>ROUND($B$4/D7,0)</f>
        <v/>
      </c>
      <c r="F7" s="15" t="n"/>
      <c r="G7" s="16">
        <f>IF(F7="","",E7*F7)</f>
        <v/>
      </c>
    </row>
    <row r="8" ht="30" customHeight="1">
      <c r="A8" s="44" t="n"/>
      <c r="B8" s="44" t="n"/>
      <c r="C8" s="29" t="inlineStr">
        <is>
          <t>최대 (Max.)</t>
        </is>
      </c>
      <c r="D8" s="13" t="n">
        <v>5</v>
      </c>
      <c r="E8" s="14">
        <f>ROUND($B$4/D8,0)</f>
        <v/>
      </c>
      <c r="F8" s="15" t="n"/>
      <c r="G8" s="16">
        <f>IF(F8="","",E8*F8)</f>
        <v/>
      </c>
    </row>
    <row r="9" ht="30" customHeight="1">
      <c r="A9" s="45" t="n"/>
      <c r="B9" s="45" t="n"/>
      <c r="C9" s="29" t="inlineStr">
        <is>
          <t>최소 (Min.)</t>
        </is>
      </c>
      <c r="D9" s="13" t="n">
        <v>25</v>
      </c>
      <c r="E9" s="14">
        <f>ROUND($B$4/D9,0)</f>
        <v/>
      </c>
      <c r="F9" s="15" t="n"/>
      <c r="G9" s="16">
        <f>IF(F9="","",E9*F9)</f>
        <v/>
      </c>
    </row>
    <row r="10" ht="30" customHeight="1">
      <c r="A10" s="20" t="inlineStr">
        <is>
          <t>Unitor™ FuelPower™ Catalyst</t>
        </is>
      </c>
      <c r="B10" s="27" t="inlineStr">
        <is>
          <t>HSFO / VLSFO /
Bio-VLSFO</t>
        </is>
      </c>
      <c r="C10" s="29" t="inlineStr">
        <is>
          <t>평상시 (General)</t>
        </is>
      </c>
      <c r="D10" s="13" t="n">
        <v>15</v>
      </c>
      <c r="E10" s="14">
        <f>ROUND($B$4/D10,0)</f>
        <v/>
      </c>
      <c r="F10" s="15" t="n"/>
      <c r="G10" s="16">
        <f>IF(F10="","",E10*F10)</f>
        <v/>
      </c>
    </row>
    <row r="11" ht="30" customHeight="1">
      <c r="A11" s="44" t="n"/>
      <c r="B11" s="44" t="n"/>
      <c r="C11" s="12" t="inlineStr">
        <is>
          <t>★ 연료절감 실측 조건 (100 ppm)</t>
        </is>
      </c>
      <c r="D11" s="13" t="n">
        <v>10</v>
      </c>
      <c r="E11" s="14">
        <f>ROUND($B$4/D11,0)</f>
        <v/>
      </c>
      <c r="F11" s="15" t="n"/>
      <c r="G11" s="16">
        <f>IF(F11="","",E11*F11)</f>
        <v/>
      </c>
    </row>
    <row r="12" ht="30" customHeight="1">
      <c r="A12" s="45" t="n"/>
      <c r="B12" s="45" t="n"/>
      <c r="C12" s="29" t="inlineStr">
        <is>
          <t>최대 (Max.)</t>
        </is>
      </c>
      <c r="D12" s="13" t="n">
        <v>4</v>
      </c>
      <c r="E12" s="14">
        <f>ROUND($B$4/D12,0)</f>
        <v/>
      </c>
      <c r="F12" s="15" t="n"/>
      <c r="G12" s="16">
        <f>IF(F12="","",E12*F12)</f>
        <v/>
      </c>
    </row>
    <row r="13" ht="30" customHeight="1">
      <c r="A13" s="20" t="inlineStr">
        <is>
          <t>Unitor™ DieselPower™ Lubricity</t>
        </is>
      </c>
      <c r="B13" s="27" t="inlineStr">
        <is>
          <t>LSMGO / MGO /
MDO</t>
        </is>
      </c>
      <c r="C13" s="29" t="inlineStr">
        <is>
          <t>평상시 (General, 100 ppm)</t>
        </is>
      </c>
      <c r="D13" s="13" t="n">
        <v>10</v>
      </c>
      <c r="E13" s="14">
        <f>ROUND($B$4/D13,0)</f>
        <v/>
      </c>
      <c r="F13" s="15" t="n"/>
      <c r="G13" s="16">
        <f>IF(F13="","",E13*F13)</f>
        <v/>
      </c>
    </row>
    <row r="14" ht="30" customHeight="1">
      <c r="A14" s="44" t="n"/>
      <c r="B14" s="44" t="n"/>
      <c r="C14" s="29" t="inlineStr">
        <is>
          <t>시험 근거 (125 ppm)</t>
        </is>
      </c>
      <c r="D14" s="13" t="n">
        <v>8</v>
      </c>
      <c r="E14" s="14">
        <f>ROUND($B$4/D14,0)</f>
        <v/>
      </c>
      <c r="F14" s="15" t="n"/>
      <c r="G14" s="16">
        <f>IF(F14="","",E14*F14)</f>
        <v/>
      </c>
    </row>
    <row r="15" ht="30" customHeight="1">
      <c r="A15" s="45" t="n"/>
      <c r="B15" s="45" t="n"/>
      <c r="C15" s="29" t="inlineStr">
        <is>
          <t>최대 (Max., 200 ppm)</t>
        </is>
      </c>
      <c r="D15" s="13" t="n">
        <v>5</v>
      </c>
      <c r="E15" s="14">
        <f>ROUND($B$4/D15,0)</f>
        <v/>
      </c>
      <c r="F15" s="15" t="n"/>
      <c r="G15" s="16">
        <f>IF(F15="","",E15*F15)</f>
        <v/>
      </c>
    </row>
    <row r="17" ht="90" customHeight="1">
      <c r="A17" s="17" t="inlineStr">
        <is>
          <t>▣ 산출 기준
  · 필요 투입량 (L) = 벙커량 (M/T) ÷ 투입 비율 (1 L 당 처리 MT), 리터 단위 반올림
  · 예상 비용 (USD) = 필요 투입량 × 제품단가. 단가 입력 전에는 공란으로 표시됩니다.
  · ★ FuelPower Catalyst 의 SFOC 개선 실측치(VLSFO 1.454% / Bio-VLSFO 1.31%)는 100 ppm(1L : 10 MT) 조건에서 취득한 값입니다. 연료절감을 근거로 제안할 경우 이 행을 기준으로 산출하십시오.
  · Conditioner 와 Catalyst 를 병용할 경우 두 제품의 투입량과 비용을 각각 합산해야 합니다. (Bio-VLSFO B30 실선 시험은 Catalyst 1L + Conditioner 1L per 10 MT 조건에서 수행되었습니다.)</t>
        </is>
      </c>
    </row>
  </sheetData>
  <mergeCells count="10">
    <mergeCell ref="C4:G4"/>
    <mergeCell ref="A7:A9"/>
    <mergeCell ref="A1:G1"/>
    <mergeCell ref="A17:G17"/>
    <mergeCell ref="B10:B12"/>
    <mergeCell ref="A10:A12"/>
    <mergeCell ref="B13:B15"/>
    <mergeCell ref="A2:G2"/>
    <mergeCell ref="B7:B9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2026-08-13T06:26:40Z</dcterms:created>
  <dcterms:modified xsi:type="dcterms:W3CDTF">2026-08-13T06:26:40Z</dcterms:modified>
</cp:coreProperties>
</file>