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OPEX 상세" sheetId="2" state="visible" r:id="rId4"/>
    <sheet name="코드관리" sheetId="3" state="visible" r:id="rId5"/>
    <sheet name="설정" sheetId="4" state="visible" r:id="rId6"/>
  </sheets>
  <definedNames>
    <definedName function="false" hidden="true" localSheetId="1" name="_xlnm._FilterDatabase" vbProcedure="false">'OPEX 상세'!$A$4:$R$205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<sst xmlns="http://schemas.openxmlformats.org/spreadsheetml/2006/main" count="411" uniqueCount="112">
  <si>
    <r>
      <rPr>
        <b val="true"/>
        <sz val="14"/>
        <rFont val="맑은 고딕"/>
        <family val="0"/>
        <charset val="1"/>
      </rPr>
      <t xml:space="preserve">OPEX </t>
    </r>
    <r>
      <rPr>
        <b val="true"/>
        <sz val="14"/>
        <rFont val="WenQuanYi Zen Hei"/>
        <family val="2"/>
      </rPr>
      <t xml:space="preserve">요약 </t>
    </r>
    <r>
      <rPr>
        <b val="true"/>
        <sz val="14"/>
        <rFont val="맑은 고딕"/>
        <family val="0"/>
        <charset val="1"/>
      </rPr>
      <t xml:space="preserve">- </t>
    </r>
    <r>
      <rPr>
        <b val="true"/>
        <sz val="14"/>
        <rFont val="WenQuanYi Zen Hei"/>
        <family val="2"/>
      </rPr>
      <t xml:space="preserve">업체별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선박별</t>
    </r>
  </si>
  <si>
    <r>
      <rPr>
        <sz val="9"/>
        <color rgb="FF666666"/>
        <rFont val="WenQuanYi Zen Hei"/>
        <family val="2"/>
      </rPr>
      <t xml:space="preserve">단위</t>
    </r>
    <r>
      <rPr>
        <sz val="9"/>
        <color rgb="FF666666"/>
        <rFont val="맑은 고딕"/>
        <family val="0"/>
        <charset val="1"/>
      </rPr>
      <t xml:space="preserve">: KRW (</t>
    </r>
    <r>
      <rPr>
        <sz val="9"/>
        <color rgb="FF666666"/>
        <rFont val="WenQuanYi Zen Hei"/>
        <family val="2"/>
      </rPr>
      <t xml:space="preserve">부가세 포함 합계 기준</t>
    </r>
    <r>
      <rPr>
        <sz val="9"/>
        <color rgb="FF666666"/>
        <rFont val="맑은 고딕"/>
        <family val="0"/>
        <charset val="1"/>
      </rPr>
      <t xml:space="preserve">).  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시트에서 자동 집계</t>
    </r>
    <r>
      <rPr>
        <sz val="9"/>
        <color rgb="FF666666"/>
        <rFont val="맑은 고딕"/>
        <family val="0"/>
        <charset val="1"/>
      </rPr>
      <t xml:space="preserve">.  USD </t>
    </r>
    <r>
      <rPr>
        <sz val="9"/>
        <color rgb="FF666666"/>
        <rFont val="WenQuanYi Zen Hei"/>
        <family val="2"/>
      </rPr>
      <t xml:space="preserve">적용환율</t>
    </r>
    <r>
      <rPr>
        <sz val="9"/>
        <color rgb="FF666666"/>
        <rFont val="맑은 고딕"/>
        <family val="0"/>
        <charset val="1"/>
      </rPr>
      <t xml:space="preserve">:</t>
    </r>
  </si>
  <si>
    <t xml:space="preserve">No</t>
  </si>
  <si>
    <t xml:space="preserve">업체명</t>
  </si>
  <si>
    <t xml:space="preserve">NORTH LIGHT</t>
  </si>
  <si>
    <t xml:space="preserve">NORTH MOON</t>
  </si>
  <si>
    <t xml:space="preserve">NORTH OCEAN</t>
  </si>
  <si>
    <t xml:space="preserve">NORTH VALLEY</t>
  </si>
  <si>
    <r>
      <rPr>
        <b val="true"/>
        <sz val="10"/>
        <rFont val="WenQuanYi Zen Hei"/>
        <family val="2"/>
      </rPr>
      <t xml:space="preserve">공통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미배분</t>
    </r>
    <r>
      <rPr>
        <b val="true"/>
        <sz val="10"/>
        <rFont val="맑은 고딕"/>
        <family val="0"/>
        <charset val="1"/>
      </rPr>
      <t xml:space="preserve">)</t>
    </r>
  </si>
  <si>
    <t xml:space="preserve">업체 총합계</t>
  </si>
  <si>
    <t xml:space="preserve">공급가액</t>
  </si>
  <si>
    <t xml:space="preserve">부가세</t>
  </si>
  <si>
    <t xml:space="preserve">추가가능
부가세</t>
  </si>
  <si>
    <r>
      <rPr>
        <b val="true"/>
        <sz val="10"/>
        <rFont val="맑은 고딕"/>
        <family val="0"/>
        <charset val="1"/>
      </rPr>
      <t xml:space="preserve">VAT</t>
    </r>
    <r>
      <rPr>
        <b val="true"/>
        <sz val="10"/>
        <rFont val="WenQuanYi Zen Hei"/>
        <family val="2"/>
      </rPr>
      <t xml:space="preserve">추가 시
예상 총액</t>
    </r>
  </si>
  <si>
    <t xml:space="preserve">상태</t>
  </si>
  <si>
    <t xml:space="preserve">고려문화사</t>
  </si>
  <si>
    <t xml:space="preserve">네오맥스</t>
  </si>
  <si>
    <t xml:space="preserve">디앤오</t>
  </si>
  <si>
    <t xml:space="preserve">비아이자이로</t>
  </si>
  <si>
    <t xml:space="preserve">시웨이글로벌</t>
  </si>
  <si>
    <t xml:space="preserve">옥슨앤파트너스</t>
  </si>
  <si>
    <t xml:space="preserve">제이앤캐이</t>
  </si>
  <si>
    <t xml:space="preserve">한국해양개발</t>
  </si>
  <si>
    <t xml:space="preserve">한일후지코리아</t>
  </si>
  <si>
    <t xml:space="preserve">해인쉽스서비스</t>
  </si>
  <si>
    <t xml:space="preserve">화인컴에스이</t>
  </si>
  <si>
    <t xml:space="preserve">합계</t>
  </si>
  <si>
    <r>
      <rPr>
        <sz val="9"/>
        <color rgb="FF666666"/>
        <rFont val="WenQuanYi Zen Hei"/>
        <family val="2"/>
      </rPr>
      <t xml:space="preserve">검증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상세 합계와 차이</t>
    </r>
    <r>
      <rPr>
        <sz val="9"/>
        <color rgb="FF666666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</si>
  <si>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선박별 공급가액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부가세</t>
    </r>
  </si>
  <si>
    <t xml:space="preserve">선박</t>
  </si>
  <si>
    <t xml:space="preserve">비중</t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</si>
  <si>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미배분</t>
    </r>
    <r>
      <rPr>
        <sz val="10"/>
        <rFont val="맑은 고딕"/>
        <family val="0"/>
        <charset val="1"/>
      </rPr>
      <t xml:space="preserve">)</t>
    </r>
  </si>
  <si>
    <t xml:space="preserve">참고</t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</si>
  <si>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공통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미배분</t>
    </r>
    <r>
      <rPr>
        <sz val="9"/>
        <color rgb="FF666666"/>
        <rFont val="맑은 고딕"/>
        <family val="0"/>
        <charset val="1"/>
      </rPr>
      <t xml:space="preserve">): </t>
    </r>
    <r>
      <rPr>
        <sz val="9"/>
        <color rgb="FF666666"/>
        <rFont val="WenQuanYi Zen Hei"/>
        <family val="2"/>
      </rPr>
      <t xml:space="preserve">금액이 작거나 선박별로 쪼개기 애매한 건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고려문화사 로그북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시웨이글로벌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화인컴에스이</t>
    </r>
    <r>
      <rPr>
        <sz val="9"/>
        <color rgb="FF666666"/>
        <rFont val="맑은 고딕"/>
        <family val="0"/>
        <charset val="1"/>
      </rPr>
      <t xml:space="preserve">).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</si>
  <si>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시웨이글로벌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화인컴에스이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적재허가서 문제로 현재 부가세별도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부가세 </t>
    </r>
    <r>
      <rPr>
        <sz val="9"/>
        <color rgb="FF666666"/>
        <rFont val="맑은 고딕"/>
        <family val="0"/>
        <charset val="1"/>
      </rPr>
      <t xml:space="preserve">10% </t>
    </r>
    <r>
      <rPr>
        <sz val="9"/>
        <color rgb="FF666666"/>
        <rFont val="WenQuanYi Zen Hei"/>
        <family val="2"/>
      </rPr>
      <t xml:space="preserve">추가 시 </t>
    </r>
    <r>
      <rPr>
        <sz val="9"/>
        <color rgb="FF666666"/>
        <rFont val="맑은 고딕"/>
        <family val="0"/>
        <charset val="1"/>
      </rPr>
      <t xml:space="preserve">'</t>
    </r>
    <r>
      <rPr>
        <sz val="9"/>
        <color rgb="FF666666"/>
        <rFont val="WenQuanYi Zen Hei"/>
        <family val="2"/>
      </rPr>
      <t xml:space="preserve">추가가능 부가세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만큼 증가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</si>
  <si>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네오맥스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옥슨앤파트너스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한일후지코리아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데이터 입력 대기</t>
    </r>
    <r>
      <rPr>
        <sz val="9"/>
        <color rgb="FF666666"/>
        <rFont val="맑은 고딕"/>
        <family val="0"/>
        <charset val="1"/>
      </rPr>
      <t xml:space="preserve">. 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빈 행에 입력하면 자동 반영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</si>
  <si>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맑은 고딕"/>
        <family val="0"/>
        <charset val="1"/>
      </rPr>
      <t xml:space="preserve">· USD </t>
    </r>
    <r>
      <rPr>
        <sz val="9"/>
        <color rgb="FF666666"/>
        <rFont val="WenQuanYi Zen Hei"/>
        <family val="2"/>
      </rPr>
      <t xml:space="preserve">항목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디앤오 </t>
    </r>
    <r>
      <rPr>
        <sz val="9"/>
        <color rgb="FF666666"/>
        <rFont val="맑은 고딕"/>
        <family val="0"/>
        <charset val="1"/>
      </rPr>
      <t xml:space="preserve">Server, NAS)</t>
    </r>
    <r>
      <rPr>
        <sz val="9"/>
        <color rgb="FF666666"/>
        <rFont val="WenQuanYi Zen Hei"/>
        <family val="2"/>
      </rPr>
      <t xml:space="preserve">은 </t>
    </r>
    <r>
      <rPr>
        <sz val="9"/>
        <color rgb="FF666666"/>
        <rFont val="맑은 고딕"/>
        <family val="0"/>
        <charset val="1"/>
      </rPr>
      <t xml:space="preserve">'</t>
    </r>
    <r>
      <rPr>
        <sz val="9"/>
        <color rgb="FF666666"/>
        <rFont val="WenQuanYi Zen Hei"/>
        <family val="2"/>
      </rPr>
      <t xml:space="preserve">설정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환율로 원화 환산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환율 확정 시 설정 시트 노란 칸만 수정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</si>
  <si>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4"/>
        <rFont val="맑은 고딕"/>
        <family val="0"/>
        <charset val="1"/>
      </rPr>
      <t xml:space="preserve">OPEX </t>
    </r>
    <r>
      <rPr>
        <b val="true"/>
        <sz val="14"/>
        <rFont val="WenQuanYi Zen Hei"/>
        <family val="2"/>
      </rPr>
      <t xml:space="preserve">상세 내역</t>
    </r>
  </si>
  <si>
    <r>
      <rPr>
        <sz val="9"/>
        <color rgb="FF666666"/>
        <rFont val="WenQuanYi Zen Hei"/>
        <family val="2"/>
      </rPr>
      <t xml:space="preserve">입력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파란 글씨 칸만 입력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검정 글씨는 자동계산</t>
    </r>
    <r>
      <rPr>
        <sz val="9"/>
        <color rgb="FF666666"/>
        <rFont val="맑은 고딕"/>
        <family val="0"/>
        <charset val="1"/>
      </rPr>
      <t xml:space="preserve">.  </t>
    </r>
    <r>
      <rPr>
        <sz val="9"/>
        <color rgb="FF666666"/>
        <rFont val="WenQuanYi Zen Hei"/>
        <family val="2"/>
      </rPr>
      <t xml:space="preserve">비과세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부가세 없음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부가세별도</t>
    </r>
    <r>
      <rPr>
        <sz val="9"/>
        <color rgb="FF666666"/>
        <rFont val="맑은 고딕"/>
        <family val="0"/>
        <charset val="1"/>
      </rPr>
      <t xml:space="preserve">).  </t>
    </r>
    <r>
      <rPr>
        <sz val="9"/>
        <color rgb="FF666666"/>
        <rFont val="WenQuanYi Zen Hei"/>
        <family val="2"/>
      </rPr>
      <t xml:space="preserve">과세 </t>
    </r>
    <r>
      <rPr>
        <sz val="9"/>
        <color rgb="FF666666"/>
        <rFont val="맑은 고딕"/>
        <family val="0"/>
        <charset val="1"/>
      </rPr>
      <t xml:space="preserve">+ 'VAT</t>
    </r>
    <r>
      <rPr>
        <sz val="9"/>
        <color rgb="FF666666"/>
        <rFont val="WenQuanYi Zen Hei"/>
        <family val="2"/>
      </rPr>
      <t xml:space="preserve">포함</t>
    </r>
    <r>
      <rPr>
        <sz val="9"/>
        <color rgb="FF666666"/>
        <rFont val="맑은 고딕"/>
        <family val="0"/>
        <charset val="1"/>
      </rPr>
      <t xml:space="preserve">' = </t>
    </r>
    <r>
      <rPr>
        <sz val="9"/>
        <color rgb="FF666666"/>
        <rFont val="WenQuanYi Zen Hei"/>
        <family val="2"/>
      </rPr>
      <t xml:space="preserve">입력금액에 부가세 포함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과세 </t>
    </r>
    <r>
      <rPr>
        <sz val="9"/>
        <color rgb="FF666666"/>
        <rFont val="맑은 고딕"/>
        <family val="0"/>
        <charset val="1"/>
      </rPr>
      <t xml:space="preserve">+ 'VAT</t>
    </r>
    <r>
      <rPr>
        <sz val="9"/>
        <color rgb="FF666666"/>
        <rFont val="WenQuanYi Zen Hei"/>
        <family val="2"/>
      </rPr>
      <t xml:space="preserve">별도</t>
    </r>
    <r>
      <rPr>
        <sz val="9"/>
        <color rgb="FF666666"/>
        <rFont val="맑은 고딕"/>
        <family val="0"/>
        <charset val="1"/>
      </rPr>
      <t xml:space="preserve">' = </t>
    </r>
    <r>
      <rPr>
        <sz val="9"/>
        <color rgb="FF666666"/>
        <rFont val="WenQuanYi Zen Hei"/>
        <family val="2"/>
      </rPr>
      <t xml:space="preserve">입력금액에 </t>
    </r>
    <r>
      <rPr>
        <sz val="9"/>
        <color rgb="FF666666"/>
        <rFont val="맑은 고딕"/>
        <family val="0"/>
        <charset val="1"/>
      </rPr>
      <t xml:space="preserve">10% </t>
    </r>
    <r>
      <rPr>
        <sz val="9"/>
        <color rgb="FF666666"/>
        <rFont val="WenQuanYi Zen Hei"/>
        <family val="2"/>
      </rPr>
      <t xml:space="preserve">가산</t>
    </r>
    <r>
      <rPr>
        <sz val="9"/>
        <color rgb="FF666666"/>
        <rFont val="맑은 고딕"/>
        <family val="0"/>
        <charset val="1"/>
      </rPr>
      <t xml:space="preserve">.  USD</t>
    </r>
    <r>
      <rPr>
        <sz val="9"/>
        <color rgb="FF666666"/>
        <rFont val="WenQuanYi Zen Hei"/>
        <family val="2"/>
      </rPr>
      <t xml:space="preserve">는 설정 시트 환율로 환산</t>
    </r>
    <r>
      <rPr>
        <sz val="9"/>
        <color rgb="FF666666"/>
        <rFont val="맑은 고딕"/>
        <family val="0"/>
        <charset val="1"/>
      </rPr>
      <t xml:space="preserve">.  VAT</t>
    </r>
    <r>
      <rPr>
        <sz val="9"/>
        <color rgb="FF666666"/>
        <rFont val="WenQuanYi Zen Hei"/>
        <family val="2"/>
      </rPr>
      <t xml:space="preserve">추가가능 </t>
    </r>
    <r>
      <rPr>
        <sz val="9"/>
        <color rgb="FF666666"/>
        <rFont val="맑은 고딕"/>
        <family val="0"/>
        <charset val="1"/>
      </rPr>
      <t xml:space="preserve">'Y' = </t>
    </r>
    <r>
      <rPr>
        <sz val="9"/>
        <color rgb="FF666666"/>
        <rFont val="WenQuanYi Zen Hei"/>
        <family val="2"/>
      </rPr>
      <t xml:space="preserve">현재 미포함이나 추가될 수 있는 부가세 별도 집계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</si>
  <si>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코드</t>
    </r>
  </si>
  <si>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계정명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자동</t>
    </r>
    <r>
      <rPr>
        <b val="true"/>
        <sz val="10"/>
        <rFont val="맑은 고딕"/>
        <family val="0"/>
        <charset val="1"/>
      </rPr>
      <t xml:space="preserve">)</t>
    </r>
  </si>
  <si>
    <t xml:space="preserve">업체 구매코드</t>
  </si>
  <si>
    <r>
      <rPr>
        <b val="true"/>
        <sz val="10"/>
        <rFont val="WenQuanYi Zen Hei"/>
        <family val="2"/>
      </rPr>
      <t xml:space="preserve">품목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내역</t>
    </r>
  </si>
  <si>
    <t xml:space="preserve">과세구분</t>
  </si>
  <si>
    <t xml:space="preserve">통화</t>
  </si>
  <si>
    <r>
      <rPr>
        <b val="true"/>
        <sz val="10"/>
        <rFont val="WenQuanYi Zen Hei"/>
        <family val="2"/>
      </rPr>
      <t xml:space="preserve">입력금액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통화기준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</si>
  <si>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금액기준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과세시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</si>
  <si>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원화금액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</si>
  <si>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공급가액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</si>
  <si>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부가세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</si>
  <si>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합계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</si>
  <si>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맑은 고딕"/>
        <family val="0"/>
        <charset val="1"/>
      </rPr>
      <t xml:space="preserve">VAT
</t>
    </r>
    <r>
      <rPr>
        <b val="true"/>
        <sz val="10"/>
        <rFont val="WenQuanYi Zen Hei"/>
        <family val="2"/>
      </rPr>
      <t xml:space="preserve">추가가능</t>
    </r>
  </si>
  <si>
    <r>
      <rPr>
        <b val="true"/>
        <sz val="10"/>
        <rFont val="WenQuanYi Zen Hei"/>
        <family val="2"/>
      </rPr>
      <t xml:space="preserve">비고 </t>
    </r>
    <r>
      <rPr>
        <b val="true"/>
        <sz val="10"/>
        <rFont val="맑은 고딕"/>
        <family val="0"/>
        <charset val="1"/>
      </rPr>
      <t xml:space="preserve">(REMARK)</t>
    </r>
  </si>
  <si>
    <r>
      <rPr>
        <sz val="10"/>
        <color rgb="FF0000FF"/>
        <rFont val="WenQuanYi Zen Hei"/>
        <family val="2"/>
      </rPr>
      <t xml:space="preserve">공통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미배분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</si>
  <si>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로그북 제작</t>
  </si>
  <si>
    <t xml:space="preserve">과세</t>
  </si>
  <si>
    <t xml:space="preserve">KRW</t>
  </si>
  <si>
    <r>
      <rPr>
        <sz val="10"/>
        <color rgb="FF0000FF"/>
        <rFont val="맑은 고딕"/>
        <family val="0"/>
        <charset val="1"/>
      </rPr>
      <t xml:space="preserve">VAT</t>
    </r>
    <r>
      <rPr>
        <sz val="10"/>
        <color rgb="FF0000FF"/>
        <rFont val="WenQuanYi Zen Hei"/>
        <family val="2"/>
      </rPr>
      <t xml:space="preserve">포함</t>
    </r>
  </si>
  <si>
    <r>
      <rPr>
        <sz val="10"/>
        <color rgb="FF0000FF"/>
        <rFont val="WenQuanYi Zen Hei"/>
        <family val="2"/>
      </rPr>
      <t xml:space="preserve">과세</t>
    </r>
    <r>
      <rPr>
        <sz val="10"/>
        <color rgb="FF0000FF"/>
        <rFont val="맑은 고딕"/>
        <family val="0"/>
        <charset val="1"/>
      </rPr>
      <t xml:space="preserve">. 1,302,400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맑은 고딕"/>
        <family val="0"/>
        <charset val="1"/>
      </rPr>
      <t xml:space="preserve">= </t>
    </r>
    <r>
      <rPr>
        <sz val="10"/>
        <color rgb="FF0000FF"/>
        <rFont val="WenQuanYi Zen Hei"/>
        <family val="2"/>
      </rPr>
      <t xml:space="preserve">부가세 포함으로 가정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공급가 </t>
    </r>
    <r>
      <rPr>
        <sz val="10"/>
        <color rgb="FF0000FF"/>
        <rFont val="맑은 고딕"/>
        <family val="0"/>
        <charset val="1"/>
      </rPr>
      <t xml:space="preserve">1,184,000) - </t>
    </r>
    <r>
      <rPr>
        <sz val="10"/>
        <color rgb="FF0000FF"/>
        <rFont val="WenQuanYi Zen Hei"/>
        <family val="2"/>
      </rPr>
      <t xml:space="preserve">확인 필요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선박 미배분</t>
    </r>
  </si>
  <si>
    <t xml:space="preserve">Desktop</t>
  </si>
  <si>
    <t xml:space="preserve">비과세</t>
  </si>
  <si>
    <t xml:space="preserve">NAS Storage</t>
  </si>
  <si>
    <t xml:space="preserve">USD</t>
  </si>
  <si>
    <r>
      <rPr>
        <sz val="10"/>
        <color rgb="FF0000FF"/>
        <rFont val="맑은 고딕"/>
        <family val="0"/>
        <charset val="1"/>
      </rPr>
      <t xml:space="preserve">USD 2,800 (</t>
    </r>
    <r>
      <rPr>
        <sz val="10"/>
        <color rgb="FF0000FF"/>
        <rFont val="WenQuanYi Zen Hei"/>
        <family val="2"/>
      </rPr>
      <t xml:space="preserve">설정 환율 적용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</si>
  <si>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Monitor</t>
  </si>
  <si>
    <t xml:space="preserve">Server</t>
  </si>
  <si>
    <r>
      <rPr>
        <sz val="10"/>
        <color rgb="FF0000FF"/>
        <rFont val="맑은 고딕"/>
        <family val="0"/>
        <charset val="1"/>
      </rPr>
      <t xml:space="preserve">USD 26,000 (</t>
    </r>
    <r>
      <rPr>
        <sz val="10"/>
        <color rgb="FF0000FF"/>
        <rFont val="WenQuanYi Zen Hei"/>
        <family val="2"/>
      </rPr>
      <t xml:space="preserve">설정 환율 적용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</si>
  <si>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Laptop</t>
  </si>
  <si>
    <r>
      <rPr>
        <sz val="10"/>
        <color rgb="FF0000FF"/>
        <rFont val="WenQuanYi Zen Hei"/>
        <family val="2"/>
      </rPr>
      <t xml:space="preserve">선박별 </t>
    </r>
    <r>
      <rPr>
        <sz val="10"/>
        <color rgb="FF0000FF"/>
        <rFont val="맑은 고딕"/>
        <family val="0"/>
        <charset val="1"/>
      </rPr>
      <t xml:space="preserve">33,800,000 (4</t>
    </r>
    <r>
      <rPr>
        <sz val="10"/>
        <color rgb="FF0000FF"/>
        <rFont val="WenQuanYi Zen Hei"/>
        <family val="2"/>
      </rPr>
      <t xml:space="preserve">척 각각</t>
    </r>
    <r>
      <rPr>
        <sz val="10"/>
        <color rgb="FF0000FF"/>
        <rFont val="맑은 고딕"/>
        <family val="0"/>
        <charset val="1"/>
      </rPr>
      <t xml:space="preserve">) - </t>
    </r>
    <r>
      <rPr>
        <sz val="10"/>
        <color rgb="FF0000FF"/>
        <rFont val="WenQuanYi Zen Hei"/>
        <family val="2"/>
      </rPr>
      <t xml:space="preserve">확인 필요</t>
    </r>
  </si>
  <si>
    <t xml:space="preserve">네트워크 셋팅</t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</si>
  <si>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</si>
  <si>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Y</t>
  </si>
  <si>
    <r>
      <rPr>
        <sz val="10"/>
        <color rgb="FF0000FF"/>
        <rFont val="WenQuanYi Zen Hei"/>
        <family val="2"/>
      </rPr>
      <t xml:space="preserve">적재허가서 문제로 현재 부가세별도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부가세 </t>
    </r>
    <r>
      <rPr>
        <sz val="10"/>
        <color rgb="FF0000FF"/>
        <rFont val="맑은 고딕"/>
        <family val="0"/>
        <charset val="1"/>
      </rPr>
      <t xml:space="preserve">10% </t>
    </r>
    <r>
      <rPr>
        <sz val="10"/>
        <color rgb="FF0000FF"/>
        <rFont val="WenQuanYi Zen Hei"/>
        <family val="2"/>
      </rPr>
      <t xml:space="preserve">추가 가능성</t>
    </r>
  </si>
  <si>
    <t xml:space="preserve">주부식</t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</si>
  <si>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21,000</t>
    </r>
  </si>
  <si>
    <t xml:space="preserve">접대품</t>
  </si>
  <si>
    <t xml:space="preserve">부식공급업체</t>
  </si>
  <si>
    <t xml:space="preserve">개인품</t>
  </si>
  <si>
    <t xml:space="preserve">작업선</t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</si>
  <si>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30,000</t>
    </r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</si>
  <si>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36,000</t>
    </r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</si>
  <si>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27,000</t>
    </r>
  </si>
  <si>
    <r>
      <rPr>
        <sz val="10"/>
        <color rgb="FF0000FF"/>
        <rFont val="WenQuanYi Zen Hei"/>
        <family val="2"/>
      </rPr>
      <t xml:space="preserve">서적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비과세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</si>
  <si>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서적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과세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</si>
  <si>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과세분 </t>
    </r>
    <r>
      <rPr>
        <sz val="10"/>
        <color rgb="FF0000FF"/>
        <rFont val="맑은 고딕"/>
        <family val="0"/>
        <charset val="1"/>
      </rPr>
      <t xml:space="preserve">101,200 = </t>
    </r>
    <r>
      <rPr>
        <sz val="10"/>
        <color rgb="FF0000FF"/>
        <rFont val="WenQuanYi Zen Hei"/>
        <family val="2"/>
      </rPr>
      <t xml:space="preserve">부가세 포함 금액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공급가 </t>
    </r>
    <r>
      <rPr>
        <sz val="10"/>
        <color rgb="FF0000FF"/>
        <rFont val="맑은 고딕"/>
        <family val="0"/>
        <charset val="1"/>
      </rPr>
      <t xml:space="preserve">92,000)</t>
    </r>
  </si>
  <si>
    <r>
      <rPr>
        <sz val="10"/>
        <color rgb="FF0000FF"/>
        <rFont val="WenQuanYi Zen Hei"/>
        <family val="2"/>
      </rPr>
      <t xml:space="preserve">택배비 </t>
    </r>
    <r>
      <rPr>
        <sz val="10"/>
        <color rgb="FF0000FF"/>
        <rFont val="맑은 고딕"/>
        <family val="0"/>
        <charset val="1"/>
      </rPr>
      <t xml:space="preserve">26,400</t>
    </r>
    <r>
      <rPr>
        <sz val="10"/>
        <color rgb="FF0000FF"/>
        <rFont val="WenQuanYi Zen Hei"/>
        <family val="2"/>
      </rPr>
      <t xml:space="preserve">원 포함</t>
    </r>
  </si>
  <si>
    <r>
      <rPr>
        <sz val="10"/>
        <color rgb="FF0000FF"/>
        <rFont val="WenQuanYi Zen Hei"/>
        <family val="2"/>
      </rPr>
      <t xml:space="preserve">택배비 </t>
    </r>
    <r>
      <rPr>
        <sz val="10"/>
        <color rgb="FF0000FF"/>
        <rFont val="맑은 고딕"/>
        <family val="0"/>
        <charset val="1"/>
      </rPr>
      <t xml:space="preserve">6,600</t>
    </r>
    <r>
      <rPr>
        <sz val="10"/>
        <color rgb="FF0000FF"/>
        <rFont val="WenQuanYi Zen Hei"/>
        <family val="2"/>
      </rPr>
      <t xml:space="preserve">원 포함</t>
    </r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</si>
  <si>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 1</t>
    </r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</si>
  <si>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 2</t>
    </r>
  </si>
  <si>
    <t xml:space="preserve">코드 관리</t>
  </si>
  <si>
    <r>
      <rPr>
        <sz val="9"/>
        <color rgb="FF666666"/>
        <rFont val="WenQuanYi Zen Hei"/>
        <family val="2"/>
      </rPr>
      <t xml:space="preserve">파란 글씨 칸에 입력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여기 등록한 </t>
    </r>
    <r>
      <rPr>
        <sz val="9"/>
        <color rgb="FF666666"/>
        <rFont val="맑은 고딕"/>
        <family val="0"/>
        <charset val="1"/>
      </rPr>
      <t xml:space="preserve">OPEX </t>
    </r>
    <r>
      <rPr>
        <sz val="9"/>
        <color rgb="FF666666"/>
        <rFont val="WenQuanYi Zen Hei"/>
        <family val="2"/>
      </rPr>
      <t xml:space="preserve">코드는 </t>
    </r>
    <r>
      <rPr>
        <sz val="9"/>
        <color rgb="FF666666"/>
        <rFont val="맑은 고딕"/>
        <family val="0"/>
        <charset val="1"/>
      </rPr>
      <t xml:space="preserve">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</t>
    </r>
    <r>
      <rPr>
        <sz val="9"/>
        <color rgb="FF666666"/>
        <rFont val="맑은 고딕"/>
        <family val="0"/>
        <charset val="1"/>
      </rPr>
      <t xml:space="preserve">D</t>
    </r>
    <r>
      <rPr>
        <sz val="9"/>
        <color rgb="FF666666"/>
        <rFont val="WenQuanYi Zen Hei"/>
        <family val="2"/>
      </rPr>
      <t xml:space="preserve">열 드롭다운과 계정명 자동표시에 사용됩니다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</si>
  <si>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① OPEX </t>
    </r>
    <r>
      <rPr>
        <b val="true"/>
        <sz val="10"/>
        <rFont val="WenQuanYi Zen Hei"/>
        <family val="2"/>
      </rPr>
      <t xml:space="preserve">코드표</t>
    </r>
  </si>
  <si>
    <r>
      <rPr>
        <b val="true"/>
        <sz val="10"/>
        <rFont val="WenQuanYi Zen Hei"/>
        <family val="2"/>
      </rPr>
      <t xml:space="preserve">② 업체별 구매코드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한 업체에 여러 코드 등록 가능</t>
    </r>
    <r>
      <rPr>
        <b val="true"/>
        <sz val="10"/>
        <rFont val="맑은 고딕"/>
        <family val="0"/>
        <charset val="1"/>
      </rPr>
      <t xml:space="preserve">)</t>
    </r>
  </si>
  <si>
    <t xml:space="preserve">계정명</t>
  </si>
  <si>
    <t xml:space="preserve">설명</t>
  </si>
  <si>
    <t xml:space="preserve">품목명</t>
  </si>
  <si>
    <r>
      <rPr>
        <b val="true"/>
        <sz val="10"/>
        <rFont val="WenQuanYi Zen Hei"/>
        <family val="2"/>
      </rPr>
      <t xml:space="preserve">연결 </t>
    </r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코드</t>
    </r>
  </si>
  <si>
    <t xml:space="preserve">비고</t>
  </si>
  <si>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예시</t>
    </r>
    <r>
      <rPr>
        <i val="true"/>
        <sz val="9"/>
        <color rgb="FF666666"/>
        <rFont val="맑은 고딕"/>
        <family val="0"/>
        <charset val="1"/>
      </rPr>
      <t xml:space="preserve">) </t>
    </r>
    <r>
      <rPr>
        <i val="true"/>
        <sz val="9"/>
        <color rgb="FF666666"/>
        <rFont val="WenQuanYi Zen Hei"/>
        <family val="2"/>
      </rPr>
      <t xml:space="preserve">디앤오</t>
    </r>
  </si>
  <si>
    <t xml:space="preserve">DNO-NAS-01</t>
  </si>
  <si>
    <r>
      <rPr>
        <i val="true"/>
        <sz val="9"/>
        <color rgb="FF666666"/>
        <rFont val="WenQuanYi Zen Hei"/>
        <family val="2"/>
      </rPr>
      <t xml:space="preserve">예시 행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삭제 후 사용</t>
    </r>
  </si>
  <si>
    <t xml:space="preserve">설정값</t>
  </si>
  <si>
    <r>
      <rPr>
        <b val="true"/>
        <sz val="10"/>
        <rFont val="WenQuanYi Zen Hei"/>
        <family val="2"/>
      </rPr>
      <t xml:space="preserve">환율 </t>
    </r>
    <r>
      <rPr>
        <b val="true"/>
        <sz val="10"/>
        <rFont val="맑은 고딕"/>
        <family val="0"/>
        <charset val="1"/>
      </rPr>
      <t xml:space="preserve">(KRW / USD)</t>
    </r>
  </si>
  <si>
    <r>
      <rPr>
        <sz val="9"/>
        <color rgb="FF666666"/>
        <rFont val="맑은 고딕"/>
        <family val="0"/>
        <charset val="1"/>
      </rPr>
      <t xml:space="preserve">USD </t>
    </r>
    <r>
      <rPr>
        <sz val="9"/>
        <color rgb="FF666666"/>
        <rFont val="WenQuanYi Zen Hei"/>
        <family val="2"/>
      </rPr>
      <t xml:space="preserve">금액 원화환산에 사용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결제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청구 시점 환율로 수정하세요</t>
    </r>
    <r>
      <rPr>
        <sz val="9"/>
        <color rgb="FF666666"/>
        <rFont val="맑은 고딕"/>
        <family val="0"/>
        <charset val="1"/>
      </rPr>
      <t xml:space="preserve">. (</t>
    </r>
    <r>
      <rPr>
        <sz val="9"/>
        <color rgb="FF666666"/>
        <rFont val="WenQuanYi Zen Hei"/>
        <family val="2"/>
      </rPr>
      <t xml:space="preserve">현재값은 임시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제이앤캐이 주부식 원화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달러 비율 평균 약 </t>
    </r>
    <r>
      <rPr>
        <sz val="9"/>
        <color rgb="FF666666"/>
        <rFont val="맑은 고딕"/>
        <family val="0"/>
        <charset val="1"/>
      </rPr>
      <t xml:space="preserve">1,340~1,365 </t>
    </r>
    <r>
      <rPr>
        <sz val="9"/>
        <color rgb="FF666666"/>
        <rFont val="WenQuanYi Zen Hei"/>
        <family val="2"/>
      </rPr>
      <t xml:space="preserve">참고</t>
    </r>
    <r>
      <rPr>
        <sz val="9"/>
        <color rgb="FF666666"/>
        <rFont val="맑은 고딕"/>
        <family val="0"/>
        <charset val="1"/>
      </rPr>
      <t xml:space="preserve">)</t>
    </r>
  </si>
  <si>
    <t xml:space="preserve">부가세율</t>
  </si>
  <si>
    <t xml:space="preserve">과세 항목 부가세 계산에 사용</t>
  </si>
  <si>
    <r>
      <rPr>
        <b val="true"/>
        <sz val="10"/>
        <rFont val="WenQuanYi Zen Hei"/>
        <family val="2"/>
      </rPr>
      <t xml:space="preserve">목록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드롭다운 원본</t>
    </r>
    <r>
      <rPr>
        <b val="true"/>
        <sz val="10"/>
        <rFont val="맑은 고딕"/>
        <family val="0"/>
        <charset val="1"/>
      </rPr>
      <t xml:space="preserve">)</t>
    </r>
  </si>
  <si>
    <t xml:space="preserve">금액기준</t>
  </si>
  <si>
    <t xml:space="preserve">업체</t>
  </si>
  <si>
    <r>
      <rPr>
        <sz val="10"/>
        <rFont val="맑은 고딕"/>
        <family val="0"/>
        <charset val="1"/>
      </rPr>
      <t xml:space="preserve">VAT</t>
    </r>
    <r>
      <rPr>
        <sz val="10"/>
        <rFont val="WenQuanYi Zen Hei"/>
        <family val="2"/>
      </rPr>
      <t xml:space="preserve">별도</t>
    </r>
  </si>
  <si>
    <r>
      <rPr>
        <sz val="10"/>
        <rFont val="맑은 고딕"/>
        <family val="0"/>
        <charset val="1"/>
      </rPr>
      <t xml:space="preserve">VAT</t>
    </r>
    <r>
      <rPr>
        <sz val="10"/>
        <rFont val="WenQuanYi Zen Hei"/>
        <family val="2"/>
      </rPr>
      <t xml:space="preserve">포함</t>
    </r>
  </si>
  <si>
    <r>
      <rPr>
        <sz val="9"/>
        <color rgb="FF666666"/>
        <rFont val="WenQuanYi Zen Hei"/>
        <family val="2"/>
      </rPr>
      <t xml:space="preserve">※ 업체 추가 시 업체 목록 아래 빈칸에 이어서 입력하면 드롭다운에 반영됩니다 </t>
    </r>
    <r>
      <rPr>
        <sz val="9"/>
        <color rgb="FF666666"/>
        <rFont val="맑은 고딕"/>
        <family val="0"/>
        <charset val="1"/>
      </rPr>
      <t xml:space="preserve">(10</t>
    </r>
    <r>
      <rPr>
        <sz val="9"/>
        <color rgb="FF666666"/>
        <rFont val="WenQuanYi Zen Hei"/>
        <family val="2"/>
      </rPr>
      <t xml:space="preserve">개까지</t>
    </r>
    <r>
      <rPr>
        <sz val="9"/>
        <color rgb="FF666666"/>
        <rFont val="맑은 고딕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</si>
</sst>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#,##0;\(#,##0\);\-"/>
    <numFmt numFmtId="167" formatCode="0.0%;\-0.0%;\-"/>
    <numFmt numFmtId="168" formatCode="General"/>
    <numFmt numFmtId="169" formatCode="#,##0.##;\(#,##0.##\);\-"/>
    <numFmt numFmtId="170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맑은 고딕"/>
      <family val="0"/>
      <charset val="1"/>
    </font>
    <font>
      <b val="true"/>
      <sz val="14"/>
      <name val="WenQuanYi Zen Hei"/>
      <family val="2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sz val="10"/>
      <color rgb="FF00800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sz val="10"/>
      <color rgb="FF0000FF"/>
      <name val="WenQuanYi Zen Hei"/>
      <family val="2"/>
    </font>
    <font>
      <sz val="10"/>
      <color rgb="FF0000FF"/>
      <name val="맑은 고딕"/>
      <family val="0"/>
      <charset val="1"/>
    </font>
    <font>
      <i val="true"/>
      <sz val="9"/>
      <color rgb="FF666666"/>
      <name val="맑은 고딕"/>
      <family val="0"/>
      <charset val="1"/>
    </font>
    <font>
      <i val="true"/>
      <sz val="9"/>
      <color rgb="FF666666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E7E6E6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7" min="3" style="0" width="14"/>
    <col collapsed="false" customWidth="true" hidden="false" outlineLevel="0" max="8" min="8" style="0" width="16"/>
    <col collapsed="false" customWidth="true" hidden="false" outlineLevel="0" max="9" min="9" style="0" width="2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5"/>
    <col collapsed="false" customWidth="true" hidden="false" outlineLevel="0" max="14" min="14" style="0" width="14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H3" s="3" t="n">
        <f aca="false">설정!$C$4</f>
        <v>1350</v>
      </c>
    </row>
    <row r="5" customFormat="false" ht="30" hidden="false" customHeight="true" outlineLevel="0" collapsed="false">
      <c r="A5" s="4" t="s">
        <v>2</v>
      </c>
      <c r="B5" s="5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5" t="s">
        <v>8</v>
      </c>
      <c r="H5" s="5" t="s">
        <v>9</v>
      </c>
      <c r="J5" s="5" t="s">
        <v>10</v>
      </c>
      <c r="K5" s="5" t="s">
        <v>11</v>
      </c>
      <c r="L5" s="5" t="s">
        <v>12</v>
      </c>
      <c r="M5" s="4" t="s">
        <v>13</v>
      </c>
      <c r="N5" s="5" t="s">
        <v>14</v>
      </c>
    </row>
    <row r="6" customFormat="false" ht="15" hidden="false" customHeight="false" outlineLevel="0" collapsed="false">
      <c r="A6" s="6" t="n">
        <v>1</v>
      </c>
      <c r="B6" s="7" t="s">
        <v>15</v>
      </c>
      <c r="C6" s="8" t="n">
        <f aca="false">SUMIFS('OPEX 상세'!$O$5:$O$205,'OPEX 상세'!$B$5:$B$205,$B6,'OPEX 상세'!$C$5:$C$205,C$5)</f>
        <v>0</v>
      </c>
      <c r="D6" s="8" t="n">
        <f aca="false">SUMIFS('OPEX 상세'!$O$5:$O$205,'OPEX 상세'!$B$5:$B$205,$B6,'OPEX 상세'!$C$5:$C$205,D$5)</f>
        <v>0</v>
      </c>
      <c r="E6" s="8" t="n">
        <f aca="false">SUMIFS('OPEX 상세'!$O$5:$O$205,'OPEX 상세'!$B$5:$B$205,$B6,'OPEX 상세'!$C$5:$C$205,E$5)</f>
        <v>0</v>
      </c>
      <c r="F6" s="8" t="n">
        <f aca="false">SUMIFS('OPEX 상세'!$O$5:$O$205,'OPEX 상세'!$B$5:$B$205,$B6,'OPEX 상세'!$C$5:$C$205,F$5)</f>
        <v>0</v>
      </c>
      <c r="G6" s="8" t="n">
        <f aca="false">SUMIFS('OPEX 상세'!$O$5:$O$205,'OPEX 상세'!$B$5:$B$205,$B6,'OPEX 상세'!$C$5:$C$205,G$5)</f>
        <v>1302400</v>
      </c>
      <c r="H6" s="9" t="n">
        <f aca="false">SUM(C6:G6)</f>
        <v>1302400</v>
      </c>
      <c r="J6" s="8" t="n">
        <f aca="false">SUMIFS('OPEX 상세'!$M$5:$M$205,'OPEX 상세'!$B$5:$B$205,$B6)</f>
        <v>1184000</v>
      </c>
      <c r="K6" s="8" t="n">
        <f aca="false">SUMIFS('OPEX 상세'!$N$5:$N$205,'OPEX 상세'!$B$5:$B$205,$B6)</f>
        <v>118400</v>
      </c>
      <c r="L6" s="8" t="n">
        <f aca="false">SUMIFS('OPEX 상세'!$Q$5:$Q$205,'OPEX 상세'!$B$5:$B$205,$B6)</f>
        <v>0</v>
      </c>
      <c r="M6" s="8" t="n">
        <f aca="false">H6+L6</f>
        <v>1302400</v>
      </c>
      <c r="N6" s="10" t="str">
        <f aca="false">IF(COUNTIF('OPEX 상세'!$B$5:$B$205,$B6)=0,"입력대기",IF(L6&gt;0,"VAT 추가 가능",""))</f>
        <v/>
      </c>
    </row>
    <row r="7" customFormat="false" ht="15" hidden="false" customHeight="false" outlineLevel="0" collapsed="false">
      <c r="A7" s="6" t="n">
        <v>2</v>
      </c>
      <c r="B7" s="7" t="s">
        <v>16</v>
      </c>
      <c r="C7" s="8" t="n">
        <f aca="false">SUMIFS('OPEX 상세'!$O$5:$O$205,'OPEX 상세'!$B$5:$B$205,$B7,'OPEX 상세'!$C$5:$C$205,C$5)</f>
        <v>0</v>
      </c>
      <c r="D7" s="8" t="n">
        <f aca="false">SUMIFS('OPEX 상세'!$O$5:$O$205,'OPEX 상세'!$B$5:$B$205,$B7,'OPEX 상세'!$C$5:$C$205,D$5)</f>
        <v>0</v>
      </c>
      <c r="E7" s="8" t="n">
        <f aca="false">SUMIFS('OPEX 상세'!$O$5:$O$205,'OPEX 상세'!$B$5:$B$205,$B7,'OPEX 상세'!$C$5:$C$205,E$5)</f>
        <v>0</v>
      </c>
      <c r="F7" s="8" t="n">
        <f aca="false">SUMIFS('OPEX 상세'!$O$5:$O$205,'OPEX 상세'!$B$5:$B$205,$B7,'OPEX 상세'!$C$5:$C$205,F$5)</f>
        <v>0</v>
      </c>
      <c r="G7" s="8" t="n">
        <f aca="false">SUMIFS('OPEX 상세'!$O$5:$O$205,'OPEX 상세'!$B$5:$B$205,$B7,'OPEX 상세'!$C$5:$C$205,G$5)</f>
        <v>0</v>
      </c>
      <c r="H7" s="9" t="n">
        <f aca="false">SUM(C7:G7)</f>
        <v>0</v>
      </c>
      <c r="J7" s="8" t="n">
        <f aca="false">SUMIFS('OPEX 상세'!$M$5:$M$205,'OPEX 상세'!$B$5:$B$205,$B7)</f>
        <v>0</v>
      </c>
      <c r="K7" s="8" t="n">
        <f aca="false">SUMIFS('OPEX 상세'!$N$5:$N$205,'OPEX 상세'!$B$5:$B$205,$B7)</f>
        <v>0</v>
      </c>
      <c r="L7" s="8" t="n">
        <f aca="false">SUMIFS('OPEX 상세'!$Q$5:$Q$205,'OPEX 상세'!$B$5:$B$205,$B7)</f>
        <v>0</v>
      </c>
      <c r="M7" s="8" t="n">
        <f aca="false">H7+L7</f>
        <v>0</v>
      </c>
      <c r="N7" s="10" t="str">
        <f aca="false">IF(COUNTIF('OPEX 상세'!$B$5:$B$205,$B7)=0,"입력대기",IF(L7&gt;0,"VAT 추가 가능",""))</f>
        <v>입력대기</v>
      </c>
    </row>
    <row r="8" customFormat="false" ht="15" hidden="false" customHeight="false" outlineLevel="0" collapsed="false">
      <c r="A8" s="6" t="n">
        <v>3</v>
      </c>
      <c r="B8" s="7" t="s">
        <v>17</v>
      </c>
      <c r="C8" s="8" t="n">
        <f aca="false">SUMIFS('OPEX 상세'!$O$5:$O$205,'OPEX 상세'!$B$5:$B$205,$B8,'OPEX 상세'!$C$5:$C$205,C$5)</f>
        <v>7620000</v>
      </c>
      <c r="D8" s="8" t="n">
        <f aca="false">SUMIFS('OPEX 상세'!$O$5:$O$205,'OPEX 상세'!$B$5:$B$205,$B8,'OPEX 상세'!$C$5:$C$205,D$5)</f>
        <v>7620000</v>
      </c>
      <c r="E8" s="8" t="n">
        <f aca="false">SUMIFS('OPEX 상세'!$O$5:$O$205,'OPEX 상세'!$B$5:$B$205,$B8,'OPEX 상세'!$C$5:$C$205,E$5)</f>
        <v>38880000</v>
      </c>
      <c r="F8" s="8" t="n">
        <f aca="false">SUMIFS('OPEX 상세'!$O$5:$O$205,'OPEX 상세'!$B$5:$B$205,$B8,'OPEX 상세'!$C$5:$C$205,F$5)</f>
        <v>38880000</v>
      </c>
      <c r="G8" s="8" t="n">
        <f aca="false">SUMIFS('OPEX 상세'!$O$5:$O$205,'OPEX 상세'!$B$5:$B$205,$B8,'OPEX 상세'!$C$5:$C$205,G$5)</f>
        <v>0</v>
      </c>
      <c r="H8" s="9" t="n">
        <f aca="false">SUM(C8:G8)</f>
        <v>93000000</v>
      </c>
      <c r="J8" s="8" t="n">
        <f aca="false">SUMIFS('OPEX 상세'!$M$5:$M$205,'OPEX 상세'!$B$5:$B$205,$B8)</f>
        <v>93000000</v>
      </c>
      <c r="K8" s="8" t="n">
        <f aca="false">SUMIFS('OPEX 상세'!$N$5:$N$205,'OPEX 상세'!$B$5:$B$205,$B8)</f>
        <v>0</v>
      </c>
      <c r="L8" s="8" t="n">
        <f aca="false">SUMIFS('OPEX 상세'!$Q$5:$Q$205,'OPEX 상세'!$B$5:$B$205,$B8)</f>
        <v>0</v>
      </c>
      <c r="M8" s="8" t="n">
        <f aca="false">H8+L8</f>
        <v>93000000</v>
      </c>
      <c r="N8" s="10" t="str">
        <f aca="false">IF(COUNTIF('OPEX 상세'!$B$5:$B$205,$B8)=0,"입력대기",IF(L8&gt;0,"VAT 추가 가능",""))</f>
        <v/>
      </c>
    </row>
    <row r="9" customFormat="false" ht="15" hidden="false" customHeight="false" outlineLevel="0" collapsed="false">
      <c r="A9" s="6" t="n">
        <v>4</v>
      </c>
      <c r="B9" s="7" t="s">
        <v>18</v>
      </c>
      <c r="C9" s="8" t="n">
        <f aca="false">SUMIFS('OPEX 상세'!$O$5:$O$205,'OPEX 상세'!$B$5:$B$205,$B9,'OPEX 상세'!$C$5:$C$205,C$5)</f>
        <v>41790000</v>
      </c>
      <c r="D9" s="8" t="n">
        <f aca="false">SUMIFS('OPEX 상세'!$O$5:$O$205,'OPEX 상세'!$B$5:$B$205,$B9,'OPEX 상세'!$C$5:$C$205,D$5)</f>
        <v>41090000</v>
      </c>
      <c r="E9" s="8" t="n">
        <f aca="false">SUMIFS('OPEX 상세'!$O$5:$O$205,'OPEX 상세'!$B$5:$B$205,$B9,'OPEX 상세'!$C$5:$C$205,E$5)</f>
        <v>40840000</v>
      </c>
      <c r="F9" s="8" t="n">
        <f aca="false">SUMIFS('OPEX 상세'!$O$5:$O$205,'OPEX 상세'!$B$5:$B$205,$B9,'OPEX 상세'!$C$5:$C$205,F$5)</f>
        <v>42500000</v>
      </c>
      <c r="G9" s="8" t="n">
        <f aca="false">SUMIFS('OPEX 상세'!$O$5:$O$205,'OPEX 상세'!$B$5:$B$205,$B9,'OPEX 상세'!$C$5:$C$205,G$5)</f>
        <v>0</v>
      </c>
      <c r="H9" s="9" t="n">
        <f aca="false">SUM(C9:G9)</f>
        <v>166220000</v>
      </c>
      <c r="J9" s="8" t="n">
        <f aca="false">SUMIFS('OPEX 상세'!$M$5:$M$205,'OPEX 상세'!$B$5:$B$205,$B9)</f>
        <v>166220000</v>
      </c>
      <c r="K9" s="8" t="n">
        <f aca="false">SUMIFS('OPEX 상세'!$N$5:$N$205,'OPEX 상세'!$B$5:$B$205,$B9)</f>
        <v>0</v>
      </c>
      <c r="L9" s="8" t="n">
        <f aca="false">SUMIFS('OPEX 상세'!$Q$5:$Q$205,'OPEX 상세'!$B$5:$B$205,$B9)</f>
        <v>0</v>
      </c>
      <c r="M9" s="8" t="n">
        <f aca="false">H9+L9</f>
        <v>166220000</v>
      </c>
      <c r="N9" s="10" t="str">
        <f aca="false">IF(COUNTIF('OPEX 상세'!$B$5:$B$205,$B9)=0,"입력대기",IF(L9&gt;0,"VAT 추가 가능",""))</f>
        <v/>
      </c>
    </row>
    <row r="10" customFormat="false" ht="15" hidden="false" customHeight="false" outlineLevel="0" collapsed="false">
      <c r="A10" s="6" t="n">
        <v>5</v>
      </c>
      <c r="B10" s="7" t="s">
        <v>19</v>
      </c>
      <c r="C10" s="8" t="n">
        <f aca="false">SUMIFS('OPEX 상세'!$O$5:$O$205,'OPEX 상세'!$B$5:$B$205,$B10,'OPEX 상세'!$C$5:$C$205,C$5)</f>
        <v>0</v>
      </c>
      <c r="D10" s="8" t="n">
        <f aca="false">SUMIFS('OPEX 상세'!$O$5:$O$205,'OPEX 상세'!$B$5:$B$205,$B10,'OPEX 상세'!$C$5:$C$205,D$5)</f>
        <v>0</v>
      </c>
      <c r="E10" s="8" t="n">
        <f aca="false">SUMIFS('OPEX 상세'!$O$5:$O$205,'OPEX 상세'!$B$5:$B$205,$B10,'OPEX 상세'!$C$5:$C$205,E$5)</f>
        <v>0</v>
      </c>
      <c r="F10" s="8" t="n">
        <f aca="false">SUMIFS('OPEX 상세'!$O$5:$O$205,'OPEX 상세'!$B$5:$B$205,$B10,'OPEX 상세'!$C$5:$C$205,F$5)</f>
        <v>0</v>
      </c>
      <c r="G10" s="8" t="n">
        <f aca="false">SUMIFS('OPEX 상세'!$O$5:$O$205,'OPEX 상세'!$B$5:$B$205,$B10,'OPEX 상세'!$C$5:$C$205,G$5)</f>
        <v>27300000</v>
      </c>
      <c r="H10" s="9" t="n">
        <f aca="false">SUM(C10:G10)</f>
        <v>27300000</v>
      </c>
      <c r="J10" s="8" t="n">
        <f aca="false">SUMIFS('OPEX 상세'!$M$5:$M$205,'OPEX 상세'!$B$5:$B$205,$B10)</f>
        <v>27300000</v>
      </c>
      <c r="K10" s="8" t="n">
        <f aca="false">SUMIFS('OPEX 상세'!$N$5:$N$205,'OPEX 상세'!$B$5:$B$205,$B10)</f>
        <v>0</v>
      </c>
      <c r="L10" s="8" t="n">
        <f aca="false">SUMIFS('OPEX 상세'!$Q$5:$Q$205,'OPEX 상세'!$B$5:$B$205,$B10)</f>
        <v>2730000</v>
      </c>
      <c r="M10" s="8" t="n">
        <f aca="false">H10+L10</f>
        <v>30030000</v>
      </c>
      <c r="N10" s="10" t="str">
        <f aca="false">IF(COUNTIF('OPEX 상세'!$B$5:$B$205,$B10)=0,"입력대기",IF(L10&gt;0,"VAT 추가 가능",""))</f>
        <v>VAT 추가 가능</v>
      </c>
    </row>
    <row r="11" customFormat="false" ht="15" hidden="false" customHeight="false" outlineLevel="0" collapsed="false">
      <c r="A11" s="6" t="n">
        <v>6</v>
      </c>
      <c r="B11" s="7" t="s">
        <v>20</v>
      </c>
      <c r="C11" s="8" t="n">
        <f aca="false">SUMIFS('OPEX 상세'!$O$5:$O$205,'OPEX 상세'!$B$5:$B$205,$B11,'OPEX 상세'!$C$5:$C$205,C$5)</f>
        <v>0</v>
      </c>
      <c r="D11" s="8" t="n">
        <f aca="false">SUMIFS('OPEX 상세'!$O$5:$O$205,'OPEX 상세'!$B$5:$B$205,$B11,'OPEX 상세'!$C$5:$C$205,D$5)</f>
        <v>0</v>
      </c>
      <c r="E11" s="8" t="n">
        <f aca="false">SUMIFS('OPEX 상세'!$O$5:$O$205,'OPEX 상세'!$B$5:$B$205,$B11,'OPEX 상세'!$C$5:$C$205,E$5)</f>
        <v>0</v>
      </c>
      <c r="F11" s="8" t="n">
        <f aca="false">SUMIFS('OPEX 상세'!$O$5:$O$205,'OPEX 상세'!$B$5:$B$205,$B11,'OPEX 상세'!$C$5:$C$205,F$5)</f>
        <v>0</v>
      </c>
      <c r="G11" s="8" t="n">
        <f aca="false">SUMIFS('OPEX 상세'!$O$5:$O$205,'OPEX 상세'!$B$5:$B$205,$B11,'OPEX 상세'!$C$5:$C$205,G$5)</f>
        <v>0</v>
      </c>
      <c r="H11" s="9" t="n">
        <f aca="false">SUM(C11:G11)</f>
        <v>0</v>
      </c>
      <c r="J11" s="8" t="n">
        <f aca="false">SUMIFS('OPEX 상세'!$M$5:$M$205,'OPEX 상세'!$B$5:$B$205,$B11)</f>
        <v>0</v>
      </c>
      <c r="K11" s="8" t="n">
        <f aca="false">SUMIFS('OPEX 상세'!$N$5:$N$205,'OPEX 상세'!$B$5:$B$205,$B11)</f>
        <v>0</v>
      </c>
      <c r="L11" s="8" t="n">
        <f aca="false">SUMIFS('OPEX 상세'!$Q$5:$Q$205,'OPEX 상세'!$B$5:$B$205,$B11)</f>
        <v>0</v>
      </c>
      <c r="M11" s="8" t="n">
        <f aca="false">H11+L11</f>
        <v>0</v>
      </c>
      <c r="N11" s="10" t="str">
        <f aca="false">IF(COUNTIF('OPEX 상세'!$B$5:$B$205,$B11)=0,"입력대기",IF(L11&gt;0,"VAT 추가 가능",""))</f>
        <v>입력대기</v>
      </c>
    </row>
    <row r="12" customFormat="false" ht="15" hidden="false" customHeight="false" outlineLevel="0" collapsed="false">
      <c r="A12" s="6" t="n">
        <v>7</v>
      </c>
      <c r="B12" s="7" t="s">
        <v>21</v>
      </c>
      <c r="C12" s="8" t="n">
        <f aca="false">SUMIFS('OPEX 상세'!$O$5:$O$205,'OPEX 상세'!$B$5:$B$205,$B12,'OPEX 상세'!$C$5:$C$205,C$5)</f>
        <v>36551070</v>
      </c>
      <c r="D12" s="8" t="n">
        <f aca="false">SUMIFS('OPEX 상세'!$O$5:$O$205,'OPEX 상세'!$B$5:$B$205,$B12,'OPEX 상세'!$C$5:$C$205,D$5)</f>
        <v>45255564</v>
      </c>
      <c r="E12" s="8" t="n">
        <f aca="false">SUMIFS('OPEX 상세'!$O$5:$O$205,'OPEX 상세'!$B$5:$B$205,$B12,'OPEX 상세'!$C$5:$C$205,E$5)</f>
        <v>59556592</v>
      </c>
      <c r="F12" s="8" t="n">
        <f aca="false">SUMIFS('OPEX 상세'!$O$5:$O$205,'OPEX 상세'!$B$5:$B$205,$B12,'OPEX 상세'!$C$5:$C$205,F$5)</f>
        <v>53916216</v>
      </c>
      <c r="G12" s="8" t="n">
        <f aca="false">SUMIFS('OPEX 상세'!$O$5:$O$205,'OPEX 상세'!$B$5:$B$205,$B12,'OPEX 상세'!$C$5:$C$205,G$5)</f>
        <v>0</v>
      </c>
      <c r="H12" s="9" t="n">
        <f aca="false">SUM(C12:G12)</f>
        <v>195279442</v>
      </c>
      <c r="J12" s="8" t="n">
        <f aca="false">SUMIFS('OPEX 상세'!$M$5:$M$205,'OPEX 상세'!$B$5:$B$205,$B12)</f>
        <v>195279442</v>
      </c>
      <c r="K12" s="8" t="n">
        <f aca="false">SUMIFS('OPEX 상세'!$N$5:$N$205,'OPEX 상세'!$B$5:$B$205,$B12)</f>
        <v>0</v>
      </c>
      <c r="L12" s="8" t="n">
        <f aca="false">SUMIFS('OPEX 상세'!$Q$5:$Q$205,'OPEX 상세'!$B$5:$B$205,$B12)</f>
        <v>0</v>
      </c>
      <c r="M12" s="8" t="n">
        <f aca="false">H12+L12</f>
        <v>195279442</v>
      </c>
      <c r="N12" s="10" t="str">
        <f aca="false">IF(COUNTIF('OPEX 상세'!$B$5:$B$205,$B12)=0,"입력대기",IF(L12&gt;0,"VAT 추가 가능",""))</f>
        <v/>
      </c>
    </row>
    <row r="13" customFormat="false" ht="15" hidden="false" customHeight="false" outlineLevel="0" collapsed="false">
      <c r="A13" s="6" t="n">
        <v>8</v>
      </c>
      <c r="B13" s="7" t="s">
        <v>22</v>
      </c>
      <c r="C13" s="8" t="n">
        <f aca="false">SUMIFS('OPEX 상세'!$O$5:$O$205,'OPEX 상세'!$B$5:$B$205,$B13,'OPEX 상세'!$C$5:$C$205,C$5)</f>
        <v>1030200</v>
      </c>
      <c r="D13" s="8" t="n">
        <f aca="false">SUMIFS('OPEX 상세'!$O$5:$O$205,'OPEX 상세'!$B$5:$B$205,$B13,'OPEX 상세'!$C$5:$C$205,D$5)</f>
        <v>1809200</v>
      </c>
      <c r="E13" s="8" t="n">
        <f aca="false">SUMIFS('OPEX 상세'!$O$5:$O$205,'OPEX 상세'!$B$5:$B$205,$B13,'OPEX 상세'!$C$5:$C$205,E$5)</f>
        <v>1809200</v>
      </c>
      <c r="F13" s="8" t="n">
        <f aca="false">SUMIFS('OPEX 상세'!$O$5:$O$205,'OPEX 상세'!$B$5:$B$205,$B13,'OPEX 상세'!$C$5:$C$205,F$5)</f>
        <v>1809200</v>
      </c>
      <c r="G13" s="8" t="n">
        <f aca="false">SUMIFS('OPEX 상세'!$O$5:$O$205,'OPEX 상세'!$B$5:$B$205,$B13,'OPEX 상세'!$C$5:$C$205,G$5)</f>
        <v>0</v>
      </c>
      <c r="H13" s="9" t="n">
        <f aca="false">SUM(C13:G13)</f>
        <v>6457800</v>
      </c>
      <c r="J13" s="8" t="n">
        <f aca="false">SUMIFS('OPEX 상세'!$M$5:$M$205,'OPEX 상세'!$B$5:$B$205,$B13)</f>
        <v>6421000</v>
      </c>
      <c r="K13" s="8" t="n">
        <f aca="false">SUMIFS('OPEX 상세'!$N$5:$N$205,'OPEX 상세'!$B$5:$B$205,$B13)</f>
        <v>36800</v>
      </c>
      <c r="L13" s="8" t="n">
        <f aca="false">SUMIFS('OPEX 상세'!$Q$5:$Q$205,'OPEX 상세'!$B$5:$B$205,$B13)</f>
        <v>0</v>
      </c>
      <c r="M13" s="8" t="n">
        <f aca="false">H13+L13</f>
        <v>6457800</v>
      </c>
      <c r="N13" s="10" t="str">
        <f aca="false">IF(COUNTIF('OPEX 상세'!$B$5:$B$205,$B13)=0,"입력대기",IF(L13&gt;0,"VAT 추가 가능",""))</f>
        <v/>
      </c>
    </row>
    <row r="14" customFormat="false" ht="15" hidden="false" customHeight="false" outlineLevel="0" collapsed="false">
      <c r="A14" s="6" t="n">
        <v>9</v>
      </c>
      <c r="B14" s="7" t="s">
        <v>23</v>
      </c>
      <c r="C14" s="8" t="n">
        <f aca="false">SUMIFS('OPEX 상세'!$O$5:$O$205,'OPEX 상세'!$B$5:$B$205,$B14,'OPEX 상세'!$C$5:$C$205,C$5)</f>
        <v>0</v>
      </c>
      <c r="D14" s="8" t="n">
        <f aca="false">SUMIFS('OPEX 상세'!$O$5:$O$205,'OPEX 상세'!$B$5:$B$205,$B14,'OPEX 상세'!$C$5:$C$205,D$5)</f>
        <v>0</v>
      </c>
      <c r="E14" s="8" t="n">
        <f aca="false">SUMIFS('OPEX 상세'!$O$5:$O$205,'OPEX 상세'!$B$5:$B$205,$B14,'OPEX 상세'!$C$5:$C$205,E$5)</f>
        <v>0</v>
      </c>
      <c r="F14" s="8" t="n">
        <f aca="false">SUMIFS('OPEX 상세'!$O$5:$O$205,'OPEX 상세'!$B$5:$B$205,$B14,'OPEX 상세'!$C$5:$C$205,F$5)</f>
        <v>0</v>
      </c>
      <c r="G14" s="8" t="n">
        <f aca="false">SUMIFS('OPEX 상세'!$O$5:$O$205,'OPEX 상세'!$B$5:$B$205,$B14,'OPEX 상세'!$C$5:$C$205,G$5)</f>
        <v>0</v>
      </c>
      <c r="H14" s="9" t="n">
        <f aca="false">SUM(C14:G14)</f>
        <v>0</v>
      </c>
      <c r="J14" s="8" t="n">
        <f aca="false">SUMIFS('OPEX 상세'!$M$5:$M$205,'OPEX 상세'!$B$5:$B$205,$B14)</f>
        <v>0</v>
      </c>
      <c r="K14" s="8" t="n">
        <f aca="false">SUMIFS('OPEX 상세'!$N$5:$N$205,'OPEX 상세'!$B$5:$B$205,$B14)</f>
        <v>0</v>
      </c>
      <c r="L14" s="8" t="n">
        <f aca="false">SUMIFS('OPEX 상세'!$Q$5:$Q$205,'OPEX 상세'!$B$5:$B$205,$B14)</f>
        <v>0</v>
      </c>
      <c r="M14" s="8" t="n">
        <f aca="false">H14+L14</f>
        <v>0</v>
      </c>
      <c r="N14" s="10" t="str">
        <f aca="false">IF(COUNTIF('OPEX 상세'!$B$5:$B$205,$B14)=0,"입력대기",IF(L14&gt;0,"VAT 추가 가능",""))</f>
        <v>입력대기</v>
      </c>
    </row>
    <row r="15" customFormat="false" ht="15" hidden="false" customHeight="false" outlineLevel="0" collapsed="false">
      <c r="A15" s="6" t="n">
        <v>10</v>
      </c>
      <c r="B15" s="7" t="s">
        <v>24</v>
      </c>
      <c r="C15" s="8" t="n">
        <f aca="false">SUMIFS('OPEX 상세'!$O$5:$O$205,'OPEX 상세'!$B$5:$B$205,$B15,'OPEX 상세'!$C$5:$C$205,C$5)</f>
        <v>10206800</v>
      </c>
      <c r="D15" s="8" t="n">
        <f aca="false">SUMIFS('OPEX 상세'!$O$5:$O$205,'OPEX 상세'!$B$5:$B$205,$B15,'OPEX 상세'!$C$5:$C$205,D$5)</f>
        <v>3120000</v>
      </c>
      <c r="E15" s="8" t="n">
        <f aca="false">SUMIFS('OPEX 상세'!$O$5:$O$205,'OPEX 상세'!$B$5:$B$205,$B15,'OPEX 상세'!$C$5:$C$205,E$5)</f>
        <v>18017500</v>
      </c>
      <c r="F15" s="8" t="n">
        <f aca="false">SUMIFS('OPEX 상세'!$O$5:$O$205,'OPEX 상세'!$B$5:$B$205,$B15,'OPEX 상세'!$C$5:$C$205,F$5)</f>
        <v>9932500</v>
      </c>
      <c r="G15" s="8" t="n">
        <f aca="false">SUMIFS('OPEX 상세'!$O$5:$O$205,'OPEX 상세'!$B$5:$B$205,$B15,'OPEX 상세'!$C$5:$C$205,G$5)</f>
        <v>0</v>
      </c>
      <c r="H15" s="9" t="n">
        <f aca="false">SUM(C15:G15)</f>
        <v>41276800</v>
      </c>
      <c r="J15" s="8" t="n">
        <f aca="false">SUMIFS('OPEX 상세'!$M$5:$M$205,'OPEX 상세'!$B$5:$B$205,$B15)</f>
        <v>41276800</v>
      </c>
      <c r="K15" s="8" t="n">
        <f aca="false">SUMIFS('OPEX 상세'!$N$5:$N$205,'OPEX 상세'!$B$5:$B$205,$B15)</f>
        <v>0</v>
      </c>
      <c r="L15" s="8" t="n">
        <f aca="false">SUMIFS('OPEX 상세'!$Q$5:$Q$205,'OPEX 상세'!$B$5:$B$205,$B15)</f>
        <v>0</v>
      </c>
      <c r="M15" s="8" t="n">
        <f aca="false">H15+L15</f>
        <v>41276800</v>
      </c>
      <c r="N15" s="10" t="str">
        <f aca="false">IF(COUNTIF('OPEX 상세'!$B$5:$B$205,$B15)=0,"입력대기",IF(L15&gt;0,"VAT 추가 가능",""))</f>
        <v/>
      </c>
    </row>
    <row r="16" customFormat="false" ht="15" hidden="false" customHeight="false" outlineLevel="0" collapsed="false">
      <c r="A16" s="6" t="n">
        <v>11</v>
      </c>
      <c r="B16" s="7" t="s">
        <v>25</v>
      </c>
      <c r="C16" s="8" t="n">
        <f aca="false">SUMIFS('OPEX 상세'!$O$5:$O$205,'OPEX 상세'!$B$5:$B$205,$B16,'OPEX 상세'!$C$5:$C$205,C$5)</f>
        <v>0</v>
      </c>
      <c r="D16" s="8" t="n">
        <f aca="false">SUMIFS('OPEX 상세'!$O$5:$O$205,'OPEX 상세'!$B$5:$B$205,$B16,'OPEX 상세'!$C$5:$C$205,D$5)</f>
        <v>0</v>
      </c>
      <c r="E16" s="8" t="n">
        <f aca="false">SUMIFS('OPEX 상세'!$O$5:$O$205,'OPEX 상세'!$B$5:$B$205,$B16,'OPEX 상세'!$C$5:$C$205,E$5)</f>
        <v>0</v>
      </c>
      <c r="F16" s="8" t="n">
        <f aca="false">SUMIFS('OPEX 상세'!$O$5:$O$205,'OPEX 상세'!$B$5:$B$205,$B16,'OPEX 상세'!$C$5:$C$205,F$5)</f>
        <v>0</v>
      </c>
      <c r="G16" s="8" t="n">
        <f aca="false">SUMIFS('OPEX 상세'!$O$5:$O$205,'OPEX 상세'!$B$5:$B$205,$B16,'OPEX 상세'!$C$5:$C$205,G$5)</f>
        <v>12600000</v>
      </c>
      <c r="H16" s="9" t="n">
        <f aca="false">SUM(C16:G16)</f>
        <v>12600000</v>
      </c>
      <c r="J16" s="8" t="n">
        <f aca="false">SUMIFS('OPEX 상세'!$M$5:$M$205,'OPEX 상세'!$B$5:$B$205,$B16)</f>
        <v>12600000</v>
      </c>
      <c r="K16" s="8" t="n">
        <f aca="false">SUMIFS('OPEX 상세'!$N$5:$N$205,'OPEX 상세'!$B$5:$B$205,$B16)</f>
        <v>0</v>
      </c>
      <c r="L16" s="8" t="n">
        <f aca="false">SUMIFS('OPEX 상세'!$Q$5:$Q$205,'OPEX 상세'!$B$5:$B$205,$B16)</f>
        <v>1260000</v>
      </c>
      <c r="M16" s="8" t="n">
        <f aca="false">H16+L16</f>
        <v>13860000</v>
      </c>
      <c r="N16" s="10" t="str">
        <f aca="false">IF(COUNTIF('OPEX 상세'!$B$5:$B$205,$B16)=0,"입력대기",IF(L16&gt;0,"VAT 추가 가능",""))</f>
        <v>VAT 추가 가능</v>
      </c>
    </row>
    <row r="17" customFormat="false" ht="15" hidden="false" customHeight="false" outlineLevel="0" collapsed="false">
      <c r="A17" s="11"/>
      <c r="B17" s="12" t="s">
        <v>26</v>
      </c>
      <c r="C17" s="13" t="n">
        <f aca="false">SUM(C6:C16)</f>
        <v>97198070</v>
      </c>
      <c r="D17" s="13" t="n">
        <f aca="false">SUM(D6:D16)</f>
        <v>98894764</v>
      </c>
      <c r="E17" s="13" t="n">
        <f aca="false">SUM(E6:E16)</f>
        <v>159103292</v>
      </c>
      <c r="F17" s="13" t="n">
        <f aca="false">SUM(F6:F16)</f>
        <v>147037916</v>
      </c>
      <c r="G17" s="13" t="n">
        <f aca="false">SUM(G6:G16)</f>
        <v>41202400</v>
      </c>
      <c r="H17" s="13" t="n">
        <f aca="false">SUM(H6:H16)</f>
        <v>543436442</v>
      </c>
      <c r="J17" s="13" t="n">
        <f aca="false">SUM(J6:J16)</f>
        <v>543281242</v>
      </c>
      <c r="K17" s="13" t="n">
        <f aca="false">SUM(K6:K16)</f>
        <v>155200</v>
      </c>
      <c r="L17" s="13" t="n">
        <f aca="false">SUM(L6:L16)</f>
        <v>3990000</v>
      </c>
      <c r="M17" s="13" t="n">
        <f aca="false">SUM(M6:M16)</f>
        <v>547426442</v>
      </c>
      <c r="N17" s="13"/>
    </row>
    <row r="18" customFormat="false" ht="15" hidden="false" customHeight="false" outlineLevel="0" collapsed="false">
      <c r="B18" s="2" t="s">
        <v>27</v>
      </c>
      <c r="H18" s="14" t="n">
        <f aca="false">H17-'OPEX 상세'!O206</f>
        <v>0</v>
      </c>
    </row>
    <row r="20" customFormat="false" ht="15" hidden="false" customHeight="false" outlineLevel="0" collapsed="false">
      <c r="B20" s="15" t="s">
        <v>28</v>
      </c>
    </row>
    <row r="21" customFormat="false" ht="30" hidden="false" customHeight="true" outlineLevel="0" collapsed="false">
      <c r="B21" s="5" t="s">
        <v>29</v>
      </c>
      <c r="C21" s="5" t="s">
        <v>10</v>
      </c>
      <c r="D21" s="5" t="s">
        <v>11</v>
      </c>
      <c r="E21" s="5" t="s">
        <v>26</v>
      </c>
      <c r="F21" s="5" t="s">
        <v>12</v>
      </c>
      <c r="G21" s="5" t="s">
        <v>30</v>
      </c>
    </row>
    <row r="22" customFormat="false" ht="15" hidden="false" customHeight="false" outlineLevel="0" collapsed="false">
      <c r="B22" s="8" t="s">
        <v>4</v>
      </c>
      <c r="C22" s="8" t="n">
        <f aca="false">SUMIFS('OPEX 상세'!$M$5:$M$205,'OPEX 상세'!$C$5:$C$205,$B22)</f>
        <v>97188870</v>
      </c>
      <c r="D22" s="8" t="n">
        <f aca="false">SUMIFS('OPEX 상세'!$N$5:$N$205,'OPEX 상세'!$C$5:$C$205,$B22)</f>
        <v>9200</v>
      </c>
      <c r="E22" s="8" t="n">
        <f aca="false">C22+D22</f>
        <v>97198070</v>
      </c>
      <c r="F22" s="8" t="n">
        <f aca="false">SUMIFS('OPEX 상세'!$Q$5:$Q$205,'OPEX 상세'!$C$5:$C$205,$B22)</f>
        <v>0</v>
      </c>
      <c r="G22" s="16" t="n">
        <f aca="false">IF($E$27=0,0,E22/$E$27)</f>
        <v>0.178858211352709</v>
      </c>
    </row>
    <row r="23" customFormat="false" ht="15" hidden="false" customHeight="false" outlineLevel="0" collapsed="false">
      <c r="B23" s="8" t="s">
        <v>5</v>
      </c>
      <c r="C23" s="8" t="n">
        <f aca="false">SUMIFS('OPEX 상세'!$M$5:$M$205,'OPEX 상세'!$C$5:$C$205,$B23)</f>
        <v>98885564</v>
      </c>
      <c r="D23" s="8" t="n">
        <f aca="false">SUMIFS('OPEX 상세'!$N$5:$N$205,'OPEX 상세'!$C$5:$C$205,$B23)</f>
        <v>9200</v>
      </c>
      <c r="E23" s="8" t="n">
        <f aca="false">C23+D23</f>
        <v>98894764</v>
      </c>
      <c r="F23" s="8" t="n">
        <f aca="false">SUMIFS('OPEX 상세'!$Q$5:$Q$205,'OPEX 상세'!$C$5:$C$205,$B23)</f>
        <v>0</v>
      </c>
      <c r="G23" s="16" t="n">
        <f aca="false">IF($E$27=0,0,E23/$E$27)</f>
        <v>0.181980368552465</v>
      </c>
    </row>
    <row r="24" customFormat="false" ht="15" hidden="false" customHeight="false" outlineLevel="0" collapsed="false">
      <c r="B24" s="8" t="s">
        <v>6</v>
      </c>
      <c r="C24" s="8" t="n">
        <f aca="false">SUMIFS('OPEX 상세'!$M$5:$M$205,'OPEX 상세'!$C$5:$C$205,$B24)</f>
        <v>159094092</v>
      </c>
      <c r="D24" s="8" t="n">
        <f aca="false">SUMIFS('OPEX 상세'!$N$5:$N$205,'OPEX 상세'!$C$5:$C$205,$B24)</f>
        <v>9200</v>
      </c>
      <c r="E24" s="8" t="n">
        <f aca="false">C24+D24</f>
        <v>159103292</v>
      </c>
      <c r="F24" s="8" t="n">
        <f aca="false">SUMIFS('OPEX 상세'!$Q$5:$Q$205,'OPEX 상세'!$C$5:$C$205,$B24)</f>
        <v>0</v>
      </c>
      <c r="G24" s="16" t="n">
        <f aca="false">IF($E$27=0,0,E24/$E$27)</f>
        <v>0.292772585170135</v>
      </c>
    </row>
    <row r="25" customFormat="false" ht="15" hidden="false" customHeight="false" outlineLevel="0" collapsed="false">
      <c r="B25" s="8" t="s">
        <v>7</v>
      </c>
      <c r="C25" s="8" t="n">
        <f aca="false">SUMIFS('OPEX 상세'!$M$5:$M$205,'OPEX 상세'!$C$5:$C$205,$B25)</f>
        <v>147028716</v>
      </c>
      <c r="D25" s="8" t="n">
        <f aca="false">SUMIFS('OPEX 상세'!$N$5:$N$205,'OPEX 상세'!$C$5:$C$205,$B25)</f>
        <v>9200</v>
      </c>
      <c r="E25" s="8" t="n">
        <f aca="false">C25+D25</f>
        <v>147037916</v>
      </c>
      <c r="F25" s="8" t="n">
        <f aca="false">SUMIFS('OPEX 상세'!$Q$5:$Q$205,'OPEX 상세'!$C$5:$C$205,$B25)</f>
        <v>0</v>
      </c>
      <c r="G25" s="16" t="n">
        <f aca="false">IF($E$27=0,0,E25/$E$27)</f>
        <v>0.270570584959041</v>
      </c>
    </row>
    <row r="26" customFormat="false" ht="15" hidden="false" customHeight="false" outlineLevel="0" collapsed="false">
      <c r="B26" s="17" t="s">
        <v>31</v>
      </c>
      <c r="C26" s="8" t="n">
        <f aca="false">SUMIFS('OPEX 상세'!$M$5:$M$205,'OPEX 상세'!$C$5:$C$205,$B26)</f>
        <v>41084000</v>
      </c>
      <c r="D26" s="8" t="n">
        <f aca="false">SUMIFS('OPEX 상세'!$N$5:$N$205,'OPEX 상세'!$C$5:$C$205,$B26)</f>
        <v>118400</v>
      </c>
      <c r="E26" s="8" t="n">
        <f aca="false">C26+D26</f>
        <v>41202400</v>
      </c>
      <c r="F26" s="8" t="n">
        <f aca="false">SUMIFS('OPEX 상세'!$Q$5:$Q$205,'OPEX 상세'!$C$5:$C$205,$B26)</f>
        <v>3990000</v>
      </c>
      <c r="G26" s="16" t="n">
        <f aca="false">IF($E$27=0,0,E26/$E$27)</f>
        <v>0.075818249965651</v>
      </c>
    </row>
    <row r="27" customFormat="false" ht="15" hidden="false" customHeight="false" outlineLevel="0" collapsed="false">
      <c r="B27" s="18" t="s">
        <v>26</v>
      </c>
      <c r="C27" s="13" t="n">
        <f aca="false">SUM(C22:C26)</f>
        <v>543281242</v>
      </c>
      <c r="D27" s="13" t="n">
        <f aca="false">SUM(D22:D26)</f>
        <v>155200</v>
      </c>
      <c r="E27" s="13" t="n">
        <f aca="false">SUM(E22:E26)</f>
        <v>543436442</v>
      </c>
      <c r="F27" s="13" t="n">
        <f aca="false">SUM(F22:F26)</f>
        <v>3990000</v>
      </c>
      <c r="G27" s="19" t="n">
        <f aca="false">SUM(G22:G26)</f>
        <v>1</v>
      </c>
    </row>
    <row r="29" customFormat="false" ht="15" hidden="false" customHeight="false" outlineLevel="0" collapsed="false">
      <c r="B29" s="15" t="s">
        <v>32</v>
      </c>
    </row>
    <row r="30" customFormat="false" ht="15" hidden="false" customHeight="false" outlineLevel="0" collapsed="false">
      <c r="B30" s="20" t="s">
        <v>33</v>
      </c>
    </row>
    <row r="31" customFormat="false" ht="15" hidden="false" customHeight="false" outlineLevel="0" collapsed="false">
      <c r="B31" s="20" t="s">
        <v>34</v>
      </c>
    </row>
    <row r="32" customFormat="false" ht="15" hidden="false" customHeight="false" outlineLevel="0" collapsed="false">
      <c r="B32" s="20" t="s">
        <v>35</v>
      </c>
    </row>
    <row r="33" customFormat="false" ht="15" hidden="false" customHeight="false" outlineLevel="0" collapsed="false">
      <c r="B33" s="20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5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3" min="12" style="0" width="13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46"/>
  </cols>
  <sheetData>
    <row r="1" customFormat="false" ht="19.4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30" hidden="false" customHeight="true" outlineLevel="0" collapsed="false">
      <c r="A4" s="4" t="s">
        <v>2</v>
      </c>
      <c r="B4" s="5" t="s">
        <v>3</v>
      </c>
      <c r="C4" s="5" t="s">
        <v>29</v>
      </c>
      <c r="D4" s="4" t="s">
        <v>39</v>
      </c>
      <c r="E4" s="4" t="s">
        <v>40</v>
      </c>
      <c r="F4" s="5" t="s">
        <v>41</v>
      </c>
      <c r="G4" s="5" t="s">
        <v>42</v>
      </c>
      <c r="H4" s="5" t="s">
        <v>43</v>
      </c>
      <c r="I4" s="5" t="s">
        <v>44</v>
      </c>
      <c r="J4" s="5" t="s">
        <v>45</v>
      </c>
      <c r="K4" s="5" t="s">
        <v>46</v>
      </c>
      <c r="L4" s="5" t="s">
        <v>47</v>
      </c>
      <c r="M4" s="5" t="s">
        <v>48</v>
      </c>
      <c r="N4" s="5" t="s">
        <v>49</v>
      </c>
      <c r="O4" s="5" t="s">
        <v>50</v>
      </c>
      <c r="P4" s="4" t="s">
        <v>51</v>
      </c>
      <c r="Q4" s="5" t="s">
        <v>12</v>
      </c>
      <c r="R4" s="5" t="s">
        <v>52</v>
      </c>
    </row>
    <row r="5" customFormat="false" ht="15" hidden="false" customHeight="false" outlineLevel="0" collapsed="false">
      <c r="A5" s="21" t="n">
        <f aca="false">IF(B5="","",COUNTA($B$5:B5))</f>
        <v>1</v>
      </c>
      <c r="B5" s="22" t="s">
        <v>15</v>
      </c>
      <c r="C5" s="23" t="s">
        <v>53</v>
      </c>
      <c r="D5" s="24"/>
      <c r="E5" s="7" t="str">
        <f aca="false">IF(D5="","",IFERROR(INDEX(코드관리!$C$7:$C$66,MATCH(D5,코드관리!$B$7:$B$66,0)),"미등록 코드"))</f>
        <v/>
      </c>
      <c r="F5" s="24"/>
      <c r="G5" s="22" t="s">
        <v>54</v>
      </c>
      <c r="H5" s="23" t="s">
        <v>55</v>
      </c>
      <c r="I5" s="25" t="s">
        <v>56</v>
      </c>
      <c r="J5" s="26" t="n">
        <v>1302400</v>
      </c>
      <c r="K5" s="25" t="s">
        <v>57</v>
      </c>
      <c r="L5" s="8" t="n">
        <f aca="false">IF(J5="","",IF(I5="USD",ROUND(J5*설정!$C$4,0),J5))</f>
        <v>1302400</v>
      </c>
      <c r="M5" s="8" t="n">
        <f aca="false">IF(L5="","",IF(AND(H5="과세",K5="VAT포함"),ROUND(L5/(1+설정!$C$5),0),L5))</f>
        <v>1184000</v>
      </c>
      <c r="N5" s="8" t="n">
        <f aca="false">IF(L5="","",IF(H5="과세",IF(K5="VAT포함",L5-M5,ROUND(M5*설정!$C$5,0)),0))</f>
        <v>118400</v>
      </c>
      <c r="O5" s="8" t="n">
        <f aca="false">IF(L5="","",M5+N5)</f>
        <v>1302400</v>
      </c>
      <c r="P5" s="25"/>
      <c r="Q5" s="8" t="str">
        <f aca="false">IF(OR(L5="",P5&lt;&gt;"Y"),"",ROUND(M5*설정!$C$5,0))</f>
        <v/>
      </c>
      <c r="R5" s="22" t="s">
        <v>58</v>
      </c>
    </row>
    <row r="6" customFormat="false" ht="15" hidden="false" customHeight="false" outlineLevel="0" collapsed="false">
      <c r="A6" s="21" t="n">
        <f aca="false">IF(B6="","",COUNTA($B$5:B6))</f>
        <v>2</v>
      </c>
      <c r="B6" s="22" t="s">
        <v>17</v>
      </c>
      <c r="C6" s="25" t="s">
        <v>4</v>
      </c>
      <c r="D6" s="24"/>
      <c r="E6" s="7" t="str">
        <f aca="false">IF(D6="","",IFERROR(INDEX(코드관리!$C$7:$C$66,MATCH(D6,코드관리!$B$7:$B$66,0)),"미등록 코드"))</f>
        <v/>
      </c>
      <c r="F6" s="22"/>
      <c r="G6" s="24" t="s">
        <v>59</v>
      </c>
      <c r="H6" s="23" t="s">
        <v>60</v>
      </c>
      <c r="I6" s="25" t="s">
        <v>56</v>
      </c>
      <c r="J6" s="26" t="n">
        <v>3680000</v>
      </c>
      <c r="K6" s="25"/>
      <c r="L6" s="8" t="n">
        <f aca="false">IF(J6="","",IF(I6="USD",ROUND(J6*설정!$C$4,0),J6))</f>
        <v>3680000</v>
      </c>
      <c r="M6" s="8" t="n">
        <f aca="false">IF(L6="","",IF(AND(H6="과세",K6="VAT포함"),ROUND(L6/(1+설정!$C$5),0),L6))</f>
        <v>3680000</v>
      </c>
      <c r="N6" s="8" t="n">
        <f aca="false">IF(L6="","",IF(H6="과세",IF(K6="VAT포함",L6-M6,ROUND(M6*설정!$C$5,0)),0))</f>
        <v>0</v>
      </c>
      <c r="O6" s="8" t="n">
        <f aca="false">IF(L6="","",M6+N6)</f>
        <v>3680000</v>
      </c>
      <c r="P6" s="25"/>
      <c r="Q6" s="8" t="str">
        <f aca="false">IF(OR(L6="",P6&lt;&gt;"Y"),"",ROUND(M6*설정!$C$5,0))</f>
        <v/>
      </c>
      <c r="R6" s="22"/>
    </row>
    <row r="7" customFormat="false" ht="15" hidden="false" customHeight="false" outlineLevel="0" collapsed="false">
      <c r="A7" s="21" t="n">
        <f aca="false">IF(B7="","",COUNTA($B$5:B7))</f>
        <v>3</v>
      </c>
      <c r="B7" s="22" t="s">
        <v>17</v>
      </c>
      <c r="C7" s="25" t="s">
        <v>4</v>
      </c>
      <c r="D7" s="24"/>
      <c r="E7" s="7" t="str">
        <f aca="false">IF(D7="","",IFERROR(INDEX(코드관리!$C$7:$C$66,MATCH(D7,코드관리!$B$7:$B$66,0)),"미등록 코드"))</f>
        <v/>
      </c>
      <c r="F7" s="22"/>
      <c r="G7" s="24" t="s">
        <v>61</v>
      </c>
      <c r="H7" s="23" t="s">
        <v>60</v>
      </c>
      <c r="I7" s="25" t="s">
        <v>62</v>
      </c>
      <c r="J7" s="26" t="n">
        <v>2800</v>
      </c>
      <c r="K7" s="25"/>
      <c r="L7" s="8" t="n">
        <f aca="false">IF(J7="","",IF(I7="USD",ROUND(J7*설정!$C$4,0),J7))</f>
        <v>3780000</v>
      </c>
      <c r="M7" s="8" t="n">
        <f aca="false">IF(L7="","",IF(AND(H7="과세",K7="VAT포함"),ROUND(L7/(1+설정!$C$5),0),L7))</f>
        <v>3780000</v>
      </c>
      <c r="N7" s="8" t="n">
        <f aca="false">IF(L7="","",IF(H7="과세",IF(K7="VAT포함",L7-M7,ROUND(M7*설정!$C$5,0)),0))</f>
        <v>0</v>
      </c>
      <c r="O7" s="8" t="n">
        <f aca="false">IF(L7="","",M7+N7)</f>
        <v>3780000</v>
      </c>
      <c r="P7" s="25"/>
      <c r="Q7" s="8" t="str">
        <f aca="false">IF(OR(L7="",P7&lt;&gt;"Y"),"",ROUND(M7*설정!$C$5,0))</f>
        <v/>
      </c>
      <c r="R7" s="24" t="s">
        <v>63</v>
      </c>
    </row>
    <row r="8" customFormat="false" ht="15" hidden="false" customHeight="false" outlineLevel="0" collapsed="false">
      <c r="A8" s="21" t="n">
        <f aca="false">IF(B8="","",COUNTA($B$5:B8))</f>
        <v>4</v>
      </c>
      <c r="B8" s="22" t="s">
        <v>17</v>
      </c>
      <c r="C8" s="25" t="s">
        <v>4</v>
      </c>
      <c r="D8" s="24"/>
      <c r="E8" s="7" t="str">
        <f aca="false">IF(D8="","",IFERROR(INDEX(코드관리!$C$7:$C$66,MATCH(D8,코드관리!$B$7:$B$66,0)),"미등록 코드"))</f>
        <v/>
      </c>
      <c r="F8" s="22"/>
      <c r="G8" s="24" t="s">
        <v>64</v>
      </c>
      <c r="H8" s="23" t="s">
        <v>60</v>
      </c>
      <c r="I8" s="25" t="s">
        <v>56</v>
      </c>
      <c r="J8" s="26" t="n">
        <v>160000</v>
      </c>
      <c r="K8" s="25"/>
      <c r="L8" s="8" t="n">
        <f aca="false">IF(J8="","",IF(I8="USD",ROUND(J8*설정!$C$4,0),J8))</f>
        <v>160000</v>
      </c>
      <c r="M8" s="8" t="n">
        <f aca="false">IF(L8="","",IF(AND(H8="과세",K8="VAT포함"),ROUND(L8/(1+설정!$C$5),0),L8))</f>
        <v>160000</v>
      </c>
      <c r="N8" s="8" t="n">
        <f aca="false">IF(L8="","",IF(H8="과세",IF(K8="VAT포함",L8-M8,ROUND(M8*설정!$C$5,0)),0))</f>
        <v>0</v>
      </c>
      <c r="O8" s="8" t="n">
        <f aca="false">IF(L8="","",M8+N8)</f>
        <v>160000</v>
      </c>
      <c r="P8" s="25"/>
      <c r="Q8" s="8" t="str">
        <f aca="false">IF(OR(L8="",P8&lt;&gt;"Y"),"",ROUND(M8*설정!$C$5,0))</f>
        <v/>
      </c>
      <c r="R8" s="22"/>
    </row>
    <row r="9" customFormat="false" ht="15" hidden="false" customHeight="false" outlineLevel="0" collapsed="false">
      <c r="A9" s="21" t="n">
        <f aca="false">IF(B9="","",COUNTA($B$5:B9))</f>
        <v>5</v>
      </c>
      <c r="B9" s="22" t="s">
        <v>17</v>
      </c>
      <c r="C9" s="25" t="s">
        <v>5</v>
      </c>
      <c r="D9" s="24"/>
      <c r="E9" s="7" t="str">
        <f aca="false">IF(D9="","",IFERROR(INDEX(코드관리!$C$7:$C$66,MATCH(D9,코드관리!$B$7:$B$66,0)),"미등록 코드"))</f>
        <v/>
      </c>
      <c r="F9" s="22"/>
      <c r="G9" s="24" t="s">
        <v>59</v>
      </c>
      <c r="H9" s="23" t="s">
        <v>60</v>
      </c>
      <c r="I9" s="25" t="s">
        <v>56</v>
      </c>
      <c r="J9" s="26" t="n">
        <v>3680000</v>
      </c>
      <c r="K9" s="25"/>
      <c r="L9" s="8" t="n">
        <f aca="false">IF(J9="","",IF(I9="USD",ROUND(J9*설정!$C$4,0),J9))</f>
        <v>3680000</v>
      </c>
      <c r="M9" s="8" t="n">
        <f aca="false">IF(L9="","",IF(AND(H9="과세",K9="VAT포함"),ROUND(L9/(1+설정!$C$5),0),L9))</f>
        <v>3680000</v>
      </c>
      <c r="N9" s="8" t="n">
        <f aca="false">IF(L9="","",IF(H9="과세",IF(K9="VAT포함",L9-M9,ROUND(M9*설정!$C$5,0)),0))</f>
        <v>0</v>
      </c>
      <c r="O9" s="8" t="n">
        <f aca="false">IF(L9="","",M9+N9)</f>
        <v>3680000</v>
      </c>
      <c r="P9" s="25"/>
      <c r="Q9" s="8" t="str">
        <f aca="false">IF(OR(L9="",P9&lt;&gt;"Y"),"",ROUND(M9*설정!$C$5,0))</f>
        <v/>
      </c>
      <c r="R9" s="22"/>
    </row>
    <row r="10" customFormat="false" ht="15" hidden="false" customHeight="false" outlineLevel="0" collapsed="false">
      <c r="A10" s="21" t="n">
        <f aca="false">IF(B10="","",COUNTA($B$5:B10))</f>
        <v>6</v>
      </c>
      <c r="B10" s="22" t="s">
        <v>17</v>
      </c>
      <c r="C10" s="25" t="s">
        <v>5</v>
      </c>
      <c r="D10" s="24"/>
      <c r="E10" s="7" t="str">
        <f aca="false">IF(D10="","",IFERROR(INDEX(코드관리!$C$7:$C$66,MATCH(D10,코드관리!$B$7:$B$66,0)),"미등록 코드"))</f>
        <v/>
      </c>
      <c r="F10" s="22"/>
      <c r="G10" s="24" t="s">
        <v>61</v>
      </c>
      <c r="H10" s="23" t="s">
        <v>60</v>
      </c>
      <c r="I10" s="25" t="s">
        <v>62</v>
      </c>
      <c r="J10" s="26" t="n">
        <v>2800</v>
      </c>
      <c r="K10" s="25"/>
      <c r="L10" s="8" t="n">
        <f aca="false">IF(J10="","",IF(I10="USD",ROUND(J10*설정!$C$4,0),J10))</f>
        <v>3780000</v>
      </c>
      <c r="M10" s="8" t="n">
        <f aca="false">IF(L10="","",IF(AND(H10="과세",K10="VAT포함"),ROUND(L10/(1+설정!$C$5),0),L10))</f>
        <v>3780000</v>
      </c>
      <c r="N10" s="8" t="n">
        <f aca="false">IF(L10="","",IF(H10="과세",IF(K10="VAT포함",L10-M10,ROUND(M10*설정!$C$5,0)),0))</f>
        <v>0</v>
      </c>
      <c r="O10" s="8" t="n">
        <f aca="false">IF(L10="","",M10+N10)</f>
        <v>3780000</v>
      </c>
      <c r="P10" s="25"/>
      <c r="Q10" s="8" t="str">
        <f aca="false">IF(OR(L10="",P10&lt;&gt;"Y"),"",ROUND(M10*설정!$C$5,0))</f>
        <v/>
      </c>
      <c r="R10" s="24" t="s">
        <v>63</v>
      </c>
    </row>
    <row r="11" customFormat="false" ht="15" hidden="false" customHeight="false" outlineLevel="0" collapsed="false">
      <c r="A11" s="21" t="n">
        <f aca="false">IF(B11="","",COUNTA($B$5:B11))</f>
        <v>7</v>
      </c>
      <c r="B11" s="22" t="s">
        <v>17</v>
      </c>
      <c r="C11" s="25" t="s">
        <v>5</v>
      </c>
      <c r="D11" s="24"/>
      <c r="E11" s="7" t="str">
        <f aca="false">IF(D11="","",IFERROR(INDEX(코드관리!$C$7:$C$66,MATCH(D11,코드관리!$B$7:$B$66,0)),"미등록 코드"))</f>
        <v/>
      </c>
      <c r="F11" s="22"/>
      <c r="G11" s="24" t="s">
        <v>64</v>
      </c>
      <c r="H11" s="23" t="s">
        <v>60</v>
      </c>
      <c r="I11" s="25" t="s">
        <v>56</v>
      </c>
      <c r="J11" s="26" t="n">
        <v>160000</v>
      </c>
      <c r="K11" s="25"/>
      <c r="L11" s="8" t="n">
        <f aca="false">IF(J11="","",IF(I11="USD",ROUND(J11*설정!$C$4,0),J11))</f>
        <v>160000</v>
      </c>
      <c r="M11" s="8" t="n">
        <f aca="false">IF(L11="","",IF(AND(H11="과세",K11="VAT포함"),ROUND(L11/(1+설정!$C$5),0),L11))</f>
        <v>160000</v>
      </c>
      <c r="N11" s="8" t="n">
        <f aca="false">IF(L11="","",IF(H11="과세",IF(K11="VAT포함",L11-M11,ROUND(M11*설정!$C$5,0)),0))</f>
        <v>0</v>
      </c>
      <c r="O11" s="8" t="n">
        <f aca="false">IF(L11="","",M11+N11)</f>
        <v>160000</v>
      </c>
      <c r="P11" s="25"/>
      <c r="Q11" s="8" t="str">
        <f aca="false">IF(OR(L11="",P11&lt;&gt;"Y"),"",ROUND(M11*설정!$C$5,0))</f>
        <v/>
      </c>
      <c r="R11" s="22"/>
    </row>
    <row r="12" customFormat="false" ht="15" hidden="false" customHeight="false" outlineLevel="0" collapsed="false">
      <c r="A12" s="21" t="n">
        <f aca="false">IF(B12="","",COUNTA($B$5:B12))</f>
        <v>8</v>
      </c>
      <c r="B12" s="22" t="s">
        <v>17</v>
      </c>
      <c r="C12" s="25" t="s">
        <v>6</v>
      </c>
      <c r="D12" s="24"/>
      <c r="E12" s="7" t="str">
        <f aca="false">IF(D12="","",IFERROR(INDEX(코드관리!$C$7:$C$66,MATCH(D12,코드관리!$B$7:$B$66,0)),"미등록 코드"))</f>
        <v/>
      </c>
      <c r="F12" s="22"/>
      <c r="G12" s="24" t="s">
        <v>65</v>
      </c>
      <c r="H12" s="23" t="s">
        <v>60</v>
      </c>
      <c r="I12" s="25" t="s">
        <v>62</v>
      </c>
      <c r="J12" s="26" t="n">
        <v>26000</v>
      </c>
      <c r="K12" s="25"/>
      <c r="L12" s="8" t="n">
        <f aca="false">IF(J12="","",IF(I12="USD",ROUND(J12*설정!$C$4,0),J12))</f>
        <v>35100000</v>
      </c>
      <c r="M12" s="8" t="n">
        <f aca="false">IF(L12="","",IF(AND(H12="과세",K12="VAT포함"),ROUND(L12/(1+설정!$C$5),0),L12))</f>
        <v>35100000</v>
      </c>
      <c r="N12" s="8" t="n">
        <f aca="false">IF(L12="","",IF(H12="과세",IF(K12="VAT포함",L12-M12,ROUND(M12*설정!$C$5,0)),0))</f>
        <v>0</v>
      </c>
      <c r="O12" s="8" t="n">
        <f aca="false">IF(L12="","",M12+N12)</f>
        <v>35100000</v>
      </c>
      <c r="P12" s="25"/>
      <c r="Q12" s="8" t="str">
        <f aca="false">IF(OR(L12="",P12&lt;&gt;"Y"),"",ROUND(M12*설정!$C$5,0))</f>
        <v/>
      </c>
      <c r="R12" s="24" t="s">
        <v>66</v>
      </c>
    </row>
    <row r="13" customFormat="false" ht="15" hidden="false" customHeight="false" outlineLevel="0" collapsed="false">
      <c r="A13" s="21" t="n">
        <f aca="false">IF(B13="","",COUNTA($B$5:B13))</f>
        <v>9</v>
      </c>
      <c r="B13" s="22" t="s">
        <v>17</v>
      </c>
      <c r="C13" s="25" t="s">
        <v>6</v>
      </c>
      <c r="D13" s="24"/>
      <c r="E13" s="7" t="str">
        <f aca="false">IF(D13="","",IFERROR(INDEX(코드관리!$C$7:$C$66,MATCH(D13,코드관리!$B$7:$B$66,0)),"미등록 코드"))</f>
        <v/>
      </c>
      <c r="F13" s="22"/>
      <c r="G13" s="24" t="s">
        <v>61</v>
      </c>
      <c r="H13" s="23" t="s">
        <v>60</v>
      </c>
      <c r="I13" s="25" t="s">
        <v>62</v>
      </c>
      <c r="J13" s="26" t="n">
        <v>2800</v>
      </c>
      <c r="K13" s="25"/>
      <c r="L13" s="8" t="n">
        <f aca="false">IF(J13="","",IF(I13="USD",ROUND(J13*설정!$C$4,0),J13))</f>
        <v>3780000</v>
      </c>
      <c r="M13" s="8" t="n">
        <f aca="false">IF(L13="","",IF(AND(H13="과세",K13="VAT포함"),ROUND(L13/(1+설정!$C$5),0),L13))</f>
        <v>3780000</v>
      </c>
      <c r="N13" s="8" t="n">
        <f aca="false">IF(L13="","",IF(H13="과세",IF(K13="VAT포함",L13-M13,ROUND(M13*설정!$C$5,0)),0))</f>
        <v>0</v>
      </c>
      <c r="O13" s="8" t="n">
        <f aca="false">IF(L13="","",M13+N13)</f>
        <v>3780000</v>
      </c>
      <c r="P13" s="25"/>
      <c r="Q13" s="8" t="str">
        <f aca="false">IF(OR(L13="",P13&lt;&gt;"Y"),"",ROUND(M13*설정!$C$5,0))</f>
        <v/>
      </c>
      <c r="R13" s="24" t="s">
        <v>63</v>
      </c>
    </row>
    <row r="14" customFormat="false" ht="15" hidden="false" customHeight="false" outlineLevel="0" collapsed="false">
      <c r="A14" s="21" t="n">
        <f aca="false">IF(B14="","",COUNTA($B$5:B14))</f>
        <v>10</v>
      </c>
      <c r="B14" s="22" t="s">
        <v>17</v>
      </c>
      <c r="C14" s="25" t="s">
        <v>7</v>
      </c>
      <c r="D14" s="24"/>
      <c r="E14" s="7" t="str">
        <f aca="false">IF(D14="","",IFERROR(INDEX(코드관리!$C$7:$C$66,MATCH(D14,코드관리!$B$7:$B$66,0)),"미등록 코드"))</f>
        <v/>
      </c>
      <c r="F14" s="22"/>
      <c r="G14" s="24" t="s">
        <v>65</v>
      </c>
      <c r="H14" s="23" t="s">
        <v>60</v>
      </c>
      <c r="I14" s="25" t="s">
        <v>62</v>
      </c>
      <c r="J14" s="26" t="n">
        <v>26000</v>
      </c>
      <c r="K14" s="25"/>
      <c r="L14" s="8" t="n">
        <f aca="false">IF(J14="","",IF(I14="USD",ROUND(J14*설정!$C$4,0),J14))</f>
        <v>35100000</v>
      </c>
      <c r="M14" s="8" t="n">
        <f aca="false">IF(L14="","",IF(AND(H14="과세",K14="VAT포함"),ROUND(L14/(1+설정!$C$5),0),L14))</f>
        <v>35100000</v>
      </c>
      <c r="N14" s="8" t="n">
        <f aca="false">IF(L14="","",IF(H14="과세",IF(K14="VAT포함",L14-M14,ROUND(M14*설정!$C$5,0)),0))</f>
        <v>0</v>
      </c>
      <c r="O14" s="8" t="n">
        <f aca="false">IF(L14="","",M14+N14)</f>
        <v>35100000</v>
      </c>
      <c r="P14" s="25"/>
      <c r="Q14" s="8" t="str">
        <f aca="false">IF(OR(L14="",P14&lt;&gt;"Y"),"",ROUND(M14*설정!$C$5,0))</f>
        <v/>
      </c>
      <c r="R14" s="24" t="s">
        <v>66</v>
      </c>
    </row>
    <row r="15" customFormat="false" ht="15" hidden="false" customHeight="false" outlineLevel="0" collapsed="false">
      <c r="A15" s="21" t="n">
        <f aca="false">IF(B15="","",COUNTA($B$5:B15))</f>
        <v>11</v>
      </c>
      <c r="B15" s="22" t="s">
        <v>17</v>
      </c>
      <c r="C15" s="25" t="s">
        <v>7</v>
      </c>
      <c r="D15" s="24"/>
      <c r="E15" s="7" t="str">
        <f aca="false">IF(D15="","",IFERROR(INDEX(코드관리!$C$7:$C$66,MATCH(D15,코드관리!$B$7:$B$66,0)),"미등록 코드"))</f>
        <v/>
      </c>
      <c r="F15" s="22"/>
      <c r="G15" s="24" t="s">
        <v>61</v>
      </c>
      <c r="H15" s="23" t="s">
        <v>60</v>
      </c>
      <c r="I15" s="25" t="s">
        <v>62</v>
      </c>
      <c r="J15" s="26" t="n">
        <v>2800</v>
      </c>
      <c r="K15" s="25"/>
      <c r="L15" s="8" t="n">
        <f aca="false">IF(J15="","",IF(I15="USD",ROUND(J15*설정!$C$4,0),J15))</f>
        <v>3780000</v>
      </c>
      <c r="M15" s="8" t="n">
        <f aca="false">IF(L15="","",IF(AND(H15="과세",K15="VAT포함"),ROUND(L15/(1+설정!$C$5),0),L15))</f>
        <v>3780000</v>
      </c>
      <c r="N15" s="8" t="n">
        <f aca="false">IF(L15="","",IF(H15="과세",IF(K15="VAT포함",L15-M15,ROUND(M15*설정!$C$5,0)),0))</f>
        <v>0</v>
      </c>
      <c r="O15" s="8" t="n">
        <f aca="false">IF(L15="","",M15+N15)</f>
        <v>3780000</v>
      </c>
      <c r="P15" s="25"/>
      <c r="Q15" s="8" t="str">
        <f aca="false">IF(OR(L15="",P15&lt;&gt;"Y"),"",ROUND(M15*설정!$C$5,0))</f>
        <v/>
      </c>
      <c r="R15" s="24" t="s">
        <v>63</v>
      </c>
    </row>
    <row r="16" customFormat="false" ht="15" hidden="false" customHeight="false" outlineLevel="0" collapsed="false">
      <c r="A16" s="21" t="n">
        <f aca="false">IF(B16="","",COUNTA($B$5:B16))</f>
        <v>12</v>
      </c>
      <c r="B16" s="22" t="s">
        <v>18</v>
      </c>
      <c r="C16" s="25" t="s">
        <v>4</v>
      </c>
      <c r="D16" s="24"/>
      <c r="E16" s="7" t="str">
        <f aca="false">IF(D16="","",IFERROR(INDEX(코드관리!$C$7:$C$66,MATCH(D16,코드관리!$B$7:$B$66,0)),"미등록 코드"))</f>
        <v/>
      </c>
      <c r="F16" s="22"/>
      <c r="G16" s="24" t="s">
        <v>67</v>
      </c>
      <c r="H16" s="23" t="s">
        <v>60</v>
      </c>
      <c r="I16" s="25" t="s">
        <v>56</v>
      </c>
      <c r="J16" s="26" t="n">
        <v>33800000</v>
      </c>
      <c r="K16" s="25"/>
      <c r="L16" s="8" t="n">
        <f aca="false">IF(J16="","",IF(I16="USD",ROUND(J16*설정!$C$4,0),J16))</f>
        <v>33800000</v>
      </c>
      <c r="M16" s="8" t="n">
        <f aca="false">IF(L16="","",IF(AND(H16="과세",K16="VAT포함"),ROUND(L16/(1+설정!$C$5),0),L16))</f>
        <v>33800000</v>
      </c>
      <c r="N16" s="8" t="n">
        <f aca="false">IF(L16="","",IF(H16="과세",IF(K16="VAT포함",L16-M16,ROUND(M16*설정!$C$5,0)),0))</f>
        <v>0</v>
      </c>
      <c r="O16" s="8" t="n">
        <f aca="false">IF(L16="","",M16+N16)</f>
        <v>33800000</v>
      </c>
      <c r="P16" s="25"/>
      <c r="Q16" s="8" t="str">
        <f aca="false">IF(OR(L16="",P16&lt;&gt;"Y"),"",ROUND(M16*설정!$C$5,0))</f>
        <v/>
      </c>
      <c r="R16" s="22" t="s">
        <v>68</v>
      </c>
    </row>
    <row r="17" customFormat="false" ht="15" hidden="false" customHeight="false" outlineLevel="0" collapsed="false">
      <c r="A17" s="21" t="n">
        <f aca="false">IF(B17="","",COUNTA($B$5:B17))</f>
        <v>13</v>
      </c>
      <c r="B17" s="22" t="s">
        <v>18</v>
      </c>
      <c r="C17" s="25" t="s">
        <v>4</v>
      </c>
      <c r="D17" s="24"/>
      <c r="E17" s="7" t="str">
        <f aca="false">IF(D17="","",IFERROR(INDEX(코드관리!$C$7:$C$66,MATCH(D17,코드관리!$B$7:$B$66,0)),"미등록 코드"))</f>
        <v/>
      </c>
      <c r="F17" s="22"/>
      <c r="G17" s="22" t="s">
        <v>69</v>
      </c>
      <c r="H17" s="23" t="s">
        <v>60</v>
      </c>
      <c r="I17" s="25" t="s">
        <v>56</v>
      </c>
      <c r="J17" s="26" t="n">
        <v>7990000</v>
      </c>
      <c r="K17" s="25"/>
      <c r="L17" s="8" t="n">
        <f aca="false">IF(J17="","",IF(I17="USD",ROUND(J17*설정!$C$4,0),J17))</f>
        <v>7990000</v>
      </c>
      <c r="M17" s="8" t="n">
        <f aca="false">IF(L17="","",IF(AND(H17="과세",K17="VAT포함"),ROUND(L17/(1+설정!$C$5),0),L17))</f>
        <v>7990000</v>
      </c>
      <c r="N17" s="8" t="n">
        <f aca="false">IF(L17="","",IF(H17="과세",IF(K17="VAT포함",L17-M17,ROUND(M17*설정!$C$5,0)),0))</f>
        <v>0</v>
      </c>
      <c r="O17" s="8" t="n">
        <f aca="false">IF(L17="","",M17+N17)</f>
        <v>7990000</v>
      </c>
      <c r="P17" s="25"/>
      <c r="Q17" s="8" t="str">
        <f aca="false">IF(OR(L17="",P17&lt;&gt;"Y"),"",ROUND(M17*설정!$C$5,0))</f>
        <v/>
      </c>
      <c r="R17" s="22"/>
    </row>
    <row r="18" customFormat="false" ht="15" hidden="false" customHeight="false" outlineLevel="0" collapsed="false">
      <c r="A18" s="21" t="n">
        <f aca="false">IF(B18="","",COUNTA($B$5:B18))</f>
        <v>14</v>
      </c>
      <c r="B18" s="22" t="s">
        <v>18</v>
      </c>
      <c r="C18" s="25" t="s">
        <v>5</v>
      </c>
      <c r="D18" s="24"/>
      <c r="E18" s="7" t="str">
        <f aca="false">IF(D18="","",IFERROR(INDEX(코드관리!$C$7:$C$66,MATCH(D18,코드관리!$B$7:$B$66,0)),"미등록 코드"))</f>
        <v/>
      </c>
      <c r="F18" s="22"/>
      <c r="G18" s="24" t="s">
        <v>67</v>
      </c>
      <c r="H18" s="23" t="s">
        <v>60</v>
      </c>
      <c r="I18" s="25" t="s">
        <v>56</v>
      </c>
      <c r="J18" s="26" t="n">
        <v>33800000</v>
      </c>
      <c r="K18" s="25"/>
      <c r="L18" s="8" t="n">
        <f aca="false">IF(J18="","",IF(I18="USD",ROUND(J18*설정!$C$4,0),J18))</f>
        <v>33800000</v>
      </c>
      <c r="M18" s="8" t="n">
        <f aca="false">IF(L18="","",IF(AND(H18="과세",K18="VAT포함"),ROUND(L18/(1+설정!$C$5),0),L18))</f>
        <v>33800000</v>
      </c>
      <c r="N18" s="8" t="n">
        <f aca="false">IF(L18="","",IF(H18="과세",IF(K18="VAT포함",L18-M18,ROUND(M18*설정!$C$5,0)),0))</f>
        <v>0</v>
      </c>
      <c r="O18" s="8" t="n">
        <f aca="false">IF(L18="","",M18+N18)</f>
        <v>33800000</v>
      </c>
      <c r="P18" s="25"/>
      <c r="Q18" s="8" t="str">
        <f aca="false">IF(OR(L18="",P18&lt;&gt;"Y"),"",ROUND(M18*설정!$C$5,0))</f>
        <v/>
      </c>
      <c r="R18" s="22" t="s">
        <v>68</v>
      </c>
    </row>
    <row r="19" customFormat="false" ht="15" hidden="false" customHeight="false" outlineLevel="0" collapsed="false">
      <c r="A19" s="21" t="n">
        <f aca="false">IF(B19="","",COUNTA($B$5:B19))</f>
        <v>15</v>
      </c>
      <c r="B19" s="22" t="s">
        <v>18</v>
      </c>
      <c r="C19" s="25" t="s">
        <v>5</v>
      </c>
      <c r="D19" s="24"/>
      <c r="E19" s="7" t="str">
        <f aca="false">IF(D19="","",IFERROR(INDEX(코드관리!$C$7:$C$66,MATCH(D19,코드관리!$B$7:$B$66,0)),"미등록 코드"))</f>
        <v/>
      </c>
      <c r="F19" s="22"/>
      <c r="G19" s="22" t="s">
        <v>69</v>
      </c>
      <c r="H19" s="23" t="s">
        <v>60</v>
      </c>
      <c r="I19" s="25" t="s">
        <v>56</v>
      </c>
      <c r="J19" s="26" t="n">
        <v>7290000</v>
      </c>
      <c r="K19" s="25"/>
      <c r="L19" s="8" t="n">
        <f aca="false">IF(J19="","",IF(I19="USD",ROUND(J19*설정!$C$4,0),J19))</f>
        <v>7290000</v>
      </c>
      <c r="M19" s="8" t="n">
        <f aca="false">IF(L19="","",IF(AND(H19="과세",K19="VAT포함"),ROUND(L19/(1+설정!$C$5),0),L19))</f>
        <v>7290000</v>
      </c>
      <c r="N19" s="8" t="n">
        <f aca="false">IF(L19="","",IF(H19="과세",IF(K19="VAT포함",L19-M19,ROUND(M19*설정!$C$5,0)),0))</f>
        <v>0</v>
      </c>
      <c r="O19" s="8" t="n">
        <f aca="false">IF(L19="","",M19+N19)</f>
        <v>7290000</v>
      </c>
      <c r="P19" s="25"/>
      <c r="Q19" s="8" t="str">
        <f aca="false">IF(OR(L19="",P19&lt;&gt;"Y"),"",ROUND(M19*설정!$C$5,0))</f>
        <v/>
      </c>
      <c r="R19" s="22"/>
    </row>
    <row r="20" customFormat="false" ht="15" hidden="false" customHeight="false" outlineLevel="0" collapsed="false">
      <c r="A20" s="21" t="n">
        <f aca="false">IF(B20="","",COUNTA($B$5:B20))</f>
        <v>16</v>
      </c>
      <c r="B20" s="22" t="s">
        <v>18</v>
      </c>
      <c r="C20" s="25" t="s">
        <v>6</v>
      </c>
      <c r="D20" s="24"/>
      <c r="E20" s="7" t="str">
        <f aca="false">IF(D20="","",IFERROR(INDEX(코드관리!$C$7:$C$66,MATCH(D20,코드관리!$B$7:$B$66,0)),"미등록 코드"))</f>
        <v/>
      </c>
      <c r="F20" s="22"/>
      <c r="G20" s="24" t="s">
        <v>67</v>
      </c>
      <c r="H20" s="23" t="s">
        <v>60</v>
      </c>
      <c r="I20" s="25" t="s">
        <v>56</v>
      </c>
      <c r="J20" s="26" t="n">
        <v>33800000</v>
      </c>
      <c r="K20" s="25"/>
      <c r="L20" s="8" t="n">
        <f aca="false">IF(J20="","",IF(I20="USD",ROUND(J20*설정!$C$4,0),J20))</f>
        <v>33800000</v>
      </c>
      <c r="M20" s="8" t="n">
        <f aca="false">IF(L20="","",IF(AND(H20="과세",K20="VAT포함"),ROUND(L20/(1+설정!$C$5),0),L20))</f>
        <v>33800000</v>
      </c>
      <c r="N20" s="8" t="n">
        <f aca="false">IF(L20="","",IF(H20="과세",IF(K20="VAT포함",L20-M20,ROUND(M20*설정!$C$5,0)),0))</f>
        <v>0</v>
      </c>
      <c r="O20" s="8" t="n">
        <f aca="false">IF(L20="","",M20+N20)</f>
        <v>33800000</v>
      </c>
      <c r="P20" s="25"/>
      <c r="Q20" s="8" t="str">
        <f aca="false">IF(OR(L20="",P20&lt;&gt;"Y"),"",ROUND(M20*설정!$C$5,0))</f>
        <v/>
      </c>
      <c r="R20" s="22" t="s">
        <v>68</v>
      </c>
    </row>
    <row r="21" customFormat="false" ht="15" hidden="false" customHeight="false" outlineLevel="0" collapsed="false">
      <c r="A21" s="21" t="n">
        <f aca="false">IF(B21="","",COUNTA($B$5:B21))</f>
        <v>17</v>
      </c>
      <c r="B21" s="22" t="s">
        <v>18</v>
      </c>
      <c r="C21" s="25" t="s">
        <v>6</v>
      </c>
      <c r="D21" s="24"/>
      <c r="E21" s="7" t="str">
        <f aca="false">IF(D21="","",IFERROR(INDEX(코드관리!$C$7:$C$66,MATCH(D21,코드관리!$B$7:$B$66,0)),"미등록 코드"))</f>
        <v/>
      </c>
      <c r="F21" s="22"/>
      <c r="G21" s="22" t="s">
        <v>69</v>
      </c>
      <c r="H21" s="23" t="s">
        <v>60</v>
      </c>
      <c r="I21" s="25" t="s">
        <v>56</v>
      </c>
      <c r="J21" s="26" t="n">
        <v>7040000</v>
      </c>
      <c r="K21" s="25"/>
      <c r="L21" s="8" t="n">
        <f aca="false">IF(J21="","",IF(I21="USD",ROUND(J21*설정!$C$4,0),J21))</f>
        <v>7040000</v>
      </c>
      <c r="M21" s="8" t="n">
        <f aca="false">IF(L21="","",IF(AND(H21="과세",K21="VAT포함"),ROUND(L21/(1+설정!$C$5),0),L21))</f>
        <v>7040000</v>
      </c>
      <c r="N21" s="8" t="n">
        <f aca="false">IF(L21="","",IF(H21="과세",IF(K21="VAT포함",L21-M21,ROUND(M21*설정!$C$5,0)),0))</f>
        <v>0</v>
      </c>
      <c r="O21" s="8" t="n">
        <f aca="false">IF(L21="","",M21+N21)</f>
        <v>7040000</v>
      </c>
      <c r="P21" s="25"/>
      <c r="Q21" s="8" t="str">
        <f aca="false">IF(OR(L21="",P21&lt;&gt;"Y"),"",ROUND(M21*설정!$C$5,0))</f>
        <v/>
      </c>
      <c r="R21" s="22"/>
    </row>
    <row r="22" customFormat="false" ht="15" hidden="false" customHeight="false" outlineLevel="0" collapsed="false">
      <c r="A22" s="21" t="n">
        <f aca="false">IF(B22="","",COUNTA($B$5:B22))</f>
        <v>18</v>
      </c>
      <c r="B22" s="22" t="s">
        <v>18</v>
      </c>
      <c r="C22" s="25" t="s">
        <v>7</v>
      </c>
      <c r="D22" s="24"/>
      <c r="E22" s="7" t="str">
        <f aca="false">IF(D22="","",IFERROR(INDEX(코드관리!$C$7:$C$66,MATCH(D22,코드관리!$B$7:$B$66,0)),"미등록 코드"))</f>
        <v/>
      </c>
      <c r="F22" s="22"/>
      <c r="G22" s="24" t="s">
        <v>67</v>
      </c>
      <c r="H22" s="23" t="s">
        <v>60</v>
      </c>
      <c r="I22" s="25" t="s">
        <v>56</v>
      </c>
      <c r="J22" s="26" t="n">
        <v>33800000</v>
      </c>
      <c r="K22" s="25"/>
      <c r="L22" s="8" t="n">
        <f aca="false">IF(J22="","",IF(I22="USD",ROUND(J22*설정!$C$4,0),J22))</f>
        <v>33800000</v>
      </c>
      <c r="M22" s="8" t="n">
        <f aca="false">IF(L22="","",IF(AND(H22="과세",K22="VAT포함"),ROUND(L22/(1+설정!$C$5),0),L22))</f>
        <v>33800000</v>
      </c>
      <c r="N22" s="8" t="n">
        <f aca="false">IF(L22="","",IF(H22="과세",IF(K22="VAT포함",L22-M22,ROUND(M22*설정!$C$5,0)),0))</f>
        <v>0</v>
      </c>
      <c r="O22" s="8" t="n">
        <f aca="false">IF(L22="","",M22+N22)</f>
        <v>33800000</v>
      </c>
      <c r="P22" s="25"/>
      <c r="Q22" s="8" t="str">
        <f aca="false">IF(OR(L22="",P22&lt;&gt;"Y"),"",ROUND(M22*설정!$C$5,0))</f>
        <v/>
      </c>
      <c r="R22" s="22" t="s">
        <v>68</v>
      </c>
    </row>
    <row r="23" customFormat="false" ht="15" hidden="false" customHeight="false" outlineLevel="0" collapsed="false">
      <c r="A23" s="21" t="n">
        <f aca="false">IF(B23="","",COUNTA($B$5:B23))</f>
        <v>19</v>
      </c>
      <c r="B23" s="22" t="s">
        <v>18</v>
      </c>
      <c r="C23" s="25" t="s">
        <v>7</v>
      </c>
      <c r="D23" s="24"/>
      <c r="E23" s="7" t="str">
        <f aca="false">IF(D23="","",IFERROR(INDEX(코드관리!$C$7:$C$66,MATCH(D23,코드관리!$B$7:$B$66,0)),"미등록 코드"))</f>
        <v/>
      </c>
      <c r="F23" s="22"/>
      <c r="G23" s="22" t="s">
        <v>69</v>
      </c>
      <c r="H23" s="23" t="s">
        <v>60</v>
      </c>
      <c r="I23" s="25" t="s">
        <v>56</v>
      </c>
      <c r="J23" s="26" t="n">
        <v>8700000</v>
      </c>
      <c r="K23" s="25"/>
      <c r="L23" s="8" t="n">
        <f aca="false">IF(J23="","",IF(I23="USD",ROUND(J23*설정!$C$4,0),J23))</f>
        <v>8700000</v>
      </c>
      <c r="M23" s="8" t="n">
        <f aca="false">IF(L23="","",IF(AND(H23="과세",K23="VAT포함"),ROUND(L23/(1+설정!$C$5),0),L23))</f>
        <v>8700000</v>
      </c>
      <c r="N23" s="8" t="n">
        <f aca="false">IF(L23="","",IF(H23="과세",IF(K23="VAT포함",L23-M23,ROUND(M23*설정!$C$5,0)),0))</f>
        <v>0</v>
      </c>
      <c r="O23" s="8" t="n">
        <f aca="false">IF(L23="","",M23+N23)</f>
        <v>8700000</v>
      </c>
      <c r="P23" s="25"/>
      <c r="Q23" s="8" t="str">
        <f aca="false">IF(OR(L23="",P23&lt;&gt;"Y"),"",ROUND(M23*설정!$C$5,0))</f>
        <v/>
      </c>
      <c r="R23" s="22"/>
    </row>
    <row r="24" customFormat="false" ht="15" hidden="false" customHeight="false" outlineLevel="0" collapsed="false">
      <c r="A24" s="21" t="n">
        <f aca="false">IF(B24="","",COUNTA($B$5:B24))</f>
        <v>20</v>
      </c>
      <c r="B24" s="22" t="s">
        <v>19</v>
      </c>
      <c r="C24" s="23" t="s">
        <v>53</v>
      </c>
      <c r="D24" s="24"/>
      <c r="E24" s="7" t="str">
        <f aca="false">IF(D24="","",IFERROR(INDEX(코드관리!$C$7:$C$66,MATCH(D24,코드관리!$B$7:$B$66,0)),"미등록 코드"))</f>
        <v/>
      </c>
      <c r="F24" s="22"/>
      <c r="G24" s="24" t="s">
        <v>70</v>
      </c>
      <c r="H24" s="23" t="s">
        <v>60</v>
      </c>
      <c r="I24" s="25" t="s">
        <v>56</v>
      </c>
      <c r="J24" s="26" t="n">
        <v>27300000</v>
      </c>
      <c r="K24" s="25"/>
      <c r="L24" s="8" t="n">
        <f aca="false">IF(J24="","",IF(I24="USD",ROUND(J24*설정!$C$4,0),J24))</f>
        <v>27300000</v>
      </c>
      <c r="M24" s="8" t="n">
        <f aca="false">IF(L24="","",IF(AND(H24="과세",K24="VAT포함"),ROUND(L24/(1+설정!$C$5),0),L24))</f>
        <v>27300000</v>
      </c>
      <c r="N24" s="8" t="n">
        <f aca="false">IF(L24="","",IF(H24="과세",IF(K24="VAT포함",L24-M24,ROUND(M24*설정!$C$5,0)),0))</f>
        <v>0</v>
      </c>
      <c r="O24" s="8" t="n">
        <f aca="false">IF(L24="","",M24+N24)</f>
        <v>27300000</v>
      </c>
      <c r="P24" s="25" t="s">
        <v>71</v>
      </c>
      <c r="Q24" s="8" t="n">
        <f aca="false">IF(OR(L24="",P24&lt;&gt;"Y"),"",ROUND(M24*설정!$C$5,0))</f>
        <v>2730000</v>
      </c>
      <c r="R24" s="22" t="s">
        <v>72</v>
      </c>
    </row>
    <row r="25" customFormat="false" ht="15" hidden="false" customHeight="false" outlineLevel="0" collapsed="false">
      <c r="A25" s="21" t="n">
        <f aca="false">IF(B25="","",COUNTA($B$5:B25))</f>
        <v>21</v>
      </c>
      <c r="B25" s="22" t="s">
        <v>21</v>
      </c>
      <c r="C25" s="25" t="s">
        <v>4</v>
      </c>
      <c r="D25" s="24"/>
      <c r="E25" s="7" t="str">
        <f aca="false">IF(D25="","",IFERROR(INDEX(코드관리!$C$7:$C$66,MATCH(D25,코드관리!$B$7:$B$66,0)),"미등록 코드"))</f>
        <v/>
      </c>
      <c r="F25" s="22"/>
      <c r="G25" s="22" t="s">
        <v>73</v>
      </c>
      <c r="H25" s="23" t="s">
        <v>60</v>
      </c>
      <c r="I25" s="25" t="s">
        <v>56</v>
      </c>
      <c r="J25" s="26" t="n">
        <v>28656495</v>
      </c>
      <c r="K25" s="25"/>
      <c r="L25" s="8" t="n">
        <f aca="false">IF(J25="","",IF(I25="USD",ROUND(J25*설정!$C$4,0),J25))</f>
        <v>28656495</v>
      </c>
      <c r="M25" s="8" t="n">
        <f aca="false">IF(L25="","",IF(AND(H25="과세",K25="VAT포함"),ROUND(L25/(1+설정!$C$5),0),L25))</f>
        <v>28656495</v>
      </c>
      <c r="N25" s="8" t="n">
        <f aca="false">IF(L25="","",IF(H25="과세",IF(K25="VAT포함",L25-M25,ROUND(M25*설정!$C$5,0)),0))</f>
        <v>0</v>
      </c>
      <c r="O25" s="8" t="n">
        <f aca="false">IF(L25="","",M25+N25)</f>
        <v>28656495</v>
      </c>
      <c r="P25" s="25"/>
      <c r="Q25" s="8" t="str">
        <f aca="false">IF(OR(L25="",P25&lt;&gt;"Y"),"",ROUND(M25*설정!$C$5,0))</f>
        <v/>
      </c>
      <c r="R25" s="22" t="s">
        <v>74</v>
      </c>
    </row>
    <row r="26" customFormat="false" ht="15" hidden="false" customHeight="false" outlineLevel="0" collapsed="false">
      <c r="A26" s="21" t="n">
        <f aca="false">IF(B26="","",COUNTA($B$5:B26))</f>
        <v>22</v>
      </c>
      <c r="B26" s="22" t="s">
        <v>21</v>
      </c>
      <c r="C26" s="25" t="s">
        <v>4</v>
      </c>
      <c r="D26" s="24"/>
      <c r="E26" s="7" t="str">
        <f aca="false">IF(D26="","",IFERROR(INDEX(코드관리!$C$7:$C$66,MATCH(D26,코드관리!$B$7:$B$66,0)),"미등록 코드"))</f>
        <v/>
      </c>
      <c r="F26" s="22"/>
      <c r="G26" s="22" t="s">
        <v>75</v>
      </c>
      <c r="H26" s="23" t="s">
        <v>60</v>
      </c>
      <c r="I26" s="25" t="s">
        <v>56</v>
      </c>
      <c r="J26" s="26" t="n">
        <v>5146892</v>
      </c>
      <c r="K26" s="25"/>
      <c r="L26" s="8" t="n">
        <f aca="false">IF(J26="","",IF(I26="USD",ROUND(J26*설정!$C$4,0),J26))</f>
        <v>5146892</v>
      </c>
      <c r="M26" s="8" t="n">
        <f aca="false">IF(L26="","",IF(AND(H26="과세",K26="VAT포함"),ROUND(L26/(1+설정!$C$5),0),L26))</f>
        <v>5146892</v>
      </c>
      <c r="N26" s="8" t="n">
        <f aca="false">IF(L26="","",IF(H26="과세",IF(K26="VAT포함",L26-M26,ROUND(M26*설정!$C$5,0)),0))</f>
        <v>0</v>
      </c>
      <c r="O26" s="8" t="n">
        <f aca="false">IF(L26="","",M26+N26)</f>
        <v>5146892</v>
      </c>
      <c r="P26" s="25"/>
      <c r="Q26" s="8" t="str">
        <f aca="false">IF(OR(L26="",P26&lt;&gt;"Y"),"",ROUND(M26*설정!$C$5,0))</f>
        <v/>
      </c>
      <c r="R26" s="22" t="s">
        <v>76</v>
      </c>
    </row>
    <row r="27" customFormat="false" ht="15" hidden="false" customHeight="false" outlineLevel="0" collapsed="false">
      <c r="A27" s="21" t="n">
        <f aca="false">IF(B27="","",COUNTA($B$5:B27))</f>
        <v>23</v>
      </c>
      <c r="B27" s="22" t="s">
        <v>21</v>
      </c>
      <c r="C27" s="25" t="s">
        <v>4</v>
      </c>
      <c r="D27" s="24"/>
      <c r="E27" s="7" t="str">
        <f aca="false">IF(D27="","",IFERROR(INDEX(코드관리!$C$7:$C$66,MATCH(D27,코드관리!$B$7:$B$66,0)),"미등록 코드"))</f>
        <v/>
      </c>
      <c r="F27" s="22"/>
      <c r="G27" s="22" t="s">
        <v>77</v>
      </c>
      <c r="H27" s="23" t="s">
        <v>60</v>
      </c>
      <c r="I27" s="25" t="s">
        <v>56</v>
      </c>
      <c r="J27" s="26" t="n">
        <v>878683</v>
      </c>
      <c r="K27" s="25"/>
      <c r="L27" s="8" t="n">
        <f aca="false">IF(J27="","",IF(I27="USD",ROUND(J27*설정!$C$4,0),J27))</f>
        <v>878683</v>
      </c>
      <c r="M27" s="8" t="n">
        <f aca="false">IF(L27="","",IF(AND(H27="과세",K27="VAT포함"),ROUND(L27/(1+설정!$C$5),0),L27))</f>
        <v>878683</v>
      </c>
      <c r="N27" s="8" t="n">
        <f aca="false">IF(L27="","",IF(H27="과세",IF(K27="VAT포함",L27-M27,ROUND(M27*설정!$C$5,0)),0))</f>
        <v>0</v>
      </c>
      <c r="O27" s="8" t="n">
        <f aca="false">IF(L27="","",M27+N27)</f>
        <v>878683</v>
      </c>
      <c r="P27" s="25"/>
      <c r="Q27" s="8" t="str">
        <f aca="false">IF(OR(L27="",P27&lt;&gt;"Y"),"",ROUND(M27*설정!$C$5,0))</f>
        <v/>
      </c>
      <c r="R27" s="22" t="s">
        <v>76</v>
      </c>
    </row>
    <row r="28" customFormat="false" ht="15" hidden="false" customHeight="false" outlineLevel="0" collapsed="false">
      <c r="A28" s="21" t="n">
        <f aca="false">IF(B28="","",COUNTA($B$5:B28))</f>
        <v>24</v>
      </c>
      <c r="B28" s="22" t="s">
        <v>21</v>
      </c>
      <c r="C28" s="25" t="s">
        <v>4</v>
      </c>
      <c r="D28" s="24"/>
      <c r="E28" s="7" t="str">
        <f aca="false">IF(D28="","",IFERROR(INDEX(코드관리!$C$7:$C$66,MATCH(D28,코드관리!$B$7:$B$66,0)),"미등록 코드"))</f>
        <v/>
      </c>
      <c r="F28" s="22"/>
      <c r="G28" s="22" t="s">
        <v>78</v>
      </c>
      <c r="H28" s="23" t="s">
        <v>60</v>
      </c>
      <c r="I28" s="25" t="s">
        <v>56</v>
      </c>
      <c r="J28" s="26" t="n">
        <v>1869000</v>
      </c>
      <c r="K28" s="25"/>
      <c r="L28" s="8" t="n">
        <f aca="false">IF(J28="","",IF(I28="USD",ROUND(J28*설정!$C$4,0),J28))</f>
        <v>1869000</v>
      </c>
      <c r="M28" s="8" t="n">
        <f aca="false">IF(L28="","",IF(AND(H28="과세",K28="VAT포함"),ROUND(L28/(1+설정!$C$5),0),L28))</f>
        <v>1869000</v>
      </c>
      <c r="N28" s="8" t="n">
        <f aca="false">IF(L28="","",IF(H28="과세",IF(K28="VAT포함",L28-M28,ROUND(M28*설정!$C$5,0)),0))</f>
        <v>0</v>
      </c>
      <c r="O28" s="8" t="n">
        <f aca="false">IF(L28="","",M28+N28)</f>
        <v>1869000</v>
      </c>
      <c r="P28" s="25"/>
      <c r="Q28" s="8" t="str">
        <f aca="false">IF(OR(L28="",P28&lt;&gt;"Y"),"",ROUND(M28*설정!$C$5,0))</f>
        <v/>
      </c>
      <c r="R28" s="22" t="s">
        <v>76</v>
      </c>
    </row>
    <row r="29" customFormat="false" ht="15" hidden="false" customHeight="false" outlineLevel="0" collapsed="false">
      <c r="A29" s="21" t="n">
        <f aca="false">IF(B29="","",COUNTA($B$5:B29))</f>
        <v>25</v>
      </c>
      <c r="B29" s="22" t="s">
        <v>21</v>
      </c>
      <c r="C29" s="25" t="s">
        <v>5</v>
      </c>
      <c r="D29" s="24"/>
      <c r="E29" s="7" t="str">
        <f aca="false">IF(D29="","",IFERROR(INDEX(코드관리!$C$7:$C$66,MATCH(D29,코드관리!$B$7:$B$66,0)),"미등록 코드"))</f>
        <v/>
      </c>
      <c r="F29" s="22"/>
      <c r="G29" s="22" t="s">
        <v>73</v>
      </c>
      <c r="H29" s="23" t="s">
        <v>60</v>
      </c>
      <c r="I29" s="25" t="s">
        <v>56</v>
      </c>
      <c r="J29" s="26" t="n">
        <v>39515305</v>
      </c>
      <c r="K29" s="25"/>
      <c r="L29" s="8" t="n">
        <f aca="false">IF(J29="","",IF(I29="USD",ROUND(J29*설정!$C$4,0),J29))</f>
        <v>39515305</v>
      </c>
      <c r="M29" s="8" t="n">
        <f aca="false">IF(L29="","",IF(AND(H29="과세",K29="VAT포함"),ROUND(L29/(1+설정!$C$5),0),L29))</f>
        <v>39515305</v>
      </c>
      <c r="N29" s="8" t="n">
        <f aca="false">IF(L29="","",IF(H29="과세",IF(K29="VAT포함",L29-M29,ROUND(M29*설정!$C$5,0)),0))</f>
        <v>0</v>
      </c>
      <c r="O29" s="8" t="n">
        <f aca="false">IF(L29="","",M29+N29)</f>
        <v>39515305</v>
      </c>
      <c r="P29" s="25"/>
      <c r="Q29" s="8" t="str">
        <f aca="false">IF(OR(L29="",P29&lt;&gt;"Y"),"",ROUND(M29*설정!$C$5,0))</f>
        <v/>
      </c>
      <c r="R29" s="22" t="s">
        <v>79</v>
      </c>
    </row>
    <row r="30" customFormat="false" ht="15" hidden="false" customHeight="false" outlineLevel="0" collapsed="false">
      <c r="A30" s="21" t="n">
        <f aca="false">IF(B30="","",COUNTA($B$5:B30))</f>
        <v>26</v>
      </c>
      <c r="B30" s="22" t="s">
        <v>21</v>
      </c>
      <c r="C30" s="25" t="s">
        <v>5</v>
      </c>
      <c r="D30" s="24"/>
      <c r="E30" s="7" t="str">
        <f aca="false">IF(D30="","",IFERROR(INDEX(코드관리!$C$7:$C$66,MATCH(D30,코드관리!$B$7:$B$66,0)),"미등록 코드"))</f>
        <v/>
      </c>
      <c r="F30" s="22"/>
      <c r="G30" s="22" t="s">
        <v>75</v>
      </c>
      <c r="H30" s="23" t="s">
        <v>60</v>
      </c>
      <c r="I30" s="25" t="s">
        <v>56</v>
      </c>
      <c r="J30" s="26" t="n">
        <v>5740259</v>
      </c>
      <c r="K30" s="25"/>
      <c r="L30" s="8" t="n">
        <f aca="false">IF(J30="","",IF(I30="USD",ROUND(J30*설정!$C$4,0),J30))</f>
        <v>5740259</v>
      </c>
      <c r="M30" s="8" t="n">
        <f aca="false">IF(L30="","",IF(AND(H30="과세",K30="VAT포함"),ROUND(L30/(1+설정!$C$5),0),L30))</f>
        <v>5740259</v>
      </c>
      <c r="N30" s="8" t="n">
        <f aca="false">IF(L30="","",IF(H30="과세",IF(K30="VAT포함",L30-M30,ROUND(M30*설정!$C$5,0)),0))</f>
        <v>0</v>
      </c>
      <c r="O30" s="8" t="n">
        <f aca="false">IF(L30="","",M30+N30)</f>
        <v>5740259</v>
      </c>
      <c r="P30" s="25"/>
      <c r="Q30" s="8" t="str">
        <f aca="false">IF(OR(L30="",P30&lt;&gt;"Y"),"",ROUND(M30*설정!$C$5,0))</f>
        <v/>
      </c>
      <c r="R30" s="22" t="s">
        <v>76</v>
      </c>
    </row>
    <row r="31" customFormat="false" ht="15" hidden="false" customHeight="false" outlineLevel="0" collapsed="false">
      <c r="A31" s="21" t="n">
        <f aca="false">IF(B31="","",COUNTA($B$5:B31))</f>
        <v>27</v>
      </c>
      <c r="B31" s="22" t="s">
        <v>21</v>
      </c>
      <c r="C31" s="25" t="s">
        <v>6</v>
      </c>
      <c r="D31" s="24"/>
      <c r="E31" s="7" t="str">
        <f aca="false">IF(D31="","",IFERROR(INDEX(코드관리!$C$7:$C$66,MATCH(D31,코드관리!$B$7:$B$66,0)),"미등록 코드"))</f>
        <v/>
      </c>
      <c r="F31" s="22"/>
      <c r="G31" s="22" t="s">
        <v>73</v>
      </c>
      <c r="H31" s="23" t="s">
        <v>60</v>
      </c>
      <c r="I31" s="25" t="s">
        <v>56</v>
      </c>
      <c r="J31" s="26" t="n">
        <v>48315826</v>
      </c>
      <c r="K31" s="25"/>
      <c r="L31" s="8" t="n">
        <f aca="false">IF(J31="","",IF(I31="USD",ROUND(J31*설정!$C$4,0),J31))</f>
        <v>48315826</v>
      </c>
      <c r="M31" s="8" t="n">
        <f aca="false">IF(L31="","",IF(AND(H31="과세",K31="VAT포함"),ROUND(L31/(1+설정!$C$5),0),L31))</f>
        <v>48315826</v>
      </c>
      <c r="N31" s="8" t="n">
        <f aca="false">IF(L31="","",IF(H31="과세",IF(K31="VAT포함",L31-M31,ROUND(M31*설정!$C$5,0)),0))</f>
        <v>0</v>
      </c>
      <c r="O31" s="8" t="n">
        <f aca="false">IF(L31="","",M31+N31)</f>
        <v>48315826</v>
      </c>
      <c r="P31" s="25"/>
      <c r="Q31" s="8" t="str">
        <f aca="false">IF(OR(L31="",P31&lt;&gt;"Y"),"",ROUND(M31*설정!$C$5,0))</f>
        <v/>
      </c>
      <c r="R31" s="22" t="s">
        <v>80</v>
      </c>
    </row>
    <row r="32" customFormat="false" ht="15" hidden="false" customHeight="false" outlineLevel="0" collapsed="false">
      <c r="A32" s="21" t="n">
        <f aca="false">IF(B32="","",COUNTA($B$5:B32))</f>
        <v>28</v>
      </c>
      <c r="B32" s="22" t="s">
        <v>21</v>
      </c>
      <c r="C32" s="25" t="s">
        <v>6</v>
      </c>
      <c r="D32" s="24"/>
      <c r="E32" s="7" t="str">
        <f aca="false">IF(D32="","",IFERROR(INDEX(코드관리!$C$7:$C$66,MATCH(D32,코드관리!$B$7:$B$66,0)),"미등록 코드"))</f>
        <v/>
      </c>
      <c r="F32" s="22"/>
      <c r="G32" s="22" t="s">
        <v>75</v>
      </c>
      <c r="H32" s="23" t="s">
        <v>60</v>
      </c>
      <c r="I32" s="25" t="s">
        <v>56</v>
      </c>
      <c r="J32" s="26" t="n">
        <v>9371766</v>
      </c>
      <c r="K32" s="25"/>
      <c r="L32" s="8" t="n">
        <f aca="false">IF(J32="","",IF(I32="USD",ROUND(J32*설정!$C$4,0),J32))</f>
        <v>9371766</v>
      </c>
      <c r="M32" s="8" t="n">
        <f aca="false">IF(L32="","",IF(AND(H32="과세",K32="VAT포함"),ROUND(L32/(1+설정!$C$5),0),L32))</f>
        <v>9371766</v>
      </c>
      <c r="N32" s="8" t="n">
        <f aca="false">IF(L32="","",IF(H32="과세",IF(K32="VAT포함",L32-M32,ROUND(M32*설정!$C$5,0)),0))</f>
        <v>0</v>
      </c>
      <c r="O32" s="8" t="n">
        <f aca="false">IF(L32="","",M32+N32)</f>
        <v>9371766</v>
      </c>
      <c r="P32" s="25"/>
      <c r="Q32" s="8" t="str">
        <f aca="false">IF(OR(L32="",P32&lt;&gt;"Y"),"",ROUND(M32*설정!$C$5,0))</f>
        <v/>
      </c>
      <c r="R32" s="22" t="s">
        <v>76</v>
      </c>
    </row>
    <row r="33" customFormat="false" ht="15" hidden="false" customHeight="false" outlineLevel="0" collapsed="false">
      <c r="A33" s="21" t="n">
        <f aca="false">IF(B33="","",COUNTA($B$5:B33))</f>
        <v>29</v>
      </c>
      <c r="B33" s="22" t="s">
        <v>21</v>
      </c>
      <c r="C33" s="25" t="s">
        <v>6</v>
      </c>
      <c r="D33" s="24"/>
      <c r="E33" s="7" t="str">
        <f aca="false">IF(D33="","",IFERROR(INDEX(코드관리!$C$7:$C$66,MATCH(D33,코드관리!$B$7:$B$66,0)),"미등록 코드"))</f>
        <v/>
      </c>
      <c r="F33" s="22"/>
      <c r="G33" s="22" t="s">
        <v>78</v>
      </c>
      <c r="H33" s="23" t="s">
        <v>60</v>
      </c>
      <c r="I33" s="25" t="s">
        <v>56</v>
      </c>
      <c r="J33" s="26" t="n">
        <v>1869000</v>
      </c>
      <c r="K33" s="25"/>
      <c r="L33" s="8" t="n">
        <f aca="false">IF(J33="","",IF(I33="USD",ROUND(J33*설정!$C$4,0),J33))</f>
        <v>1869000</v>
      </c>
      <c r="M33" s="8" t="n">
        <f aca="false">IF(L33="","",IF(AND(H33="과세",K33="VAT포함"),ROUND(L33/(1+설정!$C$5),0),L33))</f>
        <v>1869000</v>
      </c>
      <c r="N33" s="8" t="n">
        <f aca="false">IF(L33="","",IF(H33="과세",IF(K33="VAT포함",L33-M33,ROUND(M33*설정!$C$5,0)),0))</f>
        <v>0</v>
      </c>
      <c r="O33" s="8" t="n">
        <f aca="false">IF(L33="","",M33+N33)</f>
        <v>1869000</v>
      </c>
      <c r="P33" s="25"/>
      <c r="Q33" s="8" t="str">
        <f aca="false">IF(OR(L33="",P33&lt;&gt;"Y"),"",ROUND(M33*설정!$C$5,0))</f>
        <v/>
      </c>
      <c r="R33" s="22" t="s">
        <v>76</v>
      </c>
    </row>
    <row r="34" customFormat="false" ht="15" hidden="false" customHeight="false" outlineLevel="0" collapsed="false">
      <c r="A34" s="21" t="n">
        <f aca="false">IF(B34="","",COUNTA($B$5:B34))</f>
        <v>30</v>
      </c>
      <c r="B34" s="22" t="s">
        <v>21</v>
      </c>
      <c r="C34" s="25" t="s">
        <v>7</v>
      </c>
      <c r="D34" s="24"/>
      <c r="E34" s="7" t="str">
        <f aca="false">IF(D34="","",IFERROR(INDEX(코드관리!$C$7:$C$66,MATCH(D34,코드관리!$B$7:$B$66,0)),"미등록 코드"))</f>
        <v/>
      </c>
      <c r="F34" s="22"/>
      <c r="G34" s="22" t="s">
        <v>73</v>
      </c>
      <c r="H34" s="23" t="s">
        <v>60</v>
      </c>
      <c r="I34" s="25" t="s">
        <v>56</v>
      </c>
      <c r="J34" s="26" t="n">
        <v>36479048</v>
      </c>
      <c r="K34" s="25"/>
      <c r="L34" s="8" t="n">
        <f aca="false">IF(J34="","",IF(I34="USD",ROUND(J34*설정!$C$4,0),J34))</f>
        <v>36479048</v>
      </c>
      <c r="M34" s="8" t="n">
        <f aca="false">IF(L34="","",IF(AND(H34="과세",K34="VAT포함"),ROUND(L34/(1+설정!$C$5),0),L34))</f>
        <v>36479048</v>
      </c>
      <c r="N34" s="8" t="n">
        <f aca="false">IF(L34="","",IF(H34="과세",IF(K34="VAT포함",L34-M34,ROUND(M34*설정!$C$5,0)),0))</f>
        <v>0</v>
      </c>
      <c r="O34" s="8" t="n">
        <f aca="false">IF(L34="","",M34+N34)</f>
        <v>36479048</v>
      </c>
      <c r="P34" s="25"/>
      <c r="Q34" s="8" t="str">
        <f aca="false">IF(OR(L34="",P34&lt;&gt;"Y"),"",ROUND(M34*설정!$C$5,0))</f>
        <v/>
      </c>
      <c r="R34" s="22" t="s">
        <v>81</v>
      </c>
    </row>
    <row r="35" customFormat="false" ht="15" hidden="false" customHeight="false" outlineLevel="0" collapsed="false">
      <c r="A35" s="21" t="n">
        <f aca="false">IF(B35="","",COUNTA($B$5:B35))</f>
        <v>31</v>
      </c>
      <c r="B35" s="22" t="s">
        <v>21</v>
      </c>
      <c r="C35" s="25" t="s">
        <v>7</v>
      </c>
      <c r="D35" s="24"/>
      <c r="E35" s="7" t="str">
        <f aca="false">IF(D35="","",IFERROR(INDEX(코드관리!$C$7:$C$66,MATCH(D35,코드관리!$B$7:$B$66,0)),"미등록 코드"))</f>
        <v/>
      </c>
      <c r="F35" s="22"/>
      <c r="G35" s="22" t="s">
        <v>75</v>
      </c>
      <c r="H35" s="23" t="s">
        <v>60</v>
      </c>
      <c r="I35" s="25" t="s">
        <v>56</v>
      </c>
      <c r="J35" s="26" t="n">
        <v>14223063</v>
      </c>
      <c r="K35" s="25"/>
      <c r="L35" s="8" t="n">
        <f aca="false">IF(J35="","",IF(I35="USD",ROUND(J35*설정!$C$4,0),J35))</f>
        <v>14223063</v>
      </c>
      <c r="M35" s="8" t="n">
        <f aca="false">IF(L35="","",IF(AND(H35="과세",K35="VAT포함"),ROUND(L35/(1+설정!$C$5),0),L35))</f>
        <v>14223063</v>
      </c>
      <c r="N35" s="8" t="n">
        <f aca="false">IF(L35="","",IF(H35="과세",IF(K35="VAT포함",L35-M35,ROUND(M35*설정!$C$5,0)),0))</f>
        <v>0</v>
      </c>
      <c r="O35" s="8" t="n">
        <f aca="false">IF(L35="","",M35+N35)</f>
        <v>14223063</v>
      </c>
      <c r="P35" s="25"/>
      <c r="Q35" s="8" t="str">
        <f aca="false">IF(OR(L35="",P35&lt;&gt;"Y"),"",ROUND(M35*설정!$C$5,0))</f>
        <v/>
      </c>
      <c r="R35" s="22" t="s">
        <v>76</v>
      </c>
    </row>
    <row r="36" customFormat="false" ht="15" hidden="false" customHeight="false" outlineLevel="0" collapsed="false">
      <c r="A36" s="21" t="n">
        <f aca="false">IF(B36="","",COUNTA($B$5:B36))</f>
        <v>32</v>
      </c>
      <c r="B36" s="22" t="s">
        <v>21</v>
      </c>
      <c r="C36" s="25" t="s">
        <v>7</v>
      </c>
      <c r="D36" s="24"/>
      <c r="E36" s="7" t="str">
        <f aca="false">IF(D36="","",IFERROR(INDEX(코드관리!$C$7:$C$66,MATCH(D36,코드관리!$B$7:$B$66,0)),"미등록 코드"))</f>
        <v/>
      </c>
      <c r="F36" s="22"/>
      <c r="G36" s="22" t="s">
        <v>77</v>
      </c>
      <c r="H36" s="23" t="s">
        <v>60</v>
      </c>
      <c r="I36" s="25" t="s">
        <v>56</v>
      </c>
      <c r="J36" s="26" t="n">
        <v>1345105</v>
      </c>
      <c r="K36" s="25"/>
      <c r="L36" s="8" t="n">
        <f aca="false">IF(J36="","",IF(I36="USD",ROUND(J36*설정!$C$4,0),J36))</f>
        <v>1345105</v>
      </c>
      <c r="M36" s="8" t="n">
        <f aca="false">IF(L36="","",IF(AND(H36="과세",K36="VAT포함"),ROUND(L36/(1+설정!$C$5),0),L36))</f>
        <v>1345105</v>
      </c>
      <c r="N36" s="8" t="n">
        <f aca="false">IF(L36="","",IF(H36="과세",IF(K36="VAT포함",L36-M36,ROUND(M36*설정!$C$5,0)),0))</f>
        <v>0</v>
      </c>
      <c r="O36" s="8" t="n">
        <f aca="false">IF(L36="","",M36+N36)</f>
        <v>1345105</v>
      </c>
      <c r="P36" s="25"/>
      <c r="Q36" s="8" t="str">
        <f aca="false">IF(OR(L36="",P36&lt;&gt;"Y"),"",ROUND(M36*설정!$C$5,0))</f>
        <v/>
      </c>
      <c r="R36" s="22" t="s">
        <v>76</v>
      </c>
    </row>
    <row r="37" customFormat="false" ht="15" hidden="false" customHeight="false" outlineLevel="0" collapsed="false">
      <c r="A37" s="21" t="n">
        <f aca="false">IF(B37="","",COUNTA($B$5:B37))</f>
        <v>33</v>
      </c>
      <c r="B37" s="22" t="s">
        <v>21</v>
      </c>
      <c r="C37" s="25" t="s">
        <v>7</v>
      </c>
      <c r="D37" s="24"/>
      <c r="E37" s="7" t="str">
        <f aca="false">IF(D37="","",IFERROR(INDEX(코드관리!$C$7:$C$66,MATCH(D37,코드관리!$B$7:$B$66,0)),"미등록 코드"))</f>
        <v/>
      </c>
      <c r="F37" s="22"/>
      <c r="G37" s="22" t="s">
        <v>78</v>
      </c>
      <c r="H37" s="23" t="s">
        <v>60</v>
      </c>
      <c r="I37" s="25" t="s">
        <v>56</v>
      </c>
      <c r="J37" s="26" t="n">
        <v>1869000</v>
      </c>
      <c r="K37" s="25"/>
      <c r="L37" s="8" t="n">
        <f aca="false">IF(J37="","",IF(I37="USD",ROUND(J37*설정!$C$4,0),J37))</f>
        <v>1869000</v>
      </c>
      <c r="M37" s="8" t="n">
        <f aca="false">IF(L37="","",IF(AND(H37="과세",K37="VAT포함"),ROUND(L37/(1+설정!$C$5),0),L37))</f>
        <v>1869000</v>
      </c>
      <c r="N37" s="8" t="n">
        <f aca="false">IF(L37="","",IF(H37="과세",IF(K37="VAT포함",L37-M37,ROUND(M37*설정!$C$5,0)),0))</f>
        <v>0</v>
      </c>
      <c r="O37" s="8" t="n">
        <f aca="false">IF(L37="","",M37+N37)</f>
        <v>1869000</v>
      </c>
      <c r="P37" s="25"/>
      <c r="Q37" s="8" t="str">
        <f aca="false">IF(OR(L37="",P37&lt;&gt;"Y"),"",ROUND(M37*설정!$C$5,0))</f>
        <v/>
      </c>
      <c r="R37" s="22" t="s">
        <v>76</v>
      </c>
    </row>
    <row r="38" customFormat="false" ht="15" hidden="false" customHeight="false" outlineLevel="0" collapsed="false">
      <c r="A38" s="21" t="n">
        <f aca="false">IF(B38="","",COUNTA($B$5:B38))</f>
        <v>34</v>
      </c>
      <c r="B38" s="22" t="s">
        <v>22</v>
      </c>
      <c r="C38" s="25" t="s">
        <v>5</v>
      </c>
      <c r="D38" s="24"/>
      <c r="E38" s="7" t="str">
        <f aca="false">IF(D38="","",IFERROR(INDEX(코드관리!$C$7:$C$66,MATCH(D38,코드관리!$B$7:$B$66,0)),"미등록 코드"))</f>
        <v/>
      </c>
      <c r="F38" s="22"/>
      <c r="G38" s="22" t="s">
        <v>82</v>
      </c>
      <c r="H38" s="23" t="s">
        <v>60</v>
      </c>
      <c r="I38" s="25" t="s">
        <v>56</v>
      </c>
      <c r="J38" s="26" t="n">
        <v>366000</v>
      </c>
      <c r="K38" s="25"/>
      <c r="L38" s="8" t="n">
        <f aca="false">IF(J38="","",IF(I38="USD",ROUND(J38*설정!$C$4,0),J38))</f>
        <v>366000</v>
      </c>
      <c r="M38" s="8" t="n">
        <f aca="false">IF(L38="","",IF(AND(H38="과세",K38="VAT포함"),ROUND(L38/(1+설정!$C$5),0),L38))</f>
        <v>366000</v>
      </c>
      <c r="N38" s="8" t="n">
        <f aca="false">IF(L38="","",IF(H38="과세",IF(K38="VAT포함",L38-M38,ROUND(M38*설정!$C$5,0)),0))</f>
        <v>0</v>
      </c>
      <c r="O38" s="8" t="n">
        <f aca="false">IF(L38="","",M38+N38)</f>
        <v>366000</v>
      </c>
      <c r="P38" s="25"/>
      <c r="Q38" s="8" t="str">
        <f aca="false">IF(OR(L38="",P38&lt;&gt;"Y"),"",ROUND(M38*설정!$C$5,0))</f>
        <v/>
      </c>
      <c r="R38" s="22"/>
    </row>
    <row r="39" customFormat="false" ht="15" hidden="false" customHeight="false" outlineLevel="0" collapsed="false">
      <c r="A39" s="21" t="n">
        <f aca="false">IF(B39="","",COUNTA($B$5:B39))</f>
        <v>35</v>
      </c>
      <c r="B39" s="22" t="s">
        <v>22</v>
      </c>
      <c r="C39" s="25" t="s">
        <v>5</v>
      </c>
      <c r="D39" s="24"/>
      <c r="E39" s="7" t="str">
        <f aca="false">IF(D39="","",IFERROR(INDEX(코드관리!$C$7:$C$66,MATCH(D39,코드관리!$B$7:$B$66,0)),"미등록 코드"))</f>
        <v/>
      </c>
      <c r="F39" s="22"/>
      <c r="G39" s="22" t="s">
        <v>83</v>
      </c>
      <c r="H39" s="23" t="s">
        <v>55</v>
      </c>
      <c r="I39" s="25" t="s">
        <v>56</v>
      </c>
      <c r="J39" s="26" t="n">
        <v>101200</v>
      </c>
      <c r="K39" s="25" t="s">
        <v>57</v>
      </c>
      <c r="L39" s="8" t="n">
        <f aca="false">IF(J39="","",IF(I39="USD",ROUND(J39*설정!$C$4,0),J39))</f>
        <v>101200</v>
      </c>
      <c r="M39" s="8" t="n">
        <f aca="false">IF(L39="","",IF(AND(H39="과세",K39="VAT포함"),ROUND(L39/(1+설정!$C$5),0),L39))</f>
        <v>92000</v>
      </c>
      <c r="N39" s="8" t="n">
        <f aca="false">IF(L39="","",IF(H39="과세",IF(K39="VAT포함",L39-M39,ROUND(M39*설정!$C$5,0)),0))</f>
        <v>9200</v>
      </c>
      <c r="O39" s="8" t="n">
        <f aca="false">IF(L39="","",M39+N39)</f>
        <v>101200</v>
      </c>
      <c r="P39" s="25"/>
      <c r="Q39" s="8" t="str">
        <f aca="false">IF(OR(L39="",P39&lt;&gt;"Y"),"",ROUND(M39*설정!$C$5,0))</f>
        <v/>
      </c>
      <c r="R39" s="22" t="s">
        <v>84</v>
      </c>
    </row>
    <row r="40" customFormat="false" ht="15" hidden="false" customHeight="false" outlineLevel="0" collapsed="false">
      <c r="A40" s="21" t="n">
        <f aca="false">IF(B40="","",COUNTA($B$5:B40))</f>
        <v>36</v>
      </c>
      <c r="B40" s="22" t="s">
        <v>22</v>
      </c>
      <c r="C40" s="25" t="s">
        <v>5</v>
      </c>
      <c r="D40" s="24"/>
      <c r="E40" s="7" t="str">
        <f aca="false">IF(D40="","",IFERROR(INDEX(코드관리!$C$7:$C$66,MATCH(D40,코드관리!$B$7:$B$66,0)),"미등록 코드"))</f>
        <v/>
      </c>
      <c r="F40" s="22"/>
      <c r="G40" s="22" t="s">
        <v>82</v>
      </c>
      <c r="H40" s="23" t="s">
        <v>60</v>
      </c>
      <c r="I40" s="25" t="s">
        <v>56</v>
      </c>
      <c r="J40" s="26" t="n">
        <v>1342000</v>
      </c>
      <c r="K40" s="25"/>
      <c r="L40" s="8" t="n">
        <f aca="false">IF(J40="","",IF(I40="USD",ROUND(J40*설정!$C$4,0),J40))</f>
        <v>1342000</v>
      </c>
      <c r="M40" s="8" t="n">
        <f aca="false">IF(L40="","",IF(AND(H40="과세",K40="VAT포함"),ROUND(L40/(1+설정!$C$5),0),L40))</f>
        <v>1342000</v>
      </c>
      <c r="N40" s="8" t="n">
        <f aca="false">IF(L40="","",IF(H40="과세",IF(K40="VAT포함",L40-M40,ROUND(M40*설정!$C$5,0)),0))</f>
        <v>0</v>
      </c>
      <c r="O40" s="8" t="n">
        <f aca="false">IF(L40="","",M40+N40)</f>
        <v>1342000</v>
      </c>
      <c r="P40" s="25"/>
      <c r="Q40" s="8" t="str">
        <f aca="false">IF(OR(L40="",P40&lt;&gt;"Y"),"",ROUND(M40*설정!$C$5,0))</f>
        <v/>
      </c>
      <c r="R40" s="22"/>
    </row>
    <row r="41" customFormat="false" ht="15" hidden="false" customHeight="false" outlineLevel="0" collapsed="false">
      <c r="A41" s="21" t="n">
        <f aca="false">IF(B41="","",COUNTA($B$5:B41))</f>
        <v>37</v>
      </c>
      <c r="B41" s="22" t="s">
        <v>22</v>
      </c>
      <c r="C41" s="25" t="s">
        <v>6</v>
      </c>
      <c r="D41" s="24"/>
      <c r="E41" s="7" t="str">
        <f aca="false">IF(D41="","",IFERROR(INDEX(코드관리!$C$7:$C$66,MATCH(D41,코드관리!$B$7:$B$66,0)),"미등록 코드"))</f>
        <v/>
      </c>
      <c r="F41" s="22"/>
      <c r="G41" s="22" t="s">
        <v>82</v>
      </c>
      <c r="H41" s="23" t="s">
        <v>60</v>
      </c>
      <c r="I41" s="25" t="s">
        <v>56</v>
      </c>
      <c r="J41" s="26" t="n">
        <v>366000</v>
      </c>
      <c r="K41" s="25"/>
      <c r="L41" s="8" t="n">
        <f aca="false">IF(J41="","",IF(I41="USD",ROUND(J41*설정!$C$4,0),J41))</f>
        <v>366000</v>
      </c>
      <c r="M41" s="8" t="n">
        <f aca="false">IF(L41="","",IF(AND(H41="과세",K41="VAT포함"),ROUND(L41/(1+설정!$C$5),0),L41))</f>
        <v>366000</v>
      </c>
      <c r="N41" s="8" t="n">
        <f aca="false">IF(L41="","",IF(H41="과세",IF(K41="VAT포함",L41-M41,ROUND(M41*설정!$C$5,0)),0))</f>
        <v>0</v>
      </c>
      <c r="O41" s="8" t="n">
        <f aca="false">IF(L41="","",M41+N41)</f>
        <v>366000</v>
      </c>
      <c r="P41" s="25"/>
      <c r="Q41" s="8" t="str">
        <f aca="false">IF(OR(L41="",P41&lt;&gt;"Y"),"",ROUND(M41*설정!$C$5,0))</f>
        <v/>
      </c>
      <c r="R41" s="22"/>
    </row>
    <row r="42" customFormat="false" ht="15" hidden="false" customHeight="false" outlineLevel="0" collapsed="false">
      <c r="A42" s="21" t="n">
        <f aca="false">IF(B42="","",COUNTA($B$5:B42))</f>
        <v>38</v>
      </c>
      <c r="B42" s="22" t="s">
        <v>22</v>
      </c>
      <c r="C42" s="25" t="s">
        <v>6</v>
      </c>
      <c r="D42" s="24"/>
      <c r="E42" s="7" t="str">
        <f aca="false">IF(D42="","",IFERROR(INDEX(코드관리!$C$7:$C$66,MATCH(D42,코드관리!$B$7:$B$66,0)),"미등록 코드"))</f>
        <v/>
      </c>
      <c r="F42" s="22"/>
      <c r="G42" s="22" t="s">
        <v>83</v>
      </c>
      <c r="H42" s="23" t="s">
        <v>55</v>
      </c>
      <c r="I42" s="25" t="s">
        <v>56</v>
      </c>
      <c r="J42" s="26" t="n">
        <v>101200</v>
      </c>
      <c r="K42" s="25" t="s">
        <v>57</v>
      </c>
      <c r="L42" s="8" t="n">
        <f aca="false">IF(J42="","",IF(I42="USD",ROUND(J42*설정!$C$4,0),J42))</f>
        <v>101200</v>
      </c>
      <c r="M42" s="8" t="n">
        <f aca="false">IF(L42="","",IF(AND(H42="과세",K42="VAT포함"),ROUND(L42/(1+설정!$C$5),0),L42))</f>
        <v>92000</v>
      </c>
      <c r="N42" s="8" t="n">
        <f aca="false">IF(L42="","",IF(H42="과세",IF(K42="VAT포함",L42-M42,ROUND(M42*설정!$C$5,0)),0))</f>
        <v>9200</v>
      </c>
      <c r="O42" s="8" t="n">
        <f aca="false">IF(L42="","",M42+N42)</f>
        <v>101200</v>
      </c>
      <c r="P42" s="25"/>
      <c r="Q42" s="8" t="str">
        <f aca="false">IF(OR(L42="",P42&lt;&gt;"Y"),"",ROUND(M42*설정!$C$5,0))</f>
        <v/>
      </c>
      <c r="R42" s="22" t="s">
        <v>84</v>
      </c>
    </row>
    <row r="43" customFormat="false" ht="15" hidden="false" customHeight="false" outlineLevel="0" collapsed="false">
      <c r="A43" s="21" t="n">
        <f aca="false">IF(B43="","",COUNTA($B$5:B43))</f>
        <v>39</v>
      </c>
      <c r="B43" s="22" t="s">
        <v>22</v>
      </c>
      <c r="C43" s="25" t="s">
        <v>6</v>
      </c>
      <c r="D43" s="24"/>
      <c r="E43" s="7" t="str">
        <f aca="false">IF(D43="","",IFERROR(INDEX(코드관리!$C$7:$C$66,MATCH(D43,코드관리!$B$7:$B$66,0)),"미등록 코드"))</f>
        <v/>
      </c>
      <c r="F43" s="22"/>
      <c r="G43" s="22" t="s">
        <v>82</v>
      </c>
      <c r="H43" s="23" t="s">
        <v>60</v>
      </c>
      <c r="I43" s="25" t="s">
        <v>56</v>
      </c>
      <c r="J43" s="26" t="n">
        <v>1342000</v>
      </c>
      <c r="K43" s="25"/>
      <c r="L43" s="8" t="n">
        <f aca="false">IF(J43="","",IF(I43="USD",ROUND(J43*설정!$C$4,0),J43))</f>
        <v>1342000</v>
      </c>
      <c r="M43" s="8" t="n">
        <f aca="false">IF(L43="","",IF(AND(H43="과세",K43="VAT포함"),ROUND(L43/(1+설정!$C$5),0),L43))</f>
        <v>1342000</v>
      </c>
      <c r="N43" s="8" t="n">
        <f aca="false">IF(L43="","",IF(H43="과세",IF(K43="VAT포함",L43-M43,ROUND(M43*설정!$C$5,0)),0))</f>
        <v>0</v>
      </c>
      <c r="O43" s="8" t="n">
        <f aca="false">IF(L43="","",M43+N43)</f>
        <v>1342000</v>
      </c>
      <c r="P43" s="25"/>
      <c r="Q43" s="8" t="str">
        <f aca="false">IF(OR(L43="",P43&lt;&gt;"Y"),"",ROUND(M43*설정!$C$5,0))</f>
        <v/>
      </c>
      <c r="R43" s="22"/>
    </row>
    <row r="44" customFormat="false" ht="15" hidden="false" customHeight="false" outlineLevel="0" collapsed="false">
      <c r="A44" s="21" t="n">
        <f aca="false">IF(B44="","",COUNTA($B$5:B44))</f>
        <v>40</v>
      </c>
      <c r="B44" s="22" t="s">
        <v>22</v>
      </c>
      <c r="C44" s="25" t="s">
        <v>7</v>
      </c>
      <c r="D44" s="24"/>
      <c r="E44" s="7" t="str">
        <f aca="false">IF(D44="","",IFERROR(INDEX(코드관리!$C$7:$C$66,MATCH(D44,코드관리!$B$7:$B$66,0)),"미등록 코드"))</f>
        <v/>
      </c>
      <c r="F44" s="22"/>
      <c r="G44" s="22" t="s">
        <v>82</v>
      </c>
      <c r="H44" s="23" t="s">
        <v>60</v>
      </c>
      <c r="I44" s="25" t="s">
        <v>56</v>
      </c>
      <c r="J44" s="26" t="n">
        <v>366000</v>
      </c>
      <c r="K44" s="25"/>
      <c r="L44" s="8" t="n">
        <f aca="false">IF(J44="","",IF(I44="USD",ROUND(J44*설정!$C$4,0),J44))</f>
        <v>366000</v>
      </c>
      <c r="M44" s="8" t="n">
        <f aca="false">IF(L44="","",IF(AND(H44="과세",K44="VAT포함"),ROUND(L44/(1+설정!$C$5),0),L44))</f>
        <v>366000</v>
      </c>
      <c r="N44" s="8" t="n">
        <f aca="false">IF(L44="","",IF(H44="과세",IF(K44="VAT포함",L44-M44,ROUND(M44*설정!$C$5,0)),0))</f>
        <v>0</v>
      </c>
      <c r="O44" s="8" t="n">
        <f aca="false">IF(L44="","",M44+N44)</f>
        <v>366000</v>
      </c>
      <c r="P44" s="25"/>
      <c r="Q44" s="8" t="str">
        <f aca="false">IF(OR(L44="",P44&lt;&gt;"Y"),"",ROUND(M44*설정!$C$5,0))</f>
        <v/>
      </c>
      <c r="R44" s="22"/>
    </row>
    <row r="45" customFormat="false" ht="15" hidden="false" customHeight="false" outlineLevel="0" collapsed="false">
      <c r="A45" s="21" t="n">
        <f aca="false">IF(B45="","",COUNTA($B$5:B45))</f>
        <v>41</v>
      </c>
      <c r="B45" s="22" t="s">
        <v>22</v>
      </c>
      <c r="C45" s="25" t="s">
        <v>7</v>
      </c>
      <c r="D45" s="24"/>
      <c r="E45" s="7" t="str">
        <f aca="false">IF(D45="","",IFERROR(INDEX(코드관리!$C$7:$C$66,MATCH(D45,코드관리!$B$7:$B$66,0)),"미등록 코드"))</f>
        <v/>
      </c>
      <c r="F45" s="22"/>
      <c r="G45" s="22" t="s">
        <v>83</v>
      </c>
      <c r="H45" s="23" t="s">
        <v>55</v>
      </c>
      <c r="I45" s="25" t="s">
        <v>56</v>
      </c>
      <c r="J45" s="26" t="n">
        <v>101200</v>
      </c>
      <c r="K45" s="25" t="s">
        <v>57</v>
      </c>
      <c r="L45" s="8" t="n">
        <f aca="false">IF(J45="","",IF(I45="USD",ROUND(J45*설정!$C$4,0),J45))</f>
        <v>101200</v>
      </c>
      <c r="M45" s="8" t="n">
        <f aca="false">IF(L45="","",IF(AND(H45="과세",K45="VAT포함"),ROUND(L45/(1+설정!$C$5),0),L45))</f>
        <v>92000</v>
      </c>
      <c r="N45" s="8" t="n">
        <f aca="false">IF(L45="","",IF(H45="과세",IF(K45="VAT포함",L45-M45,ROUND(M45*설정!$C$5,0)),0))</f>
        <v>9200</v>
      </c>
      <c r="O45" s="8" t="n">
        <f aca="false">IF(L45="","",M45+N45)</f>
        <v>101200</v>
      </c>
      <c r="P45" s="25"/>
      <c r="Q45" s="8" t="str">
        <f aca="false">IF(OR(L45="",P45&lt;&gt;"Y"),"",ROUND(M45*설정!$C$5,0))</f>
        <v/>
      </c>
      <c r="R45" s="22" t="s">
        <v>84</v>
      </c>
    </row>
    <row r="46" customFormat="false" ht="15" hidden="false" customHeight="false" outlineLevel="0" collapsed="false">
      <c r="A46" s="21" t="n">
        <f aca="false">IF(B46="","",COUNTA($B$5:B46))</f>
        <v>42</v>
      </c>
      <c r="B46" s="22" t="s">
        <v>22</v>
      </c>
      <c r="C46" s="25" t="s">
        <v>7</v>
      </c>
      <c r="D46" s="24"/>
      <c r="E46" s="7" t="str">
        <f aca="false">IF(D46="","",IFERROR(INDEX(코드관리!$C$7:$C$66,MATCH(D46,코드관리!$B$7:$B$66,0)),"미등록 코드"))</f>
        <v/>
      </c>
      <c r="F46" s="22"/>
      <c r="G46" s="22" t="s">
        <v>82</v>
      </c>
      <c r="H46" s="23" t="s">
        <v>60</v>
      </c>
      <c r="I46" s="25" t="s">
        <v>56</v>
      </c>
      <c r="J46" s="26" t="n">
        <v>1342000</v>
      </c>
      <c r="K46" s="25"/>
      <c r="L46" s="8" t="n">
        <f aca="false">IF(J46="","",IF(I46="USD",ROUND(J46*설정!$C$4,0),J46))</f>
        <v>1342000</v>
      </c>
      <c r="M46" s="8" t="n">
        <f aca="false">IF(L46="","",IF(AND(H46="과세",K46="VAT포함"),ROUND(L46/(1+설정!$C$5),0),L46))</f>
        <v>1342000</v>
      </c>
      <c r="N46" s="8" t="n">
        <f aca="false">IF(L46="","",IF(H46="과세",IF(K46="VAT포함",L46-M46,ROUND(M46*설정!$C$5,0)),0))</f>
        <v>0</v>
      </c>
      <c r="O46" s="8" t="n">
        <f aca="false">IF(L46="","",M46+N46)</f>
        <v>1342000</v>
      </c>
      <c r="P46" s="25"/>
      <c r="Q46" s="8" t="str">
        <f aca="false">IF(OR(L46="",P46&lt;&gt;"Y"),"",ROUND(M46*설정!$C$5,0))</f>
        <v/>
      </c>
      <c r="R46" s="22"/>
    </row>
    <row r="47" customFormat="false" ht="15" hidden="false" customHeight="false" outlineLevel="0" collapsed="false">
      <c r="A47" s="21" t="n">
        <f aca="false">IF(B47="","",COUNTA($B$5:B47))</f>
        <v>43</v>
      </c>
      <c r="B47" s="22" t="s">
        <v>22</v>
      </c>
      <c r="C47" s="25" t="s">
        <v>4</v>
      </c>
      <c r="D47" s="24"/>
      <c r="E47" s="7" t="str">
        <f aca="false">IF(D47="","",IFERROR(INDEX(코드관리!$C$7:$C$66,MATCH(D47,코드관리!$B$7:$B$66,0)),"미등록 코드"))</f>
        <v/>
      </c>
      <c r="F47" s="22"/>
      <c r="G47" s="22" t="s">
        <v>82</v>
      </c>
      <c r="H47" s="23" t="s">
        <v>60</v>
      </c>
      <c r="I47" s="25" t="s">
        <v>56</v>
      </c>
      <c r="J47" s="26" t="n">
        <v>392400</v>
      </c>
      <c r="K47" s="25"/>
      <c r="L47" s="8" t="n">
        <f aca="false">IF(J47="","",IF(I47="USD",ROUND(J47*설정!$C$4,0),J47))</f>
        <v>392400</v>
      </c>
      <c r="M47" s="8" t="n">
        <f aca="false">IF(L47="","",IF(AND(H47="과세",K47="VAT포함"),ROUND(L47/(1+설정!$C$5),0),L47))</f>
        <v>392400</v>
      </c>
      <c r="N47" s="8" t="n">
        <f aca="false">IF(L47="","",IF(H47="과세",IF(K47="VAT포함",L47-M47,ROUND(M47*설정!$C$5,0)),0))</f>
        <v>0</v>
      </c>
      <c r="O47" s="8" t="n">
        <f aca="false">IF(L47="","",M47+N47)</f>
        <v>392400</v>
      </c>
      <c r="P47" s="25"/>
      <c r="Q47" s="8" t="str">
        <f aca="false">IF(OR(L47="",P47&lt;&gt;"Y"),"",ROUND(M47*설정!$C$5,0))</f>
        <v/>
      </c>
      <c r="R47" s="22" t="s">
        <v>85</v>
      </c>
    </row>
    <row r="48" customFormat="false" ht="15" hidden="false" customHeight="false" outlineLevel="0" collapsed="false">
      <c r="A48" s="21" t="n">
        <f aca="false">IF(B48="","",COUNTA($B$5:B48))</f>
        <v>44</v>
      </c>
      <c r="B48" s="22" t="s">
        <v>22</v>
      </c>
      <c r="C48" s="25" t="s">
        <v>4</v>
      </c>
      <c r="D48" s="24"/>
      <c r="E48" s="7" t="str">
        <f aca="false">IF(D48="","",IFERROR(INDEX(코드관리!$C$7:$C$66,MATCH(D48,코드관리!$B$7:$B$66,0)),"미등록 코드"))</f>
        <v/>
      </c>
      <c r="F48" s="22"/>
      <c r="G48" s="22" t="s">
        <v>83</v>
      </c>
      <c r="H48" s="23" t="s">
        <v>55</v>
      </c>
      <c r="I48" s="25" t="s">
        <v>56</v>
      </c>
      <c r="J48" s="26" t="n">
        <v>101200</v>
      </c>
      <c r="K48" s="25" t="s">
        <v>57</v>
      </c>
      <c r="L48" s="8" t="n">
        <f aca="false">IF(J48="","",IF(I48="USD",ROUND(J48*설정!$C$4,0),J48))</f>
        <v>101200</v>
      </c>
      <c r="M48" s="8" t="n">
        <f aca="false">IF(L48="","",IF(AND(H48="과세",K48="VAT포함"),ROUND(L48/(1+설정!$C$5),0),L48))</f>
        <v>92000</v>
      </c>
      <c r="N48" s="8" t="n">
        <f aca="false">IF(L48="","",IF(H48="과세",IF(K48="VAT포함",L48-M48,ROUND(M48*설정!$C$5,0)),0))</f>
        <v>9200</v>
      </c>
      <c r="O48" s="8" t="n">
        <f aca="false">IF(L48="","",M48+N48)</f>
        <v>101200</v>
      </c>
      <c r="P48" s="25"/>
      <c r="Q48" s="8" t="str">
        <f aca="false">IF(OR(L48="",P48&lt;&gt;"Y"),"",ROUND(M48*설정!$C$5,0))</f>
        <v/>
      </c>
      <c r="R48" s="22" t="s">
        <v>84</v>
      </c>
    </row>
    <row r="49" customFormat="false" ht="15" hidden="false" customHeight="false" outlineLevel="0" collapsed="false">
      <c r="A49" s="21" t="n">
        <f aca="false">IF(B49="","",COUNTA($B$5:B49))</f>
        <v>45</v>
      </c>
      <c r="B49" s="22" t="s">
        <v>22</v>
      </c>
      <c r="C49" s="25" t="s">
        <v>4</v>
      </c>
      <c r="D49" s="24"/>
      <c r="E49" s="7" t="str">
        <f aca="false">IF(D49="","",IFERROR(INDEX(코드관리!$C$7:$C$66,MATCH(D49,코드관리!$B$7:$B$66,0)),"미등록 코드"))</f>
        <v/>
      </c>
      <c r="F49" s="22"/>
      <c r="G49" s="22" t="s">
        <v>82</v>
      </c>
      <c r="H49" s="23" t="s">
        <v>60</v>
      </c>
      <c r="I49" s="25" t="s">
        <v>56</v>
      </c>
      <c r="J49" s="26" t="n">
        <v>536600</v>
      </c>
      <c r="K49" s="25"/>
      <c r="L49" s="8" t="n">
        <f aca="false">IF(J49="","",IF(I49="USD",ROUND(J49*설정!$C$4,0),J49))</f>
        <v>536600</v>
      </c>
      <c r="M49" s="8" t="n">
        <f aca="false">IF(L49="","",IF(AND(H49="과세",K49="VAT포함"),ROUND(L49/(1+설정!$C$5),0),L49))</f>
        <v>536600</v>
      </c>
      <c r="N49" s="8" t="n">
        <f aca="false">IF(L49="","",IF(H49="과세",IF(K49="VAT포함",L49-M49,ROUND(M49*설정!$C$5,0)),0))</f>
        <v>0</v>
      </c>
      <c r="O49" s="8" t="n">
        <f aca="false">IF(L49="","",M49+N49)</f>
        <v>536600</v>
      </c>
      <c r="P49" s="25"/>
      <c r="Q49" s="8" t="str">
        <f aca="false">IF(OR(L49="",P49&lt;&gt;"Y"),"",ROUND(M49*설정!$C$5,0))</f>
        <v/>
      </c>
      <c r="R49" s="22" t="s">
        <v>86</v>
      </c>
    </row>
    <row r="50" customFormat="false" ht="15" hidden="false" customHeight="false" outlineLevel="0" collapsed="false">
      <c r="A50" s="21" t="n">
        <f aca="false">IF(B50="","",COUNTA($B$5:B50))</f>
        <v>46</v>
      </c>
      <c r="B50" s="22" t="s">
        <v>24</v>
      </c>
      <c r="C50" s="25" t="s">
        <v>4</v>
      </c>
      <c r="D50" s="24"/>
      <c r="E50" s="7" t="str">
        <f aca="false">IF(D50="","",IFERROR(INDEX(코드관리!$C$7:$C$66,MATCH(D50,코드관리!$B$7:$B$66,0)),"미등록 코드"))</f>
        <v/>
      </c>
      <c r="F50" s="22"/>
      <c r="G50" s="24" t="s">
        <v>87</v>
      </c>
      <c r="H50" s="23" t="s">
        <v>60</v>
      </c>
      <c r="I50" s="25" t="s">
        <v>56</v>
      </c>
      <c r="J50" s="26" t="n">
        <v>7006800</v>
      </c>
      <c r="K50" s="25"/>
      <c r="L50" s="8" t="n">
        <f aca="false">IF(J50="","",IF(I50="USD",ROUND(J50*설정!$C$4,0),J50))</f>
        <v>7006800</v>
      </c>
      <c r="M50" s="8" t="n">
        <f aca="false">IF(L50="","",IF(AND(H50="과세",K50="VAT포함"),ROUND(L50/(1+설정!$C$5),0),L50))</f>
        <v>7006800</v>
      </c>
      <c r="N50" s="8" t="n">
        <f aca="false">IF(L50="","",IF(H50="과세",IF(K50="VAT포함",L50-M50,ROUND(M50*설정!$C$5,0)),0))</f>
        <v>0</v>
      </c>
      <c r="O50" s="8" t="n">
        <f aca="false">IF(L50="","",M50+N50)</f>
        <v>7006800</v>
      </c>
      <c r="P50" s="25"/>
      <c r="Q50" s="8" t="str">
        <f aca="false">IF(OR(L50="",P50&lt;&gt;"Y"),"",ROUND(M50*설정!$C$5,0))</f>
        <v/>
      </c>
      <c r="R50" s="22"/>
    </row>
    <row r="51" customFormat="false" ht="15" hidden="false" customHeight="false" outlineLevel="0" collapsed="false">
      <c r="A51" s="21" t="n">
        <f aca="false">IF(B51="","",COUNTA($B$5:B51))</f>
        <v>47</v>
      </c>
      <c r="B51" s="22" t="s">
        <v>24</v>
      </c>
      <c r="C51" s="25" t="s">
        <v>4</v>
      </c>
      <c r="D51" s="24"/>
      <c r="E51" s="7" t="str">
        <f aca="false">IF(D51="","",IFERROR(INDEX(코드관리!$C$7:$C$66,MATCH(D51,코드관리!$B$7:$B$66,0)),"미등록 코드"))</f>
        <v/>
      </c>
      <c r="F51" s="22"/>
      <c r="G51" s="24" t="s">
        <v>88</v>
      </c>
      <c r="H51" s="23" t="s">
        <v>60</v>
      </c>
      <c r="I51" s="25" t="s">
        <v>56</v>
      </c>
      <c r="J51" s="26" t="n">
        <v>3200000</v>
      </c>
      <c r="K51" s="25"/>
      <c r="L51" s="8" t="n">
        <f aca="false">IF(J51="","",IF(I51="USD",ROUND(J51*설정!$C$4,0),J51))</f>
        <v>3200000</v>
      </c>
      <c r="M51" s="8" t="n">
        <f aca="false">IF(L51="","",IF(AND(H51="과세",K51="VAT포함"),ROUND(L51/(1+설정!$C$5),0),L51))</f>
        <v>3200000</v>
      </c>
      <c r="N51" s="8" t="n">
        <f aca="false">IF(L51="","",IF(H51="과세",IF(K51="VAT포함",L51-M51,ROUND(M51*설정!$C$5,0)),0))</f>
        <v>0</v>
      </c>
      <c r="O51" s="8" t="n">
        <f aca="false">IF(L51="","",M51+N51)</f>
        <v>3200000</v>
      </c>
      <c r="P51" s="25"/>
      <c r="Q51" s="8" t="str">
        <f aca="false">IF(OR(L51="",P51&lt;&gt;"Y"),"",ROUND(M51*설정!$C$5,0))</f>
        <v/>
      </c>
      <c r="R51" s="22"/>
    </row>
    <row r="52" customFormat="false" ht="15" hidden="false" customHeight="false" outlineLevel="0" collapsed="false">
      <c r="A52" s="21" t="n">
        <f aca="false">IF(B52="","",COUNTA($B$5:B52))</f>
        <v>48</v>
      </c>
      <c r="B52" s="22" t="s">
        <v>24</v>
      </c>
      <c r="C52" s="25" t="s">
        <v>5</v>
      </c>
      <c r="D52" s="24"/>
      <c r="E52" s="7" t="str">
        <f aca="false">IF(D52="","",IFERROR(INDEX(코드관리!$C$7:$C$66,MATCH(D52,코드관리!$B$7:$B$66,0)),"미등록 코드"))</f>
        <v/>
      </c>
      <c r="F52" s="22"/>
      <c r="G52" s="24" t="s">
        <v>70</v>
      </c>
      <c r="H52" s="23" t="s">
        <v>60</v>
      </c>
      <c r="I52" s="25" t="s">
        <v>56</v>
      </c>
      <c r="J52" s="26" t="n">
        <v>3120000</v>
      </c>
      <c r="K52" s="25"/>
      <c r="L52" s="8" t="n">
        <f aca="false">IF(J52="","",IF(I52="USD",ROUND(J52*설정!$C$4,0),J52))</f>
        <v>3120000</v>
      </c>
      <c r="M52" s="8" t="n">
        <f aca="false">IF(L52="","",IF(AND(H52="과세",K52="VAT포함"),ROUND(L52/(1+설정!$C$5),0),L52))</f>
        <v>3120000</v>
      </c>
      <c r="N52" s="8" t="n">
        <f aca="false">IF(L52="","",IF(H52="과세",IF(K52="VAT포함",L52-M52,ROUND(M52*설정!$C$5,0)),0))</f>
        <v>0</v>
      </c>
      <c r="O52" s="8" t="n">
        <f aca="false">IF(L52="","",M52+N52)</f>
        <v>3120000</v>
      </c>
      <c r="P52" s="25"/>
      <c r="Q52" s="8" t="str">
        <f aca="false">IF(OR(L52="",P52&lt;&gt;"Y"),"",ROUND(M52*설정!$C$5,0))</f>
        <v/>
      </c>
      <c r="R52" s="22"/>
    </row>
    <row r="53" customFormat="false" ht="15" hidden="false" customHeight="false" outlineLevel="0" collapsed="false">
      <c r="A53" s="21" t="n">
        <f aca="false">IF(B53="","",COUNTA($B$5:B53))</f>
        <v>49</v>
      </c>
      <c r="B53" s="22" t="s">
        <v>24</v>
      </c>
      <c r="C53" s="25" t="s">
        <v>6</v>
      </c>
      <c r="D53" s="24"/>
      <c r="E53" s="7" t="str">
        <f aca="false">IF(D53="","",IFERROR(INDEX(코드관리!$C$7:$C$66,MATCH(D53,코드관리!$B$7:$B$66,0)),"미등록 코드"))</f>
        <v/>
      </c>
      <c r="F53" s="22"/>
      <c r="G53" s="24" t="s">
        <v>70</v>
      </c>
      <c r="H53" s="23" t="s">
        <v>60</v>
      </c>
      <c r="I53" s="25" t="s">
        <v>56</v>
      </c>
      <c r="J53" s="26" t="n">
        <v>18017500</v>
      </c>
      <c r="K53" s="25"/>
      <c r="L53" s="8" t="n">
        <f aca="false">IF(J53="","",IF(I53="USD",ROUND(J53*설정!$C$4,0),J53))</f>
        <v>18017500</v>
      </c>
      <c r="M53" s="8" t="n">
        <f aca="false">IF(L53="","",IF(AND(H53="과세",K53="VAT포함"),ROUND(L53/(1+설정!$C$5),0),L53))</f>
        <v>18017500</v>
      </c>
      <c r="N53" s="8" t="n">
        <f aca="false">IF(L53="","",IF(H53="과세",IF(K53="VAT포함",L53-M53,ROUND(M53*설정!$C$5,0)),0))</f>
        <v>0</v>
      </c>
      <c r="O53" s="8" t="n">
        <f aca="false">IF(L53="","",M53+N53)</f>
        <v>18017500</v>
      </c>
      <c r="P53" s="25"/>
      <c r="Q53" s="8" t="str">
        <f aca="false">IF(OR(L53="",P53&lt;&gt;"Y"),"",ROUND(M53*설정!$C$5,0))</f>
        <v/>
      </c>
      <c r="R53" s="22"/>
    </row>
    <row r="54" customFormat="false" ht="15" hidden="false" customHeight="false" outlineLevel="0" collapsed="false">
      <c r="A54" s="21" t="n">
        <f aca="false">IF(B54="","",COUNTA($B$5:B54))</f>
        <v>50</v>
      </c>
      <c r="B54" s="22" t="s">
        <v>24</v>
      </c>
      <c r="C54" s="25" t="s">
        <v>7</v>
      </c>
      <c r="D54" s="24"/>
      <c r="E54" s="7" t="str">
        <f aca="false">IF(D54="","",IFERROR(INDEX(코드관리!$C$7:$C$66,MATCH(D54,코드관리!$B$7:$B$66,0)),"미등록 코드"))</f>
        <v/>
      </c>
      <c r="F54" s="22"/>
      <c r="G54" s="24" t="s">
        <v>70</v>
      </c>
      <c r="H54" s="23" t="s">
        <v>60</v>
      </c>
      <c r="I54" s="25" t="s">
        <v>56</v>
      </c>
      <c r="J54" s="26" t="n">
        <v>9932500</v>
      </c>
      <c r="K54" s="25"/>
      <c r="L54" s="8" t="n">
        <f aca="false">IF(J54="","",IF(I54="USD",ROUND(J54*설정!$C$4,0),J54))</f>
        <v>9932500</v>
      </c>
      <c r="M54" s="8" t="n">
        <f aca="false">IF(L54="","",IF(AND(H54="과세",K54="VAT포함"),ROUND(L54/(1+설정!$C$5),0),L54))</f>
        <v>9932500</v>
      </c>
      <c r="N54" s="8" t="n">
        <f aca="false">IF(L54="","",IF(H54="과세",IF(K54="VAT포함",L54-M54,ROUND(M54*설정!$C$5,0)),0))</f>
        <v>0</v>
      </c>
      <c r="O54" s="8" t="n">
        <f aca="false">IF(L54="","",M54+N54)</f>
        <v>9932500</v>
      </c>
      <c r="P54" s="25"/>
      <c r="Q54" s="8" t="str">
        <f aca="false">IF(OR(L54="",P54&lt;&gt;"Y"),"",ROUND(M54*설정!$C$5,0))</f>
        <v/>
      </c>
      <c r="R54" s="22"/>
    </row>
    <row r="55" customFormat="false" ht="15" hidden="false" customHeight="false" outlineLevel="0" collapsed="false">
      <c r="A55" s="21" t="n">
        <f aca="false">IF(B55="","",COUNTA($B$5:B55))</f>
        <v>51</v>
      </c>
      <c r="B55" s="22" t="s">
        <v>25</v>
      </c>
      <c r="C55" s="23" t="s">
        <v>53</v>
      </c>
      <c r="D55" s="24"/>
      <c r="E55" s="7" t="str">
        <f aca="false">IF(D55="","",IFERROR(INDEX(코드관리!$C$7:$C$66,MATCH(D55,코드관리!$B$7:$B$66,0)),"미등록 코드"))</f>
        <v/>
      </c>
      <c r="F55" s="22"/>
      <c r="G55" s="24" t="s">
        <v>70</v>
      </c>
      <c r="H55" s="23" t="s">
        <v>60</v>
      </c>
      <c r="I55" s="25" t="s">
        <v>56</v>
      </c>
      <c r="J55" s="26" t="n">
        <v>12600000</v>
      </c>
      <c r="K55" s="25"/>
      <c r="L55" s="8" t="n">
        <f aca="false">IF(J55="","",IF(I55="USD",ROUND(J55*설정!$C$4,0),J55))</f>
        <v>12600000</v>
      </c>
      <c r="M55" s="8" t="n">
        <f aca="false">IF(L55="","",IF(AND(H55="과세",K55="VAT포함"),ROUND(L55/(1+설정!$C$5),0),L55))</f>
        <v>12600000</v>
      </c>
      <c r="N55" s="8" t="n">
        <f aca="false">IF(L55="","",IF(H55="과세",IF(K55="VAT포함",L55-M55,ROUND(M55*설정!$C$5,0)),0))</f>
        <v>0</v>
      </c>
      <c r="O55" s="8" t="n">
        <f aca="false">IF(L55="","",M55+N55)</f>
        <v>12600000</v>
      </c>
      <c r="P55" s="25" t="s">
        <v>71</v>
      </c>
      <c r="Q55" s="8" t="n">
        <f aca="false">IF(OR(L55="",P55&lt;&gt;"Y"),"",ROUND(M55*설정!$C$5,0))</f>
        <v>1260000</v>
      </c>
      <c r="R55" s="22" t="s">
        <v>72</v>
      </c>
    </row>
    <row r="56" customFormat="false" ht="15" hidden="false" customHeight="false" outlineLevel="0" collapsed="false">
      <c r="A56" s="21" t="str">
        <f aca="false">IF(B56="","",COUNTA($B$5:B56))</f>
        <v/>
      </c>
      <c r="B56" s="22"/>
      <c r="C56" s="23"/>
      <c r="D56" s="24"/>
      <c r="E56" s="7" t="str">
        <f aca="false">IF(D56="","",IFERROR(INDEX(코드관리!$C$7:$C$66,MATCH(D56,코드관리!$B$7:$B$66,0)),"미등록 코드"))</f>
        <v/>
      </c>
      <c r="F56" s="22"/>
      <c r="G56" s="22"/>
      <c r="H56" s="23"/>
      <c r="I56" s="25"/>
      <c r="J56" s="26"/>
      <c r="K56" s="25"/>
      <c r="L56" s="8" t="str">
        <f aca="false">IF(J56="","",IF(I56="USD",ROUND(J56*설정!$C$4,0),J56))</f>
        <v/>
      </c>
      <c r="M56" s="8" t="str">
        <f aca="false">IF(L56="","",IF(AND(H56="과세",K56="VAT포함"),ROUND(L56/(1+설정!$C$5),0),L56))</f>
        <v/>
      </c>
      <c r="N56" s="8" t="str">
        <f aca="false">IF(L56="","",IF(H56="과세",IF(K56="VAT포함",L56-M56,ROUND(M56*설정!$C$5,0)),0))</f>
        <v/>
      </c>
      <c r="O56" s="8" t="str">
        <f aca="false">IF(L56="","",M56+N56)</f>
        <v/>
      </c>
      <c r="P56" s="25"/>
      <c r="Q56" s="8" t="str">
        <f aca="false">IF(OR(L56="",P56&lt;&gt;"Y"),"",ROUND(M56*설정!$C$5,0))</f>
        <v/>
      </c>
      <c r="R56" s="22"/>
    </row>
    <row r="57" customFormat="false" ht="15" hidden="false" customHeight="false" outlineLevel="0" collapsed="false">
      <c r="A57" s="21" t="str">
        <f aca="false">IF(B57="","",COUNTA($B$5:B57))</f>
        <v/>
      </c>
      <c r="B57" s="22"/>
      <c r="C57" s="23"/>
      <c r="D57" s="24"/>
      <c r="E57" s="7" t="str">
        <f aca="false">IF(D57="","",IFERROR(INDEX(코드관리!$C$7:$C$66,MATCH(D57,코드관리!$B$7:$B$66,0)),"미등록 코드"))</f>
        <v/>
      </c>
      <c r="F57" s="22"/>
      <c r="G57" s="22"/>
      <c r="H57" s="23"/>
      <c r="I57" s="25"/>
      <c r="J57" s="26"/>
      <c r="K57" s="25"/>
      <c r="L57" s="8" t="str">
        <f aca="false">IF(J57="","",IF(I57="USD",ROUND(J57*설정!$C$4,0),J57))</f>
        <v/>
      </c>
      <c r="M57" s="8" t="str">
        <f aca="false">IF(L57="","",IF(AND(H57="과세",K57="VAT포함"),ROUND(L57/(1+설정!$C$5),0),L57))</f>
        <v/>
      </c>
      <c r="N57" s="8" t="str">
        <f aca="false">IF(L57="","",IF(H57="과세",IF(K57="VAT포함",L57-M57,ROUND(M57*설정!$C$5,0)),0))</f>
        <v/>
      </c>
      <c r="O57" s="8" t="str">
        <f aca="false">IF(L57="","",M57+N57)</f>
        <v/>
      </c>
      <c r="P57" s="25"/>
      <c r="Q57" s="8" t="str">
        <f aca="false">IF(OR(L57="",P57&lt;&gt;"Y"),"",ROUND(M57*설정!$C$5,0))</f>
        <v/>
      </c>
      <c r="R57" s="22"/>
    </row>
    <row r="58" customFormat="false" ht="15" hidden="false" customHeight="false" outlineLevel="0" collapsed="false">
      <c r="A58" s="21" t="str">
        <f aca="false">IF(B58="","",COUNTA($B$5:B58))</f>
        <v/>
      </c>
      <c r="B58" s="22"/>
      <c r="C58" s="23"/>
      <c r="D58" s="24"/>
      <c r="E58" s="7" t="str">
        <f aca="false">IF(D58="","",IFERROR(INDEX(코드관리!$C$7:$C$66,MATCH(D58,코드관리!$B$7:$B$66,0)),"미등록 코드"))</f>
        <v/>
      </c>
      <c r="F58" s="22"/>
      <c r="G58" s="22"/>
      <c r="H58" s="23"/>
      <c r="I58" s="25"/>
      <c r="J58" s="26"/>
      <c r="K58" s="25"/>
      <c r="L58" s="8" t="str">
        <f aca="false">IF(J58="","",IF(I58="USD",ROUND(J58*설정!$C$4,0),J58))</f>
        <v/>
      </c>
      <c r="M58" s="8" t="str">
        <f aca="false">IF(L58="","",IF(AND(H58="과세",K58="VAT포함"),ROUND(L58/(1+설정!$C$5),0),L58))</f>
        <v/>
      </c>
      <c r="N58" s="8" t="str">
        <f aca="false">IF(L58="","",IF(H58="과세",IF(K58="VAT포함",L58-M58,ROUND(M58*설정!$C$5,0)),0))</f>
        <v/>
      </c>
      <c r="O58" s="8" t="str">
        <f aca="false">IF(L58="","",M58+N58)</f>
        <v/>
      </c>
      <c r="P58" s="25"/>
      <c r="Q58" s="8" t="str">
        <f aca="false">IF(OR(L58="",P58&lt;&gt;"Y"),"",ROUND(M58*설정!$C$5,0))</f>
        <v/>
      </c>
      <c r="R58" s="22"/>
    </row>
    <row r="59" customFormat="false" ht="15" hidden="false" customHeight="false" outlineLevel="0" collapsed="false">
      <c r="A59" s="21" t="str">
        <f aca="false">IF(B59="","",COUNTA($B$5:B59))</f>
        <v/>
      </c>
      <c r="B59" s="22"/>
      <c r="C59" s="23"/>
      <c r="D59" s="24"/>
      <c r="E59" s="7" t="str">
        <f aca="false">IF(D59="","",IFERROR(INDEX(코드관리!$C$7:$C$66,MATCH(D59,코드관리!$B$7:$B$66,0)),"미등록 코드"))</f>
        <v/>
      </c>
      <c r="F59" s="22"/>
      <c r="G59" s="22"/>
      <c r="H59" s="23"/>
      <c r="I59" s="25"/>
      <c r="J59" s="26"/>
      <c r="K59" s="25"/>
      <c r="L59" s="8" t="str">
        <f aca="false">IF(J59="","",IF(I59="USD",ROUND(J59*설정!$C$4,0),J59))</f>
        <v/>
      </c>
      <c r="M59" s="8" t="str">
        <f aca="false">IF(L59="","",IF(AND(H59="과세",K59="VAT포함"),ROUND(L59/(1+설정!$C$5),0),L59))</f>
        <v/>
      </c>
      <c r="N59" s="8" t="str">
        <f aca="false">IF(L59="","",IF(H59="과세",IF(K59="VAT포함",L59-M59,ROUND(M59*설정!$C$5,0)),0))</f>
        <v/>
      </c>
      <c r="O59" s="8" t="str">
        <f aca="false">IF(L59="","",M59+N59)</f>
        <v/>
      </c>
      <c r="P59" s="25"/>
      <c r="Q59" s="8" t="str">
        <f aca="false">IF(OR(L59="",P59&lt;&gt;"Y"),"",ROUND(M59*설정!$C$5,0))</f>
        <v/>
      </c>
      <c r="R59" s="22"/>
    </row>
    <row r="60" customFormat="false" ht="15" hidden="false" customHeight="false" outlineLevel="0" collapsed="false">
      <c r="A60" s="21" t="str">
        <f aca="false">IF(B60="","",COUNTA($B$5:B60))</f>
        <v/>
      </c>
      <c r="B60" s="22"/>
      <c r="C60" s="23"/>
      <c r="D60" s="24"/>
      <c r="E60" s="7" t="str">
        <f aca="false">IF(D60="","",IFERROR(INDEX(코드관리!$C$7:$C$66,MATCH(D60,코드관리!$B$7:$B$66,0)),"미등록 코드"))</f>
        <v/>
      </c>
      <c r="F60" s="22"/>
      <c r="G60" s="22"/>
      <c r="H60" s="23"/>
      <c r="I60" s="25"/>
      <c r="J60" s="26"/>
      <c r="K60" s="25"/>
      <c r="L60" s="8" t="str">
        <f aca="false">IF(J60="","",IF(I60="USD",ROUND(J60*설정!$C$4,0),J60))</f>
        <v/>
      </c>
      <c r="M60" s="8" t="str">
        <f aca="false">IF(L60="","",IF(AND(H60="과세",K60="VAT포함"),ROUND(L60/(1+설정!$C$5),0),L60))</f>
        <v/>
      </c>
      <c r="N60" s="8" t="str">
        <f aca="false">IF(L60="","",IF(H60="과세",IF(K60="VAT포함",L60-M60,ROUND(M60*설정!$C$5,0)),0))</f>
        <v/>
      </c>
      <c r="O60" s="8" t="str">
        <f aca="false">IF(L60="","",M60+N60)</f>
        <v/>
      </c>
      <c r="P60" s="25"/>
      <c r="Q60" s="8" t="str">
        <f aca="false">IF(OR(L60="",P60&lt;&gt;"Y"),"",ROUND(M60*설정!$C$5,0))</f>
        <v/>
      </c>
      <c r="R60" s="22"/>
    </row>
    <row r="61" customFormat="false" ht="15" hidden="false" customHeight="false" outlineLevel="0" collapsed="false">
      <c r="A61" s="21" t="str">
        <f aca="false">IF(B61="","",COUNTA($B$5:B61))</f>
        <v/>
      </c>
      <c r="B61" s="22"/>
      <c r="C61" s="23"/>
      <c r="D61" s="24"/>
      <c r="E61" s="7" t="str">
        <f aca="false">IF(D61="","",IFERROR(INDEX(코드관리!$C$7:$C$66,MATCH(D61,코드관리!$B$7:$B$66,0)),"미등록 코드"))</f>
        <v/>
      </c>
      <c r="F61" s="22"/>
      <c r="G61" s="22"/>
      <c r="H61" s="23"/>
      <c r="I61" s="25"/>
      <c r="J61" s="26"/>
      <c r="K61" s="25"/>
      <c r="L61" s="8" t="str">
        <f aca="false">IF(J61="","",IF(I61="USD",ROUND(J61*설정!$C$4,0),J61))</f>
        <v/>
      </c>
      <c r="M61" s="8" t="str">
        <f aca="false">IF(L61="","",IF(AND(H61="과세",K61="VAT포함"),ROUND(L61/(1+설정!$C$5),0),L61))</f>
        <v/>
      </c>
      <c r="N61" s="8" t="str">
        <f aca="false">IF(L61="","",IF(H61="과세",IF(K61="VAT포함",L61-M61,ROUND(M61*설정!$C$5,0)),0))</f>
        <v/>
      </c>
      <c r="O61" s="8" t="str">
        <f aca="false">IF(L61="","",M61+N61)</f>
        <v/>
      </c>
      <c r="P61" s="25"/>
      <c r="Q61" s="8" t="str">
        <f aca="false">IF(OR(L61="",P61&lt;&gt;"Y"),"",ROUND(M61*설정!$C$5,0))</f>
        <v/>
      </c>
      <c r="R61" s="22"/>
    </row>
    <row r="62" customFormat="false" ht="15" hidden="false" customHeight="false" outlineLevel="0" collapsed="false">
      <c r="A62" s="21" t="str">
        <f aca="false">IF(B62="","",COUNTA($B$5:B62))</f>
        <v/>
      </c>
      <c r="B62" s="22"/>
      <c r="C62" s="23"/>
      <c r="D62" s="24"/>
      <c r="E62" s="7" t="str">
        <f aca="false">IF(D62="","",IFERROR(INDEX(코드관리!$C$7:$C$66,MATCH(D62,코드관리!$B$7:$B$66,0)),"미등록 코드"))</f>
        <v/>
      </c>
      <c r="F62" s="22"/>
      <c r="G62" s="22"/>
      <c r="H62" s="23"/>
      <c r="I62" s="25"/>
      <c r="J62" s="26"/>
      <c r="K62" s="25"/>
      <c r="L62" s="8" t="str">
        <f aca="false">IF(J62="","",IF(I62="USD",ROUND(J62*설정!$C$4,0),J62))</f>
        <v/>
      </c>
      <c r="M62" s="8" t="str">
        <f aca="false">IF(L62="","",IF(AND(H62="과세",K62="VAT포함"),ROUND(L62/(1+설정!$C$5),0),L62))</f>
        <v/>
      </c>
      <c r="N62" s="8" t="str">
        <f aca="false">IF(L62="","",IF(H62="과세",IF(K62="VAT포함",L62-M62,ROUND(M62*설정!$C$5,0)),0))</f>
        <v/>
      </c>
      <c r="O62" s="8" t="str">
        <f aca="false">IF(L62="","",M62+N62)</f>
        <v/>
      </c>
      <c r="P62" s="25"/>
      <c r="Q62" s="8" t="str">
        <f aca="false">IF(OR(L62="",P62&lt;&gt;"Y"),"",ROUND(M62*설정!$C$5,0))</f>
        <v/>
      </c>
      <c r="R62" s="22"/>
    </row>
    <row r="63" customFormat="false" ht="15" hidden="false" customHeight="false" outlineLevel="0" collapsed="false">
      <c r="A63" s="21" t="str">
        <f aca="false">IF(B63="","",COUNTA($B$5:B63))</f>
        <v/>
      </c>
      <c r="B63" s="22"/>
      <c r="C63" s="23"/>
      <c r="D63" s="24"/>
      <c r="E63" s="7" t="str">
        <f aca="false">IF(D63="","",IFERROR(INDEX(코드관리!$C$7:$C$66,MATCH(D63,코드관리!$B$7:$B$66,0)),"미등록 코드"))</f>
        <v/>
      </c>
      <c r="F63" s="22"/>
      <c r="G63" s="22"/>
      <c r="H63" s="23"/>
      <c r="I63" s="25"/>
      <c r="J63" s="26"/>
      <c r="K63" s="25"/>
      <c r="L63" s="8" t="str">
        <f aca="false">IF(J63="","",IF(I63="USD",ROUND(J63*설정!$C$4,0),J63))</f>
        <v/>
      </c>
      <c r="M63" s="8" t="str">
        <f aca="false">IF(L63="","",IF(AND(H63="과세",K63="VAT포함"),ROUND(L63/(1+설정!$C$5),0),L63))</f>
        <v/>
      </c>
      <c r="N63" s="8" t="str">
        <f aca="false">IF(L63="","",IF(H63="과세",IF(K63="VAT포함",L63-M63,ROUND(M63*설정!$C$5,0)),0))</f>
        <v/>
      </c>
      <c r="O63" s="8" t="str">
        <f aca="false">IF(L63="","",M63+N63)</f>
        <v/>
      </c>
      <c r="P63" s="25"/>
      <c r="Q63" s="8" t="str">
        <f aca="false">IF(OR(L63="",P63&lt;&gt;"Y"),"",ROUND(M63*설정!$C$5,0))</f>
        <v/>
      </c>
      <c r="R63" s="22"/>
    </row>
    <row r="64" customFormat="false" ht="15" hidden="false" customHeight="false" outlineLevel="0" collapsed="false">
      <c r="A64" s="21" t="str">
        <f aca="false">IF(B64="","",COUNTA($B$5:B64))</f>
        <v/>
      </c>
      <c r="B64" s="22"/>
      <c r="C64" s="23"/>
      <c r="D64" s="24"/>
      <c r="E64" s="7" t="str">
        <f aca="false">IF(D64="","",IFERROR(INDEX(코드관리!$C$7:$C$66,MATCH(D64,코드관리!$B$7:$B$66,0)),"미등록 코드"))</f>
        <v/>
      </c>
      <c r="F64" s="22"/>
      <c r="G64" s="22"/>
      <c r="H64" s="23"/>
      <c r="I64" s="25"/>
      <c r="J64" s="26"/>
      <c r="K64" s="25"/>
      <c r="L64" s="8" t="str">
        <f aca="false">IF(J64="","",IF(I64="USD",ROUND(J64*설정!$C$4,0),J64))</f>
        <v/>
      </c>
      <c r="M64" s="8" t="str">
        <f aca="false">IF(L64="","",IF(AND(H64="과세",K64="VAT포함"),ROUND(L64/(1+설정!$C$5),0),L64))</f>
        <v/>
      </c>
      <c r="N64" s="8" t="str">
        <f aca="false">IF(L64="","",IF(H64="과세",IF(K64="VAT포함",L64-M64,ROUND(M64*설정!$C$5,0)),0))</f>
        <v/>
      </c>
      <c r="O64" s="8" t="str">
        <f aca="false">IF(L64="","",M64+N64)</f>
        <v/>
      </c>
      <c r="P64" s="25"/>
      <c r="Q64" s="8" t="str">
        <f aca="false">IF(OR(L64="",P64&lt;&gt;"Y"),"",ROUND(M64*설정!$C$5,0))</f>
        <v/>
      </c>
      <c r="R64" s="22"/>
    </row>
    <row r="65" customFormat="false" ht="15" hidden="false" customHeight="false" outlineLevel="0" collapsed="false">
      <c r="A65" s="21" t="str">
        <f aca="false">IF(B65="","",COUNTA($B$5:B65))</f>
        <v/>
      </c>
      <c r="B65" s="22"/>
      <c r="C65" s="23"/>
      <c r="D65" s="24"/>
      <c r="E65" s="7" t="str">
        <f aca="false">IF(D65="","",IFERROR(INDEX(코드관리!$C$7:$C$66,MATCH(D65,코드관리!$B$7:$B$66,0)),"미등록 코드"))</f>
        <v/>
      </c>
      <c r="F65" s="22"/>
      <c r="G65" s="22"/>
      <c r="H65" s="23"/>
      <c r="I65" s="25"/>
      <c r="J65" s="26"/>
      <c r="K65" s="25"/>
      <c r="L65" s="8" t="str">
        <f aca="false">IF(J65="","",IF(I65="USD",ROUND(J65*설정!$C$4,0),J65))</f>
        <v/>
      </c>
      <c r="M65" s="8" t="str">
        <f aca="false">IF(L65="","",IF(AND(H65="과세",K65="VAT포함"),ROUND(L65/(1+설정!$C$5),0),L65))</f>
        <v/>
      </c>
      <c r="N65" s="8" t="str">
        <f aca="false">IF(L65="","",IF(H65="과세",IF(K65="VAT포함",L65-M65,ROUND(M65*설정!$C$5,0)),0))</f>
        <v/>
      </c>
      <c r="O65" s="8" t="str">
        <f aca="false">IF(L65="","",M65+N65)</f>
        <v/>
      </c>
      <c r="P65" s="25"/>
      <c r="Q65" s="8" t="str">
        <f aca="false">IF(OR(L65="",P65&lt;&gt;"Y"),"",ROUND(M65*설정!$C$5,0))</f>
        <v/>
      </c>
      <c r="R65" s="22"/>
    </row>
    <row r="66" customFormat="false" ht="15" hidden="false" customHeight="false" outlineLevel="0" collapsed="false">
      <c r="A66" s="21" t="str">
        <f aca="false">IF(B66="","",COUNTA($B$5:B66))</f>
        <v/>
      </c>
      <c r="B66" s="22"/>
      <c r="C66" s="23"/>
      <c r="D66" s="24"/>
      <c r="E66" s="7" t="str">
        <f aca="false">IF(D66="","",IFERROR(INDEX(코드관리!$C$7:$C$66,MATCH(D66,코드관리!$B$7:$B$66,0)),"미등록 코드"))</f>
        <v/>
      </c>
      <c r="F66" s="22"/>
      <c r="G66" s="22"/>
      <c r="H66" s="23"/>
      <c r="I66" s="25"/>
      <c r="J66" s="26"/>
      <c r="K66" s="25"/>
      <c r="L66" s="8" t="str">
        <f aca="false">IF(J66="","",IF(I66="USD",ROUND(J66*설정!$C$4,0),J66))</f>
        <v/>
      </c>
      <c r="M66" s="8" t="str">
        <f aca="false">IF(L66="","",IF(AND(H66="과세",K66="VAT포함"),ROUND(L66/(1+설정!$C$5),0),L66))</f>
        <v/>
      </c>
      <c r="N66" s="8" t="str">
        <f aca="false">IF(L66="","",IF(H66="과세",IF(K66="VAT포함",L66-M66,ROUND(M66*설정!$C$5,0)),0))</f>
        <v/>
      </c>
      <c r="O66" s="8" t="str">
        <f aca="false">IF(L66="","",M66+N66)</f>
        <v/>
      </c>
      <c r="P66" s="25"/>
      <c r="Q66" s="8" t="str">
        <f aca="false">IF(OR(L66="",P66&lt;&gt;"Y"),"",ROUND(M66*설정!$C$5,0))</f>
        <v/>
      </c>
      <c r="R66" s="22"/>
    </row>
    <row r="67" customFormat="false" ht="15" hidden="false" customHeight="false" outlineLevel="0" collapsed="false">
      <c r="A67" s="21" t="str">
        <f aca="false">IF(B67="","",COUNTA($B$5:B67))</f>
        <v/>
      </c>
      <c r="B67" s="22"/>
      <c r="C67" s="23"/>
      <c r="D67" s="24"/>
      <c r="E67" s="7" t="str">
        <f aca="false">IF(D67="","",IFERROR(INDEX(코드관리!$C$7:$C$66,MATCH(D67,코드관리!$B$7:$B$66,0)),"미등록 코드"))</f>
        <v/>
      </c>
      <c r="F67" s="22"/>
      <c r="G67" s="22"/>
      <c r="H67" s="23"/>
      <c r="I67" s="25"/>
      <c r="J67" s="26"/>
      <c r="K67" s="25"/>
      <c r="L67" s="8" t="str">
        <f aca="false">IF(J67="","",IF(I67="USD",ROUND(J67*설정!$C$4,0),J67))</f>
        <v/>
      </c>
      <c r="M67" s="8" t="str">
        <f aca="false">IF(L67="","",IF(AND(H67="과세",K67="VAT포함"),ROUND(L67/(1+설정!$C$5),0),L67))</f>
        <v/>
      </c>
      <c r="N67" s="8" t="str">
        <f aca="false">IF(L67="","",IF(H67="과세",IF(K67="VAT포함",L67-M67,ROUND(M67*설정!$C$5,0)),0))</f>
        <v/>
      </c>
      <c r="O67" s="8" t="str">
        <f aca="false">IF(L67="","",M67+N67)</f>
        <v/>
      </c>
      <c r="P67" s="25"/>
      <c r="Q67" s="8" t="str">
        <f aca="false">IF(OR(L67="",P67&lt;&gt;"Y"),"",ROUND(M67*설정!$C$5,0))</f>
        <v/>
      </c>
      <c r="R67" s="22"/>
    </row>
    <row r="68" customFormat="false" ht="15" hidden="false" customHeight="false" outlineLevel="0" collapsed="false">
      <c r="A68" s="21" t="str">
        <f aca="false">IF(B68="","",COUNTA($B$5:B68))</f>
        <v/>
      </c>
      <c r="B68" s="22"/>
      <c r="C68" s="23"/>
      <c r="D68" s="24"/>
      <c r="E68" s="7" t="str">
        <f aca="false">IF(D68="","",IFERROR(INDEX(코드관리!$C$7:$C$66,MATCH(D68,코드관리!$B$7:$B$66,0)),"미등록 코드"))</f>
        <v/>
      </c>
      <c r="F68" s="22"/>
      <c r="G68" s="22"/>
      <c r="H68" s="23"/>
      <c r="I68" s="25"/>
      <c r="J68" s="26"/>
      <c r="K68" s="25"/>
      <c r="L68" s="8" t="str">
        <f aca="false">IF(J68="","",IF(I68="USD",ROUND(J68*설정!$C$4,0),J68))</f>
        <v/>
      </c>
      <c r="M68" s="8" t="str">
        <f aca="false">IF(L68="","",IF(AND(H68="과세",K68="VAT포함"),ROUND(L68/(1+설정!$C$5),0),L68))</f>
        <v/>
      </c>
      <c r="N68" s="8" t="str">
        <f aca="false">IF(L68="","",IF(H68="과세",IF(K68="VAT포함",L68-M68,ROUND(M68*설정!$C$5,0)),0))</f>
        <v/>
      </c>
      <c r="O68" s="8" t="str">
        <f aca="false">IF(L68="","",M68+N68)</f>
        <v/>
      </c>
      <c r="P68" s="25"/>
      <c r="Q68" s="8" t="str">
        <f aca="false">IF(OR(L68="",P68&lt;&gt;"Y"),"",ROUND(M68*설정!$C$5,0))</f>
        <v/>
      </c>
      <c r="R68" s="22"/>
    </row>
    <row r="69" customFormat="false" ht="15" hidden="false" customHeight="false" outlineLevel="0" collapsed="false">
      <c r="A69" s="21" t="str">
        <f aca="false">IF(B69="","",COUNTA($B$5:B69))</f>
        <v/>
      </c>
      <c r="B69" s="22"/>
      <c r="C69" s="23"/>
      <c r="D69" s="24"/>
      <c r="E69" s="7" t="str">
        <f aca="false">IF(D69="","",IFERROR(INDEX(코드관리!$C$7:$C$66,MATCH(D69,코드관리!$B$7:$B$66,0)),"미등록 코드"))</f>
        <v/>
      </c>
      <c r="F69" s="22"/>
      <c r="G69" s="22"/>
      <c r="H69" s="23"/>
      <c r="I69" s="25"/>
      <c r="J69" s="26"/>
      <c r="K69" s="25"/>
      <c r="L69" s="8" t="str">
        <f aca="false">IF(J69="","",IF(I69="USD",ROUND(J69*설정!$C$4,0),J69))</f>
        <v/>
      </c>
      <c r="M69" s="8" t="str">
        <f aca="false">IF(L69="","",IF(AND(H69="과세",K69="VAT포함"),ROUND(L69/(1+설정!$C$5),0),L69))</f>
        <v/>
      </c>
      <c r="N69" s="8" t="str">
        <f aca="false">IF(L69="","",IF(H69="과세",IF(K69="VAT포함",L69-M69,ROUND(M69*설정!$C$5,0)),0))</f>
        <v/>
      </c>
      <c r="O69" s="8" t="str">
        <f aca="false">IF(L69="","",M69+N69)</f>
        <v/>
      </c>
      <c r="P69" s="25"/>
      <c r="Q69" s="8" t="str">
        <f aca="false">IF(OR(L69="",P69&lt;&gt;"Y"),"",ROUND(M69*설정!$C$5,0))</f>
        <v/>
      </c>
      <c r="R69" s="22"/>
    </row>
    <row r="70" customFormat="false" ht="15" hidden="false" customHeight="false" outlineLevel="0" collapsed="false">
      <c r="A70" s="21" t="str">
        <f aca="false">IF(B70="","",COUNTA($B$5:B70))</f>
        <v/>
      </c>
      <c r="B70" s="22"/>
      <c r="C70" s="23"/>
      <c r="D70" s="24"/>
      <c r="E70" s="7" t="str">
        <f aca="false">IF(D70="","",IFERROR(INDEX(코드관리!$C$7:$C$66,MATCH(D70,코드관리!$B$7:$B$66,0)),"미등록 코드"))</f>
        <v/>
      </c>
      <c r="F70" s="22"/>
      <c r="G70" s="22"/>
      <c r="H70" s="23"/>
      <c r="I70" s="25"/>
      <c r="J70" s="26"/>
      <c r="K70" s="25"/>
      <c r="L70" s="8" t="str">
        <f aca="false">IF(J70="","",IF(I70="USD",ROUND(J70*설정!$C$4,0),J70))</f>
        <v/>
      </c>
      <c r="M70" s="8" t="str">
        <f aca="false">IF(L70="","",IF(AND(H70="과세",K70="VAT포함"),ROUND(L70/(1+설정!$C$5),0),L70))</f>
        <v/>
      </c>
      <c r="N70" s="8" t="str">
        <f aca="false">IF(L70="","",IF(H70="과세",IF(K70="VAT포함",L70-M70,ROUND(M70*설정!$C$5,0)),0))</f>
        <v/>
      </c>
      <c r="O70" s="8" t="str">
        <f aca="false">IF(L70="","",M70+N70)</f>
        <v/>
      </c>
      <c r="P70" s="25"/>
      <c r="Q70" s="8" t="str">
        <f aca="false">IF(OR(L70="",P70&lt;&gt;"Y"),"",ROUND(M70*설정!$C$5,0))</f>
        <v/>
      </c>
      <c r="R70" s="22"/>
    </row>
    <row r="71" customFormat="false" ht="15" hidden="false" customHeight="false" outlineLevel="0" collapsed="false">
      <c r="A71" s="21" t="str">
        <f aca="false">IF(B71="","",COUNTA($B$5:B71))</f>
        <v/>
      </c>
      <c r="B71" s="22"/>
      <c r="C71" s="23"/>
      <c r="D71" s="24"/>
      <c r="E71" s="7" t="str">
        <f aca="false">IF(D71="","",IFERROR(INDEX(코드관리!$C$7:$C$66,MATCH(D71,코드관리!$B$7:$B$66,0)),"미등록 코드"))</f>
        <v/>
      </c>
      <c r="F71" s="22"/>
      <c r="G71" s="22"/>
      <c r="H71" s="23"/>
      <c r="I71" s="25"/>
      <c r="J71" s="26"/>
      <c r="K71" s="25"/>
      <c r="L71" s="8" t="str">
        <f aca="false">IF(J71="","",IF(I71="USD",ROUND(J71*설정!$C$4,0),J71))</f>
        <v/>
      </c>
      <c r="M71" s="8" t="str">
        <f aca="false">IF(L71="","",IF(AND(H71="과세",K71="VAT포함"),ROUND(L71/(1+설정!$C$5),0),L71))</f>
        <v/>
      </c>
      <c r="N71" s="8" t="str">
        <f aca="false">IF(L71="","",IF(H71="과세",IF(K71="VAT포함",L71-M71,ROUND(M71*설정!$C$5,0)),0))</f>
        <v/>
      </c>
      <c r="O71" s="8" t="str">
        <f aca="false">IF(L71="","",M71+N71)</f>
        <v/>
      </c>
      <c r="P71" s="25"/>
      <c r="Q71" s="8" t="str">
        <f aca="false">IF(OR(L71="",P71&lt;&gt;"Y"),"",ROUND(M71*설정!$C$5,0))</f>
        <v/>
      </c>
      <c r="R71" s="22"/>
    </row>
    <row r="72" customFormat="false" ht="15" hidden="false" customHeight="false" outlineLevel="0" collapsed="false">
      <c r="A72" s="21" t="str">
        <f aca="false">IF(B72="","",COUNTA($B$5:B72))</f>
        <v/>
      </c>
      <c r="B72" s="22"/>
      <c r="C72" s="23"/>
      <c r="D72" s="24"/>
      <c r="E72" s="7" t="str">
        <f aca="false">IF(D72="","",IFERROR(INDEX(코드관리!$C$7:$C$66,MATCH(D72,코드관리!$B$7:$B$66,0)),"미등록 코드"))</f>
        <v/>
      </c>
      <c r="F72" s="22"/>
      <c r="G72" s="22"/>
      <c r="H72" s="23"/>
      <c r="I72" s="25"/>
      <c r="J72" s="26"/>
      <c r="K72" s="25"/>
      <c r="L72" s="8" t="str">
        <f aca="false">IF(J72="","",IF(I72="USD",ROUND(J72*설정!$C$4,0),J72))</f>
        <v/>
      </c>
      <c r="M72" s="8" t="str">
        <f aca="false">IF(L72="","",IF(AND(H72="과세",K72="VAT포함"),ROUND(L72/(1+설정!$C$5),0),L72))</f>
        <v/>
      </c>
      <c r="N72" s="8" t="str">
        <f aca="false">IF(L72="","",IF(H72="과세",IF(K72="VAT포함",L72-M72,ROUND(M72*설정!$C$5,0)),0))</f>
        <v/>
      </c>
      <c r="O72" s="8" t="str">
        <f aca="false">IF(L72="","",M72+N72)</f>
        <v/>
      </c>
      <c r="P72" s="25"/>
      <c r="Q72" s="8" t="str">
        <f aca="false">IF(OR(L72="",P72&lt;&gt;"Y"),"",ROUND(M72*설정!$C$5,0))</f>
        <v/>
      </c>
      <c r="R72" s="22"/>
    </row>
    <row r="73" customFormat="false" ht="15" hidden="false" customHeight="false" outlineLevel="0" collapsed="false">
      <c r="A73" s="21" t="str">
        <f aca="false">IF(B73="","",COUNTA($B$5:B73))</f>
        <v/>
      </c>
      <c r="B73" s="22"/>
      <c r="C73" s="23"/>
      <c r="D73" s="24"/>
      <c r="E73" s="7" t="str">
        <f aca="false">IF(D73="","",IFERROR(INDEX(코드관리!$C$7:$C$66,MATCH(D73,코드관리!$B$7:$B$66,0)),"미등록 코드"))</f>
        <v/>
      </c>
      <c r="F73" s="22"/>
      <c r="G73" s="22"/>
      <c r="H73" s="23"/>
      <c r="I73" s="25"/>
      <c r="J73" s="26"/>
      <c r="K73" s="25"/>
      <c r="L73" s="8" t="str">
        <f aca="false">IF(J73="","",IF(I73="USD",ROUND(J73*설정!$C$4,0),J73))</f>
        <v/>
      </c>
      <c r="M73" s="8" t="str">
        <f aca="false">IF(L73="","",IF(AND(H73="과세",K73="VAT포함"),ROUND(L73/(1+설정!$C$5),0),L73))</f>
        <v/>
      </c>
      <c r="N73" s="8" t="str">
        <f aca="false">IF(L73="","",IF(H73="과세",IF(K73="VAT포함",L73-M73,ROUND(M73*설정!$C$5,0)),0))</f>
        <v/>
      </c>
      <c r="O73" s="8" t="str">
        <f aca="false">IF(L73="","",M73+N73)</f>
        <v/>
      </c>
      <c r="P73" s="25"/>
      <c r="Q73" s="8" t="str">
        <f aca="false">IF(OR(L73="",P73&lt;&gt;"Y"),"",ROUND(M73*설정!$C$5,0))</f>
        <v/>
      </c>
      <c r="R73" s="22"/>
    </row>
    <row r="74" customFormat="false" ht="15" hidden="false" customHeight="false" outlineLevel="0" collapsed="false">
      <c r="A74" s="21" t="str">
        <f aca="false">IF(B74="","",COUNTA($B$5:B74))</f>
        <v/>
      </c>
      <c r="B74" s="22"/>
      <c r="C74" s="23"/>
      <c r="D74" s="24"/>
      <c r="E74" s="7" t="str">
        <f aca="false">IF(D74="","",IFERROR(INDEX(코드관리!$C$7:$C$66,MATCH(D74,코드관리!$B$7:$B$66,0)),"미등록 코드"))</f>
        <v/>
      </c>
      <c r="F74" s="22"/>
      <c r="G74" s="22"/>
      <c r="H74" s="23"/>
      <c r="I74" s="25"/>
      <c r="J74" s="26"/>
      <c r="K74" s="25"/>
      <c r="L74" s="8" t="str">
        <f aca="false">IF(J74="","",IF(I74="USD",ROUND(J74*설정!$C$4,0),J74))</f>
        <v/>
      </c>
      <c r="M74" s="8" t="str">
        <f aca="false">IF(L74="","",IF(AND(H74="과세",K74="VAT포함"),ROUND(L74/(1+설정!$C$5),0),L74))</f>
        <v/>
      </c>
      <c r="N74" s="8" t="str">
        <f aca="false">IF(L74="","",IF(H74="과세",IF(K74="VAT포함",L74-M74,ROUND(M74*설정!$C$5,0)),0))</f>
        <v/>
      </c>
      <c r="O74" s="8" t="str">
        <f aca="false">IF(L74="","",M74+N74)</f>
        <v/>
      </c>
      <c r="P74" s="25"/>
      <c r="Q74" s="8" t="str">
        <f aca="false">IF(OR(L74="",P74&lt;&gt;"Y"),"",ROUND(M74*설정!$C$5,0))</f>
        <v/>
      </c>
      <c r="R74" s="22"/>
    </row>
    <row r="75" customFormat="false" ht="15" hidden="false" customHeight="false" outlineLevel="0" collapsed="false">
      <c r="A75" s="21" t="str">
        <f aca="false">IF(B75="","",COUNTA($B$5:B75))</f>
        <v/>
      </c>
      <c r="B75" s="22"/>
      <c r="C75" s="23"/>
      <c r="D75" s="24"/>
      <c r="E75" s="7" t="str">
        <f aca="false">IF(D75="","",IFERROR(INDEX(코드관리!$C$7:$C$66,MATCH(D75,코드관리!$B$7:$B$66,0)),"미등록 코드"))</f>
        <v/>
      </c>
      <c r="F75" s="22"/>
      <c r="G75" s="22"/>
      <c r="H75" s="23"/>
      <c r="I75" s="25"/>
      <c r="J75" s="26"/>
      <c r="K75" s="25"/>
      <c r="L75" s="8" t="str">
        <f aca="false">IF(J75="","",IF(I75="USD",ROUND(J75*설정!$C$4,0),J75))</f>
        <v/>
      </c>
      <c r="M75" s="8" t="str">
        <f aca="false">IF(L75="","",IF(AND(H75="과세",K75="VAT포함"),ROUND(L75/(1+설정!$C$5),0),L75))</f>
        <v/>
      </c>
      <c r="N75" s="8" t="str">
        <f aca="false">IF(L75="","",IF(H75="과세",IF(K75="VAT포함",L75-M75,ROUND(M75*설정!$C$5,0)),0))</f>
        <v/>
      </c>
      <c r="O75" s="8" t="str">
        <f aca="false">IF(L75="","",M75+N75)</f>
        <v/>
      </c>
      <c r="P75" s="25"/>
      <c r="Q75" s="8" t="str">
        <f aca="false">IF(OR(L75="",P75&lt;&gt;"Y"),"",ROUND(M75*설정!$C$5,0))</f>
        <v/>
      </c>
      <c r="R75" s="22"/>
    </row>
    <row r="76" customFormat="false" ht="15" hidden="false" customHeight="false" outlineLevel="0" collapsed="false">
      <c r="A76" s="21" t="str">
        <f aca="false">IF(B76="","",COUNTA($B$5:B76))</f>
        <v/>
      </c>
      <c r="B76" s="22"/>
      <c r="C76" s="23"/>
      <c r="D76" s="24"/>
      <c r="E76" s="7" t="str">
        <f aca="false">IF(D76="","",IFERROR(INDEX(코드관리!$C$7:$C$66,MATCH(D76,코드관리!$B$7:$B$66,0)),"미등록 코드"))</f>
        <v/>
      </c>
      <c r="F76" s="22"/>
      <c r="G76" s="22"/>
      <c r="H76" s="23"/>
      <c r="I76" s="25"/>
      <c r="J76" s="26"/>
      <c r="K76" s="25"/>
      <c r="L76" s="8" t="str">
        <f aca="false">IF(J76="","",IF(I76="USD",ROUND(J76*설정!$C$4,0),J76))</f>
        <v/>
      </c>
      <c r="M76" s="8" t="str">
        <f aca="false">IF(L76="","",IF(AND(H76="과세",K76="VAT포함"),ROUND(L76/(1+설정!$C$5),0),L76))</f>
        <v/>
      </c>
      <c r="N76" s="8" t="str">
        <f aca="false">IF(L76="","",IF(H76="과세",IF(K76="VAT포함",L76-M76,ROUND(M76*설정!$C$5,0)),0))</f>
        <v/>
      </c>
      <c r="O76" s="8" t="str">
        <f aca="false">IF(L76="","",M76+N76)</f>
        <v/>
      </c>
      <c r="P76" s="25"/>
      <c r="Q76" s="8" t="str">
        <f aca="false">IF(OR(L76="",P76&lt;&gt;"Y"),"",ROUND(M76*설정!$C$5,0))</f>
        <v/>
      </c>
      <c r="R76" s="22"/>
    </row>
    <row r="77" customFormat="false" ht="15" hidden="false" customHeight="false" outlineLevel="0" collapsed="false">
      <c r="A77" s="21" t="str">
        <f aca="false">IF(B77="","",COUNTA($B$5:B77))</f>
        <v/>
      </c>
      <c r="B77" s="22"/>
      <c r="C77" s="23"/>
      <c r="D77" s="24"/>
      <c r="E77" s="7" t="str">
        <f aca="false">IF(D77="","",IFERROR(INDEX(코드관리!$C$7:$C$66,MATCH(D77,코드관리!$B$7:$B$66,0)),"미등록 코드"))</f>
        <v/>
      </c>
      <c r="F77" s="22"/>
      <c r="G77" s="22"/>
      <c r="H77" s="23"/>
      <c r="I77" s="25"/>
      <c r="J77" s="26"/>
      <c r="K77" s="25"/>
      <c r="L77" s="8" t="str">
        <f aca="false">IF(J77="","",IF(I77="USD",ROUND(J77*설정!$C$4,0),J77))</f>
        <v/>
      </c>
      <c r="M77" s="8" t="str">
        <f aca="false">IF(L77="","",IF(AND(H77="과세",K77="VAT포함"),ROUND(L77/(1+설정!$C$5),0),L77))</f>
        <v/>
      </c>
      <c r="N77" s="8" t="str">
        <f aca="false">IF(L77="","",IF(H77="과세",IF(K77="VAT포함",L77-M77,ROUND(M77*설정!$C$5,0)),0))</f>
        <v/>
      </c>
      <c r="O77" s="8" t="str">
        <f aca="false">IF(L77="","",M77+N77)</f>
        <v/>
      </c>
      <c r="P77" s="25"/>
      <c r="Q77" s="8" t="str">
        <f aca="false">IF(OR(L77="",P77&lt;&gt;"Y"),"",ROUND(M77*설정!$C$5,0))</f>
        <v/>
      </c>
      <c r="R77" s="22"/>
    </row>
    <row r="78" customFormat="false" ht="15" hidden="false" customHeight="false" outlineLevel="0" collapsed="false">
      <c r="A78" s="21" t="str">
        <f aca="false">IF(B78="","",COUNTA($B$5:B78))</f>
        <v/>
      </c>
      <c r="B78" s="22"/>
      <c r="C78" s="23"/>
      <c r="D78" s="24"/>
      <c r="E78" s="7" t="str">
        <f aca="false">IF(D78="","",IFERROR(INDEX(코드관리!$C$7:$C$66,MATCH(D78,코드관리!$B$7:$B$66,0)),"미등록 코드"))</f>
        <v/>
      </c>
      <c r="F78" s="22"/>
      <c r="G78" s="22"/>
      <c r="H78" s="23"/>
      <c r="I78" s="25"/>
      <c r="J78" s="26"/>
      <c r="K78" s="25"/>
      <c r="L78" s="8" t="str">
        <f aca="false">IF(J78="","",IF(I78="USD",ROUND(J78*설정!$C$4,0),J78))</f>
        <v/>
      </c>
      <c r="M78" s="8" t="str">
        <f aca="false">IF(L78="","",IF(AND(H78="과세",K78="VAT포함"),ROUND(L78/(1+설정!$C$5),0),L78))</f>
        <v/>
      </c>
      <c r="N78" s="8" t="str">
        <f aca="false">IF(L78="","",IF(H78="과세",IF(K78="VAT포함",L78-M78,ROUND(M78*설정!$C$5,0)),0))</f>
        <v/>
      </c>
      <c r="O78" s="8" t="str">
        <f aca="false">IF(L78="","",M78+N78)</f>
        <v/>
      </c>
      <c r="P78" s="25"/>
      <c r="Q78" s="8" t="str">
        <f aca="false">IF(OR(L78="",P78&lt;&gt;"Y"),"",ROUND(M78*설정!$C$5,0))</f>
        <v/>
      </c>
      <c r="R78" s="22"/>
    </row>
    <row r="79" customFormat="false" ht="15" hidden="false" customHeight="false" outlineLevel="0" collapsed="false">
      <c r="A79" s="21" t="str">
        <f aca="false">IF(B79="","",COUNTA($B$5:B79))</f>
        <v/>
      </c>
      <c r="B79" s="22"/>
      <c r="C79" s="23"/>
      <c r="D79" s="24"/>
      <c r="E79" s="7" t="str">
        <f aca="false">IF(D79="","",IFERROR(INDEX(코드관리!$C$7:$C$66,MATCH(D79,코드관리!$B$7:$B$66,0)),"미등록 코드"))</f>
        <v/>
      </c>
      <c r="F79" s="22"/>
      <c r="G79" s="22"/>
      <c r="H79" s="23"/>
      <c r="I79" s="25"/>
      <c r="J79" s="26"/>
      <c r="K79" s="25"/>
      <c r="L79" s="8" t="str">
        <f aca="false">IF(J79="","",IF(I79="USD",ROUND(J79*설정!$C$4,0),J79))</f>
        <v/>
      </c>
      <c r="M79" s="8" t="str">
        <f aca="false">IF(L79="","",IF(AND(H79="과세",K79="VAT포함"),ROUND(L79/(1+설정!$C$5),0),L79))</f>
        <v/>
      </c>
      <c r="N79" s="8" t="str">
        <f aca="false">IF(L79="","",IF(H79="과세",IF(K79="VAT포함",L79-M79,ROUND(M79*설정!$C$5,0)),0))</f>
        <v/>
      </c>
      <c r="O79" s="8" t="str">
        <f aca="false">IF(L79="","",M79+N79)</f>
        <v/>
      </c>
      <c r="P79" s="25"/>
      <c r="Q79" s="8" t="str">
        <f aca="false">IF(OR(L79="",P79&lt;&gt;"Y"),"",ROUND(M79*설정!$C$5,0))</f>
        <v/>
      </c>
      <c r="R79" s="22"/>
    </row>
    <row r="80" customFormat="false" ht="15" hidden="false" customHeight="false" outlineLevel="0" collapsed="false">
      <c r="A80" s="21" t="str">
        <f aca="false">IF(B80="","",COUNTA($B$5:B80))</f>
        <v/>
      </c>
      <c r="B80" s="22"/>
      <c r="C80" s="23"/>
      <c r="D80" s="24"/>
      <c r="E80" s="7" t="str">
        <f aca="false">IF(D80="","",IFERROR(INDEX(코드관리!$C$7:$C$66,MATCH(D80,코드관리!$B$7:$B$66,0)),"미등록 코드"))</f>
        <v/>
      </c>
      <c r="F80" s="22"/>
      <c r="G80" s="22"/>
      <c r="H80" s="23"/>
      <c r="I80" s="25"/>
      <c r="J80" s="26"/>
      <c r="K80" s="25"/>
      <c r="L80" s="8" t="str">
        <f aca="false">IF(J80="","",IF(I80="USD",ROUND(J80*설정!$C$4,0),J80))</f>
        <v/>
      </c>
      <c r="M80" s="8" t="str">
        <f aca="false">IF(L80="","",IF(AND(H80="과세",K80="VAT포함"),ROUND(L80/(1+설정!$C$5),0),L80))</f>
        <v/>
      </c>
      <c r="N80" s="8" t="str">
        <f aca="false">IF(L80="","",IF(H80="과세",IF(K80="VAT포함",L80-M80,ROUND(M80*설정!$C$5,0)),0))</f>
        <v/>
      </c>
      <c r="O80" s="8" t="str">
        <f aca="false">IF(L80="","",M80+N80)</f>
        <v/>
      </c>
      <c r="P80" s="25"/>
      <c r="Q80" s="8" t="str">
        <f aca="false">IF(OR(L80="",P80&lt;&gt;"Y"),"",ROUND(M80*설정!$C$5,0))</f>
        <v/>
      </c>
      <c r="R80" s="22"/>
    </row>
    <row r="81" customFormat="false" ht="15" hidden="false" customHeight="false" outlineLevel="0" collapsed="false">
      <c r="A81" s="21" t="str">
        <f aca="false">IF(B81="","",COUNTA($B$5:B81))</f>
        <v/>
      </c>
      <c r="B81" s="22"/>
      <c r="C81" s="23"/>
      <c r="D81" s="24"/>
      <c r="E81" s="7" t="str">
        <f aca="false">IF(D81="","",IFERROR(INDEX(코드관리!$C$7:$C$66,MATCH(D81,코드관리!$B$7:$B$66,0)),"미등록 코드"))</f>
        <v/>
      </c>
      <c r="F81" s="22"/>
      <c r="G81" s="22"/>
      <c r="H81" s="23"/>
      <c r="I81" s="25"/>
      <c r="J81" s="26"/>
      <c r="K81" s="25"/>
      <c r="L81" s="8" t="str">
        <f aca="false">IF(J81="","",IF(I81="USD",ROUND(J81*설정!$C$4,0),J81))</f>
        <v/>
      </c>
      <c r="M81" s="8" t="str">
        <f aca="false">IF(L81="","",IF(AND(H81="과세",K81="VAT포함"),ROUND(L81/(1+설정!$C$5),0),L81))</f>
        <v/>
      </c>
      <c r="N81" s="8" t="str">
        <f aca="false">IF(L81="","",IF(H81="과세",IF(K81="VAT포함",L81-M81,ROUND(M81*설정!$C$5,0)),0))</f>
        <v/>
      </c>
      <c r="O81" s="8" t="str">
        <f aca="false">IF(L81="","",M81+N81)</f>
        <v/>
      </c>
      <c r="P81" s="25"/>
      <c r="Q81" s="8" t="str">
        <f aca="false">IF(OR(L81="",P81&lt;&gt;"Y"),"",ROUND(M81*설정!$C$5,0))</f>
        <v/>
      </c>
      <c r="R81" s="22"/>
    </row>
    <row r="82" customFormat="false" ht="15" hidden="false" customHeight="false" outlineLevel="0" collapsed="false">
      <c r="A82" s="21" t="str">
        <f aca="false">IF(B82="","",COUNTA($B$5:B82))</f>
        <v/>
      </c>
      <c r="B82" s="22"/>
      <c r="C82" s="23"/>
      <c r="D82" s="24"/>
      <c r="E82" s="7" t="str">
        <f aca="false">IF(D82="","",IFERROR(INDEX(코드관리!$C$7:$C$66,MATCH(D82,코드관리!$B$7:$B$66,0)),"미등록 코드"))</f>
        <v/>
      </c>
      <c r="F82" s="22"/>
      <c r="G82" s="22"/>
      <c r="H82" s="23"/>
      <c r="I82" s="25"/>
      <c r="J82" s="26"/>
      <c r="K82" s="25"/>
      <c r="L82" s="8" t="str">
        <f aca="false">IF(J82="","",IF(I82="USD",ROUND(J82*설정!$C$4,0),J82))</f>
        <v/>
      </c>
      <c r="M82" s="8" t="str">
        <f aca="false">IF(L82="","",IF(AND(H82="과세",K82="VAT포함"),ROUND(L82/(1+설정!$C$5),0),L82))</f>
        <v/>
      </c>
      <c r="N82" s="8" t="str">
        <f aca="false">IF(L82="","",IF(H82="과세",IF(K82="VAT포함",L82-M82,ROUND(M82*설정!$C$5,0)),0))</f>
        <v/>
      </c>
      <c r="O82" s="8" t="str">
        <f aca="false">IF(L82="","",M82+N82)</f>
        <v/>
      </c>
      <c r="P82" s="25"/>
      <c r="Q82" s="8" t="str">
        <f aca="false">IF(OR(L82="",P82&lt;&gt;"Y"),"",ROUND(M82*설정!$C$5,0))</f>
        <v/>
      </c>
      <c r="R82" s="22"/>
    </row>
    <row r="83" customFormat="false" ht="15" hidden="false" customHeight="false" outlineLevel="0" collapsed="false">
      <c r="A83" s="21" t="str">
        <f aca="false">IF(B83="","",COUNTA($B$5:B83))</f>
        <v/>
      </c>
      <c r="B83" s="22"/>
      <c r="C83" s="23"/>
      <c r="D83" s="24"/>
      <c r="E83" s="7" t="str">
        <f aca="false">IF(D83="","",IFERROR(INDEX(코드관리!$C$7:$C$66,MATCH(D83,코드관리!$B$7:$B$66,0)),"미등록 코드"))</f>
        <v/>
      </c>
      <c r="F83" s="22"/>
      <c r="G83" s="22"/>
      <c r="H83" s="23"/>
      <c r="I83" s="25"/>
      <c r="J83" s="26"/>
      <c r="K83" s="25"/>
      <c r="L83" s="8" t="str">
        <f aca="false">IF(J83="","",IF(I83="USD",ROUND(J83*설정!$C$4,0),J83))</f>
        <v/>
      </c>
      <c r="M83" s="8" t="str">
        <f aca="false">IF(L83="","",IF(AND(H83="과세",K83="VAT포함"),ROUND(L83/(1+설정!$C$5),0),L83))</f>
        <v/>
      </c>
      <c r="N83" s="8" t="str">
        <f aca="false">IF(L83="","",IF(H83="과세",IF(K83="VAT포함",L83-M83,ROUND(M83*설정!$C$5,0)),0))</f>
        <v/>
      </c>
      <c r="O83" s="8" t="str">
        <f aca="false">IF(L83="","",M83+N83)</f>
        <v/>
      </c>
      <c r="P83" s="25"/>
      <c r="Q83" s="8" t="str">
        <f aca="false">IF(OR(L83="",P83&lt;&gt;"Y"),"",ROUND(M83*설정!$C$5,0))</f>
        <v/>
      </c>
      <c r="R83" s="22"/>
    </row>
    <row r="84" customFormat="false" ht="15" hidden="false" customHeight="false" outlineLevel="0" collapsed="false">
      <c r="A84" s="21" t="str">
        <f aca="false">IF(B84="","",COUNTA($B$5:B84))</f>
        <v/>
      </c>
      <c r="B84" s="22"/>
      <c r="C84" s="23"/>
      <c r="D84" s="24"/>
      <c r="E84" s="7" t="str">
        <f aca="false">IF(D84="","",IFERROR(INDEX(코드관리!$C$7:$C$66,MATCH(D84,코드관리!$B$7:$B$66,0)),"미등록 코드"))</f>
        <v/>
      </c>
      <c r="F84" s="22"/>
      <c r="G84" s="22"/>
      <c r="H84" s="23"/>
      <c r="I84" s="25"/>
      <c r="J84" s="26"/>
      <c r="K84" s="25"/>
      <c r="L84" s="8" t="str">
        <f aca="false">IF(J84="","",IF(I84="USD",ROUND(J84*설정!$C$4,0),J84))</f>
        <v/>
      </c>
      <c r="M84" s="8" t="str">
        <f aca="false">IF(L84="","",IF(AND(H84="과세",K84="VAT포함"),ROUND(L84/(1+설정!$C$5),0),L84))</f>
        <v/>
      </c>
      <c r="N84" s="8" t="str">
        <f aca="false">IF(L84="","",IF(H84="과세",IF(K84="VAT포함",L84-M84,ROUND(M84*설정!$C$5,0)),0))</f>
        <v/>
      </c>
      <c r="O84" s="8" t="str">
        <f aca="false">IF(L84="","",M84+N84)</f>
        <v/>
      </c>
      <c r="P84" s="25"/>
      <c r="Q84" s="8" t="str">
        <f aca="false">IF(OR(L84="",P84&lt;&gt;"Y"),"",ROUND(M84*설정!$C$5,0))</f>
        <v/>
      </c>
      <c r="R84" s="22"/>
    </row>
    <row r="85" customFormat="false" ht="15" hidden="false" customHeight="false" outlineLevel="0" collapsed="false">
      <c r="A85" s="21" t="str">
        <f aca="false">IF(B85="","",COUNTA($B$5:B85))</f>
        <v/>
      </c>
      <c r="B85" s="22"/>
      <c r="C85" s="23"/>
      <c r="D85" s="24"/>
      <c r="E85" s="7" t="str">
        <f aca="false">IF(D85="","",IFERROR(INDEX(코드관리!$C$7:$C$66,MATCH(D85,코드관리!$B$7:$B$66,0)),"미등록 코드"))</f>
        <v/>
      </c>
      <c r="F85" s="22"/>
      <c r="G85" s="22"/>
      <c r="H85" s="23"/>
      <c r="I85" s="25"/>
      <c r="J85" s="26"/>
      <c r="K85" s="25"/>
      <c r="L85" s="8" t="str">
        <f aca="false">IF(J85="","",IF(I85="USD",ROUND(J85*설정!$C$4,0),J85))</f>
        <v/>
      </c>
      <c r="M85" s="8" t="str">
        <f aca="false">IF(L85="","",IF(AND(H85="과세",K85="VAT포함"),ROUND(L85/(1+설정!$C$5),0),L85))</f>
        <v/>
      </c>
      <c r="N85" s="8" t="str">
        <f aca="false">IF(L85="","",IF(H85="과세",IF(K85="VAT포함",L85-M85,ROUND(M85*설정!$C$5,0)),0))</f>
        <v/>
      </c>
      <c r="O85" s="8" t="str">
        <f aca="false">IF(L85="","",M85+N85)</f>
        <v/>
      </c>
      <c r="P85" s="25"/>
      <c r="Q85" s="8" t="str">
        <f aca="false">IF(OR(L85="",P85&lt;&gt;"Y"),"",ROUND(M85*설정!$C$5,0))</f>
        <v/>
      </c>
      <c r="R85" s="22"/>
    </row>
    <row r="86" customFormat="false" ht="15" hidden="false" customHeight="false" outlineLevel="0" collapsed="false">
      <c r="A86" s="21" t="str">
        <f aca="false">IF(B86="","",COUNTA($B$5:B86))</f>
        <v/>
      </c>
      <c r="B86" s="22"/>
      <c r="C86" s="23"/>
      <c r="D86" s="24"/>
      <c r="E86" s="7" t="str">
        <f aca="false">IF(D86="","",IFERROR(INDEX(코드관리!$C$7:$C$66,MATCH(D86,코드관리!$B$7:$B$66,0)),"미등록 코드"))</f>
        <v/>
      </c>
      <c r="F86" s="22"/>
      <c r="G86" s="22"/>
      <c r="H86" s="23"/>
      <c r="I86" s="25"/>
      <c r="J86" s="26"/>
      <c r="K86" s="25"/>
      <c r="L86" s="8" t="str">
        <f aca="false">IF(J86="","",IF(I86="USD",ROUND(J86*설정!$C$4,0),J86))</f>
        <v/>
      </c>
      <c r="M86" s="8" t="str">
        <f aca="false">IF(L86="","",IF(AND(H86="과세",K86="VAT포함"),ROUND(L86/(1+설정!$C$5),0),L86))</f>
        <v/>
      </c>
      <c r="N86" s="8" t="str">
        <f aca="false">IF(L86="","",IF(H86="과세",IF(K86="VAT포함",L86-M86,ROUND(M86*설정!$C$5,0)),0))</f>
        <v/>
      </c>
      <c r="O86" s="8" t="str">
        <f aca="false">IF(L86="","",M86+N86)</f>
        <v/>
      </c>
      <c r="P86" s="25"/>
      <c r="Q86" s="8" t="str">
        <f aca="false">IF(OR(L86="",P86&lt;&gt;"Y"),"",ROUND(M86*설정!$C$5,0))</f>
        <v/>
      </c>
      <c r="R86" s="22"/>
    </row>
    <row r="87" customFormat="false" ht="15" hidden="false" customHeight="false" outlineLevel="0" collapsed="false">
      <c r="A87" s="21" t="str">
        <f aca="false">IF(B87="","",COUNTA($B$5:B87))</f>
        <v/>
      </c>
      <c r="B87" s="22"/>
      <c r="C87" s="23"/>
      <c r="D87" s="24"/>
      <c r="E87" s="7" t="str">
        <f aca="false">IF(D87="","",IFERROR(INDEX(코드관리!$C$7:$C$66,MATCH(D87,코드관리!$B$7:$B$66,0)),"미등록 코드"))</f>
        <v/>
      </c>
      <c r="F87" s="22"/>
      <c r="G87" s="22"/>
      <c r="H87" s="23"/>
      <c r="I87" s="25"/>
      <c r="J87" s="26"/>
      <c r="K87" s="25"/>
      <c r="L87" s="8" t="str">
        <f aca="false">IF(J87="","",IF(I87="USD",ROUND(J87*설정!$C$4,0),J87))</f>
        <v/>
      </c>
      <c r="M87" s="8" t="str">
        <f aca="false">IF(L87="","",IF(AND(H87="과세",K87="VAT포함"),ROUND(L87/(1+설정!$C$5),0),L87))</f>
        <v/>
      </c>
      <c r="N87" s="8" t="str">
        <f aca="false">IF(L87="","",IF(H87="과세",IF(K87="VAT포함",L87-M87,ROUND(M87*설정!$C$5,0)),0))</f>
        <v/>
      </c>
      <c r="O87" s="8" t="str">
        <f aca="false">IF(L87="","",M87+N87)</f>
        <v/>
      </c>
      <c r="P87" s="25"/>
      <c r="Q87" s="8" t="str">
        <f aca="false">IF(OR(L87="",P87&lt;&gt;"Y"),"",ROUND(M87*설정!$C$5,0))</f>
        <v/>
      </c>
      <c r="R87" s="22"/>
    </row>
    <row r="88" customFormat="false" ht="15" hidden="false" customHeight="false" outlineLevel="0" collapsed="false">
      <c r="A88" s="21" t="str">
        <f aca="false">IF(B88="","",COUNTA($B$5:B88))</f>
        <v/>
      </c>
      <c r="B88" s="22"/>
      <c r="C88" s="23"/>
      <c r="D88" s="24"/>
      <c r="E88" s="7" t="str">
        <f aca="false">IF(D88="","",IFERROR(INDEX(코드관리!$C$7:$C$66,MATCH(D88,코드관리!$B$7:$B$66,0)),"미등록 코드"))</f>
        <v/>
      </c>
      <c r="F88" s="22"/>
      <c r="G88" s="22"/>
      <c r="H88" s="23"/>
      <c r="I88" s="25"/>
      <c r="J88" s="26"/>
      <c r="K88" s="25"/>
      <c r="L88" s="8" t="str">
        <f aca="false">IF(J88="","",IF(I88="USD",ROUND(J88*설정!$C$4,0),J88))</f>
        <v/>
      </c>
      <c r="M88" s="8" t="str">
        <f aca="false">IF(L88="","",IF(AND(H88="과세",K88="VAT포함"),ROUND(L88/(1+설정!$C$5),0),L88))</f>
        <v/>
      </c>
      <c r="N88" s="8" t="str">
        <f aca="false">IF(L88="","",IF(H88="과세",IF(K88="VAT포함",L88-M88,ROUND(M88*설정!$C$5,0)),0))</f>
        <v/>
      </c>
      <c r="O88" s="8" t="str">
        <f aca="false">IF(L88="","",M88+N88)</f>
        <v/>
      </c>
      <c r="P88" s="25"/>
      <c r="Q88" s="8" t="str">
        <f aca="false">IF(OR(L88="",P88&lt;&gt;"Y"),"",ROUND(M88*설정!$C$5,0))</f>
        <v/>
      </c>
      <c r="R88" s="22"/>
    </row>
    <row r="89" customFormat="false" ht="15" hidden="false" customHeight="false" outlineLevel="0" collapsed="false">
      <c r="A89" s="21" t="str">
        <f aca="false">IF(B89="","",COUNTA($B$5:B89))</f>
        <v/>
      </c>
      <c r="B89" s="22"/>
      <c r="C89" s="23"/>
      <c r="D89" s="24"/>
      <c r="E89" s="7" t="str">
        <f aca="false">IF(D89="","",IFERROR(INDEX(코드관리!$C$7:$C$66,MATCH(D89,코드관리!$B$7:$B$66,0)),"미등록 코드"))</f>
        <v/>
      </c>
      <c r="F89" s="22"/>
      <c r="G89" s="22"/>
      <c r="H89" s="23"/>
      <c r="I89" s="25"/>
      <c r="J89" s="26"/>
      <c r="K89" s="25"/>
      <c r="L89" s="8" t="str">
        <f aca="false">IF(J89="","",IF(I89="USD",ROUND(J89*설정!$C$4,0),J89))</f>
        <v/>
      </c>
      <c r="M89" s="8" t="str">
        <f aca="false">IF(L89="","",IF(AND(H89="과세",K89="VAT포함"),ROUND(L89/(1+설정!$C$5),0),L89))</f>
        <v/>
      </c>
      <c r="N89" s="8" t="str">
        <f aca="false">IF(L89="","",IF(H89="과세",IF(K89="VAT포함",L89-M89,ROUND(M89*설정!$C$5,0)),0))</f>
        <v/>
      </c>
      <c r="O89" s="8" t="str">
        <f aca="false">IF(L89="","",M89+N89)</f>
        <v/>
      </c>
      <c r="P89" s="25"/>
      <c r="Q89" s="8" t="str">
        <f aca="false">IF(OR(L89="",P89&lt;&gt;"Y"),"",ROUND(M89*설정!$C$5,0))</f>
        <v/>
      </c>
      <c r="R89" s="22"/>
    </row>
    <row r="90" customFormat="false" ht="15" hidden="false" customHeight="false" outlineLevel="0" collapsed="false">
      <c r="A90" s="21" t="str">
        <f aca="false">IF(B90="","",COUNTA($B$5:B90))</f>
        <v/>
      </c>
      <c r="B90" s="22"/>
      <c r="C90" s="23"/>
      <c r="D90" s="24"/>
      <c r="E90" s="7" t="str">
        <f aca="false">IF(D90="","",IFERROR(INDEX(코드관리!$C$7:$C$66,MATCH(D90,코드관리!$B$7:$B$66,0)),"미등록 코드"))</f>
        <v/>
      </c>
      <c r="F90" s="22"/>
      <c r="G90" s="22"/>
      <c r="H90" s="23"/>
      <c r="I90" s="25"/>
      <c r="J90" s="26"/>
      <c r="K90" s="25"/>
      <c r="L90" s="8" t="str">
        <f aca="false">IF(J90="","",IF(I90="USD",ROUND(J90*설정!$C$4,0),J90))</f>
        <v/>
      </c>
      <c r="M90" s="8" t="str">
        <f aca="false">IF(L90="","",IF(AND(H90="과세",K90="VAT포함"),ROUND(L90/(1+설정!$C$5),0),L90))</f>
        <v/>
      </c>
      <c r="N90" s="8" t="str">
        <f aca="false">IF(L90="","",IF(H90="과세",IF(K90="VAT포함",L90-M90,ROUND(M90*설정!$C$5,0)),0))</f>
        <v/>
      </c>
      <c r="O90" s="8" t="str">
        <f aca="false">IF(L90="","",M90+N90)</f>
        <v/>
      </c>
      <c r="P90" s="25"/>
      <c r="Q90" s="8" t="str">
        <f aca="false">IF(OR(L90="",P90&lt;&gt;"Y"),"",ROUND(M90*설정!$C$5,0))</f>
        <v/>
      </c>
      <c r="R90" s="22"/>
    </row>
    <row r="91" customFormat="false" ht="15" hidden="false" customHeight="false" outlineLevel="0" collapsed="false">
      <c r="A91" s="21" t="str">
        <f aca="false">IF(B91="","",COUNTA($B$5:B91))</f>
        <v/>
      </c>
      <c r="B91" s="22"/>
      <c r="C91" s="23"/>
      <c r="D91" s="24"/>
      <c r="E91" s="7" t="str">
        <f aca="false">IF(D91="","",IFERROR(INDEX(코드관리!$C$7:$C$66,MATCH(D91,코드관리!$B$7:$B$66,0)),"미등록 코드"))</f>
        <v/>
      </c>
      <c r="F91" s="22"/>
      <c r="G91" s="22"/>
      <c r="H91" s="23"/>
      <c r="I91" s="25"/>
      <c r="J91" s="26"/>
      <c r="K91" s="25"/>
      <c r="L91" s="8" t="str">
        <f aca="false">IF(J91="","",IF(I91="USD",ROUND(J91*설정!$C$4,0),J91))</f>
        <v/>
      </c>
      <c r="M91" s="8" t="str">
        <f aca="false">IF(L91="","",IF(AND(H91="과세",K91="VAT포함"),ROUND(L91/(1+설정!$C$5),0),L91))</f>
        <v/>
      </c>
      <c r="N91" s="8" t="str">
        <f aca="false">IF(L91="","",IF(H91="과세",IF(K91="VAT포함",L91-M91,ROUND(M91*설정!$C$5,0)),0))</f>
        <v/>
      </c>
      <c r="O91" s="8" t="str">
        <f aca="false">IF(L91="","",M91+N91)</f>
        <v/>
      </c>
      <c r="P91" s="25"/>
      <c r="Q91" s="8" t="str">
        <f aca="false">IF(OR(L91="",P91&lt;&gt;"Y"),"",ROUND(M91*설정!$C$5,0))</f>
        <v/>
      </c>
      <c r="R91" s="22"/>
    </row>
    <row r="92" customFormat="false" ht="15" hidden="false" customHeight="false" outlineLevel="0" collapsed="false">
      <c r="A92" s="21" t="str">
        <f aca="false">IF(B92="","",COUNTA($B$5:B92))</f>
        <v/>
      </c>
      <c r="B92" s="22"/>
      <c r="C92" s="23"/>
      <c r="D92" s="24"/>
      <c r="E92" s="7" t="str">
        <f aca="false">IF(D92="","",IFERROR(INDEX(코드관리!$C$7:$C$66,MATCH(D92,코드관리!$B$7:$B$66,0)),"미등록 코드"))</f>
        <v/>
      </c>
      <c r="F92" s="22"/>
      <c r="G92" s="22"/>
      <c r="H92" s="23"/>
      <c r="I92" s="25"/>
      <c r="J92" s="26"/>
      <c r="K92" s="25"/>
      <c r="L92" s="8" t="str">
        <f aca="false">IF(J92="","",IF(I92="USD",ROUND(J92*설정!$C$4,0),J92))</f>
        <v/>
      </c>
      <c r="M92" s="8" t="str">
        <f aca="false">IF(L92="","",IF(AND(H92="과세",K92="VAT포함"),ROUND(L92/(1+설정!$C$5),0),L92))</f>
        <v/>
      </c>
      <c r="N92" s="8" t="str">
        <f aca="false">IF(L92="","",IF(H92="과세",IF(K92="VAT포함",L92-M92,ROUND(M92*설정!$C$5,0)),0))</f>
        <v/>
      </c>
      <c r="O92" s="8" t="str">
        <f aca="false">IF(L92="","",M92+N92)</f>
        <v/>
      </c>
      <c r="P92" s="25"/>
      <c r="Q92" s="8" t="str">
        <f aca="false">IF(OR(L92="",P92&lt;&gt;"Y"),"",ROUND(M92*설정!$C$5,0))</f>
        <v/>
      </c>
      <c r="R92" s="22"/>
    </row>
    <row r="93" customFormat="false" ht="15" hidden="false" customHeight="false" outlineLevel="0" collapsed="false">
      <c r="A93" s="21" t="str">
        <f aca="false">IF(B93="","",COUNTA($B$5:B93))</f>
        <v/>
      </c>
      <c r="B93" s="22"/>
      <c r="C93" s="23"/>
      <c r="D93" s="24"/>
      <c r="E93" s="7" t="str">
        <f aca="false">IF(D93="","",IFERROR(INDEX(코드관리!$C$7:$C$66,MATCH(D93,코드관리!$B$7:$B$66,0)),"미등록 코드"))</f>
        <v/>
      </c>
      <c r="F93" s="22"/>
      <c r="G93" s="22"/>
      <c r="H93" s="23"/>
      <c r="I93" s="25"/>
      <c r="J93" s="26"/>
      <c r="K93" s="25"/>
      <c r="L93" s="8" t="str">
        <f aca="false">IF(J93="","",IF(I93="USD",ROUND(J93*설정!$C$4,0),J93))</f>
        <v/>
      </c>
      <c r="M93" s="8" t="str">
        <f aca="false">IF(L93="","",IF(AND(H93="과세",K93="VAT포함"),ROUND(L93/(1+설정!$C$5),0),L93))</f>
        <v/>
      </c>
      <c r="N93" s="8" t="str">
        <f aca="false">IF(L93="","",IF(H93="과세",IF(K93="VAT포함",L93-M93,ROUND(M93*설정!$C$5,0)),0))</f>
        <v/>
      </c>
      <c r="O93" s="8" t="str">
        <f aca="false">IF(L93="","",M93+N93)</f>
        <v/>
      </c>
      <c r="P93" s="25"/>
      <c r="Q93" s="8" t="str">
        <f aca="false">IF(OR(L93="",P93&lt;&gt;"Y"),"",ROUND(M93*설정!$C$5,0))</f>
        <v/>
      </c>
      <c r="R93" s="22"/>
    </row>
    <row r="94" customFormat="false" ht="15" hidden="false" customHeight="false" outlineLevel="0" collapsed="false">
      <c r="A94" s="21" t="str">
        <f aca="false">IF(B94="","",COUNTA($B$5:B94))</f>
        <v/>
      </c>
      <c r="B94" s="22"/>
      <c r="C94" s="23"/>
      <c r="D94" s="24"/>
      <c r="E94" s="7" t="str">
        <f aca="false">IF(D94="","",IFERROR(INDEX(코드관리!$C$7:$C$66,MATCH(D94,코드관리!$B$7:$B$66,0)),"미등록 코드"))</f>
        <v/>
      </c>
      <c r="F94" s="22"/>
      <c r="G94" s="22"/>
      <c r="H94" s="23"/>
      <c r="I94" s="25"/>
      <c r="J94" s="26"/>
      <c r="K94" s="25"/>
      <c r="L94" s="8" t="str">
        <f aca="false">IF(J94="","",IF(I94="USD",ROUND(J94*설정!$C$4,0),J94))</f>
        <v/>
      </c>
      <c r="M94" s="8" t="str">
        <f aca="false">IF(L94="","",IF(AND(H94="과세",K94="VAT포함"),ROUND(L94/(1+설정!$C$5),0),L94))</f>
        <v/>
      </c>
      <c r="N94" s="8" t="str">
        <f aca="false">IF(L94="","",IF(H94="과세",IF(K94="VAT포함",L94-M94,ROUND(M94*설정!$C$5,0)),0))</f>
        <v/>
      </c>
      <c r="O94" s="8" t="str">
        <f aca="false">IF(L94="","",M94+N94)</f>
        <v/>
      </c>
      <c r="P94" s="25"/>
      <c r="Q94" s="8" t="str">
        <f aca="false">IF(OR(L94="",P94&lt;&gt;"Y"),"",ROUND(M94*설정!$C$5,0))</f>
        <v/>
      </c>
      <c r="R94" s="22"/>
    </row>
    <row r="95" customFormat="false" ht="15" hidden="false" customHeight="false" outlineLevel="0" collapsed="false">
      <c r="A95" s="21" t="str">
        <f aca="false">IF(B95="","",COUNTA($B$5:B95))</f>
        <v/>
      </c>
      <c r="B95" s="22"/>
      <c r="C95" s="23"/>
      <c r="D95" s="24"/>
      <c r="E95" s="7" t="str">
        <f aca="false">IF(D95="","",IFERROR(INDEX(코드관리!$C$7:$C$66,MATCH(D95,코드관리!$B$7:$B$66,0)),"미등록 코드"))</f>
        <v/>
      </c>
      <c r="F95" s="22"/>
      <c r="G95" s="22"/>
      <c r="H95" s="23"/>
      <c r="I95" s="25"/>
      <c r="J95" s="26"/>
      <c r="K95" s="25"/>
      <c r="L95" s="8" t="str">
        <f aca="false">IF(J95="","",IF(I95="USD",ROUND(J95*설정!$C$4,0),J95))</f>
        <v/>
      </c>
      <c r="M95" s="8" t="str">
        <f aca="false">IF(L95="","",IF(AND(H95="과세",K95="VAT포함"),ROUND(L95/(1+설정!$C$5),0),L95))</f>
        <v/>
      </c>
      <c r="N95" s="8" t="str">
        <f aca="false">IF(L95="","",IF(H95="과세",IF(K95="VAT포함",L95-M95,ROUND(M95*설정!$C$5,0)),0))</f>
        <v/>
      </c>
      <c r="O95" s="8" t="str">
        <f aca="false">IF(L95="","",M95+N95)</f>
        <v/>
      </c>
      <c r="P95" s="25"/>
      <c r="Q95" s="8" t="str">
        <f aca="false">IF(OR(L95="",P95&lt;&gt;"Y"),"",ROUND(M95*설정!$C$5,0))</f>
        <v/>
      </c>
      <c r="R95" s="22"/>
    </row>
    <row r="96" customFormat="false" ht="15" hidden="false" customHeight="false" outlineLevel="0" collapsed="false">
      <c r="A96" s="21" t="str">
        <f aca="false">IF(B96="","",COUNTA($B$5:B96))</f>
        <v/>
      </c>
      <c r="B96" s="22"/>
      <c r="C96" s="23"/>
      <c r="D96" s="24"/>
      <c r="E96" s="7" t="str">
        <f aca="false">IF(D96="","",IFERROR(INDEX(코드관리!$C$7:$C$66,MATCH(D96,코드관리!$B$7:$B$66,0)),"미등록 코드"))</f>
        <v/>
      </c>
      <c r="F96" s="22"/>
      <c r="G96" s="22"/>
      <c r="H96" s="23"/>
      <c r="I96" s="25"/>
      <c r="J96" s="26"/>
      <c r="K96" s="25"/>
      <c r="L96" s="8" t="str">
        <f aca="false">IF(J96="","",IF(I96="USD",ROUND(J96*설정!$C$4,0),J96))</f>
        <v/>
      </c>
      <c r="M96" s="8" t="str">
        <f aca="false">IF(L96="","",IF(AND(H96="과세",K96="VAT포함"),ROUND(L96/(1+설정!$C$5),0),L96))</f>
        <v/>
      </c>
      <c r="N96" s="8" t="str">
        <f aca="false">IF(L96="","",IF(H96="과세",IF(K96="VAT포함",L96-M96,ROUND(M96*설정!$C$5,0)),0))</f>
        <v/>
      </c>
      <c r="O96" s="8" t="str">
        <f aca="false">IF(L96="","",M96+N96)</f>
        <v/>
      </c>
      <c r="P96" s="25"/>
      <c r="Q96" s="8" t="str">
        <f aca="false">IF(OR(L96="",P96&lt;&gt;"Y"),"",ROUND(M96*설정!$C$5,0))</f>
        <v/>
      </c>
      <c r="R96" s="22"/>
    </row>
    <row r="97" customFormat="false" ht="15" hidden="false" customHeight="false" outlineLevel="0" collapsed="false">
      <c r="A97" s="21" t="str">
        <f aca="false">IF(B97="","",COUNTA($B$5:B97))</f>
        <v/>
      </c>
      <c r="B97" s="22"/>
      <c r="C97" s="23"/>
      <c r="D97" s="24"/>
      <c r="E97" s="7" t="str">
        <f aca="false">IF(D97="","",IFERROR(INDEX(코드관리!$C$7:$C$66,MATCH(D97,코드관리!$B$7:$B$66,0)),"미등록 코드"))</f>
        <v/>
      </c>
      <c r="F97" s="22"/>
      <c r="G97" s="22"/>
      <c r="H97" s="23"/>
      <c r="I97" s="25"/>
      <c r="J97" s="26"/>
      <c r="K97" s="25"/>
      <c r="L97" s="8" t="str">
        <f aca="false">IF(J97="","",IF(I97="USD",ROUND(J97*설정!$C$4,0),J97))</f>
        <v/>
      </c>
      <c r="M97" s="8" t="str">
        <f aca="false">IF(L97="","",IF(AND(H97="과세",K97="VAT포함"),ROUND(L97/(1+설정!$C$5),0),L97))</f>
        <v/>
      </c>
      <c r="N97" s="8" t="str">
        <f aca="false">IF(L97="","",IF(H97="과세",IF(K97="VAT포함",L97-M97,ROUND(M97*설정!$C$5,0)),0))</f>
        <v/>
      </c>
      <c r="O97" s="8" t="str">
        <f aca="false">IF(L97="","",M97+N97)</f>
        <v/>
      </c>
      <c r="P97" s="25"/>
      <c r="Q97" s="8" t="str">
        <f aca="false">IF(OR(L97="",P97&lt;&gt;"Y"),"",ROUND(M97*설정!$C$5,0))</f>
        <v/>
      </c>
      <c r="R97" s="22"/>
    </row>
    <row r="98" customFormat="false" ht="15" hidden="false" customHeight="false" outlineLevel="0" collapsed="false">
      <c r="A98" s="21" t="str">
        <f aca="false">IF(B98="","",COUNTA($B$5:B98))</f>
        <v/>
      </c>
      <c r="B98" s="22"/>
      <c r="C98" s="23"/>
      <c r="D98" s="24"/>
      <c r="E98" s="7" t="str">
        <f aca="false">IF(D98="","",IFERROR(INDEX(코드관리!$C$7:$C$66,MATCH(D98,코드관리!$B$7:$B$66,0)),"미등록 코드"))</f>
        <v/>
      </c>
      <c r="F98" s="22"/>
      <c r="G98" s="22"/>
      <c r="H98" s="23"/>
      <c r="I98" s="25"/>
      <c r="J98" s="26"/>
      <c r="K98" s="25"/>
      <c r="L98" s="8" t="str">
        <f aca="false">IF(J98="","",IF(I98="USD",ROUND(J98*설정!$C$4,0),J98))</f>
        <v/>
      </c>
      <c r="M98" s="8" t="str">
        <f aca="false">IF(L98="","",IF(AND(H98="과세",K98="VAT포함"),ROUND(L98/(1+설정!$C$5),0),L98))</f>
        <v/>
      </c>
      <c r="N98" s="8" t="str">
        <f aca="false">IF(L98="","",IF(H98="과세",IF(K98="VAT포함",L98-M98,ROUND(M98*설정!$C$5,0)),0))</f>
        <v/>
      </c>
      <c r="O98" s="8" t="str">
        <f aca="false">IF(L98="","",M98+N98)</f>
        <v/>
      </c>
      <c r="P98" s="25"/>
      <c r="Q98" s="8" t="str">
        <f aca="false">IF(OR(L98="",P98&lt;&gt;"Y"),"",ROUND(M98*설정!$C$5,0))</f>
        <v/>
      </c>
      <c r="R98" s="22"/>
    </row>
    <row r="99" customFormat="false" ht="15" hidden="false" customHeight="false" outlineLevel="0" collapsed="false">
      <c r="A99" s="21" t="str">
        <f aca="false">IF(B99="","",COUNTA($B$5:B99))</f>
        <v/>
      </c>
      <c r="B99" s="22"/>
      <c r="C99" s="23"/>
      <c r="D99" s="24"/>
      <c r="E99" s="7" t="str">
        <f aca="false">IF(D99="","",IFERROR(INDEX(코드관리!$C$7:$C$66,MATCH(D99,코드관리!$B$7:$B$66,0)),"미등록 코드"))</f>
        <v/>
      </c>
      <c r="F99" s="22"/>
      <c r="G99" s="22"/>
      <c r="H99" s="23"/>
      <c r="I99" s="25"/>
      <c r="J99" s="26"/>
      <c r="K99" s="25"/>
      <c r="L99" s="8" t="str">
        <f aca="false">IF(J99="","",IF(I99="USD",ROUND(J99*설정!$C$4,0),J99))</f>
        <v/>
      </c>
      <c r="M99" s="8" t="str">
        <f aca="false">IF(L99="","",IF(AND(H99="과세",K99="VAT포함"),ROUND(L99/(1+설정!$C$5),0),L99))</f>
        <v/>
      </c>
      <c r="N99" s="8" t="str">
        <f aca="false">IF(L99="","",IF(H99="과세",IF(K99="VAT포함",L99-M99,ROUND(M99*설정!$C$5,0)),0))</f>
        <v/>
      </c>
      <c r="O99" s="8" t="str">
        <f aca="false">IF(L99="","",M99+N99)</f>
        <v/>
      </c>
      <c r="P99" s="25"/>
      <c r="Q99" s="8" t="str">
        <f aca="false">IF(OR(L99="",P99&lt;&gt;"Y"),"",ROUND(M99*설정!$C$5,0))</f>
        <v/>
      </c>
      <c r="R99" s="22"/>
    </row>
    <row r="100" customFormat="false" ht="15" hidden="false" customHeight="false" outlineLevel="0" collapsed="false">
      <c r="A100" s="21" t="str">
        <f aca="false">IF(B100="","",COUNTA($B$5:B100))</f>
        <v/>
      </c>
      <c r="B100" s="22"/>
      <c r="C100" s="23"/>
      <c r="D100" s="24"/>
      <c r="E100" s="7" t="str">
        <f aca="false">IF(D100="","",IFERROR(INDEX(코드관리!$C$7:$C$66,MATCH(D100,코드관리!$B$7:$B$66,0)),"미등록 코드"))</f>
        <v/>
      </c>
      <c r="F100" s="22"/>
      <c r="G100" s="22"/>
      <c r="H100" s="23"/>
      <c r="I100" s="25"/>
      <c r="J100" s="26"/>
      <c r="K100" s="25"/>
      <c r="L100" s="8" t="str">
        <f aca="false">IF(J100="","",IF(I100="USD",ROUND(J100*설정!$C$4,0),J100))</f>
        <v/>
      </c>
      <c r="M100" s="8" t="str">
        <f aca="false">IF(L100="","",IF(AND(H100="과세",K100="VAT포함"),ROUND(L100/(1+설정!$C$5),0),L100))</f>
        <v/>
      </c>
      <c r="N100" s="8" t="str">
        <f aca="false">IF(L100="","",IF(H100="과세",IF(K100="VAT포함",L100-M100,ROUND(M100*설정!$C$5,0)),0))</f>
        <v/>
      </c>
      <c r="O100" s="8" t="str">
        <f aca="false">IF(L100="","",M100+N100)</f>
        <v/>
      </c>
      <c r="P100" s="25"/>
      <c r="Q100" s="8" t="str">
        <f aca="false">IF(OR(L100="",P100&lt;&gt;"Y"),"",ROUND(M100*설정!$C$5,0))</f>
        <v/>
      </c>
      <c r="R100" s="22"/>
    </row>
    <row r="101" customFormat="false" ht="15" hidden="false" customHeight="false" outlineLevel="0" collapsed="false">
      <c r="A101" s="21" t="str">
        <f aca="false">IF(B101="","",COUNTA($B$5:B101))</f>
        <v/>
      </c>
      <c r="B101" s="22"/>
      <c r="C101" s="23"/>
      <c r="D101" s="24"/>
      <c r="E101" s="7" t="str">
        <f aca="false">IF(D101="","",IFERROR(INDEX(코드관리!$C$7:$C$66,MATCH(D101,코드관리!$B$7:$B$66,0)),"미등록 코드"))</f>
        <v/>
      </c>
      <c r="F101" s="22"/>
      <c r="G101" s="22"/>
      <c r="H101" s="23"/>
      <c r="I101" s="25"/>
      <c r="J101" s="26"/>
      <c r="K101" s="25"/>
      <c r="L101" s="8" t="str">
        <f aca="false">IF(J101="","",IF(I101="USD",ROUND(J101*설정!$C$4,0),J101))</f>
        <v/>
      </c>
      <c r="M101" s="8" t="str">
        <f aca="false">IF(L101="","",IF(AND(H101="과세",K101="VAT포함"),ROUND(L101/(1+설정!$C$5),0),L101))</f>
        <v/>
      </c>
      <c r="N101" s="8" t="str">
        <f aca="false">IF(L101="","",IF(H101="과세",IF(K101="VAT포함",L101-M101,ROUND(M101*설정!$C$5,0)),0))</f>
        <v/>
      </c>
      <c r="O101" s="8" t="str">
        <f aca="false">IF(L101="","",M101+N101)</f>
        <v/>
      </c>
      <c r="P101" s="25"/>
      <c r="Q101" s="8" t="str">
        <f aca="false">IF(OR(L101="",P101&lt;&gt;"Y"),"",ROUND(M101*설정!$C$5,0))</f>
        <v/>
      </c>
      <c r="R101" s="22"/>
    </row>
    <row r="102" customFormat="false" ht="15" hidden="false" customHeight="false" outlineLevel="0" collapsed="false">
      <c r="A102" s="21" t="str">
        <f aca="false">IF(B102="","",COUNTA($B$5:B102))</f>
        <v/>
      </c>
      <c r="B102" s="22"/>
      <c r="C102" s="23"/>
      <c r="D102" s="24"/>
      <c r="E102" s="7" t="str">
        <f aca="false">IF(D102="","",IFERROR(INDEX(코드관리!$C$7:$C$66,MATCH(D102,코드관리!$B$7:$B$66,0)),"미등록 코드"))</f>
        <v/>
      </c>
      <c r="F102" s="22"/>
      <c r="G102" s="22"/>
      <c r="H102" s="23"/>
      <c r="I102" s="25"/>
      <c r="J102" s="26"/>
      <c r="K102" s="25"/>
      <c r="L102" s="8" t="str">
        <f aca="false">IF(J102="","",IF(I102="USD",ROUND(J102*설정!$C$4,0),J102))</f>
        <v/>
      </c>
      <c r="M102" s="8" t="str">
        <f aca="false">IF(L102="","",IF(AND(H102="과세",K102="VAT포함"),ROUND(L102/(1+설정!$C$5),0),L102))</f>
        <v/>
      </c>
      <c r="N102" s="8" t="str">
        <f aca="false">IF(L102="","",IF(H102="과세",IF(K102="VAT포함",L102-M102,ROUND(M102*설정!$C$5,0)),0))</f>
        <v/>
      </c>
      <c r="O102" s="8" t="str">
        <f aca="false">IF(L102="","",M102+N102)</f>
        <v/>
      </c>
      <c r="P102" s="25"/>
      <c r="Q102" s="8" t="str">
        <f aca="false">IF(OR(L102="",P102&lt;&gt;"Y"),"",ROUND(M102*설정!$C$5,0))</f>
        <v/>
      </c>
      <c r="R102" s="22"/>
    </row>
    <row r="103" customFormat="false" ht="15" hidden="false" customHeight="false" outlineLevel="0" collapsed="false">
      <c r="A103" s="21" t="str">
        <f aca="false">IF(B103="","",COUNTA($B$5:B103))</f>
        <v/>
      </c>
      <c r="B103" s="22"/>
      <c r="C103" s="23"/>
      <c r="D103" s="24"/>
      <c r="E103" s="7" t="str">
        <f aca="false">IF(D103="","",IFERROR(INDEX(코드관리!$C$7:$C$66,MATCH(D103,코드관리!$B$7:$B$66,0)),"미등록 코드"))</f>
        <v/>
      </c>
      <c r="F103" s="22"/>
      <c r="G103" s="22"/>
      <c r="H103" s="23"/>
      <c r="I103" s="25"/>
      <c r="J103" s="26"/>
      <c r="K103" s="25"/>
      <c r="L103" s="8" t="str">
        <f aca="false">IF(J103="","",IF(I103="USD",ROUND(J103*설정!$C$4,0),J103))</f>
        <v/>
      </c>
      <c r="M103" s="8" t="str">
        <f aca="false">IF(L103="","",IF(AND(H103="과세",K103="VAT포함"),ROUND(L103/(1+설정!$C$5),0),L103))</f>
        <v/>
      </c>
      <c r="N103" s="8" t="str">
        <f aca="false">IF(L103="","",IF(H103="과세",IF(K103="VAT포함",L103-M103,ROUND(M103*설정!$C$5,0)),0))</f>
        <v/>
      </c>
      <c r="O103" s="8" t="str">
        <f aca="false">IF(L103="","",M103+N103)</f>
        <v/>
      </c>
      <c r="P103" s="25"/>
      <c r="Q103" s="8" t="str">
        <f aca="false">IF(OR(L103="",P103&lt;&gt;"Y"),"",ROUND(M103*설정!$C$5,0))</f>
        <v/>
      </c>
      <c r="R103" s="22"/>
    </row>
    <row r="104" customFormat="false" ht="15" hidden="false" customHeight="false" outlineLevel="0" collapsed="false">
      <c r="A104" s="21" t="str">
        <f aca="false">IF(B104="","",COUNTA($B$5:B104))</f>
        <v/>
      </c>
      <c r="B104" s="22"/>
      <c r="C104" s="23"/>
      <c r="D104" s="24"/>
      <c r="E104" s="7" t="str">
        <f aca="false">IF(D104="","",IFERROR(INDEX(코드관리!$C$7:$C$66,MATCH(D104,코드관리!$B$7:$B$66,0)),"미등록 코드"))</f>
        <v/>
      </c>
      <c r="F104" s="22"/>
      <c r="G104" s="22"/>
      <c r="H104" s="23"/>
      <c r="I104" s="25"/>
      <c r="J104" s="26"/>
      <c r="K104" s="25"/>
      <c r="L104" s="8" t="str">
        <f aca="false">IF(J104="","",IF(I104="USD",ROUND(J104*설정!$C$4,0),J104))</f>
        <v/>
      </c>
      <c r="M104" s="8" t="str">
        <f aca="false">IF(L104="","",IF(AND(H104="과세",K104="VAT포함"),ROUND(L104/(1+설정!$C$5),0),L104))</f>
        <v/>
      </c>
      <c r="N104" s="8" t="str">
        <f aca="false">IF(L104="","",IF(H104="과세",IF(K104="VAT포함",L104-M104,ROUND(M104*설정!$C$5,0)),0))</f>
        <v/>
      </c>
      <c r="O104" s="8" t="str">
        <f aca="false">IF(L104="","",M104+N104)</f>
        <v/>
      </c>
      <c r="P104" s="25"/>
      <c r="Q104" s="8" t="str">
        <f aca="false">IF(OR(L104="",P104&lt;&gt;"Y"),"",ROUND(M104*설정!$C$5,0))</f>
        <v/>
      </c>
      <c r="R104" s="22"/>
    </row>
    <row r="105" customFormat="false" ht="15" hidden="false" customHeight="false" outlineLevel="0" collapsed="false">
      <c r="A105" s="21" t="str">
        <f aca="false">IF(B105="","",COUNTA($B$5:B105))</f>
        <v/>
      </c>
      <c r="B105" s="22"/>
      <c r="C105" s="23"/>
      <c r="D105" s="24"/>
      <c r="E105" s="7" t="str">
        <f aca="false">IF(D105="","",IFERROR(INDEX(코드관리!$C$7:$C$66,MATCH(D105,코드관리!$B$7:$B$66,0)),"미등록 코드"))</f>
        <v/>
      </c>
      <c r="F105" s="22"/>
      <c r="G105" s="22"/>
      <c r="H105" s="23"/>
      <c r="I105" s="25"/>
      <c r="J105" s="26"/>
      <c r="K105" s="25"/>
      <c r="L105" s="8" t="str">
        <f aca="false">IF(J105="","",IF(I105="USD",ROUND(J105*설정!$C$4,0),J105))</f>
        <v/>
      </c>
      <c r="M105" s="8" t="str">
        <f aca="false">IF(L105="","",IF(AND(H105="과세",K105="VAT포함"),ROUND(L105/(1+설정!$C$5),0),L105))</f>
        <v/>
      </c>
      <c r="N105" s="8" t="str">
        <f aca="false">IF(L105="","",IF(H105="과세",IF(K105="VAT포함",L105-M105,ROUND(M105*설정!$C$5,0)),0))</f>
        <v/>
      </c>
      <c r="O105" s="8" t="str">
        <f aca="false">IF(L105="","",M105+N105)</f>
        <v/>
      </c>
      <c r="P105" s="25"/>
      <c r="Q105" s="8" t="str">
        <f aca="false">IF(OR(L105="",P105&lt;&gt;"Y"),"",ROUND(M105*설정!$C$5,0))</f>
        <v/>
      </c>
      <c r="R105" s="22"/>
    </row>
    <row r="106" customFormat="false" ht="15" hidden="false" customHeight="false" outlineLevel="0" collapsed="false">
      <c r="A106" s="21" t="str">
        <f aca="false">IF(B106="","",COUNTA($B$5:B106))</f>
        <v/>
      </c>
      <c r="B106" s="22"/>
      <c r="C106" s="23"/>
      <c r="D106" s="24"/>
      <c r="E106" s="7" t="str">
        <f aca="false">IF(D106="","",IFERROR(INDEX(코드관리!$C$7:$C$66,MATCH(D106,코드관리!$B$7:$B$66,0)),"미등록 코드"))</f>
        <v/>
      </c>
      <c r="F106" s="22"/>
      <c r="G106" s="22"/>
      <c r="H106" s="23"/>
      <c r="I106" s="25"/>
      <c r="J106" s="26"/>
      <c r="K106" s="25"/>
      <c r="L106" s="8" t="str">
        <f aca="false">IF(J106="","",IF(I106="USD",ROUND(J106*설정!$C$4,0),J106))</f>
        <v/>
      </c>
      <c r="M106" s="8" t="str">
        <f aca="false">IF(L106="","",IF(AND(H106="과세",K106="VAT포함"),ROUND(L106/(1+설정!$C$5),0),L106))</f>
        <v/>
      </c>
      <c r="N106" s="8" t="str">
        <f aca="false">IF(L106="","",IF(H106="과세",IF(K106="VAT포함",L106-M106,ROUND(M106*설정!$C$5,0)),0))</f>
        <v/>
      </c>
      <c r="O106" s="8" t="str">
        <f aca="false">IF(L106="","",M106+N106)</f>
        <v/>
      </c>
      <c r="P106" s="25"/>
      <c r="Q106" s="8" t="str">
        <f aca="false">IF(OR(L106="",P106&lt;&gt;"Y"),"",ROUND(M106*설정!$C$5,0))</f>
        <v/>
      </c>
      <c r="R106" s="22"/>
    </row>
    <row r="107" customFormat="false" ht="15" hidden="false" customHeight="false" outlineLevel="0" collapsed="false">
      <c r="A107" s="21" t="str">
        <f aca="false">IF(B107="","",COUNTA($B$5:B107))</f>
        <v/>
      </c>
      <c r="B107" s="22"/>
      <c r="C107" s="23"/>
      <c r="D107" s="24"/>
      <c r="E107" s="7" t="str">
        <f aca="false">IF(D107="","",IFERROR(INDEX(코드관리!$C$7:$C$66,MATCH(D107,코드관리!$B$7:$B$66,0)),"미등록 코드"))</f>
        <v/>
      </c>
      <c r="F107" s="22"/>
      <c r="G107" s="22"/>
      <c r="H107" s="23"/>
      <c r="I107" s="25"/>
      <c r="J107" s="26"/>
      <c r="K107" s="25"/>
      <c r="L107" s="8" t="str">
        <f aca="false">IF(J107="","",IF(I107="USD",ROUND(J107*설정!$C$4,0),J107))</f>
        <v/>
      </c>
      <c r="M107" s="8" t="str">
        <f aca="false">IF(L107="","",IF(AND(H107="과세",K107="VAT포함"),ROUND(L107/(1+설정!$C$5),0),L107))</f>
        <v/>
      </c>
      <c r="N107" s="8" t="str">
        <f aca="false">IF(L107="","",IF(H107="과세",IF(K107="VAT포함",L107-M107,ROUND(M107*설정!$C$5,0)),0))</f>
        <v/>
      </c>
      <c r="O107" s="8" t="str">
        <f aca="false">IF(L107="","",M107+N107)</f>
        <v/>
      </c>
      <c r="P107" s="25"/>
      <c r="Q107" s="8" t="str">
        <f aca="false">IF(OR(L107="",P107&lt;&gt;"Y"),"",ROUND(M107*설정!$C$5,0))</f>
        <v/>
      </c>
      <c r="R107" s="22"/>
    </row>
    <row r="108" customFormat="false" ht="15" hidden="false" customHeight="false" outlineLevel="0" collapsed="false">
      <c r="A108" s="21" t="str">
        <f aca="false">IF(B108="","",COUNTA($B$5:B108))</f>
        <v/>
      </c>
      <c r="B108" s="22"/>
      <c r="C108" s="23"/>
      <c r="D108" s="24"/>
      <c r="E108" s="7" t="str">
        <f aca="false">IF(D108="","",IFERROR(INDEX(코드관리!$C$7:$C$66,MATCH(D108,코드관리!$B$7:$B$66,0)),"미등록 코드"))</f>
        <v/>
      </c>
      <c r="F108" s="22"/>
      <c r="G108" s="22"/>
      <c r="H108" s="23"/>
      <c r="I108" s="25"/>
      <c r="J108" s="26"/>
      <c r="K108" s="25"/>
      <c r="L108" s="8" t="str">
        <f aca="false">IF(J108="","",IF(I108="USD",ROUND(J108*설정!$C$4,0),J108))</f>
        <v/>
      </c>
      <c r="M108" s="8" t="str">
        <f aca="false">IF(L108="","",IF(AND(H108="과세",K108="VAT포함"),ROUND(L108/(1+설정!$C$5),0),L108))</f>
        <v/>
      </c>
      <c r="N108" s="8" t="str">
        <f aca="false">IF(L108="","",IF(H108="과세",IF(K108="VAT포함",L108-M108,ROUND(M108*설정!$C$5,0)),0))</f>
        <v/>
      </c>
      <c r="O108" s="8" t="str">
        <f aca="false">IF(L108="","",M108+N108)</f>
        <v/>
      </c>
      <c r="P108" s="25"/>
      <c r="Q108" s="8" t="str">
        <f aca="false">IF(OR(L108="",P108&lt;&gt;"Y"),"",ROUND(M108*설정!$C$5,0))</f>
        <v/>
      </c>
      <c r="R108" s="22"/>
    </row>
    <row r="109" customFormat="false" ht="15" hidden="false" customHeight="false" outlineLevel="0" collapsed="false">
      <c r="A109" s="21" t="str">
        <f aca="false">IF(B109="","",COUNTA($B$5:B109))</f>
        <v/>
      </c>
      <c r="B109" s="22"/>
      <c r="C109" s="23"/>
      <c r="D109" s="24"/>
      <c r="E109" s="7" t="str">
        <f aca="false">IF(D109="","",IFERROR(INDEX(코드관리!$C$7:$C$66,MATCH(D109,코드관리!$B$7:$B$66,0)),"미등록 코드"))</f>
        <v/>
      </c>
      <c r="F109" s="22"/>
      <c r="G109" s="22"/>
      <c r="H109" s="23"/>
      <c r="I109" s="25"/>
      <c r="J109" s="26"/>
      <c r="K109" s="25"/>
      <c r="L109" s="8" t="str">
        <f aca="false">IF(J109="","",IF(I109="USD",ROUND(J109*설정!$C$4,0),J109))</f>
        <v/>
      </c>
      <c r="M109" s="8" t="str">
        <f aca="false">IF(L109="","",IF(AND(H109="과세",K109="VAT포함"),ROUND(L109/(1+설정!$C$5),0),L109))</f>
        <v/>
      </c>
      <c r="N109" s="8" t="str">
        <f aca="false">IF(L109="","",IF(H109="과세",IF(K109="VAT포함",L109-M109,ROUND(M109*설정!$C$5,0)),0))</f>
        <v/>
      </c>
      <c r="O109" s="8" t="str">
        <f aca="false">IF(L109="","",M109+N109)</f>
        <v/>
      </c>
      <c r="P109" s="25"/>
      <c r="Q109" s="8" t="str">
        <f aca="false">IF(OR(L109="",P109&lt;&gt;"Y"),"",ROUND(M109*설정!$C$5,0))</f>
        <v/>
      </c>
      <c r="R109" s="22"/>
    </row>
    <row r="110" customFormat="false" ht="15" hidden="false" customHeight="false" outlineLevel="0" collapsed="false">
      <c r="A110" s="21" t="str">
        <f aca="false">IF(B110="","",COUNTA($B$5:B110))</f>
        <v/>
      </c>
      <c r="B110" s="22"/>
      <c r="C110" s="23"/>
      <c r="D110" s="24"/>
      <c r="E110" s="7" t="str">
        <f aca="false">IF(D110="","",IFERROR(INDEX(코드관리!$C$7:$C$66,MATCH(D110,코드관리!$B$7:$B$66,0)),"미등록 코드"))</f>
        <v/>
      </c>
      <c r="F110" s="22"/>
      <c r="G110" s="22"/>
      <c r="H110" s="23"/>
      <c r="I110" s="25"/>
      <c r="J110" s="26"/>
      <c r="K110" s="25"/>
      <c r="L110" s="8" t="str">
        <f aca="false">IF(J110="","",IF(I110="USD",ROUND(J110*설정!$C$4,0),J110))</f>
        <v/>
      </c>
      <c r="M110" s="8" t="str">
        <f aca="false">IF(L110="","",IF(AND(H110="과세",K110="VAT포함"),ROUND(L110/(1+설정!$C$5),0),L110))</f>
        <v/>
      </c>
      <c r="N110" s="8" t="str">
        <f aca="false">IF(L110="","",IF(H110="과세",IF(K110="VAT포함",L110-M110,ROUND(M110*설정!$C$5,0)),0))</f>
        <v/>
      </c>
      <c r="O110" s="8" t="str">
        <f aca="false">IF(L110="","",M110+N110)</f>
        <v/>
      </c>
      <c r="P110" s="25"/>
      <c r="Q110" s="8" t="str">
        <f aca="false">IF(OR(L110="",P110&lt;&gt;"Y"),"",ROUND(M110*설정!$C$5,0))</f>
        <v/>
      </c>
      <c r="R110" s="22"/>
    </row>
    <row r="111" customFormat="false" ht="15" hidden="false" customHeight="false" outlineLevel="0" collapsed="false">
      <c r="A111" s="21" t="str">
        <f aca="false">IF(B111="","",COUNTA($B$5:B111))</f>
        <v/>
      </c>
      <c r="B111" s="22"/>
      <c r="C111" s="23"/>
      <c r="D111" s="24"/>
      <c r="E111" s="7" t="str">
        <f aca="false">IF(D111="","",IFERROR(INDEX(코드관리!$C$7:$C$66,MATCH(D111,코드관리!$B$7:$B$66,0)),"미등록 코드"))</f>
        <v/>
      </c>
      <c r="F111" s="22"/>
      <c r="G111" s="22"/>
      <c r="H111" s="23"/>
      <c r="I111" s="25"/>
      <c r="J111" s="26"/>
      <c r="K111" s="25"/>
      <c r="L111" s="8" t="str">
        <f aca="false">IF(J111="","",IF(I111="USD",ROUND(J111*설정!$C$4,0),J111))</f>
        <v/>
      </c>
      <c r="M111" s="8" t="str">
        <f aca="false">IF(L111="","",IF(AND(H111="과세",K111="VAT포함"),ROUND(L111/(1+설정!$C$5),0),L111))</f>
        <v/>
      </c>
      <c r="N111" s="8" t="str">
        <f aca="false">IF(L111="","",IF(H111="과세",IF(K111="VAT포함",L111-M111,ROUND(M111*설정!$C$5,0)),0))</f>
        <v/>
      </c>
      <c r="O111" s="8" t="str">
        <f aca="false">IF(L111="","",M111+N111)</f>
        <v/>
      </c>
      <c r="P111" s="25"/>
      <c r="Q111" s="8" t="str">
        <f aca="false">IF(OR(L111="",P111&lt;&gt;"Y"),"",ROUND(M111*설정!$C$5,0))</f>
        <v/>
      </c>
      <c r="R111" s="22"/>
    </row>
    <row r="112" customFormat="false" ht="15" hidden="false" customHeight="false" outlineLevel="0" collapsed="false">
      <c r="A112" s="21" t="str">
        <f aca="false">IF(B112="","",COUNTA($B$5:B112))</f>
        <v/>
      </c>
      <c r="B112" s="22"/>
      <c r="C112" s="23"/>
      <c r="D112" s="24"/>
      <c r="E112" s="7" t="str">
        <f aca="false">IF(D112="","",IFERROR(INDEX(코드관리!$C$7:$C$66,MATCH(D112,코드관리!$B$7:$B$66,0)),"미등록 코드"))</f>
        <v/>
      </c>
      <c r="F112" s="22"/>
      <c r="G112" s="22"/>
      <c r="H112" s="23"/>
      <c r="I112" s="25"/>
      <c r="J112" s="26"/>
      <c r="K112" s="25"/>
      <c r="L112" s="8" t="str">
        <f aca="false">IF(J112="","",IF(I112="USD",ROUND(J112*설정!$C$4,0),J112))</f>
        <v/>
      </c>
      <c r="M112" s="8" t="str">
        <f aca="false">IF(L112="","",IF(AND(H112="과세",K112="VAT포함"),ROUND(L112/(1+설정!$C$5),0),L112))</f>
        <v/>
      </c>
      <c r="N112" s="8" t="str">
        <f aca="false">IF(L112="","",IF(H112="과세",IF(K112="VAT포함",L112-M112,ROUND(M112*설정!$C$5,0)),0))</f>
        <v/>
      </c>
      <c r="O112" s="8" t="str">
        <f aca="false">IF(L112="","",M112+N112)</f>
        <v/>
      </c>
      <c r="P112" s="25"/>
      <c r="Q112" s="8" t="str">
        <f aca="false">IF(OR(L112="",P112&lt;&gt;"Y"),"",ROUND(M112*설정!$C$5,0))</f>
        <v/>
      </c>
      <c r="R112" s="22"/>
    </row>
    <row r="113" customFormat="false" ht="15" hidden="false" customHeight="false" outlineLevel="0" collapsed="false">
      <c r="A113" s="21" t="str">
        <f aca="false">IF(B113="","",COUNTA($B$5:B113))</f>
        <v/>
      </c>
      <c r="B113" s="22"/>
      <c r="C113" s="23"/>
      <c r="D113" s="24"/>
      <c r="E113" s="7" t="str">
        <f aca="false">IF(D113="","",IFERROR(INDEX(코드관리!$C$7:$C$66,MATCH(D113,코드관리!$B$7:$B$66,0)),"미등록 코드"))</f>
        <v/>
      </c>
      <c r="F113" s="22"/>
      <c r="G113" s="22"/>
      <c r="H113" s="23"/>
      <c r="I113" s="25"/>
      <c r="J113" s="26"/>
      <c r="K113" s="25"/>
      <c r="L113" s="8" t="str">
        <f aca="false">IF(J113="","",IF(I113="USD",ROUND(J113*설정!$C$4,0),J113))</f>
        <v/>
      </c>
      <c r="M113" s="8" t="str">
        <f aca="false">IF(L113="","",IF(AND(H113="과세",K113="VAT포함"),ROUND(L113/(1+설정!$C$5),0),L113))</f>
        <v/>
      </c>
      <c r="N113" s="8" t="str">
        <f aca="false">IF(L113="","",IF(H113="과세",IF(K113="VAT포함",L113-M113,ROUND(M113*설정!$C$5,0)),0))</f>
        <v/>
      </c>
      <c r="O113" s="8" t="str">
        <f aca="false">IF(L113="","",M113+N113)</f>
        <v/>
      </c>
      <c r="P113" s="25"/>
      <c r="Q113" s="8" t="str">
        <f aca="false">IF(OR(L113="",P113&lt;&gt;"Y"),"",ROUND(M113*설정!$C$5,0))</f>
        <v/>
      </c>
      <c r="R113" s="22"/>
    </row>
    <row r="114" customFormat="false" ht="15" hidden="false" customHeight="false" outlineLevel="0" collapsed="false">
      <c r="A114" s="21" t="str">
        <f aca="false">IF(B114="","",COUNTA($B$5:B114))</f>
        <v/>
      </c>
      <c r="B114" s="22"/>
      <c r="C114" s="23"/>
      <c r="D114" s="24"/>
      <c r="E114" s="7" t="str">
        <f aca="false">IF(D114="","",IFERROR(INDEX(코드관리!$C$7:$C$66,MATCH(D114,코드관리!$B$7:$B$66,0)),"미등록 코드"))</f>
        <v/>
      </c>
      <c r="F114" s="22"/>
      <c r="G114" s="22"/>
      <c r="H114" s="23"/>
      <c r="I114" s="25"/>
      <c r="J114" s="26"/>
      <c r="K114" s="25"/>
      <c r="L114" s="8" t="str">
        <f aca="false">IF(J114="","",IF(I114="USD",ROUND(J114*설정!$C$4,0),J114))</f>
        <v/>
      </c>
      <c r="M114" s="8" t="str">
        <f aca="false">IF(L114="","",IF(AND(H114="과세",K114="VAT포함"),ROUND(L114/(1+설정!$C$5),0),L114))</f>
        <v/>
      </c>
      <c r="N114" s="8" t="str">
        <f aca="false">IF(L114="","",IF(H114="과세",IF(K114="VAT포함",L114-M114,ROUND(M114*설정!$C$5,0)),0))</f>
        <v/>
      </c>
      <c r="O114" s="8" t="str">
        <f aca="false">IF(L114="","",M114+N114)</f>
        <v/>
      </c>
      <c r="P114" s="25"/>
      <c r="Q114" s="8" t="str">
        <f aca="false">IF(OR(L114="",P114&lt;&gt;"Y"),"",ROUND(M114*설정!$C$5,0))</f>
        <v/>
      </c>
      <c r="R114" s="22"/>
    </row>
    <row r="115" customFormat="false" ht="15" hidden="false" customHeight="false" outlineLevel="0" collapsed="false">
      <c r="A115" s="21" t="str">
        <f aca="false">IF(B115="","",COUNTA($B$5:B115))</f>
        <v/>
      </c>
      <c r="B115" s="22"/>
      <c r="C115" s="23"/>
      <c r="D115" s="24"/>
      <c r="E115" s="7" t="str">
        <f aca="false">IF(D115="","",IFERROR(INDEX(코드관리!$C$7:$C$66,MATCH(D115,코드관리!$B$7:$B$66,0)),"미등록 코드"))</f>
        <v/>
      </c>
      <c r="F115" s="22"/>
      <c r="G115" s="22"/>
      <c r="H115" s="23"/>
      <c r="I115" s="25"/>
      <c r="J115" s="26"/>
      <c r="K115" s="25"/>
      <c r="L115" s="8" t="str">
        <f aca="false">IF(J115="","",IF(I115="USD",ROUND(J115*설정!$C$4,0),J115))</f>
        <v/>
      </c>
      <c r="M115" s="8" t="str">
        <f aca="false">IF(L115="","",IF(AND(H115="과세",K115="VAT포함"),ROUND(L115/(1+설정!$C$5),0),L115))</f>
        <v/>
      </c>
      <c r="N115" s="8" t="str">
        <f aca="false">IF(L115="","",IF(H115="과세",IF(K115="VAT포함",L115-M115,ROUND(M115*설정!$C$5,0)),0))</f>
        <v/>
      </c>
      <c r="O115" s="8" t="str">
        <f aca="false">IF(L115="","",M115+N115)</f>
        <v/>
      </c>
      <c r="P115" s="25"/>
      <c r="Q115" s="8" t="str">
        <f aca="false">IF(OR(L115="",P115&lt;&gt;"Y"),"",ROUND(M115*설정!$C$5,0))</f>
        <v/>
      </c>
      <c r="R115" s="22"/>
    </row>
    <row r="116" customFormat="false" ht="15" hidden="false" customHeight="false" outlineLevel="0" collapsed="false">
      <c r="A116" s="21" t="str">
        <f aca="false">IF(B116="","",COUNTA($B$5:B116))</f>
        <v/>
      </c>
      <c r="B116" s="22"/>
      <c r="C116" s="23"/>
      <c r="D116" s="24"/>
      <c r="E116" s="7" t="str">
        <f aca="false">IF(D116="","",IFERROR(INDEX(코드관리!$C$7:$C$66,MATCH(D116,코드관리!$B$7:$B$66,0)),"미등록 코드"))</f>
        <v/>
      </c>
      <c r="F116" s="22"/>
      <c r="G116" s="22"/>
      <c r="H116" s="23"/>
      <c r="I116" s="25"/>
      <c r="J116" s="26"/>
      <c r="K116" s="25"/>
      <c r="L116" s="8" t="str">
        <f aca="false">IF(J116="","",IF(I116="USD",ROUND(J116*설정!$C$4,0),J116))</f>
        <v/>
      </c>
      <c r="M116" s="8" t="str">
        <f aca="false">IF(L116="","",IF(AND(H116="과세",K116="VAT포함"),ROUND(L116/(1+설정!$C$5),0),L116))</f>
        <v/>
      </c>
      <c r="N116" s="8" t="str">
        <f aca="false">IF(L116="","",IF(H116="과세",IF(K116="VAT포함",L116-M116,ROUND(M116*설정!$C$5,0)),0))</f>
        <v/>
      </c>
      <c r="O116" s="8" t="str">
        <f aca="false">IF(L116="","",M116+N116)</f>
        <v/>
      </c>
      <c r="P116" s="25"/>
      <c r="Q116" s="8" t="str">
        <f aca="false">IF(OR(L116="",P116&lt;&gt;"Y"),"",ROUND(M116*설정!$C$5,0))</f>
        <v/>
      </c>
      <c r="R116" s="22"/>
    </row>
    <row r="117" customFormat="false" ht="15" hidden="false" customHeight="false" outlineLevel="0" collapsed="false">
      <c r="A117" s="21" t="str">
        <f aca="false">IF(B117="","",COUNTA($B$5:B117))</f>
        <v/>
      </c>
      <c r="B117" s="22"/>
      <c r="C117" s="23"/>
      <c r="D117" s="24"/>
      <c r="E117" s="7" t="str">
        <f aca="false">IF(D117="","",IFERROR(INDEX(코드관리!$C$7:$C$66,MATCH(D117,코드관리!$B$7:$B$66,0)),"미등록 코드"))</f>
        <v/>
      </c>
      <c r="F117" s="22"/>
      <c r="G117" s="22"/>
      <c r="H117" s="23"/>
      <c r="I117" s="25"/>
      <c r="J117" s="26"/>
      <c r="K117" s="25"/>
      <c r="L117" s="8" t="str">
        <f aca="false">IF(J117="","",IF(I117="USD",ROUND(J117*설정!$C$4,0),J117))</f>
        <v/>
      </c>
      <c r="M117" s="8" t="str">
        <f aca="false">IF(L117="","",IF(AND(H117="과세",K117="VAT포함"),ROUND(L117/(1+설정!$C$5),0),L117))</f>
        <v/>
      </c>
      <c r="N117" s="8" t="str">
        <f aca="false">IF(L117="","",IF(H117="과세",IF(K117="VAT포함",L117-M117,ROUND(M117*설정!$C$5,0)),0))</f>
        <v/>
      </c>
      <c r="O117" s="8" t="str">
        <f aca="false">IF(L117="","",M117+N117)</f>
        <v/>
      </c>
      <c r="P117" s="25"/>
      <c r="Q117" s="8" t="str">
        <f aca="false">IF(OR(L117="",P117&lt;&gt;"Y"),"",ROUND(M117*설정!$C$5,0))</f>
        <v/>
      </c>
      <c r="R117" s="22"/>
    </row>
    <row r="118" customFormat="false" ht="15" hidden="false" customHeight="false" outlineLevel="0" collapsed="false">
      <c r="A118" s="21" t="str">
        <f aca="false">IF(B118="","",COUNTA($B$5:B118))</f>
        <v/>
      </c>
      <c r="B118" s="22"/>
      <c r="C118" s="23"/>
      <c r="D118" s="24"/>
      <c r="E118" s="7" t="str">
        <f aca="false">IF(D118="","",IFERROR(INDEX(코드관리!$C$7:$C$66,MATCH(D118,코드관리!$B$7:$B$66,0)),"미등록 코드"))</f>
        <v/>
      </c>
      <c r="F118" s="22"/>
      <c r="G118" s="22"/>
      <c r="H118" s="23"/>
      <c r="I118" s="25"/>
      <c r="J118" s="26"/>
      <c r="K118" s="25"/>
      <c r="L118" s="8" t="str">
        <f aca="false">IF(J118="","",IF(I118="USD",ROUND(J118*설정!$C$4,0),J118))</f>
        <v/>
      </c>
      <c r="M118" s="8" t="str">
        <f aca="false">IF(L118="","",IF(AND(H118="과세",K118="VAT포함"),ROUND(L118/(1+설정!$C$5),0),L118))</f>
        <v/>
      </c>
      <c r="N118" s="8" t="str">
        <f aca="false">IF(L118="","",IF(H118="과세",IF(K118="VAT포함",L118-M118,ROUND(M118*설정!$C$5,0)),0))</f>
        <v/>
      </c>
      <c r="O118" s="8" t="str">
        <f aca="false">IF(L118="","",M118+N118)</f>
        <v/>
      </c>
      <c r="P118" s="25"/>
      <c r="Q118" s="8" t="str">
        <f aca="false">IF(OR(L118="",P118&lt;&gt;"Y"),"",ROUND(M118*설정!$C$5,0))</f>
        <v/>
      </c>
      <c r="R118" s="22"/>
    </row>
    <row r="119" customFormat="false" ht="15" hidden="false" customHeight="false" outlineLevel="0" collapsed="false">
      <c r="A119" s="21" t="str">
        <f aca="false">IF(B119="","",COUNTA($B$5:B119))</f>
        <v/>
      </c>
      <c r="B119" s="22"/>
      <c r="C119" s="23"/>
      <c r="D119" s="24"/>
      <c r="E119" s="7" t="str">
        <f aca="false">IF(D119="","",IFERROR(INDEX(코드관리!$C$7:$C$66,MATCH(D119,코드관리!$B$7:$B$66,0)),"미등록 코드"))</f>
        <v/>
      </c>
      <c r="F119" s="22"/>
      <c r="G119" s="22"/>
      <c r="H119" s="23"/>
      <c r="I119" s="25"/>
      <c r="J119" s="26"/>
      <c r="K119" s="25"/>
      <c r="L119" s="8" t="str">
        <f aca="false">IF(J119="","",IF(I119="USD",ROUND(J119*설정!$C$4,0),J119))</f>
        <v/>
      </c>
      <c r="M119" s="8" t="str">
        <f aca="false">IF(L119="","",IF(AND(H119="과세",K119="VAT포함"),ROUND(L119/(1+설정!$C$5),0),L119))</f>
        <v/>
      </c>
      <c r="N119" s="8" t="str">
        <f aca="false">IF(L119="","",IF(H119="과세",IF(K119="VAT포함",L119-M119,ROUND(M119*설정!$C$5,0)),0))</f>
        <v/>
      </c>
      <c r="O119" s="8" t="str">
        <f aca="false">IF(L119="","",M119+N119)</f>
        <v/>
      </c>
      <c r="P119" s="25"/>
      <c r="Q119" s="8" t="str">
        <f aca="false">IF(OR(L119="",P119&lt;&gt;"Y"),"",ROUND(M119*설정!$C$5,0))</f>
        <v/>
      </c>
      <c r="R119" s="22"/>
    </row>
    <row r="120" customFormat="false" ht="15" hidden="false" customHeight="false" outlineLevel="0" collapsed="false">
      <c r="A120" s="21" t="str">
        <f aca="false">IF(B120="","",COUNTA($B$5:B120))</f>
        <v/>
      </c>
      <c r="B120" s="22"/>
      <c r="C120" s="23"/>
      <c r="D120" s="24"/>
      <c r="E120" s="7" t="str">
        <f aca="false">IF(D120="","",IFERROR(INDEX(코드관리!$C$7:$C$66,MATCH(D120,코드관리!$B$7:$B$66,0)),"미등록 코드"))</f>
        <v/>
      </c>
      <c r="F120" s="22"/>
      <c r="G120" s="22"/>
      <c r="H120" s="23"/>
      <c r="I120" s="25"/>
      <c r="J120" s="26"/>
      <c r="K120" s="25"/>
      <c r="L120" s="8" t="str">
        <f aca="false">IF(J120="","",IF(I120="USD",ROUND(J120*설정!$C$4,0),J120))</f>
        <v/>
      </c>
      <c r="M120" s="8" t="str">
        <f aca="false">IF(L120="","",IF(AND(H120="과세",K120="VAT포함"),ROUND(L120/(1+설정!$C$5),0),L120))</f>
        <v/>
      </c>
      <c r="N120" s="8" t="str">
        <f aca="false">IF(L120="","",IF(H120="과세",IF(K120="VAT포함",L120-M120,ROUND(M120*설정!$C$5,0)),0))</f>
        <v/>
      </c>
      <c r="O120" s="8" t="str">
        <f aca="false">IF(L120="","",M120+N120)</f>
        <v/>
      </c>
      <c r="P120" s="25"/>
      <c r="Q120" s="8" t="str">
        <f aca="false">IF(OR(L120="",P120&lt;&gt;"Y"),"",ROUND(M120*설정!$C$5,0))</f>
        <v/>
      </c>
      <c r="R120" s="22"/>
    </row>
    <row r="121" customFormat="false" ht="15" hidden="false" customHeight="false" outlineLevel="0" collapsed="false">
      <c r="A121" s="21" t="str">
        <f aca="false">IF(B121="","",COUNTA($B$5:B121))</f>
        <v/>
      </c>
      <c r="B121" s="22"/>
      <c r="C121" s="23"/>
      <c r="D121" s="24"/>
      <c r="E121" s="7" t="str">
        <f aca="false">IF(D121="","",IFERROR(INDEX(코드관리!$C$7:$C$66,MATCH(D121,코드관리!$B$7:$B$66,0)),"미등록 코드"))</f>
        <v/>
      </c>
      <c r="F121" s="22"/>
      <c r="G121" s="22"/>
      <c r="H121" s="23"/>
      <c r="I121" s="25"/>
      <c r="J121" s="26"/>
      <c r="K121" s="25"/>
      <c r="L121" s="8" t="str">
        <f aca="false">IF(J121="","",IF(I121="USD",ROUND(J121*설정!$C$4,0),J121))</f>
        <v/>
      </c>
      <c r="M121" s="8" t="str">
        <f aca="false">IF(L121="","",IF(AND(H121="과세",K121="VAT포함"),ROUND(L121/(1+설정!$C$5),0),L121))</f>
        <v/>
      </c>
      <c r="N121" s="8" t="str">
        <f aca="false">IF(L121="","",IF(H121="과세",IF(K121="VAT포함",L121-M121,ROUND(M121*설정!$C$5,0)),0))</f>
        <v/>
      </c>
      <c r="O121" s="8" t="str">
        <f aca="false">IF(L121="","",M121+N121)</f>
        <v/>
      </c>
      <c r="P121" s="25"/>
      <c r="Q121" s="8" t="str">
        <f aca="false">IF(OR(L121="",P121&lt;&gt;"Y"),"",ROUND(M121*설정!$C$5,0))</f>
        <v/>
      </c>
      <c r="R121" s="22"/>
    </row>
    <row r="122" customFormat="false" ht="15" hidden="false" customHeight="false" outlineLevel="0" collapsed="false">
      <c r="A122" s="21" t="str">
        <f aca="false">IF(B122="","",COUNTA($B$5:B122))</f>
        <v/>
      </c>
      <c r="B122" s="22"/>
      <c r="C122" s="23"/>
      <c r="D122" s="24"/>
      <c r="E122" s="7" t="str">
        <f aca="false">IF(D122="","",IFERROR(INDEX(코드관리!$C$7:$C$66,MATCH(D122,코드관리!$B$7:$B$66,0)),"미등록 코드"))</f>
        <v/>
      </c>
      <c r="F122" s="22"/>
      <c r="G122" s="22"/>
      <c r="H122" s="23"/>
      <c r="I122" s="25"/>
      <c r="J122" s="26"/>
      <c r="K122" s="25"/>
      <c r="L122" s="8" t="str">
        <f aca="false">IF(J122="","",IF(I122="USD",ROUND(J122*설정!$C$4,0),J122))</f>
        <v/>
      </c>
      <c r="M122" s="8" t="str">
        <f aca="false">IF(L122="","",IF(AND(H122="과세",K122="VAT포함"),ROUND(L122/(1+설정!$C$5),0),L122))</f>
        <v/>
      </c>
      <c r="N122" s="8" t="str">
        <f aca="false">IF(L122="","",IF(H122="과세",IF(K122="VAT포함",L122-M122,ROUND(M122*설정!$C$5,0)),0))</f>
        <v/>
      </c>
      <c r="O122" s="8" t="str">
        <f aca="false">IF(L122="","",M122+N122)</f>
        <v/>
      </c>
      <c r="P122" s="25"/>
      <c r="Q122" s="8" t="str">
        <f aca="false">IF(OR(L122="",P122&lt;&gt;"Y"),"",ROUND(M122*설정!$C$5,0))</f>
        <v/>
      </c>
      <c r="R122" s="22"/>
    </row>
    <row r="123" customFormat="false" ht="15" hidden="false" customHeight="false" outlineLevel="0" collapsed="false">
      <c r="A123" s="21" t="str">
        <f aca="false">IF(B123="","",COUNTA($B$5:B123))</f>
        <v/>
      </c>
      <c r="B123" s="22"/>
      <c r="C123" s="23"/>
      <c r="D123" s="24"/>
      <c r="E123" s="7" t="str">
        <f aca="false">IF(D123="","",IFERROR(INDEX(코드관리!$C$7:$C$66,MATCH(D123,코드관리!$B$7:$B$66,0)),"미등록 코드"))</f>
        <v/>
      </c>
      <c r="F123" s="22"/>
      <c r="G123" s="22"/>
      <c r="H123" s="23"/>
      <c r="I123" s="25"/>
      <c r="J123" s="26"/>
      <c r="K123" s="25"/>
      <c r="L123" s="8" t="str">
        <f aca="false">IF(J123="","",IF(I123="USD",ROUND(J123*설정!$C$4,0),J123))</f>
        <v/>
      </c>
      <c r="M123" s="8" t="str">
        <f aca="false">IF(L123="","",IF(AND(H123="과세",K123="VAT포함"),ROUND(L123/(1+설정!$C$5),0),L123))</f>
        <v/>
      </c>
      <c r="N123" s="8" t="str">
        <f aca="false">IF(L123="","",IF(H123="과세",IF(K123="VAT포함",L123-M123,ROUND(M123*설정!$C$5,0)),0))</f>
        <v/>
      </c>
      <c r="O123" s="8" t="str">
        <f aca="false">IF(L123="","",M123+N123)</f>
        <v/>
      </c>
      <c r="P123" s="25"/>
      <c r="Q123" s="8" t="str">
        <f aca="false">IF(OR(L123="",P123&lt;&gt;"Y"),"",ROUND(M123*설정!$C$5,0))</f>
        <v/>
      </c>
      <c r="R123" s="22"/>
    </row>
    <row r="124" customFormat="false" ht="15" hidden="false" customHeight="false" outlineLevel="0" collapsed="false">
      <c r="A124" s="21" t="str">
        <f aca="false">IF(B124="","",COUNTA($B$5:B124))</f>
        <v/>
      </c>
      <c r="B124" s="22"/>
      <c r="C124" s="23"/>
      <c r="D124" s="24"/>
      <c r="E124" s="7" t="str">
        <f aca="false">IF(D124="","",IFERROR(INDEX(코드관리!$C$7:$C$66,MATCH(D124,코드관리!$B$7:$B$66,0)),"미등록 코드"))</f>
        <v/>
      </c>
      <c r="F124" s="22"/>
      <c r="G124" s="22"/>
      <c r="H124" s="23"/>
      <c r="I124" s="25"/>
      <c r="J124" s="26"/>
      <c r="K124" s="25"/>
      <c r="L124" s="8" t="str">
        <f aca="false">IF(J124="","",IF(I124="USD",ROUND(J124*설정!$C$4,0),J124))</f>
        <v/>
      </c>
      <c r="M124" s="8" t="str">
        <f aca="false">IF(L124="","",IF(AND(H124="과세",K124="VAT포함"),ROUND(L124/(1+설정!$C$5),0),L124))</f>
        <v/>
      </c>
      <c r="N124" s="8" t="str">
        <f aca="false">IF(L124="","",IF(H124="과세",IF(K124="VAT포함",L124-M124,ROUND(M124*설정!$C$5,0)),0))</f>
        <v/>
      </c>
      <c r="O124" s="8" t="str">
        <f aca="false">IF(L124="","",M124+N124)</f>
        <v/>
      </c>
      <c r="P124" s="25"/>
      <c r="Q124" s="8" t="str">
        <f aca="false">IF(OR(L124="",P124&lt;&gt;"Y"),"",ROUND(M124*설정!$C$5,0))</f>
        <v/>
      </c>
      <c r="R124" s="22"/>
    </row>
    <row r="125" customFormat="false" ht="15" hidden="false" customHeight="false" outlineLevel="0" collapsed="false">
      <c r="A125" s="21" t="str">
        <f aca="false">IF(B125="","",COUNTA($B$5:B125))</f>
        <v/>
      </c>
      <c r="B125" s="22"/>
      <c r="C125" s="23"/>
      <c r="D125" s="24"/>
      <c r="E125" s="7" t="str">
        <f aca="false">IF(D125="","",IFERROR(INDEX(코드관리!$C$7:$C$66,MATCH(D125,코드관리!$B$7:$B$66,0)),"미등록 코드"))</f>
        <v/>
      </c>
      <c r="F125" s="22"/>
      <c r="G125" s="22"/>
      <c r="H125" s="23"/>
      <c r="I125" s="25"/>
      <c r="J125" s="26"/>
      <c r="K125" s="25"/>
      <c r="L125" s="8" t="str">
        <f aca="false">IF(J125="","",IF(I125="USD",ROUND(J125*설정!$C$4,0),J125))</f>
        <v/>
      </c>
      <c r="M125" s="8" t="str">
        <f aca="false">IF(L125="","",IF(AND(H125="과세",K125="VAT포함"),ROUND(L125/(1+설정!$C$5),0),L125))</f>
        <v/>
      </c>
      <c r="N125" s="8" t="str">
        <f aca="false">IF(L125="","",IF(H125="과세",IF(K125="VAT포함",L125-M125,ROUND(M125*설정!$C$5,0)),0))</f>
        <v/>
      </c>
      <c r="O125" s="8" t="str">
        <f aca="false">IF(L125="","",M125+N125)</f>
        <v/>
      </c>
      <c r="P125" s="25"/>
      <c r="Q125" s="8" t="str">
        <f aca="false">IF(OR(L125="",P125&lt;&gt;"Y"),"",ROUND(M125*설정!$C$5,0))</f>
        <v/>
      </c>
      <c r="R125" s="22"/>
    </row>
    <row r="126" customFormat="false" ht="15" hidden="false" customHeight="false" outlineLevel="0" collapsed="false">
      <c r="A126" s="21" t="str">
        <f aca="false">IF(B126="","",COUNTA($B$5:B126))</f>
        <v/>
      </c>
      <c r="B126" s="22"/>
      <c r="C126" s="23"/>
      <c r="D126" s="24"/>
      <c r="E126" s="7" t="str">
        <f aca="false">IF(D126="","",IFERROR(INDEX(코드관리!$C$7:$C$66,MATCH(D126,코드관리!$B$7:$B$66,0)),"미등록 코드"))</f>
        <v/>
      </c>
      <c r="F126" s="22"/>
      <c r="G126" s="22"/>
      <c r="H126" s="23"/>
      <c r="I126" s="25"/>
      <c r="J126" s="26"/>
      <c r="K126" s="25"/>
      <c r="L126" s="8" t="str">
        <f aca="false">IF(J126="","",IF(I126="USD",ROUND(J126*설정!$C$4,0),J126))</f>
        <v/>
      </c>
      <c r="M126" s="8" t="str">
        <f aca="false">IF(L126="","",IF(AND(H126="과세",K126="VAT포함"),ROUND(L126/(1+설정!$C$5),0),L126))</f>
        <v/>
      </c>
      <c r="N126" s="8" t="str">
        <f aca="false">IF(L126="","",IF(H126="과세",IF(K126="VAT포함",L126-M126,ROUND(M126*설정!$C$5,0)),0))</f>
        <v/>
      </c>
      <c r="O126" s="8" t="str">
        <f aca="false">IF(L126="","",M126+N126)</f>
        <v/>
      </c>
      <c r="P126" s="25"/>
      <c r="Q126" s="8" t="str">
        <f aca="false">IF(OR(L126="",P126&lt;&gt;"Y"),"",ROUND(M126*설정!$C$5,0))</f>
        <v/>
      </c>
      <c r="R126" s="22"/>
    </row>
    <row r="127" customFormat="false" ht="15" hidden="false" customHeight="false" outlineLevel="0" collapsed="false">
      <c r="A127" s="21" t="str">
        <f aca="false">IF(B127="","",COUNTA($B$5:B127))</f>
        <v/>
      </c>
      <c r="B127" s="22"/>
      <c r="C127" s="23"/>
      <c r="D127" s="24"/>
      <c r="E127" s="7" t="str">
        <f aca="false">IF(D127="","",IFERROR(INDEX(코드관리!$C$7:$C$66,MATCH(D127,코드관리!$B$7:$B$66,0)),"미등록 코드"))</f>
        <v/>
      </c>
      <c r="F127" s="22"/>
      <c r="G127" s="22"/>
      <c r="H127" s="23"/>
      <c r="I127" s="25"/>
      <c r="J127" s="26"/>
      <c r="K127" s="25"/>
      <c r="L127" s="8" t="str">
        <f aca="false">IF(J127="","",IF(I127="USD",ROUND(J127*설정!$C$4,0),J127))</f>
        <v/>
      </c>
      <c r="M127" s="8" t="str">
        <f aca="false">IF(L127="","",IF(AND(H127="과세",K127="VAT포함"),ROUND(L127/(1+설정!$C$5),0),L127))</f>
        <v/>
      </c>
      <c r="N127" s="8" t="str">
        <f aca="false">IF(L127="","",IF(H127="과세",IF(K127="VAT포함",L127-M127,ROUND(M127*설정!$C$5,0)),0))</f>
        <v/>
      </c>
      <c r="O127" s="8" t="str">
        <f aca="false">IF(L127="","",M127+N127)</f>
        <v/>
      </c>
      <c r="P127" s="25"/>
      <c r="Q127" s="8" t="str">
        <f aca="false">IF(OR(L127="",P127&lt;&gt;"Y"),"",ROUND(M127*설정!$C$5,0))</f>
        <v/>
      </c>
      <c r="R127" s="22"/>
    </row>
    <row r="128" customFormat="false" ht="15" hidden="false" customHeight="false" outlineLevel="0" collapsed="false">
      <c r="A128" s="21" t="str">
        <f aca="false">IF(B128="","",COUNTA($B$5:B128))</f>
        <v/>
      </c>
      <c r="B128" s="22"/>
      <c r="C128" s="23"/>
      <c r="D128" s="24"/>
      <c r="E128" s="7" t="str">
        <f aca="false">IF(D128="","",IFERROR(INDEX(코드관리!$C$7:$C$66,MATCH(D128,코드관리!$B$7:$B$66,0)),"미등록 코드"))</f>
        <v/>
      </c>
      <c r="F128" s="22"/>
      <c r="G128" s="22"/>
      <c r="H128" s="23"/>
      <c r="I128" s="25"/>
      <c r="J128" s="26"/>
      <c r="K128" s="25"/>
      <c r="L128" s="8" t="str">
        <f aca="false">IF(J128="","",IF(I128="USD",ROUND(J128*설정!$C$4,0),J128))</f>
        <v/>
      </c>
      <c r="M128" s="8" t="str">
        <f aca="false">IF(L128="","",IF(AND(H128="과세",K128="VAT포함"),ROUND(L128/(1+설정!$C$5),0),L128))</f>
        <v/>
      </c>
      <c r="N128" s="8" t="str">
        <f aca="false">IF(L128="","",IF(H128="과세",IF(K128="VAT포함",L128-M128,ROUND(M128*설정!$C$5,0)),0))</f>
        <v/>
      </c>
      <c r="O128" s="8" t="str">
        <f aca="false">IF(L128="","",M128+N128)</f>
        <v/>
      </c>
      <c r="P128" s="25"/>
      <c r="Q128" s="8" t="str">
        <f aca="false">IF(OR(L128="",P128&lt;&gt;"Y"),"",ROUND(M128*설정!$C$5,0))</f>
        <v/>
      </c>
      <c r="R128" s="22"/>
    </row>
    <row r="129" customFormat="false" ht="15" hidden="false" customHeight="false" outlineLevel="0" collapsed="false">
      <c r="A129" s="21" t="str">
        <f aca="false">IF(B129="","",COUNTA($B$5:B129))</f>
        <v/>
      </c>
      <c r="B129" s="22"/>
      <c r="C129" s="23"/>
      <c r="D129" s="24"/>
      <c r="E129" s="7" t="str">
        <f aca="false">IF(D129="","",IFERROR(INDEX(코드관리!$C$7:$C$66,MATCH(D129,코드관리!$B$7:$B$66,0)),"미등록 코드"))</f>
        <v/>
      </c>
      <c r="F129" s="22"/>
      <c r="G129" s="22"/>
      <c r="H129" s="23"/>
      <c r="I129" s="25"/>
      <c r="J129" s="26"/>
      <c r="K129" s="25"/>
      <c r="L129" s="8" t="str">
        <f aca="false">IF(J129="","",IF(I129="USD",ROUND(J129*설정!$C$4,0),J129))</f>
        <v/>
      </c>
      <c r="M129" s="8" t="str">
        <f aca="false">IF(L129="","",IF(AND(H129="과세",K129="VAT포함"),ROUND(L129/(1+설정!$C$5),0),L129))</f>
        <v/>
      </c>
      <c r="N129" s="8" t="str">
        <f aca="false">IF(L129="","",IF(H129="과세",IF(K129="VAT포함",L129-M129,ROUND(M129*설정!$C$5,0)),0))</f>
        <v/>
      </c>
      <c r="O129" s="8" t="str">
        <f aca="false">IF(L129="","",M129+N129)</f>
        <v/>
      </c>
      <c r="P129" s="25"/>
      <c r="Q129" s="8" t="str">
        <f aca="false">IF(OR(L129="",P129&lt;&gt;"Y"),"",ROUND(M129*설정!$C$5,0))</f>
        <v/>
      </c>
      <c r="R129" s="22"/>
    </row>
    <row r="130" customFormat="false" ht="15" hidden="false" customHeight="false" outlineLevel="0" collapsed="false">
      <c r="A130" s="21" t="str">
        <f aca="false">IF(B130="","",COUNTA($B$5:B130))</f>
        <v/>
      </c>
      <c r="B130" s="22"/>
      <c r="C130" s="23"/>
      <c r="D130" s="24"/>
      <c r="E130" s="7" t="str">
        <f aca="false">IF(D130="","",IFERROR(INDEX(코드관리!$C$7:$C$66,MATCH(D130,코드관리!$B$7:$B$66,0)),"미등록 코드"))</f>
        <v/>
      </c>
      <c r="F130" s="22"/>
      <c r="G130" s="22"/>
      <c r="H130" s="23"/>
      <c r="I130" s="25"/>
      <c r="J130" s="26"/>
      <c r="K130" s="25"/>
      <c r="L130" s="8" t="str">
        <f aca="false">IF(J130="","",IF(I130="USD",ROUND(J130*설정!$C$4,0),J130))</f>
        <v/>
      </c>
      <c r="M130" s="8" t="str">
        <f aca="false">IF(L130="","",IF(AND(H130="과세",K130="VAT포함"),ROUND(L130/(1+설정!$C$5),0),L130))</f>
        <v/>
      </c>
      <c r="N130" s="8" t="str">
        <f aca="false">IF(L130="","",IF(H130="과세",IF(K130="VAT포함",L130-M130,ROUND(M130*설정!$C$5,0)),0))</f>
        <v/>
      </c>
      <c r="O130" s="8" t="str">
        <f aca="false">IF(L130="","",M130+N130)</f>
        <v/>
      </c>
      <c r="P130" s="25"/>
      <c r="Q130" s="8" t="str">
        <f aca="false">IF(OR(L130="",P130&lt;&gt;"Y"),"",ROUND(M130*설정!$C$5,0))</f>
        <v/>
      </c>
      <c r="R130" s="22"/>
    </row>
    <row r="131" customFormat="false" ht="15" hidden="false" customHeight="false" outlineLevel="0" collapsed="false">
      <c r="A131" s="21" t="str">
        <f aca="false">IF(B131="","",COUNTA($B$5:B131))</f>
        <v/>
      </c>
      <c r="B131" s="22"/>
      <c r="C131" s="23"/>
      <c r="D131" s="24"/>
      <c r="E131" s="7" t="str">
        <f aca="false">IF(D131="","",IFERROR(INDEX(코드관리!$C$7:$C$66,MATCH(D131,코드관리!$B$7:$B$66,0)),"미등록 코드"))</f>
        <v/>
      </c>
      <c r="F131" s="22"/>
      <c r="G131" s="22"/>
      <c r="H131" s="23"/>
      <c r="I131" s="25"/>
      <c r="J131" s="26"/>
      <c r="K131" s="25"/>
      <c r="L131" s="8" t="str">
        <f aca="false">IF(J131="","",IF(I131="USD",ROUND(J131*설정!$C$4,0),J131))</f>
        <v/>
      </c>
      <c r="M131" s="8" t="str">
        <f aca="false">IF(L131="","",IF(AND(H131="과세",K131="VAT포함"),ROUND(L131/(1+설정!$C$5),0),L131))</f>
        <v/>
      </c>
      <c r="N131" s="8" t="str">
        <f aca="false">IF(L131="","",IF(H131="과세",IF(K131="VAT포함",L131-M131,ROUND(M131*설정!$C$5,0)),0))</f>
        <v/>
      </c>
      <c r="O131" s="8" t="str">
        <f aca="false">IF(L131="","",M131+N131)</f>
        <v/>
      </c>
      <c r="P131" s="25"/>
      <c r="Q131" s="8" t="str">
        <f aca="false">IF(OR(L131="",P131&lt;&gt;"Y"),"",ROUND(M131*설정!$C$5,0))</f>
        <v/>
      </c>
      <c r="R131" s="22"/>
    </row>
    <row r="132" customFormat="false" ht="15" hidden="false" customHeight="false" outlineLevel="0" collapsed="false">
      <c r="A132" s="21" t="str">
        <f aca="false">IF(B132="","",COUNTA($B$5:B132))</f>
        <v/>
      </c>
      <c r="B132" s="22"/>
      <c r="C132" s="23"/>
      <c r="D132" s="24"/>
      <c r="E132" s="7" t="str">
        <f aca="false">IF(D132="","",IFERROR(INDEX(코드관리!$C$7:$C$66,MATCH(D132,코드관리!$B$7:$B$66,0)),"미등록 코드"))</f>
        <v/>
      </c>
      <c r="F132" s="22"/>
      <c r="G132" s="22"/>
      <c r="H132" s="23"/>
      <c r="I132" s="25"/>
      <c r="J132" s="26"/>
      <c r="K132" s="25"/>
      <c r="L132" s="8" t="str">
        <f aca="false">IF(J132="","",IF(I132="USD",ROUND(J132*설정!$C$4,0),J132))</f>
        <v/>
      </c>
      <c r="M132" s="8" t="str">
        <f aca="false">IF(L132="","",IF(AND(H132="과세",K132="VAT포함"),ROUND(L132/(1+설정!$C$5),0),L132))</f>
        <v/>
      </c>
      <c r="N132" s="8" t="str">
        <f aca="false">IF(L132="","",IF(H132="과세",IF(K132="VAT포함",L132-M132,ROUND(M132*설정!$C$5,0)),0))</f>
        <v/>
      </c>
      <c r="O132" s="8" t="str">
        <f aca="false">IF(L132="","",M132+N132)</f>
        <v/>
      </c>
      <c r="P132" s="25"/>
      <c r="Q132" s="8" t="str">
        <f aca="false">IF(OR(L132="",P132&lt;&gt;"Y"),"",ROUND(M132*설정!$C$5,0))</f>
        <v/>
      </c>
      <c r="R132" s="22"/>
    </row>
    <row r="133" customFormat="false" ht="15" hidden="false" customHeight="false" outlineLevel="0" collapsed="false">
      <c r="A133" s="21" t="str">
        <f aca="false">IF(B133="","",COUNTA($B$5:B133))</f>
        <v/>
      </c>
      <c r="B133" s="22"/>
      <c r="C133" s="23"/>
      <c r="D133" s="24"/>
      <c r="E133" s="7" t="str">
        <f aca="false">IF(D133="","",IFERROR(INDEX(코드관리!$C$7:$C$66,MATCH(D133,코드관리!$B$7:$B$66,0)),"미등록 코드"))</f>
        <v/>
      </c>
      <c r="F133" s="22"/>
      <c r="G133" s="22"/>
      <c r="H133" s="23"/>
      <c r="I133" s="25"/>
      <c r="J133" s="26"/>
      <c r="K133" s="25"/>
      <c r="L133" s="8" t="str">
        <f aca="false">IF(J133="","",IF(I133="USD",ROUND(J133*설정!$C$4,0),J133))</f>
        <v/>
      </c>
      <c r="M133" s="8" t="str">
        <f aca="false">IF(L133="","",IF(AND(H133="과세",K133="VAT포함"),ROUND(L133/(1+설정!$C$5),0),L133))</f>
        <v/>
      </c>
      <c r="N133" s="8" t="str">
        <f aca="false">IF(L133="","",IF(H133="과세",IF(K133="VAT포함",L133-M133,ROUND(M133*설정!$C$5,0)),0))</f>
        <v/>
      </c>
      <c r="O133" s="8" t="str">
        <f aca="false">IF(L133="","",M133+N133)</f>
        <v/>
      </c>
      <c r="P133" s="25"/>
      <c r="Q133" s="8" t="str">
        <f aca="false">IF(OR(L133="",P133&lt;&gt;"Y"),"",ROUND(M133*설정!$C$5,0))</f>
        <v/>
      </c>
      <c r="R133" s="22"/>
    </row>
    <row r="134" customFormat="false" ht="15" hidden="false" customHeight="false" outlineLevel="0" collapsed="false">
      <c r="A134" s="21" t="str">
        <f aca="false">IF(B134="","",COUNTA($B$5:B134))</f>
        <v/>
      </c>
      <c r="B134" s="22"/>
      <c r="C134" s="23"/>
      <c r="D134" s="24"/>
      <c r="E134" s="7" t="str">
        <f aca="false">IF(D134="","",IFERROR(INDEX(코드관리!$C$7:$C$66,MATCH(D134,코드관리!$B$7:$B$66,0)),"미등록 코드"))</f>
        <v/>
      </c>
      <c r="F134" s="22"/>
      <c r="G134" s="22"/>
      <c r="H134" s="23"/>
      <c r="I134" s="25"/>
      <c r="J134" s="26"/>
      <c r="K134" s="25"/>
      <c r="L134" s="8" t="str">
        <f aca="false">IF(J134="","",IF(I134="USD",ROUND(J134*설정!$C$4,0),J134))</f>
        <v/>
      </c>
      <c r="M134" s="8" t="str">
        <f aca="false">IF(L134="","",IF(AND(H134="과세",K134="VAT포함"),ROUND(L134/(1+설정!$C$5),0),L134))</f>
        <v/>
      </c>
      <c r="N134" s="8" t="str">
        <f aca="false">IF(L134="","",IF(H134="과세",IF(K134="VAT포함",L134-M134,ROUND(M134*설정!$C$5,0)),0))</f>
        <v/>
      </c>
      <c r="O134" s="8" t="str">
        <f aca="false">IF(L134="","",M134+N134)</f>
        <v/>
      </c>
      <c r="P134" s="25"/>
      <c r="Q134" s="8" t="str">
        <f aca="false">IF(OR(L134="",P134&lt;&gt;"Y"),"",ROUND(M134*설정!$C$5,0))</f>
        <v/>
      </c>
      <c r="R134" s="22"/>
    </row>
    <row r="135" customFormat="false" ht="15" hidden="false" customHeight="false" outlineLevel="0" collapsed="false">
      <c r="A135" s="21" t="str">
        <f aca="false">IF(B135="","",COUNTA($B$5:B135))</f>
        <v/>
      </c>
      <c r="B135" s="22"/>
      <c r="C135" s="23"/>
      <c r="D135" s="24"/>
      <c r="E135" s="7" t="str">
        <f aca="false">IF(D135="","",IFERROR(INDEX(코드관리!$C$7:$C$66,MATCH(D135,코드관리!$B$7:$B$66,0)),"미등록 코드"))</f>
        <v/>
      </c>
      <c r="F135" s="22"/>
      <c r="G135" s="22"/>
      <c r="H135" s="23"/>
      <c r="I135" s="25"/>
      <c r="J135" s="26"/>
      <c r="K135" s="25"/>
      <c r="L135" s="8" t="str">
        <f aca="false">IF(J135="","",IF(I135="USD",ROUND(J135*설정!$C$4,0),J135))</f>
        <v/>
      </c>
      <c r="M135" s="8" t="str">
        <f aca="false">IF(L135="","",IF(AND(H135="과세",K135="VAT포함"),ROUND(L135/(1+설정!$C$5),0),L135))</f>
        <v/>
      </c>
      <c r="N135" s="8" t="str">
        <f aca="false">IF(L135="","",IF(H135="과세",IF(K135="VAT포함",L135-M135,ROUND(M135*설정!$C$5,0)),0))</f>
        <v/>
      </c>
      <c r="O135" s="8" t="str">
        <f aca="false">IF(L135="","",M135+N135)</f>
        <v/>
      </c>
      <c r="P135" s="25"/>
      <c r="Q135" s="8" t="str">
        <f aca="false">IF(OR(L135="",P135&lt;&gt;"Y"),"",ROUND(M135*설정!$C$5,0))</f>
        <v/>
      </c>
      <c r="R135" s="22"/>
    </row>
    <row r="136" customFormat="false" ht="15" hidden="false" customHeight="false" outlineLevel="0" collapsed="false">
      <c r="A136" s="21" t="str">
        <f aca="false">IF(B136="","",COUNTA($B$5:B136))</f>
        <v/>
      </c>
      <c r="B136" s="22"/>
      <c r="C136" s="23"/>
      <c r="D136" s="24"/>
      <c r="E136" s="7" t="str">
        <f aca="false">IF(D136="","",IFERROR(INDEX(코드관리!$C$7:$C$66,MATCH(D136,코드관리!$B$7:$B$66,0)),"미등록 코드"))</f>
        <v/>
      </c>
      <c r="F136" s="22"/>
      <c r="G136" s="22"/>
      <c r="H136" s="23"/>
      <c r="I136" s="25"/>
      <c r="J136" s="26"/>
      <c r="K136" s="25"/>
      <c r="L136" s="8" t="str">
        <f aca="false">IF(J136="","",IF(I136="USD",ROUND(J136*설정!$C$4,0),J136))</f>
        <v/>
      </c>
      <c r="M136" s="8" t="str">
        <f aca="false">IF(L136="","",IF(AND(H136="과세",K136="VAT포함"),ROUND(L136/(1+설정!$C$5),0),L136))</f>
        <v/>
      </c>
      <c r="N136" s="8" t="str">
        <f aca="false">IF(L136="","",IF(H136="과세",IF(K136="VAT포함",L136-M136,ROUND(M136*설정!$C$5,0)),0))</f>
        <v/>
      </c>
      <c r="O136" s="8" t="str">
        <f aca="false">IF(L136="","",M136+N136)</f>
        <v/>
      </c>
      <c r="P136" s="25"/>
      <c r="Q136" s="8" t="str">
        <f aca="false">IF(OR(L136="",P136&lt;&gt;"Y"),"",ROUND(M136*설정!$C$5,0))</f>
        <v/>
      </c>
      <c r="R136" s="22"/>
    </row>
    <row r="137" customFormat="false" ht="15" hidden="false" customHeight="false" outlineLevel="0" collapsed="false">
      <c r="A137" s="21" t="str">
        <f aca="false">IF(B137="","",COUNTA($B$5:B137))</f>
        <v/>
      </c>
      <c r="B137" s="22"/>
      <c r="C137" s="23"/>
      <c r="D137" s="24"/>
      <c r="E137" s="7" t="str">
        <f aca="false">IF(D137="","",IFERROR(INDEX(코드관리!$C$7:$C$66,MATCH(D137,코드관리!$B$7:$B$66,0)),"미등록 코드"))</f>
        <v/>
      </c>
      <c r="F137" s="22"/>
      <c r="G137" s="22"/>
      <c r="H137" s="23"/>
      <c r="I137" s="25"/>
      <c r="J137" s="26"/>
      <c r="K137" s="25"/>
      <c r="L137" s="8" t="str">
        <f aca="false">IF(J137="","",IF(I137="USD",ROUND(J137*설정!$C$4,0),J137))</f>
        <v/>
      </c>
      <c r="M137" s="8" t="str">
        <f aca="false">IF(L137="","",IF(AND(H137="과세",K137="VAT포함"),ROUND(L137/(1+설정!$C$5),0),L137))</f>
        <v/>
      </c>
      <c r="N137" s="8" t="str">
        <f aca="false">IF(L137="","",IF(H137="과세",IF(K137="VAT포함",L137-M137,ROUND(M137*설정!$C$5,0)),0))</f>
        <v/>
      </c>
      <c r="O137" s="8" t="str">
        <f aca="false">IF(L137="","",M137+N137)</f>
        <v/>
      </c>
      <c r="P137" s="25"/>
      <c r="Q137" s="8" t="str">
        <f aca="false">IF(OR(L137="",P137&lt;&gt;"Y"),"",ROUND(M137*설정!$C$5,0))</f>
        <v/>
      </c>
      <c r="R137" s="22"/>
    </row>
    <row r="138" customFormat="false" ht="15" hidden="false" customHeight="false" outlineLevel="0" collapsed="false">
      <c r="A138" s="21" t="str">
        <f aca="false">IF(B138="","",COUNTA($B$5:B138))</f>
        <v/>
      </c>
      <c r="B138" s="22"/>
      <c r="C138" s="23"/>
      <c r="D138" s="24"/>
      <c r="E138" s="7" t="str">
        <f aca="false">IF(D138="","",IFERROR(INDEX(코드관리!$C$7:$C$66,MATCH(D138,코드관리!$B$7:$B$66,0)),"미등록 코드"))</f>
        <v/>
      </c>
      <c r="F138" s="22"/>
      <c r="G138" s="22"/>
      <c r="H138" s="23"/>
      <c r="I138" s="25"/>
      <c r="J138" s="26"/>
      <c r="K138" s="25"/>
      <c r="L138" s="8" t="str">
        <f aca="false">IF(J138="","",IF(I138="USD",ROUND(J138*설정!$C$4,0),J138))</f>
        <v/>
      </c>
      <c r="M138" s="8" t="str">
        <f aca="false">IF(L138="","",IF(AND(H138="과세",K138="VAT포함"),ROUND(L138/(1+설정!$C$5),0),L138))</f>
        <v/>
      </c>
      <c r="N138" s="8" t="str">
        <f aca="false">IF(L138="","",IF(H138="과세",IF(K138="VAT포함",L138-M138,ROUND(M138*설정!$C$5,0)),0))</f>
        <v/>
      </c>
      <c r="O138" s="8" t="str">
        <f aca="false">IF(L138="","",M138+N138)</f>
        <v/>
      </c>
      <c r="P138" s="25"/>
      <c r="Q138" s="8" t="str">
        <f aca="false">IF(OR(L138="",P138&lt;&gt;"Y"),"",ROUND(M138*설정!$C$5,0))</f>
        <v/>
      </c>
      <c r="R138" s="22"/>
    </row>
    <row r="139" customFormat="false" ht="15" hidden="false" customHeight="false" outlineLevel="0" collapsed="false">
      <c r="A139" s="21" t="str">
        <f aca="false">IF(B139="","",COUNTA($B$5:B139))</f>
        <v/>
      </c>
      <c r="B139" s="22"/>
      <c r="C139" s="23"/>
      <c r="D139" s="24"/>
      <c r="E139" s="7" t="str">
        <f aca="false">IF(D139="","",IFERROR(INDEX(코드관리!$C$7:$C$66,MATCH(D139,코드관리!$B$7:$B$66,0)),"미등록 코드"))</f>
        <v/>
      </c>
      <c r="F139" s="22"/>
      <c r="G139" s="22"/>
      <c r="H139" s="23"/>
      <c r="I139" s="25"/>
      <c r="J139" s="26"/>
      <c r="K139" s="25"/>
      <c r="L139" s="8" t="str">
        <f aca="false">IF(J139="","",IF(I139="USD",ROUND(J139*설정!$C$4,0),J139))</f>
        <v/>
      </c>
      <c r="M139" s="8" t="str">
        <f aca="false">IF(L139="","",IF(AND(H139="과세",K139="VAT포함"),ROUND(L139/(1+설정!$C$5),0),L139))</f>
        <v/>
      </c>
      <c r="N139" s="8" t="str">
        <f aca="false">IF(L139="","",IF(H139="과세",IF(K139="VAT포함",L139-M139,ROUND(M139*설정!$C$5,0)),0))</f>
        <v/>
      </c>
      <c r="O139" s="8" t="str">
        <f aca="false">IF(L139="","",M139+N139)</f>
        <v/>
      </c>
      <c r="P139" s="25"/>
      <c r="Q139" s="8" t="str">
        <f aca="false">IF(OR(L139="",P139&lt;&gt;"Y"),"",ROUND(M139*설정!$C$5,0))</f>
        <v/>
      </c>
      <c r="R139" s="22"/>
    </row>
    <row r="140" customFormat="false" ht="15" hidden="false" customHeight="false" outlineLevel="0" collapsed="false">
      <c r="A140" s="21" t="str">
        <f aca="false">IF(B140="","",COUNTA($B$5:B140))</f>
        <v/>
      </c>
      <c r="B140" s="22"/>
      <c r="C140" s="23"/>
      <c r="D140" s="24"/>
      <c r="E140" s="7" t="str">
        <f aca="false">IF(D140="","",IFERROR(INDEX(코드관리!$C$7:$C$66,MATCH(D140,코드관리!$B$7:$B$66,0)),"미등록 코드"))</f>
        <v/>
      </c>
      <c r="F140" s="22"/>
      <c r="G140" s="22"/>
      <c r="H140" s="23"/>
      <c r="I140" s="25"/>
      <c r="J140" s="26"/>
      <c r="K140" s="25"/>
      <c r="L140" s="8" t="str">
        <f aca="false">IF(J140="","",IF(I140="USD",ROUND(J140*설정!$C$4,0),J140))</f>
        <v/>
      </c>
      <c r="M140" s="8" t="str">
        <f aca="false">IF(L140="","",IF(AND(H140="과세",K140="VAT포함"),ROUND(L140/(1+설정!$C$5),0),L140))</f>
        <v/>
      </c>
      <c r="N140" s="8" t="str">
        <f aca="false">IF(L140="","",IF(H140="과세",IF(K140="VAT포함",L140-M140,ROUND(M140*설정!$C$5,0)),0))</f>
        <v/>
      </c>
      <c r="O140" s="8" t="str">
        <f aca="false">IF(L140="","",M140+N140)</f>
        <v/>
      </c>
      <c r="P140" s="25"/>
      <c r="Q140" s="8" t="str">
        <f aca="false">IF(OR(L140="",P140&lt;&gt;"Y"),"",ROUND(M140*설정!$C$5,0))</f>
        <v/>
      </c>
      <c r="R140" s="22"/>
    </row>
    <row r="141" customFormat="false" ht="15" hidden="false" customHeight="false" outlineLevel="0" collapsed="false">
      <c r="A141" s="21" t="str">
        <f aca="false">IF(B141="","",COUNTA($B$5:B141))</f>
        <v/>
      </c>
      <c r="B141" s="22"/>
      <c r="C141" s="23"/>
      <c r="D141" s="24"/>
      <c r="E141" s="7" t="str">
        <f aca="false">IF(D141="","",IFERROR(INDEX(코드관리!$C$7:$C$66,MATCH(D141,코드관리!$B$7:$B$66,0)),"미등록 코드"))</f>
        <v/>
      </c>
      <c r="F141" s="22"/>
      <c r="G141" s="22"/>
      <c r="H141" s="23"/>
      <c r="I141" s="25"/>
      <c r="J141" s="26"/>
      <c r="K141" s="25"/>
      <c r="L141" s="8" t="str">
        <f aca="false">IF(J141="","",IF(I141="USD",ROUND(J141*설정!$C$4,0),J141))</f>
        <v/>
      </c>
      <c r="M141" s="8" t="str">
        <f aca="false">IF(L141="","",IF(AND(H141="과세",K141="VAT포함"),ROUND(L141/(1+설정!$C$5),0),L141))</f>
        <v/>
      </c>
      <c r="N141" s="8" t="str">
        <f aca="false">IF(L141="","",IF(H141="과세",IF(K141="VAT포함",L141-M141,ROUND(M141*설정!$C$5,0)),0))</f>
        <v/>
      </c>
      <c r="O141" s="8" t="str">
        <f aca="false">IF(L141="","",M141+N141)</f>
        <v/>
      </c>
      <c r="P141" s="25"/>
      <c r="Q141" s="8" t="str">
        <f aca="false">IF(OR(L141="",P141&lt;&gt;"Y"),"",ROUND(M141*설정!$C$5,0))</f>
        <v/>
      </c>
      <c r="R141" s="22"/>
    </row>
    <row r="142" customFormat="false" ht="15" hidden="false" customHeight="false" outlineLevel="0" collapsed="false">
      <c r="A142" s="21" t="str">
        <f aca="false">IF(B142="","",COUNTA($B$5:B142))</f>
        <v/>
      </c>
      <c r="B142" s="22"/>
      <c r="C142" s="23"/>
      <c r="D142" s="24"/>
      <c r="E142" s="7" t="str">
        <f aca="false">IF(D142="","",IFERROR(INDEX(코드관리!$C$7:$C$66,MATCH(D142,코드관리!$B$7:$B$66,0)),"미등록 코드"))</f>
        <v/>
      </c>
      <c r="F142" s="22"/>
      <c r="G142" s="22"/>
      <c r="H142" s="23"/>
      <c r="I142" s="25"/>
      <c r="J142" s="26"/>
      <c r="K142" s="25"/>
      <c r="L142" s="8" t="str">
        <f aca="false">IF(J142="","",IF(I142="USD",ROUND(J142*설정!$C$4,0),J142))</f>
        <v/>
      </c>
      <c r="M142" s="8" t="str">
        <f aca="false">IF(L142="","",IF(AND(H142="과세",K142="VAT포함"),ROUND(L142/(1+설정!$C$5),0),L142))</f>
        <v/>
      </c>
      <c r="N142" s="8" t="str">
        <f aca="false">IF(L142="","",IF(H142="과세",IF(K142="VAT포함",L142-M142,ROUND(M142*설정!$C$5,0)),0))</f>
        <v/>
      </c>
      <c r="O142" s="8" t="str">
        <f aca="false">IF(L142="","",M142+N142)</f>
        <v/>
      </c>
      <c r="P142" s="25"/>
      <c r="Q142" s="8" t="str">
        <f aca="false">IF(OR(L142="",P142&lt;&gt;"Y"),"",ROUND(M142*설정!$C$5,0))</f>
        <v/>
      </c>
      <c r="R142" s="22"/>
    </row>
    <row r="143" customFormat="false" ht="15" hidden="false" customHeight="false" outlineLevel="0" collapsed="false">
      <c r="A143" s="21" t="str">
        <f aca="false">IF(B143="","",COUNTA($B$5:B143))</f>
        <v/>
      </c>
      <c r="B143" s="22"/>
      <c r="C143" s="23"/>
      <c r="D143" s="24"/>
      <c r="E143" s="7" t="str">
        <f aca="false">IF(D143="","",IFERROR(INDEX(코드관리!$C$7:$C$66,MATCH(D143,코드관리!$B$7:$B$66,0)),"미등록 코드"))</f>
        <v/>
      </c>
      <c r="F143" s="22"/>
      <c r="G143" s="22"/>
      <c r="H143" s="23"/>
      <c r="I143" s="25"/>
      <c r="J143" s="26"/>
      <c r="K143" s="25"/>
      <c r="L143" s="8" t="str">
        <f aca="false">IF(J143="","",IF(I143="USD",ROUND(J143*설정!$C$4,0),J143))</f>
        <v/>
      </c>
      <c r="M143" s="8" t="str">
        <f aca="false">IF(L143="","",IF(AND(H143="과세",K143="VAT포함"),ROUND(L143/(1+설정!$C$5),0),L143))</f>
        <v/>
      </c>
      <c r="N143" s="8" t="str">
        <f aca="false">IF(L143="","",IF(H143="과세",IF(K143="VAT포함",L143-M143,ROUND(M143*설정!$C$5,0)),0))</f>
        <v/>
      </c>
      <c r="O143" s="8" t="str">
        <f aca="false">IF(L143="","",M143+N143)</f>
        <v/>
      </c>
      <c r="P143" s="25"/>
      <c r="Q143" s="8" t="str">
        <f aca="false">IF(OR(L143="",P143&lt;&gt;"Y"),"",ROUND(M143*설정!$C$5,0))</f>
        <v/>
      </c>
      <c r="R143" s="22"/>
    </row>
    <row r="144" customFormat="false" ht="15" hidden="false" customHeight="false" outlineLevel="0" collapsed="false">
      <c r="A144" s="21" t="str">
        <f aca="false">IF(B144="","",COUNTA($B$5:B144))</f>
        <v/>
      </c>
      <c r="B144" s="22"/>
      <c r="C144" s="23"/>
      <c r="D144" s="24"/>
      <c r="E144" s="7" t="str">
        <f aca="false">IF(D144="","",IFERROR(INDEX(코드관리!$C$7:$C$66,MATCH(D144,코드관리!$B$7:$B$66,0)),"미등록 코드"))</f>
        <v/>
      </c>
      <c r="F144" s="22"/>
      <c r="G144" s="22"/>
      <c r="H144" s="23"/>
      <c r="I144" s="25"/>
      <c r="J144" s="26"/>
      <c r="K144" s="25"/>
      <c r="L144" s="8" t="str">
        <f aca="false">IF(J144="","",IF(I144="USD",ROUND(J144*설정!$C$4,0),J144))</f>
        <v/>
      </c>
      <c r="M144" s="8" t="str">
        <f aca="false">IF(L144="","",IF(AND(H144="과세",K144="VAT포함"),ROUND(L144/(1+설정!$C$5),0),L144))</f>
        <v/>
      </c>
      <c r="N144" s="8" t="str">
        <f aca="false">IF(L144="","",IF(H144="과세",IF(K144="VAT포함",L144-M144,ROUND(M144*설정!$C$5,0)),0))</f>
        <v/>
      </c>
      <c r="O144" s="8" t="str">
        <f aca="false">IF(L144="","",M144+N144)</f>
        <v/>
      </c>
      <c r="P144" s="25"/>
      <c r="Q144" s="8" t="str">
        <f aca="false">IF(OR(L144="",P144&lt;&gt;"Y"),"",ROUND(M144*설정!$C$5,0))</f>
        <v/>
      </c>
      <c r="R144" s="22"/>
    </row>
    <row r="145" customFormat="false" ht="15" hidden="false" customHeight="false" outlineLevel="0" collapsed="false">
      <c r="A145" s="21" t="str">
        <f aca="false">IF(B145="","",COUNTA($B$5:B145))</f>
        <v/>
      </c>
      <c r="B145" s="22"/>
      <c r="C145" s="23"/>
      <c r="D145" s="24"/>
      <c r="E145" s="7" t="str">
        <f aca="false">IF(D145="","",IFERROR(INDEX(코드관리!$C$7:$C$66,MATCH(D145,코드관리!$B$7:$B$66,0)),"미등록 코드"))</f>
        <v/>
      </c>
      <c r="F145" s="22"/>
      <c r="G145" s="22"/>
      <c r="H145" s="23"/>
      <c r="I145" s="25"/>
      <c r="J145" s="26"/>
      <c r="K145" s="25"/>
      <c r="L145" s="8" t="str">
        <f aca="false">IF(J145="","",IF(I145="USD",ROUND(J145*설정!$C$4,0),J145))</f>
        <v/>
      </c>
      <c r="M145" s="8" t="str">
        <f aca="false">IF(L145="","",IF(AND(H145="과세",K145="VAT포함"),ROUND(L145/(1+설정!$C$5),0),L145))</f>
        <v/>
      </c>
      <c r="N145" s="8" t="str">
        <f aca="false">IF(L145="","",IF(H145="과세",IF(K145="VAT포함",L145-M145,ROUND(M145*설정!$C$5,0)),0))</f>
        <v/>
      </c>
      <c r="O145" s="8" t="str">
        <f aca="false">IF(L145="","",M145+N145)</f>
        <v/>
      </c>
      <c r="P145" s="25"/>
      <c r="Q145" s="8" t="str">
        <f aca="false">IF(OR(L145="",P145&lt;&gt;"Y"),"",ROUND(M145*설정!$C$5,0))</f>
        <v/>
      </c>
      <c r="R145" s="22"/>
    </row>
    <row r="146" customFormat="false" ht="15" hidden="false" customHeight="false" outlineLevel="0" collapsed="false">
      <c r="A146" s="21" t="str">
        <f aca="false">IF(B146="","",COUNTA($B$5:B146))</f>
        <v/>
      </c>
      <c r="B146" s="22"/>
      <c r="C146" s="23"/>
      <c r="D146" s="24"/>
      <c r="E146" s="7" t="str">
        <f aca="false">IF(D146="","",IFERROR(INDEX(코드관리!$C$7:$C$66,MATCH(D146,코드관리!$B$7:$B$66,0)),"미등록 코드"))</f>
        <v/>
      </c>
      <c r="F146" s="22"/>
      <c r="G146" s="22"/>
      <c r="H146" s="23"/>
      <c r="I146" s="25"/>
      <c r="J146" s="26"/>
      <c r="K146" s="25"/>
      <c r="L146" s="8" t="str">
        <f aca="false">IF(J146="","",IF(I146="USD",ROUND(J146*설정!$C$4,0),J146))</f>
        <v/>
      </c>
      <c r="M146" s="8" t="str">
        <f aca="false">IF(L146="","",IF(AND(H146="과세",K146="VAT포함"),ROUND(L146/(1+설정!$C$5),0),L146))</f>
        <v/>
      </c>
      <c r="N146" s="8" t="str">
        <f aca="false">IF(L146="","",IF(H146="과세",IF(K146="VAT포함",L146-M146,ROUND(M146*설정!$C$5,0)),0))</f>
        <v/>
      </c>
      <c r="O146" s="8" t="str">
        <f aca="false">IF(L146="","",M146+N146)</f>
        <v/>
      </c>
      <c r="P146" s="25"/>
      <c r="Q146" s="8" t="str">
        <f aca="false">IF(OR(L146="",P146&lt;&gt;"Y"),"",ROUND(M146*설정!$C$5,0))</f>
        <v/>
      </c>
      <c r="R146" s="22"/>
    </row>
    <row r="147" customFormat="false" ht="15" hidden="false" customHeight="false" outlineLevel="0" collapsed="false">
      <c r="A147" s="21" t="str">
        <f aca="false">IF(B147="","",COUNTA($B$5:B147))</f>
        <v/>
      </c>
      <c r="B147" s="22"/>
      <c r="C147" s="23"/>
      <c r="D147" s="24"/>
      <c r="E147" s="7" t="str">
        <f aca="false">IF(D147="","",IFERROR(INDEX(코드관리!$C$7:$C$66,MATCH(D147,코드관리!$B$7:$B$66,0)),"미등록 코드"))</f>
        <v/>
      </c>
      <c r="F147" s="22"/>
      <c r="G147" s="22"/>
      <c r="H147" s="23"/>
      <c r="I147" s="25"/>
      <c r="J147" s="26"/>
      <c r="K147" s="25"/>
      <c r="L147" s="8" t="str">
        <f aca="false">IF(J147="","",IF(I147="USD",ROUND(J147*설정!$C$4,0),J147))</f>
        <v/>
      </c>
      <c r="M147" s="8" t="str">
        <f aca="false">IF(L147="","",IF(AND(H147="과세",K147="VAT포함"),ROUND(L147/(1+설정!$C$5),0),L147))</f>
        <v/>
      </c>
      <c r="N147" s="8" t="str">
        <f aca="false">IF(L147="","",IF(H147="과세",IF(K147="VAT포함",L147-M147,ROUND(M147*설정!$C$5,0)),0))</f>
        <v/>
      </c>
      <c r="O147" s="8" t="str">
        <f aca="false">IF(L147="","",M147+N147)</f>
        <v/>
      </c>
      <c r="P147" s="25"/>
      <c r="Q147" s="8" t="str">
        <f aca="false">IF(OR(L147="",P147&lt;&gt;"Y"),"",ROUND(M147*설정!$C$5,0))</f>
        <v/>
      </c>
      <c r="R147" s="22"/>
    </row>
    <row r="148" customFormat="false" ht="15" hidden="false" customHeight="false" outlineLevel="0" collapsed="false">
      <c r="A148" s="21" t="str">
        <f aca="false">IF(B148="","",COUNTA($B$5:B148))</f>
        <v/>
      </c>
      <c r="B148" s="22"/>
      <c r="C148" s="23"/>
      <c r="D148" s="24"/>
      <c r="E148" s="7" t="str">
        <f aca="false">IF(D148="","",IFERROR(INDEX(코드관리!$C$7:$C$66,MATCH(D148,코드관리!$B$7:$B$66,0)),"미등록 코드"))</f>
        <v/>
      </c>
      <c r="F148" s="22"/>
      <c r="G148" s="22"/>
      <c r="H148" s="23"/>
      <c r="I148" s="25"/>
      <c r="J148" s="26"/>
      <c r="K148" s="25"/>
      <c r="L148" s="8" t="str">
        <f aca="false">IF(J148="","",IF(I148="USD",ROUND(J148*설정!$C$4,0),J148))</f>
        <v/>
      </c>
      <c r="M148" s="8" t="str">
        <f aca="false">IF(L148="","",IF(AND(H148="과세",K148="VAT포함"),ROUND(L148/(1+설정!$C$5),0),L148))</f>
        <v/>
      </c>
      <c r="N148" s="8" t="str">
        <f aca="false">IF(L148="","",IF(H148="과세",IF(K148="VAT포함",L148-M148,ROUND(M148*설정!$C$5,0)),0))</f>
        <v/>
      </c>
      <c r="O148" s="8" t="str">
        <f aca="false">IF(L148="","",M148+N148)</f>
        <v/>
      </c>
      <c r="P148" s="25"/>
      <c r="Q148" s="8" t="str">
        <f aca="false">IF(OR(L148="",P148&lt;&gt;"Y"),"",ROUND(M148*설정!$C$5,0))</f>
        <v/>
      </c>
      <c r="R148" s="22"/>
    </row>
    <row r="149" customFormat="false" ht="15" hidden="false" customHeight="false" outlineLevel="0" collapsed="false">
      <c r="A149" s="21" t="str">
        <f aca="false">IF(B149="","",COUNTA($B$5:B149))</f>
        <v/>
      </c>
      <c r="B149" s="22"/>
      <c r="C149" s="23"/>
      <c r="D149" s="24"/>
      <c r="E149" s="7" t="str">
        <f aca="false">IF(D149="","",IFERROR(INDEX(코드관리!$C$7:$C$66,MATCH(D149,코드관리!$B$7:$B$66,0)),"미등록 코드"))</f>
        <v/>
      </c>
      <c r="F149" s="22"/>
      <c r="G149" s="22"/>
      <c r="H149" s="23"/>
      <c r="I149" s="25"/>
      <c r="J149" s="26"/>
      <c r="K149" s="25"/>
      <c r="L149" s="8" t="str">
        <f aca="false">IF(J149="","",IF(I149="USD",ROUND(J149*설정!$C$4,0),J149))</f>
        <v/>
      </c>
      <c r="M149" s="8" t="str">
        <f aca="false">IF(L149="","",IF(AND(H149="과세",K149="VAT포함"),ROUND(L149/(1+설정!$C$5),0),L149))</f>
        <v/>
      </c>
      <c r="N149" s="8" t="str">
        <f aca="false">IF(L149="","",IF(H149="과세",IF(K149="VAT포함",L149-M149,ROUND(M149*설정!$C$5,0)),0))</f>
        <v/>
      </c>
      <c r="O149" s="8" t="str">
        <f aca="false">IF(L149="","",M149+N149)</f>
        <v/>
      </c>
      <c r="P149" s="25"/>
      <c r="Q149" s="8" t="str">
        <f aca="false">IF(OR(L149="",P149&lt;&gt;"Y"),"",ROUND(M149*설정!$C$5,0))</f>
        <v/>
      </c>
      <c r="R149" s="22"/>
    </row>
    <row r="150" customFormat="false" ht="15" hidden="false" customHeight="false" outlineLevel="0" collapsed="false">
      <c r="A150" s="21" t="str">
        <f aca="false">IF(B150="","",COUNTA($B$5:B150))</f>
        <v/>
      </c>
      <c r="B150" s="22"/>
      <c r="C150" s="23"/>
      <c r="D150" s="24"/>
      <c r="E150" s="7" t="str">
        <f aca="false">IF(D150="","",IFERROR(INDEX(코드관리!$C$7:$C$66,MATCH(D150,코드관리!$B$7:$B$66,0)),"미등록 코드"))</f>
        <v/>
      </c>
      <c r="F150" s="22"/>
      <c r="G150" s="22"/>
      <c r="H150" s="23"/>
      <c r="I150" s="25"/>
      <c r="J150" s="26"/>
      <c r="K150" s="25"/>
      <c r="L150" s="8" t="str">
        <f aca="false">IF(J150="","",IF(I150="USD",ROUND(J150*설정!$C$4,0),J150))</f>
        <v/>
      </c>
      <c r="M150" s="8" t="str">
        <f aca="false">IF(L150="","",IF(AND(H150="과세",K150="VAT포함"),ROUND(L150/(1+설정!$C$5),0),L150))</f>
        <v/>
      </c>
      <c r="N150" s="8" t="str">
        <f aca="false">IF(L150="","",IF(H150="과세",IF(K150="VAT포함",L150-M150,ROUND(M150*설정!$C$5,0)),0))</f>
        <v/>
      </c>
      <c r="O150" s="8" t="str">
        <f aca="false">IF(L150="","",M150+N150)</f>
        <v/>
      </c>
      <c r="P150" s="25"/>
      <c r="Q150" s="8" t="str">
        <f aca="false">IF(OR(L150="",P150&lt;&gt;"Y"),"",ROUND(M150*설정!$C$5,0))</f>
        <v/>
      </c>
      <c r="R150" s="22"/>
    </row>
    <row r="151" customFormat="false" ht="15" hidden="false" customHeight="false" outlineLevel="0" collapsed="false">
      <c r="A151" s="21" t="str">
        <f aca="false">IF(B151="","",COUNTA($B$5:B151))</f>
        <v/>
      </c>
      <c r="B151" s="22"/>
      <c r="C151" s="23"/>
      <c r="D151" s="24"/>
      <c r="E151" s="7" t="str">
        <f aca="false">IF(D151="","",IFERROR(INDEX(코드관리!$C$7:$C$66,MATCH(D151,코드관리!$B$7:$B$66,0)),"미등록 코드"))</f>
        <v/>
      </c>
      <c r="F151" s="22"/>
      <c r="G151" s="22"/>
      <c r="H151" s="23"/>
      <c r="I151" s="25"/>
      <c r="J151" s="26"/>
      <c r="K151" s="25"/>
      <c r="L151" s="8" t="str">
        <f aca="false">IF(J151="","",IF(I151="USD",ROUND(J151*설정!$C$4,0),J151))</f>
        <v/>
      </c>
      <c r="M151" s="8" t="str">
        <f aca="false">IF(L151="","",IF(AND(H151="과세",K151="VAT포함"),ROUND(L151/(1+설정!$C$5),0),L151))</f>
        <v/>
      </c>
      <c r="N151" s="8" t="str">
        <f aca="false">IF(L151="","",IF(H151="과세",IF(K151="VAT포함",L151-M151,ROUND(M151*설정!$C$5,0)),0))</f>
        <v/>
      </c>
      <c r="O151" s="8" t="str">
        <f aca="false">IF(L151="","",M151+N151)</f>
        <v/>
      </c>
      <c r="P151" s="25"/>
      <c r="Q151" s="8" t="str">
        <f aca="false">IF(OR(L151="",P151&lt;&gt;"Y"),"",ROUND(M151*설정!$C$5,0))</f>
        <v/>
      </c>
      <c r="R151" s="22"/>
    </row>
    <row r="152" customFormat="false" ht="15" hidden="false" customHeight="false" outlineLevel="0" collapsed="false">
      <c r="A152" s="21" t="str">
        <f aca="false">IF(B152="","",COUNTA($B$5:B152))</f>
        <v/>
      </c>
      <c r="B152" s="22"/>
      <c r="C152" s="23"/>
      <c r="D152" s="24"/>
      <c r="E152" s="7" t="str">
        <f aca="false">IF(D152="","",IFERROR(INDEX(코드관리!$C$7:$C$66,MATCH(D152,코드관리!$B$7:$B$66,0)),"미등록 코드"))</f>
        <v/>
      </c>
      <c r="F152" s="22"/>
      <c r="G152" s="22"/>
      <c r="H152" s="23"/>
      <c r="I152" s="25"/>
      <c r="J152" s="26"/>
      <c r="K152" s="25"/>
      <c r="L152" s="8" t="str">
        <f aca="false">IF(J152="","",IF(I152="USD",ROUND(J152*설정!$C$4,0),J152))</f>
        <v/>
      </c>
      <c r="M152" s="8" t="str">
        <f aca="false">IF(L152="","",IF(AND(H152="과세",K152="VAT포함"),ROUND(L152/(1+설정!$C$5),0),L152))</f>
        <v/>
      </c>
      <c r="N152" s="8" t="str">
        <f aca="false">IF(L152="","",IF(H152="과세",IF(K152="VAT포함",L152-M152,ROUND(M152*설정!$C$5,0)),0))</f>
        <v/>
      </c>
      <c r="O152" s="8" t="str">
        <f aca="false">IF(L152="","",M152+N152)</f>
        <v/>
      </c>
      <c r="P152" s="25"/>
      <c r="Q152" s="8" t="str">
        <f aca="false">IF(OR(L152="",P152&lt;&gt;"Y"),"",ROUND(M152*설정!$C$5,0))</f>
        <v/>
      </c>
      <c r="R152" s="22"/>
    </row>
    <row r="153" customFormat="false" ht="15" hidden="false" customHeight="false" outlineLevel="0" collapsed="false">
      <c r="A153" s="21" t="str">
        <f aca="false">IF(B153="","",COUNTA($B$5:B153))</f>
        <v/>
      </c>
      <c r="B153" s="22"/>
      <c r="C153" s="23"/>
      <c r="D153" s="24"/>
      <c r="E153" s="7" t="str">
        <f aca="false">IF(D153="","",IFERROR(INDEX(코드관리!$C$7:$C$66,MATCH(D153,코드관리!$B$7:$B$66,0)),"미등록 코드"))</f>
        <v/>
      </c>
      <c r="F153" s="22"/>
      <c r="G153" s="22"/>
      <c r="H153" s="23"/>
      <c r="I153" s="25"/>
      <c r="J153" s="26"/>
      <c r="K153" s="25"/>
      <c r="L153" s="8" t="str">
        <f aca="false">IF(J153="","",IF(I153="USD",ROUND(J153*설정!$C$4,0),J153))</f>
        <v/>
      </c>
      <c r="M153" s="8" t="str">
        <f aca="false">IF(L153="","",IF(AND(H153="과세",K153="VAT포함"),ROUND(L153/(1+설정!$C$5),0),L153))</f>
        <v/>
      </c>
      <c r="N153" s="8" t="str">
        <f aca="false">IF(L153="","",IF(H153="과세",IF(K153="VAT포함",L153-M153,ROUND(M153*설정!$C$5,0)),0))</f>
        <v/>
      </c>
      <c r="O153" s="8" t="str">
        <f aca="false">IF(L153="","",M153+N153)</f>
        <v/>
      </c>
      <c r="P153" s="25"/>
      <c r="Q153" s="8" t="str">
        <f aca="false">IF(OR(L153="",P153&lt;&gt;"Y"),"",ROUND(M153*설정!$C$5,0))</f>
        <v/>
      </c>
      <c r="R153" s="22"/>
    </row>
    <row r="154" customFormat="false" ht="15" hidden="false" customHeight="false" outlineLevel="0" collapsed="false">
      <c r="A154" s="21" t="str">
        <f aca="false">IF(B154="","",COUNTA($B$5:B154))</f>
        <v/>
      </c>
      <c r="B154" s="22"/>
      <c r="C154" s="23"/>
      <c r="D154" s="24"/>
      <c r="E154" s="7" t="str">
        <f aca="false">IF(D154="","",IFERROR(INDEX(코드관리!$C$7:$C$66,MATCH(D154,코드관리!$B$7:$B$66,0)),"미등록 코드"))</f>
        <v/>
      </c>
      <c r="F154" s="22"/>
      <c r="G154" s="22"/>
      <c r="H154" s="23"/>
      <c r="I154" s="25"/>
      <c r="J154" s="26"/>
      <c r="K154" s="25"/>
      <c r="L154" s="8" t="str">
        <f aca="false">IF(J154="","",IF(I154="USD",ROUND(J154*설정!$C$4,0),J154))</f>
        <v/>
      </c>
      <c r="M154" s="8" t="str">
        <f aca="false">IF(L154="","",IF(AND(H154="과세",K154="VAT포함"),ROUND(L154/(1+설정!$C$5),0),L154))</f>
        <v/>
      </c>
      <c r="N154" s="8" t="str">
        <f aca="false">IF(L154="","",IF(H154="과세",IF(K154="VAT포함",L154-M154,ROUND(M154*설정!$C$5,0)),0))</f>
        <v/>
      </c>
      <c r="O154" s="8" t="str">
        <f aca="false">IF(L154="","",M154+N154)</f>
        <v/>
      </c>
      <c r="P154" s="25"/>
      <c r="Q154" s="8" t="str">
        <f aca="false">IF(OR(L154="",P154&lt;&gt;"Y"),"",ROUND(M154*설정!$C$5,0))</f>
        <v/>
      </c>
      <c r="R154" s="22"/>
    </row>
    <row r="155" customFormat="false" ht="15" hidden="false" customHeight="false" outlineLevel="0" collapsed="false">
      <c r="A155" s="21" t="str">
        <f aca="false">IF(B155="","",COUNTA($B$5:B155))</f>
        <v/>
      </c>
      <c r="B155" s="22"/>
      <c r="C155" s="23"/>
      <c r="D155" s="24"/>
      <c r="E155" s="7" t="str">
        <f aca="false">IF(D155="","",IFERROR(INDEX(코드관리!$C$7:$C$66,MATCH(D155,코드관리!$B$7:$B$66,0)),"미등록 코드"))</f>
        <v/>
      </c>
      <c r="F155" s="22"/>
      <c r="G155" s="22"/>
      <c r="H155" s="23"/>
      <c r="I155" s="25"/>
      <c r="J155" s="26"/>
      <c r="K155" s="25"/>
      <c r="L155" s="8" t="str">
        <f aca="false">IF(J155="","",IF(I155="USD",ROUND(J155*설정!$C$4,0),J155))</f>
        <v/>
      </c>
      <c r="M155" s="8" t="str">
        <f aca="false">IF(L155="","",IF(AND(H155="과세",K155="VAT포함"),ROUND(L155/(1+설정!$C$5),0),L155))</f>
        <v/>
      </c>
      <c r="N155" s="8" t="str">
        <f aca="false">IF(L155="","",IF(H155="과세",IF(K155="VAT포함",L155-M155,ROUND(M155*설정!$C$5,0)),0))</f>
        <v/>
      </c>
      <c r="O155" s="8" t="str">
        <f aca="false">IF(L155="","",M155+N155)</f>
        <v/>
      </c>
      <c r="P155" s="25"/>
      <c r="Q155" s="8" t="str">
        <f aca="false">IF(OR(L155="",P155&lt;&gt;"Y"),"",ROUND(M155*설정!$C$5,0))</f>
        <v/>
      </c>
      <c r="R155" s="22"/>
    </row>
    <row r="156" customFormat="false" ht="15" hidden="false" customHeight="false" outlineLevel="0" collapsed="false">
      <c r="A156" s="21" t="str">
        <f aca="false">IF(B156="","",COUNTA($B$5:B156))</f>
        <v/>
      </c>
      <c r="B156" s="22"/>
      <c r="C156" s="23"/>
      <c r="D156" s="24"/>
      <c r="E156" s="7" t="str">
        <f aca="false">IF(D156="","",IFERROR(INDEX(코드관리!$C$7:$C$66,MATCH(D156,코드관리!$B$7:$B$66,0)),"미등록 코드"))</f>
        <v/>
      </c>
      <c r="F156" s="22"/>
      <c r="G156" s="22"/>
      <c r="H156" s="23"/>
      <c r="I156" s="25"/>
      <c r="J156" s="26"/>
      <c r="K156" s="25"/>
      <c r="L156" s="8" t="str">
        <f aca="false">IF(J156="","",IF(I156="USD",ROUND(J156*설정!$C$4,0),J156))</f>
        <v/>
      </c>
      <c r="M156" s="8" t="str">
        <f aca="false">IF(L156="","",IF(AND(H156="과세",K156="VAT포함"),ROUND(L156/(1+설정!$C$5),0),L156))</f>
        <v/>
      </c>
      <c r="N156" s="8" t="str">
        <f aca="false">IF(L156="","",IF(H156="과세",IF(K156="VAT포함",L156-M156,ROUND(M156*설정!$C$5,0)),0))</f>
        <v/>
      </c>
      <c r="O156" s="8" t="str">
        <f aca="false">IF(L156="","",M156+N156)</f>
        <v/>
      </c>
      <c r="P156" s="25"/>
      <c r="Q156" s="8" t="str">
        <f aca="false">IF(OR(L156="",P156&lt;&gt;"Y"),"",ROUND(M156*설정!$C$5,0))</f>
        <v/>
      </c>
      <c r="R156" s="22"/>
    </row>
    <row r="157" customFormat="false" ht="15" hidden="false" customHeight="false" outlineLevel="0" collapsed="false">
      <c r="A157" s="21" t="str">
        <f aca="false">IF(B157="","",COUNTA($B$5:B157))</f>
        <v/>
      </c>
      <c r="B157" s="22"/>
      <c r="C157" s="23"/>
      <c r="D157" s="24"/>
      <c r="E157" s="7" t="str">
        <f aca="false">IF(D157="","",IFERROR(INDEX(코드관리!$C$7:$C$66,MATCH(D157,코드관리!$B$7:$B$66,0)),"미등록 코드"))</f>
        <v/>
      </c>
      <c r="F157" s="22"/>
      <c r="G157" s="22"/>
      <c r="H157" s="23"/>
      <c r="I157" s="25"/>
      <c r="J157" s="26"/>
      <c r="K157" s="25"/>
      <c r="L157" s="8" t="str">
        <f aca="false">IF(J157="","",IF(I157="USD",ROUND(J157*설정!$C$4,0),J157))</f>
        <v/>
      </c>
      <c r="M157" s="8" t="str">
        <f aca="false">IF(L157="","",IF(AND(H157="과세",K157="VAT포함"),ROUND(L157/(1+설정!$C$5),0),L157))</f>
        <v/>
      </c>
      <c r="N157" s="8" t="str">
        <f aca="false">IF(L157="","",IF(H157="과세",IF(K157="VAT포함",L157-M157,ROUND(M157*설정!$C$5,0)),0))</f>
        <v/>
      </c>
      <c r="O157" s="8" t="str">
        <f aca="false">IF(L157="","",M157+N157)</f>
        <v/>
      </c>
      <c r="P157" s="25"/>
      <c r="Q157" s="8" t="str">
        <f aca="false">IF(OR(L157="",P157&lt;&gt;"Y"),"",ROUND(M157*설정!$C$5,0))</f>
        <v/>
      </c>
      <c r="R157" s="22"/>
    </row>
    <row r="158" customFormat="false" ht="15" hidden="false" customHeight="false" outlineLevel="0" collapsed="false">
      <c r="A158" s="21" t="str">
        <f aca="false">IF(B158="","",COUNTA($B$5:B158))</f>
        <v/>
      </c>
      <c r="B158" s="22"/>
      <c r="C158" s="23"/>
      <c r="D158" s="24"/>
      <c r="E158" s="7" t="str">
        <f aca="false">IF(D158="","",IFERROR(INDEX(코드관리!$C$7:$C$66,MATCH(D158,코드관리!$B$7:$B$66,0)),"미등록 코드"))</f>
        <v/>
      </c>
      <c r="F158" s="22"/>
      <c r="G158" s="22"/>
      <c r="H158" s="23"/>
      <c r="I158" s="25"/>
      <c r="J158" s="26"/>
      <c r="K158" s="25"/>
      <c r="L158" s="8" t="str">
        <f aca="false">IF(J158="","",IF(I158="USD",ROUND(J158*설정!$C$4,0),J158))</f>
        <v/>
      </c>
      <c r="M158" s="8" t="str">
        <f aca="false">IF(L158="","",IF(AND(H158="과세",K158="VAT포함"),ROUND(L158/(1+설정!$C$5),0),L158))</f>
        <v/>
      </c>
      <c r="N158" s="8" t="str">
        <f aca="false">IF(L158="","",IF(H158="과세",IF(K158="VAT포함",L158-M158,ROUND(M158*설정!$C$5,0)),0))</f>
        <v/>
      </c>
      <c r="O158" s="8" t="str">
        <f aca="false">IF(L158="","",M158+N158)</f>
        <v/>
      </c>
      <c r="P158" s="25"/>
      <c r="Q158" s="8" t="str">
        <f aca="false">IF(OR(L158="",P158&lt;&gt;"Y"),"",ROUND(M158*설정!$C$5,0))</f>
        <v/>
      </c>
      <c r="R158" s="22"/>
    </row>
    <row r="159" customFormat="false" ht="15" hidden="false" customHeight="false" outlineLevel="0" collapsed="false">
      <c r="A159" s="21" t="str">
        <f aca="false">IF(B159="","",COUNTA($B$5:B159))</f>
        <v/>
      </c>
      <c r="B159" s="22"/>
      <c r="C159" s="23"/>
      <c r="D159" s="24"/>
      <c r="E159" s="7" t="str">
        <f aca="false">IF(D159="","",IFERROR(INDEX(코드관리!$C$7:$C$66,MATCH(D159,코드관리!$B$7:$B$66,0)),"미등록 코드"))</f>
        <v/>
      </c>
      <c r="F159" s="22"/>
      <c r="G159" s="22"/>
      <c r="H159" s="23"/>
      <c r="I159" s="25"/>
      <c r="J159" s="26"/>
      <c r="K159" s="25"/>
      <c r="L159" s="8" t="str">
        <f aca="false">IF(J159="","",IF(I159="USD",ROUND(J159*설정!$C$4,0),J159))</f>
        <v/>
      </c>
      <c r="M159" s="8" t="str">
        <f aca="false">IF(L159="","",IF(AND(H159="과세",K159="VAT포함"),ROUND(L159/(1+설정!$C$5),0),L159))</f>
        <v/>
      </c>
      <c r="N159" s="8" t="str">
        <f aca="false">IF(L159="","",IF(H159="과세",IF(K159="VAT포함",L159-M159,ROUND(M159*설정!$C$5,0)),0))</f>
        <v/>
      </c>
      <c r="O159" s="8" t="str">
        <f aca="false">IF(L159="","",M159+N159)</f>
        <v/>
      </c>
      <c r="P159" s="25"/>
      <c r="Q159" s="8" t="str">
        <f aca="false">IF(OR(L159="",P159&lt;&gt;"Y"),"",ROUND(M159*설정!$C$5,0))</f>
        <v/>
      </c>
      <c r="R159" s="22"/>
    </row>
    <row r="160" customFormat="false" ht="15" hidden="false" customHeight="false" outlineLevel="0" collapsed="false">
      <c r="A160" s="21" t="str">
        <f aca="false">IF(B160="","",COUNTA($B$5:B160))</f>
        <v/>
      </c>
      <c r="B160" s="22"/>
      <c r="C160" s="23"/>
      <c r="D160" s="24"/>
      <c r="E160" s="7" t="str">
        <f aca="false">IF(D160="","",IFERROR(INDEX(코드관리!$C$7:$C$66,MATCH(D160,코드관리!$B$7:$B$66,0)),"미등록 코드"))</f>
        <v/>
      </c>
      <c r="F160" s="22"/>
      <c r="G160" s="22"/>
      <c r="H160" s="23"/>
      <c r="I160" s="25"/>
      <c r="J160" s="26"/>
      <c r="K160" s="25"/>
      <c r="L160" s="8" t="str">
        <f aca="false">IF(J160="","",IF(I160="USD",ROUND(J160*설정!$C$4,0),J160))</f>
        <v/>
      </c>
      <c r="M160" s="8" t="str">
        <f aca="false">IF(L160="","",IF(AND(H160="과세",K160="VAT포함"),ROUND(L160/(1+설정!$C$5),0),L160))</f>
        <v/>
      </c>
      <c r="N160" s="8" t="str">
        <f aca="false">IF(L160="","",IF(H160="과세",IF(K160="VAT포함",L160-M160,ROUND(M160*설정!$C$5,0)),0))</f>
        <v/>
      </c>
      <c r="O160" s="8" t="str">
        <f aca="false">IF(L160="","",M160+N160)</f>
        <v/>
      </c>
      <c r="P160" s="25"/>
      <c r="Q160" s="8" t="str">
        <f aca="false">IF(OR(L160="",P160&lt;&gt;"Y"),"",ROUND(M160*설정!$C$5,0))</f>
        <v/>
      </c>
      <c r="R160" s="22"/>
    </row>
    <row r="161" customFormat="false" ht="15" hidden="false" customHeight="false" outlineLevel="0" collapsed="false">
      <c r="A161" s="21" t="str">
        <f aca="false">IF(B161="","",COUNTA($B$5:B161))</f>
        <v/>
      </c>
      <c r="B161" s="22"/>
      <c r="C161" s="23"/>
      <c r="D161" s="24"/>
      <c r="E161" s="7" t="str">
        <f aca="false">IF(D161="","",IFERROR(INDEX(코드관리!$C$7:$C$66,MATCH(D161,코드관리!$B$7:$B$66,0)),"미등록 코드"))</f>
        <v/>
      </c>
      <c r="F161" s="22"/>
      <c r="G161" s="22"/>
      <c r="H161" s="23"/>
      <c r="I161" s="25"/>
      <c r="J161" s="26"/>
      <c r="K161" s="25"/>
      <c r="L161" s="8" t="str">
        <f aca="false">IF(J161="","",IF(I161="USD",ROUND(J161*설정!$C$4,0),J161))</f>
        <v/>
      </c>
      <c r="M161" s="8" t="str">
        <f aca="false">IF(L161="","",IF(AND(H161="과세",K161="VAT포함"),ROUND(L161/(1+설정!$C$5),0),L161))</f>
        <v/>
      </c>
      <c r="N161" s="8" t="str">
        <f aca="false">IF(L161="","",IF(H161="과세",IF(K161="VAT포함",L161-M161,ROUND(M161*설정!$C$5,0)),0))</f>
        <v/>
      </c>
      <c r="O161" s="8" t="str">
        <f aca="false">IF(L161="","",M161+N161)</f>
        <v/>
      </c>
      <c r="P161" s="25"/>
      <c r="Q161" s="8" t="str">
        <f aca="false">IF(OR(L161="",P161&lt;&gt;"Y"),"",ROUND(M161*설정!$C$5,0))</f>
        <v/>
      </c>
      <c r="R161" s="22"/>
    </row>
    <row r="162" customFormat="false" ht="15" hidden="false" customHeight="false" outlineLevel="0" collapsed="false">
      <c r="A162" s="21" t="str">
        <f aca="false">IF(B162="","",COUNTA($B$5:B162))</f>
        <v/>
      </c>
      <c r="B162" s="22"/>
      <c r="C162" s="23"/>
      <c r="D162" s="24"/>
      <c r="E162" s="7" t="str">
        <f aca="false">IF(D162="","",IFERROR(INDEX(코드관리!$C$7:$C$66,MATCH(D162,코드관리!$B$7:$B$66,0)),"미등록 코드"))</f>
        <v/>
      </c>
      <c r="F162" s="22"/>
      <c r="G162" s="22"/>
      <c r="H162" s="23"/>
      <c r="I162" s="25"/>
      <c r="J162" s="26"/>
      <c r="K162" s="25"/>
      <c r="L162" s="8" t="str">
        <f aca="false">IF(J162="","",IF(I162="USD",ROUND(J162*설정!$C$4,0),J162))</f>
        <v/>
      </c>
      <c r="M162" s="8" t="str">
        <f aca="false">IF(L162="","",IF(AND(H162="과세",K162="VAT포함"),ROUND(L162/(1+설정!$C$5),0),L162))</f>
        <v/>
      </c>
      <c r="N162" s="8" t="str">
        <f aca="false">IF(L162="","",IF(H162="과세",IF(K162="VAT포함",L162-M162,ROUND(M162*설정!$C$5,0)),0))</f>
        <v/>
      </c>
      <c r="O162" s="8" t="str">
        <f aca="false">IF(L162="","",M162+N162)</f>
        <v/>
      </c>
      <c r="P162" s="25"/>
      <c r="Q162" s="8" t="str">
        <f aca="false">IF(OR(L162="",P162&lt;&gt;"Y"),"",ROUND(M162*설정!$C$5,0))</f>
        <v/>
      </c>
      <c r="R162" s="22"/>
    </row>
    <row r="163" customFormat="false" ht="15" hidden="false" customHeight="false" outlineLevel="0" collapsed="false">
      <c r="A163" s="21" t="str">
        <f aca="false">IF(B163="","",COUNTA($B$5:B163))</f>
        <v/>
      </c>
      <c r="B163" s="22"/>
      <c r="C163" s="23"/>
      <c r="D163" s="24"/>
      <c r="E163" s="7" t="str">
        <f aca="false">IF(D163="","",IFERROR(INDEX(코드관리!$C$7:$C$66,MATCH(D163,코드관리!$B$7:$B$66,0)),"미등록 코드"))</f>
        <v/>
      </c>
      <c r="F163" s="22"/>
      <c r="G163" s="22"/>
      <c r="H163" s="23"/>
      <c r="I163" s="25"/>
      <c r="J163" s="26"/>
      <c r="K163" s="25"/>
      <c r="L163" s="8" t="str">
        <f aca="false">IF(J163="","",IF(I163="USD",ROUND(J163*설정!$C$4,0),J163))</f>
        <v/>
      </c>
      <c r="M163" s="8" t="str">
        <f aca="false">IF(L163="","",IF(AND(H163="과세",K163="VAT포함"),ROUND(L163/(1+설정!$C$5),0),L163))</f>
        <v/>
      </c>
      <c r="N163" s="8" t="str">
        <f aca="false">IF(L163="","",IF(H163="과세",IF(K163="VAT포함",L163-M163,ROUND(M163*설정!$C$5,0)),0))</f>
        <v/>
      </c>
      <c r="O163" s="8" t="str">
        <f aca="false">IF(L163="","",M163+N163)</f>
        <v/>
      </c>
      <c r="P163" s="25"/>
      <c r="Q163" s="8" t="str">
        <f aca="false">IF(OR(L163="",P163&lt;&gt;"Y"),"",ROUND(M163*설정!$C$5,0))</f>
        <v/>
      </c>
      <c r="R163" s="22"/>
    </row>
    <row r="164" customFormat="false" ht="15" hidden="false" customHeight="false" outlineLevel="0" collapsed="false">
      <c r="A164" s="21" t="str">
        <f aca="false">IF(B164="","",COUNTA($B$5:B164))</f>
        <v/>
      </c>
      <c r="B164" s="22"/>
      <c r="C164" s="23"/>
      <c r="D164" s="24"/>
      <c r="E164" s="7" t="str">
        <f aca="false">IF(D164="","",IFERROR(INDEX(코드관리!$C$7:$C$66,MATCH(D164,코드관리!$B$7:$B$66,0)),"미등록 코드"))</f>
        <v/>
      </c>
      <c r="F164" s="22"/>
      <c r="G164" s="22"/>
      <c r="H164" s="23"/>
      <c r="I164" s="25"/>
      <c r="J164" s="26"/>
      <c r="K164" s="25"/>
      <c r="L164" s="8" t="str">
        <f aca="false">IF(J164="","",IF(I164="USD",ROUND(J164*설정!$C$4,0),J164))</f>
        <v/>
      </c>
      <c r="M164" s="8" t="str">
        <f aca="false">IF(L164="","",IF(AND(H164="과세",K164="VAT포함"),ROUND(L164/(1+설정!$C$5),0),L164))</f>
        <v/>
      </c>
      <c r="N164" s="8" t="str">
        <f aca="false">IF(L164="","",IF(H164="과세",IF(K164="VAT포함",L164-M164,ROUND(M164*설정!$C$5,0)),0))</f>
        <v/>
      </c>
      <c r="O164" s="8" t="str">
        <f aca="false">IF(L164="","",M164+N164)</f>
        <v/>
      </c>
      <c r="P164" s="25"/>
      <c r="Q164" s="8" t="str">
        <f aca="false">IF(OR(L164="",P164&lt;&gt;"Y"),"",ROUND(M164*설정!$C$5,0))</f>
        <v/>
      </c>
      <c r="R164" s="22"/>
    </row>
    <row r="165" customFormat="false" ht="15" hidden="false" customHeight="false" outlineLevel="0" collapsed="false">
      <c r="A165" s="21" t="str">
        <f aca="false">IF(B165="","",COUNTA($B$5:B165))</f>
        <v/>
      </c>
      <c r="B165" s="22"/>
      <c r="C165" s="23"/>
      <c r="D165" s="24"/>
      <c r="E165" s="7" t="str">
        <f aca="false">IF(D165="","",IFERROR(INDEX(코드관리!$C$7:$C$66,MATCH(D165,코드관리!$B$7:$B$66,0)),"미등록 코드"))</f>
        <v/>
      </c>
      <c r="F165" s="22"/>
      <c r="G165" s="22"/>
      <c r="H165" s="23"/>
      <c r="I165" s="25"/>
      <c r="J165" s="26"/>
      <c r="K165" s="25"/>
      <c r="L165" s="8" t="str">
        <f aca="false">IF(J165="","",IF(I165="USD",ROUND(J165*설정!$C$4,0),J165))</f>
        <v/>
      </c>
      <c r="M165" s="8" t="str">
        <f aca="false">IF(L165="","",IF(AND(H165="과세",K165="VAT포함"),ROUND(L165/(1+설정!$C$5),0),L165))</f>
        <v/>
      </c>
      <c r="N165" s="8" t="str">
        <f aca="false">IF(L165="","",IF(H165="과세",IF(K165="VAT포함",L165-M165,ROUND(M165*설정!$C$5,0)),0))</f>
        <v/>
      </c>
      <c r="O165" s="8" t="str">
        <f aca="false">IF(L165="","",M165+N165)</f>
        <v/>
      </c>
      <c r="P165" s="25"/>
      <c r="Q165" s="8" t="str">
        <f aca="false">IF(OR(L165="",P165&lt;&gt;"Y"),"",ROUND(M165*설정!$C$5,0))</f>
        <v/>
      </c>
      <c r="R165" s="22"/>
    </row>
    <row r="166" customFormat="false" ht="15" hidden="false" customHeight="false" outlineLevel="0" collapsed="false">
      <c r="A166" s="21" t="str">
        <f aca="false">IF(B166="","",COUNTA($B$5:B166))</f>
        <v/>
      </c>
      <c r="B166" s="22"/>
      <c r="C166" s="23"/>
      <c r="D166" s="24"/>
      <c r="E166" s="7" t="str">
        <f aca="false">IF(D166="","",IFERROR(INDEX(코드관리!$C$7:$C$66,MATCH(D166,코드관리!$B$7:$B$66,0)),"미등록 코드"))</f>
        <v/>
      </c>
      <c r="F166" s="22"/>
      <c r="G166" s="22"/>
      <c r="H166" s="23"/>
      <c r="I166" s="25"/>
      <c r="J166" s="26"/>
      <c r="K166" s="25"/>
      <c r="L166" s="8" t="str">
        <f aca="false">IF(J166="","",IF(I166="USD",ROUND(J166*설정!$C$4,0),J166))</f>
        <v/>
      </c>
      <c r="M166" s="8" t="str">
        <f aca="false">IF(L166="","",IF(AND(H166="과세",K166="VAT포함"),ROUND(L166/(1+설정!$C$5),0),L166))</f>
        <v/>
      </c>
      <c r="N166" s="8" t="str">
        <f aca="false">IF(L166="","",IF(H166="과세",IF(K166="VAT포함",L166-M166,ROUND(M166*설정!$C$5,0)),0))</f>
        <v/>
      </c>
      <c r="O166" s="8" t="str">
        <f aca="false">IF(L166="","",M166+N166)</f>
        <v/>
      </c>
      <c r="P166" s="25"/>
      <c r="Q166" s="8" t="str">
        <f aca="false">IF(OR(L166="",P166&lt;&gt;"Y"),"",ROUND(M166*설정!$C$5,0))</f>
        <v/>
      </c>
      <c r="R166" s="22"/>
    </row>
    <row r="167" customFormat="false" ht="15" hidden="false" customHeight="false" outlineLevel="0" collapsed="false">
      <c r="A167" s="21" t="str">
        <f aca="false">IF(B167="","",COUNTA($B$5:B167))</f>
        <v/>
      </c>
      <c r="B167" s="22"/>
      <c r="C167" s="23"/>
      <c r="D167" s="24"/>
      <c r="E167" s="7" t="str">
        <f aca="false">IF(D167="","",IFERROR(INDEX(코드관리!$C$7:$C$66,MATCH(D167,코드관리!$B$7:$B$66,0)),"미등록 코드"))</f>
        <v/>
      </c>
      <c r="F167" s="22"/>
      <c r="G167" s="22"/>
      <c r="H167" s="23"/>
      <c r="I167" s="25"/>
      <c r="J167" s="26"/>
      <c r="K167" s="25"/>
      <c r="L167" s="8" t="str">
        <f aca="false">IF(J167="","",IF(I167="USD",ROUND(J167*설정!$C$4,0),J167))</f>
        <v/>
      </c>
      <c r="M167" s="8" t="str">
        <f aca="false">IF(L167="","",IF(AND(H167="과세",K167="VAT포함"),ROUND(L167/(1+설정!$C$5),0),L167))</f>
        <v/>
      </c>
      <c r="N167" s="8" t="str">
        <f aca="false">IF(L167="","",IF(H167="과세",IF(K167="VAT포함",L167-M167,ROUND(M167*설정!$C$5,0)),0))</f>
        <v/>
      </c>
      <c r="O167" s="8" t="str">
        <f aca="false">IF(L167="","",M167+N167)</f>
        <v/>
      </c>
      <c r="P167" s="25"/>
      <c r="Q167" s="8" t="str">
        <f aca="false">IF(OR(L167="",P167&lt;&gt;"Y"),"",ROUND(M167*설정!$C$5,0))</f>
        <v/>
      </c>
      <c r="R167" s="22"/>
    </row>
    <row r="168" customFormat="false" ht="15" hidden="false" customHeight="false" outlineLevel="0" collapsed="false">
      <c r="A168" s="21" t="str">
        <f aca="false">IF(B168="","",COUNTA($B$5:B168))</f>
        <v/>
      </c>
      <c r="B168" s="22"/>
      <c r="C168" s="23"/>
      <c r="D168" s="24"/>
      <c r="E168" s="7" t="str">
        <f aca="false">IF(D168="","",IFERROR(INDEX(코드관리!$C$7:$C$66,MATCH(D168,코드관리!$B$7:$B$66,0)),"미등록 코드"))</f>
        <v/>
      </c>
      <c r="F168" s="22"/>
      <c r="G168" s="22"/>
      <c r="H168" s="23"/>
      <c r="I168" s="25"/>
      <c r="J168" s="26"/>
      <c r="K168" s="25"/>
      <c r="L168" s="8" t="str">
        <f aca="false">IF(J168="","",IF(I168="USD",ROUND(J168*설정!$C$4,0),J168))</f>
        <v/>
      </c>
      <c r="M168" s="8" t="str">
        <f aca="false">IF(L168="","",IF(AND(H168="과세",K168="VAT포함"),ROUND(L168/(1+설정!$C$5),0),L168))</f>
        <v/>
      </c>
      <c r="N168" s="8" t="str">
        <f aca="false">IF(L168="","",IF(H168="과세",IF(K168="VAT포함",L168-M168,ROUND(M168*설정!$C$5,0)),0))</f>
        <v/>
      </c>
      <c r="O168" s="8" t="str">
        <f aca="false">IF(L168="","",M168+N168)</f>
        <v/>
      </c>
      <c r="P168" s="25"/>
      <c r="Q168" s="8" t="str">
        <f aca="false">IF(OR(L168="",P168&lt;&gt;"Y"),"",ROUND(M168*설정!$C$5,0))</f>
        <v/>
      </c>
      <c r="R168" s="22"/>
    </row>
    <row r="169" customFormat="false" ht="15" hidden="false" customHeight="false" outlineLevel="0" collapsed="false">
      <c r="A169" s="21" t="str">
        <f aca="false">IF(B169="","",COUNTA($B$5:B169))</f>
        <v/>
      </c>
      <c r="B169" s="22"/>
      <c r="C169" s="23"/>
      <c r="D169" s="24"/>
      <c r="E169" s="7" t="str">
        <f aca="false">IF(D169="","",IFERROR(INDEX(코드관리!$C$7:$C$66,MATCH(D169,코드관리!$B$7:$B$66,0)),"미등록 코드"))</f>
        <v/>
      </c>
      <c r="F169" s="22"/>
      <c r="G169" s="22"/>
      <c r="H169" s="23"/>
      <c r="I169" s="25"/>
      <c r="J169" s="26"/>
      <c r="K169" s="25"/>
      <c r="L169" s="8" t="str">
        <f aca="false">IF(J169="","",IF(I169="USD",ROUND(J169*설정!$C$4,0),J169))</f>
        <v/>
      </c>
      <c r="M169" s="8" t="str">
        <f aca="false">IF(L169="","",IF(AND(H169="과세",K169="VAT포함"),ROUND(L169/(1+설정!$C$5),0),L169))</f>
        <v/>
      </c>
      <c r="N169" s="8" t="str">
        <f aca="false">IF(L169="","",IF(H169="과세",IF(K169="VAT포함",L169-M169,ROUND(M169*설정!$C$5,0)),0))</f>
        <v/>
      </c>
      <c r="O169" s="8" t="str">
        <f aca="false">IF(L169="","",M169+N169)</f>
        <v/>
      </c>
      <c r="P169" s="25"/>
      <c r="Q169" s="8" t="str">
        <f aca="false">IF(OR(L169="",P169&lt;&gt;"Y"),"",ROUND(M169*설정!$C$5,0))</f>
        <v/>
      </c>
      <c r="R169" s="22"/>
    </row>
    <row r="170" customFormat="false" ht="15" hidden="false" customHeight="false" outlineLevel="0" collapsed="false">
      <c r="A170" s="21" t="str">
        <f aca="false">IF(B170="","",COUNTA($B$5:B170))</f>
        <v/>
      </c>
      <c r="B170" s="22"/>
      <c r="C170" s="23"/>
      <c r="D170" s="24"/>
      <c r="E170" s="7" t="str">
        <f aca="false">IF(D170="","",IFERROR(INDEX(코드관리!$C$7:$C$66,MATCH(D170,코드관리!$B$7:$B$66,0)),"미등록 코드"))</f>
        <v/>
      </c>
      <c r="F170" s="22"/>
      <c r="G170" s="22"/>
      <c r="H170" s="23"/>
      <c r="I170" s="25"/>
      <c r="J170" s="26"/>
      <c r="K170" s="25"/>
      <c r="L170" s="8" t="str">
        <f aca="false">IF(J170="","",IF(I170="USD",ROUND(J170*설정!$C$4,0),J170))</f>
        <v/>
      </c>
      <c r="M170" s="8" t="str">
        <f aca="false">IF(L170="","",IF(AND(H170="과세",K170="VAT포함"),ROUND(L170/(1+설정!$C$5),0),L170))</f>
        <v/>
      </c>
      <c r="N170" s="8" t="str">
        <f aca="false">IF(L170="","",IF(H170="과세",IF(K170="VAT포함",L170-M170,ROUND(M170*설정!$C$5,0)),0))</f>
        <v/>
      </c>
      <c r="O170" s="8" t="str">
        <f aca="false">IF(L170="","",M170+N170)</f>
        <v/>
      </c>
      <c r="P170" s="25"/>
      <c r="Q170" s="8" t="str">
        <f aca="false">IF(OR(L170="",P170&lt;&gt;"Y"),"",ROUND(M170*설정!$C$5,0))</f>
        <v/>
      </c>
      <c r="R170" s="22"/>
    </row>
    <row r="171" customFormat="false" ht="15" hidden="false" customHeight="false" outlineLevel="0" collapsed="false">
      <c r="A171" s="21" t="str">
        <f aca="false">IF(B171="","",COUNTA($B$5:B171))</f>
        <v/>
      </c>
      <c r="B171" s="22"/>
      <c r="C171" s="23"/>
      <c r="D171" s="24"/>
      <c r="E171" s="7" t="str">
        <f aca="false">IF(D171="","",IFERROR(INDEX(코드관리!$C$7:$C$66,MATCH(D171,코드관리!$B$7:$B$66,0)),"미등록 코드"))</f>
        <v/>
      </c>
      <c r="F171" s="22"/>
      <c r="G171" s="22"/>
      <c r="H171" s="23"/>
      <c r="I171" s="25"/>
      <c r="J171" s="26"/>
      <c r="K171" s="25"/>
      <c r="L171" s="8" t="str">
        <f aca="false">IF(J171="","",IF(I171="USD",ROUND(J171*설정!$C$4,0),J171))</f>
        <v/>
      </c>
      <c r="M171" s="8" t="str">
        <f aca="false">IF(L171="","",IF(AND(H171="과세",K171="VAT포함"),ROUND(L171/(1+설정!$C$5),0),L171))</f>
        <v/>
      </c>
      <c r="N171" s="8" t="str">
        <f aca="false">IF(L171="","",IF(H171="과세",IF(K171="VAT포함",L171-M171,ROUND(M171*설정!$C$5,0)),0))</f>
        <v/>
      </c>
      <c r="O171" s="8" t="str">
        <f aca="false">IF(L171="","",M171+N171)</f>
        <v/>
      </c>
      <c r="P171" s="25"/>
      <c r="Q171" s="8" t="str">
        <f aca="false">IF(OR(L171="",P171&lt;&gt;"Y"),"",ROUND(M171*설정!$C$5,0))</f>
        <v/>
      </c>
      <c r="R171" s="22"/>
    </row>
    <row r="172" customFormat="false" ht="15" hidden="false" customHeight="false" outlineLevel="0" collapsed="false">
      <c r="A172" s="21" t="str">
        <f aca="false">IF(B172="","",COUNTA($B$5:B172))</f>
        <v/>
      </c>
      <c r="B172" s="22"/>
      <c r="C172" s="23"/>
      <c r="D172" s="24"/>
      <c r="E172" s="7" t="str">
        <f aca="false">IF(D172="","",IFERROR(INDEX(코드관리!$C$7:$C$66,MATCH(D172,코드관리!$B$7:$B$66,0)),"미등록 코드"))</f>
        <v/>
      </c>
      <c r="F172" s="22"/>
      <c r="G172" s="22"/>
      <c r="H172" s="23"/>
      <c r="I172" s="25"/>
      <c r="J172" s="26"/>
      <c r="K172" s="25"/>
      <c r="L172" s="8" t="str">
        <f aca="false">IF(J172="","",IF(I172="USD",ROUND(J172*설정!$C$4,0),J172))</f>
        <v/>
      </c>
      <c r="M172" s="8" t="str">
        <f aca="false">IF(L172="","",IF(AND(H172="과세",K172="VAT포함"),ROUND(L172/(1+설정!$C$5),0),L172))</f>
        <v/>
      </c>
      <c r="N172" s="8" t="str">
        <f aca="false">IF(L172="","",IF(H172="과세",IF(K172="VAT포함",L172-M172,ROUND(M172*설정!$C$5,0)),0))</f>
        <v/>
      </c>
      <c r="O172" s="8" t="str">
        <f aca="false">IF(L172="","",M172+N172)</f>
        <v/>
      </c>
      <c r="P172" s="25"/>
      <c r="Q172" s="8" t="str">
        <f aca="false">IF(OR(L172="",P172&lt;&gt;"Y"),"",ROUND(M172*설정!$C$5,0))</f>
        <v/>
      </c>
      <c r="R172" s="22"/>
    </row>
    <row r="173" customFormat="false" ht="15" hidden="false" customHeight="false" outlineLevel="0" collapsed="false">
      <c r="A173" s="21" t="str">
        <f aca="false">IF(B173="","",COUNTA($B$5:B173))</f>
        <v/>
      </c>
      <c r="B173" s="22"/>
      <c r="C173" s="23"/>
      <c r="D173" s="24"/>
      <c r="E173" s="7" t="str">
        <f aca="false">IF(D173="","",IFERROR(INDEX(코드관리!$C$7:$C$66,MATCH(D173,코드관리!$B$7:$B$66,0)),"미등록 코드"))</f>
        <v/>
      </c>
      <c r="F173" s="22"/>
      <c r="G173" s="22"/>
      <c r="H173" s="23"/>
      <c r="I173" s="25"/>
      <c r="J173" s="26"/>
      <c r="K173" s="25"/>
      <c r="L173" s="8" t="str">
        <f aca="false">IF(J173="","",IF(I173="USD",ROUND(J173*설정!$C$4,0),J173))</f>
        <v/>
      </c>
      <c r="M173" s="8" t="str">
        <f aca="false">IF(L173="","",IF(AND(H173="과세",K173="VAT포함"),ROUND(L173/(1+설정!$C$5),0),L173))</f>
        <v/>
      </c>
      <c r="N173" s="8" t="str">
        <f aca="false">IF(L173="","",IF(H173="과세",IF(K173="VAT포함",L173-M173,ROUND(M173*설정!$C$5,0)),0))</f>
        <v/>
      </c>
      <c r="O173" s="8" t="str">
        <f aca="false">IF(L173="","",M173+N173)</f>
        <v/>
      </c>
      <c r="P173" s="25"/>
      <c r="Q173" s="8" t="str">
        <f aca="false">IF(OR(L173="",P173&lt;&gt;"Y"),"",ROUND(M173*설정!$C$5,0))</f>
        <v/>
      </c>
      <c r="R173" s="22"/>
    </row>
    <row r="174" customFormat="false" ht="15" hidden="false" customHeight="false" outlineLevel="0" collapsed="false">
      <c r="A174" s="21" t="str">
        <f aca="false">IF(B174="","",COUNTA($B$5:B174))</f>
        <v/>
      </c>
      <c r="B174" s="22"/>
      <c r="C174" s="23"/>
      <c r="D174" s="24"/>
      <c r="E174" s="7" t="str">
        <f aca="false">IF(D174="","",IFERROR(INDEX(코드관리!$C$7:$C$66,MATCH(D174,코드관리!$B$7:$B$66,0)),"미등록 코드"))</f>
        <v/>
      </c>
      <c r="F174" s="22"/>
      <c r="G174" s="22"/>
      <c r="H174" s="23"/>
      <c r="I174" s="25"/>
      <c r="J174" s="26"/>
      <c r="K174" s="25"/>
      <c r="L174" s="8" t="str">
        <f aca="false">IF(J174="","",IF(I174="USD",ROUND(J174*설정!$C$4,0),J174))</f>
        <v/>
      </c>
      <c r="M174" s="8" t="str">
        <f aca="false">IF(L174="","",IF(AND(H174="과세",K174="VAT포함"),ROUND(L174/(1+설정!$C$5),0),L174))</f>
        <v/>
      </c>
      <c r="N174" s="8" t="str">
        <f aca="false">IF(L174="","",IF(H174="과세",IF(K174="VAT포함",L174-M174,ROUND(M174*설정!$C$5,0)),0))</f>
        <v/>
      </c>
      <c r="O174" s="8" t="str">
        <f aca="false">IF(L174="","",M174+N174)</f>
        <v/>
      </c>
      <c r="P174" s="25"/>
      <c r="Q174" s="8" t="str">
        <f aca="false">IF(OR(L174="",P174&lt;&gt;"Y"),"",ROUND(M174*설정!$C$5,0))</f>
        <v/>
      </c>
      <c r="R174" s="22"/>
    </row>
    <row r="175" customFormat="false" ht="15" hidden="false" customHeight="false" outlineLevel="0" collapsed="false">
      <c r="A175" s="21" t="str">
        <f aca="false">IF(B175="","",COUNTA($B$5:B175))</f>
        <v/>
      </c>
      <c r="B175" s="22"/>
      <c r="C175" s="23"/>
      <c r="D175" s="24"/>
      <c r="E175" s="7" t="str">
        <f aca="false">IF(D175="","",IFERROR(INDEX(코드관리!$C$7:$C$66,MATCH(D175,코드관리!$B$7:$B$66,0)),"미등록 코드"))</f>
        <v/>
      </c>
      <c r="F175" s="22"/>
      <c r="G175" s="22"/>
      <c r="H175" s="23"/>
      <c r="I175" s="25"/>
      <c r="J175" s="26"/>
      <c r="K175" s="25"/>
      <c r="L175" s="8" t="str">
        <f aca="false">IF(J175="","",IF(I175="USD",ROUND(J175*설정!$C$4,0),J175))</f>
        <v/>
      </c>
      <c r="M175" s="8" t="str">
        <f aca="false">IF(L175="","",IF(AND(H175="과세",K175="VAT포함"),ROUND(L175/(1+설정!$C$5),0),L175))</f>
        <v/>
      </c>
      <c r="N175" s="8" t="str">
        <f aca="false">IF(L175="","",IF(H175="과세",IF(K175="VAT포함",L175-M175,ROUND(M175*설정!$C$5,0)),0))</f>
        <v/>
      </c>
      <c r="O175" s="8" t="str">
        <f aca="false">IF(L175="","",M175+N175)</f>
        <v/>
      </c>
      <c r="P175" s="25"/>
      <c r="Q175" s="8" t="str">
        <f aca="false">IF(OR(L175="",P175&lt;&gt;"Y"),"",ROUND(M175*설정!$C$5,0))</f>
        <v/>
      </c>
      <c r="R175" s="22"/>
    </row>
    <row r="176" customFormat="false" ht="15" hidden="false" customHeight="false" outlineLevel="0" collapsed="false">
      <c r="A176" s="21" t="str">
        <f aca="false">IF(B176="","",COUNTA($B$5:B176))</f>
        <v/>
      </c>
      <c r="B176" s="22"/>
      <c r="C176" s="23"/>
      <c r="D176" s="24"/>
      <c r="E176" s="7" t="str">
        <f aca="false">IF(D176="","",IFERROR(INDEX(코드관리!$C$7:$C$66,MATCH(D176,코드관리!$B$7:$B$66,0)),"미등록 코드"))</f>
        <v/>
      </c>
      <c r="F176" s="22"/>
      <c r="G176" s="22"/>
      <c r="H176" s="23"/>
      <c r="I176" s="25"/>
      <c r="J176" s="26"/>
      <c r="K176" s="25"/>
      <c r="L176" s="8" t="str">
        <f aca="false">IF(J176="","",IF(I176="USD",ROUND(J176*설정!$C$4,0),J176))</f>
        <v/>
      </c>
      <c r="M176" s="8" t="str">
        <f aca="false">IF(L176="","",IF(AND(H176="과세",K176="VAT포함"),ROUND(L176/(1+설정!$C$5),0),L176))</f>
        <v/>
      </c>
      <c r="N176" s="8" t="str">
        <f aca="false">IF(L176="","",IF(H176="과세",IF(K176="VAT포함",L176-M176,ROUND(M176*설정!$C$5,0)),0))</f>
        <v/>
      </c>
      <c r="O176" s="8" t="str">
        <f aca="false">IF(L176="","",M176+N176)</f>
        <v/>
      </c>
      <c r="P176" s="25"/>
      <c r="Q176" s="8" t="str">
        <f aca="false">IF(OR(L176="",P176&lt;&gt;"Y"),"",ROUND(M176*설정!$C$5,0))</f>
        <v/>
      </c>
      <c r="R176" s="22"/>
    </row>
    <row r="177" customFormat="false" ht="15" hidden="false" customHeight="false" outlineLevel="0" collapsed="false">
      <c r="A177" s="21" t="str">
        <f aca="false">IF(B177="","",COUNTA($B$5:B177))</f>
        <v/>
      </c>
      <c r="B177" s="22"/>
      <c r="C177" s="23"/>
      <c r="D177" s="24"/>
      <c r="E177" s="7" t="str">
        <f aca="false">IF(D177="","",IFERROR(INDEX(코드관리!$C$7:$C$66,MATCH(D177,코드관리!$B$7:$B$66,0)),"미등록 코드"))</f>
        <v/>
      </c>
      <c r="F177" s="22"/>
      <c r="G177" s="22"/>
      <c r="H177" s="23"/>
      <c r="I177" s="25"/>
      <c r="J177" s="26"/>
      <c r="K177" s="25"/>
      <c r="L177" s="8" t="str">
        <f aca="false">IF(J177="","",IF(I177="USD",ROUND(J177*설정!$C$4,0),J177))</f>
        <v/>
      </c>
      <c r="M177" s="8" t="str">
        <f aca="false">IF(L177="","",IF(AND(H177="과세",K177="VAT포함"),ROUND(L177/(1+설정!$C$5),0),L177))</f>
        <v/>
      </c>
      <c r="N177" s="8" t="str">
        <f aca="false">IF(L177="","",IF(H177="과세",IF(K177="VAT포함",L177-M177,ROUND(M177*설정!$C$5,0)),0))</f>
        <v/>
      </c>
      <c r="O177" s="8" t="str">
        <f aca="false">IF(L177="","",M177+N177)</f>
        <v/>
      </c>
      <c r="P177" s="25"/>
      <c r="Q177" s="8" t="str">
        <f aca="false">IF(OR(L177="",P177&lt;&gt;"Y"),"",ROUND(M177*설정!$C$5,0))</f>
        <v/>
      </c>
      <c r="R177" s="22"/>
    </row>
    <row r="178" customFormat="false" ht="15" hidden="false" customHeight="false" outlineLevel="0" collapsed="false">
      <c r="A178" s="21" t="str">
        <f aca="false">IF(B178="","",COUNTA($B$5:B178))</f>
        <v/>
      </c>
      <c r="B178" s="22"/>
      <c r="C178" s="23"/>
      <c r="D178" s="24"/>
      <c r="E178" s="7" t="str">
        <f aca="false">IF(D178="","",IFERROR(INDEX(코드관리!$C$7:$C$66,MATCH(D178,코드관리!$B$7:$B$66,0)),"미등록 코드"))</f>
        <v/>
      </c>
      <c r="F178" s="22"/>
      <c r="G178" s="22"/>
      <c r="H178" s="23"/>
      <c r="I178" s="25"/>
      <c r="J178" s="26"/>
      <c r="K178" s="25"/>
      <c r="L178" s="8" t="str">
        <f aca="false">IF(J178="","",IF(I178="USD",ROUND(J178*설정!$C$4,0),J178))</f>
        <v/>
      </c>
      <c r="M178" s="8" t="str">
        <f aca="false">IF(L178="","",IF(AND(H178="과세",K178="VAT포함"),ROUND(L178/(1+설정!$C$5),0),L178))</f>
        <v/>
      </c>
      <c r="N178" s="8" t="str">
        <f aca="false">IF(L178="","",IF(H178="과세",IF(K178="VAT포함",L178-M178,ROUND(M178*설정!$C$5,0)),0))</f>
        <v/>
      </c>
      <c r="O178" s="8" t="str">
        <f aca="false">IF(L178="","",M178+N178)</f>
        <v/>
      </c>
      <c r="P178" s="25"/>
      <c r="Q178" s="8" t="str">
        <f aca="false">IF(OR(L178="",P178&lt;&gt;"Y"),"",ROUND(M178*설정!$C$5,0))</f>
        <v/>
      </c>
      <c r="R178" s="22"/>
    </row>
    <row r="179" customFormat="false" ht="15" hidden="false" customHeight="false" outlineLevel="0" collapsed="false">
      <c r="A179" s="21" t="str">
        <f aca="false">IF(B179="","",COUNTA($B$5:B179))</f>
        <v/>
      </c>
      <c r="B179" s="22"/>
      <c r="C179" s="23"/>
      <c r="D179" s="24"/>
      <c r="E179" s="7" t="str">
        <f aca="false">IF(D179="","",IFERROR(INDEX(코드관리!$C$7:$C$66,MATCH(D179,코드관리!$B$7:$B$66,0)),"미등록 코드"))</f>
        <v/>
      </c>
      <c r="F179" s="22"/>
      <c r="G179" s="22"/>
      <c r="H179" s="23"/>
      <c r="I179" s="25"/>
      <c r="J179" s="26"/>
      <c r="K179" s="25"/>
      <c r="L179" s="8" t="str">
        <f aca="false">IF(J179="","",IF(I179="USD",ROUND(J179*설정!$C$4,0),J179))</f>
        <v/>
      </c>
      <c r="M179" s="8" t="str">
        <f aca="false">IF(L179="","",IF(AND(H179="과세",K179="VAT포함"),ROUND(L179/(1+설정!$C$5),0),L179))</f>
        <v/>
      </c>
      <c r="N179" s="8" t="str">
        <f aca="false">IF(L179="","",IF(H179="과세",IF(K179="VAT포함",L179-M179,ROUND(M179*설정!$C$5,0)),0))</f>
        <v/>
      </c>
      <c r="O179" s="8" t="str">
        <f aca="false">IF(L179="","",M179+N179)</f>
        <v/>
      </c>
      <c r="P179" s="25"/>
      <c r="Q179" s="8" t="str">
        <f aca="false">IF(OR(L179="",P179&lt;&gt;"Y"),"",ROUND(M179*설정!$C$5,0))</f>
        <v/>
      </c>
      <c r="R179" s="22"/>
    </row>
    <row r="180" customFormat="false" ht="15" hidden="false" customHeight="false" outlineLevel="0" collapsed="false">
      <c r="A180" s="21" t="str">
        <f aca="false">IF(B180="","",COUNTA($B$5:B180))</f>
        <v/>
      </c>
      <c r="B180" s="22"/>
      <c r="C180" s="23"/>
      <c r="D180" s="24"/>
      <c r="E180" s="7" t="str">
        <f aca="false">IF(D180="","",IFERROR(INDEX(코드관리!$C$7:$C$66,MATCH(D180,코드관리!$B$7:$B$66,0)),"미등록 코드"))</f>
        <v/>
      </c>
      <c r="F180" s="22"/>
      <c r="G180" s="22"/>
      <c r="H180" s="23"/>
      <c r="I180" s="25"/>
      <c r="J180" s="26"/>
      <c r="K180" s="25"/>
      <c r="L180" s="8" t="str">
        <f aca="false">IF(J180="","",IF(I180="USD",ROUND(J180*설정!$C$4,0),J180))</f>
        <v/>
      </c>
      <c r="M180" s="8" t="str">
        <f aca="false">IF(L180="","",IF(AND(H180="과세",K180="VAT포함"),ROUND(L180/(1+설정!$C$5),0),L180))</f>
        <v/>
      </c>
      <c r="N180" s="8" t="str">
        <f aca="false">IF(L180="","",IF(H180="과세",IF(K180="VAT포함",L180-M180,ROUND(M180*설정!$C$5,0)),0))</f>
        <v/>
      </c>
      <c r="O180" s="8" t="str">
        <f aca="false">IF(L180="","",M180+N180)</f>
        <v/>
      </c>
      <c r="P180" s="25"/>
      <c r="Q180" s="8" t="str">
        <f aca="false">IF(OR(L180="",P180&lt;&gt;"Y"),"",ROUND(M180*설정!$C$5,0))</f>
        <v/>
      </c>
      <c r="R180" s="22"/>
    </row>
    <row r="181" customFormat="false" ht="15" hidden="false" customHeight="false" outlineLevel="0" collapsed="false">
      <c r="A181" s="21" t="str">
        <f aca="false">IF(B181="","",COUNTA($B$5:B181))</f>
        <v/>
      </c>
      <c r="B181" s="22"/>
      <c r="C181" s="23"/>
      <c r="D181" s="24"/>
      <c r="E181" s="7" t="str">
        <f aca="false">IF(D181="","",IFERROR(INDEX(코드관리!$C$7:$C$66,MATCH(D181,코드관리!$B$7:$B$66,0)),"미등록 코드"))</f>
        <v/>
      </c>
      <c r="F181" s="22"/>
      <c r="G181" s="22"/>
      <c r="H181" s="23"/>
      <c r="I181" s="25"/>
      <c r="J181" s="26"/>
      <c r="K181" s="25"/>
      <c r="L181" s="8" t="str">
        <f aca="false">IF(J181="","",IF(I181="USD",ROUND(J181*설정!$C$4,0),J181))</f>
        <v/>
      </c>
      <c r="M181" s="8" t="str">
        <f aca="false">IF(L181="","",IF(AND(H181="과세",K181="VAT포함"),ROUND(L181/(1+설정!$C$5),0),L181))</f>
        <v/>
      </c>
      <c r="N181" s="8" t="str">
        <f aca="false">IF(L181="","",IF(H181="과세",IF(K181="VAT포함",L181-M181,ROUND(M181*설정!$C$5,0)),0))</f>
        <v/>
      </c>
      <c r="O181" s="8" t="str">
        <f aca="false">IF(L181="","",M181+N181)</f>
        <v/>
      </c>
      <c r="P181" s="25"/>
      <c r="Q181" s="8" t="str">
        <f aca="false">IF(OR(L181="",P181&lt;&gt;"Y"),"",ROUND(M181*설정!$C$5,0))</f>
        <v/>
      </c>
      <c r="R181" s="22"/>
    </row>
    <row r="182" customFormat="false" ht="15" hidden="false" customHeight="false" outlineLevel="0" collapsed="false">
      <c r="A182" s="21" t="str">
        <f aca="false">IF(B182="","",COUNTA($B$5:B182))</f>
        <v/>
      </c>
      <c r="B182" s="22"/>
      <c r="C182" s="23"/>
      <c r="D182" s="24"/>
      <c r="E182" s="7" t="str">
        <f aca="false">IF(D182="","",IFERROR(INDEX(코드관리!$C$7:$C$66,MATCH(D182,코드관리!$B$7:$B$66,0)),"미등록 코드"))</f>
        <v/>
      </c>
      <c r="F182" s="22"/>
      <c r="G182" s="22"/>
      <c r="H182" s="23"/>
      <c r="I182" s="25"/>
      <c r="J182" s="26"/>
      <c r="K182" s="25"/>
      <c r="L182" s="8" t="str">
        <f aca="false">IF(J182="","",IF(I182="USD",ROUND(J182*설정!$C$4,0),J182))</f>
        <v/>
      </c>
      <c r="M182" s="8" t="str">
        <f aca="false">IF(L182="","",IF(AND(H182="과세",K182="VAT포함"),ROUND(L182/(1+설정!$C$5),0),L182))</f>
        <v/>
      </c>
      <c r="N182" s="8" t="str">
        <f aca="false">IF(L182="","",IF(H182="과세",IF(K182="VAT포함",L182-M182,ROUND(M182*설정!$C$5,0)),0))</f>
        <v/>
      </c>
      <c r="O182" s="8" t="str">
        <f aca="false">IF(L182="","",M182+N182)</f>
        <v/>
      </c>
      <c r="P182" s="25"/>
      <c r="Q182" s="8" t="str">
        <f aca="false">IF(OR(L182="",P182&lt;&gt;"Y"),"",ROUND(M182*설정!$C$5,0))</f>
        <v/>
      </c>
      <c r="R182" s="22"/>
    </row>
    <row r="183" customFormat="false" ht="15" hidden="false" customHeight="false" outlineLevel="0" collapsed="false">
      <c r="A183" s="21" t="str">
        <f aca="false">IF(B183="","",COUNTA($B$5:B183))</f>
        <v/>
      </c>
      <c r="B183" s="22"/>
      <c r="C183" s="23"/>
      <c r="D183" s="24"/>
      <c r="E183" s="7" t="str">
        <f aca="false">IF(D183="","",IFERROR(INDEX(코드관리!$C$7:$C$66,MATCH(D183,코드관리!$B$7:$B$66,0)),"미등록 코드"))</f>
        <v/>
      </c>
      <c r="F183" s="22"/>
      <c r="G183" s="22"/>
      <c r="H183" s="23"/>
      <c r="I183" s="25"/>
      <c r="J183" s="26"/>
      <c r="K183" s="25"/>
      <c r="L183" s="8" t="str">
        <f aca="false">IF(J183="","",IF(I183="USD",ROUND(J183*설정!$C$4,0),J183))</f>
        <v/>
      </c>
      <c r="M183" s="8" t="str">
        <f aca="false">IF(L183="","",IF(AND(H183="과세",K183="VAT포함"),ROUND(L183/(1+설정!$C$5),0),L183))</f>
        <v/>
      </c>
      <c r="N183" s="8" t="str">
        <f aca="false">IF(L183="","",IF(H183="과세",IF(K183="VAT포함",L183-M183,ROUND(M183*설정!$C$5,0)),0))</f>
        <v/>
      </c>
      <c r="O183" s="8" t="str">
        <f aca="false">IF(L183="","",M183+N183)</f>
        <v/>
      </c>
      <c r="P183" s="25"/>
      <c r="Q183" s="8" t="str">
        <f aca="false">IF(OR(L183="",P183&lt;&gt;"Y"),"",ROUND(M183*설정!$C$5,0))</f>
        <v/>
      </c>
      <c r="R183" s="22"/>
    </row>
    <row r="184" customFormat="false" ht="15" hidden="false" customHeight="false" outlineLevel="0" collapsed="false">
      <c r="A184" s="21" t="str">
        <f aca="false">IF(B184="","",COUNTA($B$5:B184))</f>
        <v/>
      </c>
      <c r="B184" s="22"/>
      <c r="C184" s="23"/>
      <c r="D184" s="24"/>
      <c r="E184" s="7" t="str">
        <f aca="false">IF(D184="","",IFERROR(INDEX(코드관리!$C$7:$C$66,MATCH(D184,코드관리!$B$7:$B$66,0)),"미등록 코드"))</f>
        <v/>
      </c>
      <c r="F184" s="22"/>
      <c r="G184" s="22"/>
      <c r="H184" s="23"/>
      <c r="I184" s="25"/>
      <c r="J184" s="26"/>
      <c r="K184" s="25"/>
      <c r="L184" s="8" t="str">
        <f aca="false">IF(J184="","",IF(I184="USD",ROUND(J184*설정!$C$4,0),J184))</f>
        <v/>
      </c>
      <c r="M184" s="8" t="str">
        <f aca="false">IF(L184="","",IF(AND(H184="과세",K184="VAT포함"),ROUND(L184/(1+설정!$C$5),0),L184))</f>
        <v/>
      </c>
      <c r="N184" s="8" t="str">
        <f aca="false">IF(L184="","",IF(H184="과세",IF(K184="VAT포함",L184-M184,ROUND(M184*설정!$C$5,0)),0))</f>
        <v/>
      </c>
      <c r="O184" s="8" t="str">
        <f aca="false">IF(L184="","",M184+N184)</f>
        <v/>
      </c>
      <c r="P184" s="25"/>
      <c r="Q184" s="8" t="str">
        <f aca="false">IF(OR(L184="",P184&lt;&gt;"Y"),"",ROUND(M184*설정!$C$5,0))</f>
        <v/>
      </c>
      <c r="R184" s="22"/>
    </row>
    <row r="185" customFormat="false" ht="15" hidden="false" customHeight="false" outlineLevel="0" collapsed="false">
      <c r="A185" s="21" t="str">
        <f aca="false">IF(B185="","",COUNTA($B$5:B185))</f>
        <v/>
      </c>
      <c r="B185" s="22"/>
      <c r="C185" s="23"/>
      <c r="D185" s="24"/>
      <c r="E185" s="7" t="str">
        <f aca="false">IF(D185="","",IFERROR(INDEX(코드관리!$C$7:$C$66,MATCH(D185,코드관리!$B$7:$B$66,0)),"미등록 코드"))</f>
        <v/>
      </c>
      <c r="F185" s="22"/>
      <c r="G185" s="22"/>
      <c r="H185" s="23"/>
      <c r="I185" s="25"/>
      <c r="J185" s="26"/>
      <c r="K185" s="25"/>
      <c r="L185" s="8" t="str">
        <f aca="false">IF(J185="","",IF(I185="USD",ROUND(J185*설정!$C$4,0),J185))</f>
        <v/>
      </c>
      <c r="M185" s="8" t="str">
        <f aca="false">IF(L185="","",IF(AND(H185="과세",K185="VAT포함"),ROUND(L185/(1+설정!$C$5),0),L185))</f>
        <v/>
      </c>
      <c r="N185" s="8" t="str">
        <f aca="false">IF(L185="","",IF(H185="과세",IF(K185="VAT포함",L185-M185,ROUND(M185*설정!$C$5,0)),0))</f>
        <v/>
      </c>
      <c r="O185" s="8" t="str">
        <f aca="false">IF(L185="","",M185+N185)</f>
        <v/>
      </c>
      <c r="P185" s="25"/>
      <c r="Q185" s="8" t="str">
        <f aca="false">IF(OR(L185="",P185&lt;&gt;"Y"),"",ROUND(M185*설정!$C$5,0))</f>
        <v/>
      </c>
      <c r="R185" s="22"/>
    </row>
    <row r="186" customFormat="false" ht="15" hidden="false" customHeight="false" outlineLevel="0" collapsed="false">
      <c r="A186" s="21" t="str">
        <f aca="false">IF(B186="","",COUNTA($B$5:B186))</f>
        <v/>
      </c>
      <c r="B186" s="22"/>
      <c r="C186" s="23"/>
      <c r="D186" s="24"/>
      <c r="E186" s="7" t="str">
        <f aca="false">IF(D186="","",IFERROR(INDEX(코드관리!$C$7:$C$66,MATCH(D186,코드관리!$B$7:$B$66,0)),"미등록 코드"))</f>
        <v/>
      </c>
      <c r="F186" s="22"/>
      <c r="G186" s="22"/>
      <c r="H186" s="23"/>
      <c r="I186" s="25"/>
      <c r="J186" s="26"/>
      <c r="K186" s="25"/>
      <c r="L186" s="8" t="str">
        <f aca="false">IF(J186="","",IF(I186="USD",ROUND(J186*설정!$C$4,0),J186))</f>
        <v/>
      </c>
      <c r="M186" s="8" t="str">
        <f aca="false">IF(L186="","",IF(AND(H186="과세",K186="VAT포함"),ROUND(L186/(1+설정!$C$5),0),L186))</f>
        <v/>
      </c>
      <c r="N186" s="8" t="str">
        <f aca="false">IF(L186="","",IF(H186="과세",IF(K186="VAT포함",L186-M186,ROUND(M186*설정!$C$5,0)),0))</f>
        <v/>
      </c>
      <c r="O186" s="8" t="str">
        <f aca="false">IF(L186="","",M186+N186)</f>
        <v/>
      </c>
      <c r="P186" s="25"/>
      <c r="Q186" s="8" t="str">
        <f aca="false">IF(OR(L186="",P186&lt;&gt;"Y"),"",ROUND(M186*설정!$C$5,0))</f>
        <v/>
      </c>
      <c r="R186" s="22"/>
    </row>
    <row r="187" customFormat="false" ht="15" hidden="false" customHeight="false" outlineLevel="0" collapsed="false">
      <c r="A187" s="21" t="str">
        <f aca="false">IF(B187="","",COUNTA($B$5:B187))</f>
        <v/>
      </c>
      <c r="B187" s="22"/>
      <c r="C187" s="23"/>
      <c r="D187" s="24"/>
      <c r="E187" s="7" t="str">
        <f aca="false">IF(D187="","",IFERROR(INDEX(코드관리!$C$7:$C$66,MATCH(D187,코드관리!$B$7:$B$66,0)),"미등록 코드"))</f>
        <v/>
      </c>
      <c r="F187" s="22"/>
      <c r="G187" s="22"/>
      <c r="H187" s="23"/>
      <c r="I187" s="25"/>
      <c r="J187" s="26"/>
      <c r="K187" s="25"/>
      <c r="L187" s="8" t="str">
        <f aca="false">IF(J187="","",IF(I187="USD",ROUND(J187*설정!$C$4,0),J187))</f>
        <v/>
      </c>
      <c r="M187" s="8" t="str">
        <f aca="false">IF(L187="","",IF(AND(H187="과세",K187="VAT포함"),ROUND(L187/(1+설정!$C$5),0),L187))</f>
        <v/>
      </c>
      <c r="N187" s="8" t="str">
        <f aca="false">IF(L187="","",IF(H187="과세",IF(K187="VAT포함",L187-M187,ROUND(M187*설정!$C$5,0)),0))</f>
        <v/>
      </c>
      <c r="O187" s="8" t="str">
        <f aca="false">IF(L187="","",M187+N187)</f>
        <v/>
      </c>
      <c r="P187" s="25"/>
      <c r="Q187" s="8" t="str">
        <f aca="false">IF(OR(L187="",P187&lt;&gt;"Y"),"",ROUND(M187*설정!$C$5,0))</f>
        <v/>
      </c>
      <c r="R187" s="22"/>
    </row>
    <row r="188" customFormat="false" ht="15" hidden="false" customHeight="false" outlineLevel="0" collapsed="false">
      <c r="A188" s="21" t="str">
        <f aca="false">IF(B188="","",COUNTA($B$5:B188))</f>
        <v/>
      </c>
      <c r="B188" s="22"/>
      <c r="C188" s="23"/>
      <c r="D188" s="24"/>
      <c r="E188" s="7" t="str">
        <f aca="false">IF(D188="","",IFERROR(INDEX(코드관리!$C$7:$C$66,MATCH(D188,코드관리!$B$7:$B$66,0)),"미등록 코드"))</f>
        <v/>
      </c>
      <c r="F188" s="22"/>
      <c r="G188" s="22"/>
      <c r="H188" s="23"/>
      <c r="I188" s="25"/>
      <c r="J188" s="26"/>
      <c r="K188" s="25"/>
      <c r="L188" s="8" t="str">
        <f aca="false">IF(J188="","",IF(I188="USD",ROUND(J188*설정!$C$4,0),J188))</f>
        <v/>
      </c>
      <c r="M188" s="8" t="str">
        <f aca="false">IF(L188="","",IF(AND(H188="과세",K188="VAT포함"),ROUND(L188/(1+설정!$C$5),0),L188))</f>
        <v/>
      </c>
      <c r="N188" s="8" t="str">
        <f aca="false">IF(L188="","",IF(H188="과세",IF(K188="VAT포함",L188-M188,ROUND(M188*설정!$C$5,0)),0))</f>
        <v/>
      </c>
      <c r="O188" s="8" t="str">
        <f aca="false">IF(L188="","",M188+N188)</f>
        <v/>
      </c>
      <c r="P188" s="25"/>
      <c r="Q188" s="8" t="str">
        <f aca="false">IF(OR(L188="",P188&lt;&gt;"Y"),"",ROUND(M188*설정!$C$5,0))</f>
        <v/>
      </c>
      <c r="R188" s="22"/>
    </row>
    <row r="189" customFormat="false" ht="15" hidden="false" customHeight="false" outlineLevel="0" collapsed="false">
      <c r="A189" s="21" t="str">
        <f aca="false">IF(B189="","",COUNTA($B$5:B189))</f>
        <v/>
      </c>
      <c r="B189" s="22"/>
      <c r="C189" s="23"/>
      <c r="D189" s="24"/>
      <c r="E189" s="7" t="str">
        <f aca="false">IF(D189="","",IFERROR(INDEX(코드관리!$C$7:$C$66,MATCH(D189,코드관리!$B$7:$B$66,0)),"미등록 코드"))</f>
        <v/>
      </c>
      <c r="F189" s="22"/>
      <c r="G189" s="22"/>
      <c r="H189" s="23"/>
      <c r="I189" s="25"/>
      <c r="J189" s="26"/>
      <c r="K189" s="25"/>
      <c r="L189" s="8" t="str">
        <f aca="false">IF(J189="","",IF(I189="USD",ROUND(J189*설정!$C$4,0),J189))</f>
        <v/>
      </c>
      <c r="M189" s="8" t="str">
        <f aca="false">IF(L189="","",IF(AND(H189="과세",K189="VAT포함"),ROUND(L189/(1+설정!$C$5),0),L189))</f>
        <v/>
      </c>
      <c r="N189" s="8" t="str">
        <f aca="false">IF(L189="","",IF(H189="과세",IF(K189="VAT포함",L189-M189,ROUND(M189*설정!$C$5,0)),0))</f>
        <v/>
      </c>
      <c r="O189" s="8" t="str">
        <f aca="false">IF(L189="","",M189+N189)</f>
        <v/>
      </c>
      <c r="P189" s="25"/>
      <c r="Q189" s="8" t="str">
        <f aca="false">IF(OR(L189="",P189&lt;&gt;"Y"),"",ROUND(M189*설정!$C$5,0))</f>
        <v/>
      </c>
      <c r="R189" s="22"/>
    </row>
    <row r="190" customFormat="false" ht="15" hidden="false" customHeight="false" outlineLevel="0" collapsed="false">
      <c r="A190" s="21" t="str">
        <f aca="false">IF(B190="","",COUNTA($B$5:B190))</f>
        <v/>
      </c>
      <c r="B190" s="22"/>
      <c r="C190" s="23"/>
      <c r="D190" s="24"/>
      <c r="E190" s="7" t="str">
        <f aca="false">IF(D190="","",IFERROR(INDEX(코드관리!$C$7:$C$66,MATCH(D190,코드관리!$B$7:$B$66,0)),"미등록 코드"))</f>
        <v/>
      </c>
      <c r="F190" s="22"/>
      <c r="G190" s="22"/>
      <c r="H190" s="23"/>
      <c r="I190" s="25"/>
      <c r="J190" s="26"/>
      <c r="K190" s="25"/>
      <c r="L190" s="8" t="str">
        <f aca="false">IF(J190="","",IF(I190="USD",ROUND(J190*설정!$C$4,0),J190))</f>
        <v/>
      </c>
      <c r="M190" s="8" t="str">
        <f aca="false">IF(L190="","",IF(AND(H190="과세",K190="VAT포함"),ROUND(L190/(1+설정!$C$5),0),L190))</f>
        <v/>
      </c>
      <c r="N190" s="8" t="str">
        <f aca="false">IF(L190="","",IF(H190="과세",IF(K190="VAT포함",L190-M190,ROUND(M190*설정!$C$5,0)),0))</f>
        <v/>
      </c>
      <c r="O190" s="8" t="str">
        <f aca="false">IF(L190="","",M190+N190)</f>
        <v/>
      </c>
      <c r="P190" s="25"/>
      <c r="Q190" s="8" t="str">
        <f aca="false">IF(OR(L190="",P190&lt;&gt;"Y"),"",ROUND(M190*설정!$C$5,0))</f>
        <v/>
      </c>
      <c r="R190" s="22"/>
    </row>
    <row r="191" customFormat="false" ht="15" hidden="false" customHeight="false" outlineLevel="0" collapsed="false">
      <c r="A191" s="21" t="str">
        <f aca="false">IF(B191="","",COUNTA($B$5:B191))</f>
        <v/>
      </c>
      <c r="B191" s="22"/>
      <c r="C191" s="23"/>
      <c r="D191" s="24"/>
      <c r="E191" s="7" t="str">
        <f aca="false">IF(D191="","",IFERROR(INDEX(코드관리!$C$7:$C$66,MATCH(D191,코드관리!$B$7:$B$66,0)),"미등록 코드"))</f>
        <v/>
      </c>
      <c r="F191" s="22"/>
      <c r="G191" s="22"/>
      <c r="H191" s="23"/>
      <c r="I191" s="25"/>
      <c r="J191" s="26"/>
      <c r="K191" s="25"/>
      <c r="L191" s="8" t="str">
        <f aca="false">IF(J191="","",IF(I191="USD",ROUND(J191*설정!$C$4,0),J191))</f>
        <v/>
      </c>
      <c r="M191" s="8" t="str">
        <f aca="false">IF(L191="","",IF(AND(H191="과세",K191="VAT포함"),ROUND(L191/(1+설정!$C$5),0),L191))</f>
        <v/>
      </c>
      <c r="N191" s="8" t="str">
        <f aca="false">IF(L191="","",IF(H191="과세",IF(K191="VAT포함",L191-M191,ROUND(M191*설정!$C$5,0)),0))</f>
        <v/>
      </c>
      <c r="O191" s="8" t="str">
        <f aca="false">IF(L191="","",M191+N191)</f>
        <v/>
      </c>
      <c r="P191" s="25"/>
      <c r="Q191" s="8" t="str">
        <f aca="false">IF(OR(L191="",P191&lt;&gt;"Y"),"",ROUND(M191*설정!$C$5,0))</f>
        <v/>
      </c>
      <c r="R191" s="22"/>
    </row>
    <row r="192" customFormat="false" ht="15" hidden="false" customHeight="false" outlineLevel="0" collapsed="false">
      <c r="A192" s="21" t="str">
        <f aca="false">IF(B192="","",COUNTA($B$5:B192))</f>
        <v/>
      </c>
      <c r="B192" s="22"/>
      <c r="C192" s="23"/>
      <c r="D192" s="24"/>
      <c r="E192" s="7" t="str">
        <f aca="false">IF(D192="","",IFERROR(INDEX(코드관리!$C$7:$C$66,MATCH(D192,코드관리!$B$7:$B$66,0)),"미등록 코드"))</f>
        <v/>
      </c>
      <c r="F192" s="22"/>
      <c r="G192" s="22"/>
      <c r="H192" s="23"/>
      <c r="I192" s="25"/>
      <c r="J192" s="26"/>
      <c r="K192" s="25"/>
      <c r="L192" s="8" t="str">
        <f aca="false">IF(J192="","",IF(I192="USD",ROUND(J192*설정!$C$4,0),J192))</f>
        <v/>
      </c>
      <c r="M192" s="8" t="str">
        <f aca="false">IF(L192="","",IF(AND(H192="과세",K192="VAT포함"),ROUND(L192/(1+설정!$C$5),0),L192))</f>
        <v/>
      </c>
      <c r="N192" s="8" t="str">
        <f aca="false">IF(L192="","",IF(H192="과세",IF(K192="VAT포함",L192-M192,ROUND(M192*설정!$C$5,0)),0))</f>
        <v/>
      </c>
      <c r="O192" s="8" t="str">
        <f aca="false">IF(L192="","",M192+N192)</f>
        <v/>
      </c>
      <c r="P192" s="25"/>
      <c r="Q192" s="8" t="str">
        <f aca="false">IF(OR(L192="",P192&lt;&gt;"Y"),"",ROUND(M192*설정!$C$5,0))</f>
        <v/>
      </c>
      <c r="R192" s="22"/>
    </row>
    <row r="193" customFormat="false" ht="15" hidden="false" customHeight="false" outlineLevel="0" collapsed="false">
      <c r="A193" s="21" t="str">
        <f aca="false">IF(B193="","",COUNTA($B$5:B193))</f>
        <v/>
      </c>
      <c r="B193" s="22"/>
      <c r="C193" s="23"/>
      <c r="D193" s="24"/>
      <c r="E193" s="7" t="str">
        <f aca="false">IF(D193="","",IFERROR(INDEX(코드관리!$C$7:$C$66,MATCH(D193,코드관리!$B$7:$B$66,0)),"미등록 코드"))</f>
        <v/>
      </c>
      <c r="F193" s="22"/>
      <c r="G193" s="22"/>
      <c r="H193" s="23"/>
      <c r="I193" s="25"/>
      <c r="J193" s="26"/>
      <c r="K193" s="25"/>
      <c r="L193" s="8" t="str">
        <f aca="false">IF(J193="","",IF(I193="USD",ROUND(J193*설정!$C$4,0),J193))</f>
        <v/>
      </c>
      <c r="M193" s="8" t="str">
        <f aca="false">IF(L193="","",IF(AND(H193="과세",K193="VAT포함"),ROUND(L193/(1+설정!$C$5),0),L193))</f>
        <v/>
      </c>
      <c r="N193" s="8" t="str">
        <f aca="false">IF(L193="","",IF(H193="과세",IF(K193="VAT포함",L193-M193,ROUND(M193*설정!$C$5,0)),0))</f>
        <v/>
      </c>
      <c r="O193" s="8" t="str">
        <f aca="false">IF(L193="","",M193+N193)</f>
        <v/>
      </c>
      <c r="P193" s="25"/>
      <c r="Q193" s="8" t="str">
        <f aca="false">IF(OR(L193="",P193&lt;&gt;"Y"),"",ROUND(M193*설정!$C$5,0))</f>
        <v/>
      </c>
      <c r="R193" s="22"/>
    </row>
    <row r="194" customFormat="false" ht="15" hidden="false" customHeight="false" outlineLevel="0" collapsed="false">
      <c r="A194" s="21" t="str">
        <f aca="false">IF(B194="","",COUNTA($B$5:B194))</f>
        <v/>
      </c>
      <c r="B194" s="22"/>
      <c r="C194" s="23"/>
      <c r="D194" s="24"/>
      <c r="E194" s="7" t="str">
        <f aca="false">IF(D194="","",IFERROR(INDEX(코드관리!$C$7:$C$66,MATCH(D194,코드관리!$B$7:$B$66,0)),"미등록 코드"))</f>
        <v/>
      </c>
      <c r="F194" s="22"/>
      <c r="G194" s="22"/>
      <c r="H194" s="23"/>
      <c r="I194" s="25"/>
      <c r="J194" s="26"/>
      <c r="K194" s="25"/>
      <c r="L194" s="8" t="str">
        <f aca="false">IF(J194="","",IF(I194="USD",ROUND(J194*설정!$C$4,0),J194))</f>
        <v/>
      </c>
      <c r="M194" s="8" t="str">
        <f aca="false">IF(L194="","",IF(AND(H194="과세",K194="VAT포함"),ROUND(L194/(1+설정!$C$5),0),L194))</f>
        <v/>
      </c>
      <c r="N194" s="8" t="str">
        <f aca="false">IF(L194="","",IF(H194="과세",IF(K194="VAT포함",L194-M194,ROUND(M194*설정!$C$5,0)),0))</f>
        <v/>
      </c>
      <c r="O194" s="8" t="str">
        <f aca="false">IF(L194="","",M194+N194)</f>
        <v/>
      </c>
      <c r="P194" s="25"/>
      <c r="Q194" s="8" t="str">
        <f aca="false">IF(OR(L194="",P194&lt;&gt;"Y"),"",ROUND(M194*설정!$C$5,0))</f>
        <v/>
      </c>
      <c r="R194" s="22"/>
    </row>
    <row r="195" customFormat="false" ht="15" hidden="false" customHeight="false" outlineLevel="0" collapsed="false">
      <c r="A195" s="21" t="str">
        <f aca="false">IF(B195="","",COUNTA($B$5:B195))</f>
        <v/>
      </c>
      <c r="B195" s="22"/>
      <c r="C195" s="23"/>
      <c r="D195" s="24"/>
      <c r="E195" s="7" t="str">
        <f aca="false">IF(D195="","",IFERROR(INDEX(코드관리!$C$7:$C$66,MATCH(D195,코드관리!$B$7:$B$66,0)),"미등록 코드"))</f>
        <v/>
      </c>
      <c r="F195" s="22"/>
      <c r="G195" s="22"/>
      <c r="H195" s="23"/>
      <c r="I195" s="25"/>
      <c r="J195" s="26"/>
      <c r="K195" s="25"/>
      <c r="L195" s="8" t="str">
        <f aca="false">IF(J195="","",IF(I195="USD",ROUND(J195*설정!$C$4,0),J195))</f>
        <v/>
      </c>
      <c r="M195" s="8" t="str">
        <f aca="false">IF(L195="","",IF(AND(H195="과세",K195="VAT포함"),ROUND(L195/(1+설정!$C$5),0),L195))</f>
        <v/>
      </c>
      <c r="N195" s="8" t="str">
        <f aca="false">IF(L195="","",IF(H195="과세",IF(K195="VAT포함",L195-M195,ROUND(M195*설정!$C$5,0)),0))</f>
        <v/>
      </c>
      <c r="O195" s="8" t="str">
        <f aca="false">IF(L195="","",M195+N195)</f>
        <v/>
      </c>
      <c r="P195" s="25"/>
      <c r="Q195" s="8" t="str">
        <f aca="false">IF(OR(L195="",P195&lt;&gt;"Y"),"",ROUND(M195*설정!$C$5,0))</f>
        <v/>
      </c>
      <c r="R195" s="22"/>
    </row>
    <row r="196" customFormat="false" ht="15" hidden="false" customHeight="false" outlineLevel="0" collapsed="false">
      <c r="A196" s="21" t="str">
        <f aca="false">IF(B196="","",COUNTA($B$5:B196))</f>
        <v/>
      </c>
      <c r="B196" s="22"/>
      <c r="C196" s="23"/>
      <c r="D196" s="24"/>
      <c r="E196" s="7" t="str">
        <f aca="false">IF(D196="","",IFERROR(INDEX(코드관리!$C$7:$C$66,MATCH(D196,코드관리!$B$7:$B$66,0)),"미등록 코드"))</f>
        <v/>
      </c>
      <c r="F196" s="22"/>
      <c r="G196" s="22"/>
      <c r="H196" s="23"/>
      <c r="I196" s="25"/>
      <c r="J196" s="26"/>
      <c r="K196" s="25"/>
      <c r="L196" s="8" t="str">
        <f aca="false">IF(J196="","",IF(I196="USD",ROUND(J196*설정!$C$4,0),J196))</f>
        <v/>
      </c>
      <c r="M196" s="8" t="str">
        <f aca="false">IF(L196="","",IF(AND(H196="과세",K196="VAT포함"),ROUND(L196/(1+설정!$C$5),0),L196))</f>
        <v/>
      </c>
      <c r="N196" s="8" t="str">
        <f aca="false">IF(L196="","",IF(H196="과세",IF(K196="VAT포함",L196-M196,ROUND(M196*설정!$C$5,0)),0))</f>
        <v/>
      </c>
      <c r="O196" s="8" t="str">
        <f aca="false">IF(L196="","",M196+N196)</f>
        <v/>
      </c>
      <c r="P196" s="25"/>
      <c r="Q196" s="8" t="str">
        <f aca="false">IF(OR(L196="",P196&lt;&gt;"Y"),"",ROUND(M196*설정!$C$5,0))</f>
        <v/>
      </c>
      <c r="R196" s="22"/>
    </row>
    <row r="197" customFormat="false" ht="15" hidden="false" customHeight="false" outlineLevel="0" collapsed="false">
      <c r="A197" s="21" t="str">
        <f aca="false">IF(B197="","",COUNTA($B$5:B197))</f>
        <v/>
      </c>
      <c r="B197" s="22"/>
      <c r="C197" s="23"/>
      <c r="D197" s="24"/>
      <c r="E197" s="7" t="str">
        <f aca="false">IF(D197="","",IFERROR(INDEX(코드관리!$C$7:$C$66,MATCH(D197,코드관리!$B$7:$B$66,0)),"미등록 코드"))</f>
        <v/>
      </c>
      <c r="F197" s="22"/>
      <c r="G197" s="22"/>
      <c r="H197" s="23"/>
      <c r="I197" s="25"/>
      <c r="J197" s="26"/>
      <c r="K197" s="25"/>
      <c r="L197" s="8" t="str">
        <f aca="false">IF(J197="","",IF(I197="USD",ROUND(J197*설정!$C$4,0),J197))</f>
        <v/>
      </c>
      <c r="M197" s="8" t="str">
        <f aca="false">IF(L197="","",IF(AND(H197="과세",K197="VAT포함"),ROUND(L197/(1+설정!$C$5),0),L197))</f>
        <v/>
      </c>
      <c r="N197" s="8" t="str">
        <f aca="false">IF(L197="","",IF(H197="과세",IF(K197="VAT포함",L197-M197,ROUND(M197*설정!$C$5,0)),0))</f>
        <v/>
      </c>
      <c r="O197" s="8" t="str">
        <f aca="false">IF(L197="","",M197+N197)</f>
        <v/>
      </c>
      <c r="P197" s="25"/>
      <c r="Q197" s="8" t="str">
        <f aca="false">IF(OR(L197="",P197&lt;&gt;"Y"),"",ROUND(M197*설정!$C$5,0))</f>
        <v/>
      </c>
      <c r="R197" s="22"/>
    </row>
    <row r="198" customFormat="false" ht="15" hidden="false" customHeight="false" outlineLevel="0" collapsed="false">
      <c r="A198" s="21" t="str">
        <f aca="false">IF(B198="","",COUNTA($B$5:B198))</f>
        <v/>
      </c>
      <c r="B198" s="22"/>
      <c r="C198" s="23"/>
      <c r="D198" s="24"/>
      <c r="E198" s="7" t="str">
        <f aca="false">IF(D198="","",IFERROR(INDEX(코드관리!$C$7:$C$66,MATCH(D198,코드관리!$B$7:$B$66,0)),"미등록 코드"))</f>
        <v/>
      </c>
      <c r="F198" s="22"/>
      <c r="G198" s="22"/>
      <c r="H198" s="23"/>
      <c r="I198" s="25"/>
      <c r="J198" s="26"/>
      <c r="K198" s="25"/>
      <c r="L198" s="8" t="str">
        <f aca="false">IF(J198="","",IF(I198="USD",ROUND(J198*설정!$C$4,0),J198))</f>
        <v/>
      </c>
      <c r="M198" s="8" t="str">
        <f aca="false">IF(L198="","",IF(AND(H198="과세",K198="VAT포함"),ROUND(L198/(1+설정!$C$5),0),L198))</f>
        <v/>
      </c>
      <c r="N198" s="8" t="str">
        <f aca="false">IF(L198="","",IF(H198="과세",IF(K198="VAT포함",L198-M198,ROUND(M198*설정!$C$5,0)),0))</f>
        <v/>
      </c>
      <c r="O198" s="8" t="str">
        <f aca="false">IF(L198="","",M198+N198)</f>
        <v/>
      </c>
      <c r="P198" s="25"/>
      <c r="Q198" s="8" t="str">
        <f aca="false">IF(OR(L198="",P198&lt;&gt;"Y"),"",ROUND(M198*설정!$C$5,0))</f>
        <v/>
      </c>
      <c r="R198" s="22"/>
    </row>
    <row r="199" customFormat="false" ht="15" hidden="false" customHeight="false" outlineLevel="0" collapsed="false">
      <c r="A199" s="21" t="str">
        <f aca="false">IF(B199="","",COUNTA($B$5:B199))</f>
        <v/>
      </c>
      <c r="B199" s="22"/>
      <c r="C199" s="23"/>
      <c r="D199" s="24"/>
      <c r="E199" s="7" t="str">
        <f aca="false">IF(D199="","",IFERROR(INDEX(코드관리!$C$7:$C$66,MATCH(D199,코드관리!$B$7:$B$66,0)),"미등록 코드"))</f>
        <v/>
      </c>
      <c r="F199" s="22"/>
      <c r="G199" s="22"/>
      <c r="H199" s="23"/>
      <c r="I199" s="25"/>
      <c r="J199" s="26"/>
      <c r="K199" s="25"/>
      <c r="L199" s="8" t="str">
        <f aca="false">IF(J199="","",IF(I199="USD",ROUND(J199*설정!$C$4,0),J199))</f>
        <v/>
      </c>
      <c r="M199" s="8" t="str">
        <f aca="false">IF(L199="","",IF(AND(H199="과세",K199="VAT포함"),ROUND(L199/(1+설정!$C$5),0),L199))</f>
        <v/>
      </c>
      <c r="N199" s="8" t="str">
        <f aca="false">IF(L199="","",IF(H199="과세",IF(K199="VAT포함",L199-M199,ROUND(M199*설정!$C$5,0)),0))</f>
        <v/>
      </c>
      <c r="O199" s="8" t="str">
        <f aca="false">IF(L199="","",M199+N199)</f>
        <v/>
      </c>
      <c r="P199" s="25"/>
      <c r="Q199" s="8" t="str">
        <f aca="false">IF(OR(L199="",P199&lt;&gt;"Y"),"",ROUND(M199*설정!$C$5,0))</f>
        <v/>
      </c>
      <c r="R199" s="22"/>
    </row>
    <row r="200" customFormat="false" ht="15" hidden="false" customHeight="false" outlineLevel="0" collapsed="false">
      <c r="A200" s="21" t="str">
        <f aca="false">IF(B200="","",COUNTA($B$5:B200))</f>
        <v/>
      </c>
      <c r="B200" s="22"/>
      <c r="C200" s="23"/>
      <c r="D200" s="24"/>
      <c r="E200" s="7" t="str">
        <f aca="false">IF(D200="","",IFERROR(INDEX(코드관리!$C$7:$C$66,MATCH(D200,코드관리!$B$7:$B$66,0)),"미등록 코드"))</f>
        <v/>
      </c>
      <c r="F200" s="22"/>
      <c r="G200" s="22"/>
      <c r="H200" s="23"/>
      <c r="I200" s="25"/>
      <c r="J200" s="26"/>
      <c r="K200" s="25"/>
      <c r="L200" s="8" t="str">
        <f aca="false">IF(J200="","",IF(I200="USD",ROUND(J200*설정!$C$4,0),J200))</f>
        <v/>
      </c>
      <c r="M200" s="8" t="str">
        <f aca="false">IF(L200="","",IF(AND(H200="과세",K200="VAT포함"),ROUND(L200/(1+설정!$C$5),0),L200))</f>
        <v/>
      </c>
      <c r="N200" s="8" t="str">
        <f aca="false">IF(L200="","",IF(H200="과세",IF(K200="VAT포함",L200-M200,ROUND(M200*설정!$C$5,0)),0))</f>
        <v/>
      </c>
      <c r="O200" s="8" t="str">
        <f aca="false">IF(L200="","",M200+N200)</f>
        <v/>
      </c>
      <c r="P200" s="25"/>
      <c r="Q200" s="8" t="str">
        <f aca="false">IF(OR(L200="",P200&lt;&gt;"Y"),"",ROUND(M200*설정!$C$5,0))</f>
        <v/>
      </c>
      <c r="R200" s="22"/>
    </row>
    <row r="201" customFormat="false" ht="15" hidden="false" customHeight="false" outlineLevel="0" collapsed="false">
      <c r="A201" s="21" t="str">
        <f aca="false">IF(B201="","",COUNTA($B$5:B201))</f>
        <v/>
      </c>
      <c r="B201" s="22"/>
      <c r="C201" s="23"/>
      <c r="D201" s="24"/>
      <c r="E201" s="7" t="str">
        <f aca="false">IF(D201="","",IFERROR(INDEX(코드관리!$C$7:$C$66,MATCH(D201,코드관리!$B$7:$B$66,0)),"미등록 코드"))</f>
        <v/>
      </c>
      <c r="F201" s="22"/>
      <c r="G201" s="22"/>
      <c r="H201" s="23"/>
      <c r="I201" s="25"/>
      <c r="J201" s="26"/>
      <c r="K201" s="25"/>
      <c r="L201" s="8" t="str">
        <f aca="false">IF(J201="","",IF(I201="USD",ROUND(J201*설정!$C$4,0),J201))</f>
        <v/>
      </c>
      <c r="M201" s="8" t="str">
        <f aca="false">IF(L201="","",IF(AND(H201="과세",K201="VAT포함"),ROUND(L201/(1+설정!$C$5),0),L201))</f>
        <v/>
      </c>
      <c r="N201" s="8" t="str">
        <f aca="false">IF(L201="","",IF(H201="과세",IF(K201="VAT포함",L201-M201,ROUND(M201*설정!$C$5,0)),0))</f>
        <v/>
      </c>
      <c r="O201" s="8" t="str">
        <f aca="false">IF(L201="","",M201+N201)</f>
        <v/>
      </c>
      <c r="P201" s="25"/>
      <c r="Q201" s="8" t="str">
        <f aca="false">IF(OR(L201="",P201&lt;&gt;"Y"),"",ROUND(M201*설정!$C$5,0))</f>
        <v/>
      </c>
      <c r="R201" s="22"/>
    </row>
    <row r="202" customFormat="false" ht="15" hidden="false" customHeight="false" outlineLevel="0" collapsed="false">
      <c r="A202" s="21" t="str">
        <f aca="false">IF(B202="","",COUNTA($B$5:B202))</f>
        <v/>
      </c>
      <c r="B202" s="22"/>
      <c r="C202" s="23"/>
      <c r="D202" s="24"/>
      <c r="E202" s="7" t="str">
        <f aca="false">IF(D202="","",IFERROR(INDEX(코드관리!$C$7:$C$66,MATCH(D202,코드관리!$B$7:$B$66,0)),"미등록 코드"))</f>
        <v/>
      </c>
      <c r="F202" s="22"/>
      <c r="G202" s="22"/>
      <c r="H202" s="23"/>
      <c r="I202" s="25"/>
      <c r="J202" s="26"/>
      <c r="K202" s="25"/>
      <c r="L202" s="8" t="str">
        <f aca="false">IF(J202="","",IF(I202="USD",ROUND(J202*설정!$C$4,0),J202))</f>
        <v/>
      </c>
      <c r="M202" s="8" t="str">
        <f aca="false">IF(L202="","",IF(AND(H202="과세",K202="VAT포함"),ROUND(L202/(1+설정!$C$5),0),L202))</f>
        <v/>
      </c>
      <c r="N202" s="8" t="str">
        <f aca="false">IF(L202="","",IF(H202="과세",IF(K202="VAT포함",L202-M202,ROUND(M202*설정!$C$5,0)),0))</f>
        <v/>
      </c>
      <c r="O202" s="8" t="str">
        <f aca="false">IF(L202="","",M202+N202)</f>
        <v/>
      </c>
      <c r="P202" s="25"/>
      <c r="Q202" s="8" t="str">
        <f aca="false">IF(OR(L202="",P202&lt;&gt;"Y"),"",ROUND(M202*설정!$C$5,0))</f>
        <v/>
      </c>
      <c r="R202" s="22"/>
    </row>
    <row r="203" customFormat="false" ht="15" hidden="false" customHeight="false" outlineLevel="0" collapsed="false">
      <c r="A203" s="21" t="str">
        <f aca="false">IF(B203="","",COUNTA($B$5:B203))</f>
        <v/>
      </c>
      <c r="B203" s="22"/>
      <c r="C203" s="23"/>
      <c r="D203" s="24"/>
      <c r="E203" s="7" t="str">
        <f aca="false">IF(D203="","",IFERROR(INDEX(코드관리!$C$7:$C$66,MATCH(D203,코드관리!$B$7:$B$66,0)),"미등록 코드"))</f>
        <v/>
      </c>
      <c r="F203" s="22"/>
      <c r="G203" s="22"/>
      <c r="H203" s="23"/>
      <c r="I203" s="25"/>
      <c r="J203" s="26"/>
      <c r="K203" s="25"/>
      <c r="L203" s="8" t="str">
        <f aca="false">IF(J203="","",IF(I203="USD",ROUND(J203*설정!$C$4,0),J203))</f>
        <v/>
      </c>
      <c r="M203" s="8" t="str">
        <f aca="false">IF(L203="","",IF(AND(H203="과세",K203="VAT포함"),ROUND(L203/(1+설정!$C$5),0),L203))</f>
        <v/>
      </c>
      <c r="N203" s="8" t="str">
        <f aca="false">IF(L203="","",IF(H203="과세",IF(K203="VAT포함",L203-M203,ROUND(M203*설정!$C$5,0)),0))</f>
        <v/>
      </c>
      <c r="O203" s="8" t="str">
        <f aca="false">IF(L203="","",M203+N203)</f>
        <v/>
      </c>
      <c r="P203" s="25"/>
      <c r="Q203" s="8" t="str">
        <f aca="false">IF(OR(L203="",P203&lt;&gt;"Y"),"",ROUND(M203*설정!$C$5,0))</f>
        <v/>
      </c>
      <c r="R203" s="22"/>
    </row>
    <row r="204" customFormat="false" ht="15" hidden="false" customHeight="false" outlineLevel="0" collapsed="false">
      <c r="A204" s="21" t="str">
        <f aca="false">IF(B204="","",COUNTA($B$5:B204))</f>
        <v/>
      </c>
      <c r="B204" s="22"/>
      <c r="C204" s="23"/>
      <c r="D204" s="24"/>
      <c r="E204" s="7" t="str">
        <f aca="false">IF(D204="","",IFERROR(INDEX(코드관리!$C$7:$C$66,MATCH(D204,코드관리!$B$7:$B$66,0)),"미등록 코드"))</f>
        <v/>
      </c>
      <c r="F204" s="22"/>
      <c r="G204" s="22"/>
      <c r="H204" s="23"/>
      <c r="I204" s="25"/>
      <c r="J204" s="26"/>
      <c r="K204" s="25"/>
      <c r="L204" s="8" t="str">
        <f aca="false">IF(J204="","",IF(I204="USD",ROUND(J204*설정!$C$4,0),J204))</f>
        <v/>
      </c>
      <c r="M204" s="8" t="str">
        <f aca="false">IF(L204="","",IF(AND(H204="과세",K204="VAT포함"),ROUND(L204/(1+설정!$C$5),0),L204))</f>
        <v/>
      </c>
      <c r="N204" s="8" t="str">
        <f aca="false">IF(L204="","",IF(H204="과세",IF(K204="VAT포함",L204-M204,ROUND(M204*설정!$C$5,0)),0))</f>
        <v/>
      </c>
      <c r="O204" s="8" t="str">
        <f aca="false">IF(L204="","",M204+N204)</f>
        <v/>
      </c>
      <c r="P204" s="25"/>
      <c r="Q204" s="8" t="str">
        <f aca="false">IF(OR(L204="",P204&lt;&gt;"Y"),"",ROUND(M204*설정!$C$5,0))</f>
        <v/>
      </c>
      <c r="R204" s="22"/>
    </row>
    <row r="205" customFormat="false" ht="15" hidden="false" customHeight="false" outlineLevel="0" collapsed="false">
      <c r="A205" s="21" t="str">
        <f aca="false">IF(B205="","",COUNTA($B$5:B205))</f>
        <v/>
      </c>
      <c r="B205" s="22"/>
      <c r="C205" s="23"/>
      <c r="D205" s="24"/>
      <c r="E205" s="7" t="str">
        <f aca="false">IF(D205="","",IFERROR(INDEX(코드관리!$C$7:$C$66,MATCH(D205,코드관리!$B$7:$B$66,0)),"미등록 코드"))</f>
        <v/>
      </c>
      <c r="F205" s="22"/>
      <c r="G205" s="22"/>
      <c r="H205" s="23"/>
      <c r="I205" s="25"/>
      <c r="J205" s="26"/>
      <c r="K205" s="25"/>
      <c r="L205" s="8" t="str">
        <f aca="false">IF(J205="","",IF(I205="USD",ROUND(J205*설정!$C$4,0),J205))</f>
        <v/>
      </c>
      <c r="M205" s="8" t="str">
        <f aca="false">IF(L205="","",IF(AND(H205="과세",K205="VAT포함"),ROUND(L205/(1+설정!$C$5),0),L205))</f>
        <v/>
      </c>
      <c r="N205" s="8" t="str">
        <f aca="false">IF(L205="","",IF(H205="과세",IF(K205="VAT포함",L205-M205,ROUND(M205*설정!$C$5,0)),0))</f>
        <v/>
      </c>
      <c r="O205" s="8" t="str">
        <f aca="false">IF(L205="","",M205+N205)</f>
        <v/>
      </c>
      <c r="P205" s="25"/>
      <c r="Q205" s="8" t="str">
        <f aca="false">IF(OR(L205="",P205&lt;&gt;"Y"),"",ROUND(M205*설정!$C$5,0))</f>
        <v/>
      </c>
      <c r="R205" s="22"/>
    </row>
    <row r="206" customFormat="false" ht="15" hidden="false" customHeight="false" outlineLevel="0" collapsed="false">
      <c r="A206" s="11"/>
      <c r="B206" s="12" t="s">
        <v>26</v>
      </c>
      <c r="C206" s="11"/>
      <c r="D206" s="11"/>
      <c r="E206" s="11"/>
      <c r="F206" s="11"/>
      <c r="G206" s="11"/>
      <c r="H206" s="11"/>
      <c r="I206" s="11"/>
      <c r="J206" s="13"/>
      <c r="K206" s="13"/>
      <c r="L206" s="13" t="n">
        <f aca="false">SUM(L5:L205)</f>
        <v>543436442</v>
      </c>
      <c r="M206" s="13" t="n">
        <f aca="false">SUM(M5:M205)</f>
        <v>543281242</v>
      </c>
      <c r="N206" s="13" t="n">
        <f aca="false">SUM(N5:N205)</f>
        <v>155200</v>
      </c>
      <c r="O206" s="13" t="n">
        <f aca="false">SUM(O5:O205)</f>
        <v>543436442</v>
      </c>
      <c r="P206" s="13"/>
      <c r="Q206" s="13" t="n">
        <f aca="false">SUM(Q5:Q205)</f>
        <v>3990000</v>
      </c>
      <c r="R206" s="13"/>
    </row>
  </sheetData>
  <autoFilter ref="A4:R205"/>
  <dataValidations count="7">
    <dataValidation allowBlank="true" errorStyle="stop" operator="between" showDropDown="false" showErrorMessage="false" showInputMessage="false" sqref="B5:B205" type="list">
      <formula1>설정!$F$10:$F$30</formula1>
      <formula2>0</formula2>
    </dataValidation>
    <dataValidation allowBlank="true" errorStyle="stop" operator="between" showDropDown="false" showErrorMessage="true" showInputMessage="false" sqref="C5:C205" type="list">
      <formula1>설정!$B$10:$B$14</formula1>
      <formula2>0</formula2>
    </dataValidation>
    <dataValidation allowBlank="true" errorStyle="stop" operator="between" showDropDown="false" showErrorMessage="false" showInputMessage="false" sqref="D5:D205" type="list">
      <formula1>코드관리!$B$7:$B$66</formula1>
      <formula2>0</formula2>
    </dataValidation>
    <dataValidation allowBlank="true" errorStyle="stop" operator="between" showDropDown="false" showErrorMessage="true" showInputMessage="false" sqref="H5:H205" type="list">
      <formula1>설정!$C$10:$C$11</formula1>
      <formula2>0</formula2>
    </dataValidation>
    <dataValidation allowBlank="true" errorStyle="stop" operator="between" showDropDown="false" showErrorMessage="true" showInputMessage="false" sqref="I5:I205" type="list">
      <formula1>설정!$E$10:$E$11</formula1>
      <formula2>0</formula2>
    </dataValidation>
    <dataValidation allowBlank="true" errorStyle="stop" operator="between" showDropDown="false" showErrorMessage="true" showInputMessage="false" sqref="K5:K205" type="list">
      <formula1>설정!$D$10:$D$11</formula1>
      <formula2>0</formula2>
    </dataValidation>
    <dataValidation allowBlank="true" errorStyle="stop" operator="between" showDropDown="false" showErrorMessage="false" showInputMessage="false" sqref="P5:P205" type="list">
      <formula1>"Y"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6" min="5" style="0" width="2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24"/>
  </cols>
  <sheetData>
    <row r="2" customFormat="false" ht="17.35" hidden="false" customHeight="false" outlineLevel="0" collapsed="false">
      <c r="B2" s="27" t="s">
        <v>89</v>
      </c>
    </row>
    <row r="3" customFormat="false" ht="15" hidden="false" customHeight="false" outlineLevel="0" collapsed="false">
      <c r="B3" s="2" t="s">
        <v>90</v>
      </c>
    </row>
    <row r="5" customFormat="false" ht="15" hidden="false" customHeight="false" outlineLevel="0" collapsed="false">
      <c r="B5" s="28" t="s">
        <v>91</v>
      </c>
      <c r="G5" s="15" t="s">
        <v>92</v>
      </c>
    </row>
    <row r="6" customFormat="false" ht="15" hidden="false" customHeight="false" outlineLevel="0" collapsed="false">
      <c r="B6" s="4" t="s">
        <v>39</v>
      </c>
      <c r="C6" s="5" t="s">
        <v>93</v>
      </c>
      <c r="D6" s="5" t="s">
        <v>94</v>
      </c>
      <c r="G6" s="5" t="s">
        <v>3</v>
      </c>
      <c r="H6" s="5" t="s">
        <v>41</v>
      </c>
      <c r="I6" s="5" t="s">
        <v>95</v>
      </c>
      <c r="J6" s="5" t="s">
        <v>96</v>
      </c>
      <c r="K6" s="5" t="s">
        <v>97</v>
      </c>
    </row>
    <row r="7" customFormat="false" ht="15" hidden="false" customHeight="false" outlineLevel="0" collapsed="false">
      <c r="B7" s="22"/>
      <c r="C7" s="22"/>
      <c r="D7" s="22"/>
      <c r="G7" s="29" t="s">
        <v>98</v>
      </c>
      <c r="H7" s="29" t="s">
        <v>99</v>
      </c>
      <c r="I7" s="29" t="s">
        <v>61</v>
      </c>
      <c r="J7" s="29"/>
      <c r="K7" s="30" t="s">
        <v>100</v>
      </c>
    </row>
    <row r="8" customFormat="false" ht="15" hidden="false" customHeight="false" outlineLevel="0" collapsed="false">
      <c r="B8" s="22"/>
      <c r="C8" s="22"/>
      <c r="D8" s="22"/>
      <c r="G8" s="24"/>
      <c r="H8" s="22"/>
      <c r="I8" s="22"/>
      <c r="J8" s="22"/>
      <c r="K8" s="22"/>
    </row>
    <row r="9" customFormat="false" ht="15" hidden="false" customHeight="false" outlineLevel="0" collapsed="false">
      <c r="B9" s="22"/>
      <c r="C9" s="22"/>
      <c r="D9" s="22"/>
      <c r="G9" s="24"/>
      <c r="H9" s="22"/>
      <c r="I9" s="22"/>
      <c r="J9" s="22"/>
      <c r="K9" s="22"/>
    </row>
    <row r="10" customFormat="false" ht="15" hidden="false" customHeight="false" outlineLevel="0" collapsed="false">
      <c r="B10" s="22"/>
      <c r="C10" s="22"/>
      <c r="D10" s="22"/>
      <c r="G10" s="24"/>
      <c r="H10" s="22"/>
      <c r="I10" s="22"/>
      <c r="J10" s="22"/>
      <c r="K10" s="22"/>
    </row>
    <row r="11" customFormat="false" ht="15" hidden="false" customHeight="false" outlineLevel="0" collapsed="false">
      <c r="B11" s="22"/>
      <c r="C11" s="22"/>
      <c r="D11" s="22"/>
      <c r="G11" s="24"/>
      <c r="H11" s="22"/>
      <c r="I11" s="22"/>
      <c r="J11" s="22"/>
      <c r="K11" s="22"/>
    </row>
    <row r="12" customFormat="false" ht="15" hidden="false" customHeight="false" outlineLevel="0" collapsed="false">
      <c r="B12" s="22"/>
      <c r="C12" s="22"/>
      <c r="D12" s="22"/>
      <c r="G12" s="24"/>
      <c r="H12" s="22"/>
      <c r="I12" s="22"/>
      <c r="J12" s="22"/>
      <c r="K12" s="22"/>
    </row>
    <row r="13" customFormat="false" ht="15" hidden="false" customHeight="false" outlineLevel="0" collapsed="false">
      <c r="B13" s="22"/>
      <c r="C13" s="22"/>
      <c r="D13" s="22"/>
      <c r="G13" s="24"/>
      <c r="H13" s="22"/>
      <c r="I13" s="22"/>
      <c r="J13" s="22"/>
      <c r="K13" s="22"/>
    </row>
    <row r="14" customFormat="false" ht="15" hidden="false" customHeight="false" outlineLevel="0" collapsed="false">
      <c r="B14" s="22"/>
      <c r="C14" s="22"/>
      <c r="D14" s="22"/>
      <c r="G14" s="24"/>
      <c r="H14" s="22"/>
      <c r="I14" s="22"/>
      <c r="J14" s="22"/>
      <c r="K14" s="22"/>
    </row>
    <row r="15" customFormat="false" ht="15" hidden="false" customHeight="false" outlineLevel="0" collapsed="false">
      <c r="B15" s="22"/>
      <c r="C15" s="22"/>
      <c r="D15" s="22"/>
      <c r="G15" s="24"/>
      <c r="H15" s="22"/>
      <c r="I15" s="22"/>
      <c r="J15" s="22"/>
      <c r="K15" s="22"/>
    </row>
    <row r="16" customFormat="false" ht="15" hidden="false" customHeight="false" outlineLevel="0" collapsed="false">
      <c r="B16" s="22"/>
      <c r="C16" s="22"/>
      <c r="D16" s="22"/>
      <c r="G16" s="24"/>
      <c r="H16" s="22"/>
      <c r="I16" s="22"/>
      <c r="J16" s="22"/>
      <c r="K16" s="22"/>
    </row>
    <row r="17" customFormat="false" ht="15" hidden="false" customHeight="false" outlineLevel="0" collapsed="false">
      <c r="B17" s="22"/>
      <c r="C17" s="22"/>
      <c r="D17" s="22"/>
      <c r="G17" s="24"/>
      <c r="H17" s="22"/>
      <c r="I17" s="22"/>
      <c r="J17" s="22"/>
      <c r="K17" s="22"/>
    </row>
    <row r="18" customFormat="false" ht="15" hidden="false" customHeight="false" outlineLevel="0" collapsed="false">
      <c r="B18" s="22"/>
      <c r="C18" s="22"/>
      <c r="D18" s="22"/>
      <c r="G18" s="24"/>
      <c r="H18" s="22"/>
      <c r="I18" s="22"/>
      <c r="J18" s="22"/>
      <c r="K18" s="22"/>
    </row>
    <row r="19" customFormat="false" ht="15" hidden="false" customHeight="false" outlineLevel="0" collapsed="false">
      <c r="B19" s="22"/>
      <c r="C19" s="22"/>
      <c r="D19" s="22"/>
      <c r="G19" s="24"/>
      <c r="H19" s="22"/>
      <c r="I19" s="22"/>
      <c r="J19" s="22"/>
      <c r="K19" s="22"/>
    </row>
    <row r="20" customFormat="false" ht="15" hidden="false" customHeight="false" outlineLevel="0" collapsed="false">
      <c r="B20" s="22"/>
      <c r="C20" s="22"/>
      <c r="D20" s="22"/>
      <c r="G20" s="24"/>
      <c r="H20" s="22"/>
      <c r="I20" s="22"/>
      <c r="J20" s="22"/>
      <c r="K20" s="22"/>
    </row>
    <row r="21" customFormat="false" ht="15" hidden="false" customHeight="false" outlineLevel="0" collapsed="false">
      <c r="B21" s="22"/>
      <c r="C21" s="22"/>
      <c r="D21" s="22"/>
      <c r="G21" s="24"/>
      <c r="H21" s="22"/>
      <c r="I21" s="22"/>
      <c r="J21" s="22"/>
      <c r="K21" s="22"/>
    </row>
    <row r="22" customFormat="false" ht="15" hidden="false" customHeight="false" outlineLevel="0" collapsed="false">
      <c r="B22" s="22"/>
      <c r="C22" s="22"/>
      <c r="D22" s="22"/>
      <c r="G22" s="24"/>
      <c r="H22" s="22"/>
      <c r="I22" s="22"/>
      <c r="J22" s="22"/>
      <c r="K22" s="22"/>
    </row>
    <row r="23" customFormat="false" ht="15" hidden="false" customHeight="false" outlineLevel="0" collapsed="false">
      <c r="B23" s="22"/>
      <c r="C23" s="22"/>
      <c r="D23" s="22"/>
      <c r="G23" s="24"/>
      <c r="H23" s="22"/>
      <c r="I23" s="22"/>
      <c r="J23" s="22"/>
      <c r="K23" s="22"/>
    </row>
    <row r="24" customFormat="false" ht="15" hidden="false" customHeight="false" outlineLevel="0" collapsed="false">
      <c r="B24" s="22"/>
      <c r="C24" s="22"/>
      <c r="D24" s="22"/>
      <c r="G24" s="24"/>
      <c r="H24" s="22"/>
      <c r="I24" s="22"/>
      <c r="J24" s="22"/>
      <c r="K24" s="22"/>
    </row>
    <row r="25" customFormat="false" ht="15" hidden="false" customHeight="false" outlineLevel="0" collapsed="false">
      <c r="B25" s="22"/>
      <c r="C25" s="22"/>
      <c r="D25" s="22"/>
      <c r="G25" s="24"/>
      <c r="H25" s="22"/>
      <c r="I25" s="22"/>
      <c r="J25" s="22"/>
      <c r="K25" s="22"/>
    </row>
    <row r="26" customFormat="false" ht="15" hidden="false" customHeight="false" outlineLevel="0" collapsed="false">
      <c r="B26" s="22"/>
      <c r="C26" s="22"/>
      <c r="D26" s="22"/>
      <c r="G26" s="24"/>
      <c r="H26" s="22"/>
      <c r="I26" s="22"/>
      <c r="J26" s="22"/>
      <c r="K26" s="22"/>
    </row>
    <row r="27" customFormat="false" ht="15" hidden="false" customHeight="false" outlineLevel="0" collapsed="false">
      <c r="B27" s="22"/>
      <c r="C27" s="22"/>
      <c r="D27" s="22"/>
      <c r="G27" s="24"/>
      <c r="H27" s="22"/>
      <c r="I27" s="22"/>
      <c r="J27" s="22"/>
      <c r="K27" s="22"/>
    </row>
    <row r="28" customFormat="false" ht="15" hidden="false" customHeight="false" outlineLevel="0" collapsed="false">
      <c r="B28" s="22"/>
      <c r="C28" s="22"/>
      <c r="D28" s="22"/>
      <c r="G28" s="24"/>
      <c r="H28" s="22"/>
      <c r="I28" s="22"/>
      <c r="J28" s="22"/>
      <c r="K28" s="22"/>
    </row>
    <row r="29" customFormat="false" ht="15" hidden="false" customHeight="false" outlineLevel="0" collapsed="false">
      <c r="B29" s="22"/>
      <c r="C29" s="22"/>
      <c r="D29" s="22"/>
      <c r="G29" s="24"/>
      <c r="H29" s="22"/>
      <c r="I29" s="22"/>
      <c r="J29" s="22"/>
      <c r="K29" s="22"/>
    </row>
    <row r="30" customFormat="false" ht="15" hidden="false" customHeight="false" outlineLevel="0" collapsed="false">
      <c r="B30" s="22"/>
      <c r="C30" s="22"/>
      <c r="D30" s="22"/>
      <c r="G30" s="24"/>
      <c r="H30" s="22"/>
      <c r="I30" s="22"/>
      <c r="J30" s="22"/>
      <c r="K30" s="22"/>
    </row>
    <row r="31" customFormat="false" ht="15" hidden="false" customHeight="false" outlineLevel="0" collapsed="false">
      <c r="B31" s="22"/>
      <c r="C31" s="22"/>
      <c r="D31" s="22"/>
      <c r="G31" s="24"/>
      <c r="H31" s="22"/>
      <c r="I31" s="22"/>
      <c r="J31" s="22"/>
      <c r="K31" s="22"/>
    </row>
    <row r="32" customFormat="false" ht="15" hidden="false" customHeight="false" outlineLevel="0" collapsed="false">
      <c r="B32" s="22"/>
      <c r="C32" s="22"/>
      <c r="D32" s="22"/>
      <c r="G32" s="24"/>
      <c r="H32" s="22"/>
      <c r="I32" s="22"/>
      <c r="J32" s="22"/>
      <c r="K32" s="22"/>
    </row>
    <row r="33" customFormat="false" ht="15" hidden="false" customHeight="false" outlineLevel="0" collapsed="false">
      <c r="B33" s="22"/>
      <c r="C33" s="22"/>
      <c r="D33" s="22"/>
      <c r="G33" s="24"/>
      <c r="H33" s="22"/>
      <c r="I33" s="22"/>
      <c r="J33" s="22"/>
      <c r="K33" s="22"/>
    </row>
    <row r="34" customFormat="false" ht="15" hidden="false" customHeight="false" outlineLevel="0" collapsed="false">
      <c r="B34" s="22"/>
      <c r="C34" s="22"/>
      <c r="D34" s="22"/>
      <c r="G34" s="24"/>
      <c r="H34" s="22"/>
      <c r="I34" s="22"/>
      <c r="J34" s="22"/>
      <c r="K34" s="22"/>
    </row>
    <row r="35" customFormat="false" ht="15" hidden="false" customHeight="false" outlineLevel="0" collapsed="false">
      <c r="B35" s="22"/>
      <c r="C35" s="22"/>
      <c r="D35" s="22"/>
      <c r="G35" s="24"/>
      <c r="H35" s="22"/>
      <c r="I35" s="22"/>
      <c r="J35" s="22"/>
      <c r="K35" s="22"/>
    </row>
    <row r="36" customFormat="false" ht="15" hidden="false" customHeight="false" outlineLevel="0" collapsed="false">
      <c r="B36" s="22"/>
      <c r="C36" s="22"/>
      <c r="D36" s="22"/>
      <c r="G36" s="24"/>
      <c r="H36" s="22"/>
      <c r="I36" s="22"/>
      <c r="J36" s="22"/>
      <c r="K36" s="22"/>
    </row>
    <row r="37" customFormat="false" ht="15" hidden="false" customHeight="false" outlineLevel="0" collapsed="false">
      <c r="B37" s="22"/>
      <c r="C37" s="22"/>
      <c r="D37" s="22"/>
      <c r="G37" s="24"/>
      <c r="H37" s="22"/>
      <c r="I37" s="22"/>
      <c r="J37" s="22"/>
      <c r="K37" s="22"/>
    </row>
    <row r="38" customFormat="false" ht="15" hidden="false" customHeight="false" outlineLevel="0" collapsed="false">
      <c r="B38" s="22"/>
      <c r="C38" s="22"/>
      <c r="D38" s="22"/>
      <c r="G38" s="24"/>
      <c r="H38" s="22"/>
      <c r="I38" s="22"/>
      <c r="J38" s="22"/>
      <c r="K38" s="22"/>
    </row>
    <row r="39" customFormat="false" ht="15" hidden="false" customHeight="false" outlineLevel="0" collapsed="false">
      <c r="B39" s="22"/>
      <c r="C39" s="22"/>
      <c r="D39" s="22"/>
      <c r="G39" s="24"/>
      <c r="H39" s="22"/>
      <c r="I39" s="22"/>
      <c r="J39" s="22"/>
      <c r="K39" s="22"/>
    </row>
    <row r="40" customFormat="false" ht="15" hidden="false" customHeight="false" outlineLevel="0" collapsed="false">
      <c r="B40" s="22"/>
      <c r="C40" s="22"/>
      <c r="D40" s="22"/>
      <c r="G40" s="24"/>
      <c r="H40" s="22"/>
      <c r="I40" s="22"/>
      <c r="J40" s="22"/>
      <c r="K40" s="22"/>
    </row>
    <row r="41" customFormat="false" ht="15" hidden="false" customHeight="false" outlineLevel="0" collapsed="false">
      <c r="B41" s="22"/>
      <c r="C41" s="22"/>
      <c r="D41" s="22"/>
      <c r="G41" s="24"/>
      <c r="H41" s="22"/>
      <c r="I41" s="22"/>
      <c r="J41" s="22"/>
      <c r="K41" s="22"/>
    </row>
    <row r="42" customFormat="false" ht="15" hidden="false" customHeight="false" outlineLevel="0" collapsed="false">
      <c r="B42" s="22"/>
      <c r="C42" s="22"/>
      <c r="D42" s="22"/>
      <c r="G42" s="24"/>
      <c r="H42" s="22"/>
      <c r="I42" s="22"/>
      <c r="J42" s="22"/>
      <c r="K42" s="22"/>
    </row>
    <row r="43" customFormat="false" ht="15" hidden="false" customHeight="false" outlineLevel="0" collapsed="false">
      <c r="B43" s="22"/>
      <c r="C43" s="22"/>
      <c r="D43" s="22"/>
      <c r="G43" s="24"/>
      <c r="H43" s="22"/>
      <c r="I43" s="22"/>
      <c r="J43" s="22"/>
      <c r="K43" s="22"/>
    </row>
    <row r="44" customFormat="false" ht="15" hidden="false" customHeight="false" outlineLevel="0" collapsed="false">
      <c r="B44" s="22"/>
      <c r="C44" s="22"/>
      <c r="D44" s="22"/>
      <c r="G44" s="24"/>
      <c r="H44" s="22"/>
      <c r="I44" s="22"/>
      <c r="J44" s="22"/>
      <c r="K44" s="22"/>
    </row>
    <row r="45" customFormat="false" ht="15" hidden="false" customHeight="false" outlineLevel="0" collapsed="false">
      <c r="B45" s="22"/>
      <c r="C45" s="22"/>
      <c r="D45" s="22"/>
      <c r="G45" s="24"/>
      <c r="H45" s="22"/>
      <c r="I45" s="22"/>
      <c r="J45" s="22"/>
      <c r="K45" s="22"/>
    </row>
    <row r="46" customFormat="false" ht="15" hidden="false" customHeight="false" outlineLevel="0" collapsed="false">
      <c r="B46" s="22"/>
      <c r="C46" s="22"/>
      <c r="D46" s="22"/>
      <c r="G46" s="24"/>
      <c r="H46" s="22"/>
      <c r="I46" s="22"/>
      <c r="J46" s="22"/>
      <c r="K46" s="22"/>
    </row>
    <row r="47" customFormat="false" ht="15" hidden="false" customHeight="false" outlineLevel="0" collapsed="false">
      <c r="B47" s="22"/>
      <c r="C47" s="22"/>
      <c r="D47" s="22"/>
      <c r="G47" s="24"/>
      <c r="H47" s="22"/>
      <c r="I47" s="22"/>
      <c r="J47" s="22"/>
      <c r="K47" s="22"/>
    </row>
    <row r="48" customFormat="false" ht="15" hidden="false" customHeight="false" outlineLevel="0" collapsed="false">
      <c r="B48" s="22"/>
      <c r="C48" s="22"/>
      <c r="D48" s="22"/>
      <c r="G48" s="24"/>
      <c r="H48" s="22"/>
      <c r="I48" s="22"/>
      <c r="J48" s="22"/>
      <c r="K48" s="22"/>
    </row>
    <row r="49" customFormat="false" ht="15" hidden="false" customHeight="false" outlineLevel="0" collapsed="false">
      <c r="B49" s="22"/>
      <c r="C49" s="22"/>
      <c r="D49" s="22"/>
      <c r="G49" s="24"/>
      <c r="H49" s="22"/>
      <c r="I49" s="22"/>
      <c r="J49" s="22"/>
      <c r="K49" s="22"/>
    </row>
    <row r="50" customFormat="false" ht="15" hidden="false" customHeight="false" outlineLevel="0" collapsed="false">
      <c r="B50" s="22"/>
      <c r="C50" s="22"/>
      <c r="D50" s="22"/>
      <c r="G50" s="24"/>
      <c r="H50" s="22"/>
      <c r="I50" s="22"/>
      <c r="J50" s="22"/>
      <c r="K50" s="22"/>
    </row>
    <row r="51" customFormat="false" ht="15" hidden="false" customHeight="false" outlineLevel="0" collapsed="false">
      <c r="B51" s="22"/>
      <c r="C51" s="22"/>
      <c r="D51" s="22"/>
      <c r="G51" s="24"/>
      <c r="H51" s="22"/>
      <c r="I51" s="22"/>
      <c r="J51" s="22"/>
      <c r="K51" s="22"/>
    </row>
    <row r="52" customFormat="false" ht="15" hidden="false" customHeight="false" outlineLevel="0" collapsed="false">
      <c r="B52" s="22"/>
      <c r="C52" s="22"/>
      <c r="D52" s="22"/>
      <c r="G52" s="24"/>
      <c r="H52" s="22"/>
      <c r="I52" s="22"/>
      <c r="J52" s="22"/>
      <c r="K52" s="22"/>
    </row>
    <row r="53" customFormat="false" ht="15" hidden="false" customHeight="false" outlineLevel="0" collapsed="false">
      <c r="B53" s="22"/>
      <c r="C53" s="22"/>
      <c r="D53" s="22"/>
      <c r="G53" s="24"/>
      <c r="H53" s="22"/>
      <c r="I53" s="22"/>
      <c r="J53" s="22"/>
      <c r="K53" s="22"/>
    </row>
    <row r="54" customFormat="false" ht="15" hidden="false" customHeight="false" outlineLevel="0" collapsed="false">
      <c r="B54" s="22"/>
      <c r="C54" s="22"/>
      <c r="D54" s="22"/>
      <c r="G54" s="24"/>
      <c r="H54" s="22"/>
      <c r="I54" s="22"/>
      <c r="J54" s="22"/>
      <c r="K54" s="22"/>
    </row>
    <row r="55" customFormat="false" ht="15" hidden="false" customHeight="false" outlineLevel="0" collapsed="false">
      <c r="B55" s="22"/>
      <c r="C55" s="22"/>
      <c r="D55" s="22"/>
      <c r="G55" s="24"/>
      <c r="H55" s="22"/>
      <c r="I55" s="22"/>
      <c r="J55" s="22"/>
      <c r="K55" s="22"/>
    </row>
    <row r="56" customFormat="false" ht="15" hidden="false" customHeight="false" outlineLevel="0" collapsed="false">
      <c r="B56" s="22"/>
      <c r="C56" s="22"/>
      <c r="D56" s="22"/>
      <c r="G56" s="24"/>
      <c r="H56" s="22"/>
      <c r="I56" s="22"/>
      <c r="J56" s="22"/>
      <c r="K56" s="22"/>
    </row>
    <row r="57" customFormat="false" ht="15" hidden="false" customHeight="false" outlineLevel="0" collapsed="false">
      <c r="B57" s="22"/>
      <c r="C57" s="22"/>
      <c r="D57" s="22"/>
      <c r="G57" s="24"/>
      <c r="H57" s="22"/>
      <c r="I57" s="22"/>
      <c r="J57" s="22"/>
      <c r="K57" s="22"/>
    </row>
    <row r="58" customFormat="false" ht="15" hidden="false" customHeight="false" outlineLevel="0" collapsed="false">
      <c r="B58" s="22"/>
      <c r="C58" s="22"/>
      <c r="D58" s="22"/>
      <c r="G58" s="24"/>
      <c r="H58" s="22"/>
      <c r="I58" s="22"/>
      <c r="J58" s="22"/>
      <c r="K58" s="22"/>
    </row>
    <row r="59" customFormat="false" ht="15" hidden="false" customHeight="false" outlineLevel="0" collapsed="false">
      <c r="B59" s="22"/>
      <c r="C59" s="22"/>
      <c r="D59" s="22"/>
      <c r="G59" s="24"/>
      <c r="H59" s="22"/>
      <c r="I59" s="22"/>
      <c r="J59" s="22"/>
      <c r="K59" s="22"/>
    </row>
    <row r="60" customFormat="false" ht="15" hidden="false" customHeight="false" outlineLevel="0" collapsed="false">
      <c r="B60" s="22"/>
      <c r="C60" s="22"/>
      <c r="D60" s="22"/>
      <c r="G60" s="24"/>
      <c r="H60" s="22"/>
      <c r="I60" s="22"/>
      <c r="J60" s="22"/>
      <c r="K60" s="22"/>
    </row>
    <row r="61" customFormat="false" ht="15" hidden="false" customHeight="false" outlineLevel="0" collapsed="false">
      <c r="B61" s="22"/>
      <c r="C61" s="22"/>
      <c r="D61" s="22"/>
      <c r="G61" s="24"/>
      <c r="H61" s="22"/>
      <c r="I61" s="22"/>
      <c r="J61" s="22"/>
      <c r="K61" s="22"/>
    </row>
    <row r="62" customFormat="false" ht="15" hidden="false" customHeight="false" outlineLevel="0" collapsed="false">
      <c r="B62" s="22"/>
      <c r="C62" s="22"/>
      <c r="D62" s="22"/>
      <c r="G62" s="24"/>
      <c r="H62" s="22"/>
      <c r="I62" s="22"/>
      <c r="J62" s="22"/>
      <c r="K62" s="22"/>
    </row>
    <row r="63" customFormat="false" ht="15" hidden="false" customHeight="false" outlineLevel="0" collapsed="false">
      <c r="B63" s="22"/>
      <c r="C63" s="22"/>
      <c r="D63" s="22"/>
      <c r="G63" s="24"/>
      <c r="H63" s="22"/>
      <c r="I63" s="22"/>
      <c r="J63" s="22"/>
      <c r="K63" s="22"/>
    </row>
    <row r="64" customFormat="false" ht="15" hidden="false" customHeight="false" outlineLevel="0" collapsed="false">
      <c r="B64" s="22"/>
      <c r="C64" s="22"/>
      <c r="D64" s="22"/>
      <c r="G64" s="24"/>
      <c r="H64" s="22"/>
      <c r="I64" s="22"/>
      <c r="J64" s="22"/>
      <c r="K64" s="22"/>
    </row>
    <row r="65" customFormat="false" ht="15" hidden="false" customHeight="false" outlineLevel="0" collapsed="false">
      <c r="B65" s="22"/>
      <c r="C65" s="22"/>
      <c r="D65" s="22"/>
      <c r="G65" s="24"/>
      <c r="H65" s="22"/>
      <c r="I65" s="22"/>
      <c r="J65" s="22"/>
      <c r="K65" s="22"/>
    </row>
    <row r="66" customFormat="false" ht="15" hidden="false" customHeight="false" outlineLevel="0" collapsed="false">
      <c r="B66" s="22"/>
      <c r="C66" s="22"/>
      <c r="D66" s="22"/>
      <c r="G66" s="24"/>
      <c r="H66" s="22"/>
      <c r="I66" s="22"/>
      <c r="J66" s="22"/>
      <c r="K66" s="22"/>
    </row>
  </sheetData>
  <dataValidations count="1">
    <dataValidation allowBlank="true" errorStyle="stop" operator="between" showDropDown="false" showErrorMessage="false" showInputMessage="false" sqref="G8:G66" type="list">
      <formula1>설정!$F$10:$F$30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6" min="3" style="0" width="16"/>
  </cols>
  <sheetData>
    <row r="2" customFormat="false" ht="17.35" hidden="false" customHeight="false" outlineLevel="0" collapsed="false">
      <c r="B2" s="27" t="s">
        <v>101</v>
      </c>
    </row>
    <row r="4" customFormat="false" ht="15" hidden="false" customHeight="false" outlineLevel="0" collapsed="false">
      <c r="B4" s="31" t="s">
        <v>102</v>
      </c>
      <c r="C4" s="32" t="n">
        <v>1350</v>
      </c>
      <c r="D4" s="20" t="s">
        <v>103</v>
      </c>
    </row>
    <row r="5" customFormat="false" ht="15" hidden="false" customHeight="false" outlineLevel="0" collapsed="false">
      <c r="B5" s="31" t="s">
        <v>104</v>
      </c>
      <c r="C5" s="33" t="n">
        <v>0.1</v>
      </c>
      <c r="D5" s="2" t="s">
        <v>105</v>
      </c>
    </row>
    <row r="8" customFormat="false" ht="15" hidden="false" customHeight="false" outlineLevel="0" collapsed="false">
      <c r="B8" s="15" t="s">
        <v>106</v>
      </c>
    </row>
    <row r="9" customFormat="false" ht="15" hidden="false" customHeight="false" outlineLevel="0" collapsed="false">
      <c r="B9" s="5" t="s">
        <v>29</v>
      </c>
      <c r="C9" s="5" t="s">
        <v>43</v>
      </c>
      <c r="D9" s="5" t="s">
        <v>107</v>
      </c>
      <c r="E9" s="5" t="s">
        <v>44</v>
      </c>
      <c r="F9" s="5" t="s">
        <v>108</v>
      </c>
    </row>
    <row r="10" customFormat="false" ht="15" hidden="false" customHeight="false" outlineLevel="0" collapsed="false">
      <c r="B10" s="34" t="s">
        <v>4</v>
      </c>
      <c r="C10" s="7" t="s">
        <v>55</v>
      </c>
      <c r="D10" s="34" t="s">
        <v>109</v>
      </c>
      <c r="E10" s="34" t="s">
        <v>56</v>
      </c>
      <c r="F10" s="7" t="s">
        <v>15</v>
      </c>
    </row>
    <row r="11" customFormat="false" ht="15" hidden="false" customHeight="false" outlineLevel="0" collapsed="false">
      <c r="B11" s="34" t="s">
        <v>5</v>
      </c>
      <c r="C11" s="7" t="s">
        <v>60</v>
      </c>
      <c r="D11" s="34" t="s">
        <v>110</v>
      </c>
      <c r="E11" s="34" t="s">
        <v>62</v>
      </c>
      <c r="F11" s="7" t="s">
        <v>16</v>
      </c>
    </row>
    <row r="12" customFormat="false" ht="15" hidden="false" customHeight="false" outlineLevel="0" collapsed="false">
      <c r="B12" s="34" t="s">
        <v>6</v>
      </c>
      <c r="F12" s="7" t="s">
        <v>17</v>
      </c>
    </row>
    <row r="13" customFormat="false" ht="15" hidden="false" customHeight="false" outlineLevel="0" collapsed="false">
      <c r="B13" s="34" t="s">
        <v>7</v>
      </c>
      <c r="F13" s="7" t="s">
        <v>18</v>
      </c>
    </row>
    <row r="14" customFormat="false" ht="15" hidden="false" customHeight="false" outlineLevel="0" collapsed="false">
      <c r="B14" s="7" t="s">
        <v>31</v>
      </c>
      <c r="F14" s="7" t="s">
        <v>19</v>
      </c>
    </row>
    <row r="15" customFormat="false" ht="15" hidden="false" customHeight="false" outlineLevel="0" collapsed="false">
      <c r="F15" s="7" t="s">
        <v>20</v>
      </c>
    </row>
    <row r="16" customFormat="false" ht="15" hidden="false" customHeight="false" outlineLevel="0" collapsed="false">
      <c r="F16" s="7" t="s">
        <v>21</v>
      </c>
    </row>
    <row r="17" customFormat="false" ht="15" hidden="false" customHeight="false" outlineLevel="0" collapsed="false">
      <c r="F17" s="7" t="s">
        <v>22</v>
      </c>
    </row>
    <row r="18" customFormat="false" ht="15" hidden="false" customHeight="false" outlineLevel="0" collapsed="false">
      <c r="F18" s="7" t="s">
        <v>23</v>
      </c>
    </row>
    <row r="19" customFormat="false" ht="15" hidden="false" customHeight="false" outlineLevel="0" collapsed="false">
      <c r="F19" s="7" t="s">
        <v>24</v>
      </c>
    </row>
    <row r="20" customFormat="false" ht="15" hidden="false" customHeight="false" outlineLevel="0" collapsed="false">
      <c r="F20" s="7" t="s">
        <v>25</v>
      </c>
    </row>
    <row r="26" customFormat="false" ht="15" hidden="false" customHeight="false" outlineLevel="0" collapsed="false">
      <c r="B26" s="2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2026-10-08T03:52:07Z</dcterms:created>
  <dc:creator>openpyxl</dc:creator>
  <dc:description/>
  <dc:language>en-US</dc:language>
  <cp:lastModifiedBy/>
  <dcterms:modified xsi:type="dcterms:W3CDTF">2026-10-08T03:52:07Z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