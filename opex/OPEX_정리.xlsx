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OPEX 상세" sheetId="2" state="visible" r:id="rId4"/>
    <sheet name="코드관리" sheetId="3" state="visible" r:id="rId5"/>
    <sheet name="설정" sheetId="4" state="visible" r:id="rId6"/>
  </sheets>
  <definedNames>
    <definedName function="false" hidden="true" localSheetId="1" name="_xlnm._FilterDatabase" vbProcedure="false">'OPEX 상세'!$A$4:$T$280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<sst xmlns="http://schemas.openxmlformats.org/spreadsheetml/2006/main" count="924" uniqueCount="207">
  <si>
    <r>
      <rPr>
        <b val="true"/>
        <sz val="14"/>
        <rFont val="맑은 고딕"/>
        <family val="0"/>
        <charset val="1"/>
      </rPr>
      <t xml:space="preserve">OPEX </t>
    </r>
    <r>
      <rPr>
        <b val="true"/>
        <sz val="14"/>
        <rFont val="WenQuanYi Zen Hei"/>
        <family val="2"/>
      </rPr>
      <t xml:space="preserve">요약 </t>
    </r>
    <r>
      <rPr>
        <b val="true"/>
        <sz val="14"/>
        <rFont val="맑은 고딕"/>
        <family val="0"/>
        <charset val="1"/>
      </rPr>
      <t xml:space="preserve">- </t>
    </r>
    <r>
      <rPr>
        <b val="true"/>
        <sz val="14"/>
        <rFont val="WenQuanYi Zen Hei"/>
        <family val="2"/>
      </rPr>
      <t xml:space="preserve">업체별 </t>
    </r>
    <r>
      <rPr>
        <b val="true"/>
        <sz val="14"/>
        <rFont val="맑은 고딕"/>
        <family val="0"/>
        <charset val="1"/>
      </rPr>
      <t xml:space="preserve">/ </t>
    </r>
    <r>
      <rPr>
        <b val="true"/>
        <sz val="14"/>
        <rFont val="WenQuanYi Zen Hei"/>
        <family val="2"/>
      </rPr>
      <t xml:space="preserve">선박별</t>
    </r>
  </si>
  <si>
    <r>
      <rPr>
        <sz val="9"/>
        <color rgb="FF666666"/>
        <rFont val="WenQuanYi Zen Hei"/>
        <family val="2"/>
      </rPr>
      <t xml:space="preserve">단위</t>
    </r>
    <r>
      <rPr>
        <sz val="9"/>
        <color rgb="FF666666"/>
        <rFont val="맑은 고딕"/>
        <family val="0"/>
        <charset val="1"/>
      </rPr>
      <t xml:space="preserve">: KRW (</t>
    </r>
    <r>
      <rPr>
        <sz val="9"/>
        <color rgb="FF666666"/>
        <rFont val="WenQuanYi Zen Hei"/>
        <family val="2"/>
      </rPr>
      <t xml:space="preserve">부가세 포함 합계 기준</t>
    </r>
    <r>
      <rPr>
        <sz val="9"/>
        <color rgb="FF666666"/>
        <rFont val="맑은 고딕"/>
        <family val="0"/>
        <charset val="1"/>
      </rPr>
      <t xml:space="preserve">).  'OPEX </t>
    </r>
    <r>
      <rPr>
        <sz val="9"/>
        <color rgb="FF666666"/>
        <rFont val="WenQuanYi Zen Hei"/>
        <family val="2"/>
      </rPr>
      <t xml:space="preserve">상세</t>
    </r>
    <r>
      <rPr>
        <sz val="9"/>
        <color rgb="FF666666"/>
        <rFont val="맑은 고딕"/>
        <family val="0"/>
        <charset val="1"/>
      </rPr>
      <t xml:space="preserve">' </t>
    </r>
    <r>
      <rPr>
        <sz val="9"/>
        <color rgb="FF666666"/>
        <rFont val="WenQuanYi Zen Hei"/>
        <family val="2"/>
      </rPr>
      <t xml:space="preserve">시트에서 자동 집계</t>
    </r>
    <r>
      <rPr>
        <sz val="9"/>
        <color rgb="FF666666"/>
        <rFont val="맑은 고딕"/>
        <family val="0"/>
        <charset val="1"/>
      </rPr>
      <t xml:space="preserve">.  USD </t>
    </r>
    <r>
      <rPr>
        <sz val="9"/>
        <color rgb="FF666666"/>
        <rFont val="WenQuanYi Zen Hei"/>
        <family val="2"/>
      </rPr>
      <t xml:space="preserve">적용환율</t>
    </r>
    <r>
      <rPr>
        <sz val="9"/>
        <color rgb="FF666666"/>
        <rFont val="맑은 고딕"/>
        <family val="0"/>
        <charset val="1"/>
      </rPr>
      <t xml:space="preserve">:</t>
    </r>
  </si>
  <si>
    <t xml:space="preserve">No</t>
  </si>
  <si>
    <t xml:space="preserve">업체명</t>
  </si>
  <si>
    <t xml:space="preserve">NORTH LIGHT</t>
  </si>
  <si>
    <t xml:space="preserve">NORTH MOON</t>
  </si>
  <si>
    <t xml:space="preserve">NORTH OCEAN</t>
  </si>
  <si>
    <t xml:space="preserve">NORTH VALLEY</t>
  </si>
  <si>
    <t xml:space="preserve">OFFICE</t>
  </si>
  <si>
    <r>
      <rPr>
        <b val="true"/>
        <sz val="10"/>
        <rFont val="WenQuanYi Zen Hei"/>
        <family val="2"/>
      </rPr>
      <t xml:space="preserve">공통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미배분</t>
    </r>
    <r>
      <rPr>
        <b val="true"/>
        <sz val="10"/>
        <rFont val="맑은 고딕"/>
        <family val="0"/>
        <charset val="1"/>
      </rPr>
      <t xml:space="preserve">)</t>
    </r>
  </si>
  <si>
    <t xml:space="preserve">업체 총합계</t>
  </si>
  <si>
    <t xml:space="preserve">공급가액</t>
  </si>
  <si>
    <t xml:space="preserve">부가세</t>
  </si>
  <si>
    <t xml:space="preserve">추가가능
부가세</t>
  </si>
  <si>
    <r>
      <rPr>
        <b val="true"/>
        <sz val="10"/>
        <rFont val="맑은 고딕"/>
        <family val="0"/>
        <charset val="1"/>
      </rPr>
      <t xml:space="preserve">VAT</t>
    </r>
    <r>
      <rPr>
        <b val="true"/>
        <sz val="10"/>
        <rFont val="WenQuanYi Zen Hei"/>
        <family val="2"/>
      </rPr>
      <t xml:space="preserve">추가 시
예상 총액</t>
    </r>
  </si>
  <si>
    <t xml:space="preserve">상태</t>
  </si>
  <si>
    <t xml:space="preserve">고려문화사</t>
  </si>
  <si>
    <t xml:space="preserve">네오맥스</t>
  </si>
  <si>
    <t xml:space="preserve">디앤오</t>
  </si>
  <si>
    <t xml:space="preserve">비아이자이로</t>
  </si>
  <si>
    <t xml:space="preserve">시웨이글로벌</t>
  </si>
  <si>
    <t xml:space="preserve">옥슨앤파트너스</t>
  </si>
  <si>
    <t xml:space="preserve">제이앤캐이</t>
  </si>
  <si>
    <t xml:space="preserve">한국해양개발</t>
  </si>
  <si>
    <t xml:space="preserve">한일후지코리아</t>
  </si>
  <si>
    <t xml:space="preserve">해인쉽스서비스</t>
  </si>
  <si>
    <t xml:space="preserve">화인컴에스이</t>
  </si>
  <si>
    <t xml:space="preserve">합계</t>
  </si>
  <si>
    <r>
      <rPr>
        <sz val="9"/>
        <color rgb="FF666666"/>
        <rFont val="WenQuanYi Zen Hei"/>
        <family val="2"/>
      </rPr>
      <t xml:space="preserve">검증 </t>
    </r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WenQuanYi Zen Hei"/>
        <family val="2"/>
      </rPr>
      <t xml:space="preserve">상세 합계와 차이</t>
    </r>
    <r>
      <rPr>
        <sz val="9"/>
        <color rgb="FF666666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</si>
  <si>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선박별 공급가액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부가세</t>
    </r>
  </si>
  <si>
    <t xml:space="preserve">선박</t>
  </si>
  <si>
    <t xml:space="preserve">비중</t>
  </si>
  <si>
    <r>
      <rPr>
        <sz val="10"/>
        <rFont val="WenQuanYi Zen Hei"/>
        <family val="2"/>
      </rPr>
      <t xml:space="preserve">공통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미배분</t>
    </r>
    <r>
      <rPr>
        <sz val="10"/>
        <rFont val="맑은 고딕"/>
        <family val="0"/>
        <charset val="1"/>
      </rPr>
      <t xml:space="preserve">)</t>
    </r>
  </si>
  <si>
    <t xml:space="preserve">참고</t>
  </si>
  <si>
    <r>
      <rPr>
        <sz val="9"/>
        <color rgb="FF666666"/>
        <rFont val="맑은 고딕"/>
        <family val="0"/>
        <charset val="1"/>
      </rPr>
      <t xml:space="preserve">· OFFICE: </t>
    </r>
    <r>
      <rPr>
        <sz val="9"/>
        <color rgb="FF666666"/>
        <rFont val="WenQuanYi Zen Hei"/>
        <family val="2"/>
      </rPr>
      <t xml:space="preserve">선박이 아닌 사무실 물품 </t>
    </r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WenQuanYi Zen Hei"/>
        <family val="2"/>
      </rPr>
      <t xml:space="preserve">옥슨앤파트너스 감독님 작업복</t>
    </r>
    <r>
      <rPr>
        <sz val="9"/>
        <color rgb="FF666666"/>
        <rFont val="맑은 고딕"/>
        <family val="0"/>
        <charset val="1"/>
      </rPr>
      <t xml:space="preserve">/</t>
    </r>
    <r>
      <rPr>
        <sz val="9"/>
        <color rgb="FF666666"/>
        <rFont val="WenQuanYi Zen Hei"/>
        <family val="2"/>
      </rPr>
      <t xml:space="preserve">헬멧 등</t>
    </r>
    <r>
      <rPr>
        <sz val="9"/>
        <color rgb="FF666666"/>
        <rFont val="맑은 고딕"/>
        <family val="0"/>
        <charset val="1"/>
      </rPr>
      <t xml:space="preserve">).</t>
    </r>
  </si>
  <si>
    <r>
      <rPr>
        <sz val="9"/>
        <color rgb="FF666666"/>
        <rFont val="맑은 고딕"/>
        <family val="0"/>
        <charset val="1"/>
      </rPr>
      <t xml:space="preserve">· </t>
    </r>
    <r>
      <rPr>
        <sz val="9"/>
        <color rgb="FF666666"/>
        <rFont val="WenQuanYi Zen Hei"/>
        <family val="2"/>
      </rPr>
      <t xml:space="preserve">옥슨앤파트너스</t>
    </r>
    <r>
      <rPr>
        <sz val="9"/>
        <color rgb="FF666666"/>
        <rFont val="맑은 고딕"/>
        <family val="0"/>
        <charset val="1"/>
      </rPr>
      <t xml:space="preserve">: 2026-10-02 </t>
    </r>
    <r>
      <rPr>
        <sz val="9"/>
        <color rgb="FF666666"/>
        <rFont val="WenQuanYi Zen Hei"/>
        <family val="2"/>
      </rPr>
      <t xml:space="preserve">선박별 인보이스 기준 </t>
    </r>
    <r>
      <rPr>
        <sz val="9"/>
        <color rgb="FF666666"/>
        <rFont val="맑은 고딕"/>
        <family val="0"/>
        <charset val="1"/>
      </rPr>
      <t xml:space="preserve">PO </t>
    </r>
    <r>
      <rPr>
        <sz val="9"/>
        <color rgb="FF666666"/>
        <rFont val="WenQuanYi Zen Hei"/>
        <family val="2"/>
      </rPr>
      <t xml:space="preserve">단위 입력 </t>
    </r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WenQuanYi Zen Hei"/>
        <family val="2"/>
      </rPr>
      <t xml:space="preserve">일자 </t>
    </r>
    <r>
      <rPr>
        <sz val="9"/>
        <color rgb="FF666666"/>
        <rFont val="맑은 고딕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납품일</t>
    </r>
    <r>
      <rPr>
        <sz val="9"/>
        <color rgb="FF666666"/>
        <rFont val="맑은 고딕"/>
        <family val="0"/>
        <charset val="1"/>
      </rPr>
      <t xml:space="preserve">). </t>
    </r>
    <r>
      <rPr>
        <sz val="9"/>
        <color rgb="FF666666"/>
        <rFont val="WenQuanYi Zen Hei"/>
        <family val="2"/>
      </rPr>
      <t xml:space="preserve">인보이스에 없는 건은 비고에 </t>
    </r>
    <r>
      <rPr>
        <sz val="9"/>
        <color rgb="FF666666"/>
        <rFont val="맑은 고딕"/>
        <family val="0"/>
        <charset val="1"/>
      </rPr>
      <t xml:space="preserve">'※ 10/2 </t>
    </r>
    <r>
      <rPr>
        <sz val="9"/>
        <color rgb="FF666666"/>
        <rFont val="WenQuanYi Zen Hei"/>
        <family val="2"/>
      </rPr>
      <t xml:space="preserve">인보이스 미포함</t>
    </r>
    <r>
      <rPr>
        <sz val="9"/>
        <color rgb="FF666666"/>
        <rFont val="맑은 고딕"/>
        <family val="0"/>
        <charset val="1"/>
      </rPr>
      <t xml:space="preserve">' </t>
    </r>
    <r>
      <rPr>
        <sz val="9"/>
        <color rgb="FF666666"/>
        <rFont val="WenQuanYi Zen Hei"/>
        <family val="2"/>
      </rPr>
      <t xml:space="preserve">표시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</si>
  <si>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sz val="9"/>
        <color rgb="FF666666"/>
        <rFont val="맑은 고딕"/>
        <family val="0"/>
        <charset val="1"/>
      </rPr>
      <t xml:space="preserve">· </t>
    </r>
    <r>
      <rPr>
        <sz val="9"/>
        <color rgb="FF666666"/>
        <rFont val="WenQuanYi Zen Hei"/>
        <family val="2"/>
      </rPr>
      <t xml:space="preserve">공통</t>
    </r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WenQuanYi Zen Hei"/>
        <family val="2"/>
      </rPr>
      <t xml:space="preserve">미배분</t>
    </r>
    <r>
      <rPr>
        <sz val="9"/>
        <color rgb="FF666666"/>
        <rFont val="맑은 고딕"/>
        <family val="0"/>
        <charset val="1"/>
      </rPr>
      <t xml:space="preserve">): </t>
    </r>
    <r>
      <rPr>
        <sz val="9"/>
        <color rgb="FF666666"/>
        <rFont val="WenQuanYi Zen Hei"/>
        <family val="2"/>
      </rPr>
      <t xml:space="preserve">금액이 작거나 선박별로 쪼개기 애매한 건 </t>
    </r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WenQuanYi Zen Hei"/>
        <family val="2"/>
      </rPr>
      <t xml:space="preserve">고려문화사 로그북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시웨이글로벌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화인컴에스이</t>
    </r>
    <r>
      <rPr>
        <sz val="9"/>
        <color rgb="FF666666"/>
        <rFont val="맑은 고딕"/>
        <family val="0"/>
        <charset val="1"/>
      </rPr>
      <t xml:space="preserve">).</t>
    </r>
  </si>
  <si>
    <r>
      <rPr>
        <sz val="9"/>
        <color rgb="FF666666"/>
        <rFont val="맑은 고딕"/>
        <family val="0"/>
        <charset val="1"/>
      </rPr>
      <t xml:space="preserve">· </t>
    </r>
    <r>
      <rPr>
        <sz val="9"/>
        <color rgb="FF666666"/>
        <rFont val="WenQuanYi Zen Hei"/>
        <family val="2"/>
      </rPr>
      <t xml:space="preserve">시웨이글로벌 </t>
    </r>
    <r>
      <rPr>
        <sz val="9"/>
        <color rgb="FF666666"/>
        <rFont val="맑은 고딕"/>
        <family val="0"/>
        <charset val="1"/>
      </rPr>
      <t xml:space="preserve">/ </t>
    </r>
    <r>
      <rPr>
        <sz val="9"/>
        <color rgb="FF666666"/>
        <rFont val="WenQuanYi Zen Hei"/>
        <family val="2"/>
      </rPr>
      <t xml:space="preserve">화인컴에스이</t>
    </r>
    <r>
      <rPr>
        <sz val="9"/>
        <color rgb="FF666666"/>
        <rFont val="맑은 고딕"/>
        <family val="0"/>
        <charset val="1"/>
      </rPr>
      <t xml:space="preserve">: </t>
    </r>
    <r>
      <rPr>
        <sz val="9"/>
        <color rgb="FF666666"/>
        <rFont val="WenQuanYi Zen Hei"/>
        <family val="2"/>
      </rPr>
      <t xml:space="preserve">적재허가서 문제로 현재 부가세별도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WenQuanYi Zen Hei"/>
        <family val="2"/>
      </rPr>
      <t xml:space="preserve">부가세 </t>
    </r>
    <r>
      <rPr>
        <sz val="9"/>
        <color rgb="FF666666"/>
        <rFont val="맑은 고딕"/>
        <family val="0"/>
        <charset val="1"/>
      </rPr>
      <t xml:space="preserve">10% </t>
    </r>
    <r>
      <rPr>
        <sz val="9"/>
        <color rgb="FF666666"/>
        <rFont val="WenQuanYi Zen Hei"/>
        <family val="2"/>
      </rPr>
      <t xml:space="preserve">추가 시 </t>
    </r>
    <r>
      <rPr>
        <sz val="9"/>
        <color rgb="FF666666"/>
        <rFont val="맑은 고딕"/>
        <family val="0"/>
        <charset val="1"/>
      </rPr>
      <t xml:space="preserve">'</t>
    </r>
    <r>
      <rPr>
        <sz val="9"/>
        <color rgb="FF666666"/>
        <rFont val="WenQuanYi Zen Hei"/>
        <family val="2"/>
      </rPr>
      <t xml:space="preserve">추가가능 부가세</t>
    </r>
    <r>
      <rPr>
        <sz val="9"/>
        <color rgb="FF666666"/>
        <rFont val="맑은 고딕"/>
        <family val="0"/>
        <charset val="1"/>
      </rPr>
      <t xml:space="preserve">' </t>
    </r>
    <r>
      <rPr>
        <sz val="9"/>
        <color rgb="FF666666"/>
        <rFont val="WenQuanYi Zen Hei"/>
        <family val="2"/>
      </rPr>
      <t xml:space="preserve">만큼 증가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</si>
  <si>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sz val="9"/>
        <color rgb="FF666666"/>
        <rFont val="맑은 고딕"/>
        <family val="0"/>
        <charset val="1"/>
      </rPr>
      <t xml:space="preserve">· </t>
    </r>
    <r>
      <rPr>
        <sz val="9"/>
        <color rgb="FF666666"/>
        <rFont val="WenQuanYi Zen Hei"/>
        <family val="2"/>
      </rPr>
      <t xml:space="preserve">네오맥스 </t>
    </r>
    <r>
      <rPr>
        <sz val="9"/>
        <color rgb="FF666666"/>
        <rFont val="맑은 고딕"/>
        <family val="0"/>
        <charset val="1"/>
      </rPr>
      <t xml:space="preserve">/ </t>
    </r>
    <r>
      <rPr>
        <sz val="9"/>
        <color rgb="FF666666"/>
        <rFont val="WenQuanYi Zen Hei"/>
        <family val="2"/>
      </rPr>
      <t xml:space="preserve">한일후지코리아</t>
    </r>
    <r>
      <rPr>
        <sz val="9"/>
        <color rgb="FF666666"/>
        <rFont val="맑은 고딕"/>
        <family val="0"/>
        <charset val="1"/>
      </rPr>
      <t xml:space="preserve">: </t>
    </r>
    <r>
      <rPr>
        <sz val="9"/>
        <color rgb="FF666666"/>
        <rFont val="WenQuanYi Zen Hei"/>
        <family val="2"/>
      </rPr>
      <t xml:space="preserve">데이터 입력 대기</t>
    </r>
    <r>
      <rPr>
        <sz val="9"/>
        <color rgb="FF666666"/>
        <rFont val="맑은 고딕"/>
        <family val="0"/>
        <charset val="1"/>
      </rPr>
      <t xml:space="preserve">. 'OPEX </t>
    </r>
    <r>
      <rPr>
        <sz val="9"/>
        <color rgb="FF666666"/>
        <rFont val="WenQuanYi Zen Hei"/>
        <family val="2"/>
      </rPr>
      <t xml:space="preserve">상세</t>
    </r>
    <r>
      <rPr>
        <sz val="9"/>
        <color rgb="FF666666"/>
        <rFont val="맑은 고딕"/>
        <family val="0"/>
        <charset val="1"/>
      </rPr>
      <t xml:space="preserve">' </t>
    </r>
    <r>
      <rPr>
        <sz val="9"/>
        <color rgb="FF666666"/>
        <rFont val="WenQuanYi Zen Hei"/>
        <family val="2"/>
      </rPr>
      <t xml:space="preserve">시트 빈 행에 입력하면 자동 반영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</si>
  <si>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sz val="9"/>
        <color rgb="FF666666"/>
        <rFont val="맑은 고딕"/>
        <family val="0"/>
        <charset val="1"/>
      </rPr>
      <t xml:space="preserve">· USD </t>
    </r>
    <r>
      <rPr>
        <sz val="9"/>
        <color rgb="FF666666"/>
        <rFont val="WenQuanYi Zen Hei"/>
        <family val="2"/>
      </rPr>
      <t xml:space="preserve">항목</t>
    </r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WenQuanYi Zen Hei"/>
        <family val="2"/>
      </rPr>
      <t xml:space="preserve">디앤오 </t>
    </r>
    <r>
      <rPr>
        <sz val="9"/>
        <color rgb="FF666666"/>
        <rFont val="맑은 고딕"/>
        <family val="0"/>
        <charset val="1"/>
      </rPr>
      <t xml:space="preserve">Server, NAS)</t>
    </r>
    <r>
      <rPr>
        <sz val="9"/>
        <color rgb="FF666666"/>
        <rFont val="WenQuanYi Zen Hei"/>
        <family val="2"/>
      </rPr>
      <t xml:space="preserve">은 </t>
    </r>
    <r>
      <rPr>
        <sz val="9"/>
        <color rgb="FF666666"/>
        <rFont val="맑은 고딕"/>
        <family val="0"/>
        <charset val="1"/>
      </rPr>
      <t xml:space="preserve">'</t>
    </r>
    <r>
      <rPr>
        <sz val="9"/>
        <color rgb="FF666666"/>
        <rFont val="WenQuanYi Zen Hei"/>
        <family val="2"/>
      </rPr>
      <t xml:space="preserve">설정</t>
    </r>
    <r>
      <rPr>
        <sz val="9"/>
        <color rgb="FF666666"/>
        <rFont val="맑은 고딕"/>
        <family val="0"/>
        <charset val="1"/>
      </rPr>
      <t xml:space="preserve">' </t>
    </r>
    <r>
      <rPr>
        <sz val="9"/>
        <color rgb="FF666666"/>
        <rFont val="WenQuanYi Zen Hei"/>
        <family val="2"/>
      </rPr>
      <t xml:space="preserve">시트 환율로 원화 환산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WenQuanYi Zen Hei"/>
        <family val="2"/>
      </rPr>
      <t xml:space="preserve">환율 확정 시 설정 시트 노란 칸만 수정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</si>
  <si>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4"/>
        <rFont val="맑은 고딕"/>
        <family val="0"/>
        <charset val="1"/>
      </rPr>
      <t xml:space="preserve">OPEX </t>
    </r>
    <r>
      <rPr>
        <b val="true"/>
        <sz val="14"/>
        <rFont val="WenQuanYi Zen Hei"/>
        <family val="2"/>
      </rPr>
      <t xml:space="preserve">상세 내역</t>
    </r>
  </si>
  <si>
    <r>
      <rPr>
        <sz val="9"/>
        <color rgb="FF666666"/>
        <rFont val="WenQuanYi Zen Hei"/>
        <family val="2"/>
      </rPr>
      <t xml:space="preserve">입력</t>
    </r>
    <r>
      <rPr>
        <sz val="9"/>
        <color rgb="FF666666"/>
        <rFont val="맑은 고딕"/>
        <family val="0"/>
        <charset val="1"/>
      </rPr>
      <t xml:space="preserve">: </t>
    </r>
    <r>
      <rPr>
        <sz val="9"/>
        <color rgb="FF666666"/>
        <rFont val="WenQuanYi Zen Hei"/>
        <family val="2"/>
      </rPr>
      <t xml:space="preserve">파란 글씨 칸만 입력 </t>
    </r>
    <r>
      <rPr>
        <sz val="9"/>
        <color rgb="FF666666"/>
        <rFont val="맑은 고딕"/>
        <family val="0"/>
        <charset val="1"/>
      </rPr>
      <t xml:space="preserve">/ </t>
    </r>
    <r>
      <rPr>
        <sz val="9"/>
        <color rgb="FF666666"/>
        <rFont val="WenQuanYi Zen Hei"/>
        <family val="2"/>
      </rPr>
      <t xml:space="preserve">검정 글씨는 자동계산</t>
    </r>
    <r>
      <rPr>
        <sz val="9"/>
        <color rgb="FF666666"/>
        <rFont val="맑은 고딕"/>
        <family val="0"/>
        <charset val="1"/>
      </rPr>
      <t xml:space="preserve">.  </t>
    </r>
    <r>
      <rPr>
        <sz val="9"/>
        <color rgb="FF666666"/>
        <rFont val="WenQuanYi Zen Hei"/>
        <family val="2"/>
      </rPr>
      <t xml:space="preserve">비과세 </t>
    </r>
    <r>
      <rPr>
        <sz val="9"/>
        <color rgb="FF666666"/>
        <rFont val="맑은 고딕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부가세 없음</t>
    </r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WenQuanYi Zen Hei"/>
        <family val="2"/>
      </rPr>
      <t xml:space="preserve">부가세별도</t>
    </r>
    <r>
      <rPr>
        <sz val="9"/>
        <color rgb="FF666666"/>
        <rFont val="맑은 고딕"/>
        <family val="0"/>
        <charset val="1"/>
      </rPr>
      <t xml:space="preserve">).  </t>
    </r>
    <r>
      <rPr>
        <sz val="9"/>
        <color rgb="FF666666"/>
        <rFont val="WenQuanYi Zen Hei"/>
        <family val="2"/>
      </rPr>
      <t xml:space="preserve">과세 </t>
    </r>
    <r>
      <rPr>
        <sz val="9"/>
        <color rgb="FF666666"/>
        <rFont val="맑은 고딕"/>
        <family val="0"/>
        <charset val="1"/>
      </rPr>
      <t xml:space="preserve">+ 'VAT</t>
    </r>
    <r>
      <rPr>
        <sz val="9"/>
        <color rgb="FF666666"/>
        <rFont val="WenQuanYi Zen Hei"/>
        <family val="2"/>
      </rPr>
      <t xml:space="preserve">포함</t>
    </r>
    <r>
      <rPr>
        <sz val="9"/>
        <color rgb="FF666666"/>
        <rFont val="맑은 고딕"/>
        <family val="0"/>
        <charset val="1"/>
      </rPr>
      <t xml:space="preserve">' = </t>
    </r>
    <r>
      <rPr>
        <sz val="9"/>
        <color rgb="FF666666"/>
        <rFont val="WenQuanYi Zen Hei"/>
        <family val="2"/>
      </rPr>
      <t xml:space="preserve">입력금액에 부가세 포함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과세 </t>
    </r>
    <r>
      <rPr>
        <sz val="9"/>
        <color rgb="FF666666"/>
        <rFont val="맑은 고딕"/>
        <family val="0"/>
        <charset val="1"/>
      </rPr>
      <t xml:space="preserve">+ 'VAT</t>
    </r>
    <r>
      <rPr>
        <sz val="9"/>
        <color rgb="FF666666"/>
        <rFont val="WenQuanYi Zen Hei"/>
        <family val="2"/>
      </rPr>
      <t xml:space="preserve">별도</t>
    </r>
    <r>
      <rPr>
        <sz val="9"/>
        <color rgb="FF666666"/>
        <rFont val="맑은 고딕"/>
        <family val="0"/>
        <charset val="1"/>
      </rPr>
      <t xml:space="preserve">' = </t>
    </r>
    <r>
      <rPr>
        <sz val="9"/>
        <color rgb="FF666666"/>
        <rFont val="WenQuanYi Zen Hei"/>
        <family val="2"/>
      </rPr>
      <t xml:space="preserve">입력금액에 </t>
    </r>
    <r>
      <rPr>
        <sz val="9"/>
        <color rgb="FF666666"/>
        <rFont val="맑은 고딕"/>
        <family val="0"/>
        <charset val="1"/>
      </rPr>
      <t xml:space="preserve">10% </t>
    </r>
    <r>
      <rPr>
        <sz val="9"/>
        <color rgb="FF666666"/>
        <rFont val="WenQuanYi Zen Hei"/>
        <family val="2"/>
      </rPr>
      <t xml:space="preserve">가산</t>
    </r>
    <r>
      <rPr>
        <sz val="9"/>
        <color rgb="FF666666"/>
        <rFont val="맑은 고딕"/>
        <family val="0"/>
        <charset val="1"/>
      </rPr>
      <t xml:space="preserve">.  USD</t>
    </r>
    <r>
      <rPr>
        <sz val="9"/>
        <color rgb="FF666666"/>
        <rFont val="WenQuanYi Zen Hei"/>
        <family val="2"/>
      </rPr>
      <t xml:space="preserve">는 설정 시트 환율로 환산</t>
    </r>
    <r>
      <rPr>
        <sz val="9"/>
        <color rgb="FF666666"/>
        <rFont val="맑은 고딕"/>
        <family val="0"/>
        <charset val="1"/>
      </rPr>
      <t xml:space="preserve">.  VAT</t>
    </r>
    <r>
      <rPr>
        <sz val="9"/>
        <color rgb="FF666666"/>
        <rFont val="WenQuanYi Zen Hei"/>
        <family val="2"/>
      </rPr>
      <t xml:space="preserve">추가가능 </t>
    </r>
    <r>
      <rPr>
        <sz val="9"/>
        <color rgb="FF666666"/>
        <rFont val="맑은 고딕"/>
        <family val="0"/>
        <charset val="1"/>
      </rPr>
      <t xml:space="preserve">'Y' = </t>
    </r>
    <r>
      <rPr>
        <sz val="9"/>
        <color rgb="FF666666"/>
        <rFont val="WenQuanYi Zen Hei"/>
        <family val="2"/>
      </rPr>
      <t xml:space="preserve">현재 미포함이나 추가될 수 있는 부가세 별도 집계</t>
    </r>
    <r>
      <rPr>
        <sz val="9"/>
        <color rgb="FF666666"/>
        <rFont val="맑은 고딕"/>
        <family val="0"/>
        <charset val="1"/>
      </rPr>
      <t xml:space="preserve">.  </t>
    </r>
    <r>
      <rPr>
        <sz val="9"/>
        <color rgb="FF666666"/>
        <rFont val="WenQuanYi Zen Hei"/>
        <family val="2"/>
      </rPr>
      <t xml:space="preserve">일자는 </t>
    </r>
    <r>
      <rPr>
        <sz val="9"/>
        <color rgb="FF666666"/>
        <rFont val="맑은 고딕"/>
        <family val="0"/>
        <charset val="1"/>
      </rPr>
      <t xml:space="preserve">2026-09-30 </t>
    </r>
    <r>
      <rPr>
        <sz val="9"/>
        <color rgb="FF666666"/>
        <rFont val="WenQuanYi Zen Hei"/>
        <family val="2"/>
      </rPr>
      <t xml:space="preserve">형식으로 입력 </t>
    </r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WenQuanYi Zen Hei"/>
        <family val="2"/>
      </rPr>
      <t xml:space="preserve">옥슨은 납품일</t>
    </r>
    <r>
      <rPr>
        <sz val="9"/>
        <color rgb="FF666666"/>
        <rFont val="맑은 고딕"/>
        <family val="0"/>
        <charset val="1"/>
      </rPr>
      <t xml:space="preserve">).</t>
    </r>
  </si>
  <si>
    <t xml:space="preserve">일자</t>
  </si>
  <si>
    <r>
      <rPr>
        <b val="true"/>
        <sz val="10"/>
        <rFont val="맑은 고딕"/>
        <family val="0"/>
        <charset val="1"/>
      </rPr>
      <t xml:space="preserve">OPEX </t>
    </r>
    <r>
      <rPr>
        <b val="true"/>
        <sz val="10"/>
        <rFont val="WenQuanYi Zen Hei"/>
        <family val="2"/>
      </rPr>
      <t xml:space="preserve">코드</t>
    </r>
  </si>
  <si>
    <r>
      <rPr>
        <b val="true"/>
        <sz val="10"/>
        <rFont val="맑은 고딕"/>
        <family val="0"/>
        <charset val="1"/>
      </rPr>
      <t xml:space="preserve">OPEX </t>
    </r>
    <r>
      <rPr>
        <b val="true"/>
        <sz val="10"/>
        <rFont val="WenQuanYi Zen Hei"/>
        <family val="2"/>
      </rPr>
      <t xml:space="preserve">계정명
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자동</t>
    </r>
    <r>
      <rPr>
        <b val="true"/>
        <sz val="10"/>
        <rFont val="맑은 고딕"/>
        <family val="0"/>
        <charset val="1"/>
      </rPr>
      <t xml:space="preserve">)</t>
    </r>
  </si>
  <si>
    <t xml:space="preserve">업체 구매코드</t>
  </si>
  <si>
    <r>
      <rPr>
        <b val="true"/>
        <sz val="10"/>
        <rFont val="맑은 고딕"/>
        <family val="0"/>
        <charset val="1"/>
      </rPr>
      <t xml:space="preserve">PO / </t>
    </r>
    <r>
      <rPr>
        <b val="true"/>
        <sz val="10"/>
        <rFont val="WenQuanYi Zen Hei"/>
        <family val="2"/>
      </rPr>
      <t xml:space="preserve">인보이스 </t>
    </r>
    <r>
      <rPr>
        <b val="true"/>
        <sz val="10"/>
        <rFont val="맑은 고딕"/>
        <family val="0"/>
        <charset val="1"/>
      </rPr>
      <t xml:space="preserve">No.</t>
    </r>
  </si>
  <si>
    <r>
      <rPr>
        <b val="true"/>
        <sz val="10"/>
        <rFont val="WenQuanYi Zen Hei"/>
        <family val="2"/>
      </rPr>
      <t xml:space="preserve">품목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내역</t>
    </r>
  </si>
  <si>
    <t xml:space="preserve">과세구분</t>
  </si>
  <si>
    <t xml:space="preserve">통화</t>
  </si>
  <si>
    <r>
      <rPr>
        <b val="true"/>
        <sz val="10"/>
        <rFont val="WenQuanYi Zen Hei"/>
        <family val="2"/>
      </rPr>
      <t xml:space="preserve">입력금액
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통화기준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</si>
  <si>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금액기준
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과세시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</si>
  <si>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원화금액
</t>
    </r>
    <r>
      <rPr>
        <b val="true"/>
        <sz val="10"/>
        <rFont val="맑은 고딕"/>
        <family val="0"/>
        <charset val="1"/>
      </rPr>
      <t xml:space="preserve">(KRW)</t>
    </r>
  </si>
  <si>
    <r>
      <rPr>
        <b val="true"/>
        <sz val="10"/>
        <rFont val="WenQuanYi Zen Hei"/>
        <family val="2"/>
      </rPr>
      <t xml:space="preserve">공급가액
</t>
    </r>
    <r>
      <rPr>
        <b val="true"/>
        <sz val="10"/>
        <rFont val="맑은 고딕"/>
        <family val="0"/>
        <charset val="1"/>
      </rPr>
      <t xml:space="preserve">(KRW)</t>
    </r>
  </si>
  <si>
    <r>
      <rPr>
        <b val="true"/>
        <sz val="10"/>
        <rFont val="WenQuanYi Zen Hei"/>
        <family val="2"/>
      </rPr>
      <t xml:space="preserve">부가세
</t>
    </r>
    <r>
      <rPr>
        <b val="true"/>
        <sz val="10"/>
        <rFont val="맑은 고딕"/>
        <family val="0"/>
        <charset val="1"/>
      </rPr>
      <t xml:space="preserve">(KRW)</t>
    </r>
  </si>
  <si>
    <r>
      <rPr>
        <b val="true"/>
        <sz val="10"/>
        <rFont val="WenQuanYi Zen Hei"/>
        <family val="2"/>
      </rPr>
      <t xml:space="preserve">합계
</t>
    </r>
    <r>
      <rPr>
        <b val="true"/>
        <sz val="10"/>
        <rFont val="맑은 고딕"/>
        <family val="0"/>
        <charset val="1"/>
      </rPr>
      <t xml:space="preserve">(KRW)</t>
    </r>
  </si>
  <si>
    <r>
      <rPr>
        <b val="true"/>
        <sz val="10"/>
        <rFont val="맑은 고딕"/>
        <family val="0"/>
        <charset val="1"/>
      </rPr>
      <t xml:space="preserve">VAT
</t>
    </r>
    <r>
      <rPr>
        <b val="true"/>
        <sz val="10"/>
        <rFont val="WenQuanYi Zen Hei"/>
        <family val="2"/>
      </rPr>
      <t xml:space="preserve">추가가능</t>
    </r>
  </si>
  <si>
    <r>
      <rPr>
        <b val="true"/>
        <sz val="10"/>
        <rFont val="WenQuanYi Zen Hei"/>
        <family val="2"/>
      </rPr>
      <t xml:space="preserve">비고 </t>
    </r>
    <r>
      <rPr>
        <b val="true"/>
        <sz val="10"/>
        <rFont val="맑은 고딕"/>
        <family val="0"/>
        <charset val="1"/>
      </rPr>
      <t xml:space="preserve">(REMARK)</t>
    </r>
  </si>
  <si>
    <r>
      <rPr>
        <sz val="10"/>
        <color rgb="FF0000FF"/>
        <rFont val="WenQuanYi Zen Hei"/>
        <family val="2"/>
      </rPr>
      <t xml:space="preserve">공통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미배분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</si>
  <si>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로그북 제작</t>
  </si>
  <si>
    <t xml:space="preserve">과세</t>
  </si>
  <si>
    <t xml:space="preserve">KRW</t>
  </si>
  <si>
    <r>
      <rPr>
        <sz val="10"/>
        <color rgb="FF0000FF"/>
        <rFont val="맑은 고딕"/>
        <family val="0"/>
        <charset val="1"/>
      </rPr>
      <t xml:space="preserve">VAT</t>
    </r>
    <r>
      <rPr>
        <sz val="10"/>
        <color rgb="FF0000FF"/>
        <rFont val="WenQuanYi Zen Hei"/>
        <family val="2"/>
      </rPr>
      <t xml:space="preserve">포함</t>
    </r>
  </si>
  <si>
    <r>
      <rPr>
        <sz val="10"/>
        <color rgb="FF0000FF"/>
        <rFont val="WenQuanYi Zen Hei"/>
        <family val="2"/>
      </rPr>
      <t xml:space="preserve">과세</t>
    </r>
    <r>
      <rPr>
        <sz val="10"/>
        <color rgb="FF0000FF"/>
        <rFont val="맑은 고딕"/>
        <family val="0"/>
        <charset val="1"/>
      </rPr>
      <t xml:space="preserve">. 1,302,400</t>
    </r>
    <r>
      <rPr>
        <sz val="10"/>
        <color rgb="FF0000FF"/>
        <rFont val="WenQuanYi Zen Hei"/>
        <family val="2"/>
      </rPr>
      <t xml:space="preserve">원 </t>
    </r>
    <r>
      <rPr>
        <sz val="10"/>
        <color rgb="FF0000FF"/>
        <rFont val="맑은 고딕"/>
        <family val="0"/>
        <charset val="1"/>
      </rPr>
      <t xml:space="preserve">= </t>
    </r>
    <r>
      <rPr>
        <sz val="10"/>
        <color rgb="FF0000FF"/>
        <rFont val="WenQuanYi Zen Hei"/>
        <family val="2"/>
      </rPr>
      <t xml:space="preserve">부가세 포함으로 가정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공급가 </t>
    </r>
    <r>
      <rPr>
        <sz val="10"/>
        <color rgb="FF0000FF"/>
        <rFont val="맑은 고딕"/>
        <family val="0"/>
        <charset val="1"/>
      </rPr>
      <t xml:space="preserve">1,184,000) - </t>
    </r>
    <r>
      <rPr>
        <sz val="10"/>
        <color rgb="FF0000FF"/>
        <rFont val="WenQuanYi Zen Hei"/>
        <family val="2"/>
      </rPr>
      <t xml:space="preserve">확인 필요</t>
    </r>
    <r>
      <rPr>
        <sz val="10"/>
        <color rgb="FF0000FF"/>
        <rFont val="맑은 고딕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선박 미배분</t>
    </r>
  </si>
  <si>
    <t xml:space="preserve">Desktop</t>
  </si>
  <si>
    <t xml:space="preserve">비과세</t>
  </si>
  <si>
    <t xml:space="preserve">NAS Storage</t>
  </si>
  <si>
    <t xml:space="preserve">USD</t>
  </si>
  <si>
    <r>
      <rPr>
        <sz val="10"/>
        <color rgb="FF0000FF"/>
        <rFont val="맑은 고딕"/>
        <family val="0"/>
        <charset val="1"/>
      </rPr>
      <t xml:space="preserve">USD 2,800 (</t>
    </r>
    <r>
      <rPr>
        <sz val="10"/>
        <color rgb="FF0000FF"/>
        <rFont val="WenQuanYi Zen Hei"/>
        <family val="2"/>
      </rPr>
      <t xml:space="preserve">설정 환율 적용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</si>
  <si>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Monitor</t>
  </si>
  <si>
    <t xml:space="preserve">Server</t>
  </si>
  <si>
    <r>
      <rPr>
        <sz val="10"/>
        <color rgb="FF0000FF"/>
        <rFont val="맑은 고딕"/>
        <family val="0"/>
        <charset val="1"/>
      </rPr>
      <t xml:space="preserve">USD 26,000 (</t>
    </r>
    <r>
      <rPr>
        <sz val="10"/>
        <color rgb="FF0000FF"/>
        <rFont val="WenQuanYi Zen Hei"/>
        <family val="2"/>
      </rPr>
      <t xml:space="preserve">설정 환율 적용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</si>
  <si>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Laptop</t>
  </si>
  <si>
    <r>
      <rPr>
        <sz val="10"/>
        <color rgb="FF0000FF"/>
        <rFont val="WenQuanYi Zen Hei"/>
        <family val="2"/>
      </rPr>
      <t xml:space="preserve">선박별 </t>
    </r>
    <r>
      <rPr>
        <sz val="10"/>
        <color rgb="FF0000FF"/>
        <rFont val="맑은 고딕"/>
        <family val="0"/>
        <charset val="1"/>
      </rPr>
      <t xml:space="preserve">33,800,000 (4</t>
    </r>
    <r>
      <rPr>
        <sz val="10"/>
        <color rgb="FF0000FF"/>
        <rFont val="WenQuanYi Zen Hei"/>
        <family val="2"/>
      </rPr>
      <t xml:space="preserve">척 각각</t>
    </r>
    <r>
      <rPr>
        <sz val="10"/>
        <color rgb="FF0000FF"/>
        <rFont val="맑은 고딕"/>
        <family val="0"/>
        <charset val="1"/>
      </rPr>
      <t xml:space="preserve">) - </t>
    </r>
    <r>
      <rPr>
        <sz val="10"/>
        <color rgb="FF0000FF"/>
        <rFont val="WenQuanYi Zen Hei"/>
        <family val="2"/>
      </rPr>
      <t xml:space="preserve">확인 필요</t>
    </r>
  </si>
  <si>
    <t xml:space="preserve">네트워크 셋팅</t>
  </si>
  <si>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품목 확인 필요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</si>
  <si>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Y</t>
  </si>
  <si>
    <r>
      <rPr>
        <sz val="10"/>
        <color rgb="FF0000FF"/>
        <rFont val="WenQuanYi Zen Hei"/>
        <family val="2"/>
      </rPr>
      <t xml:space="preserve">적재허가서 문제로 현재 부가세별도</t>
    </r>
    <r>
      <rPr>
        <sz val="10"/>
        <color rgb="FF0000FF"/>
        <rFont val="맑은 고딕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부가세 </t>
    </r>
    <r>
      <rPr>
        <sz val="10"/>
        <color rgb="FF0000FF"/>
        <rFont val="맑은 고딕"/>
        <family val="0"/>
        <charset val="1"/>
      </rPr>
      <t xml:space="preserve">10% </t>
    </r>
    <r>
      <rPr>
        <sz val="10"/>
        <color rgb="FF0000FF"/>
        <rFont val="WenQuanYi Zen Hei"/>
        <family val="2"/>
      </rPr>
      <t xml:space="preserve">추가 가능성</t>
    </r>
  </si>
  <si>
    <t xml:space="preserve">GOS-26-0984</t>
  </si>
  <si>
    <r>
      <rPr>
        <sz val="10"/>
        <color rgb="FF0000FF"/>
        <rFont val="맑은 고딕"/>
        <family val="0"/>
        <charset val="1"/>
      </rPr>
      <t xml:space="preserve">Stamp (</t>
    </r>
    <r>
      <rPr>
        <sz val="10"/>
        <color rgb="FF0000FF"/>
        <rFont val="WenQuanYi Zen Hei"/>
        <family val="2"/>
      </rPr>
      <t xml:space="preserve">바뀐 선명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</si>
  <si>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옥슨 </t>
    </r>
    <r>
      <rPr>
        <sz val="10"/>
        <color rgb="FF0000FF"/>
        <rFont val="맑은 고딕"/>
        <family val="0"/>
        <charset val="1"/>
      </rPr>
      <t xml:space="preserve">INV 2026-10-02 / </t>
    </r>
    <r>
      <rPr>
        <sz val="10"/>
        <color rgb="FF0000FF"/>
        <rFont val="WenQuanYi Zen Hei"/>
        <family val="2"/>
      </rPr>
      <t xml:space="preserve">납품 여수항</t>
    </r>
    <r>
      <rPr>
        <sz val="10"/>
        <color rgb="FF0000FF"/>
        <rFont val="맑은 고딕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신규 선명 </t>
    </r>
    <r>
      <rPr>
        <sz val="10"/>
        <color rgb="FF0000FF"/>
        <rFont val="맑은 고딕"/>
        <family val="0"/>
        <charset val="1"/>
      </rPr>
      <t xml:space="preserve">AEOLUS</t>
    </r>
  </si>
  <si>
    <t xml:space="preserve">IOB-26-0993</t>
  </si>
  <si>
    <t xml:space="preserve">Safety boots &amp; Goggle</t>
  </si>
  <si>
    <r>
      <rPr>
        <sz val="10"/>
        <color rgb="FF0000FF"/>
        <rFont val="WenQuanYi Zen Hei"/>
        <family val="2"/>
      </rPr>
      <t xml:space="preserve">옥슨 </t>
    </r>
    <r>
      <rPr>
        <sz val="10"/>
        <color rgb="FF0000FF"/>
        <rFont val="맑은 고딕"/>
        <family val="0"/>
        <charset val="1"/>
      </rPr>
      <t xml:space="preserve">INV 2026-10-02 / </t>
    </r>
    <r>
      <rPr>
        <sz val="10"/>
        <color rgb="FF0000FF"/>
        <rFont val="WenQuanYi Zen Hei"/>
        <family val="2"/>
      </rPr>
      <t xml:space="preserve">납품 여수항</t>
    </r>
    <r>
      <rPr>
        <sz val="10"/>
        <color rgb="FF0000FF"/>
        <rFont val="맑은 고딕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방한화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WenQuanYi Zen Hei"/>
        <family val="2"/>
      </rPr>
      <t xml:space="preserve">보안경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WenQuanYi Zen Hei"/>
        <family val="2"/>
      </rPr>
      <t xml:space="preserve">고글</t>
    </r>
  </si>
  <si>
    <t xml:space="preserve">IOB-4VS-26-1010</t>
  </si>
  <si>
    <r>
      <rPr>
        <sz val="10"/>
        <color rgb="FF0000FF"/>
        <rFont val="WenQuanYi Zen Hei"/>
        <family val="2"/>
      </rPr>
      <t xml:space="preserve">방한돕바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WenQuanYi Zen Hei"/>
        <family val="2"/>
      </rPr>
      <t xml:space="preserve">안전모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WenQuanYi Zen Hei"/>
        <family val="2"/>
      </rPr>
      <t xml:space="preserve">안전모 끈</t>
    </r>
  </si>
  <si>
    <r>
      <rPr>
        <sz val="10"/>
        <color rgb="FF0000FF"/>
        <rFont val="WenQuanYi Zen Hei"/>
        <family val="2"/>
      </rPr>
      <t xml:space="preserve">옥슨 </t>
    </r>
    <r>
      <rPr>
        <sz val="10"/>
        <color rgb="FF0000FF"/>
        <rFont val="맑은 고딕"/>
        <family val="0"/>
        <charset val="1"/>
      </rPr>
      <t xml:space="preserve">INV 2026-10-02 / </t>
    </r>
    <r>
      <rPr>
        <sz val="10"/>
        <color rgb="FF0000FF"/>
        <rFont val="WenQuanYi Zen Hei"/>
        <family val="2"/>
      </rPr>
      <t xml:space="preserve">납품 여수항</t>
    </r>
    <r>
      <rPr>
        <sz val="10"/>
        <color rgb="FF0000FF"/>
        <rFont val="맑은 고딕"/>
        <family val="0"/>
        <charset val="1"/>
      </rPr>
      <t xml:space="preserve">. 4</t>
    </r>
    <r>
      <rPr>
        <sz val="10"/>
        <color rgb="FF0000FF"/>
        <rFont val="WenQuanYi Zen Hei"/>
        <family val="2"/>
      </rPr>
      <t xml:space="preserve">척 공통 발주</t>
    </r>
    <r>
      <rPr>
        <sz val="10"/>
        <color rgb="FF0000FF"/>
        <rFont val="맑은 고딕"/>
        <family val="0"/>
        <charset val="1"/>
      </rPr>
      <t xml:space="preserve">(IOB-4VS) </t>
    </r>
    <r>
      <rPr>
        <sz val="10"/>
        <color rgb="FF0000FF"/>
        <rFont val="WenQuanYi Zen Hei"/>
        <family val="2"/>
      </rPr>
      <t xml:space="preserve">중 해당 선박분</t>
    </r>
  </si>
  <si>
    <t xml:space="preserve">IOB-4VS-26-1014</t>
  </si>
  <si>
    <r>
      <rPr>
        <sz val="10"/>
        <color rgb="FF0000FF"/>
        <rFont val="WenQuanYi Zen Hei"/>
        <family val="2"/>
      </rPr>
      <t xml:space="preserve">방한용품 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방한장갑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WenQuanYi Zen Hei"/>
        <family val="2"/>
      </rPr>
      <t xml:space="preserve">발열내의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WenQuanYi Zen Hei"/>
        <family val="2"/>
      </rPr>
      <t xml:space="preserve">바라클라바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WenQuanYi Zen Hei"/>
        <family val="2"/>
      </rPr>
      <t xml:space="preserve">양말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WenQuanYi Zen Hei"/>
        <family val="2"/>
      </rPr>
      <t xml:space="preserve">넥워머 등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</si>
  <si>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IOB-4VS-26-1017</t>
  </si>
  <si>
    <r>
      <rPr>
        <sz val="10"/>
        <color rgb="FF0000FF"/>
        <rFont val="WenQuanYi Zen Hei"/>
        <family val="2"/>
      </rPr>
      <t xml:space="preserve">절연장갑 </t>
    </r>
    <r>
      <rPr>
        <sz val="10"/>
        <color rgb="FF0000FF"/>
        <rFont val="맑은 고딕"/>
        <family val="0"/>
        <charset val="1"/>
      </rPr>
      <t xml:space="preserve">(1000V / 7500V)</t>
    </r>
  </si>
  <si>
    <t xml:space="preserve">IOB-NOL-26-1023</t>
  </si>
  <si>
    <r>
      <rPr>
        <sz val="10"/>
        <color rgb="FF0000FF"/>
        <rFont val="WenQuanYi Zen Hei"/>
        <family val="2"/>
      </rPr>
      <t xml:space="preserve">염화칼슘 </t>
    </r>
    <r>
      <rPr>
        <sz val="10"/>
        <color rgb="FF0000FF"/>
        <rFont val="맑은 고딕"/>
        <family val="0"/>
        <charset val="1"/>
      </rPr>
      <t xml:space="preserve">25kg x 8 bags</t>
    </r>
  </si>
  <si>
    <r>
      <rPr>
        <sz val="10"/>
        <color rgb="FF0000FF"/>
        <rFont val="WenQuanYi Zen Hei"/>
        <family val="2"/>
      </rPr>
      <t xml:space="preserve">옥슨 </t>
    </r>
    <r>
      <rPr>
        <sz val="10"/>
        <color rgb="FF0000FF"/>
        <rFont val="맑은 고딕"/>
        <family val="0"/>
        <charset val="1"/>
      </rPr>
      <t xml:space="preserve">INV 2026-10-02 / </t>
    </r>
    <r>
      <rPr>
        <sz val="10"/>
        <color rgb="FF0000FF"/>
        <rFont val="WenQuanYi Zen Hei"/>
        <family val="2"/>
      </rPr>
      <t xml:space="preserve">납품 여수항</t>
    </r>
    <r>
      <rPr>
        <sz val="10"/>
        <color rgb="FF0000FF"/>
        <rFont val="맑은 고딕"/>
        <family val="0"/>
        <charset val="1"/>
      </rPr>
      <t xml:space="preserve">. 4</t>
    </r>
    <r>
      <rPr>
        <sz val="10"/>
        <color rgb="FF0000FF"/>
        <rFont val="WenQuanYi Zen Hei"/>
        <family val="2"/>
      </rPr>
      <t xml:space="preserve">척 분배 </t>
    </r>
    <r>
      <rPr>
        <sz val="10"/>
        <color rgb="FF0000FF"/>
        <rFont val="맑은 고딕"/>
        <family val="0"/>
        <charset val="1"/>
      </rPr>
      <t xml:space="preserve">8/8/8/4 bags (@18,975)</t>
    </r>
  </si>
  <si>
    <t xml:space="preserve">IOB-NOL-26-1028</t>
  </si>
  <si>
    <t xml:space="preserve">M/E Oxygen sensor (A/B) 3 sets</t>
  </si>
  <si>
    <r>
      <rPr>
        <sz val="10"/>
        <color rgb="FF0000FF"/>
        <rFont val="WenQuanYi Zen Hei"/>
        <family val="2"/>
      </rPr>
      <t xml:space="preserve">옥슨 </t>
    </r>
    <r>
      <rPr>
        <sz val="10"/>
        <color rgb="FF0000FF"/>
        <rFont val="맑은 고딕"/>
        <family val="0"/>
        <charset val="1"/>
      </rPr>
      <t xml:space="preserve">INV 2026-10-02 / </t>
    </r>
    <r>
      <rPr>
        <sz val="10"/>
        <color rgb="FF0000FF"/>
        <rFont val="WenQuanYi Zen Hei"/>
        <family val="2"/>
      </rPr>
      <t xml:space="preserve">납품 여수항</t>
    </r>
    <r>
      <rPr>
        <sz val="10"/>
        <color rgb="FF0000FF"/>
        <rFont val="맑은 고딕"/>
        <family val="0"/>
        <charset val="1"/>
      </rPr>
      <t xml:space="preserve">. 4</t>
    </r>
    <r>
      <rPr>
        <sz val="10"/>
        <color rgb="FF0000FF"/>
        <rFont val="WenQuanYi Zen Hei"/>
        <family val="2"/>
      </rPr>
      <t xml:space="preserve">척에 </t>
    </r>
    <r>
      <rPr>
        <sz val="10"/>
        <color rgb="FF0000FF"/>
        <rFont val="맑은 고딕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개씩 보급 </t>
    </r>
    <r>
      <rPr>
        <sz val="10"/>
        <color rgb="FF0000FF"/>
        <rFont val="맑은 고딕"/>
        <family val="0"/>
        <charset val="1"/>
      </rPr>
      <t xml:space="preserve">(HANWHA MAN B&amp;W 5G70ME-C10.5, @1,725,000)</t>
    </r>
  </si>
  <si>
    <t xml:space="preserve">IOB-NOL-26-1050 (CLAIM NO. C-059)</t>
  </si>
  <si>
    <t xml:space="preserve">IGG O2 Sensor - Analyzer ass'y</t>
  </si>
  <si>
    <r>
      <rPr>
        <sz val="10"/>
        <color rgb="FF0000FF"/>
        <rFont val="WenQuanYi Zen Hei"/>
        <family val="2"/>
      </rPr>
      <t xml:space="preserve">옥슨 </t>
    </r>
    <r>
      <rPr>
        <sz val="10"/>
        <color rgb="FF0000FF"/>
        <rFont val="맑은 고딕"/>
        <family val="0"/>
        <charset val="1"/>
      </rPr>
      <t xml:space="preserve">INV 2026-10-02 / </t>
    </r>
    <r>
      <rPr>
        <sz val="10"/>
        <color rgb="FF0000FF"/>
        <rFont val="WenQuanYi Zen Hei"/>
        <family val="2"/>
      </rPr>
      <t xml:space="preserve">납품 여수항</t>
    </r>
    <r>
      <rPr>
        <sz val="10"/>
        <color rgb="FF0000FF"/>
        <rFont val="맑은 고딕"/>
        <family val="0"/>
        <charset val="1"/>
      </rPr>
      <t xml:space="preserve">. Claim No. C-059 / KANGRIM OA-Z-IG2</t>
    </r>
  </si>
  <si>
    <r>
      <rPr>
        <sz val="10"/>
        <color rgb="FF0000FF"/>
        <rFont val="WenQuanYi Zen Hei"/>
        <family val="2"/>
      </rPr>
      <t xml:space="preserve">옥슨 </t>
    </r>
    <r>
      <rPr>
        <sz val="10"/>
        <color rgb="FF0000FF"/>
        <rFont val="맑은 고딕"/>
        <family val="0"/>
        <charset val="1"/>
      </rPr>
      <t xml:space="preserve">INV 2026-10-02 / </t>
    </r>
    <r>
      <rPr>
        <sz val="10"/>
        <color rgb="FF0000FF"/>
        <rFont val="WenQuanYi Zen Hei"/>
        <family val="2"/>
      </rPr>
      <t xml:space="preserve">납품 여수항</t>
    </r>
    <r>
      <rPr>
        <sz val="10"/>
        <color rgb="FF0000FF"/>
        <rFont val="맑은 고딕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신규 선명 </t>
    </r>
    <r>
      <rPr>
        <sz val="10"/>
        <color rgb="FF0000FF"/>
        <rFont val="맑은 고딕"/>
        <family val="0"/>
        <charset val="1"/>
      </rPr>
      <t xml:space="preserve">MELICERTES</t>
    </r>
  </si>
  <si>
    <t xml:space="preserve">IOB-NMO-26-1000 (A260923-002)</t>
  </si>
  <si>
    <r>
      <rPr>
        <sz val="10"/>
        <color rgb="FF0000FF"/>
        <rFont val="맑은 고딕"/>
        <family val="0"/>
        <charset val="1"/>
      </rPr>
      <t xml:space="preserve">Engine part (</t>
    </r>
    <r>
      <rPr>
        <sz val="10"/>
        <color rgb="FF0000FF"/>
        <rFont val="WenQuanYi Zen Hei"/>
        <family val="2"/>
      </rPr>
      <t xml:space="preserve">선용품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</si>
  <si>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옥슨 </t>
    </r>
    <r>
      <rPr>
        <sz val="10"/>
        <color rgb="FF0000FF"/>
        <rFont val="맑은 고딕"/>
        <family val="0"/>
        <charset val="1"/>
      </rPr>
      <t xml:space="preserve">INV 2026-10-02 / </t>
    </r>
    <r>
      <rPr>
        <sz val="10"/>
        <color rgb="FF0000FF"/>
        <rFont val="WenQuanYi Zen Hei"/>
        <family val="2"/>
      </rPr>
      <t xml:space="preserve">납품 여수항</t>
    </r>
  </si>
  <si>
    <t xml:space="preserve">IOB-NMO-26-1001 (A260923-004)</t>
  </si>
  <si>
    <t xml:space="preserve">Deck part</t>
  </si>
  <si>
    <t xml:space="preserve">IOB-NMO-26-1002 (A260923-005)</t>
  </si>
  <si>
    <t xml:space="preserve">Cargo part</t>
  </si>
  <si>
    <t xml:space="preserve">IOB-NMO-26-1003 (A260923-006)</t>
  </si>
  <si>
    <t xml:space="preserve">Galley part</t>
  </si>
  <si>
    <t xml:space="preserve">IOB-NMO-26-1004</t>
  </si>
  <si>
    <r>
      <rPr>
        <sz val="10"/>
        <color rgb="FF0000FF"/>
        <rFont val="맑은 고딕"/>
        <family val="0"/>
        <charset val="1"/>
      </rPr>
      <t xml:space="preserve">Deck paint (SIGMADUR </t>
    </r>
    <r>
      <rPr>
        <sz val="10"/>
        <color rgb="FF0000FF"/>
        <rFont val="WenQuanYi Zen Hei"/>
        <family val="2"/>
      </rPr>
      <t xml:space="preserve">등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</si>
  <si>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IOB-NVA-26-1039</t>
  </si>
  <si>
    <t xml:space="preserve">Flexible steam hose (15A, 10M) x 2</t>
  </si>
  <si>
    <r>
      <rPr>
        <sz val="10"/>
        <color rgb="FF0000FF"/>
        <rFont val="WenQuanYi Zen Hei"/>
        <family val="2"/>
      </rPr>
      <t xml:space="preserve">옥슨 </t>
    </r>
    <r>
      <rPr>
        <sz val="10"/>
        <color rgb="FF0000FF"/>
        <rFont val="맑은 고딕"/>
        <family val="0"/>
        <charset val="1"/>
      </rPr>
      <t xml:space="preserve">INV 2026-10-02 / </t>
    </r>
    <r>
      <rPr>
        <sz val="10"/>
        <color rgb="FF0000FF"/>
        <rFont val="WenQuanYi Zen Hei"/>
        <family val="2"/>
      </rPr>
      <t xml:space="preserve">납품 여수항</t>
    </r>
    <r>
      <rPr>
        <sz val="10"/>
        <color rgb="FF0000FF"/>
        <rFont val="맑은 고딕"/>
        <family val="0"/>
        <charset val="1"/>
      </rPr>
      <t xml:space="preserve">. VALLEY 3 + MOON 2 PCS </t>
    </r>
    <r>
      <rPr>
        <sz val="10"/>
        <color rgb="FF0000FF"/>
        <rFont val="WenQuanYi Zen Hei"/>
        <family val="2"/>
      </rPr>
      <t xml:space="preserve">분할 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합계 </t>
    </r>
    <r>
      <rPr>
        <sz val="10"/>
        <color rgb="FF0000FF"/>
        <rFont val="맑은 고딕"/>
        <family val="0"/>
        <charset val="1"/>
      </rPr>
      <t xml:space="preserve">1,050,000)</t>
    </r>
  </si>
  <si>
    <t xml:space="preserve">INVOICE</t>
  </si>
  <si>
    <r>
      <rPr>
        <sz val="10"/>
        <color rgb="FF0000FF"/>
        <rFont val="WenQuanYi Zen Hei"/>
        <family val="2"/>
      </rPr>
      <t xml:space="preserve">운송비 </t>
    </r>
    <r>
      <rPr>
        <sz val="10"/>
        <color rgb="FF0000FF"/>
        <rFont val="맑은 고딕"/>
        <family val="0"/>
        <charset val="1"/>
      </rPr>
      <t xml:space="preserve">(Trucking 10/1)</t>
    </r>
  </si>
  <si>
    <r>
      <rPr>
        <sz val="10"/>
        <color rgb="FF0000FF"/>
        <rFont val="WenQuanYi Zen Hei"/>
        <family val="2"/>
      </rPr>
      <t xml:space="preserve">옥슨 </t>
    </r>
    <r>
      <rPr>
        <sz val="10"/>
        <color rgb="FF0000FF"/>
        <rFont val="맑은 고딕"/>
        <family val="0"/>
        <charset val="1"/>
      </rPr>
      <t xml:space="preserve">INV 2026-10-02 Additional charge. </t>
    </r>
    <r>
      <rPr>
        <sz val="10"/>
        <color rgb="FF0000FF"/>
        <rFont val="WenQuanYi Zen Hei"/>
        <family val="2"/>
      </rPr>
      <t xml:space="preserve">부산</t>
    </r>
    <r>
      <rPr>
        <sz val="10"/>
        <color rgb="FF0000FF"/>
        <rFont val="맑은 고딕"/>
        <family val="0"/>
        <charset val="1"/>
      </rPr>
      <t xml:space="preserve">-</t>
    </r>
    <r>
      <rPr>
        <sz val="10"/>
        <color rgb="FF0000FF"/>
        <rFont val="WenQuanYi Zen Hei"/>
        <family val="2"/>
      </rPr>
      <t xml:space="preserve">여수 왕복 </t>
    </r>
    <r>
      <rPr>
        <sz val="10"/>
        <color rgb="FF0000FF"/>
        <rFont val="맑은 고딕"/>
        <family val="0"/>
        <charset val="1"/>
      </rPr>
      <t xml:space="preserve">5</t>
    </r>
    <r>
      <rPr>
        <sz val="10"/>
        <color rgb="FF0000FF"/>
        <rFont val="WenQuanYi Zen Hei"/>
        <family val="2"/>
      </rPr>
      <t xml:space="preserve">톤 장축 </t>
    </r>
    <r>
      <rPr>
        <sz val="10"/>
        <color rgb="FF0000FF"/>
        <rFont val="맑은 고딕"/>
        <family val="0"/>
        <charset val="1"/>
      </rPr>
      <t xml:space="preserve">x3 (1,560,000) + 1</t>
    </r>
    <r>
      <rPr>
        <sz val="10"/>
        <color rgb="FF0000FF"/>
        <rFont val="WenQuanYi Zen Hei"/>
        <family val="2"/>
      </rPr>
      <t xml:space="preserve">톤 </t>
    </r>
    <r>
      <rPr>
        <sz val="10"/>
        <color rgb="FF0000FF"/>
        <rFont val="맑은 고딕"/>
        <family val="0"/>
        <charset val="1"/>
      </rPr>
      <t xml:space="preserve">x1 (250,000)</t>
    </r>
  </si>
  <si>
    <r>
      <rPr>
        <sz val="10"/>
        <color rgb="FF0000FF"/>
        <rFont val="WenQuanYi Zen Hei"/>
        <family val="2"/>
      </rPr>
      <t xml:space="preserve">포장비 </t>
    </r>
    <r>
      <rPr>
        <sz val="10"/>
        <color rgb="FF0000FF"/>
        <rFont val="맑은 고딕"/>
        <family val="0"/>
        <charset val="1"/>
      </rPr>
      <t xml:space="preserve">(Packing)</t>
    </r>
  </si>
  <si>
    <r>
      <rPr>
        <sz val="10"/>
        <color rgb="FF0000FF"/>
        <rFont val="WenQuanYi Zen Hei"/>
        <family val="2"/>
      </rPr>
      <t xml:space="preserve">옥슨 </t>
    </r>
    <r>
      <rPr>
        <sz val="10"/>
        <color rgb="FF0000FF"/>
        <rFont val="맑은 고딕"/>
        <family val="0"/>
        <charset val="1"/>
      </rPr>
      <t xml:space="preserve">INV 2026-10-02 Additional charge. Wooden pallet x8 (360,000) + Ton bag x20 (100,000) + 2Ton bag x5 (110,000)</t>
    </r>
  </si>
  <si>
    <r>
      <rPr>
        <sz val="10"/>
        <color rgb="FF0000FF"/>
        <rFont val="WenQuanYi Zen Hei"/>
        <family val="2"/>
      </rPr>
      <t xml:space="preserve">옥슨 </t>
    </r>
    <r>
      <rPr>
        <sz val="10"/>
        <color rgb="FF0000FF"/>
        <rFont val="맑은 고딕"/>
        <family val="0"/>
        <charset val="1"/>
      </rPr>
      <t xml:space="preserve">INV 2026-10-02 / </t>
    </r>
    <r>
      <rPr>
        <sz val="10"/>
        <color rgb="FF0000FF"/>
        <rFont val="WenQuanYi Zen Hei"/>
        <family val="2"/>
      </rPr>
      <t xml:space="preserve">납품 여수항</t>
    </r>
    <r>
      <rPr>
        <sz val="10"/>
        <color rgb="FF0000FF"/>
        <rFont val="맑은 고딕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신규 선명 </t>
    </r>
    <r>
      <rPr>
        <sz val="10"/>
        <color rgb="FF0000FF"/>
        <rFont val="맑은 고딕"/>
        <family val="0"/>
        <charset val="1"/>
      </rPr>
      <t xml:space="preserve">NELEUS</t>
    </r>
  </si>
  <si>
    <t xml:space="preserve">IOB-NOC-26-0996 (A260922-005)</t>
  </si>
  <si>
    <t xml:space="preserve">Engine part</t>
  </si>
  <si>
    <t xml:space="preserve">IOB-NOC-26-0999 (A260922-006)</t>
  </si>
  <si>
    <t xml:space="preserve">Electric part</t>
  </si>
  <si>
    <t xml:space="preserve">IOB-NOC-26-1022</t>
  </si>
  <si>
    <t xml:space="preserve">Paint (PPG SIGMA)</t>
  </si>
  <si>
    <t xml:space="preserve">IOB-NOC-26-1024</t>
  </si>
  <si>
    <t xml:space="preserve">Deck part - Coffee machine, Soundbar</t>
  </si>
  <si>
    <t xml:space="preserve">IOB-NOC-26-1035</t>
  </si>
  <si>
    <t xml:space="preserve">Cabin part</t>
  </si>
  <si>
    <t xml:space="preserve">IOB-NOC-26-1036</t>
  </si>
  <si>
    <t xml:space="preserve">IOB-NOC-26-1037</t>
  </si>
  <si>
    <r>
      <rPr>
        <sz val="10"/>
        <color rgb="FF0000FF"/>
        <rFont val="맑은 고딕"/>
        <family val="0"/>
        <charset val="1"/>
      </rPr>
      <t xml:space="preserve">PPE part (Hearing protection </t>
    </r>
    <r>
      <rPr>
        <sz val="10"/>
        <color rgb="FF0000FF"/>
        <rFont val="WenQuanYi Zen Hei"/>
        <family val="2"/>
      </rPr>
      <t xml:space="preserve">등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</si>
  <si>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IOB-NOC-26-1051</t>
  </si>
  <si>
    <t xml:space="preserve">2x Dual Monitor HDMI Splitter</t>
  </si>
  <si>
    <r>
      <rPr>
        <sz val="10"/>
        <color rgb="FF0000FF"/>
        <rFont val="WenQuanYi Zen Hei"/>
        <family val="2"/>
      </rPr>
      <t xml:space="preserve">옥슨 </t>
    </r>
    <r>
      <rPr>
        <sz val="10"/>
        <color rgb="FF0000FF"/>
        <rFont val="맑은 고딕"/>
        <family val="0"/>
        <charset val="1"/>
      </rPr>
      <t xml:space="preserve">INV 2026-10-02 / </t>
    </r>
    <r>
      <rPr>
        <sz val="10"/>
        <color rgb="FF0000FF"/>
        <rFont val="WenQuanYi Zen Hei"/>
        <family val="2"/>
      </rPr>
      <t xml:space="preserve">납품 </t>
    </r>
    <r>
      <rPr>
        <sz val="10"/>
        <color rgb="FF0000FF"/>
        <rFont val="맑은 고딕"/>
        <family val="0"/>
        <charset val="1"/>
      </rPr>
      <t xml:space="preserve">-. </t>
    </r>
    <r>
      <rPr>
        <sz val="10"/>
        <color rgb="FF0000FF"/>
        <rFont val="WenQuanYi Zen Hei"/>
        <family val="2"/>
      </rPr>
      <t xml:space="preserve">납품일 미기재 </t>
    </r>
    <r>
      <rPr>
        <sz val="10"/>
        <color rgb="FF0000FF"/>
        <rFont val="맑은 고딕"/>
        <family val="0"/>
        <charset val="1"/>
      </rPr>
      <t xml:space="preserve">- </t>
    </r>
    <r>
      <rPr>
        <sz val="10"/>
        <color rgb="FF0000FF"/>
        <rFont val="WenQuanYi Zen Hei"/>
        <family val="2"/>
      </rPr>
      <t xml:space="preserve">인보이스일자 기재</t>
    </r>
  </si>
  <si>
    <r>
      <rPr>
        <sz val="10"/>
        <color rgb="FF0000FF"/>
        <rFont val="WenQuanYi Zen Hei"/>
        <family val="2"/>
      </rPr>
      <t xml:space="preserve">운송비 </t>
    </r>
    <r>
      <rPr>
        <sz val="10"/>
        <color rgb="FF0000FF"/>
        <rFont val="맑은 고딕"/>
        <family val="0"/>
        <charset val="1"/>
      </rPr>
      <t xml:space="preserve">(Trucking 9/24)</t>
    </r>
  </si>
  <si>
    <r>
      <rPr>
        <sz val="10"/>
        <color rgb="FF0000FF"/>
        <rFont val="WenQuanYi Zen Hei"/>
        <family val="2"/>
      </rPr>
      <t xml:space="preserve">옥슨 </t>
    </r>
    <r>
      <rPr>
        <sz val="10"/>
        <color rgb="FF0000FF"/>
        <rFont val="맑은 고딕"/>
        <family val="0"/>
        <charset val="1"/>
      </rPr>
      <t xml:space="preserve">INV 2026-10-02 Additional charge. </t>
    </r>
    <r>
      <rPr>
        <sz val="10"/>
        <color rgb="FF0000FF"/>
        <rFont val="WenQuanYi Zen Hei"/>
        <family val="2"/>
      </rPr>
      <t xml:space="preserve">부산</t>
    </r>
    <r>
      <rPr>
        <sz val="10"/>
        <color rgb="FF0000FF"/>
        <rFont val="맑은 고딕"/>
        <family val="0"/>
        <charset val="1"/>
      </rPr>
      <t xml:space="preserve">-</t>
    </r>
    <r>
      <rPr>
        <sz val="10"/>
        <color rgb="FF0000FF"/>
        <rFont val="WenQuanYi Zen Hei"/>
        <family val="2"/>
      </rPr>
      <t xml:space="preserve">여수 왕복 </t>
    </r>
    <r>
      <rPr>
        <sz val="10"/>
        <color rgb="FF0000FF"/>
        <rFont val="맑은 고딕"/>
        <family val="0"/>
        <charset val="1"/>
      </rPr>
      <t xml:space="preserve">5</t>
    </r>
    <r>
      <rPr>
        <sz val="10"/>
        <color rgb="FF0000FF"/>
        <rFont val="WenQuanYi Zen Hei"/>
        <family val="2"/>
      </rPr>
      <t xml:space="preserve">톤 </t>
    </r>
    <r>
      <rPr>
        <sz val="10"/>
        <color rgb="FF0000FF"/>
        <rFont val="맑은 고딕"/>
        <family val="0"/>
        <charset val="1"/>
      </rPr>
      <t xml:space="preserve">x1 (470,000) + 1</t>
    </r>
    <r>
      <rPr>
        <sz val="10"/>
        <color rgb="FF0000FF"/>
        <rFont val="WenQuanYi Zen Hei"/>
        <family val="2"/>
      </rPr>
      <t xml:space="preserve">톤 </t>
    </r>
    <r>
      <rPr>
        <sz val="10"/>
        <color rgb="FF0000FF"/>
        <rFont val="맑은 고딕"/>
        <family val="0"/>
        <charset val="1"/>
      </rPr>
      <t xml:space="preserve">x1 (250,000)</t>
    </r>
  </si>
  <si>
    <r>
      <rPr>
        <sz val="10"/>
        <color rgb="FF0000FF"/>
        <rFont val="WenQuanYi Zen Hei"/>
        <family val="2"/>
      </rPr>
      <t xml:space="preserve">옥슨 </t>
    </r>
    <r>
      <rPr>
        <sz val="10"/>
        <color rgb="FF0000FF"/>
        <rFont val="맑은 고딕"/>
        <family val="0"/>
        <charset val="1"/>
      </rPr>
      <t xml:space="preserve">INV 2026-10-02 Additional charge. Wooden pallet x2 (90,000) + Ton bag x7 (35,000)</t>
    </r>
  </si>
  <si>
    <r>
      <rPr>
        <sz val="10"/>
        <color rgb="FF0000FF"/>
        <rFont val="WenQuanYi Zen Hei"/>
        <family val="2"/>
      </rPr>
      <t xml:space="preserve">옥슨 </t>
    </r>
    <r>
      <rPr>
        <sz val="10"/>
        <color rgb="FF0000FF"/>
        <rFont val="맑은 고딕"/>
        <family val="0"/>
        <charset val="1"/>
      </rPr>
      <t xml:space="preserve">INV 2026-10-02 / </t>
    </r>
    <r>
      <rPr>
        <sz val="10"/>
        <color rgb="FF0000FF"/>
        <rFont val="WenQuanYi Zen Hei"/>
        <family val="2"/>
      </rPr>
      <t xml:space="preserve">납품 여수항</t>
    </r>
    <r>
      <rPr>
        <sz val="10"/>
        <color rgb="FF0000FF"/>
        <rFont val="맑은 고딕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신규 선명 </t>
    </r>
    <r>
      <rPr>
        <sz val="10"/>
        <color rgb="FF0000FF"/>
        <rFont val="맑은 고딕"/>
        <family val="0"/>
        <charset val="1"/>
      </rPr>
      <t xml:space="preserve">ONEIROI</t>
    </r>
  </si>
  <si>
    <t xml:space="preserve">IOB-NVA-26-0997 (A260922-009)</t>
  </si>
  <si>
    <t xml:space="preserve">Galley part 2</t>
  </si>
  <si>
    <t xml:space="preserve">IOB-NVA-26-0998 (A260922-007)</t>
  </si>
  <si>
    <t xml:space="preserve">Galley part 1</t>
  </si>
  <si>
    <t xml:space="preserve">IOB-NVA-26-1011</t>
  </si>
  <si>
    <t xml:space="preserve">Winter PPE boots (BAFFIN)</t>
  </si>
  <si>
    <t xml:space="preserve">IOB-NVA-26-1018</t>
  </si>
  <si>
    <r>
      <rPr>
        <sz val="10"/>
        <color rgb="FF0000FF"/>
        <rFont val="맑은 고딕"/>
        <family val="0"/>
        <charset val="1"/>
      </rPr>
      <t xml:space="preserve">Store parts - </t>
    </r>
    <r>
      <rPr>
        <sz val="10"/>
        <color rgb="FF0000FF"/>
        <rFont val="WenQuanYi Zen Hei"/>
        <family val="2"/>
      </rPr>
      <t xml:space="preserve">건전지 </t>
    </r>
    <r>
      <rPr>
        <sz val="10"/>
        <color rgb="FF0000FF"/>
        <rFont val="맑은 고딕"/>
        <family val="0"/>
        <charset val="1"/>
      </rPr>
      <t xml:space="preserve">(D</t>
    </r>
    <r>
      <rPr>
        <sz val="10"/>
        <color rgb="FF0000FF"/>
        <rFont val="WenQuanYi Zen Hei"/>
        <family val="2"/>
      </rPr>
      <t xml:space="preserve">형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</si>
  <si>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염화칼슘 </t>
    </r>
    <r>
      <rPr>
        <sz val="10"/>
        <color rgb="FF0000FF"/>
        <rFont val="맑은 고딕"/>
        <family val="0"/>
        <charset val="1"/>
      </rPr>
      <t xml:space="preserve">25kg x 4 bags</t>
    </r>
  </si>
  <si>
    <t xml:space="preserve">IOB-NVA-26-1032</t>
  </si>
  <si>
    <t xml:space="preserve">IOB-NVA-26-1038</t>
  </si>
  <si>
    <t xml:space="preserve">Deck part - Bridge portable anemometer</t>
  </si>
  <si>
    <t xml:space="preserve">Flexible steam hose (15A, 10M) x 3</t>
  </si>
  <si>
    <r>
      <rPr>
        <sz val="10"/>
        <color rgb="FF0000FF"/>
        <rFont val="WenQuanYi Zen Hei"/>
        <family val="2"/>
      </rPr>
      <t xml:space="preserve">운송비 </t>
    </r>
    <r>
      <rPr>
        <sz val="10"/>
        <color rgb="FF0000FF"/>
        <rFont val="맑은 고딕"/>
        <family val="0"/>
        <charset val="1"/>
      </rPr>
      <t xml:space="preserve">(Trucking 10/2)</t>
    </r>
  </si>
  <si>
    <r>
      <rPr>
        <sz val="10"/>
        <color rgb="FF0000FF"/>
        <rFont val="WenQuanYi Zen Hei"/>
        <family val="2"/>
      </rPr>
      <t xml:space="preserve">옥슨 </t>
    </r>
    <r>
      <rPr>
        <sz val="10"/>
        <color rgb="FF0000FF"/>
        <rFont val="맑은 고딕"/>
        <family val="0"/>
        <charset val="1"/>
      </rPr>
      <t xml:space="preserve">INV 2026-10-02 Additional charge. </t>
    </r>
    <r>
      <rPr>
        <sz val="10"/>
        <color rgb="FF0000FF"/>
        <rFont val="WenQuanYi Zen Hei"/>
        <family val="2"/>
      </rPr>
      <t xml:space="preserve">부산</t>
    </r>
    <r>
      <rPr>
        <sz val="10"/>
        <color rgb="FF0000FF"/>
        <rFont val="맑은 고딕"/>
        <family val="0"/>
        <charset val="1"/>
      </rPr>
      <t xml:space="preserve">-</t>
    </r>
    <r>
      <rPr>
        <sz val="10"/>
        <color rgb="FF0000FF"/>
        <rFont val="WenQuanYi Zen Hei"/>
        <family val="2"/>
      </rPr>
      <t xml:space="preserve">여수 왕복 </t>
    </r>
    <r>
      <rPr>
        <sz val="10"/>
        <color rgb="FF0000FF"/>
        <rFont val="맑은 고딕"/>
        <family val="0"/>
        <charset val="1"/>
      </rPr>
      <t xml:space="preserve">5</t>
    </r>
    <r>
      <rPr>
        <sz val="10"/>
        <color rgb="FF0000FF"/>
        <rFont val="WenQuanYi Zen Hei"/>
        <family val="2"/>
      </rPr>
      <t xml:space="preserve">톤 </t>
    </r>
    <r>
      <rPr>
        <sz val="10"/>
        <color rgb="FF0000FF"/>
        <rFont val="맑은 고딕"/>
        <family val="0"/>
        <charset val="1"/>
      </rPr>
      <t xml:space="preserve">x2 (940,000) + 1</t>
    </r>
    <r>
      <rPr>
        <sz val="10"/>
        <color rgb="FF0000FF"/>
        <rFont val="WenQuanYi Zen Hei"/>
        <family val="2"/>
      </rPr>
      <t xml:space="preserve">톤 </t>
    </r>
    <r>
      <rPr>
        <sz val="10"/>
        <color rgb="FF0000FF"/>
        <rFont val="맑은 고딕"/>
        <family val="0"/>
        <charset val="1"/>
      </rPr>
      <t xml:space="preserve">x1 (250,000)</t>
    </r>
  </si>
  <si>
    <r>
      <rPr>
        <sz val="10"/>
        <color rgb="FF0000FF"/>
        <rFont val="WenQuanYi Zen Hei"/>
        <family val="2"/>
      </rPr>
      <t xml:space="preserve">옥슨 </t>
    </r>
    <r>
      <rPr>
        <sz val="10"/>
        <color rgb="FF0000FF"/>
        <rFont val="맑은 고딕"/>
        <family val="0"/>
        <charset val="1"/>
      </rPr>
      <t xml:space="preserve">INV 2026-10-02 Additional charge. Wooden pallet x3 (135,000) + Ton bag x17 (85,000)</t>
    </r>
  </si>
  <si>
    <r>
      <rPr>
        <sz val="10"/>
        <color rgb="FF0000FF"/>
        <rFont val="WenQuanYi Zen Hei"/>
        <family val="2"/>
      </rPr>
      <t xml:space="preserve">사무실 물품 </t>
    </r>
    <r>
      <rPr>
        <sz val="10"/>
        <color rgb="FF0000FF"/>
        <rFont val="맑은 고딕"/>
        <family val="0"/>
        <charset val="1"/>
      </rPr>
      <t xml:space="preserve">- </t>
    </r>
    <r>
      <rPr>
        <sz val="10"/>
        <color rgb="FF0000FF"/>
        <rFont val="WenQuanYi Zen Hei"/>
        <family val="2"/>
      </rPr>
      <t xml:space="preserve">감독님 작업복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WenQuanYi Zen Hei"/>
        <family val="2"/>
      </rPr>
      <t xml:space="preserve">헬멧</t>
    </r>
  </si>
  <si>
    <r>
      <rPr>
        <sz val="10"/>
        <color rgb="FF0000FF"/>
        <rFont val="맑은 고딕"/>
        <family val="0"/>
        <charset val="1"/>
      </rPr>
      <t xml:space="preserve">※ 10/2 </t>
    </r>
    <r>
      <rPr>
        <sz val="10"/>
        <color rgb="FF0000FF"/>
        <rFont val="WenQuanYi Zen Hei"/>
        <family val="2"/>
      </rPr>
      <t xml:space="preserve">인보이스 미포함 </t>
    </r>
    <r>
      <rPr>
        <sz val="10"/>
        <color rgb="FF0000FF"/>
        <rFont val="맑은 고딕"/>
        <family val="0"/>
        <charset val="1"/>
      </rPr>
      <t xml:space="preserve">- </t>
    </r>
    <r>
      <rPr>
        <sz val="10"/>
        <color rgb="FF0000FF"/>
        <rFont val="WenQuanYi Zen Hei"/>
        <family val="2"/>
      </rPr>
      <t xml:space="preserve">별도 청구 확인 필요</t>
    </r>
    <r>
      <rPr>
        <sz val="10"/>
        <color rgb="FF0000FF"/>
        <rFont val="맑은 고딕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선박 아님 </t>
    </r>
    <r>
      <rPr>
        <sz val="10"/>
        <color rgb="FF0000FF"/>
        <rFont val="맑은 고딕"/>
        <family val="0"/>
        <charset val="1"/>
      </rPr>
      <t xml:space="preserve">(OFFICE)</t>
    </r>
  </si>
  <si>
    <t xml:space="preserve">Extra spare parts - Air filter element</t>
  </si>
  <si>
    <r>
      <rPr>
        <sz val="10"/>
        <color rgb="FF0000FF"/>
        <rFont val="맑은 고딕"/>
        <family val="0"/>
        <charset val="1"/>
      </rPr>
      <t xml:space="preserve">※ 10/2 </t>
    </r>
    <r>
      <rPr>
        <sz val="10"/>
        <color rgb="FF0000FF"/>
        <rFont val="WenQuanYi Zen Hei"/>
        <family val="2"/>
      </rPr>
      <t xml:space="preserve">인보이스 미포함 </t>
    </r>
    <r>
      <rPr>
        <sz val="10"/>
        <color rgb="FF0000FF"/>
        <rFont val="맑은 고딕"/>
        <family val="0"/>
        <charset val="1"/>
      </rPr>
      <t xml:space="preserve">- </t>
    </r>
    <r>
      <rPr>
        <sz val="10"/>
        <color rgb="FF0000FF"/>
        <rFont val="WenQuanYi Zen Hei"/>
        <family val="2"/>
      </rPr>
      <t xml:space="preserve">별도 청구 확인 필요</t>
    </r>
    <r>
      <rPr>
        <sz val="10"/>
        <color rgb="FF0000FF"/>
        <rFont val="맑은 고딕"/>
        <family val="0"/>
        <charset val="1"/>
      </rPr>
      <t xml:space="preserve">. NORTH LIGHT</t>
    </r>
    <r>
      <rPr>
        <sz val="10"/>
        <color rgb="FF0000FF"/>
        <rFont val="WenQuanYi Zen Hei"/>
        <family val="2"/>
      </rPr>
      <t xml:space="preserve">로 견적</t>
    </r>
    <r>
      <rPr>
        <sz val="10"/>
        <color rgb="FF0000FF"/>
        <rFont val="맑은 고딕"/>
        <family val="0"/>
        <charset val="1"/>
      </rPr>
      <t xml:space="preserve">, Lead time </t>
    </r>
    <r>
      <rPr>
        <sz val="10"/>
        <color rgb="FF0000FF"/>
        <rFont val="WenQuanYi Zen Hei"/>
        <family val="2"/>
      </rPr>
      <t xml:space="preserve">때문에 기존 보급 안 되었던 건</t>
    </r>
  </si>
  <si>
    <t xml:space="preserve">Extra spare parts - PH sensor for EGR</t>
  </si>
  <si>
    <r>
      <rPr>
        <sz val="10"/>
        <color rgb="FF0000FF"/>
        <rFont val="맑은 고딕"/>
        <family val="0"/>
        <charset val="1"/>
      </rPr>
      <t xml:space="preserve">※ 10/2 </t>
    </r>
    <r>
      <rPr>
        <sz val="10"/>
        <color rgb="FF0000FF"/>
        <rFont val="WenQuanYi Zen Hei"/>
        <family val="2"/>
      </rPr>
      <t xml:space="preserve">인보이스 미포함 </t>
    </r>
    <r>
      <rPr>
        <sz val="10"/>
        <color rgb="FF0000FF"/>
        <rFont val="맑은 고딕"/>
        <family val="0"/>
        <charset val="1"/>
      </rPr>
      <t xml:space="preserve">- </t>
    </r>
    <r>
      <rPr>
        <sz val="10"/>
        <color rgb="FF0000FF"/>
        <rFont val="WenQuanYi Zen Hei"/>
        <family val="2"/>
      </rPr>
      <t xml:space="preserve">별도 청구 확인 필요</t>
    </r>
    <r>
      <rPr>
        <sz val="10"/>
        <color rgb="FF0000FF"/>
        <rFont val="맑은 고딕"/>
        <family val="0"/>
        <charset val="1"/>
      </rPr>
      <t xml:space="preserve">. Lead time </t>
    </r>
    <r>
      <rPr>
        <sz val="10"/>
        <color rgb="FF0000FF"/>
        <rFont val="WenQuanYi Zen Hei"/>
        <family val="2"/>
      </rPr>
      <t xml:space="preserve">때문에 기존 보급 안 되었던 건</t>
    </r>
  </si>
  <si>
    <t xml:space="preserve">작업복</t>
  </si>
  <si>
    <r>
      <rPr>
        <sz val="10"/>
        <color rgb="FF0000FF"/>
        <rFont val="맑은 고딕"/>
        <family val="0"/>
        <charset val="1"/>
      </rPr>
      <t xml:space="preserve">※ 10/2 </t>
    </r>
    <r>
      <rPr>
        <sz val="10"/>
        <color rgb="FF0000FF"/>
        <rFont val="WenQuanYi Zen Hei"/>
        <family val="2"/>
      </rPr>
      <t xml:space="preserve">인보이스 미포함 </t>
    </r>
    <r>
      <rPr>
        <sz val="10"/>
        <color rgb="FF0000FF"/>
        <rFont val="맑은 고딕"/>
        <family val="0"/>
        <charset val="1"/>
      </rPr>
      <t xml:space="preserve">- </t>
    </r>
    <r>
      <rPr>
        <sz val="10"/>
        <color rgb="FF0000FF"/>
        <rFont val="WenQuanYi Zen Hei"/>
        <family val="2"/>
      </rPr>
      <t xml:space="preserve">별도 청구 확인 필요</t>
    </r>
    <r>
      <rPr>
        <sz val="10"/>
        <color rgb="FF0000FF"/>
        <rFont val="맑은 고딕"/>
        <family val="0"/>
        <charset val="1"/>
      </rPr>
      <t xml:space="preserve">. 9/3 </t>
    </r>
    <r>
      <rPr>
        <sz val="10"/>
        <color rgb="FF0000FF"/>
        <rFont val="WenQuanYi Zen Hei"/>
        <family val="2"/>
      </rPr>
      <t xml:space="preserve">구매 진행 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작업기간 </t>
    </r>
    <r>
      <rPr>
        <sz val="10"/>
        <color rgb="FF0000FF"/>
        <rFont val="맑은 고딕"/>
        <family val="0"/>
        <charset val="1"/>
      </rPr>
      <t xml:space="preserve">9/3~9/22)</t>
    </r>
  </si>
  <si>
    <t xml:space="preserve">사관용 작업복</t>
  </si>
  <si>
    <t xml:space="preserve">Stamp</t>
  </si>
  <si>
    <t xml:space="preserve">Helmet Earmuffs</t>
  </si>
  <si>
    <t xml:space="preserve">주부식</t>
  </si>
  <si>
    <r>
      <rPr>
        <sz val="10"/>
        <color rgb="FF0000FF"/>
        <rFont val="WenQuanYi Zen Hei"/>
        <family val="2"/>
      </rPr>
      <t xml:space="preserve">부식공급업체</t>
    </r>
    <r>
      <rPr>
        <sz val="10"/>
        <color rgb="FF0000FF"/>
        <rFont val="맑은 고딕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약 </t>
    </r>
    <r>
      <rPr>
        <sz val="10"/>
        <color rgb="FF0000FF"/>
        <rFont val="맑은 고딕"/>
        <family val="0"/>
        <charset val="1"/>
      </rPr>
      <t xml:space="preserve">USD 21,000</t>
    </r>
  </si>
  <si>
    <t xml:space="preserve">접대품</t>
  </si>
  <si>
    <t xml:space="preserve">부식공급업체</t>
  </si>
  <si>
    <t xml:space="preserve">개인품</t>
  </si>
  <si>
    <t xml:space="preserve">작업선</t>
  </si>
  <si>
    <r>
      <rPr>
        <sz val="10"/>
        <color rgb="FF0000FF"/>
        <rFont val="WenQuanYi Zen Hei"/>
        <family val="2"/>
      </rPr>
      <t xml:space="preserve">부식공급업체</t>
    </r>
    <r>
      <rPr>
        <sz val="10"/>
        <color rgb="FF0000FF"/>
        <rFont val="맑은 고딕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약 </t>
    </r>
    <r>
      <rPr>
        <sz val="10"/>
        <color rgb="FF0000FF"/>
        <rFont val="맑은 고딕"/>
        <family val="0"/>
        <charset val="1"/>
      </rPr>
      <t xml:space="preserve">USD 30,000</t>
    </r>
  </si>
  <si>
    <r>
      <rPr>
        <sz val="10"/>
        <color rgb="FF0000FF"/>
        <rFont val="WenQuanYi Zen Hei"/>
        <family val="2"/>
      </rPr>
      <t xml:space="preserve">부식공급업체</t>
    </r>
    <r>
      <rPr>
        <sz val="10"/>
        <color rgb="FF0000FF"/>
        <rFont val="맑은 고딕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약 </t>
    </r>
    <r>
      <rPr>
        <sz val="10"/>
        <color rgb="FF0000FF"/>
        <rFont val="맑은 고딕"/>
        <family val="0"/>
        <charset val="1"/>
      </rPr>
      <t xml:space="preserve">USD 36,000</t>
    </r>
  </si>
  <si>
    <r>
      <rPr>
        <sz val="10"/>
        <color rgb="FF0000FF"/>
        <rFont val="WenQuanYi Zen Hei"/>
        <family val="2"/>
      </rPr>
      <t xml:space="preserve">부식공급업체</t>
    </r>
    <r>
      <rPr>
        <sz val="10"/>
        <color rgb="FF0000FF"/>
        <rFont val="맑은 고딕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약 </t>
    </r>
    <r>
      <rPr>
        <sz val="10"/>
        <color rgb="FF0000FF"/>
        <rFont val="맑은 고딕"/>
        <family val="0"/>
        <charset val="1"/>
      </rPr>
      <t xml:space="preserve">USD 27,000</t>
    </r>
  </si>
  <si>
    <r>
      <rPr>
        <sz val="10"/>
        <color rgb="FF0000FF"/>
        <rFont val="WenQuanYi Zen Hei"/>
        <family val="2"/>
      </rPr>
      <t xml:space="preserve">서적 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비과세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</si>
  <si>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서적 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과세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</si>
  <si>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과세분 </t>
    </r>
    <r>
      <rPr>
        <sz val="10"/>
        <color rgb="FF0000FF"/>
        <rFont val="맑은 고딕"/>
        <family val="0"/>
        <charset val="1"/>
      </rPr>
      <t xml:space="preserve">101,200 = </t>
    </r>
    <r>
      <rPr>
        <sz val="10"/>
        <color rgb="FF0000FF"/>
        <rFont val="WenQuanYi Zen Hei"/>
        <family val="2"/>
      </rPr>
      <t xml:space="preserve">부가세 포함 금액 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공급가 </t>
    </r>
    <r>
      <rPr>
        <sz val="10"/>
        <color rgb="FF0000FF"/>
        <rFont val="맑은 고딕"/>
        <family val="0"/>
        <charset val="1"/>
      </rPr>
      <t xml:space="preserve">92,000)</t>
    </r>
  </si>
  <si>
    <r>
      <rPr>
        <sz val="10"/>
        <color rgb="FF0000FF"/>
        <rFont val="WenQuanYi Zen Hei"/>
        <family val="2"/>
      </rPr>
      <t xml:space="preserve">택배비 </t>
    </r>
    <r>
      <rPr>
        <sz val="10"/>
        <color rgb="FF0000FF"/>
        <rFont val="맑은 고딕"/>
        <family val="0"/>
        <charset val="1"/>
      </rPr>
      <t xml:space="preserve">26,400</t>
    </r>
    <r>
      <rPr>
        <sz val="10"/>
        <color rgb="FF0000FF"/>
        <rFont val="WenQuanYi Zen Hei"/>
        <family val="2"/>
      </rPr>
      <t xml:space="preserve">원 포함</t>
    </r>
  </si>
  <si>
    <r>
      <rPr>
        <sz val="10"/>
        <color rgb="FF0000FF"/>
        <rFont val="WenQuanYi Zen Hei"/>
        <family val="2"/>
      </rPr>
      <t xml:space="preserve">택배비 </t>
    </r>
    <r>
      <rPr>
        <sz val="10"/>
        <color rgb="FF0000FF"/>
        <rFont val="맑은 고딕"/>
        <family val="0"/>
        <charset val="1"/>
      </rPr>
      <t xml:space="preserve">6,600</t>
    </r>
    <r>
      <rPr>
        <sz val="10"/>
        <color rgb="FF0000FF"/>
        <rFont val="WenQuanYi Zen Hei"/>
        <family val="2"/>
      </rPr>
      <t xml:space="preserve">원 포함</t>
    </r>
  </si>
  <si>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품목 확인 필요</t>
    </r>
    <r>
      <rPr>
        <sz val="10"/>
        <color rgb="FF0000FF"/>
        <rFont val="맑은 고딕"/>
        <family val="0"/>
        <charset val="1"/>
      </rPr>
      <t xml:space="preserve">) 1</t>
    </r>
  </si>
  <si>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품목 확인 필요</t>
    </r>
    <r>
      <rPr>
        <sz val="10"/>
        <color rgb="FF0000FF"/>
        <rFont val="맑은 고딕"/>
        <family val="0"/>
        <charset val="1"/>
      </rPr>
      <t xml:space="preserve">) 2</t>
    </r>
  </si>
  <si>
    <t xml:space="preserve">코드 관리</t>
  </si>
  <si>
    <r>
      <rPr>
        <sz val="9"/>
        <color rgb="FF666666"/>
        <rFont val="WenQuanYi Zen Hei"/>
        <family val="2"/>
      </rPr>
      <t xml:space="preserve">파란 글씨 칸에 입력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WenQuanYi Zen Hei"/>
        <family val="2"/>
      </rPr>
      <t xml:space="preserve">여기 등록한 </t>
    </r>
    <r>
      <rPr>
        <sz val="9"/>
        <color rgb="FF666666"/>
        <rFont val="맑은 고딕"/>
        <family val="0"/>
        <charset val="1"/>
      </rPr>
      <t xml:space="preserve">OPEX </t>
    </r>
    <r>
      <rPr>
        <sz val="9"/>
        <color rgb="FF666666"/>
        <rFont val="WenQuanYi Zen Hei"/>
        <family val="2"/>
      </rPr>
      <t xml:space="preserve">코드는 </t>
    </r>
    <r>
      <rPr>
        <sz val="9"/>
        <color rgb="FF666666"/>
        <rFont val="맑은 고딕"/>
        <family val="0"/>
        <charset val="1"/>
      </rPr>
      <t xml:space="preserve">'OPEX </t>
    </r>
    <r>
      <rPr>
        <sz val="9"/>
        <color rgb="FF666666"/>
        <rFont val="WenQuanYi Zen Hei"/>
        <family val="2"/>
      </rPr>
      <t xml:space="preserve">상세</t>
    </r>
    <r>
      <rPr>
        <sz val="9"/>
        <color rgb="FF666666"/>
        <rFont val="맑은 고딕"/>
        <family val="0"/>
        <charset val="1"/>
      </rPr>
      <t xml:space="preserve">' </t>
    </r>
    <r>
      <rPr>
        <sz val="9"/>
        <color rgb="FF666666"/>
        <rFont val="WenQuanYi Zen Hei"/>
        <family val="2"/>
      </rPr>
      <t xml:space="preserve">시트 </t>
    </r>
    <r>
      <rPr>
        <sz val="9"/>
        <color rgb="FF666666"/>
        <rFont val="맑은 고딕"/>
        <family val="0"/>
        <charset val="1"/>
      </rPr>
      <t xml:space="preserve">D</t>
    </r>
    <r>
      <rPr>
        <sz val="9"/>
        <color rgb="FF666666"/>
        <rFont val="WenQuanYi Zen Hei"/>
        <family val="2"/>
      </rPr>
      <t xml:space="preserve">열 드롭다운과 계정명 자동표시에 사용됩니다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</si>
  <si>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① OPEX </t>
    </r>
    <r>
      <rPr>
        <b val="true"/>
        <sz val="10"/>
        <rFont val="WenQuanYi Zen Hei"/>
        <family val="2"/>
      </rPr>
      <t xml:space="preserve">코드표</t>
    </r>
  </si>
  <si>
    <r>
      <rPr>
        <b val="true"/>
        <sz val="10"/>
        <rFont val="WenQuanYi Zen Hei"/>
        <family val="2"/>
      </rPr>
      <t xml:space="preserve">② 업체별 구매코드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한 업체에 여러 코드 등록 가능</t>
    </r>
    <r>
      <rPr>
        <b val="true"/>
        <sz val="10"/>
        <rFont val="맑은 고딕"/>
        <family val="0"/>
        <charset val="1"/>
      </rPr>
      <t xml:space="preserve">)</t>
    </r>
  </si>
  <si>
    <t xml:space="preserve">계정명</t>
  </si>
  <si>
    <t xml:space="preserve">설명</t>
  </si>
  <si>
    <t xml:space="preserve">품목명</t>
  </si>
  <si>
    <r>
      <rPr>
        <b val="true"/>
        <sz val="10"/>
        <rFont val="WenQuanYi Zen Hei"/>
        <family val="2"/>
      </rPr>
      <t xml:space="preserve">연결 </t>
    </r>
    <r>
      <rPr>
        <b val="true"/>
        <sz val="10"/>
        <rFont val="맑은 고딕"/>
        <family val="0"/>
        <charset val="1"/>
      </rPr>
      <t xml:space="preserve">OPEX </t>
    </r>
    <r>
      <rPr>
        <b val="true"/>
        <sz val="10"/>
        <rFont val="WenQuanYi Zen Hei"/>
        <family val="2"/>
      </rPr>
      <t xml:space="preserve">코드</t>
    </r>
  </si>
  <si>
    <t xml:space="preserve">비고</t>
  </si>
  <si>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예시</t>
    </r>
    <r>
      <rPr>
        <i val="true"/>
        <sz val="9"/>
        <color rgb="FF666666"/>
        <rFont val="맑은 고딕"/>
        <family val="0"/>
        <charset val="1"/>
      </rPr>
      <t xml:space="preserve">) </t>
    </r>
    <r>
      <rPr>
        <i val="true"/>
        <sz val="9"/>
        <color rgb="FF666666"/>
        <rFont val="WenQuanYi Zen Hei"/>
        <family val="2"/>
      </rPr>
      <t xml:space="preserve">디앤오</t>
    </r>
  </si>
  <si>
    <t xml:space="preserve">DNO-NAS-01</t>
  </si>
  <si>
    <r>
      <rPr>
        <i val="true"/>
        <sz val="9"/>
        <color rgb="FF666666"/>
        <rFont val="WenQuanYi Zen Hei"/>
        <family val="2"/>
      </rPr>
      <t xml:space="preserve">예시 행 </t>
    </r>
    <r>
      <rPr>
        <i val="true"/>
        <sz val="9"/>
        <color rgb="FF666666"/>
        <rFont val="맑은 고딕"/>
        <family val="0"/>
        <charset val="1"/>
      </rPr>
      <t xml:space="preserve">- </t>
    </r>
    <r>
      <rPr>
        <i val="true"/>
        <sz val="9"/>
        <color rgb="FF666666"/>
        <rFont val="WenQuanYi Zen Hei"/>
        <family val="2"/>
      </rPr>
      <t xml:space="preserve">삭제 후 사용</t>
    </r>
  </si>
  <si>
    <t xml:space="preserve">설정값</t>
  </si>
  <si>
    <r>
      <rPr>
        <b val="true"/>
        <sz val="10"/>
        <rFont val="WenQuanYi Zen Hei"/>
        <family val="2"/>
      </rPr>
      <t xml:space="preserve">환율 </t>
    </r>
    <r>
      <rPr>
        <b val="true"/>
        <sz val="10"/>
        <rFont val="맑은 고딕"/>
        <family val="0"/>
        <charset val="1"/>
      </rPr>
      <t xml:space="preserve">(KRW / USD)</t>
    </r>
  </si>
  <si>
    <r>
      <rPr>
        <sz val="9"/>
        <color rgb="FF666666"/>
        <rFont val="맑은 고딕"/>
        <family val="0"/>
        <charset val="1"/>
      </rPr>
      <t xml:space="preserve">USD </t>
    </r>
    <r>
      <rPr>
        <sz val="9"/>
        <color rgb="FF666666"/>
        <rFont val="WenQuanYi Zen Hei"/>
        <family val="2"/>
      </rPr>
      <t xml:space="preserve">금액 원화환산에 사용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WenQuanYi Zen Hei"/>
        <family val="2"/>
      </rPr>
      <t xml:space="preserve">결제</t>
    </r>
    <r>
      <rPr>
        <sz val="9"/>
        <color rgb="FF666666"/>
        <rFont val="맑은 고딕"/>
        <family val="0"/>
        <charset val="1"/>
      </rPr>
      <t xml:space="preserve">/</t>
    </r>
    <r>
      <rPr>
        <sz val="9"/>
        <color rgb="FF666666"/>
        <rFont val="WenQuanYi Zen Hei"/>
        <family val="2"/>
      </rPr>
      <t xml:space="preserve">청구 시점 환율로 수정하세요</t>
    </r>
    <r>
      <rPr>
        <sz val="9"/>
        <color rgb="FF666666"/>
        <rFont val="맑은 고딕"/>
        <family val="0"/>
        <charset val="1"/>
      </rPr>
      <t xml:space="preserve">. (</t>
    </r>
    <r>
      <rPr>
        <sz val="9"/>
        <color rgb="FF666666"/>
        <rFont val="WenQuanYi Zen Hei"/>
        <family val="2"/>
      </rPr>
      <t xml:space="preserve">현재값은 임시</t>
    </r>
    <r>
      <rPr>
        <sz val="9"/>
        <color rgb="FF666666"/>
        <rFont val="맑은 고딕"/>
        <family val="0"/>
        <charset val="1"/>
      </rPr>
      <t xml:space="preserve">: </t>
    </r>
    <r>
      <rPr>
        <sz val="9"/>
        <color rgb="FF666666"/>
        <rFont val="WenQuanYi Zen Hei"/>
        <family val="2"/>
      </rPr>
      <t xml:space="preserve">제이앤캐이 주부식 원화</t>
    </r>
    <r>
      <rPr>
        <sz val="9"/>
        <color rgb="FF666666"/>
        <rFont val="맑은 고딕"/>
        <family val="0"/>
        <charset val="1"/>
      </rPr>
      <t xml:space="preserve">/</t>
    </r>
    <r>
      <rPr>
        <sz val="9"/>
        <color rgb="FF666666"/>
        <rFont val="WenQuanYi Zen Hei"/>
        <family val="2"/>
      </rPr>
      <t xml:space="preserve">달러 비율 평균 약 </t>
    </r>
    <r>
      <rPr>
        <sz val="9"/>
        <color rgb="FF666666"/>
        <rFont val="맑은 고딕"/>
        <family val="0"/>
        <charset val="1"/>
      </rPr>
      <t xml:space="preserve">1,340~1,365 </t>
    </r>
    <r>
      <rPr>
        <sz val="9"/>
        <color rgb="FF666666"/>
        <rFont val="WenQuanYi Zen Hei"/>
        <family val="2"/>
      </rPr>
      <t xml:space="preserve">참고</t>
    </r>
    <r>
      <rPr>
        <sz val="9"/>
        <color rgb="FF666666"/>
        <rFont val="맑은 고딕"/>
        <family val="0"/>
        <charset val="1"/>
      </rPr>
      <t xml:space="preserve">)</t>
    </r>
  </si>
  <si>
    <t xml:space="preserve">부가세율</t>
  </si>
  <si>
    <t xml:space="preserve">과세 항목 부가세 계산에 사용</t>
  </si>
  <si>
    <r>
      <rPr>
        <b val="true"/>
        <sz val="10"/>
        <rFont val="WenQuanYi Zen Hei"/>
        <family val="2"/>
      </rPr>
      <t xml:space="preserve">목록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드롭다운 원본</t>
    </r>
    <r>
      <rPr>
        <b val="true"/>
        <sz val="10"/>
        <rFont val="맑은 고딕"/>
        <family val="0"/>
        <charset val="1"/>
      </rPr>
      <t xml:space="preserve">)</t>
    </r>
  </si>
  <si>
    <t xml:space="preserve">금액기준</t>
  </si>
  <si>
    <t xml:space="preserve">업체</t>
  </si>
  <si>
    <r>
      <rPr>
        <sz val="10"/>
        <rFont val="맑은 고딕"/>
        <family val="0"/>
        <charset val="1"/>
      </rPr>
      <t xml:space="preserve">VAT</t>
    </r>
    <r>
      <rPr>
        <sz val="10"/>
        <rFont val="WenQuanYi Zen Hei"/>
        <family val="2"/>
      </rPr>
      <t xml:space="preserve">별도</t>
    </r>
  </si>
  <si>
    <r>
      <rPr>
        <sz val="10"/>
        <rFont val="맑은 고딕"/>
        <family val="0"/>
        <charset val="1"/>
      </rPr>
      <t xml:space="preserve">VAT</t>
    </r>
    <r>
      <rPr>
        <sz val="10"/>
        <rFont val="WenQuanYi Zen Hei"/>
        <family val="2"/>
      </rPr>
      <t xml:space="preserve">포함</t>
    </r>
  </si>
  <si>
    <r>
      <rPr>
        <sz val="9"/>
        <color rgb="FF666666"/>
        <rFont val="WenQuanYi Zen Hei"/>
        <family val="2"/>
      </rPr>
      <t xml:space="preserve">※ 업체 추가 시 업체 목록 아래 빈칸에 이어서 입력하면 드롭다운에 반영됩니다 </t>
    </r>
    <r>
      <rPr>
        <sz val="9"/>
        <color rgb="FF666666"/>
        <rFont val="맑은 고딕"/>
        <family val="0"/>
        <charset val="1"/>
      </rPr>
      <t xml:space="preserve">(10</t>
    </r>
    <r>
      <rPr>
        <sz val="9"/>
        <color rgb="FF666666"/>
        <rFont val="WenQuanYi Zen Hei"/>
        <family val="2"/>
      </rPr>
      <t xml:space="preserve">개까지</t>
    </r>
    <r>
      <rPr>
        <sz val="9"/>
        <color rgb="FF666666"/>
        <rFont val="맑은 고딕"/>
        <family val="0"/>
        <charset val="1"/>
      </rPr>
      <t xml:space="preserve">).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</si>
</sst>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#,##0;\(#,##0\);\-"/>
    <numFmt numFmtId="167" formatCode="0.0%;\-0.0%;\-"/>
    <numFmt numFmtId="168" formatCode="General"/>
    <numFmt numFmtId="169" formatCode="yyyy\-mm\-dd"/>
    <numFmt numFmtId="170" formatCode="#,##0.##;\(#,##0.##\);\-"/>
    <numFmt numFmtId="171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맑은 고딕"/>
      <family val="0"/>
      <charset val="1"/>
    </font>
    <font>
      <b val="true"/>
      <sz val="14"/>
      <name val="WenQuanYi Zen Hei"/>
      <family val="2"/>
    </font>
    <font>
      <sz val="9"/>
      <color rgb="FF666666"/>
      <name val="WenQuanYi Zen Hei"/>
      <family val="2"/>
    </font>
    <font>
      <sz val="9"/>
      <color rgb="FF666666"/>
      <name val="맑은 고딕"/>
      <family val="0"/>
      <charset val="1"/>
    </font>
    <font>
      <sz val="10"/>
      <color rgb="FF00800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name val="WenQuanYi Zen Hei"/>
      <family val="2"/>
    </font>
    <font>
      <sz val="10"/>
      <name val="맑은 고딕"/>
      <family val="0"/>
      <charset val="1"/>
    </font>
    <font>
      <sz val="10"/>
      <name val="WenQuanYi Zen Hei"/>
      <family val="2"/>
    </font>
    <font>
      <sz val="10"/>
      <color rgb="FF0000FF"/>
      <name val="맑은 고딕"/>
      <family val="0"/>
      <charset val="1"/>
    </font>
    <font>
      <sz val="10"/>
      <color rgb="FF0000FF"/>
      <name val="WenQuanYi Zen Hei"/>
      <family val="2"/>
    </font>
    <font>
      <i val="true"/>
      <sz val="9"/>
      <color rgb="FF666666"/>
      <name val="맑은 고딕"/>
      <family val="0"/>
      <charset val="1"/>
    </font>
    <font>
      <i val="true"/>
      <sz val="9"/>
      <color rgb="FF666666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O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6" min="3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"/>
    <col collapsed="false" customWidth="true" hidden="false" outlineLevel="0" max="11" min="11" style="0" width="14"/>
    <col collapsed="false" customWidth="true" hidden="false" outlineLevel="0" max="13" min="12" style="0" width="12"/>
    <col collapsed="false" customWidth="true" hidden="false" outlineLevel="0" max="14" min="14" style="0" width="15"/>
    <col collapsed="false" customWidth="true" hidden="false" outlineLevel="0" max="15" min="15" style="0" width="14"/>
  </cols>
  <sheetData>
    <row r="2" customFormat="false" ht="19.4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  <c r="I3" s="3" t="n">
        <f aca="false">설정!$C$4</f>
        <v>1350</v>
      </c>
    </row>
    <row r="5" customFormat="false" ht="30" hidden="false" customHeight="true" outlineLevel="0" collapsed="false">
      <c r="A5" s="4" t="s">
        <v>2</v>
      </c>
      <c r="B5" s="5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  <c r="I5" s="5" t="s">
        <v>10</v>
      </c>
      <c r="K5" s="5" t="s">
        <v>11</v>
      </c>
      <c r="L5" s="5" t="s">
        <v>12</v>
      </c>
      <c r="M5" s="5" t="s">
        <v>13</v>
      </c>
      <c r="N5" s="4" t="s">
        <v>14</v>
      </c>
      <c r="O5" s="5" t="s">
        <v>15</v>
      </c>
    </row>
    <row r="6" customFormat="false" ht="15" hidden="false" customHeight="false" outlineLevel="0" collapsed="false">
      <c r="A6" s="6" t="n">
        <v>1</v>
      </c>
      <c r="B6" s="7" t="s">
        <v>16</v>
      </c>
      <c r="C6" s="8" t="n">
        <f aca="false">SUMIFS('OPEX 상세'!$Q$5:$Q$280,'OPEX 상세'!$C$5:$C$280,$B6,'OPEX 상세'!$D$5:$D$280,C$5)</f>
        <v>0</v>
      </c>
      <c r="D6" s="8" t="n">
        <f aca="false">SUMIFS('OPEX 상세'!$Q$5:$Q$280,'OPEX 상세'!$C$5:$C$280,$B6,'OPEX 상세'!$D$5:$D$280,D$5)</f>
        <v>0</v>
      </c>
      <c r="E6" s="8" t="n">
        <f aca="false">SUMIFS('OPEX 상세'!$Q$5:$Q$280,'OPEX 상세'!$C$5:$C$280,$B6,'OPEX 상세'!$D$5:$D$280,E$5)</f>
        <v>0</v>
      </c>
      <c r="F6" s="8" t="n">
        <f aca="false">SUMIFS('OPEX 상세'!$Q$5:$Q$280,'OPEX 상세'!$C$5:$C$280,$B6,'OPEX 상세'!$D$5:$D$280,F$5)</f>
        <v>0</v>
      </c>
      <c r="G6" s="8" t="n">
        <f aca="false">SUMIFS('OPEX 상세'!$Q$5:$Q$280,'OPEX 상세'!$C$5:$C$280,$B6,'OPEX 상세'!$D$5:$D$280,G$5)</f>
        <v>0</v>
      </c>
      <c r="H6" s="8" t="n">
        <f aca="false">SUMIFS('OPEX 상세'!$Q$5:$Q$280,'OPEX 상세'!$C$5:$C$280,$B6,'OPEX 상세'!$D$5:$D$280,H$5)</f>
        <v>1302400</v>
      </c>
      <c r="I6" s="9" t="n">
        <f aca="false">SUM(C6:H6)</f>
        <v>1302400</v>
      </c>
      <c r="K6" s="8" t="n">
        <f aca="false">SUMIFS('OPEX 상세'!$O$5:$O$280,'OPEX 상세'!$C$5:$C$280,$B6)</f>
        <v>1184000</v>
      </c>
      <c r="L6" s="8" t="n">
        <f aca="false">SUMIFS('OPEX 상세'!$P$5:$P$280,'OPEX 상세'!$C$5:$C$280,$B6)</f>
        <v>118400</v>
      </c>
      <c r="M6" s="8" t="n">
        <f aca="false">SUMIFS('OPEX 상세'!$S$5:$S$280,'OPEX 상세'!$C$5:$C$280,$B6)</f>
        <v>0</v>
      </c>
      <c r="N6" s="8" t="n">
        <f aca="false">I6+M6</f>
        <v>1302400</v>
      </c>
      <c r="O6" s="10" t="str">
        <f aca="false">IF(COUNTIF('OPEX 상세'!$C$5:$C$280,$B6)=0,"입력대기",IF(M6&gt;0,"VAT 추가 가능",""))</f>
        <v/>
      </c>
    </row>
    <row r="7" customFormat="false" ht="15" hidden="false" customHeight="false" outlineLevel="0" collapsed="false">
      <c r="A7" s="6" t="n">
        <v>2</v>
      </c>
      <c r="B7" s="7" t="s">
        <v>17</v>
      </c>
      <c r="C7" s="8" t="n">
        <f aca="false">SUMIFS('OPEX 상세'!$Q$5:$Q$280,'OPEX 상세'!$C$5:$C$280,$B7,'OPEX 상세'!$D$5:$D$280,C$5)</f>
        <v>0</v>
      </c>
      <c r="D7" s="8" t="n">
        <f aca="false">SUMIFS('OPEX 상세'!$Q$5:$Q$280,'OPEX 상세'!$C$5:$C$280,$B7,'OPEX 상세'!$D$5:$D$280,D$5)</f>
        <v>0</v>
      </c>
      <c r="E7" s="8" t="n">
        <f aca="false">SUMIFS('OPEX 상세'!$Q$5:$Q$280,'OPEX 상세'!$C$5:$C$280,$B7,'OPEX 상세'!$D$5:$D$280,E$5)</f>
        <v>0</v>
      </c>
      <c r="F7" s="8" t="n">
        <f aca="false">SUMIFS('OPEX 상세'!$Q$5:$Q$280,'OPEX 상세'!$C$5:$C$280,$B7,'OPEX 상세'!$D$5:$D$280,F$5)</f>
        <v>0</v>
      </c>
      <c r="G7" s="8" t="n">
        <f aca="false">SUMIFS('OPEX 상세'!$Q$5:$Q$280,'OPEX 상세'!$C$5:$C$280,$B7,'OPEX 상세'!$D$5:$D$280,G$5)</f>
        <v>0</v>
      </c>
      <c r="H7" s="8" t="n">
        <f aca="false">SUMIFS('OPEX 상세'!$Q$5:$Q$280,'OPEX 상세'!$C$5:$C$280,$B7,'OPEX 상세'!$D$5:$D$280,H$5)</f>
        <v>0</v>
      </c>
      <c r="I7" s="9" t="n">
        <f aca="false">SUM(C7:H7)</f>
        <v>0</v>
      </c>
      <c r="K7" s="8" t="n">
        <f aca="false">SUMIFS('OPEX 상세'!$O$5:$O$280,'OPEX 상세'!$C$5:$C$280,$B7)</f>
        <v>0</v>
      </c>
      <c r="L7" s="8" t="n">
        <f aca="false">SUMIFS('OPEX 상세'!$P$5:$P$280,'OPEX 상세'!$C$5:$C$280,$B7)</f>
        <v>0</v>
      </c>
      <c r="M7" s="8" t="n">
        <f aca="false">SUMIFS('OPEX 상세'!$S$5:$S$280,'OPEX 상세'!$C$5:$C$280,$B7)</f>
        <v>0</v>
      </c>
      <c r="N7" s="8" t="n">
        <f aca="false">I7+M7</f>
        <v>0</v>
      </c>
      <c r="O7" s="10" t="str">
        <f aca="false">IF(COUNTIF('OPEX 상세'!$C$5:$C$280,$B7)=0,"입력대기",IF(M7&gt;0,"VAT 추가 가능",""))</f>
        <v>입력대기</v>
      </c>
    </row>
    <row r="8" customFormat="false" ht="15" hidden="false" customHeight="false" outlineLevel="0" collapsed="false">
      <c r="A8" s="6" t="n">
        <v>3</v>
      </c>
      <c r="B8" s="7" t="s">
        <v>18</v>
      </c>
      <c r="C8" s="8" t="n">
        <f aca="false">SUMIFS('OPEX 상세'!$Q$5:$Q$280,'OPEX 상세'!$C$5:$C$280,$B8,'OPEX 상세'!$D$5:$D$280,C$5)</f>
        <v>7620000</v>
      </c>
      <c r="D8" s="8" t="n">
        <f aca="false">SUMIFS('OPEX 상세'!$Q$5:$Q$280,'OPEX 상세'!$C$5:$C$280,$B8,'OPEX 상세'!$D$5:$D$280,D$5)</f>
        <v>7620000</v>
      </c>
      <c r="E8" s="8" t="n">
        <f aca="false">SUMIFS('OPEX 상세'!$Q$5:$Q$280,'OPEX 상세'!$C$5:$C$280,$B8,'OPEX 상세'!$D$5:$D$280,E$5)</f>
        <v>38880000</v>
      </c>
      <c r="F8" s="8" t="n">
        <f aca="false">SUMIFS('OPEX 상세'!$Q$5:$Q$280,'OPEX 상세'!$C$5:$C$280,$B8,'OPEX 상세'!$D$5:$D$280,F$5)</f>
        <v>38880000</v>
      </c>
      <c r="G8" s="8" t="n">
        <f aca="false">SUMIFS('OPEX 상세'!$Q$5:$Q$280,'OPEX 상세'!$C$5:$C$280,$B8,'OPEX 상세'!$D$5:$D$280,G$5)</f>
        <v>0</v>
      </c>
      <c r="H8" s="8" t="n">
        <f aca="false">SUMIFS('OPEX 상세'!$Q$5:$Q$280,'OPEX 상세'!$C$5:$C$280,$B8,'OPEX 상세'!$D$5:$D$280,H$5)</f>
        <v>0</v>
      </c>
      <c r="I8" s="9" t="n">
        <f aca="false">SUM(C8:H8)</f>
        <v>93000000</v>
      </c>
      <c r="K8" s="8" t="n">
        <f aca="false">SUMIFS('OPEX 상세'!$O$5:$O$280,'OPEX 상세'!$C$5:$C$280,$B8)</f>
        <v>93000000</v>
      </c>
      <c r="L8" s="8" t="n">
        <f aca="false">SUMIFS('OPEX 상세'!$P$5:$P$280,'OPEX 상세'!$C$5:$C$280,$B8)</f>
        <v>0</v>
      </c>
      <c r="M8" s="8" t="n">
        <f aca="false">SUMIFS('OPEX 상세'!$S$5:$S$280,'OPEX 상세'!$C$5:$C$280,$B8)</f>
        <v>0</v>
      </c>
      <c r="N8" s="8" t="n">
        <f aca="false">I8+M8</f>
        <v>93000000</v>
      </c>
      <c r="O8" s="10" t="str">
        <f aca="false">IF(COUNTIF('OPEX 상세'!$C$5:$C$280,$B8)=0,"입력대기",IF(M8&gt;0,"VAT 추가 가능",""))</f>
        <v/>
      </c>
    </row>
    <row r="9" customFormat="false" ht="15" hidden="false" customHeight="false" outlineLevel="0" collapsed="false">
      <c r="A9" s="6" t="n">
        <v>4</v>
      </c>
      <c r="B9" s="7" t="s">
        <v>19</v>
      </c>
      <c r="C9" s="8" t="n">
        <f aca="false">SUMIFS('OPEX 상세'!$Q$5:$Q$280,'OPEX 상세'!$C$5:$C$280,$B9,'OPEX 상세'!$D$5:$D$280,C$5)</f>
        <v>41790000</v>
      </c>
      <c r="D9" s="8" t="n">
        <f aca="false">SUMIFS('OPEX 상세'!$Q$5:$Q$280,'OPEX 상세'!$C$5:$C$280,$B9,'OPEX 상세'!$D$5:$D$280,D$5)</f>
        <v>41090000</v>
      </c>
      <c r="E9" s="8" t="n">
        <f aca="false">SUMIFS('OPEX 상세'!$Q$5:$Q$280,'OPEX 상세'!$C$5:$C$280,$B9,'OPEX 상세'!$D$5:$D$280,E$5)</f>
        <v>40840000</v>
      </c>
      <c r="F9" s="8" t="n">
        <f aca="false">SUMIFS('OPEX 상세'!$Q$5:$Q$280,'OPEX 상세'!$C$5:$C$280,$B9,'OPEX 상세'!$D$5:$D$280,F$5)</f>
        <v>42500000</v>
      </c>
      <c r="G9" s="8" t="n">
        <f aca="false">SUMIFS('OPEX 상세'!$Q$5:$Q$280,'OPEX 상세'!$C$5:$C$280,$B9,'OPEX 상세'!$D$5:$D$280,G$5)</f>
        <v>0</v>
      </c>
      <c r="H9" s="8" t="n">
        <f aca="false">SUMIFS('OPEX 상세'!$Q$5:$Q$280,'OPEX 상세'!$C$5:$C$280,$B9,'OPEX 상세'!$D$5:$D$280,H$5)</f>
        <v>0</v>
      </c>
      <c r="I9" s="9" t="n">
        <f aca="false">SUM(C9:H9)</f>
        <v>166220000</v>
      </c>
      <c r="K9" s="8" t="n">
        <f aca="false">SUMIFS('OPEX 상세'!$O$5:$O$280,'OPEX 상세'!$C$5:$C$280,$B9)</f>
        <v>166220000</v>
      </c>
      <c r="L9" s="8" t="n">
        <f aca="false">SUMIFS('OPEX 상세'!$P$5:$P$280,'OPEX 상세'!$C$5:$C$280,$B9)</f>
        <v>0</v>
      </c>
      <c r="M9" s="8" t="n">
        <f aca="false">SUMIFS('OPEX 상세'!$S$5:$S$280,'OPEX 상세'!$C$5:$C$280,$B9)</f>
        <v>0</v>
      </c>
      <c r="N9" s="8" t="n">
        <f aca="false">I9+M9</f>
        <v>166220000</v>
      </c>
      <c r="O9" s="10" t="str">
        <f aca="false">IF(COUNTIF('OPEX 상세'!$C$5:$C$280,$B9)=0,"입력대기",IF(M9&gt;0,"VAT 추가 가능",""))</f>
        <v/>
      </c>
    </row>
    <row r="10" customFormat="false" ht="15" hidden="false" customHeight="false" outlineLevel="0" collapsed="false">
      <c r="A10" s="6" t="n">
        <v>5</v>
      </c>
      <c r="B10" s="7" t="s">
        <v>20</v>
      </c>
      <c r="C10" s="8" t="n">
        <f aca="false">SUMIFS('OPEX 상세'!$Q$5:$Q$280,'OPEX 상세'!$C$5:$C$280,$B10,'OPEX 상세'!$D$5:$D$280,C$5)</f>
        <v>0</v>
      </c>
      <c r="D10" s="8" t="n">
        <f aca="false">SUMIFS('OPEX 상세'!$Q$5:$Q$280,'OPEX 상세'!$C$5:$C$280,$B10,'OPEX 상세'!$D$5:$D$280,D$5)</f>
        <v>0</v>
      </c>
      <c r="E10" s="8" t="n">
        <f aca="false">SUMIFS('OPEX 상세'!$Q$5:$Q$280,'OPEX 상세'!$C$5:$C$280,$B10,'OPEX 상세'!$D$5:$D$280,E$5)</f>
        <v>0</v>
      </c>
      <c r="F10" s="8" t="n">
        <f aca="false">SUMIFS('OPEX 상세'!$Q$5:$Q$280,'OPEX 상세'!$C$5:$C$280,$B10,'OPEX 상세'!$D$5:$D$280,F$5)</f>
        <v>0</v>
      </c>
      <c r="G10" s="8" t="n">
        <f aca="false">SUMIFS('OPEX 상세'!$Q$5:$Q$280,'OPEX 상세'!$C$5:$C$280,$B10,'OPEX 상세'!$D$5:$D$280,G$5)</f>
        <v>0</v>
      </c>
      <c r="H10" s="8" t="n">
        <f aca="false">SUMIFS('OPEX 상세'!$Q$5:$Q$280,'OPEX 상세'!$C$5:$C$280,$B10,'OPEX 상세'!$D$5:$D$280,H$5)</f>
        <v>27300000</v>
      </c>
      <c r="I10" s="9" t="n">
        <f aca="false">SUM(C10:H10)</f>
        <v>27300000</v>
      </c>
      <c r="K10" s="8" t="n">
        <f aca="false">SUMIFS('OPEX 상세'!$O$5:$O$280,'OPEX 상세'!$C$5:$C$280,$B10)</f>
        <v>27300000</v>
      </c>
      <c r="L10" s="8" t="n">
        <f aca="false">SUMIFS('OPEX 상세'!$P$5:$P$280,'OPEX 상세'!$C$5:$C$280,$B10)</f>
        <v>0</v>
      </c>
      <c r="M10" s="8" t="n">
        <f aca="false">SUMIFS('OPEX 상세'!$S$5:$S$280,'OPEX 상세'!$C$5:$C$280,$B10)</f>
        <v>2730000</v>
      </c>
      <c r="N10" s="8" t="n">
        <f aca="false">I10+M10</f>
        <v>30030000</v>
      </c>
      <c r="O10" s="10" t="str">
        <f aca="false">IF(COUNTIF('OPEX 상세'!$C$5:$C$280,$B10)=0,"입력대기",IF(M10&gt;0,"VAT 추가 가능",""))</f>
        <v>VAT 추가 가능</v>
      </c>
    </row>
    <row r="11" customFormat="false" ht="15" hidden="false" customHeight="false" outlineLevel="0" collapsed="false">
      <c r="A11" s="6" t="n">
        <v>6</v>
      </c>
      <c r="B11" s="7" t="s">
        <v>21</v>
      </c>
      <c r="C11" s="8" t="n">
        <f aca="false">SUMIFS('OPEX 상세'!$Q$5:$Q$280,'OPEX 상세'!$C$5:$C$280,$B11,'OPEX 상세'!$D$5:$D$280,C$5)</f>
        <v>55145066</v>
      </c>
      <c r="D11" s="8" t="n">
        <f aca="false">SUMIFS('OPEX 상세'!$Q$5:$Q$280,'OPEX 상세'!$C$5:$C$280,$B11,'OPEX 상세'!$D$5:$D$280,D$5)</f>
        <v>92090802</v>
      </c>
      <c r="E11" s="8" t="n">
        <f aca="false">SUMIFS('OPEX 상세'!$Q$5:$Q$280,'OPEX 상세'!$C$5:$C$280,$B11,'OPEX 상세'!$D$5:$D$280,E$5)</f>
        <v>81692477</v>
      </c>
      <c r="F11" s="8" t="n">
        <f aca="false">SUMIFS('OPEX 상세'!$Q$5:$Q$280,'OPEX 상세'!$C$5:$C$280,$B11,'OPEX 상세'!$D$5:$D$280,F$5)</f>
        <v>49108352</v>
      </c>
      <c r="G11" s="8" t="n">
        <f aca="false">SUMIFS('OPEX 상세'!$Q$5:$Q$280,'OPEX 상세'!$C$5:$C$280,$B11,'OPEX 상세'!$D$5:$D$280,G$5)</f>
        <v>241500</v>
      </c>
      <c r="H11" s="8" t="n">
        <f aca="false">SUMIFS('OPEX 상세'!$Q$5:$Q$280,'OPEX 상세'!$C$5:$C$280,$B11,'OPEX 상세'!$D$5:$D$280,H$5)</f>
        <v>0</v>
      </c>
      <c r="I11" s="9" t="n">
        <f aca="false">SUM(C11:H11)</f>
        <v>278278197</v>
      </c>
      <c r="K11" s="8" t="n">
        <f aca="false">SUMIFS('OPEX 상세'!$O$5:$O$280,'OPEX 상세'!$C$5:$C$280,$B11)</f>
        <v>278278197</v>
      </c>
      <c r="L11" s="8" t="n">
        <f aca="false">SUMIFS('OPEX 상세'!$P$5:$P$280,'OPEX 상세'!$C$5:$C$280,$B11)</f>
        <v>0</v>
      </c>
      <c r="M11" s="8" t="n">
        <f aca="false">SUMIFS('OPEX 상세'!$S$5:$S$280,'OPEX 상세'!$C$5:$C$280,$B11)</f>
        <v>0</v>
      </c>
      <c r="N11" s="8" t="n">
        <f aca="false">I11+M11</f>
        <v>278278197</v>
      </c>
      <c r="O11" s="10" t="str">
        <f aca="false">IF(COUNTIF('OPEX 상세'!$C$5:$C$280,$B11)=0,"입력대기",IF(M11&gt;0,"VAT 추가 가능",""))</f>
        <v/>
      </c>
    </row>
    <row r="12" customFormat="false" ht="15" hidden="false" customHeight="false" outlineLevel="0" collapsed="false">
      <c r="A12" s="6" t="n">
        <v>7</v>
      </c>
      <c r="B12" s="7" t="s">
        <v>22</v>
      </c>
      <c r="C12" s="8" t="n">
        <f aca="false">SUMIFS('OPEX 상세'!$Q$5:$Q$280,'OPEX 상세'!$C$5:$C$280,$B12,'OPEX 상세'!$D$5:$D$280,C$5)</f>
        <v>36551070</v>
      </c>
      <c r="D12" s="8" t="n">
        <f aca="false">SUMIFS('OPEX 상세'!$Q$5:$Q$280,'OPEX 상세'!$C$5:$C$280,$B12,'OPEX 상세'!$D$5:$D$280,D$5)</f>
        <v>45255564</v>
      </c>
      <c r="E12" s="8" t="n">
        <f aca="false">SUMIFS('OPEX 상세'!$Q$5:$Q$280,'OPEX 상세'!$C$5:$C$280,$B12,'OPEX 상세'!$D$5:$D$280,E$5)</f>
        <v>59556592</v>
      </c>
      <c r="F12" s="8" t="n">
        <f aca="false">SUMIFS('OPEX 상세'!$Q$5:$Q$280,'OPEX 상세'!$C$5:$C$280,$B12,'OPEX 상세'!$D$5:$D$280,F$5)</f>
        <v>53916216</v>
      </c>
      <c r="G12" s="8" t="n">
        <f aca="false">SUMIFS('OPEX 상세'!$Q$5:$Q$280,'OPEX 상세'!$C$5:$C$280,$B12,'OPEX 상세'!$D$5:$D$280,G$5)</f>
        <v>0</v>
      </c>
      <c r="H12" s="8" t="n">
        <f aca="false">SUMIFS('OPEX 상세'!$Q$5:$Q$280,'OPEX 상세'!$C$5:$C$280,$B12,'OPEX 상세'!$D$5:$D$280,H$5)</f>
        <v>0</v>
      </c>
      <c r="I12" s="9" t="n">
        <f aca="false">SUM(C12:H12)</f>
        <v>195279442</v>
      </c>
      <c r="K12" s="8" t="n">
        <f aca="false">SUMIFS('OPEX 상세'!$O$5:$O$280,'OPEX 상세'!$C$5:$C$280,$B12)</f>
        <v>195279442</v>
      </c>
      <c r="L12" s="8" t="n">
        <f aca="false">SUMIFS('OPEX 상세'!$P$5:$P$280,'OPEX 상세'!$C$5:$C$280,$B12)</f>
        <v>0</v>
      </c>
      <c r="M12" s="8" t="n">
        <f aca="false">SUMIFS('OPEX 상세'!$S$5:$S$280,'OPEX 상세'!$C$5:$C$280,$B12)</f>
        <v>0</v>
      </c>
      <c r="N12" s="8" t="n">
        <f aca="false">I12+M12</f>
        <v>195279442</v>
      </c>
      <c r="O12" s="10" t="str">
        <f aca="false">IF(COUNTIF('OPEX 상세'!$C$5:$C$280,$B12)=0,"입력대기",IF(M12&gt;0,"VAT 추가 가능",""))</f>
        <v/>
      </c>
    </row>
    <row r="13" customFormat="false" ht="15" hidden="false" customHeight="false" outlineLevel="0" collapsed="false">
      <c r="A13" s="6" t="n">
        <v>8</v>
      </c>
      <c r="B13" s="7" t="s">
        <v>23</v>
      </c>
      <c r="C13" s="8" t="n">
        <f aca="false">SUMIFS('OPEX 상세'!$Q$5:$Q$280,'OPEX 상세'!$C$5:$C$280,$B13,'OPEX 상세'!$D$5:$D$280,C$5)</f>
        <v>1030200</v>
      </c>
      <c r="D13" s="8" t="n">
        <f aca="false">SUMIFS('OPEX 상세'!$Q$5:$Q$280,'OPEX 상세'!$C$5:$C$280,$B13,'OPEX 상세'!$D$5:$D$280,D$5)</f>
        <v>1809200</v>
      </c>
      <c r="E13" s="8" t="n">
        <f aca="false">SUMIFS('OPEX 상세'!$Q$5:$Q$280,'OPEX 상세'!$C$5:$C$280,$B13,'OPEX 상세'!$D$5:$D$280,E$5)</f>
        <v>1809200</v>
      </c>
      <c r="F13" s="8" t="n">
        <f aca="false">SUMIFS('OPEX 상세'!$Q$5:$Q$280,'OPEX 상세'!$C$5:$C$280,$B13,'OPEX 상세'!$D$5:$D$280,F$5)</f>
        <v>1809200</v>
      </c>
      <c r="G13" s="8" t="n">
        <f aca="false">SUMIFS('OPEX 상세'!$Q$5:$Q$280,'OPEX 상세'!$C$5:$C$280,$B13,'OPEX 상세'!$D$5:$D$280,G$5)</f>
        <v>0</v>
      </c>
      <c r="H13" s="8" t="n">
        <f aca="false">SUMIFS('OPEX 상세'!$Q$5:$Q$280,'OPEX 상세'!$C$5:$C$280,$B13,'OPEX 상세'!$D$5:$D$280,H$5)</f>
        <v>0</v>
      </c>
      <c r="I13" s="9" t="n">
        <f aca="false">SUM(C13:H13)</f>
        <v>6457800</v>
      </c>
      <c r="K13" s="8" t="n">
        <f aca="false">SUMIFS('OPEX 상세'!$O$5:$O$280,'OPEX 상세'!$C$5:$C$280,$B13)</f>
        <v>6421000</v>
      </c>
      <c r="L13" s="8" t="n">
        <f aca="false">SUMIFS('OPEX 상세'!$P$5:$P$280,'OPEX 상세'!$C$5:$C$280,$B13)</f>
        <v>36800</v>
      </c>
      <c r="M13" s="8" t="n">
        <f aca="false">SUMIFS('OPEX 상세'!$S$5:$S$280,'OPEX 상세'!$C$5:$C$280,$B13)</f>
        <v>0</v>
      </c>
      <c r="N13" s="8" t="n">
        <f aca="false">I13+M13</f>
        <v>6457800</v>
      </c>
      <c r="O13" s="10" t="str">
        <f aca="false">IF(COUNTIF('OPEX 상세'!$C$5:$C$280,$B13)=0,"입력대기",IF(M13&gt;0,"VAT 추가 가능",""))</f>
        <v/>
      </c>
    </row>
    <row r="14" customFormat="false" ht="15" hidden="false" customHeight="false" outlineLevel="0" collapsed="false">
      <c r="A14" s="6" t="n">
        <v>9</v>
      </c>
      <c r="B14" s="7" t="s">
        <v>24</v>
      </c>
      <c r="C14" s="8" t="n">
        <f aca="false">SUMIFS('OPEX 상세'!$Q$5:$Q$280,'OPEX 상세'!$C$5:$C$280,$B14,'OPEX 상세'!$D$5:$D$280,C$5)</f>
        <v>0</v>
      </c>
      <c r="D14" s="8" t="n">
        <f aca="false">SUMIFS('OPEX 상세'!$Q$5:$Q$280,'OPEX 상세'!$C$5:$C$280,$B14,'OPEX 상세'!$D$5:$D$280,D$5)</f>
        <v>0</v>
      </c>
      <c r="E14" s="8" t="n">
        <f aca="false">SUMIFS('OPEX 상세'!$Q$5:$Q$280,'OPEX 상세'!$C$5:$C$280,$B14,'OPEX 상세'!$D$5:$D$280,E$5)</f>
        <v>0</v>
      </c>
      <c r="F14" s="8" t="n">
        <f aca="false">SUMIFS('OPEX 상세'!$Q$5:$Q$280,'OPEX 상세'!$C$5:$C$280,$B14,'OPEX 상세'!$D$5:$D$280,F$5)</f>
        <v>0</v>
      </c>
      <c r="G14" s="8" t="n">
        <f aca="false">SUMIFS('OPEX 상세'!$Q$5:$Q$280,'OPEX 상세'!$C$5:$C$280,$B14,'OPEX 상세'!$D$5:$D$280,G$5)</f>
        <v>0</v>
      </c>
      <c r="H14" s="8" t="n">
        <f aca="false">SUMIFS('OPEX 상세'!$Q$5:$Q$280,'OPEX 상세'!$C$5:$C$280,$B14,'OPEX 상세'!$D$5:$D$280,H$5)</f>
        <v>0</v>
      </c>
      <c r="I14" s="9" t="n">
        <f aca="false">SUM(C14:H14)</f>
        <v>0</v>
      </c>
      <c r="K14" s="8" t="n">
        <f aca="false">SUMIFS('OPEX 상세'!$O$5:$O$280,'OPEX 상세'!$C$5:$C$280,$B14)</f>
        <v>0</v>
      </c>
      <c r="L14" s="8" t="n">
        <f aca="false">SUMIFS('OPEX 상세'!$P$5:$P$280,'OPEX 상세'!$C$5:$C$280,$B14)</f>
        <v>0</v>
      </c>
      <c r="M14" s="8" t="n">
        <f aca="false">SUMIFS('OPEX 상세'!$S$5:$S$280,'OPEX 상세'!$C$5:$C$280,$B14)</f>
        <v>0</v>
      </c>
      <c r="N14" s="8" t="n">
        <f aca="false">I14+M14</f>
        <v>0</v>
      </c>
      <c r="O14" s="10" t="str">
        <f aca="false">IF(COUNTIF('OPEX 상세'!$C$5:$C$280,$B14)=0,"입력대기",IF(M14&gt;0,"VAT 추가 가능",""))</f>
        <v>입력대기</v>
      </c>
    </row>
    <row r="15" customFormat="false" ht="15" hidden="false" customHeight="false" outlineLevel="0" collapsed="false">
      <c r="A15" s="6" t="n">
        <v>10</v>
      </c>
      <c r="B15" s="7" t="s">
        <v>25</v>
      </c>
      <c r="C15" s="8" t="n">
        <f aca="false">SUMIFS('OPEX 상세'!$Q$5:$Q$280,'OPEX 상세'!$C$5:$C$280,$B15,'OPEX 상세'!$D$5:$D$280,C$5)</f>
        <v>10206800</v>
      </c>
      <c r="D15" s="8" t="n">
        <f aca="false">SUMIFS('OPEX 상세'!$Q$5:$Q$280,'OPEX 상세'!$C$5:$C$280,$B15,'OPEX 상세'!$D$5:$D$280,D$5)</f>
        <v>3120000</v>
      </c>
      <c r="E15" s="8" t="n">
        <f aca="false">SUMIFS('OPEX 상세'!$Q$5:$Q$280,'OPEX 상세'!$C$5:$C$280,$B15,'OPEX 상세'!$D$5:$D$280,E$5)</f>
        <v>18017500</v>
      </c>
      <c r="F15" s="8" t="n">
        <f aca="false">SUMIFS('OPEX 상세'!$Q$5:$Q$280,'OPEX 상세'!$C$5:$C$280,$B15,'OPEX 상세'!$D$5:$D$280,F$5)</f>
        <v>9932500</v>
      </c>
      <c r="G15" s="8" t="n">
        <f aca="false">SUMIFS('OPEX 상세'!$Q$5:$Q$280,'OPEX 상세'!$C$5:$C$280,$B15,'OPEX 상세'!$D$5:$D$280,G$5)</f>
        <v>0</v>
      </c>
      <c r="H15" s="8" t="n">
        <f aca="false">SUMIFS('OPEX 상세'!$Q$5:$Q$280,'OPEX 상세'!$C$5:$C$280,$B15,'OPEX 상세'!$D$5:$D$280,H$5)</f>
        <v>0</v>
      </c>
      <c r="I15" s="9" t="n">
        <f aca="false">SUM(C15:H15)</f>
        <v>41276800</v>
      </c>
      <c r="K15" s="8" t="n">
        <f aca="false">SUMIFS('OPEX 상세'!$O$5:$O$280,'OPEX 상세'!$C$5:$C$280,$B15)</f>
        <v>41276800</v>
      </c>
      <c r="L15" s="8" t="n">
        <f aca="false">SUMIFS('OPEX 상세'!$P$5:$P$280,'OPEX 상세'!$C$5:$C$280,$B15)</f>
        <v>0</v>
      </c>
      <c r="M15" s="8" t="n">
        <f aca="false">SUMIFS('OPEX 상세'!$S$5:$S$280,'OPEX 상세'!$C$5:$C$280,$B15)</f>
        <v>0</v>
      </c>
      <c r="N15" s="8" t="n">
        <f aca="false">I15+M15</f>
        <v>41276800</v>
      </c>
      <c r="O15" s="10" t="str">
        <f aca="false">IF(COUNTIF('OPEX 상세'!$C$5:$C$280,$B15)=0,"입력대기",IF(M15&gt;0,"VAT 추가 가능",""))</f>
        <v/>
      </c>
    </row>
    <row r="16" customFormat="false" ht="15" hidden="false" customHeight="false" outlineLevel="0" collapsed="false">
      <c r="A16" s="6" t="n">
        <v>11</v>
      </c>
      <c r="B16" s="7" t="s">
        <v>26</v>
      </c>
      <c r="C16" s="8" t="n">
        <f aca="false">SUMIFS('OPEX 상세'!$Q$5:$Q$280,'OPEX 상세'!$C$5:$C$280,$B16,'OPEX 상세'!$D$5:$D$280,C$5)</f>
        <v>0</v>
      </c>
      <c r="D16" s="8" t="n">
        <f aca="false">SUMIFS('OPEX 상세'!$Q$5:$Q$280,'OPEX 상세'!$C$5:$C$280,$B16,'OPEX 상세'!$D$5:$D$280,D$5)</f>
        <v>0</v>
      </c>
      <c r="E16" s="8" t="n">
        <f aca="false">SUMIFS('OPEX 상세'!$Q$5:$Q$280,'OPEX 상세'!$C$5:$C$280,$B16,'OPEX 상세'!$D$5:$D$280,E$5)</f>
        <v>0</v>
      </c>
      <c r="F16" s="8" t="n">
        <f aca="false">SUMIFS('OPEX 상세'!$Q$5:$Q$280,'OPEX 상세'!$C$5:$C$280,$B16,'OPEX 상세'!$D$5:$D$280,F$5)</f>
        <v>0</v>
      </c>
      <c r="G16" s="8" t="n">
        <f aca="false">SUMIFS('OPEX 상세'!$Q$5:$Q$280,'OPEX 상세'!$C$5:$C$280,$B16,'OPEX 상세'!$D$5:$D$280,G$5)</f>
        <v>0</v>
      </c>
      <c r="H16" s="8" t="n">
        <f aca="false">SUMIFS('OPEX 상세'!$Q$5:$Q$280,'OPEX 상세'!$C$5:$C$280,$B16,'OPEX 상세'!$D$5:$D$280,H$5)</f>
        <v>12600000</v>
      </c>
      <c r="I16" s="9" t="n">
        <f aca="false">SUM(C16:H16)</f>
        <v>12600000</v>
      </c>
      <c r="K16" s="8" t="n">
        <f aca="false">SUMIFS('OPEX 상세'!$O$5:$O$280,'OPEX 상세'!$C$5:$C$280,$B16)</f>
        <v>12600000</v>
      </c>
      <c r="L16" s="8" t="n">
        <f aca="false">SUMIFS('OPEX 상세'!$P$5:$P$280,'OPEX 상세'!$C$5:$C$280,$B16)</f>
        <v>0</v>
      </c>
      <c r="M16" s="8" t="n">
        <f aca="false">SUMIFS('OPEX 상세'!$S$5:$S$280,'OPEX 상세'!$C$5:$C$280,$B16)</f>
        <v>1260000</v>
      </c>
      <c r="N16" s="8" t="n">
        <f aca="false">I16+M16</f>
        <v>13860000</v>
      </c>
      <c r="O16" s="10" t="str">
        <f aca="false">IF(COUNTIF('OPEX 상세'!$C$5:$C$280,$B16)=0,"입력대기",IF(M16&gt;0,"VAT 추가 가능",""))</f>
        <v>VAT 추가 가능</v>
      </c>
    </row>
    <row r="17" customFormat="false" ht="15" hidden="false" customHeight="false" outlineLevel="0" collapsed="false">
      <c r="A17" s="11"/>
      <c r="B17" s="12" t="s">
        <v>27</v>
      </c>
      <c r="C17" s="13" t="n">
        <f aca="false">SUM(C6:C16)</f>
        <v>152343136</v>
      </c>
      <c r="D17" s="13" t="n">
        <f aca="false">SUM(D6:D16)</f>
        <v>190985566</v>
      </c>
      <c r="E17" s="13" t="n">
        <f aca="false">SUM(E6:E16)</f>
        <v>240795769</v>
      </c>
      <c r="F17" s="13" t="n">
        <f aca="false">SUM(F6:F16)</f>
        <v>196146268</v>
      </c>
      <c r="G17" s="13" t="n">
        <f aca="false">SUM(G6:G16)</f>
        <v>241500</v>
      </c>
      <c r="H17" s="13" t="n">
        <f aca="false">SUM(H6:H16)</f>
        <v>41202400</v>
      </c>
      <c r="I17" s="13" t="n">
        <f aca="false">SUM(I6:I16)</f>
        <v>821714639</v>
      </c>
      <c r="K17" s="13" t="n">
        <f aca="false">SUM(K6:K16)</f>
        <v>821559439</v>
      </c>
      <c r="L17" s="13" t="n">
        <f aca="false">SUM(L6:L16)</f>
        <v>155200</v>
      </c>
      <c r="M17" s="13" t="n">
        <f aca="false">SUM(M6:M16)</f>
        <v>3990000</v>
      </c>
      <c r="N17" s="13" t="n">
        <f aca="false">SUM(N6:N16)</f>
        <v>825704639</v>
      </c>
      <c r="O17" s="13"/>
    </row>
    <row r="18" customFormat="false" ht="15" hidden="false" customHeight="false" outlineLevel="0" collapsed="false">
      <c r="B18" s="2" t="s">
        <v>28</v>
      </c>
      <c r="I18" s="14" t="n">
        <f aca="false">I17-'OPEX 상세'!Q281</f>
        <v>0</v>
      </c>
    </row>
    <row r="20" customFormat="false" ht="15" hidden="false" customHeight="false" outlineLevel="0" collapsed="false">
      <c r="B20" s="15" t="s">
        <v>29</v>
      </c>
    </row>
    <row r="21" customFormat="false" ht="30" hidden="false" customHeight="true" outlineLevel="0" collapsed="false">
      <c r="B21" s="5" t="s">
        <v>30</v>
      </c>
      <c r="C21" s="5" t="s">
        <v>11</v>
      </c>
      <c r="D21" s="5" t="s">
        <v>12</v>
      </c>
      <c r="E21" s="5" t="s">
        <v>27</v>
      </c>
      <c r="F21" s="5" t="s">
        <v>13</v>
      </c>
      <c r="G21" s="5" t="s">
        <v>31</v>
      </c>
    </row>
    <row r="22" customFormat="false" ht="15" hidden="false" customHeight="false" outlineLevel="0" collapsed="false">
      <c r="B22" s="8" t="s">
        <v>4</v>
      </c>
      <c r="C22" s="8" t="n">
        <f aca="false">SUMIFS('OPEX 상세'!$O$5:$O$280,'OPEX 상세'!$D$5:$D$280,$B22)</f>
        <v>152333936</v>
      </c>
      <c r="D22" s="8" t="n">
        <f aca="false">SUMIFS('OPEX 상세'!$P$5:$P$280,'OPEX 상세'!$D$5:$D$280,$B22)</f>
        <v>9200</v>
      </c>
      <c r="E22" s="8" t="n">
        <f aca="false">C22+D22</f>
        <v>152343136</v>
      </c>
      <c r="F22" s="8" t="n">
        <f aca="false">SUMIFS('OPEX 상세'!$S$5:$S$280,'OPEX 상세'!$D$5:$D$280,$B22)</f>
        <v>0</v>
      </c>
      <c r="G22" s="16" t="n">
        <f aca="false">IF($E$28=0,0,E22/$E$28)</f>
        <v>0.18539664351775</v>
      </c>
    </row>
    <row r="23" customFormat="false" ht="15" hidden="false" customHeight="false" outlineLevel="0" collapsed="false">
      <c r="B23" s="8" t="s">
        <v>5</v>
      </c>
      <c r="C23" s="8" t="n">
        <f aca="false">SUMIFS('OPEX 상세'!$O$5:$O$280,'OPEX 상세'!$D$5:$D$280,$B23)</f>
        <v>190976366</v>
      </c>
      <c r="D23" s="8" t="n">
        <f aca="false">SUMIFS('OPEX 상세'!$P$5:$P$280,'OPEX 상세'!$D$5:$D$280,$B23)</f>
        <v>9200</v>
      </c>
      <c r="E23" s="8" t="n">
        <f aca="false">C23+D23</f>
        <v>190985566</v>
      </c>
      <c r="F23" s="8" t="n">
        <f aca="false">SUMIFS('OPEX 상세'!$S$5:$S$280,'OPEX 상세'!$D$5:$D$280,$B23)</f>
        <v>0</v>
      </c>
      <c r="G23" s="16" t="n">
        <f aca="false">IF($E$28=0,0,E23/$E$28)</f>
        <v>0.232423224481461</v>
      </c>
    </row>
    <row r="24" customFormat="false" ht="15" hidden="false" customHeight="false" outlineLevel="0" collapsed="false">
      <c r="B24" s="8" t="s">
        <v>6</v>
      </c>
      <c r="C24" s="8" t="n">
        <f aca="false">SUMIFS('OPEX 상세'!$O$5:$O$280,'OPEX 상세'!$D$5:$D$280,$B24)</f>
        <v>240786569</v>
      </c>
      <c r="D24" s="8" t="n">
        <f aca="false">SUMIFS('OPEX 상세'!$P$5:$P$280,'OPEX 상세'!$D$5:$D$280,$B24)</f>
        <v>9200</v>
      </c>
      <c r="E24" s="8" t="n">
        <f aca="false">C24+D24</f>
        <v>240795769</v>
      </c>
      <c r="F24" s="8" t="n">
        <f aca="false">SUMIFS('OPEX 상세'!$S$5:$S$280,'OPEX 상세'!$D$5:$D$280,$B24)</f>
        <v>0</v>
      </c>
      <c r="G24" s="16" t="n">
        <f aca="false">IF($E$28=0,0,E24/$E$28)</f>
        <v>0.293040622098495</v>
      </c>
    </row>
    <row r="25" customFormat="false" ht="15" hidden="false" customHeight="false" outlineLevel="0" collapsed="false">
      <c r="B25" s="8" t="s">
        <v>7</v>
      </c>
      <c r="C25" s="8" t="n">
        <f aca="false">SUMIFS('OPEX 상세'!$O$5:$O$280,'OPEX 상세'!$D$5:$D$280,$B25)</f>
        <v>196137068</v>
      </c>
      <c r="D25" s="8" t="n">
        <f aca="false">SUMIFS('OPEX 상세'!$P$5:$P$280,'OPEX 상세'!$D$5:$D$280,$B25)</f>
        <v>9200</v>
      </c>
      <c r="E25" s="8" t="n">
        <f aca="false">C25+D25</f>
        <v>196146268</v>
      </c>
      <c r="F25" s="8" t="n">
        <f aca="false">SUMIFS('OPEX 상세'!$S$5:$S$280,'OPEX 상세'!$D$5:$D$280,$B25)</f>
        <v>0</v>
      </c>
      <c r="G25" s="16" t="n">
        <f aca="false">IF($E$28=0,0,E25/$E$28)</f>
        <v>0.238703631030237</v>
      </c>
    </row>
    <row r="26" customFormat="false" ht="15" hidden="false" customHeight="false" outlineLevel="0" collapsed="false">
      <c r="B26" s="8" t="s">
        <v>8</v>
      </c>
      <c r="C26" s="8" t="n">
        <f aca="false">SUMIFS('OPEX 상세'!$O$5:$O$280,'OPEX 상세'!$D$5:$D$280,$B26)</f>
        <v>241500</v>
      </c>
      <c r="D26" s="8" t="n">
        <f aca="false">SUMIFS('OPEX 상세'!$P$5:$P$280,'OPEX 상세'!$D$5:$D$280,$B26)</f>
        <v>0</v>
      </c>
      <c r="E26" s="8" t="n">
        <f aca="false">C26+D26</f>
        <v>241500</v>
      </c>
      <c r="F26" s="8" t="n">
        <f aca="false">SUMIFS('OPEX 상세'!$S$5:$S$280,'OPEX 상세'!$D$5:$D$280,$B26)</f>
        <v>0</v>
      </c>
      <c r="G26" s="16" t="n">
        <f aca="false">IF($E$28=0,0,E26/$E$28)</f>
        <v>0.000293897648329471</v>
      </c>
    </row>
    <row r="27" customFormat="false" ht="15" hidden="false" customHeight="false" outlineLevel="0" collapsed="false">
      <c r="B27" s="17" t="s">
        <v>32</v>
      </c>
      <c r="C27" s="8" t="n">
        <f aca="false">SUMIFS('OPEX 상세'!$O$5:$O$280,'OPEX 상세'!$D$5:$D$280,$B27)</f>
        <v>41084000</v>
      </c>
      <c r="D27" s="8" t="n">
        <f aca="false">SUMIFS('OPEX 상세'!$P$5:$P$280,'OPEX 상세'!$D$5:$D$280,$B27)</f>
        <v>118400</v>
      </c>
      <c r="E27" s="8" t="n">
        <f aca="false">C27+D27</f>
        <v>41202400</v>
      </c>
      <c r="F27" s="8" t="n">
        <f aca="false">SUMIFS('OPEX 상세'!$S$5:$S$280,'OPEX 상세'!$D$5:$D$280,$B27)</f>
        <v>3990000</v>
      </c>
      <c r="G27" s="16" t="n">
        <f aca="false">IF($E$28=0,0,E27/$E$28)</f>
        <v>0.0501419812237275</v>
      </c>
    </row>
    <row r="28" customFormat="false" ht="15" hidden="false" customHeight="false" outlineLevel="0" collapsed="false">
      <c r="B28" s="18" t="s">
        <v>27</v>
      </c>
      <c r="C28" s="13" t="n">
        <f aca="false">SUM(C22:C27)</f>
        <v>821559439</v>
      </c>
      <c r="D28" s="13" t="n">
        <f aca="false">SUM(D22:D27)</f>
        <v>155200</v>
      </c>
      <c r="E28" s="13" t="n">
        <f aca="false">SUM(E22:E27)</f>
        <v>821714639</v>
      </c>
      <c r="F28" s="13" t="n">
        <f aca="false">SUM(F22:F27)</f>
        <v>3990000</v>
      </c>
      <c r="G28" s="19" t="n">
        <f aca="false">SUM(G22:G27)</f>
        <v>1</v>
      </c>
    </row>
    <row r="30" customFormat="false" ht="15" hidden="false" customHeight="false" outlineLevel="0" collapsed="false">
      <c r="B30" s="15" t="s">
        <v>33</v>
      </c>
    </row>
    <row r="31" customFormat="false" ht="15" hidden="false" customHeight="false" outlineLevel="0" collapsed="false">
      <c r="B31" s="20" t="s">
        <v>34</v>
      </c>
    </row>
    <row r="32" customFormat="false" ht="15" hidden="false" customHeight="false" outlineLevel="0" collapsed="false">
      <c r="B32" s="20" t="s">
        <v>35</v>
      </c>
    </row>
    <row r="33" customFormat="false" ht="15" hidden="false" customHeight="false" outlineLevel="0" collapsed="false">
      <c r="B33" s="20" t="s">
        <v>36</v>
      </c>
    </row>
    <row r="34" customFormat="false" ht="15" hidden="false" customHeight="false" outlineLevel="0" collapsed="false">
      <c r="B34" s="20" t="s">
        <v>37</v>
      </c>
    </row>
    <row r="35" customFormat="false" ht="15" hidden="false" customHeight="false" outlineLevel="0" collapsed="false">
      <c r="B35" s="20" t="s">
        <v>38</v>
      </c>
    </row>
    <row r="36" customFormat="false" ht="15" hidden="false" customHeight="false" outlineLevel="0" collapsed="false">
      <c r="B36" s="2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8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8"/>
    <col collapsed="false" customWidth="true" hidden="false" outlineLevel="0" max="11" min="11" style="0" width="6"/>
    <col collapsed="false" customWidth="true" hidden="false" outlineLevel="0" max="12" min="12" style="0" width="13"/>
    <col collapsed="false" customWidth="true" hidden="false" outlineLevel="0" max="13" min="13" style="0" width="9"/>
    <col collapsed="false" customWidth="true" hidden="false" outlineLevel="0" max="15" min="14" style="0" width="13"/>
    <col collapsed="false" customWidth="true" hidden="false" outlineLevel="0" max="16" min="16" style="0" width="11"/>
    <col collapsed="false" customWidth="true" hidden="false" outlineLevel="0" max="17" min="17" style="0" width="14"/>
    <col collapsed="false" customWidth="true" hidden="false" outlineLevel="0" max="18" min="18" style="0" width="8"/>
    <col collapsed="false" customWidth="true" hidden="false" outlineLevel="0" max="19" min="19" style="0" width="11"/>
    <col collapsed="false" customWidth="true" hidden="false" outlineLevel="0" max="20" min="20" style="0" width="50"/>
  </cols>
  <sheetData>
    <row r="1" customFormat="false" ht="19.4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30" hidden="false" customHeight="true" outlineLevel="0" collapsed="false">
      <c r="A4" s="4" t="s">
        <v>2</v>
      </c>
      <c r="B4" s="5" t="s">
        <v>42</v>
      </c>
      <c r="C4" s="5" t="s">
        <v>3</v>
      </c>
      <c r="D4" s="5" t="s">
        <v>30</v>
      </c>
      <c r="E4" s="4" t="s">
        <v>43</v>
      </c>
      <c r="F4" s="4" t="s">
        <v>44</v>
      </c>
      <c r="G4" s="5" t="s">
        <v>45</v>
      </c>
      <c r="H4" s="4" t="s">
        <v>46</v>
      </c>
      <c r="I4" s="5" t="s">
        <v>47</v>
      </c>
      <c r="J4" s="5" t="s">
        <v>48</v>
      </c>
      <c r="K4" s="5" t="s">
        <v>49</v>
      </c>
      <c r="L4" s="5" t="s">
        <v>50</v>
      </c>
      <c r="M4" s="5" t="s">
        <v>51</v>
      </c>
      <c r="N4" s="5" t="s">
        <v>52</v>
      </c>
      <c r="O4" s="5" t="s">
        <v>53</v>
      </c>
      <c r="P4" s="5" t="s">
        <v>54</v>
      </c>
      <c r="Q4" s="5" t="s">
        <v>55</v>
      </c>
      <c r="R4" s="4" t="s">
        <v>56</v>
      </c>
      <c r="S4" s="5" t="s">
        <v>13</v>
      </c>
      <c r="T4" s="5" t="s">
        <v>57</v>
      </c>
    </row>
    <row r="5" customFormat="false" ht="15" hidden="false" customHeight="false" outlineLevel="0" collapsed="false">
      <c r="A5" s="21" t="n">
        <f aca="false">IF(C5="","",COUNTA($C$5:C5))</f>
        <v>1</v>
      </c>
      <c r="B5" s="22"/>
      <c r="C5" s="23" t="s">
        <v>16</v>
      </c>
      <c r="D5" s="24" t="s">
        <v>58</v>
      </c>
      <c r="E5" s="25"/>
      <c r="F5" s="7" t="str">
        <f aca="false">IF(E5="","",IFERROR(INDEX(코드관리!$C$7:$C$66,MATCH(E5,코드관리!$B$7:$B$66,0)),"미등록 코드"))</f>
        <v/>
      </c>
      <c r="G5" s="25"/>
      <c r="H5" s="25"/>
      <c r="I5" s="23" t="s">
        <v>59</v>
      </c>
      <c r="J5" s="24" t="s">
        <v>60</v>
      </c>
      <c r="K5" s="26" t="s">
        <v>61</v>
      </c>
      <c r="L5" s="27" t="n">
        <v>1302400</v>
      </c>
      <c r="M5" s="26" t="s">
        <v>62</v>
      </c>
      <c r="N5" s="8" t="n">
        <f aca="false">IF(L5="","",IF(K5="USD",ROUND(L5*설정!$C$4,0),L5))</f>
        <v>1302400</v>
      </c>
      <c r="O5" s="8" t="n">
        <f aca="false">IF(N5="","",IF(AND(J5="과세",M5="VAT포함"),ROUND(N5/(1+설정!$C$5),0),N5))</f>
        <v>1184000</v>
      </c>
      <c r="P5" s="8" t="n">
        <f aca="false">IF(N5="","",IF(J5="과세",IF(M5="VAT포함",N5-O5,ROUND(O5*설정!$C$5,0)),0))</f>
        <v>118400</v>
      </c>
      <c r="Q5" s="8" t="n">
        <f aca="false">IF(N5="","",O5+P5)</f>
        <v>1302400</v>
      </c>
      <c r="R5" s="26"/>
      <c r="S5" s="8" t="str">
        <f aca="false">IF(OR(N5="",R5&lt;&gt;"Y"),"",ROUND(O5*설정!$C$5,0))</f>
        <v/>
      </c>
      <c r="T5" s="23" t="s">
        <v>63</v>
      </c>
    </row>
    <row r="6" customFormat="false" ht="15" hidden="false" customHeight="false" outlineLevel="0" collapsed="false">
      <c r="A6" s="21" t="n">
        <f aca="false">IF(C6="","",COUNTA($C$5:C6))</f>
        <v>2</v>
      </c>
      <c r="B6" s="22"/>
      <c r="C6" s="23" t="s">
        <v>18</v>
      </c>
      <c r="D6" s="26" t="s">
        <v>4</v>
      </c>
      <c r="E6" s="25"/>
      <c r="F6" s="7" t="str">
        <f aca="false">IF(E6="","",IFERROR(INDEX(코드관리!$C$7:$C$66,MATCH(E6,코드관리!$B$7:$B$66,0)),"미등록 코드"))</f>
        <v/>
      </c>
      <c r="G6" s="25"/>
      <c r="H6" s="25"/>
      <c r="I6" s="25" t="s">
        <v>64</v>
      </c>
      <c r="J6" s="24" t="s">
        <v>65</v>
      </c>
      <c r="K6" s="26" t="s">
        <v>61</v>
      </c>
      <c r="L6" s="27" t="n">
        <v>3680000</v>
      </c>
      <c r="M6" s="26"/>
      <c r="N6" s="8" t="n">
        <f aca="false">IF(L6="","",IF(K6="USD",ROUND(L6*설정!$C$4,0),L6))</f>
        <v>3680000</v>
      </c>
      <c r="O6" s="8" t="n">
        <f aca="false">IF(N6="","",IF(AND(J6="과세",M6="VAT포함"),ROUND(N6/(1+설정!$C$5),0),N6))</f>
        <v>3680000</v>
      </c>
      <c r="P6" s="8" t="n">
        <f aca="false">IF(N6="","",IF(J6="과세",IF(M6="VAT포함",N6-O6,ROUND(O6*설정!$C$5,0)),0))</f>
        <v>0</v>
      </c>
      <c r="Q6" s="8" t="n">
        <f aca="false">IF(N6="","",O6+P6)</f>
        <v>3680000</v>
      </c>
      <c r="R6" s="26"/>
      <c r="S6" s="8" t="str">
        <f aca="false">IF(OR(N6="",R6&lt;&gt;"Y"),"",ROUND(O6*설정!$C$5,0))</f>
        <v/>
      </c>
      <c r="T6" s="25"/>
    </row>
    <row r="7" customFormat="false" ht="15" hidden="false" customHeight="false" outlineLevel="0" collapsed="false">
      <c r="A7" s="21" t="n">
        <f aca="false">IF(C7="","",COUNTA($C$5:C7))</f>
        <v>3</v>
      </c>
      <c r="B7" s="22"/>
      <c r="C7" s="23" t="s">
        <v>18</v>
      </c>
      <c r="D7" s="26" t="s">
        <v>4</v>
      </c>
      <c r="E7" s="25"/>
      <c r="F7" s="7" t="str">
        <f aca="false">IF(E7="","",IFERROR(INDEX(코드관리!$C$7:$C$66,MATCH(E7,코드관리!$B$7:$B$66,0)),"미등록 코드"))</f>
        <v/>
      </c>
      <c r="G7" s="25"/>
      <c r="H7" s="25"/>
      <c r="I7" s="25" t="s">
        <v>66</v>
      </c>
      <c r="J7" s="24" t="s">
        <v>65</v>
      </c>
      <c r="K7" s="26" t="s">
        <v>67</v>
      </c>
      <c r="L7" s="27" t="n">
        <v>2800</v>
      </c>
      <c r="M7" s="26"/>
      <c r="N7" s="8" t="n">
        <f aca="false">IF(L7="","",IF(K7="USD",ROUND(L7*설정!$C$4,0),L7))</f>
        <v>3780000</v>
      </c>
      <c r="O7" s="8" t="n">
        <f aca="false">IF(N7="","",IF(AND(J7="과세",M7="VAT포함"),ROUND(N7/(1+설정!$C$5),0),N7))</f>
        <v>3780000</v>
      </c>
      <c r="P7" s="8" t="n">
        <f aca="false">IF(N7="","",IF(J7="과세",IF(M7="VAT포함",N7-O7,ROUND(O7*설정!$C$5,0)),0))</f>
        <v>0</v>
      </c>
      <c r="Q7" s="8" t="n">
        <f aca="false">IF(N7="","",O7+P7)</f>
        <v>3780000</v>
      </c>
      <c r="R7" s="26"/>
      <c r="S7" s="8" t="str">
        <f aca="false">IF(OR(N7="",R7&lt;&gt;"Y"),"",ROUND(O7*설정!$C$5,0))</f>
        <v/>
      </c>
      <c r="T7" s="25" t="s">
        <v>68</v>
      </c>
    </row>
    <row r="8" customFormat="false" ht="15" hidden="false" customHeight="false" outlineLevel="0" collapsed="false">
      <c r="A8" s="21" t="n">
        <f aca="false">IF(C8="","",COUNTA($C$5:C8))</f>
        <v>4</v>
      </c>
      <c r="B8" s="22"/>
      <c r="C8" s="23" t="s">
        <v>18</v>
      </c>
      <c r="D8" s="26" t="s">
        <v>4</v>
      </c>
      <c r="E8" s="25"/>
      <c r="F8" s="7" t="str">
        <f aca="false">IF(E8="","",IFERROR(INDEX(코드관리!$C$7:$C$66,MATCH(E8,코드관리!$B$7:$B$66,0)),"미등록 코드"))</f>
        <v/>
      </c>
      <c r="G8" s="25"/>
      <c r="H8" s="25"/>
      <c r="I8" s="25" t="s">
        <v>69</v>
      </c>
      <c r="J8" s="24" t="s">
        <v>65</v>
      </c>
      <c r="K8" s="26" t="s">
        <v>61</v>
      </c>
      <c r="L8" s="27" t="n">
        <v>160000</v>
      </c>
      <c r="M8" s="26"/>
      <c r="N8" s="8" t="n">
        <f aca="false">IF(L8="","",IF(K8="USD",ROUND(L8*설정!$C$4,0),L8))</f>
        <v>160000</v>
      </c>
      <c r="O8" s="8" t="n">
        <f aca="false">IF(N8="","",IF(AND(J8="과세",M8="VAT포함"),ROUND(N8/(1+설정!$C$5),0),N8))</f>
        <v>160000</v>
      </c>
      <c r="P8" s="8" t="n">
        <f aca="false">IF(N8="","",IF(J8="과세",IF(M8="VAT포함",N8-O8,ROUND(O8*설정!$C$5,0)),0))</f>
        <v>0</v>
      </c>
      <c r="Q8" s="8" t="n">
        <f aca="false">IF(N8="","",O8+P8)</f>
        <v>160000</v>
      </c>
      <c r="R8" s="26"/>
      <c r="S8" s="8" t="str">
        <f aca="false">IF(OR(N8="",R8&lt;&gt;"Y"),"",ROUND(O8*설정!$C$5,0))</f>
        <v/>
      </c>
      <c r="T8" s="25"/>
    </row>
    <row r="9" customFormat="false" ht="15" hidden="false" customHeight="false" outlineLevel="0" collapsed="false">
      <c r="A9" s="21" t="n">
        <f aca="false">IF(C9="","",COUNTA($C$5:C9))</f>
        <v>5</v>
      </c>
      <c r="B9" s="22"/>
      <c r="C9" s="23" t="s">
        <v>18</v>
      </c>
      <c r="D9" s="26" t="s">
        <v>5</v>
      </c>
      <c r="E9" s="25"/>
      <c r="F9" s="7" t="str">
        <f aca="false">IF(E9="","",IFERROR(INDEX(코드관리!$C$7:$C$66,MATCH(E9,코드관리!$B$7:$B$66,0)),"미등록 코드"))</f>
        <v/>
      </c>
      <c r="G9" s="25"/>
      <c r="H9" s="25"/>
      <c r="I9" s="25" t="s">
        <v>64</v>
      </c>
      <c r="J9" s="24" t="s">
        <v>65</v>
      </c>
      <c r="K9" s="26" t="s">
        <v>61</v>
      </c>
      <c r="L9" s="27" t="n">
        <v>3680000</v>
      </c>
      <c r="M9" s="26"/>
      <c r="N9" s="8" t="n">
        <f aca="false">IF(L9="","",IF(K9="USD",ROUND(L9*설정!$C$4,0),L9))</f>
        <v>3680000</v>
      </c>
      <c r="O9" s="8" t="n">
        <f aca="false">IF(N9="","",IF(AND(J9="과세",M9="VAT포함"),ROUND(N9/(1+설정!$C$5),0),N9))</f>
        <v>3680000</v>
      </c>
      <c r="P9" s="8" t="n">
        <f aca="false">IF(N9="","",IF(J9="과세",IF(M9="VAT포함",N9-O9,ROUND(O9*설정!$C$5,0)),0))</f>
        <v>0</v>
      </c>
      <c r="Q9" s="8" t="n">
        <f aca="false">IF(N9="","",O9+P9)</f>
        <v>3680000</v>
      </c>
      <c r="R9" s="26"/>
      <c r="S9" s="8" t="str">
        <f aca="false">IF(OR(N9="",R9&lt;&gt;"Y"),"",ROUND(O9*설정!$C$5,0))</f>
        <v/>
      </c>
      <c r="T9" s="25"/>
    </row>
    <row r="10" customFormat="false" ht="15" hidden="false" customHeight="false" outlineLevel="0" collapsed="false">
      <c r="A10" s="21" t="n">
        <f aca="false">IF(C10="","",COUNTA($C$5:C10))</f>
        <v>6</v>
      </c>
      <c r="B10" s="22"/>
      <c r="C10" s="23" t="s">
        <v>18</v>
      </c>
      <c r="D10" s="26" t="s">
        <v>5</v>
      </c>
      <c r="E10" s="25"/>
      <c r="F10" s="7" t="str">
        <f aca="false">IF(E10="","",IFERROR(INDEX(코드관리!$C$7:$C$66,MATCH(E10,코드관리!$B$7:$B$66,0)),"미등록 코드"))</f>
        <v/>
      </c>
      <c r="G10" s="25"/>
      <c r="H10" s="25"/>
      <c r="I10" s="25" t="s">
        <v>66</v>
      </c>
      <c r="J10" s="24" t="s">
        <v>65</v>
      </c>
      <c r="K10" s="26" t="s">
        <v>67</v>
      </c>
      <c r="L10" s="27" t="n">
        <v>2800</v>
      </c>
      <c r="M10" s="26"/>
      <c r="N10" s="8" t="n">
        <f aca="false">IF(L10="","",IF(K10="USD",ROUND(L10*설정!$C$4,0),L10))</f>
        <v>3780000</v>
      </c>
      <c r="O10" s="8" t="n">
        <f aca="false">IF(N10="","",IF(AND(J10="과세",M10="VAT포함"),ROUND(N10/(1+설정!$C$5),0),N10))</f>
        <v>3780000</v>
      </c>
      <c r="P10" s="8" t="n">
        <f aca="false">IF(N10="","",IF(J10="과세",IF(M10="VAT포함",N10-O10,ROUND(O10*설정!$C$5,0)),0))</f>
        <v>0</v>
      </c>
      <c r="Q10" s="8" t="n">
        <f aca="false">IF(N10="","",O10+P10)</f>
        <v>3780000</v>
      </c>
      <c r="R10" s="26"/>
      <c r="S10" s="8" t="str">
        <f aca="false">IF(OR(N10="",R10&lt;&gt;"Y"),"",ROUND(O10*설정!$C$5,0))</f>
        <v/>
      </c>
      <c r="T10" s="25" t="s">
        <v>68</v>
      </c>
    </row>
    <row r="11" customFormat="false" ht="15" hidden="false" customHeight="false" outlineLevel="0" collapsed="false">
      <c r="A11" s="21" t="n">
        <f aca="false">IF(C11="","",COUNTA($C$5:C11))</f>
        <v>7</v>
      </c>
      <c r="B11" s="22"/>
      <c r="C11" s="23" t="s">
        <v>18</v>
      </c>
      <c r="D11" s="26" t="s">
        <v>5</v>
      </c>
      <c r="E11" s="25"/>
      <c r="F11" s="7" t="str">
        <f aca="false">IF(E11="","",IFERROR(INDEX(코드관리!$C$7:$C$66,MATCH(E11,코드관리!$B$7:$B$66,0)),"미등록 코드"))</f>
        <v/>
      </c>
      <c r="G11" s="25"/>
      <c r="H11" s="25"/>
      <c r="I11" s="25" t="s">
        <v>69</v>
      </c>
      <c r="J11" s="24" t="s">
        <v>65</v>
      </c>
      <c r="K11" s="26" t="s">
        <v>61</v>
      </c>
      <c r="L11" s="27" t="n">
        <v>160000</v>
      </c>
      <c r="M11" s="26"/>
      <c r="N11" s="8" t="n">
        <f aca="false">IF(L11="","",IF(K11="USD",ROUND(L11*설정!$C$4,0),L11))</f>
        <v>160000</v>
      </c>
      <c r="O11" s="8" t="n">
        <f aca="false">IF(N11="","",IF(AND(J11="과세",M11="VAT포함"),ROUND(N11/(1+설정!$C$5),0),N11))</f>
        <v>160000</v>
      </c>
      <c r="P11" s="8" t="n">
        <f aca="false">IF(N11="","",IF(J11="과세",IF(M11="VAT포함",N11-O11,ROUND(O11*설정!$C$5,0)),0))</f>
        <v>0</v>
      </c>
      <c r="Q11" s="8" t="n">
        <f aca="false">IF(N11="","",O11+P11)</f>
        <v>160000</v>
      </c>
      <c r="R11" s="26"/>
      <c r="S11" s="8" t="str">
        <f aca="false">IF(OR(N11="",R11&lt;&gt;"Y"),"",ROUND(O11*설정!$C$5,0))</f>
        <v/>
      </c>
      <c r="T11" s="25"/>
    </row>
    <row r="12" customFormat="false" ht="15" hidden="false" customHeight="false" outlineLevel="0" collapsed="false">
      <c r="A12" s="21" t="n">
        <f aca="false">IF(C12="","",COUNTA($C$5:C12))</f>
        <v>8</v>
      </c>
      <c r="B12" s="22"/>
      <c r="C12" s="23" t="s">
        <v>18</v>
      </c>
      <c r="D12" s="26" t="s">
        <v>6</v>
      </c>
      <c r="E12" s="25"/>
      <c r="F12" s="7" t="str">
        <f aca="false">IF(E12="","",IFERROR(INDEX(코드관리!$C$7:$C$66,MATCH(E12,코드관리!$B$7:$B$66,0)),"미등록 코드"))</f>
        <v/>
      </c>
      <c r="G12" s="25"/>
      <c r="H12" s="25"/>
      <c r="I12" s="25" t="s">
        <v>70</v>
      </c>
      <c r="J12" s="24" t="s">
        <v>65</v>
      </c>
      <c r="K12" s="26" t="s">
        <v>67</v>
      </c>
      <c r="L12" s="27" t="n">
        <v>26000</v>
      </c>
      <c r="M12" s="26"/>
      <c r="N12" s="8" t="n">
        <f aca="false">IF(L12="","",IF(K12="USD",ROUND(L12*설정!$C$4,0),L12))</f>
        <v>35100000</v>
      </c>
      <c r="O12" s="8" t="n">
        <f aca="false">IF(N12="","",IF(AND(J12="과세",M12="VAT포함"),ROUND(N12/(1+설정!$C$5),0),N12))</f>
        <v>35100000</v>
      </c>
      <c r="P12" s="8" t="n">
        <f aca="false">IF(N12="","",IF(J12="과세",IF(M12="VAT포함",N12-O12,ROUND(O12*설정!$C$5,0)),0))</f>
        <v>0</v>
      </c>
      <c r="Q12" s="8" t="n">
        <f aca="false">IF(N12="","",O12+P12)</f>
        <v>35100000</v>
      </c>
      <c r="R12" s="26"/>
      <c r="S12" s="8" t="str">
        <f aca="false">IF(OR(N12="",R12&lt;&gt;"Y"),"",ROUND(O12*설정!$C$5,0))</f>
        <v/>
      </c>
      <c r="T12" s="25" t="s">
        <v>71</v>
      </c>
    </row>
    <row r="13" customFormat="false" ht="15" hidden="false" customHeight="false" outlineLevel="0" collapsed="false">
      <c r="A13" s="21" t="n">
        <f aca="false">IF(C13="","",COUNTA($C$5:C13))</f>
        <v>9</v>
      </c>
      <c r="B13" s="22"/>
      <c r="C13" s="23" t="s">
        <v>18</v>
      </c>
      <c r="D13" s="26" t="s">
        <v>6</v>
      </c>
      <c r="E13" s="25"/>
      <c r="F13" s="7" t="str">
        <f aca="false">IF(E13="","",IFERROR(INDEX(코드관리!$C$7:$C$66,MATCH(E13,코드관리!$B$7:$B$66,0)),"미등록 코드"))</f>
        <v/>
      </c>
      <c r="G13" s="25"/>
      <c r="H13" s="25"/>
      <c r="I13" s="25" t="s">
        <v>66</v>
      </c>
      <c r="J13" s="24" t="s">
        <v>65</v>
      </c>
      <c r="K13" s="26" t="s">
        <v>67</v>
      </c>
      <c r="L13" s="27" t="n">
        <v>2800</v>
      </c>
      <c r="M13" s="26"/>
      <c r="N13" s="8" t="n">
        <f aca="false">IF(L13="","",IF(K13="USD",ROUND(L13*설정!$C$4,0),L13))</f>
        <v>3780000</v>
      </c>
      <c r="O13" s="8" t="n">
        <f aca="false">IF(N13="","",IF(AND(J13="과세",M13="VAT포함"),ROUND(N13/(1+설정!$C$5),0),N13))</f>
        <v>3780000</v>
      </c>
      <c r="P13" s="8" t="n">
        <f aca="false">IF(N13="","",IF(J13="과세",IF(M13="VAT포함",N13-O13,ROUND(O13*설정!$C$5,0)),0))</f>
        <v>0</v>
      </c>
      <c r="Q13" s="8" t="n">
        <f aca="false">IF(N13="","",O13+P13)</f>
        <v>3780000</v>
      </c>
      <c r="R13" s="26"/>
      <c r="S13" s="8" t="str">
        <f aca="false">IF(OR(N13="",R13&lt;&gt;"Y"),"",ROUND(O13*설정!$C$5,0))</f>
        <v/>
      </c>
      <c r="T13" s="25" t="s">
        <v>68</v>
      </c>
    </row>
    <row r="14" customFormat="false" ht="15" hidden="false" customHeight="false" outlineLevel="0" collapsed="false">
      <c r="A14" s="21" t="n">
        <f aca="false">IF(C14="","",COUNTA($C$5:C14))</f>
        <v>10</v>
      </c>
      <c r="B14" s="22"/>
      <c r="C14" s="23" t="s">
        <v>18</v>
      </c>
      <c r="D14" s="26" t="s">
        <v>7</v>
      </c>
      <c r="E14" s="25"/>
      <c r="F14" s="7" t="str">
        <f aca="false">IF(E14="","",IFERROR(INDEX(코드관리!$C$7:$C$66,MATCH(E14,코드관리!$B$7:$B$66,0)),"미등록 코드"))</f>
        <v/>
      </c>
      <c r="G14" s="25"/>
      <c r="H14" s="25"/>
      <c r="I14" s="25" t="s">
        <v>70</v>
      </c>
      <c r="J14" s="24" t="s">
        <v>65</v>
      </c>
      <c r="K14" s="26" t="s">
        <v>67</v>
      </c>
      <c r="L14" s="27" t="n">
        <v>26000</v>
      </c>
      <c r="M14" s="26"/>
      <c r="N14" s="8" t="n">
        <f aca="false">IF(L14="","",IF(K14="USD",ROUND(L14*설정!$C$4,0),L14))</f>
        <v>35100000</v>
      </c>
      <c r="O14" s="8" t="n">
        <f aca="false">IF(N14="","",IF(AND(J14="과세",M14="VAT포함"),ROUND(N14/(1+설정!$C$5),0),N14))</f>
        <v>35100000</v>
      </c>
      <c r="P14" s="8" t="n">
        <f aca="false">IF(N14="","",IF(J14="과세",IF(M14="VAT포함",N14-O14,ROUND(O14*설정!$C$5,0)),0))</f>
        <v>0</v>
      </c>
      <c r="Q14" s="8" t="n">
        <f aca="false">IF(N14="","",O14+P14)</f>
        <v>35100000</v>
      </c>
      <c r="R14" s="26"/>
      <c r="S14" s="8" t="str">
        <f aca="false">IF(OR(N14="",R14&lt;&gt;"Y"),"",ROUND(O14*설정!$C$5,0))</f>
        <v/>
      </c>
      <c r="T14" s="25" t="s">
        <v>71</v>
      </c>
    </row>
    <row r="15" customFormat="false" ht="15" hidden="false" customHeight="false" outlineLevel="0" collapsed="false">
      <c r="A15" s="21" t="n">
        <f aca="false">IF(C15="","",COUNTA($C$5:C15))</f>
        <v>11</v>
      </c>
      <c r="B15" s="22"/>
      <c r="C15" s="23" t="s">
        <v>18</v>
      </c>
      <c r="D15" s="26" t="s">
        <v>7</v>
      </c>
      <c r="E15" s="25"/>
      <c r="F15" s="7" t="str">
        <f aca="false">IF(E15="","",IFERROR(INDEX(코드관리!$C$7:$C$66,MATCH(E15,코드관리!$B$7:$B$66,0)),"미등록 코드"))</f>
        <v/>
      </c>
      <c r="G15" s="25"/>
      <c r="H15" s="25"/>
      <c r="I15" s="25" t="s">
        <v>66</v>
      </c>
      <c r="J15" s="24" t="s">
        <v>65</v>
      </c>
      <c r="K15" s="26" t="s">
        <v>67</v>
      </c>
      <c r="L15" s="27" t="n">
        <v>2800</v>
      </c>
      <c r="M15" s="26"/>
      <c r="N15" s="8" t="n">
        <f aca="false">IF(L15="","",IF(K15="USD",ROUND(L15*설정!$C$4,0),L15))</f>
        <v>3780000</v>
      </c>
      <c r="O15" s="8" t="n">
        <f aca="false">IF(N15="","",IF(AND(J15="과세",M15="VAT포함"),ROUND(N15/(1+설정!$C$5),0),N15))</f>
        <v>3780000</v>
      </c>
      <c r="P15" s="8" t="n">
        <f aca="false">IF(N15="","",IF(J15="과세",IF(M15="VAT포함",N15-O15,ROUND(O15*설정!$C$5,0)),0))</f>
        <v>0</v>
      </c>
      <c r="Q15" s="8" t="n">
        <f aca="false">IF(N15="","",O15+P15)</f>
        <v>3780000</v>
      </c>
      <c r="R15" s="26"/>
      <c r="S15" s="8" t="str">
        <f aca="false">IF(OR(N15="",R15&lt;&gt;"Y"),"",ROUND(O15*설정!$C$5,0))</f>
        <v/>
      </c>
      <c r="T15" s="25" t="s">
        <v>68</v>
      </c>
    </row>
    <row r="16" customFormat="false" ht="15" hidden="false" customHeight="false" outlineLevel="0" collapsed="false">
      <c r="A16" s="21" t="n">
        <f aca="false">IF(C16="","",COUNTA($C$5:C16))</f>
        <v>12</v>
      </c>
      <c r="B16" s="22"/>
      <c r="C16" s="23" t="s">
        <v>19</v>
      </c>
      <c r="D16" s="26" t="s">
        <v>4</v>
      </c>
      <c r="E16" s="25"/>
      <c r="F16" s="7" t="str">
        <f aca="false">IF(E16="","",IFERROR(INDEX(코드관리!$C$7:$C$66,MATCH(E16,코드관리!$B$7:$B$66,0)),"미등록 코드"))</f>
        <v/>
      </c>
      <c r="G16" s="25"/>
      <c r="H16" s="25"/>
      <c r="I16" s="25" t="s">
        <v>72</v>
      </c>
      <c r="J16" s="24" t="s">
        <v>65</v>
      </c>
      <c r="K16" s="26" t="s">
        <v>61</v>
      </c>
      <c r="L16" s="27" t="n">
        <v>33800000</v>
      </c>
      <c r="M16" s="26"/>
      <c r="N16" s="8" t="n">
        <f aca="false">IF(L16="","",IF(K16="USD",ROUND(L16*설정!$C$4,0),L16))</f>
        <v>33800000</v>
      </c>
      <c r="O16" s="8" t="n">
        <f aca="false">IF(N16="","",IF(AND(J16="과세",M16="VAT포함"),ROUND(N16/(1+설정!$C$5),0),N16))</f>
        <v>33800000</v>
      </c>
      <c r="P16" s="8" t="n">
        <f aca="false">IF(N16="","",IF(J16="과세",IF(M16="VAT포함",N16-O16,ROUND(O16*설정!$C$5,0)),0))</f>
        <v>0</v>
      </c>
      <c r="Q16" s="8" t="n">
        <f aca="false">IF(N16="","",O16+P16)</f>
        <v>33800000</v>
      </c>
      <c r="R16" s="26"/>
      <c r="S16" s="8" t="str">
        <f aca="false">IF(OR(N16="",R16&lt;&gt;"Y"),"",ROUND(O16*설정!$C$5,0))</f>
        <v/>
      </c>
      <c r="T16" s="23" t="s">
        <v>73</v>
      </c>
    </row>
    <row r="17" customFormat="false" ht="15" hidden="false" customHeight="false" outlineLevel="0" collapsed="false">
      <c r="A17" s="21" t="n">
        <f aca="false">IF(C17="","",COUNTA($C$5:C17))</f>
        <v>13</v>
      </c>
      <c r="B17" s="22"/>
      <c r="C17" s="23" t="s">
        <v>19</v>
      </c>
      <c r="D17" s="26" t="s">
        <v>4</v>
      </c>
      <c r="E17" s="25"/>
      <c r="F17" s="7" t="str">
        <f aca="false">IF(E17="","",IFERROR(INDEX(코드관리!$C$7:$C$66,MATCH(E17,코드관리!$B$7:$B$66,0)),"미등록 코드"))</f>
        <v/>
      </c>
      <c r="G17" s="25"/>
      <c r="H17" s="25"/>
      <c r="I17" s="23" t="s">
        <v>74</v>
      </c>
      <c r="J17" s="24" t="s">
        <v>65</v>
      </c>
      <c r="K17" s="26" t="s">
        <v>61</v>
      </c>
      <c r="L17" s="27" t="n">
        <v>7990000</v>
      </c>
      <c r="M17" s="26"/>
      <c r="N17" s="8" t="n">
        <f aca="false">IF(L17="","",IF(K17="USD",ROUND(L17*설정!$C$4,0),L17))</f>
        <v>7990000</v>
      </c>
      <c r="O17" s="8" t="n">
        <f aca="false">IF(N17="","",IF(AND(J17="과세",M17="VAT포함"),ROUND(N17/(1+설정!$C$5),0),N17))</f>
        <v>7990000</v>
      </c>
      <c r="P17" s="8" t="n">
        <f aca="false">IF(N17="","",IF(J17="과세",IF(M17="VAT포함",N17-O17,ROUND(O17*설정!$C$5,0)),0))</f>
        <v>0</v>
      </c>
      <c r="Q17" s="8" t="n">
        <f aca="false">IF(N17="","",O17+P17)</f>
        <v>7990000</v>
      </c>
      <c r="R17" s="26"/>
      <c r="S17" s="8" t="str">
        <f aca="false">IF(OR(N17="",R17&lt;&gt;"Y"),"",ROUND(O17*설정!$C$5,0))</f>
        <v/>
      </c>
      <c r="T17" s="25"/>
    </row>
    <row r="18" customFormat="false" ht="15" hidden="false" customHeight="false" outlineLevel="0" collapsed="false">
      <c r="A18" s="21" t="n">
        <f aca="false">IF(C18="","",COUNTA($C$5:C18))</f>
        <v>14</v>
      </c>
      <c r="B18" s="22"/>
      <c r="C18" s="23" t="s">
        <v>19</v>
      </c>
      <c r="D18" s="26" t="s">
        <v>5</v>
      </c>
      <c r="E18" s="25"/>
      <c r="F18" s="7" t="str">
        <f aca="false">IF(E18="","",IFERROR(INDEX(코드관리!$C$7:$C$66,MATCH(E18,코드관리!$B$7:$B$66,0)),"미등록 코드"))</f>
        <v/>
      </c>
      <c r="G18" s="25"/>
      <c r="H18" s="25"/>
      <c r="I18" s="25" t="s">
        <v>72</v>
      </c>
      <c r="J18" s="24" t="s">
        <v>65</v>
      </c>
      <c r="K18" s="26" t="s">
        <v>61</v>
      </c>
      <c r="L18" s="27" t="n">
        <v>33800000</v>
      </c>
      <c r="M18" s="26"/>
      <c r="N18" s="8" t="n">
        <f aca="false">IF(L18="","",IF(K18="USD",ROUND(L18*설정!$C$4,0),L18))</f>
        <v>33800000</v>
      </c>
      <c r="O18" s="8" t="n">
        <f aca="false">IF(N18="","",IF(AND(J18="과세",M18="VAT포함"),ROUND(N18/(1+설정!$C$5),0),N18))</f>
        <v>33800000</v>
      </c>
      <c r="P18" s="8" t="n">
        <f aca="false">IF(N18="","",IF(J18="과세",IF(M18="VAT포함",N18-O18,ROUND(O18*설정!$C$5,0)),0))</f>
        <v>0</v>
      </c>
      <c r="Q18" s="8" t="n">
        <f aca="false">IF(N18="","",O18+P18)</f>
        <v>33800000</v>
      </c>
      <c r="R18" s="26"/>
      <c r="S18" s="8" t="str">
        <f aca="false">IF(OR(N18="",R18&lt;&gt;"Y"),"",ROUND(O18*설정!$C$5,0))</f>
        <v/>
      </c>
      <c r="T18" s="23" t="s">
        <v>73</v>
      </c>
    </row>
    <row r="19" customFormat="false" ht="15" hidden="false" customHeight="false" outlineLevel="0" collapsed="false">
      <c r="A19" s="21" t="n">
        <f aca="false">IF(C19="","",COUNTA($C$5:C19))</f>
        <v>15</v>
      </c>
      <c r="B19" s="22"/>
      <c r="C19" s="23" t="s">
        <v>19</v>
      </c>
      <c r="D19" s="26" t="s">
        <v>5</v>
      </c>
      <c r="E19" s="25"/>
      <c r="F19" s="7" t="str">
        <f aca="false">IF(E19="","",IFERROR(INDEX(코드관리!$C$7:$C$66,MATCH(E19,코드관리!$B$7:$B$66,0)),"미등록 코드"))</f>
        <v/>
      </c>
      <c r="G19" s="25"/>
      <c r="H19" s="25"/>
      <c r="I19" s="23" t="s">
        <v>74</v>
      </c>
      <c r="J19" s="24" t="s">
        <v>65</v>
      </c>
      <c r="K19" s="26" t="s">
        <v>61</v>
      </c>
      <c r="L19" s="27" t="n">
        <v>7290000</v>
      </c>
      <c r="M19" s="26"/>
      <c r="N19" s="8" t="n">
        <f aca="false">IF(L19="","",IF(K19="USD",ROUND(L19*설정!$C$4,0),L19))</f>
        <v>7290000</v>
      </c>
      <c r="O19" s="8" t="n">
        <f aca="false">IF(N19="","",IF(AND(J19="과세",M19="VAT포함"),ROUND(N19/(1+설정!$C$5),0),N19))</f>
        <v>7290000</v>
      </c>
      <c r="P19" s="8" t="n">
        <f aca="false">IF(N19="","",IF(J19="과세",IF(M19="VAT포함",N19-O19,ROUND(O19*설정!$C$5,0)),0))</f>
        <v>0</v>
      </c>
      <c r="Q19" s="8" t="n">
        <f aca="false">IF(N19="","",O19+P19)</f>
        <v>7290000</v>
      </c>
      <c r="R19" s="26"/>
      <c r="S19" s="8" t="str">
        <f aca="false">IF(OR(N19="",R19&lt;&gt;"Y"),"",ROUND(O19*설정!$C$5,0))</f>
        <v/>
      </c>
      <c r="T19" s="25"/>
    </row>
    <row r="20" customFormat="false" ht="15" hidden="false" customHeight="false" outlineLevel="0" collapsed="false">
      <c r="A20" s="21" t="n">
        <f aca="false">IF(C20="","",COUNTA($C$5:C20))</f>
        <v>16</v>
      </c>
      <c r="B20" s="22"/>
      <c r="C20" s="23" t="s">
        <v>19</v>
      </c>
      <c r="D20" s="26" t="s">
        <v>6</v>
      </c>
      <c r="E20" s="25"/>
      <c r="F20" s="7" t="str">
        <f aca="false">IF(E20="","",IFERROR(INDEX(코드관리!$C$7:$C$66,MATCH(E20,코드관리!$B$7:$B$66,0)),"미등록 코드"))</f>
        <v/>
      </c>
      <c r="G20" s="25"/>
      <c r="H20" s="25"/>
      <c r="I20" s="25" t="s">
        <v>72</v>
      </c>
      <c r="J20" s="24" t="s">
        <v>65</v>
      </c>
      <c r="K20" s="26" t="s">
        <v>61</v>
      </c>
      <c r="L20" s="27" t="n">
        <v>33800000</v>
      </c>
      <c r="M20" s="26"/>
      <c r="N20" s="8" t="n">
        <f aca="false">IF(L20="","",IF(K20="USD",ROUND(L20*설정!$C$4,0),L20))</f>
        <v>33800000</v>
      </c>
      <c r="O20" s="8" t="n">
        <f aca="false">IF(N20="","",IF(AND(J20="과세",M20="VAT포함"),ROUND(N20/(1+설정!$C$5),0),N20))</f>
        <v>33800000</v>
      </c>
      <c r="P20" s="8" t="n">
        <f aca="false">IF(N20="","",IF(J20="과세",IF(M20="VAT포함",N20-O20,ROUND(O20*설정!$C$5,0)),0))</f>
        <v>0</v>
      </c>
      <c r="Q20" s="8" t="n">
        <f aca="false">IF(N20="","",O20+P20)</f>
        <v>33800000</v>
      </c>
      <c r="R20" s="26"/>
      <c r="S20" s="8" t="str">
        <f aca="false">IF(OR(N20="",R20&lt;&gt;"Y"),"",ROUND(O20*설정!$C$5,0))</f>
        <v/>
      </c>
      <c r="T20" s="23" t="s">
        <v>73</v>
      </c>
    </row>
    <row r="21" customFormat="false" ht="15" hidden="false" customHeight="false" outlineLevel="0" collapsed="false">
      <c r="A21" s="21" t="n">
        <f aca="false">IF(C21="","",COUNTA($C$5:C21))</f>
        <v>17</v>
      </c>
      <c r="B21" s="22"/>
      <c r="C21" s="23" t="s">
        <v>19</v>
      </c>
      <c r="D21" s="26" t="s">
        <v>6</v>
      </c>
      <c r="E21" s="25"/>
      <c r="F21" s="7" t="str">
        <f aca="false">IF(E21="","",IFERROR(INDEX(코드관리!$C$7:$C$66,MATCH(E21,코드관리!$B$7:$B$66,0)),"미등록 코드"))</f>
        <v/>
      </c>
      <c r="G21" s="25"/>
      <c r="H21" s="25"/>
      <c r="I21" s="23" t="s">
        <v>74</v>
      </c>
      <c r="J21" s="24" t="s">
        <v>65</v>
      </c>
      <c r="K21" s="26" t="s">
        <v>61</v>
      </c>
      <c r="L21" s="27" t="n">
        <v>7040000</v>
      </c>
      <c r="M21" s="26"/>
      <c r="N21" s="8" t="n">
        <f aca="false">IF(L21="","",IF(K21="USD",ROUND(L21*설정!$C$4,0),L21))</f>
        <v>7040000</v>
      </c>
      <c r="O21" s="8" t="n">
        <f aca="false">IF(N21="","",IF(AND(J21="과세",M21="VAT포함"),ROUND(N21/(1+설정!$C$5),0),N21))</f>
        <v>7040000</v>
      </c>
      <c r="P21" s="8" t="n">
        <f aca="false">IF(N21="","",IF(J21="과세",IF(M21="VAT포함",N21-O21,ROUND(O21*설정!$C$5,0)),0))</f>
        <v>0</v>
      </c>
      <c r="Q21" s="8" t="n">
        <f aca="false">IF(N21="","",O21+P21)</f>
        <v>7040000</v>
      </c>
      <c r="R21" s="26"/>
      <c r="S21" s="8" t="str">
        <f aca="false">IF(OR(N21="",R21&lt;&gt;"Y"),"",ROUND(O21*설정!$C$5,0))</f>
        <v/>
      </c>
      <c r="T21" s="25"/>
    </row>
    <row r="22" customFormat="false" ht="15" hidden="false" customHeight="false" outlineLevel="0" collapsed="false">
      <c r="A22" s="21" t="n">
        <f aca="false">IF(C22="","",COUNTA($C$5:C22))</f>
        <v>18</v>
      </c>
      <c r="B22" s="22"/>
      <c r="C22" s="23" t="s">
        <v>19</v>
      </c>
      <c r="D22" s="26" t="s">
        <v>7</v>
      </c>
      <c r="E22" s="25"/>
      <c r="F22" s="7" t="str">
        <f aca="false">IF(E22="","",IFERROR(INDEX(코드관리!$C$7:$C$66,MATCH(E22,코드관리!$B$7:$B$66,0)),"미등록 코드"))</f>
        <v/>
      </c>
      <c r="G22" s="25"/>
      <c r="H22" s="25"/>
      <c r="I22" s="25" t="s">
        <v>72</v>
      </c>
      <c r="J22" s="24" t="s">
        <v>65</v>
      </c>
      <c r="K22" s="26" t="s">
        <v>61</v>
      </c>
      <c r="L22" s="27" t="n">
        <v>33800000</v>
      </c>
      <c r="M22" s="26"/>
      <c r="N22" s="8" t="n">
        <f aca="false">IF(L22="","",IF(K22="USD",ROUND(L22*설정!$C$4,0),L22))</f>
        <v>33800000</v>
      </c>
      <c r="O22" s="8" t="n">
        <f aca="false">IF(N22="","",IF(AND(J22="과세",M22="VAT포함"),ROUND(N22/(1+설정!$C$5),0),N22))</f>
        <v>33800000</v>
      </c>
      <c r="P22" s="8" t="n">
        <f aca="false">IF(N22="","",IF(J22="과세",IF(M22="VAT포함",N22-O22,ROUND(O22*설정!$C$5,0)),0))</f>
        <v>0</v>
      </c>
      <c r="Q22" s="8" t="n">
        <f aca="false">IF(N22="","",O22+P22)</f>
        <v>33800000</v>
      </c>
      <c r="R22" s="26"/>
      <c r="S22" s="8" t="str">
        <f aca="false">IF(OR(N22="",R22&lt;&gt;"Y"),"",ROUND(O22*설정!$C$5,0))</f>
        <v/>
      </c>
      <c r="T22" s="23" t="s">
        <v>73</v>
      </c>
    </row>
    <row r="23" customFormat="false" ht="15" hidden="false" customHeight="false" outlineLevel="0" collapsed="false">
      <c r="A23" s="21" t="n">
        <f aca="false">IF(C23="","",COUNTA($C$5:C23))</f>
        <v>19</v>
      </c>
      <c r="B23" s="22"/>
      <c r="C23" s="23" t="s">
        <v>19</v>
      </c>
      <c r="D23" s="26" t="s">
        <v>7</v>
      </c>
      <c r="E23" s="25"/>
      <c r="F23" s="7" t="str">
        <f aca="false">IF(E23="","",IFERROR(INDEX(코드관리!$C$7:$C$66,MATCH(E23,코드관리!$B$7:$B$66,0)),"미등록 코드"))</f>
        <v/>
      </c>
      <c r="G23" s="25"/>
      <c r="H23" s="25"/>
      <c r="I23" s="23" t="s">
        <v>74</v>
      </c>
      <c r="J23" s="24" t="s">
        <v>65</v>
      </c>
      <c r="K23" s="26" t="s">
        <v>61</v>
      </c>
      <c r="L23" s="27" t="n">
        <v>8700000</v>
      </c>
      <c r="M23" s="26"/>
      <c r="N23" s="8" t="n">
        <f aca="false">IF(L23="","",IF(K23="USD",ROUND(L23*설정!$C$4,0),L23))</f>
        <v>8700000</v>
      </c>
      <c r="O23" s="8" t="n">
        <f aca="false">IF(N23="","",IF(AND(J23="과세",M23="VAT포함"),ROUND(N23/(1+설정!$C$5),0),N23))</f>
        <v>8700000</v>
      </c>
      <c r="P23" s="8" t="n">
        <f aca="false">IF(N23="","",IF(J23="과세",IF(M23="VAT포함",N23-O23,ROUND(O23*설정!$C$5,0)),0))</f>
        <v>0</v>
      </c>
      <c r="Q23" s="8" t="n">
        <f aca="false">IF(N23="","",O23+P23)</f>
        <v>8700000</v>
      </c>
      <c r="R23" s="26"/>
      <c r="S23" s="8" t="str">
        <f aca="false">IF(OR(N23="",R23&lt;&gt;"Y"),"",ROUND(O23*설정!$C$5,0))</f>
        <v/>
      </c>
      <c r="T23" s="25"/>
    </row>
    <row r="24" customFormat="false" ht="15" hidden="false" customHeight="false" outlineLevel="0" collapsed="false">
      <c r="A24" s="21" t="n">
        <f aca="false">IF(C24="","",COUNTA($C$5:C24))</f>
        <v>20</v>
      </c>
      <c r="B24" s="22"/>
      <c r="C24" s="23" t="s">
        <v>20</v>
      </c>
      <c r="D24" s="24" t="s">
        <v>58</v>
      </c>
      <c r="E24" s="25"/>
      <c r="F24" s="7" t="str">
        <f aca="false">IF(E24="","",IFERROR(INDEX(코드관리!$C$7:$C$66,MATCH(E24,코드관리!$B$7:$B$66,0)),"미등록 코드"))</f>
        <v/>
      </c>
      <c r="G24" s="25"/>
      <c r="H24" s="25"/>
      <c r="I24" s="25" t="s">
        <v>75</v>
      </c>
      <c r="J24" s="24" t="s">
        <v>65</v>
      </c>
      <c r="K24" s="26" t="s">
        <v>61</v>
      </c>
      <c r="L24" s="27" t="n">
        <v>27300000</v>
      </c>
      <c r="M24" s="26"/>
      <c r="N24" s="8" t="n">
        <f aca="false">IF(L24="","",IF(K24="USD",ROUND(L24*설정!$C$4,0),L24))</f>
        <v>27300000</v>
      </c>
      <c r="O24" s="8" t="n">
        <f aca="false">IF(N24="","",IF(AND(J24="과세",M24="VAT포함"),ROUND(N24/(1+설정!$C$5),0),N24))</f>
        <v>27300000</v>
      </c>
      <c r="P24" s="8" t="n">
        <f aca="false">IF(N24="","",IF(J24="과세",IF(M24="VAT포함",N24-O24,ROUND(O24*설정!$C$5,0)),0))</f>
        <v>0</v>
      </c>
      <c r="Q24" s="8" t="n">
        <f aca="false">IF(N24="","",O24+P24)</f>
        <v>27300000</v>
      </c>
      <c r="R24" s="26" t="s">
        <v>76</v>
      </c>
      <c r="S24" s="8" t="n">
        <f aca="false">IF(OR(N24="",R24&lt;&gt;"Y"),"",ROUND(O24*설정!$C$5,0))</f>
        <v>2730000</v>
      </c>
      <c r="T24" s="23" t="s">
        <v>77</v>
      </c>
    </row>
    <row r="25" customFormat="false" ht="15" hidden="false" customHeight="false" outlineLevel="0" collapsed="false">
      <c r="A25" s="21" t="n">
        <f aca="false">IF(C25="","",COUNTA($C$5:C25))</f>
        <v>21</v>
      </c>
      <c r="B25" s="22" t="n">
        <v>46289</v>
      </c>
      <c r="C25" s="23" t="s">
        <v>21</v>
      </c>
      <c r="D25" s="26" t="s">
        <v>4</v>
      </c>
      <c r="E25" s="25"/>
      <c r="F25" s="7" t="str">
        <f aca="false">IF(E25="","",IFERROR(INDEX(코드관리!$C$7:$C$66,MATCH(E25,코드관리!$B$7:$B$66,0)),"미등록 코드"))</f>
        <v/>
      </c>
      <c r="G25" s="25"/>
      <c r="H25" s="25" t="s">
        <v>78</v>
      </c>
      <c r="I25" s="25" t="s">
        <v>79</v>
      </c>
      <c r="J25" s="24" t="s">
        <v>65</v>
      </c>
      <c r="K25" s="26" t="s">
        <v>61</v>
      </c>
      <c r="L25" s="27" t="n">
        <v>981600</v>
      </c>
      <c r="M25" s="26"/>
      <c r="N25" s="8" t="n">
        <f aca="false">IF(L25="","",IF(K25="USD",ROUND(L25*설정!$C$4,0),L25))</f>
        <v>981600</v>
      </c>
      <c r="O25" s="8" t="n">
        <f aca="false">IF(N25="","",IF(AND(J25="과세",M25="VAT포함"),ROUND(N25/(1+설정!$C$5),0),N25))</f>
        <v>981600</v>
      </c>
      <c r="P25" s="8" t="n">
        <f aca="false">IF(N25="","",IF(J25="과세",IF(M25="VAT포함",N25-O25,ROUND(O25*설정!$C$5,0)),0))</f>
        <v>0</v>
      </c>
      <c r="Q25" s="8" t="n">
        <f aca="false">IF(N25="","",O25+P25)</f>
        <v>981600</v>
      </c>
      <c r="R25" s="26"/>
      <c r="S25" s="8" t="str">
        <f aca="false">IF(OR(N25="",R25&lt;&gt;"Y"),"",ROUND(O25*설정!$C$5,0))</f>
        <v/>
      </c>
      <c r="T25" s="23" t="s">
        <v>80</v>
      </c>
    </row>
    <row r="26" customFormat="false" ht="15" hidden="false" customHeight="false" outlineLevel="0" collapsed="false">
      <c r="A26" s="21" t="n">
        <f aca="false">IF(C26="","",COUNTA($C$5:C26))</f>
        <v>22</v>
      </c>
      <c r="B26" s="22" t="n">
        <v>46289</v>
      </c>
      <c r="C26" s="23" t="s">
        <v>21</v>
      </c>
      <c r="D26" s="26" t="s">
        <v>4</v>
      </c>
      <c r="E26" s="25"/>
      <c r="F26" s="7" t="str">
        <f aca="false">IF(E26="","",IFERROR(INDEX(코드관리!$C$7:$C$66,MATCH(E26,코드관리!$B$7:$B$66,0)),"미등록 코드"))</f>
        <v/>
      </c>
      <c r="G26" s="25"/>
      <c r="H26" s="25" t="s">
        <v>81</v>
      </c>
      <c r="I26" s="25" t="s">
        <v>82</v>
      </c>
      <c r="J26" s="24" t="s">
        <v>65</v>
      </c>
      <c r="K26" s="26" t="s">
        <v>61</v>
      </c>
      <c r="L26" s="27" t="n">
        <v>2256796</v>
      </c>
      <c r="M26" s="26"/>
      <c r="N26" s="8" t="n">
        <f aca="false">IF(L26="","",IF(K26="USD",ROUND(L26*설정!$C$4,0),L26))</f>
        <v>2256796</v>
      </c>
      <c r="O26" s="8" t="n">
        <f aca="false">IF(N26="","",IF(AND(J26="과세",M26="VAT포함"),ROUND(N26/(1+설정!$C$5),0),N26))</f>
        <v>2256796</v>
      </c>
      <c r="P26" s="8" t="n">
        <f aca="false">IF(N26="","",IF(J26="과세",IF(M26="VAT포함",N26-O26,ROUND(O26*설정!$C$5,0)),0))</f>
        <v>0</v>
      </c>
      <c r="Q26" s="8" t="n">
        <f aca="false">IF(N26="","",O26+P26)</f>
        <v>2256796</v>
      </c>
      <c r="R26" s="26"/>
      <c r="S26" s="8" t="str">
        <f aca="false">IF(OR(N26="",R26&lt;&gt;"Y"),"",ROUND(O26*설정!$C$5,0))</f>
        <v/>
      </c>
      <c r="T26" s="23" t="s">
        <v>83</v>
      </c>
    </row>
    <row r="27" customFormat="false" ht="15" hidden="false" customHeight="false" outlineLevel="0" collapsed="false">
      <c r="A27" s="21" t="n">
        <f aca="false">IF(C27="","",COUNTA($C$5:C27))</f>
        <v>23</v>
      </c>
      <c r="B27" s="22" t="n">
        <v>46296</v>
      </c>
      <c r="C27" s="23" t="s">
        <v>21</v>
      </c>
      <c r="D27" s="26" t="s">
        <v>4</v>
      </c>
      <c r="E27" s="25"/>
      <c r="F27" s="7" t="str">
        <f aca="false">IF(E27="","",IFERROR(INDEX(코드관리!$C$7:$C$66,MATCH(E27,코드관리!$B$7:$B$66,0)),"미등록 코드"))</f>
        <v/>
      </c>
      <c r="G27" s="25"/>
      <c r="H27" s="25" t="s">
        <v>84</v>
      </c>
      <c r="I27" s="23" t="s">
        <v>85</v>
      </c>
      <c r="J27" s="24" t="s">
        <v>65</v>
      </c>
      <c r="K27" s="26" t="s">
        <v>61</v>
      </c>
      <c r="L27" s="27" t="n">
        <v>1342000</v>
      </c>
      <c r="M27" s="26"/>
      <c r="N27" s="8" t="n">
        <f aca="false">IF(L27="","",IF(K27="USD",ROUND(L27*설정!$C$4,0),L27))</f>
        <v>1342000</v>
      </c>
      <c r="O27" s="8" t="n">
        <f aca="false">IF(N27="","",IF(AND(J27="과세",M27="VAT포함"),ROUND(N27/(1+설정!$C$5),0),N27))</f>
        <v>1342000</v>
      </c>
      <c r="P27" s="8" t="n">
        <f aca="false">IF(N27="","",IF(J27="과세",IF(M27="VAT포함",N27-O27,ROUND(O27*설정!$C$5,0)),0))</f>
        <v>0</v>
      </c>
      <c r="Q27" s="8" t="n">
        <f aca="false">IF(N27="","",O27+P27)</f>
        <v>1342000</v>
      </c>
      <c r="R27" s="26"/>
      <c r="S27" s="8" t="str">
        <f aca="false">IF(OR(N27="",R27&lt;&gt;"Y"),"",ROUND(O27*설정!$C$5,0))</f>
        <v/>
      </c>
      <c r="T27" s="23" t="s">
        <v>86</v>
      </c>
    </row>
    <row r="28" customFormat="false" ht="15" hidden="false" customHeight="false" outlineLevel="0" collapsed="false">
      <c r="A28" s="21" t="n">
        <f aca="false">IF(C28="","",COUNTA($C$5:C28))</f>
        <v>24</v>
      </c>
      <c r="B28" s="22" t="n">
        <v>46296</v>
      </c>
      <c r="C28" s="23" t="s">
        <v>21</v>
      </c>
      <c r="D28" s="26" t="s">
        <v>4</v>
      </c>
      <c r="E28" s="25"/>
      <c r="F28" s="7" t="str">
        <f aca="false">IF(E28="","",IFERROR(INDEX(코드관리!$C$7:$C$66,MATCH(E28,코드관리!$B$7:$B$66,0)),"미등록 코드"))</f>
        <v/>
      </c>
      <c r="G28" s="25"/>
      <c r="H28" s="25" t="s">
        <v>87</v>
      </c>
      <c r="I28" s="23" t="s">
        <v>88</v>
      </c>
      <c r="J28" s="24" t="s">
        <v>65</v>
      </c>
      <c r="K28" s="26" t="s">
        <v>61</v>
      </c>
      <c r="L28" s="27" t="n">
        <v>3689825</v>
      </c>
      <c r="M28" s="26"/>
      <c r="N28" s="8" t="n">
        <f aca="false">IF(L28="","",IF(K28="USD",ROUND(L28*설정!$C$4,0),L28))</f>
        <v>3689825</v>
      </c>
      <c r="O28" s="8" t="n">
        <f aca="false">IF(N28="","",IF(AND(J28="과세",M28="VAT포함"),ROUND(N28/(1+설정!$C$5),0),N28))</f>
        <v>3689825</v>
      </c>
      <c r="P28" s="8" t="n">
        <f aca="false">IF(N28="","",IF(J28="과세",IF(M28="VAT포함",N28-O28,ROUND(O28*설정!$C$5,0)),0))</f>
        <v>0</v>
      </c>
      <c r="Q28" s="8" t="n">
        <f aca="false">IF(N28="","",O28+P28)</f>
        <v>3689825</v>
      </c>
      <c r="R28" s="26"/>
      <c r="S28" s="8" t="str">
        <f aca="false">IF(OR(N28="",R28&lt;&gt;"Y"),"",ROUND(O28*설정!$C$5,0))</f>
        <v/>
      </c>
      <c r="T28" s="23" t="s">
        <v>86</v>
      </c>
    </row>
    <row r="29" customFormat="false" ht="15" hidden="false" customHeight="false" outlineLevel="0" collapsed="false">
      <c r="A29" s="21" t="n">
        <f aca="false">IF(C29="","",COUNTA($C$5:C29))</f>
        <v>25</v>
      </c>
      <c r="B29" s="22" t="n">
        <v>46296</v>
      </c>
      <c r="C29" s="23" t="s">
        <v>21</v>
      </c>
      <c r="D29" s="26" t="s">
        <v>4</v>
      </c>
      <c r="E29" s="25"/>
      <c r="F29" s="7" t="str">
        <f aca="false">IF(E29="","",IFERROR(INDEX(코드관리!$C$7:$C$66,MATCH(E29,코드관리!$B$7:$B$66,0)),"미등록 코드"))</f>
        <v/>
      </c>
      <c r="G29" s="25"/>
      <c r="H29" s="25" t="s">
        <v>89</v>
      </c>
      <c r="I29" s="23" t="s">
        <v>90</v>
      </c>
      <c r="J29" s="24" t="s">
        <v>65</v>
      </c>
      <c r="K29" s="26" t="s">
        <v>61</v>
      </c>
      <c r="L29" s="27" t="n">
        <v>380800</v>
      </c>
      <c r="M29" s="26"/>
      <c r="N29" s="8" t="n">
        <f aca="false">IF(L29="","",IF(K29="USD",ROUND(L29*설정!$C$4,0),L29))</f>
        <v>380800</v>
      </c>
      <c r="O29" s="8" t="n">
        <f aca="false">IF(N29="","",IF(AND(J29="과세",M29="VAT포함"),ROUND(N29/(1+설정!$C$5),0),N29))</f>
        <v>380800</v>
      </c>
      <c r="P29" s="8" t="n">
        <f aca="false">IF(N29="","",IF(J29="과세",IF(M29="VAT포함",N29-O29,ROUND(O29*설정!$C$5,0)),0))</f>
        <v>0</v>
      </c>
      <c r="Q29" s="8" t="n">
        <f aca="false">IF(N29="","",O29+P29)</f>
        <v>380800</v>
      </c>
      <c r="R29" s="26"/>
      <c r="S29" s="8" t="str">
        <f aca="false">IF(OR(N29="",R29&lt;&gt;"Y"),"",ROUND(O29*설정!$C$5,0))</f>
        <v/>
      </c>
      <c r="T29" s="23" t="s">
        <v>86</v>
      </c>
    </row>
    <row r="30" customFormat="false" ht="15" hidden="false" customHeight="false" outlineLevel="0" collapsed="false">
      <c r="A30" s="21" t="n">
        <f aca="false">IF(C30="","",COUNTA($C$5:C30))</f>
        <v>26</v>
      </c>
      <c r="B30" s="22" t="n">
        <v>46296</v>
      </c>
      <c r="C30" s="23" t="s">
        <v>21</v>
      </c>
      <c r="D30" s="26" t="s">
        <v>4</v>
      </c>
      <c r="E30" s="25"/>
      <c r="F30" s="7" t="str">
        <f aca="false">IF(E30="","",IFERROR(INDEX(코드관리!$C$7:$C$66,MATCH(E30,코드관리!$B$7:$B$66,0)),"미등록 코드"))</f>
        <v/>
      </c>
      <c r="G30" s="25"/>
      <c r="H30" s="25" t="s">
        <v>91</v>
      </c>
      <c r="I30" s="23" t="s">
        <v>92</v>
      </c>
      <c r="J30" s="24" t="s">
        <v>65</v>
      </c>
      <c r="K30" s="26" t="s">
        <v>61</v>
      </c>
      <c r="L30" s="27" t="n">
        <v>151800</v>
      </c>
      <c r="M30" s="26"/>
      <c r="N30" s="8" t="n">
        <f aca="false">IF(L30="","",IF(K30="USD",ROUND(L30*설정!$C$4,0),L30))</f>
        <v>151800</v>
      </c>
      <c r="O30" s="8" t="n">
        <f aca="false">IF(N30="","",IF(AND(J30="과세",M30="VAT포함"),ROUND(N30/(1+설정!$C$5),0),N30))</f>
        <v>151800</v>
      </c>
      <c r="P30" s="8" t="n">
        <f aca="false">IF(N30="","",IF(J30="과세",IF(M30="VAT포함",N30-O30,ROUND(O30*설정!$C$5,0)),0))</f>
        <v>0</v>
      </c>
      <c r="Q30" s="8" t="n">
        <f aca="false">IF(N30="","",O30+P30)</f>
        <v>151800</v>
      </c>
      <c r="R30" s="26"/>
      <c r="S30" s="8" t="str">
        <f aca="false">IF(OR(N30="",R30&lt;&gt;"Y"),"",ROUND(O30*설정!$C$5,0))</f>
        <v/>
      </c>
      <c r="T30" s="23" t="s">
        <v>93</v>
      </c>
    </row>
    <row r="31" customFormat="false" ht="15" hidden="false" customHeight="false" outlineLevel="0" collapsed="false">
      <c r="A31" s="21" t="n">
        <f aca="false">IF(C31="","",COUNTA($C$5:C31))</f>
        <v>27</v>
      </c>
      <c r="B31" s="22" t="n">
        <v>46296</v>
      </c>
      <c r="C31" s="23" t="s">
        <v>21</v>
      </c>
      <c r="D31" s="26" t="s">
        <v>4</v>
      </c>
      <c r="E31" s="25"/>
      <c r="F31" s="7" t="str">
        <f aca="false">IF(E31="","",IFERROR(INDEX(코드관리!$C$7:$C$66,MATCH(E31,코드관리!$B$7:$B$66,0)),"미등록 코드"))</f>
        <v/>
      </c>
      <c r="G31" s="25"/>
      <c r="H31" s="25" t="s">
        <v>94</v>
      </c>
      <c r="I31" s="25" t="s">
        <v>95</v>
      </c>
      <c r="J31" s="24" t="s">
        <v>65</v>
      </c>
      <c r="K31" s="26" t="s">
        <v>61</v>
      </c>
      <c r="L31" s="27" t="n">
        <v>5175000</v>
      </c>
      <c r="M31" s="26"/>
      <c r="N31" s="8" t="n">
        <f aca="false">IF(L31="","",IF(K31="USD",ROUND(L31*설정!$C$4,0),L31))</f>
        <v>5175000</v>
      </c>
      <c r="O31" s="8" t="n">
        <f aca="false">IF(N31="","",IF(AND(J31="과세",M31="VAT포함"),ROUND(N31/(1+설정!$C$5),0),N31))</f>
        <v>5175000</v>
      </c>
      <c r="P31" s="8" t="n">
        <f aca="false">IF(N31="","",IF(J31="과세",IF(M31="VAT포함",N31-O31,ROUND(O31*설정!$C$5,0)),0))</f>
        <v>0</v>
      </c>
      <c r="Q31" s="8" t="n">
        <f aca="false">IF(N31="","",O31+P31)</f>
        <v>5175000</v>
      </c>
      <c r="R31" s="26"/>
      <c r="S31" s="8" t="str">
        <f aca="false">IF(OR(N31="",R31&lt;&gt;"Y"),"",ROUND(O31*설정!$C$5,0))</f>
        <v/>
      </c>
      <c r="T31" s="23" t="s">
        <v>96</v>
      </c>
    </row>
    <row r="32" customFormat="false" ht="15" hidden="false" customHeight="false" outlineLevel="0" collapsed="false">
      <c r="A32" s="21" t="n">
        <f aca="false">IF(C32="","",COUNTA($C$5:C32))</f>
        <v>28</v>
      </c>
      <c r="B32" s="22" t="n">
        <v>46297</v>
      </c>
      <c r="C32" s="23" t="s">
        <v>21</v>
      </c>
      <c r="D32" s="26" t="s">
        <v>4</v>
      </c>
      <c r="E32" s="25"/>
      <c r="F32" s="7" t="str">
        <f aca="false">IF(E32="","",IFERROR(INDEX(코드관리!$C$7:$C$66,MATCH(E32,코드관리!$B$7:$B$66,0)),"미등록 코드"))</f>
        <v/>
      </c>
      <c r="G32" s="25"/>
      <c r="H32" s="25" t="s">
        <v>97</v>
      </c>
      <c r="I32" s="25" t="s">
        <v>98</v>
      </c>
      <c r="J32" s="24" t="s">
        <v>65</v>
      </c>
      <c r="K32" s="26" t="s">
        <v>61</v>
      </c>
      <c r="L32" s="27" t="n">
        <v>4400000</v>
      </c>
      <c r="M32" s="26"/>
      <c r="N32" s="8" t="n">
        <f aca="false">IF(L32="","",IF(K32="USD",ROUND(L32*설정!$C$4,0),L32))</f>
        <v>4400000</v>
      </c>
      <c r="O32" s="8" t="n">
        <f aca="false">IF(N32="","",IF(AND(J32="과세",M32="VAT포함"),ROUND(N32/(1+설정!$C$5),0),N32))</f>
        <v>4400000</v>
      </c>
      <c r="P32" s="8" t="n">
        <f aca="false">IF(N32="","",IF(J32="과세",IF(M32="VAT포함",N32-O32,ROUND(O32*설정!$C$5,0)),0))</f>
        <v>0</v>
      </c>
      <c r="Q32" s="8" t="n">
        <f aca="false">IF(N32="","",O32+P32)</f>
        <v>4400000</v>
      </c>
      <c r="R32" s="26"/>
      <c r="S32" s="8" t="str">
        <f aca="false">IF(OR(N32="",R32&lt;&gt;"Y"),"",ROUND(O32*설정!$C$5,0))</f>
        <v/>
      </c>
      <c r="T32" s="23" t="s">
        <v>99</v>
      </c>
    </row>
    <row r="33" customFormat="false" ht="15" hidden="false" customHeight="false" outlineLevel="0" collapsed="false">
      <c r="A33" s="21" t="n">
        <f aca="false">IF(C33="","",COUNTA($C$5:C33))</f>
        <v>29</v>
      </c>
      <c r="B33" s="22" t="n">
        <v>46289</v>
      </c>
      <c r="C33" s="23" t="s">
        <v>21</v>
      </c>
      <c r="D33" s="26" t="s">
        <v>5</v>
      </c>
      <c r="E33" s="25"/>
      <c r="F33" s="7" t="str">
        <f aca="false">IF(E33="","",IFERROR(INDEX(코드관리!$C$7:$C$66,MATCH(E33,코드관리!$B$7:$B$66,0)),"미등록 코드"))</f>
        <v/>
      </c>
      <c r="G33" s="25"/>
      <c r="H33" s="25" t="s">
        <v>78</v>
      </c>
      <c r="I33" s="25" t="s">
        <v>79</v>
      </c>
      <c r="J33" s="24" t="s">
        <v>65</v>
      </c>
      <c r="K33" s="26" t="s">
        <v>61</v>
      </c>
      <c r="L33" s="27" t="n">
        <v>981600</v>
      </c>
      <c r="M33" s="26"/>
      <c r="N33" s="8" t="n">
        <f aca="false">IF(L33="","",IF(K33="USD",ROUND(L33*설정!$C$4,0),L33))</f>
        <v>981600</v>
      </c>
      <c r="O33" s="8" t="n">
        <f aca="false">IF(N33="","",IF(AND(J33="과세",M33="VAT포함"),ROUND(N33/(1+설정!$C$5),0),N33))</f>
        <v>981600</v>
      </c>
      <c r="P33" s="8" t="n">
        <f aca="false">IF(N33="","",IF(J33="과세",IF(M33="VAT포함",N33-O33,ROUND(O33*설정!$C$5,0)),0))</f>
        <v>0</v>
      </c>
      <c r="Q33" s="8" t="n">
        <f aca="false">IF(N33="","",O33+P33)</f>
        <v>981600</v>
      </c>
      <c r="R33" s="26"/>
      <c r="S33" s="8" t="str">
        <f aca="false">IF(OR(N33="",R33&lt;&gt;"Y"),"",ROUND(O33*설정!$C$5,0))</f>
        <v/>
      </c>
      <c r="T33" s="23" t="s">
        <v>100</v>
      </c>
    </row>
    <row r="34" customFormat="false" ht="15" hidden="false" customHeight="false" outlineLevel="0" collapsed="false">
      <c r="A34" s="21" t="n">
        <f aca="false">IF(C34="","",COUNTA($C$5:C34))</f>
        <v>30</v>
      </c>
      <c r="B34" s="22" t="n">
        <v>46289</v>
      </c>
      <c r="C34" s="23" t="s">
        <v>21</v>
      </c>
      <c r="D34" s="26" t="s">
        <v>5</v>
      </c>
      <c r="E34" s="25"/>
      <c r="F34" s="7" t="str">
        <f aca="false">IF(E34="","",IFERROR(INDEX(코드관리!$C$7:$C$66,MATCH(E34,코드관리!$B$7:$B$66,0)),"미등록 코드"))</f>
        <v/>
      </c>
      <c r="G34" s="25"/>
      <c r="H34" s="25" t="s">
        <v>81</v>
      </c>
      <c r="I34" s="25" t="s">
        <v>82</v>
      </c>
      <c r="J34" s="24" t="s">
        <v>65</v>
      </c>
      <c r="K34" s="26" t="s">
        <v>61</v>
      </c>
      <c r="L34" s="27" t="n">
        <v>1258180</v>
      </c>
      <c r="M34" s="26"/>
      <c r="N34" s="8" t="n">
        <f aca="false">IF(L34="","",IF(K34="USD",ROUND(L34*설정!$C$4,0),L34))</f>
        <v>1258180</v>
      </c>
      <c r="O34" s="8" t="n">
        <f aca="false">IF(N34="","",IF(AND(J34="과세",M34="VAT포함"),ROUND(N34/(1+설정!$C$5),0),N34))</f>
        <v>1258180</v>
      </c>
      <c r="P34" s="8" t="n">
        <f aca="false">IF(N34="","",IF(J34="과세",IF(M34="VAT포함",N34-O34,ROUND(O34*설정!$C$5,0)),0))</f>
        <v>0</v>
      </c>
      <c r="Q34" s="8" t="n">
        <f aca="false">IF(N34="","",O34+P34)</f>
        <v>1258180</v>
      </c>
      <c r="R34" s="26"/>
      <c r="S34" s="8" t="str">
        <f aca="false">IF(OR(N34="",R34&lt;&gt;"Y"),"",ROUND(O34*설정!$C$5,0))</f>
        <v/>
      </c>
      <c r="T34" s="23" t="s">
        <v>83</v>
      </c>
    </row>
    <row r="35" customFormat="false" ht="15" hidden="false" customHeight="false" outlineLevel="0" collapsed="false">
      <c r="A35" s="21" t="n">
        <f aca="false">IF(C35="","",COUNTA($C$5:C35))</f>
        <v>31</v>
      </c>
      <c r="B35" s="22" t="n">
        <v>46296</v>
      </c>
      <c r="C35" s="23" t="s">
        <v>21</v>
      </c>
      <c r="D35" s="26" t="s">
        <v>5</v>
      </c>
      <c r="E35" s="25"/>
      <c r="F35" s="7" t="str">
        <f aca="false">IF(E35="","",IFERROR(INDEX(코드관리!$C$7:$C$66,MATCH(E35,코드관리!$B$7:$B$66,0)),"미등록 코드"))</f>
        <v/>
      </c>
      <c r="G35" s="25"/>
      <c r="H35" s="25" t="s">
        <v>101</v>
      </c>
      <c r="I35" s="25" t="s">
        <v>102</v>
      </c>
      <c r="J35" s="24" t="s">
        <v>65</v>
      </c>
      <c r="K35" s="26" t="s">
        <v>61</v>
      </c>
      <c r="L35" s="27" t="n">
        <v>16651957</v>
      </c>
      <c r="M35" s="26"/>
      <c r="N35" s="8" t="n">
        <f aca="false">IF(L35="","",IF(K35="USD",ROUND(L35*설정!$C$4,0),L35))</f>
        <v>16651957</v>
      </c>
      <c r="O35" s="8" t="n">
        <f aca="false">IF(N35="","",IF(AND(J35="과세",M35="VAT포함"),ROUND(N35/(1+설정!$C$5),0),N35))</f>
        <v>16651957</v>
      </c>
      <c r="P35" s="8" t="n">
        <f aca="false">IF(N35="","",IF(J35="과세",IF(M35="VAT포함",N35-O35,ROUND(O35*설정!$C$5,0)),0))</f>
        <v>0</v>
      </c>
      <c r="Q35" s="8" t="n">
        <f aca="false">IF(N35="","",O35+P35)</f>
        <v>16651957</v>
      </c>
      <c r="R35" s="26"/>
      <c r="S35" s="8" t="str">
        <f aca="false">IF(OR(N35="",R35&lt;&gt;"Y"),"",ROUND(O35*설정!$C$5,0))</f>
        <v/>
      </c>
      <c r="T35" s="23" t="s">
        <v>103</v>
      </c>
    </row>
    <row r="36" customFormat="false" ht="15" hidden="false" customHeight="false" outlineLevel="0" collapsed="false">
      <c r="A36" s="21" t="n">
        <f aca="false">IF(C36="","",COUNTA($C$5:C36))</f>
        <v>32</v>
      </c>
      <c r="B36" s="22" t="n">
        <v>46296</v>
      </c>
      <c r="C36" s="23" t="s">
        <v>21</v>
      </c>
      <c r="D36" s="26" t="s">
        <v>5</v>
      </c>
      <c r="E36" s="25"/>
      <c r="F36" s="7" t="str">
        <f aca="false">IF(E36="","",IFERROR(INDEX(코드관리!$C$7:$C$66,MATCH(E36,코드관리!$B$7:$B$66,0)),"미등록 코드"))</f>
        <v/>
      </c>
      <c r="G36" s="25"/>
      <c r="H36" s="25" t="s">
        <v>104</v>
      </c>
      <c r="I36" s="25" t="s">
        <v>105</v>
      </c>
      <c r="J36" s="24" t="s">
        <v>65</v>
      </c>
      <c r="K36" s="26" t="s">
        <v>61</v>
      </c>
      <c r="L36" s="27" t="n">
        <v>5290660</v>
      </c>
      <c r="M36" s="26"/>
      <c r="N36" s="8" t="n">
        <f aca="false">IF(L36="","",IF(K36="USD",ROUND(L36*설정!$C$4,0),L36))</f>
        <v>5290660</v>
      </c>
      <c r="O36" s="8" t="n">
        <f aca="false">IF(N36="","",IF(AND(J36="과세",M36="VAT포함"),ROUND(N36/(1+설정!$C$5),0),N36))</f>
        <v>5290660</v>
      </c>
      <c r="P36" s="8" t="n">
        <f aca="false">IF(N36="","",IF(J36="과세",IF(M36="VAT포함",N36-O36,ROUND(O36*설정!$C$5,0)),0))</f>
        <v>0</v>
      </c>
      <c r="Q36" s="8" t="n">
        <f aca="false">IF(N36="","",O36+P36)</f>
        <v>5290660</v>
      </c>
      <c r="R36" s="26"/>
      <c r="S36" s="8" t="str">
        <f aca="false">IF(OR(N36="",R36&lt;&gt;"Y"),"",ROUND(O36*설정!$C$5,0))</f>
        <v/>
      </c>
      <c r="T36" s="23" t="s">
        <v>103</v>
      </c>
    </row>
    <row r="37" customFormat="false" ht="15" hidden="false" customHeight="false" outlineLevel="0" collapsed="false">
      <c r="A37" s="21" t="n">
        <f aca="false">IF(C37="","",COUNTA($C$5:C37))</f>
        <v>33</v>
      </c>
      <c r="B37" s="22" t="n">
        <v>46296</v>
      </c>
      <c r="C37" s="23" t="s">
        <v>21</v>
      </c>
      <c r="D37" s="26" t="s">
        <v>5</v>
      </c>
      <c r="E37" s="25"/>
      <c r="F37" s="7" t="str">
        <f aca="false">IF(E37="","",IFERROR(INDEX(코드관리!$C$7:$C$66,MATCH(E37,코드관리!$B$7:$B$66,0)),"미등록 코드"))</f>
        <v/>
      </c>
      <c r="G37" s="25"/>
      <c r="H37" s="25" t="s">
        <v>106</v>
      </c>
      <c r="I37" s="25" t="s">
        <v>107</v>
      </c>
      <c r="J37" s="24" t="s">
        <v>65</v>
      </c>
      <c r="K37" s="26" t="s">
        <v>61</v>
      </c>
      <c r="L37" s="27" t="n">
        <v>4002720</v>
      </c>
      <c r="M37" s="26"/>
      <c r="N37" s="8" t="n">
        <f aca="false">IF(L37="","",IF(K37="USD",ROUND(L37*설정!$C$4,0),L37))</f>
        <v>4002720</v>
      </c>
      <c r="O37" s="8" t="n">
        <f aca="false">IF(N37="","",IF(AND(J37="과세",M37="VAT포함"),ROUND(N37/(1+설정!$C$5),0),N37))</f>
        <v>4002720</v>
      </c>
      <c r="P37" s="8" t="n">
        <f aca="false">IF(N37="","",IF(J37="과세",IF(M37="VAT포함",N37-O37,ROUND(O37*설정!$C$5,0)),0))</f>
        <v>0</v>
      </c>
      <c r="Q37" s="8" t="n">
        <f aca="false">IF(N37="","",O37+P37)</f>
        <v>4002720</v>
      </c>
      <c r="R37" s="26"/>
      <c r="S37" s="8" t="str">
        <f aca="false">IF(OR(N37="",R37&lt;&gt;"Y"),"",ROUND(O37*설정!$C$5,0))</f>
        <v/>
      </c>
      <c r="T37" s="23" t="s">
        <v>103</v>
      </c>
    </row>
    <row r="38" customFormat="false" ht="15" hidden="false" customHeight="false" outlineLevel="0" collapsed="false">
      <c r="A38" s="21" t="n">
        <f aca="false">IF(C38="","",COUNTA($C$5:C38))</f>
        <v>34</v>
      </c>
      <c r="B38" s="22" t="n">
        <v>46296</v>
      </c>
      <c r="C38" s="23" t="s">
        <v>21</v>
      </c>
      <c r="D38" s="26" t="s">
        <v>5</v>
      </c>
      <c r="E38" s="25"/>
      <c r="F38" s="7" t="str">
        <f aca="false">IF(E38="","",IFERROR(INDEX(코드관리!$C$7:$C$66,MATCH(E38,코드관리!$B$7:$B$66,0)),"미등록 코드"))</f>
        <v/>
      </c>
      <c r="G38" s="25"/>
      <c r="H38" s="25" t="s">
        <v>108</v>
      </c>
      <c r="I38" s="25" t="s">
        <v>109</v>
      </c>
      <c r="J38" s="24" t="s">
        <v>65</v>
      </c>
      <c r="K38" s="26" t="s">
        <v>61</v>
      </c>
      <c r="L38" s="27" t="n">
        <v>5168440</v>
      </c>
      <c r="M38" s="26"/>
      <c r="N38" s="8" t="n">
        <f aca="false">IF(L38="","",IF(K38="USD",ROUND(L38*설정!$C$4,0),L38))</f>
        <v>5168440</v>
      </c>
      <c r="O38" s="8" t="n">
        <f aca="false">IF(N38="","",IF(AND(J38="과세",M38="VAT포함"),ROUND(N38/(1+설정!$C$5),0),N38))</f>
        <v>5168440</v>
      </c>
      <c r="P38" s="8" t="n">
        <f aca="false">IF(N38="","",IF(J38="과세",IF(M38="VAT포함",N38-O38,ROUND(O38*설정!$C$5,0)),0))</f>
        <v>0</v>
      </c>
      <c r="Q38" s="8" t="n">
        <f aca="false">IF(N38="","",O38+P38)</f>
        <v>5168440</v>
      </c>
      <c r="R38" s="26"/>
      <c r="S38" s="8" t="str">
        <f aca="false">IF(OR(N38="",R38&lt;&gt;"Y"),"",ROUND(O38*설정!$C$5,0))</f>
        <v/>
      </c>
      <c r="T38" s="23" t="s">
        <v>103</v>
      </c>
    </row>
    <row r="39" customFormat="false" ht="15" hidden="false" customHeight="false" outlineLevel="0" collapsed="false">
      <c r="A39" s="21" t="n">
        <f aca="false">IF(C39="","",COUNTA($C$5:C39))</f>
        <v>35</v>
      </c>
      <c r="B39" s="22" t="n">
        <v>46296</v>
      </c>
      <c r="C39" s="23" t="s">
        <v>21</v>
      </c>
      <c r="D39" s="26" t="s">
        <v>5</v>
      </c>
      <c r="E39" s="25"/>
      <c r="F39" s="7" t="str">
        <f aca="false">IF(E39="","",IFERROR(INDEX(코드관리!$C$7:$C$66,MATCH(E39,코드관리!$B$7:$B$66,0)),"미등록 코드"))</f>
        <v/>
      </c>
      <c r="G39" s="25"/>
      <c r="H39" s="25" t="s">
        <v>110</v>
      </c>
      <c r="I39" s="25" t="s">
        <v>111</v>
      </c>
      <c r="J39" s="24" t="s">
        <v>65</v>
      </c>
      <c r="K39" s="26" t="s">
        <v>61</v>
      </c>
      <c r="L39" s="27" t="n">
        <v>27402775</v>
      </c>
      <c r="M39" s="26"/>
      <c r="N39" s="8" t="n">
        <f aca="false">IF(L39="","",IF(K39="USD",ROUND(L39*설정!$C$4,0),L39))</f>
        <v>27402775</v>
      </c>
      <c r="O39" s="8" t="n">
        <f aca="false">IF(N39="","",IF(AND(J39="과세",M39="VAT포함"),ROUND(N39/(1+설정!$C$5),0),N39))</f>
        <v>27402775</v>
      </c>
      <c r="P39" s="8" t="n">
        <f aca="false">IF(N39="","",IF(J39="과세",IF(M39="VAT포함",N39-O39,ROUND(O39*설정!$C$5,0)),0))</f>
        <v>0</v>
      </c>
      <c r="Q39" s="8" t="n">
        <f aca="false">IF(N39="","",O39+P39)</f>
        <v>27402775</v>
      </c>
      <c r="R39" s="26"/>
      <c r="S39" s="8" t="str">
        <f aca="false">IF(OR(N39="",R39&lt;&gt;"Y"),"",ROUND(O39*설정!$C$5,0))</f>
        <v/>
      </c>
      <c r="T39" s="23" t="s">
        <v>103</v>
      </c>
    </row>
    <row r="40" customFormat="false" ht="15" hidden="false" customHeight="false" outlineLevel="0" collapsed="false">
      <c r="A40" s="21" t="n">
        <f aca="false">IF(C40="","",COUNTA($C$5:C40))</f>
        <v>36</v>
      </c>
      <c r="B40" s="22" t="n">
        <v>46296</v>
      </c>
      <c r="C40" s="23" t="s">
        <v>21</v>
      </c>
      <c r="D40" s="26" t="s">
        <v>5</v>
      </c>
      <c r="E40" s="25"/>
      <c r="F40" s="7" t="str">
        <f aca="false">IF(E40="","",IFERROR(INDEX(코드관리!$C$7:$C$66,MATCH(E40,코드관리!$B$7:$B$66,0)),"미등록 코드"))</f>
        <v/>
      </c>
      <c r="G40" s="25"/>
      <c r="H40" s="25" t="s">
        <v>84</v>
      </c>
      <c r="I40" s="23" t="s">
        <v>85</v>
      </c>
      <c r="J40" s="24" t="s">
        <v>65</v>
      </c>
      <c r="K40" s="26" t="s">
        <v>61</v>
      </c>
      <c r="L40" s="27" t="n">
        <v>2882000</v>
      </c>
      <c r="M40" s="26"/>
      <c r="N40" s="8" t="n">
        <f aca="false">IF(L40="","",IF(K40="USD",ROUND(L40*설정!$C$4,0),L40))</f>
        <v>2882000</v>
      </c>
      <c r="O40" s="8" t="n">
        <f aca="false">IF(N40="","",IF(AND(J40="과세",M40="VAT포함"),ROUND(N40/(1+설정!$C$5),0),N40))</f>
        <v>2882000</v>
      </c>
      <c r="P40" s="8" t="n">
        <f aca="false">IF(N40="","",IF(J40="과세",IF(M40="VAT포함",N40-O40,ROUND(O40*설정!$C$5,0)),0))</f>
        <v>0</v>
      </c>
      <c r="Q40" s="8" t="n">
        <f aca="false">IF(N40="","",O40+P40)</f>
        <v>2882000</v>
      </c>
      <c r="R40" s="26"/>
      <c r="S40" s="8" t="str">
        <f aca="false">IF(OR(N40="",R40&lt;&gt;"Y"),"",ROUND(O40*설정!$C$5,0))</f>
        <v/>
      </c>
      <c r="T40" s="23" t="s">
        <v>86</v>
      </c>
    </row>
    <row r="41" customFormat="false" ht="15" hidden="false" customHeight="false" outlineLevel="0" collapsed="false">
      <c r="A41" s="21" t="n">
        <f aca="false">IF(C41="","",COUNTA($C$5:C41))</f>
        <v>37</v>
      </c>
      <c r="B41" s="22" t="n">
        <v>46296</v>
      </c>
      <c r="C41" s="23" t="s">
        <v>21</v>
      </c>
      <c r="D41" s="26" t="s">
        <v>5</v>
      </c>
      <c r="E41" s="25"/>
      <c r="F41" s="7" t="str">
        <f aca="false">IF(E41="","",IFERROR(INDEX(코드관리!$C$7:$C$66,MATCH(E41,코드관리!$B$7:$B$66,0)),"미등록 코드"))</f>
        <v/>
      </c>
      <c r="G41" s="25"/>
      <c r="H41" s="25" t="s">
        <v>87</v>
      </c>
      <c r="I41" s="23" t="s">
        <v>88</v>
      </c>
      <c r="J41" s="24" t="s">
        <v>65</v>
      </c>
      <c r="K41" s="26" t="s">
        <v>61</v>
      </c>
      <c r="L41" s="27" t="n">
        <v>3689825</v>
      </c>
      <c r="M41" s="26"/>
      <c r="N41" s="8" t="n">
        <f aca="false">IF(L41="","",IF(K41="USD",ROUND(L41*설정!$C$4,0),L41))</f>
        <v>3689825</v>
      </c>
      <c r="O41" s="8" t="n">
        <f aca="false">IF(N41="","",IF(AND(J41="과세",M41="VAT포함"),ROUND(N41/(1+설정!$C$5),0),N41))</f>
        <v>3689825</v>
      </c>
      <c r="P41" s="8" t="n">
        <f aca="false">IF(N41="","",IF(J41="과세",IF(M41="VAT포함",N41-O41,ROUND(O41*설정!$C$5,0)),0))</f>
        <v>0</v>
      </c>
      <c r="Q41" s="8" t="n">
        <f aca="false">IF(N41="","",O41+P41)</f>
        <v>3689825</v>
      </c>
      <c r="R41" s="26"/>
      <c r="S41" s="8" t="str">
        <f aca="false">IF(OR(N41="",R41&lt;&gt;"Y"),"",ROUND(O41*설정!$C$5,0))</f>
        <v/>
      </c>
      <c r="T41" s="23" t="s">
        <v>86</v>
      </c>
    </row>
    <row r="42" customFormat="false" ht="15" hidden="false" customHeight="false" outlineLevel="0" collapsed="false">
      <c r="A42" s="21" t="n">
        <f aca="false">IF(C42="","",COUNTA($C$5:C42))</f>
        <v>38</v>
      </c>
      <c r="B42" s="22" t="n">
        <v>46296</v>
      </c>
      <c r="C42" s="23" t="s">
        <v>21</v>
      </c>
      <c r="D42" s="26" t="s">
        <v>5</v>
      </c>
      <c r="E42" s="25"/>
      <c r="F42" s="7" t="str">
        <f aca="false">IF(E42="","",IFERROR(INDEX(코드관리!$C$7:$C$66,MATCH(E42,코드관리!$B$7:$B$66,0)),"미등록 코드"))</f>
        <v/>
      </c>
      <c r="G42" s="25"/>
      <c r="H42" s="25" t="s">
        <v>89</v>
      </c>
      <c r="I42" s="23" t="s">
        <v>90</v>
      </c>
      <c r="J42" s="24" t="s">
        <v>65</v>
      </c>
      <c r="K42" s="26" t="s">
        <v>61</v>
      </c>
      <c r="L42" s="27" t="n">
        <v>380800</v>
      </c>
      <c r="M42" s="26"/>
      <c r="N42" s="8" t="n">
        <f aca="false">IF(L42="","",IF(K42="USD",ROUND(L42*설정!$C$4,0),L42))</f>
        <v>380800</v>
      </c>
      <c r="O42" s="8" t="n">
        <f aca="false">IF(N42="","",IF(AND(J42="과세",M42="VAT포함"),ROUND(N42/(1+설정!$C$5),0),N42))</f>
        <v>380800</v>
      </c>
      <c r="P42" s="8" t="n">
        <f aca="false">IF(N42="","",IF(J42="과세",IF(M42="VAT포함",N42-O42,ROUND(O42*설정!$C$5,0)),0))</f>
        <v>0</v>
      </c>
      <c r="Q42" s="8" t="n">
        <f aca="false">IF(N42="","",O42+P42)</f>
        <v>380800</v>
      </c>
      <c r="R42" s="26"/>
      <c r="S42" s="8" t="str">
        <f aca="false">IF(OR(N42="",R42&lt;&gt;"Y"),"",ROUND(O42*설정!$C$5,0))</f>
        <v/>
      </c>
      <c r="T42" s="23" t="s">
        <v>86</v>
      </c>
    </row>
    <row r="43" customFormat="false" ht="15" hidden="false" customHeight="false" outlineLevel="0" collapsed="false">
      <c r="A43" s="21" t="n">
        <f aca="false">IF(C43="","",COUNTA($C$5:C43))</f>
        <v>39</v>
      </c>
      <c r="B43" s="22" t="n">
        <v>46296</v>
      </c>
      <c r="C43" s="23" t="s">
        <v>21</v>
      </c>
      <c r="D43" s="26" t="s">
        <v>5</v>
      </c>
      <c r="E43" s="25"/>
      <c r="F43" s="7" t="str">
        <f aca="false">IF(E43="","",IFERROR(INDEX(코드관리!$C$7:$C$66,MATCH(E43,코드관리!$B$7:$B$66,0)),"미등록 코드"))</f>
        <v/>
      </c>
      <c r="G43" s="25"/>
      <c r="H43" s="25" t="s">
        <v>91</v>
      </c>
      <c r="I43" s="23" t="s">
        <v>92</v>
      </c>
      <c r="J43" s="24" t="s">
        <v>65</v>
      </c>
      <c r="K43" s="26" t="s">
        <v>61</v>
      </c>
      <c r="L43" s="27" t="n">
        <v>151800</v>
      </c>
      <c r="M43" s="26"/>
      <c r="N43" s="8" t="n">
        <f aca="false">IF(L43="","",IF(K43="USD",ROUND(L43*설정!$C$4,0),L43))</f>
        <v>151800</v>
      </c>
      <c r="O43" s="8" t="n">
        <f aca="false">IF(N43="","",IF(AND(J43="과세",M43="VAT포함"),ROUND(N43/(1+설정!$C$5),0),N43))</f>
        <v>151800</v>
      </c>
      <c r="P43" s="8" t="n">
        <f aca="false">IF(N43="","",IF(J43="과세",IF(M43="VAT포함",N43-O43,ROUND(O43*설정!$C$5,0)),0))</f>
        <v>0</v>
      </c>
      <c r="Q43" s="8" t="n">
        <f aca="false">IF(N43="","",O43+P43)</f>
        <v>151800</v>
      </c>
      <c r="R43" s="26"/>
      <c r="S43" s="8" t="str">
        <f aca="false">IF(OR(N43="",R43&lt;&gt;"Y"),"",ROUND(O43*설정!$C$5,0))</f>
        <v/>
      </c>
      <c r="T43" s="23" t="s">
        <v>93</v>
      </c>
    </row>
    <row r="44" customFormat="false" ht="15" hidden="false" customHeight="false" outlineLevel="0" collapsed="false">
      <c r="A44" s="21" t="n">
        <f aca="false">IF(C44="","",COUNTA($C$5:C44))</f>
        <v>40</v>
      </c>
      <c r="B44" s="22" t="n">
        <v>46296</v>
      </c>
      <c r="C44" s="23" t="s">
        <v>21</v>
      </c>
      <c r="D44" s="26" t="s">
        <v>5</v>
      </c>
      <c r="E44" s="25"/>
      <c r="F44" s="7" t="str">
        <f aca="false">IF(E44="","",IFERROR(INDEX(코드관리!$C$7:$C$66,MATCH(E44,코드관리!$B$7:$B$66,0)),"미등록 코드"))</f>
        <v/>
      </c>
      <c r="G44" s="25"/>
      <c r="H44" s="25" t="s">
        <v>94</v>
      </c>
      <c r="I44" s="25" t="s">
        <v>95</v>
      </c>
      <c r="J44" s="24" t="s">
        <v>65</v>
      </c>
      <c r="K44" s="26" t="s">
        <v>61</v>
      </c>
      <c r="L44" s="27" t="n">
        <v>5175000</v>
      </c>
      <c r="M44" s="26"/>
      <c r="N44" s="8" t="n">
        <f aca="false">IF(L44="","",IF(K44="USD",ROUND(L44*설정!$C$4,0),L44))</f>
        <v>5175000</v>
      </c>
      <c r="O44" s="8" t="n">
        <f aca="false">IF(N44="","",IF(AND(J44="과세",M44="VAT포함"),ROUND(N44/(1+설정!$C$5),0),N44))</f>
        <v>5175000</v>
      </c>
      <c r="P44" s="8" t="n">
        <f aca="false">IF(N44="","",IF(J44="과세",IF(M44="VAT포함",N44-O44,ROUND(O44*설정!$C$5,0)),0))</f>
        <v>0</v>
      </c>
      <c r="Q44" s="8" t="n">
        <f aca="false">IF(N44="","",O44+P44)</f>
        <v>5175000</v>
      </c>
      <c r="R44" s="26"/>
      <c r="S44" s="8" t="str">
        <f aca="false">IF(OR(N44="",R44&lt;&gt;"Y"),"",ROUND(O44*설정!$C$5,0))</f>
        <v/>
      </c>
      <c r="T44" s="23" t="s">
        <v>96</v>
      </c>
    </row>
    <row r="45" customFormat="false" ht="15" hidden="false" customHeight="false" outlineLevel="0" collapsed="false">
      <c r="A45" s="21" t="n">
        <f aca="false">IF(C45="","",COUNTA($C$5:C45))</f>
        <v>41</v>
      </c>
      <c r="B45" s="22" t="n">
        <v>46297</v>
      </c>
      <c r="C45" s="23" t="s">
        <v>21</v>
      </c>
      <c r="D45" s="26" t="s">
        <v>5</v>
      </c>
      <c r="E45" s="25"/>
      <c r="F45" s="7" t="str">
        <f aca="false">IF(E45="","",IFERROR(INDEX(코드관리!$C$7:$C$66,MATCH(E45,코드관리!$B$7:$B$66,0)),"미등록 코드"))</f>
        <v/>
      </c>
      <c r="G45" s="25"/>
      <c r="H45" s="25" t="s">
        <v>112</v>
      </c>
      <c r="I45" s="25" t="s">
        <v>113</v>
      </c>
      <c r="J45" s="24" t="s">
        <v>65</v>
      </c>
      <c r="K45" s="26" t="s">
        <v>61</v>
      </c>
      <c r="L45" s="27" t="n">
        <v>420000</v>
      </c>
      <c r="M45" s="26"/>
      <c r="N45" s="8" t="n">
        <f aca="false">IF(L45="","",IF(K45="USD",ROUND(L45*설정!$C$4,0),L45))</f>
        <v>420000</v>
      </c>
      <c r="O45" s="8" t="n">
        <f aca="false">IF(N45="","",IF(AND(J45="과세",M45="VAT포함"),ROUND(N45/(1+설정!$C$5),0),N45))</f>
        <v>420000</v>
      </c>
      <c r="P45" s="8" t="n">
        <f aca="false">IF(N45="","",IF(J45="과세",IF(M45="VAT포함",N45-O45,ROUND(O45*설정!$C$5,0)),0))</f>
        <v>0</v>
      </c>
      <c r="Q45" s="8" t="n">
        <f aca="false">IF(N45="","",O45+P45)</f>
        <v>420000</v>
      </c>
      <c r="R45" s="26"/>
      <c r="S45" s="8" t="str">
        <f aca="false">IF(OR(N45="",R45&lt;&gt;"Y"),"",ROUND(O45*설정!$C$5,0))</f>
        <v/>
      </c>
      <c r="T45" s="23" t="s">
        <v>114</v>
      </c>
    </row>
    <row r="46" customFormat="false" ht="15" hidden="false" customHeight="false" outlineLevel="0" collapsed="false">
      <c r="A46" s="21" t="n">
        <f aca="false">IF(C46="","",COUNTA($C$5:C46))</f>
        <v>42</v>
      </c>
      <c r="B46" s="22" t="n">
        <v>46297</v>
      </c>
      <c r="C46" s="23" t="s">
        <v>21</v>
      </c>
      <c r="D46" s="26" t="s">
        <v>5</v>
      </c>
      <c r="E46" s="25"/>
      <c r="F46" s="7" t="str">
        <f aca="false">IF(E46="","",IFERROR(INDEX(코드관리!$C$7:$C$66,MATCH(E46,코드관리!$B$7:$B$66,0)),"미등록 코드"))</f>
        <v/>
      </c>
      <c r="G46" s="25"/>
      <c r="H46" s="25" t="s">
        <v>115</v>
      </c>
      <c r="I46" s="23" t="s">
        <v>116</v>
      </c>
      <c r="J46" s="24" t="s">
        <v>65</v>
      </c>
      <c r="K46" s="26" t="s">
        <v>61</v>
      </c>
      <c r="L46" s="27" t="n">
        <v>1810000</v>
      </c>
      <c r="M46" s="26"/>
      <c r="N46" s="8" t="n">
        <f aca="false">IF(L46="","",IF(K46="USD",ROUND(L46*설정!$C$4,0),L46))</f>
        <v>1810000</v>
      </c>
      <c r="O46" s="8" t="n">
        <f aca="false">IF(N46="","",IF(AND(J46="과세",M46="VAT포함"),ROUND(N46/(1+설정!$C$5),0),N46))</f>
        <v>1810000</v>
      </c>
      <c r="P46" s="8" t="n">
        <f aca="false">IF(N46="","",IF(J46="과세",IF(M46="VAT포함",N46-O46,ROUND(O46*설정!$C$5,0)),0))</f>
        <v>0</v>
      </c>
      <c r="Q46" s="8" t="n">
        <f aca="false">IF(N46="","",O46+P46)</f>
        <v>1810000</v>
      </c>
      <c r="R46" s="26"/>
      <c r="S46" s="8" t="str">
        <f aca="false">IF(OR(N46="",R46&lt;&gt;"Y"),"",ROUND(O46*설정!$C$5,0))</f>
        <v/>
      </c>
      <c r="T46" s="23" t="s">
        <v>117</v>
      </c>
    </row>
    <row r="47" customFormat="false" ht="15" hidden="false" customHeight="false" outlineLevel="0" collapsed="false">
      <c r="A47" s="21" t="n">
        <f aca="false">IF(C47="","",COUNTA($C$5:C47))</f>
        <v>43</v>
      </c>
      <c r="B47" s="22" t="n">
        <v>46297</v>
      </c>
      <c r="C47" s="23" t="s">
        <v>21</v>
      </c>
      <c r="D47" s="26" t="s">
        <v>5</v>
      </c>
      <c r="E47" s="25"/>
      <c r="F47" s="7" t="str">
        <f aca="false">IF(E47="","",IFERROR(INDEX(코드관리!$C$7:$C$66,MATCH(E47,코드관리!$B$7:$B$66,0)),"미등록 코드"))</f>
        <v/>
      </c>
      <c r="G47" s="25"/>
      <c r="H47" s="25" t="s">
        <v>115</v>
      </c>
      <c r="I47" s="23" t="s">
        <v>118</v>
      </c>
      <c r="J47" s="24" t="s">
        <v>65</v>
      </c>
      <c r="K47" s="26" t="s">
        <v>61</v>
      </c>
      <c r="L47" s="27" t="n">
        <v>570000</v>
      </c>
      <c r="M47" s="26"/>
      <c r="N47" s="8" t="n">
        <f aca="false">IF(L47="","",IF(K47="USD",ROUND(L47*설정!$C$4,0),L47))</f>
        <v>570000</v>
      </c>
      <c r="O47" s="8" t="n">
        <f aca="false">IF(N47="","",IF(AND(J47="과세",M47="VAT포함"),ROUND(N47/(1+설정!$C$5),0),N47))</f>
        <v>570000</v>
      </c>
      <c r="P47" s="8" t="n">
        <f aca="false">IF(N47="","",IF(J47="과세",IF(M47="VAT포함",N47-O47,ROUND(O47*설정!$C$5,0)),0))</f>
        <v>0</v>
      </c>
      <c r="Q47" s="8" t="n">
        <f aca="false">IF(N47="","",O47+P47)</f>
        <v>570000</v>
      </c>
      <c r="R47" s="26"/>
      <c r="S47" s="8" t="str">
        <f aca="false">IF(OR(N47="",R47&lt;&gt;"Y"),"",ROUND(O47*설정!$C$5,0))</f>
        <v/>
      </c>
      <c r="T47" s="23" t="s">
        <v>119</v>
      </c>
    </row>
    <row r="48" customFormat="false" ht="15" hidden="false" customHeight="false" outlineLevel="0" collapsed="false">
      <c r="A48" s="21" t="n">
        <f aca="false">IF(C48="","",COUNTA($C$5:C48))</f>
        <v>44</v>
      </c>
      <c r="B48" s="22" t="n">
        <v>46289</v>
      </c>
      <c r="C48" s="23" t="s">
        <v>21</v>
      </c>
      <c r="D48" s="26" t="s">
        <v>6</v>
      </c>
      <c r="E48" s="25"/>
      <c r="F48" s="7" t="str">
        <f aca="false">IF(E48="","",IFERROR(INDEX(코드관리!$C$7:$C$66,MATCH(E48,코드관리!$B$7:$B$66,0)),"미등록 코드"))</f>
        <v/>
      </c>
      <c r="G48" s="25"/>
      <c r="H48" s="25" t="s">
        <v>78</v>
      </c>
      <c r="I48" s="25" t="s">
        <v>79</v>
      </c>
      <c r="J48" s="24" t="s">
        <v>65</v>
      </c>
      <c r="K48" s="26" t="s">
        <v>61</v>
      </c>
      <c r="L48" s="27" t="n">
        <v>981600</v>
      </c>
      <c r="M48" s="26"/>
      <c r="N48" s="8" t="n">
        <f aca="false">IF(L48="","",IF(K48="USD",ROUND(L48*설정!$C$4,0),L48))</f>
        <v>981600</v>
      </c>
      <c r="O48" s="8" t="n">
        <f aca="false">IF(N48="","",IF(AND(J48="과세",M48="VAT포함"),ROUND(N48/(1+설정!$C$5),0),N48))</f>
        <v>981600</v>
      </c>
      <c r="P48" s="8" t="n">
        <f aca="false">IF(N48="","",IF(J48="과세",IF(M48="VAT포함",N48-O48,ROUND(O48*설정!$C$5,0)),0))</f>
        <v>0</v>
      </c>
      <c r="Q48" s="8" t="n">
        <f aca="false">IF(N48="","",O48+P48)</f>
        <v>981600</v>
      </c>
      <c r="R48" s="26"/>
      <c r="S48" s="8" t="str">
        <f aca="false">IF(OR(N48="",R48&lt;&gt;"Y"),"",ROUND(O48*설정!$C$5,0))</f>
        <v/>
      </c>
      <c r="T48" s="23" t="s">
        <v>120</v>
      </c>
    </row>
    <row r="49" customFormat="false" ht="15" hidden="false" customHeight="false" outlineLevel="0" collapsed="false">
      <c r="A49" s="21" t="n">
        <f aca="false">IF(C49="","",COUNTA($C$5:C49))</f>
        <v>45</v>
      </c>
      <c r="B49" s="22" t="n">
        <v>46289</v>
      </c>
      <c r="C49" s="23" t="s">
        <v>21</v>
      </c>
      <c r="D49" s="26" t="s">
        <v>6</v>
      </c>
      <c r="E49" s="25"/>
      <c r="F49" s="7" t="str">
        <f aca="false">IF(E49="","",IFERROR(INDEX(코드관리!$C$7:$C$66,MATCH(E49,코드관리!$B$7:$B$66,0)),"미등록 코드"))</f>
        <v/>
      </c>
      <c r="G49" s="25"/>
      <c r="H49" s="25" t="s">
        <v>81</v>
      </c>
      <c r="I49" s="25" t="s">
        <v>82</v>
      </c>
      <c r="J49" s="24" t="s">
        <v>65</v>
      </c>
      <c r="K49" s="26" t="s">
        <v>61</v>
      </c>
      <c r="L49" s="27" t="n">
        <v>2256796</v>
      </c>
      <c r="M49" s="26"/>
      <c r="N49" s="8" t="n">
        <f aca="false">IF(L49="","",IF(K49="USD",ROUND(L49*설정!$C$4,0),L49))</f>
        <v>2256796</v>
      </c>
      <c r="O49" s="8" t="n">
        <f aca="false">IF(N49="","",IF(AND(J49="과세",M49="VAT포함"),ROUND(N49/(1+설정!$C$5),0),N49))</f>
        <v>2256796</v>
      </c>
      <c r="P49" s="8" t="n">
        <f aca="false">IF(N49="","",IF(J49="과세",IF(M49="VAT포함",N49-O49,ROUND(O49*설정!$C$5,0)),0))</f>
        <v>0</v>
      </c>
      <c r="Q49" s="8" t="n">
        <f aca="false">IF(N49="","",O49+P49)</f>
        <v>2256796</v>
      </c>
      <c r="R49" s="26"/>
      <c r="S49" s="8" t="str">
        <f aca="false">IF(OR(N49="",R49&lt;&gt;"Y"),"",ROUND(O49*설정!$C$5,0))</f>
        <v/>
      </c>
      <c r="T49" s="23" t="s">
        <v>83</v>
      </c>
    </row>
    <row r="50" customFormat="false" ht="15" hidden="false" customHeight="false" outlineLevel="0" collapsed="false">
      <c r="A50" s="21" t="n">
        <f aca="false">IF(C50="","",COUNTA($C$5:C50))</f>
        <v>46</v>
      </c>
      <c r="B50" s="22" t="n">
        <v>46289</v>
      </c>
      <c r="C50" s="23" t="s">
        <v>21</v>
      </c>
      <c r="D50" s="26" t="s">
        <v>6</v>
      </c>
      <c r="E50" s="25"/>
      <c r="F50" s="7" t="str">
        <f aca="false">IF(E50="","",IFERROR(INDEX(코드관리!$C$7:$C$66,MATCH(E50,코드관리!$B$7:$B$66,0)),"미등록 코드"))</f>
        <v/>
      </c>
      <c r="G50" s="25"/>
      <c r="H50" s="25" t="s">
        <v>121</v>
      </c>
      <c r="I50" s="25" t="s">
        <v>122</v>
      </c>
      <c r="J50" s="24" t="s">
        <v>65</v>
      </c>
      <c r="K50" s="26" t="s">
        <v>61</v>
      </c>
      <c r="L50" s="27" t="n">
        <v>5381313</v>
      </c>
      <c r="M50" s="26"/>
      <c r="N50" s="8" t="n">
        <f aca="false">IF(L50="","",IF(K50="USD",ROUND(L50*설정!$C$4,0),L50))</f>
        <v>5381313</v>
      </c>
      <c r="O50" s="8" t="n">
        <f aca="false">IF(N50="","",IF(AND(J50="과세",M50="VAT포함"),ROUND(N50/(1+설정!$C$5),0),N50))</f>
        <v>5381313</v>
      </c>
      <c r="P50" s="8" t="n">
        <f aca="false">IF(N50="","",IF(J50="과세",IF(M50="VAT포함",N50-O50,ROUND(O50*설정!$C$5,0)),0))</f>
        <v>0</v>
      </c>
      <c r="Q50" s="8" t="n">
        <f aca="false">IF(N50="","",O50+P50)</f>
        <v>5381313</v>
      </c>
      <c r="R50" s="26"/>
      <c r="S50" s="8" t="str">
        <f aca="false">IF(OR(N50="",R50&lt;&gt;"Y"),"",ROUND(O50*설정!$C$5,0))</f>
        <v/>
      </c>
      <c r="T50" s="23" t="s">
        <v>103</v>
      </c>
    </row>
    <row r="51" customFormat="false" ht="15" hidden="false" customHeight="false" outlineLevel="0" collapsed="false">
      <c r="A51" s="21" t="n">
        <f aca="false">IF(C51="","",COUNTA($C$5:C51))</f>
        <v>47</v>
      </c>
      <c r="B51" s="22" t="n">
        <v>46289</v>
      </c>
      <c r="C51" s="23" t="s">
        <v>21</v>
      </c>
      <c r="D51" s="26" t="s">
        <v>6</v>
      </c>
      <c r="E51" s="25"/>
      <c r="F51" s="7" t="str">
        <f aca="false">IF(E51="","",IFERROR(INDEX(코드관리!$C$7:$C$66,MATCH(E51,코드관리!$B$7:$B$66,0)),"미등록 코드"))</f>
        <v/>
      </c>
      <c r="G51" s="25"/>
      <c r="H51" s="25" t="s">
        <v>123</v>
      </c>
      <c r="I51" s="25" t="s">
        <v>124</v>
      </c>
      <c r="J51" s="24" t="s">
        <v>65</v>
      </c>
      <c r="K51" s="26" t="s">
        <v>61</v>
      </c>
      <c r="L51" s="27" t="n">
        <v>1789400</v>
      </c>
      <c r="M51" s="26"/>
      <c r="N51" s="8" t="n">
        <f aca="false">IF(L51="","",IF(K51="USD",ROUND(L51*설정!$C$4,0),L51))</f>
        <v>1789400</v>
      </c>
      <c r="O51" s="8" t="n">
        <f aca="false">IF(N51="","",IF(AND(J51="과세",M51="VAT포함"),ROUND(N51/(1+설정!$C$5),0),N51))</f>
        <v>1789400</v>
      </c>
      <c r="P51" s="8" t="n">
        <f aca="false">IF(N51="","",IF(J51="과세",IF(M51="VAT포함",N51-O51,ROUND(O51*설정!$C$5,0)),0))</f>
        <v>0</v>
      </c>
      <c r="Q51" s="8" t="n">
        <f aca="false">IF(N51="","",O51+P51)</f>
        <v>1789400</v>
      </c>
      <c r="R51" s="26"/>
      <c r="S51" s="8" t="str">
        <f aca="false">IF(OR(N51="",R51&lt;&gt;"Y"),"",ROUND(O51*설정!$C$5,0))</f>
        <v/>
      </c>
      <c r="T51" s="23" t="s">
        <v>103</v>
      </c>
    </row>
    <row r="52" customFormat="false" ht="15" hidden="false" customHeight="false" outlineLevel="0" collapsed="false">
      <c r="A52" s="21" t="n">
        <f aca="false">IF(C52="","",COUNTA($C$5:C52))</f>
        <v>48</v>
      </c>
      <c r="B52" s="22" t="n">
        <v>46296</v>
      </c>
      <c r="C52" s="23" t="s">
        <v>21</v>
      </c>
      <c r="D52" s="26" t="s">
        <v>6</v>
      </c>
      <c r="E52" s="25"/>
      <c r="F52" s="7" t="str">
        <f aca="false">IF(E52="","",IFERROR(INDEX(코드관리!$C$7:$C$66,MATCH(E52,코드관리!$B$7:$B$66,0)),"미등록 코드"))</f>
        <v/>
      </c>
      <c r="G52" s="25"/>
      <c r="H52" s="25" t="s">
        <v>84</v>
      </c>
      <c r="I52" s="23" t="s">
        <v>85</v>
      </c>
      <c r="J52" s="24" t="s">
        <v>65</v>
      </c>
      <c r="K52" s="26" t="s">
        <v>61</v>
      </c>
      <c r="L52" s="27" t="n">
        <v>3190000</v>
      </c>
      <c r="M52" s="26"/>
      <c r="N52" s="8" t="n">
        <f aca="false">IF(L52="","",IF(K52="USD",ROUND(L52*설정!$C$4,0),L52))</f>
        <v>3190000</v>
      </c>
      <c r="O52" s="8" t="n">
        <f aca="false">IF(N52="","",IF(AND(J52="과세",M52="VAT포함"),ROUND(N52/(1+설정!$C$5),0),N52))</f>
        <v>3190000</v>
      </c>
      <c r="P52" s="8" t="n">
        <f aca="false">IF(N52="","",IF(J52="과세",IF(M52="VAT포함",N52-O52,ROUND(O52*설정!$C$5,0)),0))</f>
        <v>0</v>
      </c>
      <c r="Q52" s="8" t="n">
        <f aca="false">IF(N52="","",O52+P52)</f>
        <v>3190000</v>
      </c>
      <c r="R52" s="26"/>
      <c r="S52" s="8" t="str">
        <f aca="false">IF(OR(N52="",R52&lt;&gt;"Y"),"",ROUND(O52*설정!$C$5,0))</f>
        <v/>
      </c>
      <c r="T52" s="23" t="s">
        <v>86</v>
      </c>
    </row>
    <row r="53" customFormat="false" ht="15" hidden="false" customHeight="false" outlineLevel="0" collapsed="false">
      <c r="A53" s="21" t="n">
        <f aca="false">IF(C53="","",COUNTA($C$5:C53))</f>
        <v>49</v>
      </c>
      <c r="B53" s="22" t="n">
        <v>46296</v>
      </c>
      <c r="C53" s="23" t="s">
        <v>21</v>
      </c>
      <c r="D53" s="26" t="s">
        <v>6</v>
      </c>
      <c r="E53" s="25"/>
      <c r="F53" s="7" t="str">
        <f aca="false">IF(E53="","",IFERROR(INDEX(코드관리!$C$7:$C$66,MATCH(E53,코드관리!$B$7:$B$66,0)),"미등록 코드"))</f>
        <v/>
      </c>
      <c r="G53" s="25"/>
      <c r="H53" s="25" t="s">
        <v>87</v>
      </c>
      <c r="I53" s="23" t="s">
        <v>88</v>
      </c>
      <c r="J53" s="24" t="s">
        <v>65</v>
      </c>
      <c r="K53" s="26" t="s">
        <v>61</v>
      </c>
      <c r="L53" s="27" t="n">
        <v>3969643</v>
      </c>
      <c r="M53" s="26"/>
      <c r="N53" s="8" t="n">
        <f aca="false">IF(L53="","",IF(K53="USD",ROUND(L53*설정!$C$4,0),L53))</f>
        <v>3969643</v>
      </c>
      <c r="O53" s="8" t="n">
        <f aca="false">IF(N53="","",IF(AND(J53="과세",M53="VAT포함"),ROUND(N53/(1+설정!$C$5),0),N53))</f>
        <v>3969643</v>
      </c>
      <c r="P53" s="8" t="n">
        <f aca="false">IF(N53="","",IF(J53="과세",IF(M53="VAT포함",N53-O53,ROUND(O53*설정!$C$5,0)),0))</f>
        <v>0</v>
      </c>
      <c r="Q53" s="8" t="n">
        <f aca="false">IF(N53="","",O53+P53)</f>
        <v>3969643</v>
      </c>
      <c r="R53" s="26"/>
      <c r="S53" s="8" t="str">
        <f aca="false">IF(OR(N53="",R53&lt;&gt;"Y"),"",ROUND(O53*설정!$C$5,0))</f>
        <v/>
      </c>
      <c r="T53" s="23" t="s">
        <v>86</v>
      </c>
    </row>
    <row r="54" customFormat="false" ht="15" hidden="false" customHeight="false" outlineLevel="0" collapsed="false">
      <c r="A54" s="21" t="n">
        <f aca="false">IF(C54="","",COUNTA($C$5:C54))</f>
        <v>50</v>
      </c>
      <c r="B54" s="22" t="n">
        <v>46296</v>
      </c>
      <c r="C54" s="23" t="s">
        <v>21</v>
      </c>
      <c r="D54" s="26" t="s">
        <v>6</v>
      </c>
      <c r="E54" s="25"/>
      <c r="F54" s="7" t="str">
        <f aca="false">IF(E54="","",IFERROR(INDEX(코드관리!$C$7:$C$66,MATCH(E54,코드관리!$B$7:$B$66,0)),"미등록 코드"))</f>
        <v/>
      </c>
      <c r="G54" s="25"/>
      <c r="H54" s="25" t="s">
        <v>89</v>
      </c>
      <c r="I54" s="23" t="s">
        <v>90</v>
      </c>
      <c r="J54" s="24" t="s">
        <v>65</v>
      </c>
      <c r="K54" s="26" t="s">
        <v>61</v>
      </c>
      <c r="L54" s="27" t="n">
        <v>380800</v>
      </c>
      <c r="M54" s="26"/>
      <c r="N54" s="8" t="n">
        <f aca="false">IF(L54="","",IF(K54="USD",ROUND(L54*설정!$C$4,0),L54))</f>
        <v>380800</v>
      </c>
      <c r="O54" s="8" t="n">
        <f aca="false">IF(N54="","",IF(AND(J54="과세",M54="VAT포함"),ROUND(N54/(1+설정!$C$5),0),N54))</f>
        <v>380800</v>
      </c>
      <c r="P54" s="8" t="n">
        <f aca="false">IF(N54="","",IF(J54="과세",IF(M54="VAT포함",N54-O54,ROUND(O54*설정!$C$5,0)),0))</f>
        <v>0</v>
      </c>
      <c r="Q54" s="8" t="n">
        <f aca="false">IF(N54="","",O54+P54)</f>
        <v>380800</v>
      </c>
      <c r="R54" s="26"/>
      <c r="S54" s="8" t="str">
        <f aca="false">IF(OR(N54="",R54&lt;&gt;"Y"),"",ROUND(O54*설정!$C$5,0))</f>
        <v/>
      </c>
      <c r="T54" s="23" t="s">
        <v>86</v>
      </c>
    </row>
    <row r="55" customFormat="false" ht="15" hidden="false" customHeight="false" outlineLevel="0" collapsed="false">
      <c r="A55" s="21" t="n">
        <f aca="false">IF(C55="","",COUNTA($C$5:C55))</f>
        <v>51</v>
      </c>
      <c r="B55" s="22" t="n">
        <v>46297</v>
      </c>
      <c r="C55" s="23" t="s">
        <v>21</v>
      </c>
      <c r="D55" s="26" t="s">
        <v>6</v>
      </c>
      <c r="E55" s="25"/>
      <c r="F55" s="7" t="str">
        <f aca="false">IF(E55="","",IFERROR(INDEX(코드관리!$C$7:$C$66,MATCH(E55,코드관리!$B$7:$B$66,0)),"미등록 코드"))</f>
        <v/>
      </c>
      <c r="G55" s="25"/>
      <c r="H55" s="25" t="s">
        <v>125</v>
      </c>
      <c r="I55" s="25" t="s">
        <v>126</v>
      </c>
      <c r="J55" s="24" t="s">
        <v>65</v>
      </c>
      <c r="K55" s="26" t="s">
        <v>61</v>
      </c>
      <c r="L55" s="27" t="n">
        <v>1391500</v>
      </c>
      <c r="M55" s="26"/>
      <c r="N55" s="8" t="n">
        <f aca="false">IF(L55="","",IF(K55="USD",ROUND(L55*설정!$C$4,0),L55))</f>
        <v>1391500</v>
      </c>
      <c r="O55" s="8" t="n">
        <f aca="false">IF(N55="","",IF(AND(J55="과세",M55="VAT포함"),ROUND(N55/(1+설정!$C$5),0),N55))</f>
        <v>1391500</v>
      </c>
      <c r="P55" s="8" t="n">
        <f aca="false">IF(N55="","",IF(J55="과세",IF(M55="VAT포함",N55-O55,ROUND(O55*설정!$C$5,0)),0))</f>
        <v>0</v>
      </c>
      <c r="Q55" s="8" t="n">
        <f aca="false">IF(N55="","",O55+P55)</f>
        <v>1391500</v>
      </c>
      <c r="R55" s="26"/>
      <c r="S55" s="8" t="str">
        <f aca="false">IF(OR(N55="",R55&lt;&gt;"Y"),"",ROUND(O55*설정!$C$5,0))</f>
        <v/>
      </c>
      <c r="T55" s="23" t="s">
        <v>103</v>
      </c>
    </row>
    <row r="56" customFormat="false" ht="15" hidden="false" customHeight="false" outlineLevel="0" collapsed="false">
      <c r="A56" s="21" t="n">
        <f aca="false">IF(C56="","",COUNTA($C$5:C56))</f>
        <v>52</v>
      </c>
      <c r="B56" s="22" t="n">
        <v>46296</v>
      </c>
      <c r="C56" s="23" t="s">
        <v>21</v>
      </c>
      <c r="D56" s="26" t="s">
        <v>6</v>
      </c>
      <c r="E56" s="25"/>
      <c r="F56" s="7" t="str">
        <f aca="false">IF(E56="","",IFERROR(INDEX(코드관리!$C$7:$C$66,MATCH(E56,코드관리!$B$7:$B$66,0)),"미등록 코드"))</f>
        <v/>
      </c>
      <c r="G56" s="25"/>
      <c r="H56" s="25" t="s">
        <v>91</v>
      </c>
      <c r="I56" s="23" t="s">
        <v>92</v>
      </c>
      <c r="J56" s="24" t="s">
        <v>65</v>
      </c>
      <c r="K56" s="26" t="s">
        <v>61</v>
      </c>
      <c r="L56" s="27" t="n">
        <v>151800</v>
      </c>
      <c r="M56" s="26"/>
      <c r="N56" s="8" t="n">
        <f aca="false">IF(L56="","",IF(K56="USD",ROUND(L56*설정!$C$4,0),L56))</f>
        <v>151800</v>
      </c>
      <c r="O56" s="8" t="n">
        <f aca="false">IF(N56="","",IF(AND(J56="과세",M56="VAT포함"),ROUND(N56/(1+설정!$C$5),0),N56))</f>
        <v>151800</v>
      </c>
      <c r="P56" s="8" t="n">
        <f aca="false">IF(N56="","",IF(J56="과세",IF(M56="VAT포함",N56-O56,ROUND(O56*설정!$C$5,0)),0))</f>
        <v>0</v>
      </c>
      <c r="Q56" s="8" t="n">
        <f aca="false">IF(N56="","",O56+P56)</f>
        <v>151800</v>
      </c>
      <c r="R56" s="26"/>
      <c r="S56" s="8" t="str">
        <f aca="false">IF(OR(N56="",R56&lt;&gt;"Y"),"",ROUND(O56*설정!$C$5,0))</f>
        <v/>
      </c>
      <c r="T56" s="23" t="s">
        <v>93</v>
      </c>
    </row>
    <row r="57" customFormat="false" ht="15" hidden="false" customHeight="false" outlineLevel="0" collapsed="false">
      <c r="A57" s="21" t="n">
        <f aca="false">IF(C57="","",COUNTA($C$5:C57))</f>
        <v>53</v>
      </c>
      <c r="B57" s="22" t="n">
        <v>46297</v>
      </c>
      <c r="C57" s="23" t="s">
        <v>21</v>
      </c>
      <c r="D57" s="26" t="s">
        <v>6</v>
      </c>
      <c r="E57" s="25"/>
      <c r="F57" s="7" t="str">
        <f aca="false">IF(E57="","",IFERROR(INDEX(코드관리!$C$7:$C$66,MATCH(E57,코드관리!$B$7:$B$66,0)),"미등록 코드"))</f>
        <v/>
      </c>
      <c r="G57" s="25"/>
      <c r="H57" s="25" t="s">
        <v>127</v>
      </c>
      <c r="I57" s="25" t="s">
        <v>128</v>
      </c>
      <c r="J57" s="24" t="s">
        <v>65</v>
      </c>
      <c r="K57" s="26" t="s">
        <v>61</v>
      </c>
      <c r="L57" s="27" t="n">
        <v>3380000</v>
      </c>
      <c r="M57" s="26"/>
      <c r="N57" s="8" t="n">
        <f aca="false">IF(L57="","",IF(K57="USD",ROUND(L57*설정!$C$4,0),L57))</f>
        <v>3380000</v>
      </c>
      <c r="O57" s="8" t="n">
        <f aca="false">IF(N57="","",IF(AND(J57="과세",M57="VAT포함"),ROUND(N57/(1+설정!$C$5),0),N57))</f>
        <v>3380000</v>
      </c>
      <c r="P57" s="8" t="n">
        <f aca="false">IF(N57="","",IF(J57="과세",IF(M57="VAT포함",N57-O57,ROUND(O57*설정!$C$5,0)),0))</f>
        <v>0</v>
      </c>
      <c r="Q57" s="8" t="n">
        <f aca="false">IF(N57="","",O57+P57)</f>
        <v>3380000</v>
      </c>
      <c r="R57" s="26"/>
      <c r="S57" s="8" t="str">
        <f aca="false">IF(OR(N57="",R57&lt;&gt;"Y"),"",ROUND(O57*설정!$C$5,0))</f>
        <v/>
      </c>
      <c r="T57" s="23" t="s">
        <v>103</v>
      </c>
    </row>
    <row r="58" customFormat="false" ht="15" hidden="false" customHeight="false" outlineLevel="0" collapsed="false">
      <c r="A58" s="21" t="n">
        <f aca="false">IF(C58="","",COUNTA($C$5:C58))</f>
        <v>54</v>
      </c>
      <c r="B58" s="22" t="n">
        <v>46296</v>
      </c>
      <c r="C58" s="23" t="s">
        <v>21</v>
      </c>
      <c r="D58" s="26" t="s">
        <v>6</v>
      </c>
      <c r="E58" s="25"/>
      <c r="F58" s="7" t="str">
        <f aca="false">IF(E58="","",IFERROR(INDEX(코드관리!$C$7:$C$66,MATCH(E58,코드관리!$B$7:$B$66,0)),"미등록 코드"))</f>
        <v/>
      </c>
      <c r="G58" s="25"/>
      <c r="H58" s="25" t="s">
        <v>94</v>
      </c>
      <c r="I58" s="25" t="s">
        <v>95</v>
      </c>
      <c r="J58" s="24" t="s">
        <v>65</v>
      </c>
      <c r="K58" s="26" t="s">
        <v>61</v>
      </c>
      <c r="L58" s="27" t="n">
        <v>5175000</v>
      </c>
      <c r="M58" s="26"/>
      <c r="N58" s="8" t="n">
        <f aca="false">IF(L58="","",IF(K58="USD",ROUND(L58*설정!$C$4,0),L58))</f>
        <v>5175000</v>
      </c>
      <c r="O58" s="8" t="n">
        <f aca="false">IF(N58="","",IF(AND(J58="과세",M58="VAT포함"),ROUND(N58/(1+설정!$C$5),0),N58))</f>
        <v>5175000</v>
      </c>
      <c r="P58" s="8" t="n">
        <f aca="false">IF(N58="","",IF(J58="과세",IF(M58="VAT포함",N58-O58,ROUND(O58*설정!$C$5,0)),0))</f>
        <v>0</v>
      </c>
      <c r="Q58" s="8" t="n">
        <f aca="false">IF(N58="","",O58+P58)</f>
        <v>5175000</v>
      </c>
      <c r="R58" s="26"/>
      <c r="S58" s="8" t="str">
        <f aca="false">IF(OR(N58="",R58&lt;&gt;"Y"),"",ROUND(O58*설정!$C$5,0))</f>
        <v/>
      </c>
      <c r="T58" s="23" t="s">
        <v>96</v>
      </c>
    </row>
    <row r="59" customFormat="false" ht="15" hidden="false" customHeight="false" outlineLevel="0" collapsed="false">
      <c r="A59" s="21" t="n">
        <f aca="false">IF(C59="","",COUNTA($C$5:C59))</f>
        <v>55</v>
      </c>
      <c r="B59" s="22" t="n">
        <v>46297</v>
      </c>
      <c r="C59" s="23" t="s">
        <v>21</v>
      </c>
      <c r="D59" s="26" t="s">
        <v>6</v>
      </c>
      <c r="E59" s="25"/>
      <c r="F59" s="7" t="str">
        <f aca="false">IF(E59="","",IFERROR(INDEX(코드관리!$C$7:$C$66,MATCH(E59,코드관리!$B$7:$B$66,0)),"미등록 코드"))</f>
        <v/>
      </c>
      <c r="G59" s="25"/>
      <c r="H59" s="25" t="s">
        <v>129</v>
      </c>
      <c r="I59" s="25" t="s">
        <v>130</v>
      </c>
      <c r="J59" s="24" t="s">
        <v>65</v>
      </c>
      <c r="K59" s="26" t="s">
        <v>61</v>
      </c>
      <c r="L59" s="27" t="n">
        <v>17207955</v>
      </c>
      <c r="M59" s="26"/>
      <c r="N59" s="8" t="n">
        <f aca="false">IF(L59="","",IF(K59="USD",ROUND(L59*설정!$C$4,0),L59))</f>
        <v>17207955</v>
      </c>
      <c r="O59" s="8" t="n">
        <f aca="false">IF(N59="","",IF(AND(J59="과세",M59="VAT포함"),ROUND(N59/(1+설정!$C$5),0),N59))</f>
        <v>17207955</v>
      </c>
      <c r="P59" s="8" t="n">
        <f aca="false">IF(N59="","",IF(J59="과세",IF(M59="VAT포함",N59-O59,ROUND(O59*설정!$C$5,0)),0))</f>
        <v>0</v>
      </c>
      <c r="Q59" s="8" t="n">
        <f aca="false">IF(N59="","",O59+P59)</f>
        <v>17207955</v>
      </c>
      <c r="R59" s="26"/>
      <c r="S59" s="8" t="str">
        <f aca="false">IF(OR(N59="",R59&lt;&gt;"Y"),"",ROUND(O59*설정!$C$5,0))</f>
        <v/>
      </c>
      <c r="T59" s="23" t="s">
        <v>103</v>
      </c>
    </row>
    <row r="60" customFormat="false" ht="15" hidden="false" customHeight="false" outlineLevel="0" collapsed="false">
      <c r="A60" s="21" t="n">
        <f aca="false">IF(C60="","",COUNTA($C$5:C60))</f>
        <v>56</v>
      </c>
      <c r="B60" s="22" t="n">
        <v>46297</v>
      </c>
      <c r="C60" s="23" t="s">
        <v>21</v>
      </c>
      <c r="D60" s="26" t="s">
        <v>6</v>
      </c>
      <c r="E60" s="25"/>
      <c r="F60" s="7" t="str">
        <f aca="false">IF(E60="","",IFERROR(INDEX(코드관리!$C$7:$C$66,MATCH(E60,코드관리!$B$7:$B$66,0)),"미등록 코드"))</f>
        <v/>
      </c>
      <c r="G60" s="25"/>
      <c r="H60" s="25" t="s">
        <v>131</v>
      </c>
      <c r="I60" s="25" t="s">
        <v>105</v>
      </c>
      <c r="J60" s="24" t="s">
        <v>65</v>
      </c>
      <c r="K60" s="26" t="s">
        <v>61</v>
      </c>
      <c r="L60" s="27" t="n">
        <v>14285290</v>
      </c>
      <c r="M60" s="26"/>
      <c r="N60" s="8" t="n">
        <f aca="false">IF(L60="","",IF(K60="USD",ROUND(L60*설정!$C$4,0),L60))</f>
        <v>14285290</v>
      </c>
      <c r="O60" s="8" t="n">
        <f aca="false">IF(N60="","",IF(AND(J60="과세",M60="VAT포함"),ROUND(N60/(1+설정!$C$5),0),N60))</f>
        <v>14285290</v>
      </c>
      <c r="P60" s="8" t="n">
        <f aca="false">IF(N60="","",IF(J60="과세",IF(M60="VAT포함",N60-O60,ROUND(O60*설정!$C$5,0)),0))</f>
        <v>0</v>
      </c>
      <c r="Q60" s="8" t="n">
        <f aca="false">IF(N60="","",O60+P60)</f>
        <v>14285290</v>
      </c>
      <c r="R60" s="26"/>
      <c r="S60" s="8" t="str">
        <f aca="false">IF(OR(N60="",R60&lt;&gt;"Y"),"",ROUND(O60*설정!$C$5,0))</f>
        <v/>
      </c>
      <c r="T60" s="23" t="s">
        <v>103</v>
      </c>
    </row>
    <row r="61" customFormat="false" ht="15" hidden="false" customHeight="false" outlineLevel="0" collapsed="false">
      <c r="A61" s="21" t="n">
        <f aca="false">IF(C61="","",COUNTA($C$5:C61))</f>
        <v>57</v>
      </c>
      <c r="B61" s="22" t="n">
        <v>46297</v>
      </c>
      <c r="C61" s="23" t="s">
        <v>21</v>
      </c>
      <c r="D61" s="26" t="s">
        <v>6</v>
      </c>
      <c r="E61" s="25"/>
      <c r="F61" s="7" t="str">
        <f aca="false">IF(E61="","",IFERROR(INDEX(코드관리!$C$7:$C$66,MATCH(E61,코드관리!$B$7:$B$66,0)),"미등록 코드"))</f>
        <v/>
      </c>
      <c r="G61" s="25"/>
      <c r="H61" s="25" t="s">
        <v>132</v>
      </c>
      <c r="I61" s="25" t="s">
        <v>133</v>
      </c>
      <c r="J61" s="24" t="s">
        <v>65</v>
      </c>
      <c r="K61" s="26" t="s">
        <v>61</v>
      </c>
      <c r="L61" s="27" t="n">
        <v>5001335</v>
      </c>
      <c r="M61" s="26"/>
      <c r="N61" s="8" t="n">
        <f aca="false">IF(L61="","",IF(K61="USD",ROUND(L61*설정!$C$4,0),L61))</f>
        <v>5001335</v>
      </c>
      <c r="O61" s="8" t="n">
        <f aca="false">IF(N61="","",IF(AND(J61="과세",M61="VAT포함"),ROUND(N61/(1+설정!$C$5),0),N61))</f>
        <v>5001335</v>
      </c>
      <c r="P61" s="8" t="n">
        <f aca="false">IF(N61="","",IF(J61="과세",IF(M61="VAT포함",N61-O61,ROUND(O61*설정!$C$5,0)),0))</f>
        <v>0</v>
      </c>
      <c r="Q61" s="8" t="n">
        <f aca="false">IF(N61="","",O61+P61)</f>
        <v>5001335</v>
      </c>
      <c r="R61" s="26"/>
      <c r="S61" s="8" t="str">
        <f aca="false">IF(OR(N61="",R61&lt;&gt;"Y"),"",ROUND(O61*설정!$C$5,0))</f>
        <v/>
      </c>
      <c r="T61" s="23" t="s">
        <v>103</v>
      </c>
    </row>
    <row r="62" customFormat="false" ht="15" hidden="false" customHeight="false" outlineLevel="0" collapsed="false">
      <c r="A62" s="21" t="n">
        <f aca="false">IF(C62="","",COUNTA($C$5:C62))</f>
        <v>58</v>
      </c>
      <c r="B62" s="22" t="n">
        <v>46297</v>
      </c>
      <c r="C62" s="23" t="s">
        <v>21</v>
      </c>
      <c r="D62" s="26" t="s">
        <v>6</v>
      </c>
      <c r="E62" s="25"/>
      <c r="F62" s="7" t="str">
        <f aca="false">IF(E62="","",IFERROR(INDEX(코드관리!$C$7:$C$66,MATCH(E62,코드관리!$B$7:$B$66,0)),"미등록 코드"))</f>
        <v/>
      </c>
      <c r="G62" s="25"/>
      <c r="H62" s="25" t="s">
        <v>134</v>
      </c>
      <c r="I62" s="25" t="s">
        <v>135</v>
      </c>
      <c r="J62" s="24" t="s">
        <v>65</v>
      </c>
      <c r="K62" s="26" t="s">
        <v>61</v>
      </c>
      <c r="L62" s="27" t="n">
        <v>50000</v>
      </c>
      <c r="M62" s="26"/>
      <c r="N62" s="8" t="n">
        <f aca="false">IF(L62="","",IF(K62="USD",ROUND(L62*설정!$C$4,0),L62))</f>
        <v>50000</v>
      </c>
      <c r="O62" s="8" t="n">
        <f aca="false">IF(N62="","",IF(AND(J62="과세",M62="VAT포함"),ROUND(N62/(1+설정!$C$5),0),N62))</f>
        <v>50000</v>
      </c>
      <c r="P62" s="8" t="n">
        <f aca="false">IF(N62="","",IF(J62="과세",IF(M62="VAT포함",N62-O62,ROUND(O62*설정!$C$5,0)),0))</f>
        <v>0</v>
      </c>
      <c r="Q62" s="8" t="n">
        <f aca="false">IF(N62="","",O62+P62)</f>
        <v>50000</v>
      </c>
      <c r="R62" s="26"/>
      <c r="S62" s="8" t="str">
        <f aca="false">IF(OR(N62="",R62&lt;&gt;"Y"),"",ROUND(O62*설정!$C$5,0))</f>
        <v/>
      </c>
      <c r="T62" s="23" t="s">
        <v>136</v>
      </c>
    </row>
    <row r="63" customFormat="false" ht="15" hidden="false" customHeight="false" outlineLevel="0" collapsed="false">
      <c r="A63" s="21" t="n">
        <f aca="false">IF(C63="","",COUNTA($C$5:C63))</f>
        <v>59</v>
      </c>
      <c r="B63" s="22" t="n">
        <v>46297</v>
      </c>
      <c r="C63" s="23" t="s">
        <v>21</v>
      </c>
      <c r="D63" s="26" t="s">
        <v>6</v>
      </c>
      <c r="E63" s="25"/>
      <c r="F63" s="7" t="str">
        <f aca="false">IF(E63="","",IFERROR(INDEX(코드관리!$C$7:$C$66,MATCH(E63,코드관리!$B$7:$B$66,0)),"미등록 코드"))</f>
        <v/>
      </c>
      <c r="G63" s="25"/>
      <c r="H63" s="25" t="s">
        <v>115</v>
      </c>
      <c r="I63" s="23" t="s">
        <v>137</v>
      </c>
      <c r="J63" s="24" t="s">
        <v>65</v>
      </c>
      <c r="K63" s="26" t="s">
        <v>61</v>
      </c>
      <c r="L63" s="27" t="n">
        <v>720000</v>
      </c>
      <c r="M63" s="26"/>
      <c r="N63" s="8" t="n">
        <f aca="false">IF(L63="","",IF(K63="USD",ROUND(L63*설정!$C$4,0),L63))</f>
        <v>720000</v>
      </c>
      <c r="O63" s="8" t="n">
        <f aca="false">IF(N63="","",IF(AND(J63="과세",M63="VAT포함"),ROUND(N63/(1+설정!$C$5),0),N63))</f>
        <v>720000</v>
      </c>
      <c r="P63" s="8" t="n">
        <f aca="false">IF(N63="","",IF(J63="과세",IF(M63="VAT포함",N63-O63,ROUND(O63*설정!$C$5,0)),0))</f>
        <v>0</v>
      </c>
      <c r="Q63" s="8" t="n">
        <f aca="false">IF(N63="","",O63+P63)</f>
        <v>720000</v>
      </c>
      <c r="R63" s="26"/>
      <c r="S63" s="8" t="str">
        <f aca="false">IF(OR(N63="",R63&lt;&gt;"Y"),"",ROUND(O63*설정!$C$5,0))</f>
        <v/>
      </c>
      <c r="T63" s="23" t="s">
        <v>138</v>
      </c>
    </row>
    <row r="64" customFormat="false" ht="15" hidden="false" customHeight="false" outlineLevel="0" collapsed="false">
      <c r="A64" s="21" t="n">
        <f aca="false">IF(C64="","",COUNTA($C$5:C64))</f>
        <v>60</v>
      </c>
      <c r="B64" s="22" t="n">
        <v>46297</v>
      </c>
      <c r="C64" s="23" t="s">
        <v>21</v>
      </c>
      <c r="D64" s="26" t="s">
        <v>6</v>
      </c>
      <c r="E64" s="25"/>
      <c r="F64" s="7" t="str">
        <f aca="false">IF(E64="","",IFERROR(INDEX(코드관리!$C$7:$C$66,MATCH(E64,코드관리!$B$7:$B$66,0)),"미등록 코드"))</f>
        <v/>
      </c>
      <c r="G64" s="25"/>
      <c r="H64" s="25" t="s">
        <v>115</v>
      </c>
      <c r="I64" s="23" t="s">
        <v>118</v>
      </c>
      <c r="J64" s="24" t="s">
        <v>65</v>
      </c>
      <c r="K64" s="26" t="s">
        <v>61</v>
      </c>
      <c r="L64" s="27" t="n">
        <v>125000</v>
      </c>
      <c r="M64" s="26"/>
      <c r="N64" s="8" t="n">
        <f aca="false">IF(L64="","",IF(K64="USD",ROUND(L64*설정!$C$4,0),L64))</f>
        <v>125000</v>
      </c>
      <c r="O64" s="8" t="n">
        <f aca="false">IF(N64="","",IF(AND(J64="과세",M64="VAT포함"),ROUND(N64/(1+설정!$C$5),0),N64))</f>
        <v>125000</v>
      </c>
      <c r="P64" s="8" t="n">
        <f aca="false">IF(N64="","",IF(J64="과세",IF(M64="VAT포함",N64-O64,ROUND(O64*설정!$C$5,0)),0))</f>
        <v>0</v>
      </c>
      <c r="Q64" s="8" t="n">
        <f aca="false">IF(N64="","",O64+P64)</f>
        <v>125000</v>
      </c>
      <c r="R64" s="26"/>
      <c r="S64" s="8" t="str">
        <f aca="false">IF(OR(N64="",R64&lt;&gt;"Y"),"",ROUND(O64*설정!$C$5,0))</f>
        <v/>
      </c>
      <c r="T64" s="23" t="s">
        <v>139</v>
      </c>
    </row>
    <row r="65" customFormat="false" ht="15" hidden="false" customHeight="false" outlineLevel="0" collapsed="false">
      <c r="A65" s="21" t="n">
        <f aca="false">IF(C65="","",COUNTA($C$5:C65))</f>
        <v>61</v>
      </c>
      <c r="B65" s="22" t="n">
        <v>46289</v>
      </c>
      <c r="C65" s="23" t="s">
        <v>21</v>
      </c>
      <c r="D65" s="26" t="s">
        <v>7</v>
      </c>
      <c r="E65" s="25"/>
      <c r="F65" s="7" t="str">
        <f aca="false">IF(E65="","",IFERROR(INDEX(코드관리!$C$7:$C$66,MATCH(E65,코드관리!$B$7:$B$66,0)),"미등록 코드"))</f>
        <v/>
      </c>
      <c r="G65" s="25"/>
      <c r="H65" s="25" t="s">
        <v>78</v>
      </c>
      <c r="I65" s="25" t="s">
        <v>79</v>
      </c>
      <c r="J65" s="24" t="s">
        <v>65</v>
      </c>
      <c r="K65" s="26" t="s">
        <v>61</v>
      </c>
      <c r="L65" s="27" t="n">
        <v>981600</v>
      </c>
      <c r="M65" s="26"/>
      <c r="N65" s="8" t="n">
        <f aca="false">IF(L65="","",IF(K65="USD",ROUND(L65*설정!$C$4,0),L65))</f>
        <v>981600</v>
      </c>
      <c r="O65" s="8" t="n">
        <f aca="false">IF(N65="","",IF(AND(J65="과세",M65="VAT포함"),ROUND(N65/(1+설정!$C$5),0),N65))</f>
        <v>981600</v>
      </c>
      <c r="P65" s="8" t="n">
        <f aca="false">IF(N65="","",IF(J65="과세",IF(M65="VAT포함",N65-O65,ROUND(O65*설정!$C$5,0)),0))</f>
        <v>0</v>
      </c>
      <c r="Q65" s="8" t="n">
        <f aca="false">IF(N65="","",O65+P65)</f>
        <v>981600</v>
      </c>
      <c r="R65" s="26"/>
      <c r="S65" s="8" t="str">
        <f aca="false">IF(OR(N65="",R65&lt;&gt;"Y"),"",ROUND(O65*설정!$C$5,0))</f>
        <v/>
      </c>
      <c r="T65" s="23" t="s">
        <v>140</v>
      </c>
    </row>
    <row r="66" customFormat="false" ht="15" hidden="false" customHeight="false" outlineLevel="0" collapsed="false">
      <c r="A66" s="21" t="n">
        <f aca="false">IF(C66="","",COUNTA($C$5:C66))</f>
        <v>62</v>
      </c>
      <c r="B66" s="22" t="n">
        <v>46289</v>
      </c>
      <c r="C66" s="23" t="s">
        <v>21</v>
      </c>
      <c r="D66" s="26" t="s">
        <v>7</v>
      </c>
      <c r="E66" s="25"/>
      <c r="F66" s="7" t="str">
        <f aca="false">IF(E66="","",IFERROR(INDEX(코드관리!$C$7:$C$66,MATCH(E66,코드관리!$B$7:$B$66,0)),"미등록 코드"))</f>
        <v/>
      </c>
      <c r="G66" s="25"/>
      <c r="H66" s="25" t="s">
        <v>81</v>
      </c>
      <c r="I66" s="25" t="s">
        <v>82</v>
      </c>
      <c r="J66" s="24" t="s">
        <v>65</v>
      </c>
      <c r="K66" s="26" t="s">
        <v>61</v>
      </c>
      <c r="L66" s="27" t="n">
        <v>1091744</v>
      </c>
      <c r="M66" s="26"/>
      <c r="N66" s="8" t="n">
        <f aca="false">IF(L66="","",IF(K66="USD",ROUND(L66*설정!$C$4,0),L66))</f>
        <v>1091744</v>
      </c>
      <c r="O66" s="8" t="n">
        <f aca="false">IF(N66="","",IF(AND(J66="과세",M66="VAT포함"),ROUND(N66/(1+설정!$C$5),0),N66))</f>
        <v>1091744</v>
      </c>
      <c r="P66" s="8" t="n">
        <f aca="false">IF(N66="","",IF(J66="과세",IF(M66="VAT포함",N66-O66,ROUND(O66*설정!$C$5,0)),0))</f>
        <v>0</v>
      </c>
      <c r="Q66" s="8" t="n">
        <f aca="false">IF(N66="","",O66+P66)</f>
        <v>1091744</v>
      </c>
      <c r="R66" s="26"/>
      <c r="S66" s="8" t="str">
        <f aca="false">IF(OR(N66="",R66&lt;&gt;"Y"),"",ROUND(O66*설정!$C$5,0))</f>
        <v/>
      </c>
      <c r="T66" s="23" t="s">
        <v>83</v>
      </c>
    </row>
    <row r="67" customFormat="false" ht="15" hidden="false" customHeight="false" outlineLevel="0" collapsed="false">
      <c r="A67" s="21" t="n">
        <f aca="false">IF(C67="","",COUNTA($C$5:C67))</f>
        <v>63</v>
      </c>
      <c r="B67" s="22" t="n">
        <v>46289</v>
      </c>
      <c r="C67" s="23" t="s">
        <v>21</v>
      </c>
      <c r="D67" s="26" t="s">
        <v>7</v>
      </c>
      <c r="E67" s="25"/>
      <c r="F67" s="7" t="str">
        <f aca="false">IF(E67="","",IFERROR(INDEX(코드관리!$C$7:$C$66,MATCH(E67,코드관리!$B$7:$B$66,0)),"미등록 코드"))</f>
        <v/>
      </c>
      <c r="G67" s="25"/>
      <c r="H67" s="25" t="s">
        <v>141</v>
      </c>
      <c r="I67" s="25" t="s">
        <v>142</v>
      </c>
      <c r="J67" s="24" t="s">
        <v>65</v>
      </c>
      <c r="K67" s="26" t="s">
        <v>61</v>
      </c>
      <c r="L67" s="27" t="n">
        <v>6129745</v>
      </c>
      <c r="M67" s="26"/>
      <c r="N67" s="8" t="n">
        <f aca="false">IF(L67="","",IF(K67="USD",ROUND(L67*설정!$C$4,0),L67))</f>
        <v>6129745</v>
      </c>
      <c r="O67" s="8" t="n">
        <f aca="false">IF(N67="","",IF(AND(J67="과세",M67="VAT포함"),ROUND(N67/(1+설정!$C$5),0),N67))</f>
        <v>6129745</v>
      </c>
      <c r="P67" s="8" t="n">
        <f aca="false">IF(N67="","",IF(J67="과세",IF(M67="VAT포함",N67-O67,ROUND(O67*설정!$C$5,0)),0))</f>
        <v>0</v>
      </c>
      <c r="Q67" s="8" t="n">
        <f aca="false">IF(N67="","",O67+P67)</f>
        <v>6129745</v>
      </c>
      <c r="R67" s="26"/>
      <c r="S67" s="8" t="str">
        <f aca="false">IF(OR(N67="",R67&lt;&gt;"Y"),"",ROUND(O67*설정!$C$5,0))</f>
        <v/>
      </c>
      <c r="T67" s="23" t="s">
        <v>103</v>
      </c>
    </row>
    <row r="68" customFormat="false" ht="15" hidden="false" customHeight="false" outlineLevel="0" collapsed="false">
      <c r="A68" s="21" t="n">
        <f aca="false">IF(C68="","",COUNTA($C$5:C68))</f>
        <v>64</v>
      </c>
      <c r="B68" s="22" t="n">
        <v>46289</v>
      </c>
      <c r="C68" s="23" t="s">
        <v>21</v>
      </c>
      <c r="D68" s="26" t="s">
        <v>7</v>
      </c>
      <c r="E68" s="25"/>
      <c r="F68" s="7" t="str">
        <f aca="false">IF(E68="","",IFERROR(INDEX(코드관리!$C$7:$C$66,MATCH(E68,코드관리!$B$7:$B$66,0)),"미등록 코드"))</f>
        <v/>
      </c>
      <c r="G68" s="25"/>
      <c r="H68" s="25" t="s">
        <v>143</v>
      </c>
      <c r="I68" s="25" t="s">
        <v>144</v>
      </c>
      <c r="J68" s="24" t="s">
        <v>65</v>
      </c>
      <c r="K68" s="26" t="s">
        <v>61</v>
      </c>
      <c r="L68" s="27" t="n">
        <v>3762800</v>
      </c>
      <c r="M68" s="26"/>
      <c r="N68" s="8" t="n">
        <f aca="false">IF(L68="","",IF(K68="USD",ROUND(L68*설정!$C$4,0),L68))</f>
        <v>3762800</v>
      </c>
      <c r="O68" s="8" t="n">
        <f aca="false">IF(N68="","",IF(AND(J68="과세",M68="VAT포함"),ROUND(N68/(1+설정!$C$5),0),N68))</f>
        <v>3762800</v>
      </c>
      <c r="P68" s="8" t="n">
        <f aca="false">IF(N68="","",IF(J68="과세",IF(M68="VAT포함",N68-O68,ROUND(O68*설정!$C$5,0)),0))</f>
        <v>0</v>
      </c>
      <c r="Q68" s="8" t="n">
        <f aca="false">IF(N68="","",O68+P68)</f>
        <v>3762800</v>
      </c>
      <c r="R68" s="26"/>
      <c r="S68" s="8" t="str">
        <f aca="false">IF(OR(N68="",R68&lt;&gt;"Y"),"",ROUND(O68*설정!$C$5,0))</f>
        <v/>
      </c>
      <c r="T68" s="23" t="s">
        <v>103</v>
      </c>
    </row>
    <row r="69" customFormat="false" ht="15" hidden="false" customHeight="false" outlineLevel="0" collapsed="false">
      <c r="A69" s="21" t="n">
        <f aca="false">IF(C69="","",COUNTA($C$5:C69))</f>
        <v>65</v>
      </c>
      <c r="B69" s="22" t="n">
        <v>46296</v>
      </c>
      <c r="C69" s="23" t="s">
        <v>21</v>
      </c>
      <c r="D69" s="26" t="s">
        <v>7</v>
      </c>
      <c r="E69" s="25"/>
      <c r="F69" s="7" t="str">
        <f aca="false">IF(E69="","",IFERROR(INDEX(코드관리!$C$7:$C$66,MATCH(E69,코드관리!$B$7:$B$66,0)),"미등록 코드"))</f>
        <v/>
      </c>
      <c r="G69" s="25"/>
      <c r="H69" s="25" t="s">
        <v>84</v>
      </c>
      <c r="I69" s="23" t="s">
        <v>85</v>
      </c>
      <c r="J69" s="24" t="s">
        <v>65</v>
      </c>
      <c r="K69" s="26" t="s">
        <v>61</v>
      </c>
      <c r="L69" s="27" t="n">
        <v>2728000</v>
      </c>
      <c r="M69" s="26"/>
      <c r="N69" s="8" t="n">
        <f aca="false">IF(L69="","",IF(K69="USD",ROUND(L69*설정!$C$4,0),L69))</f>
        <v>2728000</v>
      </c>
      <c r="O69" s="8" t="n">
        <f aca="false">IF(N69="","",IF(AND(J69="과세",M69="VAT포함"),ROUND(N69/(1+설정!$C$5),0),N69))</f>
        <v>2728000</v>
      </c>
      <c r="P69" s="8" t="n">
        <f aca="false">IF(N69="","",IF(J69="과세",IF(M69="VAT포함",N69-O69,ROUND(O69*설정!$C$5,0)),0))</f>
        <v>0</v>
      </c>
      <c r="Q69" s="8" t="n">
        <f aca="false">IF(N69="","",O69+P69)</f>
        <v>2728000</v>
      </c>
      <c r="R69" s="26"/>
      <c r="S69" s="8" t="str">
        <f aca="false">IF(OR(N69="",R69&lt;&gt;"Y"),"",ROUND(O69*설정!$C$5,0))</f>
        <v/>
      </c>
      <c r="T69" s="23" t="s">
        <v>86</v>
      </c>
    </row>
    <row r="70" customFormat="false" ht="15" hidden="false" customHeight="false" outlineLevel="0" collapsed="false">
      <c r="A70" s="21" t="n">
        <f aca="false">IF(C70="","",COUNTA($C$5:C70))</f>
        <v>66</v>
      </c>
      <c r="B70" s="22" t="n">
        <v>46296</v>
      </c>
      <c r="C70" s="23" t="s">
        <v>21</v>
      </c>
      <c r="D70" s="26" t="s">
        <v>7</v>
      </c>
      <c r="E70" s="25"/>
      <c r="F70" s="7" t="str">
        <f aca="false">IF(E70="","",IFERROR(INDEX(코드관리!$C$7:$C$66,MATCH(E70,코드관리!$B$7:$B$66,0)),"미등록 코드"))</f>
        <v/>
      </c>
      <c r="G70" s="25"/>
      <c r="H70" s="25" t="s">
        <v>145</v>
      </c>
      <c r="I70" s="25" t="s">
        <v>146</v>
      </c>
      <c r="J70" s="24" t="s">
        <v>65</v>
      </c>
      <c r="K70" s="26" t="s">
        <v>61</v>
      </c>
      <c r="L70" s="27" t="n">
        <v>1997232</v>
      </c>
      <c r="M70" s="26"/>
      <c r="N70" s="8" t="n">
        <f aca="false">IF(L70="","",IF(K70="USD",ROUND(L70*설정!$C$4,0),L70))</f>
        <v>1997232</v>
      </c>
      <c r="O70" s="8" t="n">
        <f aca="false">IF(N70="","",IF(AND(J70="과세",M70="VAT포함"),ROUND(N70/(1+설정!$C$5),0),N70))</f>
        <v>1997232</v>
      </c>
      <c r="P70" s="8" t="n">
        <f aca="false">IF(N70="","",IF(J70="과세",IF(M70="VAT포함",N70-O70,ROUND(O70*설정!$C$5,0)),0))</f>
        <v>0</v>
      </c>
      <c r="Q70" s="8" t="n">
        <f aca="false">IF(N70="","",O70+P70)</f>
        <v>1997232</v>
      </c>
      <c r="R70" s="26"/>
      <c r="S70" s="8" t="str">
        <f aca="false">IF(OR(N70="",R70&lt;&gt;"Y"),"",ROUND(O70*설정!$C$5,0))</f>
        <v/>
      </c>
      <c r="T70" s="23" t="s">
        <v>103</v>
      </c>
    </row>
    <row r="71" customFormat="false" ht="15" hidden="false" customHeight="false" outlineLevel="0" collapsed="false">
      <c r="A71" s="21" t="n">
        <f aca="false">IF(C71="","",COUNTA($C$5:C71))</f>
        <v>67</v>
      </c>
      <c r="B71" s="22" t="n">
        <v>46296</v>
      </c>
      <c r="C71" s="23" t="s">
        <v>21</v>
      </c>
      <c r="D71" s="26" t="s">
        <v>7</v>
      </c>
      <c r="E71" s="25"/>
      <c r="F71" s="7" t="str">
        <f aca="false">IF(E71="","",IFERROR(INDEX(코드관리!$C$7:$C$66,MATCH(E71,코드관리!$B$7:$B$66,0)),"미등록 코드"))</f>
        <v/>
      </c>
      <c r="G71" s="25"/>
      <c r="H71" s="25" t="s">
        <v>87</v>
      </c>
      <c r="I71" s="23" t="s">
        <v>88</v>
      </c>
      <c r="J71" s="24" t="s">
        <v>65</v>
      </c>
      <c r="K71" s="26" t="s">
        <v>61</v>
      </c>
      <c r="L71" s="27" t="n">
        <v>3839210</v>
      </c>
      <c r="M71" s="26"/>
      <c r="N71" s="8" t="n">
        <f aca="false">IF(L71="","",IF(K71="USD",ROUND(L71*설정!$C$4,0),L71))</f>
        <v>3839210</v>
      </c>
      <c r="O71" s="8" t="n">
        <f aca="false">IF(N71="","",IF(AND(J71="과세",M71="VAT포함"),ROUND(N71/(1+설정!$C$5),0),N71))</f>
        <v>3839210</v>
      </c>
      <c r="P71" s="8" t="n">
        <f aca="false">IF(N71="","",IF(J71="과세",IF(M71="VAT포함",N71-O71,ROUND(O71*설정!$C$5,0)),0))</f>
        <v>0</v>
      </c>
      <c r="Q71" s="8" t="n">
        <f aca="false">IF(N71="","",O71+P71)</f>
        <v>3839210</v>
      </c>
      <c r="R71" s="26"/>
      <c r="S71" s="8" t="str">
        <f aca="false">IF(OR(N71="",R71&lt;&gt;"Y"),"",ROUND(O71*설정!$C$5,0))</f>
        <v/>
      </c>
      <c r="T71" s="23" t="s">
        <v>86</v>
      </c>
    </row>
    <row r="72" customFormat="false" ht="15" hidden="false" customHeight="false" outlineLevel="0" collapsed="false">
      <c r="A72" s="21" t="n">
        <f aca="false">IF(C72="","",COUNTA($C$5:C72))</f>
        <v>68</v>
      </c>
      <c r="B72" s="22" t="n">
        <v>46296</v>
      </c>
      <c r="C72" s="23" t="s">
        <v>21</v>
      </c>
      <c r="D72" s="26" t="s">
        <v>7</v>
      </c>
      <c r="E72" s="25"/>
      <c r="F72" s="7" t="str">
        <f aca="false">IF(E72="","",IFERROR(INDEX(코드관리!$C$7:$C$66,MATCH(E72,코드관리!$B$7:$B$66,0)),"미등록 코드"))</f>
        <v/>
      </c>
      <c r="G72" s="25"/>
      <c r="H72" s="25" t="s">
        <v>89</v>
      </c>
      <c r="I72" s="23" t="s">
        <v>90</v>
      </c>
      <c r="J72" s="24" t="s">
        <v>65</v>
      </c>
      <c r="K72" s="26" t="s">
        <v>61</v>
      </c>
      <c r="L72" s="27" t="n">
        <v>380800</v>
      </c>
      <c r="M72" s="26"/>
      <c r="N72" s="8" t="n">
        <f aca="false">IF(L72="","",IF(K72="USD",ROUND(L72*설정!$C$4,0),L72))</f>
        <v>380800</v>
      </c>
      <c r="O72" s="8" t="n">
        <f aca="false">IF(N72="","",IF(AND(J72="과세",M72="VAT포함"),ROUND(N72/(1+설정!$C$5),0),N72))</f>
        <v>380800</v>
      </c>
      <c r="P72" s="8" t="n">
        <f aca="false">IF(N72="","",IF(J72="과세",IF(M72="VAT포함",N72-O72,ROUND(O72*설정!$C$5,0)),0))</f>
        <v>0</v>
      </c>
      <c r="Q72" s="8" t="n">
        <f aca="false">IF(N72="","",O72+P72)</f>
        <v>380800</v>
      </c>
      <c r="R72" s="26"/>
      <c r="S72" s="8" t="str">
        <f aca="false">IF(OR(N72="",R72&lt;&gt;"Y"),"",ROUND(O72*설정!$C$5,0))</f>
        <v/>
      </c>
      <c r="T72" s="23" t="s">
        <v>86</v>
      </c>
    </row>
    <row r="73" customFormat="false" ht="15" hidden="false" customHeight="false" outlineLevel="0" collapsed="false">
      <c r="A73" s="21" t="n">
        <f aca="false">IF(C73="","",COUNTA($C$5:C73))</f>
        <v>69</v>
      </c>
      <c r="B73" s="22" t="n">
        <v>46295</v>
      </c>
      <c r="C73" s="23" t="s">
        <v>21</v>
      </c>
      <c r="D73" s="26" t="s">
        <v>7</v>
      </c>
      <c r="E73" s="25"/>
      <c r="F73" s="7" t="str">
        <f aca="false">IF(E73="","",IFERROR(INDEX(코드관리!$C$7:$C$66,MATCH(E73,코드관리!$B$7:$B$66,0)),"미등록 코드"))</f>
        <v/>
      </c>
      <c r="G73" s="25"/>
      <c r="H73" s="25" t="s">
        <v>147</v>
      </c>
      <c r="I73" s="25" t="s">
        <v>148</v>
      </c>
      <c r="J73" s="24" t="s">
        <v>65</v>
      </c>
      <c r="K73" s="26" t="s">
        <v>61</v>
      </c>
      <c r="L73" s="27" t="n">
        <v>30800</v>
      </c>
      <c r="M73" s="26"/>
      <c r="N73" s="8" t="n">
        <f aca="false">IF(L73="","",IF(K73="USD",ROUND(L73*설정!$C$4,0),L73))</f>
        <v>30800</v>
      </c>
      <c r="O73" s="8" t="n">
        <f aca="false">IF(N73="","",IF(AND(J73="과세",M73="VAT포함"),ROUND(N73/(1+설정!$C$5),0),N73))</f>
        <v>30800</v>
      </c>
      <c r="P73" s="8" t="n">
        <f aca="false">IF(N73="","",IF(J73="과세",IF(M73="VAT포함",N73-O73,ROUND(O73*설정!$C$5,0)),0))</f>
        <v>0</v>
      </c>
      <c r="Q73" s="8" t="n">
        <f aca="false">IF(N73="","",O73+P73)</f>
        <v>30800</v>
      </c>
      <c r="R73" s="26"/>
      <c r="S73" s="8" t="str">
        <f aca="false">IF(OR(N73="",R73&lt;&gt;"Y"),"",ROUND(O73*설정!$C$5,0))</f>
        <v/>
      </c>
      <c r="T73" s="23" t="s">
        <v>103</v>
      </c>
    </row>
    <row r="74" customFormat="false" ht="15" hidden="false" customHeight="false" outlineLevel="0" collapsed="false">
      <c r="A74" s="21" t="n">
        <f aca="false">IF(C74="","",COUNTA($C$5:C74))</f>
        <v>70</v>
      </c>
      <c r="B74" s="22" t="n">
        <v>46296</v>
      </c>
      <c r="C74" s="23" t="s">
        <v>21</v>
      </c>
      <c r="D74" s="26" t="s">
        <v>7</v>
      </c>
      <c r="E74" s="25"/>
      <c r="F74" s="7" t="str">
        <f aca="false">IF(E74="","",IFERROR(INDEX(코드관리!$C$7:$C$66,MATCH(E74,코드관리!$B$7:$B$66,0)),"미등록 코드"))</f>
        <v/>
      </c>
      <c r="G74" s="25"/>
      <c r="H74" s="25" t="s">
        <v>91</v>
      </c>
      <c r="I74" s="23" t="s">
        <v>149</v>
      </c>
      <c r="J74" s="24" t="s">
        <v>65</v>
      </c>
      <c r="K74" s="26" t="s">
        <v>61</v>
      </c>
      <c r="L74" s="27" t="n">
        <v>75900</v>
      </c>
      <c r="M74" s="26"/>
      <c r="N74" s="8" t="n">
        <f aca="false">IF(L74="","",IF(K74="USD",ROUND(L74*설정!$C$4,0),L74))</f>
        <v>75900</v>
      </c>
      <c r="O74" s="8" t="n">
        <f aca="false">IF(N74="","",IF(AND(J74="과세",M74="VAT포함"),ROUND(N74/(1+설정!$C$5),0),N74))</f>
        <v>75900</v>
      </c>
      <c r="P74" s="8" t="n">
        <f aca="false">IF(N74="","",IF(J74="과세",IF(M74="VAT포함",N74-O74,ROUND(O74*설정!$C$5,0)),0))</f>
        <v>0</v>
      </c>
      <c r="Q74" s="8" t="n">
        <f aca="false">IF(N74="","",O74+P74)</f>
        <v>75900</v>
      </c>
      <c r="R74" s="26"/>
      <c r="S74" s="8" t="str">
        <f aca="false">IF(OR(N74="",R74&lt;&gt;"Y"),"",ROUND(O74*설정!$C$5,0))</f>
        <v/>
      </c>
      <c r="T74" s="23" t="s">
        <v>93</v>
      </c>
    </row>
    <row r="75" customFormat="false" ht="15" hidden="false" customHeight="false" outlineLevel="0" collapsed="false">
      <c r="A75" s="21" t="n">
        <f aca="false">IF(C75="","",COUNTA($C$5:C75))</f>
        <v>71</v>
      </c>
      <c r="B75" s="22" t="n">
        <v>46296</v>
      </c>
      <c r="C75" s="23" t="s">
        <v>21</v>
      </c>
      <c r="D75" s="26" t="s">
        <v>7</v>
      </c>
      <c r="E75" s="25"/>
      <c r="F75" s="7" t="str">
        <f aca="false">IF(E75="","",IFERROR(INDEX(코드관리!$C$7:$C$66,MATCH(E75,코드관리!$B$7:$B$66,0)),"미등록 코드"))</f>
        <v/>
      </c>
      <c r="G75" s="25"/>
      <c r="H75" s="25" t="s">
        <v>94</v>
      </c>
      <c r="I75" s="25" t="s">
        <v>95</v>
      </c>
      <c r="J75" s="24" t="s">
        <v>65</v>
      </c>
      <c r="K75" s="26" t="s">
        <v>61</v>
      </c>
      <c r="L75" s="27" t="n">
        <v>5175000</v>
      </c>
      <c r="M75" s="26"/>
      <c r="N75" s="8" t="n">
        <f aca="false">IF(L75="","",IF(K75="USD",ROUND(L75*설정!$C$4,0),L75))</f>
        <v>5175000</v>
      </c>
      <c r="O75" s="8" t="n">
        <f aca="false">IF(N75="","",IF(AND(J75="과세",M75="VAT포함"),ROUND(N75/(1+설정!$C$5),0),N75))</f>
        <v>5175000</v>
      </c>
      <c r="P75" s="8" t="n">
        <f aca="false">IF(N75="","",IF(J75="과세",IF(M75="VAT포함",N75-O75,ROUND(O75*설정!$C$5,0)),0))</f>
        <v>0</v>
      </c>
      <c r="Q75" s="8" t="n">
        <f aca="false">IF(N75="","",O75+P75)</f>
        <v>5175000</v>
      </c>
      <c r="R75" s="26"/>
      <c r="S75" s="8" t="str">
        <f aca="false">IF(OR(N75="",R75&lt;&gt;"Y"),"",ROUND(O75*설정!$C$5,0))</f>
        <v/>
      </c>
      <c r="T75" s="23" t="s">
        <v>96</v>
      </c>
    </row>
    <row r="76" customFormat="false" ht="15" hidden="false" customHeight="false" outlineLevel="0" collapsed="false">
      <c r="A76" s="21" t="n">
        <f aca="false">IF(C76="","",COUNTA($C$5:C76))</f>
        <v>72</v>
      </c>
      <c r="B76" s="22" t="n">
        <v>46296</v>
      </c>
      <c r="C76" s="23" t="s">
        <v>21</v>
      </c>
      <c r="D76" s="26" t="s">
        <v>7</v>
      </c>
      <c r="E76" s="25"/>
      <c r="F76" s="7" t="str">
        <f aca="false">IF(E76="","",IFERROR(INDEX(코드관리!$C$7:$C$66,MATCH(E76,코드관리!$B$7:$B$66,0)),"미등록 코드"))</f>
        <v/>
      </c>
      <c r="G76" s="25"/>
      <c r="H76" s="25" t="s">
        <v>150</v>
      </c>
      <c r="I76" s="25" t="s">
        <v>122</v>
      </c>
      <c r="J76" s="24" t="s">
        <v>65</v>
      </c>
      <c r="K76" s="26" t="s">
        <v>61</v>
      </c>
      <c r="L76" s="27" t="n">
        <v>2029300</v>
      </c>
      <c r="M76" s="26"/>
      <c r="N76" s="8" t="n">
        <f aca="false">IF(L76="","",IF(K76="USD",ROUND(L76*설정!$C$4,0),L76))</f>
        <v>2029300</v>
      </c>
      <c r="O76" s="8" t="n">
        <f aca="false">IF(N76="","",IF(AND(J76="과세",M76="VAT포함"),ROUND(N76/(1+설정!$C$5),0),N76))</f>
        <v>2029300</v>
      </c>
      <c r="P76" s="8" t="n">
        <f aca="false">IF(N76="","",IF(J76="과세",IF(M76="VAT포함",N76-O76,ROUND(O76*설정!$C$5,0)),0))</f>
        <v>0</v>
      </c>
      <c r="Q76" s="8" t="n">
        <f aca="false">IF(N76="","",O76+P76)</f>
        <v>2029300</v>
      </c>
      <c r="R76" s="26"/>
      <c r="S76" s="8" t="str">
        <f aca="false">IF(OR(N76="",R76&lt;&gt;"Y"),"",ROUND(O76*설정!$C$5,0))</f>
        <v/>
      </c>
      <c r="T76" s="23" t="s">
        <v>103</v>
      </c>
    </row>
    <row r="77" customFormat="false" ht="15" hidden="false" customHeight="false" outlineLevel="0" collapsed="false">
      <c r="A77" s="21" t="n">
        <f aca="false">IF(C77="","",COUNTA($C$5:C77))</f>
        <v>73</v>
      </c>
      <c r="B77" s="22" t="n">
        <v>46297</v>
      </c>
      <c r="C77" s="23" t="s">
        <v>21</v>
      </c>
      <c r="D77" s="26" t="s">
        <v>7</v>
      </c>
      <c r="E77" s="25"/>
      <c r="F77" s="7" t="str">
        <f aca="false">IF(E77="","",IFERROR(INDEX(코드관리!$C$7:$C$66,MATCH(E77,코드관리!$B$7:$B$66,0)),"미등록 코드"))</f>
        <v/>
      </c>
      <c r="G77" s="25"/>
      <c r="H77" s="25" t="s">
        <v>151</v>
      </c>
      <c r="I77" s="25" t="s">
        <v>152</v>
      </c>
      <c r="J77" s="24" t="s">
        <v>65</v>
      </c>
      <c r="K77" s="26" t="s">
        <v>61</v>
      </c>
      <c r="L77" s="27" t="n">
        <v>41976</v>
      </c>
      <c r="M77" s="26"/>
      <c r="N77" s="8" t="n">
        <f aca="false">IF(L77="","",IF(K77="USD",ROUND(L77*설정!$C$4,0),L77))</f>
        <v>41976</v>
      </c>
      <c r="O77" s="8" t="n">
        <f aca="false">IF(N77="","",IF(AND(J77="과세",M77="VAT포함"),ROUND(N77/(1+설정!$C$5),0),N77))</f>
        <v>41976</v>
      </c>
      <c r="P77" s="8" t="n">
        <f aca="false">IF(N77="","",IF(J77="과세",IF(M77="VAT포함",N77-O77,ROUND(O77*설정!$C$5,0)),0))</f>
        <v>0</v>
      </c>
      <c r="Q77" s="8" t="n">
        <f aca="false">IF(N77="","",O77+P77)</f>
        <v>41976</v>
      </c>
      <c r="R77" s="26"/>
      <c r="S77" s="8" t="str">
        <f aca="false">IF(OR(N77="",R77&lt;&gt;"Y"),"",ROUND(O77*설정!$C$5,0))</f>
        <v/>
      </c>
      <c r="T77" s="23" t="s">
        <v>103</v>
      </c>
    </row>
    <row r="78" customFormat="false" ht="15" hidden="false" customHeight="false" outlineLevel="0" collapsed="false">
      <c r="A78" s="21" t="n">
        <f aca="false">IF(C78="","",COUNTA($C$5:C78))</f>
        <v>74</v>
      </c>
      <c r="B78" s="22" t="n">
        <v>46297</v>
      </c>
      <c r="C78" s="23" t="s">
        <v>21</v>
      </c>
      <c r="D78" s="26" t="s">
        <v>7</v>
      </c>
      <c r="E78" s="25"/>
      <c r="F78" s="7" t="str">
        <f aca="false">IF(E78="","",IFERROR(INDEX(코드관리!$C$7:$C$66,MATCH(E78,코드관리!$B$7:$B$66,0)),"미등록 코드"))</f>
        <v/>
      </c>
      <c r="G78" s="25"/>
      <c r="H78" s="25" t="s">
        <v>112</v>
      </c>
      <c r="I78" s="25" t="s">
        <v>153</v>
      </c>
      <c r="J78" s="24" t="s">
        <v>65</v>
      </c>
      <c r="K78" s="26" t="s">
        <v>61</v>
      </c>
      <c r="L78" s="27" t="n">
        <v>630000</v>
      </c>
      <c r="M78" s="26"/>
      <c r="N78" s="8" t="n">
        <f aca="false">IF(L78="","",IF(K78="USD",ROUND(L78*설정!$C$4,0),L78))</f>
        <v>630000</v>
      </c>
      <c r="O78" s="8" t="n">
        <f aca="false">IF(N78="","",IF(AND(J78="과세",M78="VAT포함"),ROUND(N78/(1+설정!$C$5),0),N78))</f>
        <v>630000</v>
      </c>
      <c r="P78" s="8" t="n">
        <f aca="false">IF(N78="","",IF(J78="과세",IF(M78="VAT포함",N78-O78,ROUND(O78*설정!$C$5,0)),0))</f>
        <v>0</v>
      </c>
      <c r="Q78" s="8" t="n">
        <f aca="false">IF(N78="","",O78+P78)</f>
        <v>630000</v>
      </c>
      <c r="R78" s="26"/>
      <c r="S78" s="8" t="str">
        <f aca="false">IF(OR(N78="",R78&lt;&gt;"Y"),"",ROUND(O78*설정!$C$5,0))</f>
        <v/>
      </c>
      <c r="T78" s="23" t="s">
        <v>114</v>
      </c>
    </row>
    <row r="79" customFormat="false" ht="15" hidden="false" customHeight="false" outlineLevel="0" collapsed="false">
      <c r="A79" s="21" t="n">
        <f aca="false">IF(C79="","",COUNTA($C$5:C79))</f>
        <v>75</v>
      </c>
      <c r="B79" s="22" t="n">
        <v>46297</v>
      </c>
      <c r="C79" s="23" t="s">
        <v>21</v>
      </c>
      <c r="D79" s="26" t="s">
        <v>7</v>
      </c>
      <c r="E79" s="25"/>
      <c r="F79" s="7" t="str">
        <f aca="false">IF(E79="","",IFERROR(INDEX(코드관리!$C$7:$C$66,MATCH(E79,코드관리!$B$7:$B$66,0)),"미등록 코드"))</f>
        <v/>
      </c>
      <c r="G79" s="25"/>
      <c r="H79" s="25" t="s">
        <v>115</v>
      </c>
      <c r="I79" s="23" t="s">
        <v>154</v>
      </c>
      <c r="J79" s="24" t="s">
        <v>65</v>
      </c>
      <c r="K79" s="26" t="s">
        <v>61</v>
      </c>
      <c r="L79" s="27" t="n">
        <v>1190000</v>
      </c>
      <c r="M79" s="26"/>
      <c r="N79" s="8" t="n">
        <f aca="false">IF(L79="","",IF(K79="USD",ROUND(L79*설정!$C$4,0),L79))</f>
        <v>1190000</v>
      </c>
      <c r="O79" s="8" t="n">
        <f aca="false">IF(N79="","",IF(AND(J79="과세",M79="VAT포함"),ROUND(N79/(1+설정!$C$5),0),N79))</f>
        <v>1190000</v>
      </c>
      <c r="P79" s="8" t="n">
        <f aca="false">IF(N79="","",IF(J79="과세",IF(M79="VAT포함",N79-O79,ROUND(O79*설정!$C$5,0)),0))</f>
        <v>0</v>
      </c>
      <c r="Q79" s="8" t="n">
        <f aca="false">IF(N79="","",O79+P79)</f>
        <v>1190000</v>
      </c>
      <c r="R79" s="26"/>
      <c r="S79" s="8" t="str">
        <f aca="false">IF(OR(N79="",R79&lt;&gt;"Y"),"",ROUND(O79*설정!$C$5,0))</f>
        <v/>
      </c>
      <c r="T79" s="23" t="s">
        <v>155</v>
      </c>
    </row>
    <row r="80" customFormat="false" ht="15" hidden="false" customHeight="false" outlineLevel="0" collapsed="false">
      <c r="A80" s="21" t="n">
        <f aca="false">IF(C80="","",COUNTA($C$5:C80))</f>
        <v>76</v>
      </c>
      <c r="B80" s="22" t="n">
        <v>46297</v>
      </c>
      <c r="C80" s="23" t="s">
        <v>21</v>
      </c>
      <c r="D80" s="26" t="s">
        <v>7</v>
      </c>
      <c r="E80" s="25"/>
      <c r="F80" s="7" t="str">
        <f aca="false">IF(E80="","",IFERROR(INDEX(코드관리!$C$7:$C$66,MATCH(E80,코드관리!$B$7:$B$66,0)),"미등록 코드"))</f>
        <v/>
      </c>
      <c r="G80" s="25"/>
      <c r="H80" s="25" t="s">
        <v>115</v>
      </c>
      <c r="I80" s="23" t="s">
        <v>118</v>
      </c>
      <c r="J80" s="24" t="s">
        <v>65</v>
      </c>
      <c r="K80" s="26" t="s">
        <v>61</v>
      </c>
      <c r="L80" s="27" t="n">
        <v>220000</v>
      </c>
      <c r="M80" s="26"/>
      <c r="N80" s="8" t="n">
        <f aca="false">IF(L80="","",IF(K80="USD",ROUND(L80*설정!$C$4,0),L80))</f>
        <v>220000</v>
      </c>
      <c r="O80" s="8" t="n">
        <f aca="false">IF(N80="","",IF(AND(J80="과세",M80="VAT포함"),ROUND(N80/(1+설정!$C$5),0),N80))</f>
        <v>220000</v>
      </c>
      <c r="P80" s="8" t="n">
        <f aca="false">IF(N80="","",IF(J80="과세",IF(M80="VAT포함",N80-O80,ROUND(O80*설정!$C$5,0)),0))</f>
        <v>0</v>
      </c>
      <c r="Q80" s="8" t="n">
        <f aca="false">IF(N80="","",O80+P80)</f>
        <v>220000</v>
      </c>
      <c r="R80" s="26"/>
      <c r="S80" s="8" t="str">
        <f aca="false">IF(OR(N80="",R80&lt;&gt;"Y"),"",ROUND(O80*설정!$C$5,0))</f>
        <v/>
      </c>
      <c r="T80" s="23" t="s">
        <v>156</v>
      </c>
    </row>
    <row r="81" customFormat="false" ht="15" hidden="false" customHeight="false" outlineLevel="0" collapsed="false">
      <c r="A81" s="21" t="n">
        <f aca="false">IF(C81="","",COUNTA($C$5:C81))</f>
        <v>77</v>
      </c>
      <c r="B81" s="22" t="n">
        <v>46282</v>
      </c>
      <c r="C81" s="23" t="s">
        <v>21</v>
      </c>
      <c r="D81" s="26" t="s">
        <v>8</v>
      </c>
      <c r="E81" s="25"/>
      <c r="F81" s="7" t="str">
        <f aca="false">IF(E81="","",IFERROR(INDEX(코드관리!$C$7:$C$66,MATCH(E81,코드관리!$B$7:$B$66,0)),"미등록 코드"))</f>
        <v/>
      </c>
      <c r="G81" s="25"/>
      <c r="H81" s="25"/>
      <c r="I81" s="23" t="s">
        <v>157</v>
      </c>
      <c r="J81" s="24" t="s">
        <v>65</v>
      </c>
      <c r="K81" s="26" t="s">
        <v>61</v>
      </c>
      <c r="L81" s="27" t="n">
        <v>241500</v>
      </c>
      <c r="M81" s="26"/>
      <c r="N81" s="8" t="n">
        <f aca="false">IF(L81="","",IF(K81="USD",ROUND(L81*설정!$C$4,0),L81))</f>
        <v>241500</v>
      </c>
      <c r="O81" s="8" t="n">
        <f aca="false">IF(N81="","",IF(AND(J81="과세",M81="VAT포함"),ROUND(N81/(1+설정!$C$5),0),N81))</f>
        <v>241500</v>
      </c>
      <c r="P81" s="8" t="n">
        <f aca="false">IF(N81="","",IF(J81="과세",IF(M81="VAT포함",N81-O81,ROUND(O81*설정!$C$5,0)),0))</f>
        <v>0</v>
      </c>
      <c r="Q81" s="8" t="n">
        <f aca="false">IF(N81="","",O81+P81)</f>
        <v>241500</v>
      </c>
      <c r="R81" s="26"/>
      <c r="S81" s="8" t="str">
        <f aca="false">IF(OR(N81="",R81&lt;&gt;"Y"),"",ROUND(O81*설정!$C$5,0))</f>
        <v/>
      </c>
      <c r="T81" s="25" t="s">
        <v>158</v>
      </c>
    </row>
    <row r="82" customFormat="false" ht="15" hidden="false" customHeight="false" outlineLevel="0" collapsed="false">
      <c r="A82" s="21" t="n">
        <f aca="false">IF(C82="","",COUNTA($C$5:C82))</f>
        <v>78</v>
      </c>
      <c r="B82" s="22"/>
      <c r="C82" s="23" t="s">
        <v>21</v>
      </c>
      <c r="D82" s="26" t="s">
        <v>4</v>
      </c>
      <c r="E82" s="25"/>
      <c r="F82" s="7" t="str">
        <f aca="false">IF(E82="","",IFERROR(INDEX(코드관리!$C$7:$C$66,MATCH(E82,코드관리!$B$7:$B$66,0)),"미등록 코드"))</f>
        <v/>
      </c>
      <c r="G82" s="25"/>
      <c r="H82" s="25"/>
      <c r="I82" s="25" t="s">
        <v>159</v>
      </c>
      <c r="J82" s="24" t="s">
        <v>65</v>
      </c>
      <c r="K82" s="26" t="s">
        <v>61</v>
      </c>
      <c r="L82" s="27" t="n">
        <v>20493000</v>
      </c>
      <c r="M82" s="26"/>
      <c r="N82" s="8" t="n">
        <f aca="false">IF(L82="","",IF(K82="USD",ROUND(L82*설정!$C$4,0),L82))</f>
        <v>20493000</v>
      </c>
      <c r="O82" s="8" t="n">
        <f aca="false">IF(N82="","",IF(AND(J82="과세",M82="VAT포함"),ROUND(N82/(1+설정!$C$5),0),N82))</f>
        <v>20493000</v>
      </c>
      <c r="P82" s="8" t="n">
        <f aca="false">IF(N82="","",IF(J82="과세",IF(M82="VAT포함",N82-O82,ROUND(O82*설정!$C$5,0)),0))</f>
        <v>0</v>
      </c>
      <c r="Q82" s="8" t="n">
        <f aca="false">IF(N82="","",O82+P82)</f>
        <v>20493000</v>
      </c>
      <c r="R82" s="26"/>
      <c r="S82" s="8" t="str">
        <f aca="false">IF(OR(N82="",R82&lt;&gt;"Y"),"",ROUND(O82*설정!$C$5,0))</f>
        <v/>
      </c>
      <c r="T82" s="25" t="s">
        <v>160</v>
      </c>
    </row>
    <row r="83" customFormat="false" ht="15" hidden="false" customHeight="false" outlineLevel="0" collapsed="false">
      <c r="A83" s="21" t="n">
        <f aca="false">IF(C83="","",COUNTA($C$5:C83))</f>
        <v>79</v>
      </c>
      <c r="B83" s="22"/>
      <c r="C83" s="23" t="s">
        <v>21</v>
      </c>
      <c r="D83" s="26" t="s">
        <v>7</v>
      </c>
      <c r="E83" s="25"/>
      <c r="F83" s="7" t="str">
        <f aca="false">IF(E83="","",IFERROR(INDEX(코드관리!$C$7:$C$66,MATCH(E83,코드관리!$B$7:$B$66,0)),"미등록 코드"))</f>
        <v/>
      </c>
      <c r="G83" s="25"/>
      <c r="H83" s="25"/>
      <c r="I83" s="25" t="s">
        <v>161</v>
      </c>
      <c r="J83" s="24" t="s">
        <v>65</v>
      </c>
      <c r="K83" s="26" t="s">
        <v>61</v>
      </c>
      <c r="L83" s="27" t="n">
        <v>2530000</v>
      </c>
      <c r="M83" s="26"/>
      <c r="N83" s="8" t="n">
        <f aca="false">IF(L83="","",IF(K83="USD",ROUND(L83*설정!$C$4,0),L83))</f>
        <v>2530000</v>
      </c>
      <c r="O83" s="8" t="n">
        <f aca="false">IF(N83="","",IF(AND(J83="과세",M83="VAT포함"),ROUND(N83/(1+설정!$C$5),0),N83))</f>
        <v>2530000</v>
      </c>
      <c r="P83" s="8" t="n">
        <f aca="false">IF(N83="","",IF(J83="과세",IF(M83="VAT포함",N83-O83,ROUND(O83*설정!$C$5,0)),0))</f>
        <v>0</v>
      </c>
      <c r="Q83" s="8" t="n">
        <f aca="false">IF(N83="","",O83+P83)</f>
        <v>2530000</v>
      </c>
      <c r="R83" s="26"/>
      <c r="S83" s="8" t="str">
        <f aca="false">IF(OR(N83="",R83&lt;&gt;"Y"),"",ROUND(O83*설정!$C$5,0))</f>
        <v/>
      </c>
      <c r="T83" s="25" t="s">
        <v>162</v>
      </c>
    </row>
    <row r="84" customFormat="false" ht="15" hidden="false" customHeight="false" outlineLevel="0" collapsed="false">
      <c r="A84" s="21" t="n">
        <f aca="false">IF(C84="","",COUNTA($C$5:C84))</f>
        <v>80</v>
      </c>
      <c r="B84" s="22" t="n">
        <v>46268</v>
      </c>
      <c r="C84" s="23" t="s">
        <v>21</v>
      </c>
      <c r="D84" s="26" t="s">
        <v>4</v>
      </c>
      <c r="E84" s="25"/>
      <c r="F84" s="7" t="str">
        <f aca="false">IF(E84="","",IFERROR(INDEX(코드관리!$C$7:$C$66,MATCH(E84,코드관리!$B$7:$B$66,0)),"미등록 코드"))</f>
        <v/>
      </c>
      <c r="G84" s="25"/>
      <c r="H84" s="25"/>
      <c r="I84" s="23" t="s">
        <v>163</v>
      </c>
      <c r="J84" s="24" t="s">
        <v>65</v>
      </c>
      <c r="K84" s="26" t="s">
        <v>61</v>
      </c>
      <c r="L84" s="27" t="n">
        <v>9174000</v>
      </c>
      <c r="M84" s="26"/>
      <c r="N84" s="8" t="n">
        <f aca="false">IF(L84="","",IF(K84="USD",ROUND(L84*설정!$C$4,0),L84))</f>
        <v>9174000</v>
      </c>
      <c r="O84" s="8" t="n">
        <f aca="false">IF(N84="","",IF(AND(J84="과세",M84="VAT포함"),ROUND(N84/(1+설정!$C$5),0),N84))</f>
        <v>9174000</v>
      </c>
      <c r="P84" s="8" t="n">
        <f aca="false">IF(N84="","",IF(J84="과세",IF(M84="VAT포함",N84-O84,ROUND(O84*설정!$C$5,0)),0))</f>
        <v>0</v>
      </c>
      <c r="Q84" s="8" t="n">
        <f aca="false">IF(N84="","",O84+P84)</f>
        <v>9174000</v>
      </c>
      <c r="R84" s="26"/>
      <c r="S84" s="8" t="str">
        <f aca="false">IF(OR(N84="",R84&lt;&gt;"Y"),"",ROUND(O84*설정!$C$5,0))</f>
        <v/>
      </c>
      <c r="T84" s="25" t="s">
        <v>164</v>
      </c>
    </row>
    <row r="85" customFormat="false" ht="15" hidden="false" customHeight="false" outlineLevel="0" collapsed="false">
      <c r="A85" s="21" t="n">
        <f aca="false">IF(C85="","",COUNTA($C$5:C85))</f>
        <v>81</v>
      </c>
      <c r="B85" s="22" t="n">
        <v>46268</v>
      </c>
      <c r="C85" s="23" t="s">
        <v>21</v>
      </c>
      <c r="D85" s="26" t="s">
        <v>4</v>
      </c>
      <c r="E85" s="25"/>
      <c r="F85" s="7" t="str">
        <f aca="false">IF(E85="","",IFERROR(INDEX(코드관리!$C$7:$C$66,MATCH(E85,코드관리!$B$7:$B$66,0)),"미등록 코드"))</f>
        <v/>
      </c>
      <c r="G85" s="25"/>
      <c r="H85" s="25"/>
      <c r="I85" s="23" t="s">
        <v>165</v>
      </c>
      <c r="J85" s="24" t="s">
        <v>65</v>
      </c>
      <c r="K85" s="26" t="s">
        <v>61</v>
      </c>
      <c r="L85" s="27" t="n">
        <v>4400000</v>
      </c>
      <c r="M85" s="26"/>
      <c r="N85" s="8" t="n">
        <f aca="false">IF(L85="","",IF(K85="USD",ROUND(L85*설정!$C$4,0),L85))</f>
        <v>4400000</v>
      </c>
      <c r="O85" s="8" t="n">
        <f aca="false">IF(N85="","",IF(AND(J85="과세",M85="VAT포함"),ROUND(N85/(1+설정!$C$5),0),N85))</f>
        <v>4400000</v>
      </c>
      <c r="P85" s="8" t="n">
        <f aca="false">IF(N85="","",IF(J85="과세",IF(M85="VAT포함",N85-O85,ROUND(O85*설정!$C$5,0)),0))</f>
        <v>0</v>
      </c>
      <c r="Q85" s="8" t="n">
        <f aca="false">IF(N85="","",O85+P85)</f>
        <v>4400000</v>
      </c>
      <c r="R85" s="26"/>
      <c r="S85" s="8" t="str">
        <f aca="false">IF(OR(N85="",R85&lt;&gt;"Y"),"",ROUND(O85*설정!$C$5,0))</f>
        <v/>
      </c>
      <c r="T85" s="25" t="s">
        <v>164</v>
      </c>
    </row>
    <row r="86" customFormat="false" ht="15" hidden="false" customHeight="false" outlineLevel="0" collapsed="false">
      <c r="A86" s="21" t="n">
        <f aca="false">IF(C86="","",COUNTA($C$5:C86))</f>
        <v>82</v>
      </c>
      <c r="B86" s="22" t="n">
        <v>46268</v>
      </c>
      <c r="C86" s="23" t="s">
        <v>21</v>
      </c>
      <c r="D86" s="26" t="s">
        <v>4</v>
      </c>
      <c r="E86" s="25"/>
      <c r="F86" s="7" t="str">
        <f aca="false">IF(E86="","",IFERROR(INDEX(코드관리!$C$7:$C$66,MATCH(E86,코드관리!$B$7:$B$66,0)),"미등록 코드"))</f>
        <v/>
      </c>
      <c r="G86" s="25"/>
      <c r="H86" s="25"/>
      <c r="I86" s="25" t="s">
        <v>166</v>
      </c>
      <c r="J86" s="24" t="s">
        <v>65</v>
      </c>
      <c r="K86" s="26" t="s">
        <v>61</v>
      </c>
      <c r="L86" s="27" t="n">
        <v>1600245</v>
      </c>
      <c r="M86" s="26"/>
      <c r="N86" s="8" t="n">
        <f aca="false">IF(L86="","",IF(K86="USD",ROUND(L86*설정!$C$4,0),L86))</f>
        <v>1600245</v>
      </c>
      <c r="O86" s="8" t="n">
        <f aca="false">IF(N86="","",IF(AND(J86="과세",M86="VAT포함"),ROUND(N86/(1+설정!$C$5),0),N86))</f>
        <v>1600245</v>
      </c>
      <c r="P86" s="8" t="n">
        <f aca="false">IF(N86="","",IF(J86="과세",IF(M86="VAT포함",N86-O86,ROUND(O86*설정!$C$5,0)),0))</f>
        <v>0</v>
      </c>
      <c r="Q86" s="8" t="n">
        <f aca="false">IF(N86="","",O86+P86)</f>
        <v>1600245</v>
      </c>
      <c r="R86" s="26"/>
      <c r="S86" s="8" t="str">
        <f aca="false">IF(OR(N86="",R86&lt;&gt;"Y"),"",ROUND(O86*설정!$C$5,0))</f>
        <v/>
      </c>
      <c r="T86" s="25" t="s">
        <v>164</v>
      </c>
    </row>
    <row r="87" customFormat="false" ht="15" hidden="false" customHeight="false" outlineLevel="0" collapsed="false">
      <c r="A87" s="21" t="n">
        <f aca="false">IF(C87="","",COUNTA($C$5:C87))</f>
        <v>83</v>
      </c>
      <c r="B87" s="22" t="n">
        <v>46268</v>
      </c>
      <c r="C87" s="23" t="s">
        <v>21</v>
      </c>
      <c r="D87" s="26" t="s">
        <v>4</v>
      </c>
      <c r="E87" s="25"/>
      <c r="F87" s="7" t="str">
        <f aca="false">IF(E87="","",IFERROR(INDEX(코드관리!$C$7:$C$66,MATCH(E87,코드관리!$B$7:$B$66,0)),"미등록 코드"))</f>
        <v/>
      </c>
      <c r="G87" s="25"/>
      <c r="H87" s="25"/>
      <c r="I87" s="25" t="s">
        <v>167</v>
      </c>
      <c r="J87" s="24" t="s">
        <v>65</v>
      </c>
      <c r="K87" s="26" t="s">
        <v>61</v>
      </c>
      <c r="L87" s="27" t="n">
        <v>1100000</v>
      </c>
      <c r="M87" s="26"/>
      <c r="N87" s="8" t="n">
        <f aca="false">IF(L87="","",IF(K87="USD",ROUND(L87*설정!$C$4,0),L87))</f>
        <v>1100000</v>
      </c>
      <c r="O87" s="8" t="n">
        <f aca="false">IF(N87="","",IF(AND(J87="과세",M87="VAT포함"),ROUND(N87/(1+설정!$C$5),0),N87))</f>
        <v>1100000</v>
      </c>
      <c r="P87" s="8" t="n">
        <f aca="false">IF(N87="","",IF(J87="과세",IF(M87="VAT포함",N87-O87,ROUND(O87*설정!$C$5,0)),0))</f>
        <v>0</v>
      </c>
      <c r="Q87" s="8" t="n">
        <f aca="false">IF(N87="","",O87+P87)</f>
        <v>1100000</v>
      </c>
      <c r="R87" s="26"/>
      <c r="S87" s="8" t="str">
        <f aca="false">IF(OR(N87="",R87&lt;&gt;"Y"),"",ROUND(O87*설정!$C$5,0))</f>
        <v/>
      </c>
      <c r="T87" s="25" t="s">
        <v>164</v>
      </c>
    </row>
    <row r="88" customFormat="false" ht="15" hidden="false" customHeight="false" outlineLevel="0" collapsed="false">
      <c r="A88" s="21" t="n">
        <f aca="false">IF(C88="","",COUNTA($C$5:C88))</f>
        <v>84</v>
      </c>
      <c r="B88" s="22" t="n">
        <v>46268</v>
      </c>
      <c r="C88" s="23" t="s">
        <v>21</v>
      </c>
      <c r="D88" s="26" t="s">
        <v>5</v>
      </c>
      <c r="E88" s="25"/>
      <c r="F88" s="7" t="str">
        <f aca="false">IF(E88="","",IFERROR(INDEX(코드관리!$C$7:$C$66,MATCH(E88,코드관리!$B$7:$B$66,0)),"미등록 코드"))</f>
        <v/>
      </c>
      <c r="G88" s="25"/>
      <c r="H88" s="25"/>
      <c r="I88" s="23" t="s">
        <v>163</v>
      </c>
      <c r="J88" s="24" t="s">
        <v>65</v>
      </c>
      <c r="K88" s="26" t="s">
        <v>61</v>
      </c>
      <c r="L88" s="27" t="n">
        <v>9174000</v>
      </c>
      <c r="M88" s="26"/>
      <c r="N88" s="8" t="n">
        <f aca="false">IF(L88="","",IF(K88="USD",ROUND(L88*설정!$C$4,0),L88))</f>
        <v>9174000</v>
      </c>
      <c r="O88" s="8" t="n">
        <f aca="false">IF(N88="","",IF(AND(J88="과세",M88="VAT포함"),ROUND(N88/(1+설정!$C$5),0),N88))</f>
        <v>9174000</v>
      </c>
      <c r="P88" s="8" t="n">
        <f aca="false">IF(N88="","",IF(J88="과세",IF(M88="VAT포함",N88-O88,ROUND(O88*설정!$C$5,0)),0))</f>
        <v>0</v>
      </c>
      <c r="Q88" s="8" t="n">
        <f aca="false">IF(N88="","",O88+P88)</f>
        <v>9174000</v>
      </c>
      <c r="R88" s="26"/>
      <c r="S88" s="8" t="str">
        <f aca="false">IF(OR(N88="",R88&lt;&gt;"Y"),"",ROUND(O88*설정!$C$5,0))</f>
        <v/>
      </c>
      <c r="T88" s="25" t="s">
        <v>164</v>
      </c>
    </row>
    <row r="89" customFormat="false" ht="15" hidden="false" customHeight="false" outlineLevel="0" collapsed="false">
      <c r="A89" s="21" t="n">
        <f aca="false">IF(C89="","",COUNTA($C$5:C89))</f>
        <v>85</v>
      </c>
      <c r="B89" s="22" t="n">
        <v>46268</v>
      </c>
      <c r="C89" s="23" t="s">
        <v>21</v>
      </c>
      <c r="D89" s="26" t="s">
        <v>5</v>
      </c>
      <c r="E89" s="25"/>
      <c r="F89" s="7" t="str">
        <f aca="false">IF(E89="","",IFERROR(INDEX(코드관리!$C$7:$C$66,MATCH(E89,코드관리!$B$7:$B$66,0)),"미등록 코드"))</f>
        <v/>
      </c>
      <c r="G89" s="25"/>
      <c r="H89" s="25"/>
      <c r="I89" s="23" t="s">
        <v>165</v>
      </c>
      <c r="J89" s="24" t="s">
        <v>65</v>
      </c>
      <c r="K89" s="26" t="s">
        <v>61</v>
      </c>
      <c r="L89" s="27" t="n">
        <v>4400000</v>
      </c>
      <c r="M89" s="26"/>
      <c r="N89" s="8" t="n">
        <f aca="false">IF(L89="","",IF(K89="USD",ROUND(L89*설정!$C$4,0),L89))</f>
        <v>4400000</v>
      </c>
      <c r="O89" s="8" t="n">
        <f aca="false">IF(N89="","",IF(AND(J89="과세",M89="VAT포함"),ROUND(N89/(1+설정!$C$5),0),N89))</f>
        <v>4400000</v>
      </c>
      <c r="P89" s="8" t="n">
        <f aca="false">IF(N89="","",IF(J89="과세",IF(M89="VAT포함",N89-O89,ROUND(O89*설정!$C$5,0)),0))</f>
        <v>0</v>
      </c>
      <c r="Q89" s="8" t="n">
        <f aca="false">IF(N89="","",O89+P89)</f>
        <v>4400000</v>
      </c>
      <c r="R89" s="26"/>
      <c r="S89" s="8" t="str">
        <f aca="false">IF(OR(N89="",R89&lt;&gt;"Y"),"",ROUND(O89*설정!$C$5,0))</f>
        <v/>
      </c>
      <c r="T89" s="25" t="s">
        <v>164</v>
      </c>
    </row>
    <row r="90" customFormat="false" ht="15" hidden="false" customHeight="false" outlineLevel="0" collapsed="false">
      <c r="A90" s="21" t="n">
        <f aca="false">IF(C90="","",COUNTA($C$5:C90))</f>
        <v>86</v>
      </c>
      <c r="B90" s="22" t="n">
        <v>46268</v>
      </c>
      <c r="C90" s="23" t="s">
        <v>21</v>
      </c>
      <c r="D90" s="26" t="s">
        <v>5</v>
      </c>
      <c r="E90" s="25"/>
      <c r="F90" s="7" t="str">
        <f aca="false">IF(E90="","",IFERROR(INDEX(코드관리!$C$7:$C$66,MATCH(E90,코드관리!$B$7:$B$66,0)),"미등록 코드"))</f>
        <v/>
      </c>
      <c r="G90" s="25"/>
      <c r="H90" s="25"/>
      <c r="I90" s="25" t="s">
        <v>166</v>
      </c>
      <c r="J90" s="24" t="s">
        <v>65</v>
      </c>
      <c r="K90" s="26" t="s">
        <v>61</v>
      </c>
      <c r="L90" s="27" t="n">
        <v>1581045</v>
      </c>
      <c r="M90" s="26"/>
      <c r="N90" s="8" t="n">
        <f aca="false">IF(L90="","",IF(K90="USD",ROUND(L90*설정!$C$4,0),L90))</f>
        <v>1581045</v>
      </c>
      <c r="O90" s="8" t="n">
        <f aca="false">IF(N90="","",IF(AND(J90="과세",M90="VAT포함"),ROUND(N90/(1+설정!$C$5),0),N90))</f>
        <v>1581045</v>
      </c>
      <c r="P90" s="8" t="n">
        <f aca="false">IF(N90="","",IF(J90="과세",IF(M90="VAT포함",N90-O90,ROUND(O90*설정!$C$5,0)),0))</f>
        <v>0</v>
      </c>
      <c r="Q90" s="8" t="n">
        <f aca="false">IF(N90="","",O90+P90)</f>
        <v>1581045</v>
      </c>
      <c r="R90" s="26"/>
      <c r="S90" s="8" t="str">
        <f aca="false">IF(OR(N90="",R90&lt;&gt;"Y"),"",ROUND(O90*설정!$C$5,0))</f>
        <v/>
      </c>
      <c r="T90" s="25" t="s">
        <v>164</v>
      </c>
    </row>
    <row r="91" customFormat="false" ht="15" hidden="false" customHeight="false" outlineLevel="0" collapsed="false">
      <c r="A91" s="21" t="n">
        <f aca="false">IF(C91="","",COUNTA($C$5:C91))</f>
        <v>87</v>
      </c>
      <c r="B91" s="22" t="n">
        <v>46268</v>
      </c>
      <c r="C91" s="23" t="s">
        <v>21</v>
      </c>
      <c r="D91" s="26" t="s">
        <v>5</v>
      </c>
      <c r="E91" s="25"/>
      <c r="F91" s="7" t="str">
        <f aca="false">IF(E91="","",IFERROR(INDEX(코드관리!$C$7:$C$66,MATCH(E91,코드관리!$B$7:$B$66,0)),"미등록 코드"))</f>
        <v/>
      </c>
      <c r="G91" s="25"/>
      <c r="H91" s="25"/>
      <c r="I91" s="25" t="s">
        <v>167</v>
      </c>
      <c r="J91" s="24" t="s">
        <v>65</v>
      </c>
      <c r="K91" s="26" t="s">
        <v>61</v>
      </c>
      <c r="L91" s="27" t="n">
        <v>1100000</v>
      </c>
      <c r="M91" s="26"/>
      <c r="N91" s="8" t="n">
        <f aca="false">IF(L91="","",IF(K91="USD",ROUND(L91*설정!$C$4,0),L91))</f>
        <v>1100000</v>
      </c>
      <c r="O91" s="8" t="n">
        <f aca="false">IF(N91="","",IF(AND(J91="과세",M91="VAT포함"),ROUND(N91/(1+설정!$C$5),0),N91))</f>
        <v>1100000</v>
      </c>
      <c r="P91" s="8" t="n">
        <f aca="false">IF(N91="","",IF(J91="과세",IF(M91="VAT포함",N91-O91,ROUND(O91*설정!$C$5,0)),0))</f>
        <v>0</v>
      </c>
      <c r="Q91" s="8" t="n">
        <f aca="false">IF(N91="","",O91+P91)</f>
        <v>1100000</v>
      </c>
      <c r="R91" s="26"/>
      <c r="S91" s="8" t="str">
        <f aca="false">IF(OR(N91="",R91&lt;&gt;"Y"),"",ROUND(O91*설정!$C$5,0))</f>
        <v/>
      </c>
      <c r="T91" s="25" t="s">
        <v>164</v>
      </c>
    </row>
    <row r="92" customFormat="false" ht="15" hidden="false" customHeight="false" outlineLevel="0" collapsed="false">
      <c r="A92" s="21" t="n">
        <f aca="false">IF(C92="","",COUNTA($C$5:C92))</f>
        <v>88</v>
      </c>
      <c r="B92" s="22" t="n">
        <v>46268</v>
      </c>
      <c r="C92" s="23" t="s">
        <v>21</v>
      </c>
      <c r="D92" s="26" t="s">
        <v>6</v>
      </c>
      <c r="E92" s="25"/>
      <c r="F92" s="7" t="str">
        <f aca="false">IF(E92="","",IFERROR(INDEX(코드관리!$C$7:$C$66,MATCH(E92,코드관리!$B$7:$B$66,0)),"미등록 코드"))</f>
        <v/>
      </c>
      <c r="G92" s="25"/>
      <c r="H92" s="25"/>
      <c r="I92" s="23" t="s">
        <v>163</v>
      </c>
      <c r="J92" s="24" t="s">
        <v>65</v>
      </c>
      <c r="K92" s="26" t="s">
        <v>61</v>
      </c>
      <c r="L92" s="27" t="n">
        <v>9174000</v>
      </c>
      <c r="M92" s="26"/>
      <c r="N92" s="8" t="n">
        <f aca="false">IF(L92="","",IF(K92="USD",ROUND(L92*설정!$C$4,0),L92))</f>
        <v>9174000</v>
      </c>
      <c r="O92" s="8" t="n">
        <f aca="false">IF(N92="","",IF(AND(J92="과세",M92="VAT포함"),ROUND(N92/(1+설정!$C$5),0),N92))</f>
        <v>9174000</v>
      </c>
      <c r="P92" s="8" t="n">
        <f aca="false">IF(N92="","",IF(J92="과세",IF(M92="VAT포함",N92-O92,ROUND(O92*설정!$C$5,0)),0))</f>
        <v>0</v>
      </c>
      <c r="Q92" s="8" t="n">
        <f aca="false">IF(N92="","",O92+P92)</f>
        <v>9174000</v>
      </c>
      <c r="R92" s="26"/>
      <c r="S92" s="8" t="str">
        <f aca="false">IF(OR(N92="",R92&lt;&gt;"Y"),"",ROUND(O92*설정!$C$5,0))</f>
        <v/>
      </c>
      <c r="T92" s="25" t="s">
        <v>164</v>
      </c>
    </row>
    <row r="93" customFormat="false" ht="15" hidden="false" customHeight="false" outlineLevel="0" collapsed="false">
      <c r="A93" s="21" t="n">
        <f aca="false">IF(C93="","",COUNTA($C$5:C93))</f>
        <v>89</v>
      </c>
      <c r="B93" s="22" t="n">
        <v>46268</v>
      </c>
      <c r="C93" s="23" t="s">
        <v>21</v>
      </c>
      <c r="D93" s="26" t="s">
        <v>6</v>
      </c>
      <c r="E93" s="25"/>
      <c r="F93" s="7" t="str">
        <f aca="false">IF(E93="","",IFERROR(INDEX(코드관리!$C$7:$C$66,MATCH(E93,코드관리!$B$7:$B$66,0)),"미등록 코드"))</f>
        <v/>
      </c>
      <c r="G93" s="25"/>
      <c r="H93" s="25"/>
      <c r="I93" s="23" t="s">
        <v>165</v>
      </c>
      <c r="J93" s="24" t="s">
        <v>65</v>
      </c>
      <c r="K93" s="26" t="s">
        <v>61</v>
      </c>
      <c r="L93" s="27" t="n">
        <v>4400000</v>
      </c>
      <c r="M93" s="26"/>
      <c r="N93" s="8" t="n">
        <f aca="false">IF(L93="","",IF(K93="USD",ROUND(L93*설정!$C$4,0),L93))</f>
        <v>4400000</v>
      </c>
      <c r="O93" s="8" t="n">
        <f aca="false">IF(N93="","",IF(AND(J93="과세",M93="VAT포함"),ROUND(N93/(1+설정!$C$5),0),N93))</f>
        <v>4400000</v>
      </c>
      <c r="P93" s="8" t="n">
        <f aca="false">IF(N93="","",IF(J93="과세",IF(M93="VAT포함",N93-O93,ROUND(O93*설정!$C$5,0)),0))</f>
        <v>0</v>
      </c>
      <c r="Q93" s="8" t="n">
        <f aca="false">IF(N93="","",O93+P93)</f>
        <v>4400000</v>
      </c>
      <c r="R93" s="26"/>
      <c r="S93" s="8" t="str">
        <f aca="false">IF(OR(N93="",R93&lt;&gt;"Y"),"",ROUND(O93*설정!$C$5,0))</f>
        <v/>
      </c>
      <c r="T93" s="25" t="s">
        <v>164</v>
      </c>
    </row>
    <row r="94" customFormat="false" ht="15" hidden="false" customHeight="false" outlineLevel="0" collapsed="false">
      <c r="A94" s="21" t="n">
        <f aca="false">IF(C94="","",COUNTA($C$5:C94))</f>
        <v>90</v>
      </c>
      <c r="B94" s="22" t="n">
        <v>46268</v>
      </c>
      <c r="C94" s="23" t="s">
        <v>21</v>
      </c>
      <c r="D94" s="26" t="s">
        <v>6</v>
      </c>
      <c r="E94" s="25"/>
      <c r="F94" s="7" t="str">
        <f aca="false">IF(E94="","",IFERROR(INDEX(코드관리!$C$7:$C$66,MATCH(E94,코드관리!$B$7:$B$66,0)),"미등록 코드"))</f>
        <v/>
      </c>
      <c r="G94" s="25"/>
      <c r="H94" s="25"/>
      <c r="I94" s="25" t="s">
        <v>166</v>
      </c>
      <c r="J94" s="24" t="s">
        <v>65</v>
      </c>
      <c r="K94" s="26" t="s">
        <v>61</v>
      </c>
      <c r="L94" s="27" t="n">
        <v>1581045</v>
      </c>
      <c r="M94" s="26"/>
      <c r="N94" s="8" t="n">
        <f aca="false">IF(L94="","",IF(K94="USD",ROUND(L94*설정!$C$4,0),L94))</f>
        <v>1581045</v>
      </c>
      <c r="O94" s="8" t="n">
        <f aca="false">IF(N94="","",IF(AND(J94="과세",M94="VAT포함"),ROUND(N94/(1+설정!$C$5),0),N94))</f>
        <v>1581045</v>
      </c>
      <c r="P94" s="8" t="n">
        <f aca="false">IF(N94="","",IF(J94="과세",IF(M94="VAT포함",N94-O94,ROUND(O94*설정!$C$5,0)),0))</f>
        <v>0</v>
      </c>
      <c r="Q94" s="8" t="n">
        <f aca="false">IF(N94="","",O94+P94)</f>
        <v>1581045</v>
      </c>
      <c r="R94" s="26"/>
      <c r="S94" s="8" t="str">
        <f aca="false">IF(OR(N94="",R94&lt;&gt;"Y"),"",ROUND(O94*설정!$C$5,0))</f>
        <v/>
      </c>
      <c r="T94" s="25" t="s">
        <v>164</v>
      </c>
    </row>
    <row r="95" customFormat="false" ht="15" hidden="false" customHeight="false" outlineLevel="0" collapsed="false">
      <c r="A95" s="21" t="n">
        <f aca="false">IF(C95="","",COUNTA($C$5:C95))</f>
        <v>91</v>
      </c>
      <c r="B95" s="22" t="n">
        <v>46268</v>
      </c>
      <c r="C95" s="23" t="s">
        <v>21</v>
      </c>
      <c r="D95" s="26" t="s">
        <v>6</v>
      </c>
      <c r="E95" s="25"/>
      <c r="F95" s="7" t="str">
        <f aca="false">IF(E95="","",IFERROR(INDEX(코드관리!$C$7:$C$66,MATCH(E95,코드관리!$B$7:$B$66,0)),"미등록 코드"))</f>
        <v/>
      </c>
      <c r="G95" s="25"/>
      <c r="H95" s="25"/>
      <c r="I95" s="25" t="s">
        <v>167</v>
      </c>
      <c r="J95" s="24" t="s">
        <v>65</v>
      </c>
      <c r="K95" s="26" t="s">
        <v>61</v>
      </c>
      <c r="L95" s="27" t="n">
        <v>1100000</v>
      </c>
      <c r="M95" s="26"/>
      <c r="N95" s="8" t="n">
        <f aca="false">IF(L95="","",IF(K95="USD",ROUND(L95*설정!$C$4,0),L95))</f>
        <v>1100000</v>
      </c>
      <c r="O95" s="8" t="n">
        <f aca="false">IF(N95="","",IF(AND(J95="과세",M95="VAT포함"),ROUND(N95/(1+설정!$C$5),0),N95))</f>
        <v>1100000</v>
      </c>
      <c r="P95" s="8" t="n">
        <f aca="false">IF(N95="","",IF(J95="과세",IF(M95="VAT포함",N95-O95,ROUND(O95*설정!$C$5,0)),0))</f>
        <v>0</v>
      </c>
      <c r="Q95" s="8" t="n">
        <f aca="false">IF(N95="","",O95+P95)</f>
        <v>1100000</v>
      </c>
      <c r="R95" s="26"/>
      <c r="S95" s="8" t="str">
        <f aca="false">IF(OR(N95="",R95&lt;&gt;"Y"),"",ROUND(O95*설정!$C$5,0))</f>
        <v/>
      </c>
      <c r="T95" s="25" t="s">
        <v>164</v>
      </c>
    </row>
    <row r="96" customFormat="false" ht="15" hidden="false" customHeight="false" outlineLevel="0" collapsed="false">
      <c r="A96" s="21" t="n">
        <f aca="false">IF(C96="","",COUNTA($C$5:C96))</f>
        <v>92</v>
      </c>
      <c r="B96" s="22" t="n">
        <v>46268</v>
      </c>
      <c r="C96" s="23" t="s">
        <v>21</v>
      </c>
      <c r="D96" s="26" t="s">
        <v>7</v>
      </c>
      <c r="E96" s="25"/>
      <c r="F96" s="7" t="str">
        <f aca="false">IF(E96="","",IFERROR(INDEX(코드관리!$C$7:$C$66,MATCH(E96,코드관리!$B$7:$B$66,0)),"미등록 코드"))</f>
        <v/>
      </c>
      <c r="G96" s="25"/>
      <c r="H96" s="25"/>
      <c r="I96" s="23" t="s">
        <v>163</v>
      </c>
      <c r="J96" s="24" t="s">
        <v>65</v>
      </c>
      <c r="K96" s="26" t="s">
        <v>61</v>
      </c>
      <c r="L96" s="27" t="n">
        <v>9174000</v>
      </c>
      <c r="M96" s="26"/>
      <c r="N96" s="8" t="n">
        <f aca="false">IF(L96="","",IF(K96="USD",ROUND(L96*설정!$C$4,0),L96))</f>
        <v>9174000</v>
      </c>
      <c r="O96" s="8" t="n">
        <f aca="false">IF(N96="","",IF(AND(J96="과세",M96="VAT포함"),ROUND(N96/(1+설정!$C$5),0),N96))</f>
        <v>9174000</v>
      </c>
      <c r="P96" s="8" t="n">
        <f aca="false">IF(N96="","",IF(J96="과세",IF(M96="VAT포함",N96-O96,ROUND(O96*설정!$C$5,0)),0))</f>
        <v>0</v>
      </c>
      <c r="Q96" s="8" t="n">
        <f aca="false">IF(N96="","",O96+P96)</f>
        <v>9174000</v>
      </c>
      <c r="R96" s="26"/>
      <c r="S96" s="8" t="str">
        <f aca="false">IF(OR(N96="",R96&lt;&gt;"Y"),"",ROUND(O96*설정!$C$5,0))</f>
        <v/>
      </c>
      <c r="T96" s="25" t="s">
        <v>164</v>
      </c>
    </row>
    <row r="97" customFormat="false" ht="15" hidden="false" customHeight="false" outlineLevel="0" collapsed="false">
      <c r="A97" s="21" t="n">
        <f aca="false">IF(C97="","",COUNTA($C$5:C97))</f>
        <v>93</v>
      </c>
      <c r="B97" s="22" t="n">
        <v>46268</v>
      </c>
      <c r="C97" s="23" t="s">
        <v>21</v>
      </c>
      <c r="D97" s="26" t="s">
        <v>7</v>
      </c>
      <c r="E97" s="25"/>
      <c r="F97" s="7" t="str">
        <f aca="false">IF(E97="","",IFERROR(INDEX(코드관리!$C$7:$C$66,MATCH(E97,코드관리!$B$7:$B$66,0)),"미등록 코드"))</f>
        <v/>
      </c>
      <c r="G97" s="25"/>
      <c r="H97" s="25"/>
      <c r="I97" s="23" t="s">
        <v>165</v>
      </c>
      <c r="J97" s="24" t="s">
        <v>65</v>
      </c>
      <c r="K97" s="26" t="s">
        <v>61</v>
      </c>
      <c r="L97" s="27" t="n">
        <v>4400000</v>
      </c>
      <c r="M97" s="26"/>
      <c r="N97" s="8" t="n">
        <f aca="false">IF(L97="","",IF(K97="USD",ROUND(L97*설정!$C$4,0),L97))</f>
        <v>4400000</v>
      </c>
      <c r="O97" s="8" t="n">
        <f aca="false">IF(N97="","",IF(AND(J97="과세",M97="VAT포함"),ROUND(N97/(1+설정!$C$5),0),N97))</f>
        <v>4400000</v>
      </c>
      <c r="P97" s="8" t="n">
        <f aca="false">IF(N97="","",IF(J97="과세",IF(M97="VAT포함",N97-O97,ROUND(O97*설정!$C$5,0)),0))</f>
        <v>0</v>
      </c>
      <c r="Q97" s="8" t="n">
        <f aca="false">IF(N97="","",O97+P97)</f>
        <v>4400000</v>
      </c>
      <c r="R97" s="26"/>
      <c r="S97" s="8" t="str">
        <f aca="false">IF(OR(N97="",R97&lt;&gt;"Y"),"",ROUND(O97*설정!$C$5,0))</f>
        <v/>
      </c>
      <c r="T97" s="25" t="s">
        <v>164</v>
      </c>
    </row>
    <row r="98" customFormat="false" ht="15" hidden="false" customHeight="false" outlineLevel="0" collapsed="false">
      <c r="A98" s="21" t="n">
        <f aca="false">IF(C98="","",COUNTA($C$5:C98))</f>
        <v>94</v>
      </c>
      <c r="B98" s="22" t="n">
        <v>46268</v>
      </c>
      <c r="C98" s="23" t="s">
        <v>21</v>
      </c>
      <c r="D98" s="26" t="s">
        <v>7</v>
      </c>
      <c r="E98" s="25"/>
      <c r="F98" s="7" t="str">
        <f aca="false">IF(E98="","",IFERROR(INDEX(코드관리!$C$7:$C$66,MATCH(E98,코드관리!$B$7:$B$66,0)),"미등록 코드"))</f>
        <v/>
      </c>
      <c r="G98" s="25"/>
      <c r="H98" s="25"/>
      <c r="I98" s="25" t="s">
        <v>166</v>
      </c>
      <c r="J98" s="24" t="s">
        <v>65</v>
      </c>
      <c r="K98" s="26" t="s">
        <v>61</v>
      </c>
      <c r="L98" s="27" t="n">
        <v>1600245</v>
      </c>
      <c r="M98" s="26"/>
      <c r="N98" s="8" t="n">
        <f aca="false">IF(L98="","",IF(K98="USD",ROUND(L98*설정!$C$4,0),L98))</f>
        <v>1600245</v>
      </c>
      <c r="O98" s="8" t="n">
        <f aca="false">IF(N98="","",IF(AND(J98="과세",M98="VAT포함"),ROUND(N98/(1+설정!$C$5),0),N98))</f>
        <v>1600245</v>
      </c>
      <c r="P98" s="8" t="n">
        <f aca="false">IF(N98="","",IF(J98="과세",IF(M98="VAT포함",N98-O98,ROUND(O98*설정!$C$5,0)),0))</f>
        <v>0</v>
      </c>
      <c r="Q98" s="8" t="n">
        <f aca="false">IF(N98="","",O98+P98)</f>
        <v>1600245</v>
      </c>
      <c r="R98" s="26"/>
      <c r="S98" s="8" t="str">
        <f aca="false">IF(OR(N98="",R98&lt;&gt;"Y"),"",ROUND(O98*설정!$C$5,0))</f>
        <v/>
      </c>
      <c r="T98" s="25" t="s">
        <v>164</v>
      </c>
    </row>
    <row r="99" customFormat="false" ht="15" hidden="false" customHeight="false" outlineLevel="0" collapsed="false">
      <c r="A99" s="21" t="n">
        <f aca="false">IF(C99="","",COUNTA($C$5:C99))</f>
        <v>95</v>
      </c>
      <c r="B99" s="22" t="n">
        <v>46268</v>
      </c>
      <c r="C99" s="23" t="s">
        <v>21</v>
      </c>
      <c r="D99" s="26" t="s">
        <v>7</v>
      </c>
      <c r="E99" s="25"/>
      <c r="F99" s="7" t="str">
        <f aca="false">IF(E99="","",IFERROR(INDEX(코드관리!$C$7:$C$66,MATCH(E99,코드관리!$B$7:$B$66,0)),"미등록 코드"))</f>
        <v/>
      </c>
      <c r="G99" s="25"/>
      <c r="H99" s="25"/>
      <c r="I99" s="25" t="s">
        <v>167</v>
      </c>
      <c r="J99" s="24" t="s">
        <v>65</v>
      </c>
      <c r="K99" s="26" t="s">
        <v>61</v>
      </c>
      <c r="L99" s="27" t="n">
        <v>1100000</v>
      </c>
      <c r="M99" s="26"/>
      <c r="N99" s="8" t="n">
        <f aca="false">IF(L99="","",IF(K99="USD",ROUND(L99*설정!$C$4,0),L99))</f>
        <v>1100000</v>
      </c>
      <c r="O99" s="8" t="n">
        <f aca="false">IF(N99="","",IF(AND(J99="과세",M99="VAT포함"),ROUND(N99/(1+설정!$C$5),0),N99))</f>
        <v>1100000</v>
      </c>
      <c r="P99" s="8" t="n">
        <f aca="false">IF(N99="","",IF(J99="과세",IF(M99="VAT포함",N99-O99,ROUND(O99*설정!$C$5,0)),0))</f>
        <v>0</v>
      </c>
      <c r="Q99" s="8" t="n">
        <f aca="false">IF(N99="","",O99+P99)</f>
        <v>1100000</v>
      </c>
      <c r="R99" s="26"/>
      <c r="S99" s="8" t="str">
        <f aca="false">IF(OR(N99="",R99&lt;&gt;"Y"),"",ROUND(O99*설정!$C$5,0))</f>
        <v/>
      </c>
      <c r="T99" s="25" t="s">
        <v>164</v>
      </c>
    </row>
    <row r="100" customFormat="false" ht="15" hidden="false" customHeight="false" outlineLevel="0" collapsed="false">
      <c r="A100" s="21" t="n">
        <f aca="false">IF(C100="","",COUNTA($C$5:C100))</f>
        <v>96</v>
      </c>
      <c r="B100" s="22"/>
      <c r="C100" s="23" t="s">
        <v>22</v>
      </c>
      <c r="D100" s="26" t="s">
        <v>4</v>
      </c>
      <c r="E100" s="25"/>
      <c r="F100" s="7" t="str">
        <f aca="false">IF(E100="","",IFERROR(INDEX(코드관리!$C$7:$C$66,MATCH(E100,코드관리!$B$7:$B$66,0)),"미등록 코드"))</f>
        <v/>
      </c>
      <c r="G100" s="25"/>
      <c r="H100" s="25"/>
      <c r="I100" s="23" t="s">
        <v>168</v>
      </c>
      <c r="J100" s="24" t="s">
        <v>65</v>
      </c>
      <c r="K100" s="26" t="s">
        <v>61</v>
      </c>
      <c r="L100" s="27" t="n">
        <v>28656495</v>
      </c>
      <c r="M100" s="26"/>
      <c r="N100" s="8" t="n">
        <f aca="false">IF(L100="","",IF(K100="USD",ROUND(L100*설정!$C$4,0),L100))</f>
        <v>28656495</v>
      </c>
      <c r="O100" s="8" t="n">
        <f aca="false">IF(N100="","",IF(AND(J100="과세",M100="VAT포함"),ROUND(N100/(1+설정!$C$5),0),N100))</f>
        <v>28656495</v>
      </c>
      <c r="P100" s="8" t="n">
        <f aca="false">IF(N100="","",IF(J100="과세",IF(M100="VAT포함",N100-O100,ROUND(O100*설정!$C$5,0)),0))</f>
        <v>0</v>
      </c>
      <c r="Q100" s="8" t="n">
        <f aca="false">IF(N100="","",O100+P100)</f>
        <v>28656495</v>
      </c>
      <c r="R100" s="26"/>
      <c r="S100" s="8" t="str">
        <f aca="false">IF(OR(N100="",R100&lt;&gt;"Y"),"",ROUND(O100*설정!$C$5,0))</f>
        <v/>
      </c>
      <c r="T100" s="23" t="s">
        <v>169</v>
      </c>
    </row>
    <row r="101" customFormat="false" ht="15" hidden="false" customHeight="false" outlineLevel="0" collapsed="false">
      <c r="A101" s="21" t="n">
        <f aca="false">IF(C101="","",COUNTA($C$5:C101))</f>
        <v>97</v>
      </c>
      <c r="B101" s="22"/>
      <c r="C101" s="23" t="s">
        <v>22</v>
      </c>
      <c r="D101" s="26" t="s">
        <v>4</v>
      </c>
      <c r="E101" s="25"/>
      <c r="F101" s="7" t="str">
        <f aca="false">IF(E101="","",IFERROR(INDEX(코드관리!$C$7:$C$66,MATCH(E101,코드관리!$B$7:$B$66,0)),"미등록 코드"))</f>
        <v/>
      </c>
      <c r="G101" s="25"/>
      <c r="H101" s="25"/>
      <c r="I101" s="23" t="s">
        <v>170</v>
      </c>
      <c r="J101" s="24" t="s">
        <v>65</v>
      </c>
      <c r="K101" s="26" t="s">
        <v>61</v>
      </c>
      <c r="L101" s="27" t="n">
        <v>5146892</v>
      </c>
      <c r="M101" s="26"/>
      <c r="N101" s="8" t="n">
        <f aca="false">IF(L101="","",IF(K101="USD",ROUND(L101*설정!$C$4,0),L101))</f>
        <v>5146892</v>
      </c>
      <c r="O101" s="8" t="n">
        <f aca="false">IF(N101="","",IF(AND(J101="과세",M101="VAT포함"),ROUND(N101/(1+설정!$C$5),0),N101))</f>
        <v>5146892</v>
      </c>
      <c r="P101" s="8" t="n">
        <f aca="false">IF(N101="","",IF(J101="과세",IF(M101="VAT포함",N101-O101,ROUND(O101*설정!$C$5,0)),0))</f>
        <v>0</v>
      </c>
      <c r="Q101" s="8" t="n">
        <f aca="false">IF(N101="","",O101+P101)</f>
        <v>5146892</v>
      </c>
      <c r="R101" s="26"/>
      <c r="S101" s="8" t="str">
        <f aca="false">IF(OR(N101="",R101&lt;&gt;"Y"),"",ROUND(O101*설정!$C$5,0))</f>
        <v/>
      </c>
      <c r="T101" s="23" t="s">
        <v>171</v>
      </c>
    </row>
    <row r="102" customFormat="false" ht="15" hidden="false" customHeight="false" outlineLevel="0" collapsed="false">
      <c r="A102" s="21" t="n">
        <f aca="false">IF(C102="","",COUNTA($C$5:C102))</f>
        <v>98</v>
      </c>
      <c r="B102" s="22"/>
      <c r="C102" s="23" t="s">
        <v>22</v>
      </c>
      <c r="D102" s="26" t="s">
        <v>4</v>
      </c>
      <c r="E102" s="25"/>
      <c r="F102" s="7" t="str">
        <f aca="false">IF(E102="","",IFERROR(INDEX(코드관리!$C$7:$C$66,MATCH(E102,코드관리!$B$7:$B$66,0)),"미등록 코드"))</f>
        <v/>
      </c>
      <c r="G102" s="25"/>
      <c r="H102" s="25"/>
      <c r="I102" s="23" t="s">
        <v>172</v>
      </c>
      <c r="J102" s="24" t="s">
        <v>65</v>
      </c>
      <c r="K102" s="26" t="s">
        <v>61</v>
      </c>
      <c r="L102" s="27" t="n">
        <v>878683</v>
      </c>
      <c r="M102" s="26"/>
      <c r="N102" s="8" t="n">
        <f aca="false">IF(L102="","",IF(K102="USD",ROUND(L102*설정!$C$4,0),L102))</f>
        <v>878683</v>
      </c>
      <c r="O102" s="8" t="n">
        <f aca="false">IF(N102="","",IF(AND(J102="과세",M102="VAT포함"),ROUND(N102/(1+설정!$C$5),0),N102))</f>
        <v>878683</v>
      </c>
      <c r="P102" s="8" t="n">
        <f aca="false">IF(N102="","",IF(J102="과세",IF(M102="VAT포함",N102-O102,ROUND(O102*설정!$C$5,0)),0))</f>
        <v>0</v>
      </c>
      <c r="Q102" s="8" t="n">
        <f aca="false">IF(N102="","",O102+P102)</f>
        <v>878683</v>
      </c>
      <c r="R102" s="26"/>
      <c r="S102" s="8" t="str">
        <f aca="false">IF(OR(N102="",R102&lt;&gt;"Y"),"",ROUND(O102*설정!$C$5,0))</f>
        <v/>
      </c>
      <c r="T102" s="23" t="s">
        <v>171</v>
      </c>
    </row>
    <row r="103" customFormat="false" ht="15" hidden="false" customHeight="false" outlineLevel="0" collapsed="false">
      <c r="A103" s="21" t="n">
        <f aca="false">IF(C103="","",COUNTA($C$5:C103))</f>
        <v>99</v>
      </c>
      <c r="B103" s="22"/>
      <c r="C103" s="23" t="s">
        <v>22</v>
      </c>
      <c r="D103" s="26" t="s">
        <v>4</v>
      </c>
      <c r="E103" s="25"/>
      <c r="F103" s="7" t="str">
        <f aca="false">IF(E103="","",IFERROR(INDEX(코드관리!$C$7:$C$66,MATCH(E103,코드관리!$B$7:$B$66,0)),"미등록 코드"))</f>
        <v/>
      </c>
      <c r="G103" s="25"/>
      <c r="H103" s="25"/>
      <c r="I103" s="23" t="s">
        <v>173</v>
      </c>
      <c r="J103" s="24" t="s">
        <v>65</v>
      </c>
      <c r="K103" s="26" t="s">
        <v>61</v>
      </c>
      <c r="L103" s="27" t="n">
        <v>1869000</v>
      </c>
      <c r="M103" s="26"/>
      <c r="N103" s="8" t="n">
        <f aca="false">IF(L103="","",IF(K103="USD",ROUND(L103*설정!$C$4,0),L103))</f>
        <v>1869000</v>
      </c>
      <c r="O103" s="8" t="n">
        <f aca="false">IF(N103="","",IF(AND(J103="과세",M103="VAT포함"),ROUND(N103/(1+설정!$C$5),0),N103))</f>
        <v>1869000</v>
      </c>
      <c r="P103" s="8" t="n">
        <f aca="false">IF(N103="","",IF(J103="과세",IF(M103="VAT포함",N103-O103,ROUND(O103*설정!$C$5,0)),0))</f>
        <v>0</v>
      </c>
      <c r="Q103" s="8" t="n">
        <f aca="false">IF(N103="","",O103+P103)</f>
        <v>1869000</v>
      </c>
      <c r="R103" s="26"/>
      <c r="S103" s="8" t="str">
        <f aca="false">IF(OR(N103="",R103&lt;&gt;"Y"),"",ROUND(O103*설정!$C$5,0))</f>
        <v/>
      </c>
      <c r="T103" s="23" t="s">
        <v>171</v>
      </c>
    </row>
    <row r="104" customFormat="false" ht="15" hidden="false" customHeight="false" outlineLevel="0" collapsed="false">
      <c r="A104" s="21" t="n">
        <f aca="false">IF(C104="","",COUNTA($C$5:C104))</f>
        <v>100</v>
      </c>
      <c r="B104" s="22"/>
      <c r="C104" s="23" t="s">
        <v>22</v>
      </c>
      <c r="D104" s="26" t="s">
        <v>5</v>
      </c>
      <c r="E104" s="25"/>
      <c r="F104" s="7" t="str">
        <f aca="false">IF(E104="","",IFERROR(INDEX(코드관리!$C$7:$C$66,MATCH(E104,코드관리!$B$7:$B$66,0)),"미등록 코드"))</f>
        <v/>
      </c>
      <c r="G104" s="25"/>
      <c r="H104" s="25"/>
      <c r="I104" s="23" t="s">
        <v>168</v>
      </c>
      <c r="J104" s="24" t="s">
        <v>65</v>
      </c>
      <c r="K104" s="26" t="s">
        <v>61</v>
      </c>
      <c r="L104" s="27" t="n">
        <v>39515305</v>
      </c>
      <c r="M104" s="26"/>
      <c r="N104" s="8" t="n">
        <f aca="false">IF(L104="","",IF(K104="USD",ROUND(L104*설정!$C$4,0),L104))</f>
        <v>39515305</v>
      </c>
      <c r="O104" s="8" t="n">
        <f aca="false">IF(N104="","",IF(AND(J104="과세",M104="VAT포함"),ROUND(N104/(1+설정!$C$5),0),N104))</f>
        <v>39515305</v>
      </c>
      <c r="P104" s="8" t="n">
        <f aca="false">IF(N104="","",IF(J104="과세",IF(M104="VAT포함",N104-O104,ROUND(O104*설정!$C$5,0)),0))</f>
        <v>0</v>
      </c>
      <c r="Q104" s="8" t="n">
        <f aca="false">IF(N104="","",O104+P104)</f>
        <v>39515305</v>
      </c>
      <c r="R104" s="26"/>
      <c r="S104" s="8" t="str">
        <f aca="false">IF(OR(N104="",R104&lt;&gt;"Y"),"",ROUND(O104*설정!$C$5,0))</f>
        <v/>
      </c>
      <c r="T104" s="23" t="s">
        <v>174</v>
      </c>
    </row>
    <row r="105" customFormat="false" ht="15" hidden="false" customHeight="false" outlineLevel="0" collapsed="false">
      <c r="A105" s="21" t="n">
        <f aca="false">IF(C105="","",COUNTA($C$5:C105))</f>
        <v>101</v>
      </c>
      <c r="B105" s="22"/>
      <c r="C105" s="23" t="s">
        <v>22</v>
      </c>
      <c r="D105" s="26" t="s">
        <v>5</v>
      </c>
      <c r="E105" s="25"/>
      <c r="F105" s="7" t="str">
        <f aca="false">IF(E105="","",IFERROR(INDEX(코드관리!$C$7:$C$66,MATCH(E105,코드관리!$B$7:$B$66,0)),"미등록 코드"))</f>
        <v/>
      </c>
      <c r="G105" s="25"/>
      <c r="H105" s="25"/>
      <c r="I105" s="23" t="s">
        <v>170</v>
      </c>
      <c r="J105" s="24" t="s">
        <v>65</v>
      </c>
      <c r="K105" s="26" t="s">
        <v>61</v>
      </c>
      <c r="L105" s="27" t="n">
        <v>5740259</v>
      </c>
      <c r="M105" s="26"/>
      <c r="N105" s="8" t="n">
        <f aca="false">IF(L105="","",IF(K105="USD",ROUND(L105*설정!$C$4,0),L105))</f>
        <v>5740259</v>
      </c>
      <c r="O105" s="8" t="n">
        <f aca="false">IF(N105="","",IF(AND(J105="과세",M105="VAT포함"),ROUND(N105/(1+설정!$C$5),0),N105))</f>
        <v>5740259</v>
      </c>
      <c r="P105" s="8" t="n">
        <f aca="false">IF(N105="","",IF(J105="과세",IF(M105="VAT포함",N105-O105,ROUND(O105*설정!$C$5,0)),0))</f>
        <v>0</v>
      </c>
      <c r="Q105" s="8" t="n">
        <f aca="false">IF(N105="","",O105+P105)</f>
        <v>5740259</v>
      </c>
      <c r="R105" s="26"/>
      <c r="S105" s="8" t="str">
        <f aca="false">IF(OR(N105="",R105&lt;&gt;"Y"),"",ROUND(O105*설정!$C$5,0))</f>
        <v/>
      </c>
      <c r="T105" s="23" t="s">
        <v>171</v>
      </c>
    </row>
    <row r="106" customFormat="false" ht="15" hidden="false" customHeight="false" outlineLevel="0" collapsed="false">
      <c r="A106" s="21" t="n">
        <f aca="false">IF(C106="","",COUNTA($C$5:C106))</f>
        <v>102</v>
      </c>
      <c r="B106" s="22"/>
      <c r="C106" s="23" t="s">
        <v>22</v>
      </c>
      <c r="D106" s="26" t="s">
        <v>6</v>
      </c>
      <c r="E106" s="25"/>
      <c r="F106" s="7" t="str">
        <f aca="false">IF(E106="","",IFERROR(INDEX(코드관리!$C$7:$C$66,MATCH(E106,코드관리!$B$7:$B$66,0)),"미등록 코드"))</f>
        <v/>
      </c>
      <c r="G106" s="25"/>
      <c r="H106" s="25"/>
      <c r="I106" s="23" t="s">
        <v>168</v>
      </c>
      <c r="J106" s="24" t="s">
        <v>65</v>
      </c>
      <c r="K106" s="26" t="s">
        <v>61</v>
      </c>
      <c r="L106" s="27" t="n">
        <v>48315826</v>
      </c>
      <c r="M106" s="26"/>
      <c r="N106" s="8" t="n">
        <f aca="false">IF(L106="","",IF(K106="USD",ROUND(L106*설정!$C$4,0),L106))</f>
        <v>48315826</v>
      </c>
      <c r="O106" s="8" t="n">
        <f aca="false">IF(N106="","",IF(AND(J106="과세",M106="VAT포함"),ROUND(N106/(1+설정!$C$5),0),N106))</f>
        <v>48315826</v>
      </c>
      <c r="P106" s="8" t="n">
        <f aca="false">IF(N106="","",IF(J106="과세",IF(M106="VAT포함",N106-O106,ROUND(O106*설정!$C$5,0)),0))</f>
        <v>0</v>
      </c>
      <c r="Q106" s="8" t="n">
        <f aca="false">IF(N106="","",O106+P106)</f>
        <v>48315826</v>
      </c>
      <c r="R106" s="26"/>
      <c r="S106" s="8" t="str">
        <f aca="false">IF(OR(N106="",R106&lt;&gt;"Y"),"",ROUND(O106*설정!$C$5,0))</f>
        <v/>
      </c>
      <c r="T106" s="23" t="s">
        <v>175</v>
      </c>
    </row>
    <row r="107" customFormat="false" ht="15" hidden="false" customHeight="false" outlineLevel="0" collapsed="false">
      <c r="A107" s="21" t="n">
        <f aca="false">IF(C107="","",COUNTA($C$5:C107))</f>
        <v>103</v>
      </c>
      <c r="B107" s="22"/>
      <c r="C107" s="23" t="s">
        <v>22</v>
      </c>
      <c r="D107" s="26" t="s">
        <v>6</v>
      </c>
      <c r="E107" s="25"/>
      <c r="F107" s="7" t="str">
        <f aca="false">IF(E107="","",IFERROR(INDEX(코드관리!$C$7:$C$66,MATCH(E107,코드관리!$B$7:$B$66,0)),"미등록 코드"))</f>
        <v/>
      </c>
      <c r="G107" s="25"/>
      <c r="H107" s="25"/>
      <c r="I107" s="23" t="s">
        <v>170</v>
      </c>
      <c r="J107" s="24" t="s">
        <v>65</v>
      </c>
      <c r="K107" s="26" t="s">
        <v>61</v>
      </c>
      <c r="L107" s="27" t="n">
        <v>9371766</v>
      </c>
      <c r="M107" s="26"/>
      <c r="N107" s="8" t="n">
        <f aca="false">IF(L107="","",IF(K107="USD",ROUND(L107*설정!$C$4,0),L107))</f>
        <v>9371766</v>
      </c>
      <c r="O107" s="8" t="n">
        <f aca="false">IF(N107="","",IF(AND(J107="과세",M107="VAT포함"),ROUND(N107/(1+설정!$C$5),0),N107))</f>
        <v>9371766</v>
      </c>
      <c r="P107" s="8" t="n">
        <f aca="false">IF(N107="","",IF(J107="과세",IF(M107="VAT포함",N107-O107,ROUND(O107*설정!$C$5,0)),0))</f>
        <v>0</v>
      </c>
      <c r="Q107" s="8" t="n">
        <f aca="false">IF(N107="","",O107+P107)</f>
        <v>9371766</v>
      </c>
      <c r="R107" s="26"/>
      <c r="S107" s="8" t="str">
        <f aca="false">IF(OR(N107="",R107&lt;&gt;"Y"),"",ROUND(O107*설정!$C$5,0))</f>
        <v/>
      </c>
      <c r="T107" s="23" t="s">
        <v>171</v>
      </c>
    </row>
    <row r="108" customFormat="false" ht="15" hidden="false" customHeight="false" outlineLevel="0" collapsed="false">
      <c r="A108" s="21" t="n">
        <f aca="false">IF(C108="","",COUNTA($C$5:C108))</f>
        <v>104</v>
      </c>
      <c r="B108" s="22"/>
      <c r="C108" s="23" t="s">
        <v>22</v>
      </c>
      <c r="D108" s="26" t="s">
        <v>6</v>
      </c>
      <c r="E108" s="25"/>
      <c r="F108" s="7" t="str">
        <f aca="false">IF(E108="","",IFERROR(INDEX(코드관리!$C$7:$C$66,MATCH(E108,코드관리!$B$7:$B$66,0)),"미등록 코드"))</f>
        <v/>
      </c>
      <c r="G108" s="25"/>
      <c r="H108" s="25"/>
      <c r="I108" s="23" t="s">
        <v>173</v>
      </c>
      <c r="J108" s="24" t="s">
        <v>65</v>
      </c>
      <c r="K108" s="26" t="s">
        <v>61</v>
      </c>
      <c r="L108" s="27" t="n">
        <v>1869000</v>
      </c>
      <c r="M108" s="26"/>
      <c r="N108" s="8" t="n">
        <f aca="false">IF(L108="","",IF(K108="USD",ROUND(L108*설정!$C$4,0),L108))</f>
        <v>1869000</v>
      </c>
      <c r="O108" s="8" t="n">
        <f aca="false">IF(N108="","",IF(AND(J108="과세",M108="VAT포함"),ROUND(N108/(1+설정!$C$5),0),N108))</f>
        <v>1869000</v>
      </c>
      <c r="P108" s="8" t="n">
        <f aca="false">IF(N108="","",IF(J108="과세",IF(M108="VAT포함",N108-O108,ROUND(O108*설정!$C$5,0)),0))</f>
        <v>0</v>
      </c>
      <c r="Q108" s="8" t="n">
        <f aca="false">IF(N108="","",O108+P108)</f>
        <v>1869000</v>
      </c>
      <c r="R108" s="26"/>
      <c r="S108" s="8" t="str">
        <f aca="false">IF(OR(N108="",R108&lt;&gt;"Y"),"",ROUND(O108*설정!$C$5,0))</f>
        <v/>
      </c>
      <c r="T108" s="23" t="s">
        <v>171</v>
      </c>
    </row>
    <row r="109" customFormat="false" ht="15" hidden="false" customHeight="false" outlineLevel="0" collapsed="false">
      <c r="A109" s="21" t="n">
        <f aca="false">IF(C109="","",COUNTA($C$5:C109))</f>
        <v>105</v>
      </c>
      <c r="B109" s="22"/>
      <c r="C109" s="23" t="s">
        <v>22</v>
      </c>
      <c r="D109" s="26" t="s">
        <v>7</v>
      </c>
      <c r="E109" s="25"/>
      <c r="F109" s="7" t="str">
        <f aca="false">IF(E109="","",IFERROR(INDEX(코드관리!$C$7:$C$66,MATCH(E109,코드관리!$B$7:$B$66,0)),"미등록 코드"))</f>
        <v/>
      </c>
      <c r="G109" s="25"/>
      <c r="H109" s="25"/>
      <c r="I109" s="23" t="s">
        <v>168</v>
      </c>
      <c r="J109" s="24" t="s">
        <v>65</v>
      </c>
      <c r="K109" s="26" t="s">
        <v>61</v>
      </c>
      <c r="L109" s="27" t="n">
        <v>36479048</v>
      </c>
      <c r="M109" s="26"/>
      <c r="N109" s="8" t="n">
        <f aca="false">IF(L109="","",IF(K109="USD",ROUND(L109*설정!$C$4,0),L109))</f>
        <v>36479048</v>
      </c>
      <c r="O109" s="8" t="n">
        <f aca="false">IF(N109="","",IF(AND(J109="과세",M109="VAT포함"),ROUND(N109/(1+설정!$C$5),0),N109))</f>
        <v>36479048</v>
      </c>
      <c r="P109" s="8" t="n">
        <f aca="false">IF(N109="","",IF(J109="과세",IF(M109="VAT포함",N109-O109,ROUND(O109*설정!$C$5,0)),0))</f>
        <v>0</v>
      </c>
      <c r="Q109" s="8" t="n">
        <f aca="false">IF(N109="","",O109+P109)</f>
        <v>36479048</v>
      </c>
      <c r="R109" s="26"/>
      <c r="S109" s="8" t="str">
        <f aca="false">IF(OR(N109="",R109&lt;&gt;"Y"),"",ROUND(O109*설정!$C$5,0))</f>
        <v/>
      </c>
      <c r="T109" s="23" t="s">
        <v>176</v>
      </c>
    </row>
    <row r="110" customFormat="false" ht="15" hidden="false" customHeight="false" outlineLevel="0" collapsed="false">
      <c r="A110" s="21" t="n">
        <f aca="false">IF(C110="","",COUNTA($C$5:C110))</f>
        <v>106</v>
      </c>
      <c r="B110" s="22"/>
      <c r="C110" s="23" t="s">
        <v>22</v>
      </c>
      <c r="D110" s="26" t="s">
        <v>7</v>
      </c>
      <c r="E110" s="25"/>
      <c r="F110" s="7" t="str">
        <f aca="false">IF(E110="","",IFERROR(INDEX(코드관리!$C$7:$C$66,MATCH(E110,코드관리!$B$7:$B$66,0)),"미등록 코드"))</f>
        <v/>
      </c>
      <c r="G110" s="25"/>
      <c r="H110" s="25"/>
      <c r="I110" s="23" t="s">
        <v>170</v>
      </c>
      <c r="J110" s="24" t="s">
        <v>65</v>
      </c>
      <c r="K110" s="26" t="s">
        <v>61</v>
      </c>
      <c r="L110" s="27" t="n">
        <v>14223063</v>
      </c>
      <c r="M110" s="26"/>
      <c r="N110" s="8" t="n">
        <f aca="false">IF(L110="","",IF(K110="USD",ROUND(L110*설정!$C$4,0),L110))</f>
        <v>14223063</v>
      </c>
      <c r="O110" s="8" t="n">
        <f aca="false">IF(N110="","",IF(AND(J110="과세",M110="VAT포함"),ROUND(N110/(1+설정!$C$5),0),N110))</f>
        <v>14223063</v>
      </c>
      <c r="P110" s="8" t="n">
        <f aca="false">IF(N110="","",IF(J110="과세",IF(M110="VAT포함",N110-O110,ROUND(O110*설정!$C$5,0)),0))</f>
        <v>0</v>
      </c>
      <c r="Q110" s="8" t="n">
        <f aca="false">IF(N110="","",O110+P110)</f>
        <v>14223063</v>
      </c>
      <c r="R110" s="26"/>
      <c r="S110" s="8" t="str">
        <f aca="false">IF(OR(N110="",R110&lt;&gt;"Y"),"",ROUND(O110*설정!$C$5,0))</f>
        <v/>
      </c>
      <c r="T110" s="23" t="s">
        <v>171</v>
      </c>
    </row>
    <row r="111" customFormat="false" ht="15" hidden="false" customHeight="false" outlineLevel="0" collapsed="false">
      <c r="A111" s="21" t="n">
        <f aca="false">IF(C111="","",COUNTA($C$5:C111))</f>
        <v>107</v>
      </c>
      <c r="B111" s="22"/>
      <c r="C111" s="23" t="s">
        <v>22</v>
      </c>
      <c r="D111" s="26" t="s">
        <v>7</v>
      </c>
      <c r="E111" s="25"/>
      <c r="F111" s="7" t="str">
        <f aca="false">IF(E111="","",IFERROR(INDEX(코드관리!$C$7:$C$66,MATCH(E111,코드관리!$B$7:$B$66,0)),"미등록 코드"))</f>
        <v/>
      </c>
      <c r="G111" s="25"/>
      <c r="H111" s="25"/>
      <c r="I111" s="23" t="s">
        <v>172</v>
      </c>
      <c r="J111" s="24" t="s">
        <v>65</v>
      </c>
      <c r="K111" s="26" t="s">
        <v>61</v>
      </c>
      <c r="L111" s="27" t="n">
        <v>1345105</v>
      </c>
      <c r="M111" s="26"/>
      <c r="N111" s="8" t="n">
        <f aca="false">IF(L111="","",IF(K111="USD",ROUND(L111*설정!$C$4,0),L111))</f>
        <v>1345105</v>
      </c>
      <c r="O111" s="8" t="n">
        <f aca="false">IF(N111="","",IF(AND(J111="과세",M111="VAT포함"),ROUND(N111/(1+설정!$C$5),0),N111))</f>
        <v>1345105</v>
      </c>
      <c r="P111" s="8" t="n">
        <f aca="false">IF(N111="","",IF(J111="과세",IF(M111="VAT포함",N111-O111,ROUND(O111*설정!$C$5,0)),0))</f>
        <v>0</v>
      </c>
      <c r="Q111" s="8" t="n">
        <f aca="false">IF(N111="","",O111+P111)</f>
        <v>1345105</v>
      </c>
      <c r="R111" s="26"/>
      <c r="S111" s="8" t="str">
        <f aca="false">IF(OR(N111="",R111&lt;&gt;"Y"),"",ROUND(O111*설정!$C$5,0))</f>
        <v/>
      </c>
      <c r="T111" s="23" t="s">
        <v>171</v>
      </c>
    </row>
    <row r="112" customFormat="false" ht="15" hidden="false" customHeight="false" outlineLevel="0" collapsed="false">
      <c r="A112" s="21" t="n">
        <f aca="false">IF(C112="","",COUNTA($C$5:C112))</f>
        <v>108</v>
      </c>
      <c r="B112" s="22"/>
      <c r="C112" s="23" t="s">
        <v>22</v>
      </c>
      <c r="D112" s="26" t="s">
        <v>7</v>
      </c>
      <c r="E112" s="25"/>
      <c r="F112" s="7" t="str">
        <f aca="false">IF(E112="","",IFERROR(INDEX(코드관리!$C$7:$C$66,MATCH(E112,코드관리!$B$7:$B$66,0)),"미등록 코드"))</f>
        <v/>
      </c>
      <c r="G112" s="25"/>
      <c r="H112" s="25"/>
      <c r="I112" s="23" t="s">
        <v>173</v>
      </c>
      <c r="J112" s="24" t="s">
        <v>65</v>
      </c>
      <c r="K112" s="26" t="s">
        <v>61</v>
      </c>
      <c r="L112" s="27" t="n">
        <v>1869000</v>
      </c>
      <c r="M112" s="26"/>
      <c r="N112" s="8" t="n">
        <f aca="false">IF(L112="","",IF(K112="USD",ROUND(L112*설정!$C$4,0),L112))</f>
        <v>1869000</v>
      </c>
      <c r="O112" s="8" t="n">
        <f aca="false">IF(N112="","",IF(AND(J112="과세",M112="VAT포함"),ROUND(N112/(1+설정!$C$5),0),N112))</f>
        <v>1869000</v>
      </c>
      <c r="P112" s="8" t="n">
        <f aca="false">IF(N112="","",IF(J112="과세",IF(M112="VAT포함",N112-O112,ROUND(O112*설정!$C$5,0)),0))</f>
        <v>0</v>
      </c>
      <c r="Q112" s="8" t="n">
        <f aca="false">IF(N112="","",O112+P112)</f>
        <v>1869000</v>
      </c>
      <c r="R112" s="26"/>
      <c r="S112" s="8" t="str">
        <f aca="false">IF(OR(N112="",R112&lt;&gt;"Y"),"",ROUND(O112*설정!$C$5,0))</f>
        <v/>
      </c>
      <c r="T112" s="23" t="s">
        <v>171</v>
      </c>
    </row>
    <row r="113" customFormat="false" ht="15" hidden="false" customHeight="false" outlineLevel="0" collapsed="false">
      <c r="A113" s="21" t="n">
        <f aca="false">IF(C113="","",COUNTA($C$5:C113))</f>
        <v>109</v>
      </c>
      <c r="B113" s="22"/>
      <c r="C113" s="23" t="s">
        <v>23</v>
      </c>
      <c r="D113" s="26" t="s">
        <v>5</v>
      </c>
      <c r="E113" s="25"/>
      <c r="F113" s="7" t="str">
        <f aca="false">IF(E113="","",IFERROR(INDEX(코드관리!$C$7:$C$66,MATCH(E113,코드관리!$B$7:$B$66,0)),"미등록 코드"))</f>
        <v/>
      </c>
      <c r="G113" s="25"/>
      <c r="H113" s="25"/>
      <c r="I113" s="23" t="s">
        <v>177</v>
      </c>
      <c r="J113" s="24" t="s">
        <v>65</v>
      </c>
      <c r="K113" s="26" t="s">
        <v>61</v>
      </c>
      <c r="L113" s="27" t="n">
        <v>366000</v>
      </c>
      <c r="M113" s="26"/>
      <c r="N113" s="8" t="n">
        <f aca="false">IF(L113="","",IF(K113="USD",ROUND(L113*설정!$C$4,0),L113))</f>
        <v>366000</v>
      </c>
      <c r="O113" s="8" t="n">
        <f aca="false">IF(N113="","",IF(AND(J113="과세",M113="VAT포함"),ROUND(N113/(1+설정!$C$5),0),N113))</f>
        <v>366000</v>
      </c>
      <c r="P113" s="8" t="n">
        <f aca="false">IF(N113="","",IF(J113="과세",IF(M113="VAT포함",N113-O113,ROUND(O113*설정!$C$5,0)),0))</f>
        <v>0</v>
      </c>
      <c r="Q113" s="8" t="n">
        <f aca="false">IF(N113="","",O113+P113)</f>
        <v>366000</v>
      </c>
      <c r="R113" s="26"/>
      <c r="S113" s="8" t="str">
        <f aca="false">IF(OR(N113="",R113&lt;&gt;"Y"),"",ROUND(O113*설정!$C$5,0))</f>
        <v/>
      </c>
      <c r="T113" s="25"/>
    </row>
    <row r="114" customFormat="false" ht="15" hidden="false" customHeight="false" outlineLevel="0" collapsed="false">
      <c r="A114" s="21" t="n">
        <f aca="false">IF(C114="","",COUNTA($C$5:C114))</f>
        <v>110</v>
      </c>
      <c r="B114" s="22"/>
      <c r="C114" s="23" t="s">
        <v>23</v>
      </c>
      <c r="D114" s="26" t="s">
        <v>5</v>
      </c>
      <c r="E114" s="25"/>
      <c r="F114" s="7" t="str">
        <f aca="false">IF(E114="","",IFERROR(INDEX(코드관리!$C$7:$C$66,MATCH(E114,코드관리!$B$7:$B$66,0)),"미등록 코드"))</f>
        <v/>
      </c>
      <c r="G114" s="25"/>
      <c r="H114" s="25"/>
      <c r="I114" s="23" t="s">
        <v>178</v>
      </c>
      <c r="J114" s="24" t="s">
        <v>60</v>
      </c>
      <c r="K114" s="26" t="s">
        <v>61</v>
      </c>
      <c r="L114" s="27" t="n">
        <v>101200</v>
      </c>
      <c r="M114" s="26" t="s">
        <v>62</v>
      </c>
      <c r="N114" s="8" t="n">
        <f aca="false">IF(L114="","",IF(K114="USD",ROUND(L114*설정!$C$4,0),L114))</f>
        <v>101200</v>
      </c>
      <c r="O114" s="8" t="n">
        <f aca="false">IF(N114="","",IF(AND(J114="과세",M114="VAT포함"),ROUND(N114/(1+설정!$C$5),0),N114))</f>
        <v>92000</v>
      </c>
      <c r="P114" s="8" t="n">
        <f aca="false">IF(N114="","",IF(J114="과세",IF(M114="VAT포함",N114-O114,ROUND(O114*설정!$C$5,0)),0))</f>
        <v>9200</v>
      </c>
      <c r="Q114" s="8" t="n">
        <f aca="false">IF(N114="","",O114+P114)</f>
        <v>101200</v>
      </c>
      <c r="R114" s="26"/>
      <c r="S114" s="8" t="str">
        <f aca="false">IF(OR(N114="",R114&lt;&gt;"Y"),"",ROUND(O114*설정!$C$5,0))</f>
        <v/>
      </c>
      <c r="T114" s="23" t="s">
        <v>179</v>
      </c>
    </row>
    <row r="115" customFormat="false" ht="15" hidden="false" customHeight="false" outlineLevel="0" collapsed="false">
      <c r="A115" s="21" t="n">
        <f aca="false">IF(C115="","",COUNTA($C$5:C115))</f>
        <v>111</v>
      </c>
      <c r="B115" s="22"/>
      <c r="C115" s="23" t="s">
        <v>23</v>
      </c>
      <c r="D115" s="26" t="s">
        <v>5</v>
      </c>
      <c r="E115" s="25"/>
      <c r="F115" s="7" t="str">
        <f aca="false">IF(E115="","",IFERROR(INDEX(코드관리!$C$7:$C$66,MATCH(E115,코드관리!$B$7:$B$66,0)),"미등록 코드"))</f>
        <v/>
      </c>
      <c r="G115" s="25"/>
      <c r="H115" s="25"/>
      <c r="I115" s="23" t="s">
        <v>177</v>
      </c>
      <c r="J115" s="24" t="s">
        <v>65</v>
      </c>
      <c r="K115" s="26" t="s">
        <v>61</v>
      </c>
      <c r="L115" s="27" t="n">
        <v>1342000</v>
      </c>
      <c r="M115" s="26"/>
      <c r="N115" s="8" t="n">
        <f aca="false">IF(L115="","",IF(K115="USD",ROUND(L115*설정!$C$4,0),L115))</f>
        <v>1342000</v>
      </c>
      <c r="O115" s="8" t="n">
        <f aca="false">IF(N115="","",IF(AND(J115="과세",M115="VAT포함"),ROUND(N115/(1+설정!$C$5),0),N115))</f>
        <v>1342000</v>
      </c>
      <c r="P115" s="8" t="n">
        <f aca="false">IF(N115="","",IF(J115="과세",IF(M115="VAT포함",N115-O115,ROUND(O115*설정!$C$5,0)),0))</f>
        <v>0</v>
      </c>
      <c r="Q115" s="8" t="n">
        <f aca="false">IF(N115="","",O115+P115)</f>
        <v>1342000</v>
      </c>
      <c r="R115" s="26"/>
      <c r="S115" s="8" t="str">
        <f aca="false">IF(OR(N115="",R115&lt;&gt;"Y"),"",ROUND(O115*설정!$C$5,0))</f>
        <v/>
      </c>
      <c r="T115" s="25"/>
    </row>
    <row r="116" customFormat="false" ht="15" hidden="false" customHeight="false" outlineLevel="0" collapsed="false">
      <c r="A116" s="21" t="n">
        <f aca="false">IF(C116="","",COUNTA($C$5:C116))</f>
        <v>112</v>
      </c>
      <c r="B116" s="22"/>
      <c r="C116" s="23" t="s">
        <v>23</v>
      </c>
      <c r="D116" s="26" t="s">
        <v>6</v>
      </c>
      <c r="E116" s="25"/>
      <c r="F116" s="7" t="str">
        <f aca="false">IF(E116="","",IFERROR(INDEX(코드관리!$C$7:$C$66,MATCH(E116,코드관리!$B$7:$B$66,0)),"미등록 코드"))</f>
        <v/>
      </c>
      <c r="G116" s="25"/>
      <c r="H116" s="25"/>
      <c r="I116" s="23" t="s">
        <v>177</v>
      </c>
      <c r="J116" s="24" t="s">
        <v>65</v>
      </c>
      <c r="K116" s="26" t="s">
        <v>61</v>
      </c>
      <c r="L116" s="27" t="n">
        <v>366000</v>
      </c>
      <c r="M116" s="26"/>
      <c r="N116" s="8" t="n">
        <f aca="false">IF(L116="","",IF(K116="USD",ROUND(L116*설정!$C$4,0),L116))</f>
        <v>366000</v>
      </c>
      <c r="O116" s="8" t="n">
        <f aca="false">IF(N116="","",IF(AND(J116="과세",M116="VAT포함"),ROUND(N116/(1+설정!$C$5),0),N116))</f>
        <v>366000</v>
      </c>
      <c r="P116" s="8" t="n">
        <f aca="false">IF(N116="","",IF(J116="과세",IF(M116="VAT포함",N116-O116,ROUND(O116*설정!$C$5,0)),0))</f>
        <v>0</v>
      </c>
      <c r="Q116" s="8" t="n">
        <f aca="false">IF(N116="","",O116+P116)</f>
        <v>366000</v>
      </c>
      <c r="R116" s="26"/>
      <c r="S116" s="8" t="str">
        <f aca="false">IF(OR(N116="",R116&lt;&gt;"Y"),"",ROUND(O116*설정!$C$5,0))</f>
        <v/>
      </c>
      <c r="T116" s="25"/>
    </row>
    <row r="117" customFormat="false" ht="15" hidden="false" customHeight="false" outlineLevel="0" collapsed="false">
      <c r="A117" s="21" t="n">
        <f aca="false">IF(C117="","",COUNTA($C$5:C117))</f>
        <v>113</v>
      </c>
      <c r="B117" s="22"/>
      <c r="C117" s="23" t="s">
        <v>23</v>
      </c>
      <c r="D117" s="26" t="s">
        <v>6</v>
      </c>
      <c r="E117" s="25"/>
      <c r="F117" s="7" t="str">
        <f aca="false">IF(E117="","",IFERROR(INDEX(코드관리!$C$7:$C$66,MATCH(E117,코드관리!$B$7:$B$66,0)),"미등록 코드"))</f>
        <v/>
      </c>
      <c r="G117" s="25"/>
      <c r="H117" s="25"/>
      <c r="I117" s="23" t="s">
        <v>178</v>
      </c>
      <c r="J117" s="24" t="s">
        <v>60</v>
      </c>
      <c r="K117" s="26" t="s">
        <v>61</v>
      </c>
      <c r="L117" s="27" t="n">
        <v>101200</v>
      </c>
      <c r="M117" s="26" t="s">
        <v>62</v>
      </c>
      <c r="N117" s="8" t="n">
        <f aca="false">IF(L117="","",IF(K117="USD",ROUND(L117*설정!$C$4,0),L117))</f>
        <v>101200</v>
      </c>
      <c r="O117" s="8" t="n">
        <f aca="false">IF(N117="","",IF(AND(J117="과세",M117="VAT포함"),ROUND(N117/(1+설정!$C$5),0),N117))</f>
        <v>92000</v>
      </c>
      <c r="P117" s="8" t="n">
        <f aca="false">IF(N117="","",IF(J117="과세",IF(M117="VAT포함",N117-O117,ROUND(O117*설정!$C$5,0)),0))</f>
        <v>9200</v>
      </c>
      <c r="Q117" s="8" t="n">
        <f aca="false">IF(N117="","",O117+P117)</f>
        <v>101200</v>
      </c>
      <c r="R117" s="26"/>
      <c r="S117" s="8" t="str">
        <f aca="false">IF(OR(N117="",R117&lt;&gt;"Y"),"",ROUND(O117*설정!$C$5,0))</f>
        <v/>
      </c>
      <c r="T117" s="23" t="s">
        <v>179</v>
      </c>
    </row>
    <row r="118" customFormat="false" ht="15" hidden="false" customHeight="false" outlineLevel="0" collapsed="false">
      <c r="A118" s="21" t="n">
        <f aca="false">IF(C118="","",COUNTA($C$5:C118))</f>
        <v>114</v>
      </c>
      <c r="B118" s="22"/>
      <c r="C118" s="23" t="s">
        <v>23</v>
      </c>
      <c r="D118" s="26" t="s">
        <v>6</v>
      </c>
      <c r="E118" s="25"/>
      <c r="F118" s="7" t="str">
        <f aca="false">IF(E118="","",IFERROR(INDEX(코드관리!$C$7:$C$66,MATCH(E118,코드관리!$B$7:$B$66,0)),"미등록 코드"))</f>
        <v/>
      </c>
      <c r="G118" s="25"/>
      <c r="H118" s="25"/>
      <c r="I118" s="23" t="s">
        <v>177</v>
      </c>
      <c r="J118" s="24" t="s">
        <v>65</v>
      </c>
      <c r="K118" s="26" t="s">
        <v>61</v>
      </c>
      <c r="L118" s="27" t="n">
        <v>1342000</v>
      </c>
      <c r="M118" s="26"/>
      <c r="N118" s="8" t="n">
        <f aca="false">IF(L118="","",IF(K118="USD",ROUND(L118*설정!$C$4,0),L118))</f>
        <v>1342000</v>
      </c>
      <c r="O118" s="8" t="n">
        <f aca="false">IF(N118="","",IF(AND(J118="과세",M118="VAT포함"),ROUND(N118/(1+설정!$C$5),0),N118))</f>
        <v>1342000</v>
      </c>
      <c r="P118" s="8" t="n">
        <f aca="false">IF(N118="","",IF(J118="과세",IF(M118="VAT포함",N118-O118,ROUND(O118*설정!$C$5,0)),0))</f>
        <v>0</v>
      </c>
      <c r="Q118" s="8" t="n">
        <f aca="false">IF(N118="","",O118+P118)</f>
        <v>1342000</v>
      </c>
      <c r="R118" s="26"/>
      <c r="S118" s="8" t="str">
        <f aca="false">IF(OR(N118="",R118&lt;&gt;"Y"),"",ROUND(O118*설정!$C$5,0))</f>
        <v/>
      </c>
      <c r="T118" s="25"/>
    </row>
    <row r="119" customFormat="false" ht="15" hidden="false" customHeight="false" outlineLevel="0" collapsed="false">
      <c r="A119" s="21" t="n">
        <f aca="false">IF(C119="","",COUNTA($C$5:C119))</f>
        <v>115</v>
      </c>
      <c r="B119" s="22"/>
      <c r="C119" s="23" t="s">
        <v>23</v>
      </c>
      <c r="D119" s="26" t="s">
        <v>7</v>
      </c>
      <c r="E119" s="25"/>
      <c r="F119" s="7" t="str">
        <f aca="false">IF(E119="","",IFERROR(INDEX(코드관리!$C$7:$C$66,MATCH(E119,코드관리!$B$7:$B$66,0)),"미등록 코드"))</f>
        <v/>
      </c>
      <c r="G119" s="25"/>
      <c r="H119" s="25"/>
      <c r="I119" s="23" t="s">
        <v>177</v>
      </c>
      <c r="J119" s="24" t="s">
        <v>65</v>
      </c>
      <c r="K119" s="26" t="s">
        <v>61</v>
      </c>
      <c r="L119" s="27" t="n">
        <v>366000</v>
      </c>
      <c r="M119" s="26"/>
      <c r="N119" s="8" t="n">
        <f aca="false">IF(L119="","",IF(K119="USD",ROUND(L119*설정!$C$4,0),L119))</f>
        <v>366000</v>
      </c>
      <c r="O119" s="8" t="n">
        <f aca="false">IF(N119="","",IF(AND(J119="과세",M119="VAT포함"),ROUND(N119/(1+설정!$C$5),0),N119))</f>
        <v>366000</v>
      </c>
      <c r="P119" s="8" t="n">
        <f aca="false">IF(N119="","",IF(J119="과세",IF(M119="VAT포함",N119-O119,ROUND(O119*설정!$C$5,0)),0))</f>
        <v>0</v>
      </c>
      <c r="Q119" s="8" t="n">
        <f aca="false">IF(N119="","",O119+P119)</f>
        <v>366000</v>
      </c>
      <c r="R119" s="26"/>
      <c r="S119" s="8" t="str">
        <f aca="false">IF(OR(N119="",R119&lt;&gt;"Y"),"",ROUND(O119*설정!$C$5,0))</f>
        <v/>
      </c>
      <c r="T119" s="25"/>
    </row>
    <row r="120" customFormat="false" ht="15" hidden="false" customHeight="false" outlineLevel="0" collapsed="false">
      <c r="A120" s="21" t="n">
        <f aca="false">IF(C120="","",COUNTA($C$5:C120))</f>
        <v>116</v>
      </c>
      <c r="B120" s="22"/>
      <c r="C120" s="23" t="s">
        <v>23</v>
      </c>
      <c r="D120" s="26" t="s">
        <v>7</v>
      </c>
      <c r="E120" s="25"/>
      <c r="F120" s="7" t="str">
        <f aca="false">IF(E120="","",IFERROR(INDEX(코드관리!$C$7:$C$66,MATCH(E120,코드관리!$B$7:$B$66,0)),"미등록 코드"))</f>
        <v/>
      </c>
      <c r="G120" s="25"/>
      <c r="H120" s="25"/>
      <c r="I120" s="23" t="s">
        <v>178</v>
      </c>
      <c r="J120" s="24" t="s">
        <v>60</v>
      </c>
      <c r="K120" s="26" t="s">
        <v>61</v>
      </c>
      <c r="L120" s="27" t="n">
        <v>101200</v>
      </c>
      <c r="M120" s="26" t="s">
        <v>62</v>
      </c>
      <c r="N120" s="8" t="n">
        <f aca="false">IF(L120="","",IF(K120="USD",ROUND(L120*설정!$C$4,0),L120))</f>
        <v>101200</v>
      </c>
      <c r="O120" s="8" t="n">
        <f aca="false">IF(N120="","",IF(AND(J120="과세",M120="VAT포함"),ROUND(N120/(1+설정!$C$5),0),N120))</f>
        <v>92000</v>
      </c>
      <c r="P120" s="8" t="n">
        <f aca="false">IF(N120="","",IF(J120="과세",IF(M120="VAT포함",N120-O120,ROUND(O120*설정!$C$5,0)),0))</f>
        <v>9200</v>
      </c>
      <c r="Q120" s="8" t="n">
        <f aca="false">IF(N120="","",O120+P120)</f>
        <v>101200</v>
      </c>
      <c r="R120" s="26"/>
      <c r="S120" s="8" t="str">
        <f aca="false">IF(OR(N120="",R120&lt;&gt;"Y"),"",ROUND(O120*설정!$C$5,0))</f>
        <v/>
      </c>
      <c r="T120" s="23" t="s">
        <v>179</v>
      </c>
    </row>
    <row r="121" customFormat="false" ht="15" hidden="false" customHeight="false" outlineLevel="0" collapsed="false">
      <c r="A121" s="21" t="n">
        <f aca="false">IF(C121="","",COUNTA($C$5:C121))</f>
        <v>117</v>
      </c>
      <c r="B121" s="22"/>
      <c r="C121" s="23" t="s">
        <v>23</v>
      </c>
      <c r="D121" s="26" t="s">
        <v>7</v>
      </c>
      <c r="E121" s="25"/>
      <c r="F121" s="7" t="str">
        <f aca="false">IF(E121="","",IFERROR(INDEX(코드관리!$C$7:$C$66,MATCH(E121,코드관리!$B$7:$B$66,0)),"미등록 코드"))</f>
        <v/>
      </c>
      <c r="G121" s="25"/>
      <c r="H121" s="25"/>
      <c r="I121" s="23" t="s">
        <v>177</v>
      </c>
      <c r="J121" s="24" t="s">
        <v>65</v>
      </c>
      <c r="K121" s="26" t="s">
        <v>61</v>
      </c>
      <c r="L121" s="27" t="n">
        <v>1342000</v>
      </c>
      <c r="M121" s="26"/>
      <c r="N121" s="8" t="n">
        <f aca="false">IF(L121="","",IF(K121="USD",ROUND(L121*설정!$C$4,0),L121))</f>
        <v>1342000</v>
      </c>
      <c r="O121" s="8" t="n">
        <f aca="false">IF(N121="","",IF(AND(J121="과세",M121="VAT포함"),ROUND(N121/(1+설정!$C$5),0),N121))</f>
        <v>1342000</v>
      </c>
      <c r="P121" s="8" t="n">
        <f aca="false">IF(N121="","",IF(J121="과세",IF(M121="VAT포함",N121-O121,ROUND(O121*설정!$C$5,0)),0))</f>
        <v>0</v>
      </c>
      <c r="Q121" s="8" t="n">
        <f aca="false">IF(N121="","",O121+P121)</f>
        <v>1342000</v>
      </c>
      <c r="R121" s="26"/>
      <c r="S121" s="8" t="str">
        <f aca="false">IF(OR(N121="",R121&lt;&gt;"Y"),"",ROUND(O121*설정!$C$5,0))</f>
        <v/>
      </c>
      <c r="T121" s="25"/>
    </row>
    <row r="122" customFormat="false" ht="15" hidden="false" customHeight="false" outlineLevel="0" collapsed="false">
      <c r="A122" s="21" t="n">
        <f aca="false">IF(C122="","",COUNTA($C$5:C122))</f>
        <v>118</v>
      </c>
      <c r="B122" s="22"/>
      <c r="C122" s="23" t="s">
        <v>23</v>
      </c>
      <c r="D122" s="26" t="s">
        <v>4</v>
      </c>
      <c r="E122" s="25"/>
      <c r="F122" s="7" t="str">
        <f aca="false">IF(E122="","",IFERROR(INDEX(코드관리!$C$7:$C$66,MATCH(E122,코드관리!$B$7:$B$66,0)),"미등록 코드"))</f>
        <v/>
      </c>
      <c r="G122" s="25"/>
      <c r="H122" s="25"/>
      <c r="I122" s="23" t="s">
        <v>177</v>
      </c>
      <c r="J122" s="24" t="s">
        <v>65</v>
      </c>
      <c r="K122" s="26" t="s">
        <v>61</v>
      </c>
      <c r="L122" s="27" t="n">
        <v>392400</v>
      </c>
      <c r="M122" s="26"/>
      <c r="N122" s="8" t="n">
        <f aca="false">IF(L122="","",IF(K122="USD",ROUND(L122*설정!$C$4,0),L122))</f>
        <v>392400</v>
      </c>
      <c r="O122" s="8" t="n">
        <f aca="false">IF(N122="","",IF(AND(J122="과세",M122="VAT포함"),ROUND(N122/(1+설정!$C$5),0),N122))</f>
        <v>392400</v>
      </c>
      <c r="P122" s="8" t="n">
        <f aca="false">IF(N122="","",IF(J122="과세",IF(M122="VAT포함",N122-O122,ROUND(O122*설정!$C$5,0)),0))</f>
        <v>0</v>
      </c>
      <c r="Q122" s="8" t="n">
        <f aca="false">IF(N122="","",O122+P122)</f>
        <v>392400</v>
      </c>
      <c r="R122" s="26"/>
      <c r="S122" s="8" t="str">
        <f aca="false">IF(OR(N122="",R122&lt;&gt;"Y"),"",ROUND(O122*설정!$C$5,0))</f>
        <v/>
      </c>
      <c r="T122" s="23" t="s">
        <v>180</v>
      </c>
    </row>
    <row r="123" customFormat="false" ht="15" hidden="false" customHeight="false" outlineLevel="0" collapsed="false">
      <c r="A123" s="21" t="n">
        <f aca="false">IF(C123="","",COUNTA($C$5:C123))</f>
        <v>119</v>
      </c>
      <c r="B123" s="22"/>
      <c r="C123" s="23" t="s">
        <v>23</v>
      </c>
      <c r="D123" s="26" t="s">
        <v>4</v>
      </c>
      <c r="E123" s="25"/>
      <c r="F123" s="7" t="str">
        <f aca="false">IF(E123="","",IFERROR(INDEX(코드관리!$C$7:$C$66,MATCH(E123,코드관리!$B$7:$B$66,0)),"미등록 코드"))</f>
        <v/>
      </c>
      <c r="G123" s="25"/>
      <c r="H123" s="25"/>
      <c r="I123" s="23" t="s">
        <v>178</v>
      </c>
      <c r="J123" s="24" t="s">
        <v>60</v>
      </c>
      <c r="K123" s="26" t="s">
        <v>61</v>
      </c>
      <c r="L123" s="27" t="n">
        <v>101200</v>
      </c>
      <c r="M123" s="26" t="s">
        <v>62</v>
      </c>
      <c r="N123" s="8" t="n">
        <f aca="false">IF(L123="","",IF(K123="USD",ROUND(L123*설정!$C$4,0),L123))</f>
        <v>101200</v>
      </c>
      <c r="O123" s="8" t="n">
        <f aca="false">IF(N123="","",IF(AND(J123="과세",M123="VAT포함"),ROUND(N123/(1+설정!$C$5),0),N123))</f>
        <v>92000</v>
      </c>
      <c r="P123" s="8" t="n">
        <f aca="false">IF(N123="","",IF(J123="과세",IF(M123="VAT포함",N123-O123,ROUND(O123*설정!$C$5,0)),0))</f>
        <v>9200</v>
      </c>
      <c r="Q123" s="8" t="n">
        <f aca="false">IF(N123="","",O123+P123)</f>
        <v>101200</v>
      </c>
      <c r="R123" s="26"/>
      <c r="S123" s="8" t="str">
        <f aca="false">IF(OR(N123="",R123&lt;&gt;"Y"),"",ROUND(O123*설정!$C$5,0))</f>
        <v/>
      </c>
      <c r="T123" s="23" t="s">
        <v>179</v>
      </c>
    </row>
    <row r="124" customFormat="false" ht="15" hidden="false" customHeight="false" outlineLevel="0" collapsed="false">
      <c r="A124" s="21" t="n">
        <f aca="false">IF(C124="","",COUNTA($C$5:C124))</f>
        <v>120</v>
      </c>
      <c r="B124" s="22"/>
      <c r="C124" s="23" t="s">
        <v>23</v>
      </c>
      <c r="D124" s="26" t="s">
        <v>4</v>
      </c>
      <c r="E124" s="25"/>
      <c r="F124" s="7" t="str">
        <f aca="false">IF(E124="","",IFERROR(INDEX(코드관리!$C$7:$C$66,MATCH(E124,코드관리!$B$7:$B$66,0)),"미등록 코드"))</f>
        <v/>
      </c>
      <c r="G124" s="25"/>
      <c r="H124" s="25"/>
      <c r="I124" s="23" t="s">
        <v>177</v>
      </c>
      <c r="J124" s="24" t="s">
        <v>65</v>
      </c>
      <c r="K124" s="26" t="s">
        <v>61</v>
      </c>
      <c r="L124" s="27" t="n">
        <v>536600</v>
      </c>
      <c r="M124" s="26"/>
      <c r="N124" s="8" t="n">
        <f aca="false">IF(L124="","",IF(K124="USD",ROUND(L124*설정!$C$4,0),L124))</f>
        <v>536600</v>
      </c>
      <c r="O124" s="8" t="n">
        <f aca="false">IF(N124="","",IF(AND(J124="과세",M124="VAT포함"),ROUND(N124/(1+설정!$C$5),0),N124))</f>
        <v>536600</v>
      </c>
      <c r="P124" s="8" t="n">
        <f aca="false">IF(N124="","",IF(J124="과세",IF(M124="VAT포함",N124-O124,ROUND(O124*설정!$C$5,0)),0))</f>
        <v>0</v>
      </c>
      <c r="Q124" s="8" t="n">
        <f aca="false">IF(N124="","",O124+P124)</f>
        <v>536600</v>
      </c>
      <c r="R124" s="26"/>
      <c r="S124" s="8" t="str">
        <f aca="false">IF(OR(N124="",R124&lt;&gt;"Y"),"",ROUND(O124*설정!$C$5,0))</f>
        <v/>
      </c>
      <c r="T124" s="23" t="s">
        <v>181</v>
      </c>
    </row>
    <row r="125" customFormat="false" ht="15" hidden="false" customHeight="false" outlineLevel="0" collapsed="false">
      <c r="A125" s="21" t="n">
        <f aca="false">IF(C125="","",COUNTA($C$5:C125))</f>
        <v>121</v>
      </c>
      <c r="B125" s="22"/>
      <c r="C125" s="23" t="s">
        <v>25</v>
      </c>
      <c r="D125" s="26" t="s">
        <v>4</v>
      </c>
      <c r="E125" s="25"/>
      <c r="F125" s="7" t="str">
        <f aca="false">IF(E125="","",IFERROR(INDEX(코드관리!$C$7:$C$66,MATCH(E125,코드관리!$B$7:$B$66,0)),"미등록 코드"))</f>
        <v/>
      </c>
      <c r="G125" s="25"/>
      <c r="H125" s="25"/>
      <c r="I125" s="25" t="s">
        <v>182</v>
      </c>
      <c r="J125" s="24" t="s">
        <v>65</v>
      </c>
      <c r="K125" s="26" t="s">
        <v>61</v>
      </c>
      <c r="L125" s="27" t="n">
        <v>7006800</v>
      </c>
      <c r="M125" s="26"/>
      <c r="N125" s="8" t="n">
        <f aca="false">IF(L125="","",IF(K125="USD",ROUND(L125*설정!$C$4,0),L125))</f>
        <v>7006800</v>
      </c>
      <c r="O125" s="8" t="n">
        <f aca="false">IF(N125="","",IF(AND(J125="과세",M125="VAT포함"),ROUND(N125/(1+설정!$C$5),0),N125))</f>
        <v>7006800</v>
      </c>
      <c r="P125" s="8" t="n">
        <f aca="false">IF(N125="","",IF(J125="과세",IF(M125="VAT포함",N125-O125,ROUND(O125*설정!$C$5,0)),0))</f>
        <v>0</v>
      </c>
      <c r="Q125" s="8" t="n">
        <f aca="false">IF(N125="","",O125+P125)</f>
        <v>7006800</v>
      </c>
      <c r="R125" s="26"/>
      <c r="S125" s="8" t="str">
        <f aca="false">IF(OR(N125="",R125&lt;&gt;"Y"),"",ROUND(O125*설정!$C$5,0))</f>
        <v/>
      </c>
      <c r="T125" s="25"/>
    </row>
    <row r="126" customFormat="false" ht="15" hidden="false" customHeight="false" outlineLevel="0" collapsed="false">
      <c r="A126" s="21" t="n">
        <f aca="false">IF(C126="","",COUNTA($C$5:C126))</f>
        <v>122</v>
      </c>
      <c r="B126" s="22"/>
      <c r="C126" s="23" t="s">
        <v>25</v>
      </c>
      <c r="D126" s="26" t="s">
        <v>4</v>
      </c>
      <c r="E126" s="25"/>
      <c r="F126" s="7" t="str">
        <f aca="false">IF(E126="","",IFERROR(INDEX(코드관리!$C$7:$C$66,MATCH(E126,코드관리!$B$7:$B$66,0)),"미등록 코드"))</f>
        <v/>
      </c>
      <c r="G126" s="25"/>
      <c r="H126" s="25"/>
      <c r="I126" s="25" t="s">
        <v>183</v>
      </c>
      <c r="J126" s="24" t="s">
        <v>65</v>
      </c>
      <c r="K126" s="26" t="s">
        <v>61</v>
      </c>
      <c r="L126" s="27" t="n">
        <v>3200000</v>
      </c>
      <c r="M126" s="26"/>
      <c r="N126" s="8" t="n">
        <f aca="false">IF(L126="","",IF(K126="USD",ROUND(L126*설정!$C$4,0),L126))</f>
        <v>3200000</v>
      </c>
      <c r="O126" s="8" t="n">
        <f aca="false">IF(N126="","",IF(AND(J126="과세",M126="VAT포함"),ROUND(N126/(1+설정!$C$5),0),N126))</f>
        <v>3200000</v>
      </c>
      <c r="P126" s="8" t="n">
        <f aca="false">IF(N126="","",IF(J126="과세",IF(M126="VAT포함",N126-O126,ROUND(O126*설정!$C$5,0)),0))</f>
        <v>0</v>
      </c>
      <c r="Q126" s="8" t="n">
        <f aca="false">IF(N126="","",O126+P126)</f>
        <v>3200000</v>
      </c>
      <c r="R126" s="26"/>
      <c r="S126" s="8" t="str">
        <f aca="false">IF(OR(N126="",R126&lt;&gt;"Y"),"",ROUND(O126*설정!$C$5,0))</f>
        <v/>
      </c>
      <c r="T126" s="25"/>
    </row>
    <row r="127" customFormat="false" ht="15" hidden="false" customHeight="false" outlineLevel="0" collapsed="false">
      <c r="A127" s="21" t="n">
        <f aca="false">IF(C127="","",COUNTA($C$5:C127))</f>
        <v>123</v>
      </c>
      <c r="B127" s="22"/>
      <c r="C127" s="23" t="s">
        <v>25</v>
      </c>
      <c r="D127" s="26" t="s">
        <v>5</v>
      </c>
      <c r="E127" s="25"/>
      <c r="F127" s="7" t="str">
        <f aca="false">IF(E127="","",IFERROR(INDEX(코드관리!$C$7:$C$66,MATCH(E127,코드관리!$B$7:$B$66,0)),"미등록 코드"))</f>
        <v/>
      </c>
      <c r="G127" s="25"/>
      <c r="H127" s="25"/>
      <c r="I127" s="25" t="s">
        <v>75</v>
      </c>
      <c r="J127" s="24" t="s">
        <v>65</v>
      </c>
      <c r="K127" s="26" t="s">
        <v>61</v>
      </c>
      <c r="L127" s="27" t="n">
        <v>3120000</v>
      </c>
      <c r="M127" s="26"/>
      <c r="N127" s="8" t="n">
        <f aca="false">IF(L127="","",IF(K127="USD",ROUND(L127*설정!$C$4,0),L127))</f>
        <v>3120000</v>
      </c>
      <c r="O127" s="8" t="n">
        <f aca="false">IF(N127="","",IF(AND(J127="과세",M127="VAT포함"),ROUND(N127/(1+설정!$C$5),0),N127))</f>
        <v>3120000</v>
      </c>
      <c r="P127" s="8" t="n">
        <f aca="false">IF(N127="","",IF(J127="과세",IF(M127="VAT포함",N127-O127,ROUND(O127*설정!$C$5,0)),0))</f>
        <v>0</v>
      </c>
      <c r="Q127" s="8" t="n">
        <f aca="false">IF(N127="","",O127+P127)</f>
        <v>3120000</v>
      </c>
      <c r="R127" s="26"/>
      <c r="S127" s="8" t="str">
        <f aca="false">IF(OR(N127="",R127&lt;&gt;"Y"),"",ROUND(O127*설정!$C$5,0))</f>
        <v/>
      </c>
      <c r="T127" s="25"/>
    </row>
    <row r="128" customFormat="false" ht="15" hidden="false" customHeight="false" outlineLevel="0" collapsed="false">
      <c r="A128" s="21" t="n">
        <f aca="false">IF(C128="","",COUNTA($C$5:C128))</f>
        <v>124</v>
      </c>
      <c r="B128" s="22"/>
      <c r="C128" s="23" t="s">
        <v>25</v>
      </c>
      <c r="D128" s="26" t="s">
        <v>6</v>
      </c>
      <c r="E128" s="25"/>
      <c r="F128" s="7" t="str">
        <f aca="false">IF(E128="","",IFERROR(INDEX(코드관리!$C$7:$C$66,MATCH(E128,코드관리!$B$7:$B$66,0)),"미등록 코드"))</f>
        <v/>
      </c>
      <c r="G128" s="25"/>
      <c r="H128" s="25"/>
      <c r="I128" s="25" t="s">
        <v>75</v>
      </c>
      <c r="J128" s="24" t="s">
        <v>65</v>
      </c>
      <c r="K128" s="26" t="s">
        <v>61</v>
      </c>
      <c r="L128" s="27" t="n">
        <v>18017500</v>
      </c>
      <c r="M128" s="26"/>
      <c r="N128" s="8" t="n">
        <f aca="false">IF(L128="","",IF(K128="USD",ROUND(L128*설정!$C$4,0),L128))</f>
        <v>18017500</v>
      </c>
      <c r="O128" s="8" t="n">
        <f aca="false">IF(N128="","",IF(AND(J128="과세",M128="VAT포함"),ROUND(N128/(1+설정!$C$5),0),N128))</f>
        <v>18017500</v>
      </c>
      <c r="P128" s="8" t="n">
        <f aca="false">IF(N128="","",IF(J128="과세",IF(M128="VAT포함",N128-O128,ROUND(O128*설정!$C$5,0)),0))</f>
        <v>0</v>
      </c>
      <c r="Q128" s="8" t="n">
        <f aca="false">IF(N128="","",O128+P128)</f>
        <v>18017500</v>
      </c>
      <c r="R128" s="26"/>
      <c r="S128" s="8" t="str">
        <f aca="false">IF(OR(N128="",R128&lt;&gt;"Y"),"",ROUND(O128*설정!$C$5,0))</f>
        <v/>
      </c>
      <c r="T128" s="25"/>
    </row>
    <row r="129" customFormat="false" ht="15" hidden="false" customHeight="false" outlineLevel="0" collapsed="false">
      <c r="A129" s="21" t="n">
        <f aca="false">IF(C129="","",COUNTA($C$5:C129))</f>
        <v>125</v>
      </c>
      <c r="B129" s="22"/>
      <c r="C129" s="23" t="s">
        <v>25</v>
      </c>
      <c r="D129" s="26" t="s">
        <v>7</v>
      </c>
      <c r="E129" s="25"/>
      <c r="F129" s="7" t="str">
        <f aca="false">IF(E129="","",IFERROR(INDEX(코드관리!$C$7:$C$66,MATCH(E129,코드관리!$B$7:$B$66,0)),"미등록 코드"))</f>
        <v/>
      </c>
      <c r="G129" s="25"/>
      <c r="H129" s="25"/>
      <c r="I129" s="25" t="s">
        <v>75</v>
      </c>
      <c r="J129" s="24" t="s">
        <v>65</v>
      </c>
      <c r="K129" s="26" t="s">
        <v>61</v>
      </c>
      <c r="L129" s="27" t="n">
        <v>9932500</v>
      </c>
      <c r="M129" s="26"/>
      <c r="N129" s="8" t="n">
        <f aca="false">IF(L129="","",IF(K129="USD",ROUND(L129*설정!$C$4,0),L129))</f>
        <v>9932500</v>
      </c>
      <c r="O129" s="8" t="n">
        <f aca="false">IF(N129="","",IF(AND(J129="과세",M129="VAT포함"),ROUND(N129/(1+설정!$C$5),0),N129))</f>
        <v>9932500</v>
      </c>
      <c r="P129" s="8" t="n">
        <f aca="false">IF(N129="","",IF(J129="과세",IF(M129="VAT포함",N129-O129,ROUND(O129*설정!$C$5,0)),0))</f>
        <v>0</v>
      </c>
      <c r="Q129" s="8" t="n">
        <f aca="false">IF(N129="","",O129+P129)</f>
        <v>9932500</v>
      </c>
      <c r="R129" s="26"/>
      <c r="S129" s="8" t="str">
        <f aca="false">IF(OR(N129="",R129&lt;&gt;"Y"),"",ROUND(O129*설정!$C$5,0))</f>
        <v/>
      </c>
      <c r="T129" s="25"/>
    </row>
    <row r="130" customFormat="false" ht="15" hidden="false" customHeight="false" outlineLevel="0" collapsed="false">
      <c r="A130" s="21" t="n">
        <f aca="false">IF(C130="","",COUNTA($C$5:C130))</f>
        <v>126</v>
      </c>
      <c r="B130" s="22"/>
      <c r="C130" s="23" t="s">
        <v>26</v>
      </c>
      <c r="D130" s="24" t="s">
        <v>58</v>
      </c>
      <c r="E130" s="25"/>
      <c r="F130" s="7" t="str">
        <f aca="false">IF(E130="","",IFERROR(INDEX(코드관리!$C$7:$C$66,MATCH(E130,코드관리!$B$7:$B$66,0)),"미등록 코드"))</f>
        <v/>
      </c>
      <c r="G130" s="25"/>
      <c r="H130" s="25"/>
      <c r="I130" s="25" t="s">
        <v>75</v>
      </c>
      <c r="J130" s="24" t="s">
        <v>65</v>
      </c>
      <c r="K130" s="26" t="s">
        <v>61</v>
      </c>
      <c r="L130" s="27" t="n">
        <v>12600000</v>
      </c>
      <c r="M130" s="26"/>
      <c r="N130" s="8" t="n">
        <f aca="false">IF(L130="","",IF(K130="USD",ROUND(L130*설정!$C$4,0),L130))</f>
        <v>12600000</v>
      </c>
      <c r="O130" s="8" t="n">
        <f aca="false">IF(N130="","",IF(AND(J130="과세",M130="VAT포함"),ROUND(N130/(1+설정!$C$5),0),N130))</f>
        <v>12600000</v>
      </c>
      <c r="P130" s="8" t="n">
        <f aca="false">IF(N130="","",IF(J130="과세",IF(M130="VAT포함",N130-O130,ROUND(O130*설정!$C$5,0)),0))</f>
        <v>0</v>
      </c>
      <c r="Q130" s="8" t="n">
        <f aca="false">IF(N130="","",O130+P130)</f>
        <v>12600000</v>
      </c>
      <c r="R130" s="26" t="s">
        <v>76</v>
      </c>
      <c r="S130" s="8" t="n">
        <f aca="false">IF(OR(N130="",R130&lt;&gt;"Y"),"",ROUND(O130*설정!$C$5,0))</f>
        <v>1260000</v>
      </c>
      <c r="T130" s="23" t="s">
        <v>77</v>
      </c>
    </row>
    <row r="131" customFormat="false" ht="15" hidden="false" customHeight="false" outlineLevel="0" collapsed="false">
      <c r="A131" s="21" t="str">
        <f aca="false">IF(C131="","",COUNTA($C$5:C131))</f>
        <v/>
      </c>
      <c r="B131" s="22"/>
      <c r="C131" s="23"/>
      <c r="D131" s="26"/>
      <c r="E131" s="25"/>
      <c r="F131" s="7" t="str">
        <f aca="false">IF(E131="","",IFERROR(INDEX(코드관리!$C$7:$C$66,MATCH(E131,코드관리!$B$7:$B$66,0)),"미등록 코드"))</f>
        <v/>
      </c>
      <c r="G131" s="25"/>
      <c r="H131" s="25"/>
      <c r="I131" s="25"/>
      <c r="J131" s="24"/>
      <c r="K131" s="26"/>
      <c r="L131" s="27"/>
      <c r="M131" s="26"/>
      <c r="N131" s="8" t="str">
        <f aca="false">IF(L131="","",IF(K131="USD",ROUND(L131*설정!$C$4,0),L131))</f>
        <v/>
      </c>
      <c r="O131" s="8" t="str">
        <f aca="false">IF(N131="","",IF(AND(J131="과세",M131="VAT포함"),ROUND(N131/(1+설정!$C$5),0),N131))</f>
        <v/>
      </c>
      <c r="P131" s="8" t="str">
        <f aca="false">IF(N131="","",IF(J131="과세",IF(M131="VAT포함",N131-O131,ROUND(O131*설정!$C$5,0)),0))</f>
        <v/>
      </c>
      <c r="Q131" s="8" t="str">
        <f aca="false">IF(N131="","",O131+P131)</f>
        <v/>
      </c>
      <c r="R131" s="26"/>
      <c r="S131" s="8" t="str">
        <f aca="false">IF(OR(N131="",R131&lt;&gt;"Y"),"",ROUND(O131*설정!$C$5,0))</f>
        <v/>
      </c>
      <c r="T131" s="25"/>
    </row>
    <row r="132" customFormat="false" ht="15" hidden="false" customHeight="false" outlineLevel="0" collapsed="false">
      <c r="A132" s="21" t="str">
        <f aca="false">IF(C132="","",COUNTA($C$5:C132))</f>
        <v/>
      </c>
      <c r="B132" s="22"/>
      <c r="C132" s="23"/>
      <c r="D132" s="26"/>
      <c r="E132" s="25"/>
      <c r="F132" s="7" t="str">
        <f aca="false">IF(E132="","",IFERROR(INDEX(코드관리!$C$7:$C$66,MATCH(E132,코드관리!$B$7:$B$66,0)),"미등록 코드"))</f>
        <v/>
      </c>
      <c r="G132" s="25"/>
      <c r="H132" s="25"/>
      <c r="I132" s="25"/>
      <c r="J132" s="24"/>
      <c r="K132" s="26"/>
      <c r="L132" s="27"/>
      <c r="M132" s="26"/>
      <c r="N132" s="8" t="str">
        <f aca="false">IF(L132="","",IF(K132="USD",ROUND(L132*설정!$C$4,0),L132))</f>
        <v/>
      </c>
      <c r="O132" s="8" t="str">
        <f aca="false">IF(N132="","",IF(AND(J132="과세",M132="VAT포함"),ROUND(N132/(1+설정!$C$5),0),N132))</f>
        <v/>
      </c>
      <c r="P132" s="8" t="str">
        <f aca="false">IF(N132="","",IF(J132="과세",IF(M132="VAT포함",N132-O132,ROUND(O132*설정!$C$5,0)),0))</f>
        <v/>
      </c>
      <c r="Q132" s="8" t="str">
        <f aca="false">IF(N132="","",O132+P132)</f>
        <v/>
      </c>
      <c r="R132" s="26"/>
      <c r="S132" s="8" t="str">
        <f aca="false">IF(OR(N132="",R132&lt;&gt;"Y"),"",ROUND(O132*설정!$C$5,0))</f>
        <v/>
      </c>
      <c r="T132" s="25"/>
    </row>
    <row r="133" customFormat="false" ht="15" hidden="false" customHeight="false" outlineLevel="0" collapsed="false">
      <c r="A133" s="21" t="str">
        <f aca="false">IF(C133="","",COUNTA($C$5:C133))</f>
        <v/>
      </c>
      <c r="B133" s="22"/>
      <c r="C133" s="23"/>
      <c r="D133" s="26"/>
      <c r="E133" s="25"/>
      <c r="F133" s="7" t="str">
        <f aca="false">IF(E133="","",IFERROR(INDEX(코드관리!$C$7:$C$66,MATCH(E133,코드관리!$B$7:$B$66,0)),"미등록 코드"))</f>
        <v/>
      </c>
      <c r="G133" s="25"/>
      <c r="H133" s="25"/>
      <c r="I133" s="25"/>
      <c r="J133" s="24"/>
      <c r="K133" s="26"/>
      <c r="L133" s="27"/>
      <c r="M133" s="26"/>
      <c r="N133" s="8" t="str">
        <f aca="false">IF(L133="","",IF(K133="USD",ROUND(L133*설정!$C$4,0),L133))</f>
        <v/>
      </c>
      <c r="O133" s="8" t="str">
        <f aca="false">IF(N133="","",IF(AND(J133="과세",M133="VAT포함"),ROUND(N133/(1+설정!$C$5),0),N133))</f>
        <v/>
      </c>
      <c r="P133" s="8" t="str">
        <f aca="false">IF(N133="","",IF(J133="과세",IF(M133="VAT포함",N133-O133,ROUND(O133*설정!$C$5,0)),0))</f>
        <v/>
      </c>
      <c r="Q133" s="8" t="str">
        <f aca="false">IF(N133="","",O133+P133)</f>
        <v/>
      </c>
      <c r="R133" s="26"/>
      <c r="S133" s="8" t="str">
        <f aca="false">IF(OR(N133="",R133&lt;&gt;"Y"),"",ROUND(O133*설정!$C$5,0))</f>
        <v/>
      </c>
      <c r="T133" s="25"/>
    </row>
    <row r="134" customFormat="false" ht="15" hidden="false" customHeight="false" outlineLevel="0" collapsed="false">
      <c r="A134" s="21" t="str">
        <f aca="false">IF(C134="","",COUNTA($C$5:C134))</f>
        <v/>
      </c>
      <c r="B134" s="22"/>
      <c r="C134" s="23"/>
      <c r="D134" s="26"/>
      <c r="E134" s="25"/>
      <c r="F134" s="7" t="str">
        <f aca="false">IF(E134="","",IFERROR(INDEX(코드관리!$C$7:$C$66,MATCH(E134,코드관리!$B$7:$B$66,0)),"미등록 코드"))</f>
        <v/>
      </c>
      <c r="G134" s="25"/>
      <c r="H134" s="25"/>
      <c r="I134" s="25"/>
      <c r="J134" s="24"/>
      <c r="K134" s="26"/>
      <c r="L134" s="27"/>
      <c r="M134" s="26"/>
      <c r="N134" s="8" t="str">
        <f aca="false">IF(L134="","",IF(K134="USD",ROUND(L134*설정!$C$4,0),L134))</f>
        <v/>
      </c>
      <c r="O134" s="8" t="str">
        <f aca="false">IF(N134="","",IF(AND(J134="과세",M134="VAT포함"),ROUND(N134/(1+설정!$C$5),0),N134))</f>
        <v/>
      </c>
      <c r="P134" s="8" t="str">
        <f aca="false">IF(N134="","",IF(J134="과세",IF(M134="VAT포함",N134-O134,ROUND(O134*설정!$C$5,0)),0))</f>
        <v/>
      </c>
      <c r="Q134" s="8" t="str">
        <f aca="false">IF(N134="","",O134+P134)</f>
        <v/>
      </c>
      <c r="R134" s="26"/>
      <c r="S134" s="8" t="str">
        <f aca="false">IF(OR(N134="",R134&lt;&gt;"Y"),"",ROUND(O134*설정!$C$5,0))</f>
        <v/>
      </c>
      <c r="T134" s="25"/>
    </row>
    <row r="135" customFormat="false" ht="15" hidden="false" customHeight="false" outlineLevel="0" collapsed="false">
      <c r="A135" s="21" t="str">
        <f aca="false">IF(C135="","",COUNTA($C$5:C135))</f>
        <v/>
      </c>
      <c r="B135" s="22"/>
      <c r="C135" s="23"/>
      <c r="D135" s="26"/>
      <c r="E135" s="25"/>
      <c r="F135" s="7" t="str">
        <f aca="false">IF(E135="","",IFERROR(INDEX(코드관리!$C$7:$C$66,MATCH(E135,코드관리!$B$7:$B$66,0)),"미등록 코드"))</f>
        <v/>
      </c>
      <c r="G135" s="25"/>
      <c r="H135" s="25"/>
      <c r="I135" s="25"/>
      <c r="J135" s="24"/>
      <c r="K135" s="26"/>
      <c r="L135" s="27"/>
      <c r="M135" s="26"/>
      <c r="N135" s="8" t="str">
        <f aca="false">IF(L135="","",IF(K135="USD",ROUND(L135*설정!$C$4,0),L135))</f>
        <v/>
      </c>
      <c r="O135" s="8" t="str">
        <f aca="false">IF(N135="","",IF(AND(J135="과세",M135="VAT포함"),ROUND(N135/(1+설정!$C$5),0),N135))</f>
        <v/>
      </c>
      <c r="P135" s="8" t="str">
        <f aca="false">IF(N135="","",IF(J135="과세",IF(M135="VAT포함",N135-O135,ROUND(O135*설정!$C$5,0)),0))</f>
        <v/>
      </c>
      <c r="Q135" s="8" t="str">
        <f aca="false">IF(N135="","",O135+P135)</f>
        <v/>
      </c>
      <c r="R135" s="26"/>
      <c r="S135" s="8" t="str">
        <f aca="false">IF(OR(N135="",R135&lt;&gt;"Y"),"",ROUND(O135*설정!$C$5,0))</f>
        <v/>
      </c>
      <c r="T135" s="25"/>
    </row>
    <row r="136" customFormat="false" ht="15" hidden="false" customHeight="false" outlineLevel="0" collapsed="false">
      <c r="A136" s="21" t="str">
        <f aca="false">IF(C136="","",COUNTA($C$5:C136))</f>
        <v/>
      </c>
      <c r="B136" s="22"/>
      <c r="C136" s="23"/>
      <c r="D136" s="26"/>
      <c r="E136" s="25"/>
      <c r="F136" s="7" t="str">
        <f aca="false">IF(E136="","",IFERROR(INDEX(코드관리!$C$7:$C$66,MATCH(E136,코드관리!$B$7:$B$66,0)),"미등록 코드"))</f>
        <v/>
      </c>
      <c r="G136" s="25"/>
      <c r="H136" s="25"/>
      <c r="I136" s="25"/>
      <c r="J136" s="24"/>
      <c r="K136" s="26"/>
      <c r="L136" s="27"/>
      <c r="M136" s="26"/>
      <c r="N136" s="8" t="str">
        <f aca="false">IF(L136="","",IF(K136="USD",ROUND(L136*설정!$C$4,0),L136))</f>
        <v/>
      </c>
      <c r="O136" s="8" t="str">
        <f aca="false">IF(N136="","",IF(AND(J136="과세",M136="VAT포함"),ROUND(N136/(1+설정!$C$5),0),N136))</f>
        <v/>
      </c>
      <c r="P136" s="8" t="str">
        <f aca="false">IF(N136="","",IF(J136="과세",IF(M136="VAT포함",N136-O136,ROUND(O136*설정!$C$5,0)),0))</f>
        <v/>
      </c>
      <c r="Q136" s="8" t="str">
        <f aca="false">IF(N136="","",O136+P136)</f>
        <v/>
      </c>
      <c r="R136" s="26"/>
      <c r="S136" s="8" t="str">
        <f aca="false">IF(OR(N136="",R136&lt;&gt;"Y"),"",ROUND(O136*설정!$C$5,0))</f>
        <v/>
      </c>
      <c r="T136" s="25"/>
    </row>
    <row r="137" customFormat="false" ht="15" hidden="false" customHeight="false" outlineLevel="0" collapsed="false">
      <c r="A137" s="21" t="str">
        <f aca="false">IF(C137="","",COUNTA($C$5:C137))</f>
        <v/>
      </c>
      <c r="B137" s="22"/>
      <c r="C137" s="23"/>
      <c r="D137" s="26"/>
      <c r="E137" s="25"/>
      <c r="F137" s="7" t="str">
        <f aca="false">IF(E137="","",IFERROR(INDEX(코드관리!$C$7:$C$66,MATCH(E137,코드관리!$B$7:$B$66,0)),"미등록 코드"))</f>
        <v/>
      </c>
      <c r="G137" s="25"/>
      <c r="H137" s="25"/>
      <c r="I137" s="25"/>
      <c r="J137" s="24"/>
      <c r="K137" s="26"/>
      <c r="L137" s="27"/>
      <c r="M137" s="26"/>
      <c r="N137" s="8" t="str">
        <f aca="false">IF(L137="","",IF(K137="USD",ROUND(L137*설정!$C$4,0),L137))</f>
        <v/>
      </c>
      <c r="O137" s="8" t="str">
        <f aca="false">IF(N137="","",IF(AND(J137="과세",M137="VAT포함"),ROUND(N137/(1+설정!$C$5),0),N137))</f>
        <v/>
      </c>
      <c r="P137" s="8" t="str">
        <f aca="false">IF(N137="","",IF(J137="과세",IF(M137="VAT포함",N137-O137,ROUND(O137*설정!$C$5,0)),0))</f>
        <v/>
      </c>
      <c r="Q137" s="8" t="str">
        <f aca="false">IF(N137="","",O137+P137)</f>
        <v/>
      </c>
      <c r="R137" s="26"/>
      <c r="S137" s="8" t="str">
        <f aca="false">IF(OR(N137="",R137&lt;&gt;"Y"),"",ROUND(O137*설정!$C$5,0))</f>
        <v/>
      </c>
      <c r="T137" s="25"/>
    </row>
    <row r="138" customFormat="false" ht="15" hidden="false" customHeight="false" outlineLevel="0" collapsed="false">
      <c r="A138" s="21" t="str">
        <f aca="false">IF(C138="","",COUNTA($C$5:C138))</f>
        <v/>
      </c>
      <c r="B138" s="22"/>
      <c r="C138" s="23"/>
      <c r="D138" s="26"/>
      <c r="E138" s="25"/>
      <c r="F138" s="7" t="str">
        <f aca="false">IF(E138="","",IFERROR(INDEX(코드관리!$C$7:$C$66,MATCH(E138,코드관리!$B$7:$B$66,0)),"미등록 코드"))</f>
        <v/>
      </c>
      <c r="G138" s="25"/>
      <c r="H138" s="25"/>
      <c r="I138" s="25"/>
      <c r="J138" s="24"/>
      <c r="K138" s="26"/>
      <c r="L138" s="27"/>
      <c r="M138" s="26"/>
      <c r="N138" s="8" t="str">
        <f aca="false">IF(L138="","",IF(K138="USD",ROUND(L138*설정!$C$4,0),L138))</f>
        <v/>
      </c>
      <c r="O138" s="8" t="str">
        <f aca="false">IF(N138="","",IF(AND(J138="과세",M138="VAT포함"),ROUND(N138/(1+설정!$C$5),0),N138))</f>
        <v/>
      </c>
      <c r="P138" s="8" t="str">
        <f aca="false">IF(N138="","",IF(J138="과세",IF(M138="VAT포함",N138-O138,ROUND(O138*설정!$C$5,0)),0))</f>
        <v/>
      </c>
      <c r="Q138" s="8" t="str">
        <f aca="false">IF(N138="","",O138+P138)</f>
        <v/>
      </c>
      <c r="R138" s="26"/>
      <c r="S138" s="8" t="str">
        <f aca="false">IF(OR(N138="",R138&lt;&gt;"Y"),"",ROUND(O138*설정!$C$5,0))</f>
        <v/>
      </c>
      <c r="T138" s="25"/>
    </row>
    <row r="139" customFormat="false" ht="15" hidden="false" customHeight="false" outlineLevel="0" collapsed="false">
      <c r="A139" s="21" t="str">
        <f aca="false">IF(C139="","",COUNTA($C$5:C139))</f>
        <v/>
      </c>
      <c r="B139" s="22"/>
      <c r="C139" s="23"/>
      <c r="D139" s="26"/>
      <c r="E139" s="25"/>
      <c r="F139" s="7" t="str">
        <f aca="false">IF(E139="","",IFERROR(INDEX(코드관리!$C$7:$C$66,MATCH(E139,코드관리!$B$7:$B$66,0)),"미등록 코드"))</f>
        <v/>
      </c>
      <c r="G139" s="25"/>
      <c r="H139" s="25"/>
      <c r="I139" s="25"/>
      <c r="J139" s="24"/>
      <c r="K139" s="26"/>
      <c r="L139" s="27"/>
      <c r="M139" s="26"/>
      <c r="N139" s="8" t="str">
        <f aca="false">IF(L139="","",IF(K139="USD",ROUND(L139*설정!$C$4,0),L139))</f>
        <v/>
      </c>
      <c r="O139" s="8" t="str">
        <f aca="false">IF(N139="","",IF(AND(J139="과세",M139="VAT포함"),ROUND(N139/(1+설정!$C$5),0),N139))</f>
        <v/>
      </c>
      <c r="P139" s="8" t="str">
        <f aca="false">IF(N139="","",IF(J139="과세",IF(M139="VAT포함",N139-O139,ROUND(O139*설정!$C$5,0)),0))</f>
        <v/>
      </c>
      <c r="Q139" s="8" t="str">
        <f aca="false">IF(N139="","",O139+P139)</f>
        <v/>
      </c>
      <c r="R139" s="26"/>
      <c r="S139" s="8" t="str">
        <f aca="false">IF(OR(N139="",R139&lt;&gt;"Y"),"",ROUND(O139*설정!$C$5,0))</f>
        <v/>
      </c>
      <c r="T139" s="25"/>
    </row>
    <row r="140" customFormat="false" ht="15" hidden="false" customHeight="false" outlineLevel="0" collapsed="false">
      <c r="A140" s="21" t="str">
        <f aca="false">IF(C140="","",COUNTA($C$5:C140))</f>
        <v/>
      </c>
      <c r="B140" s="22"/>
      <c r="C140" s="23"/>
      <c r="D140" s="26"/>
      <c r="E140" s="25"/>
      <c r="F140" s="7" t="str">
        <f aca="false">IF(E140="","",IFERROR(INDEX(코드관리!$C$7:$C$66,MATCH(E140,코드관리!$B$7:$B$66,0)),"미등록 코드"))</f>
        <v/>
      </c>
      <c r="G140" s="25"/>
      <c r="H140" s="25"/>
      <c r="I140" s="25"/>
      <c r="J140" s="24"/>
      <c r="K140" s="26"/>
      <c r="L140" s="27"/>
      <c r="M140" s="26"/>
      <c r="N140" s="8" t="str">
        <f aca="false">IF(L140="","",IF(K140="USD",ROUND(L140*설정!$C$4,0),L140))</f>
        <v/>
      </c>
      <c r="O140" s="8" t="str">
        <f aca="false">IF(N140="","",IF(AND(J140="과세",M140="VAT포함"),ROUND(N140/(1+설정!$C$5),0),N140))</f>
        <v/>
      </c>
      <c r="P140" s="8" t="str">
        <f aca="false">IF(N140="","",IF(J140="과세",IF(M140="VAT포함",N140-O140,ROUND(O140*설정!$C$5,0)),0))</f>
        <v/>
      </c>
      <c r="Q140" s="8" t="str">
        <f aca="false">IF(N140="","",O140+P140)</f>
        <v/>
      </c>
      <c r="R140" s="26"/>
      <c r="S140" s="8" t="str">
        <f aca="false">IF(OR(N140="",R140&lt;&gt;"Y"),"",ROUND(O140*설정!$C$5,0))</f>
        <v/>
      </c>
      <c r="T140" s="25"/>
    </row>
    <row r="141" customFormat="false" ht="15" hidden="false" customHeight="false" outlineLevel="0" collapsed="false">
      <c r="A141" s="21" t="str">
        <f aca="false">IF(C141="","",COUNTA($C$5:C141))</f>
        <v/>
      </c>
      <c r="B141" s="22"/>
      <c r="C141" s="23"/>
      <c r="D141" s="26"/>
      <c r="E141" s="25"/>
      <c r="F141" s="7" t="str">
        <f aca="false">IF(E141="","",IFERROR(INDEX(코드관리!$C$7:$C$66,MATCH(E141,코드관리!$B$7:$B$66,0)),"미등록 코드"))</f>
        <v/>
      </c>
      <c r="G141" s="25"/>
      <c r="H141" s="25"/>
      <c r="I141" s="25"/>
      <c r="J141" s="24"/>
      <c r="K141" s="26"/>
      <c r="L141" s="27"/>
      <c r="M141" s="26"/>
      <c r="N141" s="8" t="str">
        <f aca="false">IF(L141="","",IF(K141="USD",ROUND(L141*설정!$C$4,0),L141))</f>
        <v/>
      </c>
      <c r="O141" s="8" t="str">
        <f aca="false">IF(N141="","",IF(AND(J141="과세",M141="VAT포함"),ROUND(N141/(1+설정!$C$5),0),N141))</f>
        <v/>
      </c>
      <c r="P141" s="8" t="str">
        <f aca="false">IF(N141="","",IF(J141="과세",IF(M141="VAT포함",N141-O141,ROUND(O141*설정!$C$5,0)),0))</f>
        <v/>
      </c>
      <c r="Q141" s="8" t="str">
        <f aca="false">IF(N141="","",O141+P141)</f>
        <v/>
      </c>
      <c r="R141" s="26"/>
      <c r="S141" s="8" t="str">
        <f aca="false">IF(OR(N141="",R141&lt;&gt;"Y"),"",ROUND(O141*설정!$C$5,0))</f>
        <v/>
      </c>
      <c r="T141" s="25"/>
    </row>
    <row r="142" customFormat="false" ht="15" hidden="false" customHeight="false" outlineLevel="0" collapsed="false">
      <c r="A142" s="21" t="str">
        <f aca="false">IF(C142="","",COUNTA($C$5:C142))</f>
        <v/>
      </c>
      <c r="B142" s="22"/>
      <c r="C142" s="23"/>
      <c r="D142" s="26"/>
      <c r="E142" s="25"/>
      <c r="F142" s="7" t="str">
        <f aca="false">IF(E142="","",IFERROR(INDEX(코드관리!$C$7:$C$66,MATCH(E142,코드관리!$B$7:$B$66,0)),"미등록 코드"))</f>
        <v/>
      </c>
      <c r="G142" s="25"/>
      <c r="H142" s="25"/>
      <c r="I142" s="25"/>
      <c r="J142" s="24"/>
      <c r="K142" s="26"/>
      <c r="L142" s="27"/>
      <c r="M142" s="26"/>
      <c r="N142" s="8" t="str">
        <f aca="false">IF(L142="","",IF(K142="USD",ROUND(L142*설정!$C$4,0),L142))</f>
        <v/>
      </c>
      <c r="O142" s="8" t="str">
        <f aca="false">IF(N142="","",IF(AND(J142="과세",M142="VAT포함"),ROUND(N142/(1+설정!$C$5),0),N142))</f>
        <v/>
      </c>
      <c r="P142" s="8" t="str">
        <f aca="false">IF(N142="","",IF(J142="과세",IF(M142="VAT포함",N142-O142,ROUND(O142*설정!$C$5,0)),0))</f>
        <v/>
      </c>
      <c r="Q142" s="8" t="str">
        <f aca="false">IF(N142="","",O142+P142)</f>
        <v/>
      </c>
      <c r="R142" s="26"/>
      <c r="S142" s="8" t="str">
        <f aca="false">IF(OR(N142="",R142&lt;&gt;"Y"),"",ROUND(O142*설정!$C$5,0))</f>
        <v/>
      </c>
      <c r="T142" s="25"/>
    </row>
    <row r="143" customFormat="false" ht="15" hidden="false" customHeight="false" outlineLevel="0" collapsed="false">
      <c r="A143" s="21" t="str">
        <f aca="false">IF(C143="","",COUNTA($C$5:C143))</f>
        <v/>
      </c>
      <c r="B143" s="22"/>
      <c r="C143" s="23"/>
      <c r="D143" s="26"/>
      <c r="E143" s="25"/>
      <c r="F143" s="7" t="str">
        <f aca="false">IF(E143="","",IFERROR(INDEX(코드관리!$C$7:$C$66,MATCH(E143,코드관리!$B$7:$B$66,0)),"미등록 코드"))</f>
        <v/>
      </c>
      <c r="G143" s="25"/>
      <c r="H143" s="25"/>
      <c r="I143" s="25"/>
      <c r="J143" s="24"/>
      <c r="K143" s="26"/>
      <c r="L143" s="27"/>
      <c r="M143" s="26"/>
      <c r="N143" s="8" t="str">
        <f aca="false">IF(L143="","",IF(K143="USD",ROUND(L143*설정!$C$4,0),L143))</f>
        <v/>
      </c>
      <c r="O143" s="8" t="str">
        <f aca="false">IF(N143="","",IF(AND(J143="과세",M143="VAT포함"),ROUND(N143/(1+설정!$C$5),0),N143))</f>
        <v/>
      </c>
      <c r="P143" s="8" t="str">
        <f aca="false">IF(N143="","",IF(J143="과세",IF(M143="VAT포함",N143-O143,ROUND(O143*설정!$C$5,0)),0))</f>
        <v/>
      </c>
      <c r="Q143" s="8" t="str">
        <f aca="false">IF(N143="","",O143+P143)</f>
        <v/>
      </c>
      <c r="R143" s="26"/>
      <c r="S143" s="8" t="str">
        <f aca="false">IF(OR(N143="",R143&lt;&gt;"Y"),"",ROUND(O143*설정!$C$5,0))</f>
        <v/>
      </c>
      <c r="T143" s="25"/>
    </row>
    <row r="144" customFormat="false" ht="15" hidden="false" customHeight="false" outlineLevel="0" collapsed="false">
      <c r="A144" s="21" t="str">
        <f aca="false">IF(C144="","",COUNTA($C$5:C144))</f>
        <v/>
      </c>
      <c r="B144" s="22"/>
      <c r="C144" s="23"/>
      <c r="D144" s="26"/>
      <c r="E144" s="25"/>
      <c r="F144" s="7" t="str">
        <f aca="false">IF(E144="","",IFERROR(INDEX(코드관리!$C$7:$C$66,MATCH(E144,코드관리!$B$7:$B$66,0)),"미등록 코드"))</f>
        <v/>
      </c>
      <c r="G144" s="25"/>
      <c r="H144" s="25"/>
      <c r="I144" s="25"/>
      <c r="J144" s="24"/>
      <c r="K144" s="26"/>
      <c r="L144" s="27"/>
      <c r="M144" s="26"/>
      <c r="N144" s="8" t="str">
        <f aca="false">IF(L144="","",IF(K144="USD",ROUND(L144*설정!$C$4,0),L144))</f>
        <v/>
      </c>
      <c r="O144" s="8" t="str">
        <f aca="false">IF(N144="","",IF(AND(J144="과세",M144="VAT포함"),ROUND(N144/(1+설정!$C$5),0),N144))</f>
        <v/>
      </c>
      <c r="P144" s="8" t="str">
        <f aca="false">IF(N144="","",IF(J144="과세",IF(M144="VAT포함",N144-O144,ROUND(O144*설정!$C$5,0)),0))</f>
        <v/>
      </c>
      <c r="Q144" s="8" t="str">
        <f aca="false">IF(N144="","",O144+P144)</f>
        <v/>
      </c>
      <c r="R144" s="26"/>
      <c r="S144" s="8" t="str">
        <f aca="false">IF(OR(N144="",R144&lt;&gt;"Y"),"",ROUND(O144*설정!$C$5,0))</f>
        <v/>
      </c>
      <c r="T144" s="25"/>
    </row>
    <row r="145" customFormat="false" ht="15" hidden="false" customHeight="false" outlineLevel="0" collapsed="false">
      <c r="A145" s="21" t="str">
        <f aca="false">IF(C145="","",COUNTA($C$5:C145))</f>
        <v/>
      </c>
      <c r="B145" s="22"/>
      <c r="C145" s="23"/>
      <c r="D145" s="26"/>
      <c r="E145" s="25"/>
      <c r="F145" s="7" t="str">
        <f aca="false">IF(E145="","",IFERROR(INDEX(코드관리!$C$7:$C$66,MATCH(E145,코드관리!$B$7:$B$66,0)),"미등록 코드"))</f>
        <v/>
      </c>
      <c r="G145" s="25"/>
      <c r="H145" s="25"/>
      <c r="I145" s="25"/>
      <c r="J145" s="24"/>
      <c r="K145" s="26"/>
      <c r="L145" s="27"/>
      <c r="M145" s="26"/>
      <c r="N145" s="8" t="str">
        <f aca="false">IF(L145="","",IF(K145="USD",ROUND(L145*설정!$C$4,0),L145))</f>
        <v/>
      </c>
      <c r="O145" s="8" t="str">
        <f aca="false">IF(N145="","",IF(AND(J145="과세",M145="VAT포함"),ROUND(N145/(1+설정!$C$5),0),N145))</f>
        <v/>
      </c>
      <c r="P145" s="8" t="str">
        <f aca="false">IF(N145="","",IF(J145="과세",IF(M145="VAT포함",N145-O145,ROUND(O145*설정!$C$5,0)),0))</f>
        <v/>
      </c>
      <c r="Q145" s="8" t="str">
        <f aca="false">IF(N145="","",O145+P145)</f>
        <v/>
      </c>
      <c r="R145" s="26"/>
      <c r="S145" s="8" t="str">
        <f aca="false">IF(OR(N145="",R145&lt;&gt;"Y"),"",ROUND(O145*설정!$C$5,0))</f>
        <v/>
      </c>
      <c r="T145" s="25"/>
    </row>
    <row r="146" customFormat="false" ht="15" hidden="false" customHeight="false" outlineLevel="0" collapsed="false">
      <c r="A146" s="21" t="str">
        <f aca="false">IF(C146="","",COUNTA($C$5:C146))</f>
        <v/>
      </c>
      <c r="B146" s="22"/>
      <c r="C146" s="23"/>
      <c r="D146" s="26"/>
      <c r="E146" s="25"/>
      <c r="F146" s="7" t="str">
        <f aca="false">IF(E146="","",IFERROR(INDEX(코드관리!$C$7:$C$66,MATCH(E146,코드관리!$B$7:$B$66,0)),"미등록 코드"))</f>
        <v/>
      </c>
      <c r="G146" s="25"/>
      <c r="H146" s="25"/>
      <c r="I146" s="25"/>
      <c r="J146" s="24"/>
      <c r="K146" s="26"/>
      <c r="L146" s="27"/>
      <c r="M146" s="26"/>
      <c r="N146" s="8" t="str">
        <f aca="false">IF(L146="","",IF(K146="USD",ROUND(L146*설정!$C$4,0),L146))</f>
        <v/>
      </c>
      <c r="O146" s="8" t="str">
        <f aca="false">IF(N146="","",IF(AND(J146="과세",M146="VAT포함"),ROUND(N146/(1+설정!$C$5),0),N146))</f>
        <v/>
      </c>
      <c r="P146" s="8" t="str">
        <f aca="false">IF(N146="","",IF(J146="과세",IF(M146="VAT포함",N146-O146,ROUND(O146*설정!$C$5,0)),0))</f>
        <v/>
      </c>
      <c r="Q146" s="8" t="str">
        <f aca="false">IF(N146="","",O146+P146)</f>
        <v/>
      </c>
      <c r="R146" s="26"/>
      <c r="S146" s="8" t="str">
        <f aca="false">IF(OR(N146="",R146&lt;&gt;"Y"),"",ROUND(O146*설정!$C$5,0))</f>
        <v/>
      </c>
      <c r="T146" s="25"/>
    </row>
    <row r="147" customFormat="false" ht="15" hidden="false" customHeight="false" outlineLevel="0" collapsed="false">
      <c r="A147" s="21" t="str">
        <f aca="false">IF(C147="","",COUNTA($C$5:C147))</f>
        <v/>
      </c>
      <c r="B147" s="22"/>
      <c r="C147" s="23"/>
      <c r="D147" s="26"/>
      <c r="E147" s="25"/>
      <c r="F147" s="7" t="str">
        <f aca="false">IF(E147="","",IFERROR(INDEX(코드관리!$C$7:$C$66,MATCH(E147,코드관리!$B$7:$B$66,0)),"미등록 코드"))</f>
        <v/>
      </c>
      <c r="G147" s="25"/>
      <c r="H147" s="25"/>
      <c r="I147" s="25"/>
      <c r="J147" s="24"/>
      <c r="K147" s="26"/>
      <c r="L147" s="27"/>
      <c r="M147" s="26"/>
      <c r="N147" s="8" t="str">
        <f aca="false">IF(L147="","",IF(K147="USD",ROUND(L147*설정!$C$4,0),L147))</f>
        <v/>
      </c>
      <c r="O147" s="8" t="str">
        <f aca="false">IF(N147="","",IF(AND(J147="과세",M147="VAT포함"),ROUND(N147/(1+설정!$C$5),0),N147))</f>
        <v/>
      </c>
      <c r="P147" s="8" t="str">
        <f aca="false">IF(N147="","",IF(J147="과세",IF(M147="VAT포함",N147-O147,ROUND(O147*설정!$C$5,0)),0))</f>
        <v/>
      </c>
      <c r="Q147" s="8" t="str">
        <f aca="false">IF(N147="","",O147+P147)</f>
        <v/>
      </c>
      <c r="R147" s="26"/>
      <c r="S147" s="8" t="str">
        <f aca="false">IF(OR(N147="",R147&lt;&gt;"Y"),"",ROUND(O147*설정!$C$5,0))</f>
        <v/>
      </c>
      <c r="T147" s="25"/>
    </row>
    <row r="148" customFormat="false" ht="15" hidden="false" customHeight="false" outlineLevel="0" collapsed="false">
      <c r="A148" s="21" t="str">
        <f aca="false">IF(C148="","",COUNTA($C$5:C148))</f>
        <v/>
      </c>
      <c r="B148" s="22"/>
      <c r="C148" s="23"/>
      <c r="D148" s="26"/>
      <c r="E148" s="25"/>
      <c r="F148" s="7" t="str">
        <f aca="false">IF(E148="","",IFERROR(INDEX(코드관리!$C$7:$C$66,MATCH(E148,코드관리!$B$7:$B$66,0)),"미등록 코드"))</f>
        <v/>
      </c>
      <c r="G148" s="25"/>
      <c r="H148" s="25"/>
      <c r="I148" s="25"/>
      <c r="J148" s="24"/>
      <c r="K148" s="26"/>
      <c r="L148" s="27"/>
      <c r="M148" s="26"/>
      <c r="N148" s="8" t="str">
        <f aca="false">IF(L148="","",IF(K148="USD",ROUND(L148*설정!$C$4,0),L148))</f>
        <v/>
      </c>
      <c r="O148" s="8" t="str">
        <f aca="false">IF(N148="","",IF(AND(J148="과세",M148="VAT포함"),ROUND(N148/(1+설정!$C$5),0),N148))</f>
        <v/>
      </c>
      <c r="P148" s="8" t="str">
        <f aca="false">IF(N148="","",IF(J148="과세",IF(M148="VAT포함",N148-O148,ROUND(O148*설정!$C$5,0)),0))</f>
        <v/>
      </c>
      <c r="Q148" s="8" t="str">
        <f aca="false">IF(N148="","",O148+P148)</f>
        <v/>
      </c>
      <c r="R148" s="26"/>
      <c r="S148" s="8" t="str">
        <f aca="false">IF(OR(N148="",R148&lt;&gt;"Y"),"",ROUND(O148*설정!$C$5,0))</f>
        <v/>
      </c>
      <c r="T148" s="25"/>
    </row>
    <row r="149" customFormat="false" ht="15" hidden="false" customHeight="false" outlineLevel="0" collapsed="false">
      <c r="A149" s="21" t="str">
        <f aca="false">IF(C149="","",COUNTA($C$5:C149))</f>
        <v/>
      </c>
      <c r="B149" s="22"/>
      <c r="C149" s="23"/>
      <c r="D149" s="26"/>
      <c r="E149" s="25"/>
      <c r="F149" s="7" t="str">
        <f aca="false">IF(E149="","",IFERROR(INDEX(코드관리!$C$7:$C$66,MATCH(E149,코드관리!$B$7:$B$66,0)),"미등록 코드"))</f>
        <v/>
      </c>
      <c r="G149" s="25"/>
      <c r="H149" s="25"/>
      <c r="I149" s="25"/>
      <c r="J149" s="24"/>
      <c r="K149" s="26"/>
      <c r="L149" s="27"/>
      <c r="M149" s="26"/>
      <c r="N149" s="8" t="str">
        <f aca="false">IF(L149="","",IF(K149="USD",ROUND(L149*설정!$C$4,0),L149))</f>
        <v/>
      </c>
      <c r="O149" s="8" t="str">
        <f aca="false">IF(N149="","",IF(AND(J149="과세",M149="VAT포함"),ROUND(N149/(1+설정!$C$5),0),N149))</f>
        <v/>
      </c>
      <c r="P149" s="8" t="str">
        <f aca="false">IF(N149="","",IF(J149="과세",IF(M149="VAT포함",N149-O149,ROUND(O149*설정!$C$5,0)),0))</f>
        <v/>
      </c>
      <c r="Q149" s="8" t="str">
        <f aca="false">IF(N149="","",O149+P149)</f>
        <v/>
      </c>
      <c r="R149" s="26"/>
      <c r="S149" s="8" t="str">
        <f aca="false">IF(OR(N149="",R149&lt;&gt;"Y"),"",ROUND(O149*설정!$C$5,0))</f>
        <v/>
      </c>
      <c r="T149" s="25"/>
    </row>
    <row r="150" customFormat="false" ht="15" hidden="false" customHeight="false" outlineLevel="0" collapsed="false">
      <c r="A150" s="21" t="str">
        <f aca="false">IF(C150="","",COUNTA($C$5:C150))</f>
        <v/>
      </c>
      <c r="B150" s="22"/>
      <c r="C150" s="23"/>
      <c r="D150" s="26"/>
      <c r="E150" s="25"/>
      <c r="F150" s="7" t="str">
        <f aca="false">IF(E150="","",IFERROR(INDEX(코드관리!$C$7:$C$66,MATCH(E150,코드관리!$B$7:$B$66,0)),"미등록 코드"))</f>
        <v/>
      </c>
      <c r="G150" s="25"/>
      <c r="H150" s="25"/>
      <c r="I150" s="25"/>
      <c r="J150" s="24"/>
      <c r="K150" s="26"/>
      <c r="L150" s="27"/>
      <c r="M150" s="26"/>
      <c r="N150" s="8" t="str">
        <f aca="false">IF(L150="","",IF(K150="USD",ROUND(L150*설정!$C$4,0),L150))</f>
        <v/>
      </c>
      <c r="O150" s="8" t="str">
        <f aca="false">IF(N150="","",IF(AND(J150="과세",M150="VAT포함"),ROUND(N150/(1+설정!$C$5),0),N150))</f>
        <v/>
      </c>
      <c r="P150" s="8" t="str">
        <f aca="false">IF(N150="","",IF(J150="과세",IF(M150="VAT포함",N150-O150,ROUND(O150*설정!$C$5,0)),0))</f>
        <v/>
      </c>
      <c r="Q150" s="8" t="str">
        <f aca="false">IF(N150="","",O150+P150)</f>
        <v/>
      </c>
      <c r="R150" s="26"/>
      <c r="S150" s="8" t="str">
        <f aca="false">IF(OR(N150="",R150&lt;&gt;"Y"),"",ROUND(O150*설정!$C$5,0))</f>
        <v/>
      </c>
      <c r="T150" s="25"/>
    </row>
    <row r="151" customFormat="false" ht="15" hidden="false" customHeight="false" outlineLevel="0" collapsed="false">
      <c r="A151" s="21" t="str">
        <f aca="false">IF(C151="","",COUNTA($C$5:C151))</f>
        <v/>
      </c>
      <c r="B151" s="22"/>
      <c r="C151" s="23"/>
      <c r="D151" s="26"/>
      <c r="E151" s="25"/>
      <c r="F151" s="7" t="str">
        <f aca="false">IF(E151="","",IFERROR(INDEX(코드관리!$C$7:$C$66,MATCH(E151,코드관리!$B$7:$B$66,0)),"미등록 코드"))</f>
        <v/>
      </c>
      <c r="G151" s="25"/>
      <c r="H151" s="25"/>
      <c r="I151" s="25"/>
      <c r="J151" s="24"/>
      <c r="K151" s="26"/>
      <c r="L151" s="27"/>
      <c r="M151" s="26"/>
      <c r="N151" s="8" t="str">
        <f aca="false">IF(L151="","",IF(K151="USD",ROUND(L151*설정!$C$4,0),L151))</f>
        <v/>
      </c>
      <c r="O151" s="8" t="str">
        <f aca="false">IF(N151="","",IF(AND(J151="과세",M151="VAT포함"),ROUND(N151/(1+설정!$C$5),0),N151))</f>
        <v/>
      </c>
      <c r="P151" s="8" t="str">
        <f aca="false">IF(N151="","",IF(J151="과세",IF(M151="VAT포함",N151-O151,ROUND(O151*설정!$C$5,0)),0))</f>
        <v/>
      </c>
      <c r="Q151" s="8" t="str">
        <f aca="false">IF(N151="","",O151+P151)</f>
        <v/>
      </c>
      <c r="R151" s="26"/>
      <c r="S151" s="8" t="str">
        <f aca="false">IF(OR(N151="",R151&lt;&gt;"Y"),"",ROUND(O151*설정!$C$5,0))</f>
        <v/>
      </c>
      <c r="T151" s="25"/>
    </row>
    <row r="152" customFormat="false" ht="15" hidden="false" customHeight="false" outlineLevel="0" collapsed="false">
      <c r="A152" s="21" t="str">
        <f aca="false">IF(C152="","",COUNTA($C$5:C152))</f>
        <v/>
      </c>
      <c r="B152" s="22"/>
      <c r="C152" s="23"/>
      <c r="D152" s="26"/>
      <c r="E152" s="25"/>
      <c r="F152" s="7" t="str">
        <f aca="false">IF(E152="","",IFERROR(INDEX(코드관리!$C$7:$C$66,MATCH(E152,코드관리!$B$7:$B$66,0)),"미등록 코드"))</f>
        <v/>
      </c>
      <c r="G152" s="25"/>
      <c r="H152" s="25"/>
      <c r="I152" s="25"/>
      <c r="J152" s="24"/>
      <c r="K152" s="26"/>
      <c r="L152" s="27"/>
      <c r="M152" s="26"/>
      <c r="N152" s="8" t="str">
        <f aca="false">IF(L152="","",IF(K152="USD",ROUND(L152*설정!$C$4,0),L152))</f>
        <v/>
      </c>
      <c r="O152" s="8" t="str">
        <f aca="false">IF(N152="","",IF(AND(J152="과세",M152="VAT포함"),ROUND(N152/(1+설정!$C$5),0),N152))</f>
        <v/>
      </c>
      <c r="P152" s="8" t="str">
        <f aca="false">IF(N152="","",IF(J152="과세",IF(M152="VAT포함",N152-O152,ROUND(O152*설정!$C$5,0)),0))</f>
        <v/>
      </c>
      <c r="Q152" s="8" t="str">
        <f aca="false">IF(N152="","",O152+P152)</f>
        <v/>
      </c>
      <c r="R152" s="26"/>
      <c r="S152" s="8" t="str">
        <f aca="false">IF(OR(N152="",R152&lt;&gt;"Y"),"",ROUND(O152*설정!$C$5,0))</f>
        <v/>
      </c>
      <c r="T152" s="25"/>
    </row>
    <row r="153" customFormat="false" ht="15" hidden="false" customHeight="false" outlineLevel="0" collapsed="false">
      <c r="A153" s="21" t="str">
        <f aca="false">IF(C153="","",COUNTA($C$5:C153))</f>
        <v/>
      </c>
      <c r="B153" s="22"/>
      <c r="C153" s="23"/>
      <c r="D153" s="26"/>
      <c r="E153" s="25"/>
      <c r="F153" s="7" t="str">
        <f aca="false">IF(E153="","",IFERROR(INDEX(코드관리!$C$7:$C$66,MATCH(E153,코드관리!$B$7:$B$66,0)),"미등록 코드"))</f>
        <v/>
      </c>
      <c r="G153" s="25"/>
      <c r="H153" s="25"/>
      <c r="I153" s="25"/>
      <c r="J153" s="24"/>
      <c r="K153" s="26"/>
      <c r="L153" s="27"/>
      <c r="M153" s="26"/>
      <c r="N153" s="8" t="str">
        <f aca="false">IF(L153="","",IF(K153="USD",ROUND(L153*설정!$C$4,0),L153))</f>
        <v/>
      </c>
      <c r="O153" s="8" t="str">
        <f aca="false">IF(N153="","",IF(AND(J153="과세",M153="VAT포함"),ROUND(N153/(1+설정!$C$5),0),N153))</f>
        <v/>
      </c>
      <c r="P153" s="8" t="str">
        <f aca="false">IF(N153="","",IF(J153="과세",IF(M153="VAT포함",N153-O153,ROUND(O153*설정!$C$5,0)),0))</f>
        <v/>
      </c>
      <c r="Q153" s="8" t="str">
        <f aca="false">IF(N153="","",O153+P153)</f>
        <v/>
      </c>
      <c r="R153" s="26"/>
      <c r="S153" s="8" t="str">
        <f aca="false">IF(OR(N153="",R153&lt;&gt;"Y"),"",ROUND(O153*설정!$C$5,0))</f>
        <v/>
      </c>
      <c r="T153" s="25"/>
    </row>
    <row r="154" customFormat="false" ht="15" hidden="false" customHeight="false" outlineLevel="0" collapsed="false">
      <c r="A154" s="21" t="str">
        <f aca="false">IF(C154="","",COUNTA($C$5:C154))</f>
        <v/>
      </c>
      <c r="B154" s="22"/>
      <c r="C154" s="23"/>
      <c r="D154" s="26"/>
      <c r="E154" s="25"/>
      <c r="F154" s="7" t="str">
        <f aca="false">IF(E154="","",IFERROR(INDEX(코드관리!$C$7:$C$66,MATCH(E154,코드관리!$B$7:$B$66,0)),"미등록 코드"))</f>
        <v/>
      </c>
      <c r="G154" s="25"/>
      <c r="H154" s="25"/>
      <c r="I154" s="25"/>
      <c r="J154" s="24"/>
      <c r="K154" s="26"/>
      <c r="L154" s="27"/>
      <c r="M154" s="26"/>
      <c r="N154" s="8" t="str">
        <f aca="false">IF(L154="","",IF(K154="USD",ROUND(L154*설정!$C$4,0),L154))</f>
        <v/>
      </c>
      <c r="O154" s="8" t="str">
        <f aca="false">IF(N154="","",IF(AND(J154="과세",M154="VAT포함"),ROUND(N154/(1+설정!$C$5),0),N154))</f>
        <v/>
      </c>
      <c r="P154" s="8" t="str">
        <f aca="false">IF(N154="","",IF(J154="과세",IF(M154="VAT포함",N154-O154,ROUND(O154*설정!$C$5,0)),0))</f>
        <v/>
      </c>
      <c r="Q154" s="8" t="str">
        <f aca="false">IF(N154="","",O154+P154)</f>
        <v/>
      </c>
      <c r="R154" s="26"/>
      <c r="S154" s="8" t="str">
        <f aca="false">IF(OR(N154="",R154&lt;&gt;"Y"),"",ROUND(O154*설정!$C$5,0))</f>
        <v/>
      </c>
      <c r="T154" s="25"/>
    </row>
    <row r="155" customFormat="false" ht="15" hidden="false" customHeight="false" outlineLevel="0" collapsed="false">
      <c r="A155" s="21" t="str">
        <f aca="false">IF(C155="","",COUNTA($C$5:C155))</f>
        <v/>
      </c>
      <c r="B155" s="22"/>
      <c r="C155" s="23"/>
      <c r="D155" s="26"/>
      <c r="E155" s="25"/>
      <c r="F155" s="7" t="str">
        <f aca="false">IF(E155="","",IFERROR(INDEX(코드관리!$C$7:$C$66,MATCH(E155,코드관리!$B$7:$B$66,0)),"미등록 코드"))</f>
        <v/>
      </c>
      <c r="G155" s="25"/>
      <c r="H155" s="25"/>
      <c r="I155" s="25"/>
      <c r="J155" s="24"/>
      <c r="K155" s="26"/>
      <c r="L155" s="27"/>
      <c r="M155" s="26"/>
      <c r="N155" s="8" t="str">
        <f aca="false">IF(L155="","",IF(K155="USD",ROUND(L155*설정!$C$4,0),L155))</f>
        <v/>
      </c>
      <c r="O155" s="8" t="str">
        <f aca="false">IF(N155="","",IF(AND(J155="과세",M155="VAT포함"),ROUND(N155/(1+설정!$C$5),0),N155))</f>
        <v/>
      </c>
      <c r="P155" s="8" t="str">
        <f aca="false">IF(N155="","",IF(J155="과세",IF(M155="VAT포함",N155-O155,ROUND(O155*설정!$C$5,0)),0))</f>
        <v/>
      </c>
      <c r="Q155" s="8" t="str">
        <f aca="false">IF(N155="","",O155+P155)</f>
        <v/>
      </c>
      <c r="R155" s="26"/>
      <c r="S155" s="8" t="str">
        <f aca="false">IF(OR(N155="",R155&lt;&gt;"Y"),"",ROUND(O155*설정!$C$5,0))</f>
        <v/>
      </c>
      <c r="T155" s="25"/>
    </row>
    <row r="156" customFormat="false" ht="15" hidden="false" customHeight="false" outlineLevel="0" collapsed="false">
      <c r="A156" s="21" t="str">
        <f aca="false">IF(C156="","",COUNTA($C$5:C156))</f>
        <v/>
      </c>
      <c r="B156" s="22"/>
      <c r="C156" s="23"/>
      <c r="D156" s="26"/>
      <c r="E156" s="25"/>
      <c r="F156" s="7" t="str">
        <f aca="false">IF(E156="","",IFERROR(INDEX(코드관리!$C$7:$C$66,MATCH(E156,코드관리!$B$7:$B$66,0)),"미등록 코드"))</f>
        <v/>
      </c>
      <c r="G156" s="25"/>
      <c r="H156" s="25"/>
      <c r="I156" s="25"/>
      <c r="J156" s="24"/>
      <c r="K156" s="26"/>
      <c r="L156" s="27"/>
      <c r="M156" s="26"/>
      <c r="N156" s="8" t="str">
        <f aca="false">IF(L156="","",IF(K156="USD",ROUND(L156*설정!$C$4,0),L156))</f>
        <v/>
      </c>
      <c r="O156" s="8" t="str">
        <f aca="false">IF(N156="","",IF(AND(J156="과세",M156="VAT포함"),ROUND(N156/(1+설정!$C$5),0),N156))</f>
        <v/>
      </c>
      <c r="P156" s="8" t="str">
        <f aca="false">IF(N156="","",IF(J156="과세",IF(M156="VAT포함",N156-O156,ROUND(O156*설정!$C$5,0)),0))</f>
        <v/>
      </c>
      <c r="Q156" s="8" t="str">
        <f aca="false">IF(N156="","",O156+P156)</f>
        <v/>
      </c>
      <c r="R156" s="26"/>
      <c r="S156" s="8" t="str">
        <f aca="false">IF(OR(N156="",R156&lt;&gt;"Y"),"",ROUND(O156*설정!$C$5,0))</f>
        <v/>
      </c>
      <c r="T156" s="25"/>
    </row>
    <row r="157" customFormat="false" ht="15" hidden="false" customHeight="false" outlineLevel="0" collapsed="false">
      <c r="A157" s="21" t="str">
        <f aca="false">IF(C157="","",COUNTA($C$5:C157))</f>
        <v/>
      </c>
      <c r="B157" s="22"/>
      <c r="C157" s="23"/>
      <c r="D157" s="26"/>
      <c r="E157" s="25"/>
      <c r="F157" s="7" t="str">
        <f aca="false">IF(E157="","",IFERROR(INDEX(코드관리!$C$7:$C$66,MATCH(E157,코드관리!$B$7:$B$66,0)),"미등록 코드"))</f>
        <v/>
      </c>
      <c r="G157" s="25"/>
      <c r="H157" s="25"/>
      <c r="I157" s="25"/>
      <c r="J157" s="24"/>
      <c r="K157" s="26"/>
      <c r="L157" s="27"/>
      <c r="M157" s="26"/>
      <c r="N157" s="8" t="str">
        <f aca="false">IF(L157="","",IF(K157="USD",ROUND(L157*설정!$C$4,0),L157))</f>
        <v/>
      </c>
      <c r="O157" s="8" t="str">
        <f aca="false">IF(N157="","",IF(AND(J157="과세",M157="VAT포함"),ROUND(N157/(1+설정!$C$5),0),N157))</f>
        <v/>
      </c>
      <c r="P157" s="8" t="str">
        <f aca="false">IF(N157="","",IF(J157="과세",IF(M157="VAT포함",N157-O157,ROUND(O157*설정!$C$5,0)),0))</f>
        <v/>
      </c>
      <c r="Q157" s="8" t="str">
        <f aca="false">IF(N157="","",O157+P157)</f>
        <v/>
      </c>
      <c r="R157" s="26"/>
      <c r="S157" s="8" t="str">
        <f aca="false">IF(OR(N157="",R157&lt;&gt;"Y"),"",ROUND(O157*설정!$C$5,0))</f>
        <v/>
      </c>
      <c r="T157" s="25"/>
    </row>
    <row r="158" customFormat="false" ht="15" hidden="false" customHeight="false" outlineLevel="0" collapsed="false">
      <c r="A158" s="21" t="str">
        <f aca="false">IF(C158="","",COUNTA($C$5:C158))</f>
        <v/>
      </c>
      <c r="B158" s="22"/>
      <c r="C158" s="23"/>
      <c r="D158" s="26"/>
      <c r="E158" s="25"/>
      <c r="F158" s="7" t="str">
        <f aca="false">IF(E158="","",IFERROR(INDEX(코드관리!$C$7:$C$66,MATCH(E158,코드관리!$B$7:$B$66,0)),"미등록 코드"))</f>
        <v/>
      </c>
      <c r="G158" s="25"/>
      <c r="H158" s="25"/>
      <c r="I158" s="25"/>
      <c r="J158" s="24"/>
      <c r="K158" s="26"/>
      <c r="L158" s="27"/>
      <c r="M158" s="26"/>
      <c r="N158" s="8" t="str">
        <f aca="false">IF(L158="","",IF(K158="USD",ROUND(L158*설정!$C$4,0),L158))</f>
        <v/>
      </c>
      <c r="O158" s="8" t="str">
        <f aca="false">IF(N158="","",IF(AND(J158="과세",M158="VAT포함"),ROUND(N158/(1+설정!$C$5),0),N158))</f>
        <v/>
      </c>
      <c r="P158" s="8" t="str">
        <f aca="false">IF(N158="","",IF(J158="과세",IF(M158="VAT포함",N158-O158,ROUND(O158*설정!$C$5,0)),0))</f>
        <v/>
      </c>
      <c r="Q158" s="8" t="str">
        <f aca="false">IF(N158="","",O158+P158)</f>
        <v/>
      </c>
      <c r="R158" s="26"/>
      <c r="S158" s="8" t="str">
        <f aca="false">IF(OR(N158="",R158&lt;&gt;"Y"),"",ROUND(O158*설정!$C$5,0))</f>
        <v/>
      </c>
      <c r="T158" s="25"/>
    </row>
    <row r="159" customFormat="false" ht="15" hidden="false" customHeight="false" outlineLevel="0" collapsed="false">
      <c r="A159" s="21" t="str">
        <f aca="false">IF(C159="","",COUNTA($C$5:C159))</f>
        <v/>
      </c>
      <c r="B159" s="22"/>
      <c r="C159" s="23"/>
      <c r="D159" s="26"/>
      <c r="E159" s="25"/>
      <c r="F159" s="7" t="str">
        <f aca="false">IF(E159="","",IFERROR(INDEX(코드관리!$C$7:$C$66,MATCH(E159,코드관리!$B$7:$B$66,0)),"미등록 코드"))</f>
        <v/>
      </c>
      <c r="G159" s="25"/>
      <c r="H159" s="25"/>
      <c r="I159" s="25"/>
      <c r="J159" s="24"/>
      <c r="K159" s="26"/>
      <c r="L159" s="27"/>
      <c r="M159" s="26"/>
      <c r="N159" s="8" t="str">
        <f aca="false">IF(L159="","",IF(K159="USD",ROUND(L159*설정!$C$4,0),L159))</f>
        <v/>
      </c>
      <c r="O159" s="8" t="str">
        <f aca="false">IF(N159="","",IF(AND(J159="과세",M159="VAT포함"),ROUND(N159/(1+설정!$C$5),0),N159))</f>
        <v/>
      </c>
      <c r="P159" s="8" t="str">
        <f aca="false">IF(N159="","",IF(J159="과세",IF(M159="VAT포함",N159-O159,ROUND(O159*설정!$C$5,0)),0))</f>
        <v/>
      </c>
      <c r="Q159" s="8" t="str">
        <f aca="false">IF(N159="","",O159+P159)</f>
        <v/>
      </c>
      <c r="R159" s="26"/>
      <c r="S159" s="8" t="str">
        <f aca="false">IF(OR(N159="",R159&lt;&gt;"Y"),"",ROUND(O159*설정!$C$5,0))</f>
        <v/>
      </c>
      <c r="T159" s="25"/>
    </row>
    <row r="160" customFormat="false" ht="15" hidden="false" customHeight="false" outlineLevel="0" collapsed="false">
      <c r="A160" s="21" t="str">
        <f aca="false">IF(C160="","",COUNTA($C$5:C160))</f>
        <v/>
      </c>
      <c r="B160" s="22"/>
      <c r="C160" s="23"/>
      <c r="D160" s="26"/>
      <c r="E160" s="25"/>
      <c r="F160" s="7" t="str">
        <f aca="false">IF(E160="","",IFERROR(INDEX(코드관리!$C$7:$C$66,MATCH(E160,코드관리!$B$7:$B$66,0)),"미등록 코드"))</f>
        <v/>
      </c>
      <c r="G160" s="25"/>
      <c r="H160" s="25"/>
      <c r="I160" s="25"/>
      <c r="J160" s="24"/>
      <c r="K160" s="26"/>
      <c r="L160" s="27"/>
      <c r="M160" s="26"/>
      <c r="N160" s="8" t="str">
        <f aca="false">IF(L160="","",IF(K160="USD",ROUND(L160*설정!$C$4,0),L160))</f>
        <v/>
      </c>
      <c r="O160" s="8" t="str">
        <f aca="false">IF(N160="","",IF(AND(J160="과세",M160="VAT포함"),ROUND(N160/(1+설정!$C$5),0),N160))</f>
        <v/>
      </c>
      <c r="P160" s="8" t="str">
        <f aca="false">IF(N160="","",IF(J160="과세",IF(M160="VAT포함",N160-O160,ROUND(O160*설정!$C$5,0)),0))</f>
        <v/>
      </c>
      <c r="Q160" s="8" t="str">
        <f aca="false">IF(N160="","",O160+P160)</f>
        <v/>
      </c>
      <c r="R160" s="26"/>
      <c r="S160" s="8" t="str">
        <f aca="false">IF(OR(N160="",R160&lt;&gt;"Y"),"",ROUND(O160*설정!$C$5,0))</f>
        <v/>
      </c>
      <c r="T160" s="25"/>
    </row>
    <row r="161" customFormat="false" ht="15" hidden="false" customHeight="false" outlineLevel="0" collapsed="false">
      <c r="A161" s="21" t="str">
        <f aca="false">IF(C161="","",COUNTA($C$5:C161))</f>
        <v/>
      </c>
      <c r="B161" s="22"/>
      <c r="C161" s="23"/>
      <c r="D161" s="26"/>
      <c r="E161" s="25"/>
      <c r="F161" s="7" t="str">
        <f aca="false">IF(E161="","",IFERROR(INDEX(코드관리!$C$7:$C$66,MATCH(E161,코드관리!$B$7:$B$66,0)),"미등록 코드"))</f>
        <v/>
      </c>
      <c r="G161" s="25"/>
      <c r="H161" s="25"/>
      <c r="I161" s="25"/>
      <c r="J161" s="24"/>
      <c r="K161" s="26"/>
      <c r="L161" s="27"/>
      <c r="M161" s="26"/>
      <c r="N161" s="8" t="str">
        <f aca="false">IF(L161="","",IF(K161="USD",ROUND(L161*설정!$C$4,0),L161))</f>
        <v/>
      </c>
      <c r="O161" s="8" t="str">
        <f aca="false">IF(N161="","",IF(AND(J161="과세",M161="VAT포함"),ROUND(N161/(1+설정!$C$5),0),N161))</f>
        <v/>
      </c>
      <c r="P161" s="8" t="str">
        <f aca="false">IF(N161="","",IF(J161="과세",IF(M161="VAT포함",N161-O161,ROUND(O161*설정!$C$5,0)),0))</f>
        <v/>
      </c>
      <c r="Q161" s="8" t="str">
        <f aca="false">IF(N161="","",O161+P161)</f>
        <v/>
      </c>
      <c r="R161" s="26"/>
      <c r="S161" s="8" t="str">
        <f aca="false">IF(OR(N161="",R161&lt;&gt;"Y"),"",ROUND(O161*설정!$C$5,0))</f>
        <v/>
      </c>
      <c r="T161" s="25"/>
    </row>
    <row r="162" customFormat="false" ht="15" hidden="false" customHeight="false" outlineLevel="0" collapsed="false">
      <c r="A162" s="21" t="str">
        <f aca="false">IF(C162="","",COUNTA($C$5:C162))</f>
        <v/>
      </c>
      <c r="B162" s="22"/>
      <c r="C162" s="23"/>
      <c r="D162" s="26"/>
      <c r="E162" s="25"/>
      <c r="F162" s="7" t="str">
        <f aca="false">IF(E162="","",IFERROR(INDEX(코드관리!$C$7:$C$66,MATCH(E162,코드관리!$B$7:$B$66,0)),"미등록 코드"))</f>
        <v/>
      </c>
      <c r="G162" s="25"/>
      <c r="H162" s="25"/>
      <c r="I162" s="25"/>
      <c r="J162" s="24"/>
      <c r="K162" s="26"/>
      <c r="L162" s="27"/>
      <c r="M162" s="26"/>
      <c r="N162" s="8" t="str">
        <f aca="false">IF(L162="","",IF(K162="USD",ROUND(L162*설정!$C$4,0),L162))</f>
        <v/>
      </c>
      <c r="O162" s="8" t="str">
        <f aca="false">IF(N162="","",IF(AND(J162="과세",M162="VAT포함"),ROUND(N162/(1+설정!$C$5),0),N162))</f>
        <v/>
      </c>
      <c r="P162" s="8" t="str">
        <f aca="false">IF(N162="","",IF(J162="과세",IF(M162="VAT포함",N162-O162,ROUND(O162*설정!$C$5,0)),0))</f>
        <v/>
      </c>
      <c r="Q162" s="8" t="str">
        <f aca="false">IF(N162="","",O162+P162)</f>
        <v/>
      </c>
      <c r="R162" s="26"/>
      <c r="S162" s="8" t="str">
        <f aca="false">IF(OR(N162="",R162&lt;&gt;"Y"),"",ROUND(O162*설정!$C$5,0))</f>
        <v/>
      </c>
      <c r="T162" s="25"/>
    </row>
    <row r="163" customFormat="false" ht="15" hidden="false" customHeight="false" outlineLevel="0" collapsed="false">
      <c r="A163" s="21" t="str">
        <f aca="false">IF(C163="","",COUNTA($C$5:C163))</f>
        <v/>
      </c>
      <c r="B163" s="22"/>
      <c r="C163" s="23"/>
      <c r="D163" s="26"/>
      <c r="E163" s="25"/>
      <c r="F163" s="7" t="str">
        <f aca="false">IF(E163="","",IFERROR(INDEX(코드관리!$C$7:$C$66,MATCH(E163,코드관리!$B$7:$B$66,0)),"미등록 코드"))</f>
        <v/>
      </c>
      <c r="G163" s="25"/>
      <c r="H163" s="25"/>
      <c r="I163" s="25"/>
      <c r="J163" s="24"/>
      <c r="K163" s="26"/>
      <c r="L163" s="27"/>
      <c r="M163" s="26"/>
      <c r="N163" s="8" t="str">
        <f aca="false">IF(L163="","",IF(K163="USD",ROUND(L163*설정!$C$4,0),L163))</f>
        <v/>
      </c>
      <c r="O163" s="8" t="str">
        <f aca="false">IF(N163="","",IF(AND(J163="과세",M163="VAT포함"),ROUND(N163/(1+설정!$C$5),0),N163))</f>
        <v/>
      </c>
      <c r="P163" s="8" t="str">
        <f aca="false">IF(N163="","",IF(J163="과세",IF(M163="VAT포함",N163-O163,ROUND(O163*설정!$C$5,0)),0))</f>
        <v/>
      </c>
      <c r="Q163" s="8" t="str">
        <f aca="false">IF(N163="","",O163+P163)</f>
        <v/>
      </c>
      <c r="R163" s="26"/>
      <c r="S163" s="8" t="str">
        <f aca="false">IF(OR(N163="",R163&lt;&gt;"Y"),"",ROUND(O163*설정!$C$5,0))</f>
        <v/>
      </c>
      <c r="T163" s="25"/>
    </row>
    <row r="164" customFormat="false" ht="15" hidden="false" customHeight="false" outlineLevel="0" collapsed="false">
      <c r="A164" s="21" t="str">
        <f aca="false">IF(C164="","",COUNTA($C$5:C164))</f>
        <v/>
      </c>
      <c r="B164" s="22"/>
      <c r="C164" s="23"/>
      <c r="D164" s="26"/>
      <c r="E164" s="25"/>
      <c r="F164" s="7" t="str">
        <f aca="false">IF(E164="","",IFERROR(INDEX(코드관리!$C$7:$C$66,MATCH(E164,코드관리!$B$7:$B$66,0)),"미등록 코드"))</f>
        <v/>
      </c>
      <c r="G164" s="25"/>
      <c r="H164" s="25"/>
      <c r="I164" s="25"/>
      <c r="J164" s="24"/>
      <c r="K164" s="26"/>
      <c r="L164" s="27"/>
      <c r="M164" s="26"/>
      <c r="N164" s="8" t="str">
        <f aca="false">IF(L164="","",IF(K164="USD",ROUND(L164*설정!$C$4,0),L164))</f>
        <v/>
      </c>
      <c r="O164" s="8" t="str">
        <f aca="false">IF(N164="","",IF(AND(J164="과세",M164="VAT포함"),ROUND(N164/(1+설정!$C$5),0),N164))</f>
        <v/>
      </c>
      <c r="P164" s="8" t="str">
        <f aca="false">IF(N164="","",IF(J164="과세",IF(M164="VAT포함",N164-O164,ROUND(O164*설정!$C$5,0)),0))</f>
        <v/>
      </c>
      <c r="Q164" s="8" t="str">
        <f aca="false">IF(N164="","",O164+P164)</f>
        <v/>
      </c>
      <c r="R164" s="26"/>
      <c r="S164" s="8" t="str">
        <f aca="false">IF(OR(N164="",R164&lt;&gt;"Y"),"",ROUND(O164*설정!$C$5,0))</f>
        <v/>
      </c>
      <c r="T164" s="25"/>
    </row>
    <row r="165" customFormat="false" ht="15" hidden="false" customHeight="false" outlineLevel="0" collapsed="false">
      <c r="A165" s="21" t="str">
        <f aca="false">IF(C165="","",COUNTA($C$5:C165))</f>
        <v/>
      </c>
      <c r="B165" s="22"/>
      <c r="C165" s="23"/>
      <c r="D165" s="26"/>
      <c r="E165" s="25"/>
      <c r="F165" s="7" t="str">
        <f aca="false">IF(E165="","",IFERROR(INDEX(코드관리!$C$7:$C$66,MATCH(E165,코드관리!$B$7:$B$66,0)),"미등록 코드"))</f>
        <v/>
      </c>
      <c r="G165" s="25"/>
      <c r="H165" s="25"/>
      <c r="I165" s="25"/>
      <c r="J165" s="24"/>
      <c r="K165" s="26"/>
      <c r="L165" s="27"/>
      <c r="M165" s="26"/>
      <c r="N165" s="8" t="str">
        <f aca="false">IF(L165="","",IF(K165="USD",ROUND(L165*설정!$C$4,0),L165))</f>
        <v/>
      </c>
      <c r="O165" s="8" t="str">
        <f aca="false">IF(N165="","",IF(AND(J165="과세",M165="VAT포함"),ROUND(N165/(1+설정!$C$5),0),N165))</f>
        <v/>
      </c>
      <c r="P165" s="8" t="str">
        <f aca="false">IF(N165="","",IF(J165="과세",IF(M165="VAT포함",N165-O165,ROUND(O165*설정!$C$5,0)),0))</f>
        <v/>
      </c>
      <c r="Q165" s="8" t="str">
        <f aca="false">IF(N165="","",O165+P165)</f>
        <v/>
      </c>
      <c r="R165" s="26"/>
      <c r="S165" s="8" t="str">
        <f aca="false">IF(OR(N165="",R165&lt;&gt;"Y"),"",ROUND(O165*설정!$C$5,0))</f>
        <v/>
      </c>
      <c r="T165" s="25"/>
    </row>
    <row r="166" customFormat="false" ht="15" hidden="false" customHeight="false" outlineLevel="0" collapsed="false">
      <c r="A166" s="21" t="str">
        <f aca="false">IF(C166="","",COUNTA($C$5:C166))</f>
        <v/>
      </c>
      <c r="B166" s="22"/>
      <c r="C166" s="23"/>
      <c r="D166" s="26"/>
      <c r="E166" s="25"/>
      <c r="F166" s="7" t="str">
        <f aca="false">IF(E166="","",IFERROR(INDEX(코드관리!$C$7:$C$66,MATCH(E166,코드관리!$B$7:$B$66,0)),"미등록 코드"))</f>
        <v/>
      </c>
      <c r="G166" s="25"/>
      <c r="H166" s="25"/>
      <c r="I166" s="25"/>
      <c r="J166" s="24"/>
      <c r="K166" s="26"/>
      <c r="L166" s="27"/>
      <c r="M166" s="26"/>
      <c r="N166" s="8" t="str">
        <f aca="false">IF(L166="","",IF(K166="USD",ROUND(L166*설정!$C$4,0),L166))</f>
        <v/>
      </c>
      <c r="O166" s="8" t="str">
        <f aca="false">IF(N166="","",IF(AND(J166="과세",M166="VAT포함"),ROUND(N166/(1+설정!$C$5),0),N166))</f>
        <v/>
      </c>
      <c r="P166" s="8" t="str">
        <f aca="false">IF(N166="","",IF(J166="과세",IF(M166="VAT포함",N166-O166,ROUND(O166*설정!$C$5,0)),0))</f>
        <v/>
      </c>
      <c r="Q166" s="8" t="str">
        <f aca="false">IF(N166="","",O166+P166)</f>
        <v/>
      </c>
      <c r="R166" s="26"/>
      <c r="S166" s="8" t="str">
        <f aca="false">IF(OR(N166="",R166&lt;&gt;"Y"),"",ROUND(O166*설정!$C$5,0))</f>
        <v/>
      </c>
      <c r="T166" s="25"/>
    </row>
    <row r="167" customFormat="false" ht="15" hidden="false" customHeight="false" outlineLevel="0" collapsed="false">
      <c r="A167" s="21" t="str">
        <f aca="false">IF(C167="","",COUNTA($C$5:C167))</f>
        <v/>
      </c>
      <c r="B167" s="22"/>
      <c r="C167" s="23"/>
      <c r="D167" s="26"/>
      <c r="E167" s="25"/>
      <c r="F167" s="7" t="str">
        <f aca="false">IF(E167="","",IFERROR(INDEX(코드관리!$C$7:$C$66,MATCH(E167,코드관리!$B$7:$B$66,0)),"미등록 코드"))</f>
        <v/>
      </c>
      <c r="G167" s="25"/>
      <c r="H167" s="25"/>
      <c r="I167" s="25"/>
      <c r="J167" s="24"/>
      <c r="K167" s="26"/>
      <c r="L167" s="27"/>
      <c r="M167" s="26"/>
      <c r="N167" s="8" t="str">
        <f aca="false">IF(L167="","",IF(K167="USD",ROUND(L167*설정!$C$4,0),L167))</f>
        <v/>
      </c>
      <c r="O167" s="8" t="str">
        <f aca="false">IF(N167="","",IF(AND(J167="과세",M167="VAT포함"),ROUND(N167/(1+설정!$C$5),0),N167))</f>
        <v/>
      </c>
      <c r="P167" s="8" t="str">
        <f aca="false">IF(N167="","",IF(J167="과세",IF(M167="VAT포함",N167-O167,ROUND(O167*설정!$C$5,0)),0))</f>
        <v/>
      </c>
      <c r="Q167" s="8" t="str">
        <f aca="false">IF(N167="","",O167+P167)</f>
        <v/>
      </c>
      <c r="R167" s="26"/>
      <c r="S167" s="8" t="str">
        <f aca="false">IF(OR(N167="",R167&lt;&gt;"Y"),"",ROUND(O167*설정!$C$5,0))</f>
        <v/>
      </c>
      <c r="T167" s="25"/>
    </row>
    <row r="168" customFormat="false" ht="15" hidden="false" customHeight="false" outlineLevel="0" collapsed="false">
      <c r="A168" s="21" t="str">
        <f aca="false">IF(C168="","",COUNTA($C$5:C168))</f>
        <v/>
      </c>
      <c r="B168" s="22"/>
      <c r="C168" s="23"/>
      <c r="D168" s="26"/>
      <c r="E168" s="25"/>
      <c r="F168" s="7" t="str">
        <f aca="false">IF(E168="","",IFERROR(INDEX(코드관리!$C$7:$C$66,MATCH(E168,코드관리!$B$7:$B$66,0)),"미등록 코드"))</f>
        <v/>
      </c>
      <c r="G168" s="25"/>
      <c r="H168" s="25"/>
      <c r="I168" s="25"/>
      <c r="J168" s="24"/>
      <c r="K168" s="26"/>
      <c r="L168" s="27"/>
      <c r="M168" s="26"/>
      <c r="N168" s="8" t="str">
        <f aca="false">IF(L168="","",IF(K168="USD",ROUND(L168*설정!$C$4,0),L168))</f>
        <v/>
      </c>
      <c r="O168" s="8" t="str">
        <f aca="false">IF(N168="","",IF(AND(J168="과세",M168="VAT포함"),ROUND(N168/(1+설정!$C$5),0),N168))</f>
        <v/>
      </c>
      <c r="P168" s="8" t="str">
        <f aca="false">IF(N168="","",IF(J168="과세",IF(M168="VAT포함",N168-O168,ROUND(O168*설정!$C$5,0)),0))</f>
        <v/>
      </c>
      <c r="Q168" s="8" t="str">
        <f aca="false">IF(N168="","",O168+P168)</f>
        <v/>
      </c>
      <c r="R168" s="26"/>
      <c r="S168" s="8" t="str">
        <f aca="false">IF(OR(N168="",R168&lt;&gt;"Y"),"",ROUND(O168*설정!$C$5,0))</f>
        <v/>
      </c>
      <c r="T168" s="25"/>
    </row>
    <row r="169" customFormat="false" ht="15" hidden="false" customHeight="false" outlineLevel="0" collapsed="false">
      <c r="A169" s="21" t="str">
        <f aca="false">IF(C169="","",COUNTA($C$5:C169))</f>
        <v/>
      </c>
      <c r="B169" s="22"/>
      <c r="C169" s="23"/>
      <c r="D169" s="26"/>
      <c r="E169" s="25"/>
      <c r="F169" s="7" t="str">
        <f aca="false">IF(E169="","",IFERROR(INDEX(코드관리!$C$7:$C$66,MATCH(E169,코드관리!$B$7:$B$66,0)),"미등록 코드"))</f>
        <v/>
      </c>
      <c r="G169" s="25"/>
      <c r="H169" s="25"/>
      <c r="I169" s="25"/>
      <c r="J169" s="24"/>
      <c r="K169" s="26"/>
      <c r="L169" s="27"/>
      <c r="M169" s="26"/>
      <c r="N169" s="8" t="str">
        <f aca="false">IF(L169="","",IF(K169="USD",ROUND(L169*설정!$C$4,0),L169))</f>
        <v/>
      </c>
      <c r="O169" s="8" t="str">
        <f aca="false">IF(N169="","",IF(AND(J169="과세",M169="VAT포함"),ROUND(N169/(1+설정!$C$5),0),N169))</f>
        <v/>
      </c>
      <c r="P169" s="8" t="str">
        <f aca="false">IF(N169="","",IF(J169="과세",IF(M169="VAT포함",N169-O169,ROUND(O169*설정!$C$5,0)),0))</f>
        <v/>
      </c>
      <c r="Q169" s="8" t="str">
        <f aca="false">IF(N169="","",O169+P169)</f>
        <v/>
      </c>
      <c r="R169" s="26"/>
      <c r="S169" s="8" t="str">
        <f aca="false">IF(OR(N169="",R169&lt;&gt;"Y"),"",ROUND(O169*설정!$C$5,0))</f>
        <v/>
      </c>
      <c r="T169" s="25"/>
    </row>
    <row r="170" customFormat="false" ht="15" hidden="false" customHeight="false" outlineLevel="0" collapsed="false">
      <c r="A170" s="21" t="str">
        <f aca="false">IF(C170="","",COUNTA($C$5:C170))</f>
        <v/>
      </c>
      <c r="B170" s="22"/>
      <c r="C170" s="23"/>
      <c r="D170" s="26"/>
      <c r="E170" s="25"/>
      <c r="F170" s="7" t="str">
        <f aca="false">IF(E170="","",IFERROR(INDEX(코드관리!$C$7:$C$66,MATCH(E170,코드관리!$B$7:$B$66,0)),"미등록 코드"))</f>
        <v/>
      </c>
      <c r="G170" s="25"/>
      <c r="H170" s="25"/>
      <c r="I170" s="25"/>
      <c r="J170" s="24"/>
      <c r="K170" s="26"/>
      <c r="L170" s="27"/>
      <c r="M170" s="26"/>
      <c r="N170" s="8" t="str">
        <f aca="false">IF(L170="","",IF(K170="USD",ROUND(L170*설정!$C$4,0),L170))</f>
        <v/>
      </c>
      <c r="O170" s="8" t="str">
        <f aca="false">IF(N170="","",IF(AND(J170="과세",M170="VAT포함"),ROUND(N170/(1+설정!$C$5),0),N170))</f>
        <v/>
      </c>
      <c r="P170" s="8" t="str">
        <f aca="false">IF(N170="","",IF(J170="과세",IF(M170="VAT포함",N170-O170,ROUND(O170*설정!$C$5,0)),0))</f>
        <v/>
      </c>
      <c r="Q170" s="8" t="str">
        <f aca="false">IF(N170="","",O170+P170)</f>
        <v/>
      </c>
      <c r="R170" s="26"/>
      <c r="S170" s="8" t="str">
        <f aca="false">IF(OR(N170="",R170&lt;&gt;"Y"),"",ROUND(O170*설정!$C$5,0))</f>
        <v/>
      </c>
      <c r="T170" s="25"/>
    </row>
    <row r="171" customFormat="false" ht="15" hidden="false" customHeight="false" outlineLevel="0" collapsed="false">
      <c r="A171" s="21" t="str">
        <f aca="false">IF(C171="","",COUNTA($C$5:C171))</f>
        <v/>
      </c>
      <c r="B171" s="22"/>
      <c r="C171" s="23"/>
      <c r="D171" s="26"/>
      <c r="E171" s="25"/>
      <c r="F171" s="7" t="str">
        <f aca="false">IF(E171="","",IFERROR(INDEX(코드관리!$C$7:$C$66,MATCH(E171,코드관리!$B$7:$B$66,0)),"미등록 코드"))</f>
        <v/>
      </c>
      <c r="G171" s="25"/>
      <c r="H171" s="25"/>
      <c r="I171" s="25"/>
      <c r="J171" s="24"/>
      <c r="K171" s="26"/>
      <c r="L171" s="27"/>
      <c r="M171" s="26"/>
      <c r="N171" s="8" t="str">
        <f aca="false">IF(L171="","",IF(K171="USD",ROUND(L171*설정!$C$4,0),L171))</f>
        <v/>
      </c>
      <c r="O171" s="8" t="str">
        <f aca="false">IF(N171="","",IF(AND(J171="과세",M171="VAT포함"),ROUND(N171/(1+설정!$C$5),0),N171))</f>
        <v/>
      </c>
      <c r="P171" s="8" t="str">
        <f aca="false">IF(N171="","",IF(J171="과세",IF(M171="VAT포함",N171-O171,ROUND(O171*설정!$C$5,0)),0))</f>
        <v/>
      </c>
      <c r="Q171" s="8" t="str">
        <f aca="false">IF(N171="","",O171+P171)</f>
        <v/>
      </c>
      <c r="R171" s="26"/>
      <c r="S171" s="8" t="str">
        <f aca="false">IF(OR(N171="",R171&lt;&gt;"Y"),"",ROUND(O171*설정!$C$5,0))</f>
        <v/>
      </c>
      <c r="T171" s="25"/>
    </row>
    <row r="172" customFormat="false" ht="15" hidden="false" customHeight="false" outlineLevel="0" collapsed="false">
      <c r="A172" s="21" t="str">
        <f aca="false">IF(C172="","",COUNTA($C$5:C172))</f>
        <v/>
      </c>
      <c r="B172" s="22"/>
      <c r="C172" s="23"/>
      <c r="D172" s="26"/>
      <c r="E172" s="25"/>
      <c r="F172" s="7" t="str">
        <f aca="false">IF(E172="","",IFERROR(INDEX(코드관리!$C$7:$C$66,MATCH(E172,코드관리!$B$7:$B$66,0)),"미등록 코드"))</f>
        <v/>
      </c>
      <c r="G172" s="25"/>
      <c r="H172" s="25"/>
      <c r="I172" s="25"/>
      <c r="J172" s="24"/>
      <c r="K172" s="26"/>
      <c r="L172" s="27"/>
      <c r="M172" s="26"/>
      <c r="N172" s="8" t="str">
        <f aca="false">IF(L172="","",IF(K172="USD",ROUND(L172*설정!$C$4,0),L172))</f>
        <v/>
      </c>
      <c r="O172" s="8" t="str">
        <f aca="false">IF(N172="","",IF(AND(J172="과세",M172="VAT포함"),ROUND(N172/(1+설정!$C$5),0),N172))</f>
        <v/>
      </c>
      <c r="P172" s="8" t="str">
        <f aca="false">IF(N172="","",IF(J172="과세",IF(M172="VAT포함",N172-O172,ROUND(O172*설정!$C$5,0)),0))</f>
        <v/>
      </c>
      <c r="Q172" s="8" t="str">
        <f aca="false">IF(N172="","",O172+P172)</f>
        <v/>
      </c>
      <c r="R172" s="26"/>
      <c r="S172" s="8" t="str">
        <f aca="false">IF(OR(N172="",R172&lt;&gt;"Y"),"",ROUND(O172*설정!$C$5,0))</f>
        <v/>
      </c>
      <c r="T172" s="25"/>
    </row>
    <row r="173" customFormat="false" ht="15" hidden="false" customHeight="false" outlineLevel="0" collapsed="false">
      <c r="A173" s="21" t="str">
        <f aca="false">IF(C173="","",COUNTA($C$5:C173))</f>
        <v/>
      </c>
      <c r="B173" s="22"/>
      <c r="C173" s="23"/>
      <c r="D173" s="26"/>
      <c r="E173" s="25"/>
      <c r="F173" s="7" t="str">
        <f aca="false">IF(E173="","",IFERROR(INDEX(코드관리!$C$7:$C$66,MATCH(E173,코드관리!$B$7:$B$66,0)),"미등록 코드"))</f>
        <v/>
      </c>
      <c r="G173" s="25"/>
      <c r="H173" s="25"/>
      <c r="I173" s="25"/>
      <c r="J173" s="24"/>
      <c r="K173" s="26"/>
      <c r="L173" s="27"/>
      <c r="M173" s="26"/>
      <c r="N173" s="8" t="str">
        <f aca="false">IF(L173="","",IF(K173="USD",ROUND(L173*설정!$C$4,0),L173))</f>
        <v/>
      </c>
      <c r="O173" s="8" t="str">
        <f aca="false">IF(N173="","",IF(AND(J173="과세",M173="VAT포함"),ROUND(N173/(1+설정!$C$5),0),N173))</f>
        <v/>
      </c>
      <c r="P173" s="8" t="str">
        <f aca="false">IF(N173="","",IF(J173="과세",IF(M173="VAT포함",N173-O173,ROUND(O173*설정!$C$5,0)),0))</f>
        <v/>
      </c>
      <c r="Q173" s="8" t="str">
        <f aca="false">IF(N173="","",O173+P173)</f>
        <v/>
      </c>
      <c r="R173" s="26"/>
      <c r="S173" s="8" t="str">
        <f aca="false">IF(OR(N173="",R173&lt;&gt;"Y"),"",ROUND(O173*설정!$C$5,0))</f>
        <v/>
      </c>
      <c r="T173" s="25"/>
    </row>
    <row r="174" customFormat="false" ht="15" hidden="false" customHeight="false" outlineLevel="0" collapsed="false">
      <c r="A174" s="21" t="str">
        <f aca="false">IF(C174="","",COUNTA($C$5:C174))</f>
        <v/>
      </c>
      <c r="B174" s="22"/>
      <c r="C174" s="23"/>
      <c r="D174" s="26"/>
      <c r="E174" s="25"/>
      <c r="F174" s="7" t="str">
        <f aca="false">IF(E174="","",IFERROR(INDEX(코드관리!$C$7:$C$66,MATCH(E174,코드관리!$B$7:$B$66,0)),"미등록 코드"))</f>
        <v/>
      </c>
      <c r="G174" s="25"/>
      <c r="H174" s="25"/>
      <c r="I174" s="25"/>
      <c r="J174" s="24"/>
      <c r="K174" s="26"/>
      <c r="L174" s="27"/>
      <c r="M174" s="26"/>
      <c r="N174" s="8" t="str">
        <f aca="false">IF(L174="","",IF(K174="USD",ROUND(L174*설정!$C$4,0),L174))</f>
        <v/>
      </c>
      <c r="O174" s="8" t="str">
        <f aca="false">IF(N174="","",IF(AND(J174="과세",M174="VAT포함"),ROUND(N174/(1+설정!$C$5),0),N174))</f>
        <v/>
      </c>
      <c r="P174" s="8" t="str">
        <f aca="false">IF(N174="","",IF(J174="과세",IF(M174="VAT포함",N174-O174,ROUND(O174*설정!$C$5,0)),0))</f>
        <v/>
      </c>
      <c r="Q174" s="8" t="str">
        <f aca="false">IF(N174="","",O174+P174)</f>
        <v/>
      </c>
      <c r="R174" s="26"/>
      <c r="S174" s="8" t="str">
        <f aca="false">IF(OR(N174="",R174&lt;&gt;"Y"),"",ROUND(O174*설정!$C$5,0))</f>
        <v/>
      </c>
      <c r="T174" s="25"/>
    </row>
    <row r="175" customFormat="false" ht="15" hidden="false" customHeight="false" outlineLevel="0" collapsed="false">
      <c r="A175" s="21" t="str">
        <f aca="false">IF(C175="","",COUNTA($C$5:C175))</f>
        <v/>
      </c>
      <c r="B175" s="22"/>
      <c r="C175" s="23"/>
      <c r="D175" s="26"/>
      <c r="E175" s="25"/>
      <c r="F175" s="7" t="str">
        <f aca="false">IF(E175="","",IFERROR(INDEX(코드관리!$C$7:$C$66,MATCH(E175,코드관리!$B$7:$B$66,0)),"미등록 코드"))</f>
        <v/>
      </c>
      <c r="G175" s="25"/>
      <c r="H175" s="25"/>
      <c r="I175" s="25"/>
      <c r="J175" s="24"/>
      <c r="K175" s="26"/>
      <c r="L175" s="27"/>
      <c r="M175" s="26"/>
      <c r="N175" s="8" t="str">
        <f aca="false">IF(L175="","",IF(K175="USD",ROUND(L175*설정!$C$4,0),L175))</f>
        <v/>
      </c>
      <c r="O175" s="8" t="str">
        <f aca="false">IF(N175="","",IF(AND(J175="과세",M175="VAT포함"),ROUND(N175/(1+설정!$C$5),0),N175))</f>
        <v/>
      </c>
      <c r="P175" s="8" t="str">
        <f aca="false">IF(N175="","",IF(J175="과세",IF(M175="VAT포함",N175-O175,ROUND(O175*설정!$C$5,0)),0))</f>
        <v/>
      </c>
      <c r="Q175" s="8" t="str">
        <f aca="false">IF(N175="","",O175+P175)</f>
        <v/>
      </c>
      <c r="R175" s="26"/>
      <c r="S175" s="8" t="str">
        <f aca="false">IF(OR(N175="",R175&lt;&gt;"Y"),"",ROUND(O175*설정!$C$5,0))</f>
        <v/>
      </c>
      <c r="T175" s="25"/>
    </row>
    <row r="176" customFormat="false" ht="15" hidden="false" customHeight="false" outlineLevel="0" collapsed="false">
      <c r="A176" s="21" t="str">
        <f aca="false">IF(C176="","",COUNTA($C$5:C176))</f>
        <v/>
      </c>
      <c r="B176" s="22"/>
      <c r="C176" s="23"/>
      <c r="D176" s="26"/>
      <c r="E176" s="25"/>
      <c r="F176" s="7" t="str">
        <f aca="false">IF(E176="","",IFERROR(INDEX(코드관리!$C$7:$C$66,MATCH(E176,코드관리!$B$7:$B$66,0)),"미등록 코드"))</f>
        <v/>
      </c>
      <c r="G176" s="25"/>
      <c r="H176" s="25"/>
      <c r="I176" s="25"/>
      <c r="J176" s="24"/>
      <c r="K176" s="26"/>
      <c r="L176" s="27"/>
      <c r="M176" s="26"/>
      <c r="N176" s="8" t="str">
        <f aca="false">IF(L176="","",IF(K176="USD",ROUND(L176*설정!$C$4,0),L176))</f>
        <v/>
      </c>
      <c r="O176" s="8" t="str">
        <f aca="false">IF(N176="","",IF(AND(J176="과세",M176="VAT포함"),ROUND(N176/(1+설정!$C$5),0),N176))</f>
        <v/>
      </c>
      <c r="P176" s="8" t="str">
        <f aca="false">IF(N176="","",IF(J176="과세",IF(M176="VAT포함",N176-O176,ROUND(O176*설정!$C$5,0)),0))</f>
        <v/>
      </c>
      <c r="Q176" s="8" t="str">
        <f aca="false">IF(N176="","",O176+P176)</f>
        <v/>
      </c>
      <c r="R176" s="26"/>
      <c r="S176" s="8" t="str">
        <f aca="false">IF(OR(N176="",R176&lt;&gt;"Y"),"",ROUND(O176*설정!$C$5,0))</f>
        <v/>
      </c>
      <c r="T176" s="25"/>
    </row>
    <row r="177" customFormat="false" ht="15" hidden="false" customHeight="false" outlineLevel="0" collapsed="false">
      <c r="A177" s="21" t="str">
        <f aca="false">IF(C177="","",COUNTA($C$5:C177))</f>
        <v/>
      </c>
      <c r="B177" s="22"/>
      <c r="C177" s="23"/>
      <c r="D177" s="26"/>
      <c r="E177" s="25"/>
      <c r="F177" s="7" t="str">
        <f aca="false">IF(E177="","",IFERROR(INDEX(코드관리!$C$7:$C$66,MATCH(E177,코드관리!$B$7:$B$66,0)),"미등록 코드"))</f>
        <v/>
      </c>
      <c r="G177" s="25"/>
      <c r="H177" s="25"/>
      <c r="I177" s="25"/>
      <c r="J177" s="24"/>
      <c r="K177" s="26"/>
      <c r="L177" s="27"/>
      <c r="M177" s="26"/>
      <c r="N177" s="8" t="str">
        <f aca="false">IF(L177="","",IF(K177="USD",ROUND(L177*설정!$C$4,0),L177))</f>
        <v/>
      </c>
      <c r="O177" s="8" t="str">
        <f aca="false">IF(N177="","",IF(AND(J177="과세",M177="VAT포함"),ROUND(N177/(1+설정!$C$5),0),N177))</f>
        <v/>
      </c>
      <c r="P177" s="8" t="str">
        <f aca="false">IF(N177="","",IF(J177="과세",IF(M177="VAT포함",N177-O177,ROUND(O177*설정!$C$5,0)),0))</f>
        <v/>
      </c>
      <c r="Q177" s="8" t="str">
        <f aca="false">IF(N177="","",O177+P177)</f>
        <v/>
      </c>
      <c r="R177" s="26"/>
      <c r="S177" s="8" t="str">
        <f aca="false">IF(OR(N177="",R177&lt;&gt;"Y"),"",ROUND(O177*설정!$C$5,0))</f>
        <v/>
      </c>
      <c r="T177" s="25"/>
    </row>
    <row r="178" customFormat="false" ht="15" hidden="false" customHeight="false" outlineLevel="0" collapsed="false">
      <c r="A178" s="21" t="str">
        <f aca="false">IF(C178="","",COUNTA($C$5:C178))</f>
        <v/>
      </c>
      <c r="B178" s="22"/>
      <c r="C178" s="23"/>
      <c r="D178" s="26"/>
      <c r="E178" s="25"/>
      <c r="F178" s="7" t="str">
        <f aca="false">IF(E178="","",IFERROR(INDEX(코드관리!$C$7:$C$66,MATCH(E178,코드관리!$B$7:$B$66,0)),"미등록 코드"))</f>
        <v/>
      </c>
      <c r="G178" s="25"/>
      <c r="H178" s="25"/>
      <c r="I178" s="25"/>
      <c r="J178" s="24"/>
      <c r="K178" s="26"/>
      <c r="L178" s="27"/>
      <c r="M178" s="26"/>
      <c r="N178" s="8" t="str">
        <f aca="false">IF(L178="","",IF(K178="USD",ROUND(L178*설정!$C$4,0),L178))</f>
        <v/>
      </c>
      <c r="O178" s="8" t="str">
        <f aca="false">IF(N178="","",IF(AND(J178="과세",M178="VAT포함"),ROUND(N178/(1+설정!$C$5),0),N178))</f>
        <v/>
      </c>
      <c r="P178" s="8" t="str">
        <f aca="false">IF(N178="","",IF(J178="과세",IF(M178="VAT포함",N178-O178,ROUND(O178*설정!$C$5,0)),0))</f>
        <v/>
      </c>
      <c r="Q178" s="8" t="str">
        <f aca="false">IF(N178="","",O178+P178)</f>
        <v/>
      </c>
      <c r="R178" s="26"/>
      <c r="S178" s="8" t="str">
        <f aca="false">IF(OR(N178="",R178&lt;&gt;"Y"),"",ROUND(O178*설정!$C$5,0))</f>
        <v/>
      </c>
      <c r="T178" s="25"/>
    </row>
    <row r="179" customFormat="false" ht="15" hidden="false" customHeight="false" outlineLevel="0" collapsed="false">
      <c r="A179" s="21" t="str">
        <f aca="false">IF(C179="","",COUNTA($C$5:C179))</f>
        <v/>
      </c>
      <c r="B179" s="22"/>
      <c r="C179" s="23"/>
      <c r="D179" s="26"/>
      <c r="E179" s="25"/>
      <c r="F179" s="7" t="str">
        <f aca="false">IF(E179="","",IFERROR(INDEX(코드관리!$C$7:$C$66,MATCH(E179,코드관리!$B$7:$B$66,0)),"미등록 코드"))</f>
        <v/>
      </c>
      <c r="G179" s="25"/>
      <c r="H179" s="25"/>
      <c r="I179" s="25"/>
      <c r="J179" s="24"/>
      <c r="K179" s="26"/>
      <c r="L179" s="27"/>
      <c r="M179" s="26"/>
      <c r="N179" s="8" t="str">
        <f aca="false">IF(L179="","",IF(K179="USD",ROUND(L179*설정!$C$4,0),L179))</f>
        <v/>
      </c>
      <c r="O179" s="8" t="str">
        <f aca="false">IF(N179="","",IF(AND(J179="과세",M179="VAT포함"),ROUND(N179/(1+설정!$C$5),0),N179))</f>
        <v/>
      </c>
      <c r="P179" s="8" t="str">
        <f aca="false">IF(N179="","",IF(J179="과세",IF(M179="VAT포함",N179-O179,ROUND(O179*설정!$C$5,0)),0))</f>
        <v/>
      </c>
      <c r="Q179" s="8" t="str">
        <f aca="false">IF(N179="","",O179+P179)</f>
        <v/>
      </c>
      <c r="R179" s="26"/>
      <c r="S179" s="8" t="str">
        <f aca="false">IF(OR(N179="",R179&lt;&gt;"Y"),"",ROUND(O179*설정!$C$5,0))</f>
        <v/>
      </c>
      <c r="T179" s="25"/>
    </row>
    <row r="180" customFormat="false" ht="15" hidden="false" customHeight="false" outlineLevel="0" collapsed="false">
      <c r="A180" s="21" t="str">
        <f aca="false">IF(C180="","",COUNTA($C$5:C180))</f>
        <v/>
      </c>
      <c r="B180" s="22"/>
      <c r="C180" s="23"/>
      <c r="D180" s="26"/>
      <c r="E180" s="25"/>
      <c r="F180" s="7" t="str">
        <f aca="false">IF(E180="","",IFERROR(INDEX(코드관리!$C$7:$C$66,MATCH(E180,코드관리!$B$7:$B$66,0)),"미등록 코드"))</f>
        <v/>
      </c>
      <c r="G180" s="25"/>
      <c r="H180" s="25"/>
      <c r="I180" s="25"/>
      <c r="J180" s="24"/>
      <c r="K180" s="26"/>
      <c r="L180" s="27"/>
      <c r="M180" s="26"/>
      <c r="N180" s="8" t="str">
        <f aca="false">IF(L180="","",IF(K180="USD",ROUND(L180*설정!$C$4,0),L180))</f>
        <v/>
      </c>
      <c r="O180" s="8" t="str">
        <f aca="false">IF(N180="","",IF(AND(J180="과세",M180="VAT포함"),ROUND(N180/(1+설정!$C$5),0),N180))</f>
        <v/>
      </c>
      <c r="P180" s="8" t="str">
        <f aca="false">IF(N180="","",IF(J180="과세",IF(M180="VAT포함",N180-O180,ROUND(O180*설정!$C$5,0)),0))</f>
        <v/>
      </c>
      <c r="Q180" s="8" t="str">
        <f aca="false">IF(N180="","",O180+P180)</f>
        <v/>
      </c>
      <c r="R180" s="26"/>
      <c r="S180" s="8" t="str">
        <f aca="false">IF(OR(N180="",R180&lt;&gt;"Y"),"",ROUND(O180*설정!$C$5,0))</f>
        <v/>
      </c>
      <c r="T180" s="25"/>
    </row>
    <row r="181" customFormat="false" ht="15" hidden="false" customHeight="false" outlineLevel="0" collapsed="false">
      <c r="A181" s="21" t="str">
        <f aca="false">IF(C181="","",COUNTA($C$5:C181))</f>
        <v/>
      </c>
      <c r="B181" s="22"/>
      <c r="C181" s="23"/>
      <c r="D181" s="26"/>
      <c r="E181" s="25"/>
      <c r="F181" s="7" t="str">
        <f aca="false">IF(E181="","",IFERROR(INDEX(코드관리!$C$7:$C$66,MATCH(E181,코드관리!$B$7:$B$66,0)),"미등록 코드"))</f>
        <v/>
      </c>
      <c r="G181" s="25"/>
      <c r="H181" s="25"/>
      <c r="I181" s="25"/>
      <c r="J181" s="24"/>
      <c r="K181" s="26"/>
      <c r="L181" s="27"/>
      <c r="M181" s="26"/>
      <c r="N181" s="8" t="str">
        <f aca="false">IF(L181="","",IF(K181="USD",ROUND(L181*설정!$C$4,0),L181))</f>
        <v/>
      </c>
      <c r="O181" s="8" t="str">
        <f aca="false">IF(N181="","",IF(AND(J181="과세",M181="VAT포함"),ROUND(N181/(1+설정!$C$5),0),N181))</f>
        <v/>
      </c>
      <c r="P181" s="8" t="str">
        <f aca="false">IF(N181="","",IF(J181="과세",IF(M181="VAT포함",N181-O181,ROUND(O181*설정!$C$5,0)),0))</f>
        <v/>
      </c>
      <c r="Q181" s="8" t="str">
        <f aca="false">IF(N181="","",O181+P181)</f>
        <v/>
      </c>
      <c r="R181" s="26"/>
      <c r="S181" s="8" t="str">
        <f aca="false">IF(OR(N181="",R181&lt;&gt;"Y"),"",ROUND(O181*설정!$C$5,0))</f>
        <v/>
      </c>
      <c r="T181" s="25"/>
    </row>
    <row r="182" customFormat="false" ht="15" hidden="false" customHeight="false" outlineLevel="0" collapsed="false">
      <c r="A182" s="21" t="str">
        <f aca="false">IF(C182="","",COUNTA($C$5:C182))</f>
        <v/>
      </c>
      <c r="B182" s="22"/>
      <c r="C182" s="23"/>
      <c r="D182" s="26"/>
      <c r="E182" s="25"/>
      <c r="F182" s="7" t="str">
        <f aca="false">IF(E182="","",IFERROR(INDEX(코드관리!$C$7:$C$66,MATCH(E182,코드관리!$B$7:$B$66,0)),"미등록 코드"))</f>
        <v/>
      </c>
      <c r="G182" s="25"/>
      <c r="H182" s="25"/>
      <c r="I182" s="25"/>
      <c r="J182" s="24"/>
      <c r="K182" s="26"/>
      <c r="L182" s="27"/>
      <c r="M182" s="26"/>
      <c r="N182" s="8" t="str">
        <f aca="false">IF(L182="","",IF(K182="USD",ROUND(L182*설정!$C$4,0),L182))</f>
        <v/>
      </c>
      <c r="O182" s="8" t="str">
        <f aca="false">IF(N182="","",IF(AND(J182="과세",M182="VAT포함"),ROUND(N182/(1+설정!$C$5),0),N182))</f>
        <v/>
      </c>
      <c r="P182" s="8" t="str">
        <f aca="false">IF(N182="","",IF(J182="과세",IF(M182="VAT포함",N182-O182,ROUND(O182*설정!$C$5,0)),0))</f>
        <v/>
      </c>
      <c r="Q182" s="8" t="str">
        <f aca="false">IF(N182="","",O182+P182)</f>
        <v/>
      </c>
      <c r="R182" s="26"/>
      <c r="S182" s="8" t="str">
        <f aca="false">IF(OR(N182="",R182&lt;&gt;"Y"),"",ROUND(O182*설정!$C$5,0))</f>
        <v/>
      </c>
      <c r="T182" s="25"/>
    </row>
    <row r="183" customFormat="false" ht="15" hidden="false" customHeight="false" outlineLevel="0" collapsed="false">
      <c r="A183" s="21" t="str">
        <f aca="false">IF(C183="","",COUNTA($C$5:C183))</f>
        <v/>
      </c>
      <c r="B183" s="22"/>
      <c r="C183" s="23"/>
      <c r="D183" s="26"/>
      <c r="E183" s="25"/>
      <c r="F183" s="7" t="str">
        <f aca="false">IF(E183="","",IFERROR(INDEX(코드관리!$C$7:$C$66,MATCH(E183,코드관리!$B$7:$B$66,0)),"미등록 코드"))</f>
        <v/>
      </c>
      <c r="G183" s="25"/>
      <c r="H183" s="25"/>
      <c r="I183" s="25"/>
      <c r="J183" s="24"/>
      <c r="K183" s="26"/>
      <c r="L183" s="27"/>
      <c r="M183" s="26"/>
      <c r="N183" s="8" t="str">
        <f aca="false">IF(L183="","",IF(K183="USD",ROUND(L183*설정!$C$4,0),L183))</f>
        <v/>
      </c>
      <c r="O183" s="8" t="str">
        <f aca="false">IF(N183="","",IF(AND(J183="과세",M183="VAT포함"),ROUND(N183/(1+설정!$C$5),0),N183))</f>
        <v/>
      </c>
      <c r="P183" s="8" t="str">
        <f aca="false">IF(N183="","",IF(J183="과세",IF(M183="VAT포함",N183-O183,ROUND(O183*설정!$C$5,0)),0))</f>
        <v/>
      </c>
      <c r="Q183" s="8" t="str">
        <f aca="false">IF(N183="","",O183+P183)</f>
        <v/>
      </c>
      <c r="R183" s="26"/>
      <c r="S183" s="8" t="str">
        <f aca="false">IF(OR(N183="",R183&lt;&gt;"Y"),"",ROUND(O183*설정!$C$5,0))</f>
        <v/>
      </c>
      <c r="T183" s="25"/>
    </row>
    <row r="184" customFormat="false" ht="15" hidden="false" customHeight="false" outlineLevel="0" collapsed="false">
      <c r="A184" s="21" t="str">
        <f aca="false">IF(C184="","",COUNTA($C$5:C184))</f>
        <v/>
      </c>
      <c r="B184" s="22"/>
      <c r="C184" s="23"/>
      <c r="D184" s="26"/>
      <c r="E184" s="25"/>
      <c r="F184" s="7" t="str">
        <f aca="false">IF(E184="","",IFERROR(INDEX(코드관리!$C$7:$C$66,MATCH(E184,코드관리!$B$7:$B$66,0)),"미등록 코드"))</f>
        <v/>
      </c>
      <c r="G184" s="25"/>
      <c r="H184" s="25"/>
      <c r="I184" s="25"/>
      <c r="J184" s="24"/>
      <c r="K184" s="26"/>
      <c r="L184" s="27"/>
      <c r="M184" s="26"/>
      <c r="N184" s="8" t="str">
        <f aca="false">IF(L184="","",IF(K184="USD",ROUND(L184*설정!$C$4,0),L184))</f>
        <v/>
      </c>
      <c r="O184" s="8" t="str">
        <f aca="false">IF(N184="","",IF(AND(J184="과세",M184="VAT포함"),ROUND(N184/(1+설정!$C$5),0),N184))</f>
        <v/>
      </c>
      <c r="P184" s="8" t="str">
        <f aca="false">IF(N184="","",IF(J184="과세",IF(M184="VAT포함",N184-O184,ROUND(O184*설정!$C$5,0)),0))</f>
        <v/>
      </c>
      <c r="Q184" s="8" t="str">
        <f aca="false">IF(N184="","",O184+P184)</f>
        <v/>
      </c>
      <c r="R184" s="26"/>
      <c r="S184" s="8" t="str">
        <f aca="false">IF(OR(N184="",R184&lt;&gt;"Y"),"",ROUND(O184*설정!$C$5,0))</f>
        <v/>
      </c>
      <c r="T184" s="25"/>
    </row>
    <row r="185" customFormat="false" ht="15" hidden="false" customHeight="false" outlineLevel="0" collapsed="false">
      <c r="A185" s="21" t="str">
        <f aca="false">IF(C185="","",COUNTA($C$5:C185))</f>
        <v/>
      </c>
      <c r="B185" s="22"/>
      <c r="C185" s="23"/>
      <c r="D185" s="26"/>
      <c r="E185" s="25"/>
      <c r="F185" s="7" t="str">
        <f aca="false">IF(E185="","",IFERROR(INDEX(코드관리!$C$7:$C$66,MATCH(E185,코드관리!$B$7:$B$66,0)),"미등록 코드"))</f>
        <v/>
      </c>
      <c r="G185" s="25"/>
      <c r="H185" s="25"/>
      <c r="I185" s="25"/>
      <c r="J185" s="24"/>
      <c r="K185" s="26"/>
      <c r="L185" s="27"/>
      <c r="M185" s="26"/>
      <c r="N185" s="8" t="str">
        <f aca="false">IF(L185="","",IF(K185="USD",ROUND(L185*설정!$C$4,0),L185))</f>
        <v/>
      </c>
      <c r="O185" s="8" t="str">
        <f aca="false">IF(N185="","",IF(AND(J185="과세",M185="VAT포함"),ROUND(N185/(1+설정!$C$5),0),N185))</f>
        <v/>
      </c>
      <c r="P185" s="8" t="str">
        <f aca="false">IF(N185="","",IF(J185="과세",IF(M185="VAT포함",N185-O185,ROUND(O185*설정!$C$5,0)),0))</f>
        <v/>
      </c>
      <c r="Q185" s="8" t="str">
        <f aca="false">IF(N185="","",O185+P185)</f>
        <v/>
      </c>
      <c r="R185" s="26"/>
      <c r="S185" s="8" t="str">
        <f aca="false">IF(OR(N185="",R185&lt;&gt;"Y"),"",ROUND(O185*설정!$C$5,0))</f>
        <v/>
      </c>
      <c r="T185" s="25"/>
    </row>
    <row r="186" customFormat="false" ht="15" hidden="false" customHeight="false" outlineLevel="0" collapsed="false">
      <c r="A186" s="21" t="str">
        <f aca="false">IF(C186="","",COUNTA($C$5:C186))</f>
        <v/>
      </c>
      <c r="B186" s="22"/>
      <c r="C186" s="23"/>
      <c r="D186" s="26"/>
      <c r="E186" s="25"/>
      <c r="F186" s="7" t="str">
        <f aca="false">IF(E186="","",IFERROR(INDEX(코드관리!$C$7:$C$66,MATCH(E186,코드관리!$B$7:$B$66,0)),"미등록 코드"))</f>
        <v/>
      </c>
      <c r="G186" s="25"/>
      <c r="H186" s="25"/>
      <c r="I186" s="25"/>
      <c r="J186" s="24"/>
      <c r="K186" s="26"/>
      <c r="L186" s="27"/>
      <c r="M186" s="26"/>
      <c r="N186" s="8" t="str">
        <f aca="false">IF(L186="","",IF(K186="USD",ROUND(L186*설정!$C$4,0),L186))</f>
        <v/>
      </c>
      <c r="O186" s="8" t="str">
        <f aca="false">IF(N186="","",IF(AND(J186="과세",M186="VAT포함"),ROUND(N186/(1+설정!$C$5),0),N186))</f>
        <v/>
      </c>
      <c r="P186" s="8" t="str">
        <f aca="false">IF(N186="","",IF(J186="과세",IF(M186="VAT포함",N186-O186,ROUND(O186*설정!$C$5,0)),0))</f>
        <v/>
      </c>
      <c r="Q186" s="8" t="str">
        <f aca="false">IF(N186="","",O186+P186)</f>
        <v/>
      </c>
      <c r="R186" s="26"/>
      <c r="S186" s="8" t="str">
        <f aca="false">IF(OR(N186="",R186&lt;&gt;"Y"),"",ROUND(O186*설정!$C$5,0))</f>
        <v/>
      </c>
      <c r="T186" s="25"/>
    </row>
    <row r="187" customFormat="false" ht="15" hidden="false" customHeight="false" outlineLevel="0" collapsed="false">
      <c r="A187" s="21" t="str">
        <f aca="false">IF(C187="","",COUNTA($C$5:C187))</f>
        <v/>
      </c>
      <c r="B187" s="22"/>
      <c r="C187" s="23"/>
      <c r="D187" s="26"/>
      <c r="E187" s="25"/>
      <c r="F187" s="7" t="str">
        <f aca="false">IF(E187="","",IFERROR(INDEX(코드관리!$C$7:$C$66,MATCH(E187,코드관리!$B$7:$B$66,0)),"미등록 코드"))</f>
        <v/>
      </c>
      <c r="G187" s="25"/>
      <c r="H187" s="25"/>
      <c r="I187" s="25"/>
      <c r="J187" s="24"/>
      <c r="K187" s="26"/>
      <c r="L187" s="27"/>
      <c r="M187" s="26"/>
      <c r="N187" s="8" t="str">
        <f aca="false">IF(L187="","",IF(K187="USD",ROUND(L187*설정!$C$4,0),L187))</f>
        <v/>
      </c>
      <c r="O187" s="8" t="str">
        <f aca="false">IF(N187="","",IF(AND(J187="과세",M187="VAT포함"),ROUND(N187/(1+설정!$C$5),0),N187))</f>
        <v/>
      </c>
      <c r="P187" s="8" t="str">
        <f aca="false">IF(N187="","",IF(J187="과세",IF(M187="VAT포함",N187-O187,ROUND(O187*설정!$C$5,0)),0))</f>
        <v/>
      </c>
      <c r="Q187" s="8" t="str">
        <f aca="false">IF(N187="","",O187+P187)</f>
        <v/>
      </c>
      <c r="R187" s="26"/>
      <c r="S187" s="8" t="str">
        <f aca="false">IF(OR(N187="",R187&lt;&gt;"Y"),"",ROUND(O187*설정!$C$5,0))</f>
        <v/>
      </c>
      <c r="T187" s="25"/>
    </row>
    <row r="188" customFormat="false" ht="15" hidden="false" customHeight="false" outlineLevel="0" collapsed="false">
      <c r="A188" s="21" t="str">
        <f aca="false">IF(C188="","",COUNTA($C$5:C188))</f>
        <v/>
      </c>
      <c r="B188" s="22"/>
      <c r="C188" s="23"/>
      <c r="D188" s="26"/>
      <c r="E188" s="25"/>
      <c r="F188" s="7" t="str">
        <f aca="false">IF(E188="","",IFERROR(INDEX(코드관리!$C$7:$C$66,MATCH(E188,코드관리!$B$7:$B$66,0)),"미등록 코드"))</f>
        <v/>
      </c>
      <c r="G188" s="25"/>
      <c r="H188" s="25"/>
      <c r="I188" s="25"/>
      <c r="J188" s="24"/>
      <c r="K188" s="26"/>
      <c r="L188" s="27"/>
      <c r="M188" s="26"/>
      <c r="N188" s="8" t="str">
        <f aca="false">IF(L188="","",IF(K188="USD",ROUND(L188*설정!$C$4,0),L188))</f>
        <v/>
      </c>
      <c r="O188" s="8" t="str">
        <f aca="false">IF(N188="","",IF(AND(J188="과세",M188="VAT포함"),ROUND(N188/(1+설정!$C$5),0),N188))</f>
        <v/>
      </c>
      <c r="P188" s="8" t="str">
        <f aca="false">IF(N188="","",IF(J188="과세",IF(M188="VAT포함",N188-O188,ROUND(O188*설정!$C$5,0)),0))</f>
        <v/>
      </c>
      <c r="Q188" s="8" t="str">
        <f aca="false">IF(N188="","",O188+P188)</f>
        <v/>
      </c>
      <c r="R188" s="26"/>
      <c r="S188" s="8" t="str">
        <f aca="false">IF(OR(N188="",R188&lt;&gt;"Y"),"",ROUND(O188*설정!$C$5,0))</f>
        <v/>
      </c>
      <c r="T188" s="25"/>
    </row>
    <row r="189" customFormat="false" ht="15" hidden="false" customHeight="false" outlineLevel="0" collapsed="false">
      <c r="A189" s="21" t="str">
        <f aca="false">IF(C189="","",COUNTA($C$5:C189))</f>
        <v/>
      </c>
      <c r="B189" s="22"/>
      <c r="C189" s="23"/>
      <c r="D189" s="26"/>
      <c r="E189" s="25"/>
      <c r="F189" s="7" t="str">
        <f aca="false">IF(E189="","",IFERROR(INDEX(코드관리!$C$7:$C$66,MATCH(E189,코드관리!$B$7:$B$66,0)),"미등록 코드"))</f>
        <v/>
      </c>
      <c r="G189" s="25"/>
      <c r="H189" s="25"/>
      <c r="I189" s="25"/>
      <c r="J189" s="24"/>
      <c r="K189" s="26"/>
      <c r="L189" s="27"/>
      <c r="M189" s="26"/>
      <c r="N189" s="8" t="str">
        <f aca="false">IF(L189="","",IF(K189="USD",ROUND(L189*설정!$C$4,0),L189))</f>
        <v/>
      </c>
      <c r="O189" s="8" t="str">
        <f aca="false">IF(N189="","",IF(AND(J189="과세",M189="VAT포함"),ROUND(N189/(1+설정!$C$5),0),N189))</f>
        <v/>
      </c>
      <c r="P189" s="8" t="str">
        <f aca="false">IF(N189="","",IF(J189="과세",IF(M189="VAT포함",N189-O189,ROUND(O189*설정!$C$5,0)),0))</f>
        <v/>
      </c>
      <c r="Q189" s="8" t="str">
        <f aca="false">IF(N189="","",O189+P189)</f>
        <v/>
      </c>
      <c r="R189" s="26"/>
      <c r="S189" s="8" t="str">
        <f aca="false">IF(OR(N189="",R189&lt;&gt;"Y"),"",ROUND(O189*설정!$C$5,0))</f>
        <v/>
      </c>
      <c r="T189" s="25"/>
    </row>
    <row r="190" customFormat="false" ht="15" hidden="false" customHeight="false" outlineLevel="0" collapsed="false">
      <c r="A190" s="21" t="str">
        <f aca="false">IF(C190="","",COUNTA($C$5:C190))</f>
        <v/>
      </c>
      <c r="B190" s="22"/>
      <c r="C190" s="23"/>
      <c r="D190" s="26"/>
      <c r="E190" s="25"/>
      <c r="F190" s="7" t="str">
        <f aca="false">IF(E190="","",IFERROR(INDEX(코드관리!$C$7:$C$66,MATCH(E190,코드관리!$B$7:$B$66,0)),"미등록 코드"))</f>
        <v/>
      </c>
      <c r="G190" s="25"/>
      <c r="H190" s="25"/>
      <c r="I190" s="25"/>
      <c r="J190" s="24"/>
      <c r="K190" s="26"/>
      <c r="L190" s="27"/>
      <c r="M190" s="26"/>
      <c r="N190" s="8" t="str">
        <f aca="false">IF(L190="","",IF(K190="USD",ROUND(L190*설정!$C$4,0),L190))</f>
        <v/>
      </c>
      <c r="O190" s="8" t="str">
        <f aca="false">IF(N190="","",IF(AND(J190="과세",M190="VAT포함"),ROUND(N190/(1+설정!$C$5),0),N190))</f>
        <v/>
      </c>
      <c r="P190" s="8" t="str">
        <f aca="false">IF(N190="","",IF(J190="과세",IF(M190="VAT포함",N190-O190,ROUND(O190*설정!$C$5,0)),0))</f>
        <v/>
      </c>
      <c r="Q190" s="8" t="str">
        <f aca="false">IF(N190="","",O190+P190)</f>
        <v/>
      </c>
      <c r="R190" s="26"/>
      <c r="S190" s="8" t="str">
        <f aca="false">IF(OR(N190="",R190&lt;&gt;"Y"),"",ROUND(O190*설정!$C$5,0))</f>
        <v/>
      </c>
      <c r="T190" s="25"/>
    </row>
    <row r="191" customFormat="false" ht="15" hidden="false" customHeight="false" outlineLevel="0" collapsed="false">
      <c r="A191" s="21" t="str">
        <f aca="false">IF(C191="","",COUNTA($C$5:C191))</f>
        <v/>
      </c>
      <c r="B191" s="22"/>
      <c r="C191" s="23"/>
      <c r="D191" s="26"/>
      <c r="E191" s="25"/>
      <c r="F191" s="7" t="str">
        <f aca="false">IF(E191="","",IFERROR(INDEX(코드관리!$C$7:$C$66,MATCH(E191,코드관리!$B$7:$B$66,0)),"미등록 코드"))</f>
        <v/>
      </c>
      <c r="G191" s="25"/>
      <c r="H191" s="25"/>
      <c r="I191" s="25"/>
      <c r="J191" s="24"/>
      <c r="K191" s="26"/>
      <c r="L191" s="27"/>
      <c r="M191" s="26"/>
      <c r="N191" s="8" t="str">
        <f aca="false">IF(L191="","",IF(K191="USD",ROUND(L191*설정!$C$4,0),L191))</f>
        <v/>
      </c>
      <c r="O191" s="8" t="str">
        <f aca="false">IF(N191="","",IF(AND(J191="과세",M191="VAT포함"),ROUND(N191/(1+설정!$C$5),0),N191))</f>
        <v/>
      </c>
      <c r="P191" s="8" t="str">
        <f aca="false">IF(N191="","",IF(J191="과세",IF(M191="VAT포함",N191-O191,ROUND(O191*설정!$C$5,0)),0))</f>
        <v/>
      </c>
      <c r="Q191" s="8" t="str">
        <f aca="false">IF(N191="","",O191+P191)</f>
        <v/>
      </c>
      <c r="R191" s="26"/>
      <c r="S191" s="8" t="str">
        <f aca="false">IF(OR(N191="",R191&lt;&gt;"Y"),"",ROUND(O191*설정!$C$5,0))</f>
        <v/>
      </c>
      <c r="T191" s="25"/>
    </row>
    <row r="192" customFormat="false" ht="15" hidden="false" customHeight="false" outlineLevel="0" collapsed="false">
      <c r="A192" s="21" t="str">
        <f aca="false">IF(C192="","",COUNTA($C$5:C192))</f>
        <v/>
      </c>
      <c r="B192" s="22"/>
      <c r="C192" s="23"/>
      <c r="D192" s="26"/>
      <c r="E192" s="25"/>
      <c r="F192" s="7" t="str">
        <f aca="false">IF(E192="","",IFERROR(INDEX(코드관리!$C$7:$C$66,MATCH(E192,코드관리!$B$7:$B$66,0)),"미등록 코드"))</f>
        <v/>
      </c>
      <c r="G192" s="25"/>
      <c r="H192" s="25"/>
      <c r="I192" s="25"/>
      <c r="J192" s="24"/>
      <c r="K192" s="26"/>
      <c r="L192" s="27"/>
      <c r="M192" s="26"/>
      <c r="N192" s="8" t="str">
        <f aca="false">IF(L192="","",IF(K192="USD",ROUND(L192*설정!$C$4,0),L192))</f>
        <v/>
      </c>
      <c r="O192" s="8" t="str">
        <f aca="false">IF(N192="","",IF(AND(J192="과세",M192="VAT포함"),ROUND(N192/(1+설정!$C$5),0),N192))</f>
        <v/>
      </c>
      <c r="P192" s="8" t="str">
        <f aca="false">IF(N192="","",IF(J192="과세",IF(M192="VAT포함",N192-O192,ROUND(O192*설정!$C$5,0)),0))</f>
        <v/>
      </c>
      <c r="Q192" s="8" t="str">
        <f aca="false">IF(N192="","",O192+P192)</f>
        <v/>
      </c>
      <c r="R192" s="26"/>
      <c r="S192" s="8" t="str">
        <f aca="false">IF(OR(N192="",R192&lt;&gt;"Y"),"",ROUND(O192*설정!$C$5,0))</f>
        <v/>
      </c>
      <c r="T192" s="25"/>
    </row>
    <row r="193" customFormat="false" ht="15" hidden="false" customHeight="false" outlineLevel="0" collapsed="false">
      <c r="A193" s="21" t="str">
        <f aca="false">IF(C193="","",COUNTA($C$5:C193))</f>
        <v/>
      </c>
      <c r="B193" s="22"/>
      <c r="C193" s="23"/>
      <c r="D193" s="26"/>
      <c r="E193" s="25"/>
      <c r="F193" s="7" t="str">
        <f aca="false">IF(E193="","",IFERROR(INDEX(코드관리!$C$7:$C$66,MATCH(E193,코드관리!$B$7:$B$66,0)),"미등록 코드"))</f>
        <v/>
      </c>
      <c r="G193" s="25"/>
      <c r="H193" s="25"/>
      <c r="I193" s="25"/>
      <c r="J193" s="24"/>
      <c r="K193" s="26"/>
      <c r="L193" s="27"/>
      <c r="M193" s="26"/>
      <c r="N193" s="8" t="str">
        <f aca="false">IF(L193="","",IF(K193="USD",ROUND(L193*설정!$C$4,0),L193))</f>
        <v/>
      </c>
      <c r="O193" s="8" t="str">
        <f aca="false">IF(N193="","",IF(AND(J193="과세",M193="VAT포함"),ROUND(N193/(1+설정!$C$5),0),N193))</f>
        <v/>
      </c>
      <c r="P193" s="8" t="str">
        <f aca="false">IF(N193="","",IF(J193="과세",IF(M193="VAT포함",N193-O193,ROUND(O193*설정!$C$5,0)),0))</f>
        <v/>
      </c>
      <c r="Q193" s="8" t="str">
        <f aca="false">IF(N193="","",O193+P193)</f>
        <v/>
      </c>
      <c r="R193" s="26"/>
      <c r="S193" s="8" t="str">
        <f aca="false">IF(OR(N193="",R193&lt;&gt;"Y"),"",ROUND(O193*설정!$C$5,0))</f>
        <v/>
      </c>
      <c r="T193" s="25"/>
    </row>
    <row r="194" customFormat="false" ht="15" hidden="false" customHeight="false" outlineLevel="0" collapsed="false">
      <c r="A194" s="21" t="str">
        <f aca="false">IF(C194="","",COUNTA($C$5:C194))</f>
        <v/>
      </c>
      <c r="B194" s="22"/>
      <c r="C194" s="23"/>
      <c r="D194" s="26"/>
      <c r="E194" s="25"/>
      <c r="F194" s="7" t="str">
        <f aca="false">IF(E194="","",IFERROR(INDEX(코드관리!$C$7:$C$66,MATCH(E194,코드관리!$B$7:$B$66,0)),"미등록 코드"))</f>
        <v/>
      </c>
      <c r="G194" s="25"/>
      <c r="H194" s="25"/>
      <c r="I194" s="25"/>
      <c r="J194" s="24"/>
      <c r="K194" s="26"/>
      <c r="L194" s="27"/>
      <c r="M194" s="26"/>
      <c r="N194" s="8" t="str">
        <f aca="false">IF(L194="","",IF(K194="USD",ROUND(L194*설정!$C$4,0),L194))</f>
        <v/>
      </c>
      <c r="O194" s="8" t="str">
        <f aca="false">IF(N194="","",IF(AND(J194="과세",M194="VAT포함"),ROUND(N194/(1+설정!$C$5),0),N194))</f>
        <v/>
      </c>
      <c r="P194" s="8" t="str">
        <f aca="false">IF(N194="","",IF(J194="과세",IF(M194="VAT포함",N194-O194,ROUND(O194*설정!$C$5,0)),0))</f>
        <v/>
      </c>
      <c r="Q194" s="8" t="str">
        <f aca="false">IF(N194="","",O194+P194)</f>
        <v/>
      </c>
      <c r="R194" s="26"/>
      <c r="S194" s="8" t="str">
        <f aca="false">IF(OR(N194="",R194&lt;&gt;"Y"),"",ROUND(O194*설정!$C$5,0))</f>
        <v/>
      </c>
      <c r="T194" s="25"/>
    </row>
    <row r="195" customFormat="false" ht="15" hidden="false" customHeight="false" outlineLevel="0" collapsed="false">
      <c r="A195" s="21" t="str">
        <f aca="false">IF(C195="","",COUNTA($C$5:C195))</f>
        <v/>
      </c>
      <c r="B195" s="22"/>
      <c r="C195" s="23"/>
      <c r="D195" s="26"/>
      <c r="E195" s="25"/>
      <c r="F195" s="7" t="str">
        <f aca="false">IF(E195="","",IFERROR(INDEX(코드관리!$C$7:$C$66,MATCH(E195,코드관리!$B$7:$B$66,0)),"미등록 코드"))</f>
        <v/>
      </c>
      <c r="G195" s="25"/>
      <c r="H195" s="25"/>
      <c r="I195" s="25"/>
      <c r="J195" s="24"/>
      <c r="K195" s="26"/>
      <c r="L195" s="27"/>
      <c r="M195" s="26"/>
      <c r="N195" s="8" t="str">
        <f aca="false">IF(L195="","",IF(K195="USD",ROUND(L195*설정!$C$4,0),L195))</f>
        <v/>
      </c>
      <c r="O195" s="8" t="str">
        <f aca="false">IF(N195="","",IF(AND(J195="과세",M195="VAT포함"),ROUND(N195/(1+설정!$C$5),0),N195))</f>
        <v/>
      </c>
      <c r="P195" s="8" t="str">
        <f aca="false">IF(N195="","",IF(J195="과세",IF(M195="VAT포함",N195-O195,ROUND(O195*설정!$C$5,0)),0))</f>
        <v/>
      </c>
      <c r="Q195" s="8" t="str">
        <f aca="false">IF(N195="","",O195+P195)</f>
        <v/>
      </c>
      <c r="R195" s="26"/>
      <c r="S195" s="8" t="str">
        <f aca="false">IF(OR(N195="",R195&lt;&gt;"Y"),"",ROUND(O195*설정!$C$5,0))</f>
        <v/>
      </c>
      <c r="T195" s="25"/>
    </row>
    <row r="196" customFormat="false" ht="15" hidden="false" customHeight="false" outlineLevel="0" collapsed="false">
      <c r="A196" s="21" t="str">
        <f aca="false">IF(C196="","",COUNTA($C$5:C196))</f>
        <v/>
      </c>
      <c r="B196" s="22"/>
      <c r="C196" s="23"/>
      <c r="D196" s="26"/>
      <c r="E196" s="25"/>
      <c r="F196" s="7" t="str">
        <f aca="false">IF(E196="","",IFERROR(INDEX(코드관리!$C$7:$C$66,MATCH(E196,코드관리!$B$7:$B$66,0)),"미등록 코드"))</f>
        <v/>
      </c>
      <c r="G196" s="25"/>
      <c r="H196" s="25"/>
      <c r="I196" s="25"/>
      <c r="J196" s="24"/>
      <c r="K196" s="26"/>
      <c r="L196" s="27"/>
      <c r="M196" s="26"/>
      <c r="N196" s="8" t="str">
        <f aca="false">IF(L196="","",IF(K196="USD",ROUND(L196*설정!$C$4,0),L196))</f>
        <v/>
      </c>
      <c r="O196" s="8" t="str">
        <f aca="false">IF(N196="","",IF(AND(J196="과세",M196="VAT포함"),ROUND(N196/(1+설정!$C$5),0),N196))</f>
        <v/>
      </c>
      <c r="P196" s="8" t="str">
        <f aca="false">IF(N196="","",IF(J196="과세",IF(M196="VAT포함",N196-O196,ROUND(O196*설정!$C$5,0)),0))</f>
        <v/>
      </c>
      <c r="Q196" s="8" t="str">
        <f aca="false">IF(N196="","",O196+P196)</f>
        <v/>
      </c>
      <c r="R196" s="26"/>
      <c r="S196" s="8" t="str">
        <f aca="false">IF(OR(N196="",R196&lt;&gt;"Y"),"",ROUND(O196*설정!$C$5,0))</f>
        <v/>
      </c>
      <c r="T196" s="25"/>
    </row>
    <row r="197" customFormat="false" ht="15" hidden="false" customHeight="false" outlineLevel="0" collapsed="false">
      <c r="A197" s="21" t="str">
        <f aca="false">IF(C197="","",COUNTA($C$5:C197))</f>
        <v/>
      </c>
      <c r="B197" s="22"/>
      <c r="C197" s="23"/>
      <c r="D197" s="26"/>
      <c r="E197" s="25"/>
      <c r="F197" s="7" t="str">
        <f aca="false">IF(E197="","",IFERROR(INDEX(코드관리!$C$7:$C$66,MATCH(E197,코드관리!$B$7:$B$66,0)),"미등록 코드"))</f>
        <v/>
      </c>
      <c r="G197" s="25"/>
      <c r="H197" s="25"/>
      <c r="I197" s="25"/>
      <c r="J197" s="24"/>
      <c r="K197" s="26"/>
      <c r="L197" s="27"/>
      <c r="M197" s="26"/>
      <c r="N197" s="8" t="str">
        <f aca="false">IF(L197="","",IF(K197="USD",ROUND(L197*설정!$C$4,0),L197))</f>
        <v/>
      </c>
      <c r="O197" s="8" t="str">
        <f aca="false">IF(N197="","",IF(AND(J197="과세",M197="VAT포함"),ROUND(N197/(1+설정!$C$5),0),N197))</f>
        <v/>
      </c>
      <c r="P197" s="8" t="str">
        <f aca="false">IF(N197="","",IF(J197="과세",IF(M197="VAT포함",N197-O197,ROUND(O197*설정!$C$5,0)),0))</f>
        <v/>
      </c>
      <c r="Q197" s="8" t="str">
        <f aca="false">IF(N197="","",O197+P197)</f>
        <v/>
      </c>
      <c r="R197" s="26"/>
      <c r="S197" s="8" t="str">
        <f aca="false">IF(OR(N197="",R197&lt;&gt;"Y"),"",ROUND(O197*설정!$C$5,0))</f>
        <v/>
      </c>
      <c r="T197" s="25"/>
    </row>
    <row r="198" customFormat="false" ht="15" hidden="false" customHeight="false" outlineLevel="0" collapsed="false">
      <c r="A198" s="21" t="str">
        <f aca="false">IF(C198="","",COUNTA($C$5:C198))</f>
        <v/>
      </c>
      <c r="B198" s="22"/>
      <c r="C198" s="23"/>
      <c r="D198" s="26"/>
      <c r="E198" s="25"/>
      <c r="F198" s="7" t="str">
        <f aca="false">IF(E198="","",IFERROR(INDEX(코드관리!$C$7:$C$66,MATCH(E198,코드관리!$B$7:$B$66,0)),"미등록 코드"))</f>
        <v/>
      </c>
      <c r="G198" s="25"/>
      <c r="H198" s="25"/>
      <c r="I198" s="25"/>
      <c r="J198" s="24"/>
      <c r="K198" s="26"/>
      <c r="L198" s="27"/>
      <c r="M198" s="26"/>
      <c r="N198" s="8" t="str">
        <f aca="false">IF(L198="","",IF(K198="USD",ROUND(L198*설정!$C$4,0),L198))</f>
        <v/>
      </c>
      <c r="O198" s="8" t="str">
        <f aca="false">IF(N198="","",IF(AND(J198="과세",M198="VAT포함"),ROUND(N198/(1+설정!$C$5),0),N198))</f>
        <v/>
      </c>
      <c r="P198" s="8" t="str">
        <f aca="false">IF(N198="","",IF(J198="과세",IF(M198="VAT포함",N198-O198,ROUND(O198*설정!$C$5,0)),0))</f>
        <v/>
      </c>
      <c r="Q198" s="8" t="str">
        <f aca="false">IF(N198="","",O198+P198)</f>
        <v/>
      </c>
      <c r="R198" s="26"/>
      <c r="S198" s="8" t="str">
        <f aca="false">IF(OR(N198="",R198&lt;&gt;"Y"),"",ROUND(O198*설정!$C$5,0))</f>
        <v/>
      </c>
      <c r="T198" s="25"/>
    </row>
    <row r="199" customFormat="false" ht="15" hidden="false" customHeight="false" outlineLevel="0" collapsed="false">
      <c r="A199" s="21" t="str">
        <f aca="false">IF(C199="","",COUNTA($C$5:C199))</f>
        <v/>
      </c>
      <c r="B199" s="22"/>
      <c r="C199" s="23"/>
      <c r="D199" s="26"/>
      <c r="E199" s="25"/>
      <c r="F199" s="7" t="str">
        <f aca="false">IF(E199="","",IFERROR(INDEX(코드관리!$C$7:$C$66,MATCH(E199,코드관리!$B$7:$B$66,0)),"미등록 코드"))</f>
        <v/>
      </c>
      <c r="G199" s="25"/>
      <c r="H199" s="25"/>
      <c r="I199" s="25"/>
      <c r="J199" s="24"/>
      <c r="K199" s="26"/>
      <c r="L199" s="27"/>
      <c r="M199" s="26"/>
      <c r="N199" s="8" t="str">
        <f aca="false">IF(L199="","",IF(K199="USD",ROUND(L199*설정!$C$4,0),L199))</f>
        <v/>
      </c>
      <c r="O199" s="8" t="str">
        <f aca="false">IF(N199="","",IF(AND(J199="과세",M199="VAT포함"),ROUND(N199/(1+설정!$C$5),0),N199))</f>
        <v/>
      </c>
      <c r="P199" s="8" t="str">
        <f aca="false">IF(N199="","",IF(J199="과세",IF(M199="VAT포함",N199-O199,ROUND(O199*설정!$C$5,0)),0))</f>
        <v/>
      </c>
      <c r="Q199" s="8" t="str">
        <f aca="false">IF(N199="","",O199+P199)</f>
        <v/>
      </c>
      <c r="R199" s="26"/>
      <c r="S199" s="8" t="str">
        <f aca="false">IF(OR(N199="",R199&lt;&gt;"Y"),"",ROUND(O199*설정!$C$5,0))</f>
        <v/>
      </c>
      <c r="T199" s="25"/>
    </row>
    <row r="200" customFormat="false" ht="15" hidden="false" customHeight="false" outlineLevel="0" collapsed="false">
      <c r="A200" s="21" t="str">
        <f aca="false">IF(C200="","",COUNTA($C$5:C200))</f>
        <v/>
      </c>
      <c r="B200" s="22"/>
      <c r="C200" s="23"/>
      <c r="D200" s="26"/>
      <c r="E200" s="25"/>
      <c r="F200" s="7" t="str">
        <f aca="false">IF(E200="","",IFERROR(INDEX(코드관리!$C$7:$C$66,MATCH(E200,코드관리!$B$7:$B$66,0)),"미등록 코드"))</f>
        <v/>
      </c>
      <c r="G200" s="25"/>
      <c r="H200" s="25"/>
      <c r="I200" s="25"/>
      <c r="J200" s="24"/>
      <c r="K200" s="26"/>
      <c r="L200" s="27"/>
      <c r="M200" s="26"/>
      <c r="N200" s="8" t="str">
        <f aca="false">IF(L200="","",IF(K200="USD",ROUND(L200*설정!$C$4,0),L200))</f>
        <v/>
      </c>
      <c r="O200" s="8" t="str">
        <f aca="false">IF(N200="","",IF(AND(J200="과세",M200="VAT포함"),ROUND(N200/(1+설정!$C$5),0),N200))</f>
        <v/>
      </c>
      <c r="P200" s="8" t="str">
        <f aca="false">IF(N200="","",IF(J200="과세",IF(M200="VAT포함",N200-O200,ROUND(O200*설정!$C$5,0)),0))</f>
        <v/>
      </c>
      <c r="Q200" s="8" t="str">
        <f aca="false">IF(N200="","",O200+P200)</f>
        <v/>
      </c>
      <c r="R200" s="26"/>
      <c r="S200" s="8" t="str">
        <f aca="false">IF(OR(N200="",R200&lt;&gt;"Y"),"",ROUND(O200*설정!$C$5,0))</f>
        <v/>
      </c>
      <c r="T200" s="25"/>
    </row>
    <row r="201" customFormat="false" ht="15" hidden="false" customHeight="false" outlineLevel="0" collapsed="false">
      <c r="A201" s="21" t="str">
        <f aca="false">IF(C201="","",COUNTA($C$5:C201))</f>
        <v/>
      </c>
      <c r="B201" s="22"/>
      <c r="C201" s="23"/>
      <c r="D201" s="26"/>
      <c r="E201" s="25"/>
      <c r="F201" s="7" t="str">
        <f aca="false">IF(E201="","",IFERROR(INDEX(코드관리!$C$7:$C$66,MATCH(E201,코드관리!$B$7:$B$66,0)),"미등록 코드"))</f>
        <v/>
      </c>
      <c r="G201" s="25"/>
      <c r="H201" s="25"/>
      <c r="I201" s="25"/>
      <c r="J201" s="24"/>
      <c r="K201" s="26"/>
      <c r="L201" s="27"/>
      <c r="M201" s="26"/>
      <c r="N201" s="8" t="str">
        <f aca="false">IF(L201="","",IF(K201="USD",ROUND(L201*설정!$C$4,0),L201))</f>
        <v/>
      </c>
      <c r="O201" s="8" t="str">
        <f aca="false">IF(N201="","",IF(AND(J201="과세",M201="VAT포함"),ROUND(N201/(1+설정!$C$5),0),N201))</f>
        <v/>
      </c>
      <c r="P201" s="8" t="str">
        <f aca="false">IF(N201="","",IF(J201="과세",IF(M201="VAT포함",N201-O201,ROUND(O201*설정!$C$5,0)),0))</f>
        <v/>
      </c>
      <c r="Q201" s="8" t="str">
        <f aca="false">IF(N201="","",O201+P201)</f>
        <v/>
      </c>
      <c r="R201" s="26"/>
      <c r="S201" s="8" t="str">
        <f aca="false">IF(OR(N201="",R201&lt;&gt;"Y"),"",ROUND(O201*설정!$C$5,0))</f>
        <v/>
      </c>
      <c r="T201" s="25"/>
    </row>
    <row r="202" customFormat="false" ht="15" hidden="false" customHeight="false" outlineLevel="0" collapsed="false">
      <c r="A202" s="21" t="str">
        <f aca="false">IF(C202="","",COUNTA($C$5:C202))</f>
        <v/>
      </c>
      <c r="B202" s="22"/>
      <c r="C202" s="23"/>
      <c r="D202" s="26"/>
      <c r="E202" s="25"/>
      <c r="F202" s="7" t="str">
        <f aca="false">IF(E202="","",IFERROR(INDEX(코드관리!$C$7:$C$66,MATCH(E202,코드관리!$B$7:$B$66,0)),"미등록 코드"))</f>
        <v/>
      </c>
      <c r="G202" s="25"/>
      <c r="H202" s="25"/>
      <c r="I202" s="25"/>
      <c r="J202" s="24"/>
      <c r="K202" s="26"/>
      <c r="L202" s="27"/>
      <c r="M202" s="26"/>
      <c r="N202" s="8" t="str">
        <f aca="false">IF(L202="","",IF(K202="USD",ROUND(L202*설정!$C$4,0),L202))</f>
        <v/>
      </c>
      <c r="O202" s="8" t="str">
        <f aca="false">IF(N202="","",IF(AND(J202="과세",M202="VAT포함"),ROUND(N202/(1+설정!$C$5),0),N202))</f>
        <v/>
      </c>
      <c r="P202" s="8" t="str">
        <f aca="false">IF(N202="","",IF(J202="과세",IF(M202="VAT포함",N202-O202,ROUND(O202*설정!$C$5,0)),0))</f>
        <v/>
      </c>
      <c r="Q202" s="8" t="str">
        <f aca="false">IF(N202="","",O202+P202)</f>
        <v/>
      </c>
      <c r="R202" s="26"/>
      <c r="S202" s="8" t="str">
        <f aca="false">IF(OR(N202="",R202&lt;&gt;"Y"),"",ROUND(O202*설정!$C$5,0))</f>
        <v/>
      </c>
      <c r="T202" s="25"/>
    </row>
    <row r="203" customFormat="false" ht="15" hidden="false" customHeight="false" outlineLevel="0" collapsed="false">
      <c r="A203" s="21" t="str">
        <f aca="false">IF(C203="","",COUNTA($C$5:C203))</f>
        <v/>
      </c>
      <c r="B203" s="22"/>
      <c r="C203" s="23"/>
      <c r="D203" s="26"/>
      <c r="E203" s="25"/>
      <c r="F203" s="7" t="str">
        <f aca="false">IF(E203="","",IFERROR(INDEX(코드관리!$C$7:$C$66,MATCH(E203,코드관리!$B$7:$B$66,0)),"미등록 코드"))</f>
        <v/>
      </c>
      <c r="G203" s="25"/>
      <c r="H203" s="25"/>
      <c r="I203" s="25"/>
      <c r="J203" s="24"/>
      <c r="K203" s="26"/>
      <c r="L203" s="27"/>
      <c r="M203" s="26"/>
      <c r="N203" s="8" t="str">
        <f aca="false">IF(L203="","",IF(K203="USD",ROUND(L203*설정!$C$4,0),L203))</f>
        <v/>
      </c>
      <c r="O203" s="8" t="str">
        <f aca="false">IF(N203="","",IF(AND(J203="과세",M203="VAT포함"),ROUND(N203/(1+설정!$C$5),0),N203))</f>
        <v/>
      </c>
      <c r="P203" s="8" t="str">
        <f aca="false">IF(N203="","",IF(J203="과세",IF(M203="VAT포함",N203-O203,ROUND(O203*설정!$C$5,0)),0))</f>
        <v/>
      </c>
      <c r="Q203" s="8" t="str">
        <f aca="false">IF(N203="","",O203+P203)</f>
        <v/>
      </c>
      <c r="R203" s="26"/>
      <c r="S203" s="8" t="str">
        <f aca="false">IF(OR(N203="",R203&lt;&gt;"Y"),"",ROUND(O203*설정!$C$5,0))</f>
        <v/>
      </c>
      <c r="T203" s="25"/>
    </row>
    <row r="204" customFormat="false" ht="15" hidden="false" customHeight="false" outlineLevel="0" collapsed="false">
      <c r="A204" s="21" t="str">
        <f aca="false">IF(C204="","",COUNTA($C$5:C204))</f>
        <v/>
      </c>
      <c r="B204" s="22"/>
      <c r="C204" s="23"/>
      <c r="D204" s="26"/>
      <c r="E204" s="25"/>
      <c r="F204" s="7" t="str">
        <f aca="false">IF(E204="","",IFERROR(INDEX(코드관리!$C$7:$C$66,MATCH(E204,코드관리!$B$7:$B$66,0)),"미등록 코드"))</f>
        <v/>
      </c>
      <c r="G204" s="25"/>
      <c r="H204" s="25"/>
      <c r="I204" s="25"/>
      <c r="J204" s="24"/>
      <c r="K204" s="26"/>
      <c r="L204" s="27"/>
      <c r="M204" s="26"/>
      <c r="N204" s="8" t="str">
        <f aca="false">IF(L204="","",IF(K204="USD",ROUND(L204*설정!$C$4,0),L204))</f>
        <v/>
      </c>
      <c r="O204" s="8" t="str">
        <f aca="false">IF(N204="","",IF(AND(J204="과세",M204="VAT포함"),ROUND(N204/(1+설정!$C$5),0),N204))</f>
        <v/>
      </c>
      <c r="P204" s="8" t="str">
        <f aca="false">IF(N204="","",IF(J204="과세",IF(M204="VAT포함",N204-O204,ROUND(O204*설정!$C$5,0)),0))</f>
        <v/>
      </c>
      <c r="Q204" s="8" t="str">
        <f aca="false">IF(N204="","",O204+P204)</f>
        <v/>
      </c>
      <c r="R204" s="26"/>
      <c r="S204" s="8" t="str">
        <f aca="false">IF(OR(N204="",R204&lt;&gt;"Y"),"",ROUND(O204*설정!$C$5,0))</f>
        <v/>
      </c>
      <c r="T204" s="25"/>
    </row>
    <row r="205" customFormat="false" ht="15" hidden="false" customHeight="false" outlineLevel="0" collapsed="false">
      <c r="A205" s="21" t="str">
        <f aca="false">IF(C205="","",COUNTA($C$5:C205))</f>
        <v/>
      </c>
      <c r="B205" s="22"/>
      <c r="C205" s="23"/>
      <c r="D205" s="26"/>
      <c r="E205" s="25"/>
      <c r="F205" s="7" t="str">
        <f aca="false">IF(E205="","",IFERROR(INDEX(코드관리!$C$7:$C$66,MATCH(E205,코드관리!$B$7:$B$66,0)),"미등록 코드"))</f>
        <v/>
      </c>
      <c r="G205" s="25"/>
      <c r="H205" s="25"/>
      <c r="I205" s="25"/>
      <c r="J205" s="24"/>
      <c r="K205" s="26"/>
      <c r="L205" s="27"/>
      <c r="M205" s="26"/>
      <c r="N205" s="8" t="str">
        <f aca="false">IF(L205="","",IF(K205="USD",ROUND(L205*설정!$C$4,0),L205))</f>
        <v/>
      </c>
      <c r="O205" s="8" t="str">
        <f aca="false">IF(N205="","",IF(AND(J205="과세",M205="VAT포함"),ROUND(N205/(1+설정!$C$5),0),N205))</f>
        <v/>
      </c>
      <c r="P205" s="8" t="str">
        <f aca="false">IF(N205="","",IF(J205="과세",IF(M205="VAT포함",N205-O205,ROUND(O205*설정!$C$5,0)),0))</f>
        <v/>
      </c>
      <c r="Q205" s="8" t="str">
        <f aca="false">IF(N205="","",O205+P205)</f>
        <v/>
      </c>
      <c r="R205" s="26"/>
      <c r="S205" s="8" t="str">
        <f aca="false">IF(OR(N205="",R205&lt;&gt;"Y"),"",ROUND(O205*설정!$C$5,0))</f>
        <v/>
      </c>
      <c r="T205" s="25"/>
    </row>
    <row r="206" customFormat="false" ht="15" hidden="false" customHeight="false" outlineLevel="0" collapsed="false">
      <c r="A206" s="21" t="str">
        <f aca="false">IF(C206="","",COUNTA($C$5:C206))</f>
        <v/>
      </c>
      <c r="B206" s="22"/>
      <c r="C206" s="23"/>
      <c r="D206" s="26"/>
      <c r="E206" s="25"/>
      <c r="F206" s="7" t="str">
        <f aca="false">IF(E206="","",IFERROR(INDEX(코드관리!$C$7:$C$66,MATCH(E206,코드관리!$B$7:$B$66,0)),"미등록 코드"))</f>
        <v/>
      </c>
      <c r="G206" s="25"/>
      <c r="H206" s="25"/>
      <c r="I206" s="25"/>
      <c r="J206" s="24"/>
      <c r="K206" s="26"/>
      <c r="L206" s="27"/>
      <c r="M206" s="26"/>
      <c r="N206" s="8" t="str">
        <f aca="false">IF(L206="","",IF(K206="USD",ROUND(L206*설정!$C$4,0),L206))</f>
        <v/>
      </c>
      <c r="O206" s="8" t="str">
        <f aca="false">IF(N206="","",IF(AND(J206="과세",M206="VAT포함"),ROUND(N206/(1+설정!$C$5),0),N206))</f>
        <v/>
      </c>
      <c r="P206" s="8" t="str">
        <f aca="false">IF(N206="","",IF(J206="과세",IF(M206="VAT포함",N206-O206,ROUND(O206*설정!$C$5,0)),0))</f>
        <v/>
      </c>
      <c r="Q206" s="8" t="str">
        <f aca="false">IF(N206="","",O206+P206)</f>
        <v/>
      </c>
      <c r="R206" s="26"/>
      <c r="S206" s="8" t="str">
        <f aca="false">IF(OR(N206="",R206&lt;&gt;"Y"),"",ROUND(O206*설정!$C$5,0))</f>
        <v/>
      </c>
      <c r="T206" s="25"/>
    </row>
    <row r="207" customFormat="false" ht="15" hidden="false" customHeight="false" outlineLevel="0" collapsed="false">
      <c r="A207" s="21" t="str">
        <f aca="false">IF(C207="","",COUNTA($C$5:C207))</f>
        <v/>
      </c>
      <c r="B207" s="22"/>
      <c r="C207" s="23"/>
      <c r="D207" s="26"/>
      <c r="E207" s="25"/>
      <c r="F207" s="7" t="str">
        <f aca="false">IF(E207="","",IFERROR(INDEX(코드관리!$C$7:$C$66,MATCH(E207,코드관리!$B$7:$B$66,0)),"미등록 코드"))</f>
        <v/>
      </c>
      <c r="G207" s="25"/>
      <c r="H207" s="25"/>
      <c r="I207" s="25"/>
      <c r="J207" s="24"/>
      <c r="K207" s="26"/>
      <c r="L207" s="27"/>
      <c r="M207" s="26"/>
      <c r="N207" s="8" t="str">
        <f aca="false">IF(L207="","",IF(K207="USD",ROUND(L207*설정!$C$4,0),L207))</f>
        <v/>
      </c>
      <c r="O207" s="8" t="str">
        <f aca="false">IF(N207="","",IF(AND(J207="과세",M207="VAT포함"),ROUND(N207/(1+설정!$C$5),0),N207))</f>
        <v/>
      </c>
      <c r="P207" s="8" t="str">
        <f aca="false">IF(N207="","",IF(J207="과세",IF(M207="VAT포함",N207-O207,ROUND(O207*설정!$C$5,0)),0))</f>
        <v/>
      </c>
      <c r="Q207" s="8" t="str">
        <f aca="false">IF(N207="","",O207+P207)</f>
        <v/>
      </c>
      <c r="R207" s="26"/>
      <c r="S207" s="8" t="str">
        <f aca="false">IF(OR(N207="",R207&lt;&gt;"Y"),"",ROUND(O207*설정!$C$5,0))</f>
        <v/>
      </c>
      <c r="T207" s="25"/>
    </row>
    <row r="208" customFormat="false" ht="15" hidden="false" customHeight="false" outlineLevel="0" collapsed="false">
      <c r="A208" s="21" t="str">
        <f aca="false">IF(C208="","",COUNTA($C$5:C208))</f>
        <v/>
      </c>
      <c r="B208" s="22"/>
      <c r="C208" s="23"/>
      <c r="D208" s="26"/>
      <c r="E208" s="25"/>
      <c r="F208" s="7" t="str">
        <f aca="false">IF(E208="","",IFERROR(INDEX(코드관리!$C$7:$C$66,MATCH(E208,코드관리!$B$7:$B$66,0)),"미등록 코드"))</f>
        <v/>
      </c>
      <c r="G208" s="25"/>
      <c r="H208" s="25"/>
      <c r="I208" s="25"/>
      <c r="J208" s="24"/>
      <c r="K208" s="26"/>
      <c r="L208" s="27"/>
      <c r="M208" s="26"/>
      <c r="N208" s="8" t="str">
        <f aca="false">IF(L208="","",IF(K208="USD",ROUND(L208*설정!$C$4,0),L208))</f>
        <v/>
      </c>
      <c r="O208" s="8" t="str">
        <f aca="false">IF(N208="","",IF(AND(J208="과세",M208="VAT포함"),ROUND(N208/(1+설정!$C$5),0),N208))</f>
        <v/>
      </c>
      <c r="P208" s="8" t="str">
        <f aca="false">IF(N208="","",IF(J208="과세",IF(M208="VAT포함",N208-O208,ROUND(O208*설정!$C$5,0)),0))</f>
        <v/>
      </c>
      <c r="Q208" s="8" t="str">
        <f aca="false">IF(N208="","",O208+P208)</f>
        <v/>
      </c>
      <c r="R208" s="26"/>
      <c r="S208" s="8" t="str">
        <f aca="false">IF(OR(N208="",R208&lt;&gt;"Y"),"",ROUND(O208*설정!$C$5,0))</f>
        <v/>
      </c>
      <c r="T208" s="25"/>
    </row>
    <row r="209" customFormat="false" ht="15" hidden="false" customHeight="false" outlineLevel="0" collapsed="false">
      <c r="A209" s="21" t="str">
        <f aca="false">IF(C209="","",COUNTA($C$5:C209))</f>
        <v/>
      </c>
      <c r="B209" s="22"/>
      <c r="C209" s="23"/>
      <c r="D209" s="26"/>
      <c r="E209" s="25"/>
      <c r="F209" s="7" t="str">
        <f aca="false">IF(E209="","",IFERROR(INDEX(코드관리!$C$7:$C$66,MATCH(E209,코드관리!$B$7:$B$66,0)),"미등록 코드"))</f>
        <v/>
      </c>
      <c r="G209" s="25"/>
      <c r="H209" s="25"/>
      <c r="I209" s="25"/>
      <c r="J209" s="24"/>
      <c r="K209" s="26"/>
      <c r="L209" s="27"/>
      <c r="M209" s="26"/>
      <c r="N209" s="8" t="str">
        <f aca="false">IF(L209="","",IF(K209="USD",ROUND(L209*설정!$C$4,0),L209))</f>
        <v/>
      </c>
      <c r="O209" s="8" t="str">
        <f aca="false">IF(N209="","",IF(AND(J209="과세",M209="VAT포함"),ROUND(N209/(1+설정!$C$5),0),N209))</f>
        <v/>
      </c>
      <c r="P209" s="8" t="str">
        <f aca="false">IF(N209="","",IF(J209="과세",IF(M209="VAT포함",N209-O209,ROUND(O209*설정!$C$5,0)),0))</f>
        <v/>
      </c>
      <c r="Q209" s="8" t="str">
        <f aca="false">IF(N209="","",O209+P209)</f>
        <v/>
      </c>
      <c r="R209" s="26"/>
      <c r="S209" s="8" t="str">
        <f aca="false">IF(OR(N209="",R209&lt;&gt;"Y"),"",ROUND(O209*설정!$C$5,0))</f>
        <v/>
      </c>
      <c r="T209" s="25"/>
    </row>
    <row r="210" customFormat="false" ht="15" hidden="false" customHeight="false" outlineLevel="0" collapsed="false">
      <c r="A210" s="21" t="str">
        <f aca="false">IF(C210="","",COUNTA($C$5:C210))</f>
        <v/>
      </c>
      <c r="B210" s="22"/>
      <c r="C210" s="23"/>
      <c r="D210" s="26"/>
      <c r="E210" s="25"/>
      <c r="F210" s="7" t="str">
        <f aca="false">IF(E210="","",IFERROR(INDEX(코드관리!$C$7:$C$66,MATCH(E210,코드관리!$B$7:$B$66,0)),"미등록 코드"))</f>
        <v/>
      </c>
      <c r="G210" s="25"/>
      <c r="H210" s="25"/>
      <c r="I210" s="25"/>
      <c r="J210" s="24"/>
      <c r="K210" s="26"/>
      <c r="L210" s="27"/>
      <c r="M210" s="26"/>
      <c r="N210" s="8" t="str">
        <f aca="false">IF(L210="","",IF(K210="USD",ROUND(L210*설정!$C$4,0),L210))</f>
        <v/>
      </c>
      <c r="O210" s="8" t="str">
        <f aca="false">IF(N210="","",IF(AND(J210="과세",M210="VAT포함"),ROUND(N210/(1+설정!$C$5),0),N210))</f>
        <v/>
      </c>
      <c r="P210" s="8" t="str">
        <f aca="false">IF(N210="","",IF(J210="과세",IF(M210="VAT포함",N210-O210,ROUND(O210*설정!$C$5,0)),0))</f>
        <v/>
      </c>
      <c r="Q210" s="8" t="str">
        <f aca="false">IF(N210="","",O210+P210)</f>
        <v/>
      </c>
      <c r="R210" s="26"/>
      <c r="S210" s="8" t="str">
        <f aca="false">IF(OR(N210="",R210&lt;&gt;"Y"),"",ROUND(O210*설정!$C$5,0))</f>
        <v/>
      </c>
      <c r="T210" s="25"/>
    </row>
    <row r="211" customFormat="false" ht="15" hidden="false" customHeight="false" outlineLevel="0" collapsed="false">
      <c r="A211" s="21" t="str">
        <f aca="false">IF(C211="","",COUNTA($C$5:C211))</f>
        <v/>
      </c>
      <c r="B211" s="22"/>
      <c r="C211" s="23"/>
      <c r="D211" s="26"/>
      <c r="E211" s="25"/>
      <c r="F211" s="7" t="str">
        <f aca="false">IF(E211="","",IFERROR(INDEX(코드관리!$C$7:$C$66,MATCH(E211,코드관리!$B$7:$B$66,0)),"미등록 코드"))</f>
        <v/>
      </c>
      <c r="G211" s="25"/>
      <c r="H211" s="25"/>
      <c r="I211" s="25"/>
      <c r="J211" s="24"/>
      <c r="K211" s="26"/>
      <c r="L211" s="27"/>
      <c r="M211" s="26"/>
      <c r="N211" s="8" t="str">
        <f aca="false">IF(L211="","",IF(K211="USD",ROUND(L211*설정!$C$4,0),L211))</f>
        <v/>
      </c>
      <c r="O211" s="8" t="str">
        <f aca="false">IF(N211="","",IF(AND(J211="과세",M211="VAT포함"),ROUND(N211/(1+설정!$C$5),0),N211))</f>
        <v/>
      </c>
      <c r="P211" s="8" t="str">
        <f aca="false">IF(N211="","",IF(J211="과세",IF(M211="VAT포함",N211-O211,ROUND(O211*설정!$C$5,0)),0))</f>
        <v/>
      </c>
      <c r="Q211" s="8" t="str">
        <f aca="false">IF(N211="","",O211+P211)</f>
        <v/>
      </c>
      <c r="R211" s="26"/>
      <c r="S211" s="8" t="str">
        <f aca="false">IF(OR(N211="",R211&lt;&gt;"Y"),"",ROUND(O211*설정!$C$5,0))</f>
        <v/>
      </c>
      <c r="T211" s="25"/>
    </row>
    <row r="212" customFormat="false" ht="15" hidden="false" customHeight="false" outlineLevel="0" collapsed="false">
      <c r="A212" s="21" t="str">
        <f aca="false">IF(C212="","",COUNTA($C$5:C212))</f>
        <v/>
      </c>
      <c r="B212" s="22"/>
      <c r="C212" s="23"/>
      <c r="D212" s="26"/>
      <c r="E212" s="25"/>
      <c r="F212" s="7" t="str">
        <f aca="false">IF(E212="","",IFERROR(INDEX(코드관리!$C$7:$C$66,MATCH(E212,코드관리!$B$7:$B$66,0)),"미등록 코드"))</f>
        <v/>
      </c>
      <c r="G212" s="25"/>
      <c r="H212" s="25"/>
      <c r="I212" s="25"/>
      <c r="J212" s="24"/>
      <c r="K212" s="26"/>
      <c r="L212" s="27"/>
      <c r="M212" s="26"/>
      <c r="N212" s="8" t="str">
        <f aca="false">IF(L212="","",IF(K212="USD",ROUND(L212*설정!$C$4,0),L212))</f>
        <v/>
      </c>
      <c r="O212" s="8" t="str">
        <f aca="false">IF(N212="","",IF(AND(J212="과세",M212="VAT포함"),ROUND(N212/(1+설정!$C$5),0),N212))</f>
        <v/>
      </c>
      <c r="P212" s="8" t="str">
        <f aca="false">IF(N212="","",IF(J212="과세",IF(M212="VAT포함",N212-O212,ROUND(O212*설정!$C$5,0)),0))</f>
        <v/>
      </c>
      <c r="Q212" s="8" t="str">
        <f aca="false">IF(N212="","",O212+P212)</f>
        <v/>
      </c>
      <c r="R212" s="26"/>
      <c r="S212" s="8" t="str">
        <f aca="false">IF(OR(N212="",R212&lt;&gt;"Y"),"",ROUND(O212*설정!$C$5,0))</f>
        <v/>
      </c>
      <c r="T212" s="25"/>
    </row>
    <row r="213" customFormat="false" ht="15" hidden="false" customHeight="false" outlineLevel="0" collapsed="false">
      <c r="A213" s="21" t="str">
        <f aca="false">IF(C213="","",COUNTA($C$5:C213))</f>
        <v/>
      </c>
      <c r="B213" s="22"/>
      <c r="C213" s="23"/>
      <c r="D213" s="26"/>
      <c r="E213" s="25"/>
      <c r="F213" s="7" t="str">
        <f aca="false">IF(E213="","",IFERROR(INDEX(코드관리!$C$7:$C$66,MATCH(E213,코드관리!$B$7:$B$66,0)),"미등록 코드"))</f>
        <v/>
      </c>
      <c r="G213" s="25"/>
      <c r="H213" s="25"/>
      <c r="I213" s="25"/>
      <c r="J213" s="24"/>
      <c r="K213" s="26"/>
      <c r="L213" s="27"/>
      <c r="M213" s="26"/>
      <c r="N213" s="8" t="str">
        <f aca="false">IF(L213="","",IF(K213="USD",ROUND(L213*설정!$C$4,0),L213))</f>
        <v/>
      </c>
      <c r="O213" s="8" t="str">
        <f aca="false">IF(N213="","",IF(AND(J213="과세",M213="VAT포함"),ROUND(N213/(1+설정!$C$5),0),N213))</f>
        <v/>
      </c>
      <c r="P213" s="8" t="str">
        <f aca="false">IF(N213="","",IF(J213="과세",IF(M213="VAT포함",N213-O213,ROUND(O213*설정!$C$5,0)),0))</f>
        <v/>
      </c>
      <c r="Q213" s="8" t="str">
        <f aca="false">IF(N213="","",O213+P213)</f>
        <v/>
      </c>
      <c r="R213" s="26"/>
      <c r="S213" s="8" t="str">
        <f aca="false">IF(OR(N213="",R213&lt;&gt;"Y"),"",ROUND(O213*설정!$C$5,0))</f>
        <v/>
      </c>
      <c r="T213" s="25"/>
    </row>
    <row r="214" customFormat="false" ht="15" hidden="false" customHeight="false" outlineLevel="0" collapsed="false">
      <c r="A214" s="21" t="str">
        <f aca="false">IF(C214="","",COUNTA($C$5:C214))</f>
        <v/>
      </c>
      <c r="B214" s="22"/>
      <c r="C214" s="23"/>
      <c r="D214" s="26"/>
      <c r="E214" s="25"/>
      <c r="F214" s="7" t="str">
        <f aca="false">IF(E214="","",IFERROR(INDEX(코드관리!$C$7:$C$66,MATCH(E214,코드관리!$B$7:$B$66,0)),"미등록 코드"))</f>
        <v/>
      </c>
      <c r="G214" s="25"/>
      <c r="H214" s="25"/>
      <c r="I214" s="25"/>
      <c r="J214" s="24"/>
      <c r="K214" s="26"/>
      <c r="L214" s="27"/>
      <c r="M214" s="26"/>
      <c r="N214" s="8" t="str">
        <f aca="false">IF(L214="","",IF(K214="USD",ROUND(L214*설정!$C$4,0),L214))</f>
        <v/>
      </c>
      <c r="O214" s="8" t="str">
        <f aca="false">IF(N214="","",IF(AND(J214="과세",M214="VAT포함"),ROUND(N214/(1+설정!$C$5),0),N214))</f>
        <v/>
      </c>
      <c r="P214" s="8" t="str">
        <f aca="false">IF(N214="","",IF(J214="과세",IF(M214="VAT포함",N214-O214,ROUND(O214*설정!$C$5,0)),0))</f>
        <v/>
      </c>
      <c r="Q214" s="8" t="str">
        <f aca="false">IF(N214="","",O214+P214)</f>
        <v/>
      </c>
      <c r="R214" s="26"/>
      <c r="S214" s="8" t="str">
        <f aca="false">IF(OR(N214="",R214&lt;&gt;"Y"),"",ROUND(O214*설정!$C$5,0))</f>
        <v/>
      </c>
      <c r="T214" s="25"/>
    </row>
    <row r="215" customFormat="false" ht="15" hidden="false" customHeight="false" outlineLevel="0" collapsed="false">
      <c r="A215" s="21" t="str">
        <f aca="false">IF(C215="","",COUNTA($C$5:C215))</f>
        <v/>
      </c>
      <c r="B215" s="22"/>
      <c r="C215" s="23"/>
      <c r="D215" s="26"/>
      <c r="E215" s="25"/>
      <c r="F215" s="7" t="str">
        <f aca="false">IF(E215="","",IFERROR(INDEX(코드관리!$C$7:$C$66,MATCH(E215,코드관리!$B$7:$B$66,0)),"미등록 코드"))</f>
        <v/>
      </c>
      <c r="G215" s="25"/>
      <c r="H215" s="25"/>
      <c r="I215" s="25"/>
      <c r="J215" s="24"/>
      <c r="K215" s="26"/>
      <c r="L215" s="27"/>
      <c r="M215" s="26"/>
      <c r="N215" s="8" t="str">
        <f aca="false">IF(L215="","",IF(K215="USD",ROUND(L215*설정!$C$4,0),L215))</f>
        <v/>
      </c>
      <c r="O215" s="8" t="str">
        <f aca="false">IF(N215="","",IF(AND(J215="과세",M215="VAT포함"),ROUND(N215/(1+설정!$C$5),0),N215))</f>
        <v/>
      </c>
      <c r="P215" s="8" t="str">
        <f aca="false">IF(N215="","",IF(J215="과세",IF(M215="VAT포함",N215-O215,ROUND(O215*설정!$C$5,0)),0))</f>
        <v/>
      </c>
      <c r="Q215" s="8" t="str">
        <f aca="false">IF(N215="","",O215+P215)</f>
        <v/>
      </c>
      <c r="R215" s="26"/>
      <c r="S215" s="8" t="str">
        <f aca="false">IF(OR(N215="",R215&lt;&gt;"Y"),"",ROUND(O215*설정!$C$5,0))</f>
        <v/>
      </c>
      <c r="T215" s="25"/>
    </row>
    <row r="216" customFormat="false" ht="15" hidden="false" customHeight="false" outlineLevel="0" collapsed="false">
      <c r="A216" s="21" t="str">
        <f aca="false">IF(C216="","",COUNTA($C$5:C216))</f>
        <v/>
      </c>
      <c r="B216" s="22"/>
      <c r="C216" s="23"/>
      <c r="D216" s="26"/>
      <c r="E216" s="25"/>
      <c r="F216" s="7" t="str">
        <f aca="false">IF(E216="","",IFERROR(INDEX(코드관리!$C$7:$C$66,MATCH(E216,코드관리!$B$7:$B$66,0)),"미등록 코드"))</f>
        <v/>
      </c>
      <c r="G216" s="25"/>
      <c r="H216" s="25"/>
      <c r="I216" s="25"/>
      <c r="J216" s="24"/>
      <c r="K216" s="26"/>
      <c r="L216" s="27"/>
      <c r="M216" s="26"/>
      <c r="N216" s="8" t="str">
        <f aca="false">IF(L216="","",IF(K216="USD",ROUND(L216*설정!$C$4,0),L216))</f>
        <v/>
      </c>
      <c r="O216" s="8" t="str">
        <f aca="false">IF(N216="","",IF(AND(J216="과세",M216="VAT포함"),ROUND(N216/(1+설정!$C$5),0),N216))</f>
        <v/>
      </c>
      <c r="P216" s="8" t="str">
        <f aca="false">IF(N216="","",IF(J216="과세",IF(M216="VAT포함",N216-O216,ROUND(O216*설정!$C$5,0)),0))</f>
        <v/>
      </c>
      <c r="Q216" s="8" t="str">
        <f aca="false">IF(N216="","",O216+P216)</f>
        <v/>
      </c>
      <c r="R216" s="26"/>
      <c r="S216" s="8" t="str">
        <f aca="false">IF(OR(N216="",R216&lt;&gt;"Y"),"",ROUND(O216*설정!$C$5,0))</f>
        <v/>
      </c>
      <c r="T216" s="25"/>
    </row>
    <row r="217" customFormat="false" ht="15" hidden="false" customHeight="false" outlineLevel="0" collapsed="false">
      <c r="A217" s="21" t="str">
        <f aca="false">IF(C217="","",COUNTA($C$5:C217))</f>
        <v/>
      </c>
      <c r="B217" s="22"/>
      <c r="C217" s="23"/>
      <c r="D217" s="26"/>
      <c r="E217" s="25"/>
      <c r="F217" s="7" t="str">
        <f aca="false">IF(E217="","",IFERROR(INDEX(코드관리!$C$7:$C$66,MATCH(E217,코드관리!$B$7:$B$66,0)),"미등록 코드"))</f>
        <v/>
      </c>
      <c r="G217" s="25"/>
      <c r="H217" s="25"/>
      <c r="I217" s="25"/>
      <c r="J217" s="24"/>
      <c r="K217" s="26"/>
      <c r="L217" s="27"/>
      <c r="M217" s="26"/>
      <c r="N217" s="8" t="str">
        <f aca="false">IF(L217="","",IF(K217="USD",ROUND(L217*설정!$C$4,0),L217))</f>
        <v/>
      </c>
      <c r="O217" s="8" t="str">
        <f aca="false">IF(N217="","",IF(AND(J217="과세",M217="VAT포함"),ROUND(N217/(1+설정!$C$5),0),N217))</f>
        <v/>
      </c>
      <c r="P217" s="8" t="str">
        <f aca="false">IF(N217="","",IF(J217="과세",IF(M217="VAT포함",N217-O217,ROUND(O217*설정!$C$5,0)),0))</f>
        <v/>
      </c>
      <c r="Q217" s="8" t="str">
        <f aca="false">IF(N217="","",O217+P217)</f>
        <v/>
      </c>
      <c r="R217" s="26"/>
      <c r="S217" s="8" t="str">
        <f aca="false">IF(OR(N217="",R217&lt;&gt;"Y"),"",ROUND(O217*설정!$C$5,0))</f>
        <v/>
      </c>
      <c r="T217" s="25"/>
    </row>
    <row r="218" customFormat="false" ht="15" hidden="false" customHeight="false" outlineLevel="0" collapsed="false">
      <c r="A218" s="21" t="str">
        <f aca="false">IF(C218="","",COUNTA($C$5:C218))</f>
        <v/>
      </c>
      <c r="B218" s="22"/>
      <c r="C218" s="23"/>
      <c r="D218" s="26"/>
      <c r="E218" s="25"/>
      <c r="F218" s="7" t="str">
        <f aca="false">IF(E218="","",IFERROR(INDEX(코드관리!$C$7:$C$66,MATCH(E218,코드관리!$B$7:$B$66,0)),"미등록 코드"))</f>
        <v/>
      </c>
      <c r="G218" s="25"/>
      <c r="H218" s="25"/>
      <c r="I218" s="25"/>
      <c r="J218" s="24"/>
      <c r="K218" s="26"/>
      <c r="L218" s="27"/>
      <c r="M218" s="26"/>
      <c r="N218" s="8" t="str">
        <f aca="false">IF(L218="","",IF(K218="USD",ROUND(L218*설정!$C$4,0),L218))</f>
        <v/>
      </c>
      <c r="O218" s="8" t="str">
        <f aca="false">IF(N218="","",IF(AND(J218="과세",M218="VAT포함"),ROUND(N218/(1+설정!$C$5),0),N218))</f>
        <v/>
      </c>
      <c r="P218" s="8" t="str">
        <f aca="false">IF(N218="","",IF(J218="과세",IF(M218="VAT포함",N218-O218,ROUND(O218*설정!$C$5,0)),0))</f>
        <v/>
      </c>
      <c r="Q218" s="8" t="str">
        <f aca="false">IF(N218="","",O218+P218)</f>
        <v/>
      </c>
      <c r="R218" s="26"/>
      <c r="S218" s="8" t="str">
        <f aca="false">IF(OR(N218="",R218&lt;&gt;"Y"),"",ROUND(O218*설정!$C$5,0))</f>
        <v/>
      </c>
      <c r="T218" s="25"/>
    </row>
    <row r="219" customFormat="false" ht="15" hidden="false" customHeight="false" outlineLevel="0" collapsed="false">
      <c r="A219" s="21" t="str">
        <f aca="false">IF(C219="","",COUNTA($C$5:C219))</f>
        <v/>
      </c>
      <c r="B219" s="22"/>
      <c r="C219" s="23"/>
      <c r="D219" s="26"/>
      <c r="E219" s="25"/>
      <c r="F219" s="7" t="str">
        <f aca="false">IF(E219="","",IFERROR(INDEX(코드관리!$C$7:$C$66,MATCH(E219,코드관리!$B$7:$B$66,0)),"미등록 코드"))</f>
        <v/>
      </c>
      <c r="G219" s="25"/>
      <c r="H219" s="25"/>
      <c r="I219" s="25"/>
      <c r="J219" s="24"/>
      <c r="K219" s="26"/>
      <c r="L219" s="27"/>
      <c r="M219" s="26"/>
      <c r="N219" s="8" t="str">
        <f aca="false">IF(L219="","",IF(K219="USD",ROUND(L219*설정!$C$4,0),L219))</f>
        <v/>
      </c>
      <c r="O219" s="8" t="str">
        <f aca="false">IF(N219="","",IF(AND(J219="과세",M219="VAT포함"),ROUND(N219/(1+설정!$C$5),0),N219))</f>
        <v/>
      </c>
      <c r="P219" s="8" t="str">
        <f aca="false">IF(N219="","",IF(J219="과세",IF(M219="VAT포함",N219-O219,ROUND(O219*설정!$C$5,0)),0))</f>
        <v/>
      </c>
      <c r="Q219" s="8" t="str">
        <f aca="false">IF(N219="","",O219+P219)</f>
        <v/>
      </c>
      <c r="R219" s="26"/>
      <c r="S219" s="8" t="str">
        <f aca="false">IF(OR(N219="",R219&lt;&gt;"Y"),"",ROUND(O219*설정!$C$5,0))</f>
        <v/>
      </c>
      <c r="T219" s="25"/>
    </row>
    <row r="220" customFormat="false" ht="15" hidden="false" customHeight="false" outlineLevel="0" collapsed="false">
      <c r="A220" s="21" t="str">
        <f aca="false">IF(C220="","",COUNTA($C$5:C220))</f>
        <v/>
      </c>
      <c r="B220" s="22"/>
      <c r="C220" s="23"/>
      <c r="D220" s="26"/>
      <c r="E220" s="25"/>
      <c r="F220" s="7" t="str">
        <f aca="false">IF(E220="","",IFERROR(INDEX(코드관리!$C$7:$C$66,MATCH(E220,코드관리!$B$7:$B$66,0)),"미등록 코드"))</f>
        <v/>
      </c>
      <c r="G220" s="25"/>
      <c r="H220" s="25"/>
      <c r="I220" s="25"/>
      <c r="J220" s="24"/>
      <c r="K220" s="26"/>
      <c r="L220" s="27"/>
      <c r="M220" s="26"/>
      <c r="N220" s="8" t="str">
        <f aca="false">IF(L220="","",IF(K220="USD",ROUND(L220*설정!$C$4,0),L220))</f>
        <v/>
      </c>
      <c r="O220" s="8" t="str">
        <f aca="false">IF(N220="","",IF(AND(J220="과세",M220="VAT포함"),ROUND(N220/(1+설정!$C$5),0),N220))</f>
        <v/>
      </c>
      <c r="P220" s="8" t="str">
        <f aca="false">IF(N220="","",IF(J220="과세",IF(M220="VAT포함",N220-O220,ROUND(O220*설정!$C$5,0)),0))</f>
        <v/>
      </c>
      <c r="Q220" s="8" t="str">
        <f aca="false">IF(N220="","",O220+P220)</f>
        <v/>
      </c>
      <c r="R220" s="26"/>
      <c r="S220" s="8" t="str">
        <f aca="false">IF(OR(N220="",R220&lt;&gt;"Y"),"",ROUND(O220*설정!$C$5,0))</f>
        <v/>
      </c>
      <c r="T220" s="25"/>
    </row>
    <row r="221" customFormat="false" ht="15" hidden="false" customHeight="false" outlineLevel="0" collapsed="false">
      <c r="A221" s="21" t="str">
        <f aca="false">IF(C221="","",COUNTA($C$5:C221))</f>
        <v/>
      </c>
      <c r="B221" s="22"/>
      <c r="C221" s="23"/>
      <c r="D221" s="26"/>
      <c r="E221" s="25"/>
      <c r="F221" s="7" t="str">
        <f aca="false">IF(E221="","",IFERROR(INDEX(코드관리!$C$7:$C$66,MATCH(E221,코드관리!$B$7:$B$66,0)),"미등록 코드"))</f>
        <v/>
      </c>
      <c r="G221" s="25"/>
      <c r="H221" s="25"/>
      <c r="I221" s="25"/>
      <c r="J221" s="24"/>
      <c r="K221" s="26"/>
      <c r="L221" s="27"/>
      <c r="M221" s="26"/>
      <c r="N221" s="8" t="str">
        <f aca="false">IF(L221="","",IF(K221="USD",ROUND(L221*설정!$C$4,0),L221))</f>
        <v/>
      </c>
      <c r="O221" s="8" t="str">
        <f aca="false">IF(N221="","",IF(AND(J221="과세",M221="VAT포함"),ROUND(N221/(1+설정!$C$5),0),N221))</f>
        <v/>
      </c>
      <c r="P221" s="8" t="str">
        <f aca="false">IF(N221="","",IF(J221="과세",IF(M221="VAT포함",N221-O221,ROUND(O221*설정!$C$5,0)),0))</f>
        <v/>
      </c>
      <c r="Q221" s="8" t="str">
        <f aca="false">IF(N221="","",O221+P221)</f>
        <v/>
      </c>
      <c r="R221" s="26"/>
      <c r="S221" s="8" t="str">
        <f aca="false">IF(OR(N221="",R221&lt;&gt;"Y"),"",ROUND(O221*설정!$C$5,0))</f>
        <v/>
      </c>
      <c r="T221" s="25"/>
    </row>
    <row r="222" customFormat="false" ht="15" hidden="false" customHeight="false" outlineLevel="0" collapsed="false">
      <c r="A222" s="21" t="str">
        <f aca="false">IF(C222="","",COUNTA($C$5:C222))</f>
        <v/>
      </c>
      <c r="B222" s="22"/>
      <c r="C222" s="23"/>
      <c r="D222" s="26"/>
      <c r="E222" s="25"/>
      <c r="F222" s="7" t="str">
        <f aca="false">IF(E222="","",IFERROR(INDEX(코드관리!$C$7:$C$66,MATCH(E222,코드관리!$B$7:$B$66,0)),"미등록 코드"))</f>
        <v/>
      </c>
      <c r="G222" s="25"/>
      <c r="H222" s="25"/>
      <c r="I222" s="25"/>
      <c r="J222" s="24"/>
      <c r="K222" s="26"/>
      <c r="L222" s="27"/>
      <c r="M222" s="26"/>
      <c r="N222" s="8" t="str">
        <f aca="false">IF(L222="","",IF(K222="USD",ROUND(L222*설정!$C$4,0),L222))</f>
        <v/>
      </c>
      <c r="O222" s="8" t="str">
        <f aca="false">IF(N222="","",IF(AND(J222="과세",M222="VAT포함"),ROUND(N222/(1+설정!$C$5),0),N222))</f>
        <v/>
      </c>
      <c r="P222" s="8" t="str">
        <f aca="false">IF(N222="","",IF(J222="과세",IF(M222="VAT포함",N222-O222,ROUND(O222*설정!$C$5,0)),0))</f>
        <v/>
      </c>
      <c r="Q222" s="8" t="str">
        <f aca="false">IF(N222="","",O222+P222)</f>
        <v/>
      </c>
      <c r="R222" s="26"/>
      <c r="S222" s="8" t="str">
        <f aca="false">IF(OR(N222="",R222&lt;&gt;"Y"),"",ROUND(O222*설정!$C$5,0))</f>
        <v/>
      </c>
      <c r="T222" s="25"/>
    </row>
    <row r="223" customFormat="false" ht="15" hidden="false" customHeight="false" outlineLevel="0" collapsed="false">
      <c r="A223" s="21" t="str">
        <f aca="false">IF(C223="","",COUNTA($C$5:C223))</f>
        <v/>
      </c>
      <c r="B223" s="22"/>
      <c r="C223" s="23"/>
      <c r="D223" s="26"/>
      <c r="E223" s="25"/>
      <c r="F223" s="7" t="str">
        <f aca="false">IF(E223="","",IFERROR(INDEX(코드관리!$C$7:$C$66,MATCH(E223,코드관리!$B$7:$B$66,0)),"미등록 코드"))</f>
        <v/>
      </c>
      <c r="G223" s="25"/>
      <c r="H223" s="25"/>
      <c r="I223" s="25"/>
      <c r="J223" s="24"/>
      <c r="K223" s="26"/>
      <c r="L223" s="27"/>
      <c r="M223" s="26"/>
      <c r="N223" s="8" t="str">
        <f aca="false">IF(L223="","",IF(K223="USD",ROUND(L223*설정!$C$4,0),L223))</f>
        <v/>
      </c>
      <c r="O223" s="8" t="str">
        <f aca="false">IF(N223="","",IF(AND(J223="과세",M223="VAT포함"),ROUND(N223/(1+설정!$C$5),0),N223))</f>
        <v/>
      </c>
      <c r="P223" s="8" t="str">
        <f aca="false">IF(N223="","",IF(J223="과세",IF(M223="VAT포함",N223-O223,ROUND(O223*설정!$C$5,0)),0))</f>
        <v/>
      </c>
      <c r="Q223" s="8" t="str">
        <f aca="false">IF(N223="","",O223+P223)</f>
        <v/>
      </c>
      <c r="R223" s="26"/>
      <c r="S223" s="8" t="str">
        <f aca="false">IF(OR(N223="",R223&lt;&gt;"Y"),"",ROUND(O223*설정!$C$5,0))</f>
        <v/>
      </c>
      <c r="T223" s="25"/>
    </row>
    <row r="224" customFormat="false" ht="15" hidden="false" customHeight="false" outlineLevel="0" collapsed="false">
      <c r="A224" s="21" t="str">
        <f aca="false">IF(C224="","",COUNTA($C$5:C224))</f>
        <v/>
      </c>
      <c r="B224" s="22"/>
      <c r="C224" s="23"/>
      <c r="D224" s="26"/>
      <c r="E224" s="25"/>
      <c r="F224" s="7" t="str">
        <f aca="false">IF(E224="","",IFERROR(INDEX(코드관리!$C$7:$C$66,MATCH(E224,코드관리!$B$7:$B$66,0)),"미등록 코드"))</f>
        <v/>
      </c>
      <c r="G224" s="25"/>
      <c r="H224" s="25"/>
      <c r="I224" s="25"/>
      <c r="J224" s="24"/>
      <c r="K224" s="26"/>
      <c r="L224" s="27"/>
      <c r="M224" s="26"/>
      <c r="N224" s="8" t="str">
        <f aca="false">IF(L224="","",IF(K224="USD",ROUND(L224*설정!$C$4,0),L224))</f>
        <v/>
      </c>
      <c r="O224" s="8" t="str">
        <f aca="false">IF(N224="","",IF(AND(J224="과세",M224="VAT포함"),ROUND(N224/(1+설정!$C$5),0),N224))</f>
        <v/>
      </c>
      <c r="P224" s="8" t="str">
        <f aca="false">IF(N224="","",IF(J224="과세",IF(M224="VAT포함",N224-O224,ROUND(O224*설정!$C$5,0)),0))</f>
        <v/>
      </c>
      <c r="Q224" s="8" t="str">
        <f aca="false">IF(N224="","",O224+P224)</f>
        <v/>
      </c>
      <c r="R224" s="26"/>
      <c r="S224" s="8" t="str">
        <f aca="false">IF(OR(N224="",R224&lt;&gt;"Y"),"",ROUND(O224*설정!$C$5,0))</f>
        <v/>
      </c>
      <c r="T224" s="25"/>
    </row>
    <row r="225" customFormat="false" ht="15" hidden="false" customHeight="false" outlineLevel="0" collapsed="false">
      <c r="A225" s="21" t="str">
        <f aca="false">IF(C225="","",COUNTA($C$5:C225))</f>
        <v/>
      </c>
      <c r="B225" s="22"/>
      <c r="C225" s="23"/>
      <c r="D225" s="26"/>
      <c r="E225" s="25"/>
      <c r="F225" s="7" t="str">
        <f aca="false">IF(E225="","",IFERROR(INDEX(코드관리!$C$7:$C$66,MATCH(E225,코드관리!$B$7:$B$66,0)),"미등록 코드"))</f>
        <v/>
      </c>
      <c r="G225" s="25"/>
      <c r="H225" s="25"/>
      <c r="I225" s="25"/>
      <c r="J225" s="24"/>
      <c r="K225" s="26"/>
      <c r="L225" s="27"/>
      <c r="M225" s="26"/>
      <c r="N225" s="8" t="str">
        <f aca="false">IF(L225="","",IF(K225="USD",ROUND(L225*설정!$C$4,0),L225))</f>
        <v/>
      </c>
      <c r="O225" s="8" t="str">
        <f aca="false">IF(N225="","",IF(AND(J225="과세",M225="VAT포함"),ROUND(N225/(1+설정!$C$5),0),N225))</f>
        <v/>
      </c>
      <c r="P225" s="8" t="str">
        <f aca="false">IF(N225="","",IF(J225="과세",IF(M225="VAT포함",N225-O225,ROUND(O225*설정!$C$5,0)),0))</f>
        <v/>
      </c>
      <c r="Q225" s="8" t="str">
        <f aca="false">IF(N225="","",O225+P225)</f>
        <v/>
      </c>
      <c r="R225" s="26"/>
      <c r="S225" s="8" t="str">
        <f aca="false">IF(OR(N225="",R225&lt;&gt;"Y"),"",ROUND(O225*설정!$C$5,0))</f>
        <v/>
      </c>
      <c r="T225" s="25"/>
    </row>
    <row r="226" customFormat="false" ht="15" hidden="false" customHeight="false" outlineLevel="0" collapsed="false">
      <c r="A226" s="21" t="str">
        <f aca="false">IF(C226="","",COUNTA($C$5:C226))</f>
        <v/>
      </c>
      <c r="B226" s="22"/>
      <c r="C226" s="23"/>
      <c r="D226" s="26"/>
      <c r="E226" s="25"/>
      <c r="F226" s="7" t="str">
        <f aca="false">IF(E226="","",IFERROR(INDEX(코드관리!$C$7:$C$66,MATCH(E226,코드관리!$B$7:$B$66,0)),"미등록 코드"))</f>
        <v/>
      </c>
      <c r="G226" s="25"/>
      <c r="H226" s="25"/>
      <c r="I226" s="25"/>
      <c r="J226" s="24"/>
      <c r="K226" s="26"/>
      <c r="L226" s="27"/>
      <c r="M226" s="26"/>
      <c r="N226" s="8" t="str">
        <f aca="false">IF(L226="","",IF(K226="USD",ROUND(L226*설정!$C$4,0),L226))</f>
        <v/>
      </c>
      <c r="O226" s="8" t="str">
        <f aca="false">IF(N226="","",IF(AND(J226="과세",M226="VAT포함"),ROUND(N226/(1+설정!$C$5),0),N226))</f>
        <v/>
      </c>
      <c r="P226" s="8" t="str">
        <f aca="false">IF(N226="","",IF(J226="과세",IF(M226="VAT포함",N226-O226,ROUND(O226*설정!$C$5,0)),0))</f>
        <v/>
      </c>
      <c r="Q226" s="8" t="str">
        <f aca="false">IF(N226="","",O226+P226)</f>
        <v/>
      </c>
      <c r="R226" s="26"/>
      <c r="S226" s="8" t="str">
        <f aca="false">IF(OR(N226="",R226&lt;&gt;"Y"),"",ROUND(O226*설정!$C$5,0))</f>
        <v/>
      </c>
      <c r="T226" s="25"/>
    </row>
    <row r="227" customFormat="false" ht="15" hidden="false" customHeight="false" outlineLevel="0" collapsed="false">
      <c r="A227" s="21" t="str">
        <f aca="false">IF(C227="","",COUNTA($C$5:C227))</f>
        <v/>
      </c>
      <c r="B227" s="22"/>
      <c r="C227" s="23"/>
      <c r="D227" s="26"/>
      <c r="E227" s="25"/>
      <c r="F227" s="7" t="str">
        <f aca="false">IF(E227="","",IFERROR(INDEX(코드관리!$C$7:$C$66,MATCH(E227,코드관리!$B$7:$B$66,0)),"미등록 코드"))</f>
        <v/>
      </c>
      <c r="G227" s="25"/>
      <c r="H227" s="25"/>
      <c r="I227" s="25"/>
      <c r="J227" s="24"/>
      <c r="K227" s="26"/>
      <c r="L227" s="27"/>
      <c r="M227" s="26"/>
      <c r="N227" s="8" t="str">
        <f aca="false">IF(L227="","",IF(K227="USD",ROUND(L227*설정!$C$4,0),L227))</f>
        <v/>
      </c>
      <c r="O227" s="8" t="str">
        <f aca="false">IF(N227="","",IF(AND(J227="과세",M227="VAT포함"),ROUND(N227/(1+설정!$C$5),0),N227))</f>
        <v/>
      </c>
      <c r="P227" s="8" t="str">
        <f aca="false">IF(N227="","",IF(J227="과세",IF(M227="VAT포함",N227-O227,ROUND(O227*설정!$C$5,0)),0))</f>
        <v/>
      </c>
      <c r="Q227" s="8" t="str">
        <f aca="false">IF(N227="","",O227+P227)</f>
        <v/>
      </c>
      <c r="R227" s="26"/>
      <c r="S227" s="8" t="str">
        <f aca="false">IF(OR(N227="",R227&lt;&gt;"Y"),"",ROUND(O227*설정!$C$5,0))</f>
        <v/>
      </c>
      <c r="T227" s="25"/>
    </row>
    <row r="228" customFormat="false" ht="15" hidden="false" customHeight="false" outlineLevel="0" collapsed="false">
      <c r="A228" s="21" t="str">
        <f aca="false">IF(C228="","",COUNTA($C$5:C228))</f>
        <v/>
      </c>
      <c r="B228" s="22"/>
      <c r="C228" s="23"/>
      <c r="D228" s="26"/>
      <c r="E228" s="25"/>
      <c r="F228" s="7" t="str">
        <f aca="false">IF(E228="","",IFERROR(INDEX(코드관리!$C$7:$C$66,MATCH(E228,코드관리!$B$7:$B$66,0)),"미등록 코드"))</f>
        <v/>
      </c>
      <c r="G228" s="25"/>
      <c r="H228" s="25"/>
      <c r="I228" s="25"/>
      <c r="J228" s="24"/>
      <c r="K228" s="26"/>
      <c r="L228" s="27"/>
      <c r="M228" s="26"/>
      <c r="N228" s="8" t="str">
        <f aca="false">IF(L228="","",IF(K228="USD",ROUND(L228*설정!$C$4,0),L228))</f>
        <v/>
      </c>
      <c r="O228" s="8" t="str">
        <f aca="false">IF(N228="","",IF(AND(J228="과세",M228="VAT포함"),ROUND(N228/(1+설정!$C$5),0),N228))</f>
        <v/>
      </c>
      <c r="P228" s="8" t="str">
        <f aca="false">IF(N228="","",IF(J228="과세",IF(M228="VAT포함",N228-O228,ROUND(O228*설정!$C$5,0)),0))</f>
        <v/>
      </c>
      <c r="Q228" s="8" t="str">
        <f aca="false">IF(N228="","",O228+P228)</f>
        <v/>
      </c>
      <c r="R228" s="26"/>
      <c r="S228" s="8" t="str">
        <f aca="false">IF(OR(N228="",R228&lt;&gt;"Y"),"",ROUND(O228*설정!$C$5,0))</f>
        <v/>
      </c>
      <c r="T228" s="25"/>
    </row>
    <row r="229" customFormat="false" ht="15" hidden="false" customHeight="false" outlineLevel="0" collapsed="false">
      <c r="A229" s="21" t="str">
        <f aca="false">IF(C229="","",COUNTA($C$5:C229))</f>
        <v/>
      </c>
      <c r="B229" s="22"/>
      <c r="C229" s="23"/>
      <c r="D229" s="26"/>
      <c r="E229" s="25"/>
      <c r="F229" s="7" t="str">
        <f aca="false">IF(E229="","",IFERROR(INDEX(코드관리!$C$7:$C$66,MATCH(E229,코드관리!$B$7:$B$66,0)),"미등록 코드"))</f>
        <v/>
      </c>
      <c r="G229" s="25"/>
      <c r="H229" s="25"/>
      <c r="I229" s="25"/>
      <c r="J229" s="24"/>
      <c r="K229" s="26"/>
      <c r="L229" s="27"/>
      <c r="M229" s="26"/>
      <c r="N229" s="8" t="str">
        <f aca="false">IF(L229="","",IF(K229="USD",ROUND(L229*설정!$C$4,0),L229))</f>
        <v/>
      </c>
      <c r="O229" s="8" t="str">
        <f aca="false">IF(N229="","",IF(AND(J229="과세",M229="VAT포함"),ROUND(N229/(1+설정!$C$5),0),N229))</f>
        <v/>
      </c>
      <c r="P229" s="8" t="str">
        <f aca="false">IF(N229="","",IF(J229="과세",IF(M229="VAT포함",N229-O229,ROUND(O229*설정!$C$5,0)),0))</f>
        <v/>
      </c>
      <c r="Q229" s="8" t="str">
        <f aca="false">IF(N229="","",O229+P229)</f>
        <v/>
      </c>
      <c r="R229" s="26"/>
      <c r="S229" s="8" t="str">
        <f aca="false">IF(OR(N229="",R229&lt;&gt;"Y"),"",ROUND(O229*설정!$C$5,0))</f>
        <v/>
      </c>
      <c r="T229" s="25"/>
    </row>
    <row r="230" customFormat="false" ht="15" hidden="false" customHeight="false" outlineLevel="0" collapsed="false">
      <c r="A230" s="21" t="str">
        <f aca="false">IF(C230="","",COUNTA($C$5:C230))</f>
        <v/>
      </c>
      <c r="B230" s="22"/>
      <c r="C230" s="23"/>
      <c r="D230" s="26"/>
      <c r="E230" s="25"/>
      <c r="F230" s="7" t="str">
        <f aca="false">IF(E230="","",IFERROR(INDEX(코드관리!$C$7:$C$66,MATCH(E230,코드관리!$B$7:$B$66,0)),"미등록 코드"))</f>
        <v/>
      </c>
      <c r="G230" s="25"/>
      <c r="H230" s="25"/>
      <c r="I230" s="25"/>
      <c r="J230" s="24"/>
      <c r="K230" s="26"/>
      <c r="L230" s="27"/>
      <c r="M230" s="26"/>
      <c r="N230" s="8" t="str">
        <f aca="false">IF(L230="","",IF(K230="USD",ROUND(L230*설정!$C$4,0),L230))</f>
        <v/>
      </c>
      <c r="O230" s="8" t="str">
        <f aca="false">IF(N230="","",IF(AND(J230="과세",M230="VAT포함"),ROUND(N230/(1+설정!$C$5),0),N230))</f>
        <v/>
      </c>
      <c r="P230" s="8" t="str">
        <f aca="false">IF(N230="","",IF(J230="과세",IF(M230="VAT포함",N230-O230,ROUND(O230*설정!$C$5,0)),0))</f>
        <v/>
      </c>
      <c r="Q230" s="8" t="str">
        <f aca="false">IF(N230="","",O230+P230)</f>
        <v/>
      </c>
      <c r="R230" s="26"/>
      <c r="S230" s="8" t="str">
        <f aca="false">IF(OR(N230="",R230&lt;&gt;"Y"),"",ROUND(O230*설정!$C$5,0))</f>
        <v/>
      </c>
      <c r="T230" s="25"/>
    </row>
    <row r="231" customFormat="false" ht="15" hidden="false" customHeight="false" outlineLevel="0" collapsed="false">
      <c r="A231" s="21" t="str">
        <f aca="false">IF(C231="","",COUNTA($C$5:C231))</f>
        <v/>
      </c>
      <c r="B231" s="22"/>
      <c r="C231" s="23"/>
      <c r="D231" s="26"/>
      <c r="E231" s="25"/>
      <c r="F231" s="7" t="str">
        <f aca="false">IF(E231="","",IFERROR(INDEX(코드관리!$C$7:$C$66,MATCH(E231,코드관리!$B$7:$B$66,0)),"미등록 코드"))</f>
        <v/>
      </c>
      <c r="G231" s="25"/>
      <c r="H231" s="25"/>
      <c r="I231" s="25"/>
      <c r="J231" s="24"/>
      <c r="K231" s="26"/>
      <c r="L231" s="27"/>
      <c r="M231" s="26"/>
      <c r="N231" s="8" t="str">
        <f aca="false">IF(L231="","",IF(K231="USD",ROUND(L231*설정!$C$4,0),L231))</f>
        <v/>
      </c>
      <c r="O231" s="8" t="str">
        <f aca="false">IF(N231="","",IF(AND(J231="과세",M231="VAT포함"),ROUND(N231/(1+설정!$C$5),0),N231))</f>
        <v/>
      </c>
      <c r="P231" s="8" t="str">
        <f aca="false">IF(N231="","",IF(J231="과세",IF(M231="VAT포함",N231-O231,ROUND(O231*설정!$C$5,0)),0))</f>
        <v/>
      </c>
      <c r="Q231" s="8" t="str">
        <f aca="false">IF(N231="","",O231+P231)</f>
        <v/>
      </c>
      <c r="R231" s="26"/>
      <c r="S231" s="8" t="str">
        <f aca="false">IF(OR(N231="",R231&lt;&gt;"Y"),"",ROUND(O231*설정!$C$5,0))</f>
        <v/>
      </c>
      <c r="T231" s="25"/>
    </row>
    <row r="232" customFormat="false" ht="15" hidden="false" customHeight="false" outlineLevel="0" collapsed="false">
      <c r="A232" s="21" t="str">
        <f aca="false">IF(C232="","",COUNTA($C$5:C232))</f>
        <v/>
      </c>
      <c r="B232" s="22"/>
      <c r="C232" s="23"/>
      <c r="D232" s="26"/>
      <c r="E232" s="25"/>
      <c r="F232" s="7" t="str">
        <f aca="false">IF(E232="","",IFERROR(INDEX(코드관리!$C$7:$C$66,MATCH(E232,코드관리!$B$7:$B$66,0)),"미등록 코드"))</f>
        <v/>
      </c>
      <c r="G232" s="25"/>
      <c r="H232" s="25"/>
      <c r="I232" s="25"/>
      <c r="J232" s="24"/>
      <c r="K232" s="26"/>
      <c r="L232" s="27"/>
      <c r="M232" s="26"/>
      <c r="N232" s="8" t="str">
        <f aca="false">IF(L232="","",IF(K232="USD",ROUND(L232*설정!$C$4,0),L232))</f>
        <v/>
      </c>
      <c r="O232" s="8" t="str">
        <f aca="false">IF(N232="","",IF(AND(J232="과세",M232="VAT포함"),ROUND(N232/(1+설정!$C$5),0),N232))</f>
        <v/>
      </c>
      <c r="P232" s="8" t="str">
        <f aca="false">IF(N232="","",IF(J232="과세",IF(M232="VAT포함",N232-O232,ROUND(O232*설정!$C$5,0)),0))</f>
        <v/>
      </c>
      <c r="Q232" s="8" t="str">
        <f aca="false">IF(N232="","",O232+P232)</f>
        <v/>
      </c>
      <c r="R232" s="26"/>
      <c r="S232" s="8" t="str">
        <f aca="false">IF(OR(N232="",R232&lt;&gt;"Y"),"",ROUND(O232*설정!$C$5,0))</f>
        <v/>
      </c>
      <c r="T232" s="25"/>
    </row>
    <row r="233" customFormat="false" ht="15" hidden="false" customHeight="false" outlineLevel="0" collapsed="false">
      <c r="A233" s="21" t="str">
        <f aca="false">IF(C233="","",COUNTA($C$5:C233))</f>
        <v/>
      </c>
      <c r="B233" s="22"/>
      <c r="C233" s="23"/>
      <c r="D233" s="26"/>
      <c r="E233" s="25"/>
      <c r="F233" s="7" t="str">
        <f aca="false">IF(E233="","",IFERROR(INDEX(코드관리!$C$7:$C$66,MATCH(E233,코드관리!$B$7:$B$66,0)),"미등록 코드"))</f>
        <v/>
      </c>
      <c r="G233" s="25"/>
      <c r="H233" s="25"/>
      <c r="I233" s="25"/>
      <c r="J233" s="24"/>
      <c r="K233" s="26"/>
      <c r="L233" s="27"/>
      <c r="M233" s="26"/>
      <c r="N233" s="8" t="str">
        <f aca="false">IF(L233="","",IF(K233="USD",ROUND(L233*설정!$C$4,0),L233))</f>
        <v/>
      </c>
      <c r="O233" s="8" t="str">
        <f aca="false">IF(N233="","",IF(AND(J233="과세",M233="VAT포함"),ROUND(N233/(1+설정!$C$5),0),N233))</f>
        <v/>
      </c>
      <c r="P233" s="8" t="str">
        <f aca="false">IF(N233="","",IF(J233="과세",IF(M233="VAT포함",N233-O233,ROUND(O233*설정!$C$5,0)),0))</f>
        <v/>
      </c>
      <c r="Q233" s="8" t="str">
        <f aca="false">IF(N233="","",O233+P233)</f>
        <v/>
      </c>
      <c r="R233" s="26"/>
      <c r="S233" s="8" t="str">
        <f aca="false">IF(OR(N233="",R233&lt;&gt;"Y"),"",ROUND(O233*설정!$C$5,0))</f>
        <v/>
      </c>
      <c r="T233" s="25"/>
    </row>
    <row r="234" customFormat="false" ht="15" hidden="false" customHeight="false" outlineLevel="0" collapsed="false">
      <c r="A234" s="21" t="str">
        <f aca="false">IF(C234="","",COUNTA($C$5:C234))</f>
        <v/>
      </c>
      <c r="B234" s="22"/>
      <c r="C234" s="23"/>
      <c r="D234" s="26"/>
      <c r="E234" s="25"/>
      <c r="F234" s="7" t="str">
        <f aca="false">IF(E234="","",IFERROR(INDEX(코드관리!$C$7:$C$66,MATCH(E234,코드관리!$B$7:$B$66,0)),"미등록 코드"))</f>
        <v/>
      </c>
      <c r="G234" s="25"/>
      <c r="H234" s="25"/>
      <c r="I234" s="25"/>
      <c r="J234" s="24"/>
      <c r="K234" s="26"/>
      <c r="L234" s="27"/>
      <c r="M234" s="26"/>
      <c r="N234" s="8" t="str">
        <f aca="false">IF(L234="","",IF(K234="USD",ROUND(L234*설정!$C$4,0),L234))</f>
        <v/>
      </c>
      <c r="O234" s="8" t="str">
        <f aca="false">IF(N234="","",IF(AND(J234="과세",M234="VAT포함"),ROUND(N234/(1+설정!$C$5),0),N234))</f>
        <v/>
      </c>
      <c r="P234" s="8" t="str">
        <f aca="false">IF(N234="","",IF(J234="과세",IF(M234="VAT포함",N234-O234,ROUND(O234*설정!$C$5,0)),0))</f>
        <v/>
      </c>
      <c r="Q234" s="8" t="str">
        <f aca="false">IF(N234="","",O234+P234)</f>
        <v/>
      </c>
      <c r="R234" s="26"/>
      <c r="S234" s="8" t="str">
        <f aca="false">IF(OR(N234="",R234&lt;&gt;"Y"),"",ROUND(O234*설정!$C$5,0))</f>
        <v/>
      </c>
      <c r="T234" s="25"/>
    </row>
    <row r="235" customFormat="false" ht="15" hidden="false" customHeight="false" outlineLevel="0" collapsed="false">
      <c r="A235" s="21" t="str">
        <f aca="false">IF(C235="","",COUNTA($C$5:C235))</f>
        <v/>
      </c>
      <c r="B235" s="22"/>
      <c r="C235" s="23"/>
      <c r="D235" s="26"/>
      <c r="E235" s="25"/>
      <c r="F235" s="7" t="str">
        <f aca="false">IF(E235="","",IFERROR(INDEX(코드관리!$C$7:$C$66,MATCH(E235,코드관리!$B$7:$B$66,0)),"미등록 코드"))</f>
        <v/>
      </c>
      <c r="G235" s="25"/>
      <c r="H235" s="25"/>
      <c r="I235" s="25"/>
      <c r="J235" s="24"/>
      <c r="K235" s="26"/>
      <c r="L235" s="27"/>
      <c r="M235" s="26"/>
      <c r="N235" s="8" t="str">
        <f aca="false">IF(L235="","",IF(K235="USD",ROUND(L235*설정!$C$4,0),L235))</f>
        <v/>
      </c>
      <c r="O235" s="8" t="str">
        <f aca="false">IF(N235="","",IF(AND(J235="과세",M235="VAT포함"),ROUND(N235/(1+설정!$C$5),0),N235))</f>
        <v/>
      </c>
      <c r="P235" s="8" t="str">
        <f aca="false">IF(N235="","",IF(J235="과세",IF(M235="VAT포함",N235-O235,ROUND(O235*설정!$C$5,0)),0))</f>
        <v/>
      </c>
      <c r="Q235" s="8" t="str">
        <f aca="false">IF(N235="","",O235+P235)</f>
        <v/>
      </c>
      <c r="R235" s="26"/>
      <c r="S235" s="8" t="str">
        <f aca="false">IF(OR(N235="",R235&lt;&gt;"Y"),"",ROUND(O235*설정!$C$5,0))</f>
        <v/>
      </c>
      <c r="T235" s="25"/>
    </row>
    <row r="236" customFormat="false" ht="15" hidden="false" customHeight="false" outlineLevel="0" collapsed="false">
      <c r="A236" s="21" t="str">
        <f aca="false">IF(C236="","",COUNTA($C$5:C236))</f>
        <v/>
      </c>
      <c r="B236" s="22"/>
      <c r="C236" s="23"/>
      <c r="D236" s="26"/>
      <c r="E236" s="25"/>
      <c r="F236" s="7" t="str">
        <f aca="false">IF(E236="","",IFERROR(INDEX(코드관리!$C$7:$C$66,MATCH(E236,코드관리!$B$7:$B$66,0)),"미등록 코드"))</f>
        <v/>
      </c>
      <c r="G236" s="25"/>
      <c r="H236" s="25"/>
      <c r="I236" s="25"/>
      <c r="J236" s="24"/>
      <c r="K236" s="26"/>
      <c r="L236" s="27"/>
      <c r="M236" s="26"/>
      <c r="N236" s="8" t="str">
        <f aca="false">IF(L236="","",IF(K236="USD",ROUND(L236*설정!$C$4,0),L236))</f>
        <v/>
      </c>
      <c r="O236" s="8" t="str">
        <f aca="false">IF(N236="","",IF(AND(J236="과세",M236="VAT포함"),ROUND(N236/(1+설정!$C$5),0),N236))</f>
        <v/>
      </c>
      <c r="P236" s="8" t="str">
        <f aca="false">IF(N236="","",IF(J236="과세",IF(M236="VAT포함",N236-O236,ROUND(O236*설정!$C$5,0)),0))</f>
        <v/>
      </c>
      <c r="Q236" s="8" t="str">
        <f aca="false">IF(N236="","",O236+P236)</f>
        <v/>
      </c>
      <c r="R236" s="26"/>
      <c r="S236" s="8" t="str">
        <f aca="false">IF(OR(N236="",R236&lt;&gt;"Y"),"",ROUND(O236*설정!$C$5,0))</f>
        <v/>
      </c>
      <c r="T236" s="25"/>
    </row>
    <row r="237" customFormat="false" ht="15" hidden="false" customHeight="false" outlineLevel="0" collapsed="false">
      <c r="A237" s="21" t="str">
        <f aca="false">IF(C237="","",COUNTA($C$5:C237))</f>
        <v/>
      </c>
      <c r="B237" s="22"/>
      <c r="C237" s="23"/>
      <c r="D237" s="26"/>
      <c r="E237" s="25"/>
      <c r="F237" s="7" t="str">
        <f aca="false">IF(E237="","",IFERROR(INDEX(코드관리!$C$7:$C$66,MATCH(E237,코드관리!$B$7:$B$66,0)),"미등록 코드"))</f>
        <v/>
      </c>
      <c r="G237" s="25"/>
      <c r="H237" s="25"/>
      <c r="I237" s="25"/>
      <c r="J237" s="24"/>
      <c r="K237" s="26"/>
      <c r="L237" s="27"/>
      <c r="M237" s="26"/>
      <c r="N237" s="8" t="str">
        <f aca="false">IF(L237="","",IF(K237="USD",ROUND(L237*설정!$C$4,0),L237))</f>
        <v/>
      </c>
      <c r="O237" s="8" t="str">
        <f aca="false">IF(N237="","",IF(AND(J237="과세",M237="VAT포함"),ROUND(N237/(1+설정!$C$5),0),N237))</f>
        <v/>
      </c>
      <c r="P237" s="8" t="str">
        <f aca="false">IF(N237="","",IF(J237="과세",IF(M237="VAT포함",N237-O237,ROUND(O237*설정!$C$5,0)),0))</f>
        <v/>
      </c>
      <c r="Q237" s="8" t="str">
        <f aca="false">IF(N237="","",O237+P237)</f>
        <v/>
      </c>
      <c r="R237" s="26"/>
      <c r="S237" s="8" t="str">
        <f aca="false">IF(OR(N237="",R237&lt;&gt;"Y"),"",ROUND(O237*설정!$C$5,0))</f>
        <v/>
      </c>
      <c r="T237" s="25"/>
    </row>
    <row r="238" customFormat="false" ht="15" hidden="false" customHeight="false" outlineLevel="0" collapsed="false">
      <c r="A238" s="21" t="str">
        <f aca="false">IF(C238="","",COUNTA($C$5:C238))</f>
        <v/>
      </c>
      <c r="B238" s="22"/>
      <c r="C238" s="23"/>
      <c r="D238" s="26"/>
      <c r="E238" s="25"/>
      <c r="F238" s="7" t="str">
        <f aca="false">IF(E238="","",IFERROR(INDEX(코드관리!$C$7:$C$66,MATCH(E238,코드관리!$B$7:$B$66,0)),"미등록 코드"))</f>
        <v/>
      </c>
      <c r="G238" s="25"/>
      <c r="H238" s="25"/>
      <c r="I238" s="25"/>
      <c r="J238" s="24"/>
      <c r="K238" s="26"/>
      <c r="L238" s="27"/>
      <c r="M238" s="26"/>
      <c r="N238" s="8" t="str">
        <f aca="false">IF(L238="","",IF(K238="USD",ROUND(L238*설정!$C$4,0),L238))</f>
        <v/>
      </c>
      <c r="O238" s="8" t="str">
        <f aca="false">IF(N238="","",IF(AND(J238="과세",M238="VAT포함"),ROUND(N238/(1+설정!$C$5),0),N238))</f>
        <v/>
      </c>
      <c r="P238" s="8" t="str">
        <f aca="false">IF(N238="","",IF(J238="과세",IF(M238="VAT포함",N238-O238,ROUND(O238*설정!$C$5,0)),0))</f>
        <v/>
      </c>
      <c r="Q238" s="8" t="str">
        <f aca="false">IF(N238="","",O238+P238)</f>
        <v/>
      </c>
      <c r="R238" s="26"/>
      <c r="S238" s="8" t="str">
        <f aca="false">IF(OR(N238="",R238&lt;&gt;"Y"),"",ROUND(O238*설정!$C$5,0))</f>
        <v/>
      </c>
      <c r="T238" s="25"/>
    </row>
    <row r="239" customFormat="false" ht="15" hidden="false" customHeight="false" outlineLevel="0" collapsed="false">
      <c r="A239" s="21" t="str">
        <f aca="false">IF(C239="","",COUNTA($C$5:C239))</f>
        <v/>
      </c>
      <c r="B239" s="22"/>
      <c r="C239" s="23"/>
      <c r="D239" s="26"/>
      <c r="E239" s="25"/>
      <c r="F239" s="7" t="str">
        <f aca="false">IF(E239="","",IFERROR(INDEX(코드관리!$C$7:$C$66,MATCH(E239,코드관리!$B$7:$B$66,0)),"미등록 코드"))</f>
        <v/>
      </c>
      <c r="G239" s="25"/>
      <c r="H239" s="25"/>
      <c r="I239" s="25"/>
      <c r="J239" s="24"/>
      <c r="K239" s="26"/>
      <c r="L239" s="27"/>
      <c r="M239" s="26"/>
      <c r="N239" s="8" t="str">
        <f aca="false">IF(L239="","",IF(K239="USD",ROUND(L239*설정!$C$4,0),L239))</f>
        <v/>
      </c>
      <c r="O239" s="8" t="str">
        <f aca="false">IF(N239="","",IF(AND(J239="과세",M239="VAT포함"),ROUND(N239/(1+설정!$C$5),0),N239))</f>
        <v/>
      </c>
      <c r="P239" s="8" t="str">
        <f aca="false">IF(N239="","",IF(J239="과세",IF(M239="VAT포함",N239-O239,ROUND(O239*설정!$C$5,0)),0))</f>
        <v/>
      </c>
      <c r="Q239" s="8" t="str">
        <f aca="false">IF(N239="","",O239+P239)</f>
        <v/>
      </c>
      <c r="R239" s="26"/>
      <c r="S239" s="8" t="str">
        <f aca="false">IF(OR(N239="",R239&lt;&gt;"Y"),"",ROUND(O239*설정!$C$5,0))</f>
        <v/>
      </c>
      <c r="T239" s="25"/>
    </row>
    <row r="240" customFormat="false" ht="15" hidden="false" customHeight="false" outlineLevel="0" collapsed="false">
      <c r="A240" s="21" t="str">
        <f aca="false">IF(C240="","",COUNTA($C$5:C240))</f>
        <v/>
      </c>
      <c r="B240" s="22"/>
      <c r="C240" s="23"/>
      <c r="D240" s="26"/>
      <c r="E240" s="25"/>
      <c r="F240" s="7" t="str">
        <f aca="false">IF(E240="","",IFERROR(INDEX(코드관리!$C$7:$C$66,MATCH(E240,코드관리!$B$7:$B$66,0)),"미등록 코드"))</f>
        <v/>
      </c>
      <c r="G240" s="25"/>
      <c r="H240" s="25"/>
      <c r="I240" s="25"/>
      <c r="J240" s="24"/>
      <c r="K240" s="26"/>
      <c r="L240" s="27"/>
      <c r="M240" s="26"/>
      <c r="N240" s="8" t="str">
        <f aca="false">IF(L240="","",IF(K240="USD",ROUND(L240*설정!$C$4,0),L240))</f>
        <v/>
      </c>
      <c r="O240" s="8" t="str">
        <f aca="false">IF(N240="","",IF(AND(J240="과세",M240="VAT포함"),ROUND(N240/(1+설정!$C$5),0),N240))</f>
        <v/>
      </c>
      <c r="P240" s="8" t="str">
        <f aca="false">IF(N240="","",IF(J240="과세",IF(M240="VAT포함",N240-O240,ROUND(O240*설정!$C$5,0)),0))</f>
        <v/>
      </c>
      <c r="Q240" s="8" t="str">
        <f aca="false">IF(N240="","",O240+P240)</f>
        <v/>
      </c>
      <c r="R240" s="26"/>
      <c r="S240" s="8" t="str">
        <f aca="false">IF(OR(N240="",R240&lt;&gt;"Y"),"",ROUND(O240*설정!$C$5,0))</f>
        <v/>
      </c>
      <c r="T240" s="25"/>
    </row>
    <row r="241" customFormat="false" ht="15" hidden="false" customHeight="false" outlineLevel="0" collapsed="false">
      <c r="A241" s="21" t="str">
        <f aca="false">IF(C241="","",COUNTA($C$5:C241))</f>
        <v/>
      </c>
      <c r="B241" s="22"/>
      <c r="C241" s="23"/>
      <c r="D241" s="26"/>
      <c r="E241" s="25"/>
      <c r="F241" s="7" t="str">
        <f aca="false">IF(E241="","",IFERROR(INDEX(코드관리!$C$7:$C$66,MATCH(E241,코드관리!$B$7:$B$66,0)),"미등록 코드"))</f>
        <v/>
      </c>
      <c r="G241" s="25"/>
      <c r="H241" s="25"/>
      <c r="I241" s="25"/>
      <c r="J241" s="24"/>
      <c r="K241" s="26"/>
      <c r="L241" s="27"/>
      <c r="M241" s="26"/>
      <c r="N241" s="8" t="str">
        <f aca="false">IF(L241="","",IF(K241="USD",ROUND(L241*설정!$C$4,0),L241))</f>
        <v/>
      </c>
      <c r="O241" s="8" t="str">
        <f aca="false">IF(N241="","",IF(AND(J241="과세",M241="VAT포함"),ROUND(N241/(1+설정!$C$5),0),N241))</f>
        <v/>
      </c>
      <c r="P241" s="8" t="str">
        <f aca="false">IF(N241="","",IF(J241="과세",IF(M241="VAT포함",N241-O241,ROUND(O241*설정!$C$5,0)),0))</f>
        <v/>
      </c>
      <c r="Q241" s="8" t="str">
        <f aca="false">IF(N241="","",O241+P241)</f>
        <v/>
      </c>
      <c r="R241" s="26"/>
      <c r="S241" s="8" t="str">
        <f aca="false">IF(OR(N241="",R241&lt;&gt;"Y"),"",ROUND(O241*설정!$C$5,0))</f>
        <v/>
      </c>
      <c r="T241" s="25"/>
    </row>
    <row r="242" customFormat="false" ht="15" hidden="false" customHeight="false" outlineLevel="0" collapsed="false">
      <c r="A242" s="21" t="str">
        <f aca="false">IF(C242="","",COUNTA($C$5:C242))</f>
        <v/>
      </c>
      <c r="B242" s="22"/>
      <c r="C242" s="23"/>
      <c r="D242" s="26"/>
      <c r="E242" s="25"/>
      <c r="F242" s="7" t="str">
        <f aca="false">IF(E242="","",IFERROR(INDEX(코드관리!$C$7:$C$66,MATCH(E242,코드관리!$B$7:$B$66,0)),"미등록 코드"))</f>
        <v/>
      </c>
      <c r="G242" s="25"/>
      <c r="H242" s="25"/>
      <c r="I242" s="25"/>
      <c r="J242" s="24"/>
      <c r="K242" s="26"/>
      <c r="L242" s="27"/>
      <c r="M242" s="26"/>
      <c r="N242" s="8" t="str">
        <f aca="false">IF(L242="","",IF(K242="USD",ROUND(L242*설정!$C$4,0),L242))</f>
        <v/>
      </c>
      <c r="O242" s="8" t="str">
        <f aca="false">IF(N242="","",IF(AND(J242="과세",M242="VAT포함"),ROUND(N242/(1+설정!$C$5),0),N242))</f>
        <v/>
      </c>
      <c r="P242" s="8" t="str">
        <f aca="false">IF(N242="","",IF(J242="과세",IF(M242="VAT포함",N242-O242,ROUND(O242*설정!$C$5,0)),0))</f>
        <v/>
      </c>
      <c r="Q242" s="8" t="str">
        <f aca="false">IF(N242="","",O242+P242)</f>
        <v/>
      </c>
      <c r="R242" s="26"/>
      <c r="S242" s="8" t="str">
        <f aca="false">IF(OR(N242="",R242&lt;&gt;"Y"),"",ROUND(O242*설정!$C$5,0))</f>
        <v/>
      </c>
      <c r="T242" s="25"/>
    </row>
    <row r="243" customFormat="false" ht="15" hidden="false" customHeight="false" outlineLevel="0" collapsed="false">
      <c r="A243" s="21" t="str">
        <f aca="false">IF(C243="","",COUNTA($C$5:C243))</f>
        <v/>
      </c>
      <c r="B243" s="22"/>
      <c r="C243" s="23"/>
      <c r="D243" s="26"/>
      <c r="E243" s="25"/>
      <c r="F243" s="7" t="str">
        <f aca="false">IF(E243="","",IFERROR(INDEX(코드관리!$C$7:$C$66,MATCH(E243,코드관리!$B$7:$B$66,0)),"미등록 코드"))</f>
        <v/>
      </c>
      <c r="G243" s="25"/>
      <c r="H243" s="25"/>
      <c r="I243" s="25"/>
      <c r="J243" s="24"/>
      <c r="K243" s="26"/>
      <c r="L243" s="27"/>
      <c r="M243" s="26"/>
      <c r="N243" s="8" t="str">
        <f aca="false">IF(L243="","",IF(K243="USD",ROUND(L243*설정!$C$4,0),L243))</f>
        <v/>
      </c>
      <c r="O243" s="8" t="str">
        <f aca="false">IF(N243="","",IF(AND(J243="과세",M243="VAT포함"),ROUND(N243/(1+설정!$C$5),0),N243))</f>
        <v/>
      </c>
      <c r="P243" s="8" t="str">
        <f aca="false">IF(N243="","",IF(J243="과세",IF(M243="VAT포함",N243-O243,ROUND(O243*설정!$C$5,0)),0))</f>
        <v/>
      </c>
      <c r="Q243" s="8" t="str">
        <f aca="false">IF(N243="","",O243+P243)</f>
        <v/>
      </c>
      <c r="R243" s="26"/>
      <c r="S243" s="8" t="str">
        <f aca="false">IF(OR(N243="",R243&lt;&gt;"Y"),"",ROUND(O243*설정!$C$5,0))</f>
        <v/>
      </c>
      <c r="T243" s="25"/>
    </row>
    <row r="244" customFormat="false" ht="15" hidden="false" customHeight="false" outlineLevel="0" collapsed="false">
      <c r="A244" s="21" t="str">
        <f aca="false">IF(C244="","",COUNTA($C$5:C244))</f>
        <v/>
      </c>
      <c r="B244" s="22"/>
      <c r="C244" s="23"/>
      <c r="D244" s="26"/>
      <c r="E244" s="25"/>
      <c r="F244" s="7" t="str">
        <f aca="false">IF(E244="","",IFERROR(INDEX(코드관리!$C$7:$C$66,MATCH(E244,코드관리!$B$7:$B$66,0)),"미등록 코드"))</f>
        <v/>
      </c>
      <c r="G244" s="25"/>
      <c r="H244" s="25"/>
      <c r="I244" s="25"/>
      <c r="J244" s="24"/>
      <c r="K244" s="26"/>
      <c r="L244" s="27"/>
      <c r="M244" s="26"/>
      <c r="N244" s="8" t="str">
        <f aca="false">IF(L244="","",IF(K244="USD",ROUND(L244*설정!$C$4,0),L244))</f>
        <v/>
      </c>
      <c r="O244" s="8" t="str">
        <f aca="false">IF(N244="","",IF(AND(J244="과세",M244="VAT포함"),ROUND(N244/(1+설정!$C$5),0),N244))</f>
        <v/>
      </c>
      <c r="P244" s="8" t="str">
        <f aca="false">IF(N244="","",IF(J244="과세",IF(M244="VAT포함",N244-O244,ROUND(O244*설정!$C$5,0)),0))</f>
        <v/>
      </c>
      <c r="Q244" s="8" t="str">
        <f aca="false">IF(N244="","",O244+P244)</f>
        <v/>
      </c>
      <c r="R244" s="26"/>
      <c r="S244" s="8" t="str">
        <f aca="false">IF(OR(N244="",R244&lt;&gt;"Y"),"",ROUND(O244*설정!$C$5,0))</f>
        <v/>
      </c>
      <c r="T244" s="25"/>
    </row>
    <row r="245" customFormat="false" ht="15" hidden="false" customHeight="false" outlineLevel="0" collapsed="false">
      <c r="A245" s="21" t="str">
        <f aca="false">IF(C245="","",COUNTA($C$5:C245))</f>
        <v/>
      </c>
      <c r="B245" s="22"/>
      <c r="C245" s="23"/>
      <c r="D245" s="26"/>
      <c r="E245" s="25"/>
      <c r="F245" s="7" t="str">
        <f aca="false">IF(E245="","",IFERROR(INDEX(코드관리!$C$7:$C$66,MATCH(E245,코드관리!$B$7:$B$66,0)),"미등록 코드"))</f>
        <v/>
      </c>
      <c r="G245" s="25"/>
      <c r="H245" s="25"/>
      <c r="I245" s="25"/>
      <c r="J245" s="24"/>
      <c r="K245" s="26"/>
      <c r="L245" s="27"/>
      <c r="M245" s="26"/>
      <c r="N245" s="8" t="str">
        <f aca="false">IF(L245="","",IF(K245="USD",ROUND(L245*설정!$C$4,0),L245))</f>
        <v/>
      </c>
      <c r="O245" s="8" t="str">
        <f aca="false">IF(N245="","",IF(AND(J245="과세",M245="VAT포함"),ROUND(N245/(1+설정!$C$5),0),N245))</f>
        <v/>
      </c>
      <c r="P245" s="8" t="str">
        <f aca="false">IF(N245="","",IF(J245="과세",IF(M245="VAT포함",N245-O245,ROUND(O245*설정!$C$5,0)),0))</f>
        <v/>
      </c>
      <c r="Q245" s="8" t="str">
        <f aca="false">IF(N245="","",O245+P245)</f>
        <v/>
      </c>
      <c r="R245" s="26"/>
      <c r="S245" s="8" t="str">
        <f aca="false">IF(OR(N245="",R245&lt;&gt;"Y"),"",ROUND(O245*설정!$C$5,0))</f>
        <v/>
      </c>
      <c r="T245" s="25"/>
    </row>
    <row r="246" customFormat="false" ht="15" hidden="false" customHeight="false" outlineLevel="0" collapsed="false">
      <c r="A246" s="21" t="str">
        <f aca="false">IF(C246="","",COUNTA($C$5:C246))</f>
        <v/>
      </c>
      <c r="B246" s="22"/>
      <c r="C246" s="23"/>
      <c r="D246" s="26"/>
      <c r="E246" s="25"/>
      <c r="F246" s="7" t="str">
        <f aca="false">IF(E246="","",IFERROR(INDEX(코드관리!$C$7:$C$66,MATCH(E246,코드관리!$B$7:$B$66,0)),"미등록 코드"))</f>
        <v/>
      </c>
      <c r="G246" s="25"/>
      <c r="H246" s="25"/>
      <c r="I246" s="25"/>
      <c r="J246" s="24"/>
      <c r="K246" s="26"/>
      <c r="L246" s="27"/>
      <c r="M246" s="26"/>
      <c r="N246" s="8" t="str">
        <f aca="false">IF(L246="","",IF(K246="USD",ROUND(L246*설정!$C$4,0),L246))</f>
        <v/>
      </c>
      <c r="O246" s="8" t="str">
        <f aca="false">IF(N246="","",IF(AND(J246="과세",M246="VAT포함"),ROUND(N246/(1+설정!$C$5),0),N246))</f>
        <v/>
      </c>
      <c r="P246" s="8" t="str">
        <f aca="false">IF(N246="","",IF(J246="과세",IF(M246="VAT포함",N246-O246,ROUND(O246*설정!$C$5,0)),0))</f>
        <v/>
      </c>
      <c r="Q246" s="8" t="str">
        <f aca="false">IF(N246="","",O246+P246)</f>
        <v/>
      </c>
      <c r="R246" s="26"/>
      <c r="S246" s="8" t="str">
        <f aca="false">IF(OR(N246="",R246&lt;&gt;"Y"),"",ROUND(O246*설정!$C$5,0))</f>
        <v/>
      </c>
      <c r="T246" s="25"/>
    </row>
    <row r="247" customFormat="false" ht="15" hidden="false" customHeight="false" outlineLevel="0" collapsed="false">
      <c r="A247" s="21" t="str">
        <f aca="false">IF(C247="","",COUNTA($C$5:C247))</f>
        <v/>
      </c>
      <c r="B247" s="22"/>
      <c r="C247" s="23"/>
      <c r="D247" s="26"/>
      <c r="E247" s="25"/>
      <c r="F247" s="7" t="str">
        <f aca="false">IF(E247="","",IFERROR(INDEX(코드관리!$C$7:$C$66,MATCH(E247,코드관리!$B$7:$B$66,0)),"미등록 코드"))</f>
        <v/>
      </c>
      <c r="G247" s="25"/>
      <c r="H247" s="25"/>
      <c r="I247" s="25"/>
      <c r="J247" s="24"/>
      <c r="K247" s="26"/>
      <c r="L247" s="27"/>
      <c r="M247" s="26"/>
      <c r="N247" s="8" t="str">
        <f aca="false">IF(L247="","",IF(K247="USD",ROUND(L247*설정!$C$4,0),L247))</f>
        <v/>
      </c>
      <c r="O247" s="8" t="str">
        <f aca="false">IF(N247="","",IF(AND(J247="과세",M247="VAT포함"),ROUND(N247/(1+설정!$C$5),0),N247))</f>
        <v/>
      </c>
      <c r="P247" s="8" t="str">
        <f aca="false">IF(N247="","",IF(J247="과세",IF(M247="VAT포함",N247-O247,ROUND(O247*설정!$C$5,0)),0))</f>
        <v/>
      </c>
      <c r="Q247" s="8" t="str">
        <f aca="false">IF(N247="","",O247+P247)</f>
        <v/>
      </c>
      <c r="R247" s="26"/>
      <c r="S247" s="8" t="str">
        <f aca="false">IF(OR(N247="",R247&lt;&gt;"Y"),"",ROUND(O247*설정!$C$5,0))</f>
        <v/>
      </c>
      <c r="T247" s="25"/>
    </row>
    <row r="248" customFormat="false" ht="15" hidden="false" customHeight="false" outlineLevel="0" collapsed="false">
      <c r="A248" s="21" t="str">
        <f aca="false">IF(C248="","",COUNTA($C$5:C248))</f>
        <v/>
      </c>
      <c r="B248" s="22"/>
      <c r="C248" s="23"/>
      <c r="D248" s="26"/>
      <c r="E248" s="25"/>
      <c r="F248" s="7" t="str">
        <f aca="false">IF(E248="","",IFERROR(INDEX(코드관리!$C$7:$C$66,MATCH(E248,코드관리!$B$7:$B$66,0)),"미등록 코드"))</f>
        <v/>
      </c>
      <c r="G248" s="25"/>
      <c r="H248" s="25"/>
      <c r="I248" s="25"/>
      <c r="J248" s="24"/>
      <c r="K248" s="26"/>
      <c r="L248" s="27"/>
      <c r="M248" s="26"/>
      <c r="N248" s="8" t="str">
        <f aca="false">IF(L248="","",IF(K248="USD",ROUND(L248*설정!$C$4,0),L248))</f>
        <v/>
      </c>
      <c r="O248" s="8" t="str">
        <f aca="false">IF(N248="","",IF(AND(J248="과세",M248="VAT포함"),ROUND(N248/(1+설정!$C$5),0),N248))</f>
        <v/>
      </c>
      <c r="P248" s="8" t="str">
        <f aca="false">IF(N248="","",IF(J248="과세",IF(M248="VAT포함",N248-O248,ROUND(O248*설정!$C$5,0)),0))</f>
        <v/>
      </c>
      <c r="Q248" s="8" t="str">
        <f aca="false">IF(N248="","",O248+P248)</f>
        <v/>
      </c>
      <c r="R248" s="26"/>
      <c r="S248" s="8" t="str">
        <f aca="false">IF(OR(N248="",R248&lt;&gt;"Y"),"",ROUND(O248*설정!$C$5,0))</f>
        <v/>
      </c>
      <c r="T248" s="25"/>
    </row>
    <row r="249" customFormat="false" ht="15" hidden="false" customHeight="false" outlineLevel="0" collapsed="false">
      <c r="A249" s="21" t="str">
        <f aca="false">IF(C249="","",COUNTA($C$5:C249))</f>
        <v/>
      </c>
      <c r="B249" s="22"/>
      <c r="C249" s="23"/>
      <c r="D249" s="26"/>
      <c r="E249" s="25"/>
      <c r="F249" s="7" t="str">
        <f aca="false">IF(E249="","",IFERROR(INDEX(코드관리!$C$7:$C$66,MATCH(E249,코드관리!$B$7:$B$66,0)),"미등록 코드"))</f>
        <v/>
      </c>
      <c r="G249" s="25"/>
      <c r="H249" s="25"/>
      <c r="I249" s="25"/>
      <c r="J249" s="24"/>
      <c r="K249" s="26"/>
      <c r="L249" s="27"/>
      <c r="M249" s="26"/>
      <c r="N249" s="8" t="str">
        <f aca="false">IF(L249="","",IF(K249="USD",ROUND(L249*설정!$C$4,0),L249))</f>
        <v/>
      </c>
      <c r="O249" s="8" t="str">
        <f aca="false">IF(N249="","",IF(AND(J249="과세",M249="VAT포함"),ROUND(N249/(1+설정!$C$5),0),N249))</f>
        <v/>
      </c>
      <c r="P249" s="8" t="str">
        <f aca="false">IF(N249="","",IF(J249="과세",IF(M249="VAT포함",N249-O249,ROUND(O249*설정!$C$5,0)),0))</f>
        <v/>
      </c>
      <c r="Q249" s="8" t="str">
        <f aca="false">IF(N249="","",O249+P249)</f>
        <v/>
      </c>
      <c r="R249" s="26"/>
      <c r="S249" s="8" t="str">
        <f aca="false">IF(OR(N249="",R249&lt;&gt;"Y"),"",ROUND(O249*설정!$C$5,0))</f>
        <v/>
      </c>
      <c r="T249" s="25"/>
    </row>
    <row r="250" customFormat="false" ht="15" hidden="false" customHeight="false" outlineLevel="0" collapsed="false">
      <c r="A250" s="21" t="str">
        <f aca="false">IF(C250="","",COUNTA($C$5:C250))</f>
        <v/>
      </c>
      <c r="B250" s="22"/>
      <c r="C250" s="23"/>
      <c r="D250" s="26"/>
      <c r="E250" s="25"/>
      <c r="F250" s="7" t="str">
        <f aca="false">IF(E250="","",IFERROR(INDEX(코드관리!$C$7:$C$66,MATCH(E250,코드관리!$B$7:$B$66,0)),"미등록 코드"))</f>
        <v/>
      </c>
      <c r="G250" s="25"/>
      <c r="H250" s="25"/>
      <c r="I250" s="25"/>
      <c r="J250" s="24"/>
      <c r="K250" s="26"/>
      <c r="L250" s="27"/>
      <c r="M250" s="26"/>
      <c r="N250" s="8" t="str">
        <f aca="false">IF(L250="","",IF(K250="USD",ROUND(L250*설정!$C$4,0),L250))</f>
        <v/>
      </c>
      <c r="O250" s="8" t="str">
        <f aca="false">IF(N250="","",IF(AND(J250="과세",M250="VAT포함"),ROUND(N250/(1+설정!$C$5),0),N250))</f>
        <v/>
      </c>
      <c r="P250" s="8" t="str">
        <f aca="false">IF(N250="","",IF(J250="과세",IF(M250="VAT포함",N250-O250,ROUND(O250*설정!$C$5,0)),0))</f>
        <v/>
      </c>
      <c r="Q250" s="8" t="str">
        <f aca="false">IF(N250="","",O250+P250)</f>
        <v/>
      </c>
      <c r="R250" s="26"/>
      <c r="S250" s="8" t="str">
        <f aca="false">IF(OR(N250="",R250&lt;&gt;"Y"),"",ROUND(O250*설정!$C$5,0))</f>
        <v/>
      </c>
      <c r="T250" s="25"/>
    </row>
    <row r="251" customFormat="false" ht="15" hidden="false" customHeight="false" outlineLevel="0" collapsed="false">
      <c r="A251" s="21" t="str">
        <f aca="false">IF(C251="","",COUNTA($C$5:C251))</f>
        <v/>
      </c>
      <c r="B251" s="22"/>
      <c r="C251" s="23"/>
      <c r="D251" s="26"/>
      <c r="E251" s="25"/>
      <c r="F251" s="7" t="str">
        <f aca="false">IF(E251="","",IFERROR(INDEX(코드관리!$C$7:$C$66,MATCH(E251,코드관리!$B$7:$B$66,0)),"미등록 코드"))</f>
        <v/>
      </c>
      <c r="G251" s="25"/>
      <c r="H251" s="25"/>
      <c r="I251" s="25"/>
      <c r="J251" s="24"/>
      <c r="K251" s="26"/>
      <c r="L251" s="27"/>
      <c r="M251" s="26"/>
      <c r="N251" s="8" t="str">
        <f aca="false">IF(L251="","",IF(K251="USD",ROUND(L251*설정!$C$4,0),L251))</f>
        <v/>
      </c>
      <c r="O251" s="8" t="str">
        <f aca="false">IF(N251="","",IF(AND(J251="과세",M251="VAT포함"),ROUND(N251/(1+설정!$C$5),0),N251))</f>
        <v/>
      </c>
      <c r="P251" s="8" t="str">
        <f aca="false">IF(N251="","",IF(J251="과세",IF(M251="VAT포함",N251-O251,ROUND(O251*설정!$C$5,0)),0))</f>
        <v/>
      </c>
      <c r="Q251" s="8" t="str">
        <f aca="false">IF(N251="","",O251+P251)</f>
        <v/>
      </c>
      <c r="R251" s="26"/>
      <c r="S251" s="8" t="str">
        <f aca="false">IF(OR(N251="",R251&lt;&gt;"Y"),"",ROUND(O251*설정!$C$5,0))</f>
        <v/>
      </c>
      <c r="T251" s="25"/>
    </row>
    <row r="252" customFormat="false" ht="15" hidden="false" customHeight="false" outlineLevel="0" collapsed="false">
      <c r="A252" s="21" t="str">
        <f aca="false">IF(C252="","",COUNTA($C$5:C252))</f>
        <v/>
      </c>
      <c r="B252" s="22"/>
      <c r="C252" s="23"/>
      <c r="D252" s="26"/>
      <c r="E252" s="25"/>
      <c r="F252" s="7" t="str">
        <f aca="false">IF(E252="","",IFERROR(INDEX(코드관리!$C$7:$C$66,MATCH(E252,코드관리!$B$7:$B$66,0)),"미등록 코드"))</f>
        <v/>
      </c>
      <c r="G252" s="25"/>
      <c r="H252" s="25"/>
      <c r="I252" s="25"/>
      <c r="J252" s="24"/>
      <c r="K252" s="26"/>
      <c r="L252" s="27"/>
      <c r="M252" s="26"/>
      <c r="N252" s="8" t="str">
        <f aca="false">IF(L252="","",IF(K252="USD",ROUND(L252*설정!$C$4,0),L252))</f>
        <v/>
      </c>
      <c r="O252" s="8" t="str">
        <f aca="false">IF(N252="","",IF(AND(J252="과세",M252="VAT포함"),ROUND(N252/(1+설정!$C$5),0),N252))</f>
        <v/>
      </c>
      <c r="P252" s="8" t="str">
        <f aca="false">IF(N252="","",IF(J252="과세",IF(M252="VAT포함",N252-O252,ROUND(O252*설정!$C$5,0)),0))</f>
        <v/>
      </c>
      <c r="Q252" s="8" t="str">
        <f aca="false">IF(N252="","",O252+P252)</f>
        <v/>
      </c>
      <c r="R252" s="26"/>
      <c r="S252" s="8" t="str">
        <f aca="false">IF(OR(N252="",R252&lt;&gt;"Y"),"",ROUND(O252*설정!$C$5,0))</f>
        <v/>
      </c>
      <c r="T252" s="25"/>
    </row>
    <row r="253" customFormat="false" ht="15" hidden="false" customHeight="false" outlineLevel="0" collapsed="false">
      <c r="A253" s="21" t="str">
        <f aca="false">IF(C253="","",COUNTA($C$5:C253))</f>
        <v/>
      </c>
      <c r="B253" s="22"/>
      <c r="C253" s="23"/>
      <c r="D253" s="26"/>
      <c r="E253" s="25"/>
      <c r="F253" s="7" t="str">
        <f aca="false">IF(E253="","",IFERROR(INDEX(코드관리!$C$7:$C$66,MATCH(E253,코드관리!$B$7:$B$66,0)),"미등록 코드"))</f>
        <v/>
      </c>
      <c r="G253" s="25"/>
      <c r="H253" s="25"/>
      <c r="I253" s="25"/>
      <c r="J253" s="24"/>
      <c r="K253" s="26"/>
      <c r="L253" s="27"/>
      <c r="M253" s="26"/>
      <c r="N253" s="8" t="str">
        <f aca="false">IF(L253="","",IF(K253="USD",ROUND(L253*설정!$C$4,0),L253))</f>
        <v/>
      </c>
      <c r="O253" s="8" t="str">
        <f aca="false">IF(N253="","",IF(AND(J253="과세",M253="VAT포함"),ROUND(N253/(1+설정!$C$5),0),N253))</f>
        <v/>
      </c>
      <c r="P253" s="8" t="str">
        <f aca="false">IF(N253="","",IF(J253="과세",IF(M253="VAT포함",N253-O253,ROUND(O253*설정!$C$5,0)),0))</f>
        <v/>
      </c>
      <c r="Q253" s="8" t="str">
        <f aca="false">IF(N253="","",O253+P253)</f>
        <v/>
      </c>
      <c r="R253" s="26"/>
      <c r="S253" s="8" t="str">
        <f aca="false">IF(OR(N253="",R253&lt;&gt;"Y"),"",ROUND(O253*설정!$C$5,0))</f>
        <v/>
      </c>
      <c r="T253" s="25"/>
    </row>
    <row r="254" customFormat="false" ht="15" hidden="false" customHeight="false" outlineLevel="0" collapsed="false">
      <c r="A254" s="21" t="str">
        <f aca="false">IF(C254="","",COUNTA($C$5:C254))</f>
        <v/>
      </c>
      <c r="B254" s="22"/>
      <c r="C254" s="23"/>
      <c r="D254" s="26"/>
      <c r="E254" s="25"/>
      <c r="F254" s="7" t="str">
        <f aca="false">IF(E254="","",IFERROR(INDEX(코드관리!$C$7:$C$66,MATCH(E254,코드관리!$B$7:$B$66,0)),"미등록 코드"))</f>
        <v/>
      </c>
      <c r="G254" s="25"/>
      <c r="H254" s="25"/>
      <c r="I254" s="25"/>
      <c r="J254" s="24"/>
      <c r="K254" s="26"/>
      <c r="L254" s="27"/>
      <c r="M254" s="26"/>
      <c r="N254" s="8" t="str">
        <f aca="false">IF(L254="","",IF(K254="USD",ROUND(L254*설정!$C$4,0),L254))</f>
        <v/>
      </c>
      <c r="O254" s="8" t="str">
        <f aca="false">IF(N254="","",IF(AND(J254="과세",M254="VAT포함"),ROUND(N254/(1+설정!$C$5),0),N254))</f>
        <v/>
      </c>
      <c r="P254" s="8" t="str">
        <f aca="false">IF(N254="","",IF(J254="과세",IF(M254="VAT포함",N254-O254,ROUND(O254*설정!$C$5,0)),0))</f>
        <v/>
      </c>
      <c r="Q254" s="8" t="str">
        <f aca="false">IF(N254="","",O254+P254)</f>
        <v/>
      </c>
      <c r="R254" s="26"/>
      <c r="S254" s="8" t="str">
        <f aca="false">IF(OR(N254="",R254&lt;&gt;"Y"),"",ROUND(O254*설정!$C$5,0))</f>
        <v/>
      </c>
      <c r="T254" s="25"/>
    </row>
    <row r="255" customFormat="false" ht="15" hidden="false" customHeight="false" outlineLevel="0" collapsed="false">
      <c r="A255" s="21" t="str">
        <f aca="false">IF(C255="","",COUNTA($C$5:C255))</f>
        <v/>
      </c>
      <c r="B255" s="22"/>
      <c r="C255" s="23"/>
      <c r="D255" s="26"/>
      <c r="E255" s="25"/>
      <c r="F255" s="7" t="str">
        <f aca="false">IF(E255="","",IFERROR(INDEX(코드관리!$C$7:$C$66,MATCH(E255,코드관리!$B$7:$B$66,0)),"미등록 코드"))</f>
        <v/>
      </c>
      <c r="G255" s="25"/>
      <c r="H255" s="25"/>
      <c r="I255" s="25"/>
      <c r="J255" s="24"/>
      <c r="K255" s="26"/>
      <c r="L255" s="27"/>
      <c r="M255" s="26"/>
      <c r="N255" s="8" t="str">
        <f aca="false">IF(L255="","",IF(K255="USD",ROUND(L255*설정!$C$4,0),L255))</f>
        <v/>
      </c>
      <c r="O255" s="8" t="str">
        <f aca="false">IF(N255="","",IF(AND(J255="과세",M255="VAT포함"),ROUND(N255/(1+설정!$C$5),0),N255))</f>
        <v/>
      </c>
      <c r="P255" s="8" t="str">
        <f aca="false">IF(N255="","",IF(J255="과세",IF(M255="VAT포함",N255-O255,ROUND(O255*설정!$C$5,0)),0))</f>
        <v/>
      </c>
      <c r="Q255" s="8" t="str">
        <f aca="false">IF(N255="","",O255+P255)</f>
        <v/>
      </c>
      <c r="R255" s="26"/>
      <c r="S255" s="8" t="str">
        <f aca="false">IF(OR(N255="",R255&lt;&gt;"Y"),"",ROUND(O255*설정!$C$5,0))</f>
        <v/>
      </c>
      <c r="T255" s="25"/>
    </row>
    <row r="256" customFormat="false" ht="15" hidden="false" customHeight="false" outlineLevel="0" collapsed="false">
      <c r="A256" s="21" t="str">
        <f aca="false">IF(C256="","",COUNTA($C$5:C256))</f>
        <v/>
      </c>
      <c r="B256" s="22"/>
      <c r="C256" s="23"/>
      <c r="D256" s="26"/>
      <c r="E256" s="25"/>
      <c r="F256" s="7" t="str">
        <f aca="false">IF(E256="","",IFERROR(INDEX(코드관리!$C$7:$C$66,MATCH(E256,코드관리!$B$7:$B$66,0)),"미등록 코드"))</f>
        <v/>
      </c>
      <c r="G256" s="25"/>
      <c r="H256" s="25"/>
      <c r="I256" s="25"/>
      <c r="J256" s="24"/>
      <c r="K256" s="26"/>
      <c r="L256" s="27"/>
      <c r="M256" s="26"/>
      <c r="N256" s="8" t="str">
        <f aca="false">IF(L256="","",IF(K256="USD",ROUND(L256*설정!$C$4,0),L256))</f>
        <v/>
      </c>
      <c r="O256" s="8" t="str">
        <f aca="false">IF(N256="","",IF(AND(J256="과세",M256="VAT포함"),ROUND(N256/(1+설정!$C$5),0),N256))</f>
        <v/>
      </c>
      <c r="P256" s="8" t="str">
        <f aca="false">IF(N256="","",IF(J256="과세",IF(M256="VAT포함",N256-O256,ROUND(O256*설정!$C$5,0)),0))</f>
        <v/>
      </c>
      <c r="Q256" s="8" t="str">
        <f aca="false">IF(N256="","",O256+P256)</f>
        <v/>
      </c>
      <c r="R256" s="26"/>
      <c r="S256" s="8" t="str">
        <f aca="false">IF(OR(N256="",R256&lt;&gt;"Y"),"",ROUND(O256*설정!$C$5,0))</f>
        <v/>
      </c>
      <c r="T256" s="25"/>
    </row>
    <row r="257" customFormat="false" ht="15" hidden="false" customHeight="false" outlineLevel="0" collapsed="false">
      <c r="A257" s="21" t="str">
        <f aca="false">IF(C257="","",COUNTA($C$5:C257))</f>
        <v/>
      </c>
      <c r="B257" s="22"/>
      <c r="C257" s="23"/>
      <c r="D257" s="26"/>
      <c r="E257" s="25"/>
      <c r="F257" s="7" t="str">
        <f aca="false">IF(E257="","",IFERROR(INDEX(코드관리!$C$7:$C$66,MATCH(E257,코드관리!$B$7:$B$66,0)),"미등록 코드"))</f>
        <v/>
      </c>
      <c r="G257" s="25"/>
      <c r="H257" s="25"/>
      <c r="I257" s="25"/>
      <c r="J257" s="24"/>
      <c r="K257" s="26"/>
      <c r="L257" s="27"/>
      <c r="M257" s="26"/>
      <c r="N257" s="8" t="str">
        <f aca="false">IF(L257="","",IF(K257="USD",ROUND(L257*설정!$C$4,0),L257))</f>
        <v/>
      </c>
      <c r="O257" s="8" t="str">
        <f aca="false">IF(N257="","",IF(AND(J257="과세",M257="VAT포함"),ROUND(N257/(1+설정!$C$5),0),N257))</f>
        <v/>
      </c>
      <c r="P257" s="8" t="str">
        <f aca="false">IF(N257="","",IF(J257="과세",IF(M257="VAT포함",N257-O257,ROUND(O257*설정!$C$5,0)),0))</f>
        <v/>
      </c>
      <c r="Q257" s="8" t="str">
        <f aca="false">IF(N257="","",O257+P257)</f>
        <v/>
      </c>
      <c r="R257" s="26"/>
      <c r="S257" s="8" t="str">
        <f aca="false">IF(OR(N257="",R257&lt;&gt;"Y"),"",ROUND(O257*설정!$C$5,0))</f>
        <v/>
      </c>
      <c r="T257" s="25"/>
    </row>
    <row r="258" customFormat="false" ht="15" hidden="false" customHeight="false" outlineLevel="0" collapsed="false">
      <c r="A258" s="21" t="str">
        <f aca="false">IF(C258="","",COUNTA($C$5:C258))</f>
        <v/>
      </c>
      <c r="B258" s="22"/>
      <c r="C258" s="23"/>
      <c r="D258" s="26"/>
      <c r="E258" s="25"/>
      <c r="F258" s="7" t="str">
        <f aca="false">IF(E258="","",IFERROR(INDEX(코드관리!$C$7:$C$66,MATCH(E258,코드관리!$B$7:$B$66,0)),"미등록 코드"))</f>
        <v/>
      </c>
      <c r="G258" s="25"/>
      <c r="H258" s="25"/>
      <c r="I258" s="25"/>
      <c r="J258" s="24"/>
      <c r="K258" s="26"/>
      <c r="L258" s="27"/>
      <c r="M258" s="26"/>
      <c r="N258" s="8" t="str">
        <f aca="false">IF(L258="","",IF(K258="USD",ROUND(L258*설정!$C$4,0),L258))</f>
        <v/>
      </c>
      <c r="O258" s="8" t="str">
        <f aca="false">IF(N258="","",IF(AND(J258="과세",M258="VAT포함"),ROUND(N258/(1+설정!$C$5),0),N258))</f>
        <v/>
      </c>
      <c r="P258" s="8" t="str">
        <f aca="false">IF(N258="","",IF(J258="과세",IF(M258="VAT포함",N258-O258,ROUND(O258*설정!$C$5,0)),0))</f>
        <v/>
      </c>
      <c r="Q258" s="8" t="str">
        <f aca="false">IF(N258="","",O258+P258)</f>
        <v/>
      </c>
      <c r="R258" s="26"/>
      <c r="S258" s="8" t="str">
        <f aca="false">IF(OR(N258="",R258&lt;&gt;"Y"),"",ROUND(O258*설정!$C$5,0))</f>
        <v/>
      </c>
      <c r="T258" s="25"/>
    </row>
    <row r="259" customFormat="false" ht="15" hidden="false" customHeight="false" outlineLevel="0" collapsed="false">
      <c r="A259" s="21" t="str">
        <f aca="false">IF(C259="","",COUNTA($C$5:C259))</f>
        <v/>
      </c>
      <c r="B259" s="22"/>
      <c r="C259" s="23"/>
      <c r="D259" s="26"/>
      <c r="E259" s="25"/>
      <c r="F259" s="7" t="str">
        <f aca="false">IF(E259="","",IFERROR(INDEX(코드관리!$C$7:$C$66,MATCH(E259,코드관리!$B$7:$B$66,0)),"미등록 코드"))</f>
        <v/>
      </c>
      <c r="G259" s="25"/>
      <c r="H259" s="25"/>
      <c r="I259" s="25"/>
      <c r="J259" s="24"/>
      <c r="K259" s="26"/>
      <c r="L259" s="27"/>
      <c r="M259" s="26"/>
      <c r="N259" s="8" t="str">
        <f aca="false">IF(L259="","",IF(K259="USD",ROUND(L259*설정!$C$4,0),L259))</f>
        <v/>
      </c>
      <c r="O259" s="8" t="str">
        <f aca="false">IF(N259="","",IF(AND(J259="과세",M259="VAT포함"),ROUND(N259/(1+설정!$C$5),0),N259))</f>
        <v/>
      </c>
      <c r="P259" s="8" t="str">
        <f aca="false">IF(N259="","",IF(J259="과세",IF(M259="VAT포함",N259-O259,ROUND(O259*설정!$C$5,0)),0))</f>
        <v/>
      </c>
      <c r="Q259" s="8" t="str">
        <f aca="false">IF(N259="","",O259+P259)</f>
        <v/>
      </c>
      <c r="R259" s="26"/>
      <c r="S259" s="8" t="str">
        <f aca="false">IF(OR(N259="",R259&lt;&gt;"Y"),"",ROUND(O259*설정!$C$5,0))</f>
        <v/>
      </c>
      <c r="T259" s="25"/>
    </row>
    <row r="260" customFormat="false" ht="15" hidden="false" customHeight="false" outlineLevel="0" collapsed="false">
      <c r="A260" s="21" t="str">
        <f aca="false">IF(C260="","",COUNTA($C$5:C260))</f>
        <v/>
      </c>
      <c r="B260" s="22"/>
      <c r="C260" s="23"/>
      <c r="D260" s="26"/>
      <c r="E260" s="25"/>
      <c r="F260" s="7" t="str">
        <f aca="false">IF(E260="","",IFERROR(INDEX(코드관리!$C$7:$C$66,MATCH(E260,코드관리!$B$7:$B$66,0)),"미등록 코드"))</f>
        <v/>
      </c>
      <c r="G260" s="25"/>
      <c r="H260" s="25"/>
      <c r="I260" s="25"/>
      <c r="J260" s="24"/>
      <c r="K260" s="26"/>
      <c r="L260" s="27"/>
      <c r="M260" s="26"/>
      <c r="N260" s="8" t="str">
        <f aca="false">IF(L260="","",IF(K260="USD",ROUND(L260*설정!$C$4,0),L260))</f>
        <v/>
      </c>
      <c r="O260" s="8" t="str">
        <f aca="false">IF(N260="","",IF(AND(J260="과세",M260="VAT포함"),ROUND(N260/(1+설정!$C$5),0),N260))</f>
        <v/>
      </c>
      <c r="P260" s="8" t="str">
        <f aca="false">IF(N260="","",IF(J260="과세",IF(M260="VAT포함",N260-O260,ROUND(O260*설정!$C$5,0)),0))</f>
        <v/>
      </c>
      <c r="Q260" s="8" t="str">
        <f aca="false">IF(N260="","",O260+P260)</f>
        <v/>
      </c>
      <c r="R260" s="26"/>
      <c r="S260" s="8" t="str">
        <f aca="false">IF(OR(N260="",R260&lt;&gt;"Y"),"",ROUND(O260*설정!$C$5,0))</f>
        <v/>
      </c>
      <c r="T260" s="25"/>
    </row>
    <row r="261" customFormat="false" ht="15" hidden="false" customHeight="false" outlineLevel="0" collapsed="false">
      <c r="A261" s="21" t="str">
        <f aca="false">IF(C261="","",COUNTA($C$5:C261))</f>
        <v/>
      </c>
      <c r="B261" s="22"/>
      <c r="C261" s="23"/>
      <c r="D261" s="26"/>
      <c r="E261" s="25"/>
      <c r="F261" s="7" t="str">
        <f aca="false">IF(E261="","",IFERROR(INDEX(코드관리!$C$7:$C$66,MATCH(E261,코드관리!$B$7:$B$66,0)),"미등록 코드"))</f>
        <v/>
      </c>
      <c r="G261" s="25"/>
      <c r="H261" s="25"/>
      <c r="I261" s="25"/>
      <c r="J261" s="24"/>
      <c r="K261" s="26"/>
      <c r="L261" s="27"/>
      <c r="M261" s="26"/>
      <c r="N261" s="8" t="str">
        <f aca="false">IF(L261="","",IF(K261="USD",ROUND(L261*설정!$C$4,0),L261))</f>
        <v/>
      </c>
      <c r="O261" s="8" t="str">
        <f aca="false">IF(N261="","",IF(AND(J261="과세",M261="VAT포함"),ROUND(N261/(1+설정!$C$5),0),N261))</f>
        <v/>
      </c>
      <c r="P261" s="8" t="str">
        <f aca="false">IF(N261="","",IF(J261="과세",IF(M261="VAT포함",N261-O261,ROUND(O261*설정!$C$5,0)),0))</f>
        <v/>
      </c>
      <c r="Q261" s="8" t="str">
        <f aca="false">IF(N261="","",O261+P261)</f>
        <v/>
      </c>
      <c r="R261" s="26"/>
      <c r="S261" s="8" t="str">
        <f aca="false">IF(OR(N261="",R261&lt;&gt;"Y"),"",ROUND(O261*설정!$C$5,0))</f>
        <v/>
      </c>
      <c r="T261" s="25"/>
    </row>
    <row r="262" customFormat="false" ht="15" hidden="false" customHeight="false" outlineLevel="0" collapsed="false">
      <c r="A262" s="21" t="str">
        <f aca="false">IF(C262="","",COUNTA($C$5:C262))</f>
        <v/>
      </c>
      <c r="B262" s="22"/>
      <c r="C262" s="23"/>
      <c r="D262" s="26"/>
      <c r="E262" s="25"/>
      <c r="F262" s="7" t="str">
        <f aca="false">IF(E262="","",IFERROR(INDEX(코드관리!$C$7:$C$66,MATCH(E262,코드관리!$B$7:$B$66,0)),"미등록 코드"))</f>
        <v/>
      </c>
      <c r="G262" s="25"/>
      <c r="H262" s="25"/>
      <c r="I262" s="25"/>
      <c r="J262" s="24"/>
      <c r="K262" s="26"/>
      <c r="L262" s="27"/>
      <c r="M262" s="26"/>
      <c r="N262" s="8" t="str">
        <f aca="false">IF(L262="","",IF(K262="USD",ROUND(L262*설정!$C$4,0),L262))</f>
        <v/>
      </c>
      <c r="O262" s="8" t="str">
        <f aca="false">IF(N262="","",IF(AND(J262="과세",M262="VAT포함"),ROUND(N262/(1+설정!$C$5),0),N262))</f>
        <v/>
      </c>
      <c r="P262" s="8" t="str">
        <f aca="false">IF(N262="","",IF(J262="과세",IF(M262="VAT포함",N262-O262,ROUND(O262*설정!$C$5,0)),0))</f>
        <v/>
      </c>
      <c r="Q262" s="8" t="str">
        <f aca="false">IF(N262="","",O262+P262)</f>
        <v/>
      </c>
      <c r="R262" s="26"/>
      <c r="S262" s="8" t="str">
        <f aca="false">IF(OR(N262="",R262&lt;&gt;"Y"),"",ROUND(O262*설정!$C$5,0))</f>
        <v/>
      </c>
      <c r="T262" s="25"/>
    </row>
    <row r="263" customFormat="false" ht="15" hidden="false" customHeight="false" outlineLevel="0" collapsed="false">
      <c r="A263" s="21" t="str">
        <f aca="false">IF(C263="","",COUNTA($C$5:C263))</f>
        <v/>
      </c>
      <c r="B263" s="22"/>
      <c r="C263" s="23"/>
      <c r="D263" s="26"/>
      <c r="E263" s="25"/>
      <c r="F263" s="7" t="str">
        <f aca="false">IF(E263="","",IFERROR(INDEX(코드관리!$C$7:$C$66,MATCH(E263,코드관리!$B$7:$B$66,0)),"미등록 코드"))</f>
        <v/>
      </c>
      <c r="G263" s="25"/>
      <c r="H263" s="25"/>
      <c r="I263" s="25"/>
      <c r="J263" s="24"/>
      <c r="K263" s="26"/>
      <c r="L263" s="27"/>
      <c r="M263" s="26"/>
      <c r="N263" s="8" t="str">
        <f aca="false">IF(L263="","",IF(K263="USD",ROUND(L263*설정!$C$4,0),L263))</f>
        <v/>
      </c>
      <c r="O263" s="8" t="str">
        <f aca="false">IF(N263="","",IF(AND(J263="과세",M263="VAT포함"),ROUND(N263/(1+설정!$C$5),0),N263))</f>
        <v/>
      </c>
      <c r="P263" s="8" t="str">
        <f aca="false">IF(N263="","",IF(J263="과세",IF(M263="VAT포함",N263-O263,ROUND(O263*설정!$C$5,0)),0))</f>
        <v/>
      </c>
      <c r="Q263" s="8" t="str">
        <f aca="false">IF(N263="","",O263+P263)</f>
        <v/>
      </c>
      <c r="R263" s="26"/>
      <c r="S263" s="8" t="str">
        <f aca="false">IF(OR(N263="",R263&lt;&gt;"Y"),"",ROUND(O263*설정!$C$5,0))</f>
        <v/>
      </c>
      <c r="T263" s="25"/>
    </row>
    <row r="264" customFormat="false" ht="15" hidden="false" customHeight="false" outlineLevel="0" collapsed="false">
      <c r="A264" s="21" t="str">
        <f aca="false">IF(C264="","",COUNTA($C$5:C264))</f>
        <v/>
      </c>
      <c r="B264" s="22"/>
      <c r="C264" s="23"/>
      <c r="D264" s="26"/>
      <c r="E264" s="25"/>
      <c r="F264" s="7" t="str">
        <f aca="false">IF(E264="","",IFERROR(INDEX(코드관리!$C$7:$C$66,MATCH(E264,코드관리!$B$7:$B$66,0)),"미등록 코드"))</f>
        <v/>
      </c>
      <c r="G264" s="25"/>
      <c r="H264" s="25"/>
      <c r="I264" s="25"/>
      <c r="J264" s="24"/>
      <c r="K264" s="26"/>
      <c r="L264" s="27"/>
      <c r="M264" s="26"/>
      <c r="N264" s="8" t="str">
        <f aca="false">IF(L264="","",IF(K264="USD",ROUND(L264*설정!$C$4,0),L264))</f>
        <v/>
      </c>
      <c r="O264" s="8" t="str">
        <f aca="false">IF(N264="","",IF(AND(J264="과세",M264="VAT포함"),ROUND(N264/(1+설정!$C$5),0),N264))</f>
        <v/>
      </c>
      <c r="P264" s="8" t="str">
        <f aca="false">IF(N264="","",IF(J264="과세",IF(M264="VAT포함",N264-O264,ROUND(O264*설정!$C$5,0)),0))</f>
        <v/>
      </c>
      <c r="Q264" s="8" t="str">
        <f aca="false">IF(N264="","",O264+P264)</f>
        <v/>
      </c>
      <c r="R264" s="26"/>
      <c r="S264" s="8" t="str">
        <f aca="false">IF(OR(N264="",R264&lt;&gt;"Y"),"",ROUND(O264*설정!$C$5,0))</f>
        <v/>
      </c>
      <c r="T264" s="25"/>
    </row>
    <row r="265" customFormat="false" ht="15" hidden="false" customHeight="false" outlineLevel="0" collapsed="false">
      <c r="A265" s="21" t="str">
        <f aca="false">IF(C265="","",COUNTA($C$5:C265))</f>
        <v/>
      </c>
      <c r="B265" s="22"/>
      <c r="C265" s="23"/>
      <c r="D265" s="26"/>
      <c r="E265" s="25"/>
      <c r="F265" s="7" t="str">
        <f aca="false">IF(E265="","",IFERROR(INDEX(코드관리!$C$7:$C$66,MATCH(E265,코드관리!$B$7:$B$66,0)),"미등록 코드"))</f>
        <v/>
      </c>
      <c r="G265" s="25"/>
      <c r="H265" s="25"/>
      <c r="I265" s="25"/>
      <c r="J265" s="24"/>
      <c r="K265" s="26"/>
      <c r="L265" s="27"/>
      <c r="M265" s="26"/>
      <c r="N265" s="8" t="str">
        <f aca="false">IF(L265="","",IF(K265="USD",ROUND(L265*설정!$C$4,0),L265))</f>
        <v/>
      </c>
      <c r="O265" s="8" t="str">
        <f aca="false">IF(N265="","",IF(AND(J265="과세",M265="VAT포함"),ROUND(N265/(1+설정!$C$5),0),N265))</f>
        <v/>
      </c>
      <c r="P265" s="8" t="str">
        <f aca="false">IF(N265="","",IF(J265="과세",IF(M265="VAT포함",N265-O265,ROUND(O265*설정!$C$5,0)),0))</f>
        <v/>
      </c>
      <c r="Q265" s="8" t="str">
        <f aca="false">IF(N265="","",O265+P265)</f>
        <v/>
      </c>
      <c r="R265" s="26"/>
      <c r="S265" s="8" t="str">
        <f aca="false">IF(OR(N265="",R265&lt;&gt;"Y"),"",ROUND(O265*설정!$C$5,0))</f>
        <v/>
      </c>
      <c r="T265" s="25"/>
    </row>
    <row r="266" customFormat="false" ht="15" hidden="false" customHeight="false" outlineLevel="0" collapsed="false">
      <c r="A266" s="21" t="str">
        <f aca="false">IF(C266="","",COUNTA($C$5:C266))</f>
        <v/>
      </c>
      <c r="B266" s="22"/>
      <c r="C266" s="23"/>
      <c r="D266" s="26"/>
      <c r="E266" s="25"/>
      <c r="F266" s="7" t="str">
        <f aca="false">IF(E266="","",IFERROR(INDEX(코드관리!$C$7:$C$66,MATCH(E266,코드관리!$B$7:$B$66,0)),"미등록 코드"))</f>
        <v/>
      </c>
      <c r="G266" s="25"/>
      <c r="H266" s="25"/>
      <c r="I266" s="25"/>
      <c r="J266" s="24"/>
      <c r="K266" s="26"/>
      <c r="L266" s="27"/>
      <c r="M266" s="26"/>
      <c r="N266" s="8" t="str">
        <f aca="false">IF(L266="","",IF(K266="USD",ROUND(L266*설정!$C$4,0),L266))</f>
        <v/>
      </c>
      <c r="O266" s="8" t="str">
        <f aca="false">IF(N266="","",IF(AND(J266="과세",M266="VAT포함"),ROUND(N266/(1+설정!$C$5),0),N266))</f>
        <v/>
      </c>
      <c r="P266" s="8" t="str">
        <f aca="false">IF(N266="","",IF(J266="과세",IF(M266="VAT포함",N266-O266,ROUND(O266*설정!$C$5,0)),0))</f>
        <v/>
      </c>
      <c r="Q266" s="8" t="str">
        <f aca="false">IF(N266="","",O266+P266)</f>
        <v/>
      </c>
      <c r="R266" s="26"/>
      <c r="S266" s="8" t="str">
        <f aca="false">IF(OR(N266="",R266&lt;&gt;"Y"),"",ROUND(O266*설정!$C$5,0))</f>
        <v/>
      </c>
      <c r="T266" s="25"/>
    </row>
    <row r="267" customFormat="false" ht="15" hidden="false" customHeight="false" outlineLevel="0" collapsed="false">
      <c r="A267" s="21" t="str">
        <f aca="false">IF(C267="","",COUNTA($C$5:C267))</f>
        <v/>
      </c>
      <c r="B267" s="22"/>
      <c r="C267" s="23"/>
      <c r="D267" s="26"/>
      <c r="E267" s="25"/>
      <c r="F267" s="7" t="str">
        <f aca="false">IF(E267="","",IFERROR(INDEX(코드관리!$C$7:$C$66,MATCH(E267,코드관리!$B$7:$B$66,0)),"미등록 코드"))</f>
        <v/>
      </c>
      <c r="G267" s="25"/>
      <c r="H267" s="25"/>
      <c r="I267" s="25"/>
      <c r="J267" s="24"/>
      <c r="K267" s="26"/>
      <c r="L267" s="27"/>
      <c r="M267" s="26"/>
      <c r="N267" s="8" t="str">
        <f aca="false">IF(L267="","",IF(K267="USD",ROUND(L267*설정!$C$4,0),L267))</f>
        <v/>
      </c>
      <c r="O267" s="8" t="str">
        <f aca="false">IF(N267="","",IF(AND(J267="과세",M267="VAT포함"),ROUND(N267/(1+설정!$C$5),0),N267))</f>
        <v/>
      </c>
      <c r="P267" s="8" t="str">
        <f aca="false">IF(N267="","",IF(J267="과세",IF(M267="VAT포함",N267-O267,ROUND(O267*설정!$C$5,0)),0))</f>
        <v/>
      </c>
      <c r="Q267" s="8" t="str">
        <f aca="false">IF(N267="","",O267+P267)</f>
        <v/>
      </c>
      <c r="R267" s="26"/>
      <c r="S267" s="8" t="str">
        <f aca="false">IF(OR(N267="",R267&lt;&gt;"Y"),"",ROUND(O267*설정!$C$5,0))</f>
        <v/>
      </c>
      <c r="T267" s="25"/>
    </row>
    <row r="268" customFormat="false" ht="15" hidden="false" customHeight="false" outlineLevel="0" collapsed="false">
      <c r="A268" s="21" t="str">
        <f aca="false">IF(C268="","",COUNTA($C$5:C268))</f>
        <v/>
      </c>
      <c r="B268" s="22"/>
      <c r="C268" s="23"/>
      <c r="D268" s="26"/>
      <c r="E268" s="25"/>
      <c r="F268" s="7" t="str">
        <f aca="false">IF(E268="","",IFERROR(INDEX(코드관리!$C$7:$C$66,MATCH(E268,코드관리!$B$7:$B$66,0)),"미등록 코드"))</f>
        <v/>
      </c>
      <c r="G268" s="25"/>
      <c r="H268" s="25"/>
      <c r="I268" s="25"/>
      <c r="J268" s="24"/>
      <c r="K268" s="26"/>
      <c r="L268" s="27"/>
      <c r="M268" s="26"/>
      <c r="N268" s="8" t="str">
        <f aca="false">IF(L268="","",IF(K268="USD",ROUND(L268*설정!$C$4,0),L268))</f>
        <v/>
      </c>
      <c r="O268" s="8" t="str">
        <f aca="false">IF(N268="","",IF(AND(J268="과세",M268="VAT포함"),ROUND(N268/(1+설정!$C$5),0),N268))</f>
        <v/>
      </c>
      <c r="P268" s="8" t="str">
        <f aca="false">IF(N268="","",IF(J268="과세",IF(M268="VAT포함",N268-O268,ROUND(O268*설정!$C$5,0)),0))</f>
        <v/>
      </c>
      <c r="Q268" s="8" t="str">
        <f aca="false">IF(N268="","",O268+P268)</f>
        <v/>
      </c>
      <c r="R268" s="26"/>
      <c r="S268" s="8" t="str">
        <f aca="false">IF(OR(N268="",R268&lt;&gt;"Y"),"",ROUND(O268*설정!$C$5,0))</f>
        <v/>
      </c>
      <c r="T268" s="25"/>
    </row>
    <row r="269" customFormat="false" ht="15" hidden="false" customHeight="false" outlineLevel="0" collapsed="false">
      <c r="A269" s="21" t="str">
        <f aca="false">IF(C269="","",COUNTA($C$5:C269))</f>
        <v/>
      </c>
      <c r="B269" s="22"/>
      <c r="C269" s="23"/>
      <c r="D269" s="26"/>
      <c r="E269" s="25"/>
      <c r="F269" s="7" t="str">
        <f aca="false">IF(E269="","",IFERROR(INDEX(코드관리!$C$7:$C$66,MATCH(E269,코드관리!$B$7:$B$66,0)),"미등록 코드"))</f>
        <v/>
      </c>
      <c r="G269" s="25"/>
      <c r="H269" s="25"/>
      <c r="I269" s="25"/>
      <c r="J269" s="24"/>
      <c r="K269" s="26"/>
      <c r="L269" s="27"/>
      <c r="M269" s="26"/>
      <c r="N269" s="8" t="str">
        <f aca="false">IF(L269="","",IF(K269="USD",ROUND(L269*설정!$C$4,0),L269))</f>
        <v/>
      </c>
      <c r="O269" s="8" t="str">
        <f aca="false">IF(N269="","",IF(AND(J269="과세",M269="VAT포함"),ROUND(N269/(1+설정!$C$5),0),N269))</f>
        <v/>
      </c>
      <c r="P269" s="8" t="str">
        <f aca="false">IF(N269="","",IF(J269="과세",IF(M269="VAT포함",N269-O269,ROUND(O269*설정!$C$5,0)),0))</f>
        <v/>
      </c>
      <c r="Q269" s="8" t="str">
        <f aca="false">IF(N269="","",O269+P269)</f>
        <v/>
      </c>
      <c r="R269" s="26"/>
      <c r="S269" s="8" t="str">
        <f aca="false">IF(OR(N269="",R269&lt;&gt;"Y"),"",ROUND(O269*설정!$C$5,0))</f>
        <v/>
      </c>
      <c r="T269" s="25"/>
    </row>
    <row r="270" customFormat="false" ht="15" hidden="false" customHeight="false" outlineLevel="0" collapsed="false">
      <c r="A270" s="21" t="str">
        <f aca="false">IF(C270="","",COUNTA($C$5:C270))</f>
        <v/>
      </c>
      <c r="B270" s="22"/>
      <c r="C270" s="23"/>
      <c r="D270" s="26"/>
      <c r="E270" s="25"/>
      <c r="F270" s="7" t="str">
        <f aca="false">IF(E270="","",IFERROR(INDEX(코드관리!$C$7:$C$66,MATCH(E270,코드관리!$B$7:$B$66,0)),"미등록 코드"))</f>
        <v/>
      </c>
      <c r="G270" s="25"/>
      <c r="H270" s="25"/>
      <c r="I270" s="25"/>
      <c r="J270" s="24"/>
      <c r="K270" s="26"/>
      <c r="L270" s="27"/>
      <c r="M270" s="26"/>
      <c r="N270" s="8" t="str">
        <f aca="false">IF(L270="","",IF(K270="USD",ROUND(L270*설정!$C$4,0),L270))</f>
        <v/>
      </c>
      <c r="O270" s="8" t="str">
        <f aca="false">IF(N270="","",IF(AND(J270="과세",M270="VAT포함"),ROUND(N270/(1+설정!$C$5),0),N270))</f>
        <v/>
      </c>
      <c r="P270" s="8" t="str">
        <f aca="false">IF(N270="","",IF(J270="과세",IF(M270="VAT포함",N270-O270,ROUND(O270*설정!$C$5,0)),0))</f>
        <v/>
      </c>
      <c r="Q270" s="8" t="str">
        <f aca="false">IF(N270="","",O270+P270)</f>
        <v/>
      </c>
      <c r="R270" s="26"/>
      <c r="S270" s="8" t="str">
        <f aca="false">IF(OR(N270="",R270&lt;&gt;"Y"),"",ROUND(O270*설정!$C$5,0))</f>
        <v/>
      </c>
      <c r="T270" s="25"/>
    </row>
    <row r="271" customFormat="false" ht="15" hidden="false" customHeight="false" outlineLevel="0" collapsed="false">
      <c r="A271" s="21" t="str">
        <f aca="false">IF(C271="","",COUNTA($C$5:C271))</f>
        <v/>
      </c>
      <c r="B271" s="22"/>
      <c r="C271" s="23"/>
      <c r="D271" s="26"/>
      <c r="E271" s="25"/>
      <c r="F271" s="7" t="str">
        <f aca="false">IF(E271="","",IFERROR(INDEX(코드관리!$C$7:$C$66,MATCH(E271,코드관리!$B$7:$B$66,0)),"미등록 코드"))</f>
        <v/>
      </c>
      <c r="G271" s="25"/>
      <c r="H271" s="25"/>
      <c r="I271" s="25"/>
      <c r="J271" s="24"/>
      <c r="K271" s="26"/>
      <c r="L271" s="27"/>
      <c r="M271" s="26"/>
      <c r="N271" s="8" t="str">
        <f aca="false">IF(L271="","",IF(K271="USD",ROUND(L271*설정!$C$4,0),L271))</f>
        <v/>
      </c>
      <c r="O271" s="8" t="str">
        <f aca="false">IF(N271="","",IF(AND(J271="과세",M271="VAT포함"),ROUND(N271/(1+설정!$C$5),0),N271))</f>
        <v/>
      </c>
      <c r="P271" s="8" t="str">
        <f aca="false">IF(N271="","",IF(J271="과세",IF(M271="VAT포함",N271-O271,ROUND(O271*설정!$C$5,0)),0))</f>
        <v/>
      </c>
      <c r="Q271" s="8" t="str">
        <f aca="false">IF(N271="","",O271+P271)</f>
        <v/>
      </c>
      <c r="R271" s="26"/>
      <c r="S271" s="8" t="str">
        <f aca="false">IF(OR(N271="",R271&lt;&gt;"Y"),"",ROUND(O271*설정!$C$5,0))</f>
        <v/>
      </c>
      <c r="T271" s="25"/>
    </row>
    <row r="272" customFormat="false" ht="15" hidden="false" customHeight="false" outlineLevel="0" collapsed="false">
      <c r="A272" s="21" t="str">
        <f aca="false">IF(C272="","",COUNTA($C$5:C272))</f>
        <v/>
      </c>
      <c r="B272" s="22"/>
      <c r="C272" s="23"/>
      <c r="D272" s="26"/>
      <c r="E272" s="25"/>
      <c r="F272" s="7" t="str">
        <f aca="false">IF(E272="","",IFERROR(INDEX(코드관리!$C$7:$C$66,MATCH(E272,코드관리!$B$7:$B$66,0)),"미등록 코드"))</f>
        <v/>
      </c>
      <c r="G272" s="25"/>
      <c r="H272" s="25"/>
      <c r="I272" s="25"/>
      <c r="J272" s="24"/>
      <c r="K272" s="26"/>
      <c r="L272" s="27"/>
      <c r="M272" s="26"/>
      <c r="N272" s="8" t="str">
        <f aca="false">IF(L272="","",IF(K272="USD",ROUND(L272*설정!$C$4,0),L272))</f>
        <v/>
      </c>
      <c r="O272" s="8" t="str">
        <f aca="false">IF(N272="","",IF(AND(J272="과세",M272="VAT포함"),ROUND(N272/(1+설정!$C$5),0),N272))</f>
        <v/>
      </c>
      <c r="P272" s="8" t="str">
        <f aca="false">IF(N272="","",IF(J272="과세",IF(M272="VAT포함",N272-O272,ROUND(O272*설정!$C$5,0)),0))</f>
        <v/>
      </c>
      <c r="Q272" s="8" t="str">
        <f aca="false">IF(N272="","",O272+P272)</f>
        <v/>
      </c>
      <c r="R272" s="26"/>
      <c r="S272" s="8" t="str">
        <f aca="false">IF(OR(N272="",R272&lt;&gt;"Y"),"",ROUND(O272*설정!$C$5,0))</f>
        <v/>
      </c>
      <c r="T272" s="25"/>
    </row>
    <row r="273" customFormat="false" ht="15" hidden="false" customHeight="false" outlineLevel="0" collapsed="false">
      <c r="A273" s="21" t="str">
        <f aca="false">IF(C273="","",COUNTA($C$5:C273))</f>
        <v/>
      </c>
      <c r="B273" s="22"/>
      <c r="C273" s="23"/>
      <c r="D273" s="26"/>
      <c r="E273" s="25"/>
      <c r="F273" s="7" t="str">
        <f aca="false">IF(E273="","",IFERROR(INDEX(코드관리!$C$7:$C$66,MATCH(E273,코드관리!$B$7:$B$66,0)),"미등록 코드"))</f>
        <v/>
      </c>
      <c r="G273" s="25"/>
      <c r="H273" s="25"/>
      <c r="I273" s="25"/>
      <c r="J273" s="24"/>
      <c r="K273" s="26"/>
      <c r="L273" s="27"/>
      <c r="M273" s="26"/>
      <c r="N273" s="8" t="str">
        <f aca="false">IF(L273="","",IF(K273="USD",ROUND(L273*설정!$C$4,0),L273))</f>
        <v/>
      </c>
      <c r="O273" s="8" t="str">
        <f aca="false">IF(N273="","",IF(AND(J273="과세",M273="VAT포함"),ROUND(N273/(1+설정!$C$5),0),N273))</f>
        <v/>
      </c>
      <c r="P273" s="8" t="str">
        <f aca="false">IF(N273="","",IF(J273="과세",IF(M273="VAT포함",N273-O273,ROUND(O273*설정!$C$5,0)),0))</f>
        <v/>
      </c>
      <c r="Q273" s="8" t="str">
        <f aca="false">IF(N273="","",O273+P273)</f>
        <v/>
      </c>
      <c r="R273" s="26"/>
      <c r="S273" s="8" t="str">
        <f aca="false">IF(OR(N273="",R273&lt;&gt;"Y"),"",ROUND(O273*설정!$C$5,0))</f>
        <v/>
      </c>
      <c r="T273" s="25"/>
    </row>
    <row r="274" customFormat="false" ht="15" hidden="false" customHeight="false" outlineLevel="0" collapsed="false">
      <c r="A274" s="21" t="str">
        <f aca="false">IF(C274="","",COUNTA($C$5:C274))</f>
        <v/>
      </c>
      <c r="B274" s="22"/>
      <c r="C274" s="23"/>
      <c r="D274" s="26"/>
      <c r="E274" s="25"/>
      <c r="F274" s="7" t="str">
        <f aca="false">IF(E274="","",IFERROR(INDEX(코드관리!$C$7:$C$66,MATCH(E274,코드관리!$B$7:$B$66,0)),"미등록 코드"))</f>
        <v/>
      </c>
      <c r="G274" s="25"/>
      <c r="H274" s="25"/>
      <c r="I274" s="25"/>
      <c r="J274" s="24"/>
      <c r="K274" s="26"/>
      <c r="L274" s="27"/>
      <c r="M274" s="26"/>
      <c r="N274" s="8" t="str">
        <f aca="false">IF(L274="","",IF(K274="USD",ROUND(L274*설정!$C$4,0),L274))</f>
        <v/>
      </c>
      <c r="O274" s="8" t="str">
        <f aca="false">IF(N274="","",IF(AND(J274="과세",M274="VAT포함"),ROUND(N274/(1+설정!$C$5),0),N274))</f>
        <v/>
      </c>
      <c r="P274" s="8" t="str">
        <f aca="false">IF(N274="","",IF(J274="과세",IF(M274="VAT포함",N274-O274,ROUND(O274*설정!$C$5,0)),0))</f>
        <v/>
      </c>
      <c r="Q274" s="8" t="str">
        <f aca="false">IF(N274="","",O274+P274)</f>
        <v/>
      </c>
      <c r="R274" s="26"/>
      <c r="S274" s="8" t="str">
        <f aca="false">IF(OR(N274="",R274&lt;&gt;"Y"),"",ROUND(O274*설정!$C$5,0))</f>
        <v/>
      </c>
      <c r="T274" s="25"/>
    </row>
    <row r="275" customFormat="false" ht="15" hidden="false" customHeight="false" outlineLevel="0" collapsed="false">
      <c r="A275" s="21" t="str">
        <f aca="false">IF(C275="","",COUNTA($C$5:C275))</f>
        <v/>
      </c>
      <c r="B275" s="22"/>
      <c r="C275" s="23"/>
      <c r="D275" s="26"/>
      <c r="E275" s="25"/>
      <c r="F275" s="7" t="str">
        <f aca="false">IF(E275="","",IFERROR(INDEX(코드관리!$C$7:$C$66,MATCH(E275,코드관리!$B$7:$B$66,0)),"미등록 코드"))</f>
        <v/>
      </c>
      <c r="G275" s="25"/>
      <c r="H275" s="25"/>
      <c r="I275" s="25"/>
      <c r="J275" s="24"/>
      <c r="K275" s="26"/>
      <c r="L275" s="27"/>
      <c r="M275" s="26"/>
      <c r="N275" s="8" t="str">
        <f aca="false">IF(L275="","",IF(K275="USD",ROUND(L275*설정!$C$4,0),L275))</f>
        <v/>
      </c>
      <c r="O275" s="8" t="str">
        <f aca="false">IF(N275="","",IF(AND(J275="과세",M275="VAT포함"),ROUND(N275/(1+설정!$C$5),0),N275))</f>
        <v/>
      </c>
      <c r="P275" s="8" t="str">
        <f aca="false">IF(N275="","",IF(J275="과세",IF(M275="VAT포함",N275-O275,ROUND(O275*설정!$C$5,0)),0))</f>
        <v/>
      </c>
      <c r="Q275" s="8" t="str">
        <f aca="false">IF(N275="","",O275+P275)</f>
        <v/>
      </c>
      <c r="R275" s="26"/>
      <c r="S275" s="8" t="str">
        <f aca="false">IF(OR(N275="",R275&lt;&gt;"Y"),"",ROUND(O275*설정!$C$5,0))</f>
        <v/>
      </c>
      <c r="T275" s="25"/>
    </row>
    <row r="276" customFormat="false" ht="15" hidden="false" customHeight="false" outlineLevel="0" collapsed="false">
      <c r="A276" s="21" t="str">
        <f aca="false">IF(C276="","",COUNTA($C$5:C276))</f>
        <v/>
      </c>
      <c r="B276" s="22"/>
      <c r="C276" s="23"/>
      <c r="D276" s="26"/>
      <c r="E276" s="25"/>
      <c r="F276" s="7" t="str">
        <f aca="false">IF(E276="","",IFERROR(INDEX(코드관리!$C$7:$C$66,MATCH(E276,코드관리!$B$7:$B$66,0)),"미등록 코드"))</f>
        <v/>
      </c>
      <c r="G276" s="25"/>
      <c r="H276" s="25"/>
      <c r="I276" s="25"/>
      <c r="J276" s="24"/>
      <c r="K276" s="26"/>
      <c r="L276" s="27"/>
      <c r="M276" s="26"/>
      <c r="N276" s="8" t="str">
        <f aca="false">IF(L276="","",IF(K276="USD",ROUND(L276*설정!$C$4,0),L276))</f>
        <v/>
      </c>
      <c r="O276" s="8" t="str">
        <f aca="false">IF(N276="","",IF(AND(J276="과세",M276="VAT포함"),ROUND(N276/(1+설정!$C$5),0),N276))</f>
        <v/>
      </c>
      <c r="P276" s="8" t="str">
        <f aca="false">IF(N276="","",IF(J276="과세",IF(M276="VAT포함",N276-O276,ROUND(O276*설정!$C$5,0)),0))</f>
        <v/>
      </c>
      <c r="Q276" s="8" t="str">
        <f aca="false">IF(N276="","",O276+P276)</f>
        <v/>
      </c>
      <c r="R276" s="26"/>
      <c r="S276" s="8" t="str">
        <f aca="false">IF(OR(N276="",R276&lt;&gt;"Y"),"",ROUND(O276*설정!$C$5,0))</f>
        <v/>
      </c>
      <c r="T276" s="25"/>
    </row>
    <row r="277" customFormat="false" ht="15" hidden="false" customHeight="false" outlineLevel="0" collapsed="false">
      <c r="A277" s="21" t="str">
        <f aca="false">IF(C277="","",COUNTA($C$5:C277))</f>
        <v/>
      </c>
      <c r="B277" s="22"/>
      <c r="C277" s="23"/>
      <c r="D277" s="26"/>
      <c r="E277" s="25"/>
      <c r="F277" s="7" t="str">
        <f aca="false">IF(E277="","",IFERROR(INDEX(코드관리!$C$7:$C$66,MATCH(E277,코드관리!$B$7:$B$66,0)),"미등록 코드"))</f>
        <v/>
      </c>
      <c r="G277" s="25"/>
      <c r="H277" s="25"/>
      <c r="I277" s="25"/>
      <c r="J277" s="24"/>
      <c r="K277" s="26"/>
      <c r="L277" s="27"/>
      <c r="M277" s="26"/>
      <c r="N277" s="8" t="str">
        <f aca="false">IF(L277="","",IF(K277="USD",ROUND(L277*설정!$C$4,0),L277))</f>
        <v/>
      </c>
      <c r="O277" s="8" t="str">
        <f aca="false">IF(N277="","",IF(AND(J277="과세",M277="VAT포함"),ROUND(N277/(1+설정!$C$5),0),N277))</f>
        <v/>
      </c>
      <c r="P277" s="8" t="str">
        <f aca="false">IF(N277="","",IF(J277="과세",IF(M277="VAT포함",N277-O277,ROUND(O277*설정!$C$5,0)),0))</f>
        <v/>
      </c>
      <c r="Q277" s="8" t="str">
        <f aca="false">IF(N277="","",O277+P277)</f>
        <v/>
      </c>
      <c r="R277" s="26"/>
      <c r="S277" s="8" t="str">
        <f aca="false">IF(OR(N277="",R277&lt;&gt;"Y"),"",ROUND(O277*설정!$C$5,0))</f>
        <v/>
      </c>
      <c r="T277" s="25"/>
    </row>
    <row r="278" customFormat="false" ht="15" hidden="false" customHeight="false" outlineLevel="0" collapsed="false">
      <c r="A278" s="21" t="str">
        <f aca="false">IF(C278="","",COUNTA($C$5:C278))</f>
        <v/>
      </c>
      <c r="B278" s="22"/>
      <c r="C278" s="23"/>
      <c r="D278" s="26"/>
      <c r="E278" s="25"/>
      <c r="F278" s="7" t="str">
        <f aca="false">IF(E278="","",IFERROR(INDEX(코드관리!$C$7:$C$66,MATCH(E278,코드관리!$B$7:$B$66,0)),"미등록 코드"))</f>
        <v/>
      </c>
      <c r="G278" s="25"/>
      <c r="H278" s="25"/>
      <c r="I278" s="25"/>
      <c r="J278" s="24"/>
      <c r="K278" s="26"/>
      <c r="L278" s="27"/>
      <c r="M278" s="26"/>
      <c r="N278" s="8" t="str">
        <f aca="false">IF(L278="","",IF(K278="USD",ROUND(L278*설정!$C$4,0),L278))</f>
        <v/>
      </c>
      <c r="O278" s="8" t="str">
        <f aca="false">IF(N278="","",IF(AND(J278="과세",M278="VAT포함"),ROUND(N278/(1+설정!$C$5),0),N278))</f>
        <v/>
      </c>
      <c r="P278" s="8" t="str">
        <f aca="false">IF(N278="","",IF(J278="과세",IF(M278="VAT포함",N278-O278,ROUND(O278*설정!$C$5,0)),0))</f>
        <v/>
      </c>
      <c r="Q278" s="8" t="str">
        <f aca="false">IF(N278="","",O278+P278)</f>
        <v/>
      </c>
      <c r="R278" s="26"/>
      <c r="S278" s="8" t="str">
        <f aca="false">IF(OR(N278="",R278&lt;&gt;"Y"),"",ROUND(O278*설정!$C$5,0))</f>
        <v/>
      </c>
      <c r="T278" s="25"/>
    </row>
    <row r="279" customFormat="false" ht="15" hidden="false" customHeight="false" outlineLevel="0" collapsed="false">
      <c r="A279" s="21" t="str">
        <f aca="false">IF(C279="","",COUNTA($C$5:C279))</f>
        <v/>
      </c>
      <c r="B279" s="22"/>
      <c r="C279" s="23"/>
      <c r="D279" s="26"/>
      <c r="E279" s="25"/>
      <c r="F279" s="7" t="str">
        <f aca="false">IF(E279="","",IFERROR(INDEX(코드관리!$C$7:$C$66,MATCH(E279,코드관리!$B$7:$B$66,0)),"미등록 코드"))</f>
        <v/>
      </c>
      <c r="G279" s="25"/>
      <c r="H279" s="25"/>
      <c r="I279" s="25"/>
      <c r="J279" s="24"/>
      <c r="K279" s="26"/>
      <c r="L279" s="27"/>
      <c r="M279" s="26"/>
      <c r="N279" s="8" t="str">
        <f aca="false">IF(L279="","",IF(K279="USD",ROUND(L279*설정!$C$4,0),L279))</f>
        <v/>
      </c>
      <c r="O279" s="8" t="str">
        <f aca="false">IF(N279="","",IF(AND(J279="과세",M279="VAT포함"),ROUND(N279/(1+설정!$C$5),0),N279))</f>
        <v/>
      </c>
      <c r="P279" s="8" t="str">
        <f aca="false">IF(N279="","",IF(J279="과세",IF(M279="VAT포함",N279-O279,ROUND(O279*설정!$C$5,0)),0))</f>
        <v/>
      </c>
      <c r="Q279" s="8" t="str">
        <f aca="false">IF(N279="","",O279+P279)</f>
        <v/>
      </c>
      <c r="R279" s="26"/>
      <c r="S279" s="8" t="str">
        <f aca="false">IF(OR(N279="",R279&lt;&gt;"Y"),"",ROUND(O279*설정!$C$5,0))</f>
        <v/>
      </c>
      <c r="T279" s="25"/>
    </row>
    <row r="280" customFormat="false" ht="15" hidden="false" customHeight="false" outlineLevel="0" collapsed="false">
      <c r="A280" s="21" t="str">
        <f aca="false">IF(C280="","",COUNTA($C$5:C280))</f>
        <v/>
      </c>
      <c r="B280" s="22"/>
      <c r="C280" s="23"/>
      <c r="D280" s="26"/>
      <c r="E280" s="25"/>
      <c r="F280" s="7" t="str">
        <f aca="false">IF(E280="","",IFERROR(INDEX(코드관리!$C$7:$C$66,MATCH(E280,코드관리!$B$7:$B$66,0)),"미등록 코드"))</f>
        <v/>
      </c>
      <c r="G280" s="25"/>
      <c r="H280" s="25"/>
      <c r="I280" s="25"/>
      <c r="J280" s="24"/>
      <c r="K280" s="26"/>
      <c r="L280" s="27"/>
      <c r="M280" s="26"/>
      <c r="N280" s="8" t="str">
        <f aca="false">IF(L280="","",IF(K280="USD",ROUND(L280*설정!$C$4,0),L280))</f>
        <v/>
      </c>
      <c r="O280" s="8" t="str">
        <f aca="false">IF(N280="","",IF(AND(J280="과세",M280="VAT포함"),ROUND(N280/(1+설정!$C$5),0),N280))</f>
        <v/>
      </c>
      <c r="P280" s="8" t="str">
        <f aca="false">IF(N280="","",IF(J280="과세",IF(M280="VAT포함",N280-O280,ROUND(O280*설정!$C$5,0)),0))</f>
        <v/>
      </c>
      <c r="Q280" s="8" t="str">
        <f aca="false">IF(N280="","",O280+P280)</f>
        <v/>
      </c>
      <c r="R280" s="26"/>
      <c r="S280" s="8" t="str">
        <f aca="false">IF(OR(N280="",R280&lt;&gt;"Y"),"",ROUND(O280*설정!$C$5,0))</f>
        <v/>
      </c>
      <c r="T280" s="25"/>
    </row>
    <row r="281" customFormat="false" ht="15" hidden="false" customHeight="false" outlineLevel="0" collapsed="false">
      <c r="A281" s="13"/>
      <c r="B281" s="13"/>
      <c r="C281" s="18" t="s">
        <v>27</v>
      </c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 t="n">
        <f aca="false">SUM(N5:N280)</f>
        <v>821714639</v>
      </c>
      <c r="O281" s="13" t="n">
        <f aca="false">SUM(O5:O280)</f>
        <v>821559439</v>
      </c>
      <c r="P281" s="13" t="n">
        <f aca="false">SUM(P5:P280)</f>
        <v>155200</v>
      </c>
      <c r="Q281" s="13" t="n">
        <f aca="false">SUM(Q5:Q280)</f>
        <v>821714639</v>
      </c>
      <c r="R281" s="13"/>
      <c r="S281" s="13" t="n">
        <f aca="false">SUM(S5:S280)</f>
        <v>3990000</v>
      </c>
      <c r="T281" s="13"/>
    </row>
  </sheetData>
  <autoFilter ref="A4:T280"/>
  <dataValidations count="8">
    <dataValidation allowBlank="true" errorStyle="stop" operator="between" showDropDown="false" showErrorMessage="false" showInputMessage="false" sqref="C5:C280" type="list">
      <formula1>설정!$F$10:$F$30</formula1>
      <formula2>0</formula2>
    </dataValidation>
    <dataValidation allowBlank="true" errorStyle="stop" operator="between" showDropDown="false" showErrorMessage="true" showInputMessage="false" sqref="D5:D280" type="list">
      <formula1>설정!$B$10:$B$15</formula1>
      <formula2>0</formula2>
    </dataValidation>
    <dataValidation allowBlank="true" errorStyle="stop" operator="between" showDropDown="false" showErrorMessage="false" showInputMessage="false" sqref="E5:E280" type="list">
      <formula1>코드관리!$B$7:$B$66</formula1>
      <formula2>0</formula2>
    </dataValidation>
    <dataValidation allowBlank="true" errorStyle="stop" operator="between" showDropDown="false" showErrorMessage="true" showInputMessage="false" sqref="J5:J280" type="list">
      <formula1>설정!$C$10:$C$11</formula1>
      <formula2>0</formula2>
    </dataValidation>
    <dataValidation allowBlank="true" errorStyle="stop" operator="between" showDropDown="false" showErrorMessage="true" showInputMessage="false" sqref="K5:K280" type="list">
      <formula1>설정!$E$10:$E$11</formula1>
      <formula2>0</formula2>
    </dataValidation>
    <dataValidation allowBlank="true" errorStyle="stop" operator="between" showDropDown="false" showErrorMessage="true" showInputMessage="false" sqref="M5:M280" type="list">
      <formula1>설정!$D$10:$D$11</formula1>
      <formula2>0</formula2>
    </dataValidation>
    <dataValidation allowBlank="true" errorStyle="stop" operator="between" showDropDown="false" showErrorMessage="false" showInputMessage="false" sqref="R5:R280" type="list">
      <formula1>"Y"</formula1>
      <formula2>0</formula2>
    </dataValidation>
    <dataValidation allowBlank="true" error="날짜 형식으로 입력하세요 (예: 2026-09-30)" errorStyle="stop" errorTitle="일자" operator="greaterThan" showDropDown="false" showErrorMessage="true" showInputMessage="false" sqref="B5:B280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6" min="5" style="0" width="2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24"/>
    <col collapsed="false" customWidth="true" hidden="false" outlineLevel="0" max="10" min="10" style="0" width="16"/>
    <col collapsed="false" customWidth="true" hidden="false" outlineLevel="0" max="11" min="11" style="0" width="24"/>
  </cols>
  <sheetData>
    <row r="2" customFormat="false" ht="17.35" hidden="false" customHeight="false" outlineLevel="0" collapsed="false">
      <c r="B2" s="28" t="s">
        <v>184</v>
      </c>
    </row>
    <row r="3" customFormat="false" ht="15" hidden="false" customHeight="false" outlineLevel="0" collapsed="false">
      <c r="B3" s="2" t="s">
        <v>185</v>
      </c>
    </row>
    <row r="5" customFormat="false" ht="15" hidden="false" customHeight="false" outlineLevel="0" collapsed="false">
      <c r="B5" s="29" t="s">
        <v>186</v>
      </c>
      <c r="G5" s="15" t="s">
        <v>187</v>
      </c>
    </row>
    <row r="6" customFormat="false" ht="15" hidden="false" customHeight="false" outlineLevel="0" collapsed="false">
      <c r="B6" s="4" t="s">
        <v>43</v>
      </c>
      <c r="C6" s="5" t="s">
        <v>188</v>
      </c>
      <c r="D6" s="5" t="s">
        <v>189</v>
      </c>
      <c r="G6" s="5" t="s">
        <v>3</v>
      </c>
      <c r="H6" s="5" t="s">
        <v>45</v>
      </c>
      <c r="I6" s="5" t="s">
        <v>190</v>
      </c>
      <c r="J6" s="5" t="s">
        <v>191</v>
      </c>
      <c r="K6" s="5" t="s">
        <v>192</v>
      </c>
    </row>
    <row r="7" customFormat="false" ht="15" hidden="false" customHeight="false" outlineLevel="0" collapsed="false">
      <c r="B7" s="25"/>
      <c r="C7" s="25"/>
      <c r="D7" s="25"/>
      <c r="G7" s="30" t="s">
        <v>193</v>
      </c>
      <c r="H7" s="30" t="s">
        <v>194</v>
      </c>
      <c r="I7" s="30" t="s">
        <v>66</v>
      </c>
      <c r="J7" s="30"/>
      <c r="K7" s="31" t="s">
        <v>195</v>
      </c>
    </row>
    <row r="8" customFormat="false" ht="15" hidden="false" customHeight="false" outlineLevel="0" collapsed="false">
      <c r="B8" s="25"/>
      <c r="C8" s="25"/>
      <c r="D8" s="25"/>
      <c r="G8" s="25"/>
      <c r="H8" s="25"/>
      <c r="I8" s="25"/>
      <c r="J8" s="25"/>
      <c r="K8" s="25"/>
    </row>
    <row r="9" customFormat="false" ht="15" hidden="false" customHeight="false" outlineLevel="0" collapsed="false">
      <c r="B9" s="25"/>
      <c r="C9" s="25"/>
      <c r="D9" s="25"/>
      <c r="G9" s="25"/>
      <c r="H9" s="25"/>
      <c r="I9" s="25"/>
      <c r="J9" s="25"/>
      <c r="K9" s="25"/>
    </row>
    <row r="10" customFormat="false" ht="15" hidden="false" customHeight="false" outlineLevel="0" collapsed="false">
      <c r="B10" s="25"/>
      <c r="C10" s="25"/>
      <c r="D10" s="25"/>
      <c r="G10" s="25"/>
      <c r="H10" s="25"/>
      <c r="I10" s="25"/>
      <c r="J10" s="25"/>
      <c r="K10" s="25"/>
    </row>
    <row r="11" customFormat="false" ht="15" hidden="false" customHeight="false" outlineLevel="0" collapsed="false">
      <c r="B11" s="25"/>
      <c r="C11" s="25"/>
      <c r="D11" s="25"/>
      <c r="G11" s="25"/>
      <c r="H11" s="25"/>
      <c r="I11" s="25"/>
      <c r="J11" s="25"/>
      <c r="K11" s="25"/>
    </row>
    <row r="12" customFormat="false" ht="15" hidden="false" customHeight="false" outlineLevel="0" collapsed="false">
      <c r="B12" s="25"/>
      <c r="C12" s="25"/>
      <c r="D12" s="25"/>
      <c r="G12" s="25"/>
      <c r="H12" s="25"/>
      <c r="I12" s="25"/>
      <c r="J12" s="25"/>
      <c r="K12" s="25"/>
    </row>
    <row r="13" customFormat="false" ht="15" hidden="false" customHeight="false" outlineLevel="0" collapsed="false">
      <c r="B13" s="25"/>
      <c r="C13" s="25"/>
      <c r="D13" s="25"/>
      <c r="G13" s="25"/>
      <c r="H13" s="25"/>
      <c r="I13" s="25"/>
      <c r="J13" s="25"/>
      <c r="K13" s="25"/>
    </row>
    <row r="14" customFormat="false" ht="15" hidden="false" customHeight="false" outlineLevel="0" collapsed="false">
      <c r="B14" s="25"/>
      <c r="C14" s="25"/>
      <c r="D14" s="25"/>
      <c r="G14" s="25"/>
      <c r="H14" s="25"/>
      <c r="I14" s="25"/>
      <c r="J14" s="25"/>
      <c r="K14" s="25"/>
    </row>
    <row r="15" customFormat="false" ht="15" hidden="false" customHeight="false" outlineLevel="0" collapsed="false">
      <c r="B15" s="25"/>
      <c r="C15" s="25"/>
      <c r="D15" s="25"/>
      <c r="G15" s="25"/>
      <c r="H15" s="25"/>
      <c r="I15" s="25"/>
      <c r="J15" s="25"/>
      <c r="K15" s="25"/>
    </row>
    <row r="16" customFormat="false" ht="15" hidden="false" customHeight="false" outlineLevel="0" collapsed="false">
      <c r="B16" s="25"/>
      <c r="C16" s="25"/>
      <c r="D16" s="25"/>
      <c r="G16" s="25"/>
      <c r="H16" s="25"/>
      <c r="I16" s="25"/>
      <c r="J16" s="25"/>
      <c r="K16" s="25"/>
    </row>
    <row r="17" customFormat="false" ht="15" hidden="false" customHeight="false" outlineLevel="0" collapsed="false">
      <c r="B17" s="25"/>
      <c r="C17" s="25"/>
      <c r="D17" s="25"/>
      <c r="G17" s="25"/>
      <c r="H17" s="25"/>
      <c r="I17" s="25"/>
      <c r="J17" s="25"/>
      <c r="K17" s="25"/>
    </row>
    <row r="18" customFormat="false" ht="15" hidden="false" customHeight="false" outlineLevel="0" collapsed="false">
      <c r="B18" s="25"/>
      <c r="C18" s="25"/>
      <c r="D18" s="25"/>
      <c r="G18" s="25"/>
      <c r="H18" s="25"/>
      <c r="I18" s="25"/>
      <c r="J18" s="25"/>
      <c r="K18" s="25"/>
    </row>
    <row r="19" customFormat="false" ht="15" hidden="false" customHeight="false" outlineLevel="0" collapsed="false">
      <c r="B19" s="25"/>
      <c r="C19" s="25"/>
      <c r="D19" s="25"/>
      <c r="G19" s="25"/>
      <c r="H19" s="25"/>
      <c r="I19" s="25"/>
      <c r="J19" s="25"/>
      <c r="K19" s="25"/>
    </row>
    <row r="20" customFormat="false" ht="15" hidden="false" customHeight="false" outlineLevel="0" collapsed="false">
      <c r="B20" s="25"/>
      <c r="C20" s="25"/>
      <c r="D20" s="25"/>
      <c r="G20" s="25"/>
      <c r="H20" s="25"/>
      <c r="I20" s="25"/>
      <c r="J20" s="25"/>
      <c r="K20" s="25"/>
    </row>
    <row r="21" customFormat="false" ht="15" hidden="false" customHeight="false" outlineLevel="0" collapsed="false">
      <c r="B21" s="25"/>
      <c r="C21" s="25"/>
      <c r="D21" s="25"/>
      <c r="G21" s="25"/>
      <c r="H21" s="25"/>
      <c r="I21" s="25"/>
      <c r="J21" s="25"/>
      <c r="K21" s="25"/>
    </row>
    <row r="22" customFormat="false" ht="15" hidden="false" customHeight="false" outlineLevel="0" collapsed="false">
      <c r="B22" s="25"/>
      <c r="C22" s="25"/>
      <c r="D22" s="25"/>
      <c r="G22" s="25"/>
      <c r="H22" s="25"/>
      <c r="I22" s="25"/>
      <c r="J22" s="25"/>
      <c r="K22" s="25"/>
    </row>
    <row r="23" customFormat="false" ht="15" hidden="false" customHeight="false" outlineLevel="0" collapsed="false">
      <c r="B23" s="25"/>
      <c r="C23" s="25"/>
      <c r="D23" s="25"/>
      <c r="G23" s="25"/>
      <c r="H23" s="25"/>
      <c r="I23" s="25"/>
      <c r="J23" s="25"/>
      <c r="K23" s="25"/>
    </row>
    <row r="24" customFormat="false" ht="15" hidden="false" customHeight="false" outlineLevel="0" collapsed="false">
      <c r="B24" s="25"/>
      <c r="C24" s="25"/>
      <c r="D24" s="25"/>
      <c r="G24" s="25"/>
      <c r="H24" s="25"/>
      <c r="I24" s="25"/>
      <c r="J24" s="25"/>
      <c r="K24" s="25"/>
    </row>
    <row r="25" customFormat="false" ht="15" hidden="false" customHeight="false" outlineLevel="0" collapsed="false">
      <c r="B25" s="25"/>
      <c r="C25" s="25"/>
      <c r="D25" s="25"/>
      <c r="G25" s="25"/>
      <c r="H25" s="25"/>
      <c r="I25" s="25"/>
      <c r="J25" s="25"/>
      <c r="K25" s="25"/>
    </row>
    <row r="26" customFormat="false" ht="15" hidden="false" customHeight="false" outlineLevel="0" collapsed="false">
      <c r="B26" s="25"/>
      <c r="C26" s="25"/>
      <c r="D26" s="25"/>
      <c r="G26" s="25"/>
      <c r="H26" s="25"/>
      <c r="I26" s="25"/>
      <c r="J26" s="25"/>
      <c r="K26" s="25"/>
    </row>
    <row r="27" customFormat="false" ht="15" hidden="false" customHeight="false" outlineLevel="0" collapsed="false">
      <c r="B27" s="25"/>
      <c r="C27" s="25"/>
      <c r="D27" s="25"/>
      <c r="G27" s="25"/>
      <c r="H27" s="25"/>
      <c r="I27" s="25"/>
      <c r="J27" s="25"/>
      <c r="K27" s="25"/>
    </row>
    <row r="28" customFormat="false" ht="15" hidden="false" customHeight="false" outlineLevel="0" collapsed="false">
      <c r="B28" s="25"/>
      <c r="C28" s="25"/>
      <c r="D28" s="25"/>
      <c r="G28" s="25"/>
      <c r="H28" s="25"/>
      <c r="I28" s="25"/>
      <c r="J28" s="25"/>
      <c r="K28" s="25"/>
    </row>
    <row r="29" customFormat="false" ht="15" hidden="false" customHeight="false" outlineLevel="0" collapsed="false">
      <c r="B29" s="25"/>
      <c r="C29" s="25"/>
      <c r="D29" s="25"/>
      <c r="G29" s="25"/>
      <c r="H29" s="25"/>
      <c r="I29" s="25"/>
      <c r="J29" s="25"/>
      <c r="K29" s="25"/>
    </row>
    <row r="30" customFormat="false" ht="15" hidden="false" customHeight="false" outlineLevel="0" collapsed="false">
      <c r="B30" s="25"/>
      <c r="C30" s="25"/>
      <c r="D30" s="25"/>
      <c r="G30" s="25"/>
      <c r="H30" s="25"/>
      <c r="I30" s="25"/>
      <c r="J30" s="25"/>
      <c r="K30" s="25"/>
    </row>
    <row r="31" customFormat="false" ht="15" hidden="false" customHeight="false" outlineLevel="0" collapsed="false">
      <c r="B31" s="25"/>
      <c r="C31" s="25"/>
      <c r="D31" s="25"/>
      <c r="G31" s="25"/>
      <c r="H31" s="25"/>
      <c r="I31" s="25"/>
      <c r="J31" s="25"/>
      <c r="K31" s="25"/>
    </row>
    <row r="32" customFormat="false" ht="15" hidden="false" customHeight="false" outlineLevel="0" collapsed="false">
      <c r="B32" s="25"/>
      <c r="C32" s="25"/>
      <c r="D32" s="25"/>
      <c r="G32" s="25"/>
      <c r="H32" s="25"/>
      <c r="I32" s="25"/>
      <c r="J32" s="25"/>
      <c r="K32" s="25"/>
    </row>
    <row r="33" customFormat="false" ht="15" hidden="false" customHeight="false" outlineLevel="0" collapsed="false">
      <c r="B33" s="25"/>
      <c r="C33" s="25"/>
      <c r="D33" s="25"/>
      <c r="G33" s="25"/>
      <c r="H33" s="25"/>
      <c r="I33" s="25"/>
      <c r="J33" s="25"/>
      <c r="K33" s="25"/>
    </row>
    <row r="34" customFormat="false" ht="15" hidden="false" customHeight="false" outlineLevel="0" collapsed="false">
      <c r="B34" s="25"/>
      <c r="C34" s="25"/>
      <c r="D34" s="25"/>
      <c r="G34" s="25"/>
      <c r="H34" s="25"/>
      <c r="I34" s="25"/>
      <c r="J34" s="25"/>
      <c r="K34" s="25"/>
    </row>
    <row r="35" customFormat="false" ht="15" hidden="false" customHeight="false" outlineLevel="0" collapsed="false">
      <c r="B35" s="25"/>
      <c r="C35" s="25"/>
      <c r="D35" s="25"/>
      <c r="G35" s="25"/>
      <c r="H35" s="25"/>
      <c r="I35" s="25"/>
      <c r="J35" s="25"/>
      <c r="K35" s="25"/>
    </row>
    <row r="36" customFormat="false" ht="15" hidden="false" customHeight="false" outlineLevel="0" collapsed="false">
      <c r="B36" s="25"/>
      <c r="C36" s="25"/>
      <c r="D36" s="25"/>
      <c r="G36" s="25"/>
      <c r="H36" s="25"/>
      <c r="I36" s="25"/>
      <c r="J36" s="25"/>
      <c r="K36" s="25"/>
    </row>
    <row r="37" customFormat="false" ht="15" hidden="false" customHeight="false" outlineLevel="0" collapsed="false">
      <c r="B37" s="25"/>
      <c r="C37" s="25"/>
      <c r="D37" s="25"/>
      <c r="G37" s="25"/>
      <c r="H37" s="25"/>
      <c r="I37" s="25"/>
      <c r="J37" s="25"/>
      <c r="K37" s="25"/>
    </row>
    <row r="38" customFormat="false" ht="15" hidden="false" customHeight="false" outlineLevel="0" collapsed="false">
      <c r="B38" s="25"/>
      <c r="C38" s="25"/>
      <c r="D38" s="25"/>
      <c r="G38" s="25"/>
      <c r="H38" s="25"/>
      <c r="I38" s="25"/>
      <c r="J38" s="25"/>
      <c r="K38" s="25"/>
    </row>
    <row r="39" customFormat="false" ht="15" hidden="false" customHeight="false" outlineLevel="0" collapsed="false">
      <c r="B39" s="25"/>
      <c r="C39" s="25"/>
      <c r="D39" s="25"/>
      <c r="G39" s="25"/>
      <c r="H39" s="25"/>
      <c r="I39" s="25"/>
      <c r="J39" s="25"/>
      <c r="K39" s="25"/>
    </row>
    <row r="40" customFormat="false" ht="15" hidden="false" customHeight="false" outlineLevel="0" collapsed="false">
      <c r="B40" s="25"/>
      <c r="C40" s="25"/>
      <c r="D40" s="25"/>
      <c r="G40" s="25"/>
      <c r="H40" s="25"/>
      <c r="I40" s="25"/>
      <c r="J40" s="25"/>
      <c r="K40" s="25"/>
    </row>
    <row r="41" customFormat="false" ht="15" hidden="false" customHeight="false" outlineLevel="0" collapsed="false">
      <c r="B41" s="25"/>
      <c r="C41" s="25"/>
      <c r="D41" s="25"/>
      <c r="G41" s="25"/>
      <c r="H41" s="25"/>
      <c r="I41" s="25"/>
      <c r="J41" s="25"/>
      <c r="K41" s="25"/>
    </row>
    <row r="42" customFormat="false" ht="15" hidden="false" customHeight="false" outlineLevel="0" collapsed="false">
      <c r="B42" s="25"/>
      <c r="C42" s="25"/>
      <c r="D42" s="25"/>
      <c r="G42" s="25"/>
      <c r="H42" s="25"/>
      <c r="I42" s="25"/>
      <c r="J42" s="25"/>
      <c r="K42" s="25"/>
    </row>
    <row r="43" customFormat="false" ht="15" hidden="false" customHeight="false" outlineLevel="0" collapsed="false">
      <c r="B43" s="25"/>
      <c r="C43" s="25"/>
      <c r="D43" s="25"/>
      <c r="G43" s="25"/>
      <c r="H43" s="25"/>
      <c r="I43" s="25"/>
      <c r="J43" s="25"/>
      <c r="K43" s="25"/>
    </row>
    <row r="44" customFormat="false" ht="15" hidden="false" customHeight="false" outlineLevel="0" collapsed="false">
      <c r="B44" s="25"/>
      <c r="C44" s="25"/>
      <c r="D44" s="25"/>
      <c r="G44" s="25"/>
      <c r="H44" s="25"/>
      <c r="I44" s="25"/>
      <c r="J44" s="25"/>
      <c r="K44" s="25"/>
    </row>
    <row r="45" customFormat="false" ht="15" hidden="false" customHeight="false" outlineLevel="0" collapsed="false">
      <c r="B45" s="25"/>
      <c r="C45" s="25"/>
      <c r="D45" s="25"/>
      <c r="G45" s="25"/>
      <c r="H45" s="25"/>
      <c r="I45" s="25"/>
      <c r="J45" s="25"/>
      <c r="K45" s="25"/>
    </row>
    <row r="46" customFormat="false" ht="15" hidden="false" customHeight="false" outlineLevel="0" collapsed="false">
      <c r="B46" s="25"/>
      <c r="C46" s="25"/>
      <c r="D46" s="25"/>
      <c r="G46" s="25"/>
      <c r="H46" s="25"/>
      <c r="I46" s="25"/>
      <c r="J46" s="25"/>
      <c r="K46" s="25"/>
    </row>
    <row r="47" customFormat="false" ht="15" hidden="false" customHeight="false" outlineLevel="0" collapsed="false">
      <c r="B47" s="25"/>
      <c r="C47" s="25"/>
      <c r="D47" s="25"/>
      <c r="G47" s="25"/>
      <c r="H47" s="25"/>
      <c r="I47" s="25"/>
      <c r="J47" s="25"/>
      <c r="K47" s="25"/>
    </row>
    <row r="48" customFormat="false" ht="15" hidden="false" customHeight="false" outlineLevel="0" collapsed="false">
      <c r="B48" s="25"/>
      <c r="C48" s="25"/>
      <c r="D48" s="25"/>
      <c r="G48" s="25"/>
      <c r="H48" s="25"/>
      <c r="I48" s="25"/>
      <c r="J48" s="25"/>
      <c r="K48" s="25"/>
    </row>
    <row r="49" customFormat="false" ht="15" hidden="false" customHeight="false" outlineLevel="0" collapsed="false">
      <c r="B49" s="25"/>
      <c r="C49" s="25"/>
      <c r="D49" s="25"/>
      <c r="G49" s="25"/>
      <c r="H49" s="25"/>
      <c r="I49" s="25"/>
      <c r="J49" s="25"/>
      <c r="K49" s="25"/>
    </row>
    <row r="50" customFormat="false" ht="15" hidden="false" customHeight="false" outlineLevel="0" collapsed="false">
      <c r="B50" s="25"/>
      <c r="C50" s="25"/>
      <c r="D50" s="25"/>
      <c r="G50" s="25"/>
      <c r="H50" s="25"/>
      <c r="I50" s="25"/>
      <c r="J50" s="25"/>
      <c r="K50" s="25"/>
    </row>
    <row r="51" customFormat="false" ht="15" hidden="false" customHeight="false" outlineLevel="0" collapsed="false">
      <c r="B51" s="25"/>
      <c r="C51" s="25"/>
      <c r="D51" s="25"/>
      <c r="G51" s="25"/>
      <c r="H51" s="25"/>
      <c r="I51" s="25"/>
      <c r="J51" s="25"/>
      <c r="K51" s="25"/>
    </row>
    <row r="52" customFormat="false" ht="15" hidden="false" customHeight="false" outlineLevel="0" collapsed="false">
      <c r="B52" s="25"/>
      <c r="C52" s="25"/>
      <c r="D52" s="25"/>
      <c r="G52" s="25"/>
      <c r="H52" s="25"/>
      <c r="I52" s="25"/>
      <c r="J52" s="25"/>
      <c r="K52" s="25"/>
    </row>
    <row r="53" customFormat="false" ht="15" hidden="false" customHeight="false" outlineLevel="0" collapsed="false">
      <c r="B53" s="25"/>
      <c r="C53" s="25"/>
      <c r="D53" s="25"/>
      <c r="G53" s="25"/>
      <c r="H53" s="25"/>
      <c r="I53" s="25"/>
      <c r="J53" s="25"/>
      <c r="K53" s="25"/>
    </row>
    <row r="54" customFormat="false" ht="15" hidden="false" customHeight="false" outlineLevel="0" collapsed="false">
      <c r="B54" s="25"/>
      <c r="C54" s="25"/>
      <c r="D54" s="25"/>
      <c r="G54" s="25"/>
      <c r="H54" s="25"/>
      <c r="I54" s="25"/>
      <c r="J54" s="25"/>
      <c r="K54" s="25"/>
    </row>
    <row r="55" customFormat="false" ht="15" hidden="false" customHeight="false" outlineLevel="0" collapsed="false">
      <c r="B55" s="25"/>
      <c r="C55" s="25"/>
      <c r="D55" s="25"/>
      <c r="G55" s="25"/>
      <c r="H55" s="25"/>
      <c r="I55" s="25"/>
      <c r="J55" s="25"/>
      <c r="K55" s="25"/>
    </row>
    <row r="56" customFormat="false" ht="15" hidden="false" customHeight="false" outlineLevel="0" collapsed="false">
      <c r="B56" s="25"/>
      <c r="C56" s="25"/>
      <c r="D56" s="25"/>
      <c r="G56" s="25"/>
      <c r="H56" s="25"/>
      <c r="I56" s="25"/>
      <c r="J56" s="25"/>
      <c r="K56" s="25"/>
    </row>
    <row r="57" customFormat="false" ht="15" hidden="false" customHeight="false" outlineLevel="0" collapsed="false">
      <c r="B57" s="25"/>
      <c r="C57" s="25"/>
      <c r="D57" s="25"/>
      <c r="G57" s="25"/>
      <c r="H57" s="25"/>
      <c r="I57" s="25"/>
      <c r="J57" s="25"/>
      <c r="K57" s="25"/>
    </row>
    <row r="58" customFormat="false" ht="15" hidden="false" customHeight="false" outlineLevel="0" collapsed="false">
      <c r="B58" s="25"/>
      <c r="C58" s="25"/>
      <c r="D58" s="25"/>
      <c r="G58" s="25"/>
      <c r="H58" s="25"/>
      <c r="I58" s="25"/>
      <c r="J58" s="25"/>
      <c r="K58" s="25"/>
    </row>
    <row r="59" customFormat="false" ht="15" hidden="false" customHeight="false" outlineLevel="0" collapsed="false">
      <c r="B59" s="25"/>
      <c r="C59" s="25"/>
      <c r="D59" s="25"/>
      <c r="G59" s="25"/>
      <c r="H59" s="25"/>
      <c r="I59" s="25"/>
      <c r="J59" s="25"/>
      <c r="K59" s="25"/>
    </row>
    <row r="60" customFormat="false" ht="15" hidden="false" customHeight="false" outlineLevel="0" collapsed="false">
      <c r="B60" s="25"/>
      <c r="C60" s="25"/>
      <c r="D60" s="25"/>
      <c r="G60" s="25"/>
      <c r="H60" s="25"/>
      <c r="I60" s="25"/>
      <c r="J60" s="25"/>
      <c r="K60" s="25"/>
    </row>
    <row r="61" customFormat="false" ht="15" hidden="false" customHeight="false" outlineLevel="0" collapsed="false">
      <c r="B61" s="25"/>
      <c r="C61" s="25"/>
      <c r="D61" s="25"/>
      <c r="G61" s="25"/>
      <c r="H61" s="25"/>
      <c r="I61" s="25"/>
      <c r="J61" s="25"/>
      <c r="K61" s="25"/>
    </row>
    <row r="62" customFormat="false" ht="15" hidden="false" customHeight="false" outlineLevel="0" collapsed="false">
      <c r="B62" s="25"/>
      <c r="C62" s="25"/>
      <c r="D62" s="25"/>
      <c r="G62" s="25"/>
      <c r="H62" s="25"/>
      <c r="I62" s="25"/>
      <c r="J62" s="25"/>
      <c r="K62" s="25"/>
    </row>
    <row r="63" customFormat="false" ht="15" hidden="false" customHeight="false" outlineLevel="0" collapsed="false">
      <c r="B63" s="25"/>
      <c r="C63" s="25"/>
      <c r="D63" s="25"/>
      <c r="G63" s="25"/>
      <c r="H63" s="25"/>
      <c r="I63" s="25"/>
      <c r="J63" s="25"/>
      <c r="K63" s="25"/>
    </row>
    <row r="64" customFormat="false" ht="15" hidden="false" customHeight="false" outlineLevel="0" collapsed="false">
      <c r="B64" s="25"/>
      <c r="C64" s="25"/>
      <c r="D64" s="25"/>
      <c r="G64" s="25"/>
      <c r="H64" s="25"/>
      <c r="I64" s="25"/>
      <c r="J64" s="25"/>
      <c r="K64" s="25"/>
    </row>
    <row r="65" customFormat="false" ht="15" hidden="false" customHeight="false" outlineLevel="0" collapsed="false">
      <c r="B65" s="25"/>
      <c r="C65" s="25"/>
      <c r="D65" s="25"/>
      <c r="G65" s="25"/>
      <c r="H65" s="25"/>
      <c r="I65" s="25"/>
      <c r="J65" s="25"/>
      <c r="K65" s="25"/>
    </row>
    <row r="66" customFormat="false" ht="15" hidden="false" customHeight="false" outlineLevel="0" collapsed="false">
      <c r="B66" s="25"/>
      <c r="C66" s="25"/>
      <c r="D66" s="25"/>
      <c r="G66" s="25"/>
      <c r="H66" s="25"/>
      <c r="I66" s="25"/>
      <c r="J66" s="25"/>
      <c r="K66" s="25"/>
    </row>
  </sheetData>
  <dataValidations count="1">
    <dataValidation allowBlank="true" errorStyle="stop" operator="between" showDropDown="false" showErrorMessage="false" showInputMessage="false" sqref="G8:G66" type="list">
      <formula1>설정!$F$10:$F$30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6" min="3" style="0" width="16"/>
  </cols>
  <sheetData>
    <row r="2" customFormat="false" ht="17.35" hidden="false" customHeight="false" outlineLevel="0" collapsed="false">
      <c r="B2" s="28" t="s">
        <v>196</v>
      </c>
    </row>
    <row r="4" customFormat="false" ht="15" hidden="false" customHeight="false" outlineLevel="0" collapsed="false">
      <c r="B4" s="32" t="s">
        <v>197</v>
      </c>
      <c r="C4" s="33" t="n">
        <v>1350</v>
      </c>
      <c r="D4" s="20" t="s">
        <v>198</v>
      </c>
    </row>
    <row r="5" customFormat="false" ht="15" hidden="false" customHeight="false" outlineLevel="0" collapsed="false">
      <c r="B5" s="32" t="s">
        <v>199</v>
      </c>
      <c r="C5" s="34" t="n">
        <v>0.1</v>
      </c>
      <c r="D5" s="2" t="s">
        <v>200</v>
      </c>
    </row>
    <row r="8" customFormat="false" ht="15" hidden="false" customHeight="false" outlineLevel="0" collapsed="false">
      <c r="B8" s="15" t="s">
        <v>201</v>
      </c>
    </row>
    <row r="9" customFormat="false" ht="15" hidden="false" customHeight="false" outlineLevel="0" collapsed="false">
      <c r="B9" s="5" t="s">
        <v>30</v>
      </c>
      <c r="C9" s="5" t="s">
        <v>48</v>
      </c>
      <c r="D9" s="5" t="s">
        <v>202</v>
      </c>
      <c r="E9" s="5" t="s">
        <v>49</v>
      </c>
      <c r="F9" s="5" t="s">
        <v>203</v>
      </c>
    </row>
    <row r="10" customFormat="false" ht="15" hidden="false" customHeight="false" outlineLevel="0" collapsed="false">
      <c r="B10" s="35" t="s">
        <v>4</v>
      </c>
      <c r="C10" s="7" t="s">
        <v>60</v>
      </c>
      <c r="D10" s="35" t="s">
        <v>204</v>
      </c>
      <c r="E10" s="35" t="s">
        <v>61</v>
      </c>
      <c r="F10" s="7" t="s">
        <v>16</v>
      </c>
    </row>
    <row r="11" customFormat="false" ht="15" hidden="false" customHeight="false" outlineLevel="0" collapsed="false">
      <c r="B11" s="35" t="s">
        <v>5</v>
      </c>
      <c r="C11" s="7" t="s">
        <v>65</v>
      </c>
      <c r="D11" s="35" t="s">
        <v>205</v>
      </c>
      <c r="E11" s="35" t="s">
        <v>67</v>
      </c>
      <c r="F11" s="7" t="s">
        <v>17</v>
      </c>
    </row>
    <row r="12" customFormat="false" ht="15" hidden="false" customHeight="false" outlineLevel="0" collapsed="false">
      <c r="B12" s="35" t="s">
        <v>6</v>
      </c>
      <c r="F12" s="7" t="s">
        <v>18</v>
      </c>
    </row>
    <row r="13" customFormat="false" ht="15" hidden="false" customHeight="false" outlineLevel="0" collapsed="false">
      <c r="B13" s="35" t="s">
        <v>7</v>
      </c>
      <c r="F13" s="7" t="s">
        <v>19</v>
      </c>
    </row>
    <row r="14" customFormat="false" ht="15" hidden="false" customHeight="false" outlineLevel="0" collapsed="false">
      <c r="B14" s="35" t="s">
        <v>8</v>
      </c>
      <c r="F14" s="7" t="s">
        <v>20</v>
      </c>
    </row>
    <row r="15" customFormat="false" ht="15" hidden="false" customHeight="false" outlineLevel="0" collapsed="false">
      <c r="B15" s="7" t="s">
        <v>32</v>
      </c>
      <c r="F15" s="7" t="s">
        <v>21</v>
      </c>
    </row>
    <row r="16" customFormat="false" ht="15" hidden="false" customHeight="false" outlineLevel="0" collapsed="false">
      <c r="F16" s="7" t="s">
        <v>22</v>
      </c>
    </row>
    <row r="17" customFormat="false" ht="15" hidden="false" customHeight="false" outlineLevel="0" collapsed="false">
      <c r="F17" s="7" t="s">
        <v>23</v>
      </c>
    </row>
    <row r="18" customFormat="false" ht="15" hidden="false" customHeight="false" outlineLevel="0" collapsed="false">
      <c r="F18" s="7" t="s">
        <v>24</v>
      </c>
    </row>
    <row r="19" customFormat="false" ht="15" hidden="false" customHeight="false" outlineLevel="0" collapsed="false">
      <c r="F19" s="7" t="s">
        <v>25</v>
      </c>
    </row>
    <row r="20" customFormat="false" ht="15" hidden="false" customHeight="false" outlineLevel="0" collapsed="false">
      <c r="F20" s="7" t="s">
        <v>26</v>
      </c>
    </row>
    <row r="26" customFormat="false" ht="15" hidden="false" customHeight="false" outlineLevel="0" collapsed="false">
      <c r="B26" s="2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2026-10-12T23:53:50Z</dcterms:created>
  <dc:creator>openpyxl</dc:creator>
  <dc:description/>
  <dc:language>en-US</dc:language>
  <cp:lastModifiedBy/>
  <dcterms:modified xsi:type="dcterms:W3CDTF">2026-10-12T23:53:51Z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