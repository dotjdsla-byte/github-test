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OPEX 상세" sheetId="2" state="visible" r:id="rId4"/>
    <sheet name="코드관리" sheetId="3" state="visible" r:id="rId5"/>
    <sheet name="설정" sheetId="4" state="visible" r:id="rId6"/>
  </sheets>
  <definedNames>
    <definedName function="false" hidden="true" localSheetId="1" name="_xlnm._FilterDatabase" vbProcedure="false">'OPEX 상세'!$A$4:$S$254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<sst xmlns="http://schemas.openxmlformats.org/spreadsheetml/2006/main" count="697" uniqueCount="151">
  <si>
    <r>
      <rPr>
        <b val="true"/>
        <sz val="14"/>
        <rFont val="맑은 고딕"/>
        <family val="0"/>
        <charset val="1"/>
      </rPr>
      <t xml:space="preserve">OPEX </t>
    </r>
    <r>
      <rPr>
        <b val="true"/>
        <sz val="14"/>
        <rFont val="WenQuanYi Zen Hei"/>
        <family val="2"/>
      </rPr>
      <t xml:space="preserve">요약 </t>
    </r>
    <r>
      <rPr>
        <b val="true"/>
        <sz val="14"/>
        <rFont val="맑은 고딕"/>
        <family val="0"/>
        <charset val="1"/>
      </rPr>
      <t xml:space="preserve">- </t>
    </r>
    <r>
      <rPr>
        <b val="true"/>
        <sz val="14"/>
        <rFont val="WenQuanYi Zen Hei"/>
        <family val="2"/>
      </rPr>
      <t xml:space="preserve">업체별 </t>
    </r>
    <r>
      <rPr>
        <b val="true"/>
        <sz val="14"/>
        <rFont val="맑은 고딕"/>
        <family val="0"/>
        <charset val="1"/>
      </rPr>
      <t xml:space="preserve">/ </t>
    </r>
    <r>
      <rPr>
        <b val="true"/>
        <sz val="14"/>
        <rFont val="WenQuanYi Zen Hei"/>
        <family val="2"/>
      </rPr>
      <t xml:space="preserve">선박별</t>
    </r>
  </si>
  <si>
    <r>
      <rPr>
        <sz val="9"/>
        <color rgb="FF666666"/>
        <rFont val="WenQuanYi Zen Hei"/>
        <family val="2"/>
      </rPr>
      <t xml:space="preserve">단위</t>
    </r>
    <r>
      <rPr>
        <sz val="9"/>
        <color rgb="FF666666"/>
        <rFont val="맑은 고딕"/>
        <family val="0"/>
        <charset val="1"/>
      </rPr>
      <t xml:space="preserve">: KRW (</t>
    </r>
    <r>
      <rPr>
        <sz val="9"/>
        <color rgb="FF666666"/>
        <rFont val="WenQuanYi Zen Hei"/>
        <family val="2"/>
      </rPr>
      <t xml:space="preserve">부가세 포함 합계 기준</t>
    </r>
    <r>
      <rPr>
        <sz val="9"/>
        <color rgb="FF666666"/>
        <rFont val="맑은 고딕"/>
        <family val="0"/>
        <charset val="1"/>
      </rPr>
      <t xml:space="preserve">).  'OPEX </t>
    </r>
    <r>
      <rPr>
        <sz val="9"/>
        <color rgb="FF666666"/>
        <rFont val="WenQuanYi Zen Hei"/>
        <family val="2"/>
      </rPr>
      <t xml:space="preserve">상세</t>
    </r>
    <r>
      <rPr>
        <sz val="9"/>
        <color rgb="FF666666"/>
        <rFont val="맑은 고딕"/>
        <family val="0"/>
        <charset val="1"/>
      </rPr>
      <t xml:space="preserve">' </t>
    </r>
    <r>
      <rPr>
        <sz val="9"/>
        <color rgb="FF666666"/>
        <rFont val="WenQuanYi Zen Hei"/>
        <family val="2"/>
      </rPr>
      <t xml:space="preserve">시트에서 자동 집계</t>
    </r>
    <r>
      <rPr>
        <sz val="9"/>
        <color rgb="FF666666"/>
        <rFont val="맑은 고딕"/>
        <family val="0"/>
        <charset val="1"/>
      </rPr>
      <t xml:space="preserve">.  USD </t>
    </r>
    <r>
      <rPr>
        <sz val="9"/>
        <color rgb="FF666666"/>
        <rFont val="WenQuanYi Zen Hei"/>
        <family val="2"/>
      </rPr>
      <t xml:space="preserve">적용환율</t>
    </r>
    <r>
      <rPr>
        <sz val="9"/>
        <color rgb="FF666666"/>
        <rFont val="맑은 고딕"/>
        <family val="0"/>
        <charset val="1"/>
      </rPr>
      <t xml:space="preserve">:</t>
    </r>
  </si>
  <si>
    <t xml:space="preserve">No</t>
  </si>
  <si>
    <t xml:space="preserve">업체명</t>
  </si>
  <si>
    <t xml:space="preserve">NORTH LIGHT</t>
  </si>
  <si>
    <t xml:space="preserve">NORTH MOON</t>
  </si>
  <si>
    <t xml:space="preserve">NORTH OCEAN</t>
  </si>
  <si>
    <t xml:space="preserve">NORTH VALLEY</t>
  </si>
  <si>
    <t xml:space="preserve">OFFICE</t>
  </si>
  <si>
    <r>
      <rPr>
        <b val="true"/>
        <sz val="10"/>
        <rFont val="WenQuanYi Zen Hei"/>
        <family val="2"/>
      </rPr>
      <t xml:space="preserve">공통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미배분</t>
    </r>
    <r>
      <rPr>
        <b val="true"/>
        <sz val="10"/>
        <rFont val="맑은 고딕"/>
        <family val="0"/>
        <charset val="1"/>
      </rPr>
      <t xml:space="preserve">)</t>
    </r>
  </si>
  <si>
    <t xml:space="preserve">업체 총합계</t>
  </si>
  <si>
    <t xml:space="preserve">공급가액</t>
  </si>
  <si>
    <t xml:space="preserve">부가세</t>
  </si>
  <si>
    <t xml:space="preserve">추가가능
부가세</t>
  </si>
  <si>
    <r>
      <rPr>
        <b val="true"/>
        <sz val="10"/>
        <rFont val="맑은 고딕"/>
        <family val="0"/>
        <charset val="1"/>
      </rPr>
      <t xml:space="preserve">VAT</t>
    </r>
    <r>
      <rPr>
        <b val="true"/>
        <sz val="10"/>
        <rFont val="WenQuanYi Zen Hei"/>
        <family val="2"/>
      </rPr>
      <t xml:space="preserve">추가 시
예상 총액</t>
    </r>
  </si>
  <si>
    <t xml:space="preserve">상태</t>
  </si>
  <si>
    <t xml:space="preserve">고려문화사</t>
  </si>
  <si>
    <t xml:space="preserve">네오맥스</t>
  </si>
  <si>
    <t xml:space="preserve">디앤오</t>
  </si>
  <si>
    <t xml:space="preserve">비아이자이로</t>
  </si>
  <si>
    <t xml:space="preserve">시웨이글로벌</t>
  </si>
  <si>
    <t xml:space="preserve">옥슨앤파트너스</t>
  </si>
  <si>
    <t xml:space="preserve">제이앤캐이</t>
  </si>
  <si>
    <t xml:space="preserve">한국해양개발</t>
  </si>
  <si>
    <t xml:space="preserve">한일후지코리아</t>
  </si>
  <si>
    <t xml:space="preserve">해인쉽스서비스</t>
  </si>
  <si>
    <t xml:space="preserve">화인컴에스이</t>
  </si>
  <si>
    <t xml:space="preserve">합계</t>
  </si>
  <si>
    <r>
      <rPr>
        <sz val="9"/>
        <color rgb="FF666666"/>
        <rFont val="WenQuanYi Zen Hei"/>
        <family val="2"/>
      </rPr>
      <t xml:space="preserve">검증 </t>
    </r>
    <r>
      <rPr>
        <sz val="9"/>
        <color rgb="FF666666"/>
        <rFont val="맑은 고딕"/>
        <family val="0"/>
        <charset val="1"/>
      </rPr>
      <t xml:space="preserve">(</t>
    </r>
    <r>
      <rPr>
        <sz val="9"/>
        <color rgb="FF666666"/>
        <rFont val="WenQuanYi Zen Hei"/>
        <family val="2"/>
      </rPr>
      <t xml:space="preserve">상세 합계와 차이</t>
    </r>
    <r>
      <rPr>
        <sz val="9"/>
        <color rgb="FF666666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</si>
  <si>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선박별 공급가액 </t>
    </r>
    <r>
      <rPr>
        <b val="true"/>
        <sz val="10"/>
        <rFont val="맑은 고딕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부가세</t>
    </r>
  </si>
  <si>
    <t xml:space="preserve">선박</t>
  </si>
  <si>
    <t xml:space="preserve">비중</t>
  </si>
  <si>
    <r>
      <rPr>
        <sz val="10"/>
        <rFont val="WenQuanYi Zen Hei"/>
        <family val="2"/>
      </rPr>
      <t xml:space="preserve">공통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미배분</t>
    </r>
    <r>
      <rPr>
        <sz val="10"/>
        <rFont val="맑은 고딕"/>
        <family val="0"/>
        <charset val="1"/>
      </rPr>
      <t xml:space="preserve">)</t>
    </r>
  </si>
  <si>
    <t xml:space="preserve">참고</t>
  </si>
  <si>
    <r>
      <rPr>
        <sz val="9"/>
        <color rgb="FF666666"/>
        <rFont val="맑은 고딕"/>
        <family val="0"/>
        <charset val="1"/>
      </rPr>
      <t xml:space="preserve">· OFFICE: </t>
    </r>
    <r>
      <rPr>
        <sz val="9"/>
        <color rgb="FF666666"/>
        <rFont val="WenQuanYi Zen Hei"/>
        <family val="2"/>
      </rPr>
      <t xml:space="preserve">선박이 아닌 사무실 물품 </t>
    </r>
    <r>
      <rPr>
        <sz val="9"/>
        <color rgb="FF666666"/>
        <rFont val="맑은 고딕"/>
        <family val="0"/>
        <charset val="1"/>
      </rPr>
      <t xml:space="preserve">(</t>
    </r>
    <r>
      <rPr>
        <sz val="9"/>
        <color rgb="FF666666"/>
        <rFont val="WenQuanYi Zen Hei"/>
        <family val="2"/>
      </rPr>
      <t xml:space="preserve">옥슨앤파트너스 감독님 작업복</t>
    </r>
    <r>
      <rPr>
        <sz val="9"/>
        <color rgb="FF666666"/>
        <rFont val="맑은 고딕"/>
        <family val="0"/>
        <charset val="1"/>
      </rPr>
      <t xml:space="preserve">/</t>
    </r>
    <r>
      <rPr>
        <sz val="9"/>
        <color rgb="FF666666"/>
        <rFont val="WenQuanYi Zen Hei"/>
        <family val="2"/>
      </rPr>
      <t xml:space="preserve">헬멧 등</t>
    </r>
    <r>
      <rPr>
        <sz val="9"/>
        <color rgb="FF666666"/>
        <rFont val="맑은 고딕"/>
        <family val="0"/>
        <charset val="1"/>
      </rPr>
      <t xml:space="preserve">).</t>
    </r>
  </si>
  <si>
    <r>
      <rPr>
        <sz val="9"/>
        <color rgb="FF666666"/>
        <rFont val="맑은 고딕"/>
        <family val="0"/>
        <charset val="1"/>
      </rPr>
      <t xml:space="preserve">· </t>
    </r>
    <r>
      <rPr>
        <sz val="9"/>
        <color rgb="FF666666"/>
        <rFont val="WenQuanYi Zen Hei"/>
        <family val="2"/>
      </rPr>
      <t xml:space="preserve">공통</t>
    </r>
    <r>
      <rPr>
        <sz val="9"/>
        <color rgb="FF666666"/>
        <rFont val="맑은 고딕"/>
        <family val="0"/>
        <charset val="1"/>
      </rPr>
      <t xml:space="preserve">(</t>
    </r>
    <r>
      <rPr>
        <sz val="9"/>
        <color rgb="FF666666"/>
        <rFont val="WenQuanYi Zen Hei"/>
        <family val="2"/>
      </rPr>
      <t xml:space="preserve">미배분</t>
    </r>
    <r>
      <rPr>
        <sz val="9"/>
        <color rgb="FF666666"/>
        <rFont val="맑은 고딕"/>
        <family val="0"/>
        <charset val="1"/>
      </rPr>
      <t xml:space="preserve">): </t>
    </r>
    <r>
      <rPr>
        <sz val="9"/>
        <color rgb="FF666666"/>
        <rFont val="WenQuanYi Zen Hei"/>
        <family val="2"/>
      </rPr>
      <t xml:space="preserve">금액이 작거나 선박별로 쪼개기 애매한 건 </t>
    </r>
    <r>
      <rPr>
        <sz val="9"/>
        <color rgb="FF666666"/>
        <rFont val="맑은 고딕"/>
        <family val="0"/>
        <charset val="1"/>
      </rPr>
      <t xml:space="preserve">(</t>
    </r>
    <r>
      <rPr>
        <sz val="9"/>
        <color rgb="FF666666"/>
        <rFont val="WenQuanYi Zen Hei"/>
        <family val="2"/>
      </rPr>
      <t xml:space="preserve">고려문화사 로그북</t>
    </r>
    <r>
      <rPr>
        <sz val="9"/>
        <color rgb="FF666666"/>
        <rFont val="맑은 고딕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시웨이글로벌</t>
    </r>
    <r>
      <rPr>
        <sz val="9"/>
        <color rgb="FF666666"/>
        <rFont val="맑은 고딕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화인컴에스이</t>
    </r>
    <r>
      <rPr>
        <sz val="9"/>
        <color rgb="FF666666"/>
        <rFont val="맑은 고딕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옥슨 염화칼슘</t>
    </r>
    <r>
      <rPr>
        <sz val="9"/>
        <color rgb="FF666666"/>
        <rFont val="맑은 고딕"/>
        <family val="0"/>
        <charset val="1"/>
      </rPr>
      <t xml:space="preserve">/IGG O2 Sensor).</t>
    </r>
  </si>
  <si>
    <r>
      <rPr>
        <sz val="9"/>
        <color rgb="FF666666"/>
        <rFont val="맑은 고딕"/>
        <family val="0"/>
        <charset val="1"/>
      </rPr>
      <t xml:space="preserve">· </t>
    </r>
    <r>
      <rPr>
        <sz val="9"/>
        <color rgb="FF666666"/>
        <rFont val="WenQuanYi Zen Hei"/>
        <family val="2"/>
      </rPr>
      <t xml:space="preserve">시웨이글로벌 </t>
    </r>
    <r>
      <rPr>
        <sz val="9"/>
        <color rgb="FF666666"/>
        <rFont val="맑은 고딕"/>
        <family val="0"/>
        <charset val="1"/>
      </rPr>
      <t xml:space="preserve">/ </t>
    </r>
    <r>
      <rPr>
        <sz val="9"/>
        <color rgb="FF666666"/>
        <rFont val="WenQuanYi Zen Hei"/>
        <family val="2"/>
      </rPr>
      <t xml:space="preserve">화인컴에스이</t>
    </r>
    <r>
      <rPr>
        <sz val="9"/>
        <color rgb="FF666666"/>
        <rFont val="맑은 고딕"/>
        <family val="0"/>
        <charset val="1"/>
      </rPr>
      <t xml:space="preserve">: </t>
    </r>
    <r>
      <rPr>
        <sz val="9"/>
        <color rgb="FF666666"/>
        <rFont val="WenQuanYi Zen Hei"/>
        <family val="2"/>
      </rPr>
      <t xml:space="preserve">적재허가서 문제로 현재 부가세별도</t>
    </r>
    <r>
      <rPr>
        <sz val="9"/>
        <color rgb="FF666666"/>
        <rFont val="맑은 고딕"/>
        <family val="0"/>
        <charset val="1"/>
      </rPr>
      <t xml:space="preserve">. </t>
    </r>
    <r>
      <rPr>
        <sz val="9"/>
        <color rgb="FF666666"/>
        <rFont val="WenQuanYi Zen Hei"/>
        <family val="2"/>
      </rPr>
      <t xml:space="preserve">부가세 </t>
    </r>
    <r>
      <rPr>
        <sz val="9"/>
        <color rgb="FF666666"/>
        <rFont val="맑은 고딕"/>
        <family val="0"/>
        <charset val="1"/>
      </rPr>
      <t xml:space="preserve">10% </t>
    </r>
    <r>
      <rPr>
        <sz val="9"/>
        <color rgb="FF666666"/>
        <rFont val="WenQuanYi Zen Hei"/>
        <family val="2"/>
      </rPr>
      <t xml:space="preserve">추가 시 </t>
    </r>
    <r>
      <rPr>
        <sz val="9"/>
        <color rgb="FF666666"/>
        <rFont val="맑은 고딕"/>
        <family val="0"/>
        <charset val="1"/>
      </rPr>
      <t xml:space="preserve">'</t>
    </r>
    <r>
      <rPr>
        <sz val="9"/>
        <color rgb="FF666666"/>
        <rFont val="WenQuanYi Zen Hei"/>
        <family val="2"/>
      </rPr>
      <t xml:space="preserve">추가가능 부가세</t>
    </r>
    <r>
      <rPr>
        <sz val="9"/>
        <color rgb="FF666666"/>
        <rFont val="맑은 고딕"/>
        <family val="0"/>
        <charset val="1"/>
      </rPr>
      <t xml:space="preserve">' </t>
    </r>
    <r>
      <rPr>
        <sz val="9"/>
        <color rgb="FF666666"/>
        <rFont val="WenQuanYi Zen Hei"/>
        <family val="2"/>
      </rPr>
      <t xml:space="preserve">만큼 증가</t>
    </r>
    <r>
      <rPr>
        <sz val="9"/>
        <color rgb="FF666666"/>
        <rFont val="맑은 고딕"/>
        <family val="0"/>
        <charset val="1"/>
      </rPr>
      <t xml:space="preserve">.</t>
    </r>
  </si>
  <si>
    <r>
      <rPr>
        <sz val="9"/>
        <color rgb="FF666666"/>
        <rFont val="맑은 고딕"/>
        <family val="0"/>
        <charset val="1"/>
      </rPr>
      <t xml:space="preserve">· </t>
    </r>
    <r>
      <rPr>
        <sz val="9"/>
        <color rgb="FF666666"/>
        <rFont val="WenQuanYi Zen Hei"/>
        <family val="2"/>
      </rPr>
      <t xml:space="preserve">옥슨앤파트너스 </t>
    </r>
    <r>
      <rPr>
        <sz val="9"/>
        <color rgb="FF666666"/>
        <rFont val="맑은 고딕"/>
        <family val="0"/>
        <charset val="1"/>
      </rPr>
      <t xml:space="preserve">9/3 </t>
    </r>
    <r>
      <rPr>
        <sz val="9"/>
        <color rgb="FF666666"/>
        <rFont val="WenQuanYi Zen Hei"/>
        <family val="2"/>
      </rPr>
      <t xml:space="preserve">건</t>
    </r>
    <r>
      <rPr>
        <sz val="9"/>
        <color rgb="FF666666"/>
        <rFont val="맑은 고딕"/>
        <family val="0"/>
        <charset val="1"/>
      </rPr>
      <t xml:space="preserve">(</t>
    </r>
    <r>
      <rPr>
        <sz val="9"/>
        <color rgb="FF666666"/>
        <rFont val="WenQuanYi Zen Hei"/>
        <family val="2"/>
      </rPr>
      <t xml:space="preserve">스탬프</t>
    </r>
    <r>
      <rPr>
        <sz val="9"/>
        <color rgb="FF666666"/>
        <rFont val="맑은 고딕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작업복</t>
    </r>
    <r>
      <rPr>
        <sz val="9"/>
        <color rgb="FF666666"/>
        <rFont val="맑은 고딕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안전화 등</t>
    </r>
    <r>
      <rPr>
        <sz val="9"/>
        <color rgb="FF666666"/>
        <rFont val="맑은 고딕"/>
        <family val="0"/>
        <charset val="1"/>
      </rPr>
      <t xml:space="preserve">): 9/3~9/22 </t>
    </r>
    <r>
      <rPr>
        <sz val="9"/>
        <color rgb="FF666666"/>
        <rFont val="WenQuanYi Zen Hei"/>
        <family val="2"/>
      </rPr>
      <t xml:space="preserve">작업</t>
    </r>
    <r>
      <rPr>
        <sz val="9"/>
        <color rgb="FF666666"/>
        <rFont val="맑은 고딕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일자는 </t>
    </r>
    <r>
      <rPr>
        <sz val="9"/>
        <color rgb="FF666666"/>
        <rFont val="맑은 고딕"/>
        <family val="0"/>
        <charset val="1"/>
      </rPr>
      <t xml:space="preserve">9/3</t>
    </r>
    <r>
      <rPr>
        <sz val="9"/>
        <color rgb="FF666666"/>
        <rFont val="WenQuanYi Zen Hei"/>
        <family val="2"/>
      </rPr>
      <t xml:space="preserve">로 기재</t>
    </r>
    <r>
      <rPr>
        <sz val="9"/>
        <color rgb="FF666666"/>
        <rFont val="맑은 고딕"/>
        <family val="0"/>
        <charset val="1"/>
      </rPr>
      <t xml:space="preserve">.</t>
    </r>
  </si>
  <si>
    <r>
      <rPr>
        <sz val="9"/>
        <color rgb="FF666666"/>
        <rFont val="맑은 고딕"/>
        <family val="0"/>
        <charset val="1"/>
      </rPr>
      <t xml:space="preserve">· </t>
    </r>
    <r>
      <rPr>
        <sz val="9"/>
        <color rgb="FF666666"/>
        <rFont val="WenQuanYi Zen Hei"/>
        <family val="2"/>
      </rPr>
      <t xml:space="preserve">네오맥스 </t>
    </r>
    <r>
      <rPr>
        <sz val="9"/>
        <color rgb="FF666666"/>
        <rFont val="맑은 고딕"/>
        <family val="0"/>
        <charset val="1"/>
      </rPr>
      <t xml:space="preserve">/ </t>
    </r>
    <r>
      <rPr>
        <sz val="9"/>
        <color rgb="FF666666"/>
        <rFont val="WenQuanYi Zen Hei"/>
        <family val="2"/>
      </rPr>
      <t xml:space="preserve">한일후지코리아</t>
    </r>
    <r>
      <rPr>
        <sz val="9"/>
        <color rgb="FF666666"/>
        <rFont val="맑은 고딕"/>
        <family val="0"/>
        <charset val="1"/>
      </rPr>
      <t xml:space="preserve">: </t>
    </r>
    <r>
      <rPr>
        <sz val="9"/>
        <color rgb="FF666666"/>
        <rFont val="WenQuanYi Zen Hei"/>
        <family val="2"/>
      </rPr>
      <t xml:space="preserve">데이터 입력 대기</t>
    </r>
    <r>
      <rPr>
        <sz val="9"/>
        <color rgb="FF666666"/>
        <rFont val="맑은 고딕"/>
        <family val="0"/>
        <charset val="1"/>
      </rPr>
      <t xml:space="preserve">. 'OPEX </t>
    </r>
    <r>
      <rPr>
        <sz val="9"/>
        <color rgb="FF666666"/>
        <rFont val="WenQuanYi Zen Hei"/>
        <family val="2"/>
      </rPr>
      <t xml:space="preserve">상세</t>
    </r>
    <r>
      <rPr>
        <sz val="9"/>
        <color rgb="FF666666"/>
        <rFont val="맑은 고딕"/>
        <family val="0"/>
        <charset val="1"/>
      </rPr>
      <t xml:space="preserve">' </t>
    </r>
    <r>
      <rPr>
        <sz val="9"/>
        <color rgb="FF666666"/>
        <rFont val="WenQuanYi Zen Hei"/>
        <family val="2"/>
      </rPr>
      <t xml:space="preserve">시트 빈 행에 입력하면 자동 반영</t>
    </r>
    <r>
      <rPr>
        <sz val="9"/>
        <color rgb="FF666666"/>
        <rFont val="맑은 고딕"/>
        <family val="0"/>
        <charset val="1"/>
      </rPr>
      <t xml:space="preserve">.</t>
    </r>
  </si>
  <si>
    <r>
      <rPr>
        <sz val="9"/>
        <color rgb="FF666666"/>
        <rFont val="맑은 고딕"/>
        <family val="0"/>
        <charset val="1"/>
      </rPr>
      <t xml:space="preserve">· USD </t>
    </r>
    <r>
      <rPr>
        <sz val="9"/>
        <color rgb="FF666666"/>
        <rFont val="WenQuanYi Zen Hei"/>
        <family val="2"/>
      </rPr>
      <t xml:space="preserve">항목</t>
    </r>
    <r>
      <rPr>
        <sz val="9"/>
        <color rgb="FF666666"/>
        <rFont val="맑은 고딕"/>
        <family val="0"/>
        <charset val="1"/>
      </rPr>
      <t xml:space="preserve">(</t>
    </r>
    <r>
      <rPr>
        <sz val="9"/>
        <color rgb="FF666666"/>
        <rFont val="WenQuanYi Zen Hei"/>
        <family val="2"/>
      </rPr>
      <t xml:space="preserve">디앤오 </t>
    </r>
    <r>
      <rPr>
        <sz val="9"/>
        <color rgb="FF666666"/>
        <rFont val="맑은 고딕"/>
        <family val="0"/>
        <charset val="1"/>
      </rPr>
      <t xml:space="preserve">Server, NAS)</t>
    </r>
    <r>
      <rPr>
        <sz val="9"/>
        <color rgb="FF666666"/>
        <rFont val="WenQuanYi Zen Hei"/>
        <family val="2"/>
      </rPr>
      <t xml:space="preserve">은 </t>
    </r>
    <r>
      <rPr>
        <sz val="9"/>
        <color rgb="FF666666"/>
        <rFont val="맑은 고딕"/>
        <family val="0"/>
        <charset val="1"/>
      </rPr>
      <t xml:space="preserve">'</t>
    </r>
    <r>
      <rPr>
        <sz val="9"/>
        <color rgb="FF666666"/>
        <rFont val="WenQuanYi Zen Hei"/>
        <family val="2"/>
      </rPr>
      <t xml:space="preserve">설정</t>
    </r>
    <r>
      <rPr>
        <sz val="9"/>
        <color rgb="FF666666"/>
        <rFont val="맑은 고딕"/>
        <family val="0"/>
        <charset val="1"/>
      </rPr>
      <t xml:space="preserve">' </t>
    </r>
    <r>
      <rPr>
        <sz val="9"/>
        <color rgb="FF666666"/>
        <rFont val="WenQuanYi Zen Hei"/>
        <family val="2"/>
      </rPr>
      <t xml:space="preserve">시트 환율로 원화 환산</t>
    </r>
    <r>
      <rPr>
        <sz val="9"/>
        <color rgb="FF666666"/>
        <rFont val="맑은 고딕"/>
        <family val="0"/>
        <charset val="1"/>
      </rPr>
      <t xml:space="preserve">. </t>
    </r>
    <r>
      <rPr>
        <sz val="9"/>
        <color rgb="FF666666"/>
        <rFont val="WenQuanYi Zen Hei"/>
        <family val="2"/>
      </rPr>
      <t xml:space="preserve">환율 확정 시 설정 시트 노란 칸만 수정</t>
    </r>
    <r>
      <rPr>
        <sz val="9"/>
        <color rgb="FF666666"/>
        <rFont val="맑은 고딕"/>
        <family val="0"/>
        <charset val="1"/>
      </rPr>
      <t xml:space="preserve">.</t>
    </r>
  </si>
  <si>
    <r>
      <rPr>
        <b val="true"/>
        <sz val="14"/>
        <rFont val="맑은 고딕"/>
        <family val="0"/>
        <charset val="1"/>
      </rPr>
      <t xml:space="preserve">OPEX </t>
    </r>
    <r>
      <rPr>
        <b val="true"/>
        <sz val="14"/>
        <rFont val="WenQuanYi Zen Hei"/>
        <family val="2"/>
      </rPr>
      <t xml:space="preserve">상세 내역</t>
    </r>
  </si>
  <si>
    <r>
      <rPr>
        <sz val="9"/>
        <color rgb="FF666666"/>
        <rFont val="WenQuanYi Zen Hei"/>
        <family val="2"/>
      </rPr>
      <t xml:space="preserve">입력</t>
    </r>
    <r>
      <rPr>
        <sz val="9"/>
        <color rgb="FF666666"/>
        <rFont val="맑은 고딕"/>
        <family val="0"/>
        <charset val="1"/>
      </rPr>
      <t xml:space="preserve">: </t>
    </r>
    <r>
      <rPr>
        <sz val="9"/>
        <color rgb="FF666666"/>
        <rFont val="WenQuanYi Zen Hei"/>
        <family val="2"/>
      </rPr>
      <t xml:space="preserve">파란 글씨 칸만 입력 </t>
    </r>
    <r>
      <rPr>
        <sz val="9"/>
        <color rgb="FF666666"/>
        <rFont val="맑은 고딕"/>
        <family val="0"/>
        <charset val="1"/>
      </rPr>
      <t xml:space="preserve">/ </t>
    </r>
    <r>
      <rPr>
        <sz val="9"/>
        <color rgb="FF666666"/>
        <rFont val="WenQuanYi Zen Hei"/>
        <family val="2"/>
      </rPr>
      <t xml:space="preserve">검정 글씨는 자동계산</t>
    </r>
    <r>
      <rPr>
        <sz val="9"/>
        <color rgb="FF666666"/>
        <rFont val="맑은 고딕"/>
        <family val="0"/>
        <charset val="1"/>
      </rPr>
      <t xml:space="preserve">.  </t>
    </r>
    <r>
      <rPr>
        <sz val="9"/>
        <color rgb="FF666666"/>
        <rFont val="WenQuanYi Zen Hei"/>
        <family val="2"/>
      </rPr>
      <t xml:space="preserve">비과세 </t>
    </r>
    <r>
      <rPr>
        <sz val="9"/>
        <color rgb="FF666666"/>
        <rFont val="맑은 고딕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부가세 없음</t>
    </r>
    <r>
      <rPr>
        <sz val="9"/>
        <color rgb="FF666666"/>
        <rFont val="맑은 고딕"/>
        <family val="0"/>
        <charset val="1"/>
      </rPr>
      <t xml:space="preserve">(</t>
    </r>
    <r>
      <rPr>
        <sz val="9"/>
        <color rgb="FF666666"/>
        <rFont val="WenQuanYi Zen Hei"/>
        <family val="2"/>
      </rPr>
      <t xml:space="preserve">부가세별도</t>
    </r>
    <r>
      <rPr>
        <sz val="9"/>
        <color rgb="FF666666"/>
        <rFont val="맑은 고딕"/>
        <family val="0"/>
        <charset val="1"/>
      </rPr>
      <t xml:space="preserve">).  </t>
    </r>
    <r>
      <rPr>
        <sz val="9"/>
        <color rgb="FF666666"/>
        <rFont val="WenQuanYi Zen Hei"/>
        <family val="2"/>
      </rPr>
      <t xml:space="preserve">과세 </t>
    </r>
    <r>
      <rPr>
        <sz val="9"/>
        <color rgb="FF666666"/>
        <rFont val="맑은 고딕"/>
        <family val="0"/>
        <charset val="1"/>
      </rPr>
      <t xml:space="preserve">+ 'VAT</t>
    </r>
    <r>
      <rPr>
        <sz val="9"/>
        <color rgb="FF666666"/>
        <rFont val="WenQuanYi Zen Hei"/>
        <family val="2"/>
      </rPr>
      <t xml:space="preserve">포함</t>
    </r>
    <r>
      <rPr>
        <sz val="9"/>
        <color rgb="FF666666"/>
        <rFont val="맑은 고딕"/>
        <family val="0"/>
        <charset val="1"/>
      </rPr>
      <t xml:space="preserve">' = </t>
    </r>
    <r>
      <rPr>
        <sz val="9"/>
        <color rgb="FF666666"/>
        <rFont val="WenQuanYi Zen Hei"/>
        <family val="2"/>
      </rPr>
      <t xml:space="preserve">입력금액에 부가세 포함</t>
    </r>
    <r>
      <rPr>
        <sz val="9"/>
        <color rgb="FF666666"/>
        <rFont val="맑은 고딕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과세 </t>
    </r>
    <r>
      <rPr>
        <sz val="9"/>
        <color rgb="FF666666"/>
        <rFont val="맑은 고딕"/>
        <family val="0"/>
        <charset val="1"/>
      </rPr>
      <t xml:space="preserve">+ 'VAT</t>
    </r>
    <r>
      <rPr>
        <sz val="9"/>
        <color rgb="FF666666"/>
        <rFont val="WenQuanYi Zen Hei"/>
        <family val="2"/>
      </rPr>
      <t xml:space="preserve">별도</t>
    </r>
    <r>
      <rPr>
        <sz val="9"/>
        <color rgb="FF666666"/>
        <rFont val="맑은 고딕"/>
        <family val="0"/>
        <charset val="1"/>
      </rPr>
      <t xml:space="preserve">' = </t>
    </r>
    <r>
      <rPr>
        <sz val="9"/>
        <color rgb="FF666666"/>
        <rFont val="WenQuanYi Zen Hei"/>
        <family val="2"/>
      </rPr>
      <t xml:space="preserve">입력금액에 </t>
    </r>
    <r>
      <rPr>
        <sz val="9"/>
        <color rgb="FF666666"/>
        <rFont val="맑은 고딕"/>
        <family val="0"/>
        <charset val="1"/>
      </rPr>
      <t xml:space="preserve">10% </t>
    </r>
    <r>
      <rPr>
        <sz val="9"/>
        <color rgb="FF666666"/>
        <rFont val="WenQuanYi Zen Hei"/>
        <family val="2"/>
      </rPr>
      <t xml:space="preserve">가산</t>
    </r>
    <r>
      <rPr>
        <sz val="9"/>
        <color rgb="FF666666"/>
        <rFont val="맑은 고딕"/>
        <family val="0"/>
        <charset val="1"/>
      </rPr>
      <t xml:space="preserve">.  USD</t>
    </r>
    <r>
      <rPr>
        <sz val="9"/>
        <color rgb="FF666666"/>
        <rFont val="WenQuanYi Zen Hei"/>
        <family val="2"/>
      </rPr>
      <t xml:space="preserve">는 설정 시트 환율로 환산</t>
    </r>
    <r>
      <rPr>
        <sz val="9"/>
        <color rgb="FF666666"/>
        <rFont val="맑은 고딕"/>
        <family val="0"/>
        <charset val="1"/>
      </rPr>
      <t xml:space="preserve">.  VAT</t>
    </r>
    <r>
      <rPr>
        <sz val="9"/>
        <color rgb="FF666666"/>
        <rFont val="WenQuanYi Zen Hei"/>
        <family val="2"/>
      </rPr>
      <t xml:space="preserve">추가가능 </t>
    </r>
    <r>
      <rPr>
        <sz val="9"/>
        <color rgb="FF666666"/>
        <rFont val="맑은 고딕"/>
        <family val="0"/>
        <charset val="1"/>
      </rPr>
      <t xml:space="preserve">'Y' = </t>
    </r>
    <r>
      <rPr>
        <sz val="9"/>
        <color rgb="FF666666"/>
        <rFont val="WenQuanYi Zen Hei"/>
        <family val="2"/>
      </rPr>
      <t xml:space="preserve">현재 미포함이나 추가될 수 있는 부가세 별도 집계</t>
    </r>
    <r>
      <rPr>
        <sz val="9"/>
        <color rgb="FF666666"/>
        <rFont val="맑은 고딕"/>
        <family val="0"/>
        <charset val="1"/>
      </rPr>
      <t xml:space="preserve">.  </t>
    </r>
    <r>
      <rPr>
        <sz val="9"/>
        <color rgb="FF666666"/>
        <rFont val="WenQuanYi Zen Hei"/>
        <family val="2"/>
      </rPr>
      <t xml:space="preserve">일자는 </t>
    </r>
    <r>
      <rPr>
        <sz val="9"/>
        <color rgb="FF666666"/>
        <rFont val="맑은 고딕"/>
        <family val="0"/>
        <charset val="1"/>
      </rPr>
      <t xml:space="preserve">2026-09-30 </t>
    </r>
    <r>
      <rPr>
        <sz val="9"/>
        <color rgb="FF666666"/>
        <rFont val="WenQuanYi Zen Hei"/>
        <family val="2"/>
      </rPr>
      <t xml:space="preserve">형식으로 입력</t>
    </r>
    <r>
      <rPr>
        <sz val="9"/>
        <color rgb="FF666666"/>
        <rFont val="맑은 고딕"/>
        <family val="0"/>
        <charset val="1"/>
      </rPr>
      <t xml:space="preserve">.</t>
    </r>
  </si>
  <si>
    <t xml:space="preserve">일자</t>
  </si>
  <si>
    <r>
      <rPr>
        <b val="true"/>
        <sz val="10"/>
        <rFont val="맑은 고딕"/>
        <family val="0"/>
        <charset val="1"/>
      </rPr>
      <t xml:space="preserve">OPEX </t>
    </r>
    <r>
      <rPr>
        <b val="true"/>
        <sz val="10"/>
        <rFont val="WenQuanYi Zen Hei"/>
        <family val="2"/>
      </rPr>
      <t xml:space="preserve">코드</t>
    </r>
  </si>
  <si>
    <r>
      <rPr>
        <b val="true"/>
        <sz val="10"/>
        <rFont val="맑은 고딕"/>
        <family val="0"/>
        <charset val="1"/>
      </rPr>
      <t xml:space="preserve">OPEX </t>
    </r>
    <r>
      <rPr>
        <b val="true"/>
        <sz val="10"/>
        <rFont val="WenQuanYi Zen Hei"/>
        <family val="2"/>
      </rPr>
      <t xml:space="preserve">계정명
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자동</t>
    </r>
    <r>
      <rPr>
        <b val="true"/>
        <sz val="10"/>
        <rFont val="맑은 고딕"/>
        <family val="0"/>
        <charset val="1"/>
      </rPr>
      <t xml:space="preserve">)</t>
    </r>
  </si>
  <si>
    <t xml:space="preserve">업체 구매코드</t>
  </si>
  <si>
    <r>
      <rPr>
        <b val="true"/>
        <sz val="10"/>
        <rFont val="WenQuanYi Zen Hei"/>
        <family val="2"/>
      </rPr>
      <t xml:space="preserve">품목 </t>
    </r>
    <r>
      <rPr>
        <b val="true"/>
        <sz val="10"/>
        <rFont val="맑은 고딕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내역</t>
    </r>
  </si>
  <si>
    <t xml:space="preserve">과세구분</t>
  </si>
  <si>
    <t xml:space="preserve">통화</t>
  </si>
  <si>
    <r>
      <rPr>
        <b val="true"/>
        <sz val="10"/>
        <rFont val="WenQuanYi Zen Hei"/>
        <family val="2"/>
      </rPr>
      <t xml:space="preserve">입력금액
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통화기준</t>
    </r>
    <r>
      <rPr>
        <b val="true"/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</si>
  <si>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금액기준
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과세시</t>
    </r>
    <r>
      <rPr>
        <b val="true"/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</si>
  <si>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원화금액
</t>
    </r>
    <r>
      <rPr>
        <b val="true"/>
        <sz val="10"/>
        <rFont val="맑은 고딕"/>
        <family val="0"/>
        <charset val="1"/>
      </rPr>
      <t xml:space="preserve">(KRW)</t>
    </r>
  </si>
  <si>
    <r>
      <rPr>
        <b val="true"/>
        <sz val="10"/>
        <rFont val="WenQuanYi Zen Hei"/>
        <family val="2"/>
      </rPr>
      <t xml:space="preserve">공급가액
</t>
    </r>
    <r>
      <rPr>
        <b val="true"/>
        <sz val="10"/>
        <rFont val="맑은 고딕"/>
        <family val="0"/>
        <charset val="1"/>
      </rPr>
      <t xml:space="preserve">(KRW)</t>
    </r>
  </si>
  <si>
    <r>
      <rPr>
        <b val="true"/>
        <sz val="10"/>
        <rFont val="WenQuanYi Zen Hei"/>
        <family val="2"/>
      </rPr>
      <t xml:space="preserve">부가세
</t>
    </r>
    <r>
      <rPr>
        <b val="true"/>
        <sz val="10"/>
        <rFont val="맑은 고딕"/>
        <family val="0"/>
        <charset val="1"/>
      </rPr>
      <t xml:space="preserve">(KRW)</t>
    </r>
  </si>
  <si>
    <r>
      <rPr>
        <b val="true"/>
        <sz val="10"/>
        <rFont val="WenQuanYi Zen Hei"/>
        <family val="2"/>
      </rPr>
      <t xml:space="preserve">합계
</t>
    </r>
    <r>
      <rPr>
        <b val="true"/>
        <sz val="10"/>
        <rFont val="맑은 고딕"/>
        <family val="0"/>
        <charset val="1"/>
      </rPr>
      <t xml:space="preserve">(KRW)</t>
    </r>
  </si>
  <si>
    <r>
      <rPr>
        <b val="true"/>
        <sz val="10"/>
        <rFont val="맑은 고딕"/>
        <family val="0"/>
        <charset val="1"/>
      </rPr>
      <t xml:space="preserve">VAT
</t>
    </r>
    <r>
      <rPr>
        <b val="true"/>
        <sz val="10"/>
        <rFont val="WenQuanYi Zen Hei"/>
        <family val="2"/>
      </rPr>
      <t xml:space="preserve">추가가능</t>
    </r>
  </si>
  <si>
    <r>
      <rPr>
        <b val="true"/>
        <sz val="10"/>
        <rFont val="WenQuanYi Zen Hei"/>
        <family val="2"/>
      </rPr>
      <t xml:space="preserve">비고 </t>
    </r>
    <r>
      <rPr>
        <b val="true"/>
        <sz val="10"/>
        <rFont val="맑은 고딕"/>
        <family val="0"/>
        <charset val="1"/>
      </rPr>
      <t xml:space="preserve">(REMARK)</t>
    </r>
  </si>
  <si>
    <r>
      <rPr>
        <sz val="10"/>
        <color rgb="FF0000FF"/>
        <rFont val="WenQuanYi Zen Hei"/>
        <family val="2"/>
      </rPr>
      <t xml:space="preserve">공통</t>
    </r>
    <r>
      <rPr>
        <sz val="10"/>
        <color rgb="FF0000FF"/>
        <rFont val="맑은 고딕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미배분</t>
    </r>
    <r>
      <rPr>
        <sz val="10"/>
        <color rgb="FF0000FF"/>
        <rFont val="맑은 고딕"/>
        <family val="0"/>
        <charset val="1"/>
      </rPr>
      <t xml:space="preserve">)</t>
    </r>
  </si>
  <si>
    <t xml:space="preserve">로그북 제작</t>
  </si>
  <si>
    <t xml:space="preserve">과세</t>
  </si>
  <si>
    <t xml:space="preserve">KRW</t>
  </si>
  <si>
    <r>
      <rPr>
        <sz val="10"/>
        <color rgb="FF0000FF"/>
        <rFont val="맑은 고딕"/>
        <family val="0"/>
        <charset val="1"/>
      </rPr>
      <t xml:space="preserve">VAT</t>
    </r>
    <r>
      <rPr>
        <sz val="10"/>
        <color rgb="FF0000FF"/>
        <rFont val="WenQuanYi Zen Hei"/>
        <family val="2"/>
      </rPr>
      <t xml:space="preserve">포함</t>
    </r>
  </si>
  <si>
    <r>
      <rPr>
        <sz val="10"/>
        <color rgb="FF0000FF"/>
        <rFont val="WenQuanYi Zen Hei"/>
        <family val="2"/>
      </rPr>
      <t xml:space="preserve">과세</t>
    </r>
    <r>
      <rPr>
        <sz val="10"/>
        <color rgb="FF0000FF"/>
        <rFont val="맑은 고딕"/>
        <family val="0"/>
        <charset val="1"/>
      </rPr>
      <t xml:space="preserve">. 1,302,400</t>
    </r>
    <r>
      <rPr>
        <sz val="10"/>
        <color rgb="FF0000FF"/>
        <rFont val="WenQuanYi Zen Hei"/>
        <family val="2"/>
      </rPr>
      <t xml:space="preserve">원 </t>
    </r>
    <r>
      <rPr>
        <sz val="10"/>
        <color rgb="FF0000FF"/>
        <rFont val="맑은 고딕"/>
        <family val="0"/>
        <charset val="1"/>
      </rPr>
      <t xml:space="preserve">= </t>
    </r>
    <r>
      <rPr>
        <sz val="10"/>
        <color rgb="FF0000FF"/>
        <rFont val="WenQuanYi Zen Hei"/>
        <family val="2"/>
      </rPr>
      <t xml:space="preserve">부가세 포함으로 가정</t>
    </r>
    <r>
      <rPr>
        <sz val="10"/>
        <color rgb="FF0000FF"/>
        <rFont val="맑은 고딕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공급가 </t>
    </r>
    <r>
      <rPr>
        <sz val="10"/>
        <color rgb="FF0000FF"/>
        <rFont val="맑은 고딕"/>
        <family val="0"/>
        <charset val="1"/>
      </rPr>
      <t xml:space="preserve">1,184,000) - </t>
    </r>
    <r>
      <rPr>
        <sz val="10"/>
        <color rgb="FF0000FF"/>
        <rFont val="WenQuanYi Zen Hei"/>
        <family val="2"/>
      </rPr>
      <t xml:space="preserve">확인 필요</t>
    </r>
    <r>
      <rPr>
        <sz val="10"/>
        <color rgb="FF0000FF"/>
        <rFont val="맑은 고딕"/>
        <family val="0"/>
        <charset val="1"/>
      </rPr>
      <t xml:space="preserve">. </t>
    </r>
    <r>
      <rPr>
        <sz val="10"/>
        <color rgb="FF0000FF"/>
        <rFont val="WenQuanYi Zen Hei"/>
        <family val="2"/>
      </rPr>
      <t xml:space="preserve">선박 미배분</t>
    </r>
  </si>
  <si>
    <t xml:space="preserve">Desktop</t>
  </si>
  <si>
    <t xml:space="preserve">비과세</t>
  </si>
  <si>
    <t xml:space="preserve">NAS Storage</t>
  </si>
  <si>
    <t xml:space="preserve">USD</t>
  </si>
  <si>
    <r>
      <rPr>
        <sz val="10"/>
        <color rgb="FF0000FF"/>
        <rFont val="맑은 고딕"/>
        <family val="0"/>
        <charset val="1"/>
      </rPr>
      <t xml:space="preserve">USD 2,800 (</t>
    </r>
    <r>
      <rPr>
        <sz val="10"/>
        <color rgb="FF0000FF"/>
        <rFont val="WenQuanYi Zen Hei"/>
        <family val="2"/>
      </rPr>
      <t xml:space="preserve">설정 환율 적용</t>
    </r>
    <r>
      <rPr>
        <sz val="10"/>
        <color rgb="FF0000FF"/>
        <rFont val="맑은 고딕"/>
        <family val="0"/>
        <charset val="1"/>
      </rPr>
      <t xml:space="preserve">)</t>
    </r>
  </si>
  <si>
    <t xml:space="preserve">Monitor</t>
  </si>
  <si>
    <t xml:space="preserve">Server</t>
  </si>
  <si>
    <r>
      <rPr>
        <sz val="10"/>
        <color rgb="FF0000FF"/>
        <rFont val="맑은 고딕"/>
        <family val="0"/>
        <charset val="1"/>
      </rPr>
      <t xml:space="preserve">USD 26,000 (</t>
    </r>
    <r>
      <rPr>
        <sz val="10"/>
        <color rgb="FF0000FF"/>
        <rFont val="WenQuanYi Zen Hei"/>
        <family val="2"/>
      </rPr>
      <t xml:space="preserve">설정 환율 적용</t>
    </r>
    <r>
      <rPr>
        <sz val="10"/>
        <color rgb="FF0000FF"/>
        <rFont val="맑은 고딕"/>
        <family val="0"/>
        <charset val="1"/>
      </rPr>
      <t xml:space="preserve">)</t>
    </r>
  </si>
  <si>
    <t xml:space="preserve">Laptop</t>
  </si>
  <si>
    <r>
      <rPr>
        <sz val="10"/>
        <color rgb="FF0000FF"/>
        <rFont val="WenQuanYi Zen Hei"/>
        <family val="2"/>
      </rPr>
      <t xml:space="preserve">선박별 </t>
    </r>
    <r>
      <rPr>
        <sz val="10"/>
        <color rgb="FF0000FF"/>
        <rFont val="맑은 고딕"/>
        <family val="0"/>
        <charset val="1"/>
      </rPr>
      <t xml:space="preserve">33,800,000 (4</t>
    </r>
    <r>
      <rPr>
        <sz val="10"/>
        <color rgb="FF0000FF"/>
        <rFont val="WenQuanYi Zen Hei"/>
        <family val="2"/>
      </rPr>
      <t xml:space="preserve">척 각각</t>
    </r>
    <r>
      <rPr>
        <sz val="10"/>
        <color rgb="FF0000FF"/>
        <rFont val="맑은 고딕"/>
        <family val="0"/>
        <charset val="1"/>
      </rPr>
      <t xml:space="preserve">) - </t>
    </r>
    <r>
      <rPr>
        <sz val="10"/>
        <color rgb="FF0000FF"/>
        <rFont val="WenQuanYi Zen Hei"/>
        <family val="2"/>
      </rPr>
      <t xml:space="preserve">확인 필요</t>
    </r>
  </si>
  <si>
    <t xml:space="preserve">네트워크 셋팅</t>
  </si>
  <si>
    <r>
      <rPr>
        <sz val="10"/>
        <color rgb="FF0000FF"/>
        <rFont val="맑은 고딕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품목 확인 필요</t>
    </r>
    <r>
      <rPr>
        <sz val="10"/>
        <color rgb="FF0000FF"/>
        <rFont val="맑은 고딕"/>
        <family val="0"/>
        <charset val="1"/>
      </rPr>
      <t xml:space="preserve">)</t>
    </r>
  </si>
  <si>
    <t xml:space="preserve">Y</t>
  </si>
  <si>
    <r>
      <rPr>
        <sz val="10"/>
        <color rgb="FF0000FF"/>
        <rFont val="WenQuanYi Zen Hei"/>
        <family val="2"/>
      </rPr>
      <t xml:space="preserve">적재허가서 문제로 현재 부가세별도</t>
    </r>
    <r>
      <rPr>
        <sz val="10"/>
        <color rgb="FF0000FF"/>
        <rFont val="맑은 고딕"/>
        <family val="0"/>
        <charset val="1"/>
      </rPr>
      <t xml:space="preserve">. </t>
    </r>
    <r>
      <rPr>
        <sz val="10"/>
        <color rgb="FF0000FF"/>
        <rFont val="WenQuanYi Zen Hei"/>
        <family val="2"/>
      </rPr>
      <t xml:space="preserve">부가세 </t>
    </r>
    <r>
      <rPr>
        <sz val="10"/>
        <color rgb="FF0000FF"/>
        <rFont val="맑은 고딕"/>
        <family val="0"/>
        <charset val="1"/>
      </rPr>
      <t xml:space="preserve">10% </t>
    </r>
    <r>
      <rPr>
        <sz val="10"/>
        <color rgb="FF0000FF"/>
        <rFont val="WenQuanYi Zen Hei"/>
        <family val="2"/>
      </rPr>
      <t xml:space="preserve">추가 가능성</t>
    </r>
  </si>
  <si>
    <t xml:space="preserve">작업복</t>
  </si>
  <si>
    <r>
      <rPr>
        <sz val="10"/>
        <color rgb="FF0000FF"/>
        <rFont val="맑은 고딕"/>
        <family val="0"/>
        <charset val="1"/>
      </rPr>
      <t xml:space="preserve">9/3 </t>
    </r>
    <r>
      <rPr>
        <sz val="10"/>
        <color rgb="FF0000FF"/>
        <rFont val="WenQuanYi Zen Hei"/>
        <family val="2"/>
      </rPr>
      <t xml:space="preserve">구매 진행 </t>
    </r>
    <r>
      <rPr>
        <sz val="10"/>
        <color rgb="FF0000FF"/>
        <rFont val="맑은 고딕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작업기간 </t>
    </r>
    <r>
      <rPr>
        <sz val="10"/>
        <color rgb="FF0000FF"/>
        <rFont val="맑은 고딕"/>
        <family val="0"/>
        <charset val="1"/>
      </rPr>
      <t xml:space="preserve">9/3~9/22) - </t>
    </r>
    <r>
      <rPr>
        <sz val="10"/>
        <color rgb="FF0000FF"/>
        <rFont val="WenQuanYi Zen Hei"/>
        <family val="2"/>
      </rPr>
      <t xml:space="preserve">선박별 스탬프</t>
    </r>
    <r>
      <rPr>
        <sz val="10"/>
        <color rgb="FF0000FF"/>
        <rFont val="맑은 고딕"/>
        <family val="0"/>
        <charset val="1"/>
      </rPr>
      <t xml:space="preserve">, </t>
    </r>
    <r>
      <rPr>
        <sz val="10"/>
        <color rgb="FF0000FF"/>
        <rFont val="WenQuanYi Zen Hei"/>
        <family val="2"/>
      </rPr>
      <t xml:space="preserve">작업복</t>
    </r>
    <r>
      <rPr>
        <sz val="10"/>
        <color rgb="FF0000FF"/>
        <rFont val="맑은 고딕"/>
        <family val="0"/>
        <charset val="1"/>
      </rPr>
      <t xml:space="preserve">, </t>
    </r>
    <r>
      <rPr>
        <sz val="10"/>
        <color rgb="FF0000FF"/>
        <rFont val="WenQuanYi Zen Hei"/>
        <family val="2"/>
      </rPr>
      <t xml:space="preserve">안전화 등</t>
    </r>
  </si>
  <si>
    <t xml:space="preserve">사관용 작업복</t>
  </si>
  <si>
    <t xml:space="preserve">Stamp</t>
  </si>
  <si>
    <t xml:space="preserve">Helmet Earmuffs</t>
  </si>
  <si>
    <r>
      <rPr>
        <sz val="10"/>
        <color rgb="FF0000FF"/>
        <rFont val="맑은 고딕"/>
        <family val="0"/>
        <charset val="1"/>
      </rPr>
      <t xml:space="preserve">Stamp (</t>
    </r>
    <r>
      <rPr>
        <sz val="10"/>
        <color rgb="FF0000FF"/>
        <rFont val="WenQuanYi Zen Hei"/>
        <family val="2"/>
      </rPr>
      <t xml:space="preserve">바뀐 선명</t>
    </r>
    <r>
      <rPr>
        <sz val="10"/>
        <color rgb="FF0000FF"/>
        <rFont val="맑은 고딕"/>
        <family val="0"/>
        <charset val="1"/>
      </rPr>
      <t xml:space="preserve">)</t>
    </r>
  </si>
  <si>
    <t xml:space="preserve">Safety boots &amp; Goggle</t>
  </si>
  <si>
    <r>
      <rPr>
        <sz val="10"/>
        <color rgb="FF0000FF"/>
        <rFont val="WenQuanYi Zen Hei"/>
        <family val="2"/>
      </rPr>
      <t xml:space="preserve">사무실 물품 </t>
    </r>
    <r>
      <rPr>
        <sz val="10"/>
        <color rgb="FF0000FF"/>
        <rFont val="맑은 고딕"/>
        <family val="0"/>
        <charset val="1"/>
      </rPr>
      <t xml:space="preserve">- </t>
    </r>
    <r>
      <rPr>
        <sz val="10"/>
        <color rgb="FF0000FF"/>
        <rFont val="WenQuanYi Zen Hei"/>
        <family val="2"/>
      </rPr>
      <t xml:space="preserve">감독님 작업복</t>
    </r>
    <r>
      <rPr>
        <sz val="10"/>
        <color rgb="FF0000FF"/>
        <rFont val="맑은 고딕"/>
        <family val="0"/>
        <charset val="1"/>
      </rPr>
      <t xml:space="preserve">, </t>
    </r>
    <r>
      <rPr>
        <sz val="10"/>
        <color rgb="FF0000FF"/>
        <rFont val="WenQuanYi Zen Hei"/>
        <family val="2"/>
      </rPr>
      <t xml:space="preserve">헬멧</t>
    </r>
  </si>
  <si>
    <r>
      <rPr>
        <sz val="10"/>
        <color rgb="FF0000FF"/>
        <rFont val="WenQuanYi Zen Hei"/>
        <family val="2"/>
      </rPr>
      <t xml:space="preserve">선박 아님 </t>
    </r>
    <r>
      <rPr>
        <sz val="10"/>
        <color rgb="FF0000FF"/>
        <rFont val="맑은 고딕"/>
        <family val="0"/>
        <charset val="1"/>
      </rPr>
      <t xml:space="preserve">(OFFICE)</t>
    </r>
  </si>
  <si>
    <r>
      <rPr>
        <sz val="10"/>
        <color rgb="FF0000FF"/>
        <rFont val="맑은 고딕"/>
        <family val="0"/>
        <charset val="1"/>
      </rPr>
      <t xml:space="preserve">4</t>
    </r>
    <r>
      <rPr>
        <sz val="10"/>
        <color rgb="FF0000FF"/>
        <rFont val="WenQuanYi Zen Hei"/>
        <family val="2"/>
      </rPr>
      <t xml:space="preserve">척에 </t>
    </r>
    <r>
      <rPr>
        <sz val="10"/>
        <color rgb="FF0000FF"/>
        <rFont val="맑은 고딕"/>
        <family val="0"/>
        <charset val="1"/>
      </rPr>
      <t xml:space="preserve">3</t>
    </r>
    <r>
      <rPr>
        <sz val="10"/>
        <color rgb="FF0000FF"/>
        <rFont val="WenQuanYi Zen Hei"/>
        <family val="2"/>
      </rPr>
      <t xml:space="preserve">개씩 보급 </t>
    </r>
    <r>
      <rPr>
        <sz val="10"/>
        <color rgb="FF0000FF"/>
        <rFont val="맑은 고딕"/>
        <family val="0"/>
        <charset val="1"/>
      </rPr>
      <t xml:space="preserve">(NORTH LIGHT</t>
    </r>
    <r>
      <rPr>
        <sz val="10"/>
        <color rgb="FF0000FF"/>
        <rFont val="WenQuanYi Zen Hei"/>
        <family val="2"/>
      </rPr>
      <t xml:space="preserve">로 견적</t>
    </r>
    <r>
      <rPr>
        <sz val="10"/>
        <color rgb="FF0000FF"/>
        <rFont val="맑은 고딕"/>
        <family val="0"/>
        <charset val="1"/>
      </rPr>
      <t xml:space="preserve">)</t>
    </r>
  </si>
  <si>
    <t xml:space="preserve">염화칼슘</t>
  </si>
  <si>
    <r>
      <rPr>
        <sz val="10"/>
        <color rgb="FF0000FF"/>
        <rFont val="맑은 고딕"/>
        <family val="0"/>
        <charset val="1"/>
      </rPr>
      <t xml:space="preserve">8/8/8/4 bags </t>
    </r>
    <r>
      <rPr>
        <sz val="10"/>
        <color rgb="FF0000FF"/>
        <rFont val="WenQuanYi Zen Hei"/>
        <family val="2"/>
      </rPr>
      <t xml:space="preserve">분배 </t>
    </r>
    <r>
      <rPr>
        <sz val="10"/>
        <color rgb="FF0000FF"/>
        <rFont val="맑은 고딕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총 </t>
    </r>
    <r>
      <rPr>
        <sz val="10"/>
        <color rgb="FF0000FF"/>
        <rFont val="맑은 고딕"/>
        <family val="0"/>
        <charset val="1"/>
      </rPr>
      <t xml:space="preserve">28 bags)</t>
    </r>
  </si>
  <si>
    <t xml:space="preserve">IGG O2 Sensor</t>
  </si>
  <si>
    <t xml:space="preserve">선박 미기재</t>
  </si>
  <si>
    <t xml:space="preserve">Extra spare parts - Air filter element</t>
  </si>
  <si>
    <r>
      <rPr>
        <sz val="10"/>
        <color rgb="FF0000FF"/>
        <rFont val="맑은 고딕"/>
        <family val="0"/>
        <charset val="1"/>
      </rPr>
      <t xml:space="preserve">NORTH LIGHT</t>
    </r>
    <r>
      <rPr>
        <sz val="10"/>
        <color rgb="FF0000FF"/>
        <rFont val="WenQuanYi Zen Hei"/>
        <family val="2"/>
      </rPr>
      <t xml:space="preserve">로 견적</t>
    </r>
    <r>
      <rPr>
        <sz val="10"/>
        <color rgb="FF0000FF"/>
        <rFont val="맑은 고딕"/>
        <family val="0"/>
        <charset val="1"/>
      </rPr>
      <t xml:space="preserve">. Lead time </t>
    </r>
    <r>
      <rPr>
        <sz val="10"/>
        <color rgb="FF0000FF"/>
        <rFont val="WenQuanYi Zen Hei"/>
        <family val="2"/>
      </rPr>
      <t xml:space="preserve">때문에 기존 보급 안 되었던 건</t>
    </r>
  </si>
  <si>
    <t xml:space="preserve">Extra spare parts - PH sensor for EGR</t>
  </si>
  <si>
    <r>
      <rPr>
        <sz val="10"/>
        <color rgb="FF0000FF"/>
        <rFont val="맑은 고딕"/>
        <family val="0"/>
        <charset val="1"/>
      </rPr>
      <t xml:space="preserve">Lead time </t>
    </r>
    <r>
      <rPr>
        <sz val="10"/>
        <color rgb="FF0000FF"/>
        <rFont val="WenQuanYi Zen Hei"/>
        <family val="2"/>
      </rPr>
      <t xml:space="preserve">때문에 기존 보급 안 되었던 건</t>
    </r>
  </si>
  <si>
    <r>
      <rPr>
        <sz val="10"/>
        <color rgb="FF0000FF"/>
        <rFont val="맑은 고딕"/>
        <family val="0"/>
        <charset val="1"/>
      </rPr>
      <t xml:space="preserve">Engine part (</t>
    </r>
    <r>
      <rPr>
        <sz val="10"/>
        <color rgb="FF0000FF"/>
        <rFont val="WenQuanYi Zen Hei"/>
        <family val="2"/>
      </rPr>
      <t xml:space="preserve">선용품</t>
    </r>
    <r>
      <rPr>
        <sz val="10"/>
        <color rgb="FF0000FF"/>
        <rFont val="맑은 고딕"/>
        <family val="0"/>
        <charset val="1"/>
      </rPr>
      <t xml:space="preserve">)</t>
    </r>
  </si>
  <si>
    <r>
      <rPr>
        <sz val="10"/>
        <color rgb="FF0000FF"/>
        <rFont val="맑은 고딕"/>
        <family val="0"/>
        <charset val="1"/>
      </rPr>
      <t xml:space="preserve">09/23 </t>
    </r>
    <r>
      <rPr>
        <sz val="10"/>
        <color rgb="FF0000FF"/>
        <rFont val="WenQuanYi Zen Hei"/>
        <family val="2"/>
      </rPr>
      <t xml:space="preserve">요청</t>
    </r>
  </si>
  <si>
    <t xml:space="preserve">Deck part</t>
  </si>
  <si>
    <t xml:space="preserve">Cargo part</t>
  </si>
  <si>
    <t xml:space="preserve">Galley part</t>
  </si>
  <si>
    <t xml:space="preserve">Deck paint</t>
  </si>
  <si>
    <t xml:space="preserve">Electric part</t>
  </si>
  <si>
    <t xml:space="preserve">Engine part</t>
  </si>
  <si>
    <t xml:space="preserve">Cabin part</t>
  </si>
  <si>
    <t xml:space="preserve">Paint</t>
  </si>
  <si>
    <t xml:space="preserve">PPE part</t>
  </si>
  <si>
    <t xml:space="preserve">Deck part - Coffee machine, Soundbar</t>
  </si>
  <si>
    <t xml:space="preserve">Galley part 1</t>
  </si>
  <si>
    <t xml:space="preserve">Galley part 2</t>
  </si>
  <si>
    <t xml:space="preserve">Winter PPE boots</t>
  </si>
  <si>
    <t xml:space="preserve">Store parts</t>
  </si>
  <si>
    <t xml:space="preserve">Flexible steam hose</t>
  </si>
  <si>
    <t xml:space="preserve">주부식</t>
  </si>
  <si>
    <r>
      <rPr>
        <sz val="10"/>
        <color rgb="FF0000FF"/>
        <rFont val="WenQuanYi Zen Hei"/>
        <family val="2"/>
      </rPr>
      <t xml:space="preserve">부식공급업체</t>
    </r>
    <r>
      <rPr>
        <sz val="10"/>
        <color rgb="FF0000FF"/>
        <rFont val="맑은 고딕"/>
        <family val="0"/>
        <charset val="1"/>
      </rPr>
      <t xml:space="preserve">. </t>
    </r>
    <r>
      <rPr>
        <sz val="10"/>
        <color rgb="FF0000FF"/>
        <rFont val="WenQuanYi Zen Hei"/>
        <family val="2"/>
      </rPr>
      <t xml:space="preserve">약 </t>
    </r>
    <r>
      <rPr>
        <sz val="10"/>
        <color rgb="FF0000FF"/>
        <rFont val="맑은 고딕"/>
        <family val="0"/>
        <charset val="1"/>
      </rPr>
      <t xml:space="preserve">USD 21,000</t>
    </r>
  </si>
  <si>
    <t xml:space="preserve">접대품</t>
  </si>
  <si>
    <t xml:space="preserve">부식공급업체</t>
  </si>
  <si>
    <t xml:space="preserve">개인품</t>
  </si>
  <si>
    <t xml:space="preserve">작업선</t>
  </si>
  <si>
    <r>
      <rPr>
        <sz val="10"/>
        <color rgb="FF0000FF"/>
        <rFont val="WenQuanYi Zen Hei"/>
        <family val="2"/>
      </rPr>
      <t xml:space="preserve">부식공급업체</t>
    </r>
    <r>
      <rPr>
        <sz val="10"/>
        <color rgb="FF0000FF"/>
        <rFont val="맑은 고딕"/>
        <family val="0"/>
        <charset val="1"/>
      </rPr>
      <t xml:space="preserve">. </t>
    </r>
    <r>
      <rPr>
        <sz val="10"/>
        <color rgb="FF0000FF"/>
        <rFont val="WenQuanYi Zen Hei"/>
        <family val="2"/>
      </rPr>
      <t xml:space="preserve">약 </t>
    </r>
    <r>
      <rPr>
        <sz val="10"/>
        <color rgb="FF0000FF"/>
        <rFont val="맑은 고딕"/>
        <family val="0"/>
        <charset val="1"/>
      </rPr>
      <t xml:space="preserve">USD 30,000</t>
    </r>
  </si>
  <si>
    <r>
      <rPr>
        <sz val="10"/>
        <color rgb="FF0000FF"/>
        <rFont val="WenQuanYi Zen Hei"/>
        <family val="2"/>
      </rPr>
      <t xml:space="preserve">부식공급업체</t>
    </r>
    <r>
      <rPr>
        <sz val="10"/>
        <color rgb="FF0000FF"/>
        <rFont val="맑은 고딕"/>
        <family val="0"/>
        <charset val="1"/>
      </rPr>
      <t xml:space="preserve">. </t>
    </r>
    <r>
      <rPr>
        <sz val="10"/>
        <color rgb="FF0000FF"/>
        <rFont val="WenQuanYi Zen Hei"/>
        <family val="2"/>
      </rPr>
      <t xml:space="preserve">약 </t>
    </r>
    <r>
      <rPr>
        <sz val="10"/>
        <color rgb="FF0000FF"/>
        <rFont val="맑은 고딕"/>
        <family val="0"/>
        <charset val="1"/>
      </rPr>
      <t xml:space="preserve">USD 36,000</t>
    </r>
  </si>
  <si>
    <r>
      <rPr>
        <sz val="10"/>
        <color rgb="FF0000FF"/>
        <rFont val="WenQuanYi Zen Hei"/>
        <family val="2"/>
      </rPr>
      <t xml:space="preserve">부식공급업체</t>
    </r>
    <r>
      <rPr>
        <sz val="10"/>
        <color rgb="FF0000FF"/>
        <rFont val="맑은 고딕"/>
        <family val="0"/>
        <charset val="1"/>
      </rPr>
      <t xml:space="preserve">. </t>
    </r>
    <r>
      <rPr>
        <sz val="10"/>
        <color rgb="FF0000FF"/>
        <rFont val="WenQuanYi Zen Hei"/>
        <family val="2"/>
      </rPr>
      <t xml:space="preserve">약 </t>
    </r>
    <r>
      <rPr>
        <sz val="10"/>
        <color rgb="FF0000FF"/>
        <rFont val="맑은 고딕"/>
        <family val="0"/>
        <charset val="1"/>
      </rPr>
      <t xml:space="preserve">USD 27,000</t>
    </r>
  </si>
  <si>
    <r>
      <rPr>
        <sz val="10"/>
        <color rgb="FF0000FF"/>
        <rFont val="WenQuanYi Zen Hei"/>
        <family val="2"/>
      </rPr>
      <t xml:space="preserve">서적 </t>
    </r>
    <r>
      <rPr>
        <sz val="10"/>
        <color rgb="FF0000FF"/>
        <rFont val="맑은 고딕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비과세</t>
    </r>
    <r>
      <rPr>
        <sz val="10"/>
        <color rgb="FF0000FF"/>
        <rFont val="맑은 고딕"/>
        <family val="0"/>
        <charset val="1"/>
      </rPr>
      <t xml:space="preserve">)</t>
    </r>
  </si>
  <si>
    <r>
      <rPr>
        <sz val="10"/>
        <color rgb="FF0000FF"/>
        <rFont val="WenQuanYi Zen Hei"/>
        <family val="2"/>
      </rPr>
      <t xml:space="preserve">서적 </t>
    </r>
    <r>
      <rPr>
        <sz val="10"/>
        <color rgb="FF0000FF"/>
        <rFont val="맑은 고딕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과세</t>
    </r>
    <r>
      <rPr>
        <sz val="10"/>
        <color rgb="FF0000FF"/>
        <rFont val="맑은 고딕"/>
        <family val="0"/>
        <charset val="1"/>
      </rPr>
      <t xml:space="preserve">)</t>
    </r>
  </si>
  <si>
    <r>
      <rPr>
        <sz val="10"/>
        <color rgb="FF0000FF"/>
        <rFont val="WenQuanYi Zen Hei"/>
        <family val="2"/>
      </rPr>
      <t xml:space="preserve">과세분 </t>
    </r>
    <r>
      <rPr>
        <sz val="10"/>
        <color rgb="FF0000FF"/>
        <rFont val="맑은 고딕"/>
        <family val="0"/>
        <charset val="1"/>
      </rPr>
      <t xml:space="preserve">101,200 = </t>
    </r>
    <r>
      <rPr>
        <sz val="10"/>
        <color rgb="FF0000FF"/>
        <rFont val="WenQuanYi Zen Hei"/>
        <family val="2"/>
      </rPr>
      <t xml:space="preserve">부가세 포함 금액 </t>
    </r>
    <r>
      <rPr>
        <sz val="10"/>
        <color rgb="FF0000FF"/>
        <rFont val="맑은 고딕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공급가 </t>
    </r>
    <r>
      <rPr>
        <sz val="10"/>
        <color rgb="FF0000FF"/>
        <rFont val="맑은 고딕"/>
        <family val="0"/>
        <charset val="1"/>
      </rPr>
      <t xml:space="preserve">92,000)</t>
    </r>
  </si>
  <si>
    <r>
      <rPr>
        <sz val="10"/>
        <color rgb="FF0000FF"/>
        <rFont val="WenQuanYi Zen Hei"/>
        <family val="2"/>
      </rPr>
      <t xml:space="preserve">택배비 </t>
    </r>
    <r>
      <rPr>
        <sz val="10"/>
        <color rgb="FF0000FF"/>
        <rFont val="맑은 고딕"/>
        <family val="0"/>
        <charset val="1"/>
      </rPr>
      <t xml:space="preserve">26,400</t>
    </r>
    <r>
      <rPr>
        <sz val="10"/>
        <color rgb="FF0000FF"/>
        <rFont val="WenQuanYi Zen Hei"/>
        <family val="2"/>
      </rPr>
      <t xml:space="preserve">원 포함</t>
    </r>
  </si>
  <si>
    <r>
      <rPr>
        <sz val="10"/>
        <color rgb="FF0000FF"/>
        <rFont val="WenQuanYi Zen Hei"/>
        <family val="2"/>
      </rPr>
      <t xml:space="preserve">택배비 </t>
    </r>
    <r>
      <rPr>
        <sz val="10"/>
        <color rgb="FF0000FF"/>
        <rFont val="맑은 고딕"/>
        <family val="0"/>
        <charset val="1"/>
      </rPr>
      <t xml:space="preserve">6,600</t>
    </r>
    <r>
      <rPr>
        <sz val="10"/>
        <color rgb="FF0000FF"/>
        <rFont val="WenQuanYi Zen Hei"/>
        <family val="2"/>
      </rPr>
      <t xml:space="preserve">원 포함</t>
    </r>
  </si>
  <si>
    <r>
      <rPr>
        <sz val="10"/>
        <color rgb="FF0000FF"/>
        <rFont val="맑은 고딕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품목 확인 필요</t>
    </r>
    <r>
      <rPr>
        <sz val="10"/>
        <color rgb="FF0000FF"/>
        <rFont val="맑은 고딕"/>
        <family val="0"/>
        <charset val="1"/>
      </rPr>
      <t xml:space="preserve">) 1</t>
    </r>
  </si>
  <si>
    <r>
      <rPr>
        <sz val="10"/>
        <color rgb="FF0000FF"/>
        <rFont val="맑은 고딕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품목 확인 필요</t>
    </r>
    <r>
      <rPr>
        <sz val="10"/>
        <color rgb="FF0000FF"/>
        <rFont val="맑은 고딕"/>
        <family val="0"/>
        <charset val="1"/>
      </rPr>
      <t xml:space="preserve">) 2</t>
    </r>
  </si>
  <si>
    <t xml:space="preserve">코드 관리</t>
  </si>
  <si>
    <r>
      <rPr>
        <sz val="9"/>
        <color rgb="FF666666"/>
        <rFont val="WenQuanYi Zen Hei"/>
        <family val="2"/>
      </rPr>
      <t xml:space="preserve">파란 글씨 칸에 입력</t>
    </r>
    <r>
      <rPr>
        <sz val="9"/>
        <color rgb="FF666666"/>
        <rFont val="맑은 고딕"/>
        <family val="0"/>
        <charset val="1"/>
      </rPr>
      <t xml:space="preserve">. </t>
    </r>
    <r>
      <rPr>
        <sz val="9"/>
        <color rgb="FF666666"/>
        <rFont val="WenQuanYi Zen Hei"/>
        <family val="2"/>
      </rPr>
      <t xml:space="preserve">여기 등록한 </t>
    </r>
    <r>
      <rPr>
        <sz val="9"/>
        <color rgb="FF666666"/>
        <rFont val="맑은 고딕"/>
        <family val="0"/>
        <charset val="1"/>
      </rPr>
      <t xml:space="preserve">OPEX </t>
    </r>
    <r>
      <rPr>
        <sz val="9"/>
        <color rgb="FF666666"/>
        <rFont val="WenQuanYi Zen Hei"/>
        <family val="2"/>
      </rPr>
      <t xml:space="preserve">코드는 </t>
    </r>
    <r>
      <rPr>
        <sz val="9"/>
        <color rgb="FF666666"/>
        <rFont val="맑은 고딕"/>
        <family val="0"/>
        <charset val="1"/>
      </rPr>
      <t xml:space="preserve">'OPEX </t>
    </r>
    <r>
      <rPr>
        <sz val="9"/>
        <color rgb="FF666666"/>
        <rFont val="WenQuanYi Zen Hei"/>
        <family val="2"/>
      </rPr>
      <t xml:space="preserve">상세</t>
    </r>
    <r>
      <rPr>
        <sz val="9"/>
        <color rgb="FF666666"/>
        <rFont val="맑은 고딕"/>
        <family val="0"/>
        <charset val="1"/>
      </rPr>
      <t xml:space="preserve">' </t>
    </r>
    <r>
      <rPr>
        <sz val="9"/>
        <color rgb="FF666666"/>
        <rFont val="WenQuanYi Zen Hei"/>
        <family val="2"/>
      </rPr>
      <t xml:space="preserve">시트 </t>
    </r>
    <r>
      <rPr>
        <sz val="9"/>
        <color rgb="FF666666"/>
        <rFont val="맑은 고딕"/>
        <family val="0"/>
        <charset val="1"/>
      </rPr>
      <t xml:space="preserve">D</t>
    </r>
    <r>
      <rPr>
        <sz val="9"/>
        <color rgb="FF666666"/>
        <rFont val="WenQuanYi Zen Hei"/>
        <family val="2"/>
      </rPr>
      <t xml:space="preserve">열 드롭다운과 계정명 자동표시에 사용됩니다</t>
    </r>
    <r>
      <rPr>
        <sz val="9"/>
        <color rgb="FF666666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</si>
  <si>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① OPEX </t>
    </r>
    <r>
      <rPr>
        <b val="true"/>
        <sz val="10"/>
        <rFont val="WenQuanYi Zen Hei"/>
        <family val="2"/>
      </rPr>
      <t xml:space="preserve">코드표</t>
    </r>
  </si>
  <si>
    <r>
      <rPr>
        <b val="true"/>
        <sz val="10"/>
        <rFont val="WenQuanYi Zen Hei"/>
        <family val="2"/>
      </rPr>
      <t xml:space="preserve">② 업체별 구매코드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한 업체에 여러 코드 등록 가능</t>
    </r>
    <r>
      <rPr>
        <b val="true"/>
        <sz val="10"/>
        <rFont val="맑은 고딕"/>
        <family val="0"/>
        <charset val="1"/>
      </rPr>
      <t xml:space="preserve">)</t>
    </r>
  </si>
  <si>
    <t xml:space="preserve">계정명</t>
  </si>
  <si>
    <t xml:space="preserve">설명</t>
  </si>
  <si>
    <t xml:space="preserve">품목명</t>
  </si>
  <si>
    <r>
      <rPr>
        <b val="true"/>
        <sz val="10"/>
        <rFont val="WenQuanYi Zen Hei"/>
        <family val="2"/>
      </rPr>
      <t xml:space="preserve">연결 </t>
    </r>
    <r>
      <rPr>
        <b val="true"/>
        <sz val="10"/>
        <rFont val="맑은 고딕"/>
        <family val="0"/>
        <charset val="1"/>
      </rPr>
      <t xml:space="preserve">OPEX </t>
    </r>
    <r>
      <rPr>
        <b val="true"/>
        <sz val="10"/>
        <rFont val="WenQuanYi Zen Hei"/>
        <family val="2"/>
      </rPr>
      <t xml:space="preserve">코드</t>
    </r>
  </si>
  <si>
    <t xml:space="preserve">비고</t>
  </si>
  <si>
    <r>
      <rPr>
        <i val="true"/>
        <sz val="9"/>
        <color rgb="FF666666"/>
        <rFont val="맑은 고딕"/>
        <family val="0"/>
        <charset val="1"/>
      </rPr>
      <t xml:space="preserve">(</t>
    </r>
    <r>
      <rPr>
        <i val="true"/>
        <sz val="9"/>
        <color rgb="FF666666"/>
        <rFont val="WenQuanYi Zen Hei"/>
        <family val="2"/>
      </rPr>
      <t xml:space="preserve">예시</t>
    </r>
    <r>
      <rPr>
        <i val="true"/>
        <sz val="9"/>
        <color rgb="FF666666"/>
        <rFont val="맑은 고딕"/>
        <family val="0"/>
        <charset val="1"/>
      </rPr>
      <t xml:space="preserve">) </t>
    </r>
    <r>
      <rPr>
        <i val="true"/>
        <sz val="9"/>
        <color rgb="FF666666"/>
        <rFont val="WenQuanYi Zen Hei"/>
        <family val="2"/>
      </rPr>
      <t xml:space="preserve">디앤오</t>
    </r>
  </si>
  <si>
    <t xml:space="preserve">DNO-NAS-01</t>
  </si>
  <si>
    <r>
      <rPr>
        <i val="true"/>
        <sz val="9"/>
        <color rgb="FF666666"/>
        <rFont val="WenQuanYi Zen Hei"/>
        <family val="2"/>
      </rPr>
      <t xml:space="preserve">예시 행 </t>
    </r>
    <r>
      <rPr>
        <i val="true"/>
        <sz val="9"/>
        <color rgb="FF666666"/>
        <rFont val="맑은 고딕"/>
        <family val="0"/>
        <charset val="1"/>
      </rPr>
      <t xml:space="preserve">- </t>
    </r>
    <r>
      <rPr>
        <i val="true"/>
        <sz val="9"/>
        <color rgb="FF666666"/>
        <rFont val="WenQuanYi Zen Hei"/>
        <family val="2"/>
      </rPr>
      <t xml:space="preserve">삭제 후 사용</t>
    </r>
  </si>
  <si>
    <t xml:space="preserve">설정값</t>
  </si>
  <si>
    <r>
      <rPr>
        <b val="true"/>
        <sz val="10"/>
        <rFont val="WenQuanYi Zen Hei"/>
        <family val="2"/>
      </rPr>
      <t xml:space="preserve">환율 </t>
    </r>
    <r>
      <rPr>
        <b val="true"/>
        <sz val="10"/>
        <rFont val="맑은 고딕"/>
        <family val="0"/>
        <charset val="1"/>
      </rPr>
      <t xml:space="preserve">(KRW / USD)</t>
    </r>
  </si>
  <si>
    <r>
      <rPr>
        <sz val="9"/>
        <color rgb="FF666666"/>
        <rFont val="맑은 고딕"/>
        <family val="0"/>
        <charset val="1"/>
      </rPr>
      <t xml:space="preserve">USD </t>
    </r>
    <r>
      <rPr>
        <sz val="9"/>
        <color rgb="FF666666"/>
        <rFont val="WenQuanYi Zen Hei"/>
        <family val="2"/>
      </rPr>
      <t xml:space="preserve">금액 원화환산에 사용</t>
    </r>
    <r>
      <rPr>
        <sz val="9"/>
        <color rgb="FF666666"/>
        <rFont val="맑은 고딕"/>
        <family val="0"/>
        <charset val="1"/>
      </rPr>
      <t xml:space="preserve">. </t>
    </r>
    <r>
      <rPr>
        <sz val="9"/>
        <color rgb="FF666666"/>
        <rFont val="WenQuanYi Zen Hei"/>
        <family val="2"/>
      </rPr>
      <t xml:space="preserve">결제</t>
    </r>
    <r>
      <rPr>
        <sz val="9"/>
        <color rgb="FF666666"/>
        <rFont val="맑은 고딕"/>
        <family val="0"/>
        <charset val="1"/>
      </rPr>
      <t xml:space="preserve">/</t>
    </r>
    <r>
      <rPr>
        <sz val="9"/>
        <color rgb="FF666666"/>
        <rFont val="WenQuanYi Zen Hei"/>
        <family val="2"/>
      </rPr>
      <t xml:space="preserve">청구 시점 환율로 수정하세요</t>
    </r>
    <r>
      <rPr>
        <sz val="9"/>
        <color rgb="FF666666"/>
        <rFont val="맑은 고딕"/>
        <family val="0"/>
        <charset val="1"/>
      </rPr>
      <t xml:space="preserve">. (</t>
    </r>
    <r>
      <rPr>
        <sz val="9"/>
        <color rgb="FF666666"/>
        <rFont val="WenQuanYi Zen Hei"/>
        <family val="2"/>
      </rPr>
      <t xml:space="preserve">현재값은 임시</t>
    </r>
    <r>
      <rPr>
        <sz val="9"/>
        <color rgb="FF666666"/>
        <rFont val="맑은 고딕"/>
        <family val="0"/>
        <charset val="1"/>
      </rPr>
      <t xml:space="preserve">: </t>
    </r>
    <r>
      <rPr>
        <sz val="9"/>
        <color rgb="FF666666"/>
        <rFont val="WenQuanYi Zen Hei"/>
        <family val="2"/>
      </rPr>
      <t xml:space="preserve">제이앤캐이 주부식 원화</t>
    </r>
    <r>
      <rPr>
        <sz val="9"/>
        <color rgb="FF666666"/>
        <rFont val="맑은 고딕"/>
        <family val="0"/>
        <charset val="1"/>
      </rPr>
      <t xml:space="preserve">/</t>
    </r>
    <r>
      <rPr>
        <sz val="9"/>
        <color rgb="FF666666"/>
        <rFont val="WenQuanYi Zen Hei"/>
        <family val="2"/>
      </rPr>
      <t xml:space="preserve">달러 비율 평균 약 </t>
    </r>
    <r>
      <rPr>
        <sz val="9"/>
        <color rgb="FF666666"/>
        <rFont val="맑은 고딕"/>
        <family val="0"/>
        <charset val="1"/>
      </rPr>
      <t xml:space="preserve">1,340~1,365 </t>
    </r>
    <r>
      <rPr>
        <sz val="9"/>
        <color rgb="FF666666"/>
        <rFont val="WenQuanYi Zen Hei"/>
        <family val="2"/>
      </rPr>
      <t xml:space="preserve">참고</t>
    </r>
    <r>
      <rPr>
        <sz val="9"/>
        <color rgb="FF666666"/>
        <rFont val="맑은 고딕"/>
        <family val="0"/>
        <charset val="1"/>
      </rPr>
      <t xml:space="preserve">)</t>
    </r>
  </si>
  <si>
    <t xml:space="preserve">부가세율</t>
  </si>
  <si>
    <t xml:space="preserve">과세 항목 부가세 계산에 사용</t>
  </si>
  <si>
    <r>
      <rPr>
        <b val="true"/>
        <sz val="10"/>
        <rFont val="WenQuanYi Zen Hei"/>
        <family val="2"/>
      </rPr>
      <t xml:space="preserve">목록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드롭다운 원본</t>
    </r>
    <r>
      <rPr>
        <b val="true"/>
        <sz val="10"/>
        <rFont val="맑은 고딕"/>
        <family val="0"/>
        <charset val="1"/>
      </rPr>
      <t xml:space="preserve">)</t>
    </r>
  </si>
  <si>
    <t xml:space="preserve">금액기준</t>
  </si>
  <si>
    <t xml:space="preserve">업체</t>
  </si>
  <si>
    <r>
      <rPr>
        <sz val="10"/>
        <rFont val="맑은 고딕"/>
        <family val="0"/>
        <charset val="1"/>
      </rPr>
      <t xml:space="preserve">VAT</t>
    </r>
    <r>
      <rPr>
        <sz val="10"/>
        <rFont val="WenQuanYi Zen Hei"/>
        <family val="2"/>
      </rPr>
      <t xml:space="preserve">별도</t>
    </r>
  </si>
  <si>
    <r>
      <rPr>
        <sz val="10"/>
        <rFont val="맑은 고딕"/>
        <family val="0"/>
        <charset val="1"/>
      </rPr>
      <t xml:space="preserve">VAT</t>
    </r>
    <r>
      <rPr>
        <sz val="10"/>
        <rFont val="WenQuanYi Zen Hei"/>
        <family val="2"/>
      </rPr>
      <t xml:space="preserve">포함</t>
    </r>
  </si>
  <si>
    <r>
      <rPr>
        <sz val="9"/>
        <color rgb="FF666666"/>
        <rFont val="WenQuanYi Zen Hei"/>
        <family val="2"/>
      </rPr>
      <t xml:space="preserve">※ 업체 추가 시 업체 목록 아래 빈칸에 이어서 입력하면 드롭다운에 반영됩니다 </t>
    </r>
    <r>
      <rPr>
        <sz val="9"/>
        <color rgb="FF666666"/>
        <rFont val="맑은 고딕"/>
        <family val="0"/>
        <charset val="1"/>
      </rPr>
      <t xml:space="preserve">(10</t>
    </r>
    <r>
      <rPr>
        <sz val="9"/>
        <color rgb="FF666666"/>
        <rFont val="WenQuanYi Zen Hei"/>
        <family val="2"/>
      </rPr>
      <t xml:space="preserve">개까지</t>
    </r>
    <r>
      <rPr>
        <sz val="9"/>
        <color rgb="FF666666"/>
        <rFont val="맑은 고딕"/>
        <family val="0"/>
        <charset val="1"/>
      </rPr>
      <t xml:space="preserve">).</t>
    </r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</si>
</sst>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.00"/>
    <numFmt numFmtId="166" formatCode="#,##0;\(#,##0\);\-"/>
    <numFmt numFmtId="167" formatCode="0.0%;\-0.0%;\-"/>
    <numFmt numFmtId="168" formatCode="General"/>
    <numFmt numFmtId="169" formatCode="yyyy\-mm\-dd"/>
    <numFmt numFmtId="170" formatCode="#,##0.##;\(#,##0.##\);\-"/>
    <numFmt numFmtId="171" formatCode="0.0%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맑은 고딕"/>
      <family val="0"/>
      <charset val="1"/>
    </font>
    <font>
      <b val="true"/>
      <sz val="14"/>
      <name val="WenQuanYi Zen Hei"/>
      <family val="2"/>
    </font>
    <font>
      <sz val="9"/>
      <color rgb="FF666666"/>
      <name val="WenQuanYi Zen Hei"/>
      <family val="2"/>
    </font>
    <font>
      <sz val="9"/>
      <color rgb="FF666666"/>
      <name val="맑은 고딕"/>
      <family val="0"/>
      <charset val="1"/>
    </font>
    <font>
      <sz val="10"/>
      <color rgb="FF008000"/>
      <name val="맑은 고딕"/>
      <family val="0"/>
      <charset val="1"/>
    </font>
    <font>
      <b val="true"/>
      <sz val="10"/>
      <name val="맑은 고딕"/>
      <family val="0"/>
      <charset val="1"/>
    </font>
    <font>
      <b val="true"/>
      <sz val="10"/>
      <name val="WenQuanYi Zen Hei"/>
      <family val="2"/>
    </font>
    <font>
      <sz val="10"/>
      <name val="맑은 고딕"/>
      <family val="0"/>
      <charset val="1"/>
    </font>
    <font>
      <sz val="10"/>
      <name val="WenQuanYi Zen Hei"/>
      <family val="2"/>
    </font>
    <font>
      <sz val="10"/>
      <color rgb="FF0000FF"/>
      <name val="맑은 고딕"/>
      <family val="0"/>
      <charset val="1"/>
    </font>
    <font>
      <sz val="10"/>
      <color rgb="FF0000FF"/>
      <name val="WenQuanYi Zen Hei"/>
      <family val="2"/>
    </font>
    <font>
      <i val="true"/>
      <sz val="9"/>
      <color rgb="FF666666"/>
      <name val="맑은 고딕"/>
      <family val="0"/>
      <charset val="1"/>
    </font>
    <font>
      <i val="true"/>
      <sz val="9"/>
      <color rgb="FF666666"/>
      <name val="WenQuanYi Zen Hei"/>
      <family val="2"/>
    </font>
  </fonts>
  <fills count="5">
    <fill>
      <patternFill patternType="none"/>
    </fill>
    <fill>
      <patternFill patternType="gray125"/>
    </fill>
    <fill>
      <patternFill patternType="solid">
        <fgColor rgb="FFE7E6E6"/>
        <bgColor rgb="FFF2F2F2"/>
      </patternFill>
    </fill>
    <fill>
      <patternFill patternType="solid">
        <fgColor rgb="FFF2F2F2"/>
        <bgColor rgb="FFE7E6E6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E7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O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6" min="3" style="0" width="14"/>
    <col collapsed="false" customWidth="true" hidden="false" outlineLevel="0" max="7" min="7" style="0" width="12"/>
    <col collapsed="false" customWidth="true" hidden="false" outlineLevel="0" max="8" min="8" style="0" width="14"/>
    <col collapsed="false" customWidth="true" hidden="false" outlineLevel="0" max="9" min="9" style="0" width="16"/>
    <col collapsed="false" customWidth="true" hidden="false" outlineLevel="0" max="10" min="10" style="0" width="2"/>
    <col collapsed="false" customWidth="true" hidden="false" outlineLevel="0" max="11" min="11" style="0" width="14"/>
    <col collapsed="false" customWidth="true" hidden="false" outlineLevel="0" max="13" min="12" style="0" width="12"/>
    <col collapsed="false" customWidth="true" hidden="false" outlineLevel="0" max="14" min="14" style="0" width="15"/>
    <col collapsed="false" customWidth="true" hidden="false" outlineLevel="0" max="15" min="15" style="0" width="14"/>
  </cols>
  <sheetData>
    <row r="2" customFormat="false" ht="19.4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  <c r="I3" s="3" t="n">
        <f aca="false">설정!$C$4</f>
        <v>1350</v>
      </c>
    </row>
    <row r="5" customFormat="false" ht="30" hidden="false" customHeight="true" outlineLevel="0" collapsed="false">
      <c r="A5" s="4" t="s">
        <v>2</v>
      </c>
      <c r="B5" s="5" t="s">
        <v>3</v>
      </c>
      <c r="C5" s="4" t="s">
        <v>4</v>
      </c>
      <c r="D5" s="4" t="s">
        <v>5</v>
      </c>
      <c r="E5" s="4" t="s">
        <v>6</v>
      </c>
      <c r="F5" s="4" t="s">
        <v>7</v>
      </c>
      <c r="G5" s="4" t="s">
        <v>8</v>
      </c>
      <c r="H5" s="5" t="s">
        <v>9</v>
      </c>
      <c r="I5" s="5" t="s">
        <v>10</v>
      </c>
      <c r="K5" s="5" t="s">
        <v>11</v>
      </c>
      <c r="L5" s="5" t="s">
        <v>12</v>
      </c>
      <c r="M5" s="5" t="s">
        <v>13</v>
      </c>
      <c r="N5" s="4" t="s">
        <v>14</v>
      </c>
      <c r="O5" s="5" t="s">
        <v>15</v>
      </c>
    </row>
    <row r="6" customFormat="false" ht="15" hidden="false" customHeight="false" outlineLevel="0" collapsed="false">
      <c r="A6" s="6" t="n">
        <v>1</v>
      </c>
      <c r="B6" s="7" t="s">
        <v>16</v>
      </c>
      <c r="C6" s="8" t="n">
        <f aca="false">SUMIFS('OPEX 상세'!$P$5:$P$254,'OPEX 상세'!$C$5:$C$254,$B6,'OPEX 상세'!$D$5:$D$254,C$5)</f>
        <v>0</v>
      </c>
      <c r="D6" s="8" t="n">
        <f aca="false">SUMIFS('OPEX 상세'!$P$5:$P$254,'OPEX 상세'!$C$5:$C$254,$B6,'OPEX 상세'!$D$5:$D$254,D$5)</f>
        <v>0</v>
      </c>
      <c r="E6" s="8" t="n">
        <f aca="false">SUMIFS('OPEX 상세'!$P$5:$P$254,'OPEX 상세'!$C$5:$C$254,$B6,'OPEX 상세'!$D$5:$D$254,E$5)</f>
        <v>0</v>
      </c>
      <c r="F6" s="8" t="n">
        <f aca="false">SUMIFS('OPEX 상세'!$P$5:$P$254,'OPEX 상세'!$C$5:$C$254,$B6,'OPEX 상세'!$D$5:$D$254,F$5)</f>
        <v>0</v>
      </c>
      <c r="G6" s="8" t="n">
        <f aca="false">SUMIFS('OPEX 상세'!$P$5:$P$254,'OPEX 상세'!$C$5:$C$254,$B6,'OPEX 상세'!$D$5:$D$254,G$5)</f>
        <v>0</v>
      </c>
      <c r="H6" s="8" t="n">
        <f aca="false">SUMIFS('OPEX 상세'!$P$5:$P$254,'OPEX 상세'!$C$5:$C$254,$B6,'OPEX 상세'!$D$5:$D$254,H$5)</f>
        <v>1302400</v>
      </c>
      <c r="I6" s="9" t="n">
        <f aca="false">SUM(C6:H6)</f>
        <v>1302400</v>
      </c>
      <c r="K6" s="8" t="n">
        <f aca="false">SUMIFS('OPEX 상세'!$N$5:$N$254,'OPEX 상세'!$C$5:$C$254,$B6)</f>
        <v>1184000</v>
      </c>
      <c r="L6" s="8" t="n">
        <f aca="false">SUMIFS('OPEX 상세'!$O$5:$O$254,'OPEX 상세'!$C$5:$C$254,$B6)</f>
        <v>118400</v>
      </c>
      <c r="M6" s="8" t="n">
        <f aca="false">SUMIFS('OPEX 상세'!$R$5:$R$254,'OPEX 상세'!$C$5:$C$254,$B6)</f>
        <v>0</v>
      </c>
      <c r="N6" s="8" t="n">
        <f aca="false">I6+M6</f>
        <v>1302400</v>
      </c>
      <c r="O6" s="10" t="str">
        <f aca="false">IF(COUNTIF('OPEX 상세'!$C$5:$C$254,$B6)=0,"입력대기",IF(M6&gt;0,"VAT 추가 가능",""))</f>
        <v/>
      </c>
    </row>
    <row r="7" customFormat="false" ht="15" hidden="false" customHeight="false" outlineLevel="0" collapsed="false">
      <c r="A7" s="6" t="n">
        <v>2</v>
      </c>
      <c r="B7" s="7" t="s">
        <v>17</v>
      </c>
      <c r="C7" s="8" t="n">
        <f aca="false">SUMIFS('OPEX 상세'!$P$5:$P$254,'OPEX 상세'!$C$5:$C$254,$B7,'OPEX 상세'!$D$5:$D$254,C$5)</f>
        <v>0</v>
      </c>
      <c r="D7" s="8" t="n">
        <f aca="false">SUMIFS('OPEX 상세'!$P$5:$P$254,'OPEX 상세'!$C$5:$C$254,$B7,'OPEX 상세'!$D$5:$D$254,D$5)</f>
        <v>0</v>
      </c>
      <c r="E7" s="8" t="n">
        <f aca="false">SUMIFS('OPEX 상세'!$P$5:$P$254,'OPEX 상세'!$C$5:$C$254,$B7,'OPEX 상세'!$D$5:$D$254,E$5)</f>
        <v>0</v>
      </c>
      <c r="F7" s="8" t="n">
        <f aca="false">SUMIFS('OPEX 상세'!$P$5:$P$254,'OPEX 상세'!$C$5:$C$254,$B7,'OPEX 상세'!$D$5:$D$254,F$5)</f>
        <v>0</v>
      </c>
      <c r="G7" s="8" t="n">
        <f aca="false">SUMIFS('OPEX 상세'!$P$5:$P$254,'OPEX 상세'!$C$5:$C$254,$B7,'OPEX 상세'!$D$5:$D$254,G$5)</f>
        <v>0</v>
      </c>
      <c r="H7" s="8" t="n">
        <f aca="false">SUMIFS('OPEX 상세'!$P$5:$P$254,'OPEX 상세'!$C$5:$C$254,$B7,'OPEX 상세'!$D$5:$D$254,H$5)</f>
        <v>0</v>
      </c>
      <c r="I7" s="9" t="n">
        <f aca="false">SUM(C7:H7)</f>
        <v>0</v>
      </c>
      <c r="K7" s="8" t="n">
        <f aca="false">SUMIFS('OPEX 상세'!$N$5:$N$254,'OPEX 상세'!$C$5:$C$254,$B7)</f>
        <v>0</v>
      </c>
      <c r="L7" s="8" t="n">
        <f aca="false">SUMIFS('OPEX 상세'!$O$5:$O$254,'OPEX 상세'!$C$5:$C$254,$B7)</f>
        <v>0</v>
      </c>
      <c r="M7" s="8" t="n">
        <f aca="false">SUMIFS('OPEX 상세'!$R$5:$R$254,'OPEX 상세'!$C$5:$C$254,$B7)</f>
        <v>0</v>
      </c>
      <c r="N7" s="8" t="n">
        <f aca="false">I7+M7</f>
        <v>0</v>
      </c>
      <c r="O7" s="10" t="str">
        <f aca="false">IF(COUNTIF('OPEX 상세'!$C$5:$C$254,$B7)=0,"입력대기",IF(M7&gt;0,"VAT 추가 가능",""))</f>
        <v>입력대기</v>
      </c>
    </row>
    <row r="8" customFormat="false" ht="15" hidden="false" customHeight="false" outlineLevel="0" collapsed="false">
      <c r="A8" s="6" t="n">
        <v>3</v>
      </c>
      <c r="B8" s="7" t="s">
        <v>18</v>
      </c>
      <c r="C8" s="8" t="n">
        <f aca="false">SUMIFS('OPEX 상세'!$P$5:$P$254,'OPEX 상세'!$C$5:$C$254,$B8,'OPEX 상세'!$D$5:$D$254,C$5)</f>
        <v>7620000</v>
      </c>
      <c r="D8" s="8" t="n">
        <f aca="false">SUMIFS('OPEX 상세'!$P$5:$P$254,'OPEX 상세'!$C$5:$C$254,$B8,'OPEX 상세'!$D$5:$D$254,D$5)</f>
        <v>7620000</v>
      </c>
      <c r="E8" s="8" t="n">
        <f aca="false">SUMIFS('OPEX 상세'!$P$5:$P$254,'OPEX 상세'!$C$5:$C$254,$B8,'OPEX 상세'!$D$5:$D$254,E$5)</f>
        <v>38880000</v>
      </c>
      <c r="F8" s="8" t="n">
        <f aca="false">SUMIFS('OPEX 상세'!$P$5:$P$254,'OPEX 상세'!$C$5:$C$254,$B8,'OPEX 상세'!$D$5:$D$254,F$5)</f>
        <v>38880000</v>
      </c>
      <c r="G8" s="8" t="n">
        <f aca="false">SUMIFS('OPEX 상세'!$P$5:$P$254,'OPEX 상세'!$C$5:$C$254,$B8,'OPEX 상세'!$D$5:$D$254,G$5)</f>
        <v>0</v>
      </c>
      <c r="H8" s="8" t="n">
        <f aca="false">SUMIFS('OPEX 상세'!$P$5:$P$254,'OPEX 상세'!$C$5:$C$254,$B8,'OPEX 상세'!$D$5:$D$254,H$5)</f>
        <v>0</v>
      </c>
      <c r="I8" s="9" t="n">
        <f aca="false">SUM(C8:H8)</f>
        <v>93000000</v>
      </c>
      <c r="K8" s="8" t="n">
        <f aca="false">SUMIFS('OPEX 상세'!$N$5:$N$254,'OPEX 상세'!$C$5:$C$254,$B8)</f>
        <v>93000000</v>
      </c>
      <c r="L8" s="8" t="n">
        <f aca="false">SUMIFS('OPEX 상세'!$O$5:$O$254,'OPEX 상세'!$C$5:$C$254,$B8)</f>
        <v>0</v>
      </c>
      <c r="M8" s="8" t="n">
        <f aca="false">SUMIFS('OPEX 상세'!$R$5:$R$254,'OPEX 상세'!$C$5:$C$254,$B8)</f>
        <v>0</v>
      </c>
      <c r="N8" s="8" t="n">
        <f aca="false">I8+M8</f>
        <v>93000000</v>
      </c>
      <c r="O8" s="10" t="str">
        <f aca="false">IF(COUNTIF('OPEX 상세'!$C$5:$C$254,$B8)=0,"입력대기",IF(M8&gt;0,"VAT 추가 가능",""))</f>
        <v/>
      </c>
    </row>
    <row r="9" customFormat="false" ht="15" hidden="false" customHeight="false" outlineLevel="0" collapsed="false">
      <c r="A9" s="6" t="n">
        <v>4</v>
      </c>
      <c r="B9" s="7" t="s">
        <v>19</v>
      </c>
      <c r="C9" s="8" t="n">
        <f aca="false">SUMIFS('OPEX 상세'!$P$5:$P$254,'OPEX 상세'!$C$5:$C$254,$B9,'OPEX 상세'!$D$5:$D$254,C$5)</f>
        <v>41790000</v>
      </c>
      <c r="D9" s="8" t="n">
        <f aca="false">SUMIFS('OPEX 상세'!$P$5:$P$254,'OPEX 상세'!$C$5:$C$254,$B9,'OPEX 상세'!$D$5:$D$254,D$5)</f>
        <v>41090000</v>
      </c>
      <c r="E9" s="8" t="n">
        <f aca="false">SUMIFS('OPEX 상세'!$P$5:$P$254,'OPEX 상세'!$C$5:$C$254,$B9,'OPEX 상세'!$D$5:$D$254,E$5)</f>
        <v>40840000</v>
      </c>
      <c r="F9" s="8" t="n">
        <f aca="false">SUMIFS('OPEX 상세'!$P$5:$P$254,'OPEX 상세'!$C$5:$C$254,$B9,'OPEX 상세'!$D$5:$D$254,F$5)</f>
        <v>42500000</v>
      </c>
      <c r="G9" s="8" t="n">
        <f aca="false">SUMIFS('OPEX 상세'!$P$5:$P$254,'OPEX 상세'!$C$5:$C$254,$B9,'OPEX 상세'!$D$5:$D$254,G$5)</f>
        <v>0</v>
      </c>
      <c r="H9" s="8" t="n">
        <f aca="false">SUMIFS('OPEX 상세'!$P$5:$P$254,'OPEX 상세'!$C$5:$C$254,$B9,'OPEX 상세'!$D$5:$D$254,H$5)</f>
        <v>0</v>
      </c>
      <c r="I9" s="9" t="n">
        <f aca="false">SUM(C9:H9)</f>
        <v>166220000</v>
      </c>
      <c r="K9" s="8" t="n">
        <f aca="false">SUMIFS('OPEX 상세'!$N$5:$N$254,'OPEX 상세'!$C$5:$C$254,$B9)</f>
        <v>166220000</v>
      </c>
      <c r="L9" s="8" t="n">
        <f aca="false">SUMIFS('OPEX 상세'!$O$5:$O$254,'OPEX 상세'!$C$5:$C$254,$B9)</f>
        <v>0</v>
      </c>
      <c r="M9" s="8" t="n">
        <f aca="false">SUMIFS('OPEX 상세'!$R$5:$R$254,'OPEX 상세'!$C$5:$C$254,$B9)</f>
        <v>0</v>
      </c>
      <c r="N9" s="8" t="n">
        <f aca="false">I9+M9</f>
        <v>166220000</v>
      </c>
      <c r="O9" s="10" t="str">
        <f aca="false">IF(COUNTIF('OPEX 상세'!$C$5:$C$254,$B9)=0,"입력대기",IF(M9&gt;0,"VAT 추가 가능",""))</f>
        <v/>
      </c>
    </row>
    <row r="10" customFormat="false" ht="15" hidden="false" customHeight="false" outlineLevel="0" collapsed="false">
      <c r="A10" s="6" t="n">
        <v>5</v>
      </c>
      <c r="B10" s="7" t="s">
        <v>20</v>
      </c>
      <c r="C10" s="8" t="n">
        <f aca="false">SUMIFS('OPEX 상세'!$P$5:$P$254,'OPEX 상세'!$C$5:$C$254,$B10,'OPEX 상세'!$D$5:$D$254,C$5)</f>
        <v>0</v>
      </c>
      <c r="D10" s="8" t="n">
        <f aca="false">SUMIFS('OPEX 상세'!$P$5:$P$254,'OPEX 상세'!$C$5:$C$254,$B10,'OPEX 상세'!$D$5:$D$254,D$5)</f>
        <v>0</v>
      </c>
      <c r="E10" s="8" t="n">
        <f aca="false">SUMIFS('OPEX 상세'!$P$5:$P$254,'OPEX 상세'!$C$5:$C$254,$B10,'OPEX 상세'!$D$5:$D$254,E$5)</f>
        <v>0</v>
      </c>
      <c r="F10" s="8" t="n">
        <f aca="false">SUMIFS('OPEX 상세'!$P$5:$P$254,'OPEX 상세'!$C$5:$C$254,$B10,'OPEX 상세'!$D$5:$D$254,F$5)</f>
        <v>0</v>
      </c>
      <c r="G10" s="8" t="n">
        <f aca="false">SUMIFS('OPEX 상세'!$P$5:$P$254,'OPEX 상세'!$C$5:$C$254,$B10,'OPEX 상세'!$D$5:$D$254,G$5)</f>
        <v>0</v>
      </c>
      <c r="H10" s="8" t="n">
        <f aca="false">SUMIFS('OPEX 상세'!$P$5:$P$254,'OPEX 상세'!$C$5:$C$254,$B10,'OPEX 상세'!$D$5:$D$254,H$5)</f>
        <v>27300000</v>
      </c>
      <c r="I10" s="9" t="n">
        <f aca="false">SUM(C10:H10)</f>
        <v>27300000</v>
      </c>
      <c r="K10" s="8" t="n">
        <f aca="false">SUMIFS('OPEX 상세'!$N$5:$N$254,'OPEX 상세'!$C$5:$C$254,$B10)</f>
        <v>27300000</v>
      </c>
      <c r="L10" s="8" t="n">
        <f aca="false">SUMIFS('OPEX 상세'!$O$5:$O$254,'OPEX 상세'!$C$5:$C$254,$B10)</f>
        <v>0</v>
      </c>
      <c r="M10" s="8" t="n">
        <f aca="false">SUMIFS('OPEX 상세'!$R$5:$R$254,'OPEX 상세'!$C$5:$C$254,$B10)</f>
        <v>2730000</v>
      </c>
      <c r="N10" s="8" t="n">
        <f aca="false">I10+M10</f>
        <v>30030000</v>
      </c>
      <c r="O10" s="10" t="str">
        <f aca="false">IF(COUNTIF('OPEX 상세'!$C$5:$C$254,$B10)=0,"입력대기",IF(M10&gt;0,"VAT 추가 가능",""))</f>
        <v>VAT 추가 가능</v>
      </c>
    </row>
    <row r="11" customFormat="false" ht="15" hidden="false" customHeight="false" outlineLevel="0" collapsed="false">
      <c r="A11" s="6" t="n">
        <v>6</v>
      </c>
      <c r="B11" s="7" t="s">
        <v>21</v>
      </c>
      <c r="C11" s="8" t="n">
        <f aca="false">SUMIFS('OPEX 상세'!$P$5:$P$254,'OPEX 상세'!$C$5:$C$254,$B11,'OPEX 상세'!$D$5:$D$254,C$5)</f>
        <v>60705641</v>
      </c>
      <c r="D11" s="8" t="n">
        <f aca="false">SUMIFS('OPEX 상세'!$P$5:$P$254,'OPEX 상세'!$C$5:$C$254,$B11,'OPEX 상세'!$D$5:$D$254,D$5)</f>
        <v>77011377</v>
      </c>
      <c r="E11" s="8" t="n">
        <f aca="false">SUMIFS('OPEX 상세'!$P$5:$P$254,'OPEX 상세'!$C$5:$C$254,$B11,'OPEX 상세'!$D$5:$D$254,E$5)</f>
        <v>67930234</v>
      </c>
      <c r="F11" s="8" t="n">
        <f aca="false">SUMIFS('OPEX 상세'!$P$5:$P$254,'OPEX 상세'!$C$5:$C$254,$B11,'OPEX 상세'!$D$5:$D$254,F$5)</f>
        <v>35919442</v>
      </c>
      <c r="G11" s="8" t="n">
        <f aca="false">SUMIFS('OPEX 상세'!$P$5:$P$254,'OPEX 상세'!$C$5:$C$254,$B11,'OPEX 상세'!$D$5:$D$254,G$5)</f>
        <v>241500</v>
      </c>
      <c r="H11" s="8" t="n">
        <f aca="false">SUMIFS('OPEX 상세'!$P$5:$P$254,'OPEX 상세'!$C$5:$C$254,$B11,'OPEX 상세'!$D$5:$D$254,H$5)</f>
        <v>4931300</v>
      </c>
      <c r="I11" s="9" t="n">
        <f aca="false">SUM(C11:H11)</f>
        <v>246739494</v>
      </c>
      <c r="K11" s="8" t="n">
        <f aca="false">SUMIFS('OPEX 상세'!$N$5:$N$254,'OPEX 상세'!$C$5:$C$254,$B11)</f>
        <v>246739494</v>
      </c>
      <c r="L11" s="8" t="n">
        <f aca="false">SUMIFS('OPEX 상세'!$O$5:$O$254,'OPEX 상세'!$C$5:$C$254,$B11)</f>
        <v>0</v>
      </c>
      <c r="M11" s="8" t="n">
        <f aca="false">SUMIFS('OPEX 상세'!$R$5:$R$254,'OPEX 상세'!$C$5:$C$254,$B11)</f>
        <v>0</v>
      </c>
      <c r="N11" s="8" t="n">
        <f aca="false">I11+M11</f>
        <v>246739494</v>
      </c>
      <c r="O11" s="10" t="str">
        <f aca="false">IF(COUNTIF('OPEX 상세'!$C$5:$C$254,$B11)=0,"입력대기",IF(M11&gt;0,"VAT 추가 가능",""))</f>
        <v/>
      </c>
    </row>
    <row r="12" customFormat="false" ht="15" hidden="false" customHeight="false" outlineLevel="0" collapsed="false">
      <c r="A12" s="6" t="n">
        <v>7</v>
      </c>
      <c r="B12" s="7" t="s">
        <v>22</v>
      </c>
      <c r="C12" s="8" t="n">
        <f aca="false">SUMIFS('OPEX 상세'!$P$5:$P$254,'OPEX 상세'!$C$5:$C$254,$B12,'OPEX 상세'!$D$5:$D$254,C$5)</f>
        <v>36551070</v>
      </c>
      <c r="D12" s="8" t="n">
        <f aca="false">SUMIFS('OPEX 상세'!$P$5:$P$254,'OPEX 상세'!$C$5:$C$254,$B12,'OPEX 상세'!$D$5:$D$254,D$5)</f>
        <v>45255564</v>
      </c>
      <c r="E12" s="8" t="n">
        <f aca="false">SUMIFS('OPEX 상세'!$P$5:$P$254,'OPEX 상세'!$C$5:$C$254,$B12,'OPEX 상세'!$D$5:$D$254,E$5)</f>
        <v>59556592</v>
      </c>
      <c r="F12" s="8" t="n">
        <f aca="false">SUMIFS('OPEX 상세'!$P$5:$P$254,'OPEX 상세'!$C$5:$C$254,$B12,'OPEX 상세'!$D$5:$D$254,F$5)</f>
        <v>53916216</v>
      </c>
      <c r="G12" s="8" t="n">
        <f aca="false">SUMIFS('OPEX 상세'!$P$5:$P$254,'OPEX 상세'!$C$5:$C$254,$B12,'OPEX 상세'!$D$5:$D$254,G$5)</f>
        <v>0</v>
      </c>
      <c r="H12" s="8" t="n">
        <f aca="false">SUMIFS('OPEX 상세'!$P$5:$P$254,'OPEX 상세'!$C$5:$C$254,$B12,'OPEX 상세'!$D$5:$D$254,H$5)</f>
        <v>0</v>
      </c>
      <c r="I12" s="9" t="n">
        <f aca="false">SUM(C12:H12)</f>
        <v>195279442</v>
      </c>
      <c r="K12" s="8" t="n">
        <f aca="false">SUMIFS('OPEX 상세'!$N$5:$N$254,'OPEX 상세'!$C$5:$C$254,$B12)</f>
        <v>195279442</v>
      </c>
      <c r="L12" s="8" t="n">
        <f aca="false">SUMIFS('OPEX 상세'!$O$5:$O$254,'OPEX 상세'!$C$5:$C$254,$B12)</f>
        <v>0</v>
      </c>
      <c r="M12" s="8" t="n">
        <f aca="false">SUMIFS('OPEX 상세'!$R$5:$R$254,'OPEX 상세'!$C$5:$C$254,$B12)</f>
        <v>0</v>
      </c>
      <c r="N12" s="8" t="n">
        <f aca="false">I12+M12</f>
        <v>195279442</v>
      </c>
      <c r="O12" s="10" t="str">
        <f aca="false">IF(COUNTIF('OPEX 상세'!$C$5:$C$254,$B12)=0,"입력대기",IF(M12&gt;0,"VAT 추가 가능",""))</f>
        <v/>
      </c>
    </row>
    <row r="13" customFormat="false" ht="15" hidden="false" customHeight="false" outlineLevel="0" collapsed="false">
      <c r="A13" s="6" t="n">
        <v>8</v>
      </c>
      <c r="B13" s="7" t="s">
        <v>23</v>
      </c>
      <c r="C13" s="8" t="n">
        <f aca="false">SUMIFS('OPEX 상세'!$P$5:$P$254,'OPEX 상세'!$C$5:$C$254,$B13,'OPEX 상세'!$D$5:$D$254,C$5)</f>
        <v>1030200</v>
      </c>
      <c r="D13" s="8" t="n">
        <f aca="false">SUMIFS('OPEX 상세'!$P$5:$P$254,'OPEX 상세'!$C$5:$C$254,$B13,'OPEX 상세'!$D$5:$D$254,D$5)</f>
        <v>1809200</v>
      </c>
      <c r="E13" s="8" t="n">
        <f aca="false">SUMIFS('OPEX 상세'!$P$5:$P$254,'OPEX 상세'!$C$5:$C$254,$B13,'OPEX 상세'!$D$5:$D$254,E$5)</f>
        <v>1809200</v>
      </c>
      <c r="F13" s="8" t="n">
        <f aca="false">SUMIFS('OPEX 상세'!$P$5:$P$254,'OPEX 상세'!$C$5:$C$254,$B13,'OPEX 상세'!$D$5:$D$254,F$5)</f>
        <v>1809200</v>
      </c>
      <c r="G13" s="8" t="n">
        <f aca="false">SUMIFS('OPEX 상세'!$P$5:$P$254,'OPEX 상세'!$C$5:$C$254,$B13,'OPEX 상세'!$D$5:$D$254,G$5)</f>
        <v>0</v>
      </c>
      <c r="H13" s="8" t="n">
        <f aca="false">SUMIFS('OPEX 상세'!$P$5:$P$254,'OPEX 상세'!$C$5:$C$254,$B13,'OPEX 상세'!$D$5:$D$254,H$5)</f>
        <v>0</v>
      </c>
      <c r="I13" s="9" t="n">
        <f aca="false">SUM(C13:H13)</f>
        <v>6457800</v>
      </c>
      <c r="K13" s="8" t="n">
        <f aca="false">SUMIFS('OPEX 상세'!$N$5:$N$254,'OPEX 상세'!$C$5:$C$254,$B13)</f>
        <v>6421000</v>
      </c>
      <c r="L13" s="8" t="n">
        <f aca="false">SUMIFS('OPEX 상세'!$O$5:$O$254,'OPEX 상세'!$C$5:$C$254,$B13)</f>
        <v>36800</v>
      </c>
      <c r="M13" s="8" t="n">
        <f aca="false">SUMIFS('OPEX 상세'!$R$5:$R$254,'OPEX 상세'!$C$5:$C$254,$B13)</f>
        <v>0</v>
      </c>
      <c r="N13" s="8" t="n">
        <f aca="false">I13+M13</f>
        <v>6457800</v>
      </c>
      <c r="O13" s="10" t="str">
        <f aca="false">IF(COUNTIF('OPEX 상세'!$C$5:$C$254,$B13)=0,"입력대기",IF(M13&gt;0,"VAT 추가 가능",""))</f>
        <v/>
      </c>
    </row>
    <row r="14" customFormat="false" ht="15" hidden="false" customHeight="false" outlineLevel="0" collapsed="false">
      <c r="A14" s="6" t="n">
        <v>9</v>
      </c>
      <c r="B14" s="7" t="s">
        <v>24</v>
      </c>
      <c r="C14" s="8" t="n">
        <f aca="false">SUMIFS('OPEX 상세'!$P$5:$P$254,'OPEX 상세'!$C$5:$C$254,$B14,'OPEX 상세'!$D$5:$D$254,C$5)</f>
        <v>0</v>
      </c>
      <c r="D14" s="8" t="n">
        <f aca="false">SUMIFS('OPEX 상세'!$P$5:$P$254,'OPEX 상세'!$C$5:$C$254,$B14,'OPEX 상세'!$D$5:$D$254,D$5)</f>
        <v>0</v>
      </c>
      <c r="E14" s="8" t="n">
        <f aca="false">SUMIFS('OPEX 상세'!$P$5:$P$254,'OPEX 상세'!$C$5:$C$254,$B14,'OPEX 상세'!$D$5:$D$254,E$5)</f>
        <v>0</v>
      </c>
      <c r="F14" s="8" t="n">
        <f aca="false">SUMIFS('OPEX 상세'!$P$5:$P$254,'OPEX 상세'!$C$5:$C$254,$B14,'OPEX 상세'!$D$5:$D$254,F$5)</f>
        <v>0</v>
      </c>
      <c r="G14" s="8" t="n">
        <f aca="false">SUMIFS('OPEX 상세'!$P$5:$P$254,'OPEX 상세'!$C$5:$C$254,$B14,'OPEX 상세'!$D$5:$D$254,G$5)</f>
        <v>0</v>
      </c>
      <c r="H14" s="8" t="n">
        <f aca="false">SUMIFS('OPEX 상세'!$P$5:$P$254,'OPEX 상세'!$C$5:$C$254,$B14,'OPEX 상세'!$D$5:$D$254,H$5)</f>
        <v>0</v>
      </c>
      <c r="I14" s="9" t="n">
        <f aca="false">SUM(C14:H14)</f>
        <v>0</v>
      </c>
      <c r="K14" s="8" t="n">
        <f aca="false">SUMIFS('OPEX 상세'!$N$5:$N$254,'OPEX 상세'!$C$5:$C$254,$B14)</f>
        <v>0</v>
      </c>
      <c r="L14" s="8" t="n">
        <f aca="false">SUMIFS('OPEX 상세'!$O$5:$O$254,'OPEX 상세'!$C$5:$C$254,$B14)</f>
        <v>0</v>
      </c>
      <c r="M14" s="8" t="n">
        <f aca="false">SUMIFS('OPEX 상세'!$R$5:$R$254,'OPEX 상세'!$C$5:$C$254,$B14)</f>
        <v>0</v>
      </c>
      <c r="N14" s="8" t="n">
        <f aca="false">I14+M14</f>
        <v>0</v>
      </c>
      <c r="O14" s="10" t="str">
        <f aca="false">IF(COUNTIF('OPEX 상세'!$C$5:$C$254,$B14)=0,"입력대기",IF(M14&gt;0,"VAT 추가 가능",""))</f>
        <v>입력대기</v>
      </c>
    </row>
    <row r="15" customFormat="false" ht="15" hidden="false" customHeight="false" outlineLevel="0" collapsed="false">
      <c r="A15" s="6" t="n">
        <v>10</v>
      </c>
      <c r="B15" s="7" t="s">
        <v>25</v>
      </c>
      <c r="C15" s="8" t="n">
        <f aca="false">SUMIFS('OPEX 상세'!$P$5:$P$254,'OPEX 상세'!$C$5:$C$254,$B15,'OPEX 상세'!$D$5:$D$254,C$5)</f>
        <v>10206800</v>
      </c>
      <c r="D15" s="8" t="n">
        <f aca="false">SUMIFS('OPEX 상세'!$P$5:$P$254,'OPEX 상세'!$C$5:$C$254,$B15,'OPEX 상세'!$D$5:$D$254,D$5)</f>
        <v>3120000</v>
      </c>
      <c r="E15" s="8" t="n">
        <f aca="false">SUMIFS('OPEX 상세'!$P$5:$P$254,'OPEX 상세'!$C$5:$C$254,$B15,'OPEX 상세'!$D$5:$D$254,E$5)</f>
        <v>18017500</v>
      </c>
      <c r="F15" s="8" t="n">
        <f aca="false">SUMIFS('OPEX 상세'!$P$5:$P$254,'OPEX 상세'!$C$5:$C$254,$B15,'OPEX 상세'!$D$5:$D$254,F$5)</f>
        <v>9932500</v>
      </c>
      <c r="G15" s="8" t="n">
        <f aca="false">SUMIFS('OPEX 상세'!$P$5:$P$254,'OPEX 상세'!$C$5:$C$254,$B15,'OPEX 상세'!$D$5:$D$254,G$5)</f>
        <v>0</v>
      </c>
      <c r="H15" s="8" t="n">
        <f aca="false">SUMIFS('OPEX 상세'!$P$5:$P$254,'OPEX 상세'!$C$5:$C$254,$B15,'OPEX 상세'!$D$5:$D$254,H$5)</f>
        <v>0</v>
      </c>
      <c r="I15" s="9" t="n">
        <f aca="false">SUM(C15:H15)</f>
        <v>41276800</v>
      </c>
      <c r="K15" s="8" t="n">
        <f aca="false">SUMIFS('OPEX 상세'!$N$5:$N$254,'OPEX 상세'!$C$5:$C$254,$B15)</f>
        <v>41276800</v>
      </c>
      <c r="L15" s="8" t="n">
        <f aca="false">SUMIFS('OPEX 상세'!$O$5:$O$254,'OPEX 상세'!$C$5:$C$254,$B15)</f>
        <v>0</v>
      </c>
      <c r="M15" s="8" t="n">
        <f aca="false">SUMIFS('OPEX 상세'!$R$5:$R$254,'OPEX 상세'!$C$5:$C$254,$B15)</f>
        <v>0</v>
      </c>
      <c r="N15" s="8" t="n">
        <f aca="false">I15+M15</f>
        <v>41276800</v>
      </c>
      <c r="O15" s="10" t="str">
        <f aca="false">IF(COUNTIF('OPEX 상세'!$C$5:$C$254,$B15)=0,"입력대기",IF(M15&gt;0,"VAT 추가 가능",""))</f>
        <v/>
      </c>
    </row>
    <row r="16" customFormat="false" ht="15" hidden="false" customHeight="false" outlineLevel="0" collapsed="false">
      <c r="A16" s="6" t="n">
        <v>11</v>
      </c>
      <c r="B16" s="7" t="s">
        <v>26</v>
      </c>
      <c r="C16" s="8" t="n">
        <f aca="false">SUMIFS('OPEX 상세'!$P$5:$P$254,'OPEX 상세'!$C$5:$C$254,$B16,'OPEX 상세'!$D$5:$D$254,C$5)</f>
        <v>0</v>
      </c>
      <c r="D16" s="8" t="n">
        <f aca="false">SUMIFS('OPEX 상세'!$P$5:$P$254,'OPEX 상세'!$C$5:$C$254,$B16,'OPEX 상세'!$D$5:$D$254,D$5)</f>
        <v>0</v>
      </c>
      <c r="E16" s="8" t="n">
        <f aca="false">SUMIFS('OPEX 상세'!$P$5:$P$254,'OPEX 상세'!$C$5:$C$254,$B16,'OPEX 상세'!$D$5:$D$254,E$5)</f>
        <v>0</v>
      </c>
      <c r="F16" s="8" t="n">
        <f aca="false">SUMIFS('OPEX 상세'!$P$5:$P$254,'OPEX 상세'!$C$5:$C$254,$B16,'OPEX 상세'!$D$5:$D$254,F$5)</f>
        <v>0</v>
      </c>
      <c r="G16" s="8" t="n">
        <f aca="false">SUMIFS('OPEX 상세'!$P$5:$P$254,'OPEX 상세'!$C$5:$C$254,$B16,'OPEX 상세'!$D$5:$D$254,G$5)</f>
        <v>0</v>
      </c>
      <c r="H16" s="8" t="n">
        <f aca="false">SUMIFS('OPEX 상세'!$P$5:$P$254,'OPEX 상세'!$C$5:$C$254,$B16,'OPEX 상세'!$D$5:$D$254,H$5)</f>
        <v>12600000</v>
      </c>
      <c r="I16" s="9" t="n">
        <f aca="false">SUM(C16:H16)</f>
        <v>12600000</v>
      </c>
      <c r="K16" s="8" t="n">
        <f aca="false">SUMIFS('OPEX 상세'!$N$5:$N$254,'OPEX 상세'!$C$5:$C$254,$B16)</f>
        <v>12600000</v>
      </c>
      <c r="L16" s="8" t="n">
        <f aca="false">SUMIFS('OPEX 상세'!$O$5:$O$254,'OPEX 상세'!$C$5:$C$254,$B16)</f>
        <v>0</v>
      </c>
      <c r="M16" s="8" t="n">
        <f aca="false">SUMIFS('OPEX 상세'!$R$5:$R$254,'OPEX 상세'!$C$5:$C$254,$B16)</f>
        <v>1260000</v>
      </c>
      <c r="N16" s="8" t="n">
        <f aca="false">I16+M16</f>
        <v>13860000</v>
      </c>
      <c r="O16" s="10" t="str">
        <f aca="false">IF(COUNTIF('OPEX 상세'!$C$5:$C$254,$B16)=0,"입력대기",IF(M16&gt;0,"VAT 추가 가능",""))</f>
        <v>VAT 추가 가능</v>
      </c>
    </row>
    <row r="17" customFormat="false" ht="15" hidden="false" customHeight="false" outlineLevel="0" collapsed="false">
      <c r="A17" s="11"/>
      <c r="B17" s="12" t="s">
        <v>27</v>
      </c>
      <c r="C17" s="13" t="n">
        <f aca="false">SUM(C6:C16)</f>
        <v>157903711</v>
      </c>
      <c r="D17" s="13" t="n">
        <f aca="false">SUM(D6:D16)</f>
        <v>175906141</v>
      </c>
      <c r="E17" s="13" t="n">
        <f aca="false">SUM(E6:E16)</f>
        <v>227033526</v>
      </c>
      <c r="F17" s="13" t="n">
        <f aca="false">SUM(F6:F16)</f>
        <v>182957358</v>
      </c>
      <c r="G17" s="13" t="n">
        <f aca="false">SUM(G6:G16)</f>
        <v>241500</v>
      </c>
      <c r="H17" s="13" t="n">
        <f aca="false">SUM(H6:H16)</f>
        <v>46133700</v>
      </c>
      <c r="I17" s="13" t="n">
        <f aca="false">SUM(I6:I16)</f>
        <v>790175936</v>
      </c>
      <c r="K17" s="13" t="n">
        <f aca="false">SUM(K6:K16)</f>
        <v>790020736</v>
      </c>
      <c r="L17" s="13" t="n">
        <f aca="false">SUM(L6:L16)</f>
        <v>155200</v>
      </c>
      <c r="M17" s="13" t="n">
        <f aca="false">SUM(M6:M16)</f>
        <v>3990000</v>
      </c>
      <c r="N17" s="13" t="n">
        <f aca="false">SUM(N6:N16)</f>
        <v>794165936</v>
      </c>
      <c r="O17" s="13"/>
    </row>
    <row r="18" customFormat="false" ht="15" hidden="false" customHeight="false" outlineLevel="0" collapsed="false">
      <c r="B18" s="2" t="s">
        <v>28</v>
      </c>
      <c r="I18" s="14" t="n">
        <f aca="false">I17-'OPEX 상세'!P255</f>
        <v>0</v>
      </c>
    </row>
    <row r="20" customFormat="false" ht="15" hidden="false" customHeight="false" outlineLevel="0" collapsed="false">
      <c r="B20" s="15" t="s">
        <v>29</v>
      </c>
    </row>
    <row r="21" customFormat="false" ht="30" hidden="false" customHeight="true" outlineLevel="0" collapsed="false">
      <c r="B21" s="5" t="s">
        <v>30</v>
      </c>
      <c r="C21" s="5" t="s">
        <v>11</v>
      </c>
      <c r="D21" s="5" t="s">
        <v>12</v>
      </c>
      <c r="E21" s="5" t="s">
        <v>27</v>
      </c>
      <c r="F21" s="5" t="s">
        <v>13</v>
      </c>
      <c r="G21" s="5" t="s">
        <v>31</v>
      </c>
    </row>
    <row r="22" customFormat="false" ht="15" hidden="false" customHeight="false" outlineLevel="0" collapsed="false">
      <c r="B22" s="8" t="s">
        <v>4</v>
      </c>
      <c r="C22" s="8" t="n">
        <f aca="false">SUMIFS('OPEX 상세'!$N$5:$N$254,'OPEX 상세'!$D$5:$D$254,$B22)</f>
        <v>157894511</v>
      </c>
      <c r="D22" s="8" t="n">
        <f aca="false">SUMIFS('OPEX 상세'!$O$5:$O$254,'OPEX 상세'!$D$5:$D$254,$B22)</f>
        <v>9200</v>
      </c>
      <c r="E22" s="8" t="n">
        <f aca="false">C22+D22</f>
        <v>157903711</v>
      </c>
      <c r="F22" s="8" t="n">
        <f aca="false">SUMIFS('OPEX 상세'!$R$5:$R$254,'OPEX 상세'!$D$5:$D$254,$B22)</f>
        <v>0</v>
      </c>
      <c r="G22" s="16" t="n">
        <f aca="false">IF($E$28=0,0,E22/$E$28)</f>
        <v>0.199833611485734</v>
      </c>
    </row>
    <row r="23" customFormat="false" ht="15" hidden="false" customHeight="false" outlineLevel="0" collapsed="false">
      <c r="B23" s="8" t="s">
        <v>5</v>
      </c>
      <c r="C23" s="8" t="n">
        <f aca="false">SUMIFS('OPEX 상세'!$N$5:$N$254,'OPEX 상세'!$D$5:$D$254,$B23)</f>
        <v>175896941</v>
      </c>
      <c r="D23" s="8" t="n">
        <f aca="false">SUMIFS('OPEX 상세'!$O$5:$O$254,'OPEX 상세'!$D$5:$D$254,$B23)</f>
        <v>9200</v>
      </c>
      <c r="E23" s="8" t="n">
        <f aca="false">C23+D23</f>
        <v>175906141</v>
      </c>
      <c r="F23" s="8" t="n">
        <f aca="false">SUMIFS('OPEX 상세'!$R$5:$R$254,'OPEX 상세'!$D$5:$D$254,$B23)</f>
        <v>0</v>
      </c>
      <c r="G23" s="16" t="n">
        <f aca="false">IF($E$28=0,0,E23/$E$28)</f>
        <v>0.222616423742876</v>
      </c>
    </row>
    <row r="24" customFormat="false" ht="15" hidden="false" customHeight="false" outlineLevel="0" collapsed="false">
      <c r="B24" s="8" t="s">
        <v>6</v>
      </c>
      <c r="C24" s="8" t="n">
        <f aca="false">SUMIFS('OPEX 상세'!$N$5:$N$254,'OPEX 상세'!$D$5:$D$254,$B24)</f>
        <v>227024326</v>
      </c>
      <c r="D24" s="8" t="n">
        <f aca="false">SUMIFS('OPEX 상세'!$O$5:$O$254,'OPEX 상세'!$D$5:$D$254,$B24)</f>
        <v>9200</v>
      </c>
      <c r="E24" s="8" t="n">
        <f aca="false">C24+D24</f>
        <v>227033526</v>
      </c>
      <c r="F24" s="8" t="n">
        <f aca="false">SUMIFS('OPEX 상세'!$R$5:$R$254,'OPEX 상세'!$D$5:$D$254,$B24)</f>
        <v>0</v>
      </c>
      <c r="G24" s="16" t="n">
        <f aca="false">IF($E$28=0,0,E24/$E$28)</f>
        <v>0.28732022282187</v>
      </c>
    </row>
    <row r="25" customFormat="false" ht="15" hidden="false" customHeight="false" outlineLevel="0" collapsed="false">
      <c r="B25" s="8" t="s">
        <v>7</v>
      </c>
      <c r="C25" s="8" t="n">
        <f aca="false">SUMIFS('OPEX 상세'!$N$5:$N$254,'OPEX 상세'!$D$5:$D$254,$B25)</f>
        <v>182948158</v>
      </c>
      <c r="D25" s="8" t="n">
        <f aca="false">SUMIFS('OPEX 상세'!$O$5:$O$254,'OPEX 상세'!$D$5:$D$254,$B25)</f>
        <v>9200</v>
      </c>
      <c r="E25" s="8" t="n">
        <f aca="false">C25+D25</f>
        <v>182957358</v>
      </c>
      <c r="F25" s="8" t="n">
        <f aca="false">SUMIFS('OPEX 상세'!$R$5:$R$254,'OPEX 상세'!$D$5:$D$254,$B25)</f>
        <v>0</v>
      </c>
      <c r="G25" s="16" t="n">
        <f aca="false">IF($E$28=0,0,E25/$E$28)</f>
        <v>0.231540027561659</v>
      </c>
    </row>
    <row r="26" customFormat="false" ht="15" hidden="false" customHeight="false" outlineLevel="0" collapsed="false">
      <c r="B26" s="8" t="s">
        <v>8</v>
      </c>
      <c r="C26" s="8" t="n">
        <f aca="false">SUMIFS('OPEX 상세'!$N$5:$N$254,'OPEX 상세'!$D$5:$D$254,$B26)</f>
        <v>241500</v>
      </c>
      <c r="D26" s="8" t="n">
        <f aca="false">SUMIFS('OPEX 상세'!$O$5:$O$254,'OPEX 상세'!$D$5:$D$254,$B26)</f>
        <v>0</v>
      </c>
      <c r="E26" s="8" t="n">
        <f aca="false">C26+D26</f>
        <v>241500</v>
      </c>
      <c r="F26" s="8" t="n">
        <f aca="false">SUMIFS('OPEX 상세'!$R$5:$R$254,'OPEX 상세'!$D$5:$D$254,$B26)</f>
        <v>0</v>
      </c>
      <c r="G26" s="16" t="n">
        <f aca="false">IF($E$28=0,0,E26/$E$28)</f>
        <v>0.000305628137984703</v>
      </c>
    </row>
    <row r="27" customFormat="false" ht="15" hidden="false" customHeight="false" outlineLevel="0" collapsed="false">
      <c r="B27" s="17" t="s">
        <v>32</v>
      </c>
      <c r="C27" s="8" t="n">
        <f aca="false">SUMIFS('OPEX 상세'!$N$5:$N$254,'OPEX 상세'!$D$5:$D$254,$B27)</f>
        <v>46015300</v>
      </c>
      <c r="D27" s="8" t="n">
        <f aca="false">SUMIFS('OPEX 상세'!$O$5:$O$254,'OPEX 상세'!$D$5:$D$254,$B27)</f>
        <v>118400</v>
      </c>
      <c r="E27" s="8" t="n">
        <f aca="false">C27+D27</f>
        <v>46133700</v>
      </c>
      <c r="F27" s="8" t="n">
        <f aca="false">SUMIFS('OPEX 상세'!$R$5:$R$254,'OPEX 상세'!$D$5:$D$254,$B27)</f>
        <v>3990000</v>
      </c>
      <c r="G27" s="16" t="n">
        <f aca="false">IF($E$28=0,0,E27/$E$28)</f>
        <v>0.0583840862498754</v>
      </c>
    </row>
    <row r="28" customFormat="false" ht="15" hidden="false" customHeight="false" outlineLevel="0" collapsed="false">
      <c r="B28" s="18" t="s">
        <v>27</v>
      </c>
      <c r="C28" s="13" t="n">
        <f aca="false">SUM(C22:C27)</f>
        <v>790020736</v>
      </c>
      <c r="D28" s="13" t="n">
        <f aca="false">SUM(D22:D27)</f>
        <v>155200</v>
      </c>
      <c r="E28" s="13" t="n">
        <f aca="false">SUM(E22:E27)</f>
        <v>790175936</v>
      </c>
      <c r="F28" s="13" t="n">
        <f aca="false">SUM(F22:F27)</f>
        <v>3990000</v>
      </c>
      <c r="G28" s="19" t="n">
        <f aca="false">SUM(G22:G27)</f>
        <v>1</v>
      </c>
    </row>
    <row r="30" customFormat="false" ht="15" hidden="false" customHeight="false" outlineLevel="0" collapsed="false">
      <c r="B30" s="15" t="s">
        <v>33</v>
      </c>
    </row>
    <row r="31" customFormat="false" ht="15" hidden="false" customHeight="false" outlineLevel="0" collapsed="false">
      <c r="B31" s="20" t="s">
        <v>34</v>
      </c>
    </row>
    <row r="32" customFormat="false" ht="15" hidden="false" customHeight="false" outlineLevel="0" collapsed="false">
      <c r="B32" s="20" t="s">
        <v>35</v>
      </c>
    </row>
    <row r="33" customFormat="false" ht="15" hidden="false" customHeight="false" outlineLevel="0" collapsed="false">
      <c r="B33" s="20" t="s">
        <v>36</v>
      </c>
    </row>
    <row r="34" customFormat="false" ht="15" hidden="false" customHeight="false" outlineLevel="0" collapsed="false">
      <c r="B34" s="20" t="s">
        <v>37</v>
      </c>
    </row>
    <row r="35" customFormat="false" ht="15" hidden="false" customHeight="false" outlineLevel="0" collapsed="false">
      <c r="B35" s="20" t="s">
        <v>38</v>
      </c>
    </row>
    <row r="36" customFormat="false" ht="15" hidden="false" customHeight="false" outlineLevel="0" collapsed="false">
      <c r="B36" s="20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S25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5"/>
    <col collapsed="false" customWidth="true" hidden="false" outlineLevel="0" max="4" min="4" style="0" width="14"/>
    <col collapsed="false" customWidth="true" hidden="false" outlineLevel="0" max="5" min="5" style="0" width="11"/>
    <col collapsed="false" customWidth="true" hidden="false" outlineLevel="0" max="6" min="6" style="0" width="14"/>
    <col collapsed="false" customWidth="true" hidden="false" outlineLevel="0" max="7" min="7" style="0" width="13"/>
    <col collapsed="false" customWidth="true" hidden="false" outlineLevel="0" max="8" min="8" style="0" width="30"/>
    <col collapsed="false" customWidth="true" hidden="false" outlineLevel="0" max="9" min="9" style="0" width="8"/>
    <col collapsed="false" customWidth="true" hidden="false" outlineLevel="0" max="10" min="10" style="0" width="6"/>
    <col collapsed="false" customWidth="true" hidden="false" outlineLevel="0" max="11" min="11" style="0" width="13"/>
    <col collapsed="false" customWidth="true" hidden="false" outlineLevel="0" max="12" min="12" style="0" width="9"/>
    <col collapsed="false" customWidth="true" hidden="false" outlineLevel="0" max="14" min="13" style="0" width="13"/>
    <col collapsed="false" customWidth="true" hidden="false" outlineLevel="0" max="15" min="15" style="0" width="11"/>
    <col collapsed="false" customWidth="true" hidden="false" outlineLevel="0" max="16" min="16" style="0" width="14"/>
    <col collapsed="false" customWidth="true" hidden="false" outlineLevel="0" max="17" min="17" style="0" width="8"/>
    <col collapsed="false" customWidth="true" hidden="false" outlineLevel="0" max="18" min="18" style="0" width="11"/>
    <col collapsed="false" customWidth="true" hidden="false" outlineLevel="0" max="19" min="19" style="0" width="50"/>
  </cols>
  <sheetData>
    <row r="1" customFormat="false" ht="19.4" hidden="false" customHeight="false" outlineLevel="0" collapsed="false">
      <c r="A1" s="1" t="s">
        <v>40</v>
      </c>
    </row>
    <row r="2" customFormat="false" ht="15" hidden="false" customHeight="false" outlineLevel="0" collapsed="false">
      <c r="A2" s="2" t="s">
        <v>41</v>
      </c>
    </row>
    <row r="4" customFormat="false" ht="30" hidden="false" customHeight="true" outlineLevel="0" collapsed="false">
      <c r="A4" s="4" t="s">
        <v>2</v>
      </c>
      <c r="B4" s="5" t="s">
        <v>42</v>
      </c>
      <c r="C4" s="5" t="s">
        <v>3</v>
      </c>
      <c r="D4" s="5" t="s">
        <v>30</v>
      </c>
      <c r="E4" s="4" t="s">
        <v>43</v>
      </c>
      <c r="F4" s="4" t="s">
        <v>44</v>
      </c>
      <c r="G4" s="5" t="s">
        <v>45</v>
      </c>
      <c r="H4" s="5" t="s">
        <v>46</v>
      </c>
      <c r="I4" s="5" t="s">
        <v>47</v>
      </c>
      <c r="J4" s="5" t="s">
        <v>48</v>
      </c>
      <c r="K4" s="5" t="s">
        <v>49</v>
      </c>
      <c r="L4" s="5" t="s">
        <v>50</v>
      </c>
      <c r="M4" s="5" t="s">
        <v>51</v>
      </c>
      <c r="N4" s="5" t="s">
        <v>52</v>
      </c>
      <c r="O4" s="5" t="s">
        <v>53</v>
      </c>
      <c r="P4" s="5" t="s">
        <v>54</v>
      </c>
      <c r="Q4" s="4" t="s">
        <v>55</v>
      </c>
      <c r="R4" s="5" t="s">
        <v>13</v>
      </c>
      <c r="S4" s="5" t="s">
        <v>56</v>
      </c>
    </row>
    <row r="5" customFormat="false" ht="15" hidden="false" customHeight="false" outlineLevel="0" collapsed="false">
      <c r="A5" s="21" t="n">
        <f aca="false">IF(C5="","",COUNTA($C$5:C5))</f>
        <v>1</v>
      </c>
      <c r="B5" s="22"/>
      <c r="C5" s="23" t="s">
        <v>16</v>
      </c>
      <c r="D5" s="24" t="s">
        <v>57</v>
      </c>
      <c r="E5" s="25"/>
      <c r="F5" s="7" t="str">
        <f aca="false">IF(E5="","",IFERROR(INDEX(코드관리!$C$7:$C$66,MATCH(E5,코드관리!$B$7:$B$66,0)),"미등록 코드"))</f>
        <v/>
      </c>
      <c r="G5" s="25"/>
      <c r="H5" s="23" t="s">
        <v>58</v>
      </c>
      <c r="I5" s="24" t="s">
        <v>59</v>
      </c>
      <c r="J5" s="26" t="s">
        <v>60</v>
      </c>
      <c r="K5" s="27" t="n">
        <v>1302400</v>
      </c>
      <c r="L5" s="26" t="s">
        <v>61</v>
      </c>
      <c r="M5" s="8" t="n">
        <f aca="false">IF(K5="","",IF(J5="USD",ROUND(K5*설정!$C$4,0),K5))</f>
        <v>1302400</v>
      </c>
      <c r="N5" s="8" t="n">
        <f aca="false">IF(M5="","",IF(AND(I5="과세",L5="VAT포함"),ROUND(M5/(1+설정!$C$5),0),M5))</f>
        <v>1184000</v>
      </c>
      <c r="O5" s="8" t="n">
        <f aca="false">IF(M5="","",IF(I5="과세",IF(L5="VAT포함",M5-N5,ROUND(N5*설정!$C$5,0)),0))</f>
        <v>118400</v>
      </c>
      <c r="P5" s="8" t="n">
        <f aca="false">IF(M5="","",N5+O5)</f>
        <v>1302400</v>
      </c>
      <c r="Q5" s="26"/>
      <c r="R5" s="8" t="str">
        <f aca="false">IF(OR(M5="",Q5&lt;&gt;"Y"),"",ROUND(N5*설정!$C$5,0))</f>
        <v/>
      </c>
      <c r="S5" s="23" t="s">
        <v>62</v>
      </c>
    </row>
    <row r="6" customFormat="false" ht="15" hidden="false" customHeight="false" outlineLevel="0" collapsed="false">
      <c r="A6" s="21" t="n">
        <f aca="false">IF(C6="","",COUNTA($C$5:C6))</f>
        <v>2</v>
      </c>
      <c r="B6" s="22"/>
      <c r="C6" s="23" t="s">
        <v>18</v>
      </c>
      <c r="D6" s="26" t="s">
        <v>4</v>
      </c>
      <c r="E6" s="25"/>
      <c r="F6" s="7" t="str">
        <f aca="false">IF(E6="","",IFERROR(INDEX(코드관리!$C$7:$C$66,MATCH(E6,코드관리!$B$7:$B$66,0)),"미등록 코드"))</f>
        <v/>
      </c>
      <c r="G6" s="25"/>
      <c r="H6" s="25" t="s">
        <v>63</v>
      </c>
      <c r="I6" s="24" t="s">
        <v>64</v>
      </c>
      <c r="J6" s="26" t="s">
        <v>60</v>
      </c>
      <c r="K6" s="27" t="n">
        <v>3680000</v>
      </c>
      <c r="L6" s="26"/>
      <c r="M6" s="8" t="n">
        <f aca="false">IF(K6="","",IF(J6="USD",ROUND(K6*설정!$C$4,0),K6))</f>
        <v>3680000</v>
      </c>
      <c r="N6" s="8" t="n">
        <f aca="false">IF(M6="","",IF(AND(I6="과세",L6="VAT포함"),ROUND(M6/(1+설정!$C$5),0),M6))</f>
        <v>3680000</v>
      </c>
      <c r="O6" s="8" t="n">
        <f aca="false">IF(M6="","",IF(I6="과세",IF(L6="VAT포함",M6-N6,ROUND(N6*설정!$C$5,0)),0))</f>
        <v>0</v>
      </c>
      <c r="P6" s="8" t="n">
        <f aca="false">IF(M6="","",N6+O6)</f>
        <v>3680000</v>
      </c>
      <c r="Q6" s="26"/>
      <c r="R6" s="8" t="str">
        <f aca="false">IF(OR(M6="",Q6&lt;&gt;"Y"),"",ROUND(N6*설정!$C$5,0))</f>
        <v/>
      </c>
      <c r="S6" s="25"/>
    </row>
    <row r="7" customFormat="false" ht="15" hidden="false" customHeight="false" outlineLevel="0" collapsed="false">
      <c r="A7" s="21" t="n">
        <f aca="false">IF(C7="","",COUNTA($C$5:C7))</f>
        <v>3</v>
      </c>
      <c r="B7" s="22"/>
      <c r="C7" s="23" t="s">
        <v>18</v>
      </c>
      <c r="D7" s="26" t="s">
        <v>4</v>
      </c>
      <c r="E7" s="25"/>
      <c r="F7" s="7" t="str">
        <f aca="false">IF(E7="","",IFERROR(INDEX(코드관리!$C$7:$C$66,MATCH(E7,코드관리!$B$7:$B$66,0)),"미등록 코드"))</f>
        <v/>
      </c>
      <c r="G7" s="25"/>
      <c r="H7" s="25" t="s">
        <v>65</v>
      </c>
      <c r="I7" s="24" t="s">
        <v>64</v>
      </c>
      <c r="J7" s="26" t="s">
        <v>66</v>
      </c>
      <c r="K7" s="27" t="n">
        <v>2800</v>
      </c>
      <c r="L7" s="26"/>
      <c r="M7" s="8" t="n">
        <f aca="false">IF(K7="","",IF(J7="USD",ROUND(K7*설정!$C$4,0),K7))</f>
        <v>3780000</v>
      </c>
      <c r="N7" s="8" t="n">
        <f aca="false">IF(M7="","",IF(AND(I7="과세",L7="VAT포함"),ROUND(M7/(1+설정!$C$5),0),M7))</f>
        <v>3780000</v>
      </c>
      <c r="O7" s="8" t="n">
        <f aca="false">IF(M7="","",IF(I7="과세",IF(L7="VAT포함",M7-N7,ROUND(N7*설정!$C$5,0)),0))</f>
        <v>0</v>
      </c>
      <c r="P7" s="8" t="n">
        <f aca="false">IF(M7="","",N7+O7)</f>
        <v>3780000</v>
      </c>
      <c r="Q7" s="26"/>
      <c r="R7" s="8" t="str">
        <f aca="false">IF(OR(M7="",Q7&lt;&gt;"Y"),"",ROUND(N7*설정!$C$5,0))</f>
        <v/>
      </c>
      <c r="S7" s="25" t="s">
        <v>67</v>
      </c>
    </row>
    <row r="8" customFormat="false" ht="15" hidden="false" customHeight="false" outlineLevel="0" collapsed="false">
      <c r="A8" s="21" t="n">
        <f aca="false">IF(C8="","",COUNTA($C$5:C8))</f>
        <v>4</v>
      </c>
      <c r="B8" s="22"/>
      <c r="C8" s="23" t="s">
        <v>18</v>
      </c>
      <c r="D8" s="26" t="s">
        <v>4</v>
      </c>
      <c r="E8" s="25"/>
      <c r="F8" s="7" t="str">
        <f aca="false">IF(E8="","",IFERROR(INDEX(코드관리!$C$7:$C$66,MATCH(E8,코드관리!$B$7:$B$66,0)),"미등록 코드"))</f>
        <v/>
      </c>
      <c r="G8" s="25"/>
      <c r="H8" s="25" t="s">
        <v>68</v>
      </c>
      <c r="I8" s="24" t="s">
        <v>64</v>
      </c>
      <c r="J8" s="26" t="s">
        <v>60</v>
      </c>
      <c r="K8" s="27" t="n">
        <v>160000</v>
      </c>
      <c r="L8" s="26"/>
      <c r="M8" s="8" t="n">
        <f aca="false">IF(K8="","",IF(J8="USD",ROUND(K8*설정!$C$4,0),K8))</f>
        <v>160000</v>
      </c>
      <c r="N8" s="8" t="n">
        <f aca="false">IF(M8="","",IF(AND(I8="과세",L8="VAT포함"),ROUND(M8/(1+설정!$C$5),0),M8))</f>
        <v>160000</v>
      </c>
      <c r="O8" s="8" t="n">
        <f aca="false">IF(M8="","",IF(I8="과세",IF(L8="VAT포함",M8-N8,ROUND(N8*설정!$C$5,0)),0))</f>
        <v>0</v>
      </c>
      <c r="P8" s="8" t="n">
        <f aca="false">IF(M8="","",N8+O8)</f>
        <v>160000</v>
      </c>
      <c r="Q8" s="26"/>
      <c r="R8" s="8" t="str">
        <f aca="false">IF(OR(M8="",Q8&lt;&gt;"Y"),"",ROUND(N8*설정!$C$5,0))</f>
        <v/>
      </c>
      <c r="S8" s="25"/>
    </row>
    <row r="9" customFormat="false" ht="15" hidden="false" customHeight="false" outlineLevel="0" collapsed="false">
      <c r="A9" s="21" t="n">
        <f aca="false">IF(C9="","",COUNTA($C$5:C9))</f>
        <v>5</v>
      </c>
      <c r="B9" s="22"/>
      <c r="C9" s="23" t="s">
        <v>18</v>
      </c>
      <c r="D9" s="26" t="s">
        <v>5</v>
      </c>
      <c r="E9" s="25"/>
      <c r="F9" s="7" t="str">
        <f aca="false">IF(E9="","",IFERROR(INDEX(코드관리!$C$7:$C$66,MATCH(E9,코드관리!$B$7:$B$66,0)),"미등록 코드"))</f>
        <v/>
      </c>
      <c r="G9" s="25"/>
      <c r="H9" s="25" t="s">
        <v>63</v>
      </c>
      <c r="I9" s="24" t="s">
        <v>64</v>
      </c>
      <c r="J9" s="26" t="s">
        <v>60</v>
      </c>
      <c r="K9" s="27" t="n">
        <v>3680000</v>
      </c>
      <c r="L9" s="26"/>
      <c r="M9" s="8" t="n">
        <f aca="false">IF(K9="","",IF(J9="USD",ROUND(K9*설정!$C$4,0),K9))</f>
        <v>3680000</v>
      </c>
      <c r="N9" s="8" t="n">
        <f aca="false">IF(M9="","",IF(AND(I9="과세",L9="VAT포함"),ROUND(M9/(1+설정!$C$5),0),M9))</f>
        <v>3680000</v>
      </c>
      <c r="O9" s="8" t="n">
        <f aca="false">IF(M9="","",IF(I9="과세",IF(L9="VAT포함",M9-N9,ROUND(N9*설정!$C$5,0)),0))</f>
        <v>0</v>
      </c>
      <c r="P9" s="8" t="n">
        <f aca="false">IF(M9="","",N9+O9)</f>
        <v>3680000</v>
      </c>
      <c r="Q9" s="26"/>
      <c r="R9" s="8" t="str">
        <f aca="false">IF(OR(M9="",Q9&lt;&gt;"Y"),"",ROUND(N9*설정!$C$5,0))</f>
        <v/>
      </c>
      <c r="S9" s="25"/>
    </row>
    <row r="10" customFormat="false" ht="15" hidden="false" customHeight="false" outlineLevel="0" collapsed="false">
      <c r="A10" s="21" t="n">
        <f aca="false">IF(C10="","",COUNTA($C$5:C10))</f>
        <v>6</v>
      </c>
      <c r="B10" s="22"/>
      <c r="C10" s="23" t="s">
        <v>18</v>
      </c>
      <c r="D10" s="26" t="s">
        <v>5</v>
      </c>
      <c r="E10" s="25"/>
      <c r="F10" s="7" t="str">
        <f aca="false">IF(E10="","",IFERROR(INDEX(코드관리!$C$7:$C$66,MATCH(E10,코드관리!$B$7:$B$66,0)),"미등록 코드"))</f>
        <v/>
      </c>
      <c r="G10" s="25"/>
      <c r="H10" s="25" t="s">
        <v>65</v>
      </c>
      <c r="I10" s="24" t="s">
        <v>64</v>
      </c>
      <c r="J10" s="26" t="s">
        <v>66</v>
      </c>
      <c r="K10" s="27" t="n">
        <v>2800</v>
      </c>
      <c r="L10" s="26"/>
      <c r="M10" s="8" t="n">
        <f aca="false">IF(K10="","",IF(J10="USD",ROUND(K10*설정!$C$4,0),K10))</f>
        <v>3780000</v>
      </c>
      <c r="N10" s="8" t="n">
        <f aca="false">IF(M10="","",IF(AND(I10="과세",L10="VAT포함"),ROUND(M10/(1+설정!$C$5),0),M10))</f>
        <v>3780000</v>
      </c>
      <c r="O10" s="8" t="n">
        <f aca="false">IF(M10="","",IF(I10="과세",IF(L10="VAT포함",M10-N10,ROUND(N10*설정!$C$5,0)),0))</f>
        <v>0</v>
      </c>
      <c r="P10" s="8" t="n">
        <f aca="false">IF(M10="","",N10+O10)</f>
        <v>3780000</v>
      </c>
      <c r="Q10" s="26"/>
      <c r="R10" s="8" t="str">
        <f aca="false">IF(OR(M10="",Q10&lt;&gt;"Y"),"",ROUND(N10*설정!$C$5,0))</f>
        <v/>
      </c>
      <c r="S10" s="25" t="s">
        <v>67</v>
      </c>
    </row>
    <row r="11" customFormat="false" ht="15" hidden="false" customHeight="false" outlineLevel="0" collapsed="false">
      <c r="A11" s="21" t="n">
        <f aca="false">IF(C11="","",COUNTA($C$5:C11))</f>
        <v>7</v>
      </c>
      <c r="B11" s="22"/>
      <c r="C11" s="23" t="s">
        <v>18</v>
      </c>
      <c r="D11" s="26" t="s">
        <v>5</v>
      </c>
      <c r="E11" s="25"/>
      <c r="F11" s="7" t="str">
        <f aca="false">IF(E11="","",IFERROR(INDEX(코드관리!$C$7:$C$66,MATCH(E11,코드관리!$B$7:$B$66,0)),"미등록 코드"))</f>
        <v/>
      </c>
      <c r="G11" s="25"/>
      <c r="H11" s="25" t="s">
        <v>68</v>
      </c>
      <c r="I11" s="24" t="s">
        <v>64</v>
      </c>
      <c r="J11" s="26" t="s">
        <v>60</v>
      </c>
      <c r="K11" s="27" t="n">
        <v>160000</v>
      </c>
      <c r="L11" s="26"/>
      <c r="M11" s="8" t="n">
        <f aca="false">IF(K11="","",IF(J11="USD",ROUND(K11*설정!$C$4,0),K11))</f>
        <v>160000</v>
      </c>
      <c r="N11" s="8" t="n">
        <f aca="false">IF(M11="","",IF(AND(I11="과세",L11="VAT포함"),ROUND(M11/(1+설정!$C$5),0),M11))</f>
        <v>160000</v>
      </c>
      <c r="O11" s="8" t="n">
        <f aca="false">IF(M11="","",IF(I11="과세",IF(L11="VAT포함",M11-N11,ROUND(N11*설정!$C$5,0)),0))</f>
        <v>0</v>
      </c>
      <c r="P11" s="8" t="n">
        <f aca="false">IF(M11="","",N11+O11)</f>
        <v>160000</v>
      </c>
      <c r="Q11" s="26"/>
      <c r="R11" s="8" t="str">
        <f aca="false">IF(OR(M11="",Q11&lt;&gt;"Y"),"",ROUND(N11*설정!$C$5,0))</f>
        <v/>
      </c>
      <c r="S11" s="25"/>
    </row>
    <row r="12" customFormat="false" ht="15" hidden="false" customHeight="false" outlineLevel="0" collapsed="false">
      <c r="A12" s="21" t="n">
        <f aca="false">IF(C12="","",COUNTA($C$5:C12))</f>
        <v>8</v>
      </c>
      <c r="B12" s="22"/>
      <c r="C12" s="23" t="s">
        <v>18</v>
      </c>
      <c r="D12" s="26" t="s">
        <v>6</v>
      </c>
      <c r="E12" s="25"/>
      <c r="F12" s="7" t="str">
        <f aca="false">IF(E12="","",IFERROR(INDEX(코드관리!$C$7:$C$66,MATCH(E12,코드관리!$B$7:$B$66,0)),"미등록 코드"))</f>
        <v/>
      </c>
      <c r="G12" s="25"/>
      <c r="H12" s="25" t="s">
        <v>69</v>
      </c>
      <c r="I12" s="24" t="s">
        <v>64</v>
      </c>
      <c r="J12" s="26" t="s">
        <v>66</v>
      </c>
      <c r="K12" s="27" t="n">
        <v>26000</v>
      </c>
      <c r="L12" s="26"/>
      <c r="M12" s="8" t="n">
        <f aca="false">IF(K12="","",IF(J12="USD",ROUND(K12*설정!$C$4,0),K12))</f>
        <v>35100000</v>
      </c>
      <c r="N12" s="8" t="n">
        <f aca="false">IF(M12="","",IF(AND(I12="과세",L12="VAT포함"),ROUND(M12/(1+설정!$C$5),0),M12))</f>
        <v>35100000</v>
      </c>
      <c r="O12" s="8" t="n">
        <f aca="false">IF(M12="","",IF(I12="과세",IF(L12="VAT포함",M12-N12,ROUND(N12*설정!$C$5,0)),0))</f>
        <v>0</v>
      </c>
      <c r="P12" s="8" t="n">
        <f aca="false">IF(M12="","",N12+O12)</f>
        <v>35100000</v>
      </c>
      <c r="Q12" s="26"/>
      <c r="R12" s="8" t="str">
        <f aca="false">IF(OR(M12="",Q12&lt;&gt;"Y"),"",ROUND(N12*설정!$C$5,0))</f>
        <v/>
      </c>
      <c r="S12" s="25" t="s">
        <v>70</v>
      </c>
    </row>
    <row r="13" customFormat="false" ht="15" hidden="false" customHeight="false" outlineLevel="0" collapsed="false">
      <c r="A13" s="21" t="n">
        <f aca="false">IF(C13="","",COUNTA($C$5:C13))</f>
        <v>9</v>
      </c>
      <c r="B13" s="22"/>
      <c r="C13" s="23" t="s">
        <v>18</v>
      </c>
      <c r="D13" s="26" t="s">
        <v>6</v>
      </c>
      <c r="E13" s="25"/>
      <c r="F13" s="7" t="str">
        <f aca="false">IF(E13="","",IFERROR(INDEX(코드관리!$C$7:$C$66,MATCH(E13,코드관리!$B$7:$B$66,0)),"미등록 코드"))</f>
        <v/>
      </c>
      <c r="G13" s="25"/>
      <c r="H13" s="25" t="s">
        <v>65</v>
      </c>
      <c r="I13" s="24" t="s">
        <v>64</v>
      </c>
      <c r="J13" s="26" t="s">
        <v>66</v>
      </c>
      <c r="K13" s="27" t="n">
        <v>2800</v>
      </c>
      <c r="L13" s="26"/>
      <c r="M13" s="8" t="n">
        <f aca="false">IF(K13="","",IF(J13="USD",ROUND(K13*설정!$C$4,0),K13))</f>
        <v>3780000</v>
      </c>
      <c r="N13" s="8" t="n">
        <f aca="false">IF(M13="","",IF(AND(I13="과세",L13="VAT포함"),ROUND(M13/(1+설정!$C$5),0),M13))</f>
        <v>3780000</v>
      </c>
      <c r="O13" s="8" t="n">
        <f aca="false">IF(M13="","",IF(I13="과세",IF(L13="VAT포함",M13-N13,ROUND(N13*설정!$C$5,0)),0))</f>
        <v>0</v>
      </c>
      <c r="P13" s="8" t="n">
        <f aca="false">IF(M13="","",N13+O13)</f>
        <v>3780000</v>
      </c>
      <c r="Q13" s="26"/>
      <c r="R13" s="8" t="str">
        <f aca="false">IF(OR(M13="",Q13&lt;&gt;"Y"),"",ROUND(N13*설정!$C$5,0))</f>
        <v/>
      </c>
      <c r="S13" s="25" t="s">
        <v>67</v>
      </c>
    </row>
    <row r="14" customFormat="false" ht="15" hidden="false" customHeight="false" outlineLevel="0" collapsed="false">
      <c r="A14" s="21" t="n">
        <f aca="false">IF(C14="","",COUNTA($C$5:C14))</f>
        <v>10</v>
      </c>
      <c r="B14" s="22"/>
      <c r="C14" s="23" t="s">
        <v>18</v>
      </c>
      <c r="D14" s="26" t="s">
        <v>7</v>
      </c>
      <c r="E14" s="25"/>
      <c r="F14" s="7" t="str">
        <f aca="false">IF(E14="","",IFERROR(INDEX(코드관리!$C$7:$C$66,MATCH(E14,코드관리!$B$7:$B$66,0)),"미등록 코드"))</f>
        <v/>
      </c>
      <c r="G14" s="25"/>
      <c r="H14" s="25" t="s">
        <v>69</v>
      </c>
      <c r="I14" s="24" t="s">
        <v>64</v>
      </c>
      <c r="J14" s="26" t="s">
        <v>66</v>
      </c>
      <c r="K14" s="27" t="n">
        <v>26000</v>
      </c>
      <c r="L14" s="26"/>
      <c r="M14" s="8" t="n">
        <f aca="false">IF(K14="","",IF(J14="USD",ROUND(K14*설정!$C$4,0),K14))</f>
        <v>35100000</v>
      </c>
      <c r="N14" s="8" t="n">
        <f aca="false">IF(M14="","",IF(AND(I14="과세",L14="VAT포함"),ROUND(M14/(1+설정!$C$5),0),M14))</f>
        <v>35100000</v>
      </c>
      <c r="O14" s="8" t="n">
        <f aca="false">IF(M14="","",IF(I14="과세",IF(L14="VAT포함",M14-N14,ROUND(N14*설정!$C$5,0)),0))</f>
        <v>0</v>
      </c>
      <c r="P14" s="8" t="n">
        <f aca="false">IF(M14="","",N14+O14)</f>
        <v>35100000</v>
      </c>
      <c r="Q14" s="26"/>
      <c r="R14" s="8" t="str">
        <f aca="false">IF(OR(M14="",Q14&lt;&gt;"Y"),"",ROUND(N14*설정!$C$5,0))</f>
        <v/>
      </c>
      <c r="S14" s="25" t="s">
        <v>70</v>
      </c>
    </row>
    <row r="15" customFormat="false" ht="15" hidden="false" customHeight="false" outlineLevel="0" collapsed="false">
      <c r="A15" s="21" t="n">
        <f aca="false">IF(C15="","",COUNTA($C$5:C15))</f>
        <v>11</v>
      </c>
      <c r="B15" s="22"/>
      <c r="C15" s="23" t="s">
        <v>18</v>
      </c>
      <c r="D15" s="26" t="s">
        <v>7</v>
      </c>
      <c r="E15" s="25"/>
      <c r="F15" s="7" t="str">
        <f aca="false">IF(E15="","",IFERROR(INDEX(코드관리!$C$7:$C$66,MATCH(E15,코드관리!$B$7:$B$66,0)),"미등록 코드"))</f>
        <v/>
      </c>
      <c r="G15" s="25"/>
      <c r="H15" s="25" t="s">
        <v>65</v>
      </c>
      <c r="I15" s="24" t="s">
        <v>64</v>
      </c>
      <c r="J15" s="26" t="s">
        <v>66</v>
      </c>
      <c r="K15" s="27" t="n">
        <v>2800</v>
      </c>
      <c r="L15" s="26"/>
      <c r="M15" s="8" t="n">
        <f aca="false">IF(K15="","",IF(J15="USD",ROUND(K15*설정!$C$4,0),K15))</f>
        <v>3780000</v>
      </c>
      <c r="N15" s="8" t="n">
        <f aca="false">IF(M15="","",IF(AND(I15="과세",L15="VAT포함"),ROUND(M15/(1+설정!$C$5),0),M15))</f>
        <v>3780000</v>
      </c>
      <c r="O15" s="8" t="n">
        <f aca="false">IF(M15="","",IF(I15="과세",IF(L15="VAT포함",M15-N15,ROUND(N15*설정!$C$5,0)),0))</f>
        <v>0</v>
      </c>
      <c r="P15" s="8" t="n">
        <f aca="false">IF(M15="","",N15+O15)</f>
        <v>3780000</v>
      </c>
      <c r="Q15" s="26"/>
      <c r="R15" s="8" t="str">
        <f aca="false">IF(OR(M15="",Q15&lt;&gt;"Y"),"",ROUND(N15*설정!$C$5,0))</f>
        <v/>
      </c>
      <c r="S15" s="25" t="s">
        <v>67</v>
      </c>
    </row>
    <row r="16" customFormat="false" ht="15" hidden="false" customHeight="false" outlineLevel="0" collapsed="false">
      <c r="A16" s="21" t="n">
        <f aca="false">IF(C16="","",COUNTA($C$5:C16))</f>
        <v>12</v>
      </c>
      <c r="B16" s="22"/>
      <c r="C16" s="23" t="s">
        <v>19</v>
      </c>
      <c r="D16" s="26" t="s">
        <v>4</v>
      </c>
      <c r="E16" s="25"/>
      <c r="F16" s="7" t="str">
        <f aca="false">IF(E16="","",IFERROR(INDEX(코드관리!$C$7:$C$66,MATCH(E16,코드관리!$B$7:$B$66,0)),"미등록 코드"))</f>
        <v/>
      </c>
      <c r="G16" s="25"/>
      <c r="H16" s="25" t="s">
        <v>71</v>
      </c>
      <c r="I16" s="24" t="s">
        <v>64</v>
      </c>
      <c r="J16" s="26" t="s">
        <v>60</v>
      </c>
      <c r="K16" s="27" t="n">
        <v>33800000</v>
      </c>
      <c r="L16" s="26"/>
      <c r="M16" s="8" t="n">
        <f aca="false">IF(K16="","",IF(J16="USD",ROUND(K16*설정!$C$4,0),K16))</f>
        <v>33800000</v>
      </c>
      <c r="N16" s="8" t="n">
        <f aca="false">IF(M16="","",IF(AND(I16="과세",L16="VAT포함"),ROUND(M16/(1+설정!$C$5),0),M16))</f>
        <v>33800000</v>
      </c>
      <c r="O16" s="8" t="n">
        <f aca="false">IF(M16="","",IF(I16="과세",IF(L16="VAT포함",M16-N16,ROUND(N16*설정!$C$5,0)),0))</f>
        <v>0</v>
      </c>
      <c r="P16" s="8" t="n">
        <f aca="false">IF(M16="","",N16+O16)</f>
        <v>33800000</v>
      </c>
      <c r="Q16" s="26"/>
      <c r="R16" s="8" t="str">
        <f aca="false">IF(OR(M16="",Q16&lt;&gt;"Y"),"",ROUND(N16*설정!$C$5,0))</f>
        <v/>
      </c>
      <c r="S16" s="23" t="s">
        <v>72</v>
      </c>
    </row>
    <row r="17" customFormat="false" ht="15" hidden="false" customHeight="false" outlineLevel="0" collapsed="false">
      <c r="A17" s="21" t="n">
        <f aca="false">IF(C17="","",COUNTA($C$5:C17))</f>
        <v>13</v>
      </c>
      <c r="B17" s="22"/>
      <c r="C17" s="23" t="s">
        <v>19</v>
      </c>
      <c r="D17" s="26" t="s">
        <v>4</v>
      </c>
      <c r="E17" s="25"/>
      <c r="F17" s="7" t="str">
        <f aca="false">IF(E17="","",IFERROR(INDEX(코드관리!$C$7:$C$66,MATCH(E17,코드관리!$B$7:$B$66,0)),"미등록 코드"))</f>
        <v/>
      </c>
      <c r="G17" s="25"/>
      <c r="H17" s="23" t="s">
        <v>73</v>
      </c>
      <c r="I17" s="24" t="s">
        <v>64</v>
      </c>
      <c r="J17" s="26" t="s">
        <v>60</v>
      </c>
      <c r="K17" s="27" t="n">
        <v>7990000</v>
      </c>
      <c r="L17" s="26"/>
      <c r="M17" s="8" t="n">
        <f aca="false">IF(K17="","",IF(J17="USD",ROUND(K17*설정!$C$4,0),K17))</f>
        <v>7990000</v>
      </c>
      <c r="N17" s="8" t="n">
        <f aca="false">IF(M17="","",IF(AND(I17="과세",L17="VAT포함"),ROUND(M17/(1+설정!$C$5),0),M17))</f>
        <v>7990000</v>
      </c>
      <c r="O17" s="8" t="n">
        <f aca="false">IF(M17="","",IF(I17="과세",IF(L17="VAT포함",M17-N17,ROUND(N17*설정!$C$5,0)),0))</f>
        <v>0</v>
      </c>
      <c r="P17" s="8" t="n">
        <f aca="false">IF(M17="","",N17+O17)</f>
        <v>7990000</v>
      </c>
      <c r="Q17" s="26"/>
      <c r="R17" s="8" t="str">
        <f aca="false">IF(OR(M17="",Q17&lt;&gt;"Y"),"",ROUND(N17*설정!$C$5,0))</f>
        <v/>
      </c>
      <c r="S17" s="25"/>
    </row>
    <row r="18" customFormat="false" ht="15" hidden="false" customHeight="false" outlineLevel="0" collapsed="false">
      <c r="A18" s="21" t="n">
        <f aca="false">IF(C18="","",COUNTA($C$5:C18))</f>
        <v>14</v>
      </c>
      <c r="B18" s="22"/>
      <c r="C18" s="23" t="s">
        <v>19</v>
      </c>
      <c r="D18" s="26" t="s">
        <v>5</v>
      </c>
      <c r="E18" s="25"/>
      <c r="F18" s="7" t="str">
        <f aca="false">IF(E18="","",IFERROR(INDEX(코드관리!$C$7:$C$66,MATCH(E18,코드관리!$B$7:$B$66,0)),"미등록 코드"))</f>
        <v/>
      </c>
      <c r="G18" s="25"/>
      <c r="H18" s="25" t="s">
        <v>71</v>
      </c>
      <c r="I18" s="24" t="s">
        <v>64</v>
      </c>
      <c r="J18" s="26" t="s">
        <v>60</v>
      </c>
      <c r="K18" s="27" t="n">
        <v>33800000</v>
      </c>
      <c r="L18" s="26"/>
      <c r="M18" s="8" t="n">
        <f aca="false">IF(K18="","",IF(J18="USD",ROUND(K18*설정!$C$4,0),K18))</f>
        <v>33800000</v>
      </c>
      <c r="N18" s="8" t="n">
        <f aca="false">IF(M18="","",IF(AND(I18="과세",L18="VAT포함"),ROUND(M18/(1+설정!$C$5),0),M18))</f>
        <v>33800000</v>
      </c>
      <c r="O18" s="8" t="n">
        <f aca="false">IF(M18="","",IF(I18="과세",IF(L18="VAT포함",M18-N18,ROUND(N18*설정!$C$5,0)),0))</f>
        <v>0</v>
      </c>
      <c r="P18" s="8" t="n">
        <f aca="false">IF(M18="","",N18+O18)</f>
        <v>33800000</v>
      </c>
      <c r="Q18" s="26"/>
      <c r="R18" s="8" t="str">
        <f aca="false">IF(OR(M18="",Q18&lt;&gt;"Y"),"",ROUND(N18*설정!$C$5,0))</f>
        <v/>
      </c>
      <c r="S18" s="23" t="s">
        <v>72</v>
      </c>
    </row>
    <row r="19" customFormat="false" ht="15" hidden="false" customHeight="false" outlineLevel="0" collapsed="false">
      <c r="A19" s="21" t="n">
        <f aca="false">IF(C19="","",COUNTA($C$5:C19))</f>
        <v>15</v>
      </c>
      <c r="B19" s="22"/>
      <c r="C19" s="23" t="s">
        <v>19</v>
      </c>
      <c r="D19" s="26" t="s">
        <v>5</v>
      </c>
      <c r="E19" s="25"/>
      <c r="F19" s="7" t="str">
        <f aca="false">IF(E19="","",IFERROR(INDEX(코드관리!$C$7:$C$66,MATCH(E19,코드관리!$B$7:$B$66,0)),"미등록 코드"))</f>
        <v/>
      </c>
      <c r="G19" s="25"/>
      <c r="H19" s="23" t="s">
        <v>73</v>
      </c>
      <c r="I19" s="24" t="s">
        <v>64</v>
      </c>
      <c r="J19" s="26" t="s">
        <v>60</v>
      </c>
      <c r="K19" s="27" t="n">
        <v>7290000</v>
      </c>
      <c r="L19" s="26"/>
      <c r="M19" s="8" t="n">
        <f aca="false">IF(K19="","",IF(J19="USD",ROUND(K19*설정!$C$4,0),K19))</f>
        <v>7290000</v>
      </c>
      <c r="N19" s="8" t="n">
        <f aca="false">IF(M19="","",IF(AND(I19="과세",L19="VAT포함"),ROUND(M19/(1+설정!$C$5),0),M19))</f>
        <v>7290000</v>
      </c>
      <c r="O19" s="8" t="n">
        <f aca="false">IF(M19="","",IF(I19="과세",IF(L19="VAT포함",M19-N19,ROUND(N19*설정!$C$5,0)),0))</f>
        <v>0</v>
      </c>
      <c r="P19" s="8" t="n">
        <f aca="false">IF(M19="","",N19+O19)</f>
        <v>7290000</v>
      </c>
      <c r="Q19" s="26"/>
      <c r="R19" s="8" t="str">
        <f aca="false">IF(OR(M19="",Q19&lt;&gt;"Y"),"",ROUND(N19*설정!$C$5,0))</f>
        <v/>
      </c>
      <c r="S19" s="25"/>
    </row>
    <row r="20" customFormat="false" ht="15" hidden="false" customHeight="false" outlineLevel="0" collapsed="false">
      <c r="A20" s="21" t="n">
        <f aca="false">IF(C20="","",COUNTA($C$5:C20))</f>
        <v>16</v>
      </c>
      <c r="B20" s="22"/>
      <c r="C20" s="23" t="s">
        <v>19</v>
      </c>
      <c r="D20" s="26" t="s">
        <v>6</v>
      </c>
      <c r="E20" s="25"/>
      <c r="F20" s="7" t="str">
        <f aca="false">IF(E20="","",IFERROR(INDEX(코드관리!$C$7:$C$66,MATCH(E20,코드관리!$B$7:$B$66,0)),"미등록 코드"))</f>
        <v/>
      </c>
      <c r="G20" s="25"/>
      <c r="H20" s="25" t="s">
        <v>71</v>
      </c>
      <c r="I20" s="24" t="s">
        <v>64</v>
      </c>
      <c r="J20" s="26" t="s">
        <v>60</v>
      </c>
      <c r="K20" s="27" t="n">
        <v>33800000</v>
      </c>
      <c r="L20" s="26"/>
      <c r="M20" s="8" t="n">
        <f aca="false">IF(K20="","",IF(J20="USD",ROUND(K20*설정!$C$4,0),K20))</f>
        <v>33800000</v>
      </c>
      <c r="N20" s="8" t="n">
        <f aca="false">IF(M20="","",IF(AND(I20="과세",L20="VAT포함"),ROUND(M20/(1+설정!$C$5),0),M20))</f>
        <v>33800000</v>
      </c>
      <c r="O20" s="8" t="n">
        <f aca="false">IF(M20="","",IF(I20="과세",IF(L20="VAT포함",M20-N20,ROUND(N20*설정!$C$5,0)),0))</f>
        <v>0</v>
      </c>
      <c r="P20" s="8" t="n">
        <f aca="false">IF(M20="","",N20+O20)</f>
        <v>33800000</v>
      </c>
      <c r="Q20" s="26"/>
      <c r="R20" s="8" t="str">
        <f aca="false">IF(OR(M20="",Q20&lt;&gt;"Y"),"",ROUND(N20*설정!$C$5,0))</f>
        <v/>
      </c>
      <c r="S20" s="23" t="s">
        <v>72</v>
      </c>
    </row>
    <row r="21" customFormat="false" ht="15" hidden="false" customHeight="false" outlineLevel="0" collapsed="false">
      <c r="A21" s="21" t="n">
        <f aca="false">IF(C21="","",COUNTA($C$5:C21))</f>
        <v>17</v>
      </c>
      <c r="B21" s="22"/>
      <c r="C21" s="23" t="s">
        <v>19</v>
      </c>
      <c r="D21" s="26" t="s">
        <v>6</v>
      </c>
      <c r="E21" s="25"/>
      <c r="F21" s="7" t="str">
        <f aca="false">IF(E21="","",IFERROR(INDEX(코드관리!$C$7:$C$66,MATCH(E21,코드관리!$B$7:$B$66,0)),"미등록 코드"))</f>
        <v/>
      </c>
      <c r="G21" s="25"/>
      <c r="H21" s="23" t="s">
        <v>73</v>
      </c>
      <c r="I21" s="24" t="s">
        <v>64</v>
      </c>
      <c r="J21" s="26" t="s">
        <v>60</v>
      </c>
      <c r="K21" s="27" t="n">
        <v>7040000</v>
      </c>
      <c r="L21" s="26"/>
      <c r="M21" s="8" t="n">
        <f aca="false">IF(K21="","",IF(J21="USD",ROUND(K21*설정!$C$4,0),K21))</f>
        <v>7040000</v>
      </c>
      <c r="N21" s="8" t="n">
        <f aca="false">IF(M21="","",IF(AND(I21="과세",L21="VAT포함"),ROUND(M21/(1+설정!$C$5),0),M21))</f>
        <v>7040000</v>
      </c>
      <c r="O21" s="8" t="n">
        <f aca="false">IF(M21="","",IF(I21="과세",IF(L21="VAT포함",M21-N21,ROUND(N21*설정!$C$5,0)),0))</f>
        <v>0</v>
      </c>
      <c r="P21" s="8" t="n">
        <f aca="false">IF(M21="","",N21+O21)</f>
        <v>7040000</v>
      </c>
      <c r="Q21" s="26"/>
      <c r="R21" s="8" t="str">
        <f aca="false">IF(OR(M21="",Q21&lt;&gt;"Y"),"",ROUND(N21*설정!$C$5,0))</f>
        <v/>
      </c>
      <c r="S21" s="25"/>
    </row>
    <row r="22" customFormat="false" ht="15" hidden="false" customHeight="false" outlineLevel="0" collapsed="false">
      <c r="A22" s="21" t="n">
        <f aca="false">IF(C22="","",COUNTA($C$5:C22))</f>
        <v>18</v>
      </c>
      <c r="B22" s="22"/>
      <c r="C22" s="23" t="s">
        <v>19</v>
      </c>
      <c r="D22" s="26" t="s">
        <v>7</v>
      </c>
      <c r="E22" s="25"/>
      <c r="F22" s="7" t="str">
        <f aca="false">IF(E22="","",IFERROR(INDEX(코드관리!$C$7:$C$66,MATCH(E22,코드관리!$B$7:$B$66,0)),"미등록 코드"))</f>
        <v/>
      </c>
      <c r="G22" s="25"/>
      <c r="H22" s="25" t="s">
        <v>71</v>
      </c>
      <c r="I22" s="24" t="s">
        <v>64</v>
      </c>
      <c r="J22" s="26" t="s">
        <v>60</v>
      </c>
      <c r="K22" s="27" t="n">
        <v>33800000</v>
      </c>
      <c r="L22" s="26"/>
      <c r="M22" s="8" t="n">
        <f aca="false">IF(K22="","",IF(J22="USD",ROUND(K22*설정!$C$4,0),K22))</f>
        <v>33800000</v>
      </c>
      <c r="N22" s="8" t="n">
        <f aca="false">IF(M22="","",IF(AND(I22="과세",L22="VAT포함"),ROUND(M22/(1+설정!$C$5),0),M22))</f>
        <v>33800000</v>
      </c>
      <c r="O22" s="8" t="n">
        <f aca="false">IF(M22="","",IF(I22="과세",IF(L22="VAT포함",M22-N22,ROUND(N22*설정!$C$5,0)),0))</f>
        <v>0</v>
      </c>
      <c r="P22" s="8" t="n">
        <f aca="false">IF(M22="","",N22+O22)</f>
        <v>33800000</v>
      </c>
      <c r="Q22" s="26"/>
      <c r="R22" s="8" t="str">
        <f aca="false">IF(OR(M22="",Q22&lt;&gt;"Y"),"",ROUND(N22*설정!$C$5,0))</f>
        <v/>
      </c>
      <c r="S22" s="23" t="s">
        <v>72</v>
      </c>
    </row>
    <row r="23" customFormat="false" ht="15" hidden="false" customHeight="false" outlineLevel="0" collapsed="false">
      <c r="A23" s="21" t="n">
        <f aca="false">IF(C23="","",COUNTA($C$5:C23))</f>
        <v>19</v>
      </c>
      <c r="B23" s="22"/>
      <c r="C23" s="23" t="s">
        <v>19</v>
      </c>
      <c r="D23" s="26" t="s">
        <v>7</v>
      </c>
      <c r="E23" s="25"/>
      <c r="F23" s="7" t="str">
        <f aca="false">IF(E23="","",IFERROR(INDEX(코드관리!$C$7:$C$66,MATCH(E23,코드관리!$B$7:$B$66,0)),"미등록 코드"))</f>
        <v/>
      </c>
      <c r="G23" s="25"/>
      <c r="H23" s="23" t="s">
        <v>73</v>
      </c>
      <c r="I23" s="24" t="s">
        <v>64</v>
      </c>
      <c r="J23" s="26" t="s">
        <v>60</v>
      </c>
      <c r="K23" s="27" t="n">
        <v>8700000</v>
      </c>
      <c r="L23" s="26"/>
      <c r="M23" s="8" t="n">
        <f aca="false">IF(K23="","",IF(J23="USD",ROUND(K23*설정!$C$4,0),K23))</f>
        <v>8700000</v>
      </c>
      <c r="N23" s="8" t="n">
        <f aca="false">IF(M23="","",IF(AND(I23="과세",L23="VAT포함"),ROUND(M23/(1+설정!$C$5),0),M23))</f>
        <v>8700000</v>
      </c>
      <c r="O23" s="8" t="n">
        <f aca="false">IF(M23="","",IF(I23="과세",IF(L23="VAT포함",M23-N23,ROUND(N23*설정!$C$5,0)),0))</f>
        <v>0</v>
      </c>
      <c r="P23" s="8" t="n">
        <f aca="false">IF(M23="","",N23+O23)</f>
        <v>8700000</v>
      </c>
      <c r="Q23" s="26"/>
      <c r="R23" s="8" t="str">
        <f aca="false">IF(OR(M23="",Q23&lt;&gt;"Y"),"",ROUND(N23*설정!$C$5,0))</f>
        <v/>
      </c>
      <c r="S23" s="25"/>
    </row>
    <row r="24" customFormat="false" ht="15" hidden="false" customHeight="false" outlineLevel="0" collapsed="false">
      <c r="A24" s="21" t="n">
        <f aca="false">IF(C24="","",COUNTA($C$5:C24))</f>
        <v>20</v>
      </c>
      <c r="B24" s="22"/>
      <c r="C24" s="23" t="s">
        <v>20</v>
      </c>
      <c r="D24" s="24" t="s">
        <v>57</v>
      </c>
      <c r="E24" s="25"/>
      <c r="F24" s="7" t="str">
        <f aca="false">IF(E24="","",IFERROR(INDEX(코드관리!$C$7:$C$66,MATCH(E24,코드관리!$B$7:$B$66,0)),"미등록 코드"))</f>
        <v/>
      </c>
      <c r="G24" s="25"/>
      <c r="H24" s="25" t="s">
        <v>74</v>
      </c>
      <c r="I24" s="24" t="s">
        <v>64</v>
      </c>
      <c r="J24" s="26" t="s">
        <v>60</v>
      </c>
      <c r="K24" s="27" t="n">
        <v>27300000</v>
      </c>
      <c r="L24" s="26"/>
      <c r="M24" s="8" t="n">
        <f aca="false">IF(K24="","",IF(J24="USD",ROUND(K24*설정!$C$4,0),K24))</f>
        <v>27300000</v>
      </c>
      <c r="N24" s="8" t="n">
        <f aca="false">IF(M24="","",IF(AND(I24="과세",L24="VAT포함"),ROUND(M24/(1+설정!$C$5),0),M24))</f>
        <v>27300000</v>
      </c>
      <c r="O24" s="8" t="n">
        <f aca="false">IF(M24="","",IF(I24="과세",IF(L24="VAT포함",M24-N24,ROUND(N24*설정!$C$5,0)),0))</f>
        <v>0</v>
      </c>
      <c r="P24" s="8" t="n">
        <f aca="false">IF(M24="","",N24+O24)</f>
        <v>27300000</v>
      </c>
      <c r="Q24" s="26" t="s">
        <v>75</v>
      </c>
      <c r="R24" s="8" t="n">
        <f aca="false">IF(OR(M24="",Q24&lt;&gt;"Y"),"",ROUND(N24*설정!$C$5,0))</f>
        <v>2730000</v>
      </c>
      <c r="S24" s="23" t="s">
        <v>76</v>
      </c>
    </row>
    <row r="25" customFormat="false" ht="15" hidden="false" customHeight="false" outlineLevel="0" collapsed="false">
      <c r="A25" s="21" t="n">
        <f aca="false">IF(C25="","",COUNTA($C$5:C25))</f>
        <v>21</v>
      </c>
      <c r="B25" s="22" t="n">
        <v>46268</v>
      </c>
      <c r="C25" s="23" t="s">
        <v>21</v>
      </c>
      <c r="D25" s="26" t="s">
        <v>4</v>
      </c>
      <c r="E25" s="25"/>
      <c r="F25" s="7" t="str">
        <f aca="false">IF(E25="","",IFERROR(INDEX(코드관리!$C$7:$C$66,MATCH(E25,코드관리!$B$7:$B$66,0)),"미등록 코드"))</f>
        <v/>
      </c>
      <c r="G25" s="25"/>
      <c r="H25" s="23" t="s">
        <v>77</v>
      </c>
      <c r="I25" s="24" t="s">
        <v>64</v>
      </c>
      <c r="J25" s="26" t="s">
        <v>60</v>
      </c>
      <c r="K25" s="27" t="n">
        <v>9174000</v>
      </c>
      <c r="L25" s="26"/>
      <c r="M25" s="8" t="n">
        <f aca="false">IF(K25="","",IF(J25="USD",ROUND(K25*설정!$C$4,0),K25))</f>
        <v>9174000</v>
      </c>
      <c r="N25" s="8" t="n">
        <f aca="false">IF(M25="","",IF(AND(I25="과세",L25="VAT포함"),ROUND(M25/(1+설정!$C$5),0),M25))</f>
        <v>9174000</v>
      </c>
      <c r="O25" s="8" t="n">
        <f aca="false">IF(M25="","",IF(I25="과세",IF(L25="VAT포함",M25-N25,ROUND(N25*설정!$C$5,0)),0))</f>
        <v>0</v>
      </c>
      <c r="P25" s="8" t="n">
        <f aca="false">IF(M25="","",N25+O25)</f>
        <v>9174000</v>
      </c>
      <c r="Q25" s="26"/>
      <c r="R25" s="8" t="str">
        <f aca="false">IF(OR(M25="",Q25&lt;&gt;"Y"),"",ROUND(N25*설정!$C$5,0))</f>
        <v/>
      </c>
      <c r="S25" s="25" t="s">
        <v>78</v>
      </c>
    </row>
    <row r="26" customFormat="false" ht="15" hidden="false" customHeight="false" outlineLevel="0" collapsed="false">
      <c r="A26" s="21" t="n">
        <f aca="false">IF(C26="","",COUNTA($C$5:C26))</f>
        <v>22</v>
      </c>
      <c r="B26" s="22" t="n">
        <v>46268</v>
      </c>
      <c r="C26" s="23" t="s">
        <v>21</v>
      </c>
      <c r="D26" s="26" t="s">
        <v>4</v>
      </c>
      <c r="E26" s="25"/>
      <c r="F26" s="7" t="str">
        <f aca="false">IF(E26="","",IFERROR(INDEX(코드관리!$C$7:$C$66,MATCH(E26,코드관리!$B$7:$B$66,0)),"미등록 코드"))</f>
        <v/>
      </c>
      <c r="G26" s="25"/>
      <c r="H26" s="23" t="s">
        <v>79</v>
      </c>
      <c r="I26" s="24" t="s">
        <v>64</v>
      </c>
      <c r="J26" s="26" t="s">
        <v>60</v>
      </c>
      <c r="K26" s="27" t="n">
        <v>4400000</v>
      </c>
      <c r="L26" s="26"/>
      <c r="M26" s="8" t="n">
        <f aca="false">IF(K26="","",IF(J26="USD",ROUND(K26*설정!$C$4,0),K26))</f>
        <v>4400000</v>
      </c>
      <c r="N26" s="8" t="n">
        <f aca="false">IF(M26="","",IF(AND(I26="과세",L26="VAT포함"),ROUND(M26/(1+설정!$C$5),0),M26))</f>
        <v>4400000</v>
      </c>
      <c r="O26" s="8" t="n">
        <f aca="false">IF(M26="","",IF(I26="과세",IF(L26="VAT포함",M26-N26,ROUND(N26*설정!$C$5,0)),0))</f>
        <v>0</v>
      </c>
      <c r="P26" s="8" t="n">
        <f aca="false">IF(M26="","",N26+O26)</f>
        <v>4400000</v>
      </c>
      <c r="Q26" s="26"/>
      <c r="R26" s="8" t="str">
        <f aca="false">IF(OR(M26="",Q26&lt;&gt;"Y"),"",ROUND(N26*설정!$C$5,0))</f>
        <v/>
      </c>
      <c r="S26" s="25" t="s">
        <v>78</v>
      </c>
    </row>
    <row r="27" customFormat="false" ht="15" hidden="false" customHeight="false" outlineLevel="0" collapsed="false">
      <c r="A27" s="21" t="n">
        <f aca="false">IF(C27="","",COUNTA($C$5:C27))</f>
        <v>23</v>
      </c>
      <c r="B27" s="22" t="n">
        <v>46268</v>
      </c>
      <c r="C27" s="23" t="s">
        <v>21</v>
      </c>
      <c r="D27" s="26" t="s">
        <v>4</v>
      </c>
      <c r="E27" s="25"/>
      <c r="F27" s="7" t="str">
        <f aca="false">IF(E27="","",IFERROR(INDEX(코드관리!$C$7:$C$66,MATCH(E27,코드관리!$B$7:$B$66,0)),"미등록 코드"))</f>
        <v/>
      </c>
      <c r="G27" s="25"/>
      <c r="H27" s="25" t="s">
        <v>80</v>
      </c>
      <c r="I27" s="24" t="s">
        <v>64</v>
      </c>
      <c r="J27" s="26" t="s">
        <v>60</v>
      </c>
      <c r="K27" s="27" t="n">
        <v>1600245</v>
      </c>
      <c r="L27" s="26"/>
      <c r="M27" s="8" t="n">
        <f aca="false">IF(K27="","",IF(J27="USD",ROUND(K27*설정!$C$4,0),K27))</f>
        <v>1600245</v>
      </c>
      <c r="N27" s="8" t="n">
        <f aca="false">IF(M27="","",IF(AND(I27="과세",L27="VAT포함"),ROUND(M27/(1+설정!$C$5),0),M27))</f>
        <v>1600245</v>
      </c>
      <c r="O27" s="8" t="n">
        <f aca="false">IF(M27="","",IF(I27="과세",IF(L27="VAT포함",M27-N27,ROUND(N27*설정!$C$5,0)),0))</f>
        <v>0</v>
      </c>
      <c r="P27" s="8" t="n">
        <f aca="false">IF(M27="","",N27+O27)</f>
        <v>1600245</v>
      </c>
      <c r="Q27" s="26"/>
      <c r="R27" s="8" t="str">
        <f aca="false">IF(OR(M27="",Q27&lt;&gt;"Y"),"",ROUND(N27*설정!$C$5,0))</f>
        <v/>
      </c>
      <c r="S27" s="25" t="s">
        <v>78</v>
      </c>
    </row>
    <row r="28" customFormat="false" ht="15" hidden="false" customHeight="false" outlineLevel="0" collapsed="false">
      <c r="A28" s="21" t="n">
        <f aca="false">IF(C28="","",COUNTA($C$5:C28))</f>
        <v>24</v>
      </c>
      <c r="B28" s="22" t="n">
        <v>46268</v>
      </c>
      <c r="C28" s="23" t="s">
        <v>21</v>
      </c>
      <c r="D28" s="26" t="s">
        <v>4</v>
      </c>
      <c r="E28" s="25"/>
      <c r="F28" s="7" t="str">
        <f aca="false">IF(E28="","",IFERROR(INDEX(코드관리!$C$7:$C$66,MATCH(E28,코드관리!$B$7:$B$66,0)),"미등록 코드"))</f>
        <v/>
      </c>
      <c r="G28" s="25"/>
      <c r="H28" s="25" t="s">
        <v>81</v>
      </c>
      <c r="I28" s="24" t="s">
        <v>64</v>
      </c>
      <c r="J28" s="26" t="s">
        <v>60</v>
      </c>
      <c r="K28" s="27" t="n">
        <v>1100000</v>
      </c>
      <c r="L28" s="26"/>
      <c r="M28" s="8" t="n">
        <f aca="false">IF(K28="","",IF(J28="USD",ROUND(K28*설정!$C$4,0),K28))</f>
        <v>1100000</v>
      </c>
      <c r="N28" s="8" t="n">
        <f aca="false">IF(M28="","",IF(AND(I28="과세",L28="VAT포함"),ROUND(M28/(1+설정!$C$5),0),M28))</f>
        <v>1100000</v>
      </c>
      <c r="O28" s="8" t="n">
        <f aca="false">IF(M28="","",IF(I28="과세",IF(L28="VAT포함",M28-N28,ROUND(N28*설정!$C$5,0)),0))</f>
        <v>0</v>
      </c>
      <c r="P28" s="8" t="n">
        <f aca="false">IF(M28="","",N28+O28)</f>
        <v>1100000</v>
      </c>
      <c r="Q28" s="26"/>
      <c r="R28" s="8" t="str">
        <f aca="false">IF(OR(M28="",Q28&lt;&gt;"Y"),"",ROUND(N28*설정!$C$5,0))</f>
        <v/>
      </c>
      <c r="S28" s="25" t="s">
        <v>78</v>
      </c>
    </row>
    <row r="29" customFormat="false" ht="15" hidden="false" customHeight="false" outlineLevel="0" collapsed="false">
      <c r="A29" s="21" t="n">
        <f aca="false">IF(C29="","",COUNTA($C$5:C29))</f>
        <v>25</v>
      </c>
      <c r="B29" s="22" t="n">
        <v>46268</v>
      </c>
      <c r="C29" s="23" t="s">
        <v>21</v>
      </c>
      <c r="D29" s="26" t="s">
        <v>4</v>
      </c>
      <c r="E29" s="25"/>
      <c r="F29" s="7" t="str">
        <f aca="false">IF(E29="","",IFERROR(INDEX(코드관리!$C$7:$C$66,MATCH(E29,코드관리!$B$7:$B$66,0)),"미등록 코드"))</f>
        <v/>
      </c>
      <c r="G29" s="25"/>
      <c r="H29" s="25" t="s">
        <v>82</v>
      </c>
      <c r="I29" s="24" t="s">
        <v>64</v>
      </c>
      <c r="J29" s="26" t="s">
        <v>60</v>
      </c>
      <c r="K29" s="27" t="n">
        <v>981600</v>
      </c>
      <c r="L29" s="26"/>
      <c r="M29" s="8" t="n">
        <f aca="false">IF(K29="","",IF(J29="USD",ROUND(K29*설정!$C$4,0),K29))</f>
        <v>981600</v>
      </c>
      <c r="N29" s="8" t="n">
        <f aca="false">IF(M29="","",IF(AND(I29="과세",L29="VAT포함"),ROUND(M29/(1+설정!$C$5),0),M29))</f>
        <v>981600</v>
      </c>
      <c r="O29" s="8" t="n">
        <f aca="false">IF(M29="","",IF(I29="과세",IF(L29="VAT포함",M29-N29,ROUND(N29*설정!$C$5,0)),0))</f>
        <v>0</v>
      </c>
      <c r="P29" s="8" t="n">
        <f aca="false">IF(M29="","",N29+O29)</f>
        <v>981600</v>
      </c>
      <c r="Q29" s="26"/>
      <c r="R29" s="8" t="str">
        <f aca="false">IF(OR(M29="",Q29&lt;&gt;"Y"),"",ROUND(N29*설정!$C$5,0))</f>
        <v/>
      </c>
      <c r="S29" s="25" t="s">
        <v>78</v>
      </c>
    </row>
    <row r="30" customFormat="false" ht="15" hidden="false" customHeight="false" outlineLevel="0" collapsed="false">
      <c r="A30" s="21" t="n">
        <f aca="false">IF(C30="","",COUNTA($C$5:C30))</f>
        <v>26</v>
      </c>
      <c r="B30" s="22" t="n">
        <v>46268</v>
      </c>
      <c r="C30" s="23" t="s">
        <v>21</v>
      </c>
      <c r="D30" s="26" t="s">
        <v>4</v>
      </c>
      <c r="E30" s="25"/>
      <c r="F30" s="7" t="str">
        <f aca="false">IF(E30="","",IFERROR(INDEX(코드관리!$C$7:$C$66,MATCH(E30,코드관리!$B$7:$B$66,0)),"미등록 코드"))</f>
        <v/>
      </c>
      <c r="G30" s="25"/>
      <c r="H30" s="25" t="s">
        <v>83</v>
      </c>
      <c r="I30" s="24" t="s">
        <v>64</v>
      </c>
      <c r="J30" s="26" t="s">
        <v>60</v>
      </c>
      <c r="K30" s="27" t="n">
        <v>2256796</v>
      </c>
      <c r="L30" s="26"/>
      <c r="M30" s="8" t="n">
        <f aca="false">IF(K30="","",IF(J30="USD",ROUND(K30*설정!$C$4,0),K30))</f>
        <v>2256796</v>
      </c>
      <c r="N30" s="8" t="n">
        <f aca="false">IF(M30="","",IF(AND(I30="과세",L30="VAT포함"),ROUND(M30/(1+설정!$C$5),0),M30))</f>
        <v>2256796</v>
      </c>
      <c r="O30" s="8" t="n">
        <f aca="false">IF(M30="","",IF(I30="과세",IF(L30="VAT포함",M30-N30,ROUND(N30*설정!$C$5,0)),0))</f>
        <v>0</v>
      </c>
      <c r="P30" s="8" t="n">
        <f aca="false">IF(M30="","",N30+O30)</f>
        <v>2256796</v>
      </c>
      <c r="Q30" s="26"/>
      <c r="R30" s="8" t="str">
        <f aca="false">IF(OR(M30="",Q30&lt;&gt;"Y"),"",ROUND(N30*설정!$C$5,0))</f>
        <v/>
      </c>
      <c r="S30" s="25" t="s">
        <v>78</v>
      </c>
    </row>
    <row r="31" customFormat="false" ht="15" hidden="false" customHeight="false" outlineLevel="0" collapsed="false">
      <c r="A31" s="21" t="n">
        <f aca="false">IF(C31="","",COUNTA($C$5:C31))</f>
        <v>27</v>
      </c>
      <c r="B31" s="22" t="n">
        <v>46268</v>
      </c>
      <c r="C31" s="23" t="s">
        <v>21</v>
      </c>
      <c r="D31" s="26" t="s">
        <v>5</v>
      </c>
      <c r="E31" s="25"/>
      <c r="F31" s="7" t="str">
        <f aca="false">IF(E31="","",IFERROR(INDEX(코드관리!$C$7:$C$66,MATCH(E31,코드관리!$B$7:$B$66,0)),"미등록 코드"))</f>
        <v/>
      </c>
      <c r="G31" s="25"/>
      <c r="H31" s="23" t="s">
        <v>77</v>
      </c>
      <c r="I31" s="24" t="s">
        <v>64</v>
      </c>
      <c r="J31" s="26" t="s">
        <v>60</v>
      </c>
      <c r="K31" s="27" t="n">
        <v>9174000</v>
      </c>
      <c r="L31" s="26"/>
      <c r="M31" s="8" t="n">
        <f aca="false">IF(K31="","",IF(J31="USD",ROUND(K31*설정!$C$4,0),K31))</f>
        <v>9174000</v>
      </c>
      <c r="N31" s="8" t="n">
        <f aca="false">IF(M31="","",IF(AND(I31="과세",L31="VAT포함"),ROUND(M31/(1+설정!$C$5),0),M31))</f>
        <v>9174000</v>
      </c>
      <c r="O31" s="8" t="n">
        <f aca="false">IF(M31="","",IF(I31="과세",IF(L31="VAT포함",M31-N31,ROUND(N31*설정!$C$5,0)),0))</f>
        <v>0</v>
      </c>
      <c r="P31" s="8" t="n">
        <f aca="false">IF(M31="","",N31+O31)</f>
        <v>9174000</v>
      </c>
      <c r="Q31" s="26"/>
      <c r="R31" s="8" t="str">
        <f aca="false">IF(OR(M31="",Q31&lt;&gt;"Y"),"",ROUND(N31*설정!$C$5,0))</f>
        <v/>
      </c>
      <c r="S31" s="25" t="s">
        <v>78</v>
      </c>
    </row>
    <row r="32" customFormat="false" ht="15" hidden="false" customHeight="false" outlineLevel="0" collapsed="false">
      <c r="A32" s="21" t="n">
        <f aca="false">IF(C32="","",COUNTA($C$5:C32))</f>
        <v>28</v>
      </c>
      <c r="B32" s="22" t="n">
        <v>46268</v>
      </c>
      <c r="C32" s="23" t="s">
        <v>21</v>
      </c>
      <c r="D32" s="26" t="s">
        <v>5</v>
      </c>
      <c r="E32" s="25"/>
      <c r="F32" s="7" t="str">
        <f aca="false">IF(E32="","",IFERROR(INDEX(코드관리!$C$7:$C$66,MATCH(E32,코드관리!$B$7:$B$66,0)),"미등록 코드"))</f>
        <v/>
      </c>
      <c r="G32" s="25"/>
      <c r="H32" s="23" t="s">
        <v>79</v>
      </c>
      <c r="I32" s="24" t="s">
        <v>64</v>
      </c>
      <c r="J32" s="26" t="s">
        <v>60</v>
      </c>
      <c r="K32" s="27" t="n">
        <v>4400000</v>
      </c>
      <c r="L32" s="26"/>
      <c r="M32" s="8" t="n">
        <f aca="false">IF(K32="","",IF(J32="USD",ROUND(K32*설정!$C$4,0),K32))</f>
        <v>4400000</v>
      </c>
      <c r="N32" s="8" t="n">
        <f aca="false">IF(M32="","",IF(AND(I32="과세",L32="VAT포함"),ROUND(M32/(1+설정!$C$5),0),M32))</f>
        <v>4400000</v>
      </c>
      <c r="O32" s="8" t="n">
        <f aca="false">IF(M32="","",IF(I32="과세",IF(L32="VAT포함",M32-N32,ROUND(N32*설정!$C$5,0)),0))</f>
        <v>0</v>
      </c>
      <c r="P32" s="8" t="n">
        <f aca="false">IF(M32="","",N32+O32)</f>
        <v>4400000</v>
      </c>
      <c r="Q32" s="26"/>
      <c r="R32" s="8" t="str">
        <f aca="false">IF(OR(M32="",Q32&lt;&gt;"Y"),"",ROUND(N32*설정!$C$5,0))</f>
        <v/>
      </c>
      <c r="S32" s="25" t="s">
        <v>78</v>
      </c>
    </row>
    <row r="33" customFormat="false" ht="15" hidden="false" customHeight="false" outlineLevel="0" collapsed="false">
      <c r="A33" s="21" t="n">
        <f aca="false">IF(C33="","",COUNTA($C$5:C33))</f>
        <v>29</v>
      </c>
      <c r="B33" s="22" t="n">
        <v>46268</v>
      </c>
      <c r="C33" s="23" t="s">
        <v>21</v>
      </c>
      <c r="D33" s="26" t="s">
        <v>5</v>
      </c>
      <c r="E33" s="25"/>
      <c r="F33" s="7" t="str">
        <f aca="false">IF(E33="","",IFERROR(INDEX(코드관리!$C$7:$C$66,MATCH(E33,코드관리!$B$7:$B$66,0)),"미등록 코드"))</f>
        <v/>
      </c>
      <c r="G33" s="25"/>
      <c r="H33" s="25" t="s">
        <v>80</v>
      </c>
      <c r="I33" s="24" t="s">
        <v>64</v>
      </c>
      <c r="J33" s="26" t="s">
        <v>60</v>
      </c>
      <c r="K33" s="27" t="n">
        <v>1581045</v>
      </c>
      <c r="L33" s="26"/>
      <c r="M33" s="8" t="n">
        <f aca="false">IF(K33="","",IF(J33="USD",ROUND(K33*설정!$C$4,0),K33))</f>
        <v>1581045</v>
      </c>
      <c r="N33" s="8" t="n">
        <f aca="false">IF(M33="","",IF(AND(I33="과세",L33="VAT포함"),ROUND(M33/(1+설정!$C$5),0),M33))</f>
        <v>1581045</v>
      </c>
      <c r="O33" s="8" t="n">
        <f aca="false">IF(M33="","",IF(I33="과세",IF(L33="VAT포함",M33-N33,ROUND(N33*설정!$C$5,0)),0))</f>
        <v>0</v>
      </c>
      <c r="P33" s="8" t="n">
        <f aca="false">IF(M33="","",N33+O33)</f>
        <v>1581045</v>
      </c>
      <c r="Q33" s="26"/>
      <c r="R33" s="8" t="str">
        <f aca="false">IF(OR(M33="",Q33&lt;&gt;"Y"),"",ROUND(N33*설정!$C$5,0))</f>
        <v/>
      </c>
      <c r="S33" s="25" t="s">
        <v>78</v>
      </c>
    </row>
    <row r="34" customFormat="false" ht="15" hidden="false" customHeight="false" outlineLevel="0" collapsed="false">
      <c r="A34" s="21" t="n">
        <f aca="false">IF(C34="","",COUNTA($C$5:C34))</f>
        <v>30</v>
      </c>
      <c r="B34" s="22" t="n">
        <v>46268</v>
      </c>
      <c r="C34" s="23" t="s">
        <v>21</v>
      </c>
      <c r="D34" s="26" t="s">
        <v>5</v>
      </c>
      <c r="E34" s="25"/>
      <c r="F34" s="7" t="str">
        <f aca="false">IF(E34="","",IFERROR(INDEX(코드관리!$C$7:$C$66,MATCH(E34,코드관리!$B$7:$B$66,0)),"미등록 코드"))</f>
        <v/>
      </c>
      <c r="G34" s="25"/>
      <c r="H34" s="25" t="s">
        <v>81</v>
      </c>
      <c r="I34" s="24" t="s">
        <v>64</v>
      </c>
      <c r="J34" s="26" t="s">
        <v>60</v>
      </c>
      <c r="K34" s="27" t="n">
        <v>1100000</v>
      </c>
      <c r="L34" s="26"/>
      <c r="M34" s="8" t="n">
        <f aca="false">IF(K34="","",IF(J34="USD",ROUND(K34*설정!$C$4,0),K34))</f>
        <v>1100000</v>
      </c>
      <c r="N34" s="8" t="n">
        <f aca="false">IF(M34="","",IF(AND(I34="과세",L34="VAT포함"),ROUND(M34/(1+설정!$C$5),0),M34))</f>
        <v>1100000</v>
      </c>
      <c r="O34" s="8" t="n">
        <f aca="false">IF(M34="","",IF(I34="과세",IF(L34="VAT포함",M34-N34,ROUND(N34*설정!$C$5,0)),0))</f>
        <v>0</v>
      </c>
      <c r="P34" s="8" t="n">
        <f aca="false">IF(M34="","",N34+O34)</f>
        <v>1100000</v>
      </c>
      <c r="Q34" s="26"/>
      <c r="R34" s="8" t="str">
        <f aca="false">IF(OR(M34="",Q34&lt;&gt;"Y"),"",ROUND(N34*설정!$C$5,0))</f>
        <v/>
      </c>
      <c r="S34" s="25" t="s">
        <v>78</v>
      </c>
    </row>
    <row r="35" customFormat="false" ht="15" hidden="false" customHeight="false" outlineLevel="0" collapsed="false">
      <c r="A35" s="21" t="n">
        <f aca="false">IF(C35="","",COUNTA($C$5:C35))</f>
        <v>31</v>
      </c>
      <c r="B35" s="22" t="n">
        <v>46268</v>
      </c>
      <c r="C35" s="23" t="s">
        <v>21</v>
      </c>
      <c r="D35" s="26" t="s">
        <v>5</v>
      </c>
      <c r="E35" s="25"/>
      <c r="F35" s="7" t="str">
        <f aca="false">IF(E35="","",IFERROR(INDEX(코드관리!$C$7:$C$66,MATCH(E35,코드관리!$B$7:$B$66,0)),"미등록 코드"))</f>
        <v/>
      </c>
      <c r="G35" s="25"/>
      <c r="H35" s="25" t="s">
        <v>82</v>
      </c>
      <c r="I35" s="24" t="s">
        <v>64</v>
      </c>
      <c r="J35" s="26" t="s">
        <v>60</v>
      </c>
      <c r="K35" s="27" t="n">
        <v>981600</v>
      </c>
      <c r="L35" s="26"/>
      <c r="M35" s="8" t="n">
        <f aca="false">IF(K35="","",IF(J35="USD",ROUND(K35*설정!$C$4,0),K35))</f>
        <v>981600</v>
      </c>
      <c r="N35" s="8" t="n">
        <f aca="false">IF(M35="","",IF(AND(I35="과세",L35="VAT포함"),ROUND(M35/(1+설정!$C$5),0),M35))</f>
        <v>981600</v>
      </c>
      <c r="O35" s="8" t="n">
        <f aca="false">IF(M35="","",IF(I35="과세",IF(L35="VAT포함",M35-N35,ROUND(N35*설정!$C$5,0)),0))</f>
        <v>0</v>
      </c>
      <c r="P35" s="8" t="n">
        <f aca="false">IF(M35="","",N35+O35)</f>
        <v>981600</v>
      </c>
      <c r="Q35" s="26"/>
      <c r="R35" s="8" t="str">
        <f aca="false">IF(OR(M35="",Q35&lt;&gt;"Y"),"",ROUND(N35*설정!$C$5,0))</f>
        <v/>
      </c>
      <c r="S35" s="25" t="s">
        <v>78</v>
      </c>
    </row>
    <row r="36" customFormat="false" ht="15" hidden="false" customHeight="false" outlineLevel="0" collapsed="false">
      <c r="A36" s="21" t="n">
        <f aca="false">IF(C36="","",COUNTA($C$5:C36))</f>
        <v>32</v>
      </c>
      <c r="B36" s="22" t="n">
        <v>46268</v>
      </c>
      <c r="C36" s="23" t="s">
        <v>21</v>
      </c>
      <c r="D36" s="26" t="s">
        <v>5</v>
      </c>
      <c r="E36" s="25"/>
      <c r="F36" s="7" t="str">
        <f aca="false">IF(E36="","",IFERROR(INDEX(코드관리!$C$7:$C$66,MATCH(E36,코드관리!$B$7:$B$66,0)),"미등록 코드"))</f>
        <v/>
      </c>
      <c r="G36" s="25"/>
      <c r="H36" s="25" t="s">
        <v>83</v>
      </c>
      <c r="I36" s="24" t="s">
        <v>64</v>
      </c>
      <c r="J36" s="26" t="s">
        <v>60</v>
      </c>
      <c r="K36" s="27" t="n">
        <v>1258180</v>
      </c>
      <c r="L36" s="26"/>
      <c r="M36" s="8" t="n">
        <f aca="false">IF(K36="","",IF(J36="USD",ROUND(K36*설정!$C$4,0),K36))</f>
        <v>1258180</v>
      </c>
      <c r="N36" s="8" t="n">
        <f aca="false">IF(M36="","",IF(AND(I36="과세",L36="VAT포함"),ROUND(M36/(1+설정!$C$5),0),M36))</f>
        <v>1258180</v>
      </c>
      <c r="O36" s="8" t="n">
        <f aca="false">IF(M36="","",IF(I36="과세",IF(L36="VAT포함",M36-N36,ROUND(N36*설정!$C$5,0)),0))</f>
        <v>0</v>
      </c>
      <c r="P36" s="8" t="n">
        <f aca="false">IF(M36="","",N36+O36)</f>
        <v>1258180</v>
      </c>
      <c r="Q36" s="26"/>
      <c r="R36" s="8" t="str">
        <f aca="false">IF(OR(M36="",Q36&lt;&gt;"Y"),"",ROUND(N36*설정!$C$5,0))</f>
        <v/>
      </c>
      <c r="S36" s="25" t="s">
        <v>78</v>
      </c>
    </row>
    <row r="37" customFormat="false" ht="15" hidden="false" customHeight="false" outlineLevel="0" collapsed="false">
      <c r="A37" s="21" t="n">
        <f aca="false">IF(C37="","",COUNTA($C$5:C37))</f>
        <v>33</v>
      </c>
      <c r="B37" s="22" t="n">
        <v>46268</v>
      </c>
      <c r="C37" s="23" t="s">
        <v>21</v>
      </c>
      <c r="D37" s="26" t="s">
        <v>6</v>
      </c>
      <c r="E37" s="25"/>
      <c r="F37" s="7" t="str">
        <f aca="false">IF(E37="","",IFERROR(INDEX(코드관리!$C$7:$C$66,MATCH(E37,코드관리!$B$7:$B$66,0)),"미등록 코드"))</f>
        <v/>
      </c>
      <c r="G37" s="25"/>
      <c r="H37" s="23" t="s">
        <v>77</v>
      </c>
      <c r="I37" s="24" t="s">
        <v>64</v>
      </c>
      <c r="J37" s="26" t="s">
        <v>60</v>
      </c>
      <c r="K37" s="27" t="n">
        <v>9174000</v>
      </c>
      <c r="L37" s="26"/>
      <c r="M37" s="8" t="n">
        <f aca="false">IF(K37="","",IF(J37="USD",ROUND(K37*설정!$C$4,0),K37))</f>
        <v>9174000</v>
      </c>
      <c r="N37" s="8" t="n">
        <f aca="false">IF(M37="","",IF(AND(I37="과세",L37="VAT포함"),ROUND(M37/(1+설정!$C$5),0),M37))</f>
        <v>9174000</v>
      </c>
      <c r="O37" s="8" t="n">
        <f aca="false">IF(M37="","",IF(I37="과세",IF(L37="VAT포함",M37-N37,ROUND(N37*설정!$C$5,0)),0))</f>
        <v>0</v>
      </c>
      <c r="P37" s="8" t="n">
        <f aca="false">IF(M37="","",N37+O37)</f>
        <v>9174000</v>
      </c>
      <c r="Q37" s="26"/>
      <c r="R37" s="8" t="str">
        <f aca="false">IF(OR(M37="",Q37&lt;&gt;"Y"),"",ROUND(N37*설정!$C$5,0))</f>
        <v/>
      </c>
      <c r="S37" s="25" t="s">
        <v>78</v>
      </c>
    </row>
    <row r="38" customFormat="false" ht="15" hidden="false" customHeight="false" outlineLevel="0" collapsed="false">
      <c r="A38" s="21" t="n">
        <f aca="false">IF(C38="","",COUNTA($C$5:C38))</f>
        <v>34</v>
      </c>
      <c r="B38" s="22" t="n">
        <v>46268</v>
      </c>
      <c r="C38" s="23" t="s">
        <v>21</v>
      </c>
      <c r="D38" s="26" t="s">
        <v>6</v>
      </c>
      <c r="E38" s="25"/>
      <c r="F38" s="7" t="str">
        <f aca="false">IF(E38="","",IFERROR(INDEX(코드관리!$C$7:$C$66,MATCH(E38,코드관리!$B$7:$B$66,0)),"미등록 코드"))</f>
        <v/>
      </c>
      <c r="G38" s="25"/>
      <c r="H38" s="23" t="s">
        <v>79</v>
      </c>
      <c r="I38" s="24" t="s">
        <v>64</v>
      </c>
      <c r="J38" s="26" t="s">
        <v>60</v>
      </c>
      <c r="K38" s="27" t="n">
        <v>4400000</v>
      </c>
      <c r="L38" s="26"/>
      <c r="M38" s="8" t="n">
        <f aca="false">IF(K38="","",IF(J38="USD",ROUND(K38*설정!$C$4,0),K38))</f>
        <v>4400000</v>
      </c>
      <c r="N38" s="8" t="n">
        <f aca="false">IF(M38="","",IF(AND(I38="과세",L38="VAT포함"),ROUND(M38/(1+설정!$C$5),0),M38))</f>
        <v>4400000</v>
      </c>
      <c r="O38" s="8" t="n">
        <f aca="false">IF(M38="","",IF(I38="과세",IF(L38="VAT포함",M38-N38,ROUND(N38*설정!$C$5,0)),0))</f>
        <v>0</v>
      </c>
      <c r="P38" s="8" t="n">
        <f aca="false">IF(M38="","",N38+O38)</f>
        <v>4400000</v>
      </c>
      <c r="Q38" s="26"/>
      <c r="R38" s="8" t="str">
        <f aca="false">IF(OR(M38="",Q38&lt;&gt;"Y"),"",ROUND(N38*설정!$C$5,0))</f>
        <v/>
      </c>
      <c r="S38" s="25" t="s">
        <v>78</v>
      </c>
    </row>
    <row r="39" customFormat="false" ht="15" hidden="false" customHeight="false" outlineLevel="0" collapsed="false">
      <c r="A39" s="21" t="n">
        <f aca="false">IF(C39="","",COUNTA($C$5:C39))</f>
        <v>35</v>
      </c>
      <c r="B39" s="22" t="n">
        <v>46268</v>
      </c>
      <c r="C39" s="23" t="s">
        <v>21</v>
      </c>
      <c r="D39" s="26" t="s">
        <v>6</v>
      </c>
      <c r="E39" s="25"/>
      <c r="F39" s="7" t="str">
        <f aca="false">IF(E39="","",IFERROR(INDEX(코드관리!$C$7:$C$66,MATCH(E39,코드관리!$B$7:$B$66,0)),"미등록 코드"))</f>
        <v/>
      </c>
      <c r="G39" s="25"/>
      <c r="H39" s="25" t="s">
        <v>80</v>
      </c>
      <c r="I39" s="24" t="s">
        <v>64</v>
      </c>
      <c r="J39" s="26" t="s">
        <v>60</v>
      </c>
      <c r="K39" s="27" t="n">
        <v>1581045</v>
      </c>
      <c r="L39" s="26"/>
      <c r="M39" s="8" t="n">
        <f aca="false">IF(K39="","",IF(J39="USD",ROUND(K39*설정!$C$4,0),K39))</f>
        <v>1581045</v>
      </c>
      <c r="N39" s="8" t="n">
        <f aca="false">IF(M39="","",IF(AND(I39="과세",L39="VAT포함"),ROUND(M39/(1+설정!$C$5),0),M39))</f>
        <v>1581045</v>
      </c>
      <c r="O39" s="8" t="n">
        <f aca="false">IF(M39="","",IF(I39="과세",IF(L39="VAT포함",M39-N39,ROUND(N39*설정!$C$5,0)),0))</f>
        <v>0</v>
      </c>
      <c r="P39" s="8" t="n">
        <f aca="false">IF(M39="","",N39+O39)</f>
        <v>1581045</v>
      </c>
      <c r="Q39" s="26"/>
      <c r="R39" s="8" t="str">
        <f aca="false">IF(OR(M39="",Q39&lt;&gt;"Y"),"",ROUND(N39*설정!$C$5,0))</f>
        <v/>
      </c>
      <c r="S39" s="25" t="s">
        <v>78</v>
      </c>
    </row>
    <row r="40" customFormat="false" ht="15" hidden="false" customHeight="false" outlineLevel="0" collapsed="false">
      <c r="A40" s="21" t="n">
        <f aca="false">IF(C40="","",COUNTA($C$5:C40))</f>
        <v>36</v>
      </c>
      <c r="B40" s="22" t="n">
        <v>46268</v>
      </c>
      <c r="C40" s="23" t="s">
        <v>21</v>
      </c>
      <c r="D40" s="26" t="s">
        <v>6</v>
      </c>
      <c r="E40" s="25"/>
      <c r="F40" s="7" t="str">
        <f aca="false">IF(E40="","",IFERROR(INDEX(코드관리!$C$7:$C$66,MATCH(E40,코드관리!$B$7:$B$66,0)),"미등록 코드"))</f>
        <v/>
      </c>
      <c r="G40" s="25"/>
      <c r="H40" s="25" t="s">
        <v>81</v>
      </c>
      <c r="I40" s="24" t="s">
        <v>64</v>
      </c>
      <c r="J40" s="26" t="s">
        <v>60</v>
      </c>
      <c r="K40" s="27" t="n">
        <v>1100000</v>
      </c>
      <c r="L40" s="26"/>
      <c r="M40" s="8" t="n">
        <f aca="false">IF(K40="","",IF(J40="USD",ROUND(K40*설정!$C$4,0),K40))</f>
        <v>1100000</v>
      </c>
      <c r="N40" s="8" t="n">
        <f aca="false">IF(M40="","",IF(AND(I40="과세",L40="VAT포함"),ROUND(M40/(1+설정!$C$5),0),M40))</f>
        <v>1100000</v>
      </c>
      <c r="O40" s="8" t="n">
        <f aca="false">IF(M40="","",IF(I40="과세",IF(L40="VAT포함",M40-N40,ROUND(N40*설정!$C$5,0)),0))</f>
        <v>0</v>
      </c>
      <c r="P40" s="8" t="n">
        <f aca="false">IF(M40="","",N40+O40)</f>
        <v>1100000</v>
      </c>
      <c r="Q40" s="26"/>
      <c r="R40" s="8" t="str">
        <f aca="false">IF(OR(M40="",Q40&lt;&gt;"Y"),"",ROUND(N40*설정!$C$5,0))</f>
        <v/>
      </c>
      <c r="S40" s="25" t="s">
        <v>78</v>
      </c>
    </row>
    <row r="41" customFormat="false" ht="15" hidden="false" customHeight="false" outlineLevel="0" collapsed="false">
      <c r="A41" s="21" t="n">
        <f aca="false">IF(C41="","",COUNTA($C$5:C41))</f>
        <v>37</v>
      </c>
      <c r="B41" s="22" t="n">
        <v>46268</v>
      </c>
      <c r="C41" s="23" t="s">
        <v>21</v>
      </c>
      <c r="D41" s="26" t="s">
        <v>6</v>
      </c>
      <c r="E41" s="25"/>
      <c r="F41" s="7" t="str">
        <f aca="false">IF(E41="","",IFERROR(INDEX(코드관리!$C$7:$C$66,MATCH(E41,코드관리!$B$7:$B$66,0)),"미등록 코드"))</f>
        <v/>
      </c>
      <c r="G41" s="25"/>
      <c r="H41" s="25" t="s">
        <v>82</v>
      </c>
      <c r="I41" s="24" t="s">
        <v>64</v>
      </c>
      <c r="J41" s="26" t="s">
        <v>60</v>
      </c>
      <c r="K41" s="27" t="n">
        <v>981600</v>
      </c>
      <c r="L41" s="26"/>
      <c r="M41" s="8" t="n">
        <f aca="false">IF(K41="","",IF(J41="USD",ROUND(K41*설정!$C$4,0),K41))</f>
        <v>981600</v>
      </c>
      <c r="N41" s="8" t="n">
        <f aca="false">IF(M41="","",IF(AND(I41="과세",L41="VAT포함"),ROUND(M41/(1+설정!$C$5),0),M41))</f>
        <v>981600</v>
      </c>
      <c r="O41" s="8" t="n">
        <f aca="false">IF(M41="","",IF(I41="과세",IF(L41="VAT포함",M41-N41,ROUND(N41*설정!$C$5,0)),0))</f>
        <v>0</v>
      </c>
      <c r="P41" s="8" t="n">
        <f aca="false">IF(M41="","",N41+O41)</f>
        <v>981600</v>
      </c>
      <c r="Q41" s="26"/>
      <c r="R41" s="8" t="str">
        <f aca="false">IF(OR(M41="",Q41&lt;&gt;"Y"),"",ROUND(N41*설정!$C$5,0))</f>
        <v/>
      </c>
      <c r="S41" s="25" t="s">
        <v>78</v>
      </c>
    </row>
    <row r="42" customFormat="false" ht="15" hidden="false" customHeight="false" outlineLevel="0" collapsed="false">
      <c r="A42" s="21" t="n">
        <f aca="false">IF(C42="","",COUNTA($C$5:C42))</f>
        <v>38</v>
      </c>
      <c r="B42" s="22" t="n">
        <v>46268</v>
      </c>
      <c r="C42" s="23" t="s">
        <v>21</v>
      </c>
      <c r="D42" s="26" t="s">
        <v>6</v>
      </c>
      <c r="E42" s="25"/>
      <c r="F42" s="7" t="str">
        <f aca="false">IF(E42="","",IFERROR(INDEX(코드관리!$C$7:$C$66,MATCH(E42,코드관리!$B$7:$B$66,0)),"미등록 코드"))</f>
        <v/>
      </c>
      <c r="G42" s="25"/>
      <c r="H42" s="25" t="s">
        <v>83</v>
      </c>
      <c r="I42" s="24" t="s">
        <v>64</v>
      </c>
      <c r="J42" s="26" t="s">
        <v>60</v>
      </c>
      <c r="K42" s="27" t="n">
        <v>2256796</v>
      </c>
      <c r="L42" s="26"/>
      <c r="M42" s="8" t="n">
        <f aca="false">IF(K42="","",IF(J42="USD",ROUND(K42*설정!$C$4,0),K42))</f>
        <v>2256796</v>
      </c>
      <c r="N42" s="8" t="n">
        <f aca="false">IF(M42="","",IF(AND(I42="과세",L42="VAT포함"),ROUND(M42/(1+설정!$C$5),0),M42))</f>
        <v>2256796</v>
      </c>
      <c r="O42" s="8" t="n">
        <f aca="false">IF(M42="","",IF(I42="과세",IF(L42="VAT포함",M42-N42,ROUND(N42*설정!$C$5,0)),0))</f>
        <v>0</v>
      </c>
      <c r="P42" s="8" t="n">
        <f aca="false">IF(M42="","",N42+O42)</f>
        <v>2256796</v>
      </c>
      <c r="Q42" s="26"/>
      <c r="R42" s="8" t="str">
        <f aca="false">IF(OR(M42="",Q42&lt;&gt;"Y"),"",ROUND(N42*설정!$C$5,0))</f>
        <v/>
      </c>
      <c r="S42" s="25" t="s">
        <v>78</v>
      </c>
    </row>
    <row r="43" customFormat="false" ht="15" hidden="false" customHeight="false" outlineLevel="0" collapsed="false">
      <c r="A43" s="21" t="n">
        <f aca="false">IF(C43="","",COUNTA($C$5:C43))</f>
        <v>39</v>
      </c>
      <c r="B43" s="22" t="n">
        <v>46268</v>
      </c>
      <c r="C43" s="23" t="s">
        <v>21</v>
      </c>
      <c r="D43" s="26" t="s">
        <v>7</v>
      </c>
      <c r="E43" s="25"/>
      <c r="F43" s="7" t="str">
        <f aca="false">IF(E43="","",IFERROR(INDEX(코드관리!$C$7:$C$66,MATCH(E43,코드관리!$B$7:$B$66,0)),"미등록 코드"))</f>
        <v/>
      </c>
      <c r="G43" s="25"/>
      <c r="H43" s="23" t="s">
        <v>77</v>
      </c>
      <c r="I43" s="24" t="s">
        <v>64</v>
      </c>
      <c r="J43" s="26" t="s">
        <v>60</v>
      </c>
      <c r="K43" s="27" t="n">
        <v>9174000</v>
      </c>
      <c r="L43" s="26"/>
      <c r="M43" s="8" t="n">
        <f aca="false">IF(K43="","",IF(J43="USD",ROUND(K43*설정!$C$4,0),K43))</f>
        <v>9174000</v>
      </c>
      <c r="N43" s="8" t="n">
        <f aca="false">IF(M43="","",IF(AND(I43="과세",L43="VAT포함"),ROUND(M43/(1+설정!$C$5),0),M43))</f>
        <v>9174000</v>
      </c>
      <c r="O43" s="8" t="n">
        <f aca="false">IF(M43="","",IF(I43="과세",IF(L43="VAT포함",M43-N43,ROUND(N43*설정!$C$5,0)),0))</f>
        <v>0</v>
      </c>
      <c r="P43" s="8" t="n">
        <f aca="false">IF(M43="","",N43+O43)</f>
        <v>9174000</v>
      </c>
      <c r="Q43" s="26"/>
      <c r="R43" s="8" t="str">
        <f aca="false">IF(OR(M43="",Q43&lt;&gt;"Y"),"",ROUND(N43*설정!$C$5,0))</f>
        <v/>
      </c>
      <c r="S43" s="25" t="s">
        <v>78</v>
      </c>
    </row>
    <row r="44" customFormat="false" ht="15" hidden="false" customHeight="false" outlineLevel="0" collapsed="false">
      <c r="A44" s="21" t="n">
        <f aca="false">IF(C44="","",COUNTA($C$5:C44))</f>
        <v>40</v>
      </c>
      <c r="B44" s="22" t="n">
        <v>46268</v>
      </c>
      <c r="C44" s="23" t="s">
        <v>21</v>
      </c>
      <c r="D44" s="26" t="s">
        <v>7</v>
      </c>
      <c r="E44" s="25"/>
      <c r="F44" s="7" t="str">
        <f aca="false">IF(E44="","",IFERROR(INDEX(코드관리!$C$7:$C$66,MATCH(E44,코드관리!$B$7:$B$66,0)),"미등록 코드"))</f>
        <v/>
      </c>
      <c r="G44" s="25"/>
      <c r="H44" s="23" t="s">
        <v>79</v>
      </c>
      <c r="I44" s="24" t="s">
        <v>64</v>
      </c>
      <c r="J44" s="26" t="s">
        <v>60</v>
      </c>
      <c r="K44" s="27" t="n">
        <v>4400000</v>
      </c>
      <c r="L44" s="26"/>
      <c r="M44" s="8" t="n">
        <f aca="false">IF(K44="","",IF(J44="USD",ROUND(K44*설정!$C$4,0),K44))</f>
        <v>4400000</v>
      </c>
      <c r="N44" s="8" t="n">
        <f aca="false">IF(M44="","",IF(AND(I44="과세",L44="VAT포함"),ROUND(M44/(1+설정!$C$5),0),M44))</f>
        <v>4400000</v>
      </c>
      <c r="O44" s="8" t="n">
        <f aca="false">IF(M44="","",IF(I44="과세",IF(L44="VAT포함",M44-N44,ROUND(N44*설정!$C$5,0)),0))</f>
        <v>0</v>
      </c>
      <c r="P44" s="8" t="n">
        <f aca="false">IF(M44="","",N44+O44)</f>
        <v>4400000</v>
      </c>
      <c r="Q44" s="26"/>
      <c r="R44" s="8" t="str">
        <f aca="false">IF(OR(M44="",Q44&lt;&gt;"Y"),"",ROUND(N44*설정!$C$5,0))</f>
        <v/>
      </c>
      <c r="S44" s="25" t="s">
        <v>78</v>
      </c>
    </row>
    <row r="45" customFormat="false" ht="15" hidden="false" customHeight="false" outlineLevel="0" collapsed="false">
      <c r="A45" s="21" t="n">
        <f aca="false">IF(C45="","",COUNTA($C$5:C45))</f>
        <v>41</v>
      </c>
      <c r="B45" s="22" t="n">
        <v>46268</v>
      </c>
      <c r="C45" s="23" t="s">
        <v>21</v>
      </c>
      <c r="D45" s="26" t="s">
        <v>7</v>
      </c>
      <c r="E45" s="25"/>
      <c r="F45" s="7" t="str">
        <f aca="false">IF(E45="","",IFERROR(INDEX(코드관리!$C$7:$C$66,MATCH(E45,코드관리!$B$7:$B$66,0)),"미등록 코드"))</f>
        <v/>
      </c>
      <c r="G45" s="25"/>
      <c r="H45" s="25" t="s">
        <v>80</v>
      </c>
      <c r="I45" s="24" t="s">
        <v>64</v>
      </c>
      <c r="J45" s="26" t="s">
        <v>60</v>
      </c>
      <c r="K45" s="27" t="n">
        <v>1600245</v>
      </c>
      <c r="L45" s="26"/>
      <c r="M45" s="8" t="n">
        <f aca="false">IF(K45="","",IF(J45="USD",ROUND(K45*설정!$C$4,0),K45))</f>
        <v>1600245</v>
      </c>
      <c r="N45" s="8" t="n">
        <f aca="false">IF(M45="","",IF(AND(I45="과세",L45="VAT포함"),ROUND(M45/(1+설정!$C$5),0),M45))</f>
        <v>1600245</v>
      </c>
      <c r="O45" s="8" t="n">
        <f aca="false">IF(M45="","",IF(I45="과세",IF(L45="VAT포함",M45-N45,ROUND(N45*설정!$C$5,0)),0))</f>
        <v>0</v>
      </c>
      <c r="P45" s="8" t="n">
        <f aca="false">IF(M45="","",N45+O45)</f>
        <v>1600245</v>
      </c>
      <c r="Q45" s="26"/>
      <c r="R45" s="8" t="str">
        <f aca="false">IF(OR(M45="",Q45&lt;&gt;"Y"),"",ROUND(N45*설정!$C$5,0))</f>
        <v/>
      </c>
      <c r="S45" s="25" t="s">
        <v>78</v>
      </c>
    </row>
    <row r="46" customFormat="false" ht="15" hidden="false" customHeight="false" outlineLevel="0" collapsed="false">
      <c r="A46" s="21" t="n">
        <f aca="false">IF(C46="","",COUNTA($C$5:C46))</f>
        <v>42</v>
      </c>
      <c r="B46" s="22" t="n">
        <v>46268</v>
      </c>
      <c r="C46" s="23" t="s">
        <v>21</v>
      </c>
      <c r="D46" s="26" t="s">
        <v>7</v>
      </c>
      <c r="E46" s="25"/>
      <c r="F46" s="7" t="str">
        <f aca="false">IF(E46="","",IFERROR(INDEX(코드관리!$C$7:$C$66,MATCH(E46,코드관리!$B$7:$B$66,0)),"미등록 코드"))</f>
        <v/>
      </c>
      <c r="G46" s="25"/>
      <c r="H46" s="25" t="s">
        <v>81</v>
      </c>
      <c r="I46" s="24" t="s">
        <v>64</v>
      </c>
      <c r="J46" s="26" t="s">
        <v>60</v>
      </c>
      <c r="K46" s="27" t="n">
        <v>1100000</v>
      </c>
      <c r="L46" s="26"/>
      <c r="M46" s="8" t="n">
        <f aca="false">IF(K46="","",IF(J46="USD",ROUND(K46*설정!$C$4,0),K46))</f>
        <v>1100000</v>
      </c>
      <c r="N46" s="8" t="n">
        <f aca="false">IF(M46="","",IF(AND(I46="과세",L46="VAT포함"),ROUND(M46/(1+설정!$C$5),0),M46))</f>
        <v>1100000</v>
      </c>
      <c r="O46" s="8" t="n">
        <f aca="false">IF(M46="","",IF(I46="과세",IF(L46="VAT포함",M46-N46,ROUND(N46*설정!$C$5,0)),0))</f>
        <v>0</v>
      </c>
      <c r="P46" s="8" t="n">
        <f aca="false">IF(M46="","",N46+O46)</f>
        <v>1100000</v>
      </c>
      <c r="Q46" s="26"/>
      <c r="R46" s="8" t="str">
        <f aca="false">IF(OR(M46="",Q46&lt;&gt;"Y"),"",ROUND(N46*설정!$C$5,0))</f>
        <v/>
      </c>
      <c r="S46" s="25" t="s">
        <v>78</v>
      </c>
    </row>
    <row r="47" customFormat="false" ht="15" hidden="false" customHeight="false" outlineLevel="0" collapsed="false">
      <c r="A47" s="21" t="n">
        <f aca="false">IF(C47="","",COUNTA($C$5:C47))</f>
        <v>43</v>
      </c>
      <c r="B47" s="22" t="n">
        <v>46268</v>
      </c>
      <c r="C47" s="23" t="s">
        <v>21</v>
      </c>
      <c r="D47" s="26" t="s">
        <v>7</v>
      </c>
      <c r="E47" s="25"/>
      <c r="F47" s="7" t="str">
        <f aca="false">IF(E47="","",IFERROR(INDEX(코드관리!$C$7:$C$66,MATCH(E47,코드관리!$B$7:$B$66,0)),"미등록 코드"))</f>
        <v/>
      </c>
      <c r="G47" s="25"/>
      <c r="H47" s="25" t="s">
        <v>82</v>
      </c>
      <c r="I47" s="24" t="s">
        <v>64</v>
      </c>
      <c r="J47" s="26" t="s">
        <v>60</v>
      </c>
      <c r="K47" s="27" t="n">
        <v>981600</v>
      </c>
      <c r="L47" s="26"/>
      <c r="M47" s="8" t="n">
        <f aca="false">IF(K47="","",IF(J47="USD",ROUND(K47*설정!$C$4,0),K47))</f>
        <v>981600</v>
      </c>
      <c r="N47" s="8" t="n">
        <f aca="false">IF(M47="","",IF(AND(I47="과세",L47="VAT포함"),ROUND(M47/(1+설정!$C$5),0),M47))</f>
        <v>981600</v>
      </c>
      <c r="O47" s="8" t="n">
        <f aca="false">IF(M47="","",IF(I47="과세",IF(L47="VAT포함",M47-N47,ROUND(N47*설정!$C$5,0)),0))</f>
        <v>0</v>
      </c>
      <c r="P47" s="8" t="n">
        <f aca="false">IF(M47="","",N47+O47)</f>
        <v>981600</v>
      </c>
      <c r="Q47" s="26"/>
      <c r="R47" s="8" t="str">
        <f aca="false">IF(OR(M47="",Q47&lt;&gt;"Y"),"",ROUND(N47*설정!$C$5,0))</f>
        <v/>
      </c>
      <c r="S47" s="25" t="s">
        <v>78</v>
      </c>
    </row>
    <row r="48" customFormat="false" ht="15" hidden="false" customHeight="false" outlineLevel="0" collapsed="false">
      <c r="A48" s="21" t="n">
        <f aca="false">IF(C48="","",COUNTA($C$5:C48))</f>
        <v>44</v>
      </c>
      <c r="B48" s="22" t="n">
        <v>46268</v>
      </c>
      <c r="C48" s="23" t="s">
        <v>21</v>
      </c>
      <c r="D48" s="26" t="s">
        <v>7</v>
      </c>
      <c r="E48" s="25"/>
      <c r="F48" s="7" t="str">
        <f aca="false">IF(E48="","",IFERROR(INDEX(코드관리!$C$7:$C$66,MATCH(E48,코드관리!$B$7:$B$66,0)),"미등록 코드"))</f>
        <v/>
      </c>
      <c r="G48" s="25"/>
      <c r="H48" s="25" t="s">
        <v>83</v>
      </c>
      <c r="I48" s="24" t="s">
        <v>64</v>
      </c>
      <c r="J48" s="26" t="s">
        <v>60</v>
      </c>
      <c r="K48" s="27" t="n">
        <v>1091744</v>
      </c>
      <c r="L48" s="26"/>
      <c r="M48" s="8" t="n">
        <f aca="false">IF(K48="","",IF(J48="USD",ROUND(K48*설정!$C$4,0),K48))</f>
        <v>1091744</v>
      </c>
      <c r="N48" s="8" t="n">
        <f aca="false">IF(M48="","",IF(AND(I48="과세",L48="VAT포함"),ROUND(M48/(1+설정!$C$5),0),M48))</f>
        <v>1091744</v>
      </c>
      <c r="O48" s="8" t="n">
        <f aca="false">IF(M48="","",IF(I48="과세",IF(L48="VAT포함",M48-N48,ROUND(N48*설정!$C$5,0)),0))</f>
        <v>0</v>
      </c>
      <c r="P48" s="8" t="n">
        <f aca="false">IF(M48="","",N48+O48)</f>
        <v>1091744</v>
      </c>
      <c r="Q48" s="26"/>
      <c r="R48" s="8" t="str">
        <f aca="false">IF(OR(M48="",Q48&lt;&gt;"Y"),"",ROUND(N48*설정!$C$5,0))</f>
        <v/>
      </c>
      <c r="S48" s="25" t="s">
        <v>78</v>
      </c>
    </row>
    <row r="49" customFormat="false" ht="15" hidden="false" customHeight="false" outlineLevel="0" collapsed="false">
      <c r="A49" s="21" t="n">
        <f aca="false">IF(C49="","",COUNTA($C$5:C49))</f>
        <v>45</v>
      </c>
      <c r="B49" s="22" t="n">
        <v>46282</v>
      </c>
      <c r="C49" s="23" t="s">
        <v>21</v>
      </c>
      <c r="D49" s="26" t="s">
        <v>8</v>
      </c>
      <c r="E49" s="25"/>
      <c r="F49" s="7" t="str">
        <f aca="false">IF(E49="","",IFERROR(INDEX(코드관리!$C$7:$C$66,MATCH(E49,코드관리!$B$7:$B$66,0)),"미등록 코드"))</f>
        <v/>
      </c>
      <c r="G49" s="25"/>
      <c r="H49" s="23" t="s">
        <v>84</v>
      </c>
      <c r="I49" s="24" t="s">
        <v>64</v>
      </c>
      <c r="J49" s="26" t="s">
        <v>60</v>
      </c>
      <c r="K49" s="27" t="n">
        <v>241500</v>
      </c>
      <c r="L49" s="26"/>
      <c r="M49" s="8" t="n">
        <f aca="false">IF(K49="","",IF(J49="USD",ROUND(K49*설정!$C$4,0),K49))</f>
        <v>241500</v>
      </c>
      <c r="N49" s="8" t="n">
        <f aca="false">IF(M49="","",IF(AND(I49="과세",L49="VAT포함"),ROUND(M49/(1+설정!$C$5),0),M49))</f>
        <v>241500</v>
      </c>
      <c r="O49" s="8" t="n">
        <f aca="false">IF(M49="","",IF(I49="과세",IF(L49="VAT포함",M49-N49,ROUND(N49*설정!$C$5,0)),0))</f>
        <v>0</v>
      </c>
      <c r="P49" s="8" t="n">
        <f aca="false">IF(M49="","",N49+O49)</f>
        <v>241500</v>
      </c>
      <c r="Q49" s="26"/>
      <c r="R49" s="8" t="str">
        <f aca="false">IF(OR(M49="",Q49&lt;&gt;"Y"),"",ROUND(N49*설정!$C$5,0))</f>
        <v/>
      </c>
      <c r="S49" s="23" t="s">
        <v>85</v>
      </c>
    </row>
    <row r="50" customFormat="false" ht="15" hidden="false" customHeight="false" outlineLevel="0" collapsed="false">
      <c r="A50" s="21" t="n">
        <f aca="false">IF(C50="","",COUNTA($C$5:C50))</f>
        <v>46</v>
      </c>
      <c r="B50" s="22" t="n">
        <v>46295</v>
      </c>
      <c r="C50" s="23" t="s">
        <v>21</v>
      </c>
      <c r="D50" s="26" t="s">
        <v>4</v>
      </c>
      <c r="E50" s="25"/>
      <c r="F50" s="7" t="str">
        <f aca="false">IF(E50="","",IFERROR(INDEX(코드관리!$C$7:$C$66,MATCH(E50,코드관리!$B$7:$B$66,0)),"미등록 코드"))</f>
        <v/>
      </c>
      <c r="G50" s="25"/>
      <c r="H50" s="25" t="s">
        <v>74</v>
      </c>
      <c r="I50" s="24" t="s">
        <v>64</v>
      </c>
      <c r="J50" s="26" t="s">
        <v>60</v>
      </c>
      <c r="K50" s="27" t="n">
        <v>20700000</v>
      </c>
      <c r="L50" s="26"/>
      <c r="M50" s="8" t="n">
        <f aca="false">IF(K50="","",IF(J50="USD",ROUND(K50*설정!$C$4,0),K50))</f>
        <v>20700000</v>
      </c>
      <c r="N50" s="8" t="n">
        <f aca="false">IF(M50="","",IF(AND(I50="과세",L50="VAT포함"),ROUND(M50/(1+설정!$C$5),0),M50))</f>
        <v>20700000</v>
      </c>
      <c r="O50" s="8" t="n">
        <f aca="false">IF(M50="","",IF(I50="과세",IF(L50="VAT포함",M50-N50,ROUND(N50*설정!$C$5,0)),0))</f>
        <v>0</v>
      </c>
      <c r="P50" s="8" t="n">
        <f aca="false">IF(M50="","",N50+O50)</f>
        <v>20700000</v>
      </c>
      <c r="Q50" s="26"/>
      <c r="R50" s="8" t="str">
        <f aca="false">IF(OR(M50="",Q50&lt;&gt;"Y"),"",ROUND(N50*설정!$C$5,0))</f>
        <v/>
      </c>
      <c r="S50" s="25" t="s">
        <v>86</v>
      </c>
    </row>
    <row r="51" customFormat="false" ht="15" hidden="false" customHeight="false" outlineLevel="0" collapsed="false">
      <c r="A51" s="21" t="n">
        <f aca="false">IF(C51="","",COUNTA($C$5:C51))</f>
        <v>47</v>
      </c>
      <c r="B51" s="22" t="n">
        <v>46295</v>
      </c>
      <c r="C51" s="23" t="s">
        <v>21</v>
      </c>
      <c r="D51" s="24" t="s">
        <v>57</v>
      </c>
      <c r="E51" s="25"/>
      <c r="F51" s="7" t="str">
        <f aca="false">IF(E51="","",IFERROR(INDEX(코드관리!$C$7:$C$66,MATCH(E51,코드관리!$B$7:$B$66,0)),"미등록 코드"))</f>
        <v/>
      </c>
      <c r="G51" s="25"/>
      <c r="H51" s="23" t="s">
        <v>87</v>
      </c>
      <c r="I51" s="24" t="s">
        <v>64</v>
      </c>
      <c r="J51" s="26" t="s">
        <v>60</v>
      </c>
      <c r="K51" s="27" t="n">
        <v>531300</v>
      </c>
      <c r="L51" s="26"/>
      <c r="M51" s="8" t="n">
        <f aca="false">IF(K51="","",IF(J51="USD",ROUND(K51*설정!$C$4,0),K51))</f>
        <v>531300</v>
      </c>
      <c r="N51" s="8" t="n">
        <f aca="false">IF(M51="","",IF(AND(I51="과세",L51="VAT포함"),ROUND(M51/(1+설정!$C$5),0),M51))</f>
        <v>531300</v>
      </c>
      <c r="O51" s="8" t="n">
        <f aca="false">IF(M51="","",IF(I51="과세",IF(L51="VAT포함",M51-N51,ROUND(N51*설정!$C$5,0)),0))</f>
        <v>0</v>
      </c>
      <c r="P51" s="8" t="n">
        <f aca="false">IF(M51="","",N51+O51)</f>
        <v>531300</v>
      </c>
      <c r="Q51" s="26"/>
      <c r="R51" s="8" t="str">
        <f aca="false">IF(OR(M51="",Q51&lt;&gt;"Y"),"",ROUND(N51*설정!$C$5,0))</f>
        <v/>
      </c>
      <c r="S51" s="25" t="s">
        <v>88</v>
      </c>
    </row>
    <row r="52" customFormat="false" ht="15" hidden="false" customHeight="false" outlineLevel="0" collapsed="false">
      <c r="A52" s="21" t="n">
        <f aca="false">IF(C52="","",COUNTA($C$5:C52))</f>
        <v>48</v>
      </c>
      <c r="B52" s="22"/>
      <c r="C52" s="23" t="s">
        <v>21</v>
      </c>
      <c r="D52" s="24" t="s">
        <v>57</v>
      </c>
      <c r="E52" s="25"/>
      <c r="F52" s="7" t="str">
        <f aca="false">IF(E52="","",IFERROR(INDEX(코드관리!$C$7:$C$66,MATCH(E52,코드관리!$B$7:$B$66,0)),"미등록 코드"))</f>
        <v/>
      </c>
      <c r="G52" s="25"/>
      <c r="H52" s="25" t="s">
        <v>89</v>
      </c>
      <c r="I52" s="24" t="s">
        <v>64</v>
      </c>
      <c r="J52" s="26" t="s">
        <v>60</v>
      </c>
      <c r="K52" s="27" t="n">
        <v>4400000</v>
      </c>
      <c r="L52" s="26"/>
      <c r="M52" s="8" t="n">
        <f aca="false">IF(K52="","",IF(J52="USD",ROUND(K52*설정!$C$4,0),K52))</f>
        <v>4400000</v>
      </c>
      <c r="N52" s="8" t="n">
        <f aca="false">IF(M52="","",IF(AND(I52="과세",L52="VAT포함"),ROUND(M52/(1+설정!$C$5),0),M52))</f>
        <v>4400000</v>
      </c>
      <c r="O52" s="8" t="n">
        <f aca="false">IF(M52="","",IF(I52="과세",IF(L52="VAT포함",M52-N52,ROUND(N52*설정!$C$5,0)),0))</f>
        <v>0</v>
      </c>
      <c r="P52" s="8" t="n">
        <f aca="false">IF(M52="","",N52+O52)</f>
        <v>4400000</v>
      </c>
      <c r="Q52" s="26"/>
      <c r="R52" s="8" t="str">
        <f aca="false">IF(OR(M52="",Q52&lt;&gt;"Y"),"",ROUND(N52*설정!$C$5,0))</f>
        <v/>
      </c>
      <c r="S52" s="23" t="s">
        <v>90</v>
      </c>
    </row>
    <row r="53" customFormat="false" ht="15" hidden="false" customHeight="false" outlineLevel="0" collapsed="false">
      <c r="A53" s="21" t="n">
        <f aca="false">IF(C53="","",COUNTA($C$5:C53))</f>
        <v>49</v>
      </c>
      <c r="B53" s="22"/>
      <c r="C53" s="23" t="s">
        <v>21</v>
      </c>
      <c r="D53" s="26" t="s">
        <v>4</v>
      </c>
      <c r="E53" s="25"/>
      <c r="F53" s="7" t="str">
        <f aca="false">IF(E53="","",IFERROR(INDEX(코드관리!$C$7:$C$66,MATCH(E53,코드관리!$B$7:$B$66,0)),"미등록 코드"))</f>
        <v/>
      </c>
      <c r="G53" s="25"/>
      <c r="H53" s="25" t="s">
        <v>91</v>
      </c>
      <c r="I53" s="24" t="s">
        <v>64</v>
      </c>
      <c r="J53" s="26" t="s">
        <v>60</v>
      </c>
      <c r="K53" s="27" t="n">
        <v>20493000</v>
      </c>
      <c r="L53" s="26"/>
      <c r="M53" s="8" t="n">
        <f aca="false">IF(K53="","",IF(J53="USD",ROUND(K53*설정!$C$4,0),K53))</f>
        <v>20493000</v>
      </c>
      <c r="N53" s="8" t="n">
        <f aca="false">IF(M53="","",IF(AND(I53="과세",L53="VAT포함"),ROUND(M53/(1+설정!$C$5),0),M53))</f>
        <v>20493000</v>
      </c>
      <c r="O53" s="8" t="n">
        <f aca="false">IF(M53="","",IF(I53="과세",IF(L53="VAT포함",M53-N53,ROUND(N53*설정!$C$5,0)),0))</f>
        <v>0</v>
      </c>
      <c r="P53" s="8" t="n">
        <f aca="false">IF(M53="","",N53+O53)</f>
        <v>20493000</v>
      </c>
      <c r="Q53" s="26"/>
      <c r="R53" s="8" t="str">
        <f aca="false">IF(OR(M53="",Q53&lt;&gt;"Y"),"",ROUND(N53*설정!$C$5,0))</f>
        <v/>
      </c>
      <c r="S53" s="25" t="s">
        <v>92</v>
      </c>
    </row>
    <row r="54" customFormat="false" ht="15" hidden="false" customHeight="false" outlineLevel="0" collapsed="false">
      <c r="A54" s="21" t="n">
        <f aca="false">IF(C54="","",COUNTA($C$5:C54))</f>
        <v>50</v>
      </c>
      <c r="B54" s="22"/>
      <c r="C54" s="23" t="s">
        <v>21</v>
      </c>
      <c r="D54" s="26" t="s">
        <v>7</v>
      </c>
      <c r="E54" s="25"/>
      <c r="F54" s="7" t="str">
        <f aca="false">IF(E54="","",IFERROR(INDEX(코드관리!$C$7:$C$66,MATCH(E54,코드관리!$B$7:$B$66,0)),"미등록 코드"))</f>
        <v/>
      </c>
      <c r="G54" s="25"/>
      <c r="H54" s="25" t="s">
        <v>93</v>
      </c>
      <c r="I54" s="24" t="s">
        <v>64</v>
      </c>
      <c r="J54" s="26" t="s">
        <v>60</v>
      </c>
      <c r="K54" s="27" t="n">
        <v>2530000</v>
      </c>
      <c r="L54" s="26"/>
      <c r="M54" s="8" t="n">
        <f aca="false">IF(K54="","",IF(J54="USD",ROUND(K54*설정!$C$4,0),K54))</f>
        <v>2530000</v>
      </c>
      <c r="N54" s="8" t="n">
        <f aca="false">IF(M54="","",IF(AND(I54="과세",L54="VAT포함"),ROUND(M54/(1+설정!$C$5),0),M54))</f>
        <v>2530000</v>
      </c>
      <c r="O54" s="8" t="n">
        <f aca="false">IF(M54="","",IF(I54="과세",IF(L54="VAT포함",M54-N54,ROUND(N54*설정!$C$5,0)),0))</f>
        <v>0</v>
      </c>
      <c r="P54" s="8" t="n">
        <f aca="false">IF(M54="","",N54+O54)</f>
        <v>2530000</v>
      </c>
      <c r="Q54" s="26"/>
      <c r="R54" s="8" t="str">
        <f aca="false">IF(OR(M54="",Q54&lt;&gt;"Y"),"",ROUND(N54*설정!$C$5,0))</f>
        <v/>
      </c>
      <c r="S54" s="25" t="s">
        <v>94</v>
      </c>
    </row>
    <row r="55" customFormat="false" ht="15" hidden="false" customHeight="false" outlineLevel="0" collapsed="false">
      <c r="A55" s="21" t="n">
        <f aca="false">IF(C55="","",COUNTA($C$5:C55))</f>
        <v>51</v>
      </c>
      <c r="B55" s="22" t="n">
        <v>46288</v>
      </c>
      <c r="C55" s="23" t="s">
        <v>21</v>
      </c>
      <c r="D55" s="26" t="s">
        <v>5</v>
      </c>
      <c r="E55" s="25"/>
      <c r="F55" s="7" t="str">
        <f aca="false">IF(E55="","",IFERROR(INDEX(코드관리!$C$7:$C$66,MATCH(E55,코드관리!$B$7:$B$66,0)),"미등록 코드"))</f>
        <v/>
      </c>
      <c r="G55" s="25"/>
      <c r="H55" s="25" t="s">
        <v>95</v>
      </c>
      <c r="I55" s="24" t="s">
        <v>64</v>
      </c>
      <c r="J55" s="26" t="s">
        <v>60</v>
      </c>
      <c r="K55" s="27" t="n">
        <v>16651957</v>
      </c>
      <c r="L55" s="26"/>
      <c r="M55" s="8" t="n">
        <f aca="false">IF(K55="","",IF(J55="USD",ROUND(K55*설정!$C$4,0),K55))</f>
        <v>16651957</v>
      </c>
      <c r="N55" s="8" t="n">
        <f aca="false">IF(M55="","",IF(AND(I55="과세",L55="VAT포함"),ROUND(M55/(1+설정!$C$5),0),M55))</f>
        <v>16651957</v>
      </c>
      <c r="O55" s="8" t="n">
        <f aca="false">IF(M55="","",IF(I55="과세",IF(L55="VAT포함",M55-N55,ROUND(N55*설정!$C$5,0)),0))</f>
        <v>0</v>
      </c>
      <c r="P55" s="8" t="n">
        <f aca="false">IF(M55="","",N55+O55)</f>
        <v>16651957</v>
      </c>
      <c r="Q55" s="26"/>
      <c r="R55" s="8" t="str">
        <f aca="false">IF(OR(M55="",Q55&lt;&gt;"Y"),"",ROUND(N55*설정!$C$5,0))</f>
        <v/>
      </c>
      <c r="S55" s="25" t="s">
        <v>96</v>
      </c>
    </row>
    <row r="56" customFormat="false" ht="15" hidden="false" customHeight="false" outlineLevel="0" collapsed="false">
      <c r="A56" s="21" t="n">
        <f aca="false">IF(C56="","",COUNTA($C$5:C56))</f>
        <v>52</v>
      </c>
      <c r="B56" s="22" t="n">
        <v>46288</v>
      </c>
      <c r="C56" s="23" t="s">
        <v>21</v>
      </c>
      <c r="D56" s="26" t="s">
        <v>5</v>
      </c>
      <c r="E56" s="25"/>
      <c r="F56" s="7" t="str">
        <f aca="false">IF(E56="","",IFERROR(INDEX(코드관리!$C$7:$C$66,MATCH(E56,코드관리!$B$7:$B$66,0)),"미등록 코드"))</f>
        <v/>
      </c>
      <c r="G56" s="25"/>
      <c r="H56" s="25" t="s">
        <v>97</v>
      </c>
      <c r="I56" s="24" t="s">
        <v>64</v>
      </c>
      <c r="J56" s="26" t="s">
        <v>60</v>
      </c>
      <c r="K56" s="27" t="n">
        <v>5290660</v>
      </c>
      <c r="L56" s="26"/>
      <c r="M56" s="8" t="n">
        <f aca="false">IF(K56="","",IF(J56="USD",ROUND(K56*설정!$C$4,0),K56))</f>
        <v>5290660</v>
      </c>
      <c r="N56" s="8" t="n">
        <f aca="false">IF(M56="","",IF(AND(I56="과세",L56="VAT포함"),ROUND(M56/(1+설정!$C$5),0),M56))</f>
        <v>5290660</v>
      </c>
      <c r="O56" s="8" t="n">
        <f aca="false">IF(M56="","",IF(I56="과세",IF(L56="VAT포함",M56-N56,ROUND(N56*설정!$C$5,0)),0))</f>
        <v>0</v>
      </c>
      <c r="P56" s="8" t="n">
        <f aca="false">IF(M56="","",N56+O56)</f>
        <v>5290660</v>
      </c>
      <c r="Q56" s="26"/>
      <c r="R56" s="8" t="str">
        <f aca="false">IF(OR(M56="",Q56&lt;&gt;"Y"),"",ROUND(N56*설정!$C$5,0))</f>
        <v/>
      </c>
      <c r="S56" s="25" t="s">
        <v>96</v>
      </c>
    </row>
    <row r="57" customFormat="false" ht="15" hidden="false" customHeight="false" outlineLevel="0" collapsed="false">
      <c r="A57" s="21" t="n">
        <f aca="false">IF(C57="","",COUNTA($C$5:C57))</f>
        <v>53</v>
      </c>
      <c r="B57" s="22" t="n">
        <v>46288</v>
      </c>
      <c r="C57" s="23" t="s">
        <v>21</v>
      </c>
      <c r="D57" s="26" t="s">
        <v>5</v>
      </c>
      <c r="E57" s="25"/>
      <c r="F57" s="7" t="str">
        <f aca="false">IF(E57="","",IFERROR(INDEX(코드관리!$C$7:$C$66,MATCH(E57,코드관리!$B$7:$B$66,0)),"미등록 코드"))</f>
        <v/>
      </c>
      <c r="G57" s="25"/>
      <c r="H57" s="25" t="s">
        <v>98</v>
      </c>
      <c r="I57" s="24" t="s">
        <v>64</v>
      </c>
      <c r="J57" s="26" t="s">
        <v>60</v>
      </c>
      <c r="K57" s="27" t="n">
        <v>4002720</v>
      </c>
      <c r="L57" s="26"/>
      <c r="M57" s="8" t="n">
        <f aca="false">IF(K57="","",IF(J57="USD",ROUND(K57*설정!$C$4,0),K57))</f>
        <v>4002720</v>
      </c>
      <c r="N57" s="8" t="n">
        <f aca="false">IF(M57="","",IF(AND(I57="과세",L57="VAT포함"),ROUND(M57/(1+설정!$C$5),0),M57))</f>
        <v>4002720</v>
      </c>
      <c r="O57" s="8" t="n">
        <f aca="false">IF(M57="","",IF(I57="과세",IF(L57="VAT포함",M57-N57,ROUND(N57*설정!$C$5,0)),0))</f>
        <v>0</v>
      </c>
      <c r="P57" s="8" t="n">
        <f aca="false">IF(M57="","",N57+O57)</f>
        <v>4002720</v>
      </c>
      <c r="Q57" s="26"/>
      <c r="R57" s="8" t="str">
        <f aca="false">IF(OR(M57="",Q57&lt;&gt;"Y"),"",ROUND(N57*설정!$C$5,0))</f>
        <v/>
      </c>
      <c r="S57" s="25" t="s">
        <v>96</v>
      </c>
    </row>
    <row r="58" customFormat="false" ht="15" hidden="false" customHeight="false" outlineLevel="0" collapsed="false">
      <c r="A58" s="21" t="n">
        <f aca="false">IF(C58="","",COUNTA($C$5:C58))</f>
        <v>54</v>
      </c>
      <c r="B58" s="22" t="n">
        <v>46288</v>
      </c>
      <c r="C58" s="23" t="s">
        <v>21</v>
      </c>
      <c r="D58" s="26" t="s">
        <v>5</v>
      </c>
      <c r="E58" s="25"/>
      <c r="F58" s="7" t="str">
        <f aca="false">IF(E58="","",IFERROR(INDEX(코드관리!$C$7:$C$66,MATCH(E58,코드관리!$B$7:$B$66,0)),"미등록 코드"))</f>
        <v/>
      </c>
      <c r="G58" s="25"/>
      <c r="H58" s="25" t="s">
        <v>99</v>
      </c>
      <c r="I58" s="24" t="s">
        <v>64</v>
      </c>
      <c r="J58" s="26" t="s">
        <v>60</v>
      </c>
      <c r="K58" s="27" t="n">
        <v>5168440</v>
      </c>
      <c r="L58" s="26"/>
      <c r="M58" s="8" t="n">
        <f aca="false">IF(K58="","",IF(J58="USD",ROUND(K58*설정!$C$4,0),K58))</f>
        <v>5168440</v>
      </c>
      <c r="N58" s="8" t="n">
        <f aca="false">IF(M58="","",IF(AND(I58="과세",L58="VAT포함"),ROUND(M58/(1+설정!$C$5),0),M58))</f>
        <v>5168440</v>
      </c>
      <c r="O58" s="8" t="n">
        <f aca="false">IF(M58="","",IF(I58="과세",IF(L58="VAT포함",M58-N58,ROUND(N58*설정!$C$5,0)),0))</f>
        <v>0</v>
      </c>
      <c r="P58" s="8" t="n">
        <f aca="false">IF(M58="","",N58+O58)</f>
        <v>5168440</v>
      </c>
      <c r="Q58" s="26"/>
      <c r="R58" s="8" t="str">
        <f aca="false">IF(OR(M58="",Q58&lt;&gt;"Y"),"",ROUND(N58*설정!$C$5,0))</f>
        <v/>
      </c>
      <c r="S58" s="25" t="s">
        <v>96</v>
      </c>
    </row>
    <row r="59" customFormat="false" ht="15" hidden="false" customHeight="false" outlineLevel="0" collapsed="false">
      <c r="A59" s="21" t="n">
        <f aca="false">IF(C59="","",COUNTA($C$5:C59))</f>
        <v>55</v>
      </c>
      <c r="B59" s="22" t="n">
        <v>46288</v>
      </c>
      <c r="C59" s="23" t="s">
        <v>21</v>
      </c>
      <c r="D59" s="26" t="s">
        <v>5</v>
      </c>
      <c r="E59" s="25"/>
      <c r="F59" s="7" t="str">
        <f aca="false">IF(E59="","",IFERROR(INDEX(코드관리!$C$7:$C$66,MATCH(E59,코드관리!$B$7:$B$66,0)),"미등록 코드"))</f>
        <v/>
      </c>
      <c r="G59" s="25"/>
      <c r="H59" s="25" t="s">
        <v>100</v>
      </c>
      <c r="I59" s="24" t="s">
        <v>64</v>
      </c>
      <c r="J59" s="26" t="s">
        <v>60</v>
      </c>
      <c r="K59" s="27" t="n">
        <v>27402775</v>
      </c>
      <c r="L59" s="26"/>
      <c r="M59" s="8" t="n">
        <f aca="false">IF(K59="","",IF(J59="USD",ROUND(K59*설정!$C$4,0),K59))</f>
        <v>27402775</v>
      </c>
      <c r="N59" s="8" t="n">
        <f aca="false">IF(M59="","",IF(AND(I59="과세",L59="VAT포함"),ROUND(M59/(1+설정!$C$5),0),M59))</f>
        <v>27402775</v>
      </c>
      <c r="O59" s="8" t="n">
        <f aca="false">IF(M59="","",IF(I59="과세",IF(L59="VAT포함",M59-N59,ROUND(N59*설정!$C$5,0)),0))</f>
        <v>0</v>
      </c>
      <c r="P59" s="8" t="n">
        <f aca="false">IF(M59="","",N59+O59)</f>
        <v>27402775</v>
      </c>
      <c r="Q59" s="26"/>
      <c r="R59" s="8" t="str">
        <f aca="false">IF(OR(M59="",Q59&lt;&gt;"Y"),"",ROUND(N59*설정!$C$5,0))</f>
        <v/>
      </c>
      <c r="S59" s="25" t="s">
        <v>96</v>
      </c>
    </row>
    <row r="60" customFormat="false" ht="15" hidden="false" customHeight="false" outlineLevel="0" collapsed="false">
      <c r="A60" s="21" t="n">
        <f aca="false">IF(C60="","",COUNTA($C$5:C60))</f>
        <v>56</v>
      </c>
      <c r="B60" s="22"/>
      <c r="C60" s="23" t="s">
        <v>21</v>
      </c>
      <c r="D60" s="26" t="s">
        <v>6</v>
      </c>
      <c r="E60" s="25"/>
      <c r="F60" s="7" t="str">
        <f aca="false">IF(E60="","",IFERROR(INDEX(코드관리!$C$7:$C$66,MATCH(E60,코드관리!$B$7:$B$66,0)),"미등록 코드"))</f>
        <v/>
      </c>
      <c r="G60" s="25"/>
      <c r="H60" s="25" t="s">
        <v>101</v>
      </c>
      <c r="I60" s="24" t="s">
        <v>64</v>
      </c>
      <c r="J60" s="26" t="s">
        <v>60</v>
      </c>
      <c r="K60" s="27" t="n">
        <v>1789400</v>
      </c>
      <c r="L60" s="26"/>
      <c r="M60" s="8" t="n">
        <f aca="false">IF(K60="","",IF(J60="USD",ROUND(K60*설정!$C$4,0),K60))</f>
        <v>1789400</v>
      </c>
      <c r="N60" s="8" t="n">
        <f aca="false">IF(M60="","",IF(AND(I60="과세",L60="VAT포함"),ROUND(M60/(1+설정!$C$5),0),M60))</f>
        <v>1789400</v>
      </c>
      <c r="O60" s="8" t="n">
        <f aca="false">IF(M60="","",IF(I60="과세",IF(L60="VAT포함",M60-N60,ROUND(N60*설정!$C$5,0)),0))</f>
        <v>0</v>
      </c>
      <c r="P60" s="8" t="n">
        <f aca="false">IF(M60="","",N60+O60)</f>
        <v>1789400</v>
      </c>
      <c r="Q60" s="26"/>
      <c r="R60" s="8" t="str">
        <f aca="false">IF(OR(M60="",Q60&lt;&gt;"Y"),"",ROUND(N60*설정!$C$5,0))</f>
        <v/>
      </c>
      <c r="S60" s="25"/>
    </row>
    <row r="61" customFormat="false" ht="15" hidden="false" customHeight="false" outlineLevel="0" collapsed="false">
      <c r="A61" s="21" t="n">
        <f aca="false">IF(C61="","",COUNTA($C$5:C61))</f>
        <v>57</v>
      </c>
      <c r="B61" s="22"/>
      <c r="C61" s="23" t="s">
        <v>21</v>
      </c>
      <c r="D61" s="26" t="s">
        <v>6</v>
      </c>
      <c r="E61" s="25"/>
      <c r="F61" s="7" t="str">
        <f aca="false">IF(E61="","",IFERROR(INDEX(코드관리!$C$7:$C$66,MATCH(E61,코드관리!$B$7:$B$66,0)),"미등록 코드"))</f>
        <v/>
      </c>
      <c r="G61" s="25"/>
      <c r="H61" s="25" t="s">
        <v>102</v>
      </c>
      <c r="I61" s="24" t="s">
        <v>64</v>
      </c>
      <c r="J61" s="26" t="s">
        <v>60</v>
      </c>
      <c r="K61" s="27" t="n">
        <v>5381313</v>
      </c>
      <c r="L61" s="26"/>
      <c r="M61" s="8" t="n">
        <f aca="false">IF(K61="","",IF(J61="USD",ROUND(K61*설정!$C$4,0),K61))</f>
        <v>5381313</v>
      </c>
      <c r="N61" s="8" t="n">
        <f aca="false">IF(M61="","",IF(AND(I61="과세",L61="VAT포함"),ROUND(M61/(1+설정!$C$5),0),M61))</f>
        <v>5381313</v>
      </c>
      <c r="O61" s="8" t="n">
        <f aca="false">IF(M61="","",IF(I61="과세",IF(L61="VAT포함",M61-N61,ROUND(N61*설정!$C$5,0)),0))</f>
        <v>0</v>
      </c>
      <c r="P61" s="8" t="n">
        <f aca="false">IF(M61="","",N61+O61)</f>
        <v>5381313</v>
      </c>
      <c r="Q61" s="26"/>
      <c r="R61" s="8" t="str">
        <f aca="false">IF(OR(M61="",Q61&lt;&gt;"Y"),"",ROUND(N61*설정!$C$5,0))</f>
        <v/>
      </c>
      <c r="S61" s="25"/>
    </row>
    <row r="62" customFormat="false" ht="15" hidden="false" customHeight="false" outlineLevel="0" collapsed="false">
      <c r="A62" s="21" t="n">
        <f aca="false">IF(C62="","",COUNTA($C$5:C62))</f>
        <v>58</v>
      </c>
      <c r="B62" s="22"/>
      <c r="C62" s="23" t="s">
        <v>21</v>
      </c>
      <c r="D62" s="26" t="s">
        <v>6</v>
      </c>
      <c r="E62" s="25"/>
      <c r="F62" s="7" t="str">
        <f aca="false">IF(E62="","",IFERROR(INDEX(코드관리!$C$7:$C$66,MATCH(E62,코드관리!$B$7:$B$66,0)),"미등록 코드"))</f>
        <v/>
      </c>
      <c r="G62" s="25"/>
      <c r="H62" s="25" t="s">
        <v>103</v>
      </c>
      <c r="I62" s="24" t="s">
        <v>64</v>
      </c>
      <c r="J62" s="26" t="s">
        <v>60</v>
      </c>
      <c r="K62" s="27" t="n">
        <v>17207955</v>
      </c>
      <c r="L62" s="26"/>
      <c r="M62" s="8" t="n">
        <f aca="false">IF(K62="","",IF(J62="USD",ROUND(K62*설정!$C$4,0),K62))</f>
        <v>17207955</v>
      </c>
      <c r="N62" s="8" t="n">
        <f aca="false">IF(M62="","",IF(AND(I62="과세",L62="VAT포함"),ROUND(M62/(1+설정!$C$5),0),M62))</f>
        <v>17207955</v>
      </c>
      <c r="O62" s="8" t="n">
        <f aca="false">IF(M62="","",IF(I62="과세",IF(L62="VAT포함",M62-N62,ROUND(N62*설정!$C$5,0)),0))</f>
        <v>0</v>
      </c>
      <c r="P62" s="8" t="n">
        <f aca="false">IF(M62="","",N62+O62)</f>
        <v>17207955</v>
      </c>
      <c r="Q62" s="26"/>
      <c r="R62" s="8" t="str">
        <f aca="false">IF(OR(M62="",Q62&lt;&gt;"Y"),"",ROUND(N62*설정!$C$5,0))</f>
        <v/>
      </c>
      <c r="S62" s="25"/>
    </row>
    <row r="63" customFormat="false" ht="15" hidden="false" customHeight="false" outlineLevel="0" collapsed="false">
      <c r="A63" s="21" t="n">
        <f aca="false">IF(C63="","",COUNTA($C$5:C63))</f>
        <v>59</v>
      </c>
      <c r="B63" s="22"/>
      <c r="C63" s="23" t="s">
        <v>21</v>
      </c>
      <c r="D63" s="26" t="s">
        <v>6</v>
      </c>
      <c r="E63" s="25"/>
      <c r="F63" s="7" t="str">
        <f aca="false">IF(E63="","",IFERROR(INDEX(코드관리!$C$7:$C$66,MATCH(E63,코드관리!$B$7:$B$66,0)),"미등록 코드"))</f>
        <v/>
      </c>
      <c r="G63" s="25"/>
      <c r="H63" s="25" t="s">
        <v>97</v>
      </c>
      <c r="I63" s="24" t="s">
        <v>64</v>
      </c>
      <c r="J63" s="26" t="s">
        <v>60</v>
      </c>
      <c r="K63" s="27" t="n">
        <v>14285290</v>
      </c>
      <c r="L63" s="26"/>
      <c r="M63" s="8" t="n">
        <f aca="false">IF(K63="","",IF(J63="USD",ROUND(K63*설정!$C$4,0),K63))</f>
        <v>14285290</v>
      </c>
      <c r="N63" s="8" t="n">
        <f aca="false">IF(M63="","",IF(AND(I63="과세",L63="VAT포함"),ROUND(M63/(1+설정!$C$5),0),M63))</f>
        <v>14285290</v>
      </c>
      <c r="O63" s="8" t="n">
        <f aca="false">IF(M63="","",IF(I63="과세",IF(L63="VAT포함",M63-N63,ROUND(N63*설정!$C$5,0)),0))</f>
        <v>0</v>
      </c>
      <c r="P63" s="8" t="n">
        <f aca="false">IF(M63="","",N63+O63)</f>
        <v>14285290</v>
      </c>
      <c r="Q63" s="26"/>
      <c r="R63" s="8" t="str">
        <f aca="false">IF(OR(M63="",Q63&lt;&gt;"Y"),"",ROUND(N63*설정!$C$5,0))</f>
        <v/>
      </c>
      <c r="S63" s="25"/>
    </row>
    <row r="64" customFormat="false" ht="15" hidden="false" customHeight="false" outlineLevel="0" collapsed="false">
      <c r="A64" s="21" t="n">
        <f aca="false">IF(C64="","",COUNTA($C$5:C64))</f>
        <v>60</v>
      </c>
      <c r="B64" s="22"/>
      <c r="C64" s="23" t="s">
        <v>21</v>
      </c>
      <c r="D64" s="26" t="s">
        <v>6</v>
      </c>
      <c r="E64" s="25"/>
      <c r="F64" s="7" t="str">
        <f aca="false">IF(E64="","",IFERROR(INDEX(코드관리!$C$7:$C$66,MATCH(E64,코드관리!$B$7:$B$66,0)),"미등록 코드"))</f>
        <v/>
      </c>
      <c r="G64" s="25"/>
      <c r="H64" s="25" t="s">
        <v>104</v>
      </c>
      <c r="I64" s="24" t="s">
        <v>64</v>
      </c>
      <c r="J64" s="26" t="s">
        <v>60</v>
      </c>
      <c r="K64" s="27" t="n">
        <v>1391500</v>
      </c>
      <c r="L64" s="26"/>
      <c r="M64" s="8" t="n">
        <f aca="false">IF(K64="","",IF(J64="USD",ROUND(K64*설정!$C$4,0),K64))</f>
        <v>1391500</v>
      </c>
      <c r="N64" s="8" t="n">
        <f aca="false">IF(M64="","",IF(AND(I64="과세",L64="VAT포함"),ROUND(M64/(1+설정!$C$5),0),M64))</f>
        <v>1391500</v>
      </c>
      <c r="O64" s="8" t="n">
        <f aca="false">IF(M64="","",IF(I64="과세",IF(L64="VAT포함",M64-N64,ROUND(N64*설정!$C$5,0)),0))</f>
        <v>0</v>
      </c>
      <c r="P64" s="8" t="n">
        <f aca="false">IF(M64="","",N64+O64)</f>
        <v>1391500</v>
      </c>
      <c r="Q64" s="26"/>
      <c r="R64" s="8" t="str">
        <f aca="false">IF(OR(M64="",Q64&lt;&gt;"Y"),"",ROUND(N64*설정!$C$5,0))</f>
        <v/>
      </c>
      <c r="S64" s="25"/>
    </row>
    <row r="65" customFormat="false" ht="15" hidden="false" customHeight="false" outlineLevel="0" collapsed="false">
      <c r="A65" s="21" t="n">
        <f aca="false">IF(C65="","",COUNTA($C$5:C65))</f>
        <v>61</v>
      </c>
      <c r="B65" s="22"/>
      <c r="C65" s="23" t="s">
        <v>21</v>
      </c>
      <c r="D65" s="26" t="s">
        <v>6</v>
      </c>
      <c r="E65" s="25"/>
      <c r="F65" s="7" t="str">
        <f aca="false">IF(E65="","",IFERROR(INDEX(코드관리!$C$7:$C$66,MATCH(E65,코드관리!$B$7:$B$66,0)),"미등록 코드"))</f>
        <v/>
      </c>
      <c r="G65" s="25"/>
      <c r="H65" s="25" t="s">
        <v>105</v>
      </c>
      <c r="I65" s="24" t="s">
        <v>64</v>
      </c>
      <c r="J65" s="26" t="s">
        <v>60</v>
      </c>
      <c r="K65" s="27" t="n">
        <v>5001335</v>
      </c>
      <c r="L65" s="26"/>
      <c r="M65" s="8" t="n">
        <f aca="false">IF(K65="","",IF(J65="USD",ROUND(K65*설정!$C$4,0),K65))</f>
        <v>5001335</v>
      </c>
      <c r="N65" s="8" t="n">
        <f aca="false">IF(M65="","",IF(AND(I65="과세",L65="VAT포함"),ROUND(M65/(1+설정!$C$5),0),M65))</f>
        <v>5001335</v>
      </c>
      <c r="O65" s="8" t="n">
        <f aca="false">IF(M65="","",IF(I65="과세",IF(L65="VAT포함",M65-N65,ROUND(N65*설정!$C$5,0)),0))</f>
        <v>0</v>
      </c>
      <c r="P65" s="8" t="n">
        <f aca="false">IF(M65="","",N65+O65)</f>
        <v>5001335</v>
      </c>
      <c r="Q65" s="26"/>
      <c r="R65" s="8" t="str">
        <f aca="false">IF(OR(M65="",Q65&lt;&gt;"Y"),"",ROUND(N65*설정!$C$5,0))</f>
        <v/>
      </c>
      <c r="S65" s="25"/>
    </row>
    <row r="66" customFormat="false" ht="15" hidden="false" customHeight="false" outlineLevel="0" collapsed="false">
      <c r="A66" s="21" t="n">
        <f aca="false">IF(C66="","",COUNTA($C$5:C66))</f>
        <v>62</v>
      </c>
      <c r="B66" s="22"/>
      <c r="C66" s="23" t="s">
        <v>21</v>
      </c>
      <c r="D66" s="26" t="s">
        <v>6</v>
      </c>
      <c r="E66" s="25"/>
      <c r="F66" s="7" t="str">
        <f aca="false">IF(E66="","",IFERROR(INDEX(코드관리!$C$7:$C$66,MATCH(E66,코드관리!$B$7:$B$66,0)),"미등록 코드"))</f>
        <v/>
      </c>
      <c r="G66" s="25"/>
      <c r="H66" s="25" t="s">
        <v>106</v>
      </c>
      <c r="I66" s="24" t="s">
        <v>64</v>
      </c>
      <c r="J66" s="26" t="s">
        <v>60</v>
      </c>
      <c r="K66" s="27" t="n">
        <v>3380000</v>
      </c>
      <c r="L66" s="26"/>
      <c r="M66" s="8" t="n">
        <f aca="false">IF(K66="","",IF(J66="USD",ROUND(K66*설정!$C$4,0),K66))</f>
        <v>3380000</v>
      </c>
      <c r="N66" s="8" t="n">
        <f aca="false">IF(M66="","",IF(AND(I66="과세",L66="VAT포함"),ROUND(M66/(1+설정!$C$5),0),M66))</f>
        <v>3380000</v>
      </c>
      <c r="O66" s="8" t="n">
        <f aca="false">IF(M66="","",IF(I66="과세",IF(L66="VAT포함",M66-N66,ROUND(N66*설정!$C$5,0)),0))</f>
        <v>0</v>
      </c>
      <c r="P66" s="8" t="n">
        <f aca="false">IF(M66="","",N66+O66)</f>
        <v>3380000</v>
      </c>
      <c r="Q66" s="26"/>
      <c r="R66" s="8" t="str">
        <f aca="false">IF(OR(M66="",Q66&lt;&gt;"Y"),"",ROUND(N66*설정!$C$5,0))</f>
        <v/>
      </c>
      <c r="S66" s="25"/>
    </row>
    <row r="67" customFormat="false" ht="15" hidden="false" customHeight="false" outlineLevel="0" collapsed="false">
      <c r="A67" s="21" t="n">
        <f aca="false">IF(C67="","",COUNTA($C$5:C67))</f>
        <v>63</v>
      </c>
      <c r="B67" s="22"/>
      <c r="C67" s="23" t="s">
        <v>21</v>
      </c>
      <c r="D67" s="26" t="s">
        <v>7</v>
      </c>
      <c r="E67" s="25"/>
      <c r="F67" s="7" t="str">
        <f aca="false">IF(E67="","",IFERROR(INDEX(코드관리!$C$7:$C$66,MATCH(E67,코드관리!$B$7:$B$66,0)),"미등록 코드"))</f>
        <v/>
      </c>
      <c r="G67" s="25"/>
      <c r="H67" s="25" t="s">
        <v>107</v>
      </c>
      <c r="I67" s="24" t="s">
        <v>64</v>
      </c>
      <c r="J67" s="26" t="s">
        <v>60</v>
      </c>
      <c r="K67" s="27" t="n">
        <v>6129745</v>
      </c>
      <c r="L67" s="26"/>
      <c r="M67" s="8" t="n">
        <f aca="false">IF(K67="","",IF(J67="USD",ROUND(K67*설정!$C$4,0),K67))</f>
        <v>6129745</v>
      </c>
      <c r="N67" s="8" t="n">
        <f aca="false">IF(M67="","",IF(AND(I67="과세",L67="VAT포함"),ROUND(M67/(1+설정!$C$5),0),M67))</f>
        <v>6129745</v>
      </c>
      <c r="O67" s="8" t="n">
        <f aca="false">IF(M67="","",IF(I67="과세",IF(L67="VAT포함",M67-N67,ROUND(N67*설정!$C$5,0)),0))</f>
        <v>0</v>
      </c>
      <c r="P67" s="8" t="n">
        <f aca="false">IF(M67="","",N67+O67)</f>
        <v>6129745</v>
      </c>
      <c r="Q67" s="26"/>
      <c r="R67" s="8" t="str">
        <f aca="false">IF(OR(M67="",Q67&lt;&gt;"Y"),"",ROUND(N67*설정!$C$5,0))</f>
        <v/>
      </c>
      <c r="S67" s="25"/>
    </row>
    <row r="68" customFormat="false" ht="15" hidden="false" customHeight="false" outlineLevel="0" collapsed="false">
      <c r="A68" s="21" t="n">
        <f aca="false">IF(C68="","",COUNTA($C$5:C68))</f>
        <v>64</v>
      </c>
      <c r="B68" s="22"/>
      <c r="C68" s="23" t="s">
        <v>21</v>
      </c>
      <c r="D68" s="26" t="s">
        <v>7</v>
      </c>
      <c r="E68" s="25"/>
      <c r="F68" s="7" t="str">
        <f aca="false">IF(E68="","",IFERROR(INDEX(코드관리!$C$7:$C$66,MATCH(E68,코드관리!$B$7:$B$66,0)),"미등록 코드"))</f>
        <v/>
      </c>
      <c r="G68" s="25"/>
      <c r="H68" s="25" t="s">
        <v>108</v>
      </c>
      <c r="I68" s="24" t="s">
        <v>64</v>
      </c>
      <c r="J68" s="26" t="s">
        <v>60</v>
      </c>
      <c r="K68" s="27" t="n">
        <v>3762800</v>
      </c>
      <c r="L68" s="26"/>
      <c r="M68" s="8" t="n">
        <f aca="false">IF(K68="","",IF(J68="USD",ROUND(K68*설정!$C$4,0),K68))</f>
        <v>3762800</v>
      </c>
      <c r="N68" s="8" t="n">
        <f aca="false">IF(M68="","",IF(AND(I68="과세",L68="VAT포함"),ROUND(M68/(1+설정!$C$5),0),M68))</f>
        <v>3762800</v>
      </c>
      <c r="O68" s="8" t="n">
        <f aca="false">IF(M68="","",IF(I68="과세",IF(L68="VAT포함",M68-N68,ROUND(N68*설정!$C$5,0)),0))</f>
        <v>0</v>
      </c>
      <c r="P68" s="8" t="n">
        <f aca="false">IF(M68="","",N68+O68)</f>
        <v>3762800</v>
      </c>
      <c r="Q68" s="26"/>
      <c r="R68" s="8" t="str">
        <f aca="false">IF(OR(M68="",Q68&lt;&gt;"Y"),"",ROUND(N68*설정!$C$5,0))</f>
        <v/>
      </c>
      <c r="S68" s="25"/>
    </row>
    <row r="69" customFormat="false" ht="15" hidden="false" customHeight="false" outlineLevel="0" collapsed="false">
      <c r="A69" s="21" t="n">
        <f aca="false">IF(C69="","",COUNTA($C$5:C69))</f>
        <v>65</v>
      </c>
      <c r="B69" s="22"/>
      <c r="C69" s="23" t="s">
        <v>21</v>
      </c>
      <c r="D69" s="26" t="s">
        <v>7</v>
      </c>
      <c r="E69" s="25"/>
      <c r="F69" s="7" t="str">
        <f aca="false">IF(E69="","",IFERROR(INDEX(코드관리!$C$7:$C$66,MATCH(E69,코드관리!$B$7:$B$66,0)),"미등록 코드"))</f>
        <v/>
      </c>
      <c r="G69" s="25"/>
      <c r="H69" s="25" t="s">
        <v>109</v>
      </c>
      <c r="I69" s="24" t="s">
        <v>64</v>
      </c>
      <c r="J69" s="26" t="s">
        <v>60</v>
      </c>
      <c r="K69" s="27" t="n">
        <v>1997232</v>
      </c>
      <c r="L69" s="26"/>
      <c r="M69" s="8" t="n">
        <f aca="false">IF(K69="","",IF(J69="USD",ROUND(K69*설정!$C$4,0),K69))</f>
        <v>1997232</v>
      </c>
      <c r="N69" s="8" t="n">
        <f aca="false">IF(M69="","",IF(AND(I69="과세",L69="VAT포함"),ROUND(M69/(1+설정!$C$5),0),M69))</f>
        <v>1997232</v>
      </c>
      <c r="O69" s="8" t="n">
        <f aca="false">IF(M69="","",IF(I69="과세",IF(L69="VAT포함",M69-N69,ROUND(N69*설정!$C$5,0)),0))</f>
        <v>0</v>
      </c>
      <c r="P69" s="8" t="n">
        <f aca="false">IF(M69="","",N69+O69)</f>
        <v>1997232</v>
      </c>
      <c r="Q69" s="26"/>
      <c r="R69" s="8" t="str">
        <f aca="false">IF(OR(M69="",Q69&lt;&gt;"Y"),"",ROUND(N69*설정!$C$5,0))</f>
        <v/>
      </c>
      <c r="S69" s="25"/>
    </row>
    <row r="70" customFormat="false" ht="15" hidden="false" customHeight="false" outlineLevel="0" collapsed="false">
      <c r="A70" s="21" t="n">
        <f aca="false">IF(C70="","",COUNTA($C$5:C70))</f>
        <v>66</v>
      </c>
      <c r="B70" s="22"/>
      <c r="C70" s="23" t="s">
        <v>21</v>
      </c>
      <c r="D70" s="26" t="s">
        <v>7</v>
      </c>
      <c r="E70" s="25"/>
      <c r="F70" s="7" t="str">
        <f aca="false">IF(E70="","",IFERROR(INDEX(코드관리!$C$7:$C$66,MATCH(E70,코드관리!$B$7:$B$66,0)),"미등록 코드"))</f>
        <v/>
      </c>
      <c r="G70" s="25"/>
      <c r="H70" s="25" t="s">
        <v>110</v>
      </c>
      <c r="I70" s="24" t="s">
        <v>64</v>
      </c>
      <c r="J70" s="26" t="s">
        <v>60</v>
      </c>
      <c r="K70" s="27" t="n">
        <v>30800</v>
      </c>
      <c r="L70" s="26"/>
      <c r="M70" s="8" t="n">
        <f aca="false">IF(K70="","",IF(J70="USD",ROUND(K70*설정!$C$4,0),K70))</f>
        <v>30800</v>
      </c>
      <c r="N70" s="8" t="n">
        <f aca="false">IF(M70="","",IF(AND(I70="과세",L70="VAT포함"),ROUND(M70/(1+설정!$C$5),0),M70))</f>
        <v>30800</v>
      </c>
      <c r="O70" s="8" t="n">
        <f aca="false">IF(M70="","",IF(I70="과세",IF(L70="VAT포함",M70-N70,ROUND(N70*설정!$C$5,0)),0))</f>
        <v>0</v>
      </c>
      <c r="P70" s="8" t="n">
        <f aca="false">IF(M70="","",N70+O70)</f>
        <v>30800</v>
      </c>
      <c r="Q70" s="26"/>
      <c r="R70" s="8" t="str">
        <f aca="false">IF(OR(M70="",Q70&lt;&gt;"Y"),"",ROUND(N70*설정!$C$5,0))</f>
        <v/>
      </c>
      <c r="S70" s="25"/>
    </row>
    <row r="71" customFormat="false" ht="15" hidden="false" customHeight="false" outlineLevel="0" collapsed="false">
      <c r="A71" s="21" t="n">
        <f aca="false">IF(C71="","",COUNTA($C$5:C71))</f>
        <v>67</v>
      </c>
      <c r="B71" s="22"/>
      <c r="C71" s="23" t="s">
        <v>21</v>
      </c>
      <c r="D71" s="26" t="s">
        <v>7</v>
      </c>
      <c r="E71" s="25"/>
      <c r="F71" s="7" t="str">
        <f aca="false">IF(E71="","",IFERROR(INDEX(코드관리!$C$7:$C$66,MATCH(E71,코드관리!$B$7:$B$66,0)),"미등록 코드"))</f>
        <v/>
      </c>
      <c r="G71" s="25"/>
      <c r="H71" s="25" t="s">
        <v>102</v>
      </c>
      <c r="I71" s="24" t="s">
        <v>64</v>
      </c>
      <c r="J71" s="26" t="s">
        <v>60</v>
      </c>
      <c r="K71" s="27" t="n">
        <v>2029300</v>
      </c>
      <c r="L71" s="26"/>
      <c r="M71" s="8" t="n">
        <f aca="false">IF(K71="","",IF(J71="USD",ROUND(K71*설정!$C$4,0),K71))</f>
        <v>2029300</v>
      </c>
      <c r="N71" s="8" t="n">
        <f aca="false">IF(M71="","",IF(AND(I71="과세",L71="VAT포함"),ROUND(M71/(1+설정!$C$5),0),M71))</f>
        <v>2029300</v>
      </c>
      <c r="O71" s="8" t="n">
        <f aca="false">IF(M71="","",IF(I71="과세",IF(L71="VAT포함",M71-N71,ROUND(N71*설정!$C$5,0)),0))</f>
        <v>0</v>
      </c>
      <c r="P71" s="8" t="n">
        <f aca="false">IF(M71="","",N71+O71)</f>
        <v>2029300</v>
      </c>
      <c r="Q71" s="26"/>
      <c r="R71" s="8" t="str">
        <f aca="false">IF(OR(M71="",Q71&lt;&gt;"Y"),"",ROUND(N71*설정!$C$5,0))</f>
        <v/>
      </c>
      <c r="S71" s="25"/>
    </row>
    <row r="72" customFormat="false" ht="15" hidden="false" customHeight="false" outlineLevel="0" collapsed="false">
      <c r="A72" s="21" t="n">
        <f aca="false">IF(C72="","",COUNTA($C$5:C72))</f>
        <v>68</v>
      </c>
      <c r="B72" s="22"/>
      <c r="C72" s="23" t="s">
        <v>21</v>
      </c>
      <c r="D72" s="26" t="s">
        <v>7</v>
      </c>
      <c r="E72" s="25"/>
      <c r="F72" s="7" t="str">
        <f aca="false">IF(E72="","",IFERROR(INDEX(코드관리!$C$7:$C$66,MATCH(E72,코드관리!$B$7:$B$66,0)),"미등록 코드"))</f>
        <v/>
      </c>
      <c r="G72" s="25"/>
      <c r="H72" s="25" t="s">
        <v>97</v>
      </c>
      <c r="I72" s="24" t="s">
        <v>64</v>
      </c>
      <c r="J72" s="26" t="s">
        <v>60</v>
      </c>
      <c r="K72" s="27" t="n">
        <v>41976</v>
      </c>
      <c r="L72" s="26"/>
      <c r="M72" s="8" t="n">
        <f aca="false">IF(K72="","",IF(J72="USD",ROUND(K72*설정!$C$4,0),K72))</f>
        <v>41976</v>
      </c>
      <c r="N72" s="8" t="n">
        <f aca="false">IF(M72="","",IF(AND(I72="과세",L72="VAT포함"),ROUND(M72/(1+설정!$C$5),0),M72))</f>
        <v>41976</v>
      </c>
      <c r="O72" s="8" t="n">
        <f aca="false">IF(M72="","",IF(I72="과세",IF(L72="VAT포함",M72-N72,ROUND(N72*설정!$C$5,0)),0))</f>
        <v>0</v>
      </c>
      <c r="P72" s="8" t="n">
        <f aca="false">IF(M72="","",N72+O72)</f>
        <v>41976</v>
      </c>
      <c r="Q72" s="26"/>
      <c r="R72" s="8" t="str">
        <f aca="false">IF(OR(M72="",Q72&lt;&gt;"Y"),"",ROUND(N72*설정!$C$5,0))</f>
        <v/>
      </c>
      <c r="S72" s="25"/>
    </row>
    <row r="73" customFormat="false" ht="15" hidden="false" customHeight="false" outlineLevel="0" collapsed="false">
      <c r="A73" s="21" t="n">
        <f aca="false">IF(C73="","",COUNTA($C$5:C73))</f>
        <v>69</v>
      </c>
      <c r="B73" s="22"/>
      <c r="C73" s="23" t="s">
        <v>21</v>
      </c>
      <c r="D73" s="26" t="s">
        <v>7</v>
      </c>
      <c r="E73" s="25"/>
      <c r="F73" s="7" t="str">
        <f aca="false">IF(E73="","",IFERROR(INDEX(코드관리!$C$7:$C$66,MATCH(E73,코드관리!$B$7:$B$66,0)),"미등록 코드"))</f>
        <v/>
      </c>
      <c r="G73" s="25"/>
      <c r="H73" s="25" t="s">
        <v>111</v>
      </c>
      <c r="I73" s="24" t="s">
        <v>64</v>
      </c>
      <c r="J73" s="26" t="s">
        <v>60</v>
      </c>
      <c r="K73" s="27" t="n">
        <v>1050000</v>
      </c>
      <c r="L73" s="26"/>
      <c r="M73" s="8" t="n">
        <f aca="false">IF(K73="","",IF(J73="USD",ROUND(K73*설정!$C$4,0),K73))</f>
        <v>1050000</v>
      </c>
      <c r="N73" s="8" t="n">
        <f aca="false">IF(M73="","",IF(AND(I73="과세",L73="VAT포함"),ROUND(M73/(1+설정!$C$5),0),M73))</f>
        <v>1050000</v>
      </c>
      <c r="O73" s="8" t="n">
        <f aca="false">IF(M73="","",IF(I73="과세",IF(L73="VAT포함",M73-N73,ROUND(N73*설정!$C$5,0)),0))</f>
        <v>0</v>
      </c>
      <c r="P73" s="8" t="n">
        <f aca="false">IF(M73="","",N73+O73)</f>
        <v>1050000</v>
      </c>
      <c r="Q73" s="26"/>
      <c r="R73" s="8" t="str">
        <f aca="false">IF(OR(M73="",Q73&lt;&gt;"Y"),"",ROUND(N73*설정!$C$5,0))</f>
        <v/>
      </c>
      <c r="S73" s="25"/>
    </row>
    <row r="74" customFormat="false" ht="15" hidden="false" customHeight="false" outlineLevel="0" collapsed="false">
      <c r="A74" s="21" t="n">
        <f aca="false">IF(C74="","",COUNTA($C$5:C74))</f>
        <v>70</v>
      </c>
      <c r="B74" s="22"/>
      <c r="C74" s="23" t="s">
        <v>22</v>
      </c>
      <c r="D74" s="26" t="s">
        <v>4</v>
      </c>
      <c r="E74" s="25"/>
      <c r="F74" s="7" t="str">
        <f aca="false">IF(E74="","",IFERROR(INDEX(코드관리!$C$7:$C$66,MATCH(E74,코드관리!$B$7:$B$66,0)),"미등록 코드"))</f>
        <v/>
      </c>
      <c r="G74" s="25"/>
      <c r="H74" s="23" t="s">
        <v>112</v>
      </c>
      <c r="I74" s="24" t="s">
        <v>64</v>
      </c>
      <c r="J74" s="26" t="s">
        <v>60</v>
      </c>
      <c r="K74" s="27" t="n">
        <v>28656495</v>
      </c>
      <c r="L74" s="26"/>
      <c r="M74" s="8" t="n">
        <f aca="false">IF(K74="","",IF(J74="USD",ROUND(K74*설정!$C$4,0),K74))</f>
        <v>28656495</v>
      </c>
      <c r="N74" s="8" t="n">
        <f aca="false">IF(M74="","",IF(AND(I74="과세",L74="VAT포함"),ROUND(M74/(1+설정!$C$5),0),M74))</f>
        <v>28656495</v>
      </c>
      <c r="O74" s="8" t="n">
        <f aca="false">IF(M74="","",IF(I74="과세",IF(L74="VAT포함",M74-N74,ROUND(N74*설정!$C$5,0)),0))</f>
        <v>0</v>
      </c>
      <c r="P74" s="8" t="n">
        <f aca="false">IF(M74="","",N74+O74)</f>
        <v>28656495</v>
      </c>
      <c r="Q74" s="26"/>
      <c r="R74" s="8" t="str">
        <f aca="false">IF(OR(M74="",Q74&lt;&gt;"Y"),"",ROUND(N74*설정!$C$5,0))</f>
        <v/>
      </c>
      <c r="S74" s="23" t="s">
        <v>113</v>
      </c>
    </row>
    <row r="75" customFormat="false" ht="15" hidden="false" customHeight="false" outlineLevel="0" collapsed="false">
      <c r="A75" s="21" t="n">
        <f aca="false">IF(C75="","",COUNTA($C$5:C75))</f>
        <v>71</v>
      </c>
      <c r="B75" s="22"/>
      <c r="C75" s="23" t="s">
        <v>22</v>
      </c>
      <c r="D75" s="26" t="s">
        <v>4</v>
      </c>
      <c r="E75" s="25"/>
      <c r="F75" s="7" t="str">
        <f aca="false">IF(E75="","",IFERROR(INDEX(코드관리!$C$7:$C$66,MATCH(E75,코드관리!$B$7:$B$66,0)),"미등록 코드"))</f>
        <v/>
      </c>
      <c r="G75" s="25"/>
      <c r="H75" s="23" t="s">
        <v>114</v>
      </c>
      <c r="I75" s="24" t="s">
        <v>64</v>
      </c>
      <c r="J75" s="26" t="s">
        <v>60</v>
      </c>
      <c r="K75" s="27" t="n">
        <v>5146892</v>
      </c>
      <c r="L75" s="26"/>
      <c r="M75" s="8" t="n">
        <f aca="false">IF(K75="","",IF(J75="USD",ROUND(K75*설정!$C$4,0),K75))</f>
        <v>5146892</v>
      </c>
      <c r="N75" s="8" t="n">
        <f aca="false">IF(M75="","",IF(AND(I75="과세",L75="VAT포함"),ROUND(M75/(1+설정!$C$5),0),M75))</f>
        <v>5146892</v>
      </c>
      <c r="O75" s="8" t="n">
        <f aca="false">IF(M75="","",IF(I75="과세",IF(L75="VAT포함",M75-N75,ROUND(N75*설정!$C$5,0)),0))</f>
        <v>0</v>
      </c>
      <c r="P75" s="8" t="n">
        <f aca="false">IF(M75="","",N75+O75)</f>
        <v>5146892</v>
      </c>
      <c r="Q75" s="26"/>
      <c r="R75" s="8" t="str">
        <f aca="false">IF(OR(M75="",Q75&lt;&gt;"Y"),"",ROUND(N75*설정!$C$5,0))</f>
        <v/>
      </c>
      <c r="S75" s="23" t="s">
        <v>115</v>
      </c>
    </row>
    <row r="76" customFormat="false" ht="15" hidden="false" customHeight="false" outlineLevel="0" collapsed="false">
      <c r="A76" s="21" t="n">
        <f aca="false">IF(C76="","",COUNTA($C$5:C76))</f>
        <v>72</v>
      </c>
      <c r="B76" s="22"/>
      <c r="C76" s="23" t="s">
        <v>22</v>
      </c>
      <c r="D76" s="26" t="s">
        <v>4</v>
      </c>
      <c r="E76" s="25"/>
      <c r="F76" s="7" t="str">
        <f aca="false">IF(E76="","",IFERROR(INDEX(코드관리!$C$7:$C$66,MATCH(E76,코드관리!$B$7:$B$66,0)),"미등록 코드"))</f>
        <v/>
      </c>
      <c r="G76" s="25"/>
      <c r="H76" s="23" t="s">
        <v>116</v>
      </c>
      <c r="I76" s="24" t="s">
        <v>64</v>
      </c>
      <c r="J76" s="26" t="s">
        <v>60</v>
      </c>
      <c r="K76" s="27" t="n">
        <v>878683</v>
      </c>
      <c r="L76" s="26"/>
      <c r="M76" s="8" t="n">
        <f aca="false">IF(K76="","",IF(J76="USD",ROUND(K76*설정!$C$4,0),K76))</f>
        <v>878683</v>
      </c>
      <c r="N76" s="8" t="n">
        <f aca="false">IF(M76="","",IF(AND(I76="과세",L76="VAT포함"),ROUND(M76/(1+설정!$C$5),0),M76))</f>
        <v>878683</v>
      </c>
      <c r="O76" s="8" t="n">
        <f aca="false">IF(M76="","",IF(I76="과세",IF(L76="VAT포함",M76-N76,ROUND(N76*설정!$C$5,0)),0))</f>
        <v>0</v>
      </c>
      <c r="P76" s="8" t="n">
        <f aca="false">IF(M76="","",N76+O76)</f>
        <v>878683</v>
      </c>
      <c r="Q76" s="26"/>
      <c r="R76" s="8" t="str">
        <f aca="false">IF(OR(M76="",Q76&lt;&gt;"Y"),"",ROUND(N76*설정!$C$5,0))</f>
        <v/>
      </c>
      <c r="S76" s="23" t="s">
        <v>115</v>
      </c>
    </row>
    <row r="77" customFormat="false" ht="15" hidden="false" customHeight="false" outlineLevel="0" collapsed="false">
      <c r="A77" s="21" t="n">
        <f aca="false">IF(C77="","",COUNTA($C$5:C77))</f>
        <v>73</v>
      </c>
      <c r="B77" s="22"/>
      <c r="C77" s="23" t="s">
        <v>22</v>
      </c>
      <c r="D77" s="26" t="s">
        <v>4</v>
      </c>
      <c r="E77" s="25"/>
      <c r="F77" s="7" t="str">
        <f aca="false">IF(E77="","",IFERROR(INDEX(코드관리!$C$7:$C$66,MATCH(E77,코드관리!$B$7:$B$66,0)),"미등록 코드"))</f>
        <v/>
      </c>
      <c r="G77" s="25"/>
      <c r="H77" s="23" t="s">
        <v>117</v>
      </c>
      <c r="I77" s="24" t="s">
        <v>64</v>
      </c>
      <c r="J77" s="26" t="s">
        <v>60</v>
      </c>
      <c r="K77" s="27" t="n">
        <v>1869000</v>
      </c>
      <c r="L77" s="26"/>
      <c r="M77" s="8" t="n">
        <f aca="false">IF(K77="","",IF(J77="USD",ROUND(K77*설정!$C$4,0),K77))</f>
        <v>1869000</v>
      </c>
      <c r="N77" s="8" t="n">
        <f aca="false">IF(M77="","",IF(AND(I77="과세",L77="VAT포함"),ROUND(M77/(1+설정!$C$5),0),M77))</f>
        <v>1869000</v>
      </c>
      <c r="O77" s="8" t="n">
        <f aca="false">IF(M77="","",IF(I77="과세",IF(L77="VAT포함",M77-N77,ROUND(N77*설정!$C$5,0)),0))</f>
        <v>0</v>
      </c>
      <c r="P77" s="8" t="n">
        <f aca="false">IF(M77="","",N77+O77)</f>
        <v>1869000</v>
      </c>
      <c r="Q77" s="26"/>
      <c r="R77" s="8" t="str">
        <f aca="false">IF(OR(M77="",Q77&lt;&gt;"Y"),"",ROUND(N77*설정!$C$5,0))</f>
        <v/>
      </c>
      <c r="S77" s="23" t="s">
        <v>115</v>
      </c>
    </row>
    <row r="78" customFormat="false" ht="15" hidden="false" customHeight="false" outlineLevel="0" collapsed="false">
      <c r="A78" s="21" t="n">
        <f aca="false">IF(C78="","",COUNTA($C$5:C78))</f>
        <v>74</v>
      </c>
      <c r="B78" s="22"/>
      <c r="C78" s="23" t="s">
        <v>22</v>
      </c>
      <c r="D78" s="26" t="s">
        <v>5</v>
      </c>
      <c r="E78" s="25"/>
      <c r="F78" s="7" t="str">
        <f aca="false">IF(E78="","",IFERROR(INDEX(코드관리!$C$7:$C$66,MATCH(E78,코드관리!$B$7:$B$66,0)),"미등록 코드"))</f>
        <v/>
      </c>
      <c r="G78" s="25"/>
      <c r="H78" s="23" t="s">
        <v>112</v>
      </c>
      <c r="I78" s="24" t="s">
        <v>64</v>
      </c>
      <c r="J78" s="26" t="s">
        <v>60</v>
      </c>
      <c r="K78" s="27" t="n">
        <v>39515305</v>
      </c>
      <c r="L78" s="26"/>
      <c r="M78" s="8" t="n">
        <f aca="false">IF(K78="","",IF(J78="USD",ROUND(K78*설정!$C$4,0),K78))</f>
        <v>39515305</v>
      </c>
      <c r="N78" s="8" t="n">
        <f aca="false">IF(M78="","",IF(AND(I78="과세",L78="VAT포함"),ROUND(M78/(1+설정!$C$5),0),M78))</f>
        <v>39515305</v>
      </c>
      <c r="O78" s="8" t="n">
        <f aca="false">IF(M78="","",IF(I78="과세",IF(L78="VAT포함",M78-N78,ROUND(N78*설정!$C$5,0)),0))</f>
        <v>0</v>
      </c>
      <c r="P78" s="8" t="n">
        <f aca="false">IF(M78="","",N78+O78)</f>
        <v>39515305</v>
      </c>
      <c r="Q78" s="26"/>
      <c r="R78" s="8" t="str">
        <f aca="false">IF(OR(M78="",Q78&lt;&gt;"Y"),"",ROUND(N78*설정!$C$5,0))</f>
        <v/>
      </c>
      <c r="S78" s="23" t="s">
        <v>118</v>
      </c>
    </row>
    <row r="79" customFormat="false" ht="15" hidden="false" customHeight="false" outlineLevel="0" collapsed="false">
      <c r="A79" s="21" t="n">
        <f aca="false">IF(C79="","",COUNTA($C$5:C79))</f>
        <v>75</v>
      </c>
      <c r="B79" s="22"/>
      <c r="C79" s="23" t="s">
        <v>22</v>
      </c>
      <c r="D79" s="26" t="s">
        <v>5</v>
      </c>
      <c r="E79" s="25"/>
      <c r="F79" s="7" t="str">
        <f aca="false">IF(E79="","",IFERROR(INDEX(코드관리!$C$7:$C$66,MATCH(E79,코드관리!$B$7:$B$66,0)),"미등록 코드"))</f>
        <v/>
      </c>
      <c r="G79" s="25"/>
      <c r="H79" s="23" t="s">
        <v>114</v>
      </c>
      <c r="I79" s="24" t="s">
        <v>64</v>
      </c>
      <c r="J79" s="26" t="s">
        <v>60</v>
      </c>
      <c r="K79" s="27" t="n">
        <v>5740259</v>
      </c>
      <c r="L79" s="26"/>
      <c r="M79" s="8" t="n">
        <f aca="false">IF(K79="","",IF(J79="USD",ROUND(K79*설정!$C$4,0),K79))</f>
        <v>5740259</v>
      </c>
      <c r="N79" s="8" t="n">
        <f aca="false">IF(M79="","",IF(AND(I79="과세",L79="VAT포함"),ROUND(M79/(1+설정!$C$5),0),M79))</f>
        <v>5740259</v>
      </c>
      <c r="O79" s="8" t="n">
        <f aca="false">IF(M79="","",IF(I79="과세",IF(L79="VAT포함",M79-N79,ROUND(N79*설정!$C$5,0)),0))</f>
        <v>0</v>
      </c>
      <c r="P79" s="8" t="n">
        <f aca="false">IF(M79="","",N79+O79)</f>
        <v>5740259</v>
      </c>
      <c r="Q79" s="26"/>
      <c r="R79" s="8" t="str">
        <f aca="false">IF(OR(M79="",Q79&lt;&gt;"Y"),"",ROUND(N79*설정!$C$5,0))</f>
        <v/>
      </c>
      <c r="S79" s="23" t="s">
        <v>115</v>
      </c>
    </row>
    <row r="80" customFormat="false" ht="15" hidden="false" customHeight="false" outlineLevel="0" collapsed="false">
      <c r="A80" s="21" t="n">
        <f aca="false">IF(C80="","",COUNTA($C$5:C80))</f>
        <v>76</v>
      </c>
      <c r="B80" s="22"/>
      <c r="C80" s="23" t="s">
        <v>22</v>
      </c>
      <c r="D80" s="26" t="s">
        <v>6</v>
      </c>
      <c r="E80" s="25"/>
      <c r="F80" s="7" t="str">
        <f aca="false">IF(E80="","",IFERROR(INDEX(코드관리!$C$7:$C$66,MATCH(E80,코드관리!$B$7:$B$66,0)),"미등록 코드"))</f>
        <v/>
      </c>
      <c r="G80" s="25"/>
      <c r="H80" s="23" t="s">
        <v>112</v>
      </c>
      <c r="I80" s="24" t="s">
        <v>64</v>
      </c>
      <c r="J80" s="26" t="s">
        <v>60</v>
      </c>
      <c r="K80" s="27" t="n">
        <v>48315826</v>
      </c>
      <c r="L80" s="26"/>
      <c r="M80" s="8" t="n">
        <f aca="false">IF(K80="","",IF(J80="USD",ROUND(K80*설정!$C$4,0),K80))</f>
        <v>48315826</v>
      </c>
      <c r="N80" s="8" t="n">
        <f aca="false">IF(M80="","",IF(AND(I80="과세",L80="VAT포함"),ROUND(M80/(1+설정!$C$5),0),M80))</f>
        <v>48315826</v>
      </c>
      <c r="O80" s="8" t="n">
        <f aca="false">IF(M80="","",IF(I80="과세",IF(L80="VAT포함",M80-N80,ROUND(N80*설정!$C$5,0)),0))</f>
        <v>0</v>
      </c>
      <c r="P80" s="8" t="n">
        <f aca="false">IF(M80="","",N80+O80)</f>
        <v>48315826</v>
      </c>
      <c r="Q80" s="26"/>
      <c r="R80" s="8" t="str">
        <f aca="false">IF(OR(M80="",Q80&lt;&gt;"Y"),"",ROUND(N80*설정!$C$5,0))</f>
        <v/>
      </c>
      <c r="S80" s="23" t="s">
        <v>119</v>
      </c>
    </row>
    <row r="81" customFormat="false" ht="15" hidden="false" customHeight="false" outlineLevel="0" collapsed="false">
      <c r="A81" s="21" t="n">
        <f aca="false">IF(C81="","",COUNTA($C$5:C81))</f>
        <v>77</v>
      </c>
      <c r="B81" s="22"/>
      <c r="C81" s="23" t="s">
        <v>22</v>
      </c>
      <c r="D81" s="26" t="s">
        <v>6</v>
      </c>
      <c r="E81" s="25"/>
      <c r="F81" s="7" t="str">
        <f aca="false">IF(E81="","",IFERROR(INDEX(코드관리!$C$7:$C$66,MATCH(E81,코드관리!$B$7:$B$66,0)),"미등록 코드"))</f>
        <v/>
      </c>
      <c r="G81" s="25"/>
      <c r="H81" s="23" t="s">
        <v>114</v>
      </c>
      <c r="I81" s="24" t="s">
        <v>64</v>
      </c>
      <c r="J81" s="26" t="s">
        <v>60</v>
      </c>
      <c r="K81" s="27" t="n">
        <v>9371766</v>
      </c>
      <c r="L81" s="26"/>
      <c r="M81" s="8" t="n">
        <f aca="false">IF(K81="","",IF(J81="USD",ROUND(K81*설정!$C$4,0),K81))</f>
        <v>9371766</v>
      </c>
      <c r="N81" s="8" t="n">
        <f aca="false">IF(M81="","",IF(AND(I81="과세",L81="VAT포함"),ROUND(M81/(1+설정!$C$5),0),M81))</f>
        <v>9371766</v>
      </c>
      <c r="O81" s="8" t="n">
        <f aca="false">IF(M81="","",IF(I81="과세",IF(L81="VAT포함",M81-N81,ROUND(N81*설정!$C$5,0)),0))</f>
        <v>0</v>
      </c>
      <c r="P81" s="8" t="n">
        <f aca="false">IF(M81="","",N81+O81)</f>
        <v>9371766</v>
      </c>
      <c r="Q81" s="26"/>
      <c r="R81" s="8" t="str">
        <f aca="false">IF(OR(M81="",Q81&lt;&gt;"Y"),"",ROUND(N81*설정!$C$5,0))</f>
        <v/>
      </c>
      <c r="S81" s="23" t="s">
        <v>115</v>
      </c>
    </row>
    <row r="82" customFormat="false" ht="15" hidden="false" customHeight="false" outlineLevel="0" collapsed="false">
      <c r="A82" s="21" t="n">
        <f aca="false">IF(C82="","",COUNTA($C$5:C82))</f>
        <v>78</v>
      </c>
      <c r="B82" s="22"/>
      <c r="C82" s="23" t="s">
        <v>22</v>
      </c>
      <c r="D82" s="26" t="s">
        <v>6</v>
      </c>
      <c r="E82" s="25"/>
      <c r="F82" s="7" t="str">
        <f aca="false">IF(E82="","",IFERROR(INDEX(코드관리!$C$7:$C$66,MATCH(E82,코드관리!$B$7:$B$66,0)),"미등록 코드"))</f>
        <v/>
      </c>
      <c r="G82" s="25"/>
      <c r="H82" s="23" t="s">
        <v>117</v>
      </c>
      <c r="I82" s="24" t="s">
        <v>64</v>
      </c>
      <c r="J82" s="26" t="s">
        <v>60</v>
      </c>
      <c r="K82" s="27" t="n">
        <v>1869000</v>
      </c>
      <c r="L82" s="26"/>
      <c r="M82" s="8" t="n">
        <f aca="false">IF(K82="","",IF(J82="USD",ROUND(K82*설정!$C$4,0),K82))</f>
        <v>1869000</v>
      </c>
      <c r="N82" s="8" t="n">
        <f aca="false">IF(M82="","",IF(AND(I82="과세",L82="VAT포함"),ROUND(M82/(1+설정!$C$5),0),M82))</f>
        <v>1869000</v>
      </c>
      <c r="O82" s="8" t="n">
        <f aca="false">IF(M82="","",IF(I82="과세",IF(L82="VAT포함",M82-N82,ROUND(N82*설정!$C$5,0)),0))</f>
        <v>0</v>
      </c>
      <c r="P82" s="8" t="n">
        <f aca="false">IF(M82="","",N82+O82)</f>
        <v>1869000</v>
      </c>
      <c r="Q82" s="26"/>
      <c r="R82" s="8" t="str">
        <f aca="false">IF(OR(M82="",Q82&lt;&gt;"Y"),"",ROUND(N82*설정!$C$5,0))</f>
        <v/>
      </c>
      <c r="S82" s="23" t="s">
        <v>115</v>
      </c>
    </row>
    <row r="83" customFormat="false" ht="15" hidden="false" customHeight="false" outlineLevel="0" collapsed="false">
      <c r="A83" s="21" t="n">
        <f aca="false">IF(C83="","",COUNTA($C$5:C83))</f>
        <v>79</v>
      </c>
      <c r="B83" s="22"/>
      <c r="C83" s="23" t="s">
        <v>22</v>
      </c>
      <c r="D83" s="26" t="s">
        <v>7</v>
      </c>
      <c r="E83" s="25"/>
      <c r="F83" s="7" t="str">
        <f aca="false">IF(E83="","",IFERROR(INDEX(코드관리!$C$7:$C$66,MATCH(E83,코드관리!$B$7:$B$66,0)),"미등록 코드"))</f>
        <v/>
      </c>
      <c r="G83" s="25"/>
      <c r="H83" s="23" t="s">
        <v>112</v>
      </c>
      <c r="I83" s="24" t="s">
        <v>64</v>
      </c>
      <c r="J83" s="26" t="s">
        <v>60</v>
      </c>
      <c r="K83" s="27" t="n">
        <v>36479048</v>
      </c>
      <c r="L83" s="26"/>
      <c r="M83" s="8" t="n">
        <f aca="false">IF(K83="","",IF(J83="USD",ROUND(K83*설정!$C$4,0),K83))</f>
        <v>36479048</v>
      </c>
      <c r="N83" s="8" t="n">
        <f aca="false">IF(M83="","",IF(AND(I83="과세",L83="VAT포함"),ROUND(M83/(1+설정!$C$5),0),M83))</f>
        <v>36479048</v>
      </c>
      <c r="O83" s="8" t="n">
        <f aca="false">IF(M83="","",IF(I83="과세",IF(L83="VAT포함",M83-N83,ROUND(N83*설정!$C$5,0)),0))</f>
        <v>0</v>
      </c>
      <c r="P83" s="8" t="n">
        <f aca="false">IF(M83="","",N83+O83)</f>
        <v>36479048</v>
      </c>
      <c r="Q83" s="26"/>
      <c r="R83" s="8" t="str">
        <f aca="false">IF(OR(M83="",Q83&lt;&gt;"Y"),"",ROUND(N83*설정!$C$5,0))</f>
        <v/>
      </c>
      <c r="S83" s="23" t="s">
        <v>120</v>
      </c>
    </row>
    <row r="84" customFormat="false" ht="15" hidden="false" customHeight="false" outlineLevel="0" collapsed="false">
      <c r="A84" s="21" t="n">
        <f aca="false">IF(C84="","",COUNTA($C$5:C84))</f>
        <v>80</v>
      </c>
      <c r="B84" s="22"/>
      <c r="C84" s="23" t="s">
        <v>22</v>
      </c>
      <c r="D84" s="26" t="s">
        <v>7</v>
      </c>
      <c r="E84" s="25"/>
      <c r="F84" s="7" t="str">
        <f aca="false">IF(E84="","",IFERROR(INDEX(코드관리!$C$7:$C$66,MATCH(E84,코드관리!$B$7:$B$66,0)),"미등록 코드"))</f>
        <v/>
      </c>
      <c r="G84" s="25"/>
      <c r="H84" s="23" t="s">
        <v>114</v>
      </c>
      <c r="I84" s="24" t="s">
        <v>64</v>
      </c>
      <c r="J84" s="26" t="s">
        <v>60</v>
      </c>
      <c r="K84" s="27" t="n">
        <v>14223063</v>
      </c>
      <c r="L84" s="26"/>
      <c r="M84" s="8" t="n">
        <f aca="false">IF(K84="","",IF(J84="USD",ROUND(K84*설정!$C$4,0),K84))</f>
        <v>14223063</v>
      </c>
      <c r="N84" s="8" t="n">
        <f aca="false">IF(M84="","",IF(AND(I84="과세",L84="VAT포함"),ROUND(M84/(1+설정!$C$5),0),M84))</f>
        <v>14223063</v>
      </c>
      <c r="O84" s="8" t="n">
        <f aca="false">IF(M84="","",IF(I84="과세",IF(L84="VAT포함",M84-N84,ROUND(N84*설정!$C$5,0)),0))</f>
        <v>0</v>
      </c>
      <c r="P84" s="8" t="n">
        <f aca="false">IF(M84="","",N84+O84)</f>
        <v>14223063</v>
      </c>
      <c r="Q84" s="26"/>
      <c r="R84" s="8" t="str">
        <f aca="false">IF(OR(M84="",Q84&lt;&gt;"Y"),"",ROUND(N84*설정!$C$5,0))</f>
        <v/>
      </c>
      <c r="S84" s="23" t="s">
        <v>115</v>
      </c>
    </row>
    <row r="85" customFormat="false" ht="15" hidden="false" customHeight="false" outlineLevel="0" collapsed="false">
      <c r="A85" s="21" t="n">
        <f aca="false">IF(C85="","",COUNTA($C$5:C85))</f>
        <v>81</v>
      </c>
      <c r="B85" s="22"/>
      <c r="C85" s="23" t="s">
        <v>22</v>
      </c>
      <c r="D85" s="26" t="s">
        <v>7</v>
      </c>
      <c r="E85" s="25"/>
      <c r="F85" s="7" t="str">
        <f aca="false">IF(E85="","",IFERROR(INDEX(코드관리!$C$7:$C$66,MATCH(E85,코드관리!$B$7:$B$66,0)),"미등록 코드"))</f>
        <v/>
      </c>
      <c r="G85" s="25"/>
      <c r="H85" s="23" t="s">
        <v>116</v>
      </c>
      <c r="I85" s="24" t="s">
        <v>64</v>
      </c>
      <c r="J85" s="26" t="s">
        <v>60</v>
      </c>
      <c r="K85" s="27" t="n">
        <v>1345105</v>
      </c>
      <c r="L85" s="26"/>
      <c r="M85" s="8" t="n">
        <f aca="false">IF(K85="","",IF(J85="USD",ROUND(K85*설정!$C$4,0),K85))</f>
        <v>1345105</v>
      </c>
      <c r="N85" s="8" t="n">
        <f aca="false">IF(M85="","",IF(AND(I85="과세",L85="VAT포함"),ROUND(M85/(1+설정!$C$5),0),M85))</f>
        <v>1345105</v>
      </c>
      <c r="O85" s="8" t="n">
        <f aca="false">IF(M85="","",IF(I85="과세",IF(L85="VAT포함",M85-N85,ROUND(N85*설정!$C$5,0)),0))</f>
        <v>0</v>
      </c>
      <c r="P85" s="8" t="n">
        <f aca="false">IF(M85="","",N85+O85)</f>
        <v>1345105</v>
      </c>
      <c r="Q85" s="26"/>
      <c r="R85" s="8" t="str">
        <f aca="false">IF(OR(M85="",Q85&lt;&gt;"Y"),"",ROUND(N85*설정!$C$5,0))</f>
        <v/>
      </c>
      <c r="S85" s="23" t="s">
        <v>115</v>
      </c>
    </row>
    <row r="86" customFormat="false" ht="15" hidden="false" customHeight="false" outlineLevel="0" collapsed="false">
      <c r="A86" s="21" t="n">
        <f aca="false">IF(C86="","",COUNTA($C$5:C86))</f>
        <v>82</v>
      </c>
      <c r="B86" s="22"/>
      <c r="C86" s="23" t="s">
        <v>22</v>
      </c>
      <c r="D86" s="26" t="s">
        <v>7</v>
      </c>
      <c r="E86" s="25"/>
      <c r="F86" s="7" t="str">
        <f aca="false">IF(E86="","",IFERROR(INDEX(코드관리!$C$7:$C$66,MATCH(E86,코드관리!$B$7:$B$66,0)),"미등록 코드"))</f>
        <v/>
      </c>
      <c r="G86" s="25"/>
      <c r="H86" s="23" t="s">
        <v>117</v>
      </c>
      <c r="I86" s="24" t="s">
        <v>64</v>
      </c>
      <c r="J86" s="26" t="s">
        <v>60</v>
      </c>
      <c r="K86" s="27" t="n">
        <v>1869000</v>
      </c>
      <c r="L86" s="26"/>
      <c r="M86" s="8" t="n">
        <f aca="false">IF(K86="","",IF(J86="USD",ROUND(K86*설정!$C$4,0),K86))</f>
        <v>1869000</v>
      </c>
      <c r="N86" s="8" t="n">
        <f aca="false">IF(M86="","",IF(AND(I86="과세",L86="VAT포함"),ROUND(M86/(1+설정!$C$5),0),M86))</f>
        <v>1869000</v>
      </c>
      <c r="O86" s="8" t="n">
        <f aca="false">IF(M86="","",IF(I86="과세",IF(L86="VAT포함",M86-N86,ROUND(N86*설정!$C$5,0)),0))</f>
        <v>0</v>
      </c>
      <c r="P86" s="8" t="n">
        <f aca="false">IF(M86="","",N86+O86)</f>
        <v>1869000</v>
      </c>
      <c r="Q86" s="26"/>
      <c r="R86" s="8" t="str">
        <f aca="false">IF(OR(M86="",Q86&lt;&gt;"Y"),"",ROUND(N86*설정!$C$5,0))</f>
        <v/>
      </c>
      <c r="S86" s="23" t="s">
        <v>115</v>
      </c>
    </row>
    <row r="87" customFormat="false" ht="15" hidden="false" customHeight="false" outlineLevel="0" collapsed="false">
      <c r="A87" s="21" t="n">
        <f aca="false">IF(C87="","",COUNTA($C$5:C87))</f>
        <v>83</v>
      </c>
      <c r="B87" s="22"/>
      <c r="C87" s="23" t="s">
        <v>23</v>
      </c>
      <c r="D87" s="26" t="s">
        <v>5</v>
      </c>
      <c r="E87" s="25"/>
      <c r="F87" s="7" t="str">
        <f aca="false">IF(E87="","",IFERROR(INDEX(코드관리!$C$7:$C$66,MATCH(E87,코드관리!$B$7:$B$66,0)),"미등록 코드"))</f>
        <v/>
      </c>
      <c r="G87" s="25"/>
      <c r="H87" s="23" t="s">
        <v>121</v>
      </c>
      <c r="I87" s="24" t="s">
        <v>64</v>
      </c>
      <c r="J87" s="26" t="s">
        <v>60</v>
      </c>
      <c r="K87" s="27" t="n">
        <v>366000</v>
      </c>
      <c r="L87" s="26"/>
      <c r="M87" s="8" t="n">
        <f aca="false">IF(K87="","",IF(J87="USD",ROUND(K87*설정!$C$4,0),K87))</f>
        <v>366000</v>
      </c>
      <c r="N87" s="8" t="n">
        <f aca="false">IF(M87="","",IF(AND(I87="과세",L87="VAT포함"),ROUND(M87/(1+설정!$C$5),0),M87))</f>
        <v>366000</v>
      </c>
      <c r="O87" s="8" t="n">
        <f aca="false">IF(M87="","",IF(I87="과세",IF(L87="VAT포함",M87-N87,ROUND(N87*설정!$C$5,0)),0))</f>
        <v>0</v>
      </c>
      <c r="P87" s="8" t="n">
        <f aca="false">IF(M87="","",N87+O87)</f>
        <v>366000</v>
      </c>
      <c r="Q87" s="26"/>
      <c r="R87" s="8" t="str">
        <f aca="false">IF(OR(M87="",Q87&lt;&gt;"Y"),"",ROUND(N87*설정!$C$5,0))</f>
        <v/>
      </c>
      <c r="S87" s="25"/>
    </row>
    <row r="88" customFormat="false" ht="15" hidden="false" customHeight="false" outlineLevel="0" collapsed="false">
      <c r="A88" s="21" t="n">
        <f aca="false">IF(C88="","",COUNTA($C$5:C88))</f>
        <v>84</v>
      </c>
      <c r="B88" s="22"/>
      <c r="C88" s="23" t="s">
        <v>23</v>
      </c>
      <c r="D88" s="26" t="s">
        <v>5</v>
      </c>
      <c r="E88" s="25"/>
      <c r="F88" s="7" t="str">
        <f aca="false">IF(E88="","",IFERROR(INDEX(코드관리!$C$7:$C$66,MATCH(E88,코드관리!$B$7:$B$66,0)),"미등록 코드"))</f>
        <v/>
      </c>
      <c r="G88" s="25"/>
      <c r="H88" s="23" t="s">
        <v>122</v>
      </c>
      <c r="I88" s="24" t="s">
        <v>59</v>
      </c>
      <c r="J88" s="26" t="s">
        <v>60</v>
      </c>
      <c r="K88" s="27" t="n">
        <v>101200</v>
      </c>
      <c r="L88" s="26" t="s">
        <v>61</v>
      </c>
      <c r="M88" s="8" t="n">
        <f aca="false">IF(K88="","",IF(J88="USD",ROUND(K88*설정!$C$4,0),K88))</f>
        <v>101200</v>
      </c>
      <c r="N88" s="8" t="n">
        <f aca="false">IF(M88="","",IF(AND(I88="과세",L88="VAT포함"),ROUND(M88/(1+설정!$C$5),0),M88))</f>
        <v>92000</v>
      </c>
      <c r="O88" s="8" t="n">
        <f aca="false">IF(M88="","",IF(I88="과세",IF(L88="VAT포함",M88-N88,ROUND(N88*설정!$C$5,0)),0))</f>
        <v>9200</v>
      </c>
      <c r="P88" s="8" t="n">
        <f aca="false">IF(M88="","",N88+O88)</f>
        <v>101200</v>
      </c>
      <c r="Q88" s="26"/>
      <c r="R88" s="8" t="str">
        <f aca="false">IF(OR(M88="",Q88&lt;&gt;"Y"),"",ROUND(N88*설정!$C$5,0))</f>
        <v/>
      </c>
      <c r="S88" s="23" t="s">
        <v>123</v>
      </c>
    </row>
    <row r="89" customFormat="false" ht="15" hidden="false" customHeight="false" outlineLevel="0" collapsed="false">
      <c r="A89" s="21" t="n">
        <f aca="false">IF(C89="","",COUNTA($C$5:C89))</f>
        <v>85</v>
      </c>
      <c r="B89" s="22"/>
      <c r="C89" s="23" t="s">
        <v>23</v>
      </c>
      <c r="D89" s="26" t="s">
        <v>5</v>
      </c>
      <c r="E89" s="25"/>
      <c r="F89" s="7" t="str">
        <f aca="false">IF(E89="","",IFERROR(INDEX(코드관리!$C$7:$C$66,MATCH(E89,코드관리!$B$7:$B$66,0)),"미등록 코드"))</f>
        <v/>
      </c>
      <c r="G89" s="25"/>
      <c r="H89" s="23" t="s">
        <v>121</v>
      </c>
      <c r="I89" s="24" t="s">
        <v>64</v>
      </c>
      <c r="J89" s="26" t="s">
        <v>60</v>
      </c>
      <c r="K89" s="27" t="n">
        <v>1342000</v>
      </c>
      <c r="L89" s="26"/>
      <c r="M89" s="8" t="n">
        <f aca="false">IF(K89="","",IF(J89="USD",ROUND(K89*설정!$C$4,0),K89))</f>
        <v>1342000</v>
      </c>
      <c r="N89" s="8" t="n">
        <f aca="false">IF(M89="","",IF(AND(I89="과세",L89="VAT포함"),ROUND(M89/(1+설정!$C$5),0),M89))</f>
        <v>1342000</v>
      </c>
      <c r="O89" s="8" t="n">
        <f aca="false">IF(M89="","",IF(I89="과세",IF(L89="VAT포함",M89-N89,ROUND(N89*설정!$C$5,0)),0))</f>
        <v>0</v>
      </c>
      <c r="P89" s="8" t="n">
        <f aca="false">IF(M89="","",N89+O89)</f>
        <v>1342000</v>
      </c>
      <c r="Q89" s="26"/>
      <c r="R89" s="8" t="str">
        <f aca="false">IF(OR(M89="",Q89&lt;&gt;"Y"),"",ROUND(N89*설정!$C$5,0))</f>
        <v/>
      </c>
      <c r="S89" s="25"/>
    </row>
    <row r="90" customFormat="false" ht="15" hidden="false" customHeight="false" outlineLevel="0" collapsed="false">
      <c r="A90" s="21" t="n">
        <f aca="false">IF(C90="","",COUNTA($C$5:C90))</f>
        <v>86</v>
      </c>
      <c r="B90" s="22"/>
      <c r="C90" s="23" t="s">
        <v>23</v>
      </c>
      <c r="D90" s="26" t="s">
        <v>6</v>
      </c>
      <c r="E90" s="25"/>
      <c r="F90" s="7" t="str">
        <f aca="false">IF(E90="","",IFERROR(INDEX(코드관리!$C$7:$C$66,MATCH(E90,코드관리!$B$7:$B$66,0)),"미등록 코드"))</f>
        <v/>
      </c>
      <c r="G90" s="25"/>
      <c r="H90" s="23" t="s">
        <v>121</v>
      </c>
      <c r="I90" s="24" t="s">
        <v>64</v>
      </c>
      <c r="J90" s="26" t="s">
        <v>60</v>
      </c>
      <c r="K90" s="27" t="n">
        <v>366000</v>
      </c>
      <c r="L90" s="26"/>
      <c r="M90" s="8" t="n">
        <f aca="false">IF(K90="","",IF(J90="USD",ROUND(K90*설정!$C$4,0),K90))</f>
        <v>366000</v>
      </c>
      <c r="N90" s="8" t="n">
        <f aca="false">IF(M90="","",IF(AND(I90="과세",L90="VAT포함"),ROUND(M90/(1+설정!$C$5),0),M90))</f>
        <v>366000</v>
      </c>
      <c r="O90" s="8" t="n">
        <f aca="false">IF(M90="","",IF(I90="과세",IF(L90="VAT포함",M90-N90,ROUND(N90*설정!$C$5,0)),0))</f>
        <v>0</v>
      </c>
      <c r="P90" s="8" t="n">
        <f aca="false">IF(M90="","",N90+O90)</f>
        <v>366000</v>
      </c>
      <c r="Q90" s="26"/>
      <c r="R90" s="8" t="str">
        <f aca="false">IF(OR(M90="",Q90&lt;&gt;"Y"),"",ROUND(N90*설정!$C$5,0))</f>
        <v/>
      </c>
      <c r="S90" s="25"/>
    </row>
    <row r="91" customFormat="false" ht="15" hidden="false" customHeight="false" outlineLevel="0" collapsed="false">
      <c r="A91" s="21" t="n">
        <f aca="false">IF(C91="","",COUNTA($C$5:C91))</f>
        <v>87</v>
      </c>
      <c r="B91" s="22"/>
      <c r="C91" s="23" t="s">
        <v>23</v>
      </c>
      <c r="D91" s="26" t="s">
        <v>6</v>
      </c>
      <c r="E91" s="25"/>
      <c r="F91" s="7" t="str">
        <f aca="false">IF(E91="","",IFERROR(INDEX(코드관리!$C$7:$C$66,MATCH(E91,코드관리!$B$7:$B$66,0)),"미등록 코드"))</f>
        <v/>
      </c>
      <c r="G91" s="25"/>
      <c r="H91" s="23" t="s">
        <v>122</v>
      </c>
      <c r="I91" s="24" t="s">
        <v>59</v>
      </c>
      <c r="J91" s="26" t="s">
        <v>60</v>
      </c>
      <c r="K91" s="27" t="n">
        <v>101200</v>
      </c>
      <c r="L91" s="26" t="s">
        <v>61</v>
      </c>
      <c r="M91" s="8" t="n">
        <f aca="false">IF(K91="","",IF(J91="USD",ROUND(K91*설정!$C$4,0),K91))</f>
        <v>101200</v>
      </c>
      <c r="N91" s="8" t="n">
        <f aca="false">IF(M91="","",IF(AND(I91="과세",L91="VAT포함"),ROUND(M91/(1+설정!$C$5),0),M91))</f>
        <v>92000</v>
      </c>
      <c r="O91" s="8" t="n">
        <f aca="false">IF(M91="","",IF(I91="과세",IF(L91="VAT포함",M91-N91,ROUND(N91*설정!$C$5,0)),0))</f>
        <v>9200</v>
      </c>
      <c r="P91" s="8" t="n">
        <f aca="false">IF(M91="","",N91+O91)</f>
        <v>101200</v>
      </c>
      <c r="Q91" s="26"/>
      <c r="R91" s="8" t="str">
        <f aca="false">IF(OR(M91="",Q91&lt;&gt;"Y"),"",ROUND(N91*설정!$C$5,0))</f>
        <v/>
      </c>
      <c r="S91" s="23" t="s">
        <v>123</v>
      </c>
    </row>
    <row r="92" customFormat="false" ht="15" hidden="false" customHeight="false" outlineLevel="0" collapsed="false">
      <c r="A92" s="21" t="n">
        <f aca="false">IF(C92="","",COUNTA($C$5:C92))</f>
        <v>88</v>
      </c>
      <c r="B92" s="22"/>
      <c r="C92" s="23" t="s">
        <v>23</v>
      </c>
      <c r="D92" s="26" t="s">
        <v>6</v>
      </c>
      <c r="E92" s="25"/>
      <c r="F92" s="7" t="str">
        <f aca="false">IF(E92="","",IFERROR(INDEX(코드관리!$C$7:$C$66,MATCH(E92,코드관리!$B$7:$B$66,0)),"미등록 코드"))</f>
        <v/>
      </c>
      <c r="G92" s="25"/>
      <c r="H92" s="23" t="s">
        <v>121</v>
      </c>
      <c r="I92" s="24" t="s">
        <v>64</v>
      </c>
      <c r="J92" s="26" t="s">
        <v>60</v>
      </c>
      <c r="K92" s="27" t="n">
        <v>1342000</v>
      </c>
      <c r="L92" s="26"/>
      <c r="M92" s="8" t="n">
        <f aca="false">IF(K92="","",IF(J92="USD",ROUND(K92*설정!$C$4,0),K92))</f>
        <v>1342000</v>
      </c>
      <c r="N92" s="8" t="n">
        <f aca="false">IF(M92="","",IF(AND(I92="과세",L92="VAT포함"),ROUND(M92/(1+설정!$C$5),0),M92))</f>
        <v>1342000</v>
      </c>
      <c r="O92" s="8" t="n">
        <f aca="false">IF(M92="","",IF(I92="과세",IF(L92="VAT포함",M92-N92,ROUND(N92*설정!$C$5,0)),0))</f>
        <v>0</v>
      </c>
      <c r="P92" s="8" t="n">
        <f aca="false">IF(M92="","",N92+O92)</f>
        <v>1342000</v>
      </c>
      <c r="Q92" s="26"/>
      <c r="R92" s="8" t="str">
        <f aca="false">IF(OR(M92="",Q92&lt;&gt;"Y"),"",ROUND(N92*설정!$C$5,0))</f>
        <v/>
      </c>
      <c r="S92" s="25"/>
    </row>
    <row r="93" customFormat="false" ht="15" hidden="false" customHeight="false" outlineLevel="0" collapsed="false">
      <c r="A93" s="21" t="n">
        <f aca="false">IF(C93="","",COUNTA($C$5:C93))</f>
        <v>89</v>
      </c>
      <c r="B93" s="22"/>
      <c r="C93" s="23" t="s">
        <v>23</v>
      </c>
      <c r="D93" s="26" t="s">
        <v>7</v>
      </c>
      <c r="E93" s="25"/>
      <c r="F93" s="7" t="str">
        <f aca="false">IF(E93="","",IFERROR(INDEX(코드관리!$C$7:$C$66,MATCH(E93,코드관리!$B$7:$B$66,0)),"미등록 코드"))</f>
        <v/>
      </c>
      <c r="G93" s="25"/>
      <c r="H93" s="23" t="s">
        <v>121</v>
      </c>
      <c r="I93" s="24" t="s">
        <v>64</v>
      </c>
      <c r="J93" s="26" t="s">
        <v>60</v>
      </c>
      <c r="K93" s="27" t="n">
        <v>366000</v>
      </c>
      <c r="L93" s="26"/>
      <c r="M93" s="8" t="n">
        <f aca="false">IF(K93="","",IF(J93="USD",ROUND(K93*설정!$C$4,0),K93))</f>
        <v>366000</v>
      </c>
      <c r="N93" s="8" t="n">
        <f aca="false">IF(M93="","",IF(AND(I93="과세",L93="VAT포함"),ROUND(M93/(1+설정!$C$5),0),M93))</f>
        <v>366000</v>
      </c>
      <c r="O93" s="8" t="n">
        <f aca="false">IF(M93="","",IF(I93="과세",IF(L93="VAT포함",M93-N93,ROUND(N93*설정!$C$5,0)),0))</f>
        <v>0</v>
      </c>
      <c r="P93" s="8" t="n">
        <f aca="false">IF(M93="","",N93+O93)</f>
        <v>366000</v>
      </c>
      <c r="Q93" s="26"/>
      <c r="R93" s="8" t="str">
        <f aca="false">IF(OR(M93="",Q93&lt;&gt;"Y"),"",ROUND(N93*설정!$C$5,0))</f>
        <v/>
      </c>
      <c r="S93" s="25"/>
    </row>
    <row r="94" customFormat="false" ht="15" hidden="false" customHeight="false" outlineLevel="0" collapsed="false">
      <c r="A94" s="21" t="n">
        <f aca="false">IF(C94="","",COUNTA($C$5:C94))</f>
        <v>90</v>
      </c>
      <c r="B94" s="22"/>
      <c r="C94" s="23" t="s">
        <v>23</v>
      </c>
      <c r="D94" s="26" t="s">
        <v>7</v>
      </c>
      <c r="E94" s="25"/>
      <c r="F94" s="7" t="str">
        <f aca="false">IF(E94="","",IFERROR(INDEX(코드관리!$C$7:$C$66,MATCH(E94,코드관리!$B$7:$B$66,0)),"미등록 코드"))</f>
        <v/>
      </c>
      <c r="G94" s="25"/>
      <c r="H94" s="23" t="s">
        <v>122</v>
      </c>
      <c r="I94" s="24" t="s">
        <v>59</v>
      </c>
      <c r="J94" s="26" t="s">
        <v>60</v>
      </c>
      <c r="K94" s="27" t="n">
        <v>101200</v>
      </c>
      <c r="L94" s="26" t="s">
        <v>61</v>
      </c>
      <c r="M94" s="8" t="n">
        <f aca="false">IF(K94="","",IF(J94="USD",ROUND(K94*설정!$C$4,0),K94))</f>
        <v>101200</v>
      </c>
      <c r="N94" s="8" t="n">
        <f aca="false">IF(M94="","",IF(AND(I94="과세",L94="VAT포함"),ROUND(M94/(1+설정!$C$5),0),M94))</f>
        <v>92000</v>
      </c>
      <c r="O94" s="8" t="n">
        <f aca="false">IF(M94="","",IF(I94="과세",IF(L94="VAT포함",M94-N94,ROUND(N94*설정!$C$5,0)),0))</f>
        <v>9200</v>
      </c>
      <c r="P94" s="8" t="n">
        <f aca="false">IF(M94="","",N94+O94)</f>
        <v>101200</v>
      </c>
      <c r="Q94" s="26"/>
      <c r="R94" s="8" t="str">
        <f aca="false">IF(OR(M94="",Q94&lt;&gt;"Y"),"",ROUND(N94*설정!$C$5,0))</f>
        <v/>
      </c>
      <c r="S94" s="23" t="s">
        <v>123</v>
      </c>
    </row>
    <row r="95" customFormat="false" ht="15" hidden="false" customHeight="false" outlineLevel="0" collapsed="false">
      <c r="A95" s="21" t="n">
        <f aca="false">IF(C95="","",COUNTA($C$5:C95))</f>
        <v>91</v>
      </c>
      <c r="B95" s="22"/>
      <c r="C95" s="23" t="s">
        <v>23</v>
      </c>
      <c r="D95" s="26" t="s">
        <v>7</v>
      </c>
      <c r="E95" s="25"/>
      <c r="F95" s="7" t="str">
        <f aca="false">IF(E95="","",IFERROR(INDEX(코드관리!$C$7:$C$66,MATCH(E95,코드관리!$B$7:$B$66,0)),"미등록 코드"))</f>
        <v/>
      </c>
      <c r="G95" s="25"/>
      <c r="H95" s="23" t="s">
        <v>121</v>
      </c>
      <c r="I95" s="24" t="s">
        <v>64</v>
      </c>
      <c r="J95" s="26" t="s">
        <v>60</v>
      </c>
      <c r="K95" s="27" t="n">
        <v>1342000</v>
      </c>
      <c r="L95" s="26"/>
      <c r="M95" s="8" t="n">
        <f aca="false">IF(K95="","",IF(J95="USD",ROUND(K95*설정!$C$4,0),K95))</f>
        <v>1342000</v>
      </c>
      <c r="N95" s="8" t="n">
        <f aca="false">IF(M95="","",IF(AND(I95="과세",L95="VAT포함"),ROUND(M95/(1+설정!$C$5),0),M95))</f>
        <v>1342000</v>
      </c>
      <c r="O95" s="8" t="n">
        <f aca="false">IF(M95="","",IF(I95="과세",IF(L95="VAT포함",M95-N95,ROUND(N95*설정!$C$5,0)),0))</f>
        <v>0</v>
      </c>
      <c r="P95" s="8" t="n">
        <f aca="false">IF(M95="","",N95+O95)</f>
        <v>1342000</v>
      </c>
      <c r="Q95" s="26"/>
      <c r="R95" s="8" t="str">
        <f aca="false">IF(OR(M95="",Q95&lt;&gt;"Y"),"",ROUND(N95*설정!$C$5,0))</f>
        <v/>
      </c>
      <c r="S95" s="25"/>
    </row>
    <row r="96" customFormat="false" ht="15" hidden="false" customHeight="false" outlineLevel="0" collapsed="false">
      <c r="A96" s="21" t="n">
        <f aca="false">IF(C96="","",COUNTA($C$5:C96))</f>
        <v>92</v>
      </c>
      <c r="B96" s="22"/>
      <c r="C96" s="23" t="s">
        <v>23</v>
      </c>
      <c r="D96" s="26" t="s">
        <v>4</v>
      </c>
      <c r="E96" s="25"/>
      <c r="F96" s="7" t="str">
        <f aca="false">IF(E96="","",IFERROR(INDEX(코드관리!$C$7:$C$66,MATCH(E96,코드관리!$B$7:$B$66,0)),"미등록 코드"))</f>
        <v/>
      </c>
      <c r="G96" s="25"/>
      <c r="H96" s="23" t="s">
        <v>121</v>
      </c>
      <c r="I96" s="24" t="s">
        <v>64</v>
      </c>
      <c r="J96" s="26" t="s">
        <v>60</v>
      </c>
      <c r="K96" s="27" t="n">
        <v>392400</v>
      </c>
      <c r="L96" s="26"/>
      <c r="M96" s="8" t="n">
        <f aca="false">IF(K96="","",IF(J96="USD",ROUND(K96*설정!$C$4,0),K96))</f>
        <v>392400</v>
      </c>
      <c r="N96" s="8" t="n">
        <f aca="false">IF(M96="","",IF(AND(I96="과세",L96="VAT포함"),ROUND(M96/(1+설정!$C$5),0),M96))</f>
        <v>392400</v>
      </c>
      <c r="O96" s="8" t="n">
        <f aca="false">IF(M96="","",IF(I96="과세",IF(L96="VAT포함",M96-N96,ROUND(N96*설정!$C$5,0)),0))</f>
        <v>0</v>
      </c>
      <c r="P96" s="8" t="n">
        <f aca="false">IF(M96="","",N96+O96)</f>
        <v>392400</v>
      </c>
      <c r="Q96" s="26"/>
      <c r="R96" s="8" t="str">
        <f aca="false">IF(OR(M96="",Q96&lt;&gt;"Y"),"",ROUND(N96*설정!$C$5,0))</f>
        <v/>
      </c>
      <c r="S96" s="23" t="s">
        <v>124</v>
      </c>
    </row>
    <row r="97" customFormat="false" ht="15" hidden="false" customHeight="false" outlineLevel="0" collapsed="false">
      <c r="A97" s="21" t="n">
        <f aca="false">IF(C97="","",COUNTA($C$5:C97))</f>
        <v>93</v>
      </c>
      <c r="B97" s="22"/>
      <c r="C97" s="23" t="s">
        <v>23</v>
      </c>
      <c r="D97" s="26" t="s">
        <v>4</v>
      </c>
      <c r="E97" s="25"/>
      <c r="F97" s="7" t="str">
        <f aca="false">IF(E97="","",IFERROR(INDEX(코드관리!$C$7:$C$66,MATCH(E97,코드관리!$B$7:$B$66,0)),"미등록 코드"))</f>
        <v/>
      </c>
      <c r="G97" s="25"/>
      <c r="H97" s="23" t="s">
        <v>122</v>
      </c>
      <c r="I97" s="24" t="s">
        <v>59</v>
      </c>
      <c r="J97" s="26" t="s">
        <v>60</v>
      </c>
      <c r="K97" s="27" t="n">
        <v>101200</v>
      </c>
      <c r="L97" s="26" t="s">
        <v>61</v>
      </c>
      <c r="M97" s="8" t="n">
        <f aca="false">IF(K97="","",IF(J97="USD",ROUND(K97*설정!$C$4,0),K97))</f>
        <v>101200</v>
      </c>
      <c r="N97" s="8" t="n">
        <f aca="false">IF(M97="","",IF(AND(I97="과세",L97="VAT포함"),ROUND(M97/(1+설정!$C$5),0),M97))</f>
        <v>92000</v>
      </c>
      <c r="O97" s="8" t="n">
        <f aca="false">IF(M97="","",IF(I97="과세",IF(L97="VAT포함",M97-N97,ROUND(N97*설정!$C$5,0)),0))</f>
        <v>9200</v>
      </c>
      <c r="P97" s="8" t="n">
        <f aca="false">IF(M97="","",N97+O97)</f>
        <v>101200</v>
      </c>
      <c r="Q97" s="26"/>
      <c r="R97" s="8" t="str">
        <f aca="false">IF(OR(M97="",Q97&lt;&gt;"Y"),"",ROUND(N97*설정!$C$5,0))</f>
        <v/>
      </c>
      <c r="S97" s="23" t="s">
        <v>123</v>
      </c>
    </row>
    <row r="98" customFormat="false" ht="15" hidden="false" customHeight="false" outlineLevel="0" collapsed="false">
      <c r="A98" s="21" t="n">
        <f aca="false">IF(C98="","",COUNTA($C$5:C98))</f>
        <v>94</v>
      </c>
      <c r="B98" s="22"/>
      <c r="C98" s="23" t="s">
        <v>23</v>
      </c>
      <c r="D98" s="26" t="s">
        <v>4</v>
      </c>
      <c r="E98" s="25"/>
      <c r="F98" s="7" t="str">
        <f aca="false">IF(E98="","",IFERROR(INDEX(코드관리!$C$7:$C$66,MATCH(E98,코드관리!$B$7:$B$66,0)),"미등록 코드"))</f>
        <v/>
      </c>
      <c r="G98" s="25"/>
      <c r="H98" s="23" t="s">
        <v>121</v>
      </c>
      <c r="I98" s="24" t="s">
        <v>64</v>
      </c>
      <c r="J98" s="26" t="s">
        <v>60</v>
      </c>
      <c r="K98" s="27" t="n">
        <v>536600</v>
      </c>
      <c r="L98" s="26"/>
      <c r="M98" s="8" t="n">
        <f aca="false">IF(K98="","",IF(J98="USD",ROUND(K98*설정!$C$4,0),K98))</f>
        <v>536600</v>
      </c>
      <c r="N98" s="8" t="n">
        <f aca="false">IF(M98="","",IF(AND(I98="과세",L98="VAT포함"),ROUND(M98/(1+설정!$C$5),0),M98))</f>
        <v>536600</v>
      </c>
      <c r="O98" s="8" t="n">
        <f aca="false">IF(M98="","",IF(I98="과세",IF(L98="VAT포함",M98-N98,ROUND(N98*설정!$C$5,0)),0))</f>
        <v>0</v>
      </c>
      <c r="P98" s="8" t="n">
        <f aca="false">IF(M98="","",N98+O98)</f>
        <v>536600</v>
      </c>
      <c r="Q98" s="26"/>
      <c r="R98" s="8" t="str">
        <f aca="false">IF(OR(M98="",Q98&lt;&gt;"Y"),"",ROUND(N98*설정!$C$5,0))</f>
        <v/>
      </c>
      <c r="S98" s="23" t="s">
        <v>125</v>
      </c>
    </row>
    <row r="99" customFormat="false" ht="15" hidden="false" customHeight="false" outlineLevel="0" collapsed="false">
      <c r="A99" s="21" t="n">
        <f aca="false">IF(C99="","",COUNTA($C$5:C99))</f>
        <v>95</v>
      </c>
      <c r="B99" s="22"/>
      <c r="C99" s="23" t="s">
        <v>25</v>
      </c>
      <c r="D99" s="26" t="s">
        <v>4</v>
      </c>
      <c r="E99" s="25"/>
      <c r="F99" s="7" t="str">
        <f aca="false">IF(E99="","",IFERROR(INDEX(코드관리!$C$7:$C$66,MATCH(E99,코드관리!$B$7:$B$66,0)),"미등록 코드"))</f>
        <v/>
      </c>
      <c r="G99" s="25"/>
      <c r="H99" s="25" t="s">
        <v>126</v>
      </c>
      <c r="I99" s="24" t="s">
        <v>64</v>
      </c>
      <c r="J99" s="26" t="s">
        <v>60</v>
      </c>
      <c r="K99" s="27" t="n">
        <v>7006800</v>
      </c>
      <c r="L99" s="26"/>
      <c r="M99" s="8" t="n">
        <f aca="false">IF(K99="","",IF(J99="USD",ROUND(K99*설정!$C$4,0),K99))</f>
        <v>7006800</v>
      </c>
      <c r="N99" s="8" t="n">
        <f aca="false">IF(M99="","",IF(AND(I99="과세",L99="VAT포함"),ROUND(M99/(1+설정!$C$5),0),M99))</f>
        <v>7006800</v>
      </c>
      <c r="O99" s="8" t="n">
        <f aca="false">IF(M99="","",IF(I99="과세",IF(L99="VAT포함",M99-N99,ROUND(N99*설정!$C$5,0)),0))</f>
        <v>0</v>
      </c>
      <c r="P99" s="8" t="n">
        <f aca="false">IF(M99="","",N99+O99)</f>
        <v>7006800</v>
      </c>
      <c r="Q99" s="26"/>
      <c r="R99" s="8" t="str">
        <f aca="false">IF(OR(M99="",Q99&lt;&gt;"Y"),"",ROUND(N99*설정!$C$5,0))</f>
        <v/>
      </c>
      <c r="S99" s="25"/>
    </row>
    <row r="100" customFormat="false" ht="15" hidden="false" customHeight="false" outlineLevel="0" collapsed="false">
      <c r="A100" s="21" t="n">
        <f aca="false">IF(C100="","",COUNTA($C$5:C100))</f>
        <v>96</v>
      </c>
      <c r="B100" s="22"/>
      <c r="C100" s="23" t="s">
        <v>25</v>
      </c>
      <c r="D100" s="26" t="s">
        <v>4</v>
      </c>
      <c r="E100" s="25"/>
      <c r="F100" s="7" t="str">
        <f aca="false">IF(E100="","",IFERROR(INDEX(코드관리!$C$7:$C$66,MATCH(E100,코드관리!$B$7:$B$66,0)),"미등록 코드"))</f>
        <v/>
      </c>
      <c r="G100" s="25"/>
      <c r="H100" s="25" t="s">
        <v>127</v>
      </c>
      <c r="I100" s="24" t="s">
        <v>64</v>
      </c>
      <c r="J100" s="26" t="s">
        <v>60</v>
      </c>
      <c r="K100" s="27" t="n">
        <v>3200000</v>
      </c>
      <c r="L100" s="26"/>
      <c r="M100" s="8" t="n">
        <f aca="false">IF(K100="","",IF(J100="USD",ROUND(K100*설정!$C$4,0),K100))</f>
        <v>3200000</v>
      </c>
      <c r="N100" s="8" t="n">
        <f aca="false">IF(M100="","",IF(AND(I100="과세",L100="VAT포함"),ROUND(M100/(1+설정!$C$5),0),M100))</f>
        <v>3200000</v>
      </c>
      <c r="O100" s="8" t="n">
        <f aca="false">IF(M100="","",IF(I100="과세",IF(L100="VAT포함",M100-N100,ROUND(N100*설정!$C$5,0)),0))</f>
        <v>0</v>
      </c>
      <c r="P100" s="8" t="n">
        <f aca="false">IF(M100="","",N100+O100)</f>
        <v>3200000</v>
      </c>
      <c r="Q100" s="26"/>
      <c r="R100" s="8" t="str">
        <f aca="false">IF(OR(M100="",Q100&lt;&gt;"Y"),"",ROUND(N100*설정!$C$5,0))</f>
        <v/>
      </c>
      <c r="S100" s="25"/>
    </row>
    <row r="101" customFormat="false" ht="15" hidden="false" customHeight="false" outlineLevel="0" collapsed="false">
      <c r="A101" s="21" t="n">
        <f aca="false">IF(C101="","",COUNTA($C$5:C101))</f>
        <v>97</v>
      </c>
      <c r="B101" s="22"/>
      <c r="C101" s="23" t="s">
        <v>25</v>
      </c>
      <c r="D101" s="26" t="s">
        <v>5</v>
      </c>
      <c r="E101" s="25"/>
      <c r="F101" s="7" t="str">
        <f aca="false">IF(E101="","",IFERROR(INDEX(코드관리!$C$7:$C$66,MATCH(E101,코드관리!$B$7:$B$66,0)),"미등록 코드"))</f>
        <v/>
      </c>
      <c r="G101" s="25"/>
      <c r="H101" s="25" t="s">
        <v>74</v>
      </c>
      <c r="I101" s="24" t="s">
        <v>64</v>
      </c>
      <c r="J101" s="26" t="s">
        <v>60</v>
      </c>
      <c r="K101" s="27" t="n">
        <v>3120000</v>
      </c>
      <c r="L101" s="26"/>
      <c r="M101" s="8" t="n">
        <f aca="false">IF(K101="","",IF(J101="USD",ROUND(K101*설정!$C$4,0),K101))</f>
        <v>3120000</v>
      </c>
      <c r="N101" s="8" t="n">
        <f aca="false">IF(M101="","",IF(AND(I101="과세",L101="VAT포함"),ROUND(M101/(1+설정!$C$5),0),M101))</f>
        <v>3120000</v>
      </c>
      <c r="O101" s="8" t="n">
        <f aca="false">IF(M101="","",IF(I101="과세",IF(L101="VAT포함",M101-N101,ROUND(N101*설정!$C$5,0)),0))</f>
        <v>0</v>
      </c>
      <c r="P101" s="8" t="n">
        <f aca="false">IF(M101="","",N101+O101)</f>
        <v>3120000</v>
      </c>
      <c r="Q101" s="26"/>
      <c r="R101" s="8" t="str">
        <f aca="false">IF(OR(M101="",Q101&lt;&gt;"Y"),"",ROUND(N101*설정!$C$5,0))</f>
        <v/>
      </c>
      <c r="S101" s="25"/>
    </row>
    <row r="102" customFormat="false" ht="15" hidden="false" customHeight="false" outlineLevel="0" collapsed="false">
      <c r="A102" s="21" t="n">
        <f aca="false">IF(C102="","",COUNTA($C$5:C102))</f>
        <v>98</v>
      </c>
      <c r="B102" s="22"/>
      <c r="C102" s="23" t="s">
        <v>25</v>
      </c>
      <c r="D102" s="26" t="s">
        <v>6</v>
      </c>
      <c r="E102" s="25"/>
      <c r="F102" s="7" t="str">
        <f aca="false">IF(E102="","",IFERROR(INDEX(코드관리!$C$7:$C$66,MATCH(E102,코드관리!$B$7:$B$66,0)),"미등록 코드"))</f>
        <v/>
      </c>
      <c r="G102" s="25"/>
      <c r="H102" s="25" t="s">
        <v>74</v>
      </c>
      <c r="I102" s="24" t="s">
        <v>64</v>
      </c>
      <c r="J102" s="26" t="s">
        <v>60</v>
      </c>
      <c r="K102" s="27" t="n">
        <v>18017500</v>
      </c>
      <c r="L102" s="26"/>
      <c r="M102" s="8" t="n">
        <f aca="false">IF(K102="","",IF(J102="USD",ROUND(K102*설정!$C$4,0),K102))</f>
        <v>18017500</v>
      </c>
      <c r="N102" s="8" t="n">
        <f aca="false">IF(M102="","",IF(AND(I102="과세",L102="VAT포함"),ROUND(M102/(1+설정!$C$5),0),M102))</f>
        <v>18017500</v>
      </c>
      <c r="O102" s="8" t="n">
        <f aca="false">IF(M102="","",IF(I102="과세",IF(L102="VAT포함",M102-N102,ROUND(N102*설정!$C$5,0)),0))</f>
        <v>0</v>
      </c>
      <c r="P102" s="8" t="n">
        <f aca="false">IF(M102="","",N102+O102)</f>
        <v>18017500</v>
      </c>
      <c r="Q102" s="26"/>
      <c r="R102" s="8" t="str">
        <f aca="false">IF(OR(M102="",Q102&lt;&gt;"Y"),"",ROUND(N102*설정!$C$5,0))</f>
        <v/>
      </c>
      <c r="S102" s="25"/>
    </row>
    <row r="103" customFormat="false" ht="15" hidden="false" customHeight="false" outlineLevel="0" collapsed="false">
      <c r="A103" s="21" t="n">
        <f aca="false">IF(C103="","",COUNTA($C$5:C103))</f>
        <v>99</v>
      </c>
      <c r="B103" s="22"/>
      <c r="C103" s="23" t="s">
        <v>25</v>
      </c>
      <c r="D103" s="26" t="s">
        <v>7</v>
      </c>
      <c r="E103" s="25"/>
      <c r="F103" s="7" t="str">
        <f aca="false">IF(E103="","",IFERROR(INDEX(코드관리!$C$7:$C$66,MATCH(E103,코드관리!$B$7:$B$66,0)),"미등록 코드"))</f>
        <v/>
      </c>
      <c r="G103" s="25"/>
      <c r="H103" s="25" t="s">
        <v>74</v>
      </c>
      <c r="I103" s="24" t="s">
        <v>64</v>
      </c>
      <c r="J103" s="26" t="s">
        <v>60</v>
      </c>
      <c r="K103" s="27" t="n">
        <v>9932500</v>
      </c>
      <c r="L103" s="26"/>
      <c r="M103" s="8" t="n">
        <f aca="false">IF(K103="","",IF(J103="USD",ROUND(K103*설정!$C$4,0),K103))</f>
        <v>9932500</v>
      </c>
      <c r="N103" s="8" t="n">
        <f aca="false">IF(M103="","",IF(AND(I103="과세",L103="VAT포함"),ROUND(M103/(1+설정!$C$5),0),M103))</f>
        <v>9932500</v>
      </c>
      <c r="O103" s="8" t="n">
        <f aca="false">IF(M103="","",IF(I103="과세",IF(L103="VAT포함",M103-N103,ROUND(N103*설정!$C$5,0)),0))</f>
        <v>0</v>
      </c>
      <c r="P103" s="8" t="n">
        <f aca="false">IF(M103="","",N103+O103)</f>
        <v>9932500</v>
      </c>
      <c r="Q103" s="26"/>
      <c r="R103" s="8" t="str">
        <f aca="false">IF(OR(M103="",Q103&lt;&gt;"Y"),"",ROUND(N103*설정!$C$5,0))</f>
        <v/>
      </c>
      <c r="S103" s="25"/>
    </row>
    <row r="104" customFormat="false" ht="15" hidden="false" customHeight="false" outlineLevel="0" collapsed="false">
      <c r="A104" s="21" t="n">
        <f aca="false">IF(C104="","",COUNTA($C$5:C104))</f>
        <v>100</v>
      </c>
      <c r="B104" s="22"/>
      <c r="C104" s="23" t="s">
        <v>26</v>
      </c>
      <c r="D104" s="24" t="s">
        <v>57</v>
      </c>
      <c r="E104" s="25"/>
      <c r="F104" s="7" t="str">
        <f aca="false">IF(E104="","",IFERROR(INDEX(코드관리!$C$7:$C$66,MATCH(E104,코드관리!$B$7:$B$66,0)),"미등록 코드"))</f>
        <v/>
      </c>
      <c r="G104" s="25"/>
      <c r="H104" s="25" t="s">
        <v>74</v>
      </c>
      <c r="I104" s="24" t="s">
        <v>64</v>
      </c>
      <c r="J104" s="26" t="s">
        <v>60</v>
      </c>
      <c r="K104" s="27" t="n">
        <v>12600000</v>
      </c>
      <c r="L104" s="26"/>
      <c r="M104" s="8" t="n">
        <f aca="false">IF(K104="","",IF(J104="USD",ROUND(K104*설정!$C$4,0),K104))</f>
        <v>12600000</v>
      </c>
      <c r="N104" s="8" t="n">
        <f aca="false">IF(M104="","",IF(AND(I104="과세",L104="VAT포함"),ROUND(M104/(1+설정!$C$5),0),M104))</f>
        <v>12600000</v>
      </c>
      <c r="O104" s="8" t="n">
        <f aca="false">IF(M104="","",IF(I104="과세",IF(L104="VAT포함",M104-N104,ROUND(N104*설정!$C$5,0)),0))</f>
        <v>0</v>
      </c>
      <c r="P104" s="8" t="n">
        <f aca="false">IF(M104="","",N104+O104)</f>
        <v>12600000</v>
      </c>
      <c r="Q104" s="26" t="s">
        <v>75</v>
      </c>
      <c r="R104" s="8" t="n">
        <f aca="false">IF(OR(M104="",Q104&lt;&gt;"Y"),"",ROUND(N104*설정!$C$5,0))</f>
        <v>1260000</v>
      </c>
      <c r="S104" s="23" t="s">
        <v>76</v>
      </c>
    </row>
    <row r="105" customFormat="false" ht="15" hidden="false" customHeight="false" outlineLevel="0" collapsed="false">
      <c r="A105" s="21" t="str">
        <f aca="false">IF(C105="","",COUNTA($C$5:C105))</f>
        <v/>
      </c>
      <c r="B105" s="22"/>
      <c r="C105" s="23"/>
      <c r="D105" s="26"/>
      <c r="E105" s="25"/>
      <c r="F105" s="7" t="str">
        <f aca="false">IF(E105="","",IFERROR(INDEX(코드관리!$C$7:$C$66,MATCH(E105,코드관리!$B$7:$B$66,0)),"미등록 코드"))</f>
        <v/>
      </c>
      <c r="G105" s="25"/>
      <c r="H105" s="25"/>
      <c r="I105" s="24"/>
      <c r="J105" s="26"/>
      <c r="K105" s="27"/>
      <c r="L105" s="26"/>
      <c r="M105" s="8" t="str">
        <f aca="false">IF(K105="","",IF(J105="USD",ROUND(K105*설정!$C$4,0),K105))</f>
        <v/>
      </c>
      <c r="N105" s="8" t="str">
        <f aca="false">IF(M105="","",IF(AND(I105="과세",L105="VAT포함"),ROUND(M105/(1+설정!$C$5),0),M105))</f>
        <v/>
      </c>
      <c r="O105" s="8" t="str">
        <f aca="false">IF(M105="","",IF(I105="과세",IF(L105="VAT포함",M105-N105,ROUND(N105*설정!$C$5,0)),0))</f>
        <v/>
      </c>
      <c r="P105" s="8" t="str">
        <f aca="false">IF(M105="","",N105+O105)</f>
        <v/>
      </c>
      <c r="Q105" s="26"/>
      <c r="R105" s="8" t="str">
        <f aca="false">IF(OR(M105="",Q105&lt;&gt;"Y"),"",ROUND(N105*설정!$C$5,0))</f>
        <v/>
      </c>
      <c r="S105" s="25"/>
    </row>
    <row r="106" customFormat="false" ht="15" hidden="false" customHeight="false" outlineLevel="0" collapsed="false">
      <c r="A106" s="21" t="str">
        <f aca="false">IF(C106="","",COUNTA($C$5:C106))</f>
        <v/>
      </c>
      <c r="B106" s="22"/>
      <c r="C106" s="23"/>
      <c r="D106" s="26"/>
      <c r="E106" s="25"/>
      <c r="F106" s="7" t="str">
        <f aca="false">IF(E106="","",IFERROR(INDEX(코드관리!$C$7:$C$66,MATCH(E106,코드관리!$B$7:$B$66,0)),"미등록 코드"))</f>
        <v/>
      </c>
      <c r="G106" s="25"/>
      <c r="H106" s="25"/>
      <c r="I106" s="24"/>
      <c r="J106" s="26"/>
      <c r="K106" s="27"/>
      <c r="L106" s="26"/>
      <c r="M106" s="8" t="str">
        <f aca="false">IF(K106="","",IF(J106="USD",ROUND(K106*설정!$C$4,0),K106))</f>
        <v/>
      </c>
      <c r="N106" s="8" t="str">
        <f aca="false">IF(M106="","",IF(AND(I106="과세",L106="VAT포함"),ROUND(M106/(1+설정!$C$5),0),M106))</f>
        <v/>
      </c>
      <c r="O106" s="8" t="str">
        <f aca="false">IF(M106="","",IF(I106="과세",IF(L106="VAT포함",M106-N106,ROUND(N106*설정!$C$5,0)),0))</f>
        <v/>
      </c>
      <c r="P106" s="8" t="str">
        <f aca="false">IF(M106="","",N106+O106)</f>
        <v/>
      </c>
      <c r="Q106" s="26"/>
      <c r="R106" s="8" t="str">
        <f aca="false">IF(OR(M106="",Q106&lt;&gt;"Y"),"",ROUND(N106*설정!$C$5,0))</f>
        <v/>
      </c>
      <c r="S106" s="25"/>
    </row>
    <row r="107" customFormat="false" ht="15" hidden="false" customHeight="false" outlineLevel="0" collapsed="false">
      <c r="A107" s="21" t="str">
        <f aca="false">IF(C107="","",COUNTA($C$5:C107))</f>
        <v/>
      </c>
      <c r="B107" s="22"/>
      <c r="C107" s="23"/>
      <c r="D107" s="26"/>
      <c r="E107" s="25"/>
      <c r="F107" s="7" t="str">
        <f aca="false">IF(E107="","",IFERROR(INDEX(코드관리!$C$7:$C$66,MATCH(E107,코드관리!$B$7:$B$66,0)),"미등록 코드"))</f>
        <v/>
      </c>
      <c r="G107" s="25"/>
      <c r="H107" s="25"/>
      <c r="I107" s="24"/>
      <c r="J107" s="26"/>
      <c r="K107" s="27"/>
      <c r="L107" s="26"/>
      <c r="M107" s="8" t="str">
        <f aca="false">IF(K107="","",IF(J107="USD",ROUND(K107*설정!$C$4,0),K107))</f>
        <v/>
      </c>
      <c r="N107" s="8" t="str">
        <f aca="false">IF(M107="","",IF(AND(I107="과세",L107="VAT포함"),ROUND(M107/(1+설정!$C$5),0),M107))</f>
        <v/>
      </c>
      <c r="O107" s="8" t="str">
        <f aca="false">IF(M107="","",IF(I107="과세",IF(L107="VAT포함",M107-N107,ROUND(N107*설정!$C$5,0)),0))</f>
        <v/>
      </c>
      <c r="P107" s="8" t="str">
        <f aca="false">IF(M107="","",N107+O107)</f>
        <v/>
      </c>
      <c r="Q107" s="26"/>
      <c r="R107" s="8" t="str">
        <f aca="false">IF(OR(M107="",Q107&lt;&gt;"Y"),"",ROUND(N107*설정!$C$5,0))</f>
        <v/>
      </c>
      <c r="S107" s="25"/>
    </row>
    <row r="108" customFormat="false" ht="15" hidden="false" customHeight="false" outlineLevel="0" collapsed="false">
      <c r="A108" s="21" t="str">
        <f aca="false">IF(C108="","",COUNTA($C$5:C108))</f>
        <v/>
      </c>
      <c r="B108" s="22"/>
      <c r="C108" s="23"/>
      <c r="D108" s="26"/>
      <c r="E108" s="25"/>
      <c r="F108" s="7" t="str">
        <f aca="false">IF(E108="","",IFERROR(INDEX(코드관리!$C$7:$C$66,MATCH(E108,코드관리!$B$7:$B$66,0)),"미등록 코드"))</f>
        <v/>
      </c>
      <c r="G108" s="25"/>
      <c r="H108" s="25"/>
      <c r="I108" s="24"/>
      <c r="J108" s="26"/>
      <c r="K108" s="27"/>
      <c r="L108" s="26"/>
      <c r="M108" s="8" t="str">
        <f aca="false">IF(K108="","",IF(J108="USD",ROUND(K108*설정!$C$4,0),K108))</f>
        <v/>
      </c>
      <c r="N108" s="8" t="str">
        <f aca="false">IF(M108="","",IF(AND(I108="과세",L108="VAT포함"),ROUND(M108/(1+설정!$C$5),0),M108))</f>
        <v/>
      </c>
      <c r="O108" s="8" t="str">
        <f aca="false">IF(M108="","",IF(I108="과세",IF(L108="VAT포함",M108-N108,ROUND(N108*설정!$C$5,0)),0))</f>
        <v/>
      </c>
      <c r="P108" s="8" t="str">
        <f aca="false">IF(M108="","",N108+O108)</f>
        <v/>
      </c>
      <c r="Q108" s="26"/>
      <c r="R108" s="8" t="str">
        <f aca="false">IF(OR(M108="",Q108&lt;&gt;"Y"),"",ROUND(N108*설정!$C$5,0))</f>
        <v/>
      </c>
      <c r="S108" s="25"/>
    </row>
    <row r="109" customFormat="false" ht="15" hidden="false" customHeight="false" outlineLevel="0" collapsed="false">
      <c r="A109" s="21" t="str">
        <f aca="false">IF(C109="","",COUNTA($C$5:C109))</f>
        <v/>
      </c>
      <c r="B109" s="22"/>
      <c r="C109" s="23"/>
      <c r="D109" s="26"/>
      <c r="E109" s="25"/>
      <c r="F109" s="7" t="str">
        <f aca="false">IF(E109="","",IFERROR(INDEX(코드관리!$C$7:$C$66,MATCH(E109,코드관리!$B$7:$B$66,0)),"미등록 코드"))</f>
        <v/>
      </c>
      <c r="G109" s="25"/>
      <c r="H109" s="25"/>
      <c r="I109" s="24"/>
      <c r="J109" s="26"/>
      <c r="K109" s="27"/>
      <c r="L109" s="26"/>
      <c r="M109" s="8" t="str">
        <f aca="false">IF(K109="","",IF(J109="USD",ROUND(K109*설정!$C$4,0),K109))</f>
        <v/>
      </c>
      <c r="N109" s="8" t="str">
        <f aca="false">IF(M109="","",IF(AND(I109="과세",L109="VAT포함"),ROUND(M109/(1+설정!$C$5),0),M109))</f>
        <v/>
      </c>
      <c r="O109" s="8" t="str">
        <f aca="false">IF(M109="","",IF(I109="과세",IF(L109="VAT포함",M109-N109,ROUND(N109*설정!$C$5,0)),0))</f>
        <v/>
      </c>
      <c r="P109" s="8" t="str">
        <f aca="false">IF(M109="","",N109+O109)</f>
        <v/>
      </c>
      <c r="Q109" s="26"/>
      <c r="R109" s="8" t="str">
        <f aca="false">IF(OR(M109="",Q109&lt;&gt;"Y"),"",ROUND(N109*설정!$C$5,0))</f>
        <v/>
      </c>
      <c r="S109" s="25"/>
    </row>
    <row r="110" customFormat="false" ht="15" hidden="false" customHeight="false" outlineLevel="0" collapsed="false">
      <c r="A110" s="21" t="str">
        <f aca="false">IF(C110="","",COUNTA($C$5:C110))</f>
        <v/>
      </c>
      <c r="B110" s="22"/>
      <c r="C110" s="23"/>
      <c r="D110" s="26"/>
      <c r="E110" s="25"/>
      <c r="F110" s="7" t="str">
        <f aca="false">IF(E110="","",IFERROR(INDEX(코드관리!$C$7:$C$66,MATCH(E110,코드관리!$B$7:$B$66,0)),"미등록 코드"))</f>
        <v/>
      </c>
      <c r="G110" s="25"/>
      <c r="H110" s="25"/>
      <c r="I110" s="24"/>
      <c r="J110" s="26"/>
      <c r="K110" s="27"/>
      <c r="L110" s="26"/>
      <c r="M110" s="8" t="str">
        <f aca="false">IF(K110="","",IF(J110="USD",ROUND(K110*설정!$C$4,0),K110))</f>
        <v/>
      </c>
      <c r="N110" s="8" t="str">
        <f aca="false">IF(M110="","",IF(AND(I110="과세",L110="VAT포함"),ROUND(M110/(1+설정!$C$5),0),M110))</f>
        <v/>
      </c>
      <c r="O110" s="8" t="str">
        <f aca="false">IF(M110="","",IF(I110="과세",IF(L110="VAT포함",M110-N110,ROUND(N110*설정!$C$5,0)),0))</f>
        <v/>
      </c>
      <c r="P110" s="8" t="str">
        <f aca="false">IF(M110="","",N110+O110)</f>
        <v/>
      </c>
      <c r="Q110" s="26"/>
      <c r="R110" s="8" t="str">
        <f aca="false">IF(OR(M110="",Q110&lt;&gt;"Y"),"",ROUND(N110*설정!$C$5,0))</f>
        <v/>
      </c>
      <c r="S110" s="25"/>
    </row>
    <row r="111" customFormat="false" ht="15" hidden="false" customHeight="false" outlineLevel="0" collapsed="false">
      <c r="A111" s="21" t="str">
        <f aca="false">IF(C111="","",COUNTA($C$5:C111))</f>
        <v/>
      </c>
      <c r="B111" s="22"/>
      <c r="C111" s="23"/>
      <c r="D111" s="26"/>
      <c r="E111" s="25"/>
      <c r="F111" s="7" t="str">
        <f aca="false">IF(E111="","",IFERROR(INDEX(코드관리!$C$7:$C$66,MATCH(E111,코드관리!$B$7:$B$66,0)),"미등록 코드"))</f>
        <v/>
      </c>
      <c r="G111" s="25"/>
      <c r="H111" s="25"/>
      <c r="I111" s="24"/>
      <c r="J111" s="26"/>
      <c r="K111" s="27"/>
      <c r="L111" s="26"/>
      <c r="M111" s="8" t="str">
        <f aca="false">IF(K111="","",IF(J111="USD",ROUND(K111*설정!$C$4,0),K111))</f>
        <v/>
      </c>
      <c r="N111" s="8" t="str">
        <f aca="false">IF(M111="","",IF(AND(I111="과세",L111="VAT포함"),ROUND(M111/(1+설정!$C$5),0),M111))</f>
        <v/>
      </c>
      <c r="O111" s="8" t="str">
        <f aca="false">IF(M111="","",IF(I111="과세",IF(L111="VAT포함",M111-N111,ROUND(N111*설정!$C$5,0)),0))</f>
        <v/>
      </c>
      <c r="P111" s="8" t="str">
        <f aca="false">IF(M111="","",N111+O111)</f>
        <v/>
      </c>
      <c r="Q111" s="26"/>
      <c r="R111" s="8" t="str">
        <f aca="false">IF(OR(M111="",Q111&lt;&gt;"Y"),"",ROUND(N111*설정!$C$5,0))</f>
        <v/>
      </c>
      <c r="S111" s="25"/>
    </row>
    <row r="112" customFormat="false" ht="15" hidden="false" customHeight="false" outlineLevel="0" collapsed="false">
      <c r="A112" s="21" t="str">
        <f aca="false">IF(C112="","",COUNTA($C$5:C112))</f>
        <v/>
      </c>
      <c r="B112" s="22"/>
      <c r="C112" s="23"/>
      <c r="D112" s="26"/>
      <c r="E112" s="25"/>
      <c r="F112" s="7" t="str">
        <f aca="false">IF(E112="","",IFERROR(INDEX(코드관리!$C$7:$C$66,MATCH(E112,코드관리!$B$7:$B$66,0)),"미등록 코드"))</f>
        <v/>
      </c>
      <c r="G112" s="25"/>
      <c r="H112" s="25"/>
      <c r="I112" s="24"/>
      <c r="J112" s="26"/>
      <c r="K112" s="27"/>
      <c r="L112" s="26"/>
      <c r="M112" s="8" t="str">
        <f aca="false">IF(K112="","",IF(J112="USD",ROUND(K112*설정!$C$4,0),K112))</f>
        <v/>
      </c>
      <c r="N112" s="8" t="str">
        <f aca="false">IF(M112="","",IF(AND(I112="과세",L112="VAT포함"),ROUND(M112/(1+설정!$C$5),0),M112))</f>
        <v/>
      </c>
      <c r="O112" s="8" t="str">
        <f aca="false">IF(M112="","",IF(I112="과세",IF(L112="VAT포함",M112-N112,ROUND(N112*설정!$C$5,0)),0))</f>
        <v/>
      </c>
      <c r="P112" s="8" t="str">
        <f aca="false">IF(M112="","",N112+O112)</f>
        <v/>
      </c>
      <c r="Q112" s="26"/>
      <c r="R112" s="8" t="str">
        <f aca="false">IF(OR(M112="",Q112&lt;&gt;"Y"),"",ROUND(N112*설정!$C$5,0))</f>
        <v/>
      </c>
      <c r="S112" s="25"/>
    </row>
    <row r="113" customFormat="false" ht="15" hidden="false" customHeight="false" outlineLevel="0" collapsed="false">
      <c r="A113" s="21" t="str">
        <f aca="false">IF(C113="","",COUNTA($C$5:C113))</f>
        <v/>
      </c>
      <c r="B113" s="22"/>
      <c r="C113" s="23"/>
      <c r="D113" s="26"/>
      <c r="E113" s="25"/>
      <c r="F113" s="7" t="str">
        <f aca="false">IF(E113="","",IFERROR(INDEX(코드관리!$C$7:$C$66,MATCH(E113,코드관리!$B$7:$B$66,0)),"미등록 코드"))</f>
        <v/>
      </c>
      <c r="G113" s="25"/>
      <c r="H113" s="25"/>
      <c r="I113" s="24"/>
      <c r="J113" s="26"/>
      <c r="K113" s="27"/>
      <c r="L113" s="26"/>
      <c r="M113" s="8" t="str">
        <f aca="false">IF(K113="","",IF(J113="USD",ROUND(K113*설정!$C$4,0),K113))</f>
        <v/>
      </c>
      <c r="N113" s="8" t="str">
        <f aca="false">IF(M113="","",IF(AND(I113="과세",L113="VAT포함"),ROUND(M113/(1+설정!$C$5),0),M113))</f>
        <v/>
      </c>
      <c r="O113" s="8" t="str">
        <f aca="false">IF(M113="","",IF(I113="과세",IF(L113="VAT포함",M113-N113,ROUND(N113*설정!$C$5,0)),0))</f>
        <v/>
      </c>
      <c r="P113" s="8" t="str">
        <f aca="false">IF(M113="","",N113+O113)</f>
        <v/>
      </c>
      <c r="Q113" s="26"/>
      <c r="R113" s="8" t="str">
        <f aca="false">IF(OR(M113="",Q113&lt;&gt;"Y"),"",ROUND(N113*설정!$C$5,0))</f>
        <v/>
      </c>
      <c r="S113" s="25"/>
    </row>
    <row r="114" customFormat="false" ht="15" hidden="false" customHeight="false" outlineLevel="0" collapsed="false">
      <c r="A114" s="21" t="str">
        <f aca="false">IF(C114="","",COUNTA($C$5:C114))</f>
        <v/>
      </c>
      <c r="B114" s="22"/>
      <c r="C114" s="23"/>
      <c r="D114" s="26"/>
      <c r="E114" s="25"/>
      <c r="F114" s="7" t="str">
        <f aca="false">IF(E114="","",IFERROR(INDEX(코드관리!$C$7:$C$66,MATCH(E114,코드관리!$B$7:$B$66,0)),"미등록 코드"))</f>
        <v/>
      </c>
      <c r="G114" s="25"/>
      <c r="H114" s="25"/>
      <c r="I114" s="24"/>
      <c r="J114" s="26"/>
      <c r="K114" s="27"/>
      <c r="L114" s="26"/>
      <c r="M114" s="8" t="str">
        <f aca="false">IF(K114="","",IF(J114="USD",ROUND(K114*설정!$C$4,0),K114))</f>
        <v/>
      </c>
      <c r="N114" s="8" t="str">
        <f aca="false">IF(M114="","",IF(AND(I114="과세",L114="VAT포함"),ROUND(M114/(1+설정!$C$5),0),M114))</f>
        <v/>
      </c>
      <c r="O114" s="8" t="str">
        <f aca="false">IF(M114="","",IF(I114="과세",IF(L114="VAT포함",M114-N114,ROUND(N114*설정!$C$5,0)),0))</f>
        <v/>
      </c>
      <c r="P114" s="8" t="str">
        <f aca="false">IF(M114="","",N114+O114)</f>
        <v/>
      </c>
      <c r="Q114" s="26"/>
      <c r="R114" s="8" t="str">
        <f aca="false">IF(OR(M114="",Q114&lt;&gt;"Y"),"",ROUND(N114*설정!$C$5,0))</f>
        <v/>
      </c>
      <c r="S114" s="25"/>
    </row>
    <row r="115" customFormat="false" ht="15" hidden="false" customHeight="false" outlineLevel="0" collapsed="false">
      <c r="A115" s="21" t="str">
        <f aca="false">IF(C115="","",COUNTA($C$5:C115))</f>
        <v/>
      </c>
      <c r="B115" s="22"/>
      <c r="C115" s="23"/>
      <c r="D115" s="26"/>
      <c r="E115" s="25"/>
      <c r="F115" s="7" t="str">
        <f aca="false">IF(E115="","",IFERROR(INDEX(코드관리!$C$7:$C$66,MATCH(E115,코드관리!$B$7:$B$66,0)),"미등록 코드"))</f>
        <v/>
      </c>
      <c r="G115" s="25"/>
      <c r="H115" s="25"/>
      <c r="I115" s="24"/>
      <c r="J115" s="26"/>
      <c r="K115" s="27"/>
      <c r="L115" s="26"/>
      <c r="M115" s="8" t="str">
        <f aca="false">IF(K115="","",IF(J115="USD",ROUND(K115*설정!$C$4,0),K115))</f>
        <v/>
      </c>
      <c r="N115" s="8" t="str">
        <f aca="false">IF(M115="","",IF(AND(I115="과세",L115="VAT포함"),ROUND(M115/(1+설정!$C$5),0),M115))</f>
        <v/>
      </c>
      <c r="O115" s="8" t="str">
        <f aca="false">IF(M115="","",IF(I115="과세",IF(L115="VAT포함",M115-N115,ROUND(N115*설정!$C$5,0)),0))</f>
        <v/>
      </c>
      <c r="P115" s="8" t="str">
        <f aca="false">IF(M115="","",N115+O115)</f>
        <v/>
      </c>
      <c r="Q115" s="26"/>
      <c r="R115" s="8" t="str">
        <f aca="false">IF(OR(M115="",Q115&lt;&gt;"Y"),"",ROUND(N115*설정!$C$5,0))</f>
        <v/>
      </c>
      <c r="S115" s="25"/>
    </row>
    <row r="116" customFormat="false" ht="15" hidden="false" customHeight="false" outlineLevel="0" collapsed="false">
      <c r="A116" s="21" t="str">
        <f aca="false">IF(C116="","",COUNTA($C$5:C116))</f>
        <v/>
      </c>
      <c r="B116" s="22"/>
      <c r="C116" s="23"/>
      <c r="D116" s="26"/>
      <c r="E116" s="25"/>
      <c r="F116" s="7" t="str">
        <f aca="false">IF(E116="","",IFERROR(INDEX(코드관리!$C$7:$C$66,MATCH(E116,코드관리!$B$7:$B$66,0)),"미등록 코드"))</f>
        <v/>
      </c>
      <c r="G116" s="25"/>
      <c r="H116" s="25"/>
      <c r="I116" s="24"/>
      <c r="J116" s="26"/>
      <c r="K116" s="27"/>
      <c r="L116" s="26"/>
      <c r="M116" s="8" t="str">
        <f aca="false">IF(K116="","",IF(J116="USD",ROUND(K116*설정!$C$4,0),K116))</f>
        <v/>
      </c>
      <c r="N116" s="8" t="str">
        <f aca="false">IF(M116="","",IF(AND(I116="과세",L116="VAT포함"),ROUND(M116/(1+설정!$C$5),0),M116))</f>
        <v/>
      </c>
      <c r="O116" s="8" t="str">
        <f aca="false">IF(M116="","",IF(I116="과세",IF(L116="VAT포함",M116-N116,ROUND(N116*설정!$C$5,0)),0))</f>
        <v/>
      </c>
      <c r="P116" s="8" t="str">
        <f aca="false">IF(M116="","",N116+O116)</f>
        <v/>
      </c>
      <c r="Q116" s="26"/>
      <c r="R116" s="8" t="str">
        <f aca="false">IF(OR(M116="",Q116&lt;&gt;"Y"),"",ROUND(N116*설정!$C$5,0))</f>
        <v/>
      </c>
      <c r="S116" s="25"/>
    </row>
    <row r="117" customFormat="false" ht="15" hidden="false" customHeight="false" outlineLevel="0" collapsed="false">
      <c r="A117" s="21" t="str">
        <f aca="false">IF(C117="","",COUNTA($C$5:C117))</f>
        <v/>
      </c>
      <c r="B117" s="22"/>
      <c r="C117" s="23"/>
      <c r="D117" s="26"/>
      <c r="E117" s="25"/>
      <c r="F117" s="7" t="str">
        <f aca="false">IF(E117="","",IFERROR(INDEX(코드관리!$C$7:$C$66,MATCH(E117,코드관리!$B$7:$B$66,0)),"미등록 코드"))</f>
        <v/>
      </c>
      <c r="G117" s="25"/>
      <c r="H117" s="25"/>
      <c r="I117" s="24"/>
      <c r="J117" s="26"/>
      <c r="K117" s="27"/>
      <c r="L117" s="26"/>
      <c r="M117" s="8" t="str">
        <f aca="false">IF(K117="","",IF(J117="USD",ROUND(K117*설정!$C$4,0),K117))</f>
        <v/>
      </c>
      <c r="N117" s="8" t="str">
        <f aca="false">IF(M117="","",IF(AND(I117="과세",L117="VAT포함"),ROUND(M117/(1+설정!$C$5),0),M117))</f>
        <v/>
      </c>
      <c r="O117" s="8" t="str">
        <f aca="false">IF(M117="","",IF(I117="과세",IF(L117="VAT포함",M117-N117,ROUND(N117*설정!$C$5,0)),0))</f>
        <v/>
      </c>
      <c r="P117" s="8" t="str">
        <f aca="false">IF(M117="","",N117+O117)</f>
        <v/>
      </c>
      <c r="Q117" s="26"/>
      <c r="R117" s="8" t="str">
        <f aca="false">IF(OR(M117="",Q117&lt;&gt;"Y"),"",ROUND(N117*설정!$C$5,0))</f>
        <v/>
      </c>
      <c r="S117" s="25"/>
    </row>
    <row r="118" customFormat="false" ht="15" hidden="false" customHeight="false" outlineLevel="0" collapsed="false">
      <c r="A118" s="21" t="str">
        <f aca="false">IF(C118="","",COUNTA($C$5:C118))</f>
        <v/>
      </c>
      <c r="B118" s="22"/>
      <c r="C118" s="23"/>
      <c r="D118" s="26"/>
      <c r="E118" s="25"/>
      <c r="F118" s="7" t="str">
        <f aca="false">IF(E118="","",IFERROR(INDEX(코드관리!$C$7:$C$66,MATCH(E118,코드관리!$B$7:$B$66,0)),"미등록 코드"))</f>
        <v/>
      </c>
      <c r="G118" s="25"/>
      <c r="H118" s="25"/>
      <c r="I118" s="24"/>
      <c r="J118" s="26"/>
      <c r="K118" s="27"/>
      <c r="L118" s="26"/>
      <c r="M118" s="8" t="str">
        <f aca="false">IF(K118="","",IF(J118="USD",ROUND(K118*설정!$C$4,0),K118))</f>
        <v/>
      </c>
      <c r="N118" s="8" t="str">
        <f aca="false">IF(M118="","",IF(AND(I118="과세",L118="VAT포함"),ROUND(M118/(1+설정!$C$5),0),M118))</f>
        <v/>
      </c>
      <c r="O118" s="8" t="str">
        <f aca="false">IF(M118="","",IF(I118="과세",IF(L118="VAT포함",M118-N118,ROUND(N118*설정!$C$5,0)),0))</f>
        <v/>
      </c>
      <c r="P118" s="8" t="str">
        <f aca="false">IF(M118="","",N118+O118)</f>
        <v/>
      </c>
      <c r="Q118" s="26"/>
      <c r="R118" s="8" t="str">
        <f aca="false">IF(OR(M118="",Q118&lt;&gt;"Y"),"",ROUND(N118*설정!$C$5,0))</f>
        <v/>
      </c>
      <c r="S118" s="25"/>
    </row>
    <row r="119" customFormat="false" ht="15" hidden="false" customHeight="false" outlineLevel="0" collapsed="false">
      <c r="A119" s="21" t="str">
        <f aca="false">IF(C119="","",COUNTA($C$5:C119))</f>
        <v/>
      </c>
      <c r="B119" s="22"/>
      <c r="C119" s="23"/>
      <c r="D119" s="26"/>
      <c r="E119" s="25"/>
      <c r="F119" s="7" t="str">
        <f aca="false">IF(E119="","",IFERROR(INDEX(코드관리!$C$7:$C$66,MATCH(E119,코드관리!$B$7:$B$66,0)),"미등록 코드"))</f>
        <v/>
      </c>
      <c r="G119" s="25"/>
      <c r="H119" s="25"/>
      <c r="I119" s="24"/>
      <c r="J119" s="26"/>
      <c r="K119" s="27"/>
      <c r="L119" s="26"/>
      <c r="M119" s="8" t="str">
        <f aca="false">IF(K119="","",IF(J119="USD",ROUND(K119*설정!$C$4,0),K119))</f>
        <v/>
      </c>
      <c r="N119" s="8" t="str">
        <f aca="false">IF(M119="","",IF(AND(I119="과세",L119="VAT포함"),ROUND(M119/(1+설정!$C$5),0),M119))</f>
        <v/>
      </c>
      <c r="O119" s="8" t="str">
        <f aca="false">IF(M119="","",IF(I119="과세",IF(L119="VAT포함",M119-N119,ROUND(N119*설정!$C$5,0)),0))</f>
        <v/>
      </c>
      <c r="P119" s="8" t="str">
        <f aca="false">IF(M119="","",N119+O119)</f>
        <v/>
      </c>
      <c r="Q119" s="26"/>
      <c r="R119" s="8" t="str">
        <f aca="false">IF(OR(M119="",Q119&lt;&gt;"Y"),"",ROUND(N119*설정!$C$5,0))</f>
        <v/>
      </c>
      <c r="S119" s="25"/>
    </row>
    <row r="120" customFormat="false" ht="15" hidden="false" customHeight="false" outlineLevel="0" collapsed="false">
      <c r="A120" s="21" t="str">
        <f aca="false">IF(C120="","",COUNTA($C$5:C120))</f>
        <v/>
      </c>
      <c r="B120" s="22"/>
      <c r="C120" s="23"/>
      <c r="D120" s="26"/>
      <c r="E120" s="25"/>
      <c r="F120" s="7" t="str">
        <f aca="false">IF(E120="","",IFERROR(INDEX(코드관리!$C$7:$C$66,MATCH(E120,코드관리!$B$7:$B$66,0)),"미등록 코드"))</f>
        <v/>
      </c>
      <c r="G120" s="25"/>
      <c r="H120" s="25"/>
      <c r="I120" s="24"/>
      <c r="J120" s="26"/>
      <c r="K120" s="27"/>
      <c r="L120" s="26"/>
      <c r="M120" s="8" t="str">
        <f aca="false">IF(K120="","",IF(J120="USD",ROUND(K120*설정!$C$4,0),K120))</f>
        <v/>
      </c>
      <c r="N120" s="8" t="str">
        <f aca="false">IF(M120="","",IF(AND(I120="과세",L120="VAT포함"),ROUND(M120/(1+설정!$C$5),0),M120))</f>
        <v/>
      </c>
      <c r="O120" s="8" t="str">
        <f aca="false">IF(M120="","",IF(I120="과세",IF(L120="VAT포함",M120-N120,ROUND(N120*설정!$C$5,0)),0))</f>
        <v/>
      </c>
      <c r="P120" s="8" t="str">
        <f aca="false">IF(M120="","",N120+O120)</f>
        <v/>
      </c>
      <c r="Q120" s="26"/>
      <c r="R120" s="8" t="str">
        <f aca="false">IF(OR(M120="",Q120&lt;&gt;"Y"),"",ROUND(N120*설정!$C$5,0))</f>
        <v/>
      </c>
      <c r="S120" s="25"/>
    </row>
    <row r="121" customFormat="false" ht="15" hidden="false" customHeight="false" outlineLevel="0" collapsed="false">
      <c r="A121" s="21" t="str">
        <f aca="false">IF(C121="","",COUNTA($C$5:C121))</f>
        <v/>
      </c>
      <c r="B121" s="22"/>
      <c r="C121" s="23"/>
      <c r="D121" s="26"/>
      <c r="E121" s="25"/>
      <c r="F121" s="7" t="str">
        <f aca="false">IF(E121="","",IFERROR(INDEX(코드관리!$C$7:$C$66,MATCH(E121,코드관리!$B$7:$B$66,0)),"미등록 코드"))</f>
        <v/>
      </c>
      <c r="G121" s="25"/>
      <c r="H121" s="25"/>
      <c r="I121" s="24"/>
      <c r="J121" s="26"/>
      <c r="K121" s="27"/>
      <c r="L121" s="26"/>
      <c r="M121" s="8" t="str">
        <f aca="false">IF(K121="","",IF(J121="USD",ROUND(K121*설정!$C$4,0),K121))</f>
        <v/>
      </c>
      <c r="N121" s="8" t="str">
        <f aca="false">IF(M121="","",IF(AND(I121="과세",L121="VAT포함"),ROUND(M121/(1+설정!$C$5),0),M121))</f>
        <v/>
      </c>
      <c r="O121" s="8" t="str">
        <f aca="false">IF(M121="","",IF(I121="과세",IF(L121="VAT포함",M121-N121,ROUND(N121*설정!$C$5,0)),0))</f>
        <v/>
      </c>
      <c r="P121" s="8" t="str">
        <f aca="false">IF(M121="","",N121+O121)</f>
        <v/>
      </c>
      <c r="Q121" s="26"/>
      <c r="R121" s="8" t="str">
        <f aca="false">IF(OR(M121="",Q121&lt;&gt;"Y"),"",ROUND(N121*설정!$C$5,0))</f>
        <v/>
      </c>
      <c r="S121" s="25"/>
    </row>
    <row r="122" customFormat="false" ht="15" hidden="false" customHeight="false" outlineLevel="0" collapsed="false">
      <c r="A122" s="21" t="str">
        <f aca="false">IF(C122="","",COUNTA($C$5:C122))</f>
        <v/>
      </c>
      <c r="B122" s="22"/>
      <c r="C122" s="23"/>
      <c r="D122" s="26"/>
      <c r="E122" s="25"/>
      <c r="F122" s="7" t="str">
        <f aca="false">IF(E122="","",IFERROR(INDEX(코드관리!$C$7:$C$66,MATCH(E122,코드관리!$B$7:$B$66,0)),"미등록 코드"))</f>
        <v/>
      </c>
      <c r="G122" s="25"/>
      <c r="H122" s="25"/>
      <c r="I122" s="24"/>
      <c r="J122" s="26"/>
      <c r="K122" s="27"/>
      <c r="L122" s="26"/>
      <c r="M122" s="8" t="str">
        <f aca="false">IF(K122="","",IF(J122="USD",ROUND(K122*설정!$C$4,0),K122))</f>
        <v/>
      </c>
      <c r="N122" s="8" t="str">
        <f aca="false">IF(M122="","",IF(AND(I122="과세",L122="VAT포함"),ROUND(M122/(1+설정!$C$5),0),M122))</f>
        <v/>
      </c>
      <c r="O122" s="8" t="str">
        <f aca="false">IF(M122="","",IF(I122="과세",IF(L122="VAT포함",M122-N122,ROUND(N122*설정!$C$5,0)),0))</f>
        <v/>
      </c>
      <c r="P122" s="8" t="str">
        <f aca="false">IF(M122="","",N122+O122)</f>
        <v/>
      </c>
      <c r="Q122" s="26"/>
      <c r="R122" s="8" t="str">
        <f aca="false">IF(OR(M122="",Q122&lt;&gt;"Y"),"",ROUND(N122*설정!$C$5,0))</f>
        <v/>
      </c>
      <c r="S122" s="25"/>
    </row>
    <row r="123" customFormat="false" ht="15" hidden="false" customHeight="false" outlineLevel="0" collapsed="false">
      <c r="A123" s="21" t="str">
        <f aca="false">IF(C123="","",COUNTA($C$5:C123))</f>
        <v/>
      </c>
      <c r="B123" s="22"/>
      <c r="C123" s="23"/>
      <c r="D123" s="26"/>
      <c r="E123" s="25"/>
      <c r="F123" s="7" t="str">
        <f aca="false">IF(E123="","",IFERROR(INDEX(코드관리!$C$7:$C$66,MATCH(E123,코드관리!$B$7:$B$66,0)),"미등록 코드"))</f>
        <v/>
      </c>
      <c r="G123" s="25"/>
      <c r="H123" s="25"/>
      <c r="I123" s="24"/>
      <c r="J123" s="26"/>
      <c r="K123" s="27"/>
      <c r="L123" s="26"/>
      <c r="M123" s="8" t="str">
        <f aca="false">IF(K123="","",IF(J123="USD",ROUND(K123*설정!$C$4,0),K123))</f>
        <v/>
      </c>
      <c r="N123" s="8" t="str">
        <f aca="false">IF(M123="","",IF(AND(I123="과세",L123="VAT포함"),ROUND(M123/(1+설정!$C$5),0),M123))</f>
        <v/>
      </c>
      <c r="O123" s="8" t="str">
        <f aca="false">IF(M123="","",IF(I123="과세",IF(L123="VAT포함",M123-N123,ROUND(N123*설정!$C$5,0)),0))</f>
        <v/>
      </c>
      <c r="P123" s="8" t="str">
        <f aca="false">IF(M123="","",N123+O123)</f>
        <v/>
      </c>
      <c r="Q123" s="26"/>
      <c r="R123" s="8" t="str">
        <f aca="false">IF(OR(M123="",Q123&lt;&gt;"Y"),"",ROUND(N123*설정!$C$5,0))</f>
        <v/>
      </c>
      <c r="S123" s="25"/>
    </row>
    <row r="124" customFormat="false" ht="15" hidden="false" customHeight="false" outlineLevel="0" collapsed="false">
      <c r="A124" s="21" t="str">
        <f aca="false">IF(C124="","",COUNTA($C$5:C124))</f>
        <v/>
      </c>
      <c r="B124" s="22"/>
      <c r="C124" s="23"/>
      <c r="D124" s="26"/>
      <c r="E124" s="25"/>
      <c r="F124" s="7" t="str">
        <f aca="false">IF(E124="","",IFERROR(INDEX(코드관리!$C$7:$C$66,MATCH(E124,코드관리!$B$7:$B$66,0)),"미등록 코드"))</f>
        <v/>
      </c>
      <c r="G124" s="25"/>
      <c r="H124" s="25"/>
      <c r="I124" s="24"/>
      <c r="J124" s="26"/>
      <c r="K124" s="27"/>
      <c r="L124" s="26"/>
      <c r="M124" s="8" t="str">
        <f aca="false">IF(K124="","",IF(J124="USD",ROUND(K124*설정!$C$4,0),K124))</f>
        <v/>
      </c>
      <c r="N124" s="8" t="str">
        <f aca="false">IF(M124="","",IF(AND(I124="과세",L124="VAT포함"),ROUND(M124/(1+설정!$C$5),0),M124))</f>
        <v/>
      </c>
      <c r="O124" s="8" t="str">
        <f aca="false">IF(M124="","",IF(I124="과세",IF(L124="VAT포함",M124-N124,ROUND(N124*설정!$C$5,0)),0))</f>
        <v/>
      </c>
      <c r="P124" s="8" t="str">
        <f aca="false">IF(M124="","",N124+O124)</f>
        <v/>
      </c>
      <c r="Q124" s="26"/>
      <c r="R124" s="8" t="str">
        <f aca="false">IF(OR(M124="",Q124&lt;&gt;"Y"),"",ROUND(N124*설정!$C$5,0))</f>
        <v/>
      </c>
      <c r="S124" s="25"/>
    </row>
    <row r="125" customFormat="false" ht="15" hidden="false" customHeight="false" outlineLevel="0" collapsed="false">
      <c r="A125" s="21" t="str">
        <f aca="false">IF(C125="","",COUNTA($C$5:C125))</f>
        <v/>
      </c>
      <c r="B125" s="22"/>
      <c r="C125" s="23"/>
      <c r="D125" s="26"/>
      <c r="E125" s="25"/>
      <c r="F125" s="7" t="str">
        <f aca="false">IF(E125="","",IFERROR(INDEX(코드관리!$C$7:$C$66,MATCH(E125,코드관리!$B$7:$B$66,0)),"미등록 코드"))</f>
        <v/>
      </c>
      <c r="G125" s="25"/>
      <c r="H125" s="25"/>
      <c r="I125" s="24"/>
      <c r="J125" s="26"/>
      <c r="K125" s="27"/>
      <c r="L125" s="26"/>
      <c r="M125" s="8" t="str">
        <f aca="false">IF(K125="","",IF(J125="USD",ROUND(K125*설정!$C$4,0),K125))</f>
        <v/>
      </c>
      <c r="N125" s="8" t="str">
        <f aca="false">IF(M125="","",IF(AND(I125="과세",L125="VAT포함"),ROUND(M125/(1+설정!$C$5),0),M125))</f>
        <v/>
      </c>
      <c r="O125" s="8" t="str">
        <f aca="false">IF(M125="","",IF(I125="과세",IF(L125="VAT포함",M125-N125,ROUND(N125*설정!$C$5,0)),0))</f>
        <v/>
      </c>
      <c r="P125" s="8" t="str">
        <f aca="false">IF(M125="","",N125+O125)</f>
        <v/>
      </c>
      <c r="Q125" s="26"/>
      <c r="R125" s="8" t="str">
        <f aca="false">IF(OR(M125="",Q125&lt;&gt;"Y"),"",ROUND(N125*설정!$C$5,0))</f>
        <v/>
      </c>
      <c r="S125" s="25"/>
    </row>
    <row r="126" customFormat="false" ht="15" hidden="false" customHeight="false" outlineLevel="0" collapsed="false">
      <c r="A126" s="21" t="str">
        <f aca="false">IF(C126="","",COUNTA($C$5:C126))</f>
        <v/>
      </c>
      <c r="B126" s="22"/>
      <c r="C126" s="23"/>
      <c r="D126" s="26"/>
      <c r="E126" s="25"/>
      <c r="F126" s="7" t="str">
        <f aca="false">IF(E126="","",IFERROR(INDEX(코드관리!$C$7:$C$66,MATCH(E126,코드관리!$B$7:$B$66,0)),"미등록 코드"))</f>
        <v/>
      </c>
      <c r="G126" s="25"/>
      <c r="H126" s="25"/>
      <c r="I126" s="24"/>
      <c r="J126" s="26"/>
      <c r="K126" s="27"/>
      <c r="L126" s="26"/>
      <c r="M126" s="8" t="str">
        <f aca="false">IF(K126="","",IF(J126="USD",ROUND(K126*설정!$C$4,0),K126))</f>
        <v/>
      </c>
      <c r="N126" s="8" t="str">
        <f aca="false">IF(M126="","",IF(AND(I126="과세",L126="VAT포함"),ROUND(M126/(1+설정!$C$5),0),M126))</f>
        <v/>
      </c>
      <c r="O126" s="8" t="str">
        <f aca="false">IF(M126="","",IF(I126="과세",IF(L126="VAT포함",M126-N126,ROUND(N126*설정!$C$5,0)),0))</f>
        <v/>
      </c>
      <c r="P126" s="8" t="str">
        <f aca="false">IF(M126="","",N126+O126)</f>
        <v/>
      </c>
      <c r="Q126" s="26"/>
      <c r="R126" s="8" t="str">
        <f aca="false">IF(OR(M126="",Q126&lt;&gt;"Y"),"",ROUND(N126*설정!$C$5,0))</f>
        <v/>
      </c>
      <c r="S126" s="25"/>
    </row>
    <row r="127" customFormat="false" ht="15" hidden="false" customHeight="false" outlineLevel="0" collapsed="false">
      <c r="A127" s="21" t="str">
        <f aca="false">IF(C127="","",COUNTA($C$5:C127))</f>
        <v/>
      </c>
      <c r="B127" s="22"/>
      <c r="C127" s="23"/>
      <c r="D127" s="26"/>
      <c r="E127" s="25"/>
      <c r="F127" s="7" t="str">
        <f aca="false">IF(E127="","",IFERROR(INDEX(코드관리!$C$7:$C$66,MATCH(E127,코드관리!$B$7:$B$66,0)),"미등록 코드"))</f>
        <v/>
      </c>
      <c r="G127" s="25"/>
      <c r="H127" s="25"/>
      <c r="I127" s="24"/>
      <c r="J127" s="26"/>
      <c r="K127" s="27"/>
      <c r="L127" s="26"/>
      <c r="M127" s="8" t="str">
        <f aca="false">IF(K127="","",IF(J127="USD",ROUND(K127*설정!$C$4,0),K127))</f>
        <v/>
      </c>
      <c r="N127" s="8" t="str">
        <f aca="false">IF(M127="","",IF(AND(I127="과세",L127="VAT포함"),ROUND(M127/(1+설정!$C$5),0),M127))</f>
        <v/>
      </c>
      <c r="O127" s="8" t="str">
        <f aca="false">IF(M127="","",IF(I127="과세",IF(L127="VAT포함",M127-N127,ROUND(N127*설정!$C$5,0)),0))</f>
        <v/>
      </c>
      <c r="P127" s="8" t="str">
        <f aca="false">IF(M127="","",N127+O127)</f>
        <v/>
      </c>
      <c r="Q127" s="26"/>
      <c r="R127" s="8" t="str">
        <f aca="false">IF(OR(M127="",Q127&lt;&gt;"Y"),"",ROUND(N127*설정!$C$5,0))</f>
        <v/>
      </c>
      <c r="S127" s="25"/>
    </row>
    <row r="128" customFormat="false" ht="15" hidden="false" customHeight="false" outlineLevel="0" collapsed="false">
      <c r="A128" s="21" t="str">
        <f aca="false">IF(C128="","",COUNTA($C$5:C128))</f>
        <v/>
      </c>
      <c r="B128" s="22"/>
      <c r="C128" s="23"/>
      <c r="D128" s="26"/>
      <c r="E128" s="25"/>
      <c r="F128" s="7" t="str">
        <f aca="false">IF(E128="","",IFERROR(INDEX(코드관리!$C$7:$C$66,MATCH(E128,코드관리!$B$7:$B$66,0)),"미등록 코드"))</f>
        <v/>
      </c>
      <c r="G128" s="25"/>
      <c r="H128" s="25"/>
      <c r="I128" s="24"/>
      <c r="J128" s="26"/>
      <c r="K128" s="27"/>
      <c r="L128" s="26"/>
      <c r="M128" s="8" t="str">
        <f aca="false">IF(K128="","",IF(J128="USD",ROUND(K128*설정!$C$4,0),K128))</f>
        <v/>
      </c>
      <c r="N128" s="8" t="str">
        <f aca="false">IF(M128="","",IF(AND(I128="과세",L128="VAT포함"),ROUND(M128/(1+설정!$C$5),0),M128))</f>
        <v/>
      </c>
      <c r="O128" s="8" t="str">
        <f aca="false">IF(M128="","",IF(I128="과세",IF(L128="VAT포함",M128-N128,ROUND(N128*설정!$C$5,0)),0))</f>
        <v/>
      </c>
      <c r="P128" s="8" t="str">
        <f aca="false">IF(M128="","",N128+O128)</f>
        <v/>
      </c>
      <c r="Q128" s="26"/>
      <c r="R128" s="8" t="str">
        <f aca="false">IF(OR(M128="",Q128&lt;&gt;"Y"),"",ROUND(N128*설정!$C$5,0))</f>
        <v/>
      </c>
      <c r="S128" s="25"/>
    </row>
    <row r="129" customFormat="false" ht="15" hidden="false" customHeight="false" outlineLevel="0" collapsed="false">
      <c r="A129" s="21" t="str">
        <f aca="false">IF(C129="","",COUNTA($C$5:C129))</f>
        <v/>
      </c>
      <c r="B129" s="22"/>
      <c r="C129" s="23"/>
      <c r="D129" s="26"/>
      <c r="E129" s="25"/>
      <c r="F129" s="7" t="str">
        <f aca="false">IF(E129="","",IFERROR(INDEX(코드관리!$C$7:$C$66,MATCH(E129,코드관리!$B$7:$B$66,0)),"미등록 코드"))</f>
        <v/>
      </c>
      <c r="G129" s="25"/>
      <c r="H129" s="25"/>
      <c r="I129" s="24"/>
      <c r="J129" s="26"/>
      <c r="K129" s="27"/>
      <c r="L129" s="26"/>
      <c r="M129" s="8" t="str">
        <f aca="false">IF(K129="","",IF(J129="USD",ROUND(K129*설정!$C$4,0),K129))</f>
        <v/>
      </c>
      <c r="N129" s="8" t="str">
        <f aca="false">IF(M129="","",IF(AND(I129="과세",L129="VAT포함"),ROUND(M129/(1+설정!$C$5),0),M129))</f>
        <v/>
      </c>
      <c r="O129" s="8" t="str">
        <f aca="false">IF(M129="","",IF(I129="과세",IF(L129="VAT포함",M129-N129,ROUND(N129*설정!$C$5,0)),0))</f>
        <v/>
      </c>
      <c r="P129" s="8" t="str">
        <f aca="false">IF(M129="","",N129+O129)</f>
        <v/>
      </c>
      <c r="Q129" s="26"/>
      <c r="R129" s="8" t="str">
        <f aca="false">IF(OR(M129="",Q129&lt;&gt;"Y"),"",ROUND(N129*설정!$C$5,0))</f>
        <v/>
      </c>
      <c r="S129" s="25"/>
    </row>
    <row r="130" customFormat="false" ht="15" hidden="false" customHeight="false" outlineLevel="0" collapsed="false">
      <c r="A130" s="21" t="str">
        <f aca="false">IF(C130="","",COUNTA($C$5:C130))</f>
        <v/>
      </c>
      <c r="B130" s="22"/>
      <c r="C130" s="23"/>
      <c r="D130" s="26"/>
      <c r="E130" s="25"/>
      <c r="F130" s="7" t="str">
        <f aca="false">IF(E130="","",IFERROR(INDEX(코드관리!$C$7:$C$66,MATCH(E130,코드관리!$B$7:$B$66,0)),"미등록 코드"))</f>
        <v/>
      </c>
      <c r="G130" s="25"/>
      <c r="H130" s="25"/>
      <c r="I130" s="24"/>
      <c r="J130" s="26"/>
      <c r="K130" s="27"/>
      <c r="L130" s="26"/>
      <c r="M130" s="8" t="str">
        <f aca="false">IF(K130="","",IF(J130="USD",ROUND(K130*설정!$C$4,0),K130))</f>
        <v/>
      </c>
      <c r="N130" s="8" t="str">
        <f aca="false">IF(M130="","",IF(AND(I130="과세",L130="VAT포함"),ROUND(M130/(1+설정!$C$5),0),M130))</f>
        <v/>
      </c>
      <c r="O130" s="8" t="str">
        <f aca="false">IF(M130="","",IF(I130="과세",IF(L130="VAT포함",M130-N130,ROUND(N130*설정!$C$5,0)),0))</f>
        <v/>
      </c>
      <c r="P130" s="8" t="str">
        <f aca="false">IF(M130="","",N130+O130)</f>
        <v/>
      </c>
      <c r="Q130" s="26"/>
      <c r="R130" s="8" t="str">
        <f aca="false">IF(OR(M130="",Q130&lt;&gt;"Y"),"",ROUND(N130*설정!$C$5,0))</f>
        <v/>
      </c>
      <c r="S130" s="25"/>
    </row>
    <row r="131" customFormat="false" ht="15" hidden="false" customHeight="false" outlineLevel="0" collapsed="false">
      <c r="A131" s="21" t="str">
        <f aca="false">IF(C131="","",COUNTA($C$5:C131))</f>
        <v/>
      </c>
      <c r="B131" s="22"/>
      <c r="C131" s="23"/>
      <c r="D131" s="26"/>
      <c r="E131" s="25"/>
      <c r="F131" s="7" t="str">
        <f aca="false">IF(E131="","",IFERROR(INDEX(코드관리!$C$7:$C$66,MATCH(E131,코드관리!$B$7:$B$66,0)),"미등록 코드"))</f>
        <v/>
      </c>
      <c r="G131" s="25"/>
      <c r="H131" s="25"/>
      <c r="I131" s="24"/>
      <c r="J131" s="26"/>
      <c r="K131" s="27"/>
      <c r="L131" s="26"/>
      <c r="M131" s="8" t="str">
        <f aca="false">IF(K131="","",IF(J131="USD",ROUND(K131*설정!$C$4,0),K131))</f>
        <v/>
      </c>
      <c r="N131" s="8" t="str">
        <f aca="false">IF(M131="","",IF(AND(I131="과세",L131="VAT포함"),ROUND(M131/(1+설정!$C$5),0),M131))</f>
        <v/>
      </c>
      <c r="O131" s="8" t="str">
        <f aca="false">IF(M131="","",IF(I131="과세",IF(L131="VAT포함",M131-N131,ROUND(N131*설정!$C$5,0)),0))</f>
        <v/>
      </c>
      <c r="P131" s="8" t="str">
        <f aca="false">IF(M131="","",N131+O131)</f>
        <v/>
      </c>
      <c r="Q131" s="26"/>
      <c r="R131" s="8" t="str">
        <f aca="false">IF(OR(M131="",Q131&lt;&gt;"Y"),"",ROUND(N131*설정!$C$5,0))</f>
        <v/>
      </c>
      <c r="S131" s="25"/>
    </row>
    <row r="132" customFormat="false" ht="15" hidden="false" customHeight="false" outlineLevel="0" collapsed="false">
      <c r="A132" s="21" t="str">
        <f aca="false">IF(C132="","",COUNTA($C$5:C132))</f>
        <v/>
      </c>
      <c r="B132" s="22"/>
      <c r="C132" s="23"/>
      <c r="D132" s="26"/>
      <c r="E132" s="25"/>
      <c r="F132" s="7" t="str">
        <f aca="false">IF(E132="","",IFERROR(INDEX(코드관리!$C$7:$C$66,MATCH(E132,코드관리!$B$7:$B$66,0)),"미등록 코드"))</f>
        <v/>
      </c>
      <c r="G132" s="25"/>
      <c r="H132" s="25"/>
      <c r="I132" s="24"/>
      <c r="J132" s="26"/>
      <c r="K132" s="27"/>
      <c r="L132" s="26"/>
      <c r="M132" s="8" t="str">
        <f aca="false">IF(K132="","",IF(J132="USD",ROUND(K132*설정!$C$4,0),K132))</f>
        <v/>
      </c>
      <c r="N132" s="8" t="str">
        <f aca="false">IF(M132="","",IF(AND(I132="과세",L132="VAT포함"),ROUND(M132/(1+설정!$C$5),0),M132))</f>
        <v/>
      </c>
      <c r="O132" s="8" t="str">
        <f aca="false">IF(M132="","",IF(I132="과세",IF(L132="VAT포함",M132-N132,ROUND(N132*설정!$C$5,0)),0))</f>
        <v/>
      </c>
      <c r="P132" s="8" t="str">
        <f aca="false">IF(M132="","",N132+O132)</f>
        <v/>
      </c>
      <c r="Q132" s="26"/>
      <c r="R132" s="8" t="str">
        <f aca="false">IF(OR(M132="",Q132&lt;&gt;"Y"),"",ROUND(N132*설정!$C$5,0))</f>
        <v/>
      </c>
      <c r="S132" s="25"/>
    </row>
    <row r="133" customFormat="false" ht="15" hidden="false" customHeight="false" outlineLevel="0" collapsed="false">
      <c r="A133" s="21" t="str">
        <f aca="false">IF(C133="","",COUNTA($C$5:C133))</f>
        <v/>
      </c>
      <c r="B133" s="22"/>
      <c r="C133" s="23"/>
      <c r="D133" s="26"/>
      <c r="E133" s="25"/>
      <c r="F133" s="7" t="str">
        <f aca="false">IF(E133="","",IFERROR(INDEX(코드관리!$C$7:$C$66,MATCH(E133,코드관리!$B$7:$B$66,0)),"미등록 코드"))</f>
        <v/>
      </c>
      <c r="G133" s="25"/>
      <c r="H133" s="25"/>
      <c r="I133" s="24"/>
      <c r="J133" s="26"/>
      <c r="K133" s="27"/>
      <c r="L133" s="26"/>
      <c r="M133" s="8" t="str">
        <f aca="false">IF(K133="","",IF(J133="USD",ROUND(K133*설정!$C$4,0),K133))</f>
        <v/>
      </c>
      <c r="N133" s="8" t="str">
        <f aca="false">IF(M133="","",IF(AND(I133="과세",L133="VAT포함"),ROUND(M133/(1+설정!$C$5),0),M133))</f>
        <v/>
      </c>
      <c r="O133" s="8" t="str">
        <f aca="false">IF(M133="","",IF(I133="과세",IF(L133="VAT포함",M133-N133,ROUND(N133*설정!$C$5,0)),0))</f>
        <v/>
      </c>
      <c r="P133" s="8" t="str">
        <f aca="false">IF(M133="","",N133+O133)</f>
        <v/>
      </c>
      <c r="Q133" s="26"/>
      <c r="R133" s="8" t="str">
        <f aca="false">IF(OR(M133="",Q133&lt;&gt;"Y"),"",ROUND(N133*설정!$C$5,0))</f>
        <v/>
      </c>
      <c r="S133" s="25"/>
    </row>
    <row r="134" customFormat="false" ht="15" hidden="false" customHeight="false" outlineLevel="0" collapsed="false">
      <c r="A134" s="21" t="str">
        <f aca="false">IF(C134="","",COUNTA($C$5:C134))</f>
        <v/>
      </c>
      <c r="B134" s="22"/>
      <c r="C134" s="23"/>
      <c r="D134" s="26"/>
      <c r="E134" s="25"/>
      <c r="F134" s="7" t="str">
        <f aca="false">IF(E134="","",IFERROR(INDEX(코드관리!$C$7:$C$66,MATCH(E134,코드관리!$B$7:$B$66,0)),"미등록 코드"))</f>
        <v/>
      </c>
      <c r="G134" s="25"/>
      <c r="H134" s="25"/>
      <c r="I134" s="24"/>
      <c r="J134" s="26"/>
      <c r="K134" s="27"/>
      <c r="L134" s="26"/>
      <c r="M134" s="8" t="str">
        <f aca="false">IF(K134="","",IF(J134="USD",ROUND(K134*설정!$C$4,0),K134))</f>
        <v/>
      </c>
      <c r="N134" s="8" t="str">
        <f aca="false">IF(M134="","",IF(AND(I134="과세",L134="VAT포함"),ROUND(M134/(1+설정!$C$5),0),M134))</f>
        <v/>
      </c>
      <c r="O134" s="8" t="str">
        <f aca="false">IF(M134="","",IF(I134="과세",IF(L134="VAT포함",M134-N134,ROUND(N134*설정!$C$5,0)),0))</f>
        <v/>
      </c>
      <c r="P134" s="8" t="str">
        <f aca="false">IF(M134="","",N134+O134)</f>
        <v/>
      </c>
      <c r="Q134" s="26"/>
      <c r="R134" s="8" t="str">
        <f aca="false">IF(OR(M134="",Q134&lt;&gt;"Y"),"",ROUND(N134*설정!$C$5,0))</f>
        <v/>
      </c>
      <c r="S134" s="25"/>
    </row>
    <row r="135" customFormat="false" ht="15" hidden="false" customHeight="false" outlineLevel="0" collapsed="false">
      <c r="A135" s="21" t="str">
        <f aca="false">IF(C135="","",COUNTA($C$5:C135))</f>
        <v/>
      </c>
      <c r="B135" s="22"/>
      <c r="C135" s="23"/>
      <c r="D135" s="26"/>
      <c r="E135" s="25"/>
      <c r="F135" s="7" t="str">
        <f aca="false">IF(E135="","",IFERROR(INDEX(코드관리!$C$7:$C$66,MATCH(E135,코드관리!$B$7:$B$66,0)),"미등록 코드"))</f>
        <v/>
      </c>
      <c r="G135" s="25"/>
      <c r="H135" s="25"/>
      <c r="I135" s="24"/>
      <c r="J135" s="26"/>
      <c r="K135" s="27"/>
      <c r="L135" s="26"/>
      <c r="M135" s="8" t="str">
        <f aca="false">IF(K135="","",IF(J135="USD",ROUND(K135*설정!$C$4,0),K135))</f>
        <v/>
      </c>
      <c r="N135" s="8" t="str">
        <f aca="false">IF(M135="","",IF(AND(I135="과세",L135="VAT포함"),ROUND(M135/(1+설정!$C$5),0),M135))</f>
        <v/>
      </c>
      <c r="O135" s="8" t="str">
        <f aca="false">IF(M135="","",IF(I135="과세",IF(L135="VAT포함",M135-N135,ROUND(N135*설정!$C$5,0)),0))</f>
        <v/>
      </c>
      <c r="P135" s="8" t="str">
        <f aca="false">IF(M135="","",N135+O135)</f>
        <v/>
      </c>
      <c r="Q135" s="26"/>
      <c r="R135" s="8" t="str">
        <f aca="false">IF(OR(M135="",Q135&lt;&gt;"Y"),"",ROUND(N135*설정!$C$5,0))</f>
        <v/>
      </c>
      <c r="S135" s="25"/>
    </row>
    <row r="136" customFormat="false" ht="15" hidden="false" customHeight="false" outlineLevel="0" collapsed="false">
      <c r="A136" s="21" t="str">
        <f aca="false">IF(C136="","",COUNTA($C$5:C136))</f>
        <v/>
      </c>
      <c r="B136" s="22"/>
      <c r="C136" s="23"/>
      <c r="D136" s="26"/>
      <c r="E136" s="25"/>
      <c r="F136" s="7" t="str">
        <f aca="false">IF(E136="","",IFERROR(INDEX(코드관리!$C$7:$C$66,MATCH(E136,코드관리!$B$7:$B$66,0)),"미등록 코드"))</f>
        <v/>
      </c>
      <c r="G136" s="25"/>
      <c r="H136" s="25"/>
      <c r="I136" s="24"/>
      <c r="J136" s="26"/>
      <c r="K136" s="27"/>
      <c r="L136" s="26"/>
      <c r="M136" s="8" t="str">
        <f aca="false">IF(K136="","",IF(J136="USD",ROUND(K136*설정!$C$4,0),K136))</f>
        <v/>
      </c>
      <c r="N136" s="8" t="str">
        <f aca="false">IF(M136="","",IF(AND(I136="과세",L136="VAT포함"),ROUND(M136/(1+설정!$C$5),0),M136))</f>
        <v/>
      </c>
      <c r="O136" s="8" t="str">
        <f aca="false">IF(M136="","",IF(I136="과세",IF(L136="VAT포함",M136-N136,ROUND(N136*설정!$C$5,0)),0))</f>
        <v/>
      </c>
      <c r="P136" s="8" t="str">
        <f aca="false">IF(M136="","",N136+O136)</f>
        <v/>
      </c>
      <c r="Q136" s="26"/>
      <c r="R136" s="8" t="str">
        <f aca="false">IF(OR(M136="",Q136&lt;&gt;"Y"),"",ROUND(N136*설정!$C$5,0))</f>
        <v/>
      </c>
      <c r="S136" s="25"/>
    </row>
    <row r="137" customFormat="false" ht="15" hidden="false" customHeight="false" outlineLevel="0" collapsed="false">
      <c r="A137" s="21" t="str">
        <f aca="false">IF(C137="","",COUNTA($C$5:C137))</f>
        <v/>
      </c>
      <c r="B137" s="22"/>
      <c r="C137" s="23"/>
      <c r="D137" s="26"/>
      <c r="E137" s="25"/>
      <c r="F137" s="7" t="str">
        <f aca="false">IF(E137="","",IFERROR(INDEX(코드관리!$C$7:$C$66,MATCH(E137,코드관리!$B$7:$B$66,0)),"미등록 코드"))</f>
        <v/>
      </c>
      <c r="G137" s="25"/>
      <c r="H137" s="25"/>
      <c r="I137" s="24"/>
      <c r="J137" s="26"/>
      <c r="K137" s="27"/>
      <c r="L137" s="26"/>
      <c r="M137" s="8" t="str">
        <f aca="false">IF(K137="","",IF(J137="USD",ROUND(K137*설정!$C$4,0),K137))</f>
        <v/>
      </c>
      <c r="N137" s="8" t="str">
        <f aca="false">IF(M137="","",IF(AND(I137="과세",L137="VAT포함"),ROUND(M137/(1+설정!$C$5),0),M137))</f>
        <v/>
      </c>
      <c r="O137" s="8" t="str">
        <f aca="false">IF(M137="","",IF(I137="과세",IF(L137="VAT포함",M137-N137,ROUND(N137*설정!$C$5,0)),0))</f>
        <v/>
      </c>
      <c r="P137" s="8" t="str">
        <f aca="false">IF(M137="","",N137+O137)</f>
        <v/>
      </c>
      <c r="Q137" s="26"/>
      <c r="R137" s="8" t="str">
        <f aca="false">IF(OR(M137="",Q137&lt;&gt;"Y"),"",ROUND(N137*설정!$C$5,0))</f>
        <v/>
      </c>
      <c r="S137" s="25"/>
    </row>
    <row r="138" customFormat="false" ht="15" hidden="false" customHeight="false" outlineLevel="0" collapsed="false">
      <c r="A138" s="21" t="str">
        <f aca="false">IF(C138="","",COUNTA($C$5:C138))</f>
        <v/>
      </c>
      <c r="B138" s="22"/>
      <c r="C138" s="23"/>
      <c r="D138" s="26"/>
      <c r="E138" s="25"/>
      <c r="F138" s="7" t="str">
        <f aca="false">IF(E138="","",IFERROR(INDEX(코드관리!$C$7:$C$66,MATCH(E138,코드관리!$B$7:$B$66,0)),"미등록 코드"))</f>
        <v/>
      </c>
      <c r="G138" s="25"/>
      <c r="H138" s="25"/>
      <c r="I138" s="24"/>
      <c r="J138" s="26"/>
      <c r="K138" s="27"/>
      <c r="L138" s="26"/>
      <c r="M138" s="8" t="str">
        <f aca="false">IF(K138="","",IF(J138="USD",ROUND(K138*설정!$C$4,0),K138))</f>
        <v/>
      </c>
      <c r="N138" s="8" t="str">
        <f aca="false">IF(M138="","",IF(AND(I138="과세",L138="VAT포함"),ROUND(M138/(1+설정!$C$5),0),M138))</f>
        <v/>
      </c>
      <c r="O138" s="8" t="str">
        <f aca="false">IF(M138="","",IF(I138="과세",IF(L138="VAT포함",M138-N138,ROUND(N138*설정!$C$5,0)),0))</f>
        <v/>
      </c>
      <c r="P138" s="8" t="str">
        <f aca="false">IF(M138="","",N138+O138)</f>
        <v/>
      </c>
      <c r="Q138" s="26"/>
      <c r="R138" s="8" t="str">
        <f aca="false">IF(OR(M138="",Q138&lt;&gt;"Y"),"",ROUND(N138*설정!$C$5,0))</f>
        <v/>
      </c>
      <c r="S138" s="25"/>
    </row>
    <row r="139" customFormat="false" ht="15" hidden="false" customHeight="false" outlineLevel="0" collapsed="false">
      <c r="A139" s="21" t="str">
        <f aca="false">IF(C139="","",COUNTA($C$5:C139))</f>
        <v/>
      </c>
      <c r="B139" s="22"/>
      <c r="C139" s="23"/>
      <c r="D139" s="26"/>
      <c r="E139" s="25"/>
      <c r="F139" s="7" t="str">
        <f aca="false">IF(E139="","",IFERROR(INDEX(코드관리!$C$7:$C$66,MATCH(E139,코드관리!$B$7:$B$66,0)),"미등록 코드"))</f>
        <v/>
      </c>
      <c r="G139" s="25"/>
      <c r="H139" s="25"/>
      <c r="I139" s="24"/>
      <c r="J139" s="26"/>
      <c r="K139" s="27"/>
      <c r="L139" s="26"/>
      <c r="M139" s="8" t="str">
        <f aca="false">IF(K139="","",IF(J139="USD",ROUND(K139*설정!$C$4,0),K139))</f>
        <v/>
      </c>
      <c r="N139" s="8" t="str">
        <f aca="false">IF(M139="","",IF(AND(I139="과세",L139="VAT포함"),ROUND(M139/(1+설정!$C$5),0),M139))</f>
        <v/>
      </c>
      <c r="O139" s="8" t="str">
        <f aca="false">IF(M139="","",IF(I139="과세",IF(L139="VAT포함",M139-N139,ROUND(N139*설정!$C$5,0)),0))</f>
        <v/>
      </c>
      <c r="P139" s="8" t="str">
        <f aca="false">IF(M139="","",N139+O139)</f>
        <v/>
      </c>
      <c r="Q139" s="26"/>
      <c r="R139" s="8" t="str">
        <f aca="false">IF(OR(M139="",Q139&lt;&gt;"Y"),"",ROUND(N139*설정!$C$5,0))</f>
        <v/>
      </c>
      <c r="S139" s="25"/>
    </row>
    <row r="140" customFormat="false" ht="15" hidden="false" customHeight="false" outlineLevel="0" collapsed="false">
      <c r="A140" s="21" t="str">
        <f aca="false">IF(C140="","",COUNTA($C$5:C140))</f>
        <v/>
      </c>
      <c r="B140" s="22"/>
      <c r="C140" s="23"/>
      <c r="D140" s="26"/>
      <c r="E140" s="25"/>
      <c r="F140" s="7" t="str">
        <f aca="false">IF(E140="","",IFERROR(INDEX(코드관리!$C$7:$C$66,MATCH(E140,코드관리!$B$7:$B$66,0)),"미등록 코드"))</f>
        <v/>
      </c>
      <c r="G140" s="25"/>
      <c r="H140" s="25"/>
      <c r="I140" s="24"/>
      <c r="J140" s="26"/>
      <c r="K140" s="27"/>
      <c r="L140" s="26"/>
      <c r="M140" s="8" t="str">
        <f aca="false">IF(K140="","",IF(J140="USD",ROUND(K140*설정!$C$4,0),K140))</f>
        <v/>
      </c>
      <c r="N140" s="8" t="str">
        <f aca="false">IF(M140="","",IF(AND(I140="과세",L140="VAT포함"),ROUND(M140/(1+설정!$C$5),0),M140))</f>
        <v/>
      </c>
      <c r="O140" s="8" t="str">
        <f aca="false">IF(M140="","",IF(I140="과세",IF(L140="VAT포함",M140-N140,ROUND(N140*설정!$C$5,0)),0))</f>
        <v/>
      </c>
      <c r="P140" s="8" t="str">
        <f aca="false">IF(M140="","",N140+O140)</f>
        <v/>
      </c>
      <c r="Q140" s="26"/>
      <c r="R140" s="8" t="str">
        <f aca="false">IF(OR(M140="",Q140&lt;&gt;"Y"),"",ROUND(N140*설정!$C$5,0))</f>
        <v/>
      </c>
      <c r="S140" s="25"/>
    </row>
    <row r="141" customFormat="false" ht="15" hidden="false" customHeight="false" outlineLevel="0" collapsed="false">
      <c r="A141" s="21" t="str">
        <f aca="false">IF(C141="","",COUNTA($C$5:C141))</f>
        <v/>
      </c>
      <c r="B141" s="22"/>
      <c r="C141" s="23"/>
      <c r="D141" s="26"/>
      <c r="E141" s="25"/>
      <c r="F141" s="7" t="str">
        <f aca="false">IF(E141="","",IFERROR(INDEX(코드관리!$C$7:$C$66,MATCH(E141,코드관리!$B$7:$B$66,0)),"미등록 코드"))</f>
        <v/>
      </c>
      <c r="G141" s="25"/>
      <c r="H141" s="25"/>
      <c r="I141" s="24"/>
      <c r="J141" s="26"/>
      <c r="K141" s="27"/>
      <c r="L141" s="26"/>
      <c r="M141" s="8" t="str">
        <f aca="false">IF(K141="","",IF(J141="USD",ROUND(K141*설정!$C$4,0),K141))</f>
        <v/>
      </c>
      <c r="N141" s="8" t="str">
        <f aca="false">IF(M141="","",IF(AND(I141="과세",L141="VAT포함"),ROUND(M141/(1+설정!$C$5),0),M141))</f>
        <v/>
      </c>
      <c r="O141" s="8" t="str">
        <f aca="false">IF(M141="","",IF(I141="과세",IF(L141="VAT포함",M141-N141,ROUND(N141*설정!$C$5,0)),0))</f>
        <v/>
      </c>
      <c r="P141" s="8" t="str">
        <f aca="false">IF(M141="","",N141+O141)</f>
        <v/>
      </c>
      <c r="Q141" s="26"/>
      <c r="R141" s="8" t="str">
        <f aca="false">IF(OR(M141="",Q141&lt;&gt;"Y"),"",ROUND(N141*설정!$C$5,0))</f>
        <v/>
      </c>
      <c r="S141" s="25"/>
    </row>
    <row r="142" customFormat="false" ht="15" hidden="false" customHeight="false" outlineLevel="0" collapsed="false">
      <c r="A142" s="21" t="str">
        <f aca="false">IF(C142="","",COUNTA($C$5:C142))</f>
        <v/>
      </c>
      <c r="B142" s="22"/>
      <c r="C142" s="23"/>
      <c r="D142" s="26"/>
      <c r="E142" s="25"/>
      <c r="F142" s="7" t="str">
        <f aca="false">IF(E142="","",IFERROR(INDEX(코드관리!$C$7:$C$66,MATCH(E142,코드관리!$B$7:$B$66,0)),"미등록 코드"))</f>
        <v/>
      </c>
      <c r="G142" s="25"/>
      <c r="H142" s="25"/>
      <c r="I142" s="24"/>
      <c r="J142" s="26"/>
      <c r="K142" s="27"/>
      <c r="L142" s="26"/>
      <c r="M142" s="8" t="str">
        <f aca="false">IF(K142="","",IF(J142="USD",ROUND(K142*설정!$C$4,0),K142))</f>
        <v/>
      </c>
      <c r="N142" s="8" t="str">
        <f aca="false">IF(M142="","",IF(AND(I142="과세",L142="VAT포함"),ROUND(M142/(1+설정!$C$5),0),M142))</f>
        <v/>
      </c>
      <c r="O142" s="8" t="str">
        <f aca="false">IF(M142="","",IF(I142="과세",IF(L142="VAT포함",M142-N142,ROUND(N142*설정!$C$5,0)),0))</f>
        <v/>
      </c>
      <c r="P142" s="8" t="str">
        <f aca="false">IF(M142="","",N142+O142)</f>
        <v/>
      </c>
      <c r="Q142" s="26"/>
      <c r="R142" s="8" t="str">
        <f aca="false">IF(OR(M142="",Q142&lt;&gt;"Y"),"",ROUND(N142*설정!$C$5,0))</f>
        <v/>
      </c>
      <c r="S142" s="25"/>
    </row>
    <row r="143" customFormat="false" ht="15" hidden="false" customHeight="false" outlineLevel="0" collapsed="false">
      <c r="A143" s="21" t="str">
        <f aca="false">IF(C143="","",COUNTA($C$5:C143))</f>
        <v/>
      </c>
      <c r="B143" s="22"/>
      <c r="C143" s="23"/>
      <c r="D143" s="26"/>
      <c r="E143" s="25"/>
      <c r="F143" s="7" t="str">
        <f aca="false">IF(E143="","",IFERROR(INDEX(코드관리!$C$7:$C$66,MATCH(E143,코드관리!$B$7:$B$66,0)),"미등록 코드"))</f>
        <v/>
      </c>
      <c r="G143" s="25"/>
      <c r="H143" s="25"/>
      <c r="I143" s="24"/>
      <c r="J143" s="26"/>
      <c r="K143" s="27"/>
      <c r="L143" s="26"/>
      <c r="M143" s="8" t="str">
        <f aca="false">IF(K143="","",IF(J143="USD",ROUND(K143*설정!$C$4,0),K143))</f>
        <v/>
      </c>
      <c r="N143" s="8" t="str">
        <f aca="false">IF(M143="","",IF(AND(I143="과세",L143="VAT포함"),ROUND(M143/(1+설정!$C$5),0),M143))</f>
        <v/>
      </c>
      <c r="O143" s="8" t="str">
        <f aca="false">IF(M143="","",IF(I143="과세",IF(L143="VAT포함",M143-N143,ROUND(N143*설정!$C$5,0)),0))</f>
        <v/>
      </c>
      <c r="P143" s="8" t="str">
        <f aca="false">IF(M143="","",N143+O143)</f>
        <v/>
      </c>
      <c r="Q143" s="26"/>
      <c r="R143" s="8" t="str">
        <f aca="false">IF(OR(M143="",Q143&lt;&gt;"Y"),"",ROUND(N143*설정!$C$5,0))</f>
        <v/>
      </c>
      <c r="S143" s="25"/>
    </row>
    <row r="144" customFormat="false" ht="15" hidden="false" customHeight="false" outlineLevel="0" collapsed="false">
      <c r="A144" s="21" t="str">
        <f aca="false">IF(C144="","",COUNTA($C$5:C144))</f>
        <v/>
      </c>
      <c r="B144" s="22"/>
      <c r="C144" s="23"/>
      <c r="D144" s="26"/>
      <c r="E144" s="25"/>
      <c r="F144" s="7" t="str">
        <f aca="false">IF(E144="","",IFERROR(INDEX(코드관리!$C$7:$C$66,MATCH(E144,코드관리!$B$7:$B$66,0)),"미등록 코드"))</f>
        <v/>
      </c>
      <c r="G144" s="25"/>
      <c r="H144" s="25"/>
      <c r="I144" s="24"/>
      <c r="J144" s="26"/>
      <c r="K144" s="27"/>
      <c r="L144" s="26"/>
      <c r="M144" s="8" t="str">
        <f aca="false">IF(K144="","",IF(J144="USD",ROUND(K144*설정!$C$4,0),K144))</f>
        <v/>
      </c>
      <c r="N144" s="8" t="str">
        <f aca="false">IF(M144="","",IF(AND(I144="과세",L144="VAT포함"),ROUND(M144/(1+설정!$C$5),0),M144))</f>
        <v/>
      </c>
      <c r="O144" s="8" t="str">
        <f aca="false">IF(M144="","",IF(I144="과세",IF(L144="VAT포함",M144-N144,ROUND(N144*설정!$C$5,0)),0))</f>
        <v/>
      </c>
      <c r="P144" s="8" t="str">
        <f aca="false">IF(M144="","",N144+O144)</f>
        <v/>
      </c>
      <c r="Q144" s="26"/>
      <c r="R144" s="8" t="str">
        <f aca="false">IF(OR(M144="",Q144&lt;&gt;"Y"),"",ROUND(N144*설정!$C$5,0))</f>
        <v/>
      </c>
      <c r="S144" s="25"/>
    </row>
    <row r="145" customFormat="false" ht="15" hidden="false" customHeight="false" outlineLevel="0" collapsed="false">
      <c r="A145" s="21" t="str">
        <f aca="false">IF(C145="","",COUNTA($C$5:C145))</f>
        <v/>
      </c>
      <c r="B145" s="22"/>
      <c r="C145" s="23"/>
      <c r="D145" s="26"/>
      <c r="E145" s="25"/>
      <c r="F145" s="7" t="str">
        <f aca="false">IF(E145="","",IFERROR(INDEX(코드관리!$C$7:$C$66,MATCH(E145,코드관리!$B$7:$B$66,0)),"미등록 코드"))</f>
        <v/>
      </c>
      <c r="G145" s="25"/>
      <c r="H145" s="25"/>
      <c r="I145" s="24"/>
      <c r="J145" s="26"/>
      <c r="K145" s="27"/>
      <c r="L145" s="26"/>
      <c r="M145" s="8" t="str">
        <f aca="false">IF(K145="","",IF(J145="USD",ROUND(K145*설정!$C$4,0),K145))</f>
        <v/>
      </c>
      <c r="N145" s="8" t="str">
        <f aca="false">IF(M145="","",IF(AND(I145="과세",L145="VAT포함"),ROUND(M145/(1+설정!$C$5),0),M145))</f>
        <v/>
      </c>
      <c r="O145" s="8" t="str">
        <f aca="false">IF(M145="","",IF(I145="과세",IF(L145="VAT포함",M145-N145,ROUND(N145*설정!$C$5,0)),0))</f>
        <v/>
      </c>
      <c r="P145" s="8" t="str">
        <f aca="false">IF(M145="","",N145+O145)</f>
        <v/>
      </c>
      <c r="Q145" s="26"/>
      <c r="R145" s="8" t="str">
        <f aca="false">IF(OR(M145="",Q145&lt;&gt;"Y"),"",ROUND(N145*설정!$C$5,0))</f>
        <v/>
      </c>
      <c r="S145" s="25"/>
    </row>
    <row r="146" customFormat="false" ht="15" hidden="false" customHeight="false" outlineLevel="0" collapsed="false">
      <c r="A146" s="21" t="str">
        <f aca="false">IF(C146="","",COUNTA($C$5:C146))</f>
        <v/>
      </c>
      <c r="B146" s="22"/>
      <c r="C146" s="23"/>
      <c r="D146" s="26"/>
      <c r="E146" s="25"/>
      <c r="F146" s="7" t="str">
        <f aca="false">IF(E146="","",IFERROR(INDEX(코드관리!$C$7:$C$66,MATCH(E146,코드관리!$B$7:$B$66,0)),"미등록 코드"))</f>
        <v/>
      </c>
      <c r="G146" s="25"/>
      <c r="H146" s="25"/>
      <c r="I146" s="24"/>
      <c r="J146" s="26"/>
      <c r="K146" s="27"/>
      <c r="L146" s="26"/>
      <c r="M146" s="8" t="str">
        <f aca="false">IF(K146="","",IF(J146="USD",ROUND(K146*설정!$C$4,0),K146))</f>
        <v/>
      </c>
      <c r="N146" s="8" t="str">
        <f aca="false">IF(M146="","",IF(AND(I146="과세",L146="VAT포함"),ROUND(M146/(1+설정!$C$5),0),M146))</f>
        <v/>
      </c>
      <c r="O146" s="8" t="str">
        <f aca="false">IF(M146="","",IF(I146="과세",IF(L146="VAT포함",M146-N146,ROUND(N146*설정!$C$5,0)),0))</f>
        <v/>
      </c>
      <c r="P146" s="8" t="str">
        <f aca="false">IF(M146="","",N146+O146)</f>
        <v/>
      </c>
      <c r="Q146" s="26"/>
      <c r="R146" s="8" t="str">
        <f aca="false">IF(OR(M146="",Q146&lt;&gt;"Y"),"",ROUND(N146*설정!$C$5,0))</f>
        <v/>
      </c>
      <c r="S146" s="25"/>
    </row>
    <row r="147" customFormat="false" ht="15" hidden="false" customHeight="false" outlineLevel="0" collapsed="false">
      <c r="A147" s="21" t="str">
        <f aca="false">IF(C147="","",COUNTA($C$5:C147))</f>
        <v/>
      </c>
      <c r="B147" s="22"/>
      <c r="C147" s="23"/>
      <c r="D147" s="26"/>
      <c r="E147" s="25"/>
      <c r="F147" s="7" t="str">
        <f aca="false">IF(E147="","",IFERROR(INDEX(코드관리!$C$7:$C$66,MATCH(E147,코드관리!$B$7:$B$66,0)),"미등록 코드"))</f>
        <v/>
      </c>
      <c r="G147" s="25"/>
      <c r="H147" s="25"/>
      <c r="I147" s="24"/>
      <c r="J147" s="26"/>
      <c r="K147" s="27"/>
      <c r="L147" s="26"/>
      <c r="M147" s="8" t="str">
        <f aca="false">IF(K147="","",IF(J147="USD",ROUND(K147*설정!$C$4,0),K147))</f>
        <v/>
      </c>
      <c r="N147" s="8" t="str">
        <f aca="false">IF(M147="","",IF(AND(I147="과세",L147="VAT포함"),ROUND(M147/(1+설정!$C$5),0),M147))</f>
        <v/>
      </c>
      <c r="O147" s="8" t="str">
        <f aca="false">IF(M147="","",IF(I147="과세",IF(L147="VAT포함",M147-N147,ROUND(N147*설정!$C$5,0)),0))</f>
        <v/>
      </c>
      <c r="P147" s="8" t="str">
        <f aca="false">IF(M147="","",N147+O147)</f>
        <v/>
      </c>
      <c r="Q147" s="26"/>
      <c r="R147" s="8" t="str">
        <f aca="false">IF(OR(M147="",Q147&lt;&gt;"Y"),"",ROUND(N147*설정!$C$5,0))</f>
        <v/>
      </c>
      <c r="S147" s="25"/>
    </row>
    <row r="148" customFormat="false" ht="15" hidden="false" customHeight="false" outlineLevel="0" collapsed="false">
      <c r="A148" s="21" t="str">
        <f aca="false">IF(C148="","",COUNTA($C$5:C148))</f>
        <v/>
      </c>
      <c r="B148" s="22"/>
      <c r="C148" s="23"/>
      <c r="D148" s="26"/>
      <c r="E148" s="25"/>
      <c r="F148" s="7" t="str">
        <f aca="false">IF(E148="","",IFERROR(INDEX(코드관리!$C$7:$C$66,MATCH(E148,코드관리!$B$7:$B$66,0)),"미등록 코드"))</f>
        <v/>
      </c>
      <c r="G148" s="25"/>
      <c r="H148" s="25"/>
      <c r="I148" s="24"/>
      <c r="J148" s="26"/>
      <c r="K148" s="27"/>
      <c r="L148" s="26"/>
      <c r="M148" s="8" t="str">
        <f aca="false">IF(K148="","",IF(J148="USD",ROUND(K148*설정!$C$4,0),K148))</f>
        <v/>
      </c>
      <c r="N148" s="8" t="str">
        <f aca="false">IF(M148="","",IF(AND(I148="과세",L148="VAT포함"),ROUND(M148/(1+설정!$C$5),0),M148))</f>
        <v/>
      </c>
      <c r="O148" s="8" t="str">
        <f aca="false">IF(M148="","",IF(I148="과세",IF(L148="VAT포함",M148-N148,ROUND(N148*설정!$C$5,0)),0))</f>
        <v/>
      </c>
      <c r="P148" s="8" t="str">
        <f aca="false">IF(M148="","",N148+O148)</f>
        <v/>
      </c>
      <c r="Q148" s="26"/>
      <c r="R148" s="8" t="str">
        <f aca="false">IF(OR(M148="",Q148&lt;&gt;"Y"),"",ROUND(N148*설정!$C$5,0))</f>
        <v/>
      </c>
      <c r="S148" s="25"/>
    </row>
    <row r="149" customFormat="false" ht="15" hidden="false" customHeight="false" outlineLevel="0" collapsed="false">
      <c r="A149" s="21" t="str">
        <f aca="false">IF(C149="","",COUNTA($C$5:C149))</f>
        <v/>
      </c>
      <c r="B149" s="22"/>
      <c r="C149" s="23"/>
      <c r="D149" s="26"/>
      <c r="E149" s="25"/>
      <c r="F149" s="7" t="str">
        <f aca="false">IF(E149="","",IFERROR(INDEX(코드관리!$C$7:$C$66,MATCH(E149,코드관리!$B$7:$B$66,0)),"미등록 코드"))</f>
        <v/>
      </c>
      <c r="G149" s="25"/>
      <c r="H149" s="25"/>
      <c r="I149" s="24"/>
      <c r="J149" s="26"/>
      <c r="K149" s="27"/>
      <c r="L149" s="26"/>
      <c r="M149" s="8" t="str">
        <f aca="false">IF(K149="","",IF(J149="USD",ROUND(K149*설정!$C$4,0),K149))</f>
        <v/>
      </c>
      <c r="N149" s="8" t="str">
        <f aca="false">IF(M149="","",IF(AND(I149="과세",L149="VAT포함"),ROUND(M149/(1+설정!$C$5),0),M149))</f>
        <v/>
      </c>
      <c r="O149" s="8" t="str">
        <f aca="false">IF(M149="","",IF(I149="과세",IF(L149="VAT포함",M149-N149,ROUND(N149*설정!$C$5,0)),0))</f>
        <v/>
      </c>
      <c r="P149" s="8" t="str">
        <f aca="false">IF(M149="","",N149+O149)</f>
        <v/>
      </c>
      <c r="Q149" s="26"/>
      <c r="R149" s="8" t="str">
        <f aca="false">IF(OR(M149="",Q149&lt;&gt;"Y"),"",ROUND(N149*설정!$C$5,0))</f>
        <v/>
      </c>
      <c r="S149" s="25"/>
    </row>
    <row r="150" customFormat="false" ht="15" hidden="false" customHeight="false" outlineLevel="0" collapsed="false">
      <c r="A150" s="21" t="str">
        <f aca="false">IF(C150="","",COUNTA($C$5:C150))</f>
        <v/>
      </c>
      <c r="B150" s="22"/>
      <c r="C150" s="23"/>
      <c r="D150" s="26"/>
      <c r="E150" s="25"/>
      <c r="F150" s="7" t="str">
        <f aca="false">IF(E150="","",IFERROR(INDEX(코드관리!$C$7:$C$66,MATCH(E150,코드관리!$B$7:$B$66,0)),"미등록 코드"))</f>
        <v/>
      </c>
      <c r="G150" s="25"/>
      <c r="H150" s="25"/>
      <c r="I150" s="24"/>
      <c r="J150" s="26"/>
      <c r="K150" s="27"/>
      <c r="L150" s="26"/>
      <c r="M150" s="8" t="str">
        <f aca="false">IF(K150="","",IF(J150="USD",ROUND(K150*설정!$C$4,0),K150))</f>
        <v/>
      </c>
      <c r="N150" s="8" t="str">
        <f aca="false">IF(M150="","",IF(AND(I150="과세",L150="VAT포함"),ROUND(M150/(1+설정!$C$5),0),M150))</f>
        <v/>
      </c>
      <c r="O150" s="8" t="str">
        <f aca="false">IF(M150="","",IF(I150="과세",IF(L150="VAT포함",M150-N150,ROUND(N150*설정!$C$5,0)),0))</f>
        <v/>
      </c>
      <c r="P150" s="8" t="str">
        <f aca="false">IF(M150="","",N150+O150)</f>
        <v/>
      </c>
      <c r="Q150" s="26"/>
      <c r="R150" s="8" t="str">
        <f aca="false">IF(OR(M150="",Q150&lt;&gt;"Y"),"",ROUND(N150*설정!$C$5,0))</f>
        <v/>
      </c>
      <c r="S150" s="25"/>
    </row>
    <row r="151" customFormat="false" ht="15" hidden="false" customHeight="false" outlineLevel="0" collapsed="false">
      <c r="A151" s="21" t="str">
        <f aca="false">IF(C151="","",COUNTA($C$5:C151))</f>
        <v/>
      </c>
      <c r="B151" s="22"/>
      <c r="C151" s="23"/>
      <c r="D151" s="26"/>
      <c r="E151" s="25"/>
      <c r="F151" s="7" t="str">
        <f aca="false">IF(E151="","",IFERROR(INDEX(코드관리!$C$7:$C$66,MATCH(E151,코드관리!$B$7:$B$66,0)),"미등록 코드"))</f>
        <v/>
      </c>
      <c r="G151" s="25"/>
      <c r="H151" s="25"/>
      <c r="I151" s="24"/>
      <c r="J151" s="26"/>
      <c r="K151" s="27"/>
      <c r="L151" s="26"/>
      <c r="M151" s="8" t="str">
        <f aca="false">IF(K151="","",IF(J151="USD",ROUND(K151*설정!$C$4,0),K151))</f>
        <v/>
      </c>
      <c r="N151" s="8" t="str">
        <f aca="false">IF(M151="","",IF(AND(I151="과세",L151="VAT포함"),ROUND(M151/(1+설정!$C$5),0),M151))</f>
        <v/>
      </c>
      <c r="O151" s="8" t="str">
        <f aca="false">IF(M151="","",IF(I151="과세",IF(L151="VAT포함",M151-N151,ROUND(N151*설정!$C$5,0)),0))</f>
        <v/>
      </c>
      <c r="P151" s="8" t="str">
        <f aca="false">IF(M151="","",N151+O151)</f>
        <v/>
      </c>
      <c r="Q151" s="26"/>
      <c r="R151" s="8" t="str">
        <f aca="false">IF(OR(M151="",Q151&lt;&gt;"Y"),"",ROUND(N151*설정!$C$5,0))</f>
        <v/>
      </c>
      <c r="S151" s="25"/>
    </row>
    <row r="152" customFormat="false" ht="15" hidden="false" customHeight="false" outlineLevel="0" collapsed="false">
      <c r="A152" s="21" t="str">
        <f aca="false">IF(C152="","",COUNTA($C$5:C152))</f>
        <v/>
      </c>
      <c r="B152" s="22"/>
      <c r="C152" s="23"/>
      <c r="D152" s="26"/>
      <c r="E152" s="25"/>
      <c r="F152" s="7" t="str">
        <f aca="false">IF(E152="","",IFERROR(INDEX(코드관리!$C$7:$C$66,MATCH(E152,코드관리!$B$7:$B$66,0)),"미등록 코드"))</f>
        <v/>
      </c>
      <c r="G152" s="25"/>
      <c r="H152" s="25"/>
      <c r="I152" s="24"/>
      <c r="J152" s="26"/>
      <c r="K152" s="27"/>
      <c r="L152" s="26"/>
      <c r="M152" s="8" t="str">
        <f aca="false">IF(K152="","",IF(J152="USD",ROUND(K152*설정!$C$4,0),K152))</f>
        <v/>
      </c>
      <c r="N152" s="8" t="str">
        <f aca="false">IF(M152="","",IF(AND(I152="과세",L152="VAT포함"),ROUND(M152/(1+설정!$C$5),0),M152))</f>
        <v/>
      </c>
      <c r="O152" s="8" t="str">
        <f aca="false">IF(M152="","",IF(I152="과세",IF(L152="VAT포함",M152-N152,ROUND(N152*설정!$C$5,0)),0))</f>
        <v/>
      </c>
      <c r="P152" s="8" t="str">
        <f aca="false">IF(M152="","",N152+O152)</f>
        <v/>
      </c>
      <c r="Q152" s="26"/>
      <c r="R152" s="8" t="str">
        <f aca="false">IF(OR(M152="",Q152&lt;&gt;"Y"),"",ROUND(N152*설정!$C$5,0))</f>
        <v/>
      </c>
      <c r="S152" s="25"/>
    </row>
    <row r="153" customFormat="false" ht="15" hidden="false" customHeight="false" outlineLevel="0" collapsed="false">
      <c r="A153" s="21" t="str">
        <f aca="false">IF(C153="","",COUNTA($C$5:C153))</f>
        <v/>
      </c>
      <c r="B153" s="22"/>
      <c r="C153" s="23"/>
      <c r="D153" s="26"/>
      <c r="E153" s="25"/>
      <c r="F153" s="7" t="str">
        <f aca="false">IF(E153="","",IFERROR(INDEX(코드관리!$C$7:$C$66,MATCH(E153,코드관리!$B$7:$B$66,0)),"미등록 코드"))</f>
        <v/>
      </c>
      <c r="G153" s="25"/>
      <c r="H153" s="25"/>
      <c r="I153" s="24"/>
      <c r="J153" s="26"/>
      <c r="K153" s="27"/>
      <c r="L153" s="26"/>
      <c r="M153" s="8" t="str">
        <f aca="false">IF(K153="","",IF(J153="USD",ROUND(K153*설정!$C$4,0),K153))</f>
        <v/>
      </c>
      <c r="N153" s="8" t="str">
        <f aca="false">IF(M153="","",IF(AND(I153="과세",L153="VAT포함"),ROUND(M153/(1+설정!$C$5),0),M153))</f>
        <v/>
      </c>
      <c r="O153" s="8" t="str">
        <f aca="false">IF(M153="","",IF(I153="과세",IF(L153="VAT포함",M153-N153,ROUND(N153*설정!$C$5,0)),0))</f>
        <v/>
      </c>
      <c r="P153" s="8" t="str">
        <f aca="false">IF(M153="","",N153+O153)</f>
        <v/>
      </c>
      <c r="Q153" s="26"/>
      <c r="R153" s="8" t="str">
        <f aca="false">IF(OR(M153="",Q153&lt;&gt;"Y"),"",ROUND(N153*설정!$C$5,0))</f>
        <v/>
      </c>
      <c r="S153" s="25"/>
    </row>
    <row r="154" customFormat="false" ht="15" hidden="false" customHeight="false" outlineLevel="0" collapsed="false">
      <c r="A154" s="21" t="str">
        <f aca="false">IF(C154="","",COUNTA($C$5:C154))</f>
        <v/>
      </c>
      <c r="B154" s="22"/>
      <c r="C154" s="23"/>
      <c r="D154" s="26"/>
      <c r="E154" s="25"/>
      <c r="F154" s="7" t="str">
        <f aca="false">IF(E154="","",IFERROR(INDEX(코드관리!$C$7:$C$66,MATCH(E154,코드관리!$B$7:$B$66,0)),"미등록 코드"))</f>
        <v/>
      </c>
      <c r="G154" s="25"/>
      <c r="H154" s="25"/>
      <c r="I154" s="24"/>
      <c r="J154" s="26"/>
      <c r="K154" s="27"/>
      <c r="L154" s="26"/>
      <c r="M154" s="8" t="str">
        <f aca="false">IF(K154="","",IF(J154="USD",ROUND(K154*설정!$C$4,0),K154))</f>
        <v/>
      </c>
      <c r="N154" s="8" t="str">
        <f aca="false">IF(M154="","",IF(AND(I154="과세",L154="VAT포함"),ROUND(M154/(1+설정!$C$5),0),M154))</f>
        <v/>
      </c>
      <c r="O154" s="8" t="str">
        <f aca="false">IF(M154="","",IF(I154="과세",IF(L154="VAT포함",M154-N154,ROUND(N154*설정!$C$5,0)),0))</f>
        <v/>
      </c>
      <c r="P154" s="8" t="str">
        <f aca="false">IF(M154="","",N154+O154)</f>
        <v/>
      </c>
      <c r="Q154" s="26"/>
      <c r="R154" s="8" t="str">
        <f aca="false">IF(OR(M154="",Q154&lt;&gt;"Y"),"",ROUND(N154*설정!$C$5,0))</f>
        <v/>
      </c>
      <c r="S154" s="25"/>
    </row>
    <row r="155" customFormat="false" ht="15" hidden="false" customHeight="false" outlineLevel="0" collapsed="false">
      <c r="A155" s="21" t="str">
        <f aca="false">IF(C155="","",COUNTA($C$5:C155))</f>
        <v/>
      </c>
      <c r="B155" s="22"/>
      <c r="C155" s="23"/>
      <c r="D155" s="26"/>
      <c r="E155" s="25"/>
      <c r="F155" s="7" t="str">
        <f aca="false">IF(E155="","",IFERROR(INDEX(코드관리!$C$7:$C$66,MATCH(E155,코드관리!$B$7:$B$66,0)),"미등록 코드"))</f>
        <v/>
      </c>
      <c r="G155" s="25"/>
      <c r="H155" s="25"/>
      <c r="I155" s="24"/>
      <c r="J155" s="26"/>
      <c r="K155" s="27"/>
      <c r="L155" s="26"/>
      <c r="M155" s="8" t="str">
        <f aca="false">IF(K155="","",IF(J155="USD",ROUND(K155*설정!$C$4,0),K155))</f>
        <v/>
      </c>
      <c r="N155" s="8" t="str">
        <f aca="false">IF(M155="","",IF(AND(I155="과세",L155="VAT포함"),ROUND(M155/(1+설정!$C$5),0),M155))</f>
        <v/>
      </c>
      <c r="O155" s="8" t="str">
        <f aca="false">IF(M155="","",IF(I155="과세",IF(L155="VAT포함",M155-N155,ROUND(N155*설정!$C$5,0)),0))</f>
        <v/>
      </c>
      <c r="P155" s="8" t="str">
        <f aca="false">IF(M155="","",N155+O155)</f>
        <v/>
      </c>
      <c r="Q155" s="26"/>
      <c r="R155" s="8" t="str">
        <f aca="false">IF(OR(M155="",Q155&lt;&gt;"Y"),"",ROUND(N155*설정!$C$5,0))</f>
        <v/>
      </c>
      <c r="S155" s="25"/>
    </row>
    <row r="156" customFormat="false" ht="15" hidden="false" customHeight="false" outlineLevel="0" collapsed="false">
      <c r="A156" s="21" t="str">
        <f aca="false">IF(C156="","",COUNTA($C$5:C156))</f>
        <v/>
      </c>
      <c r="B156" s="22"/>
      <c r="C156" s="23"/>
      <c r="D156" s="26"/>
      <c r="E156" s="25"/>
      <c r="F156" s="7" t="str">
        <f aca="false">IF(E156="","",IFERROR(INDEX(코드관리!$C$7:$C$66,MATCH(E156,코드관리!$B$7:$B$66,0)),"미등록 코드"))</f>
        <v/>
      </c>
      <c r="G156" s="25"/>
      <c r="H156" s="25"/>
      <c r="I156" s="24"/>
      <c r="J156" s="26"/>
      <c r="K156" s="27"/>
      <c r="L156" s="26"/>
      <c r="M156" s="8" t="str">
        <f aca="false">IF(K156="","",IF(J156="USD",ROUND(K156*설정!$C$4,0),K156))</f>
        <v/>
      </c>
      <c r="N156" s="8" t="str">
        <f aca="false">IF(M156="","",IF(AND(I156="과세",L156="VAT포함"),ROUND(M156/(1+설정!$C$5),0),M156))</f>
        <v/>
      </c>
      <c r="O156" s="8" t="str">
        <f aca="false">IF(M156="","",IF(I156="과세",IF(L156="VAT포함",M156-N156,ROUND(N156*설정!$C$5,0)),0))</f>
        <v/>
      </c>
      <c r="P156" s="8" t="str">
        <f aca="false">IF(M156="","",N156+O156)</f>
        <v/>
      </c>
      <c r="Q156" s="26"/>
      <c r="R156" s="8" t="str">
        <f aca="false">IF(OR(M156="",Q156&lt;&gt;"Y"),"",ROUND(N156*설정!$C$5,0))</f>
        <v/>
      </c>
      <c r="S156" s="25"/>
    </row>
    <row r="157" customFormat="false" ht="15" hidden="false" customHeight="false" outlineLevel="0" collapsed="false">
      <c r="A157" s="21" t="str">
        <f aca="false">IF(C157="","",COUNTA($C$5:C157))</f>
        <v/>
      </c>
      <c r="B157" s="22"/>
      <c r="C157" s="23"/>
      <c r="D157" s="26"/>
      <c r="E157" s="25"/>
      <c r="F157" s="7" t="str">
        <f aca="false">IF(E157="","",IFERROR(INDEX(코드관리!$C$7:$C$66,MATCH(E157,코드관리!$B$7:$B$66,0)),"미등록 코드"))</f>
        <v/>
      </c>
      <c r="G157" s="25"/>
      <c r="H157" s="25"/>
      <c r="I157" s="24"/>
      <c r="J157" s="26"/>
      <c r="K157" s="27"/>
      <c r="L157" s="26"/>
      <c r="M157" s="8" t="str">
        <f aca="false">IF(K157="","",IF(J157="USD",ROUND(K157*설정!$C$4,0),K157))</f>
        <v/>
      </c>
      <c r="N157" s="8" t="str">
        <f aca="false">IF(M157="","",IF(AND(I157="과세",L157="VAT포함"),ROUND(M157/(1+설정!$C$5),0),M157))</f>
        <v/>
      </c>
      <c r="O157" s="8" t="str">
        <f aca="false">IF(M157="","",IF(I157="과세",IF(L157="VAT포함",M157-N157,ROUND(N157*설정!$C$5,0)),0))</f>
        <v/>
      </c>
      <c r="P157" s="8" t="str">
        <f aca="false">IF(M157="","",N157+O157)</f>
        <v/>
      </c>
      <c r="Q157" s="26"/>
      <c r="R157" s="8" t="str">
        <f aca="false">IF(OR(M157="",Q157&lt;&gt;"Y"),"",ROUND(N157*설정!$C$5,0))</f>
        <v/>
      </c>
      <c r="S157" s="25"/>
    </row>
    <row r="158" customFormat="false" ht="15" hidden="false" customHeight="false" outlineLevel="0" collapsed="false">
      <c r="A158" s="21" t="str">
        <f aca="false">IF(C158="","",COUNTA($C$5:C158))</f>
        <v/>
      </c>
      <c r="B158" s="22"/>
      <c r="C158" s="23"/>
      <c r="D158" s="26"/>
      <c r="E158" s="25"/>
      <c r="F158" s="7" t="str">
        <f aca="false">IF(E158="","",IFERROR(INDEX(코드관리!$C$7:$C$66,MATCH(E158,코드관리!$B$7:$B$66,0)),"미등록 코드"))</f>
        <v/>
      </c>
      <c r="G158" s="25"/>
      <c r="H158" s="25"/>
      <c r="I158" s="24"/>
      <c r="J158" s="26"/>
      <c r="K158" s="27"/>
      <c r="L158" s="26"/>
      <c r="M158" s="8" t="str">
        <f aca="false">IF(K158="","",IF(J158="USD",ROUND(K158*설정!$C$4,0),K158))</f>
        <v/>
      </c>
      <c r="N158" s="8" t="str">
        <f aca="false">IF(M158="","",IF(AND(I158="과세",L158="VAT포함"),ROUND(M158/(1+설정!$C$5),0),M158))</f>
        <v/>
      </c>
      <c r="O158" s="8" t="str">
        <f aca="false">IF(M158="","",IF(I158="과세",IF(L158="VAT포함",M158-N158,ROUND(N158*설정!$C$5,0)),0))</f>
        <v/>
      </c>
      <c r="P158" s="8" t="str">
        <f aca="false">IF(M158="","",N158+O158)</f>
        <v/>
      </c>
      <c r="Q158" s="26"/>
      <c r="R158" s="8" t="str">
        <f aca="false">IF(OR(M158="",Q158&lt;&gt;"Y"),"",ROUND(N158*설정!$C$5,0))</f>
        <v/>
      </c>
      <c r="S158" s="25"/>
    </row>
    <row r="159" customFormat="false" ht="15" hidden="false" customHeight="false" outlineLevel="0" collapsed="false">
      <c r="A159" s="21" t="str">
        <f aca="false">IF(C159="","",COUNTA($C$5:C159))</f>
        <v/>
      </c>
      <c r="B159" s="22"/>
      <c r="C159" s="23"/>
      <c r="D159" s="26"/>
      <c r="E159" s="25"/>
      <c r="F159" s="7" t="str">
        <f aca="false">IF(E159="","",IFERROR(INDEX(코드관리!$C$7:$C$66,MATCH(E159,코드관리!$B$7:$B$66,0)),"미등록 코드"))</f>
        <v/>
      </c>
      <c r="G159" s="25"/>
      <c r="H159" s="25"/>
      <c r="I159" s="24"/>
      <c r="J159" s="26"/>
      <c r="K159" s="27"/>
      <c r="L159" s="26"/>
      <c r="M159" s="8" t="str">
        <f aca="false">IF(K159="","",IF(J159="USD",ROUND(K159*설정!$C$4,0),K159))</f>
        <v/>
      </c>
      <c r="N159" s="8" t="str">
        <f aca="false">IF(M159="","",IF(AND(I159="과세",L159="VAT포함"),ROUND(M159/(1+설정!$C$5),0),M159))</f>
        <v/>
      </c>
      <c r="O159" s="8" t="str">
        <f aca="false">IF(M159="","",IF(I159="과세",IF(L159="VAT포함",M159-N159,ROUND(N159*설정!$C$5,0)),0))</f>
        <v/>
      </c>
      <c r="P159" s="8" t="str">
        <f aca="false">IF(M159="","",N159+O159)</f>
        <v/>
      </c>
      <c r="Q159" s="26"/>
      <c r="R159" s="8" t="str">
        <f aca="false">IF(OR(M159="",Q159&lt;&gt;"Y"),"",ROUND(N159*설정!$C$5,0))</f>
        <v/>
      </c>
      <c r="S159" s="25"/>
    </row>
    <row r="160" customFormat="false" ht="15" hidden="false" customHeight="false" outlineLevel="0" collapsed="false">
      <c r="A160" s="21" t="str">
        <f aca="false">IF(C160="","",COUNTA($C$5:C160))</f>
        <v/>
      </c>
      <c r="B160" s="22"/>
      <c r="C160" s="23"/>
      <c r="D160" s="26"/>
      <c r="E160" s="25"/>
      <c r="F160" s="7" t="str">
        <f aca="false">IF(E160="","",IFERROR(INDEX(코드관리!$C$7:$C$66,MATCH(E160,코드관리!$B$7:$B$66,0)),"미등록 코드"))</f>
        <v/>
      </c>
      <c r="G160" s="25"/>
      <c r="H160" s="25"/>
      <c r="I160" s="24"/>
      <c r="J160" s="26"/>
      <c r="K160" s="27"/>
      <c r="L160" s="26"/>
      <c r="M160" s="8" t="str">
        <f aca="false">IF(K160="","",IF(J160="USD",ROUND(K160*설정!$C$4,0),K160))</f>
        <v/>
      </c>
      <c r="N160" s="8" t="str">
        <f aca="false">IF(M160="","",IF(AND(I160="과세",L160="VAT포함"),ROUND(M160/(1+설정!$C$5),0),M160))</f>
        <v/>
      </c>
      <c r="O160" s="8" t="str">
        <f aca="false">IF(M160="","",IF(I160="과세",IF(L160="VAT포함",M160-N160,ROUND(N160*설정!$C$5,0)),0))</f>
        <v/>
      </c>
      <c r="P160" s="8" t="str">
        <f aca="false">IF(M160="","",N160+O160)</f>
        <v/>
      </c>
      <c r="Q160" s="26"/>
      <c r="R160" s="8" t="str">
        <f aca="false">IF(OR(M160="",Q160&lt;&gt;"Y"),"",ROUND(N160*설정!$C$5,0))</f>
        <v/>
      </c>
      <c r="S160" s="25"/>
    </row>
    <row r="161" customFormat="false" ht="15" hidden="false" customHeight="false" outlineLevel="0" collapsed="false">
      <c r="A161" s="21" t="str">
        <f aca="false">IF(C161="","",COUNTA($C$5:C161))</f>
        <v/>
      </c>
      <c r="B161" s="22"/>
      <c r="C161" s="23"/>
      <c r="D161" s="26"/>
      <c r="E161" s="25"/>
      <c r="F161" s="7" t="str">
        <f aca="false">IF(E161="","",IFERROR(INDEX(코드관리!$C$7:$C$66,MATCH(E161,코드관리!$B$7:$B$66,0)),"미등록 코드"))</f>
        <v/>
      </c>
      <c r="G161" s="25"/>
      <c r="H161" s="25"/>
      <c r="I161" s="24"/>
      <c r="J161" s="26"/>
      <c r="K161" s="27"/>
      <c r="L161" s="26"/>
      <c r="M161" s="8" t="str">
        <f aca="false">IF(K161="","",IF(J161="USD",ROUND(K161*설정!$C$4,0),K161))</f>
        <v/>
      </c>
      <c r="N161" s="8" t="str">
        <f aca="false">IF(M161="","",IF(AND(I161="과세",L161="VAT포함"),ROUND(M161/(1+설정!$C$5),0),M161))</f>
        <v/>
      </c>
      <c r="O161" s="8" t="str">
        <f aca="false">IF(M161="","",IF(I161="과세",IF(L161="VAT포함",M161-N161,ROUND(N161*설정!$C$5,0)),0))</f>
        <v/>
      </c>
      <c r="P161" s="8" t="str">
        <f aca="false">IF(M161="","",N161+O161)</f>
        <v/>
      </c>
      <c r="Q161" s="26"/>
      <c r="R161" s="8" t="str">
        <f aca="false">IF(OR(M161="",Q161&lt;&gt;"Y"),"",ROUND(N161*설정!$C$5,0))</f>
        <v/>
      </c>
      <c r="S161" s="25"/>
    </row>
    <row r="162" customFormat="false" ht="15" hidden="false" customHeight="false" outlineLevel="0" collapsed="false">
      <c r="A162" s="21" t="str">
        <f aca="false">IF(C162="","",COUNTA($C$5:C162))</f>
        <v/>
      </c>
      <c r="B162" s="22"/>
      <c r="C162" s="23"/>
      <c r="D162" s="26"/>
      <c r="E162" s="25"/>
      <c r="F162" s="7" t="str">
        <f aca="false">IF(E162="","",IFERROR(INDEX(코드관리!$C$7:$C$66,MATCH(E162,코드관리!$B$7:$B$66,0)),"미등록 코드"))</f>
        <v/>
      </c>
      <c r="G162" s="25"/>
      <c r="H162" s="25"/>
      <c r="I162" s="24"/>
      <c r="J162" s="26"/>
      <c r="K162" s="27"/>
      <c r="L162" s="26"/>
      <c r="M162" s="8" t="str">
        <f aca="false">IF(K162="","",IF(J162="USD",ROUND(K162*설정!$C$4,0),K162))</f>
        <v/>
      </c>
      <c r="N162" s="8" t="str">
        <f aca="false">IF(M162="","",IF(AND(I162="과세",L162="VAT포함"),ROUND(M162/(1+설정!$C$5),0),M162))</f>
        <v/>
      </c>
      <c r="O162" s="8" t="str">
        <f aca="false">IF(M162="","",IF(I162="과세",IF(L162="VAT포함",M162-N162,ROUND(N162*설정!$C$5,0)),0))</f>
        <v/>
      </c>
      <c r="P162" s="8" t="str">
        <f aca="false">IF(M162="","",N162+O162)</f>
        <v/>
      </c>
      <c r="Q162" s="26"/>
      <c r="R162" s="8" t="str">
        <f aca="false">IF(OR(M162="",Q162&lt;&gt;"Y"),"",ROUND(N162*설정!$C$5,0))</f>
        <v/>
      </c>
      <c r="S162" s="25"/>
    </row>
    <row r="163" customFormat="false" ht="15" hidden="false" customHeight="false" outlineLevel="0" collapsed="false">
      <c r="A163" s="21" t="str">
        <f aca="false">IF(C163="","",COUNTA($C$5:C163))</f>
        <v/>
      </c>
      <c r="B163" s="22"/>
      <c r="C163" s="23"/>
      <c r="D163" s="26"/>
      <c r="E163" s="25"/>
      <c r="F163" s="7" t="str">
        <f aca="false">IF(E163="","",IFERROR(INDEX(코드관리!$C$7:$C$66,MATCH(E163,코드관리!$B$7:$B$66,0)),"미등록 코드"))</f>
        <v/>
      </c>
      <c r="G163" s="25"/>
      <c r="H163" s="25"/>
      <c r="I163" s="24"/>
      <c r="J163" s="26"/>
      <c r="K163" s="27"/>
      <c r="L163" s="26"/>
      <c r="M163" s="8" t="str">
        <f aca="false">IF(K163="","",IF(J163="USD",ROUND(K163*설정!$C$4,0),K163))</f>
        <v/>
      </c>
      <c r="N163" s="8" t="str">
        <f aca="false">IF(M163="","",IF(AND(I163="과세",L163="VAT포함"),ROUND(M163/(1+설정!$C$5),0),M163))</f>
        <v/>
      </c>
      <c r="O163" s="8" t="str">
        <f aca="false">IF(M163="","",IF(I163="과세",IF(L163="VAT포함",M163-N163,ROUND(N163*설정!$C$5,0)),0))</f>
        <v/>
      </c>
      <c r="P163" s="8" t="str">
        <f aca="false">IF(M163="","",N163+O163)</f>
        <v/>
      </c>
      <c r="Q163" s="26"/>
      <c r="R163" s="8" t="str">
        <f aca="false">IF(OR(M163="",Q163&lt;&gt;"Y"),"",ROUND(N163*설정!$C$5,0))</f>
        <v/>
      </c>
      <c r="S163" s="25"/>
    </row>
    <row r="164" customFormat="false" ht="15" hidden="false" customHeight="false" outlineLevel="0" collapsed="false">
      <c r="A164" s="21" t="str">
        <f aca="false">IF(C164="","",COUNTA($C$5:C164))</f>
        <v/>
      </c>
      <c r="B164" s="22"/>
      <c r="C164" s="23"/>
      <c r="D164" s="26"/>
      <c r="E164" s="25"/>
      <c r="F164" s="7" t="str">
        <f aca="false">IF(E164="","",IFERROR(INDEX(코드관리!$C$7:$C$66,MATCH(E164,코드관리!$B$7:$B$66,0)),"미등록 코드"))</f>
        <v/>
      </c>
      <c r="G164" s="25"/>
      <c r="H164" s="25"/>
      <c r="I164" s="24"/>
      <c r="J164" s="26"/>
      <c r="K164" s="27"/>
      <c r="L164" s="26"/>
      <c r="M164" s="8" t="str">
        <f aca="false">IF(K164="","",IF(J164="USD",ROUND(K164*설정!$C$4,0),K164))</f>
        <v/>
      </c>
      <c r="N164" s="8" t="str">
        <f aca="false">IF(M164="","",IF(AND(I164="과세",L164="VAT포함"),ROUND(M164/(1+설정!$C$5),0),M164))</f>
        <v/>
      </c>
      <c r="O164" s="8" t="str">
        <f aca="false">IF(M164="","",IF(I164="과세",IF(L164="VAT포함",M164-N164,ROUND(N164*설정!$C$5,0)),0))</f>
        <v/>
      </c>
      <c r="P164" s="8" t="str">
        <f aca="false">IF(M164="","",N164+O164)</f>
        <v/>
      </c>
      <c r="Q164" s="26"/>
      <c r="R164" s="8" t="str">
        <f aca="false">IF(OR(M164="",Q164&lt;&gt;"Y"),"",ROUND(N164*설정!$C$5,0))</f>
        <v/>
      </c>
      <c r="S164" s="25"/>
    </row>
    <row r="165" customFormat="false" ht="15" hidden="false" customHeight="false" outlineLevel="0" collapsed="false">
      <c r="A165" s="21" t="str">
        <f aca="false">IF(C165="","",COUNTA($C$5:C165))</f>
        <v/>
      </c>
      <c r="B165" s="22"/>
      <c r="C165" s="23"/>
      <c r="D165" s="26"/>
      <c r="E165" s="25"/>
      <c r="F165" s="7" t="str">
        <f aca="false">IF(E165="","",IFERROR(INDEX(코드관리!$C$7:$C$66,MATCH(E165,코드관리!$B$7:$B$66,0)),"미등록 코드"))</f>
        <v/>
      </c>
      <c r="G165" s="25"/>
      <c r="H165" s="25"/>
      <c r="I165" s="24"/>
      <c r="J165" s="26"/>
      <c r="K165" s="27"/>
      <c r="L165" s="26"/>
      <c r="M165" s="8" t="str">
        <f aca="false">IF(K165="","",IF(J165="USD",ROUND(K165*설정!$C$4,0),K165))</f>
        <v/>
      </c>
      <c r="N165" s="8" t="str">
        <f aca="false">IF(M165="","",IF(AND(I165="과세",L165="VAT포함"),ROUND(M165/(1+설정!$C$5),0),M165))</f>
        <v/>
      </c>
      <c r="O165" s="8" t="str">
        <f aca="false">IF(M165="","",IF(I165="과세",IF(L165="VAT포함",M165-N165,ROUND(N165*설정!$C$5,0)),0))</f>
        <v/>
      </c>
      <c r="P165" s="8" t="str">
        <f aca="false">IF(M165="","",N165+O165)</f>
        <v/>
      </c>
      <c r="Q165" s="26"/>
      <c r="R165" s="8" t="str">
        <f aca="false">IF(OR(M165="",Q165&lt;&gt;"Y"),"",ROUND(N165*설정!$C$5,0))</f>
        <v/>
      </c>
      <c r="S165" s="25"/>
    </row>
    <row r="166" customFormat="false" ht="15" hidden="false" customHeight="false" outlineLevel="0" collapsed="false">
      <c r="A166" s="21" t="str">
        <f aca="false">IF(C166="","",COUNTA($C$5:C166))</f>
        <v/>
      </c>
      <c r="B166" s="22"/>
      <c r="C166" s="23"/>
      <c r="D166" s="26"/>
      <c r="E166" s="25"/>
      <c r="F166" s="7" t="str">
        <f aca="false">IF(E166="","",IFERROR(INDEX(코드관리!$C$7:$C$66,MATCH(E166,코드관리!$B$7:$B$66,0)),"미등록 코드"))</f>
        <v/>
      </c>
      <c r="G166" s="25"/>
      <c r="H166" s="25"/>
      <c r="I166" s="24"/>
      <c r="J166" s="26"/>
      <c r="K166" s="27"/>
      <c r="L166" s="26"/>
      <c r="M166" s="8" t="str">
        <f aca="false">IF(K166="","",IF(J166="USD",ROUND(K166*설정!$C$4,0),K166))</f>
        <v/>
      </c>
      <c r="N166" s="8" t="str">
        <f aca="false">IF(M166="","",IF(AND(I166="과세",L166="VAT포함"),ROUND(M166/(1+설정!$C$5),0),M166))</f>
        <v/>
      </c>
      <c r="O166" s="8" t="str">
        <f aca="false">IF(M166="","",IF(I166="과세",IF(L166="VAT포함",M166-N166,ROUND(N166*설정!$C$5,0)),0))</f>
        <v/>
      </c>
      <c r="P166" s="8" t="str">
        <f aca="false">IF(M166="","",N166+O166)</f>
        <v/>
      </c>
      <c r="Q166" s="26"/>
      <c r="R166" s="8" t="str">
        <f aca="false">IF(OR(M166="",Q166&lt;&gt;"Y"),"",ROUND(N166*설정!$C$5,0))</f>
        <v/>
      </c>
      <c r="S166" s="25"/>
    </row>
    <row r="167" customFormat="false" ht="15" hidden="false" customHeight="false" outlineLevel="0" collapsed="false">
      <c r="A167" s="21" t="str">
        <f aca="false">IF(C167="","",COUNTA($C$5:C167))</f>
        <v/>
      </c>
      <c r="B167" s="22"/>
      <c r="C167" s="23"/>
      <c r="D167" s="26"/>
      <c r="E167" s="25"/>
      <c r="F167" s="7" t="str">
        <f aca="false">IF(E167="","",IFERROR(INDEX(코드관리!$C$7:$C$66,MATCH(E167,코드관리!$B$7:$B$66,0)),"미등록 코드"))</f>
        <v/>
      </c>
      <c r="G167" s="25"/>
      <c r="H167" s="25"/>
      <c r="I167" s="24"/>
      <c r="J167" s="26"/>
      <c r="K167" s="27"/>
      <c r="L167" s="26"/>
      <c r="M167" s="8" t="str">
        <f aca="false">IF(K167="","",IF(J167="USD",ROUND(K167*설정!$C$4,0),K167))</f>
        <v/>
      </c>
      <c r="N167" s="8" t="str">
        <f aca="false">IF(M167="","",IF(AND(I167="과세",L167="VAT포함"),ROUND(M167/(1+설정!$C$5),0),M167))</f>
        <v/>
      </c>
      <c r="O167" s="8" t="str">
        <f aca="false">IF(M167="","",IF(I167="과세",IF(L167="VAT포함",M167-N167,ROUND(N167*설정!$C$5,0)),0))</f>
        <v/>
      </c>
      <c r="P167" s="8" t="str">
        <f aca="false">IF(M167="","",N167+O167)</f>
        <v/>
      </c>
      <c r="Q167" s="26"/>
      <c r="R167" s="8" t="str">
        <f aca="false">IF(OR(M167="",Q167&lt;&gt;"Y"),"",ROUND(N167*설정!$C$5,0))</f>
        <v/>
      </c>
      <c r="S167" s="25"/>
    </row>
    <row r="168" customFormat="false" ht="15" hidden="false" customHeight="false" outlineLevel="0" collapsed="false">
      <c r="A168" s="21" t="str">
        <f aca="false">IF(C168="","",COUNTA($C$5:C168))</f>
        <v/>
      </c>
      <c r="B168" s="22"/>
      <c r="C168" s="23"/>
      <c r="D168" s="26"/>
      <c r="E168" s="25"/>
      <c r="F168" s="7" t="str">
        <f aca="false">IF(E168="","",IFERROR(INDEX(코드관리!$C$7:$C$66,MATCH(E168,코드관리!$B$7:$B$66,0)),"미등록 코드"))</f>
        <v/>
      </c>
      <c r="G168" s="25"/>
      <c r="H168" s="25"/>
      <c r="I168" s="24"/>
      <c r="J168" s="26"/>
      <c r="K168" s="27"/>
      <c r="L168" s="26"/>
      <c r="M168" s="8" t="str">
        <f aca="false">IF(K168="","",IF(J168="USD",ROUND(K168*설정!$C$4,0),K168))</f>
        <v/>
      </c>
      <c r="N168" s="8" t="str">
        <f aca="false">IF(M168="","",IF(AND(I168="과세",L168="VAT포함"),ROUND(M168/(1+설정!$C$5),0),M168))</f>
        <v/>
      </c>
      <c r="O168" s="8" t="str">
        <f aca="false">IF(M168="","",IF(I168="과세",IF(L168="VAT포함",M168-N168,ROUND(N168*설정!$C$5,0)),0))</f>
        <v/>
      </c>
      <c r="P168" s="8" t="str">
        <f aca="false">IF(M168="","",N168+O168)</f>
        <v/>
      </c>
      <c r="Q168" s="26"/>
      <c r="R168" s="8" t="str">
        <f aca="false">IF(OR(M168="",Q168&lt;&gt;"Y"),"",ROUND(N168*설정!$C$5,0))</f>
        <v/>
      </c>
      <c r="S168" s="25"/>
    </row>
    <row r="169" customFormat="false" ht="15" hidden="false" customHeight="false" outlineLevel="0" collapsed="false">
      <c r="A169" s="21" t="str">
        <f aca="false">IF(C169="","",COUNTA($C$5:C169))</f>
        <v/>
      </c>
      <c r="B169" s="22"/>
      <c r="C169" s="23"/>
      <c r="D169" s="26"/>
      <c r="E169" s="25"/>
      <c r="F169" s="7" t="str">
        <f aca="false">IF(E169="","",IFERROR(INDEX(코드관리!$C$7:$C$66,MATCH(E169,코드관리!$B$7:$B$66,0)),"미등록 코드"))</f>
        <v/>
      </c>
      <c r="G169" s="25"/>
      <c r="H169" s="25"/>
      <c r="I169" s="24"/>
      <c r="J169" s="26"/>
      <c r="K169" s="27"/>
      <c r="L169" s="26"/>
      <c r="M169" s="8" t="str">
        <f aca="false">IF(K169="","",IF(J169="USD",ROUND(K169*설정!$C$4,0),K169))</f>
        <v/>
      </c>
      <c r="N169" s="8" t="str">
        <f aca="false">IF(M169="","",IF(AND(I169="과세",L169="VAT포함"),ROUND(M169/(1+설정!$C$5),0),M169))</f>
        <v/>
      </c>
      <c r="O169" s="8" t="str">
        <f aca="false">IF(M169="","",IF(I169="과세",IF(L169="VAT포함",M169-N169,ROUND(N169*설정!$C$5,0)),0))</f>
        <v/>
      </c>
      <c r="P169" s="8" t="str">
        <f aca="false">IF(M169="","",N169+O169)</f>
        <v/>
      </c>
      <c r="Q169" s="26"/>
      <c r="R169" s="8" t="str">
        <f aca="false">IF(OR(M169="",Q169&lt;&gt;"Y"),"",ROUND(N169*설정!$C$5,0))</f>
        <v/>
      </c>
      <c r="S169" s="25"/>
    </row>
    <row r="170" customFormat="false" ht="15" hidden="false" customHeight="false" outlineLevel="0" collapsed="false">
      <c r="A170" s="21" t="str">
        <f aca="false">IF(C170="","",COUNTA($C$5:C170))</f>
        <v/>
      </c>
      <c r="B170" s="22"/>
      <c r="C170" s="23"/>
      <c r="D170" s="26"/>
      <c r="E170" s="25"/>
      <c r="F170" s="7" t="str">
        <f aca="false">IF(E170="","",IFERROR(INDEX(코드관리!$C$7:$C$66,MATCH(E170,코드관리!$B$7:$B$66,0)),"미등록 코드"))</f>
        <v/>
      </c>
      <c r="G170" s="25"/>
      <c r="H170" s="25"/>
      <c r="I170" s="24"/>
      <c r="J170" s="26"/>
      <c r="K170" s="27"/>
      <c r="L170" s="26"/>
      <c r="M170" s="8" t="str">
        <f aca="false">IF(K170="","",IF(J170="USD",ROUND(K170*설정!$C$4,0),K170))</f>
        <v/>
      </c>
      <c r="N170" s="8" t="str">
        <f aca="false">IF(M170="","",IF(AND(I170="과세",L170="VAT포함"),ROUND(M170/(1+설정!$C$5),0),M170))</f>
        <v/>
      </c>
      <c r="O170" s="8" t="str">
        <f aca="false">IF(M170="","",IF(I170="과세",IF(L170="VAT포함",M170-N170,ROUND(N170*설정!$C$5,0)),0))</f>
        <v/>
      </c>
      <c r="P170" s="8" t="str">
        <f aca="false">IF(M170="","",N170+O170)</f>
        <v/>
      </c>
      <c r="Q170" s="26"/>
      <c r="R170" s="8" t="str">
        <f aca="false">IF(OR(M170="",Q170&lt;&gt;"Y"),"",ROUND(N170*설정!$C$5,0))</f>
        <v/>
      </c>
      <c r="S170" s="25"/>
    </row>
    <row r="171" customFormat="false" ht="15" hidden="false" customHeight="false" outlineLevel="0" collapsed="false">
      <c r="A171" s="21" t="str">
        <f aca="false">IF(C171="","",COUNTA($C$5:C171))</f>
        <v/>
      </c>
      <c r="B171" s="22"/>
      <c r="C171" s="23"/>
      <c r="D171" s="26"/>
      <c r="E171" s="25"/>
      <c r="F171" s="7" t="str">
        <f aca="false">IF(E171="","",IFERROR(INDEX(코드관리!$C$7:$C$66,MATCH(E171,코드관리!$B$7:$B$66,0)),"미등록 코드"))</f>
        <v/>
      </c>
      <c r="G171" s="25"/>
      <c r="H171" s="25"/>
      <c r="I171" s="24"/>
      <c r="J171" s="26"/>
      <c r="K171" s="27"/>
      <c r="L171" s="26"/>
      <c r="M171" s="8" t="str">
        <f aca="false">IF(K171="","",IF(J171="USD",ROUND(K171*설정!$C$4,0),K171))</f>
        <v/>
      </c>
      <c r="N171" s="8" t="str">
        <f aca="false">IF(M171="","",IF(AND(I171="과세",L171="VAT포함"),ROUND(M171/(1+설정!$C$5),0),M171))</f>
        <v/>
      </c>
      <c r="O171" s="8" t="str">
        <f aca="false">IF(M171="","",IF(I171="과세",IF(L171="VAT포함",M171-N171,ROUND(N171*설정!$C$5,0)),0))</f>
        <v/>
      </c>
      <c r="P171" s="8" t="str">
        <f aca="false">IF(M171="","",N171+O171)</f>
        <v/>
      </c>
      <c r="Q171" s="26"/>
      <c r="R171" s="8" t="str">
        <f aca="false">IF(OR(M171="",Q171&lt;&gt;"Y"),"",ROUND(N171*설정!$C$5,0))</f>
        <v/>
      </c>
      <c r="S171" s="25"/>
    </row>
    <row r="172" customFormat="false" ht="15" hidden="false" customHeight="false" outlineLevel="0" collapsed="false">
      <c r="A172" s="21" t="str">
        <f aca="false">IF(C172="","",COUNTA($C$5:C172))</f>
        <v/>
      </c>
      <c r="B172" s="22"/>
      <c r="C172" s="23"/>
      <c r="D172" s="26"/>
      <c r="E172" s="25"/>
      <c r="F172" s="7" t="str">
        <f aca="false">IF(E172="","",IFERROR(INDEX(코드관리!$C$7:$C$66,MATCH(E172,코드관리!$B$7:$B$66,0)),"미등록 코드"))</f>
        <v/>
      </c>
      <c r="G172" s="25"/>
      <c r="H172" s="25"/>
      <c r="I172" s="24"/>
      <c r="J172" s="26"/>
      <c r="K172" s="27"/>
      <c r="L172" s="26"/>
      <c r="M172" s="8" t="str">
        <f aca="false">IF(K172="","",IF(J172="USD",ROUND(K172*설정!$C$4,0),K172))</f>
        <v/>
      </c>
      <c r="N172" s="8" t="str">
        <f aca="false">IF(M172="","",IF(AND(I172="과세",L172="VAT포함"),ROUND(M172/(1+설정!$C$5),0),M172))</f>
        <v/>
      </c>
      <c r="O172" s="8" t="str">
        <f aca="false">IF(M172="","",IF(I172="과세",IF(L172="VAT포함",M172-N172,ROUND(N172*설정!$C$5,0)),0))</f>
        <v/>
      </c>
      <c r="P172" s="8" t="str">
        <f aca="false">IF(M172="","",N172+O172)</f>
        <v/>
      </c>
      <c r="Q172" s="26"/>
      <c r="R172" s="8" t="str">
        <f aca="false">IF(OR(M172="",Q172&lt;&gt;"Y"),"",ROUND(N172*설정!$C$5,0))</f>
        <v/>
      </c>
      <c r="S172" s="25"/>
    </row>
    <row r="173" customFormat="false" ht="15" hidden="false" customHeight="false" outlineLevel="0" collapsed="false">
      <c r="A173" s="21" t="str">
        <f aca="false">IF(C173="","",COUNTA($C$5:C173))</f>
        <v/>
      </c>
      <c r="B173" s="22"/>
      <c r="C173" s="23"/>
      <c r="D173" s="26"/>
      <c r="E173" s="25"/>
      <c r="F173" s="7" t="str">
        <f aca="false">IF(E173="","",IFERROR(INDEX(코드관리!$C$7:$C$66,MATCH(E173,코드관리!$B$7:$B$66,0)),"미등록 코드"))</f>
        <v/>
      </c>
      <c r="G173" s="25"/>
      <c r="H173" s="25"/>
      <c r="I173" s="24"/>
      <c r="J173" s="26"/>
      <c r="K173" s="27"/>
      <c r="L173" s="26"/>
      <c r="M173" s="8" t="str">
        <f aca="false">IF(K173="","",IF(J173="USD",ROUND(K173*설정!$C$4,0),K173))</f>
        <v/>
      </c>
      <c r="N173" s="8" t="str">
        <f aca="false">IF(M173="","",IF(AND(I173="과세",L173="VAT포함"),ROUND(M173/(1+설정!$C$5),0),M173))</f>
        <v/>
      </c>
      <c r="O173" s="8" t="str">
        <f aca="false">IF(M173="","",IF(I173="과세",IF(L173="VAT포함",M173-N173,ROUND(N173*설정!$C$5,0)),0))</f>
        <v/>
      </c>
      <c r="P173" s="8" t="str">
        <f aca="false">IF(M173="","",N173+O173)</f>
        <v/>
      </c>
      <c r="Q173" s="26"/>
      <c r="R173" s="8" t="str">
        <f aca="false">IF(OR(M173="",Q173&lt;&gt;"Y"),"",ROUND(N173*설정!$C$5,0))</f>
        <v/>
      </c>
      <c r="S173" s="25"/>
    </row>
    <row r="174" customFormat="false" ht="15" hidden="false" customHeight="false" outlineLevel="0" collapsed="false">
      <c r="A174" s="21" t="str">
        <f aca="false">IF(C174="","",COUNTA($C$5:C174))</f>
        <v/>
      </c>
      <c r="B174" s="22"/>
      <c r="C174" s="23"/>
      <c r="D174" s="26"/>
      <c r="E174" s="25"/>
      <c r="F174" s="7" t="str">
        <f aca="false">IF(E174="","",IFERROR(INDEX(코드관리!$C$7:$C$66,MATCH(E174,코드관리!$B$7:$B$66,0)),"미등록 코드"))</f>
        <v/>
      </c>
      <c r="G174" s="25"/>
      <c r="H174" s="25"/>
      <c r="I174" s="24"/>
      <c r="J174" s="26"/>
      <c r="K174" s="27"/>
      <c r="L174" s="26"/>
      <c r="M174" s="8" t="str">
        <f aca="false">IF(K174="","",IF(J174="USD",ROUND(K174*설정!$C$4,0),K174))</f>
        <v/>
      </c>
      <c r="N174" s="8" t="str">
        <f aca="false">IF(M174="","",IF(AND(I174="과세",L174="VAT포함"),ROUND(M174/(1+설정!$C$5),0),M174))</f>
        <v/>
      </c>
      <c r="O174" s="8" t="str">
        <f aca="false">IF(M174="","",IF(I174="과세",IF(L174="VAT포함",M174-N174,ROUND(N174*설정!$C$5,0)),0))</f>
        <v/>
      </c>
      <c r="P174" s="8" t="str">
        <f aca="false">IF(M174="","",N174+O174)</f>
        <v/>
      </c>
      <c r="Q174" s="26"/>
      <c r="R174" s="8" t="str">
        <f aca="false">IF(OR(M174="",Q174&lt;&gt;"Y"),"",ROUND(N174*설정!$C$5,0))</f>
        <v/>
      </c>
      <c r="S174" s="25"/>
    </row>
    <row r="175" customFormat="false" ht="15" hidden="false" customHeight="false" outlineLevel="0" collapsed="false">
      <c r="A175" s="21" t="str">
        <f aca="false">IF(C175="","",COUNTA($C$5:C175))</f>
        <v/>
      </c>
      <c r="B175" s="22"/>
      <c r="C175" s="23"/>
      <c r="D175" s="26"/>
      <c r="E175" s="25"/>
      <c r="F175" s="7" t="str">
        <f aca="false">IF(E175="","",IFERROR(INDEX(코드관리!$C$7:$C$66,MATCH(E175,코드관리!$B$7:$B$66,0)),"미등록 코드"))</f>
        <v/>
      </c>
      <c r="G175" s="25"/>
      <c r="H175" s="25"/>
      <c r="I175" s="24"/>
      <c r="J175" s="26"/>
      <c r="K175" s="27"/>
      <c r="L175" s="26"/>
      <c r="M175" s="8" t="str">
        <f aca="false">IF(K175="","",IF(J175="USD",ROUND(K175*설정!$C$4,0),K175))</f>
        <v/>
      </c>
      <c r="N175" s="8" t="str">
        <f aca="false">IF(M175="","",IF(AND(I175="과세",L175="VAT포함"),ROUND(M175/(1+설정!$C$5),0),M175))</f>
        <v/>
      </c>
      <c r="O175" s="8" t="str">
        <f aca="false">IF(M175="","",IF(I175="과세",IF(L175="VAT포함",M175-N175,ROUND(N175*설정!$C$5,0)),0))</f>
        <v/>
      </c>
      <c r="P175" s="8" t="str">
        <f aca="false">IF(M175="","",N175+O175)</f>
        <v/>
      </c>
      <c r="Q175" s="26"/>
      <c r="R175" s="8" t="str">
        <f aca="false">IF(OR(M175="",Q175&lt;&gt;"Y"),"",ROUND(N175*설정!$C$5,0))</f>
        <v/>
      </c>
      <c r="S175" s="25"/>
    </row>
    <row r="176" customFormat="false" ht="15" hidden="false" customHeight="false" outlineLevel="0" collapsed="false">
      <c r="A176" s="21" t="str">
        <f aca="false">IF(C176="","",COUNTA($C$5:C176))</f>
        <v/>
      </c>
      <c r="B176" s="22"/>
      <c r="C176" s="23"/>
      <c r="D176" s="26"/>
      <c r="E176" s="25"/>
      <c r="F176" s="7" t="str">
        <f aca="false">IF(E176="","",IFERROR(INDEX(코드관리!$C$7:$C$66,MATCH(E176,코드관리!$B$7:$B$66,0)),"미등록 코드"))</f>
        <v/>
      </c>
      <c r="G176" s="25"/>
      <c r="H176" s="25"/>
      <c r="I176" s="24"/>
      <c r="J176" s="26"/>
      <c r="K176" s="27"/>
      <c r="L176" s="26"/>
      <c r="M176" s="8" t="str">
        <f aca="false">IF(K176="","",IF(J176="USD",ROUND(K176*설정!$C$4,0),K176))</f>
        <v/>
      </c>
      <c r="N176" s="8" t="str">
        <f aca="false">IF(M176="","",IF(AND(I176="과세",L176="VAT포함"),ROUND(M176/(1+설정!$C$5),0),M176))</f>
        <v/>
      </c>
      <c r="O176" s="8" t="str">
        <f aca="false">IF(M176="","",IF(I176="과세",IF(L176="VAT포함",M176-N176,ROUND(N176*설정!$C$5,0)),0))</f>
        <v/>
      </c>
      <c r="P176" s="8" t="str">
        <f aca="false">IF(M176="","",N176+O176)</f>
        <v/>
      </c>
      <c r="Q176" s="26"/>
      <c r="R176" s="8" t="str">
        <f aca="false">IF(OR(M176="",Q176&lt;&gt;"Y"),"",ROUND(N176*설정!$C$5,0))</f>
        <v/>
      </c>
      <c r="S176" s="25"/>
    </row>
    <row r="177" customFormat="false" ht="15" hidden="false" customHeight="false" outlineLevel="0" collapsed="false">
      <c r="A177" s="21" t="str">
        <f aca="false">IF(C177="","",COUNTA($C$5:C177))</f>
        <v/>
      </c>
      <c r="B177" s="22"/>
      <c r="C177" s="23"/>
      <c r="D177" s="26"/>
      <c r="E177" s="25"/>
      <c r="F177" s="7" t="str">
        <f aca="false">IF(E177="","",IFERROR(INDEX(코드관리!$C$7:$C$66,MATCH(E177,코드관리!$B$7:$B$66,0)),"미등록 코드"))</f>
        <v/>
      </c>
      <c r="G177" s="25"/>
      <c r="H177" s="25"/>
      <c r="I177" s="24"/>
      <c r="J177" s="26"/>
      <c r="K177" s="27"/>
      <c r="L177" s="26"/>
      <c r="M177" s="8" t="str">
        <f aca="false">IF(K177="","",IF(J177="USD",ROUND(K177*설정!$C$4,0),K177))</f>
        <v/>
      </c>
      <c r="N177" s="8" t="str">
        <f aca="false">IF(M177="","",IF(AND(I177="과세",L177="VAT포함"),ROUND(M177/(1+설정!$C$5),0),M177))</f>
        <v/>
      </c>
      <c r="O177" s="8" t="str">
        <f aca="false">IF(M177="","",IF(I177="과세",IF(L177="VAT포함",M177-N177,ROUND(N177*설정!$C$5,0)),0))</f>
        <v/>
      </c>
      <c r="P177" s="8" t="str">
        <f aca="false">IF(M177="","",N177+O177)</f>
        <v/>
      </c>
      <c r="Q177" s="26"/>
      <c r="R177" s="8" t="str">
        <f aca="false">IF(OR(M177="",Q177&lt;&gt;"Y"),"",ROUND(N177*설정!$C$5,0))</f>
        <v/>
      </c>
      <c r="S177" s="25"/>
    </row>
    <row r="178" customFormat="false" ht="15" hidden="false" customHeight="false" outlineLevel="0" collapsed="false">
      <c r="A178" s="21" t="str">
        <f aca="false">IF(C178="","",COUNTA($C$5:C178))</f>
        <v/>
      </c>
      <c r="B178" s="22"/>
      <c r="C178" s="23"/>
      <c r="D178" s="26"/>
      <c r="E178" s="25"/>
      <c r="F178" s="7" t="str">
        <f aca="false">IF(E178="","",IFERROR(INDEX(코드관리!$C$7:$C$66,MATCH(E178,코드관리!$B$7:$B$66,0)),"미등록 코드"))</f>
        <v/>
      </c>
      <c r="G178" s="25"/>
      <c r="H178" s="25"/>
      <c r="I178" s="24"/>
      <c r="J178" s="26"/>
      <c r="K178" s="27"/>
      <c r="L178" s="26"/>
      <c r="M178" s="8" t="str">
        <f aca="false">IF(K178="","",IF(J178="USD",ROUND(K178*설정!$C$4,0),K178))</f>
        <v/>
      </c>
      <c r="N178" s="8" t="str">
        <f aca="false">IF(M178="","",IF(AND(I178="과세",L178="VAT포함"),ROUND(M178/(1+설정!$C$5),0),M178))</f>
        <v/>
      </c>
      <c r="O178" s="8" t="str">
        <f aca="false">IF(M178="","",IF(I178="과세",IF(L178="VAT포함",M178-N178,ROUND(N178*설정!$C$5,0)),0))</f>
        <v/>
      </c>
      <c r="P178" s="8" t="str">
        <f aca="false">IF(M178="","",N178+O178)</f>
        <v/>
      </c>
      <c r="Q178" s="26"/>
      <c r="R178" s="8" t="str">
        <f aca="false">IF(OR(M178="",Q178&lt;&gt;"Y"),"",ROUND(N178*설정!$C$5,0))</f>
        <v/>
      </c>
      <c r="S178" s="25"/>
    </row>
    <row r="179" customFormat="false" ht="15" hidden="false" customHeight="false" outlineLevel="0" collapsed="false">
      <c r="A179" s="21" t="str">
        <f aca="false">IF(C179="","",COUNTA($C$5:C179))</f>
        <v/>
      </c>
      <c r="B179" s="22"/>
      <c r="C179" s="23"/>
      <c r="D179" s="26"/>
      <c r="E179" s="25"/>
      <c r="F179" s="7" t="str">
        <f aca="false">IF(E179="","",IFERROR(INDEX(코드관리!$C$7:$C$66,MATCH(E179,코드관리!$B$7:$B$66,0)),"미등록 코드"))</f>
        <v/>
      </c>
      <c r="G179" s="25"/>
      <c r="H179" s="25"/>
      <c r="I179" s="24"/>
      <c r="J179" s="26"/>
      <c r="K179" s="27"/>
      <c r="L179" s="26"/>
      <c r="M179" s="8" t="str">
        <f aca="false">IF(K179="","",IF(J179="USD",ROUND(K179*설정!$C$4,0),K179))</f>
        <v/>
      </c>
      <c r="N179" s="8" t="str">
        <f aca="false">IF(M179="","",IF(AND(I179="과세",L179="VAT포함"),ROUND(M179/(1+설정!$C$5),0),M179))</f>
        <v/>
      </c>
      <c r="O179" s="8" t="str">
        <f aca="false">IF(M179="","",IF(I179="과세",IF(L179="VAT포함",M179-N179,ROUND(N179*설정!$C$5,0)),0))</f>
        <v/>
      </c>
      <c r="P179" s="8" t="str">
        <f aca="false">IF(M179="","",N179+O179)</f>
        <v/>
      </c>
      <c r="Q179" s="26"/>
      <c r="R179" s="8" t="str">
        <f aca="false">IF(OR(M179="",Q179&lt;&gt;"Y"),"",ROUND(N179*설정!$C$5,0))</f>
        <v/>
      </c>
      <c r="S179" s="25"/>
    </row>
    <row r="180" customFormat="false" ht="15" hidden="false" customHeight="false" outlineLevel="0" collapsed="false">
      <c r="A180" s="21" t="str">
        <f aca="false">IF(C180="","",COUNTA($C$5:C180))</f>
        <v/>
      </c>
      <c r="B180" s="22"/>
      <c r="C180" s="23"/>
      <c r="D180" s="26"/>
      <c r="E180" s="25"/>
      <c r="F180" s="7" t="str">
        <f aca="false">IF(E180="","",IFERROR(INDEX(코드관리!$C$7:$C$66,MATCH(E180,코드관리!$B$7:$B$66,0)),"미등록 코드"))</f>
        <v/>
      </c>
      <c r="G180" s="25"/>
      <c r="H180" s="25"/>
      <c r="I180" s="24"/>
      <c r="J180" s="26"/>
      <c r="K180" s="27"/>
      <c r="L180" s="26"/>
      <c r="M180" s="8" t="str">
        <f aca="false">IF(K180="","",IF(J180="USD",ROUND(K180*설정!$C$4,0),K180))</f>
        <v/>
      </c>
      <c r="N180" s="8" t="str">
        <f aca="false">IF(M180="","",IF(AND(I180="과세",L180="VAT포함"),ROUND(M180/(1+설정!$C$5),0),M180))</f>
        <v/>
      </c>
      <c r="O180" s="8" t="str">
        <f aca="false">IF(M180="","",IF(I180="과세",IF(L180="VAT포함",M180-N180,ROUND(N180*설정!$C$5,0)),0))</f>
        <v/>
      </c>
      <c r="P180" s="8" t="str">
        <f aca="false">IF(M180="","",N180+O180)</f>
        <v/>
      </c>
      <c r="Q180" s="26"/>
      <c r="R180" s="8" t="str">
        <f aca="false">IF(OR(M180="",Q180&lt;&gt;"Y"),"",ROUND(N180*설정!$C$5,0))</f>
        <v/>
      </c>
      <c r="S180" s="25"/>
    </row>
    <row r="181" customFormat="false" ht="15" hidden="false" customHeight="false" outlineLevel="0" collapsed="false">
      <c r="A181" s="21" t="str">
        <f aca="false">IF(C181="","",COUNTA($C$5:C181))</f>
        <v/>
      </c>
      <c r="B181" s="22"/>
      <c r="C181" s="23"/>
      <c r="D181" s="26"/>
      <c r="E181" s="25"/>
      <c r="F181" s="7" t="str">
        <f aca="false">IF(E181="","",IFERROR(INDEX(코드관리!$C$7:$C$66,MATCH(E181,코드관리!$B$7:$B$66,0)),"미등록 코드"))</f>
        <v/>
      </c>
      <c r="G181" s="25"/>
      <c r="H181" s="25"/>
      <c r="I181" s="24"/>
      <c r="J181" s="26"/>
      <c r="K181" s="27"/>
      <c r="L181" s="26"/>
      <c r="M181" s="8" t="str">
        <f aca="false">IF(K181="","",IF(J181="USD",ROUND(K181*설정!$C$4,0),K181))</f>
        <v/>
      </c>
      <c r="N181" s="8" t="str">
        <f aca="false">IF(M181="","",IF(AND(I181="과세",L181="VAT포함"),ROUND(M181/(1+설정!$C$5),0),M181))</f>
        <v/>
      </c>
      <c r="O181" s="8" t="str">
        <f aca="false">IF(M181="","",IF(I181="과세",IF(L181="VAT포함",M181-N181,ROUND(N181*설정!$C$5,0)),0))</f>
        <v/>
      </c>
      <c r="P181" s="8" t="str">
        <f aca="false">IF(M181="","",N181+O181)</f>
        <v/>
      </c>
      <c r="Q181" s="26"/>
      <c r="R181" s="8" t="str">
        <f aca="false">IF(OR(M181="",Q181&lt;&gt;"Y"),"",ROUND(N181*설정!$C$5,0))</f>
        <v/>
      </c>
      <c r="S181" s="25"/>
    </row>
    <row r="182" customFormat="false" ht="15" hidden="false" customHeight="false" outlineLevel="0" collapsed="false">
      <c r="A182" s="21" t="str">
        <f aca="false">IF(C182="","",COUNTA($C$5:C182))</f>
        <v/>
      </c>
      <c r="B182" s="22"/>
      <c r="C182" s="23"/>
      <c r="D182" s="26"/>
      <c r="E182" s="25"/>
      <c r="F182" s="7" t="str">
        <f aca="false">IF(E182="","",IFERROR(INDEX(코드관리!$C$7:$C$66,MATCH(E182,코드관리!$B$7:$B$66,0)),"미등록 코드"))</f>
        <v/>
      </c>
      <c r="G182" s="25"/>
      <c r="H182" s="25"/>
      <c r="I182" s="24"/>
      <c r="J182" s="26"/>
      <c r="K182" s="27"/>
      <c r="L182" s="26"/>
      <c r="M182" s="8" t="str">
        <f aca="false">IF(K182="","",IF(J182="USD",ROUND(K182*설정!$C$4,0),K182))</f>
        <v/>
      </c>
      <c r="N182" s="8" t="str">
        <f aca="false">IF(M182="","",IF(AND(I182="과세",L182="VAT포함"),ROUND(M182/(1+설정!$C$5),0),M182))</f>
        <v/>
      </c>
      <c r="O182" s="8" t="str">
        <f aca="false">IF(M182="","",IF(I182="과세",IF(L182="VAT포함",M182-N182,ROUND(N182*설정!$C$5,0)),0))</f>
        <v/>
      </c>
      <c r="P182" s="8" t="str">
        <f aca="false">IF(M182="","",N182+O182)</f>
        <v/>
      </c>
      <c r="Q182" s="26"/>
      <c r="R182" s="8" t="str">
        <f aca="false">IF(OR(M182="",Q182&lt;&gt;"Y"),"",ROUND(N182*설정!$C$5,0))</f>
        <v/>
      </c>
      <c r="S182" s="25"/>
    </row>
    <row r="183" customFormat="false" ht="15" hidden="false" customHeight="false" outlineLevel="0" collapsed="false">
      <c r="A183" s="21" t="str">
        <f aca="false">IF(C183="","",COUNTA($C$5:C183))</f>
        <v/>
      </c>
      <c r="B183" s="22"/>
      <c r="C183" s="23"/>
      <c r="D183" s="26"/>
      <c r="E183" s="25"/>
      <c r="F183" s="7" t="str">
        <f aca="false">IF(E183="","",IFERROR(INDEX(코드관리!$C$7:$C$66,MATCH(E183,코드관리!$B$7:$B$66,0)),"미등록 코드"))</f>
        <v/>
      </c>
      <c r="G183" s="25"/>
      <c r="H183" s="25"/>
      <c r="I183" s="24"/>
      <c r="J183" s="26"/>
      <c r="K183" s="27"/>
      <c r="L183" s="26"/>
      <c r="M183" s="8" t="str">
        <f aca="false">IF(K183="","",IF(J183="USD",ROUND(K183*설정!$C$4,0),K183))</f>
        <v/>
      </c>
      <c r="N183" s="8" t="str">
        <f aca="false">IF(M183="","",IF(AND(I183="과세",L183="VAT포함"),ROUND(M183/(1+설정!$C$5),0),M183))</f>
        <v/>
      </c>
      <c r="O183" s="8" t="str">
        <f aca="false">IF(M183="","",IF(I183="과세",IF(L183="VAT포함",M183-N183,ROUND(N183*설정!$C$5,0)),0))</f>
        <v/>
      </c>
      <c r="P183" s="8" t="str">
        <f aca="false">IF(M183="","",N183+O183)</f>
        <v/>
      </c>
      <c r="Q183" s="26"/>
      <c r="R183" s="8" t="str">
        <f aca="false">IF(OR(M183="",Q183&lt;&gt;"Y"),"",ROUND(N183*설정!$C$5,0))</f>
        <v/>
      </c>
      <c r="S183" s="25"/>
    </row>
    <row r="184" customFormat="false" ht="15" hidden="false" customHeight="false" outlineLevel="0" collapsed="false">
      <c r="A184" s="21" t="str">
        <f aca="false">IF(C184="","",COUNTA($C$5:C184))</f>
        <v/>
      </c>
      <c r="B184" s="22"/>
      <c r="C184" s="23"/>
      <c r="D184" s="26"/>
      <c r="E184" s="25"/>
      <c r="F184" s="7" t="str">
        <f aca="false">IF(E184="","",IFERROR(INDEX(코드관리!$C$7:$C$66,MATCH(E184,코드관리!$B$7:$B$66,0)),"미등록 코드"))</f>
        <v/>
      </c>
      <c r="G184" s="25"/>
      <c r="H184" s="25"/>
      <c r="I184" s="24"/>
      <c r="J184" s="26"/>
      <c r="K184" s="27"/>
      <c r="L184" s="26"/>
      <c r="M184" s="8" t="str">
        <f aca="false">IF(K184="","",IF(J184="USD",ROUND(K184*설정!$C$4,0),K184))</f>
        <v/>
      </c>
      <c r="N184" s="8" t="str">
        <f aca="false">IF(M184="","",IF(AND(I184="과세",L184="VAT포함"),ROUND(M184/(1+설정!$C$5),0),M184))</f>
        <v/>
      </c>
      <c r="O184" s="8" t="str">
        <f aca="false">IF(M184="","",IF(I184="과세",IF(L184="VAT포함",M184-N184,ROUND(N184*설정!$C$5,0)),0))</f>
        <v/>
      </c>
      <c r="P184" s="8" t="str">
        <f aca="false">IF(M184="","",N184+O184)</f>
        <v/>
      </c>
      <c r="Q184" s="26"/>
      <c r="R184" s="8" t="str">
        <f aca="false">IF(OR(M184="",Q184&lt;&gt;"Y"),"",ROUND(N184*설정!$C$5,0))</f>
        <v/>
      </c>
      <c r="S184" s="25"/>
    </row>
    <row r="185" customFormat="false" ht="15" hidden="false" customHeight="false" outlineLevel="0" collapsed="false">
      <c r="A185" s="21" t="str">
        <f aca="false">IF(C185="","",COUNTA($C$5:C185))</f>
        <v/>
      </c>
      <c r="B185" s="22"/>
      <c r="C185" s="23"/>
      <c r="D185" s="26"/>
      <c r="E185" s="25"/>
      <c r="F185" s="7" t="str">
        <f aca="false">IF(E185="","",IFERROR(INDEX(코드관리!$C$7:$C$66,MATCH(E185,코드관리!$B$7:$B$66,0)),"미등록 코드"))</f>
        <v/>
      </c>
      <c r="G185" s="25"/>
      <c r="H185" s="25"/>
      <c r="I185" s="24"/>
      <c r="J185" s="26"/>
      <c r="K185" s="27"/>
      <c r="L185" s="26"/>
      <c r="M185" s="8" t="str">
        <f aca="false">IF(K185="","",IF(J185="USD",ROUND(K185*설정!$C$4,0),K185))</f>
        <v/>
      </c>
      <c r="N185" s="8" t="str">
        <f aca="false">IF(M185="","",IF(AND(I185="과세",L185="VAT포함"),ROUND(M185/(1+설정!$C$5),0),M185))</f>
        <v/>
      </c>
      <c r="O185" s="8" t="str">
        <f aca="false">IF(M185="","",IF(I185="과세",IF(L185="VAT포함",M185-N185,ROUND(N185*설정!$C$5,0)),0))</f>
        <v/>
      </c>
      <c r="P185" s="8" t="str">
        <f aca="false">IF(M185="","",N185+O185)</f>
        <v/>
      </c>
      <c r="Q185" s="26"/>
      <c r="R185" s="8" t="str">
        <f aca="false">IF(OR(M185="",Q185&lt;&gt;"Y"),"",ROUND(N185*설정!$C$5,0))</f>
        <v/>
      </c>
      <c r="S185" s="25"/>
    </row>
    <row r="186" customFormat="false" ht="15" hidden="false" customHeight="false" outlineLevel="0" collapsed="false">
      <c r="A186" s="21" t="str">
        <f aca="false">IF(C186="","",COUNTA($C$5:C186))</f>
        <v/>
      </c>
      <c r="B186" s="22"/>
      <c r="C186" s="23"/>
      <c r="D186" s="26"/>
      <c r="E186" s="25"/>
      <c r="F186" s="7" t="str">
        <f aca="false">IF(E186="","",IFERROR(INDEX(코드관리!$C$7:$C$66,MATCH(E186,코드관리!$B$7:$B$66,0)),"미등록 코드"))</f>
        <v/>
      </c>
      <c r="G186" s="25"/>
      <c r="H186" s="25"/>
      <c r="I186" s="24"/>
      <c r="J186" s="26"/>
      <c r="K186" s="27"/>
      <c r="L186" s="26"/>
      <c r="M186" s="8" t="str">
        <f aca="false">IF(K186="","",IF(J186="USD",ROUND(K186*설정!$C$4,0),K186))</f>
        <v/>
      </c>
      <c r="N186" s="8" t="str">
        <f aca="false">IF(M186="","",IF(AND(I186="과세",L186="VAT포함"),ROUND(M186/(1+설정!$C$5),0),M186))</f>
        <v/>
      </c>
      <c r="O186" s="8" t="str">
        <f aca="false">IF(M186="","",IF(I186="과세",IF(L186="VAT포함",M186-N186,ROUND(N186*설정!$C$5,0)),0))</f>
        <v/>
      </c>
      <c r="P186" s="8" t="str">
        <f aca="false">IF(M186="","",N186+O186)</f>
        <v/>
      </c>
      <c r="Q186" s="26"/>
      <c r="R186" s="8" t="str">
        <f aca="false">IF(OR(M186="",Q186&lt;&gt;"Y"),"",ROUND(N186*설정!$C$5,0))</f>
        <v/>
      </c>
      <c r="S186" s="25"/>
    </row>
    <row r="187" customFormat="false" ht="15" hidden="false" customHeight="false" outlineLevel="0" collapsed="false">
      <c r="A187" s="21" t="str">
        <f aca="false">IF(C187="","",COUNTA($C$5:C187))</f>
        <v/>
      </c>
      <c r="B187" s="22"/>
      <c r="C187" s="23"/>
      <c r="D187" s="26"/>
      <c r="E187" s="25"/>
      <c r="F187" s="7" t="str">
        <f aca="false">IF(E187="","",IFERROR(INDEX(코드관리!$C$7:$C$66,MATCH(E187,코드관리!$B$7:$B$66,0)),"미등록 코드"))</f>
        <v/>
      </c>
      <c r="G187" s="25"/>
      <c r="H187" s="25"/>
      <c r="I187" s="24"/>
      <c r="J187" s="26"/>
      <c r="K187" s="27"/>
      <c r="L187" s="26"/>
      <c r="M187" s="8" t="str">
        <f aca="false">IF(K187="","",IF(J187="USD",ROUND(K187*설정!$C$4,0),K187))</f>
        <v/>
      </c>
      <c r="N187" s="8" t="str">
        <f aca="false">IF(M187="","",IF(AND(I187="과세",L187="VAT포함"),ROUND(M187/(1+설정!$C$5),0),M187))</f>
        <v/>
      </c>
      <c r="O187" s="8" t="str">
        <f aca="false">IF(M187="","",IF(I187="과세",IF(L187="VAT포함",M187-N187,ROUND(N187*설정!$C$5,0)),0))</f>
        <v/>
      </c>
      <c r="P187" s="8" t="str">
        <f aca="false">IF(M187="","",N187+O187)</f>
        <v/>
      </c>
      <c r="Q187" s="26"/>
      <c r="R187" s="8" t="str">
        <f aca="false">IF(OR(M187="",Q187&lt;&gt;"Y"),"",ROUND(N187*설정!$C$5,0))</f>
        <v/>
      </c>
      <c r="S187" s="25"/>
    </row>
    <row r="188" customFormat="false" ht="15" hidden="false" customHeight="false" outlineLevel="0" collapsed="false">
      <c r="A188" s="21" t="str">
        <f aca="false">IF(C188="","",COUNTA($C$5:C188))</f>
        <v/>
      </c>
      <c r="B188" s="22"/>
      <c r="C188" s="23"/>
      <c r="D188" s="26"/>
      <c r="E188" s="25"/>
      <c r="F188" s="7" t="str">
        <f aca="false">IF(E188="","",IFERROR(INDEX(코드관리!$C$7:$C$66,MATCH(E188,코드관리!$B$7:$B$66,0)),"미등록 코드"))</f>
        <v/>
      </c>
      <c r="G188" s="25"/>
      <c r="H188" s="25"/>
      <c r="I188" s="24"/>
      <c r="J188" s="26"/>
      <c r="K188" s="27"/>
      <c r="L188" s="26"/>
      <c r="M188" s="8" t="str">
        <f aca="false">IF(K188="","",IF(J188="USD",ROUND(K188*설정!$C$4,0),K188))</f>
        <v/>
      </c>
      <c r="N188" s="8" t="str">
        <f aca="false">IF(M188="","",IF(AND(I188="과세",L188="VAT포함"),ROUND(M188/(1+설정!$C$5),0),M188))</f>
        <v/>
      </c>
      <c r="O188" s="8" t="str">
        <f aca="false">IF(M188="","",IF(I188="과세",IF(L188="VAT포함",M188-N188,ROUND(N188*설정!$C$5,0)),0))</f>
        <v/>
      </c>
      <c r="P188" s="8" t="str">
        <f aca="false">IF(M188="","",N188+O188)</f>
        <v/>
      </c>
      <c r="Q188" s="26"/>
      <c r="R188" s="8" t="str">
        <f aca="false">IF(OR(M188="",Q188&lt;&gt;"Y"),"",ROUND(N188*설정!$C$5,0))</f>
        <v/>
      </c>
      <c r="S188" s="25"/>
    </row>
    <row r="189" customFormat="false" ht="15" hidden="false" customHeight="false" outlineLevel="0" collapsed="false">
      <c r="A189" s="21" t="str">
        <f aca="false">IF(C189="","",COUNTA($C$5:C189))</f>
        <v/>
      </c>
      <c r="B189" s="22"/>
      <c r="C189" s="23"/>
      <c r="D189" s="26"/>
      <c r="E189" s="25"/>
      <c r="F189" s="7" t="str">
        <f aca="false">IF(E189="","",IFERROR(INDEX(코드관리!$C$7:$C$66,MATCH(E189,코드관리!$B$7:$B$66,0)),"미등록 코드"))</f>
        <v/>
      </c>
      <c r="G189" s="25"/>
      <c r="H189" s="25"/>
      <c r="I189" s="24"/>
      <c r="J189" s="26"/>
      <c r="K189" s="27"/>
      <c r="L189" s="26"/>
      <c r="M189" s="8" t="str">
        <f aca="false">IF(K189="","",IF(J189="USD",ROUND(K189*설정!$C$4,0),K189))</f>
        <v/>
      </c>
      <c r="N189" s="8" t="str">
        <f aca="false">IF(M189="","",IF(AND(I189="과세",L189="VAT포함"),ROUND(M189/(1+설정!$C$5),0),M189))</f>
        <v/>
      </c>
      <c r="O189" s="8" t="str">
        <f aca="false">IF(M189="","",IF(I189="과세",IF(L189="VAT포함",M189-N189,ROUND(N189*설정!$C$5,0)),0))</f>
        <v/>
      </c>
      <c r="P189" s="8" t="str">
        <f aca="false">IF(M189="","",N189+O189)</f>
        <v/>
      </c>
      <c r="Q189" s="26"/>
      <c r="R189" s="8" t="str">
        <f aca="false">IF(OR(M189="",Q189&lt;&gt;"Y"),"",ROUND(N189*설정!$C$5,0))</f>
        <v/>
      </c>
      <c r="S189" s="25"/>
    </row>
    <row r="190" customFormat="false" ht="15" hidden="false" customHeight="false" outlineLevel="0" collapsed="false">
      <c r="A190" s="21" t="str">
        <f aca="false">IF(C190="","",COUNTA($C$5:C190))</f>
        <v/>
      </c>
      <c r="B190" s="22"/>
      <c r="C190" s="23"/>
      <c r="D190" s="26"/>
      <c r="E190" s="25"/>
      <c r="F190" s="7" t="str">
        <f aca="false">IF(E190="","",IFERROR(INDEX(코드관리!$C$7:$C$66,MATCH(E190,코드관리!$B$7:$B$66,0)),"미등록 코드"))</f>
        <v/>
      </c>
      <c r="G190" s="25"/>
      <c r="H190" s="25"/>
      <c r="I190" s="24"/>
      <c r="J190" s="26"/>
      <c r="K190" s="27"/>
      <c r="L190" s="26"/>
      <c r="M190" s="8" t="str">
        <f aca="false">IF(K190="","",IF(J190="USD",ROUND(K190*설정!$C$4,0),K190))</f>
        <v/>
      </c>
      <c r="N190" s="8" t="str">
        <f aca="false">IF(M190="","",IF(AND(I190="과세",L190="VAT포함"),ROUND(M190/(1+설정!$C$5),0),M190))</f>
        <v/>
      </c>
      <c r="O190" s="8" t="str">
        <f aca="false">IF(M190="","",IF(I190="과세",IF(L190="VAT포함",M190-N190,ROUND(N190*설정!$C$5,0)),0))</f>
        <v/>
      </c>
      <c r="P190" s="8" t="str">
        <f aca="false">IF(M190="","",N190+O190)</f>
        <v/>
      </c>
      <c r="Q190" s="26"/>
      <c r="R190" s="8" t="str">
        <f aca="false">IF(OR(M190="",Q190&lt;&gt;"Y"),"",ROUND(N190*설정!$C$5,0))</f>
        <v/>
      </c>
      <c r="S190" s="25"/>
    </row>
    <row r="191" customFormat="false" ht="15" hidden="false" customHeight="false" outlineLevel="0" collapsed="false">
      <c r="A191" s="21" t="str">
        <f aca="false">IF(C191="","",COUNTA($C$5:C191))</f>
        <v/>
      </c>
      <c r="B191" s="22"/>
      <c r="C191" s="23"/>
      <c r="D191" s="26"/>
      <c r="E191" s="25"/>
      <c r="F191" s="7" t="str">
        <f aca="false">IF(E191="","",IFERROR(INDEX(코드관리!$C$7:$C$66,MATCH(E191,코드관리!$B$7:$B$66,0)),"미등록 코드"))</f>
        <v/>
      </c>
      <c r="G191" s="25"/>
      <c r="H191" s="25"/>
      <c r="I191" s="24"/>
      <c r="J191" s="26"/>
      <c r="K191" s="27"/>
      <c r="L191" s="26"/>
      <c r="M191" s="8" t="str">
        <f aca="false">IF(K191="","",IF(J191="USD",ROUND(K191*설정!$C$4,0),K191))</f>
        <v/>
      </c>
      <c r="N191" s="8" t="str">
        <f aca="false">IF(M191="","",IF(AND(I191="과세",L191="VAT포함"),ROUND(M191/(1+설정!$C$5),0),M191))</f>
        <v/>
      </c>
      <c r="O191" s="8" t="str">
        <f aca="false">IF(M191="","",IF(I191="과세",IF(L191="VAT포함",M191-N191,ROUND(N191*설정!$C$5,0)),0))</f>
        <v/>
      </c>
      <c r="P191" s="8" t="str">
        <f aca="false">IF(M191="","",N191+O191)</f>
        <v/>
      </c>
      <c r="Q191" s="26"/>
      <c r="R191" s="8" t="str">
        <f aca="false">IF(OR(M191="",Q191&lt;&gt;"Y"),"",ROUND(N191*설정!$C$5,0))</f>
        <v/>
      </c>
      <c r="S191" s="25"/>
    </row>
    <row r="192" customFormat="false" ht="15" hidden="false" customHeight="false" outlineLevel="0" collapsed="false">
      <c r="A192" s="21" t="str">
        <f aca="false">IF(C192="","",COUNTA($C$5:C192))</f>
        <v/>
      </c>
      <c r="B192" s="22"/>
      <c r="C192" s="23"/>
      <c r="D192" s="26"/>
      <c r="E192" s="25"/>
      <c r="F192" s="7" t="str">
        <f aca="false">IF(E192="","",IFERROR(INDEX(코드관리!$C$7:$C$66,MATCH(E192,코드관리!$B$7:$B$66,0)),"미등록 코드"))</f>
        <v/>
      </c>
      <c r="G192" s="25"/>
      <c r="H192" s="25"/>
      <c r="I192" s="24"/>
      <c r="J192" s="26"/>
      <c r="K192" s="27"/>
      <c r="L192" s="26"/>
      <c r="M192" s="8" t="str">
        <f aca="false">IF(K192="","",IF(J192="USD",ROUND(K192*설정!$C$4,0),K192))</f>
        <v/>
      </c>
      <c r="N192" s="8" t="str">
        <f aca="false">IF(M192="","",IF(AND(I192="과세",L192="VAT포함"),ROUND(M192/(1+설정!$C$5),0),M192))</f>
        <v/>
      </c>
      <c r="O192" s="8" t="str">
        <f aca="false">IF(M192="","",IF(I192="과세",IF(L192="VAT포함",M192-N192,ROUND(N192*설정!$C$5,0)),0))</f>
        <v/>
      </c>
      <c r="P192" s="8" t="str">
        <f aca="false">IF(M192="","",N192+O192)</f>
        <v/>
      </c>
      <c r="Q192" s="26"/>
      <c r="R192" s="8" t="str">
        <f aca="false">IF(OR(M192="",Q192&lt;&gt;"Y"),"",ROUND(N192*설정!$C$5,0))</f>
        <v/>
      </c>
      <c r="S192" s="25"/>
    </row>
    <row r="193" customFormat="false" ht="15" hidden="false" customHeight="false" outlineLevel="0" collapsed="false">
      <c r="A193" s="21" t="str">
        <f aca="false">IF(C193="","",COUNTA($C$5:C193))</f>
        <v/>
      </c>
      <c r="B193" s="22"/>
      <c r="C193" s="23"/>
      <c r="D193" s="26"/>
      <c r="E193" s="25"/>
      <c r="F193" s="7" t="str">
        <f aca="false">IF(E193="","",IFERROR(INDEX(코드관리!$C$7:$C$66,MATCH(E193,코드관리!$B$7:$B$66,0)),"미등록 코드"))</f>
        <v/>
      </c>
      <c r="G193" s="25"/>
      <c r="H193" s="25"/>
      <c r="I193" s="24"/>
      <c r="J193" s="26"/>
      <c r="K193" s="27"/>
      <c r="L193" s="26"/>
      <c r="M193" s="8" t="str">
        <f aca="false">IF(K193="","",IF(J193="USD",ROUND(K193*설정!$C$4,0),K193))</f>
        <v/>
      </c>
      <c r="N193" s="8" t="str">
        <f aca="false">IF(M193="","",IF(AND(I193="과세",L193="VAT포함"),ROUND(M193/(1+설정!$C$5),0),M193))</f>
        <v/>
      </c>
      <c r="O193" s="8" t="str">
        <f aca="false">IF(M193="","",IF(I193="과세",IF(L193="VAT포함",M193-N193,ROUND(N193*설정!$C$5,0)),0))</f>
        <v/>
      </c>
      <c r="P193" s="8" t="str">
        <f aca="false">IF(M193="","",N193+O193)</f>
        <v/>
      </c>
      <c r="Q193" s="26"/>
      <c r="R193" s="8" t="str">
        <f aca="false">IF(OR(M193="",Q193&lt;&gt;"Y"),"",ROUND(N193*설정!$C$5,0))</f>
        <v/>
      </c>
      <c r="S193" s="25"/>
    </row>
    <row r="194" customFormat="false" ht="15" hidden="false" customHeight="false" outlineLevel="0" collapsed="false">
      <c r="A194" s="21" t="str">
        <f aca="false">IF(C194="","",COUNTA($C$5:C194))</f>
        <v/>
      </c>
      <c r="B194" s="22"/>
      <c r="C194" s="23"/>
      <c r="D194" s="26"/>
      <c r="E194" s="25"/>
      <c r="F194" s="7" t="str">
        <f aca="false">IF(E194="","",IFERROR(INDEX(코드관리!$C$7:$C$66,MATCH(E194,코드관리!$B$7:$B$66,0)),"미등록 코드"))</f>
        <v/>
      </c>
      <c r="G194" s="25"/>
      <c r="H194" s="25"/>
      <c r="I194" s="24"/>
      <c r="J194" s="26"/>
      <c r="K194" s="27"/>
      <c r="L194" s="26"/>
      <c r="M194" s="8" t="str">
        <f aca="false">IF(K194="","",IF(J194="USD",ROUND(K194*설정!$C$4,0),K194))</f>
        <v/>
      </c>
      <c r="N194" s="8" t="str">
        <f aca="false">IF(M194="","",IF(AND(I194="과세",L194="VAT포함"),ROUND(M194/(1+설정!$C$5),0),M194))</f>
        <v/>
      </c>
      <c r="O194" s="8" t="str">
        <f aca="false">IF(M194="","",IF(I194="과세",IF(L194="VAT포함",M194-N194,ROUND(N194*설정!$C$5,0)),0))</f>
        <v/>
      </c>
      <c r="P194" s="8" t="str">
        <f aca="false">IF(M194="","",N194+O194)</f>
        <v/>
      </c>
      <c r="Q194" s="26"/>
      <c r="R194" s="8" t="str">
        <f aca="false">IF(OR(M194="",Q194&lt;&gt;"Y"),"",ROUND(N194*설정!$C$5,0))</f>
        <v/>
      </c>
      <c r="S194" s="25"/>
    </row>
    <row r="195" customFormat="false" ht="15" hidden="false" customHeight="false" outlineLevel="0" collapsed="false">
      <c r="A195" s="21" t="str">
        <f aca="false">IF(C195="","",COUNTA($C$5:C195))</f>
        <v/>
      </c>
      <c r="B195" s="22"/>
      <c r="C195" s="23"/>
      <c r="D195" s="26"/>
      <c r="E195" s="25"/>
      <c r="F195" s="7" t="str">
        <f aca="false">IF(E195="","",IFERROR(INDEX(코드관리!$C$7:$C$66,MATCH(E195,코드관리!$B$7:$B$66,0)),"미등록 코드"))</f>
        <v/>
      </c>
      <c r="G195" s="25"/>
      <c r="H195" s="25"/>
      <c r="I195" s="24"/>
      <c r="J195" s="26"/>
      <c r="K195" s="27"/>
      <c r="L195" s="26"/>
      <c r="M195" s="8" t="str">
        <f aca="false">IF(K195="","",IF(J195="USD",ROUND(K195*설정!$C$4,0),K195))</f>
        <v/>
      </c>
      <c r="N195" s="8" t="str">
        <f aca="false">IF(M195="","",IF(AND(I195="과세",L195="VAT포함"),ROUND(M195/(1+설정!$C$5),0),M195))</f>
        <v/>
      </c>
      <c r="O195" s="8" t="str">
        <f aca="false">IF(M195="","",IF(I195="과세",IF(L195="VAT포함",M195-N195,ROUND(N195*설정!$C$5,0)),0))</f>
        <v/>
      </c>
      <c r="P195" s="8" t="str">
        <f aca="false">IF(M195="","",N195+O195)</f>
        <v/>
      </c>
      <c r="Q195" s="26"/>
      <c r="R195" s="8" t="str">
        <f aca="false">IF(OR(M195="",Q195&lt;&gt;"Y"),"",ROUND(N195*설정!$C$5,0))</f>
        <v/>
      </c>
      <c r="S195" s="25"/>
    </row>
    <row r="196" customFormat="false" ht="15" hidden="false" customHeight="false" outlineLevel="0" collapsed="false">
      <c r="A196" s="21" t="str">
        <f aca="false">IF(C196="","",COUNTA($C$5:C196))</f>
        <v/>
      </c>
      <c r="B196" s="22"/>
      <c r="C196" s="23"/>
      <c r="D196" s="26"/>
      <c r="E196" s="25"/>
      <c r="F196" s="7" t="str">
        <f aca="false">IF(E196="","",IFERROR(INDEX(코드관리!$C$7:$C$66,MATCH(E196,코드관리!$B$7:$B$66,0)),"미등록 코드"))</f>
        <v/>
      </c>
      <c r="G196" s="25"/>
      <c r="H196" s="25"/>
      <c r="I196" s="24"/>
      <c r="J196" s="26"/>
      <c r="K196" s="27"/>
      <c r="L196" s="26"/>
      <c r="M196" s="8" t="str">
        <f aca="false">IF(K196="","",IF(J196="USD",ROUND(K196*설정!$C$4,0),K196))</f>
        <v/>
      </c>
      <c r="N196" s="8" t="str">
        <f aca="false">IF(M196="","",IF(AND(I196="과세",L196="VAT포함"),ROUND(M196/(1+설정!$C$5),0),M196))</f>
        <v/>
      </c>
      <c r="O196" s="8" t="str">
        <f aca="false">IF(M196="","",IF(I196="과세",IF(L196="VAT포함",M196-N196,ROUND(N196*설정!$C$5,0)),0))</f>
        <v/>
      </c>
      <c r="P196" s="8" t="str">
        <f aca="false">IF(M196="","",N196+O196)</f>
        <v/>
      </c>
      <c r="Q196" s="26"/>
      <c r="R196" s="8" t="str">
        <f aca="false">IF(OR(M196="",Q196&lt;&gt;"Y"),"",ROUND(N196*설정!$C$5,0))</f>
        <v/>
      </c>
      <c r="S196" s="25"/>
    </row>
    <row r="197" customFormat="false" ht="15" hidden="false" customHeight="false" outlineLevel="0" collapsed="false">
      <c r="A197" s="21" t="str">
        <f aca="false">IF(C197="","",COUNTA($C$5:C197))</f>
        <v/>
      </c>
      <c r="B197" s="22"/>
      <c r="C197" s="23"/>
      <c r="D197" s="26"/>
      <c r="E197" s="25"/>
      <c r="F197" s="7" t="str">
        <f aca="false">IF(E197="","",IFERROR(INDEX(코드관리!$C$7:$C$66,MATCH(E197,코드관리!$B$7:$B$66,0)),"미등록 코드"))</f>
        <v/>
      </c>
      <c r="G197" s="25"/>
      <c r="H197" s="25"/>
      <c r="I197" s="24"/>
      <c r="J197" s="26"/>
      <c r="K197" s="27"/>
      <c r="L197" s="26"/>
      <c r="M197" s="8" t="str">
        <f aca="false">IF(K197="","",IF(J197="USD",ROUND(K197*설정!$C$4,0),K197))</f>
        <v/>
      </c>
      <c r="N197" s="8" t="str">
        <f aca="false">IF(M197="","",IF(AND(I197="과세",L197="VAT포함"),ROUND(M197/(1+설정!$C$5),0),M197))</f>
        <v/>
      </c>
      <c r="O197" s="8" t="str">
        <f aca="false">IF(M197="","",IF(I197="과세",IF(L197="VAT포함",M197-N197,ROUND(N197*설정!$C$5,0)),0))</f>
        <v/>
      </c>
      <c r="P197" s="8" t="str">
        <f aca="false">IF(M197="","",N197+O197)</f>
        <v/>
      </c>
      <c r="Q197" s="26"/>
      <c r="R197" s="8" t="str">
        <f aca="false">IF(OR(M197="",Q197&lt;&gt;"Y"),"",ROUND(N197*설정!$C$5,0))</f>
        <v/>
      </c>
      <c r="S197" s="25"/>
    </row>
    <row r="198" customFormat="false" ht="15" hidden="false" customHeight="false" outlineLevel="0" collapsed="false">
      <c r="A198" s="21" t="str">
        <f aca="false">IF(C198="","",COUNTA($C$5:C198))</f>
        <v/>
      </c>
      <c r="B198" s="22"/>
      <c r="C198" s="23"/>
      <c r="D198" s="26"/>
      <c r="E198" s="25"/>
      <c r="F198" s="7" t="str">
        <f aca="false">IF(E198="","",IFERROR(INDEX(코드관리!$C$7:$C$66,MATCH(E198,코드관리!$B$7:$B$66,0)),"미등록 코드"))</f>
        <v/>
      </c>
      <c r="G198" s="25"/>
      <c r="H198" s="25"/>
      <c r="I198" s="24"/>
      <c r="J198" s="26"/>
      <c r="K198" s="27"/>
      <c r="L198" s="26"/>
      <c r="M198" s="8" t="str">
        <f aca="false">IF(K198="","",IF(J198="USD",ROUND(K198*설정!$C$4,0),K198))</f>
        <v/>
      </c>
      <c r="N198" s="8" t="str">
        <f aca="false">IF(M198="","",IF(AND(I198="과세",L198="VAT포함"),ROUND(M198/(1+설정!$C$5),0),M198))</f>
        <v/>
      </c>
      <c r="O198" s="8" t="str">
        <f aca="false">IF(M198="","",IF(I198="과세",IF(L198="VAT포함",M198-N198,ROUND(N198*설정!$C$5,0)),0))</f>
        <v/>
      </c>
      <c r="P198" s="8" t="str">
        <f aca="false">IF(M198="","",N198+O198)</f>
        <v/>
      </c>
      <c r="Q198" s="26"/>
      <c r="R198" s="8" t="str">
        <f aca="false">IF(OR(M198="",Q198&lt;&gt;"Y"),"",ROUND(N198*설정!$C$5,0))</f>
        <v/>
      </c>
      <c r="S198" s="25"/>
    </row>
    <row r="199" customFormat="false" ht="15" hidden="false" customHeight="false" outlineLevel="0" collapsed="false">
      <c r="A199" s="21" t="str">
        <f aca="false">IF(C199="","",COUNTA($C$5:C199))</f>
        <v/>
      </c>
      <c r="B199" s="22"/>
      <c r="C199" s="23"/>
      <c r="D199" s="26"/>
      <c r="E199" s="25"/>
      <c r="F199" s="7" t="str">
        <f aca="false">IF(E199="","",IFERROR(INDEX(코드관리!$C$7:$C$66,MATCH(E199,코드관리!$B$7:$B$66,0)),"미등록 코드"))</f>
        <v/>
      </c>
      <c r="G199" s="25"/>
      <c r="H199" s="25"/>
      <c r="I199" s="24"/>
      <c r="J199" s="26"/>
      <c r="K199" s="27"/>
      <c r="L199" s="26"/>
      <c r="M199" s="8" t="str">
        <f aca="false">IF(K199="","",IF(J199="USD",ROUND(K199*설정!$C$4,0),K199))</f>
        <v/>
      </c>
      <c r="N199" s="8" t="str">
        <f aca="false">IF(M199="","",IF(AND(I199="과세",L199="VAT포함"),ROUND(M199/(1+설정!$C$5),0),M199))</f>
        <v/>
      </c>
      <c r="O199" s="8" t="str">
        <f aca="false">IF(M199="","",IF(I199="과세",IF(L199="VAT포함",M199-N199,ROUND(N199*설정!$C$5,0)),0))</f>
        <v/>
      </c>
      <c r="P199" s="8" t="str">
        <f aca="false">IF(M199="","",N199+O199)</f>
        <v/>
      </c>
      <c r="Q199" s="26"/>
      <c r="R199" s="8" t="str">
        <f aca="false">IF(OR(M199="",Q199&lt;&gt;"Y"),"",ROUND(N199*설정!$C$5,0))</f>
        <v/>
      </c>
      <c r="S199" s="25"/>
    </row>
    <row r="200" customFormat="false" ht="15" hidden="false" customHeight="false" outlineLevel="0" collapsed="false">
      <c r="A200" s="21" t="str">
        <f aca="false">IF(C200="","",COUNTA($C$5:C200))</f>
        <v/>
      </c>
      <c r="B200" s="22"/>
      <c r="C200" s="23"/>
      <c r="D200" s="26"/>
      <c r="E200" s="25"/>
      <c r="F200" s="7" t="str">
        <f aca="false">IF(E200="","",IFERROR(INDEX(코드관리!$C$7:$C$66,MATCH(E200,코드관리!$B$7:$B$66,0)),"미등록 코드"))</f>
        <v/>
      </c>
      <c r="G200" s="25"/>
      <c r="H200" s="25"/>
      <c r="I200" s="24"/>
      <c r="J200" s="26"/>
      <c r="K200" s="27"/>
      <c r="L200" s="26"/>
      <c r="M200" s="8" t="str">
        <f aca="false">IF(K200="","",IF(J200="USD",ROUND(K200*설정!$C$4,0),K200))</f>
        <v/>
      </c>
      <c r="N200" s="8" t="str">
        <f aca="false">IF(M200="","",IF(AND(I200="과세",L200="VAT포함"),ROUND(M200/(1+설정!$C$5),0),M200))</f>
        <v/>
      </c>
      <c r="O200" s="8" t="str">
        <f aca="false">IF(M200="","",IF(I200="과세",IF(L200="VAT포함",M200-N200,ROUND(N200*설정!$C$5,0)),0))</f>
        <v/>
      </c>
      <c r="P200" s="8" t="str">
        <f aca="false">IF(M200="","",N200+O200)</f>
        <v/>
      </c>
      <c r="Q200" s="26"/>
      <c r="R200" s="8" t="str">
        <f aca="false">IF(OR(M200="",Q200&lt;&gt;"Y"),"",ROUND(N200*설정!$C$5,0))</f>
        <v/>
      </c>
      <c r="S200" s="25"/>
    </row>
    <row r="201" customFormat="false" ht="15" hidden="false" customHeight="false" outlineLevel="0" collapsed="false">
      <c r="A201" s="21" t="str">
        <f aca="false">IF(C201="","",COUNTA($C$5:C201))</f>
        <v/>
      </c>
      <c r="B201" s="22"/>
      <c r="C201" s="23"/>
      <c r="D201" s="26"/>
      <c r="E201" s="25"/>
      <c r="F201" s="7" t="str">
        <f aca="false">IF(E201="","",IFERROR(INDEX(코드관리!$C$7:$C$66,MATCH(E201,코드관리!$B$7:$B$66,0)),"미등록 코드"))</f>
        <v/>
      </c>
      <c r="G201" s="25"/>
      <c r="H201" s="25"/>
      <c r="I201" s="24"/>
      <c r="J201" s="26"/>
      <c r="K201" s="27"/>
      <c r="L201" s="26"/>
      <c r="M201" s="8" t="str">
        <f aca="false">IF(K201="","",IF(J201="USD",ROUND(K201*설정!$C$4,0),K201))</f>
        <v/>
      </c>
      <c r="N201" s="8" t="str">
        <f aca="false">IF(M201="","",IF(AND(I201="과세",L201="VAT포함"),ROUND(M201/(1+설정!$C$5),0),M201))</f>
        <v/>
      </c>
      <c r="O201" s="8" t="str">
        <f aca="false">IF(M201="","",IF(I201="과세",IF(L201="VAT포함",M201-N201,ROUND(N201*설정!$C$5,0)),0))</f>
        <v/>
      </c>
      <c r="P201" s="8" t="str">
        <f aca="false">IF(M201="","",N201+O201)</f>
        <v/>
      </c>
      <c r="Q201" s="26"/>
      <c r="R201" s="8" t="str">
        <f aca="false">IF(OR(M201="",Q201&lt;&gt;"Y"),"",ROUND(N201*설정!$C$5,0))</f>
        <v/>
      </c>
      <c r="S201" s="25"/>
    </row>
    <row r="202" customFormat="false" ht="15" hidden="false" customHeight="false" outlineLevel="0" collapsed="false">
      <c r="A202" s="21" t="str">
        <f aca="false">IF(C202="","",COUNTA($C$5:C202))</f>
        <v/>
      </c>
      <c r="B202" s="22"/>
      <c r="C202" s="23"/>
      <c r="D202" s="26"/>
      <c r="E202" s="25"/>
      <c r="F202" s="7" t="str">
        <f aca="false">IF(E202="","",IFERROR(INDEX(코드관리!$C$7:$C$66,MATCH(E202,코드관리!$B$7:$B$66,0)),"미등록 코드"))</f>
        <v/>
      </c>
      <c r="G202" s="25"/>
      <c r="H202" s="25"/>
      <c r="I202" s="24"/>
      <c r="J202" s="26"/>
      <c r="K202" s="27"/>
      <c r="L202" s="26"/>
      <c r="M202" s="8" t="str">
        <f aca="false">IF(K202="","",IF(J202="USD",ROUND(K202*설정!$C$4,0),K202))</f>
        <v/>
      </c>
      <c r="N202" s="8" t="str">
        <f aca="false">IF(M202="","",IF(AND(I202="과세",L202="VAT포함"),ROUND(M202/(1+설정!$C$5),0),M202))</f>
        <v/>
      </c>
      <c r="O202" s="8" t="str">
        <f aca="false">IF(M202="","",IF(I202="과세",IF(L202="VAT포함",M202-N202,ROUND(N202*설정!$C$5,0)),0))</f>
        <v/>
      </c>
      <c r="P202" s="8" t="str">
        <f aca="false">IF(M202="","",N202+O202)</f>
        <v/>
      </c>
      <c r="Q202" s="26"/>
      <c r="R202" s="8" t="str">
        <f aca="false">IF(OR(M202="",Q202&lt;&gt;"Y"),"",ROUND(N202*설정!$C$5,0))</f>
        <v/>
      </c>
      <c r="S202" s="25"/>
    </row>
    <row r="203" customFormat="false" ht="15" hidden="false" customHeight="false" outlineLevel="0" collapsed="false">
      <c r="A203" s="21" t="str">
        <f aca="false">IF(C203="","",COUNTA($C$5:C203))</f>
        <v/>
      </c>
      <c r="B203" s="22"/>
      <c r="C203" s="23"/>
      <c r="D203" s="26"/>
      <c r="E203" s="25"/>
      <c r="F203" s="7" t="str">
        <f aca="false">IF(E203="","",IFERROR(INDEX(코드관리!$C$7:$C$66,MATCH(E203,코드관리!$B$7:$B$66,0)),"미등록 코드"))</f>
        <v/>
      </c>
      <c r="G203" s="25"/>
      <c r="H203" s="25"/>
      <c r="I203" s="24"/>
      <c r="J203" s="26"/>
      <c r="K203" s="27"/>
      <c r="L203" s="26"/>
      <c r="M203" s="8" t="str">
        <f aca="false">IF(K203="","",IF(J203="USD",ROUND(K203*설정!$C$4,0),K203))</f>
        <v/>
      </c>
      <c r="N203" s="8" t="str">
        <f aca="false">IF(M203="","",IF(AND(I203="과세",L203="VAT포함"),ROUND(M203/(1+설정!$C$5),0),M203))</f>
        <v/>
      </c>
      <c r="O203" s="8" t="str">
        <f aca="false">IF(M203="","",IF(I203="과세",IF(L203="VAT포함",M203-N203,ROUND(N203*설정!$C$5,0)),0))</f>
        <v/>
      </c>
      <c r="P203" s="8" t="str">
        <f aca="false">IF(M203="","",N203+O203)</f>
        <v/>
      </c>
      <c r="Q203" s="26"/>
      <c r="R203" s="8" t="str">
        <f aca="false">IF(OR(M203="",Q203&lt;&gt;"Y"),"",ROUND(N203*설정!$C$5,0))</f>
        <v/>
      </c>
      <c r="S203" s="25"/>
    </row>
    <row r="204" customFormat="false" ht="15" hidden="false" customHeight="false" outlineLevel="0" collapsed="false">
      <c r="A204" s="21" t="str">
        <f aca="false">IF(C204="","",COUNTA($C$5:C204))</f>
        <v/>
      </c>
      <c r="B204" s="22"/>
      <c r="C204" s="23"/>
      <c r="D204" s="26"/>
      <c r="E204" s="25"/>
      <c r="F204" s="7" t="str">
        <f aca="false">IF(E204="","",IFERROR(INDEX(코드관리!$C$7:$C$66,MATCH(E204,코드관리!$B$7:$B$66,0)),"미등록 코드"))</f>
        <v/>
      </c>
      <c r="G204" s="25"/>
      <c r="H204" s="25"/>
      <c r="I204" s="24"/>
      <c r="J204" s="26"/>
      <c r="K204" s="27"/>
      <c r="L204" s="26"/>
      <c r="M204" s="8" t="str">
        <f aca="false">IF(K204="","",IF(J204="USD",ROUND(K204*설정!$C$4,0),K204))</f>
        <v/>
      </c>
      <c r="N204" s="8" t="str">
        <f aca="false">IF(M204="","",IF(AND(I204="과세",L204="VAT포함"),ROUND(M204/(1+설정!$C$5),0),M204))</f>
        <v/>
      </c>
      <c r="O204" s="8" t="str">
        <f aca="false">IF(M204="","",IF(I204="과세",IF(L204="VAT포함",M204-N204,ROUND(N204*설정!$C$5,0)),0))</f>
        <v/>
      </c>
      <c r="P204" s="8" t="str">
        <f aca="false">IF(M204="","",N204+O204)</f>
        <v/>
      </c>
      <c r="Q204" s="26"/>
      <c r="R204" s="8" t="str">
        <f aca="false">IF(OR(M204="",Q204&lt;&gt;"Y"),"",ROUND(N204*설정!$C$5,0))</f>
        <v/>
      </c>
      <c r="S204" s="25"/>
    </row>
    <row r="205" customFormat="false" ht="15" hidden="false" customHeight="false" outlineLevel="0" collapsed="false">
      <c r="A205" s="21" t="str">
        <f aca="false">IF(C205="","",COUNTA($C$5:C205))</f>
        <v/>
      </c>
      <c r="B205" s="22"/>
      <c r="C205" s="23"/>
      <c r="D205" s="26"/>
      <c r="E205" s="25"/>
      <c r="F205" s="7" t="str">
        <f aca="false">IF(E205="","",IFERROR(INDEX(코드관리!$C$7:$C$66,MATCH(E205,코드관리!$B$7:$B$66,0)),"미등록 코드"))</f>
        <v/>
      </c>
      <c r="G205" s="25"/>
      <c r="H205" s="25"/>
      <c r="I205" s="24"/>
      <c r="J205" s="26"/>
      <c r="K205" s="27"/>
      <c r="L205" s="26"/>
      <c r="M205" s="8" t="str">
        <f aca="false">IF(K205="","",IF(J205="USD",ROUND(K205*설정!$C$4,0),K205))</f>
        <v/>
      </c>
      <c r="N205" s="8" t="str">
        <f aca="false">IF(M205="","",IF(AND(I205="과세",L205="VAT포함"),ROUND(M205/(1+설정!$C$5),0),M205))</f>
        <v/>
      </c>
      <c r="O205" s="8" t="str">
        <f aca="false">IF(M205="","",IF(I205="과세",IF(L205="VAT포함",M205-N205,ROUND(N205*설정!$C$5,0)),0))</f>
        <v/>
      </c>
      <c r="P205" s="8" t="str">
        <f aca="false">IF(M205="","",N205+O205)</f>
        <v/>
      </c>
      <c r="Q205" s="26"/>
      <c r="R205" s="8" t="str">
        <f aca="false">IF(OR(M205="",Q205&lt;&gt;"Y"),"",ROUND(N205*설정!$C$5,0))</f>
        <v/>
      </c>
      <c r="S205" s="25"/>
    </row>
    <row r="206" customFormat="false" ht="15" hidden="false" customHeight="false" outlineLevel="0" collapsed="false">
      <c r="A206" s="21" t="str">
        <f aca="false">IF(C206="","",COUNTA($C$5:C206))</f>
        <v/>
      </c>
      <c r="B206" s="22"/>
      <c r="C206" s="23"/>
      <c r="D206" s="26"/>
      <c r="E206" s="25"/>
      <c r="F206" s="7" t="str">
        <f aca="false">IF(E206="","",IFERROR(INDEX(코드관리!$C$7:$C$66,MATCH(E206,코드관리!$B$7:$B$66,0)),"미등록 코드"))</f>
        <v/>
      </c>
      <c r="G206" s="25"/>
      <c r="H206" s="25"/>
      <c r="I206" s="24"/>
      <c r="J206" s="26"/>
      <c r="K206" s="27"/>
      <c r="L206" s="26"/>
      <c r="M206" s="8" t="str">
        <f aca="false">IF(K206="","",IF(J206="USD",ROUND(K206*설정!$C$4,0),K206))</f>
        <v/>
      </c>
      <c r="N206" s="8" t="str">
        <f aca="false">IF(M206="","",IF(AND(I206="과세",L206="VAT포함"),ROUND(M206/(1+설정!$C$5),0),M206))</f>
        <v/>
      </c>
      <c r="O206" s="8" t="str">
        <f aca="false">IF(M206="","",IF(I206="과세",IF(L206="VAT포함",M206-N206,ROUND(N206*설정!$C$5,0)),0))</f>
        <v/>
      </c>
      <c r="P206" s="8" t="str">
        <f aca="false">IF(M206="","",N206+O206)</f>
        <v/>
      </c>
      <c r="Q206" s="26"/>
      <c r="R206" s="8" t="str">
        <f aca="false">IF(OR(M206="",Q206&lt;&gt;"Y"),"",ROUND(N206*설정!$C$5,0))</f>
        <v/>
      </c>
      <c r="S206" s="25"/>
    </row>
    <row r="207" customFormat="false" ht="15" hidden="false" customHeight="false" outlineLevel="0" collapsed="false">
      <c r="A207" s="21" t="str">
        <f aca="false">IF(C207="","",COUNTA($C$5:C207))</f>
        <v/>
      </c>
      <c r="B207" s="22"/>
      <c r="C207" s="23"/>
      <c r="D207" s="26"/>
      <c r="E207" s="25"/>
      <c r="F207" s="7" t="str">
        <f aca="false">IF(E207="","",IFERROR(INDEX(코드관리!$C$7:$C$66,MATCH(E207,코드관리!$B$7:$B$66,0)),"미등록 코드"))</f>
        <v/>
      </c>
      <c r="G207" s="25"/>
      <c r="H207" s="25"/>
      <c r="I207" s="24"/>
      <c r="J207" s="26"/>
      <c r="K207" s="27"/>
      <c r="L207" s="26"/>
      <c r="M207" s="8" t="str">
        <f aca="false">IF(K207="","",IF(J207="USD",ROUND(K207*설정!$C$4,0),K207))</f>
        <v/>
      </c>
      <c r="N207" s="8" t="str">
        <f aca="false">IF(M207="","",IF(AND(I207="과세",L207="VAT포함"),ROUND(M207/(1+설정!$C$5),0),M207))</f>
        <v/>
      </c>
      <c r="O207" s="8" t="str">
        <f aca="false">IF(M207="","",IF(I207="과세",IF(L207="VAT포함",M207-N207,ROUND(N207*설정!$C$5,0)),0))</f>
        <v/>
      </c>
      <c r="P207" s="8" t="str">
        <f aca="false">IF(M207="","",N207+O207)</f>
        <v/>
      </c>
      <c r="Q207" s="26"/>
      <c r="R207" s="8" t="str">
        <f aca="false">IF(OR(M207="",Q207&lt;&gt;"Y"),"",ROUND(N207*설정!$C$5,0))</f>
        <v/>
      </c>
      <c r="S207" s="25"/>
    </row>
    <row r="208" customFormat="false" ht="15" hidden="false" customHeight="false" outlineLevel="0" collapsed="false">
      <c r="A208" s="21" t="str">
        <f aca="false">IF(C208="","",COUNTA($C$5:C208))</f>
        <v/>
      </c>
      <c r="B208" s="22"/>
      <c r="C208" s="23"/>
      <c r="D208" s="26"/>
      <c r="E208" s="25"/>
      <c r="F208" s="7" t="str">
        <f aca="false">IF(E208="","",IFERROR(INDEX(코드관리!$C$7:$C$66,MATCH(E208,코드관리!$B$7:$B$66,0)),"미등록 코드"))</f>
        <v/>
      </c>
      <c r="G208" s="25"/>
      <c r="H208" s="25"/>
      <c r="I208" s="24"/>
      <c r="J208" s="26"/>
      <c r="K208" s="27"/>
      <c r="L208" s="26"/>
      <c r="M208" s="8" t="str">
        <f aca="false">IF(K208="","",IF(J208="USD",ROUND(K208*설정!$C$4,0),K208))</f>
        <v/>
      </c>
      <c r="N208" s="8" t="str">
        <f aca="false">IF(M208="","",IF(AND(I208="과세",L208="VAT포함"),ROUND(M208/(1+설정!$C$5),0),M208))</f>
        <v/>
      </c>
      <c r="O208" s="8" t="str">
        <f aca="false">IF(M208="","",IF(I208="과세",IF(L208="VAT포함",M208-N208,ROUND(N208*설정!$C$5,0)),0))</f>
        <v/>
      </c>
      <c r="P208" s="8" t="str">
        <f aca="false">IF(M208="","",N208+O208)</f>
        <v/>
      </c>
      <c r="Q208" s="26"/>
      <c r="R208" s="8" t="str">
        <f aca="false">IF(OR(M208="",Q208&lt;&gt;"Y"),"",ROUND(N208*설정!$C$5,0))</f>
        <v/>
      </c>
      <c r="S208" s="25"/>
    </row>
    <row r="209" customFormat="false" ht="15" hidden="false" customHeight="false" outlineLevel="0" collapsed="false">
      <c r="A209" s="21" t="str">
        <f aca="false">IF(C209="","",COUNTA($C$5:C209))</f>
        <v/>
      </c>
      <c r="B209" s="22"/>
      <c r="C209" s="23"/>
      <c r="D209" s="26"/>
      <c r="E209" s="25"/>
      <c r="F209" s="7" t="str">
        <f aca="false">IF(E209="","",IFERROR(INDEX(코드관리!$C$7:$C$66,MATCH(E209,코드관리!$B$7:$B$66,0)),"미등록 코드"))</f>
        <v/>
      </c>
      <c r="G209" s="25"/>
      <c r="H209" s="25"/>
      <c r="I209" s="24"/>
      <c r="J209" s="26"/>
      <c r="K209" s="27"/>
      <c r="L209" s="26"/>
      <c r="M209" s="8" t="str">
        <f aca="false">IF(K209="","",IF(J209="USD",ROUND(K209*설정!$C$4,0),K209))</f>
        <v/>
      </c>
      <c r="N209" s="8" t="str">
        <f aca="false">IF(M209="","",IF(AND(I209="과세",L209="VAT포함"),ROUND(M209/(1+설정!$C$5),0),M209))</f>
        <v/>
      </c>
      <c r="O209" s="8" t="str">
        <f aca="false">IF(M209="","",IF(I209="과세",IF(L209="VAT포함",M209-N209,ROUND(N209*설정!$C$5,0)),0))</f>
        <v/>
      </c>
      <c r="P209" s="8" t="str">
        <f aca="false">IF(M209="","",N209+O209)</f>
        <v/>
      </c>
      <c r="Q209" s="26"/>
      <c r="R209" s="8" t="str">
        <f aca="false">IF(OR(M209="",Q209&lt;&gt;"Y"),"",ROUND(N209*설정!$C$5,0))</f>
        <v/>
      </c>
      <c r="S209" s="25"/>
    </row>
    <row r="210" customFormat="false" ht="15" hidden="false" customHeight="false" outlineLevel="0" collapsed="false">
      <c r="A210" s="21" t="str">
        <f aca="false">IF(C210="","",COUNTA($C$5:C210))</f>
        <v/>
      </c>
      <c r="B210" s="22"/>
      <c r="C210" s="23"/>
      <c r="D210" s="26"/>
      <c r="E210" s="25"/>
      <c r="F210" s="7" t="str">
        <f aca="false">IF(E210="","",IFERROR(INDEX(코드관리!$C$7:$C$66,MATCH(E210,코드관리!$B$7:$B$66,0)),"미등록 코드"))</f>
        <v/>
      </c>
      <c r="G210" s="25"/>
      <c r="H210" s="25"/>
      <c r="I210" s="24"/>
      <c r="J210" s="26"/>
      <c r="K210" s="27"/>
      <c r="L210" s="26"/>
      <c r="M210" s="8" t="str">
        <f aca="false">IF(K210="","",IF(J210="USD",ROUND(K210*설정!$C$4,0),K210))</f>
        <v/>
      </c>
      <c r="N210" s="8" t="str">
        <f aca="false">IF(M210="","",IF(AND(I210="과세",L210="VAT포함"),ROUND(M210/(1+설정!$C$5),0),M210))</f>
        <v/>
      </c>
      <c r="O210" s="8" t="str">
        <f aca="false">IF(M210="","",IF(I210="과세",IF(L210="VAT포함",M210-N210,ROUND(N210*설정!$C$5,0)),0))</f>
        <v/>
      </c>
      <c r="P210" s="8" t="str">
        <f aca="false">IF(M210="","",N210+O210)</f>
        <v/>
      </c>
      <c r="Q210" s="26"/>
      <c r="R210" s="8" t="str">
        <f aca="false">IF(OR(M210="",Q210&lt;&gt;"Y"),"",ROUND(N210*설정!$C$5,0))</f>
        <v/>
      </c>
      <c r="S210" s="25"/>
    </row>
    <row r="211" customFormat="false" ht="15" hidden="false" customHeight="false" outlineLevel="0" collapsed="false">
      <c r="A211" s="21" t="str">
        <f aca="false">IF(C211="","",COUNTA($C$5:C211))</f>
        <v/>
      </c>
      <c r="B211" s="22"/>
      <c r="C211" s="23"/>
      <c r="D211" s="26"/>
      <c r="E211" s="25"/>
      <c r="F211" s="7" t="str">
        <f aca="false">IF(E211="","",IFERROR(INDEX(코드관리!$C$7:$C$66,MATCH(E211,코드관리!$B$7:$B$66,0)),"미등록 코드"))</f>
        <v/>
      </c>
      <c r="G211" s="25"/>
      <c r="H211" s="25"/>
      <c r="I211" s="24"/>
      <c r="J211" s="26"/>
      <c r="K211" s="27"/>
      <c r="L211" s="26"/>
      <c r="M211" s="8" t="str">
        <f aca="false">IF(K211="","",IF(J211="USD",ROUND(K211*설정!$C$4,0),K211))</f>
        <v/>
      </c>
      <c r="N211" s="8" t="str">
        <f aca="false">IF(M211="","",IF(AND(I211="과세",L211="VAT포함"),ROUND(M211/(1+설정!$C$5),0),M211))</f>
        <v/>
      </c>
      <c r="O211" s="8" t="str">
        <f aca="false">IF(M211="","",IF(I211="과세",IF(L211="VAT포함",M211-N211,ROUND(N211*설정!$C$5,0)),0))</f>
        <v/>
      </c>
      <c r="P211" s="8" t="str">
        <f aca="false">IF(M211="","",N211+O211)</f>
        <v/>
      </c>
      <c r="Q211" s="26"/>
      <c r="R211" s="8" t="str">
        <f aca="false">IF(OR(M211="",Q211&lt;&gt;"Y"),"",ROUND(N211*설정!$C$5,0))</f>
        <v/>
      </c>
      <c r="S211" s="25"/>
    </row>
    <row r="212" customFormat="false" ht="15" hidden="false" customHeight="false" outlineLevel="0" collapsed="false">
      <c r="A212" s="21" t="str">
        <f aca="false">IF(C212="","",COUNTA($C$5:C212))</f>
        <v/>
      </c>
      <c r="B212" s="22"/>
      <c r="C212" s="23"/>
      <c r="D212" s="26"/>
      <c r="E212" s="25"/>
      <c r="F212" s="7" t="str">
        <f aca="false">IF(E212="","",IFERROR(INDEX(코드관리!$C$7:$C$66,MATCH(E212,코드관리!$B$7:$B$66,0)),"미등록 코드"))</f>
        <v/>
      </c>
      <c r="G212" s="25"/>
      <c r="H212" s="25"/>
      <c r="I212" s="24"/>
      <c r="J212" s="26"/>
      <c r="K212" s="27"/>
      <c r="L212" s="26"/>
      <c r="M212" s="8" t="str">
        <f aca="false">IF(K212="","",IF(J212="USD",ROUND(K212*설정!$C$4,0),K212))</f>
        <v/>
      </c>
      <c r="N212" s="8" t="str">
        <f aca="false">IF(M212="","",IF(AND(I212="과세",L212="VAT포함"),ROUND(M212/(1+설정!$C$5),0),M212))</f>
        <v/>
      </c>
      <c r="O212" s="8" t="str">
        <f aca="false">IF(M212="","",IF(I212="과세",IF(L212="VAT포함",M212-N212,ROUND(N212*설정!$C$5,0)),0))</f>
        <v/>
      </c>
      <c r="P212" s="8" t="str">
        <f aca="false">IF(M212="","",N212+O212)</f>
        <v/>
      </c>
      <c r="Q212" s="26"/>
      <c r="R212" s="8" t="str">
        <f aca="false">IF(OR(M212="",Q212&lt;&gt;"Y"),"",ROUND(N212*설정!$C$5,0))</f>
        <v/>
      </c>
      <c r="S212" s="25"/>
    </row>
    <row r="213" customFormat="false" ht="15" hidden="false" customHeight="false" outlineLevel="0" collapsed="false">
      <c r="A213" s="21" t="str">
        <f aca="false">IF(C213="","",COUNTA($C$5:C213))</f>
        <v/>
      </c>
      <c r="B213" s="22"/>
      <c r="C213" s="23"/>
      <c r="D213" s="26"/>
      <c r="E213" s="25"/>
      <c r="F213" s="7" t="str">
        <f aca="false">IF(E213="","",IFERROR(INDEX(코드관리!$C$7:$C$66,MATCH(E213,코드관리!$B$7:$B$66,0)),"미등록 코드"))</f>
        <v/>
      </c>
      <c r="G213" s="25"/>
      <c r="H213" s="25"/>
      <c r="I213" s="24"/>
      <c r="J213" s="26"/>
      <c r="K213" s="27"/>
      <c r="L213" s="26"/>
      <c r="M213" s="8" t="str">
        <f aca="false">IF(K213="","",IF(J213="USD",ROUND(K213*설정!$C$4,0),K213))</f>
        <v/>
      </c>
      <c r="N213" s="8" t="str">
        <f aca="false">IF(M213="","",IF(AND(I213="과세",L213="VAT포함"),ROUND(M213/(1+설정!$C$5),0),M213))</f>
        <v/>
      </c>
      <c r="O213" s="8" t="str">
        <f aca="false">IF(M213="","",IF(I213="과세",IF(L213="VAT포함",M213-N213,ROUND(N213*설정!$C$5,0)),0))</f>
        <v/>
      </c>
      <c r="P213" s="8" t="str">
        <f aca="false">IF(M213="","",N213+O213)</f>
        <v/>
      </c>
      <c r="Q213" s="26"/>
      <c r="R213" s="8" t="str">
        <f aca="false">IF(OR(M213="",Q213&lt;&gt;"Y"),"",ROUND(N213*설정!$C$5,0))</f>
        <v/>
      </c>
      <c r="S213" s="25"/>
    </row>
    <row r="214" customFormat="false" ht="15" hidden="false" customHeight="false" outlineLevel="0" collapsed="false">
      <c r="A214" s="21" t="str">
        <f aca="false">IF(C214="","",COUNTA($C$5:C214))</f>
        <v/>
      </c>
      <c r="B214" s="22"/>
      <c r="C214" s="23"/>
      <c r="D214" s="26"/>
      <c r="E214" s="25"/>
      <c r="F214" s="7" t="str">
        <f aca="false">IF(E214="","",IFERROR(INDEX(코드관리!$C$7:$C$66,MATCH(E214,코드관리!$B$7:$B$66,0)),"미등록 코드"))</f>
        <v/>
      </c>
      <c r="G214" s="25"/>
      <c r="H214" s="25"/>
      <c r="I214" s="24"/>
      <c r="J214" s="26"/>
      <c r="K214" s="27"/>
      <c r="L214" s="26"/>
      <c r="M214" s="8" t="str">
        <f aca="false">IF(K214="","",IF(J214="USD",ROUND(K214*설정!$C$4,0),K214))</f>
        <v/>
      </c>
      <c r="N214" s="8" t="str">
        <f aca="false">IF(M214="","",IF(AND(I214="과세",L214="VAT포함"),ROUND(M214/(1+설정!$C$5),0),M214))</f>
        <v/>
      </c>
      <c r="O214" s="8" t="str">
        <f aca="false">IF(M214="","",IF(I214="과세",IF(L214="VAT포함",M214-N214,ROUND(N214*설정!$C$5,0)),0))</f>
        <v/>
      </c>
      <c r="P214" s="8" t="str">
        <f aca="false">IF(M214="","",N214+O214)</f>
        <v/>
      </c>
      <c r="Q214" s="26"/>
      <c r="R214" s="8" t="str">
        <f aca="false">IF(OR(M214="",Q214&lt;&gt;"Y"),"",ROUND(N214*설정!$C$5,0))</f>
        <v/>
      </c>
      <c r="S214" s="25"/>
    </row>
    <row r="215" customFormat="false" ht="15" hidden="false" customHeight="false" outlineLevel="0" collapsed="false">
      <c r="A215" s="21" t="str">
        <f aca="false">IF(C215="","",COUNTA($C$5:C215))</f>
        <v/>
      </c>
      <c r="B215" s="22"/>
      <c r="C215" s="23"/>
      <c r="D215" s="26"/>
      <c r="E215" s="25"/>
      <c r="F215" s="7" t="str">
        <f aca="false">IF(E215="","",IFERROR(INDEX(코드관리!$C$7:$C$66,MATCH(E215,코드관리!$B$7:$B$66,0)),"미등록 코드"))</f>
        <v/>
      </c>
      <c r="G215" s="25"/>
      <c r="H215" s="25"/>
      <c r="I215" s="24"/>
      <c r="J215" s="26"/>
      <c r="K215" s="27"/>
      <c r="L215" s="26"/>
      <c r="M215" s="8" t="str">
        <f aca="false">IF(K215="","",IF(J215="USD",ROUND(K215*설정!$C$4,0),K215))</f>
        <v/>
      </c>
      <c r="N215" s="8" t="str">
        <f aca="false">IF(M215="","",IF(AND(I215="과세",L215="VAT포함"),ROUND(M215/(1+설정!$C$5),0),M215))</f>
        <v/>
      </c>
      <c r="O215" s="8" t="str">
        <f aca="false">IF(M215="","",IF(I215="과세",IF(L215="VAT포함",M215-N215,ROUND(N215*설정!$C$5,0)),0))</f>
        <v/>
      </c>
      <c r="P215" s="8" t="str">
        <f aca="false">IF(M215="","",N215+O215)</f>
        <v/>
      </c>
      <c r="Q215" s="26"/>
      <c r="R215" s="8" t="str">
        <f aca="false">IF(OR(M215="",Q215&lt;&gt;"Y"),"",ROUND(N215*설정!$C$5,0))</f>
        <v/>
      </c>
      <c r="S215" s="25"/>
    </row>
    <row r="216" customFormat="false" ht="15" hidden="false" customHeight="false" outlineLevel="0" collapsed="false">
      <c r="A216" s="21" t="str">
        <f aca="false">IF(C216="","",COUNTA($C$5:C216))</f>
        <v/>
      </c>
      <c r="B216" s="22"/>
      <c r="C216" s="23"/>
      <c r="D216" s="26"/>
      <c r="E216" s="25"/>
      <c r="F216" s="7" t="str">
        <f aca="false">IF(E216="","",IFERROR(INDEX(코드관리!$C$7:$C$66,MATCH(E216,코드관리!$B$7:$B$66,0)),"미등록 코드"))</f>
        <v/>
      </c>
      <c r="G216" s="25"/>
      <c r="H216" s="25"/>
      <c r="I216" s="24"/>
      <c r="J216" s="26"/>
      <c r="K216" s="27"/>
      <c r="L216" s="26"/>
      <c r="M216" s="8" t="str">
        <f aca="false">IF(K216="","",IF(J216="USD",ROUND(K216*설정!$C$4,0),K216))</f>
        <v/>
      </c>
      <c r="N216" s="8" t="str">
        <f aca="false">IF(M216="","",IF(AND(I216="과세",L216="VAT포함"),ROUND(M216/(1+설정!$C$5),0),M216))</f>
        <v/>
      </c>
      <c r="O216" s="8" t="str">
        <f aca="false">IF(M216="","",IF(I216="과세",IF(L216="VAT포함",M216-N216,ROUND(N216*설정!$C$5,0)),0))</f>
        <v/>
      </c>
      <c r="P216" s="8" t="str">
        <f aca="false">IF(M216="","",N216+O216)</f>
        <v/>
      </c>
      <c r="Q216" s="26"/>
      <c r="R216" s="8" t="str">
        <f aca="false">IF(OR(M216="",Q216&lt;&gt;"Y"),"",ROUND(N216*설정!$C$5,0))</f>
        <v/>
      </c>
      <c r="S216" s="25"/>
    </row>
    <row r="217" customFormat="false" ht="15" hidden="false" customHeight="false" outlineLevel="0" collapsed="false">
      <c r="A217" s="21" t="str">
        <f aca="false">IF(C217="","",COUNTA($C$5:C217))</f>
        <v/>
      </c>
      <c r="B217" s="22"/>
      <c r="C217" s="23"/>
      <c r="D217" s="26"/>
      <c r="E217" s="25"/>
      <c r="F217" s="7" t="str">
        <f aca="false">IF(E217="","",IFERROR(INDEX(코드관리!$C$7:$C$66,MATCH(E217,코드관리!$B$7:$B$66,0)),"미등록 코드"))</f>
        <v/>
      </c>
      <c r="G217" s="25"/>
      <c r="H217" s="25"/>
      <c r="I217" s="24"/>
      <c r="J217" s="26"/>
      <c r="K217" s="27"/>
      <c r="L217" s="26"/>
      <c r="M217" s="8" t="str">
        <f aca="false">IF(K217="","",IF(J217="USD",ROUND(K217*설정!$C$4,0),K217))</f>
        <v/>
      </c>
      <c r="N217" s="8" t="str">
        <f aca="false">IF(M217="","",IF(AND(I217="과세",L217="VAT포함"),ROUND(M217/(1+설정!$C$5),0),M217))</f>
        <v/>
      </c>
      <c r="O217" s="8" t="str">
        <f aca="false">IF(M217="","",IF(I217="과세",IF(L217="VAT포함",M217-N217,ROUND(N217*설정!$C$5,0)),0))</f>
        <v/>
      </c>
      <c r="P217" s="8" t="str">
        <f aca="false">IF(M217="","",N217+O217)</f>
        <v/>
      </c>
      <c r="Q217" s="26"/>
      <c r="R217" s="8" t="str">
        <f aca="false">IF(OR(M217="",Q217&lt;&gt;"Y"),"",ROUND(N217*설정!$C$5,0))</f>
        <v/>
      </c>
      <c r="S217" s="25"/>
    </row>
    <row r="218" customFormat="false" ht="15" hidden="false" customHeight="false" outlineLevel="0" collapsed="false">
      <c r="A218" s="21" t="str">
        <f aca="false">IF(C218="","",COUNTA($C$5:C218))</f>
        <v/>
      </c>
      <c r="B218" s="22"/>
      <c r="C218" s="23"/>
      <c r="D218" s="26"/>
      <c r="E218" s="25"/>
      <c r="F218" s="7" t="str">
        <f aca="false">IF(E218="","",IFERROR(INDEX(코드관리!$C$7:$C$66,MATCH(E218,코드관리!$B$7:$B$66,0)),"미등록 코드"))</f>
        <v/>
      </c>
      <c r="G218" s="25"/>
      <c r="H218" s="25"/>
      <c r="I218" s="24"/>
      <c r="J218" s="26"/>
      <c r="K218" s="27"/>
      <c r="L218" s="26"/>
      <c r="M218" s="8" t="str">
        <f aca="false">IF(K218="","",IF(J218="USD",ROUND(K218*설정!$C$4,0),K218))</f>
        <v/>
      </c>
      <c r="N218" s="8" t="str">
        <f aca="false">IF(M218="","",IF(AND(I218="과세",L218="VAT포함"),ROUND(M218/(1+설정!$C$5),0),M218))</f>
        <v/>
      </c>
      <c r="O218" s="8" t="str">
        <f aca="false">IF(M218="","",IF(I218="과세",IF(L218="VAT포함",M218-N218,ROUND(N218*설정!$C$5,0)),0))</f>
        <v/>
      </c>
      <c r="P218" s="8" t="str">
        <f aca="false">IF(M218="","",N218+O218)</f>
        <v/>
      </c>
      <c r="Q218" s="26"/>
      <c r="R218" s="8" t="str">
        <f aca="false">IF(OR(M218="",Q218&lt;&gt;"Y"),"",ROUND(N218*설정!$C$5,0))</f>
        <v/>
      </c>
      <c r="S218" s="25"/>
    </row>
    <row r="219" customFormat="false" ht="15" hidden="false" customHeight="false" outlineLevel="0" collapsed="false">
      <c r="A219" s="21" t="str">
        <f aca="false">IF(C219="","",COUNTA($C$5:C219))</f>
        <v/>
      </c>
      <c r="B219" s="22"/>
      <c r="C219" s="23"/>
      <c r="D219" s="26"/>
      <c r="E219" s="25"/>
      <c r="F219" s="7" t="str">
        <f aca="false">IF(E219="","",IFERROR(INDEX(코드관리!$C$7:$C$66,MATCH(E219,코드관리!$B$7:$B$66,0)),"미등록 코드"))</f>
        <v/>
      </c>
      <c r="G219" s="25"/>
      <c r="H219" s="25"/>
      <c r="I219" s="24"/>
      <c r="J219" s="26"/>
      <c r="K219" s="27"/>
      <c r="L219" s="26"/>
      <c r="M219" s="8" t="str">
        <f aca="false">IF(K219="","",IF(J219="USD",ROUND(K219*설정!$C$4,0),K219))</f>
        <v/>
      </c>
      <c r="N219" s="8" t="str">
        <f aca="false">IF(M219="","",IF(AND(I219="과세",L219="VAT포함"),ROUND(M219/(1+설정!$C$5),0),M219))</f>
        <v/>
      </c>
      <c r="O219" s="8" t="str">
        <f aca="false">IF(M219="","",IF(I219="과세",IF(L219="VAT포함",M219-N219,ROUND(N219*설정!$C$5,0)),0))</f>
        <v/>
      </c>
      <c r="P219" s="8" t="str">
        <f aca="false">IF(M219="","",N219+O219)</f>
        <v/>
      </c>
      <c r="Q219" s="26"/>
      <c r="R219" s="8" t="str">
        <f aca="false">IF(OR(M219="",Q219&lt;&gt;"Y"),"",ROUND(N219*설정!$C$5,0))</f>
        <v/>
      </c>
      <c r="S219" s="25"/>
    </row>
    <row r="220" customFormat="false" ht="15" hidden="false" customHeight="false" outlineLevel="0" collapsed="false">
      <c r="A220" s="21" t="str">
        <f aca="false">IF(C220="","",COUNTA($C$5:C220))</f>
        <v/>
      </c>
      <c r="B220" s="22"/>
      <c r="C220" s="23"/>
      <c r="D220" s="26"/>
      <c r="E220" s="25"/>
      <c r="F220" s="7" t="str">
        <f aca="false">IF(E220="","",IFERROR(INDEX(코드관리!$C$7:$C$66,MATCH(E220,코드관리!$B$7:$B$66,0)),"미등록 코드"))</f>
        <v/>
      </c>
      <c r="G220" s="25"/>
      <c r="H220" s="25"/>
      <c r="I220" s="24"/>
      <c r="J220" s="26"/>
      <c r="K220" s="27"/>
      <c r="L220" s="26"/>
      <c r="M220" s="8" t="str">
        <f aca="false">IF(K220="","",IF(J220="USD",ROUND(K220*설정!$C$4,0),K220))</f>
        <v/>
      </c>
      <c r="N220" s="8" t="str">
        <f aca="false">IF(M220="","",IF(AND(I220="과세",L220="VAT포함"),ROUND(M220/(1+설정!$C$5),0),M220))</f>
        <v/>
      </c>
      <c r="O220" s="8" t="str">
        <f aca="false">IF(M220="","",IF(I220="과세",IF(L220="VAT포함",M220-N220,ROUND(N220*설정!$C$5,0)),0))</f>
        <v/>
      </c>
      <c r="P220" s="8" t="str">
        <f aca="false">IF(M220="","",N220+O220)</f>
        <v/>
      </c>
      <c r="Q220" s="26"/>
      <c r="R220" s="8" t="str">
        <f aca="false">IF(OR(M220="",Q220&lt;&gt;"Y"),"",ROUND(N220*설정!$C$5,0))</f>
        <v/>
      </c>
      <c r="S220" s="25"/>
    </row>
    <row r="221" customFormat="false" ht="15" hidden="false" customHeight="false" outlineLevel="0" collapsed="false">
      <c r="A221" s="21" t="str">
        <f aca="false">IF(C221="","",COUNTA($C$5:C221))</f>
        <v/>
      </c>
      <c r="B221" s="22"/>
      <c r="C221" s="23"/>
      <c r="D221" s="26"/>
      <c r="E221" s="25"/>
      <c r="F221" s="7" t="str">
        <f aca="false">IF(E221="","",IFERROR(INDEX(코드관리!$C$7:$C$66,MATCH(E221,코드관리!$B$7:$B$66,0)),"미등록 코드"))</f>
        <v/>
      </c>
      <c r="G221" s="25"/>
      <c r="H221" s="25"/>
      <c r="I221" s="24"/>
      <c r="J221" s="26"/>
      <c r="K221" s="27"/>
      <c r="L221" s="26"/>
      <c r="M221" s="8" t="str">
        <f aca="false">IF(K221="","",IF(J221="USD",ROUND(K221*설정!$C$4,0),K221))</f>
        <v/>
      </c>
      <c r="N221" s="8" t="str">
        <f aca="false">IF(M221="","",IF(AND(I221="과세",L221="VAT포함"),ROUND(M221/(1+설정!$C$5),0),M221))</f>
        <v/>
      </c>
      <c r="O221" s="8" t="str">
        <f aca="false">IF(M221="","",IF(I221="과세",IF(L221="VAT포함",M221-N221,ROUND(N221*설정!$C$5,0)),0))</f>
        <v/>
      </c>
      <c r="P221" s="8" t="str">
        <f aca="false">IF(M221="","",N221+O221)</f>
        <v/>
      </c>
      <c r="Q221" s="26"/>
      <c r="R221" s="8" t="str">
        <f aca="false">IF(OR(M221="",Q221&lt;&gt;"Y"),"",ROUND(N221*설정!$C$5,0))</f>
        <v/>
      </c>
      <c r="S221" s="25"/>
    </row>
    <row r="222" customFormat="false" ht="15" hidden="false" customHeight="false" outlineLevel="0" collapsed="false">
      <c r="A222" s="21" t="str">
        <f aca="false">IF(C222="","",COUNTA($C$5:C222))</f>
        <v/>
      </c>
      <c r="B222" s="22"/>
      <c r="C222" s="23"/>
      <c r="D222" s="26"/>
      <c r="E222" s="25"/>
      <c r="F222" s="7" t="str">
        <f aca="false">IF(E222="","",IFERROR(INDEX(코드관리!$C$7:$C$66,MATCH(E222,코드관리!$B$7:$B$66,0)),"미등록 코드"))</f>
        <v/>
      </c>
      <c r="G222" s="25"/>
      <c r="H222" s="25"/>
      <c r="I222" s="24"/>
      <c r="J222" s="26"/>
      <c r="K222" s="27"/>
      <c r="L222" s="26"/>
      <c r="M222" s="8" t="str">
        <f aca="false">IF(K222="","",IF(J222="USD",ROUND(K222*설정!$C$4,0),K222))</f>
        <v/>
      </c>
      <c r="N222" s="8" t="str">
        <f aca="false">IF(M222="","",IF(AND(I222="과세",L222="VAT포함"),ROUND(M222/(1+설정!$C$5),0),M222))</f>
        <v/>
      </c>
      <c r="O222" s="8" t="str">
        <f aca="false">IF(M222="","",IF(I222="과세",IF(L222="VAT포함",M222-N222,ROUND(N222*설정!$C$5,0)),0))</f>
        <v/>
      </c>
      <c r="P222" s="8" t="str">
        <f aca="false">IF(M222="","",N222+O222)</f>
        <v/>
      </c>
      <c r="Q222" s="26"/>
      <c r="R222" s="8" t="str">
        <f aca="false">IF(OR(M222="",Q222&lt;&gt;"Y"),"",ROUND(N222*설정!$C$5,0))</f>
        <v/>
      </c>
      <c r="S222" s="25"/>
    </row>
    <row r="223" customFormat="false" ht="15" hidden="false" customHeight="false" outlineLevel="0" collapsed="false">
      <c r="A223" s="21" t="str">
        <f aca="false">IF(C223="","",COUNTA($C$5:C223))</f>
        <v/>
      </c>
      <c r="B223" s="22"/>
      <c r="C223" s="23"/>
      <c r="D223" s="26"/>
      <c r="E223" s="25"/>
      <c r="F223" s="7" t="str">
        <f aca="false">IF(E223="","",IFERROR(INDEX(코드관리!$C$7:$C$66,MATCH(E223,코드관리!$B$7:$B$66,0)),"미등록 코드"))</f>
        <v/>
      </c>
      <c r="G223" s="25"/>
      <c r="H223" s="25"/>
      <c r="I223" s="24"/>
      <c r="J223" s="26"/>
      <c r="K223" s="27"/>
      <c r="L223" s="26"/>
      <c r="M223" s="8" t="str">
        <f aca="false">IF(K223="","",IF(J223="USD",ROUND(K223*설정!$C$4,0),K223))</f>
        <v/>
      </c>
      <c r="N223" s="8" t="str">
        <f aca="false">IF(M223="","",IF(AND(I223="과세",L223="VAT포함"),ROUND(M223/(1+설정!$C$5),0),M223))</f>
        <v/>
      </c>
      <c r="O223" s="8" t="str">
        <f aca="false">IF(M223="","",IF(I223="과세",IF(L223="VAT포함",M223-N223,ROUND(N223*설정!$C$5,0)),0))</f>
        <v/>
      </c>
      <c r="P223" s="8" t="str">
        <f aca="false">IF(M223="","",N223+O223)</f>
        <v/>
      </c>
      <c r="Q223" s="26"/>
      <c r="R223" s="8" t="str">
        <f aca="false">IF(OR(M223="",Q223&lt;&gt;"Y"),"",ROUND(N223*설정!$C$5,0))</f>
        <v/>
      </c>
      <c r="S223" s="25"/>
    </row>
    <row r="224" customFormat="false" ht="15" hidden="false" customHeight="false" outlineLevel="0" collapsed="false">
      <c r="A224" s="21" t="str">
        <f aca="false">IF(C224="","",COUNTA($C$5:C224))</f>
        <v/>
      </c>
      <c r="B224" s="22"/>
      <c r="C224" s="23"/>
      <c r="D224" s="26"/>
      <c r="E224" s="25"/>
      <c r="F224" s="7" t="str">
        <f aca="false">IF(E224="","",IFERROR(INDEX(코드관리!$C$7:$C$66,MATCH(E224,코드관리!$B$7:$B$66,0)),"미등록 코드"))</f>
        <v/>
      </c>
      <c r="G224" s="25"/>
      <c r="H224" s="25"/>
      <c r="I224" s="24"/>
      <c r="J224" s="26"/>
      <c r="K224" s="27"/>
      <c r="L224" s="26"/>
      <c r="M224" s="8" t="str">
        <f aca="false">IF(K224="","",IF(J224="USD",ROUND(K224*설정!$C$4,0),K224))</f>
        <v/>
      </c>
      <c r="N224" s="8" t="str">
        <f aca="false">IF(M224="","",IF(AND(I224="과세",L224="VAT포함"),ROUND(M224/(1+설정!$C$5),0),M224))</f>
        <v/>
      </c>
      <c r="O224" s="8" t="str">
        <f aca="false">IF(M224="","",IF(I224="과세",IF(L224="VAT포함",M224-N224,ROUND(N224*설정!$C$5,0)),0))</f>
        <v/>
      </c>
      <c r="P224" s="8" t="str">
        <f aca="false">IF(M224="","",N224+O224)</f>
        <v/>
      </c>
      <c r="Q224" s="26"/>
      <c r="R224" s="8" t="str">
        <f aca="false">IF(OR(M224="",Q224&lt;&gt;"Y"),"",ROUND(N224*설정!$C$5,0))</f>
        <v/>
      </c>
      <c r="S224" s="25"/>
    </row>
    <row r="225" customFormat="false" ht="15" hidden="false" customHeight="false" outlineLevel="0" collapsed="false">
      <c r="A225" s="21" t="str">
        <f aca="false">IF(C225="","",COUNTA($C$5:C225))</f>
        <v/>
      </c>
      <c r="B225" s="22"/>
      <c r="C225" s="23"/>
      <c r="D225" s="26"/>
      <c r="E225" s="25"/>
      <c r="F225" s="7" t="str">
        <f aca="false">IF(E225="","",IFERROR(INDEX(코드관리!$C$7:$C$66,MATCH(E225,코드관리!$B$7:$B$66,0)),"미등록 코드"))</f>
        <v/>
      </c>
      <c r="G225" s="25"/>
      <c r="H225" s="25"/>
      <c r="I225" s="24"/>
      <c r="J225" s="26"/>
      <c r="K225" s="27"/>
      <c r="L225" s="26"/>
      <c r="M225" s="8" t="str">
        <f aca="false">IF(K225="","",IF(J225="USD",ROUND(K225*설정!$C$4,0),K225))</f>
        <v/>
      </c>
      <c r="N225" s="8" t="str">
        <f aca="false">IF(M225="","",IF(AND(I225="과세",L225="VAT포함"),ROUND(M225/(1+설정!$C$5),0),M225))</f>
        <v/>
      </c>
      <c r="O225" s="8" t="str">
        <f aca="false">IF(M225="","",IF(I225="과세",IF(L225="VAT포함",M225-N225,ROUND(N225*설정!$C$5,0)),0))</f>
        <v/>
      </c>
      <c r="P225" s="8" t="str">
        <f aca="false">IF(M225="","",N225+O225)</f>
        <v/>
      </c>
      <c r="Q225" s="26"/>
      <c r="R225" s="8" t="str">
        <f aca="false">IF(OR(M225="",Q225&lt;&gt;"Y"),"",ROUND(N225*설정!$C$5,0))</f>
        <v/>
      </c>
      <c r="S225" s="25"/>
    </row>
    <row r="226" customFormat="false" ht="15" hidden="false" customHeight="false" outlineLevel="0" collapsed="false">
      <c r="A226" s="21" t="str">
        <f aca="false">IF(C226="","",COUNTA($C$5:C226))</f>
        <v/>
      </c>
      <c r="B226" s="22"/>
      <c r="C226" s="23"/>
      <c r="D226" s="26"/>
      <c r="E226" s="25"/>
      <c r="F226" s="7" t="str">
        <f aca="false">IF(E226="","",IFERROR(INDEX(코드관리!$C$7:$C$66,MATCH(E226,코드관리!$B$7:$B$66,0)),"미등록 코드"))</f>
        <v/>
      </c>
      <c r="G226" s="25"/>
      <c r="H226" s="25"/>
      <c r="I226" s="24"/>
      <c r="J226" s="26"/>
      <c r="K226" s="27"/>
      <c r="L226" s="26"/>
      <c r="M226" s="8" t="str">
        <f aca="false">IF(K226="","",IF(J226="USD",ROUND(K226*설정!$C$4,0),K226))</f>
        <v/>
      </c>
      <c r="N226" s="8" t="str">
        <f aca="false">IF(M226="","",IF(AND(I226="과세",L226="VAT포함"),ROUND(M226/(1+설정!$C$5),0),M226))</f>
        <v/>
      </c>
      <c r="O226" s="8" t="str">
        <f aca="false">IF(M226="","",IF(I226="과세",IF(L226="VAT포함",M226-N226,ROUND(N226*설정!$C$5,0)),0))</f>
        <v/>
      </c>
      <c r="P226" s="8" t="str">
        <f aca="false">IF(M226="","",N226+O226)</f>
        <v/>
      </c>
      <c r="Q226" s="26"/>
      <c r="R226" s="8" t="str">
        <f aca="false">IF(OR(M226="",Q226&lt;&gt;"Y"),"",ROUND(N226*설정!$C$5,0))</f>
        <v/>
      </c>
      <c r="S226" s="25"/>
    </row>
    <row r="227" customFormat="false" ht="15" hidden="false" customHeight="false" outlineLevel="0" collapsed="false">
      <c r="A227" s="21" t="str">
        <f aca="false">IF(C227="","",COUNTA($C$5:C227))</f>
        <v/>
      </c>
      <c r="B227" s="22"/>
      <c r="C227" s="23"/>
      <c r="D227" s="26"/>
      <c r="E227" s="25"/>
      <c r="F227" s="7" t="str">
        <f aca="false">IF(E227="","",IFERROR(INDEX(코드관리!$C$7:$C$66,MATCH(E227,코드관리!$B$7:$B$66,0)),"미등록 코드"))</f>
        <v/>
      </c>
      <c r="G227" s="25"/>
      <c r="H227" s="25"/>
      <c r="I227" s="24"/>
      <c r="J227" s="26"/>
      <c r="K227" s="27"/>
      <c r="L227" s="26"/>
      <c r="M227" s="8" t="str">
        <f aca="false">IF(K227="","",IF(J227="USD",ROUND(K227*설정!$C$4,0),K227))</f>
        <v/>
      </c>
      <c r="N227" s="8" t="str">
        <f aca="false">IF(M227="","",IF(AND(I227="과세",L227="VAT포함"),ROUND(M227/(1+설정!$C$5),0),M227))</f>
        <v/>
      </c>
      <c r="O227" s="8" t="str">
        <f aca="false">IF(M227="","",IF(I227="과세",IF(L227="VAT포함",M227-N227,ROUND(N227*설정!$C$5,0)),0))</f>
        <v/>
      </c>
      <c r="P227" s="8" t="str">
        <f aca="false">IF(M227="","",N227+O227)</f>
        <v/>
      </c>
      <c r="Q227" s="26"/>
      <c r="R227" s="8" t="str">
        <f aca="false">IF(OR(M227="",Q227&lt;&gt;"Y"),"",ROUND(N227*설정!$C$5,0))</f>
        <v/>
      </c>
      <c r="S227" s="25"/>
    </row>
    <row r="228" customFormat="false" ht="15" hidden="false" customHeight="false" outlineLevel="0" collapsed="false">
      <c r="A228" s="21" t="str">
        <f aca="false">IF(C228="","",COUNTA($C$5:C228))</f>
        <v/>
      </c>
      <c r="B228" s="22"/>
      <c r="C228" s="23"/>
      <c r="D228" s="26"/>
      <c r="E228" s="25"/>
      <c r="F228" s="7" t="str">
        <f aca="false">IF(E228="","",IFERROR(INDEX(코드관리!$C$7:$C$66,MATCH(E228,코드관리!$B$7:$B$66,0)),"미등록 코드"))</f>
        <v/>
      </c>
      <c r="G228" s="25"/>
      <c r="H228" s="25"/>
      <c r="I228" s="24"/>
      <c r="J228" s="26"/>
      <c r="K228" s="27"/>
      <c r="L228" s="26"/>
      <c r="M228" s="8" t="str">
        <f aca="false">IF(K228="","",IF(J228="USD",ROUND(K228*설정!$C$4,0),K228))</f>
        <v/>
      </c>
      <c r="N228" s="8" t="str">
        <f aca="false">IF(M228="","",IF(AND(I228="과세",L228="VAT포함"),ROUND(M228/(1+설정!$C$5),0),M228))</f>
        <v/>
      </c>
      <c r="O228" s="8" t="str">
        <f aca="false">IF(M228="","",IF(I228="과세",IF(L228="VAT포함",M228-N228,ROUND(N228*설정!$C$5,0)),0))</f>
        <v/>
      </c>
      <c r="P228" s="8" t="str">
        <f aca="false">IF(M228="","",N228+O228)</f>
        <v/>
      </c>
      <c r="Q228" s="26"/>
      <c r="R228" s="8" t="str">
        <f aca="false">IF(OR(M228="",Q228&lt;&gt;"Y"),"",ROUND(N228*설정!$C$5,0))</f>
        <v/>
      </c>
      <c r="S228" s="25"/>
    </row>
    <row r="229" customFormat="false" ht="15" hidden="false" customHeight="false" outlineLevel="0" collapsed="false">
      <c r="A229" s="21" t="str">
        <f aca="false">IF(C229="","",COUNTA($C$5:C229))</f>
        <v/>
      </c>
      <c r="B229" s="22"/>
      <c r="C229" s="23"/>
      <c r="D229" s="26"/>
      <c r="E229" s="25"/>
      <c r="F229" s="7" t="str">
        <f aca="false">IF(E229="","",IFERROR(INDEX(코드관리!$C$7:$C$66,MATCH(E229,코드관리!$B$7:$B$66,0)),"미등록 코드"))</f>
        <v/>
      </c>
      <c r="G229" s="25"/>
      <c r="H229" s="25"/>
      <c r="I229" s="24"/>
      <c r="J229" s="26"/>
      <c r="K229" s="27"/>
      <c r="L229" s="26"/>
      <c r="M229" s="8" t="str">
        <f aca="false">IF(K229="","",IF(J229="USD",ROUND(K229*설정!$C$4,0),K229))</f>
        <v/>
      </c>
      <c r="N229" s="8" t="str">
        <f aca="false">IF(M229="","",IF(AND(I229="과세",L229="VAT포함"),ROUND(M229/(1+설정!$C$5),0),M229))</f>
        <v/>
      </c>
      <c r="O229" s="8" t="str">
        <f aca="false">IF(M229="","",IF(I229="과세",IF(L229="VAT포함",M229-N229,ROUND(N229*설정!$C$5,0)),0))</f>
        <v/>
      </c>
      <c r="P229" s="8" t="str">
        <f aca="false">IF(M229="","",N229+O229)</f>
        <v/>
      </c>
      <c r="Q229" s="26"/>
      <c r="R229" s="8" t="str">
        <f aca="false">IF(OR(M229="",Q229&lt;&gt;"Y"),"",ROUND(N229*설정!$C$5,0))</f>
        <v/>
      </c>
      <c r="S229" s="25"/>
    </row>
    <row r="230" customFormat="false" ht="15" hidden="false" customHeight="false" outlineLevel="0" collapsed="false">
      <c r="A230" s="21" t="str">
        <f aca="false">IF(C230="","",COUNTA($C$5:C230))</f>
        <v/>
      </c>
      <c r="B230" s="22"/>
      <c r="C230" s="23"/>
      <c r="D230" s="26"/>
      <c r="E230" s="25"/>
      <c r="F230" s="7" t="str">
        <f aca="false">IF(E230="","",IFERROR(INDEX(코드관리!$C$7:$C$66,MATCH(E230,코드관리!$B$7:$B$66,0)),"미등록 코드"))</f>
        <v/>
      </c>
      <c r="G230" s="25"/>
      <c r="H230" s="25"/>
      <c r="I230" s="24"/>
      <c r="J230" s="26"/>
      <c r="K230" s="27"/>
      <c r="L230" s="26"/>
      <c r="M230" s="8" t="str">
        <f aca="false">IF(K230="","",IF(J230="USD",ROUND(K230*설정!$C$4,0),K230))</f>
        <v/>
      </c>
      <c r="N230" s="8" t="str">
        <f aca="false">IF(M230="","",IF(AND(I230="과세",L230="VAT포함"),ROUND(M230/(1+설정!$C$5),0),M230))</f>
        <v/>
      </c>
      <c r="O230" s="8" t="str">
        <f aca="false">IF(M230="","",IF(I230="과세",IF(L230="VAT포함",M230-N230,ROUND(N230*설정!$C$5,0)),0))</f>
        <v/>
      </c>
      <c r="P230" s="8" t="str">
        <f aca="false">IF(M230="","",N230+O230)</f>
        <v/>
      </c>
      <c r="Q230" s="26"/>
      <c r="R230" s="8" t="str">
        <f aca="false">IF(OR(M230="",Q230&lt;&gt;"Y"),"",ROUND(N230*설정!$C$5,0))</f>
        <v/>
      </c>
      <c r="S230" s="25"/>
    </row>
    <row r="231" customFormat="false" ht="15" hidden="false" customHeight="false" outlineLevel="0" collapsed="false">
      <c r="A231" s="21" t="str">
        <f aca="false">IF(C231="","",COUNTA($C$5:C231))</f>
        <v/>
      </c>
      <c r="B231" s="22"/>
      <c r="C231" s="23"/>
      <c r="D231" s="26"/>
      <c r="E231" s="25"/>
      <c r="F231" s="7" t="str">
        <f aca="false">IF(E231="","",IFERROR(INDEX(코드관리!$C$7:$C$66,MATCH(E231,코드관리!$B$7:$B$66,0)),"미등록 코드"))</f>
        <v/>
      </c>
      <c r="G231" s="25"/>
      <c r="H231" s="25"/>
      <c r="I231" s="24"/>
      <c r="J231" s="26"/>
      <c r="K231" s="27"/>
      <c r="L231" s="26"/>
      <c r="M231" s="8" t="str">
        <f aca="false">IF(K231="","",IF(J231="USD",ROUND(K231*설정!$C$4,0),K231))</f>
        <v/>
      </c>
      <c r="N231" s="8" t="str">
        <f aca="false">IF(M231="","",IF(AND(I231="과세",L231="VAT포함"),ROUND(M231/(1+설정!$C$5),0),M231))</f>
        <v/>
      </c>
      <c r="O231" s="8" t="str">
        <f aca="false">IF(M231="","",IF(I231="과세",IF(L231="VAT포함",M231-N231,ROUND(N231*설정!$C$5,0)),0))</f>
        <v/>
      </c>
      <c r="P231" s="8" t="str">
        <f aca="false">IF(M231="","",N231+O231)</f>
        <v/>
      </c>
      <c r="Q231" s="26"/>
      <c r="R231" s="8" t="str">
        <f aca="false">IF(OR(M231="",Q231&lt;&gt;"Y"),"",ROUND(N231*설정!$C$5,0))</f>
        <v/>
      </c>
      <c r="S231" s="25"/>
    </row>
    <row r="232" customFormat="false" ht="15" hidden="false" customHeight="false" outlineLevel="0" collapsed="false">
      <c r="A232" s="21" t="str">
        <f aca="false">IF(C232="","",COUNTA($C$5:C232))</f>
        <v/>
      </c>
      <c r="B232" s="22"/>
      <c r="C232" s="23"/>
      <c r="D232" s="26"/>
      <c r="E232" s="25"/>
      <c r="F232" s="7" t="str">
        <f aca="false">IF(E232="","",IFERROR(INDEX(코드관리!$C$7:$C$66,MATCH(E232,코드관리!$B$7:$B$66,0)),"미등록 코드"))</f>
        <v/>
      </c>
      <c r="G232" s="25"/>
      <c r="H232" s="25"/>
      <c r="I232" s="24"/>
      <c r="J232" s="26"/>
      <c r="K232" s="27"/>
      <c r="L232" s="26"/>
      <c r="M232" s="8" t="str">
        <f aca="false">IF(K232="","",IF(J232="USD",ROUND(K232*설정!$C$4,0),K232))</f>
        <v/>
      </c>
      <c r="N232" s="8" t="str">
        <f aca="false">IF(M232="","",IF(AND(I232="과세",L232="VAT포함"),ROUND(M232/(1+설정!$C$5),0),M232))</f>
        <v/>
      </c>
      <c r="O232" s="8" t="str">
        <f aca="false">IF(M232="","",IF(I232="과세",IF(L232="VAT포함",M232-N232,ROUND(N232*설정!$C$5,0)),0))</f>
        <v/>
      </c>
      <c r="P232" s="8" t="str">
        <f aca="false">IF(M232="","",N232+O232)</f>
        <v/>
      </c>
      <c r="Q232" s="26"/>
      <c r="R232" s="8" t="str">
        <f aca="false">IF(OR(M232="",Q232&lt;&gt;"Y"),"",ROUND(N232*설정!$C$5,0))</f>
        <v/>
      </c>
      <c r="S232" s="25"/>
    </row>
    <row r="233" customFormat="false" ht="15" hidden="false" customHeight="false" outlineLevel="0" collapsed="false">
      <c r="A233" s="21" t="str">
        <f aca="false">IF(C233="","",COUNTA($C$5:C233))</f>
        <v/>
      </c>
      <c r="B233" s="22"/>
      <c r="C233" s="23"/>
      <c r="D233" s="26"/>
      <c r="E233" s="25"/>
      <c r="F233" s="7" t="str">
        <f aca="false">IF(E233="","",IFERROR(INDEX(코드관리!$C$7:$C$66,MATCH(E233,코드관리!$B$7:$B$66,0)),"미등록 코드"))</f>
        <v/>
      </c>
      <c r="G233" s="25"/>
      <c r="H233" s="25"/>
      <c r="I233" s="24"/>
      <c r="J233" s="26"/>
      <c r="K233" s="27"/>
      <c r="L233" s="26"/>
      <c r="M233" s="8" t="str">
        <f aca="false">IF(K233="","",IF(J233="USD",ROUND(K233*설정!$C$4,0),K233))</f>
        <v/>
      </c>
      <c r="N233" s="8" t="str">
        <f aca="false">IF(M233="","",IF(AND(I233="과세",L233="VAT포함"),ROUND(M233/(1+설정!$C$5),0),M233))</f>
        <v/>
      </c>
      <c r="O233" s="8" t="str">
        <f aca="false">IF(M233="","",IF(I233="과세",IF(L233="VAT포함",M233-N233,ROUND(N233*설정!$C$5,0)),0))</f>
        <v/>
      </c>
      <c r="P233" s="8" t="str">
        <f aca="false">IF(M233="","",N233+O233)</f>
        <v/>
      </c>
      <c r="Q233" s="26"/>
      <c r="R233" s="8" t="str">
        <f aca="false">IF(OR(M233="",Q233&lt;&gt;"Y"),"",ROUND(N233*설정!$C$5,0))</f>
        <v/>
      </c>
      <c r="S233" s="25"/>
    </row>
    <row r="234" customFormat="false" ht="15" hidden="false" customHeight="false" outlineLevel="0" collapsed="false">
      <c r="A234" s="21" t="str">
        <f aca="false">IF(C234="","",COUNTA($C$5:C234))</f>
        <v/>
      </c>
      <c r="B234" s="22"/>
      <c r="C234" s="23"/>
      <c r="D234" s="26"/>
      <c r="E234" s="25"/>
      <c r="F234" s="7" t="str">
        <f aca="false">IF(E234="","",IFERROR(INDEX(코드관리!$C$7:$C$66,MATCH(E234,코드관리!$B$7:$B$66,0)),"미등록 코드"))</f>
        <v/>
      </c>
      <c r="G234" s="25"/>
      <c r="H234" s="25"/>
      <c r="I234" s="24"/>
      <c r="J234" s="26"/>
      <c r="K234" s="27"/>
      <c r="L234" s="26"/>
      <c r="M234" s="8" t="str">
        <f aca="false">IF(K234="","",IF(J234="USD",ROUND(K234*설정!$C$4,0),K234))</f>
        <v/>
      </c>
      <c r="N234" s="8" t="str">
        <f aca="false">IF(M234="","",IF(AND(I234="과세",L234="VAT포함"),ROUND(M234/(1+설정!$C$5),0),M234))</f>
        <v/>
      </c>
      <c r="O234" s="8" t="str">
        <f aca="false">IF(M234="","",IF(I234="과세",IF(L234="VAT포함",M234-N234,ROUND(N234*설정!$C$5,0)),0))</f>
        <v/>
      </c>
      <c r="P234" s="8" t="str">
        <f aca="false">IF(M234="","",N234+O234)</f>
        <v/>
      </c>
      <c r="Q234" s="26"/>
      <c r="R234" s="8" t="str">
        <f aca="false">IF(OR(M234="",Q234&lt;&gt;"Y"),"",ROUND(N234*설정!$C$5,0))</f>
        <v/>
      </c>
      <c r="S234" s="25"/>
    </row>
    <row r="235" customFormat="false" ht="15" hidden="false" customHeight="false" outlineLevel="0" collapsed="false">
      <c r="A235" s="21" t="str">
        <f aca="false">IF(C235="","",COUNTA($C$5:C235))</f>
        <v/>
      </c>
      <c r="B235" s="22"/>
      <c r="C235" s="23"/>
      <c r="D235" s="26"/>
      <c r="E235" s="25"/>
      <c r="F235" s="7" t="str">
        <f aca="false">IF(E235="","",IFERROR(INDEX(코드관리!$C$7:$C$66,MATCH(E235,코드관리!$B$7:$B$66,0)),"미등록 코드"))</f>
        <v/>
      </c>
      <c r="G235" s="25"/>
      <c r="H235" s="25"/>
      <c r="I235" s="24"/>
      <c r="J235" s="26"/>
      <c r="K235" s="27"/>
      <c r="L235" s="26"/>
      <c r="M235" s="8" t="str">
        <f aca="false">IF(K235="","",IF(J235="USD",ROUND(K235*설정!$C$4,0),K235))</f>
        <v/>
      </c>
      <c r="N235" s="8" t="str">
        <f aca="false">IF(M235="","",IF(AND(I235="과세",L235="VAT포함"),ROUND(M235/(1+설정!$C$5),0),M235))</f>
        <v/>
      </c>
      <c r="O235" s="8" t="str">
        <f aca="false">IF(M235="","",IF(I235="과세",IF(L235="VAT포함",M235-N235,ROUND(N235*설정!$C$5,0)),0))</f>
        <v/>
      </c>
      <c r="P235" s="8" t="str">
        <f aca="false">IF(M235="","",N235+O235)</f>
        <v/>
      </c>
      <c r="Q235" s="26"/>
      <c r="R235" s="8" t="str">
        <f aca="false">IF(OR(M235="",Q235&lt;&gt;"Y"),"",ROUND(N235*설정!$C$5,0))</f>
        <v/>
      </c>
      <c r="S235" s="25"/>
    </row>
    <row r="236" customFormat="false" ht="15" hidden="false" customHeight="false" outlineLevel="0" collapsed="false">
      <c r="A236" s="21" t="str">
        <f aca="false">IF(C236="","",COUNTA($C$5:C236))</f>
        <v/>
      </c>
      <c r="B236" s="22"/>
      <c r="C236" s="23"/>
      <c r="D236" s="26"/>
      <c r="E236" s="25"/>
      <c r="F236" s="7" t="str">
        <f aca="false">IF(E236="","",IFERROR(INDEX(코드관리!$C$7:$C$66,MATCH(E236,코드관리!$B$7:$B$66,0)),"미등록 코드"))</f>
        <v/>
      </c>
      <c r="G236" s="25"/>
      <c r="H236" s="25"/>
      <c r="I236" s="24"/>
      <c r="J236" s="26"/>
      <c r="K236" s="27"/>
      <c r="L236" s="26"/>
      <c r="M236" s="8" t="str">
        <f aca="false">IF(K236="","",IF(J236="USD",ROUND(K236*설정!$C$4,0),K236))</f>
        <v/>
      </c>
      <c r="N236" s="8" t="str">
        <f aca="false">IF(M236="","",IF(AND(I236="과세",L236="VAT포함"),ROUND(M236/(1+설정!$C$5),0),M236))</f>
        <v/>
      </c>
      <c r="O236" s="8" t="str">
        <f aca="false">IF(M236="","",IF(I236="과세",IF(L236="VAT포함",M236-N236,ROUND(N236*설정!$C$5,0)),0))</f>
        <v/>
      </c>
      <c r="P236" s="8" t="str">
        <f aca="false">IF(M236="","",N236+O236)</f>
        <v/>
      </c>
      <c r="Q236" s="26"/>
      <c r="R236" s="8" t="str">
        <f aca="false">IF(OR(M236="",Q236&lt;&gt;"Y"),"",ROUND(N236*설정!$C$5,0))</f>
        <v/>
      </c>
      <c r="S236" s="25"/>
    </row>
    <row r="237" customFormat="false" ht="15" hidden="false" customHeight="false" outlineLevel="0" collapsed="false">
      <c r="A237" s="21" t="str">
        <f aca="false">IF(C237="","",COUNTA($C$5:C237))</f>
        <v/>
      </c>
      <c r="B237" s="22"/>
      <c r="C237" s="23"/>
      <c r="D237" s="26"/>
      <c r="E237" s="25"/>
      <c r="F237" s="7" t="str">
        <f aca="false">IF(E237="","",IFERROR(INDEX(코드관리!$C$7:$C$66,MATCH(E237,코드관리!$B$7:$B$66,0)),"미등록 코드"))</f>
        <v/>
      </c>
      <c r="G237" s="25"/>
      <c r="H237" s="25"/>
      <c r="I237" s="24"/>
      <c r="J237" s="26"/>
      <c r="K237" s="27"/>
      <c r="L237" s="26"/>
      <c r="M237" s="8" t="str">
        <f aca="false">IF(K237="","",IF(J237="USD",ROUND(K237*설정!$C$4,0),K237))</f>
        <v/>
      </c>
      <c r="N237" s="8" t="str">
        <f aca="false">IF(M237="","",IF(AND(I237="과세",L237="VAT포함"),ROUND(M237/(1+설정!$C$5),0),M237))</f>
        <v/>
      </c>
      <c r="O237" s="8" t="str">
        <f aca="false">IF(M237="","",IF(I237="과세",IF(L237="VAT포함",M237-N237,ROUND(N237*설정!$C$5,0)),0))</f>
        <v/>
      </c>
      <c r="P237" s="8" t="str">
        <f aca="false">IF(M237="","",N237+O237)</f>
        <v/>
      </c>
      <c r="Q237" s="26"/>
      <c r="R237" s="8" t="str">
        <f aca="false">IF(OR(M237="",Q237&lt;&gt;"Y"),"",ROUND(N237*설정!$C$5,0))</f>
        <v/>
      </c>
      <c r="S237" s="25"/>
    </row>
    <row r="238" customFormat="false" ht="15" hidden="false" customHeight="false" outlineLevel="0" collapsed="false">
      <c r="A238" s="21" t="str">
        <f aca="false">IF(C238="","",COUNTA($C$5:C238))</f>
        <v/>
      </c>
      <c r="B238" s="22"/>
      <c r="C238" s="23"/>
      <c r="D238" s="26"/>
      <c r="E238" s="25"/>
      <c r="F238" s="7" t="str">
        <f aca="false">IF(E238="","",IFERROR(INDEX(코드관리!$C$7:$C$66,MATCH(E238,코드관리!$B$7:$B$66,0)),"미등록 코드"))</f>
        <v/>
      </c>
      <c r="G238" s="25"/>
      <c r="H238" s="25"/>
      <c r="I238" s="24"/>
      <c r="J238" s="26"/>
      <c r="K238" s="27"/>
      <c r="L238" s="26"/>
      <c r="M238" s="8" t="str">
        <f aca="false">IF(K238="","",IF(J238="USD",ROUND(K238*설정!$C$4,0),K238))</f>
        <v/>
      </c>
      <c r="N238" s="8" t="str">
        <f aca="false">IF(M238="","",IF(AND(I238="과세",L238="VAT포함"),ROUND(M238/(1+설정!$C$5),0),M238))</f>
        <v/>
      </c>
      <c r="O238" s="8" t="str">
        <f aca="false">IF(M238="","",IF(I238="과세",IF(L238="VAT포함",M238-N238,ROUND(N238*설정!$C$5,0)),0))</f>
        <v/>
      </c>
      <c r="P238" s="8" t="str">
        <f aca="false">IF(M238="","",N238+O238)</f>
        <v/>
      </c>
      <c r="Q238" s="26"/>
      <c r="R238" s="8" t="str">
        <f aca="false">IF(OR(M238="",Q238&lt;&gt;"Y"),"",ROUND(N238*설정!$C$5,0))</f>
        <v/>
      </c>
      <c r="S238" s="25"/>
    </row>
    <row r="239" customFormat="false" ht="15" hidden="false" customHeight="false" outlineLevel="0" collapsed="false">
      <c r="A239" s="21" t="str">
        <f aca="false">IF(C239="","",COUNTA($C$5:C239))</f>
        <v/>
      </c>
      <c r="B239" s="22"/>
      <c r="C239" s="23"/>
      <c r="D239" s="26"/>
      <c r="E239" s="25"/>
      <c r="F239" s="7" t="str">
        <f aca="false">IF(E239="","",IFERROR(INDEX(코드관리!$C$7:$C$66,MATCH(E239,코드관리!$B$7:$B$66,0)),"미등록 코드"))</f>
        <v/>
      </c>
      <c r="G239" s="25"/>
      <c r="H239" s="25"/>
      <c r="I239" s="24"/>
      <c r="J239" s="26"/>
      <c r="K239" s="27"/>
      <c r="L239" s="26"/>
      <c r="M239" s="8" t="str">
        <f aca="false">IF(K239="","",IF(J239="USD",ROUND(K239*설정!$C$4,0),K239))</f>
        <v/>
      </c>
      <c r="N239" s="8" t="str">
        <f aca="false">IF(M239="","",IF(AND(I239="과세",L239="VAT포함"),ROUND(M239/(1+설정!$C$5),0),M239))</f>
        <v/>
      </c>
      <c r="O239" s="8" t="str">
        <f aca="false">IF(M239="","",IF(I239="과세",IF(L239="VAT포함",M239-N239,ROUND(N239*설정!$C$5,0)),0))</f>
        <v/>
      </c>
      <c r="P239" s="8" t="str">
        <f aca="false">IF(M239="","",N239+O239)</f>
        <v/>
      </c>
      <c r="Q239" s="26"/>
      <c r="R239" s="8" t="str">
        <f aca="false">IF(OR(M239="",Q239&lt;&gt;"Y"),"",ROUND(N239*설정!$C$5,0))</f>
        <v/>
      </c>
      <c r="S239" s="25"/>
    </row>
    <row r="240" customFormat="false" ht="15" hidden="false" customHeight="false" outlineLevel="0" collapsed="false">
      <c r="A240" s="21" t="str">
        <f aca="false">IF(C240="","",COUNTA($C$5:C240))</f>
        <v/>
      </c>
      <c r="B240" s="22"/>
      <c r="C240" s="23"/>
      <c r="D240" s="26"/>
      <c r="E240" s="25"/>
      <c r="F240" s="7" t="str">
        <f aca="false">IF(E240="","",IFERROR(INDEX(코드관리!$C$7:$C$66,MATCH(E240,코드관리!$B$7:$B$66,0)),"미등록 코드"))</f>
        <v/>
      </c>
      <c r="G240" s="25"/>
      <c r="H240" s="25"/>
      <c r="I240" s="24"/>
      <c r="J240" s="26"/>
      <c r="K240" s="27"/>
      <c r="L240" s="26"/>
      <c r="M240" s="8" t="str">
        <f aca="false">IF(K240="","",IF(J240="USD",ROUND(K240*설정!$C$4,0),K240))</f>
        <v/>
      </c>
      <c r="N240" s="8" t="str">
        <f aca="false">IF(M240="","",IF(AND(I240="과세",L240="VAT포함"),ROUND(M240/(1+설정!$C$5),0),M240))</f>
        <v/>
      </c>
      <c r="O240" s="8" t="str">
        <f aca="false">IF(M240="","",IF(I240="과세",IF(L240="VAT포함",M240-N240,ROUND(N240*설정!$C$5,0)),0))</f>
        <v/>
      </c>
      <c r="P240" s="8" t="str">
        <f aca="false">IF(M240="","",N240+O240)</f>
        <v/>
      </c>
      <c r="Q240" s="26"/>
      <c r="R240" s="8" t="str">
        <f aca="false">IF(OR(M240="",Q240&lt;&gt;"Y"),"",ROUND(N240*설정!$C$5,0))</f>
        <v/>
      </c>
      <c r="S240" s="25"/>
    </row>
    <row r="241" customFormat="false" ht="15" hidden="false" customHeight="false" outlineLevel="0" collapsed="false">
      <c r="A241" s="21" t="str">
        <f aca="false">IF(C241="","",COUNTA($C$5:C241))</f>
        <v/>
      </c>
      <c r="B241" s="22"/>
      <c r="C241" s="23"/>
      <c r="D241" s="26"/>
      <c r="E241" s="25"/>
      <c r="F241" s="7" t="str">
        <f aca="false">IF(E241="","",IFERROR(INDEX(코드관리!$C$7:$C$66,MATCH(E241,코드관리!$B$7:$B$66,0)),"미등록 코드"))</f>
        <v/>
      </c>
      <c r="G241" s="25"/>
      <c r="H241" s="25"/>
      <c r="I241" s="24"/>
      <c r="J241" s="26"/>
      <c r="K241" s="27"/>
      <c r="L241" s="26"/>
      <c r="M241" s="8" t="str">
        <f aca="false">IF(K241="","",IF(J241="USD",ROUND(K241*설정!$C$4,0),K241))</f>
        <v/>
      </c>
      <c r="N241" s="8" t="str">
        <f aca="false">IF(M241="","",IF(AND(I241="과세",L241="VAT포함"),ROUND(M241/(1+설정!$C$5),0),M241))</f>
        <v/>
      </c>
      <c r="O241" s="8" t="str">
        <f aca="false">IF(M241="","",IF(I241="과세",IF(L241="VAT포함",M241-N241,ROUND(N241*설정!$C$5,0)),0))</f>
        <v/>
      </c>
      <c r="P241" s="8" t="str">
        <f aca="false">IF(M241="","",N241+O241)</f>
        <v/>
      </c>
      <c r="Q241" s="26"/>
      <c r="R241" s="8" t="str">
        <f aca="false">IF(OR(M241="",Q241&lt;&gt;"Y"),"",ROUND(N241*설정!$C$5,0))</f>
        <v/>
      </c>
      <c r="S241" s="25"/>
    </row>
    <row r="242" customFormat="false" ht="15" hidden="false" customHeight="false" outlineLevel="0" collapsed="false">
      <c r="A242" s="21" t="str">
        <f aca="false">IF(C242="","",COUNTA($C$5:C242))</f>
        <v/>
      </c>
      <c r="B242" s="22"/>
      <c r="C242" s="23"/>
      <c r="D242" s="26"/>
      <c r="E242" s="25"/>
      <c r="F242" s="7" t="str">
        <f aca="false">IF(E242="","",IFERROR(INDEX(코드관리!$C$7:$C$66,MATCH(E242,코드관리!$B$7:$B$66,0)),"미등록 코드"))</f>
        <v/>
      </c>
      <c r="G242" s="25"/>
      <c r="H242" s="25"/>
      <c r="I242" s="24"/>
      <c r="J242" s="26"/>
      <c r="K242" s="27"/>
      <c r="L242" s="26"/>
      <c r="M242" s="8" t="str">
        <f aca="false">IF(K242="","",IF(J242="USD",ROUND(K242*설정!$C$4,0),K242))</f>
        <v/>
      </c>
      <c r="N242" s="8" t="str">
        <f aca="false">IF(M242="","",IF(AND(I242="과세",L242="VAT포함"),ROUND(M242/(1+설정!$C$5),0),M242))</f>
        <v/>
      </c>
      <c r="O242" s="8" t="str">
        <f aca="false">IF(M242="","",IF(I242="과세",IF(L242="VAT포함",M242-N242,ROUND(N242*설정!$C$5,0)),0))</f>
        <v/>
      </c>
      <c r="P242" s="8" t="str">
        <f aca="false">IF(M242="","",N242+O242)</f>
        <v/>
      </c>
      <c r="Q242" s="26"/>
      <c r="R242" s="8" t="str">
        <f aca="false">IF(OR(M242="",Q242&lt;&gt;"Y"),"",ROUND(N242*설정!$C$5,0))</f>
        <v/>
      </c>
      <c r="S242" s="25"/>
    </row>
    <row r="243" customFormat="false" ht="15" hidden="false" customHeight="false" outlineLevel="0" collapsed="false">
      <c r="A243" s="21" t="str">
        <f aca="false">IF(C243="","",COUNTA($C$5:C243))</f>
        <v/>
      </c>
      <c r="B243" s="22"/>
      <c r="C243" s="23"/>
      <c r="D243" s="26"/>
      <c r="E243" s="25"/>
      <c r="F243" s="7" t="str">
        <f aca="false">IF(E243="","",IFERROR(INDEX(코드관리!$C$7:$C$66,MATCH(E243,코드관리!$B$7:$B$66,0)),"미등록 코드"))</f>
        <v/>
      </c>
      <c r="G243" s="25"/>
      <c r="H243" s="25"/>
      <c r="I243" s="24"/>
      <c r="J243" s="26"/>
      <c r="K243" s="27"/>
      <c r="L243" s="26"/>
      <c r="M243" s="8" t="str">
        <f aca="false">IF(K243="","",IF(J243="USD",ROUND(K243*설정!$C$4,0),K243))</f>
        <v/>
      </c>
      <c r="N243" s="8" t="str">
        <f aca="false">IF(M243="","",IF(AND(I243="과세",L243="VAT포함"),ROUND(M243/(1+설정!$C$5),0),M243))</f>
        <v/>
      </c>
      <c r="O243" s="8" t="str">
        <f aca="false">IF(M243="","",IF(I243="과세",IF(L243="VAT포함",M243-N243,ROUND(N243*설정!$C$5,0)),0))</f>
        <v/>
      </c>
      <c r="P243" s="8" t="str">
        <f aca="false">IF(M243="","",N243+O243)</f>
        <v/>
      </c>
      <c r="Q243" s="26"/>
      <c r="R243" s="8" t="str">
        <f aca="false">IF(OR(M243="",Q243&lt;&gt;"Y"),"",ROUND(N243*설정!$C$5,0))</f>
        <v/>
      </c>
      <c r="S243" s="25"/>
    </row>
    <row r="244" customFormat="false" ht="15" hidden="false" customHeight="false" outlineLevel="0" collapsed="false">
      <c r="A244" s="21" t="str">
        <f aca="false">IF(C244="","",COUNTA($C$5:C244))</f>
        <v/>
      </c>
      <c r="B244" s="22"/>
      <c r="C244" s="23"/>
      <c r="D244" s="26"/>
      <c r="E244" s="25"/>
      <c r="F244" s="7" t="str">
        <f aca="false">IF(E244="","",IFERROR(INDEX(코드관리!$C$7:$C$66,MATCH(E244,코드관리!$B$7:$B$66,0)),"미등록 코드"))</f>
        <v/>
      </c>
      <c r="G244" s="25"/>
      <c r="H244" s="25"/>
      <c r="I244" s="24"/>
      <c r="J244" s="26"/>
      <c r="K244" s="27"/>
      <c r="L244" s="26"/>
      <c r="M244" s="8" t="str">
        <f aca="false">IF(K244="","",IF(J244="USD",ROUND(K244*설정!$C$4,0),K244))</f>
        <v/>
      </c>
      <c r="N244" s="8" t="str">
        <f aca="false">IF(M244="","",IF(AND(I244="과세",L244="VAT포함"),ROUND(M244/(1+설정!$C$5),0),M244))</f>
        <v/>
      </c>
      <c r="O244" s="8" t="str">
        <f aca="false">IF(M244="","",IF(I244="과세",IF(L244="VAT포함",M244-N244,ROUND(N244*설정!$C$5,0)),0))</f>
        <v/>
      </c>
      <c r="P244" s="8" t="str">
        <f aca="false">IF(M244="","",N244+O244)</f>
        <v/>
      </c>
      <c r="Q244" s="26"/>
      <c r="R244" s="8" t="str">
        <f aca="false">IF(OR(M244="",Q244&lt;&gt;"Y"),"",ROUND(N244*설정!$C$5,0))</f>
        <v/>
      </c>
      <c r="S244" s="25"/>
    </row>
    <row r="245" customFormat="false" ht="15" hidden="false" customHeight="false" outlineLevel="0" collapsed="false">
      <c r="A245" s="21" t="str">
        <f aca="false">IF(C245="","",COUNTA($C$5:C245))</f>
        <v/>
      </c>
      <c r="B245" s="22"/>
      <c r="C245" s="23"/>
      <c r="D245" s="26"/>
      <c r="E245" s="25"/>
      <c r="F245" s="7" t="str">
        <f aca="false">IF(E245="","",IFERROR(INDEX(코드관리!$C$7:$C$66,MATCH(E245,코드관리!$B$7:$B$66,0)),"미등록 코드"))</f>
        <v/>
      </c>
      <c r="G245" s="25"/>
      <c r="H245" s="25"/>
      <c r="I245" s="24"/>
      <c r="J245" s="26"/>
      <c r="K245" s="27"/>
      <c r="L245" s="26"/>
      <c r="M245" s="8" t="str">
        <f aca="false">IF(K245="","",IF(J245="USD",ROUND(K245*설정!$C$4,0),K245))</f>
        <v/>
      </c>
      <c r="N245" s="8" t="str">
        <f aca="false">IF(M245="","",IF(AND(I245="과세",L245="VAT포함"),ROUND(M245/(1+설정!$C$5),0),M245))</f>
        <v/>
      </c>
      <c r="O245" s="8" t="str">
        <f aca="false">IF(M245="","",IF(I245="과세",IF(L245="VAT포함",M245-N245,ROUND(N245*설정!$C$5,0)),0))</f>
        <v/>
      </c>
      <c r="P245" s="8" t="str">
        <f aca="false">IF(M245="","",N245+O245)</f>
        <v/>
      </c>
      <c r="Q245" s="26"/>
      <c r="R245" s="8" t="str">
        <f aca="false">IF(OR(M245="",Q245&lt;&gt;"Y"),"",ROUND(N245*설정!$C$5,0))</f>
        <v/>
      </c>
      <c r="S245" s="25"/>
    </row>
    <row r="246" customFormat="false" ht="15" hidden="false" customHeight="false" outlineLevel="0" collapsed="false">
      <c r="A246" s="21" t="str">
        <f aca="false">IF(C246="","",COUNTA($C$5:C246))</f>
        <v/>
      </c>
      <c r="B246" s="22"/>
      <c r="C246" s="23"/>
      <c r="D246" s="26"/>
      <c r="E246" s="25"/>
      <c r="F246" s="7" t="str">
        <f aca="false">IF(E246="","",IFERROR(INDEX(코드관리!$C$7:$C$66,MATCH(E246,코드관리!$B$7:$B$66,0)),"미등록 코드"))</f>
        <v/>
      </c>
      <c r="G246" s="25"/>
      <c r="H246" s="25"/>
      <c r="I246" s="24"/>
      <c r="J246" s="26"/>
      <c r="K246" s="27"/>
      <c r="L246" s="26"/>
      <c r="M246" s="8" t="str">
        <f aca="false">IF(K246="","",IF(J246="USD",ROUND(K246*설정!$C$4,0),K246))</f>
        <v/>
      </c>
      <c r="N246" s="8" t="str">
        <f aca="false">IF(M246="","",IF(AND(I246="과세",L246="VAT포함"),ROUND(M246/(1+설정!$C$5),0),M246))</f>
        <v/>
      </c>
      <c r="O246" s="8" t="str">
        <f aca="false">IF(M246="","",IF(I246="과세",IF(L246="VAT포함",M246-N246,ROUND(N246*설정!$C$5,0)),0))</f>
        <v/>
      </c>
      <c r="P246" s="8" t="str">
        <f aca="false">IF(M246="","",N246+O246)</f>
        <v/>
      </c>
      <c r="Q246" s="26"/>
      <c r="R246" s="8" t="str">
        <f aca="false">IF(OR(M246="",Q246&lt;&gt;"Y"),"",ROUND(N246*설정!$C$5,0))</f>
        <v/>
      </c>
      <c r="S246" s="25"/>
    </row>
    <row r="247" customFormat="false" ht="15" hidden="false" customHeight="false" outlineLevel="0" collapsed="false">
      <c r="A247" s="21" t="str">
        <f aca="false">IF(C247="","",COUNTA($C$5:C247))</f>
        <v/>
      </c>
      <c r="B247" s="22"/>
      <c r="C247" s="23"/>
      <c r="D247" s="26"/>
      <c r="E247" s="25"/>
      <c r="F247" s="7" t="str">
        <f aca="false">IF(E247="","",IFERROR(INDEX(코드관리!$C$7:$C$66,MATCH(E247,코드관리!$B$7:$B$66,0)),"미등록 코드"))</f>
        <v/>
      </c>
      <c r="G247" s="25"/>
      <c r="H247" s="25"/>
      <c r="I247" s="24"/>
      <c r="J247" s="26"/>
      <c r="K247" s="27"/>
      <c r="L247" s="26"/>
      <c r="M247" s="8" t="str">
        <f aca="false">IF(K247="","",IF(J247="USD",ROUND(K247*설정!$C$4,0),K247))</f>
        <v/>
      </c>
      <c r="N247" s="8" t="str">
        <f aca="false">IF(M247="","",IF(AND(I247="과세",L247="VAT포함"),ROUND(M247/(1+설정!$C$5),0),M247))</f>
        <v/>
      </c>
      <c r="O247" s="8" t="str">
        <f aca="false">IF(M247="","",IF(I247="과세",IF(L247="VAT포함",M247-N247,ROUND(N247*설정!$C$5,0)),0))</f>
        <v/>
      </c>
      <c r="P247" s="8" t="str">
        <f aca="false">IF(M247="","",N247+O247)</f>
        <v/>
      </c>
      <c r="Q247" s="26"/>
      <c r="R247" s="8" t="str">
        <f aca="false">IF(OR(M247="",Q247&lt;&gt;"Y"),"",ROUND(N247*설정!$C$5,0))</f>
        <v/>
      </c>
      <c r="S247" s="25"/>
    </row>
    <row r="248" customFormat="false" ht="15" hidden="false" customHeight="false" outlineLevel="0" collapsed="false">
      <c r="A248" s="21" t="str">
        <f aca="false">IF(C248="","",COUNTA($C$5:C248))</f>
        <v/>
      </c>
      <c r="B248" s="22"/>
      <c r="C248" s="23"/>
      <c r="D248" s="26"/>
      <c r="E248" s="25"/>
      <c r="F248" s="7" t="str">
        <f aca="false">IF(E248="","",IFERROR(INDEX(코드관리!$C$7:$C$66,MATCH(E248,코드관리!$B$7:$B$66,0)),"미등록 코드"))</f>
        <v/>
      </c>
      <c r="G248" s="25"/>
      <c r="H248" s="25"/>
      <c r="I248" s="24"/>
      <c r="J248" s="26"/>
      <c r="K248" s="27"/>
      <c r="L248" s="26"/>
      <c r="M248" s="8" t="str">
        <f aca="false">IF(K248="","",IF(J248="USD",ROUND(K248*설정!$C$4,0),K248))</f>
        <v/>
      </c>
      <c r="N248" s="8" t="str">
        <f aca="false">IF(M248="","",IF(AND(I248="과세",L248="VAT포함"),ROUND(M248/(1+설정!$C$5),0),M248))</f>
        <v/>
      </c>
      <c r="O248" s="8" t="str">
        <f aca="false">IF(M248="","",IF(I248="과세",IF(L248="VAT포함",M248-N248,ROUND(N248*설정!$C$5,0)),0))</f>
        <v/>
      </c>
      <c r="P248" s="8" t="str">
        <f aca="false">IF(M248="","",N248+O248)</f>
        <v/>
      </c>
      <c r="Q248" s="26"/>
      <c r="R248" s="8" t="str">
        <f aca="false">IF(OR(M248="",Q248&lt;&gt;"Y"),"",ROUND(N248*설정!$C$5,0))</f>
        <v/>
      </c>
      <c r="S248" s="25"/>
    </row>
    <row r="249" customFormat="false" ht="15" hidden="false" customHeight="false" outlineLevel="0" collapsed="false">
      <c r="A249" s="21" t="str">
        <f aca="false">IF(C249="","",COUNTA($C$5:C249))</f>
        <v/>
      </c>
      <c r="B249" s="22"/>
      <c r="C249" s="23"/>
      <c r="D249" s="26"/>
      <c r="E249" s="25"/>
      <c r="F249" s="7" t="str">
        <f aca="false">IF(E249="","",IFERROR(INDEX(코드관리!$C$7:$C$66,MATCH(E249,코드관리!$B$7:$B$66,0)),"미등록 코드"))</f>
        <v/>
      </c>
      <c r="G249" s="25"/>
      <c r="H249" s="25"/>
      <c r="I249" s="24"/>
      <c r="J249" s="26"/>
      <c r="K249" s="27"/>
      <c r="L249" s="26"/>
      <c r="M249" s="8" t="str">
        <f aca="false">IF(K249="","",IF(J249="USD",ROUND(K249*설정!$C$4,0),K249))</f>
        <v/>
      </c>
      <c r="N249" s="8" t="str">
        <f aca="false">IF(M249="","",IF(AND(I249="과세",L249="VAT포함"),ROUND(M249/(1+설정!$C$5),0),M249))</f>
        <v/>
      </c>
      <c r="O249" s="8" t="str">
        <f aca="false">IF(M249="","",IF(I249="과세",IF(L249="VAT포함",M249-N249,ROUND(N249*설정!$C$5,0)),0))</f>
        <v/>
      </c>
      <c r="P249" s="8" t="str">
        <f aca="false">IF(M249="","",N249+O249)</f>
        <v/>
      </c>
      <c r="Q249" s="26"/>
      <c r="R249" s="8" t="str">
        <f aca="false">IF(OR(M249="",Q249&lt;&gt;"Y"),"",ROUND(N249*설정!$C$5,0))</f>
        <v/>
      </c>
      <c r="S249" s="25"/>
    </row>
    <row r="250" customFormat="false" ht="15" hidden="false" customHeight="false" outlineLevel="0" collapsed="false">
      <c r="A250" s="21" t="str">
        <f aca="false">IF(C250="","",COUNTA($C$5:C250))</f>
        <v/>
      </c>
      <c r="B250" s="22"/>
      <c r="C250" s="23"/>
      <c r="D250" s="26"/>
      <c r="E250" s="25"/>
      <c r="F250" s="7" t="str">
        <f aca="false">IF(E250="","",IFERROR(INDEX(코드관리!$C$7:$C$66,MATCH(E250,코드관리!$B$7:$B$66,0)),"미등록 코드"))</f>
        <v/>
      </c>
      <c r="G250" s="25"/>
      <c r="H250" s="25"/>
      <c r="I250" s="24"/>
      <c r="J250" s="26"/>
      <c r="K250" s="27"/>
      <c r="L250" s="26"/>
      <c r="M250" s="8" t="str">
        <f aca="false">IF(K250="","",IF(J250="USD",ROUND(K250*설정!$C$4,0),K250))</f>
        <v/>
      </c>
      <c r="N250" s="8" t="str">
        <f aca="false">IF(M250="","",IF(AND(I250="과세",L250="VAT포함"),ROUND(M250/(1+설정!$C$5),0),M250))</f>
        <v/>
      </c>
      <c r="O250" s="8" t="str">
        <f aca="false">IF(M250="","",IF(I250="과세",IF(L250="VAT포함",M250-N250,ROUND(N250*설정!$C$5,0)),0))</f>
        <v/>
      </c>
      <c r="P250" s="8" t="str">
        <f aca="false">IF(M250="","",N250+O250)</f>
        <v/>
      </c>
      <c r="Q250" s="26"/>
      <c r="R250" s="8" t="str">
        <f aca="false">IF(OR(M250="",Q250&lt;&gt;"Y"),"",ROUND(N250*설정!$C$5,0))</f>
        <v/>
      </c>
      <c r="S250" s="25"/>
    </row>
    <row r="251" customFormat="false" ht="15" hidden="false" customHeight="false" outlineLevel="0" collapsed="false">
      <c r="A251" s="21" t="str">
        <f aca="false">IF(C251="","",COUNTA($C$5:C251))</f>
        <v/>
      </c>
      <c r="B251" s="22"/>
      <c r="C251" s="23"/>
      <c r="D251" s="26"/>
      <c r="E251" s="25"/>
      <c r="F251" s="7" t="str">
        <f aca="false">IF(E251="","",IFERROR(INDEX(코드관리!$C$7:$C$66,MATCH(E251,코드관리!$B$7:$B$66,0)),"미등록 코드"))</f>
        <v/>
      </c>
      <c r="G251" s="25"/>
      <c r="H251" s="25"/>
      <c r="I251" s="24"/>
      <c r="J251" s="26"/>
      <c r="K251" s="27"/>
      <c r="L251" s="26"/>
      <c r="M251" s="8" t="str">
        <f aca="false">IF(K251="","",IF(J251="USD",ROUND(K251*설정!$C$4,0),K251))</f>
        <v/>
      </c>
      <c r="N251" s="8" t="str">
        <f aca="false">IF(M251="","",IF(AND(I251="과세",L251="VAT포함"),ROUND(M251/(1+설정!$C$5),0),M251))</f>
        <v/>
      </c>
      <c r="O251" s="8" t="str">
        <f aca="false">IF(M251="","",IF(I251="과세",IF(L251="VAT포함",M251-N251,ROUND(N251*설정!$C$5,0)),0))</f>
        <v/>
      </c>
      <c r="P251" s="8" t="str">
        <f aca="false">IF(M251="","",N251+O251)</f>
        <v/>
      </c>
      <c r="Q251" s="26"/>
      <c r="R251" s="8" t="str">
        <f aca="false">IF(OR(M251="",Q251&lt;&gt;"Y"),"",ROUND(N251*설정!$C$5,0))</f>
        <v/>
      </c>
      <c r="S251" s="25"/>
    </row>
    <row r="252" customFormat="false" ht="15" hidden="false" customHeight="false" outlineLevel="0" collapsed="false">
      <c r="A252" s="21" t="str">
        <f aca="false">IF(C252="","",COUNTA($C$5:C252))</f>
        <v/>
      </c>
      <c r="B252" s="22"/>
      <c r="C252" s="23"/>
      <c r="D252" s="26"/>
      <c r="E252" s="25"/>
      <c r="F252" s="7" t="str">
        <f aca="false">IF(E252="","",IFERROR(INDEX(코드관리!$C$7:$C$66,MATCH(E252,코드관리!$B$7:$B$66,0)),"미등록 코드"))</f>
        <v/>
      </c>
      <c r="G252" s="25"/>
      <c r="H252" s="25"/>
      <c r="I252" s="24"/>
      <c r="J252" s="26"/>
      <c r="K252" s="27"/>
      <c r="L252" s="26"/>
      <c r="M252" s="8" t="str">
        <f aca="false">IF(K252="","",IF(J252="USD",ROUND(K252*설정!$C$4,0),K252))</f>
        <v/>
      </c>
      <c r="N252" s="8" t="str">
        <f aca="false">IF(M252="","",IF(AND(I252="과세",L252="VAT포함"),ROUND(M252/(1+설정!$C$5),0),M252))</f>
        <v/>
      </c>
      <c r="O252" s="8" t="str">
        <f aca="false">IF(M252="","",IF(I252="과세",IF(L252="VAT포함",M252-N252,ROUND(N252*설정!$C$5,0)),0))</f>
        <v/>
      </c>
      <c r="P252" s="8" t="str">
        <f aca="false">IF(M252="","",N252+O252)</f>
        <v/>
      </c>
      <c r="Q252" s="26"/>
      <c r="R252" s="8" t="str">
        <f aca="false">IF(OR(M252="",Q252&lt;&gt;"Y"),"",ROUND(N252*설정!$C$5,0))</f>
        <v/>
      </c>
      <c r="S252" s="25"/>
    </row>
    <row r="253" customFormat="false" ht="15" hidden="false" customHeight="false" outlineLevel="0" collapsed="false">
      <c r="A253" s="21" t="str">
        <f aca="false">IF(C253="","",COUNTA($C$5:C253))</f>
        <v/>
      </c>
      <c r="B253" s="22"/>
      <c r="C253" s="23"/>
      <c r="D253" s="26"/>
      <c r="E253" s="25"/>
      <c r="F253" s="7" t="str">
        <f aca="false">IF(E253="","",IFERROR(INDEX(코드관리!$C$7:$C$66,MATCH(E253,코드관리!$B$7:$B$66,0)),"미등록 코드"))</f>
        <v/>
      </c>
      <c r="G253" s="25"/>
      <c r="H253" s="25"/>
      <c r="I253" s="24"/>
      <c r="J253" s="26"/>
      <c r="K253" s="27"/>
      <c r="L253" s="26"/>
      <c r="M253" s="8" t="str">
        <f aca="false">IF(K253="","",IF(J253="USD",ROUND(K253*설정!$C$4,0),K253))</f>
        <v/>
      </c>
      <c r="N253" s="8" t="str">
        <f aca="false">IF(M253="","",IF(AND(I253="과세",L253="VAT포함"),ROUND(M253/(1+설정!$C$5),0),M253))</f>
        <v/>
      </c>
      <c r="O253" s="8" t="str">
        <f aca="false">IF(M253="","",IF(I253="과세",IF(L253="VAT포함",M253-N253,ROUND(N253*설정!$C$5,0)),0))</f>
        <v/>
      </c>
      <c r="P253" s="8" t="str">
        <f aca="false">IF(M253="","",N253+O253)</f>
        <v/>
      </c>
      <c r="Q253" s="26"/>
      <c r="R253" s="8" t="str">
        <f aca="false">IF(OR(M253="",Q253&lt;&gt;"Y"),"",ROUND(N253*설정!$C$5,0))</f>
        <v/>
      </c>
      <c r="S253" s="25"/>
    </row>
    <row r="254" customFormat="false" ht="15" hidden="false" customHeight="false" outlineLevel="0" collapsed="false">
      <c r="A254" s="21" t="str">
        <f aca="false">IF(C254="","",COUNTA($C$5:C254))</f>
        <v/>
      </c>
      <c r="B254" s="22"/>
      <c r="C254" s="23"/>
      <c r="D254" s="26"/>
      <c r="E254" s="25"/>
      <c r="F254" s="7" t="str">
        <f aca="false">IF(E254="","",IFERROR(INDEX(코드관리!$C$7:$C$66,MATCH(E254,코드관리!$B$7:$B$66,0)),"미등록 코드"))</f>
        <v/>
      </c>
      <c r="G254" s="25"/>
      <c r="H254" s="25"/>
      <c r="I254" s="24"/>
      <c r="J254" s="26"/>
      <c r="K254" s="27"/>
      <c r="L254" s="26"/>
      <c r="M254" s="8" t="str">
        <f aca="false">IF(K254="","",IF(J254="USD",ROUND(K254*설정!$C$4,0),K254))</f>
        <v/>
      </c>
      <c r="N254" s="8" t="str">
        <f aca="false">IF(M254="","",IF(AND(I254="과세",L254="VAT포함"),ROUND(M254/(1+설정!$C$5),0),M254))</f>
        <v/>
      </c>
      <c r="O254" s="8" t="str">
        <f aca="false">IF(M254="","",IF(I254="과세",IF(L254="VAT포함",M254-N254,ROUND(N254*설정!$C$5,0)),0))</f>
        <v/>
      </c>
      <c r="P254" s="8" t="str">
        <f aca="false">IF(M254="","",N254+O254)</f>
        <v/>
      </c>
      <c r="Q254" s="26"/>
      <c r="R254" s="8" t="str">
        <f aca="false">IF(OR(M254="",Q254&lt;&gt;"Y"),"",ROUND(N254*설정!$C$5,0))</f>
        <v/>
      </c>
      <c r="S254" s="25"/>
    </row>
    <row r="255" customFormat="false" ht="15" hidden="false" customHeight="false" outlineLevel="0" collapsed="false">
      <c r="A255" s="13"/>
      <c r="B255" s="13"/>
      <c r="C255" s="18" t="s">
        <v>27</v>
      </c>
      <c r="D255" s="13"/>
      <c r="E255" s="13"/>
      <c r="F255" s="13"/>
      <c r="G255" s="13"/>
      <c r="H255" s="13"/>
      <c r="I255" s="13"/>
      <c r="J255" s="13"/>
      <c r="K255" s="13"/>
      <c r="L255" s="13"/>
      <c r="M255" s="13" t="n">
        <f aca="false">SUM(M5:M254)</f>
        <v>790175936</v>
      </c>
      <c r="N255" s="13" t="n">
        <f aca="false">SUM(N5:N254)</f>
        <v>790020736</v>
      </c>
      <c r="O255" s="13" t="n">
        <f aca="false">SUM(O5:O254)</f>
        <v>155200</v>
      </c>
      <c r="P255" s="13" t="n">
        <f aca="false">SUM(P5:P254)</f>
        <v>790175936</v>
      </c>
      <c r="Q255" s="13"/>
      <c r="R255" s="13" t="n">
        <f aca="false">SUM(R5:R254)</f>
        <v>3990000</v>
      </c>
      <c r="S255" s="13"/>
    </row>
  </sheetData>
  <autoFilter ref="A4:S254"/>
  <dataValidations count="8">
    <dataValidation allowBlank="true" errorStyle="stop" operator="between" showDropDown="false" showErrorMessage="false" showInputMessage="false" sqref="C5:C254" type="list">
      <formula1>설정!$F$10:$F$30</formula1>
      <formula2>0</formula2>
    </dataValidation>
    <dataValidation allowBlank="true" errorStyle="stop" operator="between" showDropDown="false" showErrorMessage="true" showInputMessage="false" sqref="D5:D254" type="list">
      <formula1>설정!$B$10:$B$15</formula1>
      <formula2>0</formula2>
    </dataValidation>
    <dataValidation allowBlank="true" errorStyle="stop" operator="between" showDropDown="false" showErrorMessage="false" showInputMessage="false" sqref="E5:E254" type="list">
      <formula1>코드관리!$B$7:$B$66</formula1>
      <formula2>0</formula2>
    </dataValidation>
    <dataValidation allowBlank="true" errorStyle="stop" operator="between" showDropDown="false" showErrorMessage="true" showInputMessage="false" sqref="I5:I254" type="list">
      <formula1>설정!$C$10:$C$11</formula1>
      <formula2>0</formula2>
    </dataValidation>
    <dataValidation allowBlank="true" errorStyle="stop" operator="between" showDropDown="false" showErrorMessage="true" showInputMessage="false" sqref="J5:J254" type="list">
      <formula1>설정!$E$10:$E$11</formula1>
      <formula2>0</formula2>
    </dataValidation>
    <dataValidation allowBlank="true" errorStyle="stop" operator="between" showDropDown="false" showErrorMessage="true" showInputMessage="false" sqref="L5:L254" type="list">
      <formula1>설정!$D$10:$D$11</formula1>
      <formula2>0</formula2>
    </dataValidation>
    <dataValidation allowBlank="true" errorStyle="stop" operator="between" showDropDown="false" showErrorMessage="false" showInputMessage="false" sqref="Q5:Q254" type="list">
      <formula1>"Y"</formula1>
      <formula2>0</formula2>
    </dataValidation>
    <dataValidation allowBlank="true" error="날짜 형식으로 입력하세요 (예: 2026-09-30)" errorStyle="stop" errorTitle="일자" operator="greaterThan" showDropDown="false" showErrorMessage="true" showInputMessage="false" sqref="B5:B254" type="date">
      <formula1>36526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4" min="4" style="0" width="30"/>
    <col collapsed="false" customWidth="true" hidden="false" outlineLevel="0" max="6" min="5" style="0" width="2"/>
    <col collapsed="false" customWidth="true" hidden="false" outlineLevel="0" max="7" min="7" style="0" width="16"/>
    <col collapsed="false" customWidth="true" hidden="false" outlineLevel="0" max="8" min="8" style="0" width="18"/>
    <col collapsed="false" customWidth="true" hidden="false" outlineLevel="0" max="9" min="9" style="0" width="24"/>
    <col collapsed="false" customWidth="true" hidden="false" outlineLevel="0" max="10" min="10" style="0" width="16"/>
    <col collapsed="false" customWidth="true" hidden="false" outlineLevel="0" max="11" min="11" style="0" width="24"/>
  </cols>
  <sheetData>
    <row r="2" customFormat="false" ht="17.35" hidden="false" customHeight="false" outlineLevel="0" collapsed="false">
      <c r="B2" s="28" t="s">
        <v>128</v>
      </c>
    </row>
    <row r="3" customFormat="false" ht="15" hidden="false" customHeight="false" outlineLevel="0" collapsed="false">
      <c r="B3" s="2" t="s">
        <v>129</v>
      </c>
    </row>
    <row r="5" customFormat="false" ht="15" hidden="false" customHeight="false" outlineLevel="0" collapsed="false">
      <c r="B5" s="29" t="s">
        <v>130</v>
      </c>
      <c r="G5" s="15" t="s">
        <v>131</v>
      </c>
    </row>
    <row r="6" customFormat="false" ht="15" hidden="false" customHeight="false" outlineLevel="0" collapsed="false">
      <c r="B6" s="4" t="s">
        <v>43</v>
      </c>
      <c r="C6" s="5" t="s">
        <v>132</v>
      </c>
      <c r="D6" s="5" t="s">
        <v>133</v>
      </c>
      <c r="G6" s="5" t="s">
        <v>3</v>
      </c>
      <c r="H6" s="5" t="s">
        <v>45</v>
      </c>
      <c r="I6" s="5" t="s">
        <v>134</v>
      </c>
      <c r="J6" s="5" t="s">
        <v>135</v>
      </c>
      <c r="K6" s="5" t="s">
        <v>136</v>
      </c>
    </row>
    <row r="7" customFormat="false" ht="15" hidden="false" customHeight="false" outlineLevel="0" collapsed="false">
      <c r="B7" s="25"/>
      <c r="C7" s="25"/>
      <c r="D7" s="25"/>
      <c r="G7" s="30" t="s">
        <v>137</v>
      </c>
      <c r="H7" s="30" t="s">
        <v>138</v>
      </c>
      <c r="I7" s="30" t="s">
        <v>65</v>
      </c>
      <c r="J7" s="30"/>
      <c r="K7" s="31" t="s">
        <v>139</v>
      </c>
    </row>
    <row r="8" customFormat="false" ht="15" hidden="false" customHeight="false" outlineLevel="0" collapsed="false">
      <c r="B8" s="25"/>
      <c r="C8" s="25"/>
      <c r="D8" s="25"/>
      <c r="G8" s="25"/>
      <c r="H8" s="25"/>
      <c r="I8" s="25"/>
      <c r="J8" s="25"/>
      <c r="K8" s="25"/>
    </row>
    <row r="9" customFormat="false" ht="15" hidden="false" customHeight="false" outlineLevel="0" collapsed="false">
      <c r="B9" s="25"/>
      <c r="C9" s="25"/>
      <c r="D9" s="25"/>
      <c r="G9" s="25"/>
      <c r="H9" s="25"/>
      <c r="I9" s="25"/>
      <c r="J9" s="25"/>
      <c r="K9" s="25"/>
    </row>
    <row r="10" customFormat="false" ht="15" hidden="false" customHeight="false" outlineLevel="0" collapsed="false">
      <c r="B10" s="25"/>
      <c r="C10" s="25"/>
      <c r="D10" s="25"/>
      <c r="G10" s="25"/>
      <c r="H10" s="25"/>
      <c r="I10" s="25"/>
      <c r="J10" s="25"/>
      <c r="K10" s="25"/>
    </row>
    <row r="11" customFormat="false" ht="15" hidden="false" customHeight="false" outlineLevel="0" collapsed="false">
      <c r="B11" s="25"/>
      <c r="C11" s="25"/>
      <c r="D11" s="25"/>
      <c r="G11" s="25"/>
      <c r="H11" s="25"/>
      <c r="I11" s="25"/>
      <c r="J11" s="25"/>
      <c r="K11" s="25"/>
    </row>
    <row r="12" customFormat="false" ht="15" hidden="false" customHeight="false" outlineLevel="0" collapsed="false">
      <c r="B12" s="25"/>
      <c r="C12" s="25"/>
      <c r="D12" s="25"/>
      <c r="G12" s="25"/>
      <c r="H12" s="25"/>
      <c r="I12" s="25"/>
      <c r="J12" s="25"/>
      <c r="K12" s="25"/>
    </row>
    <row r="13" customFormat="false" ht="15" hidden="false" customHeight="false" outlineLevel="0" collapsed="false">
      <c r="B13" s="25"/>
      <c r="C13" s="25"/>
      <c r="D13" s="25"/>
      <c r="G13" s="25"/>
      <c r="H13" s="25"/>
      <c r="I13" s="25"/>
      <c r="J13" s="25"/>
      <c r="K13" s="25"/>
    </row>
    <row r="14" customFormat="false" ht="15" hidden="false" customHeight="false" outlineLevel="0" collapsed="false">
      <c r="B14" s="25"/>
      <c r="C14" s="25"/>
      <c r="D14" s="25"/>
      <c r="G14" s="25"/>
      <c r="H14" s="25"/>
      <c r="I14" s="25"/>
      <c r="J14" s="25"/>
      <c r="K14" s="25"/>
    </row>
    <row r="15" customFormat="false" ht="15" hidden="false" customHeight="false" outlineLevel="0" collapsed="false">
      <c r="B15" s="25"/>
      <c r="C15" s="25"/>
      <c r="D15" s="25"/>
      <c r="G15" s="25"/>
      <c r="H15" s="25"/>
      <c r="I15" s="25"/>
      <c r="J15" s="25"/>
      <c r="K15" s="25"/>
    </row>
    <row r="16" customFormat="false" ht="15" hidden="false" customHeight="false" outlineLevel="0" collapsed="false">
      <c r="B16" s="25"/>
      <c r="C16" s="25"/>
      <c r="D16" s="25"/>
      <c r="G16" s="25"/>
      <c r="H16" s="25"/>
      <c r="I16" s="25"/>
      <c r="J16" s="25"/>
      <c r="K16" s="25"/>
    </row>
    <row r="17" customFormat="false" ht="15" hidden="false" customHeight="false" outlineLevel="0" collapsed="false">
      <c r="B17" s="25"/>
      <c r="C17" s="25"/>
      <c r="D17" s="25"/>
      <c r="G17" s="25"/>
      <c r="H17" s="25"/>
      <c r="I17" s="25"/>
      <c r="J17" s="25"/>
      <c r="K17" s="25"/>
    </row>
    <row r="18" customFormat="false" ht="15" hidden="false" customHeight="false" outlineLevel="0" collapsed="false">
      <c r="B18" s="25"/>
      <c r="C18" s="25"/>
      <c r="D18" s="25"/>
      <c r="G18" s="25"/>
      <c r="H18" s="25"/>
      <c r="I18" s="25"/>
      <c r="J18" s="25"/>
      <c r="K18" s="25"/>
    </row>
    <row r="19" customFormat="false" ht="15" hidden="false" customHeight="false" outlineLevel="0" collapsed="false">
      <c r="B19" s="25"/>
      <c r="C19" s="25"/>
      <c r="D19" s="25"/>
      <c r="G19" s="25"/>
      <c r="H19" s="25"/>
      <c r="I19" s="25"/>
      <c r="J19" s="25"/>
      <c r="K19" s="25"/>
    </row>
    <row r="20" customFormat="false" ht="15" hidden="false" customHeight="false" outlineLevel="0" collapsed="false">
      <c r="B20" s="25"/>
      <c r="C20" s="25"/>
      <c r="D20" s="25"/>
      <c r="G20" s="25"/>
      <c r="H20" s="25"/>
      <c r="I20" s="25"/>
      <c r="J20" s="25"/>
      <c r="K20" s="25"/>
    </row>
    <row r="21" customFormat="false" ht="15" hidden="false" customHeight="false" outlineLevel="0" collapsed="false">
      <c r="B21" s="25"/>
      <c r="C21" s="25"/>
      <c r="D21" s="25"/>
      <c r="G21" s="25"/>
      <c r="H21" s="25"/>
      <c r="I21" s="25"/>
      <c r="J21" s="25"/>
      <c r="K21" s="25"/>
    </row>
    <row r="22" customFormat="false" ht="15" hidden="false" customHeight="false" outlineLevel="0" collapsed="false">
      <c r="B22" s="25"/>
      <c r="C22" s="25"/>
      <c r="D22" s="25"/>
      <c r="G22" s="25"/>
      <c r="H22" s="25"/>
      <c r="I22" s="25"/>
      <c r="J22" s="25"/>
      <c r="K22" s="25"/>
    </row>
    <row r="23" customFormat="false" ht="15" hidden="false" customHeight="false" outlineLevel="0" collapsed="false">
      <c r="B23" s="25"/>
      <c r="C23" s="25"/>
      <c r="D23" s="25"/>
      <c r="G23" s="25"/>
      <c r="H23" s="25"/>
      <c r="I23" s="25"/>
      <c r="J23" s="25"/>
      <c r="K23" s="25"/>
    </row>
    <row r="24" customFormat="false" ht="15" hidden="false" customHeight="false" outlineLevel="0" collapsed="false">
      <c r="B24" s="25"/>
      <c r="C24" s="25"/>
      <c r="D24" s="25"/>
      <c r="G24" s="25"/>
      <c r="H24" s="25"/>
      <c r="I24" s="25"/>
      <c r="J24" s="25"/>
      <c r="K24" s="25"/>
    </row>
    <row r="25" customFormat="false" ht="15" hidden="false" customHeight="false" outlineLevel="0" collapsed="false">
      <c r="B25" s="25"/>
      <c r="C25" s="25"/>
      <c r="D25" s="25"/>
      <c r="G25" s="25"/>
      <c r="H25" s="25"/>
      <c r="I25" s="25"/>
      <c r="J25" s="25"/>
      <c r="K25" s="25"/>
    </row>
    <row r="26" customFormat="false" ht="15" hidden="false" customHeight="false" outlineLevel="0" collapsed="false">
      <c r="B26" s="25"/>
      <c r="C26" s="25"/>
      <c r="D26" s="25"/>
      <c r="G26" s="25"/>
      <c r="H26" s="25"/>
      <c r="I26" s="25"/>
      <c r="J26" s="25"/>
      <c r="K26" s="25"/>
    </row>
    <row r="27" customFormat="false" ht="15" hidden="false" customHeight="false" outlineLevel="0" collapsed="false">
      <c r="B27" s="25"/>
      <c r="C27" s="25"/>
      <c r="D27" s="25"/>
      <c r="G27" s="25"/>
      <c r="H27" s="25"/>
      <c r="I27" s="25"/>
      <c r="J27" s="25"/>
      <c r="K27" s="25"/>
    </row>
    <row r="28" customFormat="false" ht="15" hidden="false" customHeight="false" outlineLevel="0" collapsed="false">
      <c r="B28" s="25"/>
      <c r="C28" s="25"/>
      <c r="D28" s="25"/>
      <c r="G28" s="25"/>
      <c r="H28" s="25"/>
      <c r="I28" s="25"/>
      <c r="J28" s="25"/>
      <c r="K28" s="25"/>
    </row>
    <row r="29" customFormat="false" ht="15" hidden="false" customHeight="false" outlineLevel="0" collapsed="false">
      <c r="B29" s="25"/>
      <c r="C29" s="25"/>
      <c r="D29" s="25"/>
      <c r="G29" s="25"/>
      <c r="H29" s="25"/>
      <c r="I29" s="25"/>
      <c r="J29" s="25"/>
      <c r="K29" s="25"/>
    </row>
    <row r="30" customFormat="false" ht="15" hidden="false" customHeight="false" outlineLevel="0" collapsed="false">
      <c r="B30" s="25"/>
      <c r="C30" s="25"/>
      <c r="D30" s="25"/>
      <c r="G30" s="25"/>
      <c r="H30" s="25"/>
      <c r="I30" s="25"/>
      <c r="J30" s="25"/>
      <c r="K30" s="25"/>
    </row>
    <row r="31" customFormat="false" ht="15" hidden="false" customHeight="false" outlineLevel="0" collapsed="false">
      <c r="B31" s="25"/>
      <c r="C31" s="25"/>
      <c r="D31" s="25"/>
      <c r="G31" s="25"/>
      <c r="H31" s="25"/>
      <c r="I31" s="25"/>
      <c r="J31" s="25"/>
      <c r="K31" s="25"/>
    </row>
    <row r="32" customFormat="false" ht="15" hidden="false" customHeight="false" outlineLevel="0" collapsed="false">
      <c r="B32" s="25"/>
      <c r="C32" s="25"/>
      <c r="D32" s="25"/>
      <c r="G32" s="25"/>
      <c r="H32" s="25"/>
      <c r="I32" s="25"/>
      <c r="J32" s="25"/>
      <c r="K32" s="25"/>
    </row>
    <row r="33" customFormat="false" ht="15" hidden="false" customHeight="false" outlineLevel="0" collapsed="false">
      <c r="B33" s="25"/>
      <c r="C33" s="25"/>
      <c r="D33" s="25"/>
      <c r="G33" s="25"/>
      <c r="H33" s="25"/>
      <c r="I33" s="25"/>
      <c r="J33" s="25"/>
      <c r="K33" s="25"/>
    </row>
    <row r="34" customFormat="false" ht="15" hidden="false" customHeight="false" outlineLevel="0" collapsed="false">
      <c r="B34" s="25"/>
      <c r="C34" s="25"/>
      <c r="D34" s="25"/>
      <c r="G34" s="25"/>
      <c r="H34" s="25"/>
      <c r="I34" s="25"/>
      <c r="J34" s="25"/>
      <c r="K34" s="25"/>
    </row>
    <row r="35" customFormat="false" ht="15" hidden="false" customHeight="false" outlineLevel="0" collapsed="false">
      <c r="B35" s="25"/>
      <c r="C35" s="25"/>
      <c r="D35" s="25"/>
      <c r="G35" s="25"/>
      <c r="H35" s="25"/>
      <c r="I35" s="25"/>
      <c r="J35" s="25"/>
      <c r="K35" s="25"/>
    </row>
    <row r="36" customFormat="false" ht="15" hidden="false" customHeight="false" outlineLevel="0" collapsed="false">
      <c r="B36" s="25"/>
      <c r="C36" s="25"/>
      <c r="D36" s="25"/>
      <c r="G36" s="25"/>
      <c r="H36" s="25"/>
      <c r="I36" s="25"/>
      <c r="J36" s="25"/>
      <c r="K36" s="25"/>
    </row>
    <row r="37" customFormat="false" ht="15" hidden="false" customHeight="false" outlineLevel="0" collapsed="false">
      <c r="B37" s="25"/>
      <c r="C37" s="25"/>
      <c r="D37" s="25"/>
      <c r="G37" s="25"/>
      <c r="H37" s="25"/>
      <c r="I37" s="25"/>
      <c r="J37" s="25"/>
      <c r="K37" s="25"/>
    </row>
    <row r="38" customFormat="false" ht="15" hidden="false" customHeight="false" outlineLevel="0" collapsed="false">
      <c r="B38" s="25"/>
      <c r="C38" s="25"/>
      <c r="D38" s="25"/>
      <c r="G38" s="25"/>
      <c r="H38" s="25"/>
      <c r="I38" s="25"/>
      <c r="J38" s="25"/>
      <c r="K38" s="25"/>
    </row>
    <row r="39" customFormat="false" ht="15" hidden="false" customHeight="false" outlineLevel="0" collapsed="false">
      <c r="B39" s="25"/>
      <c r="C39" s="25"/>
      <c r="D39" s="25"/>
      <c r="G39" s="25"/>
      <c r="H39" s="25"/>
      <c r="I39" s="25"/>
      <c r="J39" s="25"/>
      <c r="K39" s="25"/>
    </row>
    <row r="40" customFormat="false" ht="15" hidden="false" customHeight="false" outlineLevel="0" collapsed="false">
      <c r="B40" s="25"/>
      <c r="C40" s="25"/>
      <c r="D40" s="25"/>
      <c r="G40" s="25"/>
      <c r="H40" s="25"/>
      <c r="I40" s="25"/>
      <c r="J40" s="25"/>
      <c r="K40" s="25"/>
    </row>
    <row r="41" customFormat="false" ht="15" hidden="false" customHeight="false" outlineLevel="0" collapsed="false">
      <c r="B41" s="25"/>
      <c r="C41" s="25"/>
      <c r="D41" s="25"/>
      <c r="G41" s="25"/>
      <c r="H41" s="25"/>
      <c r="I41" s="25"/>
      <c r="J41" s="25"/>
      <c r="K41" s="25"/>
    </row>
    <row r="42" customFormat="false" ht="15" hidden="false" customHeight="false" outlineLevel="0" collapsed="false">
      <c r="B42" s="25"/>
      <c r="C42" s="25"/>
      <c r="D42" s="25"/>
      <c r="G42" s="25"/>
      <c r="H42" s="25"/>
      <c r="I42" s="25"/>
      <c r="J42" s="25"/>
      <c r="K42" s="25"/>
    </row>
    <row r="43" customFormat="false" ht="15" hidden="false" customHeight="false" outlineLevel="0" collapsed="false">
      <c r="B43" s="25"/>
      <c r="C43" s="25"/>
      <c r="D43" s="25"/>
      <c r="G43" s="25"/>
      <c r="H43" s="25"/>
      <c r="I43" s="25"/>
      <c r="J43" s="25"/>
      <c r="K43" s="25"/>
    </row>
    <row r="44" customFormat="false" ht="15" hidden="false" customHeight="false" outlineLevel="0" collapsed="false">
      <c r="B44" s="25"/>
      <c r="C44" s="25"/>
      <c r="D44" s="25"/>
      <c r="G44" s="25"/>
      <c r="H44" s="25"/>
      <c r="I44" s="25"/>
      <c r="J44" s="25"/>
      <c r="K44" s="25"/>
    </row>
    <row r="45" customFormat="false" ht="15" hidden="false" customHeight="false" outlineLevel="0" collapsed="false">
      <c r="B45" s="25"/>
      <c r="C45" s="25"/>
      <c r="D45" s="25"/>
      <c r="G45" s="25"/>
      <c r="H45" s="25"/>
      <c r="I45" s="25"/>
      <c r="J45" s="25"/>
      <c r="K45" s="25"/>
    </row>
    <row r="46" customFormat="false" ht="15" hidden="false" customHeight="false" outlineLevel="0" collapsed="false">
      <c r="B46" s="25"/>
      <c r="C46" s="25"/>
      <c r="D46" s="25"/>
      <c r="G46" s="25"/>
      <c r="H46" s="25"/>
      <c r="I46" s="25"/>
      <c r="J46" s="25"/>
      <c r="K46" s="25"/>
    </row>
    <row r="47" customFormat="false" ht="15" hidden="false" customHeight="false" outlineLevel="0" collapsed="false">
      <c r="B47" s="25"/>
      <c r="C47" s="25"/>
      <c r="D47" s="25"/>
      <c r="G47" s="25"/>
      <c r="H47" s="25"/>
      <c r="I47" s="25"/>
      <c r="J47" s="25"/>
      <c r="K47" s="25"/>
    </row>
    <row r="48" customFormat="false" ht="15" hidden="false" customHeight="false" outlineLevel="0" collapsed="false">
      <c r="B48" s="25"/>
      <c r="C48" s="25"/>
      <c r="D48" s="25"/>
      <c r="G48" s="25"/>
      <c r="H48" s="25"/>
      <c r="I48" s="25"/>
      <c r="J48" s="25"/>
      <c r="K48" s="25"/>
    </row>
    <row r="49" customFormat="false" ht="15" hidden="false" customHeight="false" outlineLevel="0" collapsed="false">
      <c r="B49" s="25"/>
      <c r="C49" s="25"/>
      <c r="D49" s="25"/>
      <c r="G49" s="25"/>
      <c r="H49" s="25"/>
      <c r="I49" s="25"/>
      <c r="J49" s="25"/>
      <c r="K49" s="25"/>
    </row>
    <row r="50" customFormat="false" ht="15" hidden="false" customHeight="false" outlineLevel="0" collapsed="false">
      <c r="B50" s="25"/>
      <c r="C50" s="25"/>
      <c r="D50" s="25"/>
      <c r="G50" s="25"/>
      <c r="H50" s="25"/>
      <c r="I50" s="25"/>
      <c r="J50" s="25"/>
      <c r="K50" s="25"/>
    </row>
    <row r="51" customFormat="false" ht="15" hidden="false" customHeight="false" outlineLevel="0" collapsed="false">
      <c r="B51" s="25"/>
      <c r="C51" s="25"/>
      <c r="D51" s="25"/>
      <c r="G51" s="25"/>
      <c r="H51" s="25"/>
      <c r="I51" s="25"/>
      <c r="J51" s="25"/>
      <c r="K51" s="25"/>
    </row>
    <row r="52" customFormat="false" ht="15" hidden="false" customHeight="false" outlineLevel="0" collapsed="false">
      <c r="B52" s="25"/>
      <c r="C52" s="25"/>
      <c r="D52" s="25"/>
      <c r="G52" s="25"/>
      <c r="H52" s="25"/>
      <c r="I52" s="25"/>
      <c r="J52" s="25"/>
      <c r="K52" s="25"/>
    </row>
    <row r="53" customFormat="false" ht="15" hidden="false" customHeight="false" outlineLevel="0" collapsed="false">
      <c r="B53" s="25"/>
      <c r="C53" s="25"/>
      <c r="D53" s="25"/>
      <c r="G53" s="25"/>
      <c r="H53" s="25"/>
      <c r="I53" s="25"/>
      <c r="J53" s="25"/>
      <c r="K53" s="25"/>
    </row>
    <row r="54" customFormat="false" ht="15" hidden="false" customHeight="false" outlineLevel="0" collapsed="false">
      <c r="B54" s="25"/>
      <c r="C54" s="25"/>
      <c r="D54" s="25"/>
      <c r="G54" s="25"/>
      <c r="H54" s="25"/>
      <c r="I54" s="25"/>
      <c r="J54" s="25"/>
      <c r="K54" s="25"/>
    </row>
    <row r="55" customFormat="false" ht="15" hidden="false" customHeight="false" outlineLevel="0" collapsed="false">
      <c r="B55" s="25"/>
      <c r="C55" s="25"/>
      <c r="D55" s="25"/>
      <c r="G55" s="25"/>
      <c r="H55" s="25"/>
      <c r="I55" s="25"/>
      <c r="J55" s="25"/>
      <c r="K55" s="25"/>
    </row>
    <row r="56" customFormat="false" ht="15" hidden="false" customHeight="false" outlineLevel="0" collapsed="false">
      <c r="B56" s="25"/>
      <c r="C56" s="25"/>
      <c r="D56" s="25"/>
      <c r="G56" s="25"/>
      <c r="H56" s="25"/>
      <c r="I56" s="25"/>
      <c r="J56" s="25"/>
      <c r="K56" s="25"/>
    </row>
    <row r="57" customFormat="false" ht="15" hidden="false" customHeight="false" outlineLevel="0" collapsed="false">
      <c r="B57" s="25"/>
      <c r="C57" s="25"/>
      <c r="D57" s="25"/>
      <c r="G57" s="25"/>
      <c r="H57" s="25"/>
      <c r="I57" s="25"/>
      <c r="J57" s="25"/>
      <c r="K57" s="25"/>
    </row>
    <row r="58" customFormat="false" ht="15" hidden="false" customHeight="false" outlineLevel="0" collapsed="false">
      <c r="B58" s="25"/>
      <c r="C58" s="25"/>
      <c r="D58" s="25"/>
      <c r="G58" s="25"/>
      <c r="H58" s="25"/>
      <c r="I58" s="25"/>
      <c r="J58" s="25"/>
      <c r="K58" s="25"/>
    </row>
    <row r="59" customFormat="false" ht="15" hidden="false" customHeight="false" outlineLevel="0" collapsed="false">
      <c r="B59" s="25"/>
      <c r="C59" s="25"/>
      <c r="D59" s="25"/>
      <c r="G59" s="25"/>
      <c r="H59" s="25"/>
      <c r="I59" s="25"/>
      <c r="J59" s="25"/>
      <c r="K59" s="25"/>
    </row>
    <row r="60" customFormat="false" ht="15" hidden="false" customHeight="false" outlineLevel="0" collapsed="false">
      <c r="B60" s="25"/>
      <c r="C60" s="25"/>
      <c r="D60" s="25"/>
      <c r="G60" s="25"/>
      <c r="H60" s="25"/>
      <c r="I60" s="25"/>
      <c r="J60" s="25"/>
      <c r="K60" s="25"/>
    </row>
    <row r="61" customFormat="false" ht="15" hidden="false" customHeight="false" outlineLevel="0" collapsed="false">
      <c r="B61" s="25"/>
      <c r="C61" s="25"/>
      <c r="D61" s="25"/>
      <c r="G61" s="25"/>
      <c r="H61" s="25"/>
      <c r="I61" s="25"/>
      <c r="J61" s="25"/>
      <c r="K61" s="25"/>
    </row>
    <row r="62" customFormat="false" ht="15" hidden="false" customHeight="false" outlineLevel="0" collapsed="false">
      <c r="B62" s="25"/>
      <c r="C62" s="25"/>
      <c r="D62" s="25"/>
      <c r="G62" s="25"/>
      <c r="H62" s="25"/>
      <c r="I62" s="25"/>
      <c r="J62" s="25"/>
      <c r="K62" s="25"/>
    </row>
    <row r="63" customFormat="false" ht="15" hidden="false" customHeight="false" outlineLevel="0" collapsed="false">
      <c r="B63" s="25"/>
      <c r="C63" s="25"/>
      <c r="D63" s="25"/>
      <c r="G63" s="25"/>
      <c r="H63" s="25"/>
      <c r="I63" s="25"/>
      <c r="J63" s="25"/>
      <c r="K63" s="25"/>
    </row>
    <row r="64" customFormat="false" ht="15" hidden="false" customHeight="false" outlineLevel="0" collapsed="false">
      <c r="B64" s="25"/>
      <c r="C64" s="25"/>
      <c r="D64" s="25"/>
      <c r="G64" s="25"/>
      <c r="H64" s="25"/>
      <c r="I64" s="25"/>
      <c r="J64" s="25"/>
      <c r="K64" s="25"/>
    </row>
    <row r="65" customFormat="false" ht="15" hidden="false" customHeight="false" outlineLevel="0" collapsed="false">
      <c r="B65" s="25"/>
      <c r="C65" s="25"/>
      <c r="D65" s="25"/>
      <c r="G65" s="25"/>
      <c r="H65" s="25"/>
      <c r="I65" s="25"/>
      <c r="J65" s="25"/>
      <c r="K65" s="25"/>
    </row>
    <row r="66" customFormat="false" ht="15" hidden="false" customHeight="false" outlineLevel="0" collapsed="false">
      <c r="B66" s="25"/>
      <c r="C66" s="25"/>
      <c r="D66" s="25"/>
      <c r="G66" s="25"/>
      <c r="H66" s="25"/>
      <c r="I66" s="25"/>
      <c r="J66" s="25"/>
      <c r="K66" s="25"/>
    </row>
  </sheetData>
  <dataValidations count="1">
    <dataValidation allowBlank="true" errorStyle="stop" operator="between" showDropDown="false" showErrorMessage="false" showInputMessage="false" sqref="G8:G66" type="list">
      <formula1>설정!$F$10:$F$30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F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8"/>
    <col collapsed="false" customWidth="true" hidden="false" outlineLevel="0" max="6" min="3" style="0" width="16"/>
  </cols>
  <sheetData>
    <row r="2" customFormat="false" ht="17.35" hidden="false" customHeight="false" outlineLevel="0" collapsed="false">
      <c r="B2" s="28" t="s">
        <v>140</v>
      </c>
    </row>
    <row r="4" customFormat="false" ht="15" hidden="false" customHeight="false" outlineLevel="0" collapsed="false">
      <c r="B4" s="32" t="s">
        <v>141</v>
      </c>
      <c r="C4" s="33" t="n">
        <v>1350</v>
      </c>
      <c r="D4" s="20" t="s">
        <v>142</v>
      </c>
    </row>
    <row r="5" customFormat="false" ht="15" hidden="false" customHeight="false" outlineLevel="0" collapsed="false">
      <c r="B5" s="32" t="s">
        <v>143</v>
      </c>
      <c r="C5" s="34" t="n">
        <v>0.1</v>
      </c>
      <c r="D5" s="2" t="s">
        <v>144</v>
      </c>
    </row>
    <row r="8" customFormat="false" ht="15" hidden="false" customHeight="false" outlineLevel="0" collapsed="false">
      <c r="B8" s="15" t="s">
        <v>145</v>
      </c>
    </row>
    <row r="9" customFormat="false" ht="15" hidden="false" customHeight="false" outlineLevel="0" collapsed="false">
      <c r="B9" s="5" t="s">
        <v>30</v>
      </c>
      <c r="C9" s="5" t="s">
        <v>47</v>
      </c>
      <c r="D9" s="5" t="s">
        <v>146</v>
      </c>
      <c r="E9" s="5" t="s">
        <v>48</v>
      </c>
      <c r="F9" s="5" t="s">
        <v>147</v>
      </c>
    </row>
    <row r="10" customFormat="false" ht="15" hidden="false" customHeight="false" outlineLevel="0" collapsed="false">
      <c r="B10" s="35" t="s">
        <v>4</v>
      </c>
      <c r="C10" s="7" t="s">
        <v>59</v>
      </c>
      <c r="D10" s="35" t="s">
        <v>148</v>
      </c>
      <c r="E10" s="35" t="s">
        <v>60</v>
      </c>
      <c r="F10" s="7" t="s">
        <v>16</v>
      </c>
    </row>
    <row r="11" customFormat="false" ht="15" hidden="false" customHeight="false" outlineLevel="0" collapsed="false">
      <c r="B11" s="35" t="s">
        <v>5</v>
      </c>
      <c r="C11" s="7" t="s">
        <v>64</v>
      </c>
      <c r="D11" s="35" t="s">
        <v>149</v>
      </c>
      <c r="E11" s="35" t="s">
        <v>66</v>
      </c>
      <c r="F11" s="7" t="s">
        <v>17</v>
      </c>
    </row>
    <row r="12" customFormat="false" ht="15" hidden="false" customHeight="false" outlineLevel="0" collapsed="false">
      <c r="B12" s="35" t="s">
        <v>6</v>
      </c>
      <c r="F12" s="7" t="s">
        <v>18</v>
      </c>
    </row>
    <row r="13" customFormat="false" ht="15" hidden="false" customHeight="false" outlineLevel="0" collapsed="false">
      <c r="B13" s="35" t="s">
        <v>7</v>
      </c>
      <c r="F13" s="7" t="s">
        <v>19</v>
      </c>
    </row>
    <row r="14" customFormat="false" ht="15" hidden="false" customHeight="false" outlineLevel="0" collapsed="false">
      <c r="B14" s="35" t="s">
        <v>8</v>
      </c>
      <c r="F14" s="7" t="s">
        <v>20</v>
      </c>
    </row>
    <row r="15" customFormat="false" ht="15" hidden="false" customHeight="false" outlineLevel="0" collapsed="false">
      <c r="B15" s="7" t="s">
        <v>32</v>
      </c>
      <c r="F15" s="7" t="s">
        <v>21</v>
      </c>
    </row>
    <row r="16" customFormat="false" ht="15" hidden="false" customHeight="false" outlineLevel="0" collapsed="false">
      <c r="F16" s="7" t="s">
        <v>22</v>
      </c>
    </row>
    <row r="17" customFormat="false" ht="15" hidden="false" customHeight="false" outlineLevel="0" collapsed="false">
      <c r="F17" s="7" t="s">
        <v>23</v>
      </c>
    </row>
    <row r="18" customFormat="false" ht="15" hidden="false" customHeight="false" outlineLevel="0" collapsed="false">
      <c r="F18" s="7" t="s">
        <v>24</v>
      </c>
    </row>
    <row r="19" customFormat="false" ht="15" hidden="false" customHeight="false" outlineLevel="0" collapsed="false">
      <c r="F19" s="7" t="s">
        <v>25</v>
      </c>
    </row>
    <row r="20" customFormat="false" ht="15" hidden="false" customHeight="false" outlineLevel="0" collapsed="false">
      <c r="F20" s="7" t="s">
        <v>26</v>
      </c>
    </row>
    <row r="26" customFormat="false" ht="15" hidden="false" customHeight="false" outlineLevel="0" collapsed="false">
      <c r="B26" s="2" t="s">
        <v>150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2026-10-08T09:15:34Z</dcterms:created>
  <dc:creator>openpyxl</dc:creator>
  <dc:description/>
  <dc:language>en-US</dc:language>
  <cp:lastModifiedBy/>
  <dcterms:modified xsi:type="dcterms:W3CDTF">2026-10-08T09:15:34Z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