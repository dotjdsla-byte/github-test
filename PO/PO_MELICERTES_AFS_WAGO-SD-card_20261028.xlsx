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05" yWindow="0" windowWidth="14610" windowHeight="15585" tabRatio="500" firstSheet="0" activeTab="0" autoFilterDateGrouping="1"/>
  </bookViews>
  <sheets>
    <sheet xmlns:r="http://schemas.openxmlformats.org/officeDocument/2006/relationships" name="Purchase Order" sheetId="1" state="visible" r:id="rId1"/>
  </sheets>
  <definedNames>
    <definedName name="_xlnm.Print_Area" localSheetId="0">'Purchase Order'!$A$1:$I$69</definedName>
  </definedNames>
  <calcPr calcId="191029" fullCalcOnLoad="1" iterateDelta="0.0001"/>
</workbook>
</file>

<file path=xl/styles.xml><?xml version="1.0" encoding="utf-8"?>
<styleSheet xmlns="http://schemas.openxmlformats.org/spreadsheetml/2006/main">
  <numFmts count="3">
    <numFmt numFmtId="164" formatCode="#,##0_);\(#,##0\)"/>
    <numFmt numFmtId="165" formatCode="yyyy\-mm\-dd"/>
    <numFmt numFmtId="166" formatCode="#,##0.00;(#,##0.00);&quot;-&quot;"/>
  </numFmts>
  <fonts count="24">
    <font>
      <name val="Calibri"/>
      <charset val="1"/>
      <family val="2"/>
      <color theme="1"/>
      <sz val="11"/>
    </font>
    <font>
      <name val="Malgun Gothic"/>
      <charset val="129"/>
      <family val="3"/>
      <b val="1"/>
      <color rgb="FF1F3864"/>
      <sz val="20"/>
    </font>
    <font>
      <name val="WenQuanYi Zen Hei"/>
      <family val="2"/>
      <b val="1"/>
      <color rgb="FF1F3864"/>
      <sz val="13"/>
    </font>
    <font>
      <name val="Malgun Gothic"/>
      <charset val="129"/>
      <family val="3"/>
      <b val="1"/>
      <color rgb="FF000000"/>
      <sz val="9"/>
    </font>
    <font>
      <name val="Malgun Gothic"/>
      <charset val="129"/>
      <family val="3"/>
      <color rgb="FF0000FF"/>
      <sz val="9"/>
    </font>
    <font>
      <name val="Malgun Gothic"/>
      <charset val="129"/>
      <family val="3"/>
      <b val="1"/>
      <color rgb="FFFFFFFF"/>
      <sz val="10"/>
    </font>
    <font>
      <name val="Malgun Gothic"/>
      <charset val="129"/>
      <family val="3"/>
      <color rgb="FF000000"/>
      <sz val="9"/>
    </font>
    <font>
      <name val="WenQuanYi Zen Hei"/>
      <family val="2"/>
      <i val="1"/>
      <color rgb="FF595959"/>
      <sz val="8"/>
    </font>
    <font>
      <name val="Malgun Gothic"/>
      <charset val="129"/>
      <family val="3"/>
      <i val="1"/>
      <color rgb="FF595959"/>
      <sz val="8"/>
    </font>
    <font>
      <name val="WenQuanYi Zen Hei"/>
      <family val="2"/>
      <color rgb="FF0000FF"/>
      <sz val="9"/>
    </font>
    <font>
      <name val="Malgun Gothic"/>
      <charset val="129"/>
      <family val="3"/>
      <b val="1"/>
      <color rgb="FF1F3864"/>
      <sz val="9"/>
    </font>
    <font>
      <name val="Malgun Gothic"/>
      <charset val="129"/>
      <family val="3"/>
      <color rgb="FF404040"/>
      <sz val="8"/>
    </font>
    <font>
      <name val="Arial"/>
      <family val="2"/>
      <sz val="10"/>
    </font>
    <font>
      <name val="WenQuanYi Zen Hei"/>
      <family val="2"/>
      <b val="1"/>
      <color rgb="FF1F3864"/>
      <sz val="14"/>
    </font>
    <font>
      <name val="Malgun Gothic"/>
      <charset val="129"/>
      <family val="3"/>
      <b val="1"/>
      <color rgb="FF1F3864"/>
      <sz val="14"/>
    </font>
    <font>
      <name val="WenQuanYi Zen Hei"/>
      <family val="2"/>
      <b val="1"/>
      <color rgb="FF1F3864"/>
      <sz val="10"/>
    </font>
    <font>
      <name val="WenQuanYi Zen Hei"/>
      <family val="2"/>
      <color rgb="FF000000"/>
      <sz val="9"/>
    </font>
    <font>
      <name val="Malgun Gothic"/>
      <charset val="129"/>
      <family val="3"/>
      <b val="1"/>
      <color rgb="FF1F3864"/>
      <sz val="10"/>
    </font>
    <font>
      <name val="WenQuanYi Zen Hei"/>
      <family val="2"/>
      <i val="1"/>
      <color rgb="FF7F7F7F"/>
      <sz val="8"/>
    </font>
    <font>
      <name val="Malgun Gothic"/>
      <charset val="129"/>
      <family val="3"/>
      <i val="1"/>
      <color rgb="FF7F7F7F"/>
      <sz val="8"/>
    </font>
    <font>
      <name val="Dotum"/>
      <charset val="129"/>
      <family val="3"/>
      <sz val="8"/>
    </font>
    <font>
      <name val="Calibri"/>
      <charset val="1"/>
      <family val="2"/>
      <color theme="10"/>
      <sz val="11"/>
      <u val="single"/>
    </font>
    <font>
      <name val="WenQuanYi Zen Hei"/>
      <charset val="129"/>
      <family val="3"/>
      <i val="1"/>
      <color rgb="FF595959"/>
      <sz val="8"/>
    </font>
    <font>
      <name val="Malgun Gothic"/>
      <charset val="129"/>
      <family val="3"/>
      <color rgb="FF0000FF"/>
      <sz val="8"/>
    </font>
  </fonts>
  <fills count="6">
    <fill>
      <patternFill/>
    </fill>
    <fill>
      <patternFill patternType="gray125"/>
    </fill>
    <fill>
      <patternFill patternType="solid">
        <fgColor rgb="FFF2F2F2"/>
        <bgColor rgb="FFFFF9DB"/>
      </patternFill>
    </fill>
    <fill>
      <patternFill patternType="solid">
        <fgColor rgb="FFFFF9DB"/>
        <bgColor rgb="FFF2F2F2"/>
      </patternFill>
    </fill>
    <fill>
      <patternFill patternType="solid">
        <fgColor rgb="FF1F3864"/>
        <bgColor rgb="FF333399"/>
      </patternFill>
    </fill>
    <fill>
      <patternFill patternType="solid">
        <fgColor rgb="FFD9E1F2"/>
        <bgColor rgb="FFF2F2F2"/>
      </patternFill>
    </fill>
  </fills>
  <borders count="13">
    <border>
      <left/>
      <right/>
      <top/>
      <bottom/>
      <diagonal/>
    </border>
    <border>
      <left/>
      <right/>
      <top style="medium">
        <color rgb="FF1F3864"/>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s>
  <cellStyleXfs count="2">
    <xf numFmtId="0" fontId="0" fillId="0" borderId="0"/>
    <xf numFmtId="0" fontId="21" fillId="0" borderId="0"/>
  </cellStyleXfs>
  <cellXfs count="74">
    <xf numFmtId="0" fontId="0" fillId="0" borderId="0" pivotButton="0" quotePrefix="0" xfId="0"/>
    <xf numFmtId="0"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0" fillId="0" borderId="1" pivotButton="0" quotePrefix="0" xfId="0"/>
    <xf numFmtId="0" fontId="6" fillId="0" borderId="2" applyAlignment="1" pivotButton="0" quotePrefix="0" xfId="0">
      <alignment horizontal="center" vertical="center" wrapText="1"/>
    </xf>
    <xf numFmtId="3" fontId="4" fillId="3" borderId="2" applyAlignment="1" pivotButton="0" quotePrefix="0" xfId="0">
      <alignment horizontal="center" vertical="center" wrapText="1"/>
    </xf>
    <xf numFmtId="9" fontId="4" fillId="3" borderId="2" applyAlignment="1" pivotButton="0" quotePrefix="0" xfId="0">
      <alignment horizontal="center" vertical="center" wrapText="1"/>
    </xf>
    <xf numFmtId="0" fontId="13" fillId="0" borderId="0" applyAlignment="1" pivotButton="0" quotePrefix="0" xfId="0">
      <alignment vertical="center"/>
    </xf>
    <xf numFmtId="0" fontId="15" fillId="0" borderId="0" applyAlignment="1" pivotButton="0" quotePrefix="0" xfId="0">
      <alignment horizontal="left" vertical="center" wrapText="1" indent="1"/>
    </xf>
    <xf numFmtId="0" fontId="6" fillId="3" borderId="2" applyAlignment="1" pivotButton="0" quotePrefix="0" xfId="0">
      <alignment horizontal="left" vertical="center" wrapText="1" indent="1"/>
    </xf>
    <xf numFmtId="0" fontId="16" fillId="0" borderId="0" applyAlignment="1" pivotButton="0" quotePrefix="0" xfId="0">
      <alignment horizontal="left" vertical="center" wrapText="1" indent="1"/>
    </xf>
    <xf numFmtId="0" fontId="6" fillId="2" borderId="2" applyAlignment="1" pivotButton="0" quotePrefix="0" xfId="0">
      <alignment horizontal="left" vertical="center" wrapText="1" indent="1"/>
    </xf>
    <xf numFmtId="0" fontId="3" fillId="0" borderId="2" applyAlignment="1" pivotButton="0" quotePrefix="0" xfId="0">
      <alignment horizontal="left" vertical="center" wrapText="1" indent="1"/>
    </xf>
    <xf numFmtId="0" fontId="3" fillId="0" borderId="2" applyAlignment="1" pivotButton="0" quotePrefix="0" xfId="0">
      <alignment vertical="top" wrapText="1" indent="1"/>
    </xf>
    <xf numFmtId="0" fontId="6" fillId="0" borderId="2" applyAlignment="1" pivotButton="0" quotePrefix="0" xfId="0">
      <alignment vertical="top" wrapText="1" indent="1"/>
    </xf>
    <xf numFmtId="0" fontId="16" fillId="0" borderId="2" applyAlignment="1" pivotButton="0" quotePrefix="0" xfId="0">
      <alignment vertical="top" wrapText="1" indent="1"/>
    </xf>
    <xf numFmtId="0" fontId="4" fillId="0" borderId="2" applyAlignment="1" pivotButton="0" quotePrefix="0" xfId="0">
      <alignment horizontal="center" vertical="center" wrapText="1"/>
    </xf>
    <xf numFmtId="4" fontId="4" fillId="0" borderId="2" applyAlignment="1" pivotButton="0" quotePrefix="0" xfId="0">
      <alignment horizontal="center" vertical="center" wrapText="1"/>
    </xf>
    <xf numFmtId="4" fontId="6" fillId="0" borderId="2" applyAlignment="1" pivotButton="0" quotePrefix="0" xfId="0">
      <alignment horizontal="center" vertical="center" wrapText="1"/>
    </xf>
    <xf numFmtId="0" fontId="18" fillId="0" borderId="0" applyAlignment="1" pivotButton="0" quotePrefix="0" xfId="0">
      <alignment vertical="center"/>
    </xf>
    <xf numFmtId="164" fontId="4" fillId="3" borderId="2" applyAlignment="1" pivotButton="0" quotePrefix="0" xfId="0">
      <alignment horizontal="right" vertical="center"/>
    </xf>
    <xf numFmtId="164" fontId="6" fillId="0" borderId="2" applyAlignment="1" pivotButton="0" quotePrefix="0" xfId="0">
      <alignment horizontal="right" vertical="center"/>
    </xf>
    <xf numFmtId="164" fontId="3" fillId="0" borderId="2" applyAlignment="1" pivotButton="0" quotePrefix="0" xfId="0">
      <alignment horizontal="right" vertical="center"/>
    </xf>
    <xf numFmtId="164" fontId="5" fillId="4" borderId="2" applyAlignment="1" pivotButton="0" quotePrefix="0" xfId="0">
      <alignment horizontal="right" vertical="center"/>
    </xf>
    <xf numFmtId="0" fontId="5" fillId="4"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4" fillId="3" borderId="2" applyAlignment="1" pivotButton="0" quotePrefix="0" xfId="0">
      <alignment horizontal="left" vertical="center" wrapText="1" indent="1"/>
    </xf>
    <xf numFmtId="0" fontId="21" fillId="3" borderId="2" applyAlignment="1" pivotButton="0" quotePrefix="0" xfId="1">
      <alignment horizontal="left" vertical="center" wrapText="1" inden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165"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center" vertical="center" wrapText="1"/>
    </xf>
    <xf numFmtId="0" fontId="22" fillId="0" borderId="2" applyAlignment="1" pivotButton="0" quotePrefix="0" xfId="0">
      <alignment horizontal="left" vertical="top" wrapText="1" indent="1"/>
    </xf>
    <xf numFmtId="0" fontId="7" fillId="0" borderId="2" applyAlignment="1" pivotButton="0" quotePrefix="0" xfId="0">
      <alignment horizontal="left" vertical="top" wrapText="1" indent="1"/>
    </xf>
    <xf numFmtId="14" fontId="4" fillId="3" borderId="2" applyAlignment="1" pivotButton="0" quotePrefix="0" xfId="0">
      <alignment horizontal="left" vertical="center" wrapText="1" indent="1"/>
    </xf>
    <xf numFmtId="0" fontId="4" fillId="3" borderId="3" applyAlignment="1" pivotButton="0" quotePrefix="0" xfId="0">
      <alignment horizontal="left" vertical="center" wrapText="1" indent="1"/>
    </xf>
    <xf numFmtId="0" fontId="4" fillId="3" borderId="5" applyAlignment="1" pivotButton="0" quotePrefix="0" xfId="0">
      <alignment horizontal="left" vertical="center" wrapText="1" indent="1"/>
    </xf>
    <xf numFmtId="0" fontId="4" fillId="3" borderId="4" applyAlignment="1" pivotButton="0" quotePrefix="0" xfId="0">
      <alignment horizontal="left" vertical="center" wrapText="1" indent="1"/>
    </xf>
    <xf numFmtId="0" fontId="9" fillId="3" borderId="2" applyAlignment="1" pivotButton="0" quotePrefix="0" xfId="0">
      <alignment horizontal="left" vertical="center" wrapText="1" indent="1"/>
    </xf>
    <xf numFmtId="0" fontId="4" fillId="3" borderId="2" applyAlignment="1" pivotButton="0" quotePrefix="0" xfId="0">
      <alignment horizontal="left" vertical="top" wrapText="1" indent="1"/>
    </xf>
    <xf numFmtId="0" fontId="10" fillId="0" borderId="0" applyAlignment="1" pivotButton="0" quotePrefix="0" xfId="0">
      <alignment horizontal="left" vertical="center" wrapText="1" indent="1"/>
    </xf>
    <xf numFmtId="0" fontId="11" fillId="0" borderId="0" applyAlignment="1" pivotButton="0" quotePrefix="0" xfId="0">
      <alignment horizontal="left" vertical="center" wrapText="1" indent="1"/>
    </xf>
    <xf numFmtId="0" fontId="5" fillId="4" borderId="2" applyAlignment="1" pivotButton="0" quotePrefix="0" xfId="0">
      <alignment horizontal="center" vertical="center" wrapText="1"/>
    </xf>
    <xf numFmtId="0" fontId="6" fillId="0" borderId="2" applyAlignment="1" pivotButton="0" quotePrefix="0" xfId="0">
      <alignment horizontal="left" vertical="center" wrapText="1" indent="1"/>
    </xf>
    <xf numFmtId="0" fontId="6" fillId="0" borderId="3" applyAlignment="1" pivotButton="0" quotePrefix="0" xfId="0">
      <alignment horizontal="left" vertical="center" wrapText="1" indent="1"/>
    </xf>
    <xf numFmtId="0" fontId="6" fillId="0" borderId="4" applyAlignment="1" pivotButton="0" quotePrefix="0" xfId="0">
      <alignment horizontal="left" vertical="center" wrapText="1" indent="1"/>
    </xf>
    <xf numFmtId="0" fontId="6" fillId="0" borderId="2" applyAlignment="1" pivotButton="0" quotePrefix="0" xfId="0">
      <alignment horizontal="left" vertical="center" wrapText="1"/>
    </xf>
    <xf numFmtId="0" fontId="6" fillId="0" borderId="2" applyAlignment="1" pivotButton="0" quotePrefix="0" xfId="0">
      <alignment horizontal="center" vertical="center" wrapText="1"/>
    </xf>
    <xf numFmtId="0" fontId="23" fillId="3" borderId="2" applyAlignment="1" pivotButton="0" quotePrefix="0" xfId="0">
      <alignment horizontal="left" vertical="center" wrapText="1" indent="1"/>
    </xf>
    <xf numFmtId="0" fontId="0" fillId="0" borderId="4" pivotButton="0" quotePrefix="0" xfId="0"/>
    <xf numFmtId="165" fontId="4" fillId="3" borderId="2" applyAlignment="1" pivotButton="0" quotePrefix="0" xfId="0">
      <alignment horizontal="center" vertical="center" wrapText="1"/>
    </xf>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2" pivotButton="0" quotePrefix="0" xfId="0"/>
    <xf numFmtId="164" fontId="4" fillId="3" borderId="2" applyAlignment="1" pivotButton="0" quotePrefix="0" xfId="0">
      <alignment horizontal="right" vertical="center"/>
    </xf>
    <xf numFmtId="164" fontId="6" fillId="0" borderId="2" applyAlignment="1" pivotButton="0" quotePrefix="0" xfId="0">
      <alignment horizontal="right" vertical="center"/>
    </xf>
    <xf numFmtId="0" fontId="0" fillId="0" borderId="6" pivotButton="0" quotePrefix="0" xfId="0"/>
    <xf numFmtId="164" fontId="3" fillId="0" borderId="2" applyAlignment="1" pivotButton="0" quotePrefix="0" xfId="0">
      <alignment horizontal="right" vertical="center"/>
    </xf>
    <xf numFmtId="0" fontId="0" fillId="0" borderId="11" pivotButton="0" quotePrefix="0" xfId="0"/>
    <xf numFmtId="164" fontId="5" fillId="4" borderId="2" applyAlignment="1" pivotButton="0" quotePrefix="0" xfId="0">
      <alignment horizontal="right" vertical="center"/>
    </xf>
    <xf numFmtId="165" fontId="4" fillId="3" borderId="2" applyAlignment="1" pivotButton="0" quotePrefix="0" xfId="0">
      <alignment horizontal="left" vertical="center" wrapText="1" indent="1"/>
    </xf>
    <xf numFmtId="0" fontId="4" fillId="3" borderId="2" applyAlignment="1" pivotButton="0" quotePrefix="0" xfId="0">
      <alignment horizontal="left" vertical="top" wrapText="1"/>
    </xf>
    <xf numFmtId="0" fontId="11" fillId="0" borderId="0" applyAlignment="1" pivotButton="0" quotePrefix="0" xfId="0">
      <alignment horizontal="left" vertical="center" wrapText="1"/>
    </xf>
    <xf numFmtId="166" fontId="4" fillId="3" borderId="2" applyAlignment="1" pivotButton="0" quotePrefix="0" xfId="0">
      <alignment horizontal="right" vertical="center"/>
    </xf>
    <xf numFmtId="166" fontId="6" fillId="0" borderId="2" applyAlignment="1" pivotButton="0" quotePrefix="0" xfId="0">
      <alignment horizontal="right" vertical="center"/>
    </xf>
    <xf numFmtId="166" fontId="0" fillId="0" borderId="4" pivotButton="0" quotePrefix="0" xfId="0"/>
    <xf numFmtId="166" fontId="3" fillId="0" borderId="2" applyAlignment="1" pivotButton="0" quotePrefix="0" xfId="0">
      <alignment horizontal="right" vertical="center"/>
    </xf>
    <xf numFmtId="166" fontId="5" fillId="4" borderId="2" applyAlignment="1" pivotButton="0" quotePrefix="0" xfId="0">
      <alignment horizontal="right" vertical="center"/>
    </xf>
  </cellXfs>
  <cellStyles count="2">
    <cellStyle name="표준" xfId="0" builtinId="0"/>
    <cellStyle name="하이퍼링크"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7F7F7F"/>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Unknown Author</author>
  </authors>
  <commentList>
    <comment ref="H41" authorId="0" shapeId="0">
      <text>
        <t>VAT rate: 10% for domestic transactions / 0% if zero-rated (export / ship stores)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571500</colOff>
      <row>67</row>
      <rowOff>28575</rowOff>
    </from>
    <to>
      <col>3</col>
      <colOff>566208</colOff>
      <row>68</row>
      <rowOff>57150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000" y="15487650"/>
          <a:ext cx="1985433" cy="638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peter.jeong@iobsm.kr" TargetMode="External" Id="rId1"/><Relationship Type="http://schemas.openxmlformats.org/officeDocument/2006/relationships/drawing" Target="/xl/drawings/drawing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I69"/>
  <sheetViews>
    <sheetView showGridLines="0" tabSelected="1" topLeftCell="A20" zoomScaleNormal="100" workbookViewId="0">
      <selection activeCell="C8" sqref="C8:D8"/>
    </sheetView>
  </sheetViews>
  <sheetFormatPr baseColWidth="8" defaultColWidth="8.7109375" defaultRowHeight="15"/>
  <cols>
    <col width="5" customWidth="1" min="1" max="1"/>
    <col width="15" customWidth="1" min="2" max="2"/>
    <col width="29.85546875" customWidth="1" min="3" max="3"/>
    <col width="18" customWidth="1" min="4" max="5"/>
    <col width="7" customWidth="1" min="6" max="7"/>
    <col width="14" customWidth="1" min="8" max="8"/>
    <col width="17" customWidth="1" min="9" max="9"/>
  </cols>
  <sheetData>
    <row r="1" ht="31.5" customHeight="1">
      <c r="A1" s="30" t="inlineStr">
        <is>
          <t>PURCHASE ORDER</t>
        </is>
      </c>
    </row>
    <row r="2" ht="21.75" customHeight="1">
      <c r="A2" s="31" t="n"/>
    </row>
    <row r="3">
      <c r="A3" s="5" t="n"/>
      <c r="B3" s="5" t="n"/>
      <c r="C3" s="5" t="n"/>
      <c r="D3" s="5" t="n"/>
      <c r="E3" s="5" t="n"/>
      <c r="F3" s="5" t="n"/>
      <c r="G3" s="5" t="n"/>
      <c r="H3" s="5" t="n"/>
      <c r="I3" s="5" t="n"/>
    </row>
    <row r="4" ht="15" customHeight="1">
      <c r="A4" s="27" t="inlineStr">
        <is>
          <t>PO No.</t>
        </is>
      </c>
      <c r="B4" s="52" t="n"/>
      <c r="C4" s="28" t="n"/>
      <c r="D4" s="27" t="inlineStr">
        <is>
          <t>PO Date</t>
        </is>
      </c>
      <c r="E4" s="53" t="n">
        <v>46323</v>
      </c>
      <c r="F4" s="52" t="n"/>
      <c r="G4" s="27" t="inlineStr">
        <is>
          <t>Currency</t>
        </is>
      </c>
      <c r="H4" s="52" t="n"/>
      <c r="I4" s="34" t="inlineStr">
        <is>
          <t>EUR</t>
        </is>
      </c>
    </row>
    <row r="5" ht="24.6" customHeight="1">
      <c r="A5" s="27" t="inlineStr">
        <is>
          <t>Quotation Ref.</t>
        </is>
      </c>
      <c r="B5" s="52" t="n"/>
      <c r="C5" s="28" t="inlineStr">
        <is>
          <t>AFS Q. 0000122664 (IOB RFQ-04 WAGO)</t>
        </is>
      </c>
      <c r="D5" s="27" t="inlineStr">
        <is>
          <t>Quotation Date</t>
        </is>
      </c>
      <c r="E5" s="53" t="n">
        <v>46317</v>
      </c>
      <c r="F5" s="52" t="n"/>
      <c r="G5" s="27" t="inlineStr">
        <is>
          <t>Revision</t>
        </is>
      </c>
      <c r="H5" s="52" t="n"/>
      <c r="I5" s="34" t="inlineStr">
        <is>
          <t>0</t>
        </is>
      </c>
    </row>
    <row r="7" ht="15" customHeight="1">
      <c r="A7" s="26" t="inlineStr">
        <is>
          <t>BUYER (OWNER)</t>
        </is>
      </c>
      <c r="B7" s="54" t="n"/>
      <c r="C7" s="54" t="n"/>
      <c r="D7" s="52" t="n"/>
      <c r="E7" s="26" t="inlineStr">
        <is>
          <t>C/O (CARE OF) / MANAGING AGENT</t>
        </is>
      </c>
      <c r="F7" s="54" t="n"/>
      <c r="G7" s="54" t="n"/>
      <c r="H7" s="54" t="n"/>
      <c r="I7" s="52" t="n"/>
    </row>
    <row r="8" ht="18" customHeight="1">
      <c r="A8" s="27" t="inlineStr">
        <is>
          <t>Company</t>
        </is>
      </c>
      <c r="B8" s="52" t="n"/>
      <c r="C8" s="28" t="inlineStr">
        <is>
          <t>Norvex Pte. Ltd.</t>
        </is>
      </c>
      <c r="D8" s="52" t="n"/>
      <c r="E8" s="27" t="inlineStr">
        <is>
          <t>C/O (Care of)</t>
        </is>
      </c>
      <c r="F8" s="28" t="inlineStr">
        <is>
          <t>IOB CO., LTD.</t>
        </is>
      </c>
      <c r="G8" s="54" t="n"/>
      <c r="H8" s="54" t="n"/>
      <c r="I8" s="52" t="n"/>
    </row>
    <row r="9" ht="18" customHeight="1">
      <c r="A9" s="27" t="inlineStr">
        <is>
          <t>Address</t>
        </is>
      </c>
      <c r="B9" s="55" t="n"/>
      <c r="C9" s="28" t="inlineStr">
        <is>
          <t>70 ANSON ROAD, #25-01, HUB SYNERGY POINT, SINGAPORE 079905</t>
        </is>
      </c>
      <c r="D9" s="55" t="n"/>
      <c r="E9" s="27" t="inlineStr">
        <is>
          <t>Address</t>
        </is>
      </c>
      <c r="F9" s="51" t="inlineStr">
        <is>
          <t>11F, CJ Building, 119 Daegyo-ro, Jung-gu, Busan, Korea</t>
        </is>
      </c>
      <c r="G9" s="54" t="n"/>
      <c r="H9" s="54" t="n"/>
      <c r="I9" s="52" t="n"/>
    </row>
    <row r="10" ht="18" customHeight="1">
      <c r="A10" s="56" t="n"/>
      <c r="B10" s="57" t="n"/>
      <c r="C10" s="56" t="n"/>
      <c r="D10" s="57" t="n"/>
      <c r="E10" s="27" t="inlineStr">
        <is>
          <t>Contact</t>
        </is>
      </c>
      <c r="F10" s="28" t="inlineStr">
        <is>
          <t>Peter Jeong, Deputy General Manager</t>
        </is>
      </c>
      <c r="G10" s="54" t="n"/>
      <c r="H10" s="54" t="n"/>
      <c r="I10" s="52" t="n"/>
    </row>
    <row r="11" ht="18" customHeight="1">
      <c r="A11" s="56" t="n"/>
      <c r="B11" s="57" t="n"/>
      <c r="C11" s="56" t="n"/>
      <c r="D11" s="57" t="n"/>
      <c r="E11" s="27" t="inlineStr">
        <is>
          <t>Tel</t>
        </is>
      </c>
      <c r="F11" s="28" t="inlineStr">
        <is>
          <t>070-4708-2810</t>
        </is>
      </c>
      <c r="G11" s="54" t="n"/>
      <c r="H11" s="54" t="n"/>
      <c r="I11" s="52" t="n"/>
    </row>
    <row r="12" ht="18" customHeight="1">
      <c r="A12" s="58" t="n"/>
      <c r="B12" s="59" t="n"/>
      <c r="C12" s="58" t="n"/>
      <c r="D12" s="59" t="n"/>
      <c r="E12" s="27" t="inlineStr">
        <is>
          <t>E-mail</t>
        </is>
      </c>
      <c r="F12" s="29" t="inlineStr">
        <is>
          <t>peter.jeong@iobsm.kr</t>
        </is>
      </c>
      <c r="G12" s="54" t="n"/>
      <c r="H12" s="54" t="n"/>
      <c r="I12" s="52" t="n"/>
    </row>
    <row r="14" ht="15" customHeight="1">
      <c r="A14" s="26" t="inlineStr">
        <is>
          <t>SUPPLIER</t>
        </is>
      </c>
      <c r="B14" s="54" t="n"/>
      <c r="C14" s="54" t="n"/>
      <c r="D14" s="54" t="n"/>
      <c r="E14" s="54" t="n"/>
      <c r="F14" s="54" t="n"/>
      <c r="G14" s="54" t="n"/>
      <c r="H14" s="54" t="n"/>
      <c r="I14" s="52" t="n"/>
    </row>
    <row r="15" ht="18" customHeight="1">
      <c r="A15" s="27" t="inlineStr">
        <is>
          <t>Company</t>
        </is>
      </c>
      <c r="B15" s="52" t="n"/>
      <c r="C15" s="28" t="inlineStr">
        <is>
          <t>AFS EUROPE</t>
        </is>
      </c>
      <c r="D15" s="52" t="n"/>
      <c r="E15" s="27" t="inlineStr">
        <is>
          <t>Contact</t>
        </is>
      </c>
      <c r="F15" s="28" t="n"/>
      <c r="G15" s="54" t="n"/>
      <c r="H15" s="54" t="n"/>
      <c r="I15" s="52" t="n"/>
    </row>
    <row r="16" ht="18" customHeight="1">
      <c r="A16" s="27" t="inlineStr">
        <is>
          <t>Address</t>
        </is>
      </c>
      <c r="B16" s="55" t="n"/>
      <c r="C16" s="28" t="inlineStr">
        <is>
          <t>FLORIJNSTRAAT 25, 2988 CL RIDDERKERK, THE NETHERLANDS
VAT No. NL817780300B01</t>
        </is>
      </c>
      <c r="D16" s="55" t="n"/>
      <c r="E16" s="27" t="inlineStr">
        <is>
          <t>Tel</t>
        </is>
      </c>
      <c r="F16" s="28" t="n"/>
      <c r="G16" s="54" t="n"/>
      <c r="H16" s="54" t="n"/>
      <c r="I16" s="52" t="n"/>
    </row>
    <row r="17" ht="18" customHeight="1">
      <c r="A17" s="58" t="n"/>
      <c r="B17" s="59" t="n"/>
      <c r="C17" s="58" t="n"/>
      <c r="D17" s="59" t="n"/>
      <c r="E17" s="27" t="inlineStr">
        <is>
          <t>E-mail</t>
        </is>
      </c>
      <c r="F17" s="28" t="n"/>
      <c r="G17" s="54" t="n"/>
      <c r="H17" s="54" t="n"/>
      <c r="I17" s="52" t="n"/>
    </row>
    <row r="19" ht="19.5" customHeight="1">
      <c r="A19" s="26" t="inlineStr">
        <is>
          <t>VESSEL &amp; ENGINE INFORMATION</t>
        </is>
      </c>
      <c r="B19" s="54" t="n"/>
      <c r="C19" s="54" t="n"/>
      <c r="D19" s="54" t="n"/>
      <c r="E19" s="54" t="n"/>
      <c r="F19" s="54" t="n"/>
      <c r="G19" s="54" t="n"/>
      <c r="H19" s="54" t="n"/>
      <c r="I19" s="52" t="n"/>
    </row>
    <row r="20" ht="15" customHeight="1">
      <c r="A20" s="33" t="inlineStr">
        <is>
          <t>No.</t>
        </is>
      </c>
      <c r="B20" s="33" t="inlineStr">
        <is>
          <t>Vessel Name</t>
        </is>
      </c>
      <c r="C20" s="52" t="n"/>
      <c r="D20" s="33" t="inlineStr">
        <is>
          <t>IMO No.</t>
        </is>
      </c>
      <c r="E20" s="33" t="inlineStr">
        <is>
          <t>Builder (Shipyard)</t>
        </is>
      </c>
      <c r="F20" s="52" t="n"/>
      <c r="G20" s="33" t="inlineStr">
        <is>
          <t>Main Engine</t>
        </is>
      </c>
      <c r="H20" s="54" t="n"/>
      <c r="I20" s="52" t="n"/>
    </row>
    <row r="21" ht="15" customHeight="1">
      <c r="A21" s="50" t="n">
        <v>1</v>
      </c>
      <c r="B21" s="28" t="inlineStr">
        <is>
          <t>AEOLUS</t>
        </is>
      </c>
      <c r="C21" s="52" t="n"/>
      <c r="D21" s="34" t="inlineStr">
        <is>
          <t>9958298</t>
        </is>
      </c>
      <c r="E21" s="34" t="inlineStr">
        <is>
          <t>Hanhwa ocean</t>
        </is>
      </c>
      <c r="F21" s="52" t="n"/>
      <c r="G21" s="34" t="inlineStr">
        <is>
          <t>MAN B&amp;W 5G70ME-C10.5-GA x 2 sets</t>
        </is>
      </c>
      <c r="H21" s="54" t="n"/>
      <c r="I21" s="52" t="n"/>
    </row>
    <row r="22" ht="15" customHeight="1">
      <c r="A22" s="50" t="n">
        <v>2</v>
      </c>
      <c r="B22" s="28" t="inlineStr">
        <is>
          <t>MELICERTES</t>
        </is>
      </c>
      <c r="C22" s="52" t="n"/>
      <c r="D22" s="34" t="inlineStr">
        <is>
          <t>9958303</t>
        </is>
      </c>
      <c r="E22" s="34" t="inlineStr">
        <is>
          <t>Hanhwa ocean</t>
        </is>
      </c>
      <c r="F22" s="52" t="n"/>
      <c r="G22" s="34" t="inlineStr">
        <is>
          <t>MAN B&amp;W 5G70ME-C10.5-GA x 2 sets</t>
        </is>
      </c>
      <c r="H22" s="54" t="n"/>
      <c r="I22" s="52" t="n"/>
    </row>
    <row r="23" ht="15" customHeight="1">
      <c r="A23" s="50" t="n">
        <v>3</v>
      </c>
      <c r="B23" s="28" t="inlineStr">
        <is>
          <t>NELEUS</t>
        </is>
      </c>
      <c r="C23" s="52" t="n"/>
      <c r="D23" s="34" t="inlineStr">
        <is>
          <t>9958315</t>
        </is>
      </c>
      <c r="E23" s="34" t="inlineStr">
        <is>
          <t>Hanhwa ocean</t>
        </is>
      </c>
      <c r="F23" s="52" t="n"/>
      <c r="G23" s="34" t="inlineStr">
        <is>
          <t>MAN B&amp;W 5G70ME-C10.5-GA x 2 sets</t>
        </is>
      </c>
      <c r="H23" s="54" t="n"/>
      <c r="I23" s="52" t="n"/>
    </row>
    <row r="24" ht="15" customHeight="1">
      <c r="A24" s="50" t="n">
        <v>4</v>
      </c>
      <c r="B24" s="28" t="inlineStr">
        <is>
          <t>ONEIROI</t>
        </is>
      </c>
      <c r="C24" s="52" t="n"/>
      <c r="D24" s="34" t="inlineStr">
        <is>
          <t>9958327</t>
        </is>
      </c>
      <c r="E24" s="34" t="inlineStr">
        <is>
          <t>Hanhwa ocean</t>
        </is>
      </c>
      <c r="F24" s="52" t="n"/>
      <c r="G24" s="34" t="inlineStr">
        <is>
          <t>MAN B&amp;W 5G70ME-C10.5-GA x 2 sets</t>
        </is>
      </c>
      <c r="H24" s="54" t="n"/>
      <c r="I24" s="52" t="n"/>
    </row>
    <row r="26" ht="19.5" customHeight="1">
      <c r="A26" s="26" t="inlineStr">
        <is>
          <t>ORDER DETAILS</t>
        </is>
      </c>
      <c r="B26" s="54" t="n"/>
      <c r="C26" s="54" t="n"/>
      <c r="D26" s="54" t="n"/>
      <c r="E26" s="54" t="n"/>
      <c r="F26" s="54" t="n"/>
      <c r="G26" s="54" t="n"/>
      <c r="H26" s="54" t="n"/>
      <c r="I26" s="52" t="n"/>
    </row>
    <row r="27" ht="30" customHeight="1">
      <c r="A27" s="33" t="inlineStr">
        <is>
          <t>No.</t>
        </is>
      </c>
      <c r="B27" s="33" t="inlineStr">
        <is>
          <t>Vessel</t>
        </is>
      </c>
      <c r="C27" s="33" t="inlineStr">
        <is>
          <t>Description</t>
        </is>
      </c>
      <c r="D27" s="33" t="inlineStr">
        <is>
          <t>Part No. /
Dwg No.</t>
        </is>
      </c>
      <c r="E27" s="33" t="inlineStr">
        <is>
          <t>Category</t>
        </is>
      </c>
      <c r="F27" s="33" t="inlineStr">
        <is>
          <t>Q'ty</t>
        </is>
      </c>
      <c r="G27" s="33" t="inlineStr">
        <is>
          <t>Unit</t>
        </is>
      </c>
      <c r="H27" s="33">
        <f>"Unit Price"&amp;CHAR(10)&amp;"("&amp;$I$4&amp;")"</f>
        <v/>
      </c>
      <c r="I27" s="33">
        <f>"Amount"&amp;CHAR(10)&amp;"("&amp;$I$4&amp;")"</f>
        <v/>
      </c>
    </row>
    <row r="28" ht="45" customHeight="1">
      <c r="A28" s="50" t="n">
        <v>1</v>
      </c>
      <c r="B28" s="34" t="inlineStr">
        <is>
          <t>MELICERTES</t>
        </is>
      </c>
      <c r="C28" s="28" t="inlineStr">
        <is>
          <t>SD Card for EGR O2 sensors
WAGO 1 GB industrial grade
SD card</t>
        </is>
      </c>
      <c r="D28" s="34" t="inlineStr">
        <is>
          <t>758-879/000-000</t>
        </is>
      </c>
      <c r="E28" s="34" t="n"/>
      <c r="F28" s="7" t="n">
        <v>3</v>
      </c>
      <c r="G28" s="34" t="inlineStr">
        <is>
          <t>PC</t>
        </is>
      </c>
      <c r="H28" s="69" t="n">
        <v>174.41</v>
      </c>
      <c r="I28" s="70">
        <f>IF(OR(F28="",H28=""),"",F28*H28)</f>
        <v/>
      </c>
    </row>
    <row r="29" ht="30" customHeight="1">
      <c r="A29" s="50" t="n">
        <v>2</v>
      </c>
      <c r="B29" s="34" t="n"/>
      <c r="C29" s="28" t="n"/>
      <c r="D29" s="34" t="n"/>
      <c r="E29" s="34" t="n"/>
      <c r="F29" s="7" t="n"/>
      <c r="G29" s="34" t="n"/>
      <c r="H29" s="69" t="n"/>
      <c r="I29" s="70">
        <f>IF(OR(F29="",H29=""),"",F29*H29)</f>
        <v/>
      </c>
    </row>
    <row r="30" ht="30" customHeight="1">
      <c r="A30" s="50" t="n">
        <v>3</v>
      </c>
      <c r="B30" s="34" t="n"/>
      <c r="C30" s="28" t="n"/>
      <c r="D30" s="34" t="n"/>
      <c r="E30" s="34" t="n"/>
      <c r="F30" s="7" t="n"/>
      <c r="G30" s="34" t="n"/>
      <c r="H30" s="69" t="n"/>
      <c r="I30" s="70">
        <f>IF(OR(F30="",H30=""),"",F30*H30)</f>
        <v/>
      </c>
    </row>
    <row r="31" ht="30" customHeight="1">
      <c r="A31" s="50" t="n">
        <v>4</v>
      </c>
      <c r="B31" s="34" t="n"/>
      <c r="C31" s="28" t="n"/>
      <c r="D31" s="34" t="n"/>
      <c r="E31" s="34" t="n"/>
      <c r="F31" s="7" t="n"/>
      <c r="G31" s="34" t="n"/>
      <c r="H31" s="69" t="n"/>
      <c r="I31" s="70">
        <f>IF(OR(F31="",H31=""),"",F31*H31)</f>
        <v/>
      </c>
    </row>
    <row r="32" ht="18" customHeight="1">
      <c r="A32" s="50" t="n">
        <v>5</v>
      </c>
      <c r="B32" s="34" t="n"/>
      <c r="C32" s="28" t="n"/>
      <c r="D32" s="34" t="n"/>
      <c r="E32" s="34" t="n"/>
      <c r="F32" s="7" t="n"/>
      <c r="G32" s="34" t="n"/>
      <c r="H32" s="69" t="n"/>
      <c r="I32" s="70">
        <f>IF(OR(F32="",H32=""),"",F32*H32)</f>
        <v/>
      </c>
    </row>
    <row r="33" ht="18" customHeight="1">
      <c r="A33" s="50" t="n">
        <v>6</v>
      </c>
      <c r="B33" s="34" t="n"/>
      <c r="C33" s="28" t="n"/>
      <c r="D33" s="34" t="n"/>
      <c r="E33" s="34" t="n"/>
      <c r="F33" s="7" t="n"/>
      <c r="G33" s="34" t="n"/>
      <c r="H33" s="69" t="n"/>
      <c r="I33" s="70">
        <f>IF(OR(F33="",H33=""),"",F33*H33)</f>
        <v/>
      </c>
    </row>
    <row r="34" ht="18" customHeight="1">
      <c r="A34" s="50" t="n">
        <v>7</v>
      </c>
      <c r="B34" s="34" t="n"/>
      <c r="C34" s="28" t="n"/>
      <c r="D34" s="34" t="n"/>
      <c r="E34" s="34" t="n"/>
      <c r="F34" s="7" t="n"/>
      <c r="G34" s="34" t="n"/>
      <c r="H34" s="69" t="n"/>
      <c r="I34" s="70">
        <f>IF(OR(F34="",H34=""),"",F34*H34)</f>
        <v/>
      </c>
    </row>
    <row r="35" ht="18" customHeight="1">
      <c r="A35" s="50" t="n">
        <v>8</v>
      </c>
      <c r="B35" s="34" t="n"/>
      <c r="C35" s="28" t="n"/>
      <c r="D35" s="34" t="n"/>
      <c r="E35" s="34" t="n"/>
      <c r="F35" s="7" t="n"/>
      <c r="G35" s="34" t="n"/>
      <c r="H35" s="69" t="n"/>
      <c r="I35" s="70">
        <f>IF(OR(F35="",H35=""),"",F35*H35)</f>
        <v/>
      </c>
    </row>
    <row r="36" ht="18" customHeight="1">
      <c r="A36" s="50" t="n">
        <v>9</v>
      </c>
      <c r="B36" s="34" t="n"/>
      <c r="C36" s="28" t="n"/>
      <c r="D36" s="34" t="n"/>
      <c r="E36" s="34" t="n"/>
      <c r="F36" s="7" t="n"/>
      <c r="G36" s="34" t="n"/>
      <c r="H36" s="69" t="n"/>
      <c r="I36" s="70">
        <f>IF(OR(F36="",H36=""),"",F36*H36)</f>
        <v/>
      </c>
    </row>
    <row r="37" ht="18" customHeight="1">
      <c r="A37" s="50" t="n">
        <v>10</v>
      </c>
      <c r="B37" s="34" t="n"/>
      <c r="C37" s="28" t="n"/>
      <c r="D37" s="34" t="n"/>
      <c r="E37" s="34" t="n"/>
      <c r="F37" s="7" t="n"/>
      <c r="G37" s="34" t="n"/>
      <c r="H37" s="69" t="n"/>
      <c r="I37" s="70">
        <f>IF(OR(F37="",H37=""),"",F37*H37)</f>
        <v/>
      </c>
    </row>
    <row r="38" ht="18" customHeight="1">
      <c r="A38" s="50" t="n">
        <v>11</v>
      </c>
      <c r="B38" s="34" t="n"/>
      <c r="C38" s="28" t="n"/>
      <c r="D38" s="34" t="n"/>
      <c r="E38" s="34" t="n"/>
      <c r="F38" s="7" t="n"/>
      <c r="G38" s="34" t="n"/>
      <c r="H38" s="69" t="n"/>
      <c r="I38" s="70">
        <f>IF(OR(F38="",H38=""),"",F38*H38)</f>
        <v/>
      </c>
    </row>
    <row r="39" ht="18.75" customHeight="1">
      <c r="A39" s="35" t="inlineStr">
        <is>
          <t>※ Please state the PO No. and Vessel Name on all Invoices, Packing Lists and Delivery Notes.</t>
        </is>
      </c>
      <c r="B39" s="62" t="n"/>
      <c r="C39" s="62" t="n"/>
      <c r="D39" s="62" t="n"/>
      <c r="E39" s="55" t="n"/>
      <c r="F39" s="27" t="inlineStr">
        <is>
          <t>Sub Total</t>
        </is>
      </c>
      <c r="G39" s="54" t="n"/>
      <c r="H39" s="71" t="n"/>
      <c r="I39" s="72">
        <f>SUM(I28:I38)</f>
        <v/>
      </c>
    </row>
    <row r="40" ht="18.75" customHeight="1">
      <c r="A40" s="56" t="n"/>
      <c r="E40" s="57" t="n"/>
      <c r="F40" s="27" t="inlineStr">
        <is>
          <t>Discount</t>
        </is>
      </c>
      <c r="G40" s="54" t="n"/>
      <c r="H40" s="71" t="n"/>
      <c r="I40" s="69" t="n">
        <v>0</v>
      </c>
    </row>
    <row r="41" ht="18.75" customHeight="1">
      <c r="A41" s="56" t="n"/>
      <c r="E41" s="57" t="n"/>
      <c r="F41" s="27" t="inlineStr">
        <is>
          <t>VAT</t>
        </is>
      </c>
      <c r="G41" s="52" t="n"/>
      <c r="H41" s="8" t="n">
        <v>0</v>
      </c>
      <c r="I41" s="70">
        <f>ROUND((I39-I40)*H41,2)</f>
        <v/>
      </c>
    </row>
    <row r="42" ht="18.75" customHeight="1">
      <c r="A42" s="58" t="n"/>
      <c r="B42" s="64" t="n"/>
      <c r="C42" s="64" t="n"/>
      <c r="D42" s="64" t="n"/>
      <c r="E42" s="59" t="n"/>
      <c r="F42" s="26">
        <f>"TOTAL ("&amp;$I$4&amp;")"</f>
        <v/>
      </c>
      <c r="G42" s="54" t="n"/>
      <c r="H42" s="71" t="n"/>
      <c r="I42" s="73">
        <f>I39-I40+I41</f>
        <v/>
      </c>
    </row>
    <row r="44" ht="19.5" customHeight="1">
      <c r="A44" s="26" t="inlineStr">
        <is>
          <t>TERMS &amp; CONDITIONS</t>
        </is>
      </c>
      <c r="B44" s="54" t="n"/>
      <c r="C44" s="54" t="n"/>
      <c r="D44" s="54" t="n"/>
      <c r="E44" s="54" t="n"/>
      <c r="F44" s="54" t="n"/>
      <c r="G44" s="54" t="n"/>
      <c r="H44" s="54" t="n"/>
      <c r="I44" s="52" t="n"/>
    </row>
    <row r="45" ht="18.75" customHeight="1">
      <c r="A45" s="27" t="inlineStr">
        <is>
          <t>Wanted Delivery Date</t>
        </is>
      </c>
      <c r="B45" s="54" t="n"/>
      <c r="C45" s="52" t="n"/>
      <c r="D45" s="66" t="n">
        <v>46365</v>
      </c>
      <c r="E45" s="54" t="n"/>
      <c r="F45" s="54" t="n"/>
      <c r="G45" s="54" t="n"/>
      <c r="H45" s="54" t="n"/>
      <c r="I45" s="52" t="n"/>
    </row>
    <row r="46" ht="27" customHeight="1">
      <c r="A46" s="27" t="inlineStr">
        <is>
          <t>Delivery Place</t>
        </is>
      </c>
      <c r="B46" s="54" t="n"/>
      <c r="C46" s="52" t="n"/>
      <c r="D46" s="28" t="inlineStr">
        <is>
          <t>Marinetrans Benelux B.V., Changiweg 14, 1437 EP Rozenburg, The Netherlands</t>
        </is>
      </c>
      <c r="E46" s="54" t="n"/>
      <c r="F46" s="54" t="n"/>
      <c r="G46" s="54" t="n"/>
      <c r="H46" s="54" t="n"/>
      <c r="I46" s="52" t="n"/>
    </row>
    <row r="47" ht="18.75" customHeight="1">
      <c r="A47" s="27" t="inlineStr">
        <is>
          <t>Delivery Terms</t>
        </is>
      </c>
      <c r="B47" s="54" t="n"/>
      <c r="C47" s="52" t="n"/>
      <c r="D47" s="28" t="inlineStr">
        <is>
          <t>DAP Rozenburg (delivered to Marinetrans Benelux B.V.) – supplier to confirm</t>
        </is>
      </c>
      <c r="E47" s="54" t="n"/>
      <c r="F47" s="54" t="n"/>
      <c r="G47" s="54" t="n"/>
      <c r="H47" s="54" t="n"/>
      <c r="I47" s="52" t="n"/>
    </row>
    <row r="48" ht="18.75" customHeight="1">
      <c r="A48" s="27" t="inlineStr">
        <is>
          <t>Payment Terms</t>
        </is>
      </c>
      <c r="B48" s="54" t="n"/>
      <c r="C48" s="52" t="n"/>
      <c r="D48" s="28" t="inlineStr">
        <is>
          <t>30 days after receipt of goods &amp; invoice</t>
        </is>
      </c>
      <c r="E48" s="54" t="n"/>
      <c r="F48" s="54" t="n"/>
      <c r="G48" s="54" t="n"/>
      <c r="H48" s="54" t="n"/>
      <c r="I48" s="52" t="n"/>
    </row>
    <row r="49" ht="18.75" customHeight="1">
      <c r="A49" s="27" t="inlineStr">
        <is>
          <t>Quality</t>
        </is>
      </c>
      <c r="B49" s="54" t="n"/>
      <c r="C49" s="52" t="n"/>
      <c r="D49" s="28" t="inlineStr">
        <is>
          <t>Genuine parts (Maker's original) only</t>
        </is>
      </c>
      <c r="E49" s="54" t="n"/>
      <c r="F49" s="54" t="n"/>
      <c r="G49" s="54" t="n"/>
      <c r="H49" s="54" t="n"/>
      <c r="I49" s="52" t="n"/>
    </row>
    <row r="50" ht="18.75" customHeight="1">
      <c r="A50" s="27" t="inlineStr">
        <is>
          <t>Required Documents</t>
        </is>
      </c>
      <c r="B50" s="54" t="n"/>
      <c r="C50" s="52" t="n"/>
      <c r="D50" s="28" t="inlineStr">
        <is>
          <t>Commercial Invoice, Packing List, Certificate of Origin, Maker's Certificate</t>
        </is>
      </c>
      <c r="E50" s="54" t="n"/>
      <c r="F50" s="54" t="n"/>
      <c r="G50" s="54" t="n"/>
      <c r="H50" s="54" t="n"/>
      <c r="I50" s="52" t="n"/>
    </row>
    <row r="51" ht="18.75" customHeight="1">
      <c r="A51" s="27" t="inlineStr">
        <is>
          <t>Warranty</t>
        </is>
      </c>
      <c r="B51" s="54" t="n"/>
      <c r="C51" s="52" t="n"/>
      <c r="D51" s="41" t="inlineStr">
        <is>
          <t>Availability to be confirmed</t>
        </is>
      </c>
      <c r="E51" s="54" t="n"/>
      <c r="F51" s="54" t="n"/>
      <c r="G51" s="54" t="n"/>
      <c r="H51" s="54" t="n"/>
      <c r="I51" s="52" t="n"/>
    </row>
    <row r="52" ht="18.75" customHeight="1">
      <c r="A52" s="27" t="inlineStr">
        <is>
          <t>Packing &amp; Marking</t>
        </is>
      </c>
      <c r="B52" s="54" t="n"/>
      <c r="C52" s="52" t="n"/>
      <c r="D52" s="28" t="inlineStr">
        <is>
          <t>Seaworthy packing / PO No. &amp; vessel name on each package</t>
        </is>
      </c>
      <c r="E52" s="54" t="n"/>
      <c r="F52" s="54" t="n"/>
      <c r="G52" s="54" t="n"/>
      <c r="H52" s="54" t="n"/>
      <c r="I52" s="52" t="n"/>
    </row>
    <row r="54" ht="19.5" customHeight="1">
      <c r="A54" s="26" t="inlineStr">
        <is>
          <t>REMARKS</t>
        </is>
      </c>
      <c r="B54" s="54" t="n"/>
      <c r="C54" s="54" t="n"/>
      <c r="D54" s="54" t="n"/>
      <c r="E54" s="54" t="n"/>
      <c r="F54" s="54" t="n"/>
      <c r="G54" s="54" t="n"/>
      <c r="H54" s="54" t="n"/>
      <c r="I54" s="52" t="n"/>
    </row>
    <row r="55" ht="30" customHeight="1">
      <c r="A55" s="67">
        <f>"1. This order is placed by IOB Co., Ltd. as purchasing agent (C/O) on behalf of the Buyer (shipowner) and the vessel(s) named above, under the ship management agreement. IOB is not the actual purchaser or the recipient of the goods; payment is made by IOB on behalf of the Buyer upon the Buyer's authorization."&amp;CHAR(10)&amp;"2. Please address the Commercial Invoice to the Buyer, state the vessel name and IMO No., and add the following remark: 'Payment made by IOB Co., Ltd. on behalf of "&amp;C8&amp;" under the ship management agreement.'"&amp;CHAR(10)&amp;"3. For goods to be loaded onto vessels at Korean ports, the customs loading permit (ship's stores) must be completed before loading, and copies of the loading completion certificate and Delivery Receipt shall be submitted to IOB after delivery."</f>
        <v/>
      </c>
      <c r="B55" s="62" t="n"/>
      <c r="C55" s="62" t="n"/>
      <c r="D55" s="62" t="n"/>
      <c r="E55" s="62" t="n"/>
      <c r="F55" s="62" t="n"/>
      <c r="G55" s="62" t="n"/>
      <c r="H55" s="62" t="n"/>
      <c r="I55" s="55" t="n"/>
    </row>
    <row r="56" ht="30" customHeight="1">
      <c r="A56" s="56" t="n"/>
      <c r="I56" s="57" t="n"/>
    </row>
    <row r="57" ht="30" customHeight="1">
      <c r="A57" s="58" t="n"/>
      <c r="B57" s="64" t="n"/>
      <c r="C57" s="64" t="n"/>
      <c r="D57" s="64" t="n"/>
      <c r="E57" s="64" t="n"/>
      <c r="F57" s="64" t="n"/>
      <c r="G57" s="64" t="n"/>
      <c r="H57" s="64" t="n"/>
      <c r="I57" s="59" t="n"/>
    </row>
    <row r="59" ht="15" customHeight="1">
      <c r="A59" s="43" t="inlineStr">
        <is>
          <t>GENERAL CONDITIONS</t>
        </is>
      </c>
    </row>
    <row r="60" ht="24" customHeight="1">
      <c r="A60" s="68" t="inlineStr">
        <is>
          <t>1. The Supplier shall sign (and stamp) the Supplier Acceptance section below and return it (Order Confirmation) within 3 business days of receiving this Purchase Order. Signing constitutes acceptance of the Remarks above.</t>
        </is>
      </c>
    </row>
    <row r="61" ht="15" customHeight="1">
      <c r="A61" s="44" t="inlineStr">
        <is>
          <t>2. Items differing from this order (including substitutes and non-genuine parts) shall not be delivered without the Buyer's prior written approval.</t>
        </is>
      </c>
    </row>
    <row r="62" ht="15" customHeight="1">
      <c r="A62" s="44" t="inlineStr">
        <is>
          <t>3. If a delivery delay is expected, the Supplier shall notify the Buyer in writing immediately.</t>
        </is>
      </c>
    </row>
    <row r="63" ht="15" customHeight="1">
      <c r="A63" s="44" t="inlineStr">
        <is>
          <t>4. Any matters not specified in this Purchase Order shall be settled by mutual agreement.</t>
        </is>
      </c>
    </row>
    <row r="65" ht="15" customHeight="1">
      <c r="A65" s="45" t="inlineStr">
        <is>
          <t>ISSUED BY</t>
        </is>
      </c>
      <c r="B65" s="54" t="n"/>
      <c r="C65" s="54" t="n"/>
      <c r="D65" s="52" t="n"/>
      <c r="F65" s="45" t="inlineStr">
        <is>
          <t>ACCEPTED BY</t>
        </is>
      </c>
      <c r="G65" s="54" t="n"/>
      <c r="H65" s="54" t="n"/>
      <c r="I65" s="52" t="n"/>
    </row>
    <row r="66" ht="19.5" customHeight="1">
      <c r="A66" s="27" t="inlineStr">
        <is>
          <t>Company</t>
        </is>
      </c>
      <c r="B66" s="52" t="n"/>
      <c r="C66" s="28" t="inlineStr">
        <is>
          <t>IOB CO., LTD.</t>
        </is>
      </c>
      <c r="D66" s="52" t="n"/>
      <c r="F66" s="27" t="inlineStr">
        <is>
          <t>Company</t>
        </is>
      </c>
      <c r="G66" s="52" t="n"/>
      <c r="H66" s="46" t="n"/>
      <c r="I66" s="52" t="n"/>
    </row>
    <row r="67" ht="19.5" customHeight="1">
      <c r="A67" s="27" t="inlineStr">
        <is>
          <t>Name / Title</t>
        </is>
      </c>
      <c r="B67" s="52" t="n"/>
      <c r="C67" s="28" t="inlineStr">
        <is>
          <t>JEONG, Peter</t>
        </is>
      </c>
      <c r="D67" s="52" t="n"/>
      <c r="F67" s="27" t="inlineStr">
        <is>
          <t>Name / Title</t>
        </is>
      </c>
      <c r="G67" s="52" t="n"/>
      <c r="H67" s="46" t="n"/>
      <c r="I67" s="52" t="n"/>
    </row>
    <row r="68" ht="48" customHeight="1">
      <c r="A68" s="27" t="inlineStr">
        <is>
          <t>Signature / Seal</t>
        </is>
      </c>
      <c r="B68" s="52" t="n"/>
      <c r="C68" s="49" t="inlineStr">
        <is>
          <t xml:space="preserve">     </t>
        </is>
      </c>
      <c r="D68" s="52" t="n"/>
      <c r="F68" s="27" t="inlineStr">
        <is>
          <t>Signature / Seal</t>
        </is>
      </c>
      <c r="G68" s="52" t="n"/>
      <c r="H68" s="50" t="n"/>
      <c r="I68" s="52" t="n"/>
    </row>
    <row r="69" ht="19.5" customHeight="1">
      <c r="A69" s="27" t="inlineStr">
        <is>
          <t>Date</t>
        </is>
      </c>
      <c r="B69" s="52" t="n"/>
      <c r="C69" s="53" t="n">
        <v>46323</v>
      </c>
      <c r="D69" s="52" t="n"/>
      <c r="F69" s="27" t="inlineStr">
        <is>
          <t>Date</t>
        </is>
      </c>
      <c r="G69" s="52" t="n"/>
      <c r="H69" s="46" t="n"/>
      <c r="I69" s="52" t="n"/>
    </row>
  </sheetData>
  <mergeCells count="91">
    <mergeCell ref="A15:B15"/>
    <mergeCell ref="A46:C46"/>
    <mergeCell ref="C15:D15"/>
    <mergeCell ref="F68:G68"/>
    <mergeCell ref="E23:F23"/>
    <mergeCell ref="B22:C22"/>
    <mergeCell ref="G24:I24"/>
    <mergeCell ref="B21:C21"/>
    <mergeCell ref="A2:I2"/>
    <mergeCell ref="F16:I16"/>
    <mergeCell ref="F39:H39"/>
    <mergeCell ref="A62:I62"/>
    <mergeCell ref="A52:C52"/>
    <mergeCell ref="A19:I19"/>
    <mergeCell ref="A7:D7"/>
    <mergeCell ref="F15:I15"/>
    <mergeCell ref="A59:I59"/>
    <mergeCell ref="B24:C24"/>
    <mergeCell ref="A49:C49"/>
    <mergeCell ref="E7:I7"/>
    <mergeCell ref="C67:D67"/>
    <mergeCell ref="A68:B68"/>
    <mergeCell ref="D45:I45"/>
    <mergeCell ref="E22:F22"/>
    <mergeCell ref="A61:I61"/>
    <mergeCell ref="C69:D69"/>
    <mergeCell ref="C9:D12"/>
    <mergeCell ref="E5:F5"/>
    <mergeCell ref="A26:I26"/>
    <mergeCell ref="H68:I68"/>
    <mergeCell ref="E4:F4"/>
    <mergeCell ref="F66:G66"/>
    <mergeCell ref="H69:I69"/>
    <mergeCell ref="D51:I51"/>
    <mergeCell ref="A63:I63"/>
    <mergeCell ref="A39:E42"/>
    <mergeCell ref="D50:I50"/>
    <mergeCell ref="A8:B8"/>
    <mergeCell ref="C8:D8"/>
    <mergeCell ref="A51:C51"/>
    <mergeCell ref="A16:B17"/>
    <mergeCell ref="F17:I17"/>
    <mergeCell ref="C16:D17"/>
    <mergeCell ref="A1:I1"/>
    <mergeCell ref="C66:D66"/>
    <mergeCell ref="F40:H40"/>
    <mergeCell ref="C68:D68"/>
    <mergeCell ref="F9:I9"/>
    <mergeCell ref="D48:I48"/>
    <mergeCell ref="A50:C50"/>
    <mergeCell ref="A69:B69"/>
    <mergeCell ref="E20:F20"/>
    <mergeCell ref="A47:C47"/>
    <mergeCell ref="A14:I14"/>
    <mergeCell ref="G20:I20"/>
    <mergeCell ref="F10:I10"/>
    <mergeCell ref="A9:B12"/>
    <mergeCell ref="G22:I22"/>
    <mergeCell ref="A5:B5"/>
    <mergeCell ref="A65:D65"/>
    <mergeCell ref="H66:I66"/>
    <mergeCell ref="G21:I21"/>
    <mergeCell ref="A4:B4"/>
    <mergeCell ref="E21:F21"/>
    <mergeCell ref="F8:I8"/>
    <mergeCell ref="B20:C20"/>
    <mergeCell ref="G23:I23"/>
    <mergeCell ref="A67:B67"/>
    <mergeCell ref="D52:I52"/>
    <mergeCell ref="D49:I49"/>
    <mergeCell ref="F69:G69"/>
    <mergeCell ref="H67:I67"/>
    <mergeCell ref="F42:H42"/>
    <mergeCell ref="E24:F24"/>
    <mergeCell ref="A55:I57"/>
    <mergeCell ref="D47:I47"/>
    <mergeCell ref="F11:I11"/>
    <mergeCell ref="B23:C23"/>
    <mergeCell ref="A66:B66"/>
    <mergeCell ref="F65:I65"/>
    <mergeCell ref="F41:G41"/>
    <mergeCell ref="A44:I44"/>
    <mergeCell ref="F12:I12"/>
    <mergeCell ref="G5:H5"/>
    <mergeCell ref="A48:C48"/>
    <mergeCell ref="F67:G67"/>
    <mergeCell ref="G4:H4"/>
    <mergeCell ref="A45:C45"/>
    <mergeCell ref="D46:I46"/>
    <mergeCell ref="A60:I60"/>
    <mergeCell ref="A54:I54"/>
  </mergeCells>
  <dataValidations count="4">
    <dataValidation sqref="B28:B38" showDropDown="0" showInputMessage="0" showErrorMessage="0" allowBlank="1" type="list">
      <formula1>"AEOLUS,MELICERTES,NELEUS,ONEIROI,ALL (4 vessels)"</formula1>
      <formula2>0</formula2>
    </dataValidation>
    <dataValidation sqref="E28:E38" showDropDown="0" showInputMessage="0" showErrorMessage="0" allowBlank="1" type="list">
      <formula1>"Damaged parts,Future maintenance"</formula1>
      <formula2>0</formula2>
    </dataValidation>
    <dataValidation sqref="G28:G38" showDropDown="0" showInputMessage="0" showErrorMessage="0" allowBlank="1" type="list">
      <formula1>"PC,SET,EA,KG,M,L"</formula1>
      <formula2>0</formula2>
    </dataValidation>
    <dataValidation sqref="H41" showDropDown="0" showInputMessage="0" showErrorMessage="0" allowBlank="1" type="decimal">
      <formula1>0</formula1>
      <formula2>1</formula2>
    </dataValidation>
  </dataValidations>
  <hyperlinks>
    <hyperlink xmlns:r="http://schemas.openxmlformats.org/officeDocument/2006/relationships" ref="F12" r:id="rId1"/>
  </hyperlinks>
  <printOptions horizontalCentered="1"/>
  <pageMargins left="0.4" right="0.4" top="0.5" bottom="0.5" header="0.511811023622047" footer="0.5"/>
  <pageSetup orientation="portrait" paperSize="9" scale="58" verticalDpi="300"/>
  <headerFooter>
    <oddHeader/>
    <oddFooter>&amp;C&amp;"Malgun Gothic,Regular"&amp;8 Page &amp;P of &amp;N</oddFooter>
    <evenHeader/>
    <evenFooter/>
    <firstHeader/>
    <firstFooter/>
  </headerFooter>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2026-10-14T02:36:14Z</dcterms:created>
  <dcterms:modified xmlns:dcterms="http://purl.org/dc/terms/" xmlns:xsi="http://www.w3.org/2001/XMLSchema-instance" xsi:type="dcterms:W3CDTF">2026-10-28T07:54:31Z</dcterms:modified>
  <cp:lastModifiedBy>Jeong, Peter</cp:lastModifiedBy>
  <cp:revision>0</cp:revision>
  <cp:lastPrinted>2026-10-19T07:30:32Z</cp:lastPrinted>
</cp:coreProperties>
</file>