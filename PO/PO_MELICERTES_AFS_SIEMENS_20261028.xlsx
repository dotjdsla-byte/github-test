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3">
    <numFmt numFmtId="164" formatCode="#,##0_);\(#,##0\)"/>
    <numFmt numFmtId="165" formatCode="yyyy\-mm\-dd"/>
    <numFmt numFmtId="166" formatCode="#,##0.00;(#,##0.00);&quot;-&quot;"/>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74">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xf numFmtId="166" fontId="4" fillId="3" borderId="2" applyAlignment="1" pivotButton="0" quotePrefix="0" xfId="0">
      <alignment horizontal="right" vertical="center"/>
    </xf>
    <xf numFmtId="166" fontId="6" fillId="0" borderId="2" applyAlignment="1" pivotButton="0" quotePrefix="0" xfId="0">
      <alignment horizontal="right" vertical="center"/>
    </xf>
    <xf numFmtId="166" fontId="0" fillId="0" borderId="4" pivotButton="0" quotePrefix="0" xfId="0"/>
    <xf numFmtId="166" fontId="3" fillId="0" borderId="2" applyAlignment="1" pivotButton="0" quotePrefix="0" xfId="0">
      <alignment horizontal="right" vertical="center"/>
    </xf>
    <xf numFmtId="166" fontId="5" fillId="4" borderId="2" applyAlignment="1" pivotButton="0" quotePrefix="0" xfId="0">
      <alignment horizontal="right" vertical="center"/>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v>46323</v>
      </c>
      <c r="F4" s="52" t="n"/>
      <c r="G4" s="27" t="inlineStr">
        <is>
          <t>Currency</t>
        </is>
      </c>
      <c r="H4" s="52" t="n"/>
      <c r="I4" s="34" t="inlineStr">
        <is>
          <t>EUR</t>
        </is>
      </c>
    </row>
    <row r="5" ht="24.6" customHeight="1">
      <c r="A5" s="27" t="inlineStr">
        <is>
          <t>Quotation Ref.</t>
        </is>
      </c>
      <c r="B5" s="52" t="n"/>
      <c r="C5" s="28" t="inlineStr">
        <is>
          <t>AFS Q. 0000122668 (IOB RFQ-08 SIEMENS)</t>
        </is>
      </c>
      <c r="D5" s="27" t="inlineStr">
        <is>
          <t>Quotation Date</t>
        </is>
      </c>
      <c r="E5" s="53" t="n">
        <v>46317</v>
      </c>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inlineStr">
        <is>
          <t>AFS EUROPE</t>
        </is>
      </c>
      <c r="D15" s="52" t="n"/>
      <c r="E15" s="27" t="inlineStr">
        <is>
          <t>Contact</t>
        </is>
      </c>
      <c r="F15" s="28" t="n"/>
      <c r="G15" s="54" t="n"/>
      <c r="H15" s="54" t="n"/>
      <c r="I15" s="52" t="n"/>
    </row>
    <row r="16" ht="18" customHeight="1">
      <c r="A16" s="27" t="inlineStr">
        <is>
          <t>Address</t>
        </is>
      </c>
      <c r="B16" s="55" t="n"/>
      <c r="C16" s="28" t="inlineStr">
        <is>
          <t>FLORIJNSTRAAT 25, 2988 CL RIDDERKERK, THE NETHERLANDS
VAT No. NL817780300B01</t>
        </is>
      </c>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30" customHeight="1">
      <c r="A28" s="50" t="n">
        <v>1</v>
      </c>
      <c r="B28" s="34" t="inlineStr">
        <is>
          <t>MELICERTES</t>
        </is>
      </c>
      <c r="C28" s="28" t="inlineStr">
        <is>
          <t>I/P converter (Main engine)
SIEMENS SIPART PS2</t>
        </is>
      </c>
      <c r="D28" s="34" t="inlineStr">
        <is>
          <t>C73451-A430-D80</t>
        </is>
      </c>
      <c r="E28" s="34" t="n"/>
      <c r="F28" s="7" t="n">
        <v>2</v>
      </c>
      <c r="G28" s="34" t="inlineStr">
        <is>
          <t>PC</t>
        </is>
      </c>
      <c r="H28" s="69" t="n">
        <v>855.33</v>
      </c>
      <c r="I28" s="70">
        <f>IF(OR(F28="",H28=""),"",F28*H28)</f>
        <v/>
      </c>
    </row>
    <row r="29" ht="30" customHeight="1">
      <c r="A29" s="50" t="n">
        <v>2</v>
      </c>
      <c r="B29" s="34" t="n"/>
      <c r="C29" s="28" t="n"/>
      <c r="D29" s="34" t="n"/>
      <c r="E29" s="34" t="n"/>
      <c r="F29" s="7" t="n"/>
      <c r="G29" s="34" t="n"/>
      <c r="H29" s="69" t="n"/>
      <c r="I29" s="70">
        <f>IF(OR(F29="",H29=""),"",F29*H29)</f>
        <v/>
      </c>
    </row>
    <row r="30" ht="30" customHeight="1">
      <c r="A30" s="50" t="n">
        <v>3</v>
      </c>
      <c r="B30" s="34" t="n"/>
      <c r="C30" s="28" t="n"/>
      <c r="D30" s="34" t="n"/>
      <c r="E30" s="34" t="n"/>
      <c r="F30" s="7" t="n"/>
      <c r="G30" s="34" t="n"/>
      <c r="H30" s="69" t="n"/>
      <c r="I30" s="70">
        <f>IF(OR(F30="",H30=""),"",F30*H30)</f>
        <v/>
      </c>
    </row>
    <row r="31" ht="30" customHeight="1">
      <c r="A31" s="50" t="n">
        <v>4</v>
      </c>
      <c r="B31" s="34" t="n"/>
      <c r="C31" s="28" t="n"/>
      <c r="D31" s="34" t="n"/>
      <c r="E31" s="34" t="n"/>
      <c r="F31" s="7" t="n"/>
      <c r="G31" s="34" t="n"/>
      <c r="H31" s="69" t="n"/>
      <c r="I31" s="70">
        <f>IF(OR(F31="",H31=""),"",F31*H31)</f>
        <v/>
      </c>
    </row>
    <row r="32" ht="18" customHeight="1">
      <c r="A32" s="50" t="n">
        <v>5</v>
      </c>
      <c r="B32" s="34" t="n"/>
      <c r="C32" s="28" t="n"/>
      <c r="D32" s="34" t="n"/>
      <c r="E32" s="34" t="n"/>
      <c r="F32" s="7" t="n"/>
      <c r="G32" s="34" t="n"/>
      <c r="H32" s="69" t="n"/>
      <c r="I32" s="70">
        <f>IF(OR(F32="",H32=""),"",F32*H32)</f>
        <v/>
      </c>
    </row>
    <row r="33" ht="18" customHeight="1">
      <c r="A33" s="50" t="n">
        <v>6</v>
      </c>
      <c r="B33" s="34" t="n"/>
      <c r="C33" s="28" t="n"/>
      <c r="D33" s="34" t="n"/>
      <c r="E33" s="34" t="n"/>
      <c r="F33" s="7" t="n"/>
      <c r="G33" s="34" t="n"/>
      <c r="H33" s="69" t="n"/>
      <c r="I33" s="70">
        <f>IF(OR(F33="",H33=""),"",F33*H33)</f>
        <v/>
      </c>
    </row>
    <row r="34" ht="18" customHeight="1">
      <c r="A34" s="50" t="n">
        <v>7</v>
      </c>
      <c r="B34" s="34" t="n"/>
      <c r="C34" s="28" t="n"/>
      <c r="D34" s="34" t="n"/>
      <c r="E34" s="34" t="n"/>
      <c r="F34" s="7" t="n"/>
      <c r="G34" s="34" t="n"/>
      <c r="H34" s="69" t="n"/>
      <c r="I34" s="70">
        <f>IF(OR(F34="",H34=""),"",F34*H34)</f>
        <v/>
      </c>
    </row>
    <row r="35" ht="18" customHeight="1">
      <c r="A35" s="50" t="n">
        <v>8</v>
      </c>
      <c r="B35" s="34" t="n"/>
      <c r="C35" s="28" t="n"/>
      <c r="D35" s="34" t="n"/>
      <c r="E35" s="34" t="n"/>
      <c r="F35" s="7" t="n"/>
      <c r="G35" s="34" t="n"/>
      <c r="H35" s="69" t="n"/>
      <c r="I35" s="70">
        <f>IF(OR(F35="",H35=""),"",F35*H35)</f>
        <v/>
      </c>
    </row>
    <row r="36" ht="18" customHeight="1">
      <c r="A36" s="50" t="n">
        <v>9</v>
      </c>
      <c r="B36" s="34" t="n"/>
      <c r="C36" s="28" t="n"/>
      <c r="D36" s="34" t="n"/>
      <c r="E36" s="34" t="n"/>
      <c r="F36" s="7" t="n"/>
      <c r="G36" s="34" t="n"/>
      <c r="H36" s="69" t="n"/>
      <c r="I36" s="70">
        <f>IF(OR(F36="",H36=""),"",F36*H36)</f>
        <v/>
      </c>
    </row>
    <row r="37" ht="18" customHeight="1">
      <c r="A37" s="50" t="n">
        <v>10</v>
      </c>
      <c r="B37" s="34" t="n"/>
      <c r="C37" s="28" t="n"/>
      <c r="D37" s="34" t="n"/>
      <c r="E37" s="34" t="n"/>
      <c r="F37" s="7" t="n"/>
      <c r="G37" s="34" t="n"/>
      <c r="H37" s="69" t="n"/>
      <c r="I37" s="70">
        <f>IF(OR(F37="",H37=""),"",F37*H37)</f>
        <v/>
      </c>
    </row>
    <row r="38" ht="18" customHeight="1">
      <c r="A38" s="50" t="n">
        <v>11</v>
      </c>
      <c r="B38" s="34" t="n"/>
      <c r="C38" s="28" t="n"/>
      <c r="D38" s="34" t="n"/>
      <c r="E38" s="34" t="n"/>
      <c r="F38" s="7" t="n"/>
      <c r="G38" s="34" t="n"/>
      <c r="H38" s="69" t="n"/>
      <c r="I38" s="70">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71" t="n"/>
      <c r="I39" s="72">
        <f>SUM(I28:I38)</f>
        <v/>
      </c>
    </row>
    <row r="40" ht="18.75" customHeight="1">
      <c r="A40" s="56" t="n"/>
      <c r="E40" s="57" t="n"/>
      <c r="F40" s="27" t="inlineStr">
        <is>
          <t>Discount</t>
        </is>
      </c>
      <c r="G40" s="54" t="n"/>
      <c r="H40" s="71" t="n"/>
      <c r="I40" s="69" t="n">
        <v>0</v>
      </c>
    </row>
    <row r="41" ht="18.75" customHeight="1">
      <c r="A41" s="56" t="n"/>
      <c r="E41" s="57" t="n"/>
      <c r="F41" s="27" t="inlineStr">
        <is>
          <t>VAT</t>
        </is>
      </c>
      <c r="G41" s="52" t="n"/>
      <c r="H41" s="8" t="n">
        <v>0</v>
      </c>
      <c r="I41" s="70">
        <f>ROUND((I39-I40)*H41,2)</f>
        <v/>
      </c>
    </row>
    <row r="42" ht="18.75" customHeight="1">
      <c r="A42" s="58" t="n"/>
      <c r="B42" s="64" t="n"/>
      <c r="C42" s="64" t="n"/>
      <c r="D42" s="64" t="n"/>
      <c r="E42" s="59" t="n"/>
      <c r="F42" s="26">
        <f>"TOTAL ("&amp;$I$4&amp;")"</f>
        <v/>
      </c>
      <c r="G42" s="54" t="n"/>
      <c r="H42" s="71" t="n"/>
      <c r="I42" s="73">
        <f>I39-I40+I41</f>
        <v/>
      </c>
    </row>
    <row r="44" ht="19.5" customHeight="1">
      <c r="A44" s="26" t="inlineStr">
        <is>
          <t>TERMS &amp; CONDITIONS</t>
        </is>
      </c>
      <c r="B44" s="54" t="n"/>
      <c r="C44" s="54" t="n"/>
      <c r="D44" s="54" t="n"/>
      <c r="E44" s="54" t="n"/>
      <c r="F44" s="54" t="n"/>
      <c r="G44" s="54" t="n"/>
      <c r="H44" s="54" t="n"/>
      <c r="I44" s="52" t="n"/>
    </row>
    <row r="45" ht="18.75" customHeight="1">
      <c r="A45" s="27" t="inlineStr">
        <is>
          <t>Wanted Delivery Date</t>
        </is>
      </c>
      <c r="B45" s="54" t="n"/>
      <c r="C45" s="52" t="n"/>
      <c r="D45" s="66" t="n">
        <v>46337</v>
      </c>
      <c r="E45" s="54" t="n"/>
      <c r="F45" s="54" t="n"/>
      <c r="G45" s="54" t="n"/>
      <c r="H45" s="54" t="n"/>
      <c r="I45" s="52" t="n"/>
    </row>
    <row r="46" ht="27" customHeight="1">
      <c r="A46" s="27" t="inlineStr">
        <is>
          <t>Delivery Place</t>
        </is>
      </c>
      <c r="B46" s="54" t="n"/>
      <c r="C46" s="52" t="n"/>
      <c r="D46" s="28" t="inlineStr">
        <is>
          <t>Marinetrans Benelux B.V., Changiweg 14, 1437 EP Rozenburg, The Netherlands</t>
        </is>
      </c>
      <c r="E46" s="54" t="n"/>
      <c r="F46" s="54" t="n"/>
      <c r="G46" s="54" t="n"/>
      <c r="H46" s="54" t="n"/>
      <c r="I46" s="52" t="n"/>
    </row>
    <row r="47" ht="18.75" customHeight="1">
      <c r="A47" s="27" t="inlineStr">
        <is>
          <t>Delivery Terms</t>
        </is>
      </c>
      <c r="B47" s="54" t="n"/>
      <c r="C47" s="52" t="n"/>
      <c r="D47" s="28" t="inlineStr">
        <is>
          <t>DAP Rozenburg (delivered to Marinetrans Benelux B.V.) – supplier to confirm</t>
        </is>
      </c>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v>46323</v>
      </c>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2026-10-28T07:54:31Z</dcterms:modified>
  <cp:lastModifiedBy>Jeong, Peter</cp:lastModifiedBy>
  <cp:revision>0</cp:revision>
  <cp:lastPrinted>2026-10-19T07:30:32Z</cp:lastPrinted>
</cp:coreProperties>
</file>