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Purchase Order" sheetId="1" state="visible" r:id="rId1"/>
  </sheets>
  <definedNames>
    <definedName name="_xlnm.Print_Area" localSheetId="0">'Purchase Order'!$A$1:$I$68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yyyy\-mm\-dd"/>
    <numFmt numFmtId="166" formatCode="yyyy-mm-dd"/>
  </numFmts>
  <fonts count="30">
    <font>
      <name val="Calibri"/>
      <charset val="1"/>
      <family val="2"/>
      <color theme="1"/>
      <sz val="11"/>
    </font>
    <font>
      <name val="Malgun Gothic"/>
      <charset val="129"/>
      <family val="3"/>
      <b val="1"/>
      <color rgb="FF1F3864"/>
      <sz val="20"/>
    </font>
    <font>
      <name val="WenQuanYi Zen Hei"/>
      <family val="2"/>
      <b val="1"/>
      <color rgb="FF1F3864"/>
      <sz val="13"/>
    </font>
    <font>
      <name val="Malgun Gothic"/>
      <charset val="129"/>
      <family val="3"/>
      <b val="1"/>
      <color rgb="FF000000"/>
      <sz val="9"/>
    </font>
    <font>
      <name val="WenQuanYi Zen Hei"/>
      <family val="2"/>
      <b val="1"/>
      <color rgb="FF000000"/>
      <sz val="9"/>
    </font>
    <font>
      <name val="Malgun Gothic"/>
      <charset val="129"/>
      <family val="3"/>
      <color rgb="FF0000FF"/>
      <sz val="9"/>
    </font>
    <font>
      <name val="Malgun Gothic"/>
      <charset val="129"/>
      <family val="3"/>
      <b val="1"/>
      <color rgb="FFFFFFFF"/>
      <sz val="10"/>
    </font>
    <font>
      <name val="WenQuanYi Zen Hei"/>
      <family val="2"/>
      <b val="1"/>
      <color rgb="FFFFFFFF"/>
      <sz val="10"/>
    </font>
    <font>
      <name val="Malgun Gothic"/>
      <charset val="129"/>
      <family val="3"/>
      <color rgb="FF000000"/>
      <sz val="9"/>
    </font>
    <font>
      <name val="WenQuanYi Zen Hei"/>
      <family val="2"/>
      <i val="1"/>
      <color rgb="FF595959"/>
      <sz val="8"/>
    </font>
    <font>
      <name val="Malgun Gothic"/>
      <charset val="129"/>
      <family val="3"/>
      <i val="1"/>
      <color rgb="FF595959"/>
      <sz val="8"/>
    </font>
    <font>
      <name val="WenQuanYi Zen Hei"/>
      <family val="2"/>
      <color rgb="FF0000FF"/>
      <sz val="9"/>
    </font>
    <font>
      <name val="Malgun Gothic"/>
      <charset val="129"/>
      <family val="3"/>
      <b val="1"/>
      <color rgb="FF1F3864"/>
      <sz val="9"/>
    </font>
    <font>
      <name val="WenQuanYi Zen Hei"/>
      <family val="2"/>
      <b val="1"/>
      <color rgb="FF1F3864"/>
      <sz val="9"/>
    </font>
    <font>
      <name val="Malgun Gothic"/>
      <charset val="129"/>
      <family val="3"/>
      <color rgb="FF404040"/>
      <sz val="8"/>
    </font>
    <font>
      <name val="WenQuanYi Zen Hei"/>
      <family val="2"/>
      <color rgb="FF404040"/>
      <sz val="8"/>
    </font>
    <font>
      <name val="Arial"/>
      <family val="2"/>
      <sz val="10"/>
    </font>
    <font>
      <name val="WenQuanYi Zen Hei"/>
      <family val="2"/>
      <sz val="10"/>
    </font>
    <font>
      <name val="WenQuanYi Zen Hei"/>
      <family val="2"/>
      <b val="1"/>
      <color rgb="FF1F3864"/>
      <sz val="14"/>
    </font>
    <font>
      <name val="Malgun Gothic"/>
      <charset val="129"/>
      <family val="3"/>
      <b val="1"/>
      <color rgb="FF1F3864"/>
      <sz val="14"/>
    </font>
    <font>
      <name val="WenQuanYi Zen Hei"/>
      <family val="2"/>
      <b val="1"/>
      <color rgb="FF1F3864"/>
      <sz val="10"/>
    </font>
    <font>
      <name val="WenQuanYi Zen Hei"/>
      <family val="2"/>
      <color rgb="FF000000"/>
      <sz val="9"/>
    </font>
    <font>
      <name val="Malgun Gothic"/>
      <charset val="129"/>
      <family val="3"/>
      <b val="1"/>
      <color rgb="FF1F3864"/>
      <sz val="10"/>
    </font>
    <font>
      <name val="WenQuanYi Zen Hei"/>
      <family val="2"/>
      <i val="1"/>
      <color rgb="FF7F7F7F"/>
      <sz val="8"/>
    </font>
    <font>
      <name val="Malgun Gothic"/>
      <charset val="129"/>
      <family val="3"/>
      <i val="1"/>
      <color rgb="FF7F7F7F"/>
      <sz val="8"/>
    </font>
    <font>
      <name val="돋움"/>
      <charset val="129"/>
      <family val="3"/>
      <sz val="8"/>
    </font>
    <font>
      <name val="Calibri"/>
      <charset val="1"/>
      <family val="2"/>
      <color theme="10"/>
      <sz val="11"/>
      <u val="single"/>
    </font>
    <font>
      <name val="맑은 고딕"/>
      <charset val="129"/>
      <family val="3"/>
      <i val="1"/>
      <color rgb="FF595959"/>
      <sz val="8"/>
    </font>
    <font>
      <name val="Arial"/>
      <family val="2"/>
      <i val="1"/>
      <color rgb="FF595959"/>
      <sz val="8"/>
    </font>
    <font>
      <name val="WenQuanYi Zen Hei"/>
      <charset val="129"/>
      <family val="3"/>
      <i val="1"/>
      <color rgb="FF595959"/>
      <sz val="8"/>
    </font>
  </fonts>
  <fills count="6">
    <fill>
      <patternFill/>
    </fill>
    <fill>
      <patternFill patternType="gray125"/>
    </fill>
    <fill>
      <patternFill patternType="solid">
        <fgColor rgb="FFF2F2F2"/>
        <bgColor rgb="FFFFF9DB"/>
      </patternFill>
    </fill>
    <fill>
      <patternFill patternType="solid">
        <fgColor rgb="FFFFF9D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F2F2F2"/>
      </patternFill>
    </fill>
  </fills>
  <borders count="13">
    <border>
      <left/>
      <right/>
      <top/>
      <bottom/>
      <diagonal/>
    </border>
    <border>
      <left/>
      <right/>
      <top style="medium">
        <color rgb="FF1F38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/>
    <xf numFmtId="0" fontId="26" fillId="0" borderId="0"/>
  </cellStyleXfs>
  <cellXfs count="66">
    <xf numFmtId="0" fontId="0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 indent="1"/>
    </xf>
    <xf numFmtId="0" fontId="3" fillId="2" borderId="2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8" fillId="0" borderId="2" applyAlignment="1" pivotButton="0" quotePrefix="0" xfId="0">
      <alignment horizontal="center" vertical="center" wrapText="1"/>
    </xf>
    <xf numFmtId="3" fontId="5" fillId="3" borderId="2" applyAlignment="1" pivotButton="0" quotePrefix="0" xfId="0">
      <alignment horizontal="center" vertical="center" wrapText="1"/>
    </xf>
    <xf numFmtId="9" fontId="5" fillId="3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 wrapText="1" indent="1"/>
    </xf>
    <xf numFmtId="0" fontId="8" fillId="3" borderId="2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vertical="top" wrapText="1" indent="1"/>
    </xf>
    <xf numFmtId="0" fontId="8" fillId="0" borderId="2" applyAlignment="1" pivotButton="0" quotePrefix="0" xfId="0">
      <alignment vertical="top" wrapText="1" indent="1"/>
    </xf>
    <xf numFmtId="0" fontId="21" fillId="0" borderId="2" applyAlignment="1" pivotButton="0" quotePrefix="0" xfId="0">
      <alignment vertical="top" wrapText="1" indent="1"/>
    </xf>
    <xf numFmtId="0" fontId="5" fillId="0" borderId="2" applyAlignment="1" pivotButton="0" quotePrefix="0" xfId="0">
      <alignment horizontal="center" vertical="center" wrapText="1"/>
    </xf>
    <xf numFmtId="4" fontId="5" fillId="0" borderId="2" applyAlignment="1" pivotButton="0" quotePrefix="0" xfId="0">
      <alignment horizontal="center" vertical="center" wrapText="1"/>
    </xf>
    <xf numFmtId="4" fontId="8" fillId="0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164" fontId="5" fillId="3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 wrapText="1" indent="1"/>
    </xf>
    <xf numFmtId="165" fontId="5" fillId="3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4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left" vertical="center" wrapText="1" indent="1"/>
    </xf>
    <xf numFmtId="0" fontId="11" fillId="3" borderId="2" applyAlignment="1" pivotButton="0" quotePrefix="0" xfId="0">
      <alignment horizontal="left" vertical="center" wrapText="1" indent="1"/>
    </xf>
    <xf numFmtId="14" fontId="5" fillId="3" borderId="2" applyAlignment="1" pivotButton="0" quotePrefix="0" xfId="0">
      <alignment horizontal="left" vertical="center" wrapText="1" indent="1"/>
    </xf>
    <xf numFmtId="0" fontId="29" fillId="0" borderId="2" applyAlignment="1" pivotButton="0" quotePrefix="0" xfId="0">
      <alignment horizontal="left" vertical="top" wrapText="1" indent="1"/>
    </xf>
    <xf numFmtId="0" fontId="9" fillId="0" borderId="2" applyAlignment="1" pivotButton="0" quotePrefix="0" xfId="0">
      <alignment horizontal="left" vertical="top" wrapText="1" indent="1"/>
    </xf>
    <xf numFmtId="0" fontId="5" fillId="3" borderId="2" applyAlignment="1" pivotButton="0" quotePrefix="0" xfId="0">
      <alignment horizontal="center" vertical="center" wrapText="1"/>
    </xf>
    <xf numFmtId="0" fontId="26" fillId="3" borderId="2" applyAlignment="1" pivotButton="0" quotePrefix="0" xfId="1">
      <alignment horizontal="left" vertical="center" wrapText="1" indent="1"/>
    </xf>
    <xf numFmtId="0" fontId="3" fillId="5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165" fontId="5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5" fillId="3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4" fontId="3" fillId="0" borderId="2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6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left" vertical="center" wrapText="1" indent="1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H40" authorId="0" shapeId="0">
      <text>
        <t>VAT 세율 입력: 국내 거래 10% / 수출·선용품 영세율 0%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571500</colOff>
      <row>66</row>
      <rowOff>28575</rowOff>
    </from>
    <to>
      <col>3</col>
      <colOff>566208</colOff>
      <row>67</row>
      <rowOff>57150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00" y="15487650"/>
          <a:ext cx="1985433" cy="638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ter.jeong@iobsm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tabSelected="1" zoomScaleNormal="100" workbookViewId="0">
      <selection activeCell="M8" sqref="M8"/>
    </sheetView>
  </sheetViews>
  <sheetFormatPr baseColWidth="8" defaultColWidth="8.7109375" defaultRowHeight="15"/>
  <cols>
    <col width="5" customWidth="1" min="1" max="1"/>
    <col width="15" customWidth="1" min="2" max="2"/>
    <col width="29.85546875" customWidth="1" min="3" max="3"/>
    <col width="18" customWidth="1" min="4" max="5"/>
    <col width="7" customWidth="1" min="6" max="7"/>
    <col width="14" customWidth="1" min="8" max="8"/>
    <col width="17" customWidth="1" min="9" max="9"/>
  </cols>
  <sheetData>
    <row r="1" ht="31.5" customHeight="1">
      <c r="A1" s="45" t="inlineStr">
        <is>
          <t>PURCHASE ORDER</t>
        </is>
      </c>
    </row>
    <row r="2" ht="21.75" customHeight="1">
      <c r="A2" s="46" t="inlineStr">
        <is>
          <t>발  주  서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15" customHeight="1">
      <c r="A4" s="26" t="inlineStr">
        <is>
          <t>PO No. (발주번호)</t>
        </is>
      </c>
      <c r="B4" s="51" t="n"/>
      <c r="C4" s="30" t="inlineStr">
        <is>
          <t>IOB-PO-2026-</t>
        </is>
      </c>
      <c r="D4" s="26" t="inlineStr">
        <is>
          <t>PO Date (발주일)</t>
        </is>
      </c>
      <c r="E4" s="52" t="n">
        <v>46325</v>
      </c>
      <c r="F4" s="51" t="n"/>
      <c r="G4" s="26" t="inlineStr">
        <is>
          <t>Currency (통화)</t>
        </is>
      </c>
      <c r="H4" s="51" t="n"/>
      <c r="I4" s="42" t="inlineStr">
        <is>
          <t>KRW</t>
        </is>
      </c>
    </row>
    <row r="5" ht="24.6" customHeight="1">
      <c r="A5" s="26" t="inlineStr">
        <is>
          <t>Quotation Ref. (견적번호)</t>
        </is>
      </c>
      <c r="B5" s="51" t="n"/>
      <c r="C5" s="30" t="inlineStr">
        <is>
          <t>DCSQ261027-1</t>
        </is>
      </c>
      <c r="D5" s="26" t="inlineStr">
        <is>
          <t>Quotation Date</t>
        </is>
      </c>
      <c r="E5" s="52" t="n">
        <v>46322</v>
      </c>
      <c r="F5" s="51" t="n"/>
      <c r="G5" s="26" t="inlineStr">
        <is>
          <t>Revision (차수)</t>
        </is>
      </c>
      <c r="H5" s="51" t="n"/>
      <c r="I5" s="42" t="inlineStr">
        <is>
          <t>0</t>
        </is>
      </c>
    </row>
    <row r="7" ht="15" customHeight="1">
      <c r="A7" s="35" t="inlineStr">
        <is>
          <t>BUYER (발주처)</t>
        </is>
      </c>
      <c r="B7" s="53" t="n"/>
      <c r="C7" s="53" t="n"/>
      <c r="D7" s="51" t="n"/>
      <c r="E7" s="35" t="inlineStr">
        <is>
          <t>SUPPLIER (공급처)</t>
        </is>
      </c>
      <c r="F7" s="53" t="n"/>
      <c r="G7" s="53" t="n"/>
      <c r="H7" s="53" t="n"/>
      <c r="I7" s="51" t="n"/>
    </row>
    <row r="8" ht="18" customHeight="1">
      <c r="A8" s="26" t="inlineStr">
        <is>
          <t>Company (회사명)</t>
        </is>
      </c>
      <c r="B8" s="51" t="n"/>
      <c r="C8" s="30" t="inlineStr">
        <is>
          <t>IOB CO., LTD.</t>
        </is>
      </c>
      <c r="D8" s="51" t="n"/>
      <c r="E8" s="26" t="inlineStr">
        <is>
          <t>Company (회사명)</t>
        </is>
      </c>
      <c r="F8" s="30" t="inlineStr">
        <is>
          <t>DACOS CO., LTD. (다코스, Danfoss 공식 파트너)</t>
        </is>
      </c>
      <c r="G8" s="53" t="n"/>
      <c r="H8" s="53" t="n"/>
      <c r="I8" s="51" t="n"/>
    </row>
    <row r="9" ht="18" customHeight="1">
      <c r="A9" s="26" t="inlineStr">
        <is>
          <t>Address (주소)</t>
        </is>
      </c>
      <c r="B9" s="51" t="n"/>
      <c r="C9" s="30" t="inlineStr">
        <is>
          <t xml:space="preserve">중구 대교로 119, CJ 빌딩 11층 </t>
        </is>
      </c>
      <c r="D9" s="51" t="n"/>
      <c r="E9" s="26" t="inlineStr">
        <is>
          <t>Address (주소)</t>
        </is>
      </c>
      <c r="F9" s="30" t="inlineStr">
        <is>
          <t>부산 금정구 공단동로41번길 10, 보림팩토피아 501·503호</t>
        </is>
      </c>
      <c r="G9" s="53" t="n"/>
      <c r="H9" s="53" t="n"/>
      <c r="I9" s="51" t="n"/>
    </row>
    <row r="10" ht="18" customHeight="1">
      <c r="A10" s="26" t="inlineStr">
        <is>
          <t>Contact (담당자)</t>
        </is>
      </c>
      <c r="B10" s="51" t="n"/>
      <c r="C10" s="30" t="inlineStr">
        <is>
          <t>정태성 차장</t>
        </is>
      </c>
      <c r="D10" s="51" t="n"/>
      <c r="E10" s="26" t="inlineStr">
        <is>
          <t>Contact (담당자)</t>
        </is>
      </c>
      <c r="F10" s="30" t="inlineStr">
        <is>
          <t>김남희 매니저</t>
        </is>
      </c>
      <c r="G10" s="53" t="n"/>
      <c r="H10" s="53" t="n"/>
      <c r="I10" s="51" t="n"/>
    </row>
    <row r="11" ht="18" customHeight="1">
      <c r="A11" s="26" t="inlineStr">
        <is>
          <t>Tel</t>
        </is>
      </c>
      <c r="B11" s="51" t="n"/>
      <c r="C11" s="30" t="inlineStr">
        <is>
          <t>070-4708-2810</t>
        </is>
      </c>
      <c r="D11" s="51" t="n"/>
      <c r="E11" s="26" t="inlineStr">
        <is>
          <t>Tel</t>
        </is>
      </c>
      <c r="F11" s="30" t="inlineStr">
        <is>
          <t>051-784-9584 / 9585 (Fax 051-784-9586)</t>
        </is>
      </c>
      <c r="G11" s="53" t="n"/>
      <c r="H11" s="53" t="n"/>
      <c r="I11" s="51" t="n"/>
    </row>
    <row r="12" ht="18" customHeight="1">
      <c r="A12" s="26" t="inlineStr">
        <is>
          <t>E-mail</t>
        </is>
      </c>
      <c r="B12" s="51" t="n"/>
      <c r="C12" s="43" t="inlineStr">
        <is>
          <t>peter.jeong@iobsm.kr</t>
        </is>
      </c>
      <c r="D12" s="51" t="n"/>
      <c r="E12" s="26" t="inlineStr">
        <is>
          <t>E-mail</t>
        </is>
      </c>
      <c r="F12" s="43" t="inlineStr">
        <is>
          <t>dacos@dacos.co</t>
        </is>
      </c>
      <c r="G12" s="53" t="n"/>
      <c r="H12" s="53" t="n"/>
      <c r="I12" s="51" t="n"/>
    </row>
    <row r="14" ht="19.5" customHeight="1">
      <c r="A14" s="35" t="inlineStr">
        <is>
          <t>VESSEL &amp; ENGINE INFORMATION (선박 정보)</t>
        </is>
      </c>
      <c r="B14" s="53" t="n"/>
      <c r="C14" s="53" t="n"/>
      <c r="D14" s="53" t="n"/>
      <c r="E14" s="53" t="n"/>
      <c r="F14" s="53" t="n"/>
      <c r="G14" s="53" t="n"/>
      <c r="H14" s="53" t="n"/>
      <c r="I14" s="51" t="n"/>
    </row>
    <row r="15" ht="15" customHeight="1">
      <c r="A15" s="44" t="inlineStr">
        <is>
          <t>No.</t>
        </is>
      </c>
      <c r="B15" s="44" t="inlineStr">
        <is>
          <t>Vessel Name (선박명)</t>
        </is>
      </c>
      <c r="C15" s="51" t="n"/>
      <c r="D15" s="44" t="inlineStr">
        <is>
          <t>IMO No.</t>
        </is>
      </c>
      <c r="E15" s="44" t="inlineStr">
        <is>
          <t>Builder (건조 조선소)</t>
        </is>
      </c>
      <c r="F15" s="51" t="n"/>
      <c r="G15" s="44" t="inlineStr">
        <is>
          <t>Main Engine</t>
        </is>
      </c>
      <c r="H15" s="53" t="n"/>
      <c r="I15" s="51" t="n"/>
    </row>
    <row r="16" ht="15" customHeight="1">
      <c r="A16" s="32" t="n">
        <v>1</v>
      </c>
      <c r="B16" s="30" t="inlineStr">
        <is>
          <t>AEOLUS</t>
        </is>
      </c>
      <c r="C16" s="51" t="n"/>
      <c r="D16" s="42" t="inlineStr">
        <is>
          <t>9958298</t>
        </is>
      </c>
      <c r="E16" s="42" t="inlineStr">
        <is>
          <t>Hanhwa ocean</t>
        </is>
      </c>
      <c r="F16" s="51" t="n"/>
      <c r="G16" s="42" t="inlineStr">
        <is>
          <t>MAN B&amp;W 5G70ME-C10.5-GA x 2 sets</t>
        </is>
      </c>
      <c r="H16" s="53" t="n"/>
      <c r="I16" s="51" t="n"/>
    </row>
    <row r="17" ht="15" customHeight="1">
      <c r="A17" s="32" t="n">
        <v>2</v>
      </c>
      <c r="B17" s="30" t="inlineStr">
        <is>
          <t>MELICERTES</t>
        </is>
      </c>
      <c r="C17" s="51" t="n"/>
      <c r="D17" s="42" t="inlineStr">
        <is>
          <t>9958303</t>
        </is>
      </c>
      <c r="E17" s="42" t="inlineStr">
        <is>
          <t>Hanhwa ocean</t>
        </is>
      </c>
      <c r="F17" s="51" t="n"/>
      <c r="G17" s="42" t="inlineStr">
        <is>
          <t>MAN B&amp;W 5G70ME-C10.5-GA x 2 sets</t>
        </is>
      </c>
      <c r="H17" s="53" t="n"/>
      <c r="I17" s="51" t="n"/>
    </row>
    <row r="18" ht="15" customHeight="1">
      <c r="A18" s="32" t="n">
        <v>3</v>
      </c>
      <c r="B18" s="30" t="inlineStr">
        <is>
          <t>NELEUS</t>
        </is>
      </c>
      <c r="C18" s="51" t="n"/>
      <c r="D18" s="42" t="inlineStr">
        <is>
          <t>9958315</t>
        </is>
      </c>
      <c r="E18" s="42" t="inlineStr">
        <is>
          <t>Hanhwa ocean</t>
        </is>
      </c>
      <c r="F18" s="51" t="n"/>
      <c r="G18" s="42" t="inlineStr">
        <is>
          <t>MAN B&amp;W 5G70ME-C10.5-GA x 2 sets</t>
        </is>
      </c>
      <c r="H18" s="53" t="n"/>
      <c r="I18" s="51" t="n"/>
    </row>
    <row r="19" ht="15" customHeight="1">
      <c r="A19" s="32" t="n">
        <v>4</v>
      </c>
      <c r="B19" s="30" t="inlineStr">
        <is>
          <t>ONEIROI</t>
        </is>
      </c>
      <c r="C19" s="51" t="n"/>
      <c r="D19" s="42" t="inlineStr">
        <is>
          <t>9958327</t>
        </is>
      </c>
      <c r="E19" s="42" t="inlineStr">
        <is>
          <t>Hanhwa ocean</t>
        </is>
      </c>
      <c r="F19" s="51" t="n"/>
      <c r="G19" s="42" t="inlineStr">
        <is>
          <t>MAN B&amp;W 5G70ME-C10.5-GA x 2 sets</t>
        </is>
      </c>
      <c r="H19" s="53" t="n"/>
      <c r="I19" s="51" t="n"/>
    </row>
    <row r="21" ht="19.5" customHeight="1">
      <c r="A21" s="35" t="inlineStr">
        <is>
          <t>ORDER DETAILS (발주 품목)</t>
        </is>
      </c>
      <c r="B21" s="53" t="n"/>
      <c r="C21" s="53" t="n"/>
      <c r="D21" s="53" t="n"/>
      <c r="E21" s="53" t="n"/>
      <c r="F21" s="53" t="n"/>
      <c r="G21" s="53" t="n"/>
      <c r="H21" s="53" t="n"/>
      <c r="I21" s="51" t="n"/>
    </row>
    <row r="22" ht="30" customHeight="1">
      <c r="A22" s="44" t="inlineStr">
        <is>
          <t>No.</t>
        </is>
      </c>
      <c r="B22" s="44" t="inlineStr">
        <is>
          <t>Vessel
(선박명)</t>
        </is>
      </c>
      <c r="C22" s="44" t="inlineStr">
        <is>
          <t>Description (품명)</t>
        </is>
      </c>
      <c r="D22" s="44" t="inlineStr">
        <is>
          <t>Part No. /
Dwg No.</t>
        </is>
      </c>
      <c r="E22" s="44" t="inlineStr">
        <is>
          <t>Category
(구분)</t>
        </is>
      </c>
      <c r="F22" s="44" t="inlineStr">
        <is>
          <t>Q'ty
(수량)</t>
        </is>
      </c>
      <c r="G22" s="44" t="inlineStr">
        <is>
          <t>Unit
(단위)</t>
        </is>
      </c>
      <c r="H22" s="44">
        <f>"Unit Price"&amp;CHAR(10)&amp;"("&amp;$I$4&amp;")"</f>
        <v/>
      </c>
      <c r="I22" s="44">
        <f>"Amount"&amp;CHAR(10)&amp;"("&amp;$I$4&amp;")"</f>
        <v/>
      </c>
    </row>
    <row r="23" ht="36" customHeight="1">
      <c r="A23" s="32" t="n">
        <v>1</v>
      </c>
      <c r="B23" s="42" t="inlineStr">
        <is>
          <t>MELICERTES</t>
        </is>
      </c>
      <c r="C23" s="30" t="inlineStr">
        <is>
          <t>Pressure transmitter DANFOSS
MBS 3350 / 0...6 bar</t>
        </is>
      </c>
      <c r="D23" s="42" t="inlineStr">
        <is>
          <t>060G6727</t>
        </is>
      </c>
      <c r="E23" s="42" t="n"/>
      <c r="F23" s="7" t="n">
        <v>1</v>
      </c>
      <c r="G23" s="42" t="inlineStr">
        <is>
          <t>PC</t>
        </is>
      </c>
      <c r="H23" s="54" t="n">
        <v>235000</v>
      </c>
      <c r="I23" s="55">
        <f>IF(OR(F23="",H23=""),"",F23*H23)</f>
        <v/>
      </c>
    </row>
    <row r="24" ht="50" customHeight="1">
      <c r="A24" s="32" t="n">
        <v>2</v>
      </c>
      <c r="B24" s="42" t="inlineStr">
        <is>
          <t>MELICERTES</t>
        </is>
      </c>
      <c r="C24" s="30" t="inlineStr">
        <is>
          <t>Pressure transmitter DANFOSS
MBS 3300 / -1...15 bar</t>
        </is>
      </c>
      <c r="D24" s="42" t="inlineStr">
        <is>
          <t>060G6736</t>
        </is>
      </c>
      <c r="E24" s="42" t="n"/>
      <c r="F24" s="7" t="n">
        <v>1</v>
      </c>
      <c r="G24" s="42" t="inlineStr">
        <is>
          <t>PC</t>
        </is>
      </c>
      <c r="H24" s="54" t="n">
        <v>225000</v>
      </c>
      <c r="I24" s="55">
        <f>IF(OR(F24="",H24=""),"",F24*H24)</f>
        <v/>
      </c>
    </row>
    <row r="25" ht="50" customHeight="1">
      <c r="A25" s="32" t="n">
        <v>3</v>
      </c>
      <c r="B25" s="42" t="inlineStr">
        <is>
          <t>MELICERTES</t>
        </is>
      </c>
      <c r="C25" s="30" t="inlineStr">
        <is>
          <t>Pressure transmitter DANFOSS
MBS 9300 / -0.1...0.2 bar</t>
        </is>
      </c>
      <c r="D25" s="42" t="inlineStr">
        <is>
          <t>064G5260</t>
        </is>
      </c>
      <c r="E25" s="42" t="n"/>
      <c r="F25" s="7" t="n">
        <v>1</v>
      </c>
      <c r="G25" s="42" t="inlineStr">
        <is>
          <t>PC</t>
        </is>
      </c>
      <c r="H25" s="54" t="n">
        <v>378000</v>
      </c>
      <c r="I25" s="55">
        <f>IF(OR(F25="",H25=""),"",F25*H25)</f>
        <v/>
      </c>
    </row>
    <row r="26" ht="30" customHeight="1">
      <c r="A26" s="32" t="n">
        <v>4</v>
      </c>
      <c r="B26" s="42" t="n"/>
      <c r="C26" s="30" t="n"/>
      <c r="D26" s="42" t="n"/>
      <c r="E26" s="42" t="n"/>
      <c r="F26" s="7" t="n"/>
      <c r="G26" s="42" t="n"/>
      <c r="H26" s="54" t="n"/>
      <c r="I26" s="55">
        <f>IF(OR(F26="",H26=""),"",F26*H26)</f>
        <v/>
      </c>
    </row>
    <row r="27" ht="18" customHeight="1">
      <c r="A27" s="32" t="n">
        <v>5</v>
      </c>
      <c r="B27" s="42" t="n"/>
      <c r="C27" s="30" t="n"/>
      <c r="D27" s="42" t="n"/>
      <c r="E27" s="42" t="n"/>
      <c r="F27" s="7" t="n"/>
      <c r="G27" s="42" t="n"/>
      <c r="H27" s="54" t="n"/>
      <c r="I27" s="55">
        <f>IF(OR(F27="",H27=""),"",F27*H27)</f>
        <v/>
      </c>
    </row>
    <row r="28" ht="18" customHeight="1">
      <c r="A28" s="32" t="n">
        <v>6</v>
      </c>
      <c r="B28" s="42" t="n"/>
      <c r="C28" s="30" t="n"/>
      <c r="D28" s="42" t="n"/>
      <c r="E28" s="42" t="n"/>
      <c r="F28" s="7" t="n"/>
      <c r="G28" s="42" t="n"/>
      <c r="H28" s="54" t="n"/>
      <c r="I28" s="55">
        <f>IF(OR(F28="",H28=""),"",F28*H28)</f>
        <v/>
      </c>
    </row>
    <row r="29" ht="18" customHeight="1">
      <c r="A29" s="32" t="n">
        <v>7</v>
      </c>
      <c r="B29" s="42" t="n"/>
      <c r="C29" s="30" t="n"/>
      <c r="D29" s="42" t="n"/>
      <c r="E29" s="42" t="n"/>
      <c r="F29" s="7" t="n"/>
      <c r="G29" s="42" t="n"/>
      <c r="H29" s="54" t="n"/>
      <c r="I29" s="55">
        <f>IF(OR(F29="",H29=""),"",F29*H29)</f>
        <v/>
      </c>
    </row>
    <row r="30" ht="18" customHeight="1">
      <c r="A30" s="32" t="n">
        <v>8</v>
      </c>
      <c r="B30" s="42" t="n"/>
      <c r="C30" s="30" t="n"/>
      <c r="D30" s="42" t="n"/>
      <c r="E30" s="42" t="n"/>
      <c r="F30" s="7" t="n"/>
      <c r="G30" s="42" t="n"/>
      <c r="H30" s="54" t="n"/>
      <c r="I30" s="55">
        <f>IF(OR(F30="",H30=""),"",F30*H30)</f>
        <v/>
      </c>
    </row>
    <row r="31" ht="18" customHeight="1">
      <c r="A31" s="32" t="n">
        <v>9</v>
      </c>
      <c r="B31" s="42" t="n"/>
      <c r="C31" s="30" t="n"/>
      <c r="D31" s="42" t="n"/>
      <c r="E31" s="42" t="n"/>
      <c r="F31" s="7" t="n"/>
      <c r="G31" s="42" t="n"/>
      <c r="H31" s="54" t="n"/>
      <c r="I31" s="55">
        <f>IF(OR(F31="",H31=""),"",F31*H31)</f>
        <v/>
      </c>
    </row>
    <row r="32" ht="18" customHeight="1">
      <c r="A32" s="32" t="n">
        <v>10</v>
      </c>
      <c r="B32" s="42" t="n"/>
      <c r="C32" s="30" t="n"/>
      <c r="D32" s="42" t="n"/>
      <c r="E32" s="42" t="n"/>
      <c r="F32" s="7" t="n"/>
      <c r="G32" s="42" t="n"/>
      <c r="H32" s="54" t="n"/>
      <c r="I32" s="55">
        <f>IF(OR(F32="",H32=""),"",F32*H32)</f>
        <v/>
      </c>
    </row>
    <row r="33" ht="18" customHeight="1">
      <c r="A33" s="32" t="n">
        <v>11</v>
      </c>
      <c r="B33" s="42" t="n"/>
      <c r="C33" s="30" t="n"/>
      <c r="D33" s="42" t="n"/>
      <c r="E33" s="42" t="n"/>
      <c r="F33" s="7" t="n"/>
      <c r="G33" s="42" t="n"/>
      <c r="H33" s="54" t="n"/>
      <c r="I33" s="55">
        <f>IF(OR(F33="",H33=""),"",F33*H33)</f>
        <v/>
      </c>
    </row>
    <row r="34" ht="18" customHeight="1">
      <c r="A34" s="32" t="n">
        <v>12</v>
      </c>
      <c r="B34" s="42" t="n"/>
      <c r="C34" s="30" t="n"/>
      <c r="D34" s="42" t="n"/>
      <c r="E34" s="42" t="n"/>
      <c r="F34" s="7" t="n"/>
      <c r="G34" s="42" t="n"/>
      <c r="H34" s="54" t="n"/>
      <c r="I34" s="55">
        <f>IF(OR(F34="",H34=""),"",F34*H34)</f>
        <v/>
      </c>
    </row>
    <row r="35" ht="18" customHeight="1">
      <c r="A35" s="32" t="n">
        <v>13</v>
      </c>
      <c r="B35" s="42" t="n"/>
      <c r="C35" s="30" t="n"/>
      <c r="D35" s="42" t="n"/>
      <c r="E35" s="42" t="n"/>
      <c r="F35" s="7" t="n"/>
      <c r="G35" s="42" t="n"/>
      <c r="H35" s="54" t="n"/>
      <c r="I35" s="55">
        <f>IF(OR(F35="",H35=""),"",F35*H35)</f>
        <v/>
      </c>
    </row>
    <row r="36" ht="18" customHeight="1">
      <c r="A36" s="32" t="n">
        <v>14</v>
      </c>
      <c r="B36" s="42" t="n"/>
      <c r="C36" s="30" t="n"/>
      <c r="D36" s="42" t="n"/>
      <c r="E36" s="42" t="n"/>
      <c r="F36" s="7" t="n"/>
      <c r="G36" s="42" t="n"/>
      <c r="H36" s="54" t="n"/>
      <c r="I36" s="55">
        <f>IF(OR(F36="",H36=""),"",F36*H36)</f>
        <v/>
      </c>
    </row>
    <row r="37" ht="18" customHeight="1">
      <c r="A37" s="32" t="n">
        <v>15</v>
      </c>
      <c r="B37" s="42" t="n"/>
      <c r="C37" s="30" t="n"/>
      <c r="D37" s="42" t="n"/>
      <c r="E37" s="42" t="n"/>
      <c r="F37" s="7" t="n"/>
      <c r="G37" s="42" t="n"/>
      <c r="H37" s="54" t="n"/>
      <c r="I37" s="55">
        <f>IF(OR(F37="",H37=""),"",F37*H37)</f>
        <v/>
      </c>
    </row>
    <row r="38" ht="18.75" customHeight="1">
      <c r="A38" s="40" t="inlineStr">
        <is>
          <t>※ 모든 Invoice, Packing List, 납품서에 PO No.와 선박명을 반드시 기재해 주십시오.</t>
        </is>
      </c>
      <c r="B38" s="56" t="n"/>
      <c r="C38" s="56" t="n"/>
      <c r="D38" s="56" t="n"/>
      <c r="E38" s="57" t="n"/>
      <c r="F38" s="26" t="inlineStr">
        <is>
          <t>Sub Total (공급가액 합계)</t>
        </is>
      </c>
      <c r="G38" s="53" t="n"/>
      <c r="H38" s="51" t="n"/>
      <c r="I38" s="58">
        <f>SUM(I23:I37)</f>
        <v/>
      </c>
    </row>
    <row r="39" ht="18.75" customHeight="1">
      <c r="A39" s="59" t="n"/>
      <c r="E39" s="60" t="n"/>
      <c r="F39" s="26" t="inlineStr">
        <is>
          <t>Discount (할인액)</t>
        </is>
      </c>
      <c r="G39" s="53" t="n"/>
      <c r="H39" s="51" t="n"/>
      <c r="I39" s="54" t="n">
        <v>0</v>
      </c>
    </row>
    <row r="40" ht="18.75" customHeight="1">
      <c r="A40" s="59" t="n"/>
      <c r="E40" s="60" t="n"/>
      <c r="F40" s="26" t="inlineStr">
        <is>
          <t>VAT (부가세)</t>
        </is>
      </c>
      <c r="G40" s="51" t="n"/>
      <c r="H40" s="8" t="n">
        <v>0</v>
      </c>
      <c r="I40" s="55">
        <f>ROUND((I38-I39)*H40,2)</f>
        <v/>
      </c>
    </row>
    <row r="41" ht="18.75" customHeight="1">
      <c r="A41" s="61" t="n"/>
      <c r="B41" s="62" t="n"/>
      <c r="C41" s="62" t="n"/>
      <c r="D41" s="62" t="n"/>
      <c r="E41" s="63" t="n"/>
      <c r="F41" s="35">
        <f>"TOTAL (총 발주금액, "&amp;$I$4&amp;")"</f>
        <v/>
      </c>
      <c r="G41" s="53" t="n"/>
      <c r="H41" s="51" t="n"/>
      <c r="I41" s="64">
        <f>I38-I39+I40</f>
        <v/>
      </c>
    </row>
    <row r="43" ht="19.5" customHeight="1">
      <c r="A43" s="35" t="inlineStr">
        <is>
          <t>TERMS &amp; CONDITIONS (발주 조건)</t>
        </is>
      </c>
      <c r="B43" s="53" t="n"/>
      <c r="C43" s="53" t="n"/>
      <c r="D43" s="53" t="n"/>
      <c r="E43" s="53" t="n"/>
      <c r="F43" s="53" t="n"/>
      <c r="G43" s="53" t="n"/>
      <c r="H43" s="53" t="n"/>
      <c r="I43" s="51" t="n"/>
    </row>
    <row r="44" ht="18.75" customHeight="1">
      <c r="A44" s="26" t="inlineStr">
        <is>
          <t>Delivery Date (납기)</t>
        </is>
      </c>
      <c r="B44" s="53" t="n"/>
      <c r="C44" s="51" t="n"/>
      <c r="D44" s="65" t="n">
        <v>46395</v>
      </c>
      <c r="E44" s="53" t="n"/>
      <c r="F44" s="53" t="n"/>
      <c r="G44" s="53" t="n"/>
      <c r="H44" s="53" t="n"/>
      <c r="I44" s="51" t="n"/>
    </row>
    <row r="45" ht="28" customHeight="1">
      <c r="A45" s="26" t="inlineStr">
        <is>
          <t>Delivery Place (인도 장소)</t>
        </is>
      </c>
      <c r="B45" s="53" t="n"/>
      <c r="C45" s="51" t="n"/>
      <c r="D45" s="30" t="inlineStr">
        <is>
          <t>Busan PUS1 // Marinetrans Korea // 6th FL, LogisQube Gimhae Juchon Center, 996 Deokam-ri, Juchon-myeon, Gimhae-si, Gyeongsangnam-do 50878 South-Korea</t>
        </is>
      </c>
      <c r="E45" s="53" t="n"/>
      <c r="F45" s="53" t="n"/>
      <c r="G45" s="53" t="n"/>
      <c r="H45" s="53" t="n"/>
      <c r="I45" s="51" t="n"/>
    </row>
    <row r="46" ht="18.75" customHeight="1">
      <c r="A46" s="26" t="inlineStr">
        <is>
          <t>Delivery Terms (인도 조건)</t>
        </is>
      </c>
      <c r="B46" s="53" t="n"/>
      <c r="C46" s="51" t="n"/>
      <c r="D46" s="38" t="inlineStr">
        <is>
          <t>국내 지정 도착도 (택배 발송) – DACOS 견적 조건</t>
        </is>
      </c>
      <c r="E46" s="53" t="n"/>
      <c r="F46" s="53" t="n"/>
      <c r="G46" s="53" t="n"/>
      <c r="H46" s="53" t="n"/>
      <c r="I46" s="51" t="n"/>
    </row>
    <row r="47" ht="18.75" customHeight="1">
      <c r="A47" s="26" t="inlineStr">
        <is>
          <t>Payment Terms (결제 조건)</t>
        </is>
      </c>
      <c r="B47" s="53" t="n"/>
      <c r="C47" s="51" t="n"/>
      <c r="D47" s="30" t="inlineStr">
        <is>
          <t>30 days after receipt of goods &amp; invoice</t>
        </is>
      </c>
      <c r="E47" s="53" t="n"/>
      <c r="F47" s="53" t="n"/>
      <c r="G47" s="53" t="n"/>
      <c r="H47" s="53" t="n"/>
      <c r="I47" s="51" t="n"/>
    </row>
    <row r="48" ht="18.75" customHeight="1">
      <c r="A48" s="26" t="inlineStr">
        <is>
          <t>Quality (품질 조건)</t>
        </is>
      </c>
      <c r="B48" s="53" t="n"/>
      <c r="C48" s="51" t="n"/>
      <c r="D48" s="30" t="inlineStr">
        <is>
          <t>Genuine parts (Maker's original) only</t>
        </is>
      </c>
      <c r="E48" s="53" t="n"/>
      <c r="F48" s="53" t="n"/>
      <c r="G48" s="53" t="n"/>
      <c r="H48" s="53" t="n"/>
      <c r="I48" s="51" t="n"/>
    </row>
    <row r="49" ht="18.75" customHeight="1">
      <c r="A49" s="26" t="inlineStr">
        <is>
          <t>Required Documents (제출 서류)</t>
        </is>
      </c>
      <c r="B49" s="53" t="n"/>
      <c r="C49" s="51" t="n"/>
      <c r="D49" s="30" t="inlineStr">
        <is>
          <t>Commercial Invoice, Packing List, Certificate of Origin, Maker's Certificate</t>
        </is>
      </c>
      <c r="E49" s="53" t="n"/>
      <c r="F49" s="53" t="n"/>
      <c r="G49" s="53" t="n"/>
      <c r="H49" s="53" t="n"/>
      <c r="I49" s="51" t="n"/>
    </row>
    <row r="50" ht="18.75" customHeight="1">
      <c r="A50" s="26" t="inlineStr">
        <is>
          <t>Warranty (품질 보증)</t>
        </is>
      </c>
      <c r="B50" s="53" t="n"/>
      <c r="C50" s="51" t="n"/>
      <c r="D50" s="38" t="inlineStr">
        <is>
          <t>가능여부 확인</t>
        </is>
      </c>
      <c r="E50" s="53" t="n"/>
      <c r="F50" s="53" t="n"/>
      <c r="G50" s="53" t="n"/>
      <c r="H50" s="53" t="n"/>
      <c r="I50" s="51" t="n"/>
    </row>
    <row r="51" ht="18.75" customHeight="1">
      <c r="A51" s="26" t="inlineStr">
        <is>
          <t>Packing &amp; Marking (포장/표기)</t>
        </is>
      </c>
      <c r="B51" s="53" t="n"/>
      <c r="C51" s="51" t="n"/>
      <c r="D51" s="30" t="inlineStr">
        <is>
          <t>Seaworthy packing / PO No. &amp; vessel name on each package</t>
        </is>
      </c>
      <c r="E51" s="53" t="n"/>
      <c r="F51" s="53" t="n"/>
      <c r="G51" s="53" t="n"/>
      <c r="H51" s="53" t="n"/>
      <c r="I51" s="51" t="n"/>
    </row>
    <row r="53" ht="19.5" customHeight="1">
      <c r="A53" s="35" t="inlineStr">
        <is>
          <t>REMARKS (특기사항)</t>
        </is>
      </c>
      <c r="B53" s="53" t="n"/>
      <c r="C53" s="53" t="n"/>
      <c r="D53" s="53" t="n"/>
      <c r="E53" s="53" t="n"/>
      <c r="F53" s="53" t="n"/>
      <c r="G53" s="53" t="n"/>
      <c r="H53" s="53" t="n"/>
      <c r="I53" s="51" t="n"/>
    </row>
    <row r="54">
      <c r="A54" s="36" t="inlineStr">
        <is>
          <t>1. 본 발주는 DACOS 견적 DCSQ261027-1 (2026-10-27) 기준입니다. 납기: 발주 후 8-10주.
2. 견적 조건: 부가세 별도 / 현금결제 / 견적 유효기간 견적 후 1주일.
3. 포장 및 송장(Invoice)에 PO No.와 선박명(MELICERTES)을 기재해 주십시오.</t>
        </is>
      </c>
      <c r="B54" s="56" t="n"/>
      <c r="C54" s="56" t="n"/>
      <c r="D54" s="56" t="n"/>
      <c r="E54" s="56" t="n"/>
      <c r="F54" s="56" t="n"/>
      <c r="G54" s="56" t="n"/>
      <c r="H54" s="56" t="n"/>
      <c r="I54" s="57" t="n"/>
    </row>
    <row r="55">
      <c r="A55" s="59" t="n"/>
      <c r="I55" s="60" t="n"/>
    </row>
    <row r="56">
      <c r="A56" s="61" t="n"/>
      <c r="B56" s="62" t="n"/>
      <c r="C56" s="62" t="n"/>
      <c r="D56" s="62" t="n"/>
      <c r="E56" s="62" t="n"/>
      <c r="F56" s="62" t="n"/>
      <c r="G56" s="62" t="n"/>
      <c r="H56" s="62" t="n"/>
      <c r="I56" s="63" t="n"/>
    </row>
    <row r="58" ht="15" customHeight="1">
      <c r="A58" s="37" t="inlineStr">
        <is>
          <t>GENERAL CONDITIONS (일반 조건)</t>
        </is>
      </c>
    </row>
    <row r="59" ht="15" customHeight="1">
      <c r="A59" s="33" t="inlineStr">
        <is>
          <t>1. 공급자는 본 발주서 수령 후 3영업일 이내에 아래 공급자 확인란에 서명(날인)하여 회신(Order Confirmation)해 주십시오.</t>
        </is>
      </c>
    </row>
    <row r="60" ht="15" customHeight="1">
      <c r="A60" s="33" t="inlineStr">
        <is>
          <t>2. 발주 내용과 다른 품목(대체품, Non-Genuine 포함)은 발주자의 사전 서면 승인 없이 납품할 수 없습니다.</t>
        </is>
      </c>
    </row>
    <row r="61" ht="15" customHeight="1">
      <c r="A61" s="33" t="inlineStr">
        <is>
          <t>3. 납기 지연이 예상될 경우 즉시 서면으로 통보해 주십시오.</t>
        </is>
      </c>
    </row>
    <row r="62" ht="15" customHeight="1">
      <c r="A62" s="33" t="inlineStr">
        <is>
          <t>4. 본 발주서에 명시되지 않은 사항은 상호 협의하여 결정합니다.</t>
        </is>
      </c>
    </row>
    <row r="64" ht="15" customHeight="1">
      <c r="A64" s="34" t="inlineStr">
        <is>
          <t>ISSUED BY (발주자)</t>
        </is>
      </c>
      <c r="B64" s="53" t="n"/>
      <c r="C64" s="53" t="n"/>
      <c r="D64" s="51" t="n"/>
      <c r="F64" s="34" t="inlineStr">
        <is>
          <t>ACCEPTED BY (공급자 확인)</t>
        </is>
      </c>
      <c r="G64" s="53" t="n"/>
      <c r="H64" s="53" t="n"/>
      <c r="I64" s="51" t="n"/>
    </row>
    <row r="65" ht="19.5" customHeight="1">
      <c r="A65" s="26" t="inlineStr">
        <is>
          <t>Company</t>
        </is>
      </c>
      <c r="B65" s="51" t="n"/>
      <c r="C65" s="30" t="inlineStr">
        <is>
          <t>IOB CO., LTD.</t>
        </is>
      </c>
      <c r="D65" s="51" t="n"/>
      <c r="F65" s="26" t="inlineStr">
        <is>
          <t>Company</t>
        </is>
      </c>
      <c r="G65" s="51" t="n"/>
      <c r="H65" s="31" t="n"/>
      <c r="I65" s="51" t="n"/>
    </row>
    <row r="66" ht="19.5" customHeight="1">
      <c r="A66" s="26" t="inlineStr">
        <is>
          <t>Name / Title</t>
        </is>
      </c>
      <c r="B66" s="51" t="n"/>
      <c r="C66" s="30" t="inlineStr">
        <is>
          <t>JEONG, Peter</t>
        </is>
      </c>
      <c r="D66" s="51" t="n"/>
      <c r="F66" s="26" t="inlineStr">
        <is>
          <t>Name / Title</t>
        </is>
      </c>
      <c r="G66" s="51" t="n"/>
      <c r="H66" s="31" t="n"/>
      <c r="I66" s="51" t="n"/>
    </row>
    <row r="67" ht="48" customHeight="1">
      <c r="A67" s="26" t="inlineStr">
        <is>
          <t>Signature / Seal</t>
        </is>
      </c>
      <c r="B67" s="51" t="n"/>
      <c r="C67" s="50" t="inlineStr">
        <is>
          <t xml:space="preserve">     </t>
        </is>
      </c>
      <c r="D67" s="51" t="n"/>
      <c r="F67" s="26" t="inlineStr">
        <is>
          <t>Signature / Seal</t>
        </is>
      </c>
      <c r="G67" s="51" t="n"/>
      <c r="H67" s="32" t="n"/>
      <c r="I67" s="51" t="n"/>
    </row>
    <row r="68" ht="19.5" customHeight="1">
      <c r="A68" s="26" t="inlineStr">
        <is>
          <t>Date</t>
        </is>
      </c>
      <c r="B68" s="51" t="n"/>
      <c r="C68" s="52" t="n">
        <v>46325</v>
      </c>
      <c r="D68" s="51" t="n"/>
      <c r="F68" s="26" t="inlineStr">
        <is>
          <t>Date</t>
        </is>
      </c>
      <c r="G68" s="51" t="n"/>
      <c r="H68" s="31" t="n"/>
      <c r="I68" s="51" t="n"/>
    </row>
  </sheetData>
  <mergeCells count="89">
    <mergeCell ref="A46:C46"/>
    <mergeCell ref="F68:G68"/>
    <mergeCell ref="G15:I15"/>
    <mergeCell ref="A2:I2"/>
    <mergeCell ref="A64:D64"/>
    <mergeCell ref="A53:I53"/>
    <mergeCell ref="A62:I62"/>
    <mergeCell ref="F39:H39"/>
    <mergeCell ref="G16:I16"/>
    <mergeCell ref="A7:D7"/>
    <mergeCell ref="H65:I65"/>
    <mergeCell ref="A59:I59"/>
    <mergeCell ref="A49:C49"/>
    <mergeCell ref="E7:I7"/>
    <mergeCell ref="C67:D67"/>
    <mergeCell ref="A68:B68"/>
    <mergeCell ref="D45:I45"/>
    <mergeCell ref="A61:I61"/>
    <mergeCell ref="A9:B9"/>
    <mergeCell ref="B16:C16"/>
    <mergeCell ref="A11:B11"/>
    <mergeCell ref="F41:H41"/>
    <mergeCell ref="E5:F5"/>
    <mergeCell ref="B18:C18"/>
    <mergeCell ref="H68:I68"/>
    <mergeCell ref="E4:F4"/>
    <mergeCell ref="F66:G66"/>
    <mergeCell ref="D51:I51"/>
    <mergeCell ref="A44:C44"/>
    <mergeCell ref="D50:I50"/>
    <mergeCell ref="D44:I44"/>
    <mergeCell ref="A8:B8"/>
    <mergeCell ref="C8:D8"/>
    <mergeCell ref="A51:C51"/>
    <mergeCell ref="B15:C15"/>
    <mergeCell ref="E16:F16"/>
    <mergeCell ref="A10:B10"/>
    <mergeCell ref="A1:I1"/>
    <mergeCell ref="C66:D66"/>
    <mergeCell ref="G17:I17"/>
    <mergeCell ref="E18:F18"/>
    <mergeCell ref="C68:D68"/>
    <mergeCell ref="F9:I9"/>
    <mergeCell ref="G19:I19"/>
    <mergeCell ref="D48:I48"/>
    <mergeCell ref="A50:C50"/>
    <mergeCell ref="A21:I21"/>
    <mergeCell ref="F38:H38"/>
    <mergeCell ref="A47:C47"/>
    <mergeCell ref="F64:I64"/>
    <mergeCell ref="A65:B65"/>
    <mergeCell ref="C65:D65"/>
    <mergeCell ref="A14:I14"/>
    <mergeCell ref="B17:C17"/>
    <mergeCell ref="F10:I10"/>
    <mergeCell ref="A12:B12"/>
    <mergeCell ref="A38:E41"/>
    <mergeCell ref="C12:D12"/>
    <mergeCell ref="A43:I43"/>
    <mergeCell ref="E15:F15"/>
    <mergeCell ref="B19:C19"/>
    <mergeCell ref="A5:B5"/>
    <mergeCell ref="H66:I66"/>
    <mergeCell ref="A4:B4"/>
    <mergeCell ref="F8:I8"/>
    <mergeCell ref="A67:B67"/>
    <mergeCell ref="D49:I49"/>
    <mergeCell ref="A54:I56"/>
    <mergeCell ref="H67:I67"/>
    <mergeCell ref="F65:G65"/>
    <mergeCell ref="G18:I18"/>
    <mergeCell ref="E17:F17"/>
    <mergeCell ref="F40:G40"/>
    <mergeCell ref="D47:I47"/>
    <mergeCell ref="C10:D10"/>
    <mergeCell ref="E19:F19"/>
    <mergeCell ref="F11:I11"/>
    <mergeCell ref="A66:B66"/>
    <mergeCell ref="C9:D9"/>
    <mergeCell ref="C11:D11"/>
    <mergeCell ref="F12:I12"/>
    <mergeCell ref="G5:H5"/>
    <mergeCell ref="A58:I58"/>
    <mergeCell ref="A48:C48"/>
    <mergeCell ref="F67:G67"/>
    <mergeCell ref="G4:H4"/>
    <mergeCell ref="A45:C45"/>
    <mergeCell ref="D46:I46"/>
    <mergeCell ref="A60:I60"/>
  </mergeCells>
  <dataValidations count="4">
    <dataValidation sqref="B23:B37" showDropDown="0" showInputMessage="0" showErrorMessage="0" allowBlank="1" type="list">
      <formula1>"AEOLUS,MELICERTES,NELEUS,ONEIROI,ALL (4척)"</formula1>
      <formula2>0</formula2>
    </dataValidation>
    <dataValidation sqref="E23:E37" showDropDown="0" showInputMessage="0" showErrorMessage="0" allowBlank="1" type="list">
      <formula1>"Damaged parts,Future maintenance"</formula1>
      <formula2>0</formula2>
    </dataValidation>
    <dataValidation sqref="G23:G37" showDropDown="0" showInputMessage="0" showErrorMessage="0" allowBlank="1" type="list">
      <formula1>"PC,SET,EA,KG,M,L"</formula1>
      <formula2>0</formula2>
    </dataValidation>
    <dataValidation sqref="H40" showDropDown="0" showInputMessage="0" showErrorMessage="0" allowBlank="1" type="decimal">
      <formula1>0</formula1>
      <formula2>1</formula2>
    </dataValidation>
  </dataValidations>
  <hyperlinks>
    <hyperlink xmlns:r="http://schemas.openxmlformats.org/officeDocument/2006/relationships" ref="C12" r:id="rId1"/>
  </hyperlinks>
  <printOptions horizontalCentered="1"/>
  <pageMargins left="0.4" right="0.4" top="0.5" bottom="0.5" header="0.511811023622047" footer="0.5"/>
  <pageSetup orientation="portrait" paperSize="9" scale="61" verticalDpi="300"/>
  <headerFooter>
    <oddHeader/>
    <oddFooter>&amp;C&amp;"Malgun Gothic,Regular"&amp;8 Page &amp;P of &amp;N</oddFooter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2026-10-14T02:36:14Z</dcterms:created>
  <dcterms:modified xmlns:dcterms="http://purl.org/dc/terms/" xmlns:xsi="http://www.w3.org/2001/XMLSchema-instance" xsi:type="dcterms:W3CDTF">2026-10-30T06:34:49Z</dcterms:modified>
  <cp:lastModifiedBy>Jeong, Peter</cp:lastModifiedBy>
  <cp:revision>0</cp:revision>
  <cp:lastPrinted>2026-10-14T02:54:00Z</cp:lastPrinted>
</cp:coreProperties>
</file>