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555" yWindow="1005" windowWidth="21600" windowHeight="11235" tabRatio="500" firstSheet="0" activeTab="0" autoFilterDateGrouping="1"/>
  </bookViews>
  <sheets>
    <sheet xmlns:r="http://schemas.openxmlformats.org/officeDocument/2006/relationships" name="발주서" sheetId="1" state="visible" r:id="rId1"/>
  </sheets>
  <definedNames>
    <definedName name="_xlnm.Print_Area" localSheetId="0">'발주서'!$A$1:$I$69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yyyy\-mm\-dd"/>
    <numFmt numFmtId="166" formatCode="yyyy-mm-dd"/>
  </numFmts>
  <fonts count="20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1F3864"/>
      <sz val="20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color rgb="FF0000FF"/>
      <sz val="9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color rgb="FF000000"/>
      <sz val="9"/>
    </font>
    <font>
      <name val="Malgun Gothic"/>
      <charset val="129"/>
      <family val="3"/>
      <i val="1"/>
      <color rgb="FF595959"/>
      <sz val="8"/>
    </font>
    <font>
      <name val="Malgun Gothic"/>
      <charset val="129"/>
      <family val="3"/>
      <b val="1"/>
      <color rgb="FF1F3864"/>
      <sz val="9"/>
    </font>
    <font>
      <name val="Malgun Gothic"/>
      <charset val="129"/>
      <family val="3"/>
      <color rgb="FF404040"/>
      <sz val="8"/>
    </font>
    <font>
      <name val="Calibri"/>
      <charset val="1"/>
      <family val="2"/>
      <color theme="10"/>
      <sz val="11"/>
      <u val="single"/>
    </font>
    <font>
      <name val="Malgun Gothic"/>
      <charset val="129"/>
      <family val="3"/>
      <color rgb="FF0000FF"/>
      <sz val="8"/>
    </font>
    <font>
      <name val="Malgun Gothic"/>
      <charset val="1"/>
      <family val="2"/>
      <color theme="1"/>
      <sz val="11"/>
    </font>
    <font>
      <name val="Malgun Gothic"/>
      <family val="2"/>
      <b val="1"/>
      <color rgb="FF1F3864"/>
      <sz val="13"/>
    </font>
    <font>
      <name val="Malgun Gothic"/>
      <charset val="1"/>
      <family val="2"/>
      <color theme="10"/>
      <sz val="11"/>
      <u val="single"/>
    </font>
    <font>
      <name val="Malgun Gothic"/>
      <family val="2"/>
      <color rgb="FF0000FF"/>
      <sz val="9"/>
    </font>
    <font>
      <name val="Malgun Gothic"/>
      <family val="2"/>
      <b val="1"/>
      <color rgb="FF1F3864"/>
      <sz val="14"/>
    </font>
    <font>
      <name val="Malgun Gothic"/>
      <family val="2"/>
      <b val="1"/>
      <color rgb="FF1F3864"/>
      <sz val="10"/>
    </font>
    <font>
      <name val="Malgun Gothic"/>
      <family val="2"/>
      <color rgb="FF000000"/>
      <sz val="9"/>
    </font>
    <font>
      <name val="Malgun Gothic"/>
      <family val="2"/>
      <i val="1"/>
      <color rgb="FF7F7F7F"/>
      <sz val="8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</fills>
  <borders count="12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9" fillId="0" borderId="0"/>
  </cellStyleXfs>
  <cellXfs count="73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 indent="1"/>
    </xf>
    <xf numFmtId="0" fontId="2" fillId="2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center" vertical="center" wrapText="1"/>
    </xf>
    <xf numFmtId="9" fontId="3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top" wrapText="1" indent="1"/>
    </xf>
    <xf numFmtId="0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11" fillId="0" borderId="0" pivotButton="0" quotePrefix="0" xfId="0"/>
    <xf numFmtId="0" fontId="11" fillId="0" borderId="1" pivotButton="0" quotePrefix="0" xfId="0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17" fillId="0" borderId="2" applyAlignment="1" pivotButton="0" quotePrefix="0" xfId="0">
      <alignment vertical="top" wrapText="1" indent="1"/>
    </xf>
    <xf numFmtId="0" fontId="18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left" vertical="center" wrapText="1" indent="1"/>
    </xf>
    <xf numFmtId="0" fontId="11" fillId="0" borderId="4" pivotButton="0" quotePrefix="0" xfId="0"/>
    <xf numFmtId="0" fontId="11" fillId="0" borderId="3" pivotButton="0" quotePrefix="0" xfId="0"/>
    <xf numFmtId="0" fontId="3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center" vertical="center" wrapText="1"/>
    </xf>
    <xf numFmtId="0" fontId="11" fillId="0" borderId="6" pivotButton="0" quotePrefix="0" xfId="0"/>
    <xf numFmtId="0" fontId="11" fillId="0" borderId="9" pivotButton="0" quotePrefix="0" xfId="0"/>
    <xf numFmtId="0" fontId="11" fillId="0" borderId="11" pivotButton="0" quotePrefix="0" xfId="0"/>
    <xf numFmtId="0" fontId="14" fillId="3" borderId="2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left" vertical="center" wrapText="1" indent="1"/>
    </xf>
    <xf numFmtId="165" fontId="3" fillId="3" borderId="2" applyAlignment="1" pivotButton="0" quotePrefix="0" xfId="0">
      <alignment horizontal="center" vertical="center" wrapText="1"/>
    </xf>
    <xf numFmtId="0" fontId="11" fillId="0" borderId="7" pivotButton="0" quotePrefix="0" xfId="0"/>
    <xf numFmtId="0" fontId="11" fillId="0" borderId="8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top" wrapText="1" indent="1"/>
    </xf>
    <xf numFmtId="0" fontId="11" fillId="0" borderId="5" pivotButton="0" quotePrefix="0" xfId="0"/>
    <xf numFmtId="0" fontId="11" fillId="0" borderId="10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3" fillId="3" borderId="2" applyAlignment="1" pivotButton="0" quotePrefix="0" xfId="1">
      <alignment horizontal="left" vertical="center" wrapText="1" indent="1"/>
    </xf>
    <xf numFmtId="0" fontId="0" fillId="0" borderId="3" pivotButton="0" quotePrefix="0" xfId="0"/>
    <xf numFmtId="166" fontId="3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5" pivotButton="0" quotePrefix="0" xfId="0"/>
    <xf numFmtId="164" fontId="2" fillId="0" borderId="2" applyAlignment="1" pivotButton="0" quotePrefix="0" xfId="0">
      <alignment horizontal="right" vertical="center"/>
    </xf>
    <xf numFmtId="0" fontId="0" fillId="0" borderId="10" pivotButton="0" quotePrefix="0" xfId="0"/>
    <xf numFmtId="164" fontId="4" fillId="4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left" vertical="center" wrapText="1" inden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IOB</author>
  </authors>
  <commentList>
    <comment ref="H41" authorId="0" shapeId="0">
      <text>
        <t>부가세율: 국내 거래(과세) 10% / 영세율(수출·외항선 선용품) 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571500</colOff>
      <row>67</row>
      <rowOff>28575</rowOff>
    </from>
    <to>
      <col>3</col>
      <colOff>566208</colOff>
      <row>68</row>
      <rowOff>57150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0" y="15487650"/>
          <a:ext cx="1985433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jeong@iobsm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tabSelected="1" zoomScaleNormal="100" workbookViewId="0">
      <selection activeCell="K11" sqref="K11"/>
    </sheetView>
  </sheetViews>
  <sheetFormatPr baseColWidth="8" defaultColWidth="8.7109375" defaultRowHeight="15"/>
  <cols>
    <col width="5" customWidth="1" min="1" max="1"/>
    <col width="15" customWidth="1" min="2" max="2"/>
    <col width="29.85546875" customWidth="1" min="3" max="3"/>
    <col width="18" customWidth="1" min="4" max="5"/>
    <col width="7" customWidth="1" min="6" max="7"/>
    <col width="14" customWidth="1" min="8" max="8"/>
    <col width="17" customWidth="1" min="9" max="9"/>
  </cols>
  <sheetData>
    <row r="1" ht="31.5" customHeight="1">
      <c r="A1" s="50" t="inlineStr">
        <is>
          <t>발  주  서</t>
        </is>
      </c>
    </row>
    <row r="2" ht="21.75" customHeight="1">
      <c r="A2" s="36" t="n"/>
    </row>
    <row r="3" ht="16.5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</row>
    <row r="4" ht="15" customHeight="1">
      <c r="A4" s="27" t="inlineStr">
        <is>
          <t>발주번호</t>
        </is>
      </c>
      <c r="B4" s="58" t="n"/>
      <c r="C4" s="30" t="inlineStr">
        <is>
          <t>IOB-PO-2026-</t>
        </is>
      </c>
      <c r="D4" s="27" t="inlineStr">
        <is>
          <t>발주일자</t>
        </is>
      </c>
      <c r="E4" s="59" t="n">
        <v>46325</v>
      </c>
      <c r="F4" s="58" t="n"/>
      <c r="G4" s="27" t="inlineStr">
        <is>
          <t>통화</t>
        </is>
      </c>
      <c r="H4" s="58" t="n"/>
      <c r="I4" s="31" t="inlineStr">
        <is>
          <t>KRW</t>
        </is>
      </c>
    </row>
    <row r="5" ht="24.6" customHeight="1">
      <c r="A5" s="27" t="inlineStr">
        <is>
          <t>견적번호</t>
        </is>
      </c>
      <c r="B5" s="58" t="n"/>
      <c r="C5" s="30" t="inlineStr">
        <is>
          <t>DCSQ261027-1</t>
        </is>
      </c>
      <c r="D5" s="27" t="inlineStr">
        <is>
          <t>견적일자</t>
        </is>
      </c>
      <c r="E5" s="59" t="n">
        <v>46322</v>
      </c>
      <c r="F5" s="58" t="n"/>
      <c r="G5" s="27" t="inlineStr">
        <is>
          <t>개정차수</t>
        </is>
      </c>
      <c r="H5" s="58" t="n"/>
      <c r="I5" s="31" t="inlineStr">
        <is>
          <t>0</t>
        </is>
      </c>
    </row>
    <row r="6" ht="16.5" customHeight="1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</row>
    <row r="7" ht="15" customHeight="1">
      <c r="A7" s="39" t="inlineStr">
        <is>
          <t>구매자 (선주)</t>
        </is>
      </c>
      <c r="B7" s="60" t="n"/>
      <c r="C7" s="60" t="n"/>
      <c r="D7" s="58" t="n"/>
      <c r="E7" s="39" t="inlineStr">
        <is>
          <t>C/O (관리회사) / 대리인</t>
        </is>
      </c>
      <c r="F7" s="60" t="n"/>
      <c r="G7" s="60" t="n"/>
      <c r="H7" s="60" t="n"/>
      <c r="I7" s="58" t="n"/>
    </row>
    <row r="8" ht="18" customHeight="1">
      <c r="A8" s="27" t="inlineStr">
        <is>
          <t>회사명</t>
        </is>
      </c>
      <c r="B8" s="58" t="n"/>
      <c r="C8" s="30" t="inlineStr">
        <is>
          <t>Asteron Norvex Trivanta Vellori Pte. Ltd.</t>
        </is>
      </c>
      <c r="D8" s="58" t="n"/>
      <c r="E8" s="27" t="inlineStr">
        <is>
          <t>C/O (관리회사)</t>
        </is>
      </c>
      <c r="F8" s="30" t="inlineStr">
        <is>
          <t>IOB CO., LTD.</t>
        </is>
      </c>
      <c r="G8" s="60" t="n"/>
      <c r="H8" s="60" t="n"/>
      <c r="I8" s="58" t="n"/>
    </row>
    <row r="9" ht="18" customHeight="1">
      <c r="A9" s="27" t="inlineStr">
        <is>
          <t>주소</t>
        </is>
      </c>
      <c r="B9" s="61" t="n"/>
      <c r="C9" s="30" t="inlineStr">
        <is>
          <t>70 ANSON ROAD, #25-01, HUB SYNERGY POINT, SINGAPORE 079905</t>
        </is>
      </c>
      <c r="D9" s="61" t="n"/>
      <c r="E9" s="27" t="inlineStr">
        <is>
          <t>주소</t>
        </is>
      </c>
      <c r="F9" s="52" t="inlineStr">
        <is>
          <t>부산광역시 중구 대교로 119, CJ빌딩 11층</t>
        </is>
      </c>
      <c r="G9" s="60" t="n"/>
      <c r="H9" s="60" t="n"/>
      <c r="I9" s="58" t="n"/>
    </row>
    <row r="10" ht="18" customHeight="1">
      <c r="A10" s="62" t="n"/>
      <c r="B10" s="63" t="n"/>
      <c r="C10" s="62" t="n"/>
      <c r="D10" s="63" t="n"/>
      <c r="E10" s="27" t="inlineStr">
        <is>
          <t>담당자</t>
        </is>
      </c>
      <c r="F10" s="30" t="inlineStr">
        <is>
          <t>정태성 차장</t>
        </is>
      </c>
      <c r="G10" s="60" t="n"/>
      <c r="H10" s="60" t="n"/>
      <c r="I10" s="58" t="n"/>
    </row>
    <row r="11" ht="18" customHeight="1">
      <c r="A11" s="62" t="n"/>
      <c r="B11" s="63" t="n"/>
      <c r="C11" s="62" t="n"/>
      <c r="D11" s="63" t="n"/>
      <c r="E11" s="27" t="inlineStr">
        <is>
          <t>전화</t>
        </is>
      </c>
      <c r="F11" s="30" t="inlineStr">
        <is>
          <t>070-4708-2810</t>
        </is>
      </c>
      <c r="G11" s="60" t="n"/>
      <c r="H11" s="60" t="n"/>
      <c r="I11" s="58" t="n"/>
    </row>
    <row r="12" ht="18" customHeight="1">
      <c r="A12" s="64" t="n"/>
      <c r="B12" s="65" t="n"/>
      <c r="C12" s="64" t="n"/>
      <c r="D12" s="65" t="n"/>
      <c r="E12" s="27" t="inlineStr">
        <is>
          <t>이메일</t>
        </is>
      </c>
      <c r="F12" s="57" t="inlineStr">
        <is>
          <t>peter.jeong@iobsm.kr</t>
        </is>
      </c>
      <c r="G12" s="60" t="n"/>
      <c r="H12" s="60" t="n"/>
      <c r="I12" s="58" t="n"/>
    </row>
    <row r="13" ht="16.5" customHeight="1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</row>
    <row r="14" ht="15" customHeight="1">
      <c r="A14" s="39" t="inlineStr">
        <is>
          <t>공급업체</t>
        </is>
      </c>
      <c r="B14" s="60" t="n"/>
      <c r="C14" s="60" t="n"/>
      <c r="D14" s="60" t="n"/>
      <c r="E14" s="60" t="n"/>
      <c r="F14" s="60" t="n"/>
      <c r="G14" s="60" t="n"/>
      <c r="H14" s="60" t="n"/>
      <c r="I14" s="58" t="n"/>
    </row>
    <row r="15" ht="18" customHeight="1">
      <c r="A15" s="27" t="inlineStr">
        <is>
          <t>업체명</t>
        </is>
      </c>
      <c r="B15" s="58" t="n"/>
      <c r="C15" s="30" t="inlineStr">
        <is>
          <t>DACOS CO., LTD. (다코스, Danfoss 공식 파트너)</t>
        </is>
      </c>
      <c r="D15" s="58" t="n"/>
      <c r="E15" s="27" t="inlineStr">
        <is>
          <t>담당자</t>
        </is>
      </c>
      <c r="F15" s="30" t="inlineStr">
        <is>
          <t>김남희 매니저</t>
        </is>
      </c>
      <c r="G15" s="60" t="n"/>
      <c r="H15" s="60" t="n"/>
      <c r="I15" s="58" t="n"/>
    </row>
    <row r="16" ht="18" customHeight="1">
      <c r="A16" s="27" t="inlineStr">
        <is>
          <t>주소</t>
        </is>
      </c>
      <c r="B16" s="61" t="n"/>
      <c r="C16" s="30" t="inlineStr">
        <is>
          <t>부산 금정구 공단동로41번길 10, 보림팩토피아 501·503호</t>
        </is>
      </c>
      <c r="D16" s="61" t="n"/>
      <c r="E16" s="27" t="inlineStr">
        <is>
          <t>전화</t>
        </is>
      </c>
      <c r="F16" s="30" t="inlineStr">
        <is>
          <t>051-784-9584 / 9585 (Fax 051-784-9586)</t>
        </is>
      </c>
      <c r="G16" s="60" t="n"/>
      <c r="H16" s="60" t="n"/>
      <c r="I16" s="58" t="n"/>
    </row>
    <row r="17" ht="18" customHeight="1">
      <c r="A17" s="64" t="n"/>
      <c r="B17" s="65" t="n"/>
      <c r="C17" s="64" t="n"/>
      <c r="D17" s="65" t="n"/>
      <c r="E17" s="27" t="inlineStr">
        <is>
          <t>이메일</t>
        </is>
      </c>
      <c r="F17" s="30" t="inlineStr">
        <is>
          <t>dacos@dacos.co</t>
        </is>
      </c>
      <c r="G17" s="60" t="n"/>
      <c r="H17" s="60" t="n"/>
      <c r="I17" s="58" t="n"/>
    </row>
    <row r="18" ht="16.5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</row>
    <row r="19" ht="19.5" customHeight="1">
      <c r="A19" s="39" t="inlineStr">
        <is>
          <t>선박 및 엔진 정보</t>
        </is>
      </c>
      <c r="B19" s="60" t="n"/>
      <c r="C19" s="60" t="n"/>
      <c r="D19" s="60" t="n"/>
      <c r="E19" s="60" t="n"/>
      <c r="F19" s="60" t="n"/>
      <c r="G19" s="60" t="n"/>
      <c r="H19" s="60" t="n"/>
      <c r="I19" s="58" t="n"/>
    </row>
    <row r="20" ht="15" customHeight="1">
      <c r="A20" s="54" t="inlineStr">
        <is>
          <t>번호</t>
        </is>
      </c>
      <c r="B20" s="54" t="inlineStr">
        <is>
          <t>선명</t>
        </is>
      </c>
      <c r="C20" s="58" t="n"/>
      <c r="D20" s="54" t="inlineStr">
        <is>
          <t>IMO 번호</t>
        </is>
      </c>
      <c r="E20" s="54" t="inlineStr">
        <is>
          <t>건조 조선소</t>
        </is>
      </c>
      <c r="F20" s="58" t="n"/>
      <c r="G20" s="54" t="inlineStr">
        <is>
          <t>주기관</t>
        </is>
      </c>
      <c r="H20" s="60" t="n"/>
      <c r="I20" s="58" t="n"/>
    </row>
    <row r="21" ht="15" customHeight="1">
      <c r="A21" s="45" t="n">
        <v>1</v>
      </c>
      <c r="B21" s="30" t="inlineStr">
        <is>
          <t>AEOLUS</t>
        </is>
      </c>
      <c r="C21" s="58" t="n"/>
      <c r="D21" s="31" t="inlineStr">
        <is>
          <t>9958298</t>
        </is>
      </c>
      <c r="E21" s="31" t="inlineStr">
        <is>
          <t>한화오션</t>
        </is>
      </c>
      <c r="F21" s="58" t="n"/>
      <c r="G21" s="31" t="inlineStr">
        <is>
          <t>MAN B&amp;W 5G70ME-C10.5-GA x 2 sets</t>
        </is>
      </c>
      <c r="H21" s="60" t="n"/>
      <c r="I21" s="58" t="n"/>
    </row>
    <row r="22" ht="15" customHeight="1">
      <c r="A22" s="45" t="n">
        <v>2</v>
      </c>
      <c r="B22" s="30" t="inlineStr">
        <is>
          <t>MELICERTES</t>
        </is>
      </c>
      <c r="C22" s="58" t="n"/>
      <c r="D22" s="31" t="inlineStr">
        <is>
          <t>9958303</t>
        </is>
      </c>
      <c r="E22" s="31" t="inlineStr">
        <is>
          <t>한화오션</t>
        </is>
      </c>
      <c r="F22" s="58" t="n"/>
      <c r="G22" s="31" t="inlineStr">
        <is>
          <t>MAN B&amp;W 5G70ME-C10.5-GA x 2 sets</t>
        </is>
      </c>
      <c r="H22" s="60" t="n"/>
      <c r="I22" s="58" t="n"/>
    </row>
    <row r="23" ht="15" customHeight="1">
      <c r="A23" s="45" t="n">
        <v>3</v>
      </c>
      <c r="B23" s="30" t="inlineStr">
        <is>
          <t>NELEUS</t>
        </is>
      </c>
      <c r="C23" s="58" t="n"/>
      <c r="D23" s="31" t="inlineStr">
        <is>
          <t>9958315</t>
        </is>
      </c>
      <c r="E23" s="31" t="inlineStr">
        <is>
          <t>한화오션</t>
        </is>
      </c>
      <c r="F23" s="58" t="n"/>
      <c r="G23" s="31" t="inlineStr">
        <is>
          <t>MAN B&amp;W 5G70ME-C10.5-GA x 2 sets</t>
        </is>
      </c>
      <c r="H23" s="60" t="n"/>
      <c r="I23" s="58" t="n"/>
    </row>
    <row r="24" ht="15" customHeight="1">
      <c r="A24" s="45" t="n">
        <v>4</v>
      </c>
      <c r="B24" s="30" t="inlineStr">
        <is>
          <t>ONEIROI</t>
        </is>
      </c>
      <c r="C24" s="58" t="n"/>
      <c r="D24" s="31" t="inlineStr">
        <is>
          <t>9958327</t>
        </is>
      </c>
      <c r="E24" s="31" t="inlineStr">
        <is>
          <t>한화오션</t>
        </is>
      </c>
      <c r="F24" s="58" t="n"/>
      <c r="G24" s="31" t="inlineStr">
        <is>
          <t>MAN B&amp;W 5G70ME-C10.5-GA x 2 sets</t>
        </is>
      </c>
      <c r="H24" s="60" t="n"/>
      <c r="I24" s="58" t="n"/>
    </row>
    <row r="25" ht="16.5" customHeight="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6" ht="19.5" customHeight="1">
      <c r="A26" s="39" t="inlineStr">
        <is>
          <t>주문 내역</t>
        </is>
      </c>
      <c r="B26" s="60" t="n"/>
      <c r="C26" s="60" t="n"/>
      <c r="D26" s="60" t="n"/>
      <c r="E26" s="60" t="n"/>
      <c r="F26" s="60" t="n"/>
      <c r="G26" s="60" t="n"/>
      <c r="H26" s="60" t="n"/>
      <c r="I26" s="58" t="n"/>
    </row>
    <row r="27" ht="30" customHeight="1">
      <c r="A27" s="54" t="inlineStr">
        <is>
          <t>번호</t>
        </is>
      </c>
      <c r="B27" s="54" t="inlineStr">
        <is>
          <t>선박</t>
        </is>
      </c>
      <c r="C27" s="54" t="inlineStr">
        <is>
          <t>품명 / 사양</t>
        </is>
      </c>
      <c r="D27" s="54" t="inlineStr">
        <is>
          <t>부품번호 /
도면번호</t>
        </is>
      </c>
      <c r="E27" s="54" t="inlineStr">
        <is>
          <t>구분</t>
        </is>
      </c>
      <c r="F27" s="54" t="inlineStr">
        <is>
          <t>수량</t>
        </is>
      </c>
      <c r="G27" s="54" t="inlineStr">
        <is>
          <t>단위</t>
        </is>
      </c>
      <c r="H27" s="54">
        <f>"단가"&amp;CHAR(10)&amp;"("&amp;$I$4&amp;")"</f>
        <v/>
      </c>
      <c r="I27" s="54">
        <f>"금액"&amp;CHAR(10)&amp;"("&amp;$I$4&amp;")"</f>
        <v/>
      </c>
    </row>
    <row r="28" ht="58" customHeight="1">
      <c r="A28" s="45" t="n">
        <v>1</v>
      </c>
      <c r="B28" s="31" t="inlineStr">
        <is>
          <t>NELEUS</t>
        </is>
      </c>
      <c r="C28" s="30" t="inlineStr">
        <is>
          <t>Pressure transmitter DANFOSS
MBS 3350 / 0...10 bar, 4...20 mA, 10-32 VDC</t>
        </is>
      </c>
      <c r="D28" s="31" t="inlineStr">
        <is>
          <t>060G6529</t>
        </is>
      </c>
      <c r="E28" s="31" t="n"/>
      <c r="F28" s="6" t="n">
        <v>2</v>
      </c>
      <c r="G28" s="31" t="inlineStr">
        <is>
          <t>PC</t>
        </is>
      </c>
      <c r="H28" s="66" t="n">
        <v>235000</v>
      </c>
      <c r="I28" s="67">
        <f>IF(OR(F28="",H28=""),"",F28*H28)</f>
        <v/>
      </c>
    </row>
    <row r="29" ht="84" customHeight="1">
      <c r="A29" s="45" t="n">
        <v>2</v>
      </c>
      <c r="B29" s="31" t="inlineStr">
        <is>
          <t>NELEUS</t>
        </is>
      </c>
      <c r="C29" s="30" t="inlineStr">
        <is>
          <t>Pressure transmitter DANFOSS
MBS 3300 / 0...10 bar, 4...20 mA, 10-32 VDC
※ 견적서 표기 MBS 3050 – 모델 확인 요망</t>
        </is>
      </c>
      <c r="D29" s="31" t="inlineStr">
        <is>
          <t>060G6395</t>
        </is>
      </c>
      <c r="E29" s="31" t="n"/>
      <c r="F29" s="6" t="n">
        <v>2</v>
      </c>
      <c r="G29" s="31" t="inlineStr">
        <is>
          <t>PC</t>
        </is>
      </c>
      <c r="H29" s="66" t="n">
        <v>145000</v>
      </c>
      <c r="I29" s="67">
        <f>IF(OR(F29="",H29=""),"",F29*H29)</f>
        <v/>
      </c>
    </row>
    <row r="30" ht="30" customHeight="1">
      <c r="A30" s="45" t="n">
        <v>3</v>
      </c>
      <c r="B30" s="31" t="n"/>
      <c r="C30" s="30" t="n"/>
      <c r="D30" s="31" t="n"/>
      <c r="E30" s="31" t="n"/>
      <c r="F30" s="6" t="n"/>
      <c r="G30" s="31" t="n"/>
      <c r="H30" s="66" t="n"/>
      <c r="I30" s="67">
        <f>IF(OR(F30="",H30=""),"",F30*H30)</f>
        <v/>
      </c>
    </row>
    <row r="31" ht="30" customHeight="1">
      <c r="A31" s="45" t="n">
        <v>4</v>
      </c>
      <c r="B31" s="31" t="n"/>
      <c r="C31" s="30" t="n"/>
      <c r="D31" s="31" t="n"/>
      <c r="E31" s="31" t="n"/>
      <c r="F31" s="6" t="n"/>
      <c r="G31" s="31" t="n"/>
      <c r="H31" s="66" t="n"/>
      <c r="I31" s="67">
        <f>IF(OR(F31="",H31=""),"",F31*H31)</f>
        <v/>
      </c>
    </row>
    <row r="32" ht="18" customHeight="1">
      <c r="A32" s="45" t="n">
        <v>5</v>
      </c>
      <c r="B32" s="31" t="n"/>
      <c r="C32" s="30" t="n"/>
      <c r="D32" s="31" t="n"/>
      <c r="E32" s="31" t="n"/>
      <c r="F32" s="6" t="n"/>
      <c r="G32" s="31" t="n"/>
      <c r="H32" s="66" t="n"/>
      <c r="I32" s="67">
        <f>IF(OR(F32="",H32=""),"",F32*H32)</f>
        <v/>
      </c>
    </row>
    <row r="33" ht="18" customHeight="1">
      <c r="A33" s="45" t="n">
        <v>6</v>
      </c>
      <c r="B33" s="31" t="n"/>
      <c r="C33" s="30" t="n"/>
      <c r="D33" s="31" t="n"/>
      <c r="E33" s="31" t="n"/>
      <c r="F33" s="6" t="n"/>
      <c r="G33" s="31" t="n"/>
      <c r="H33" s="66" t="n"/>
      <c r="I33" s="67">
        <f>IF(OR(F33="",H33=""),"",F33*H33)</f>
        <v/>
      </c>
    </row>
    <row r="34" ht="18" customHeight="1">
      <c r="A34" s="45" t="n">
        <v>7</v>
      </c>
      <c r="B34" s="31" t="n"/>
      <c r="C34" s="30" t="n"/>
      <c r="D34" s="31" t="n"/>
      <c r="E34" s="31" t="n"/>
      <c r="F34" s="6" t="n"/>
      <c r="G34" s="31" t="n"/>
      <c r="H34" s="66" t="n"/>
      <c r="I34" s="67">
        <f>IF(OR(F34="",H34=""),"",F34*H34)</f>
        <v/>
      </c>
    </row>
    <row r="35" ht="18" customHeight="1">
      <c r="A35" s="45" t="n">
        <v>8</v>
      </c>
      <c r="B35" s="31" t="n"/>
      <c r="C35" s="30" t="n"/>
      <c r="D35" s="31" t="n"/>
      <c r="E35" s="31" t="n"/>
      <c r="F35" s="6" t="n"/>
      <c r="G35" s="31" t="n"/>
      <c r="H35" s="66" t="n"/>
      <c r="I35" s="67">
        <f>IF(OR(F35="",H35=""),"",F35*H35)</f>
        <v/>
      </c>
    </row>
    <row r="36" ht="18" customHeight="1">
      <c r="A36" s="45" t="n">
        <v>9</v>
      </c>
      <c r="B36" s="31" t="n"/>
      <c r="C36" s="30" t="n"/>
      <c r="D36" s="31" t="n"/>
      <c r="E36" s="31" t="n"/>
      <c r="F36" s="6" t="n"/>
      <c r="G36" s="31" t="n"/>
      <c r="H36" s="66" t="n"/>
      <c r="I36" s="67">
        <f>IF(OR(F36="",H36=""),"",F36*H36)</f>
        <v/>
      </c>
    </row>
    <row r="37" ht="18" customHeight="1">
      <c r="A37" s="45" t="n">
        <v>10</v>
      </c>
      <c r="B37" s="31" t="n"/>
      <c r="C37" s="30" t="n"/>
      <c r="D37" s="31" t="n"/>
      <c r="E37" s="31" t="n"/>
      <c r="F37" s="6" t="n"/>
      <c r="G37" s="31" t="n"/>
      <c r="H37" s="66" t="n"/>
      <c r="I37" s="67">
        <f>IF(OR(F37="",H37=""),"",F37*H37)</f>
        <v/>
      </c>
    </row>
    <row r="38" ht="18" customHeight="1">
      <c r="A38" s="45" t="n">
        <v>11</v>
      </c>
      <c r="B38" s="31" t="n"/>
      <c r="C38" s="30" t="n"/>
      <c r="D38" s="31" t="n"/>
      <c r="E38" s="31" t="n"/>
      <c r="F38" s="6" t="n"/>
      <c r="G38" s="31" t="n"/>
      <c r="H38" s="66" t="n"/>
      <c r="I38" s="67">
        <f>IF(OR(F38="",H38=""),"",F38*H38)</f>
        <v/>
      </c>
    </row>
    <row r="39" ht="18.75" customHeight="1">
      <c r="A39" s="47" t="inlineStr">
        <is>
          <t>※ 모든 Commercial Invoice(거래명세서), 포장명세서(Packing List), 납품서에 발주번호(PO No.)와 선명을 기재해 주십시오.</t>
        </is>
      </c>
      <c r="B39" s="68" t="n"/>
      <c r="C39" s="68" t="n"/>
      <c r="D39" s="68" t="n"/>
      <c r="E39" s="61" t="n"/>
      <c r="F39" s="27" t="inlineStr">
        <is>
          <t>소계</t>
        </is>
      </c>
      <c r="G39" s="60" t="n"/>
      <c r="H39" s="58" t="n"/>
      <c r="I39" s="69">
        <f>SUM(I28:I38)</f>
        <v/>
      </c>
    </row>
    <row r="40" ht="18.75" customHeight="1">
      <c r="A40" s="62" t="n"/>
      <c r="E40" s="63" t="n"/>
      <c r="F40" s="27" t="inlineStr">
        <is>
          <t>할인</t>
        </is>
      </c>
      <c r="G40" s="60" t="n"/>
      <c r="H40" s="58" t="n"/>
      <c r="I40" s="66" t="n">
        <v>0</v>
      </c>
    </row>
    <row r="41" ht="18.75" customHeight="1">
      <c r="A41" s="62" t="n"/>
      <c r="E41" s="63" t="n"/>
      <c r="F41" s="27" t="inlineStr">
        <is>
          <t>부가세</t>
        </is>
      </c>
      <c r="G41" s="58" t="n"/>
      <c r="H41" s="7" t="n">
        <v>0</v>
      </c>
      <c r="I41" s="67">
        <f>ROUND((I39-I40)*H41,IF($I$4="KRW",0,2))</f>
        <v/>
      </c>
    </row>
    <row r="42" ht="18.75" customHeight="1">
      <c r="A42" s="64" t="n"/>
      <c r="B42" s="70" t="n"/>
      <c r="C42" s="70" t="n"/>
      <c r="D42" s="70" t="n"/>
      <c r="E42" s="65" t="n"/>
      <c r="F42" s="39">
        <f>"합계 ("&amp;$I$4&amp;")"</f>
        <v/>
      </c>
      <c r="G42" s="60" t="n"/>
      <c r="H42" s="58" t="n"/>
      <c r="I42" s="71">
        <f>I39-I40+I41</f>
        <v/>
      </c>
    </row>
    <row r="43" ht="16.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</row>
    <row r="44" ht="19.5" customHeight="1">
      <c r="A44" s="39" t="inlineStr">
        <is>
          <t>거래 조건</t>
        </is>
      </c>
      <c r="B44" s="60" t="n"/>
      <c r="C44" s="60" t="n"/>
      <c r="D44" s="60" t="n"/>
      <c r="E44" s="60" t="n"/>
      <c r="F44" s="60" t="n"/>
      <c r="G44" s="60" t="n"/>
      <c r="H44" s="60" t="n"/>
      <c r="I44" s="58" t="n"/>
    </row>
    <row r="45" ht="18.75" customHeight="1">
      <c r="A45" s="27" t="inlineStr">
        <is>
          <t>인도 예정일</t>
        </is>
      </c>
      <c r="B45" s="60" t="n"/>
      <c r="C45" s="58" t="n"/>
      <c r="D45" s="72" t="n">
        <v>46395</v>
      </c>
      <c r="E45" s="60" t="n"/>
      <c r="F45" s="60" t="n"/>
      <c r="G45" s="60" t="n"/>
      <c r="H45" s="60" t="n"/>
      <c r="I45" s="58" t="n"/>
    </row>
    <row r="46" ht="27" customHeight="1">
      <c r="A46" s="27" t="inlineStr">
        <is>
          <t>인도 장소</t>
        </is>
      </c>
      <c r="B46" s="60" t="n"/>
      <c r="C46" s="58" t="n"/>
      <c r="D46" s="30" t="inlineStr">
        <is>
          <t>Busan PUS1  // Marinetrans Korea // 6th FL, LogisQube Gimhae Juchon Center
996 Deokam-ri, Juchon-myeon, Gimhae-si, Gyeongsangnam-do, Busan 50878 South-Korea</t>
        </is>
      </c>
      <c r="E46" s="60" t="n"/>
      <c r="F46" s="60" t="n"/>
      <c r="G46" s="60" t="n"/>
      <c r="H46" s="60" t="n"/>
      <c r="I46" s="58" t="n"/>
    </row>
    <row r="47" ht="18.75" customHeight="1">
      <c r="A47" s="27" t="inlineStr">
        <is>
          <t>인도 조건</t>
        </is>
      </c>
      <c r="B47" s="60" t="n"/>
      <c r="C47" s="58" t="n"/>
      <c r="D47" s="35" t="inlineStr">
        <is>
          <t>인도 장소 도착도 (택배 발송) – DACOS 견적 조건 / 견적 유효기간: 견적 후 1주일, 부가세 별도</t>
        </is>
      </c>
      <c r="E47" s="60" t="n"/>
      <c r="F47" s="60" t="n"/>
      <c r="G47" s="60" t="n"/>
      <c r="H47" s="60" t="n"/>
      <c r="I47" s="58" t="n"/>
    </row>
    <row r="48" ht="18.75" customHeight="1">
      <c r="A48" s="27" t="inlineStr">
        <is>
          <t>결제 조건</t>
        </is>
      </c>
      <c r="B48" s="60" t="n"/>
      <c r="C48" s="58" t="n"/>
      <c r="D48" s="30" t="inlineStr">
        <is>
          <t>물품 및 세금계산서 수령 후 30일 이내</t>
        </is>
      </c>
      <c r="E48" s="60" t="n"/>
      <c r="F48" s="60" t="n"/>
      <c r="G48" s="60" t="n"/>
      <c r="H48" s="60" t="n"/>
      <c r="I48" s="58" t="n"/>
    </row>
    <row r="49" ht="18.75" customHeight="1">
      <c r="A49" s="27" t="inlineStr">
        <is>
          <t>품질</t>
        </is>
      </c>
      <c r="B49" s="60" t="n"/>
      <c r="C49" s="58" t="n"/>
      <c r="D49" s="30" t="inlineStr">
        <is>
          <t>메이커 순정품에 한함</t>
        </is>
      </c>
      <c r="E49" s="60" t="n"/>
      <c r="F49" s="60" t="n"/>
      <c r="G49" s="60" t="n"/>
      <c r="H49" s="60" t="n"/>
      <c r="I49" s="58" t="n"/>
    </row>
    <row r="50" ht="38.25" customHeight="1">
      <c r="A50" s="27" t="inlineStr">
        <is>
          <t>필요 서류</t>
        </is>
      </c>
      <c r="B50" s="60" t="n"/>
      <c r="C50" s="58" t="n"/>
      <c r="D50" s="30" t="inlineStr">
        <is>
          <t>Commercial Invoice(거래명세서), 포장명세서(Packing List), 선적완료증명서 및 본선수령증(Delivery Receipt) 사본, 메이커 증명서(해당 시)</t>
        </is>
      </c>
      <c r="E50" s="60" t="n"/>
      <c r="F50" s="60" t="n"/>
      <c r="G50" s="60" t="n"/>
      <c r="H50" s="60" t="n"/>
      <c r="I50" s="58" t="n"/>
    </row>
    <row r="51" ht="18.75" customHeight="1">
      <c r="A51" s="27" t="inlineStr">
        <is>
          <t>품질보증</t>
        </is>
      </c>
      <c r="B51" s="60" t="n"/>
      <c r="C51" s="58" t="n"/>
      <c r="D51" s="35" t="inlineStr">
        <is>
          <t>보증 가능 여부 확인 요망</t>
        </is>
      </c>
      <c r="E51" s="60" t="n"/>
      <c r="F51" s="60" t="n"/>
      <c r="G51" s="60" t="n"/>
      <c r="H51" s="60" t="n"/>
      <c r="I51" s="58" t="n"/>
    </row>
    <row r="52" ht="18.75" customHeight="1">
      <c r="A52" s="27" t="inlineStr">
        <is>
          <t>포장 및 표시</t>
        </is>
      </c>
      <c r="B52" s="60" t="n"/>
      <c r="C52" s="58" t="n"/>
      <c r="D52" s="30" t="inlineStr">
        <is>
          <t>해상운송용 포장 / 각 포장에 PO No. 및 선명 표기</t>
        </is>
      </c>
      <c r="E52" s="60" t="n"/>
      <c r="F52" s="60" t="n"/>
      <c r="G52" s="60" t="n"/>
      <c r="H52" s="60" t="n"/>
      <c r="I52" s="58" t="n"/>
    </row>
    <row r="53" ht="16.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</row>
    <row r="54" ht="19.5" customHeight="1">
      <c r="A54" s="39" t="inlineStr">
        <is>
          <t>비고</t>
        </is>
      </c>
      <c r="B54" s="60" t="n"/>
      <c r="C54" s="60" t="n"/>
      <c r="D54" s="60" t="n"/>
      <c r="E54" s="60" t="n"/>
      <c r="F54" s="60" t="n"/>
      <c r="G54" s="60" t="n"/>
      <c r="H54" s="60" t="n"/>
      <c r="I54" s="58" t="n"/>
    </row>
    <row r="55" ht="44.1" customHeight="1">
      <c r="A55" s="53">
        <f>"1. 본 발주는 선박관리계약에 따라 IOB가 선주사(구매자) 및 해당 선박을 대신하여 수행하는 구매대행입니다. IOB는 실질 매입자 또는 공급받는 자가 아니며, 대금은 선주사의 위임에 따라 IOB가 대신 지급합니다."&amp;CHAR(10)&amp;"2. Commercial Invoice(거래명세서)에는 선주사, 선박명, IMO No.를 기재하고, 비고란에 'Payment made by IOB Co., Ltd. on behalf of "&amp;C8&amp;" under the ship management agreement'를 표기해 주십시오."&amp;CHAR(10)&amp;"3. 외항선 적재 물품은 본선 적재 전에 세관 적재허가 신청을 완료하고, 납품 후 선적완료증명서와 본선수령증(Delivery Receipt) 사본을 IOB에 제출해 주십시오."&amp;CHAR(10)&amp;"4. 영세율 처리 방식은 귀사 세무 확인 결과를 사전에 IOB에 알려 주십시오."</f>
        <v/>
      </c>
      <c r="B55" s="68" t="n"/>
      <c r="C55" s="68" t="n"/>
      <c r="D55" s="68" t="n"/>
      <c r="E55" s="68" t="n"/>
      <c r="F55" s="68" t="n"/>
      <c r="G55" s="68" t="n"/>
      <c r="H55" s="68" t="n"/>
      <c r="I55" s="61" t="n"/>
    </row>
    <row r="56" ht="44.1" customHeight="1">
      <c r="A56" s="62" t="n"/>
      <c r="I56" s="63" t="n"/>
    </row>
    <row r="57" ht="44.1" customHeight="1">
      <c r="A57" s="64" t="n"/>
      <c r="B57" s="70" t="n"/>
      <c r="C57" s="70" t="n"/>
      <c r="D57" s="70" t="n"/>
      <c r="E57" s="70" t="n"/>
      <c r="F57" s="70" t="n"/>
      <c r="G57" s="70" t="n"/>
      <c r="H57" s="70" t="n"/>
      <c r="I57" s="65" t="n"/>
    </row>
    <row r="58" ht="16.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</row>
    <row r="59" ht="15" customHeight="1">
      <c r="A59" s="40" t="inlineStr">
        <is>
          <t>일반 조건</t>
        </is>
      </c>
    </row>
    <row r="60" ht="24" customHeight="1">
      <c r="A60" s="56" t="inlineStr">
        <is>
          <t>1. 공급업체는 본 발주서를 받은 날로부터 영업일 3일 이내에 아래 '공급업체 승인' 란에 서명(및 날인)하여 회신(주문확인)해야 하며, 서명은 비고란의 내용에 동의한 것으로 봅니다.</t>
        </is>
      </c>
    </row>
    <row r="61" ht="15" customHeight="1">
      <c r="A61" s="38" t="inlineStr">
        <is>
          <t>2. 본 주문과 다른 품목(대체품 및 비순정품 포함)은 구매자의 사전 서면 승인 없이 납품할 수 없습니다.</t>
        </is>
      </c>
    </row>
    <row r="62" ht="15" customHeight="1">
      <c r="A62" s="38" t="inlineStr">
        <is>
          <t>3. 납기 지연이 예상되는 경우 공급업체는 즉시 구매자에게 서면으로 통지해야 합니다.</t>
        </is>
      </c>
    </row>
    <row r="63" ht="15" customHeight="1">
      <c r="A63" s="38" t="inlineStr">
        <is>
          <t>4. 본 발주서에 명시되지 않은 사항은 상호 협의하여 정합니다.</t>
        </is>
      </c>
    </row>
    <row r="64" ht="16.5" customHeight="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</row>
    <row r="65" ht="15" customHeight="1">
      <c r="A65" s="55" t="inlineStr">
        <is>
          <t>발주자</t>
        </is>
      </c>
      <c r="B65" s="60" t="n"/>
      <c r="C65" s="60" t="n"/>
      <c r="D65" s="58" t="n"/>
      <c r="E65" s="37" t="n"/>
      <c r="F65" s="55" t="inlineStr">
        <is>
          <t>공급업체 승인</t>
        </is>
      </c>
      <c r="G65" s="60" t="n"/>
      <c r="H65" s="60" t="n"/>
      <c r="I65" s="58" t="n"/>
    </row>
    <row r="66" ht="19.5" customHeight="1">
      <c r="A66" s="27" t="inlineStr">
        <is>
          <t>회사명</t>
        </is>
      </c>
      <c r="B66" s="58" t="n"/>
      <c r="C66" s="30" t="inlineStr">
        <is>
          <t>IOB CO., LTD.</t>
        </is>
      </c>
      <c r="D66" s="58" t="n"/>
      <c r="E66" s="37" t="n"/>
      <c r="F66" s="27" t="inlineStr">
        <is>
          <t>회사명</t>
        </is>
      </c>
      <c r="G66" s="58" t="n"/>
      <c r="H66" s="46" t="n"/>
      <c r="I66" s="58" t="n"/>
    </row>
    <row r="67" ht="19.5" customHeight="1">
      <c r="A67" s="27" t="inlineStr">
        <is>
          <t>성명 / 직위</t>
        </is>
      </c>
      <c r="B67" s="58" t="n"/>
      <c r="C67" s="30" t="inlineStr">
        <is>
          <t>정태성 / 차장</t>
        </is>
      </c>
      <c r="D67" s="58" t="n"/>
      <c r="E67" s="37" t="n"/>
      <c r="F67" s="27" t="inlineStr">
        <is>
          <t>성명 / 직위</t>
        </is>
      </c>
      <c r="G67" s="58" t="n"/>
      <c r="H67" s="46" t="n"/>
      <c r="I67" s="58" t="n"/>
    </row>
    <row r="68" ht="48" customHeight="1">
      <c r="A68" s="27" t="inlineStr">
        <is>
          <t>서명 / 날인</t>
        </is>
      </c>
      <c r="B68" s="58" t="n"/>
      <c r="C68" s="51" t="inlineStr">
        <is>
          <t xml:space="preserve">     </t>
        </is>
      </c>
      <c r="D68" s="58" t="n"/>
      <c r="E68" s="37" t="n"/>
      <c r="F68" s="27" t="inlineStr">
        <is>
          <t>서명 / 날인</t>
        </is>
      </c>
      <c r="G68" s="58" t="n"/>
      <c r="H68" s="45" t="n"/>
      <c r="I68" s="58" t="n"/>
    </row>
    <row r="69" ht="19.5" customHeight="1">
      <c r="A69" s="27" t="inlineStr">
        <is>
          <t>일자</t>
        </is>
      </c>
      <c r="B69" s="58" t="n"/>
      <c r="C69" s="59" t="n">
        <v>46325</v>
      </c>
      <c r="D69" s="58" t="n"/>
      <c r="E69" s="37" t="n"/>
      <c r="F69" s="27" t="inlineStr">
        <is>
          <t>일자</t>
        </is>
      </c>
      <c r="G69" s="58" t="n"/>
      <c r="H69" s="46" t="n"/>
      <c r="I69" s="58" t="n"/>
    </row>
  </sheetData>
  <mergeCells count="91">
    <mergeCell ref="A15:B15"/>
    <mergeCell ref="A46:C46"/>
    <mergeCell ref="C15:D15"/>
    <mergeCell ref="F68:G68"/>
    <mergeCell ref="E23:F23"/>
    <mergeCell ref="B22:C22"/>
    <mergeCell ref="G24:I24"/>
    <mergeCell ref="B21:C21"/>
    <mergeCell ref="A2:I2"/>
    <mergeCell ref="F16:I16"/>
    <mergeCell ref="A62:I62"/>
    <mergeCell ref="F39:H39"/>
    <mergeCell ref="A52:C52"/>
    <mergeCell ref="A19:I19"/>
    <mergeCell ref="A7:D7"/>
    <mergeCell ref="F15:I15"/>
    <mergeCell ref="A59:I59"/>
    <mergeCell ref="B24:C24"/>
    <mergeCell ref="A49:C49"/>
    <mergeCell ref="E7:I7"/>
    <mergeCell ref="C67:D67"/>
    <mergeCell ref="A68:B68"/>
    <mergeCell ref="D45:I45"/>
    <mergeCell ref="E22:F22"/>
    <mergeCell ref="A61:I61"/>
    <mergeCell ref="C69:D69"/>
    <mergeCell ref="C9:D12"/>
    <mergeCell ref="E5:F5"/>
    <mergeCell ref="A26:I26"/>
    <mergeCell ref="H68:I68"/>
    <mergeCell ref="E4:F4"/>
    <mergeCell ref="F66:G66"/>
    <mergeCell ref="H69:I69"/>
    <mergeCell ref="D51:I51"/>
    <mergeCell ref="A63:I63"/>
    <mergeCell ref="A39:E42"/>
    <mergeCell ref="D50:I50"/>
    <mergeCell ref="A8:B8"/>
    <mergeCell ref="C8:D8"/>
    <mergeCell ref="A51:C51"/>
    <mergeCell ref="A16:B17"/>
    <mergeCell ref="F17:I17"/>
    <mergeCell ref="C16:D17"/>
    <mergeCell ref="A1:I1"/>
    <mergeCell ref="C66:D66"/>
    <mergeCell ref="F40:H40"/>
    <mergeCell ref="C68:D68"/>
    <mergeCell ref="F9:I9"/>
    <mergeCell ref="D48:I48"/>
    <mergeCell ref="A50:C50"/>
    <mergeCell ref="A69:B69"/>
    <mergeCell ref="E20:F20"/>
    <mergeCell ref="A47:C47"/>
    <mergeCell ref="A14:I14"/>
    <mergeCell ref="G20:I20"/>
    <mergeCell ref="F10:I10"/>
    <mergeCell ref="A9:B12"/>
    <mergeCell ref="G22:I22"/>
    <mergeCell ref="A5:B5"/>
    <mergeCell ref="A65:D65"/>
    <mergeCell ref="H66:I66"/>
    <mergeCell ref="G21:I21"/>
    <mergeCell ref="A4:B4"/>
    <mergeCell ref="E21:F21"/>
    <mergeCell ref="F8:I8"/>
    <mergeCell ref="B20:C20"/>
    <mergeCell ref="G23:I23"/>
    <mergeCell ref="A67:B67"/>
    <mergeCell ref="D52:I52"/>
    <mergeCell ref="D49:I49"/>
    <mergeCell ref="F69:G69"/>
    <mergeCell ref="H67:I67"/>
    <mergeCell ref="F42:H42"/>
    <mergeCell ref="E24:F24"/>
    <mergeCell ref="A55:I57"/>
    <mergeCell ref="D47:I47"/>
    <mergeCell ref="F11:I11"/>
    <mergeCell ref="B23:C23"/>
    <mergeCell ref="A66:B66"/>
    <mergeCell ref="F65:I65"/>
    <mergeCell ref="F41:G41"/>
    <mergeCell ref="A44:I44"/>
    <mergeCell ref="F12:I12"/>
    <mergeCell ref="G5:H5"/>
    <mergeCell ref="A48:C48"/>
    <mergeCell ref="F67:G67"/>
    <mergeCell ref="G4:H4"/>
    <mergeCell ref="A45:C45"/>
    <mergeCell ref="D46:I46"/>
    <mergeCell ref="A60:I60"/>
    <mergeCell ref="A54:I54"/>
  </mergeCells>
  <dataValidations count="4">
    <dataValidation sqref="B28:B38" showDropDown="0" showInputMessage="0" showErrorMessage="0" allowBlank="1" type="list">
      <formula1>"AEOLUS,MELICERTES,NELEUS,ONEIROI,전체 (4척)"</formula1>
      <formula2>0</formula2>
    </dataValidation>
    <dataValidation sqref="E28:E38" showDropDown="0" showInputMessage="0" showErrorMessage="0" allowBlank="1" type="list">
      <formula1>"손상 부품 교체,향후 정비용"</formula1>
      <formula2>0</formula2>
    </dataValidation>
    <dataValidation sqref="G28:G38" showDropDown="0" showInputMessage="0" showErrorMessage="0" allowBlank="1" type="list">
      <formula1>"PC,SET,EA,KG,M,L"</formula1>
      <formula2>0</formula2>
    </dataValidation>
    <dataValidation sqref="H41" showDropDown="0" showInputMessage="0" showErrorMessage="0" allowBlank="1" type="decimal">
      <formula1>0</formula1>
      <formula2>1</formula2>
    </dataValidation>
  </dataValidations>
  <hyperlinks>
    <hyperlink xmlns:r="http://schemas.openxmlformats.org/officeDocument/2006/relationships" ref="F12" r:id="rId1"/>
  </hyperlinks>
  <printOptions horizontalCentered="1"/>
  <pageMargins left="0.4" right="0.4" top="0.5" bottom="0.5" header="0.511811023622047" footer="0.5"/>
  <pageSetup orientation="portrait" paperSize="9" scale="58" verticalDpi="300"/>
  <headerFooter>
    <oddHeader/>
    <oddFooter>&amp;C&amp;"Malgun Gothic,Regular"&amp;8 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2026-10-14T02:36:14Z</dcterms:created>
  <dcterms:modified xmlns:dcterms="http://purl.org/dc/terms/" xmlns:xsi="http://www.w3.org/2001/XMLSchema-instance" xsi:type="dcterms:W3CDTF">2026-10-30T06:36:40Z</dcterms:modified>
  <cp:lastModifiedBy>Jeong, Peter</cp:lastModifiedBy>
  <cp:revision>0</cp:revision>
  <cp:lastPrinted>2026-10-19T07:30:32Z</cp:lastPrinted>
</cp:coreProperties>
</file>