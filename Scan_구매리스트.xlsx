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주문리스트" sheetId="1" state="visible" r:id="rId3"/>
    <sheet name="품목별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1" authorId="0">
      <text>
        <r>
          <rPr>
            <sz val="10"/>
            <rFont val="WenQuanYi Zen Hei"/>
            <family val="2"/>
          </rPr>
          <t xml:space="preserve">장바구니에 사이즈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색상 표시 없음 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WenQuanYi Zen Hei"/>
            <family val="2"/>
          </rPr>
          <t xml:space="preserve">결제 전 확인 필요</t>
        </r>
      </text>
    </comment>
    <comment ref="H25" authorId="0">
      <text>
        <r>
          <rPr>
            <sz val="10"/>
            <rFont val="WenQuanYi Zen Hei"/>
            <family val="2"/>
          </rPr>
          <t xml:space="preserve">장바구니 표시 금액 그대로 입력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소계의 </t>
        </r>
        <r>
          <rPr>
            <sz val="10"/>
            <rFont val="Arial"/>
            <family val="2"/>
          </rPr>
          <t xml:space="preserve">21%). </t>
        </r>
        <r>
          <rPr>
            <sz val="10"/>
            <rFont val="WenQuanYi Zen Hei"/>
            <family val="2"/>
          </rPr>
          <t xml:space="preserve">배송지 입력 전 금액이라 해외배송 시 달라질 수 있음</t>
        </r>
      </text>
    </comment>
  </commentList>
</comments>
</file>

<file path=xl/sharedStrings.xml><?xml version="1.0" encoding="utf-8"?>
<sst xmlns="http://schemas.openxmlformats.org/spreadsheetml/2006/main" count="128" uniqueCount="50">
  <si>
    <r>
      <rPr>
        <b val="true"/>
        <sz val="13"/>
        <rFont val="Arial"/>
        <family val="0"/>
        <charset val="1"/>
      </rPr>
      <t xml:space="preserve">Scan </t>
    </r>
    <r>
      <rPr>
        <b val="true"/>
        <sz val="13"/>
        <rFont val="WenQuanYi Zen Hei"/>
        <family val="2"/>
      </rPr>
      <t xml:space="preserve">구매 리스트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사이즈 확인 및 장갑 품질 비교용 샘플 선적</t>
    </r>
    <r>
      <rPr>
        <b val="true"/>
        <sz val="13"/>
        <rFont val="Arial"/>
        <family val="0"/>
        <charset val="1"/>
      </rPr>
      <t xml:space="preserve">)</t>
    </r>
  </si>
  <si>
    <r>
      <rPr>
        <sz val="9"/>
        <color rgb="FF808080"/>
        <rFont val="WenQuanYi Zen Hei"/>
        <family val="2"/>
      </rPr>
      <t xml:space="preserve">금액 단위</t>
    </r>
    <r>
      <rPr>
        <sz val="9"/>
        <color rgb="FF808080"/>
        <rFont val="Arial"/>
        <family val="0"/>
        <charset val="1"/>
      </rPr>
      <t xml:space="preserve">: USD · </t>
    </r>
    <r>
      <rPr>
        <sz val="9"/>
        <color rgb="FF808080"/>
        <rFont val="WenQuanYi Zen Hei"/>
        <family val="2"/>
      </rPr>
      <t xml:space="preserve">장바구니 기준 </t>
    </r>
    <r>
      <rPr>
        <sz val="9"/>
        <color rgb="FF808080"/>
        <rFont val="Arial"/>
        <family val="0"/>
        <charset val="1"/>
      </rPr>
      <t xml:space="preserve">(2026-10-26)</t>
    </r>
  </si>
  <si>
    <t xml:space="preserve">No</t>
  </si>
  <si>
    <t xml:space="preserve">구분</t>
  </si>
  <si>
    <t xml:space="preserve">품목</t>
  </si>
  <si>
    <t xml:space="preserve">색상</t>
  </si>
  <si>
    <t xml:space="preserve">사이즈</t>
  </si>
  <si>
    <t xml:space="preserve">수량</t>
  </si>
  <si>
    <t xml:space="preserve">단가</t>
  </si>
  <si>
    <t xml:space="preserve">금액</t>
  </si>
  <si>
    <t xml:space="preserve">장갑</t>
  </si>
  <si>
    <t xml:space="preserve">ScanBlizzard (6 pairs)</t>
  </si>
  <si>
    <t xml:space="preserve">Standard</t>
  </si>
  <si>
    <t xml:space="preserve">8/M</t>
  </si>
  <si>
    <t xml:space="preserve">9/L</t>
  </si>
  <si>
    <t xml:space="preserve">10/XL</t>
  </si>
  <si>
    <t xml:space="preserve">ScanFroze Pro (12 pairs)</t>
  </si>
  <si>
    <t xml:space="preserve">Black</t>
  </si>
  <si>
    <t xml:space="preserve">ScanFluo (12 Pairs)</t>
  </si>
  <si>
    <t xml:space="preserve">-</t>
  </si>
  <si>
    <t xml:space="preserve">미선택</t>
  </si>
  <si>
    <t xml:space="preserve">의류</t>
  </si>
  <si>
    <t xml:space="preserve">ScanTriple HV 001 Navy</t>
  </si>
  <si>
    <t xml:space="preserve">HV Yellow and Navy</t>
  </si>
  <si>
    <t xml:space="preserve">XL</t>
  </si>
  <si>
    <t xml:space="preserve">XXL</t>
  </si>
  <si>
    <t xml:space="preserve">3XL</t>
  </si>
  <si>
    <t xml:space="preserve">ScanTriple HV 002 Navy</t>
  </si>
  <si>
    <t xml:space="preserve">ScanTriple HV 003 Navy</t>
  </si>
  <si>
    <t xml:space="preserve">M</t>
  </si>
  <si>
    <t xml:space="preserve">L</t>
  </si>
  <si>
    <t xml:space="preserve">신발</t>
  </si>
  <si>
    <t xml:space="preserve">ScanTitan</t>
  </si>
  <si>
    <t xml:space="preserve">46</t>
  </si>
  <si>
    <t xml:space="preserve">47</t>
  </si>
  <si>
    <t xml:space="preserve">총 수량</t>
  </si>
  <si>
    <t xml:space="preserve">소계</t>
  </si>
  <si>
    <t xml:space="preserve">세금</t>
  </si>
  <si>
    <t xml:space="preserve">배송비</t>
  </si>
  <si>
    <t xml:space="preserve">미정</t>
  </si>
  <si>
    <r>
      <rPr>
        <b val="true"/>
        <sz val="11"/>
        <rFont val="WenQuanYi Zen Hei"/>
        <family val="2"/>
      </rPr>
      <t xml:space="preserve">합계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배송비 제외</t>
    </r>
    <r>
      <rPr>
        <b val="true"/>
        <sz val="11"/>
        <rFont val="Arial"/>
        <family val="0"/>
        <charset val="1"/>
      </rPr>
      <t xml:space="preserve">)</t>
    </r>
  </si>
  <si>
    <r>
      <rPr>
        <sz val="9"/>
        <color rgb="FF808080"/>
        <rFont val="WenQuanYi Zen Hei"/>
        <family val="2"/>
      </rPr>
      <t xml:space="preserve">※ 구분</t>
    </r>
    <r>
      <rPr>
        <sz val="9"/>
        <color rgb="FF808080"/>
        <rFont val="Arial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장갑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의류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신발</t>
    </r>
    <r>
      <rPr>
        <sz val="9"/>
        <color rgb="FF808080"/>
        <rFont val="Arial"/>
        <family val="0"/>
        <charset val="1"/>
      </rPr>
      <t xml:space="preserve">)</t>
    </r>
    <r>
      <rPr>
        <sz val="9"/>
        <color rgb="FF808080"/>
        <rFont val="WenQuanYi Zen Hei"/>
        <family val="2"/>
      </rPr>
      <t xml:space="preserve">은 품목명</t>
    </r>
    <r>
      <rPr>
        <sz val="9"/>
        <color rgb="FF808080"/>
        <rFont val="Arial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사이즈 체계 기준으로 분류</t>
    </r>
    <r>
      <rPr>
        <sz val="9"/>
        <color rgb="FF808080"/>
        <rFont val="Arial"/>
        <family val="0"/>
        <charset val="1"/>
      </rPr>
      <t xml:space="preserve">. </t>
    </r>
    <r>
      <rPr>
        <sz val="9"/>
        <color rgb="FF808080"/>
        <rFont val="WenQuanYi Zen Hei"/>
        <family val="2"/>
      </rPr>
      <t xml:space="preserve">노란 행</t>
    </r>
    <r>
      <rPr>
        <sz val="9"/>
        <color rgb="FF808080"/>
        <rFont val="Arial"/>
        <family val="0"/>
        <charset val="1"/>
      </rPr>
      <t xml:space="preserve">: </t>
    </r>
    <r>
      <rPr>
        <sz val="9"/>
        <color rgb="FF808080"/>
        <rFont val="WenQuanYi Zen Hei"/>
        <family val="2"/>
      </rPr>
      <t xml:space="preserve">사이즈 미선택 항목</t>
    </r>
    <r>
      <rPr>
        <sz val="9"/>
        <color rgb="FF808080"/>
        <rFont val="Arial"/>
        <family val="0"/>
        <charset val="1"/>
      </rPr>
      <t xml:space="preserve">. </t>
    </r>
    <r>
      <rPr>
        <sz val="9"/>
        <color rgb="FF808080"/>
        <rFont val="WenQuanYi Zen Hei"/>
        <family val="2"/>
      </rPr>
      <t xml:space="preserve">파란 글씨</t>
    </r>
    <r>
      <rPr>
        <sz val="9"/>
        <color rgb="FF808080"/>
        <rFont val="Arial"/>
        <family val="0"/>
        <charset val="1"/>
      </rPr>
      <t xml:space="preserve">: </t>
    </r>
    <r>
      <rPr>
        <sz val="9"/>
        <color rgb="FF808080"/>
        <rFont val="WenQuanYi Zen Hei"/>
        <family val="2"/>
      </rPr>
      <t xml:space="preserve">장바구니 금액 직접 입력값</t>
    </r>
    <r>
      <rPr>
        <sz val="9"/>
        <color rgb="FF808080"/>
        <rFont val="Arial"/>
        <family val="0"/>
        <charset val="1"/>
      </rPr>
      <t xml:space="preserve">.</t>
    </r>
  </si>
  <si>
    <r>
      <rPr>
        <b val="true"/>
        <sz val="13"/>
        <rFont val="WenQuanYi Zen Hei"/>
        <family val="2"/>
      </rPr>
      <t xml:space="preserve">품목별 사이즈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WenQuanYi Zen Hei"/>
        <family val="2"/>
      </rPr>
      <t xml:space="preserve">수량 요약</t>
    </r>
  </si>
  <si>
    <t xml:space="preserve">사이즈 구성</t>
  </si>
  <si>
    <t xml:space="preserve">8/M, 9/L, 10/XL</t>
  </si>
  <si>
    <t xml:space="preserve">XL, XXL, 3XL</t>
  </si>
  <si>
    <t xml:space="preserve">M, L, XXL, 3XL</t>
  </si>
  <si>
    <t xml:space="preserve">46, 47</t>
  </si>
  <si>
    <t xml:space="preserve">합계</t>
  </si>
  <si>
    <t xml:space="preserve">구분별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</si>
</sst>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sz val="9"/>
      <color rgb="FF808080"/>
      <name val="WenQuanYi Zen Hei"/>
      <family val="2"/>
    </font>
    <font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WenQuanYi Zen Hei"/>
      <family val="2"/>
    </font>
    <font>
      <sz val="11"/>
      <name val="Arial"/>
      <family val="0"/>
      <charset val="1"/>
    </font>
    <font>
      <sz val="11"/>
      <name val="WenQuanYi Zen Hei"/>
      <family val="2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sz val="11"/>
      <color rgb="FF000000"/>
      <name val="WenQuanYi Zen Hei"/>
      <family val="2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8" min="8" style="0" width="2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false" outlineLevel="0" collapsed="false">
      <c r="A5" s="5" t="n">
        <v>1</v>
      </c>
      <c r="B5" s="6" t="s">
        <v>10</v>
      </c>
      <c r="C5" s="7" t="s">
        <v>11</v>
      </c>
      <c r="D5" s="7" t="s">
        <v>12</v>
      </c>
      <c r="E5" s="5" t="s">
        <v>13</v>
      </c>
      <c r="F5" s="5" t="n">
        <v>1</v>
      </c>
      <c r="G5" s="8" t="n">
        <v>189</v>
      </c>
      <c r="H5" s="8" t="n">
        <f aca="false">F5*G5</f>
        <v>189</v>
      </c>
    </row>
    <row r="6" customFormat="false" ht="15" hidden="false" customHeight="false" outlineLevel="0" collapsed="false">
      <c r="A6" s="5" t="n">
        <v>2</v>
      </c>
      <c r="B6" s="6" t="s">
        <v>10</v>
      </c>
      <c r="C6" s="7" t="s">
        <v>11</v>
      </c>
      <c r="D6" s="7" t="s">
        <v>12</v>
      </c>
      <c r="E6" s="5" t="s">
        <v>14</v>
      </c>
      <c r="F6" s="5" t="n">
        <v>1</v>
      </c>
      <c r="G6" s="8" t="n">
        <v>189</v>
      </c>
      <c r="H6" s="8" t="n">
        <f aca="false">F6*G6</f>
        <v>189</v>
      </c>
    </row>
    <row r="7" customFormat="false" ht="15" hidden="false" customHeight="false" outlineLevel="0" collapsed="false">
      <c r="A7" s="5" t="n">
        <v>3</v>
      </c>
      <c r="B7" s="6" t="s">
        <v>10</v>
      </c>
      <c r="C7" s="7" t="s">
        <v>11</v>
      </c>
      <c r="D7" s="7" t="s">
        <v>12</v>
      </c>
      <c r="E7" s="5" t="s">
        <v>15</v>
      </c>
      <c r="F7" s="5" t="n">
        <v>1</v>
      </c>
      <c r="G7" s="8" t="n">
        <v>189</v>
      </c>
      <c r="H7" s="8" t="n">
        <f aca="false">F7*G7</f>
        <v>189</v>
      </c>
    </row>
    <row r="8" customFormat="false" ht="15" hidden="false" customHeight="false" outlineLevel="0" collapsed="false">
      <c r="A8" s="5" t="n">
        <v>4</v>
      </c>
      <c r="B8" s="6" t="s">
        <v>10</v>
      </c>
      <c r="C8" s="7" t="s">
        <v>16</v>
      </c>
      <c r="D8" s="7" t="s">
        <v>17</v>
      </c>
      <c r="E8" s="5" t="s">
        <v>13</v>
      </c>
      <c r="F8" s="5" t="n">
        <v>1</v>
      </c>
      <c r="G8" s="8" t="n">
        <v>79</v>
      </c>
      <c r="H8" s="8" t="n">
        <f aca="false">F8*G8</f>
        <v>79</v>
      </c>
    </row>
    <row r="9" customFormat="false" ht="15" hidden="false" customHeight="false" outlineLevel="0" collapsed="false">
      <c r="A9" s="5" t="n">
        <v>5</v>
      </c>
      <c r="B9" s="6" t="s">
        <v>10</v>
      </c>
      <c r="C9" s="7" t="s">
        <v>16</v>
      </c>
      <c r="D9" s="7" t="s">
        <v>17</v>
      </c>
      <c r="E9" s="5" t="s">
        <v>14</v>
      </c>
      <c r="F9" s="5" t="n">
        <v>1</v>
      </c>
      <c r="G9" s="8" t="n">
        <v>79</v>
      </c>
      <c r="H9" s="8" t="n">
        <f aca="false">F9*G9</f>
        <v>79</v>
      </c>
    </row>
    <row r="10" customFormat="false" ht="15" hidden="false" customHeight="false" outlineLevel="0" collapsed="false">
      <c r="A10" s="5" t="n">
        <v>6</v>
      </c>
      <c r="B10" s="6" t="s">
        <v>10</v>
      </c>
      <c r="C10" s="7" t="s">
        <v>16</v>
      </c>
      <c r="D10" s="7" t="s">
        <v>17</v>
      </c>
      <c r="E10" s="5" t="s">
        <v>15</v>
      </c>
      <c r="F10" s="5" t="n">
        <v>1</v>
      </c>
      <c r="G10" s="8" t="n">
        <v>79</v>
      </c>
      <c r="H10" s="8" t="n">
        <f aca="false">F10*G10</f>
        <v>79</v>
      </c>
    </row>
    <row r="11" customFormat="false" ht="15" hidden="false" customHeight="false" outlineLevel="0" collapsed="false">
      <c r="A11" s="9" t="n">
        <v>7</v>
      </c>
      <c r="B11" s="10" t="s">
        <v>10</v>
      </c>
      <c r="C11" s="11" t="s">
        <v>18</v>
      </c>
      <c r="D11" s="11" t="s">
        <v>19</v>
      </c>
      <c r="E11" s="10" t="s">
        <v>20</v>
      </c>
      <c r="F11" s="9" t="n">
        <v>1</v>
      </c>
      <c r="G11" s="12" t="n">
        <v>79</v>
      </c>
      <c r="H11" s="12" t="n">
        <f aca="false">F11*G11</f>
        <v>79</v>
      </c>
    </row>
    <row r="12" customFormat="false" ht="15" hidden="false" customHeight="false" outlineLevel="0" collapsed="false">
      <c r="A12" s="5" t="n">
        <v>8</v>
      </c>
      <c r="B12" s="6" t="s">
        <v>21</v>
      </c>
      <c r="C12" s="7" t="s">
        <v>22</v>
      </c>
      <c r="D12" s="7" t="s">
        <v>23</v>
      </c>
      <c r="E12" s="5" t="s">
        <v>24</v>
      </c>
      <c r="F12" s="5" t="n">
        <v>1</v>
      </c>
      <c r="G12" s="8" t="n">
        <v>299</v>
      </c>
      <c r="H12" s="8" t="n">
        <f aca="false">F12*G12</f>
        <v>299</v>
      </c>
    </row>
    <row r="13" customFormat="false" ht="15" hidden="false" customHeight="false" outlineLevel="0" collapsed="false">
      <c r="A13" s="5" t="n">
        <v>9</v>
      </c>
      <c r="B13" s="6" t="s">
        <v>21</v>
      </c>
      <c r="C13" s="7" t="s">
        <v>22</v>
      </c>
      <c r="D13" s="7" t="s">
        <v>23</v>
      </c>
      <c r="E13" s="5" t="s">
        <v>25</v>
      </c>
      <c r="F13" s="5" t="n">
        <v>1</v>
      </c>
      <c r="G13" s="8" t="n">
        <v>299</v>
      </c>
      <c r="H13" s="8" t="n">
        <f aca="false">F13*G13</f>
        <v>299</v>
      </c>
    </row>
    <row r="14" customFormat="false" ht="15" hidden="false" customHeight="false" outlineLevel="0" collapsed="false">
      <c r="A14" s="5" t="n">
        <v>10</v>
      </c>
      <c r="B14" s="6" t="s">
        <v>21</v>
      </c>
      <c r="C14" s="7" t="s">
        <v>22</v>
      </c>
      <c r="D14" s="7" t="s">
        <v>23</v>
      </c>
      <c r="E14" s="5" t="s">
        <v>26</v>
      </c>
      <c r="F14" s="5" t="n">
        <v>1</v>
      </c>
      <c r="G14" s="8" t="n">
        <v>299</v>
      </c>
      <c r="H14" s="8" t="n">
        <f aca="false">F14*G14</f>
        <v>299</v>
      </c>
    </row>
    <row r="15" customFormat="false" ht="15" hidden="false" customHeight="false" outlineLevel="0" collapsed="false">
      <c r="A15" s="5" t="n">
        <v>11</v>
      </c>
      <c r="B15" s="6" t="s">
        <v>21</v>
      </c>
      <c r="C15" s="7" t="s">
        <v>27</v>
      </c>
      <c r="D15" s="7" t="s">
        <v>23</v>
      </c>
      <c r="E15" s="5" t="s">
        <v>24</v>
      </c>
      <c r="F15" s="5" t="n">
        <v>1</v>
      </c>
      <c r="G15" s="8" t="n">
        <v>199</v>
      </c>
      <c r="H15" s="8" t="n">
        <f aca="false">F15*G15</f>
        <v>199</v>
      </c>
    </row>
    <row r="16" customFormat="false" ht="15" hidden="false" customHeight="false" outlineLevel="0" collapsed="false">
      <c r="A16" s="5" t="n">
        <v>12</v>
      </c>
      <c r="B16" s="6" t="s">
        <v>21</v>
      </c>
      <c r="C16" s="7" t="s">
        <v>27</v>
      </c>
      <c r="D16" s="7" t="s">
        <v>23</v>
      </c>
      <c r="E16" s="5" t="s">
        <v>25</v>
      </c>
      <c r="F16" s="5" t="n">
        <v>1</v>
      </c>
      <c r="G16" s="8" t="n">
        <v>199</v>
      </c>
      <c r="H16" s="8" t="n">
        <f aca="false">F16*G16</f>
        <v>199</v>
      </c>
    </row>
    <row r="17" customFormat="false" ht="15" hidden="false" customHeight="false" outlineLevel="0" collapsed="false">
      <c r="A17" s="5" t="n">
        <v>13</v>
      </c>
      <c r="B17" s="6" t="s">
        <v>21</v>
      </c>
      <c r="C17" s="7" t="s">
        <v>27</v>
      </c>
      <c r="D17" s="7" t="s">
        <v>23</v>
      </c>
      <c r="E17" s="5" t="s">
        <v>26</v>
      </c>
      <c r="F17" s="5" t="n">
        <v>1</v>
      </c>
      <c r="G17" s="8" t="n">
        <v>199</v>
      </c>
      <c r="H17" s="8" t="n">
        <f aca="false">F17*G17</f>
        <v>199</v>
      </c>
    </row>
    <row r="18" customFormat="false" ht="15" hidden="false" customHeight="false" outlineLevel="0" collapsed="false">
      <c r="A18" s="5" t="n">
        <v>14</v>
      </c>
      <c r="B18" s="6" t="s">
        <v>21</v>
      </c>
      <c r="C18" s="7" t="s">
        <v>28</v>
      </c>
      <c r="D18" s="7" t="s">
        <v>23</v>
      </c>
      <c r="E18" s="5" t="s">
        <v>29</v>
      </c>
      <c r="F18" s="5" t="n">
        <v>1</v>
      </c>
      <c r="G18" s="8" t="n">
        <v>349</v>
      </c>
      <c r="H18" s="8" t="n">
        <f aca="false">F18*G18</f>
        <v>349</v>
      </c>
    </row>
    <row r="19" customFormat="false" ht="15" hidden="false" customHeight="false" outlineLevel="0" collapsed="false">
      <c r="A19" s="5" t="n">
        <v>15</v>
      </c>
      <c r="B19" s="6" t="s">
        <v>21</v>
      </c>
      <c r="C19" s="7" t="s">
        <v>28</v>
      </c>
      <c r="D19" s="7" t="s">
        <v>23</v>
      </c>
      <c r="E19" s="5" t="s">
        <v>30</v>
      </c>
      <c r="F19" s="5" t="n">
        <v>1</v>
      </c>
      <c r="G19" s="8" t="n">
        <v>349</v>
      </c>
      <c r="H19" s="8" t="n">
        <f aca="false">F19*G19</f>
        <v>349</v>
      </c>
    </row>
    <row r="20" customFormat="false" ht="15" hidden="false" customHeight="false" outlineLevel="0" collapsed="false">
      <c r="A20" s="5" t="n">
        <v>16</v>
      </c>
      <c r="B20" s="6" t="s">
        <v>21</v>
      </c>
      <c r="C20" s="7" t="s">
        <v>28</v>
      </c>
      <c r="D20" s="7" t="s">
        <v>23</v>
      </c>
      <c r="E20" s="5" t="s">
        <v>25</v>
      </c>
      <c r="F20" s="5" t="n">
        <v>1</v>
      </c>
      <c r="G20" s="8" t="n">
        <v>349</v>
      </c>
      <c r="H20" s="8" t="n">
        <f aca="false">F20*G20</f>
        <v>349</v>
      </c>
    </row>
    <row r="21" customFormat="false" ht="15" hidden="false" customHeight="false" outlineLevel="0" collapsed="false">
      <c r="A21" s="5" t="n">
        <v>17</v>
      </c>
      <c r="B21" s="6" t="s">
        <v>21</v>
      </c>
      <c r="C21" s="7" t="s">
        <v>28</v>
      </c>
      <c r="D21" s="7" t="s">
        <v>23</v>
      </c>
      <c r="E21" s="5" t="s">
        <v>26</v>
      </c>
      <c r="F21" s="5" t="n">
        <v>1</v>
      </c>
      <c r="G21" s="8" t="n">
        <v>349</v>
      </c>
      <c r="H21" s="8" t="n">
        <f aca="false">F21*G21</f>
        <v>349</v>
      </c>
    </row>
    <row r="22" customFormat="false" ht="15" hidden="false" customHeight="false" outlineLevel="0" collapsed="false">
      <c r="A22" s="5" t="n">
        <v>18</v>
      </c>
      <c r="B22" s="6" t="s">
        <v>31</v>
      </c>
      <c r="C22" s="7" t="s">
        <v>32</v>
      </c>
      <c r="D22" s="7" t="s">
        <v>17</v>
      </c>
      <c r="E22" s="5" t="s">
        <v>33</v>
      </c>
      <c r="F22" s="5" t="n">
        <v>1</v>
      </c>
      <c r="G22" s="8" t="n">
        <v>169</v>
      </c>
      <c r="H22" s="8" t="n">
        <f aca="false">F22*G22</f>
        <v>169</v>
      </c>
    </row>
    <row r="23" customFormat="false" ht="15" hidden="false" customHeight="false" outlineLevel="0" collapsed="false">
      <c r="A23" s="5" t="n">
        <v>19</v>
      </c>
      <c r="B23" s="6" t="s">
        <v>31</v>
      </c>
      <c r="C23" s="7" t="s">
        <v>32</v>
      </c>
      <c r="D23" s="7" t="s">
        <v>17</v>
      </c>
      <c r="E23" s="5" t="s">
        <v>34</v>
      </c>
      <c r="F23" s="5" t="n">
        <v>1</v>
      </c>
      <c r="G23" s="8" t="n">
        <v>169</v>
      </c>
      <c r="H23" s="8" t="n">
        <f aca="false">F23*G23</f>
        <v>169</v>
      </c>
    </row>
    <row r="24" customFormat="false" ht="15" hidden="false" customHeight="false" outlineLevel="0" collapsed="false">
      <c r="E24" s="13" t="s">
        <v>35</v>
      </c>
      <c r="F24" s="13" t="n">
        <f aca="false">SUM(F5:F23)</f>
        <v>19</v>
      </c>
      <c r="G24" s="14" t="s">
        <v>36</v>
      </c>
      <c r="H24" s="15" t="n">
        <f aca="false">SUM(H5:H23)</f>
        <v>4111</v>
      </c>
    </row>
    <row r="25" customFormat="false" ht="15" hidden="false" customHeight="false" outlineLevel="0" collapsed="false">
      <c r="G25" s="16" t="s">
        <v>37</v>
      </c>
      <c r="H25" s="17" t="n">
        <v>863.31</v>
      </c>
    </row>
    <row r="26" customFormat="false" ht="15" hidden="false" customHeight="false" outlineLevel="0" collapsed="false">
      <c r="G26" s="16" t="s">
        <v>38</v>
      </c>
      <c r="H26" s="18" t="s">
        <v>39</v>
      </c>
    </row>
    <row r="27" customFormat="false" ht="15" hidden="false" customHeight="false" outlineLevel="0" collapsed="false">
      <c r="G27" s="14" t="s">
        <v>40</v>
      </c>
      <c r="H27" s="15" t="n">
        <f aca="false">H24+H25</f>
        <v>4974.31</v>
      </c>
    </row>
    <row r="29" customFormat="false" ht="15" hidden="false" customHeight="false" outlineLevel="0" collapsed="false">
      <c r="A29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8"/>
    <col collapsed="false" customWidth="true" hidden="false" outlineLevel="0" max="5" min="5" style="0" width="14"/>
  </cols>
  <sheetData>
    <row r="1" customFormat="false" ht="17.15" hidden="false" customHeight="false" outlineLevel="0" collapsed="false">
      <c r="A1" s="19" t="s">
        <v>42</v>
      </c>
    </row>
    <row r="3" customFormat="false" ht="15" hidden="false" customHeight="false" outlineLevel="0" collapsed="false">
      <c r="A3" s="4" t="s">
        <v>3</v>
      </c>
      <c r="B3" s="4" t="s">
        <v>4</v>
      </c>
      <c r="C3" s="4" t="s">
        <v>43</v>
      </c>
      <c r="D3" s="4" t="s">
        <v>7</v>
      </c>
      <c r="E3" s="4" t="s">
        <v>9</v>
      </c>
    </row>
    <row r="4" customFormat="false" ht="15" hidden="false" customHeight="false" outlineLevel="0" collapsed="false">
      <c r="A4" s="20" t="s">
        <v>10</v>
      </c>
      <c r="B4" s="21" t="s">
        <v>11</v>
      </c>
      <c r="C4" s="21" t="s">
        <v>44</v>
      </c>
      <c r="D4" s="22" t="n">
        <f aca="false">SUMIF(주문리스트!$C$5:$C$23,B4,주문리스트!$F$5:$F$23)</f>
        <v>3</v>
      </c>
      <c r="E4" s="23" t="n">
        <f aca="false">SUMIF(주문리스트!$C$5:$C$23,B4,주문리스트!$H$5:$H$23)</f>
        <v>567</v>
      </c>
    </row>
    <row r="5" customFormat="false" ht="15" hidden="false" customHeight="false" outlineLevel="0" collapsed="false">
      <c r="A5" s="20" t="s">
        <v>10</v>
      </c>
      <c r="B5" s="21" t="s">
        <v>16</v>
      </c>
      <c r="C5" s="21" t="s">
        <v>44</v>
      </c>
      <c r="D5" s="22" t="n">
        <f aca="false">SUMIF(주문리스트!$C$5:$C$23,B5,주문리스트!$F$5:$F$23)</f>
        <v>3</v>
      </c>
      <c r="E5" s="23" t="n">
        <f aca="false">SUMIF(주문리스트!$C$5:$C$23,B5,주문리스트!$H$5:$H$23)</f>
        <v>237</v>
      </c>
    </row>
    <row r="6" customFormat="false" ht="15" hidden="false" customHeight="false" outlineLevel="0" collapsed="false">
      <c r="A6" s="20" t="s">
        <v>10</v>
      </c>
      <c r="B6" s="21" t="s">
        <v>18</v>
      </c>
      <c r="C6" s="24" t="s">
        <v>20</v>
      </c>
      <c r="D6" s="22" t="n">
        <f aca="false">SUMIF(주문리스트!$C$5:$C$23,B6,주문리스트!$F$5:$F$23)</f>
        <v>1</v>
      </c>
      <c r="E6" s="23" t="n">
        <f aca="false">SUMIF(주문리스트!$C$5:$C$23,B6,주문리스트!$H$5:$H$23)</f>
        <v>79</v>
      </c>
    </row>
    <row r="7" customFormat="false" ht="15" hidden="false" customHeight="false" outlineLevel="0" collapsed="false">
      <c r="A7" s="20" t="s">
        <v>21</v>
      </c>
      <c r="B7" s="21" t="s">
        <v>22</v>
      </c>
      <c r="C7" s="21" t="s">
        <v>45</v>
      </c>
      <c r="D7" s="22" t="n">
        <f aca="false">SUMIF(주문리스트!$C$5:$C$23,B7,주문리스트!$F$5:$F$23)</f>
        <v>3</v>
      </c>
      <c r="E7" s="23" t="n">
        <f aca="false">SUMIF(주문리스트!$C$5:$C$23,B7,주문리스트!$H$5:$H$23)</f>
        <v>897</v>
      </c>
    </row>
    <row r="8" customFormat="false" ht="15" hidden="false" customHeight="false" outlineLevel="0" collapsed="false">
      <c r="A8" s="20" t="s">
        <v>21</v>
      </c>
      <c r="B8" s="21" t="s">
        <v>27</v>
      </c>
      <c r="C8" s="21" t="s">
        <v>45</v>
      </c>
      <c r="D8" s="22" t="n">
        <f aca="false">SUMIF(주문리스트!$C$5:$C$23,B8,주문리스트!$F$5:$F$23)</f>
        <v>3</v>
      </c>
      <c r="E8" s="23" t="n">
        <f aca="false">SUMIF(주문리스트!$C$5:$C$23,B8,주문리스트!$H$5:$H$23)</f>
        <v>597</v>
      </c>
    </row>
    <row r="9" customFormat="false" ht="15" hidden="false" customHeight="false" outlineLevel="0" collapsed="false">
      <c r="A9" s="20" t="s">
        <v>21</v>
      </c>
      <c r="B9" s="21" t="s">
        <v>28</v>
      </c>
      <c r="C9" s="21" t="s">
        <v>46</v>
      </c>
      <c r="D9" s="22" t="n">
        <f aca="false">SUMIF(주문리스트!$C$5:$C$23,B9,주문리스트!$F$5:$F$23)</f>
        <v>4</v>
      </c>
      <c r="E9" s="23" t="n">
        <f aca="false">SUMIF(주문리스트!$C$5:$C$23,B9,주문리스트!$H$5:$H$23)</f>
        <v>1396</v>
      </c>
    </row>
    <row r="10" customFormat="false" ht="15" hidden="false" customHeight="false" outlineLevel="0" collapsed="false">
      <c r="A10" s="20" t="s">
        <v>31</v>
      </c>
      <c r="B10" s="21" t="s">
        <v>32</v>
      </c>
      <c r="C10" s="21" t="s">
        <v>47</v>
      </c>
      <c r="D10" s="22" t="n">
        <f aca="false">SUMIF(주문리스트!$C$5:$C$23,B10,주문리스트!$F$5:$F$23)</f>
        <v>2</v>
      </c>
      <c r="E10" s="23" t="n">
        <f aca="false">SUMIF(주문리스트!$C$5:$C$23,B10,주문리스트!$H$5:$H$23)</f>
        <v>338</v>
      </c>
    </row>
    <row r="11" customFormat="false" ht="15" hidden="false" customHeight="false" outlineLevel="0" collapsed="false">
      <c r="A11" s="25"/>
      <c r="B11" s="25"/>
      <c r="C11" s="14" t="s">
        <v>48</v>
      </c>
      <c r="D11" s="13" t="n">
        <f aca="false">SUM(D4:D10)</f>
        <v>19</v>
      </c>
      <c r="E11" s="15" t="n">
        <f aca="false">SUM(E4:E10)</f>
        <v>4111</v>
      </c>
    </row>
    <row r="13" customFormat="false" ht="15" hidden="false" customHeight="false" outlineLevel="0" collapsed="false">
      <c r="A13" s="26" t="s">
        <v>49</v>
      </c>
    </row>
    <row r="14" customFormat="false" ht="15" hidden="false" customHeight="false" outlineLevel="0" collapsed="false">
      <c r="A14" s="4" t="s">
        <v>3</v>
      </c>
      <c r="B14" s="3"/>
      <c r="C14" s="3"/>
      <c r="D14" s="4" t="s">
        <v>7</v>
      </c>
      <c r="E14" s="4" t="s">
        <v>9</v>
      </c>
    </row>
    <row r="15" customFormat="false" ht="15" hidden="false" customHeight="false" outlineLevel="0" collapsed="false">
      <c r="A15" s="6" t="s">
        <v>10</v>
      </c>
      <c r="B15" s="7"/>
      <c r="C15" s="7"/>
      <c r="D15" s="5" t="n">
        <f aca="false">SUMIF($A$4:$A$10,A15,$D$4:$D$10)</f>
        <v>7</v>
      </c>
      <c r="E15" s="8" t="n">
        <f aca="false">SUMIF($A$4:$A$10,A15,$E$4:$E$10)</f>
        <v>883</v>
      </c>
    </row>
    <row r="16" customFormat="false" ht="15" hidden="false" customHeight="false" outlineLevel="0" collapsed="false">
      <c r="A16" s="6" t="s">
        <v>21</v>
      </c>
      <c r="B16" s="7"/>
      <c r="C16" s="7"/>
      <c r="D16" s="5" t="n">
        <f aca="false">SUMIF($A$4:$A$10,A16,$D$4:$D$10)</f>
        <v>10</v>
      </c>
      <c r="E16" s="8" t="n">
        <f aca="false">SUMIF($A$4:$A$10,A16,$E$4:$E$10)</f>
        <v>2890</v>
      </c>
    </row>
    <row r="17" customFormat="false" ht="15" hidden="false" customHeight="false" outlineLevel="0" collapsed="false">
      <c r="A17" s="6" t="s">
        <v>31</v>
      </c>
      <c r="B17" s="7"/>
      <c r="C17" s="7"/>
      <c r="D17" s="5" t="n">
        <f aca="false">SUMIF($A$4:$A$10,A17,$D$4:$D$10)</f>
        <v>2</v>
      </c>
      <c r="E17" s="8" t="n">
        <f aca="false">SUMIF($A$4:$A$10,A17,$E$4:$E$10)</f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2026-10-26T08:31:57Z</dcterms:created>
  <dc:creator>openpyxl</dc:creator>
  <dc:description/>
  <dc:language>en-US</dc:language>
  <cp:lastModifiedBy/>
  <dcterms:modified xsi:type="dcterms:W3CDTF">2026-10-26T08:31:57Z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