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요약" sheetId="1" state="visible" r:id="rId3"/>
    <sheet name="프린터_상세비교" sheetId="2" state="visible" r:id="rId4"/>
    <sheet name="유사품목_단가참고" sheetId="3" state="visible" r:id="rId5"/>
    <sheet name="네오맥스_단독견적" sheetId="4" state="visible" r:id="rId6"/>
    <sheet name="CENTRAL_단독견적" sheetId="5" state="visible" r:id="rId7"/>
  </sheets>
  <definedNames>
    <definedName function="false" hidden="true" localSheetId="1" name="_xlnm._FilterDatabase" vbProcedure="false">프린터_상세비교!$A$4:$O$53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<sst xmlns="http://schemas.openxmlformats.org/spreadsheetml/2006/main" count="1587" uniqueCount="730">
  <si>
    <r>
      <rPr>
        <b val="true"/>
        <sz val="15"/>
        <color rgb="FF1F3864"/>
        <rFont val="Arial"/>
        <family val="0"/>
        <charset val="1"/>
      </rPr>
      <t xml:space="preserve">CENTRAL MARITIME vs </t>
    </r>
    <r>
      <rPr>
        <b val="true"/>
        <sz val="15"/>
        <color rgb="FF1F3864"/>
        <rFont val="WenQuanYi Zen Hei"/>
        <family val="2"/>
      </rPr>
      <t xml:space="preserve">네오맥스 견적 비교</t>
    </r>
  </si>
  <si>
    <r>
      <rPr>
        <i val="true"/>
        <sz val="9"/>
        <color rgb="FF595959"/>
        <rFont val="WenQuanYi Zen Hei"/>
        <family val="2"/>
      </rPr>
      <t xml:space="preserve">노란 칸</t>
    </r>
    <r>
      <rPr>
        <i val="true"/>
        <sz val="9"/>
        <color rgb="FF595959"/>
        <rFont val="Arial"/>
        <family val="0"/>
        <charset val="1"/>
      </rPr>
      <t xml:space="preserve">(</t>
    </r>
    <r>
      <rPr>
        <i val="true"/>
        <sz val="9"/>
        <color rgb="FF595959"/>
        <rFont val="WenQuanYi Zen Hei"/>
        <family val="2"/>
      </rPr>
      <t xml:space="preserve">환율</t>
    </r>
    <r>
      <rPr>
        <i val="true"/>
        <sz val="9"/>
        <color rgb="FF595959"/>
        <rFont val="Arial"/>
        <family val="0"/>
        <charset val="1"/>
      </rPr>
      <t xml:space="preserve">·</t>
    </r>
    <r>
      <rPr>
        <i val="true"/>
        <sz val="9"/>
        <color rgb="FF595959"/>
        <rFont val="WenQuanYi Zen Hei"/>
        <family val="2"/>
      </rPr>
      <t xml:space="preserve">할인율</t>
    </r>
    <r>
      <rPr>
        <i val="true"/>
        <sz val="9"/>
        <color rgb="FF595959"/>
        <rFont val="Arial"/>
        <family val="0"/>
        <charset val="1"/>
      </rPr>
      <t xml:space="preserve">)</t>
    </r>
    <r>
      <rPr>
        <i val="true"/>
        <sz val="9"/>
        <color rgb="FF595959"/>
        <rFont val="WenQuanYi Zen Hei"/>
        <family val="2"/>
      </rPr>
      <t xml:space="preserve">만 바꾸면 모든 시트가 자동 재계산됩니다</t>
    </r>
    <r>
      <rPr>
        <i val="true"/>
        <sz val="9"/>
        <color rgb="FF595959"/>
        <rFont val="Arial"/>
        <family val="0"/>
        <charset val="1"/>
      </rPr>
      <t xml:space="preserve">.  CENTRAL </t>
    </r>
    <r>
      <rPr>
        <i val="true"/>
        <sz val="9"/>
        <color rgb="FF595959"/>
        <rFont val="WenQuanYi Zen Hei"/>
        <family val="2"/>
      </rPr>
      <t xml:space="preserve">출처</t>
    </r>
    <r>
      <rPr>
        <i val="true"/>
        <sz val="9"/>
        <color rgb="FF595959"/>
        <rFont val="Arial"/>
        <family val="0"/>
        <charset val="1"/>
      </rPr>
      <t xml:space="preserve">: </t>
    </r>
    <r>
      <rPr>
        <i val="true"/>
        <sz val="9"/>
        <color rgb="FF595959"/>
        <rFont val="WenQuanYi Zen Hei"/>
        <family val="2"/>
      </rPr>
      <t xml:space="preserve">견적서 </t>
    </r>
    <r>
      <rPr>
        <i val="true"/>
        <sz val="9"/>
        <color rgb="FF595959"/>
        <rFont val="Arial"/>
        <family val="0"/>
        <charset val="1"/>
      </rPr>
      <t xml:space="preserve">JU26092325-A~F (2026-09-29) / </t>
    </r>
    <r>
      <rPr>
        <i val="true"/>
        <sz val="9"/>
        <color rgb="FF595959"/>
        <rFont val="WenQuanYi Zen Hei"/>
        <family val="2"/>
      </rPr>
      <t xml:space="preserve">네오맥스 출처</t>
    </r>
    <r>
      <rPr>
        <i val="true"/>
        <sz val="9"/>
        <color rgb="FF595959"/>
        <rFont val="Arial"/>
        <family val="0"/>
        <charset val="1"/>
      </rPr>
      <t xml:space="preserve">: SSL INTERNATIONAL → NEO-MAX </t>
    </r>
    <r>
      <rPr>
        <i val="true"/>
        <sz val="9"/>
        <color rgb="FF595959"/>
        <rFont val="WenQuanYi Zen Hei"/>
        <family val="2"/>
      </rPr>
      <t xml:space="preserve">인보이스 </t>
    </r>
    <r>
      <rPr>
        <i val="true"/>
        <sz val="9"/>
        <color rgb="FF595959"/>
        <rFont val="Arial"/>
        <family val="0"/>
        <charset val="1"/>
      </rPr>
      <t xml:space="preserve">5</t>
    </r>
    <r>
      <rPr>
        <i val="true"/>
        <sz val="9"/>
        <color rgb="FF595959"/>
        <rFont val="WenQuanYi Zen Hei"/>
        <family val="2"/>
      </rPr>
      <t xml:space="preserve">건</t>
    </r>
  </si>
  <si>
    <r>
      <rPr>
        <b val="true"/>
        <sz val="10"/>
        <rFont val="WenQuanYi Zen Hei"/>
        <family val="2"/>
      </rPr>
      <t xml:space="preserve">적용 환율 </t>
    </r>
    <r>
      <rPr>
        <b val="true"/>
        <sz val="10"/>
        <rFont val="Arial"/>
        <family val="0"/>
        <charset val="1"/>
      </rPr>
      <t xml:space="preserve">(KRW/USD)</t>
    </r>
  </si>
  <si>
    <t xml:space="preserve">← 사용자 지정 환율</t>
  </si>
  <si>
    <r>
      <rPr>
        <b val="true"/>
        <sz val="10"/>
        <rFont val="Arial"/>
        <family val="0"/>
        <charset val="1"/>
      </rPr>
      <t xml:space="preserve">CENTRAL </t>
    </r>
    <r>
      <rPr>
        <b val="true"/>
        <sz val="10"/>
        <rFont val="WenQuanYi Zen Hei"/>
        <family val="2"/>
      </rPr>
      <t xml:space="preserve">할인율 </t>
    </r>
    <r>
      <rPr>
        <b val="true"/>
        <sz val="10"/>
        <rFont val="Arial"/>
        <family val="0"/>
        <charset val="1"/>
      </rPr>
      <t xml:space="preserve">(D/C)</t>
    </r>
  </si>
  <si>
    <r>
      <rPr>
        <i val="true"/>
        <sz val="9"/>
        <color rgb="FF595959"/>
        <rFont val="Arial"/>
        <family val="0"/>
        <charset val="1"/>
      </rPr>
      <t xml:space="preserve">← CENTRAL </t>
    </r>
    <r>
      <rPr>
        <i val="true"/>
        <sz val="9"/>
        <color rgb="FF595959"/>
        <rFont val="WenQuanYi Zen Hei"/>
        <family val="2"/>
      </rPr>
      <t xml:space="preserve">견적서 </t>
    </r>
    <r>
      <rPr>
        <i val="true"/>
        <sz val="9"/>
        <color rgb="FF595959"/>
        <rFont val="Arial"/>
        <family val="0"/>
        <charset val="1"/>
      </rPr>
      <t xml:space="preserve">5</t>
    </r>
    <r>
      <rPr>
        <i val="true"/>
        <sz val="9"/>
        <color rgb="FF595959"/>
        <rFont val="WenQuanYi Zen Hei"/>
        <family val="2"/>
      </rPr>
      <t xml:space="preserve">건 모두 </t>
    </r>
    <r>
      <rPr>
        <i val="true"/>
        <sz val="9"/>
        <color rgb="FF595959"/>
        <rFont val="Arial"/>
        <family val="0"/>
        <charset val="1"/>
      </rPr>
      <t xml:space="preserve">10% </t>
    </r>
    <r>
      <rPr>
        <i val="true"/>
        <sz val="9"/>
        <color rgb="FF595959"/>
        <rFont val="WenQuanYi Zen Hei"/>
        <family val="2"/>
      </rPr>
      <t xml:space="preserve">할인 적용</t>
    </r>
  </si>
  <si>
    <r>
      <rPr>
        <b val="true"/>
        <sz val="12"/>
        <color rgb="FF1F3864"/>
        <rFont val="WenQuanYi Zen Hei"/>
        <family val="2"/>
      </rPr>
      <t xml:space="preserve">① 직접 비교 가능한 건</t>
    </r>
    <r>
      <rPr>
        <b val="true"/>
        <sz val="12"/>
        <color rgb="FF1F3864"/>
        <rFont val="Arial"/>
        <family val="0"/>
        <charset val="1"/>
      </rPr>
      <t xml:space="preserve">: </t>
    </r>
    <r>
      <rPr>
        <b val="true"/>
        <sz val="12"/>
        <color rgb="FF1F3864"/>
        <rFont val="WenQuanYi Zen Hei"/>
        <family val="2"/>
      </rPr>
      <t xml:space="preserve">프린터 카트리지 </t>
    </r>
    <r>
      <rPr>
        <b val="true"/>
        <sz val="12"/>
        <color rgb="FF1F3864"/>
        <rFont val="Arial"/>
        <family val="0"/>
        <charset val="1"/>
      </rPr>
      <t xml:space="preserve">&amp; </t>
    </r>
    <r>
      <rPr>
        <b val="true"/>
        <sz val="12"/>
        <color rgb="FF1F3864"/>
        <rFont val="WenQuanYi Zen Hei"/>
        <family val="2"/>
      </rPr>
      <t xml:space="preserve">용지 </t>
    </r>
    <r>
      <rPr>
        <b val="true"/>
        <sz val="12"/>
        <color rgb="FF1F3864"/>
        <rFont val="Arial"/>
        <family val="0"/>
        <charset val="1"/>
      </rPr>
      <t xml:space="preserve">(NORTH VALLEY) — </t>
    </r>
    <r>
      <rPr>
        <b val="true"/>
        <sz val="12"/>
        <color rgb="FF1F3864"/>
        <rFont val="WenQuanYi Zen Hei"/>
        <family val="2"/>
      </rPr>
      <t xml:space="preserve">동일 요청서</t>
    </r>
  </si>
  <si>
    <t xml:space="preserve">구분</t>
  </si>
  <si>
    <r>
      <rPr>
        <b val="true"/>
        <sz val="10"/>
        <color rgb="FFFFFFFF"/>
        <rFont val="Arial"/>
        <family val="0"/>
        <charset val="1"/>
      </rPr>
      <t xml:space="preserve">CENTRAL (</t>
    </r>
    <r>
      <rPr>
        <b val="true"/>
        <sz val="10"/>
        <color rgb="FFFFFFFF"/>
        <rFont val="WenQuanYi Zen Hei"/>
        <family val="2"/>
      </rPr>
      <t xml:space="preserve">원화</t>
    </r>
    <r>
      <rPr>
        <b val="true"/>
        <sz val="10"/>
        <color rgb="FFFFFFFF"/>
        <rFont val="Arial"/>
        <family val="0"/>
        <charset val="1"/>
      </rPr>
      <t xml:space="preserve">, </t>
    </r>
    <r>
      <rPr>
        <b val="true"/>
        <sz val="10"/>
        <color rgb="FFFFFFFF"/>
        <rFont val="WenQuanYi Zen Hei"/>
        <family val="2"/>
      </rPr>
      <t xml:space="preserve">할인후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</si>
  <si>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네오맥스 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원화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</si>
  <si>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차액 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네오 − </t>
    </r>
    <r>
      <rPr>
        <b val="true"/>
        <sz val="10"/>
        <color rgb="FFFFFFFF"/>
        <rFont val="Arial"/>
        <family val="0"/>
        <charset val="1"/>
      </rPr>
      <t xml:space="preserve">CENTRAL)</t>
    </r>
  </si>
  <si>
    <t xml:space="preserve">차이율</t>
  </si>
  <si>
    <t xml:space="preserve">더 저렴한 곳</t>
  </si>
  <si>
    <r>
      <rPr>
        <b val="true"/>
        <sz val="10"/>
        <rFont val="WenQuanYi Zen Hei"/>
        <family val="2"/>
      </rPr>
      <t xml:space="preserve">공통 품목 </t>
    </r>
    <r>
      <rPr>
        <b val="true"/>
        <sz val="10"/>
        <rFont val="Arial"/>
        <family val="0"/>
        <charset val="1"/>
      </rPr>
      <t xml:space="preserve">37</t>
    </r>
    <r>
      <rPr>
        <b val="true"/>
        <sz val="10"/>
        <rFont val="WenQuanYi Zen Hei"/>
        <family val="2"/>
      </rPr>
      <t xml:space="preserve">개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같은 품목끼리</t>
    </r>
    <r>
      <rPr>
        <b val="true"/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</si>
  <si>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공통 품목 — 네오맥스 </t>
    </r>
    <r>
      <rPr>
        <sz val="10"/>
        <rFont val="Arial"/>
        <family val="0"/>
        <charset val="1"/>
      </rPr>
      <t xml:space="preserve">TEPRA </t>
    </r>
    <r>
      <rPr>
        <sz val="10"/>
        <rFont val="WenQuanYi Zen Hei"/>
        <family val="2"/>
      </rPr>
      <t xml:space="preserve">오기 정정 시</t>
    </r>
  </si>
  <si>
    <r>
      <rPr>
        <sz val="10"/>
        <rFont val="WenQuanYi Zen Hei"/>
        <family val="2"/>
      </rPr>
      <t xml:space="preserve">각 업체 견적 전체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한쪽만 있는 품목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배송비 포함</t>
    </r>
    <r>
      <rPr>
        <sz val="10"/>
        <rFont val="Arial"/>
        <family val="0"/>
        <charset val="1"/>
      </rPr>
      <t xml:space="preserve">)</t>
    </r>
  </si>
  <si>
    <r>
      <rPr>
        <i val="true"/>
        <sz val="9"/>
        <color rgb="FF595959"/>
        <rFont val="WenQuanYi Zen Hei"/>
        <family val="2"/>
      </rPr>
      <t xml:space="preserve">※ 단가 구조 참고</t>
    </r>
    <r>
      <rPr>
        <i val="true"/>
        <sz val="9"/>
        <color rgb="FF595959"/>
        <rFont val="Arial"/>
        <family val="0"/>
        <charset val="1"/>
      </rPr>
      <t xml:space="preserve">: </t>
    </r>
    <r>
      <rPr>
        <i val="true"/>
        <sz val="9"/>
        <color rgb="FF595959"/>
        <rFont val="WenQuanYi Zen Hei"/>
        <family val="2"/>
      </rPr>
      <t xml:space="preserve">대부분 품목에서 네오맥스 단가 </t>
    </r>
    <r>
      <rPr>
        <i val="true"/>
        <sz val="9"/>
        <color rgb="FF595959"/>
        <rFont val="Arial"/>
        <family val="0"/>
        <charset val="1"/>
      </rPr>
      <t xml:space="preserve">= CENTRAL USD </t>
    </r>
    <r>
      <rPr>
        <i val="true"/>
        <sz val="9"/>
        <color rgb="FF595959"/>
        <rFont val="WenQuanYi Zen Hei"/>
        <family val="2"/>
      </rPr>
      <t xml:space="preserve">정가 </t>
    </r>
    <r>
      <rPr>
        <i val="true"/>
        <sz val="9"/>
        <color rgb="FF595959"/>
        <rFont val="Arial"/>
        <family val="0"/>
        <charset val="1"/>
      </rPr>
      <t xml:space="preserve">× </t>
    </r>
    <r>
      <rPr>
        <i val="true"/>
        <sz val="9"/>
        <color rgb="FF595959"/>
        <rFont val="WenQuanYi Zen Hei"/>
        <family val="2"/>
      </rPr>
      <t xml:space="preserve">약 </t>
    </r>
    <r>
      <rPr>
        <i val="true"/>
        <sz val="9"/>
        <color rgb="FF595959"/>
        <rFont val="Arial"/>
        <family val="0"/>
        <charset val="1"/>
      </rPr>
      <t xml:space="preserve">1,368</t>
    </r>
    <r>
      <rPr>
        <i val="true"/>
        <sz val="9"/>
        <color rgb="FF595959"/>
        <rFont val="WenQuanYi Zen Hei"/>
        <family val="2"/>
      </rPr>
      <t xml:space="preserve">원입니다</t>
    </r>
    <r>
      <rPr>
        <i val="true"/>
        <sz val="9"/>
        <color rgb="FF595959"/>
        <rFont val="Arial"/>
        <family val="0"/>
        <charset val="1"/>
      </rPr>
      <t xml:space="preserve">(</t>
    </r>
    <r>
      <rPr>
        <i val="true"/>
        <sz val="9"/>
        <color rgb="FF595959"/>
        <rFont val="WenQuanYi Zen Hei"/>
        <family val="2"/>
      </rPr>
      <t xml:space="preserve">예</t>
    </r>
    <r>
      <rPr>
        <i val="true"/>
        <sz val="9"/>
        <color rgb="FF595959"/>
        <rFont val="Arial"/>
        <family val="0"/>
        <charset val="1"/>
      </rPr>
      <t xml:space="preserve">: TONER 88 B 77.85 USD ↔ 106,480</t>
    </r>
    <r>
      <rPr>
        <i val="true"/>
        <sz val="9"/>
        <color rgb="FF595959"/>
        <rFont val="WenQuanYi Zen Hei"/>
        <family val="2"/>
      </rPr>
      <t xml:space="preserve">원</t>
    </r>
    <r>
      <rPr>
        <i val="true"/>
        <sz val="9"/>
        <color rgb="FF595959"/>
        <rFont val="Arial"/>
        <family val="0"/>
        <charset val="1"/>
      </rPr>
      <t xml:space="preserve">). </t>
    </r>
    <r>
      <rPr>
        <i val="true"/>
        <sz val="9"/>
        <color rgb="FF595959"/>
        <rFont val="WenQuanYi Zen Hei"/>
        <family val="2"/>
      </rPr>
      <t xml:space="preserve">결국 차이는 </t>
    </r>
    <r>
      <rPr>
        <i val="true"/>
        <sz val="9"/>
        <color rgb="FF595959"/>
        <rFont val="Arial"/>
        <family val="0"/>
        <charset val="1"/>
      </rPr>
      <t xml:space="preserve">CENTRAL</t>
    </r>
    <r>
      <rPr>
        <i val="true"/>
        <sz val="9"/>
        <color rgb="FF595959"/>
        <rFont val="WenQuanYi Zen Hei"/>
        <family val="2"/>
      </rPr>
      <t xml:space="preserve">의 </t>
    </r>
    <r>
      <rPr>
        <i val="true"/>
        <sz val="9"/>
        <color rgb="FF595959"/>
        <rFont val="Arial"/>
        <family val="0"/>
        <charset val="1"/>
      </rPr>
      <t xml:space="preserve">10% </t>
    </r>
    <r>
      <rPr>
        <i val="true"/>
        <sz val="9"/>
        <color rgb="FF595959"/>
        <rFont val="WenQuanYi Zen Hei"/>
        <family val="2"/>
      </rPr>
      <t xml:space="preserve">할인과 적용 환율 차이에서 나옵니다</t>
    </r>
    <r>
      <rPr>
        <i val="true"/>
        <sz val="9"/>
        <color rgb="FF595959"/>
        <rFont val="Arial"/>
        <family val="0"/>
        <charset val="1"/>
      </rPr>
      <t xml:space="preserve">.</t>
    </r>
  </si>
  <si>
    <r>
      <rPr>
        <b val="true"/>
        <sz val="12"/>
        <color rgb="FF1F3864"/>
        <rFont val="WenQuanYi Zen Hei"/>
        <family val="2"/>
      </rPr>
      <t xml:space="preserve">② 요청서별 견적 현황 — 나머지 건은 한 업체만 견적 </t>
    </r>
    <r>
      <rPr>
        <b val="true"/>
        <sz val="12"/>
        <color rgb="FF1F3864"/>
        <rFont val="Arial"/>
        <family val="0"/>
        <charset val="1"/>
      </rPr>
      <t xml:space="preserve">(</t>
    </r>
    <r>
      <rPr>
        <b val="true"/>
        <sz val="12"/>
        <color rgb="FF1F3864"/>
        <rFont val="WenQuanYi Zen Hei"/>
        <family val="2"/>
      </rPr>
      <t xml:space="preserve">같은 요청서 아님</t>
    </r>
    <r>
      <rPr>
        <b val="true"/>
        <sz val="12"/>
        <color rgb="FF1F3864"/>
        <rFont val="Arial"/>
        <family val="0"/>
        <charset val="1"/>
      </rPr>
      <t xml:space="preserve">)</t>
    </r>
  </si>
  <si>
    <t xml:space="preserve">요청서</t>
  </si>
  <si>
    <t xml:space="preserve">대상 선박</t>
  </si>
  <si>
    <t xml:space="preserve">CENTRAL Ref</t>
  </si>
  <si>
    <r>
      <rPr>
        <b val="true"/>
        <sz val="10"/>
        <color rgb="FFFFFFFF"/>
        <rFont val="Arial"/>
        <family val="0"/>
        <charset val="1"/>
      </rPr>
      <t xml:space="preserve">CENTRAL </t>
    </r>
    <r>
      <rPr>
        <b val="true"/>
        <sz val="10"/>
        <color rgb="FFFFFFFF"/>
        <rFont val="WenQuanYi Zen Hei"/>
        <family val="2"/>
      </rPr>
      <t xml:space="preserve">정가 </t>
    </r>
    <r>
      <rPr>
        <b val="true"/>
        <sz val="10"/>
        <color rgb="FFFFFFFF"/>
        <rFont val="Arial"/>
        <family val="0"/>
        <charset val="1"/>
      </rPr>
      <t xml:space="preserve">(USD)</t>
    </r>
  </si>
  <si>
    <r>
      <rPr>
        <b val="true"/>
        <sz val="10"/>
        <color rgb="FFFFFFFF"/>
        <rFont val="Arial"/>
        <family val="0"/>
        <charset val="1"/>
      </rPr>
      <t xml:space="preserve">CENTRAL </t>
    </r>
    <r>
      <rPr>
        <b val="true"/>
        <sz val="10"/>
        <color rgb="FFFFFFFF"/>
        <rFont val="WenQuanYi Zen Hei"/>
        <family val="2"/>
      </rPr>
      <t xml:space="preserve">할인후 </t>
    </r>
    <r>
      <rPr>
        <b val="true"/>
        <sz val="10"/>
        <color rgb="FFFFFFFF"/>
        <rFont val="Arial"/>
        <family val="0"/>
        <charset val="1"/>
      </rPr>
      <t xml:space="preserve">(USD)</t>
    </r>
  </si>
  <si>
    <r>
      <rPr>
        <b val="true"/>
        <sz val="10"/>
        <color rgb="FFFFFFFF"/>
        <rFont val="Arial"/>
        <family val="0"/>
        <charset val="1"/>
      </rPr>
      <t xml:space="preserve">CENTRAL </t>
    </r>
    <r>
      <rPr>
        <b val="true"/>
        <sz val="10"/>
        <color rgb="FFFFFFFF"/>
        <rFont val="WenQuanYi Zen Hei"/>
        <family val="2"/>
      </rPr>
      <t xml:space="preserve">할인후 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원화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</si>
  <si>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네오맥스 </t>
    </r>
    <r>
      <rPr>
        <b val="true"/>
        <sz val="10"/>
        <color rgb="FFFFFFFF"/>
        <rFont val="Arial"/>
        <family val="0"/>
        <charset val="1"/>
      </rPr>
      <t xml:space="preserve">Ref</t>
    </r>
  </si>
  <si>
    <t xml:space="preserve">비교 가능 여부</t>
  </si>
  <si>
    <t xml:space="preserve">PRINTER CARTRIDGES &amp; PAPER ROLLS</t>
  </si>
  <si>
    <t xml:space="preserve">NORTH VALLEY</t>
  </si>
  <si>
    <t xml:space="preserve">JU26092325-F</t>
  </si>
  <si>
    <t xml:space="preserve">SSL-26092215</t>
  </si>
  <si>
    <r>
      <rPr>
        <sz val="10"/>
        <rFont val="WenQuanYi Zen Hei"/>
        <family val="2"/>
      </rPr>
      <t xml:space="preserve">✔ 동일 요청서 → </t>
    </r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프린터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상세비교</t>
    </r>
    <r>
      <rPr>
        <sz val="10"/>
        <rFont val="Arial"/>
        <family val="0"/>
        <charset val="1"/>
      </rPr>
      <t xml:space="preserve">]</t>
    </r>
  </si>
  <si>
    <t xml:space="preserve">ER ELECTRICAL</t>
  </si>
  <si>
    <r>
      <rPr>
        <sz val="10"/>
        <rFont val="Arial"/>
        <family val="0"/>
        <charset val="1"/>
      </rPr>
      <t xml:space="preserve">LNG </t>
    </r>
    <r>
      <rPr>
        <sz val="10"/>
        <rFont val="WenQuanYi Zen Hei"/>
        <family val="2"/>
      </rPr>
      <t xml:space="preserve">운반선 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척</t>
    </r>
  </si>
  <si>
    <t xml:space="preserve">JU26092325-A</t>
  </si>
  <si>
    <t xml:space="preserve">—</t>
  </si>
  <si>
    <r>
      <rPr>
        <sz val="10"/>
        <rFont val="Arial"/>
        <family val="0"/>
        <charset val="1"/>
      </rPr>
      <t xml:space="preserve">✖ CENTRAL</t>
    </r>
    <r>
      <rPr>
        <sz val="10"/>
        <rFont val="WenQuanYi Zen Hei"/>
        <family val="2"/>
      </rPr>
      <t xml:space="preserve">만 견적</t>
    </r>
  </si>
  <si>
    <t xml:space="preserve">ER STORES</t>
  </si>
  <si>
    <t xml:space="preserve">JU26092325-C</t>
  </si>
  <si>
    <r>
      <rPr>
        <sz val="10"/>
        <rFont val="Arial"/>
        <family val="0"/>
        <charset val="1"/>
      </rPr>
      <t xml:space="preserve">✖ CENTRAL</t>
    </r>
    <r>
      <rPr>
        <sz val="10"/>
        <rFont val="WenQuanYi Zen Hei"/>
        <family val="2"/>
      </rPr>
      <t xml:space="preserve">만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유사품목 단가 참고 → </t>
    </r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유사품목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단가참고</t>
    </r>
    <r>
      <rPr>
        <sz val="10"/>
        <rFont val="Arial"/>
        <family val="0"/>
        <charset val="1"/>
      </rPr>
      <t xml:space="preserve">])</t>
    </r>
  </si>
  <si>
    <t xml:space="preserve">GALLEY APPLIANCES</t>
  </si>
  <si>
    <t xml:space="preserve">JU26092325-D</t>
  </si>
  <si>
    <t xml:space="preserve">GALLEY CONSUMABLES</t>
  </si>
  <si>
    <t xml:space="preserve">JU26092325-E</t>
  </si>
  <si>
    <t xml:space="preserve">PAINT (ORANGE RAL2004)</t>
  </si>
  <si>
    <t xml:space="preserve">SSL-26092825</t>
  </si>
  <si>
    <t xml:space="preserve">✖ 네오맥스만 견적</t>
  </si>
  <si>
    <t xml:space="preserve">ENGINE CONSUMABLES</t>
  </si>
  <si>
    <t xml:space="preserve">SSL-26092824</t>
  </si>
  <si>
    <t xml:space="preserve">TOOLS, FITTINGS &amp; MAINTENANCE</t>
  </si>
  <si>
    <t xml:space="preserve">SSL-26092823</t>
  </si>
  <si>
    <t xml:space="preserve">STATIONERY</t>
  </si>
  <si>
    <t xml:space="preserve">SSL-26092822</t>
  </si>
  <si>
    <r>
      <rPr>
        <b val="true"/>
        <sz val="10"/>
        <rFont val="WenQuanYi Zen Hei"/>
        <family val="2"/>
      </rPr>
      <t xml:space="preserve">합계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참고용 — 품목 구성이 달라 업체 간 직접 비교 불가</t>
    </r>
    <r>
      <rPr>
        <b val="true"/>
        <sz val="10"/>
        <rFont val="Arial"/>
        <family val="0"/>
        <charset val="1"/>
      </rPr>
      <t xml:space="preserve">)</t>
    </r>
  </si>
  <si>
    <r>
      <rPr>
        <i val="true"/>
        <sz val="9"/>
        <color rgb="FF595959"/>
        <rFont val="WenQuanYi Zen Hei"/>
        <family val="2"/>
      </rPr>
      <t xml:space="preserve">※ 파란 글씨 </t>
    </r>
    <r>
      <rPr>
        <i val="true"/>
        <sz val="9"/>
        <color rgb="FF595959"/>
        <rFont val="Arial"/>
        <family val="0"/>
        <charset val="1"/>
      </rPr>
      <t xml:space="preserve">= </t>
    </r>
    <r>
      <rPr>
        <i val="true"/>
        <sz val="9"/>
        <color rgb="FF595959"/>
        <rFont val="WenQuanYi Zen Hei"/>
        <family val="2"/>
      </rPr>
      <t xml:space="preserve">견적서</t>
    </r>
    <r>
      <rPr>
        <i val="true"/>
        <sz val="9"/>
        <color rgb="FF595959"/>
        <rFont val="Arial"/>
        <family val="0"/>
        <charset val="1"/>
      </rPr>
      <t xml:space="preserve">/</t>
    </r>
    <r>
      <rPr>
        <i val="true"/>
        <sz val="9"/>
        <color rgb="FF595959"/>
        <rFont val="WenQuanYi Zen Hei"/>
        <family val="2"/>
      </rPr>
      <t xml:space="preserve">인보이스 원본 금액</t>
    </r>
    <r>
      <rPr>
        <i val="true"/>
        <sz val="9"/>
        <color rgb="FF595959"/>
        <rFont val="Arial"/>
        <family val="0"/>
        <charset val="1"/>
      </rPr>
      <t xml:space="preserve">(</t>
    </r>
    <r>
      <rPr>
        <i val="true"/>
        <sz val="9"/>
        <color rgb="FF595959"/>
        <rFont val="WenQuanYi Zen Hei"/>
        <family val="2"/>
      </rPr>
      <t xml:space="preserve">하드코딩</t>
    </r>
    <r>
      <rPr>
        <i val="true"/>
        <sz val="9"/>
        <color rgb="FF595959"/>
        <rFont val="Arial"/>
        <family val="0"/>
        <charset val="1"/>
      </rPr>
      <t xml:space="preserve">). CENTRAL </t>
    </r>
    <r>
      <rPr>
        <i val="true"/>
        <sz val="9"/>
        <color rgb="FF595959"/>
        <rFont val="WenQuanYi Zen Hei"/>
        <family val="2"/>
      </rPr>
      <t xml:space="preserve">할인후 금액 </t>
    </r>
    <r>
      <rPr>
        <i val="true"/>
        <sz val="9"/>
        <color rgb="FF595959"/>
        <rFont val="Arial"/>
        <family val="0"/>
        <charset val="1"/>
      </rPr>
      <t xml:space="preserve">= </t>
    </r>
    <r>
      <rPr>
        <i val="true"/>
        <sz val="9"/>
        <color rgb="FF595959"/>
        <rFont val="WenQuanYi Zen Hei"/>
        <family val="2"/>
      </rPr>
      <t xml:space="preserve">정가 </t>
    </r>
    <r>
      <rPr>
        <i val="true"/>
        <sz val="9"/>
        <color rgb="FF595959"/>
        <rFont val="Arial"/>
        <family val="0"/>
        <charset val="1"/>
      </rPr>
      <t xml:space="preserve">× (1 − </t>
    </r>
    <r>
      <rPr>
        <i val="true"/>
        <sz val="9"/>
        <color rgb="FF595959"/>
        <rFont val="WenQuanYi Zen Hei"/>
        <family val="2"/>
      </rPr>
      <t xml:space="preserve">할인율</t>
    </r>
    <r>
      <rPr>
        <i val="true"/>
        <sz val="9"/>
        <color rgb="FF595959"/>
        <rFont val="Arial"/>
        <family val="0"/>
        <charset val="1"/>
      </rPr>
      <t xml:space="preserve">), </t>
    </r>
    <r>
      <rPr>
        <i val="true"/>
        <sz val="9"/>
        <color rgb="FF595959"/>
        <rFont val="WenQuanYi Zen Hei"/>
        <family val="2"/>
      </rPr>
      <t xml:space="preserve">원화 </t>
    </r>
    <r>
      <rPr>
        <i val="true"/>
        <sz val="9"/>
        <color rgb="FF595959"/>
        <rFont val="Arial"/>
        <family val="0"/>
        <charset val="1"/>
      </rPr>
      <t xml:space="preserve">= </t>
    </r>
    <r>
      <rPr>
        <i val="true"/>
        <sz val="9"/>
        <color rgb="FF595959"/>
        <rFont val="WenQuanYi Zen Hei"/>
        <family val="2"/>
      </rPr>
      <t xml:space="preserve">할인후 </t>
    </r>
    <r>
      <rPr>
        <i val="true"/>
        <sz val="9"/>
        <color rgb="FF595959"/>
        <rFont val="Arial"/>
        <family val="0"/>
        <charset val="1"/>
      </rPr>
      <t xml:space="preserve">USD × </t>
    </r>
    <r>
      <rPr>
        <i val="true"/>
        <sz val="9"/>
        <color rgb="FF595959"/>
        <rFont val="WenQuanYi Zen Hei"/>
        <family val="2"/>
      </rPr>
      <t xml:space="preserve">환율</t>
    </r>
    <r>
      <rPr>
        <i val="true"/>
        <sz val="9"/>
        <color rgb="FF595959"/>
        <rFont val="Arial"/>
        <family val="0"/>
        <charset val="1"/>
      </rPr>
      <t xml:space="preserve">. </t>
    </r>
    <r>
      <rPr>
        <i val="true"/>
        <sz val="9"/>
        <color rgb="FF595959"/>
        <rFont val="WenQuanYi Zen Hei"/>
        <family val="2"/>
      </rPr>
      <t xml:space="preserve">네오맥스 금액은 인보이스 </t>
    </r>
    <r>
      <rPr>
        <i val="true"/>
        <sz val="9"/>
        <color rgb="FF595959"/>
        <rFont val="Arial"/>
        <family val="0"/>
        <charset val="1"/>
      </rPr>
      <t xml:space="preserve">TOTAL </t>
    </r>
    <r>
      <rPr>
        <i val="true"/>
        <sz val="9"/>
        <color rgb="FF595959"/>
        <rFont val="WenQuanYi Zen Hei"/>
        <family val="2"/>
      </rPr>
      <t xml:space="preserve">그대로</t>
    </r>
    <r>
      <rPr>
        <i val="true"/>
        <sz val="9"/>
        <color rgb="FF595959"/>
        <rFont val="Arial"/>
        <family val="0"/>
        <charset val="1"/>
      </rPr>
      <t xml:space="preserve">(</t>
    </r>
    <r>
      <rPr>
        <i val="true"/>
        <sz val="9"/>
        <color rgb="FF595959"/>
        <rFont val="WenQuanYi Zen Hei"/>
        <family val="2"/>
      </rPr>
      <t xml:space="preserve">배송비 포함</t>
    </r>
    <r>
      <rPr>
        <i val="true"/>
        <sz val="9"/>
        <color rgb="FF595959"/>
        <rFont val="Arial"/>
        <family val="0"/>
        <charset val="1"/>
      </rPr>
      <t xml:space="preserve">).</t>
    </r>
  </si>
  <si>
    <t xml:space="preserve">③ 확인 필요 사항</t>
  </si>
  <si>
    <r>
      <rPr>
        <sz val="10"/>
        <rFont val="Arial"/>
        <family val="0"/>
        <charset val="1"/>
      </rPr>
      <t xml:space="preserve">1. </t>
    </r>
    <r>
      <rPr>
        <sz val="10"/>
        <rFont val="WenQuanYi Zen Hei"/>
        <family val="2"/>
      </rPr>
      <t xml:space="preserve">네오맥스 파일은 견적서가 아니라 </t>
    </r>
    <r>
      <rPr>
        <sz val="10"/>
        <rFont val="Arial"/>
        <family val="0"/>
        <charset val="1"/>
      </rPr>
      <t xml:space="preserve">SSL INTERNATIONAL → NEO-MAX </t>
    </r>
    <r>
      <rPr>
        <sz val="10"/>
        <rFont val="WenQuanYi Zen Hei"/>
        <family val="2"/>
      </rPr>
      <t xml:space="preserve">앞 인보이스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청구서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입니다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프린터 건은 </t>
    </r>
    <r>
      <rPr>
        <sz val="10"/>
        <rFont val="Arial"/>
        <family val="0"/>
        <charset val="1"/>
      </rPr>
      <t xml:space="preserve">PO No. 260922-1540</t>
    </r>
    <r>
      <rPr>
        <sz val="10"/>
        <rFont val="WenQuanYi Zen Hei"/>
        <family val="2"/>
      </rPr>
      <t xml:space="preserve">이 이미 기재되어 있습니다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발주 완료 건일 수 있음</t>
    </r>
    <r>
      <rPr>
        <sz val="10"/>
        <rFont val="Arial"/>
        <family val="0"/>
        <charset val="1"/>
      </rPr>
      <t xml:space="preserve">).</t>
    </r>
  </si>
  <si>
    <r>
      <rPr>
        <sz val="10"/>
        <rFont val="Arial"/>
        <family val="0"/>
        <charset val="1"/>
      </rPr>
      <t xml:space="preserve">2. </t>
    </r>
    <r>
      <rPr>
        <sz val="10"/>
        <rFont val="WenQuanYi Zen Hei"/>
        <family val="2"/>
      </rPr>
      <t xml:space="preserve">프린터 건 외 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개 요청서는 </t>
    </r>
    <r>
      <rPr>
        <sz val="10"/>
        <rFont val="Arial"/>
        <family val="0"/>
        <charset val="1"/>
      </rPr>
      <t xml:space="preserve">CENTRAL </t>
    </r>
    <r>
      <rPr>
        <sz val="10"/>
        <rFont val="WenQuanYi Zen Hei"/>
        <family val="2"/>
      </rPr>
      <t xml:space="preserve">견적에 없는 품목입니다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반대로 </t>
    </r>
    <r>
      <rPr>
        <sz val="10"/>
        <rFont val="Arial"/>
        <family val="0"/>
        <charset val="1"/>
      </rPr>
      <t xml:space="preserve">CENTRAL</t>
    </r>
    <r>
      <rPr>
        <sz val="10"/>
        <rFont val="WenQuanYi Zen Hei"/>
        <family val="2"/>
      </rPr>
      <t xml:space="preserve">의 </t>
    </r>
    <r>
      <rPr>
        <sz val="10"/>
        <rFont val="Arial"/>
        <family val="0"/>
        <charset val="1"/>
      </rPr>
      <t xml:space="preserve">ER ELECTRICAL / ER STORES / GALLEY 2</t>
    </r>
    <r>
      <rPr>
        <sz val="10"/>
        <rFont val="WenQuanYi Zen Hei"/>
        <family val="2"/>
      </rPr>
      <t xml:space="preserve">건은 네오맥스 견적이 없습니다 → 공정 비교를 위해 서로 빠진 요청서 견적을 추가로 받아야 합니다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</si>
  <si>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3. [</t>
    </r>
    <r>
      <rPr>
        <sz val="10"/>
        <rFont val="WenQuanYi Zen Hei"/>
        <family val="2"/>
      </rPr>
      <t xml:space="preserve">네오맥스 단가 오기</t>
    </r>
    <r>
      <rPr>
        <sz val="10"/>
        <rFont val="Arial"/>
        <family val="0"/>
        <charset val="1"/>
      </rPr>
      <t xml:space="preserve">] </t>
    </r>
    <r>
      <rPr>
        <sz val="10"/>
        <rFont val="WenQuanYi Zen Hei"/>
        <family val="2"/>
      </rPr>
      <t xml:space="preserve">프린터 </t>
    </r>
    <r>
      <rPr>
        <sz val="10"/>
        <rFont val="Arial"/>
        <family val="0"/>
        <charset val="1"/>
      </rPr>
      <t xml:space="preserve">#42 TEPRA 9MM RED </t>
    </r>
    <r>
      <rPr>
        <sz val="10"/>
        <rFont val="WenQuanYi Zen Hei"/>
        <family val="2"/>
      </rPr>
      <t xml:space="preserve">단가 </t>
    </r>
    <r>
      <rPr>
        <sz val="10"/>
        <rFont val="Arial"/>
        <family val="0"/>
        <charset val="1"/>
      </rPr>
      <t xml:space="preserve">82,280</t>
    </r>
    <r>
      <rPr>
        <sz val="10"/>
        <rFont val="WenQuanYi Zen Hei"/>
        <family val="2"/>
      </rPr>
      <t xml:space="preserve">원 — 같은 규격 다른 색상은 </t>
    </r>
    <r>
      <rPr>
        <sz val="10"/>
        <rFont val="Arial"/>
        <family val="0"/>
        <charset val="1"/>
      </rPr>
      <t xml:space="preserve">8,470</t>
    </r>
    <r>
      <rPr>
        <sz val="10"/>
        <rFont val="WenQuanYi Zen Hei"/>
        <family val="2"/>
      </rPr>
      <t xml:space="preserve">원</t>
    </r>
    <r>
      <rPr>
        <sz val="10"/>
        <rFont val="Arial"/>
        <family val="0"/>
        <charset val="1"/>
      </rPr>
      <t xml:space="preserve">. 0</t>
    </r>
    <r>
      <rPr>
        <sz val="10"/>
        <rFont val="WenQuanYi Zen Hei"/>
        <family val="2"/>
      </rPr>
      <t xml:space="preserve">이 하나 더 붙은 것으로 보이며 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개 기준 </t>
    </r>
    <r>
      <rPr>
        <sz val="10"/>
        <rFont val="Arial"/>
        <family val="0"/>
        <charset val="1"/>
      </rPr>
      <t xml:space="preserve">369,050</t>
    </r>
    <r>
      <rPr>
        <sz val="10"/>
        <rFont val="WenQuanYi Zen Hei"/>
        <family val="2"/>
      </rPr>
      <t xml:space="preserve">원 과다 청구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</si>
  <si>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4. [</t>
    </r>
    <r>
      <rPr>
        <sz val="10"/>
        <rFont val="WenQuanYi Zen Hei"/>
        <family val="2"/>
      </rPr>
      <t xml:space="preserve">네오맥스 산식 오류</t>
    </r>
    <r>
      <rPr>
        <sz val="10"/>
        <rFont val="Arial"/>
        <family val="0"/>
        <charset val="1"/>
      </rPr>
      <t xml:space="preserve">] ENGINE CONSUMABLES #6·#7·#29, STATIONERY #13·#14·#17 </t>
    </r>
    <r>
      <rPr>
        <sz val="10"/>
        <rFont val="WenQuanYi Zen Hei"/>
        <family val="2"/>
      </rPr>
      <t xml:space="preserve">은 수량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단가 ≠ 금액</t>
    </r>
    <r>
      <rPr>
        <sz val="10"/>
        <rFont val="Arial"/>
        <family val="0"/>
        <charset val="1"/>
      </rPr>
      <t xml:space="preserve">. STATIONERY TOTAL</t>
    </r>
    <r>
      <rPr>
        <sz val="10"/>
        <rFont val="WenQuanYi Zen Hei"/>
        <family val="2"/>
      </rPr>
      <t xml:space="preserve">은 수량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단가 기준으로 맞고 행 금액만 틀림</t>
    </r>
    <r>
      <rPr>
        <sz val="10"/>
        <rFont val="Arial"/>
        <family val="0"/>
        <charset val="1"/>
      </rPr>
      <t xml:space="preserve">, ENGINE CONSUMABLES TOTAL</t>
    </r>
    <r>
      <rPr>
        <sz val="10"/>
        <rFont val="WenQuanYi Zen Hei"/>
        <family val="2"/>
      </rPr>
      <t xml:space="preserve">은 행 합계와 </t>
    </r>
    <r>
      <rPr>
        <sz val="10"/>
        <rFont val="Arial"/>
        <family val="0"/>
        <charset val="1"/>
      </rPr>
      <t xml:space="preserve">40</t>
    </r>
    <r>
      <rPr>
        <sz val="10"/>
        <rFont val="WenQuanYi Zen Hei"/>
        <family val="2"/>
      </rPr>
      <t xml:space="preserve">원 차이 → </t>
    </r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네오맥스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단독견적</t>
    </r>
    <r>
      <rPr>
        <sz val="10"/>
        <rFont val="Arial"/>
        <family val="0"/>
        <charset val="1"/>
      </rPr>
      <t xml:space="preserve">] </t>
    </r>
    <r>
      <rPr>
        <sz val="10"/>
        <rFont val="WenQuanYi Zen Hei"/>
        <family val="2"/>
      </rPr>
      <t xml:space="preserve">시트 빨간 행 참고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</si>
  <si>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5. [CENTRAL </t>
    </r>
    <r>
      <rPr>
        <sz val="10"/>
        <rFont val="WenQuanYi Zen Hei"/>
        <family val="2"/>
      </rPr>
      <t xml:space="preserve">미견적</t>
    </r>
    <r>
      <rPr>
        <sz val="10"/>
        <rFont val="Arial"/>
        <family val="0"/>
        <charset val="1"/>
      </rPr>
      <t xml:space="preserve">] </t>
    </r>
    <r>
      <rPr>
        <sz val="10"/>
        <rFont val="WenQuanYi Zen Hei"/>
        <family val="2"/>
      </rPr>
      <t xml:space="preserve">프린터 </t>
    </r>
    <r>
      <rPr>
        <sz val="10"/>
        <rFont val="Arial"/>
        <family val="0"/>
        <charset val="1"/>
      </rPr>
      <t xml:space="preserve">#18·#19 SMART TONER B/Y — </t>
    </r>
    <r>
      <rPr>
        <sz val="10"/>
        <rFont val="WenQuanYi Zen Hei"/>
        <family val="2"/>
      </rPr>
      <t xml:space="preserve">모델 정보 요청하며 단가 공란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네오맥스도 해당 품목 없음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</si>
  <si>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6. [</t>
    </r>
    <r>
      <rPr>
        <sz val="10"/>
        <rFont val="WenQuanYi Zen Hei"/>
        <family val="2"/>
      </rPr>
      <t xml:space="preserve">품목 상이</t>
    </r>
    <r>
      <rPr>
        <sz val="10"/>
        <rFont val="Arial"/>
        <family val="0"/>
        <charset val="1"/>
      </rPr>
      <t xml:space="preserve">] LEXMARK: CENTRAL</t>
    </r>
    <r>
      <rPr>
        <sz val="10"/>
        <rFont val="WenQuanYi Zen Hei"/>
        <family val="2"/>
      </rPr>
      <t xml:space="preserve">은 </t>
    </r>
    <r>
      <rPr>
        <sz val="10"/>
        <rFont val="Arial"/>
        <family val="0"/>
        <charset val="1"/>
      </rPr>
      <t xml:space="preserve">78C0Z50(</t>
    </r>
    <r>
      <rPr>
        <sz val="10"/>
        <rFont val="WenQuanYi Zen Hei"/>
        <family val="2"/>
      </rPr>
      <t xml:space="preserve">이미징 키트</t>
    </r>
    <r>
      <rPr>
        <sz val="10"/>
        <rFont val="Arial"/>
        <family val="0"/>
        <charset val="1"/>
      </rPr>
      <t xml:space="preserve">) 2</t>
    </r>
    <r>
      <rPr>
        <sz val="10"/>
        <rFont val="WenQuanYi Zen Hei"/>
        <family val="2"/>
      </rPr>
      <t xml:space="preserve">개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네오맥스는 </t>
    </r>
    <r>
      <rPr>
        <sz val="10"/>
        <rFont val="Arial"/>
        <family val="0"/>
        <charset val="1"/>
      </rPr>
      <t xml:space="preserve">78C20 </t>
    </r>
    <r>
      <rPr>
        <sz val="10"/>
        <rFont val="WenQuanYi Zen Hei"/>
        <family val="2"/>
      </rPr>
      <t xml:space="preserve">토너 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색 각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개 — 요청서 원본과 대조 필요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</si>
  <si>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7. </t>
    </r>
    <r>
      <rPr>
        <sz val="10"/>
        <rFont val="WenQuanYi Zen Hei"/>
        <family val="2"/>
      </rPr>
      <t xml:space="preserve">네오맥스 인보이스에 배송비 </t>
    </r>
    <r>
      <rPr>
        <sz val="10"/>
        <rFont val="Arial"/>
        <family val="0"/>
        <charset val="1"/>
      </rPr>
      <t xml:space="preserve">200,000</t>
    </r>
    <r>
      <rPr>
        <sz val="10"/>
        <rFont val="WenQuanYi Zen Hei"/>
        <family val="2"/>
      </rPr>
      <t xml:space="preserve">원 별도 포함</t>
    </r>
    <r>
      <rPr>
        <sz val="10"/>
        <rFont val="Arial"/>
        <family val="0"/>
        <charset val="1"/>
      </rPr>
      <t xml:space="preserve">. CENTRAL </t>
    </r>
    <r>
      <rPr>
        <sz val="10"/>
        <rFont val="WenQuanYi Zen Hei"/>
        <family val="2"/>
      </rPr>
      <t xml:space="preserve">견적은 배송비 언급 없음 → 납품 조건 확인 필요</t>
    </r>
    <r>
      <rPr>
        <sz val="10"/>
        <rFont val="Arial"/>
        <family val="0"/>
        <charset val="1"/>
      </rPr>
      <t xml:space="preserve">.</t>
    </r>
  </si>
  <si>
    <r>
      <rPr>
        <b val="true"/>
        <sz val="15"/>
        <color rgb="FF1F3864"/>
        <rFont val="WenQuanYi Zen Hei"/>
        <family val="2"/>
      </rPr>
      <t xml:space="preserve">프린터 카트리지 </t>
    </r>
    <r>
      <rPr>
        <b val="true"/>
        <sz val="15"/>
        <color rgb="FF1F3864"/>
        <rFont val="Arial"/>
        <family val="0"/>
        <charset val="1"/>
      </rPr>
      <t xml:space="preserve">&amp; </t>
    </r>
    <r>
      <rPr>
        <b val="true"/>
        <sz val="15"/>
        <color rgb="FF1F3864"/>
        <rFont val="WenQuanYi Zen Hei"/>
        <family val="2"/>
      </rPr>
      <t xml:space="preserve">용지 — 품목별 단가 비교 </t>
    </r>
    <r>
      <rPr>
        <b val="true"/>
        <sz val="15"/>
        <color rgb="FF1F3864"/>
        <rFont val="Arial"/>
        <family val="0"/>
        <charset val="1"/>
      </rPr>
      <t xml:space="preserve">(NORTH VALLEY)</t>
    </r>
  </si>
  <si>
    <r>
      <rPr>
        <i val="true"/>
        <sz val="9"/>
        <color rgb="FF595959"/>
        <rFont val="Arial"/>
        <family val="0"/>
        <charset val="1"/>
      </rPr>
      <t xml:space="preserve">CENTRAL JU26092325-F  vs  </t>
    </r>
    <r>
      <rPr>
        <i val="true"/>
        <sz val="9"/>
        <color rgb="FF595959"/>
        <rFont val="WenQuanYi Zen Hei"/>
        <family val="2"/>
      </rPr>
      <t xml:space="preserve">네오맥스</t>
    </r>
    <r>
      <rPr>
        <i val="true"/>
        <sz val="9"/>
        <color rgb="FF595959"/>
        <rFont val="Arial"/>
        <family val="0"/>
        <charset val="1"/>
      </rPr>
      <t xml:space="preserve">(SSL) SSL-26092215  |  CENTRAL </t>
    </r>
    <r>
      <rPr>
        <i val="true"/>
        <sz val="9"/>
        <color rgb="FF595959"/>
        <rFont val="WenQuanYi Zen Hei"/>
        <family val="2"/>
      </rPr>
      <t xml:space="preserve">원화단가 </t>
    </r>
    <r>
      <rPr>
        <i val="true"/>
        <sz val="9"/>
        <color rgb="FF595959"/>
        <rFont val="Arial"/>
        <family val="0"/>
        <charset val="1"/>
      </rPr>
      <t xml:space="preserve">= USD </t>
    </r>
    <r>
      <rPr>
        <i val="true"/>
        <sz val="9"/>
        <color rgb="FF595959"/>
        <rFont val="WenQuanYi Zen Hei"/>
        <family val="2"/>
      </rPr>
      <t xml:space="preserve">단가 </t>
    </r>
    <r>
      <rPr>
        <i val="true"/>
        <sz val="9"/>
        <color rgb="FF595959"/>
        <rFont val="Arial"/>
        <family val="0"/>
        <charset val="1"/>
      </rPr>
      <t xml:space="preserve">× </t>
    </r>
    <r>
      <rPr>
        <i val="true"/>
        <sz val="9"/>
        <color rgb="FF595959"/>
        <rFont val="WenQuanYi Zen Hei"/>
        <family val="2"/>
      </rPr>
      <t xml:space="preserve">환율 </t>
    </r>
    <r>
      <rPr>
        <i val="true"/>
        <sz val="9"/>
        <color rgb="FF595959"/>
        <rFont val="Arial"/>
        <family val="0"/>
        <charset val="1"/>
      </rPr>
      <t xml:space="preserve">× (1 − </t>
    </r>
    <r>
      <rPr>
        <i val="true"/>
        <sz val="9"/>
        <color rgb="FF595959"/>
        <rFont val="WenQuanYi Zen Hei"/>
        <family val="2"/>
      </rPr>
      <t xml:space="preserve">할인율</t>
    </r>
    <r>
      <rPr>
        <i val="true"/>
        <sz val="9"/>
        <color rgb="FF595959"/>
        <rFont val="Arial"/>
        <family val="0"/>
        <charset val="1"/>
      </rPr>
      <t xml:space="preserve">)  |  </t>
    </r>
    <r>
      <rPr>
        <i val="true"/>
        <sz val="9"/>
        <color rgb="FF595959"/>
        <rFont val="WenQuanYi Zen Hei"/>
        <family val="2"/>
      </rPr>
      <t xml:space="preserve">초록 </t>
    </r>
    <r>
      <rPr>
        <i val="true"/>
        <sz val="9"/>
        <color rgb="FF595959"/>
        <rFont val="Arial"/>
        <family val="0"/>
        <charset val="1"/>
      </rPr>
      <t xml:space="preserve">= </t>
    </r>
    <r>
      <rPr>
        <i val="true"/>
        <sz val="9"/>
        <color rgb="FF595959"/>
        <rFont val="WenQuanYi Zen Hei"/>
        <family val="2"/>
      </rPr>
      <t xml:space="preserve">더 저렴한 쪽</t>
    </r>
  </si>
  <si>
    <r>
      <rPr>
        <b val="true"/>
        <sz val="10"/>
        <color rgb="FFFFFFFF"/>
        <rFont val="WenQuanYi Zen Hei"/>
        <family val="2"/>
      </rPr>
      <t xml:space="preserve">요청서 </t>
    </r>
    <r>
      <rPr>
        <b val="true"/>
        <sz val="10"/>
        <color rgb="FFFFFFFF"/>
        <rFont val="Arial"/>
        <family val="0"/>
        <charset val="1"/>
      </rPr>
      <t xml:space="preserve">No.
(</t>
    </r>
    <r>
      <rPr>
        <b val="true"/>
        <sz val="10"/>
        <color rgb="FFFFFFFF"/>
        <rFont val="WenQuanYi Zen Hei"/>
        <family val="2"/>
      </rPr>
      <t xml:space="preserve">네오 기준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</si>
  <si>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CENTRAL
No.</t>
  </si>
  <si>
    <t xml:space="preserve">품목</t>
  </si>
  <si>
    <t xml:space="preserve">수량</t>
  </si>
  <si>
    <t xml:space="preserve">단위</t>
  </si>
  <si>
    <r>
      <rPr>
        <b val="true"/>
        <sz val="10"/>
        <color rgb="FFFFFFFF"/>
        <rFont val="Arial"/>
        <family val="0"/>
        <charset val="1"/>
      </rPr>
      <t xml:space="preserve">CENTRAL
</t>
    </r>
    <r>
      <rPr>
        <b val="true"/>
        <sz val="10"/>
        <color rgb="FFFFFFFF"/>
        <rFont val="WenQuanYi Zen Hei"/>
        <family val="2"/>
      </rPr>
      <t xml:space="preserve">단가 </t>
    </r>
    <r>
      <rPr>
        <b val="true"/>
        <sz val="10"/>
        <color rgb="FFFFFFFF"/>
        <rFont val="Arial"/>
        <family val="0"/>
        <charset val="1"/>
      </rPr>
      <t xml:space="preserve">(USD)</t>
    </r>
  </si>
  <si>
    <r>
      <rPr>
        <b val="true"/>
        <sz val="10"/>
        <color rgb="FFFFFFFF"/>
        <rFont val="Arial"/>
        <family val="0"/>
        <charset val="1"/>
      </rPr>
      <t xml:space="preserve">CENTRAL
</t>
    </r>
    <r>
      <rPr>
        <b val="true"/>
        <sz val="10"/>
        <color rgb="FFFFFFFF"/>
        <rFont val="WenQuanYi Zen Hei"/>
        <family val="2"/>
      </rPr>
      <t xml:space="preserve">단가 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원</t>
    </r>
    <r>
      <rPr>
        <b val="true"/>
        <sz val="10"/>
        <color rgb="FFFFFFFF"/>
        <rFont val="Arial"/>
        <family val="0"/>
        <charset val="1"/>
      </rPr>
      <t xml:space="preserve">, </t>
    </r>
    <r>
      <rPr>
        <b val="true"/>
        <sz val="10"/>
        <color rgb="FFFFFFFF"/>
        <rFont val="WenQuanYi Zen Hei"/>
        <family val="2"/>
      </rPr>
      <t xml:space="preserve">할인후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</si>
  <si>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CENTRAL
</t>
    </r>
    <r>
      <rPr>
        <b val="true"/>
        <sz val="10"/>
        <color rgb="FFFFFFFF"/>
        <rFont val="WenQuanYi Zen Hei"/>
        <family val="2"/>
      </rPr>
      <t xml:space="preserve">금액 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원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</si>
  <si>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네오맥스
단가 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원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</si>
  <si>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네오맥스
금액 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원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</si>
  <si>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차액
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네오 − </t>
    </r>
    <r>
      <rPr>
        <b val="true"/>
        <sz val="10"/>
        <color rgb="FFFFFFFF"/>
        <rFont val="Arial"/>
        <family val="0"/>
        <charset val="1"/>
      </rPr>
      <t xml:space="preserve">CENTRAL)</t>
    </r>
  </si>
  <si>
    <t xml:space="preserve">저렴한 곳</t>
  </si>
  <si>
    <t xml:space="preserve">비고</t>
  </si>
  <si>
    <t xml:space="preserve">공통</t>
  </si>
  <si>
    <t xml:space="preserve">TONER 88 B</t>
  </si>
  <si>
    <t xml:space="preserve">PCS</t>
  </si>
  <si>
    <t xml:space="preserve">TONER 88 Y</t>
  </si>
  <si>
    <t xml:space="preserve">TONER 88 M</t>
  </si>
  <si>
    <t xml:space="preserve">TONER 88 C</t>
  </si>
  <si>
    <t xml:space="preserve">LIQUID EPSON 008 B</t>
  </si>
  <si>
    <t xml:space="preserve">LIQUID EPSON 008 C</t>
  </si>
  <si>
    <t xml:space="preserve">LIQUID EPSON 008 Y</t>
  </si>
  <si>
    <t xml:space="preserve">LIQUID EPSON 008 M</t>
  </si>
  <si>
    <t xml:space="preserve">LCL MAINTENANCE BOX</t>
  </si>
  <si>
    <t xml:space="preserve">HP 215 A M</t>
  </si>
  <si>
    <r>
      <rPr>
        <sz val="10"/>
        <rFont val="Arial"/>
        <family val="0"/>
        <charset val="1"/>
      </rPr>
      <t xml:space="preserve">HP 215A: </t>
    </r>
    <r>
      <rPr>
        <sz val="10"/>
        <rFont val="WenQuanYi Zen Hei"/>
        <family val="2"/>
      </rPr>
      <t xml:space="preserve">네오맥스는 </t>
    </r>
    <r>
      <rPr>
        <sz val="10"/>
        <rFont val="Arial"/>
        <family val="0"/>
        <charset val="1"/>
      </rPr>
      <t xml:space="preserve">M</t>
    </r>
    <r>
      <rPr>
        <sz val="10"/>
        <rFont val="WenQuanYi Zen Hei"/>
        <family val="2"/>
      </rPr>
      <t xml:space="preserve">만 저가</t>
    </r>
    <r>
      <rPr>
        <sz val="10"/>
        <rFont val="Arial"/>
        <family val="0"/>
        <charset val="1"/>
      </rPr>
      <t xml:space="preserve">, CENTRAL</t>
    </r>
    <r>
      <rPr>
        <sz val="10"/>
        <rFont val="WenQuanYi Zen Hei"/>
        <family val="2"/>
      </rPr>
      <t xml:space="preserve">은 </t>
    </r>
    <r>
      <rPr>
        <sz val="10"/>
        <rFont val="Arial"/>
        <family val="0"/>
        <charset val="1"/>
      </rPr>
      <t xml:space="preserve">B</t>
    </r>
    <r>
      <rPr>
        <sz val="10"/>
        <rFont val="WenQuanYi Zen Hei"/>
        <family val="2"/>
      </rPr>
      <t xml:space="preserve">만 저가</t>
    </r>
  </si>
  <si>
    <t xml:space="preserve">HP 215 A Y</t>
  </si>
  <si>
    <t xml:space="preserve">HP 215 A C</t>
  </si>
  <si>
    <t xml:space="preserve">HP 215 A B</t>
  </si>
  <si>
    <t xml:space="preserve">INK JET CARTRIDGE HP954XL B</t>
  </si>
  <si>
    <t xml:space="preserve">INK JET CARTRIDGE HP954XL C</t>
  </si>
  <si>
    <t xml:space="preserve">INK JET CARTRIDGE HP954XL Y</t>
  </si>
  <si>
    <t xml:space="preserve">INK JET CARTRIDGE HP954XL M</t>
  </si>
  <si>
    <t xml:space="preserve">EPSON 9MM X 9M SC9R-PX BLACK ON RED</t>
  </si>
  <si>
    <t xml:space="preserve">EPSON 24MM X 9M SC24Y BLACK ON YELLOW</t>
  </si>
  <si>
    <t xml:space="preserve">EPSON 24MM X 9M SC24G-PX BLACK ON GREEN</t>
  </si>
  <si>
    <t xml:space="preserve">EPSON 9MM X 9M SC9G-PX BLACK ON GREEN</t>
  </si>
  <si>
    <t xml:space="preserve">EPSON 12MM X 9M SC12B-PX BLACK ON BLUE</t>
  </si>
  <si>
    <t xml:space="preserve">TONER CARRIDGE CS421 TONER K</t>
  </si>
  <si>
    <t xml:space="preserve">TONER CARRIDGE CS421 TONER C</t>
  </si>
  <si>
    <t xml:space="preserve">TONER CARRIDGE CS421 TONER Y</t>
  </si>
  <si>
    <t xml:space="preserve">TONER CARRIDGE CS421 TONER M</t>
  </si>
  <si>
    <t xml:space="preserve">BROTHER TN2260</t>
  </si>
  <si>
    <t xml:space="preserve">RIBBON CARTRIDGE HANAROTEC JP3800 JP 3750 DL3800 JP 4850 M 3388</t>
  </si>
  <si>
    <t xml:space="preserve">TAPE CARTRIDGE FOR"TEPRA" TAPE, WRITER 9MM RED W/BLACK LTR</t>
  </si>
  <si>
    <r>
      <rPr>
        <sz val="10"/>
        <rFont val="WenQuanYi Zen Hei"/>
        <family val="2"/>
      </rPr>
      <t xml:space="preserve">⚠ 단가 오기 의심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동일 규격 타 색상 </t>
    </r>
    <r>
      <rPr>
        <sz val="10"/>
        <rFont val="Arial"/>
        <family val="0"/>
        <charset val="1"/>
      </rPr>
      <t xml:space="preserve">8,470</t>
    </r>
    <r>
      <rPr>
        <sz val="10"/>
        <rFont val="WenQuanYi Zen Hei"/>
        <family val="2"/>
      </rPr>
      <t xml:space="preserve">원 </t>
    </r>
    <r>
      <rPr>
        <sz val="10"/>
        <rFont val="Arial"/>
        <family val="0"/>
        <charset val="1"/>
      </rPr>
      <t xml:space="preserve">(0 </t>
    </r>
    <r>
      <rPr>
        <sz val="10"/>
        <rFont val="WenQuanYi Zen Hei"/>
        <family val="2"/>
      </rPr>
      <t xml:space="preserve">하나 더 붙음</t>
    </r>
    <r>
      <rPr>
        <sz val="10"/>
        <rFont val="Arial"/>
        <family val="0"/>
        <charset val="1"/>
      </rPr>
      <t xml:space="preserve">)</t>
    </r>
  </si>
  <si>
    <t xml:space="preserve">TAPE CARTRIDGE FOR"TEPRA" TAPE, WRITER 9MM YELLOW W/BLACK LTR</t>
  </si>
  <si>
    <t xml:space="preserve">TAPE FOR TEPRA-PRO TAPE WRITER, W:9MM WHITE WITH BLACK LETTER</t>
  </si>
  <si>
    <t xml:space="preserve">TAPE CARTRIDGE FOR"TEPRA" TAPE, WRITER 12MM RED W/BLACK LTR</t>
  </si>
  <si>
    <t xml:space="preserve">TAPE CARTRIDGE FOR"TEPRA" TAPE, WRITER 12MM YELLOW W/BLACK LTR</t>
  </si>
  <si>
    <t xml:space="preserve">TAPE FOR TEPRA-PRO TAPE WRITER, W:12MM WHITE WITH BLACK LETTER</t>
  </si>
  <si>
    <t xml:space="preserve">INMARSAT-C &amp; NBDP PRINTER PAPER ROLL (FURUNO PP-520)</t>
  </si>
  <si>
    <t xml:space="preserve">GPS PRINTER (FURUNO PP-505)</t>
  </si>
  <si>
    <t xml:space="preserve">NAVTEX (FURUNO NX-700) &amp; ECHO SOUNDER PRINTER (FURUNO FE-800)</t>
  </si>
  <si>
    <r>
      <rPr>
        <sz val="10"/>
        <rFont val="Arial"/>
        <family val="0"/>
        <charset val="1"/>
      </rPr>
      <t xml:space="preserve">CENTRAL</t>
    </r>
    <r>
      <rPr>
        <sz val="10"/>
        <rFont val="WenQuanYi Zen Hei"/>
        <family val="2"/>
      </rPr>
      <t xml:space="preserve">만</t>
    </r>
  </si>
  <si>
    <t xml:space="preserve">SMART TONER FOR LASER PRINT B</t>
  </si>
  <si>
    <r>
      <rPr>
        <sz val="10"/>
        <rFont val="Arial"/>
        <family val="0"/>
        <charset val="1"/>
      </rPr>
      <t xml:space="preserve">CENTRAL </t>
    </r>
    <r>
      <rPr>
        <sz val="10"/>
        <rFont val="WenQuanYi Zen Hei"/>
        <family val="2"/>
      </rPr>
      <t xml:space="preserve">단가 공란 — 모델 정보 요청</t>
    </r>
  </si>
  <si>
    <t xml:space="preserve">SMART TONER FOR LASER PRINT Y</t>
  </si>
  <si>
    <t xml:space="preserve">CARTRIDGE 78C0Z50 LEXMARK MC2425 MC2535 MC2640</t>
  </si>
  <si>
    <r>
      <rPr>
        <sz val="10"/>
        <rFont val="Arial"/>
        <family val="0"/>
        <charset val="1"/>
      </rPr>
      <t xml:space="preserve">LEXMARK </t>
    </r>
    <r>
      <rPr>
        <sz val="10"/>
        <rFont val="WenQuanYi Zen Hei"/>
        <family val="2"/>
      </rPr>
      <t xml:space="preserve">이미징 키트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네오맥스는 </t>
    </r>
    <r>
      <rPr>
        <sz val="10"/>
        <rFont val="Arial"/>
        <family val="0"/>
        <charset val="1"/>
      </rPr>
      <t xml:space="preserve">78C20 </t>
    </r>
    <r>
      <rPr>
        <sz val="10"/>
        <rFont val="WenQuanYi Zen Hei"/>
        <family val="2"/>
      </rPr>
      <t xml:space="preserve">토너 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색으로 견적 → 요청서 확인</t>
    </r>
  </si>
  <si>
    <t xml:space="preserve">네오맥스만</t>
  </si>
  <si>
    <t xml:space="preserve">EPSON 24MM X 9M SC24R-PX BLACK ON RED</t>
  </si>
  <si>
    <t xml:space="preserve">EPSON 18MM X 9M SC18G-PX BLACK ON GREEN</t>
  </si>
  <si>
    <t xml:space="preserve">TONER CARRIDGE 78C20C0</t>
  </si>
  <si>
    <t xml:space="preserve">TONER CARRIDGE 78C20Y0</t>
  </si>
  <si>
    <t xml:space="preserve">TONER CARRIDGE 78C20K0</t>
  </si>
  <si>
    <t xml:space="preserve">TONER CARRIDGE 78C20M0</t>
  </si>
  <si>
    <t xml:space="preserve">RIBBON CARTRIDGE LQ-800</t>
  </si>
  <si>
    <t xml:space="preserve">CWT-300/350/355</t>
  </si>
  <si>
    <t xml:space="preserve">배송비</t>
  </si>
  <si>
    <t xml:space="preserve">LOT</t>
  </si>
  <si>
    <r>
      <rPr>
        <sz val="10"/>
        <rFont val="WenQuanYi Zen Hei"/>
        <family val="2"/>
      </rPr>
      <t xml:space="preserve">배송비 — </t>
    </r>
    <r>
      <rPr>
        <sz val="10"/>
        <rFont val="Arial"/>
        <family val="0"/>
        <charset val="1"/>
      </rPr>
      <t xml:space="preserve">CENTRAL </t>
    </r>
    <r>
      <rPr>
        <sz val="10"/>
        <rFont val="WenQuanYi Zen Hei"/>
        <family val="2"/>
      </rPr>
      <t xml:space="preserve">견적엔 없음</t>
    </r>
  </si>
  <si>
    <r>
      <rPr>
        <b val="true"/>
        <sz val="10"/>
        <rFont val="WenQuanYi Zen Hei"/>
        <family val="2"/>
      </rPr>
      <t xml:space="preserve">공통 품목 합계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같은 품목끼리 비교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</si>
  <si>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공통 품목 합계 — 네오맥스 </t>
    </r>
    <r>
      <rPr>
        <b val="true"/>
        <sz val="10"/>
        <rFont val="Arial"/>
        <family val="0"/>
        <charset val="1"/>
      </rPr>
      <t xml:space="preserve">TEPRA </t>
    </r>
    <r>
      <rPr>
        <b val="true"/>
        <sz val="10"/>
        <rFont val="WenQuanYi Zen Hei"/>
        <family val="2"/>
      </rPr>
      <t xml:space="preserve">단가 오기</t>
    </r>
    <r>
      <rPr>
        <b val="true"/>
        <sz val="10"/>
        <rFont val="Arial"/>
        <family val="0"/>
        <charset val="1"/>
      </rPr>
      <t xml:space="preserve">(82,280→8,470) </t>
    </r>
    <r>
      <rPr>
        <b val="true"/>
        <sz val="10"/>
        <rFont val="WenQuanYi Zen Hei"/>
        <family val="2"/>
      </rPr>
      <t xml:space="preserve">정정 시</t>
    </r>
  </si>
  <si>
    <r>
      <rPr>
        <b val="true"/>
        <sz val="10"/>
        <rFont val="Arial"/>
        <family val="0"/>
        <charset val="1"/>
      </rPr>
      <t xml:space="preserve">8,470</t>
    </r>
    <r>
      <rPr>
        <b val="true"/>
        <sz val="10"/>
        <rFont val="WenQuanYi Zen Hei"/>
        <family val="2"/>
      </rPr>
      <t xml:space="preserve">원 </t>
    </r>
    <r>
      <rPr>
        <b val="true"/>
        <sz val="10"/>
        <rFont val="Arial"/>
        <family val="0"/>
        <charset val="1"/>
      </rPr>
      <t xml:space="preserve">= </t>
    </r>
    <r>
      <rPr>
        <b val="true"/>
        <sz val="10"/>
        <rFont val="WenQuanYi Zen Hei"/>
        <family val="2"/>
      </rPr>
      <t xml:space="preserve">같은 인보이스 </t>
    </r>
    <r>
      <rPr>
        <b val="true"/>
        <sz val="10"/>
        <rFont val="Arial"/>
        <family val="0"/>
        <charset val="1"/>
      </rPr>
      <t xml:space="preserve">TEPRA </t>
    </r>
    <r>
      <rPr>
        <b val="true"/>
        <sz val="10"/>
        <rFont val="WenQuanYi Zen Hei"/>
        <family val="2"/>
      </rPr>
      <t xml:space="preserve">타 색상 단가</t>
    </r>
  </si>
  <si>
    <t xml:space="preserve">한쪽만 있는 품목 합계</t>
  </si>
  <si>
    <r>
      <rPr>
        <b val="true"/>
        <sz val="10"/>
        <rFont val="WenQuanYi Zen Hei"/>
        <family val="2"/>
      </rPr>
      <t xml:space="preserve">전체 합계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각 업체 견적 전체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</si>
  <si>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CENTRAL</t>
    </r>
    <r>
      <rPr>
        <b val="true"/>
        <sz val="10"/>
        <rFont val="WenQuanYi Zen Hei"/>
        <family val="2"/>
      </rPr>
      <t xml:space="preserve">은 </t>
    </r>
    <r>
      <rPr>
        <b val="true"/>
        <sz val="10"/>
        <rFont val="Arial"/>
        <family val="0"/>
        <charset val="1"/>
      </rPr>
      <t xml:space="preserve">#18·#19 </t>
    </r>
    <r>
      <rPr>
        <b val="true"/>
        <sz val="10"/>
        <rFont val="WenQuanYi Zen Hei"/>
        <family val="2"/>
      </rPr>
      <t xml:space="preserve">단가 공란이라 그만큼 적게 잡힘</t>
    </r>
  </si>
  <si>
    <r>
      <rPr>
        <i val="true"/>
        <sz val="9"/>
        <color rgb="FF595959"/>
        <rFont val="Arial"/>
        <family val="0"/>
        <charset val="1"/>
      </rPr>
      <t xml:space="preserve">※ CENTRAL </t>
    </r>
    <r>
      <rPr>
        <i val="true"/>
        <sz val="9"/>
        <color rgb="FF595959"/>
        <rFont val="WenQuanYi Zen Hei"/>
        <family val="2"/>
      </rPr>
      <t xml:space="preserve">원화 합계는 품목별로 할인</t>
    </r>
    <r>
      <rPr>
        <i val="true"/>
        <sz val="9"/>
        <color rgb="FF595959"/>
        <rFont val="Arial"/>
        <family val="0"/>
        <charset val="1"/>
      </rPr>
      <t xml:space="preserve">·</t>
    </r>
    <r>
      <rPr>
        <i val="true"/>
        <sz val="9"/>
        <color rgb="FF595959"/>
        <rFont val="WenQuanYi Zen Hei"/>
        <family val="2"/>
      </rPr>
      <t xml:space="preserve">환율을 적용해 반올림한 값이라</t>
    </r>
    <r>
      <rPr>
        <i val="true"/>
        <sz val="9"/>
        <color rgb="FF595959"/>
        <rFont val="Arial"/>
        <family val="0"/>
        <charset val="1"/>
      </rPr>
      <t xml:space="preserve">, </t>
    </r>
    <r>
      <rPr>
        <i val="true"/>
        <sz val="9"/>
        <color rgb="FF595959"/>
        <rFont val="WenQuanYi Zen Hei"/>
        <family val="2"/>
      </rPr>
      <t xml:space="preserve">견적서 </t>
    </r>
    <r>
      <rPr>
        <i val="true"/>
        <sz val="9"/>
        <color rgb="FF595959"/>
        <rFont val="Arial"/>
        <family val="0"/>
        <charset val="1"/>
      </rPr>
      <t xml:space="preserve">G.TOTAL × </t>
    </r>
    <r>
      <rPr>
        <i val="true"/>
        <sz val="9"/>
        <color rgb="FF595959"/>
        <rFont val="WenQuanYi Zen Hei"/>
        <family val="2"/>
      </rPr>
      <t xml:space="preserve">환율과 몇 원 차이가 날 수 있습니다</t>
    </r>
    <r>
      <rPr>
        <i val="true"/>
        <sz val="9"/>
        <color rgb="FF595959"/>
        <rFont val="Arial"/>
        <family val="0"/>
        <charset val="1"/>
      </rPr>
      <t xml:space="preserve">.</t>
    </r>
  </si>
  <si>
    <t xml:space="preserve">공통 품목 저렴한 곳 건수</t>
  </si>
  <si>
    <t xml:space="preserve">CENTRAL</t>
  </si>
  <si>
    <t xml:space="preserve">네오맥스</t>
  </si>
  <si>
    <r>
      <rPr>
        <b val="true"/>
        <sz val="15"/>
        <color rgb="FF1F3864"/>
        <rFont val="WenQuanYi Zen Hei"/>
        <family val="2"/>
      </rPr>
      <t xml:space="preserve">유사품목 단가 참고 — </t>
    </r>
    <r>
      <rPr>
        <b val="true"/>
        <sz val="15"/>
        <color rgb="FF1F3864"/>
        <rFont val="Arial"/>
        <family val="0"/>
        <charset val="1"/>
      </rPr>
      <t xml:space="preserve">CENTRAL ER STORES vs </t>
    </r>
    <r>
      <rPr>
        <b val="true"/>
        <sz val="15"/>
        <color rgb="FF1F3864"/>
        <rFont val="WenQuanYi Zen Hei"/>
        <family val="2"/>
      </rPr>
      <t xml:space="preserve">네오맥스 </t>
    </r>
    <r>
      <rPr>
        <b val="true"/>
        <sz val="15"/>
        <color rgb="FF1F3864"/>
        <rFont val="Arial"/>
        <family val="0"/>
        <charset val="1"/>
      </rPr>
      <t xml:space="preserve">ENGINE CONSUMABLES</t>
    </r>
  </si>
  <si>
    <r>
      <rPr>
        <i val="true"/>
        <sz val="9"/>
        <color rgb="FF595959"/>
        <rFont val="WenQuanYi Zen Hei"/>
        <family val="2"/>
      </rPr>
      <t xml:space="preserve">⚠ 서로 다른 요청서</t>
    </r>
    <r>
      <rPr>
        <i val="true"/>
        <sz val="9"/>
        <color rgb="FF595959"/>
        <rFont val="Arial"/>
        <family val="0"/>
        <charset val="1"/>
      </rPr>
      <t xml:space="preserve">·</t>
    </r>
    <r>
      <rPr>
        <i val="true"/>
        <sz val="9"/>
        <color rgb="FF595959"/>
        <rFont val="WenQuanYi Zen Hei"/>
        <family val="2"/>
      </rPr>
      <t xml:space="preserve">선박</t>
    </r>
    <r>
      <rPr>
        <i val="true"/>
        <sz val="9"/>
        <color rgb="FF595959"/>
        <rFont val="Arial"/>
        <family val="0"/>
        <charset val="1"/>
      </rPr>
      <t xml:space="preserve">(LNG 4</t>
    </r>
    <r>
      <rPr>
        <i val="true"/>
        <sz val="9"/>
        <color rgb="FF595959"/>
        <rFont val="WenQuanYi Zen Hei"/>
        <family val="2"/>
      </rPr>
      <t xml:space="preserve">척 </t>
    </r>
    <r>
      <rPr>
        <i val="true"/>
        <sz val="9"/>
        <color rgb="FF595959"/>
        <rFont val="Arial"/>
        <family val="0"/>
        <charset val="1"/>
      </rPr>
      <t xml:space="preserve">vs NORTH VALLEY)</t>
    </r>
    <r>
      <rPr>
        <i val="true"/>
        <sz val="9"/>
        <color rgb="FF595959"/>
        <rFont val="WenQuanYi Zen Hei"/>
        <family val="2"/>
      </rPr>
      <t xml:space="preserve">이고 규격</t>
    </r>
    <r>
      <rPr>
        <i val="true"/>
        <sz val="9"/>
        <color rgb="FF595959"/>
        <rFont val="Arial"/>
        <family val="0"/>
        <charset val="1"/>
      </rPr>
      <t xml:space="preserve">·</t>
    </r>
    <r>
      <rPr>
        <i val="true"/>
        <sz val="9"/>
        <color rgb="FF595959"/>
        <rFont val="WenQuanYi Zen Hei"/>
        <family val="2"/>
      </rPr>
      <t xml:space="preserve">브랜드가 다를 수 있음</t>
    </r>
    <r>
      <rPr>
        <i val="true"/>
        <sz val="9"/>
        <color rgb="FF595959"/>
        <rFont val="Arial"/>
        <family val="0"/>
        <charset val="1"/>
      </rPr>
      <t xml:space="preserve">. </t>
    </r>
    <r>
      <rPr>
        <i val="true"/>
        <sz val="9"/>
        <color rgb="FF595959"/>
        <rFont val="WenQuanYi Zen Hei"/>
        <family val="2"/>
      </rPr>
      <t xml:space="preserve">단가 수준만 가늠하는 참고용입니다</t>
    </r>
    <r>
      <rPr>
        <i val="true"/>
        <sz val="9"/>
        <color rgb="FF595959"/>
        <rFont val="Arial"/>
        <family val="0"/>
        <charset val="1"/>
      </rPr>
      <t xml:space="preserve">.</t>
    </r>
  </si>
  <si>
    <t xml:space="preserve">#</t>
  </si>
  <si>
    <r>
      <rPr>
        <b val="true"/>
        <sz val="10"/>
        <color rgb="FFFFFFFF"/>
        <rFont val="Arial"/>
        <family val="0"/>
        <charset val="1"/>
      </rPr>
      <t xml:space="preserve">CENTRAL </t>
    </r>
    <r>
      <rPr>
        <b val="true"/>
        <sz val="10"/>
        <color rgb="FFFFFFFF"/>
        <rFont val="WenQuanYi Zen Hei"/>
        <family val="2"/>
      </rPr>
      <t xml:space="preserve">품목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WenQuanYi Zen Hei"/>
        <family val="2"/>
      </rPr>
      <t xml:space="preserve">규격</t>
    </r>
  </si>
  <si>
    <r>
      <rPr>
        <b val="true"/>
        <sz val="10"/>
        <color rgb="FFFFFFFF"/>
        <rFont val="WenQuanYi Zen Hei"/>
        <family val="2"/>
      </rPr>
      <t xml:space="preserve">네오맥스 품목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WenQuanYi Zen Hei"/>
        <family val="2"/>
      </rPr>
      <t xml:space="preserve">규격</t>
    </r>
  </si>
  <si>
    <r>
      <rPr>
        <b val="true"/>
        <sz val="10"/>
        <color rgb="FFFFFFFF"/>
        <rFont val="WenQuanYi Zen Hei"/>
        <family val="2"/>
      </rPr>
      <t xml:space="preserve">네오맥스
</t>
    </r>
    <r>
      <rPr>
        <b val="true"/>
        <sz val="10"/>
        <color rgb="FFFFFFFF"/>
        <rFont val="Arial"/>
        <family val="0"/>
        <charset val="1"/>
      </rPr>
      <t xml:space="preserve">No.</t>
    </r>
  </si>
  <si>
    <t xml:space="preserve">비교 기준</t>
  </si>
  <si>
    <r>
      <rPr>
        <b val="true"/>
        <sz val="10"/>
        <color rgb="FFFFFFFF"/>
        <rFont val="Arial"/>
        <family val="0"/>
        <charset val="1"/>
      </rPr>
      <t xml:space="preserve">CENTRAL
</t>
    </r>
    <r>
      <rPr>
        <b val="true"/>
        <sz val="10"/>
        <color rgb="FFFFFFFF"/>
        <rFont val="WenQuanYi Zen Hei"/>
        <family val="2"/>
      </rPr>
      <t xml:space="preserve">환산계수</t>
    </r>
  </si>
  <si>
    <t xml:space="preserve">네오맥스
환산계수</t>
  </si>
  <si>
    <r>
      <rPr>
        <b val="true"/>
        <sz val="10"/>
        <color rgb="FFFFFFFF"/>
        <rFont val="Arial"/>
        <family val="0"/>
        <charset val="1"/>
      </rPr>
      <t xml:space="preserve">CENTRAL
</t>
    </r>
    <r>
      <rPr>
        <b val="true"/>
        <sz val="10"/>
        <color rgb="FFFFFFFF"/>
        <rFont val="WenQuanYi Zen Hei"/>
        <family val="2"/>
      </rPr>
      <t xml:space="preserve">비교단가</t>
    </r>
  </si>
  <si>
    <t xml:space="preserve">네오맥스
비교단가</t>
  </si>
  <si>
    <r>
      <rPr>
        <b val="true"/>
        <sz val="10"/>
        <color rgb="FFFFFFFF"/>
        <rFont val="WenQuanYi Zen Hei"/>
        <family val="2"/>
      </rPr>
      <t xml:space="preserve">차이율
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네오</t>
    </r>
    <r>
      <rPr>
        <b val="true"/>
        <sz val="10"/>
        <color rgb="FFFFFFFF"/>
        <rFont val="Arial"/>
        <family val="0"/>
        <charset val="1"/>
      </rPr>
      <t xml:space="preserve">/CENT −1)</t>
    </r>
  </si>
  <si>
    <t xml:space="preserve">WASTE COTTON STERILIZED WHITE</t>
  </si>
  <si>
    <t xml:space="preserve">RAGS, WHITE 100% COTTON, STERILIZED (LOCAL BRAND, 100% COTTON, WHITE, PER KG PRICE)</t>
  </si>
  <si>
    <t xml:space="preserve">1 KG</t>
  </si>
  <si>
    <t xml:space="preserve">LUBRICANT SPRAY WD-40 MULTIUSE, 350ML</t>
  </si>
  <si>
    <t xml:space="preserve">WD 40 , 360 ML, SPRAY (BEX)</t>
  </si>
  <si>
    <r>
      <rPr>
        <sz val="10"/>
        <rFont val="Arial"/>
        <family val="0"/>
        <charset val="1"/>
      </rPr>
      <t xml:space="preserve">1 </t>
    </r>
    <r>
      <rPr>
        <sz val="10"/>
        <rFont val="WenQuanYi Zen Hei"/>
        <family val="2"/>
      </rPr>
      <t xml:space="preserve">캔 </t>
    </r>
    <r>
      <rPr>
        <sz val="10"/>
        <rFont val="Arial"/>
        <family val="0"/>
        <charset val="1"/>
      </rPr>
      <t xml:space="preserve">(350 vs 360ML)</t>
    </r>
  </si>
  <si>
    <r>
      <rPr>
        <sz val="10"/>
        <rFont val="WenQuanYi Zen Hei"/>
        <family val="2"/>
      </rPr>
      <t xml:space="preserve">네오맥스 비고 </t>
    </r>
    <r>
      <rPr>
        <sz val="10"/>
        <rFont val="Arial"/>
        <family val="0"/>
        <charset val="1"/>
      </rPr>
      <t xml:space="preserve">"BEX" — </t>
    </r>
    <r>
      <rPr>
        <sz val="10"/>
        <rFont val="WenQuanYi Zen Hei"/>
        <family val="2"/>
      </rPr>
      <t xml:space="preserve">정품 </t>
    </r>
    <r>
      <rPr>
        <sz val="10"/>
        <rFont val="Arial"/>
        <family val="0"/>
        <charset val="1"/>
      </rPr>
      <t xml:space="preserve">WD-40</t>
    </r>
    <r>
      <rPr>
        <sz val="10"/>
        <rFont val="WenQuanYi Zen Hei"/>
        <family val="2"/>
      </rPr>
      <t xml:space="preserve">인지 확인</t>
    </r>
  </si>
  <si>
    <t xml:space="preserve">SILICONE GREASE, NORMAL TEMPERATURE 100GRM</t>
  </si>
  <si>
    <t xml:space="preserve">SILICONE GREASE (LOCAL BRAND, 200G)</t>
  </si>
  <si>
    <t xml:space="preserve">100 G</t>
  </si>
  <si>
    <r>
      <rPr>
        <sz val="10"/>
        <rFont val="WenQuanYi Zen Hei"/>
        <family val="2"/>
      </rPr>
      <t xml:space="preserve">네오맥스 </t>
    </r>
    <r>
      <rPr>
        <sz val="10"/>
        <rFont val="Arial"/>
        <family val="0"/>
        <charset val="1"/>
      </rPr>
      <t xml:space="preserve">200G → 100G </t>
    </r>
    <r>
      <rPr>
        <sz val="10"/>
        <rFont val="WenQuanYi Zen Hei"/>
        <family val="2"/>
      </rPr>
      <t xml:space="preserve">환산</t>
    </r>
  </si>
  <si>
    <t xml:space="preserve">TAPE OIL GAUGE STAINLESS STEEL, METRIC 30MTR</t>
  </si>
  <si>
    <t xml:space="preserve">OIL GAUGING TAPE 30M</t>
  </si>
  <si>
    <t xml:space="preserve">1 EA (30M)</t>
  </si>
  <si>
    <r>
      <rPr>
        <sz val="10"/>
        <rFont val="Arial"/>
        <family val="0"/>
        <charset val="1"/>
      </rPr>
      <t xml:space="preserve">CENTRAL</t>
    </r>
    <r>
      <rPr>
        <sz val="10"/>
        <rFont val="WenQuanYi Zen Hei"/>
        <family val="2"/>
      </rPr>
      <t xml:space="preserve">은 스테인리스 명시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네오맥스 재질 미표기</t>
    </r>
  </si>
  <si>
    <t xml:space="preserve">WATER FINDING PASTE 75GRM, YELLOW TO RED</t>
  </si>
  <si>
    <t xml:space="preserve">WATER FINDING PASTE (SM, 75G)</t>
  </si>
  <si>
    <t xml:space="preserve">1 EA (75G)</t>
  </si>
  <si>
    <t xml:space="preserve">GASOLINE AND OIL FINDING PASTE, 75GRM BLUE TO RED</t>
  </si>
  <si>
    <t xml:space="preserve">OIL FINDING PASTE (SM, 75G)</t>
  </si>
  <si>
    <t xml:space="preserve">COPPER RING KIT 30SIZES/568PCS, IN ACRYL CASE</t>
  </si>
  <si>
    <t xml:space="preserve">COPPER RING KIT</t>
  </si>
  <si>
    <t xml:space="preserve">1 KIT</t>
  </si>
  <si>
    <r>
      <rPr>
        <sz val="10"/>
        <rFont val="Arial"/>
        <family val="0"/>
        <charset val="1"/>
      </rPr>
      <t xml:space="preserve">CENTRAL 30</t>
    </r>
    <r>
      <rPr>
        <sz val="10"/>
        <rFont val="WenQuanYi Zen Hei"/>
        <family val="2"/>
      </rPr>
      <t xml:space="preserve">사이즈</t>
    </r>
    <r>
      <rPr>
        <sz val="10"/>
        <rFont val="Arial"/>
        <family val="0"/>
        <charset val="1"/>
      </rPr>
      <t xml:space="preserve">/568pcs, </t>
    </r>
    <r>
      <rPr>
        <sz val="10"/>
        <rFont val="WenQuanYi Zen Hei"/>
        <family val="2"/>
      </rPr>
      <t xml:space="preserve">네오맥스 규격 미표기</t>
    </r>
  </si>
  <si>
    <t xml:space="preserve">YATCH MOPS COMPLETE</t>
  </si>
  <si>
    <t xml:space="preserve">YAUTT MOPS</t>
  </si>
  <si>
    <r>
      <rPr>
        <sz val="10"/>
        <rFont val="Arial"/>
        <family val="0"/>
        <charset val="1"/>
      </rPr>
      <t xml:space="preserve">1 EA (</t>
    </r>
    <r>
      <rPr>
        <sz val="10"/>
        <rFont val="WenQuanYi Zen Hei"/>
        <family val="2"/>
      </rPr>
      <t xml:space="preserve">완제품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</si>
  <si>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네오 </t>
    </r>
    <r>
      <rPr>
        <sz val="10"/>
        <rFont val="Arial"/>
        <family val="0"/>
        <charset val="1"/>
      </rPr>
      <t xml:space="preserve">IMPA 174271</t>
    </r>
  </si>
  <si>
    <t xml:space="preserve">REPLACABLE HEAD FOR YACHT MOP</t>
  </si>
  <si>
    <r>
      <rPr>
        <sz val="10"/>
        <rFont val="Arial"/>
        <family val="0"/>
        <charset val="1"/>
      </rPr>
      <t xml:space="preserve">1 EA (</t>
    </r>
    <r>
      <rPr>
        <sz val="10"/>
        <rFont val="WenQuanYi Zen Hei"/>
        <family val="2"/>
      </rPr>
      <t xml:space="preserve">교체용 헤드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</si>
  <si>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네오 </t>
    </r>
    <r>
      <rPr>
        <sz val="10"/>
        <rFont val="Arial"/>
        <family val="0"/>
        <charset val="1"/>
      </rPr>
      <t xml:space="preserve">IMPA 174272</t>
    </r>
  </si>
  <si>
    <t xml:space="preserve">PLASTIC BAG FOR GARBAGE DISPOSAL (OFFER: 800X900, 50'S/PACK)</t>
  </si>
  <si>
    <t xml:space="preserve">PLASTIC BAGS FOR GARBAGE</t>
  </si>
  <si>
    <r>
      <rPr>
        <sz val="10"/>
        <rFont val="Arial"/>
        <family val="0"/>
        <charset val="1"/>
      </rPr>
      <t xml:space="preserve">1 </t>
    </r>
    <r>
      <rPr>
        <sz val="10"/>
        <rFont val="WenQuanYi Zen Hei"/>
        <family val="2"/>
      </rPr>
      <t xml:space="preserve">매</t>
    </r>
  </si>
  <si>
    <r>
      <rPr>
        <sz val="10"/>
        <rFont val="Arial"/>
        <family val="0"/>
        <charset val="1"/>
      </rPr>
      <t xml:space="preserve">CENTRAL 800X900 50</t>
    </r>
    <r>
      <rPr>
        <sz val="10"/>
        <rFont val="WenQuanYi Zen Hei"/>
        <family val="2"/>
      </rPr>
      <t xml:space="preserve">매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팩 →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매 환산</t>
    </r>
  </si>
  <si>
    <t xml:space="preserve">ANTI-SEIZE COMPOUND 500GRM</t>
  </si>
  <si>
    <t xml:space="preserve">ANTI-SEIZE COPPER PASTE WEICON, KP 500P BRUSH TOP CAN 500GRM (PERMATEX, USA)</t>
  </si>
  <si>
    <t xml:space="preserve">TOOLS #9</t>
  </si>
  <si>
    <t xml:space="preserve">1 EA (500G)</t>
  </si>
  <si>
    <r>
      <rPr>
        <sz val="10"/>
        <rFont val="WenQuanYi Zen Hei"/>
        <family val="2"/>
      </rPr>
      <t xml:space="preserve">네오맥스 </t>
    </r>
    <r>
      <rPr>
        <sz val="10"/>
        <rFont val="Arial"/>
        <family val="0"/>
        <charset val="1"/>
      </rPr>
      <t xml:space="preserve">TOOLS </t>
    </r>
    <r>
      <rPr>
        <sz val="10"/>
        <rFont val="WenQuanYi Zen Hei"/>
        <family val="2"/>
      </rPr>
      <t xml:space="preserve">건 </t>
    </r>
    <r>
      <rPr>
        <sz val="10"/>
        <rFont val="Arial"/>
        <family val="0"/>
        <charset val="1"/>
      </rPr>
      <t xml:space="preserve">#9 PERMATEX </t>
    </r>
    <r>
      <rPr>
        <sz val="10"/>
        <rFont val="WenQuanYi Zen Hei"/>
        <family val="2"/>
      </rPr>
      <t xml:space="preserve">구리 페이스트 — 브랜드 상이</t>
    </r>
  </si>
  <si>
    <r>
      <rPr>
        <i val="true"/>
        <sz val="9"/>
        <color rgb="FF595959"/>
        <rFont val="WenQuanYi Zen Hei"/>
        <family val="2"/>
      </rPr>
      <t xml:space="preserve">※ 환산계수</t>
    </r>
    <r>
      <rPr>
        <i val="true"/>
        <sz val="9"/>
        <color rgb="FF595959"/>
        <rFont val="Arial"/>
        <family val="0"/>
        <charset val="1"/>
      </rPr>
      <t xml:space="preserve">: </t>
    </r>
    <r>
      <rPr>
        <i val="true"/>
        <sz val="9"/>
        <color rgb="FF595959"/>
        <rFont val="WenQuanYi Zen Hei"/>
        <family val="2"/>
      </rPr>
      <t xml:space="preserve">포장 단위가 다를 때 같은 기준으로 맞추는 배수 </t>
    </r>
    <r>
      <rPr>
        <i val="true"/>
        <sz val="9"/>
        <color rgb="FF595959"/>
        <rFont val="Arial"/>
        <family val="0"/>
        <charset val="1"/>
      </rPr>
      <t xml:space="preserve">(</t>
    </r>
    <r>
      <rPr>
        <i val="true"/>
        <sz val="9"/>
        <color rgb="FF595959"/>
        <rFont val="WenQuanYi Zen Hei"/>
        <family val="2"/>
      </rPr>
      <t xml:space="preserve">예</t>
    </r>
    <r>
      <rPr>
        <i val="true"/>
        <sz val="9"/>
        <color rgb="FF595959"/>
        <rFont val="Arial"/>
        <family val="0"/>
        <charset val="1"/>
      </rPr>
      <t xml:space="preserve">: 200G </t>
    </r>
    <r>
      <rPr>
        <i val="true"/>
        <sz val="9"/>
        <color rgb="FF595959"/>
        <rFont val="WenQuanYi Zen Hei"/>
        <family val="2"/>
      </rPr>
      <t xml:space="preserve">제품 단가 </t>
    </r>
    <r>
      <rPr>
        <i val="true"/>
        <sz val="9"/>
        <color rgb="FF595959"/>
        <rFont val="Arial"/>
        <family val="0"/>
        <charset val="1"/>
      </rPr>
      <t xml:space="preserve">× 0.5 = 100G </t>
    </r>
    <r>
      <rPr>
        <i val="true"/>
        <sz val="9"/>
        <color rgb="FF595959"/>
        <rFont val="WenQuanYi Zen Hei"/>
        <family val="2"/>
      </rPr>
      <t xml:space="preserve">단가</t>
    </r>
    <r>
      <rPr>
        <i val="true"/>
        <sz val="9"/>
        <color rgb="FF595959"/>
        <rFont val="Arial"/>
        <family val="0"/>
        <charset val="1"/>
      </rPr>
      <t xml:space="preserve">). </t>
    </r>
    <r>
      <rPr>
        <i val="true"/>
        <sz val="9"/>
        <color rgb="FF595959"/>
        <rFont val="WenQuanYi Zen Hei"/>
        <family val="2"/>
      </rPr>
      <t xml:space="preserve">수정 가능</t>
    </r>
    <r>
      <rPr>
        <i val="true"/>
        <sz val="9"/>
        <color rgb="FF595959"/>
        <rFont val="Arial"/>
        <family val="0"/>
        <charset val="1"/>
      </rPr>
      <t xml:space="preserve">.</t>
    </r>
  </si>
  <si>
    <r>
      <rPr>
        <b val="true"/>
        <sz val="15"/>
        <color rgb="FF1F3864"/>
        <rFont val="WenQuanYi Zen Hei"/>
        <family val="2"/>
      </rPr>
      <t xml:space="preserve">네오맥스</t>
    </r>
    <r>
      <rPr>
        <b val="true"/>
        <sz val="15"/>
        <color rgb="FF1F3864"/>
        <rFont val="Arial"/>
        <family val="0"/>
        <charset val="1"/>
      </rPr>
      <t xml:space="preserve">(SSL) </t>
    </r>
    <r>
      <rPr>
        <b val="true"/>
        <sz val="15"/>
        <color rgb="FF1F3864"/>
        <rFont val="WenQuanYi Zen Hei"/>
        <family val="2"/>
      </rPr>
      <t xml:space="preserve">견적 — </t>
    </r>
    <r>
      <rPr>
        <b val="true"/>
        <sz val="15"/>
        <color rgb="FF1F3864"/>
        <rFont val="Arial"/>
        <family val="0"/>
        <charset val="1"/>
      </rPr>
      <t xml:space="preserve">CENTRAL</t>
    </r>
    <r>
      <rPr>
        <b val="true"/>
        <sz val="15"/>
        <color rgb="FF1F3864"/>
        <rFont val="WenQuanYi Zen Hei"/>
        <family val="2"/>
      </rPr>
      <t xml:space="preserve">에 없는 요청서 </t>
    </r>
    <r>
      <rPr>
        <b val="true"/>
        <sz val="15"/>
        <color rgb="FF1F3864"/>
        <rFont val="Arial"/>
        <family val="0"/>
        <charset val="1"/>
      </rPr>
      <t xml:space="preserve">4</t>
    </r>
    <r>
      <rPr>
        <b val="true"/>
        <sz val="15"/>
        <color rgb="FF1F3864"/>
        <rFont val="WenQuanYi Zen Hei"/>
        <family val="2"/>
      </rPr>
      <t xml:space="preserve">건</t>
    </r>
  </si>
  <si>
    <r>
      <rPr>
        <i val="true"/>
        <sz val="9"/>
        <color rgb="FF595959"/>
        <rFont val="WenQuanYi Zen Hei"/>
        <family val="2"/>
      </rPr>
      <t xml:space="preserve">빨간 행 </t>
    </r>
    <r>
      <rPr>
        <i val="true"/>
        <sz val="9"/>
        <color rgb="FF595959"/>
        <rFont val="Arial"/>
        <family val="0"/>
        <charset val="1"/>
      </rPr>
      <t xml:space="preserve">= </t>
    </r>
    <r>
      <rPr>
        <i val="true"/>
        <sz val="9"/>
        <color rgb="FF595959"/>
        <rFont val="WenQuanYi Zen Hei"/>
        <family val="2"/>
      </rPr>
      <t xml:space="preserve">인보이스상 수량 </t>
    </r>
    <r>
      <rPr>
        <i val="true"/>
        <sz val="9"/>
        <color rgb="FF595959"/>
        <rFont val="Arial"/>
        <family val="0"/>
        <charset val="1"/>
      </rPr>
      <t xml:space="preserve">× </t>
    </r>
    <r>
      <rPr>
        <i val="true"/>
        <sz val="9"/>
        <color rgb="FF595959"/>
        <rFont val="WenQuanYi Zen Hei"/>
        <family val="2"/>
      </rPr>
      <t xml:space="preserve">단가 ≠ 금액 </t>
    </r>
    <r>
      <rPr>
        <i val="true"/>
        <sz val="9"/>
        <color rgb="FF595959"/>
        <rFont val="Arial"/>
        <family val="0"/>
        <charset val="1"/>
      </rPr>
      <t xml:space="preserve">(</t>
    </r>
    <r>
      <rPr>
        <i val="true"/>
        <sz val="9"/>
        <color rgb="FF595959"/>
        <rFont val="WenQuanYi Zen Hei"/>
        <family val="2"/>
      </rPr>
      <t xml:space="preserve">산식 오류</t>
    </r>
    <r>
      <rPr>
        <i val="true"/>
        <sz val="9"/>
        <color rgb="FF595959"/>
        <rFont val="Arial"/>
        <family val="0"/>
        <charset val="1"/>
      </rPr>
      <t xml:space="preserve">). </t>
    </r>
    <r>
      <rPr>
        <i val="true"/>
        <sz val="9"/>
        <color rgb="FF595959"/>
        <rFont val="WenQuanYi Zen Hei"/>
        <family val="2"/>
      </rPr>
      <t xml:space="preserve">계산금액 열은 수량 </t>
    </r>
    <r>
      <rPr>
        <i val="true"/>
        <sz val="9"/>
        <color rgb="FF595959"/>
        <rFont val="Arial"/>
        <family val="0"/>
        <charset val="1"/>
      </rPr>
      <t xml:space="preserve">× </t>
    </r>
    <r>
      <rPr>
        <i val="true"/>
        <sz val="9"/>
        <color rgb="FF595959"/>
        <rFont val="WenQuanYi Zen Hei"/>
        <family val="2"/>
      </rPr>
      <t xml:space="preserve">단가로 다시 계산한 값</t>
    </r>
    <r>
      <rPr>
        <i val="true"/>
        <sz val="9"/>
        <color rgb="FF595959"/>
        <rFont val="Arial"/>
        <family val="0"/>
        <charset val="1"/>
      </rPr>
      <t xml:space="preserve">.</t>
    </r>
  </si>
  <si>
    <t xml:space="preserve">No.</t>
  </si>
  <si>
    <t xml:space="preserve">IMPA</t>
  </si>
  <si>
    <r>
      <rPr>
        <b val="true"/>
        <sz val="10"/>
        <color rgb="FFFFFFFF"/>
        <rFont val="WenQuanYi Zen Hei"/>
        <family val="2"/>
      </rPr>
      <t xml:space="preserve">단가 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원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</si>
  <si>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인보이스 금액 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원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</si>
  <si>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계산금액
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수량</t>
    </r>
    <r>
      <rPr>
        <b val="true"/>
        <sz val="10"/>
        <color rgb="FFFFFFFF"/>
        <rFont val="Arial"/>
        <family val="0"/>
        <charset val="1"/>
      </rPr>
      <t xml:space="preserve">×</t>
    </r>
    <r>
      <rPr>
        <b val="true"/>
        <sz val="10"/>
        <color rgb="FFFFFFFF"/>
        <rFont val="WenQuanYi Zen Hei"/>
        <family val="2"/>
      </rPr>
      <t xml:space="preserve">단가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</si>
  <si>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차이</t>
  </si>
  <si>
    <t xml:space="preserve">PAINT  (SSL-26092825)</t>
  </si>
  <si>
    <t xml:space="preserve">PAINT</t>
  </si>
  <si>
    <t xml:space="preserve">PAINT (ORANGE (RAL2004)) - 15L</t>
  </si>
  <si>
    <t xml:space="preserve">CAN</t>
  </si>
  <si>
    <t xml:space="preserve">LEAD TIME : 3 DAYS</t>
  </si>
  <si>
    <r>
      <rPr>
        <b val="true"/>
        <sz val="10"/>
        <rFont val="WenQuanYi Zen Hei"/>
        <family val="2"/>
      </rPr>
      <t xml:space="preserve">소계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행 합계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</si>
  <si>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인보이스 </t>
    </r>
    <r>
      <rPr>
        <b val="true"/>
        <sz val="10"/>
        <rFont val="Arial"/>
        <family val="0"/>
        <charset val="1"/>
      </rPr>
      <t xml:space="preserve">TOTAL (</t>
    </r>
    <r>
      <rPr>
        <b val="true"/>
        <sz val="10"/>
        <rFont val="WenQuanYi Zen Hei"/>
        <family val="2"/>
      </rPr>
      <t xml:space="preserve">원본</t>
    </r>
    <r>
      <rPr>
        <b val="true"/>
        <sz val="10"/>
        <rFont val="Arial"/>
        <family val="0"/>
        <charset val="1"/>
      </rPr>
      <t xml:space="preserve">)</t>
    </r>
  </si>
  <si>
    <t xml:space="preserve">ENGINE CONSUMABLES  (SSL-26092824)</t>
  </si>
  <si>
    <t xml:space="preserve">C TO C MULTI USB 3.0 PD90W</t>
  </si>
  <si>
    <t xml:space="preserve">EA</t>
  </si>
  <si>
    <t xml:space="preserve">EPSON LABEL MAKER LW-K200BL</t>
  </si>
  <si>
    <t xml:space="preserve">HP 27 INCHIES MONITOR</t>
  </si>
  <si>
    <t xml:space="preserve">174122</t>
  </si>
  <si>
    <t xml:space="preserve">BUCKETS</t>
  </si>
  <si>
    <t xml:space="preserve">174141</t>
  </si>
  <si>
    <t xml:space="preserve">DUST PANS</t>
  </si>
  <si>
    <t xml:space="preserve">174176</t>
  </si>
  <si>
    <t xml:space="preserve">174232</t>
  </si>
  <si>
    <t xml:space="preserve">ROLL TYPE PAPER TOWEL</t>
  </si>
  <si>
    <t xml:space="preserve">174271</t>
  </si>
  <si>
    <t xml:space="preserve">174272</t>
  </si>
  <si>
    <t xml:space="preserve">174291</t>
  </si>
  <si>
    <t xml:space="preserve">RUBBER SQUEEGEES</t>
  </si>
  <si>
    <t xml:space="preserve">174292</t>
  </si>
  <si>
    <t xml:space="preserve">190109</t>
  </si>
  <si>
    <t xml:space="preserve">LEATHER PALM WORKING GLOVES</t>
  </si>
  <si>
    <t xml:space="preserve">LOCAL</t>
  </si>
  <si>
    <t xml:space="preserve">232603</t>
  </si>
  <si>
    <t xml:space="preserve">OIL FUNNELS</t>
  </si>
  <si>
    <t xml:space="preserve">100MM</t>
  </si>
  <si>
    <t xml:space="preserve">232604</t>
  </si>
  <si>
    <t xml:space="preserve">150MM</t>
  </si>
  <si>
    <t xml:space="preserve">232606</t>
  </si>
  <si>
    <t xml:space="preserve">200MM</t>
  </si>
  <si>
    <t xml:space="preserve">232607</t>
  </si>
  <si>
    <t xml:space="preserve">PCE</t>
  </si>
  <si>
    <t xml:space="preserve">250MM</t>
  </si>
  <si>
    <t xml:space="preserve">232608</t>
  </si>
  <si>
    <t xml:space="preserve">350MM N/A, 300MM QUOTED INSTEAD</t>
  </si>
  <si>
    <t xml:space="preserve">232907</t>
  </si>
  <si>
    <t xml:space="preserve">RAGS, WHITE 100% COTTON, STERILIZED</t>
  </si>
  <si>
    <t xml:space="preserve">KG</t>
  </si>
  <si>
    <t xml:space="preserve">LOCAL BRAND, 100% COTTON, WHITE, PER KG PRICE</t>
  </si>
  <si>
    <t xml:space="preserve">331156</t>
  </si>
  <si>
    <t xml:space="preserve">EAR PLUGS</t>
  </si>
  <si>
    <t xml:space="preserve">BOX</t>
  </si>
  <si>
    <t xml:space="preserve">100'S/BOX, PER BOX PRICE</t>
  </si>
  <si>
    <t xml:space="preserve">450566</t>
  </si>
  <si>
    <t xml:space="preserve">COPASLIP HIGH PERFORMANCE COMPOUND (500 GRM)</t>
  </si>
  <si>
    <t xml:space="preserve">SM</t>
  </si>
  <si>
    <t xml:space="preserve">450594</t>
  </si>
  <si>
    <t xml:space="preserve">MOLYSLIP AS 40</t>
  </si>
  <si>
    <t xml:space="preserve">MOLYSLIP, 500G</t>
  </si>
  <si>
    <t xml:space="preserve">450702</t>
  </si>
  <si>
    <t xml:space="preserve">WD 40 , 360 ML, SPRAY</t>
  </si>
  <si>
    <t xml:space="preserve">BEX</t>
  </si>
  <si>
    <t xml:space="preserve">450757</t>
  </si>
  <si>
    <t xml:space="preserve">SILICONE GREASE</t>
  </si>
  <si>
    <t xml:space="preserve">LOCAL BRAND, 200G</t>
  </si>
  <si>
    <t xml:space="preserve">450762</t>
  </si>
  <si>
    <t xml:space="preserve">510364</t>
  </si>
  <si>
    <t xml:space="preserve">PAINT ROLLERS</t>
  </si>
  <si>
    <t xml:space="preserve">WOOL 100%</t>
  </si>
  <si>
    <t xml:space="preserve">510646</t>
  </si>
  <si>
    <t xml:space="preserve">COUNTER BRUSHES</t>
  </si>
  <si>
    <t xml:space="preserve">510888</t>
  </si>
  <si>
    <t xml:space="preserve">VIRAN BRUSHERS</t>
  </si>
  <si>
    <t xml:space="preserve">SUBSTITUTE</t>
  </si>
  <si>
    <t xml:space="preserve">590722</t>
  </si>
  <si>
    <t xml:space="preserve">PNEUMATIC VACUUM CLEANERS</t>
  </si>
  <si>
    <t xml:space="preserve">MBK 20LTR</t>
  </si>
  <si>
    <t xml:space="preserve">610418</t>
  </si>
  <si>
    <t xml:space="preserve">NUT SPINNER HANDLES</t>
  </si>
  <si>
    <t xml:space="preserve">610473</t>
  </si>
  <si>
    <t xml:space="preserve">SOCKET ADAPTER</t>
  </si>
  <si>
    <t xml:space="preserve">610474</t>
  </si>
  <si>
    <t xml:space="preserve">610475</t>
  </si>
  <si>
    <t xml:space="preserve">611421</t>
  </si>
  <si>
    <t xml:space="preserve">TORQUE WRENCH 20-200NM</t>
  </si>
  <si>
    <t xml:space="preserve">611422</t>
  </si>
  <si>
    <t xml:space="preserve">TORQUE WRENCH 30-280NM</t>
  </si>
  <si>
    <t xml:space="preserve">611423</t>
  </si>
  <si>
    <t xml:space="preserve">TORQUE WRENCH 40-420NM</t>
  </si>
  <si>
    <t xml:space="preserve">617682</t>
  </si>
  <si>
    <t xml:space="preserve">FLEXIBLE EXTENSION HOSE</t>
  </si>
  <si>
    <t xml:space="preserve">617707</t>
  </si>
  <si>
    <t xml:space="preserve">LEVER TYPE HAND GREASE GUNS</t>
  </si>
  <si>
    <t xml:space="preserve">617736</t>
  </si>
  <si>
    <t xml:space="preserve">HEAVY DUTY PUMP OILERS</t>
  </si>
  <si>
    <t xml:space="preserve">617738</t>
  </si>
  <si>
    <t xml:space="preserve">617739</t>
  </si>
  <si>
    <t xml:space="preserve">617747</t>
  </si>
  <si>
    <t xml:space="preserve">OIL JUGS</t>
  </si>
  <si>
    <t xml:space="preserve">650501</t>
  </si>
  <si>
    <t xml:space="preserve">CALIPER</t>
  </si>
  <si>
    <t xml:space="preserve">650502</t>
  </si>
  <si>
    <t xml:space="preserve">650513</t>
  </si>
  <si>
    <t xml:space="preserve">VENIER CALIPERS</t>
  </si>
  <si>
    <t xml:space="preserve">650521</t>
  </si>
  <si>
    <t xml:space="preserve">650852</t>
  </si>
  <si>
    <t xml:space="preserve">OIL GAUGING TAPE 20M</t>
  </si>
  <si>
    <t xml:space="preserve">650853</t>
  </si>
  <si>
    <t xml:space="preserve">650890</t>
  </si>
  <si>
    <t xml:space="preserve">WATER FINDING PASTE</t>
  </si>
  <si>
    <t xml:space="preserve">SM, 75G</t>
  </si>
  <si>
    <t xml:space="preserve">650891</t>
  </si>
  <si>
    <t xml:space="preserve">OIL FINDING PASTE</t>
  </si>
  <si>
    <t xml:space="preserve">651061</t>
  </si>
  <si>
    <t xml:space="preserve">VEE BLOCKS</t>
  </si>
  <si>
    <t xml:space="preserve">OFFER MAX 150MM</t>
  </si>
  <si>
    <t xml:space="preserve">792229</t>
  </si>
  <si>
    <t xml:space="preserve">INTRINSICALLY SAFE LED FLASHLIGHTS</t>
  </si>
  <si>
    <t xml:space="preserve">EXPLOSION-PROOF</t>
  </si>
  <si>
    <t xml:space="preserve">792278</t>
  </si>
  <si>
    <t xml:space="preserve">PERSONAL ISSUE SAFETY TORCHES</t>
  </si>
  <si>
    <t xml:space="preserve">811361</t>
  </si>
  <si>
    <t xml:space="preserve">PACKING 3 MM</t>
  </si>
  <si>
    <t xml:space="preserve">ROLL</t>
  </si>
  <si>
    <t xml:space="preserve">3M/ROLL, PER ROLL PRICE</t>
  </si>
  <si>
    <t xml:space="preserve">811362</t>
  </si>
  <si>
    <t xml:space="preserve">PACKING 5 MM</t>
  </si>
  <si>
    <t xml:space="preserve">812298</t>
  </si>
  <si>
    <t xml:space="preserve">DEVCON ZIP PATCH</t>
  </si>
  <si>
    <t xml:space="preserve">KIT</t>
  </si>
  <si>
    <t xml:space="preserve">SUBSTITUTE, 100 X 1.8MTR</t>
  </si>
  <si>
    <t xml:space="preserve">812351</t>
  </si>
  <si>
    <t xml:space="preserve">BENZONA POLYMERICS</t>
  </si>
  <si>
    <t xml:space="preserve">BENZONA 1KG</t>
  </si>
  <si>
    <t xml:space="preserve">812501</t>
  </si>
  <si>
    <t xml:space="preserve">TEFLON SEAL TAPE, WIDTH 13 MM, 5 MTR/ROLL</t>
  </si>
  <si>
    <t xml:space="preserve">10 MTR/ROLL, 10'S/PACK,</t>
  </si>
  <si>
    <t xml:space="preserve">812758</t>
  </si>
  <si>
    <t xml:space="preserve">INSTANT ADHESIVES</t>
  </si>
  <si>
    <t xml:space="preserve">LOCTITE, #495, 20G</t>
  </si>
  <si>
    <t xml:space="preserve">812787</t>
  </si>
  <si>
    <t xml:space="preserve">LOCKTIDE 401</t>
  </si>
  <si>
    <t xml:space="preserve">LOCTITE, 20G</t>
  </si>
  <si>
    <t xml:space="preserve">812801</t>
  </si>
  <si>
    <t xml:space="preserve">GASKET REMOVER</t>
  </si>
  <si>
    <t xml:space="preserve">LOCAL BRAND, 420ML</t>
  </si>
  <si>
    <t xml:space="preserve">812817</t>
  </si>
  <si>
    <t xml:space="preserve">LOCKTIDE 406</t>
  </si>
  <si>
    <t xml:space="preserve">812844</t>
  </si>
  <si>
    <t xml:space="preserve">LOCKTIDE THREAD LOCKER</t>
  </si>
  <si>
    <t xml:space="preserve">LOCTITE, #243, 50ML</t>
  </si>
  <si>
    <t xml:space="preserve">812846</t>
  </si>
  <si>
    <t xml:space="preserve">LOCKTIDE THREAD LOCKER RED</t>
  </si>
  <si>
    <t xml:space="preserve">LOCTITE, #263, 50ML</t>
  </si>
  <si>
    <t xml:space="preserve">813070</t>
  </si>
  <si>
    <t xml:space="preserve">O-RING SPLICING KIT</t>
  </si>
  <si>
    <t xml:space="preserve">LOCTITE</t>
  </si>
  <si>
    <t xml:space="preserve">813072</t>
  </si>
  <si>
    <t xml:space="preserve">O-RINGS KIT</t>
  </si>
  <si>
    <t xml:space="preserve">813080</t>
  </si>
  <si>
    <t xml:space="preserve">813102</t>
  </si>
  <si>
    <t xml:space="preserve">AIR FILTER T=15MM W=2M</t>
  </si>
  <si>
    <t xml:space="preserve">MTR</t>
  </si>
  <si>
    <t xml:space="preserve">LEAD TIME : 5 DAYS</t>
  </si>
  <si>
    <t xml:space="preserve">550908</t>
  </si>
  <si>
    <t xml:space="preserve">ETHYLENE GLYCOL</t>
  </si>
  <si>
    <t xml:space="preserve">LOCAL BRAND, 20KG</t>
  </si>
  <si>
    <t xml:space="preserve">TOOLS, FITTINGS &amp; MAINT.  (SSL-26092823)</t>
  </si>
  <si>
    <t xml:space="preserve">TOOLS, FITTINGS &amp; MAINT.</t>
  </si>
  <si>
    <t xml:space="preserve">351323</t>
  </si>
  <si>
    <t xml:space="preserve">OFF COUPLER</t>
  </si>
  <si>
    <t xml:space="preserve">351324</t>
  </si>
  <si>
    <t xml:space="preserve">351353</t>
  </si>
  <si>
    <t xml:space="preserve">351354</t>
  </si>
  <si>
    <t xml:space="preserve">351524</t>
  </si>
  <si>
    <t xml:space="preserve">351554</t>
  </si>
  <si>
    <t xml:space="preserve">450622</t>
  </si>
  <si>
    <t xml:space="preserve">BRAKE CLEANER</t>
  </si>
  <si>
    <t xml:space="preserve">LOCTITE, 550ML</t>
  </si>
  <si>
    <t xml:space="preserve">450901</t>
  </si>
  <si>
    <t xml:space="preserve">CLEANER CONTACT CRC 14OZ</t>
  </si>
  <si>
    <t xml:space="preserve">CRC, 312G</t>
  </si>
  <si>
    <t xml:space="preserve">ANTI-SEIZE COPPER PASTE WEICON, KP 500P BRUSH TOP CAN 500GRM</t>
  </si>
  <si>
    <t xml:space="preserve">PERMATEX, USA</t>
  </si>
  <si>
    <t xml:space="preserve">610151</t>
  </si>
  <si>
    <t xml:space="preserve">SOCKETS SET</t>
  </si>
  <si>
    <t xml:space="preserve">611247</t>
  </si>
  <si>
    <t xml:space="preserve">ALLEN HEXAGON</t>
  </si>
  <si>
    <t xml:space="preserve">611253</t>
  </si>
  <si>
    <t xml:space="preserve">612036</t>
  </si>
  <si>
    <t xml:space="preserve">PIPE CUTTERS</t>
  </si>
  <si>
    <t xml:space="preserve">613056</t>
  </si>
  <si>
    <t xml:space="preserve">PUNCHING TOOL SET</t>
  </si>
  <si>
    <t xml:space="preserve">613787</t>
  </si>
  <si>
    <t xml:space="preserve">VISES</t>
  </si>
  <si>
    <t xml:space="preserve">613793</t>
  </si>
  <si>
    <t xml:space="preserve">VISE PADS</t>
  </si>
  <si>
    <t xml:space="preserve">PLASTIC PAD</t>
  </si>
  <si>
    <t xml:space="preserve">732538</t>
  </si>
  <si>
    <t xml:space="preserve">CAP ROUND STAINLESS STEEL, 3/8 THREADED</t>
  </si>
  <si>
    <t xml:space="preserve">732539</t>
  </si>
  <si>
    <t xml:space="preserve">CAP ROUND STAINLESS STEEL, 1/2 THREADED</t>
  </si>
  <si>
    <t xml:space="preserve">732568</t>
  </si>
  <si>
    <t xml:space="preserve">SOCKET STAINLESS STEEL, 3/8 THREADED</t>
  </si>
  <si>
    <t xml:space="preserve">732569</t>
  </si>
  <si>
    <t xml:space="preserve">SOCKET STAINLESS STEEL, 1/2 THREADED</t>
  </si>
  <si>
    <t xml:space="preserve">732603</t>
  </si>
  <si>
    <t xml:space="preserve">PLUG SQUARE HEAD, STAINLESS STEEL 3/8 THREADED</t>
  </si>
  <si>
    <t xml:space="preserve">732604</t>
  </si>
  <si>
    <t xml:space="preserve">PLUG SQUARE HEAD, STAINLESS STEEL 1/2 THREADED</t>
  </si>
  <si>
    <t xml:space="preserve">732618</t>
  </si>
  <si>
    <t xml:space="preserve">UNION STAINLESS STEEL 3/8, THREADED</t>
  </si>
  <si>
    <t xml:space="preserve">732619</t>
  </si>
  <si>
    <t xml:space="preserve">UNION STAINLESS STEEL 1/2, THREADED</t>
  </si>
  <si>
    <t xml:space="preserve">732648</t>
  </si>
  <si>
    <t xml:space="preserve">NIPPLE HEXAGON STAINLESS STEEL, 3/8 THREADED</t>
  </si>
  <si>
    <t xml:space="preserve">732649</t>
  </si>
  <si>
    <t xml:space="preserve">NIPPLE HEXAGON STAINLESS STEEL, 1/2 THREADED</t>
  </si>
  <si>
    <t xml:space="preserve">812543</t>
  </si>
  <si>
    <t xml:space="preserve">TEFLON SHEET 3X1000X1000MM</t>
  </si>
  <si>
    <t xml:space="preserve">LEAD TIME 3DAYS</t>
  </si>
  <si>
    <t xml:space="preserve">812545</t>
  </si>
  <si>
    <t xml:space="preserve">TEFLON SHEET 6X1000X1000MM</t>
  </si>
  <si>
    <t xml:space="preserve">STATIONERY  (SSL-26092822)</t>
  </si>
  <si>
    <t xml:space="preserve">A4 PAPER 5X500SHT</t>
  </si>
  <si>
    <t xml:space="preserve">5 X 500'S = 2500'S / BOX</t>
  </si>
  <si>
    <t xml:space="preserve">A3 PAPER 5X500SHT</t>
  </si>
  <si>
    <t xml:space="preserve">470297</t>
  </si>
  <si>
    <t xml:space="preserve">A4 LAMINATING PAPER 10X100PCS</t>
  </si>
  <si>
    <t xml:space="preserve">100'S / BOX</t>
  </si>
  <si>
    <t xml:space="preserve">6 IN 1 USB-C TO HDTV ADAPTER (PIC.4)</t>
  </si>
  <si>
    <t xml:space="preserve">CONTINUOUS FORM PAPER - 9.5 X 11 INCH (241X279 MM) FUJITSU M3331B</t>
  </si>
  <si>
    <t xml:space="preserve">SLEAVES FOR DOCUMENTS 9X20PCS</t>
  </si>
  <si>
    <t xml:space="preserve">PKT</t>
  </si>
  <si>
    <t xml:space="preserve">20'S/ PACK</t>
  </si>
  <si>
    <t xml:space="preserve">SARASA BLACK GEL-PENS 0.3-0.5 MM</t>
  </si>
  <si>
    <t xml:space="preserve">SARASA BLUE GEL-PENS 0.3-0.5 MM</t>
  </si>
  <si>
    <t xml:space="preserve">471248</t>
  </si>
  <si>
    <t xml:space="preserve">MAGNETIC TAPE SELF-ADHESIVE :12MM X L:2MTR</t>
  </si>
  <si>
    <t xml:space="preserve">10MM X 5MTR</t>
  </si>
  <si>
    <t xml:space="preserve">TRANSPERANT TAPE</t>
  </si>
  <si>
    <t xml:space="preserve">50MM</t>
  </si>
  <si>
    <t xml:space="preserve">471377</t>
  </si>
  <si>
    <t xml:space="preserve">TAPE MASKING PAPER 24MMXL55MTR</t>
  </si>
  <si>
    <t xml:space="preserve">PAINT MARKER BLACK</t>
  </si>
  <si>
    <t xml:space="preserve">470481</t>
  </si>
  <si>
    <t xml:space="preserve">MECHANICAL PENCIL</t>
  </si>
  <si>
    <t xml:space="preserve">470491</t>
  </si>
  <si>
    <t xml:space="preserve">LEAD FOR MECHANICAL PENCILS</t>
  </si>
  <si>
    <t xml:space="preserve">471102</t>
  </si>
  <si>
    <t xml:space="preserve">STAPLER DESK TYPE</t>
  </si>
  <si>
    <t xml:space="preserve">471101</t>
  </si>
  <si>
    <t xml:space="preserve">STAPLER HAND TYPE</t>
  </si>
  <si>
    <t xml:space="preserve">471105</t>
  </si>
  <si>
    <t xml:space="preserve">STAPLE FOR HAND TYPE</t>
  </si>
  <si>
    <t xml:space="preserve">471106</t>
  </si>
  <si>
    <t xml:space="preserve">STAPLE FOR NO.3 DESK TYPE</t>
  </si>
  <si>
    <t xml:space="preserve">STATIONERY HOLDERS (FOR PENS, PENCILS AND OTHER STAFF)</t>
  </si>
  <si>
    <t xml:space="preserve">LOCAL SUBSTITUDE</t>
  </si>
  <si>
    <t xml:space="preserve">471321</t>
  </si>
  <si>
    <t xml:space="preserve">POST IT MEMO 14X75MM 100'S X 4PAD/PKT</t>
  </si>
  <si>
    <t xml:space="preserve">471323</t>
  </si>
  <si>
    <t xml:space="preserve">POST-IT MEMO 75X75MM 100'S</t>
  </si>
  <si>
    <t xml:space="preserve">471036</t>
  </si>
  <si>
    <t xml:space="preserve">SHREDDER PAPER AC220V, STRIP CUT 10 SHTS CAPACITY</t>
  </si>
  <si>
    <t xml:space="preserve">471662</t>
  </si>
  <si>
    <t xml:space="preserve">MAGNET PAPER HOLDING, 20MM DIAM BLACK</t>
  </si>
  <si>
    <t xml:space="preserve">471658</t>
  </si>
  <si>
    <t xml:space="preserve">MAGNET PAPER HOLDING, 20MM DIAM BLUE</t>
  </si>
  <si>
    <t xml:space="preserve">471655</t>
  </si>
  <si>
    <t xml:space="preserve">MAGNET PAPER HOLDING, 15MM DIAM BLACK</t>
  </si>
  <si>
    <t xml:space="preserve">471651</t>
  </si>
  <si>
    <t xml:space="preserve">MAGNET PAPER HOLDING, 15MM DIAM BLUE</t>
  </si>
  <si>
    <t xml:space="preserve">471666</t>
  </si>
  <si>
    <t xml:space="preserve">MAGNET PAPER HOLDING, 30MM DIAM RED</t>
  </si>
  <si>
    <t xml:space="preserve">471151</t>
  </si>
  <si>
    <t xml:space="preserve">MAGNETIC CLIP 31MM</t>
  </si>
  <si>
    <t xml:space="preserve">471155</t>
  </si>
  <si>
    <t xml:space="preserve">MAGNETIC CLIP 56MM</t>
  </si>
  <si>
    <t xml:space="preserve">471288</t>
  </si>
  <si>
    <t xml:space="preserve">DUCT TAPE (SILVER TAPE) 50MMX25MTR</t>
  </si>
  <si>
    <t xml:space="preserve">471011</t>
  </si>
  <si>
    <t xml:space="preserve">STATIONERY KNIFE CUTTER A300, LIGHT DUTY, 9MM BLADE</t>
  </si>
  <si>
    <t xml:space="preserve">9MM</t>
  </si>
  <si>
    <t xml:space="preserve">471013</t>
  </si>
  <si>
    <t xml:space="preserve">STATIONERY KNIFE CUTTER L-500, MEDIUM DUTY 9MM BLADE</t>
  </si>
  <si>
    <t xml:space="preserve">18MM</t>
  </si>
  <si>
    <t xml:space="preserve">471014</t>
  </si>
  <si>
    <t xml:space="preserve">SPARE KNIFE CUTTER BLADES 9MM BLADES 10PCS/PKT</t>
  </si>
  <si>
    <t xml:space="preserve">471144</t>
  </si>
  <si>
    <t xml:space="preserve">FOLD BACK CLIP 41MM</t>
  </si>
  <si>
    <t xml:space="preserve">471141</t>
  </si>
  <si>
    <t xml:space="preserve">FOLD BACK CLIP 19MM</t>
  </si>
  <si>
    <t xml:space="preserve">471142</t>
  </si>
  <si>
    <t xml:space="preserve">FOLD BACK CLIP 25MM</t>
  </si>
  <si>
    <t xml:space="preserve">471021</t>
  </si>
  <si>
    <t xml:space="preserve">PUNCH PAPER 2-HOLE FIXED</t>
  </si>
  <si>
    <t xml:space="preserve">471023</t>
  </si>
  <si>
    <t xml:space="preserve">PUNCH PAPER 4-HOLE ADJUSTABLE</t>
  </si>
  <si>
    <r>
      <rPr>
        <b val="true"/>
        <sz val="15"/>
        <color rgb="FF1F3864"/>
        <rFont val="Arial"/>
        <family val="0"/>
        <charset val="1"/>
      </rPr>
      <t xml:space="preserve">CENTRAL MARITIME </t>
    </r>
    <r>
      <rPr>
        <b val="true"/>
        <sz val="15"/>
        <color rgb="FF1F3864"/>
        <rFont val="WenQuanYi Zen Hei"/>
        <family val="2"/>
      </rPr>
      <t xml:space="preserve">견적 — 네오맥스에 없는 요청서 </t>
    </r>
    <r>
      <rPr>
        <b val="true"/>
        <sz val="15"/>
        <color rgb="FF1F3864"/>
        <rFont val="Arial"/>
        <family val="0"/>
        <charset val="1"/>
      </rPr>
      <t xml:space="preserve">4</t>
    </r>
    <r>
      <rPr>
        <b val="true"/>
        <sz val="15"/>
        <color rgb="FF1F3864"/>
        <rFont val="WenQuanYi Zen Hei"/>
        <family val="2"/>
      </rPr>
      <t xml:space="preserve">건 </t>
    </r>
    <r>
      <rPr>
        <b val="true"/>
        <sz val="15"/>
        <color rgb="FF1F3864"/>
        <rFont val="Arial"/>
        <family val="0"/>
        <charset val="1"/>
      </rPr>
      <t xml:space="preserve">(</t>
    </r>
    <r>
      <rPr>
        <b val="true"/>
        <sz val="15"/>
        <color rgb="FF1F3864"/>
        <rFont val="WenQuanYi Zen Hei"/>
        <family val="2"/>
      </rPr>
      <t xml:space="preserve">원화 환산</t>
    </r>
    <r>
      <rPr>
        <b val="true"/>
        <sz val="15"/>
        <color rgb="FF1F3864"/>
        <rFont val="Arial"/>
        <family val="0"/>
        <charset val="1"/>
      </rPr>
      <t xml:space="preserve">)</t>
    </r>
  </si>
  <si>
    <r>
      <rPr>
        <i val="true"/>
        <sz val="9"/>
        <color rgb="FF595959"/>
        <rFont val="WenQuanYi Zen Hei"/>
        <family val="2"/>
      </rPr>
      <t xml:space="preserve">원화 금액 </t>
    </r>
    <r>
      <rPr>
        <i val="true"/>
        <sz val="9"/>
        <color rgb="FF595959"/>
        <rFont val="Arial"/>
        <family val="0"/>
        <charset val="1"/>
      </rPr>
      <t xml:space="preserve">= USD </t>
    </r>
    <r>
      <rPr>
        <i val="true"/>
        <sz val="9"/>
        <color rgb="FF595959"/>
        <rFont val="WenQuanYi Zen Hei"/>
        <family val="2"/>
      </rPr>
      <t xml:space="preserve">금액 </t>
    </r>
    <r>
      <rPr>
        <i val="true"/>
        <sz val="9"/>
        <color rgb="FF595959"/>
        <rFont val="Arial"/>
        <family val="0"/>
        <charset val="1"/>
      </rPr>
      <t xml:space="preserve">× (1 − </t>
    </r>
    <r>
      <rPr>
        <i val="true"/>
        <sz val="9"/>
        <color rgb="FF595959"/>
        <rFont val="WenQuanYi Zen Hei"/>
        <family val="2"/>
      </rPr>
      <t xml:space="preserve">할인율</t>
    </r>
    <r>
      <rPr>
        <i val="true"/>
        <sz val="9"/>
        <color rgb="FF595959"/>
        <rFont val="Arial"/>
        <family val="0"/>
        <charset val="1"/>
      </rPr>
      <t xml:space="preserve">) × </t>
    </r>
    <r>
      <rPr>
        <i val="true"/>
        <sz val="9"/>
        <color rgb="FF595959"/>
        <rFont val="WenQuanYi Zen Hei"/>
        <family val="2"/>
      </rPr>
      <t xml:space="preserve">환율</t>
    </r>
    <r>
      <rPr>
        <i val="true"/>
        <sz val="9"/>
        <color rgb="FF595959"/>
        <rFont val="Arial"/>
        <family val="0"/>
        <charset val="1"/>
      </rPr>
      <t xml:space="preserve">.  OFFER = CENTRAL</t>
    </r>
    <r>
      <rPr>
        <i val="true"/>
        <sz val="9"/>
        <color rgb="FF595959"/>
        <rFont val="WenQuanYi Zen Hei"/>
        <family val="2"/>
      </rPr>
      <t xml:space="preserve">이 다른 규격</t>
    </r>
    <r>
      <rPr>
        <i val="true"/>
        <sz val="9"/>
        <color rgb="FF595959"/>
        <rFont val="Arial"/>
        <family val="0"/>
        <charset val="1"/>
      </rPr>
      <t xml:space="preserve">·</t>
    </r>
    <r>
      <rPr>
        <i val="true"/>
        <sz val="9"/>
        <color rgb="FF595959"/>
        <rFont val="WenQuanYi Zen Hei"/>
        <family val="2"/>
      </rPr>
      <t xml:space="preserve">용량으로 대체 제안한 내용 </t>
    </r>
    <r>
      <rPr>
        <i val="true"/>
        <sz val="9"/>
        <color rgb="FF595959"/>
        <rFont val="Arial"/>
        <family val="0"/>
        <charset val="1"/>
      </rPr>
      <t xml:space="preserve">(</t>
    </r>
    <r>
      <rPr>
        <i val="true"/>
        <sz val="9"/>
        <color rgb="FF595959"/>
        <rFont val="WenQuanYi Zen Hei"/>
        <family val="2"/>
      </rPr>
      <t xml:space="preserve">주황 행</t>
    </r>
    <r>
      <rPr>
        <i val="true"/>
        <sz val="9"/>
        <color rgb="FF595959"/>
        <rFont val="Arial"/>
        <family val="0"/>
        <charset val="1"/>
      </rPr>
      <t xml:space="preserve">).</t>
    </r>
  </si>
  <si>
    <r>
      <rPr>
        <b val="true"/>
        <sz val="10"/>
        <color rgb="FFFFFFFF"/>
        <rFont val="WenQuanYi Zen Hei"/>
        <family val="2"/>
      </rPr>
      <t xml:space="preserve">단가 </t>
    </r>
    <r>
      <rPr>
        <b val="true"/>
        <sz val="10"/>
        <color rgb="FFFFFFFF"/>
        <rFont val="Arial"/>
        <family val="0"/>
        <charset val="1"/>
      </rPr>
      <t xml:space="preserve">(USD)</t>
    </r>
  </si>
  <si>
    <r>
      <rPr>
        <b val="true"/>
        <sz val="10"/>
        <color rgb="FFFFFFFF"/>
        <rFont val="WenQuanYi Zen Hei"/>
        <family val="2"/>
      </rPr>
      <t xml:space="preserve">금액 </t>
    </r>
    <r>
      <rPr>
        <b val="true"/>
        <sz val="10"/>
        <color rgb="FFFFFFFF"/>
        <rFont val="Arial"/>
        <family val="0"/>
        <charset val="1"/>
      </rPr>
      <t xml:space="preserve">(USD)</t>
    </r>
  </si>
  <si>
    <r>
      <rPr>
        <b val="true"/>
        <sz val="10"/>
        <color rgb="FFFFFFFF"/>
        <rFont val="WenQuanYi Zen Hei"/>
        <family val="2"/>
      </rPr>
      <t xml:space="preserve">할인후 금액 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원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</si>
  <si>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CENTRAL </t>
    </r>
    <r>
      <rPr>
        <b val="true"/>
        <sz val="10"/>
        <color rgb="FFFFFFFF"/>
        <rFont val="WenQuanYi Zen Hei"/>
        <family val="2"/>
      </rPr>
      <t xml:space="preserve">대체 제안 </t>
    </r>
    <r>
      <rPr>
        <b val="true"/>
        <sz val="10"/>
        <color rgb="FFFFFFFF"/>
        <rFont val="Arial"/>
        <family val="0"/>
        <charset val="1"/>
      </rPr>
      <t xml:space="preserve">(OFFER)</t>
    </r>
  </si>
  <si>
    <r>
      <rPr>
        <b val="true"/>
        <sz val="10"/>
        <color rgb="FF1F3864"/>
        <rFont val="Arial"/>
        <family val="0"/>
        <charset val="1"/>
      </rPr>
      <t xml:space="preserve">ER ELECTRICAL  (JU26092325-A / LNG </t>
    </r>
    <r>
      <rPr>
        <b val="true"/>
        <sz val="10"/>
        <color rgb="FF1F3864"/>
        <rFont val="WenQuanYi Zen Hei"/>
        <family val="2"/>
      </rPr>
      <t xml:space="preserve">운반선 </t>
    </r>
    <r>
      <rPr>
        <b val="true"/>
        <sz val="10"/>
        <color rgb="FF1F3864"/>
        <rFont val="Arial"/>
        <family val="0"/>
        <charset val="1"/>
      </rPr>
      <t xml:space="preserve">4</t>
    </r>
    <r>
      <rPr>
        <b val="true"/>
        <sz val="10"/>
        <color rgb="FF1F3864"/>
        <rFont val="WenQuanYi Zen Hei"/>
        <family val="2"/>
      </rPr>
      <t xml:space="preserve">척</t>
    </r>
    <r>
      <rPr>
        <b val="true"/>
        <sz val="10"/>
        <color rgb="FF1F3864"/>
        <rFont val="Arial"/>
        <family val="0"/>
        <charset val="1"/>
      </rPr>
      <t xml:space="preserve">)</t>
    </r>
  </si>
  <si>
    <t xml:space="preserve">LED DRIVER FOR FLOOD LIGHT (PF GOL) DAEYANG DLD-45060-STN =&gt; 153X58X37</t>
  </si>
  <si>
    <t xml:space="preserve">EXPLOSION PROOF LED FLOOD LIGHT FOR MARINE USE DAEYANG AC 220V 50/60 HZ 125 W X 2 DROWING NO. LR6530160 WEIGHT 27 KG</t>
  </si>
  <si>
    <t xml:space="preserve">BATTERY DRILL MASHINE MAKITA DHP 485 18 V X 2 BATTERY</t>
  </si>
  <si>
    <t xml:space="preserve">DDF489Z</t>
  </si>
  <si>
    <t xml:space="preserve">BATTERY TYPE AA</t>
  </si>
  <si>
    <t xml:space="preserve">BATTERY TYPE AAA</t>
  </si>
  <si>
    <t xml:space="preserve">BATTERY TYPE C</t>
  </si>
  <si>
    <t xml:space="preserve">BATTERY TYPE D</t>
  </si>
  <si>
    <t xml:space="preserve">ELECTRIC SCREWDRIVER WITH FRONT -MOUNTED LED RECHERGEBALE DRILL BIT SET, ERGONOMIC SPEED-ADJUSTABLE DESING,WITH MULTIPLE BITS, SUITABLE FOR EQUIPMENT MAINTENANCE AND PROJECTS.</t>
  </si>
  <si>
    <t xml:space="preserve">SILICONE BATTERY GUN 20 V BATTERY X 2 WITH LED LIGHT CAULING GUN TOOL</t>
  </si>
  <si>
    <t xml:space="preserve">11-IN 1 USB-C EXPANSION DOCK WITH 4K ULTRA HD, FAST PD, GIGABIT ETHERNET, MICROPHONE AUDIO,SD/TF CARD READER-HIGHT-SPEED MULTE PORT ADAPTER FOR USB DEVICES SUCH AS MACBOOKS, WINDOWS AND MORE</t>
  </si>
  <si>
    <t xml:space="preserve">AX 1800 WIFI 6 USB 3.0 WIRELES NETWORK CARD, 2.4 &amp; 5G DUAL BAND WIFI RECEIVER,LOW LATENCY GAMING ADAPTER,PLUG AND PLAY DRIVER FREE COMPATIBLE WITH WINDOWS 10/11 FOR DESKTOP LAPTOP</t>
  </si>
  <si>
    <t xml:space="preserve">USB TO USB-C ADAPTER</t>
  </si>
  <si>
    <t xml:space="preserve">USB-C TO USB SDAPTER</t>
  </si>
  <si>
    <t xml:space="preserve">TOECH LIGHT PELICAN 3315</t>
  </si>
  <si>
    <t xml:space="preserve">SMART TV PANASONIK 55" W85C 4K 3840X2160 60HZ QD MIND LED GOOGLE TV (2026) BUNDLE</t>
  </si>
  <si>
    <t xml:space="preserve">MAKITA REPLACMENT BATTERY COMPATIBLE BL1860 LITHIUM-ION CODLES TOOL</t>
  </si>
  <si>
    <t xml:space="preserve">소계</t>
  </si>
  <si>
    <r>
      <rPr>
        <b val="true"/>
        <sz val="10"/>
        <color rgb="FF1F3864"/>
        <rFont val="Arial"/>
        <family val="0"/>
        <charset val="1"/>
      </rPr>
      <t xml:space="preserve">ER STORES  (JU26092325-C / LNG </t>
    </r>
    <r>
      <rPr>
        <b val="true"/>
        <sz val="10"/>
        <color rgb="FF1F3864"/>
        <rFont val="WenQuanYi Zen Hei"/>
        <family val="2"/>
      </rPr>
      <t xml:space="preserve">운반선 </t>
    </r>
    <r>
      <rPr>
        <b val="true"/>
        <sz val="10"/>
        <color rgb="FF1F3864"/>
        <rFont val="Arial"/>
        <family val="0"/>
        <charset val="1"/>
      </rPr>
      <t xml:space="preserve">4</t>
    </r>
    <r>
      <rPr>
        <b val="true"/>
        <sz val="10"/>
        <color rgb="FF1F3864"/>
        <rFont val="WenQuanYi Zen Hei"/>
        <family val="2"/>
      </rPr>
      <t xml:space="preserve">척</t>
    </r>
    <r>
      <rPr>
        <b val="true"/>
        <sz val="10"/>
        <color rgb="FF1F3864"/>
        <rFont val="Arial"/>
        <family val="0"/>
        <charset val="1"/>
      </rPr>
      <t xml:space="preserve">)</t>
    </r>
  </si>
  <si>
    <t xml:space="preserve">LEAK DETECTION SPRAY WEICON, 400ML</t>
  </si>
  <si>
    <t xml:space="preserve">220ML</t>
  </si>
  <si>
    <t xml:space="preserve">WRENCH ADJUSTABLE HEAVY-DUTY, 150MM</t>
  </si>
  <si>
    <t xml:space="preserve">WRENCH ADJUSTABLE HEAVY-DUTY, 250MM</t>
  </si>
  <si>
    <t xml:space="preserve">WRENCH ADJUSTABLE HEAVY-DUTY, 300MM</t>
  </si>
  <si>
    <t xml:space="preserve">PLIER VISE-GRIP COMBINATION, 175MM</t>
  </si>
  <si>
    <t xml:space="preserve">PLIER VISE-GRIP COMBINATION, 200MM</t>
  </si>
  <si>
    <t xml:space="preserve">CUTTER TUBE COPPER &amp; BRASS, FOR 3 - 30MM</t>
  </si>
  <si>
    <t xml:space="preserve">CUTTER TUBE COPPER &amp; BRASS, FOR 6 - 60MM</t>
  </si>
  <si>
    <t xml:space="preserve">HAMMER BLACKSMITH DOUBLE FACE, WITH HANDLE NO.8 (3.6KGS)</t>
  </si>
  <si>
    <t xml:space="preserve">HAMMER BLACKSMITH DOUBLE FACE, WITH HANDLE NO.12 (5.4KGS)</t>
  </si>
  <si>
    <t xml:space="preserve">HAMMER BLACKSMITH DOUBLE FACE, WITH HANDLE NO.18 (8.1KGS)</t>
  </si>
  <si>
    <t xml:space="preserve">SCREWDRIVER INSULATED HANDLE, HEAVY-DUTY SLOTTED 4.5X50MM</t>
  </si>
  <si>
    <t xml:space="preserve">SCREWDRIVER INSULATED HANDLE, HEAVY-DUTY SLOTTED 5.5X75MM</t>
  </si>
  <si>
    <t xml:space="preserve">SCREWDRIVER INSULATED HANDLE, HEAVY-DUTY SLOTTED 6X100MM</t>
  </si>
  <si>
    <t xml:space="preserve">SCREWDRIVER INSULATED HANDLE, HEAVY-DUTY SLOTTED 8X150MM</t>
  </si>
  <si>
    <t xml:space="preserve">SCREWDRIVER INSULATED HANDLE, HEAVY-DUTY PHILLIPS NO.00 75MM</t>
  </si>
  <si>
    <t xml:space="preserve">SCREWDRIVER INSULATED HANDLE, HEAVY-DUTY PHILLIPS NO.0 75MM</t>
  </si>
  <si>
    <t xml:space="preserve">SCREWDRIVER INSULATED HANDLE, HEAVY-DUTY PHILLIPS NO.1 75MM</t>
  </si>
  <si>
    <t xml:space="preserve">SCREWDRIVER INSULATED HANDLE, HEAVY-DUTY PHILLIPS NO.2 100MM</t>
  </si>
  <si>
    <t xml:space="preserve">SCREWDRIVER INSULATED HANDLE, HEAVY-DUTY PHILLIPS NO.3 150MM</t>
  </si>
  <si>
    <t xml:space="preserve">SCREWDRIVER INSULATED HANDLE, HEAVY-DUTY PHILLIPS NO.4 200MM</t>
  </si>
  <si>
    <t xml:space="preserve">HAMMER BRASS HANDLED, NO.1 (0.5KGS)</t>
  </si>
  <si>
    <t xml:space="preserve">HAMMER BRASS HANDLED, NO.2 (1KG)</t>
  </si>
  <si>
    <t xml:space="preserve">HAMMER RUBBER HANDLED, 60MM DIAM NO.1 (0.58KGS)</t>
  </si>
  <si>
    <t xml:space="preserve">CROWBAR 950MM</t>
  </si>
  <si>
    <t xml:space="preserve">CROWBAR 1150MM</t>
  </si>
  <si>
    <t xml:space="preserve">EMERY TAPE ABRASIVE, 50MMX36.5MTR GRIT #80</t>
  </si>
  <si>
    <t xml:space="preserve">EMERY TAPE ABRASIVE, 50MMX36.5MTR GRIT #120</t>
  </si>
  <si>
    <t xml:space="preserve">EMERY TAPE ABRASIVE, 50MMX36.5MTR GRIT #180</t>
  </si>
  <si>
    <t xml:space="preserve">WRENCH ADJUSTABLE BAHCO #8069, 110MM</t>
  </si>
  <si>
    <t xml:space="preserve">WRENCH ADJUSTABLE BAHCO #8070, 155MM</t>
  </si>
  <si>
    <t xml:space="preserve">WRENCH ADJUSTABLE BAHCO #8071, 205MM</t>
  </si>
  <si>
    <t xml:space="preserve">WRENCH ADJUSTABLE BAHCO #8072, 255MM</t>
  </si>
  <si>
    <t xml:space="preserve">WRENCH ADJUSTABLE BAHCO #8073, 305MM</t>
  </si>
  <si>
    <t xml:space="preserve">WRENCH ADJUSTABLE BAHCO #8074, 380MM</t>
  </si>
  <si>
    <t xml:space="preserve">THERMOMETER CABIN -30 TO 50DEG, 250MM</t>
  </si>
  <si>
    <t xml:space="preserve">SEALING AGENT PERMATEX, FORM-A GASKET NO.1 11OZ</t>
  </si>
  <si>
    <t xml:space="preserve">TAPE ANTI-SPLASHING 50MMX10MTR, NK/UL/ABS/LRS/BV APPROVED</t>
  </si>
  <si>
    <r>
      <rPr>
        <sz val="10"/>
        <rFont val="Arial"/>
        <family val="0"/>
        <charset val="1"/>
      </rPr>
      <t xml:space="preserve">WERA 9 PIECE L SHAPE METRIC HEX KEY SET, 1.5 ? 10MM </t>
    </r>
    <r>
      <rPr>
        <sz val="10"/>
        <rFont val="WenQuanYi Zen Hei"/>
        <family val="2"/>
      </rPr>
      <t xml:space="preserve">［</t>
    </r>
    <r>
      <rPr>
        <sz val="10"/>
        <rFont val="Arial"/>
        <family val="0"/>
        <charset val="1"/>
      </rPr>
      <t xml:space="preserve">SPEC</t>
    </r>
    <r>
      <rPr>
        <sz val="10"/>
        <rFont val="WenQuanYi Zen Hei"/>
        <family val="2"/>
      </rPr>
      <t xml:space="preserve">］ </t>
    </r>
    <r>
      <rPr>
        <sz val="10"/>
        <rFont val="Arial"/>
        <family val="0"/>
        <charset val="1"/>
      </rPr>
      <t xml:space="preserve">MFR. PART NO.: 0507359300</t>
    </r>
  </si>
  <si>
    <t xml:space="preserve">WERA 9-PIECE TORX KEY SET, 139 X 72 X 25 MM SIZE, L SHAPE, LONG ARM</t>
  </si>
  <si>
    <t xml:space="preserve">PARALLEL BENCH VISE</t>
  </si>
  <si>
    <t xml:space="preserve">255 X 300 X 140</t>
  </si>
  <si>
    <t xml:space="preserve">RESINOID CUT OFF WHEELS - OD 100MM</t>
  </si>
  <si>
    <t xml:space="preserve">RESINOID CUT OFF WHEELS - OD 355MM</t>
  </si>
  <si>
    <t xml:space="preserve">PLASTIC BAG FOR GARBAGE DISPOSAL</t>
  </si>
  <si>
    <t xml:space="preserve">800X900, 50'S/PACK</t>
  </si>
  <si>
    <t xml:space="preserve">MARINE REFUSE SACKS</t>
  </si>
  <si>
    <t xml:space="preserve">PLASTIC GLOVES</t>
  </si>
  <si>
    <t xml:space="preserve">50'S/PKT</t>
  </si>
  <si>
    <t xml:space="preserve">MEASURING TAPES</t>
  </si>
  <si>
    <t xml:space="preserve">25MM X 5.5MTR</t>
  </si>
  <si>
    <t xml:space="preserve">PRECISION FLAT TRY SQUARES</t>
  </si>
  <si>
    <t xml:space="preserve">75MM</t>
  </si>
  <si>
    <t xml:space="preserve">WRENCH OPEN &amp; 12-POINT BOX WRENCH 10MM</t>
  </si>
  <si>
    <t xml:space="preserve">WRENCH OPEN &amp; 12-POINT BOX WRENCH 12MM</t>
  </si>
  <si>
    <t xml:space="preserve">WRENCH OPEN &amp; 12-POINT BOX WRENCH 13MM</t>
  </si>
  <si>
    <t xml:space="preserve">WRENCH OPEN &amp; 12-POINT BOX WRENCH 17MM</t>
  </si>
  <si>
    <t xml:space="preserve">WRENCH OPEN &amp; 12-POINT BOX WRENCH 19MM</t>
  </si>
  <si>
    <t xml:space="preserve">WRENCH OPEN &amp; 12-POINT BOX WRENCH 24MM</t>
  </si>
  <si>
    <t xml:space="preserve">WRENCH OPEN &amp; 12-POINT BOX WRENCH 30MM</t>
  </si>
  <si>
    <t xml:space="preserve">WRENCH OPEN &amp; 12-POINT BOX WRENCH 32MM</t>
  </si>
  <si>
    <t xml:space="preserve">WRENCH SOCKET SET 10-32 MM SQUARE DRIVE 1/2</t>
  </si>
  <si>
    <t xml:space="preserve">QUICK COUPLER S22 PH OXY (PLUGS)</t>
  </si>
  <si>
    <t xml:space="preserve">QUICK COUPLER S33 PH F GAS (PLUGS)</t>
  </si>
  <si>
    <t xml:space="preserve">QUICK COUPLER S22 PH OXY (SOCKETS)</t>
  </si>
  <si>
    <t xml:space="preserve">QUICK COUPLER S33 PH F GAS (SOCKETS)</t>
  </si>
  <si>
    <t xml:space="preserve">STEEL BUT WELDING ELBOWS 25A</t>
  </si>
  <si>
    <t xml:space="preserve">90" LONG TYPE</t>
  </si>
  <si>
    <t xml:space="preserve">STEEL BUT WELDING ELBOWS 32A</t>
  </si>
  <si>
    <t xml:space="preserve">STEEL BUT WELDING ELBOWS 40A</t>
  </si>
  <si>
    <t xml:space="preserve">STEEL BUT WELDING ELBOWS 50A</t>
  </si>
  <si>
    <t xml:space="preserve">STEEL UNGALVANIZED BOLTS WITH NUT M6X55 MM</t>
  </si>
  <si>
    <t xml:space="preserve">STEEL UNGALVANIZED BOLTS WITH NUT M8X55 MM</t>
  </si>
  <si>
    <t xml:space="preserve">STEEL UNGALVANIZED BOLTS WITH NUT M10X55 MM</t>
  </si>
  <si>
    <t xml:space="preserve">STEEL UNGALVANIZED BOLTS WITH NUT M12X60 MM</t>
  </si>
  <si>
    <t xml:space="preserve">ELECTRODES LB-52-2.6 MM</t>
  </si>
  <si>
    <t xml:space="preserve">TOTAL 5KGS</t>
  </si>
  <si>
    <t xml:space="preserve">RUBBER AIR HOSE I.D. 15.9X O.D. 27.5 MM</t>
  </si>
  <si>
    <t xml:space="preserve">STEEL PLATE - HOT ROLLED 16 MM</t>
  </si>
  <si>
    <t xml:space="preserve">STEEL EQUAL ANGLES - HOT ROLLED W 50 D 50 T 6 (JAPAN IMPA CODE)</t>
  </si>
  <si>
    <t xml:space="preserve">GALLEY APPLIANCES  (JU26092325-D / NORTH VALLEY)</t>
  </si>
  <si>
    <t xml:space="preserve">MICROWAVE OVEN - MELTUS 25?30 L; COMMERCIAL DUTY 220?230 V / 60 HZ - HEAVY-DUTY COMMERCIAL MODEL</t>
  </si>
  <si>
    <t xml:space="preserve">AUTOMATIC BREAD MAKER - PANASONIC PANASONIC SD-2500WXC 220?230 V / 60 HZ</t>
  </si>
  <si>
    <t xml:space="preserve">CONTACT GRILL / PANINI PRESS DOUBLE COMMERCIAL MODEL 220?230 V / 60 HZ - REMOVABLE DRIP TRAY; RIBBED PLATES</t>
  </si>
  <si>
    <t xml:space="preserve">GRILL PAN 33CM</t>
  </si>
  <si>
    <t xml:space="preserve">COMMERCIAL TOASTER - MELTUS 4?6 SLICE 220?230 V / 60 HZ - CONTINUOUS-DUTY COMMERCIAL MODEL</t>
  </si>
  <si>
    <t xml:space="preserve">HEAVY-DUTY BLENDER 1.5?2 L 220?230 V / 60 HZ - COMMERCIAL MOTOR; SPARE JUG PREFERRED</t>
  </si>
  <si>
    <t xml:space="preserve">IMMERSION BLENDER 400?500 MM SHAFT 220?230 V / 60 HZ - COMMERCIAL DUTY; DETACHABLE SHAFT</t>
  </si>
  <si>
    <t xml:space="preserve">MEAT SLICER 250?300 MM BLADE 220?230 V / 60 HZ - BLADE GUARD; EMERGENCY STOP</t>
  </si>
  <si>
    <t xml:space="preserve">MEAT MINCER 150?250 KG/H 220?230 OR 440 V / 60 HZ - REVERSE FUNCTION; STAINLESS CONTACT PARTS</t>
  </si>
  <si>
    <t xml:space="preserve">COFFEE MACHINE - DELONGHI MAGNIFICA S 220?230 V / 60 HZ -</t>
  </si>
  <si>
    <t xml:space="preserve">BAIN-MARIE /FOOD WARMER UNIT WITH COVER - WATER HEATING 4 × GN 1/1 220 V / 60 HZ - DRAIN VALVE; TEMPERATURE CONTROL</t>
  </si>
  <si>
    <t xml:space="preserve">SALAMANDER GRILL 600?800 MM 440 V / 60 HZ / 3-PHASE - ADJUSTABLE RACK; WALL OR BENCH MOUNTED</t>
  </si>
  <si>
    <t xml:space="preserve">GALLEY CONSUMABLES  (JU26092325-E / NORTH VALLEY)</t>
  </si>
  <si>
    <t xml:space="preserve">HEAVY-DUTY ALUMINIUM FOIL, 45 CM X 100 M - FOOD-GRADE; COMMERCIAL QUALITY</t>
  </si>
  <si>
    <t xml:space="preserve">CLING FILM / FOOD WRAP, 45 CM X 300 M - FOOD-GRADE</t>
  </si>
  <si>
    <t xml:space="preserve">BAKING PAPER / PARCHMENT PAPER - COMMERCIAL ROLL</t>
  </si>
  <si>
    <t xml:space="preserve">DISPOSABLE FOOD STORAGE BAGS - SMALL - FOOD-GRADE</t>
  </si>
  <si>
    <t xml:space="preserve">DISPOSABLE FOOD STORAGE BAGS - LARGE - FOOD-GRADE</t>
  </si>
  <si>
    <t xml:space="preserve">ZIP-LOCK BAGS - ASSORTED SIZES - FOOD-GRADE</t>
  </si>
  <si>
    <t xml:space="preserve">DISPOSABLE NITRILE GLOVES - FOOD GRADE, M/L/XL - POWDER-FREE; ASSORTED SIZES BOX/100</t>
  </si>
  <si>
    <t xml:space="preserve">DISPOSABLE HAIR NETS BOX/100</t>
  </si>
  <si>
    <t xml:space="preserve">DISPOSABLE APRONS</t>
  </si>
  <si>
    <t xml:space="preserve">PACK</t>
  </si>
  <si>
    <t xml:space="preserve">KITCHEN PAPER TOWELS / JUMBO ROLLS - HIGH ABSORBENCY</t>
  </si>
  <si>
    <t xml:space="preserve">MEDIUM GARBAGE BAGS, 60-80 L</t>
  </si>
  <si>
    <t xml:space="preserve">10'S/PACK</t>
  </si>
  <si>
    <t xml:space="preserve">SMALL GARBAGE BAGS, 20-30 L</t>
  </si>
  <si>
    <t xml:space="preserve">DISHWASHING LIQUID 5 L - CONCENTRATED - COMMERCIAL/MARINE GRADE; SDS REQUIRED</t>
  </si>
  <si>
    <t xml:space="preserve">2KGS, DISHWASHING LIQUID</t>
  </si>
  <si>
    <t xml:space="preserve">DISHWASHER DETERGENT 5 L - COMMERCIAL - COMPATIBLE WITH VESSEL DISHWASHER; SDS REQUIRED</t>
  </si>
  <si>
    <t xml:space="preserve">DISHWASHER RINSE AID 5 L - SDS REQUIRED</t>
  </si>
  <si>
    <t xml:space="preserve">4LTR</t>
  </si>
  <si>
    <t xml:space="preserve">GALLEY DEGREASER 5 L - HEAVY DUTY - SDS REQUIRED</t>
  </si>
  <si>
    <t xml:space="preserve">FOOD-SAFE SURFACE CLEANER / SANITIZER 5 L - APPROVED FOR FOOD-CONTACT AREAS; SDS REQUIRED</t>
  </si>
  <si>
    <t xml:space="preserve">STAINLESS-STEEL CLEANER 5 L - SDS REQUIRED</t>
  </si>
  <si>
    <t xml:space="preserve">3.75LTR</t>
  </si>
  <si>
    <t xml:space="preserve">OVEN AND GRILL CLEANER 5 L - HEAVY DUTY; SDS REQUIRED</t>
  </si>
  <si>
    <t xml:space="preserve">FLOOR CLEANER / DEGREASER 5 L - NON-SLIP RESIDUE; SDS REQUIRED</t>
  </si>
  <si>
    <t xml:space="preserve">HAND SOAP 5 L - ANTIBACTERIAL - SKIN-SAFE</t>
  </si>
  <si>
    <t xml:space="preserve">HAND SANITIZER 5 L - MINIMUM 70% ALCOHOL OR APPROVED EQUIVALENT</t>
  </si>
  <si>
    <t xml:space="preserve">500ML X 10PCS</t>
  </si>
  <si>
    <t xml:space="preserve">SCOURING PADS - HEAVY DUTY</t>
  </si>
  <si>
    <t xml:space="preserve">SPONGE SCOURERS</t>
  </si>
  <si>
    <t xml:space="preserve">STAINLESS-STEEL SCRUBBERS</t>
  </si>
  <si>
    <t xml:space="preserve">CLEANING CLOTHS - WASHABLE MICROFIBER - COLOUR-CODED PREFERRED</t>
  </si>
  <si>
    <t xml:space="preserve">DISPOSABLE CLEANING CLOTHS ROLL/PACK</t>
  </si>
  <si>
    <t xml:space="preserve">DISHWASHING BRUSHES</t>
  </si>
  <si>
    <t xml:space="preserve">BOTTLE BRUSHES</t>
  </si>
  <si>
    <t xml:space="preserve">FLOOR MOP HEADS - HEAVY DUTY</t>
  </si>
  <si>
    <t xml:space="preserve">BROOMS - COMPLETE WITH HANDLES</t>
  </si>
  <si>
    <t xml:space="preserve">DUSTPAN AND BRUSH SETS</t>
  </si>
  <si>
    <t xml:space="preserve">SET</t>
  </si>
  <si>
    <t xml:space="preserve">FOOD LABELS - FREEZER/WATER RESISTANT</t>
  </si>
  <si>
    <t xml:space="preserve">PERMANENT MARKERS - FOOD STORAGE USE</t>
  </si>
  <si>
    <t xml:space="preserve">DISPOSABLE PIPING BAGS ROLL/PACK</t>
  </si>
  <si>
    <t xml:space="preserve">DISPOSABLE ALUMINIUM TRAYS - SMALL - FOOD-GRADE</t>
  </si>
  <si>
    <t xml:space="preserve">DISPOSABLE ALUMINIUM TRAYS - MEDIUM - FOOD-GRADE</t>
  </si>
  <si>
    <t xml:space="preserve">DISPOSABLE ALUMINIUM TRAYS - LARGE - FOOD-GRADE</t>
  </si>
  <si>
    <t xml:space="preserve">DISPOSABLE COFEE CUPS - 100ML - HOT/COLD USE</t>
  </si>
  <si>
    <t xml:space="preserve">DISPOSABLE PLATES - HEAVY DUTY</t>
  </si>
  <si>
    <t xml:space="preserve">DISPOSABLE CUTLERY SETS</t>
  </si>
  <si>
    <t xml:space="preserve">PAPER NAPKINS</t>
  </si>
  <si>
    <t xml:space="preserve">TOOTHPICKS</t>
  </si>
  <si>
    <t xml:space="preserve">BAMBOO / WOODEN SKEWERS</t>
  </si>
  <si>
    <t xml:space="preserve">100'S/PACK</t>
  </si>
  <si>
    <t xml:space="preserve">FREEZER TAPE - MOISTURE RESISTANT</t>
  </si>
  <si>
    <t xml:space="preserve">5CX2.5CM,500PCS/ROLL</t>
  </si>
  <si>
    <t xml:space="preserve">LAUNDRY WASHING POWDER - PROFESSIONAL HEAVY DUTY - LOW-FOAM; SUITABLE FOR VESSEL MACHINES; 10 KG</t>
  </si>
  <si>
    <t xml:space="preserve">1KG X 10;S/BOX</t>
  </si>
  <si>
    <t xml:space="preserve">LIQUID LAUNDRY DETERGENT - LOW-FOAM; 5 L</t>
  </si>
  <si>
    <t xml:space="preserve">3LTR</t>
  </si>
  <si>
    <t xml:space="preserve">FABRIC SOFTENER 5 L</t>
  </si>
  <si>
    <t xml:space="preserve">LAUNDRY STAIN REMOVER 5 L</t>
  </si>
  <si>
    <t xml:space="preserve">500ML , SPRAY</t>
  </si>
  <si>
    <t xml:space="preserve">LAUNDRY BLEACH - WHITES 5 L</t>
  </si>
  <si>
    <t xml:space="preserve">2.1LTR</t>
  </si>
  <si>
    <t xml:space="preserve">OXYGEN BLEACH / COLOUR-SAFE BLEACH 5 KG</t>
  </si>
  <si>
    <t xml:space="preserve">3KGS , POWDER</t>
  </si>
  <si>
    <t xml:space="preserve">WASHING MACHINE DESCALER / CLEANER - COMPATIBLE WITH MACHINES; 5 L</t>
  </si>
  <si>
    <t xml:space="preserve">1LTR</t>
  </si>
  <si>
    <t xml:space="preserve">GENERAL-PURPOSE CLEANER - CONCENTRATED - MARINE/COMMERCIAL GRADE; 5 L</t>
  </si>
  <si>
    <t xml:space="preserve">600ML</t>
  </si>
  <si>
    <t xml:space="preserve">HEAVY-DUTY FLOOR CLEANER - NON-SLIP RESIDUE; 5 L</t>
  </si>
  <si>
    <t xml:space="preserve">DISINFECTANT CLEANER - CONCENTRATED - BROAD-SPECTRUM; 5 L</t>
  </si>
  <si>
    <t xml:space="preserve">BATHROOM / TOILET CLEANER 5 L</t>
  </si>
  <si>
    <t xml:space="preserve">GLASS AND MIRROR CLEANER 5 L</t>
  </si>
  <si>
    <t xml:space="preserve">HEAVY-DUTY SANITARY DEGREASER 5 L</t>
  </si>
  <si>
    <t xml:space="preserve">STAINLESS-STEEL CLEANER / POLISH 5 L</t>
  </si>
  <si>
    <t xml:space="preserve">FURNITURE / SURFACE CLEANER 5 L</t>
  </si>
  <si>
    <t xml:space="preserve">400ML. SPRAY TYPE</t>
  </si>
  <si>
    <t xml:space="preserve">AIR FRESHENER SPRAY - VANILLA - NON-FLAMMABLE PREFERRED 500 ML</t>
  </si>
  <si>
    <t xml:space="preserve">300ML</t>
  </si>
  <si>
    <t xml:space="preserve">DRAIN CLEANER - SDS REQUIRED; CONFIRM</t>
  </si>
  <si>
    <t xml:space="preserve">HAND WASHING LIQUID / ANTIBACTERIAL SOAP - SKIN-SAFE 5 L</t>
  </si>
  <si>
    <t xml:space="preserve">HAND SANITIZER - MINIMUM 70% ALCOHOL OR APPROVED EQUIVALENT 5 L</t>
  </si>
  <si>
    <t xml:space="preserve">500ML X 10TIM/PC</t>
  </si>
  <si>
    <t xml:space="preserve">TOILET PAPER - COMMERCIAL / JUMBO - 2-PLY MINIMUM</t>
  </si>
  <si>
    <t xml:space="preserve">FACIAL TISSUES</t>
  </si>
  <si>
    <t xml:space="preserve">PAPER HAND TOWELS - CONFIRM DISPENSER FOLD/TYPE 100'S/PACK</t>
  </si>
  <si>
    <t xml:space="preserve">MEDIUM GARBAGE PAPER BAGS, 60-80 L</t>
  </si>
  <si>
    <t xml:space="preserve">SMALL WASTE-BIN LINERS, 20-30 L</t>
  </si>
  <si>
    <t xml:space="preserve">HEAVY-DUTY SCOURING PADS</t>
  </si>
  <si>
    <t xml:space="preserve">CLEANING SPONGES</t>
  </si>
  <si>
    <t xml:space="preserve">RUBBER CLEANING GLOVES - ASSORTED SIZES - CHEMICAL RESISTANT; S/M/L/XL</t>
  </si>
  <si>
    <t xml:space="preserve">PAIR</t>
  </si>
  <si>
    <t xml:space="preserve">FOR DISHWASHING</t>
  </si>
  <si>
    <t xml:space="preserve">DISPOSABLE NITRILE GLOVES - POWDER-FREE; ASSORTED SIZES BOX/100</t>
  </si>
  <si>
    <t xml:space="preserve">MOP HEADS - HEAVY DUTY - CONFIRM HANDLE FITTING</t>
  </si>
  <si>
    <t xml:space="preserve">MOP HANDLES - COMPATIBLE WITH MOP HEADS</t>
  </si>
  <si>
    <t xml:space="preserve">TOILET BRUSHES - WITH HOLDERS</t>
  </si>
  <si>
    <t xml:space="preserve">CLEANING BUCKETS - 10-15 L</t>
  </si>
  <si>
    <t xml:space="preserve">SPRAY BOTTLES - CHEMICAL RESISTANT - LABELLED; ADJUSTABLE NOZZLE</t>
  </si>
  <si>
    <t xml:space="preserve">LAUNDRY BAGS - WASHABLE, HEAVY DUTY</t>
  </si>
  <si>
    <t xml:space="preserve">MIELE - WITH BAGS (20 PACK)</t>
  </si>
  <si>
    <t xml:space="preserve">MAIN COURSE PLATE - CATERING PORCELAIN - 26 CM</t>
  </si>
  <si>
    <t xml:space="preserve">SOUP PLATE - CATERING PORCELAIN - 22 CM (350 ML)</t>
  </si>
  <si>
    <t xml:space="preserve">APPETIZER PLATE - CATERING PORCELAIN - 20 CM</t>
  </si>
  <si>
    <t xml:space="preserve">SALATE BOWL - CATERING PORCELAIN - 16 CM (500 ML)</t>
  </si>
  <si>
    <t xml:space="preserve">SERVING BOWL - CATERING PORCELAIN - 30 CM</t>
  </si>
  <si>
    <t xml:space="preserve">21CM</t>
  </si>
  <si>
    <t xml:space="preserve">COFFIE CUP - 120 ML</t>
  </si>
  <si>
    <t xml:space="preserve">COFFIE MUG - 200 ML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</si>
</sst>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0%"/>
    <numFmt numFmtId="167" formatCode="#,##0;\(#,##0\);\-"/>
    <numFmt numFmtId="168" formatCode="0.0%;\(0.0%\);\-"/>
    <numFmt numFmtId="169" formatCode="\$#,##0.00;&quot;($&quot;#,##0.00\);\-"/>
    <numFmt numFmtId="170" formatCode="0.000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3864"/>
      <name val="Arial"/>
      <family val="0"/>
      <charset val="1"/>
    </font>
    <font>
      <b val="true"/>
      <sz val="15"/>
      <color rgb="FF1F3864"/>
      <name val="WenQuanYi Zen Hei"/>
      <family val="2"/>
    </font>
    <font>
      <i val="true"/>
      <sz val="9"/>
      <color rgb="FF595959"/>
      <name val="WenQuanYi Zen Hei"/>
      <family val="2"/>
    </font>
    <font>
      <i val="true"/>
      <sz val="9"/>
      <color rgb="FF595959"/>
      <name val="Arial"/>
      <family val="0"/>
      <charset val="1"/>
    </font>
    <font>
      <b val="true"/>
      <sz val="10"/>
      <name val="WenQuanYi Zen Hei"/>
      <family val="2"/>
    </font>
    <font>
      <b val="true"/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2"/>
      <color rgb="FF1F3864"/>
      <name val="WenQuanYi Zen Hei"/>
      <family val="2"/>
    </font>
    <font>
      <b val="true"/>
      <sz val="12"/>
      <color rgb="FF1F3864"/>
      <name val="Arial"/>
      <family val="0"/>
      <charset val="1"/>
    </font>
    <font>
      <b val="true"/>
      <sz val="10"/>
      <color rgb="FFFFFFFF"/>
      <name val="WenQuanYi Zen Hei"/>
      <family val="2"/>
    </font>
    <font>
      <b val="true"/>
      <sz val="10"/>
      <color rgb="FFFFFFFF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sz val="10"/>
      <name val="WenQuanYi Zen Hei"/>
      <family val="2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1F3864"/>
      <name val="WenQuanYi Zen Hei"/>
      <family val="2"/>
    </font>
    <font>
      <sz val="10"/>
      <color rgb="FF0000FF"/>
      <name val="Arial"/>
      <family val="0"/>
      <charset val="1"/>
    </font>
    <font>
      <b val="true"/>
      <sz val="10"/>
      <color rgb="FF1F3864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  <fill>
      <patternFill patternType="solid">
        <fgColor rgb="FFE2EFDA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FFC7CE"/>
        <bgColor rgb="FFFCE4D6"/>
      </patternFill>
    </fill>
    <fill>
      <patternFill patternType="solid">
        <fgColor rgb="FFFCE4D6"/>
        <bgColor rgb="FFF2F2F2"/>
      </patternFill>
    </fill>
    <fill>
      <patternFill patternType="solid">
        <fgColor rgb="FFD9E1F2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15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9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9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1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1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1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20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1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1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20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2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1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2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9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9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20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17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20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17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17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17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17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20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0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9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0" fontId="2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1" fillId="8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ont>
        <b val="1"/>
        <color rgb="FF006100"/>
      </font>
      <fill>
        <patternFill>
          <bgColor rgb="FFE2EFDA"/>
        </patternFill>
      </fill>
    </dxf>
    <dxf>
      <font>
        <b val="1"/>
        <color rgb="FF006100"/>
      </font>
    </dxf>
    <dxf>
      <font>
        <b val="1"/>
        <color rgb="FFC00000"/>
      </font>
    </dxf>
    <dxf>
      <fill>
        <patternFill>
          <bgColor rgb="FFFFC7C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CE4D6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61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3" min="3" style="0" width="22"/>
    <col collapsed="false" customWidth="true" hidden="false" outlineLevel="0" max="4" min="4" style="0" width="20"/>
    <col collapsed="false" customWidth="true" hidden="false" outlineLevel="0" max="5" min="5" style="0" width="22"/>
    <col collapsed="false" customWidth="true" hidden="false" outlineLevel="0" max="6" min="6" style="0" width="20"/>
    <col collapsed="false" customWidth="true" hidden="false" outlineLevel="0" max="7" min="7" style="0" width="16"/>
    <col collapsed="false" customWidth="true" hidden="false" outlineLevel="0" max="8" min="8" style="0" width="17"/>
    <col collapsed="false" customWidth="true" hidden="false" outlineLevel="0" max="9" min="9" style="0" width="46"/>
  </cols>
  <sheetData>
    <row r="1" customFormat="false" ht="20.1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C4" s="4" t="n">
        <v>1350</v>
      </c>
      <c r="D4" s="2" t="s">
        <v>3</v>
      </c>
    </row>
    <row r="5" customFormat="false" ht="15" hidden="false" customHeight="false" outlineLevel="0" collapsed="false">
      <c r="A5" s="5" t="s">
        <v>4</v>
      </c>
      <c r="C5" s="6" t="n">
        <v>0.1</v>
      </c>
      <c r="D5" s="7" t="s">
        <v>5</v>
      </c>
    </row>
    <row r="7" customFormat="false" ht="16.4" hidden="false" customHeight="false" outlineLevel="0" collapsed="false">
      <c r="A7" s="8" t="s">
        <v>6</v>
      </c>
    </row>
    <row r="8" customFormat="false" ht="31.5" hidden="false" customHeight="true" outlineLevel="0" collapsed="false">
      <c r="A8" s="9" t="s">
        <v>7</v>
      </c>
      <c r="B8" s="9"/>
      <c r="C8" s="10" t="s">
        <v>8</v>
      </c>
      <c r="D8" s="9" t="s">
        <v>9</v>
      </c>
      <c r="E8" s="9" t="s">
        <v>10</v>
      </c>
      <c r="F8" s="9" t="s">
        <v>11</v>
      </c>
      <c r="G8" s="9" t="s">
        <v>12</v>
      </c>
    </row>
    <row r="9" customFormat="false" ht="21.75" hidden="false" customHeight="true" outlineLevel="0" collapsed="false">
      <c r="A9" s="11" t="s">
        <v>13</v>
      </c>
      <c r="B9" s="11"/>
      <c r="C9" s="12" t="n">
        <f aca="false">프린터_상세비교!I55</f>
        <v>4051910</v>
      </c>
      <c r="D9" s="12" t="n">
        <f aca="false">프린터_상세비교!K55</f>
        <v>4918490</v>
      </c>
      <c r="E9" s="13" t="n">
        <f aca="false">D9-C9</f>
        <v>866580</v>
      </c>
      <c r="F9" s="14" t="n">
        <f aca="false">IF(C9=0,"",D9/C9-1)</f>
        <v>0.213869508454038</v>
      </c>
      <c r="G9" s="15" t="str">
        <f aca="false">IF(E9&gt;0,"CENTRAL",IF(E9&lt;0,"네오맥스","동일"))</f>
        <v>CENTRAL</v>
      </c>
    </row>
    <row r="10" customFormat="false" ht="21.75" hidden="false" customHeight="true" outlineLevel="0" collapsed="false">
      <c r="A10" s="16" t="s">
        <v>14</v>
      </c>
      <c r="B10" s="16"/>
      <c r="C10" s="17" t="n">
        <f aca="false">프린터_상세비교!I56</f>
        <v>4051910</v>
      </c>
      <c r="D10" s="17" t="n">
        <f aca="false">프린터_상세비교!K56</f>
        <v>4549440</v>
      </c>
      <c r="E10" s="18" t="n">
        <f aca="false">D10-C10</f>
        <v>497530</v>
      </c>
      <c r="F10" s="19" t="n">
        <f aca="false">IF(C10=0,"",D10/C10-1)</f>
        <v>0.122789005678803</v>
      </c>
      <c r="G10" s="20" t="str">
        <f aca="false">IF(E10&gt;0,"CENTRAL",IF(E10&lt;0,"네오맥스","동일"))</f>
        <v>CENTRAL</v>
      </c>
    </row>
    <row r="11" customFormat="false" ht="21.75" hidden="false" customHeight="true" outlineLevel="0" collapsed="false">
      <c r="A11" s="16" t="s">
        <v>15</v>
      </c>
      <c r="B11" s="16"/>
      <c r="C11" s="17" t="n">
        <f aca="false">프린터_상세비교!I58</f>
        <v>4406592</v>
      </c>
      <c r="D11" s="17" t="n">
        <f aca="false">프린터_상세비교!K58</f>
        <v>6052610</v>
      </c>
      <c r="E11" s="18" t="n">
        <f aca="false">D11-C11</f>
        <v>1646018</v>
      </c>
      <c r="F11" s="19" t="n">
        <f aca="false">IF(C11=0,"",D11/C11-1)</f>
        <v>0.373535376091093</v>
      </c>
      <c r="G11" s="20" t="str">
        <f aca="false">IF(E11&gt;0,"CENTRAL",IF(E11&lt;0,"네오맥스","동일"))</f>
        <v>CENTRAL</v>
      </c>
    </row>
    <row r="12" customFormat="false" ht="15" hidden="false" customHeight="false" outlineLevel="0" collapsed="false">
      <c r="A12" s="21" t="str">
        <f aca="false">"공통 품목 중 CENTRAL이 저렴한 품목 "&amp;프린터_상세비교!I60&amp;"개 / 네오맥스가 저렴한 품목 "&amp;프린터_상세비교!K60&amp;"개"</f>
        <v>공통 품목 중 CENTRAL이 저렴한 품목 36개 / 네오맥스가 저렴한 품목 1개</v>
      </c>
    </row>
    <row r="13" customFormat="false" ht="15" hidden="false" customHeight="false" outlineLevel="0" collapsed="false">
      <c r="A13" s="2" t="s">
        <v>16</v>
      </c>
    </row>
    <row r="15" customFormat="false" ht="16.4" hidden="false" customHeight="false" outlineLevel="0" collapsed="false">
      <c r="A15" s="8" t="s">
        <v>17</v>
      </c>
    </row>
    <row r="16" customFormat="false" ht="31.5" hidden="false" customHeight="true" outlineLevel="0" collapsed="false">
      <c r="A16" s="9" t="s">
        <v>18</v>
      </c>
      <c r="B16" s="9" t="s">
        <v>19</v>
      </c>
      <c r="C16" s="10" t="s">
        <v>20</v>
      </c>
      <c r="D16" s="10" t="s">
        <v>21</v>
      </c>
      <c r="E16" s="10" t="s">
        <v>22</v>
      </c>
      <c r="F16" s="10" t="s">
        <v>23</v>
      </c>
      <c r="G16" s="9" t="s">
        <v>24</v>
      </c>
      <c r="H16" s="9" t="s">
        <v>9</v>
      </c>
      <c r="I16" s="9" t="s">
        <v>25</v>
      </c>
    </row>
    <row r="17" customFormat="false" ht="27.75" hidden="false" customHeight="true" outlineLevel="0" collapsed="false">
      <c r="A17" s="22" t="s">
        <v>26</v>
      </c>
      <c r="B17" s="23" t="s">
        <v>27</v>
      </c>
      <c r="C17" s="23" t="s">
        <v>28</v>
      </c>
      <c r="D17" s="24" t="n">
        <v>3626.82</v>
      </c>
      <c r="E17" s="25" t="n">
        <f aca="false">ROUND(D17*(1-요약!$C$5),2)</f>
        <v>3264.14</v>
      </c>
      <c r="F17" s="26" t="n">
        <f aca="false">ROUND(E17*요약!$C$4,0)</f>
        <v>4406589</v>
      </c>
      <c r="G17" s="22" t="s">
        <v>29</v>
      </c>
      <c r="H17" s="27" t="n">
        <v>6052610</v>
      </c>
      <c r="I17" s="28" t="s">
        <v>30</v>
      </c>
    </row>
    <row r="18" customFormat="false" ht="27.75" hidden="false" customHeight="true" outlineLevel="0" collapsed="false">
      <c r="A18" s="20" t="s">
        <v>31</v>
      </c>
      <c r="B18" s="29" t="s">
        <v>32</v>
      </c>
      <c r="C18" s="29" t="s">
        <v>33</v>
      </c>
      <c r="D18" s="30" t="n">
        <v>13972.82</v>
      </c>
      <c r="E18" s="31" t="n">
        <f aca="false">ROUND(D18*(1-요약!$C$5),2)</f>
        <v>12575.54</v>
      </c>
      <c r="F18" s="18" t="n">
        <f aca="false">ROUND(E18*요약!$C$4,0)</f>
        <v>16976979</v>
      </c>
      <c r="G18" s="20" t="s">
        <v>34</v>
      </c>
      <c r="H18" s="18"/>
      <c r="I18" s="20" t="s">
        <v>35</v>
      </c>
    </row>
    <row r="19" customFormat="false" ht="27.75" hidden="false" customHeight="true" outlineLevel="0" collapsed="false">
      <c r="A19" s="20" t="s">
        <v>36</v>
      </c>
      <c r="B19" s="29" t="s">
        <v>32</v>
      </c>
      <c r="C19" s="29" t="s">
        <v>37</v>
      </c>
      <c r="D19" s="30" t="n">
        <v>4425.72</v>
      </c>
      <c r="E19" s="31" t="n">
        <f aca="false">ROUND(D19*(1-요약!$C$5),2)</f>
        <v>3983.15</v>
      </c>
      <c r="F19" s="18" t="n">
        <f aca="false">ROUND(E19*요약!$C$4,0)</f>
        <v>5377253</v>
      </c>
      <c r="G19" s="20" t="s">
        <v>34</v>
      </c>
      <c r="H19" s="18"/>
      <c r="I19" s="20" t="s">
        <v>38</v>
      </c>
    </row>
    <row r="20" customFormat="false" ht="27.75" hidden="false" customHeight="true" outlineLevel="0" collapsed="false">
      <c r="A20" s="20" t="s">
        <v>39</v>
      </c>
      <c r="B20" s="29" t="s">
        <v>27</v>
      </c>
      <c r="C20" s="29" t="s">
        <v>40</v>
      </c>
      <c r="D20" s="30" t="n">
        <v>3524.31</v>
      </c>
      <c r="E20" s="31" t="n">
        <f aca="false">ROUND(D20*(1-요약!$C$5),2)</f>
        <v>3171.88</v>
      </c>
      <c r="F20" s="18" t="n">
        <f aca="false">ROUND(E20*요약!$C$4,0)</f>
        <v>4282038</v>
      </c>
      <c r="G20" s="20" t="s">
        <v>34</v>
      </c>
      <c r="H20" s="18"/>
      <c r="I20" s="20" t="s">
        <v>35</v>
      </c>
    </row>
    <row r="21" customFormat="false" ht="27.75" hidden="false" customHeight="true" outlineLevel="0" collapsed="false">
      <c r="A21" s="20" t="s">
        <v>41</v>
      </c>
      <c r="B21" s="29" t="s">
        <v>27</v>
      </c>
      <c r="C21" s="29" t="s">
        <v>42</v>
      </c>
      <c r="D21" s="30" t="n">
        <v>12854.27</v>
      </c>
      <c r="E21" s="31" t="n">
        <f aca="false">ROUND(D21*(1-요약!$C$5),2)</f>
        <v>11568.84</v>
      </c>
      <c r="F21" s="18" t="n">
        <f aca="false">ROUND(E21*요약!$C$4,0)</f>
        <v>15617934</v>
      </c>
      <c r="G21" s="20" t="s">
        <v>34</v>
      </c>
      <c r="H21" s="18"/>
      <c r="I21" s="20" t="s">
        <v>35</v>
      </c>
    </row>
    <row r="22" customFormat="false" ht="27.75" hidden="false" customHeight="true" outlineLevel="0" collapsed="false">
      <c r="A22" s="20" t="s">
        <v>43</v>
      </c>
      <c r="B22" s="29" t="s">
        <v>27</v>
      </c>
      <c r="C22" s="29" t="s">
        <v>34</v>
      </c>
      <c r="D22" s="31"/>
      <c r="E22" s="31"/>
      <c r="F22" s="18"/>
      <c r="G22" s="20" t="s">
        <v>44</v>
      </c>
      <c r="H22" s="32" t="n">
        <v>885500</v>
      </c>
      <c r="I22" s="16" t="s">
        <v>45</v>
      </c>
    </row>
    <row r="23" customFormat="false" ht="27.75" hidden="false" customHeight="true" outlineLevel="0" collapsed="false">
      <c r="A23" s="20" t="s">
        <v>46</v>
      </c>
      <c r="B23" s="29" t="s">
        <v>27</v>
      </c>
      <c r="C23" s="29" t="s">
        <v>34</v>
      </c>
      <c r="D23" s="31"/>
      <c r="E23" s="31"/>
      <c r="F23" s="18"/>
      <c r="G23" s="20" t="s">
        <v>47</v>
      </c>
      <c r="H23" s="32" t="n">
        <v>12514360</v>
      </c>
      <c r="I23" s="16" t="s">
        <v>45</v>
      </c>
    </row>
    <row r="24" customFormat="false" ht="27.75" hidden="false" customHeight="true" outlineLevel="0" collapsed="false">
      <c r="A24" s="20" t="s">
        <v>48</v>
      </c>
      <c r="B24" s="29" t="s">
        <v>27</v>
      </c>
      <c r="C24" s="29" t="s">
        <v>34</v>
      </c>
      <c r="D24" s="31"/>
      <c r="E24" s="31"/>
      <c r="F24" s="18"/>
      <c r="G24" s="20" t="s">
        <v>49</v>
      </c>
      <c r="H24" s="32" t="n">
        <v>7903740</v>
      </c>
      <c r="I24" s="16" t="s">
        <v>45</v>
      </c>
    </row>
    <row r="25" customFormat="false" ht="27.75" hidden="false" customHeight="true" outlineLevel="0" collapsed="false">
      <c r="A25" s="20" t="s">
        <v>50</v>
      </c>
      <c r="B25" s="29" t="s">
        <v>27</v>
      </c>
      <c r="C25" s="29" t="s">
        <v>34</v>
      </c>
      <c r="D25" s="31"/>
      <c r="E25" s="31"/>
      <c r="F25" s="18"/>
      <c r="G25" s="20" t="s">
        <v>51</v>
      </c>
      <c r="H25" s="32" t="n">
        <v>3112780</v>
      </c>
      <c r="I25" s="16" t="s">
        <v>45</v>
      </c>
    </row>
    <row r="26" customFormat="false" ht="30" hidden="false" customHeight="true" outlineLevel="0" collapsed="false">
      <c r="A26" s="33" t="s">
        <v>52</v>
      </c>
      <c r="B26" s="34"/>
      <c r="C26" s="34"/>
      <c r="D26" s="35" t="n">
        <f aca="false">SUM(D17:D25)</f>
        <v>38403.94</v>
      </c>
      <c r="E26" s="35" t="n">
        <f aca="false">SUM(E17:E25)</f>
        <v>34563.55</v>
      </c>
      <c r="F26" s="36" t="n">
        <f aca="false">SUM(F17:F25)</f>
        <v>46660793</v>
      </c>
      <c r="G26" s="33"/>
      <c r="H26" s="36" t="n">
        <f aca="false">SUM(H17:H25)</f>
        <v>30468990</v>
      </c>
      <c r="I26" s="33"/>
    </row>
    <row r="27" customFormat="false" ht="15" hidden="false" customHeight="false" outlineLevel="0" collapsed="false">
      <c r="A27" s="2" t="s">
        <v>53</v>
      </c>
    </row>
    <row r="29" customFormat="false" ht="15" hidden="false" customHeight="false" outlineLevel="0" collapsed="false">
      <c r="A29" s="8" t="s">
        <v>54</v>
      </c>
    </row>
    <row r="30" customFormat="false" ht="39.75" hidden="false" customHeight="true" outlineLevel="0" collapsed="false">
      <c r="A30" s="37" t="s">
        <v>55</v>
      </c>
      <c r="B30" s="37"/>
      <c r="C30" s="37"/>
      <c r="D30" s="37"/>
      <c r="E30" s="37"/>
      <c r="F30" s="37"/>
      <c r="G30" s="37"/>
      <c r="H30" s="37"/>
      <c r="I30" s="37"/>
    </row>
    <row r="31" customFormat="false" ht="39.75" hidden="false" customHeight="true" outlineLevel="0" collapsed="false">
      <c r="A31" s="37" t="s">
        <v>56</v>
      </c>
      <c r="B31" s="37"/>
      <c r="C31" s="37"/>
      <c r="D31" s="37"/>
      <c r="E31" s="37"/>
      <c r="F31" s="37"/>
      <c r="G31" s="37"/>
      <c r="H31" s="37"/>
      <c r="I31" s="37"/>
    </row>
    <row r="32" customFormat="false" ht="39.75" hidden="false" customHeight="true" outlineLevel="0" collapsed="false">
      <c r="A32" s="37" t="s">
        <v>57</v>
      </c>
      <c r="B32" s="37"/>
      <c r="C32" s="37"/>
      <c r="D32" s="37"/>
      <c r="E32" s="37"/>
      <c r="F32" s="37"/>
      <c r="G32" s="37"/>
      <c r="H32" s="37"/>
      <c r="I32" s="37"/>
    </row>
    <row r="33" customFormat="false" ht="39.75" hidden="false" customHeight="true" outlineLevel="0" collapsed="false">
      <c r="A33" s="37" t="s">
        <v>58</v>
      </c>
      <c r="B33" s="37"/>
      <c r="C33" s="37"/>
      <c r="D33" s="37"/>
      <c r="E33" s="37"/>
      <c r="F33" s="37"/>
      <c r="G33" s="37"/>
      <c r="H33" s="37"/>
      <c r="I33" s="37"/>
    </row>
    <row r="34" customFormat="false" ht="39.75" hidden="false" customHeight="true" outlineLevel="0" collapsed="false">
      <c r="A34" s="37" t="s">
        <v>59</v>
      </c>
      <c r="B34" s="37"/>
      <c r="C34" s="37"/>
      <c r="D34" s="37"/>
      <c r="E34" s="37"/>
      <c r="F34" s="37"/>
      <c r="G34" s="37"/>
      <c r="H34" s="37"/>
      <c r="I34" s="37"/>
    </row>
    <row r="35" customFormat="false" ht="39.75" hidden="false" customHeight="true" outlineLevel="0" collapsed="false">
      <c r="A35" s="37" t="s">
        <v>60</v>
      </c>
      <c r="B35" s="37"/>
      <c r="C35" s="37"/>
      <c r="D35" s="37"/>
      <c r="E35" s="37"/>
      <c r="F35" s="37"/>
      <c r="G35" s="37"/>
      <c r="H35" s="37"/>
      <c r="I35" s="37"/>
    </row>
    <row r="36" customFormat="false" ht="39.75" hidden="false" customHeight="true" outlineLevel="0" collapsed="false">
      <c r="A36" s="37" t="s">
        <v>61</v>
      </c>
      <c r="B36" s="37"/>
      <c r="C36" s="37"/>
      <c r="D36" s="37"/>
      <c r="E36" s="37"/>
      <c r="F36" s="37"/>
      <c r="G36" s="37"/>
      <c r="H36" s="37"/>
      <c r="I36" s="37"/>
    </row>
  </sheetData>
  <mergeCells count="11">
    <mergeCell ref="A8:B8"/>
    <mergeCell ref="A9:B9"/>
    <mergeCell ref="A10:B10"/>
    <mergeCell ref="A11:B11"/>
    <mergeCell ref="A30:I30"/>
    <mergeCell ref="A31:I31"/>
    <mergeCell ref="A32:I32"/>
    <mergeCell ref="A33:I33"/>
    <mergeCell ref="A34:I34"/>
    <mergeCell ref="A35:I35"/>
    <mergeCell ref="A36:I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0"/>
    <col collapsed="false" customWidth="true" hidden="false" outlineLevel="0" max="3" min="3" style="0" width="9"/>
    <col collapsed="false" customWidth="true" hidden="false" outlineLevel="0" max="4" min="4" style="0" width="44"/>
    <col collapsed="false" customWidth="true" hidden="false" outlineLevel="0" max="6" min="5" style="0" width="6"/>
    <col collapsed="false" customWidth="true" hidden="false" outlineLevel="0" max="7" min="7" style="0" width="11"/>
    <col collapsed="false" customWidth="true" hidden="false" outlineLevel="0" max="9" min="8" style="0" width="13"/>
    <col collapsed="false" customWidth="true" hidden="false" outlineLevel="0" max="10" min="10" style="0" width="12"/>
    <col collapsed="false" customWidth="true" hidden="false" outlineLevel="0" max="11" min="11" style="0" width="13"/>
    <col collapsed="false" customWidth="true" hidden="false" outlineLevel="0" max="12" min="12" style="0" width="14"/>
    <col collapsed="false" customWidth="true" hidden="false" outlineLevel="0" max="13" min="13" style="0" width="9"/>
    <col collapsed="false" customWidth="true" hidden="false" outlineLevel="0" max="14" min="14" style="0" width="11"/>
    <col collapsed="false" customWidth="true" hidden="false" outlineLevel="0" max="15" min="15" style="0" width="46"/>
  </cols>
  <sheetData>
    <row r="1" customFormat="false" ht="20.1" hidden="false" customHeight="false" outlineLevel="0" collapsed="false">
      <c r="A1" s="38" t="s">
        <v>62</v>
      </c>
    </row>
    <row r="2" customFormat="false" ht="15" hidden="false" customHeight="false" outlineLevel="0" collapsed="false">
      <c r="A2" s="7" t="s">
        <v>63</v>
      </c>
    </row>
    <row r="4" customFormat="false" ht="42" hidden="false" customHeight="true" outlineLevel="0" collapsed="false">
      <c r="A4" s="9" t="s">
        <v>7</v>
      </c>
      <c r="B4" s="9" t="s">
        <v>64</v>
      </c>
      <c r="C4" s="10" t="s">
        <v>65</v>
      </c>
      <c r="D4" s="9" t="s">
        <v>66</v>
      </c>
      <c r="E4" s="9" t="s">
        <v>67</v>
      </c>
      <c r="F4" s="9" t="s">
        <v>68</v>
      </c>
      <c r="G4" s="10" t="s">
        <v>69</v>
      </c>
      <c r="H4" s="10" t="s">
        <v>70</v>
      </c>
      <c r="I4" s="10" t="s">
        <v>71</v>
      </c>
      <c r="J4" s="9" t="s">
        <v>72</v>
      </c>
      <c r="K4" s="9" t="s">
        <v>73</v>
      </c>
      <c r="L4" s="9" t="s">
        <v>74</v>
      </c>
      <c r="M4" s="9" t="s">
        <v>11</v>
      </c>
      <c r="N4" s="9" t="s">
        <v>75</v>
      </c>
      <c r="O4" s="9" t="s">
        <v>76</v>
      </c>
    </row>
    <row r="5" customFormat="false" ht="15" hidden="false" customHeight="false" outlineLevel="0" collapsed="false">
      <c r="A5" s="39" t="s">
        <v>77</v>
      </c>
      <c r="B5" s="39" t="n">
        <v>1</v>
      </c>
      <c r="C5" s="39" t="n">
        <v>1</v>
      </c>
      <c r="D5" s="20" t="s">
        <v>78</v>
      </c>
      <c r="E5" s="16" t="n">
        <v>1</v>
      </c>
      <c r="F5" s="20" t="s">
        <v>79</v>
      </c>
      <c r="G5" s="30" t="n">
        <v>77.85</v>
      </c>
      <c r="H5" s="18" t="n">
        <f aca="false">ROUND(G5*요약!$C$4*(1-요약!$C$5),0)</f>
        <v>94588</v>
      </c>
      <c r="I5" s="18" t="n">
        <f aca="false">E5*H5</f>
        <v>94588</v>
      </c>
      <c r="J5" s="32" t="n">
        <v>106480</v>
      </c>
      <c r="K5" s="18" t="n">
        <f aca="false">E5*J5</f>
        <v>106480</v>
      </c>
      <c r="L5" s="18" t="n">
        <f aca="false">K5-I5</f>
        <v>11892</v>
      </c>
      <c r="M5" s="19" t="n">
        <f aca="false">IF(I5=0,"",K5/I5-1)</f>
        <v>0.125724193343765</v>
      </c>
      <c r="N5" s="20" t="str">
        <f aca="false">IF(L5&gt;0,"CENTRAL",IF(L5&lt;0,"네오맥스","동일"))</f>
        <v>CENTRAL</v>
      </c>
      <c r="O5" s="16"/>
    </row>
    <row r="6" customFormat="false" ht="15" hidden="false" customHeight="false" outlineLevel="0" collapsed="false">
      <c r="A6" s="39" t="s">
        <v>77</v>
      </c>
      <c r="B6" s="39" t="n">
        <v>2</v>
      </c>
      <c r="C6" s="39" t="n">
        <v>2</v>
      </c>
      <c r="D6" s="20" t="s">
        <v>80</v>
      </c>
      <c r="E6" s="16" t="n">
        <v>1</v>
      </c>
      <c r="F6" s="20" t="s">
        <v>79</v>
      </c>
      <c r="G6" s="30" t="n">
        <v>129.15</v>
      </c>
      <c r="H6" s="18" t="n">
        <f aca="false">ROUND(G6*요약!$C$4*(1-요약!$C$5),0)</f>
        <v>156917</v>
      </c>
      <c r="I6" s="18" t="n">
        <f aca="false">E6*H6</f>
        <v>156917</v>
      </c>
      <c r="J6" s="32" t="n">
        <v>176660</v>
      </c>
      <c r="K6" s="18" t="n">
        <f aca="false">E6*J6</f>
        <v>176660</v>
      </c>
      <c r="L6" s="18" t="n">
        <f aca="false">K6-I6</f>
        <v>19743</v>
      </c>
      <c r="M6" s="19" t="n">
        <f aca="false">IF(I6=0,"",K6/I6-1)</f>
        <v>0.125818107662012</v>
      </c>
      <c r="N6" s="20" t="str">
        <f aca="false">IF(L6&gt;0,"CENTRAL",IF(L6&lt;0,"네오맥스","동일"))</f>
        <v>CENTRAL</v>
      </c>
      <c r="O6" s="16"/>
    </row>
    <row r="7" customFormat="false" ht="15" hidden="false" customHeight="false" outlineLevel="0" collapsed="false">
      <c r="A7" s="39" t="s">
        <v>77</v>
      </c>
      <c r="B7" s="39" t="n">
        <v>3</v>
      </c>
      <c r="C7" s="39" t="n">
        <v>3</v>
      </c>
      <c r="D7" s="20" t="s">
        <v>81</v>
      </c>
      <c r="E7" s="16" t="n">
        <v>1</v>
      </c>
      <c r="F7" s="20" t="s">
        <v>79</v>
      </c>
      <c r="G7" s="30" t="n">
        <v>129.15</v>
      </c>
      <c r="H7" s="18" t="n">
        <f aca="false">ROUND(G7*요약!$C$4*(1-요약!$C$5),0)</f>
        <v>156917</v>
      </c>
      <c r="I7" s="18" t="n">
        <f aca="false">E7*H7</f>
        <v>156917</v>
      </c>
      <c r="J7" s="32" t="n">
        <v>176660</v>
      </c>
      <c r="K7" s="18" t="n">
        <f aca="false">E7*J7</f>
        <v>176660</v>
      </c>
      <c r="L7" s="18" t="n">
        <f aca="false">K7-I7</f>
        <v>19743</v>
      </c>
      <c r="M7" s="19" t="n">
        <f aca="false">IF(I7=0,"",K7/I7-1)</f>
        <v>0.125818107662012</v>
      </c>
      <c r="N7" s="20" t="str">
        <f aca="false">IF(L7&gt;0,"CENTRAL",IF(L7&lt;0,"네오맥스","동일"))</f>
        <v>CENTRAL</v>
      </c>
      <c r="O7" s="16"/>
    </row>
    <row r="8" customFormat="false" ht="15" hidden="false" customHeight="false" outlineLevel="0" collapsed="false">
      <c r="A8" s="39" t="s">
        <v>77</v>
      </c>
      <c r="B8" s="39" t="n">
        <v>4</v>
      </c>
      <c r="C8" s="39" t="n">
        <v>4</v>
      </c>
      <c r="D8" s="20" t="s">
        <v>82</v>
      </c>
      <c r="E8" s="16" t="n">
        <v>1</v>
      </c>
      <c r="F8" s="20" t="s">
        <v>79</v>
      </c>
      <c r="G8" s="30" t="n">
        <v>129.15</v>
      </c>
      <c r="H8" s="18" t="n">
        <f aca="false">ROUND(G8*요약!$C$4*(1-요약!$C$5),0)</f>
        <v>156917</v>
      </c>
      <c r="I8" s="18" t="n">
        <f aca="false">E8*H8</f>
        <v>156917</v>
      </c>
      <c r="J8" s="32" t="n">
        <v>176660</v>
      </c>
      <c r="K8" s="18" t="n">
        <f aca="false">E8*J8</f>
        <v>176660</v>
      </c>
      <c r="L8" s="18" t="n">
        <f aca="false">K8-I8</f>
        <v>19743</v>
      </c>
      <c r="M8" s="19" t="n">
        <f aca="false">IF(I8=0,"",K8/I8-1)</f>
        <v>0.125818107662012</v>
      </c>
      <c r="N8" s="20" t="str">
        <f aca="false">IF(L8&gt;0,"CENTRAL",IF(L8&lt;0,"네오맥스","동일"))</f>
        <v>CENTRAL</v>
      </c>
      <c r="O8" s="16"/>
    </row>
    <row r="9" customFormat="false" ht="15" hidden="false" customHeight="false" outlineLevel="0" collapsed="false">
      <c r="A9" s="39" t="s">
        <v>77</v>
      </c>
      <c r="B9" s="39" t="n">
        <v>5</v>
      </c>
      <c r="C9" s="39" t="n">
        <v>5</v>
      </c>
      <c r="D9" s="20" t="s">
        <v>83</v>
      </c>
      <c r="E9" s="16" t="n">
        <v>5</v>
      </c>
      <c r="F9" s="20" t="s">
        <v>79</v>
      </c>
      <c r="G9" s="30" t="n">
        <v>21.23</v>
      </c>
      <c r="H9" s="18" t="n">
        <f aca="false">ROUND(G9*요약!$C$4*(1-요약!$C$5),0)</f>
        <v>25794</v>
      </c>
      <c r="I9" s="18" t="n">
        <f aca="false">E9*H9</f>
        <v>128970</v>
      </c>
      <c r="J9" s="32" t="n">
        <v>29040</v>
      </c>
      <c r="K9" s="18" t="n">
        <f aca="false">E9*J9</f>
        <v>145200</v>
      </c>
      <c r="L9" s="18" t="n">
        <f aca="false">K9-I9</f>
        <v>16230</v>
      </c>
      <c r="M9" s="19" t="n">
        <f aca="false">IF(I9=0,"",K9/I9-1)</f>
        <v>0.125843219353338</v>
      </c>
      <c r="N9" s="20" t="str">
        <f aca="false">IF(L9&gt;0,"CENTRAL",IF(L9&lt;0,"네오맥스","동일"))</f>
        <v>CENTRAL</v>
      </c>
      <c r="O9" s="16"/>
    </row>
    <row r="10" customFormat="false" ht="15" hidden="false" customHeight="false" outlineLevel="0" collapsed="false">
      <c r="A10" s="39" t="s">
        <v>77</v>
      </c>
      <c r="B10" s="39" t="n">
        <v>6</v>
      </c>
      <c r="C10" s="39" t="n">
        <v>6</v>
      </c>
      <c r="D10" s="20" t="s">
        <v>84</v>
      </c>
      <c r="E10" s="16" t="n">
        <v>3</v>
      </c>
      <c r="F10" s="20" t="s">
        <v>79</v>
      </c>
      <c r="G10" s="30" t="n">
        <v>12.38</v>
      </c>
      <c r="H10" s="18" t="n">
        <f aca="false">ROUND(G10*요약!$C$4*(1-요약!$C$5),0)</f>
        <v>15042</v>
      </c>
      <c r="I10" s="18" t="n">
        <f aca="false">E10*H10</f>
        <v>45126</v>
      </c>
      <c r="J10" s="32" t="n">
        <v>16940</v>
      </c>
      <c r="K10" s="18" t="n">
        <f aca="false">E10*J10</f>
        <v>50820</v>
      </c>
      <c r="L10" s="18" t="n">
        <f aca="false">K10-I10</f>
        <v>5694</v>
      </c>
      <c r="M10" s="19" t="n">
        <f aca="false">IF(I10=0,"",K10/I10-1)</f>
        <v>0.126180029251429</v>
      </c>
      <c r="N10" s="20" t="str">
        <f aca="false">IF(L10&gt;0,"CENTRAL",IF(L10&lt;0,"네오맥스","동일"))</f>
        <v>CENTRAL</v>
      </c>
      <c r="O10" s="16"/>
    </row>
    <row r="11" customFormat="false" ht="15" hidden="false" customHeight="false" outlineLevel="0" collapsed="false">
      <c r="A11" s="39" t="s">
        <v>77</v>
      </c>
      <c r="B11" s="39" t="n">
        <v>7</v>
      </c>
      <c r="C11" s="39" t="n">
        <v>7</v>
      </c>
      <c r="D11" s="20" t="s">
        <v>85</v>
      </c>
      <c r="E11" s="16" t="n">
        <v>4</v>
      </c>
      <c r="F11" s="20" t="s">
        <v>79</v>
      </c>
      <c r="G11" s="30" t="n">
        <v>12.38</v>
      </c>
      <c r="H11" s="18" t="n">
        <f aca="false">ROUND(G11*요약!$C$4*(1-요약!$C$5),0)</f>
        <v>15042</v>
      </c>
      <c r="I11" s="18" t="n">
        <f aca="false">E11*H11</f>
        <v>60168</v>
      </c>
      <c r="J11" s="32" t="n">
        <v>16940</v>
      </c>
      <c r="K11" s="18" t="n">
        <f aca="false">E11*J11</f>
        <v>67760</v>
      </c>
      <c r="L11" s="18" t="n">
        <f aca="false">K11-I11</f>
        <v>7592</v>
      </c>
      <c r="M11" s="19" t="n">
        <f aca="false">IF(I11=0,"",K11/I11-1)</f>
        <v>0.126180029251429</v>
      </c>
      <c r="N11" s="20" t="str">
        <f aca="false">IF(L11&gt;0,"CENTRAL",IF(L11&lt;0,"네오맥스","동일"))</f>
        <v>CENTRAL</v>
      </c>
      <c r="O11" s="16"/>
    </row>
    <row r="12" customFormat="false" ht="15" hidden="false" customHeight="false" outlineLevel="0" collapsed="false">
      <c r="A12" s="39" t="s">
        <v>77</v>
      </c>
      <c r="B12" s="39" t="n">
        <v>8</v>
      </c>
      <c r="C12" s="39" t="n">
        <v>8</v>
      </c>
      <c r="D12" s="20" t="s">
        <v>86</v>
      </c>
      <c r="E12" s="16" t="n">
        <v>3</v>
      </c>
      <c r="F12" s="20" t="s">
        <v>79</v>
      </c>
      <c r="G12" s="30" t="n">
        <v>12.38</v>
      </c>
      <c r="H12" s="18" t="n">
        <f aca="false">ROUND(G12*요약!$C$4*(1-요약!$C$5),0)</f>
        <v>15042</v>
      </c>
      <c r="I12" s="18" t="n">
        <f aca="false">E12*H12</f>
        <v>45126</v>
      </c>
      <c r="J12" s="32" t="n">
        <v>16940</v>
      </c>
      <c r="K12" s="18" t="n">
        <f aca="false">E12*J12</f>
        <v>50820</v>
      </c>
      <c r="L12" s="18" t="n">
        <f aca="false">K12-I12</f>
        <v>5694</v>
      </c>
      <c r="M12" s="19" t="n">
        <f aca="false">IF(I12=0,"",K12/I12-1)</f>
        <v>0.126180029251429</v>
      </c>
      <c r="N12" s="20" t="str">
        <f aca="false">IF(L12&gt;0,"CENTRAL",IF(L12&lt;0,"네오맥스","동일"))</f>
        <v>CENTRAL</v>
      </c>
      <c r="O12" s="16"/>
    </row>
    <row r="13" customFormat="false" ht="15" hidden="false" customHeight="false" outlineLevel="0" collapsed="false">
      <c r="A13" s="39" t="s">
        <v>77</v>
      </c>
      <c r="B13" s="39" t="n">
        <v>9</v>
      </c>
      <c r="C13" s="39" t="n">
        <v>9</v>
      </c>
      <c r="D13" s="20" t="s">
        <v>87</v>
      </c>
      <c r="E13" s="16" t="n">
        <v>2</v>
      </c>
      <c r="F13" s="20" t="s">
        <v>79</v>
      </c>
      <c r="G13" s="30" t="n">
        <v>15.92</v>
      </c>
      <c r="H13" s="18" t="n">
        <f aca="false">ROUND(G13*요약!$C$4*(1-요약!$C$5),0)</f>
        <v>19343</v>
      </c>
      <c r="I13" s="18" t="n">
        <f aca="false">E13*H13</f>
        <v>38686</v>
      </c>
      <c r="J13" s="32" t="n">
        <v>21780</v>
      </c>
      <c r="K13" s="18" t="n">
        <f aca="false">E13*J13</f>
        <v>43560</v>
      </c>
      <c r="L13" s="18" t="n">
        <f aca="false">K13-I13</f>
        <v>4874</v>
      </c>
      <c r="M13" s="19" t="n">
        <f aca="false">IF(I13=0,"",K13/I13-1)</f>
        <v>0.125988729773044</v>
      </c>
      <c r="N13" s="20" t="str">
        <f aca="false">IF(L13&gt;0,"CENTRAL",IF(L13&lt;0,"네오맥스","동일"))</f>
        <v>CENTRAL</v>
      </c>
      <c r="O13" s="16"/>
    </row>
    <row r="14" customFormat="false" ht="15" hidden="false" customHeight="false" outlineLevel="0" collapsed="false">
      <c r="A14" s="39" t="s">
        <v>77</v>
      </c>
      <c r="B14" s="39" t="n">
        <v>10</v>
      </c>
      <c r="C14" s="39" t="n">
        <v>10</v>
      </c>
      <c r="D14" s="20" t="s">
        <v>88</v>
      </c>
      <c r="E14" s="16" t="n">
        <v>3</v>
      </c>
      <c r="F14" s="20" t="s">
        <v>79</v>
      </c>
      <c r="G14" s="30" t="n">
        <v>78.73</v>
      </c>
      <c r="H14" s="18" t="n">
        <f aca="false">ROUND(G14*요약!$C$4*(1-요약!$C$5),0)</f>
        <v>95657</v>
      </c>
      <c r="I14" s="18" t="n">
        <f aca="false">E14*H14</f>
        <v>286971</v>
      </c>
      <c r="J14" s="32" t="n">
        <v>100430</v>
      </c>
      <c r="K14" s="18" t="n">
        <f aca="false">E14*J14</f>
        <v>301290</v>
      </c>
      <c r="L14" s="18" t="n">
        <f aca="false">K14-I14</f>
        <v>14319</v>
      </c>
      <c r="M14" s="19" t="n">
        <f aca="false">IF(I14=0,"",K14/I14-1)</f>
        <v>0.049897027922682</v>
      </c>
      <c r="N14" s="20" t="str">
        <f aca="false">IF(L14&gt;0,"CENTRAL",IF(L14&lt;0,"네오맥스","동일"))</f>
        <v>CENTRAL</v>
      </c>
      <c r="O14" s="20" t="s">
        <v>89</v>
      </c>
    </row>
    <row r="15" customFormat="false" ht="15" hidden="false" customHeight="false" outlineLevel="0" collapsed="false">
      <c r="A15" s="39" t="s">
        <v>77</v>
      </c>
      <c r="B15" s="39" t="n">
        <v>11</v>
      </c>
      <c r="C15" s="39" t="n">
        <v>11</v>
      </c>
      <c r="D15" s="20" t="s">
        <v>90</v>
      </c>
      <c r="E15" s="16" t="n">
        <v>2</v>
      </c>
      <c r="F15" s="20" t="s">
        <v>79</v>
      </c>
      <c r="G15" s="30" t="n">
        <v>78.73</v>
      </c>
      <c r="H15" s="18" t="n">
        <f aca="false">ROUND(G15*요약!$C$4*(1-요약!$C$5),0)</f>
        <v>95657</v>
      </c>
      <c r="I15" s="18" t="n">
        <f aca="false">E15*H15</f>
        <v>191314</v>
      </c>
      <c r="J15" s="32" t="n">
        <v>107690</v>
      </c>
      <c r="K15" s="18" t="n">
        <f aca="false">E15*J15</f>
        <v>215380</v>
      </c>
      <c r="L15" s="18" t="n">
        <f aca="false">K15-I15</f>
        <v>24066</v>
      </c>
      <c r="M15" s="19" t="n">
        <f aca="false">IF(I15=0,"",K15/I15-1)</f>
        <v>0.125793198615888</v>
      </c>
      <c r="N15" s="20" t="str">
        <f aca="false">IF(L15&gt;0,"CENTRAL",IF(L15&lt;0,"네오맥스","동일"))</f>
        <v>CENTRAL</v>
      </c>
      <c r="O15" s="16"/>
    </row>
    <row r="16" customFormat="false" ht="15" hidden="false" customHeight="false" outlineLevel="0" collapsed="false">
      <c r="A16" s="39" t="s">
        <v>77</v>
      </c>
      <c r="B16" s="39" t="n">
        <v>12</v>
      </c>
      <c r="C16" s="39" t="n">
        <v>12</v>
      </c>
      <c r="D16" s="20" t="s">
        <v>91</v>
      </c>
      <c r="E16" s="16" t="n">
        <v>5</v>
      </c>
      <c r="F16" s="20" t="s">
        <v>79</v>
      </c>
      <c r="G16" s="30" t="n">
        <v>78.73</v>
      </c>
      <c r="H16" s="18" t="n">
        <f aca="false">ROUND(G16*요약!$C$4*(1-요약!$C$5),0)</f>
        <v>95657</v>
      </c>
      <c r="I16" s="18" t="n">
        <f aca="false">E16*H16</f>
        <v>478285</v>
      </c>
      <c r="J16" s="32" t="n">
        <v>107690</v>
      </c>
      <c r="K16" s="18" t="n">
        <f aca="false">E16*J16</f>
        <v>538450</v>
      </c>
      <c r="L16" s="18" t="n">
        <f aca="false">K16-I16</f>
        <v>60165</v>
      </c>
      <c r="M16" s="19" t="n">
        <f aca="false">IF(I16=0,"",K16/I16-1)</f>
        <v>0.125793198615888</v>
      </c>
      <c r="N16" s="20" t="str">
        <f aca="false">IF(L16&gt;0,"CENTRAL",IF(L16&lt;0,"네오맥스","동일"))</f>
        <v>CENTRAL</v>
      </c>
      <c r="O16" s="16"/>
    </row>
    <row r="17" customFormat="false" ht="15" hidden="false" customHeight="false" outlineLevel="0" collapsed="false">
      <c r="A17" s="39" t="s">
        <v>77</v>
      </c>
      <c r="B17" s="39" t="n">
        <v>13</v>
      </c>
      <c r="C17" s="39" t="n">
        <v>13</v>
      </c>
      <c r="D17" s="20" t="s">
        <v>92</v>
      </c>
      <c r="E17" s="16" t="n">
        <v>6</v>
      </c>
      <c r="F17" s="20" t="s">
        <v>79</v>
      </c>
      <c r="G17" s="30" t="n">
        <v>73.42</v>
      </c>
      <c r="H17" s="18" t="n">
        <f aca="false">ROUND(G17*요약!$C$4*(1-요약!$C$5),0)</f>
        <v>89205</v>
      </c>
      <c r="I17" s="18" t="n">
        <f aca="false">E17*H17</f>
        <v>535230</v>
      </c>
      <c r="J17" s="32" t="n">
        <v>107690</v>
      </c>
      <c r="K17" s="18" t="n">
        <f aca="false">E17*J17</f>
        <v>646140</v>
      </c>
      <c r="L17" s="18" t="n">
        <f aca="false">K17-I17</f>
        <v>110910</v>
      </c>
      <c r="M17" s="19" t="n">
        <f aca="false">IF(I17=0,"",K17/I17-1)</f>
        <v>0.207219326270949</v>
      </c>
      <c r="N17" s="20" t="str">
        <f aca="false">IF(L17&gt;0,"CENTRAL",IF(L17&lt;0,"네오맥스","동일"))</f>
        <v>CENTRAL</v>
      </c>
      <c r="O17" s="16"/>
    </row>
    <row r="18" customFormat="false" ht="15" hidden="false" customHeight="false" outlineLevel="0" collapsed="false">
      <c r="A18" s="39" t="s">
        <v>77</v>
      </c>
      <c r="B18" s="39" t="n">
        <v>14</v>
      </c>
      <c r="C18" s="39" t="n">
        <v>14</v>
      </c>
      <c r="D18" s="20" t="s">
        <v>93</v>
      </c>
      <c r="E18" s="16" t="n">
        <v>2</v>
      </c>
      <c r="F18" s="20" t="s">
        <v>79</v>
      </c>
      <c r="G18" s="30" t="n">
        <v>30.96</v>
      </c>
      <c r="H18" s="18" t="n">
        <f aca="false">ROUND(G18*요약!$C$4*(1-요약!$C$5),0)</f>
        <v>37616</v>
      </c>
      <c r="I18" s="18" t="n">
        <f aca="false">E18*H18</f>
        <v>75232</v>
      </c>
      <c r="J18" s="32" t="n">
        <v>42350</v>
      </c>
      <c r="K18" s="18" t="n">
        <f aca="false">E18*J18</f>
        <v>84700</v>
      </c>
      <c r="L18" s="18" t="n">
        <f aca="false">K18-I18</f>
        <v>9468</v>
      </c>
      <c r="M18" s="19" t="n">
        <f aca="false">IF(I18=0,"",K18/I18-1)</f>
        <v>0.125850701829009</v>
      </c>
      <c r="N18" s="20" t="str">
        <f aca="false">IF(L18&gt;0,"CENTRAL",IF(L18&lt;0,"네오맥스","동일"))</f>
        <v>CENTRAL</v>
      </c>
      <c r="O18" s="16"/>
    </row>
    <row r="19" customFormat="false" ht="15" hidden="false" customHeight="false" outlineLevel="0" collapsed="false">
      <c r="A19" s="39" t="s">
        <v>77</v>
      </c>
      <c r="B19" s="39" t="n">
        <v>15</v>
      </c>
      <c r="C19" s="39" t="n">
        <v>15</v>
      </c>
      <c r="D19" s="20" t="s">
        <v>94</v>
      </c>
      <c r="E19" s="16" t="n">
        <v>2</v>
      </c>
      <c r="F19" s="20" t="s">
        <v>79</v>
      </c>
      <c r="G19" s="30" t="n">
        <v>33.62</v>
      </c>
      <c r="H19" s="18" t="n">
        <f aca="false">ROUND(G19*요약!$C$4*(1-요약!$C$5),0)</f>
        <v>40848</v>
      </c>
      <c r="I19" s="18" t="n">
        <f aca="false">E19*H19</f>
        <v>81696</v>
      </c>
      <c r="J19" s="32" t="n">
        <v>45980</v>
      </c>
      <c r="K19" s="18" t="n">
        <f aca="false">E19*J19</f>
        <v>91960</v>
      </c>
      <c r="L19" s="18" t="n">
        <f aca="false">K19-I19</f>
        <v>10264</v>
      </c>
      <c r="M19" s="19" t="n">
        <f aca="false">IF(I19=0,"",K19/I19-1)</f>
        <v>0.125636506071289</v>
      </c>
      <c r="N19" s="20" t="str">
        <f aca="false">IF(L19&gt;0,"CENTRAL",IF(L19&lt;0,"네오맥스","동일"))</f>
        <v>CENTRAL</v>
      </c>
      <c r="O19" s="16"/>
    </row>
    <row r="20" customFormat="false" ht="15" hidden="false" customHeight="false" outlineLevel="0" collapsed="false">
      <c r="A20" s="39" t="s">
        <v>77</v>
      </c>
      <c r="B20" s="39" t="n">
        <v>16</v>
      </c>
      <c r="C20" s="39" t="n">
        <v>16</v>
      </c>
      <c r="D20" s="20" t="s">
        <v>95</v>
      </c>
      <c r="E20" s="16" t="n">
        <v>2</v>
      </c>
      <c r="F20" s="20" t="s">
        <v>79</v>
      </c>
      <c r="G20" s="30" t="n">
        <v>33.62</v>
      </c>
      <c r="H20" s="18" t="n">
        <f aca="false">ROUND(G20*요약!$C$4*(1-요약!$C$5),0)</f>
        <v>40848</v>
      </c>
      <c r="I20" s="18" t="n">
        <f aca="false">E20*H20</f>
        <v>81696</v>
      </c>
      <c r="J20" s="32" t="n">
        <v>45980</v>
      </c>
      <c r="K20" s="18" t="n">
        <f aca="false">E20*J20</f>
        <v>91960</v>
      </c>
      <c r="L20" s="18" t="n">
        <f aca="false">K20-I20</f>
        <v>10264</v>
      </c>
      <c r="M20" s="19" t="n">
        <f aca="false">IF(I20=0,"",K20/I20-1)</f>
        <v>0.125636506071289</v>
      </c>
      <c r="N20" s="20" t="str">
        <f aca="false">IF(L20&gt;0,"CENTRAL",IF(L20&lt;0,"네오맥스","동일"))</f>
        <v>CENTRAL</v>
      </c>
      <c r="O20" s="16"/>
    </row>
    <row r="21" customFormat="false" ht="15" hidden="false" customHeight="false" outlineLevel="0" collapsed="false">
      <c r="A21" s="39" t="s">
        <v>77</v>
      </c>
      <c r="B21" s="39" t="n">
        <v>17</v>
      </c>
      <c r="C21" s="39" t="n">
        <v>17</v>
      </c>
      <c r="D21" s="20" t="s">
        <v>96</v>
      </c>
      <c r="E21" s="16" t="n">
        <v>2</v>
      </c>
      <c r="F21" s="20" t="s">
        <v>79</v>
      </c>
      <c r="G21" s="30" t="n">
        <v>33.62</v>
      </c>
      <c r="H21" s="18" t="n">
        <f aca="false">ROUND(G21*요약!$C$4*(1-요약!$C$5),0)</f>
        <v>40848</v>
      </c>
      <c r="I21" s="18" t="n">
        <f aca="false">E21*H21</f>
        <v>81696</v>
      </c>
      <c r="J21" s="32" t="n">
        <v>45980</v>
      </c>
      <c r="K21" s="18" t="n">
        <f aca="false">E21*J21</f>
        <v>91960</v>
      </c>
      <c r="L21" s="18" t="n">
        <f aca="false">K21-I21</f>
        <v>10264</v>
      </c>
      <c r="M21" s="19" t="n">
        <f aca="false">IF(I21=0,"",K21/I21-1)</f>
        <v>0.125636506071289</v>
      </c>
      <c r="N21" s="20" t="str">
        <f aca="false">IF(L21&gt;0,"CENTRAL",IF(L21&lt;0,"네오맥스","동일"))</f>
        <v>CENTRAL</v>
      </c>
      <c r="O21" s="16"/>
    </row>
    <row r="22" customFormat="false" ht="15" hidden="false" customHeight="false" outlineLevel="0" collapsed="false">
      <c r="A22" s="39" t="s">
        <v>77</v>
      </c>
      <c r="B22" s="39" t="n">
        <v>22</v>
      </c>
      <c r="C22" s="39" t="n">
        <v>20</v>
      </c>
      <c r="D22" s="20" t="s">
        <v>97</v>
      </c>
      <c r="E22" s="16" t="n">
        <v>2</v>
      </c>
      <c r="F22" s="20" t="s">
        <v>79</v>
      </c>
      <c r="G22" s="30" t="n">
        <v>6.19</v>
      </c>
      <c r="H22" s="18" t="n">
        <f aca="false">ROUND(G22*요약!$C$4*(1-요약!$C$5),0)</f>
        <v>7521</v>
      </c>
      <c r="I22" s="18" t="n">
        <f aca="false">E22*H22</f>
        <v>15042</v>
      </c>
      <c r="J22" s="32" t="n">
        <v>8470</v>
      </c>
      <c r="K22" s="18" t="n">
        <f aca="false">E22*J22</f>
        <v>16940</v>
      </c>
      <c r="L22" s="18" t="n">
        <f aca="false">K22-I22</f>
        <v>1898</v>
      </c>
      <c r="M22" s="19" t="n">
        <f aca="false">IF(I22=0,"",K22/I22-1)</f>
        <v>0.126180029251429</v>
      </c>
      <c r="N22" s="20" t="str">
        <f aca="false">IF(L22&gt;0,"CENTRAL",IF(L22&lt;0,"네오맥스","동일"))</f>
        <v>CENTRAL</v>
      </c>
      <c r="O22" s="16"/>
    </row>
    <row r="23" customFormat="false" ht="15" hidden="false" customHeight="false" outlineLevel="0" collapsed="false">
      <c r="A23" s="39" t="s">
        <v>77</v>
      </c>
      <c r="B23" s="39" t="n">
        <v>23</v>
      </c>
      <c r="C23" s="39" t="n">
        <v>21</v>
      </c>
      <c r="D23" s="20" t="s">
        <v>98</v>
      </c>
      <c r="E23" s="16" t="n">
        <v>2</v>
      </c>
      <c r="F23" s="20" t="s">
        <v>79</v>
      </c>
      <c r="G23" s="30" t="n">
        <v>7.96</v>
      </c>
      <c r="H23" s="18" t="n">
        <f aca="false">ROUND(G23*요약!$C$4*(1-요약!$C$5),0)</f>
        <v>9671</v>
      </c>
      <c r="I23" s="18" t="n">
        <f aca="false">E23*H23</f>
        <v>19342</v>
      </c>
      <c r="J23" s="32" t="n">
        <v>10890</v>
      </c>
      <c r="K23" s="18" t="n">
        <f aca="false">E23*J23</f>
        <v>21780</v>
      </c>
      <c r="L23" s="18" t="n">
        <f aca="false">K23-I23</f>
        <v>2438</v>
      </c>
      <c r="M23" s="19" t="n">
        <f aca="false">IF(I23=0,"",K23/I23-1)</f>
        <v>0.126046944473167</v>
      </c>
      <c r="N23" s="20" t="str">
        <f aca="false">IF(L23&gt;0,"CENTRAL",IF(L23&lt;0,"네오맥스","동일"))</f>
        <v>CENTRAL</v>
      </c>
      <c r="O23" s="16"/>
    </row>
    <row r="24" customFormat="false" ht="15" hidden="false" customHeight="false" outlineLevel="0" collapsed="false">
      <c r="A24" s="39" t="s">
        <v>77</v>
      </c>
      <c r="B24" s="39" t="n">
        <v>25</v>
      </c>
      <c r="C24" s="39" t="n">
        <v>22</v>
      </c>
      <c r="D24" s="20" t="s">
        <v>99</v>
      </c>
      <c r="E24" s="16" t="n">
        <v>1</v>
      </c>
      <c r="F24" s="20" t="s">
        <v>79</v>
      </c>
      <c r="G24" s="30" t="n">
        <v>7.96</v>
      </c>
      <c r="H24" s="18" t="n">
        <f aca="false">ROUND(G24*요약!$C$4*(1-요약!$C$5),0)</f>
        <v>9671</v>
      </c>
      <c r="I24" s="18" t="n">
        <f aca="false">E24*H24</f>
        <v>9671</v>
      </c>
      <c r="J24" s="32" t="n">
        <v>10890</v>
      </c>
      <c r="K24" s="18" t="n">
        <f aca="false">E24*J24</f>
        <v>10890</v>
      </c>
      <c r="L24" s="18" t="n">
        <f aca="false">K24-I24</f>
        <v>1219</v>
      </c>
      <c r="M24" s="19" t="n">
        <f aca="false">IF(I24=0,"",K24/I24-1)</f>
        <v>0.126046944473167</v>
      </c>
      <c r="N24" s="20" t="str">
        <f aca="false">IF(L24&gt;0,"CENTRAL",IF(L24&lt;0,"네오맥스","동일"))</f>
        <v>CENTRAL</v>
      </c>
      <c r="O24" s="16"/>
    </row>
    <row r="25" customFormat="false" ht="15" hidden="false" customHeight="false" outlineLevel="0" collapsed="false">
      <c r="A25" s="39" t="s">
        <v>77</v>
      </c>
      <c r="B25" s="39" t="n">
        <v>26</v>
      </c>
      <c r="C25" s="39" t="n">
        <v>23</v>
      </c>
      <c r="D25" s="20" t="s">
        <v>100</v>
      </c>
      <c r="E25" s="16" t="n">
        <v>2</v>
      </c>
      <c r="F25" s="20" t="s">
        <v>79</v>
      </c>
      <c r="G25" s="30" t="n">
        <v>6.19</v>
      </c>
      <c r="H25" s="18" t="n">
        <f aca="false">ROUND(G25*요약!$C$4*(1-요약!$C$5),0)</f>
        <v>7521</v>
      </c>
      <c r="I25" s="18" t="n">
        <f aca="false">E25*H25</f>
        <v>15042</v>
      </c>
      <c r="J25" s="32" t="n">
        <v>8470</v>
      </c>
      <c r="K25" s="18" t="n">
        <f aca="false">E25*J25</f>
        <v>16940</v>
      </c>
      <c r="L25" s="18" t="n">
        <f aca="false">K25-I25</f>
        <v>1898</v>
      </c>
      <c r="M25" s="19" t="n">
        <f aca="false">IF(I25=0,"",K25/I25-1)</f>
        <v>0.126180029251429</v>
      </c>
      <c r="N25" s="20" t="str">
        <f aca="false">IF(L25&gt;0,"CENTRAL",IF(L25&lt;0,"네오맥스","동일"))</f>
        <v>CENTRAL</v>
      </c>
      <c r="O25" s="16"/>
    </row>
    <row r="26" customFormat="false" ht="15" hidden="false" customHeight="false" outlineLevel="0" collapsed="false">
      <c r="A26" s="39" t="s">
        <v>77</v>
      </c>
      <c r="B26" s="39" t="n">
        <v>27</v>
      </c>
      <c r="C26" s="39" t="n">
        <v>24</v>
      </c>
      <c r="D26" s="20" t="s">
        <v>101</v>
      </c>
      <c r="E26" s="16" t="n">
        <v>2</v>
      </c>
      <c r="F26" s="20" t="s">
        <v>79</v>
      </c>
      <c r="G26" s="30" t="n">
        <v>6.19</v>
      </c>
      <c r="H26" s="18" t="n">
        <f aca="false">ROUND(G26*요약!$C$4*(1-요약!$C$5),0)</f>
        <v>7521</v>
      </c>
      <c r="I26" s="18" t="n">
        <f aca="false">E26*H26</f>
        <v>15042</v>
      </c>
      <c r="J26" s="32" t="n">
        <v>8470</v>
      </c>
      <c r="K26" s="18" t="n">
        <f aca="false">E26*J26</f>
        <v>16940</v>
      </c>
      <c r="L26" s="18" t="n">
        <f aca="false">K26-I26</f>
        <v>1898</v>
      </c>
      <c r="M26" s="19" t="n">
        <f aca="false">IF(I26=0,"",K26/I26-1)</f>
        <v>0.126180029251429</v>
      </c>
      <c r="N26" s="20" t="str">
        <f aca="false">IF(L26&gt;0,"CENTRAL",IF(L26&lt;0,"네오맥스","동일"))</f>
        <v>CENTRAL</v>
      </c>
      <c r="O26" s="16"/>
    </row>
    <row r="27" customFormat="false" ht="15" hidden="false" customHeight="false" outlineLevel="0" collapsed="false">
      <c r="A27" s="39" t="s">
        <v>77</v>
      </c>
      <c r="B27" s="39" t="n">
        <v>34</v>
      </c>
      <c r="C27" s="39" t="n">
        <v>26</v>
      </c>
      <c r="D27" s="20" t="s">
        <v>102</v>
      </c>
      <c r="E27" s="16" t="n">
        <v>1</v>
      </c>
      <c r="F27" s="20" t="s">
        <v>79</v>
      </c>
      <c r="G27" s="30" t="n">
        <v>163.65</v>
      </c>
      <c r="H27" s="18" t="n">
        <f aca="false">ROUND(G27*요약!$C$4*(1-요약!$C$5),0)</f>
        <v>198835</v>
      </c>
      <c r="I27" s="18" t="n">
        <f aca="false">E27*H27</f>
        <v>198835</v>
      </c>
      <c r="J27" s="32" t="n">
        <v>223850</v>
      </c>
      <c r="K27" s="18" t="n">
        <f aca="false">E27*J27</f>
        <v>223850</v>
      </c>
      <c r="L27" s="18" t="n">
        <f aca="false">K27-I27</f>
        <v>25015</v>
      </c>
      <c r="M27" s="19" t="n">
        <f aca="false">IF(I27=0,"",K27/I27-1)</f>
        <v>0.125807830613323</v>
      </c>
      <c r="N27" s="20" t="str">
        <f aca="false">IF(L27&gt;0,"CENTRAL",IF(L27&lt;0,"네오맥스","동일"))</f>
        <v>CENTRAL</v>
      </c>
      <c r="O27" s="16"/>
    </row>
    <row r="28" customFormat="false" ht="15" hidden="false" customHeight="false" outlineLevel="0" collapsed="false">
      <c r="A28" s="39" t="s">
        <v>77</v>
      </c>
      <c r="B28" s="39" t="n">
        <v>35</v>
      </c>
      <c r="C28" s="39" t="n">
        <v>27</v>
      </c>
      <c r="D28" s="20" t="s">
        <v>103</v>
      </c>
      <c r="E28" s="16" t="n">
        <v>1</v>
      </c>
      <c r="F28" s="20" t="s">
        <v>79</v>
      </c>
      <c r="G28" s="30" t="n">
        <v>172.5</v>
      </c>
      <c r="H28" s="18" t="n">
        <f aca="false">ROUND(G28*요약!$C$4*(1-요약!$C$5),0)</f>
        <v>209588</v>
      </c>
      <c r="I28" s="18" t="n">
        <f aca="false">E28*H28</f>
        <v>209588</v>
      </c>
      <c r="J28" s="32" t="n">
        <v>235950</v>
      </c>
      <c r="K28" s="18" t="n">
        <f aca="false">E28*J28</f>
        <v>235950</v>
      </c>
      <c r="L28" s="18" t="n">
        <f aca="false">K28-I28</f>
        <v>26362</v>
      </c>
      <c r="M28" s="19" t="n">
        <f aca="false">IF(I28=0,"",K28/I28-1)</f>
        <v>0.125780101914232</v>
      </c>
      <c r="N28" s="20" t="str">
        <f aca="false">IF(L28&gt;0,"CENTRAL",IF(L28&lt;0,"네오맥스","동일"))</f>
        <v>CENTRAL</v>
      </c>
      <c r="O28" s="16"/>
    </row>
    <row r="29" customFormat="false" ht="15" hidden="false" customHeight="false" outlineLevel="0" collapsed="false">
      <c r="A29" s="39" t="s">
        <v>77</v>
      </c>
      <c r="B29" s="39" t="n">
        <v>36</v>
      </c>
      <c r="C29" s="39" t="n">
        <v>28</v>
      </c>
      <c r="D29" s="20" t="s">
        <v>104</v>
      </c>
      <c r="E29" s="16" t="n">
        <v>1</v>
      </c>
      <c r="F29" s="20" t="s">
        <v>79</v>
      </c>
      <c r="G29" s="30" t="n">
        <v>172.5</v>
      </c>
      <c r="H29" s="18" t="n">
        <f aca="false">ROUND(G29*요약!$C$4*(1-요약!$C$5),0)</f>
        <v>209588</v>
      </c>
      <c r="I29" s="18" t="n">
        <f aca="false">E29*H29</f>
        <v>209588</v>
      </c>
      <c r="J29" s="32" t="n">
        <v>235950</v>
      </c>
      <c r="K29" s="18" t="n">
        <f aca="false">E29*J29</f>
        <v>235950</v>
      </c>
      <c r="L29" s="18" t="n">
        <f aca="false">K29-I29</f>
        <v>26362</v>
      </c>
      <c r="M29" s="19" t="n">
        <f aca="false">IF(I29=0,"",K29/I29-1)</f>
        <v>0.125780101914232</v>
      </c>
      <c r="N29" s="20" t="str">
        <f aca="false">IF(L29&gt;0,"CENTRAL",IF(L29&lt;0,"네오맥스","동일"))</f>
        <v>CENTRAL</v>
      </c>
      <c r="O29" s="16"/>
    </row>
    <row r="30" customFormat="false" ht="15" hidden="false" customHeight="false" outlineLevel="0" collapsed="false">
      <c r="A30" s="39" t="s">
        <v>77</v>
      </c>
      <c r="B30" s="39" t="n">
        <v>37</v>
      </c>
      <c r="C30" s="39" t="n">
        <v>29</v>
      </c>
      <c r="D30" s="20" t="s">
        <v>105</v>
      </c>
      <c r="E30" s="16" t="n">
        <v>1</v>
      </c>
      <c r="F30" s="20" t="s">
        <v>79</v>
      </c>
      <c r="G30" s="30" t="n">
        <v>172.5</v>
      </c>
      <c r="H30" s="18" t="n">
        <f aca="false">ROUND(G30*요약!$C$4*(1-요약!$C$5),0)</f>
        <v>209588</v>
      </c>
      <c r="I30" s="18" t="n">
        <f aca="false">E30*H30</f>
        <v>209588</v>
      </c>
      <c r="J30" s="32" t="n">
        <v>235950</v>
      </c>
      <c r="K30" s="18" t="n">
        <f aca="false">E30*J30</f>
        <v>235950</v>
      </c>
      <c r="L30" s="18" t="n">
        <f aca="false">K30-I30</f>
        <v>26362</v>
      </c>
      <c r="M30" s="19" t="n">
        <f aca="false">IF(I30=0,"",K30/I30-1)</f>
        <v>0.125780101914232</v>
      </c>
      <c r="N30" s="20" t="str">
        <f aca="false">IF(L30&gt;0,"CENTRAL",IF(L30&lt;0,"네오맥스","동일"))</f>
        <v>CENTRAL</v>
      </c>
      <c r="O30" s="16"/>
    </row>
    <row r="31" customFormat="false" ht="15" hidden="false" customHeight="false" outlineLevel="0" collapsed="false">
      <c r="A31" s="39" t="s">
        <v>77</v>
      </c>
      <c r="B31" s="39" t="n">
        <v>38</v>
      </c>
      <c r="C31" s="39" t="n">
        <v>30</v>
      </c>
      <c r="D31" s="20" t="s">
        <v>106</v>
      </c>
      <c r="E31" s="16" t="n">
        <v>2</v>
      </c>
      <c r="F31" s="20" t="s">
        <v>79</v>
      </c>
      <c r="G31" s="30" t="n">
        <v>46</v>
      </c>
      <c r="H31" s="18" t="n">
        <f aca="false">ROUND(G31*요약!$C$4*(1-요약!$C$5),0)</f>
        <v>55890</v>
      </c>
      <c r="I31" s="18" t="n">
        <f aca="false">E31*H31</f>
        <v>111780</v>
      </c>
      <c r="J31" s="32" t="n">
        <v>62920</v>
      </c>
      <c r="K31" s="18" t="n">
        <f aca="false">E31*J31</f>
        <v>125840</v>
      </c>
      <c r="L31" s="18" t="n">
        <f aca="false">K31-I31</f>
        <v>14060</v>
      </c>
      <c r="M31" s="19" t="n">
        <f aca="false">IF(I31=0,"",K31/I31-1)</f>
        <v>0.125782787618536</v>
      </c>
      <c r="N31" s="20" t="str">
        <f aca="false">IF(L31&gt;0,"CENTRAL",IF(L31&lt;0,"네오맥스","동일"))</f>
        <v>CENTRAL</v>
      </c>
      <c r="O31" s="16"/>
    </row>
    <row r="32" customFormat="false" ht="23.85" hidden="false" customHeight="false" outlineLevel="0" collapsed="false">
      <c r="A32" s="39" t="s">
        <v>77</v>
      </c>
      <c r="B32" s="39" t="n">
        <v>40</v>
      </c>
      <c r="C32" s="39" t="n">
        <v>31</v>
      </c>
      <c r="D32" s="20" t="s">
        <v>107</v>
      </c>
      <c r="E32" s="16" t="n">
        <v>4</v>
      </c>
      <c r="F32" s="20" t="s">
        <v>79</v>
      </c>
      <c r="G32" s="30" t="n">
        <v>10.62</v>
      </c>
      <c r="H32" s="18" t="n">
        <f aca="false">ROUND(G32*요약!$C$4*(1-요약!$C$5),0)</f>
        <v>12903</v>
      </c>
      <c r="I32" s="18" t="n">
        <f aca="false">E32*H32</f>
        <v>51612</v>
      </c>
      <c r="J32" s="32" t="n">
        <v>6050</v>
      </c>
      <c r="K32" s="18" t="n">
        <f aca="false">E32*J32</f>
        <v>24200</v>
      </c>
      <c r="L32" s="18" t="n">
        <f aca="false">K32-I32</f>
        <v>-27412</v>
      </c>
      <c r="M32" s="19" t="n">
        <f aca="false">IF(I32=0,"",K32/I32-1)</f>
        <v>-0.531116794543905</v>
      </c>
      <c r="N32" s="20" t="str">
        <f aca="false">IF(L32&gt;0,"CENTRAL",IF(L32&lt;0,"네오맥스","동일"))</f>
        <v>네오맥스</v>
      </c>
      <c r="O32" s="16"/>
    </row>
    <row r="33" customFormat="false" ht="26.85" hidden="false" customHeight="false" outlineLevel="0" collapsed="false">
      <c r="A33" s="40" t="s">
        <v>77</v>
      </c>
      <c r="B33" s="40" t="n">
        <v>42</v>
      </c>
      <c r="C33" s="40" t="n">
        <v>32</v>
      </c>
      <c r="D33" s="41" t="s">
        <v>108</v>
      </c>
      <c r="E33" s="41" t="n">
        <v>5</v>
      </c>
      <c r="F33" s="41" t="s">
        <v>79</v>
      </c>
      <c r="G33" s="42" t="n">
        <v>6.19</v>
      </c>
      <c r="H33" s="43" t="n">
        <f aca="false">ROUND(G33*요약!$C$4*(1-요약!$C$5),0)</f>
        <v>7521</v>
      </c>
      <c r="I33" s="43" t="n">
        <f aca="false">E33*H33</f>
        <v>37605</v>
      </c>
      <c r="J33" s="44" t="n">
        <v>82280</v>
      </c>
      <c r="K33" s="43" t="n">
        <f aca="false">E33*J33</f>
        <v>411400</v>
      </c>
      <c r="L33" s="43" t="n">
        <f aca="false">K33-I33</f>
        <v>373795</v>
      </c>
      <c r="M33" s="45" t="n">
        <f aca="false">IF(I33=0,"",K33/I33-1)</f>
        <v>9.94003456987103</v>
      </c>
      <c r="N33" s="41" t="str">
        <f aca="false">IF(L33&gt;0,"CENTRAL",IF(L33&lt;0,"네오맥스","동일"))</f>
        <v>CENTRAL</v>
      </c>
      <c r="O33" s="46" t="s">
        <v>109</v>
      </c>
    </row>
    <row r="34" customFormat="false" ht="23.85" hidden="false" customHeight="false" outlineLevel="0" collapsed="false">
      <c r="A34" s="39" t="s">
        <v>77</v>
      </c>
      <c r="B34" s="39" t="n">
        <v>43</v>
      </c>
      <c r="C34" s="39" t="n">
        <v>33</v>
      </c>
      <c r="D34" s="20" t="s">
        <v>110</v>
      </c>
      <c r="E34" s="16" t="n">
        <v>5</v>
      </c>
      <c r="F34" s="20" t="s">
        <v>79</v>
      </c>
      <c r="G34" s="30" t="n">
        <v>6.19</v>
      </c>
      <c r="H34" s="18" t="n">
        <f aca="false">ROUND(G34*요약!$C$4*(1-요약!$C$5),0)</f>
        <v>7521</v>
      </c>
      <c r="I34" s="18" t="n">
        <f aca="false">E34*H34</f>
        <v>37605</v>
      </c>
      <c r="J34" s="32" t="n">
        <v>8470</v>
      </c>
      <c r="K34" s="18" t="n">
        <f aca="false">E34*J34</f>
        <v>42350</v>
      </c>
      <c r="L34" s="18" t="n">
        <f aca="false">K34-I34</f>
        <v>4745</v>
      </c>
      <c r="M34" s="19" t="n">
        <f aca="false">IF(I34=0,"",K34/I34-1)</f>
        <v>0.126180029251429</v>
      </c>
      <c r="N34" s="20" t="str">
        <f aca="false">IF(L34&gt;0,"CENTRAL",IF(L34&lt;0,"네오맥스","동일"))</f>
        <v>CENTRAL</v>
      </c>
      <c r="O34" s="16"/>
    </row>
    <row r="35" customFormat="false" ht="23.85" hidden="false" customHeight="false" outlineLevel="0" collapsed="false">
      <c r="A35" s="39" t="s">
        <v>77</v>
      </c>
      <c r="B35" s="39" t="n">
        <v>44</v>
      </c>
      <c r="C35" s="39" t="n">
        <v>34</v>
      </c>
      <c r="D35" s="20" t="s">
        <v>111</v>
      </c>
      <c r="E35" s="16" t="n">
        <v>5</v>
      </c>
      <c r="F35" s="20" t="s">
        <v>79</v>
      </c>
      <c r="G35" s="30" t="n">
        <v>6.19</v>
      </c>
      <c r="H35" s="18" t="n">
        <f aca="false">ROUND(G35*요약!$C$4*(1-요약!$C$5),0)</f>
        <v>7521</v>
      </c>
      <c r="I35" s="18" t="n">
        <f aca="false">E35*H35</f>
        <v>37605</v>
      </c>
      <c r="J35" s="32" t="n">
        <v>8470</v>
      </c>
      <c r="K35" s="18" t="n">
        <f aca="false">E35*J35</f>
        <v>42350</v>
      </c>
      <c r="L35" s="18" t="n">
        <f aca="false">K35-I35</f>
        <v>4745</v>
      </c>
      <c r="M35" s="19" t="n">
        <f aca="false">IF(I35=0,"",K35/I35-1)</f>
        <v>0.126180029251429</v>
      </c>
      <c r="N35" s="20" t="str">
        <f aca="false">IF(L35&gt;0,"CENTRAL",IF(L35&lt;0,"네오맥스","동일"))</f>
        <v>CENTRAL</v>
      </c>
      <c r="O35" s="16"/>
    </row>
    <row r="36" customFormat="false" ht="23.85" hidden="false" customHeight="false" outlineLevel="0" collapsed="false">
      <c r="A36" s="39" t="s">
        <v>77</v>
      </c>
      <c r="B36" s="39" t="n">
        <v>45</v>
      </c>
      <c r="C36" s="39" t="n">
        <v>35</v>
      </c>
      <c r="D36" s="20" t="s">
        <v>112</v>
      </c>
      <c r="E36" s="16" t="n">
        <v>5</v>
      </c>
      <c r="F36" s="20" t="s">
        <v>79</v>
      </c>
      <c r="G36" s="30" t="n">
        <v>6.19</v>
      </c>
      <c r="H36" s="18" t="n">
        <f aca="false">ROUND(G36*요약!$C$4*(1-요약!$C$5),0)</f>
        <v>7521</v>
      </c>
      <c r="I36" s="18" t="n">
        <f aca="false">E36*H36</f>
        <v>37605</v>
      </c>
      <c r="J36" s="32" t="n">
        <v>8470</v>
      </c>
      <c r="K36" s="18" t="n">
        <f aca="false">E36*J36</f>
        <v>42350</v>
      </c>
      <c r="L36" s="18" t="n">
        <f aca="false">K36-I36</f>
        <v>4745</v>
      </c>
      <c r="M36" s="19" t="n">
        <f aca="false">IF(I36=0,"",K36/I36-1)</f>
        <v>0.126180029251429</v>
      </c>
      <c r="N36" s="20" t="str">
        <f aca="false">IF(L36&gt;0,"CENTRAL",IF(L36&lt;0,"네오맥스","동일"))</f>
        <v>CENTRAL</v>
      </c>
      <c r="O36" s="16"/>
    </row>
    <row r="37" customFormat="false" ht="23.85" hidden="false" customHeight="false" outlineLevel="0" collapsed="false">
      <c r="A37" s="39" t="s">
        <v>77</v>
      </c>
      <c r="B37" s="39" t="n">
        <v>46</v>
      </c>
      <c r="C37" s="39" t="n">
        <v>36</v>
      </c>
      <c r="D37" s="20" t="s">
        <v>113</v>
      </c>
      <c r="E37" s="16" t="n">
        <v>5</v>
      </c>
      <c r="F37" s="20" t="s">
        <v>79</v>
      </c>
      <c r="G37" s="30" t="n">
        <v>6.19</v>
      </c>
      <c r="H37" s="18" t="n">
        <f aca="false">ROUND(G37*요약!$C$4*(1-요약!$C$5),0)</f>
        <v>7521</v>
      </c>
      <c r="I37" s="18" t="n">
        <f aca="false">E37*H37</f>
        <v>37605</v>
      </c>
      <c r="J37" s="32" t="n">
        <v>8470</v>
      </c>
      <c r="K37" s="18" t="n">
        <f aca="false">E37*J37</f>
        <v>42350</v>
      </c>
      <c r="L37" s="18" t="n">
        <f aca="false">K37-I37</f>
        <v>4745</v>
      </c>
      <c r="M37" s="19" t="n">
        <f aca="false">IF(I37=0,"",K37/I37-1)</f>
        <v>0.126180029251429</v>
      </c>
      <c r="N37" s="20" t="str">
        <f aca="false">IF(L37&gt;0,"CENTRAL",IF(L37&lt;0,"네오맥스","동일"))</f>
        <v>CENTRAL</v>
      </c>
      <c r="O37" s="16"/>
    </row>
    <row r="38" customFormat="false" ht="23.85" hidden="false" customHeight="false" outlineLevel="0" collapsed="false">
      <c r="A38" s="39" t="s">
        <v>77</v>
      </c>
      <c r="B38" s="39" t="n">
        <v>47</v>
      </c>
      <c r="C38" s="39" t="n">
        <v>37</v>
      </c>
      <c r="D38" s="20" t="s">
        <v>114</v>
      </c>
      <c r="E38" s="16" t="n">
        <v>5</v>
      </c>
      <c r="F38" s="20" t="s">
        <v>79</v>
      </c>
      <c r="G38" s="30" t="n">
        <v>6.19</v>
      </c>
      <c r="H38" s="18" t="n">
        <f aca="false">ROUND(G38*요약!$C$4*(1-요약!$C$5),0)</f>
        <v>7521</v>
      </c>
      <c r="I38" s="18" t="n">
        <f aca="false">E38*H38</f>
        <v>37605</v>
      </c>
      <c r="J38" s="32" t="n">
        <v>8470</v>
      </c>
      <c r="K38" s="18" t="n">
        <f aca="false">E38*J38</f>
        <v>42350</v>
      </c>
      <c r="L38" s="18" t="n">
        <f aca="false">K38-I38</f>
        <v>4745</v>
      </c>
      <c r="M38" s="19" t="n">
        <f aca="false">IF(I38=0,"",K38/I38-1)</f>
        <v>0.126180029251429</v>
      </c>
      <c r="N38" s="20" t="str">
        <f aca="false">IF(L38&gt;0,"CENTRAL",IF(L38&lt;0,"네오맥스","동일"))</f>
        <v>CENTRAL</v>
      </c>
      <c r="O38" s="16"/>
    </row>
    <row r="39" customFormat="false" ht="23.85" hidden="false" customHeight="false" outlineLevel="0" collapsed="false">
      <c r="A39" s="39" t="s">
        <v>77</v>
      </c>
      <c r="B39" s="39" t="n">
        <v>48</v>
      </c>
      <c r="C39" s="39" t="n">
        <v>38</v>
      </c>
      <c r="D39" s="20" t="s">
        <v>115</v>
      </c>
      <c r="E39" s="16" t="n">
        <v>10</v>
      </c>
      <c r="F39" s="20" t="s">
        <v>79</v>
      </c>
      <c r="G39" s="30" t="n">
        <v>4.07</v>
      </c>
      <c r="H39" s="18" t="n">
        <f aca="false">ROUND(G39*요약!$C$4*(1-요약!$C$5),0)</f>
        <v>4945</v>
      </c>
      <c r="I39" s="18" t="n">
        <f aca="false">E39*H39</f>
        <v>49450</v>
      </c>
      <c r="J39" s="32" t="n">
        <v>5560</v>
      </c>
      <c r="K39" s="18" t="n">
        <f aca="false">E39*J39</f>
        <v>55600</v>
      </c>
      <c r="L39" s="18" t="n">
        <f aca="false">K39-I39</f>
        <v>6150</v>
      </c>
      <c r="M39" s="19" t="n">
        <f aca="false">IF(I39=0,"",K39/I39-1)</f>
        <v>0.124368048533873</v>
      </c>
      <c r="N39" s="20" t="str">
        <f aca="false">IF(L39&gt;0,"CENTRAL",IF(L39&lt;0,"네오맥스","동일"))</f>
        <v>CENTRAL</v>
      </c>
      <c r="O39" s="16"/>
    </row>
    <row r="40" customFormat="false" ht="15" hidden="false" customHeight="false" outlineLevel="0" collapsed="false">
      <c r="A40" s="39" t="s">
        <v>77</v>
      </c>
      <c r="B40" s="39" t="n">
        <v>49</v>
      </c>
      <c r="C40" s="39" t="n">
        <v>39</v>
      </c>
      <c r="D40" s="20" t="s">
        <v>116</v>
      </c>
      <c r="E40" s="16" t="n">
        <v>5</v>
      </c>
      <c r="F40" s="20" t="s">
        <v>79</v>
      </c>
      <c r="G40" s="30" t="n">
        <v>1.24</v>
      </c>
      <c r="H40" s="18" t="n">
        <f aca="false">ROUND(G40*요약!$C$4*(1-요약!$C$5),0)</f>
        <v>1507</v>
      </c>
      <c r="I40" s="18" t="n">
        <f aca="false">E40*H40</f>
        <v>7535</v>
      </c>
      <c r="J40" s="32" t="n">
        <v>1690</v>
      </c>
      <c r="K40" s="18" t="n">
        <f aca="false">E40*J40</f>
        <v>8450</v>
      </c>
      <c r="L40" s="18" t="n">
        <f aca="false">K40-I40</f>
        <v>915</v>
      </c>
      <c r="M40" s="19" t="n">
        <f aca="false">IF(I40=0,"",K40/I40-1)</f>
        <v>0.121433311214333</v>
      </c>
      <c r="N40" s="20" t="str">
        <f aca="false">IF(L40&gt;0,"CENTRAL",IF(L40&lt;0,"네오맥스","동일"))</f>
        <v>CENTRAL</v>
      </c>
      <c r="O40" s="16"/>
    </row>
    <row r="41" customFormat="false" ht="23.85" hidden="false" customHeight="false" outlineLevel="0" collapsed="false">
      <c r="A41" s="39" t="s">
        <v>77</v>
      </c>
      <c r="B41" s="39" t="n">
        <v>50</v>
      </c>
      <c r="C41" s="39" t="n">
        <v>40</v>
      </c>
      <c r="D41" s="20" t="s">
        <v>117</v>
      </c>
      <c r="E41" s="16" t="n">
        <v>10</v>
      </c>
      <c r="F41" s="20" t="s">
        <v>79</v>
      </c>
      <c r="G41" s="30" t="n">
        <v>0.71</v>
      </c>
      <c r="H41" s="18" t="n">
        <f aca="false">ROUND(G41*요약!$C$4*(1-요약!$C$5),0)</f>
        <v>863</v>
      </c>
      <c r="I41" s="18" t="n">
        <f aca="false">E41*H41</f>
        <v>8630</v>
      </c>
      <c r="J41" s="32" t="n">
        <v>960</v>
      </c>
      <c r="K41" s="18" t="n">
        <f aca="false">E41*J41</f>
        <v>9600</v>
      </c>
      <c r="L41" s="18" t="n">
        <f aca="false">K41-I41</f>
        <v>970</v>
      </c>
      <c r="M41" s="19" t="n">
        <f aca="false">IF(I41=0,"",K41/I41-1)</f>
        <v>0.112398609501738</v>
      </c>
      <c r="N41" s="20" t="str">
        <f aca="false">IF(L41&gt;0,"CENTRAL",IF(L41&lt;0,"네오맥스","동일"))</f>
        <v>CENTRAL</v>
      </c>
      <c r="O41" s="16"/>
    </row>
    <row r="42" customFormat="false" ht="15" hidden="false" customHeight="false" outlineLevel="0" collapsed="false">
      <c r="A42" s="47" t="s">
        <v>118</v>
      </c>
      <c r="B42" s="47"/>
      <c r="C42" s="47" t="n">
        <v>18</v>
      </c>
      <c r="D42" s="48" t="s">
        <v>119</v>
      </c>
      <c r="E42" s="48" t="n">
        <v>2</v>
      </c>
      <c r="F42" s="48" t="s">
        <v>79</v>
      </c>
      <c r="G42" s="49"/>
      <c r="H42" s="50"/>
      <c r="I42" s="50"/>
      <c r="J42" s="50"/>
      <c r="K42" s="50"/>
      <c r="L42" s="50"/>
      <c r="M42" s="51"/>
      <c r="N42" s="48"/>
      <c r="O42" s="48" t="s">
        <v>120</v>
      </c>
    </row>
    <row r="43" customFormat="false" ht="15" hidden="false" customHeight="false" outlineLevel="0" collapsed="false">
      <c r="A43" s="47" t="s">
        <v>118</v>
      </c>
      <c r="B43" s="47"/>
      <c r="C43" s="47" t="n">
        <v>19</v>
      </c>
      <c r="D43" s="48" t="s">
        <v>121</v>
      </c>
      <c r="E43" s="48" t="n">
        <v>2</v>
      </c>
      <c r="F43" s="48" t="s">
        <v>79</v>
      </c>
      <c r="G43" s="49"/>
      <c r="H43" s="50"/>
      <c r="I43" s="50"/>
      <c r="J43" s="50"/>
      <c r="K43" s="50"/>
      <c r="L43" s="50"/>
      <c r="M43" s="51"/>
      <c r="N43" s="48"/>
      <c r="O43" s="48" t="s">
        <v>120</v>
      </c>
    </row>
    <row r="44" customFormat="false" ht="26.85" hidden="false" customHeight="false" outlineLevel="0" collapsed="false">
      <c r="A44" s="47" t="s">
        <v>118</v>
      </c>
      <c r="B44" s="47"/>
      <c r="C44" s="47" t="n">
        <v>25</v>
      </c>
      <c r="D44" s="48" t="s">
        <v>122</v>
      </c>
      <c r="E44" s="48" t="n">
        <v>2</v>
      </c>
      <c r="F44" s="48" t="s">
        <v>79</v>
      </c>
      <c r="G44" s="52" t="n">
        <v>145.96</v>
      </c>
      <c r="H44" s="50" t="n">
        <f aca="false">ROUND(G44*요약!$C$4*(1-요약!$C$5),0)</f>
        <v>177341</v>
      </c>
      <c r="I44" s="50" t="n">
        <f aca="false">E44*H44</f>
        <v>354682</v>
      </c>
      <c r="J44" s="50"/>
      <c r="K44" s="50"/>
      <c r="L44" s="50"/>
      <c r="M44" s="51"/>
      <c r="N44" s="48"/>
      <c r="O44" s="48" t="s">
        <v>123</v>
      </c>
    </row>
    <row r="45" customFormat="false" ht="15" hidden="false" customHeight="false" outlineLevel="0" collapsed="false">
      <c r="A45" s="53" t="s">
        <v>124</v>
      </c>
      <c r="B45" s="53" t="n">
        <v>21</v>
      </c>
      <c r="C45" s="53"/>
      <c r="D45" s="48" t="s">
        <v>125</v>
      </c>
      <c r="E45" s="48" t="n">
        <v>1</v>
      </c>
      <c r="F45" s="48" t="s">
        <v>79</v>
      </c>
      <c r="G45" s="49"/>
      <c r="H45" s="50"/>
      <c r="I45" s="50"/>
      <c r="J45" s="54" t="n">
        <v>10890</v>
      </c>
      <c r="K45" s="50" t="n">
        <f aca="false">E45*J45</f>
        <v>10890</v>
      </c>
      <c r="L45" s="50"/>
      <c r="M45" s="51"/>
      <c r="N45" s="48"/>
      <c r="O45" s="48"/>
    </row>
    <row r="46" customFormat="false" ht="15" hidden="false" customHeight="false" outlineLevel="0" collapsed="false">
      <c r="A46" s="53" t="s">
        <v>124</v>
      </c>
      <c r="B46" s="53" t="n">
        <v>24</v>
      </c>
      <c r="C46" s="53"/>
      <c r="D46" s="48" t="s">
        <v>126</v>
      </c>
      <c r="E46" s="48" t="n">
        <v>1</v>
      </c>
      <c r="F46" s="48" t="s">
        <v>79</v>
      </c>
      <c r="G46" s="49"/>
      <c r="H46" s="50"/>
      <c r="I46" s="50"/>
      <c r="J46" s="54" t="n">
        <v>10890</v>
      </c>
      <c r="K46" s="50" t="n">
        <f aca="false">E46*J46</f>
        <v>10890</v>
      </c>
      <c r="L46" s="50"/>
      <c r="M46" s="51"/>
      <c r="N46" s="48"/>
      <c r="O46" s="48"/>
    </row>
    <row r="47" customFormat="false" ht="15" hidden="false" customHeight="false" outlineLevel="0" collapsed="false">
      <c r="A47" s="53" t="s">
        <v>124</v>
      </c>
      <c r="B47" s="53" t="n">
        <v>30</v>
      </c>
      <c r="C47" s="53"/>
      <c r="D47" s="48" t="s">
        <v>127</v>
      </c>
      <c r="E47" s="48" t="n">
        <v>1</v>
      </c>
      <c r="F47" s="48" t="s">
        <v>79</v>
      </c>
      <c r="G47" s="49"/>
      <c r="H47" s="50"/>
      <c r="I47" s="50"/>
      <c r="J47" s="54" t="n">
        <v>223850</v>
      </c>
      <c r="K47" s="50" t="n">
        <f aca="false">E47*J47</f>
        <v>223850</v>
      </c>
      <c r="L47" s="50"/>
      <c r="M47" s="51"/>
      <c r="N47" s="48"/>
      <c r="O47" s="48"/>
    </row>
    <row r="48" customFormat="false" ht="15" hidden="false" customHeight="false" outlineLevel="0" collapsed="false">
      <c r="A48" s="53" t="s">
        <v>124</v>
      </c>
      <c r="B48" s="53" t="n">
        <v>31</v>
      </c>
      <c r="C48" s="53"/>
      <c r="D48" s="48" t="s">
        <v>128</v>
      </c>
      <c r="E48" s="48" t="n">
        <v>1</v>
      </c>
      <c r="F48" s="48" t="s">
        <v>79</v>
      </c>
      <c r="G48" s="49"/>
      <c r="H48" s="50"/>
      <c r="I48" s="50"/>
      <c r="J48" s="54" t="n">
        <v>223850</v>
      </c>
      <c r="K48" s="50" t="n">
        <f aca="false">E48*J48</f>
        <v>223850</v>
      </c>
      <c r="L48" s="50"/>
      <c r="M48" s="51"/>
      <c r="N48" s="48"/>
      <c r="O48" s="48"/>
    </row>
    <row r="49" customFormat="false" ht="15" hidden="false" customHeight="false" outlineLevel="0" collapsed="false">
      <c r="A49" s="53" t="s">
        <v>124</v>
      </c>
      <c r="B49" s="53" t="n">
        <v>32</v>
      </c>
      <c r="C49" s="53"/>
      <c r="D49" s="48" t="s">
        <v>129</v>
      </c>
      <c r="E49" s="48" t="n">
        <v>1</v>
      </c>
      <c r="F49" s="48" t="s">
        <v>79</v>
      </c>
      <c r="G49" s="49"/>
      <c r="H49" s="50"/>
      <c r="I49" s="50"/>
      <c r="J49" s="54" t="n">
        <v>223850</v>
      </c>
      <c r="K49" s="50" t="n">
        <f aca="false">E49*J49</f>
        <v>223850</v>
      </c>
      <c r="L49" s="50"/>
      <c r="M49" s="51"/>
      <c r="N49" s="48"/>
      <c r="O49" s="48"/>
    </row>
    <row r="50" customFormat="false" ht="15" hidden="false" customHeight="false" outlineLevel="0" collapsed="false">
      <c r="A50" s="53" t="s">
        <v>124</v>
      </c>
      <c r="B50" s="53" t="n">
        <v>33</v>
      </c>
      <c r="C50" s="53"/>
      <c r="D50" s="48" t="s">
        <v>130</v>
      </c>
      <c r="E50" s="48" t="n">
        <v>1</v>
      </c>
      <c r="F50" s="48" t="s">
        <v>79</v>
      </c>
      <c r="G50" s="49"/>
      <c r="H50" s="50"/>
      <c r="I50" s="50"/>
      <c r="J50" s="54" t="n">
        <v>211750</v>
      </c>
      <c r="K50" s="50" t="n">
        <f aca="false">E50*J50</f>
        <v>211750</v>
      </c>
      <c r="L50" s="50"/>
      <c r="M50" s="51"/>
      <c r="N50" s="48"/>
      <c r="O50" s="48"/>
    </row>
    <row r="51" customFormat="false" ht="15" hidden="false" customHeight="false" outlineLevel="0" collapsed="false">
      <c r="A51" s="53" t="s">
        <v>124</v>
      </c>
      <c r="B51" s="53" t="n">
        <v>39</v>
      </c>
      <c r="C51" s="53"/>
      <c r="D51" s="48" t="s">
        <v>131</v>
      </c>
      <c r="E51" s="48" t="n">
        <v>1</v>
      </c>
      <c r="F51" s="48" t="s">
        <v>79</v>
      </c>
      <c r="G51" s="49"/>
      <c r="H51" s="50"/>
      <c r="I51" s="50"/>
      <c r="J51" s="54" t="n">
        <v>14520</v>
      </c>
      <c r="K51" s="50" t="n">
        <f aca="false">E51*J51</f>
        <v>14520</v>
      </c>
      <c r="L51" s="50"/>
      <c r="M51" s="51"/>
      <c r="N51" s="48"/>
      <c r="O51" s="48"/>
    </row>
    <row r="52" customFormat="false" ht="15" hidden="false" customHeight="false" outlineLevel="0" collapsed="false">
      <c r="A52" s="53" t="s">
        <v>124</v>
      </c>
      <c r="B52" s="53" t="n">
        <v>41</v>
      </c>
      <c r="C52" s="53"/>
      <c r="D52" s="48" t="s">
        <v>132</v>
      </c>
      <c r="E52" s="48" t="n">
        <v>1</v>
      </c>
      <c r="F52" s="48" t="s">
        <v>79</v>
      </c>
      <c r="G52" s="49"/>
      <c r="H52" s="50"/>
      <c r="I52" s="50"/>
      <c r="J52" s="54" t="n">
        <v>14520</v>
      </c>
      <c r="K52" s="50" t="n">
        <f aca="false">E52*J52</f>
        <v>14520</v>
      </c>
      <c r="L52" s="50"/>
      <c r="M52" s="51"/>
      <c r="N52" s="48"/>
      <c r="O52" s="48"/>
    </row>
    <row r="53" customFormat="false" ht="15" hidden="false" customHeight="false" outlineLevel="0" collapsed="false">
      <c r="A53" s="53" t="s">
        <v>124</v>
      </c>
      <c r="B53" s="53" t="n">
        <v>51</v>
      </c>
      <c r="C53" s="53"/>
      <c r="D53" s="55" t="s">
        <v>133</v>
      </c>
      <c r="E53" s="55" t="n">
        <v>1</v>
      </c>
      <c r="F53" s="48" t="s">
        <v>134</v>
      </c>
      <c r="G53" s="49"/>
      <c r="H53" s="50"/>
      <c r="I53" s="50"/>
      <c r="J53" s="54" t="n">
        <v>200000</v>
      </c>
      <c r="K53" s="50" t="n">
        <f aca="false">E53*J53</f>
        <v>200000</v>
      </c>
      <c r="L53" s="50"/>
      <c r="M53" s="51"/>
      <c r="N53" s="48"/>
      <c r="O53" s="55" t="s">
        <v>135</v>
      </c>
    </row>
    <row r="55" customFormat="false" ht="15" hidden="false" customHeight="false" outlineLevel="0" collapsed="false">
      <c r="A55" s="56" t="s">
        <v>136</v>
      </c>
      <c r="B55" s="56"/>
      <c r="C55" s="56"/>
      <c r="D55" s="56"/>
      <c r="E55" s="56"/>
      <c r="F55" s="56"/>
      <c r="G55" s="56"/>
      <c r="H55" s="56"/>
      <c r="I55" s="36" t="n">
        <f aca="false">SUMIFS(I5:I53,$A5:$A53,"공통")</f>
        <v>4051910</v>
      </c>
      <c r="J55" s="33"/>
      <c r="K55" s="36" t="n">
        <f aca="false">SUMIFS(K5:K53,$A5:$A53,"공통")</f>
        <v>4918490</v>
      </c>
      <c r="L55" s="36" t="n">
        <f aca="false">K55-I55</f>
        <v>866580</v>
      </c>
      <c r="M55" s="57" t="n">
        <f aca="false">IF(I55=0,"",K55/I55-1)</f>
        <v>0.213869508454038</v>
      </c>
      <c r="N55" s="33" t="str">
        <f aca="false">IF(L55&gt;0,"CENTRAL",IF(L55&lt;0,"네오맥스","동일"))</f>
        <v>CENTRAL</v>
      </c>
      <c r="O55" s="33"/>
    </row>
    <row r="56" customFormat="false" ht="15" hidden="false" customHeight="false" outlineLevel="0" collapsed="false">
      <c r="A56" s="56" t="s">
        <v>137</v>
      </c>
      <c r="B56" s="56"/>
      <c r="C56" s="56"/>
      <c r="D56" s="56"/>
      <c r="E56" s="56"/>
      <c r="F56" s="56"/>
      <c r="G56" s="56"/>
      <c r="H56" s="56"/>
      <c r="I56" s="36" t="n">
        <f aca="false">I55</f>
        <v>4051910</v>
      </c>
      <c r="J56" s="33"/>
      <c r="K56" s="36" t="n">
        <f aca="false">K55-E33*(J33-8470)</f>
        <v>4549440</v>
      </c>
      <c r="L56" s="36" t="n">
        <f aca="false">K56-I56</f>
        <v>497530</v>
      </c>
      <c r="M56" s="57" t="n">
        <f aca="false">IF(I56=0,"",K56/I56-1)</f>
        <v>0.122789005678803</v>
      </c>
      <c r="N56" s="33" t="str">
        <f aca="false">IF(L56&gt;0,"CENTRAL",IF(L56&lt;0,"네오맥스","동일"))</f>
        <v>CENTRAL</v>
      </c>
      <c r="O56" s="58" t="s">
        <v>138</v>
      </c>
    </row>
    <row r="57" customFormat="false" ht="15" hidden="false" customHeight="false" outlineLevel="0" collapsed="false">
      <c r="A57" s="56" t="s">
        <v>139</v>
      </c>
      <c r="B57" s="56"/>
      <c r="C57" s="56"/>
      <c r="D57" s="56"/>
      <c r="E57" s="56"/>
      <c r="F57" s="56"/>
      <c r="G57" s="56"/>
      <c r="H57" s="56"/>
      <c r="I57" s="36" t="n">
        <f aca="false">SUMIFS(I5:I53,$A5:$A53,"&lt;&gt;공통")</f>
        <v>354682</v>
      </c>
      <c r="J57" s="33"/>
      <c r="K57" s="36" t="n">
        <f aca="false">SUMIFS(K5:K53,$A5:$A53,"&lt;&gt;공통")</f>
        <v>1134120</v>
      </c>
      <c r="L57" s="36"/>
      <c r="M57" s="57"/>
      <c r="N57" s="33"/>
      <c r="O57" s="33"/>
    </row>
    <row r="58" customFormat="false" ht="15" hidden="false" customHeight="false" outlineLevel="0" collapsed="false">
      <c r="A58" s="56" t="s">
        <v>140</v>
      </c>
      <c r="B58" s="56"/>
      <c r="C58" s="56"/>
      <c r="D58" s="56"/>
      <c r="E58" s="56"/>
      <c r="F58" s="56"/>
      <c r="G58" s="56"/>
      <c r="H58" s="56"/>
      <c r="I58" s="36" t="n">
        <f aca="false">SUM(I5:I53)</f>
        <v>4406592</v>
      </c>
      <c r="J58" s="33"/>
      <c r="K58" s="36" t="n">
        <f aca="false">SUM(K5:K53)</f>
        <v>6052610</v>
      </c>
      <c r="L58" s="36" t="n">
        <f aca="false">K58-I58</f>
        <v>1646018</v>
      </c>
      <c r="M58" s="57" t="n">
        <f aca="false">IF(I58=0,"",K58/I58-1)</f>
        <v>0.373535376091093</v>
      </c>
      <c r="N58" s="33" t="str">
        <f aca="false">IF(L58&gt;0,"CENTRAL",IF(L58&lt;0,"네오맥스","동일"))</f>
        <v>CENTRAL</v>
      </c>
      <c r="O58" s="58" t="s">
        <v>141</v>
      </c>
    </row>
    <row r="59" customFormat="false" ht="15" hidden="false" customHeight="false" outlineLevel="0" collapsed="false">
      <c r="A59" s="7" t="s">
        <v>142</v>
      </c>
    </row>
    <row r="60" customFormat="false" ht="15" hidden="false" customHeight="false" outlineLevel="0" collapsed="false">
      <c r="A60" s="3" t="s">
        <v>143</v>
      </c>
      <c r="I60" s="3" t="n">
        <f aca="false">COUNTIF(N5:N53,"CENTRAL")</f>
        <v>36</v>
      </c>
      <c r="J60" s="5" t="s">
        <v>144</v>
      </c>
      <c r="K60" s="3" t="n">
        <f aca="false">COUNTIF(N5:N53,"네오맥스")</f>
        <v>1</v>
      </c>
      <c r="L60" s="3" t="s">
        <v>145</v>
      </c>
    </row>
  </sheetData>
  <autoFilter ref="A4:O53"/>
  <mergeCells count="4">
    <mergeCell ref="A55:H55"/>
    <mergeCell ref="A56:H56"/>
    <mergeCell ref="A57:H57"/>
    <mergeCell ref="A58:H58"/>
  </mergeCells>
  <conditionalFormatting sqref="H5:I53">
    <cfRule type="expression" priority="2" aboveAverage="0" equalAverage="0" bottom="0" percent="0" rank="0" text="" dxfId="9">
      <formula>AND($A5="공통",$L5&gt;0)</formula>
    </cfRule>
  </conditionalFormatting>
  <conditionalFormatting sqref="J5:K53">
    <cfRule type="expression" priority="3" aboveAverage="0" equalAverage="0" bottom="0" percent="0" rank="0" text="" dxfId="9">
      <formula>AND($A5="공통",$L5&lt;0)</formula>
    </cfRule>
  </conditionalFormatting>
  <conditionalFormatting sqref="N5:N53">
    <cfRule type="expression" priority="4" aboveAverage="0" equalAverage="0" bottom="0" percent="0" rank="0" text="" dxfId="10">
      <formula>$N5="CENTRAL"</formula>
    </cfRule>
    <cfRule type="expression" priority="5" aboveAverage="0" equalAverage="0" bottom="0" percent="0" rank="0" text="" dxfId="11">
      <formula>$N5="네오맥스"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3" min="3" style="0" width="8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34"/>
    <col collapsed="false" customWidth="true" hidden="false" outlineLevel="0" max="7" min="7" style="0" width="9"/>
    <col collapsed="false" customWidth="true" hidden="false" outlineLevel="0" max="8" min="8" style="0" width="11"/>
    <col collapsed="false" customWidth="true" hidden="false" outlineLevel="0" max="9" min="9" style="0" width="16"/>
    <col collapsed="false" customWidth="true" hidden="false" outlineLevel="0" max="11" min="10" style="0" width="9"/>
    <col collapsed="false" customWidth="true" hidden="false" outlineLevel="0" max="14" min="12" style="0" width="11"/>
    <col collapsed="false" customWidth="true" hidden="false" outlineLevel="0" max="15" min="15" style="0" width="10"/>
    <col collapsed="false" customWidth="true" hidden="false" outlineLevel="0" max="16" min="16" style="0" width="36"/>
  </cols>
  <sheetData>
    <row r="1" customFormat="false" ht="20.1" hidden="false" customHeight="false" outlineLevel="0" collapsed="false">
      <c r="A1" s="38" t="s">
        <v>146</v>
      </c>
    </row>
    <row r="2" customFormat="false" ht="15" hidden="false" customHeight="false" outlineLevel="0" collapsed="false">
      <c r="A2" s="2" t="s">
        <v>147</v>
      </c>
    </row>
    <row r="4" customFormat="false" ht="42" hidden="false" customHeight="true" outlineLevel="0" collapsed="false">
      <c r="A4" s="10" t="s">
        <v>148</v>
      </c>
      <c r="B4" s="10" t="s">
        <v>149</v>
      </c>
      <c r="C4" s="10" t="s">
        <v>65</v>
      </c>
      <c r="D4" s="10" t="s">
        <v>69</v>
      </c>
      <c r="E4" s="10" t="s">
        <v>70</v>
      </c>
      <c r="F4" s="9" t="s">
        <v>150</v>
      </c>
      <c r="G4" s="9" t="s">
        <v>151</v>
      </c>
      <c r="H4" s="9" t="s">
        <v>72</v>
      </c>
      <c r="I4" s="9" t="s">
        <v>152</v>
      </c>
      <c r="J4" s="10" t="s">
        <v>153</v>
      </c>
      <c r="K4" s="9" t="s">
        <v>154</v>
      </c>
      <c r="L4" s="10" t="s">
        <v>155</v>
      </c>
      <c r="M4" s="9" t="s">
        <v>156</v>
      </c>
      <c r="N4" s="9" t="s">
        <v>157</v>
      </c>
      <c r="O4" s="9" t="s">
        <v>75</v>
      </c>
      <c r="P4" s="9" t="s">
        <v>76</v>
      </c>
    </row>
    <row r="5" customFormat="false" ht="35.05" hidden="false" customHeight="false" outlineLevel="0" collapsed="false">
      <c r="A5" s="39" t="n">
        <v>1</v>
      </c>
      <c r="B5" s="20" t="s">
        <v>158</v>
      </c>
      <c r="C5" s="39" t="n">
        <v>1</v>
      </c>
      <c r="D5" s="30" t="n">
        <v>1.15</v>
      </c>
      <c r="E5" s="18" t="n">
        <f aca="false">ROUND(D5*요약!$C$4*(1-요약!$C$5),0)</f>
        <v>1397</v>
      </c>
      <c r="F5" s="20" t="s">
        <v>159</v>
      </c>
      <c r="G5" s="16" t="n">
        <v>18</v>
      </c>
      <c r="H5" s="32" t="n">
        <v>1380</v>
      </c>
      <c r="I5" s="20" t="s">
        <v>160</v>
      </c>
      <c r="J5" s="59" t="n">
        <v>1</v>
      </c>
      <c r="K5" s="59" t="n">
        <v>1</v>
      </c>
      <c r="L5" s="18" t="n">
        <f aca="false">E5*J5</f>
        <v>1397</v>
      </c>
      <c r="M5" s="18" t="n">
        <f aca="false">H5*K5</f>
        <v>1380</v>
      </c>
      <c r="N5" s="19" t="n">
        <f aca="false">IF(L5=0,"",M5/L5-1)</f>
        <v>-0.0121689334287759</v>
      </c>
      <c r="O5" s="16" t="str">
        <f aca="false">IF(M5&gt;L5,"CENTRAL",IF(M5&lt;L5,"네오맥스","동일"))</f>
        <v>네오맥스</v>
      </c>
      <c r="P5" s="16"/>
    </row>
    <row r="6" customFormat="false" ht="26.85" hidden="false" customHeight="false" outlineLevel="0" collapsed="false">
      <c r="A6" s="39" t="n">
        <v>2</v>
      </c>
      <c r="B6" s="20" t="s">
        <v>161</v>
      </c>
      <c r="C6" s="39" t="n">
        <v>2</v>
      </c>
      <c r="D6" s="30" t="n">
        <v>4.42</v>
      </c>
      <c r="E6" s="18" t="n">
        <f aca="false">ROUND(D6*요약!$C$4*(1-요약!$C$5),0)</f>
        <v>5370</v>
      </c>
      <c r="F6" s="20" t="s">
        <v>162</v>
      </c>
      <c r="G6" s="16" t="n">
        <v>22</v>
      </c>
      <c r="H6" s="32" t="n">
        <v>6320</v>
      </c>
      <c r="I6" s="20" t="s">
        <v>163</v>
      </c>
      <c r="J6" s="59" t="n">
        <v>1</v>
      </c>
      <c r="K6" s="59" t="n">
        <v>1</v>
      </c>
      <c r="L6" s="18" t="n">
        <f aca="false">E6*J6</f>
        <v>5370</v>
      </c>
      <c r="M6" s="18" t="n">
        <f aca="false">H6*K6</f>
        <v>6320</v>
      </c>
      <c r="N6" s="19" t="n">
        <f aca="false">IF(L6=0,"",M6/L6-1)</f>
        <v>0.176908752327747</v>
      </c>
      <c r="O6" s="16" t="str">
        <f aca="false">IF(M6&gt;L6,"CENTRAL",IF(M6&lt;L6,"네오맥스","동일"))</f>
        <v>CENTRAL</v>
      </c>
      <c r="P6" s="16" t="s">
        <v>164</v>
      </c>
    </row>
    <row r="7" customFormat="false" ht="23.85" hidden="false" customHeight="false" outlineLevel="0" collapsed="false">
      <c r="A7" s="39" t="n">
        <v>3</v>
      </c>
      <c r="B7" s="20" t="s">
        <v>165</v>
      </c>
      <c r="C7" s="39" t="n">
        <v>5</v>
      </c>
      <c r="D7" s="30" t="n">
        <v>7.08</v>
      </c>
      <c r="E7" s="18" t="n">
        <f aca="false">ROUND(D7*요약!$C$4*(1-요약!$C$5),0)</f>
        <v>8602</v>
      </c>
      <c r="F7" s="20" t="s">
        <v>166</v>
      </c>
      <c r="G7" s="16" t="n">
        <v>23</v>
      </c>
      <c r="H7" s="32" t="n">
        <v>17710</v>
      </c>
      <c r="I7" s="20" t="s">
        <v>167</v>
      </c>
      <c r="J7" s="59" t="n">
        <v>1</v>
      </c>
      <c r="K7" s="59" t="n">
        <v>0.5</v>
      </c>
      <c r="L7" s="18" t="n">
        <f aca="false">E7*J7</f>
        <v>8602</v>
      </c>
      <c r="M7" s="18" t="n">
        <f aca="false">H7*K7</f>
        <v>8855</v>
      </c>
      <c r="N7" s="19" t="n">
        <f aca="false">IF(L7=0,"",M7/L7-1)</f>
        <v>0.0294117647058823</v>
      </c>
      <c r="O7" s="16" t="str">
        <f aca="false">IF(M7&gt;L7,"CENTRAL",IF(M7&lt;L7,"네오맥스","동일"))</f>
        <v>CENTRAL</v>
      </c>
      <c r="P7" s="16" t="s">
        <v>168</v>
      </c>
    </row>
    <row r="8" customFormat="false" ht="26.85" hidden="false" customHeight="false" outlineLevel="0" collapsed="false">
      <c r="A8" s="39" t="n">
        <v>4</v>
      </c>
      <c r="B8" s="20" t="s">
        <v>169</v>
      </c>
      <c r="C8" s="39" t="n">
        <v>40</v>
      </c>
      <c r="D8" s="30" t="n">
        <v>90.23</v>
      </c>
      <c r="E8" s="18" t="n">
        <f aca="false">ROUND(D8*요약!$C$4*(1-요약!$C$5),0)</f>
        <v>109629</v>
      </c>
      <c r="F8" s="20" t="s">
        <v>170</v>
      </c>
      <c r="G8" s="16" t="n">
        <v>47</v>
      </c>
      <c r="H8" s="32" t="n">
        <v>35420</v>
      </c>
      <c r="I8" s="20" t="s">
        <v>171</v>
      </c>
      <c r="J8" s="59" t="n">
        <v>1</v>
      </c>
      <c r="K8" s="59" t="n">
        <v>1</v>
      </c>
      <c r="L8" s="18" t="n">
        <f aca="false">E8*J8</f>
        <v>109629</v>
      </c>
      <c r="M8" s="18" t="n">
        <f aca="false">H8*K8</f>
        <v>35420</v>
      </c>
      <c r="N8" s="19" t="n">
        <f aca="false">IF(L8=0,"",M8/L8-1)</f>
        <v>-0.676910306579464</v>
      </c>
      <c r="O8" s="16" t="str">
        <f aca="false">IF(M8&gt;L8,"CENTRAL",IF(M8&lt;L8,"네오맥스","동일"))</f>
        <v>네오맥스</v>
      </c>
      <c r="P8" s="20" t="s">
        <v>172</v>
      </c>
    </row>
    <row r="9" customFormat="false" ht="23.85" hidden="false" customHeight="false" outlineLevel="0" collapsed="false">
      <c r="A9" s="39" t="n">
        <v>5</v>
      </c>
      <c r="B9" s="20" t="s">
        <v>173</v>
      </c>
      <c r="C9" s="39" t="n">
        <v>41</v>
      </c>
      <c r="D9" s="30" t="n">
        <v>3.54</v>
      </c>
      <c r="E9" s="18" t="n">
        <f aca="false">ROUND(D9*요약!$C$4*(1-요약!$C$5),0)</f>
        <v>4301</v>
      </c>
      <c r="F9" s="20" t="s">
        <v>174</v>
      </c>
      <c r="G9" s="16" t="n">
        <v>48</v>
      </c>
      <c r="H9" s="32" t="n">
        <v>4420</v>
      </c>
      <c r="I9" s="20" t="s">
        <v>175</v>
      </c>
      <c r="J9" s="59" t="n">
        <v>1</v>
      </c>
      <c r="K9" s="59" t="n">
        <v>1</v>
      </c>
      <c r="L9" s="18" t="n">
        <f aca="false">E9*J9</f>
        <v>4301</v>
      </c>
      <c r="M9" s="18" t="n">
        <f aca="false">H9*K9</f>
        <v>4420</v>
      </c>
      <c r="N9" s="19" t="n">
        <f aca="false">IF(L9=0,"",M9/L9-1)</f>
        <v>0.0276679841897234</v>
      </c>
      <c r="O9" s="16" t="str">
        <f aca="false">IF(M9&gt;L9,"CENTRAL",IF(M9&lt;L9,"네오맥스","동일"))</f>
        <v>CENTRAL</v>
      </c>
      <c r="P9" s="16"/>
    </row>
    <row r="10" customFormat="false" ht="23.85" hidden="false" customHeight="false" outlineLevel="0" collapsed="false">
      <c r="A10" s="39" t="n">
        <v>6</v>
      </c>
      <c r="B10" s="20" t="s">
        <v>176</v>
      </c>
      <c r="C10" s="39" t="n">
        <v>42</v>
      </c>
      <c r="D10" s="30" t="n">
        <v>3.98</v>
      </c>
      <c r="E10" s="18" t="n">
        <f aca="false">ROUND(D10*요약!$C$4*(1-요약!$C$5),0)</f>
        <v>4836</v>
      </c>
      <c r="F10" s="20" t="s">
        <v>177</v>
      </c>
      <c r="G10" s="16" t="n">
        <v>49</v>
      </c>
      <c r="H10" s="32" t="n">
        <v>5060</v>
      </c>
      <c r="I10" s="20" t="s">
        <v>175</v>
      </c>
      <c r="J10" s="59" t="n">
        <v>1</v>
      </c>
      <c r="K10" s="59" t="n">
        <v>1</v>
      </c>
      <c r="L10" s="18" t="n">
        <f aca="false">E10*J10</f>
        <v>4836</v>
      </c>
      <c r="M10" s="18" t="n">
        <f aca="false">H10*K10</f>
        <v>5060</v>
      </c>
      <c r="N10" s="19" t="n">
        <f aca="false">IF(L10=0,"",M10/L10-1)</f>
        <v>0.0463192721257237</v>
      </c>
      <c r="O10" s="16" t="str">
        <f aca="false">IF(M10&gt;L10,"CENTRAL",IF(M10&lt;L10,"네오맥스","동일"))</f>
        <v>CENTRAL</v>
      </c>
      <c r="P10" s="16"/>
    </row>
    <row r="11" customFormat="false" ht="26.85" hidden="false" customHeight="false" outlineLevel="0" collapsed="false">
      <c r="A11" s="39" t="n">
        <v>7</v>
      </c>
      <c r="B11" s="20" t="s">
        <v>178</v>
      </c>
      <c r="C11" s="39" t="n">
        <v>45</v>
      </c>
      <c r="D11" s="30" t="n">
        <v>35.38</v>
      </c>
      <c r="E11" s="18" t="n">
        <f aca="false">ROUND(D11*요약!$C$4*(1-요약!$C$5),0)</f>
        <v>42987</v>
      </c>
      <c r="F11" s="20" t="s">
        <v>179</v>
      </c>
      <c r="G11" s="16" t="n">
        <v>66</v>
      </c>
      <c r="H11" s="32" t="n">
        <v>50600</v>
      </c>
      <c r="I11" s="20" t="s">
        <v>180</v>
      </c>
      <c r="J11" s="59" t="n">
        <v>1</v>
      </c>
      <c r="K11" s="59" t="n">
        <v>1</v>
      </c>
      <c r="L11" s="18" t="n">
        <f aca="false">E11*J11</f>
        <v>42987</v>
      </c>
      <c r="M11" s="18" t="n">
        <f aca="false">H11*K11</f>
        <v>50600</v>
      </c>
      <c r="N11" s="19" t="n">
        <f aca="false">IF(L11=0,"",M11/L11-1)</f>
        <v>0.177100053504548</v>
      </c>
      <c r="O11" s="16" t="str">
        <f aca="false">IF(M11&gt;L11,"CENTRAL",IF(M11&lt;L11,"네오맥스","동일"))</f>
        <v>CENTRAL</v>
      </c>
      <c r="P11" s="20" t="s">
        <v>181</v>
      </c>
    </row>
    <row r="12" customFormat="false" ht="15" hidden="false" customHeight="false" outlineLevel="0" collapsed="false">
      <c r="A12" s="39" t="n">
        <v>8</v>
      </c>
      <c r="B12" s="20" t="s">
        <v>182</v>
      </c>
      <c r="C12" s="39" t="n">
        <v>54</v>
      </c>
      <c r="D12" s="30" t="n">
        <v>1.51</v>
      </c>
      <c r="E12" s="18" t="n">
        <f aca="false">ROUND(D12*요약!$C$4*(1-요약!$C$5),0)</f>
        <v>1835</v>
      </c>
      <c r="F12" s="20" t="s">
        <v>183</v>
      </c>
      <c r="G12" s="16" t="n">
        <v>8</v>
      </c>
      <c r="H12" s="32" t="n">
        <v>2530</v>
      </c>
      <c r="I12" s="20" t="s">
        <v>184</v>
      </c>
      <c r="J12" s="59" t="n">
        <v>1</v>
      </c>
      <c r="K12" s="59" t="n">
        <v>1</v>
      </c>
      <c r="L12" s="18" t="n">
        <f aca="false">E12*J12</f>
        <v>1835</v>
      </c>
      <c r="M12" s="18" t="n">
        <f aca="false">H12*K12</f>
        <v>2530</v>
      </c>
      <c r="N12" s="19" t="n">
        <f aca="false">IF(L12=0,"",M12/L12-1)</f>
        <v>0.37874659400545</v>
      </c>
      <c r="O12" s="16" t="str">
        <f aca="false">IF(M12&gt;L12,"CENTRAL",IF(M12&lt;L12,"네오맥스","동일"))</f>
        <v>CENTRAL</v>
      </c>
      <c r="P12" s="16" t="s">
        <v>185</v>
      </c>
    </row>
    <row r="13" customFormat="false" ht="15" hidden="false" customHeight="false" outlineLevel="0" collapsed="false">
      <c r="A13" s="39" t="n">
        <v>9</v>
      </c>
      <c r="B13" s="20" t="s">
        <v>186</v>
      </c>
      <c r="C13" s="39" t="n">
        <v>55</v>
      </c>
      <c r="D13" s="30" t="n">
        <v>0.88</v>
      </c>
      <c r="E13" s="18" t="n">
        <f aca="false">ROUND(D13*요약!$C$4*(1-요약!$C$5),0)</f>
        <v>1069</v>
      </c>
      <c r="F13" s="20" t="s">
        <v>183</v>
      </c>
      <c r="G13" s="16" t="n">
        <v>9</v>
      </c>
      <c r="H13" s="32" t="n">
        <v>1510</v>
      </c>
      <c r="I13" s="20" t="s">
        <v>187</v>
      </c>
      <c r="J13" s="59" t="n">
        <v>1</v>
      </c>
      <c r="K13" s="59" t="n">
        <v>1</v>
      </c>
      <c r="L13" s="18" t="n">
        <f aca="false">E13*J13</f>
        <v>1069</v>
      </c>
      <c r="M13" s="18" t="n">
        <f aca="false">H13*K13</f>
        <v>1510</v>
      </c>
      <c r="N13" s="19" t="n">
        <f aca="false">IF(L13=0,"",M13/L13-1)</f>
        <v>0.412535079513564</v>
      </c>
      <c r="O13" s="16" t="str">
        <f aca="false">IF(M13&gt;L13,"CENTRAL",IF(M13&lt;L13,"네오맥스","동일"))</f>
        <v>CENTRAL</v>
      </c>
      <c r="P13" s="16" t="s">
        <v>188</v>
      </c>
    </row>
    <row r="14" customFormat="false" ht="35.05" hidden="false" customHeight="false" outlineLevel="0" collapsed="false">
      <c r="A14" s="39" t="n">
        <v>10</v>
      </c>
      <c r="B14" s="20" t="s">
        <v>189</v>
      </c>
      <c r="C14" s="39" t="n">
        <v>52</v>
      </c>
      <c r="D14" s="30" t="n">
        <v>7.52</v>
      </c>
      <c r="E14" s="18" t="n">
        <f aca="false">ROUND(D14*요약!$C$4*(1-요약!$C$5),0)</f>
        <v>9137</v>
      </c>
      <c r="F14" s="20" t="s">
        <v>190</v>
      </c>
      <c r="G14" s="16" t="n">
        <v>6</v>
      </c>
      <c r="H14" s="32" t="n">
        <v>115</v>
      </c>
      <c r="I14" s="20" t="s">
        <v>191</v>
      </c>
      <c r="J14" s="59" t="n">
        <v>0.02</v>
      </c>
      <c r="K14" s="59" t="n">
        <v>1</v>
      </c>
      <c r="L14" s="18" t="n">
        <f aca="false">E14*J14</f>
        <v>182.74</v>
      </c>
      <c r="M14" s="18" t="n">
        <f aca="false">H14*K14</f>
        <v>115</v>
      </c>
      <c r="N14" s="19" t="n">
        <f aca="false">IF(L14=0,"",M14/L14-1)</f>
        <v>-0.37069059866477</v>
      </c>
      <c r="O14" s="16" t="str">
        <f aca="false">IF(M14&gt;L14,"CENTRAL",IF(M14&lt;L14,"네오맥스","동일"))</f>
        <v>네오맥스</v>
      </c>
      <c r="P14" s="20" t="s">
        <v>192</v>
      </c>
    </row>
    <row r="15" customFormat="false" ht="35.05" hidden="false" customHeight="false" outlineLevel="0" collapsed="false">
      <c r="A15" s="39" t="n">
        <v>11</v>
      </c>
      <c r="B15" s="20" t="s">
        <v>193</v>
      </c>
      <c r="C15" s="39" t="n">
        <v>3</v>
      </c>
      <c r="D15" s="30" t="n">
        <v>4.42</v>
      </c>
      <c r="E15" s="18" t="n">
        <f aca="false">ROUND(D15*요약!$C$4*(1-요약!$C$5),0)</f>
        <v>5370</v>
      </c>
      <c r="F15" s="20" t="s">
        <v>194</v>
      </c>
      <c r="G15" s="20" t="s">
        <v>195</v>
      </c>
      <c r="H15" s="32" t="n">
        <v>50600</v>
      </c>
      <c r="I15" s="20" t="s">
        <v>196</v>
      </c>
      <c r="J15" s="59" t="n">
        <v>1</v>
      </c>
      <c r="K15" s="59" t="n">
        <v>1</v>
      </c>
      <c r="L15" s="18" t="n">
        <f aca="false">E15*J15</f>
        <v>5370</v>
      </c>
      <c r="M15" s="18" t="n">
        <f aca="false">H15*K15</f>
        <v>50600</v>
      </c>
      <c r="N15" s="19" t="n">
        <f aca="false">IF(L15=0,"",M15/L15-1)</f>
        <v>8.42271880819367</v>
      </c>
      <c r="O15" s="16" t="str">
        <f aca="false">IF(M15&gt;L15,"CENTRAL",IF(M15&lt;L15,"네오맥스","동일"))</f>
        <v>CENTRAL</v>
      </c>
      <c r="P15" s="16" t="s">
        <v>197</v>
      </c>
    </row>
    <row r="17" customFormat="false" ht="15" hidden="false" customHeight="false" outlineLevel="0" collapsed="false">
      <c r="A17" s="2" t="s">
        <v>198</v>
      </c>
    </row>
  </sheetData>
  <conditionalFormatting sqref="O5:O15">
    <cfRule type="expression" priority="2" aboveAverage="0" equalAverage="0" bottom="0" percent="0" rank="0" text="" dxfId="10">
      <formula>$O5="CENTRAL"</formula>
    </cfRule>
    <cfRule type="expression" priority="3" aboveAverage="0" equalAverage="0" bottom="0" percent="0" rank="0" text="" dxfId="11">
      <formula>$O5="네오맥스"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1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5"/>
    <col collapsed="false" customWidth="true" hidden="false" outlineLevel="0" max="3" min="3" style="0" width="9"/>
    <col collapsed="false" customWidth="true" hidden="false" outlineLevel="0" max="4" min="4" style="0" width="44"/>
    <col collapsed="false" customWidth="true" hidden="false" outlineLevel="0" max="6" min="5" style="0" width="6"/>
    <col collapsed="false" customWidth="true" hidden="false" outlineLevel="0" max="7" min="7" style="0" width="11"/>
    <col collapsed="false" customWidth="true" hidden="false" outlineLevel="0" max="9" min="8" style="0" width="14"/>
    <col collapsed="false" customWidth="true" hidden="false" outlineLevel="0" max="10" min="10" style="0" width="11"/>
    <col collapsed="false" customWidth="true" hidden="false" outlineLevel="0" max="11" min="11" style="0" width="40"/>
  </cols>
  <sheetData>
    <row r="1" customFormat="false" ht="20.1" hidden="false" customHeight="false" outlineLevel="0" collapsed="false">
      <c r="A1" s="38" t="s">
        <v>199</v>
      </c>
    </row>
    <row r="2" customFormat="false" ht="15" hidden="false" customHeight="false" outlineLevel="0" collapsed="false">
      <c r="A2" s="2" t="s">
        <v>200</v>
      </c>
    </row>
    <row r="4" customFormat="false" ht="36" hidden="false" customHeight="true" outlineLevel="0" collapsed="false">
      <c r="A4" s="9" t="s">
        <v>18</v>
      </c>
      <c r="B4" s="10" t="s">
        <v>201</v>
      </c>
      <c r="C4" s="10" t="s">
        <v>202</v>
      </c>
      <c r="D4" s="9" t="s">
        <v>66</v>
      </c>
      <c r="E4" s="9" t="s">
        <v>67</v>
      </c>
      <c r="F4" s="9" t="s">
        <v>68</v>
      </c>
      <c r="G4" s="9" t="s">
        <v>203</v>
      </c>
      <c r="H4" s="9" t="s">
        <v>204</v>
      </c>
      <c r="I4" s="9" t="s">
        <v>205</v>
      </c>
      <c r="J4" s="9" t="s">
        <v>206</v>
      </c>
      <c r="K4" s="9" t="s">
        <v>76</v>
      </c>
    </row>
    <row r="5" customFormat="false" ht="15" hidden="false" customHeight="false" outlineLevel="0" collapsed="false">
      <c r="A5" s="60" t="s">
        <v>207</v>
      </c>
      <c r="B5" s="60"/>
      <c r="C5" s="60"/>
      <c r="D5" s="60"/>
      <c r="E5" s="60"/>
      <c r="F5" s="60"/>
      <c r="G5" s="60"/>
      <c r="H5" s="60"/>
      <c r="I5" s="60"/>
      <c r="J5" s="60"/>
      <c r="K5" s="60"/>
    </row>
    <row r="6" customFormat="false" ht="15" hidden="false" customHeight="false" outlineLevel="0" collapsed="false">
      <c r="A6" s="29" t="s">
        <v>208</v>
      </c>
      <c r="B6" s="29" t="n">
        <v>1</v>
      </c>
      <c r="C6" s="29"/>
      <c r="D6" s="20" t="s">
        <v>209</v>
      </c>
      <c r="E6" s="16" t="n">
        <v>2</v>
      </c>
      <c r="F6" s="20" t="s">
        <v>210</v>
      </c>
      <c r="G6" s="32" t="n">
        <v>442750</v>
      </c>
      <c r="H6" s="32" t="n">
        <v>885500</v>
      </c>
      <c r="I6" s="18" t="n">
        <f aca="false">E6*G6</f>
        <v>885500</v>
      </c>
      <c r="J6" s="18" t="n">
        <f aca="false">H6-I6</f>
        <v>0</v>
      </c>
      <c r="K6" s="20" t="s">
        <v>211</v>
      </c>
    </row>
    <row r="7" customFormat="false" ht="15" hidden="false" customHeight="true" outlineLevel="0" collapsed="false">
      <c r="A7" s="61" t="s">
        <v>212</v>
      </c>
      <c r="B7" s="61"/>
      <c r="C7" s="61"/>
      <c r="D7" s="61"/>
      <c r="E7" s="61"/>
      <c r="F7" s="61"/>
      <c r="G7" s="61"/>
      <c r="H7" s="36" t="n">
        <f aca="false">SUM(H6:H6)</f>
        <v>885500</v>
      </c>
      <c r="I7" s="36" t="n">
        <f aca="false">SUM(I6:I6)</f>
        <v>885500</v>
      </c>
      <c r="J7" s="36" t="n">
        <f aca="false">H7-I7</f>
        <v>0</v>
      </c>
      <c r="K7" s="33"/>
    </row>
    <row r="8" customFormat="false" ht="15" hidden="false" customHeight="true" outlineLevel="0" collapsed="false">
      <c r="A8" s="61" t="s">
        <v>213</v>
      </c>
      <c r="B8" s="61"/>
      <c r="C8" s="61"/>
      <c r="D8" s="61"/>
      <c r="E8" s="61"/>
      <c r="F8" s="61"/>
      <c r="G8" s="61"/>
      <c r="H8" s="62" t="n">
        <v>885500</v>
      </c>
      <c r="I8" s="33"/>
      <c r="J8" s="36" t="n">
        <f aca="false">H8-H7</f>
        <v>0</v>
      </c>
      <c r="K8" s="33" t="str">
        <f aca="false">IF(J8=0,"행 합계와 일치","⚠ 행 합계와 "&amp;TEXT(J8,"#,##0")&amp;"원 차이")</f>
        <v>행 합계와 일치</v>
      </c>
    </row>
    <row r="10" customFormat="false" ht="15" hidden="false" customHeight="false" outlineLevel="0" collapsed="false">
      <c r="A10" s="60" t="s">
        <v>214</v>
      </c>
      <c r="B10" s="60"/>
      <c r="C10" s="60"/>
      <c r="D10" s="60"/>
      <c r="E10" s="60"/>
      <c r="F10" s="60"/>
      <c r="G10" s="60"/>
      <c r="H10" s="60"/>
      <c r="I10" s="60"/>
      <c r="J10" s="60"/>
      <c r="K10" s="60"/>
    </row>
    <row r="11" customFormat="false" ht="15" hidden="false" customHeight="false" outlineLevel="0" collapsed="false">
      <c r="A11" s="29" t="s">
        <v>46</v>
      </c>
      <c r="B11" s="29" t="n">
        <v>1</v>
      </c>
      <c r="C11" s="29"/>
      <c r="D11" s="20" t="s">
        <v>215</v>
      </c>
      <c r="E11" s="20" t="n">
        <v>10</v>
      </c>
      <c r="F11" s="20" t="s">
        <v>216</v>
      </c>
      <c r="G11" s="32" t="n">
        <v>37690</v>
      </c>
      <c r="H11" s="32" t="n">
        <v>376900</v>
      </c>
      <c r="I11" s="18" t="n">
        <f aca="false">E11*G11</f>
        <v>376900</v>
      </c>
      <c r="J11" s="18" t="n">
        <f aca="false">H11-I11</f>
        <v>0</v>
      </c>
      <c r="K11" s="20"/>
    </row>
    <row r="12" customFormat="false" ht="15" hidden="false" customHeight="false" outlineLevel="0" collapsed="false">
      <c r="A12" s="29" t="s">
        <v>46</v>
      </c>
      <c r="B12" s="29" t="n">
        <v>2</v>
      </c>
      <c r="C12" s="29"/>
      <c r="D12" s="20" t="s">
        <v>217</v>
      </c>
      <c r="E12" s="20" t="n">
        <v>2</v>
      </c>
      <c r="F12" s="20" t="s">
        <v>216</v>
      </c>
      <c r="G12" s="32" t="n">
        <v>78430</v>
      </c>
      <c r="H12" s="32" t="n">
        <v>156860</v>
      </c>
      <c r="I12" s="18" t="n">
        <f aca="false">E12*G12</f>
        <v>156860</v>
      </c>
      <c r="J12" s="18" t="n">
        <f aca="false">H12-I12</f>
        <v>0</v>
      </c>
      <c r="K12" s="20"/>
    </row>
    <row r="13" customFormat="false" ht="15" hidden="false" customHeight="false" outlineLevel="0" collapsed="false">
      <c r="A13" s="29" t="s">
        <v>46</v>
      </c>
      <c r="B13" s="29" t="n">
        <v>3</v>
      </c>
      <c r="C13" s="29"/>
      <c r="D13" s="20" t="s">
        <v>218</v>
      </c>
      <c r="E13" s="20" t="n">
        <v>6</v>
      </c>
      <c r="F13" s="20" t="s">
        <v>79</v>
      </c>
      <c r="G13" s="32" t="n">
        <v>251730</v>
      </c>
      <c r="H13" s="32" t="n">
        <v>1510380</v>
      </c>
      <c r="I13" s="18" t="n">
        <f aca="false">E13*G13</f>
        <v>1510380</v>
      </c>
      <c r="J13" s="18" t="n">
        <f aca="false">H13-I13</f>
        <v>0</v>
      </c>
      <c r="K13" s="20"/>
    </row>
    <row r="14" customFormat="false" ht="15" hidden="false" customHeight="false" outlineLevel="0" collapsed="false">
      <c r="A14" s="29" t="s">
        <v>46</v>
      </c>
      <c r="B14" s="29" t="n">
        <v>4</v>
      </c>
      <c r="C14" s="29" t="s">
        <v>219</v>
      </c>
      <c r="D14" s="20" t="s">
        <v>220</v>
      </c>
      <c r="E14" s="20" t="n">
        <v>10</v>
      </c>
      <c r="F14" s="20" t="s">
        <v>79</v>
      </c>
      <c r="G14" s="32" t="n">
        <v>4040</v>
      </c>
      <c r="H14" s="32" t="n">
        <v>40400</v>
      </c>
      <c r="I14" s="18" t="n">
        <f aca="false">E14*G14</f>
        <v>40400</v>
      </c>
      <c r="J14" s="18" t="n">
        <f aca="false">H14-I14</f>
        <v>0</v>
      </c>
      <c r="K14" s="20"/>
    </row>
    <row r="15" customFormat="false" ht="15" hidden="false" customHeight="false" outlineLevel="0" collapsed="false">
      <c r="A15" s="29" t="s">
        <v>46</v>
      </c>
      <c r="B15" s="29" t="n">
        <v>5</v>
      </c>
      <c r="C15" s="29" t="s">
        <v>221</v>
      </c>
      <c r="D15" s="20" t="s">
        <v>222</v>
      </c>
      <c r="E15" s="20" t="n">
        <v>5</v>
      </c>
      <c r="F15" s="20" t="s">
        <v>79</v>
      </c>
      <c r="G15" s="32" t="n">
        <v>880</v>
      </c>
      <c r="H15" s="32" t="n">
        <v>4400</v>
      </c>
      <c r="I15" s="18" t="n">
        <f aca="false">E15*G15</f>
        <v>4400</v>
      </c>
      <c r="J15" s="18" t="n">
        <f aca="false">H15-I15</f>
        <v>0</v>
      </c>
      <c r="K15" s="20"/>
    </row>
    <row r="16" customFormat="false" ht="15" hidden="false" customHeight="false" outlineLevel="0" collapsed="false">
      <c r="A16" s="29" t="s">
        <v>46</v>
      </c>
      <c r="B16" s="29" t="n">
        <v>6</v>
      </c>
      <c r="C16" s="29" t="s">
        <v>223</v>
      </c>
      <c r="D16" s="20" t="s">
        <v>190</v>
      </c>
      <c r="E16" s="20" t="n">
        <v>200</v>
      </c>
      <c r="F16" s="20" t="s">
        <v>79</v>
      </c>
      <c r="G16" s="32" t="n">
        <v>115</v>
      </c>
      <c r="H16" s="32" t="n">
        <v>24000</v>
      </c>
      <c r="I16" s="18" t="n">
        <f aca="false">E16*G16</f>
        <v>23000</v>
      </c>
      <c r="J16" s="18" t="n">
        <f aca="false">H16-I16</f>
        <v>1000</v>
      </c>
      <c r="K16" s="20"/>
    </row>
    <row r="17" customFormat="false" ht="15" hidden="false" customHeight="false" outlineLevel="0" collapsed="false">
      <c r="A17" s="29" t="s">
        <v>46</v>
      </c>
      <c r="B17" s="29" t="n">
        <v>7</v>
      </c>
      <c r="C17" s="29" t="s">
        <v>224</v>
      </c>
      <c r="D17" s="20" t="s">
        <v>225</v>
      </c>
      <c r="E17" s="20" t="n">
        <v>10</v>
      </c>
      <c r="F17" s="20" t="s">
        <v>79</v>
      </c>
      <c r="G17" s="32" t="n">
        <v>863</v>
      </c>
      <c r="H17" s="32" t="n">
        <v>9400</v>
      </c>
      <c r="I17" s="18" t="n">
        <f aca="false">E17*G17</f>
        <v>8630</v>
      </c>
      <c r="J17" s="18" t="n">
        <f aca="false">H17-I17</f>
        <v>770</v>
      </c>
      <c r="K17" s="20"/>
    </row>
    <row r="18" customFormat="false" ht="15" hidden="false" customHeight="false" outlineLevel="0" collapsed="false">
      <c r="A18" s="29" t="s">
        <v>46</v>
      </c>
      <c r="B18" s="29" t="n">
        <v>8</v>
      </c>
      <c r="C18" s="29" t="s">
        <v>226</v>
      </c>
      <c r="D18" s="20" t="s">
        <v>183</v>
      </c>
      <c r="E18" s="20" t="n">
        <v>10</v>
      </c>
      <c r="F18" s="20" t="s">
        <v>79</v>
      </c>
      <c r="G18" s="32" t="n">
        <v>2530</v>
      </c>
      <c r="H18" s="32" t="n">
        <v>25300</v>
      </c>
      <c r="I18" s="18" t="n">
        <f aca="false">E18*G18</f>
        <v>25300</v>
      </c>
      <c r="J18" s="18" t="n">
        <f aca="false">H18-I18</f>
        <v>0</v>
      </c>
      <c r="K18" s="20"/>
    </row>
    <row r="19" customFormat="false" ht="15" hidden="false" customHeight="false" outlineLevel="0" collapsed="false">
      <c r="A19" s="29" t="s">
        <v>46</v>
      </c>
      <c r="B19" s="29" t="n">
        <v>9</v>
      </c>
      <c r="C19" s="29" t="s">
        <v>227</v>
      </c>
      <c r="D19" s="20" t="s">
        <v>183</v>
      </c>
      <c r="E19" s="20" t="n">
        <v>30</v>
      </c>
      <c r="F19" s="20" t="s">
        <v>79</v>
      </c>
      <c r="G19" s="32" t="n">
        <v>1510</v>
      </c>
      <c r="H19" s="32" t="n">
        <v>45300</v>
      </c>
      <c r="I19" s="18" t="n">
        <f aca="false">E19*G19</f>
        <v>45300</v>
      </c>
      <c r="J19" s="18" t="n">
        <f aca="false">H19-I19</f>
        <v>0</v>
      </c>
      <c r="K19" s="20"/>
    </row>
    <row r="20" customFormat="false" ht="15" hidden="false" customHeight="false" outlineLevel="0" collapsed="false">
      <c r="A20" s="29" t="s">
        <v>46</v>
      </c>
      <c r="B20" s="29" t="n">
        <v>10</v>
      </c>
      <c r="C20" s="29" t="s">
        <v>228</v>
      </c>
      <c r="D20" s="20" t="s">
        <v>229</v>
      </c>
      <c r="E20" s="20" t="n">
        <v>10</v>
      </c>
      <c r="F20" s="20" t="s">
        <v>79</v>
      </c>
      <c r="G20" s="32" t="n">
        <v>2530</v>
      </c>
      <c r="H20" s="32" t="n">
        <v>25300</v>
      </c>
      <c r="I20" s="18" t="n">
        <f aca="false">E20*G20</f>
        <v>25300</v>
      </c>
      <c r="J20" s="18" t="n">
        <f aca="false">H20-I20</f>
        <v>0</v>
      </c>
      <c r="K20" s="20"/>
    </row>
    <row r="21" customFormat="false" ht="15" hidden="false" customHeight="false" outlineLevel="0" collapsed="false">
      <c r="A21" s="29" t="s">
        <v>46</v>
      </c>
      <c r="B21" s="29" t="n">
        <v>11</v>
      </c>
      <c r="C21" s="29" t="s">
        <v>230</v>
      </c>
      <c r="D21" s="20" t="s">
        <v>229</v>
      </c>
      <c r="E21" s="20" t="n">
        <v>10</v>
      </c>
      <c r="F21" s="20" t="s">
        <v>79</v>
      </c>
      <c r="G21" s="32" t="n">
        <v>2530</v>
      </c>
      <c r="H21" s="32" t="n">
        <v>25300</v>
      </c>
      <c r="I21" s="18" t="n">
        <f aca="false">E21*G21</f>
        <v>25300</v>
      </c>
      <c r="J21" s="18" t="n">
        <f aca="false">H21-I21</f>
        <v>0</v>
      </c>
      <c r="K21" s="20"/>
    </row>
    <row r="22" customFormat="false" ht="15" hidden="false" customHeight="false" outlineLevel="0" collapsed="false">
      <c r="A22" s="29" t="s">
        <v>46</v>
      </c>
      <c r="B22" s="29" t="n">
        <v>12</v>
      </c>
      <c r="C22" s="29" t="s">
        <v>231</v>
      </c>
      <c r="D22" s="20" t="s">
        <v>232</v>
      </c>
      <c r="E22" s="20" t="n">
        <v>100</v>
      </c>
      <c r="F22" s="20" t="s">
        <v>79</v>
      </c>
      <c r="G22" s="32" t="n">
        <v>1640</v>
      </c>
      <c r="H22" s="32" t="n">
        <v>164000</v>
      </c>
      <c r="I22" s="18" t="n">
        <f aca="false">E22*G22</f>
        <v>164000</v>
      </c>
      <c r="J22" s="18" t="n">
        <f aca="false">H22-I22</f>
        <v>0</v>
      </c>
      <c r="K22" s="20" t="s">
        <v>233</v>
      </c>
    </row>
    <row r="23" customFormat="false" ht="15" hidden="false" customHeight="false" outlineLevel="0" collapsed="false">
      <c r="A23" s="29" t="s">
        <v>46</v>
      </c>
      <c r="B23" s="29" t="n">
        <v>13</v>
      </c>
      <c r="C23" s="29" t="s">
        <v>234</v>
      </c>
      <c r="D23" s="20" t="s">
        <v>235</v>
      </c>
      <c r="E23" s="20" t="n">
        <v>5</v>
      </c>
      <c r="F23" s="20" t="s">
        <v>79</v>
      </c>
      <c r="G23" s="32" t="n">
        <v>11380</v>
      </c>
      <c r="H23" s="32" t="n">
        <v>56900</v>
      </c>
      <c r="I23" s="18" t="n">
        <f aca="false">E23*G23</f>
        <v>56900</v>
      </c>
      <c r="J23" s="18" t="n">
        <f aca="false">H23-I23</f>
        <v>0</v>
      </c>
      <c r="K23" s="20" t="s">
        <v>236</v>
      </c>
    </row>
    <row r="24" customFormat="false" ht="15" hidden="false" customHeight="false" outlineLevel="0" collapsed="false">
      <c r="A24" s="29" t="s">
        <v>46</v>
      </c>
      <c r="B24" s="29" t="n">
        <v>14</v>
      </c>
      <c r="C24" s="29" t="s">
        <v>237</v>
      </c>
      <c r="D24" s="20" t="s">
        <v>235</v>
      </c>
      <c r="E24" s="20" t="n">
        <v>5</v>
      </c>
      <c r="F24" s="20" t="s">
        <v>79</v>
      </c>
      <c r="G24" s="32" t="n">
        <v>15180</v>
      </c>
      <c r="H24" s="32" t="n">
        <v>75900</v>
      </c>
      <c r="I24" s="18" t="n">
        <f aca="false">E24*G24</f>
        <v>75900</v>
      </c>
      <c r="J24" s="18" t="n">
        <f aca="false">H24-I24</f>
        <v>0</v>
      </c>
      <c r="K24" s="20" t="s">
        <v>238</v>
      </c>
    </row>
    <row r="25" customFormat="false" ht="15" hidden="false" customHeight="false" outlineLevel="0" collapsed="false">
      <c r="A25" s="29" t="s">
        <v>46</v>
      </c>
      <c r="B25" s="29" t="n">
        <v>15</v>
      </c>
      <c r="C25" s="29" t="s">
        <v>239</v>
      </c>
      <c r="D25" s="20" t="s">
        <v>235</v>
      </c>
      <c r="E25" s="20" t="n">
        <v>5</v>
      </c>
      <c r="F25" s="20" t="s">
        <v>79</v>
      </c>
      <c r="G25" s="32" t="n">
        <v>18970</v>
      </c>
      <c r="H25" s="32" t="n">
        <v>94850</v>
      </c>
      <c r="I25" s="18" t="n">
        <f aca="false">E25*G25</f>
        <v>94850</v>
      </c>
      <c r="J25" s="18" t="n">
        <f aca="false">H25-I25</f>
        <v>0</v>
      </c>
      <c r="K25" s="20" t="s">
        <v>240</v>
      </c>
    </row>
    <row r="26" customFormat="false" ht="15" hidden="false" customHeight="false" outlineLevel="0" collapsed="false">
      <c r="A26" s="29" t="s">
        <v>46</v>
      </c>
      <c r="B26" s="29" t="n">
        <v>16</v>
      </c>
      <c r="C26" s="29" t="s">
        <v>241</v>
      </c>
      <c r="D26" s="20" t="s">
        <v>235</v>
      </c>
      <c r="E26" s="20" t="n">
        <v>4</v>
      </c>
      <c r="F26" s="20" t="s">
        <v>242</v>
      </c>
      <c r="G26" s="32" t="n">
        <v>25300</v>
      </c>
      <c r="H26" s="32" t="n">
        <v>101200</v>
      </c>
      <c r="I26" s="18" t="n">
        <f aca="false">E26*G26</f>
        <v>101200</v>
      </c>
      <c r="J26" s="18" t="n">
        <f aca="false">H26-I26</f>
        <v>0</v>
      </c>
      <c r="K26" s="20" t="s">
        <v>243</v>
      </c>
    </row>
    <row r="27" customFormat="false" ht="15" hidden="false" customHeight="false" outlineLevel="0" collapsed="false">
      <c r="A27" s="29" t="s">
        <v>46</v>
      </c>
      <c r="B27" s="29" t="n">
        <v>17</v>
      </c>
      <c r="C27" s="29" t="s">
        <v>244</v>
      </c>
      <c r="D27" s="20" t="s">
        <v>235</v>
      </c>
      <c r="E27" s="20" t="n">
        <v>5</v>
      </c>
      <c r="F27" s="20" t="s">
        <v>79</v>
      </c>
      <c r="G27" s="32" t="n">
        <v>31620</v>
      </c>
      <c r="H27" s="32" t="n">
        <v>158100</v>
      </c>
      <c r="I27" s="18" t="n">
        <f aca="false">E27*G27</f>
        <v>158100</v>
      </c>
      <c r="J27" s="18" t="n">
        <f aca="false">H27-I27</f>
        <v>0</v>
      </c>
      <c r="K27" s="20" t="s">
        <v>245</v>
      </c>
    </row>
    <row r="28" customFormat="false" ht="23.85" hidden="false" customHeight="false" outlineLevel="0" collapsed="false">
      <c r="A28" s="29" t="s">
        <v>46</v>
      </c>
      <c r="B28" s="29" t="n">
        <v>18</v>
      </c>
      <c r="C28" s="29" t="s">
        <v>246</v>
      </c>
      <c r="D28" s="20" t="s">
        <v>247</v>
      </c>
      <c r="E28" s="20" t="n">
        <v>300</v>
      </c>
      <c r="F28" s="20" t="s">
        <v>248</v>
      </c>
      <c r="G28" s="32" t="n">
        <v>1380</v>
      </c>
      <c r="H28" s="32" t="n">
        <v>414000</v>
      </c>
      <c r="I28" s="18" t="n">
        <f aca="false">E28*G28</f>
        <v>414000</v>
      </c>
      <c r="J28" s="18" t="n">
        <f aca="false">H28-I28</f>
        <v>0</v>
      </c>
      <c r="K28" s="20" t="s">
        <v>249</v>
      </c>
    </row>
    <row r="29" customFormat="false" ht="15" hidden="false" customHeight="false" outlineLevel="0" collapsed="false">
      <c r="A29" s="29" t="s">
        <v>46</v>
      </c>
      <c r="B29" s="29" t="n">
        <v>19</v>
      </c>
      <c r="C29" s="29" t="s">
        <v>250</v>
      </c>
      <c r="D29" s="20" t="s">
        <v>251</v>
      </c>
      <c r="E29" s="20" t="n">
        <v>2</v>
      </c>
      <c r="F29" s="20" t="s">
        <v>252</v>
      </c>
      <c r="G29" s="32" t="n">
        <v>50600</v>
      </c>
      <c r="H29" s="32" t="n">
        <v>101200</v>
      </c>
      <c r="I29" s="18" t="n">
        <f aca="false">E29*G29</f>
        <v>101200</v>
      </c>
      <c r="J29" s="18" t="n">
        <f aca="false">H29-I29</f>
        <v>0</v>
      </c>
      <c r="K29" s="20" t="s">
        <v>253</v>
      </c>
    </row>
    <row r="30" customFormat="false" ht="23.85" hidden="false" customHeight="false" outlineLevel="0" collapsed="false">
      <c r="A30" s="29" t="s">
        <v>46</v>
      </c>
      <c r="B30" s="29" t="n">
        <v>20</v>
      </c>
      <c r="C30" s="29" t="s">
        <v>254</v>
      </c>
      <c r="D30" s="20" t="s">
        <v>255</v>
      </c>
      <c r="E30" s="20" t="n">
        <v>5</v>
      </c>
      <c r="F30" s="20" t="s">
        <v>242</v>
      </c>
      <c r="G30" s="32" t="n">
        <v>6320</v>
      </c>
      <c r="H30" s="32" t="n">
        <v>31600</v>
      </c>
      <c r="I30" s="18" t="n">
        <f aca="false">E30*G30</f>
        <v>31600</v>
      </c>
      <c r="J30" s="18" t="n">
        <f aca="false">H30-I30</f>
        <v>0</v>
      </c>
      <c r="K30" s="20" t="s">
        <v>256</v>
      </c>
    </row>
    <row r="31" customFormat="false" ht="15" hidden="false" customHeight="false" outlineLevel="0" collapsed="false">
      <c r="A31" s="29" t="s">
        <v>46</v>
      </c>
      <c r="B31" s="29" t="n">
        <v>21</v>
      </c>
      <c r="C31" s="29" t="s">
        <v>257</v>
      </c>
      <c r="D31" s="20" t="s">
        <v>258</v>
      </c>
      <c r="E31" s="20" t="n">
        <v>5</v>
      </c>
      <c r="F31" s="20" t="s">
        <v>242</v>
      </c>
      <c r="G31" s="32" t="n">
        <v>151800</v>
      </c>
      <c r="H31" s="32" t="n">
        <v>759000</v>
      </c>
      <c r="I31" s="18" t="n">
        <f aca="false">E31*G31</f>
        <v>759000</v>
      </c>
      <c r="J31" s="18" t="n">
        <f aca="false">H31-I31</f>
        <v>0</v>
      </c>
      <c r="K31" s="20" t="s">
        <v>259</v>
      </c>
    </row>
    <row r="32" customFormat="false" ht="15" hidden="false" customHeight="false" outlineLevel="0" collapsed="false">
      <c r="A32" s="29" t="s">
        <v>46</v>
      </c>
      <c r="B32" s="29" t="n">
        <v>22</v>
      </c>
      <c r="C32" s="29" t="s">
        <v>260</v>
      </c>
      <c r="D32" s="20" t="s">
        <v>261</v>
      </c>
      <c r="E32" s="20" t="n">
        <v>24</v>
      </c>
      <c r="F32" s="20" t="s">
        <v>210</v>
      </c>
      <c r="G32" s="32" t="n">
        <v>6320</v>
      </c>
      <c r="H32" s="32" t="n">
        <v>151680</v>
      </c>
      <c r="I32" s="18" t="n">
        <f aca="false">E32*G32</f>
        <v>151680</v>
      </c>
      <c r="J32" s="18" t="n">
        <f aca="false">H32-I32</f>
        <v>0</v>
      </c>
      <c r="K32" s="20" t="s">
        <v>262</v>
      </c>
    </row>
    <row r="33" customFormat="false" ht="15" hidden="false" customHeight="false" outlineLevel="0" collapsed="false">
      <c r="A33" s="29" t="s">
        <v>46</v>
      </c>
      <c r="B33" s="29" t="n">
        <v>23</v>
      </c>
      <c r="C33" s="29" t="s">
        <v>263</v>
      </c>
      <c r="D33" s="20" t="s">
        <v>264</v>
      </c>
      <c r="E33" s="20" t="n">
        <v>5</v>
      </c>
      <c r="F33" s="20" t="s">
        <v>242</v>
      </c>
      <c r="G33" s="32" t="n">
        <v>17710</v>
      </c>
      <c r="H33" s="32" t="n">
        <v>88550</v>
      </c>
      <c r="I33" s="18" t="n">
        <f aca="false">E33*G33</f>
        <v>88550</v>
      </c>
      <c r="J33" s="18" t="n">
        <f aca="false">H33-I33</f>
        <v>0</v>
      </c>
      <c r="K33" s="20" t="s">
        <v>265</v>
      </c>
    </row>
    <row r="34" customFormat="false" ht="15" hidden="false" customHeight="false" outlineLevel="0" collapsed="false">
      <c r="A34" s="29" t="s">
        <v>46</v>
      </c>
      <c r="B34" s="29" t="n">
        <v>24</v>
      </c>
      <c r="C34" s="29" t="s">
        <v>266</v>
      </c>
      <c r="D34" s="20" t="s">
        <v>264</v>
      </c>
      <c r="E34" s="20" t="n">
        <v>5</v>
      </c>
      <c r="F34" s="20" t="s">
        <v>242</v>
      </c>
      <c r="G34" s="32" t="n">
        <v>17710</v>
      </c>
      <c r="H34" s="32" t="n">
        <v>88550</v>
      </c>
      <c r="I34" s="18" t="n">
        <f aca="false">E34*G34</f>
        <v>88550</v>
      </c>
      <c r="J34" s="18" t="n">
        <f aca="false">H34-I34</f>
        <v>0</v>
      </c>
      <c r="K34" s="20" t="s">
        <v>265</v>
      </c>
    </row>
    <row r="35" customFormat="false" ht="15" hidden="false" customHeight="false" outlineLevel="0" collapsed="false">
      <c r="A35" s="29" t="s">
        <v>46</v>
      </c>
      <c r="B35" s="29" t="n">
        <v>25</v>
      </c>
      <c r="C35" s="29" t="s">
        <v>267</v>
      </c>
      <c r="D35" s="20" t="s">
        <v>268</v>
      </c>
      <c r="E35" s="20" t="n">
        <v>50</v>
      </c>
      <c r="F35" s="20" t="s">
        <v>79</v>
      </c>
      <c r="G35" s="32" t="n">
        <v>3410</v>
      </c>
      <c r="H35" s="32" t="n">
        <v>170500</v>
      </c>
      <c r="I35" s="18" t="n">
        <f aca="false">E35*G35</f>
        <v>170500</v>
      </c>
      <c r="J35" s="18" t="n">
        <f aca="false">H35-I35</f>
        <v>0</v>
      </c>
      <c r="K35" s="20" t="s">
        <v>269</v>
      </c>
    </row>
    <row r="36" customFormat="false" ht="15" hidden="false" customHeight="false" outlineLevel="0" collapsed="false">
      <c r="A36" s="29" t="s">
        <v>46</v>
      </c>
      <c r="B36" s="29" t="n">
        <v>26</v>
      </c>
      <c r="C36" s="29" t="s">
        <v>270</v>
      </c>
      <c r="D36" s="20" t="s">
        <v>271</v>
      </c>
      <c r="E36" s="20" t="n">
        <v>5</v>
      </c>
      <c r="F36" s="20" t="s">
        <v>79</v>
      </c>
      <c r="G36" s="32" t="n">
        <v>1510</v>
      </c>
      <c r="H36" s="32" t="n">
        <v>7550</v>
      </c>
      <c r="I36" s="18" t="n">
        <f aca="false">E36*G36</f>
        <v>7550</v>
      </c>
      <c r="J36" s="18" t="n">
        <f aca="false">H36-I36</f>
        <v>0</v>
      </c>
      <c r="K36" s="20"/>
    </row>
    <row r="37" customFormat="false" ht="15" hidden="false" customHeight="false" outlineLevel="0" collapsed="false">
      <c r="A37" s="29" t="s">
        <v>46</v>
      </c>
      <c r="B37" s="29" t="n">
        <v>27</v>
      </c>
      <c r="C37" s="29" t="s">
        <v>272</v>
      </c>
      <c r="D37" s="20" t="s">
        <v>273</v>
      </c>
      <c r="E37" s="20" t="n">
        <v>10</v>
      </c>
      <c r="F37" s="20" t="s">
        <v>79</v>
      </c>
      <c r="G37" s="32" t="n">
        <v>2530</v>
      </c>
      <c r="H37" s="32" t="n">
        <v>25300</v>
      </c>
      <c r="I37" s="18" t="n">
        <f aca="false">E37*G37</f>
        <v>25300</v>
      </c>
      <c r="J37" s="18" t="n">
        <f aca="false">H37-I37</f>
        <v>0</v>
      </c>
      <c r="K37" s="20" t="s">
        <v>274</v>
      </c>
    </row>
    <row r="38" customFormat="false" ht="15" hidden="false" customHeight="false" outlineLevel="0" collapsed="false">
      <c r="A38" s="29" t="s">
        <v>46</v>
      </c>
      <c r="B38" s="29" t="n">
        <v>28</v>
      </c>
      <c r="C38" s="29" t="s">
        <v>275</v>
      </c>
      <c r="D38" s="20" t="s">
        <v>276</v>
      </c>
      <c r="E38" s="20" t="n">
        <v>5</v>
      </c>
      <c r="F38" s="20" t="s">
        <v>79</v>
      </c>
      <c r="G38" s="32" t="n">
        <v>120170</v>
      </c>
      <c r="H38" s="32" t="n">
        <v>600850</v>
      </c>
      <c r="I38" s="18" t="n">
        <f aca="false">E38*G38</f>
        <v>600850</v>
      </c>
      <c r="J38" s="18" t="n">
        <f aca="false">H38-I38</f>
        <v>0</v>
      </c>
      <c r="K38" s="20" t="s">
        <v>277</v>
      </c>
    </row>
    <row r="39" customFormat="false" ht="15" hidden="false" customHeight="false" outlineLevel="0" collapsed="false">
      <c r="A39" s="29" t="s">
        <v>46</v>
      </c>
      <c r="B39" s="29" t="n">
        <v>29</v>
      </c>
      <c r="C39" s="29" t="s">
        <v>278</v>
      </c>
      <c r="D39" s="20" t="s">
        <v>279</v>
      </c>
      <c r="E39" s="20" t="n">
        <v>3</v>
      </c>
      <c r="F39" s="20" t="s">
        <v>242</v>
      </c>
      <c r="G39" s="32" t="n">
        <v>15180</v>
      </c>
      <c r="H39" s="32" t="n">
        <v>45500</v>
      </c>
      <c r="I39" s="18" t="n">
        <f aca="false">E39*G39</f>
        <v>45540</v>
      </c>
      <c r="J39" s="18" t="n">
        <f aca="false">H39-I39</f>
        <v>-40</v>
      </c>
      <c r="K39" s="20"/>
    </row>
    <row r="40" customFormat="false" ht="15" hidden="false" customHeight="false" outlineLevel="0" collapsed="false">
      <c r="A40" s="29" t="s">
        <v>46</v>
      </c>
      <c r="B40" s="29" t="n">
        <v>30</v>
      </c>
      <c r="C40" s="29" t="s">
        <v>280</v>
      </c>
      <c r="D40" s="20" t="s">
        <v>281</v>
      </c>
      <c r="E40" s="20" t="n">
        <v>3</v>
      </c>
      <c r="F40" s="20" t="s">
        <v>242</v>
      </c>
      <c r="G40" s="32" t="n">
        <v>2270</v>
      </c>
      <c r="H40" s="32" t="n">
        <v>6810</v>
      </c>
      <c r="I40" s="18" t="n">
        <f aca="false">E40*G40</f>
        <v>6810</v>
      </c>
      <c r="J40" s="18" t="n">
        <f aca="false">H40-I40</f>
        <v>0</v>
      </c>
      <c r="K40" s="20"/>
    </row>
    <row r="41" customFormat="false" ht="15" hidden="false" customHeight="false" outlineLevel="0" collapsed="false">
      <c r="A41" s="29" t="s">
        <v>46</v>
      </c>
      <c r="B41" s="29" t="n">
        <v>31</v>
      </c>
      <c r="C41" s="29" t="s">
        <v>282</v>
      </c>
      <c r="D41" s="20" t="s">
        <v>281</v>
      </c>
      <c r="E41" s="20" t="n">
        <v>3</v>
      </c>
      <c r="F41" s="20" t="s">
        <v>242</v>
      </c>
      <c r="G41" s="32" t="n">
        <v>3030</v>
      </c>
      <c r="H41" s="32" t="n">
        <v>9090</v>
      </c>
      <c r="I41" s="18" t="n">
        <f aca="false">E41*G41</f>
        <v>9090</v>
      </c>
      <c r="J41" s="18" t="n">
        <f aca="false">H41-I41</f>
        <v>0</v>
      </c>
      <c r="K41" s="20"/>
    </row>
    <row r="42" customFormat="false" ht="15" hidden="false" customHeight="false" outlineLevel="0" collapsed="false">
      <c r="A42" s="29" t="s">
        <v>46</v>
      </c>
      <c r="B42" s="29" t="n">
        <v>32</v>
      </c>
      <c r="C42" s="29" t="s">
        <v>283</v>
      </c>
      <c r="D42" s="20" t="s">
        <v>281</v>
      </c>
      <c r="E42" s="20" t="n">
        <v>3</v>
      </c>
      <c r="F42" s="20" t="s">
        <v>242</v>
      </c>
      <c r="G42" s="32" t="n">
        <v>6950</v>
      </c>
      <c r="H42" s="32" t="n">
        <v>20850</v>
      </c>
      <c r="I42" s="18" t="n">
        <f aca="false">E42*G42</f>
        <v>20850</v>
      </c>
      <c r="J42" s="18" t="n">
        <f aca="false">H42-I42</f>
        <v>0</v>
      </c>
      <c r="K42" s="20"/>
    </row>
    <row r="43" customFormat="false" ht="15" hidden="false" customHeight="false" outlineLevel="0" collapsed="false">
      <c r="A43" s="29" t="s">
        <v>46</v>
      </c>
      <c r="B43" s="29" t="n">
        <v>33</v>
      </c>
      <c r="C43" s="29" t="s">
        <v>284</v>
      </c>
      <c r="D43" s="20" t="s">
        <v>285</v>
      </c>
      <c r="E43" s="20" t="n">
        <v>2</v>
      </c>
      <c r="F43" s="20" t="s">
        <v>242</v>
      </c>
      <c r="G43" s="32" t="n">
        <v>284620</v>
      </c>
      <c r="H43" s="32" t="n">
        <v>569240</v>
      </c>
      <c r="I43" s="18" t="n">
        <f aca="false">E43*G43</f>
        <v>569240</v>
      </c>
      <c r="J43" s="18" t="n">
        <f aca="false">H43-I43</f>
        <v>0</v>
      </c>
      <c r="K43" s="20"/>
    </row>
    <row r="44" customFormat="false" ht="15" hidden="false" customHeight="false" outlineLevel="0" collapsed="false">
      <c r="A44" s="29" t="s">
        <v>46</v>
      </c>
      <c r="B44" s="29" t="n">
        <v>34</v>
      </c>
      <c r="C44" s="29" t="s">
        <v>286</v>
      </c>
      <c r="D44" s="20" t="s">
        <v>287</v>
      </c>
      <c r="E44" s="20" t="n">
        <v>2</v>
      </c>
      <c r="F44" s="20" t="s">
        <v>242</v>
      </c>
      <c r="G44" s="32" t="n">
        <v>379500</v>
      </c>
      <c r="H44" s="32" t="n">
        <v>759000</v>
      </c>
      <c r="I44" s="18" t="n">
        <f aca="false">E44*G44</f>
        <v>759000</v>
      </c>
      <c r="J44" s="18" t="n">
        <f aca="false">H44-I44</f>
        <v>0</v>
      </c>
      <c r="K44" s="20"/>
    </row>
    <row r="45" customFormat="false" ht="15" hidden="false" customHeight="false" outlineLevel="0" collapsed="false">
      <c r="A45" s="29" t="s">
        <v>46</v>
      </c>
      <c r="B45" s="29" t="n">
        <v>35</v>
      </c>
      <c r="C45" s="29" t="s">
        <v>288</v>
      </c>
      <c r="D45" s="20" t="s">
        <v>289</v>
      </c>
      <c r="E45" s="20" t="n">
        <v>2</v>
      </c>
      <c r="F45" s="20" t="s">
        <v>242</v>
      </c>
      <c r="G45" s="32" t="n">
        <v>556600</v>
      </c>
      <c r="H45" s="32" t="n">
        <v>1113200</v>
      </c>
      <c r="I45" s="18" t="n">
        <f aca="false">E45*G45</f>
        <v>1113200</v>
      </c>
      <c r="J45" s="18" t="n">
        <f aca="false">H45-I45</f>
        <v>0</v>
      </c>
      <c r="K45" s="20"/>
    </row>
    <row r="46" customFormat="false" ht="15" hidden="false" customHeight="false" outlineLevel="0" collapsed="false">
      <c r="A46" s="29" t="s">
        <v>46</v>
      </c>
      <c r="B46" s="29" t="n">
        <v>36</v>
      </c>
      <c r="C46" s="29" t="s">
        <v>290</v>
      </c>
      <c r="D46" s="20" t="s">
        <v>291</v>
      </c>
      <c r="E46" s="20" t="n">
        <v>5</v>
      </c>
      <c r="F46" s="20" t="s">
        <v>79</v>
      </c>
      <c r="G46" s="32" t="n">
        <v>2530</v>
      </c>
      <c r="H46" s="32" t="n">
        <v>12650</v>
      </c>
      <c r="I46" s="18" t="n">
        <f aca="false">E46*G46</f>
        <v>12650</v>
      </c>
      <c r="J46" s="18" t="n">
        <f aca="false">H46-I46</f>
        <v>0</v>
      </c>
      <c r="K46" s="20"/>
    </row>
    <row r="47" customFormat="false" ht="15" hidden="false" customHeight="false" outlineLevel="0" collapsed="false">
      <c r="A47" s="29" t="s">
        <v>46</v>
      </c>
      <c r="B47" s="29" t="n">
        <v>37</v>
      </c>
      <c r="C47" s="29" t="s">
        <v>292</v>
      </c>
      <c r="D47" s="20" t="s">
        <v>293</v>
      </c>
      <c r="E47" s="20" t="n">
        <v>5</v>
      </c>
      <c r="F47" s="20" t="s">
        <v>79</v>
      </c>
      <c r="G47" s="32" t="n">
        <v>11380</v>
      </c>
      <c r="H47" s="32" t="n">
        <v>56900</v>
      </c>
      <c r="I47" s="18" t="n">
        <f aca="false">E47*G47</f>
        <v>56900</v>
      </c>
      <c r="J47" s="18" t="n">
        <f aca="false">H47-I47</f>
        <v>0</v>
      </c>
      <c r="K47" s="20"/>
    </row>
    <row r="48" customFormat="false" ht="15" hidden="false" customHeight="false" outlineLevel="0" collapsed="false">
      <c r="A48" s="29" t="s">
        <v>46</v>
      </c>
      <c r="B48" s="29" t="n">
        <v>38</v>
      </c>
      <c r="C48" s="29" t="s">
        <v>294</v>
      </c>
      <c r="D48" s="20" t="s">
        <v>295</v>
      </c>
      <c r="E48" s="20" t="n">
        <v>5</v>
      </c>
      <c r="F48" s="20" t="s">
        <v>79</v>
      </c>
      <c r="G48" s="32" t="n">
        <v>13280</v>
      </c>
      <c r="H48" s="32" t="n">
        <v>66400</v>
      </c>
      <c r="I48" s="18" t="n">
        <f aca="false">E48*G48</f>
        <v>66400</v>
      </c>
      <c r="J48" s="18" t="n">
        <f aca="false">H48-I48</f>
        <v>0</v>
      </c>
      <c r="K48" s="20"/>
    </row>
    <row r="49" customFormat="false" ht="15" hidden="false" customHeight="false" outlineLevel="0" collapsed="false">
      <c r="A49" s="29" t="s">
        <v>46</v>
      </c>
      <c r="B49" s="29" t="n">
        <v>39</v>
      </c>
      <c r="C49" s="29" t="s">
        <v>296</v>
      </c>
      <c r="D49" s="20" t="s">
        <v>295</v>
      </c>
      <c r="E49" s="20" t="n">
        <v>5</v>
      </c>
      <c r="F49" s="20" t="s">
        <v>79</v>
      </c>
      <c r="G49" s="32" t="n">
        <v>4420</v>
      </c>
      <c r="H49" s="32" t="n">
        <v>22100</v>
      </c>
      <c r="I49" s="18" t="n">
        <f aca="false">E49*G49</f>
        <v>22100</v>
      </c>
      <c r="J49" s="18" t="n">
        <f aca="false">H49-I49</f>
        <v>0</v>
      </c>
      <c r="K49" s="20"/>
    </row>
    <row r="50" customFormat="false" ht="15" hidden="false" customHeight="false" outlineLevel="0" collapsed="false">
      <c r="A50" s="29" t="s">
        <v>46</v>
      </c>
      <c r="B50" s="29" t="n">
        <v>40</v>
      </c>
      <c r="C50" s="29" t="s">
        <v>297</v>
      </c>
      <c r="D50" s="20" t="s">
        <v>295</v>
      </c>
      <c r="E50" s="20" t="n">
        <v>5</v>
      </c>
      <c r="F50" s="20" t="s">
        <v>79</v>
      </c>
      <c r="G50" s="32" t="n">
        <v>6950</v>
      </c>
      <c r="H50" s="32" t="n">
        <v>34750</v>
      </c>
      <c r="I50" s="18" t="n">
        <f aca="false">E50*G50</f>
        <v>34750</v>
      </c>
      <c r="J50" s="18" t="n">
        <f aca="false">H50-I50</f>
        <v>0</v>
      </c>
      <c r="K50" s="20"/>
    </row>
    <row r="51" customFormat="false" ht="15" hidden="false" customHeight="false" outlineLevel="0" collapsed="false">
      <c r="A51" s="29" t="s">
        <v>46</v>
      </c>
      <c r="B51" s="29" t="n">
        <v>41</v>
      </c>
      <c r="C51" s="29" t="s">
        <v>298</v>
      </c>
      <c r="D51" s="20" t="s">
        <v>299</v>
      </c>
      <c r="E51" s="20" t="n">
        <v>7</v>
      </c>
      <c r="F51" s="20" t="s">
        <v>242</v>
      </c>
      <c r="G51" s="32" t="n">
        <v>8220</v>
      </c>
      <c r="H51" s="32" t="n">
        <v>57540</v>
      </c>
      <c r="I51" s="18" t="n">
        <f aca="false">E51*G51</f>
        <v>57540</v>
      </c>
      <c r="J51" s="18" t="n">
        <f aca="false">H51-I51</f>
        <v>0</v>
      </c>
      <c r="K51" s="20"/>
    </row>
    <row r="52" customFormat="false" ht="15" hidden="false" customHeight="false" outlineLevel="0" collapsed="false">
      <c r="A52" s="29" t="s">
        <v>46</v>
      </c>
      <c r="B52" s="29" t="n">
        <v>42</v>
      </c>
      <c r="C52" s="29" t="s">
        <v>300</v>
      </c>
      <c r="D52" s="20" t="s">
        <v>301</v>
      </c>
      <c r="E52" s="20" t="n">
        <v>2</v>
      </c>
      <c r="F52" s="20" t="s">
        <v>242</v>
      </c>
      <c r="G52" s="32" t="n">
        <v>25300</v>
      </c>
      <c r="H52" s="32" t="n">
        <v>50600</v>
      </c>
      <c r="I52" s="18" t="n">
        <f aca="false">E52*G52</f>
        <v>50600</v>
      </c>
      <c r="J52" s="18" t="n">
        <f aca="false">H52-I52</f>
        <v>0</v>
      </c>
      <c r="K52" s="20"/>
    </row>
    <row r="53" customFormat="false" ht="15" hidden="false" customHeight="false" outlineLevel="0" collapsed="false">
      <c r="A53" s="29" t="s">
        <v>46</v>
      </c>
      <c r="B53" s="29" t="n">
        <v>43</v>
      </c>
      <c r="C53" s="29" t="s">
        <v>302</v>
      </c>
      <c r="D53" s="20" t="s">
        <v>301</v>
      </c>
      <c r="E53" s="20" t="n">
        <v>2</v>
      </c>
      <c r="F53" s="20" t="s">
        <v>242</v>
      </c>
      <c r="G53" s="32" t="n">
        <v>10120</v>
      </c>
      <c r="H53" s="32" t="n">
        <v>20240</v>
      </c>
      <c r="I53" s="18" t="n">
        <f aca="false">E53*G53</f>
        <v>20240</v>
      </c>
      <c r="J53" s="18" t="n">
        <f aca="false">H53-I53</f>
        <v>0</v>
      </c>
      <c r="K53" s="20"/>
    </row>
    <row r="54" customFormat="false" ht="15" hidden="false" customHeight="false" outlineLevel="0" collapsed="false">
      <c r="A54" s="29" t="s">
        <v>46</v>
      </c>
      <c r="B54" s="29" t="n">
        <v>44</v>
      </c>
      <c r="C54" s="29" t="s">
        <v>303</v>
      </c>
      <c r="D54" s="20" t="s">
        <v>304</v>
      </c>
      <c r="E54" s="20" t="n">
        <v>1</v>
      </c>
      <c r="F54" s="20" t="s">
        <v>79</v>
      </c>
      <c r="G54" s="32" t="n">
        <v>27830</v>
      </c>
      <c r="H54" s="32" t="n">
        <v>27830</v>
      </c>
      <c r="I54" s="18" t="n">
        <f aca="false">E54*G54</f>
        <v>27830</v>
      </c>
      <c r="J54" s="18" t="n">
        <f aca="false">H54-I54</f>
        <v>0</v>
      </c>
      <c r="K54" s="20"/>
    </row>
    <row r="55" customFormat="false" ht="15" hidden="false" customHeight="false" outlineLevel="0" collapsed="false">
      <c r="A55" s="29" t="s">
        <v>46</v>
      </c>
      <c r="B55" s="29" t="n">
        <v>45</v>
      </c>
      <c r="C55" s="29" t="s">
        <v>305</v>
      </c>
      <c r="D55" s="20" t="s">
        <v>304</v>
      </c>
      <c r="E55" s="20" t="n">
        <v>1</v>
      </c>
      <c r="F55" s="20" t="s">
        <v>79</v>
      </c>
      <c r="G55" s="32" t="n">
        <v>31620</v>
      </c>
      <c r="H55" s="32" t="n">
        <v>31620</v>
      </c>
      <c r="I55" s="18" t="n">
        <f aca="false">E55*G55</f>
        <v>31620</v>
      </c>
      <c r="J55" s="18" t="n">
        <f aca="false">H55-I55</f>
        <v>0</v>
      </c>
      <c r="K55" s="20"/>
    </row>
    <row r="56" customFormat="false" ht="15" hidden="false" customHeight="false" outlineLevel="0" collapsed="false">
      <c r="A56" s="29" t="s">
        <v>46</v>
      </c>
      <c r="B56" s="29" t="n">
        <v>46</v>
      </c>
      <c r="C56" s="29" t="s">
        <v>306</v>
      </c>
      <c r="D56" s="20" t="s">
        <v>307</v>
      </c>
      <c r="E56" s="20" t="n">
        <v>3</v>
      </c>
      <c r="F56" s="20" t="s">
        <v>79</v>
      </c>
      <c r="G56" s="32" t="n">
        <v>32890</v>
      </c>
      <c r="H56" s="32" t="n">
        <v>98670</v>
      </c>
      <c r="I56" s="18" t="n">
        <f aca="false">E56*G56</f>
        <v>98670</v>
      </c>
      <c r="J56" s="18" t="n">
        <f aca="false">H56-I56</f>
        <v>0</v>
      </c>
      <c r="K56" s="20"/>
    </row>
    <row r="57" customFormat="false" ht="15" hidden="false" customHeight="false" outlineLevel="0" collapsed="false">
      <c r="A57" s="29" t="s">
        <v>46</v>
      </c>
      <c r="B57" s="29" t="n">
        <v>47</v>
      </c>
      <c r="C57" s="29" t="s">
        <v>308</v>
      </c>
      <c r="D57" s="20" t="s">
        <v>170</v>
      </c>
      <c r="E57" s="20" t="n">
        <v>3</v>
      </c>
      <c r="F57" s="20" t="s">
        <v>79</v>
      </c>
      <c r="G57" s="32" t="n">
        <v>35420</v>
      </c>
      <c r="H57" s="32" t="n">
        <v>106260</v>
      </c>
      <c r="I57" s="18" t="n">
        <f aca="false">E57*G57</f>
        <v>106260</v>
      </c>
      <c r="J57" s="18" t="n">
        <f aca="false">H57-I57</f>
        <v>0</v>
      </c>
      <c r="K57" s="20"/>
    </row>
    <row r="58" customFormat="false" ht="15" hidden="false" customHeight="false" outlineLevel="0" collapsed="false">
      <c r="A58" s="29" t="s">
        <v>46</v>
      </c>
      <c r="B58" s="29" t="n">
        <v>48</v>
      </c>
      <c r="C58" s="29" t="s">
        <v>309</v>
      </c>
      <c r="D58" s="20" t="s">
        <v>310</v>
      </c>
      <c r="E58" s="20" t="n">
        <v>7</v>
      </c>
      <c r="F58" s="20" t="s">
        <v>242</v>
      </c>
      <c r="G58" s="32" t="n">
        <v>4420</v>
      </c>
      <c r="H58" s="32" t="n">
        <v>30940</v>
      </c>
      <c r="I58" s="18" t="n">
        <f aca="false">E58*G58</f>
        <v>30940</v>
      </c>
      <c r="J58" s="18" t="n">
        <f aca="false">H58-I58</f>
        <v>0</v>
      </c>
      <c r="K58" s="20" t="s">
        <v>311</v>
      </c>
    </row>
    <row r="59" customFormat="false" ht="15" hidden="false" customHeight="false" outlineLevel="0" collapsed="false">
      <c r="A59" s="29" t="s">
        <v>46</v>
      </c>
      <c r="B59" s="29" t="n">
        <v>49</v>
      </c>
      <c r="C59" s="29" t="s">
        <v>312</v>
      </c>
      <c r="D59" s="20" t="s">
        <v>313</v>
      </c>
      <c r="E59" s="20" t="n">
        <v>5</v>
      </c>
      <c r="F59" s="20" t="s">
        <v>242</v>
      </c>
      <c r="G59" s="32" t="n">
        <v>5060</v>
      </c>
      <c r="H59" s="32" t="n">
        <v>25300</v>
      </c>
      <c r="I59" s="18" t="n">
        <f aca="false">E59*G59</f>
        <v>25300</v>
      </c>
      <c r="J59" s="18" t="n">
        <f aca="false">H59-I59</f>
        <v>0</v>
      </c>
      <c r="K59" s="20" t="s">
        <v>311</v>
      </c>
    </row>
    <row r="60" customFormat="false" ht="15" hidden="false" customHeight="false" outlineLevel="0" collapsed="false">
      <c r="A60" s="29" t="s">
        <v>46</v>
      </c>
      <c r="B60" s="29" t="n">
        <v>50</v>
      </c>
      <c r="C60" s="29" t="s">
        <v>314</v>
      </c>
      <c r="D60" s="20" t="s">
        <v>315</v>
      </c>
      <c r="E60" s="20" t="n">
        <v>2</v>
      </c>
      <c r="F60" s="20" t="s">
        <v>79</v>
      </c>
      <c r="G60" s="32" t="n">
        <v>189750</v>
      </c>
      <c r="H60" s="32" t="n">
        <v>379500</v>
      </c>
      <c r="I60" s="18" t="n">
        <f aca="false">E60*G60</f>
        <v>379500</v>
      </c>
      <c r="J60" s="18" t="n">
        <f aca="false">H60-I60</f>
        <v>0</v>
      </c>
      <c r="K60" s="20" t="s">
        <v>316</v>
      </c>
    </row>
    <row r="61" customFormat="false" ht="15" hidden="false" customHeight="false" outlineLevel="0" collapsed="false">
      <c r="A61" s="29" t="s">
        <v>46</v>
      </c>
      <c r="B61" s="29" t="n">
        <v>51</v>
      </c>
      <c r="C61" s="29" t="s">
        <v>317</v>
      </c>
      <c r="D61" s="20" t="s">
        <v>318</v>
      </c>
      <c r="E61" s="20" t="n">
        <v>5</v>
      </c>
      <c r="F61" s="20" t="s">
        <v>79</v>
      </c>
      <c r="G61" s="32" t="n">
        <v>81460</v>
      </c>
      <c r="H61" s="32" t="n">
        <v>407300</v>
      </c>
      <c r="I61" s="18" t="n">
        <f aca="false">E61*G61</f>
        <v>407300</v>
      </c>
      <c r="J61" s="18" t="n">
        <f aca="false">H61-I61</f>
        <v>0</v>
      </c>
      <c r="K61" s="20" t="s">
        <v>319</v>
      </c>
    </row>
    <row r="62" customFormat="false" ht="15" hidden="false" customHeight="false" outlineLevel="0" collapsed="false">
      <c r="A62" s="29" t="s">
        <v>46</v>
      </c>
      <c r="B62" s="29" t="n">
        <v>52</v>
      </c>
      <c r="C62" s="29" t="s">
        <v>320</v>
      </c>
      <c r="D62" s="20" t="s">
        <v>321</v>
      </c>
      <c r="E62" s="20" t="n">
        <v>5</v>
      </c>
      <c r="F62" s="20" t="s">
        <v>79</v>
      </c>
      <c r="G62" s="32" t="n">
        <v>65780</v>
      </c>
      <c r="H62" s="32" t="n">
        <v>328900</v>
      </c>
      <c r="I62" s="18" t="n">
        <f aca="false">E62*G62</f>
        <v>328900</v>
      </c>
      <c r="J62" s="18" t="n">
        <f aca="false">H62-I62</f>
        <v>0</v>
      </c>
      <c r="K62" s="20" t="s">
        <v>319</v>
      </c>
    </row>
    <row r="63" customFormat="false" ht="15" hidden="false" customHeight="false" outlineLevel="0" collapsed="false">
      <c r="A63" s="29" t="s">
        <v>46</v>
      </c>
      <c r="B63" s="29" t="n">
        <v>53</v>
      </c>
      <c r="C63" s="29" t="s">
        <v>322</v>
      </c>
      <c r="D63" s="20" t="s">
        <v>323</v>
      </c>
      <c r="E63" s="20" t="n">
        <v>2</v>
      </c>
      <c r="F63" s="20" t="s">
        <v>324</v>
      </c>
      <c r="G63" s="32" t="n">
        <v>2530</v>
      </c>
      <c r="H63" s="32" t="n">
        <v>5060</v>
      </c>
      <c r="I63" s="18" t="n">
        <f aca="false">E63*G63</f>
        <v>5060</v>
      </c>
      <c r="J63" s="18" t="n">
        <f aca="false">H63-I63</f>
        <v>0</v>
      </c>
      <c r="K63" s="20" t="s">
        <v>325</v>
      </c>
    </row>
    <row r="64" customFormat="false" ht="15" hidden="false" customHeight="false" outlineLevel="0" collapsed="false">
      <c r="A64" s="29" t="s">
        <v>46</v>
      </c>
      <c r="B64" s="29" t="n">
        <v>54</v>
      </c>
      <c r="C64" s="29" t="s">
        <v>326</v>
      </c>
      <c r="D64" s="20" t="s">
        <v>327</v>
      </c>
      <c r="E64" s="20" t="n">
        <v>2</v>
      </c>
      <c r="F64" s="20" t="s">
        <v>324</v>
      </c>
      <c r="G64" s="32" t="n">
        <v>3920</v>
      </c>
      <c r="H64" s="32" t="n">
        <v>7840</v>
      </c>
      <c r="I64" s="18" t="n">
        <f aca="false">E64*G64</f>
        <v>7840</v>
      </c>
      <c r="J64" s="18" t="n">
        <f aca="false">H64-I64</f>
        <v>0</v>
      </c>
      <c r="K64" s="20" t="s">
        <v>325</v>
      </c>
    </row>
    <row r="65" customFormat="false" ht="15" hidden="false" customHeight="false" outlineLevel="0" collapsed="false">
      <c r="A65" s="29" t="s">
        <v>46</v>
      </c>
      <c r="B65" s="29" t="n">
        <v>55</v>
      </c>
      <c r="C65" s="29" t="s">
        <v>328</v>
      </c>
      <c r="D65" s="20" t="s">
        <v>329</v>
      </c>
      <c r="E65" s="20" t="n">
        <v>10</v>
      </c>
      <c r="F65" s="20" t="s">
        <v>330</v>
      </c>
      <c r="G65" s="32" t="n">
        <v>17710</v>
      </c>
      <c r="H65" s="32" t="n">
        <v>177100</v>
      </c>
      <c r="I65" s="18" t="n">
        <f aca="false">E65*G65</f>
        <v>177100</v>
      </c>
      <c r="J65" s="18" t="n">
        <f aca="false">H65-I65</f>
        <v>0</v>
      </c>
      <c r="K65" s="20" t="s">
        <v>331</v>
      </c>
    </row>
    <row r="66" customFormat="false" ht="15" hidden="false" customHeight="false" outlineLevel="0" collapsed="false">
      <c r="A66" s="29" t="s">
        <v>46</v>
      </c>
      <c r="B66" s="29" t="n">
        <v>56</v>
      </c>
      <c r="C66" s="29" t="s">
        <v>332</v>
      </c>
      <c r="D66" s="20" t="s">
        <v>333</v>
      </c>
      <c r="E66" s="20" t="n">
        <v>2</v>
      </c>
      <c r="F66" s="20" t="s">
        <v>79</v>
      </c>
      <c r="G66" s="32" t="n">
        <v>303600</v>
      </c>
      <c r="H66" s="32" t="n">
        <v>607200</v>
      </c>
      <c r="I66" s="18" t="n">
        <f aca="false">E66*G66</f>
        <v>607200</v>
      </c>
      <c r="J66" s="18" t="n">
        <f aca="false">H66-I66</f>
        <v>0</v>
      </c>
      <c r="K66" s="20" t="s">
        <v>334</v>
      </c>
    </row>
    <row r="67" customFormat="false" ht="15" hidden="false" customHeight="false" outlineLevel="0" collapsed="false">
      <c r="A67" s="29" t="s">
        <v>46</v>
      </c>
      <c r="B67" s="29" t="n">
        <v>57</v>
      </c>
      <c r="C67" s="29" t="s">
        <v>335</v>
      </c>
      <c r="D67" s="20" t="s">
        <v>336</v>
      </c>
      <c r="E67" s="20" t="n">
        <v>3</v>
      </c>
      <c r="F67" s="20" t="s">
        <v>252</v>
      </c>
      <c r="G67" s="32" t="n">
        <v>3790</v>
      </c>
      <c r="H67" s="32" t="n">
        <v>11370</v>
      </c>
      <c r="I67" s="18" t="n">
        <f aca="false">E67*G67</f>
        <v>11370</v>
      </c>
      <c r="J67" s="18" t="n">
        <f aca="false">H67-I67</f>
        <v>0</v>
      </c>
      <c r="K67" s="20" t="s">
        <v>337</v>
      </c>
    </row>
    <row r="68" customFormat="false" ht="15" hidden="false" customHeight="false" outlineLevel="0" collapsed="false">
      <c r="A68" s="29" t="s">
        <v>46</v>
      </c>
      <c r="B68" s="29" t="n">
        <v>58</v>
      </c>
      <c r="C68" s="29" t="s">
        <v>338</v>
      </c>
      <c r="D68" s="20" t="s">
        <v>339</v>
      </c>
      <c r="E68" s="20" t="n">
        <v>10</v>
      </c>
      <c r="F68" s="20" t="s">
        <v>79</v>
      </c>
      <c r="G68" s="32" t="n">
        <v>4420</v>
      </c>
      <c r="H68" s="32" t="n">
        <v>44200</v>
      </c>
      <c r="I68" s="18" t="n">
        <f aca="false">E68*G68</f>
        <v>44200</v>
      </c>
      <c r="J68" s="18" t="n">
        <f aca="false">H68-I68</f>
        <v>0</v>
      </c>
      <c r="K68" s="20" t="s">
        <v>340</v>
      </c>
    </row>
    <row r="69" customFormat="false" ht="15" hidden="false" customHeight="false" outlineLevel="0" collapsed="false">
      <c r="A69" s="29" t="s">
        <v>46</v>
      </c>
      <c r="B69" s="29" t="n">
        <v>59</v>
      </c>
      <c r="C69" s="29" t="s">
        <v>341</v>
      </c>
      <c r="D69" s="20" t="s">
        <v>342</v>
      </c>
      <c r="E69" s="20" t="n">
        <v>5</v>
      </c>
      <c r="F69" s="20" t="s">
        <v>210</v>
      </c>
      <c r="G69" s="32" t="n">
        <v>4170</v>
      </c>
      <c r="H69" s="32" t="n">
        <v>20850</v>
      </c>
      <c r="I69" s="18" t="n">
        <f aca="false">E69*G69</f>
        <v>20850</v>
      </c>
      <c r="J69" s="18" t="n">
        <f aca="false">H69-I69</f>
        <v>0</v>
      </c>
      <c r="K69" s="20" t="s">
        <v>343</v>
      </c>
    </row>
    <row r="70" customFormat="false" ht="15" hidden="false" customHeight="false" outlineLevel="0" collapsed="false">
      <c r="A70" s="29" t="s">
        <v>46</v>
      </c>
      <c r="B70" s="29" t="n">
        <v>60</v>
      </c>
      <c r="C70" s="29" t="s">
        <v>344</v>
      </c>
      <c r="D70" s="20" t="s">
        <v>345</v>
      </c>
      <c r="E70" s="20" t="n">
        <v>8</v>
      </c>
      <c r="F70" s="20" t="s">
        <v>330</v>
      </c>
      <c r="G70" s="32" t="n">
        <v>8850</v>
      </c>
      <c r="H70" s="32" t="n">
        <v>70800</v>
      </c>
      <c r="I70" s="18" t="n">
        <f aca="false">E70*G70</f>
        <v>70800</v>
      </c>
      <c r="J70" s="18" t="n">
        <f aca="false">H70-I70</f>
        <v>0</v>
      </c>
      <c r="K70" s="20" t="s">
        <v>346</v>
      </c>
    </row>
    <row r="71" customFormat="false" ht="15" hidden="false" customHeight="false" outlineLevel="0" collapsed="false">
      <c r="A71" s="29" t="s">
        <v>46</v>
      </c>
      <c r="B71" s="29" t="n">
        <v>61</v>
      </c>
      <c r="C71" s="29" t="s">
        <v>347</v>
      </c>
      <c r="D71" s="20" t="s">
        <v>348</v>
      </c>
      <c r="E71" s="20" t="n">
        <v>8</v>
      </c>
      <c r="F71" s="20" t="s">
        <v>210</v>
      </c>
      <c r="G71" s="32" t="n">
        <v>27830</v>
      </c>
      <c r="H71" s="32" t="n">
        <v>222640</v>
      </c>
      <c r="I71" s="18" t="n">
        <f aca="false">E71*G71</f>
        <v>222640</v>
      </c>
      <c r="J71" s="18" t="n">
        <f aca="false">H71-I71</f>
        <v>0</v>
      </c>
      <c r="K71" s="20" t="s">
        <v>343</v>
      </c>
    </row>
    <row r="72" customFormat="false" ht="15" hidden="false" customHeight="false" outlineLevel="0" collapsed="false">
      <c r="A72" s="29" t="s">
        <v>46</v>
      </c>
      <c r="B72" s="29" t="n">
        <v>62</v>
      </c>
      <c r="C72" s="29" t="s">
        <v>349</v>
      </c>
      <c r="D72" s="20" t="s">
        <v>350</v>
      </c>
      <c r="E72" s="20" t="n">
        <v>5</v>
      </c>
      <c r="F72" s="20" t="s">
        <v>210</v>
      </c>
      <c r="G72" s="32" t="n">
        <v>41740</v>
      </c>
      <c r="H72" s="32" t="n">
        <v>208700</v>
      </c>
      <c r="I72" s="18" t="n">
        <f aca="false">E72*G72</f>
        <v>208700</v>
      </c>
      <c r="J72" s="18" t="n">
        <f aca="false">H72-I72</f>
        <v>0</v>
      </c>
      <c r="K72" s="20" t="s">
        <v>351</v>
      </c>
    </row>
    <row r="73" customFormat="false" ht="15" hidden="false" customHeight="false" outlineLevel="0" collapsed="false">
      <c r="A73" s="29" t="s">
        <v>46</v>
      </c>
      <c r="B73" s="29" t="n">
        <v>63</v>
      </c>
      <c r="C73" s="29" t="s">
        <v>352</v>
      </c>
      <c r="D73" s="20" t="s">
        <v>353</v>
      </c>
      <c r="E73" s="20" t="n">
        <v>5</v>
      </c>
      <c r="F73" s="20" t="s">
        <v>210</v>
      </c>
      <c r="G73" s="32" t="n">
        <v>25300</v>
      </c>
      <c r="H73" s="32" t="n">
        <v>126500</v>
      </c>
      <c r="I73" s="18" t="n">
        <f aca="false">E73*G73</f>
        <v>126500</v>
      </c>
      <c r="J73" s="18" t="n">
        <f aca="false">H73-I73</f>
        <v>0</v>
      </c>
      <c r="K73" s="20" t="s">
        <v>354</v>
      </c>
    </row>
    <row r="74" customFormat="false" ht="15" hidden="false" customHeight="false" outlineLevel="0" collapsed="false">
      <c r="A74" s="29" t="s">
        <v>46</v>
      </c>
      <c r="B74" s="29" t="n">
        <v>64</v>
      </c>
      <c r="C74" s="29" t="s">
        <v>355</v>
      </c>
      <c r="D74" s="20" t="s">
        <v>356</v>
      </c>
      <c r="E74" s="20" t="n">
        <v>5</v>
      </c>
      <c r="F74" s="20" t="s">
        <v>330</v>
      </c>
      <c r="G74" s="32" t="n">
        <v>88550</v>
      </c>
      <c r="H74" s="32" t="n">
        <v>442750</v>
      </c>
      <c r="I74" s="18" t="n">
        <f aca="false">E74*G74</f>
        <v>442750</v>
      </c>
      <c r="J74" s="18" t="n">
        <f aca="false">H74-I74</f>
        <v>0</v>
      </c>
      <c r="K74" s="20" t="s">
        <v>357</v>
      </c>
    </row>
    <row r="75" customFormat="false" ht="15" hidden="false" customHeight="false" outlineLevel="0" collapsed="false">
      <c r="A75" s="29" t="s">
        <v>46</v>
      </c>
      <c r="B75" s="29" t="n">
        <v>65</v>
      </c>
      <c r="C75" s="29" t="s">
        <v>358</v>
      </c>
      <c r="D75" s="20" t="s">
        <v>359</v>
      </c>
      <c r="E75" s="20" t="n">
        <v>5</v>
      </c>
      <c r="F75" s="20" t="s">
        <v>330</v>
      </c>
      <c r="G75" s="32" t="n">
        <v>10120</v>
      </c>
      <c r="H75" s="32" t="n">
        <v>50600</v>
      </c>
      <c r="I75" s="18" t="n">
        <f aca="false">E75*G75</f>
        <v>50600</v>
      </c>
      <c r="J75" s="18" t="n">
        <f aca="false">H75-I75</f>
        <v>0</v>
      </c>
      <c r="K75" s="20"/>
    </row>
    <row r="76" customFormat="false" ht="15" hidden="false" customHeight="false" outlineLevel="0" collapsed="false">
      <c r="A76" s="29" t="s">
        <v>46</v>
      </c>
      <c r="B76" s="29" t="n">
        <v>66</v>
      </c>
      <c r="C76" s="29" t="s">
        <v>360</v>
      </c>
      <c r="D76" s="20" t="s">
        <v>179</v>
      </c>
      <c r="E76" s="20" t="n">
        <v>5</v>
      </c>
      <c r="F76" s="20" t="s">
        <v>330</v>
      </c>
      <c r="G76" s="32" t="n">
        <v>50600</v>
      </c>
      <c r="H76" s="32" t="n">
        <v>253000</v>
      </c>
      <c r="I76" s="18" t="n">
        <f aca="false">E76*G76</f>
        <v>253000</v>
      </c>
      <c r="J76" s="18" t="n">
        <f aca="false">H76-I76</f>
        <v>0</v>
      </c>
      <c r="K76" s="20"/>
    </row>
    <row r="77" customFormat="false" ht="15" hidden="false" customHeight="false" outlineLevel="0" collapsed="false">
      <c r="A77" s="29" t="s">
        <v>46</v>
      </c>
      <c r="B77" s="29" t="n">
        <v>67</v>
      </c>
      <c r="C77" s="29" t="s">
        <v>361</v>
      </c>
      <c r="D77" s="20" t="s">
        <v>362</v>
      </c>
      <c r="E77" s="20" t="n">
        <v>30</v>
      </c>
      <c r="F77" s="20" t="s">
        <v>363</v>
      </c>
      <c r="G77" s="32" t="n">
        <v>6950</v>
      </c>
      <c r="H77" s="32" t="n">
        <v>208500</v>
      </c>
      <c r="I77" s="18" t="n">
        <f aca="false">E77*G77</f>
        <v>208500</v>
      </c>
      <c r="J77" s="18" t="n">
        <f aca="false">H77-I77</f>
        <v>0</v>
      </c>
      <c r="K77" s="20" t="s">
        <v>364</v>
      </c>
    </row>
    <row r="78" customFormat="false" ht="15" hidden="false" customHeight="false" outlineLevel="0" collapsed="false">
      <c r="A78" s="29" t="s">
        <v>46</v>
      </c>
      <c r="B78" s="29" t="n">
        <v>81</v>
      </c>
      <c r="C78" s="29" t="s">
        <v>365</v>
      </c>
      <c r="D78" s="20" t="s">
        <v>366</v>
      </c>
      <c r="E78" s="20" t="n">
        <v>5</v>
      </c>
      <c r="F78" s="20" t="s">
        <v>210</v>
      </c>
      <c r="G78" s="32" t="n">
        <v>88550</v>
      </c>
      <c r="H78" s="32" t="n">
        <v>442750</v>
      </c>
      <c r="I78" s="18" t="n">
        <f aca="false">E78*G78</f>
        <v>442750</v>
      </c>
      <c r="J78" s="18" t="n">
        <f aca="false">H78-I78</f>
        <v>0</v>
      </c>
      <c r="K78" s="20" t="s">
        <v>367</v>
      </c>
    </row>
    <row r="79" customFormat="false" ht="15" hidden="false" customHeight="true" outlineLevel="0" collapsed="false">
      <c r="A79" s="61" t="s">
        <v>212</v>
      </c>
      <c r="B79" s="61"/>
      <c r="C79" s="61"/>
      <c r="D79" s="61"/>
      <c r="E79" s="61"/>
      <c r="F79" s="61"/>
      <c r="G79" s="61"/>
      <c r="H79" s="36" t="n">
        <f aca="false">SUM(H11:H78)</f>
        <v>12514320</v>
      </c>
      <c r="I79" s="36" t="n">
        <f aca="false">SUM(I11:I78)</f>
        <v>12512590</v>
      </c>
      <c r="J79" s="36" t="n">
        <f aca="false">H79-I79</f>
        <v>1730</v>
      </c>
      <c r="K79" s="33"/>
    </row>
    <row r="80" customFormat="false" ht="15" hidden="false" customHeight="true" outlineLevel="0" collapsed="false">
      <c r="A80" s="61" t="s">
        <v>213</v>
      </c>
      <c r="B80" s="61"/>
      <c r="C80" s="61"/>
      <c r="D80" s="61"/>
      <c r="E80" s="61"/>
      <c r="F80" s="61"/>
      <c r="G80" s="61"/>
      <c r="H80" s="62" t="n">
        <v>12514360</v>
      </c>
      <c r="I80" s="33"/>
      <c r="J80" s="36" t="n">
        <f aca="false">H80-H79</f>
        <v>40</v>
      </c>
      <c r="K80" s="33" t="str">
        <f aca="false">IF(J80=0,"행 합계와 일치","⚠ 행 합계와 "&amp;TEXT(J80,"#,##0")&amp;"원 차이")</f>
        <v>⚠ 행 합계와 40원 차이</v>
      </c>
    </row>
    <row r="82" customFormat="false" ht="15" hidden="false" customHeight="false" outlineLevel="0" collapsed="false">
      <c r="A82" s="60" t="s">
        <v>368</v>
      </c>
      <c r="B82" s="60"/>
      <c r="C82" s="60"/>
      <c r="D82" s="60"/>
      <c r="E82" s="60"/>
      <c r="F82" s="60"/>
      <c r="G82" s="60"/>
      <c r="H82" s="60"/>
      <c r="I82" s="60"/>
      <c r="J82" s="60"/>
      <c r="K82" s="60"/>
    </row>
    <row r="83" customFormat="false" ht="23.85" hidden="false" customHeight="false" outlineLevel="0" collapsed="false">
      <c r="A83" s="29" t="s">
        <v>369</v>
      </c>
      <c r="B83" s="29" t="n">
        <v>1</v>
      </c>
      <c r="C83" s="29" t="s">
        <v>370</v>
      </c>
      <c r="D83" s="20" t="s">
        <v>371</v>
      </c>
      <c r="E83" s="20" t="n">
        <v>10</v>
      </c>
      <c r="F83" s="20" t="s">
        <v>79</v>
      </c>
      <c r="G83" s="32" t="n">
        <v>6510</v>
      </c>
      <c r="H83" s="32" t="n">
        <v>65100</v>
      </c>
      <c r="I83" s="18" t="n">
        <f aca="false">E83*G83</f>
        <v>65100</v>
      </c>
      <c r="J83" s="18" t="n">
        <f aca="false">H83-I83</f>
        <v>0</v>
      </c>
      <c r="K83" s="20"/>
    </row>
    <row r="84" customFormat="false" ht="23.85" hidden="false" customHeight="false" outlineLevel="0" collapsed="false">
      <c r="A84" s="29" t="s">
        <v>369</v>
      </c>
      <c r="B84" s="29" t="n">
        <v>2</v>
      </c>
      <c r="C84" s="29" t="s">
        <v>372</v>
      </c>
      <c r="D84" s="20" t="s">
        <v>371</v>
      </c>
      <c r="E84" s="20" t="n">
        <v>10</v>
      </c>
      <c r="F84" s="20" t="s">
        <v>79</v>
      </c>
      <c r="G84" s="32" t="n">
        <v>6760</v>
      </c>
      <c r="H84" s="32" t="n">
        <v>67600</v>
      </c>
      <c r="I84" s="18" t="n">
        <f aca="false">E84*G84</f>
        <v>67600</v>
      </c>
      <c r="J84" s="18" t="n">
        <f aca="false">H84-I84</f>
        <v>0</v>
      </c>
      <c r="K84" s="20"/>
    </row>
    <row r="85" customFormat="false" ht="23.85" hidden="false" customHeight="false" outlineLevel="0" collapsed="false">
      <c r="A85" s="29" t="s">
        <v>369</v>
      </c>
      <c r="B85" s="29" t="n">
        <v>3</v>
      </c>
      <c r="C85" s="29" t="s">
        <v>373</v>
      </c>
      <c r="D85" s="20" t="s">
        <v>371</v>
      </c>
      <c r="E85" s="20" t="n">
        <v>10</v>
      </c>
      <c r="F85" s="20" t="s">
        <v>79</v>
      </c>
      <c r="G85" s="32" t="n">
        <v>1640</v>
      </c>
      <c r="H85" s="32" t="n">
        <v>16400</v>
      </c>
      <c r="I85" s="18" t="n">
        <f aca="false">E85*G85</f>
        <v>16400</v>
      </c>
      <c r="J85" s="18" t="n">
        <f aca="false">H85-I85</f>
        <v>0</v>
      </c>
      <c r="K85" s="20"/>
    </row>
    <row r="86" customFormat="false" ht="23.85" hidden="false" customHeight="false" outlineLevel="0" collapsed="false">
      <c r="A86" s="29" t="s">
        <v>369</v>
      </c>
      <c r="B86" s="29" t="n">
        <v>4</v>
      </c>
      <c r="C86" s="29" t="s">
        <v>374</v>
      </c>
      <c r="D86" s="20" t="s">
        <v>371</v>
      </c>
      <c r="E86" s="20" t="n">
        <v>10</v>
      </c>
      <c r="F86" s="20" t="s">
        <v>79</v>
      </c>
      <c r="G86" s="32" t="n">
        <v>2210</v>
      </c>
      <c r="H86" s="32" t="n">
        <v>22100</v>
      </c>
      <c r="I86" s="18" t="n">
        <f aca="false">E86*G86</f>
        <v>22100</v>
      </c>
      <c r="J86" s="18" t="n">
        <f aca="false">H86-I86</f>
        <v>0</v>
      </c>
      <c r="K86" s="20"/>
    </row>
    <row r="87" customFormat="false" ht="23.85" hidden="false" customHeight="false" outlineLevel="0" collapsed="false">
      <c r="A87" s="29" t="s">
        <v>369</v>
      </c>
      <c r="B87" s="29" t="n">
        <v>5</v>
      </c>
      <c r="C87" s="29" t="s">
        <v>375</v>
      </c>
      <c r="D87" s="20" t="s">
        <v>371</v>
      </c>
      <c r="E87" s="20" t="n">
        <v>10</v>
      </c>
      <c r="F87" s="20" t="s">
        <v>79</v>
      </c>
      <c r="G87" s="32" t="n">
        <v>31430</v>
      </c>
      <c r="H87" s="32" t="n">
        <v>314300</v>
      </c>
      <c r="I87" s="18" t="n">
        <f aca="false">E87*G87</f>
        <v>314300</v>
      </c>
      <c r="J87" s="18" t="n">
        <f aca="false">H87-I87</f>
        <v>0</v>
      </c>
      <c r="K87" s="20"/>
    </row>
    <row r="88" customFormat="false" ht="23.85" hidden="false" customHeight="false" outlineLevel="0" collapsed="false">
      <c r="A88" s="29" t="s">
        <v>369</v>
      </c>
      <c r="B88" s="29" t="n">
        <v>6</v>
      </c>
      <c r="C88" s="29" t="s">
        <v>376</v>
      </c>
      <c r="D88" s="20" t="s">
        <v>371</v>
      </c>
      <c r="E88" s="20" t="n">
        <v>10</v>
      </c>
      <c r="F88" s="20" t="s">
        <v>79</v>
      </c>
      <c r="G88" s="32" t="n">
        <v>15740</v>
      </c>
      <c r="H88" s="32" t="n">
        <v>157400</v>
      </c>
      <c r="I88" s="18" t="n">
        <f aca="false">E88*G88</f>
        <v>157400</v>
      </c>
      <c r="J88" s="18" t="n">
        <f aca="false">H88-I88</f>
        <v>0</v>
      </c>
      <c r="K88" s="20"/>
    </row>
    <row r="89" customFormat="false" ht="23.85" hidden="false" customHeight="false" outlineLevel="0" collapsed="false">
      <c r="A89" s="29" t="s">
        <v>369</v>
      </c>
      <c r="B89" s="29" t="n">
        <v>7</v>
      </c>
      <c r="C89" s="29" t="s">
        <v>377</v>
      </c>
      <c r="D89" s="20" t="s">
        <v>378</v>
      </c>
      <c r="E89" s="20" t="n">
        <v>20</v>
      </c>
      <c r="F89" s="20" t="s">
        <v>79</v>
      </c>
      <c r="G89" s="32" t="n">
        <v>11380</v>
      </c>
      <c r="H89" s="32" t="n">
        <v>227600</v>
      </c>
      <c r="I89" s="18" t="n">
        <f aca="false">E89*G89</f>
        <v>227600</v>
      </c>
      <c r="J89" s="18" t="n">
        <f aca="false">H89-I89</f>
        <v>0</v>
      </c>
      <c r="K89" s="20" t="s">
        <v>379</v>
      </c>
    </row>
    <row r="90" customFormat="false" ht="23.85" hidden="false" customHeight="false" outlineLevel="0" collapsed="false">
      <c r="A90" s="29" t="s">
        <v>369</v>
      </c>
      <c r="B90" s="29" t="n">
        <v>8</v>
      </c>
      <c r="C90" s="29" t="s">
        <v>380</v>
      </c>
      <c r="D90" s="20" t="s">
        <v>381</v>
      </c>
      <c r="E90" s="20" t="n">
        <v>10</v>
      </c>
      <c r="F90" s="20" t="s">
        <v>79</v>
      </c>
      <c r="G90" s="32" t="n">
        <v>37950</v>
      </c>
      <c r="H90" s="32" t="n">
        <v>379500</v>
      </c>
      <c r="I90" s="18" t="n">
        <f aca="false">E90*G90</f>
        <v>379500</v>
      </c>
      <c r="J90" s="18" t="n">
        <f aca="false">H90-I90</f>
        <v>0</v>
      </c>
      <c r="K90" s="20" t="s">
        <v>382</v>
      </c>
    </row>
    <row r="91" customFormat="false" ht="23.85" hidden="false" customHeight="false" outlineLevel="0" collapsed="false">
      <c r="A91" s="29" t="s">
        <v>369</v>
      </c>
      <c r="B91" s="29" t="n">
        <v>9</v>
      </c>
      <c r="C91" s="29" t="s">
        <v>380</v>
      </c>
      <c r="D91" s="20" t="s">
        <v>383</v>
      </c>
      <c r="E91" s="20" t="n">
        <v>2</v>
      </c>
      <c r="F91" s="20" t="s">
        <v>79</v>
      </c>
      <c r="G91" s="32" t="n">
        <v>50600</v>
      </c>
      <c r="H91" s="32" t="n">
        <v>101200</v>
      </c>
      <c r="I91" s="18" t="n">
        <f aca="false">E91*G91</f>
        <v>101200</v>
      </c>
      <c r="J91" s="18" t="n">
        <f aca="false">H91-I91</f>
        <v>0</v>
      </c>
      <c r="K91" s="20" t="s">
        <v>384</v>
      </c>
    </row>
    <row r="92" customFormat="false" ht="23.85" hidden="false" customHeight="false" outlineLevel="0" collapsed="false">
      <c r="A92" s="29" t="s">
        <v>369</v>
      </c>
      <c r="B92" s="29" t="n">
        <v>10</v>
      </c>
      <c r="C92" s="29" t="s">
        <v>385</v>
      </c>
      <c r="D92" s="20" t="s">
        <v>386</v>
      </c>
      <c r="E92" s="20" t="n">
        <v>1</v>
      </c>
      <c r="F92" s="20" t="s">
        <v>79</v>
      </c>
      <c r="G92" s="32" t="n">
        <v>202400</v>
      </c>
      <c r="H92" s="32" t="n">
        <v>202400</v>
      </c>
      <c r="I92" s="18" t="n">
        <f aca="false">E92*G92</f>
        <v>202400</v>
      </c>
      <c r="J92" s="18" t="n">
        <f aca="false">H92-I92</f>
        <v>0</v>
      </c>
      <c r="K92" s="20"/>
    </row>
    <row r="93" customFormat="false" ht="23.85" hidden="false" customHeight="false" outlineLevel="0" collapsed="false">
      <c r="A93" s="29" t="s">
        <v>369</v>
      </c>
      <c r="B93" s="29" t="n">
        <v>11</v>
      </c>
      <c r="C93" s="29" t="s">
        <v>387</v>
      </c>
      <c r="D93" s="20" t="s">
        <v>388</v>
      </c>
      <c r="E93" s="20" t="n">
        <v>20</v>
      </c>
      <c r="F93" s="20" t="s">
        <v>79</v>
      </c>
      <c r="G93" s="32" t="n">
        <v>560</v>
      </c>
      <c r="H93" s="32" t="n">
        <v>11200</v>
      </c>
      <c r="I93" s="18" t="n">
        <f aca="false">E93*G93</f>
        <v>11200</v>
      </c>
      <c r="J93" s="18" t="n">
        <f aca="false">H93-I93</f>
        <v>0</v>
      </c>
      <c r="K93" s="20"/>
    </row>
    <row r="94" customFormat="false" ht="23.85" hidden="false" customHeight="false" outlineLevel="0" collapsed="false">
      <c r="A94" s="29" t="s">
        <v>369</v>
      </c>
      <c r="B94" s="29" t="n">
        <v>12</v>
      </c>
      <c r="C94" s="29" t="s">
        <v>389</v>
      </c>
      <c r="D94" s="20" t="s">
        <v>388</v>
      </c>
      <c r="E94" s="20" t="n">
        <v>20</v>
      </c>
      <c r="F94" s="20" t="s">
        <v>79</v>
      </c>
      <c r="G94" s="32" t="n">
        <v>2780</v>
      </c>
      <c r="H94" s="32" t="n">
        <v>55600</v>
      </c>
      <c r="I94" s="18" t="n">
        <f aca="false">E94*G94</f>
        <v>55600</v>
      </c>
      <c r="J94" s="18" t="n">
        <f aca="false">H94-I94</f>
        <v>0</v>
      </c>
      <c r="K94" s="20"/>
    </row>
    <row r="95" customFormat="false" ht="23.85" hidden="false" customHeight="false" outlineLevel="0" collapsed="false">
      <c r="A95" s="29" t="s">
        <v>369</v>
      </c>
      <c r="B95" s="29" t="n">
        <v>13</v>
      </c>
      <c r="C95" s="29" t="s">
        <v>390</v>
      </c>
      <c r="D95" s="20" t="s">
        <v>391</v>
      </c>
      <c r="E95" s="20" t="n">
        <v>1</v>
      </c>
      <c r="F95" s="20" t="s">
        <v>79</v>
      </c>
      <c r="G95" s="32" t="n">
        <v>18340</v>
      </c>
      <c r="H95" s="32" t="n">
        <v>18340</v>
      </c>
      <c r="I95" s="18" t="n">
        <f aca="false">E95*G95</f>
        <v>18340</v>
      </c>
      <c r="J95" s="18" t="n">
        <f aca="false">H95-I95</f>
        <v>0</v>
      </c>
      <c r="K95" s="20"/>
    </row>
    <row r="96" customFormat="false" ht="23.85" hidden="false" customHeight="false" outlineLevel="0" collapsed="false">
      <c r="A96" s="29" t="s">
        <v>369</v>
      </c>
      <c r="B96" s="29" t="n">
        <v>14</v>
      </c>
      <c r="C96" s="29" t="s">
        <v>392</v>
      </c>
      <c r="D96" s="20" t="s">
        <v>393</v>
      </c>
      <c r="E96" s="20" t="n">
        <v>1</v>
      </c>
      <c r="F96" s="20" t="s">
        <v>79</v>
      </c>
      <c r="G96" s="32" t="n">
        <v>101200</v>
      </c>
      <c r="H96" s="32" t="n">
        <v>101200</v>
      </c>
      <c r="I96" s="18" t="n">
        <f aca="false">E96*G96</f>
        <v>101200</v>
      </c>
      <c r="J96" s="18" t="n">
        <f aca="false">H96-I96</f>
        <v>0</v>
      </c>
      <c r="K96" s="20"/>
    </row>
    <row r="97" customFormat="false" ht="23.85" hidden="false" customHeight="false" outlineLevel="0" collapsed="false">
      <c r="A97" s="29" t="s">
        <v>369</v>
      </c>
      <c r="B97" s="29" t="n">
        <v>15</v>
      </c>
      <c r="C97" s="29" t="s">
        <v>394</v>
      </c>
      <c r="D97" s="20" t="s">
        <v>395</v>
      </c>
      <c r="E97" s="20" t="n">
        <v>2</v>
      </c>
      <c r="F97" s="20" t="s">
        <v>79</v>
      </c>
      <c r="G97" s="32" t="n">
        <v>123970</v>
      </c>
      <c r="H97" s="32" t="n">
        <v>247940</v>
      </c>
      <c r="I97" s="18" t="n">
        <f aca="false">E97*G97</f>
        <v>247940</v>
      </c>
      <c r="J97" s="18" t="n">
        <f aca="false">H97-I97</f>
        <v>0</v>
      </c>
      <c r="K97" s="20"/>
    </row>
    <row r="98" customFormat="false" ht="23.85" hidden="false" customHeight="false" outlineLevel="0" collapsed="false">
      <c r="A98" s="29" t="s">
        <v>369</v>
      </c>
      <c r="B98" s="29" t="n">
        <v>16</v>
      </c>
      <c r="C98" s="29" t="s">
        <v>396</v>
      </c>
      <c r="D98" s="20" t="s">
        <v>397</v>
      </c>
      <c r="E98" s="20" t="n">
        <v>2</v>
      </c>
      <c r="F98" s="20" t="s">
        <v>79</v>
      </c>
      <c r="G98" s="32" t="n">
        <v>15180</v>
      </c>
      <c r="H98" s="32" t="n">
        <v>30360</v>
      </c>
      <c r="I98" s="18" t="n">
        <f aca="false">E98*G98</f>
        <v>30360</v>
      </c>
      <c r="J98" s="18" t="n">
        <f aca="false">H98-I98</f>
        <v>0</v>
      </c>
      <c r="K98" s="20" t="s">
        <v>398</v>
      </c>
    </row>
    <row r="99" customFormat="false" ht="23.85" hidden="false" customHeight="false" outlineLevel="0" collapsed="false">
      <c r="A99" s="29" t="s">
        <v>369</v>
      </c>
      <c r="B99" s="29" t="n">
        <v>19</v>
      </c>
      <c r="C99" s="29" t="s">
        <v>399</v>
      </c>
      <c r="D99" s="20" t="s">
        <v>400</v>
      </c>
      <c r="E99" s="20" t="n">
        <v>20</v>
      </c>
      <c r="F99" s="20" t="s">
        <v>79</v>
      </c>
      <c r="G99" s="32" t="n">
        <v>690</v>
      </c>
      <c r="H99" s="32" t="n">
        <v>13800</v>
      </c>
      <c r="I99" s="18" t="n">
        <f aca="false">E99*G99</f>
        <v>13800</v>
      </c>
      <c r="J99" s="18" t="n">
        <f aca="false">H99-I99</f>
        <v>0</v>
      </c>
      <c r="K99" s="20"/>
    </row>
    <row r="100" customFormat="false" ht="23.85" hidden="false" customHeight="false" outlineLevel="0" collapsed="false">
      <c r="A100" s="29" t="s">
        <v>369</v>
      </c>
      <c r="B100" s="29" t="n">
        <v>20</v>
      </c>
      <c r="C100" s="29" t="s">
        <v>401</v>
      </c>
      <c r="D100" s="20" t="s">
        <v>402</v>
      </c>
      <c r="E100" s="20" t="n">
        <v>20</v>
      </c>
      <c r="F100" s="20" t="s">
        <v>79</v>
      </c>
      <c r="G100" s="32" t="n">
        <v>940</v>
      </c>
      <c r="H100" s="32" t="n">
        <v>18800</v>
      </c>
      <c r="I100" s="18" t="n">
        <f aca="false">E100*G100</f>
        <v>18800</v>
      </c>
      <c r="J100" s="18" t="n">
        <f aca="false">H100-I100</f>
        <v>0</v>
      </c>
      <c r="K100" s="20"/>
    </row>
    <row r="101" customFormat="false" ht="23.85" hidden="false" customHeight="false" outlineLevel="0" collapsed="false">
      <c r="A101" s="29" t="s">
        <v>369</v>
      </c>
      <c r="B101" s="29" t="n">
        <v>21</v>
      </c>
      <c r="C101" s="29" t="s">
        <v>403</v>
      </c>
      <c r="D101" s="20" t="s">
        <v>404</v>
      </c>
      <c r="E101" s="20" t="n">
        <v>20</v>
      </c>
      <c r="F101" s="20" t="s">
        <v>79</v>
      </c>
      <c r="G101" s="32" t="n">
        <v>880</v>
      </c>
      <c r="H101" s="32" t="n">
        <v>17600</v>
      </c>
      <c r="I101" s="18" t="n">
        <f aca="false">E101*G101</f>
        <v>17600</v>
      </c>
      <c r="J101" s="18" t="n">
        <f aca="false">H101-I101</f>
        <v>0</v>
      </c>
      <c r="K101" s="20"/>
    </row>
    <row r="102" customFormat="false" ht="23.85" hidden="false" customHeight="false" outlineLevel="0" collapsed="false">
      <c r="A102" s="29" t="s">
        <v>369</v>
      </c>
      <c r="B102" s="29" t="n">
        <v>22</v>
      </c>
      <c r="C102" s="29" t="s">
        <v>405</v>
      </c>
      <c r="D102" s="20" t="s">
        <v>406</v>
      </c>
      <c r="E102" s="20" t="n">
        <v>20</v>
      </c>
      <c r="F102" s="20" t="s">
        <v>79</v>
      </c>
      <c r="G102" s="32" t="n">
        <v>880</v>
      </c>
      <c r="H102" s="32" t="n">
        <v>17600</v>
      </c>
      <c r="I102" s="18" t="n">
        <f aca="false">E102*G102</f>
        <v>17600</v>
      </c>
      <c r="J102" s="18" t="n">
        <f aca="false">H102-I102</f>
        <v>0</v>
      </c>
      <c r="K102" s="20"/>
    </row>
    <row r="103" customFormat="false" ht="23.85" hidden="false" customHeight="false" outlineLevel="0" collapsed="false">
      <c r="A103" s="29" t="s">
        <v>369</v>
      </c>
      <c r="B103" s="29" t="n">
        <v>23</v>
      </c>
      <c r="C103" s="29" t="s">
        <v>407</v>
      </c>
      <c r="D103" s="20" t="s">
        <v>408</v>
      </c>
      <c r="E103" s="20" t="n">
        <v>20</v>
      </c>
      <c r="F103" s="20" t="s">
        <v>79</v>
      </c>
      <c r="G103" s="32" t="n">
        <v>560</v>
      </c>
      <c r="H103" s="32" t="n">
        <v>11200</v>
      </c>
      <c r="I103" s="18" t="n">
        <f aca="false">E103*G103</f>
        <v>11200</v>
      </c>
      <c r="J103" s="18" t="n">
        <f aca="false">H103-I103</f>
        <v>0</v>
      </c>
      <c r="K103" s="20"/>
    </row>
    <row r="104" customFormat="false" ht="23.85" hidden="false" customHeight="false" outlineLevel="0" collapsed="false">
      <c r="A104" s="29" t="s">
        <v>369</v>
      </c>
      <c r="B104" s="29" t="n">
        <v>24</v>
      </c>
      <c r="C104" s="29" t="s">
        <v>409</v>
      </c>
      <c r="D104" s="20" t="s">
        <v>410</v>
      </c>
      <c r="E104" s="20" t="n">
        <v>20</v>
      </c>
      <c r="F104" s="20" t="s">
        <v>79</v>
      </c>
      <c r="G104" s="32" t="n">
        <v>590</v>
      </c>
      <c r="H104" s="32" t="n">
        <v>11800</v>
      </c>
      <c r="I104" s="18" t="n">
        <f aca="false">E104*G104</f>
        <v>11800</v>
      </c>
      <c r="J104" s="18" t="n">
        <f aca="false">H104-I104</f>
        <v>0</v>
      </c>
      <c r="K104" s="20"/>
    </row>
    <row r="105" customFormat="false" ht="23.85" hidden="false" customHeight="false" outlineLevel="0" collapsed="false">
      <c r="A105" s="29" t="s">
        <v>369</v>
      </c>
      <c r="B105" s="29" t="n">
        <v>25</v>
      </c>
      <c r="C105" s="29" t="s">
        <v>411</v>
      </c>
      <c r="D105" s="20" t="s">
        <v>412</v>
      </c>
      <c r="E105" s="20" t="n">
        <v>10</v>
      </c>
      <c r="F105" s="20" t="s">
        <v>79</v>
      </c>
      <c r="G105" s="32" t="n">
        <v>3030</v>
      </c>
      <c r="H105" s="32" t="n">
        <v>30300</v>
      </c>
      <c r="I105" s="18" t="n">
        <f aca="false">E105*G105</f>
        <v>30300</v>
      </c>
      <c r="J105" s="18" t="n">
        <f aca="false">H105-I105</f>
        <v>0</v>
      </c>
      <c r="K105" s="20"/>
    </row>
    <row r="106" customFormat="false" ht="23.85" hidden="false" customHeight="false" outlineLevel="0" collapsed="false">
      <c r="A106" s="29" t="s">
        <v>369</v>
      </c>
      <c r="B106" s="29" t="n">
        <v>26</v>
      </c>
      <c r="C106" s="29" t="s">
        <v>413</v>
      </c>
      <c r="D106" s="20" t="s">
        <v>414</v>
      </c>
      <c r="E106" s="20" t="n">
        <v>10</v>
      </c>
      <c r="F106" s="20" t="s">
        <v>79</v>
      </c>
      <c r="G106" s="32" t="n">
        <v>3410</v>
      </c>
      <c r="H106" s="32" t="n">
        <v>34100</v>
      </c>
      <c r="I106" s="18" t="n">
        <f aca="false">E106*G106</f>
        <v>34100</v>
      </c>
      <c r="J106" s="18" t="n">
        <f aca="false">H106-I106</f>
        <v>0</v>
      </c>
      <c r="K106" s="20"/>
    </row>
    <row r="107" customFormat="false" ht="23.85" hidden="false" customHeight="false" outlineLevel="0" collapsed="false">
      <c r="A107" s="29" t="s">
        <v>369</v>
      </c>
      <c r="B107" s="29" t="n">
        <v>27</v>
      </c>
      <c r="C107" s="29" t="s">
        <v>415</v>
      </c>
      <c r="D107" s="20" t="s">
        <v>416</v>
      </c>
      <c r="E107" s="20" t="n">
        <v>20</v>
      </c>
      <c r="F107" s="20" t="s">
        <v>79</v>
      </c>
      <c r="G107" s="32" t="n">
        <v>880</v>
      </c>
      <c r="H107" s="32" t="n">
        <v>17600</v>
      </c>
      <c r="I107" s="18" t="n">
        <f aca="false">E107*G107</f>
        <v>17600</v>
      </c>
      <c r="J107" s="18" t="n">
        <f aca="false">H107-I107</f>
        <v>0</v>
      </c>
      <c r="K107" s="20"/>
    </row>
    <row r="108" customFormat="false" ht="23.85" hidden="false" customHeight="false" outlineLevel="0" collapsed="false">
      <c r="A108" s="29" t="s">
        <v>369</v>
      </c>
      <c r="B108" s="29" t="n">
        <v>28</v>
      </c>
      <c r="C108" s="29" t="s">
        <v>417</v>
      </c>
      <c r="D108" s="20" t="s">
        <v>418</v>
      </c>
      <c r="E108" s="20" t="n">
        <v>20</v>
      </c>
      <c r="F108" s="20" t="s">
        <v>79</v>
      </c>
      <c r="G108" s="32" t="n">
        <v>1010</v>
      </c>
      <c r="H108" s="32" t="n">
        <v>20200</v>
      </c>
      <c r="I108" s="18" t="n">
        <f aca="false">E108*G108</f>
        <v>20200</v>
      </c>
      <c r="J108" s="18" t="n">
        <f aca="false">H108-I108</f>
        <v>0</v>
      </c>
      <c r="K108" s="20"/>
    </row>
    <row r="109" customFormat="false" ht="23.85" hidden="false" customHeight="false" outlineLevel="0" collapsed="false">
      <c r="A109" s="29" t="s">
        <v>369</v>
      </c>
      <c r="B109" s="29" t="n">
        <v>29</v>
      </c>
      <c r="C109" s="29" t="s">
        <v>419</v>
      </c>
      <c r="D109" s="20" t="s">
        <v>420</v>
      </c>
      <c r="E109" s="20" t="n">
        <v>10</v>
      </c>
      <c r="F109" s="20" t="s">
        <v>79</v>
      </c>
      <c r="G109" s="32" t="n">
        <v>189750</v>
      </c>
      <c r="H109" s="32" t="n">
        <v>1897500</v>
      </c>
      <c r="I109" s="18" t="n">
        <f aca="false">E109*G109</f>
        <v>1897500</v>
      </c>
      <c r="J109" s="18" t="n">
        <f aca="false">H109-I109</f>
        <v>0</v>
      </c>
      <c r="K109" s="20" t="s">
        <v>421</v>
      </c>
    </row>
    <row r="110" customFormat="false" ht="23.85" hidden="false" customHeight="false" outlineLevel="0" collapsed="false">
      <c r="A110" s="29" t="s">
        <v>369</v>
      </c>
      <c r="B110" s="29" t="n">
        <v>30</v>
      </c>
      <c r="C110" s="29" t="s">
        <v>422</v>
      </c>
      <c r="D110" s="20" t="s">
        <v>423</v>
      </c>
      <c r="E110" s="20" t="n">
        <v>10</v>
      </c>
      <c r="F110" s="20" t="s">
        <v>79</v>
      </c>
      <c r="G110" s="32" t="n">
        <v>379500</v>
      </c>
      <c r="H110" s="32" t="n">
        <v>3795000</v>
      </c>
      <c r="I110" s="18" t="n">
        <f aca="false">E110*G110</f>
        <v>3795000</v>
      </c>
      <c r="J110" s="18" t="n">
        <f aca="false">H110-I110</f>
        <v>0</v>
      </c>
      <c r="K110" s="20" t="s">
        <v>421</v>
      </c>
    </row>
    <row r="111" customFormat="false" ht="15" hidden="false" customHeight="true" outlineLevel="0" collapsed="false">
      <c r="A111" s="61" t="s">
        <v>212</v>
      </c>
      <c r="B111" s="61"/>
      <c r="C111" s="61"/>
      <c r="D111" s="61"/>
      <c r="E111" s="61"/>
      <c r="F111" s="61"/>
      <c r="G111" s="61"/>
      <c r="H111" s="36" t="n">
        <f aca="false">SUM(H83:H110)</f>
        <v>7903740</v>
      </c>
      <c r="I111" s="36" t="n">
        <f aca="false">SUM(I83:I110)</f>
        <v>7903740</v>
      </c>
      <c r="J111" s="36" t="n">
        <f aca="false">H111-I111</f>
        <v>0</v>
      </c>
      <c r="K111" s="33"/>
    </row>
    <row r="112" customFormat="false" ht="15" hidden="false" customHeight="true" outlineLevel="0" collapsed="false">
      <c r="A112" s="61" t="s">
        <v>213</v>
      </c>
      <c r="B112" s="61"/>
      <c r="C112" s="61"/>
      <c r="D112" s="61"/>
      <c r="E112" s="61"/>
      <c r="F112" s="61"/>
      <c r="G112" s="61"/>
      <c r="H112" s="62" t="n">
        <v>7903740</v>
      </c>
      <c r="I112" s="33"/>
      <c r="J112" s="36" t="n">
        <f aca="false">H112-H111</f>
        <v>0</v>
      </c>
      <c r="K112" s="33" t="str">
        <f aca="false">IF(J112=0,"행 합계와 일치","⚠ 행 합계와 "&amp;TEXT(J112,"#,##0")&amp;"원 차이")</f>
        <v>행 합계와 일치</v>
      </c>
    </row>
    <row r="114" customFormat="false" ht="15" hidden="false" customHeight="false" outlineLevel="0" collapsed="false">
      <c r="A114" s="60" t="s">
        <v>424</v>
      </c>
      <c r="B114" s="60"/>
      <c r="C114" s="60"/>
      <c r="D114" s="60"/>
      <c r="E114" s="60"/>
      <c r="F114" s="60"/>
      <c r="G114" s="60"/>
      <c r="H114" s="60"/>
      <c r="I114" s="60"/>
      <c r="J114" s="60"/>
      <c r="K114" s="60"/>
    </row>
    <row r="115" customFormat="false" ht="15" hidden="false" customHeight="false" outlineLevel="0" collapsed="false">
      <c r="A115" s="29" t="s">
        <v>50</v>
      </c>
      <c r="B115" s="29" t="n">
        <v>1</v>
      </c>
      <c r="C115" s="29"/>
      <c r="D115" s="20" t="s">
        <v>425</v>
      </c>
      <c r="E115" s="20" t="n">
        <v>22</v>
      </c>
      <c r="F115" s="20" t="s">
        <v>252</v>
      </c>
      <c r="G115" s="32" t="n">
        <v>21500</v>
      </c>
      <c r="H115" s="32" t="n">
        <v>473000</v>
      </c>
      <c r="I115" s="18" t="n">
        <f aca="false">E115*G115</f>
        <v>473000</v>
      </c>
      <c r="J115" s="18" t="n">
        <f aca="false">H115-I115</f>
        <v>0</v>
      </c>
      <c r="K115" s="20" t="s">
        <v>426</v>
      </c>
    </row>
    <row r="116" customFormat="false" ht="15" hidden="false" customHeight="false" outlineLevel="0" collapsed="false">
      <c r="A116" s="29" t="s">
        <v>50</v>
      </c>
      <c r="B116" s="29" t="n">
        <v>2</v>
      </c>
      <c r="C116" s="29"/>
      <c r="D116" s="20" t="s">
        <v>427</v>
      </c>
      <c r="E116" s="20" t="n">
        <v>10</v>
      </c>
      <c r="F116" s="20" t="s">
        <v>252</v>
      </c>
      <c r="G116" s="32" t="n">
        <v>55660</v>
      </c>
      <c r="H116" s="32" t="n">
        <v>556600</v>
      </c>
      <c r="I116" s="18" t="n">
        <f aca="false">E116*G116</f>
        <v>556600</v>
      </c>
      <c r="J116" s="18" t="n">
        <f aca="false">H116-I116</f>
        <v>0</v>
      </c>
      <c r="K116" s="20" t="s">
        <v>426</v>
      </c>
    </row>
    <row r="117" customFormat="false" ht="15" hidden="false" customHeight="false" outlineLevel="0" collapsed="false">
      <c r="A117" s="29" t="s">
        <v>50</v>
      </c>
      <c r="B117" s="29" t="n">
        <v>3</v>
      </c>
      <c r="C117" s="29" t="s">
        <v>428</v>
      </c>
      <c r="D117" s="20" t="s">
        <v>429</v>
      </c>
      <c r="E117" s="20" t="n">
        <v>5</v>
      </c>
      <c r="F117" s="20" t="s">
        <v>242</v>
      </c>
      <c r="G117" s="32" t="n">
        <v>9480</v>
      </c>
      <c r="H117" s="32" t="n">
        <v>47400</v>
      </c>
      <c r="I117" s="18" t="n">
        <f aca="false">E117*G117</f>
        <v>47400</v>
      </c>
      <c r="J117" s="18" t="n">
        <f aca="false">H117-I117</f>
        <v>0</v>
      </c>
      <c r="K117" s="20" t="s">
        <v>430</v>
      </c>
    </row>
    <row r="118" customFormat="false" ht="15" hidden="false" customHeight="false" outlineLevel="0" collapsed="false">
      <c r="A118" s="29" t="s">
        <v>50</v>
      </c>
      <c r="B118" s="29" t="n">
        <v>4</v>
      </c>
      <c r="C118" s="29"/>
      <c r="D118" s="20" t="s">
        <v>431</v>
      </c>
      <c r="E118" s="20" t="n">
        <v>5</v>
      </c>
      <c r="F118" s="20" t="s">
        <v>242</v>
      </c>
      <c r="G118" s="32" t="n">
        <v>30360</v>
      </c>
      <c r="H118" s="32" t="n">
        <v>151800</v>
      </c>
      <c r="I118" s="18" t="n">
        <f aca="false">E118*G118</f>
        <v>151800</v>
      </c>
      <c r="J118" s="18" t="n">
        <f aca="false">H118-I118</f>
        <v>0</v>
      </c>
      <c r="K118" s="20"/>
    </row>
    <row r="119" customFormat="false" ht="23.85" hidden="false" customHeight="false" outlineLevel="0" collapsed="false">
      <c r="A119" s="29" t="s">
        <v>50</v>
      </c>
      <c r="B119" s="29" t="n">
        <v>6</v>
      </c>
      <c r="C119" s="29"/>
      <c r="D119" s="20" t="s">
        <v>432</v>
      </c>
      <c r="E119" s="20" t="n">
        <v>5</v>
      </c>
      <c r="F119" s="20" t="s">
        <v>242</v>
      </c>
      <c r="G119" s="32" t="n">
        <v>35420</v>
      </c>
      <c r="H119" s="32" t="n">
        <v>177100</v>
      </c>
      <c r="I119" s="18" t="n">
        <f aca="false">E119*G119</f>
        <v>177100</v>
      </c>
      <c r="J119" s="18" t="n">
        <f aca="false">H119-I119</f>
        <v>0</v>
      </c>
      <c r="K119" s="20"/>
    </row>
    <row r="120" customFormat="false" ht="15" hidden="false" customHeight="false" outlineLevel="0" collapsed="false">
      <c r="A120" s="29" t="s">
        <v>50</v>
      </c>
      <c r="B120" s="29" t="n">
        <v>7</v>
      </c>
      <c r="C120" s="29"/>
      <c r="D120" s="20" t="s">
        <v>433</v>
      </c>
      <c r="E120" s="20" t="n">
        <v>100</v>
      </c>
      <c r="F120" s="20" t="s">
        <v>434</v>
      </c>
      <c r="G120" s="32" t="n">
        <v>1260</v>
      </c>
      <c r="H120" s="32" t="n">
        <v>126000</v>
      </c>
      <c r="I120" s="18" t="n">
        <f aca="false">E120*G120</f>
        <v>126000</v>
      </c>
      <c r="J120" s="18" t="n">
        <f aca="false">H120-I120</f>
        <v>0</v>
      </c>
      <c r="K120" s="20" t="s">
        <v>435</v>
      </c>
    </row>
    <row r="121" customFormat="false" ht="15" hidden="false" customHeight="false" outlineLevel="0" collapsed="false">
      <c r="A121" s="29" t="s">
        <v>50</v>
      </c>
      <c r="B121" s="29" t="n">
        <v>8</v>
      </c>
      <c r="C121" s="29"/>
      <c r="D121" s="20" t="s">
        <v>436</v>
      </c>
      <c r="E121" s="20" t="n">
        <v>100</v>
      </c>
      <c r="F121" s="20" t="s">
        <v>242</v>
      </c>
      <c r="G121" s="32" t="n">
        <v>1510</v>
      </c>
      <c r="H121" s="32" t="n">
        <v>151000</v>
      </c>
      <c r="I121" s="18" t="n">
        <f aca="false">E121*G121</f>
        <v>151000</v>
      </c>
      <c r="J121" s="18" t="n">
        <f aca="false">H121-I121</f>
        <v>0</v>
      </c>
      <c r="K121" s="20"/>
    </row>
    <row r="122" customFormat="false" ht="15" hidden="false" customHeight="false" outlineLevel="0" collapsed="false">
      <c r="A122" s="29" t="s">
        <v>50</v>
      </c>
      <c r="B122" s="29" t="n">
        <v>9</v>
      </c>
      <c r="C122" s="29"/>
      <c r="D122" s="20" t="s">
        <v>437</v>
      </c>
      <c r="E122" s="20" t="n">
        <v>100</v>
      </c>
      <c r="F122" s="20" t="s">
        <v>242</v>
      </c>
      <c r="G122" s="32" t="n">
        <v>1510</v>
      </c>
      <c r="H122" s="32" t="n">
        <v>151000</v>
      </c>
      <c r="I122" s="18" t="n">
        <f aca="false">E122*G122</f>
        <v>151000</v>
      </c>
      <c r="J122" s="18" t="n">
        <f aca="false">H122-I122</f>
        <v>0</v>
      </c>
      <c r="K122" s="20"/>
    </row>
    <row r="123" customFormat="false" ht="23.85" hidden="false" customHeight="false" outlineLevel="0" collapsed="false">
      <c r="A123" s="29" t="s">
        <v>50</v>
      </c>
      <c r="B123" s="29" t="n">
        <v>10</v>
      </c>
      <c r="C123" s="29" t="s">
        <v>438</v>
      </c>
      <c r="D123" s="20" t="s">
        <v>439</v>
      </c>
      <c r="E123" s="20" t="n">
        <v>15</v>
      </c>
      <c r="F123" s="20" t="s">
        <v>242</v>
      </c>
      <c r="G123" s="32" t="n">
        <v>6320</v>
      </c>
      <c r="H123" s="32" t="n">
        <v>94800</v>
      </c>
      <c r="I123" s="18" t="n">
        <f aca="false">E123*G123</f>
        <v>94800</v>
      </c>
      <c r="J123" s="18" t="n">
        <f aca="false">H123-I123</f>
        <v>0</v>
      </c>
      <c r="K123" s="20" t="s">
        <v>440</v>
      </c>
    </row>
    <row r="124" customFormat="false" ht="15" hidden="false" customHeight="false" outlineLevel="0" collapsed="false">
      <c r="A124" s="29" t="s">
        <v>50</v>
      </c>
      <c r="B124" s="29" t="n">
        <v>11</v>
      </c>
      <c r="C124" s="29"/>
      <c r="D124" s="20" t="s">
        <v>441</v>
      </c>
      <c r="E124" s="20" t="n">
        <v>30</v>
      </c>
      <c r="F124" s="20" t="s">
        <v>242</v>
      </c>
      <c r="G124" s="32" t="n">
        <v>1130</v>
      </c>
      <c r="H124" s="32" t="n">
        <v>33900</v>
      </c>
      <c r="I124" s="18" t="n">
        <f aca="false">E124*G124</f>
        <v>33900</v>
      </c>
      <c r="J124" s="18" t="n">
        <f aca="false">H124-I124</f>
        <v>0</v>
      </c>
      <c r="K124" s="20" t="s">
        <v>442</v>
      </c>
    </row>
    <row r="125" customFormat="false" ht="15" hidden="false" customHeight="false" outlineLevel="0" collapsed="false">
      <c r="A125" s="29" t="s">
        <v>50</v>
      </c>
      <c r="B125" s="29" t="n">
        <v>12</v>
      </c>
      <c r="C125" s="29" t="s">
        <v>443</v>
      </c>
      <c r="D125" s="20" t="s">
        <v>444</v>
      </c>
      <c r="E125" s="20" t="n">
        <v>50</v>
      </c>
      <c r="F125" s="20" t="s">
        <v>242</v>
      </c>
      <c r="G125" s="32" t="n">
        <v>1770</v>
      </c>
      <c r="H125" s="32" t="n">
        <v>88500</v>
      </c>
      <c r="I125" s="18" t="n">
        <f aca="false">E125*G125</f>
        <v>88500</v>
      </c>
      <c r="J125" s="18" t="n">
        <f aca="false">H125-I125</f>
        <v>0</v>
      </c>
      <c r="K125" s="20"/>
    </row>
    <row r="126" customFormat="false" ht="15" hidden="false" customHeight="false" outlineLevel="0" collapsed="false">
      <c r="A126" s="29" t="s">
        <v>50</v>
      </c>
      <c r="B126" s="29" t="n">
        <v>13</v>
      </c>
      <c r="C126" s="29"/>
      <c r="D126" s="20" t="s">
        <v>445</v>
      </c>
      <c r="E126" s="20" t="n">
        <v>10</v>
      </c>
      <c r="F126" s="20" t="s">
        <v>242</v>
      </c>
      <c r="G126" s="32" t="n">
        <v>750</v>
      </c>
      <c r="H126" s="32" t="n">
        <v>75900</v>
      </c>
      <c r="I126" s="18" t="n">
        <f aca="false">E126*G126</f>
        <v>7500</v>
      </c>
      <c r="J126" s="18" t="n">
        <f aca="false">H126-I126</f>
        <v>68400</v>
      </c>
      <c r="K126" s="20"/>
    </row>
    <row r="127" customFormat="false" ht="15" hidden="false" customHeight="false" outlineLevel="0" collapsed="false">
      <c r="A127" s="29" t="s">
        <v>50</v>
      </c>
      <c r="B127" s="29" t="n">
        <v>14</v>
      </c>
      <c r="C127" s="29" t="s">
        <v>446</v>
      </c>
      <c r="D127" s="20" t="s">
        <v>447</v>
      </c>
      <c r="E127" s="20" t="n">
        <v>50</v>
      </c>
      <c r="F127" s="20" t="s">
        <v>242</v>
      </c>
      <c r="G127" s="32" t="n">
        <v>750</v>
      </c>
      <c r="H127" s="32" t="n">
        <v>7500</v>
      </c>
      <c r="I127" s="18" t="n">
        <f aca="false">E127*G127</f>
        <v>37500</v>
      </c>
      <c r="J127" s="18" t="n">
        <f aca="false">H127-I127</f>
        <v>-30000</v>
      </c>
      <c r="K127" s="20"/>
    </row>
    <row r="128" customFormat="false" ht="15" hidden="false" customHeight="false" outlineLevel="0" collapsed="false">
      <c r="A128" s="29" t="s">
        <v>50</v>
      </c>
      <c r="B128" s="29" t="n">
        <v>15</v>
      </c>
      <c r="C128" s="29" t="s">
        <v>448</v>
      </c>
      <c r="D128" s="20" t="s">
        <v>449</v>
      </c>
      <c r="E128" s="20" t="n">
        <v>50</v>
      </c>
      <c r="F128" s="20" t="s">
        <v>242</v>
      </c>
      <c r="G128" s="32" t="n">
        <v>310</v>
      </c>
      <c r="H128" s="32" t="n">
        <v>15500</v>
      </c>
      <c r="I128" s="18" t="n">
        <f aca="false">E128*G128</f>
        <v>15500</v>
      </c>
      <c r="J128" s="18" t="n">
        <f aca="false">H128-I128</f>
        <v>0</v>
      </c>
      <c r="K128" s="20"/>
    </row>
    <row r="129" customFormat="false" ht="15" hidden="false" customHeight="false" outlineLevel="0" collapsed="false">
      <c r="A129" s="29" t="s">
        <v>50</v>
      </c>
      <c r="B129" s="29" t="n">
        <v>16</v>
      </c>
      <c r="C129" s="29" t="s">
        <v>450</v>
      </c>
      <c r="D129" s="20" t="s">
        <v>451</v>
      </c>
      <c r="E129" s="20" t="n">
        <v>5</v>
      </c>
      <c r="F129" s="20" t="s">
        <v>242</v>
      </c>
      <c r="G129" s="32" t="n">
        <v>5690</v>
      </c>
      <c r="H129" s="32" t="n">
        <v>28450</v>
      </c>
      <c r="I129" s="18" t="n">
        <f aca="false">E129*G129</f>
        <v>28450</v>
      </c>
      <c r="J129" s="18" t="n">
        <f aca="false">H129-I129</f>
        <v>0</v>
      </c>
      <c r="K129" s="20"/>
    </row>
    <row r="130" customFormat="false" ht="15" hidden="false" customHeight="false" outlineLevel="0" collapsed="false">
      <c r="A130" s="29" t="s">
        <v>50</v>
      </c>
      <c r="B130" s="29" t="n">
        <v>17</v>
      </c>
      <c r="C130" s="29" t="s">
        <v>452</v>
      </c>
      <c r="D130" s="20" t="s">
        <v>453</v>
      </c>
      <c r="E130" s="20" t="n">
        <v>5</v>
      </c>
      <c r="F130" s="20" t="s">
        <v>242</v>
      </c>
      <c r="G130" s="32" t="n">
        <v>3160</v>
      </c>
      <c r="H130" s="32" t="n">
        <v>15850</v>
      </c>
      <c r="I130" s="18" t="n">
        <f aca="false">E130*G130</f>
        <v>15800</v>
      </c>
      <c r="J130" s="18" t="n">
        <f aca="false">H130-I130</f>
        <v>50</v>
      </c>
      <c r="K130" s="20"/>
    </row>
    <row r="131" customFormat="false" ht="15" hidden="false" customHeight="false" outlineLevel="0" collapsed="false">
      <c r="A131" s="29" t="s">
        <v>50</v>
      </c>
      <c r="B131" s="29" t="n">
        <v>18</v>
      </c>
      <c r="C131" s="29" t="s">
        <v>454</v>
      </c>
      <c r="D131" s="20" t="s">
        <v>455</v>
      </c>
      <c r="E131" s="20" t="n">
        <v>10</v>
      </c>
      <c r="F131" s="20" t="s">
        <v>242</v>
      </c>
      <c r="G131" s="32" t="n">
        <v>310</v>
      </c>
      <c r="H131" s="32" t="n">
        <v>3100</v>
      </c>
      <c r="I131" s="18" t="n">
        <f aca="false">E131*G131</f>
        <v>3100</v>
      </c>
      <c r="J131" s="18" t="n">
        <f aca="false">H131-I131</f>
        <v>0</v>
      </c>
      <c r="K131" s="20"/>
    </row>
    <row r="132" customFormat="false" ht="15" hidden="false" customHeight="false" outlineLevel="0" collapsed="false">
      <c r="A132" s="29" t="s">
        <v>50</v>
      </c>
      <c r="B132" s="29" t="n">
        <v>19</v>
      </c>
      <c r="C132" s="29" t="s">
        <v>456</v>
      </c>
      <c r="D132" s="20" t="s">
        <v>457</v>
      </c>
      <c r="E132" s="20" t="n">
        <v>10</v>
      </c>
      <c r="F132" s="20" t="s">
        <v>242</v>
      </c>
      <c r="G132" s="32" t="n">
        <v>1890</v>
      </c>
      <c r="H132" s="32" t="n">
        <v>18900</v>
      </c>
      <c r="I132" s="18" t="n">
        <f aca="false">E132*G132</f>
        <v>18900</v>
      </c>
      <c r="J132" s="18" t="n">
        <f aca="false">H132-I132</f>
        <v>0</v>
      </c>
      <c r="K132" s="20"/>
    </row>
    <row r="133" customFormat="false" ht="23.85" hidden="false" customHeight="false" outlineLevel="0" collapsed="false">
      <c r="A133" s="29" t="s">
        <v>50</v>
      </c>
      <c r="B133" s="29" t="n">
        <v>20</v>
      </c>
      <c r="C133" s="29"/>
      <c r="D133" s="20" t="s">
        <v>458</v>
      </c>
      <c r="E133" s="20" t="n">
        <v>7</v>
      </c>
      <c r="F133" s="20" t="s">
        <v>242</v>
      </c>
      <c r="G133" s="32" t="n">
        <v>18970</v>
      </c>
      <c r="H133" s="32" t="n">
        <v>132790</v>
      </c>
      <c r="I133" s="18" t="n">
        <f aca="false">E133*G133</f>
        <v>132790</v>
      </c>
      <c r="J133" s="18" t="n">
        <f aca="false">H133-I133</f>
        <v>0</v>
      </c>
      <c r="K133" s="20" t="s">
        <v>459</v>
      </c>
    </row>
    <row r="134" customFormat="false" ht="15" hidden="false" customHeight="false" outlineLevel="0" collapsed="false">
      <c r="A134" s="29" t="s">
        <v>50</v>
      </c>
      <c r="B134" s="29" t="n">
        <v>21</v>
      </c>
      <c r="C134" s="29" t="s">
        <v>460</v>
      </c>
      <c r="D134" s="20" t="s">
        <v>461</v>
      </c>
      <c r="E134" s="20" t="n">
        <v>10</v>
      </c>
      <c r="F134" s="20" t="s">
        <v>242</v>
      </c>
      <c r="G134" s="32" t="n">
        <v>1890</v>
      </c>
      <c r="H134" s="32" t="n">
        <v>18900</v>
      </c>
      <c r="I134" s="18" t="n">
        <f aca="false">E134*G134</f>
        <v>18900</v>
      </c>
      <c r="J134" s="18" t="n">
        <f aca="false">H134-I134</f>
        <v>0</v>
      </c>
      <c r="K134" s="20"/>
    </row>
    <row r="135" customFormat="false" ht="15" hidden="false" customHeight="false" outlineLevel="0" collapsed="false">
      <c r="A135" s="29" t="s">
        <v>50</v>
      </c>
      <c r="B135" s="29" t="n">
        <v>22</v>
      </c>
      <c r="C135" s="29" t="s">
        <v>462</v>
      </c>
      <c r="D135" s="20" t="s">
        <v>463</v>
      </c>
      <c r="E135" s="20" t="n">
        <v>10</v>
      </c>
      <c r="F135" s="20" t="s">
        <v>242</v>
      </c>
      <c r="G135" s="32" t="n">
        <v>1510</v>
      </c>
      <c r="H135" s="32" t="n">
        <v>15100</v>
      </c>
      <c r="I135" s="18" t="n">
        <f aca="false">E135*G135</f>
        <v>15100</v>
      </c>
      <c r="J135" s="18" t="n">
        <f aca="false">H135-I135</f>
        <v>0</v>
      </c>
      <c r="K135" s="20"/>
    </row>
    <row r="136" customFormat="false" ht="23.85" hidden="false" customHeight="false" outlineLevel="0" collapsed="false">
      <c r="A136" s="29" t="s">
        <v>50</v>
      </c>
      <c r="B136" s="29" t="n">
        <v>23</v>
      </c>
      <c r="C136" s="29" t="s">
        <v>464</v>
      </c>
      <c r="D136" s="20" t="s">
        <v>465</v>
      </c>
      <c r="E136" s="20" t="n">
        <v>2</v>
      </c>
      <c r="F136" s="20" t="s">
        <v>242</v>
      </c>
      <c r="G136" s="32" t="n">
        <v>208720</v>
      </c>
      <c r="H136" s="32" t="n">
        <v>417440</v>
      </c>
      <c r="I136" s="18" t="n">
        <f aca="false">E136*G136</f>
        <v>417440</v>
      </c>
      <c r="J136" s="18" t="n">
        <f aca="false">H136-I136</f>
        <v>0</v>
      </c>
      <c r="K136" s="20"/>
    </row>
    <row r="137" customFormat="false" ht="15" hidden="false" customHeight="false" outlineLevel="0" collapsed="false">
      <c r="A137" s="29" t="s">
        <v>50</v>
      </c>
      <c r="B137" s="29" t="n">
        <v>24</v>
      </c>
      <c r="C137" s="29" t="s">
        <v>466</v>
      </c>
      <c r="D137" s="20" t="s">
        <v>467</v>
      </c>
      <c r="E137" s="20" t="n">
        <v>30</v>
      </c>
      <c r="F137" s="20" t="s">
        <v>242</v>
      </c>
      <c r="G137" s="32" t="n">
        <v>370</v>
      </c>
      <c r="H137" s="32" t="n">
        <v>11100</v>
      </c>
      <c r="I137" s="18" t="n">
        <f aca="false">E137*G137</f>
        <v>11100</v>
      </c>
      <c r="J137" s="18" t="n">
        <f aca="false">H137-I137</f>
        <v>0</v>
      </c>
      <c r="K137" s="20"/>
    </row>
    <row r="138" customFormat="false" ht="15" hidden="false" customHeight="false" outlineLevel="0" collapsed="false">
      <c r="A138" s="29" t="s">
        <v>50</v>
      </c>
      <c r="B138" s="29" t="n">
        <v>25</v>
      </c>
      <c r="C138" s="29" t="s">
        <v>468</v>
      </c>
      <c r="D138" s="20" t="s">
        <v>469</v>
      </c>
      <c r="E138" s="20" t="n">
        <v>30</v>
      </c>
      <c r="F138" s="20" t="s">
        <v>242</v>
      </c>
      <c r="G138" s="32" t="n">
        <v>370</v>
      </c>
      <c r="H138" s="32" t="n">
        <v>11100</v>
      </c>
      <c r="I138" s="18" t="n">
        <f aca="false">E138*G138</f>
        <v>11100</v>
      </c>
      <c r="J138" s="18" t="n">
        <f aca="false">H138-I138</f>
        <v>0</v>
      </c>
      <c r="K138" s="20"/>
    </row>
    <row r="139" customFormat="false" ht="15" hidden="false" customHeight="false" outlineLevel="0" collapsed="false">
      <c r="A139" s="29" t="s">
        <v>50</v>
      </c>
      <c r="B139" s="29" t="n">
        <v>26</v>
      </c>
      <c r="C139" s="29" t="s">
        <v>470</v>
      </c>
      <c r="D139" s="20" t="s">
        <v>471</v>
      </c>
      <c r="E139" s="20" t="n">
        <v>30</v>
      </c>
      <c r="F139" s="20" t="s">
        <v>242</v>
      </c>
      <c r="G139" s="32" t="n">
        <v>310</v>
      </c>
      <c r="H139" s="32" t="n">
        <v>9300</v>
      </c>
      <c r="I139" s="18" t="n">
        <f aca="false">E139*G139</f>
        <v>9300</v>
      </c>
      <c r="J139" s="18" t="n">
        <f aca="false">H139-I139</f>
        <v>0</v>
      </c>
      <c r="K139" s="20"/>
    </row>
    <row r="140" customFormat="false" ht="15" hidden="false" customHeight="false" outlineLevel="0" collapsed="false">
      <c r="A140" s="29" t="s">
        <v>50</v>
      </c>
      <c r="B140" s="29" t="n">
        <v>27</v>
      </c>
      <c r="C140" s="29" t="s">
        <v>472</v>
      </c>
      <c r="D140" s="20" t="s">
        <v>473</v>
      </c>
      <c r="E140" s="20" t="n">
        <v>30</v>
      </c>
      <c r="F140" s="20" t="s">
        <v>242</v>
      </c>
      <c r="G140" s="32" t="n">
        <v>310</v>
      </c>
      <c r="H140" s="32" t="n">
        <v>9300</v>
      </c>
      <c r="I140" s="18" t="n">
        <f aca="false">E140*G140</f>
        <v>9300</v>
      </c>
      <c r="J140" s="18" t="n">
        <f aca="false">H140-I140</f>
        <v>0</v>
      </c>
      <c r="K140" s="20"/>
    </row>
    <row r="141" customFormat="false" ht="15" hidden="false" customHeight="false" outlineLevel="0" collapsed="false">
      <c r="A141" s="29" t="s">
        <v>50</v>
      </c>
      <c r="B141" s="29" t="n">
        <v>28</v>
      </c>
      <c r="C141" s="29" t="s">
        <v>474</v>
      </c>
      <c r="D141" s="20" t="s">
        <v>475</v>
      </c>
      <c r="E141" s="20" t="n">
        <v>50</v>
      </c>
      <c r="F141" s="20" t="s">
        <v>242</v>
      </c>
      <c r="G141" s="32" t="n">
        <v>440</v>
      </c>
      <c r="H141" s="32" t="n">
        <v>22000</v>
      </c>
      <c r="I141" s="18" t="n">
        <f aca="false">E141*G141</f>
        <v>22000</v>
      </c>
      <c r="J141" s="18" t="n">
        <f aca="false">H141-I141</f>
        <v>0</v>
      </c>
      <c r="K141" s="20"/>
    </row>
    <row r="142" customFormat="false" ht="15" hidden="false" customHeight="false" outlineLevel="0" collapsed="false">
      <c r="A142" s="29" t="s">
        <v>50</v>
      </c>
      <c r="B142" s="29" t="n">
        <v>29</v>
      </c>
      <c r="C142" s="29" t="s">
        <v>476</v>
      </c>
      <c r="D142" s="20" t="s">
        <v>477</v>
      </c>
      <c r="E142" s="20" t="n">
        <v>30</v>
      </c>
      <c r="F142" s="20" t="s">
        <v>242</v>
      </c>
      <c r="G142" s="32" t="n">
        <v>880</v>
      </c>
      <c r="H142" s="32" t="n">
        <v>26400</v>
      </c>
      <c r="I142" s="18" t="n">
        <f aca="false">E142*G142</f>
        <v>26400</v>
      </c>
      <c r="J142" s="18" t="n">
        <f aca="false">H142-I142</f>
        <v>0</v>
      </c>
      <c r="K142" s="20"/>
    </row>
    <row r="143" customFormat="false" ht="15" hidden="false" customHeight="false" outlineLevel="0" collapsed="false">
      <c r="A143" s="29" t="s">
        <v>50</v>
      </c>
      <c r="B143" s="29" t="n">
        <v>30</v>
      </c>
      <c r="C143" s="29" t="s">
        <v>478</v>
      </c>
      <c r="D143" s="20" t="s">
        <v>479</v>
      </c>
      <c r="E143" s="20" t="n">
        <v>30</v>
      </c>
      <c r="F143" s="20" t="s">
        <v>242</v>
      </c>
      <c r="G143" s="32" t="n">
        <v>1130</v>
      </c>
      <c r="H143" s="32" t="n">
        <v>33900</v>
      </c>
      <c r="I143" s="18" t="n">
        <f aca="false">E143*G143</f>
        <v>33900</v>
      </c>
      <c r="J143" s="18" t="n">
        <f aca="false">H143-I143</f>
        <v>0</v>
      </c>
      <c r="K143" s="20"/>
    </row>
    <row r="144" customFormat="false" ht="15" hidden="false" customHeight="false" outlineLevel="0" collapsed="false">
      <c r="A144" s="29" t="s">
        <v>50</v>
      </c>
      <c r="B144" s="29" t="n">
        <v>31</v>
      </c>
      <c r="C144" s="29" t="s">
        <v>480</v>
      </c>
      <c r="D144" s="20" t="s">
        <v>481</v>
      </c>
      <c r="E144" s="20" t="n">
        <v>10</v>
      </c>
      <c r="F144" s="20" t="s">
        <v>242</v>
      </c>
      <c r="G144" s="32" t="n">
        <v>3540</v>
      </c>
      <c r="H144" s="32" t="n">
        <v>35400</v>
      </c>
      <c r="I144" s="18" t="n">
        <f aca="false">E144*G144</f>
        <v>35400</v>
      </c>
      <c r="J144" s="18" t="n">
        <f aca="false">H144-I144</f>
        <v>0</v>
      </c>
      <c r="K144" s="20"/>
    </row>
    <row r="145" customFormat="false" ht="23.85" hidden="false" customHeight="false" outlineLevel="0" collapsed="false">
      <c r="A145" s="29" t="s">
        <v>50</v>
      </c>
      <c r="B145" s="29" t="n">
        <v>32</v>
      </c>
      <c r="C145" s="29" t="s">
        <v>482</v>
      </c>
      <c r="D145" s="20" t="s">
        <v>483</v>
      </c>
      <c r="E145" s="20" t="n">
        <v>10</v>
      </c>
      <c r="F145" s="20" t="s">
        <v>242</v>
      </c>
      <c r="G145" s="32" t="n">
        <v>500</v>
      </c>
      <c r="H145" s="32" t="n">
        <v>5000</v>
      </c>
      <c r="I145" s="18" t="n">
        <f aca="false">E145*G145</f>
        <v>5000</v>
      </c>
      <c r="J145" s="18" t="n">
        <f aca="false">H145-I145</f>
        <v>0</v>
      </c>
      <c r="K145" s="20" t="s">
        <v>484</v>
      </c>
    </row>
    <row r="146" customFormat="false" ht="23.85" hidden="false" customHeight="false" outlineLevel="0" collapsed="false">
      <c r="A146" s="29" t="s">
        <v>50</v>
      </c>
      <c r="B146" s="29" t="n">
        <v>33</v>
      </c>
      <c r="C146" s="29" t="s">
        <v>485</v>
      </c>
      <c r="D146" s="20" t="s">
        <v>486</v>
      </c>
      <c r="E146" s="20" t="n">
        <v>10</v>
      </c>
      <c r="F146" s="20" t="s">
        <v>242</v>
      </c>
      <c r="G146" s="32" t="n">
        <v>1010</v>
      </c>
      <c r="H146" s="32" t="n">
        <v>10100</v>
      </c>
      <c r="I146" s="18" t="n">
        <f aca="false">E146*G146</f>
        <v>10100</v>
      </c>
      <c r="J146" s="18" t="n">
        <f aca="false">H146-I146</f>
        <v>0</v>
      </c>
      <c r="K146" s="20" t="s">
        <v>487</v>
      </c>
    </row>
    <row r="147" customFormat="false" ht="23.85" hidden="false" customHeight="false" outlineLevel="0" collapsed="false">
      <c r="A147" s="29" t="s">
        <v>50</v>
      </c>
      <c r="B147" s="29" t="n">
        <v>34</v>
      </c>
      <c r="C147" s="29" t="s">
        <v>488</v>
      </c>
      <c r="D147" s="20" t="s">
        <v>489</v>
      </c>
      <c r="E147" s="20" t="n">
        <v>10</v>
      </c>
      <c r="F147" s="20" t="s">
        <v>242</v>
      </c>
      <c r="G147" s="32" t="n">
        <v>500</v>
      </c>
      <c r="H147" s="32" t="n">
        <v>5000</v>
      </c>
      <c r="I147" s="18" t="n">
        <f aca="false">E147*G147</f>
        <v>5000</v>
      </c>
      <c r="J147" s="18" t="n">
        <f aca="false">H147-I147</f>
        <v>0</v>
      </c>
      <c r="K147" s="20"/>
    </row>
    <row r="148" customFormat="false" ht="15" hidden="false" customHeight="false" outlineLevel="0" collapsed="false">
      <c r="A148" s="29" t="s">
        <v>50</v>
      </c>
      <c r="B148" s="29" t="n">
        <v>36</v>
      </c>
      <c r="C148" s="29" t="s">
        <v>490</v>
      </c>
      <c r="D148" s="20" t="s">
        <v>491</v>
      </c>
      <c r="E148" s="20" t="n">
        <v>50</v>
      </c>
      <c r="F148" s="20" t="s">
        <v>242</v>
      </c>
      <c r="G148" s="32" t="n">
        <v>250</v>
      </c>
      <c r="H148" s="32" t="n">
        <v>12500</v>
      </c>
      <c r="I148" s="18" t="n">
        <f aca="false">E148*G148</f>
        <v>12500</v>
      </c>
      <c r="J148" s="18" t="n">
        <f aca="false">H148-I148</f>
        <v>0</v>
      </c>
      <c r="K148" s="20"/>
    </row>
    <row r="149" customFormat="false" ht="15" hidden="false" customHeight="false" outlineLevel="0" collapsed="false">
      <c r="A149" s="29" t="s">
        <v>50</v>
      </c>
      <c r="B149" s="29" t="n">
        <v>37</v>
      </c>
      <c r="C149" s="29" t="s">
        <v>492</v>
      </c>
      <c r="D149" s="20" t="s">
        <v>493</v>
      </c>
      <c r="E149" s="20" t="n">
        <v>30</v>
      </c>
      <c r="F149" s="20" t="s">
        <v>242</v>
      </c>
      <c r="G149" s="32" t="n">
        <v>110</v>
      </c>
      <c r="H149" s="32" t="n">
        <v>3300</v>
      </c>
      <c r="I149" s="18" t="n">
        <f aca="false">E149*G149</f>
        <v>3300</v>
      </c>
      <c r="J149" s="18" t="n">
        <f aca="false">H149-I149</f>
        <v>0</v>
      </c>
      <c r="K149" s="20"/>
    </row>
    <row r="150" customFormat="false" ht="15" hidden="false" customHeight="false" outlineLevel="0" collapsed="false">
      <c r="A150" s="29" t="s">
        <v>50</v>
      </c>
      <c r="B150" s="29" t="n">
        <v>38</v>
      </c>
      <c r="C150" s="29" t="s">
        <v>494</v>
      </c>
      <c r="D150" s="20" t="s">
        <v>495</v>
      </c>
      <c r="E150" s="20" t="n">
        <v>30</v>
      </c>
      <c r="F150" s="20" t="s">
        <v>242</v>
      </c>
      <c r="G150" s="32" t="n">
        <v>150</v>
      </c>
      <c r="H150" s="32" t="n">
        <v>4500</v>
      </c>
      <c r="I150" s="18" t="n">
        <f aca="false">E150*G150</f>
        <v>4500</v>
      </c>
      <c r="J150" s="18" t="n">
        <f aca="false">H150-I150</f>
        <v>0</v>
      </c>
      <c r="K150" s="20"/>
    </row>
    <row r="151" customFormat="false" ht="15" hidden="false" customHeight="false" outlineLevel="0" collapsed="false">
      <c r="A151" s="29" t="s">
        <v>50</v>
      </c>
      <c r="B151" s="29" t="n">
        <v>39</v>
      </c>
      <c r="C151" s="29" t="s">
        <v>496</v>
      </c>
      <c r="D151" s="20" t="s">
        <v>497</v>
      </c>
      <c r="E151" s="20" t="n">
        <v>5</v>
      </c>
      <c r="F151" s="20" t="s">
        <v>242</v>
      </c>
      <c r="G151" s="32" t="n">
        <v>10120</v>
      </c>
      <c r="H151" s="32" t="n">
        <v>50600</v>
      </c>
      <c r="I151" s="18" t="n">
        <f aca="false">E151*G151</f>
        <v>50600</v>
      </c>
      <c r="J151" s="18" t="n">
        <f aca="false">H151-I151</f>
        <v>0</v>
      </c>
      <c r="K151" s="20"/>
    </row>
    <row r="152" customFormat="false" ht="15" hidden="false" customHeight="false" outlineLevel="0" collapsed="false">
      <c r="A152" s="29" t="s">
        <v>50</v>
      </c>
      <c r="B152" s="29" t="n">
        <v>40</v>
      </c>
      <c r="C152" s="29" t="s">
        <v>498</v>
      </c>
      <c r="D152" s="20" t="s">
        <v>499</v>
      </c>
      <c r="E152" s="20" t="n">
        <v>5</v>
      </c>
      <c r="F152" s="20" t="s">
        <v>242</v>
      </c>
      <c r="G152" s="32" t="n">
        <v>20240</v>
      </c>
      <c r="H152" s="32" t="n">
        <v>101200</v>
      </c>
      <c r="I152" s="18" t="n">
        <f aca="false">E152*G152</f>
        <v>101200</v>
      </c>
      <c r="J152" s="18" t="n">
        <f aca="false">H152-I152</f>
        <v>0</v>
      </c>
      <c r="K152" s="20"/>
    </row>
    <row r="153" customFormat="false" ht="15" hidden="false" customHeight="true" outlineLevel="0" collapsed="false">
      <c r="A153" s="61" t="s">
        <v>212</v>
      </c>
      <c r="B153" s="61"/>
      <c r="C153" s="61"/>
      <c r="D153" s="61"/>
      <c r="E153" s="61"/>
      <c r="F153" s="61"/>
      <c r="G153" s="61"/>
      <c r="H153" s="36" t="n">
        <f aca="false">SUM(H115:H152)</f>
        <v>3151230</v>
      </c>
      <c r="I153" s="36" t="n">
        <f aca="false">SUM(I115:I152)</f>
        <v>3112780</v>
      </c>
      <c r="J153" s="36" t="n">
        <f aca="false">H153-I153</f>
        <v>38450</v>
      </c>
      <c r="K153" s="33"/>
    </row>
    <row r="154" customFormat="false" ht="15" hidden="false" customHeight="true" outlineLevel="0" collapsed="false">
      <c r="A154" s="61" t="s">
        <v>213</v>
      </c>
      <c r="B154" s="61"/>
      <c r="C154" s="61"/>
      <c r="D154" s="61"/>
      <c r="E154" s="61"/>
      <c r="F154" s="61"/>
      <c r="G154" s="61"/>
      <c r="H154" s="62" t="n">
        <v>3112780</v>
      </c>
      <c r="I154" s="33"/>
      <c r="J154" s="36" t="n">
        <f aca="false">H154-H153</f>
        <v>-38450</v>
      </c>
      <c r="K154" s="33" t="str">
        <f aca="false">IF(J154=0,"행 합계와 일치","⚠ 행 합계와 "&amp;TEXT(J154,"#,##0")&amp;"원 차이")</f>
        <v>⚠ 행 합계와 -38,450원 차이</v>
      </c>
    </row>
  </sheetData>
  <mergeCells count="12">
    <mergeCell ref="A5:K5"/>
    <mergeCell ref="A7:G7"/>
    <mergeCell ref="A8:G8"/>
    <mergeCell ref="A10:K10"/>
    <mergeCell ref="A79:G79"/>
    <mergeCell ref="A80:G80"/>
    <mergeCell ref="A82:K82"/>
    <mergeCell ref="A111:G111"/>
    <mergeCell ref="A112:G112"/>
    <mergeCell ref="A114:K114"/>
    <mergeCell ref="A153:G153"/>
    <mergeCell ref="A154:G154"/>
  </mergeCells>
  <conditionalFormatting sqref="A6:K6">
    <cfRule type="expression" priority="2" aboveAverage="0" equalAverage="0" bottom="0" percent="0" rank="0" text="" dxfId="12">
      <formula>$J6&lt;&gt;0</formula>
    </cfRule>
  </conditionalFormatting>
  <conditionalFormatting sqref="A11:K78">
    <cfRule type="expression" priority="3" aboveAverage="0" equalAverage="0" bottom="0" percent="0" rank="0" text="" dxfId="12">
      <formula>$J11&lt;&gt;0</formula>
    </cfRule>
  </conditionalFormatting>
  <conditionalFormatting sqref="A83:K110">
    <cfRule type="expression" priority="4" aboveAverage="0" equalAverage="0" bottom="0" percent="0" rank="0" text="" dxfId="12">
      <formula>$J83&lt;&gt;0</formula>
    </cfRule>
  </conditionalFormatting>
  <conditionalFormatting sqref="A115:K152">
    <cfRule type="expression" priority="5" aboveAverage="0" equalAverage="0" bottom="0" percent="0" rank="0" text="" dxfId="12">
      <formula>$J115&lt;&gt;0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2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5"/>
    <col collapsed="false" customWidth="true" hidden="false" outlineLevel="0" max="3" min="3" style="0" width="50"/>
    <col collapsed="false" customWidth="true" hidden="false" outlineLevel="0" max="5" min="4" style="0" width="6"/>
    <col collapsed="false" customWidth="true" hidden="false" outlineLevel="0" max="6" min="6" style="0" width="11"/>
    <col collapsed="false" customWidth="true" hidden="false" outlineLevel="0" max="7" min="7" style="0" width="12"/>
    <col collapsed="false" customWidth="true" hidden="false" outlineLevel="0" max="8" min="8" style="0" width="15"/>
    <col collapsed="false" customWidth="true" hidden="false" outlineLevel="0" max="9" min="9" style="0" width="30"/>
  </cols>
  <sheetData>
    <row r="1" customFormat="false" ht="20.1" hidden="false" customHeight="false" outlineLevel="0" collapsed="false">
      <c r="A1" s="1" t="s">
        <v>500</v>
      </c>
    </row>
    <row r="2" customFormat="false" ht="15" hidden="false" customHeight="false" outlineLevel="0" collapsed="false">
      <c r="A2" s="2" t="s">
        <v>501</v>
      </c>
    </row>
    <row r="4" customFormat="false" ht="36" hidden="false" customHeight="true" outlineLevel="0" collapsed="false">
      <c r="A4" s="9" t="s">
        <v>18</v>
      </c>
      <c r="B4" s="10" t="s">
        <v>201</v>
      </c>
      <c r="C4" s="9" t="s">
        <v>66</v>
      </c>
      <c r="D4" s="9" t="s">
        <v>67</v>
      </c>
      <c r="E4" s="9" t="s">
        <v>68</v>
      </c>
      <c r="F4" s="9" t="s">
        <v>502</v>
      </c>
      <c r="G4" s="9" t="s">
        <v>503</v>
      </c>
      <c r="H4" s="9" t="s">
        <v>504</v>
      </c>
      <c r="I4" s="10" t="s">
        <v>505</v>
      </c>
    </row>
    <row r="5" customFormat="false" ht="14.15" hidden="false" customHeight="false" outlineLevel="0" collapsed="false">
      <c r="A5" s="60" t="s">
        <v>506</v>
      </c>
      <c r="B5" s="60"/>
      <c r="C5" s="60"/>
      <c r="D5" s="60"/>
      <c r="E5" s="60"/>
      <c r="F5" s="60"/>
      <c r="G5" s="60"/>
      <c r="H5" s="60"/>
      <c r="I5" s="60"/>
    </row>
    <row r="6" customFormat="false" ht="23.85" hidden="false" customHeight="false" outlineLevel="0" collapsed="false">
      <c r="A6" s="29" t="s">
        <v>31</v>
      </c>
      <c r="B6" s="39" t="n">
        <v>1</v>
      </c>
      <c r="C6" s="20" t="s">
        <v>507</v>
      </c>
      <c r="D6" s="16" t="n">
        <v>20</v>
      </c>
      <c r="E6" s="20" t="s">
        <v>79</v>
      </c>
      <c r="F6" s="30" t="n">
        <v>57.5</v>
      </c>
      <c r="G6" s="31" t="n">
        <f aca="false">D6*F6</f>
        <v>1150</v>
      </c>
      <c r="H6" s="18" t="n">
        <f aca="false">ROUND(G6*(1-요약!$C$5)*요약!$C$4,0)</f>
        <v>1397250</v>
      </c>
      <c r="I6" s="16"/>
    </row>
    <row r="7" customFormat="false" ht="35.05" hidden="false" customHeight="false" outlineLevel="0" collapsed="false">
      <c r="A7" s="29" t="s">
        <v>31</v>
      </c>
      <c r="B7" s="39" t="n">
        <v>2</v>
      </c>
      <c r="C7" s="20" t="s">
        <v>508</v>
      </c>
      <c r="D7" s="16" t="n">
        <v>10</v>
      </c>
      <c r="E7" s="20" t="s">
        <v>79</v>
      </c>
      <c r="F7" s="30" t="n">
        <v>884.62</v>
      </c>
      <c r="G7" s="31" t="n">
        <f aca="false">D7*F7</f>
        <v>8846.2</v>
      </c>
      <c r="H7" s="18" t="n">
        <f aca="false">ROUND(G7*(1-요약!$C$5)*요약!$C$4,0)</f>
        <v>10748133</v>
      </c>
      <c r="I7" s="16"/>
    </row>
    <row r="8" customFormat="false" ht="23.85" hidden="false" customHeight="false" outlineLevel="0" collapsed="false">
      <c r="A8" s="47" t="s">
        <v>31</v>
      </c>
      <c r="B8" s="53" t="n">
        <v>3</v>
      </c>
      <c r="C8" s="48" t="s">
        <v>509</v>
      </c>
      <c r="D8" s="55" t="n">
        <v>2</v>
      </c>
      <c r="E8" s="48" t="s">
        <v>79</v>
      </c>
      <c r="F8" s="52" t="n">
        <v>398.08</v>
      </c>
      <c r="G8" s="49" t="n">
        <f aca="false">D8*F8</f>
        <v>796.16</v>
      </c>
      <c r="H8" s="50" t="n">
        <f aca="false">ROUND(G8*(1-요약!$C$5)*요약!$C$4,0)</f>
        <v>967334</v>
      </c>
      <c r="I8" s="48" t="s">
        <v>510</v>
      </c>
    </row>
    <row r="9" customFormat="false" ht="15" hidden="false" customHeight="false" outlineLevel="0" collapsed="false">
      <c r="A9" s="29" t="s">
        <v>31</v>
      </c>
      <c r="B9" s="39" t="n">
        <v>4</v>
      </c>
      <c r="C9" s="20" t="s">
        <v>511</v>
      </c>
      <c r="D9" s="16" t="n">
        <v>50</v>
      </c>
      <c r="E9" s="20" t="s">
        <v>79</v>
      </c>
      <c r="F9" s="30" t="n">
        <v>0.45</v>
      </c>
      <c r="G9" s="31" t="n">
        <f aca="false">D9*F9</f>
        <v>22.5</v>
      </c>
      <c r="H9" s="18" t="n">
        <f aca="false">ROUND(G9*(1-요약!$C$5)*요약!$C$4,0)</f>
        <v>27338</v>
      </c>
      <c r="I9" s="16"/>
    </row>
    <row r="10" customFormat="false" ht="15" hidden="false" customHeight="false" outlineLevel="0" collapsed="false">
      <c r="A10" s="29" t="s">
        <v>31</v>
      </c>
      <c r="B10" s="39" t="n">
        <v>5</v>
      </c>
      <c r="C10" s="20" t="s">
        <v>512</v>
      </c>
      <c r="D10" s="16" t="n">
        <v>50</v>
      </c>
      <c r="E10" s="20" t="s">
        <v>79</v>
      </c>
      <c r="F10" s="30" t="n">
        <v>0.45</v>
      </c>
      <c r="G10" s="31" t="n">
        <f aca="false">D10*F10</f>
        <v>22.5</v>
      </c>
      <c r="H10" s="18" t="n">
        <f aca="false">ROUND(G10*(1-요약!$C$5)*요약!$C$4,0)</f>
        <v>27338</v>
      </c>
      <c r="I10" s="16"/>
    </row>
    <row r="11" customFormat="false" ht="15" hidden="false" customHeight="false" outlineLevel="0" collapsed="false">
      <c r="A11" s="29" t="s">
        <v>31</v>
      </c>
      <c r="B11" s="39" t="n">
        <v>6</v>
      </c>
      <c r="C11" s="20" t="s">
        <v>513</v>
      </c>
      <c r="D11" s="16" t="n">
        <v>20</v>
      </c>
      <c r="E11" s="20" t="s">
        <v>79</v>
      </c>
      <c r="F11" s="30" t="n">
        <v>2.57</v>
      </c>
      <c r="G11" s="31" t="n">
        <f aca="false">D11*F11</f>
        <v>51.4</v>
      </c>
      <c r="H11" s="18" t="n">
        <f aca="false">ROUND(G11*(1-요약!$C$5)*요약!$C$4,0)</f>
        <v>62451</v>
      </c>
      <c r="I11" s="16"/>
    </row>
    <row r="12" customFormat="false" ht="15" hidden="false" customHeight="false" outlineLevel="0" collapsed="false">
      <c r="A12" s="29" t="s">
        <v>31</v>
      </c>
      <c r="B12" s="39" t="n">
        <v>7</v>
      </c>
      <c r="C12" s="20" t="s">
        <v>514</v>
      </c>
      <c r="D12" s="16" t="n">
        <v>20</v>
      </c>
      <c r="E12" s="20" t="s">
        <v>79</v>
      </c>
      <c r="F12" s="30" t="n">
        <v>2.57</v>
      </c>
      <c r="G12" s="31" t="n">
        <f aca="false">D12*F12</f>
        <v>51.4</v>
      </c>
      <c r="H12" s="18" t="n">
        <f aca="false">ROUND(G12*(1-요약!$C$5)*요약!$C$4,0)</f>
        <v>62451</v>
      </c>
      <c r="I12" s="16"/>
    </row>
    <row r="13" customFormat="false" ht="46.25" hidden="false" customHeight="false" outlineLevel="0" collapsed="false">
      <c r="A13" s="29" t="s">
        <v>31</v>
      </c>
      <c r="B13" s="39" t="n">
        <v>8</v>
      </c>
      <c r="C13" s="20" t="s">
        <v>515</v>
      </c>
      <c r="D13" s="16" t="n">
        <v>2</v>
      </c>
      <c r="E13" s="20" t="s">
        <v>79</v>
      </c>
      <c r="F13" s="30" t="n">
        <v>54.67</v>
      </c>
      <c r="G13" s="31" t="n">
        <f aca="false">D13*F13</f>
        <v>109.34</v>
      </c>
      <c r="H13" s="18" t="n">
        <f aca="false">ROUND(G13*(1-요약!$C$5)*요약!$C$4,0)</f>
        <v>132848</v>
      </c>
      <c r="I13" s="16"/>
    </row>
    <row r="14" customFormat="false" ht="23.85" hidden="false" customHeight="false" outlineLevel="0" collapsed="false">
      <c r="A14" s="29" t="s">
        <v>31</v>
      </c>
      <c r="B14" s="39" t="n">
        <v>9</v>
      </c>
      <c r="C14" s="20" t="s">
        <v>516</v>
      </c>
      <c r="D14" s="16" t="n">
        <v>2</v>
      </c>
      <c r="E14" s="20" t="s">
        <v>79</v>
      </c>
      <c r="F14" s="30" t="n">
        <v>226.46</v>
      </c>
      <c r="G14" s="31" t="n">
        <f aca="false">D14*F14</f>
        <v>452.92</v>
      </c>
      <c r="H14" s="18" t="n">
        <f aca="false">ROUND(G14*(1-요약!$C$5)*요약!$C$4,0)</f>
        <v>550298</v>
      </c>
      <c r="I14" s="16"/>
    </row>
    <row r="15" customFormat="false" ht="57.45" hidden="false" customHeight="false" outlineLevel="0" collapsed="false">
      <c r="A15" s="29" t="s">
        <v>31</v>
      </c>
      <c r="B15" s="39" t="n">
        <v>10</v>
      </c>
      <c r="C15" s="20" t="s">
        <v>517</v>
      </c>
      <c r="D15" s="16" t="n">
        <v>6</v>
      </c>
      <c r="E15" s="20" t="s">
        <v>79</v>
      </c>
      <c r="F15" s="30" t="n">
        <v>43.35</v>
      </c>
      <c r="G15" s="31" t="n">
        <f aca="false">D15*F15</f>
        <v>260.1</v>
      </c>
      <c r="H15" s="18" t="n">
        <f aca="false">ROUND(G15*(1-요약!$C$5)*요약!$C$4,0)</f>
        <v>316022</v>
      </c>
      <c r="I15" s="16"/>
    </row>
    <row r="16" customFormat="false" ht="46.25" hidden="false" customHeight="false" outlineLevel="0" collapsed="false">
      <c r="A16" s="29" t="s">
        <v>31</v>
      </c>
      <c r="B16" s="39" t="n">
        <v>11</v>
      </c>
      <c r="C16" s="20" t="s">
        <v>518</v>
      </c>
      <c r="D16" s="16" t="n">
        <v>1</v>
      </c>
      <c r="E16" s="20" t="s">
        <v>79</v>
      </c>
      <c r="F16" s="30" t="n">
        <v>130.92</v>
      </c>
      <c r="G16" s="31" t="n">
        <f aca="false">D16*F16</f>
        <v>130.92</v>
      </c>
      <c r="H16" s="18" t="n">
        <f aca="false">ROUND(G16*(1-요약!$C$5)*요약!$C$4,0)</f>
        <v>159068</v>
      </c>
      <c r="I16" s="16"/>
    </row>
    <row r="17" customFormat="false" ht="15" hidden="false" customHeight="false" outlineLevel="0" collapsed="false">
      <c r="A17" s="29" t="s">
        <v>31</v>
      </c>
      <c r="B17" s="39" t="n">
        <v>12</v>
      </c>
      <c r="C17" s="20" t="s">
        <v>519</v>
      </c>
      <c r="D17" s="16" t="n">
        <v>10</v>
      </c>
      <c r="E17" s="20" t="s">
        <v>79</v>
      </c>
      <c r="F17" s="30" t="n">
        <v>5.75</v>
      </c>
      <c r="G17" s="31" t="n">
        <f aca="false">D17*F17</f>
        <v>57.5</v>
      </c>
      <c r="H17" s="18" t="n">
        <f aca="false">ROUND(G17*(1-요약!$C$5)*요약!$C$4,0)</f>
        <v>69863</v>
      </c>
      <c r="I17" s="16"/>
    </row>
    <row r="18" customFormat="false" ht="15" hidden="false" customHeight="false" outlineLevel="0" collapsed="false">
      <c r="A18" s="29" t="s">
        <v>31</v>
      </c>
      <c r="B18" s="39" t="n">
        <v>13</v>
      </c>
      <c r="C18" s="20" t="s">
        <v>520</v>
      </c>
      <c r="D18" s="16" t="n">
        <v>10</v>
      </c>
      <c r="E18" s="20" t="s">
        <v>79</v>
      </c>
      <c r="F18" s="30" t="n">
        <v>5.75</v>
      </c>
      <c r="G18" s="31" t="n">
        <f aca="false">D18*F18</f>
        <v>57.5</v>
      </c>
      <c r="H18" s="18" t="n">
        <f aca="false">ROUND(G18*(1-요약!$C$5)*요약!$C$4,0)</f>
        <v>69863</v>
      </c>
      <c r="I18" s="16"/>
    </row>
    <row r="19" customFormat="false" ht="15" hidden="false" customHeight="false" outlineLevel="0" collapsed="false">
      <c r="A19" s="29" t="s">
        <v>31</v>
      </c>
      <c r="B19" s="39" t="n">
        <v>14</v>
      </c>
      <c r="C19" s="20" t="s">
        <v>521</v>
      </c>
      <c r="D19" s="16" t="n">
        <v>10</v>
      </c>
      <c r="E19" s="20" t="s">
        <v>79</v>
      </c>
      <c r="F19" s="30" t="n">
        <v>59.45</v>
      </c>
      <c r="G19" s="31" t="n">
        <f aca="false">D19*F19</f>
        <v>594.5</v>
      </c>
      <c r="H19" s="18" t="n">
        <f aca="false">ROUND(G19*(1-요약!$C$5)*요약!$C$4,0)</f>
        <v>722318</v>
      </c>
      <c r="I19" s="16"/>
    </row>
    <row r="20" customFormat="false" ht="23.85" hidden="false" customHeight="false" outlineLevel="0" collapsed="false">
      <c r="A20" s="29" t="s">
        <v>31</v>
      </c>
      <c r="B20" s="39" t="n">
        <v>15</v>
      </c>
      <c r="C20" s="20" t="s">
        <v>522</v>
      </c>
      <c r="D20" s="16" t="n">
        <v>1</v>
      </c>
      <c r="E20" s="20" t="s">
        <v>79</v>
      </c>
      <c r="F20" s="30" t="n">
        <v>313.64</v>
      </c>
      <c r="G20" s="31" t="n">
        <f aca="false">D20*F20</f>
        <v>313.64</v>
      </c>
      <c r="H20" s="18" t="n">
        <f aca="false">ROUND(G20*(1-요약!$C$5)*요약!$C$4,0)</f>
        <v>381073</v>
      </c>
      <c r="I20" s="16"/>
    </row>
    <row r="21" customFormat="false" ht="23.85" hidden="false" customHeight="false" outlineLevel="0" collapsed="false">
      <c r="A21" s="29" t="s">
        <v>31</v>
      </c>
      <c r="B21" s="39" t="n">
        <v>16</v>
      </c>
      <c r="C21" s="20" t="s">
        <v>523</v>
      </c>
      <c r="D21" s="16" t="n">
        <v>2</v>
      </c>
      <c r="E21" s="20" t="s">
        <v>79</v>
      </c>
      <c r="F21" s="30" t="n">
        <v>528.12</v>
      </c>
      <c r="G21" s="31" t="n">
        <f aca="false">D21*F21</f>
        <v>1056.24</v>
      </c>
      <c r="H21" s="18" t="n">
        <f aca="false">ROUND(G21*(1-요약!$C$5)*요약!$C$4,0)</f>
        <v>1283332</v>
      </c>
      <c r="I21" s="16"/>
    </row>
    <row r="22" customFormat="false" ht="15" hidden="false" customHeight="true" outlineLevel="0" collapsed="false">
      <c r="A22" s="61" t="s">
        <v>524</v>
      </c>
      <c r="B22" s="61"/>
      <c r="C22" s="61"/>
      <c r="D22" s="61"/>
      <c r="E22" s="61"/>
      <c r="F22" s="61"/>
      <c r="G22" s="35" t="n">
        <f aca="false">SUM(G6:G21)</f>
        <v>13972.82</v>
      </c>
      <c r="H22" s="36" t="n">
        <f aca="false">SUM(H6:H21)</f>
        <v>16976980</v>
      </c>
      <c r="I22" s="33"/>
    </row>
    <row r="24" customFormat="false" ht="14.15" hidden="false" customHeight="false" outlineLevel="0" collapsed="false">
      <c r="A24" s="60" t="s">
        <v>525</v>
      </c>
      <c r="B24" s="60"/>
      <c r="C24" s="60"/>
      <c r="D24" s="60"/>
      <c r="E24" s="60"/>
      <c r="F24" s="60"/>
      <c r="G24" s="60"/>
      <c r="H24" s="60"/>
      <c r="I24" s="60"/>
    </row>
    <row r="25" customFormat="false" ht="15" hidden="false" customHeight="false" outlineLevel="0" collapsed="false">
      <c r="A25" s="29" t="s">
        <v>36</v>
      </c>
      <c r="B25" s="39" t="n">
        <v>1</v>
      </c>
      <c r="C25" s="20" t="s">
        <v>158</v>
      </c>
      <c r="D25" s="16" t="n">
        <v>200</v>
      </c>
      <c r="E25" s="20" t="s">
        <v>248</v>
      </c>
      <c r="F25" s="30" t="n">
        <v>1.15</v>
      </c>
      <c r="G25" s="31" t="n">
        <f aca="false">D25*F25</f>
        <v>230</v>
      </c>
      <c r="H25" s="18" t="n">
        <f aca="false">ROUND(G25*(1-요약!$C$5)*요약!$C$4,0)</f>
        <v>279450</v>
      </c>
      <c r="I25" s="16"/>
    </row>
    <row r="26" customFormat="false" ht="15" hidden="false" customHeight="false" outlineLevel="0" collapsed="false">
      <c r="A26" s="29" t="s">
        <v>36</v>
      </c>
      <c r="B26" s="39" t="n">
        <v>2</v>
      </c>
      <c r="C26" s="20" t="s">
        <v>161</v>
      </c>
      <c r="D26" s="16" t="n">
        <v>30</v>
      </c>
      <c r="E26" s="20" t="s">
        <v>79</v>
      </c>
      <c r="F26" s="30" t="n">
        <v>4.42</v>
      </c>
      <c r="G26" s="31" t="n">
        <f aca="false">D26*F26</f>
        <v>132.6</v>
      </c>
      <c r="H26" s="18" t="n">
        <f aca="false">ROUND(G26*(1-요약!$C$5)*요약!$C$4,0)</f>
        <v>161109</v>
      </c>
      <c r="I26" s="16"/>
    </row>
    <row r="27" customFormat="false" ht="15" hidden="false" customHeight="false" outlineLevel="0" collapsed="false">
      <c r="A27" s="29" t="s">
        <v>36</v>
      </c>
      <c r="B27" s="39" t="n">
        <v>3</v>
      </c>
      <c r="C27" s="20" t="s">
        <v>193</v>
      </c>
      <c r="D27" s="16" t="n">
        <v>6</v>
      </c>
      <c r="E27" s="20" t="s">
        <v>79</v>
      </c>
      <c r="F27" s="30" t="n">
        <v>4.42</v>
      </c>
      <c r="G27" s="31" t="n">
        <f aca="false">D27*F27</f>
        <v>26.52</v>
      </c>
      <c r="H27" s="18" t="n">
        <f aca="false">ROUND(G27*(1-요약!$C$5)*요약!$C$4,0)</f>
        <v>32222</v>
      </c>
      <c r="I27" s="16"/>
    </row>
    <row r="28" customFormat="false" ht="15" hidden="false" customHeight="false" outlineLevel="0" collapsed="false">
      <c r="A28" s="47" t="s">
        <v>36</v>
      </c>
      <c r="B28" s="53" t="n">
        <v>4</v>
      </c>
      <c r="C28" s="48" t="s">
        <v>526</v>
      </c>
      <c r="D28" s="55" t="n">
        <v>10</v>
      </c>
      <c r="E28" s="48" t="s">
        <v>79</v>
      </c>
      <c r="F28" s="52" t="n">
        <v>4.42</v>
      </c>
      <c r="G28" s="49" t="n">
        <f aca="false">D28*F28</f>
        <v>44.2</v>
      </c>
      <c r="H28" s="50" t="n">
        <f aca="false">ROUND(G28*(1-요약!$C$5)*요약!$C$4,0)</f>
        <v>53703</v>
      </c>
      <c r="I28" s="48" t="s">
        <v>527</v>
      </c>
    </row>
    <row r="29" customFormat="false" ht="15" hidden="false" customHeight="false" outlineLevel="0" collapsed="false">
      <c r="A29" s="29" t="s">
        <v>36</v>
      </c>
      <c r="B29" s="39" t="n">
        <v>5</v>
      </c>
      <c r="C29" s="20" t="s">
        <v>165</v>
      </c>
      <c r="D29" s="16" t="n">
        <v>10</v>
      </c>
      <c r="E29" s="20" t="s">
        <v>79</v>
      </c>
      <c r="F29" s="30" t="n">
        <v>7.08</v>
      </c>
      <c r="G29" s="31" t="n">
        <f aca="false">D29*F29</f>
        <v>70.8</v>
      </c>
      <c r="H29" s="18" t="n">
        <f aca="false">ROUND(G29*(1-요약!$C$5)*요약!$C$4,0)</f>
        <v>86022</v>
      </c>
      <c r="I29" s="16"/>
    </row>
    <row r="30" customFormat="false" ht="15" hidden="false" customHeight="false" outlineLevel="0" collapsed="false">
      <c r="A30" s="29" t="s">
        <v>36</v>
      </c>
      <c r="B30" s="39" t="n">
        <v>6</v>
      </c>
      <c r="C30" s="20" t="s">
        <v>528</v>
      </c>
      <c r="D30" s="16" t="n">
        <v>5</v>
      </c>
      <c r="E30" s="20" t="s">
        <v>79</v>
      </c>
      <c r="F30" s="30" t="n">
        <v>4.42</v>
      </c>
      <c r="G30" s="31" t="n">
        <f aca="false">D30*F30</f>
        <v>22.1</v>
      </c>
      <c r="H30" s="18" t="n">
        <f aca="false">ROUND(G30*(1-요약!$C$5)*요약!$C$4,0)</f>
        <v>26852</v>
      </c>
      <c r="I30" s="16"/>
    </row>
    <row r="31" customFormat="false" ht="15" hidden="false" customHeight="false" outlineLevel="0" collapsed="false">
      <c r="A31" s="29" t="s">
        <v>36</v>
      </c>
      <c r="B31" s="39" t="n">
        <v>7</v>
      </c>
      <c r="C31" s="20" t="s">
        <v>529</v>
      </c>
      <c r="D31" s="16" t="n">
        <v>5</v>
      </c>
      <c r="E31" s="20" t="s">
        <v>79</v>
      </c>
      <c r="F31" s="30" t="n">
        <v>7.08</v>
      </c>
      <c r="G31" s="31" t="n">
        <f aca="false">D31*F31</f>
        <v>35.4</v>
      </c>
      <c r="H31" s="18" t="n">
        <f aca="false">ROUND(G31*(1-요약!$C$5)*요약!$C$4,0)</f>
        <v>43011</v>
      </c>
      <c r="I31" s="16"/>
    </row>
    <row r="32" customFormat="false" ht="15" hidden="false" customHeight="false" outlineLevel="0" collapsed="false">
      <c r="A32" s="29" t="s">
        <v>36</v>
      </c>
      <c r="B32" s="39" t="n">
        <v>8</v>
      </c>
      <c r="C32" s="20" t="s">
        <v>530</v>
      </c>
      <c r="D32" s="16" t="n">
        <v>5</v>
      </c>
      <c r="E32" s="20" t="s">
        <v>79</v>
      </c>
      <c r="F32" s="30" t="n">
        <v>8.85</v>
      </c>
      <c r="G32" s="31" t="n">
        <f aca="false">D32*F32</f>
        <v>44.25</v>
      </c>
      <c r="H32" s="18" t="n">
        <f aca="false">ROUND(G32*(1-요약!$C$5)*요약!$C$4,0)</f>
        <v>53764</v>
      </c>
      <c r="I32" s="16"/>
    </row>
    <row r="33" customFormat="false" ht="15" hidden="false" customHeight="false" outlineLevel="0" collapsed="false">
      <c r="A33" s="29" t="s">
        <v>36</v>
      </c>
      <c r="B33" s="39" t="n">
        <v>9</v>
      </c>
      <c r="C33" s="20" t="s">
        <v>531</v>
      </c>
      <c r="D33" s="16" t="n">
        <v>2</v>
      </c>
      <c r="E33" s="20" t="s">
        <v>79</v>
      </c>
      <c r="F33" s="30" t="n">
        <v>6.28</v>
      </c>
      <c r="G33" s="31" t="n">
        <f aca="false">D33*F33</f>
        <v>12.56</v>
      </c>
      <c r="H33" s="18" t="n">
        <f aca="false">ROUND(G33*(1-요약!$C$5)*요약!$C$4,0)</f>
        <v>15260</v>
      </c>
      <c r="I33" s="16"/>
    </row>
    <row r="34" customFormat="false" ht="15" hidden="false" customHeight="false" outlineLevel="0" collapsed="false">
      <c r="A34" s="29" t="s">
        <v>36</v>
      </c>
      <c r="B34" s="39" t="n">
        <v>10</v>
      </c>
      <c r="C34" s="20" t="s">
        <v>532</v>
      </c>
      <c r="D34" s="16" t="n">
        <v>2</v>
      </c>
      <c r="E34" s="20" t="s">
        <v>79</v>
      </c>
      <c r="F34" s="30" t="n">
        <v>7.7</v>
      </c>
      <c r="G34" s="31" t="n">
        <f aca="false">D34*F34</f>
        <v>15.4</v>
      </c>
      <c r="H34" s="18" t="n">
        <f aca="false">ROUND(G34*(1-요약!$C$5)*요약!$C$4,0)</f>
        <v>18711</v>
      </c>
      <c r="I34" s="16"/>
    </row>
    <row r="35" customFormat="false" ht="15" hidden="false" customHeight="false" outlineLevel="0" collapsed="false">
      <c r="A35" s="29" t="s">
        <v>36</v>
      </c>
      <c r="B35" s="39" t="n">
        <v>11</v>
      </c>
      <c r="C35" s="20" t="s">
        <v>533</v>
      </c>
      <c r="D35" s="16" t="n">
        <v>2</v>
      </c>
      <c r="E35" s="20" t="s">
        <v>79</v>
      </c>
      <c r="F35" s="30" t="n">
        <v>4.42</v>
      </c>
      <c r="G35" s="31" t="n">
        <f aca="false">D35*F35</f>
        <v>8.84</v>
      </c>
      <c r="H35" s="18" t="n">
        <f aca="false">ROUND(G35*(1-요약!$C$5)*요약!$C$4,0)</f>
        <v>10741</v>
      </c>
      <c r="I35" s="16"/>
    </row>
    <row r="36" customFormat="false" ht="15" hidden="false" customHeight="false" outlineLevel="0" collapsed="false">
      <c r="A36" s="29" t="s">
        <v>36</v>
      </c>
      <c r="B36" s="39" t="n">
        <v>12</v>
      </c>
      <c r="C36" s="20" t="s">
        <v>534</v>
      </c>
      <c r="D36" s="16" t="n">
        <v>2</v>
      </c>
      <c r="E36" s="20" t="s">
        <v>79</v>
      </c>
      <c r="F36" s="30" t="n">
        <v>15.92</v>
      </c>
      <c r="G36" s="31" t="n">
        <f aca="false">D36*F36</f>
        <v>31.84</v>
      </c>
      <c r="H36" s="18" t="n">
        <f aca="false">ROUND(G36*(1-요약!$C$5)*요약!$C$4,0)</f>
        <v>38686</v>
      </c>
      <c r="I36" s="16"/>
    </row>
    <row r="37" customFormat="false" ht="23.85" hidden="false" customHeight="false" outlineLevel="0" collapsed="false">
      <c r="A37" s="29" t="s">
        <v>36</v>
      </c>
      <c r="B37" s="39" t="n">
        <v>13</v>
      </c>
      <c r="C37" s="20" t="s">
        <v>535</v>
      </c>
      <c r="D37" s="16" t="n">
        <v>3</v>
      </c>
      <c r="E37" s="20" t="s">
        <v>79</v>
      </c>
      <c r="F37" s="30" t="n">
        <v>12.74</v>
      </c>
      <c r="G37" s="31" t="n">
        <f aca="false">D37*F37</f>
        <v>38.22</v>
      </c>
      <c r="H37" s="18" t="n">
        <f aca="false">ROUND(G37*(1-요약!$C$5)*요약!$C$4,0)</f>
        <v>46437</v>
      </c>
      <c r="I37" s="16"/>
    </row>
    <row r="38" customFormat="false" ht="23.85" hidden="false" customHeight="false" outlineLevel="0" collapsed="false">
      <c r="A38" s="29" t="s">
        <v>36</v>
      </c>
      <c r="B38" s="39" t="n">
        <v>14</v>
      </c>
      <c r="C38" s="20" t="s">
        <v>536</v>
      </c>
      <c r="D38" s="16" t="n">
        <v>3</v>
      </c>
      <c r="E38" s="20" t="s">
        <v>79</v>
      </c>
      <c r="F38" s="30" t="n">
        <v>16.63</v>
      </c>
      <c r="G38" s="31" t="n">
        <f aca="false">D38*F38</f>
        <v>49.89</v>
      </c>
      <c r="H38" s="18" t="n">
        <f aca="false">ROUND(G38*(1-요약!$C$5)*요약!$C$4,0)</f>
        <v>60616</v>
      </c>
      <c r="I38" s="16"/>
    </row>
    <row r="39" customFormat="false" ht="23.85" hidden="false" customHeight="false" outlineLevel="0" collapsed="false">
      <c r="A39" s="29" t="s">
        <v>36</v>
      </c>
      <c r="B39" s="39" t="n">
        <v>15</v>
      </c>
      <c r="C39" s="20" t="s">
        <v>537</v>
      </c>
      <c r="D39" s="16" t="n">
        <v>3</v>
      </c>
      <c r="E39" s="20" t="s">
        <v>79</v>
      </c>
      <c r="F39" s="30" t="n">
        <v>29.72</v>
      </c>
      <c r="G39" s="31" t="n">
        <f aca="false">D39*F39</f>
        <v>89.16</v>
      </c>
      <c r="H39" s="18" t="n">
        <f aca="false">ROUND(G39*(1-요약!$C$5)*요약!$C$4,0)</f>
        <v>108329</v>
      </c>
      <c r="I39" s="16"/>
    </row>
    <row r="40" customFormat="false" ht="23.85" hidden="false" customHeight="false" outlineLevel="0" collapsed="false">
      <c r="A40" s="29" t="s">
        <v>36</v>
      </c>
      <c r="B40" s="39" t="n">
        <v>16</v>
      </c>
      <c r="C40" s="20" t="s">
        <v>538</v>
      </c>
      <c r="D40" s="16" t="n">
        <v>5</v>
      </c>
      <c r="E40" s="20" t="s">
        <v>79</v>
      </c>
      <c r="F40" s="30" t="n">
        <v>0.98</v>
      </c>
      <c r="G40" s="31" t="n">
        <f aca="false">D40*F40</f>
        <v>4.9</v>
      </c>
      <c r="H40" s="18" t="n">
        <f aca="false">ROUND(G40*(1-요약!$C$5)*요약!$C$4,0)</f>
        <v>5954</v>
      </c>
      <c r="I40" s="16"/>
    </row>
    <row r="41" customFormat="false" ht="23.85" hidden="false" customHeight="false" outlineLevel="0" collapsed="false">
      <c r="A41" s="29" t="s">
        <v>36</v>
      </c>
      <c r="B41" s="39" t="n">
        <v>17</v>
      </c>
      <c r="C41" s="20" t="s">
        <v>539</v>
      </c>
      <c r="D41" s="16" t="n">
        <v>5</v>
      </c>
      <c r="E41" s="20" t="s">
        <v>79</v>
      </c>
      <c r="F41" s="30" t="n">
        <v>0.98</v>
      </c>
      <c r="G41" s="31" t="n">
        <f aca="false">D41*F41</f>
        <v>4.9</v>
      </c>
      <c r="H41" s="18" t="n">
        <f aca="false">ROUND(G41*(1-요약!$C$5)*요약!$C$4,0)</f>
        <v>5954</v>
      </c>
      <c r="I41" s="16"/>
    </row>
    <row r="42" customFormat="false" ht="23.85" hidden="false" customHeight="false" outlineLevel="0" collapsed="false">
      <c r="A42" s="29" t="s">
        <v>36</v>
      </c>
      <c r="B42" s="39" t="n">
        <v>18</v>
      </c>
      <c r="C42" s="20" t="s">
        <v>540</v>
      </c>
      <c r="D42" s="16" t="n">
        <v>5</v>
      </c>
      <c r="E42" s="20" t="s">
        <v>79</v>
      </c>
      <c r="F42" s="30" t="n">
        <v>1.15</v>
      </c>
      <c r="G42" s="31" t="n">
        <f aca="false">D42*F42</f>
        <v>5.75</v>
      </c>
      <c r="H42" s="18" t="n">
        <f aca="false">ROUND(G42*(1-요약!$C$5)*요약!$C$4,0)</f>
        <v>6986</v>
      </c>
      <c r="I42" s="16"/>
    </row>
    <row r="43" customFormat="false" ht="23.85" hidden="false" customHeight="false" outlineLevel="0" collapsed="false">
      <c r="A43" s="29" t="s">
        <v>36</v>
      </c>
      <c r="B43" s="39" t="n">
        <v>19</v>
      </c>
      <c r="C43" s="20" t="s">
        <v>541</v>
      </c>
      <c r="D43" s="16" t="n">
        <v>5</v>
      </c>
      <c r="E43" s="20" t="s">
        <v>79</v>
      </c>
      <c r="F43" s="30" t="n">
        <v>1.68</v>
      </c>
      <c r="G43" s="31" t="n">
        <f aca="false">D43*F43</f>
        <v>8.4</v>
      </c>
      <c r="H43" s="18" t="n">
        <f aca="false">ROUND(G43*(1-요약!$C$5)*요약!$C$4,0)</f>
        <v>10206</v>
      </c>
      <c r="I43" s="16"/>
    </row>
    <row r="44" customFormat="false" ht="23.85" hidden="false" customHeight="false" outlineLevel="0" collapsed="false">
      <c r="A44" s="29" t="s">
        <v>36</v>
      </c>
      <c r="B44" s="39" t="n">
        <v>20</v>
      </c>
      <c r="C44" s="20" t="s">
        <v>542</v>
      </c>
      <c r="D44" s="16" t="n">
        <v>5</v>
      </c>
      <c r="E44" s="20" t="s">
        <v>79</v>
      </c>
      <c r="F44" s="30" t="n">
        <v>0.98</v>
      </c>
      <c r="G44" s="31" t="n">
        <f aca="false">D44*F44</f>
        <v>4.9</v>
      </c>
      <c r="H44" s="18" t="n">
        <f aca="false">ROUND(G44*(1-요약!$C$5)*요약!$C$4,0)</f>
        <v>5954</v>
      </c>
      <c r="I44" s="16"/>
    </row>
    <row r="45" customFormat="false" ht="23.85" hidden="false" customHeight="false" outlineLevel="0" collapsed="false">
      <c r="A45" s="29" t="s">
        <v>36</v>
      </c>
      <c r="B45" s="39" t="n">
        <v>21</v>
      </c>
      <c r="C45" s="20" t="s">
        <v>543</v>
      </c>
      <c r="D45" s="16" t="n">
        <v>5</v>
      </c>
      <c r="E45" s="20" t="s">
        <v>79</v>
      </c>
      <c r="F45" s="30" t="n">
        <v>0.98</v>
      </c>
      <c r="G45" s="31" t="n">
        <f aca="false">D45*F45</f>
        <v>4.9</v>
      </c>
      <c r="H45" s="18" t="n">
        <f aca="false">ROUND(G45*(1-요약!$C$5)*요약!$C$4,0)</f>
        <v>5954</v>
      </c>
      <c r="I45" s="16"/>
    </row>
    <row r="46" customFormat="false" ht="23.85" hidden="false" customHeight="false" outlineLevel="0" collapsed="false">
      <c r="A46" s="29" t="s">
        <v>36</v>
      </c>
      <c r="B46" s="39" t="n">
        <v>22</v>
      </c>
      <c r="C46" s="20" t="s">
        <v>544</v>
      </c>
      <c r="D46" s="16" t="n">
        <v>5</v>
      </c>
      <c r="E46" s="20" t="s">
        <v>79</v>
      </c>
      <c r="F46" s="30" t="n">
        <v>0.98</v>
      </c>
      <c r="G46" s="31" t="n">
        <f aca="false">D46*F46</f>
        <v>4.9</v>
      </c>
      <c r="H46" s="18" t="n">
        <f aca="false">ROUND(G46*(1-요약!$C$5)*요약!$C$4,0)</f>
        <v>5954</v>
      </c>
      <c r="I46" s="16"/>
    </row>
    <row r="47" customFormat="false" ht="23.85" hidden="false" customHeight="false" outlineLevel="0" collapsed="false">
      <c r="A47" s="29" t="s">
        <v>36</v>
      </c>
      <c r="B47" s="39" t="n">
        <v>23</v>
      </c>
      <c r="C47" s="20" t="s">
        <v>545</v>
      </c>
      <c r="D47" s="16" t="n">
        <v>5</v>
      </c>
      <c r="E47" s="20" t="s">
        <v>79</v>
      </c>
      <c r="F47" s="30" t="n">
        <v>1.15</v>
      </c>
      <c r="G47" s="31" t="n">
        <f aca="false">D47*F47</f>
        <v>5.75</v>
      </c>
      <c r="H47" s="18" t="n">
        <f aca="false">ROUND(G47*(1-요약!$C$5)*요약!$C$4,0)</f>
        <v>6986</v>
      </c>
      <c r="I47" s="16"/>
    </row>
    <row r="48" customFormat="false" ht="23.85" hidden="false" customHeight="false" outlineLevel="0" collapsed="false">
      <c r="A48" s="29" t="s">
        <v>36</v>
      </c>
      <c r="B48" s="39" t="n">
        <v>24</v>
      </c>
      <c r="C48" s="20" t="s">
        <v>546</v>
      </c>
      <c r="D48" s="16" t="n">
        <v>5</v>
      </c>
      <c r="E48" s="20" t="s">
        <v>79</v>
      </c>
      <c r="F48" s="30" t="n">
        <v>1.33</v>
      </c>
      <c r="G48" s="31" t="n">
        <f aca="false">D48*F48</f>
        <v>6.65</v>
      </c>
      <c r="H48" s="18" t="n">
        <f aca="false">ROUND(G48*(1-요약!$C$5)*요약!$C$4,0)</f>
        <v>8080</v>
      </c>
      <c r="I48" s="16"/>
    </row>
    <row r="49" customFormat="false" ht="23.85" hidden="false" customHeight="false" outlineLevel="0" collapsed="false">
      <c r="A49" s="29" t="s">
        <v>36</v>
      </c>
      <c r="B49" s="39" t="n">
        <v>25</v>
      </c>
      <c r="C49" s="20" t="s">
        <v>547</v>
      </c>
      <c r="D49" s="16" t="n">
        <v>5</v>
      </c>
      <c r="E49" s="20" t="s">
        <v>79</v>
      </c>
      <c r="F49" s="30" t="n">
        <v>1.42</v>
      </c>
      <c r="G49" s="31" t="n">
        <f aca="false">D49*F49</f>
        <v>7.1</v>
      </c>
      <c r="H49" s="18" t="n">
        <f aca="false">ROUND(G49*(1-요약!$C$5)*요약!$C$4,0)</f>
        <v>8627</v>
      </c>
      <c r="I49" s="16"/>
    </row>
    <row r="50" customFormat="false" ht="15" hidden="false" customHeight="false" outlineLevel="0" collapsed="false">
      <c r="A50" s="29" t="s">
        <v>36</v>
      </c>
      <c r="B50" s="39" t="n">
        <v>26</v>
      </c>
      <c r="C50" s="20" t="s">
        <v>548</v>
      </c>
      <c r="D50" s="16" t="n">
        <v>2</v>
      </c>
      <c r="E50" s="20" t="s">
        <v>79</v>
      </c>
      <c r="F50" s="30" t="n">
        <v>27.69</v>
      </c>
      <c r="G50" s="31" t="n">
        <f aca="false">D50*F50</f>
        <v>55.38</v>
      </c>
      <c r="H50" s="18" t="n">
        <f aca="false">ROUND(G50*(1-요약!$C$5)*요약!$C$4,0)</f>
        <v>67287</v>
      </c>
      <c r="I50" s="16"/>
    </row>
    <row r="51" customFormat="false" ht="15" hidden="false" customHeight="false" outlineLevel="0" collapsed="false">
      <c r="A51" s="29" t="s">
        <v>36</v>
      </c>
      <c r="B51" s="39" t="n">
        <v>27</v>
      </c>
      <c r="C51" s="20" t="s">
        <v>549</v>
      </c>
      <c r="D51" s="16" t="n">
        <v>2</v>
      </c>
      <c r="E51" s="20" t="s">
        <v>79</v>
      </c>
      <c r="F51" s="30" t="n">
        <v>53.61</v>
      </c>
      <c r="G51" s="31" t="n">
        <f aca="false">D51*F51</f>
        <v>107.22</v>
      </c>
      <c r="H51" s="18" t="n">
        <f aca="false">ROUND(G51*(1-요약!$C$5)*요약!$C$4,0)</f>
        <v>130272</v>
      </c>
      <c r="I51" s="16"/>
    </row>
    <row r="52" customFormat="false" ht="23.85" hidden="false" customHeight="false" outlineLevel="0" collapsed="false">
      <c r="A52" s="29" t="s">
        <v>36</v>
      </c>
      <c r="B52" s="39" t="n">
        <v>28</v>
      </c>
      <c r="C52" s="20" t="s">
        <v>550</v>
      </c>
      <c r="D52" s="16" t="n">
        <v>2</v>
      </c>
      <c r="E52" s="20" t="s">
        <v>79</v>
      </c>
      <c r="F52" s="30" t="n">
        <v>3.54</v>
      </c>
      <c r="G52" s="31" t="n">
        <f aca="false">D52*F52</f>
        <v>7.08</v>
      </c>
      <c r="H52" s="18" t="n">
        <f aca="false">ROUND(G52*(1-요약!$C$5)*요약!$C$4,0)</f>
        <v>8602</v>
      </c>
      <c r="I52" s="16"/>
    </row>
    <row r="53" customFormat="false" ht="15" hidden="false" customHeight="false" outlineLevel="0" collapsed="false">
      <c r="A53" s="29" t="s">
        <v>36</v>
      </c>
      <c r="B53" s="39" t="n">
        <v>29</v>
      </c>
      <c r="C53" s="20" t="s">
        <v>551</v>
      </c>
      <c r="D53" s="16" t="n">
        <v>2</v>
      </c>
      <c r="E53" s="20" t="s">
        <v>79</v>
      </c>
      <c r="F53" s="30" t="n">
        <v>6.99</v>
      </c>
      <c r="G53" s="31" t="n">
        <f aca="false">D53*F53</f>
        <v>13.98</v>
      </c>
      <c r="H53" s="18" t="n">
        <f aca="false">ROUND(G53*(1-요약!$C$5)*요약!$C$4,0)</f>
        <v>16986</v>
      </c>
      <c r="I53" s="16"/>
    </row>
    <row r="54" customFormat="false" ht="15" hidden="false" customHeight="false" outlineLevel="0" collapsed="false">
      <c r="A54" s="29" t="s">
        <v>36</v>
      </c>
      <c r="B54" s="39" t="n">
        <v>30</v>
      </c>
      <c r="C54" s="20" t="s">
        <v>552</v>
      </c>
      <c r="D54" s="16" t="n">
        <v>2</v>
      </c>
      <c r="E54" s="20" t="s">
        <v>79</v>
      </c>
      <c r="F54" s="30" t="n">
        <v>10.18</v>
      </c>
      <c r="G54" s="31" t="n">
        <f aca="false">D54*F54</f>
        <v>20.36</v>
      </c>
      <c r="H54" s="18" t="n">
        <f aca="false">ROUND(G54*(1-요약!$C$5)*요약!$C$4,0)</f>
        <v>24737</v>
      </c>
      <c r="I54" s="16"/>
    </row>
    <row r="55" customFormat="false" ht="15" hidden="false" customHeight="false" outlineLevel="0" collapsed="false">
      <c r="A55" s="29" t="s">
        <v>36</v>
      </c>
      <c r="B55" s="39" t="n">
        <v>31</v>
      </c>
      <c r="C55" s="20" t="s">
        <v>553</v>
      </c>
      <c r="D55" s="16" t="n">
        <v>2</v>
      </c>
      <c r="E55" s="20" t="s">
        <v>79</v>
      </c>
      <c r="F55" s="30" t="n">
        <v>17.69</v>
      </c>
      <c r="G55" s="31" t="n">
        <f aca="false">D55*F55</f>
        <v>35.38</v>
      </c>
      <c r="H55" s="18" t="n">
        <f aca="false">ROUND(G55*(1-요약!$C$5)*요약!$C$4,0)</f>
        <v>42987</v>
      </c>
      <c r="I55" s="16"/>
    </row>
    <row r="56" customFormat="false" ht="15" hidden="false" customHeight="false" outlineLevel="0" collapsed="false">
      <c r="A56" s="29" t="s">
        <v>36</v>
      </c>
      <c r="B56" s="39" t="n">
        <v>32</v>
      </c>
      <c r="C56" s="20" t="s">
        <v>554</v>
      </c>
      <c r="D56" s="16" t="n">
        <v>2</v>
      </c>
      <c r="E56" s="20" t="s">
        <v>79</v>
      </c>
      <c r="F56" s="30" t="n">
        <v>17.69</v>
      </c>
      <c r="G56" s="31" t="n">
        <f aca="false">D56*F56</f>
        <v>35.38</v>
      </c>
      <c r="H56" s="18" t="n">
        <f aca="false">ROUND(G56*(1-요약!$C$5)*요약!$C$4,0)</f>
        <v>42987</v>
      </c>
      <c r="I56" s="16"/>
    </row>
    <row r="57" customFormat="false" ht="15" hidden="false" customHeight="false" outlineLevel="0" collapsed="false">
      <c r="A57" s="29" t="s">
        <v>36</v>
      </c>
      <c r="B57" s="39" t="n">
        <v>33</v>
      </c>
      <c r="C57" s="20" t="s">
        <v>555</v>
      </c>
      <c r="D57" s="16" t="n">
        <v>2</v>
      </c>
      <c r="E57" s="20" t="s">
        <v>79</v>
      </c>
      <c r="F57" s="30" t="n">
        <v>17.69</v>
      </c>
      <c r="G57" s="31" t="n">
        <f aca="false">D57*F57</f>
        <v>35.38</v>
      </c>
      <c r="H57" s="18" t="n">
        <f aca="false">ROUND(G57*(1-요약!$C$5)*요약!$C$4,0)</f>
        <v>42987</v>
      </c>
      <c r="I57" s="16"/>
    </row>
    <row r="58" customFormat="false" ht="15" hidden="false" customHeight="false" outlineLevel="0" collapsed="false">
      <c r="A58" s="29" t="s">
        <v>36</v>
      </c>
      <c r="B58" s="39" t="n">
        <v>34</v>
      </c>
      <c r="C58" s="20" t="s">
        <v>556</v>
      </c>
      <c r="D58" s="16" t="n">
        <v>5</v>
      </c>
      <c r="E58" s="20" t="s">
        <v>79</v>
      </c>
      <c r="F58" s="30" t="n">
        <v>3.98</v>
      </c>
      <c r="G58" s="31" t="n">
        <f aca="false">D58*F58</f>
        <v>19.9</v>
      </c>
      <c r="H58" s="18" t="n">
        <f aca="false">ROUND(G58*(1-요약!$C$5)*요약!$C$4,0)</f>
        <v>24179</v>
      </c>
      <c r="I58" s="16"/>
    </row>
    <row r="59" customFormat="false" ht="15" hidden="false" customHeight="false" outlineLevel="0" collapsed="false">
      <c r="A59" s="29" t="s">
        <v>36</v>
      </c>
      <c r="B59" s="39" t="n">
        <v>35</v>
      </c>
      <c r="C59" s="20" t="s">
        <v>557</v>
      </c>
      <c r="D59" s="16" t="n">
        <v>5</v>
      </c>
      <c r="E59" s="20" t="s">
        <v>79</v>
      </c>
      <c r="F59" s="30" t="n">
        <v>4.42</v>
      </c>
      <c r="G59" s="31" t="n">
        <f aca="false">D59*F59</f>
        <v>22.1</v>
      </c>
      <c r="H59" s="18" t="n">
        <f aca="false">ROUND(G59*(1-요약!$C$5)*요약!$C$4,0)</f>
        <v>26852</v>
      </c>
      <c r="I59" s="16"/>
    </row>
    <row r="60" customFormat="false" ht="15" hidden="false" customHeight="false" outlineLevel="0" collapsed="false">
      <c r="A60" s="29" t="s">
        <v>36</v>
      </c>
      <c r="B60" s="39" t="n">
        <v>36</v>
      </c>
      <c r="C60" s="20" t="s">
        <v>558</v>
      </c>
      <c r="D60" s="16" t="n">
        <v>5</v>
      </c>
      <c r="E60" s="20" t="s">
        <v>79</v>
      </c>
      <c r="F60" s="30" t="n">
        <v>5.31</v>
      </c>
      <c r="G60" s="31" t="n">
        <f aca="false">D60*F60</f>
        <v>26.55</v>
      </c>
      <c r="H60" s="18" t="n">
        <f aca="false">ROUND(G60*(1-요약!$C$5)*요약!$C$4,0)</f>
        <v>32258</v>
      </c>
      <c r="I60" s="16"/>
    </row>
    <row r="61" customFormat="false" ht="15" hidden="false" customHeight="false" outlineLevel="0" collapsed="false">
      <c r="A61" s="29" t="s">
        <v>36</v>
      </c>
      <c r="B61" s="39" t="n">
        <v>37</v>
      </c>
      <c r="C61" s="20" t="s">
        <v>559</v>
      </c>
      <c r="D61" s="16" t="n">
        <v>5</v>
      </c>
      <c r="E61" s="20" t="s">
        <v>79</v>
      </c>
      <c r="F61" s="30" t="n">
        <v>7.08</v>
      </c>
      <c r="G61" s="31" t="n">
        <f aca="false">D61*F61</f>
        <v>35.4</v>
      </c>
      <c r="H61" s="18" t="n">
        <f aca="false">ROUND(G61*(1-요약!$C$5)*요약!$C$4,0)</f>
        <v>43011</v>
      </c>
      <c r="I61" s="16"/>
    </row>
    <row r="62" customFormat="false" ht="15" hidden="false" customHeight="false" outlineLevel="0" collapsed="false">
      <c r="A62" s="29" t="s">
        <v>36</v>
      </c>
      <c r="B62" s="39" t="n">
        <v>38</v>
      </c>
      <c r="C62" s="20" t="s">
        <v>560</v>
      </c>
      <c r="D62" s="16" t="n">
        <v>5</v>
      </c>
      <c r="E62" s="20" t="s">
        <v>79</v>
      </c>
      <c r="F62" s="30" t="n">
        <v>8.85</v>
      </c>
      <c r="G62" s="31" t="n">
        <f aca="false">D62*F62</f>
        <v>44.25</v>
      </c>
      <c r="H62" s="18" t="n">
        <f aca="false">ROUND(G62*(1-요약!$C$5)*요약!$C$4,0)</f>
        <v>53764</v>
      </c>
      <c r="I62" s="16"/>
    </row>
    <row r="63" customFormat="false" ht="15" hidden="false" customHeight="false" outlineLevel="0" collapsed="false">
      <c r="A63" s="29" t="s">
        <v>36</v>
      </c>
      <c r="B63" s="39" t="n">
        <v>39</v>
      </c>
      <c r="C63" s="20" t="s">
        <v>561</v>
      </c>
      <c r="D63" s="16" t="n">
        <v>5</v>
      </c>
      <c r="E63" s="20" t="s">
        <v>79</v>
      </c>
      <c r="F63" s="30" t="n">
        <v>17.69</v>
      </c>
      <c r="G63" s="31" t="n">
        <f aca="false">D63*F63</f>
        <v>88.45</v>
      </c>
      <c r="H63" s="18" t="n">
        <f aca="false">ROUND(G63*(1-요약!$C$5)*요약!$C$4,0)</f>
        <v>107467</v>
      </c>
      <c r="I63" s="16"/>
    </row>
    <row r="64" customFormat="false" ht="15" hidden="false" customHeight="false" outlineLevel="0" collapsed="false">
      <c r="A64" s="29" t="s">
        <v>36</v>
      </c>
      <c r="B64" s="39" t="n">
        <v>40</v>
      </c>
      <c r="C64" s="20" t="s">
        <v>169</v>
      </c>
      <c r="D64" s="16" t="n">
        <v>5</v>
      </c>
      <c r="E64" s="20" t="s">
        <v>79</v>
      </c>
      <c r="F64" s="30" t="n">
        <v>90.23</v>
      </c>
      <c r="G64" s="31" t="n">
        <f aca="false">D64*F64</f>
        <v>451.15</v>
      </c>
      <c r="H64" s="18" t="n">
        <f aca="false">ROUND(G64*(1-요약!$C$5)*요약!$C$4,0)</f>
        <v>548147</v>
      </c>
      <c r="I64" s="16"/>
    </row>
    <row r="65" customFormat="false" ht="15" hidden="false" customHeight="false" outlineLevel="0" collapsed="false">
      <c r="A65" s="29" t="s">
        <v>36</v>
      </c>
      <c r="B65" s="39" t="n">
        <v>41</v>
      </c>
      <c r="C65" s="20" t="s">
        <v>173</v>
      </c>
      <c r="D65" s="16" t="n">
        <v>10</v>
      </c>
      <c r="E65" s="20" t="s">
        <v>79</v>
      </c>
      <c r="F65" s="30" t="n">
        <v>3.54</v>
      </c>
      <c r="G65" s="31" t="n">
        <f aca="false">D65*F65</f>
        <v>35.4</v>
      </c>
      <c r="H65" s="18" t="n">
        <f aca="false">ROUND(G65*(1-요약!$C$5)*요약!$C$4,0)</f>
        <v>43011</v>
      </c>
      <c r="I65" s="16"/>
    </row>
    <row r="66" customFormat="false" ht="23.85" hidden="false" customHeight="false" outlineLevel="0" collapsed="false">
      <c r="A66" s="29" t="s">
        <v>36</v>
      </c>
      <c r="B66" s="39" t="n">
        <v>42</v>
      </c>
      <c r="C66" s="20" t="s">
        <v>176</v>
      </c>
      <c r="D66" s="16" t="n">
        <v>10</v>
      </c>
      <c r="E66" s="20" t="s">
        <v>79</v>
      </c>
      <c r="F66" s="30" t="n">
        <v>3.98</v>
      </c>
      <c r="G66" s="31" t="n">
        <f aca="false">D66*F66</f>
        <v>39.8</v>
      </c>
      <c r="H66" s="18" t="n">
        <f aca="false">ROUND(G66*(1-요약!$C$5)*요약!$C$4,0)</f>
        <v>48357</v>
      </c>
      <c r="I66" s="16"/>
    </row>
    <row r="67" customFormat="false" ht="15" hidden="false" customHeight="false" outlineLevel="0" collapsed="false">
      <c r="A67" s="29" t="s">
        <v>36</v>
      </c>
      <c r="B67" s="39" t="n">
        <v>43</v>
      </c>
      <c r="C67" s="20" t="s">
        <v>562</v>
      </c>
      <c r="D67" s="16" t="n">
        <v>5</v>
      </c>
      <c r="E67" s="20" t="s">
        <v>79</v>
      </c>
      <c r="F67" s="30" t="n">
        <v>1.77</v>
      </c>
      <c r="G67" s="31" t="n">
        <f aca="false">D67*F67</f>
        <v>8.85</v>
      </c>
      <c r="H67" s="18" t="n">
        <f aca="false">ROUND(G67*(1-요약!$C$5)*요약!$C$4,0)</f>
        <v>10753</v>
      </c>
      <c r="I67" s="16"/>
    </row>
    <row r="68" customFormat="false" ht="23.85" hidden="false" customHeight="false" outlineLevel="0" collapsed="false">
      <c r="A68" s="29" t="s">
        <v>36</v>
      </c>
      <c r="B68" s="39" t="n">
        <v>44</v>
      </c>
      <c r="C68" s="20" t="s">
        <v>563</v>
      </c>
      <c r="D68" s="16" t="n">
        <v>10</v>
      </c>
      <c r="E68" s="20" t="s">
        <v>79</v>
      </c>
      <c r="F68" s="30" t="n">
        <v>11.5</v>
      </c>
      <c r="G68" s="31" t="n">
        <f aca="false">D68*F68</f>
        <v>115</v>
      </c>
      <c r="H68" s="18" t="n">
        <f aca="false">ROUND(G68*(1-요약!$C$5)*요약!$C$4,0)</f>
        <v>139725</v>
      </c>
      <c r="I68" s="16"/>
    </row>
    <row r="69" customFormat="false" ht="15" hidden="false" customHeight="false" outlineLevel="0" collapsed="false">
      <c r="A69" s="29" t="s">
        <v>36</v>
      </c>
      <c r="B69" s="39" t="n">
        <v>45</v>
      </c>
      <c r="C69" s="20" t="s">
        <v>178</v>
      </c>
      <c r="D69" s="16" t="n">
        <v>2</v>
      </c>
      <c r="E69" s="20" t="s">
        <v>79</v>
      </c>
      <c r="F69" s="30" t="n">
        <v>35.38</v>
      </c>
      <c r="G69" s="31" t="n">
        <f aca="false">D69*F69</f>
        <v>70.76</v>
      </c>
      <c r="H69" s="18" t="n">
        <f aca="false">ROUND(G69*(1-요약!$C$5)*요약!$C$4,0)</f>
        <v>85973</v>
      </c>
      <c r="I69" s="16"/>
    </row>
    <row r="70" customFormat="false" ht="23.85" hidden="false" customHeight="false" outlineLevel="0" collapsed="false">
      <c r="A70" s="29" t="s">
        <v>36</v>
      </c>
      <c r="B70" s="39" t="n">
        <v>46</v>
      </c>
      <c r="C70" s="20" t="s">
        <v>564</v>
      </c>
      <c r="D70" s="16" t="n">
        <v>5</v>
      </c>
      <c r="E70" s="20" t="s">
        <v>79</v>
      </c>
      <c r="F70" s="30" t="n">
        <v>26.54</v>
      </c>
      <c r="G70" s="31" t="n">
        <f aca="false">D70*F70</f>
        <v>132.7</v>
      </c>
      <c r="H70" s="18" t="n">
        <f aca="false">ROUND(G70*(1-요약!$C$5)*요약!$C$4,0)</f>
        <v>161231</v>
      </c>
      <c r="I70" s="16"/>
    </row>
    <row r="71" customFormat="false" ht="25.35" hidden="false" customHeight="false" outlineLevel="0" collapsed="false">
      <c r="A71" s="29" t="s">
        <v>36</v>
      </c>
      <c r="B71" s="39" t="n">
        <v>47</v>
      </c>
      <c r="C71" s="20" t="s">
        <v>565</v>
      </c>
      <c r="D71" s="16" t="n">
        <v>5</v>
      </c>
      <c r="E71" s="20" t="s">
        <v>79</v>
      </c>
      <c r="F71" s="30" t="n">
        <v>9.73</v>
      </c>
      <c r="G71" s="31" t="n">
        <f aca="false">D71*F71</f>
        <v>48.65</v>
      </c>
      <c r="H71" s="18" t="n">
        <f aca="false">ROUND(G71*(1-요약!$C$5)*요약!$C$4,0)</f>
        <v>59110</v>
      </c>
      <c r="I71" s="16"/>
    </row>
    <row r="72" customFormat="false" ht="23.85" hidden="false" customHeight="false" outlineLevel="0" collapsed="false">
      <c r="A72" s="29" t="s">
        <v>36</v>
      </c>
      <c r="B72" s="39" t="n">
        <v>48</v>
      </c>
      <c r="C72" s="20" t="s">
        <v>566</v>
      </c>
      <c r="D72" s="16" t="n">
        <v>5</v>
      </c>
      <c r="E72" s="20" t="s">
        <v>79</v>
      </c>
      <c r="F72" s="30" t="n">
        <v>11.5</v>
      </c>
      <c r="G72" s="31" t="n">
        <f aca="false">D72*F72</f>
        <v>57.5</v>
      </c>
      <c r="H72" s="18" t="n">
        <f aca="false">ROUND(G72*(1-요약!$C$5)*요약!$C$4,0)</f>
        <v>69863</v>
      </c>
      <c r="I72" s="16"/>
    </row>
    <row r="73" customFormat="false" ht="15" hidden="false" customHeight="false" outlineLevel="0" collapsed="false">
      <c r="A73" s="47" t="s">
        <v>36</v>
      </c>
      <c r="B73" s="53" t="n">
        <v>49</v>
      </c>
      <c r="C73" s="48" t="s">
        <v>567</v>
      </c>
      <c r="D73" s="55" t="n">
        <v>1</v>
      </c>
      <c r="E73" s="48" t="s">
        <v>79</v>
      </c>
      <c r="F73" s="52" t="n">
        <v>778.46</v>
      </c>
      <c r="G73" s="49" t="n">
        <f aca="false">D73*F73</f>
        <v>778.46</v>
      </c>
      <c r="H73" s="50" t="n">
        <f aca="false">ROUND(G73*(1-요약!$C$5)*요약!$C$4,0)</f>
        <v>945829</v>
      </c>
      <c r="I73" s="48" t="s">
        <v>568</v>
      </c>
    </row>
    <row r="74" customFormat="false" ht="15" hidden="false" customHeight="false" outlineLevel="0" collapsed="false">
      <c r="A74" s="29" t="s">
        <v>36</v>
      </c>
      <c r="B74" s="39" t="n">
        <v>50</v>
      </c>
      <c r="C74" s="20" t="s">
        <v>569</v>
      </c>
      <c r="D74" s="16" t="n">
        <v>30</v>
      </c>
      <c r="E74" s="20" t="s">
        <v>79</v>
      </c>
      <c r="F74" s="30" t="n">
        <v>0.35</v>
      </c>
      <c r="G74" s="31" t="n">
        <f aca="false">D74*F74</f>
        <v>10.5</v>
      </c>
      <c r="H74" s="18" t="n">
        <f aca="false">ROUND(G74*(1-요약!$C$5)*요약!$C$4,0)</f>
        <v>12758</v>
      </c>
      <c r="I74" s="16"/>
    </row>
    <row r="75" customFormat="false" ht="15" hidden="false" customHeight="false" outlineLevel="0" collapsed="false">
      <c r="A75" s="29" t="s">
        <v>36</v>
      </c>
      <c r="B75" s="39" t="n">
        <v>51</v>
      </c>
      <c r="C75" s="20" t="s">
        <v>570</v>
      </c>
      <c r="D75" s="16" t="n">
        <v>2</v>
      </c>
      <c r="E75" s="20" t="s">
        <v>79</v>
      </c>
      <c r="F75" s="30" t="n">
        <v>3.28</v>
      </c>
      <c r="G75" s="31" t="n">
        <f aca="false">D75*F75</f>
        <v>6.56</v>
      </c>
      <c r="H75" s="18" t="n">
        <f aca="false">ROUND(G75*(1-요약!$C$5)*요약!$C$4,0)</f>
        <v>7970</v>
      </c>
      <c r="I75" s="16"/>
    </row>
    <row r="76" customFormat="false" ht="15" hidden="false" customHeight="false" outlineLevel="0" collapsed="false">
      <c r="A76" s="47" t="s">
        <v>36</v>
      </c>
      <c r="B76" s="53" t="n">
        <v>52</v>
      </c>
      <c r="C76" s="48" t="s">
        <v>571</v>
      </c>
      <c r="D76" s="55" t="n">
        <v>5</v>
      </c>
      <c r="E76" s="48" t="s">
        <v>79</v>
      </c>
      <c r="F76" s="52" t="n">
        <v>7.52</v>
      </c>
      <c r="G76" s="49" t="n">
        <f aca="false">D76*F76</f>
        <v>37.6</v>
      </c>
      <c r="H76" s="50" t="n">
        <f aca="false">ROUND(G76*(1-요약!$C$5)*요약!$C$4,0)</f>
        <v>45684</v>
      </c>
      <c r="I76" s="48" t="s">
        <v>572</v>
      </c>
    </row>
    <row r="77" customFormat="false" ht="15" hidden="false" customHeight="false" outlineLevel="0" collapsed="false">
      <c r="A77" s="29" t="s">
        <v>36</v>
      </c>
      <c r="B77" s="39" t="n">
        <v>53</v>
      </c>
      <c r="C77" s="20" t="s">
        <v>573</v>
      </c>
      <c r="D77" s="16" t="n">
        <v>30</v>
      </c>
      <c r="E77" s="20" t="s">
        <v>79</v>
      </c>
      <c r="F77" s="30" t="n">
        <v>0.17</v>
      </c>
      <c r="G77" s="31" t="n">
        <f aca="false">D77*F77</f>
        <v>5.1</v>
      </c>
      <c r="H77" s="18" t="n">
        <f aca="false">ROUND(G77*(1-요약!$C$5)*요약!$C$4,0)</f>
        <v>6197</v>
      </c>
      <c r="I77" s="16"/>
    </row>
    <row r="78" customFormat="false" ht="15" hidden="false" customHeight="false" outlineLevel="0" collapsed="false">
      <c r="A78" s="29" t="s">
        <v>36</v>
      </c>
      <c r="B78" s="39" t="n">
        <v>54</v>
      </c>
      <c r="C78" s="20" t="s">
        <v>182</v>
      </c>
      <c r="D78" s="16" t="n">
        <v>8</v>
      </c>
      <c r="E78" s="20" t="s">
        <v>79</v>
      </c>
      <c r="F78" s="30" t="n">
        <v>1.51</v>
      </c>
      <c r="G78" s="31" t="n">
        <f aca="false">D78*F78</f>
        <v>12.08</v>
      </c>
      <c r="H78" s="18" t="n">
        <f aca="false">ROUND(G78*(1-요약!$C$5)*요약!$C$4,0)</f>
        <v>14677</v>
      </c>
      <c r="I78" s="16"/>
    </row>
    <row r="79" customFormat="false" ht="15" hidden="false" customHeight="false" outlineLevel="0" collapsed="false">
      <c r="A79" s="29" t="s">
        <v>36</v>
      </c>
      <c r="B79" s="39" t="n">
        <v>55</v>
      </c>
      <c r="C79" s="20" t="s">
        <v>186</v>
      </c>
      <c r="D79" s="16" t="n">
        <v>5</v>
      </c>
      <c r="E79" s="20" t="s">
        <v>79</v>
      </c>
      <c r="F79" s="30" t="n">
        <v>0.88</v>
      </c>
      <c r="G79" s="31" t="n">
        <f aca="false">D79*F79</f>
        <v>4.4</v>
      </c>
      <c r="H79" s="18" t="n">
        <f aca="false">ROUND(G79*(1-요약!$C$5)*요약!$C$4,0)</f>
        <v>5346</v>
      </c>
      <c r="I79" s="16"/>
    </row>
    <row r="80" customFormat="false" ht="15" hidden="false" customHeight="false" outlineLevel="0" collapsed="false">
      <c r="A80" s="47" t="s">
        <v>36</v>
      </c>
      <c r="B80" s="53" t="n">
        <v>56</v>
      </c>
      <c r="C80" s="48" t="s">
        <v>574</v>
      </c>
      <c r="D80" s="55" t="n">
        <v>12</v>
      </c>
      <c r="E80" s="48" t="s">
        <v>434</v>
      </c>
      <c r="F80" s="52" t="n">
        <v>0.62</v>
      </c>
      <c r="G80" s="49" t="n">
        <f aca="false">D80*F80</f>
        <v>7.44</v>
      </c>
      <c r="H80" s="50" t="n">
        <f aca="false">ROUND(G80*(1-요약!$C$5)*요약!$C$4,0)</f>
        <v>9040</v>
      </c>
      <c r="I80" s="48" t="s">
        <v>575</v>
      </c>
    </row>
    <row r="81" customFormat="false" ht="15" hidden="false" customHeight="false" outlineLevel="0" collapsed="false">
      <c r="A81" s="47" t="s">
        <v>36</v>
      </c>
      <c r="B81" s="53" t="n">
        <v>57</v>
      </c>
      <c r="C81" s="48" t="s">
        <v>576</v>
      </c>
      <c r="D81" s="55" t="n">
        <v>4</v>
      </c>
      <c r="E81" s="48" t="s">
        <v>79</v>
      </c>
      <c r="F81" s="52" t="n">
        <v>10.08</v>
      </c>
      <c r="G81" s="49" t="n">
        <f aca="false">D81*F81</f>
        <v>40.32</v>
      </c>
      <c r="H81" s="50" t="n">
        <f aca="false">ROUND(G81*(1-요약!$C$5)*요약!$C$4,0)</f>
        <v>48989</v>
      </c>
      <c r="I81" s="48" t="s">
        <v>577</v>
      </c>
    </row>
    <row r="82" customFormat="false" ht="15" hidden="false" customHeight="false" outlineLevel="0" collapsed="false">
      <c r="A82" s="47" t="s">
        <v>36</v>
      </c>
      <c r="B82" s="53" t="n">
        <v>58</v>
      </c>
      <c r="C82" s="48" t="s">
        <v>578</v>
      </c>
      <c r="D82" s="55" t="n">
        <v>1</v>
      </c>
      <c r="E82" s="48" t="s">
        <v>79</v>
      </c>
      <c r="F82" s="52" t="n">
        <v>30.08</v>
      </c>
      <c r="G82" s="49" t="n">
        <f aca="false">D82*F82</f>
        <v>30.08</v>
      </c>
      <c r="H82" s="50" t="n">
        <f aca="false">ROUND(G82*(1-요약!$C$5)*요약!$C$4,0)</f>
        <v>36547</v>
      </c>
      <c r="I82" s="48" t="s">
        <v>579</v>
      </c>
    </row>
    <row r="83" customFormat="false" ht="15" hidden="false" customHeight="false" outlineLevel="0" collapsed="false">
      <c r="A83" s="29" t="s">
        <v>36</v>
      </c>
      <c r="B83" s="39" t="n">
        <v>60</v>
      </c>
      <c r="C83" s="20" t="s">
        <v>580</v>
      </c>
      <c r="D83" s="16" t="n">
        <v>10</v>
      </c>
      <c r="E83" s="20" t="s">
        <v>79</v>
      </c>
      <c r="F83" s="30" t="n">
        <v>1.24</v>
      </c>
      <c r="G83" s="31" t="n">
        <f aca="false">D83*F83</f>
        <v>12.4</v>
      </c>
      <c r="H83" s="18" t="n">
        <f aca="false">ROUND(G83*(1-요약!$C$5)*요약!$C$4,0)</f>
        <v>15066</v>
      </c>
      <c r="I83" s="16"/>
    </row>
    <row r="84" customFormat="false" ht="15" hidden="false" customHeight="false" outlineLevel="0" collapsed="false">
      <c r="A84" s="29" t="s">
        <v>36</v>
      </c>
      <c r="B84" s="39" t="n">
        <v>61</v>
      </c>
      <c r="C84" s="20" t="s">
        <v>581</v>
      </c>
      <c r="D84" s="16" t="n">
        <v>10</v>
      </c>
      <c r="E84" s="20" t="s">
        <v>79</v>
      </c>
      <c r="F84" s="30" t="n">
        <v>1.33</v>
      </c>
      <c r="G84" s="31" t="n">
        <f aca="false">D84*F84</f>
        <v>13.3</v>
      </c>
      <c r="H84" s="18" t="n">
        <f aca="false">ROUND(G84*(1-요약!$C$5)*요약!$C$4,0)</f>
        <v>16160</v>
      </c>
      <c r="I84" s="16"/>
    </row>
    <row r="85" customFormat="false" ht="15" hidden="false" customHeight="false" outlineLevel="0" collapsed="false">
      <c r="A85" s="29" t="s">
        <v>36</v>
      </c>
      <c r="B85" s="39" t="n">
        <v>62</v>
      </c>
      <c r="C85" s="20" t="s">
        <v>582</v>
      </c>
      <c r="D85" s="16" t="n">
        <v>10</v>
      </c>
      <c r="E85" s="20" t="s">
        <v>79</v>
      </c>
      <c r="F85" s="30" t="n">
        <v>1.42</v>
      </c>
      <c r="G85" s="31" t="n">
        <f aca="false">D85*F85</f>
        <v>14.2</v>
      </c>
      <c r="H85" s="18" t="n">
        <f aca="false">ROUND(G85*(1-요약!$C$5)*요약!$C$4,0)</f>
        <v>17253</v>
      </c>
      <c r="I85" s="16"/>
    </row>
    <row r="86" customFormat="false" ht="15" hidden="false" customHeight="false" outlineLevel="0" collapsed="false">
      <c r="A86" s="29" t="s">
        <v>36</v>
      </c>
      <c r="B86" s="39" t="n">
        <v>63</v>
      </c>
      <c r="C86" s="20" t="s">
        <v>583</v>
      </c>
      <c r="D86" s="16" t="n">
        <v>10</v>
      </c>
      <c r="E86" s="20" t="s">
        <v>79</v>
      </c>
      <c r="F86" s="30" t="n">
        <v>2.12</v>
      </c>
      <c r="G86" s="31" t="n">
        <f aca="false">D86*F86</f>
        <v>21.2</v>
      </c>
      <c r="H86" s="18" t="n">
        <f aca="false">ROUND(G86*(1-요약!$C$5)*요약!$C$4,0)</f>
        <v>25758</v>
      </c>
      <c r="I86" s="16"/>
    </row>
    <row r="87" customFormat="false" ht="15" hidden="false" customHeight="false" outlineLevel="0" collapsed="false">
      <c r="A87" s="29" t="s">
        <v>36</v>
      </c>
      <c r="B87" s="39" t="n">
        <v>64</v>
      </c>
      <c r="C87" s="20" t="s">
        <v>584</v>
      </c>
      <c r="D87" s="16" t="n">
        <v>10</v>
      </c>
      <c r="E87" s="20" t="s">
        <v>79</v>
      </c>
      <c r="F87" s="30" t="n">
        <v>2.48</v>
      </c>
      <c r="G87" s="31" t="n">
        <f aca="false">D87*F87</f>
        <v>24.8</v>
      </c>
      <c r="H87" s="18" t="n">
        <f aca="false">ROUND(G87*(1-요약!$C$5)*요약!$C$4,0)</f>
        <v>30132</v>
      </c>
      <c r="I87" s="16"/>
    </row>
    <row r="88" customFormat="false" ht="15" hidden="false" customHeight="false" outlineLevel="0" collapsed="false">
      <c r="A88" s="29" t="s">
        <v>36</v>
      </c>
      <c r="B88" s="39" t="n">
        <v>65</v>
      </c>
      <c r="C88" s="20" t="s">
        <v>585</v>
      </c>
      <c r="D88" s="16" t="n">
        <v>10</v>
      </c>
      <c r="E88" s="20" t="s">
        <v>79</v>
      </c>
      <c r="F88" s="30" t="n">
        <v>4.07</v>
      </c>
      <c r="G88" s="31" t="n">
        <f aca="false">D88*F88</f>
        <v>40.7</v>
      </c>
      <c r="H88" s="18" t="n">
        <f aca="false">ROUND(G88*(1-요약!$C$5)*요약!$C$4,0)</f>
        <v>49451</v>
      </c>
      <c r="I88" s="16"/>
    </row>
    <row r="89" customFormat="false" ht="15" hidden="false" customHeight="false" outlineLevel="0" collapsed="false">
      <c r="A89" s="29" t="s">
        <v>36</v>
      </c>
      <c r="B89" s="39" t="n">
        <v>66</v>
      </c>
      <c r="C89" s="20" t="s">
        <v>586</v>
      </c>
      <c r="D89" s="16" t="n">
        <v>10</v>
      </c>
      <c r="E89" s="20" t="s">
        <v>79</v>
      </c>
      <c r="F89" s="30" t="n">
        <v>6.46</v>
      </c>
      <c r="G89" s="31" t="n">
        <f aca="false">D89*F89</f>
        <v>64.6</v>
      </c>
      <c r="H89" s="18" t="n">
        <f aca="false">ROUND(G89*(1-요약!$C$5)*요약!$C$4,0)</f>
        <v>78489</v>
      </c>
      <c r="I89" s="16"/>
    </row>
    <row r="90" customFormat="false" ht="15" hidden="false" customHeight="false" outlineLevel="0" collapsed="false">
      <c r="A90" s="29" t="s">
        <v>36</v>
      </c>
      <c r="B90" s="39" t="n">
        <v>67</v>
      </c>
      <c r="C90" s="20" t="s">
        <v>587</v>
      </c>
      <c r="D90" s="16" t="n">
        <v>10</v>
      </c>
      <c r="E90" s="20" t="s">
        <v>79</v>
      </c>
      <c r="F90" s="30" t="n">
        <v>6.9</v>
      </c>
      <c r="G90" s="31" t="n">
        <f aca="false">D90*F90</f>
        <v>69</v>
      </c>
      <c r="H90" s="18" t="n">
        <f aca="false">ROUND(G90*(1-요약!$C$5)*요약!$C$4,0)</f>
        <v>83835</v>
      </c>
      <c r="I90" s="16"/>
    </row>
    <row r="91" customFormat="false" ht="15" hidden="false" customHeight="false" outlineLevel="0" collapsed="false">
      <c r="A91" s="29" t="s">
        <v>36</v>
      </c>
      <c r="B91" s="39" t="n">
        <v>68</v>
      </c>
      <c r="C91" s="20" t="s">
        <v>588</v>
      </c>
      <c r="D91" s="16" t="n">
        <v>2</v>
      </c>
      <c r="E91" s="20" t="s">
        <v>79</v>
      </c>
      <c r="F91" s="30" t="n">
        <v>76.08</v>
      </c>
      <c r="G91" s="31" t="n">
        <f aca="false">D91*F91</f>
        <v>152.16</v>
      </c>
      <c r="H91" s="18" t="n">
        <f aca="false">ROUND(G91*(1-요약!$C$5)*요약!$C$4,0)</f>
        <v>184874</v>
      </c>
      <c r="I91" s="16"/>
    </row>
    <row r="92" customFormat="false" ht="15" hidden="false" customHeight="false" outlineLevel="0" collapsed="false">
      <c r="A92" s="29" t="s">
        <v>36</v>
      </c>
      <c r="B92" s="39" t="n">
        <v>70</v>
      </c>
      <c r="C92" s="20" t="s">
        <v>589</v>
      </c>
      <c r="D92" s="16" t="n">
        <v>6</v>
      </c>
      <c r="E92" s="20" t="s">
        <v>79</v>
      </c>
      <c r="F92" s="30" t="n">
        <v>2.83</v>
      </c>
      <c r="G92" s="31" t="n">
        <f aca="false">D92*F92</f>
        <v>16.98</v>
      </c>
      <c r="H92" s="18" t="n">
        <f aca="false">ROUND(G92*(1-요약!$C$5)*요약!$C$4,0)</f>
        <v>20631</v>
      </c>
      <c r="I92" s="16"/>
    </row>
    <row r="93" customFormat="false" ht="15" hidden="false" customHeight="false" outlineLevel="0" collapsed="false">
      <c r="A93" s="29" t="s">
        <v>36</v>
      </c>
      <c r="B93" s="39" t="n">
        <v>71</v>
      </c>
      <c r="C93" s="20" t="s">
        <v>590</v>
      </c>
      <c r="D93" s="16" t="n">
        <v>6</v>
      </c>
      <c r="E93" s="20" t="s">
        <v>79</v>
      </c>
      <c r="F93" s="30" t="n">
        <v>2.83</v>
      </c>
      <c r="G93" s="31" t="n">
        <f aca="false">D93*F93</f>
        <v>16.98</v>
      </c>
      <c r="H93" s="18" t="n">
        <f aca="false">ROUND(G93*(1-요약!$C$5)*요약!$C$4,0)</f>
        <v>20631</v>
      </c>
      <c r="I93" s="16"/>
    </row>
    <row r="94" customFormat="false" ht="15" hidden="false" customHeight="false" outlineLevel="0" collapsed="false">
      <c r="A94" s="29" t="s">
        <v>36</v>
      </c>
      <c r="B94" s="39" t="n">
        <v>72</v>
      </c>
      <c r="C94" s="20" t="s">
        <v>591</v>
      </c>
      <c r="D94" s="16" t="n">
        <v>6</v>
      </c>
      <c r="E94" s="20" t="s">
        <v>79</v>
      </c>
      <c r="F94" s="30" t="n">
        <v>6.02</v>
      </c>
      <c r="G94" s="31" t="n">
        <f aca="false">D94*F94</f>
        <v>36.12</v>
      </c>
      <c r="H94" s="18" t="n">
        <f aca="false">ROUND(G94*(1-요약!$C$5)*요약!$C$4,0)</f>
        <v>43886</v>
      </c>
      <c r="I94" s="16"/>
    </row>
    <row r="95" customFormat="false" ht="15" hidden="false" customHeight="false" outlineLevel="0" collapsed="false">
      <c r="A95" s="29" t="s">
        <v>36</v>
      </c>
      <c r="B95" s="39" t="n">
        <v>73</v>
      </c>
      <c r="C95" s="20" t="s">
        <v>592</v>
      </c>
      <c r="D95" s="16" t="n">
        <v>6</v>
      </c>
      <c r="E95" s="20" t="s">
        <v>79</v>
      </c>
      <c r="F95" s="30" t="n">
        <v>6.64</v>
      </c>
      <c r="G95" s="31" t="n">
        <f aca="false">D95*F95</f>
        <v>39.84</v>
      </c>
      <c r="H95" s="18" t="n">
        <f aca="false">ROUND(G95*(1-요약!$C$5)*요약!$C$4,0)</f>
        <v>48406</v>
      </c>
      <c r="I95" s="16"/>
    </row>
    <row r="96" customFormat="false" ht="15" hidden="false" customHeight="false" outlineLevel="0" collapsed="false">
      <c r="A96" s="47" t="s">
        <v>36</v>
      </c>
      <c r="B96" s="53" t="n">
        <v>74</v>
      </c>
      <c r="C96" s="48" t="s">
        <v>593</v>
      </c>
      <c r="D96" s="55" t="n">
        <v>6</v>
      </c>
      <c r="E96" s="48" t="s">
        <v>79</v>
      </c>
      <c r="F96" s="52" t="n">
        <v>1.28</v>
      </c>
      <c r="G96" s="49" t="n">
        <f aca="false">D96*F96</f>
        <v>7.68</v>
      </c>
      <c r="H96" s="50" t="n">
        <f aca="false">ROUND(G96*(1-요약!$C$5)*요약!$C$4,0)</f>
        <v>9331</v>
      </c>
      <c r="I96" s="48" t="s">
        <v>594</v>
      </c>
    </row>
    <row r="97" customFormat="false" ht="15" hidden="false" customHeight="false" outlineLevel="0" collapsed="false">
      <c r="A97" s="47" t="s">
        <v>36</v>
      </c>
      <c r="B97" s="53" t="n">
        <v>75</v>
      </c>
      <c r="C97" s="48" t="s">
        <v>595</v>
      </c>
      <c r="D97" s="55" t="n">
        <v>6</v>
      </c>
      <c r="E97" s="48" t="s">
        <v>79</v>
      </c>
      <c r="F97" s="52" t="n">
        <v>1.7</v>
      </c>
      <c r="G97" s="49" t="n">
        <f aca="false">D97*F97</f>
        <v>10.2</v>
      </c>
      <c r="H97" s="50" t="n">
        <f aca="false">ROUND(G97*(1-요약!$C$5)*요약!$C$4,0)</f>
        <v>12393</v>
      </c>
      <c r="I97" s="48" t="s">
        <v>594</v>
      </c>
    </row>
    <row r="98" customFormat="false" ht="15" hidden="false" customHeight="false" outlineLevel="0" collapsed="false">
      <c r="A98" s="47" t="s">
        <v>36</v>
      </c>
      <c r="B98" s="53" t="n">
        <v>76</v>
      </c>
      <c r="C98" s="48" t="s">
        <v>596</v>
      </c>
      <c r="D98" s="55" t="n">
        <v>6</v>
      </c>
      <c r="E98" s="48" t="s">
        <v>79</v>
      </c>
      <c r="F98" s="52" t="n">
        <v>2.12</v>
      </c>
      <c r="G98" s="49" t="n">
        <f aca="false">D98*F98</f>
        <v>12.72</v>
      </c>
      <c r="H98" s="50" t="n">
        <f aca="false">ROUND(G98*(1-요약!$C$5)*요약!$C$4,0)</f>
        <v>15455</v>
      </c>
      <c r="I98" s="48" t="s">
        <v>594</v>
      </c>
    </row>
    <row r="99" customFormat="false" ht="15" hidden="false" customHeight="false" outlineLevel="0" collapsed="false">
      <c r="A99" s="47" t="s">
        <v>36</v>
      </c>
      <c r="B99" s="53" t="n">
        <v>77</v>
      </c>
      <c r="C99" s="48" t="s">
        <v>597</v>
      </c>
      <c r="D99" s="55" t="n">
        <v>6</v>
      </c>
      <c r="E99" s="48" t="s">
        <v>79</v>
      </c>
      <c r="F99" s="52" t="n">
        <v>3.45</v>
      </c>
      <c r="G99" s="49" t="n">
        <f aca="false">D99*F99</f>
        <v>20.7</v>
      </c>
      <c r="H99" s="50" t="n">
        <f aca="false">ROUND(G99*(1-요약!$C$5)*요약!$C$4,0)</f>
        <v>25151</v>
      </c>
      <c r="I99" s="48" t="s">
        <v>594</v>
      </c>
    </row>
    <row r="100" customFormat="false" ht="15" hidden="false" customHeight="false" outlineLevel="0" collapsed="false">
      <c r="A100" s="29" t="s">
        <v>36</v>
      </c>
      <c r="B100" s="39" t="n">
        <v>78</v>
      </c>
      <c r="C100" s="20" t="s">
        <v>598</v>
      </c>
      <c r="D100" s="16" t="n">
        <v>30</v>
      </c>
      <c r="E100" s="20" t="s">
        <v>79</v>
      </c>
      <c r="F100" s="30" t="n">
        <v>0.48</v>
      </c>
      <c r="G100" s="31" t="n">
        <f aca="false">D100*F100</f>
        <v>14.4</v>
      </c>
      <c r="H100" s="18" t="n">
        <f aca="false">ROUND(G100*(1-요약!$C$5)*요약!$C$4,0)</f>
        <v>17496</v>
      </c>
      <c r="I100" s="16"/>
    </row>
    <row r="101" customFormat="false" ht="15" hidden="false" customHeight="false" outlineLevel="0" collapsed="false">
      <c r="A101" s="29" t="s">
        <v>36</v>
      </c>
      <c r="B101" s="39" t="n">
        <v>79</v>
      </c>
      <c r="C101" s="20" t="s">
        <v>599</v>
      </c>
      <c r="D101" s="16" t="n">
        <v>30</v>
      </c>
      <c r="E101" s="20" t="s">
        <v>79</v>
      </c>
      <c r="F101" s="30" t="n">
        <v>0.06</v>
      </c>
      <c r="G101" s="31" t="n">
        <f aca="false">D101*F101</f>
        <v>1.8</v>
      </c>
      <c r="H101" s="18" t="n">
        <f aca="false">ROUND(G101*(1-요약!$C$5)*요약!$C$4,0)</f>
        <v>2187</v>
      </c>
      <c r="I101" s="16"/>
    </row>
    <row r="102" customFormat="false" ht="15" hidden="false" customHeight="false" outlineLevel="0" collapsed="false">
      <c r="A102" s="29" t="s">
        <v>36</v>
      </c>
      <c r="B102" s="39" t="n">
        <v>80</v>
      </c>
      <c r="C102" s="20" t="s">
        <v>600</v>
      </c>
      <c r="D102" s="16" t="n">
        <v>30</v>
      </c>
      <c r="E102" s="20" t="s">
        <v>79</v>
      </c>
      <c r="F102" s="30" t="n">
        <v>0.1</v>
      </c>
      <c r="G102" s="31" t="n">
        <f aca="false">D102*F102</f>
        <v>3</v>
      </c>
      <c r="H102" s="18" t="n">
        <f aca="false">ROUND(G102*(1-요약!$C$5)*요약!$C$4,0)</f>
        <v>3645</v>
      </c>
      <c r="I102" s="16"/>
    </row>
    <row r="103" customFormat="false" ht="15" hidden="false" customHeight="false" outlineLevel="0" collapsed="false">
      <c r="A103" s="29" t="s">
        <v>36</v>
      </c>
      <c r="B103" s="39" t="n">
        <v>81</v>
      </c>
      <c r="C103" s="20" t="s">
        <v>601</v>
      </c>
      <c r="D103" s="16" t="n">
        <v>30</v>
      </c>
      <c r="E103" s="20" t="s">
        <v>79</v>
      </c>
      <c r="F103" s="30" t="n">
        <v>0.14</v>
      </c>
      <c r="G103" s="31" t="n">
        <f aca="false">D103*F103</f>
        <v>4.2</v>
      </c>
      <c r="H103" s="18" t="n">
        <f aca="false">ROUND(G103*(1-요약!$C$5)*요약!$C$4,0)</f>
        <v>5103</v>
      </c>
      <c r="I103" s="16"/>
    </row>
    <row r="104" customFormat="false" ht="15" hidden="false" customHeight="false" outlineLevel="0" collapsed="false">
      <c r="A104" s="47" t="s">
        <v>36</v>
      </c>
      <c r="B104" s="53" t="n">
        <v>82</v>
      </c>
      <c r="C104" s="48" t="s">
        <v>602</v>
      </c>
      <c r="D104" s="55" t="n">
        <v>5</v>
      </c>
      <c r="E104" s="48" t="s">
        <v>79</v>
      </c>
      <c r="F104" s="52" t="n">
        <v>3.98</v>
      </c>
      <c r="G104" s="49" t="n">
        <f aca="false">D104*F104</f>
        <v>19.9</v>
      </c>
      <c r="H104" s="50" t="n">
        <f aca="false">ROUND(G104*(1-요약!$C$5)*요약!$C$4,0)</f>
        <v>24179</v>
      </c>
      <c r="I104" s="48" t="s">
        <v>603</v>
      </c>
    </row>
    <row r="105" customFormat="false" ht="15" hidden="false" customHeight="false" outlineLevel="0" collapsed="false">
      <c r="A105" s="29" t="s">
        <v>36</v>
      </c>
      <c r="B105" s="39" t="n">
        <v>83</v>
      </c>
      <c r="C105" s="20" t="s">
        <v>604</v>
      </c>
      <c r="D105" s="16" t="n">
        <v>50</v>
      </c>
      <c r="E105" s="20" t="s">
        <v>363</v>
      </c>
      <c r="F105" s="30" t="n">
        <v>1.33</v>
      </c>
      <c r="G105" s="31" t="n">
        <f aca="false">D105*F105</f>
        <v>66.5</v>
      </c>
      <c r="H105" s="18" t="n">
        <f aca="false">ROUND(G105*(1-요약!$C$5)*요약!$C$4,0)</f>
        <v>80798</v>
      </c>
      <c r="I105" s="16"/>
    </row>
    <row r="106" customFormat="false" ht="15" hidden="false" customHeight="false" outlineLevel="0" collapsed="false">
      <c r="A106" s="29" t="s">
        <v>36</v>
      </c>
      <c r="B106" s="39" t="n">
        <v>84</v>
      </c>
      <c r="C106" s="20" t="s">
        <v>605</v>
      </c>
      <c r="D106" s="16" t="n">
        <v>1</v>
      </c>
      <c r="E106" s="20" t="s">
        <v>79</v>
      </c>
      <c r="F106" s="30" t="n">
        <v>347.39</v>
      </c>
      <c r="G106" s="31" t="n">
        <f aca="false">D106*F106</f>
        <v>347.39</v>
      </c>
      <c r="H106" s="18" t="n">
        <f aca="false">ROUND(G106*(1-요약!$C$5)*요약!$C$4,0)</f>
        <v>422079</v>
      </c>
      <c r="I106" s="16"/>
    </row>
    <row r="107" customFormat="false" ht="23.85" hidden="false" customHeight="false" outlineLevel="0" collapsed="false">
      <c r="A107" s="29" t="s">
        <v>36</v>
      </c>
      <c r="B107" s="39" t="n">
        <v>85</v>
      </c>
      <c r="C107" s="20" t="s">
        <v>606</v>
      </c>
      <c r="D107" s="16" t="n">
        <v>2</v>
      </c>
      <c r="E107" s="20" t="s">
        <v>79</v>
      </c>
      <c r="F107" s="30" t="n">
        <v>22.93</v>
      </c>
      <c r="G107" s="31" t="n">
        <f aca="false">D107*F107</f>
        <v>45.86</v>
      </c>
      <c r="H107" s="18" t="n">
        <f aca="false">ROUND(G107*(1-요약!$C$5)*요약!$C$4,0)</f>
        <v>55720</v>
      </c>
      <c r="I107" s="16"/>
    </row>
    <row r="108" customFormat="false" ht="15" hidden="false" customHeight="true" outlineLevel="0" collapsed="false">
      <c r="A108" s="61" t="s">
        <v>524</v>
      </c>
      <c r="B108" s="61"/>
      <c r="C108" s="61"/>
      <c r="D108" s="61"/>
      <c r="E108" s="61"/>
      <c r="F108" s="61"/>
      <c r="G108" s="35" t="n">
        <f aca="false">SUM(G25:G107)</f>
        <v>4425.72</v>
      </c>
      <c r="H108" s="36" t="n">
        <f aca="false">SUM(H25:H107)</f>
        <v>5377260</v>
      </c>
      <c r="I108" s="33"/>
    </row>
    <row r="110" customFormat="false" ht="15" hidden="false" customHeight="false" outlineLevel="0" collapsed="false">
      <c r="A110" s="60" t="s">
        <v>607</v>
      </c>
      <c r="B110" s="60"/>
      <c r="C110" s="60"/>
      <c r="D110" s="60"/>
      <c r="E110" s="60"/>
      <c r="F110" s="60"/>
      <c r="G110" s="60"/>
      <c r="H110" s="60"/>
      <c r="I110" s="60"/>
    </row>
    <row r="111" customFormat="false" ht="35.05" hidden="false" customHeight="false" outlineLevel="0" collapsed="false">
      <c r="A111" s="29" t="s">
        <v>39</v>
      </c>
      <c r="B111" s="39" t="n">
        <v>1</v>
      </c>
      <c r="C111" s="20" t="s">
        <v>608</v>
      </c>
      <c r="D111" s="16" t="n">
        <v>2</v>
      </c>
      <c r="E111" s="20" t="s">
        <v>79</v>
      </c>
      <c r="F111" s="30" t="n">
        <v>53.08</v>
      </c>
      <c r="G111" s="31" t="n">
        <f aca="false">D111*F111</f>
        <v>106.16</v>
      </c>
      <c r="H111" s="18" t="n">
        <f aca="false">ROUND(G111*(1-요약!$C$5)*요약!$C$4,0)</f>
        <v>128984</v>
      </c>
      <c r="I111" s="16"/>
    </row>
    <row r="112" customFormat="false" ht="23.85" hidden="false" customHeight="false" outlineLevel="0" collapsed="false">
      <c r="A112" s="29" t="s">
        <v>39</v>
      </c>
      <c r="B112" s="39" t="n">
        <v>2</v>
      </c>
      <c r="C112" s="20" t="s">
        <v>609</v>
      </c>
      <c r="D112" s="16" t="n">
        <v>2</v>
      </c>
      <c r="E112" s="20" t="s">
        <v>79</v>
      </c>
      <c r="F112" s="30" t="n">
        <v>115</v>
      </c>
      <c r="G112" s="31" t="n">
        <f aca="false">D112*F112</f>
        <v>230</v>
      </c>
      <c r="H112" s="18" t="n">
        <f aca="false">ROUND(G112*(1-요약!$C$5)*요약!$C$4,0)</f>
        <v>279450</v>
      </c>
      <c r="I112" s="16"/>
    </row>
    <row r="113" customFormat="false" ht="35.05" hidden="false" customHeight="false" outlineLevel="0" collapsed="false">
      <c r="A113" s="29" t="s">
        <v>39</v>
      </c>
      <c r="B113" s="39" t="n">
        <v>3</v>
      </c>
      <c r="C113" s="20" t="s">
        <v>610</v>
      </c>
      <c r="D113" s="16" t="n">
        <v>2</v>
      </c>
      <c r="E113" s="20" t="s">
        <v>79</v>
      </c>
      <c r="F113" s="30" t="n">
        <v>44.23</v>
      </c>
      <c r="G113" s="31" t="n">
        <f aca="false">D113*F113</f>
        <v>88.46</v>
      </c>
      <c r="H113" s="18" t="n">
        <f aca="false">ROUND(G113*(1-요약!$C$5)*요약!$C$4,0)</f>
        <v>107479</v>
      </c>
      <c r="I113" s="16"/>
    </row>
    <row r="114" customFormat="false" ht="15" hidden="false" customHeight="false" outlineLevel="0" collapsed="false">
      <c r="A114" s="29" t="s">
        <v>39</v>
      </c>
      <c r="B114" s="39" t="n">
        <v>4</v>
      </c>
      <c r="C114" s="20" t="s">
        <v>611</v>
      </c>
      <c r="D114" s="16" t="n">
        <v>2</v>
      </c>
      <c r="E114" s="20" t="s">
        <v>79</v>
      </c>
      <c r="F114" s="30" t="n">
        <v>37.15</v>
      </c>
      <c r="G114" s="31" t="n">
        <f aca="false">D114*F114</f>
        <v>74.3</v>
      </c>
      <c r="H114" s="18" t="n">
        <f aca="false">ROUND(G114*(1-요약!$C$5)*요약!$C$4,0)</f>
        <v>90275</v>
      </c>
      <c r="I114" s="16"/>
    </row>
    <row r="115" customFormat="false" ht="23.85" hidden="false" customHeight="false" outlineLevel="0" collapsed="false">
      <c r="A115" s="29" t="s">
        <v>39</v>
      </c>
      <c r="B115" s="39" t="n">
        <v>5</v>
      </c>
      <c r="C115" s="20" t="s">
        <v>612</v>
      </c>
      <c r="D115" s="16" t="n">
        <v>2</v>
      </c>
      <c r="E115" s="20" t="s">
        <v>79</v>
      </c>
      <c r="F115" s="30" t="n">
        <v>30.96</v>
      </c>
      <c r="G115" s="31" t="n">
        <f aca="false">D115*F115</f>
        <v>61.92</v>
      </c>
      <c r="H115" s="18" t="n">
        <f aca="false">ROUND(G115*(1-요약!$C$5)*요약!$C$4,0)</f>
        <v>75233</v>
      </c>
      <c r="I115" s="16"/>
    </row>
    <row r="116" customFormat="false" ht="23.85" hidden="false" customHeight="false" outlineLevel="0" collapsed="false">
      <c r="A116" s="29" t="s">
        <v>39</v>
      </c>
      <c r="B116" s="39" t="n">
        <v>6</v>
      </c>
      <c r="C116" s="20" t="s">
        <v>613</v>
      </c>
      <c r="D116" s="16" t="n">
        <v>2</v>
      </c>
      <c r="E116" s="20" t="s">
        <v>79</v>
      </c>
      <c r="F116" s="30" t="n">
        <v>32.73</v>
      </c>
      <c r="G116" s="31" t="n">
        <f aca="false">D116*F116</f>
        <v>65.46</v>
      </c>
      <c r="H116" s="18" t="n">
        <f aca="false">ROUND(G116*(1-요약!$C$5)*요약!$C$4,0)</f>
        <v>79534</v>
      </c>
      <c r="I116" s="16"/>
    </row>
    <row r="117" customFormat="false" ht="23.85" hidden="false" customHeight="false" outlineLevel="0" collapsed="false">
      <c r="A117" s="29" t="s">
        <v>39</v>
      </c>
      <c r="B117" s="39" t="n">
        <v>7</v>
      </c>
      <c r="C117" s="20" t="s">
        <v>614</v>
      </c>
      <c r="D117" s="16" t="n">
        <v>2</v>
      </c>
      <c r="E117" s="20" t="s">
        <v>79</v>
      </c>
      <c r="F117" s="30" t="n">
        <v>57.5</v>
      </c>
      <c r="G117" s="31" t="n">
        <f aca="false">D117*F117</f>
        <v>115</v>
      </c>
      <c r="H117" s="18" t="n">
        <f aca="false">ROUND(G117*(1-요약!$C$5)*요약!$C$4,0)</f>
        <v>139725</v>
      </c>
      <c r="I117" s="16"/>
    </row>
    <row r="118" customFormat="false" ht="23.85" hidden="false" customHeight="false" outlineLevel="0" collapsed="false">
      <c r="A118" s="29" t="s">
        <v>39</v>
      </c>
      <c r="B118" s="39" t="n">
        <v>8</v>
      </c>
      <c r="C118" s="20" t="s">
        <v>615</v>
      </c>
      <c r="D118" s="16" t="n">
        <v>1</v>
      </c>
      <c r="E118" s="20" t="s">
        <v>79</v>
      </c>
      <c r="F118" s="30" t="n">
        <v>1061.54</v>
      </c>
      <c r="G118" s="31" t="n">
        <f aca="false">D118*F118</f>
        <v>1061.54</v>
      </c>
      <c r="H118" s="18" t="n">
        <f aca="false">ROUND(G118*(1-요약!$C$5)*요약!$C$4,0)</f>
        <v>1289771</v>
      </c>
      <c r="I118" s="16"/>
    </row>
    <row r="119" customFormat="false" ht="23.85" hidden="false" customHeight="false" outlineLevel="0" collapsed="false">
      <c r="A119" s="29" t="s">
        <v>39</v>
      </c>
      <c r="B119" s="39" t="n">
        <v>9</v>
      </c>
      <c r="C119" s="20" t="s">
        <v>616</v>
      </c>
      <c r="D119" s="16" t="n">
        <v>1</v>
      </c>
      <c r="E119" s="20" t="s">
        <v>79</v>
      </c>
      <c r="F119" s="30" t="n">
        <v>645.77</v>
      </c>
      <c r="G119" s="31" t="n">
        <f aca="false">D119*F119</f>
        <v>645.77</v>
      </c>
      <c r="H119" s="18" t="n">
        <f aca="false">ROUND(G119*(1-요약!$C$5)*요약!$C$4,0)</f>
        <v>784611</v>
      </c>
      <c r="I119" s="16"/>
    </row>
    <row r="120" customFormat="false" ht="23.85" hidden="false" customHeight="false" outlineLevel="0" collapsed="false">
      <c r="A120" s="29" t="s">
        <v>39</v>
      </c>
      <c r="B120" s="39" t="n">
        <v>10</v>
      </c>
      <c r="C120" s="20" t="s">
        <v>617</v>
      </c>
      <c r="D120" s="16" t="n">
        <v>2</v>
      </c>
      <c r="E120" s="20" t="s">
        <v>79</v>
      </c>
      <c r="F120" s="30" t="n">
        <v>371.54</v>
      </c>
      <c r="G120" s="31" t="n">
        <f aca="false">D120*F120</f>
        <v>743.08</v>
      </c>
      <c r="H120" s="18" t="n">
        <f aca="false">ROUND(G120*(1-요약!$C$5)*요약!$C$4,0)</f>
        <v>902842</v>
      </c>
      <c r="I120" s="16"/>
    </row>
    <row r="121" customFormat="false" ht="35.05" hidden="false" customHeight="false" outlineLevel="0" collapsed="false">
      <c r="A121" s="29" t="s">
        <v>39</v>
      </c>
      <c r="B121" s="39" t="n">
        <v>11</v>
      </c>
      <c r="C121" s="20" t="s">
        <v>618</v>
      </c>
      <c r="D121" s="16" t="n">
        <v>2</v>
      </c>
      <c r="E121" s="20" t="s">
        <v>79</v>
      </c>
      <c r="F121" s="30" t="n">
        <v>141.54</v>
      </c>
      <c r="G121" s="31" t="n">
        <f aca="false">D121*F121</f>
        <v>283.08</v>
      </c>
      <c r="H121" s="18" t="n">
        <f aca="false">ROUND(G121*(1-요약!$C$5)*요약!$C$4,0)</f>
        <v>343942</v>
      </c>
      <c r="I121" s="16"/>
    </row>
    <row r="122" customFormat="false" ht="35.05" hidden="false" customHeight="false" outlineLevel="0" collapsed="false">
      <c r="A122" s="29" t="s">
        <v>39</v>
      </c>
      <c r="B122" s="39" t="n">
        <v>12</v>
      </c>
      <c r="C122" s="20" t="s">
        <v>619</v>
      </c>
      <c r="D122" s="16" t="n">
        <v>1</v>
      </c>
      <c r="E122" s="20" t="s">
        <v>79</v>
      </c>
      <c r="F122" s="30" t="n">
        <v>49.54</v>
      </c>
      <c r="G122" s="31" t="n">
        <f aca="false">D122*F122</f>
        <v>49.54</v>
      </c>
      <c r="H122" s="18" t="n">
        <f aca="false">ROUND(G122*(1-요약!$C$5)*요약!$C$4,0)</f>
        <v>60191</v>
      </c>
      <c r="I122" s="16"/>
    </row>
    <row r="123" customFormat="false" ht="15" hidden="false" customHeight="true" outlineLevel="0" collapsed="false">
      <c r="A123" s="61" t="s">
        <v>524</v>
      </c>
      <c r="B123" s="61"/>
      <c r="C123" s="61"/>
      <c r="D123" s="61"/>
      <c r="E123" s="61"/>
      <c r="F123" s="61"/>
      <c r="G123" s="35" t="n">
        <f aca="false">SUM(G111:G122)</f>
        <v>3524.31</v>
      </c>
      <c r="H123" s="36" t="n">
        <f aca="false">SUM(H111:H122)</f>
        <v>4282037</v>
      </c>
      <c r="I123" s="33"/>
    </row>
    <row r="125" customFormat="false" ht="15" hidden="false" customHeight="false" outlineLevel="0" collapsed="false">
      <c r="A125" s="60" t="s">
        <v>620</v>
      </c>
      <c r="B125" s="60"/>
      <c r="C125" s="60"/>
      <c r="D125" s="60"/>
      <c r="E125" s="60"/>
      <c r="F125" s="60"/>
      <c r="G125" s="60"/>
      <c r="H125" s="60"/>
      <c r="I125" s="60"/>
    </row>
    <row r="126" customFormat="false" ht="23.85" hidden="false" customHeight="false" outlineLevel="0" collapsed="false">
      <c r="A126" s="29" t="s">
        <v>41</v>
      </c>
      <c r="B126" s="39" t="n">
        <v>1</v>
      </c>
      <c r="C126" s="20" t="s">
        <v>621</v>
      </c>
      <c r="D126" s="16" t="n">
        <v>20</v>
      </c>
      <c r="E126" s="20" t="s">
        <v>324</v>
      </c>
      <c r="F126" s="30" t="n">
        <v>6.99</v>
      </c>
      <c r="G126" s="31" t="n">
        <f aca="false">D126*F126</f>
        <v>139.8</v>
      </c>
      <c r="H126" s="18" t="n">
        <f aca="false">ROUND(G126*(1-요약!$C$5)*요약!$C$4,0)</f>
        <v>169857</v>
      </c>
      <c r="I126" s="16"/>
    </row>
    <row r="127" customFormat="false" ht="23.85" hidden="false" customHeight="false" outlineLevel="0" collapsed="false">
      <c r="A127" s="29" t="s">
        <v>41</v>
      </c>
      <c r="B127" s="39" t="n">
        <v>2</v>
      </c>
      <c r="C127" s="20" t="s">
        <v>622</v>
      </c>
      <c r="D127" s="16" t="n">
        <v>20</v>
      </c>
      <c r="E127" s="20" t="s">
        <v>324</v>
      </c>
      <c r="F127" s="30" t="n">
        <v>11.5</v>
      </c>
      <c r="G127" s="31" t="n">
        <f aca="false">D127*F127</f>
        <v>230</v>
      </c>
      <c r="H127" s="18" t="n">
        <f aca="false">ROUND(G127*(1-요약!$C$5)*요약!$C$4,0)</f>
        <v>279450</v>
      </c>
      <c r="I127" s="16"/>
    </row>
    <row r="128" customFormat="false" ht="23.85" hidden="false" customHeight="false" outlineLevel="0" collapsed="false">
      <c r="A128" s="29" t="s">
        <v>41</v>
      </c>
      <c r="B128" s="39" t="n">
        <v>3</v>
      </c>
      <c r="C128" s="20" t="s">
        <v>623</v>
      </c>
      <c r="D128" s="16" t="n">
        <v>15</v>
      </c>
      <c r="E128" s="20" t="s">
        <v>324</v>
      </c>
      <c r="F128" s="30" t="n">
        <v>2.65</v>
      </c>
      <c r="G128" s="31" t="n">
        <f aca="false">D128*F128</f>
        <v>39.75</v>
      </c>
      <c r="H128" s="18" t="n">
        <f aca="false">ROUND(G128*(1-요약!$C$5)*요약!$C$4,0)</f>
        <v>48296</v>
      </c>
      <c r="I128" s="16"/>
    </row>
    <row r="129" customFormat="false" ht="23.85" hidden="false" customHeight="false" outlineLevel="0" collapsed="false">
      <c r="A129" s="29" t="s">
        <v>41</v>
      </c>
      <c r="B129" s="39" t="n">
        <v>4</v>
      </c>
      <c r="C129" s="20" t="s">
        <v>624</v>
      </c>
      <c r="D129" s="16" t="n">
        <v>10</v>
      </c>
      <c r="E129" s="20" t="s">
        <v>252</v>
      </c>
      <c r="F129" s="30" t="n">
        <v>0.71</v>
      </c>
      <c r="G129" s="31" t="n">
        <f aca="false">D129*F129</f>
        <v>7.1</v>
      </c>
      <c r="H129" s="18" t="n">
        <f aca="false">ROUND(G129*(1-요약!$C$5)*요약!$C$4,0)</f>
        <v>8627</v>
      </c>
      <c r="I129" s="16"/>
    </row>
    <row r="130" customFormat="false" ht="23.85" hidden="false" customHeight="false" outlineLevel="0" collapsed="false">
      <c r="A130" s="29" t="s">
        <v>41</v>
      </c>
      <c r="B130" s="39" t="n">
        <v>5</v>
      </c>
      <c r="C130" s="20" t="s">
        <v>625</v>
      </c>
      <c r="D130" s="16" t="n">
        <v>10</v>
      </c>
      <c r="E130" s="20" t="s">
        <v>252</v>
      </c>
      <c r="F130" s="30" t="n">
        <v>1.24</v>
      </c>
      <c r="G130" s="31" t="n">
        <f aca="false">D130*F130</f>
        <v>12.4</v>
      </c>
      <c r="H130" s="18" t="n">
        <f aca="false">ROUND(G130*(1-요약!$C$5)*요약!$C$4,0)</f>
        <v>15066</v>
      </c>
      <c r="I130" s="16"/>
    </row>
    <row r="131" customFormat="false" ht="23.85" hidden="false" customHeight="false" outlineLevel="0" collapsed="false">
      <c r="A131" s="29" t="s">
        <v>41</v>
      </c>
      <c r="B131" s="39" t="n">
        <v>6</v>
      </c>
      <c r="C131" s="20" t="s">
        <v>626</v>
      </c>
      <c r="D131" s="16" t="n">
        <v>15</v>
      </c>
      <c r="E131" s="20" t="s">
        <v>252</v>
      </c>
      <c r="F131" s="30" t="n">
        <v>18.58</v>
      </c>
      <c r="G131" s="31" t="n">
        <f aca="false">D131*F131</f>
        <v>278.7</v>
      </c>
      <c r="H131" s="18" t="n">
        <f aca="false">ROUND(G131*(1-요약!$C$5)*요약!$C$4,0)</f>
        <v>338621</v>
      </c>
      <c r="I131" s="16"/>
    </row>
    <row r="132" customFormat="false" ht="23.85" hidden="false" customHeight="false" outlineLevel="0" collapsed="false">
      <c r="A132" s="29" t="s">
        <v>41</v>
      </c>
      <c r="B132" s="39" t="n">
        <v>7</v>
      </c>
      <c r="C132" s="20" t="s">
        <v>627</v>
      </c>
      <c r="D132" s="16" t="n">
        <v>40</v>
      </c>
      <c r="E132" s="20" t="s">
        <v>252</v>
      </c>
      <c r="F132" s="30" t="n">
        <v>9.73</v>
      </c>
      <c r="G132" s="31" t="n">
        <f aca="false">D132*F132</f>
        <v>389.2</v>
      </c>
      <c r="H132" s="18" t="n">
        <f aca="false">ROUND(G132*(1-요약!$C$5)*요약!$C$4,0)</f>
        <v>472878</v>
      </c>
      <c r="I132" s="16"/>
    </row>
    <row r="133" customFormat="false" ht="23.85" hidden="false" customHeight="false" outlineLevel="0" collapsed="false">
      <c r="A133" s="29" t="s">
        <v>41</v>
      </c>
      <c r="B133" s="39" t="n">
        <v>8</v>
      </c>
      <c r="C133" s="20" t="s">
        <v>628</v>
      </c>
      <c r="D133" s="16" t="n">
        <v>10</v>
      </c>
      <c r="E133" s="20" t="s">
        <v>252</v>
      </c>
      <c r="F133" s="30" t="n">
        <v>61.92</v>
      </c>
      <c r="G133" s="31" t="n">
        <f aca="false">D133*F133</f>
        <v>619.2</v>
      </c>
      <c r="H133" s="18" t="n">
        <f aca="false">ROUND(G133*(1-요약!$C$5)*요약!$C$4,0)</f>
        <v>752328</v>
      </c>
      <c r="I133" s="16"/>
    </row>
    <row r="134" customFormat="false" ht="23.85" hidden="false" customHeight="false" outlineLevel="0" collapsed="false">
      <c r="A134" s="29" t="s">
        <v>41</v>
      </c>
      <c r="B134" s="39" t="n">
        <v>9</v>
      </c>
      <c r="C134" s="20" t="s">
        <v>629</v>
      </c>
      <c r="D134" s="16" t="n">
        <v>10</v>
      </c>
      <c r="E134" s="20" t="s">
        <v>630</v>
      </c>
      <c r="F134" s="30" t="n">
        <v>29.19</v>
      </c>
      <c r="G134" s="31" t="n">
        <f aca="false">D134*F134</f>
        <v>291.9</v>
      </c>
      <c r="H134" s="18" t="n">
        <f aca="false">ROUND(G134*(1-요약!$C$5)*요약!$C$4,0)</f>
        <v>354659</v>
      </c>
      <c r="I134" s="16"/>
    </row>
    <row r="135" customFormat="false" ht="23.85" hidden="false" customHeight="false" outlineLevel="0" collapsed="false">
      <c r="A135" s="29" t="s">
        <v>41</v>
      </c>
      <c r="B135" s="39" t="n">
        <v>10</v>
      </c>
      <c r="C135" s="20" t="s">
        <v>631</v>
      </c>
      <c r="D135" s="16" t="n">
        <v>120</v>
      </c>
      <c r="E135" s="20" t="s">
        <v>324</v>
      </c>
      <c r="F135" s="30" t="n">
        <v>0.71</v>
      </c>
      <c r="G135" s="31" t="n">
        <f aca="false">D135*F135</f>
        <v>85.2</v>
      </c>
      <c r="H135" s="18" t="n">
        <f aca="false">ROUND(G135*(1-요약!$C$5)*요약!$C$4,0)</f>
        <v>103518</v>
      </c>
      <c r="I135" s="16"/>
    </row>
    <row r="136" customFormat="false" ht="23.85" hidden="false" customHeight="false" outlineLevel="0" collapsed="false">
      <c r="A136" s="47" t="s">
        <v>41</v>
      </c>
      <c r="B136" s="53" t="n">
        <v>11</v>
      </c>
      <c r="C136" s="48" t="s">
        <v>632</v>
      </c>
      <c r="D136" s="55" t="n">
        <v>30</v>
      </c>
      <c r="E136" s="48" t="s">
        <v>324</v>
      </c>
      <c r="F136" s="52" t="n">
        <v>1.51</v>
      </c>
      <c r="G136" s="49" t="n">
        <f aca="false">D136*F136</f>
        <v>45.3</v>
      </c>
      <c r="H136" s="50" t="n">
        <f aca="false">ROUND(G136*(1-요약!$C$5)*요약!$C$4,0)</f>
        <v>55039</v>
      </c>
      <c r="I136" s="48" t="s">
        <v>633</v>
      </c>
    </row>
    <row r="137" customFormat="false" ht="23.85" hidden="false" customHeight="false" outlineLevel="0" collapsed="false">
      <c r="A137" s="47" t="s">
        <v>41</v>
      </c>
      <c r="B137" s="53" t="n">
        <v>12</v>
      </c>
      <c r="C137" s="48" t="s">
        <v>634</v>
      </c>
      <c r="D137" s="55" t="n">
        <v>20</v>
      </c>
      <c r="E137" s="48" t="s">
        <v>324</v>
      </c>
      <c r="F137" s="52" t="n">
        <v>0.31</v>
      </c>
      <c r="G137" s="49" t="n">
        <f aca="false">D137*F137</f>
        <v>6.2</v>
      </c>
      <c r="H137" s="50" t="n">
        <f aca="false">ROUND(G137*(1-요약!$C$5)*요약!$C$4,0)</f>
        <v>7533</v>
      </c>
      <c r="I137" s="48" t="s">
        <v>633</v>
      </c>
    </row>
    <row r="138" customFormat="false" ht="23.85" hidden="false" customHeight="false" outlineLevel="0" collapsed="false">
      <c r="A138" s="47" t="s">
        <v>41</v>
      </c>
      <c r="B138" s="53" t="n">
        <v>13</v>
      </c>
      <c r="C138" s="48" t="s">
        <v>635</v>
      </c>
      <c r="D138" s="55" t="n">
        <v>12</v>
      </c>
      <c r="E138" s="48" t="s">
        <v>79</v>
      </c>
      <c r="F138" s="52" t="n">
        <v>3.89</v>
      </c>
      <c r="G138" s="49" t="n">
        <f aca="false">D138*F138</f>
        <v>46.68</v>
      </c>
      <c r="H138" s="50" t="n">
        <f aca="false">ROUND(G138*(1-요약!$C$5)*요약!$C$4,0)</f>
        <v>56716</v>
      </c>
      <c r="I138" s="48" t="s">
        <v>636</v>
      </c>
    </row>
    <row r="139" customFormat="false" ht="35.05" hidden="false" customHeight="false" outlineLevel="0" collapsed="false">
      <c r="A139" s="47" t="s">
        <v>41</v>
      </c>
      <c r="B139" s="53" t="n">
        <v>14</v>
      </c>
      <c r="C139" s="48" t="s">
        <v>637</v>
      </c>
      <c r="D139" s="55" t="n">
        <v>12</v>
      </c>
      <c r="E139" s="48" t="s">
        <v>79</v>
      </c>
      <c r="F139" s="52" t="n">
        <v>3.89</v>
      </c>
      <c r="G139" s="49" t="n">
        <f aca="false">D139*F139</f>
        <v>46.68</v>
      </c>
      <c r="H139" s="50" t="n">
        <f aca="false">ROUND(G139*(1-요약!$C$5)*요약!$C$4,0)</f>
        <v>56716</v>
      </c>
      <c r="I139" s="48" t="s">
        <v>636</v>
      </c>
    </row>
    <row r="140" customFormat="false" ht="23.85" hidden="false" customHeight="false" outlineLevel="0" collapsed="false">
      <c r="A140" s="47" t="s">
        <v>41</v>
      </c>
      <c r="B140" s="53" t="n">
        <v>15</v>
      </c>
      <c r="C140" s="48" t="s">
        <v>638</v>
      </c>
      <c r="D140" s="55" t="n">
        <v>6</v>
      </c>
      <c r="E140" s="48" t="s">
        <v>79</v>
      </c>
      <c r="F140" s="52" t="n">
        <v>5.31</v>
      </c>
      <c r="G140" s="49" t="n">
        <f aca="false">D140*F140</f>
        <v>31.86</v>
      </c>
      <c r="H140" s="50" t="n">
        <f aca="false">ROUND(G140*(1-요약!$C$5)*요약!$C$4,0)</f>
        <v>38710</v>
      </c>
      <c r="I140" s="48" t="s">
        <v>639</v>
      </c>
    </row>
    <row r="141" customFormat="false" ht="23.85" hidden="false" customHeight="false" outlineLevel="0" collapsed="false">
      <c r="A141" s="47" t="s">
        <v>41</v>
      </c>
      <c r="B141" s="53" t="n">
        <v>16</v>
      </c>
      <c r="C141" s="48" t="s">
        <v>640</v>
      </c>
      <c r="D141" s="55" t="n">
        <v>12</v>
      </c>
      <c r="E141" s="48" t="s">
        <v>79</v>
      </c>
      <c r="F141" s="52" t="n">
        <v>11.06</v>
      </c>
      <c r="G141" s="49" t="n">
        <f aca="false">D141*F141</f>
        <v>132.72</v>
      </c>
      <c r="H141" s="50" t="n">
        <f aca="false">ROUND(G141*(1-요약!$C$5)*요약!$C$4,0)</f>
        <v>161255</v>
      </c>
      <c r="I141" s="48" t="s">
        <v>639</v>
      </c>
    </row>
    <row r="142" customFormat="false" ht="35.05" hidden="false" customHeight="false" outlineLevel="0" collapsed="false">
      <c r="A142" s="47" t="s">
        <v>41</v>
      </c>
      <c r="B142" s="53" t="n">
        <v>17</v>
      </c>
      <c r="C142" s="48" t="s">
        <v>641</v>
      </c>
      <c r="D142" s="55" t="n">
        <v>12</v>
      </c>
      <c r="E142" s="48" t="s">
        <v>79</v>
      </c>
      <c r="F142" s="52" t="n">
        <v>14.15</v>
      </c>
      <c r="G142" s="49" t="n">
        <f aca="false">D142*F142</f>
        <v>169.8</v>
      </c>
      <c r="H142" s="50" t="n">
        <f aca="false">ROUND(G142*(1-요약!$C$5)*요약!$C$4,0)</f>
        <v>206307</v>
      </c>
      <c r="I142" s="48" t="s">
        <v>639</v>
      </c>
    </row>
    <row r="143" customFormat="false" ht="23.85" hidden="false" customHeight="false" outlineLevel="0" collapsed="false">
      <c r="A143" s="47" t="s">
        <v>41</v>
      </c>
      <c r="B143" s="53" t="n">
        <v>18</v>
      </c>
      <c r="C143" s="48" t="s">
        <v>642</v>
      </c>
      <c r="D143" s="55" t="n">
        <v>4</v>
      </c>
      <c r="E143" s="48" t="s">
        <v>79</v>
      </c>
      <c r="F143" s="52" t="n">
        <v>33.18</v>
      </c>
      <c r="G143" s="49" t="n">
        <f aca="false">D143*F143</f>
        <v>132.72</v>
      </c>
      <c r="H143" s="50" t="n">
        <f aca="false">ROUND(G143*(1-요약!$C$5)*요약!$C$4,0)</f>
        <v>161255</v>
      </c>
      <c r="I143" s="48" t="s">
        <v>643</v>
      </c>
    </row>
    <row r="144" customFormat="false" ht="23.85" hidden="false" customHeight="false" outlineLevel="0" collapsed="false">
      <c r="A144" s="47" t="s">
        <v>41</v>
      </c>
      <c r="B144" s="53" t="n">
        <v>19</v>
      </c>
      <c r="C144" s="48" t="s">
        <v>644</v>
      </c>
      <c r="D144" s="55" t="n">
        <v>8</v>
      </c>
      <c r="E144" s="48" t="s">
        <v>79</v>
      </c>
      <c r="F144" s="52" t="n">
        <v>15.92</v>
      </c>
      <c r="G144" s="49" t="n">
        <f aca="false">D144*F144</f>
        <v>127.36</v>
      </c>
      <c r="H144" s="50" t="n">
        <f aca="false">ROUND(G144*(1-요약!$C$5)*요약!$C$4,0)</f>
        <v>154742</v>
      </c>
      <c r="I144" s="48" t="s">
        <v>639</v>
      </c>
    </row>
    <row r="145" customFormat="false" ht="23.85" hidden="false" customHeight="false" outlineLevel="0" collapsed="false">
      <c r="A145" s="47" t="s">
        <v>41</v>
      </c>
      <c r="B145" s="53" t="n">
        <v>20</v>
      </c>
      <c r="C145" s="48" t="s">
        <v>645</v>
      </c>
      <c r="D145" s="55" t="n">
        <v>10</v>
      </c>
      <c r="E145" s="48" t="s">
        <v>79</v>
      </c>
      <c r="F145" s="52" t="n">
        <v>5.48</v>
      </c>
      <c r="G145" s="49" t="n">
        <f aca="false">D145*F145</f>
        <v>54.8</v>
      </c>
      <c r="H145" s="50" t="n">
        <f aca="false">ROUND(G145*(1-요약!$C$5)*요약!$C$4,0)</f>
        <v>66582</v>
      </c>
      <c r="I145" s="48" t="s">
        <v>639</v>
      </c>
    </row>
    <row r="146" customFormat="false" ht="23.85" hidden="false" customHeight="false" outlineLevel="0" collapsed="false">
      <c r="A146" s="47" t="s">
        <v>41</v>
      </c>
      <c r="B146" s="53" t="n">
        <v>21</v>
      </c>
      <c r="C146" s="48" t="s">
        <v>646</v>
      </c>
      <c r="D146" s="55" t="n">
        <v>8</v>
      </c>
      <c r="E146" s="48" t="s">
        <v>79</v>
      </c>
      <c r="F146" s="52" t="n">
        <v>5.75</v>
      </c>
      <c r="G146" s="49" t="n">
        <f aca="false">D146*F146</f>
        <v>46</v>
      </c>
      <c r="H146" s="50" t="n">
        <f aca="false">ROUND(G146*(1-요약!$C$5)*요약!$C$4,0)</f>
        <v>55890</v>
      </c>
      <c r="I146" s="48" t="s">
        <v>639</v>
      </c>
    </row>
    <row r="147" customFormat="false" ht="23.85" hidden="false" customHeight="false" outlineLevel="0" collapsed="false">
      <c r="A147" s="47" t="s">
        <v>41</v>
      </c>
      <c r="B147" s="53" t="n">
        <v>22</v>
      </c>
      <c r="C147" s="48" t="s">
        <v>647</v>
      </c>
      <c r="D147" s="55" t="n">
        <v>4</v>
      </c>
      <c r="E147" s="48" t="s">
        <v>79</v>
      </c>
      <c r="F147" s="52" t="n">
        <v>61.04</v>
      </c>
      <c r="G147" s="49" t="n">
        <f aca="false">D147*F147</f>
        <v>244.16</v>
      </c>
      <c r="H147" s="50" t="n">
        <f aca="false">ROUND(G147*(1-요약!$C$5)*요약!$C$4,0)</f>
        <v>296654</v>
      </c>
      <c r="I147" s="48" t="s">
        <v>648</v>
      </c>
    </row>
    <row r="148" customFormat="false" ht="23.85" hidden="false" customHeight="false" outlineLevel="0" collapsed="false">
      <c r="A148" s="29" t="s">
        <v>41</v>
      </c>
      <c r="B148" s="39" t="n">
        <v>23</v>
      </c>
      <c r="C148" s="20" t="s">
        <v>649</v>
      </c>
      <c r="D148" s="16" t="n">
        <v>100</v>
      </c>
      <c r="E148" s="20" t="s">
        <v>79</v>
      </c>
      <c r="F148" s="30" t="n">
        <v>0.62</v>
      </c>
      <c r="G148" s="31" t="n">
        <f aca="false">D148*F148</f>
        <v>62</v>
      </c>
      <c r="H148" s="18" t="n">
        <f aca="false">ROUND(G148*(1-요약!$C$5)*요약!$C$4,0)</f>
        <v>75330</v>
      </c>
      <c r="I148" s="16"/>
    </row>
    <row r="149" customFormat="false" ht="23.85" hidden="false" customHeight="false" outlineLevel="0" collapsed="false">
      <c r="A149" s="29" t="s">
        <v>41</v>
      </c>
      <c r="B149" s="39" t="n">
        <v>24</v>
      </c>
      <c r="C149" s="20" t="s">
        <v>650</v>
      </c>
      <c r="D149" s="16" t="n">
        <v>150</v>
      </c>
      <c r="E149" s="20" t="s">
        <v>79</v>
      </c>
      <c r="F149" s="30" t="n">
        <v>0.62</v>
      </c>
      <c r="G149" s="31" t="n">
        <f aca="false">D149*F149</f>
        <v>93</v>
      </c>
      <c r="H149" s="18" t="n">
        <f aca="false">ROUND(G149*(1-요약!$C$5)*요약!$C$4,0)</f>
        <v>112995</v>
      </c>
      <c r="I149" s="16"/>
    </row>
    <row r="150" customFormat="false" ht="23.85" hidden="false" customHeight="false" outlineLevel="0" collapsed="false">
      <c r="A150" s="29" t="s">
        <v>41</v>
      </c>
      <c r="B150" s="39" t="n">
        <v>25</v>
      </c>
      <c r="C150" s="20" t="s">
        <v>651</v>
      </c>
      <c r="D150" s="16" t="n">
        <v>50</v>
      </c>
      <c r="E150" s="20" t="s">
        <v>79</v>
      </c>
      <c r="F150" s="30" t="n">
        <v>0.84</v>
      </c>
      <c r="G150" s="31" t="n">
        <f aca="false">D150*F150</f>
        <v>42</v>
      </c>
      <c r="H150" s="18" t="n">
        <f aca="false">ROUND(G150*(1-요약!$C$5)*요약!$C$4,0)</f>
        <v>51030</v>
      </c>
      <c r="I150" s="16"/>
    </row>
    <row r="151" customFormat="false" ht="23.85" hidden="false" customHeight="false" outlineLevel="0" collapsed="false">
      <c r="A151" s="29" t="s">
        <v>41</v>
      </c>
      <c r="B151" s="39" t="n">
        <v>26</v>
      </c>
      <c r="C151" s="20" t="s">
        <v>652</v>
      </c>
      <c r="D151" s="16" t="n">
        <v>100</v>
      </c>
      <c r="E151" s="20" t="s">
        <v>79</v>
      </c>
      <c r="F151" s="30" t="n">
        <v>0.35</v>
      </c>
      <c r="G151" s="31" t="n">
        <f aca="false">D151*F151</f>
        <v>35</v>
      </c>
      <c r="H151" s="18" t="n">
        <f aca="false">ROUND(G151*(1-요약!$C$5)*요약!$C$4,0)</f>
        <v>42525</v>
      </c>
      <c r="I151" s="16"/>
    </row>
    <row r="152" customFormat="false" ht="23.85" hidden="false" customHeight="false" outlineLevel="0" collapsed="false">
      <c r="A152" s="29" t="s">
        <v>41</v>
      </c>
      <c r="B152" s="39" t="n">
        <v>27</v>
      </c>
      <c r="C152" s="20" t="s">
        <v>653</v>
      </c>
      <c r="D152" s="16" t="n">
        <v>20</v>
      </c>
      <c r="E152" s="20" t="s">
        <v>630</v>
      </c>
      <c r="F152" s="30" t="n">
        <v>8.85</v>
      </c>
      <c r="G152" s="31" t="n">
        <f aca="false">D152*F152</f>
        <v>177</v>
      </c>
      <c r="H152" s="18" t="n">
        <f aca="false">ROUND(G152*(1-요약!$C$5)*요약!$C$4,0)</f>
        <v>215055</v>
      </c>
      <c r="I152" s="16"/>
    </row>
    <row r="153" customFormat="false" ht="23.85" hidden="false" customHeight="false" outlineLevel="0" collapsed="false">
      <c r="A153" s="29" t="s">
        <v>41</v>
      </c>
      <c r="B153" s="39" t="n">
        <v>28</v>
      </c>
      <c r="C153" s="20" t="s">
        <v>654</v>
      </c>
      <c r="D153" s="16" t="n">
        <v>20</v>
      </c>
      <c r="E153" s="20" t="s">
        <v>79</v>
      </c>
      <c r="F153" s="30" t="n">
        <v>0.45</v>
      </c>
      <c r="G153" s="31" t="n">
        <f aca="false">D153*F153</f>
        <v>9</v>
      </c>
      <c r="H153" s="18" t="n">
        <f aca="false">ROUND(G153*(1-요약!$C$5)*요약!$C$4,0)</f>
        <v>10935</v>
      </c>
      <c r="I153" s="16"/>
    </row>
    <row r="154" customFormat="false" ht="23.85" hidden="false" customHeight="false" outlineLevel="0" collapsed="false">
      <c r="A154" s="29" t="s">
        <v>41</v>
      </c>
      <c r="B154" s="39" t="n">
        <v>29</v>
      </c>
      <c r="C154" s="20" t="s">
        <v>655</v>
      </c>
      <c r="D154" s="16" t="n">
        <v>10</v>
      </c>
      <c r="E154" s="20" t="s">
        <v>79</v>
      </c>
      <c r="F154" s="30" t="n">
        <v>1.06</v>
      </c>
      <c r="G154" s="31" t="n">
        <f aca="false">D154*F154</f>
        <v>10.6</v>
      </c>
      <c r="H154" s="18" t="n">
        <f aca="false">ROUND(G154*(1-요약!$C$5)*요약!$C$4,0)</f>
        <v>12879</v>
      </c>
      <c r="I154" s="16"/>
    </row>
    <row r="155" customFormat="false" ht="23.85" hidden="false" customHeight="false" outlineLevel="0" collapsed="false">
      <c r="A155" s="29" t="s">
        <v>41</v>
      </c>
      <c r="B155" s="39" t="n">
        <v>30</v>
      </c>
      <c r="C155" s="20" t="s">
        <v>656</v>
      </c>
      <c r="D155" s="16" t="n">
        <v>20</v>
      </c>
      <c r="E155" s="20" t="s">
        <v>79</v>
      </c>
      <c r="F155" s="30" t="n">
        <v>0.88</v>
      </c>
      <c r="G155" s="31" t="n">
        <f aca="false">D155*F155</f>
        <v>17.6</v>
      </c>
      <c r="H155" s="18" t="n">
        <f aca="false">ROUND(G155*(1-요약!$C$5)*요약!$C$4,0)</f>
        <v>21384</v>
      </c>
      <c r="I155" s="16"/>
    </row>
    <row r="156" customFormat="false" ht="23.85" hidden="false" customHeight="false" outlineLevel="0" collapsed="false">
      <c r="A156" s="29" t="s">
        <v>41</v>
      </c>
      <c r="B156" s="39" t="n">
        <v>31</v>
      </c>
      <c r="C156" s="20" t="s">
        <v>657</v>
      </c>
      <c r="D156" s="16" t="n">
        <v>6</v>
      </c>
      <c r="E156" s="20" t="s">
        <v>79</v>
      </c>
      <c r="F156" s="30" t="n">
        <v>2.04</v>
      </c>
      <c r="G156" s="31" t="n">
        <f aca="false">D156*F156</f>
        <v>12.24</v>
      </c>
      <c r="H156" s="18" t="n">
        <f aca="false">ROUND(G156*(1-요약!$C$5)*요약!$C$4,0)</f>
        <v>14872</v>
      </c>
      <c r="I156" s="16"/>
    </row>
    <row r="157" customFormat="false" ht="23.85" hidden="false" customHeight="false" outlineLevel="0" collapsed="false">
      <c r="A157" s="29" t="s">
        <v>41</v>
      </c>
      <c r="B157" s="39" t="n">
        <v>32</v>
      </c>
      <c r="C157" s="20" t="s">
        <v>658</v>
      </c>
      <c r="D157" s="16" t="n">
        <v>4</v>
      </c>
      <c r="E157" s="20" t="s">
        <v>659</v>
      </c>
      <c r="F157" s="30" t="n">
        <v>5.75</v>
      </c>
      <c r="G157" s="31" t="n">
        <f aca="false">D157*F157</f>
        <v>23</v>
      </c>
      <c r="H157" s="18" t="n">
        <f aca="false">ROUND(G157*(1-요약!$C$5)*요약!$C$4,0)</f>
        <v>27945</v>
      </c>
      <c r="I157" s="16"/>
    </row>
    <row r="158" customFormat="false" ht="23.85" hidden="false" customHeight="false" outlineLevel="0" collapsed="false">
      <c r="A158" s="29" t="s">
        <v>41</v>
      </c>
      <c r="B158" s="39" t="n">
        <v>33</v>
      </c>
      <c r="C158" s="20" t="s">
        <v>660</v>
      </c>
      <c r="D158" s="16" t="n">
        <v>20</v>
      </c>
      <c r="E158" s="20" t="s">
        <v>324</v>
      </c>
      <c r="F158" s="30" t="n">
        <v>10.62</v>
      </c>
      <c r="G158" s="31" t="n">
        <f aca="false">D158*F158</f>
        <v>212.4</v>
      </c>
      <c r="H158" s="18" t="n">
        <f aca="false">ROUND(G158*(1-요약!$C$5)*요약!$C$4,0)</f>
        <v>258066</v>
      </c>
      <c r="I158" s="16"/>
    </row>
    <row r="159" customFormat="false" ht="23.85" hidden="false" customHeight="false" outlineLevel="0" collapsed="false">
      <c r="A159" s="29" t="s">
        <v>41</v>
      </c>
      <c r="B159" s="39" t="n">
        <v>34</v>
      </c>
      <c r="C159" s="20" t="s">
        <v>661</v>
      </c>
      <c r="D159" s="16" t="n">
        <v>30</v>
      </c>
      <c r="E159" s="20" t="s">
        <v>79</v>
      </c>
      <c r="F159" s="30" t="n">
        <v>0.35</v>
      </c>
      <c r="G159" s="31" t="n">
        <f aca="false">D159*F159</f>
        <v>10.5</v>
      </c>
      <c r="H159" s="18" t="n">
        <f aca="false">ROUND(G159*(1-요약!$C$5)*요약!$C$4,0)</f>
        <v>12758</v>
      </c>
      <c r="I159" s="16"/>
    </row>
    <row r="160" customFormat="false" ht="23.85" hidden="false" customHeight="false" outlineLevel="0" collapsed="false">
      <c r="A160" s="29" t="s">
        <v>41</v>
      </c>
      <c r="B160" s="39" t="n">
        <v>35</v>
      </c>
      <c r="C160" s="20" t="s">
        <v>662</v>
      </c>
      <c r="D160" s="16" t="n">
        <v>10</v>
      </c>
      <c r="E160" s="20" t="s">
        <v>630</v>
      </c>
      <c r="F160" s="30" t="n">
        <v>4.42</v>
      </c>
      <c r="G160" s="31" t="n">
        <f aca="false">D160*F160</f>
        <v>44.2</v>
      </c>
      <c r="H160" s="18" t="n">
        <f aca="false">ROUND(G160*(1-요약!$C$5)*요약!$C$4,0)</f>
        <v>53703</v>
      </c>
      <c r="I160" s="16"/>
    </row>
    <row r="161" customFormat="false" ht="23.85" hidden="false" customHeight="false" outlineLevel="0" collapsed="false">
      <c r="A161" s="29" t="s">
        <v>41</v>
      </c>
      <c r="B161" s="39" t="n">
        <v>36</v>
      </c>
      <c r="C161" s="20" t="s">
        <v>663</v>
      </c>
      <c r="D161" s="16" t="n">
        <v>100</v>
      </c>
      <c r="E161" s="20" t="s">
        <v>79</v>
      </c>
      <c r="F161" s="30" t="n">
        <v>0.12</v>
      </c>
      <c r="G161" s="31" t="n">
        <f aca="false">D161*F161</f>
        <v>12</v>
      </c>
      <c r="H161" s="18" t="n">
        <f aca="false">ROUND(G161*(1-요약!$C$5)*요약!$C$4,0)</f>
        <v>14580</v>
      </c>
      <c r="I161" s="16"/>
    </row>
    <row r="162" customFormat="false" ht="23.85" hidden="false" customHeight="false" outlineLevel="0" collapsed="false">
      <c r="A162" s="29" t="s">
        <v>41</v>
      </c>
      <c r="B162" s="39" t="n">
        <v>37</v>
      </c>
      <c r="C162" s="20" t="s">
        <v>664</v>
      </c>
      <c r="D162" s="16" t="n">
        <v>100</v>
      </c>
      <c r="E162" s="20" t="s">
        <v>79</v>
      </c>
      <c r="F162" s="30" t="n">
        <v>0.14</v>
      </c>
      <c r="G162" s="31" t="n">
        <f aca="false">D162*F162</f>
        <v>14</v>
      </c>
      <c r="H162" s="18" t="n">
        <f aca="false">ROUND(G162*(1-요약!$C$5)*요약!$C$4,0)</f>
        <v>17010</v>
      </c>
      <c r="I162" s="16"/>
    </row>
    <row r="163" customFormat="false" ht="23.85" hidden="false" customHeight="false" outlineLevel="0" collapsed="false">
      <c r="A163" s="29" t="s">
        <v>41</v>
      </c>
      <c r="B163" s="39" t="n">
        <v>38</v>
      </c>
      <c r="C163" s="20" t="s">
        <v>665</v>
      </c>
      <c r="D163" s="16" t="n">
        <v>100</v>
      </c>
      <c r="E163" s="20" t="s">
        <v>79</v>
      </c>
      <c r="F163" s="30" t="n">
        <v>0.2</v>
      </c>
      <c r="G163" s="31" t="n">
        <f aca="false">D163*F163</f>
        <v>20</v>
      </c>
      <c r="H163" s="18" t="n">
        <f aca="false">ROUND(G163*(1-요약!$C$5)*요약!$C$4,0)</f>
        <v>24300</v>
      </c>
      <c r="I163" s="16"/>
    </row>
    <row r="164" customFormat="false" ht="23.85" hidden="false" customHeight="false" outlineLevel="0" collapsed="false">
      <c r="A164" s="29" t="s">
        <v>41</v>
      </c>
      <c r="B164" s="39" t="n">
        <v>39</v>
      </c>
      <c r="C164" s="20" t="s">
        <v>666</v>
      </c>
      <c r="D164" s="16" t="n">
        <v>500</v>
      </c>
      <c r="E164" s="20" t="s">
        <v>79</v>
      </c>
      <c r="F164" s="30" t="n">
        <v>0.01</v>
      </c>
      <c r="G164" s="31" t="n">
        <f aca="false">D164*F164</f>
        <v>5</v>
      </c>
      <c r="H164" s="18" t="n">
        <f aca="false">ROUND(G164*(1-요약!$C$5)*요약!$C$4,0)</f>
        <v>6075</v>
      </c>
      <c r="I164" s="16"/>
    </row>
    <row r="165" customFormat="false" ht="23.85" hidden="false" customHeight="false" outlineLevel="0" collapsed="false">
      <c r="A165" s="29" t="s">
        <v>41</v>
      </c>
      <c r="B165" s="39" t="n">
        <v>40</v>
      </c>
      <c r="C165" s="20" t="s">
        <v>667</v>
      </c>
      <c r="D165" s="16" t="n">
        <v>300</v>
      </c>
      <c r="E165" s="20" t="s">
        <v>79</v>
      </c>
      <c r="F165" s="30" t="n">
        <v>0.1</v>
      </c>
      <c r="G165" s="31" t="n">
        <f aca="false">D165*F165</f>
        <v>30</v>
      </c>
      <c r="H165" s="18" t="n">
        <f aca="false">ROUND(G165*(1-요약!$C$5)*요약!$C$4,0)</f>
        <v>36450</v>
      </c>
      <c r="I165" s="16"/>
    </row>
    <row r="166" customFormat="false" ht="23.85" hidden="false" customHeight="false" outlineLevel="0" collapsed="false">
      <c r="A166" s="29" t="s">
        <v>41</v>
      </c>
      <c r="B166" s="39" t="n">
        <v>41</v>
      </c>
      <c r="C166" s="20" t="s">
        <v>668</v>
      </c>
      <c r="D166" s="16" t="n">
        <v>300</v>
      </c>
      <c r="E166" s="20" t="s">
        <v>659</v>
      </c>
      <c r="F166" s="30" t="n">
        <v>0.11</v>
      </c>
      <c r="G166" s="31" t="n">
        <f aca="false">D166*F166</f>
        <v>33</v>
      </c>
      <c r="H166" s="18" t="n">
        <f aca="false">ROUND(G166*(1-요약!$C$5)*요약!$C$4,0)</f>
        <v>40095</v>
      </c>
      <c r="I166" s="16"/>
    </row>
    <row r="167" customFormat="false" ht="23.85" hidden="false" customHeight="false" outlineLevel="0" collapsed="false">
      <c r="A167" s="29" t="s">
        <v>41</v>
      </c>
      <c r="B167" s="39" t="n">
        <v>42</v>
      </c>
      <c r="C167" s="20" t="s">
        <v>669</v>
      </c>
      <c r="D167" s="16" t="n">
        <v>100</v>
      </c>
      <c r="E167" s="20" t="s">
        <v>630</v>
      </c>
      <c r="F167" s="30" t="n">
        <v>0.8</v>
      </c>
      <c r="G167" s="31" t="n">
        <f aca="false">D167*F167</f>
        <v>80</v>
      </c>
      <c r="H167" s="18" t="n">
        <f aca="false">ROUND(G167*(1-요약!$C$5)*요약!$C$4,0)</f>
        <v>97200</v>
      </c>
      <c r="I167" s="16"/>
    </row>
    <row r="168" customFormat="false" ht="23.85" hidden="false" customHeight="false" outlineLevel="0" collapsed="false">
      <c r="A168" s="29" t="s">
        <v>41</v>
      </c>
      <c r="B168" s="39" t="n">
        <v>43</v>
      </c>
      <c r="C168" s="20" t="s">
        <v>670</v>
      </c>
      <c r="D168" s="16" t="n">
        <v>20</v>
      </c>
      <c r="E168" s="20" t="s">
        <v>252</v>
      </c>
      <c r="F168" s="30" t="n">
        <v>0.33</v>
      </c>
      <c r="G168" s="31" t="n">
        <f aca="false">D168*F168</f>
        <v>6.6</v>
      </c>
      <c r="H168" s="18" t="n">
        <f aca="false">ROUND(G168*(1-요약!$C$5)*요약!$C$4,0)</f>
        <v>8019</v>
      </c>
      <c r="I168" s="16"/>
    </row>
    <row r="169" customFormat="false" ht="23.85" hidden="false" customHeight="false" outlineLevel="0" collapsed="false">
      <c r="A169" s="47" t="s">
        <v>41</v>
      </c>
      <c r="B169" s="53" t="n">
        <v>44</v>
      </c>
      <c r="C169" s="48" t="s">
        <v>671</v>
      </c>
      <c r="D169" s="55" t="n">
        <v>10</v>
      </c>
      <c r="E169" s="48" t="s">
        <v>630</v>
      </c>
      <c r="F169" s="52" t="n">
        <v>0.88</v>
      </c>
      <c r="G169" s="49" t="n">
        <f aca="false">D169*F169</f>
        <v>8.8</v>
      </c>
      <c r="H169" s="50" t="n">
        <f aca="false">ROUND(G169*(1-요약!$C$5)*요약!$C$4,0)</f>
        <v>10692</v>
      </c>
      <c r="I169" s="48" t="s">
        <v>672</v>
      </c>
    </row>
    <row r="170" customFormat="false" ht="23.85" hidden="false" customHeight="false" outlineLevel="0" collapsed="false">
      <c r="A170" s="47" t="s">
        <v>41</v>
      </c>
      <c r="B170" s="53" t="n">
        <v>45</v>
      </c>
      <c r="C170" s="48" t="s">
        <v>673</v>
      </c>
      <c r="D170" s="55" t="n">
        <v>20</v>
      </c>
      <c r="E170" s="48" t="s">
        <v>324</v>
      </c>
      <c r="F170" s="52" t="n">
        <v>7.08</v>
      </c>
      <c r="G170" s="49" t="n">
        <f aca="false">D170*F170</f>
        <v>141.6</v>
      </c>
      <c r="H170" s="50" t="n">
        <f aca="false">ROUND(G170*(1-요약!$C$5)*요약!$C$4,0)</f>
        <v>172044</v>
      </c>
      <c r="I170" s="48" t="s">
        <v>674</v>
      </c>
    </row>
    <row r="171" customFormat="false" ht="35.05" hidden="false" customHeight="false" outlineLevel="0" collapsed="false">
      <c r="A171" s="47" t="s">
        <v>41</v>
      </c>
      <c r="B171" s="53" t="n">
        <v>46</v>
      </c>
      <c r="C171" s="48" t="s">
        <v>675</v>
      </c>
      <c r="D171" s="55" t="n">
        <v>24</v>
      </c>
      <c r="E171" s="48" t="s">
        <v>630</v>
      </c>
      <c r="F171" s="52" t="n">
        <v>17.69</v>
      </c>
      <c r="G171" s="49" t="n">
        <f aca="false">D171*F171</f>
        <v>424.56</v>
      </c>
      <c r="H171" s="50" t="n">
        <f aca="false">ROUND(G171*(1-요약!$C$5)*요약!$C$4,0)</f>
        <v>515840</v>
      </c>
      <c r="I171" s="48" t="s">
        <v>676</v>
      </c>
    </row>
    <row r="172" customFormat="false" ht="23.85" hidden="false" customHeight="false" outlineLevel="0" collapsed="false">
      <c r="A172" s="47" t="s">
        <v>41</v>
      </c>
      <c r="B172" s="53" t="n">
        <v>47</v>
      </c>
      <c r="C172" s="48" t="s">
        <v>677</v>
      </c>
      <c r="D172" s="55" t="n">
        <v>48</v>
      </c>
      <c r="E172" s="48" t="s">
        <v>79</v>
      </c>
      <c r="F172" s="52" t="n">
        <v>8.85</v>
      </c>
      <c r="G172" s="49" t="n">
        <f aca="false">D172*F172</f>
        <v>424.8</v>
      </c>
      <c r="H172" s="50" t="n">
        <f aca="false">ROUND(G172*(1-요약!$C$5)*요약!$C$4,0)</f>
        <v>516132</v>
      </c>
      <c r="I172" s="48" t="s">
        <v>678</v>
      </c>
    </row>
    <row r="173" customFormat="false" ht="23.85" hidden="false" customHeight="false" outlineLevel="0" collapsed="false">
      <c r="A173" s="47" t="s">
        <v>41</v>
      </c>
      <c r="B173" s="53" t="n">
        <v>48</v>
      </c>
      <c r="C173" s="48" t="s">
        <v>679</v>
      </c>
      <c r="D173" s="55" t="n">
        <v>48</v>
      </c>
      <c r="E173" s="48" t="s">
        <v>79</v>
      </c>
      <c r="F173" s="52" t="n">
        <v>4.42</v>
      </c>
      <c r="G173" s="49" t="n">
        <f aca="false">D173*F173</f>
        <v>212.16</v>
      </c>
      <c r="H173" s="50" t="n">
        <f aca="false">ROUND(G173*(1-요약!$C$5)*요약!$C$4,0)</f>
        <v>257774</v>
      </c>
      <c r="I173" s="48" t="s">
        <v>678</v>
      </c>
    </row>
    <row r="174" customFormat="false" ht="23.85" hidden="false" customHeight="false" outlineLevel="0" collapsed="false">
      <c r="A174" s="47" t="s">
        <v>41</v>
      </c>
      <c r="B174" s="53" t="n">
        <v>49</v>
      </c>
      <c r="C174" s="48" t="s">
        <v>680</v>
      </c>
      <c r="D174" s="55" t="n">
        <v>4</v>
      </c>
      <c r="E174" s="48" t="s">
        <v>79</v>
      </c>
      <c r="F174" s="52" t="n">
        <v>7.96</v>
      </c>
      <c r="G174" s="49" t="n">
        <f aca="false">D174*F174</f>
        <v>31.84</v>
      </c>
      <c r="H174" s="50" t="n">
        <f aca="false">ROUND(G174*(1-요약!$C$5)*요약!$C$4,0)</f>
        <v>38686</v>
      </c>
      <c r="I174" s="48" t="s">
        <v>681</v>
      </c>
    </row>
    <row r="175" customFormat="false" ht="23.85" hidden="false" customHeight="false" outlineLevel="0" collapsed="false">
      <c r="A175" s="47" t="s">
        <v>41</v>
      </c>
      <c r="B175" s="53" t="n">
        <v>50</v>
      </c>
      <c r="C175" s="48" t="s">
        <v>682</v>
      </c>
      <c r="D175" s="55" t="n">
        <v>4</v>
      </c>
      <c r="E175" s="48" t="s">
        <v>79</v>
      </c>
      <c r="F175" s="52" t="n">
        <v>4.95</v>
      </c>
      <c r="G175" s="49" t="n">
        <f aca="false">D175*F175</f>
        <v>19.8</v>
      </c>
      <c r="H175" s="50" t="n">
        <f aca="false">ROUND(G175*(1-요약!$C$5)*요약!$C$4,0)</f>
        <v>24057</v>
      </c>
      <c r="I175" s="48" t="s">
        <v>683</v>
      </c>
    </row>
    <row r="176" customFormat="false" ht="23.85" hidden="false" customHeight="false" outlineLevel="0" collapsed="false">
      <c r="A176" s="47" t="s">
        <v>41</v>
      </c>
      <c r="B176" s="53" t="n">
        <v>51</v>
      </c>
      <c r="C176" s="48" t="s">
        <v>684</v>
      </c>
      <c r="D176" s="55" t="n">
        <v>4</v>
      </c>
      <c r="E176" s="48" t="s">
        <v>79</v>
      </c>
      <c r="F176" s="52" t="n">
        <v>18.58</v>
      </c>
      <c r="G176" s="49" t="n">
        <f aca="false">D176*F176</f>
        <v>74.32</v>
      </c>
      <c r="H176" s="50" t="n">
        <f aca="false">ROUND(G176*(1-요약!$C$5)*요약!$C$4,0)</f>
        <v>90299</v>
      </c>
      <c r="I176" s="48" t="s">
        <v>685</v>
      </c>
    </row>
    <row r="177" customFormat="false" ht="23.85" hidden="false" customHeight="false" outlineLevel="0" collapsed="false">
      <c r="A177" s="47" t="s">
        <v>41</v>
      </c>
      <c r="B177" s="53" t="n">
        <v>52</v>
      </c>
      <c r="C177" s="48" t="s">
        <v>686</v>
      </c>
      <c r="D177" s="55" t="n">
        <v>3</v>
      </c>
      <c r="E177" s="48" t="s">
        <v>79</v>
      </c>
      <c r="F177" s="52" t="n">
        <v>7.17</v>
      </c>
      <c r="G177" s="49" t="n">
        <f aca="false">D177*F177</f>
        <v>21.51</v>
      </c>
      <c r="H177" s="50" t="n">
        <f aca="false">ROUND(G177*(1-요약!$C$5)*요약!$C$4,0)</f>
        <v>26135</v>
      </c>
      <c r="I177" s="48" t="s">
        <v>687</v>
      </c>
    </row>
    <row r="178" customFormat="false" ht="23.85" hidden="false" customHeight="false" outlineLevel="0" collapsed="false">
      <c r="A178" s="47" t="s">
        <v>41</v>
      </c>
      <c r="B178" s="53" t="n">
        <v>53</v>
      </c>
      <c r="C178" s="48" t="s">
        <v>688</v>
      </c>
      <c r="D178" s="55" t="n">
        <v>12</v>
      </c>
      <c r="E178" s="48" t="s">
        <v>79</v>
      </c>
      <c r="F178" s="52" t="n">
        <v>2.12</v>
      </c>
      <c r="G178" s="49" t="n">
        <f aca="false">D178*F178</f>
        <v>25.44</v>
      </c>
      <c r="H178" s="50" t="n">
        <f aca="false">ROUND(G178*(1-요약!$C$5)*요약!$C$4,0)</f>
        <v>30910</v>
      </c>
      <c r="I178" s="48" t="s">
        <v>689</v>
      </c>
    </row>
    <row r="179" customFormat="false" ht="23.85" hidden="false" customHeight="false" outlineLevel="0" collapsed="false">
      <c r="A179" s="29" t="s">
        <v>41</v>
      </c>
      <c r="B179" s="39" t="n">
        <v>54</v>
      </c>
      <c r="C179" s="20" t="s">
        <v>690</v>
      </c>
      <c r="D179" s="16" t="n">
        <v>10</v>
      </c>
      <c r="E179" s="20" t="s">
        <v>79</v>
      </c>
      <c r="F179" s="30" t="n">
        <v>23.45</v>
      </c>
      <c r="G179" s="31" t="n">
        <f aca="false">D179*F179</f>
        <v>234.5</v>
      </c>
      <c r="H179" s="18" t="n">
        <f aca="false">ROUND(G179*(1-요약!$C$5)*요약!$C$4,0)</f>
        <v>284918</v>
      </c>
      <c r="I179" s="16"/>
    </row>
    <row r="180" customFormat="false" ht="23.85" hidden="false" customHeight="false" outlineLevel="0" collapsed="false">
      <c r="A180" s="29" t="s">
        <v>41</v>
      </c>
      <c r="B180" s="39" t="n">
        <v>55</v>
      </c>
      <c r="C180" s="20" t="s">
        <v>691</v>
      </c>
      <c r="D180" s="16" t="n">
        <v>10</v>
      </c>
      <c r="E180" s="20" t="s">
        <v>79</v>
      </c>
      <c r="F180" s="30" t="n">
        <v>14.15</v>
      </c>
      <c r="G180" s="31" t="n">
        <f aca="false">D180*F180</f>
        <v>141.5</v>
      </c>
      <c r="H180" s="18" t="n">
        <f aca="false">ROUND(G180*(1-요약!$C$5)*요약!$C$4,0)</f>
        <v>171923</v>
      </c>
      <c r="I180" s="16"/>
    </row>
    <row r="181" customFormat="false" ht="23.85" hidden="false" customHeight="false" outlineLevel="0" collapsed="false">
      <c r="A181" s="47" t="s">
        <v>41</v>
      </c>
      <c r="B181" s="53" t="n">
        <v>56</v>
      </c>
      <c r="C181" s="48" t="s">
        <v>692</v>
      </c>
      <c r="D181" s="55" t="n">
        <v>10</v>
      </c>
      <c r="E181" s="48" t="s">
        <v>79</v>
      </c>
      <c r="F181" s="52" t="n">
        <v>19.02</v>
      </c>
      <c r="G181" s="49" t="n">
        <f aca="false">D181*F181</f>
        <v>190.2</v>
      </c>
      <c r="H181" s="50" t="n">
        <f aca="false">ROUND(G181*(1-요약!$C$5)*요약!$C$4,0)</f>
        <v>231093</v>
      </c>
      <c r="I181" s="48" t="s">
        <v>643</v>
      </c>
    </row>
    <row r="182" customFormat="false" ht="23.85" hidden="false" customHeight="false" outlineLevel="0" collapsed="false">
      <c r="A182" s="29" t="s">
        <v>41</v>
      </c>
      <c r="B182" s="39" t="n">
        <v>57</v>
      </c>
      <c r="C182" s="20" t="s">
        <v>693</v>
      </c>
      <c r="D182" s="16" t="n">
        <v>6</v>
      </c>
      <c r="E182" s="20" t="s">
        <v>79</v>
      </c>
      <c r="F182" s="30" t="n">
        <v>24.33</v>
      </c>
      <c r="G182" s="31" t="n">
        <f aca="false">D182*F182</f>
        <v>145.98</v>
      </c>
      <c r="H182" s="18" t="n">
        <f aca="false">ROUND(G182*(1-요약!$C$5)*요약!$C$4,0)</f>
        <v>177366</v>
      </c>
      <c r="I182" s="16"/>
    </row>
    <row r="183" customFormat="false" ht="23.85" hidden="false" customHeight="false" outlineLevel="0" collapsed="false">
      <c r="A183" s="47" t="s">
        <v>41</v>
      </c>
      <c r="B183" s="53" t="n">
        <v>58</v>
      </c>
      <c r="C183" s="48" t="s">
        <v>694</v>
      </c>
      <c r="D183" s="55" t="n">
        <v>8</v>
      </c>
      <c r="E183" s="48" t="s">
        <v>79</v>
      </c>
      <c r="F183" s="52" t="n">
        <v>23.45</v>
      </c>
      <c r="G183" s="49" t="n">
        <f aca="false">D183*F183</f>
        <v>187.6</v>
      </c>
      <c r="H183" s="50" t="n">
        <f aca="false">ROUND(G183*(1-요약!$C$5)*요약!$C$4,0)</f>
        <v>227934</v>
      </c>
      <c r="I183" s="48" t="s">
        <v>639</v>
      </c>
    </row>
    <row r="184" customFormat="false" ht="23.85" hidden="false" customHeight="false" outlineLevel="0" collapsed="false">
      <c r="A184" s="29" t="s">
        <v>41</v>
      </c>
      <c r="B184" s="39" t="n">
        <v>59</v>
      </c>
      <c r="C184" s="20" t="s">
        <v>695</v>
      </c>
      <c r="D184" s="16" t="n">
        <v>4</v>
      </c>
      <c r="E184" s="20" t="s">
        <v>79</v>
      </c>
      <c r="F184" s="30" t="n">
        <v>33.18</v>
      </c>
      <c r="G184" s="31" t="n">
        <f aca="false">D184*F184</f>
        <v>132.72</v>
      </c>
      <c r="H184" s="18" t="n">
        <f aca="false">ROUND(G184*(1-요약!$C$5)*요약!$C$4,0)</f>
        <v>161255</v>
      </c>
      <c r="I184" s="16"/>
    </row>
    <row r="185" customFormat="false" ht="23.85" hidden="false" customHeight="false" outlineLevel="0" collapsed="false">
      <c r="A185" s="47" t="s">
        <v>41</v>
      </c>
      <c r="B185" s="53" t="n">
        <v>60</v>
      </c>
      <c r="C185" s="48" t="s">
        <v>696</v>
      </c>
      <c r="D185" s="55" t="n">
        <v>4</v>
      </c>
      <c r="E185" s="48" t="s">
        <v>79</v>
      </c>
      <c r="F185" s="52" t="n">
        <v>4.42</v>
      </c>
      <c r="G185" s="49" t="n">
        <f aca="false">D185*F185</f>
        <v>17.68</v>
      </c>
      <c r="H185" s="50" t="n">
        <f aca="false">ROUND(G185*(1-요약!$C$5)*요약!$C$4,0)</f>
        <v>21481</v>
      </c>
      <c r="I185" s="48" t="s">
        <v>697</v>
      </c>
    </row>
    <row r="186" customFormat="false" ht="23.85" hidden="false" customHeight="false" outlineLevel="0" collapsed="false">
      <c r="A186" s="47" t="s">
        <v>41</v>
      </c>
      <c r="B186" s="53" t="n">
        <v>61</v>
      </c>
      <c r="C186" s="48" t="s">
        <v>698</v>
      </c>
      <c r="D186" s="55" t="n">
        <v>30</v>
      </c>
      <c r="E186" s="48" t="s">
        <v>79</v>
      </c>
      <c r="F186" s="52" t="n">
        <v>1.95</v>
      </c>
      <c r="G186" s="49" t="n">
        <f aca="false">D186*F186</f>
        <v>58.5</v>
      </c>
      <c r="H186" s="50" t="n">
        <f aca="false">ROUND(G186*(1-요약!$C$5)*요약!$C$4,0)</f>
        <v>71078</v>
      </c>
      <c r="I186" s="48" t="s">
        <v>699</v>
      </c>
    </row>
    <row r="187" customFormat="false" ht="23.85" hidden="false" customHeight="false" outlineLevel="0" collapsed="false">
      <c r="A187" s="29" t="s">
        <v>41</v>
      </c>
      <c r="B187" s="39" t="n">
        <v>62</v>
      </c>
      <c r="C187" s="20" t="s">
        <v>700</v>
      </c>
      <c r="D187" s="16" t="n">
        <v>12</v>
      </c>
      <c r="E187" s="20" t="s">
        <v>79</v>
      </c>
      <c r="F187" s="30" t="n">
        <v>2.48</v>
      </c>
      <c r="G187" s="31" t="n">
        <f aca="false">D187*F187</f>
        <v>29.76</v>
      </c>
      <c r="H187" s="18" t="n">
        <f aca="false">ROUND(G187*(1-요약!$C$5)*요약!$C$4,0)</f>
        <v>36158</v>
      </c>
      <c r="I187" s="16"/>
    </row>
    <row r="188" customFormat="false" ht="23.85" hidden="false" customHeight="false" outlineLevel="0" collapsed="false">
      <c r="A188" s="29" t="s">
        <v>41</v>
      </c>
      <c r="B188" s="39" t="n">
        <v>63</v>
      </c>
      <c r="C188" s="20" t="s">
        <v>701</v>
      </c>
      <c r="D188" s="16" t="n">
        <v>12</v>
      </c>
      <c r="E188" s="20" t="s">
        <v>79</v>
      </c>
      <c r="F188" s="30" t="n">
        <v>5.75</v>
      </c>
      <c r="G188" s="31" t="n">
        <f aca="false">D188*F188</f>
        <v>69</v>
      </c>
      <c r="H188" s="18" t="n">
        <f aca="false">ROUND(G188*(1-요약!$C$5)*요약!$C$4,0)</f>
        <v>83835</v>
      </c>
      <c r="I188" s="16"/>
    </row>
    <row r="189" customFormat="false" ht="23.85" hidden="false" customHeight="false" outlineLevel="0" collapsed="false">
      <c r="A189" s="47" t="s">
        <v>41</v>
      </c>
      <c r="B189" s="53" t="n">
        <v>64</v>
      </c>
      <c r="C189" s="48" t="s">
        <v>702</v>
      </c>
      <c r="D189" s="55" t="n">
        <v>4</v>
      </c>
      <c r="E189" s="48" t="s">
        <v>79</v>
      </c>
      <c r="F189" s="52" t="n">
        <v>61.04</v>
      </c>
      <c r="G189" s="49" t="n">
        <f aca="false">D189*F189</f>
        <v>244.16</v>
      </c>
      <c r="H189" s="50" t="n">
        <f aca="false">ROUND(G189*(1-요약!$C$5)*요약!$C$4,0)</f>
        <v>296654</v>
      </c>
      <c r="I189" s="48" t="s">
        <v>703</v>
      </c>
    </row>
    <row r="190" customFormat="false" ht="23.85" hidden="false" customHeight="false" outlineLevel="0" collapsed="false">
      <c r="A190" s="29" t="s">
        <v>41</v>
      </c>
      <c r="B190" s="39" t="n">
        <v>65</v>
      </c>
      <c r="C190" s="20" t="s">
        <v>704</v>
      </c>
      <c r="D190" s="16" t="n">
        <v>300</v>
      </c>
      <c r="E190" s="20" t="s">
        <v>324</v>
      </c>
      <c r="F190" s="30" t="n">
        <v>0.32</v>
      </c>
      <c r="G190" s="31" t="n">
        <f aca="false">D190*F190</f>
        <v>96</v>
      </c>
      <c r="H190" s="18" t="n">
        <f aca="false">ROUND(G190*(1-요약!$C$5)*요약!$C$4,0)</f>
        <v>116640</v>
      </c>
      <c r="I190" s="16"/>
    </row>
    <row r="191" customFormat="false" ht="23.85" hidden="false" customHeight="false" outlineLevel="0" collapsed="false">
      <c r="A191" s="29" t="s">
        <v>41</v>
      </c>
      <c r="B191" s="39" t="n">
        <v>66</v>
      </c>
      <c r="C191" s="20" t="s">
        <v>705</v>
      </c>
      <c r="D191" s="16" t="n">
        <v>120</v>
      </c>
      <c r="E191" s="20" t="s">
        <v>252</v>
      </c>
      <c r="F191" s="30" t="n">
        <v>1.24</v>
      </c>
      <c r="G191" s="31" t="n">
        <f aca="false">D191*F191</f>
        <v>148.8</v>
      </c>
      <c r="H191" s="18" t="n">
        <f aca="false">ROUND(G191*(1-요약!$C$5)*요약!$C$4,0)</f>
        <v>180792</v>
      </c>
      <c r="I191" s="16"/>
    </row>
    <row r="192" customFormat="false" ht="23.85" hidden="false" customHeight="false" outlineLevel="0" collapsed="false">
      <c r="A192" s="29" t="s">
        <v>41</v>
      </c>
      <c r="B192" s="39" t="n">
        <v>67</v>
      </c>
      <c r="C192" s="20" t="s">
        <v>706</v>
      </c>
      <c r="D192" s="16" t="n">
        <v>100</v>
      </c>
      <c r="E192" s="20" t="s">
        <v>630</v>
      </c>
      <c r="F192" s="30" t="n">
        <v>0.53</v>
      </c>
      <c r="G192" s="31" t="n">
        <f aca="false">D192*F192</f>
        <v>53</v>
      </c>
      <c r="H192" s="18" t="n">
        <f aca="false">ROUND(G192*(1-요약!$C$5)*요약!$C$4,0)</f>
        <v>64395</v>
      </c>
      <c r="I192" s="16"/>
    </row>
    <row r="193" customFormat="false" ht="23.85" hidden="false" customHeight="false" outlineLevel="0" collapsed="false">
      <c r="A193" s="47" t="s">
        <v>41</v>
      </c>
      <c r="B193" s="53" t="n">
        <v>68</v>
      </c>
      <c r="C193" s="48" t="s">
        <v>707</v>
      </c>
      <c r="D193" s="55" t="n">
        <v>60</v>
      </c>
      <c r="E193" s="48" t="s">
        <v>324</v>
      </c>
      <c r="F193" s="52" t="n">
        <v>1.68</v>
      </c>
      <c r="G193" s="49" t="n">
        <f aca="false">D193*F193</f>
        <v>100.8</v>
      </c>
      <c r="H193" s="50" t="n">
        <f aca="false">ROUND(G193*(1-요약!$C$5)*요약!$C$4,0)</f>
        <v>122472</v>
      </c>
      <c r="I193" s="48" t="s">
        <v>633</v>
      </c>
    </row>
    <row r="194" customFormat="false" ht="23.85" hidden="false" customHeight="false" outlineLevel="0" collapsed="false">
      <c r="A194" s="47" t="s">
        <v>41</v>
      </c>
      <c r="B194" s="53" t="n">
        <v>69</v>
      </c>
      <c r="C194" s="48" t="s">
        <v>708</v>
      </c>
      <c r="D194" s="55" t="n">
        <v>80</v>
      </c>
      <c r="E194" s="48" t="s">
        <v>324</v>
      </c>
      <c r="F194" s="52" t="n">
        <v>0.31</v>
      </c>
      <c r="G194" s="49" t="n">
        <f aca="false">D194*F194</f>
        <v>24.8</v>
      </c>
      <c r="H194" s="50" t="n">
        <f aca="false">ROUND(G194*(1-요약!$C$5)*요약!$C$4,0)</f>
        <v>30132</v>
      </c>
      <c r="I194" s="48" t="s">
        <v>633</v>
      </c>
    </row>
    <row r="195" customFormat="false" ht="23.85" hidden="false" customHeight="false" outlineLevel="0" collapsed="false">
      <c r="A195" s="29" t="s">
        <v>41</v>
      </c>
      <c r="B195" s="39" t="n">
        <v>70</v>
      </c>
      <c r="C195" s="20" t="s">
        <v>709</v>
      </c>
      <c r="D195" s="16" t="n">
        <v>100</v>
      </c>
      <c r="E195" s="20" t="s">
        <v>79</v>
      </c>
      <c r="F195" s="30" t="n">
        <v>0.62</v>
      </c>
      <c r="G195" s="31" t="n">
        <f aca="false">D195*F195</f>
        <v>62</v>
      </c>
      <c r="H195" s="18" t="n">
        <f aca="false">ROUND(G195*(1-요약!$C$5)*요약!$C$4,0)</f>
        <v>75330</v>
      </c>
      <c r="I195" s="16"/>
    </row>
    <row r="196" customFormat="false" ht="23.85" hidden="false" customHeight="false" outlineLevel="0" collapsed="false">
      <c r="A196" s="29" t="s">
        <v>41</v>
      </c>
      <c r="B196" s="39" t="n">
        <v>71</v>
      </c>
      <c r="C196" s="20" t="s">
        <v>710</v>
      </c>
      <c r="D196" s="16" t="n">
        <v>150</v>
      </c>
      <c r="E196" s="20" t="s">
        <v>79</v>
      </c>
      <c r="F196" s="30" t="n">
        <v>0.62</v>
      </c>
      <c r="G196" s="31" t="n">
        <f aca="false">D196*F196</f>
        <v>93</v>
      </c>
      <c r="H196" s="18" t="n">
        <f aca="false">ROUND(G196*(1-요약!$C$5)*요약!$C$4,0)</f>
        <v>112995</v>
      </c>
      <c r="I196" s="16"/>
    </row>
    <row r="197" customFormat="false" ht="23.85" hidden="false" customHeight="false" outlineLevel="0" collapsed="false">
      <c r="A197" s="47" t="s">
        <v>41</v>
      </c>
      <c r="B197" s="53" t="n">
        <v>72</v>
      </c>
      <c r="C197" s="48" t="s">
        <v>711</v>
      </c>
      <c r="D197" s="55" t="n">
        <v>60</v>
      </c>
      <c r="E197" s="48" t="s">
        <v>712</v>
      </c>
      <c r="F197" s="52" t="n">
        <v>1.77</v>
      </c>
      <c r="G197" s="49" t="n">
        <f aca="false">D197*F197</f>
        <v>106.2</v>
      </c>
      <c r="H197" s="50" t="n">
        <f aca="false">ROUND(G197*(1-요약!$C$5)*요약!$C$4,0)</f>
        <v>129033</v>
      </c>
      <c r="I197" s="48" t="s">
        <v>713</v>
      </c>
    </row>
    <row r="198" customFormat="false" ht="23.85" hidden="false" customHeight="false" outlineLevel="0" collapsed="false">
      <c r="A198" s="29" t="s">
        <v>41</v>
      </c>
      <c r="B198" s="39" t="n">
        <v>73</v>
      </c>
      <c r="C198" s="20" t="s">
        <v>714</v>
      </c>
      <c r="D198" s="16" t="n">
        <v>30</v>
      </c>
      <c r="E198" s="20" t="s">
        <v>252</v>
      </c>
      <c r="F198" s="30" t="n">
        <v>8.85</v>
      </c>
      <c r="G198" s="31" t="n">
        <f aca="false">D198*F198</f>
        <v>265.5</v>
      </c>
      <c r="H198" s="18" t="n">
        <f aca="false">ROUND(G198*(1-요약!$C$5)*요약!$C$4,0)</f>
        <v>322583</v>
      </c>
      <c r="I198" s="16"/>
    </row>
    <row r="199" customFormat="false" ht="23.85" hidden="false" customHeight="false" outlineLevel="0" collapsed="false">
      <c r="A199" s="29" t="s">
        <v>41</v>
      </c>
      <c r="B199" s="39" t="n">
        <v>74</v>
      </c>
      <c r="C199" s="20" t="s">
        <v>715</v>
      </c>
      <c r="D199" s="16" t="n">
        <v>30</v>
      </c>
      <c r="E199" s="20" t="s">
        <v>79</v>
      </c>
      <c r="F199" s="30" t="n">
        <v>0.88</v>
      </c>
      <c r="G199" s="31" t="n">
        <f aca="false">D199*F199</f>
        <v>26.4</v>
      </c>
      <c r="H199" s="18" t="n">
        <f aca="false">ROUND(G199*(1-요약!$C$5)*요약!$C$4,0)</f>
        <v>32076</v>
      </c>
      <c r="I199" s="16"/>
    </row>
    <row r="200" customFormat="false" ht="23.85" hidden="false" customHeight="false" outlineLevel="0" collapsed="false">
      <c r="A200" s="29" t="s">
        <v>41</v>
      </c>
      <c r="B200" s="39" t="n">
        <v>75</v>
      </c>
      <c r="C200" s="20" t="s">
        <v>716</v>
      </c>
      <c r="D200" s="16" t="n">
        <v>8</v>
      </c>
      <c r="E200" s="20" t="s">
        <v>79</v>
      </c>
      <c r="F200" s="30" t="n">
        <v>1.77</v>
      </c>
      <c r="G200" s="31" t="n">
        <f aca="false">D200*F200</f>
        <v>14.16</v>
      </c>
      <c r="H200" s="18" t="n">
        <f aca="false">ROUND(G200*(1-요약!$C$5)*요약!$C$4,0)</f>
        <v>17204</v>
      </c>
      <c r="I200" s="16"/>
    </row>
    <row r="201" customFormat="false" ht="23.85" hidden="false" customHeight="false" outlineLevel="0" collapsed="false">
      <c r="A201" s="29" t="s">
        <v>41</v>
      </c>
      <c r="B201" s="39" t="n">
        <v>76</v>
      </c>
      <c r="C201" s="20" t="s">
        <v>657</v>
      </c>
      <c r="D201" s="16" t="n">
        <v>8</v>
      </c>
      <c r="E201" s="20" t="s">
        <v>79</v>
      </c>
      <c r="F201" s="30" t="n">
        <v>2.04</v>
      </c>
      <c r="G201" s="31" t="n">
        <f aca="false">D201*F201</f>
        <v>16.32</v>
      </c>
      <c r="H201" s="18" t="n">
        <f aca="false">ROUND(G201*(1-요약!$C$5)*요약!$C$4,0)</f>
        <v>19829</v>
      </c>
      <c r="I201" s="16"/>
    </row>
    <row r="202" customFormat="false" ht="23.85" hidden="false" customHeight="false" outlineLevel="0" collapsed="false">
      <c r="A202" s="29" t="s">
        <v>41</v>
      </c>
      <c r="B202" s="39" t="n">
        <v>77</v>
      </c>
      <c r="C202" s="20" t="s">
        <v>658</v>
      </c>
      <c r="D202" s="16" t="n">
        <v>6</v>
      </c>
      <c r="E202" s="20" t="s">
        <v>659</v>
      </c>
      <c r="F202" s="30" t="n">
        <v>5.75</v>
      </c>
      <c r="G202" s="31" t="n">
        <f aca="false">D202*F202</f>
        <v>34.5</v>
      </c>
      <c r="H202" s="18" t="n">
        <f aca="false">ROUND(G202*(1-요약!$C$5)*요약!$C$4,0)</f>
        <v>41918</v>
      </c>
      <c r="I202" s="16"/>
    </row>
    <row r="203" customFormat="false" ht="23.85" hidden="false" customHeight="false" outlineLevel="0" collapsed="false">
      <c r="A203" s="29" t="s">
        <v>41</v>
      </c>
      <c r="B203" s="39" t="n">
        <v>78</v>
      </c>
      <c r="C203" s="20" t="s">
        <v>717</v>
      </c>
      <c r="D203" s="16" t="n">
        <v>15</v>
      </c>
      <c r="E203" s="20" t="s">
        <v>79</v>
      </c>
      <c r="F203" s="30" t="n">
        <v>1.15</v>
      </c>
      <c r="G203" s="31" t="n">
        <f aca="false">D203*F203</f>
        <v>17.25</v>
      </c>
      <c r="H203" s="18" t="n">
        <f aca="false">ROUND(G203*(1-요약!$C$5)*요약!$C$4,0)</f>
        <v>20959</v>
      </c>
      <c r="I203" s="16"/>
    </row>
    <row r="204" customFormat="false" ht="23.85" hidden="false" customHeight="false" outlineLevel="0" collapsed="false">
      <c r="A204" s="29" t="s">
        <v>41</v>
      </c>
      <c r="B204" s="39" t="n">
        <v>79</v>
      </c>
      <c r="C204" s="20" t="s">
        <v>718</v>
      </c>
      <c r="D204" s="16" t="n">
        <v>10</v>
      </c>
      <c r="E204" s="20" t="s">
        <v>79</v>
      </c>
      <c r="F204" s="30" t="n">
        <v>5.66</v>
      </c>
      <c r="G204" s="31" t="n">
        <f aca="false">D204*F204</f>
        <v>56.6</v>
      </c>
      <c r="H204" s="18" t="n">
        <f aca="false">ROUND(G204*(1-요약!$C$5)*요약!$C$4,0)</f>
        <v>68769</v>
      </c>
      <c r="I204" s="16"/>
    </row>
    <row r="205" customFormat="false" ht="23.85" hidden="false" customHeight="false" outlineLevel="0" collapsed="false">
      <c r="A205" s="29" t="s">
        <v>41</v>
      </c>
      <c r="B205" s="39" t="n">
        <v>80</v>
      </c>
      <c r="C205" s="20" t="s">
        <v>719</v>
      </c>
      <c r="D205" s="16" t="n">
        <v>20</v>
      </c>
      <c r="E205" s="20" t="s">
        <v>79</v>
      </c>
      <c r="F205" s="30" t="n">
        <v>26.54</v>
      </c>
      <c r="G205" s="31" t="n">
        <f aca="false">D205*F205</f>
        <v>530.8</v>
      </c>
      <c r="H205" s="18" t="n">
        <f aca="false">ROUND(G205*(1-요약!$C$5)*요약!$C$4,0)</f>
        <v>644922</v>
      </c>
      <c r="I205" s="16"/>
    </row>
    <row r="206" customFormat="false" ht="23.85" hidden="false" customHeight="false" outlineLevel="0" collapsed="false">
      <c r="A206" s="29" t="s">
        <v>41</v>
      </c>
      <c r="B206" s="39" t="n">
        <v>81</v>
      </c>
      <c r="C206" s="20" t="s">
        <v>720</v>
      </c>
      <c r="D206" s="16" t="n">
        <v>30</v>
      </c>
      <c r="E206" s="20" t="s">
        <v>79</v>
      </c>
      <c r="F206" s="30" t="n">
        <v>11.5</v>
      </c>
      <c r="G206" s="31" t="n">
        <f aca="false">D206*F206</f>
        <v>345</v>
      </c>
      <c r="H206" s="18" t="n">
        <f aca="false">ROUND(G206*(1-요약!$C$5)*요약!$C$4,0)</f>
        <v>419175</v>
      </c>
      <c r="I206" s="16"/>
    </row>
    <row r="207" customFormat="false" ht="23.85" hidden="false" customHeight="false" outlineLevel="0" collapsed="false">
      <c r="A207" s="29" t="s">
        <v>41</v>
      </c>
      <c r="B207" s="39" t="n">
        <v>82</v>
      </c>
      <c r="C207" s="20" t="s">
        <v>721</v>
      </c>
      <c r="D207" s="16" t="n">
        <v>2</v>
      </c>
      <c r="E207" s="20" t="s">
        <v>79</v>
      </c>
      <c r="F207" s="30" t="n">
        <v>495.38</v>
      </c>
      <c r="G207" s="31" t="n">
        <f aca="false">D207*F207</f>
        <v>990.76</v>
      </c>
      <c r="H207" s="18" t="n">
        <f aca="false">ROUND(G207*(1-요약!$C$5)*요약!$C$4,0)</f>
        <v>1203773</v>
      </c>
      <c r="I207" s="16"/>
    </row>
    <row r="208" customFormat="false" ht="23.85" hidden="false" customHeight="false" outlineLevel="0" collapsed="false">
      <c r="A208" s="29" t="s">
        <v>41</v>
      </c>
      <c r="B208" s="39" t="n">
        <v>83</v>
      </c>
      <c r="C208" s="20" t="s">
        <v>722</v>
      </c>
      <c r="D208" s="16" t="n">
        <v>48</v>
      </c>
      <c r="E208" s="20" t="s">
        <v>79</v>
      </c>
      <c r="F208" s="30" t="n">
        <v>12.83</v>
      </c>
      <c r="G208" s="31" t="n">
        <f aca="false">D208*F208</f>
        <v>615.84</v>
      </c>
      <c r="H208" s="18" t="n">
        <f aca="false">ROUND(G208*(1-요약!$C$5)*요약!$C$4,0)</f>
        <v>748246</v>
      </c>
      <c r="I208" s="16"/>
    </row>
    <row r="209" customFormat="false" ht="23.85" hidden="false" customHeight="false" outlineLevel="0" collapsed="false">
      <c r="A209" s="29" t="s">
        <v>41</v>
      </c>
      <c r="B209" s="39" t="n">
        <v>84</v>
      </c>
      <c r="C209" s="20" t="s">
        <v>723</v>
      </c>
      <c r="D209" s="16" t="n">
        <v>48</v>
      </c>
      <c r="E209" s="20" t="s">
        <v>79</v>
      </c>
      <c r="F209" s="30" t="n">
        <v>14.86</v>
      </c>
      <c r="G209" s="31" t="n">
        <f aca="false">D209*F209</f>
        <v>713.28</v>
      </c>
      <c r="H209" s="18" t="n">
        <f aca="false">ROUND(G209*(1-요약!$C$5)*요약!$C$4,0)</f>
        <v>866635</v>
      </c>
      <c r="I209" s="16"/>
    </row>
    <row r="210" customFormat="false" ht="23.85" hidden="false" customHeight="false" outlineLevel="0" collapsed="false">
      <c r="A210" s="29" t="s">
        <v>41</v>
      </c>
      <c r="B210" s="39" t="n">
        <v>85</v>
      </c>
      <c r="C210" s="20" t="s">
        <v>724</v>
      </c>
      <c r="D210" s="16" t="n">
        <v>48</v>
      </c>
      <c r="E210" s="20" t="s">
        <v>79</v>
      </c>
      <c r="F210" s="30" t="n">
        <v>9.29</v>
      </c>
      <c r="G210" s="31" t="n">
        <f aca="false">D210*F210</f>
        <v>445.92</v>
      </c>
      <c r="H210" s="18" t="n">
        <f aca="false">ROUND(G210*(1-요약!$C$5)*요약!$C$4,0)</f>
        <v>541793</v>
      </c>
      <c r="I210" s="16"/>
    </row>
    <row r="211" customFormat="false" ht="23.85" hidden="false" customHeight="false" outlineLevel="0" collapsed="false">
      <c r="A211" s="29" t="s">
        <v>41</v>
      </c>
      <c r="B211" s="39" t="n">
        <v>86</v>
      </c>
      <c r="C211" s="20" t="s">
        <v>725</v>
      </c>
      <c r="D211" s="16" t="n">
        <v>48</v>
      </c>
      <c r="E211" s="20" t="s">
        <v>79</v>
      </c>
      <c r="F211" s="30" t="n">
        <v>8.67</v>
      </c>
      <c r="G211" s="31" t="n">
        <f aca="false">D211*F211</f>
        <v>416.16</v>
      </c>
      <c r="H211" s="18" t="n">
        <f aca="false">ROUND(G211*(1-요약!$C$5)*요약!$C$4,0)</f>
        <v>505634</v>
      </c>
      <c r="I211" s="16"/>
    </row>
    <row r="212" customFormat="false" ht="23.85" hidden="false" customHeight="false" outlineLevel="0" collapsed="false">
      <c r="A212" s="47" t="s">
        <v>41</v>
      </c>
      <c r="B212" s="53" t="n">
        <v>87</v>
      </c>
      <c r="C212" s="48" t="s">
        <v>726</v>
      </c>
      <c r="D212" s="55" t="n">
        <v>48</v>
      </c>
      <c r="E212" s="48" t="s">
        <v>79</v>
      </c>
      <c r="F212" s="52" t="n">
        <v>8.94</v>
      </c>
      <c r="G212" s="49" t="n">
        <f aca="false">D212*F212</f>
        <v>429.12</v>
      </c>
      <c r="H212" s="50" t="n">
        <f aca="false">ROUND(G212*(1-요약!$C$5)*요약!$C$4,0)</f>
        <v>521381</v>
      </c>
      <c r="I212" s="48" t="s">
        <v>727</v>
      </c>
    </row>
    <row r="213" customFormat="false" ht="23.85" hidden="false" customHeight="false" outlineLevel="0" collapsed="false">
      <c r="A213" s="29" t="s">
        <v>41</v>
      </c>
      <c r="B213" s="39" t="n">
        <v>88</v>
      </c>
      <c r="C213" s="20" t="s">
        <v>728</v>
      </c>
      <c r="D213" s="16" t="n">
        <v>48</v>
      </c>
      <c r="E213" s="20" t="s">
        <v>79</v>
      </c>
      <c r="F213" s="30" t="n">
        <v>2.3</v>
      </c>
      <c r="G213" s="31" t="n">
        <f aca="false">D213*F213</f>
        <v>110.4</v>
      </c>
      <c r="H213" s="18" t="n">
        <f aca="false">ROUND(G213*(1-요약!$C$5)*요약!$C$4,0)</f>
        <v>134136</v>
      </c>
      <c r="I213" s="16"/>
    </row>
    <row r="214" customFormat="false" ht="23.85" hidden="false" customHeight="false" outlineLevel="0" collapsed="false">
      <c r="A214" s="29" t="s">
        <v>41</v>
      </c>
      <c r="B214" s="39" t="n">
        <v>89</v>
      </c>
      <c r="C214" s="20" t="s">
        <v>729</v>
      </c>
      <c r="D214" s="16" t="n">
        <v>48</v>
      </c>
      <c r="E214" s="20" t="s">
        <v>79</v>
      </c>
      <c r="F214" s="30" t="n">
        <v>3.72</v>
      </c>
      <c r="G214" s="31" t="n">
        <f aca="false">D214*F214</f>
        <v>178.56</v>
      </c>
      <c r="H214" s="18" t="n">
        <f aca="false">ROUND(G214*(1-요약!$C$5)*요약!$C$4,0)</f>
        <v>216950</v>
      </c>
      <c r="I214" s="16"/>
    </row>
    <row r="215" customFormat="false" ht="15" hidden="false" customHeight="true" outlineLevel="0" collapsed="false">
      <c r="A215" s="61" t="s">
        <v>524</v>
      </c>
      <c r="B215" s="61"/>
      <c r="C215" s="61"/>
      <c r="D215" s="61"/>
      <c r="E215" s="61"/>
      <c r="F215" s="61"/>
      <c r="G215" s="35" t="n">
        <f aca="false">SUM(G126:G214)</f>
        <v>12854.27</v>
      </c>
      <c r="H215" s="36" t="n">
        <f aca="false">SUM(H126:H214)</f>
        <v>15617941</v>
      </c>
      <c r="I215" s="33"/>
    </row>
  </sheetData>
  <mergeCells count="8">
    <mergeCell ref="A5:I5"/>
    <mergeCell ref="A22:F22"/>
    <mergeCell ref="A24:I24"/>
    <mergeCell ref="A108:F108"/>
    <mergeCell ref="A110:I110"/>
    <mergeCell ref="A123:F123"/>
    <mergeCell ref="A125:I125"/>
    <mergeCell ref="A215:F2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2026-10-15T01:11:07Z</dcterms:created>
  <dc:creator>openpyxl</dc:creator>
  <dc:description/>
  <dc:language>en-US</dc:language>
  <cp:lastModifiedBy/>
  <dcterms:modified xsi:type="dcterms:W3CDTF">2026-10-15T01:11:07Z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