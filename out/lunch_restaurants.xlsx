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전체" sheetId="1" state="visible" r:id="rId3"/>
    <sheet name="한식" sheetId="2" state="visible" r:id="rId4"/>
    <sheet name="고기·족발" sheetId="3" state="visible" r:id="rId5"/>
    <sheet name="국밥·면" sheetId="4" state="visible" r:id="rId6"/>
    <sheet name="중식" sheetId="5" state="visible" r:id="rId7"/>
    <sheet name="일식" sheetId="6" state="visible" r:id="rId8"/>
    <sheet name="양식·아시안" sheetId="7" state="visible" r:id="rId9"/>
  </sheets>
  <definedNames>
    <definedName function="false" hidden="true" localSheetId="0" name="_xlnm._FilterDatabase" vbProcedure="false">전체!$A$9:$K$69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<sst xmlns="http://schemas.openxmlformats.org/spreadsheetml/2006/main" count="248" uniqueCount="110">
  <si>
    <r>
      <rPr>
        <b val="true"/>
        <sz val="15"/>
        <rFont val="WenQuanYi Zen Hei"/>
        <family val="2"/>
      </rPr>
      <t xml:space="preserve">점심 식당 리스트 – 부산 중구 </t>
    </r>
    <r>
      <rPr>
        <b val="true"/>
        <sz val="15"/>
        <rFont val="Malgun Gothic"/>
        <family val="0"/>
        <charset val="1"/>
      </rPr>
      <t xml:space="preserve">(</t>
    </r>
    <r>
      <rPr>
        <b val="true"/>
        <sz val="15"/>
        <rFont val="WenQuanYi Zen Hei"/>
        <family val="2"/>
      </rPr>
      <t xml:space="preserve">네이버 지도 저장 폴더</t>
    </r>
    <r>
      <rPr>
        <b val="true"/>
        <sz val="15"/>
        <rFont val="Malgun Gothic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</si>
  <si>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네이버 지도 캡처 </t>
    </r>
    <r>
      <rPr>
        <i val="true"/>
        <sz val="9"/>
        <color rgb="FF595959"/>
        <rFont val="Malgun Gothic"/>
        <family val="0"/>
        <charset val="1"/>
      </rPr>
      <t xml:space="preserve">5</t>
    </r>
    <r>
      <rPr>
        <i val="true"/>
        <sz val="9"/>
        <color rgb="FF595959"/>
        <rFont val="WenQuanYi Zen Hei"/>
        <family val="2"/>
      </rPr>
      <t xml:space="preserve">장 기준 </t>
    </r>
    <r>
      <rPr>
        <i val="true"/>
        <sz val="9"/>
        <color rgb="FF595959"/>
        <rFont val="Malgun Gothic"/>
        <family val="0"/>
        <charset val="1"/>
      </rPr>
      <t xml:space="preserve">25</t>
    </r>
    <r>
      <rPr>
        <i val="true"/>
        <sz val="9"/>
        <color rgb="FF595959"/>
        <rFont val="WenQuanYi Zen Hei"/>
        <family val="2"/>
      </rPr>
      <t xml:space="preserve">곳 입력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폴더 총 </t>
    </r>
    <r>
      <rPr>
        <i val="true"/>
        <sz val="9"/>
        <color rgb="FF595959"/>
        <rFont val="Malgun Gothic"/>
        <family val="0"/>
        <charset val="1"/>
      </rPr>
      <t xml:space="preserve">31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Malgun Gothic"/>
        <family val="0"/>
        <charset val="1"/>
      </rPr>
      <t xml:space="preserve">6</t>
    </r>
    <r>
      <rPr>
        <i val="true"/>
        <sz val="9"/>
        <color rgb="FF595959"/>
        <rFont val="WenQuanYi Zen Hei"/>
        <family val="2"/>
      </rPr>
      <t xml:space="preserve">곳 미입력</t>
    </r>
    <r>
      <rPr>
        <i val="true"/>
        <sz val="9"/>
        <color rgb="FF595959"/>
        <rFont val="Malgun Gothic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맨 아래 빈 행에 추가하면 분류 시트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뽑기에 자동 반영됩니다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</si>
  <si>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직접 입력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분류는 드롭다운</t>
    </r>
    <r>
      <rPr>
        <i val="true"/>
        <sz val="9"/>
        <color rgb="FF595959"/>
        <rFont val="Malgun Gothic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영업상태는 캡처 시점 기준이라 방문 전 확인 필요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</si>
  <si>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t xml:space="preserve">분류 선택</t>
  </si>
  <si>
    <t xml:space="preserve">전체</t>
  </si>
  <si>
    <r>
      <rPr>
        <i val="true"/>
        <sz val="9"/>
        <color rgb="FF595959"/>
        <rFont val="WenQuanYi Zen Hei"/>
        <family val="2"/>
      </rPr>
      <t xml:space="preserve">← 고르고 </t>
    </r>
    <r>
      <rPr>
        <i val="true"/>
        <sz val="9"/>
        <color rgb="FF595959"/>
        <rFont val="Malgun Gothic"/>
        <family val="0"/>
        <charset val="1"/>
      </rPr>
      <t xml:space="preserve">F9 </t>
    </r>
    <r>
      <rPr>
        <i val="true"/>
        <sz val="9"/>
        <color rgb="FF595959"/>
        <rFont val="WenQuanYi Zen Hei"/>
        <family val="2"/>
      </rPr>
      <t xml:space="preserve">키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또는 아무 셀 수정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다시 뽑기</t>
    </r>
  </si>
  <si>
    <t xml:space="preserve">오늘의 점심</t>
  </si>
  <si>
    <t xml:space="preserve">행번호→</t>
  </si>
  <si>
    <r>
      <rPr>
        <sz val="8"/>
        <color rgb="FF7F7F7F"/>
        <rFont val="Malgun Gothic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뽑기 계산</t>
    </r>
    <r>
      <rPr>
        <sz val="8"/>
        <color rgb="FF7F7F7F"/>
        <rFont val="Malgun Gothic"/>
        <family val="0"/>
        <charset val="1"/>
      </rPr>
      <t xml:space="preserve">)</t>
    </r>
  </si>
  <si>
    <t xml:space="preserve">후보 수</t>
  </si>
  <si>
    <t xml:space="preserve">뽑힌 순번</t>
  </si>
  <si>
    <t xml:space="preserve">행</t>
  </si>
  <si>
    <t xml:space="preserve">No.</t>
  </si>
  <si>
    <t xml:space="preserve">분류</t>
  </si>
  <si>
    <t xml:space="preserve">식당명</t>
  </si>
  <si>
    <t xml:space="preserve">네이버 업종</t>
  </si>
  <si>
    <r>
      <rPr>
        <b val="true"/>
        <sz val="10"/>
        <color rgb="FFFFFFFF"/>
        <rFont val="WenQuanYi Zen Hei"/>
        <family val="2"/>
      </rPr>
      <t xml:space="preserve">영업상태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캡처 시점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</si>
  <si>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예약</t>
  </si>
  <si>
    <r>
      <rPr>
        <b val="true"/>
        <sz val="10"/>
        <color rgb="FFFFFFFF"/>
        <rFont val="WenQuanYi Zen Hei"/>
        <family val="2"/>
      </rPr>
      <t xml:space="preserve">주소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부산 중구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</si>
  <si>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층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호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건물</t>
    </r>
  </si>
  <si>
    <t xml:space="preserve">가본 횟수</t>
  </si>
  <si>
    <r>
      <rPr>
        <b val="true"/>
        <sz val="10"/>
        <color rgb="FFFFFFFF"/>
        <rFont val="WenQuanYi Zen Hei"/>
        <family val="2"/>
      </rPr>
      <t xml:space="preserve">내 평점
</t>
    </r>
    <r>
      <rPr>
        <b val="true"/>
        <sz val="10"/>
        <color rgb="FFFFFFFF"/>
        <rFont val="Malgun Gothic"/>
        <family val="0"/>
        <charset val="1"/>
      </rPr>
      <t xml:space="preserve">(1~5)</t>
    </r>
  </si>
  <si>
    <t xml:space="preserve">메모</t>
  </si>
  <si>
    <t xml:space="preserve">key</t>
  </si>
  <si>
    <t xml:space="preserve">중식</t>
  </si>
  <si>
    <t xml:space="preserve">편의방</t>
  </si>
  <si>
    <r>
      <rPr>
        <sz val="10"/>
        <color rgb="FF0000FF"/>
        <rFont val="WenQuanYi Zen Hei"/>
        <family val="2"/>
      </rPr>
      <t xml:space="preserve">딤섬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중식만두</t>
    </r>
  </si>
  <si>
    <t xml:space="preserve">영업 중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</si>
  <si>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30-5</t>
    </r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</si>
  <si>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</t>
    </r>
  </si>
  <si>
    <t xml:space="preserve">일식</t>
  </si>
  <si>
    <t xml:space="preserve">리틀훅라멘</t>
  </si>
  <si>
    <t xml:space="preserve">일본식라면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</si>
  <si>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17-1</t>
    </r>
  </si>
  <si>
    <t xml:space="preserve">성식당 중앙본점</t>
  </si>
  <si>
    <r>
      <rPr>
        <sz val="10"/>
        <color rgb="FF0000FF"/>
        <rFont val="WenQuanYi Zen Hei"/>
        <family val="2"/>
      </rPr>
      <t xml:space="preserve">초밥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</si>
  <si>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14-11</t>
    </r>
  </si>
  <si>
    <t xml:space="preserve">한식</t>
  </si>
  <si>
    <t xml:space="preserve">기와집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</si>
  <si>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19-2</t>
    </r>
  </si>
  <si>
    <r>
      <rPr>
        <sz val="10"/>
        <color rgb="FF0000FF"/>
        <rFont val="WenQuanYi Zen Hei"/>
        <family val="2"/>
      </rPr>
      <t xml:space="preserve">고기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족발</t>
    </r>
  </si>
  <si>
    <t xml:space="preserve">국제상인 짬뽕족발</t>
  </si>
  <si>
    <r>
      <rPr>
        <sz val="10"/>
        <color rgb="FF0000FF"/>
        <rFont val="WenQuanYi Zen Hei"/>
        <family val="2"/>
      </rPr>
      <t xml:space="preserve">족발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보쌈</t>
    </r>
  </si>
  <si>
    <t xml:space="preserve">브레이크타임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</si>
  <si>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29-8</t>
    </r>
  </si>
  <si>
    <r>
      <rPr>
        <sz val="10"/>
        <color rgb="FF0000FF"/>
        <rFont val="WenQuanYi Zen Hei"/>
        <family val="2"/>
      </rPr>
      <t xml:space="preserve">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면</t>
    </r>
  </si>
  <si>
    <r>
      <rPr>
        <b val="true"/>
        <sz val="10"/>
        <color rgb="FF0000FF"/>
        <rFont val="Malgun Gothic"/>
        <family val="0"/>
        <charset val="1"/>
      </rPr>
      <t xml:space="preserve">1969</t>
    </r>
    <r>
      <rPr>
        <b val="true"/>
        <sz val="10"/>
        <color rgb="FF0000FF"/>
        <rFont val="WenQuanYi Zen Hei"/>
        <family val="2"/>
      </rPr>
      <t xml:space="preserve">부원동칼국수 남포본점</t>
    </r>
  </si>
  <si>
    <r>
      <rPr>
        <sz val="10"/>
        <color rgb="FF0000FF"/>
        <rFont val="WenQuanYi Zen Hei"/>
        <family val="2"/>
      </rPr>
      <t xml:space="preserve">칼국수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만두</t>
    </r>
  </si>
  <si>
    <r>
      <rPr>
        <sz val="10"/>
        <color rgb="FF0000FF"/>
        <rFont val="WenQuanYi Zen Hei"/>
        <family val="2"/>
      </rPr>
      <t xml:space="preserve">남포동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36</t>
    </r>
  </si>
  <si>
    <t xml:space="preserve">청기와개미집</t>
  </si>
  <si>
    <t xml:space="preserve">정보 없음</t>
  </si>
  <si>
    <r>
      <rPr>
        <sz val="10"/>
        <color rgb="FF0000FF"/>
        <rFont val="WenQuanYi Zen Hei"/>
        <family val="2"/>
      </rPr>
      <t xml:space="preserve">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24-1</t>
    </r>
  </si>
  <si>
    <t xml:space="preserve">미니한식당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</si>
  <si>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33</t>
    </r>
  </si>
  <si>
    <t xml:space="preserve">재성밀면</t>
  </si>
  <si>
    <t xml:space="preserve">냉면</t>
  </si>
  <si>
    <r>
      <rPr>
        <sz val="10"/>
        <color rgb="FF0000FF"/>
        <rFont val="WenQuanYi Zen Hei"/>
        <family val="2"/>
      </rPr>
      <t xml:space="preserve">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17-2</t>
    </r>
  </si>
  <si>
    <t xml:space="preserve">중앙본가국밥</t>
  </si>
  <si>
    <t xml:space="preserve">국밥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</si>
  <si>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49-18</t>
    </r>
  </si>
  <si>
    <t xml:space="preserve">대나무집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</si>
  <si>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13-8</t>
    </r>
  </si>
  <si>
    <t xml:space="preserve">전주식당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</si>
  <si>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19-4</t>
    </r>
  </si>
  <si>
    <t xml:space="preserve">오봉집 중앙점</t>
  </si>
  <si>
    <t xml:space="preserve">O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</si>
  <si>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10-5</t>
    </r>
  </si>
  <si>
    <t xml:space="preserve">한양왕순대돼지국밥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</si>
  <si>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22-10</t>
    </r>
  </si>
  <si>
    <t xml:space="preserve">어스</t>
  </si>
  <si>
    <t xml:space="preserve">일식당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</si>
  <si>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14-9</t>
    </r>
  </si>
  <si>
    <t xml:space="preserve">중앙모밀</t>
  </si>
  <si>
    <t xml:space="preserve">국수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</si>
  <si>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27-2</t>
    </r>
  </si>
  <si>
    <t xml:space="preserve">복주걱 롯데광복점</t>
  </si>
  <si>
    <t xml:space="preserve">한식뷔페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</si>
  <si>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20-1</t>
    </r>
  </si>
  <si>
    <r>
      <rPr>
        <sz val="10"/>
        <color rgb="FF0000FF"/>
        <rFont val="WenQuanYi Zen Hei"/>
        <family val="2"/>
      </rPr>
      <t xml:space="preserve">롯데백화점 광복점 </t>
    </r>
    <r>
      <rPr>
        <sz val="10"/>
        <color rgb="FF0000FF"/>
        <rFont val="Malgun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층</t>
    </r>
  </si>
  <si>
    <t xml:space="preserve">류센소 롯데백화점 광복점</t>
  </si>
  <si>
    <r>
      <rPr>
        <sz val="10"/>
        <color rgb="FF0000FF"/>
        <rFont val="WenQuanYi Zen Hei"/>
        <family val="2"/>
      </rPr>
      <t xml:space="preserve">본관 지하 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</t>
    </r>
  </si>
  <si>
    <t xml:space="preserve">한식레스토랑 여름 부산본점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</si>
  <si>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3-2</t>
    </r>
  </si>
  <si>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201·202·203</t>
    </r>
    <r>
      <rPr>
        <sz val="10"/>
        <color rgb="FF0000FF"/>
        <rFont val="WenQuanYi Zen Hei"/>
        <family val="2"/>
      </rPr>
      <t xml:space="preserve">호</t>
    </r>
  </si>
  <si>
    <r>
      <rPr>
        <sz val="10"/>
        <color rgb="FF0000FF"/>
        <rFont val="WenQuanYi Zen Hei"/>
        <family val="2"/>
      </rPr>
      <t xml:space="preserve">양식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아시안</t>
    </r>
  </si>
  <si>
    <t xml:space="preserve">라이옥 롯데백화점 광복점</t>
  </si>
  <si>
    <t xml:space="preserve">베트남음식</t>
  </si>
  <si>
    <r>
      <rPr>
        <sz val="10"/>
        <color rgb="FF0000FF"/>
        <rFont val="Malgun Gothic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층</t>
    </r>
  </si>
  <si>
    <t xml:space="preserve">참숯생갈비</t>
  </si>
  <si>
    <r>
      <rPr>
        <sz val="10"/>
        <color rgb="FF0000FF"/>
        <rFont val="WenQuanYi Zen Hei"/>
        <family val="2"/>
      </rPr>
      <t xml:space="preserve">육류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고기요리</t>
    </r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</si>
  <si>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1-18</t>
    </r>
  </si>
  <si>
    <t xml:space="preserve">고품격한식뷔페</t>
  </si>
  <si>
    <t xml:space="preserve">영업 종료</t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</si>
  <si>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101</t>
    </r>
    <r>
      <rPr>
        <sz val="10"/>
        <color rgb="FF0000FF"/>
        <rFont val="WenQuanYi Zen Hei"/>
        <family val="2"/>
      </rPr>
      <t xml:space="preserve">호</t>
    </r>
  </si>
  <si>
    <t xml:space="preserve">동해반점</t>
  </si>
  <si>
    <t xml:space="preserve">중식당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</si>
  <si>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3-1</t>
    </r>
  </si>
  <si>
    <t xml:space="preserve">다복정</t>
  </si>
  <si>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10-3</t>
    </r>
  </si>
  <si>
    <t xml:space="preserve">섬진강재첩국</t>
  </si>
  <si>
    <r>
      <rPr>
        <sz val="10"/>
        <color rgb="FF0000FF"/>
        <rFont val="WenQuanYi Zen Hei"/>
        <family val="2"/>
      </rPr>
      <t xml:space="preserve">동광동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10-4</t>
    </r>
  </si>
  <si>
    <r>
      <rPr>
        <i val="true"/>
        <sz val="9"/>
        <color rgb="FF595959"/>
        <rFont val="Malgun Gothic"/>
        <family val="0"/>
        <charset val="1"/>
      </rPr>
      <t xml:space="preserve">※ "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Malgun Gothic"/>
        <family val="0"/>
        <charset val="1"/>
      </rPr>
      <t xml:space="preserve">" </t>
    </r>
    <r>
      <rPr>
        <i val="true"/>
        <sz val="9"/>
        <color rgb="FF595959"/>
        <rFont val="WenQuanYi Zen Hei"/>
        <family val="2"/>
      </rPr>
      <t xml:space="preserve">시트에서 분류를 지정하면 자동으로 채워집니다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 시트는 수식</t>
    </r>
    <r>
      <rPr>
        <i val="true"/>
        <sz val="9"/>
        <color rgb="FF595959"/>
        <rFont val="Malgun Gothic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직접 수정 </t>
    </r>
    <r>
      <rPr>
        <i val="true"/>
        <sz val="9"/>
        <color rgb="FF595959"/>
        <rFont val="Malgun Gothic"/>
        <family val="0"/>
        <charset val="1"/>
      </rPr>
      <t xml:space="preserve">X).</t>
    </r>
  </si>
  <si>
    <t xml:space="preserve">내 평점</t>
  </si>
  <si>
    <t xml:space="preserve">row</t>
  </si>
  <si>
    <r>
      <rPr>
        <b val="true"/>
        <sz val="15"/>
        <rFont val="WenQuanYi Zen Hei"/>
        <family val="2"/>
      </rPr>
      <t xml:space="preserve">고기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족발</t>
    </r>
  </si>
  <si>
    <r>
      <rPr>
        <sz val="8"/>
        <color rgb="FFA6A6A6"/>
        <rFont val="WenQuanYi Zen Hei"/>
        <family val="2"/>
      </rPr>
      <t xml:space="preserve">고기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족발</t>
    </r>
  </si>
  <si>
    <r>
      <rPr>
        <b val="true"/>
        <sz val="15"/>
        <rFont val="WenQuanYi Zen Hei"/>
        <family val="2"/>
      </rPr>
      <t xml:space="preserve">국밥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면</t>
    </r>
  </si>
  <si>
    <r>
      <rPr>
        <sz val="8"/>
        <color rgb="FFA6A6A6"/>
        <rFont val="WenQuanYi Zen Hei"/>
        <family val="2"/>
      </rPr>
      <t xml:space="preserve">국밥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면</t>
    </r>
  </si>
  <si>
    <r>
      <rPr>
        <b val="true"/>
        <sz val="15"/>
        <rFont val="WenQuanYi Zen Hei"/>
        <family val="2"/>
      </rPr>
      <t xml:space="preserve">양식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아시안</t>
    </r>
  </si>
  <si>
    <r>
      <rPr>
        <sz val="8"/>
        <color rgb="FFA6A6A6"/>
        <rFont val="WenQuanYi Zen Hei"/>
        <family val="2"/>
      </rPr>
      <t xml:space="preserve">양식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아시안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</si>
</sst>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WenQuanYi Zen Hei"/>
      <family val="2"/>
    </font>
    <font>
      <b val="true"/>
      <sz val="15"/>
      <name val="Malgun Gothic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Malgun Gothic"/>
      <family val="0"/>
      <charset val="1"/>
    </font>
    <font>
      <b val="true"/>
      <sz val="1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13"/>
      <color rgb="FFC00000"/>
      <name val="WenQuanYi Zen Hei"/>
      <family val="2"/>
    </font>
    <font>
      <sz val="10"/>
      <name val="WenQuanYi Zen Hei"/>
      <family val="2"/>
    </font>
    <font>
      <sz val="8"/>
      <color rgb="FF7F7F7F"/>
      <name val="WenQuanYi Zen Hei"/>
      <family val="2"/>
    </font>
    <font>
      <sz val="8"/>
      <color rgb="FF7F7F7F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name val="Malgun Gothic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Malgun Gothic"/>
      <family val="0"/>
      <charset val="1"/>
    </font>
    <font>
      <sz val="8"/>
      <color rgb="FFA6A6A6"/>
      <name val="WenQuanYi Zen Hei"/>
      <family val="2"/>
    </font>
    <font>
      <b val="true"/>
      <sz val="10"/>
      <color rgb="FF0000FF"/>
      <name val="Malgun Gothic"/>
      <family val="0"/>
      <charset val="1"/>
    </font>
    <font>
      <b val="true"/>
      <sz val="10"/>
      <name val="Malgun Gothic"/>
      <family val="0"/>
      <charset val="1"/>
    </font>
    <font>
      <b val="true"/>
      <sz val="11"/>
      <color rgb="FF595959"/>
      <name val="Malgun Gothic"/>
      <family val="0"/>
      <charset val="1"/>
    </font>
    <font>
      <sz val="8"/>
      <color rgb="FFA6A6A6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FE0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AD1F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AD1F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E0"/>
      <rgbColor rgb="FFDDEBF7"/>
      <rgbColor rgb="FF660066"/>
      <rgbColor rgb="FFFF8080"/>
      <rgbColor rgb="FF0066CC"/>
      <rgbColor rgb="FFEAD1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99CCFF"/>
      <rgbColor rgb="FFFCE4D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L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20"/>
    <col collapsed="false" customWidth="true" hidden="false" outlineLevel="0" max="8" min="8" style="0" width="24"/>
    <col collapsed="false" customWidth="true" hidden="false" outlineLevel="0" max="10" min="9" style="0" width="9"/>
    <col collapsed="false" customWidth="true" hidden="false" outlineLevel="0" max="11" min="11" style="0" width="30"/>
    <col collapsed="false" customWidth="true" hidden="false" outlineLevel="0" max="12" min="12" style="0" width="1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3" t="s">
        <v>3</v>
      </c>
      <c r="C4" s="4" t="s">
        <v>4</v>
      </c>
      <c r="D4" s="2" t="s">
        <v>5</v>
      </c>
    </row>
    <row r="5" customFormat="false" ht="30" hidden="false" customHeight="true" outlineLevel="0" collapsed="false">
      <c r="B5" s="3" t="s">
        <v>6</v>
      </c>
      <c r="C5" s="5" t="str">
        <f aca="false">IF($J$5="","후보 없음",INDEX($C$10:$C$69,$J$5))</f>
        <v>참숯생갈비</v>
      </c>
      <c r="D5" s="5"/>
      <c r="E5" s="5"/>
      <c r="F5" s="6" t="str">
        <f aca="false">IF($J$5="","",INDEX($D$10:$D$69,$J$5)&amp;" · "&amp;INDEX($G$10:$G$69,$J$5)&amp;" "&amp;INDEX($H$10:$H$69,$J$5))</f>
        <v>육류,고기요리 · 중앙동5가 1-18 </v>
      </c>
      <c r="G5" s="6"/>
      <c r="H5" s="6"/>
      <c r="I5" s="7" t="s">
        <v>7</v>
      </c>
      <c r="J5" s="7" t="n">
        <f aca="false">IF($E$6=0,"",IF($C$4="전체",$H$6,MATCH($C$4&amp;"|"&amp;$H$6,$L$10:$L$69,0)))</f>
        <v>21</v>
      </c>
    </row>
    <row r="6" customFormat="false" ht="15" hidden="false" customHeight="false" outlineLevel="0" collapsed="false">
      <c r="B6" s="8" t="s">
        <v>8</v>
      </c>
      <c r="C6" s="7" t="s">
        <v>9</v>
      </c>
      <c r="E6" s="7" t="n">
        <f aca="false">IF($C$4="전체",COUNTA($C$10:$C$69),COUNTIF($B$10:$B$69,$C$4))</f>
        <v>25</v>
      </c>
      <c r="G6" s="7" t="s">
        <v>10</v>
      </c>
      <c r="H6" s="7" t="n">
        <f aca="false">IF($E$6=0,"",RANDBETWEEN(1,$E$6))</f>
        <v>21</v>
      </c>
      <c r="I6" s="7" t="s">
        <v>11</v>
      </c>
    </row>
    <row r="9" customFormat="false" ht="38.8" hidden="false" customHeight="false" outlineLevel="0" collapsed="false">
      <c r="A9" s="9" t="s">
        <v>12</v>
      </c>
      <c r="B9" s="10" t="s">
        <v>13</v>
      </c>
      <c r="C9" s="10" t="s">
        <v>14</v>
      </c>
      <c r="D9" s="10" t="s">
        <v>15</v>
      </c>
      <c r="E9" s="10" t="s">
        <v>16</v>
      </c>
      <c r="F9" s="10" t="s">
        <v>17</v>
      </c>
      <c r="G9" s="10" t="s">
        <v>18</v>
      </c>
      <c r="H9" s="10" t="s">
        <v>19</v>
      </c>
      <c r="I9" s="10" t="s">
        <v>20</v>
      </c>
      <c r="J9" s="10" t="s">
        <v>21</v>
      </c>
      <c r="K9" s="10" t="s">
        <v>22</v>
      </c>
      <c r="L9" s="9" t="s">
        <v>23</v>
      </c>
    </row>
    <row r="10" customFormat="false" ht="15" hidden="false" customHeight="false" outlineLevel="0" collapsed="false">
      <c r="A10" s="11" t="n">
        <f aca="false">IF(C10="","",ROW()-9)</f>
        <v>1</v>
      </c>
      <c r="B10" s="12" t="s">
        <v>24</v>
      </c>
      <c r="C10" s="13" t="s">
        <v>25</v>
      </c>
      <c r="D10" s="14" t="s">
        <v>26</v>
      </c>
      <c r="E10" s="12" t="s">
        <v>27</v>
      </c>
      <c r="F10" s="15"/>
      <c r="G10" s="14" t="s">
        <v>28</v>
      </c>
      <c r="H10" s="16" t="s">
        <v>29</v>
      </c>
      <c r="I10" s="17"/>
      <c r="J10" s="17"/>
      <c r="K10" s="18"/>
      <c r="L10" s="19" t="str">
        <f aca="false">IF(OR(B10="",C10=""),"",B10&amp;"|"&amp;COUNTIF($B$10:B10,B10))</f>
        <v>중식|1</v>
      </c>
    </row>
    <row r="11" customFormat="false" ht="15" hidden="false" customHeight="false" outlineLevel="0" collapsed="false">
      <c r="A11" s="11" t="n">
        <f aca="false">IF(C11="","",ROW()-9)</f>
        <v>2</v>
      </c>
      <c r="B11" s="12" t="s">
        <v>30</v>
      </c>
      <c r="C11" s="13" t="s">
        <v>31</v>
      </c>
      <c r="D11" s="14" t="s">
        <v>32</v>
      </c>
      <c r="E11" s="12" t="s">
        <v>27</v>
      </c>
      <c r="F11" s="15"/>
      <c r="G11" s="14" t="s">
        <v>33</v>
      </c>
      <c r="H11" s="16" t="s">
        <v>29</v>
      </c>
      <c r="I11" s="17"/>
      <c r="J11" s="17"/>
      <c r="K11" s="18"/>
      <c r="L11" s="19" t="str">
        <f aca="false">IF(OR(B11="",C11=""),"",B11&amp;"|"&amp;COUNTIF($B$10:B11,B11))</f>
        <v>일식|1</v>
      </c>
    </row>
    <row r="12" customFormat="false" ht="15" hidden="false" customHeight="false" outlineLevel="0" collapsed="false">
      <c r="A12" s="11" t="n">
        <f aca="false">IF(C12="","",ROW()-9)</f>
        <v>3</v>
      </c>
      <c r="B12" s="12" t="s">
        <v>30</v>
      </c>
      <c r="C12" s="13" t="s">
        <v>34</v>
      </c>
      <c r="D12" s="14" t="s">
        <v>35</v>
      </c>
      <c r="E12" s="12" t="s">
        <v>27</v>
      </c>
      <c r="F12" s="15"/>
      <c r="G12" s="14" t="s">
        <v>36</v>
      </c>
      <c r="H12" s="16" t="s">
        <v>29</v>
      </c>
      <c r="I12" s="17"/>
      <c r="J12" s="17"/>
      <c r="K12" s="18"/>
      <c r="L12" s="19" t="str">
        <f aca="false">IF(OR(B12="",C12=""),"",B12&amp;"|"&amp;COUNTIF($B$10:B12,B12))</f>
        <v>일식|2</v>
      </c>
    </row>
    <row r="13" customFormat="false" ht="15" hidden="false" customHeight="false" outlineLevel="0" collapsed="false">
      <c r="A13" s="11" t="n">
        <f aca="false">IF(C13="","",ROW()-9)</f>
        <v>4</v>
      </c>
      <c r="B13" s="12" t="s">
        <v>37</v>
      </c>
      <c r="C13" s="13" t="s">
        <v>38</v>
      </c>
      <c r="D13" s="14" t="s">
        <v>37</v>
      </c>
      <c r="E13" s="12" t="s">
        <v>27</v>
      </c>
      <c r="F13" s="15"/>
      <c r="G13" s="14" t="s">
        <v>39</v>
      </c>
      <c r="H13" s="16" t="s">
        <v>29</v>
      </c>
      <c r="I13" s="17"/>
      <c r="J13" s="17"/>
      <c r="K13" s="18"/>
      <c r="L13" s="19" t="str">
        <f aca="false">IF(OR(B13="",C13=""),"",B13&amp;"|"&amp;COUNTIF($B$10:B13,B13))</f>
        <v>한식|1</v>
      </c>
    </row>
    <row r="14" customFormat="false" ht="15" hidden="false" customHeight="false" outlineLevel="0" collapsed="false">
      <c r="A14" s="11" t="n">
        <f aca="false">IF(C14="","",ROW()-9)</f>
        <v>5</v>
      </c>
      <c r="B14" s="12" t="s">
        <v>40</v>
      </c>
      <c r="C14" s="13" t="s">
        <v>41</v>
      </c>
      <c r="D14" s="14" t="s">
        <v>42</v>
      </c>
      <c r="E14" s="12" t="s">
        <v>43</v>
      </c>
      <c r="F14" s="15"/>
      <c r="G14" s="14" t="s">
        <v>44</v>
      </c>
      <c r="H14" s="14"/>
      <c r="I14" s="17"/>
      <c r="J14" s="17"/>
      <c r="K14" s="18"/>
      <c r="L14" s="19" t="str">
        <f aca="false">IF(OR(B14="",C14=""),"",B14&amp;"|"&amp;COUNTIF($B$10:B14,B14))</f>
        <v>고기·족발|1</v>
      </c>
    </row>
    <row r="15" customFormat="false" ht="15" hidden="false" customHeight="false" outlineLevel="0" collapsed="false">
      <c r="A15" s="11" t="n">
        <f aca="false">IF(C15="","",ROW()-9)</f>
        <v>6</v>
      </c>
      <c r="B15" s="12" t="s">
        <v>45</v>
      </c>
      <c r="C15" s="20" t="s">
        <v>46</v>
      </c>
      <c r="D15" s="14" t="s">
        <v>47</v>
      </c>
      <c r="E15" s="12" t="s">
        <v>27</v>
      </c>
      <c r="F15" s="15"/>
      <c r="G15" s="14" t="s">
        <v>48</v>
      </c>
      <c r="H15" s="16" t="s">
        <v>29</v>
      </c>
      <c r="I15" s="17"/>
      <c r="J15" s="17"/>
      <c r="K15" s="18"/>
      <c r="L15" s="19" t="str">
        <f aca="false">IF(OR(B15="",C15=""),"",B15&amp;"|"&amp;COUNTIF($B$10:B15,B15))</f>
        <v>국밥·면|1</v>
      </c>
    </row>
    <row r="16" customFormat="false" ht="15" hidden="false" customHeight="false" outlineLevel="0" collapsed="false">
      <c r="A16" s="11" t="n">
        <f aca="false">IF(C16="","",ROW()-9)</f>
        <v>7</v>
      </c>
      <c r="B16" s="12" t="s">
        <v>37</v>
      </c>
      <c r="C16" s="13" t="s">
        <v>49</v>
      </c>
      <c r="D16" s="14" t="s">
        <v>37</v>
      </c>
      <c r="E16" s="12" t="s">
        <v>50</v>
      </c>
      <c r="F16" s="15"/>
      <c r="G16" s="14" t="s">
        <v>51</v>
      </c>
      <c r="H16" s="14"/>
      <c r="I16" s="17"/>
      <c r="J16" s="17"/>
      <c r="K16" s="18"/>
      <c r="L16" s="19" t="str">
        <f aca="false">IF(OR(B16="",C16=""),"",B16&amp;"|"&amp;COUNTIF($B$10:B16,B16))</f>
        <v>한식|2</v>
      </c>
    </row>
    <row r="17" customFormat="false" ht="15" hidden="false" customHeight="false" outlineLevel="0" collapsed="false">
      <c r="A17" s="11" t="n">
        <f aca="false">IF(C17="","",ROW()-9)</f>
        <v>8</v>
      </c>
      <c r="B17" s="12" t="s">
        <v>37</v>
      </c>
      <c r="C17" s="13" t="s">
        <v>52</v>
      </c>
      <c r="D17" s="14" t="s">
        <v>37</v>
      </c>
      <c r="E17" s="12" t="s">
        <v>50</v>
      </c>
      <c r="F17" s="15"/>
      <c r="G17" s="14" t="s">
        <v>53</v>
      </c>
      <c r="H17" s="14"/>
      <c r="I17" s="17"/>
      <c r="J17" s="17"/>
      <c r="K17" s="18"/>
      <c r="L17" s="19" t="str">
        <f aca="false">IF(OR(B17="",C17=""),"",B17&amp;"|"&amp;COUNTIF($B$10:B17,B17))</f>
        <v>한식|3</v>
      </c>
    </row>
    <row r="18" customFormat="false" ht="15" hidden="false" customHeight="false" outlineLevel="0" collapsed="false">
      <c r="A18" s="11" t="n">
        <f aca="false">IF(C18="","",ROW()-9)</f>
        <v>9</v>
      </c>
      <c r="B18" s="12" t="s">
        <v>45</v>
      </c>
      <c r="C18" s="13" t="s">
        <v>54</v>
      </c>
      <c r="D18" s="14" t="s">
        <v>55</v>
      </c>
      <c r="E18" s="12" t="s">
        <v>27</v>
      </c>
      <c r="F18" s="15"/>
      <c r="G18" s="14" t="s">
        <v>56</v>
      </c>
      <c r="H18" s="14"/>
      <c r="I18" s="17"/>
      <c r="J18" s="17"/>
      <c r="K18" s="18"/>
      <c r="L18" s="19" t="str">
        <f aca="false">IF(OR(B18="",C18=""),"",B18&amp;"|"&amp;COUNTIF($B$10:B18,B18))</f>
        <v>국밥·면|2</v>
      </c>
    </row>
    <row r="19" customFormat="false" ht="15" hidden="false" customHeight="false" outlineLevel="0" collapsed="false">
      <c r="A19" s="11" t="n">
        <f aca="false">IF(C19="","",ROW()-9)</f>
        <v>10</v>
      </c>
      <c r="B19" s="12" t="s">
        <v>45</v>
      </c>
      <c r="C19" s="13" t="s">
        <v>57</v>
      </c>
      <c r="D19" s="14" t="s">
        <v>58</v>
      </c>
      <c r="E19" s="12" t="s">
        <v>27</v>
      </c>
      <c r="F19" s="15"/>
      <c r="G19" s="14" t="s">
        <v>59</v>
      </c>
      <c r="H19" s="16" t="s">
        <v>29</v>
      </c>
      <c r="I19" s="17"/>
      <c r="J19" s="17"/>
      <c r="K19" s="18"/>
      <c r="L19" s="19" t="str">
        <f aca="false">IF(OR(B19="",C19=""),"",B19&amp;"|"&amp;COUNTIF($B$10:B19,B19))</f>
        <v>국밥·면|3</v>
      </c>
    </row>
    <row r="20" customFormat="false" ht="15" hidden="false" customHeight="false" outlineLevel="0" collapsed="false">
      <c r="A20" s="11" t="n">
        <f aca="false">IF(C20="","",ROW()-9)</f>
        <v>11</v>
      </c>
      <c r="B20" s="12" t="s">
        <v>37</v>
      </c>
      <c r="C20" s="13" t="s">
        <v>60</v>
      </c>
      <c r="D20" s="14" t="s">
        <v>37</v>
      </c>
      <c r="E20" s="12" t="s">
        <v>27</v>
      </c>
      <c r="F20" s="15"/>
      <c r="G20" s="14" t="s">
        <v>61</v>
      </c>
      <c r="H20" s="14"/>
      <c r="I20" s="17"/>
      <c r="J20" s="17"/>
      <c r="K20" s="18"/>
      <c r="L20" s="19" t="str">
        <f aca="false">IF(OR(B20="",C20=""),"",B20&amp;"|"&amp;COUNTIF($B$10:B20,B20))</f>
        <v>한식|4</v>
      </c>
    </row>
    <row r="21" customFormat="false" ht="15" hidden="false" customHeight="false" outlineLevel="0" collapsed="false">
      <c r="A21" s="11" t="n">
        <f aca="false">IF(C21="","",ROW()-9)</f>
        <v>12</v>
      </c>
      <c r="B21" s="12" t="s">
        <v>37</v>
      </c>
      <c r="C21" s="13" t="s">
        <v>62</v>
      </c>
      <c r="D21" s="14" t="s">
        <v>37</v>
      </c>
      <c r="E21" s="12" t="s">
        <v>27</v>
      </c>
      <c r="F21" s="15"/>
      <c r="G21" s="14" t="s">
        <v>63</v>
      </c>
      <c r="H21" s="14"/>
      <c r="I21" s="17"/>
      <c r="J21" s="17"/>
      <c r="K21" s="18"/>
      <c r="L21" s="19" t="str">
        <f aca="false">IF(OR(B21="",C21=""),"",B21&amp;"|"&amp;COUNTIF($B$10:B21,B21))</f>
        <v>한식|5</v>
      </c>
    </row>
    <row r="22" customFormat="false" ht="15" hidden="false" customHeight="false" outlineLevel="0" collapsed="false">
      <c r="A22" s="11" t="n">
        <f aca="false">IF(C22="","",ROW()-9)</f>
        <v>13</v>
      </c>
      <c r="B22" s="12" t="s">
        <v>37</v>
      </c>
      <c r="C22" s="13" t="s">
        <v>64</v>
      </c>
      <c r="D22" s="14" t="s">
        <v>37</v>
      </c>
      <c r="E22" s="12" t="s">
        <v>27</v>
      </c>
      <c r="F22" s="15" t="s">
        <v>65</v>
      </c>
      <c r="G22" s="14" t="s">
        <v>66</v>
      </c>
      <c r="H22" s="16" t="s">
        <v>29</v>
      </c>
      <c r="I22" s="17"/>
      <c r="J22" s="17"/>
      <c r="K22" s="18"/>
      <c r="L22" s="19" t="str">
        <f aca="false">IF(OR(B22="",C22=""),"",B22&amp;"|"&amp;COUNTIF($B$10:B22,B22))</f>
        <v>한식|6</v>
      </c>
    </row>
    <row r="23" customFormat="false" ht="15" hidden="false" customHeight="false" outlineLevel="0" collapsed="false">
      <c r="A23" s="11" t="n">
        <f aca="false">IF(C23="","",ROW()-9)</f>
        <v>14</v>
      </c>
      <c r="B23" s="12" t="s">
        <v>45</v>
      </c>
      <c r="C23" s="13" t="s">
        <v>67</v>
      </c>
      <c r="D23" s="14" t="s">
        <v>58</v>
      </c>
      <c r="E23" s="12" t="s">
        <v>50</v>
      </c>
      <c r="F23" s="15"/>
      <c r="G23" s="14" t="s">
        <v>68</v>
      </c>
      <c r="H23" s="14"/>
      <c r="I23" s="17"/>
      <c r="J23" s="17"/>
      <c r="K23" s="18"/>
      <c r="L23" s="19" t="str">
        <f aca="false">IF(OR(B23="",C23=""),"",B23&amp;"|"&amp;COUNTIF($B$10:B23,B23))</f>
        <v>국밥·면|4</v>
      </c>
    </row>
    <row r="24" customFormat="false" ht="15" hidden="false" customHeight="false" outlineLevel="0" collapsed="false">
      <c r="A24" s="11" t="n">
        <f aca="false">IF(C24="","",ROW()-9)</f>
        <v>15</v>
      </c>
      <c r="B24" s="12" t="s">
        <v>30</v>
      </c>
      <c r="C24" s="13" t="s">
        <v>69</v>
      </c>
      <c r="D24" s="14" t="s">
        <v>70</v>
      </c>
      <c r="E24" s="12" t="s">
        <v>27</v>
      </c>
      <c r="F24" s="15"/>
      <c r="G24" s="14" t="s">
        <v>71</v>
      </c>
      <c r="H24" s="16" t="s">
        <v>29</v>
      </c>
      <c r="I24" s="17"/>
      <c r="J24" s="17"/>
      <c r="K24" s="18"/>
      <c r="L24" s="19" t="str">
        <f aca="false">IF(OR(B24="",C24=""),"",B24&amp;"|"&amp;COUNTIF($B$10:B24,B24))</f>
        <v>일식|3</v>
      </c>
    </row>
    <row r="25" customFormat="false" ht="15" hidden="false" customHeight="false" outlineLevel="0" collapsed="false">
      <c r="A25" s="11" t="n">
        <f aca="false">IF(C25="","",ROW()-9)</f>
        <v>16</v>
      </c>
      <c r="B25" s="12" t="s">
        <v>45</v>
      </c>
      <c r="C25" s="13" t="s">
        <v>72</v>
      </c>
      <c r="D25" s="14" t="s">
        <v>73</v>
      </c>
      <c r="E25" s="12" t="s">
        <v>27</v>
      </c>
      <c r="F25" s="15"/>
      <c r="G25" s="14" t="s">
        <v>74</v>
      </c>
      <c r="H25" s="14"/>
      <c r="I25" s="17"/>
      <c r="J25" s="17"/>
      <c r="K25" s="18"/>
      <c r="L25" s="19" t="str">
        <f aca="false">IF(OR(B25="",C25=""),"",B25&amp;"|"&amp;COUNTIF($B$10:B25,B25))</f>
        <v>국밥·면|5</v>
      </c>
    </row>
    <row r="26" customFormat="false" ht="15" hidden="false" customHeight="false" outlineLevel="0" collapsed="false">
      <c r="A26" s="11" t="n">
        <f aca="false">IF(C26="","",ROW()-9)</f>
        <v>17</v>
      </c>
      <c r="B26" s="12" t="s">
        <v>37</v>
      </c>
      <c r="C26" s="13" t="s">
        <v>75</v>
      </c>
      <c r="D26" s="14" t="s">
        <v>76</v>
      </c>
      <c r="E26" s="12" t="s">
        <v>27</v>
      </c>
      <c r="F26" s="15"/>
      <c r="G26" s="14" t="s">
        <v>77</v>
      </c>
      <c r="H26" s="14" t="s">
        <v>78</v>
      </c>
      <c r="I26" s="17"/>
      <c r="J26" s="17"/>
      <c r="K26" s="18"/>
      <c r="L26" s="19" t="str">
        <f aca="false">IF(OR(B26="",C26=""),"",B26&amp;"|"&amp;COUNTIF($B$10:B26,B26))</f>
        <v>한식|7</v>
      </c>
    </row>
    <row r="27" customFormat="false" ht="15" hidden="false" customHeight="false" outlineLevel="0" collapsed="false">
      <c r="A27" s="11" t="n">
        <f aca="false">IF(C27="","",ROW()-9)</f>
        <v>18</v>
      </c>
      <c r="B27" s="12" t="s">
        <v>30</v>
      </c>
      <c r="C27" s="13" t="s">
        <v>79</v>
      </c>
      <c r="D27" s="14" t="s">
        <v>70</v>
      </c>
      <c r="E27" s="12" t="s">
        <v>27</v>
      </c>
      <c r="F27" s="15"/>
      <c r="G27" s="14" t="s">
        <v>77</v>
      </c>
      <c r="H27" s="14" t="s">
        <v>80</v>
      </c>
      <c r="I27" s="17"/>
      <c r="J27" s="17"/>
      <c r="K27" s="18"/>
      <c r="L27" s="19" t="str">
        <f aca="false">IF(OR(B27="",C27=""),"",B27&amp;"|"&amp;COUNTIF($B$10:B27,B27))</f>
        <v>일식|4</v>
      </c>
    </row>
    <row r="28" customFormat="false" ht="15" hidden="false" customHeight="false" outlineLevel="0" collapsed="false">
      <c r="A28" s="11" t="n">
        <f aca="false">IF(C28="","",ROW()-9)</f>
        <v>19</v>
      </c>
      <c r="B28" s="12" t="s">
        <v>37</v>
      </c>
      <c r="C28" s="13" t="s">
        <v>81</v>
      </c>
      <c r="D28" s="14" t="s">
        <v>37</v>
      </c>
      <c r="E28" s="12" t="s">
        <v>27</v>
      </c>
      <c r="F28" s="15" t="s">
        <v>65</v>
      </c>
      <c r="G28" s="14" t="s">
        <v>82</v>
      </c>
      <c r="H28" s="16" t="s">
        <v>83</v>
      </c>
      <c r="I28" s="17"/>
      <c r="J28" s="17"/>
      <c r="K28" s="18"/>
      <c r="L28" s="19" t="str">
        <f aca="false">IF(OR(B28="",C28=""),"",B28&amp;"|"&amp;COUNTIF($B$10:B28,B28))</f>
        <v>한식|8</v>
      </c>
    </row>
    <row r="29" customFormat="false" ht="15" hidden="false" customHeight="false" outlineLevel="0" collapsed="false">
      <c r="A29" s="11" t="n">
        <f aca="false">IF(C29="","",ROW()-9)</f>
        <v>20</v>
      </c>
      <c r="B29" s="12" t="s">
        <v>84</v>
      </c>
      <c r="C29" s="13" t="s">
        <v>85</v>
      </c>
      <c r="D29" s="14" t="s">
        <v>86</v>
      </c>
      <c r="E29" s="12" t="s">
        <v>27</v>
      </c>
      <c r="F29" s="15"/>
      <c r="G29" s="14" t="s">
        <v>77</v>
      </c>
      <c r="H29" s="16" t="s">
        <v>87</v>
      </c>
      <c r="I29" s="17"/>
      <c r="J29" s="17"/>
      <c r="K29" s="18"/>
      <c r="L29" s="19" t="str">
        <f aca="false">IF(OR(B29="",C29=""),"",B29&amp;"|"&amp;COUNTIF($B$10:B29,B29))</f>
        <v>양식·아시안|1</v>
      </c>
    </row>
    <row r="30" customFormat="false" ht="15" hidden="false" customHeight="false" outlineLevel="0" collapsed="false">
      <c r="A30" s="11" t="n">
        <f aca="false">IF(C30="","",ROW()-9)</f>
        <v>21</v>
      </c>
      <c r="B30" s="12" t="s">
        <v>40</v>
      </c>
      <c r="C30" s="13" t="s">
        <v>88</v>
      </c>
      <c r="D30" s="14" t="s">
        <v>89</v>
      </c>
      <c r="E30" s="12" t="s">
        <v>27</v>
      </c>
      <c r="F30" s="15"/>
      <c r="G30" s="14" t="s">
        <v>90</v>
      </c>
      <c r="H30" s="14"/>
      <c r="I30" s="17"/>
      <c r="J30" s="17"/>
      <c r="K30" s="18"/>
      <c r="L30" s="19" t="str">
        <f aca="false">IF(OR(B30="",C30=""),"",B30&amp;"|"&amp;COUNTIF($B$10:B30,B30))</f>
        <v>고기·족발|2</v>
      </c>
    </row>
    <row r="31" customFormat="false" ht="15" hidden="false" customHeight="false" outlineLevel="0" collapsed="false">
      <c r="A31" s="11" t="n">
        <f aca="false">IF(C31="","",ROW()-9)</f>
        <v>22</v>
      </c>
      <c r="B31" s="12" t="s">
        <v>37</v>
      </c>
      <c r="C31" s="13" t="s">
        <v>91</v>
      </c>
      <c r="D31" s="14" t="s">
        <v>37</v>
      </c>
      <c r="E31" s="12" t="s">
        <v>92</v>
      </c>
      <c r="F31" s="15"/>
      <c r="G31" s="14" t="s">
        <v>82</v>
      </c>
      <c r="H31" s="16" t="s">
        <v>93</v>
      </c>
      <c r="I31" s="17"/>
      <c r="J31" s="17"/>
      <c r="K31" s="18"/>
      <c r="L31" s="19" t="str">
        <f aca="false">IF(OR(B31="",C31=""),"",B31&amp;"|"&amp;COUNTIF($B$10:B31,B31))</f>
        <v>한식|9</v>
      </c>
    </row>
    <row r="32" customFormat="false" ht="15" hidden="false" customHeight="false" outlineLevel="0" collapsed="false">
      <c r="A32" s="11" t="n">
        <f aca="false">IF(C32="","",ROW()-9)</f>
        <v>23</v>
      </c>
      <c r="B32" s="12" t="s">
        <v>24</v>
      </c>
      <c r="C32" s="13" t="s">
        <v>94</v>
      </c>
      <c r="D32" s="14" t="s">
        <v>95</v>
      </c>
      <c r="E32" s="12" t="s">
        <v>50</v>
      </c>
      <c r="F32" s="15"/>
      <c r="G32" s="14" t="s">
        <v>96</v>
      </c>
      <c r="H32" s="14"/>
      <c r="I32" s="17"/>
      <c r="J32" s="17"/>
      <c r="K32" s="18"/>
      <c r="L32" s="19" t="str">
        <f aca="false">IF(OR(B32="",C32=""),"",B32&amp;"|"&amp;COUNTIF($B$10:B32,B32))</f>
        <v>중식|2</v>
      </c>
    </row>
    <row r="33" customFormat="false" ht="15" hidden="false" customHeight="false" outlineLevel="0" collapsed="false">
      <c r="A33" s="11" t="n">
        <f aca="false">IF(C33="","",ROW()-9)</f>
        <v>24</v>
      </c>
      <c r="B33" s="12" t="s">
        <v>37</v>
      </c>
      <c r="C33" s="13" t="s">
        <v>97</v>
      </c>
      <c r="D33" s="14" t="s">
        <v>37</v>
      </c>
      <c r="E33" s="12" t="s">
        <v>50</v>
      </c>
      <c r="F33" s="15"/>
      <c r="G33" s="14" t="s">
        <v>98</v>
      </c>
      <c r="H33" s="14"/>
      <c r="I33" s="17"/>
      <c r="J33" s="17"/>
      <c r="K33" s="18"/>
      <c r="L33" s="19" t="str">
        <f aca="false">IF(OR(B33="",C33=""),"",B33&amp;"|"&amp;COUNTIF($B$10:B33,B33))</f>
        <v>한식|10</v>
      </c>
    </row>
    <row r="34" customFormat="false" ht="15" hidden="false" customHeight="false" outlineLevel="0" collapsed="false">
      <c r="A34" s="11" t="n">
        <f aca="false">IF(C34="","",ROW()-9)</f>
        <v>25</v>
      </c>
      <c r="B34" s="12" t="s">
        <v>37</v>
      </c>
      <c r="C34" s="13" t="s">
        <v>99</v>
      </c>
      <c r="D34" s="14" t="s">
        <v>37</v>
      </c>
      <c r="E34" s="12" t="s">
        <v>92</v>
      </c>
      <c r="F34" s="15"/>
      <c r="G34" s="14" t="s">
        <v>100</v>
      </c>
      <c r="H34" s="14"/>
      <c r="I34" s="17"/>
      <c r="J34" s="17"/>
      <c r="K34" s="18"/>
      <c r="L34" s="19" t="str">
        <f aca="false">IF(OR(B34="",C34=""),"",B34&amp;"|"&amp;COUNTIF($B$10:B34,B34))</f>
        <v>한식|11</v>
      </c>
    </row>
    <row r="35" customFormat="false" ht="15" hidden="false" customHeight="false" outlineLevel="0" collapsed="false">
      <c r="A35" s="11" t="str">
        <f aca="false">IF(C35="","",ROW()-9)</f>
        <v/>
      </c>
      <c r="B35" s="17"/>
      <c r="C35" s="21"/>
      <c r="D35" s="18"/>
      <c r="E35" s="17"/>
      <c r="F35" s="17"/>
      <c r="G35" s="18"/>
      <c r="H35" s="18"/>
      <c r="I35" s="17"/>
      <c r="J35" s="17"/>
      <c r="K35" s="18"/>
      <c r="L35" s="19" t="str">
        <f aca="false">IF(OR(B35="",C35=""),"",B35&amp;"|"&amp;COUNTIF($B$10:B35,B35))</f>
        <v/>
      </c>
    </row>
    <row r="36" customFormat="false" ht="15" hidden="false" customHeight="false" outlineLevel="0" collapsed="false">
      <c r="A36" s="11" t="str">
        <f aca="false">IF(C36="","",ROW()-9)</f>
        <v/>
      </c>
      <c r="B36" s="17"/>
      <c r="C36" s="21"/>
      <c r="D36" s="18"/>
      <c r="E36" s="17"/>
      <c r="F36" s="17"/>
      <c r="G36" s="18"/>
      <c r="H36" s="18"/>
      <c r="I36" s="17"/>
      <c r="J36" s="17"/>
      <c r="K36" s="18"/>
      <c r="L36" s="19" t="str">
        <f aca="false">IF(OR(B36="",C36=""),"",B36&amp;"|"&amp;COUNTIF($B$10:B36,B36))</f>
        <v/>
      </c>
    </row>
    <row r="37" customFormat="false" ht="15" hidden="false" customHeight="false" outlineLevel="0" collapsed="false">
      <c r="A37" s="11" t="str">
        <f aca="false">IF(C37="","",ROW()-9)</f>
        <v/>
      </c>
      <c r="B37" s="17"/>
      <c r="C37" s="21"/>
      <c r="D37" s="18"/>
      <c r="E37" s="17"/>
      <c r="F37" s="17"/>
      <c r="G37" s="18"/>
      <c r="H37" s="18"/>
      <c r="I37" s="17"/>
      <c r="J37" s="17"/>
      <c r="K37" s="18"/>
      <c r="L37" s="19" t="str">
        <f aca="false">IF(OR(B37="",C37=""),"",B37&amp;"|"&amp;COUNTIF($B$10:B37,B37))</f>
        <v/>
      </c>
    </row>
    <row r="38" customFormat="false" ht="15" hidden="false" customHeight="false" outlineLevel="0" collapsed="false">
      <c r="A38" s="11" t="str">
        <f aca="false">IF(C38="","",ROW()-9)</f>
        <v/>
      </c>
      <c r="B38" s="17"/>
      <c r="C38" s="21"/>
      <c r="D38" s="18"/>
      <c r="E38" s="17"/>
      <c r="F38" s="17"/>
      <c r="G38" s="18"/>
      <c r="H38" s="18"/>
      <c r="I38" s="17"/>
      <c r="J38" s="17"/>
      <c r="K38" s="18"/>
      <c r="L38" s="19" t="str">
        <f aca="false">IF(OR(B38="",C38=""),"",B38&amp;"|"&amp;COUNTIF($B$10:B38,B38))</f>
        <v/>
      </c>
    </row>
    <row r="39" customFormat="false" ht="15" hidden="false" customHeight="false" outlineLevel="0" collapsed="false">
      <c r="A39" s="11" t="str">
        <f aca="false">IF(C39="","",ROW()-9)</f>
        <v/>
      </c>
      <c r="B39" s="17"/>
      <c r="C39" s="21"/>
      <c r="D39" s="18"/>
      <c r="E39" s="17"/>
      <c r="F39" s="17"/>
      <c r="G39" s="18"/>
      <c r="H39" s="18"/>
      <c r="I39" s="17"/>
      <c r="J39" s="17"/>
      <c r="K39" s="18"/>
      <c r="L39" s="19" t="str">
        <f aca="false">IF(OR(B39="",C39=""),"",B39&amp;"|"&amp;COUNTIF($B$10:B39,B39))</f>
        <v/>
      </c>
    </row>
    <row r="40" customFormat="false" ht="15" hidden="false" customHeight="false" outlineLevel="0" collapsed="false">
      <c r="A40" s="11" t="str">
        <f aca="false">IF(C40="","",ROW()-9)</f>
        <v/>
      </c>
      <c r="B40" s="17"/>
      <c r="C40" s="21"/>
      <c r="D40" s="18"/>
      <c r="E40" s="17"/>
      <c r="F40" s="17"/>
      <c r="G40" s="18"/>
      <c r="H40" s="18"/>
      <c r="I40" s="17"/>
      <c r="J40" s="17"/>
      <c r="K40" s="18"/>
      <c r="L40" s="19" t="str">
        <f aca="false">IF(OR(B40="",C40=""),"",B40&amp;"|"&amp;COUNTIF($B$10:B40,B40))</f>
        <v/>
      </c>
    </row>
    <row r="41" customFormat="false" ht="15" hidden="false" customHeight="false" outlineLevel="0" collapsed="false">
      <c r="A41" s="11" t="str">
        <f aca="false">IF(C41="","",ROW()-9)</f>
        <v/>
      </c>
      <c r="B41" s="17"/>
      <c r="C41" s="21"/>
      <c r="D41" s="18"/>
      <c r="E41" s="17"/>
      <c r="F41" s="17"/>
      <c r="G41" s="18"/>
      <c r="H41" s="18"/>
      <c r="I41" s="17"/>
      <c r="J41" s="17"/>
      <c r="K41" s="18"/>
      <c r="L41" s="19" t="str">
        <f aca="false">IF(OR(B41="",C41=""),"",B41&amp;"|"&amp;COUNTIF($B$10:B41,B41))</f>
        <v/>
      </c>
    </row>
    <row r="42" customFormat="false" ht="15" hidden="false" customHeight="false" outlineLevel="0" collapsed="false">
      <c r="A42" s="11" t="str">
        <f aca="false">IF(C42="","",ROW()-9)</f>
        <v/>
      </c>
      <c r="B42" s="17"/>
      <c r="C42" s="21"/>
      <c r="D42" s="18"/>
      <c r="E42" s="17"/>
      <c r="F42" s="17"/>
      <c r="G42" s="18"/>
      <c r="H42" s="18"/>
      <c r="I42" s="17"/>
      <c r="J42" s="17"/>
      <c r="K42" s="18"/>
      <c r="L42" s="19" t="str">
        <f aca="false">IF(OR(B42="",C42=""),"",B42&amp;"|"&amp;COUNTIF($B$10:B42,B42))</f>
        <v/>
      </c>
    </row>
    <row r="43" customFormat="false" ht="15" hidden="false" customHeight="false" outlineLevel="0" collapsed="false">
      <c r="A43" s="11" t="str">
        <f aca="false">IF(C43="","",ROW()-9)</f>
        <v/>
      </c>
      <c r="B43" s="17"/>
      <c r="C43" s="21"/>
      <c r="D43" s="18"/>
      <c r="E43" s="17"/>
      <c r="F43" s="17"/>
      <c r="G43" s="18"/>
      <c r="H43" s="18"/>
      <c r="I43" s="17"/>
      <c r="J43" s="17"/>
      <c r="K43" s="18"/>
      <c r="L43" s="19" t="str">
        <f aca="false">IF(OR(B43="",C43=""),"",B43&amp;"|"&amp;COUNTIF($B$10:B43,B43))</f>
        <v/>
      </c>
    </row>
    <row r="44" customFormat="false" ht="15" hidden="false" customHeight="false" outlineLevel="0" collapsed="false">
      <c r="A44" s="11" t="str">
        <f aca="false">IF(C44="","",ROW()-9)</f>
        <v/>
      </c>
      <c r="B44" s="17"/>
      <c r="C44" s="21"/>
      <c r="D44" s="18"/>
      <c r="E44" s="17"/>
      <c r="F44" s="17"/>
      <c r="G44" s="18"/>
      <c r="H44" s="18"/>
      <c r="I44" s="17"/>
      <c r="J44" s="17"/>
      <c r="K44" s="18"/>
      <c r="L44" s="19" t="str">
        <f aca="false">IF(OR(B44="",C44=""),"",B44&amp;"|"&amp;COUNTIF($B$10:B44,B44))</f>
        <v/>
      </c>
    </row>
    <row r="45" customFormat="false" ht="15" hidden="false" customHeight="false" outlineLevel="0" collapsed="false">
      <c r="A45" s="11" t="str">
        <f aca="false">IF(C45="","",ROW()-9)</f>
        <v/>
      </c>
      <c r="B45" s="17"/>
      <c r="C45" s="21"/>
      <c r="D45" s="18"/>
      <c r="E45" s="17"/>
      <c r="F45" s="17"/>
      <c r="G45" s="18"/>
      <c r="H45" s="18"/>
      <c r="I45" s="17"/>
      <c r="J45" s="17"/>
      <c r="K45" s="18"/>
      <c r="L45" s="19" t="str">
        <f aca="false">IF(OR(B45="",C45=""),"",B45&amp;"|"&amp;COUNTIF($B$10:B45,B45))</f>
        <v/>
      </c>
    </row>
    <row r="46" customFormat="false" ht="15" hidden="false" customHeight="false" outlineLevel="0" collapsed="false">
      <c r="A46" s="11" t="str">
        <f aca="false">IF(C46="","",ROW()-9)</f>
        <v/>
      </c>
      <c r="B46" s="17"/>
      <c r="C46" s="21"/>
      <c r="D46" s="18"/>
      <c r="E46" s="17"/>
      <c r="F46" s="17"/>
      <c r="G46" s="18"/>
      <c r="H46" s="18"/>
      <c r="I46" s="17"/>
      <c r="J46" s="17"/>
      <c r="K46" s="18"/>
      <c r="L46" s="19" t="str">
        <f aca="false">IF(OR(B46="",C46=""),"",B46&amp;"|"&amp;COUNTIF($B$10:B46,B46))</f>
        <v/>
      </c>
    </row>
    <row r="47" customFormat="false" ht="15" hidden="false" customHeight="false" outlineLevel="0" collapsed="false">
      <c r="A47" s="11" t="str">
        <f aca="false">IF(C47="","",ROW()-9)</f>
        <v/>
      </c>
      <c r="B47" s="17"/>
      <c r="C47" s="21"/>
      <c r="D47" s="18"/>
      <c r="E47" s="17"/>
      <c r="F47" s="17"/>
      <c r="G47" s="18"/>
      <c r="H47" s="18"/>
      <c r="I47" s="17"/>
      <c r="J47" s="17"/>
      <c r="K47" s="18"/>
      <c r="L47" s="19" t="str">
        <f aca="false">IF(OR(B47="",C47=""),"",B47&amp;"|"&amp;COUNTIF($B$10:B47,B47))</f>
        <v/>
      </c>
    </row>
    <row r="48" customFormat="false" ht="15" hidden="false" customHeight="false" outlineLevel="0" collapsed="false">
      <c r="A48" s="11" t="str">
        <f aca="false">IF(C48="","",ROW()-9)</f>
        <v/>
      </c>
      <c r="B48" s="17"/>
      <c r="C48" s="21"/>
      <c r="D48" s="18"/>
      <c r="E48" s="17"/>
      <c r="F48" s="17"/>
      <c r="G48" s="18"/>
      <c r="H48" s="18"/>
      <c r="I48" s="17"/>
      <c r="J48" s="17"/>
      <c r="K48" s="18"/>
      <c r="L48" s="19" t="str">
        <f aca="false">IF(OR(B48="",C48=""),"",B48&amp;"|"&amp;COUNTIF($B$10:B48,B48))</f>
        <v/>
      </c>
    </row>
    <row r="49" customFormat="false" ht="15" hidden="false" customHeight="false" outlineLevel="0" collapsed="false">
      <c r="A49" s="11" t="str">
        <f aca="false">IF(C49="","",ROW()-9)</f>
        <v/>
      </c>
      <c r="B49" s="17"/>
      <c r="C49" s="21"/>
      <c r="D49" s="18"/>
      <c r="E49" s="17"/>
      <c r="F49" s="17"/>
      <c r="G49" s="18"/>
      <c r="H49" s="18"/>
      <c r="I49" s="17"/>
      <c r="J49" s="17"/>
      <c r="K49" s="18"/>
      <c r="L49" s="19" t="str">
        <f aca="false">IF(OR(B49="",C49=""),"",B49&amp;"|"&amp;COUNTIF($B$10:B49,B49))</f>
        <v/>
      </c>
    </row>
    <row r="50" customFormat="false" ht="15" hidden="false" customHeight="false" outlineLevel="0" collapsed="false">
      <c r="A50" s="11" t="str">
        <f aca="false">IF(C50="","",ROW()-9)</f>
        <v/>
      </c>
      <c r="B50" s="17"/>
      <c r="C50" s="21"/>
      <c r="D50" s="18"/>
      <c r="E50" s="17"/>
      <c r="F50" s="17"/>
      <c r="G50" s="18"/>
      <c r="H50" s="18"/>
      <c r="I50" s="17"/>
      <c r="J50" s="17"/>
      <c r="K50" s="18"/>
      <c r="L50" s="19" t="str">
        <f aca="false">IF(OR(B50="",C50=""),"",B50&amp;"|"&amp;COUNTIF($B$10:B50,B50))</f>
        <v/>
      </c>
    </row>
    <row r="51" customFormat="false" ht="15" hidden="false" customHeight="false" outlineLevel="0" collapsed="false">
      <c r="A51" s="11" t="str">
        <f aca="false">IF(C51="","",ROW()-9)</f>
        <v/>
      </c>
      <c r="B51" s="17"/>
      <c r="C51" s="21"/>
      <c r="D51" s="18"/>
      <c r="E51" s="17"/>
      <c r="F51" s="17"/>
      <c r="G51" s="18"/>
      <c r="H51" s="18"/>
      <c r="I51" s="17"/>
      <c r="J51" s="17"/>
      <c r="K51" s="18"/>
      <c r="L51" s="19" t="str">
        <f aca="false">IF(OR(B51="",C51=""),"",B51&amp;"|"&amp;COUNTIF($B$10:B51,B51))</f>
        <v/>
      </c>
    </row>
    <row r="52" customFormat="false" ht="15" hidden="false" customHeight="false" outlineLevel="0" collapsed="false">
      <c r="A52" s="11" t="str">
        <f aca="false">IF(C52="","",ROW()-9)</f>
        <v/>
      </c>
      <c r="B52" s="17"/>
      <c r="C52" s="21"/>
      <c r="D52" s="18"/>
      <c r="E52" s="17"/>
      <c r="F52" s="17"/>
      <c r="G52" s="18"/>
      <c r="H52" s="18"/>
      <c r="I52" s="17"/>
      <c r="J52" s="17"/>
      <c r="K52" s="18"/>
      <c r="L52" s="19" t="str">
        <f aca="false">IF(OR(B52="",C52=""),"",B52&amp;"|"&amp;COUNTIF($B$10:B52,B52))</f>
        <v/>
      </c>
    </row>
    <row r="53" customFormat="false" ht="15" hidden="false" customHeight="false" outlineLevel="0" collapsed="false">
      <c r="A53" s="11" t="str">
        <f aca="false">IF(C53="","",ROW()-9)</f>
        <v/>
      </c>
      <c r="B53" s="17"/>
      <c r="C53" s="21"/>
      <c r="D53" s="18"/>
      <c r="E53" s="17"/>
      <c r="F53" s="17"/>
      <c r="G53" s="18"/>
      <c r="H53" s="18"/>
      <c r="I53" s="17"/>
      <c r="J53" s="17"/>
      <c r="K53" s="18"/>
      <c r="L53" s="19" t="str">
        <f aca="false">IF(OR(B53="",C53=""),"",B53&amp;"|"&amp;COUNTIF($B$10:B53,B53))</f>
        <v/>
      </c>
    </row>
    <row r="54" customFormat="false" ht="15" hidden="false" customHeight="false" outlineLevel="0" collapsed="false">
      <c r="A54" s="11" t="str">
        <f aca="false">IF(C54="","",ROW()-9)</f>
        <v/>
      </c>
      <c r="B54" s="17"/>
      <c r="C54" s="21"/>
      <c r="D54" s="18"/>
      <c r="E54" s="17"/>
      <c r="F54" s="17"/>
      <c r="G54" s="18"/>
      <c r="H54" s="18"/>
      <c r="I54" s="17"/>
      <c r="J54" s="17"/>
      <c r="K54" s="18"/>
      <c r="L54" s="19" t="str">
        <f aca="false">IF(OR(B54="",C54=""),"",B54&amp;"|"&amp;COUNTIF($B$10:B54,B54))</f>
        <v/>
      </c>
    </row>
    <row r="55" customFormat="false" ht="15" hidden="false" customHeight="false" outlineLevel="0" collapsed="false">
      <c r="A55" s="11" t="str">
        <f aca="false">IF(C55="","",ROW()-9)</f>
        <v/>
      </c>
      <c r="B55" s="17"/>
      <c r="C55" s="21"/>
      <c r="D55" s="18"/>
      <c r="E55" s="17"/>
      <c r="F55" s="17"/>
      <c r="G55" s="18"/>
      <c r="H55" s="18"/>
      <c r="I55" s="17"/>
      <c r="J55" s="17"/>
      <c r="K55" s="18"/>
      <c r="L55" s="19" t="str">
        <f aca="false">IF(OR(B55="",C55=""),"",B55&amp;"|"&amp;COUNTIF($B$10:B55,B55))</f>
        <v/>
      </c>
    </row>
    <row r="56" customFormat="false" ht="15" hidden="false" customHeight="false" outlineLevel="0" collapsed="false">
      <c r="A56" s="11" t="str">
        <f aca="false">IF(C56="","",ROW()-9)</f>
        <v/>
      </c>
      <c r="B56" s="17"/>
      <c r="C56" s="21"/>
      <c r="D56" s="18"/>
      <c r="E56" s="17"/>
      <c r="F56" s="17"/>
      <c r="G56" s="18"/>
      <c r="H56" s="18"/>
      <c r="I56" s="17"/>
      <c r="J56" s="17"/>
      <c r="K56" s="18"/>
      <c r="L56" s="19" t="str">
        <f aca="false">IF(OR(B56="",C56=""),"",B56&amp;"|"&amp;COUNTIF($B$10:B56,B56))</f>
        <v/>
      </c>
    </row>
    <row r="57" customFormat="false" ht="15" hidden="false" customHeight="false" outlineLevel="0" collapsed="false">
      <c r="A57" s="11" t="str">
        <f aca="false">IF(C57="","",ROW()-9)</f>
        <v/>
      </c>
      <c r="B57" s="17"/>
      <c r="C57" s="21"/>
      <c r="D57" s="18"/>
      <c r="E57" s="17"/>
      <c r="F57" s="17"/>
      <c r="G57" s="18"/>
      <c r="H57" s="18"/>
      <c r="I57" s="17"/>
      <c r="J57" s="17"/>
      <c r="K57" s="18"/>
      <c r="L57" s="19" t="str">
        <f aca="false">IF(OR(B57="",C57=""),"",B57&amp;"|"&amp;COUNTIF($B$10:B57,B57))</f>
        <v/>
      </c>
    </row>
    <row r="58" customFormat="false" ht="15" hidden="false" customHeight="false" outlineLevel="0" collapsed="false">
      <c r="A58" s="11" t="str">
        <f aca="false">IF(C58="","",ROW()-9)</f>
        <v/>
      </c>
      <c r="B58" s="17"/>
      <c r="C58" s="21"/>
      <c r="D58" s="18"/>
      <c r="E58" s="17"/>
      <c r="F58" s="17"/>
      <c r="G58" s="18"/>
      <c r="H58" s="18"/>
      <c r="I58" s="17"/>
      <c r="J58" s="17"/>
      <c r="K58" s="18"/>
      <c r="L58" s="19" t="str">
        <f aca="false">IF(OR(B58="",C58=""),"",B58&amp;"|"&amp;COUNTIF($B$10:B58,B58))</f>
        <v/>
      </c>
    </row>
    <row r="59" customFormat="false" ht="15" hidden="false" customHeight="false" outlineLevel="0" collapsed="false">
      <c r="A59" s="11" t="str">
        <f aca="false">IF(C59="","",ROW()-9)</f>
        <v/>
      </c>
      <c r="B59" s="17"/>
      <c r="C59" s="21"/>
      <c r="D59" s="18"/>
      <c r="E59" s="17"/>
      <c r="F59" s="17"/>
      <c r="G59" s="18"/>
      <c r="H59" s="18"/>
      <c r="I59" s="17"/>
      <c r="J59" s="17"/>
      <c r="K59" s="18"/>
      <c r="L59" s="19" t="str">
        <f aca="false">IF(OR(B59="",C59=""),"",B59&amp;"|"&amp;COUNTIF($B$10:B59,B59))</f>
        <v/>
      </c>
    </row>
    <row r="60" customFormat="false" ht="15" hidden="false" customHeight="false" outlineLevel="0" collapsed="false">
      <c r="A60" s="11" t="str">
        <f aca="false">IF(C60="","",ROW()-9)</f>
        <v/>
      </c>
      <c r="B60" s="17"/>
      <c r="C60" s="21"/>
      <c r="D60" s="18"/>
      <c r="E60" s="17"/>
      <c r="F60" s="17"/>
      <c r="G60" s="18"/>
      <c r="H60" s="18"/>
      <c r="I60" s="17"/>
      <c r="J60" s="17"/>
      <c r="K60" s="18"/>
      <c r="L60" s="19" t="str">
        <f aca="false">IF(OR(B60="",C60=""),"",B60&amp;"|"&amp;COUNTIF($B$10:B60,B60))</f>
        <v/>
      </c>
    </row>
    <row r="61" customFormat="false" ht="15" hidden="false" customHeight="false" outlineLevel="0" collapsed="false">
      <c r="A61" s="11" t="str">
        <f aca="false">IF(C61="","",ROW()-9)</f>
        <v/>
      </c>
      <c r="B61" s="17"/>
      <c r="C61" s="21"/>
      <c r="D61" s="18"/>
      <c r="E61" s="17"/>
      <c r="F61" s="17"/>
      <c r="G61" s="18"/>
      <c r="H61" s="18"/>
      <c r="I61" s="17"/>
      <c r="J61" s="17"/>
      <c r="K61" s="18"/>
      <c r="L61" s="19" t="str">
        <f aca="false">IF(OR(B61="",C61=""),"",B61&amp;"|"&amp;COUNTIF($B$10:B61,B61))</f>
        <v/>
      </c>
    </row>
    <row r="62" customFormat="false" ht="15" hidden="false" customHeight="false" outlineLevel="0" collapsed="false">
      <c r="A62" s="11" t="str">
        <f aca="false">IF(C62="","",ROW()-9)</f>
        <v/>
      </c>
      <c r="B62" s="17"/>
      <c r="C62" s="21"/>
      <c r="D62" s="18"/>
      <c r="E62" s="17"/>
      <c r="F62" s="17"/>
      <c r="G62" s="18"/>
      <c r="H62" s="18"/>
      <c r="I62" s="17"/>
      <c r="J62" s="17"/>
      <c r="K62" s="18"/>
      <c r="L62" s="19" t="str">
        <f aca="false">IF(OR(B62="",C62=""),"",B62&amp;"|"&amp;COUNTIF($B$10:B62,B62))</f>
        <v/>
      </c>
    </row>
    <row r="63" customFormat="false" ht="15" hidden="false" customHeight="false" outlineLevel="0" collapsed="false">
      <c r="A63" s="11" t="str">
        <f aca="false">IF(C63="","",ROW()-9)</f>
        <v/>
      </c>
      <c r="B63" s="17"/>
      <c r="C63" s="21"/>
      <c r="D63" s="18"/>
      <c r="E63" s="17"/>
      <c r="F63" s="17"/>
      <c r="G63" s="18"/>
      <c r="H63" s="18"/>
      <c r="I63" s="17"/>
      <c r="J63" s="17"/>
      <c r="K63" s="18"/>
      <c r="L63" s="19" t="str">
        <f aca="false">IF(OR(B63="",C63=""),"",B63&amp;"|"&amp;COUNTIF($B$10:B63,B63))</f>
        <v/>
      </c>
    </row>
    <row r="64" customFormat="false" ht="15" hidden="false" customHeight="false" outlineLevel="0" collapsed="false">
      <c r="A64" s="11" t="str">
        <f aca="false">IF(C64="","",ROW()-9)</f>
        <v/>
      </c>
      <c r="B64" s="17"/>
      <c r="C64" s="21"/>
      <c r="D64" s="18"/>
      <c r="E64" s="17"/>
      <c r="F64" s="17"/>
      <c r="G64" s="18"/>
      <c r="H64" s="18"/>
      <c r="I64" s="17"/>
      <c r="J64" s="17"/>
      <c r="K64" s="18"/>
      <c r="L64" s="19" t="str">
        <f aca="false">IF(OR(B64="",C64=""),"",B64&amp;"|"&amp;COUNTIF($B$10:B64,B64))</f>
        <v/>
      </c>
    </row>
    <row r="65" customFormat="false" ht="15" hidden="false" customHeight="false" outlineLevel="0" collapsed="false">
      <c r="A65" s="11" t="str">
        <f aca="false">IF(C65="","",ROW()-9)</f>
        <v/>
      </c>
      <c r="B65" s="17"/>
      <c r="C65" s="21"/>
      <c r="D65" s="18"/>
      <c r="E65" s="17"/>
      <c r="F65" s="17"/>
      <c r="G65" s="18"/>
      <c r="H65" s="18"/>
      <c r="I65" s="17"/>
      <c r="J65" s="17"/>
      <c r="K65" s="18"/>
      <c r="L65" s="19" t="str">
        <f aca="false">IF(OR(B65="",C65=""),"",B65&amp;"|"&amp;COUNTIF($B$10:B65,B65))</f>
        <v/>
      </c>
    </row>
    <row r="66" customFormat="false" ht="15" hidden="false" customHeight="false" outlineLevel="0" collapsed="false">
      <c r="A66" s="11" t="str">
        <f aca="false">IF(C66="","",ROW()-9)</f>
        <v/>
      </c>
      <c r="B66" s="17"/>
      <c r="C66" s="21"/>
      <c r="D66" s="18"/>
      <c r="E66" s="17"/>
      <c r="F66" s="17"/>
      <c r="G66" s="18"/>
      <c r="H66" s="18"/>
      <c r="I66" s="17"/>
      <c r="J66" s="17"/>
      <c r="K66" s="18"/>
      <c r="L66" s="19" t="str">
        <f aca="false">IF(OR(B66="",C66=""),"",B66&amp;"|"&amp;COUNTIF($B$10:B66,B66))</f>
        <v/>
      </c>
    </row>
    <row r="67" customFormat="false" ht="15" hidden="false" customHeight="false" outlineLevel="0" collapsed="false">
      <c r="A67" s="11" t="str">
        <f aca="false">IF(C67="","",ROW()-9)</f>
        <v/>
      </c>
      <c r="B67" s="17"/>
      <c r="C67" s="21"/>
      <c r="D67" s="18"/>
      <c r="E67" s="17"/>
      <c r="F67" s="17"/>
      <c r="G67" s="18"/>
      <c r="H67" s="18"/>
      <c r="I67" s="17"/>
      <c r="J67" s="17"/>
      <c r="K67" s="18"/>
      <c r="L67" s="19" t="str">
        <f aca="false">IF(OR(B67="",C67=""),"",B67&amp;"|"&amp;COUNTIF($B$10:B67,B67))</f>
        <v/>
      </c>
    </row>
    <row r="68" customFormat="false" ht="15" hidden="false" customHeight="false" outlineLevel="0" collapsed="false">
      <c r="A68" s="11" t="str">
        <f aca="false">IF(C68="","",ROW()-9)</f>
        <v/>
      </c>
      <c r="B68" s="17"/>
      <c r="C68" s="21"/>
      <c r="D68" s="18"/>
      <c r="E68" s="17"/>
      <c r="F68" s="17"/>
      <c r="G68" s="18"/>
      <c r="H68" s="18"/>
      <c r="I68" s="17"/>
      <c r="J68" s="17"/>
      <c r="K68" s="18"/>
      <c r="L68" s="19" t="str">
        <f aca="false">IF(OR(B68="",C68=""),"",B68&amp;"|"&amp;COUNTIF($B$10:B68,B68))</f>
        <v/>
      </c>
    </row>
    <row r="69" customFormat="false" ht="15" hidden="false" customHeight="false" outlineLevel="0" collapsed="false">
      <c r="A69" s="11" t="str">
        <f aca="false">IF(C69="","",ROW()-9)</f>
        <v/>
      </c>
      <c r="B69" s="17"/>
      <c r="C69" s="21"/>
      <c r="D69" s="18"/>
      <c r="E69" s="17"/>
      <c r="F69" s="17"/>
      <c r="G69" s="18"/>
      <c r="H69" s="18"/>
      <c r="I69" s="17"/>
      <c r="J69" s="17"/>
      <c r="K69" s="18"/>
      <c r="L69" s="19" t="str">
        <f aca="false">IF(OR(B69="",C69=""),"",B69&amp;"|"&amp;COUNTIF($B$10:B69,B69))</f>
        <v/>
      </c>
    </row>
  </sheetData>
  <autoFilter ref="A9:K69"/>
  <mergeCells count="2">
    <mergeCell ref="C5:E5"/>
    <mergeCell ref="F5:H5"/>
  </mergeCells>
  <conditionalFormatting sqref="B10:B69">
    <cfRule type="expression" priority="2" aboveAverage="0" equalAverage="0" bottom="0" percent="0" rank="0" text="" dxfId="11">
      <formula>$B10="한식"</formula>
    </cfRule>
    <cfRule type="expression" priority="3" aboveAverage="0" equalAverage="0" bottom="0" percent="0" rank="0" text="" dxfId="12">
      <formula>$B10="고기·족발"</formula>
    </cfRule>
    <cfRule type="expression" priority="4" aboveAverage="0" equalAverage="0" bottom="0" percent="0" rank="0" text="" dxfId="13">
      <formula>$B10="국밥·면"</formula>
    </cfRule>
    <cfRule type="expression" priority="5" aboveAverage="0" equalAverage="0" bottom="0" percent="0" rank="0" text="" dxfId="14">
      <formula>$B10="중식"</formula>
    </cfRule>
    <cfRule type="expression" priority="6" aboveAverage="0" equalAverage="0" bottom="0" percent="0" rank="0" text="" dxfId="15">
      <formula>$B10="일식"</formula>
    </cfRule>
    <cfRule type="expression" priority="7" aboveAverage="0" equalAverage="0" bottom="0" percent="0" rank="0" text="" dxfId="16">
      <formula>$B10="양식·아시안"</formula>
    </cfRule>
  </conditionalFormatting>
  <dataValidations count="4">
    <dataValidation allowBlank="false" errorStyle="stop" operator="between" showDropDown="false" showErrorMessage="false" showInputMessage="false" sqref="C4" type="list">
      <formula1>"전체,한식,고기·족발,국밥·면,중식,일식,양식·아시안"</formula1>
      <formula2>0</formula2>
    </dataValidation>
    <dataValidation allowBlank="true" errorStyle="stop" operator="between" showDropDown="false" showErrorMessage="false" showInputMessage="false" sqref="B10:B69" type="list">
      <formula1>"한식,고기·족발,국밥·면,중식,일식,양식·아시안"</formula1>
      <formula2>0</formula2>
    </dataValidation>
    <dataValidation allowBlank="true" errorStyle="stop" operator="between" showDropDown="false" showErrorMessage="false" showInputMessage="false" sqref="E10:E69" type="list">
      <formula1>"영업 중,영업 종료,브레이크타임,정보 없음"</formula1>
      <formula2>0</formula2>
    </dataValidation>
    <dataValidation allowBlank="true" errorStyle="stop" operator="between" showDropDown="false" showErrorMessage="false" showInputMessage="false" sqref="J10:J69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18.55" hidden="false" customHeight="false" outlineLevel="0" collapsed="false">
      <c r="A1" s="1" t="s">
        <v>37</v>
      </c>
      <c r="C1" s="22" t="str">
        <f aca="false">COUNTIF(전체!$B$10:$B$69,"한식")&amp;"곳"</f>
        <v>11곳</v>
      </c>
    </row>
    <row r="2" customFormat="false" ht="15" hidden="false" customHeight="false" outlineLevel="0" collapsed="false">
      <c r="A2" s="23" t="s">
        <v>101</v>
      </c>
      <c r="M2" s="24" t="s">
        <v>37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기와집</v>
      </c>
      <c r="C5" s="27" t="str">
        <f aca="false">IF($K5="","",IF(INDEX(전체!$D$10:$D$69,$K5)="","",INDEX(전체!$D$10:$D$69,$K5)))</f>
        <v>한식</v>
      </c>
      <c r="D5" s="11" t="str">
        <f aca="false">IF($K5="","",IF(INDEX(전체!$E$10:$E$69,$K5)="","",INDEX(전체!$E$10:$E$69,$K5)))</f>
        <v>영업 중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중앙동3가 19-2</v>
      </c>
      <c r="G5" s="27" t="str">
        <f aca="false">IF($K5="","",IF(INDEX(전체!$H$10:$H$69,$K5)="","",INDEX(전체!$H$10:$H$69,$K5)))</f>
        <v>1층</v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4</v>
      </c>
    </row>
    <row r="6" customFormat="false" ht="15" hidden="false" customHeight="false" outlineLevel="0" collapsed="false">
      <c r="A6" s="11" t="n">
        <f aca="false">IF($K6="","",2)</f>
        <v>2</v>
      </c>
      <c r="B6" s="26" t="str">
        <f aca="false">IF($K6="","",IF(INDEX(전체!$C$10:$C$69,$K6)="","",INDEX(전체!$C$10:$C$69,$K6)))</f>
        <v>청기와개미집</v>
      </c>
      <c r="C6" s="27" t="str">
        <f aca="false">IF($K6="","",IF(INDEX(전체!$D$10:$D$69,$K6)="","",INDEX(전체!$D$10:$D$69,$K6)))</f>
        <v>한식</v>
      </c>
      <c r="D6" s="11" t="str">
        <f aca="false">IF($K6="","",IF(INDEX(전체!$E$10:$E$69,$K6)="","",INDEX(전체!$E$10:$E$69,$K6)))</f>
        <v>정보 없음</v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>동광동3가 24-1</v>
      </c>
      <c r="G6" s="27" t="str">
        <f aca="false">IF($K6="","",IF(INDEX(전체!$H$10:$H$69,$K6)="","",INDEX(전체!$H$10:$H$69,$K6)))</f>
        <v/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n">
        <f aca="false">IFERROR(MATCH($M$2&amp;"|"&amp;2,전체!$L$10:$L$69,0),"")</f>
        <v>7</v>
      </c>
    </row>
    <row r="7" customFormat="false" ht="15" hidden="false" customHeight="false" outlineLevel="0" collapsed="false">
      <c r="A7" s="11" t="n">
        <f aca="false">IF($K7="","",3)</f>
        <v>3</v>
      </c>
      <c r="B7" s="26" t="str">
        <f aca="false">IF($K7="","",IF(INDEX(전체!$C$10:$C$69,$K7)="","",INDEX(전체!$C$10:$C$69,$K7)))</f>
        <v>미니한식당</v>
      </c>
      <c r="C7" s="27" t="str">
        <f aca="false">IF($K7="","",IF(INDEX(전체!$D$10:$D$69,$K7)="","",INDEX(전체!$D$10:$D$69,$K7)))</f>
        <v>한식</v>
      </c>
      <c r="D7" s="11" t="str">
        <f aca="false">IF($K7="","",IF(INDEX(전체!$E$10:$E$69,$K7)="","",INDEX(전체!$E$10:$E$69,$K7)))</f>
        <v>정보 없음</v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>중앙동2가 33</v>
      </c>
      <c r="G7" s="27" t="str">
        <f aca="false">IF($K7="","",IF(INDEX(전체!$H$10:$H$69,$K7)="","",INDEX(전체!$H$10:$H$69,$K7)))</f>
        <v/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n">
        <f aca="false">IFERROR(MATCH($M$2&amp;"|"&amp;3,전체!$L$10:$L$69,0),"")</f>
        <v>8</v>
      </c>
    </row>
    <row r="8" customFormat="false" ht="15" hidden="false" customHeight="false" outlineLevel="0" collapsed="false">
      <c r="A8" s="11" t="n">
        <f aca="false">IF($K8="","",4)</f>
        <v>4</v>
      </c>
      <c r="B8" s="26" t="str">
        <f aca="false">IF($K8="","",IF(INDEX(전체!$C$10:$C$69,$K8)="","",INDEX(전체!$C$10:$C$69,$K8)))</f>
        <v>대나무집</v>
      </c>
      <c r="C8" s="27" t="str">
        <f aca="false">IF($K8="","",IF(INDEX(전체!$D$10:$D$69,$K8)="","",INDEX(전체!$D$10:$D$69,$K8)))</f>
        <v>한식</v>
      </c>
      <c r="D8" s="11" t="str">
        <f aca="false">IF($K8="","",IF(INDEX(전체!$E$10:$E$69,$K8)="","",INDEX(전체!$E$10:$E$69,$K8)))</f>
        <v>영업 중</v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>중앙동3가 13-8</v>
      </c>
      <c r="G8" s="27" t="str">
        <f aca="false">IF($K8="","",IF(INDEX(전체!$H$10:$H$69,$K8)="","",INDEX(전체!$H$10:$H$69,$K8)))</f>
        <v/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n">
        <f aca="false">IFERROR(MATCH($M$2&amp;"|"&amp;4,전체!$L$10:$L$69,0),"")</f>
        <v>11</v>
      </c>
    </row>
    <row r="9" customFormat="false" ht="15" hidden="false" customHeight="false" outlineLevel="0" collapsed="false">
      <c r="A9" s="11" t="n">
        <f aca="false">IF($K9="","",5)</f>
        <v>5</v>
      </c>
      <c r="B9" s="26" t="str">
        <f aca="false">IF($K9="","",IF(INDEX(전체!$C$10:$C$69,$K9)="","",INDEX(전체!$C$10:$C$69,$K9)))</f>
        <v>전주식당</v>
      </c>
      <c r="C9" s="27" t="str">
        <f aca="false">IF($K9="","",IF(INDEX(전체!$D$10:$D$69,$K9)="","",INDEX(전체!$D$10:$D$69,$K9)))</f>
        <v>한식</v>
      </c>
      <c r="D9" s="11" t="str">
        <f aca="false">IF($K9="","",IF(INDEX(전체!$E$10:$E$69,$K9)="","",INDEX(전체!$E$10:$E$69,$K9)))</f>
        <v>영업 중</v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>중앙동3가 19-4</v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n">
        <f aca="false">IFERROR(MATCH($M$2&amp;"|"&amp;5,전체!$L$10:$L$69,0),"")</f>
        <v>12</v>
      </c>
    </row>
    <row r="10" customFormat="false" ht="15" hidden="false" customHeight="false" outlineLevel="0" collapsed="false">
      <c r="A10" s="11" t="n">
        <f aca="false">IF($K10="","",6)</f>
        <v>6</v>
      </c>
      <c r="B10" s="26" t="str">
        <f aca="false">IF($K10="","",IF(INDEX(전체!$C$10:$C$69,$K10)="","",INDEX(전체!$C$10:$C$69,$K10)))</f>
        <v>오봉집 중앙점</v>
      </c>
      <c r="C10" s="27" t="str">
        <f aca="false">IF($K10="","",IF(INDEX(전체!$D$10:$D$69,$K10)="","",INDEX(전체!$D$10:$D$69,$K10)))</f>
        <v>한식</v>
      </c>
      <c r="D10" s="11" t="str">
        <f aca="false">IF($K10="","",IF(INDEX(전체!$E$10:$E$69,$K10)="","",INDEX(전체!$E$10:$E$69,$K10)))</f>
        <v>영업 중</v>
      </c>
      <c r="E10" s="11" t="str">
        <f aca="false">IF($K10="","",IF(INDEX(전체!$F$10:$F$69,$K10)="","",INDEX(전체!$F$10:$F$69,$K10)))</f>
        <v>O</v>
      </c>
      <c r="F10" s="27" t="str">
        <f aca="false">IF($K10="","",IF(INDEX(전체!$G$10:$G$69,$K10)="","",INDEX(전체!$G$10:$G$69,$K10)))</f>
        <v>중앙동3가 10-5</v>
      </c>
      <c r="G10" s="27" t="str">
        <f aca="false">IF($K10="","",IF(INDEX(전체!$H$10:$H$69,$K10)="","",INDEX(전체!$H$10:$H$69,$K10)))</f>
        <v>1층</v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n">
        <f aca="false">IFERROR(MATCH($M$2&amp;"|"&amp;6,전체!$L$10:$L$69,0),"")</f>
        <v>13</v>
      </c>
    </row>
    <row r="11" customFormat="false" ht="15" hidden="false" customHeight="false" outlineLevel="0" collapsed="false">
      <c r="A11" s="11" t="n">
        <f aca="false">IF($K11="","",7)</f>
        <v>7</v>
      </c>
      <c r="B11" s="26" t="str">
        <f aca="false">IF($K11="","",IF(INDEX(전체!$C$10:$C$69,$K11)="","",INDEX(전체!$C$10:$C$69,$K11)))</f>
        <v>복주걱 롯데광복점</v>
      </c>
      <c r="C11" s="27" t="str">
        <f aca="false">IF($K11="","",IF(INDEX(전체!$D$10:$D$69,$K11)="","",INDEX(전체!$D$10:$D$69,$K11)))</f>
        <v>한식뷔페</v>
      </c>
      <c r="D11" s="11" t="str">
        <f aca="false">IF($K11="","",IF(INDEX(전체!$E$10:$E$69,$K11)="","",INDEX(전체!$E$10:$E$69,$K11)))</f>
        <v>영업 중</v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>중앙동7가 20-1</v>
      </c>
      <c r="G11" s="27" t="str">
        <f aca="false">IF($K11="","",IF(INDEX(전체!$H$10:$H$69,$K11)="","",INDEX(전체!$H$10:$H$69,$K11)))</f>
        <v>롯데백화점 광복점 10층</v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n">
        <f aca="false">IFERROR(MATCH($M$2&amp;"|"&amp;7,전체!$L$10:$L$69,0),"")</f>
        <v>17</v>
      </c>
    </row>
    <row r="12" customFormat="false" ht="15" hidden="false" customHeight="false" outlineLevel="0" collapsed="false">
      <c r="A12" s="11" t="n">
        <f aca="false">IF($K12="","",8)</f>
        <v>8</v>
      </c>
      <c r="B12" s="26" t="str">
        <f aca="false">IF($K12="","",IF(INDEX(전체!$C$10:$C$69,$K12)="","",INDEX(전체!$C$10:$C$69,$K12)))</f>
        <v>한식레스토랑 여름 부산본점</v>
      </c>
      <c r="C12" s="27" t="str">
        <f aca="false">IF($K12="","",IF(INDEX(전체!$D$10:$D$69,$K12)="","",INDEX(전체!$D$10:$D$69,$K12)))</f>
        <v>한식</v>
      </c>
      <c r="D12" s="11" t="str">
        <f aca="false">IF($K12="","",IF(INDEX(전체!$E$10:$E$69,$K12)="","",INDEX(전체!$E$10:$E$69,$K12)))</f>
        <v>영업 중</v>
      </c>
      <c r="E12" s="11" t="str">
        <f aca="false">IF($K12="","",IF(INDEX(전체!$F$10:$F$69,$K12)="","",INDEX(전체!$F$10:$F$69,$K12)))</f>
        <v>O</v>
      </c>
      <c r="F12" s="27" t="str">
        <f aca="false">IF($K12="","",IF(INDEX(전체!$G$10:$G$69,$K12)="","",INDEX(전체!$G$10:$G$69,$K12)))</f>
        <v>중앙동6가 3-2</v>
      </c>
      <c r="G12" s="27" t="str">
        <f aca="false">IF($K12="","",IF(INDEX(전체!$H$10:$H$69,$K12)="","",INDEX(전체!$H$10:$H$69,$K12)))</f>
        <v>2층 201·202·203호</v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n">
        <f aca="false">IFERROR(MATCH($M$2&amp;"|"&amp;8,전체!$L$10:$L$69,0),"")</f>
        <v>19</v>
      </c>
    </row>
    <row r="13" customFormat="false" ht="15" hidden="false" customHeight="false" outlineLevel="0" collapsed="false">
      <c r="A13" s="11" t="n">
        <f aca="false">IF($K13="","",9)</f>
        <v>9</v>
      </c>
      <c r="B13" s="26" t="str">
        <f aca="false">IF($K13="","",IF(INDEX(전체!$C$10:$C$69,$K13)="","",INDEX(전체!$C$10:$C$69,$K13)))</f>
        <v>고품격한식뷔페</v>
      </c>
      <c r="C13" s="27" t="str">
        <f aca="false">IF($K13="","",IF(INDEX(전체!$D$10:$D$69,$K13)="","",INDEX(전체!$D$10:$D$69,$K13)))</f>
        <v>한식</v>
      </c>
      <c r="D13" s="11" t="str">
        <f aca="false">IF($K13="","",IF(INDEX(전체!$E$10:$E$69,$K13)="","",INDEX(전체!$E$10:$E$69,$K13)))</f>
        <v>영업 종료</v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>중앙동6가 3-2</v>
      </c>
      <c r="G13" s="27" t="str">
        <f aca="false">IF($K13="","",IF(INDEX(전체!$H$10:$H$69,$K13)="","",INDEX(전체!$H$10:$H$69,$K13)))</f>
        <v>1층 101호</v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n">
        <f aca="false">IFERROR(MATCH($M$2&amp;"|"&amp;9,전체!$L$10:$L$69,0),"")</f>
        <v>22</v>
      </c>
    </row>
    <row r="14" customFormat="false" ht="15" hidden="false" customHeight="false" outlineLevel="0" collapsed="false">
      <c r="A14" s="11" t="n">
        <f aca="false">IF($K14="","",10)</f>
        <v>10</v>
      </c>
      <c r="B14" s="26" t="str">
        <f aca="false">IF($K14="","",IF(INDEX(전체!$C$10:$C$69,$K14)="","",INDEX(전체!$C$10:$C$69,$K14)))</f>
        <v>다복정</v>
      </c>
      <c r="C14" s="27" t="str">
        <f aca="false">IF($K14="","",IF(INDEX(전체!$D$10:$D$69,$K14)="","",INDEX(전체!$D$10:$D$69,$K14)))</f>
        <v>한식</v>
      </c>
      <c r="D14" s="11" t="str">
        <f aca="false">IF($K14="","",IF(INDEX(전체!$E$10:$E$69,$K14)="","",INDEX(전체!$E$10:$E$69,$K14)))</f>
        <v>정보 없음</v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>중앙동5가 10-3</v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n">
        <f aca="false">IFERROR(MATCH($M$2&amp;"|"&amp;10,전체!$L$10:$L$69,0),"")</f>
        <v>24</v>
      </c>
    </row>
    <row r="15" customFormat="false" ht="15" hidden="false" customHeight="false" outlineLevel="0" collapsed="false">
      <c r="A15" s="11" t="n">
        <f aca="false">IF($K15="","",11)</f>
        <v>11</v>
      </c>
      <c r="B15" s="26" t="str">
        <f aca="false">IF($K15="","",IF(INDEX(전체!$C$10:$C$69,$K15)="","",INDEX(전체!$C$10:$C$69,$K15)))</f>
        <v>섬진강재첩국</v>
      </c>
      <c r="C15" s="27" t="str">
        <f aca="false">IF($K15="","",IF(INDEX(전체!$D$10:$D$69,$K15)="","",INDEX(전체!$D$10:$D$69,$K15)))</f>
        <v>한식</v>
      </c>
      <c r="D15" s="11" t="str">
        <f aca="false">IF($K15="","",IF(INDEX(전체!$E$10:$E$69,$K15)="","",INDEX(전체!$E$10:$E$69,$K15)))</f>
        <v>영업 종료</v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>동광동2가 10-4</v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n">
        <f aca="false">IFERROR(MATCH($M$2&amp;"|"&amp;11,전체!$L$10:$L$69,0),"")</f>
        <v>25</v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20.1" hidden="false" customHeight="false" outlineLevel="0" collapsed="false">
      <c r="A1" s="1" t="s">
        <v>104</v>
      </c>
      <c r="C1" s="22" t="str">
        <f aca="false">COUNTIF(전체!$B$10:$B$69,"고기·족발")&amp;"곳"</f>
        <v>2곳</v>
      </c>
    </row>
    <row r="2" customFormat="false" ht="15" hidden="false" customHeight="false" outlineLevel="0" collapsed="false">
      <c r="A2" s="23" t="s">
        <v>101</v>
      </c>
      <c r="M2" s="24" t="s">
        <v>105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국제상인 짬뽕족발</v>
      </c>
      <c r="C5" s="27" t="str">
        <f aca="false">IF($K5="","",IF(INDEX(전체!$D$10:$D$69,$K5)="","",INDEX(전체!$D$10:$D$69,$K5)))</f>
        <v>족발,보쌈</v>
      </c>
      <c r="D5" s="11" t="str">
        <f aca="false">IF($K5="","",IF(INDEX(전체!$E$10:$E$69,$K5)="","",INDEX(전체!$E$10:$E$69,$K5)))</f>
        <v>브레이크타임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중앙동4가 29-8</v>
      </c>
      <c r="G5" s="27" t="str">
        <f aca="false">IF($K5="","",IF(INDEX(전체!$H$10:$H$69,$K5)="","",INDEX(전체!$H$10:$H$69,$K5)))</f>
        <v/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5</v>
      </c>
    </row>
    <row r="6" customFormat="false" ht="15" hidden="false" customHeight="false" outlineLevel="0" collapsed="false">
      <c r="A6" s="11" t="n">
        <f aca="false">IF($K6="","",2)</f>
        <v>2</v>
      </c>
      <c r="B6" s="26" t="str">
        <f aca="false">IF($K6="","",IF(INDEX(전체!$C$10:$C$69,$K6)="","",INDEX(전체!$C$10:$C$69,$K6)))</f>
        <v>참숯생갈비</v>
      </c>
      <c r="C6" s="27" t="str">
        <f aca="false">IF($K6="","",IF(INDEX(전체!$D$10:$D$69,$K6)="","",INDEX(전체!$D$10:$D$69,$K6)))</f>
        <v>육류,고기요리</v>
      </c>
      <c r="D6" s="11" t="str">
        <f aca="false">IF($K6="","",IF(INDEX(전체!$E$10:$E$69,$K6)="","",INDEX(전체!$E$10:$E$69,$K6)))</f>
        <v>영업 중</v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>중앙동5가 1-18</v>
      </c>
      <c r="G6" s="27" t="str">
        <f aca="false">IF($K6="","",IF(INDEX(전체!$H$10:$H$69,$K6)="","",INDEX(전체!$H$10:$H$69,$K6)))</f>
        <v/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n">
        <f aca="false">IFERROR(MATCH($M$2&amp;"|"&amp;2,전체!$L$10:$L$69,0),"")</f>
        <v>21</v>
      </c>
    </row>
    <row r="7" customFormat="false" ht="15" hidden="false" customHeight="false" outlineLevel="0" collapsed="false">
      <c r="A7" s="11" t="str">
        <f aca="false">IF($K7="","",3)</f>
        <v/>
      </c>
      <c r="B7" s="26" t="str">
        <f aca="false">IF($K7="","",IF(INDEX(전체!$C$10:$C$69,$K7)="","",INDEX(전체!$C$10:$C$69,$K7)))</f>
        <v/>
      </c>
      <c r="C7" s="27" t="str">
        <f aca="false">IF($K7="","",IF(INDEX(전체!$D$10:$D$69,$K7)="","",INDEX(전체!$D$10:$D$69,$K7)))</f>
        <v/>
      </c>
      <c r="D7" s="11" t="str">
        <f aca="false">IF($K7="","",IF(INDEX(전체!$E$10:$E$69,$K7)="","",INDEX(전체!$E$10:$E$69,$K7)))</f>
        <v/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/>
      </c>
      <c r="G7" s="27" t="str">
        <f aca="false">IF($K7="","",IF(INDEX(전체!$H$10:$H$69,$K7)="","",INDEX(전체!$H$10:$H$69,$K7)))</f>
        <v/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str">
        <f aca="false">IFERROR(MATCH($M$2&amp;"|"&amp;3,전체!$L$10:$L$69,0),"")</f>
        <v/>
      </c>
    </row>
    <row r="8" customFormat="false" ht="15" hidden="false" customHeight="false" outlineLevel="0" collapsed="false">
      <c r="A8" s="11" t="str">
        <f aca="false">IF($K8="","",4)</f>
        <v/>
      </c>
      <c r="B8" s="26" t="str">
        <f aca="false">IF($K8="","",IF(INDEX(전체!$C$10:$C$69,$K8)="","",INDEX(전체!$C$10:$C$69,$K8)))</f>
        <v/>
      </c>
      <c r="C8" s="27" t="str">
        <f aca="false">IF($K8="","",IF(INDEX(전체!$D$10:$D$69,$K8)="","",INDEX(전체!$D$10:$D$69,$K8)))</f>
        <v/>
      </c>
      <c r="D8" s="11" t="str">
        <f aca="false">IF($K8="","",IF(INDEX(전체!$E$10:$E$69,$K8)="","",INDEX(전체!$E$10:$E$69,$K8)))</f>
        <v/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/>
      </c>
      <c r="G8" s="27" t="str">
        <f aca="false">IF($K8="","",IF(INDEX(전체!$H$10:$H$69,$K8)="","",INDEX(전체!$H$10:$H$69,$K8)))</f>
        <v/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str">
        <f aca="false">IFERROR(MATCH($M$2&amp;"|"&amp;4,전체!$L$10:$L$69,0),"")</f>
        <v/>
      </c>
    </row>
    <row r="9" customFormat="false" ht="15" hidden="false" customHeight="false" outlineLevel="0" collapsed="false">
      <c r="A9" s="11" t="str">
        <f aca="false">IF($K9="","",5)</f>
        <v/>
      </c>
      <c r="B9" s="26" t="str">
        <f aca="false">IF($K9="","",IF(INDEX(전체!$C$10:$C$69,$K9)="","",INDEX(전체!$C$10:$C$69,$K9)))</f>
        <v/>
      </c>
      <c r="C9" s="27" t="str">
        <f aca="false">IF($K9="","",IF(INDEX(전체!$D$10:$D$69,$K9)="","",INDEX(전체!$D$10:$D$69,$K9)))</f>
        <v/>
      </c>
      <c r="D9" s="11" t="str">
        <f aca="false">IF($K9="","",IF(INDEX(전체!$E$10:$E$69,$K9)="","",INDEX(전체!$E$10:$E$69,$K9)))</f>
        <v/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/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str">
        <f aca="false">IFERROR(MATCH($M$2&amp;"|"&amp;5,전체!$L$10:$L$69,0),"")</f>
        <v/>
      </c>
    </row>
    <row r="10" customFormat="false" ht="15" hidden="false" customHeight="false" outlineLevel="0" collapsed="false">
      <c r="A10" s="11" t="str">
        <f aca="false">IF($K10="","",6)</f>
        <v/>
      </c>
      <c r="B10" s="26" t="str">
        <f aca="false">IF($K10="","",IF(INDEX(전체!$C$10:$C$69,$K10)="","",INDEX(전체!$C$10:$C$69,$K10)))</f>
        <v/>
      </c>
      <c r="C10" s="27" t="str">
        <f aca="false">IF($K10="","",IF(INDEX(전체!$D$10:$D$69,$K10)="","",INDEX(전체!$D$10:$D$69,$K10)))</f>
        <v/>
      </c>
      <c r="D10" s="11" t="str">
        <f aca="false">IF($K10="","",IF(INDEX(전체!$E$10:$E$69,$K10)="","",INDEX(전체!$E$10:$E$69,$K10)))</f>
        <v/>
      </c>
      <c r="E10" s="11" t="str">
        <f aca="false">IF($K10="","",IF(INDEX(전체!$F$10:$F$69,$K10)="","",INDEX(전체!$F$10:$F$69,$K10)))</f>
        <v/>
      </c>
      <c r="F10" s="27" t="str">
        <f aca="false">IF($K10="","",IF(INDEX(전체!$G$10:$G$69,$K10)="","",INDEX(전체!$G$10:$G$69,$K10)))</f>
        <v/>
      </c>
      <c r="G10" s="27" t="str">
        <f aca="false">IF($K10="","",IF(INDEX(전체!$H$10:$H$69,$K10)="","",INDEX(전체!$H$10:$H$69,$K10)))</f>
        <v/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str">
        <f aca="false">IFERROR(MATCH($M$2&amp;"|"&amp;6,전체!$L$10:$L$69,0),"")</f>
        <v/>
      </c>
    </row>
    <row r="11" customFormat="false" ht="15" hidden="false" customHeight="false" outlineLevel="0" collapsed="false">
      <c r="A11" s="11" t="str">
        <f aca="false">IF($K11="","",7)</f>
        <v/>
      </c>
      <c r="B11" s="26" t="str">
        <f aca="false">IF($K11="","",IF(INDEX(전체!$C$10:$C$69,$K11)="","",INDEX(전체!$C$10:$C$69,$K11)))</f>
        <v/>
      </c>
      <c r="C11" s="27" t="str">
        <f aca="false">IF($K11="","",IF(INDEX(전체!$D$10:$D$69,$K11)="","",INDEX(전체!$D$10:$D$69,$K11)))</f>
        <v/>
      </c>
      <c r="D11" s="11" t="str">
        <f aca="false">IF($K11="","",IF(INDEX(전체!$E$10:$E$69,$K11)="","",INDEX(전체!$E$10:$E$69,$K11)))</f>
        <v/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/>
      </c>
      <c r="G11" s="27" t="str">
        <f aca="false">IF($K11="","",IF(INDEX(전체!$H$10:$H$69,$K11)="","",INDEX(전체!$H$10:$H$69,$K11)))</f>
        <v/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str">
        <f aca="false">IFERROR(MATCH($M$2&amp;"|"&amp;7,전체!$L$10:$L$69,0),"")</f>
        <v/>
      </c>
    </row>
    <row r="12" customFormat="false" ht="15" hidden="false" customHeight="false" outlineLevel="0" collapsed="false">
      <c r="A12" s="11" t="str">
        <f aca="false">IF($K12="","",8)</f>
        <v/>
      </c>
      <c r="B12" s="26" t="str">
        <f aca="false">IF($K12="","",IF(INDEX(전체!$C$10:$C$69,$K12)="","",INDEX(전체!$C$10:$C$69,$K12)))</f>
        <v/>
      </c>
      <c r="C12" s="27" t="str">
        <f aca="false">IF($K12="","",IF(INDEX(전체!$D$10:$D$69,$K12)="","",INDEX(전체!$D$10:$D$69,$K12)))</f>
        <v/>
      </c>
      <c r="D12" s="11" t="str">
        <f aca="false">IF($K12="","",IF(INDEX(전체!$E$10:$E$69,$K12)="","",INDEX(전체!$E$10:$E$69,$K12)))</f>
        <v/>
      </c>
      <c r="E12" s="11" t="str">
        <f aca="false">IF($K12="","",IF(INDEX(전체!$F$10:$F$69,$K12)="","",INDEX(전체!$F$10:$F$69,$K12)))</f>
        <v/>
      </c>
      <c r="F12" s="27" t="str">
        <f aca="false">IF($K12="","",IF(INDEX(전체!$G$10:$G$69,$K12)="","",INDEX(전체!$G$10:$G$69,$K12)))</f>
        <v/>
      </c>
      <c r="G12" s="27" t="str">
        <f aca="false">IF($K12="","",IF(INDEX(전체!$H$10:$H$69,$K12)="","",INDEX(전체!$H$10:$H$69,$K12)))</f>
        <v/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str">
        <f aca="false">IFERROR(MATCH($M$2&amp;"|"&amp;8,전체!$L$10:$L$69,0),"")</f>
        <v/>
      </c>
    </row>
    <row r="13" customFormat="false" ht="15" hidden="false" customHeight="false" outlineLevel="0" collapsed="false">
      <c r="A13" s="11" t="str">
        <f aca="false">IF($K13="","",9)</f>
        <v/>
      </c>
      <c r="B13" s="26" t="str">
        <f aca="false">IF($K13="","",IF(INDEX(전체!$C$10:$C$69,$K13)="","",INDEX(전체!$C$10:$C$69,$K13)))</f>
        <v/>
      </c>
      <c r="C13" s="27" t="str">
        <f aca="false">IF($K13="","",IF(INDEX(전체!$D$10:$D$69,$K13)="","",INDEX(전체!$D$10:$D$69,$K13)))</f>
        <v/>
      </c>
      <c r="D13" s="11" t="str">
        <f aca="false">IF($K13="","",IF(INDEX(전체!$E$10:$E$69,$K13)="","",INDEX(전체!$E$10:$E$69,$K13)))</f>
        <v/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/>
      </c>
      <c r="G13" s="27" t="str">
        <f aca="false">IF($K13="","",IF(INDEX(전체!$H$10:$H$69,$K13)="","",INDEX(전체!$H$10:$H$69,$K13)))</f>
        <v/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str">
        <f aca="false">IFERROR(MATCH($M$2&amp;"|"&amp;9,전체!$L$10:$L$69,0),"")</f>
        <v/>
      </c>
    </row>
    <row r="14" customFormat="false" ht="15" hidden="false" customHeight="false" outlineLevel="0" collapsed="false">
      <c r="A14" s="11" t="str">
        <f aca="false">IF($K14="","",10)</f>
        <v/>
      </c>
      <c r="B14" s="26" t="str">
        <f aca="false">IF($K14="","",IF(INDEX(전체!$C$10:$C$69,$K14)="","",INDEX(전체!$C$10:$C$69,$K14)))</f>
        <v/>
      </c>
      <c r="C14" s="27" t="str">
        <f aca="false">IF($K14="","",IF(INDEX(전체!$D$10:$D$69,$K14)="","",INDEX(전체!$D$10:$D$69,$K14)))</f>
        <v/>
      </c>
      <c r="D14" s="11" t="str">
        <f aca="false">IF($K14="","",IF(INDEX(전체!$E$10:$E$69,$K14)="","",INDEX(전체!$E$10:$E$69,$K14)))</f>
        <v/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/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str">
        <f aca="false">IFERROR(MATCH($M$2&amp;"|"&amp;10,전체!$L$10:$L$69,0),"")</f>
        <v/>
      </c>
    </row>
    <row r="15" customFormat="false" ht="15" hidden="false" customHeight="false" outlineLevel="0" collapsed="false">
      <c r="A15" s="11" t="str">
        <f aca="false">IF($K15="","",11)</f>
        <v/>
      </c>
      <c r="B15" s="26" t="str">
        <f aca="false">IF($K15="","",IF(INDEX(전체!$C$10:$C$69,$K15)="","",INDEX(전체!$C$10:$C$69,$K15)))</f>
        <v/>
      </c>
      <c r="C15" s="27" t="str">
        <f aca="false">IF($K15="","",IF(INDEX(전체!$D$10:$D$69,$K15)="","",INDEX(전체!$D$10:$D$69,$K15)))</f>
        <v/>
      </c>
      <c r="D15" s="11" t="str">
        <f aca="false">IF($K15="","",IF(INDEX(전체!$E$10:$E$69,$K15)="","",INDEX(전체!$E$10:$E$69,$K15)))</f>
        <v/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/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str">
        <f aca="false">IFERROR(MATCH($M$2&amp;"|"&amp;11,전체!$L$10:$L$69,0),"")</f>
        <v/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20.1" hidden="false" customHeight="false" outlineLevel="0" collapsed="false">
      <c r="A1" s="1" t="s">
        <v>106</v>
      </c>
      <c r="C1" s="22" t="str">
        <f aca="false">COUNTIF(전체!$B$10:$B$69,"국밥·면")&amp;"곳"</f>
        <v>5곳</v>
      </c>
    </row>
    <row r="2" customFormat="false" ht="15" hidden="false" customHeight="false" outlineLevel="0" collapsed="false">
      <c r="A2" s="23" t="s">
        <v>101</v>
      </c>
      <c r="M2" s="24" t="s">
        <v>107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1969부원동칼국수 남포본점</v>
      </c>
      <c r="C5" s="27" t="str">
        <f aca="false">IF($K5="","",IF(INDEX(전체!$D$10:$D$69,$K5)="","",INDEX(전체!$D$10:$D$69,$K5)))</f>
        <v>칼국수,만두</v>
      </c>
      <c r="D5" s="11" t="str">
        <f aca="false">IF($K5="","",IF(INDEX(전체!$E$10:$E$69,$K5)="","",INDEX(전체!$E$10:$E$69,$K5)))</f>
        <v>영업 중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남포동2가 36</v>
      </c>
      <c r="G5" s="27" t="str">
        <f aca="false">IF($K5="","",IF(INDEX(전체!$H$10:$H$69,$K5)="","",INDEX(전체!$H$10:$H$69,$K5)))</f>
        <v>1층</v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6</v>
      </c>
    </row>
    <row r="6" customFormat="false" ht="15" hidden="false" customHeight="false" outlineLevel="0" collapsed="false">
      <c r="A6" s="11" t="n">
        <f aca="false">IF($K6="","",2)</f>
        <v>2</v>
      </c>
      <c r="B6" s="26" t="str">
        <f aca="false">IF($K6="","",IF(INDEX(전체!$C$10:$C$69,$K6)="","",INDEX(전체!$C$10:$C$69,$K6)))</f>
        <v>재성밀면</v>
      </c>
      <c r="C6" s="27" t="str">
        <f aca="false">IF($K6="","",IF(INDEX(전체!$D$10:$D$69,$K6)="","",INDEX(전체!$D$10:$D$69,$K6)))</f>
        <v>냉면</v>
      </c>
      <c r="D6" s="11" t="str">
        <f aca="false">IF($K6="","",IF(INDEX(전체!$E$10:$E$69,$K6)="","",INDEX(전체!$E$10:$E$69,$K6)))</f>
        <v>영업 중</v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>동광동3가 17-2</v>
      </c>
      <c r="G6" s="27" t="str">
        <f aca="false">IF($K6="","",IF(INDEX(전체!$H$10:$H$69,$K6)="","",INDEX(전체!$H$10:$H$69,$K6)))</f>
        <v/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n">
        <f aca="false">IFERROR(MATCH($M$2&amp;"|"&amp;2,전체!$L$10:$L$69,0),"")</f>
        <v>9</v>
      </c>
    </row>
    <row r="7" customFormat="false" ht="15" hidden="false" customHeight="false" outlineLevel="0" collapsed="false">
      <c r="A7" s="11" t="n">
        <f aca="false">IF($K7="","",3)</f>
        <v>3</v>
      </c>
      <c r="B7" s="26" t="str">
        <f aca="false">IF($K7="","",IF(INDEX(전체!$C$10:$C$69,$K7)="","",INDEX(전체!$C$10:$C$69,$K7)))</f>
        <v>중앙본가국밥</v>
      </c>
      <c r="C7" s="27" t="str">
        <f aca="false">IF($K7="","",IF(INDEX(전체!$D$10:$D$69,$K7)="","",INDEX(전체!$D$10:$D$69,$K7)))</f>
        <v>국밥</v>
      </c>
      <c r="D7" s="11" t="str">
        <f aca="false">IF($K7="","",IF(INDEX(전체!$E$10:$E$69,$K7)="","",INDEX(전체!$E$10:$E$69,$K7)))</f>
        <v>영업 중</v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>중앙동2가 49-18</v>
      </c>
      <c r="G7" s="27" t="str">
        <f aca="false">IF($K7="","",IF(INDEX(전체!$H$10:$H$69,$K7)="","",INDEX(전체!$H$10:$H$69,$K7)))</f>
        <v>1층</v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n">
        <f aca="false">IFERROR(MATCH($M$2&amp;"|"&amp;3,전체!$L$10:$L$69,0),"")</f>
        <v>10</v>
      </c>
    </row>
    <row r="8" customFormat="false" ht="15" hidden="false" customHeight="false" outlineLevel="0" collapsed="false">
      <c r="A8" s="11" t="n">
        <f aca="false">IF($K8="","",4)</f>
        <v>4</v>
      </c>
      <c r="B8" s="26" t="str">
        <f aca="false">IF($K8="","",IF(INDEX(전체!$C$10:$C$69,$K8)="","",INDEX(전체!$C$10:$C$69,$K8)))</f>
        <v>한양왕순대돼지국밥</v>
      </c>
      <c r="C8" s="27" t="str">
        <f aca="false">IF($K8="","",IF(INDEX(전체!$D$10:$D$69,$K8)="","",INDEX(전체!$D$10:$D$69,$K8)))</f>
        <v>국밥</v>
      </c>
      <c r="D8" s="11" t="str">
        <f aca="false">IF($K8="","",IF(INDEX(전체!$E$10:$E$69,$K8)="","",INDEX(전체!$E$10:$E$69,$K8)))</f>
        <v>정보 없음</v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>중앙동1가 22-10</v>
      </c>
      <c r="G8" s="27" t="str">
        <f aca="false">IF($K8="","",IF(INDEX(전체!$H$10:$H$69,$K8)="","",INDEX(전체!$H$10:$H$69,$K8)))</f>
        <v/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n">
        <f aca="false">IFERROR(MATCH($M$2&amp;"|"&amp;4,전체!$L$10:$L$69,0),"")</f>
        <v>14</v>
      </c>
    </row>
    <row r="9" customFormat="false" ht="15" hidden="false" customHeight="false" outlineLevel="0" collapsed="false">
      <c r="A9" s="11" t="n">
        <f aca="false">IF($K9="","",5)</f>
        <v>5</v>
      </c>
      <c r="B9" s="26" t="str">
        <f aca="false">IF($K9="","",IF(INDEX(전체!$C$10:$C$69,$K9)="","",INDEX(전체!$C$10:$C$69,$K9)))</f>
        <v>중앙모밀</v>
      </c>
      <c r="C9" s="27" t="str">
        <f aca="false">IF($K9="","",IF(INDEX(전체!$D$10:$D$69,$K9)="","",INDEX(전체!$D$10:$D$69,$K9)))</f>
        <v>국수</v>
      </c>
      <c r="D9" s="11" t="str">
        <f aca="false">IF($K9="","",IF(INDEX(전체!$E$10:$E$69,$K9)="","",INDEX(전체!$E$10:$E$69,$K9)))</f>
        <v>영업 중</v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>중앙동2가 27-2</v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n">
        <f aca="false">IFERROR(MATCH($M$2&amp;"|"&amp;5,전체!$L$10:$L$69,0),"")</f>
        <v>16</v>
      </c>
    </row>
    <row r="10" customFormat="false" ht="15" hidden="false" customHeight="false" outlineLevel="0" collapsed="false">
      <c r="A10" s="11" t="str">
        <f aca="false">IF($K10="","",6)</f>
        <v/>
      </c>
      <c r="B10" s="26" t="str">
        <f aca="false">IF($K10="","",IF(INDEX(전체!$C$10:$C$69,$K10)="","",INDEX(전체!$C$10:$C$69,$K10)))</f>
        <v/>
      </c>
      <c r="C10" s="27" t="str">
        <f aca="false">IF($K10="","",IF(INDEX(전체!$D$10:$D$69,$K10)="","",INDEX(전체!$D$10:$D$69,$K10)))</f>
        <v/>
      </c>
      <c r="D10" s="11" t="str">
        <f aca="false">IF($K10="","",IF(INDEX(전체!$E$10:$E$69,$K10)="","",INDEX(전체!$E$10:$E$69,$K10)))</f>
        <v/>
      </c>
      <c r="E10" s="11" t="str">
        <f aca="false">IF($K10="","",IF(INDEX(전체!$F$10:$F$69,$K10)="","",INDEX(전체!$F$10:$F$69,$K10)))</f>
        <v/>
      </c>
      <c r="F10" s="27" t="str">
        <f aca="false">IF($K10="","",IF(INDEX(전체!$G$10:$G$69,$K10)="","",INDEX(전체!$G$10:$G$69,$K10)))</f>
        <v/>
      </c>
      <c r="G10" s="27" t="str">
        <f aca="false">IF($K10="","",IF(INDEX(전체!$H$10:$H$69,$K10)="","",INDEX(전체!$H$10:$H$69,$K10)))</f>
        <v/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str">
        <f aca="false">IFERROR(MATCH($M$2&amp;"|"&amp;6,전체!$L$10:$L$69,0),"")</f>
        <v/>
      </c>
    </row>
    <row r="11" customFormat="false" ht="15" hidden="false" customHeight="false" outlineLevel="0" collapsed="false">
      <c r="A11" s="11" t="str">
        <f aca="false">IF($K11="","",7)</f>
        <v/>
      </c>
      <c r="B11" s="26" t="str">
        <f aca="false">IF($K11="","",IF(INDEX(전체!$C$10:$C$69,$K11)="","",INDEX(전체!$C$10:$C$69,$K11)))</f>
        <v/>
      </c>
      <c r="C11" s="27" t="str">
        <f aca="false">IF($K11="","",IF(INDEX(전체!$D$10:$D$69,$K11)="","",INDEX(전체!$D$10:$D$69,$K11)))</f>
        <v/>
      </c>
      <c r="D11" s="11" t="str">
        <f aca="false">IF($K11="","",IF(INDEX(전체!$E$10:$E$69,$K11)="","",INDEX(전체!$E$10:$E$69,$K11)))</f>
        <v/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/>
      </c>
      <c r="G11" s="27" t="str">
        <f aca="false">IF($K11="","",IF(INDEX(전체!$H$10:$H$69,$K11)="","",INDEX(전체!$H$10:$H$69,$K11)))</f>
        <v/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str">
        <f aca="false">IFERROR(MATCH($M$2&amp;"|"&amp;7,전체!$L$10:$L$69,0),"")</f>
        <v/>
      </c>
    </row>
    <row r="12" customFormat="false" ht="15" hidden="false" customHeight="false" outlineLevel="0" collapsed="false">
      <c r="A12" s="11" t="str">
        <f aca="false">IF($K12="","",8)</f>
        <v/>
      </c>
      <c r="B12" s="26" t="str">
        <f aca="false">IF($K12="","",IF(INDEX(전체!$C$10:$C$69,$K12)="","",INDEX(전체!$C$10:$C$69,$K12)))</f>
        <v/>
      </c>
      <c r="C12" s="27" t="str">
        <f aca="false">IF($K12="","",IF(INDEX(전체!$D$10:$D$69,$K12)="","",INDEX(전체!$D$10:$D$69,$K12)))</f>
        <v/>
      </c>
      <c r="D12" s="11" t="str">
        <f aca="false">IF($K12="","",IF(INDEX(전체!$E$10:$E$69,$K12)="","",INDEX(전체!$E$10:$E$69,$K12)))</f>
        <v/>
      </c>
      <c r="E12" s="11" t="str">
        <f aca="false">IF($K12="","",IF(INDEX(전체!$F$10:$F$69,$K12)="","",INDEX(전체!$F$10:$F$69,$K12)))</f>
        <v/>
      </c>
      <c r="F12" s="27" t="str">
        <f aca="false">IF($K12="","",IF(INDEX(전체!$G$10:$G$69,$K12)="","",INDEX(전체!$G$10:$G$69,$K12)))</f>
        <v/>
      </c>
      <c r="G12" s="27" t="str">
        <f aca="false">IF($K12="","",IF(INDEX(전체!$H$10:$H$69,$K12)="","",INDEX(전체!$H$10:$H$69,$K12)))</f>
        <v/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str">
        <f aca="false">IFERROR(MATCH($M$2&amp;"|"&amp;8,전체!$L$10:$L$69,0),"")</f>
        <v/>
      </c>
    </row>
    <row r="13" customFormat="false" ht="15" hidden="false" customHeight="false" outlineLevel="0" collapsed="false">
      <c r="A13" s="11" t="str">
        <f aca="false">IF($K13="","",9)</f>
        <v/>
      </c>
      <c r="B13" s="26" t="str">
        <f aca="false">IF($K13="","",IF(INDEX(전체!$C$10:$C$69,$K13)="","",INDEX(전체!$C$10:$C$69,$K13)))</f>
        <v/>
      </c>
      <c r="C13" s="27" t="str">
        <f aca="false">IF($K13="","",IF(INDEX(전체!$D$10:$D$69,$K13)="","",INDEX(전체!$D$10:$D$69,$K13)))</f>
        <v/>
      </c>
      <c r="D13" s="11" t="str">
        <f aca="false">IF($K13="","",IF(INDEX(전체!$E$10:$E$69,$K13)="","",INDEX(전체!$E$10:$E$69,$K13)))</f>
        <v/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/>
      </c>
      <c r="G13" s="27" t="str">
        <f aca="false">IF($K13="","",IF(INDEX(전체!$H$10:$H$69,$K13)="","",INDEX(전체!$H$10:$H$69,$K13)))</f>
        <v/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str">
        <f aca="false">IFERROR(MATCH($M$2&amp;"|"&amp;9,전체!$L$10:$L$69,0),"")</f>
        <v/>
      </c>
    </row>
    <row r="14" customFormat="false" ht="15" hidden="false" customHeight="false" outlineLevel="0" collapsed="false">
      <c r="A14" s="11" t="str">
        <f aca="false">IF($K14="","",10)</f>
        <v/>
      </c>
      <c r="B14" s="26" t="str">
        <f aca="false">IF($K14="","",IF(INDEX(전체!$C$10:$C$69,$K14)="","",INDEX(전체!$C$10:$C$69,$K14)))</f>
        <v/>
      </c>
      <c r="C14" s="27" t="str">
        <f aca="false">IF($K14="","",IF(INDEX(전체!$D$10:$D$69,$K14)="","",INDEX(전체!$D$10:$D$69,$K14)))</f>
        <v/>
      </c>
      <c r="D14" s="11" t="str">
        <f aca="false">IF($K14="","",IF(INDEX(전체!$E$10:$E$69,$K14)="","",INDEX(전체!$E$10:$E$69,$K14)))</f>
        <v/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/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str">
        <f aca="false">IFERROR(MATCH($M$2&amp;"|"&amp;10,전체!$L$10:$L$69,0),"")</f>
        <v/>
      </c>
    </row>
    <row r="15" customFormat="false" ht="15" hidden="false" customHeight="false" outlineLevel="0" collapsed="false">
      <c r="A15" s="11" t="str">
        <f aca="false">IF($K15="","",11)</f>
        <v/>
      </c>
      <c r="B15" s="26" t="str">
        <f aca="false">IF($K15="","",IF(INDEX(전체!$C$10:$C$69,$K15)="","",INDEX(전체!$C$10:$C$69,$K15)))</f>
        <v/>
      </c>
      <c r="C15" s="27" t="str">
        <f aca="false">IF($K15="","",IF(INDEX(전체!$D$10:$D$69,$K15)="","",INDEX(전체!$D$10:$D$69,$K15)))</f>
        <v/>
      </c>
      <c r="D15" s="11" t="str">
        <f aca="false">IF($K15="","",IF(INDEX(전체!$E$10:$E$69,$K15)="","",INDEX(전체!$E$10:$E$69,$K15)))</f>
        <v/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/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str">
        <f aca="false">IFERROR(MATCH($M$2&amp;"|"&amp;11,전체!$L$10:$L$69,0),"")</f>
        <v/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18.55" hidden="false" customHeight="false" outlineLevel="0" collapsed="false">
      <c r="A1" s="1" t="s">
        <v>24</v>
      </c>
      <c r="C1" s="22" t="str">
        <f aca="false">COUNTIF(전체!$B$10:$B$69,"중식")&amp;"곳"</f>
        <v>2곳</v>
      </c>
    </row>
    <row r="2" customFormat="false" ht="15" hidden="false" customHeight="false" outlineLevel="0" collapsed="false">
      <c r="A2" s="23" t="s">
        <v>101</v>
      </c>
      <c r="M2" s="24" t="s">
        <v>24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편의방</v>
      </c>
      <c r="C5" s="27" t="str">
        <f aca="false">IF($K5="","",IF(INDEX(전체!$D$10:$D$69,$K5)="","",INDEX(전체!$D$10:$D$69,$K5)))</f>
        <v>딤섬,중식만두</v>
      </c>
      <c r="D5" s="11" t="str">
        <f aca="false">IF($K5="","",IF(INDEX(전체!$E$10:$E$69,$K5)="","",INDEX(전체!$E$10:$E$69,$K5)))</f>
        <v>영업 중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중앙동4가 30-5</v>
      </c>
      <c r="G5" s="27" t="str">
        <f aca="false">IF($K5="","",IF(INDEX(전체!$H$10:$H$69,$K5)="","",INDEX(전체!$H$10:$H$69,$K5)))</f>
        <v>1층</v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1</v>
      </c>
    </row>
    <row r="6" customFormat="false" ht="15" hidden="false" customHeight="false" outlineLevel="0" collapsed="false">
      <c r="A6" s="11" t="n">
        <f aca="false">IF($K6="","",2)</f>
        <v>2</v>
      </c>
      <c r="B6" s="26" t="str">
        <f aca="false">IF($K6="","",IF(INDEX(전체!$C$10:$C$69,$K6)="","",INDEX(전체!$C$10:$C$69,$K6)))</f>
        <v>동해반점</v>
      </c>
      <c r="C6" s="27" t="str">
        <f aca="false">IF($K6="","",IF(INDEX(전체!$D$10:$D$69,$K6)="","",INDEX(전체!$D$10:$D$69,$K6)))</f>
        <v>중식당</v>
      </c>
      <c r="D6" s="11" t="str">
        <f aca="false">IF($K6="","",IF(INDEX(전체!$E$10:$E$69,$K6)="","",INDEX(전체!$E$10:$E$69,$K6)))</f>
        <v>정보 없음</v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>중앙동6가 3-1</v>
      </c>
      <c r="G6" s="27" t="str">
        <f aca="false">IF($K6="","",IF(INDEX(전체!$H$10:$H$69,$K6)="","",INDEX(전체!$H$10:$H$69,$K6)))</f>
        <v/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n">
        <f aca="false">IFERROR(MATCH($M$2&amp;"|"&amp;2,전체!$L$10:$L$69,0),"")</f>
        <v>23</v>
      </c>
    </row>
    <row r="7" customFormat="false" ht="15" hidden="false" customHeight="false" outlineLevel="0" collapsed="false">
      <c r="A7" s="11" t="str">
        <f aca="false">IF($K7="","",3)</f>
        <v/>
      </c>
      <c r="B7" s="26" t="str">
        <f aca="false">IF($K7="","",IF(INDEX(전체!$C$10:$C$69,$K7)="","",INDEX(전체!$C$10:$C$69,$K7)))</f>
        <v/>
      </c>
      <c r="C7" s="27" t="str">
        <f aca="false">IF($K7="","",IF(INDEX(전체!$D$10:$D$69,$K7)="","",INDEX(전체!$D$10:$D$69,$K7)))</f>
        <v/>
      </c>
      <c r="D7" s="11" t="str">
        <f aca="false">IF($K7="","",IF(INDEX(전체!$E$10:$E$69,$K7)="","",INDEX(전체!$E$10:$E$69,$K7)))</f>
        <v/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/>
      </c>
      <c r="G7" s="27" t="str">
        <f aca="false">IF($K7="","",IF(INDEX(전체!$H$10:$H$69,$K7)="","",INDEX(전체!$H$10:$H$69,$K7)))</f>
        <v/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str">
        <f aca="false">IFERROR(MATCH($M$2&amp;"|"&amp;3,전체!$L$10:$L$69,0),"")</f>
        <v/>
      </c>
    </row>
    <row r="8" customFormat="false" ht="15" hidden="false" customHeight="false" outlineLevel="0" collapsed="false">
      <c r="A8" s="11" t="str">
        <f aca="false">IF($K8="","",4)</f>
        <v/>
      </c>
      <c r="B8" s="26" t="str">
        <f aca="false">IF($K8="","",IF(INDEX(전체!$C$10:$C$69,$K8)="","",INDEX(전체!$C$10:$C$69,$K8)))</f>
        <v/>
      </c>
      <c r="C8" s="27" t="str">
        <f aca="false">IF($K8="","",IF(INDEX(전체!$D$10:$D$69,$K8)="","",INDEX(전체!$D$10:$D$69,$K8)))</f>
        <v/>
      </c>
      <c r="D8" s="11" t="str">
        <f aca="false">IF($K8="","",IF(INDEX(전체!$E$10:$E$69,$K8)="","",INDEX(전체!$E$10:$E$69,$K8)))</f>
        <v/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/>
      </c>
      <c r="G8" s="27" t="str">
        <f aca="false">IF($K8="","",IF(INDEX(전체!$H$10:$H$69,$K8)="","",INDEX(전체!$H$10:$H$69,$K8)))</f>
        <v/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str">
        <f aca="false">IFERROR(MATCH($M$2&amp;"|"&amp;4,전체!$L$10:$L$69,0),"")</f>
        <v/>
      </c>
    </row>
    <row r="9" customFormat="false" ht="15" hidden="false" customHeight="false" outlineLevel="0" collapsed="false">
      <c r="A9" s="11" t="str">
        <f aca="false">IF($K9="","",5)</f>
        <v/>
      </c>
      <c r="B9" s="26" t="str">
        <f aca="false">IF($K9="","",IF(INDEX(전체!$C$10:$C$69,$K9)="","",INDEX(전체!$C$10:$C$69,$K9)))</f>
        <v/>
      </c>
      <c r="C9" s="27" t="str">
        <f aca="false">IF($K9="","",IF(INDEX(전체!$D$10:$D$69,$K9)="","",INDEX(전체!$D$10:$D$69,$K9)))</f>
        <v/>
      </c>
      <c r="D9" s="11" t="str">
        <f aca="false">IF($K9="","",IF(INDEX(전체!$E$10:$E$69,$K9)="","",INDEX(전체!$E$10:$E$69,$K9)))</f>
        <v/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/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str">
        <f aca="false">IFERROR(MATCH($M$2&amp;"|"&amp;5,전체!$L$10:$L$69,0),"")</f>
        <v/>
      </c>
    </row>
    <row r="10" customFormat="false" ht="15" hidden="false" customHeight="false" outlineLevel="0" collapsed="false">
      <c r="A10" s="11" t="str">
        <f aca="false">IF($K10="","",6)</f>
        <v/>
      </c>
      <c r="B10" s="26" t="str">
        <f aca="false">IF($K10="","",IF(INDEX(전체!$C$10:$C$69,$K10)="","",INDEX(전체!$C$10:$C$69,$K10)))</f>
        <v/>
      </c>
      <c r="C10" s="27" t="str">
        <f aca="false">IF($K10="","",IF(INDEX(전체!$D$10:$D$69,$K10)="","",INDEX(전체!$D$10:$D$69,$K10)))</f>
        <v/>
      </c>
      <c r="D10" s="11" t="str">
        <f aca="false">IF($K10="","",IF(INDEX(전체!$E$10:$E$69,$K10)="","",INDEX(전체!$E$10:$E$69,$K10)))</f>
        <v/>
      </c>
      <c r="E10" s="11" t="str">
        <f aca="false">IF($K10="","",IF(INDEX(전체!$F$10:$F$69,$K10)="","",INDEX(전체!$F$10:$F$69,$K10)))</f>
        <v/>
      </c>
      <c r="F10" s="27" t="str">
        <f aca="false">IF($K10="","",IF(INDEX(전체!$G$10:$G$69,$K10)="","",INDEX(전체!$G$10:$G$69,$K10)))</f>
        <v/>
      </c>
      <c r="G10" s="27" t="str">
        <f aca="false">IF($K10="","",IF(INDEX(전체!$H$10:$H$69,$K10)="","",INDEX(전체!$H$10:$H$69,$K10)))</f>
        <v/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str">
        <f aca="false">IFERROR(MATCH($M$2&amp;"|"&amp;6,전체!$L$10:$L$69,0),"")</f>
        <v/>
      </c>
    </row>
    <row r="11" customFormat="false" ht="15" hidden="false" customHeight="false" outlineLevel="0" collapsed="false">
      <c r="A11" s="11" t="str">
        <f aca="false">IF($K11="","",7)</f>
        <v/>
      </c>
      <c r="B11" s="26" t="str">
        <f aca="false">IF($K11="","",IF(INDEX(전체!$C$10:$C$69,$K11)="","",INDEX(전체!$C$10:$C$69,$K11)))</f>
        <v/>
      </c>
      <c r="C11" s="27" t="str">
        <f aca="false">IF($K11="","",IF(INDEX(전체!$D$10:$D$69,$K11)="","",INDEX(전체!$D$10:$D$69,$K11)))</f>
        <v/>
      </c>
      <c r="D11" s="11" t="str">
        <f aca="false">IF($K11="","",IF(INDEX(전체!$E$10:$E$69,$K11)="","",INDEX(전체!$E$10:$E$69,$K11)))</f>
        <v/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/>
      </c>
      <c r="G11" s="27" t="str">
        <f aca="false">IF($K11="","",IF(INDEX(전체!$H$10:$H$69,$K11)="","",INDEX(전체!$H$10:$H$69,$K11)))</f>
        <v/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str">
        <f aca="false">IFERROR(MATCH($M$2&amp;"|"&amp;7,전체!$L$10:$L$69,0),"")</f>
        <v/>
      </c>
    </row>
    <row r="12" customFormat="false" ht="15" hidden="false" customHeight="false" outlineLevel="0" collapsed="false">
      <c r="A12" s="11" t="str">
        <f aca="false">IF($K12="","",8)</f>
        <v/>
      </c>
      <c r="B12" s="26" t="str">
        <f aca="false">IF($K12="","",IF(INDEX(전체!$C$10:$C$69,$K12)="","",INDEX(전체!$C$10:$C$69,$K12)))</f>
        <v/>
      </c>
      <c r="C12" s="27" t="str">
        <f aca="false">IF($K12="","",IF(INDEX(전체!$D$10:$D$69,$K12)="","",INDEX(전체!$D$10:$D$69,$K12)))</f>
        <v/>
      </c>
      <c r="D12" s="11" t="str">
        <f aca="false">IF($K12="","",IF(INDEX(전체!$E$10:$E$69,$K12)="","",INDEX(전체!$E$10:$E$69,$K12)))</f>
        <v/>
      </c>
      <c r="E12" s="11" t="str">
        <f aca="false">IF($K12="","",IF(INDEX(전체!$F$10:$F$69,$K12)="","",INDEX(전체!$F$10:$F$69,$K12)))</f>
        <v/>
      </c>
      <c r="F12" s="27" t="str">
        <f aca="false">IF($K12="","",IF(INDEX(전체!$G$10:$G$69,$K12)="","",INDEX(전체!$G$10:$G$69,$K12)))</f>
        <v/>
      </c>
      <c r="G12" s="27" t="str">
        <f aca="false">IF($K12="","",IF(INDEX(전체!$H$10:$H$69,$K12)="","",INDEX(전체!$H$10:$H$69,$K12)))</f>
        <v/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str">
        <f aca="false">IFERROR(MATCH($M$2&amp;"|"&amp;8,전체!$L$10:$L$69,0),"")</f>
        <v/>
      </c>
    </row>
    <row r="13" customFormat="false" ht="15" hidden="false" customHeight="false" outlineLevel="0" collapsed="false">
      <c r="A13" s="11" t="str">
        <f aca="false">IF($K13="","",9)</f>
        <v/>
      </c>
      <c r="B13" s="26" t="str">
        <f aca="false">IF($K13="","",IF(INDEX(전체!$C$10:$C$69,$K13)="","",INDEX(전체!$C$10:$C$69,$K13)))</f>
        <v/>
      </c>
      <c r="C13" s="27" t="str">
        <f aca="false">IF($K13="","",IF(INDEX(전체!$D$10:$D$69,$K13)="","",INDEX(전체!$D$10:$D$69,$K13)))</f>
        <v/>
      </c>
      <c r="D13" s="11" t="str">
        <f aca="false">IF($K13="","",IF(INDEX(전체!$E$10:$E$69,$K13)="","",INDEX(전체!$E$10:$E$69,$K13)))</f>
        <v/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/>
      </c>
      <c r="G13" s="27" t="str">
        <f aca="false">IF($K13="","",IF(INDEX(전체!$H$10:$H$69,$K13)="","",INDEX(전체!$H$10:$H$69,$K13)))</f>
        <v/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str">
        <f aca="false">IFERROR(MATCH($M$2&amp;"|"&amp;9,전체!$L$10:$L$69,0),"")</f>
        <v/>
      </c>
    </row>
    <row r="14" customFormat="false" ht="15" hidden="false" customHeight="false" outlineLevel="0" collapsed="false">
      <c r="A14" s="11" t="str">
        <f aca="false">IF($K14="","",10)</f>
        <v/>
      </c>
      <c r="B14" s="26" t="str">
        <f aca="false">IF($K14="","",IF(INDEX(전체!$C$10:$C$69,$K14)="","",INDEX(전체!$C$10:$C$69,$K14)))</f>
        <v/>
      </c>
      <c r="C14" s="27" t="str">
        <f aca="false">IF($K14="","",IF(INDEX(전체!$D$10:$D$69,$K14)="","",INDEX(전체!$D$10:$D$69,$K14)))</f>
        <v/>
      </c>
      <c r="D14" s="11" t="str">
        <f aca="false">IF($K14="","",IF(INDEX(전체!$E$10:$E$69,$K14)="","",INDEX(전체!$E$10:$E$69,$K14)))</f>
        <v/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/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str">
        <f aca="false">IFERROR(MATCH($M$2&amp;"|"&amp;10,전체!$L$10:$L$69,0),"")</f>
        <v/>
      </c>
    </row>
    <row r="15" customFormat="false" ht="15" hidden="false" customHeight="false" outlineLevel="0" collapsed="false">
      <c r="A15" s="11" t="str">
        <f aca="false">IF($K15="","",11)</f>
        <v/>
      </c>
      <c r="B15" s="26" t="str">
        <f aca="false">IF($K15="","",IF(INDEX(전체!$C$10:$C$69,$K15)="","",INDEX(전체!$C$10:$C$69,$K15)))</f>
        <v/>
      </c>
      <c r="C15" s="27" t="str">
        <f aca="false">IF($K15="","",IF(INDEX(전체!$D$10:$D$69,$K15)="","",INDEX(전체!$D$10:$D$69,$K15)))</f>
        <v/>
      </c>
      <c r="D15" s="11" t="str">
        <f aca="false">IF($K15="","",IF(INDEX(전체!$E$10:$E$69,$K15)="","",INDEX(전체!$E$10:$E$69,$K15)))</f>
        <v/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/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str">
        <f aca="false">IFERROR(MATCH($M$2&amp;"|"&amp;11,전체!$L$10:$L$69,0),"")</f>
        <v/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18.55" hidden="false" customHeight="false" outlineLevel="0" collapsed="false">
      <c r="A1" s="1" t="s">
        <v>30</v>
      </c>
      <c r="C1" s="22" t="str">
        <f aca="false">COUNTIF(전체!$B$10:$B$69,"일식")&amp;"곳"</f>
        <v>4곳</v>
      </c>
    </row>
    <row r="2" customFormat="false" ht="15" hidden="false" customHeight="false" outlineLevel="0" collapsed="false">
      <c r="A2" s="23" t="s">
        <v>101</v>
      </c>
      <c r="M2" s="24" t="s">
        <v>30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리틀훅라멘</v>
      </c>
      <c r="C5" s="27" t="str">
        <f aca="false">IF($K5="","",IF(INDEX(전체!$D$10:$D$69,$K5)="","",INDEX(전체!$D$10:$D$69,$K5)))</f>
        <v>일본식라면</v>
      </c>
      <c r="D5" s="11" t="str">
        <f aca="false">IF($K5="","",IF(INDEX(전체!$E$10:$E$69,$K5)="","",INDEX(전체!$E$10:$E$69,$K5)))</f>
        <v>영업 중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중앙동3가 17-1</v>
      </c>
      <c r="G5" s="27" t="str">
        <f aca="false">IF($K5="","",IF(INDEX(전체!$H$10:$H$69,$K5)="","",INDEX(전체!$H$10:$H$69,$K5)))</f>
        <v>1층</v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2</v>
      </c>
    </row>
    <row r="6" customFormat="false" ht="15" hidden="false" customHeight="false" outlineLevel="0" collapsed="false">
      <c r="A6" s="11" t="n">
        <f aca="false">IF($K6="","",2)</f>
        <v>2</v>
      </c>
      <c r="B6" s="26" t="str">
        <f aca="false">IF($K6="","",IF(INDEX(전체!$C$10:$C$69,$K6)="","",INDEX(전체!$C$10:$C$69,$K6)))</f>
        <v>성식당 중앙본점</v>
      </c>
      <c r="C6" s="27" t="str">
        <f aca="false">IF($K6="","",IF(INDEX(전체!$D$10:$D$69,$K6)="","",INDEX(전체!$D$10:$D$69,$K6)))</f>
        <v>초밥,롤</v>
      </c>
      <c r="D6" s="11" t="str">
        <f aca="false">IF($K6="","",IF(INDEX(전체!$E$10:$E$69,$K6)="","",INDEX(전체!$E$10:$E$69,$K6)))</f>
        <v>영업 중</v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>중앙동3가 14-11</v>
      </c>
      <c r="G6" s="27" t="str">
        <f aca="false">IF($K6="","",IF(INDEX(전체!$H$10:$H$69,$K6)="","",INDEX(전체!$H$10:$H$69,$K6)))</f>
        <v>1층</v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n">
        <f aca="false">IFERROR(MATCH($M$2&amp;"|"&amp;2,전체!$L$10:$L$69,0),"")</f>
        <v>3</v>
      </c>
    </row>
    <row r="7" customFormat="false" ht="15" hidden="false" customHeight="false" outlineLevel="0" collapsed="false">
      <c r="A7" s="11" t="n">
        <f aca="false">IF($K7="","",3)</f>
        <v>3</v>
      </c>
      <c r="B7" s="26" t="str">
        <f aca="false">IF($K7="","",IF(INDEX(전체!$C$10:$C$69,$K7)="","",INDEX(전체!$C$10:$C$69,$K7)))</f>
        <v>어스</v>
      </c>
      <c r="C7" s="27" t="str">
        <f aca="false">IF($K7="","",IF(INDEX(전체!$D$10:$D$69,$K7)="","",INDEX(전체!$D$10:$D$69,$K7)))</f>
        <v>일식당</v>
      </c>
      <c r="D7" s="11" t="str">
        <f aca="false">IF($K7="","",IF(INDEX(전체!$E$10:$E$69,$K7)="","",INDEX(전체!$E$10:$E$69,$K7)))</f>
        <v>영업 중</v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>중앙동3가 14-9</v>
      </c>
      <c r="G7" s="27" t="str">
        <f aca="false">IF($K7="","",IF(INDEX(전체!$H$10:$H$69,$K7)="","",INDEX(전체!$H$10:$H$69,$K7)))</f>
        <v>1층</v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n">
        <f aca="false">IFERROR(MATCH($M$2&amp;"|"&amp;3,전체!$L$10:$L$69,0),"")</f>
        <v>15</v>
      </c>
    </row>
    <row r="8" customFormat="false" ht="15" hidden="false" customHeight="false" outlineLevel="0" collapsed="false">
      <c r="A8" s="11" t="n">
        <f aca="false">IF($K8="","",4)</f>
        <v>4</v>
      </c>
      <c r="B8" s="26" t="str">
        <f aca="false">IF($K8="","",IF(INDEX(전체!$C$10:$C$69,$K8)="","",INDEX(전체!$C$10:$C$69,$K8)))</f>
        <v>류센소 롯데백화점 광복점</v>
      </c>
      <c r="C8" s="27" t="str">
        <f aca="false">IF($K8="","",IF(INDEX(전체!$D$10:$D$69,$K8)="","",INDEX(전체!$D$10:$D$69,$K8)))</f>
        <v>일식당</v>
      </c>
      <c r="D8" s="11" t="str">
        <f aca="false">IF($K8="","",IF(INDEX(전체!$E$10:$E$69,$K8)="","",INDEX(전체!$E$10:$E$69,$K8)))</f>
        <v>영업 중</v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>중앙동7가 20-1</v>
      </c>
      <c r="G8" s="27" t="str">
        <f aca="false">IF($K8="","",IF(INDEX(전체!$H$10:$H$69,$K8)="","",INDEX(전체!$H$10:$H$69,$K8)))</f>
        <v>본관 지하 1층</v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n">
        <f aca="false">IFERROR(MATCH($M$2&amp;"|"&amp;4,전체!$L$10:$L$69,0),"")</f>
        <v>18</v>
      </c>
    </row>
    <row r="9" customFormat="false" ht="15" hidden="false" customHeight="false" outlineLevel="0" collapsed="false">
      <c r="A9" s="11" t="str">
        <f aca="false">IF($K9="","",5)</f>
        <v/>
      </c>
      <c r="B9" s="26" t="str">
        <f aca="false">IF($K9="","",IF(INDEX(전체!$C$10:$C$69,$K9)="","",INDEX(전체!$C$10:$C$69,$K9)))</f>
        <v/>
      </c>
      <c r="C9" s="27" t="str">
        <f aca="false">IF($K9="","",IF(INDEX(전체!$D$10:$D$69,$K9)="","",INDEX(전체!$D$10:$D$69,$K9)))</f>
        <v/>
      </c>
      <c r="D9" s="11" t="str">
        <f aca="false">IF($K9="","",IF(INDEX(전체!$E$10:$E$69,$K9)="","",INDEX(전체!$E$10:$E$69,$K9)))</f>
        <v/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/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str">
        <f aca="false">IFERROR(MATCH($M$2&amp;"|"&amp;5,전체!$L$10:$L$69,0),"")</f>
        <v/>
      </c>
    </row>
    <row r="10" customFormat="false" ht="15" hidden="false" customHeight="false" outlineLevel="0" collapsed="false">
      <c r="A10" s="11" t="str">
        <f aca="false">IF($K10="","",6)</f>
        <v/>
      </c>
      <c r="B10" s="26" t="str">
        <f aca="false">IF($K10="","",IF(INDEX(전체!$C$10:$C$69,$K10)="","",INDEX(전체!$C$10:$C$69,$K10)))</f>
        <v/>
      </c>
      <c r="C10" s="27" t="str">
        <f aca="false">IF($K10="","",IF(INDEX(전체!$D$10:$D$69,$K10)="","",INDEX(전체!$D$10:$D$69,$K10)))</f>
        <v/>
      </c>
      <c r="D10" s="11" t="str">
        <f aca="false">IF($K10="","",IF(INDEX(전체!$E$10:$E$69,$K10)="","",INDEX(전체!$E$10:$E$69,$K10)))</f>
        <v/>
      </c>
      <c r="E10" s="11" t="str">
        <f aca="false">IF($K10="","",IF(INDEX(전체!$F$10:$F$69,$K10)="","",INDEX(전체!$F$10:$F$69,$K10)))</f>
        <v/>
      </c>
      <c r="F10" s="27" t="str">
        <f aca="false">IF($K10="","",IF(INDEX(전체!$G$10:$G$69,$K10)="","",INDEX(전체!$G$10:$G$69,$K10)))</f>
        <v/>
      </c>
      <c r="G10" s="27" t="str">
        <f aca="false">IF($K10="","",IF(INDEX(전체!$H$10:$H$69,$K10)="","",INDEX(전체!$H$10:$H$69,$K10)))</f>
        <v/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str">
        <f aca="false">IFERROR(MATCH($M$2&amp;"|"&amp;6,전체!$L$10:$L$69,0),"")</f>
        <v/>
      </c>
    </row>
    <row r="11" customFormat="false" ht="15" hidden="false" customHeight="false" outlineLevel="0" collapsed="false">
      <c r="A11" s="11" t="str">
        <f aca="false">IF($K11="","",7)</f>
        <v/>
      </c>
      <c r="B11" s="26" t="str">
        <f aca="false">IF($K11="","",IF(INDEX(전체!$C$10:$C$69,$K11)="","",INDEX(전체!$C$10:$C$69,$K11)))</f>
        <v/>
      </c>
      <c r="C11" s="27" t="str">
        <f aca="false">IF($K11="","",IF(INDEX(전체!$D$10:$D$69,$K11)="","",INDEX(전체!$D$10:$D$69,$K11)))</f>
        <v/>
      </c>
      <c r="D11" s="11" t="str">
        <f aca="false">IF($K11="","",IF(INDEX(전체!$E$10:$E$69,$K11)="","",INDEX(전체!$E$10:$E$69,$K11)))</f>
        <v/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/>
      </c>
      <c r="G11" s="27" t="str">
        <f aca="false">IF($K11="","",IF(INDEX(전체!$H$10:$H$69,$K11)="","",INDEX(전체!$H$10:$H$69,$K11)))</f>
        <v/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str">
        <f aca="false">IFERROR(MATCH($M$2&amp;"|"&amp;7,전체!$L$10:$L$69,0),"")</f>
        <v/>
      </c>
    </row>
    <row r="12" customFormat="false" ht="15" hidden="false" customHeight="false" outlineLevel="0" collapsed="false">
      <c r="A12" s="11" t="str">
        <f aca="false">IF($K12="","",8)</f>
        <v/>
      </c>
      <c r="B12" s="26" t="str">
        <f aca="false">IF($K12="","",IF(INDEX(전체!$C$10:$C$69,$K12)="","",INDEX(전체!$C$10:$C$69,$K12)))</f>
        <v/>
      </c>
      <c r="C12" s="27" t="str">
        <f aca="false">IF($K12="","",IF(INDEX(전체!$D$10:$D$69,$K12)="","",INDEX(전체!$D$10:$D$69,$K12)))</f>
        <v/>
      </c>
      <c r="D12" s="11" t="str">
        <f aca="false">IF($K12="","",IF(INDEX(전체!$E$10:$E$69,$K12)="","",INDEX(전체!$E$10:$E$69,$K12)))</f>
        <v/>
      </c>
      <c r="E12" s="11" t="str">
        <f aca="false">IF($K12="","",IF(INDEX(전체!$F$10:$F$69,$K12)="","",INDEX(전체!$F$10:$F$69,$K12)))</f>
        <v/>
      </c>
      <c r="F12" s="27" t="str">
        <f aca="false">IF($K12="","",IF(INDEX(전체!$G$10:$G$69,$K12)="","",INDEX(전체!$G$10:$G$69,$K12)))</f>
        <v/>
      </c>
      <c r="G12" s="27" t="str">
        <f aca="false">IF($K12="","",IF(INDEX(전체!$H$10:$H$69,$K12)="","",INDEX(전체!$H$10:$H$69,$K12)))</f>
        <v/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str">
        <f aca="false">IFERROR(MATCH($M$2&amp;"|"&amp;8,전체!$L$10:$L$69,0),"")</f>
        <v/>
      </c>
    </row>
    <row r="13" customFormat="false" ht="15" hidden="false" customHeight="false" outlineLevel="0" collapsed="false">
      <c r="A13" s="11" t="str">
        <f aca="false">IF($K13="","",9)</f>
        <v/>
      </c>
      <c r="B13" s="26" t="str">
        <f aca="false">IF($K13="","",IF(INDEX(전체!$C$10:$C$69,$K13)="","",INDEX(전체!$C$10:$C$69,$K13)))</f>
        <v/>
      </c>
      <c r="C13" s="27" t="str">
        <f aca="false">IF($K13="","",IF(INDEX(전체!$D$10:$D$69,$K13)="","",INDEX(전체!$D$10:$D$69,$K13)))</f>
        <v/>
      </c>
      <c r="D13" s="11" t="str">
        <f aca="false">IF($K13="","",IF(INDEX(전체!$E$10:$E$69,$K13)="","",INDEX(전체!$E$10:$E$69,$K13)))</f>
        <v/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/>
      </c>
      <c r="G13" s="27" t="str">
        <f aca="false">IF($K13="","",IF(INDEX(전체!$H$10:$H$69,$K13)="","",INDEX(전체!$H$10:$H$69,$K13)))</f>
        <v/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str">
        <f aca="false">IFERROR(MATCH($M$2&amp;"|"&amp;9,전체!$L$10:$L$69,0),"")</f>
        <v/>
      </c>
    </row>
    <row r="14" customFormat="false" ht="15" hidden="false" customHeight="false" outlineLevel="0" collapsed="false">
      <c r="A14" s="11" t="str">
        <f aca="false">IF($K14="","",10)</f>
        <v/>
      </c>
      <c r="B14" s="26" t="str">
        <f aca="false">IF($K14="","",IF(INDEX(전체!$C$10:$C$69,$K14)="","",INDEX(전체!$C$10:$C$69,$K14)))</f>
        <v/>
      </c>
      <c r="C14" s="27" t="str">
        <f aca="false">IF($K14="","",IF(INDEX(전체!$D$10:$D$69,$K14)="","",INDEX(전체!$D$10:$D$69,$K14)))</f>
        <v/>
      </c>
      <c r="D14" s="11" t="str">
        <f aca="false">IF($K14="","",IF(INDEX(전체!$E$10:$E$69,$K14)="","",INDEX(전체!$E$10:$E$69,$K14)))</f>
        <v/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/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str">
        <f aca="false">IFERROR(MATCH($M$2&amp;"|"&amp;10,전체!$L$10:$L$69,0),"")</f>
        <v/>
      </c>
    </row>
    <row r="15" customFormat="false" ht="15" hidden="false" customHeight="false" outlineLevel="0" collapsed="false">
      <c r="A15" s="11" t="str">
        <f aca="false">IF($K15="","",11)</f>
        <v/>
      </c>
      <c r="B15" s="26" t="str">
        <f aca="false">IF($K15="","",IF(INDEX(전체!$C$10:$C$69,$K15)="","",INDEX(전체!$C$10:$C$69,$K15)))</f>
        <v/>
      </c>
      <c r="C15" s="27" t="str">
        <f aca="false">IF($K15="","",IF(INDEX(전체!$D$10:$D$69,$K15)="","",INDEX(전체!$D$10:$D$69,$K15)))</f>
        <v/>
      </c>
      <c r="D15" s="11" t="str">
        <f aca="false">IF($K15="","",IF(INDEX(전체!$E$10:$E$69,$K15)="","",INDEX(전체!$E$10:$E$69,$K15)))</f>
        <v/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/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str">
        <f aca="false">IFERROR(MATCH($M$2&amp;"|"&amp;11,전체!$L$10:$L$69,0),"")</f>
        <v/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D1F5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6"/>
  </cols>
  <sheetData>
    <row r="1" customFormat="false" ht="20.1" hidden="false" customHeight="false" outlineLevel="0" collapsed="false">
      <c r="A1" s="1" t="s">
        <v>108</v>
      </c>
      <c r="C1" s="22" t="str">
        <f aca="false">COUNTIF(전체!$B$10:$B$69,"양식·아시안")&amp;"곳"</f>
        <v>1곳</v>
      </c>
    </row>
    <row r="2" customFormat="false" ht="15" hidden="false" customHeight="false" outlineLevel="0" collapsed="false">
      <c r="A2" s="23" t="s">
        <v>101</v>
      </c>
      <c r="M2" s="24" t="s">
        <v>109</v>
      </c>
    </row>
    <row r="4" customFormat="false" ht="26.85" hidden="false" customHeight="false" outlineLevel="0" collapsed="false">
      <c r="A4" s="9" t="s">
        <v>12</v>
      </c>
      <c r="B4" s="10" t="s">
        <v>14</v>
      </c>
      <c r="C4" s="10" t="s">
        <v>15</v>
      </c>
      <c r="D4" s="10" t="s">
        <v>16</v>
      </c>
      <c r="E4" s="10" t="s">
        <v>17</v>
      </c>
      <c r="F4" s="10" t="s">
        <v>18</v>
      </c>
      <c r="G4" s="10" t="s">
        <v>19</v>
      </c>
      <c r="H4" s="10" t="s">
        <v>20</v>
      </c>
      <c r="I4" s="10" t="s">
        <v>102</v>
      </c>
      <c r="J4" s="10" t="s">
        <v>22</v>
      </c>
      <c r="K4" s="25" t="s">
        <v>103</v>
      </c>
    </row>
    <row r="5" customFormat="false" ht="15" hidden="false" customHeight="false" outlineLevel="0" collapsed="false">
      <c r="A5" s="11" t="n">
        <f aca="false">IF($K5="","",1)</f>
        <v>1</v>
      </c>
      <c r="B5" s="26" t="str">
        <f aca="false">IF($K5="","",IF(INDEX(전체!$C$10:$C$69,$K5)="","",INDEX(전체!$C$10:$C$69,$K5)))</f>
        <v>라이옥 롯데백화점 광복점</v>
      </c>
      <c r="C5" s="27" t="str">
        <f aca="false">IF($K5="","",IF(INDEX(전체!$D$10:$D$69,$K5)="","",INDEX(전체!$D$10:$D$69,$K5)))</f>
        <v>베트남음식</v>
      </c>
      <c r="D5" s="11" t="str">
        <f aca="false">IF($K5="","",IF(INDEX(전체!$E$10:$E$69,$K5)="","",INDEX(전체!$E$10:$E$69,$K5)))</f>
        <v>영업 중</v>
      </c>
      <c r="E5" s="11" t="str">
        <f aca="false">IF($K5="","",IF(INDEX(전체!$F$10:$F$69,$K5)="","",INDEX(전체!$F$10:$F$69,$K5)))</f>
        <v/>
      </c>
      <c r="F5" s="27" t="str">
        <f aca="false">IF($K5="","",IF(INDEX(전체!$G$10:$G$69,$K5)="","",INDEX(전체!$G$10:$G$69,$K5)))</f>
        <v>중앙동7가 20-1</v>
      </c>
      <c r="G5" s="27" t="str">
        <f aca="false">IF($K5="","",IF(INDEX(전체!$H$10:$H$69,$K5)="","",INDEX(전체!$H$10:$H$69,$K5)))</f>
        <v>10층</v>
      </c>
      <c r="H5" s="11" t="str">
        <f aca="false">IF($K5="","",IF(INDEX(전체!$I$10:$I$69,$K5)="","",INDEX(전체!$I$10:$I$69,$K5)))</f>
        <v/>
      </c>
      <c r="I5" s="11" t="str">
        <f aca="false">IF($K5="","",IF(INDEX(전체!$J$10:$J$69,$K5)="","",INDEX(전체!$J$10:$J$69,$K5)))</f>
        <v/>
      </c>
      <c r="J5" s="27" t="str">
        <f aca="false">IF($K5="","",IF(INDEX(전체!$K$10:$K$69,$K5)="","",INDEX(전체!$K$10:$K$69,$K5)))</f>
        <v/>
      </c>
      <c r="K5" s="28" t="n">
        <f aca="false">IFERROR(MATCH($M$2&amp;"|"&amp;1,전체!$L$10:$L$69,0),"")</f>
        <v>20</v>
      </c>
    </row>
    <row r="6" customFormat="false" ht="15" hidden="false" customHeight="false" outlineLevel="0" collapsed="false">
      <c r="A6" s="11" t="str">
        <f aca="false">IF($K6="","",2)</f>
        <v/>
      </c>
      <c r="B6" s="26" t="str">
        <f aca="false">IF($K6="","",IF(INDEX(전체!$C$10:$C$69,$K6)="","",INDEX(전체!$C$10:$C$69,$K6)))</f>
        <v/>
      </c>
      <c r="C6" s="27" t="str">
        <f aca="false">IF($K6="","",IF(INDEX(전체!$D$10:$D$69,$K6)="","",INDEX(전체!$D$10:$D$69,$K6)))</f>
        <v/>
      </c>
      <c r="D6" s="11" t="str">
        <f aca="false">IF($K6="","",IF(INDEX(전체!$E$10:$E$69,$K6)="","",INDEX(전체!$E$10:$E$69,$K6)))</f>
        <v/>
      </c>
      <c r="E6" s="11" t="str">
        <f aca="false">IF($K6="","",IF(INDEX(전체!$F$10:$F$69,$K6)="","",INDEX(전체!$F$10:$F$69,$K6)))</f>
        <v/>
      </c>
      <c r="F6" s="27" t="str">
        <f aca="false">IF($K6="","",IF(INDEX(전체!$G$10:$G$69,$K6)="","",INDEX(전체!$G$10:$G$69,$K6)))</f>
        <v/>
      </c>
      <c r="G6" s="27" t="str">
        <f aca="false">IF($K6="","",IF(INDEX(전체!$H$10:$H$69,$K6)="","",INDEX(전체!$H$10:$H$69,$K6)))</f>
        <v/>
      </c>
      <c r="H6" s="11" t="str">
        <f aca="false">IF($K6="","",IF(INDEX(전체!$I$10:$I$69,$K6)="","",INDEX(전체!$I$10:$I$69,$K6)))</f>
        <v/>
      </c>
      <c r="I6" s="11" t="str">
        <f aca="false">IF($K6="","",IF(INDEX(전체!$J$10:$J$69,$K6)="","",INDEX(전체!$J$10:$J$69,$K6)))</f>
        <v/>
      </c>
      <c r="J6" s="27" t="str">
        <f aca="false">IF($K6="","",IF(INDEX(전체!$K$10:$K$69,$K6)="","",INDEX(전체!$K$10:$K$69,$K6)))</f>
        <v/>
      </c>
      <c r="K6" s="28" t="str">
        <f aca="false">IFERROR(MATCH($M$2&amp;"|"&amp;2,전체!$L$10:$L$69,0),"")</f>
        <v/>
      </c>
    </row>
    <row r="7" customFormat="false" ht="15" hidden="false" customHeight="false" outlineLevel="0" collapsed="false">
      <c r="A7" s="11" t="str">
        <f aca="false">IF($K7="","",3)</f>
        <v/>
      </c>
      <c r="B7" s="26" t="str">
        <f aca="false">IF($K7="","",IF(INDEX(전체!$C$10:$C$69,$K7)="","",INDEX(전체!$C$10:$C$69,$K7)))</f>
        <v/>
      </c>
      <c r="C7" s="27" t="str">
        <f aca="false">IF($K7="","",IF(INDEX(전체!$D$10:$D$69,$K7)="","",INDEX(전체!$D$10:$D$69,$K7)))</f>
        <v/>
      </c>
      <c r="D7" s="11" t="str">
        <f aca="false">IF($K7="","",IF(INDEX(전체!$E$10:$E$69,$K7)="","",INDEX(전체!$E$10:$E$69,$K7)))</f>
        <v/>
      </c>
      <c r="E7" s="11" t="str">
        <f aca="false">IF($K7="","",IF(INDEX(전체!$F$10:$F$69,$K7)="","",INDEX(전체!$F$10:$F$69,$K7)))</f>
        <v/>
      </c>
      <c r="F7" s="27" t="str">
        <f aca="false">IF($K7="","",IF(INDEX(전체!$G$10:$G$69,$K7)="","",INDEX(전체!$G$10:$G$69,$K7)))</f>
        <v/>
      </c>
      <c r="G7" s="27" t="str">
        <f aca="false">IF($K7="","",IF(INDEX(전체!$H$10:$H$69,$K7)="","",INDEX(전체!$H$10:$H$69,$K7)))</f>
        <v/>
      </c>
      <c r="H7" s="11" t="str">
        <f aca="false">IF($K7="","",IF(INDEX(전체!$I$10:$I$69,$K7)="","",INDEX(전체!$I$10:$I$69,$K7)))</f>
        <v/>
      </c>
      <c r="I7" s="11" t="str">
        <f aca="false">IF($K7="","",IF(INDEX(전체!$J$10:$J$69,$K7)="","",INDEX(전체!$J$10:$J$69,$K7)))</f>
        <v/>
      </c>
      <c r="J7" s="27" t="str">
        <f aca="false">IF($K7="","",IF(INDEX(전체!$K$10:$K$69,$K7)="","",INDEX(전체!$K$10:$K$69,$K7)))</f>
        <v/>
      </c>
      <c r="K7" s="28" t="str">
        <f aca="false">IFERROR(MATCH($M$2&amp;"|"&amp;3,전체!$L$10:$L$69,0),"")</f>
        <v/>
      </c>
    </row>
    <row r="8" customFormat="false" ht="15" hidden="false" customHeight="false" outlineLevel="0" collapsed="false">
      <c r="A8" s="11" t="str">
        <f aca="false">IF($K8="","",4)</f>
        <v/>
      </c>
      <c r="B8" s="26" t="str">
        <f aca="false">IF($K8="","",IF(INDEX(전체!$C$10:$C$69,$K8)="","",INDEX(전체!$C$10:$C$69,$K8)))</f>
        <v/>
      </c>
      <c r="C8" s="27" t="str">
        <f aca="false">IF($K8="","",IF(INDEX(전체!$D$10:$D$69,$K8)="","",INDEX(전체!$D$10:$D$69,$K8)))</f>
        <v/>
      </c>
      <c r="D8" s="11" t="str">
        <f aca="false">IF($K8="","",IF(INDEX(전체!$E$10:$E$69,$K8)="","",INDEX(전체!$E$10:$E$69,$K8)))</f>
        <v/>
      </c>
      <c r="E8" s="11" t="str">
        <f aca="false">IF($K8="","",IF(INDEX(전체!$F$10:$F$69,$K8)="","",INDEX(전체!$F$10:$F$69,$K8)))</f>
        <v/>
      </c>
      <c r="F8" s="27" t="str">
        <f aca="false">IF($K8="","",IF(INDEX(전체!$G$10:$G$69,$K8)="","",INDEX(전체!$G$10:$G$69,$K8)))</f>
        <v/>
      </c>
      <c r="G8" s="27" t="str">
        <f aca="false">IF($K8="","",IF(INDEX(전체!$H$10:$H$69,$K8)="","",INDEX(전체!$H$10:$H$69,$K8)))</f>
        <v/>
      </c>
      <c r="H8" s="11" t="str">
        <f aca="false">IF($K8="","",IF(INDEX(전체!$I$10:$I$69,$K8)="","",INDEX(전체!$I$10:$I$69,$K8)))</f>
        <v/>
      </c>
      <c r="I8" s="11" t="str">
        <f aca="false">IF($K8="","",IF(INDEX(전체!$J$10:$J$69,$K8)="","",INDEX(전체!$J$10:$J$69,$K8)))</f>
        <v/>
      </c>
      <c r="J8" s="27" t="str">
        <f aca="false">IF($K8="","",IF(INDEX(전체!$K$10:$K$69,$K8)="","",INDEX(전체!$K$10:$K$69,$K8)))</f>
        <v/>
      </c>
      <c r="K8" s="28" t="str">
        <f aca="false">IFERROR(MATCH($M$2&amp;"|"&amp;4,전체!$L$10:$L$69,0),"")</f>
        <v/>
      </c>
    </row>
    <row r="9" customFormat="false" ht="15" hidden="false" customHeight="false" outlineLevel="0" collapsed="false">
      <c r="A9" s="11" t="str">
        <f aca="false">IF($K9="","",5)</f>
        <v/>
      </c>
      <c r="B9" s="26" t="str">
        <f aca="false">IF($K9="","",IF(INDEX(전체!$C$10:$C$69,$K9)="","",INDEX(전체!$C$10:$C$69,$K9)))</f>
        <v/>
      </c>
      <c r="C9" s="27" t="str">
        <f aca="false">IF($K9="","",IF(INDEX(전체!$D$10:$D$69,$K9)="","",INDEX(전체!$D$10:$D$69,$K9)))</f>
        <v/>
      </c>
      <c r="D9" s="11" t="str">
        <f aca="false">IF($K9="","",IF(INDEX(전체!$E$10:$E$69,$K9)="","",INDEX(전체!$E$10:$E$69,$K9)))</f>
        <v/>
      </c>
      <c r="E9" s="11" t="str">
        <f aca="false">IF($K9="","",IF(INDEX(전체!$F$10:$F$69,$K9)="","",INDEX(전체!$F$10:$F$69,$K9)))</f>
        <v/>
      </c>
      <c r="F9" s="27" t="str">
        <f aca="false">IF($K9="","",IF(INDEX(전체!$G$10:$G$69,$K9)="","",INDEX(전체!$G$10:$G$69,$K9)))</f>
        <v/>
      </c>
      <c r="G9" s="27" t="str">
        <f aca="false">IF($K9="","",IF(INDEX(전체!$H$10:$H$69,$K9)="","",INDEX(전체!$H$10:$H$69,$K9)))</f>
        <v/>
      </c>
      <c r="H9" s="11" t="str">
        <f aca="false">IF($K9="","",IF(INDEX(전체!$I$10:$I$69,$K9)="","",INDEX(전체!$I$10:$I$69,$K9)))</f>
        <v/>
      </c>
      <c r="I9" s="11" t="str">
        <f aca="false">IF($K9="","",IF(INDEX(전체!$J$10:$J$69,$K9)="","",INDEX(전체!$J$10:$J$69,$K9)))</f>
        <v/>
      </c>
      <c r="J9" s="27" t="str">
        <f aca="false">IF($K9="","",IF(INDEX(전체!$K$10:$K$69,$K9)="","",INDEX(전체!$K$10:$K$69,$K9)))</f>
        <v/>
      </c>
      <c r="K9" s="28" t="str">
        <f aca="false">IFERROR(MATCH($M$2&amp;"|"&amp;5,전체!$L$10:$L$69,0),"")</f>
        <v/>
      </c>
    </row>
    <row r="10" customFormat="false" ht="15" hidden="false" customHeight="false" outlineLevel="0" collapsed="false">
      <c r="A10" s="11" t="str">
        <f aca="false">IF($K10="","",6)</f>
        <v/>
      </c>
      <c r="B10" s="26" t="str">
        <f aca="false">IF($K10="","",IF(INDEX(전체!$C$10:$C$69,$K10)="","",INDEX(전체!$C$10:$C$69,$K10)))</f>
        <v/>
      </c>
      <c r="C10" s="27" t="str">
        <f aca="false">IF($K10="","",IF(INDEX(전체!$D$10:$D$69,$K10)="","",INDEX(전체!$D$10:$D$69,$K10)))</f>
        <v/>
      </c>
      <c r="D10" s="11" t="str">
        <f aca="false">IF($K10="","",IF(INDEX(전체!$E$10:$E$69,$K10)="","",INDEX(전체!$E$10:$E$69,$K10)))</f>
        <v/>
      </c>
      <c r="E10" s="11" t="str">
        <f aca="false">IF($K10="","",IF(INDEX(전체!$F$10:$F$69,$K10)="","",INDEX(전체!$F$10:$F$69,$K10)))</f>
        <v/>
      </c>
      <c r="F10" s="27" t="str">
        <f aca="false">IF($K10="","",IF(INDEX(전체!$G$10:$G$69,$K10)="","",INDEX(전체!$G$10:$G$69,$K10)))</f>
        <v/>
      </c>
      <c r="G10" s="27" t="str">
        <f aca="false">IF($K10="","",IF(INDEX(전체!$H$10:$H$69,$K10)="","",INDEX(전체!$H$10:$H$69,$K10)))</f>
        <v/>
      </c>
      <c r="H10" s="11" t="str">
        <f aca="false">IF($K10="","",IF(INDEX(전체!$I$10:$I$69,$K10)="","",INDEX(전체!$I$10:$I$69,$K10)))</f>
        <v/>
      </c>
      <c r="I10" s="11" t="str">
        <f aca="false">IF($K10="","",IF(INDEX(전체!$J$10:$J$69,$K10)="","",INDEX(전체!$J$10:$J$69,$K10)))</f>
        <v/>
      </c>
      <c r="J10" s="27" t="str">
        <f aca="false">IF($K10="","",IF(INDEX(전체!$K$10:$K$69,$K10)="","",INDEX(전체!$K$10:$K$69,$K10)))</f>
        <v/>
      </c>
      <c r="K10" s="28" t="str">
        <f aca="false">IFERROR(MATCH($M$2&amp;"|"&amp;6,전체!$L$10:$L$69,0),"")</f>
        <v/>
      </c>
    </row>
    <row r="11" customFormat="false" ht="15" hidden="false" customHeight="false" outlineLevel="0" collapsed="false">
      <c r="A11" s="11" t="str">
        <f aca="false">IF($K11="","",7)</f>
        <v/>
      </c>
      <c r="B11" s="26" t="str">
        <f aca="false">IF($K11="","",IF(INDEX(전체!$C$10:$C$69,$K11)="","",INDEX(전체!$C$10:$C$69,$K11)))</f>
        <v/>
      </c>
      <c r="C11" s="27" t="str">
        <f aca="false">IF($K11="","",IF(INDEX(전체!$D$10:$D$69,$K11)="","",INDEX(전체!$D$10:$D$69,$K11)))</f>
        <v/>
      </c>
      <c r="D11" s="11" t="str">
        <f aca="false">IF($K11="","",IF(INDEX(전체!$E$10:$E$69,$K11)="","",INDEX(전체!$E$10:$E$69,$K11)))</f>
        <v/>
      </c>
      <c r="E11" s="11" t="str">
        <f aca="false">IF($K11="","",IF(INDEX(전체!$F$10:$F$69,$K11)="","",INDEX(전체!$F$10:$F$69,$K11)))</f>
        <v/>
      </c>
      <c r="F11" s="27" t="str">
        <f aca="false">IF($K11="","",IF(INDEX(전체!$G$10:$G$69,$K11)="","",INDEX(전체!$G$10:$G$69,$K11)))</f>
        <v/>
      </c>
      <c r="G11" s="27" t="str">
        <f aca="false">IF($K11="","",IF(INDEX(전체!$H$10:$H$69,$K11)="","",INDEX(전체!$H$10:$H$69,$K11)))</f>
        <v/>
      </c>
      <c r="H11" s="11" t="str">
        <f aca="false">IF($K11="","",IF(INDEX(전체!$I$10:$I$69,$K11)="","",INDEX(전체!$I$10:$I$69,$K11)))</f>
        <v/>
      </c>
      <c r="I11" s="11" t="str">
        <f aca="false">IF($K11="","",IF(INDEX(전체!$J$10:$J$69,$K11)="","",INDEX(전체!$J$10:$J$69,$K11)))</f>
        <v/>
      </c>
      <c r="J11" s="27" t="str">
        <f aca="false">IF($K11="","",IF(INDEX(전체!$K$10:$K$69,$K11)="","",INDEX(전체!$K$10:$K$69,$K11)))</f>
        <v/>
      </c>
      <c r="K11" s="28" t="str">
        <f aca="false">IFERROR(MATCH($M$2&amp;"|"&amp;7,전체!$L$10:$L$69,0),"")</f>
        <v/>
      </c>
    </row>
    <row r="12" customFormat="false" ht="15" hidden="false" customHeight="false" outlineLevel="0" collapsed="false">
      <c r="A12" s="11" t="str">
        <f aca="false">IF($K12="","",8)</f>
        <v/>
      </c>
      <c r="B12" s="26" t="str">
        <f aca="false">IF($K12="","",IF(INDEX(전체!$C$10:$C$69,$K12)="","",INDEX(전체!$C$10:$C$69,$K12)))</f>
        <v/>
      </c>
      <c r="C12" s="27" t="str">
        <f aca="false">IF($K12="","",IF(INDEX(전체!$D$10:$D$69,$K12)="","",INDEX(전체!$D$10:$D$69,$K12)))</f>
        <v/>
      </c>
      <c r="D12" s="11" t="str">
        <f aca="false">IF($K12="","",IF(INDEX(전체!$E$10:$E$69,$K12)="","",INDEX(전체!$E$10:$E$69,$K12)))</f>
        <v/>
      </c>
      <c r="E12" s="11" t="str">
        <f aca="false">IF($K12="","",IF(INDEX(전체!$F$10:$F$69,$K12)="","",INDEX(전체!$F$10:$F$69,$K12)))</f>
        <v/>
      </c>
      <c r="F12" s="27" t="str">
        <f aca="false">IF($K12="","",IF(INDEX(전체!$G$10:$G$69,$K12)="","",INDEX(전체!$G$10:$G$69,$K12)))</f>
        <v/>
      </c>
      <c r="G12" s="27" t="str">
        <f aca="false">IF($K12="","",IF(INDEX(전체!$H$10:$H$69,$K12)="","",INDEX(전체!$H$10:$H$69,$K12)))</f>
        <v/>
      </c>
      <c r="H12" s="11" t="str">
        <f aca="false">IF($K12="","",IF(INDEX(전체!$I$10:$I$69,$K12)="","",INDEX(전체!$I$10:$I$69,$K12)))</f>
        <v/>
      </c>
      <c r="I12" s="11" t="str">
        <f aca="false">IF($K12="","",IF(INDEX(전체!$J$10:$J$69,$K12)="","",INDEX(전체!$J$10:$J$69,$K12)))</f>
        <v/>
      </c>
      <c r="J12" s="27" t="str">
        <f aca="false">IF($K12="","",IF(INDEX(전체!$K$10:$K$69,$K12)="","",INDEX(전체!$K$10:$K$69,$K12)))</f>
        <v/>
      </c>
      <c r="K12" s="28" t="str">
        <f aca="false">IFERROR(MATCH($M$2&amp;"|"&amp;8,전체!$L$10:$L$69,0),"")</f>
        <v/>
      </c>
    </row>
    <row r="13" customFormat="false" ht="15" hidden="false" customHeight="false" outlineLevel="0" collapsed="false">
      <c r="A13" s="11" t="str">
        <f aca="false">IF($K13="","",9)</f>
        <v/>
      </c>
      <c r="B13" s="26" t="str">
        <f aca="false">IF($K13="","",IF(INDEX(전체!$C$10:$C$69,$K13)="","",INDEX(전체!$C$10:$C$69,$K13)))</f>
        <v/>
      </c>
      <c r="C13" s="27" t="str">
        <f aca="false">IF($K13="","",IF(INDEX(전체!$D$10:$D$69,$K13)="","",INDEX(전체!$D$10:$D$69,$K13)))</f>
        <v/>
      </c>
      <c r="D13" s="11" t="str">
        <f aca="false">IF($K13="","",IF(INDEX(전체!$E$10:$E$69,$K13)="","",INDEX(전체!$E$10:$E$69,$K13)))</f>
        <v/>
      </c>
      <c r="E13" s="11" t="str">
        <f aca="false">IF($K13="","",IF(INDEX(전체!$F$10:$F$69,$K13)="","",INDEX(전체!$F$10:$F$69,$K13)))</f>
        <v/>
      </c>
      <c r="F13" s="27" t="str">
        <f aca="false">IF($K13="","",IF(INDEX(전체!$G$10:$G$69,$K13)="","",INDEX(전체!$G$10:$G$69,$K13)))</f>
        <v/>
      </c>
      <c r="G13" s="27" t="str">
        <f aca="false">IF($K13="","",IF(INDEX(전체!$H$10:$H$69,$K13)="","",INDEX(전체!$H$10:$H$69,$K13)))</f>
        <v/>
      </c>
      <c r="H13" s="11" t="str">
        <f aca="false">IF($K13="","",IF(INDEX(전체!$I$10:$I$69,$K13)="","",INDEX(전체!$I$10:$I$69,$K13)))</f>
        <v/>
      </c>
      <c r="I13" s="11" t="str">
        <f aca="false">IF($K13="","",IF(INDEX(전체!$J$10:$J$69,$K13)="","",INDEX(전체!$J$10:$J$69,$K13)))</f>
        <v/>
      </c>
      <c r="J13" s="27" t="str">
        <f aca="false">IF($K13="","",IF(INDEX(전체!$K$10:$K$69,$K13)="","",INDEX(전체!$K$10:$K$69,$K13)))</f>
        <v/>
      </c>
      <c r="K13" s="28" t="str">
        <f aca="false">IFERROR(MATCH($M$2&amp;"|"&amp;9,전체!$L$10:$L$69,0),"")</f>
        <v/>
      </c>
    </row>
    <row r="14" customFormat="false" ht="15" hidden="false" customHeight="false" outlineLevel="0" collapsed="false">
      <c r="A14" s="11" t="str">
        <f aca="false">IF($K14="","",10)</f>
        <v/>
      </c>
      <c r="B14" s="26" t="str">
        <f aca="false">IF($K14="","",IF(INDEX(전체!$C$10:$C$69,$K14)="","",INDEX(전체!$C$10:$C$69,$K14)))</f>
        <v/>
      </c>
      <c r="C14" s="27" t="str">
        <f aca="false">IF($K14="","",IF(INDEX(전체!$D$10:$D$69,$K14)="","",INDEX(전체!$D$10:$D$69,$K14)))</f>
        <v/>
      </c>
      <c r="D14" s="11" t="str">
        <f aca="false">IF($K14="","",IF(INDEX(전체!$E$10:$E$69,$K14)="","",INDEX(전체!$E$10:$E$69,$K14)))</f>
        <v/>
      </c>
      <c r="E14" s="11" t="str">
        <f aca="false">IF($K14="","",IF(INDEX(전체!$F$10:$F$69,$K14)="","",INDEX(전체!$F$10:$F$69,$K14)))</f>
        <v/>
      </c>
      <c r="F14" s="27" t="str">
        <f aca="false">IF($K14="","",IF(INDEX(전체!$G$10:$G$69,$K14)="","",INDEX(전체!$G$10:$G$69,$K14)))</f>
        <v/>
      </c>
      <c r="G14" s="27" t="str">
        <f aca="false">IF($K14="","",IF(INDEX(전체!$H$10:$H$69,$K14)="","",INDEX(전체!$H$10:$H$69,$K14)))</f>
        <v/>
      </c>
      <c r="H14" s="11" t="str">
        <f aca="false">IF($K14="","",IF(INDEX(전체!$I$10:$I$69,$K14)="","",INDEX(전체!$I$10:$I$69,$K14)))</f>
        <v/>
      </c>
      <c r="I14" s="11" t="str">
        <f aca="false">IF($K14="","",IF(INDEX(전체!$J$10:$J$69,$K14)="","",INDEX(전체!$J$10:$J$69,$K14)))</f>
        <v/>
      </c>
      <c r="J14" s="27" t="str">
        <f aca="false">IF($K14="","",IF(INDEX(전체!$K$10:$K$69,$K14)="","",INDEX(전체!$K$10:$K$69,$K14)))</f>
        <v/>
      </c>
      <c r="K14" s="28" t="str">
        <f aca="false">IFERROR(MATCH($M$2&amp;"|"&amp;10,전체!$L$10:$L$69,0),"")</f>
        <v/>
      </c>
    </row>
    <row r="15" customFormat="false" ht="15" hidden="false" customHeight="false" outlineLevel="0" collapsed="false">
      <c r="A15" s="11" t="str">
        <f aca="false">IF($K15="","",11)</f>
        <v/>
      </c>
      <c r="B15" s="26" t="str">
        <f aca="false">IF($K15="","",IF(INDEX(전체!$C$10:$C$69,$K15)="","",INDEX(전체!$C$10:$C$69,$K15)))</f>
        <v/>
      </c>
      <c r="C15" s="27" t="str">
        <f aca="false">IF($K15="","",IF(INDEX(전체!$D$10:$D$69,$K15)="","",INDEX(전체!$D$10:$D$69,$K15)))</f>
        <v/>
      </c>
      <c r="D15" s="11" t="str">
        <f aca="false">IF($K15="","",IF(INDEX(전체!$E$10:$E$69,$K15)="","",INDEX(전체!$E$10:$E$69,$K15)))</f>
        <v/>
      </c>
      <c r="E15" s="11" t="str">
        <f aca="false">IF($K15="","",IF(INDEX(전체!$F$10:$F$69,$K15)="","",INDEX(전체!$F$10:$F$69,$K15)))</f>
        <v/>
      </c>
      <c r="F15" s="27" t="str">
        <f aca="false">IF($K15="","",IF(INDEX(전체!$G$10:$G$69,$K15)="","",INDEX(전체!$G$10:$G$69,$K15)))</f>
        <v/>
      </c>
      <c r="G15" s="27" t="str">
        <f aca="false">IF($K15="","",IF(INDEX(전체!$H$10:$H$69,$K15)="","",INDEX(전체!$H$10:$H$69,$K15)))</f>
        <v/>
      </c>
      <c r="H15" s="11" t="str">
        <f aca="false">IF($K15="","",IF(INDEX(전체!$I$10:$I$69,$K15)="","",INDEX(전체!$I$10:$I$69,$K15)))</f>
        <v/>
      </c>
      <c r="I15" s="11" t="str">
        <f aca="false">IF($K15="","",IF(INDEX(전체!$J$10:$J$69,$K15)="","",INDEX(전체!$J$10:$J$69,$K15)))</f>
        <v/>
      </c>
      <c r="J15" s="27" t="str">
        <f aca="false">IF($K15="","",IF(INDEX(전체!$K$10:$K$69,$K15)="","",INDEX(전체!$K$10:$K$69,$K15)))</f>
        <v/>
      </c>
      <c r="K15" s="28" t="str">
        <f aca="false">IFERROR(MATCH($M$2&amp;"|"&amp;11,전체!$L$10:$L$69,0),"")</f>
        <v/>
      </c>
    </row>
    <row r="16" customFormat="false" ht="15" hidden="false" customHeight="false" outlineLevel="0" collapsed="false">
      <c r="A16" s="11" t="str">
        <f aca="false">IF($K16="","",12)</f>
        <v/>
      </c>
      <c r="B16" s="26" t="str">
        <f aca="false">IF($K16="","",IF(INDEX(전체!$C$10:$C$69,$K16)="","",INDEX(전체!$C$10:$C$69,$K16)))</f>
        <v/>
      </c>
      <c r="C16" s="27" t="str">
        <f aca="false">IF($K16="","",IF(INDEX(전체!$D$10:$D$69,$K16)="","",INDEX(전체!$D$10:$D$69,$K16)))</f>
        <v/>
      </c>
      <c r="D16" s="11" t="str">
        <f aca="false">IF($K16="","",IF(INDEX(전체!$E$10:$E$69,$K16)="","",INDEX(전체!$E$10:$E$69,$K16)))</f>
        <v/>
      </c>
      <c r="E16" s="11" t="str">
        <f aca="false">IF($K16="","",IF(INDEX(전체!$F$10:$F$69,$K16)="","",INDEX(전체!$F$10:$F$69,$K16)))</f>
        <v/>
      </c>
      <c r="F16" s="27" t="str">
        <f aca="false">IF($K16="","",IF(INDEX(전체!$G$10:$G$69,$K16)="","",INDEX(전체!$G$10:$G$69,$K16)))</f>
        <v/>
      </c>
      <c r="G16" s="27" t="str">
        <f aca="false">IF($K16="","",IF(INDEX(전체!$H$10:$H$69,$K16)="","",INDEX(전체!$H$10:$H$69,$K16)))</f>
        <v/>
      </c>
      <c r="H16" s="11" t="str">
        <f aca="false">IF($K16="","",IF(INDEX(전체!$I$10:$I$69,$K16)="","",INDEX(전체!$I$10:$I$69,$K16)))</f>
        <v/>
      </c>
      <c r="I16" s="11" t="str">
        <f aca="false">IF($K16="","",IF(INDEX(전체!$J$10:$J$69,$K16)="","",INDEX(전체!$J$10:$J$69,$K16)))</f>
        <v/>
      </c>
      <c r="J16" s="27" t="str">
        <f aca="false">IF($K16="","",IF(INDEX(전체!$K$10:$K$69,$K16)="","",INDEX(전체!$K$10:$K$69,$K16)))</f>
        <v/>
      </c>
      <c r="K16" s="28" t="str">
        <f aca="false">IFERROR(MATCH($M$2&amp;"|"&amp;12,전체!$L$10:$L$69,0),"")</f>
        <v/>
      </c>
    </row>
    <row r="17" customFormat="false" ht="15" hidden="false" customHeight="false" outlineLevel="0" collapsed="false">
      <c r="A17" s="11" t="str">
        <f aca="false">IF($K17="","",13)</f>
        <v/>
      </c>
      <c r="B17" s="26" t="str">
        <f aca="false">IF($K17="","",IF(INDEX(전체!$C$10:$C$69,$K17)="","",INDEX(전체!$C$10:$C$69,$K17)))</f>
        <v/>
      </c>
      <c r="C17" s="27" t="str">
        <f aca="false">IF($K17="","",IF(INDEX(전체!$D$10:$D$69,$K17)="","",INDEX(전체!$D$10:$D$69,$K17)))</f>
        <v/>
      </c>
      <c r="D17" s="11" t="str">
        <f aca="false">IF($K17="","",IF(INDEX(전체!$E$10:$E$69,$K17)="","",INDEX(전체!$E$10:$E$69,$K17)))</f>
        <v/>
      </c>
      <c r="E17" s="11" t="str">
        <f aca="false">IF($K17="","",IF(INDEX(전체!$F$10:$F$69,$K17)="","",INDEX(전체!$F$10:$F$69,$K17)))</f>
        <v/>
      </c>
      <c r="F17" s="27" t="str">
        <f aca="false">IF($K17="","",IF(INDEX(전체!$G$10:$G$69,$K17)="","",INDEX(전체!$G$10:$G$69,$K17)))</f>
        <v/>
      </c>
      <c r="G17" s="27" t="str">
        <f aca="false">IF($K17="","",IF(INDEX(전체!$H$10:$H$69,$K17)="","",INDEX(전체!$H$10:$H$69,$K17)))</f>
        <v/>
      </c>
      <c r="H17" s="11" t="str">
        <f aca="false">IF($K17="","",IF(INDEX(전체!$I$10:$I$69,$K17)="","",INDEX(전체!$I$10:$I$69,$K17)))</f>
        <v/>
      </c>
      <c r="I17" s="11" t="str">
        <f aca="false">IF($K17="","",IF(INDEX(전체!$J$10:$J$69,$K17)="","",INDEX(전체!$J$10:$J$69,$K17)))</f>
        <v/>
      </c>
      <c r="J17" s="27" t="str">
        <f aca="false">IF($K17="","",IF(INDEX(전체!$K$10:$K$69,$K17)="","",INDEX(전체!$K$10:$K$69,$K17)))</f>
        <v/>
      </c>
      <c r="K17" s="28" t="str">
        <f aca="false">IFERROR(MATCH($M$2&amp;"|"&amp;13,전체!$L$10:$L$69,0),"")</f>
        <v/>
      </c>
    </row>
    <row r="18" customFormat="false" ht="15" hidden="false" customHeight="false" outlineLevel="0" collapsed="false">
      <c r="A18" s="11" t="str">
        <f aca="false">IF($K18="","",14)</f>
        <v/>
      </c>
      <c r="B18" s="26" t="str">
        <f aca="false">IF($K18="","",IF(INDEX(전체!$C$10:$C$69,$K18)="","",INDEX(전체!$C$10:$C$69,$K18)))</f>
        <v/>
      </c>
      <c r="C18" s="27" t="str">
        <f aca="false">IF($K18="","",IF(INDEX(전체!$D$10:$D$69,$K18)="","",INDEX(전체!$D$10:$D$69,$K18)))</f>
        <v/>
      </c>
      <c r="D18" s="11" t="str">
        <f aca="false">IF($K18="","",IF(INDEX(전체!$E$10:$E$69,$K18)="","",INDEX(전체!$E$10:$E$69,$K18)))</f>
        <v/>
      </c>
      <c r="E18" s="11" t="str">
        <f aca="false">IF($K18="","",IF(INDEX(전체!$F$10:$F$69,$K18)="","",INDEX(전체!$F$10:$F$69,$K18)))</f>
        <v/>
      </c>
      <c r="F18" s="27" t="str">
        <f aca="false">IF($K18="","",IF(INDEX(전체!$G$10:$G$69,$K18)="","",INDEX(전체!$G$10:$G$69,$K18)))</f>
        <v/>
      </c>
      <c r="G18" s="27" t="str">
        <f aca="false">IF($K18="","",IF(INDEX(전체!$H$10:$H$69,$K18)="","",INDEX(전체!$H$10:$H$69,$K18)))</f>
        <v/>
      </c>
      <c r="H18" s="11" t="str">
        <f aca="false">IF($K18="","",IF(INDEX(전체!$I$10:$I$69,$K18)="","",INDEX(전체!$I$10:$I$69,$K18)))</f>
        <v/>
      </c>
      <c r="I18" s="11" t="str">
        <f aca="false">IF($K18="","",IF(INDEX(전체!$J$10:$J$69,$K18)="","",INDEX(전체!$J$10:$J$69,$K18)))</f>
        <v/>
      </c>
      <c r="J18" s="27" t="str">
        <f aca="false">IF($K18="","",IF(INDEX(전체!$K$10:$K$69,$K18)="","",INDEX(전체!$K$10:$K$69,$K18)))</f>
        <v/>
      </c>
      <c r="K18" s="28" t="str">
        <f aca="false">IFERROR(MATCH($M$2&amp;"|"&amp;14,전체!$L$10:$L$69,0),"")</f>
        <v/>
      </c>
    </row>
    <row r="19" customFormat="false" ht="15" hidden="false" customHeight="false" outlineLevel="0" collapsed="false">
      <c r="A19" s="11" t="str">
        <f aca="false">IF($K19="","",15)</f>
        <v/>
      </c>
      <c r="B19" s="26" t="str">
        <f aca="false">IF($K19="","",IF(INDEX(전체!$C$10:$C$69,$K19)="","",INDEX(전체!$C$10:$C$69,$K19)))</f>
        <v/>
      </c>
      <c r="C19" s="27" t="str">
        <f aca="false">IF($K19="","",IF(INDEX(전체!$D$10:$D$69,$K19)="","",INDEX(전체!$D$10:$D$69,$K19)))</f>
        <v/>
      </c>
      <c r="D19" s="11" t="str">
        <f aca="false">IF($K19="","",IF(INDEX(전체!$E$10:$E$69,$K19)="","",INDEX(전체!$E$10:$E$69,$K19)))</f>
        <v/>
      </c>
      <c r="E19" s="11" t="str">
        <f aca="false">IF($K19="","",IF(INDEX(전체!$F$10:$F$69,$K19)="","",INDEX(전체!$F$10:$F$69,$K19)))</f>
        <v/>
      </c>
      <c r="F19" s="27" t="str">
        <f aca="false">IF($K19="","",IF(INDEX(전체!$G$10:$G$69,$K19)="","",INDEX(전체!$G$10:$G$69,$K19)))</f>
        <v/>
      </c>
      <c r="G19" s="27" t="str">
        <f aca="false">IF($K19="","",IF(INDEX(전체!$H$10:$H$69,$K19)="","",INDEX(전체!$H$10:$H$69,$K19)))</f>
        <v/>
      </c>
      <c r="H19" s="11" t="str">
        <f aca="false">IF($K19="","",IF(INDEX(전체!$I$10:$I$69,$K19)="","",INDEX(전체!$I$10:$I$69,$K19)))</f>
        <v/>
      </c>
      <c r="I19" s="11" t="str">
        <f aca="false">IF($K19="","",IF(INDEX(전체!$J$10:$J$69,$K19)="","",INDEX(전체!$J$10:$J$69,$K19)))</f>
        <v/>
      </c>
      <c r="J19" s="27" t="str">
        <f aca="false">IF($K19="","",IF(INDEX(전체!$K$10:$K$69,$K19)="","",INDEX(전체!$K$10:$K$69,$K19)))</f>
        <v/>
      </c>
      <c r="K19" s="28" t="str">
        <f aca="false">IFERROR(MATCH($M$2&amp;"|"&amp;15,전체!$L$10:$L$69,0),"")</f>
        <v/>
      </c>
    </row>
    <row r="20" customFormat="false" ht="15" hidden="false" customHeight="false" outlineLevel="0" collapsed="false">
      <c r="A20" s="11" t="str">
        <f aca="false">IF($K20="","",16)</f>
        <v/>
      </c>
      <c r="B20" s="26" t="str">
        <f aca="false">IF($K20="","",IF(INDEX(전체!$C$10:$C$69,$K20)="","",INDEX(전체!$C$10:$C$69,$K20)))</f>
        <v/>
      </c>
      <c r="C20" s="27" t="str">
        <f aca="false">IF($K20="","",IF(INDEX(전체!$D$10:$D$69,$K20)="","",INDEX(전체!$D$10:$D$69,$K20)))</f>
        <v/>
      </c>
      <c r="D20" s="11" t="str">
        <f aca="false">IF($K20="","",IF(INDEX(전체!$E$10:$E$69,$K20)="","",INDEX(전체!$E$10:$E$69,$K20)))</f>
        <v/>
      </c>
      <c r="E20" s="11" t="str">
        <f aca="false">IF($K20="","",IF(INDEX(전체!$F$10:$F$69,$K20)="","",INDEX(전체!$F$10:$F$69,$K20)))</f>
        <v/>
      </c>
      <c r="F20" s="27" t="str">
        <f aca="false">IF($K20="","",IF(INDEX(전체!$G$10:$G$69,$K20)="","",INDEX(전체!$G$10:$G$69,$K20)))</f>
        <v/>
      </c>
      <c r="G20" s="27" t="str">
        <f aca="false">IF($K20="","",IF(INDEX(전체!$H$10:$H$69,$K20)="","",INDEX(전체!$H$10:$H$69,$K20)))</f>
        <v/>
      </c>
      <c r="H20" s="11" t="str">
        <f aca="false">IF($K20="","",IF(INDEX(전체!$I$10:$I$69,$K20)="","",INDEX(전체!$I$10:$I$69,$K20)))</f>
        <v/>
      </c>
      <c r="I20" s="11" t="str">
        <f aca="false">IF($K20="","",IF(INDEX(전체!$J$10:$J$69,$K20)="","",INDEX(전체!$J$10:$J$69,$K20)))</f>
        <v/>
      </c>
      <c r="J20" s="27" t="str">
        <f aca="false">IF($K20="","",IF(INDEX(전체!$K$10:$K$69,$K20)="","",INDEX(전체!$K$10:$K$69,$K20)))</f>
        <v/>
      </c>
      <c r="K20" s="28" t="str">
        <f aca="false">IFERROR(MATCH($M$2&amp;"|"&amp;16,전체!$L$10:$L$69,0),"")</f>
        <v/>
      </c>
    </row>
    <row r="21" customFormat="false" ht="15" hidden="false" customHeight="false" outlineLevel="0" collapsed="false">
      <c r="A21" s="11" t="str">
        <f aca="false">IF($K21="","",17)</f>
        <v/>
      </c>
      <c r="B21" s="26" t="str">
        <f aca="false">IF($K21="","",IF(INDEX(전체!$C$10:$C$69,$K21)="","",INDEX(전체!$C$10:$C$69,$K21)))</f>
        <v/>
      </c>
      <c r="C21" s="27" t="str">
        <f aca="false">IF($K21="","",IF(INDEX(전체!$D$10:$D$69,$K21)="","",INDEX(전체!$D$10:$D$69,$K21)))</f>
        <v/>
      </c>
      <c r="D21" s="11" t="str">
        <f aca="false">IF($K21="","",IF(INDEX(전체!$E$10:$E$69,$K21)="","",INDEX(전체!$E$10:$E$69,$K21)))</f>
        <v/>
      </c>
      <c r="E21" s="11" t="str">
        <f aca="false">IF($K21="","",IF(INDEX(전체!$F$10:$F$69,$K21)="","",INDEX(전체!$F$10:$F$69,$K21)))</f>
        <v/>
      </c>
      <c r="F21" s="27" t="str">
        <f aca="false">IF($K21="","",IF(INDEX(전체!$G$10:$G$69,$K21)="","",INDEX(전체!$G$10:$G$69,$K21)))</f>
        <v/>
      </c>
      <c r="G21" s="27" t="str">
        <f aca="false">IF($K21="","",IF(INDEX(전체!$H$10:$H$69,$K21)="","",INDEX(전체!$H$10:$H$69,$K21)))</f>
        <v/>
      </c>
      <c r="H21" s="11" t="str">
        <f aca="false">IF($K21="","",IF(INDEX(전체!$I$10:$I$69,$K21)="","",INDEX(전체!$I$10:$I$69,$K21)))</f>
        <v/>
      </c>
      <c r="I21" s="11" t="str">
        <f aca="false">IF($K21="","",IF(INDEX(전체!$J$10:$J$69,$K21)="","",INDEX(전체!$J$10:$J$69,$K21)))</f>
        <v/>
      </c>
      <c r="J21" s="27" t="str">
        <f aca="false">IF($K21="","",IF(INDEX(전체!$K$10:$K$69,$K21)="","",INDEX(전체!$K$10:$K$69,$K21)))</f>
        <v/>
      </c>
      <c r="K21" s="28" t="str">
        <f aca="false">IFERROR(MATCH($M$2&amp;"|"&amp;17,전체!$L$10:$L$69,0),"")</f>
        <v/>
      </c>
    </row>
    <row r="22" customFormat="false" ht="15" hidden="false" customHeight="false" outlineLevel="0" collapsed="false">
      <c r="A22" s="11" t="str">
        <f aca="false">IF($K22="","",18)</f>
        <v/>
      </c>
      <c r="B22" s="26" t="str">
        <f aca="false">IF($K22="","",IF(INDEX(전체!$C$10:$C$69,$K22)="","",INDEX(전체!$C$10:$C$69,$K22)))</f>
        <v/>
      </c>
      <c r="C22" s="27" t="str">
        <f aca="false">IF($K22="","",IF(INDEX(전체!$D$10:$D$69,$K22)="","",INDEX(전체!$D$10:$D$69,$K22)))</f>
        <v/>
      </c>
      <c r="D22" s="11" t="str">
        <f aca="false">IF($K22="","",IF(INDEX(전체!$E$10:$E$69,$K22)="","",INDEX(전체!$E$10:$E$69,$K22)))</f>
        <v/>
      </c>
      <c r="E22" s="11" t="str">
        <f aca="false">IF($K22="","",IF(INDEX(전체!$F$10:$F$69,$K22)="","",INDEX(전체!$F$10:$F$69,$K22)))</f>
        <v/>
      </c>
      <c r="F22" s="27" t="str">
        <f aca="false">IF($K22="","",IF(INDEX(전체!$G$10:$G$69,$K22)="","",INDEX(전체!$G$10:$G$69,$K22)))</f>
        <v/>
      </c>
      <c r="G22" s="27" t="str">
        <f aca="false">IF($K22="","",IF(INDEX(전체!$H$10:$H$69,$K22)="","",INDEX(전체!$H$10:$H$69,$K22)))</f>
        <v/>
      </c>
      <c r="H22" s="11" t="str">
        <f aca="false">IF($K22="","",IF(INDEX(전체!$I$10:$I$69,$K22)="","",INDEX(전체!$I$10:$I$69,$K22)))</f>
        <v/>
      </c>
      <c r="I22" s="11" t="str">
        <f aca="false">IF($K22="","",IF(INDEX(전체!$J$10:$J$69,$K22)="","",INDEX(전체!$J$10:$J$69,$K22)))</f>
        <v/>
      </c>
      <c r="J22" s="27" t="str">
        <f aca="false">IF($K22="","",IF(INDEX(전체!$K$10:$K$69,$K22)="","",INDEX(전체!$K$10:$K$69,$K22)))</f>
        <v/>
      </c>
      <c r="K22" s="28" t="str">
        <f aca="false">IFERROR(MATCH($M$2&amp;"|"&amp;18,전체!$L$10:$L$69,0),"")</f>
        <v/>
      </c>
    </row>
    <row r="23" customFormat="false" ht="15" hidden="false" customHeight="false" outlineLevel="0" collapsed="false">
      <c r="A23" s="11" t="str">
        <f aca="false">IF($K23="","",19)</f>
        <v/>
      </c>
      <c r="B23" s="26" t="str">
        <f aca="false">IF($K23="","",IF(INDEX(전체!$C$10:$C$69,$K23)="","",INDEX(전체!$C$10:$C$69,$K23)))</f>
        <v/>
      </c>
      <c r="C23" s="27" t="str">
        <f aca="false">IF($K23="","",IF(INDEX(전체!$D$10:$D$69,$K23)="","",INDEX(전체!$D$10:$D$69,$K23)))</f>
        <v/>
      </c>
      <c r="D23" s="11" t="str">
        <f aca="false">IF($K23="","",IF(INDEX(전체!$E$10:$E$69,$K23)="","",INDEX(전체!$E$10:$E$69,$K23)))</f>
        <v/>
      </c>
      <c r="E23" s="11" t="str">
        <f aca="false">IF($K23="","",IF(INDEX(전체!$F$10:$F$69,$K23)="","",INDEX(전체!$F$10:$F$69,$K23)))</f>
        <v/>
      </c>
      <c r="F23" s="27" t="str">
        <f aca="false">IF($K23="","",IF(INDEX(전체!$G$10:$G$69,$K23)="","",INDEX(전체!$G$10:$G$69,$K23)))</f>
        <v/>
      </c>
      <c r="G23" s="27" t="str">
        <f aca="false">IF($K23="","",IF(INDEX(전체!$H$10:$H$69,$K23)="","",INDEX(전체!$H$10:$H$69,$K23)))</f>
        <v/>
      </c>
      <c r="H23" s="11" t="str">
        <f aca="false">IF($K23="","",IF(INDEX(전체!$I$10:$I$69,$K23)="","",INDEX(전체!$I$10:$I$69,$K23)))</f>
        <v/>
      </c>
      <c r="I23" s="11" t="str">
        <f aca="false">IF($K23="","",IF(INDEX(전체!$J$10:$J$69,$K23)="","",INDEX(전체!$J$10:$J$69,$K23)))</f>
        <v/>
      </c>
      <c r="J23" s="27" t="str">
        <f aca="false">IF($K23="","",IF(INDEX(전체!$K$10:$K$69,$K23)="","",INDEX(전체!$K$10:$K$69,$K23)))</f>
        <v/>
      </c>
      <c r="K23" s="28" t="str">
        <f aca="false">IFERROR(MATCH($M$2&amp;"|"&amp;19,전체!$L$10:$L$69,0),"")</f>
        <v/>
      </c>
    </row>
    <row r="24" customFormat="false" ht="15" hidden="false" customHeight="false" outlineLevel="0" collapsed="false">
      <c r="A24" s="11" t="str">
        <f aca="false">IF($K24="","",20)</f>
        <v/>
      </c>
      <c r="B24" s="26" t="str">
        <f aca="false">IF($K24="","",IF(INDEX(전체!$C$10:$C$69,$K24)="","",INDEX(전체!$C$10:$C$69,$K24)))</f>
        <v/>
      </c>
      <c r="C24" s="27" t="str">
        <f aca="false">IF($K24="","",IF(INDEX(전체!$D$10:$D$69,$K24)="","",INDEX(전체!$D$10:$D$69,$K24)))</f>
        <v/>
      </c>
      <c r="D24" s="11" t="str">
        <f aca="false">IF($K24="","",IF(INDEX(전체!$E$10:$E$69,$K24)="","",INDEX(전체!$E$10:$E$69,$K24)))</f>
        <v/>
      </c>
      <c r="E24" s="11" t="str">
        <f aca="false">IF($K24="","",IF(INDEX(전체!$F$10:$F$69,$K24)="","",INDEX(전체!$F$10:$F$69,$K24)))</f>
        <v/>
      </c>
      <c r="F24" s="27" t="str">
        <f aca="false">IF($K24="","",IF(INDEX(전체!$G$10:$G$69,$K24)="","",INDEX(전체!$G$10:$G$69,$K24)))</f>
        <v/>
      </c>
      <c r="G24" s="27" t="str">
        <f aca="false">IF($K24="","",IF(INDEX(전체!$H$10:$H$69,$K24)="","",INDEX(전체!$H$10:$H$69,$K24)))</f>
        <v/>
      </c>
      <c r="H24" s="11" t="str">
        <f aca="false">IF($K24="","",IF(INDEX(전체!$I$10:$I$69,$K24)="","",INDEX(전체!$I$10:$I$69,$K24)))</f>
        <v/>
      </c>
      <c r="I24" s="11" t="str">
        <f aca="false">IF($K24="","",IF(INDEX(전체!$J$10:$J$69,$K24)="","",INDEX(전체!$J$10:$J$69,$K24)))</f>
        <v/>
      </c>
      <c r="J24" s="27" t="str">
        <f aca="false">IF($K24="","",IF(INDEX(전체!$K$10:$K$69,$K24)="","",INDEX(전체!$K$10:$K$69,$K24)))</f>
        <v/>
      </c>
      <c r="K24" s="28" t="str">
        <f aca="false">IFERROR(MATCH($M$2&amp;"|"&amp;20,전체!$L$10:$L$69,0),"")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2026-10-06T05:25:08Z</dcterms:created>
  <dc:creator>openpyxl</dc:creator>
  <dc:description/>
  <dc:language>en-US</dc:language>
  <cp:lastModifiedBy/>
  <dcterms:modified xsi:type="dcterms:W3CDTF">2026-10-06T05:25:08Z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