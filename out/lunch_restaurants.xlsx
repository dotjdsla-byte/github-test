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" sheetId="1" state="visible" r:id="rId3"/>
    <sheet name="한식" sheetId="2" state="visible" r:id="rId4"/>
    <sheet name="고기·족발" sheetId="3" state="visible" r:id="rId5"/>
    <sheet name="국밥·탕" sheetId="4" state="visible" r:id="rId6"/>
    <sheet name="면" sheetId="5" state="visible" r:id="rId7"/>
    <sheet name="중식" sheetId="6" state="visible" r:id="rId8"/>
    <sheet name="일식" sheetId="7" state="visible" r:id="rId9"/>
    <sheet name="회·해산물" sheetId="8" state="visible" r:id="rId10"/>
    <sheet name="양식·아시안" sheetId="9" state="visible" r:id="rId11"/>
    <sheet name="롯데백화점" sheetId="10" state="visible" r:id="rId12"/>
    <sheet name="디저트" sheetId="11" state="visible" r:id="rId13"/>
  </sheets>
  <definedNames>
    <definedName function="false" hidden="true" localSheetId="0" name="_xlnm._FilterDatabase" vbProcedure="false">전체!$A$5:$O$75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<sst xmlns="http://schemas.openxmlformats.org/spreadsheetml/2006/main" count="578" uniqueCount="265">
  <si>
    <r>
      <rPr>
        <b val="true"/>
        <sz val="15"/>
        <rFont val="WenQuanYi Zen Hei"/>
        <family val="2"/>
      </rPr>
      <t xml:space="preserve">점심 식당 리스트 – 부산 중앙동</t>
    </r>
    <r>
      <rPr>
        <b val="true"/>
        <sz val="15"/>
        <rFont val="Malgun Gothic"/>
        <family val="0"/>
        <charset val="1"/>
      </rPr>
      <t xml:space="preserve">·</t>
    </r>
    <r>
      <rPr>
        <b val="true"/>
        <sz val="15"/>
        <rFont val="WenQuanYi Zen Hei"/>
        <family val="2"/>
      </rPr>
      <t xml:space="preserve">남포동 일대 </t>
    </r>
    <r>
      <rPr>
        <b val="true"/>
        <sz val="15"/>
        <rFont val="Malgun Gothic"/>
        <family val="0"/>
        <charset val="1"/>
      </rPr>
      <t xml:space="preserve">(43</t>
    </r>
    <r>
      <rPr>
        <b val="true"/>
        <sz val="15"/>
        <rFont val="WenQuanYi Zen Hei"/>
        <family val="2"/>
      </rPr>
      <t xml:space="preserve">곳</t>
    </r>
    <r>
      <rPr>
        <b val="true"/>
        <sz val="15"/>
        <rFont val="Malgun Gothic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</si>
  <si>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맨 아래 빈 행에 추가하면 분류 시트에 자동 반영됩니다</t>
    </r>
    <r>
      <rPr>
        <i val="true"/>
        <sz val="9"/>
        <color rgb="FF595959"/>
        <rFont val="Malgun Gothic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영업상태는 캡처 시점 기준이라 방문 전 확인 필요</t>
    </r>
    <r>
      <rPr>
        <i val="true"/>
        <sz val="9"/>
        <color rgb="FF595959"/>
        <rFont val="Malgun Gothic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분류 시트는 수식으로 자동 채워집니다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직접 수정 </t>
    </r>
    <r>
      <rPr>
        <i val="true"/>
        <sz val="9"/>
        <color rgb="FF595959"/>
        <rFont val="Malgun Gothic"/>
        <family val="0"/>
        <charset val="1"/>
      </rPr>
      <t xml:space="preserve">X).</t>
    </r>
  </si>
  <si>
    <r>
      <rPr>
        <i val="true"/>
        <sz val="9"/>
        <color rgb="FF595959"/>
        <rFont val="WenQuanYi Zen Hei"/>
        <family val="2"/>
      </rPr>
      <t xml:space="preserve">※ 대략 가격은 메뉴 종류 기준 추정치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원</t>
    </r>
    <r>
      <rPr>
        <i val="true"/>
        <sz val="9"/>
        <color rgb="FF595959"/>
        <rFont val="Malgun Gothic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Malgun Gothic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홍가네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네이버 표시가</t>
    </r>
    <r>
      <rPr>
        <i val="true"/>
        <sz val="9"/>
        <color rgb="FF595959"/>
        <rFont val="Malgun Gothic"/>
        <family val="0"/>
        <charset val="1"/>
      </rPr>
      <t xml:space="preserve">)·</t>
    </r>
    <r>
      <rPr>
        <i val="true"/>
        <sz val="9"/>
        <color rgb="FF595959"/>
        <rFont val="WenQuanYi Zen Hei"/>
        <family val="2"/>
      </rPr>
      <t xml:space="preserve">용문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전달받은 코스가</t>
    </r>
    <r>
      <rPr>
        <i val="true"/>
        <sz val="9"/>
        <color rgb="FF595959"/>
        <rFont val="Malgun Gothic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만 실제 값이고</t>
    </r>
    <r>
      <rPr>
        <i val="true"/>
        <sz val="9"/>
        <color rgb="FF595959"/>
        <rFont val="Malgun Gothic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나머지는 실제와 다를 수 있으니 방문 전 확인하세요</t>
    </r>
    <r>
      <rPr>
        <i val="true"/>
        <sz val="9"/>
        <color rgb="FF595959"/>
        <rFont val="Malgun Gothic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도보시간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대교로 </t>
    </r>
    <r>
      <rPr>
        <i val="true"/>
        <sz val="9"/>
        <color rgb="FF595959"/>
        <rFont val="Malgun Gothic"/>
        <family val="0"/>
        <charset val="1"/>
      </rPr>
      <t xml:space="preserve">119 </t>
    </r>
    <r>
      <rPr>
        <i val="true"/>
        <sz val="9"/>
        <color rgb="FF595959"/>
        <rFont val="WenQuanYi Zen Hei"/>
        <family val="2"/>
      </rPr>
      <t xml:space="preserve">기준</t>
    </r>
    <r>
      <rPr>
        <i val="true"/>
        <sz val="9"/>
        <color rgb="FF595959"/>
        <rFont val="Malgun Gothic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은 지도 앱으로 확인해 입력해 주세요</t>
    </r>
    <r>
      <rPr>
        <i val="true"/>
        <sz val="9"/>
        <color rgb="FF595959"/>
        <rFont val="Malgun Gothic"/>
        <family val="0"/>
        <charset val="1"/>
      </rPr>
      <t xml:space="preserve">.</t>
    </r>
  </si>
  <si>
    <t xml:space="preserve">No.</t>
  </si>
  <si>
    <t xml:space="preserve">분류</t>
  </si>
  <si>
    <t xml:space="preserve">식당명</t>
  </si>
  <si>
    <t xml:space="preserve">네이버 업종</t>
  </si>
  <si>
    <r>
      <rPr>
        <b val="true"/>
        <sz val="10"/>
        <color rgb="FFFFFFFF"/>
        <rFont val="WenQuanYi Zen Hei"/>
        <family val="2"/>
      </rPr>
      <t xml:space="preserve">영업상태
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캡처 시점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</si>
  <si>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예약</t>
  </si>
  <si>
    <t xml:space="preserve">주소</t>
  </si>
  <si>
    <r>
      <rPr>
        <b val="true"/>
        <sz val="10"/>
        <color rgb="FFFFFFFF"/>
        <rFont val="WenQuanYi Zen Hei"/>
        <family val="2"/>
      </rPr>
      <t xml:space="preserve">층 </t>
    </r>
    <r>
      <rPr>
        <b val="true"/>
        <sz val="10"/>
        <color rgb="FFFFFFFF"/>
        <rFont val="Malgun Gothic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호 </t>
    </r>
    <r>
      <rPr>
        <b val="true"/>
        <sz val="10"/>
        <color rgb="FFFFFFFF"/>
        <rFont val="Malgun Gothic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건물</t>
    </r>
  </si>
  <si>
    <r>
      <rPr>
        <b val="true"/>
        <sz val="10"/>
        <color rgb="FFFFFFFF"/>
        <rFont val="WenQuanYi Zen Hei"/>
        <family val="2"/>
      </rPr>
      <t xml:space="preserve">도보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Malgun Gothic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대교로</t>
    </r>
    <r>
      <rPr>
        <b val="true"/>
        <sz val="10"/>
        <color rgb="FFFFFFFF"/>
        <rFont val="Malgun Gothic"/>
        <family val="0"/>
        <charset val="1"/>
      </rPr>
      <t xml:space="preserve">119 </t>
    </r>
    <r>
      <rPr>
        <b val="true"/>
        <sz val="10"/>
        <color rgb="FFFFFFFF"/>
        <rFont val="WenQuanYi Zen Hei"/>
        <family val="2"/>
      </rPr>
      <t xml:space="preserve">기준</t>
    </r>
  </si>
  <si>
    <r>
      <rPr>
        <b val="true"/>
        <sz val="10"/>
        <color rgb="FFFFFFFF"/>
        <rFont val="WenQuanYi Zen Hei"/>
        <family val="2"/>
      </rPr>
      <t xml:space="preserve">평점
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네이버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</si>
  <si>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전화</t>
  </si>
  <si>
    <t xml:space="preserve">대표메뉴</t>
  </si>
  <si>
    <r>
      <rPr>
        <b val="true"/>
        <sz val="10"/>
        <color rgb="FFFFFFFF"/>
        <rFont val="WenQuanYi Zen Hei"/>
        <family val="2"/>
      </rPr>
      <t xml:space="preserve">대략 가격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Malgun Gothic"/>
        <family val="0"/>
        <charset val="1"/>
      </rPr>
      <t xml:space="preserve">)
※</t>
    </r>
    <r>
      <rPr>
        <b val="true"/>
        <sz val="10"/>
        <color rgb="FFFFFFFF"/>
        <rFont val="WenQuanYi Zen Hei"/>
        <family val="2"/>
      </rPr>
      <t xml:space="preserve">추정</t>
    </r>
  </si>
  <si>
    <t xml:space="preserve">소개</t>
  </si>
  <si>
    <t xml:space="preserve">메모</t>
  </si>
  <si>
    <t xml:space="preserve">key</t>
  </si>
  <si>
    <t xml:space="preserve">중식</t>
  </si>
  <si>
    <t xml:space="preserve">편의방</t>
  </si>
  <si>
    <r>
      <rPr>
        <sz val="10"/>
        <color rgb="FF0000FF"/>
        <rFont val="WenQuanYi Zen Hei"/>
        <family val="2"/>
      </rPr>
      <t xml:space="preserve">딤섬</t>
    </r>
    <r>
      <rPr>
        <sz val="10"/>
        <color rgb="FF0000FF"/>
        <rFont val="Malgun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중식만두</t>
    </r>
  </si>
  <si>
    <t xml:space="preserve">영업 중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</si>
  <si>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30-5</t>
    </r>
  </si>
  <si>
    <r>
      <rPr>
        <sz val="10"/>
        <color rgb="FF0000FF"/>
        <rFont val="Malgun Gothic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층</t>
    </r>
  </si>
  <si>
    <r>
      <rPr>
        <b val="true"/>
        <sz val="10"/>
        <color rgb="FF0000FF"/>
        <rFont val="WenQuanYi Zen Hei"/>
        <family val="2"/>
      </rPr>
      <t xml:space="preserve">딤섬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군만두</t>
    </r>
  </si>
  <si>
    <t xml:space="preserve">6,000~9,000</t>
  </si>
  <si>
    <r>
      <rPr>
        <sz val="10"/>
        <color rgb="FF0000FF"/>
        <rFont val="WenQuanYi Zen Hei"/>
        <family val="2"/>
      </rPr>
      <t xml:space="preserve">딤섬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중식만두 전문점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가볍게 먹기 좋은 만두집</t>
    </r>
  </si>
  <si>
    <t xml:space="preserve">일식</t>
  </si>
  <si>
    <t xml:space="preserve">리틀훅라멘</t>
  </si>
  <si>
    <t xml:space="preserve">일본식라면</t>
  </si>
  <si>
    <r>
      <rPr>
        <sz val="10"/>
        <color rgb="FF0000FF"/>
        <rFont val="WenQuanYi Zen Hei"/>
        <family val="2"/>
      </rPr>
      <t xml:space="preserve">부산 중구 대청로</t>
    </r>
    <r>
      <rPr>
        <sz val="10"/>
        <color rgb="FF0000FF"/>
        <rFont val="Malgun Gothic"/>
        <family val="0"/>
        <charset val="1"/>
      </rPr>
      <t xml:space="preserve">137</t>
    </r>
    <r>
      <rPr>
        <sz val="10"/>
        <color rgb="FF0000FF"/>
        <rFont val="WenQuanYi Zen Hei"/>
        <family val="2"/>
      </rPr>
      <t xml:space="preserve">번길 </t>
    </r>
    <r>
      <rPr>
        <sz val="10"/>
        <color rgb="FF0000FF"/>
        <rFont val="Malgun Gothic"/>
        <family val="0"/>
        <charset val="1"/>
      </rPr>
      <t xml:space="preserve">4 (</t>
    </r>
    <r>
      <rPr>
        <sz val="10"/>
        <color rgb="FF0000FF"/>
        <rFont val="WenQuanYi Zen Hei"/>
        <family val="2"/>
      </rPr>
      <t xml:space="preserve">중앙동</t>
    </r>
    <r>
      <rPr>
        <sz val="10"/>
        <color rgb="FF0000FF"/>
        <rFont val="Malgun Gothic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17-1)</t>
    </r>
  </si>
  <si>
    <r>
      <rPr>
        <sz val="10"/>
        <color rgb="FF0000FF"/>
        <rFont val="WenQuanYi Zen Hei"/>
        <family val="2"/>
      </rPr>
      <t xml:space="preserve">리뷰 </t>
    </r>
    <r>
      <rPr>
        <sz val="10"/>
        <color rgb="FF0000FF"/>
        <rFont val="Malgun Gothic"/>
        <family val="0"/>
        <charset val="1"/>
      </rPr>
      <t xml:space="preserve">110</t>
    </r>
  </si>
  <si>
    <t xml:space="preserve">라멘</t>
  </si>
  <si>
    <t xml:space="preserve">9,000~12,000</t>
  </si>
  <si>
    <t xml:space="preserve">고등어의 깊은 맛이 담긴 걸쭉한 스프</t>
  </si>
  <si>
    <r>
      <rPr>
        <sz val="10"/>
        <color rgb="FF0000FF"/>
        <rFont val="Malgun Gothic"/>
        <family val="0"/>
        <charset val="1"/>
      </rPr>
      <t xml:space="preserve">15:00 </t>
    </r>
    <r>
      <rPr>
        <sz val="10"/>
        <color rgb="FF0000FF"/>
        <rFont val="WenQuanYi Zen Hei"/>
        <family val="2"/>
      </rPr>
      <t xml:space="preserve">브레이크타임 </t>
    </r>
    <r>
      <rPr>
        <sz val="10"/>
        <color rgb="FF0000FF"/>
        <rFont val="Malgun Gothic"/>
        <family val="0"/>
        <charset val="1"/>
      </rPr>
      <t xml:space="preserve">/ </t>
    </r>
    <r>
      <rPr>
        <sz val="10"/>
        <color rgb="FF0000FF"/>
        <rFont val="WenQuanYi Zen Hei"/>
        <family val="2"/>
      </rPr>
      <t xml:space="preserve">중앙역 </t>
    </r>
    <r>
      <rPr>
        <sz val="10"/>
        <color rgb="FF0000FF"/>
        <rFont val="Malgun Gothic"/>
        <family val="0"/>
        <charset val="1"/>
      </rPr>
      <t xml:space="preserve">7</t>
    </r>
    <r>
      <rPr>
        <sz val="10"/>
        <color rgb="FF0000FF"/>
        <rFont val="WenQuanYi Zen Hei"/>
        <family val="2"/>
      </rPr>
      <t xml:space="preserve">번 출구 </t>
    </r>
    <r>
      <rPr>
        <sz val="10"/>
        <color rgb="FF0000FF"/>
        <rFont val="Malgun Gothic"/>
        <family val="0"/>
        <charset val="1"/>
      </rPr>
      <t xml:space="preserve">103m</t>
    </r>
  </si>
  <si>
    <t xml:space="preserve">성식당 중앙본점</t>
  </si>
  <si>
    <r>
      <rPr>
        <sz val="10"/>
        <color rgb="FF0000FF"/>
        <rFont val="WenQuanYi Zen Hei"/>
        <family val="2"/>
      </rPr>
      <t xml:space="preserve">초밥</t>
    </r>
    <r>
      <rPr>
        <sz val="10"/>
        <color rgb="FF0000FF"/>
        <rFont val="Malgun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롤</t>
    </r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</si>
  <si>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14-11</t>
    </r>
  </si>
  <si>
    <r>
      <rPr>
        <b val="true"/>
        <sz val="10"/>
        <color rgb="FF0000FF"/>
        <rFont val="WenQuanYi Zen Hei"/>
        <family val="2"/>
      </rPr>
      <t xml:space="preserve">연어초밥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롤 세트</t>
    </r>
  </si>
  <si>
    <t xml:space="preserve">10,000~20,000</t>
  </si>
  <si>
    <r>
      <rPr>
        <sz val="10"/>
        <color rgb="FF0000FF"/>
        <rFont val="WenQuanYi Zen Hei"/>
        <family val="2"/>
      </rPr>
      <t xml:space="preserve">초밥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롤 전문점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포장 도시락 사진이 많음</t>
    </r>
    <r>
      <rPr>
        <sz val="10"/>
        <color rgb="FF0000FF"/>
        <rFont val="Malgun Gothic"/>
        <family val="0"/>
        <charset val="1"/>
      </rPr>
      <t xml:space="preserve">)</t>
    </r>
  </si>
  <si>
    <t xml:space="preserve">한식</t>
  </si>
  <si>
    <t xml:space="preserve">기와집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</si>
  <si>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19-2</t>
    </r>
  </si>
  <si>
    <r>
      <rPr>
        <b val="true"/>
        <sz val="10"/>
        <color rgb="FF0000FF"/>
        <rFont val="WenQuanYi Zen Hei"/>
        <family val="2"/>
      </rPr>
      <t xml:space="preserve">한식 </t>
    </r>
    <r>
      <rPr>
        <b val="true"/>
        <sz val="10"/>
        <color rgb="FF0000FF"/>
        <rFont val="Malgun Gothic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메뉴 확인 필요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</si>
  <si>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한식당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메뉴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가격은 확인 필요</t>
    </r>
  </si>
  <si>
    <r>
      <rPr>
        <sz val="10"/>
        <color rgb="FF0000FF"/>
        <rFont val="WenQuanYi Zen Hei"/>
        <family val="2"/>
      </rPr>
      <t xml:space="preserve">고기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족발</t>
    </r>
  </si>
  <si>
    <t xml:space="preserve">국제상인 짬뽕족발</t>
  </si>
  <si>
    <r>
      <rPr>
        <sz val="10"/>
        <color rgb="FF0000FF"/>
        <rFont val="WenQuanYi Zen Hei"/>
        <family val="2"/>
      </rPr>
      <t xml:space="preserve">족발</t>
    </r>
    <r>
      <rPr>
        <sz val="10"/>
        <color rgb="FF0000FF"/>
        <rFont val="Malgun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보쌈</t>
    </r>
  </si>
  <si>
    <t xml:space="preserve">브레이크타임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</si>
  <si>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4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29-8</t>
    </r>
  </si>
  <si>
    <r>
      <rPr>
        <b val="true"/>
        <sz val="10"/>
        <color rgb="FF0000FF"/>
        <rFont val="WenQuanYi Zen Hei"/>
        <family val="2"/>
      </rPr>
      <t xml:space="preserve">족발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보쌈</t>
    </r>
  </si>
  <si>
    <r>
      <rPr>
        <sz val="10"/>
        <color rgb="FF0000FF"/>
        <rFont val="WenQuanYi Zen Hei"/>
        <family val="2"/>
      </rPr>
      <t xml:space="preserve">소 </t>
    </r>
    <r>
      <rPr>
        <sz val="10"/>
        <color rgb="FF0000FF"/>
        <rFont val="Malgun Gothic"/>
        <family val="0"/>
        <charset val="1"/>
      </rPr>
      <t xml:space="preserve">28,000~35,000</t>
    </r>
  </si>
  <si>
    <r>
      <rPr>
        <sz val="10"/>
        <color rgb="FF0000FF"/>
        <rFont val="WenQuanYi Zen Hei"/>
        <family val="2"/>
      </rPr>
      <t xml:space="preserve">족발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보쌈 전문점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브레이크타임 있음</t>
    </r>
    <r>
      <rPr>
        <sz val="10"/>
        <color rgb="FF0000FF"/>
        <rFont val="Malgun Gothic"/>
        <family val="0"/>
        <charset val="1"/>
      </rPr>
      <t xml:space="preserve">)</t>
    </r>
  </si>
  <si>
    <t xml:space="preserve">면</t>
  </si>
  <si>
    <r>
      <rPr>
        <b val="true"/>
        <sz val="10"/>
        <color rgb="FF0000FF"/>
        <rFont val="Malgun Gothic"/>
        <family val="0"/>
        <charset val="1"/>
      </rPr>
      <t xml:space="preserve">1969</t>
    </r>
    <r>
      <rPr>
        <b val="true"/>
        <sz val="10"/>
        <color rgb="FF0000FF"/>
        <rFont val="WenQuanYi Zen Hei"/>
        <family val="2"/>
      </rPr>
      <t xml:space="preserve">부원동칼국수 남포본점</t>
    </r>
  </si>
  <si>
    <r>
      <rPr>
        <sz val="10"/>
        <color rgb="FF0000FF"/>
        <rFont val="WenQuanYi Zen Hei"/>
        <family val="2"/>
      </rPr>
      <t xml:space="preserve">칼국수</t>
    </r>
    <r>
      <rPr>
        <sz val="10"/>
        <color rgb="FF0000FF"/>
        <rFont val="Malgun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만두</t>
    </r>
  </si>
  <si>
    <r>
      <rPr>
        <sz val="10"/>
        <color rgb="FF0000FF"/>
        <rFont val="WenQuanYi Zen Hei"/>
        <family val="2"/>
      </rPr>
      <t xml:space="preserve">부산 중구 남포동</t>
    </r>
    <r>
      <rPr>
        <sz val="10"/>
        <color rgb="FF0000FF"/>
        <rFont val="Malgun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36</t>
    </r>
  </si>
  <si>
    <r>
      <rPr>
        <b val="true"/>
        <sz val="10"/>
        <color rgb="FF0000FF"/>
        <rFont val="WenQuanYi Zen Hei"/>
        <family val="2"/>
      </rPr>
      <t xml:space="preserve">칼국수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만두</t>
    </r>
  </si>
  <si>
    <t xml:space="preserve">7,000~9,000</t>
  </si>
  <si>
    <r>
      <rPr>
        <sz val="10"/>
        <color rgb="FF0000FF"/>
        <rFont val="Malgun Gothic"/>
        <family val="0"/>
        <charset val="1"/>
      </rPr>
      <t xml:space="preserve">55</t>
    </r>
    <r>
      <rPr>
        <sz val="10"/>
        <color rgb="FF0000FF"/>
        <rFont val="WenQuanYi Zen Hei"/>
        <family val="2"/>
      </rPr>
      <t xml:space="preserve">주년 현판이 있는 노포 칼국수집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칼국수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만두</t>
    </r>
  </si>
  <si>
    <t xml:space="preserve">청기와개미집</t>
  </si>
  <si>
    <t xml:space="preserve">정보 없음</t>
  </si>
  <si>
    <r>
      <rPr>
        <sz val="10"/>
        <color rgb="FF0000FF"/>
        <rFont val="WenQuanYi Zen Hei"/>
        <family val="2"/>
      </rPr>
      <t xml:space="preserve">부산 중구 동광동</t>
    </r>
    <r>
      <rPr>
        <sz val="10"/>
        <color rgb="FF0000FF"/>
        <rFont val="Malgun Gothic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24-1</t>
    </r>
  </si>
  <si>
    <t xml:space="preserve">미니한식당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</si>
  <si>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33</t>
    </r>
  </si>
  <si>
    <t xml:space="preserve">재성밀면</t>
  </si>
  <si>
    <t xml:space="preserve">냉면</t>
  </si>
  <si>
    <r>
      <rPr>
        <sz val="10"/>
        <color rgb="FF0000FF"/>
        <rFont val="WenQuanYi Zen Hei"/>
        <family val="2"/>
      </rPr>
      <t xml:space="preserve">부산 중구 동광동</t>
    </r>
    <r>
      <rPr>
        <sz val="10"/>
        <color rgb="FF0000FF"/>
        <rFont val="Malgun Gothic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17-2</t>
    </r>
  </si>
  <si>
    <r>
      <rPr>
        <b val="true"/>
        <sz val="10"/>
        <color rgb="FF0000FF"/>
        <rFont val="WenQuanYi Zen Hei"/>
        <family val="2"/>
      </rPr>
      <t xml:space="preserve">밀면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냉면</t>
    </r>
  </si>
  <si>
    <t xml:space="preserve">8,000~10,000</t>
  </si>
  <si>
    <r>
      <rPr>
        <sz val="10"/>
        <color rgb="FF0000FF"/>
        <rFont val="WenQuanYi Zen Hei"/>
        <family val="2"/>
      </rPr>
      <t xml:space="preserve">부산식 밀면 전문점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네이버 업종</t>
    </r>
    <r>
      <rPr>
        <sz val="10"/>
        <color rgb="FF0000FF"/>
        <rFont val="Malgun Gothic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냉면</t>
    </r>
    <r>
      <rPr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</si>
  <si>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국밥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탕</t>
    </r>
  </si>
  <si>
    <t xml:space="preserve">중앙본가국밥</t>
  </si>
  <si>
    <t xml:space="preserve">국밥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</si>
  <si>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49-18</t>
    </r>
  </si>
  <si>
    <t xml:space="preserve">9,000~11,000</t>
  </si>
  <si>
    <r>
      <rPr>
        <sz val="10"/>
        <color rgb="FF0000FF"/>
        <rFont val="WenQuanYi Zen Hei"/>
        <family val="2"/>
      </rPr>
      <t xml:space="preserve">국밥 전문점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넓은 홀</t>
    </r>
  </si>
  <si>
    <t xml:space="preserve">대나무집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</si>
  <si>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13-8</t>
    </r>
  </si>
  <si>
    <t xml:space="preserve">전주식당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</si>
  <si>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19-4</t>
    </r>
  </si>
  <si>
    <t xml:space="preserve">오봉집 중앙점</t>
  </si>
  <si>
    <t xml:space="preserve">O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</si>
  <si>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10-5</t>
    </r>
  </si>
  <si>
    <r>
      <rPr>
        <b val="true"/>
        <sz val="10"/>
        <color rgb="FF0000FF"/>
        <rFont val="WenQuanYi Zen Hei"/>
        <family val="2"/>
      </rPr>
      <t xml:space="preserve">낙지볶음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보쌈 </t>
    </r>
    <r>
      <rPr>
        <b val="true"/>
        <sz val="10"/>
        <color rgb="FF0000FF"/>
        <rFont val="Malgun Gothic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사진 기준 추정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</si>
  <si>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t xml:space="preserve">15,000~20,000</t>
  </si>
  <si>
    <r>
      <rPr>
        <sz val="10"/>
        <color rgb="FF0000FF"/>
        <rFont val="WenQuanYi Zen Hei"/>
        <family val="2"/>
      </rPr>
      <t xml:space="preserve">예약 가능한 한식당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매콤한 볶음과 보쌈 사진이 많음</t>
    </r>
  </si>
  <si>
    <t xml:space="preserve">한양왕순대돼지국밥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</si>
  <si>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22-10</t>
    </r>
  </si>
  <si>
    <r>
      <rPr>
        <b val="true"/>
        <sz val="10"/>
        <color rgb="FF0000FF"/>
        <rFont val="WenQuanYi Zen Hei"/>
        <family val="2"/>
      </rPr>
      <t xml:space="preserve">순대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돼지국밥</t>
    </r>
  </si>
  <si>
    <t xml:space="preserve">순대와 돼지국밥 전문점</t>
  </si>
  <si>
    <t xml:space="preserve">어스</t>
  </si>
  <si>
    <t xml:space="preserve">일식당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</si>
  <si>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14-9</t>
    </r>
  </si>
  <si>
    <r>
      <rPr>
        <b val="true"/>
        <sz val="10"/>
        <color rgb="FF0000FF"/>
        <rFont val="WenQuanYi Zen Hei"/>
        <family val="2"/>
      </rPr>
      <t xml:space="preserve">일식 </t>
    </r>
    <r>
      <rPr>
        <b val="true"/>
        <sz val="10"/>
        <color rgb="FF0000FF"/>
        <rFont val="Malgun Gothic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메뉴 확인 필요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</si>
  <si>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일식당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메뉴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가격은 확인 필요</t>
    </r>
  </si>
  <si>
    <t xml:space="preserve">중앙모밀</t>
  </si>
  <si>
    <t xml:space="preserve">국수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</si>
  <si>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27-2</t>
    </r>
  </si>
  <si>
    <r>
      <rPr>
        <b val="true"/>
        <sz val="10"/>
        <color rgb="FF0000FF"/>
        <rFont val="WenQuanYi Zen Hei"/>
        <family val="2"/>
      </rPr>
      <t xml:space="preserve">모밀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국수</t>
    </r>
  </si>
  <si>
    <t xml:space="preserve">6,000~8,000</t>
  </si>
  <si>
    <r>
      <rPr>
        <sz val="10"/>
        <color rgb="FF0000FF"/>
        <rFont val="WenQuanYi Zen Hei"/>
        <family val="2"/>
      </rPr>
      <t xml:space="preserve">모밀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국수를 가볍게 먹는 곳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김 올린 국수 사진</t>
    </r>
    <r>
      <rPr>
        <sz val="10"/>
        <color rgb="FF0000FF"/>
        <rFont val="Malgun Gothic"/>
        <family val="0"/>
        <charset val="1"/>
      </rPr>
      <t xml:space="preserve">)</t>
    </r>
  </si>
  <si>
    <t xml:space="preserve">롯데백화점</t>
  </si>
  <si>
    <t xml:space="preserve">복주걱 롯데광복점</t>
  </si>
  <si>
    <t xml:space="preserve">한식뷔페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</si>
  <si>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7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20-1 (</t>
    </r>
    <r>
      <rPr>
        <sz val="10"/>
        <color rgb="FF0000FF"/>
        <rFont val="WenQuanYi Zen Hei"/>
        <family val="2"/>
      </rPr>
      <t xml:space="preserve">롯데백화점 광복점</t>
    </r>
    <r>
      <rPr>
        <sz val="10"/>
        <color rgb="FF0000FF"/>
        <rFont val="Malgun Gothic"/>
        <family val="0"/>
        <charset val="1"/>
      </rPr>
      <t xml:space="preserve">)</t>
    </r>
  </si>
  <si>
    <t xml:space="preserve">10F F&amp;B</t>
  </si>
  <si>
    <t xml:space="preserve">051-678-3026</t>
  </si>
  <si>
    <r>
      <rPr>
        <b val="true"/>
        <sz val="10"/>
        <color rgb="FF0000FF"/>
        <rFont val="WenQuanYi Zen Hei"/>
        <family val="2"/>
      </rPr>
      <t xml:space="preserve">한식뷔페 </t>
    </r>
    <r>
      <rPr>
        <b val="true"/>
        <sz val="10"/>
        <color rgb="FF0000FF"/>
        <rFont val="Malgun Gothic"/>
        <family val="0"/>
        <charset val="1"/>
      </rPr>
      <t xml:space="preserve">(1</t>
    </r>
    <r>
      <rPr>
        <b val="true"/>
        <sz val="10"/>
        <color rgb="FF0000FF"/>
        <rFont val="WenQuanYi Zen Hei"/>
        <family val="2"/>
      </rPr>
      <t xml:space="preserve">인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</si>
  <si>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t xml:space="preserve">신선한 제철 나물과 고기 요리 등 한식 반찬 무제한 뷔페</t>
  </si>
  <si>
    <t xml:space="preserve">류센소 롯데백화점 광복점</t>
  </si>
  <si>
    <r>
      <rPr>
        <sz val="10"/>
        <color rgb="FF0000FF"/>
        <rFont val="WenQuanYi Zen Hei"/>
        <family val="2"/>
      </rPr>
      <t xml:space="preserve">본관 </t>
    </r>
    <r>
      <rPr>
        <sz val="10"/>
        <color rgb="FF0000FF"/>
        <rFont val="Malgun Gothic"/>
        <family val="0"/>
        <charset val="1"/>
      </rPr>
      <t xml:space="preserve">B1</t>
    </r>
  </si>
  <si>
    <r>
      <rPr>
        <sz val="10"/>
        <color rgb="FF0000FF"/>
        <rFont val="WenQuanYi Zen Hei"/>
        <family val="2"/>
      </rPr>
      <t xml:space="preserve">롯데백화점 본관 지하 </t>
    </r>
    <r>
      <rPr>
        <sz val="10"/>
        <color rgb="FF0000FF"/>
        <rFont val="Malgun Gothic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층 일식당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메뉴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가격은 확인 필요</t>
    </r>
  </si>
  <si>
    <t xml:space="preserve">한식레스토랑 여름 부산본점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</si>
  <si>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3-2</t>
    </r>
  </si>
  <si>
    <r>
      <rPr>
        <sz val="10"/>
        <color rgb="FF0000FF"/>
        <rFont val="Malgun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층 </t>
    </r>
    <r>
      <rPr>
        <sz val="10"/>
        <color rgb="FF0000FF"/>
        <rFont val="Malgun Gothic"/>
        <family val="0"/>
        <charset val="1"/>
      </rPr>
      <t xml:space="preserve">201·202·203</t>
    </r>
    <r>
      <rPr>
        <sz val="10"/>
        <color rgb="FF0000FF"/>
        <rFont val="WenQuanYi Zen Hei"/>
        <family val="2"/>
      </rPr>
      <t xml:space="preserve">호</t>
    </r>
  </si>
  <si>
    <r>
      <rPr>
        <b val="true"/>
        <sz val="10"/>
        <color rgb="FF0000FF"/>
        <rFont val="WenQuanYi Zen Hei"/>
        <family val="2"/>
      </rPr>
      <t xml:space="preserve">한식 정식 </t>
    </r>
    <r>
      <rPr>
        <b val="true"/>
        <sz val="10"/>
        <color rgb="FF0000FF"/>
        <rFont val="Malgun Gothic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돌솥밥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반찬 한 상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</si>
  <si>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예약 가능한 한식 레스토랑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반찬이 여러 가지 나오는 한 상 차림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가격 확인 필요</t>
    </r>
  </si>
  <si>
    <t xml:space="preserve">라이옥 롯데백화점 광복점</t>
  </si>
  <si>
    <t xml:space="preserve">베트남음식</t>
  </si>
  <si>
    <t xml:space="preserve">10F</t>
  </si>
  <si>
    <r>
      <rPr>
        <b val="true"/>
        <sz val="10"/>
        <color rgb="FF0000FF"/>
        <rFont val="WenQuanYi Zen Hei"/>
        <family val="2"/>
      </rPr>
      <t xml:space="preserve">쌀국수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베트남 요리</t>
    </r>
  </si>
  <si>
    <t xml:space="preserve">12,000~16,000</t>
  </si>
  <si>
    <r>
      <rPr>
        <sz val="10"/>
        <color rgb="FF0000FF"/>
        <rFont val="WenQuanYi Zen Hei"/>
        <family val="2"/>
      </rPr>
      <t xml:space="preserve">롯데백화점 </t>
    </r>
    <r>
      <rPr>
        <sz val="10"/>
        <color rgb="FF0000FF"/>
        <rFont val="Malgun Gothic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층 베트남 음식점</t>
    </r>
  </si>
  <si>
    <t xml:space="preserve">참숯생갈비</t>
  </si>
  <si>
    <r>
      <rPr>
        <sz val="10"/>
        <color rgb="FF0000FF"/>
        <rFont val="WenQuanYi Zen Hei"/>
        <family val="2"/>
      </rPr>
      <t xml:space="preserve">육류</t>
    </r>
    <r>
      <rPr>
        <sz val="10"/>
        <color rgb="FF0000FF"/>
        <rFont val="Malgun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고기요리</t>
    </r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</si>
  <si>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1-18</t>
    </r>
  </si>
  <si>
    <r>
      <rPr>
        <b val="true"/>
        <sz val="10"/>
        <color rgb="FF0000FF"/>
        <rFont val="WenQuanYi Zen Hei"/>
        <family val="2"/>
      </rPr>
      <t xml:space="preserve">생갈비 </t>
    </r>
    <r>
      <rPr>
        <b val="true"/>
        <sz val="10"/>
        <color rgb="FF0000FF"/>
        <rFont val="Malgun Gothic"/>
        <family val="0"/>
        <charset val="1"/>
      </rPr>
      <t xml:space="preserve">(1</t>
    </r>
    <r>
      <rPr>
        <b val="true"/>
        <sz val="10"/>
        <color rgb="FF0000FF"/>
        <rFont val="WenQuanYi Zen Hei"/>
        <family val="2"/>
      </rPr>
      <t xml:space="preserve">인분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</si>
  <si>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t xml:space="preserve">25,000~35,000</t>
  </si>
  <si>
    <r>
      <rPr>
        <sz val="10"/>
        <color rgb="FF0000FF"/>
        <rFont val="WenQuanYi Zen Hei"/>
        <family val="2"/>
      </rPr>
      <t xml:space="preserve">참숯 고기구이 전문점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육류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고기요리</t>
    </r>
    <r>
      <rPr>
        <sz val="10"/>
        <color rgb="FF0000FF"/>
        <rFont val="Malgun Gothic"/>
        <family val="0"/>
        <charset val="1"/>
      </rPr>
      <t xml:space="preserve">)</t>
    </r>
  </si>
  <si>
    <t xml:space="preserve">고품격한식뷔페</t>
  </si>
  <si>
    <t xml:space="preserve">영업 종료</t>
  </si>
  <si>
    <r>
      <rPr>
        <sz val="10"/>
        <color rgb="FF0000FF"/>
        <rFont val="Malgun Gothic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층 </t>
    </r>
    <r>
      <rPr>
        <sz val="10"/>
        <color rgb="FF0000FF"/>
        <rFont val="Malgun Gothic"/>
        <family val="0"/>
        <charset val="1"/>
      </rPr>
      <t xml:space="preserve">101</t>
    </r>
    <r>
      <rPr>
        <sz val="10"/>
        <color rgb="FF0000FF"/>
        <rFont val="WenQuanYi Zen Hei"/>
        <family val="2"/>
      </rPr>
      <t xml:space="preserve">호</t>
    </r>
  </si>
  <si>
    <r>
      <rPr>
        <sz val="10"/>
        <color rgb="FF0000FF"/>
        <rFont val="WenQuanYi Zen Hei"/>
        <family val="2"/>
      </rPr>
      <t xml:space="preserve">한식 뷔페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현재 영업 종료로 표시됨</t>
    </r>
  </si>
  <si>
    <t xml:space="preserve">동해반점</t>
  </si>
  <si>
    <t xml:space="preserve">중식당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</si>
  <si>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6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3-1</t>
    </r>
  </si>
  <si>
    <r>
      <rPr>
        <b val="true"/>
        <sz val="10"/>
        <color rgb="FF0000FF"/>
        <rFont val="WenQuanYi Zen Hei"/>
        <family val="2"/>
      </rPr>
      <t xml:space="preserve">짜장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짬뽕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탕수육</t>
    </r>
  </si>
  <si>
    <t xml:space="preserve">7,000~10,000</t>
  </si>
  <si>
    <t xml:space="preserve">동네 중화요리 전문점</t>
  </si>
  <si>
    <t xml:space="preserve">다복정</t>
  </si>
  <si>
    <r>
      <rPr>
        <sz val="10"/>
        <color rgb="FF0000FF"/>
        <rFont val="WenQuanYi Zen Hei"/>
        <family val="2"/>
      </rPr>
      <t xml:space="preserve">부산 중구 중앙동</t>
    </r>
    <r>
      <rPr>
        <sz val="10"/>
        <color rgb="FF0000FF"/>
        <rFont val="Malgun Gothic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10-3</t>
    </r>
  </si>
  <si>
    <t xml:space="preserve">섬진강재첩국</t>
  </si>
  <si>
    <r>
      <rPr>
        <sz val="10"/>
        <color rgb="FF0000FF"/>
        <rFont val="WenQuanYi Zen Hei"/>
        <family val="2"/>
      </rPr>
      <t xml:space="preserve">한식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재첩국</t>
    </r>
    <r>
      <rPr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</si>
  <si>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부산 중구 동광동</t>
    </r>
    <r>
      <rPr>
        <sz val="10"/>
        <color rgb="FF0000FF"/>
        <rFont val="Malgun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가 </t>
    </r>
    <r>
      <rPr>
        <sz val="10"/>
        <color rgb="FF0000FF"/>
        <rFont val="Malgun Gothic"/>
        <family val="0"/>
        <charset val="1"/>
      </rPr>
      <t xml:space="preserve">10-4</t>
    </r>
  </si>
  <si>
    <t xml:space="preserve">재첩국</t>
  </si>
  <si>
    <t xml:space="preserve">10,000~13,000</t>
  </si>
  <si>
    <r>
      <rPr>
        <sz val="10"/>
        <color rgb="FF0000FF"/>
        <rFont val="WenQuanYi Zen Hei"/>
        <family val="2"/>
      </rPr>
      <t xml:space="preserve">재첩국 위주의 한식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영업 종료로 표시됨</t>
    </r>
    <r>
      <rPr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</si>
  <si>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재첩국이라 국밥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탕으로 분류</t>
    </r>
  </si>
  <si>
    <t xml:space="preserve">얼큰이칼국수</t>
  </si>
  <si>
    <r>
      <rPr>
        <sz val="10"/>
        <color rgb="FF0000FF"/>
        <rFont val="WenQuanYi Zen Hei"/>
        <family val="2"/>
      </rPr>
      <t xml:space="preserve">부산 영도구 해양로 </t>
    </r>
    <r>
      <rPr>
        <sz val="10"/>
        <color rgb="FF0000FF"/>
        <rFont val="Malgun Gothic"/>
        <family val="0"/>
        <charset val="1"/>
      </rPr>
      <t xml:space="preserve">70</t>
    </r>
  </si>
  <si>
    <r>
      <rPr>
        <sz val="10"/>
        <color rgb="FF0000FF"/>
        <rFont val="Malgun Gothic"/>
        <family val="0"/>
        <charset val="1"/>
      </rPr>
      <t xml:space="preserve">★4.47 (</t>
    </r>
    <r>
      <rPr>
        <sz val="10"/>
        <color rgb="FF0000FF"/>
        <rFont val="WenQuanYi Zen Hei"/>
        <family val="2"/>
      </rPr>
      <t xml:space="preserve">리뷰 </t>
    </r>
    <r>
      <rPr>
        <sz val="10"/>
        <color rgb="FF0000FF"/>
        <rFont val="Malgun Gothic"/>
        <family val="0"/>
        <charset val="1"/>
      </rPr>
      <t xml:space="preserve">2,471)</t>
    </r>
  </si>
  <si>
    <t xml:space="preserve">0507-1320-5213</t>
  </si>
  <si>
    <r>
      <rPr>
        <b val="true"/>
        <sz val="10"/>
        <color rgb="FF0000FF"/>
        <rFont val="WenQuanYi Zen Hei"/>
        <family val="2"/>
      </rPr>
      <t xml:space="preserve">얼큰칼국수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충무김밥</t>
    </r>
  </si>
  <si>
    <t xml:space="preserve">깔끔한 충무김밥과 얼큰칼국수의 조화</t>
  </si>
  <si>
    <r>
      <rPr>
        <sz val="10"/>
        <color rgb="FF0000FF"/>
        <rFont val="Malgun Gothic"/>
        <family val="0"/>
        <charset val="1"/>
      </rPr>
      <t xml:space="preserve">15:00 </t>
    </r>
    <r>
      <rPr>
        <sz val="10"/>
        <color rgb="FF0000FF"/>
        <rFont val="WenQuanYi Zen Hei"/>
        <family val="2"/>
      </rPr>
      <t xml:space="preserve">라스트오더 </t>
    </r>
    <r>
      <rPr>
        <sz val="10"/>
        <color rgb="FF0000FF"/>
        <rFont val="Malgun Gothic"/>
        <family val="0"/>
        <charset val="1"/>
      </rPr>
      <t xml:space="preserve">/ ※ </t>
    </r>
    <r>
      <rPr>
        <sz val="10"/>
        <color rgb="FF0000FF"/>
        <rFont val="WenQuanYi Zen Hei"/>
        <family val="2"/>
      </rPr>
      <t xml:space="preserve">영도구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중구 아님</t>
    </r>
    <r>
      <rPr>
        <sz val="10"/>
        <color rgb="FF0000FF"/>
        <rFont val="Malgun Gothic"/>
        <family val="0"/>
        <charset val="1"/>
      </rPr>
      <t xml:space="preserve">)</t>
    </r>
  </si>
  <si>
    <t xml:space="preserve">수수하지만장해 롯데백화점 광복점</t>
  </si>
  <si>
    <t xml:space="preserve">돈가스</t>
  </si>
  <si>
    <r>
      <rPr>
        <b val="true"/>
        <sz val="10"/>
        <color rgb="FF0000FF"/>
        <rFont val="WenQuanYi Zen Hei"/>
        <family val="2"/>
      </rPr>
      <t xml:space="preserve">치즈돈가스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등심</t>
    </r>
    <r>
      <rPr>
        <b val="true"/>
        <sz val="10"/>
        <color rgb="FF0000FF"/>
        <rFont val="Malgun Gothic"/>
        <family val="0"/>
        <charset val="1"/>
      </rPr>
      <t xml:space="preserve">/</t>
    </r>
    <r>
      <rPr>
        <b val="true"/>
        <sz val="10"/>
        <color rgb="FF0000FF"/>
        <rFont val="WenQuanYi Zen Hei"/>
        <family val="2"/>
      </rPr>
      <t xml:space="preserve">안심 돈가스</t>
    </r>
  </si>
  <si>
    <t xml:space="preserve">12,000~17,000</t>
  </si>
  <si>
    <r>
      <rPr>
        <sz val="10"/>
        <color rgb="FF0000FF"/>
        <rFont val="WenQuanYi Zen Hei"/>
        <family val="2"/>
      </rPr>
      <t xml:space="preserve">롯데백화점 본관 지하 </t>
    </r>
    <r>
      <rPr>
        <sz val="10"/>
        <color rgb="FF0000FF"/>
        <rFont val="Malgun Gothic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층 돈가스 전문점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치즈 돈가스 사진이 많음</t>
    </r>
  </si>
  <si>
    <t xml:space="preserve">홍가네</t>
  </si>
  <si>
    <r>
      <rPr>
        <sz val="10"/>
        <color rgb="FF0000FF"/>
        <rFont val="WenQuanYi Zen Hei"/>
        <family val="2"/>
      </rPr>
      <t xml:space="preserve">부산 중구 해관로 </t>
    </r>
    <r>
      <rPr>
        <sz val="10"/>
        <color rgb="FF0000FF"/>
        <rFont val="Malgun Gothic"/>
        <family val="0"/>
        <charset val="1"/>
      </rPr>
      <t xml:space="preserve">31</t>
    </r>
  </si>
  <si>
    <r>
      <rPr>
        <sz val="10"/>
        <color rgb="FF0000FF"/>
        <rFont val="Malgun Gothic"/>
        <family val="0"/>
        <charset val="1"/>
      </rPr>
      <t xml:space="preserve">1,2</t>
    </r>
    <r>
      <rPr>
        <sz val="10"/>
        <color rgb="FF0000FF"/>
        <rFont val="WenQuanYi Zen Hei"/>
        <family val="2"/>
      </rPr>
      <t xml:space="preserve">층</t>
    </r>
  </si>
  <si>
    <r>
      <rPr>
        <sz val="10"/>
        <color rgb="FF0000FF"/>
        <rFont val="Malgun Gothic"/>
        <family val="0"/>
        <charset val="1"/>
      </rPr>
      <t xml:space="preserve">★4.8 (</t>
    </r>
    <r>
      <rPr>
        <sz val="10"/>
        <color rgb="FF0000FF"/>
        <rFont val="WenQuanYi Zen Hei"/>
        <family val="2"/>
      </rPr>
      <t xml:space="preserve">리뷰 </t>
    </r>
    <r>
      <rPr>
        <sz val="10"/>
        <color rgb="FF0000FF"/>
        <rFont val="Malgun Gothic"/>
        <family val="0"/>
        <charset val="1"/>
      </rPr>
      <t xml:space="preserve">265)</t>
    </r>
  </si>
  <si>
    <r>
      <rPr>
        <b val="true"/>
        <sz val="10"/>
        <color rgb="FF0000FF"/>
        <rFont val="WenQuanYi Zen Hei"/>
        <family val="2"/>
      </rPr>
      <t xml:space="preserve">언양불고기 </t>
    </r>
    <r>
      <rPr>
        <b val="true"/>
        <sz val="10"/>
        <color rgb="FF0000FF"/>
        <rFont val="Malgun Gothic"/>
        <family val="0"/>
        <charset val="1"/>
      </rPr>
      <t xml:space="preserve">(200g)</t>
    </r>
  </si>
  <si>
    <t xml:space="preserve">18,000 (200g)</t>
  </si>
  <si>
    <r>
      <rPr>
        <sz val="10"/>
        <color rgb="FF0000FF"/>
        <rFont val="WenQuanYi Zen Hei"/>
        <family val="2"/>
      </rPr>
      <t xml:space="preserve">점심특선 언양불고기 </t>
    </r>
    <r>
      <rPr>
        <sz val="10"/>
        <color rgb="FF0000FF"/>
        <rFont val="Malgun Gothic"/>
        <family val="0"/>
        <charset val="1"/>
      </rPr>
      <t xml:space="preserve">· ₩18,000 (200g)</t>
    </r>
  </si>
  <si>
    <r>
      <rPr>
        <sz val="10"/>
        <color rgb="FF0000FF"/>
        <rFont val="Malgun Gothic"/>
        <family val="0"/>
        <charset val="1"/>
      </rPr>
      <t xml:space="preserve">17:00 </t>
    </r>
    <r>
      <rPr>
        <sz val="10"/>
        <color rgb="FF0000FF"/>
        <rFont val="WenQuanYi Zen Hei"/>
        <family val="2"/>
      </rPr>
      <t xml:space="preserve">영업 시작 </t>
    </r>
    <r>
      <rPr>
        <sz val="10"/>
        <color rgb="FF0000FF"/>
        <rFont val="Malgun Gothic"/>
        <family val="0"/>
        <charset val="1"/>
      </rPr>
      <t xml:space="preserve">/ </t>
    </r>
    <r>
      <rPr>
        <sz val="10"/>
        <color rgb="FF0000FF"/>
        <rFont val="WenQuanYi Zen Hei"/>
        <family val="2"/>
      </rPr>
      <t xml:space="preserve">중앙역 </t>
    </r>
    <r>
      <rPr>
        <sz val="10"/>
        <color rgb="FF0000FF"/>
        <rFont val="Malgun Gothic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번 출구 </t>
    </r>
    <r>
      <rPr>
        <sz val="10"/>
        <color rgb="FF0000FF"/>
        <rFont val="Malgun Gothic"/>
        <family val="0"/>
        <charset val="1"/>
      </rPr>
      <t xml:space="preserve">175m</t>
    </r>
  </si>
  <si>
    <r>
      <rPr>
        <sz val="10"/>
        <color rgb="FF0000FF"/>
        <rFont val="WenQuanYi Zen Hei"/>
        <family val="2"/>
      </rPr>
      <t xml:space="preserve">양식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아시안</t>
    </r>
  </si>
  <si>
    <t xml:space="preserve">라이프버거</t>
  </si>
  <si>
    <t xml:space="preserve">수제버거</t>
  </si>
  <si>
    <r>
      <rPr>
        <sz val="10"/>
        <color rgb="FF0000FF"/>
        <rFont val="WenQuanYi Zen Hei"/>
        <family val="2"/>
      </rPr>
      <t xml:space="preserve">부산 중구 중앙대로</t>
    </r>
    <r>
      <rPr>
        <sz val="10"/>
        <color rgb="FF0000FF"/>
        <rFont val="Malgun Gothic"/>
        <family val="0"/>
        <charset val="1"/>
      </rPr>
      <t xml:space="preserve">49</t>
    </r>
    <r>
      <rPr>
        <sz val="10"/>
        <color rgb="FF0000FF"/>
        <rFont val="WenQuanYi Zen Hei"/>
        <family val="2"/>
      </rPr>
      <t xml:space="preserve">번길 </t>
    </r>
    <r>
      <rPr>
        <sz val="10"/>
        <color rgb="FF0000FF"/>
        <rFont val="Malgun Gothic"/>
        <family val="0"/>
        <charset val="1"/>
      </rPr>
      <t xml:space="preserve">7</t>
    </r>
  </si>
  <si>
    <t xml:space="preserve">빨간 간판의 미국식 수제버거집</t>
  </si>
  <si>
    <t xml:space="preserve">주소는 웹검색 기준 – 방문 전 확인</t>
  </si>
  <si>
    <t xml:space="preserve">용문</t>
  </si>
  <si>
    <t xml:space="preserve">코스요리</t>
  </si>
  <si>
    <r>
      <rPr>
        <sz val="10"/>
        <color rgb="FF0000FF"/>
        <rFont val="Malgun Gothic"/>
        <family val="0"/>
        <charset val="1"/>
      </rPr>
      <t xml:space="preserve">20,000 (</t>
    </r>
    <r>
      <rPr>
        <sz val="10"/>
        <color rgb="FF0000FF"/>
        <rFont val="WenQuanYi Zen Hei"/>
        <family val="2"/>
      </rPr>
      <t xml:space="preserve">코스</t>
    </r>
    <r>
      <rPr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</si>
  <si>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점심 코스요리 </t>
    </r>
    <r>
      <rPr>
        <sz val="10"/>
        <color rgb="FF0000FF"/>
        <rFont val="Malgun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만원인 중식당</t>
    </r>
  </si>
  <si>
    <r>
      <rPr>
        <sz val="10"/>
        <color rgb="FF0000FF"/>
        <rFont val="WenQuanYi Zen Hei"/>
        <family val="2"/>
      </rPr>
      <t xml:space="preserve">중구 지점 확인 안 됨 – 웹검색에는 연제구 거제천로 </t>
    </r>
    <r>
      <rPr>
        <sz val="10"/>
        <color rgb="FF0000FF"/>
        <rFont val="Malgun Gothic"/>
        <family val="0"/>
        <charset val="1"/>
      </rPr>
      <t xml:space="preserve">209 </t>
    </r>
    <r>
      <rPr>
        <sz val="10"/>
        <color rgb="FF0000FF"/>
        <rFont val="WenQuanYi Zen Hei"/>
        <family val="2"/>
      </rPr>
      <t xml:space="preserve">용문각만 나옴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같은 곳인지 확인 필요</t>
    </r>
    <r>
      <rPr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</si>
  <si>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회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해산물</t>
    </r>
  </si>
  <si>
    <r>
      <rPr>
        <b val="true"/>
        <sz val="10"/>
        <color rgb="FF0000FF"/>
        <rFont val="WenQuanYi Zen Hei"/>
        <family val="2"/>
      </rPr>
      <t xml:space="preserve">회백반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물회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생대구탕 집 </t>
    </r>
    <r>
      <rPr>
        <b val="true"/>
        <sz val="10"/>
        <color rgb="FF0000FF"/>
        <rFont val="Malgun Gothic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이름 확인 필요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</si>
  <si>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회백반</t>
    </r>
    <r>
      <rPr>
        <sz val="10"/>
        <color rgb="FF0000FF"/>
        <rFont val="Malgun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물회</t>
    </r>
    <r>
      <rPr>
        <sz val="10"/>
        <color rgb="FF0000FF"/>
        <rFont val="Malgun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생대구탕</t>
    </r>
  </si>
  <si>
    <r>
      <rPr>
        <b val="true"/>
        <sz val="10"/>
        <color rgb="FF0000FF"/>
        <rFont val="WenQuanYi Zen Hei"/>
        <family val="2"/>
      </rPr>
      <t xml:space="preserve">회백반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물회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생대구탕</t>
    </r>
  </si>
  <si>
    <r>
      <rPr>
        <sz val="10"/>
        <color rgb="FF0000FF"/>
        <rFont val="WenQuanYi Zen Hei"/>
        <family val="2"/>
      </rPr>
      <t xml:space="preserve">회백반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물회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생대구탕을 파는 횟집</t>
    </r>
  </si>
  <si>
    <t xml:space="preserve">가게 이름 확인 필요</t>
  </si>
  <si>
    <t xml:space="preserve">남포설렁탕</t>
  </si>
  <si>
    <t xml:space="preserve">설렁탕</t>
  </si>
  <si>
    <r>
      <rPr>
        <sz val="10"/>
        <color rgb="FF0000FF"/>
        <rFont val="WenQuanYi Zen Hei"/>
        <family val="2"/>
      </rPr>
      <t xml:space="preserve">부산 중구 구덕로</t>
    </r>
    <r>
      <rPr>
        <sz val="10"/>
        <color rgb="FF0000FF"/>
        <rFont val="Malgun Gothic"/>
        <family val="0"/>
        <charset val="1"/>
      </rPr>
      <t xml:space="preserve">34</t>
    </r>
    <r>
      <rPr>
        <sz val="10"/>
        <color rgb="FF0000FF"/>
        <rFont val="WenQuanYi Zen Hei"/>
        <family val="2"/>
      </rPr>
      <t xml:space="preserve">번길 </t>
    </r>
    <r>
      <rPr>
        <sz val="10"/>
        <color rgb="FF0000FF"/>
        <rFont val="Malgun Gothic"/>
        <family val="0"/>
        <charset val="1"/>
      </rPr>
      <t xml:space="preserve">8</t>
    </r>
  </si>
  <si>
    <t xml:space="preserve">10,000~12,000</t>
  </si>
  <si>
    <t xml:space="preserve">남포동 설렁탕 전문점</t>
  </si>
  <si>
    <r>
      <rPr>
        <sz val="10"/>
        <color rgb="FF0000FF"/>
        <rFont val="WenQuanYi Zen Hei"/>
        <family val="2"/>
      </rPr>
      <t xml:space="preserve">주소는 웹검색 기준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이름</t>
    </r>
    <r>
      <rPr>
        <sz val="10"/>
        <color rgb="FF0000FF"/>
        <rFont val="Malgun Gothic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링크 검색어</t>
    </r>
    <r>
      <rPr>
        <sz val="10"/>
        <color rgb="FF0000FF"/>
        <rFont val="Malgun Gothic"/>
        <family val="0"/>
        <charset val="1"/>
      </rPr>
      <t xml:space="preserve">) – </t>
    </r>
    <r>
      <rPr>
        <sz val="10"/>
        <color rgb="FF0000FF"/>
        <rFont val="WenQuanYi Zen Hei"/>
        <family val="2"/>
      </rPr>
      <t xml:space="preserve">확인 필요</t>
    </r>
  </si>
  <si>
    <r>
      <rPr>
        <b val="true"/>
        <sz val="10"/>
        <color rgb="FF0000FF"/>
        <rFont val="WenQuanYi Zen Hei"/>
        <family val="2"/>
      </rPr>
      <t xml:space="preserve">조방낙지</t>
    </r>
    <r>
      <rPr>
        <b val="true"/>
        <sz val="10"/>
        <color rgb="FF0000FF"/>
        <rFont val="Malgun Gothic"/>
        <family val="0"/>
        <charset val="1"/>
      </rPr>
      <t xml:space="preserve">1</t>
    </r>
    <r>
      <rPr>
        <b val="true"/>
        <sz val="10"/>
        <color rgb="FF0000FF"/>
        <rFont val="WenQuanYi Zen Hei"/>
        <family val="2"/>
      </rPr>
      <t xml:space="preserve">번가</t>
    </r>
  </si>
  <si>
    <t xml:space="preserve">낙곱새</t>
  </si>
  <si>
    <t xml:space="preserve">051-678-3062</t>
  </si>
  <si>
    <t xml:space="preserve">14,000~17,000</t>
  </si>
  <si>
    <r>
      <rPr>
        <sz val="10"/>
        <color rgb="FF0000FF"/>
        <rFont val="WenQuanYi Zen Hei"/>
        <family val="2"/>
      </rPr>
      <t xml:space="preserve">매콤달콤 양념에 낙지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새우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곱창을 넣어 밥에 비벼 먹는 낙곱새</t>
    </r>
  </si>
  <si>
    <t xml:space="preserve">항아리수제면가</t>
  </si>
  <si>
    <t xml:space="preserve">칼국수</t>
  </si>
  <si>
    <t xml:space="preserve">B1 F&amp;B</t>
  </si>
  <si>
    <t xml:space="preserve">051-678-3007</t>
  </si>
  <si>
    <t xml:space="preserve">해물칼국수</t>
  </si>
  <si>
    <t xml:space="preserve">진한 해산물 육수에 수제 면발의 칼국수</t>
  </si>
  <si>
    <t xml:space="preserve">전화번호가 퍼틴과 동일 – 확인 필요</t>
  </si>
  <si>
    <t xml:space="preserve">퍼틴</t>
  </si>
  <si>
    <t xml:space="preserve">베트남 쌀국수</t>
  </si>
  <si>
    <t xml:space="preserve">쌀국수</t>
  </si>
  <si>
    <t xml:space="preserve">12,000~15,000</t>
  </si>
  <si>
    <t xml:space="preserve">하노이식 쌀국수 – 사골 육수와 파 고명</t>
  </si>
  <si>
    <t xml:space="preserve">전화번호가 항아리수제면가와 동일 – 확인 필요</t>
  </si>
  <si>
    <t xml:space="preserve">반반식당</t>
  </si>
  <si>
    <t xml:space="preserve">김치찌개</t>
  </si>
  <si>
    <t xml:space="preserve">051-678-3008</t>
  </si>
  <si>
    <t xml:space="preserve">돼지고기와 묵은지 반반 김치찌개</t>
  </si>
  <si>
    <r>
      <rPr>
        <b val="true"/>
        <sz val="10"/>
        <color rgb="FF0000FF"/>
        <rFont val="WenQuanYi Zen Hei"/>
        <family val="2"/>
      </rPr>
      <t xml:space="preserve">이재모피자 </t>
    </r>
    <r>
      <rPr>
        <b val="true"/>
        <sz val="10"/>
        <color rgb="FF0000FF"/>
        <rFont val="Malgun Gothic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광복동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</si>
  <si>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t xml:space="preserve">피자</t>
  </si>
  <si>
    <r>
      <rPr>
        <sz val="10"/>
        <color rgb="FF0000FF"/>
        <rFont val="WenQuanYi Zen Hei"/>
        <family val="2"/>
      </rPr>
      <t xml:space="preserve">부산 중구 광복중앙로 </t>
    </r>
    <r>
      <rPr>
        <sz val="10"/>
        <color rgb="FF0000FF"/>
        <rFont val="Malgun Gothic"/>
        <family val="0"/>
        <charset val="1"/>
      </rPr>
      <t xml:space="preserve">31 </t>
    </r>
    <r>
      <rPr>
        <sz val="10"/>
        <color rgb="FF0000FF"/>
        <rFont val="WenQuanYi Zen Hei"/>
        <family val="2"/>
      </rPr>
      <t xml:space="preserve">중앙아파트 </t>
    </r>
    <r>
      <rPr>
        <sz val="10"/>
        <color rgb="FF0000FF"/>
        <rFont val="Malgun Gothic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층</t>
    </r>
  </si>
  <si>
    <r>
      <rPr>
        <b val="true"/>
        <sz val="10"/>
        <color rgb="FF0000FF"/>
        <rFont val="WenQuanYi Zen Hei"/>
        <family val="2"/>
      </rPr>
      <t xml:space="preserve">치즈피자 </t>
    </r>
    <r>
      <rPr>
        <b val="true"/>
        <sz val="10"/>
        <color rgb="FF0000FF"/>
        <rFont val="Malgun Gothic"/>
        <family val="0"/>
        <charset val="1"/>
      </rPr>
      <t xml:space="preserve">(M)</t>
    </r>
  </si>
  <si>
    <r>
      <rPr>
        <sz val="10"/>
        <color rgb="FF0000FF"/>
        <rFont val="Malgun Gothic"/>
        <family val="0"/>
        <charset val="1"/>
      </rPr>
      <t xml:space="preserve">1992</t>
    </r>
    <r>
      <rPr>
        <sz val="10"/>
        <color rgb="FF0000FF"/>
        <rFont val="WenQuanYi Zen Hei"/>
        <family val="2"/>
      </rPr>
      <t xml:space="preserve">년 광복동에서 시작한 부산 대표 피자집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치즈가 푸짐하기로 유명</t>
    </r>
  </si>
  <si>
    <t xml:space="preserve">샤브남바완</t>
  </si>
  <si>
    <r>
      <rPr>
        <sz val="10"/>
        <color rgb="FF0000FF"/>
        <rFont val="WenQuanYi Zen Hei"/>
        <family val="2"/>
      </rPr>
      <t xml:space="preserve">샤브샤브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추정</t>
    </r>
    <r>
      <rPr>
        <sz val="10"/>
        <color rgb="FF0000FF"/>
        <rFont val="Malgun Gothic"/>
        <family val="0"/>
        <charset val="1"/>
      </rPr>
      <t xml:space="preserve">)</t>
    </r>
  </si>
  <si>
    <r>
      <rPr>
        <b val="true"/>
        <sz val="10"/>
        <color rgb="FF0000FF"/>
        <rFont val="WenQuanYi Zen Hei"/>
        <family val="2"/>
      </rPr>
      <t xml:space="preserve">샤브샤브 </t>
    </r>
    <r>
      <rPr>
        <b val="true"/>
        <sz val="10"/>
        <color rgb="FF0000FF"/>
        <rFont val="Malgun Gothic"/>
        <family val="0"/>
        <charset val="1"/>
      </rPr>
      <t xml:space="preserve">(1</t>
    </r>
    <r>
      <rPr>
        <b val="true"/>
        <sz val="10"/>
        <color rgb="FF0000FF"/>
        <rFont val="WenQuanYi Zen Hei"/>
        <family val="2"/>
      </rPr>
      <t xml:space="preserve">인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</si>
  <si>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샤브샤브 전문점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지점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메뉴 확인 필요</t>
    </r>
  </si>
  <si>
    <r>
      <rPr>
        <sz val="10"/>
        <color rgb="FF0000FF"/>
        <rFont val="WenQuanYi Zen Hei"/>
        <family val="2"/>
      </rPr>
      <t xml:space="preserve">웹검색</t>
    </r>
    <r>
      <rPr>
        <sz val="10"/>
        <color rgb="FF0000FF"/>
        <rFont val="Malgun Gothic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수영구 민락수변로 </t>
    </r>
    <r>
      <rPr>
        <sz val="10"/>
        <color rgb="FF0000FF"/>
        <rFont val="Malgun Gothic"/>
        <family val="0"/>
        <charset val="1"/>
      </rPr>
      <t xml:space="preserve">29 </t>
    </r>
    <r>
      <rPr>
        <sz val="10"/>
        <color rgb="FF0000FF"/>
        <rFont val="WenQuanYi Zen Hei"/>
        <family val="2"/>
      </rPr>
      <t xml:space="preserve">지점만 확인됨 – 광복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중앙동 지점인지 확인 필요</t>
    </r>
  </si>
  <si>
    <t xml:space="preserve">미쓰부산</t>
  </si>
  <si>
    <t xml:space="preserve">브런치</t>
  </si>
  <si>
    <r>
      <rPr>
        <b val="true"/>
        <sz val="10"/>
        <color rgb="FF0000FF"/>
        <rFont val="WenQuanYi Zen Hei"/>
        <family val="2"/>
      </rPr>
      <t xml:space="preserve">브런치 </t>
    </r>
    <r>
      <rPr>
        <b val="true"/>
        <sz val="10"/>
        <color rgb="FF0000FF"/>
        <rFont val="Malgun Gothic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메뉴 확인 필요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</si>
  <si>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브런치 가게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메뉴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가격은 확인 필요</t>
    </r>
  </si>
  <si>
    <r>
      <rPr>
        <sz val="10"/>
        <color rgb="FF0000FF"/>
        <rFont val="WenQuanYi Zen Hei"/>
        <family val="2"/>
      </rPr>
      <t xml:space="preserve">이름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업종만 받음 – 웹검색에서 주소 못 찾음</t>
    </r>
  </si>
  <si>
    <t xml:space="preserve">디저트</t>
  </si>
  <si>
    <t xml:space="preserve">미미당</t>
  </si>
  <si>
    <t xml:space="preserve">빙수</t>
  </si>
  <si>
    <r>
      <rPr>
        <sz val="10"/>
        <color rgb="FF0000FF"/>
        <rFont val="Malgun Gothic"/>
        <family val="0"/>
        <charset val="1"/>
      </rPr>
      <t xml:space="preserve">★4.81 (</t>
    </r>
    <r>
      <rPr>
        <sz val="10"/>
        <color rgb="FF0000FF"/>
        <rFont val="WenQuanYi Zen Hei"/>
        <family val="2"/>
      </rPr>
      <t xml:space="preserve">리뷰 </t>
    </r>
    <r>
      <rPr>
        <sz val="10"/>
        <color rgb="FF0000FF"/>
        <rFont val="Malgun Gothic"/>
        <family val="0"/>
        <charset val="1"/>
      </rPr>
      <t xml:space="preserve">1,024)</t>
    </r>
  </si>
  <si>
    <t xml:space="preserve">팥빙수</t>
  </si>
  <si>
    <r>
      <rPr>
        <sz val="10"/>
        <color rgb="FF0000FF"/>
        <rFont val="Malgun Gothic"/>
        <family val="0"/>
        <charset val="1"/>
      </rPr>
      <t xml:space="preserve">100% </t>
    </r>
    <r>
      <rPr>
        <sz val="10"/>
        <color rgb="FF0000FF"/>
        <rFont val="WenQuanYi Zen Hei"/>
        <family val="2"/>
      </rPr>
      <t xml:space="preserve">국산팥을 쓰는 빙수 전문점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커피와 함께 먹기 좋다는 후기</t>
    </r>
  </si>
  <si>
    <r>
      <rPr>
        <sz val="10"/>
        <color rgb="FF0000FF"/>
        <rFont val="WenQuanYi Zen Hei"/>
        <family val="2"/>
      </rPr>
      <t xml:space="preserve">네이버 쿠폰 있음 </t>
    </r>
    <r>
      <rPr>
        <sz val="10"/>
        <color rgb="FF0000FF"/>
        <rFont val="Malgun Gothic"/>
        <family val="0"/>
        <charset val="1"/>
      </rPr>
      <t xml:space="preserve">/ </t>
    </r>
    <r>
      <rPr>
        <sz val="10"/>
        <color rgb="FF0000FF"/>
        <rFont val="WenQuanYi Zen Hei"/>
        <family val="2"/>
      </rPr>
      <t xml:space="preserve">웹검색에서 주소 못 찾음</t>
    </r>
  </si>
  <si>
    <t xml:space="preserve">더타임나우</t>
  </si>
  <si>
    <r>
      <rPr>
        <sz val="10"/>
        <color rgb="FF0000FF"/>
        <rFont val="WenQuanYi Zen Hei"/>
        <family val="2"/>
      </rPr>
      <t xml:space="preserve">카페</t>
    </r>
    <r>
      <rPr>
        <sz val="10"/>
        <color rgb="FF0000FF"/>
        <rFont val="Malgun Gothic"/>
        <family val="0"/>
        <charset val="1"/>
      </rPr>
      <t xml:space="preserve">,</t>
    </r>
    <r>
      <rPr>
        <sz val="10"/>
        <color rgb="FF0000FF"/>
        <rFont val="WenQuanYi Zen Hei"/>
        <family val="2"/>
      </rPr>
      <t xml:space="preserve">디저트</t>
    </r>
  </si>
  <si>
    <r>
      <rPr>
        <sz val="10"/>
        <color rgb="FF0000FF"/>
        <rFont val="Malgun Gothic"/>
        <family val="0"/>
        <charset val="1"/>
      </rPr>
      <t xml:space="preserve">★4.82 (</t>
    </r>
    <r>
      <rPr>
        <sz val="10"/>
        <color rgb="FF0000FF"/>
        <rFont val="WenQuanYi Zen Hei"/>
        <family val="2"/>
      </rPr>
      <t xml:space="preserve">리뷰 </t>
    </r>
    <r>
      <rPr>
        <sz val="10"/>
        <color rgb="FF0000FF"/>
        <rFont val="Malgun Gothic"/>
        <family val="0"/>
        <charset val="1"/>
      </rPr>
      <t xml:space="preserve">2,063)</t>
    </r>
  </si>
  <si>
    <r>
      <rPr>
        <b val="true"/>
        <sz val="10"/>
        <color rgb="FF0000FF"/>
        <rFont val="WenQuanYi Zen Hei"/>
        <family val="2"/>
      </rPr>
      <t xml:space="preserve">크로플</t>
    </r>
    <r>
      <rPr>
        <b val="true"/>
        <sz val="10"/>
        <color rgb="FF0000FF"/>
        <rFont val="Malgun Gothic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수제 디저트</t>
    </r>
  </si>
  <si>
    <t xml:space="preserve">9,000~14,000</t>
  </si>
  <si>
    <r>
      <rPr>
        <sz val="10"/>
        <color rgb="FF0000FF"/>
        <rFont val="WenQuanYi Zen Hei"/>
        <family val="2"/>
      </rPr>
      <t xml:space="preserve">복숭아</t>
    </r>
    <r>
      <rPr>
        <sz val="10"/>
        <color rgb="FF0000FF"/>
        <rFont val="Malgun Gothic"/>
        <family val="0"/>
        <charset val="1"/>
      </rPr>
      <t xml:space="preserve">&amp;</t>
    </r>
    <r>
      <rPr>
        <sz val="10"/>
        <color rgb="FF0000FF"/>
        <rFont val="WenQuanYi Zen Hei"/>
        <family val="2"/>
      </rPr>
      <t xml:space="preserve">멜론 크로플 한정판매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수제 디저트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블렌딩티</t>
    </r>
  </si>
  <si>
    <t xml:space="preserve">보노베리 광복점</t>
  </si>
  <si>
    <r>
      <rPr>
        <sz val="10"/>
        <color rgb="FF0000FF"/>
        <rFont val="WenQuanYi Zen Hei"/>
        <family val="2"/>
      </rPr>
      <t xml:space="preserve">부산 중구 광복중앙로 </t>
    </r>
    <r>
      <rPr>
        <sz val="10"/>
        <color rgb="FF0000FF"/>
        <rFont val="Malgun Gothic"/>
        <family val="0"/>
        <charset val="1"/>
      </rPr>
      <t xml:space="preserve">28-1</t>
    </r>
  </si>
  <si>
    <r>
      <rPr>
        <sz val="10"/>
        <color rgb="FF0000FF"/>
        <rFont val="WenQuanYi Zen Hei"/>
        <family val="2"/>
      </rPr>
      <t xml:space="preserve">리뷰 </t>
    </r>
    <r>
      <rPr>
        <sz val="10"/>
        <color rgb="FF0000FF"/>
        <rFont val="Malgun Gothic"/>
        <family val="0"/>
        <charset val="1"/>
      </rPr>
      <t xml:space="preserve">343</t>
    </r>
  </si>
  <si>
    <r>
      <rPr>
        <b val="true"/>
        <sz val="10"/>
        <color rgb="FF0000FF"/>
        <rFont val="WenQuanYi Zen Hei"/>
        <family val="2"/>
      </rPr>
      <t xml:space="preserve">조각 케이크 </t>
    </r>
    <r>
      <rPr>
        <b val="true"/>
        <sz val="10"/>
        <color rgb="FF0000FF"/>
        <rFont val="Malgun Gothic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무화과 케이크 등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</si>
  <si>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무화과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과일 케이크가 유명한 카페</t>
    </r>
    <r>
      <rPr>
        <sz val="10"/>
        <color rgb="FF0000FF"/>
        <rFont val="Malgun Gothic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디저트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예약</t>
    </r>
    <r>
      <rPr>
        <sz val="10"/>
        <color rgb="FF0000FF"/>
        <rFont val="Malgun Gothic"/>
        <family val="0"/>
        <charset val="1"/>
      </rPr>
      <t xml:space="preserve">/</t>
    </r>
    <r>
      <rPr>
        <sz val="10"/>
        <color rgb="FF0000FF"/>
        <rFont val="WenQuanYi Zen Hei"/>
        <family val="2"/>
      </rPr>
      <t xml:space="preserve">주문 가능</t>
    </r>
  </si>
  <si>
    <r>
      <rPr>
        <sz val="10"/>
        <color rgb="FF0000FF"/>
        <rFont val="Malgun Gothic"/>
        <family val="0"/>
        <charset val="1"/>
      </rPr>
      <t xml:space="preserve">20:30 </t>
    </r>
    <r>
      <rPr>
        <sz val="10"/>
        <color rgb="FF0000FF"/>
        <rFont val="WenQuanYi Zen Hei"/>
        <family val="2"/>
      </rPr>
      <t xml:space="preserve">라스트오더 </t>
    </r>
    <r>
      <rPr>
        <sz val="10"/>
        <color rgb="FF0000FF"/>
        <rFont val="Malgun Gothic"/>
        <family val="0"/>
        <charset val="1"/>
      </rPr>
      <t xml:space="preserve">/ </t>
    </r>
    <r>
      <rPr>
        <sz val="10"/>
        <color rgb="FF0000FF"/>
        <rFont val="WenQuanYi Zen Hei"/>
        <family val="2"/>
      </rPr>
      <t xml:space="preserve">중앙역 </t>
    </r>
    <r>
      <rPr>
        <sz val="10"/>
        <color rgb="FF0000FF"/>
        <rFont val="Malgun Gothic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번 출구 </t>
    </r>
    <r>
      <rPr>
        <sz val="10"/>
        <color rgb="FF0000FF"/>
        <rFont val="Malgun Gothic"/>
        <family val="0"/>
        <charset val="1"/>
      </rPr>
      <t xml:space="preserve">532m / </t>
    </r>
    <r>
      <rPr>
        <sz val="10"/>
        <color rgb="FF0000FF"/>
        <rFont val="WenQuanYi Zen Hei"/>
        <family val="2"/>
      </rPr>
      <t xml:space="preserve">예약</t>
    </r>
    <r>
      <rPr>
        <sz val="10"/>
        <color rgb="FF0000FF"/>
        <rFont val="Malgun Gothic"/>
        <family val="0"/>
        <charset val="1"/>
      </rPr>
      <t xml:space="preserve">+</t>
    </r>
    <r>
      <rPr>
        <sz val="10"/>
        <color rgb="FF0000FF"/>
        <rFont val="WenQuanYi Zen Hei"/>
        <family val="2"/>
      </rPr>
      <t xml:space="preserve">리뷰 이벤트 </t>
    </r>
    <r>
      <rPr>
        <sz val="10"/>
        <color rgb="FF0000FF"/>
        <rFont val="Malgun Gothic"/>
        <family val="0"/>
        <charset val="1"/>
      </rPr>
      <t xml:space="preserve">2026.09.28~10.15 (2</t>
    </r>
    <r>
      <rPr>
        <sz val="10"/>
        <color rgb="FF0000FF"/>
        <rFont val="WenQuanYi Zen Hei"/>
        <family val="2"/>
      </rPr>
      <t xml:space="preserve">천원 더블적립</t>
    </r>
    <r>
      <rPr>
        <sz val="10"/>
        <color rgb="FF0000FF"/>
        <rFont val="Malgun Gothic"/>
        <family val="0"/>
        <charset val="1"/>
      </rPr>
      <t xml:space="preserve">)</t>
    </r>
  </si>
  <si>
    <r>
      <rPr>
        <b val="true"/>
        <sz val="10"/>
        <color rgb="FF0000FF"/>
        <rFont val="WenQuanYi Zen Hei"/>
        <family val="2"/>
      </rPr>
      <t xml:space="preserve">망고빙수 집 </t>
    </r>
    <r>
      <rPr>
        <b val="true"/>
        <sz val="10"/>
        <color rgb="FF0000FF"/>
        <rFont val="Malgun Gothic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이름 확인 필요</t>
    </r>
    <r>
      <rPr>
        <b val="true"/>
        <sz val="10"/>
        <color rgb="FF0000FF"/>
        <rFont val="Malgun Gothic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</si>
  <si>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빙수 </t>
    </r>
    <r>
      <rPr>
        <sz val="10"/>
        <color rgb="FF0000FF"/>
        <rFont val="Malgun Gothic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망고</t>
    </r>
    <r>
      <rPr>
        <sz val="10"/>
        <color rgb="FF0000FF"/>
        <rFont val="Malgun Gothic"/>
        <family val="0"/>
        <charset val="1"/>
      </rPr>
      <t xml:space="preserve">)</t>
    </r>
  </si>
  <si>
    <t xml:space="preserve">망고빙수</t>
  </si>
  <si>
    <r>
      <rPr>
        <sz val="10"/>
        <color rgb="FF0000FF"/>
        <rFont val="WenQuanYi Zen Hei"/>
        <family val="2"/>
      </rPr>
      <t xml:space="preserve">망고빙수가 대표인 디저트집</t>
    </r>
    <r>
      <rPr>
        <sz val="10"/>
        <color rgb="FF0000FF"/>
        <rFont val="Malgun Gothic"/>
        <family val="0"/>
        <charset val="1"/>
      </rPr>
      <t xml:space="preserve">. </t>
    </r>
    <r>
      <rPr>
        <sz val="10"/>
        <color rgb="FF0000FF"/>
        <rFont val="WenQuanYi Zen Hei"/>
        <family val="2"/>
      </rPr>
      <t xml:space="preserve">가게 이름 확인 필요</t>
    </r>
  </si>
  <si>
    <r>
      <rPr>
        <i val="true"/>
        <sz val="9"/>
        <color rgb="FF595959"/>
        <rFont val="Malgun Gothic"/>
        <family val="0"/>
        <charset val="1"/>
      </rPr>
      <t xml:space="preserve">※ "</t>
    </r>
    <r>
      <rPr>
        <i val="true"/>
        <sz val="9"/>
        <color rgb="FF595959"/>
        <rFont val="WenQuanYi Zen Hei"/>
        <family val="2"/>
      </rPr>
      <t xml:space="preserve">전체</t>
    </r>
    <r>
      <rPr>
        <i val="true"/>
        <sz val="9"/>
        <color rgb="FF595959"/>
        <rFont val="Malgun Gothic"/>
        <family val="0"/>
        <charset val="1"/>
      </rPr>
      <t xml:space="preserve">" </t>
    </r>
    <r>
      <rPr>
        <i val="true"/>
        <sz val="9"/>
        <color rgb="FF595959"/>
        <rFont val="WenQuanYi Zen Hei"/>
        <family val="2"/>
      </rPr>
      <t xml:space="preserve">시트에서 분류를 지정하면 자동으로 채워집니다 </t>
    </r>
    <r>
      <rPr>
        <i val="true"/>
        <sz val="9"/>
        <color rgb="FF595959"/>
        <rFont val="Malgun Gothic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수식 시트</t>
    </r>
    <r>
      <rPr>
        <i val="true"/>
        <sz val="9"/>
        <color rgb="FF595959"/>
        <rFont val="Malgun Gothic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직접 수정 </t>
    </r>
    <r>
      <rPr>
        <i val="true"/>
        <sz val="9"/>
        <color rgb="FF595959"/>
        <rFont val="Malgun Gothic"/>
        <family val="0"/>
        <charset val="1"/>
      </rPr>
      <t xml:space="preserve">X). </t>
    </r>
    <r>
      <rPr>
        <i val="true"/>
        <sz val="9"/>
        <color rgb="FF595959"/>
        <rFont val="WenQuanYi Zen Hei"/>
        <family val="2"/>
      </rPr>
      <t xml:space="preserve">대략 가격은 추정치입니다</t>
    </r>
    <r>
      <rPr>
        <i val="true"/>
        <sz val="9"/>
        <color rgb="FF595959"/>
        <rFont val="Malgun Gothic"/>
        <family val="0"/>
        <charset val="1"/>
      </rPr>
      <t xml:space="preserve">.</t>
    </r>
  </si>
  <si>
    <t xml:space="preserve">row</t>
  </si>
  <si>
    <r>
      <rPr>
        <b val="true"/>
        <sz val="15"/>
        <rFont val="WenQuanYi Zen Hei"/>
        <family val="2"/>
      </rPr>
      <t xml:space="preserve">고기</t>
    </r>
    <r>
      <rPr>
        <b val="true"/>
        <sz val="15"/>
        <rFont val="Malgun Gothic"/>
        <family val="0"/>
        <charset val="1"/>
      </rPr>
      <t xml:space="preserve">·</t>
    </r>
    <r>
      <rPr>
        <b val="true"/>
        <sz val="15"/>
        <rFont val="WenQuanYi Zen Hei"/>
        <family val="2"/>
      </rPr>
      <t xml:space="preserve">족발</t>
    </r>
  </si>
  <si>
    <r>
      <rPr>
        <sz val="8"/>
        <color rgb="FFA6A6A6"/>
        <rFont val="WenQuanYi Zen Hei"/>
        <family val="2"/>
      </rPr>
      <t xml:space="preserve">고기</t>
    </r>
    <r>
      <rPr>
        <sz val="8"/>
        <color rgb="FFA6A6A6"/>
        <rFont val="Malgun Gothic"/>
        <family val="0"/>
        <charset val="1"/>
      </rPr>
      <t xml:space="preserve">·</t>
    </r>
    <r>
      <rPr>
        <sz val="8"/>
        <color rgb="FFA6A6A6"/>
        <rFont val="WenQuanYi Zen Hei"/>
        <family val="2"/>
      </rPr>
      <t xml:space="preserve">족발</t>
    </r>
  </si>
  <si>
    <r>
      <rPr>
        <b val="true"/>
        <sz val="15"/>
        <rFont val="WenQuanYi Zen Hei"/>
        <family val="2"/>
      </rPr>
      <t xml:space="preserve">국밥</t>
    </r>
    <r>
      <rPr>
        <b val="true"/>
        <sz val="15"/>
        <rFont val="Malgun Gothic"/>
        <family val="0"/>
        <charset val="1"/>
      </rPr>
      <t xml:space="preserve">·</t>
    </r>
    <r>
      <rPr>
        <b val="true"/>
        <sz val="15"/>
        <rFont val="WenQuanYi Zen Hei"/>
        <family val="2"/>
      </rPr>
      <t xml:space="preserve">탕</t>
    </r>
  </si>
  <si>
    <r>
      <rPr>
        <sz val="8"/>
        <color rgb="FFA6A6A6"/>
        <rFont val="WenQuanYi Zen Hei"/>
        <family val="2"/>
      </rPr>
      <t xml:space="preserve">국밥</t>
    </r>
    <r>
      <rPr>
        <sz val="8"/>
        <color rgb="FFA6A6A6"/>
        <rFont val="Malgun Gothic"/>
        <family val="0"/>
        <charset val="1"/>
      </rPr>
      <t xml:space="preserve">·</t>
    </r>
    <r>
      <rPr>
        <sz val="8"/>
        <color rgb="FFA6A6A6"/>
        <rFont val="WenQuanYi Zen Hei"/>
        <family val="2"/>
      </rPr>
      <t xml:space="preserve">탕</t>
    </r>
  </si>
  <si>
    <r>
      <rPr>
        <b val="true"/>
        <sz val="15"/>
        <rFont val="WenQuanYi Zen Hei"/>
        <family val="2"/>
      </rPr>
      <t xml:space="preserve">회</t>
    </r>
    <r>
      <rPr>
        <b val="true"/>
        <sz val="15"/>
        <rFont val="Malgun Gothic"/>
        <family val="0"/>
        <charset val="1"/>
      </rPr>
      <t xml:space="preserve">·</t>
    </r>
    <r>
      <rPr>
        <b val="true"/>
        <sz val="15"/>
        <rFont val="WenQuanYi Zen Hei"/>
        <family val="2"/>
      </rPr>
      <t xml:space="preserve">해산물</t>
    </r>
  </si>
  <si>
    <r>
      <rPr>
        <sz val="8"/>
        <color rgb="FFA6A6A6"/>
        <rFont val="WenQuanYi Zen Hei"/>
        <family val="2"/>
      </rPr>
      <t xml:space="preserve">회</t>
    </r>
    <r>
      <rPr>
        <sz val="8"/>
        <color rgb="FFA6A6A6"/>
        <rFont val="Malgun Gothic"/>
        <family val="0"/>
        <charset val="1"/>
      </rPr>
      <t xml:space="preserve">·</t>
    </r>
    <r>
      <rPr>
        <sz val="8"/>
        <color rgb="FFA6A6A6"/>
        <rFont val="WenQuanYi Zen Hei"/>
        <family val="2"/>
      </rPr>
      <t xml:space="preserve">해산물</t>
    </r>
  </si>
  <si>
    <r>
      <rPr>
        <b val="true"/>
        <sz val="15"/>
        <rFont val="WenQuanYi Zen Hei"/>
        <family val="2"/>
      </rPr>
      <t xml:space="preserve">양식</t>
    </r>
    <r>
      <rPr>
        <b val="true"/>
        <sz val="15"/>
        <rFont val="Malgun Gothic"/>
        <family val="0"/>
        <charset val="1"/>
      </rPr>
      <t xml:space="preserve">·</t>
    </r>
    <r>
      <rPr>
        <b val="true"/>
        <sz val="15"/>
        <rFont val="WenQuanYi Zen Hei"/>
        <family val="2"/>
      </rPr>
      <t xml:space="preserve">아시안</t>
    </r>
  </si>
  <si>
    <r>
      <rPr>
        <sz val="8"/>
        <color rgb="FFA6A6A6"/>
        <rFont val="WenQuanYi Zen Hei"/>
        <family val="2"/>
      </rPr>
      <t xml:space="preserve">양식</t>
    </r>
    <r>
      <rPr>
        <sz val="8"/>
        <color rgb="FFA6A6A6"/>
        <rFont val="Malgun Gothic"/>
        <family val="0"/>
        <charset val="1"/>
      </rPr>
      <t xml:space="preserve">·</t>
    </r>
    <r>
      <rPr>
        <sz val="8"/>
        <color rgb="FFA6A6A6"/>
        <rFont val="WenQuanYi Zen Hei"/>
        <family val="2"/>
      </rPr>
      <t xml:space="preserve">아시안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</si>
</sst>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WenQuanYi Zen Hei"/>
      <family val="2"/>
    </font>
    <font>
      <b val="true"/>
      <sz val="15"/>
      <name val="Malgun Gothic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WenQuanYi Zen Hei"/>
      <family val="2"/>
    </font>
    <font>
      <sz val="10"/>
      <name val="Malgun Gothic"/>
      <family val="0"/>
      <charset val="1"/>
    </font>
    <font>
      <sz val="10"/>
      <color rgb="FF0000FF"/>
      <name val="WenQuanYi Zen Hei"/>
      <family val="2"/>
    </font>
    <font>
      <b val="true"/>
      <sz val="10"/>
      <color rgb="FF0000FF"/>
      <name val="WenQuanYi Zen Hei"/>
      <family val="2"/>
    </font>
    <font>
      <sz val="10"/>
      <color rgb="FF0000FF"/>
      <name val="Malgun Gothic"/>
      <family val="0"/>
      <charset val="1"/>
    </font>
    <font>
      <b val="true"/>
      <sz val="10"/>
      <color rgb="FF0000FF"/>
      <name val="Malgun Gothic"/>
      <family val="0"/>
      <charset val="1"/>
    </font>
    <font>
      <sz val="8"/>
      <color rgb="FFA6A6A6"/>
      <name val="WenQuanYi Zen Hei"/>
      <family val="2"/>
    </font>
    <font>
      <b val="true"/>
      <sz val="10"/>
      <name val="Malgun Gothic"/>
      <family val="0"/>
      <charset val="1"/>
    </font>
    <font>
      <b val="true"/>
      <sz val="11"/>
      <color rgb="FF595959"/>
      <name val="Malgun Gothic"/>
      <family val="0"/>
      <charset val="1"/>
    </font>
    <font>
      <sz val="8"/>
      <color rgb="FFA6A6A6"/>
      <name val="Malgun Gothic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E0"/>
        <bgColor rgb="FFFFFFFF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2B8"/>
          <bgColor rgb="FF000000"/>
        </patternFill>
      </fill>
    </dxf>
    <dxf>
      <fill>
        <patternFill patternType="solid">
          <fgColor rgb="FFEAD1F5"/>
          <bgColor rgb="FF000000"/>
        </patternFill>
      </fill>
    </dxf>
    <dxf>
      <fill>
        <patternFill patternType="solid">
          <fgColor rgb="FFF4B6C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E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BDD7EE"/>
        </patternFill>
      </fill>
    </dxf>
    <dxf>
      <fill>
        <patternFill>
          <bgColor rgb="FFEAD1F5"/>
        </patternFill>
      </fill>
    </dxf>
    <dxf>
      <fill>
        <patternFill>
          <bgColor rgb="FFF4B6C2"/>
        </patternFill>
      </fill>
    </dxf>
    <dxf>
      <fill>
        <patternFill>
          <bgColor rgb="FFE4D2B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E0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EAD1F5"/>
      <rgbColor rgb="FFF4B6C2"/>
      <rgbColor rgb="FFE4D2B8"/>
      <rgbColor rgb="FFF8CBAD"/>
      <rgbColor rgb="FF3366FF"/>
      <rgbColor rgb="FF33CCCC"/>
      <rgbColor rgb="FF99CC00"/>
      <rgbColor rgb="FFFCE4D6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7" min="7" style="0" width="36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6"/>
    <col collapsed="false" customWidth="true" hidden="false" outlineLevel="0" max="14" min="14" style="0" width="42"/>
    <col collapsed="false" customWidth="true" hidden="false" outlineLevel="0" max="15" min="15" style="0" width="36"/>
    <col collapsed="false" customWidth="true" hidden="false" outlineLevel="0" max="16" min="16" style="0" width="9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9.55" hidden="false" customHeight="false" outlineLevel="0" collapsed="fals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3" t="s">
        <v>18</v>
      </c>
    </row>
    <row r="6" customFormat="false" ht="15" hidden="false" customHeight="false" outlineLevel="0" collapsed="false">
      <c r="A6" s="5" t="n">
        <f aca="false">IF(C6="","",ROW()-5)</f>
        <v>1</v>
      </c>
      <c r="B6" s="6" t="s">
        <v>19</v>
      </c>
      <c r="C6" s="7" t="s">
        <v>20</v>
      </c>
      <c r="D6" s="8" t="s">
        <v>21</v>
      </c>
      <c r="E6" s="6" t="s">
        <v>22</v>
      </c>
      <c r="F6" s="9"/>
      <c r="G6" s="8" t="s">
        <v>23</v>
      </c>
      <c r="H6" s="10" t="s">
        <v>24</v>
      </c>
      <c r="I6" s="9"/>
      <c r="J6" s="9"/>
      <c r="K6" s="11"/>
      <c r="L6" s="7" t="s">
        <v>25</v>
      </c>
      <c r="M6" s="12" t="s">
        <v>26</v>
      </c>
      <c r="N6" s="8" t="s">
        <v>27</v>
      </c>
      <c r="O6" s="11"/>
      <c r="P6" s="13" t="str">
        <f aca="false">IF(OR(B6="",C6=""),"",B6&amp;"|"&amp;COUNTIF($B$6:B6,B6))</f>
        <v>중식|1</v>
      </c>
    </row>
    <row r="7" customFormat="false" ht="15" hidden="false" customHeight="false" outlineLevel="0" collapsed="false">
      <c r="A7" s="5" t="n">
        <f aca="false">IF(C7="","",ROW()-5)</f>
        <v>2</v>
      </c>
      <c r="B7" s="6" t="s">
        <v>28</v>
      </c>
      <c r="C7" s="7" t="s">
        <v>29</v>
      </c>
      <c r="D7" s="8" t="s">
        <v>30</v>
      </c>
      <c r="E7" s="6" t="s">
        <v>22</v>
      </c>
      <c r="F7" s="9"/>
      <c r="G7" s="8" t="s">
        <v>31</v>
      </c>
      <c r="H7" s="10" t="s">
        <v>24</v>
      </c>
      <c r="I7" s="9"/>
      <c r="J7" s="6" t="s">
        <v>32</v>
      </c>
      <c r="K7" s="11"/>
      <c r="L7" s="7" t="s">
        <v>33</v>
      </c>
      <c r="M7" s="12" t="s">
        <v>34</v>
      </c>
      <c r="N7" s="8" t="s">
        <v>35</v>
      </c>
      <c r="O7" s="10" t="s">
        <v>36</v>
      </c>
      <c r="P7" s="13" t="str">
        <f aca="false">IF(OR(B7="",C7=""),"",B7&amp;"|"&amp;COUNTIF($B$6:B7,B7))</f>
        <v>일식|1</v>
      </c>
    </row>
    <row r="8" customFormat="false" ht="15" hidden="false" customHeight="false" outlineLevel="0" collapsed="false">
      <c r="A8" s="5" t="n">
        <f aca="false">IF(C8="","",ROW()-5)</f>
        <v>3</v>
      </c>
      <c r="B8" s="6" t="s">
        <v>28</v>
      </c>
      <c r="C8" s="7" t="s">
        <v>37</v>
      </c>
      <c r="D8" s="8" t="s">
        <v>38</v>
      </c>
      <c r="E8" s="6" t="s">
        <v>22</v>
      </c>
      <c r="F8" s="9"/>
      <c r="G8" s="8" t="s">
        <v>39</v>
      </c>
      <c r="H8" s="10" t="s">
        <v>24</v>
      </c>
      <c r="I8" s="9"/>
      <c r="J8" s="9"/>
      <c r="K8" s="11"/>
      <c r="L8" s="7" t="s">
        <v>40</v>
      </c>
      <c r="M8" s="12" t="s">
        <v>41</v>
      </c>
      <c r="N8" s="8" t="s">
        <v>42</v>
      </c>
      <c r="O8" s="11"/>
      <c r="P8" s="13" t="str">
        <f aca="false">IF(OR(B8="",C8=""),"",B8&amp;"|"&amp;COUNTIF($B$6:B8,B8))</f>
        <v>일식|2</v>
      </c>
    </row>
    <row r="9" customFormat="false" ht="15" hidden="false" customHeight="false" outlineLevel="0" collapsed="false">
      <c r="A9" s="5" t="n">
        <f aca="false">IF(C9="","",ROW()-5)</f>
        <v>4</v>
      </c>
      <c r="B9" s="6" t="s">
        <v>43</v>
      </c>
      <c r="C9" s="7" t="s">
        <v>44</v>
      </c>
      <c r="D9" s="8" t="s">
        <v>43</v>
      </c>
      <c r="E9" s="6" t="s">
        <v>22</v>
      </c>
      <c r="F9" s="9"/>
      <c r="G9" s="8" t="s">
        <v>45</v>
      </c>
      <c r="H9" s="10" t="s">
        <v>24</v>
      </c>
      <c r="I9" s="9"/>
      <c r="J9" s="9"/>
      <c r="K9" s="11"/>
      <c r="L9" s="7" t="s">
        <v>46</v>
      </c>
      <c r="M9" s="9"/>
      <c r="N9" s="8" t="s">
        <v>47</v>
      </c>
      <c r="O9" s="11"/>
      <c r="P9" s="13" t="str">
        <f aca="false">IF(OR(B9="",C9=""),"",B9&amp;"|"&amp;COUNTIF($B$6:B9,B9))</f>
        <v>한식|1</v>
      </c>
    </row>
    <row r="10" customFormat="false" ht="26.85" hidden="false" customHeight="false" outlineLevel="0" collapsed="false">
      <c r="A10" s="5" t="n">
        <f aca="false">IF(C10="","",ROW()-5)</f>
        <v>5</v>
      </c>
      <c r="B10" s="6" t="s">
        <v>48</v>
      </c>
      <c r="C10" s="7" t="s">
        <v>49</v>
      </c>
      <c r="D10" s="8" t="s">
        <v>50</v>
      </c>
      <c r="E10" s="6" t="s">
        <v>51</v>
      </c>
      <c r="F10" s="9"/>
      <c r="G10" s="8" t="s">
        <v>52</v>
      </c>
      <c r="H10" s="11"/>
      <c r="I10" s="9"/>
      <c r="J10" s="9"/>
      <c r="K10" s="11"/>
      <c r="L10" s="7" t="s">
        <v>53</v>
      </c>
      <c r="M10" s="6" t="s">
        <v>54</v>
      </c>
      <c r="N10" s="8" t="s">
        <v>55</v>
      </c>
      <c r="O10" s="11"/>
      <c r="P10" s="13" t="str">
        <f aca="false">IF(OR(B10="",C10=""),"",B10&amp;"|"&amp;COUNTIF($B$6:B10,B10))</f>
        <v>고기·족발|1</v>
      </c>
    </row>
    <row r="11" customFormat="false" ht="15" hidden="false" customHeight="false" outlineLevel="0" collapsed="false">
      <c r="A11" s="5" t="n">
        <f aca="false">IF(C11="","",ROW()-5)</f>
        <v>6</v>
      </c>
      <c r="B11" s="6" t="s">
        <v>56</v>
      </c>
      <c r="C11" s="14" t="s">
        <v>57</v>
      </c>
      <c r="D11" s="8" t="s">
        <v>58</v>
      </c>
      <c r="E11" s="6" t="s">
        <v>22</v>
      </c>
      <c r="F11" s="9"/>
      <c r="G11" s="8" t="s">
        <v>59</v>
      </c>
      <c r="H11" s="10" t="s">
        <v>24</v>
      </c>
      <c r="I11" s="9"/>
      <c r="J11" s="9"/>
      <c r="K11" s="11"/>
      <c r="L11" s="7" t="s">
        <v>60</v>
      </c>
      <c r="M11" s="12" t="s">
        <v>61</v>
      </c>
      <c r="N11" s="10" t="s">
        <v>62</v>
      </c>
      <c r="O11" s="11"/>
      <c r="P11" s="13" t="str">
        <f aca="false">IF(OR(B11="",C11=""),"",B11&amp;"|"&amp;COUNTIF($B$6:B11,B11))</f>
        <v>면|1</v>
      </c>
    </row>
    <row r="12" customFormat="false" ht="15" hidden="false" customHeight="false" outlineLevel="0" collapsed="false">
      <c r="A12" s="5" t="n">
        <f aca="false">IF(C12="","",ROW()-5)</f>
        <v>7</v>
      </c>
      <c r="B12" s="6" t="s">
        <v>43</v>
      </c>
      <c r="C12" s="7" t="s">
        <v>63</v>
      </c>
      <c r="D12" s="8" t="s">
        <v>43</v>
      </c>
      <c r="E12" s="6" t="s">
        <v>64</v>
      </c>
      <c r="F12" s="9"/>
      <c r="G12" s="8" t="s">
        <v>65</v>
      </c>
      <c r="H12" s="11"/>
      <c r="I12" s="9"/>
      <c r="J12" s="9"/>
      <c r="K12" s="11"/>
      <c r="L12" s="7" t="s">
        <v>46</v>
      </c>
      <c r="M12" s="9"/>
      <c r="N12" s="8" t="s">
        <v>47</v>
      </c>
      <c r="O12" s="11"/>
      <c r="P12" s="13" t="str">
        <f aca="false">IF(OR(B12="",C12=""),"",B12&amp;"|"&amp;COUNTIF($B$6:B12,B12))</f>
        <v>한식|2</v>
      </c>
    </row>
    <row r="13" customFormat="false" ht="15" hidden="false" customHeight="false" outlineLevel="0" collapsed="false">
      <c r="A13" s="5" t="n">
        <f aca="false">IF(C13="","",ROW()-5)</f>
        <v>8</v>
      </c>
      <c r="B13" s="6" t="s">
        <v>43</v>
      </c>
      <c r="C13" s="7" t="s">
        <v>66</v>
      </c>
      <c r="D13" s="8" t="s">
        <v>43</v>
      </c>
      <c r="E13" s="6" t="s">
        <v>64</v>
      </c>
      <c r="F13" s="9"/>
      <c r="G13" s="8" t="s">
        <v>67</v>
      </c>
      <c r="H13" s="11"/>
      <c r="I13" s="9"/>
      <c r="J13" s="9"/>
      <c r="K13" s="11"/>
      <c r="L13" s="7" t="s">
        <v>46</v>
      </c>
      <c r="M13" s="9"/>
      <c r="N13" s="8" t="s">
        <v>47</v>
      </c>
      <c r="O13" s="11"/>
      <c r="P13" s="13" t="str">
        <f aca="false">IF(OR(B13="",C13=""),"",B13&amp;"|"&amp;COUNTIF($B$6:B13,B13))</f>
        <v>한식|3</v>
      </c>
    </row>
    <row r="14" customFormat="false" ht="15" hidden="false" customHeight="false" outlineLevel="0" collapsed="false">
      <c r="A14" s="5" t="n">
        <f aca="false">IF(C14="","",ROW()-5)</f>
        <v>9</v>
      </c>
      <c r="B14" s="6" t="s">
        <v>56</v>
      </c>
      <c r="C14" s="7" t="s">
        <v>68</v>
      </c>
      <c r="D14" s="8" t="s">
        <v>69</v>
      </c>
      <c r="E14" s="6" t="s">
        <v>22</v>
      </c>
      <c r="F14" s="9"/>
      <c r="G14" s="8" t="s">
        <v>70</v>
      </c>
      <c r="H14" s="11"/>
      <c r="I14" s="9"/>
      <c r="J14" s="9"/>
      <c r="K14" s="11"/>
      <c r="L14" s="7" t="s">
        <v>71</v>
      </c>
      <c r="M14" s="12" t="s">
        <v>72</v>
      </c>
      <c r="N14" s="8" t="s">
        <v>73</v>
      </c>
      <c r="O14" s="11"/>
      <c r="P14" s="13" t="str">
        <f aca="false">IF(OR(B14="",C14=""),"",B14&amp;"|"&amp;COUNTIF($B$6:B14,B14))</f>
        <v>면|2</v>
      </c>
    </row>
    <row r="15" customFormat="false" ht="15" hidden="false" customHeight="false" outlineLevel="0" collapsed="false">
      <c r="A15" s="5" t="n">
        <f aca="false">IF(C15="","",ROW()-5)</f>
        <v>10</v>
      </c>
      <c r="B15" s="6" t="s">
        <v>74</v>
      </c>
      <c r="C15" s="7" t="s">
        <v>75</v>
      </c>
      <c r="D15" s="8" t="s">
        <v>76</v>
      </c>
      <c r="E15" s="6" t="s">
        <v>22</v>
      </c>
      <c r="F15" s="9"/>
      <c r="G15" s="8" t="s">
        <v>77</v>
      </c>
      <c r="H15" s="10" t="s">
        <v>24</v>
      </c>
      <c r="I15" s="9"/>
      <c r="J15" s="9"/>
      <c r="K15" s="11"/>
      <c r="L15" s="7" t="s">
        <v>76</v>
      </c>
      <c r="M15" s="12" t="s">
        <v>78</v>
      </c>
      <c r="N15" s="8" t="s">
        <v>79</v>
      </c>
      <c r="O15" s="11"/>
      <c r="P15" s="13" t="str">
        <f aca="false">IF(OR(B15="",C15=""),"",B15&amp;"|"&amp;COUNTIF($B$6:B15,B15))</f>
        <v>국밥·탕|1</v>
      </c>
    </row>
    <row r="16" customFormat="false" ht="15" hidden="false" customHeight="false" outlineLevel="0" collapsed="false">
      <c r="A16" s="5" t="n">
        <f aca="false">IF(C16="","",ROW()-5)</f>
        <v>11</v>
      </c>
      <c r="B16" s="6" t="s">
        <v>43</v>
      </c>
      <c r="C16" s="7" t="s">
        <v>80</v>
      </c>
      <c r="D16" s="8" t="s">
        <v>43</v>
      </c>
      <c r="E16" s="6" t="s">
        <v>22</v>
      </c>
      <c r="F16" s="9"/>
      <c r="G16" s="8" t="s">
        <v>81</v>
      </c>
      <c r="H16" s="11"/>
      <c r="I16" s="9"/>
      <c r="J16" s="9"/>
      <c r="K16" s="11"/>
      <c r="L16" s="7" t="s">
        <v>46</v>
      </c>
      <c r="M16" s="9"/>
      <c r="N16" s="8" t="s">
        <v>47</v>
      </c>
      <c r="O16" s="11"/>
      <c r="P16" s="13" t="str">
        <f aca="false">IF(OR(B16="",C16=""),"",B16&amp;"|"&amp;COUNTIF($B$6:B16,B16))</f>
        <v>한식|4</v>
      </c>
    </row>
    <row r="17" customFormat="false" ht="15" hidden="false" customHeight="false" outlineLevel="0" collapsed="false">
      <c r="A17" s="5" t="n">
        <f aca="false">IF(C17="","",ROW()-5)</f>
        <v>12</v>
      </c>
      <c r="B17" s="6" t="s">
        <v>43</v>
      </c>
      <c r="C17" s="7" t="s">
        <v>82</v>
      </c>
      <c r="D17" s="8" t="s">
        <v>43</v>
      </c>
      <c r="E17" s="6" t="s">
        <v>22</v>
      </c>
      <c r="F17" s="9"/>
      <c r="G17" s="8" t="s">
        <v>83</v>
      </c>
      <c r="H17" s="11"/>
      <c r="I17" s="9"/>
      <c r="J17" s="9"/>
      <c r="K17" s="11"/>
      <c r="L17" s="7" t="s">
        <v>46</v>
      </c>
      <c r="M17" s="9"/>
      <c r="N17" s="8" t="s">
        <v>47</v>
      </c>
      <c r="O17" s="11"/>
      <c r="P17" s="13" t="str">
        <f aca="false">IF(OR(B17="",C17=""),"",B17&amp;"|"&amp;COUNTIF($B$6:B17,B17))</f>
        <v>한식|5</v>
      </c>
    </row>
    <row r="18" customFormat="false" ht="26.85" hidden="false" customHeight="false" outlineLevel="0" collapsed="false">
      <c r="A18" s="5" t="n">
        <f aca="false">IF(C18="","",ROW()-5)</f>
        <v>13</v>
      </c>
      <c r="B18" s="6" t="s">
        <v>43</v>
      </c>
      <c r="C18" s="7" t="s">
        <v>84</v>
      </c>
      <c r="D18" s="8" t="s">
        <v>43</v>
      </c>
      <c r="E18" s="6" t="s">
        <v>22</v>
      </c>
      <c r="F18" s="12" t="s">
        <v>85</v>
      </c>
      <c r="G18" s="8" t="s">
        <v>86</v>
      </c>
      <c r="H18" s="10" t="s">
        <v>24</v>
      </c>
      <c r="I18" s="9"/>
      <c r="J18" s="9"/>
      <c r="K18" s="11"/>
      <c r="L18" s="7" t="s">
        <v>87</v>
      </c>
      <c r="M18" s="12" t="s">
        <v>88</v>
      </c>
      <c r="N18" s="8" t="s">
        <v>89</v>
      </c>
      <c r="O18" s="11"/>
      <c r="P18" s="13" t="str">
        <f aca="false">IF(OR(B18="",C18=""),"",B18&amp;"|"&amp;COUNTIF($B$6:B18,B18))</f>
        <v>한식|6</v>
      </c>
    </row>
    <row r="19" customFormat="false" ht="15" hidden="false" customHeight="false" outlineLevel="0" collapsed="false">
      <c r="A19" s="5" t="n">
        <f aca="false">IF(C19="","",ROW()-5)</f>
        <v>14</v>
      </c>
      <c r="B19" s="6" t="s">
        <v>74</v>
      </c>
      <c r="C19" s="7" t="s">
        <v>90</v>
      </c>
      <c r="D19" s="8" t="s">
        <v>76</v>
      </c>
      <c r="E19" s="6" t="s">
        <v>64</v>
      </c>
      <c r="F19" s="9"/>
      <c r="G19" s="8" t="s">
        <v>91</v>
      </c>
      <c r="H19" s="11"/>
      <c r="I19" s="9"/>
      <c r="J19" s="9"/>
      <c r="K19" s="11"/>
      <c r="L19" s="7" t="s">
        <v>92</v>
      </c>
      <c r="M19" s="12" t="s">
        <v>78</v>
      </c>
      <c r="N19" s="8" t="s">
        <v>93</v>
      </c>
      <c r="O19" s="11"/>
      <c r="P19" s="13" t="str">
        <f aca="false">IF(OR(B19="",C19=""),"",B19&amp;"|"&amp;COUNTIF($B$6:B19,B19))</f>
        <v>국밥·탕|2</v>
      </c>
    </row>
    <row r="20" customFormat="false" ht="15" hidden="false" customHeight="false" outlineLevel="0" collapsed="false">
      <c r="A20" s="5" t="n">
        <f aca="false">IF(C20="","",ROW()-5)</f>
        <v>15</v>
      </c>
      <c r="B20" s="6" t="s">
        <v>28</v>
      </c>
      <c r="C20" s="7" t="s">
        <v>94</v>
      </c>
      <c r="D20" s="8" t="s">
        <v>95</v>
      </c>
      <c r="E20" s="6" t="s">
        <v>22</v>
      </c>
      <c r="F20" s="9"/>
      <c r="G20" s="8" t="s">
        <v>96</v>
      </c>
      <c r="H20" s="10" t="s">
        <v>24</v>
      </c>
      <c r="I20" s="9"/>
      <c r="J20" s="9"/>
      <c r="K20" s="11"/>
      <c r="L20" s="7" t="s">
        <v>97</v>
      </c>
      <c r="M20" s="9"/>
      <c r="N20" s="8" t="s">
        <v>98</v>
      </c>
      <c r="O20" s="11"/>
      <c r="P20" s="13" t="str">
        <f aca="false">IF(OR(B20="",C20=""),"",B20&amp;"|"&amp;COUNTIF($B$6:B20,B20))</f>
        <v>일식|3</v>
      </c>
    </row>
    <row r="21" customFormat="false" ht="15" hidden="false" customHeight="false" outlineLevel="0" collapsed="false">
      <c r="A21" s="5" t="n">
        <f aca="false">IF(C21="","",ROW()-5)</f>
        <v>16</v>
      </c>
      <c r="B21" s="6" t="s">
        <v>56</v>
      </c>
      <c r="C21" s="7" t="s">
        <v>99</v>
      </c>
      <c r="D21" s="8" t="s">
        <v>100</v>
      </c>
      <c r="E21" s="6" t="s">
        <v>22</v>
      </c>
      <c r="F21" s="9"/>
      <c r="G21" s="8" t="s">
        <v>101</v>
      </c>
      <c r="H21" s="11"/>
      <c r="I21" s="9"/>
      <c r="J21" s="9"/>
      <c r="K21" s="11"/>
      <c r="L21" s="7" t="s">
        <v>102</v>
      </c>
      <c r="M21" s="12" t="s">
        <v>103</v>
      </c>
      <c r="N21" s="8" t="s">
        <v>104</v>
      </c>
      <c r="O21" s="11"/>
      <c r="P21" s="13" t="str">
        <f aca="false">IF(OR(B21="",C21=""),"",B21&amp;"|"&amp;COUNTIF($B$6:B21,B21))</f>
        <v>면|3</v>
      </c>
    </row>
    <row r="22" customFormat="false" ht="26.85" hidden="false" customHeight="false" outlineLevel="0" collapsed="false">
      <c r="A22" s="5" t="n">
        <f aca="false">IF(C22="","",ROW()-5)</f>
        <v>17</v>
      </c>
      <c r="B22" s="6" t="s">
        <v>105</v>
      </c>
      <c r="C22" s="7" t="s">
        <v>106</v>
      </c>
      <c r="D22" s="8" t="s">
        <v>107</v>
      </c>
      <c r="E22" s="6" t="s">
        <v>22</v>
      </c>
      <c r="F22" s="9"/>
      <c r="G22" s="8" t="s">
        <v>108</v>
      </c>
      <c r="H22" s="10" t="s">
        <v>109</v>
      </c>
      <c r="I22" s="9"/>
      <c r="J22" s="9"/>
      <c r="K22" s="10" t="s">
        <v>110</v>
      </c>
      <c r="L22" s="7" t="s">
        <v>111</v>
      </c>
      <c r="M22" s="12" t="s">
        <v>88</v>
      </c>
      <c r="N22" s="8" t="s">
        <v>112</v>
      </c>
      <c r="O22" s="11"/>
      <c r="P22" s="13" t="str">
        <f aca="false">IF(OR(B22="",C22=""),"",B22&amp;"|"&amp;COUNTIF($B$6:B22,B22))</f>
        <v>롯데백화점|1</v>
      </c>
    </row>
    <row r="23" customFormat="false" ht="26.85" hidden="false" customHeight="false" outlineLevel="0" collapsed="false">
      <c r="A23" s="5" t="n">
        <f aca="false">IF(C23="","",ROW()-5)</f>
        <v>18</v>
      </c>
      <c r="B23" s="6" t="s">
        <v>105</v>
      </c>
      <c r="C23" s="7" t="s">
        <v>113</v>
      </c>
      <c r="D23" s="8" t="s">
        <v>95</v>
      </c>
      <c r="E23" s="6" t="s">
        <v>22</v>
      </c>
      <c r="F23" s="9"/>
      <c r="G23" s="8" t="s">
        <v>108</v>
      </c>
      <c r="H23" s="8" t="s">
        <v>114</v>
      </c>
      <c r="I23" s="9"/>
      <c r="J23" s="9"/>
      <c r="K23" s="11"/>
      <c r="L23" s="7" t="s">
        <v>97</v>
      </c>
      <c r="M23" s="9"/>
      <c r="N23" s="8" t="s">
        <v>115</v>
      </c>
      <c r="O23" s="11"/>
      <c r="P23" s="13" t="str">
        <f aca="false">IF(OR(B23="",C23=""),"",B23&amp;"|"&amp;COUNTIF($B$6:B23,B23))</f>
        <v>롯데백화점|2</v>
      </c>
    </row>
    <row r="24" customFormat="false" ht="26.85" hidden="false" customHeight="false" outlineLevel="0" collapsed="false">
      <c r="A24" s="5" t="n">
        <f aca="false">IF(C24="","",ROW()-5)</f>
        <v>19</v>
      </c>
      <c r="B24" s="6" t="s">
        <v>43</v>
      </c>
      <c r="C24" s="7" t="s">
        <v>116</v>
      </c>
      <c r="D24" s="8" t="s">
        <v>43</v>
      </c>
      <c r="E24" s="6" t="s">
        <v>22</v>
      </c>
      <c r="F24" s="12" t="s">
        <v>85</v>
      </c>
      <c r="G24" s="8" t="s">
        <v>117</v>
      </c>
      <c r="H24" s="10" t="s">
        <v>118</v>
      </c>
      <c r="I24" s="9"/>
      <c r="J24" s="9"/>
      <c r="K24" s="11"/>
      <c r="L24" s="7" t="s">
        <v>119</v>
      </c>
      <c r="M24" s="9"/>
      <c r="N24" s="8" t="s">
        <v>120</v>
      </c>
      <c r="O24" s="11"/>
      <c r="P24" s="13" t="str">
        <f aca="false">IF(OR(B24="",C24=""),"",B24&amp;"|"&amp;COUNTIF($B$6:B24,B24))</f>
        <v>한식|7</v>
      </c>
    </row>
    <row r="25" customFormat="false" ht="26.85" hidden="false" customHeight="false" outlineLevel="0" collapsed="false">
      <c r="A25" s="5" t="n">
        <f aca="false">IF(C25="","",ROW()-5)</f>
        <v>20</v>
      </c>
      <c r="B25" s="6" t="s">
        <v>105</v>
      </c>
      <c r="C25" s="7" t="s">
        <v>121</v>
      </c>
      <c r="D25" s="8" t="s">
        <v>122</v>
      </c>
      <c r="E25" s="6" t="s">
        <v>22</v>
      </c>
      <c r="F25" s="9"/>
      <c r="G25" s="8" t="s">
        <v>108</v>
      </c>
      <c r="H25" s="10" t="s">
        <v>123</v>
      </c>
      <c r="I25" s="9"/>
      <c r="J25" s="9"/>
      <c r="K25" s="11"/>
      <c r="L25" s="7" t="s">
        <v>124</v>
      </c>
      <c r="M25" s="12" t="s">
        <v>125</v>
      </c>
      <c r="N25" s="8" t="s">
        <v>126</v>
      </c>
      <c r="O25" s="11"/>
      <c r="P25" s="13" t="str">
        <f aca="false">IF(OR(B25="",C25=""),"",B25&amp;"|"&amp;COUNTIF($B$6:B25,B25))</f>
        <v>롯데백화점|3</v>
      </c>
    </row>
    <row r="26" customFormat="false" ht="15" hidden="false" customHeight="false" outlineLevel="0" collapsed="false">
      <c r="A26" s="5" t="n">
        <f aca="false">IF(C26="","",ROW()-5)</f>
        <v>21</v>
      </c>
      <c r="B26" s="6" t="s">
        <v>48</v>
      </c>
      <c r="C26" s="7" t="s">
        <v>127</v>
      </c>
      <c r="D26" s="8" t="s">
        <v>128</v>
      </c>
      <c r="E26" s="6" t="s">
        <v>22</v>
      </c>
      <c r="F26" s="9"/>
      <c r="G26" s="8" t="s">
        <v>129</v>
      </c>
      <c r="H26" s="11"/>
      <c r="I26" s="9"/>
      <c r="J26" s="9"/>
      <c r="K26" s="11"/>
      <c r="L26" s="7" t="s">
        <v>130</v>
      </c>
      <c r="M26" s="12" t="s">
        <v>131</v>
      </c>
      <c r="N26" s="8" t="s">
        <v>132</v>
      </c>
      <c r="O26" s="11"/>
      <c r="P26" s="13" t="str">
        <f aca="false">IF(OR(B26="",C26=""),"",B26&amp;"|"&amp;COUNTIF($B$6:B26,B26))</f>
        <v>고기·족발|2</v>
      </c>
    </row>
    <row r="27" customFormat="false" ht="15" hidden="false" customHeight="false" outlineLevel="0" collapsed="false">
      <c r="A27" s="5" t="n">
        <f aca="false">IF(C27="","",ROW()-5)</f>
        <v>22</v>
      </c>
      <c r="B27" s="6" t="s">
        <v>43</v>
      </c>
      <c r="C27" s="7" t="s">
        <v>133</v>
      </c>
      <c r="D27" s="8" t="s">
        <v>43</v>
      </c>
      <c r="E27" s="6" t="s">
        <v>134</v>
      </c>
      <c r="F27" s="9"/>
      <c r="G27" s="8" t="s">
        <v>117</v>
      </c>
      <c r="H27" s="10" t="s">
        <v>135</v>
      </c>
      <c r="I27" s="9"/>
      <c r="J27" s="9"/>
      <c r="K27" s="11"/>
      <c r="L27" s="7" t="s">
        <v>111</v>
      </c>
      <c r="M27" s="9"/>
      <c r="N27" s="8" t="s">
        <v>136</v>
      </c>
      <c r="O27" s="11"/>
      <c r="P27" s="13" t="str">
        <f aca="false">IF(OR(B27="",C27=""),"",B27&amp;"|"&amp;COUNTIF($B$6:B27,B27))</f>
        <v>한식|8</v>
      </c>
    </row>
    <row r="28" customFormat="false" ht="15" hidden="false" customHeight="false" outlineLevel="0" collapsed="false">
      <c r="A28" s="5" t="n">
        <f aca="false">IF(C28="","",ROW()-5)</f>
        <v>23</v>
      </c>
      <c r="B28" s="6" t="s">
        <v>19</v>
      </c>
      <c r="C28" s="7" t="s">
        <v>137</v>
      </c>
      <c r="D28" s="8" t="s">
        <v>138</v>
      </c>
      <c r="E28" s="6" t="s">
        <v>64</v>
      </c>
      <c r="F28" s="9"/>
      <c r="G28" s="8" t="s">
        <v>139</v>
      </c>
      <c r="H28" s="11"/>
      <c r="I28" s="9"/>
      <c r="J28" s="9"/>
      <c r="K28" s="11"/>
      <c r="L28" s="7" t="s">
        <v>140</v>
      </c>
      <c r="M28" s="12" t="s">
        <v>141</v>
      </c>
      <c r="N28" s="8" t="s">
        <v>142</v>
      </c>
      <c r="O28" s="11"/>
      <c r="P28" s="13" t="str">
        <f aca="false">IF(OR(B28="",C28=""),"",B28&amp;"|"&amp;COUNTIF($B$6:B28,B28))</f>
        <v>중식|2</v>
      </c>
    </row>
    <row r="29" customFormat="false" ht="15" hidden="false" customHeight="false" outlineLevel="0" collapsed="false">
      <c r="A29" s="5" t="n">
        <f aca="false">IF(C29="","",ROW()-5)</f>
        <v>24</v>
      </c>
      <c r="B29" s="6" t="s">
        <v>43</v>
      </c>
      <c r="C29" s="7" t="s">
        <v>143</v>
      </c>
      <c r="D29" s="8" t="s">
        <v>43</v>
      </c>
      <c r="E29" s="6" t="s">
        <v>64</v>
      </c>
      <c r="F29" s="9"/>
      <c r="G29" s="8" t="s">
        <v>144</v>
      </c>
      <c r="H29" s="11"/>
      <c r="I29" s="9"/>
      <c r="J29" s="9"/>
      <c r="K29" s="11"/>
      <c r="L29" s="7" t="s">
        <v>46</v>
      </c>
      <c r="M29" s="9"/>
      <c r="N29" s="8" t="s">
        <v>47</v>
      </c>
      <c r="O29" s="11"/>
      <c r="P29" s="13" t="str">
        <f aca="false">IF(OR(B29="",C29=""),"",B29&amp;"|"&amp;COUNTIF($B$6:B29,B29))</f>
        <v>한식|9</v>
      </c>
    </row>
    <row r="30" customFormat="false" ht="15" hidden="false" customHeight="false" outlineLevel="0" collapsed="false">
      <c r="A30" s="5" t="n">
        <f aca="false">IF(C30="","",ROW()-5)</f>
        <v>25</v>
      </c>
      <c r="B30" s="6" t="s">
        <v>74</v>
      </c>
      <c r="C30" s="7" t="s">
        <v>145</v>
      </c>
      <c r="D30" s="8" t="s">
        <v>146</v>
      </c>
      <c r="E30" s="6" t="s">
        <v>134</v>
      </c>
      <c r="F30" s="9"/>
      <c r="G30" s="8" t="s">
        <v>147</v>
      </c>
      <c r="H30" s="11"/>
      <c r="I30" s="9"/>
      <c r="J30" s="9"/>
      <c r="K30" s="11"/>
      <c r="L30" s="7" t="s">
        <v>148</v>
      </c>
      <c r="M30" s="12" t="s">
        <v>149</v>
      </c>
      <c r="N30" s="8" t="s">
        <v>150</v>
      </c>
      <c r="O30" s="8" t="s">
        <v>151</v>
      </c>
      <c r="P30" s="13" t="str">
        <f aca="false">IF(OR(B30="",C30=""),"",B30&amp;"|"&amp;COUNTIF($B$6:B30,B30))</f>
        <v>국밥·탕|3</v>
      </c>
    </row>
    <row r="31" customFormat="false" ht="26.1" hidden="false" customHeight="false" outlineLevel="0" collapsed="false">
      <c r="A31" s="5" t="n">
        <f aca="false">IF(C31="","",ROW()-5)</f>
        <v>26</v>
      </c>
      <c r="B31" s="6" t="s">
        <v>56</v>
      </c>
      <c r="C31" s="7" t="s">
        <v>152</v>
      </c>
      <c r="D31" s="8" t="s">
        <v>58</v>
      </c>
      <c r="E31" s="6" t="s">
        <v>22</v>
      </c>
      <c r="F31" s="9"/>
      <c r="G31" s="8" t="s">
        <v>153</v>
      </c>
      <c r="H31" s="10" t="s">
        <v>24</v>
      </c>
      <c r="I31" s="9"/>
      <c r="J31" s="12" t="s">
        <v>154</v>
      </c>
      <c r="K31" s="10" t="s">
        <v>155</v>
      </c>
      <c r="L31" s="7" t="s">
        <v>156</v>
      </c>
      <c r="M31" s="12" t="s">
        <v>72</v>
      </c>
      <c r="N31" s="8" t="s">
        <v>157</v>
      </c>
      <c r="O31" s="10" t="s">
        <v>158</v>
      </c>
      <c r="P31" s="13" t="str">
        <f aca="false">IF(OR(B31="",C31=""),"",B31&amp;"|"&amp;COUNTIF($B$6:B31,B31))</f>
        <v>면|4</v>
      </c>
    </row>
    <row r="32" customFormat="false" ht="26.85" hidden="false" customHeight="false" outlineLevel="0" collapsed="false">
      <c r="A32" s="5" t="n">
        <f aca="false">IF(C32="","",ROW()-5)</f>
        <v>27</v>
      </c>
      <c r="B32" s="6" t="s">
        <v>105</v>
      </c>
      <c r="C32" s="7" t="s">
        <v>159</v>
      </c>
      <c r="D32" s="8" t="s">
        <v>160</v>
      </c>
      <c r="E32" s="6" t="s">
        <v>22</v>
      </c>
      <c r="F32" s="9"/>
      <c r="G32" s="8" t="s">
        <v>108</v>
      </c>
      <c r="H32" s="8" t="s">
        <v>114</v>
      </c>
      <c r="I32" s="9"/>
      <c r="J32" s="9"/>
      <c r="K32" s="11"/>
      <c r="L32" s="7" t="s">
        <v>161</v>
      </c>
      <c r="M32" s="12" t="s">
        <v>162</v>
      </c>
      <c r="N32" s="8" t="s">
        <v>163</v>
      </c>
      <c r="O32" s="11"/>
      <c r="P32" s="13" t="str">
        <f aca="false">IF(OR(B32="",C32=""),"",B32&amp;"|"&amp;COUNTIF($B$6:B32,B32))</f>
        <v>롯데백화점|4</v>
      </c>
    </row>
    <row r="33" customFormat="false" ht="26.85" hidden="false" customHeight="false" outlineLevel="0" collapsed="false">
      <c r="A33" s="5" t="n">
        <f aca="false">IF(C33="","",ROW()-5)</f>
        <v>28</v>
      </c>
      <c r="B33" s="6" t="s">
        <v>48</v>
      </c>
      <c r="C33" s="7" t="s">
        <v>164</v>
      </c>
      <c r="D33" s="8" t="s">
        <v>128</v>
      </c>
      <c r="E33" s="6" t="s">
        <v>51</v>
      </c>
      <c r="F33" s="9"/>
      <c r="G33" s="8" t="s">
        <v>165</v>
      </c>
      <c r="H33" s="10" t="s">
        <v>166</v>
      </c>
      <c r="I33" s="9"/>
      <c r="J33" s="12" t="s">
        <v>167</v>
      </c>
      <c r="K33" s="11"/>
      <c r="L33" s="7" t="s">
        <v>168</v>
      </c>
      <c r="M33" s="12" t="s">
        <v>169</v>
      </c>
      <c r="N33" s="8" t="s">
        <v>170</v>
      </c>
      <c r="O33" s="10" t="s">
        <v>171</v>
      </c>
      <c r="P33" s="13" t="str">
        <f aca="false">IF(OR(B33="",C33=""),"",B33&amp;"|"&amp;COUNTIF($B$6:B33,B33))</f>
        <v>고기·족발|3</v>
      </c>
    </row>
    <row r="34" customFormat="false" ht="15" hidden="false" customHeight="false" outlineLevel="0" collapsed="false">
      <c r="A34" s="5" t="n">
        <f aca="false">IF(C34="","",ROW()-5)</f>
        <v>29</v>
      </c>
      <c r="B34" s="6" t="s">
        <v>172</v>
      </c>
      <c r="C34" s="7" t="s">
        <v>173</v>
      </c>
      <c r="D34" s="8" t="s">
        <v>174</v>
      </c>
      <c r="E34" s="6" t="s">
        <v>64</v>
      </c>
      <c r="F34" s="9"/>
      <c r="G34" s="8" t="s">
        <v>175</v>
      </c>
      <c r="H34" s="11"/>
      <c r="I34" s="9"/>
      <c r="J34" s="9"/>
      <c r="K34" s="11"/>
      <c r="L34" s="7" t="s">
        <v>174</v>
      </c>
      <c r="M34" s="12" t="s">
        <v>141</v>
      </c>
      <c r="N34" s="8" t="s">
        <v>176</v>
      </c>
      <c r="O34" s="8" t="s">
        <v>177</v>
      </c>
      <c r="P34" s="13" t="str">
        <f aca="false">IF(OR(B34="",C34=""),"",B34&amp;"|"&amp;COUNTIF($B$6:B34,B34))</f>
        <v>양식·아시안|1</v>
      </c>
    </row>
    <row r="35" customFormat="false" ht="39.55" hidden="false" customHeight="false" outlineLevel="0" collapsed="false">
      <c r="A35" s="5" t="n">
        <f aca="false">IF(C35="","",ROW()-5)</f>
        <v>30</v>
      </c>
      <c r="B35" s="6" t="s">
        <v>19</v>
      </c>
      <c r="C35" s="7" t="s">
        <v>178</v>
      </c>
      <c r="D35" s="8" t="s">
        <v>19</v>
      </c>
      <c r="E35" s="6" t="s">
        <v>64</v>
      </c>
      <c r="F35" s="9"/>
      <c r="G35" s="11"/>
      <c r="H35" s="11"/>
      <c r="I35" s="9"/>
      <c r="J35" s="9"/>
      <c r="K35" s="11"/>
      <c r="L35" s="7" t="s">
        <v>179</v>
      </c>
      <c r="M35" s="12" t="s">
        <v>180</v>
      </c>
      <c r="N35" s="8" t="s">
        <v>181</v>
      </c>
      <c r="O35" s="8" t="s">
        <v>182</v>
      </c>
      <c r="P35" s="13" t="str">
        <f aca="false">IF(OR(B35="",C35=""),"",B35&amp;"|"&amp;COUNTIF($B$6:B35,B35))</f>
        <v>중식|3</v>
      </c>
    </row>
    <row r="36" customFormat="false" ht="26.85" hidden="false" customHeight="false" outlineLevel="0" collapsed="false">
      <c r="A36" s="5" t="n">
        <f aca="false">IF(C36="","",ROW()-5)</f>
        <v>31</v>
      </c>
      <c r="B36" s="6" t="s">
        <v>183</v>
      </c>
      <c r="C36" s="7" t="s">
        <v>184</v>
      </c>
      <c r="D36" s="8" t="s">
        <v>185</v>
      </c>
      <c r="E36" s="6" t="s">
        <v>64</v>
      </c>
      <c r="F36" s="9"/>
      <c r="G36" s="11"/>
      <c r="H36" s="11"/>
      <c r="I36" s="9"/>
      <c r="J36" s="9"/>
      <c r="K36" s="11"/>
      <c r="L36" s="7" t="s">
        <v>186</v>
      </c>
      <c r="M36" s="12" t="s">
        <v>88</v>
      </c>
      <c r="N36" s="8" t="s">
        <v>187</v>
      </c>
      <c r="O36" s="8" t="s">
        <v>188</v>
      </c>
      <c r="P36" s="13" t="str">
        <f aca="false">IF(OR(B36="",C36=""),"",B36&amp;"|"&amp;COUNTIF($B$6:B36,B36))</f>
        <v>회·해산물|1</v>
      </c>
    </row>
    <row r="37" customFormat="false" ht="26.85" hidden="false" customHeight="false" outlineLevel="0" collapsed="false">
      <c r="A37" s="5" t="n">
        <f aca="false">IF(C37="","",ROW()-5)</f>
        <v>32</v>
      </c>
      <c r="B37" s="6" t="s">
        <v>74</v>
      </c>
      <c r="C37" s="7" t="s">
        <v>189</v>
      </c>
      <c r="D37" s="8" t="s">
        <v>190</v>
      </c>
      <c r="E37" s="6" t="s">
        <v>64</v>
      </c>
      <c r="F37" s="9"/>
      <c r="G37" s="8" t="s">
        <v>191</v>
      </c>
      <c r="H37" s="11"/>
      <c r="I37" s="9"/>
      <c r="J37" s="9"/>
      <c r="K37" s="11"/>
      <c r="L37" s="7" t="s">
        <v>190</v>
      </c>
      <c r="M37" s="12" t="s">
        <v>192</v>
      </c>
      <c r="N37" s="8" t="s">
        <v>193</v>
      </c>
      <c r="O37" s="8" t="s">
        <v>194</v>
      </c>
      <c r="P37" s="13" t="str">
        <f aca="false">IF(OR(B37="",C37=""),"",B37&amp;"|"&amp;COUNTIF($B$6:B37,B37))</f>
        <v>국밥·탕|4</v>
      </c>
    </row>
    <row r="38" customFormat="false" ht="26.85" hidden="false" customHeight="false" outlineLevel="0" collapsed="false">
      <c r="A38" s="5" t="n">
        <f aca="false">IF(C38="","",ROW()-5)</f>
        <v>33</v>
      </c>
      <c r="B38" s="6" t="s">
        <v>105</v>
      </c>
      <c r="C38" s="7" t="s">
        <v>195</v>
      </c>
      <c r="D38" s="8" t="s">
        <v>196</v>
      </c>
      <c r="E38" s="6" t="s">
        <v>64</v>
      </c>
      <c r="F38" s="9"/>
      <c r="G38" s="8" t="s">
        <v>108</v>
      </c>
      <c r="H38" s="10" t="s">
        <v>109</v>
      </c>
      <c r="I38" s="9"/>
      <c r="J38" s="9"/>
      <c r="K38" s="10" t="s">
        <v>197</v>
      </c>
      <c r="L38" s="7" t="s">
        <v>196</v>
      </c>
      <c r="M38" s="12" t="s">
        <v>198</v>
      </c>
      <c r="N38" s="8" t="s">
        <v>199</v>
      </c>
      <c r="O38" s="11"/>
      <c r="P38" s="13" t="str">
        <f aca="false">IF(OR(B38="",C38=""),"",B38&amp;"|"&amp;COUNTIF($B$6:B38,B38))</f>
        <v>롯데백화점|5</v>
      </c>
    </row>
    <row r="39" customFormat="false" ht="26.85" hidden="false" customHeight="false" outlineLevel="0" collapsed="false">
      <c r="A39" s="5" t="n">
        <f aca="false">IF(C39="","",ROW()-5)</f>
        <v>34</v>
      </c>
      <c r="B39" s="6" t="s">
        <v>105</v>
      </c>
      <c r="C39" s="7" t="s">
        <v>200</v>
      </c>
      <c r="D39" s="8" t="s">
        <v>201</v>
      </c>
      <c r="E39" s="6" t="s">
        <v>64</v>
      </c>
      <c r="F39" s="9"/>
      <c r="G39" s="8" t="s">
        <v>108</v>
      </c>
      <c r="H39" s="10" t="s">
        <v>202</v>
      </c>
      <c r="I39" s="9"/>
      <c r="J39" s="9"/>
      <c r="K39" s="10" t="s">
        <v>203</v>
      </c>
      <c r="L39" s="7" t="s">
        <v>204</v>
      </c>
      <c r="M39" s="12" t="s">
        <v>34</v>
      </c>
      <c r="N39" s="8" t="s">
        <v>205</v>
      </c>
      <c r="O39" s="8" t="s">
        <v>206</v>
      </c>
      <c r="P39" s="13" t="str">
        <f aca="false">IF(OR(B39="",C39=""),"",B39&amp;"|"&amp;COUNTIF($B$6:B39,B39))</f>
        <v>롯데백화점|6</v>
      </c>
    </row>
    <row r="40" customFormat="false" ht="26.85" hidden="false" customHeight="false" outlineLevel="0" collapsed="false">
      <c r="A40" s="5" t="n">
        <f aca="false">IF(C40="","",ROW()-5)</f>
        <v>35</v>
      </c>
      <c r="B40" s="6" t="s">
        <v>105</v>
      </c>
      <c r="C40" s="7" t="s">
        <v>207</v>
      </c>
      <c r="D40" s="8" t="s">
        <v>208</v>
      </c>
      <c r="E40" s="6" t="s">
        <v>64</v>
      </c>
      <c r="F40" s="9"/>
      <c r="G40" s="8" t="s">
        <v>108</v>
      </c>
      <c r="H40" s="10" t="s">
        <v>202</v>
      </c>
      <c r="I40" s="9"/>
      <c r="J40" s="9"/>
      <c r="K40" s="10" t="s">
        <v>203</v>
      </c>
      <c r="L40" s="7" t="s">
        <v>209</v>
      </c>
      <c r="M40" s="12" t="s">
        <v>210</v>
      </c>
      <c r="N40" s="8" t="s">
        <v>211</v>
      </c>
      <c r="O40" s="8" t="s">
        <v>212</v>
      </c>
      <c r="P40" s="13" t="str">
        <f aca="false">IF(OR(B40="",C40=""),"",B40&amp;"|"&amp;COUNTIF($B$6:B40,B40))</f>
        <v>롯데백화점|7</v>
      </c>
    </row>
    <row r="41" customFormat="false" ht="26.85" hidden="false" customHeight="false" outlineLevel="0" collapsed="false">
      <c r="A41" s="5" t="n">
        <f aca="false">IF(C41="","",ROW()-5)</f>
        <v>36</v>
      </c>
      <c r="B41" s="6" t="s">
        <v>105</v>
      </c>
      <c r="C41" s="7" t="s">
        <v>213</v>
      </c>
      <c r="D41" s="8" t="s">
        <v>214</v>
      </c>
      <c r="E41" s="6" t="s">
        <v>64</v>
      </c>
      <c r="F41" s="9"/>
      <c r="G41" s="8" t="s">
        <v>108</v>
      </c>
      <c r="H41" s="10" t="s">
        <v>202</v>
      </c>
      <c r="I41" s="9"/>
      <c r="J41" s="9"/>
      <c r="K41" s="10" t="s">
        <v>215</v>
      </c>
      <c r="L41" s="7" t="s">
        <v>214</v>
      </c>
      <c r="M41" s="12" t="s">
        <v>78</v>
      </c>
      <c r="N41" s="8" t="s">
        <v>216</v>
      </c>
      <c r="O41" s="11"/>
      <c r="P41" s="13" t="str">
        <f aca="false">IF(OR(B41="",C41=""),"",B41&amp;"|"&amp;COUNTIF($B$6:B41,B41))</f>
        <v>롯데백화점|8</v>
      </c>
    </row>
    <row r="42" customFormat="false" ht="26.85" hidden="false" customHeight="false" outlineLevel="0" collapsed="false">
      <c r="A42" s="5" t="n">
        <f aca="false">IF(C42="","",ROW()-5)</f>
        <v>37</v>
      </c>
      <c r="B42" s="6" t="s">
        <v>172</v>
      </c>
      <c r="C42" s="7" t="s">
        <v>217</v>
      </c>
      <c r="D42" s="8" t="s">
        <v>218</v>
      </c>
      <c r="E42" s="6" t="s">
        <v>64</v>
      </c>
      <c r="F42" s="9"/>
      <c r="G42" s="8" t="s">
        <v>219</v>
      </c>
      <c r="H42" s="11"/>
      <c r="I42" s="9"/>
      <c r="J42" s="9"/>
      <c r="K42" s="11"/>
      <c r="L42" s="7" t="s">
        <v>220</v>
      </c>
      <c r="M42" s="12" t="s">
        <v>131</v>
      </c>
      <c r="N42" s="10" t="s">
        <v>221</v>
      </c>
      <c r="O42" s="8" t="s">
        <v>177</v>
      </c>
      <c r="P42" s="13" t="str">
        <f aca="false">IF(OR(B42="",C42=""),"",B42&amp;"|"&amp;COUNTIF($B$6:B42,B42))</f>
        <v>양식·아시안|2</v>
      </c>
    </row>
    <row r="43" customFormat="false" ht="26.85" hidden="false" customHeight="false" outlineLevel="0" collapsed="false">
      <c r="A43" s="5" t="n">
        <f aca="false">IF(C43="","",ROW()-5)</f>
        <v>38</v>
      </c>
      <c r="B43" s="6" t="s">
        <v>28</v>
      </c>
      <c r="C43" s="7" t="s">
        <v>222</v>
      </c>
      <c r="D43" s="8" t="s">
        <v>223</v>
      </c>
      <c r="E43" s="6" t="s">
        <v>64</v>
      </c>
      <c r="F43" s="9"/>
      <c r="G43" s="11"/>
      <c r="H43" s="11"/>
      <c r="I43" s="9"/>
      <c r="J43" s="9"/>
      <c r="K43" s="11"/>
      <c r="L43" s="7" t="s">
        <v>224</v>
      </c>
      <c r="M43" s="12" t="s">
        <v>88</v>
      </c>
      <c r="N43" s="8" t="s">
        <v>225</v>
      </c>
      <c r="O43" s="8" t="s">
        <v>226</v>
      </c>
      <c r="P43" s="13" t="str">
        <f aca="false">IF(OR(B43="",C43=""),"",B43&amp;"|"&amp;COUNTIF($B$6:B43,B43))</f>
        <v>일식|4</v>
      </c>
    </row>
    <row r="44" customFormat="false" ht="15" hidden="false" customHeight="false" outlineLevel="0" collapsed="false">
      <c r="A44" s="5" t="n">
        <f aca="false">IF(C44="","",ROW()-5)</f>
        <v>39</v>
      </c>
      <c r="B44" s="6" t="s">
        <v>172</v>
      </c>
      <c r="C44" s="7" t="s">
        <v>227</v>
      </c>
      <c r="D44" s="8" t="s">
        <v>228</v>
      </c>
      <c r="E44" s="6" t="s">
        <v>64</v>
      </c>
      <c r="F44" s="9"/>
      <c r="G44" s="11"/>
      <c r="H44" s="11"/>
      <c r="I44" s="9"/>
      <c r="J44" s="9"/>
      <c r="K44" s="11"/>
      <c r="L44" s="7" t="s">
        <v>229</v>
      </c>
      <c r="M44" s="9"/>
      <c r="N44" s="8" t="s">
        <v>230</v>
      </c>
      <c r="O44" s="8" t="s">
        <v>231</v>
      </c>
      <c r="P44" s="13" t="str">
        <f aca="false">IF(OR(B44="",C44=""),"",B44&amp;"|"&amp;COUNTIF($B$6:B44,B44))</f>
        <v>양식·아시안|3</v>
      </c>
    </row>
    <row r="45" customFormat="false" ht="26.85" hidden="false" customHeight="false" outlineLevel="0" collapsed="false">
      <c r="A45" s="5" t="n">
        <f aca="false">IF(C45="","",ROW()-5)</f>
        <v>40</v>
      </c>
      <c r="B45" s="6" t="s">
        <v>232</v>
      </c>
      <c r="C45" s="7" t="s">
        <v>233</v>
      </c>
      <c r="D45" s="8" t="s">
        <v>234</v>
      </c>
      <c r="E45" s="6" t="s">
        <v>22</v>
      </c>
      <c r="F45" s="9"/>
      <c r="G45" s="11"/>
      <c r="H45" s="11"/>
      <c r="I45" s="9"/>
      <c r="J45" s="12" t="s">
        <v>235</v>
      </c>
      <c r="K45" s="11"/>
      <c r="L45" s="7" t="s">
        <v>236</v>
      </c>
      <c r="M45" s="12" t="s">
        <v>34</v>
      </c>
      <c r="N45" s="10" t="s">
        <v>237</v>
      </c>
      <c r="O45" s="8" t="s">
        <v>238</v>
      </c>
      <c r="P45" s="13" t="str">
        <f aca="false">IF(OR(B45="",C45=""),"",B45&amp;"|"&amp;COUNTIF($B$6:B45,B45))</f>
        <v>디저트|1</v>
      </c>
    </row>
    <row r="46" customFormat="false" ht="26.85" hidden="false" customHeight="false" outlineLevel="0" collapsed="false">
      <c r="A46" s="5" t="n">
        <f aca="false">IF(C46="","",ROW()-5)</f>
        <v>41</v>
      </c>
      <c r="B46" s="6" t="s">
        <v>232</v>
      </c>
      <c r="C46" s="7" t="s">
        <v>239</v>
      </c>
      <c r="D46" s="8" t="s">
        <v>240</v>
      </c>
      <c r="E46" s="6" t="s">
        <v>22</v>
      </c>
      <c r="F46" s="9"/>
      <c r="G46" s="11"/>
      <c r="H46" s="11"/>
      <c r="I46" s="9"/>
      <c r="J46" s="12" t="s">
        <v>241</v>
      </c>
      <c r="K46" s="11"/>
      <c r="L46" s="7" t="s">
        <v>242</v>
      </c>
      <c r="M46" s="12" t="s">
        <v>243</v>
      </c>
      <c r="N46" s="8" t="s">
        <v>244</v>
      </c>
      <c r="O46" s="8" t="s">
        <v>238</v>
      </c>
      <c r="P46" s="13" t="str">
        <f aca="false">IF(OR(B46="",C46=""),"",B46&amp;"|"&amp;COUNTIF($B$6:B46,B46))</f>
        <v>디저트|2</v>
      </c>
    </row>
    <row r="47" customFormat="false" ht="39.55" hidden="false" customHeight="false" outlineLevel="0" collapsed="false">
      <c r="A47" s="5" t="n">
        <f aca="false">IF(C47="","",ROW()-5)</f>
        <v>42</v>
      </c>
      <c r="B47" s="6" t="s">
        <v>232</v>
      </c>
      <c r="C47" s="7" t="s">
        <v>245</v>
      </c>
      <c r="D47" s="8" t="s">
        <v>240</v>
      </c>
      <c r="E47" s="6" t="s">
        <v>22</v>
      </c>
      <c r="F47" s="12" t="s">
        <v>85</v>
      </c>
      <c r="G47" s="8" t="s">
        <v>246</v>
      </c>
      <c r="H47" s="10" t="s">
        <v>166</v>
      </c>
      <c r="I47" s="9"/>
      <c r="J47" s="6" t="s">
        <v>247</v>
      </c>
      <c r="K47" s="11"/>
      <c r="L47" s="7" t="s">
        <v>248</v>
      </c>
      <c r="M47" s="12" t="s">
        <v>26</v>
      </c>
      <c r="N47" s="8" t="s">
        <v>249</v>
      </c>
      <c r="O47" s="10" t="s">
        <v>250</v>
      </c>
      <c r="P47" s="13" t="str">
        <f aca="false">IF(OR(B47="",C47=""),"",B47&amp;"|"&amp;COUNTIF($B$6:B47,B47))</f>
        <v>디저트|3</v>
      </c>
    </row>
    <row r="48" customFormat="false" ht="15" hidden="false" customHeight="false" outlineLevel="0" collapsed="false">
      <c r="A48" s="5" t="n">
        <f aca="false">IF(C48="","",ROW()-5)</f>
        <v>43</v>
      </c>
      <c r="B48" s="6" t="s">
        <v>232</v>
      </c>
      <c r="C48" s="7" t="s">
        <v>251</v>
      </c>
      <c r="D48" s="8" t="s">
        <v>252</v>
      </c>
      <c r="E48" s="6" t="s">
        <v>64</v>
      </c>
      <c r="F48" s="9"/>
      <c r="G48" s="11"/>
      <c r="H48" s="11"/>
      <c r="I48" s="9"/>
      <c r="J48" s="9"/>
      <c r="K48" s="11"/>
      <c r="L48" s="7" t="s">
        <v>253</v>
      </c>
      <c r="M48" s="12" t="s">
        <v>88</v>
      </c>
      <c r="N48" s="8" t="s">
        <v>254</v>
      </c>
      <c r="O48" s="8" t="s">
        <v>188</v>
      </c>
      <c r="P48" s="13" t="str">
        <f aca="false">IF(OR(B48="",C48=""),"",B48&amp;"|"&amp;COUNTIF($B$6:B48,B48))</f>
        <v>디저트|4</v>
      </c>
    </row>
    <row r="49" customFormat="false" ht="15" hidden="false" customHeight="false" outlineLevel="0" collapsed="false">
      <c r="A49" s="5" t="str">
        <f aca="false">IF(C49="","",ROW()-5)</f>
        <v/>
      </c>
      <c r="B49" s="9"/>
      <c r="C49" s="15"/>
      <c r="D49" s="11"/>
      <c r="E49" s="9"/>
      <c r="F49" s="9"/>
      <c r="G49" s="11"/>
      <c r="H49" s="11"/>
      <c r="I49" s="9"/>
      <c r="J49" s="9"/>
      <c r="K49" s="11"/>
      <c r="L49" s="11"/>
      <c r="M49" s="9"/>
      <c r="N49" s="11"/>
      <c r="O49" s="11"/>
      <c r="P49" s="13" t="str">
        <f aca="false">IF(OR(B49="",C49=""),"",B49&amp;"|"&amp;COUNTIF($B$6:B49,B49))</f>
        <v/>
      </c>
    </row>
    <row r="50" customFormat="false" ht="15" hidden="false" customHeight="false" outlineLevel="0" collapsed="false">
      <c r="A50" s="5" t="str">
        <f aca="false">IF(C50="","",ROW()-5)</f>
        <v/>
      </c>
      <c r="B50" s="9"/>
      <c r="C50" s="15"/>
      <c r="D50" s="11"/>
      <c r="E50" s="9"/>
      <c r="F50" s="9"/>
      <c r="G50" s="11"/>
      <c r="H50" s="11"/>
      <c r="I50" s="9"/>
      <c r="J50" s="9"/>
      <c r="K50" s="11"/>
      <c r="L50" s="11"/>
      <c r="M50" s="9"/>
      <c r="N50" s="11"/>
      <c r="O50" s="11"/>
      <c r="P50" s="13" t="str">
        <f aca="false">IF(OR(B50="",C50=""),"",B50&amp;"|"&amp;COUNTIF($B$6:B50,B50))</f>
        <v/>
      </c>
    </row>
    <row r="51" customFormat="false" ht="15" hidden="false" customHeight="false" outlineLevel="0" collapsed="false">
      <c r="A51" s="5" t="str">
        <f aca="false">IF(C51="","",ROW()-5)</f>
        <v/>
      </c>
      <c r="B51" s="9"/>
      <c r="C51" s="15"/>
      <c r="D51" s="11"/>
      <c r="E51" s="9"/>
      <c r="F51" s="9"/>
      <c r="G51" s="11"/>
      <c r="H51" s="11"/>
      <c r="I51" s="9"/>
      <c r="J51" s="9"/>
      <c r="K51" s="11"/>
      <c r="L51" s="11"/>
      <c r="M51" s="9"/>
      <c r="N51" s="11"/>
      <c r="O51" s="11"/>
      <c r="P51" s="13" t="str">
        <f aca="false">IF(OR(B51="",C51=""),"",B51&amp;"|"&amp;COUNTIF($B$6:B51,B51))</f>
        <v/>
      </c>
    </row>
    <row r="52" customFormat="false" ht="15" hidden="false" customHeight="false" outlineLevel="0" collapsed="false">
      <c r="A52" s="5" t="str">
        <f aca="false">IF(C52="","",ROW()-5)</f>
        <v/>
      </c>
      <c r="B52" s="9"/>
      <c r="C52" s="15"/>
      <c r="D52" s="11"/>
      <c r="E52" s="9"/>
      <c r="F52" s="9"/>
      <c r="G52" s="11"/>
      <c r="H52" s="11"/>
      <c r="I52" s="9"/>
      <c r="J52" s="9"/>
      <c r="K52" s="11"/>
      <c r="L52" s="11"/>
      <c r="M52" s="9"/>
      <c r="N52" s="11"/>
      <c r="O52" s="11"/>
      <c r="P52" s="13" t="str">
        <f aca="false">IF(OR(B52="",C52=""),"",B52&amp;"|"&amp;COUNTIF($B$6:B52,B52))</f>
        <v/>
      </c>
    </row>
    <row r="53" customFormat="false" ht="15" hidden="false" customHeight="false" outlineLevel="0" collapsed="false">
      <c r="A53" s="5" t="str">
        <f aca="false">IF(C53="","",ROW()-5)</f>
        <v/>
      </c>
      <c r="B53" s="9"/>
      <c r="C53" s="15"/>
      <c r="D53" s="11"/>
      <c r="E53" s="9"/>
      <c r="F53" s="9"/>
      <c r="G53" s="11"/>
      <c r="H53" s="11"/>
      <c r="I53" s="9"/>
      <c r="J53" s="9"/>
      <c r="K53" s="11"/>
      <c r="L53" s="11"/>
      <c r="M53" s="9"/>
      <c r="N53" s="11"/>
      <c r="O53" s="11"/>
      <c r="P53" s="13" t="str">
        <f aca="false">IF(OR(B53="",C53=""),"",B53&amp;"|"&amp;COUNTIF($B$6:B53,B53))</f>
        <v/>
      </c>
    </row>
    <row r="54" customFormat="false" ht="15" hidden="false" customHeight="false" outlineLevel="0" collapsed="false">
      <c r="A54" s="5" t="str">
        <f aca="false">IF(C54="","",ROW()-5)</f>
        <v/>
      </c>
      <c r="B54" s="9"/>
      <c r="C54" s="15"/>
      <c r="D54" s="11"/>
      <c r="E54" s="9"/>
      <c r="F54" s="9"/>
      <c r="G54" s="11"/>
      <c r="H54" s="11"/>
      <c r="I54" s="9"/>
      <c r="J54" s="9"/>
      <c r="K54" s="11"/>
      <c r="L54" s="11"/>
      <c r="M54" s="9"/>
      <c r="N54" s="11"/>
      <c r="O54" s="11"/>
      <c r="P54" s="13" t="str">
        <f aca="false">IF(OR(B54="",C54=""),"",B54&amp;"|"&amp;COUNTIF($B$6:B54,B54))</f>
        <v/>
      </c>
    </row>
    <row r="55" customFormat="false" ht="15" hidden="false" customHeight="false" outlineLevel="0" collapsed="false">
      <c r="A55" s="5" t="str">
        <f aca="false">IF(C55="","",ROW()-5)</f>
        <v/>
      </c>
      <c r="B55" s="9"/>
      <c r="C55" s="15"/>
      <c r="D55" s="11"/>
      <c r="E55" s="9"/>
      <c r="F55" s="9"/>
      <c r="G55" s="11"/>
      <c r="H55" s="11"/>
      <c r="I55" s="9"/>
      <c r="J55" s="9"/>
      <c r="K55" s="11"/>
      <c r="L55" s="11"/>
      <c r="M55" s="9"/>
      <c r="N55" s="11"/>
      <c r="O55" s="11"/>
      <c r="P55" s="13" t="str">
        <f aca="false">IF(OR(B55="",C55=""),"",B55&amp;"|"&amp;COUNTIF($B$6:B55,B55))</f>
        <v/>
      </c>
    </row>
    <row r="56" customFormat="false" ht="15" hidden="false" customHeight="false" outlineLevel="0" collapsed="false">
      <c r="A56" s="5" t="str">
        <f aca="false">IF(C56="","",ROW()-5)</f>
        <v/>
      </c>
      <c r="B56" s="9"/>
      <c r="C56" s="15"/>
      <c r="D56" s="11"/>
      <c r="E56" s="9"/>
      <c r="F56" s="9"/>
      <c r="G56" s="11"/>
      <c r="H56" s="11"/>
      <c r="I56" s="9"/>
      <c r="J56" s="9"/>
      <c r="K56" s="11"/>
      <c r="L56" s="11"/>
      <c r="M56" s="9"/>
      <c r="N56" s="11"/>
      <c r="O56" s="11"/>
      <c r="P56" s="13" t="str">
        <f aca="false">IF(OR(B56="",C56=""),"",B56&amp;"|"&amp;COUNTIF($B$6:B56,B56))</f>
        <v/>
      </c>
    </row>
    <row r="57" customFormat="false" ht="15" hidden="false" customHeight="false" outlineLevel="0" collapsed="false">
      <c r="A57" s="5" t="str">
        <f aca="false">IF(C57="","",ROW()-5)</f>
        <v/>
      </c>
      <c r="B57" s="9"/>
      <c r="C57" s="15"/>
      <c r="D57" s="11"/>
      <c r="E57" s="9"/>
      <c r="F57" s="9"/>
      <c r="G57" s="11"/>
      <c r="H57" s="11"/>
      <c r="I57" s="9"/>
      <c r="J57" s="9"/>
      <c r="K57" s="11"/>
      <c r="L57" s="11"/>
      <c r="M57" s="9"/>
      <c r="N57" s="11"/>
      <c r="O57" s="11"/>
      <c r="P57" s="13" t="str">
        <f aca="false">IF(OR(B57="",C57=""),"",B57&amp;"|"&amp;COUNTIF($B$6:B57,B57))</f>
        <v/>
      </c>
    </row>
    <row r="58" customFormat="false" ht="15" hidden="false" customHeight="false" outlineLevel="0" collapsed="false">
      <c r="A58" s="5" t="str">
        <f aca="false">IF(C58="","",ROW()-5)</f>
        <v/>
      </c>
      <c r="B58" s="9"/>
      <c r="C58" s="15"/>
      <c r="D58" s="11"/>
      <c r="E58" s="9"/>
      <c r="F58" s="9"/>
      <c r="G58" s="11"/>
      <c r="H58" s="11"/>
      <c r="I58" s="9"/>
      <c r="J58" s="9"/>
      <c r="K58" s="11"/>
      <c r="L58" s="11"/>
      <c r="M58" s="9"/>
      <c r="N58" s="11"/>
      <c r="O58" s="11"/>
      <c r="P58" s="13" t="str">
        <f aca="false">IF(OR(B58="",C58=""),"",B58&amp;"|"&amp;COUNTIF($B$6:B58,B58))</f>
        <v/>
      </c>
    </row>
    <row r="59" customFormat="false" ht="15" hidden="false" customHeight="false" outlineLevel="0" collapsed="false">
      <c r="A59" s="5" t="str">
        <f aca="false">IF(C59="","",ROW()-5)</f>
        <v/>
      </c>
      <c r="B59" s="9"/>
      <c r="C59" s="15"/>
      <c r="D59" s="11"/>
      <c r="E59" s="9"/>
      <c r="F59" s="9"/>
      <c r="G59" s="11"/>
      <c r="H59" s="11"/>
      <c r="I59" s="9"/>
      <c r="J59" s="9"/>
      <c r="K59" s="11"/>
      <c r="L59" s="11"/>
      <c r="M59" s="9"/>
      <c r="N59" s="11"/>
      <c r="O59" s="11"/>
      <c r="P59" s="13" t="str">
        <f aca="false">IF(OR(B59="",C59=""),"",B59&amp;"|"&amp;COUNTIF($B$6:B59,B59))</f>
        <v/>
      </c>
    </row>
    <row r="60" customFormat="false" ht="15" hidden="false" customHeight="false" outlineLevel="0" collapsed="false">
      <c r="A60" s="5" t="str">
        <f aca="false">IF(C60="","",ROW()-5)</f>
        <v/>
      </c>
      <c r="B60" s="9"/>
      <c r="C60" s="15"/>
      <c r="D60" s="11"/>
      <c r="E60" s="9"/>
      <c r="F60" s="9"/>
      <c r="G60" s="11"/>
      <c r="H60" s="11"/>
      <c r="I60" s="9"/>
      <c r="J60" s="9"/>
      <c r="K60" s="11"/>
      <c r="L60" s="11"/>
      <c r="M60" s="9"/>
      <c r="N60" s="11"/>
      <c r="O60" s="11"/>
      <c r="P60" s="13" t="str">
        <f aca="false">IF(OR(B60="",C60=""),"",B60&amp;"|"&amp;COUNTIF($B$6:B60,B60))</f>
        <v/>
      </c>
    </row>
    <row r="61" customFormat="false" ht="15" hidden="false" customHeight="false" outlineLevel="0" collapsed="false">
      <c r="A61" s="5" t="str">
        <f aca="false">IF(C61="","",ROW()-5)</f>
        <v/>
      </c>
      <c r="B61" s="9"/>
      <c r="C61" s="15"/>
      <c r="D61" s="11"/>
      <c r="E61" s="9"/>
      <c r="F61" s="9"/>
      <c r="G61" s="11"/>
      <c r="H61" s="11"/>
      <c r="I61" s="9"/>
      <c r="J61" s="9"/>
      <c r="K61" s="11"/>
      <c r="L61" s="11"/>
      <c r="M61" s="9"/>
      <c r="N61" s="11"/>
      <c r="O61" s="11"/>
      <c r="P61" s="13" t="str">
        <f aca="false">IF(OR(B61="",C61=""),"",B61&amp;"|"&amp;COUNTIF($B$6:B61,B61))</f>
        <v/>
      </c>
    </row>
    <row r="62" customFormat="false" ht="15" hidden="false" customHeight="false" outlineLevel="0" collapsed="false">
      <c r="A62" s="5" t="str">
        <f aca="false">IF(C62="","",ROW()-5)</f>
        <v/>
      </c>
      <c r="B62" s="9"/>
      <c r="C62" s="15"/>
      <c r="D62" s="11"/>
      <c r="E62" s="9"/>
      <c r="F62" s="9"/>
      <c r="G62" s="11"/>
      <c r="H62" s="11"/>
      <c r="I62" s="9"/>
      <c r="J62" s="9"/>
      <c r="K62" s="11"/>
      <c r="L62" s="11"/>
      <c r="M62" s="9"/>
      <c r="N62" s="11"/>
      <c r="O62" s="11"/>
      <c r="P62" s="13" t="str">
        <f aca="false">IF(OR(B62="",C62=""),"",B62&amp;"|"&amp;COUNTIF($B$6:B62,B62))</f>
        <v/>
      </c>
    </row>
    <row r="63" customFormat="false" ht="15" hidden="false" customHeight="false" outlineLevel="0" collapsed="false">
      <c r="A63" s="5" t="str">
        <f aca="false">IF(C63="","",ROW()-5)</f>
        <v/>
      </c>
      <c r="B63" s="9"/>
      <c r="C63" s="15"/>
      <c r="D63" s="11"/>
      <c r="E63" s="9"/>
      <c r="F63" s="9"/>
      <c r="G63" s="11"/>
      <c r="H63" s="11"/>
      <c r="I63" s="9"/>
      <c r="J63" s="9"/>
      <c r="K63" s="11"/>
      <c r="L63" s="11"/>
      <c r="M63" s="9"/>
      <c r="N63" s="11"/>
      <c r="O63" s="11"/>
      <c r="P63" s="13" t="str">
        <f aca="false">IF(OR(B63="",C63=""),"",B63&amp;"|"&amp;COUNTIF($B$6:B63,B63))</f>
        <v/>
      </c>
    </row>
    <row r="64" customFormat="false" ht="15" hidden="false" customHeight="false" outlineLevel="0" collapsed="false">
      <c r="A64" s="5" t="str">
        <f aca="false">IF(C64="","",ROW()-5)</f>
        <v/>
      </c>
      <c r="B64" s="9"/>
      <c r="C64" s="15"/>
      <c r="D64" s="11"/>
      <c r="E64" s="9"/>
      <c r="F64" s="9"/>
      <c r="G64" s="11"/>
      <c r="H64" s="11"/>
      <c r="I64" s="9"/>
      <c r="J64" s="9"/>
      <c r="K64" s="11"/>
      <c r="L64" s="11"/>
      <c r="M64" s="9"/>
      <c r="N64" s="11"/>
      <c r="O64" s="11"/>
      <c r="P64" s="13" t="str">
        <f aca="false">IF(OR(B64="",C64=""),"",B64&amp;"|"&amp;COUNTIF($B$6:B64,B64))</f>
        <v/>
      </c>
    </row>
    <row r="65" customFormat="false" ht="15" hidden="false" customHeight="false" outlineLevel="0" collapsed="false">
      <c r="A65" s="5" t="str">
        <f aca="false">IF(C65="","",ROW()-5)</f>
        <v/>
      </c>
      <c r="B65" s="9"/>
      <c r="C65" s="15"/>
      <c r="D65" s="11"/>
      <c r="E65" s="9"/>
      <c r="F65" s="9"/>
      <c r="G65" s="11"/>
      <c r="H65" s="11"/>
      <c r="I65" s="9"/>
      <c r="J65" s="9"/>
      <c r="K65" s="11"/>
      <c r="L65" s="11"/>
      <c r="M65" s="9"/>
      <c r="N65" s="11"/>
      <c r="O65" s="11"/>
      <c r="P65" s="13" t="str">
        <f aca="false">IF(OR(B65="",C65=""),"",B65&amp;"|"&amp;COUNTIF($B$6:B65,B65))</f>
        <v/>
      </c>
    </row>
    <row r="66" customFormat="false" ht="15" hidden="false" customHeight="false" outlineLevel="0" collapsed="false">
      <c r="A66" s="5" t="str">
        <f aca="false">IF(C66="","",ROW()-5)</f>
        <v/>
      </c>
      <c r="B66" s="9"/>
      <c r="C66" s="15"/>
      <c r="D66" s="11"/>
      <c r="E66" s="9"/>
      <c r="F66" s="9"/>
      <c r="G66" s="11"/>
      <c r="H66" s="11"/>
      <c r="I66" s="9"/>
      <c r="J66" s="9"/>
      <c r="K66" s="11"/>
      <c r="L66" s="11"/>
      <c r="M66" s="9"/>
      <c r="N66" s="11"/>
      <c r="O66" s="11"/>
      <c r="P66" s="13" t="str">
        <f aca="false">IF(OR(B66="",C66=""),"",B66&amp;"|"&amp;COUNTIF($B$6:B66,B66))</f>
        <v/>
      </c>
    </row>
    <row r="67" customFormat="false" ht="15" hidden="false" customHeight="false" outlineLevel="0" collapsed="false">
      <c r="A67" s="5" t="str">
        <f aca="false">IF(C67="","",ROW()-5)</f>
        <v/>
      </c>
      <c r="B67" s="9"/>
      <c r="C67" s="15"/>
      <c r="D67" s="11"/>
      <c r="E67" s="9"/>
      <c r="F67" s="9"/>
      <c r="G67" s="11"/>
      <c r="H67" s="11"/>
      <c r="I67" s="9"/>
      <c r="J67" s="9"/>
      <c r="K67" s="11"/>
      <c r="L67" s="11"/>
      <c r="M67" s="9"/>
      <c r="N67" s="11"/>
      <c r="O67" s="11"/>
      <c r="P67" s="13" t="str">
        <f aca="false">IF(OR(B67="",C67=""),"",B67&amp;"|"&amp;COUNTIF($B$6:B67,B67))</f>
        <v/>
      </c>
    </row>
    <row r="68" customFormat="false" ht="15" hidden="false" customHeight="false" outlineLevel="0" collapsed="false">
      <c r="A68" s="5" t="str">
        <f aca="false">IF(C68="","",ROW()-5)</f>
        <v/>
      </c>
      <c r="B68" s="9"/>
      <c r="C68" s="15"/>
      <c r="D68" s="11"/>
      <c r="E68" s="9"/>
      <c r="F68" s="9"/>
      <c r="G68" s="11"/>
      <c r="H68" s="11"/>
      <c r="I68" s="9"/>
      <c r="J68" s="9"/>
      <c r="K68" s="11"/>
      <c r="L68" s="11"/>
      <c r="M68" s="9"/>
      <c r="N68" s="11"/>
      <c r="O68" s="11"/>
      <c r="P68" s="13" t="str">
        <f aca="false">IF(OR(B68="",C68=""),"",B68&amp;"|"&amp;COUNTIF($B$6:B68,B68))</f>
        <v/>
      </c>
    </row>
    <row r="69" customFormat="false" ht="15" hidden="false" customHeight="false" outlineLevel="0" collapsed="false">
      <c r="A69" s="5" t="str">
        <f aca="false">IF(C69="","",ROW()-5)</f>
        <v/>
      </c>
      <c r="B69" s="9"/>
      <c r="C69" s="15"/>
      <c r="D69" s="11"/>
      <c r="E69" s="9"/>
      <c r="F69" s="9"/>
      <c r="G69" s="11"/>
      <c r="H69" s="11"/>
      <c r="I69" s="9"/>
      <c r="J69" s="9"/>
      <c r="K69" s="11"/>
      <c r="L69" s="11"/>
      <c r="M69" s="9"/>
      <c r="N69" s="11"/>
      <c r="O69" s="11"/>
      <c r="P69" s="13" t="str">
        <f aca="false">IF(OR(B69="",C69=""),"",B69&amp;"|"&amp;COUNTIF($B$6:B69,B69))</f>
        <v/>
      </c>
    </row>
    <row r="70" customFormat="false" ht="15" hidden="false" customHeight="false" outlineLevel="0" collapsed="false">
      <c r="A70" s="5" t="str">
        <f aca="false">IF(C70="","",ROW()-5)</f>
        <v/>
      </c>
      <c r="B70" s="9"/>
      <c r="C70" s="15"/>
      <c r="D70" s="11"/>
      <c r="E70" s="9"/>
      <c r="F70" s="9"/>
      <c r="G70" s="11"/>
      <c r="H70" s="11"/>
      <c r="I70" s="9"/>
      <c r="J70" s="9"/>
      <c r="K70" s="11"/>
      <c r="L70" s="11"/>
      <c r="M70" s="9"/>
      <c r="N70" s="11"/>
      <c r="O70" s="11"/>
      <c r="P70" s="13" t="str">
        <f aca="false">IF(OR(B70="",C70=""),"",B70&amp;"|"&amp;COUNTIF($B$6:B70,B70))</f>
        <v/>
      </c>
    </row>
    <row r="71" customFormat="false" ht="15" hidden="false" customHeight="false" outlineLevel="0" collapsed="false">
      <c r="A71" s="5" t="str">
        <f aca="false">IF(C71="","",ROW()-5)</f>
        <v/>
      </c>
      <c r="B71" s="9"/>
      <c r="C71" s="15"/>
      <c r="D71" s="11"/>
      <c r="E71" s="9"/>
      <c r="F71" s="9"/>
      <c r="G71" s="11"/>
      <c r="H71" s="11"/>
      <c r="I71" s="9"/>
      <c r="J71" s="9"/>
      <c r="K71" s="11"/>
      <c r="L71" s="11"/>
      <c r="M71" s="9"/>
      <c r="N71" s="11"/>
      <c r="O71" s="11"/>
      <c r="P71" s="13" t="str">
        <f aca="false">IF(OR(B71="",C71=""),"",B71&amp;"|"&amp;COUNTIF($B$6:B71,B71))</f>
        <v/>
      </c>
    </row>
    <row r="72" customFormat="false" ht="15" hidden="false" customHeight="false" outlineLevel="0" collapsed="false">
      <c r="A72" s="5" t="str">
        <f aca="false">IF(C72="","",ROW()-5)</f>
        <v/>
      </c>
      <c r="B72" s="9"/>
      <c r="C72" s="15"/>
      <c r="D72" s="11"/>
      <c r="E72" s="9"/>
      <c r="F72" s="9"/>
      <c r="G72" s="11"/>
      <c r="H72" s="11"/>
      <c r="I72" s="9"/>
      <c r="J72" s="9"/>
      <c r="K72" s="11"/>
      <c r="L72" s="11"/>
      <c r="M72" s="9"/>
      <c r="N72" s="11"/>
      <c r="O72" s="11"/>
      <c r="P72" s="13" t="str">
        <f aca="false">IF(OR(B72="",C72=""),"",B72&amp;"|"&amp;COUNTIF($B$6:B72,B72))</f>
        <v/>
      </c>
    </row>
    <row r="73" customFormat="false" ht="15" hidden="false" customHeight="false" outlineLevel="0" collapsed="false">
      <c r="A73" s="5" t="str">
        <f aca="false">IF(C73="","",ROW()-5)</f>
        <v/>
      </c>
      <c r="B73" s="9"/>
      <c r="C73" s="15"/>
      <c r="D73" s="11"/>
      <c r="E73" s="9"/>
      <c r="F73" s="9"/>
      <c r="G73" s="11"/>
      <c r="H73" s="11"/>
      <c r="I73" s="9"/>
      <c r="J73" s="9"/>
      <c r="K73" s="11"/>
      <c r="L73" s="11"/>
      <c r="M73" s="9"/>
      <c r="N73" s="11"/>
      <c r="O73" s="11"/>
      <c r="P73" s="13" t="str">
        <f aca="false">IF(OR(B73="",C73=""),"",B73&amp;"|"&amp;COUNTIF($B$6:B73,B73))</f>
        <v/>
      </c>
    </row>
    <row r="74" customFormat="false" ht="15" hidden="false" customHeight="false" outlineLevel="0" collapsed="false">
      <c r="A74" s="5" t="str">
        <f aca="false">IF(C74="","",ROW()-5)</f>
        <v/>
      </c>
      <c r="B74" s="9"/>
      <c r="C74" s="15"/>
      <c r="D74" s="11"/>
      <c r="E74" s="9"/>
      <c r="F74" s="9"/>
      <c r="G74" s="11"/>
      <c r="H74" s="11"/>
      <c r="I74" s="9"/>
      <c r="J74" s="9"/>
      <c r="K74" s="11"/>
      <c r="L74" s="11"/>
      <c r="M74" s="9"/>
      <c r="N74" s="11"/>
      <c r="O74" s="11"/>
      <c r="P74" s="13" t="str">
        <f aca="false">IF(OR(B74="",C74=""),"",B74&amp;"|"&amp;COUNTIF($B$6:B74,B74))</f>
        <v/>
      </c>
    </row>
    <row r="75" customFormat="false" ht="15" hidden="false" customHeight="false" outlineLevel="0" collapsed="false">
      <c r="A75" s="5" t="str">
        <f aca="false">IF(C75="","",ROW()-5)</f>
        <v/>
      </c>
      <c r="B75" s="9"/>
      <c r="C75" s="15"/>
      <c r="D75" s="11"/>
      <c r="E75" s="9"/>
      <c r="F75" s="9"/>
      <c r="G75" s="11"/>
      <c r="H75" s="11"/>
      <c r="I75" s="9"/>
      <c r="J75" s="9"/>
      <c r="K75" s="11"/>
      <c r="L75" s="11"/>
      <c r="M75" s="9"/>
      <c r="N75" s="11"/>
      <c r="O75" s="11"/>
      <c r="P75" s="13" t="str">
        <f aca="false">IF(OR(B75="",C75=""),"",B75&amp;"|"&amp;COUNTIF($B$6:B75,B75))</f>
        <v/>
      </c>
    </row>
  </sheetData>
  <autoFilter ref="A5:O75"/>
  <conditionalFormatting sqref="B6:B75">
    <cfRule type="expression" priority="2" aboveAverage="0" equalAverage="0" bottom="0" percent="0" rank="0" text="" dxfId="15">
      <formula>$B6="한식"</formula>
    </cfRule>
    <cfRule type="expression" priority="3" aboveAverage="0" equalAverage="0" bottom="0" percent="0" rank="0" text="" dxfId="16">
      <formula>$B6="고기·족발"</formula>
    </cfRule>
    <cfRule type="expression" priority="4" aboveAverage="0" equalAverage="0" bottom="0" percent="0" rank="0" text="" dxfId="17">
      <formula>$B6="국밥·탕"</formula>
    </cfRule>
    <cfRule type="expression" priority="5" aboveAverage="0" equalAverage="0" bottom="0" percent="0" rank="0" text="" dxfId="18">
      <formula>$B6="면"</formula>
    </cfRule>
    <cfRule type="expression" priority="6" aboveAverage="0" equalAverage="0" bottom="0" percent="0" rank="0" text="" dxfId="19">
      <formula>$B6="중식"</formula>
    </cfRule>
    <cfRule type="expression" priority="7" aboveAverage="0" equalAverage="0" bottom="0" percent="0" rank="0" text="" dxfId="20">
      <formula>$B6="일식"</formula>
    </cfRule>
    <cfRule type="expression" priority="8" aboveAverage="0" equalAverage="0" bottom="0" percent="0" rank="0" text="" dxfId="21">
      <formula>$B6="회·해산물"</formula>
    </cfRule>
    <cfRule type="expression" priority="9" aboveAverage="0" equalAverage="0" bottom="0" percent="0" rank="0" text="" dxfId="22">
      <formula>$B6="양식·아시안"</formula>
    </cfRule>
    <cfRule type="expression" priority="10" aboveAverage="0" equalAverage="0" bottom="0" percent="0" rank="0" text="" dxfId="23">
      <formula>$B6="롯데백화점"</formula>
    </cfRule>
    <cfRule type="expression" priority="11" aboveAverage="0" equalAverage="0" bottom="0" percent="0" rank="0" text="" dxfId="24">
      <formula>$B6="디저트"</formula>
    </cfRule>
  </conditionalFormatting>
  <dataValidations count="2">
    <dataValidation allowBlank="true" errorStyle="stop" operator="between" showDropDown="false" showErrorMessage="false" showInputMessage="false" sqref="B6:B75" type="list">
      <formula1>"한식,고기·족발,국밥·탕,면,중식,일식,회·해산물,양식·아시안,롯데백화점,디저트"</formula1>
      <formula2>0</formula2>
    </dataValidation>
    <dataValidation allowBlank="true" errorStyle="stop" operator="between" showDropDown="false" showErrorMessage="false" showInputMessage="false" sqref="E6:E75" type="list">
      <formula1>"영업 중,영업 종료,브레이크타임,정보 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4D6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6"/>
  </cols>
  <sheetData>
    <row r="1" customFormat="false" ht="18.55" hidden="false" customHeight="false" outlineLevel="0" collapsed="false">
      <c r="A1" s="1" t="s">
        <v>43</v>
      </c>
      <c r="C1" s="16" t="str">
        <f aca="false">COUNTIF(전체!$B$6:$B$75,"한식")&amp;"곳"</f>
        <v>9곳</v>
      </c>
    </row>
    <row r="2" customFormat="false" ht="15" hidden="false" customHeight="false" outlineLevel="0" collapsed="false">
      <c r="A2" s="17" t="s">
        <v>255</v>
      </c>
      <c r="R2" s="18" t="s">
        <v>43</v>
      </c>
    </row>
    <row r="4" customFormat="false" ht="39.55" hidden="false" customHeight="false" outlineLevel="0" collapsed="false">
      <c r="A4" s="3" t="s">
        <v>3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19" t="s">
        <v>256</v>
      </c>
    </row>
    <row r="5" customFormat="false" ht="15" hidden="false" customHeight="false" outlineLevel="0" collapsed="false">
      <c r="A5" s="5" t="n">
        <f aca="false">IF($O5="","",1)</f>
        <v>1</v>
      </c>
      <c r="B5" s="20" t="str">
        <f aca="false">IF($O5="","",IF(INDEX(전체!$C$6:$C$75,$O5)="","",INDEX(전체!$C$6:$C$75,$O5)))</f>
        <v>기와집</v>
      </c>
      <c r="C5" s="21" t="str">
        <f aca="false">IF($O5="","",IF(INDEX(전체!$D$6:$D$75,$O5)="","",INDEX(전체!$D$6:$D$75,$O5)))</f>
        <v>한식</v>
      </c>
      <c r="D5" s="5" t="str">
        <f aca="false">IF($O5="","",IF(INDEX(전체!$E$6:$E$75,$O5)="","",INDEX(전체!$E$6:$E$75,$O5)))</f>
        <v>영업 중</v>
      </c>
      <c r="E5" s="5" t="str">
        <f aca="false">IF($O5="","",IF(INDEX(전체!$F$6:$F$75,$O5)="","",INDEX(전체!$F$6:$F$75,$O5)))</f>
        <v/>
      </c>
      <c r="F5" s="21" t="str">
        <f aca="false">IF($O5="","",IF(INDEX(전체!$G$6:$G$75,$O5)="","",INDEX(전체!$G$6:$G$75,$O5)))</f>
        <v>부산 중구 중앙동3가 19-2</v>
      </c>
      <c r="G5" s="21" t="str">
        <f aca="false">IF($O5="","",IF(INDEX(전체!$H$6:$H$75,$O5)="","",INDEX(전체!$H$6:$H$75,$O5)))</f>
        <v>1층</v>
      </c>
      <c r="H5" s="5" t="str">
        <f aca="false">IF($O5="","",IF(INDEX(전체!$I$6:$I$75,$O5)="","",INDEX(전체!$I$6:$I$75,$O5)))</f>
        <v/>
      </c>
      <c r="I5" s="5" t="str">
        <f aca="false">IF($O5="","",IF(INDEX(전체!$J$6:$J$75,$O5)="","",INDEX(전체!$J$6:$J$75,$O5)))</f>
        <v/>
      </c>
      <c r="J5" s="21" t="str">
        <f aca="false">IF($O5="","",IF(INDEX(전체!$K$6:$K$75,$O5)="","",INDEX(전체!$K$6:$K$75,$O5)))</f>
        <v/>
      </c>
      <c r="K5" s="20" t="str">
        <f aca="false">IF($O5="","",IF(INDEX(전체!$L$6:$L$75,$O5)="","",INDEX(전체!$L$6:$L$75,$O5)))</f>
        <v>한식 (메뉴 확인 필요)</v>
      </c>
      <c r="L5" s="5" t="str">
        <f aca="false">IF($O5="","",IF(INDEX(전체!$M$6:$M$75,$O5)="","",INDEX(전체!$M$6:$M$75,$O5)))</f>
        <v/>
      </c>
      <c r="M5" s="21" t="str">
        <f aca="false">IF($O5="","",IF(INDEX(전체!$N$6:$N$75,$O5)="","",INDEX(전체!$N$6:$N$75,$O5)))</f>
        <v>한식당. 메뉴·가격은 확인 필요</v>
      </c>
      <c r="N5" s="21" t="str">
        <f aca="false">IF($O5="","",IF(INDEX(전체!$O$6:$O$75,$O5)="","",INDEX(전체!$O$6:$O$75,$O5)))</f>
        <v/>
      </c>
      <c r="O5" s="22" t="n">
        <f aca="false">IFERROR(MATCH($R$2&amp;"|"&amp;1,전체!$P$6:$P$75,0),"")</f>
        <v>4</v>
      </c>
    </row>
    <row r="6" customFormat="false" ht="15" hidden="false" customHeight="false" outlineLevel="0" collapsed="false">
      <c r="A6" s="5" t="n">
        <f aca="false">IF($O6="","",2)</f>
        <v>2</v>
      </c>
      <c r="B6" s="20" t="str">
        <f aca="false">IF($O6="","",IF(INDEX(전체!$C$6:$C$75,$O6)="","",INDEX(전체!$C$6:$C$75,$O6)))</f>
        <v>청기와개미집</v>
      </c>
      <c r="C6" s="21" t="str">
        <f aca="false">IF($O6="","",IF(INDEX(전체!$D$6:$D$75,$O6)="","",INDEX(전체!$D$6:$D$75,$O6)))</f>
        <v>한식</v>
      </c>
      <c r="D6" s="5" t="str">
        <f aca="false">IF($O6="","",IF(INDEX(전체!$E$6:$E$75,$O6)="","",INDEX(전체!$E$6:$E$75,$O6)))</f>
        <v>정보 없음</v>
      </c>
      <c r="E6" s="5" t="str">
        <f aca="false">IF($O6="","",IF(INDEX(전체!$F$6:$F$75,$O6)="","",INDEX(전체!$F$6:$F$75,$O6)))</f>
        <v/>
      </c>
      <c r="F6" s="21" t="str">
        <f aca="false">IF($O6="","",IF(INDEX(전체!$G$6:$G$75,$O6)="","",INDEX(전체!$G$6:$G$75,$O6)))</f>
        <v>부산 중구 동광동3가 24-1</v>
      </c>
      <c r="G6" s="21" t="str">
        <f aca="false">IF($O6="","",IF(INDEX(전체!$H$6:$H$75,$O6)="","",INDEX(전체!$H$6:$H$75,$O6)))</f>
        <v/>
      </c>
      <c r="H6" s="5" t="str">
        <f aca="false">IF($O6="","",IF(INDEX(전체!$I$6:$I$75,$O6)="","",INDEX(전체!$I$6:$I$75,$O6)))</f>
        <v/>
      </c>
      <c r="I6" s="5" t="str">
        <f aca="false">IF($O6="","",IF(INDEX(전체!$J$6:$J$75,$O6)="","",INDEX(전체!$J$6:$J$75,$O6)))</f>
        <v/>
      </c>
      <c r="J6" s="21" t="str">
        <f aca="false">IF($O6="","",IF(INDEX(전체!$K$6:$K$75,$O6)="","",INDEX(전체!$K$6:$K$75,$O6)))</f>
        <v/>
      </c>
      <c r="K6" s="20" t="str">
        <f aca="false">IF($O6="","",IF(INDEX(전체!$L$6:$L$75,$O6)="","",INDEX(전체!$L$6:$L$75,$O6)))</f>
        <v>한식 (메뉴 확인 필요)</v>
      </c>
      <c r="L6" s="5" t="str">
        <f aca="false">IF($O6="","",IF(INDEX(전체!$M$6:$M$75,$O6)="","",INDEX(전체!$M$6:$M$75,$O6)))</f>
        <v/>
      </c>
      <c r="M6" s="21" t="str">
        <f aca="false">IF($O6="","",IF(INDEX(전체!$N$6:$N$75,$O6)="","",INDEX(전체!$N$6:$N$75,$O6)))</f>
        <v>한식당. 메뉴·가격은 확인 필요</v>
      </c>
      <c r="N6" s="21" t="str">
        <f aca="false">IF($O6="","",IF(INDEX(전체!$O$6:$O$75,$O6)="","",INDEX(전체!$O$6:$O$75,$O6)))</f>
        <v/>
      </c>
      <c r="O6" s="22" t="n">
        <f aca="false">IFERROR(MATCH($R$2&amp;"|"&amp;2,전체!$P$6:$P$75,0),"")</f>
        <v>7</v>
      </c>
    </row>
    <row r="7" customFormat="false" ht="15" hidden="false" customHeight="false" outlineLevel="0" collapsed="false">
      <c r="A7" s="5" t="n">
        <f aca="false">IF($O7="","",3)</f>
        <v>3</v>
      </c>
      <c r="B7" s="20" t="str">
        <f aca="false">IF($O7="","",IF(INDEX(전체!$C$6:$C$75,$O7)="","",INDEX(전체!$C$6:$C$75,$O7)))</f>
        <v>미니한식당</v>
      </c>
      <c r="C7" s="21" t="str">
        <f aca="false">IF($O7="","",IF(INDEX(전체!$D$6:$D$75,$O7)="","",INDEX(전체!$D$6:$D$75,$O7)))</f>
        <v>한식</v>
      </c>
      <c r="D7" s="5" t="str">
        <f aca="false">IF($O7="","",IF(INDEX(전체!$E$6:$E$75,$O7)="","",INDEX(전체!$E$6:$E$75,$O7)))</f>
        <v>정보 없음</v>
      </c>
      <c r="E7" s="5" t="str">
        <f aca="false">IF($O7="","",IF(INDEX(전체!$F$6:$F$75,$O7)="","",INDEX(전체!$F$6:$F$75,$O7)))</f>
        <v/>
      </c>
      <c r="F7" s="21" t="str">
        <f aca="false">IF($O7="","",IF(INDEX(전체!$G$6:$G$75,$O7)="","",INDEX(전체!$G$6:$G$75,$O7)))</f>
        <v>부산 중구 중앙동2가 33</v>
      </c>
      <c r="G7" s="21" t="str">
        <f aca="false">IF($O7="","",IF(INDEX(전체!$H$6:$H$75,$O7)="","",INDEX(전체!$H$6:$H$75,$O7)))</f>
        <v/>
      </c>
      <c r="H7" s="5" t="str">
        <f aca="false">IF($O7="","",IF(INDEX(전체!$I$6:$I$75,$O7)="","",INDEX(전체!$I$6:$I$75,$O7)))</f>
        <v/>
      </c>
      <c r="I7" s="5" t="str">
        <f aca="false">IF($O7="","",IF(INDEX(전체!$J$6:$J$75,$O7)="","",INDEX(전체!$J$6:$J$75,$O7)))</f>
        <v/>
      </c>
      <c r="J7" s="21" t="str">
        <f aca="false">IF($O7="","",IF(INDEX(전체!$K$6:$K$75,$O7)="","",INDEX(전체!$K$6:$K$75,$O7)))</f>
        <v/>
      </c>
      <c r="K7" s="20" t="str">
        <f aca="false">IF($O7="","",IF(INDEX(전체!$L$6:$L$75,$O7)="","",INDEX(전체!$L$6:$L$75,$O7)))</f>
        <v>한식 (메뉴 확인 필요)</v>
      </c>
      <c r="L7" s="5" t="str">
        <f aca="false">IF($O7="","",IF(INDEX(전체!$M$6:$M$75,$O7)="","",INDEX(전체!$M$6:$M$75,$O7)))</f>
        <v/>
      </c>
      <c r="M7" s="21" t="str">
        <f aca="false">IF($O7="","",IF(INDEX(전체!$N$6:$N$75,$O7)="","",INDEX(전체!$N$6:$N$75,$O7)))</f>
        <v>한식당. 메뉴·가격은 확인 필요</v>
      </c>
      <c r="N7" s="21" t="str">
        <f aca="false">IF($O7="","",IF(INDEX(전체!$O$6:$O$75,$O7)="","",INDEX(전체!$O$6:$O$75,$O7)))</f>
        <v/>
      </c>
      <c r="O7" s="22" t="n">
        <f aca="false">IFERROR(MATCH($R$2&amp;"|"&amp;3,전체!$P$6:$P$75,0),"")</f>
        <v>8</v>
      </c>
    </row>
    <row r="8" customFormat="false" ht="15" hidden="false" customHeight="false" outlineLevel="0" collapsed="false">
      <c r="A8" s="5" t="n">
        <f aca="false">IF($O8="","",4)</f>
        <v>4</v>
      </c>
      <c r="B8" s="20" t="str">
        <f aca="false">IF($O8="","",IF(INDEX(전체!$C$6:$C$75,$O8)="","",INDEX(전체!$C$6:$C$75,$O8)))</f>
        <v>대나무집</v>
      </c>
      <c r="C8" s="21" t="str">
        <f aca="false">IF($O8="","",IF(INDEX(전체!$D$6:$D$75,$O8)="","",INDEX(전체!$D$6:$D$75,$O8)))</f>
        <v>한식</v>
      </c>
      <c r="D8" s="5" t="str">
        <f aca="false">IF($O8="","",IF(INDEX(전체!$E$6:$E$75,$O8)="","",INDEX(전체!$E$6:$E$75,$O8)))</f>
        <v>영업 중</v>
      </c>
      <c r="E8" s="5" t="str">
        <f aca="false">IF($O8="","",IF(INDEX(전체!$F$6:$F$75,$O8)="","",INDEX(전체!$F$6:$F$75,$O8)))</f>
        <v/>
      </c>
      <c r="F8" s="21" t="str">
        <f aca="false">IF($O8="","",IF(INDEX(전체!$G$6:$G$75,$O8)="","",INDEX(전체!$G$6:$G$75,$O8)))</f>
        <v>부산 중구 중앙동3가 13-8</v>
      </c>
      <c r="G8" s="21" t="str">
        <f aca="false">IF($O8="","",IF(INDEX(전체!$H$6:$H$75,$O8)="","",INDEX(전체!$H$6:$H$75,$O8)))</f>
        <v/>
      </c>
      <c r="H8" s="5" t="str">
        <f aca="false">IF($O8="","",IF(INDEX(전체!$I$6:$I$75,$O8)="","",INDEX(전체!$I$6:$I$75,$O8)))</f>
        <v/>
      </c>
      <c r="I8" s="5" t="str">
        <f aca="false">IF($O8="","",IF(INDEX(전체!$J$6:$J$75,$O8)="","",INDEX(전체!$J$6:$J$75,$O8)))</f>
        <v/>
      </c>
      <c r="J8" s="21" t="str">
        <f aca="false">IF($O8="","",IF(INDEX(전체!$K$6:$K$75,$O8)="","",INDEX(전체!$K$6:$K$75,$O8)))</f>
        <v/>
      </c>
      <c r="K8" s="20" t="str">
        <f aca="false">IF($O8="","",IF(INDEX(전체!$L$6:$L$75,$O8)="","",INDEX(전체!$L$6:$L$75,$O8)))</f>
        <v>한식 (메뉴 확인 필요)</v>
      </c>
      <c r="L8" s="5" t="str">
        <f aca="false">IF($O8="","",IF(INDEX(전체!$M$6:$M$75,$O8)="","",INDEX(전체!$M$6:$M$75,$O8)))</f>
        <v/>
      </c>
      <c r="M8" s="21" t="str">
        <f aca="false">IF($O8="","",IF(INDEX(전체!$N$6:$N$75,$O8)="","",INDEX(전체!$N$6:$N$75,$O8)))</f>
        <v>한식당. 메뉴·가격은 확인 필요</v>
      </c>
      <c r="N8" s="21" t="str">
        <f aca="false">IF($O8="","",IF(INDEX(전체!$O$6:$O$75,$O8)="","",INDEX(전체!$O$6:$O$75,$O8)))</f>
        <v/>
      </c>
      <c r="O8" s="22" t="n">
        <f aca="false">IFERROR(MATCH($R$2&amp;"|"&amp;4,전체!$P$6:$P$75,0),"")</f>
        <v>11</v>
      </c>
    </row>
    <row r="9" customFormat="false" ht="15" hidden="false" customHeight="false" outlineLevel="0" collapsed="false">
      <c r="A9" s="5" t="n">
        <f aca="false">IF($O9="","",5)</f>
        <v>5</v>
      </c>
      <c r="B9" s="20" t="str">
        <f aca="false">IF($O9="","",IF(INDEX(전체!$C$6:$C$75,$O9)="","",INDEX(전체!$C$6:$C$75,$O9)))</f>
        <v>전주식당</v>
      </c>
      <c r="C9" s="21" t="str">
        <f aca="false">IF($O9="","",IF(INDEX(전체!$D$6:$D$75,$O9)="","",INDEX(전체!$D$6:$D$75,$O9)))</f>
        <v>한식</v>
      </c>
      <c r="D9" s="5" t="str">
        <f aca="false">IF($O9="","",IF(INDEX(전체!$E$6:$E$75,$O9)="","",INDEX(전체!$E$6:$E$75,$O9)))</f>
        <v>영업 중</v>
      </c>
      <c r="E9" s="5" t="str">
        <f aca="false">IF($O9="","",IF(INDEX(전체!$F$6:$F$75,$O9)="","",INDEX(전체!$F$6:$F$75,$O9)))</f>
        <v/>
      </c>
      <c r="F9" s="21" t="str">
        <f aca="false">IF($O9="","",IF(INDEX(전체!$G$6:$G$75,$O9)="","",INDEX(전체!$G$6:$G$75,$O9)))</f>
        <v>부산 중구 중앙동3가 19-4</v>
      </c>
      <c r="G9" s="21" t="str">
        <f aca="false">IF($O9="","",IF(INDEX(전체!$H$6:$H$75,$O9)="","",INDEX(전체!$H$6:$H$75,$O9)))</f>
        <v/>
      </c>
      <c r="H9" s="5" t="str">
        <f aca="false">IF($O9="","",IF(INDEX(전체!$I$6:$I$75,$O9)="","",INDEX(전체!$I$6:$I$75,$O9)))</f>
        <v/>
      </c>
      <c r="I9" s="5" t="str">
        <f aca="false">IF($O9="","",IF(INDEX(전체!$J$6:$J$75,$O9)="","",INDEX(전체!$J$6:$J$75,$O9)))</f>
        <v/>
      </c>
      <c r="J9" s="21" t="str">
        <f aca="false">IF($O9="","",IF(INDEX(전체!$K$6:$K$75,$O9)="","",INDEX(전체!$K$6:$K$75,$O9)))</f>
        <v/>
      </c>
      <c r="K9" s="20" t="str">
        <f aca="false">IF($O9="","",IF(INDEX(전체!$L$6:$L$75,$O9)="","",INDEX(전체!$L$6:$L$75,$O9)))</f>
        <v>한식 (메뉴 확인 필요)</v>
      </c>
      <c r="L9" s="5" t="str">
        <f aca="false">IF($O9="","",IF(INDEX(전체!$M$6:$M$75,$O9)="","",INDEX(전체!$M$6:$M$75,$O9)))</f>
        <v/>
      </c>
      <c r="M9" s="21" t="str">
        <f aca="false">IF($O9="","",IF(INDEX(전체!$N$6:$N$75,$O9)="","",INDEX(전체!$N$6:$N$75,$O9)))</f>
        <v>한식당. 메뉴·가격은 확인 필요</v>
      </c>
      <c r="N9" s="21" t="str">
        <f aca="false">IF($O9="","",IF(INDEX(전체!$O$6:$O$75,$O9)="","",INDEX(전체!$O$6:$O$75,$O9)))</f>
        <v/>
      </c>
      <c r="O9" s="22" t="n">
        <f aca="false">IFERROR(MATCH($R$2&amp;"|"&amp;5,전체!$P$6:$P$75,0),"")</f>
        <v>12</v>
      </c>
    </row>
    <row r="10" customFormat="false" ht="26.85" hidden="false" customHeight="false" outlineLevel="0" collapsed="false">
      <c r="A10" s="5" t="n">
        <f aca="false">IF($O10="","",6)</f>
        <v>6</v>
      </c>
      <c r="B10" s="20" t="str">
        <f aca="false">IF($O10="","",IF(INDEX(전체!$C$6:$C$75,$O10)="","",INDEX(전체!$C$6:$C$75,$O10)))</f>
        <v>오봉집 중앙점</v>
      </c>
      <c r="C10" s="21" t="str">
        <f aca="false">IF($O10="","",IF(INDEX(전체!$D$6:$D$75,$O10)="","",INDEX(전체!$D$6:$D$75,$O10)))</f>
        <v>한식</v>
      </c>
      <c r="D10" s="5" t="str">
        <f aca="false">IF($O10="","",IF(INDEX(전체!$E$6:$E$75,$O10)="","",INDEX(전체!$E$6:$E$75,$O10)))</f>
        <v>영업 중</v>
      </c>
      <c r="E10" s="5" t="str">
        <f aca="false">IF($O10="","",IF(INDEX(전체!$F$6:$F$75,$O10)="","",INDEX(전체!$F$6:$F$75,$O10)))</f>
        <v>O</v>
      </c>
      <c r="F10" s="21" t="str">
        <f aca="false">IF($O10="","",IF(INDEX(전체!$G$6:$G$75,$O10)="","",INDEX(전체!$G$6:$G$75,$O10)))</f>
        <v>부산 중구 중앙동3가 10-5</v>
      </c>
      <c r="G10" s="21" t="str">
        <f aca="false">IF($O10="","",IF(INDEX(전체!$H$6:$H$75,$O10)="","",INDEX(전체!$H$6:$H$75,$O10)))</f>
        <v>1층</v>
      </c>
      <c r="H10" s="5" t="str">
        <f aca="false">IF($O10="","",IF(INDEX(전체!$I$6:$I$75,$O10)="","",INDEX(전체!$I$6:$I$75,$O10)))</f>
        <v/>
      </c>
      <c r="I10" s="5" t="str">
        <f aca="false">IF($O10="","",IF(INDEX(전체!$J$6:$J$75,$O10)="","",INDEX(전체!$J$6:$J$75,$O10)))</f>
        <v/>
      </c>
      <c r="J10" s="21" t="str">
        <f aca="false">IF($O10="","",IF(INDEX(전체!$K$6:$K$75,$O10)="","",INDEX(전체!$K$6:$K$75,$O10)))</f>
        <v/>
      </c>
      <c r="K10" s="20" t="str">
        <f aca="false">IF($O10="","",IF(INDEX(전체!$L$6:$L$75,$O10)="","",INDEX(전체!$L$6:$L$75,$O10)))</f>
        <v>낙지볶음·보쌈 (사진 기준 추정)</v>
      </c>
      <c r="L10" s="5" t="str">
        <f aca="false">IF($O10="","",IF(INDEX(전체!$M$6:$M$75,$O10)="","",INDEX(전체!$M$6:$M$75,$O10)))</f>
        <v>15,000~20,000</v>
      </c>
      <c r="M10" s="21" t="str">
        <f aca="false">IF($O10="","",IF(INDEX(전체!$N$6:$N$75,$O10)="","",INDEX(전체!$N$6:$N$75,$O10)))</f>
        <v>예약 가능한 한식당. 매콤한 볶음과 보쌈 사진이 많음</v>
      </c>
      <c r="N10" s="21" t="str">
        <f aca="false">IF($O10="","",IF(INDEX(전체!$O$6:$O$75,$O10)="","",INDEX(전체!$O$6:$O$75,$O10)))</f>
        <v/>
      </c>
      <c r="O10" s="22" t="n">
        <f aca="false">IFERROR(MATCH($R$2&amp;"|"&amp;6,전체!$P$6:$P$75,0),"")</f>
        <v>13</v>
      </c>
    </row>
    <row r="11" customFormat="false" ht="26.85" hidden="false" customHeight="false" outlineLevel="0" collapsed="false">
      <c r="A11" s="5" t="n">
        <f aca="false">IF($O11="","",7)</f>
        <v>7</v>
      </c>
      <c r="B11" s="20" t="str">
        <f aca="false">IF($O11="","",IF(INDEX(전체!$C$6:$C$75,$O11)="","",INDEX(전체!$C$6:$C$75,$O11)))</f>
        <v>한식레스토랑 여름 부산본점</v>
      </c>
      <c r="C11" s="21" t="str">
        <f aca="false">IF($O11="","",IF(INDEX(전체!$D$6:$D$75,$O11)="","",INDEX(전체!$D$6:$D$75,$O11)))</f>
        <v>한식</v>
      </c>
      <c r="D11" s="5" t="str">
        <f aca="false">IF($O11="","",IF(INDEX(전체!$E$6:$E$75,$O11)="","",INDEX(전체!$E$6:$E$75,$O11)))</f>
        <v>영업 중</v>
      </c>
      <c r="E11" s="5" t="str">
        <f aca="false">IF($O11="","",IF(INDEX(전체!$F$6:$F$75,$O11)="","",INDEX(전체!$F$6:$F$75,$O11)))</f>
        <v>O</v>
      </c>
      <c r="F11" s="21" t="str">
        <f aca="false">IF($O11="","",IF(INDEX(전체!$G$6:$G$75,$O11)="","",INDEX(전체!$G$6:$G$75,$O11)))</f>
        <v>부산 중구 중앙동6가 3-2</v>
      </c>
      <c r="G11" s="21" t="str">
        <f aca="false">IF($O11="","",IF(INDEX(전체!$H$6:$H$75,$O11)="","",INDEX(전체!$H$6:$H$75,$O11)))</f>
        <v>2층 201·202·203호</v>
      </c>
      <c r="H11" s="5" t="str">
        <f aca="false">IF($O11="","",IF(INDEX(전체!$I$6:$I$75,$O11)="","",INDEX(전체!$I$6:$I$75,$O11)))</f>
        <v/>
      </c>
      <c r="I11" s="5" t="str">
        <f aca="false">IF($O11="","",IF(INDEX(전체!$J$6:$J$75,$O11)="","",INDEX(전체!$J$6:$J$75,$O11)))</f>
        <v/>
      </c>
      <c r="J11" s="21" t="str">
        <f aca="false">IF($O11="","",IF(INDEX(전체!$K$6:$K$75,$O11)="","",INDEX(전체!$K$6:$K$75,$O11)))</f>
        <v/>
      </c>
      <c r="K11" s="20" t="str">
        <f aca="false">IF($O11="","",IF(INDEX(전체!$L$6:$L$75,$O11)="","",INDEX(전체!$L$6:$L$75,$O11)))</f>
        <v>한식 정식 (돌솥밥·반찬 한 상)</v>
      </c>
      <c r="L11" s="5" t="str">
        <f aca="false">IF($O11="","",IF(INDEX(전체!$M$6:$M$75,$O11)="","",INDEX(전체!$M$6:$M$75,$O11)))</f>
        <v/>
      </c>
      <c r="M11" s="21" t="str">
        <f aca="false">IF($O11="","",IF(INDEX(전체!$N$6:$N$75,$O11)="","",INDEX(전체!$N$6:$N$75,$O11)))</f>
        <v>예약 가능한 한식 레스토랑. 반찬이 여러 가지 나오는 한 상 차림. 가격 확인 필요</v>
      </c>
      <c r="N11" s="21" t="str">
        <f aca="false">IF($O11="","",IF(INDEX(전체!$O$6:$O$75,$O11)="","",INDEX(전체!$O$6:$O$75,$O11)))</f>
        <v/>
      </c>
      <c r="O11" s="22" t="n">
        <f aca="false">IFERROR(MATCH($R$2&amp;"|"&amp;7,전체!$P$6:$P$75,0),"")</f>
        <v>19</v>
      </c>
    </row>
    <row r="12" customFormat="false" ht="15" hidden="false" customHeight="false" outlineLevel="0" collapsed="false">
      <c r="A12" s="5" t="n">
        <f aca="false">IF($O12="","",8)</f>
        <v>8</v>
      </c>
      <c r="B12" s="20" t="str">
        <f aca="false">IF($O12="","",IF(INDEX(전체!$C$6:$C$75,$O12)="","",INDEX(전체!$C$6:$C$75,$O12)))</f>
        <v>고품격한식뷔페</v>
      </c>
      <c r="C12" s="21" t="str">
        <f aca="false">IF($O12="","",IF(INDEX(전체!$D$6:$D$75,$O12)="","",INDEX(전체!$D$6:$D$75,$O12)))</f>
        <v>한식</v>
      </c>
      <c r="D12" s="5" t="str">
        <f aca="false">IF($O12="","",IF(INDEX(전체!$E$6:$E$75,$O12)="","",INDEX(전체!$E$6:$E$75,$O12)))</f>
        <v>영업 종료</v>
      </c>
      <c r="E12" s="5" t="str">
        <f aca="false">IF($O12="","",IF(INDEX(전체!$F$6:$F$75,$O12)="","",INDEX(전체!$F$6:$F$75,$O12)))</f>
        <v/>
      </c>
      <c r="F12" s="21" t="str">
        <f aca="false">IF($O12="","",IF(INDEX(전체!$G$6:$G$75,$O12)="","",INDEX(전체!$G$6:$G$75,$O12)))</f>
        <v>부산 중구 중앙동6가 3-2</v>
      </c>
      <c r="G12" s="21" t="str">
        <f aca="false">IF($O12="","",IF(INDEX(전체!$H$6:$H$75,$O12)="","",INDEX(전체!$H$6:$H$75,$O12)))</f>
        <v>1층 101호</v>
      </c>
      <c r="H12" s="5" t="str">
        <f aca="false">IF($O12="","",IF(INDEX(전체!$I$6:$I$75,$O12)="","",INDEX(전체!$I$6:$I$75,$O12)))</f>
        <v/>
      </c>
      <c r="I12" s="5" t="str">
        <f aca="false">IF($O12="","",IF(INDEX(전체!$J$6:$J$75,$O12)="","",INDEX(전체!$J$6:$J$75,$O12)))</f>
        <v/>
      </c>
      <c r="J12" s="21" t="str">
        <f aca="false">IF($O12="","",IF(INDEX(전체!$K$6:$K$75,$O12)="","",INDEX(전체!$K$6:$K$75,$O12)))</f>
        <v/>
      </c>
      <c r="K12" s="20" t="str">
        <f aca="false">IF($O12="","",IF(INDEX(전체!$L$6:$L$75,$O12)="","",INDEX(전체!$L$6:$L$75,$O12)))</f>
        <v>한식뷔페 (1인)</v>
      </c>
      <c r="L12" s="5" t="str">
        <f aca="false">IF($O12="","",IF(INDEX(전체!$M$6:$M$75,$O12)="","",INDEX(전체!$M$6:$M$75,$O12)))</f>
        <v/>
      </c>
      <c r="M12" s="21" t="str">
        <f aca="false">IF($O12="","",IF(INDEX(전체!$N$6:$N$75,$O12)="","",INDEX(전체!$N$6:$N$75,$O12)))</f>
        <v>한식 뷔페. 현재 영업 종료로 표시됨</v>
      </c>
      <c r="N12" s="21" t="str">
        <f aca="false">IF($O12="","",IF(INDEX(전체!$O$6:$O$75,$O12)="","",INDEX(전체!$O$6:$O$75,$O12)))</f>
        <v/>
      </c>
      <c r="O12" s="22" t="n">
        <f aca="false">IFERROR(MATCH($R$2&amp;"|"&amp;8,전체!$P$6:$P$75,0),"")</f>
        <v>22</v>
      </c>
    </row>
    <row r="13" customFormat="false" ht="15" hidden="false" customHeight="false" outlineLevel="0" collapsed="false">
      <c r="A13" s="5" t="n">
        <f aca="false">IF($O13="","",9)</f>
        <v>9</v>
      </c>
      <c r="B13" s="20" t="str">
        <f aca="false">IF($O13="","",IF(INDEX(전체!$C$6:$C$75,$O13)="","",INDEX(전체!$C$6:$C$75,$O13)))</f>
        <v>다복정</v>
      </c>
      <c r="C13" s="21" t="str">
        <f aca="false">IF($O13="","",IF(INDEX(전체!$D$6:$D$75,$O13)="","",INDEX(전체!$D$6:$D$75,$O13)))</f>
        <v>한식</v>
      </c>
      <c r="D13" s="5" t="str">
        <f aca="false">IF($O13="","",IF(INDEX(전체!$E$6:$E$75,$O13)="","",INDEX(전체!$E$6:$E$75,$O13)))</f>
        <v>정보 없음</v>
      </c>
      <c r="E13" s="5" t="str">
        <f aca="false">IF($O13="","",IF(INDEX(전체!$F$6:$F$75,$O13)="","",INDEX(전체!$F$6:$F$75,$O13)))</f>
        <v/>
      </c>
      <c r="F13" s="21" t="str">
        <f aca="false">IF($O13="","",IF(INDEX(전체!$G$6:$G$75,$O13)="","",INDEX(전체!$G$6:$G$75,$O13)))</f>
        <v>부산 중구 중앙동5가 10-3</v>
      </c>
      <c r="G13" s="21" t="str">
        <f aca="false">IF($O13="","",IF(INDEX(전체!$H$6:$H$75,$O13)="","",INDEX(전체!$H$6:$H$75,$O13)))</f>
        <v/>
      </c>
      <c r="H13" s="5" t="str">
        <f aca="false">IF($O13="","",IF(INDEX(전체!$I$6:$I$75,$O13)="","",INDEX(전체!$I$6:$I$75,$O13)))</f>
        <v/>
      </c>
      <c r="I13" s="5" t="str">
        <f aca="false">IF($O13="","",IF(INDEX(전체!$J$6:$J$75,$O13)="","",INDEX(전체!$J$6:$J$75,$O13)))</f>
        <v/>
      </c>
      <c r="J13" s="21" t="str">
        <f aca="false">IF($O13="","",IF(INDEX(전체!$K$6:$K$75,$O13)="","",INDEX(전체!$K$6:$K$75,$O13)))</f>
        <v/>
      </c>
      <c r="K13" s="20" t="str">
        <f aca="false">IF($O13="","",IF(INDEX(전체!$L$6:$L$75,$O13)="","",INDEX(전체!$L$6:$L$75,$O13)))</f>
        <v>한식 (메뉴 확인 필요)</v>
      </c>
      <c r="L13" s="5" t="str">
        <f aca="false">IF($O13="","",IF(INDEX(전체!$M$6:$M$75,$O13)="","",INDEX(전체!$M$6:$M$75,$O13)))</f>
        <v/>
      </c>
      <c r="M13" s="21" t="str">
        <f aca="false">IF($O13="","",IF(INDEX(전체!$N$6:$N$75,$O13)="","",INDEX(전체!$N$6:$N$75,$O13)))</f>
        <v>한식당. 메뉴·가격은 확인 필요</v>
      </c>
      <c r="N13" s="21" t="str">
        <f aca="false">IF($O13="","",IF(INDEX(전체!$O$6:$O$75,$O13)="","",INDEX(전체!$O$6:$O$75,$O13)))</f>
        <v/>
      </c>
      <c r="O13" s="22" t="n">
        <f aca="false">IFERROR(MATCH($R$2&amp;"|"&amp;9,전체!$P$6:$P$75,0),"")</f>
        <v>24</v>
      </c>
    </row>
    <row r="14" customFormat="false" ht="15" hidden="false" customHeight="false" outlineLevel="0" collapsed="false">
      <c r="A14" s="5" t="str">
        <f aca="false">IF($O14="","",10)</f>
        <v/>
      </c>
      <c r="B14" s="20" t="str">
        <f aca="false">IF($O14="","",IF(INDEX(전체!$C$6:$C$75,$O14)="","",INDEX(전체!$C$6:$C$75,$O14)))</f>
        <v/>
      </c>
      <c r="C14" s="21" t="str">
        <f aca="false">IF($O14="","",IF(INDEX(전체!$D$6:$D$75,$O14)="","",INDEX(전체!$D$6:$D$75,$O14)))</f>
        <v/>
      </c>
      <c r="D14" s="5" t="str">
        <f aca="false">IF($O14="","",IF(INDEX(전체!$E$6:$E$75,$O14)="","",INDEX(전체!$E$6:$E$75,$O14)))</f>
        <v/>
      </c>
      <c r="E14" s="5" t="str">
        <f aca="false">IF($O14="","",IF(INDEX(전체!$F$6:$F$75,$O14)="","",INDEX(전체!$F$6:$F$75,$O14)))</f>
        <v/>
      </c>
      <c r="F14" s="21" t="str">
        <f aca="false">IF($O14="","",IF(INDEX(전체!$G$6:$G$75,$O14)="","",INDEX(전체!$G$6:$G$75,$O14)))</f>
        <v/>
      </c>
      <c r="G14" s="21" t="str">
        <f aca="false">IF($O14="","",IF(INDEX(전체!$H$6:$H$75,$O14)="","",INDEX(전체!$H$6:$H$75,$O14)))</f>
        <v/>
      </c>
      <c r="H14" s="5" t="str">
        <f aca="false">IF($O14="","",IF(INDEX(전체!$I$6:$I$75,$O14)="","",INDEX(전체!$I$6:$I$75,$O14)))</f>
        <v/>
      </c>
      <c r="I14" s="5" t="str">
        <f aca="false">IF($O14="","",IF(INDEX(전체!$J$6:$J$75,$O14)="","",INDEX(전체!$J$6:$J$75,$O14)))</f>
        <v/>
      </c>
      <c r="J14" s="21" t="str">
        <f aca="false">IF($O14="","",IF(INDEX(전체!$K$6:$K$75,$O14)="","",INDEX(전체!$K$6:$K$75,$O14)))</f>
        <v/>
      </c>
      <c r="K14" s="20" t="str">
        <f aca="false">IF($O14="","",IF(INDEX(전체!$L$6:$L$75,$O14)="","",INDEX(전체!$L$6:$L$75,$O14)))</f>
        <v/>
      </c>
      <c r="L14" s="5" t="str">
        <f aca="false">IF($O14="","",IF(INDEX(전체!$M$6:$M$75,$O14)="","",INDEX(전체!$M$6:$M$75,$O14)))</f>
        <v/>
      </c>
      <c r="M14" s="21" t="str">
        <f aca="false">IF($O14="","",IF(INDEX(전체!$N$6:$N$75,$O14)="","",INDEX(전체!$N$6:$N$75,$O14)))</f>
        <v/>
      </c>
      <c r="N14" s="21" t="str">
        <f aca="false">IF($O14="","",IF(INDEX(전체!$O$6:$O$75,$O14)="","",INDEX(전체!$O$6:$O$75,$O14)))</f>
        <v/>
      </c>
      <c r="O14" s="22" t="str">
        <f aca="false">IFERROR(MATCH($R$2&amp;"|"&amp;10,전체!$P$6:$P$75,0),"")</f>
        <v/>
      </c>
    </row>
    <row r="15" customFormat="false" ht="15" hidden="false" customHeight="false" outlineLevel="0" collapsed="false">
      <c r="A15" s="5" t="str">
        <f aca="false">IF($O15="","",11)</f>
        <v/>
      </c>
      <c r="B15" s="20" t="str">
        <f aca="false">IF($O15="","",IF(INDEX(전체!$C$6:$C$75,$O15)="","",INDEX(전체!$C$6:$C$75,$O15)))</f>
        <v/>
      </c>
      <c r="C15" s="21" t="str">
        <f aca="false">IF($O15="","",IF(INDEX(전체!$D$6:$D$75,$O15)="","",INDEX(전체!$D$6:$D$75,$O15)))</f>
        <v/>
      </c>
      <c r="D15" s="5" t="str">
        <f aca="false">IF($O15="","",IF(INDEX(전체!$E$6:$E$75,$O15)="","",INDEX(전체!$E$6:$E$75,$O15)))</f>
        <v/>
      </c>
      <c r="E15" s="5" t="str">
        <f aca="false">IF($O15="","",IF(INDEX(전체!$F$6:$F$75,$O15)="","",INDEX(전체!$F$6:$F$75,$O15)))</f>
        <v/>
      </c>
      <c r="F15" s="21" t="str">
        <f aca="false">IF($O15="","",IF(INDEX(전체!$G$6:$G$75,$O15)="","",INDEX(전체!$G$6:$G$75,$O15)))</f>
        <v/>
      </c>
      <c r="G15" s="21" t="str">
        <f aca="false">IF($O15="","",IF(INDEX(전체!$H$6:$H$75,$O15)="","",INDEX(전체!$H$6:$H$75,$O15)))</f>
        <v/>
      </c>
      <c r="H15" s="5" t="str">
        <f aca="false">IF($O15="","",IF(INDEX(전체!$I$6:$I$75,$O15)="","",INDEX(전체!$I$6:$I$75,$O15)))</f>
        <v/>
      </c>
      <c r="I15" s="5" t="str">
        <f aca="false">IF($O15="","",IF(INDEX(전체!$J$6:$J$75,$O15)="","",INDEX(전체!$J$6:$J$75,$O15)))</f>
        <v/>
      </c>
      <c r="J15" s="21" t="str">
        <f aca="false">IF($O15="","",IF(INDEX(전체!$K$6:$K$75,$O15)="","",INDEX(전체!$K$6:$K$75,$O15)))</f>
        <v/>
      </c>
      <c r="K15" s="20" t="str">
        <f aca="false">IF($O15="","",IF(INDEX(전체!$L$6:$L$75,$O15)="","",INDEX(전체!$L$6:$L$75,$O15)))</f>
        <v/>
      </c>
      <c r="L15" s="5" t="str">
        <f aca="false">IF($O15="","",IF(INDEX(전체!$M$6:$M$75,$O15)="","",INDEX(전체!$M$6:$M$75,$O15)))</f>
        <v/>
      </c>
      <c r="M15" s="21" t="str">
        <f aca="false">IF($O15="","",IF(INDEX(전체!$N$6:$N$75,$O15)="","",INDEX(전체!$N$6:$N$75,$O15)))</f>
        <v/>
      </c>
      <c r="N15" s="21" t="str">
        <f aca="false">IF($O15="","",IF(INDEX(전체!$O$6:$O$75,$O15)="","",INDEX(전체!$O$6:$O$75,$O15)))</f>
        <v/>
      </c>
      <c r="O15" s="22" t="str">
        <f aca="false">IFERROR(MATCH($R$2&amp;"|"&amp;11,전체!$P$6:$P$75,0),"")</f>
        <v/>
      </c>
    </row>
    <row r="16" customFormat="false" ht="15" hidden="false" customHeight="false" outlineLevel="0" collapsed="false">
      <c r="A16" s="5" t="str">
        <f aca="false">IF($O16="","",12)</f>
        <v/>
      </c>
      <c r="B16" s="20" t="str">
        <f aca="false">IF($O16="","",IF(INDEX(전체!$C$6:$C$75,$O16)="","",INDEX(전체!$C$6:$C$75,$O16)))</f>
        <v/>
      </c>
      <c r="C16" s="21" t="str">
        <f aca="false">IF($O16="","",IF(INDEX(전체!$D$6:$D$75,$O16)="","",INDEX(전체!$D$6:$D$75,$O16)))</f>
        <v/>
      </c>
      <c r="D16" s="5" t="str">
        <f aca="false">IF($O16="","",IF(INDEX(전체!$E$6:$E$75,$O16)="","",INDEX(전체!$E$6:$E$75,$O16)))</f>
        <v/>
      </c>
      <c r="E16" s="5" t="str">
        <f aca="false">IF($O16="","",IF(INDEX(전체!$F$6:$F$75,$O16)="","",INDEX(전체!$F$6:$F$75,$O16)))</f>
        <v/>
      </c>
      <c r="F16" s="21" t="str">
        <f aca="false">IF($O16="","",IF(INDEX(전체!$G$6:$G$75,$O16)="","",INDEX(전체!$G$6:$G$75,$O16)))</f>
        <v/>
      </c>
      <c r="G16" s="21" t="str">
        <f aca="false">IF($O16="","",IF(INDEX(전체!$H$6:$H$75,$O16)="","",INDEX(전체!$H$6:$H$75,$O16)))</f>
        <v/>
      </c>
      <c r="H16" s="5" t="str">
        <f aca="false">IF($O16="","",IF(INDEX(전체!$I$6:$I$75,$O16)="","",INDEX(전체!$I$6:$I$75,$O16)))</f>
        <v/>
      </c>
      <c r="I16" s="5" t="str">
        <f aca="false">IF($O16="","",IF(INDEX(전체!$J$6:$J$75,$O16)="","",INDEX(전체!$J$6:$J$75,$O16)))</f>
        <v/>
      </c>
      <c r="J16" s="21" t="str">
        <f aca="false">IF($O16="","",IF(INDEX(전체!$K$6:$K$75,$O16)="","",INDEX(전체!$K$6:$K$75,$O16)))</f>
        <v/>
      </c>
      <c r="K16" s="20" t="str">
        <f aca="false">IF($O16="","",IF(INDEX(전체!$L$6:$L$75,$O16)="","",INDEX(전체!$L$6:$L$75,$O16)))</f>
        <v/>
      </c>
      <c r="L16" s="5" t="str">
        <f aca="false">IF($O16="","",IF(INDEX(전체!$M$6:$M$75,$O16)="","",INDEX(전체!$M$6:$M$75,$O16)))</f>
        <v/>
      </c>
      <c r="M16" s="21" t="str">
        <f aca="false">IF($O16="","",IF(INDEX(전체!$N$6:$N$75,$O16)="","",INDEX(전체!$N$6:$N$75,$O16)))</f>
        <v/>
      </c>
      <c r="N16" s="21" t="str">
        <f aca="false">IF($O16="","",IF(INDEX(전체!$O$6:$O$75,$O16)="","",INDEX(전체!$O$6:$O$75,$O16)))</f>
        <v/>
      </c>
      <c r="O16" s="22" t="str">
        <f aca="false">IFERROR(MATCH($R$2&amp;"|"&amp;12,전체!$P$6:$P$75,0),"")</f>
        <v/>
      </c>
    </row>
    <row r="17" customFormat="false" ht="15" hidden="false" customHeight="false" outlineLevel="0" collapsed="false">
      <c r="A17" s="5" t="str">
        <f aca="false">IF($O17="","",13)</f>
        <v/>
      </c>
      <c r="B17" s="20" t="str">
        <f aca="false">IF($O17="","",IF(INDEX(전체!$C$6:$C$75,$O17)="","",INDEX(전체!$C$6:$C$75,$O17)))</f>
        <v/>
      </c>
      <c r="C17" s="21" t="str">
        <f aca="false">IF($O17="","",IF(INDEX(전체!$D$6:$D$75,$O17)="","",INDEX(전체!$D$6:$D$75,$O17)))</f>
        <v/>
      </c>
      <c r="D17" s="5" t="str">
        <f aca="false">IF($O17="","",IF(INDEX(전체!$E$6:$E$75,$O17)="","",INDEX(전체!$E$6:$E$75,$O17)))</f>
        <v/>
      </c>
      <c r="E17" s="5" t="str">
        <f aca="false">IF($O17="","",IF(INDEX(전체!$F$6:$F$75,$O17)="","",INDEX(전체!$F$6:$F$75,$O17)))</f>
        <v/>
      </c>
      <c r="F17" s="21" t="str">
        <f aca="false">IF($O17="","",IF(INDEX(전체!$G$6:$G$75,$O17)="","",INDEX(전체!$G$6:$G$75,$O17)))</f>
        <v/>
      </c>
      <c r="G17" s="21" t="str">
        <f aca="false">IF($O17="","",IF(INDEX(전체!$H$6:$H$75,$O17)="","",INDEX(전체!$H$6:$H$75,$O17)))</f>
        <v/>
      </c>
      <c r="H17" s="5" t="str">
        <f aca="false">IF($O17="","",IF(INDEX(전체!$I$6:$I$75,$O17)="","",INDEX(전체!$I$6:$I$75,$O17)))</f>
        <v/>
      </c>
      <c r="I17" s="5" t="str">
        <f aca="false">IF($O17="","",IF(INDEX(전체!$J$6:$J$75,$O17)="","",INDEX(전체!$J$6:$J$75,$O17)))</f>
        <v/>
      </c>
      <c r="J17" s="21" t="str">
        <f aca="false">IF($O17="","",IF(INDEX(전체!$K$6:$K$75,$O17)="","",INDEX(전체!$K$6:$K$75,$O17)))</f>
        <v/>
      </c>
      <c r="K17" s="20" t="str">
        <f aca="false">IF($O17="","",IF(INDEX(전체!$L$6:$L$75,$O17)="","",INDEX(전체!$L$6:$L$75,$O17)))</f>
        <v/>
      </c>
      <c r="L17" s="5" t="str">
        <f aca="false">IF($O17="","",IF(INDEX(전체!$M$6:$M$75,$O17)="","",INDEX(전체!$M$6:$M$75,$O17)))</f>
        <v/>
      </c>
      <c r="M17" s="21" t="str">
        <f aca="false">IF($O17="","",IF(INDEX(전체!$N$6:$N$75,$O17)="","",INDEX(전체!$N$6:$N$75,$O17)))</f>
        <v/>
      </c>
      <c r="N17" s="21" t="str">
        <f aca="false">IF($O17="","",IF(INDEX(전체!$O$6:$O$75,$O17)="","",INDEX(전체!$O$6:$O$75,$O17)))</f>
        <v/>
      </c>
      <c r="O17" s="22" t="str">
        <f aca="false">IFERROR(MATCH($R$2&amp;"|"&amp;13,전체!$P$6:$P$75,0),"")</f>
        <v/>
      </c>
    </row>
    <row r="18" customFormat="false" ht="15" hidden="false" customHeight="false" outlineLevel="0" collapsed="false">
      <c r="A18" s="5" t="str">
        <f aca="false">IF($O18="","",14)</f>
        <v/>
      </c>
      <c r="B18" s="20" t="str">
        <f aca="false">IF($O18="","",IF(INDEX(전체!$C$6:$C$75,$O18)="","",INDEX(전체!$C$6:$C$75,$O18)))</f>
        <v/>
      </c>
      <c r="C18" s="21" t="str">
        <f aca="false">IF($O18="","",IF(INDEX(전체!$D$6:$D$75,$O18)="","",INDEX(전체!$D$6:$D$75,$O18)))</f>
        <v/>
      </c>
      <c r="D18" s="5" t="str">
        <f aca="false">IF($O18="","",IF(INDEX(전체!$E$6:$E$75,$O18)="","",INDEX(전체!$E$6:$E$75,$O18)))</f>
        <v/>
      </c>
      <c r="E18" s="5" t="str">
        <f aca="false">IF($O18="","",IF(INDEX(전체!$F$6:$F$75,$O18)="","",INDEX(전체!$F$6:$F$75,$O18)))</f>
        <v/>
      </c>
      <c r="F18" s="21" t="str">
        <f aca="false">IF($O18="","",IF(INDEX(전체!$G$6:$G$75,$O18)="","",INDEX(전체!$G$6:$G$75,$O18)))</f>
        <v/>
      </c>
      <c r="G18" s="21" t="str">
        <f aca="false">IF($O18="","",IF(INDEX(전체!$H$6:$H$75,$O18)="","",INDEX(전체!$H$6:$H$75,$O18)))</f>
        <v/>
      </c>
      <c r="H18" s="5" t="str">
        <f aca="false">IF($O18="","",IF(INDEX(전체!$I$6:$I$75,$O18)="","",INDEX(전체!$I$6:$I$75,$O18)))</f>
        <v/>
      </c>
      <c r="I18" s="5" t="str">
        <f aca="false">IF($O18="","",IF(INDEX(전체!$J$6:$J$75,$O18)="","",INDEX(전체!$J$6:$J$75,$O18)))</f>
        <v/>
      </c>
      <c r="J18" s="21" t="str">
        <f aca="false">IF($O18="","",IF(INDEX(전체!$K$6:$K$75,$O18)="","",INDEX(전체!$K$6:$K$75,$O18)))</f>
        <v/>
      </c>
      <c r="K18" s="20" t="str">
        <f aca="false">IF($O18="","",IF(INDEX(전체!$L$6:$L$75,$O18)="","",INDEX(전체!$L$6:$L$75,$O18)))</f>
        <v/>
      </c>
      <c r="L18" s="5" t="str">
        <f aca="false">IF($O18="","",IF(INDEX(전체!$M$6:$M$75,$O18)="","",INDEX(전체!$M$6:$M$75,$O18)))</f>
        <v/>
      </c>
      <c r="M18" s="21" t="str">
        <f aca="false">IF($O18="","",IF(INDEX(전체!$N$6:$N$75,$O18)="","",INDEX(전체!$N$6:$N$75,$O18)))</f>
        <v/>
      </c>
      <c r="N18" s="21" t="str">
        <f aca="false">IF($O18="","",IF(INDEX(전체!$O$6:$O$75,$O18)="","",INDEX(전체!$O$6:$O$75,$O18)))</f>
        <v/>
      </c>
      <c r="O18" s="22" t="str">
        <f aca="false">IFERROR(MATCH($R$2&amp;"|"&amp;14,전체!$P$6:$P$75,0),"")</f>
        <v/>
      </c>
    </row>
    <row r="19" customFormat="false" ht="15" hidden="false" customHeight="false" outlineLevel="0" collapsed="false">
      <c r="A19" s="5" t="str">
        <f aca="false">IF($O19="","",15)</f>
        <v/>
      </c>
      <c r="B19" s="20" t="str">
        <f aca="false">IF($O19="","",IF(INDEX(전체!$C$6:$C$75,$O19)="","",INDEX(전체!$C$6:$C$75,$O19)))</f>
        <v/>
      </c>
      <c r="C19" s="21" t="str">
        <f aca="false">IF($O19="","",IF(INDEX(전체!$D$6:$D$75,$O19)="","",INDEX(전체!$D$6:$D$75,$O19)))</f>
        <v/>
      </c>
      <c r="D19" s="5" t="str">
        <f aca="false">IF($O19="","",IF(INDEX(전체!$E$6:$E$75,$O19)="","",INDEX(전체!$E$6:$E$75,$O19)))</f>
        <v/>
      </c>
      <c r="E19" s="5" t="str">
        <f aca="false">IF($O19="","",IF(INDEX(전체!$F$6:$F$75,$O19)="","",INDEX(전체!$F$6:$F$75,$O19)))</f>
        <v/>
      </c>
      <c r="F19" s="21" t="str">
        <f aca="false">IF($O19="","",IF(INDEX(전체!$G$6:$G$75,$O19)="","",INDEX(전체!$G$6:$G$75,$O19)))</f>
        <v/>
      </c>
      <c r="G19" s="21" t="str">
        <f aca="false">IF($O19="","",IF(INDEX(전체!$H$6:$H$75,$O19)="","",INDEX(전체!$H$6:$H$75,$O19)))</f>
        <v/>
      </c>
      <c r="H19" s="5" t="str">
        <f aca="false">IF($O19="","",IF(INDEX(전체!$I$6:$I$75,$O19)="","",INDEX(전체!$I$6:$I$75,$O19)))</f>
        <v/>
      </c>
      <c r="I19" s="5" t="str">
        <f aca="false">IF($O19="","",IF(INDEX(전체!$J$6:$J$75,$O19)="","",INDEX(전체!$J$6:$J$75,$O19)))</f>
        <v/>
      </c>
      <c r="J19" s="21" t="str">
        <f aca="false">IF($O19="","",IF(INDEX(전체!$K$6:$K$75,$O19)="","",INDEX(전체!$K$6:$K$75,$O19)))</f>
        <v/>
      </c>
      <c r="K19" s="20" t="str">
        <f aca="false">IF($O19="","",IF(INDEX(전체!$L$6:$L$75,$O19)="","",INDEX(전체!$L$6:$L$75,$O19)))</f>
        <v/>
      </c>
      <c r="L19" s="5" t="str">
        <f aca="false">IF($O19="","",IF(INDEX(전체!$M$6:$M$75,$O19)="","",INDEX(전체!$M$6:$M$75,$O19)))</f>
        <v/>
      </c>
      <c r="M19" s="21" t="str">
        <f aca="false">IF($O19="","",IF(INDEX(전체!$N$6:$N$75,$O19)="","",INDEX(전체!$N$6:$N$75,$O19)))</f>
        <v/>
      </c>
      <c r="N19" s="21" t="str">
        <f aca="false">IF($O19="","",IF(INDEX(전체!$O$6:$O$75,$O19)="","",INDEX(전체!$O$6:$O$75,$O19)))</f>
        <v/>
      </c>
      <c r="O19" s="22" t="str">
        <f aca="false">IFERROR(MATCH($R$2&amp;"|"&amp;15,전체!$P$6:$P$75,0),"")</f>
        <v/>
      </c>
    </row>
    <row r="20" customFormat="false" ht="15" hidden="false" customHeight="false" outlineLevel="0" collapsed="false">
      <c r="A20" s="5" t="str">
        <f aca="false">IF($O20="","",16)</f>
        <v/>
      </c>
      <c r="B20" s="20" t="str">
        <f aca="false">IF($O20="","",IF(INDEX(전체!$C$6:$C$75,$O20)="","",INDEX(전체!$C$6:$C$75,$O20)))</f>
        <v/>
      </c>
      <c r="C20" s="21" t="str">
        <f aca="false">IF($O20="","",IF(INDEX(전체!$D$6:$D$75,$O20)="","",INDEX(전체!$D$6:$D$75,$O20)))</f>
        <v/>
      </c>
      <c r="D20" s="5" t="str">
        <f aca="false">IF($O20="","",IF(INDEX(전체!$E$6:$E$75,$O20)="","",INDEX(전체!$E$6:$E$75,$O20)))</f>
        <v/>
      </c>
      <c r="E20" s="5" t="str">
        <f aca="false">IF($O20="","",IF(INDEX(전체!$F$6:$F$75,$O20)="","",INDEX(전체!$F$6:$F$75,$O20)))</f>
        <v/>
      </c>
      <c r="F20" s="21" t="str">
        <f aca="false">IF($O20="","",IF(INDEX(전체!$G$6:$G$75,$O20)="","",INDEX(전체!$G$6:$G$75,$O20)))</f>
        <v/>
      </c>
      <c r="G20" s="21" t="str">
        <f aca="false">IF($O20="","",IF(INDEX(전체!$H$6:$H$75,$O20)="","",INDEX(전체!$H$6:$H$75,$O20)))</f>
        <v/>
      </c>
      <c r="H20" s="5" t="str">
        <f aca="false">IF($O20="","",IF(INDEX(전체!$I$6:$I$75,$O20)="","",INDEX(전체!$I$6:$I$75,$O20)))</f>
        <v/>
      </c>
      <c r="I20" s="5" t="str">
        <f aca="false">IF($O20="","",IF(INDEX(전체!$J$6:$J$75,$O20)="","",INDEX(전체!$J$6:$J$75,$O20)))</f>
        <v/>
      </c>
      <c r="J20" s="21" t="str">
        <f aca="false">IF($O20="","",IF(INDEX(전체!$K$6:$K$75,$O20)="","",INDEX(전체!$K$6:$K$75,$O20)))</f>
        <v/>
      </c>
      <c r="K20" s="20" t="str">
        <f aca="false">IF($O20="","",IF(INDEX(전체!$L$6:$L$75,$O20)="","",INDEX(전체!$L$6:$L$75,$O20)))</f>
        <v/>
      </c>
      <c r="L20" s="5" t="str">
        <f aca="false">IF($O20="","",IF(INDEX(전체!$M$6:$M$75,$O20)="","",INDEX(전체!$M$6:$M$75,$O20)))</f>
        <v/>
      </c>
      <c r="M20" s="21" t="str">
        <f aca="false">IF($O20="","",IF(INDEX(전체!$N$6:$N$75,$O20)="","",INDEX(전체!$N$6:$N$75,$O20)))</f>
        <v/>
      </c>
      <c r="N20" s="21" t="str">
        <f aca="false">IF($O20="","",IF(INDEX(전체!$O$6:$O$75,$O20)="","",INDEX(전체!$O$6:$O$75,$O20)))</f>
        <v/>
      </c>
      <c r="O20" s="22" t="str">
        <f aca="false">IFERROR(MATCH($R$2&amp;"|"&amp;16,전체!$P$6:$P$75,0),"")</f>
        <v/>
      </c>
    </row>
    <row r="21" customFormat="false" ht="15" hidden="false" customHeight="false" outlineLevel="0" collapsed="false">
      <c r="A21" s="5" t="str">
        <f aca="false">IF($O21="","",17)</f>
        <v/>
      </c>
      <c r="B21" s="20" t="str">
        <f aca="false">IF($O21="","",IF(INDEX(전체!$C$6:$C$75,$O21)="","",INDEX(전체!$C$6:$C$75,$O21)))</f>
        <v/>
      </c>
      <c r="C21" s="21" t="str">
        <f aca="false">IF($O21="","",IF(INDEX(전체!$D$6:$D$75,$O21)="","",INDEX(전체!$D$6:$D$75,$O21)))</f>
        <v/>
      </c>
      <c r="D21" s="5" t="str">
        <f aca="false">IF($O21="","",IF(INDEX(전체!$E$6:$E$75,$O21)="","",INDEX(전체!$E$6:$E$75,$O21)))</f>
        <v/>
      </c>
      <c r="E21" s="5" t="str">
        <f aca="false">IF($O21="","",IF(INDEX(전체!$F$6:$F$75,$O21)="","",INDEX(전체!$F$6:$F$75,$O21)))</f>
        <v/>
      </c>
      <c r="F21" s="21" t="str">
        <f aca="false">IF($O21="","",IF(INDEX(전체!$G$6:$G$75,$O21)="","",INDEX(전체!$G$6:$G$75,$O21)))</f>
        <v/>
      </c>
      <c r="G21" s="21" t="str">
        <f aca="false">IF($O21="","",IF(INDEX(전체!$H$6:$H$75,$O21)="","",INDEX(전체!$H$6:$H$75,$O21)))</f>
        <v/>
      </c>
      <c r="H21" s="5" t="str">
        <f aca="false">IF($O21="","",IF(INDEX(전체!$I$6:$I$75,$O21)="","",INDEX(전체!$I$6:$I$75,$O21)))</f>
        <v/>
      </c>
      <c r="I21" s="5" t="str">
        <f aca="false">IF($O21="","",IF(INDEX(전체!$J$6:$J$75,$O21)="","",INDEX(전체!$J$6:$J$75,$O21)))</f>
        <v/>
      </c>
      <c r="J21" s="21" t="str">
        <f aca="false">IF($O21="","",IF(INDEX(전체!$K$6:$K$75,$O21)="","",INDEX(전체!$K$6:$K$75,$O21)))</f>
        <v/>
      </c>
      <c r="K21" s="20" t="str">
        <f aca="false">IF($O21="","",IF(INDEX(전체!$L$6:$L$75,$O21)="","",INDEX(전체!$L$6:$L$75,$O21)))</f>
        <v/>
      </c>
      <c r="L21" s="5" t="str">
        <f aca="false">IF($O21="","",IF(INDEX(전체!$M$6:$M$75,$O21)="","",INDEX(전체!$M$6:$M$75,$O21)))</f>
        <v/>
      </c>
      <c r="M21" s="21" t="str">
        <f aca="false">IF($O21="","",IF(INDEX(전체!$N$6:$N$75,$O21)="","",INDEX(전체!$N$6:$N$75,$O21)))</f>
        <v/>
      </c>
      <c r="N21" s="21" t="str">
        <f aca="false">IF($O21="","",IF(INDEX(전체!$O$6:$O$75,$O21)="","",INDEX(전체!$O$6:$O$75,$O21)))</f>
        <v/>
      </c>
      <c r="O21" s="22" t="str">
        <f aca="false">IFERROR(MATCH($R$2&amp;"|"&amp;17,전체!$P$6:$P$75,0),"")</f>
        <v/>
      </c>
    </row>
    <row r="22" customFormat="false" ht="15" hidden="false" customHeight="false" outlineLevel="0" collapsed="false">
      <c r="A22" s="5" t="str">
        <f aca="false">IF($O22="","",18)</f>
        <v/>
      </c>
      <c r="B22" s="20" t="str">
        <f aca="false">IF($O22="","",IF(INDEX(전체!$C$6:$C$75,$O22)="","",INDEX(전체!$C$6:$C$75,$O22)))</f>
        <v/>
      </c>
      <c r="C22" s="21" t="str">
        <f aca="false">IF($O22="","",IF(INDEX(전체!$D$6:$D$75,$O22)="","",INDEX(전체!$D$6:$D$75,$O22)))</f>
        <v/>
      </c>
      <c r="D22" s="5" t="str">
        <f aca="false">IF($O22="","",IF(INDEX(전체!$E$6:$E$75,$O22)="","",INDEX(전체!$E$6:$E$75,$O22)))</f>
        <v/>
      </c>
      <c r="E22" s="5" t="str">
        <f aca="false">IF($O22="","",IF(INDEX(전체!$F$6:$F$75,$O22)="","",INDEX(전체!$F$6:$F$75,$O22)))</f>
        <v/>
      </c>
      <c r="F22" s="21" t="str">
        <f aca="false">IF($O22="","",IF(INDEX(전체!$G$6:$G$75,$O22)="","",INDEX(전체!$G$6:$G$75,$O22)))</f>
        <v/>
      </c>
      <c r="G22" s="21" t="str">
        <f aca="false">IF($O22="","",IF(INDEX(전체!$H$6:$H$75,$O22)="","",INDEX(전체!$H$6:$H$75,$O22)))</f>
        <v/>
      </c>
      <c r="H22" s="5" t="str">
        <f aca="false">IF($O22="","",IF(INDEX(전체!$I$6:$I$75,$O22)="","",INDEX(전체!$I$6:$I$75,$O22)))</f>
        <v/>
      </c>
      <c r="I22" s="5" t="str">
        <f aca="false">IF($O22="","",IF(INDEX(전체!$J$6:$J$75,$O22)="","",INDEX(전체!$J$6:$J$75,$O22)))</f>
        <v/>
      </c>
      <c r="J22" s="21" t="str">
        <f aca="false">IF($O22="","",IF(INDEX(전체!$K$6:$K$75,$O22)="","",INDEX(전체!$K$6:$K$75,$O22)))</f>
        <v/>
      </c>
      <c r="K22" s="20" t="str">
        <f aca="false">IF($O22="","",IF(INDEX(전체!$L$6:$L$75,$O22)="","",INDEX(전체!$L$6:$L$75,$O22)))</f>
        <v/>
      </c>
      <c r="L22" s="5" t="str">
        <f aca="false">IF($O22="","",IF(INDEX(전체!$M$6:$M$75,$O22)="","",INDEX(전체!$M$6:$M$75,$O22)))</f>
        <v/>
      </c>
      <c r="M22" s="21" t="str">
        <f aca="false">IF($O22="","",IF(INDEX(전체!$N$6:$N$75,$O22)="","",INDEX(전체!$N$6:$N$75,$O22)))</f>
        <v/>
      </c>
      <c r="N22" s="21" t="str">
        <f aca="false">IF($O22="","",IF(INDEX(전체!$O$6:$O$75,$O22)="","",INDEX(전체!$O$6:$O$75,$O22)))</f>
        <v/>
      </c>
      <c r="O22" s="22" t="str">
        <f aca="false">IFERROR(MATCH($R$2&amp;"|"&amp;18,전체!$P$6:$P$75,0),"")</f>
        <v/>
      </c>
    </row>
    <row r="23" customFormat="false" ht="15" hidden="false" customHeight="false" outlineLevel="0" collapsed="false">
      <c r="A23" s="5" t="str">
        <f aca="false">IF($O23="","",19)</f>
        <v/>
      </c>
      <c r="B23" s="20" t="str">
        <f aca="false">IF($O23="","",IF(INDEX(전체!$C$6:$C$75,$O23)="","",INDEX(전체!$C$6:$C$75,$O23)))</f>
        <v/>
      </c>
      <c r="C23" s="21" t="str">
        <f aca="false">IF($O23="","",IF(INDEX(전체!$D$6:$D$75,$O23)="","",INDEX(전체!$D$6:$D$75,$O23)))</f>
        <v/>
      </c>
      <c r="D23" s="5" t="str">
        <f aca="false">IF($O23="","",IF(INDEX(전체!$E$6:$E$75,$O23)="","",INDEX(전체!$E$6:$E$75,$O23)))</f>
        <v/>
      </c>
      <c r="E23" s="5" t="str">
        <f aca="false">IF($O23="","",IF(INDEX(전체!$F$6:$F$75,$O23)="","",INDEX(전체!$F$6:$F$75,$O23)))</f>
        <v/>
      </c>
      <c r="F23" s="21" t="str">
        <f aca="false">IF($O23="","",IF(INDEX(전체!$G$6:$G$75,$O23)="","",INDEX(전체!$G$6:$G$75,$O23)))</f>
        <v/>
      </c>
      <c r="G23" s="21" t="str">
        <f aca="false">IF($O23="","",IF(INDEX(전체!$H$6:$H$75,$O23)="","",INDEX(전체!$H$6:$H$75,$O23)))</f>
        <v/>
      </c>
      <c r="H23" s="5" t="str">
        <f aca="false">IF($O23="","",IF(INDEX(전체!$I$6:$I$75,$O23)="","",INDEX(전체!$I$6:$I$75,$O23)))</f>
        <v/>
      </c>
      <c r="I23" s="5" t="str">
        <f aca="false">IF($O23="","",IF(INDEX(전체!$J$6:$J$75,$O23)="","",INDEX(전체!$J$6:$J$75,$O23)))</f>
        <v/>
      </c>
      <c r="J23" s="21" t="str">
        <f aca="false">IF($O23="","",IF(INDEX(전체!$K$6:$K$75,$O23)="","",INDEX(전체!$K$6:$K$75,$O23)))</f>
        <v/>
      </c>
      <c r="K23" s="20" t="str">
        <f aca="false">IF($O23="","",IF(INDEX(전체!$L$6:$L$75,$O23)="","",INDEX(전체!$L$6:$L$75,$O23)))</f>
        <v/>
      </c>
      <c r="L23" s="5" t="str">
        <f aca="false">IF($O23="","",IF(INDEX(전체!$M$6:$M$75,$O23)="","",INDEX(전체!$M$6:$M$75,$O23)))</f>
        <v/>
      </c>
      <c r="M23" s="21" t="str">
        <f aca="false">IF($O23="","",IF(INDEX(전체!$N$6:$N$75,$O23)="","",INDEX(전체!$N$6:$N$75,$O23)))</f>
        <v/>
      </c>
      <c r="N23" s="21" t="str">
        <f aca="false">IF($O23="","",IF(INDEX(전체!$O$6:$O$75,$O23)="","",INDEX(전체!$O$6:$O$75,$O23)))</f>
        <v/>
      </c>
      <c r="O23" s="22" t="str">
        <f aca="false">IFERROR(MATCH($R$2&amp;"|"&amp;19,전체!$P$6:$P$75,0),"")</f>
        <v/>
      </c>
    </row>
    <row r="24" customFormat="false" ht="15" hidden="false" customHeight="false" outlineLevel="0" collapsed="false">
      <c r="A24" s="5" t="str">
        <f aca="false">IF($O24="","",20)</f>
        <v/>
      </c>
      <c r="B24" s="20" t="str">
        <f aca="false">IF($O24="","",IF(INDEX(전체!$C$6:$C$75,$O24)="","",INDEX(전체!$C$6:$C$75,$O24)))</f>
        <v/>
      </c>
      <c r="C24" s="21" t="str">
        <f aca="false">IF($O24="","",IF(INDEX(전체!$D$6:$D$75,$O24)="","",INDEX(전체!$D$6:$D$75,$O24)))</f>
        <v/>
      </c>
      <c r="D24" s="5" t="str">
        <f aca="false">IF($O24="","",IF(INDEX(전체!$E$6:$E$75,$O24)="","",INDEX(전체!$E$6:$E$75,$O24)))</f>
        <v/>
      </c>
      <c r="E24" s="5" t="str">
        <f aca="false">IF($O24="","",IF(INDEX(전체!$F$6:$F$75,$O24)="","",INDEX(전체!$F$6:$F$75,$O24)))</f>
        <v/>
      </c>
      <c r="F24" s="21" t="str">
        <f aca="false">IF($O24="","",IF(INDEX(전체!$G$6:$G$75,$O24)="","",INDEX(전체!$G$6:$G$75,$O24)))</f>
        <v/>
      </c>
      <c r="G24" s="21" t="str">
        <f aca="false">IF($O24="","",IF(INDEX(전체!$H$6:$H$75,$O24)="","",INDEX(전체!$H$6:$H$75,$O24)))</f>
        <v/>
      </c>
      <c r="H24" s="5" t="str">
        <f aca="false">IF($O24="","",IF(INDEX(전체!$I$6:$I$75,$O24)="","",INDEX(전체!$I$6:$I$75,$O24)))</f>
        <v/>
      </c>
      <c r="I24" s="5" t="str">
        <f aca="false">IF($O24="","",IF(INDEX(전체!$J$6:$J$75,$O24)="","",INDEX(전체!$J$6:$J$75,$O24)))</f>
        <v/>
      </c>
      <c r="J24" s="21" t="str">
        <f aca="false">IF($O24="","",IF(INDEX(전체!$K$6:$K$75,$O24)="","",INDEX(전체!$K$6:$K$75,$O24)))</f>
        <v/>
      </c>
      <c r="K24" s="20" t="str">
        <f aca="false">IF($O24="","",IF(INDEX(전체!$L$6:$L$75,$O24)="","",INDEX(전체!$L$6:$L$75,$O24)))</f>
        <v/>
      </c>
      <c r="L24" s="5" t="str">
        <f aca="false">IF($O24="","",IF(INDEX(전체!$M$6:$M$75,$O24)="","",INDEX(전체!$M$6:$M$75,$O24)))</f>
        <v/>
      </c>
      <c r="M24" s="21" t="str">
        <f aca="false">IF($O24="","",IF(INDEX(전체!$N$6:$N$75,$O24)="","",INDEX(전체!$N$6:$N$75,$O24)))</f>
        <v/>
      </c>
      <c r="N24" s="21" t="str">
        <f aca="false">IF($O24="","",IF(INDEX(전체!$O$6:$O$75,$O24)="","",INDEX(전체!$O$6:$O$75,$O24)))</f>
        <v/>
      </c>
      <c r="O24" s="22" t="str">
        <f aca="false">IFERROR(MATCH($R$2&amp;"|"&amp;20,전체!$P$6:$P$75,0),"")</f>
        <v/>
      </c>
    </row>
    <row r="25" customFormat="false" ht="15" hidden="false" customHeight="false" outlineLevel="0" collapsed="false">
      <c r="A25" s="5" t="str">
        <f aca="false">IF($O25="","",21)</f>
        <v/>
      </c>
      <c r="B25" s="20" t="str">
        <f aca="false">IF($O25="","",IF(INDEX(전체!$C$6:$C$75,$O25)="","",INDEX(전체!$C$6:$C$75,$O25)))</f>
        <v/>
      </c>
      <c r="C25" s="21" t="str">
        <f aca="false">IF($O25="","",IF(INDEX(전체!$D$6:$D$75,$O25)="","",INDEX(전체!$D$6:$D$75,$O25)))</f>
        <v/>
      </c>
      <c r="D25" s="5" t="str">
        <f aca="false">IF($O25="","",IF(INDEX(전체!$E$6:$E$75,$O25)="","",INDEX(전체!$E$6:$E$75,$O25)))</f>
        <v/>
      </c>
      <c r="E25" s="5" t="str">
        <f aca="false">IF($O25="","",IF(INDEX(전체!$F$6:$F$75,$O25)="","",INDEX(전체!$F$6:$F$75,$O25)))</f>
        <v/>
      </c>
      <c r="F25" s="21" t="str">
        <f aca="false">IF($O25="","",IF(INDEX(전체!$G$6:$G$75,$O25)="","",INDEX(전체!$G$6:$G$75,$O25)))</f>
        <v/>
      </c>
      <c r="G25" s="21" t="str">
        <f aca="false">IF($O25="","",IF(INDEX(전체!$H$6:$H$75,$O25)="","",INDEX(전체!$H$6:$H$75,$O25)))</f>
        <v/>
      </c>
      <c r="H25" s="5" t="str">
        <f aca="false">IF($O25="","",IF(INDEX(전체!$I$6:$I$75,$O25)="","",INDEX(전체!$I$6:$I$75,$O25)))</f>
        <v/>
      </c>
      <c r="I25" s="5" t="str">
        <f aca="false">IF($O25="","",IF(INDEX(전체!$J$6:$J$75,$O25)="","",INDEX(전체!$J$6:$J$75,$O25)))</f>
        <v/>
      </c>
      <c r="J25" s="21" t="str">
        <f aca="false">IF($O25="","",IF(INDEX(전체!$K$6:$K$75,$O25)="","",INDEX(전체!$K$6:$K$75,$O25)))</f>
        <v/>
      </c>
      <c r="K25" s="20" t="str">
        <f aca="false">IF($O25="","",IF(INDEX(전체!$L$6:$L$75,$O25)="","",INDEX(전체!$L$6:$L$75,$O25)))</f>
        <v/>
      </c>
      <c r="L25" s="5" t="str">
        <f aca="false">IF($O25="","",IF(INDEX(전체!$M$6:$M$75,$O25)="","",INDEX(전체!$M$6:$M$75,$O25)))</f>
        <v/>
      </c>
      <c r="M25" s="21" t="str">
        <f aca="false">IF($O25="","",IF(INDEX(전체!$N$6:$N$75,$O25)="","",INDEX(전체!$N$6:$N$75,$O25)))</f>
        <v/>
      </c>
      <c r="N25" s="21" t="str">
        <f aca="false">IF($O25="","",IF(INDEX(전체!$O$6:$O$75,$O25)="","",INDEX(전체!$O$6:$O$75,$O25)))</f>
        <v/>
      </c>
      <c r="O25" s="22" t="str">
        <f aca="false">IFERROR(MATCH($R$2&amp;"|"&amp;21,전체!$P$6:$P$75,0),"")</f>
        <v/>
      </c>
    </row>
    <row r="26" customFormat="false" ht="15" hidden="false" customHeight="false" outlineLevel="0" collapsed="false">
      <c r="A26" s="5" t="str">
        <f aca="false">IF($O26="","",22)</f>
        <v/>
      </c>
      <c r="B26" s="20" t="str">
        <f aca="false">IF($O26="","",IF(INDEX(전체!$C$6:$C$75,$O26)="","",INDEX(전체!$C$6:$C$75,$O26)))</f>
        <v/>
      </c>
      <c r="C26" s="21" t="str">
        <f aca="false">IF($O26="","",IF(INDEX(전체!$D$6:$D$75,$O26)="","",INDEX(전체!$D$6:$D$75,$O26)))</f>
        <v/>
      </c>
      <c r="D26" s="5" t="str">
        <f aca="false">IF($O26="","",IF(INDEX(전체!$E$6:$E$75,$O26)="","",INDEX(전체!$E$6:$E$75,$O26)))</f>
        <v/>
      </c>
      <c r="E26" s="5" t="str">
        <f aca="false">IF($O26="","",IF(INDEX(전체!$F$6:$F$75,$O26)="","",INDEX(전체!$F$6:$F$75,$O26)))</f>
        <v/>
      </c>
      <c r="F26" s="21" t="str">
        <f aca="false">IF($O26="","",IF(INDEX(전체!$G$6:$G$75,$O26)="","",INDEX(전체!$G$6:$G$75,$O26)))</f>
        <v/>
      </c>
      <c r="G26" s="21" t="str">
        <f aca="false">IF($O26="","",IF(INDEX(전체!$H$6:$H$75,$O26)="","",INDEX(전체!$H$6:$H$75,$O26)))</f>
        <v/>
      </c>
      <c r="H26" s="5" t="str">
        <f aca="false">IF($O26="","",IF(INDEX(전체!$I$6:$I$75,$O26)="","",INDEX(전체!$I$6:$I$75,$O26)))</f>
        <v/>
      </c>
      <c r="I26" s="5" t="str">
        <f aca="false">IF($O26="","",IF(INDEX(전체!$J$6:$J$75,$O26)="","",INDEX(전체!$J$6:$J$75,$O26)))</f>
        <v/>
      </c>
      <c r="J26" s="21" t="str">
        <f aca="false">IF($O26="","",IF(INDEX(전체!$K$6:$K$75,$O26)="","",INDEX(전체!$K$6:$K$75,$O26)))</f>
        <v/>
      </c>
      <c r="K26" s="20" t="str">
        <f aca="false">IF($O26="","",IF(INDEX(전체!$L$6:$L$75,$O26)="","",INDEX(전체!$L$6:$L$75,$O26)))</f>
        <v/>
      </c>
      <c r="L26" s="5" t="str">
        <f aca="false">IF($O26="","",IF(INDEX(전체!$M$6:$M$75,$O26)="","",INDEX(전체!$M$6:$M$75,$O26)))</f>
        <v/>
      </c>
      <c r="M26" s="21" t="str">
        <f aca="false">IF($O26="","",IF(INDEX(전체!$N$6:$N$75,$O26)="","",INDEX(전체!$N$6:$N$75,$O26)))</f>
        <v/>
      </c>
      <c r="N26" s="21" t="str">
        <f aca="false">IF($O26="","",IF(INDEX(전체!$O$6:$O$75,$O26)="","",INDEX(전체!$O$6:$O$75,$O26)))</f>
        <v/>
      </c>
      <c r="O26" s="22" t="str">
        <f aca="false">IFERROR(MATCH($R$2&amp;"|"&amp;22,전체!$P$6:$P$75,0),"")</f>
        <v/>
      </c>
    </row>
    <row r="27" customFormat="false" ht="15" hidden="false" customHeight="false" outlineLevel="0" collapsed="false">
      <c r="A27" s="5" t="str">
        <f aca="false">IF($O27="","",23)</f>
        <v/>
      </c>
      <c r="B27" s="20" t="str">
        <f aca="false">IF($O27="","",IF(INDEX(전체!$C$6:$C$75,$O27)="","",INDEX(전체!$C$6:$C$75,$O27)))</f>
        <v/>
      </c>
      <c r="C27" s="21" t="str">
        <f aca="false">IF($O27="","",IF(INDEX(전체!$D$6:$D$75,$O27)="","",INDEX(전체!$D$6:$D$75,$O27)))</f>
        <v/>
      </c>
      <c r="D27" s="5" t="str">
        <f aca="false">IF($O27="","",IF(INDEX(전체!$E$6:$E$75,$O27)="","",INDEX(전체!$E$6:$E$75,$O27)))</f>
        <v/>
      </c>
      <c r="E27" s="5" t="str">
        <f aca="false">IF($O27="","",IF(INDEX(전체!$F$6:$F$75,$O27)="","",INDEX(전체!$F$6:$F$75,$O27)))</f>
        <v/>
      </c>
      <c r="F27" s="21" t="str">
        <f aca="false">IF($O27="","",IF(INDEX(전체!$G$6:$G$75,$O27)="","",INDEX(전체!$G$6:$G$75,$O27)))</f>
        <v/>
      </c>
      <c r="G27" s="21" t="str">
        <f aca="false">IF($O27="","",IF(INDEX(전체!$H$6:$H$75,$O27)="","",INDEX(전체!$H$6:$H$75,$O27)))</f>
        <v/>
      </c>
      <c r="H27" s="5" t="str">
        <f aca="false">IF($O27="","",IF(INDEX(전체!$I$6:$I$75,$O27)="","",INDEX(전체!$I$6:$I$75,$O27)))</f>
        <v/>
      </c>
      <c r="I27" s="5" t="str">
        <f aca="false">IF($O27="","",IF(INDEX(전체!$J$6:$J$75,$O27)="","",INDEX(전체!$J$6:$J$75,$O27)))</f>
        <v/>
      </c>
      <c r="J27" s="21" t="str">
        <f aca="false">IF($O27="","",IF(INDEX(전체!$K$6:$K$75,$O27)="","",INDEX(전체!$K$6:$K$75,$O27)))</f>
        <v/>
      </c>
      <c r="K27" s="20" t="str">
        <f aca="false">IF($O27="","",IF(INDEX(전체!$L$6:$L$75,$O27)="","",INDEX(전체!$L$6:$L$75,$O27)))</f>
        <v/>
      </c>
      <c r="L27" s="5" t="str">
        <f aca="false">IF($O27="","",IF(INDEX(전체!$M$6:$M$75,$O27)="","",INDEX(전체!$M$6:$M$75,$O27)))</f>
        <v/>
      </c>
      <c r="M27" s="21" t="str">
        <f aca="false">IF($O27="","",IF(INDEX(전체!$N$6:$N$75,$O27)="","",INDEX(전체!$N$6:$N$75,$O27)))</f>
        <v/>
      </c>
      <c r="N27" s="21" t="str">
        <f aca="false">IF($O27="","",IF(INDEX(전체!$O$6:$O$75,$O27)="","",INDEX(전체!$O$6:$O$75,$O27)))</f>
        <v/>
      </c>
      <c r="O27" s="22" t="str">
        <f aca="false">IFERROR(MATCH($R$2&amp;"|"&amp;23,전체!$P$6:$P$75,0),"")</f>
        <v/>
      </c>
    </row>
    <row r="28" customFormat="false" ht="15" hidden="false" customHeight="false" outlineLevel="0" collapsed="false">
      <c r="A28" s="5" t="str">
        <f aca="false">IF($O28="","",24)</f>
        <v/>
      </c>
      <c r="B28" s="20" t="str">
        <f aca="false">IF($O28="","",IF(INDEX(전체!$C$6:$C$75,$O28)="","",INDEX(전체!$C$6:$C$75,$O28)))</f>
        <v/>
      </c>
      <c r="C28" s="21" t="str">
        <f aca="false">IF($O28="","",IF(INDEX(전체!$D$6:$D$75,$O28)="","",INDEX(전체!$D$6:$D$75,$O28)))</f>
        <v/>
      </c>
      <c r="D28" s="5" t="str">
        <f aca="false">IF($O28="","",IF(INDEX(전체!$E$6:$E$75,$O28)="","",INDEX(전체!$E$6:$E$75,$O28)))</f>
        <v/>
      </c>
      <c r="E28" s="5" t="str">
        <f aca="false">IF($O28="","",IF(INDEX(전체!$F$6:$F$75,$O28)="","",INDEX(전체!$F$6:$F$75,$O28)))</f>
        <v/>
      </c>
      <c r="F28" s="21" t="str">
        <f aca="false">IF($O28="","",IF(INDEX(전체!$G$6:$G$75,$O28)="","",INDEX(전체!$G$6:$G$75,$O28)))</f>
        <v/>
      </c>
      <c r="G28" s="21" t="str">
        <f aca="false">IF($O28="","",IF(INDEX(전체!$H$6:$H$75,$O28)="","",INDEX(전체!$H$6:$H$75,$O28)))</f>
        <v/>
      </c>
      <c r="H28" s="5" t="str">
        <f aca="false">IF($O28="","",IF(INDEX(전체!$I$6:$I$75,$O28)="","",INDEX(전체!$I$6:$I$75,$O28)))</f>
        <v/>
      </c>
      <c r="I28" s="5" t="str">
        <f aca="false">IF($O28="","",IF(INDEX(전체!$J$6:$J$75,$O28)="","",INDEX(전체!$J$6:$J$75,$O28)))</f>
        <v/>
      </c>
      <c r="J28" s="21" t="str">
        <f aca="false">IF($O28="","",IF(INDEX(전체!$K$6:$K$75,$O28)="","",INDEX(전체!$K$6:$K$75,$O28)))</f>
        <v/>
      </c>
      <c r="K28" s="20" t="str">
        <f aca="false">IF($O28="","",IF(INDEX(전체!$L$6:$L$75,$O28)="","",INDEX(전체!$L$6:$L$75,$O28)))</f>
        <v/>
      </c>
      <c r="L28" s="5" t="str">
        <f aca="false">IF($O28="","",IF(INDEX(전체!$M$6:$M$75,$O28)="","",INDEX(전체!$M$6:$M$75,$O28)))</f>
        <v/>
      </c>
      <c r="M28" s="21" t="str">
        <f aca="false">IF($O28="","",IF(INDEX(전체!$N$6:$N$75,$O28)="","",INDEX(전체!$N$6:$N$75,$O28)))</f>
        <v/>
      </c>
      <c r="N28" s="21" t="str">
        <f aca="false">IF($O28="","",IF(INDEX(전체!$O$6:$O$75,$O28)="","",INDEX(전체!$O$6:$O$75,$O28)))</f>
        <v/>
      </c>
      <c r="O28" s="22" t="str">
        <f aca="false">IFERROR(MATCH($R$2&amp;"|"&amp;24,전체!$P$6:$P$75,0),"")</f>
        <v/>
      </c>
    </row>
    <row r="29" customFormat="false" ht="15" hidden="false" customHeight="false" outlineLevel="0" collapsed="false">
      <c r="A29" s="5" t="str">
        <f aca="false">IF($O29="","",25)</f>
        <v/>
      </c>
      <c r="B29" s="20" t="str">
        <f aca="false">IF($O29="","",IF(INDEX(전체!$C$6:$C$75,$O29)="","",INDEX(전체!$C$6:$C$75,$O29)))</f>
        <v/>
      </c>
      <c r="C29" s="21" t="str">
        <f aca="false">IF($O29="","",IF(INDEX(전체!$D$6:$D$75,$O29)="","",INDEX(전체!$D$6:$D$75,$O29)))</f>
        <v/>
      </c>
      <c r="D29" s="5" t="str">
        <f aca="false">IF($O29="","",IF(INDEX(전체!$E$6:$E$75,$O29)="","",INDEX(전체!$E$6:$E$75,$O29)))</f>
        <v/>
      </c>
      <c r="E29" s="5" t="str">
        <f aca="false">IF($O29="","",IF(INDEX(전체!$F$6:$F$75,$O29)="","",INDEX(전체!$F$6:$F$75,$O29)))</f>
        <v/>
      </c>
      <c r="F29" s="21" t="str">
        <f aca="false">IF($O29="","",IF(INDEX(전체!$G$6:$G$75,$O29)="","",INDEX(전체!$G$6:$G$75,$O29)))</f>
        <v/>
      </c>
      <c r="G29" s="21" t="str">
        <f aca="false">IF($O29="","",IF(INDEX(전체!$H$6:$H$75,$O29)="","",INDEX(전체!$H$6:$H$75,$O29)))</f>
        <v/>
      </c>
      <c r="H29" s="5" t="str">
        <f aca="false">IF($O29="","",IF(INDEX(전체!$I$6:$I$75,$O29)="","",INDEX(전체!$I$6:$I$75,$O29)))</f>
        <v/>
      </c>
      <c r="I29" s="5" t="str">
        <f aca="false">IF($O29="","",IF(INDEX(전체!$J$6:$J$75,$O29)="","",INDEX(전체!$J$6:$J$75,$O29)))</f>
        <v/>
      </c>
      <c r="J29" s="21" t="str">
        <f aca="false">IF($O29="","",IF(INDEX(전체!$K$6:$K$75,$O29)="","",INDEX(전체!$K$6:$K$75,$O29)))</f>
        <v/>
      </c>
      <c r="K29" s="20" t="str">
        <f aca="false">IF($O29="","",IF(INDEX(전체!$L$6:$L$75,$O29)="","",INDEX(전체!$L$6:$L$75,$O29)))</f>
        <v/>
      </c>
      <c r="L29" s="5" t="str">
        <f aca="false">IF($O29="","",IF(INDEX(전체!$M$6:$M$75,$O29)="","",INDEX(전체!$M$6:$M$75,$O29)))</f>
        <v/>
      </c>
      <c r="M29" s="21" t="str">
        <f aca="false">IF($O29="","",IF(INDEX(전체!$N$6:$N$75,$O29)="","",INDEX(전체!$N$6:$N$75,$O29)))</f>
        <v/>
      </c>
      <c r="N29" s="21" t="str">
        <f aca="false">IF($O29="","",IF(INDEX(전체!$O$6:$O$75,$O29)="","",INDEX(전체!$O$6:$O$75,$O29)))</f>
        <v/>
      </c>
      <c r="O29" s="22" t="str">
        <f aca="false">IFERROR(MATCH($R$2&amp;"|"&amp;25,전체!$P$6:$P$75,0),"")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CBAD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6"/>
  </cols>
  <sheetData>
    <row r="1" customFormat="false" ht="20.1" hidden="false" customHeight="false" outlineLevel="0" collapsed="false">
      <c r="A1" s="1" t="s">
        <v>257</v>
      </c>
      <c r="C1" s="16" t="str">
        <f aca="false">COUNTIF(전체!$B$6:$B$75,"고기·족발")&amp;"곳"</f>
        <v>3곳</v>
      </c>
    </row>
    <row r="2" customFormat="false" ht="15" hidden="false" customHeight="false" outlineLevel="0" collapsed="false">
      <c r="A2" s="17" t="s">
        <v>255</v>
      </c>
      <c r="R2" s="18" t="s">
        <v>258</v>
      </c>
    </row>
    <row r="4" customFormat="false" ht="39.55" hidden="false" customHeight="false" outlineLevel="0" collapsed="false">
      <c r="A4" s="3" t="s">
        <v>3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19" t="s">
        <v>256</v>
      </c>
    </row>
    <row r="5" customFormat="false" ht="26.85" hidden="false" customHeight="false" outlineLevel="0" collapsed="false">
      <c r="A5" s="5" t="n">
        <f aca="false">IF($O5="","",1)</f>
        <v>1</v>
      </c>
      <c r="B5" s="20" t="str">
        <f aca="false">IF($O5="","",IF(INDEX(전체!$C$6:$C$75,$O5)="","",INDEX(전체!$C$6:$C$75,$O5)))</f>
        <v>국제상인 짬뽕족발</v>
      </c>
      <c r="C5" s="21" t="str">
        <f aca="false">IF($O5="","",IF(INDEX(전체!$D$6:$D$75,$O5)="","",INDEX(전체!$D$6:$D$75,$O5)))</f>
        <v>족발,보쌈</v>
      </c>
      <c r="D5" s="5" t="str">
        <f aca="false">IF($O5="","",IF(INDEX(전체!$E$6:$E$75,$O5)="","",INDEX(전체!$E$6:$E$75,$O5)))</f>
        <v>브레이크타임</v>
      </c>
      <c r="E5" s="5" t="str">
        <f aca="false">IF($O5="","",IF(INDEX(전체!$F$6:$F$75,$O5)="","",INDEX(전체!$F$6:$F$75,$O5)))</f>
        <v/>
      </c>
      <c r="F5" s="21" t="str">
        <f aca="false">IF($O5="","",IF(INDEX(전체!$G$6:$G$75,$O5)="","",INDEX(전체!$G$6:$G$75,$O5)))</f>
        <v>부산 중구 중앙동4가 29-8</v>
      </c>
      <c r="G5" s="21" t="str">
        <f aca="false">IF($O5="","",IF(INDEX(전체!$H$6:$H$75,$O5)="","",INDEX(전체!$H$6:$H$75,$O5)))</f>
        <v/>
      </c>
      <c r="H5" s="5" t="str">
        <f aca="false">IF($O5="","",IF(INDEX(전체!$I$6:$I$75,$O5)="","",INDEX(전체!$I$6:$I$75,$O5)))</f>
        <v/>
      </c>
      <c r="I5" s="5" t="str">
        <f aca="false">IF($O5="","",IF(INDEX(전체!$J$6:$J$75,$O5)="","",INDEX(전체!$J$6:$J$75,$O5)))</f>
        <v/>
      </c>
      <c r="J5" s="21" t="str">
        <f aca="false">IF($O5="","",IF(INDEX(전체!$K$6:$K$75,$O5)="","",INDEX(전체!$K$6:$K$75,$O5)))</f>
        <v/>
      </c>
      <c r="K5" s="20" t="str">
        <f aca="false">IF($O5="","",IF(INDEX(전체!$L$6:$L$75,$O5)="","",INDEX(전체!$L$6:$L$75,$O5)))</f>
        <v>족발·보쌈</v>
      </c>
      <c r="L5" s="5" t="str">
        <f aca="false">IF($O5="","",IF(INDEX(전체!$M$6:$M$75,$O5)="","",INDEX(전체!$M$6:$M$75,$O5)))</f>
        <v>소 28,000~35,000</v>
      </c>
      <c r="M5" s="21" t="str">
        <f aca="false">IF($O5="","",IF(INDEX(전체!$N$6:$N$75,$O5)="","",INDEX(전체!$N$6:$N$75,$O5)))</f>
        <v>족발·보쌈 전문점 (브레이크타임 있음)</v>
      </c>
      <c r="N5" s="21" t="str">
        <f aca="false">IF($O5="","",IF(INDEX(전체!$O$6:$O$75,$O5)="","",INDEX(전체!$O$6:$O$75,$O5)))</f>
        <v/>
      </c>
      <c r="O5" s="22" t="n">
        <f aca="false">IFERROR(MATCH($R$2&amp;"|"&amp;1,전체!$P$6:$P$75,0),"")</f>
        <v>5</v>
      </c>
    </row>
    <row r="6" customFormat="false" ht="15" hidden="false" customHeight="false" outlineLevel="0" collapsed="false">
      <c r="A6" s="5" t="n">
        <f aca="false">IF($O6="","",2)</f>
        <v>2</v>
      </c>
      <c r="B6" s="20" t="str">
        <f aca="false">IF($O6="","",IF(INDEX(전체!$C$6:$C$75,$O6)="","",INDEX(전체!$C$6:$C$75,$O6)))</f>
        <v>참숯생갈비</v>
      </c>
      <c r="C6" s="21" t="str">
        <f aca="false">IF($O6="","",IF(INDEX(전체!$D$6:$D$75,$O6)="","",INDEX(전체!$D$6:$D$75,$O6)))</f>
        <v>육류,고기요리</v>
      </c>
      <c r="D6" s="5" t="str">
        <f aca="false">IF($O6="","",IF(INDEX(전체!$E$6:$E$75,$O6)="","",INDEX(전체!$E$6:$E$75,$O6)))</f>
        <v>영업 중</v>
      </c>
      <c r="E6" s="5" t="str">
        <f aca="false">IF($O6="","",IF(INDEX(전체!$F$6:$F$75,$O6)="","",INDEX(전체!$F$6:$F$75,$O6)))</f>
        <v/>
      </c>
      <c r="F6" s="21" t="str">
        <f aca="false">IF($O6="","",IF(INDEX(전체!$G$6:$G$75,$O6)="","",INDEX(전체!$G$6:$G$75,$O6)))</f>
        <v>부산 중구 중앙동5가 1-18</v>
      </c>
      <c r="G6" s="21" t="str">
        <f aca="false">IF($O6="","",IF(INDEX(전체!$H$6:$H$75,$O6)="","",INDEX(전체!$H$6:$H$75,$O6)))</f>
        <v/>
      </c>
      <c r="H6" s="5" t="str">
        <f aca="false">IF($O6="","",IF(INDEX(전체!$I$6:$I$75,$O6)="","",INDEX(전체!$I$6:$I$75,$O6)))</f>
        <v/>
      </c>
      <c r="I6" s="5" t="str">
        <f aca="false">IF($O6="","",IF(INDEX(전체!$J$6:$J$75,$O6)="","",INDEX(전체!$J$6:$J$75,$O6)))</f>
        <v/>
      </c>
      <c r="J6" s="21" t="str">
        <f aca="false">IF($O6="","",IF(INDEX(전체!$K$6:$K$75,$O6)="","",INDEX(전체!$K$6:$K$75,$O6)))</f>
        <v/>
      </c>
      <c r="K6" s="20" t="str">
        <f aca="false">IF($O6="","",IF(INDEX(전체!$L$6:$L$75,$O6)="","",INDEX(전체!$L$6:$L$75,$O6)))</f>
        <v>생갈비 (1인분)</v>
      </c>
      <c r="L6" s="5" t="str">
        <f aca="false">IF($O6="","",IF(INDEX(전체!$M$6:$M$75,$O6)="","",INDEX(전체!$M$6:$M$75,$O6)))</f>
        <v>25,000~35,000</v>
      </c>
      <c r="M6" s="21" t="str">
        <f aca="false">IF($O6="","",IF(INDEX(전체!$N$6:$N$75,$O6)="","",INDEX(전체!$N$6:$N$75,$O6)))</f>
        <v>참숯 고기구이 전문점 (육류·고기요리)</v>
      </c>
      <c r="N6" s="21" t="str">
        <f aca="false">IF($O6="","",IF(INDEX(전체!$O$6:$O$75,$O6)="","",INDEX(전체!$O$6:$O$75,$O6)))</f>
        <v/>
      </c>
      <c r="O6" s="22" t="n">
        <f aca="false">IFERROR(MATCH($R$2&amp;"|"&amp;2,전체!$P$6:$P$75,0),"")</f>
        <v>21</v>
      </c>
    </row>
    <row r="7" customFormat="false" ht="26.85" hidden="false" customHeight="false" outlineLevel="0" collapsed="false">
      <c r="A7" s="5" t="n">
        <f aca="false">IF($O7="","",3)</f>
        <v>3</v>
      </c>
      <c r="B7" s="20" t="str">
        <f aca="false">IF($O7="","",IF(INDEX(전체!$C$6:$C$75,$O7)="","",INDEX(전체!$C$6:$C$75,$O7)))</f>
        <v>홍가네</v>
      </c>
      <c r="C7" s="21" t="str">
        <f aca="false">IF($O7="","",IF(INDEX(전체!$D$6:$D$75,$O7)="","",INDEX(전체!$D$6:$D$75,$O7)))</f>
        <v>육류,고기요리</v>
      </c>
      <c r="D7" s="5" t="str">
        <f aca="false">IF($O7="","",IF(INDEX(전체!$E$6:$E$75,$O7)="","",INDEX(전체!$E$6:$E$75,$O7)))</f>
        <v>브레이크타임</v>
      </c>
      <c r="E7" s="5" t="str">
        <f aca="false">IF($O7="","",IF(INDEX(전체!$F$6:$F$75,$O7)="","",INDEX(전체!$F$6:$F$75,$O7)))</f>
        <v/>
      </c>
      <c r="F7" s="21" t="str">
        <f aca="false">IF($O7="","",IF(INDEX(전체!$G$6:$G$75,$O7)="","",INDEX(전체!$G$6:$G$75,$O7)))</f>
        <v>부산 중구 해관로 31</v>
      </c>
      <c r="G7" s="21" t="str">
        <f aca="false">IF($O7="","",IF(INDEX(전체!$H$6:$H$75,$O7)="","",INDEX(전체!$H$6:$H$75,$O7)))</f>
        <v>1,2층</v>
      </c>
      <c r="H7" s="5" t="str">
        <f aca="false">IF($O7="","",IF(INDEX(전체!$I$6:$I$75,$O7)="","",INDEX(전체!$I$6:$I$75,$O7)))</f>
        <v/>
      </c>
      <c r="I7" s="5" t="str">
        <f aca="false">IF($O7="","",IF(INDEX(전체!$J$6:$J$75,$O7)="","",INDEX(전체!$J$6:$J$75,$O7)))</f>
        <v>★4.8 (리뷰 265)</v>
      </c>
      <c r="J7" s="21" t="str">
        <f aca="false">IF($O7="","",IF(INDEX(전체!$K$6:$K$75,$O7)="","",INDEX(전체!$K$6:$K$75,$O7)))</f>
        <v/>
      </c>
      <c r="K7" s="20" t="str">
        <f aca="false">IF($O7="","",IF(INDEX(전체!$L$6:$L$75,$O7)="","",INDEX(전체!$L$6:$L$75,$O7)))</f>
        <v>언양불고기 (200g)</v>
      </c>
      <c r="L7" s="5" t="str">
        <f aca="false">IF($O7="","",IF(INDEX(전체!$M$6:$M$75,$O7)="","",INDEX(전체!$M$6:$M$75,$O7)))</f>
        <v>18,000 (200g)</v>
      </c>
      <c r="M7" s="21" t="str">
        <f aca="false">IF($O7="","",IF(INDEX(전체!$N$6:$N$75,$O7)="","",INDEX(전체!$N$6:$N$75,$O7)))</f>
        <v>점심특선 언양불고기 · ₩18,000 (200g)</v>
      </c>
      <c r="N7" s="21" t="str">
        <f aca="false">IF($O7="","",IF(INDEX(전체!$O$6:$O$75,$O7)="","",INDEX(전체!$O$6:$O$75,$O7)))</f>
        <v>17:00 영업 시작 / 중앙역 1번 출구 175m</v>
      </c>
      <c r="O7" s="22" t="n">
        <f aca="false">IFERROR(MATCH($R$2&amp;"|"&amp;3,전체!$P$6:$P$75,0),"")</f>
        <v>28</v>
      </c>
    </row>
    <row r="8" customFormat="false" ht="15" hidden="false" customHeight="false" outlineLevel="0" collapsed="false">
      <c r="A8" s="5" t="str">
        <f aca="false">IF($O8="","",4)</f>
        <v/>
      </c>
      <c r="B8" s="20" t="str">
        <f aca="false">IF($O8="","",IF(INDEX(전체!$C$6:$C$75,$O8)="","",INDEX(전체!$C$6:$C$75,$O8)))</f>
        <v/>
      </c>
      <c r="C8" s="21" t="str">
        <f aca="false">IF($O8="","",IF(INDEX(전체!$D$6:$D$75,$O8)="","",INDEX(전체!$D$6:$D$75,$O8)))</f>
        <v/>
      </c>
      <c r="D8" s="5" t="str">
        <f aca="false">IF($O8="","",IF(INDEX(전체!$E$6:$E$75,$O8)="","",INDEX(전체!$E$6:$E$75,$O8)))</f>
        <v/>
      </c>
      <c r="E8" s="5" t="str">
        <f aca="false">IF($O8="","",IF(INDEX(전체!$F$6:$F$75,$O8)="","",INDEX(전체!$F$6:$F$75,$O8)))</f>
        <v/>
      </c>
      <c r="F8" s="21" t="str">
        <f aca="false">IF($O8="","",IF(INDEX(전체!$G$6:$G$75,$O8)="","",INDEX(전체!$G$6:$G$75,$O8)))</f>
        <v/>
      </c>
      <c r="G8" s="21" t="str">
        <f aca="false">IF($O8="","",IF(INDEX(전체!$H$6:$H$75,$O8)="","",INDEX(전체!$H$6:$H$75,$O8)))</f>
        <v/>
      </c>
      <c r="H8" s="5" t="str">
        <f aca="false">IF($O8="","",IF(INDEX(전체!$I$6:$I$75,$O8)="","",INDEX(전체!$I$6:$I$75,$O8)))</f>
        <v/>
      </c>
      <c r="I8" s="5" t="str">
        <f aca="false">IF($O8="","",IF(INDEX(전체!$J$6:$J$75,$O8)="","",INDEX(전체!$J$6:$J$75,$O8)))</f>
        <v/>
      </c>
      <c r="J8" s="21" t="str">
        <f aca="false">IF($O8="","",IF(INDEX(전체!$K$6:$K$75,$O8)="","",INDEX(전체!$K$6:$K$75,$O8)))</f>
        <v/>
      </c>
      <c r="K8" s="20" t="str">
        <f aca="false">IF($O8="","",IF(INDEX(전체!$L$6:$L$75,$O8)="","",INDEX(전체!$L$6:$L$75,$O8)))</f>
        <v/>
      </c>
      <c r="L8" s="5" t="str">
        <f aca="false">IF($O8="","",IF(INDEX(전체!$M$6:$M$75,$O8)="","",INDEX(전체!$M$6:$M$75,$O8)))</f>
        <v/>
      </c>
      <c r="M8" s="21" t="str">
        <f aca="false">IF($O8="","",IF(INDEX(전체!$N$6:$N$75,$O8)="","",INDEX(전체!$N$6:$N$75,$O8)))</f>
        <v/>
      </c>
      <c r="N8" s="21" t="str">
        <f aca="false">IF($O8="","",IF(INDEX(전체!$O$6:$O$75,$O8)="","",INDEX(전체!$O$6:$O$75,$O8)))</f>
        <v/>
      </c>
      <c r="O8" s="22" t="str">
        <f aca="false">IFERROR(MATCH($R$2&amp;"|"&amp;4,전체!$P$6:$P$75,0),"")</f>
        <v/>
      </c>
    </row>
    <row r="9" customFormat="false" ht="15" hidden="false" customHeight="false" outlineLevel="0" collapsed="false">
      <c r="A9" s="5" t="str">
        <f aca="false">IF($O9="","",5)</f>
        <v/>
      </c>
      <c r="B9" s="20" t="str">
        <f aca="false">IF($O9="","",IF(INDEX(전체!$C$6:$C$75,$O9)="","",INDEX(전체!$C$6:$C$75,$O9)))</f>
        <v/>
      </c>
      <c r="C9" s="21" t="str">
        <f aca="false">IF($O9="","",IF(INDEX(전체!$D$6:$D$75,$O9)="","",INDEX(전체!$D$6:$D$75,$O9)))</f>
        <v/>
      </c>
      <c r="D9" s="5" t="str">
        <f aca="false">IF($O9="","",IF(INDEX(전체!$E$6:$E$75,$O9)="","",INDEX(전체!$E$6:$E$75,$O9)))</f>
        <v/>
      </c>
      <c r="E9" s="5" t="str">
        <f aca="false">IF($O9="","",IF(INDEX(전체!$F$6:$F$75,$O9)="","",INDEX(전체!$F$6:$F$75,$O9)))</f>
        <v/>
      </c>
      <c r="F9" s="21" t="str">
        <f aca="false">IF($O9="","",IF(INDEX(전체!$G$6:$G$75,$O9)="","",INDEX(전체!$G$6:$G$75,$O9)))</f>
        <v/>
      </c>
      <c r="G9" s="21" t="str">
        <f aca="false">IF($O9="","",IF(INDEX(전체!$H$6:$H$75,$O9)="","",INDEX(전체!$H$6:$H$75,$O9)))</f>
        <v/>
      </c>
      <c r="H9" s="5" t="str">
        <f aca="false">IF($O9="","",IF(INDEX(전체!$I$6:$I$75,$O9)="","",INDEX(전체!$I$6:$I$75,$O9)))</f>
        <v/>
      </c>
      <c r="I9" s="5" t="str">
        <f aca="false">IF($O9="","",IF(INDEX(전체!$J$6:$J$75,$O9)="","",INDEX(전체!$J$6:$J$75,$O9)))</f>
        <v/>
      </c>
      <c r="J9" s="21" t="str">
        <f aca="false">IF($O9="","",IF(INDEX(전체!$K$6:$K$75,$O9)="","",INDEX(전체!$K$6:$K$75,$O9)))</f>
        <v/>
      </c>
      <c r="K9" s="20" t="str">
        <f aca="false">IF($O9="","",IF(INDEX(전체!$L$6:$L$75,$O9)="","",INDEX(전체!$L$6:$L$75,$O9)))</f>
        <v/>
      </c>
      <c r="L9" s="5" t="str">
        <f aca="false">IF($O9="","",IF(INDEX(전체!$M$6:$M$75,$O9)="","",INDEX(전체!$M$6:$M$75,$O9)))</f>
        <v/>
      </c>
      <c r="M9" s="21" t="str">
        <f aca="false">IF($O9="","",IF(INDEX(전체!$N$6:$N$75,$O9)="","",INDEX(전체!$N$6:$N$75,$O9)))</f>
        <v/>
      </c>
      <c r="N9" s="21" t="str">
        <f aca="false">IF($O9="","",IF(INDEX(전체!$O$6:$O$75,$O9)="","",INDEX(전체!$O$6:$O$75,$O9)))</f>
        <v/>
      </c>
      <c r="O9" s="22" t="str">
        <f aca="false">IFERROR(MATCH($R$2&amp;"|"&amp;5,전체!$P$6:$P$75,0),"")</f>
        <v/>
      </c>
    </row>
    <row r="10" customFormat="false" ht="15" hidden="false" customHeight="false" outlineLevel="0" collapsed="false">
      <c r="A10" s="5" t="str">
        <f aca="false">IF($O10="","",6)</f>
        <v/>
      </c>
      <c r="B10" s="20" t="str">
        <f aca="false">IF($O10="","",IF(INDEX(전체!$C$6:$C$75,$O10)="","",INDEX(전체!$C$6:$C$75,$O10)))</f>
        <v/>
      </c>
      <c r="C10" s="21" t="str">
        <f aca="false">IF($O10="","",IF(INDEX(전체!$D$6:$D$75,$O10)="","",INDEX(전체!$D$6:$D$75,$O10)))</f>
        <v/>
      </c>
      <c r="D10" s="5" t="str">
        <f aca="false">IF($O10="","",IF(INDEX(전체!$E$6:$E$75,$O10)="","",INDEX(전체!$E$6:$E$75,$O10)))</f>
        <v/>
      </c>
      <c r="E10" s="5" t="str">
        <f aca="false">IF($O10="","",IF(INDEX(전체!$F$6:$F$75,$O10)="","",INDEX(전체!$F$6:$F$75,$O10)))</f>
        <v/>
      </c>
      <c r="F10" s="21" t="str">
        <f aca="false">IF($O10="","",IF(INDEX(전체!$G$6:$G$75,$O10)="","",INDEX(전체!$G$6:$G$75,$O10)))</f>
        <v/>
      </c>
      <c r="G10" s="21" t="str">
        <f aca="false">IF($O10="","",IF(INDEX(전체!$H$6:$H$75,$O10)="","",INDEX(전체!$H$6:$H$75,$O10)))</f>
        <v/>
      </c>
      <c r="H10" s="5" t="str">
        <f aca="false">IF($O10="","",IF(INDEX(전체!$I$6:$I$75,$O10)="","",INDEX(전체!$I$6:$I$75,$O10)))</f>
        <v/>
      </c>
      <c r="I10" s="5" t="str">
        <f aca="false">IF($O10="","",IF(INDEX(전체!$J$6:$J$75,$O10)="","",INDEX(전체!$J$6:$J$75,$O10)))</f>
        <v/>
      </c>
      <c r="J10" s="21" t="str">
        <f aca="false">IF($O10="","",IF(INDEX(전체!$K$6:$K$75,$O10)="","",INDEX(전체!$K$6:$K$75,$O10)))</f>
        <v/>
      </c>
      <c r="K10" s="20" t="str">
        <f aca="false">IF($O10="","",IF(INDEX(전체!$L$6:$L$75,$O10)="","",INDEX(전체!$L$6:$L$75,$O10)))</f>
        <v/>
      </c>
      <c r="L10" s="5" t="str">
        <f aca="false">IF($O10="","",IF(INDEX(전체!$M$6:$M$75,$O10)="","",INDEX(전체!$M$6:$M$75,$O10)))</f>
        <v/>
      </c>
      <c r="M10" s="21" t="str">
        <f aca="false">IF($O10="","",IF(INDEX(전체!$N$6:$N$75,$O10)="","",INDEX(전체!$N$6:$N$75,$O10)))</f>
        <v/>
      </c>
      <c r="N10" s="21" t="str">
        <f aca="false">IF($O10="","",IF(INDEX(전체!$O$6:$O$75,$O10)="","",INDEX(전체!$O$6:$O$75,$O10)))</f>
        <v/>
      </c>
      <c r="O10" s="22" t="str">
        <f aca="false">IFERROR(MATCH($R$2&amp;"|"&amp;6,전체!$P$6:$P$75,0),"")</f>
        <v/>
      </c>
    </row>
    <row r="11" customFormat="false" ht="15" hidden="false" customHeight="false" outlineLevel="0" collapsed="false">
      <c r="A11" s="5" t="str">
        <f aca="false">IF($O11="","",7)</f>
        <v/>
      </c>
      <c r="B11" s="20" t="str">
        <f aca="false">IF($O11="","",IF(INDEX(전체!$C$6:$C$75,$O11)="","",INDEX(전체!$C$6:$C$75,$O11)))</f>
        <v/>
      </c>
      <c r="C11" s="21" t="str">
        <f aca="false">IF($O11="","",IF(INDEX(전체!$D$6:$D$75,$O11)="","",INDEX(전체!$D$6:$D$75,$O11)))</f>
        <v/>
      </c>
      <c r="D11" s="5" t="str">
        <f aca="false">IF($O11="","",IF(INDEX(전체!$E$6:$E$75,$O11)="","",INDEX(전체!$E$6:$E$75,$O11)))</f>
        <v/>
      </c>
      <c r="E11" s="5" t="str">
        <f aca="false">IF($O11="","",IF(INDEX(전체!$F$6:$F$75,$O11)="","",INDEX(전체!$F$6:$F$75,$O11)))</f>
        <v/>
      </c>
      <c r="F11" s="21" t="str">
        <f aca="false">IF($O11="","",IF(INDEX(전체!$G$6:$G$75,$O11)="","",INDEX(전체!$G$6:$G$75,$O11)))</f>
        <v/>
      </c>
      <c r="G11" s="21" t="str">
        <f aca="false">IF($O11="","",IF(INDEX(전체!$H$6:$H$75,$O11)="","",INDEX(전체!$H$6:$H$75,$O11)))</f>
        <v/>
      </c>
      <c r="H11" s="5" t="str">
        <f aca="false">IF($O11="","",IF(INDEX(전체!$I$6:$I$75,$O11)="","",INDEX(전체!$I$6:$I$75,$O11)))</f>
        <v/>
      </c>
      <c r="I11" s="5" t="str">
        <f aca="false">IF($O11="","",IF(INDEX(전체!$J$6:$J$75,$O11)="","",INDEX(전체!$J$6:$J$75,$O11)))</f>
        <v/>
      </c>
      <c r="J11" s="21" t="str">
        <f aca="false">IF($O11="","",IF(INDEX(전체!$K$6:$K$75,$O11)="","",INDEX(전체!$K$6:$K$75,$O11)))</f>
        <v/>
      </c>
      <c r="K11" s="20" t="str">
        <f aca="false">IF($O11="","",IF(INDEX(전체!$L$6:$L$75,$O11)="","",INDEX(전체!$L$6:$L$75,$O11)))</f>
        <v/>
      </c>
      <c r="L11" s="5" t="str">
        <f aca="false">IF($O11="","",IF(INDEX(전체!$M$6:$M$75,$O11)="","",INDEX(전체!$M$6:$M$75,$O11)))</f>
        <v/>
      </c>
      <c r="M11" s="21" t="str">
        <f aca="false">IF($O11="","",IF(INDEX(전체!$N$6:$N$75,$O11)="","",INDEX(전체!$N$6:$N$75,$O11)))</f>
        <v/>
      </c>
      <c r="N11" s="21" t="str">
        <f aca="false">IF($O11="","",IF(INDEX(전체!$O$6:$O$75,$O11)="","",INDEX(전체!$O$6:$O$75,$O11)))</f>
        <v/>
      </c>
      <c r="O11" s="22" t="str">
        <f aca="false">IFERROR(MATCH($R$2&amp;"|"&amp;7,전체!$P$6:$P$75,0),"")</f>
        <v/>
      </c>
    </row>
    <row r="12" customFormat="false" ht="15" hidden="false" customHeight="false" outlineLevel="0" collapsed="false">
      <c r="A12" s="5" t="str">
        <f aca="false">IF($O12="","",8)</f>
        <v/>
      </c>
      <c r="B12" s="20" t="str">
        <f aca="false">IF($O12="","",IF(INDEX(전체!$C$6:$C$75,$O12)="","",INDEX(전체!$C$6:$C$75,$O12)))</f>
        <v/>
      </c>
      <c r="C12" s="21" t="str">
        <f aca="false">IF($O12="","",IF(INDEX(전체!$D$6:$D$75,$O12)="","",INDEX(전체!$D$6:$D$75,$O12)))</f>
        <v/>
      </c>
      <c r="D12" s="5" t="str">
        <f aca="false">IF($O12="","",IF(INDEX(전체!$E$6:$E$75,$O12)="","",INDEX(전체!$E$6:$E$75,$O12)))</f>
        <v/>
      </c>
      <c r="E12" s="5" t="str">
        <f aca="false">IF($O12="","",IF(INDEX(전체!$F$6:$F$75,$O12)="","",INDEX(전체!$F$6:$F$75,$O12)))</f>
        <v/>
      </c>
      <c r="F12" s="21" t="str">
        <f aca="false">IF($O12="","",IF(INDEX(전체!$G$6:$G$75,$O12)="","",INDEX(전체!$G$6:$G$75,$O12)))</f>
        <v/>
      </c>
      <c r="G12" s="21" t="str">
        <f aca="false">IF($O12="","",IF(INDEX(전체!$H$6:$H$75,$O12)="","",INDEX(전체!$H$6:$H$75,$O12)))</f>
        <v/>
      </c>
      <c r="H12" s="5" t="str">
        <f aca="false">IF($O12="","",IF(INDEX(전체!$I$6:$I$75,$O12)="","",INDEX(전체!$I$6:$I$75,$O12)))</f>
        <v/>
      </c>
      <c r="I12" s="5" t="str">
        <f aca="false">IF($O12="","",IF(INDEX(전체!$J$6:$J$75,$O12)="","",INDEX(전체!$J$6:$J$75,$O12)))</f>
        <v/>
      </c>
      <c r="J12" s="21" t="str">
        <f aca="false">IF($O12="","",IF(INDEX(전체!$K$6:$K$75,$O12)="","",INDEX(전체!$K$6:$K$75,$O12)))</f>
        <v/>
      </c>
      <c r="K12" s="20" t="str">
        <f aca="false">IF($O12="","",IF(INDEX(전체!$L$6:$L$75,$O12)="","",INDEX(전체!$L$6:$L$75,$O12)))</f>
        <v/>
      </c>
      <c r="L12" s="5" t="str">
        <f aca="false">IF($O12="","",IF(INDEX(전체!$M$6:$M$75,$O12)="","",INDEX(전체!$M$6:$M$75,$O12)))</f>
        <v/>
      </c>
      <c r="M12" s="21" t="str">
        <f aca="false">IF($O12="","",IF(INDEX(전체!$N$6:$N$75,$O12)="","",INDEX(전체!$N$6:$N$75,$O12)))</f>
        <v/>
      </c>
      <c r="N12" s="21" t="str">
        <f aca="false">IF($O12="","",IF(INDEX(전체!$O$6:$O$75,$O12)="","",INDEX(전체!$O$6:$O$75,$O12)))</f>
        <v/>
      </c>
      <c r="O12" s="22" t="str">
        <f aca="false">IFERROR(MATCH($R$2&amp;"|"&amp;8,전체!$P$6:$P$75,0),"")</f>
        <v/>
      </c>
    </row>
    <row r="13" customFormat="false" ht="15" hidden="false" customHeight="false" outlineLevel="0" collapsed="false">
      <c r="A13" s="5" t="str">
        <f aca="false">IF($O13="","",9)</f>
        <v/>
      </c>
      <c r="B13" s="20" t="str">
        <f aca="false">IF($O13="","",IF(INDEX(전체!$C$6:$C$75,$O13)="","",INDEX(전체!$C$6:$C$75,$O13)))</f>
        <v/>
      </c>
      <c r="C13" s="21" t="str">
        <f aca="false">IF($O13="","",IF(INDEX(전체!$D$6:$D$75,$O13)="","",INDEX(전체!$D$6:$D$75,$O13)))</f>
        <v/>
      </c>
      <c r="D13" s="5" t="str">
        <f aca="false">IF($O13="","",IF(INDEX(전체!$E$6:$E$75,$O13)="","",INDEX(전체!$E$6:$E$75,$O13)))</f>
        <v/>
      </c>
      <c r="E13" s="5" t="str">
        <f aca="false">IF($O13="","",IF(INDEX(전체!$F$6:$F$75,$O13)="","",INDEX(전체!$F$6:$F$75,$O13)))</f>
        <v/>
      </c>
      <c r="F13" s="21" t="str">
        <f aca="false">IF($O13="","",IF(INDEX(전체!$G$6:$G$75,$O13)="","",INDEX(전체!$G$6:$G$75,$O13)))</f>
        <v/>
      </c>
      <c r="G13" s="21" t="str">
        <f aca="false">IF($O13="","",IF(INDEX(전체!$H$6:$H$75,$O13)="","",INDEX(전체!$H$6:$H$75,$O13)))</f>
        <v/>
      </c>
      <c r="H13" s="5" t="str">
        <f aca="false">IF($O13="","",IF(INDEX(전체!$I$6:$I$75,$O13)="","",INDEX(전체!$I$6:$I$75,$O13)))</f>
        <v/>
      </c>
      <c r="I13" s="5" t="str">
        <f aca="false">IF($O13="","",IF(INDEX(전체!$J$6:$J$75,$O13)="","",INDEX(전체!$J$6:$J$75,$O13)))</f>
        <v/>
      </c>
      <c r="J13" s="21" t="str">
        <f aca="false">IF($O13="","",IF(INDEX(전체!$K$6:$K$75,$O13)="","",INDEX(전체!$K$6:$K$75,$O13)))</f>
        <v/>
      </c>
      <c r="K13" s="20" t="str">
        <f aca="false">IF($O13="","",IF(INDEX(전체!$L$6:$L$75,$O13)="","",INDEX(전체!$L$6:$L$75,$O13)))</f>
        <v/>
      </c>
      <c r="L13" s="5" t="str">
        <f aca="false">IF($O13="","",IF(INDEX(전체!$M$6:$M$75,$O13)="","",INDEX(전체!$M$6:$M$75,$O13)))</f>
        <v/>
      </c>
      <c r="M13" s="21" t="str">
        <f aca="false">IF($O13="","",IF(INDEX(전체!$N$6:$N$75,$O13)="","",INDEX(전체!$N$6:$N$75,$O13)))</f>
        <v/>
      </c>
      <c r="N13" s="21" t="str">
        <f aca="false">IF($O13="","",IF(INDEX(전체!$O$6:$O$75,$O13)="","",INDEX(전체!$O$6:$O$75,$O13)))</f>
        <v/>
      </c>
      <c r="O13" s="22" t="str">
        <f aca="false">IFERROR(MATCH($R$2&amp;"|"&amp;9,전체!$P$6:$P$75,0),"")</f>
        <v/>
      </c>
    </row>
    <row r="14" customFormat="false" ht="15" hidden="false" customHeight="false" outlineLevel="0" collapsed="false">
      <c r="A14" s="5" t="str">
        <f aca="false">IF($O14="","",10)</f>
        <v/>
      </c>
      <c r="B14" s="20" t="str">
        <f aca="false">IF($O14="","",IF(INDEX(전체!$C$6:$C$75,$O14)="","",INDEX(전체!$C$6:$C$75,$O14)))</f>
        <v/>
      </c>
      <c r="C14" s="21" t="str">
        <f aca="false">IF($O14="","",IF(INDEX(전체!$D$6:$D$75,$O14)="","",INDEX(전체!$D$6:$D$75,$O14)))</f>
        <v/>
      </c>
      <c r="D14" s="5" t="str">
        <f aca="false">IF($O14="","",IF(INDEX(전체!$E$6:$E$75,$O14)="","",INDEX(전체!$E$6:$E$75,$O14)))</f>
        <v/>
      </c>
      <c r="E14" s="5" t="str">
        <f aca="false">IF($O14="","",IF(INDEX(전체!$F$6:$F$75,$O14)="","",INDEX(전체!$F$6:$F$75,$O14)))</f>
        <v/>
      </c>
      <c r="F14" s="21" t="str">
        <f aca="false">IF($O14="","",IF(INDEX(전체!$G$6:$G$75,$O14)="","",INDEX(전체!$G$6:$G$75,$O14)))</f>
        <v/>
      </c>
      <c r="G14" s="21" t="str">
        <f aca="false">IF($O14="","",IF(INDEX(전체!$H$6:$H$75,$O14)="","",INDEX(전체!$H$6:$H$75,$O14)))</f>
        <v/>
      </c>
      <c r="H14" s="5" t="str">
        <f aca="false">IF($O14="","",IF(INDEX(전체!$I$6:$I$75,$O14)="","",INDEX(전체!$I$6:$I$75,$O14)))</f>
        <v/>
      </c>
      <c r="I14" s="5" t="str">
        <f aca="false">IF($O14="","",IF(INDEX(전체!$J$6:$J$75,$O14)="","",INDEX(전체!$J$6:$J$75,$O14)))</f>
        <v/>
      </c>
      <c r="J14" s="21" t="str">
        <f aca="false">IF($O14="","",IF(INDEX(전체!$K$6:$K$75,$O14)="","",INDEX(전체!$K$6:$K$75,$O14)))</f>
        <v/>
      </c>
      <c r="K14" s="20" t="str">
        <f aca="false">IF($O14="","",IF(INDEX(전체!$L$6:$L$75,$O14)="","",INDEX(전체!$L$6:$L$75,$O14)))</f>
        <v/>
      </c>
      <c r="L14" s="5" t="str">
        <f aca="false">IF($O14="","",IF(INDEX(전체!$M$6:$M$75,$O14)="","",INDEX(전체!$M$6:$M$75,$O14)))</f>
        <v/>
      </c>
      <c r="M14" s="21" t="str">
        <f aca="false">IF($O14="","",IF(INDEX(전체!$N$6:$N$75,$O14)="","",INDEX(전체!$N$6:$N$75,$O14)))</f>
        <v/>
      </c>
      <c r="N14" s="21" t="str">
        <f aca="false">IF($O14="","",IF(INDEX(전체!$O$6:$O$75,$O14)="","",INDEX(전체!$O$6:$O$75,$O14)))</f>
        <v/>
      </c>
      <c r="O14" s="22" t="str">
        <f aca="false">IFERROR(MATCH($R$2&amp;"|"&amp;10,전체!$P$6:$P$75,0),"")</f>
        <v/>
      </c>
    </row>
    <row r="15" customFormat="false" ht="15" hidden="false" customHeight="false" outlineLevel="0" collapsed="false">
      <c r="A15" s="5" t="str">
        <f aca="false">IF($O15="","",11)</f>
        <v/>
      </c>
      <c r="B15" s="20" t="str">
        <f aca="false">IF($O15="","",IF(INDEX(전체!$C$6:$C$75,$O15)="","",INDEX(전체!$C$6:$C$75,$O15)))</f>
        <v/>
      </c>
      <c r="C15" s="21" t="str">
        <f aca="false">IF($O15="","",IF(INDEX(전체!$D$6:$D$75,$O15)="","",INDEX(전체!$D$6:$D$75,$O15)))</f>
        <v/>
      </c>
      <c r="D15" s="5" t="str">
        <f aca="false">IF($O15="","",IF(INDEX(전체!$E$6:$E$75,$O15)="","",INDEX(전체!$E$6:$E$75,$O15)))</f>
        <v/>
      </c>
      <c r="E15" s="5" t="str">
        <f aca="false">IF($O15="","",IF(INDEX(전체!$F$6:$F$75,$O15)="","",INDEX(전체!$F$6:$F$75,$O15)))</f>
        <v/>
      </c>
      <c r="F15" s="21" t="str">
        <f aca="false">IF($O15="","",IF(INDEX(전체!$G$6:$G$75,$O15)="","",INDEX(전체!$G$6:$G$75,$O15)))</f>
        <v/>
      </c>
      <c r="G15" s="21" t="str">
        <f aca="false">IF($O15="","",IF(INDEX(전체!$H$6:$H$75,$O15)="","",INDEX(전체!$H$6:$H$75,$O15)))</f>
        <v/>
      </c>
      <c r="H15" s="5" t="str">
        <f aca="false">IF($O15="","",IF(INDEX(전체!$I$6:$I$75,$O15)="","",INDEX(전체!$I$6:$I$75,$O15)))</f>
        <v/>
      </c>
      <c r="I15" s="5" t="str">
        <f aca="false">IF($O15="","",IF(INDEX(전체!$J$6:$J$75,$O15)="","",INDEX(전체!$J$6:$J$75,$O15)))</f>
        <v/>
      </c>
      <c r="J15" s="21" t="str">
        <f aca="false">IF($O15="","",IF(INDEX(전체!$K$6:$K$75,$O15)="","",INDEX(전체!$K$6:$K$75,$O15)))</f>
        <v/>
      </c>
      <c r="K15" s="20" t="str">
        <f aca="false">IF($O15="","",IF(INDEX(전체!$L$6:$L$75,$O15)="","",INDEX(전체!$L$6:$L$75,$O15)))</f>
        <v/>
      </c>
      <c r="L15" s="5" t="str">
        <f aca="false">IF($O15="","",IF(INDEX(전체!$M$6:$M$75,$O15)="","",INDEX(전체!$M$6:$M$75,$O15)))</f>
        <v/>
      </c>
      <c r="M15" s="21" t="str">
        <f aca="false">IF($O15="","",IF(INDEX(전체!$N$6:$N$75,$O15)="","",INDEX(전체!$N$6:$N$75,$O15)))</f>
        <v/>
      </c>
      <c r="N15" s="21" t="str">
        <f aca="false">IF($O15="","",IF(INDEX(전체!$O$6:$O$75,$O15)="","",INDEX(전체!$O$6:$O$75,$O15)))</f>
        <v/>
      </c>
      <c r="O15" s="22" t="str">
        <f aca="false">IFERROR(MATCH($R$2&amp;"|"&amp;11,전체!$P$6:$P$75,0),"")</f>
        <v/>
      </c>
    </row>
    <row r="16" customFormat="false" ht="15" hidden="false" customHeight="false" outlineLevel="0" collapsed="false">
      <c r="A16" s="5" t="str">
        <f aca="false">IF($O16="","",12)</f>
        <v/>
      </c>
      <c r="B16" s="20" t="str">
        <f aca="false">IF($O16="","",IF(INDEX(전체!$C$6:$C$75,$O16)="","",INDEX(전체!$C$6:$C$75,$O16)))</f>
        <v/>
      </c>
      <c r="C16" s="21" t="str">
        <f aca="false">IF($O16="","",IF(INDEX(전체!$D$6:$D$75,$O16)="","",INDEX(전체!$D$6:$D$75,$O16)))</f>
        <v/>
      </c>
      <c r="D16" s="5" t="str">
        <f aca="false">IF($O16="","",IF(INDEX(전체!$E$6:$E$75,$O16)="","",INDEX(전체!$E$6:$E$75,$O16)))</f>
        <v/>
      </c>
      <c r="E16" s="5" t="str">
        <f aca="false">IF($O16="","",IF(INDEX(전체!$F$6:$F$75,$O16)="","",INDEX(전체!$F$6:$F$75,$O16)))</f>
        <v/>
      </c>
      <c r="F16" s="21" t="str">
        <f aca="false">IF($O16="","",IF(INDEX(전체!$G$6:$G$75,$O16)="","",INDEX(전체!$G$6:$G$75,$O16)))</f>
        <v/>
      </c>
      <c r="G16" s="21" t="str">
        <f aca="false">IF($O16="","",IF(INDEX(전체!$H$6:$H$75,$O16)="","",INDEX(전체!$H$6:$H$75,$O16)))</f>
        <v/>
      </c>
      <c r="H16" s="5" t="str">
        <f aca="false">IF($O16="","",IF(INDEX(전체!$I$6:$I$75,$O16)="","",INDEX(전체!$I$6:$I$75,$O16)))</f>
        <v/>
      </c>
      <c r="I16" s="5" t="str">
        <f aca="false">IF($O16="","",IF(INDEX(전체!$J$6:$J$75,$O16)="","",INDEX(전체!$J$6:$J$75,$O16)))</f>
        <v/>
      </c>
      <c r="J16" s="21" t="str">
        <f aca="false">IF($O16="","",IF(INDEX(전체!$K$6:$K$75,$O16)="","",INDEX(전체!$K$6:$K$75,$O16)))</f>
        <v/>
      </c>
      <c r="K16" s="20" t="str">
        <f aca="false">IF($O16="","",IF(INDEX(전체!$L$6:$L$75,$O16)="","",INDEX(전체!$L$6:$L$75,$O16)))</f>
        <v/>
      </c>
      <c r="L16" s="5" t="str">
        <f aca="false">IF($O16="","",IF(INDEX(전체!$M$6:$M$75,$O16)="","",INDEX(전체!$M$6:$M$75,$O16)))</f>
        <v/>
      </c>
      <c r="M16" s="21" t="str">
        <f aca="false">IF($O16="","",IF(INDEX(전체!$N$6:$N$75,$O16)="","",INDEX(전체!$N$6:$N$75,$O16)))</f>
        <v/>
      </c>
      <c r="N16" s="21" t="str">
        <f aca="false">IF($O16="","",IF(INDEX(전체!$O$6:$O$75,$O16)="","",INDEX(전체!$O$6:$O$75,$O16)))</f>
        <v/>
      </c>
      <c r="O16" s="22" t="str">
        <f aca="false">IFERROR(MATCH($R$2&amp;"|"&amp;12,전체!$P$6:$P$75,0),"")</f>
        <v/>
      </c>
    </row>
    <row r="17" customFormat="false" ht="15" hidden="false" customHeight="false" outlineLevel="0" collapsed="false">
      <c r="A17" s="5" t="str">
        <f aca="false">IF($O17="","",13)</f>
        <v/>
      </c>
      <c r="B17" s="20" t="str">
        <f aca="false">IF($O17="","",IF(INDEX(전체!$C$6:$C$75,$O17)="","",INDEX(전체!$C$6:$C$75,$O17)))</f>
        <v/>
      </c>
      <c r="C17" s="21" t="str">
        <f aca="false">IF($O17="","",IF(INDEX(전체!$D$6:$D$75,$O17)="","",INDEX(전체!$D$6:$D$75,$O17)))</f>
        <v/>
      </c>
      <c r="D17" s="5" t="str">
        <f aca="false">IF($O17="","",IF(INDEX(전체!$E$6:$E$75,$O17)="","",INDEX(전체!$E$6:$E$75,$O17)))</f>
        <v/>
      </c>
      <c r="E17" s="5" t="str">
        <f aca="false">IF($O17="","",IF(INDEX(전체!$F$6:$F$75,$O17)="","",INDEX(전체!$F$6:$F$75,$O17)))</f>
        <v/>
      </c>
      <c r="F17" s="21" t="str">
        <f aca="false">IF($O17="","",IF(INDEX(전체!$G$6:$G$75,$O17)="","",INDEX(전체!$G$6:$G$75,$O17)))</f>
        <v/>
      </c>
      <c r="G17" s="21" t="str">
        <f aca="false">IF($O17="","",IF(INDEX(전체!$H$6:$H$75,$O17)="","",INDEX(전체!$H$6:$H$75,$O17)))</f>
        <v/>
      </c>
      <c r="H17" s="5" t="str">
        <f aca="false">IF($O17="","",IF(INDEX(전체!$I$6:$I$75,$O17)="","",INDEX(전체!$I$6:$I$75,$O17)))</f>
        <v/>
      </c>
      <c r="I17" s="5" t="str">
        <f aca="false">IF($O17="","",IF(INDEX(전체!$J$6:$J$75,$O17)="","",INDEX(전체!$J$6:$J$75,$O17)))</f>
        <v/>
      </c>
      <c r="J17" s="21" t="str">
        <f aca="false">IF($O17="","",IF(INDEX(전체!$K$6:$K$75,$O17)="","",INDEX(전체!$K$6:$K$75,$O17)))</f>
        <v/>
      </c>
      <c r="K17" s="20" t="str">
        <f aca="false">IF($O17="","",IF(INDEX(전체!$L$6:$L$75,$O17)="","",INDEX(전체!$L$6:$L$75,$O17)))</f>
        <v/>
      </c>
      <c r="L17" s="5" t="str">
        <f aca="false">IF($O17="","",IF(INDEX(전체!$M$6:$M$75,$O17)="","",INDEX(전체!$M$6:$M$75,$O17)))</f>
        <v/>
      </c>
      <c r="M17" s="21" t="str">
        <f aca="false">IF($O17="","",IF(INDEX(전체!$N$6:$N$75,$O17)="","",INDEX(전체!$N$6:$N$75,$O17)))</f>
        <v/>
      </c>
      <c r="N17" s="21" t="str">
        <f aca="false">IF($O17="","",IF(INDEX(전체!$O$6:$O$75,$O17)="","",INDEX(전체!$O$6:$O$75,$O17)))</f>
        <v/>
      </c>
      <c r="O17" s="22" t="str">
        <f aca="false">IFERROR(MATCH($R$2&amp;"|"&amp;13,전체!$P$6:$P$75,0),"")</f>
        <v/>
      </c>
    </row>
    <row r="18" customFormat="false" ht="15" hidden="false" customHeight="false" outlineLevel="0" collapsed="false">
      <c r="A18" s="5" t="str">
        <f aca="false">IF($O18="","",14)</f>
        <v/>
      </c>
      <c r="B18" s="20" t="str">
        <f aca="false">IF($O18="","",IF(INDEX(전체!$C$6:$C$75,$O18)="","",INDEX(전체!$C$6:$C$75,$O18)))</f>
        <v/>
      </c>
      <c r="C18" s="21" t="str">
        <f aca="false">IF($O18="","",IF(INDEX(전체!$D$6:$D$75,$O18)="","",INDEX(전체!$D$6:$D$75,$O18)))</f>
        <v/>
      </c>
      <c r="D18" s="5" t="str">
        <f aca="false">IF($O18="","",IF(INDEX(전체!$E$6:$E$75,$O18)="","",INDEX(전체!$E$6:$E$75,$O18)))</f>
        <v/>
      </c>
      <c r="E18" s="5" t="str">
        <f aca="false">IF($O18="","",IF(INDEX(전체!$F$6:$F$75,$O18)="","",INDEX(전체!$F$6:$F$75,$O18)))</f>
        <v/>
      </c>
      <c r="F18" s="21" t="str">
        <f aca="false">IF($O18="","",IF(INDEX(전체!$G$6:$G$75,$O18)="","",INDEX(전체!$G$6:$G$75,$O18)))</f>
        <v/>
      </c>
      <c r="G18" s="21" t="str">
        <f aca="false">IF($O18="","",IF(INDEX(전체!$H$6:$H$75,$O18)="","",INDEX(전체!$H$6:$H$75,$O18)))</f>
        <v/>
      </c>
      <c r="H18" s="5" t="str">
        <f aca="false">IF($O18="","",IF(INDEX(전체!$I$6:$I$75,$O18)="","",INDEX(전체!$I$6:$I$75,$O18)))</f>
        <v/>
      </c>
      <c r="I18" s="5" t="str">
        <f aca="false">IF($O18="","",IF(INDEX(전체!$J$6:$J$75,$O18)="","",INDEX(전체!$J$6:$J$75,$O18)))</f>
        <v/>
      </c>
      <c r="J18" s="21" t="str">
        <f aca="false">IF($O18="","",IF(INDEX(전체!$K$6:$K$75,$O18)="","",INDEX(전체!$K$6:$K$75,$O18)))</f>
        <v/>
      </c>
      <c r="K18" s="20" t="str">
        <f aca="false">IF($O18="","",IF(INDEX(전체!$L$6:$L$75,$O18)="","",INDEX(전체!$L$6:$L$75,$O18)))</f>
        <v/>
      </c>
      <c r="L18" s="5" t="str">
        <f aca="false">IF($O18="","",IF(INDEX(전체!$M$6:$M$75,$O18)="","",INDEX(전체!$M$6:$M$75,$O18)))</f>
        <v/>
      </c>
      <c r="M18" s="21" t="str">
        <f aca="false">IF($O18="","",IF(INDEX(전체!$N$6:$N$75,$O18)="","",INDEX(전체!$N$6:$N$75,$O18)))</f>
        <v/>
      </c>
      <c r="N18" s="21" t="str">
        <f aca="false">IF($O18="","",IF(INDEX(전체!$O$6:$O$75,$O18)="","",INDEX(전체!$O$6:$O$75,$O18)))</f>
        <v/>
      </c>
      <c r="O18" s="22" t="str">
        <f aca="false">IFERROR(MATCH($R$2&amp;"|"&amp;14,전체!$P$6:$P$75,0),"")</f>
        <v/>
      </c>
    </row>
    <row r="19" customFormat="false" ht="15" hidden="false" customHeight="false" outlineLevel="0" collapsed="false">
      <c r="A19" s="5" t="str">
        <f aca="false">IF($O19="","",15)</f>
        <v/>
      </c>
      <c r="B19" s="20" t="str">
        <f aca="false">IF($O19="","",IF(INDEX(전체!$C$6:$C$75,$O19)="","",INDEX(전체!$C$6:$C$75,$O19)))</f>
        <v/>
      </c>
      <c r="C19" s="21" t="str">
        <f aca="false">IF($O19="","",IF(INDEX(전체!$D$6:$D$75,$O19)="","",INDEX(전체!$D$6:$D$75,$O19)))</f>
        <v/>
      </c>
      <c r="D19" s="5" t="str">
        <f aca="false">IF($O19="","",IF(INDEX(전체!$E$6:$E$75,$O19)="","",INDEX(전체!$E$6:$E$75,$O19)))</f>
        <v/>
      </c>
      <c r="E19" s="5" t="str">
        <f aca="false">IF($O19="","",IF(INDEX(전체!$F$6:$F$75,$O19)="","",INDEX(전체!$F$6:$F$75,$O19)))</f>
        <v/>
      </c>
      <c r="F19" s="21" t="str">
        <f aca="false">IF($O19="","",IF(INDEX(전체!$G$6:$G$75,$O19)="","",INDEX(전체!$G$6:$G$75,$O19)))</f>
        <v/>
      </c>
      <c r="G19" s="21" t="str">
        <f aca="false">IF($O19="","",IF(INDEX(전체!$H$6:$H$75,$O19)="","",INDEX(전체!$H$6:$H$75,$O19)))</f>
        <v/>
      </c>
      <c r="H19" s="5" t="str">
        <f aca="false">IF($O19="","",IF(INDEX(전체!$I$6:$I$75,$O19)="","",INDEX(전체!$I$6:$I$75,$O19)))</f>
        <v/>
      </c>
      <c r="I19" s="5" t="str">
        <f aca="false">IF($O19="","",IF(INDEX(전체!$J$6:$J$75,$O19)="","",INDEX(전체!$J$6:$J$75,$O19)))</f>
        <v/>
      </c>
      <c r="J19" s="21" t="str">
        <f aca="false">IF($O19="","",IF(INDEX(전체!$K$6:$K$75,$O19)="","",INDEX(전체!$K$6:$K$75,$O19)))</f>
        <v/>
      </c>
      <c r="K19" s="20" t="str">
        <f aca="false">IF($O19="","",IF(INDEX(전체!$L$6:$L$75,$O19)="","",INDEX(전체!$L$6:$L$75,$O19)))</f>
        <v/>
      </c>
      <c r="L19" s="5" t="str">
        <f aca="false">IF($O19="","",IF(INDEX(전체!$M$6:$M$75,$O19)="","",INDEX(전체!$M$6:$M$75,$O19)))</f>
        <v/>
      </c>
      <c r="M19" s="21" t="str">
        <f aca="false">IF($O19="","",IF(INDEX(전체!$N$6:$N$75,$O19)="","",INDEX(전체!$N$6:$N$75,$O19)))</f>
        <v/>
      </c>
      <c r="N19" s="21" t="str">
        <f aca="false">IF($O19="","",IF(INDEX(전체!$O$6:$O$75,$O19)="","",INDEX(전체!$O$6:$O$75,$O19)))</f>
        <v/>
      </c>
      <c r="O19" s="22" t="str">
        <f aca="false">IFERROR(MATCH($R$2&amp;"|"&amp;15,전체!$P$6:$P$75,0),"")</f>
        <v/>
      </c>
    </row>
    <row r="20" customFormat="false" ht="15" hidden="false" customHeight="false" outlineLevel="0" collapsed="false">
      <c r="A20" s="5" t="str">
        <f aca="false">IF($O20="","",16)</f>
        <v/>
      </c>
      <c r="B20" s="20" t="str">
        <f aca="false">IF($O20="","",IF(INDEX(전체!$C$6:$C$75,$O20)="","",INDEX(전체!$C$6:$C$75,$O20)))</f>
        <v/>
      </c>
      <c r="C20" s="21" t="str">
        <f aca="false">IF($O20="","",IF(INDEX(전체!$D$6:$D$75,$O20)="","",INDEX(전체!$D$6:$D$75,$O20)))</f>
        <v/>
      </c>
      <c r="D20" s="5" t="str">
        <f aca="false">IF($O20="","",IF(INDEX(전체!$E$6:$E$75,$O20)="","",INDEX(전체!$E$6:$E$75,$O20)))</f>
        <v/>
      </c>
      <c r="E20" s="5" t="str">
        <f aca="false">IF($O20="","",IF(INDEX(전체!$F$6:$F$75,$O20)="","",INDEX(전체!$F$6:$F$75,$O20)))</f>
        <v/>
      </c>
      <c r="F20" s="21" t="str">
        <f aca="false">IF($O20="","",IF(INDEX(전체!$G$6:$G$75,$O20)="","",INDEX(전체!$G$6:$G$75,$O20)))</f>
        <v/>
      </c>
      <c r="G20" s="21" t="str">
        <f aca="false">IF($O20="","",IF(INDEX(전체!$H$6:$H$75,$O20)="","",INDEX(전체!$H$6:$H$75,$O20)))</f>
        <v/>
      </c>
      <c r="H20" s="5" t="str">
        <f aca="false">IF($O20="","",IF(INDEX(전체!$I$6:$I$75,$O20)="","",INDEX(전체!$I$6:$I$75,$O20)))</f>
        <v/>
      </c>
      <c r="I20" s="5" t="str">
        <f aca="false">IF($O20="","",IF(INDEX(전체!$J$6:$J$75,$O20)="","",INDEX(전체!$J$6:$J$75,$O20)))</f>
        <v/>
      </c>
      <c r="J20" s="21" t="str">
        <f aca="false">IF($O20="","",IF(INDEX(전체!$K$6:$K$75,$O20)="","",INDEX(전체!$K$6:$K$75,$O20)))</f>
        <v/>
      </c>
      <c r="K20" s="20" t="str">
        <f aca="false">IF($O20="","",IF(INDEX(전체!$L$6:$L$75,$O20)="","",INDEX(전체!$L$6:$L$75,$O20)))</f>
        <v/>
      </c>
      <c r="L20" s="5" t="str">
        <f aca="false">IF($O20="","",IF(INDEX(전체!$M$6:$M$75,$O20)="","",INDEX(전체!$M$6:$M$75,$O20)))</f>
        <v/>
      </c>
      <c r="M20" s="21" t="str">
        <f aca="false">IF($O20="","",IF(INDEX(전체!$N$6:$N$75,$O20)="","",INDEX(전체!$N$6:$N$75,$O20)))</f>
        <v/>
      </c>
      <c r="N20" s="21" t="str">
        <f aca="false">IF($O20="","",IF(INDEX(전체!$O$6:$O$75,$O20)="","",INDEX(전체!$O$6:$O$75,$O20)))</f>
        <v/>
      </c>
      <c r="O20" s="22" t="str">
        <f aca="false">IFERROR(MATCH($R$2&amp;"|"&amp;16,전체!$P$6:$P$75,0),"")</f>
        <v/>
      </c>
    </row>
    <row r="21" customFormat="false" ht="15" hidden="false" customHeight="false" outlineLevel="0" collapsed="false">
      <c r="A21" s="5" t="str">
        <f aca="false">IF($O21="","",17)</f>
        <v/>
      </c>
      <c r="B21" s="20" t="str">
        <f aca="false">IF($O21="","",IF(INDEX(전체!$C$6:$C$75,$O21)="","",INDEX(전체!$C$6:$C$75,$O21)))</f>
        <v/>
      </c>
      <c r="C21" s="21" t="str">
        <f aca="false">IF($O21="","",IF(INDEX(전체!$D$6:$D$75,$O21)="","",INDEX(전체!$D$6:$D$75,$O21)))</f>
        <v/>
      </c>
      <c r="D21" s="5" t="str">
        <f aca="false">IF($O21="","",IF(INDEX(전체!$E$6:$E$75,$O21)="","",INDEX(전체!$E$6:$E$75,$O21)))</f>
        <v/>
      </c>
      <c r="E21" s="5" t="str">
        <f aca="false">IF($O21="","",IF(INDEX(전체!$F$6:$F$75,$O21)="","",INDEX(전체!$F$6:$F$75,$O21)))</f>
        <v/>
      </c>
      <c r="F21" s="21" t="str">
        <f aca="false">IF($O21="","",IF(INDEX(전체!$G$6:$G$75,$O21)="","",INDEX(전체!$G$6:$G$75,$O21)))</f>
        <v/>
      </c>
      <c r="G21" s="21" t="str">
        <f aca="false">IF($O21="","",IF(INDEX(전체!$H$6:$H$75,$O21)="","",INDEX(전체!$H$6:$H$75,$O21)))</f>
        <v/>
      </c>
      <c r="H21" s="5" t="str">
        <f aca="false">IF($O21="","",IF(INDEX(전체!$I$6:$I$75,$O21)="","",INDEX(전체!$I$6:$I$75,$O21)))</f>
        <v/>
      </c>
      <c r="I21" s="5" t="str">
        <f aca="false">IF($O21="","",IF(INDEX(전체!$J$6:$J$75,$O21)="","",INDEX(전체!$J$6:$J$75,$O21)))</f>
        <v/>
      </c>
      <c r="J21" s="21" t="str">
        <f aca="false">IF($O21="","",IF(INDEX(전체!$K$6:$K$75,$O21)="","",INDEX(전체!$K$6:$K$75,$O21)))</f>
        <v/>
      </c>
      <c r="K21" s="20" t="str">
        <f aca="false">IF($O21="","",IF(INDEX(전체!$L$6:$L$75,$O21)="","",INDEX(전체!$L$6:$L$75,$O21)))</f>
        <v/>
      </c>
      <c r="L21" s="5" t="str">
        <f aca="false">IF($O21="","",IF(INDEX(전체!$M$6:$M$75,$O21)="","",INDEX(전체!$M$6:$M$75,$O21)))</f>
        <v/>
      </c>
      <c r="M21" s="21" t="str">
        <f aca="false">IF($O21="","",IF(INDEX(전체!$N$6:$N$75,$O21)="","",INDEX(전체!$N$6:$N$75,$O21)))</f>
        <v/>
      </c>
      <c r="N21" s="21" t="str">
        <f aca="false">IF($O21="","",IF(INDEX(전체!$O$6:$O$75,$O21)="","",INDEX(전체!$O$6:$O$75,$O21)))</f>
        <v/>
      </c>
      <c r="O21" s="22" t="str">
        <f aca="false">IFERROR(MATCH($R$2&amp;"|"&amp;17,전체!$P$6:$P$75,0),"")</f>
        <v/>
      </c>
    </row>
    <row r="22" customFormat="false" ht="15" hidden="false" customHeight="false" outlineLevel="0" collapsed="false">
      <c r="A22" s="5" t="str">
        <f aca="false">IF($O22="","",18)</f>
        <v/>
      </c>
      <c r="B22" s="20" t="str">
        <f aca="false">IF($O22="","",IF(INDEX(전체!$C$6:$C$75,$O22)="","",INDEX(전체!$C$6:$C$75,$O22)))</f>
        <v/>
      </c>
      <c r="C22" s="21" t="str">
        <f aca="false">IF($O22="","",IF(INDEX(전체!$D$6:$D$75,$O22)="","",INDEX(전체!$D$6:$D$75,$O22)))</f>
        <v/>
      </c>
      <c r="D22" s="5" t="str">
        <f aca="false">IF($O22="","",IF(INDEX(전체!$E$6:$E$75,$O22)="","",INDEX(전체!$E$6:$E$75,$O22)))</f>
        <v/>
      </c>
      <c r="E22" s="5" t="str">
        <f aca="false">IF($O22="","",IF(INDEX(전체!$F$6:$F$75,$O22)="","",INDEX(전체!$F$6:$F$75,$O22)))</f>
        <v/>
      </c>
      <c r="F22" s="21" t="str">
        <f aca="false">IF($O22="","",IF(INDEX(전체!$G$6:$G$75,$O22)="","",INDEX(전체!$G$6:$G$75,$O22)))</f>
        <v/>
      </c>
      <c r="G22" s="21" t="str">
        <f aca="false">IF($O22="","",IF(INDEX(전체!$H$6:$H$75,$O22)="","",INDEX(전체!$H$6:$H$75,$O22)))</f>
        <v/>
      </c>
      <c r="H22" s="5" t="str">
        <f aca="false">IF($O22="","",IF(INDEX(전체!$I$6:$I$75,$O22)="","",INDEX(전체!$I$6:$I$75,$O22)))</f>
        <v/>
      </c>
      <c r="I22" s="5" t="str">
        <f aca="false">IF($O22="","",IF(INDEX(전체!$J$6:$J$75,$O22)="","",INDEX(전체!$J$6:$J$75,$O22)))</f>
        <v/>
      </c>
      <c r="J22" s="21" t="str">
        <f aca="false">IF($O22="","",IF(INDEX(전체!$K$6:$K$75,$O22)="","",INDEX(전체!$K$6:$K$75,$O22)))</f>
        <v/>
      </c>
      <c r="K22" s="20" t="str">
        <f aca="false">IF($O22="","",IF(INDEX(전체!$L$6:$L$75,$O22)="","",INDEX(전체!$L$6:$L$75,$O22)))</f>
        <v/>
      </c>
      <c r="L22" s="5" t="str">
        <f aca="false">IF($O22="","",IF(INDEX(전체!$M$6:$M$75,$O22)="","",INDEX(전체!$M$6:$M$75,$O22)))</f>
        <v/>
      </c>
      <c r="M22" s="21" t="str">
        <f aca="false">IF($O22="","",IF(INDEX(전체!$N$6:$N$75,$O22)="","",INDEX(전체!$N$6:$N$75,$O22)))</f>
        <v/>
      </c>
      <c r="N22" s="21" t="str">
        <f aca="false">IF($O22="","",IF(INDEX(전체!$O$6:$O$75,$O22)="","",INDEX(전체!$O$6:$O$75,$O22)))</f>
        <v/>
      </c>
      <c r="O22" s="22" t="str">
        <f aca="false">IFERROR(MATCH($R$2&amp;"|"&amp;18,전체!$P$6:$P$75,0),"")</f>
        <v/>
      </c>
    </row>
    <row r="23" customFormat="false" ht="15" hidden="false" customHeight="false" outlineLevel="0" collapsed="false">
      <c r="A23" s="5" t="str">
        <f aca="false">IF($O23="","",19)</f>
        <v/>
      </c>
      <c r="B23" s="20" t="str">
        <f aca="false">IF($O23="","",IF(INDEX(전체!$C$6:$C$75,$O23)="","",INDEX(전체!$C$6:$C$75,$O23)))</f>
        <v/>
      </c>
      <c r="C23" s="21" t="str">
        <f aca="false">IF($O23="","",IF(INDEX(전체!$D$6:$D$75,$O23)="","",INDEX(전체!$D$6:$D$75,$O23)))</f>
        <v/>
      </c>
      <c r="D23" s="5" t="str">
        <f aca="false">IF($O23="","",IF(INDEX(전체!$E$6:$E$75,$O23)="","",INDEX(전체!$E$6:$E$75,$O23)))</f>
        <v/>
      </c>
      <c r="E23" s="5" t="str">
        <f aca="false">IF($O23="","",IF(INDEX(전체!$F$6:$F$75,$O23)="","",INDEX(전체!$F$6:$F$75,$O23)))</f>
        <v/>
      </c>
      <c r="F23" s="21" t="str">
        <f aca="false">IF($O23="","",IF(INDEX(전체!$G$6:$G$75,$O23)="","",INDEX(전체!$G$6:$G$75,$O23)))</f>
        <v/>
      </c>
      <c r="G23" s="21" t="str">
        <f aca="false">IF($O23="","",IF(INDEX(전체!$H$6:$H$75,$O23)="","",INDEX(전체!$H$6:$H$75,$O23)))</f>
        <v/>
      </c>
      <c r="H23" s="5" t="str">
        <f aca="false">IF($O23="","",IF(INDEX(전체!$I$6:$I$75,$O23)="","",INDEX(전체!$I$6:$I$75,$O23)))</f>
        <v/>
      </c>
      <c r="I23" s="5" t="str">
        <f aca="false">IF($O23="","",IF(INDEX(전체!$J$6:$J$75,$O23)="","",INDEX(전체!$J$6:$J$75,$O23)))</f>
        <v/>
      </c>
      <c r="J23" s="21" t="str">
        <f aca="false">IF($O23="","",IF(INDEX(전체!$K$6:$K$75,$O23)="","",INDEX(전체!$K$6:$K$75,$O23)))</f>
        <v/>
      </c>
      <c r="K23" s="20" t="str">
        <f aca="false">IF($O23="","",IF(INDEX(전체!$L$6:$L$75,$O23)="","",INDEX(전체!$L$6:$L$75,$O23)))</f>
        <v/>
      </c>
      <c r="L23" s="5" t="str">
        <f aca="false">IF($O23="","",IF(INDEX(전체!$M$6:$M$75,$O23)="","",INDEX(전체!$M$6:$M$75,$O23)))</f>
        <v/>
      </c>
      <c r="M23" s="21" t="str">
        <f aca="false">IF($O23="","",IF(INDEX(전체!$N$6:$N$75,$O23)="","",INDEX(전체!$N$6:$N$75,$O23)))</f>
        <v/>
      </c>
      <c r="N23" s="21" t="str">
        <f aca="false">IF($O23="","",IF(INDEX(전체!$O$6:$O$75,$O23)="","",INDEX(전체!$O$6:$O$75,$O23)))</f>
        <v/>
      </c>
      <c r="O23" s="22" t="str">
        <f aca="false">IFERROR(MATCH($R$2&amp;"|"&amp;19,전체!$P$6:$P$75,0),"")</f>
        <v/>
      </c>
    </row>
    <row r="24" customFormat="false" ht="15" hidden="false" customHeight="false" outlineLevel="0" collapsed="false">
      <c r="A24" s="5" t="str">
        <f aca="false">IF($O24="","",20)</f>
        <v/>
      </c>
      <c r="B24" s="20" t="str">
        <f aca="false">IF($O24="","",IF(INDEX(전체!$C$6:$C$75,$O24)="","",INDEX(전체!$C$6:$C$75,$O24)))</f>
        <v/>
      </c>
      <c r="C24" s="21" t="str">
        <f aca="false">IF($O24="","",IF(INDEX(전체!$D$6:$D$75,$O24)="","",INDEX(전체!$D$6:$D$75,$O24)))</f>
        <v/>
      </c>
      <c r="D24" s="5" t="str">
        <f aca="false">IF($O24="","",IF(INDEX(전체!$E$6:$E$75,$O24)="","",INDEX(전체!$E$6:$E$75,$O24)))</f>
        <v/>
      </c>
      <c r="E24" s="5" t="str">
        <f aca="false">IF($O24="","",IF(INDEX(전체!$F$6:$F$75,$O24)="","",INDEX(전체!$F$6:$F$75,$O24)))</f>
        <v/>
      </c>
      <c r="F24" s="21" t="str">
        <f aca="false">IF($O24="","",IF(INDEX(전체!$G$6:$G$75,$O24)="","",INDEX(전체!$G$6:$G$75,$O24)))</f>
        <v/>
      </c>
      <c r="G24" s="21" t="str">
        <f aca="false">IF($O24="","",IF(INDEX(전체!$H$6:$H$75,$O24)="","",INDEX(전체!$H$6:$H$75,$O24)))</f>
        <v/>
      </c>
      <c r="H24" s="5" t="str">
        <f aca="false">IF($O24="","",IF(INDEX(전체!$I$6:$I$75,$O24)="","",INDEX(전체!$I$6:$I$75,$O24)))</f>
        <v/>
      </c>
      <c r="I24" s="5" t="str">
        <f aca="false">IF($O24="","",IF(INDEX(전체!$J$6:$J$75,$O24)="","",INDEX(전체!$J$6:$J$75,$O24)))</f>
        <v/>
      </c>
      <c r="J24" s="21" t="str">
        <f aca="false">IF($O24="","",IF(INDEX(전체!$K$6:$K$75,$O24)="","",INDEX(전체!$K$6:$K$75,$O24)))</f>
        <v/>
      </c>
      <c r="K24" s="20" t="str">
        <f aca="false">IF($O24="","",IF(INDEX(전체!$L$6:$L$75,$O24)="","",INDEX(전체!$L$6:$L$75,$O24)))</f>
        <v/>
      </c>
      <c r="L24" s="5" t="str">
        <f aca="false">IF($O24="","",IF(INDEX(전체!$M$6:$M$75,$O24)="","",INDEX(전체!$M$6:$M$75,$O24)))</f>
        <v/>
      </c>
      <c r="M24" s="21" t="str">
        <f aca="false">IF($O24="","",IF(INDEX(전체!$N$6:$N$75,$O24)="","",INDEX(전체!$N$6:$N$75,$O24)))</f>
        <v/>
      </c>
      <c r="N24" s="21" t="str">
        <f aca="false">IF($O24="","",IF(INDEX(전체!$O$6:$O$75,$O24)="","",INDEX(전체!$O$6:$O$75,$O24)))</f>
        <v/>
      </c>
      <c r="O24" s="22" t="str">
        <f aca="false">IFERROR(MATCH($R$2&amp;"|"&amp;20,전체!$P$6:$P$75,0),"")</f>
        <v/>
      </c>
    </row>
    <row r="25" customFormat="false" ht="15" hidden="false" customHeight="false" outlineLevel="0" collapsed="false">
      <c r="A25" s="5" t="str">
        <f aca="false">IF($O25="","",21)</f>
        <v/>
      </c>
      <c r="B25" s="20" t="str">
        <f aca="false">IF($O25="","",IF(INDEX(전체!$C$6:$C$75,$O25)="","",INDEX(전체!$C$6:$C$75,$O25)))</f>
        <v/>
      </c>
      <c r="C25" s="21" t="str">
        <f aca="false">IF($O25="","",IF(INDEX(전체!$D$6:$D$75,$O25)="","",INDEX(전체!$D$6:$D$75,$O25)))</f>
        <v/>
      </c>
      <c r="D25" s="5" t="str">
        <f aca="false">IF($O25="","",IF(INDEX(전체!$E$6:$E$75,$O25)="","",INDEX(전체!$E$6:$E$75,$O25)))</f>
        <v/>
      </c>
      <c r="E25" s="5" t="str">
        <f aca="false">IF($O25="","",IF(INDEX(전체!$F$6:$F$75,$O25)="","",INDEX(전체!$F$6:$F$75,$O25)))</f>
        <v/>
      </c>
      <c r="F25" s="21" t="str">
        <f aca="false">IF($O25="","",IF(INDEX(전체!$G$6:$G$75,$O25)="","",INDEX(전체!$G$6:$G$75,$O25)))</f>
        <v/>
      </c>
      <c r="G25" s="21" t="str">
        <f aca="false">IF($O25="","",IF(INDEX(전체!$H$6:$H$75,$O25)="","",INDEX(전체!$H$6:$H$75,$O25)))</f>
        <v/>
      </c>
      <c r="H25" s="5" t="str">
        <f aca="false">IF($O25="","",IF(INDEX(전체!$I$6:$I$75,$O25)="","",INDEX(전체!$I$6:$I$75,$O25)))</f>
        <v/>
      </c>
      <c r="I25" s="5" t="str">
        <f aca="false">IF($O25="","",IF(INDEX(전체!$J$6:$J$75,$O25)="","",INDEX(전체!$J$6:$J$75,$O25)))</f>
        <v/>
      </c>
      <c r="J25" s="21" t="str">
        <f aca="false">IF($O25="","",IF(INDEX(전체!$K$6:$K$75,$O25)="","",INDEX(전체!$K$6:$K$75,$O25)))</f>
        <v/>
      </c>
      <c r="K25" s="20" t="str">
        <f aca="false">IF($O25="","",IF(INDEX(전체!$L$6:$L$75,$O25)="","",INDEX(전체!$L$6:$L$75,$O25)))</f>
        <v/>
      </c>
      <c r="L25" s="5" t="str">
        <f aca="false">IF($O25="","",IF(INDEX(전체!$M$6:$M$75,$O25)="","",INDEX(전체!$M$6:$M$75,$O25)))</f>
        <v/>
      </c>
      <c r="M25" s="21" t="str">
        <f aca="false">IF($O25="","",IF(INDEX(전체!$N$6:$N$75,$O25)="","",INDEX(전체!$N$6:$N$75,$O25)))</f>
        <v/>
      </c>
      <c r="N25" s="21" t="str">
        <f aca="false">IF($O25="","",IF(INDEX(전체!$O$6:$O$75,$O25)="","",INDEX(전체!$O$6:$O$75,$O25)))</f>
        <v/>
      </c>
      <c r="O25" s="22" t="str">
        <f aca="false">IFERROR(MATCH($R$2&amp;"|"&amp;21,전체!$P$6:$P$75,0),"")</f>
        <v/>
      </c>
    </row>
    <row r="26" customFormat="false" ht="15" hidden="false" customHeight="false" outlineLevel="0" collapsed="false">
      <c r="A26" s="5" t="str">
        <f aca="false">IF($O26="","",22)</f>
        <v/>
      </c>
      <c r="B26" s="20" t="str">
        <f aca="false">IF($O26="","",IF(INDEX(전체!$C$6:$C$75,$O26)="","",INDEX(전체!$C$6:$C$75,$O26)))</f>
        <v/>
      </c>
      <c r="C26" s="21" t="str">
        <f aca="false">IF($O26="","",IF(INDEX(전체!$D$6:$D$75,$O26)="","",INDEX(전체!$D$6:$D$75,$O26)))</f>
        <v/>
      </c>
      <c r="D26" s="5" t="str">
        <f aca="false">IF($O26="","",IF(INDEX(전체!$E$6:$E$75,$O26)="","",INDEX(전체!$E$6:$E$75,$O26)))</f>
        <v/>
      </c>
      <c r="E26" s="5" t="str">
        <f aca="false">IF($O26="","",IF(INDEX(전체!$F$6:$F$75,$O26)="","",INDEX(전체!$F$6:$F$75,$O26)))</f>
        <v/>
      </c>
      <c r="F26" s="21" t="str">
        <f aca="false">IF($O26="","",IF(INDEX(전체!$G$6:$G$75,$O26)="","",INDEX(전체!$G$6:$G$75,$O26)))</f>
        <v/>
      </c>
      <c r="G26" s="21" t="str">
        <f aca="false">IF($O26="","",IF(INDEX(전체!$H$6:$H$75,$O26)="","",INDEX(전체!$H$6:$H$75,$O26)))</f>
        <v/>
      </c>
      <c r="H26" s="5" t="str">
        <f aca="false">IF($O26="","",IF(INDEX(전체!$I$6:$I$75,$O26)="","",INDEX(전체!$I$6:$I$75,$O26)))</f>
        <v/>
      </c>
      <c r="I26" s="5" t="str">
        <f aca="false">IF($O26="","",IF(INDEX(전체!$J$6:$J$75,$O26)="","",INDEX(전체!$J$6:$J$75,$O26)))</f>
        <v/>
      </c>
      <c r="J26" s="21" t="str">
        <f aca="false">IF($O26="","",IF(INDEX(전체!$K$6:$K$75,$O26)="","",INDEX(전체!$K$6:$K$75,$O26)))</f>
        <v/>
      </c>
      <c r="K26" s="20" t="str">
        <f aca="false">IF($O26="","",IF(INDEX(전체!$L$6:$L$75,$O26)="","",INDEX(전체!$L$6:$L$75,$O26)))</f>
        <v/>
      </c>
      <c r="L26" s="5" t="str">
        <f aca="false">IF($O26="","",IF(INDEX(전체!$M$6:$M$75,$O26)="","",INDEX(전체!$M$6:$M$75,$O26)))</f>
        <v/>
      </c>
      <c r="M26" s="21" t="str">
        <f aca="false">IF($O26="","",IF(INDEX(전체!$N$6:$N$75,$O26)="","",INDEX(전체!$N$6:$N$75,$O26)))</f>
        <v/>
      </c>
      <c r="N26" s="21" t="str">
        <f aca="false">IF($O26="","",IF(INDEX(전체!$O$6:$O$75,$O26)="","",INDEX(전체!$O$6:$O$75,$O26)))</f>
        <v/>
      </c>
      <c r="O26" s="22" t="str">
        <f aca="false">IFERROR(MATCH($R$2&amp;"|"&amp;22,전체!$P$6:$P$75,0),"")</f>
        <v/>
      </c>
    </row>
    <row r="27" customFormat="false" ht="15" hidden="false" customHeight="false" outlineLevel="0" collapsed="false">
      <c r="A27" s="5" t="str">
        <f aca="false">IF($O27="","",23)</f>
        <v/>
      </c>
      <c r="B27" s="20" t="str">
        <f aca="false">IF($O27="","",IF(INDEX(전체!$C$6:$C$75,$O27)="","",INDEX(전체!$C$6:$C$75,$O27)))</f>
        <v/>
      </c>
      <c r="C27" s="21" t="str">
        <f aca="false">IF($O27="","",IF(INDEX(전체!$D$6:$D$75,$O27)="","",INDEX(전체!$D$6:$D$75,$O27)))</f>
        <v/>
      </c>
      <c r="D27" s="5" t="str">
        <f aca="false">IF($O27="","",IF(INDEX(전체!$E$6:$E$75,$O27)="","",INDEX(전체!$E$6:$E$75,$O27)))</f>
        <v/>
      </c>
      <c r="E27" s="5" t="str">
        <f aca="false">IF($O27="","",IF(INDEX(전체!$F$6:$F$75,$O27)="","",INDEX(전체!$F$6:$F$75,$O27)))</f>
        <v/>
      </c>
      <c r="F27" s="21" t="str">
        <f aca="false">IF($O27="","",IF(INDEX(전체!$G$6:$G$75,$O27)="","",INDEX(전체!$G$6:$G$75,$O27)))</f>
        <v/>
      </c>
      <c r="G27" s="21" t="str">
        <f aca="false">IF($O27="","",IF(INDEX(전체!$H$6:$H$75,$O27)="","",INDEX(전체!$H$6:$H$75,$O27)))</f>
        <v/>
      </c>
      <c r="H27" s="5" t="str">
        <f aca="false">IF($O27="","",IF(INDEX(전체!$I$6:$I$75,$O27)="","",INDEX(전체!$I$6:$I$75,$O27)))</f>
        <v/>
      </c>
      <c r="I27" s="5" t="str">
        <f aca="false">IF($O27="","",IF(INDEX(전체!$J$6:$J$75,$O27)="","",INDEX(전체!$J$6:$J$75,$O27)))</f>
        <v/>
      </c>
      <c r="J27" s="21" t="str">
        <f aca="false">IF($O27="","",IF(INDEX(전체!$K$6:$K$75,$O27)="","",INDEX(전체!$K$6:$K$75,$O27)))</f>
        <v/>
      </c>
      <c r="K27" s="20" t="str">
        <f aca="false">IF($O27="","",IF(INDEX(전체!$L$6:$L$75,$O27)="","",INDEX(전체!$L$6:$L$75,$O27)))</f>
        <v/>
      </c>
      <c r="L27" s="5" t="str">
        <f aca="false">IF($O27="","",IF(INDEX(전체!$M$6:$M$75,$O27)="","",INDEX(전체!$M$6:$M$75,$O27)))</f>
        <v/>
      </c>
      <c r="M27" s="21" t="str">
        <f aca="false">IF($O27="","",IF(INDEX(전체!$N$6:$N$75,$O27)="","",INDEX(전체!$N$6:$N$75,$O27)))</f>
        <v/>
      </c>
      <c r="N27" s="21" t="str">
        <f aca="false">IF($O27="","",IF(INDEX(전체!$O$6:$O$75,$O27)="","",INDEX(전체!$O$6:$O$75,$O27)))</f>
        <v/>
      </c>
      <c r="O27" s="22" t="str">
        <f aca="false">IFERROR(MATCH($R$2&amp;"|"&amp;23,전체!$P$6:$P$75,0),"")</f>
        <v/>
      </c>
    </row>
    <row r="28" customFormat="false" ht="15" hidden="false" customHeight="false" outlineLevel="0" collapsed="false">
      <c r="A28" s="5" t="str">
        <f aca="false">IF($O28="","",24)</f>
        <v/>
      </c>
      <c r="B28" s="20" t="str">
        <f aca="false">IF($O28="","",IF(INDEX(전체!$C$6:$C$75,$O28)="","",INDEX(전체!$C$6:$C$75,$O28)))</f>
        <v/>
      </c>
      <c r="C28" s="21" t="str">
        <f aca="false">IF($O28="","",IF(INDEX(전체!$D$6:$D$75,$O28)="","",INDEX(전체!$D$6:$D$75,$O28)))</f>
        <v/>
      </c>
      <c r="D28" s="5" t="str">
        <f aca="false">IF($O28="","",IF(INDEX(전체!$E$6:$E$75,$O28)="","",INDEX(전체!$E$6:$E$75,$O28)))</f>
        <v/>
      </c>
      <c r="E28" s="5" t="str">
        <f aca="false">IF($O28="","",IF(INDEX(전체!$F$6:$F$75,$O28)="","",INDEX(전체!$F$6:$F$75,$O28)))</f>
        <v/>
      </c>
      <c r="F28" s="21" t="str">
        <f aca="false">IF($O28="","",IF(INDEX(전체!$G$6:$G$75,$O28)="","",INDEX(전체!$G$6:$G$75,$O28)))</f>
        <v/>
      </c>
      <c r="G28" s="21" t="str">
        <f aca="false">IF($O28="","",IF(INDEX(전체!$H$6:$H$75,$O28)="","",INDEX(전체!$H$6:$H$75,$O28)))</f>
        <v/>
      </c>
      <c r="H28" s="5" t="str">
        <f aca="false">IF($O28="","",IF(INDEX(전체!$I$6:$I$75,$O28)="","",INDEX(전체!$I$6:$I$75,$O28)))</f>
        <v/>
      </c>
      <c r="I28" s="5" t="str">
        <f aca="false">IF($O28="","",IF(INDEX(전체!$J$6:$J$75,$O28)="","",INDEX(전체!$J$6:$J$75,$O28)))</f>
        <v/>
      </c>
      <c r="J28" s="21" t="str">
        <f aca="false">IF($O28="","",IF(INDEX(전체!$K$6:$K$75,$O28)="","",INDEX(전체!$K$6:$K$75,$O28)))</f>
        <v/>
      </c>
      <c r="K28" s="20" t="str">
        <f aca="false">IF($O28="","",IF(INDEX(전체!$L$6:$L$75,$O28)="","",INDEX(전체!$L$6:$L$75,$O28)))</f>
        <v/>
      </c>
      <c r="L28" s="5" t="str">
        <f aca="false">IF($O28="","",IF(INDEX(전체!$M$6:$M$75,$O28)="","",INDEX(전체!$M$6:$M$75,$O28)))</f>
        <v/>
      </c>
      <c r="M28" s="21" t="str">
        <f aca="false">IF($O28="","",IF(INDEX(전체!$N$6:$N$75,$O28)="","",INDEX(전체!$N$6:$N$75,$O28)))</f>
        <v/>
      </c>
      <c r="N28" s="21" t="str">
        <f aca="false">IF($O28="","",IF(INDEX(전체!$O$6:$O$75,$O28)="","",INDEX(전체!$O$6:$O$75,$O28)))</f>
        <v/>
      </c>
      <c r="O28" s="22" t="str">
        <f aca="false">IFERROR(MATCH($R$2&amp;"|"&amp;24,전체!$P$6:$P$75,0),"")</f>
        <v/>
      </c>
    </row>
    <row r="29" customFormat="false" ht="15" hidden="false" customHeight="false" outlineLevel="0" collapsed="false">
      <c r="A29" s="5" t="str">
        <f aca="false">IF($O29="","",25)</f>
        <v/>
      </c>
      <c r="B29" s="20" t="str">
        <f aca="false">IF($O29="","",IF(INDEX(전체!$C$6:$C$75,$O29)="","",INDEX(전체!$C$6:$C$75,$O29)))</f>
        <v/>
      </c>
      <c r="C29" s="21" t="str">
        <f aca="false">IF($O29="","",IF(INDEX(전체!$D$6:$D$75,$O29)="","",INDEX(전체!$D$6:$D$75,$O29)))</f>
        <v/>
      </c>
      <c r="D29" s="5" t="str">
        <f aca="false">IF($O29="","",IF(INDEX(전체!$E$6:$E$75,$O29)="","",INDEX(전체!$E$6:$E$75,$O29)))</f>
        <v/>
      </c>
      <c r="E29" s="5" t="str">
        <f aca="false">IF($O29="","",IF(INDEX(전체!$F$6:$F$75,$O29)="","",INDEX(전체!$F$6:$F$75,$O29)))</f>
        <v/>
      </c>
      <c r="F29" s="21" t="str">
        <f aca="false">IF($O29="","",IF(INDEX(전체!$G$6:$G$75,$O29)="","",INDEX(전체!$G$6:$G$75,$O29)))</f>
        <v/>
      </c>
      <c r="G29" s="21" t="str">
        <f aca="false">IF($O29="","",IF(INDEX(전체!$H$6:$H$75,$O29)="","",INDEX(전체!$H$6:$H$75,$O29)))</f>
        <v/>
      </c>
      <c r="H29" s="5" t="str">
        <f aca="false">IF($O29="","",IF(INDEX(전체!$I$6:$I$75,$O29)="","",INDEX(전체!$I$6:$I$75,$O29)))</f>
        <v/>
      </c>
      <c r="I29" s="5" t="str">
        <f aca="false">IF($O29="","",IF(INDEX(전체!$J$6:$J$75,$O29)="","",INDEX(전체!$J$6:$J$75,$O29)))</f>
        <v/>
      </c>
      <c r="J29" s="21" t="str">
        <f aca="false">IF($O29="","",IF(INDEX(전체!$K$6:$K$75,$O29)="","",INDEX(전체!$K$6:$K$75,$O29)))</f>
        <v/>
      </c>
      <c r="K29" s="20" t="str">
        <f aca="false">IF($O29="","",IF(INDEX(전체!$L$6:$L$75,$O29)="","",INDEX(전체!$L$6:$L$75,$O29)))</f>
        <v/>
      </c>
      <c r="L29" s="5" t="str">
        <f aca="false">IF($O29="","",IF(INDEX(전체!$M$6:$M$75,$O29)="","",INDEX(전체!$M$6:$M$75,$O29)))</f>
        <v/>
      </c>
      <c r="M29" s="21" t="str">
        <f aca="false">IF($O29="","",IF(INDEX(전체!$N$6:$N$75,$O29)="","",INDEX(전체!$N$6:$N$75,$O29)))</f>
        <v/>
      </c>
      <c r="N29" s="21" t="str">
        <f aca="false">IF($O29="","",IF(INDEX(전체!$O$6:$O$75,$O29)="","",INDEX(전체!$O$6:$O$75,$O29)))</f>
        <v/>
      </c>
      <c r="O29" s="22" t="str">
        <f aca="false">IFERROR(MATCH($R$2&amp;"|"&amp;25,전체!$P$6:$P$75,0),"")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699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6"/>
  </cols>
  <sheetData>
    <row r="1" customFormat="false" ht="20.1" hidden="false" customHeight="false" outlineLevel="0" collapsed="false">
      <c r="A1" s="1" t="s">
        <v>259</v>
      </c>
      <c r="C1" s="16" t="str">
        <f aca="false">COUNTIF(전체!$B$6:$B$75,"국밥·탕")&amp;"곳"</f>
        <v>4곳</v>
      </c>
    </row>
    <row r="2" customFormat="false" ht="15" hidden="false" customHeight="false" outlineLevel="0" collapsed="false">
      <c r="A2" s="17" t="s">
        <v>255</v>
      </c>
      <c r="R2" s="18" t="s">
        <v>260</v>
      </c>
    </row>
    <row r="4" customFormat="false" ht="39.55" hidden="false" customHeight="false" outlineLevel="0" collapsed="false">
      <c r="A4" s="3" t="s">
        <v>3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19" t="s">
        <v>256</v>
      </c>
    </row>
    <row r="5" customFormat="false" ht="15" hidden="false" customHeight="false" outlineLevel="0" collapsed="false">
      <c r="A5" s="5" t="n">
        <f aca="false">IF($O5="","",1)</f>
        <v>1</v>
      </c>
      <c r="B5" s="20" t="str">
        <f aca="false">IF($O5="","",IF(INDEX(전체!$C$6:$C$75,$O5)="","",INDEX(전체!$C$6:$C$75,$O5)))</f>
        <v>중앙본가국밥</v>
      </c>
      <c r="C5" s="21" t="str">
        <f aca="false">IF($O5="","",IF(INDEX(전체!$D$6:$D$75,$O5)="","",INDEX(전체!$D$6:$D$75,$O5)))</f>
        <v>국밥</v>
      </c>
      <c r="D5" s="5" t="str">
        <f aca="false">IF($O5="","",IF(INDEX(전체!$E$6:$E$75,$O5)="","",INDEX(전체!$E$6:$E$75,$O5)))</f>
        <v>영업 중</v>
      </c>
      <c r="E5" s="5" t="str">
        <f aca="false">IF($O5="","",IF(INDEX(전체!$F$6:$F$75,$O5)="","",INDEX(전체!$F$6:$F$75,$O5)))</f>
        <v/>
      </c>
      <c r="F5" s="21" t="str">
        <f aca="false">IF($O5="","",IF(INDEX(전체!$G$6:$G$75,$O5)="","",INDEX(전체!$G$6:$G$75,$O5)))</f>
        <v>부산 중구 중앙동2가 49-18</v>
      </c>
      <c r="G5" s="21" t="str">
        <f aca="false">IF($O5="","",IF(INDEX(전체!$H$6:$H$75,$O5)="","",INDEX(전체!$H$6:$H$75,$O5)))</f>
        <v>1층</v>
      </c>
      <c r="H5" s="5" t="str">
        <f aca="false">IF($O5="","",IF(INDEX(전체!$I$6:$I$75,$O5)="","",INDEX(전체!$I$6:$I$75,$O5)))</f>
        <v/>
      </c>
      <c r="I5" s="5" t="str">
        <f aca="false">IF($O5="","",IF(INDEX(전체!$J$6:$J$75,$O5)="","",INDEX(전체!$J$6:$J$75,$O5)))</f>
        <v/>
      </c>
      <c r="J5" s="21" t="str">
        <f aca="false">IF($O5="","",IF(INDEX(전체!$K$6:$K$75,$O5)="","",INDEX(전체!$K$6:$K$75,$O5)))</f>
        <v/>
      </c>
      <c r="K5" s="20" t="str">
        <f aca="false">IF($O5="","",IF(INDEX(전체!$L$6:$L$75,$O5)="","",INDEX(전체!$L$6:$L$75,$O5)))</f>
        <v>국밥</v>
      </c>
      <c r="L5" s="5" t="str">
        <f aca="false">IF($O5="","",IF(INDEX(전체!$M$6:$M$75,$O5)="","",INDEX(전체!$M$6:$M$75,$O5)))</f>
        <v>9,000~11,000</v>
      </c>
      <c r="M5" s="21" t="str">
        <f aca="false">IF($O5="","",IF(INDEX(전체!$N$6:$N$75,$O5)="","",INDEX(전체!$N$6:$N$75,$O5)))</f>
        <v>국밥 전문점. 넓은 홀</v>
      </c>
      <c r="N5" s="21" t="str">
        <f aca="false">IF($O5="","",IF(INDEX(전체!$O$6:$O$75,$O5)="","",INDEX(전체!$O$6:$O$75,$O5)))</f>
        <v/>
      </c>
      <c r="O5" s="22" t="n">
        <f aca="false">IFERROR(MATCH($R$2&amp;"|"&amp;1,전체!$P$6:$P$75,0),"")</f>
        <v>10</v>
      </c>
    </row>
    <row r="6" customFormat="false" ht="15" hidden="false" customHeight="false" outlineLevel="0" collapsed="false">
      <c r="A6" s="5" t="n">
        <f aca="false">IF($O6="","",2)</f>
        <v>2</v>
      </c>
      <c r="B6" s="20" t="str">
        <f aca="false">IF($O6="","",IF(INDEX(전체!$C$6:$C$75,$O6)="","",INDEX(전체!$C$6:$C$75,$O6)))</f>
        <v>한양왕순대돼지국밥</v>
      </c>
      <c r="C6" s="21" t="str">
        <f aca="false">IF($O6="","",IF(INDEX(전체!$D$6:$D$75,$O6)="","",INDEX(전체!$D$6:$D$75,$O6)))</f>
        <v>국밥</v>
      </c>
      <c r="D6" s="5" t="str">
        <f aca="false">IF($O6="","",IF(INDEX(전체!$E$6:$E$75,$O6)="","",INDEX(전체!$E$6:$E$75,$O6)))</f>
        <v>정보 없음</v>
      </c>
      <c r="E6" s="5" t="str">
        <f aca="false">IF($O6="","",IF(INDEX(전체!$F$6:$F$75,$O6)="","",INDEX(전체!$F$6:$F$75,$O6)))</f>
        <v/>
      </c>
      <c r="F6" s="21" t="str">
        <f aca="false">IF($O6="","",IF(INDEX(전체!$G$6:$G$75,$O6)="","",INDEX(전체!$G$6:$G$75,$O6)))</f>
        <v>부산 중구 중앙동1가 22-10</v>
      </c>
      <c r="G6" s="21" t="str">
        <f aca="false">IF($O6="","",IF(INDEX(전체!$H$6:$H$75,$O6)="","",INDEX(전체!$H$6:$H$75,$O6)))</f>
        <v/>
      </c>
      <c r="H6" s="5" t="str">
        <f aca="false">IF($O6="","",IF(INDEX(전체!$I$6:$I$75,$O6)="","",INDEX(전체!$I$6:$I$75,$O6)))</f>
        <v/>
      </c>
      <c r="I6" s="5" t="str">
        <f aca="false">IF($O6="","",IF(INDEX(전체!$J$6:$J$75,$O6)="","",INDEX(전체!$J$6:$J$75,$O6)))</f>
        <v/>
      </c>
      <c r="J6" s="21" t="str">
        <f aca="false">IF($O6="","",IF(INDEX(전체!$K$6:$K$75,$O6)="","",INDEX(전체!$K$6:$K$75,$O6)))</f>
        <v/>
      </c>
      <c r="K6" s="20" t="str">
        <f aca="false">IF($O6="","",IF(INDEX(전체!$L$6:$L$75,$O6)="","",INDEX(전체!$L$6:$L$75,$O6)))</f>
        <v>순대·돼지국밥</v>
      </c>
      <c r="L6" s="5" t="str">
        <f aca="false">IF($O6="","",IF(INDEX(전체!$M$6:$M$75,$O6)="","",INDEX(전체!$M$6:$M$75,$O6)))</f>
        <v>9,000~11,000</v>
      </c>
      <c r="M6" s="21" t="str">
        <f aca="false">IF($O6="","",IF(INDEX(전체!$N$6:$N$75,$O6)="","",INDEX(전체!$N$6:$N$75,$O6)))</f>
        <v>순대와 돼지국밥 전문점</v>
      </c>
      <c r="N6" s="21" t="str">
        <f aca="false">IF($O6="","",IF(INDEX(전체!$O$6:$O$75,$O6)="","",INDEX(전체!$O$6:$O$75,$O6)))</f>
        <v/>
      </c>
      <c r="O6" s="22" t="n">
        <f aca="false">IFERROR(MATCH($R$2&amp;"|"&amp;2,전체!$P$6:$P$75,0),"")</f>
        <v>14</v>
      </c>
    </row>
    <row r="7" customFormat="false" ht="15" hidden="false" customHeight="false" outlineLevel="0" collapsed="false">
      <c r="A7" s="5" t="n">
        <f aca="false">IF($O7="","",3)</f>
        <v>3</v>
      </c>
      <c r="B7" s="20" t="str">
        <f aca="false">IF($O7="","",IF(INDEX(전체!$C$6:$C$75,$O7)="","",INDEX(전체!$C$6:$C$75,$O7)))</f>
        <v>섬진강재첩국</v>
      </c>
      <c r="C7" s="21" t="str">
        <f aca="false">IF($O7="","",IF(INDEX(전체!$D$6:$D$75,$O7)="","",INDEX(전체!$D$6:$D$75,$O7)))</f>
        <v>한식 (재첩국)</v>
      </c>
      <c r="D7" s="5" t="str">
        <f aca="false">IF($O7="","",IF(INDEX(전체!$E$6:$E$75,$O7)="","",INDEX(전체!$E$6:$E$75,$O7)))</f>
        <v>영업 종료</v>
      </c>
      <c r="E7" s="5" t="str">
        <f aca="false">IF($O7="","",IF(INDEX(전체!$F$6:$F$75,$O7)="","",INDEX(전체!$F$6:$F$75,$O7)))</f>
        <v/>
      </c>
      <c r="F7" s="21" t="str">
        <f aca="false">IF($O7="","",IF(INDEX(전체!$G$6:$G$75,$O7)="","",INDEX(전체!$G$6:$G$75,$O7)))</f>
        <v>부산 중구 동광동2가 10-4</v>
      </c>
      <c r="G7" s="21" t="str">
        <f aca="false">IF($O7="","",IF(INDEX(전체!$H$6:$H$75,$O7)="","",INDEX(전체!$H$6:$H$75,$O7)))</f>
        <v/>
      </c>
      <c r="H7" s="5" t="str">
        <f aca="false">IF($O7="","",IF(INDEX(전체!$I$6:$I$75,$O7)="","",INDEX(전체!$I$6:$I$75,$O7)))</f>
        <v/>
      </c>
      <c r="I7" s="5" t="str">
        <f aca="false">IF($O7="","",IF(INDEX(전체!$J$6:$J$75,$O7)="","",INDEX(전체!$J$6:$J$75,$O7)))</f>
        <v/>
      </c>
      <c r="J7" s="21" t="str">
        <f aca="false">IF($O7="","",IF(INDEX(전체!$K$6:$K$75,$O7)="","",INDEX(전체!$K$6:$K$75,$O7)))</f>
        <v/>
      </c>
      <c r="K7" s="20" t="str">
        <f aca="false">IF($O7="","",IF(INDEX(전체!$L$6:$L$75,$O7)="","",INDEX(전체!$L$6:$L$75,$O7)))</f>
        <v>재첩국</v>
      </c>
      <c r="L7" s="5" t="str">
        <f aca="false">IF($O7="","",IF(INDEX(전체!$M$6:$M$75,$O7)="","",INDEX(전체!$M$6:$M$75,$O7)))</f>
        <v>10,000~13,000</v>
      </c>
      <c r="M7" s="21" t="str">
        <f aca="false">IF($O7="","",IF(INDEX(전체!$N$6:$N$75,$O7)="","",INDEX(전체!$N$6:$N$75,$O7)))</f>
        <v>재첩국 위주의 한식 (영업 종료로 표시됨)</v>
      </c>
      <c r="N7" s="21" t="str">
        <f aca="false">IF($O7="","",IF(INDEX(전체!$O$6:$O$75,$O7)="","",INDEX(전체!$O$6:$O$75,$O7)))</f>
        <v>재첩국이라 국밥·탕으로 분류</v>
      </c>
      <c r="O7" s="22" t="n">
        <f aca="false">IFERROR(MATCH($R$2&amp;"|"&amp;3,전체!$P$6:$P$75,0),"")</f>
        <v>25</v>
      </c>
    </row>
    <row r="8" customFormat="false" ht="26.85" hidden="false" customHeight="false" outlineLevel="0" collapsed="false">
      <c r="A8" s="5" t="n">
        <f aca="false">IF($O8="","",4)</f>
        <v>4</v>
      </c>
      <c r="B8" s="20" t="str">
        <f aca="false">IF($O8="","",IF(INDEX(전체!$C$6:$C$75,$O8)="","",INDEX(전체!$C$6:$C$75,$O8)))</f>
        <v>남포설렁탕</v>
      </c>
      <c r="C8" s="21" t="str">
        <f aca="false">IF($O8="","",IF(INDEX(전체!$D$6:$D$75,$O8)="","",INDEX(전체!$D$6:$D$75,$O8)))</f>
        <v>설렁탕</v>
      </c>
      <c r="D8" s="5" t="str">
        <f aca="false">IF($O8="","",IF(INDEX(전체!$E$6:$E$75,$O8)="","",INDEX(전체!$E$6:$E$75,$O8)))</f>
        <v>정보 없음</v>
      </c>
      <c r="E8" s="5" t="str">
        <f aca="false">IF($O8="","",IF(INDEX(전체!$F$6:$F$75,$O8)="","",INDEX(전체!$F$6:$F$75,$O8)))</f>
        <v/>
      </c>
      <c r="F8" s="21" t="str">
        <f aca="false">IF($O8="","",IF(INDEX(전체!$G$6:$G$75,$O8)="","",INDEX(전체!$G$6:$G$75,$O8)))</f>
        <v>부산 중구 구덕로34번길 8</v>
      </c>
      <c r="G8" s="21" t="str">
        <f aca="false">IF($O8="","",IF(INDEX(전체!$H$6:$H$75,$O8)="","",INDEX(전체!$H$6:$H$75,$O8)))</f>
        <v/>
      </c>
      <c r="H8" s="5" t="str">
        <f aca="false">IF($O8="","",IF(INDEX(전체!$I$6:$I$75,$O8)="","",INDEX(전체!$I$6:$I$75,$O8)))</f>
        <v/>
      </c>
      <c r="I8" s="5" t="str">
        <f aca="false">IF($O8="","",IF(INDEX(전체!$J$6:$J$75,$O8)="","",INDEX(전체!$J$6:$J$75,$O8)))</f>
        <v/>
      </c>
      <c r="J8" s="21" t="str">
        <f aca="false">IF($O8="","",IF(INDEX(전체!$K$6:$K$75,$O8)="","",INDEX(전체!$K$6:$K$75,$O8)))</f>
        <v/>
      </c>
      <c r="K8" s="20" t="str">
        <f aca="false">IF($O8="","",IF(INDEX(전체!$L$6:$L$75,$O8)="","",INDEX(전체!$L$6:$L$75,$O8)))</f>
        <v>설렁탕</v>
      </c>
      <c r="L8" s="5" t="str">
        <f aca="false">IF($O8="","",IF(INDEX(전체!$M$6:$M$75,$O8)="","",INDEX(전체!$M$6:$M$75,$O8)))</f>
        <v>10,000~12,000</v>
      </c>
      <c r="M8" s="21" t="str">
        <f aca="false">IF($O8="","",IF(INDEX(전체!$N$6:$N$75,$O8)="","",INDEX(전체!$N$6:$N$75,$O8)))</f>
        <v>남포동 설렁탕 전문점</v>
      </c>
      <c r="N8" s="21" t="str">
        <f aca="false">IF($O8="","",IF(INDEX(전체!$O$6:$O$75,$O8)="","",INDEX(전체!$O$6:$O$75,$O8)))</f>
        <v>주소는 웹검색 기준 (이름: 링크 검색어) – 확인 필요</v>
      </c>
      <c r="O8" s="22" t="n">
        <f aca="false">IFERROR(MATCH($R$2&amp;"|"&amp;4,전체!$P$6:$P$75,0),"")</f>
        <v>32</v>
      </c>
    </row>
    <row r="9" customFormat="false" ht="15" hidden="false" customHeight="false" outlineLevel="0" collapsed="false">
      <c r="A9" s="5" t="str">
        <f aca="false">IF($O9="","",5)</f>
        <v/>
      </c>
      <c r="B9" s="20" t="str">
        <f aca="false">IF($O9="","",IF(INDEX(전체!$C$6:$C$75,$O9)="","",INDEX(전체!$C$6:$C$75,$O9)))</f>
        <v/>
      </c>
      <c r="C9" s="21" t="str">
        <f aca="false">IF($O9="","",IF(INDEX(전체!$D$6:$D$75,$O9)="","",INDEX(전체!$D$6:$D$75,$O9)))</f>
        <v/>
      </c>
      <c r="D9" s="5" t="str">
        <f aca="false">IF($O9="","",IF(INDEX(전체!$E$6:$E$75,$O9)="","",INDEX(전체!$E$6:$E$75,$O9)))</f>
        <v/>
      </c>
      <c r="E9" s="5" t="str">
        <f aca="false">IF($O9="","",IF(INDEX(전체!$F$6:$F$75,$O9)="","",INDEX(전체!$F$6:$F$75,$O9)))</f>
        <v/>
      </c>
      <c r="F9" s="21" t="str">
        <f aca="false">IF($O9="","",IF(INDEX(전체!$G$6:$G$75,$O9)="","",INDEX(전체!$G$6:$G$75,$O9)))</f>
        <v/>
      </c>
      <c r="G9" s="21" t="str">
        <f aca="false">IF($O9="","",IF(INDEX(전체!$H$6:$H$75,$O9)="","",INDEX(전체!$H$6:$H$75,$O9)))</f>
        <v/>
      </c>
      <c r="H9" s="5" t="str">
        <f aca="false">IF($O9="","",IF(INDEX(전체!$I$6:$I$75,$O9)="","",INDEX(전체!$I$6:$I$75,$O9)))</f>
        <v/>
      </c>
      <c r="I9" s="5" t="str">
        <f aca="false">IF($O9="","",IF(INDEX(전체!$J$6:$J$75,$O9)="","",INDEX(전체!$J$6:$J$75,$O9)))</f>
        <v/>
      </c>
      <c r="J9" s="21" t="str">
        <f aca="false">IF($O9="","",IF(INDEX(전체!$K$6:$K$75,$O9)="","",INDEX(전체!$K$6:$K$75,$O9)))</f>
        <v/>
      </c>
      <c r="K9" s="20" t="str">
        <f aca="false">IF($O9="","",IF(INDEX(전체!$L$6:$L$75,$O9)="","",INDEX(전체!$L$6:$L$75,$O9)))</f>
        <v/>
      </c>
      <c r="L9" s="5" t="str">
        <f aca="false">IF($O9="","",IF(INDEX(전체!$M$6:$M$75,$O9)="","",INDEX(전체!$M$6:$M$75,$O9)))</f>
        <v/>
      </c>
      <c r="M9" s="21" t="str">
        <f aca="false">IF($O9="","",IF(INDEX(전체!$N$6:$N$75,$O9)="","",INDEX(전체!$N$6:$N$75,$O9)))</f>
        <v/>
      </c>
      <c r="N9" s="21" t="str">
        <f aca="false">IF($O9="","",IF(INDEX(전체!$O$6:$O$75,$O9)="","",INDEX(전체!$O$6:$O$75,$O9)))</f>
        <v/>
      </c>
      <c r="O9" s="22" t="str">
        <f aca="false">IFERROR(MATCH($R$2&amp;"|"&amp;5,전체!$P$6:$P$75,0),"")</f>
        <v/>
      </c>
    </row>
    <row r="10" customFormat="false" ht="15" hidden="false" customHeight="false" outlineLevel="0" collapsed="false">
      <c r="A10" s="5" t="str">
        <f aca="false">IF($O10="","",6)</f>
        <v/>
      </c>
      <c r="B10" s="20" t="str">
        <f aca="false">IF($O10="","",IF(INDEX(전체!$C$6:$C$75,$O10)="","",INDEX(전체!$C$6:$C$75,$O10)))</f>
        <v/>
      </c>
      <c r="C10" s="21" t="str">
        <f aca="false">IF($O10="","",IF(INDEX(전체!$D$6:$D$75,$O10)="","",INDEX(전체!$D$6:$D$75,$O10)))</f>
        <v/>
      </c>
      <c r="D10" s="5" t="str">
        <f aca="false">IF($O10="","",IF(INDEX(전체!$E$6:$E$75,$O10)="","",INDEX(전체!$E$6:$E$75,$O10)))</f>
        <v/>
      </c>
      <c r="E10" s="5" t="str">
        <f aca="false">IF($O10="","",IF(INDEX(전체!$F$6:$F$75,$O10)="","",INDEX(전체!$F$6:$F$75,$O10)))</f>
        <v/>
      </c>
      <c r="F10" s="21" t="str">
        <f aca="false">IF($O10="","",IF(INDEX(전체!$G$6:$G$75,$O10)="","",INDEX(전체!$G$6:$G$75,$O10)))</f>
        <v/>
      </c>
      <c r="G10" s="21" t="str">
        <f aca="false">IF($O10="","",IF(INDEX(전체!$H$6:$H$75,$O10)="","",INDEX(전체!$H$6:$H$75,$O10)))</f>
        <v/>
      </c>
      <c r="H10" s="5" t="str">
        <f aca="false">IF($O10="","",IF(INDEX(전체!$I$6:$I$75,$O10)="","",INDEX(전체!$I$6:$I$75,$O10)))</f>
        <v/>
      </c>
      <c r="I10" s="5" t="str">
        <f aca="false">IF($O10="","",IF(INDEX(전체!$J$6:$J$75,$O10)="","",INDEX(전체!$J$6:$J$75,$O10)))</f>
        <v/>
      </c>
      <c r="J10" s="21" t="str">
        <f aca="false">IF($O10="","",IF(INDEX(전체!$K$6:$K$75,$O10)="","",INDEX(전체!$K$6:$K$75,$O10)))</f>
        <v/>
      </c>
      <c r="K10" s="20" t="str">
        <f aca="false">IF($O10="","",IF(INDEX(전체!$L$6:$L$75,$O10)="","",INDEX(전체!$L$6:$L$75,$O10)))</f>
        <v/>
      </c>
      <c r="L10" s="5" t="str">
        <f aca="false">IF($O10="","",IF(INDEX(전체!$M$6:$M$75,$O10)="","",INDEX(전체!$M$6:$M$75,$O10)))</f>
        <v/>
      </c>
      <c r="M10" s="21" t="str">
        <f aca="false">IF($O10="","",IF(INDEX(전체!$N$6:$N$75,$O10)="","",INDEX(전체!$N$6:$N$75,$O10)))</f>
        <v/>
      </c>
      <c r="N10" s="21" t="str">
        <f aca="false">IF($O10="","",IF(INDEX(전체!$O$6:$O$75,$O10)="","",INDEX(전체!$O$6:$O$75,$O10)))</f>
        <v/>
      </c>
      <c r="O10" s="22" t="str">
        <f aca="false">IFERROR(MATCH($R$2&amp;"|"&amp;6,전체!$P$6:$P$75,0),"")</f>
        <v/>
      </c>
    </row>
    <row r="11" customFormat="false" ht="15" hidden="false" customHeight="false" outlineLevel="0" collapsed="false">
      <c r="A11" s="5" t="str">
        <f aca="false">IF($O11="","",7)</f>
        <v/>
      </c>
      <c r="B11" s="20" t="str">
        <f aca="false">IF($O11="","",IF(INDEX(전체!$C$6:$C$75,$O11)="","",INDEX(전체!$C$6:$C$75,$O11)))</f>
        <v/>
      </c>
      <c r="C11" s="21" t="str">
        <f aca="false">IF($O11="","",IF(INDEX(전체!$D$6:$D$75,$O11)="","",INDEX(전체!$D$6:$D$75,$O11)))</f>
        <v/>
      </c>
      <c r="D11" s="5" t="str">
        <f aca="false">IF($O11="","",IF(INDEX(전체!$E$6:$E$75,$O11)="","",INDEX(전체!$E$6:$E$75,$O11)))</f>
        <v/>
      </c>
      <c r="E11" s="5" t="str">
        <f aca="false">IF($O11="","",IF(INDEX(전체!$F$6:$F$75,$O11)="","",INDEX(전체!$F$6:$F$75,$O11)))</f>
        <v/>
      </c>
      <c r="F11" s="21" t="str">
        <f aca="false">IF($O11="","",IF(INDEX(전체!$G$6:$G$75,$O11)="","",INDEX(전체!$G$6:$G$75,$O11)))</f>
        <v/>
      </c>
      <c r="G11" s="21" t="str">
        <f aca="false">IF($O11="","",IF(INDEX(전체!$H$6:$H$75,$O11)="","",INDEX(전체!$H$6:$H$75,$O11)))</f>
        <v/>
      </c>
      <c r="H11" s="5" t="str">
        <f aca="false">IF($O11="","",IF(INDEX(전체!$I$6:$I$75,$O11)="","",INDEX(전체!$I$6:$I$75,$O11)))</f>
        <v/>
      </c>
      <c r="I11" s="5" t="str">
        <f aca="false">IF($O11="","",IF(INDEX(전체!$J$6:$J$75,$O11)="","",INDEX(전체!$J$6:$J$75,$O11)))</f>
        <v/>
      </c>
      <c r="J11" s="21" t="str">
        <f aca="false">IF($O11="","",IF(INDEX(전체!$K$6:$K$75,$O11)="","",INDEX(전체!$K$6:$K$75,$O11)))</f>
        <v/>
      </c>
      <c r="K11" s="20" t="str">
        <f aca="false">IF($O11="","",IF(INDEX(전체!$L$6:$L$75,$O11)="","",INDEX(전체!$L$6:$L$75,$O11)))</f>
        <v/>
      </c>
      <c r="L11" s="5" t="str">
        <f aca="false">IF($O11="","",IF(INDEX(전체!$M$6:$M$75,$O11)="","",INDEX(전체!$M$6:$M$75,$O11)))</f>
        <v/>
      </c>
      <c r="M11" s="21" t="str">
        <f aca="false">IF($O11="","",IF(INDEX(전체!$N$6:$N$75,$O11)="","",INDEX(전체!$N$6:$N$75,$O11)))</f>
        <v/>
      </c>
      <c r="N11" s="21" t="str">
        <f aca="false">IF($O11="","",IF(INDEX(전체!$O$6:$O$75,$O11)="","",INDEX(전체!$O$6:$O$75,$O11)))</f>
        <v/>
      </c>
      <c r="O11" s="22" t="str">
        <f aca="false">IFERROR(MATCH($R$2&amp;"|"&amp;7,전체!$P$6:$P$75,0),"")</f>
        <v/>
      </c>
    </row>
    <row r="12" customFormat="false" ht="15" hidden="false" customHeight="false" outlineLevel="0" collapsed="false">
      <c r="A12" s="5" t="str">
        <f aca="false">IF($O12="","",8)</f>
        <v/>
      </c>
      <c r="B12" s="20" t="str">
        <f aca="false">IF($O12="","",IF(INDEX(전체!$C$6:$C$75,$O12)="","",INDEX(전체!$C$6:$C$75,$O12)))</f>
        <v/>
      </c>
      <c r="C12" s="21" t="str">
        <f aca="false">IF($O12="","",IF(INDEX(전체!$D$6:$D$75,$O12)="","",INDEX(전체!$D$6:$D$75,$O12)))</f>
        <v/>
      </c>
      <c r="D12" s="5" t="str">
        <f aca="false">IF($O12="","",IF(INDEX(전체!$E$6:$E$75,$O12)="","",INDEX(전체!$E$6:$E$75,$O12)))</f>
        <v/>
      </c>
      <c r="E12" s="5" t="str">
        <f aca="false">IF($O12="","",IF(INDEX(전체!$F$6:$F$75,$O12)="","",INDEX(전체!$F$6:$F$75,$O12)))</f>
        <v/>
      </c>
      <c r="F12" s="21" t="str">
        <f aca="false">IF($O12="","",IF(INDEX(전체!$G$6:$G$75,$O12)="","",INDEX(전체!$G$6:$G$75,$O12)))</f>
        <v/>
      </c>
      <c r="G12" s="21" t="str">
        <f aca="false">IF($O12="","",IF(INDEX(전체!$H$6:$H$75,$O12)="","",INDEX(전체!$H$6:$H$75,$O12)))</f>
        <v/>
      </c>
      <c r="H12" s="5" t="str">
        <f aca="false">IF($O12="","",IF(INDEX(전체!$I$6:$I$75,$O12)="","",INDEX(전체!$I$6:$I$75,$O12)))</f>
        <v/>
      </c>
      <c r="I12" s="5" t="str">
        <f aca="false">IF($O12="","",IF(INDEX(전체!$J$6:$J$75,$O12)="","",INDEX(전체!$J$6:$J$75,$O12)))</f>
        <v/>
      </c>
      <c r="J12" s="21" t="str">
        <f aca="false">IF($O12="","",IF(INDEX(전체!$K$6:$K$75,$O12)="","",INDEX(전체!$K$6:$K$75,$O12)))</f>
        <v/>
      </c>
      <c r="K12" s="20" t="str">
        <f aca="false">IF($O12="","",IF(INDEX(전체!$L$6:$L$75,$O12)="","",INDEX(전체!$L$6:$L$75,$O12)))</f>
        <v/>
      </c>
      <c r="L12" s="5" t="str">
        <f aca="false">IF($O12="","",IF(INDEX(전체!$M$6:$M$75,$O12)="","",INDEX(전체!$M$6:$M$75,$O12)))</f>
        <v/>
      </c>
      <c r="M12" s="21" t="str">
        <f aca="false">IF($O12="","",IF(INDEX(전체!$N$6:$N$75,$O12)="","",INDEX(전체!$N$6:$N$75,$O12)))</f>
        <v/>
      </c>
      <c r="N12" s="21" t="str">
        <f aca="false">IF($O12="","",IF(INDEX(전체!$O$6:$O$75,$O12)="","",INDEX(전체!$O$6:$O$75,$O12)))</f>
        <v/>
      </c>
      <c r="O12" s="22" t="str">
        <f aca="false">IFERROR(MATCH($R$2&amp;"|"&amp;8,전체!$P$6:$P$75,0),"")</f>
        <v/>
      </c>
    </row>
    <row r="13" customFormat="false" ht="15" hidden="false" customHeight="false" outlineLevel="0" collapsed="false">
      <c r="A13" s="5" t="str">
        <f aca="false">IF($O13="","",9)</f>
        <v/>
      </c>
      <c r="B13" s="20" t="str">
        <f aca="false">IF($O13="","",IF(INDEX(전체!$C$6:$C$75,$O13)="","",INDEX(전체!$C$6:$C$75,$O13)))</f>
        <v/>
      </c>
      <c r="C13" s="21" t="str">
        <f aca="false">IF($O13="","",IF(INDEX(전체!$D$6:$D$75,$O13)="","",INDEX(전체!$D$6:$D$75,$O13)))</f>
        <v/>
      </c>
      <c r="D13" s="5" t="str">
        <f aca="false">IF($O13="","",IF(INDEX(전체!$E$6:$E$75,$O13)="","",INDEX(전체!$E$6:$E$75,$O13)))</f>
        <v/>
      </c>
      <c r="E13" s="5" t="str">
        <f aca="false">IF($O13="","",IF(INDEX(전체!$F$6:$F$75,$O13)="","",INDEX(전체!$F$6:$F$75,$O13)))</f>
        <v/>
      </c>
      <c r="F13" s="21" t="str">
        <f aca="false">IF($O13="","",IF(INDEX(전체!$G$6:$G$75,$O13)="","",INDEX(전체!$G$6:$G$75,$O13)))</f>
        <v/>
      </c>
      <c r="G13" s="21" t="str">
        <f aca="false">IF($O13="","",IF(INDEX(전체!$H$6:$H$75,$O13)="","",INDEX(전체!$H$6:$H$75,$O13)))</f>
        <v/>
      </c>
      <c r="H13" s="5" t="str">
        <f aca="false">IF($O13="","",IF(INDEX(전체!$I$6:$I$75,$O13)="","",INDEX(전체!$I$6:$I$75,$O13)))</f>
        <v/>
      </c>
      <c r="I13" s="5" t="str">
        <f aca="false">IF($O13="","",IF(INDEX(전체!$J$6:$J$75,$O13)="","",INDEX(전체!$J$6:$J$75,$O13)))</f>
        <v/>
      </c>
      <c r="J13" s="21" t="str">
        <f aca="false">IF($O13="","",IF(INDEX(전체!$K$6:$K$75,$O13)="","",INDEX(전체!$K$6:$K$75,$O13)))</f>
        <v/>
      </c>
      <c r="K13" s="20" t="str">
        <f aca="false">IF($O13="","",IF(INDEX(전체!$L$6:$L$75,$O13)="","",INDEX(전체!$L$6:$L$75,$O13)))</f>
        <v/>
      </c>
      <c r="L13" s="5" t="str">
        <f aca="false">IF($O13="","",IF(INDEX(전체!$M$6:$M$75,$O13)="","",INDEX(전체!$M$6:$M$75,$O13)))</f>
        <v/>
      </c>
      <c r="M13" s="21" t="str">
        <f aca="false">IF($O13="","",IF(INDEX(전체!$N$6:$N$75,$O13)="","",INDEX(전체!$N$6:$N$75,$O13)))</f>
        <v/>
      </c>
      <c r="N13" s="21" t="str">
        <f aca="false">IF($O13="","",IF(INDEX(전체!$O$6:$O$75,$O13)="","",INDEX(전체!$O$6:$O$75,$O13)))</f>
        <v/>
      </c>
      <c r="O13" s="22" t="str">
        <f aca="false">IFERROR(MATCH($R$2&amp;"|"&amp;9,전체!$P$6:$P$75,0),"")</f>
        <v/>
      </c>
    </row>
    <row r="14" customFormat="false" ht="15" hidden="false" customHeight="false" outlineLevel="0" collapsed="false">
      <c r="A14" s="5" t="str">
        <f aca="false">IF($O14="","",10)</f>
        <v/>
      </c>
      <c r="B14" s="20" t="str">
        <f aca="false">IF($O14="","",IF(INDEX(전체!$C$6:$C$75,$O14)="","",INDEX(전체!$C$6:$C$75,$O14)))</f>
        <v/>
      </c>
      <c r="C14" s="21" t="str">
        <f aca="false">IF($O14="","",IF(INDEX(전체!$D$6:$D$75,$O14)="","",INDEX(전체!$D$6:$D$75,$O14)))</f>
        <v/>
      </c>
      <c r="D14" s="5" t="str">
        <f aca="false">IF($O14="","",IF(INDEX(전체!$E$6:$E$75,$O14)="","",INDEX(전체!$E$6:$E$75,$O14)))</f>
        <v/>
      </c>
      <c r="E14" s="5" t="str">
        <f aca="false">IF($O14="","",IF(INDEX(전체!$F$6:$F$75,$O14)="","",INDEX(전체!$F$6:$F$75,$O14)))</f>
        <v/>
      </c>
      <c r="F14" s="21" t="str">
        <f aca="false">IF($O14="","",IF(INDEX(전체!$G$6:$G$75,$O14)="","",INDEX(전체!$G$6:$G$75,$O14)))</f>
        <v/>
      </c>
      <c r="G14" s="21" t="str">
        <f aca="false">IF($O14="","",IF(INDEX(전체!$H$6:$H$75,$O14)="","",INDEX(전체!$H$6:$H$75,$O14)))</f>
        <v/>
      </c>
      <c r="H14" s="5" t="str">
        <f aca="false">IF($O14="","",IF(INDEX(전체!$I$6:$I$75,$O14)="","",INDEX(전체!$I$6:$I$75,$O14)))</f>
        <v/>
      </c>
      <c r="I14" s="5" t="str">
        <f aca="false">IF($O14="","",IF(INDEX(전체!$J$6:$J$75,$O14)="","",INDEX(전체!$J$6:$J$75,$O14)))</f>
        <v/>
      </c>
      <c r="J14" s="21" t="str">
        <f aca="false">IF($O14="","",IF(INDEX(전체!$K$6:$K$75,$O14)="","",INDEX(전체!$K$6:$K$75,$O14)))</f>
        <v/>
      </c>
      <c r="K14" s="20" t="str">
        <f aca="false">IF($O14="","",IF(INDEX(전체!$L$6:$L$75,$O14)="","",INDEX(전체!$L$6:$L$75,$O14)))</f>
        <v/>
      </c>
      <c r="L14" s="5" t="str">
        <f aca="false">IF($O14="","",IF(INDEX(전체!$M$6:$M$75,$O14)="","",INDEX(전체!$M$6:$M$75,$O14)))</f>
        <v/>
      </c>
      <c r="M14" s="21" t="str">
        <f aca="false">IF($O14="","",IF(INDEX(전체!$N$6:$N$75,$O14)="","",INDEX(전체!$N$6:$N$75,$O14)))</f>
        <v/>
      </c>
      <c r="N14" s="21" t="str">
        <f aca="false">IF($O14="","",IF(INDEX(전체!$O$6:$O$75,$O14)="","",INDEX(전체!$O$6:$O$75,$O14)))</f>
        <v/>
      </c>
      <c r="O14" s="22" t="str">
        <f aca="false">IFERROR(MATCH($R$2&amp;"|"&amp;10,전체!$P$6:$P$75,0),"")</f>
        <v/>
      </c>
    </row>
    <row r="15" customFormat="false" ht="15" hidden="false" customHeight="false" outlineLevel="0" collapsed="false">
      <c r="A15" s="5" t="str">
        <f aca="false">IF($O15="","",11)</f>
        <v/>
      </c>
      <c r="B15" s="20" t="str">
        <f aca="false">IF($O15="","",IF(INDEX(전체!$C$6:$C$75,$O15)="","",INDEX(전체!$C$6:$C$75,$O15)))</f>
        <v/>
      </c>
      <c r="C15" s="21" t="str">
        <f aca="false">IF($O15="","",IF(INDEX(전체!$D$6:$D$75,$O15)="","",INDEX(전체!$D$6:$D$75,$O15)))</f>
        <v/>
      </c>
      <c r="D15" s="5" t="str">
        <f aca="false">IF($O15="","",IF(INDEX(전체!$E$6:$E$75,$O15)="","",INDEX(전체!$E$6:$E$75,$O15)))</f>
        <v/>
      </c>
      <c r="E15" s="5" t="str">
        <f aca="false">IF($O15="","",IF(INDEX(전체!$F$6:$F$75,$O15)="","",INDEX(전체!$F$6:$F$75,$O15)))</f>
        <v/>
      </c>
      <c r="F15" s="21" t="str">
        <f aca="false">IF($O15="","",IF(INDEX(전체!$G$6:$G$75,$O15)="","",INDEX(전체!$G$6:$G$75,$O15)))</f>
        <v/>
      </c>
      <c r="G15" s="21" t="str">
        <f aca="false">IF($O15="","",IF(INDEX(전체!$H$6:$H$75,$O15)="","",INDEX(전체!$H$6:$H$75,$O15)))</f>
        <v/>
      </c>
      <c r="H15" s="5" t="str">
        <f aca="false">IF($O15="","",IF(INDEX(전체!$I$6:$I$75,$O15)="","",INDEX(전체!$I$6:$I$75,$O15)))</f>
        <v/>
      </c>
      <c r="I15" s="5" t="str">
        <f aca="false">IF($O15="","",IF(INDEX(전체!$J$6:$J$75,$O15)="","",INDEX(전체!$J$6:$J$75,$O15)))</f>
        <v/>
      </c>
      <c r="J15" s="21" t="str">
        <f aca="false">IF($O15="","",IF(INDEX(전체!$K$6:$K$75,$O15)="","",INDEX(전체!$K$6:$K$75,$O15)))</f>
        <v/>
      </c>
      <c r="K15" s="20" t="str">
        <f aca="false">IF($O15="","",IF(INDEX(전체!$L$6:$L$75,$O15)="","",INDEX(전체!$L$6:$L$75,$O15)))</f>
        <v/>
      </c>
      <c r="L15" s="5" t="str">
        <f aca="false">IF($O15="","",IF(INDEX(전체!$M$6:$M$75,$O15)="","",INDEX(전체!$M$6:$M$75,$O15)))</f>
        <v/>
      </c>
      <c r="M15" s="21" t="str">
        <f aca="false">IF($O15="","",IF(INDEX(전체!$N$6:$N$75,$O15)="","",INDEX(전체!$N$6:$N$75,$O15)))</f>
        <v/>
      </c>
      <c r="N15" s="21" t="str">
        <f aca="false">IF($O15="","",IF(INDEX(전체!$O$6:$O$75,$O15)="","",INDEX(전체!$O$6:$O$75,$O15)))</f>
        <v/>
      </c>
      <c r="O15" s="22" t="str">
        <f aca="false">IFERROR(MATCH($R$2&amp;"|"&amp;11,전체!$P$6:$P$75,0),"")</f>
        <v/>
      </c>
    </row>
    <row r="16" customFormat="false" ht="15" hidden="false" customHeight="false" outlineLevel="0" collapsed="false">
      <c r="A16" s="5" t="str">
        <f aca="false">IF($O16="","",12)</f>
        <v/>
      </c>
      <c r="B16" s="20" t="str">
        <f aca="false">IF($O16="","",IF(INDEX(전체!$C$6:$C$75,$O16)="","",INDEX(전체!$C$6:$C$75,$O16)))</f>
        <v/>
      </c>
      <c r="C16" s="21" t="str">
        <f aca="false">IF($O16="","",IF(INDEX(전체!$D$6:$D$75,$O16)="","",INDEX(전체!$D$6:$D$75,$O16)))</f>
        <v/>
      </c>
      <c r="D16" s="5" t="str">
        <f aca="false">IF($O16="","",IF(INDEX(전체!$E$6:$E$75,$O16)="","",INDEX(전체!$E$6:$E$75,$O16)))</f>
        <v/>
      </c>
      <c r="E16" s="5" t="str">
        <f aca="false">IF($O16="","",IF(INDEX(전체!$F$6:$F$75,$O16)="","",INDEX(전체!$F$6:$F$75,$O16)))</f>
        <v/>
      </c>
      <c r="F16" s="21" t="str">
        <f aca="false">IF($O16="","",IF(INDEX(전체!$G$6:$G$75,$O16)="","",INDEX(전체!$G$6:$G$75,$O16)))</f>
        <v/>
      </c>
      <c r="G16" s="21" t="str">
        <f aca="false">IF($O16="","",IF(INDEX(전체!$H$6:$H$75,$O16)="","",INDEX(전체!$H$6:$H$75,$O16)))</f>
        <v/>
      </c>
      <c r="H16" s="5" t="str">
        <f aca="false">IF($O16="","",IF(INDEX(전체!$I$6:$I$75,$O16)="","",INDEX(전체!$I$6:$I$75,$O16)))</f>
        <v/>
      </c>
      <c r="I16" s="5" t="str">
        <f aca="false">IF($O16="","",IF(INDEX(전체!$J$6:$J$75,$O16)="","",INDEX(전체!$J$6:$J$75,$O16)))</f>
        <v/>
      </c>
      <c r="J16" s="21" t="str">
        <f aca="false">IF($O16="","",IF(INDEX(전체!$K$6:$K$75,$O16)="","",INDEX(전체!$K$6:$K$75,$O16)))</f>
        <v/>
      </c>
      <c r="K16" s="20" t="str">
        <f aca="false">IF($O16="","",IF(INDEX(전체!$L$6:$L$75,$O16)="","",INDEX(전체!$L$6:$L$75,$O16)))</f>
        <v/>
      </c>
      <c r="L16" s="5" t="str">
        <f aca="false">IF($O16="","",IF(INDEX(전체!$M$6:$M$75,$O16)="","",INDEX(전체!$M$6:$M$75,$O16)))</f>
        <v/>
      </c>
      <c r="M16" s="21" t="str">
        <f aca="false">IF($O16="","",IF(INDEX(전체!$N$6:$N$75,$O16)="","",INDEX(전체!$N$6:$N$75,$O16)))</f>
        <v/>
      </c>
      <c r="N16" s="21" t="str">
        <f aca="false">IF($O16="","",IF(INDEX(전체!$O$6:$O$75,$O16)="","",INDEX(전체!$O$6:$O$75,$O16)))</f>
        <v/>
      </c>
      <c r="O16" s="22" t="str">
        <f aca="false">IFERROR(MATCH($R$2&amp;"|"&amp;12,전체!$P$6:$P$75,0),"")</f>
        <v/>
      </c>
    </row>
    <row r="17" customFormat="false" ht="15" hidden="false" customHeight="false" outlineLevel="0" collapsed="false">
      <c r="A17" s="5" t="str">
        <f aca="false">IF($O17="","",13)</f>
        <v/>
      </c>
      <c r="B17" s="20" t="str">
        <f aca="false">IF($O17="","",IF(INDEX(전체!$C$6:$C$75,$O17)="","",INDEX(전체!$C$6:$C$75,$O17)))</f>
        <v/>
      </c>
      <c r="C17" s="21" t="str">
        <f aca="false">IF($O17="","",IF(INDEX(전체!$D$6:$D$75,$O17)="","",INDEX(전체!$D$6:$D$75,$O17)))</f>
        <v/>
      </c>
      <c r="D17" s="5" t="str">
        <f aca="false">IF($O17="","",IF(INDEX(전체!$E$6:$E$75,$O17)="","",INDEX(전체!$E$6:$E$75,$O17)))</f>
        <v/>
      </c>
      <c r="E17" s="5" t="str">
        <f aca="false">IF($O17="","",IF(INDEX(전체!$F$6:$F$75,$O17)="","",INDEX(전체!$F$6:$F$75,$O17)))</f>
        <v/>
      </c>
      <c r="F17" s="21" t="str">
        <f aca="false">IF($O17="","",IF(INDEX(전체!$G$6:$G$75,$O17)="","",INDEX(전체!$G$6:$G$75,$O17)))</f>
        <v/>
      </c>
      <c r="G17" s="21" t="str">
        <f aca="false">IF($O17="","",IF(INDEX(전체!$H$6:$H$75,$O17)="","",INDEX(전체!$H$6:$H$75,$O17)))</f>
        <v/>
      </c>
      <c r="H17" s="5" t="str">
        <f aca="false">IF($O17="","",IF(INDEX(전체!$I$6:$I$75,$O17)="","",INDEX(전체!$I$6:$I$75,$O17)))</f>
        <v/>
      </c>
      <c r="I17" s="5" t="str">
        <f aca="false">IF($O17="","",IF(INDEX(전체!$J$6:$J$75,$O17)="","",INDEX(전체!$J$6:$J$75,$O17)))</f>
        <v/>
      </c>
      <c r="J17" s="21" t="str">
        <f aca="false">IF($O17="","",IF(INDEX(전체!$K$6:$K$75,$O17)="","",INDEX(전체!$K$6:$K$75,$O17)))</f>
        <v/>
      </c>
      <c r="K17" s="20" t="str">
        <f aca="false">IF($O17="","",IF(INDEX(전체!$L$6:$L$75,$O17)="","",INDEX(전체!$L$6:$L$75,$O17)))</f>
        <v/>
      </c>
      <c r="L17" s="5" t="str">
        <f aca="false">IF($O17="","",IF(INDEX(전체!$M$6:$M$75,$O17)="","",INDEX(전체!$M$6:$M$75,$O17)))</f>
        <v/>
      </c>
      <c r="M17" s="21" t="str">
        <f aca="false">IF($O17="","",IF(INDEX(전체!$N$6:$N$75,$O17)="","",INDEX(전체!$N$6:$N$75,$O17)))</f>
        <v/>
      </c>
      <c r="N17" s="21" t="str">
        <f aca="false">IF($O17="","",IF(INDEX(전체!$O$6:$O$75,$O17)="","",INDEX(전체!$O$6:$O$75,$O17)))</f>
        <v/>
      </c>
      <c r="O17" s="22" t="str">
        <f aca="false">IFERROR(MATCH($R$2&amp;"|"&amp;13,전체!$P$6:$P$75,0),"")</f>
        <v/>
      </c>
    </row>
    <row r="18" customFormat="false" ht="15" hidden="false" customHeight="false" outlineLevel="0" collapsed="false">
      <c r="A18" s="5" t="str">
        <f aca="false">IF($O18="","",14)</f>
        <v/>
      </c>
      <c r="B18" s="20" t="str">
        <f aca="false">IF($O18="","",IF(INDEX(전체!$C$6:$C$75,$O18)="","",INDEX(전체!$C$6:$C$75,$O18)))</f>
        <v/>
      </c>
      <c r="C18" s="21" t="str">
        <f aca="false">IF($O18="","",IF(INDEX(전체!$D$6:$D$75,$O18)="","",INDEX(전체!$D$6:$D$75,$O18)))</f>
        <v/>
      </c>
      <c r="D18" s="5" t="str">
        <f aca="false">IF($O18="","",IF(INDEX(전체!$E$6:$E$75,$O18)="","",INDEX(전체!$E$6:$E$75,$O18)))</f>
        <v/>
      </c>
      <c r="E18" s="5" t="str">
        <f aca="false">IF($O18="","",IF(INDEX(전체!$F$6:$F$75,$O18)="","",INDEX(전체!$F$6:$F$75,$O18)))</f>
        <v/>
      </c>
      <c r="F18" s="21" t="str">
        <f aca="false">IF($O18="","",IF(INDEX(전체!$G$6:$G$75,$O18)="","",INDEX(전체!$G$6:$G$75,$O18)))</f>
        <v/>
      </c>
      <c r="G18" s="21" t="str">
        <f aca="false">IF($O18="","",IF(INDEX(전체!$H$6:$H$75,$O18)="","",INDEX(전체!$H$6:$H$75,$O18)))</f>
        <v/>
      </c>
      <c r="H18" s="5" t="str">
        <f aca="false">IF($O18="","",IF(INDEX(전체!$I$6:$I$75,$O18)="","",INDEX(전체!$I$6:$I$75,$O18)))</f>
        <v/>
      </c>
      <c r="I18" s="5" t="str">
        <f aca="false">IF($O18="","",IF(INDEX(전체!$J$6:$J$75,$O18)="","",INDEX(전체!$J$6:$J$75,$O18)))</f>
        <v/>
      </c>
      <c r="J18" s="21" t="str">
        <f aca="false">IF($O18="","",IF(INDEX(전체!$K$6:$K$75,$O18)="","",INDEX(전체!$K$6:$K$75,$O18)))</f>
        <v/>
      </c>
      <c r="K18" s="20" t="str">
        <f aca="false">IF($O18="","",IF(INDEX(전체!$L$6:$L$75,$O18)="","",INDEX(전체!$L$6:$L$75,$O18)))</f>
        <v/>
      </c>
      <c r="L18" s="5" t="str">
        <f aca="false">IF($O18="","",IF(INDEX(전체!$M$6:$M$75,$O18)="","",INDEX(전체!$M$6:$M$75,$O18)))</f>
        <v/>
      </c>
      <c r="M18" s="21" t="str">
        <f aca="false">IF($O18="","",IF(INDEX(전체!$N$6:$N$75,$O18)="","",INDEX(전체!$N$6:$N$75,$O18)))</f>
        <v/>
      </c>
      <c r="N18" s="21" t="str">
        <f aca="false">IF($O18="","",IF(INDEX(전체!$O$6:$O$75,$O18)="","",INDEX(전체!$O$6:$O$75,$O18)))</f>
        <v/>
      </c>
      <c r="O18" s="22" t="str">
        <f aca="false">IFERROR(MATCH($R$2&amp;"|"&amp;14,전체!$P$6:$P$75,0),"")</f>
        <v/>
      </c>
    </row>
    <row r="19" customFormat="false" ht="15" hidden="false" customHeight="false" outlineLevel="0" collapsed="false">
      <c r="A19" s="5" t="str">
        <f aca="false">IF($O19="","",15)</f>
        <v/>
      </c>
      <c r="B19" s="20" t="str">
        <f aca="false">IF($O19="","",IF(INDEX(전체!$C$6:$C$75,$O19)="","",INDEX(전체!$C$6:$C$75,$O19)))</f>
        <v/>
      </c>
      <c r="C19" s="21" t="str">
        <f aca="false">IF($O19="","",IF(INDEX(전체!$D$6:$D$75,$O19)="","",INDEX(전체!$D$6:$D$75,$O19)))</f>
        <v/>
      </c>
      <c r="D19" s="5" t="str">
        <f aca="false">IF($O19="","",IF(INDEX(전체!$E$6:$E$75,$O19)="","",INDEX(전체!$E$6:$E$75,$O19)))</f>
        <v/>
      </c>
      <c r="E19" s="5" t="str">
        <f aca="false">IF($O19="","",IF(INDEX(전체!$F$6:$F$75,$O19)="","",INDEX(전체!$F$6:$F$75,$O19)))</f>
        <v/>
      </c>
      <c r="F19" s="21" t="str">
        <f aca="false">IF($O19="","",IF(INDEX(전체!$G$6:$G$75,$O19)="","",INDEX(전체!$G$6:$G$75,$O19)))</f>
        <v/>
      </c>
      <c r="G19" s="21" t="str">
        <f aca="false">IF($O19="","",IF(INDEX(전체!$H$6:$H$75,$O19)="","",INDEX(전체!$H$6:$H$75,$O19)))</f>
        <v/>
      </c>
      <c r="H19" s="5" t="str">
        <f aca="false">IF($O19="","",IF(INDEX(전체!$I$6:$I$75,$O19)="","",INDEX(전체!$I$6:$I$75,$O19)))</f>
        <v/>
      </c>
      <c r="I19" s="5" t="str">
        <f aca="false">IF($O19="","",IF(INDEX(전체!$J$6:$J$75,$O19)="","",INDEX(전체!$J$6:$J$75,$O19)))</f>
        <v/>
      </c>
      <c r="J19" s="21" t="str">
        <f aca="false">IF($O19="","",IF(INDEX(전체!$K$6:$K$75,$O19)="","",INDEX(전체!$K$6:$K$75,$O19)))</f>
        <v/>
      </c>
      <c r="K19" s="20" t="str">
        <f aca="false">IF($O19="","",IF(INDEX(전체!$L$6:$L$75,$O19)="","",INDEX(전체!$L$6:$L$75,$O19)))</f>
        <v/>
      </c>
      <c r="L19" s="5" t="str">
        <f aca="false">IF($O19="","",IF(INDEX(전체!$M$6:$M$75,$O19)="","",INDEX(전체!$M$6:$M$75,$O19)))</f>
        <v/>
      </c>
      <c r="M19" s="21" t="str">
        <f aca="false">IF($O19="","",IF(INDEX(전체!$N$6:$N$75,$O19)="","",INDEX(전체!$N$6:$N$75,$O19)))</f>
        <v/>
      </c>
      <c r="N19" s="21" t="str">
        <f aca="false">IF($O19="","",IF(INDEX(전체!$O$6:$O$75,$O19)="","",INDEX(전체!$O$6:$O$75,$O19)))</f>
        <v/>
      </c>
      <c r="O19" s="22" t="str">
        <f aca="false">IFERROR(MATCH($R$2&amp;"|"&amp;15,전체!$P$6:$P$75,0),"")</f>
        <v/>
      </c>
    </row>
    <row r="20" customFormat="false" ht="15" hidden="false" customHeight="false" outlineLevel="0" collapsed="false">
      <c r="A20" s="5" t="str">
        <f aca="false">IF($O20="","",16)</f>
        <v/>
      </c>
      <c r="B20" s="20" t="str">
        <f aca="false">IF($O20="","",IF(INDEX(전체!$C$6:$C$75,$O20)="","",INDEX(전체!$C$6:$C$75,$O20)))</f>
        <v/>
      </c>
      <c r="C20" s="21" t="str">
        <f aca="false">IF($O20="","",IF(INDEX(전체!$D$6:$D$75,$O20)="","",INDEX(전체!$D$6:$D$75,$O20)))</f>
        <v/>
      </c>
      <c r="D20" s="5" t="str">
        <f aca="false">IF($O20="","",IF(INDEX(전체!$E$6:$E$75,$O20)="","",INDEX(전체!$E$6:$E$75,$O20)))</f>
        <v/>
      </c>
      <c r="E20" s="5" t="str">
        <f aca="false">IF($O20="","",IF(INDEX(전체!$F$6:$F$75,$O20)="","",INDEX(전체!$F$6:$F$75,$O20)))</f>
        <v/>
      </c>
      <c r="F20" s="21" t="str">
        <f aca="false">IF($O20="","",IF(INDEX(전체!$G$6:$G$75,$O20)="","",INDEX(전체!$G$6:$G$75,$O20)))</f>
        <v/>
      </c>
      <c r="G20" s="21" t="str">
        <f aca="false">IF($O20="","",IF(INDEX(전체!$H$6:$H$75,$O20)="","",INDEX(전체!$H$6:$H$75,$O20)))</f>
        <v/>
      </c>
      <c r="H20" s="5" t="str">
        <f aca="false">IF($O20="","",IF(INDEX(전체!$I$6:$I$75,$O20)="","",INDEX(전체!$I$6:$I$75,$O20)))</f>
        <v/>
      </c>
      <c r="I20" s="5" t="str">
        <f aca="false">IF($O20="","",IF(INDEX(전체!$J$6:$J$75,$O20)="","",INDEX(전체!$J$6:$J$75,$O20)))</f>
        <v/>
      </c>
      <c r="J20" s="21" t="str">
        <f aca="false">IF($O20="","",IF(INDEX(전체!$K$6:$K$75,$O20)="","",INDEX(전체!$K$6:$K$75,$O20)))</f>
        <v/>
      </c>
      <c r="K20" s="20" t="str">
        <f aca="false">IF($O20="","",IF(INDEX(전체!$L$6:$L$75,$O20)="","",INDEX(전체!$L$6:$L$75,$O20)))</f>
        <v/>
      </c>
      <c r="L20" s="5" t="str">
        <f aca="false">IF($O20="","",IF(INDEX(전체!$M$6:$M$75,$O20)="","",INDEX(전체!$M$6:$M$75,$O20)))</f>
        <v/>
      </c>
      <c r="M20" s="21" t="str">
        <f aca="false">IF($O20="","",IF(INDEX(전체!$N$6:$N$75,$O20)="","",INDEX(전체!$N$6:$N$75,$O20)))</f>
        <v/>
      </c>
      <c r="N20" s="21" t="str">
        <f aca="false">IF($O20="","",IF(INDEX(전체!$O$6:$O$75,$O20)="","",INDEX(전체!$O$6:$O$75,$O20)))</f>
        <v/>
      </c>
      <c r="O20" s="22" t="str">
        <f aca="false">IFERROR(MATCH($R$2&amp;"|"&amp;16,전체!$P$6:$P$75,0),"")</f>
        <v/>
      </c>
    </row>
    <row r="21" customFormat="false" ht="15" hidden="false" customHeight="false" outlineLevel="0" collapsed="false">
      <c r="A21" s="5" t="str">
        <f aca="false">IF($O21="","",17)</f>
        <v/>
      </c>
      <c r="B21" s="20" t="str">
        <f aca="false">IF($O21="","",IF(INDEX(전체!$C$6:$C$75,$O21)="","",INDEX(전체!$C$6:$C$75,$O21)))</f>
        <v/>
      </c>
      <c r="C21" s="21" t="str">
        <f aca="false">IF($O21="","",IF(INDEX(전체!$D$6:$D$75,$O21)="","",INDEX(전체!$D$6:$D$75,$O21)))</f>
        <v/>
      </c>
      <c r="D21" s="5" t="str">
        <f aca="false">IF($O21="","",IF(INDEX(전체!$E$6:$E$75,$O21)="","",INDEX(전체!$E$6:$E$75,$O21)))</f>
        <v/>
      </c>
      <c r="E21" s="5" t="str">
        <f aca="false">IF($O21="","",IF(INDEX(전체!$F$6:$F$75,$O21)="","",INDEX(전체!$F$6:$F$75,$O21)))</f>
        <v/>
      </c>
      <c r="F21" s="21" t="str">
        <f aca="false">IF($O21="","",IF(INDEX(전체!$G$6:$G$75,$O21)="","",INDEX(전체!$G$6:$G$75,$O21)))</f>
        <v/>
      </c>
      <c r="G21" s="21" t="str">
        <f aca="false">IF($O21="","",IF(INDEX(전체!$H$6:$H$75,$O21)="","",INDEX(전체!$H$6:$H$75,$O21)))</f>
        <v/>
      </c>
      <c r="H21" s="5" t="str">
        <f aca="false">IF($O21="","",IF(INDEX(전체!$I$6:$I$75,$O21)="","",INDEX(전체!$I$6:$I$75,$O21)))</f>
        <v/>
      </c>
      <c r="I21" s="5" t="str">
        <f aca="false">IF($O21="","",IF(INDEX(전체!$J$6:$J$75,$O21)="","",INDEX(전체!$J$6:$J$75,$O21)))</f>
        <v/>
      </c>
      <c r="J21" s="21" t="str">
        <f aca="false">IF($O21="","",IF(INDEX(전체!$K$6:$K$75,$O21)="","",INDEX(전체!$K$6:$K$75,$O21)))</f>
        <v/>
      </c>
      <c r="K21" s="20" t="str">
        <f aca="false">IF($O21="","",IF(INDEX(전체!$L$6:$L$75,$O21)="","",INDEX(전체!$L$6:$L$75,$O21)))</f>
        <v/>
      </c>
      <c r="L21" s="5" t="str">
        <f aca="false">IF($O21="","",IF(INDEX(전체!$M$6:$M$75,$O21)="","",INDEX(전체!$M$6:$M$75,$O21)))</f>
        <v/>
      </c>
      <c r="M21" s="21" t="str">
        <f aca="false">IF($O21="","",IF(INDEX(전체!$N$6:$N$75,$O21)="","",INDEX(전체!$N$6:$N$75,$O21)))</f>
        <v/>
      </c>
      <c r="N21" s="21" t="str">
        <f aca="false">IF($O21="","",IF(INDEX(전체!$O$6:$O$75,$O21)="","",INDEX(전체!$O$6:$O$75,$O21)))</f>
        <v/>
      </c>
      <c r="O21" s="22" t="str">
        <f aca="false">IFERROR(MATCH($R$2&amp;"|"&amp;17,전체!$P$6:$P$75,0),"")</f>
        <v/>
      </c>
    </row>
    <row r="22" customFormat="false" ht="15" hidden="false" customHeight="false" outlineLevel="0" collapsed="false">
      <c r="A22" s="5" t="str">
        <f aca="false">IF($O22="","",18)</f>
        <v/>
      </c>
      <c r="B22" s="20" t="str">
        <f aca="false">IF($O22="","",IF(INDEX(전체!$C$6:$C$75,$O22)="","",INDEX(전체!$C$6:$C$75,$O22)))</f>
        <v/>
      </c>
      <c r="C22" s="21" t="str">
        <f aca="false">IF($O22="","",IF(INDEX(전체!$D$6:$D$75,$O22)="","",INDEX(전체!$D$6:$D$75,$O22)))</f>
        <v/>
      </c>
      <c r="D22" s="5" t="str">
        <f aca="false">IF($O22="","",IF(INDEX(전체!$E$6:$E$75,$O22)="","",INDEX(전체!$E$6:$E$75,$O22)))</f>
        <v/>
      </c>
      <c r="E22" s="5" t="str">
        <f aca="false">IF($O22="","",IF(INDEX(전체!$F$6:$F$75,$O22)="","",INDEX(전체!$F$6:$F$75,$O22)))</f>
        <v/>
      </c>
      <c r="F22" s="21" t="str">
        <f aca="false">IF($O22="","",IF(INDEX(전체!$G$6:$G$75,$O22)="","",INDEX(전체!$G$6:$G$75,$O22)))</f>
        <v/>
      </c>
      <c r="G22" s="21" t="str">
        <f aca="false">IF($O22="","",IF(INDEX(전체!$H$6:$H$75,$O22)="","",INDEX(전체!$H$6:$H$75,$O22)))</f>
        <v/>
      </c>
      <c r="H22" s="5" t="str">
        <f aca="false">IF($O22="","",IF(INDEX(전체!$I$6:$I$75,$O22)="","",INDEX(전체!$I$6:$I$75,$O22)))</f>
        <v/>
      </c>
      <c r="I22" s="5" t="str">
        <f aca="false">IF($O22="","",IF(INDEX(전체!$J$6:$J$75,$O22)="","",INDEX(전체!$J$6:$J$75,$O22)))</f>
        <v/>
      </c>
      <c r="J22" s="21" t="str">
        <f aca="false">IF($O22="","",IF(INDEX(전체!$K$6:$K$75,$O22)="","",INDEX(전체!$K$6:$K$75,$O22)))</f>
        <v/>
      </c>
      <c r="K22" s="20" t="str">
        <f aca="false">IF($O22="","",IF(INDEX(전체!$L$6:$L$75,$O22)="","",INDEX(전체!$L$6:$L$75,$O22)))</f>
        <v/>
      </c>
      <c r="L22" s="5" t="str">
        <f aca="false">IF($O22="","",IF(INDEX(전체!$M$6:$M$75,$O22)="","",INDEX(전체!$M$6:$M$75,$O22)))</f>
        <v/>
      </c>
      <c r="M22" s="21" t="str">
        <f aca="false">IF($O22="","",IF(INDEX(전체!$N$6:$N$75,$O22)="","",INDEX(전체!$N$6:$N$75,$O22)))</f>
        <v/>
      </c>
      <c r="N22" s="21" t="str">
        <f aca="false">IF($O22="","",IF(INDEX(전체!$O$6:$O$75,$O22)="","",INDEX(전체!$O$6:$O$75,$O22)))</f>
        <v/>
      </c>
      <c r="O22" s="22" t="str">
        <f aca="false">IFERROR(MATCH($R$2&amp;"|"&amp;18,전체!$P$6:$P$75,0),"")</f>
        <v/>
      </c>
    </row>
    <row r="23" customFormat="false" ht="15" hidden="false" customHeight="false" outlineLevel="0" collapsed="false">
      <c r="A23" s="5" t="str">
        <f aca="false">IF($O23="","",19)</f>
        <v/>
      </c>
      <c r="B23" s="20" t="str">
        <f aca="false">IF($O23="","",IF(INDEX(전체!$C$6:$C$75,$O23)="","",INDEX(전체!$C$6:$C$75,$O23)))</f>
        <v/>
      </c>
      <c r="C23" s="21" t="str">
        <f aca="false">IF($O23="","",IF(INDEX(전체!$D$6:$D$75,$O23)="","",INDEX(전체!$D$6:$D$75,$O23)))</f>
        <v/>
      </c>
      <c r="D23" s="5" t="str">
        <f aca="false">IF($O23="","",IF(INDEX(전체!$E$6:$E$75,$O23)="","",INDEX(전체!$E$6:$E$75,$O23)))</f>
        <v/>
      </c>
      <c r="E23" s="5" t="str">
        <f aca="false">IF($O23="","",IF(INDEX(전체!$F$6:$F$75,$O23)="","",INDEX(전체!$F$6:$F$75,$O23)))</f>
        <v/>
      </c>
      <c r="F23" s="21" t="str">
        <f aca="false">IF($O23="","",IF(INDEX(전체!$G$6:$G$75,$O23)="","",INDEX(전체!$G$6:$G$75,$O23)))</f>
        <v/>
      </c>
      <c r="G23" s="21" t="str">
        <f aca="false">IF($O23="","",IF(INDEX(전체!$H$6:$H$75,$O23)="","",INDEX(전체!$H$6:$H$75,$O23)))</f>
        <v/>
      </c>
      <c r="H23" s="5" t="str">
        <f aca="false">IF($O23="","",IF(INDEX(전체!$I$6:$I$75,$O23)="","",INDEX(전체!$I$6:$I$75,$O23)))</f>
        <v/>
      </c>
      <c r="I23" s="5" t="str">
        <f aca="false">IF($O23="","",IF(INDEX(전체!$J$6:$J$75,$O23)="","",INDEX(전체!$J$6:$J$75,$O23)))</f>
        <v/>
      </c>
      <c r="J23" s="21" t="str">
        <f aca="false">IF($O23="","",IF(INDEX(전체!$K$6:$K$75,$O23)="","",INDEX(전체!$K$6:$K$75,$O23)))</f>
        <v/>
      </c>
      <c r="K23" s="20" t="str">
        <f aca="false">IF($O23="","",IF(INDEX(전체!$L$6:$L$75,$O23)="","",INDEX(전체!$L$6:$L$75,$O23)))</f>
        <v/>
      </c>
      <c r="L23" s="5" t="str">
        <f aca="false">IF($O23="","",IF(INDEX(전체!$M$6:$M$75,$O23)="","",INDEX(전체!$M$6:$M$75,$O23)))</f>
        <v/>
      </c>
      <c r="M23" s="21" t="str">
        <f aca="false">IF($O23="","",IF(INDEX(전체!$N$6:$N$75,$O23)="","",INDEX(전체!$N$6:$N$75,$O23)))</f>
        <v/>
      </c>
      <c r="N23" s="21" t="str">
        <f aca="false">IF($O23="","",IF(INDEX(전체!$O$6:$O$75,$O23)="","",INDEX(전체!$O$6:$O$75,$O23)))</f>
        <v/>
      </c>
      <c r="O23" s="22" t="str">
        <f aca="false">IFERROR(MATCH($R$2&amp;"|"&amp;19,전체!$P$6:$P$75,0),"")</f>
        <v/>
      </c>
    </row>
    <row r="24" customFormat="false" ht="15" hidden="false" customHeight="false" outlineLevel="0" collapsed="false">
      <c r="A24" s="5" t="str">
        <f aca="false">IF($O24="","",20)</f>
        <v/>
      </c>
      <c r="B24" s="20" t="str">
        <f aca="false">IF($O24="","",IF(INDEX(전체!$C$6:$C$75,$O24)="","",INDEX(전체!$C$6:$C$75,$O24)))</f>
        <v/>
      </c>
      <c r="C24" s="21" t="str">
        <f aca="false">IF($O24="","",IF(INDEX(전체!$D$6:$D$75,$O24)="","",INDEX(전체!$D$6:$D$75,$O24)))</f>
        <v/>
      </c>
      <c r="D24" s="5" t="str">
        <f aca="false">IF($O24="","",IF(INDEX(전체!$E$6:$E$75,$O24)="","",INDEX(전체!$E$6:$E$75,$O24)))</f>
        <v/>
      </c>
      <c r="E24" s="5" t="str">
        <f aca="false">IF($O24="","",IF(INDEX(전체!$F$6:$F$75,$O24)="","",INDEX(전체!$F$6:$F$75,$O24)))</f>
        <v/>
      </c>
      <c r="F24" s="21" t="str">
        <f aca="false">IF($O24="","",IF(INDEX(전체!$G$6:$G$75,$O24)="","",INDEX(전체!$G$6:$G$75,$O24)))</f>
        <v/>
      </c>
      <c r="G24" s="21" t="str">
        <f aca="false">IF($O24="","",IF(INDEX(전체!$H$6:$H$75,$O24)="","",INDEX(전체!$H$6:$H$75,$O24)))</f>
        <v/>
      </c>
      <c r="H24" s="5" t="str">
        <f aca="false">IF($O24="","",IF(INDEX(전체!$I$6:$I$75,$O24)="","",INDEX(전체!$I$6:$I$75,$O24)))</f>
        <v/>
      </c>
      <c r="I24" s="5" t="str">
        <f aca="false">IF($O24="","",IF(INDEX(전체!$J$6:$J$75,$O24)="","",INDEX(전체!$J$6:$J$75,$O24)))</f>
        <v/>
      </c>
      <c r="J24" s="21" t="str">
        <f aca="false">IF($O24="","",IF(INDEX(전체!$K$6:$K$75,$O24)="","",INDEX(전체!$K$6:$K$75,$O24)))</f>
        <v/>
      </c>
      <c r="K24" s="20" t="str">
        <f aca="false">IF($O24="","",IF(INDEX(전체!$L$6:$L$75,$O24)="","",INDEX(전체!$L$6:$L$75,$O24)))</f>
        <v/>
      </c>
      <c r="L24" s="5" t="str">
        <f aca="false">IF($O24="","",IF(INDEX(전체!$M$6:$M$75,$O24)="","",INDEX(전체!$M$6:$M$75,$O24)))</f>
        <v/>
      </c>
      <c r="M24" s="21" t="str">
        <f aca="false">IF($O24="","",IF(INDEX(전체!$N$6:$N$75,$O24)="","",INDEX(전체!$N$6:$N$75,$O24)))</f>
        <v/>
      </c>
      <c r="N24" s="21" t="str">
        <f aca="false">IF($O24="","",IF(INDEX(전체!$O$6:$O$75,$O24)="","",INDEX(전체!$O$6:$O$75,$O24)))</f>
        <v/>
      </c>
      <c r="O24" s="22" t="str">
        <f aca="false">IFERROR(MATCH($R$2&amp;"|"&amp;20,전체!$P$6:$P$75,0),"")</f>
        <v/>
      </c>
    </row>
    <row r="25" customFormat="false" ht="15" hidden="false" customHeight="false" outlineLevel="0" collapsed="false">
      <c r="A25" s="5" t="str">
        <f aca="false">IF($O25="","",21)</f>
        <v/>
      </c>
      <c r="B25" s="20" t="str">
        <f aca="false">IF($O25="","",IF(INDEX(전체!$C$6:$C$75,$O25)="","",INDEX(전체!$C$6:$C$75,$O25)))</f>
        <v/>
      </c>
      <c r="C25" s="21" t="str">
        <f aca="false">IF($O25="","",IF(INDEX(전체!$D$6:$D$75,$O25)="","",INDEX(전체!$D$6:$D$75,$O25)))</f>
        <v/>
      </c>
      <c r="D25" s="5" t="str">
        <f aca="false">IF($O25="","",IF(INDEX(전체!$E$6:$E$75,$O25)="","",INDEX(전체!$E$6:$E$75,$O25)))</f>
        <v/>
      </c>
      <c r="E25" s="5" t="str">
        <f aca="false">IF($O25="","",IF(INDEX(전체!$F$6:$F$75,$O25)="","",INDEX(전체!$F$6:$F$75,$O25)))</f>
        <v/>
      </c>
      <c r="F25" s="21" t="str">
        <f aca="false">IF($O25="","",IF(INDEX(전체!$G$6:$G$75,$O25)="","",INDEX(전체!$G$6:$G$75,$O25)))</f>
        <v/>
      </c>
      <c r="G25" s="21" t="str">
        <f aca="false">IF($O25="","",IF(INDEX(전체!$H$6:$H$75,$O25)="","",INDEX(전체!$H$6:$H$75,$O25)))</f>
        <v/>
      </c>
      <c r="H25" s="5" t="str">
        <f aca="false">IF($O25="","",IF(INDEX(전체!$I$6:$I$75,$O25)="","",INDEX(전체!$I$6:$I$75,$O25)))</f>
        <v/>
      </c>
      <c r="I25" s="5" t="str">
        <f aca="false">IF($O25="","",IF(INDEX(전체!$J$6:$J$75,$O25)="","",INDEX(전체!$J$6:$J$75,$O25)))</f>
        <v/>
      </c>
      <c r="J25" s="21" t="str">
        <f aca="false">IF($O25="","",IF(INDEX(전체!$K$6:$K$75,$O25)="","",INDEX(전체!$K$6:$K$75,$O25)))</f>
        <v/>
      </c>
      <c r="K25" s="20" t="str">
        <f aca="false">IF($O25="","",IF(INDEX(전체!$L$6:$L$75,$O25)="","",INDEX(전체!$L$6:$L$75,$O25)))</f>
        <v/>
      </c>
      <c r="L25" s="5" t="str">
        <f aca="false">IF($O25="","",IF(INDEX(전체!$M$6:$M$75,$O25)="","",INDEX(전체!$M$6:$M$75,$O25)))</f>
        <v/>
      </c>
      <c r="M25" s="21" t="str">
        <f aca="false">IF($O25="","",IF(INDEX(전체!$N$6:$N$75,$O25)="","",INDEX(전체!$N$6:$N$75,$O25)))</f>
        <v/>
      </c>
      <c r="N25" s="21" t="str">
        <f aca="false">IF($O25="","",IF(INDEX(전체!$O$6:$O$75,$O25)="","",INDEX(전체!$O$6:$O$75,$O25)))</f>
        <v/>
      </c>
      <c r="O25" s="22" t="str">
        <f aca="false">IFERROR(MATCH($R$2&amp;"|"&amp;21,전체!$P$6:$P$75,0),"")</f>
        <v/>
      </c>
    </row>
    <row r="26" customFormat="false" ht="15" hidden="false" customHeight="false" outlineLevel="0" collapsed="false">
      <c r="A26" s="5" t="str">
        <f aca="false">IF($O26="","",22)</f>
        <v/>
      </c>
      <c r="B26" s="20" t="str">
        <f aca="false">IF($O26="","",IF(INDEX(전체!$C$6:$C$75,$O26)="","",INDEX(전체!$C$6:$C$75,$O26)))</f>
        <v/>
      </c>
      <c r="C26" s="21" t="str">
        <f aca="false">IF($O26="","",IF(INDEX(전체!$D$6:$D$75,$O26)="","",INDEX(전체!$D$6:$D$75,$O26)))</f>
        <v/>
      </c>
      <c r="D26" s="5" t="str">
        <f aca="false">IF($O26="","",IF(INDEX(전체!$E$6:$E$75,$O26)="","",INDEX(전체!$E$6:$E$75,$O26)))</f>
        <v/>
      </c>
      <c r="E26" s="5" t="str">
        <f aca="false">IF($O26="","",IF(INDEX(전체!$F$6:$F$75,$O26)="","",INDEX(전체!$F$6:$F$75,$O26)))</f>
        <v/>
      </c>
      <c r="F26" s="21" t="str">
        <f aca="false">IF($O26="","",IF(INDEX(전체!$G$6:$G$75,$O26)="","",INDEX(전체!$G$6:$G$75,$O26)))</f>
        <v/>
      </c>
      <c r="G26" s="21" t="str">
        <f aca="false">IF($O26="","",IF(INDEX(전체!$H$6:$H$75,$O26)="","",INDEX(전체!$H$6:$H$75,$O26)))</f>
        <v/>
      </c>
      <c r="H26" s="5" t="str">
        <f aca="false">IF($O26="","",IF(INDEX(전체!$I$6:$I$75,$O26)="","",INDEX(전체!$I$6:$I$75,$O26)))</f>
        <v/>
      </c>
      <c r="I26" s="5" t="str">
        <f aca="false">IF($O26="","",IF(INDEX(전체!$J$6:$J$75,$O26)="","",INDEX(전체!$J$6:$J$75,$O26)))</f>
        <v/>
      </c>
      <c r="J26" s="21" t="str">
        <f aca="false">IF($O26="","",IF(INDEX(전체!$K$6:$K$75,$O26)="","",INDEX(전체!$K$6:$K$75,$O26)))</f>
        <v/>
      </c>
      <c r="K26" s="20" t="str">
        <f aca="false">IF($O26="","",IF(INDEX(전체!$L$6:$L$75,$O26)="","",INDEX(전체!$L$6:$L$75,$O26)))</f>
        <v/>
      </c>
      <c r="L26" s="5" t="str">
        <f aca="false">IF($O26="","",IF(INDEX(전체!$M$6:$M$75,$O26)="","",INDEX(전체!$M$6:$M$75,$O26)))</f>
        <v/>
      </c>
      <c r="M26" s="21" t="str">
        <f aca="false">IF($O26="","",IF(INDEX(전체!$N$6:$N$75,$O26)="","",INDEX(전체!$N$6:$N$75,$O26)))</f>
        <v/>
      </c>
      <c r="N26" s="21" t="str">
        <f aca="false">IF($O26="","",IF(INDEX(전체!$O$6:$O$75,$O26)="","",INDEX(전체!$O$6:$O$75,$O26)))</f>
        <v/>
      </c>
      <c r="O26" s="22" t="str">
        <f aca="false">IFERROR(MATCH($R$2&amp;"|"&amp;22,전체!$P$6:$P$75,0),"")</f>
        <v/>
      </c>
    </row>
    <row r="27" customFormat="false" ht="15" hidden="false" customHeight="false" outlineLevel="0" collapsed="false">
      <c r="A27" s="5" t="str">
        <f aca="false">IF($O27="","",23)</f>
        <v/>
      </c>
      <c r="B27" s="20" t="str">
        <f aca="false">IF($O27="","",IF(INDEX(전체!$C$6:$C$75,$O27)="","",INDEX(전체!$C$6:$C$75,$O27)))</f>
        <v/>
      </c>
      <c r="C27" s="21" t="str">
        <f aca="false">IF($O27="","",IF(INDEX(전체!$D$6:$D$75,$O27)="","",INDEX(전체!$D$6:$D$75,$O27)))</f>
        <v/>
      </c>
      <c r="D27" s="5" t="str">
        <f aca="false">IF($O27="","",IF(INDEX(전체!$E$6:$E$75,$O27)="","",INDEX(전체!$E$6:$E$75,$O27)))</f>
        <v/>
      </c>
      <c r="E27" s="5" t="str">
        <f aca="false">IF($O27="","",IF(INDEX(전체!$F$6:$F$75,$O27)="","",INDEX(전체!$F$6:$F$75,$O27)))</f>
        <v/>
      </c>
      <c r="F27" s="21" t="str">
        <f aca="false">IF($O27="","",IF(INDEX(전체!$G$6:$G$75,$O27)="","",INDEX(전체!$G$6:$G$75,$O27)))</f>
        <v/>
      </c>
      <c r="G27" s="21" t="str">
        <f aca="false">IF($O27="","",IF(INDEX(전체!$H$6:$H$75,$O27)="","",INDEX(전체!$H$6:$H$75,$O27)))</f>
        <v/>
      </c>
      <c r="H27" s="5" t="str">
        <f aca="false">IF($O27="","",IF(INDEX(전체!$I$6:$I$75,$O27)="","",INDEX(전체!$I$6:$I$75,$O27)))</f>
        <v/>
      </c>
      <c r="I27" s="5" t="str">
        <f aca="false">IF($O27="","",IF(INDEX(전체!$J$6:$J$75,$O27)="","",INDEX(전체!$J$6:$J$75,$O27)))</f>
        <v/>
      </c>
      <c r="J27" s="21" t="str">
        <f aca="false">IF($O27="","",IF(INDEX(전체!$K$6:$K$75,$O27)="","",INDEX(전체!$K$6:$K$75,$O27)))</f>
        <v/>
      </c>
      <c r="K27" s="20" t="str">
        <f aca="false">IF($O27="","",IF(INDEX(전체!$L$6:$L$75,$O27)="","",INDEX(전체!$L$6:$L$75,$O27)))</f>
        <v/>
      </c>
      <c r="L27" s="5" t="str">
        <f aca="false">IF($O27="","",IF(INDEX(전체!$M$6:$M$75,$O27)="","",INDEX(전체!$M$6:$M$75,$O27)))</f>
        <v/>
      </c>
      <c r="M27" s="21" t="str">
        <f aca="false">IF($O27="","",IF(INDEX(전체!$N$6:$N$75,$O27)="","",INDEX(전체!$N$6:$N$75,$O27)))</f>
        <v/>
      </c>
      <c r="N27" s="21" t="str">
        <f aca="false">IF($O27="","",IF(INDEX(전체!$O$6:$O$75,$O27)="","",INDEX(전체!$O$6:$O$75,$O27)))</f>
        <v/>
      </c>
      <c r="O27" s="22" t="str">
        <f aca="false">IFERROR(MATCH($R$2&amp;"|"&amp;23,전체!$P$6:$P$75,0),"")</f>
        <v/>
      </c>
    </row>
    <row r="28" customFormat="false" ht="15" hidden="false" customHeight="false" outlineLevel="0" collapsed="false">
      <c r="A28" s="5" t="str">
        <f aca="false">IF($O28="","",24)</f>
        <v/>
      </c>
      <c r="B28" s="20" t="str">
        <f aca="false">IF($O28="","",IF(INDEX(전체!$C$6:$C$75,$O28)="","",INDEX(전체!$C$6:$C$75,$O28)))</f>
        <v/>
      </c>
      <c r="C28" s="21" t="str">
        <f aca="false">IF($O28="","",IF(INDEX(전체!$D$6:$D$75,$O28)="","",INDEX(전체!$D$6:$D$75,$O28)))</f>
        <v/>
      </c>
      <c r="D28" s="5" t="str">
        <f aca="false">IF($O28="","",IF(INDEX(전체!$E$6:$E$75,$O28)="","",INDEX(전체!$E$6:$E$75,$O28)))</f>
        <v/>
      </c>
      <c r="E28" s="5" t="str">
        <f aca="false">IF($O28="","",IF(INDEX(전체!$F$6:$F$75,$O28)="","",INDEX(전체!$F$6:$F$75,$O28)))</f>
        <v/>
      </c>
      <c r="F28" s="21" t="str">
        <f aca="false">IF($O28="","",IF(INDEX(전체!$G$6:$G$75,$O28)="","",INDEX(전체!$G$6:$G$75,$O28)))</f>
        <v/>
      </c>
      <c r="G28" s="21" t="str">
        <f aca="false">IF($O28="","",IF(INDEX(전체!$H$6:$H$75,$O28)="","",INDEX(전체!$H$6:$H$75,$O28)))</f>
        <v/>
      </c>
      <c r="H28" s="5" t="str">
        <f aca="false">IF($O28="","",IF(INDEX(전체!$I$6:$I$75,$O28)="","",INDEX(전체!$I$6:$I$75,$O28)))</f>
        <v/>
      </c>
      <c r="I28" s="5" t="str">
        <f aca="false">IF($O28="","",IF(INDEX(전체!$J$6:$J$75,$O28)="","",INDEX(전체!$J$6:$J$75,$O28)))</f>
        <v/>
      </c>
      <c r="J28" s="21" t="str">
        <f aca="false">IF($O28="","",IF(INDEX(전체!$K$6:$K$75,$O28)="","",INDEX(전체!$K$6:$K$75,$O28)))</f>
        <v/>
      </c>
      <c r="K28" s="20" t="str">
        <f aca="false">IF($O28="","",IF(INDEX(전체!$L$6:$L$75,$O28)="","",INDEX(전체!$L$6:$L$75,$O28)))</f>
        <v/>
      </c>
      <c r="L28" s="5" t="str">
        <f aca="false">IF($O28="","",IF(INDEX(전체!$M$6:$M$75,$O28)="","",INDEX(전체!$M$6:$M$75,$O28)))</f>
        <v/>
      </c>
      <c r="M28" s="21" t="str">
        <f aca="false">IF($O28="","",IF(INDEX(전체!$N$6:$N$75,$O28)="","",INDEX(전체!$N$6:$N$75,$O28)))</f>
        <v/>
      </c>
      <c r="N28" s="21" t="str">
        <f aca="false">IF($O28="","",IF(INDEX(전체!$O$6:$O$75,$O28)="","",INDEX(전체!$O$6:$O$75,$O28)))</f>
        <v/>
      </c>
      <c r="O28" s="22" t="str">
        <f aca="false">IFERROR(MATCH($R$2&amp;"|"&amp;24,전체!$P$6:$P$75,0),"")</f>
        <v/>
      </c>
    </row>
    <row r="29" customFormat="false" ht="15" hidden="false" customHeight="false" outlineLevel="0" collapsed="false">
      <c r="A29" s="5" t="str">
        <f aca="false">IF($O29="","",25)</f>
        <v/>
      </c>
      <c r="B29" s="20" t="str">
        <f aca="false">IF($O29="","",IF(INDEX(전체!$C$6:$C$75,$O29)="","",INDEX(전체!$C$6:$C$75,$O29)))</f>
        <v/>
      </c>
      <c r="C29" s="21" t="str">
        <f aca="false">IF($O29="","",IF(INDEX(전체!$D$6:$D$75,$O29)="","",INDEX(전체!$D$6:$D$75,$O29)))</f>
        <v/>
      </c>
      <c r="D29" s="5" t="str">
        <f aca="false">IF($O29="","",IF(INDEX(전체!$E$6:$E$75,$O29)="","",INDEX(전체!$E$6:$E$75,$O29)))</f>
        <v/>
      </c>
      <c r="E29" s="5" t="str">
        <f aca="false">IF($O29="","",IF(INDEX(전체!$F$6:$F$75,$O29)="","",INDEX(전체!$F$6:$F$75,$O29)))</f>
        <v/>
      </c>
      <c r="F29" s="21" t="str">
        <f aca="false">IF($O29="","",IF(INDEX(전체!$G$6:$G$75,$O29)="","",INDEX(전체!$G$6:$G$75,$O29)))</f>
        <v/>
      </c>
      <c r="G29" s="21" t="str">
        <f aca="false">IF($O29="","",IF(INDEX(전체!$H$6:$H$75,$O29)="","",INDEX(전체!$H$6:$H$75,$O29)))</f>
        <v/>
      </c>
      <c r="H29" s="5" t="str">
        <f aca="false">IF($O29="","",IF(INDEX(전체!$I$6:$I$75,$O29)="","",INDEX(전체!$I$6:$I$75,$O29)))</f>
        <v/>
      </c>
      <c r="I29" s="5" t="str">
        <f aca="false">IF($O29="","",IF(INDEX(전체!$J$6:$J$75,$O29)="","",INDEX(전체!$J$6:$J$75,$O29)))</f>
        <v/>
      </c>
      <c r="J29" s="21" t="str">
        <f aca="false">IF($O29="","",IF(INDEX(전체!$K$6:$K$75,$O29)="","",INDEX(전체!$K$6:$K$75,$O29)))</f>
        <v/>
      </c>
      <c r="K29" s="20" t="str">
        <f aca="false">IF($O29="","",IF(INDEX(전체!$L$6:$L$75,$O29)="","",INDEX(전체!$L$6:$L$75,$O29)))</f>
        <v/>
      </c>
      <c r="L29" s="5" t="str">
        <f aca="false">IF($O29="","",IF(INDEX(전체!$M$6:$M$75,$O29)="","",INDEX(전체!$M$6:$M$75,$O29)))</f>
        <v/>
      </c>
      <c r="M29" s="21" t="str">
        <f aca="false">IF($O29="","",IF(INDEX(전체!$N$6:$N$75,$O29)="","",INDEX(전체!$N$6:$N$75,$O29)))</f>
        <v/>
      </c>
      <c r="N29" s="21" t="str">
        <f aca="false">IF($O29="","",IF(INDEX(전체!$O$6:$O$75,$O29)="","",INDEX(전체!$O$6:$O$75,$O29)))</f>
        <v/>
      </c>
      <c r="O29" s="22" t="str">
        <f aca="false">IFERROR(MATCH($R$2&amp;"|"&amp;25,전체!$P$6:$P$75,0),"")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6"/>
  </cols>
  <sheetData>
    <row r="1" customFormat="false" ht="18.55" hidden="false" customHeight="false" outlineLevel="0" collapsed="false">
      <c r="A1" s="1" t="s">
        <v>56</v>
      </c>
      <c r="C1" s="16" t="str">
        <f aca="false">COUNTIF(전체!$B$6:$B$75,"면")&amp;"곳"</f>
        <v>4곳</v>
      </c>
    </row>
    <row r="2" customFormat="false" ht="15" hidden="false" customHeight="false" outlineLevel="0" collapsed="false">
      <c r="A2" s="17" t="s">
        <v>255</v>
      </c>
      <c r="R2" s="18" t="s">
        <v>56</v>
      </c>
    </row>
    <row r="4" customFormat="false" ht="39.55" hidden="false" customHeight="false" outlineLevel="0" collapsed="false">
      <c r="A4" s="3" t="s">
        <v>3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19" t="s">
        <v>256</v>
      </c>
    </row>
    <row r="5" customFormat="false" ht="15" hidden="false" customHeight="false" outlineLevel="0" collapsed="false">
      <c r="A5" s="5" t="n">
        <f aca="false">IF($O5="","",1)</f>
        <v>1</v>
      </c>
      <c r="B5" s="20" t="str">
        <f aca="false">IF($O5="","",IF(INDEX(전체!$C$6:$C$75,$O5)="","",INDEX(전체!$C$6:$C$75,$O5)))</f>
        <v>1969부원동칼국수 남포본점</v>
      </c>
      <c r="C5" s="21" t="str">
        <f aca="false">IF($O5="","",IF(INDEX(전체!$D$6:$D$75,$O5)="","",INDEX(전체!$D$6:$D$75,$O5)))</f>
        <v>칼국수,만두</v>
      </c>
      <c r="D5" s="5" t="str">
        <f aca="false">IF($O5="","",IF(INDEX(전체!$E$6:$E$75,$O5)="","",INDEX(전체!$E$6:$E$75,$O5)))</f>
        <v>영업 중</v>
      </c>
      <c r="E5" s="5" t="str">
        <f aca="false">IF($O5="","",IF(INDEX(전체!$F$6:$F$75,$O5)="","",INDEX(전체!$F$6:$F$75,$O5)))</f>
        <v/>
      </c>
      <c r="F5" s="21" t="str">
        <f aca="false">IF($O5="","",IF(INDEX(전체!$G$6:$G$75,$O5)="","",INDEX(전체!$G$6:$G$75,$O5)))</f>
        <v>부산 중구 남포동2가 36</v>
      </c>
      <c r="G5" s="21" t="str">
        <f aca="false">IF($O5="","",IF(INDEX(전체!$H$6:$H$75,$O5)="","",INDEX(전체!$H$6:$H$75,$O5)))</f>
        <v>1층</v>
      </c>
      <c r="H5" s="5" t="str">
        <f aca="false">IF($O5="","",IF(INDEX(전체!$I$6:$I$75,$O5)="","",INDEX(전체!$I$6:$I$75,$O5)))</f>
        <v/>
      </c>
      <c r="I5" s="5" t="str">
        <f aca="false">IF($O5="","",IF(INDEX(전체!$J$6:$J$75,$O5)="","",INDEX(전체!$J$6:$J$75,$O5)))</f>
        <v/>
      </c>
      <c r="J5" s="21" t="str">
        <f aca="false">IF($O5="","",IF(INDEX(전체!$K$6:$K$75,$O5)="","",INDEX(전체!$K$6:$K$75,$O5)))</f>
        <v/>
      </c>
      <c r="K5" s="20" t="str">
        <f aca="false">IF($O5="","",IF(INDEX(전체!$L$6:$L$75,$O5)="","",INDEX(전체!$L$6:$L$75,$O5)))</f>
        <v>칼국수·만두</v>
      </c>
      <c r="L5" s="5" t="str">
        <f aca="false">IF($O5="","",IF(INDEX(전체!$M$6:$M$75,$O5)="","",INDEX(전체!$M$6:$M$75,$O5)))</f>
        <v>7,000~9,000</v>
      </c>
      <c r="M5" s="21" t="str">
        <f aca="false">IF($O5="","",IF(INDEX(전체!$N$6:$N$75,$O5)="","",INDEX(전체!$N$6:$N$75,$O5)))</f>
        <v>55주년 현판이 있는 노포 칼국수집. 칼국수·만두</v>
      </c>
      <c r="N5" s="21" t="str">
        <f aca="false">IF($O5="","",IF(INDEX(전체!$O$6:$O$75,$O5)="","",INDEX(전체!$O$6:$O$75,$O5)))</f>
        <v/>
      </c>
      <c r="O5" s="22" t="n">
        <f aca="false">IFERROR(MATCH($R$2&amp;"|"&amp;1,전체!$P$6:$P$75,0),"")</f>
        <v>6</v>
      </c>
    </row>
    <row r="6" customFormat="false" ht="15" hidden="false" customHeight="false" outlineLevel="0" collapsed="false">
      <c r="A6" s="5" t="n">
        <f aca="false">IF($O6="","",2)</f>
        <v>2</v>
      </c>
      <c r="B6" s="20" t="str">
        <f aca="false">IF($O6="","",IF(INDEX(전체!$C$6:$C$75,$O6)="","",INDEX(전체!$C$6:$C$75,$O6)))</f>
        <v>재성밀면</v>
      </c>
      <c r="C6" s="21" t="str">
        <f aca="false">IF($O6="","",IF(INDEX(전체!$D$6:$D$75,$O6)="","",INDEX(전체!$D$6:$D$75,$O6)))</f>
        <v>냉면</v>
      </c>
      <c r="D6" s="5" t="str">
        <f aca="false">IF($O6="","",IF(INDEX(전체!$E$6:$E$75,$O6)="","",INDEX(전체!$E$6:$E$75,$O6)))</f>
        <v>영업 중</v>
      </c>
      <c r="E6" s="5" t="str">
        <f aca="false">IF($O6="","",IF(INDEX(전체!$F$6:$F$75,$O6)="","",INDEX(전체!$F$6:$F$75,$O6)))</f>
        <v/>
      </c>
      <c r="F6" s="21" t="str">
        <f aca="false">IF($O6="","",IF(INDEX(전체!$G$6:$G$75,$O6)="","",INDEX(전체!$G$6:$G$75,$O6)))</f>
        <v>부산 중구 동광동3가 17-2</v>
      </c>
      <c r="G6" s="21" t="str">
        <f aca="false">IF($O6="","",IF(INDEX(전체!$H$6:$H$75,$O6)="","",INDEX(전체!$H$6:$H$75,$O6)))</f>
        <v/>
      </c>
      <c r="H6" s="5" t="str">
        <f aca="false">IF($O6="","",IF(INDEX(전체!$I$6:$I$75,$O6)="","",INDEX(전체!$I$6:$I$75,$O6)))</f>
        <v/>
      </c>
      <c r="I6" s="5" t="str">
        <f aca="false">IF($O6="","",IF(INDEX(전체!$J$6:$J$75,$O6)="","",INDEX(전체!$J$6:$J$75,$O6)))</f>
        <v/>
      </c>
      <c r="J6" s="21" t="str">
        <f aca="false">IF($O6="","",IF(INDEX(전체!$K$6:$K$75,$O6)="","",INDEX(전체!$K$6:$K$75,$O6)))</f>
        <v/>
      </c>
      <c r="K6" s="20" t="str">
        <f aca="false">IF($O6="","",IF(INDEX(전체!$L$6:$L$75,$O6)="","",INDEX(전체!$L$6:$L$75,$O6)))</f>
        <v>밀면·냉면</v>
      </c>
      <c r="L6" s="5" t="str">
        <f aca="false">IF($O6="","",IF(INDEX(전체!$M$6:$M$75,$O6)="","",INDEX(전체!$M$6:$M$75,$O6)))</f>
        <v>8,000~10,000</v>
      </c>
      <c r="M6" s="21" t="str">
        <f aca="false">IF($O6="","",IF(INDEX(전체!$N$6:$N$75,$O6)="","",INDEX(전체!$N$6:$N$75,$O6)))</f>
        <v>부산식 밀면 전문점 (네이버 업종: 냉면)</v>
      </c>
      <c r="N6" s="21" t="str">
        <f aca="false">IF($O6="","",IF(INDEX(전체!$O$6:$O$75,$O6)="","",INDEX(전체!$O$6:$O$75,$O6)))</f>
        <v/>
      </c>
      <c r="O6" s="22" t="n">
        <f aca="false">IFERROR(MATCH($R$2&amp;"|"&amp;2,전체!$P$6:$P$75,0),"")</f>
        <v>9</v>
      </c>
    </row>
    <row r="7" customFormat="false" ht="15" hidden="false" customHeight="false" outlineLevel="0" collapsed="false">
      <c r="A7" s="5" t="n">
        <f aca="false">IF($O7="","",3)</f>
        <v>3</v>
      </c>
      <c r="B7" s="20" t="str">
        <f aca="false">IF($O7="","",IF(INDEX(전체!$C$6:$C$75,$O7)="","",INDEX(전체!$C$6:$C$75,$O7)))</f>
        <v>중앙모밀</v>
      </c>
      <c r="C7" s="21" t="str">
        <f aca="false">IF($O7="","",IF(INDEX(전체!$D$6:$D$75,$O7)="","",INDEX(전체!$D$6:$D$75,$O7)))</f>
        <v>국수</v>
      </c>
      <c r="D7" s="5" t="str">
        <f aca="false">IF($O7="","",IF(INDEX(전체!$E$6:$E$75,$O7)="","",INDEX(전체!$E$6:$E$75,$O7)))</f>
        <v>영업 중</v>
      </c>
      <c r="E7" s="5" t="str">
        <f aca="false">IF($O7="","",IF(INDEX(전체!$F$6:$F$75,$O7)="","",INDEX(전체!$F$6:$F$75,$O7)))</f>
        <v/>
      </c>
      <c r="F7" s="21" t="str">
        <f aca="false">IF($O7="","",IF(INDEX(전체!$G$6:$G$75,$O7)="","",INDEX(전체!$G$6:$G$75,$O7)))</f>
        <v>부산 중구 중앙동2가 27-2</v>
      </c>
      <c r="G7" s="21" t="str">
        <f aca="false">IF($O7="","",IF(INDEX(전체!$H$6:$H$75,$O7)="","",INDEX(전체!$H$6:$H$75,$O7)))</f>
        <v/>
      </c>
      <c r="H7" s="5" t="str">
        <f aca="false">IF($O7="","",IF(INDEX(전체!$I$6:$I$75,$O7)="","",INDEX(전체!$I$6:$I$75,$O7)))</f>
        <v/>
      </c>
      <c r="I7" s="5" t="str">
        <f aca="false">IF($O7="","",IF(INDEX(전체!$J$6:$J$75,$O7)="","",INDEX(전체!$J$6:$J$75,$O7)))</f>
        <v/>
      </c>
      <c r="J7" s="21" t="str">
        <f aca="false">IF($O7="","",IF(INDEX(전체!$K$6:$K$75,$O7)="","",INDEX(전체!$K$6:$K$75,$O7)))</f>
        <v/>
      </c>
      <c r="K7" s="20" t="str">
        <f aca="false">IF($O7="","",IF(INDEX(전체!$L$6:$L$75,$O7)="","",INDEX(전체!$L$6:$L$75,$O7)))</f>
        <v>모밀·국수</v>
      </c>
      <c r="L7" s="5" t="str">
        <f aca="false">IF($O7="","",IF(INDEX(전체!$M$6:$M$75,$O7)="","",INDEX(전체!$M$6:$M$75,$O7)))</f>
        <v>6,000~8,000</v>
      </c>
      <c r="M7" s="21" t="str">
        <f aca="false">IF($O7="","",IF(INDEX(전체!$N$6:$N$75,$O7)="","",INDEX(전체!$N$6:$N$75,$O7)))</f>
        <v>모밀·국수를 가볍게 먹는 곳 (김 올린 국수 사진)</v>
      </c>
      <c r="N7" s="21" t="str">
        <f aca="false">IF($O7="","",IF(INDEX(전체!$O$6:$O$75,$O7)="","",INDEX(전체!$O$6:$O$75,$O7)))</f>
        <v/>
      </c>
      <c r="O7" s="22" t="n">
        <f aca="false">IFERROR(MATCH($R$2&amp;"|"&amp;3,전체!$P$6:$P$75,0),"")</f>
        <v>16</v>
      </c>
    </row>
    <row r="8" customFormat="false" ht="26.1" hidden="false" customHeight="false" outlineLevel="0" collapsed="false">
      <c r="A8" s="5" t="n">
        <f aca="false">IF($O8="","",4)</f>
        <v>4</v>
      </c>
      <c r="B8" s="20" t="str">
        <f aca="false">IF($O8="","",IF(INDEX(전체!$C$6:$C$75,$O8)="","",INDEX(전체!$C$6:$C$75,$O8)))</f>
        <v>얼큰이칼국수</v>
      </c>
      <c r="C8" s="21" t="str">
        <f aca="false">IF($O8="","",IF(INDEX(전체!$D$6:$D$75,$O8)="","",INDEX(전체!$D$6:$D$75,$O8)))</f>
        <v>칼국수,만두</v>
      </c>
      <c r="D8" s="5" t="str">
        <f aca="false">IF($O8="","",IF(INDEX(전체!$E$6:$E$75,$O8)="","",INDEX(전체!$E$6:$E$75,$O8)))</f>
        <v>영업 중</v>
      </c>
      <c r="E8" s="5" t="str">
        <f aca="false">IF($O8="","",IF(INDEX(전체!$F$6:$F$75,$O8)="","",INDEX(전체!$F$6:$F$75,$O8)))</f>
        <v/>
      </c>
      <c r="F8" s="21" t="str">
        <f aca="false">IF($O8="","",IF(INDEX(전체!$G$6:$G$75,$O8)="","",INDEX(전체!$G$6:$G$75,$O8)))</f>
        <v>부산 영도구 해양로 70</v>
      </c>
      <c r="G8" s="21" t="str">
        <f aca="false">IF($O8="","",IF(INDEX(전체!$H$6:$H$75,$O8)="","",INDEX(전체!$H$6:$H$75,$O8)))</f>
        <v>1층</v>
      </c>
      <c r="H8" s="5" t="str">
        <f aca="false">IF($O8="","",IF(INDEX(전체!$I$6:$I$75,$O8)="","",INDEX(전체!$I$6:$I$75,$O8)))</f>
        <v/>
      </c>
      <c r="I8" s="5" t="str">
        <f aca="false">IF($O8="","",IF(INDEX(전체!$J$6:$J$75,$O8)="","",INDEX(전체!$J$6:$J$75,$O8)))</f>
        <v>★4.47 (리뷰 2,471)</v>
      </c>
      <c r="J8" s="21" t="str">
        <f aca="false">IF($O8="","",IF(INDEX(전체!$K$6:$K$75,$O8)="","",INDEX(전체!$K$6:$K$75,$O8)))</f>
        <v>0507-1320-5213</v>
      </c>
      <c r="K8" s="20" t="str">
        <f aca="false">IF($O8="","",IF(INDEX(전체!$L$6:$L$75,$O8)="","",INDEX(전체!$L$6:$L$75,$O8)))</f>
        <v>얼큰칼국수·충무김밥</v>
      </c>
      <c r="L8" s="5" t="str">
        <f aca="false">IF($O8="","",IF(INDEX(전체!$M$6:$M$75,$O8)="","",INDEX(전체!$M$6:$M$75,$O8)))</f>
        <v>8,000~10,000</v>
      </c>
      <c r="M8" s="21" t="str">
        <f aca="false">IF($O8="","",IF(INDEX(전체!$N$6:$N$75,$O8)="","",INDEX(전체!$N$6:$N$75,$O8)))</f>
        <v>깔끔한 충무김밥과 얼큰칼국수의 조화</v>
      </c>
      <c r="N8" s="21" t="str">
        <f aca="false">IF($O8="","",IF(INDEX(전체!$O$6:$O$75,$O8)="","",INDEX(전체!$O$6:$O$75,$O8)))</f>
        <v>15:00 라스트오더 / ※ 영도구 (중구 아님)</v>
      </c>
      <c r="O8" s="22" t="n">
        <f aca="false">IFERROR(MATCH($R$2&amp;"|"&amp;4,전체!$P$6:$P$75,0),"")</f>
        <v>26</v>
      </c>
    </row>
    <row r="9" customFormat="false" ht="15" hidden="false" customHeight="false" outlineLevel="0" collapsed="false">
      <c r="A9" s="5" t="str">
        <f aca="false">IF($O9="","",5)</f>
        <v/>
      </c>
      <c r="B9" s="20" t="str">
        <f aca="false">IF($O9="","",IF(INDEX(전체!$C$6:$C$75,$O9)="","",INDEX(전체!$C$6:$C$75,$O9)))</f>
        <v/>
      </c>
      <c r="C9" s="21" t="str">
        <f aca="false">IF($O9="","",IF(INDEX(전체!$D$6:$D$75,$O9)="","",INDEX(전체!$D$6:$D$75,$O9)))</f>
        <v/>
      </c>
      <c r="D9" s="5" t="str">
        <f aca="false">IF($O9="","",IF(INDEX(전체!$E$6:$E$75,$O9)="","",INDEX(전체!$E$6:$E$75,$O9)))</f>
        <v/>
      </c>
      <c r="E9" s="5" t="str">
        <f aca="false">IF($O9="","",IF(INDEX(전체!$F$6:$F$75,$O9)="","",INDEX(전체!$F$6:$F$75,$O9)))</f>
        <v/>
      </c>
      <c r="F9" s="21" t="str">
        <f aca="false">IF($O9="","",IF(INDEX(전체!$G$6:$G$75,$O9)="","",INDEX(전체!$G$6:$G$75,$O9)))</f>
        <v/>
      </c>
      <c r="G9" s="21" t="str">
        <f aca="false">IF($O9="","",IF(INDEX(전체!$H$6:$H$75,$O9)="","",INDEX(전체!$H$6:$H$75,$O9)))</f>
        <v/>
      </c>
      <c r="H9" s="5" t="str">
        <f aca="false">IF($O9="","",IF(INDEX(전체!$I$6:$I$75,$O9)="","",INDEX(전체!$I$6:$I$75,$O9)))</f>
        <v/>
      </c>
      <c r="I9" s="5" t="str">
        <f aca="false">IF($O9="","",IF(INDEX(전체!$J$6:$J$75,$O9)="","",INDEX(전체!$J$6:$J$75,$O9)))</f>
        <v/>
      </c>
      <c r="J9" s="21" t="str">
        <f aca="false">IF($O9="","",IF(INDEX(전체!$K$6:$K$75,$O9)="","",INDEX(전체!$K$6:$K$75,$O9)))</f>
        <v/>
      </c>
      <c r="K9" s="20" t="str">
        <f aca="false">IF($O9="","",IF(INDEX(전체!$L$6:$L$75,$O9)="","",INDEX(전체!$L$6:$L$75,$O9)))</f>
        <v/>
      </c>
      <c r="L9" s="5" t="str">
        <f aca="false">IF($O9="","",IF(INDEX(전체!$M$6:$M$75,$O9)="","",INDEX(전체!$M$6:$M$75,$O9)))</f>
        <v/>
      </c>
      <c r="M9" s="21" t="str">
        <f aca="false">IF($O9="","",IF(INDEX(전체!$N$6:$N$75,$O9)="","",INDEX(전체!$N$6:$N$75,$O9)))</f>
        <v/>
      </c>
      <c r="N9" s="21" t="str">
        <f aca="false">IF($O9="","",IF(INDEX(전체!$O$6:$O$75,$O9)="","",INDEX(전체!$O$6:$O$75,$O9)))</f>
        <v/>
      </c>
      <c r="O9" s="22" t="str">
        <f aca="false">IFERROR(MATCH($R$2&amp;"|"&amp;5,전체!$P$6:$P$75,0),"")</f>
        <v/>
      </c>
    </row>
    <row r="10" customFormat="false" ht="15" hidden="false" customHeight="false" outlineLevel="0" collapsed="false">
      <c r="A10" s="5" t="str">
        <f aca="false">IF($O10="","",6)</f>
        <v/>
      </c>
      <c r="B10" s="20" t="str">
        <f aca="false">IF($O10="","",IF(INDEX(전체!$C$6:$C$75,$O10)="","",INDEX(전체!$C$6:$C$75,$O10)))</f>
        <v/>
      </c>
      <c r="C10" s="21" t="str">
        <f aca="false">IF($O10="","",IF(INDEX(전체!$D$6:$D$75,$O10)="","",INDEX(전체!$D$6:$D$75,$O10)))</f>
        <v/>
      </c>
      <c r="D10" s="5" t="str">
        <f aca="false">IF($O10="","",IF(INDEX(전체!$E$6:$E$75,$O10)="","",INDEX(전체!$E$6:$E$75,$O10)))</f>
        <v/>
      </c>
      <c r="E10" s="5" t="str">
        <f aca="false">IF($O10="","",IF(INDEX(전체!$F$6:$F$75,$O10)="","",INDEX(전체!$F$6:$F$75,$O10)))</f>
        <v/>
      </c>
      <c r="F10" s="21" t="str">
        <f aca="false">IF($O10="","",IF(INDEX(전체!$G$6:$G$75,$O10)="","",INDEX(전체!$G$6:$G$75,$O10)))</f>
        <v/>
      </c>
      <c r="G10" s="21" t="str">
        <f aca="false">IF($O10="","",IF(INDEX(전체!$H$6:$H$75,$O10)="","",INDEX(전체!$H$6:$H$75,$O10)))</f>
        <v/>
      </c>
      <c r="H10" s="5" t="str">
        <f aca="false">IF($O10="","",IF(INDEX(전체!$I$6:$I$75,$O10)="","",INDEX(전체!$I$6:$I$75,$O10)))</f>
        <v/>
      </c>
      <c r="I10" s="5" t="str">
        <f aca="false">IF($O10="","",IF(INDEX(전체!$J$6:$J$75,$O10)="","",INDEX(전체!$J$6:$J$75,$O10)))</f>
        <v/>
      </c>
      <c r="J10" s="21" t="str">
        <f aca="false">IF($O10="","",IF(INDEX(전체!$K$6:$K$75,$O10)="","",INDEX(전체!$K$6:$K$75,$O10)))</f>
        <v/>
      </c>
      <c r="K10" s="20" t="str">
        <f aca="false">IF($O10="","",IF(INDEX(전체!$L$6:$L$75,$O10)="","",INDEX(전체!$L$6:$L$75,$O10)))</f>
        <v/>
      </c>
      <c r="L10" s="5" t="str">
        <f aca="false">IF($O10="","",IF(INDEX(전체!$M$6:$M$75,$O10)="","",INDEX(전체!$M$6:$M$75,$O10)))</f>
        <v/>
      </c>
      <c r="M10" s="21" t="str">
        <f aca="false">IF($O10="","",IF(INDEX(전체!$N$6:$N$75,$O10)="","",INDEX(전체!$N$6:$N$75,$O10)))</f>
        <v/>
      </c>
      <c r="N10" s="21" t="str">
        <f aca="false">IF($O10="","",IF(INDEX(전체!$O$6:$O$75,$O10)="","",INDEX(전체!$O$6:$O$75,$O10)))</f>
        <v/>
      </c>
      <c r="O10" s="22" t="str">
        <f aca="false">IFERROR(MATCH($R$2&amp;"|"&amp;6,전체!$P$6:$P$75,0),"")</f>
        <v/>
      </c>
    </row>
    <row r="11" customFormat="false" ht="15" hidden="false" customHeight="false" outlineLevel="0" collapsed="false">
      <c r="A11" s="5" t="str">
        <f aca="false">IF($O11="","",7)</f>
        <v/>
      </c>
      <c r="B11" s="20" t="str">
        <f aca="false">IF($O11="","",IF(INDEX(전체!$C$6:$C$75,$O11)="","",INDEX(전체!$C$6:$C$75,$O11)))</f>
        <v/>
      </c>
      <c r="C11" s="21" t="str">
        <f aca="false">IF($O11="","",IF(INDEX(전체!$D$6:$D$75,$O11)="","",INDEX(전체!$D$6:$D$75,$O11)))</f>
        <v/>
      </c>
      <c r="D11" s="5" t="str">
        <f aca="false">IF($O11="","",IF(INDEX(전체!$E$6:$E$75,$O11)="","",INDEX(전체!$E$6:$E$75,$O11)))</f>
        <v/>
      </c>
      <c r="E11" s="5" t="str">
        <f aca="false">IF($O11="","",IF(INDEX(전체!$F$6:$F$75,$O11)="","",INDEX(전체!$F$6:$F$75,$O11)))</f>
        <v/>
      </c>
      <c r="F11" s="21" t="str">
        <f aca="false">IF($O11="","",IF(INDEX(전체!$G$6:$G$75,$O11)="","",INDEX(전체!$G$6:$G$75,$O11)))</f>
        <v/>
      </c>
      <c r="G11" s="21" t="str">
        <f aca="false">IF($O11="","",IF(INDEX(전체!$H$6:$H$75,$O11)="","",INDEX(전체!$H$6:$H$75,$O11)))</f>
        <v/>
      </c>
      <c r="H11" s="5" t="str">
        <f aca="false">IF($O11="","",IF(INDEX(전체!$I$6:$I$75,$O11)="","",INDEX(전체!$I$6:$I$75,$O11)))</f>
        <v/>
      </c>
      <c r="I11" s="5" t="str">
        <f aca="false">IF($O11="","",IF(INDEX(전체!$J$6:$J$75,$O11)="","",INDEX(전체!$J$6:$J$75,$O11)))</f>
        <v/>
      </c>
      <c r="J11" s="21" t="str">
        <f aca="false">IF($O11="","",IF(INDEX(전체!$K$6:$K$75,$O11)="","",INDEX(전체!$K$6:$K$75,$O11)))</f>
        <v/>
      </c>
      <c r="K11" s="20" t="str">
        <f aca="false">IF($O11="","",IF(INDEX(전체!$L$6:$L$75,$O11)="","",INDEX(전체!$L$6:$L$75,$O11)))</f>
        <v/>
      </c>
      <c r="L11" s="5" t="str">
        <f aca="false">IF($O11="","",IF(INDEX(전체!$M$6:$M$75,$O11)="","",INDEX(전체!$M$6:$M$75,$O11)))</f>
        <v/>
      </c>
      <c r="M11" s="21" t="str">
        <f aca="false">IF($O11="","",IF(INDEX(전체!$N$6:$N$75,$O11)="","",INDEX(전체!$N$6:$N$75,$O11)))</f>
        <v/>
      </c>
      <c r="N11" s="21" t="str">
        <f aca="false">IF($O11="","",IF(INDEX(전체!$O$6:$O$75,$O11)="","",INDEX(전체!$O$6:$O$75,$O11)))</f>
        <v/>
      </c>
      <c r="O11" s="22" t="str">
        <f aca="false">IFERROR(MATCH($R$2&amp;"|"&amp;7,전체!$P$6:$P$75,0),"")</f>
        <v/>
      </c>
    </row>
    <row r="12" customFormat="false" ht="15" hidden="false" customHeight="false" outlineLevel="0" collapsed="false">
      <c r="A12" s="5" t="str">
        <f aca="false">IF($O12="","",8)</f>
        <v/>
      </c>
      <c r="B12" s="20" t="str">
        <f aca="false">IF($O12="","",IF(INDEX(전체!$C$6:$C$75,$O12)="","",INDEX(전체!$C$6:$C$75,$O12)))</f>
        <v/>
      </c>
      <c r="C12" s="21" t="str">
        <f aca="false">IF($O12="","",IF(INDEX(전체!$D$6:$D$75,$O12)="","",INDEX(전체!$D$6:$D$75,$O12)))</f>
        <v/>
      </c>
      <c r="D12" s="5" t="str">
        <f aca="false">IF($O12="","",IF(INDEX(전체!$E$6:$E$75,$O12)="","",INDEX(전체!$E$6:$E$75,$O12)))</f>
        <v/>
      </c>
      <c r="E12" s="5" t="str">
        <f aca="false">IF($O12="","",IF(INDEX(전체!$F$6:$F$75,$O12)="","",INDEX(전체!$F$6:$F$75,$O12)))</f>
        <v/>
      </c>
      <c r="F12" s="21" t="str">
        <f aca="false">IF($O12="","",IF(INDEX(전체!$G$6:$G$75,$O12)="","",INDEX(전체!$G$6:$G$75,$O12)))</f>
        <v/>
      </c>
      <c r="G12" s="21" t="str">
        <f aca="false">IF($O12="","",IF(INDEX(전체!$H$6:$H$75,$O12)="","",INDEX(전체!$H$6:$H$75,$O12)))</f>
        <v/>
      </c>
      <c r="H12" s="5" t="str">
        <f aca="false">IF($O12="","",IF(INDEX(전체!$I$6:$I$75,$O12)="","",INDEX(전체!$I$6:$I$75,$O12)))</f>
        <v/>
      </c>
      <c r="I12" s="5" t="str">
        <f aca="false">IF($O12="","",IF(INDEX(전체!$J$6:$J$75,$O12)="","",INDEX(전체!$J$6:$J$75,$O12)))</f>
        <v/>
      </c>
      <c r="J12" s="21" t="str">
        <f aca="false">IF($O12="","",IF(INDEX(전체!$K$6:$K$75,$O12)="","",INDEX(전체!$K$6:$K$75,$O12)))</f>
        <v/>
      </c>
      <c r="K12" s="20" t="str">
        <f aca="false">IF($O12="","",IF(INDEX(전체!$L$6:$L$75,$O12)="","",INDEX(전체!$L$6:$L$75,$O12)))</f>
        <v/>
      </c>
      <c r="L12" s="5" t="str">
        <f aca="false">IF($O12="","",IF(INDEX(전체!$M$6:$M$75,$O12)="","",INDEX(전체!$M$6:$M$75,$O12)))</f>
        <v/>
      </c>
      <c r="M12" s="21" t="str">
        <f aca="false">IF($O12="","",IF(INDEX(전체!$N$6:$N$75,$O12)="","",INDEX(전체!$N$6:$N$75,$O12)))</f>
        <v/>
      </c>
      <c r="N12" s="21" t="str">
        <f aca="false">IF($O12="","",IF(INDEX(전체!$O$6:$O$75,$O12)="","",INDEX(전체!$O$6:$O$75,$O12)))</f>
        <v/>
      </c>
      <c r="O12" s="22" t="str">
        <f aca="false">IFERROR(MATCH($R$2&amp;"|"&amp;8,전체!$P$6:$P$75,0),"")</f>
        <v/>
      </c>
    </row>
    <row r="13" customFormat="false" ht="15" hidden="false" customHeight="false" outlineLevel="0" collapsed="false">
      <c r="A13" s="5" t="str">
        <f aca="false">IF($O13="","",9)</f>
        <v/>
      </c>
      <c r="B13" s="20" t="str">
        <f aca="false">IF($O13="","",IF(INDEX(전체!$C$6:$C$75,$O13)="","",INDEX(전체!$C$6:$C$75,$O13)))</f>
        <v/>
      </c>
      <c r="C13" s="21" t="str">
        <f aca="false">IF($O13="","",IF(INDEX(전체!$D$6:$D$75,$O13)="","",INDEX(전체!$D$6:$D$75,$O13)))</f>
        <v/>
      </c>
      <c r="D13" s="5" t="str">
        <f aca="false">IF($O13="","",IF(INDEX(전체!$E$6:$E$75,$O13)="","",INDEX(전체!$E$6:$E$75,$O13)))</f>
        <v/>
      </c>
      <c r="E13" s="5" t="str">
        <f aca="false">IF($O13="","",IF(INDEX(전체!$F$6:$F$75,$O13)="","",INDEX(전체!$F$6:$F$75,$O13)))</f>
        <v/>
      </c>
      <c r="F13" s="21" t="str">
        <f aca="false">IF($O13="","",IF(INDEX(전체!$G$6:$G$75,$O13)="","",INDEX(전체!$G$6:$G$75,$O13)))</f>
        <v/>
      </c>
      <c r="G13" s="21" t="str">
        <f aca="false">IF($O13="","",IF(INDEX(전체!$H$6:$H$75,$O13)="","",INDEX(전체!$H$6:$H$75,$O13)))</f>
        <v/>
      </c>
      <c r="H13" s="5" t="str">
        <f aca="false">IF($O13="","",IF(INDEX(전체!$I$6:$I$75,$O13)="","",INDEX(전체!$I$6:$I$75,$O13)))</f>
        <v/>
      </c>
      <c r="I13" s="5" t="str">
        <f aca="false">IF($O13="","",IF(INDEX(전체!$J$6:$J$75,$O13)="","",INDEX(전체!$J$6:$J$75,$O13)))</f>
        <v/>
      </c>
      <c r="J13" s="21" t="str">
        <f aca="false">IF($O13="","",IF(INDEX(전체!$K$6:$K$75,$O13)="","",INDEX(전체!$K$6:$K$75,$O13)))</f>
        <v/>
      </c>
      <c r="K13" s="20" t="str">
        <f aca="false">IF($O13="","",IF(INDEX(전체!$L$6:$L$75,$O13)="","",INDEX(전체!$L$6:$L$75,$O13)))</f>
        <v/>
      </c>
      <c r="L13" s="5" t="str">
        <f aca="false">IF($O13="","",IF(INDEX(전체!$M$6:$M$75,$O13)="","",INDEX(전체!$M$6:$M$75,$O13)))</f>
        <v/>
      </c>
      <c r="M13" s="21" t="str">
        <f aca="false">IF($O13="","",IF(INDEX(전체!$N$6:$N$75,$O13)="","",INDEX(전체!$N$6:$N$75,$O13)))</f>
        <v/>
      </c>
      <c r="N13" s="21" t="str">
        <f aca="false">IF($O13="","",IF(INDEX(전체!$O$6:$O$75,$O13)="","",INDEX(전체!$O$6:$O$75,$O13)))</f>
        <v/>
      </c>
      <c r="O13" s="22" t="str">
        <f aca="false">IFERROR(MATCH($R$2&amp;"|"&amp;9,전체!$P$6:$P$75,0),"")</f>
        <v/>
      </c>
    </row>
    <row r="14" customFormat="false" ht="15" hidden="false" customHeight="false" outlineLevel="0" collapsed="false">
      <c r="A14" s="5" t="str">
        <f aca="false">IF($O14="","",10)</f>
        <v/>
      </c>
      <c r="B14" s="20" t="str">
        <f aca="false">IF($O14="","",IF(INDEX(전체!$C$6:$C$75,$O14)="","",INDEX(전체!$C$6:$C$75,$O14)))</f>
        <v/>
      </c>
      <c r="C14" s="21" t="str">
        <f aca="false">IF($O14="","",IF(INDEX(전체!$D$6:$D$75,$O14)="","",INDEX(전체!$D$6:$D$75,$O14)))</f>
        <v/>
      </c>
      <c r="D14" s="5" t="str">
        <f aca="false">IF($O14="","",IF(INDEX(전체!$E$6:$E$75,$O14)="","",INDEX(전체!$E$6:$E$75,$O14)))</f>
        <v/>
      </c>
      <c r="E14" s="5" t="str">
        <f aca="false">IF($O14="","",IF(INDEX(전체!$F$6:$F$75,$O14)="","",INDEX(전체!$F$6:$F$75,$O14)))</f>
        <v/>
      </c>
      <c r="F14" s="21" t="str">
        <f aca="false">IF($O14="","",IF(INDEX(전체!$G$6:$G$75,$O14)="","",INDEX(전체!$G$6:$G$75,$O14)))</f>
        <v/>
      </c>
      <c r="G14" s="21" t="str">
        <f aca="false">IF($O14="","",IF(INDEX(전체!$H$6:$H$75,$O14)="","",INDEX(전체!$H$6:$H$75,$O14)))</f>
        <v/>
      </c>
      <c r="H14" s="5" t="str">
        <f aca="false">IF($O14="","",IF(INDEX(전체!$I$6:$I$75,$O14)="","",INDEX(전체!$I$6:$I$75,$O14)))</f>
        <v/>
      </c>
      <c r="I14" s="5" t="str">
        <f aca="false">IF($O14="","",IF(INDEX(전체!$J$6:$J$75,$O14)="","",INDEX(전체!$J$6:$J$75,$O14)))</f>
        <v/>
      </c>
      <c r="J14" s="21" t="str">
        <f aca="false">IF($O14="","",IF(INDEX(전체!$K$6:$K$75,$O14)="","",INDEX(전체!$K$6:$K$75,$O14)))</f>
        <v/>
      </c>
      <c r="K14" s="20" t="str">
        <f aca="false">IF($O14="","",IF(INDEX(전체!$L$6:$L$75,$O14)="","",INDEX(전체!$L$6:$L$75,$O14)))</f>
        <v/>
      </c>
      <c r="L14" s="5" t="str">
        <f aca="false">IF($O14="","",IF(INDEX(전체!$M$6:$M$75,$O14)="","",INDEX(전체!$M$6:$M$75,$O14)))</f>
        <v/>
      </c>
      <c r="M14" s="21" t="str">
        <f aca="false">IF($O14="","",IF(INDEX(전체!$N$6:$N$75,$O14)="","",INDEX(전체!$N$6:$N$75,$O14)))</f>
        <v/>
      </c>
      <c r="N14" s="21" t="str">
        <f aca="false">IF($O14="","",IF(INDEX(전체!$O$6:$O$75,$O14)="","",INDEX(전체!$O$6:$O$75,$O14)))</f>
        <v/>
      </c>
      <c r="O14" s="22" t="str">
        <f aca="false">IFERROR(MATCH($R$2&amp;"|"&amp;10,전체!$P$6:$P$75,0),"")</f>
        <v/>
      </c>
    </row>
    <row r="15" customFormat="false" ht="15" hidden="false" customHeight="false" outlineLevel="0" collapsed="false">
      <c r="A15" s="5" t="str">
        <f aca="false">IF($O15="","",11)</f>
        <v/>
      </c>
      <c r="B15" s="20" t="str">
        <f aca="false">IF($O15="","",IF(INDEX(전체!$C$6:$C$75,$O15)="","",INDEX(전체!$C$6:$C$75,$O15)))</f>
        <v/>
      </c>
      <c r="C15" s="21" t="str">
        <f aca="false">IF($O15="","",IF(INDEX(전체!$D$6:$D$75,$O15)="","",INDEX(전체!$D$6:$D$75,$O15)))</f>
        <v/>
      </c>
      <c r="D15" s="5" t="str">
        <f aca="false">IF($O15="","",IF(INDEX(전체!$E$6:$E$75,$O15)="","",INDEX(전체!$E$6:$E$75,$O15)))</f>
        <v/>
      </c>
      <c r="E15" s="5" t="str">
        <f aca="false">IF($O15="","",IF(INDEX(전체!$F$6:$F$75,$O15)="","",INDEX(전체!$F$6:$F$75,$O15)))</f>
        <v/>
      </c>
      <c r="F15" s="21" t="str">
        <f aca="false">IF($O15="","",IF(INDEX(전체!$G$6:$G$75,$O15)="","",INDEX(전체!$G$6:$G$75,$O15)))</f>
        <v/>
      </c>
      <c r="G15" s="21" t="str">
        <f aca="false">IF($O15="","",IF(INDEX(전체!$H$6:$H$75,$O15)="","",INDEX(전체!$H$6:$H$75,$O15)))</f>
        <v/>
      </c>
      <c r="H15" s="5" t="str">
        <f aca="false">IF($O15="","",IF(INDEX(전체!$I$6:$I$75,$O15)="","",INDEX(전체!$I$6:$I$75,$O15)))</f>
        <v/>
      </c>
      <c r="I15" s="5" t="str">
        <f aca="false">IF($O15="","",IF(INDEX(전체!$J$6:$J$75,$O15)="","",INDEX(전체!$J$6:$J$75,$O15)))</f>
        <v/>
      </c>
      <c r="J15" s="21" t="str">
        <f aca="false">IF($O15="","",IF(INDEX(전체!$K$6:$K$75,$O15)="","",INDEX(전체!$K$6:$K$75,$O15)))</f>
        <v/>
      </c>
      <c r="K15" s="20" t="str">
        <f aca="false">IF($O15="","",IF(INDEX(전체!$L$6:$L$75,$O15)="","",INDEX(전체!$L$6:$L$75,$O15)))</f>
        <v/>
      </c>
      <c r="L15" s="5" t="str">
        <f aca="false">IF($O15="","",IF(INDEX(전체!$M$6:$M$75,$O15)="","",INDEX(전체!$M$6:$M$75,$O15)))</f>
        <v/>
      </c>
      <c r="M15" s="21" t="str">
        <f aca="false">IF($O15="","",IF(INDEX(전체!$N$6:$N$75,$O15)="","",INDEX(전체!$N$6:$N$75,$O15)))</f>
        <v/>
      </c>
      <c r="N15" s="21" t="str">
        <f aca="false">IF($O15="","",IF(INDEX(전체!$O$6:$O$75,$O15)="","",INDEX(전체!$O$6:$O$75,$O15)))</f>
        <v/>
      </c>
      <c r="O15" s="22" t="str">
        <f aca="false">IFERROR(MATCH($R$2&amp;"|"&amp;11,전체!$P$6:$P$75,0),"")</f>
        <v/>
      </c>
    </row>
    <row r="16" customFormat="false" ht="15" hidden="false" customHeight="false" outlineLevel="0" collapsed="false">
      <c r="A16" s="5" t="str">
        <f aca="false">IF($O16="","",12)</f>
        <v/>
      </c>
      <c r="B16" s="20" t="str">
        <f aca="false">IF($O16="","",IF(INDEX(전체!$C$6:$C$75,$O16)="","",INDEX(전체!$C$6:$C$75,$O16)))</f>
        <v/>
      </c>
      <c r="C16" s="21" t="str">
        <f aca="false">IF($O16="","",IF(INDEX(전체!$D$6:$D$75,$O16)="","",INDEX(전체!$D$6:$D$75,$O16)))</f>
        <v/>
      </c>
      <c r="D16" s="5" t="str">
        <f aca="false">IF($O16="","",IF(INDEX(전체!$E$6:$E$75,$O16)="","",INDEX(전체!$E$6:$E$75,$O16)))</f>
        <v/>
      </c>
      <c r="E16" s="5" t="str">
        <f aca="false">IF($O16="","",IF(INDEX(전체!$F$6:$F$75,$O16)="","",INDEX(전체!$F$6:$F$75,$O16)))</f>
        <v/>
      </c>
      <c r="F16" s="21" t="str">
        <f aca="false">IF($O16="","",IF(INDEX(전체!$G$6:$G$75,$O16)="","",INDEX(전체!$G$6:$G$75,$O16)))</f>
        <v/>
      </c>
      <c r="G16" s="21" t="str">
        <f aca="false">IF($O16="","",IF(INDEX(전체!$H$6:$H$75,$O16)="","",INDEX(전체!$H$6:$H$75,$O16)))</f>
        <v/>
      </c>
      <c r="H16" s="5" t="str">
        <f aca="false">IF($O16="","",IF(INDEX(전체!$I$6:$I$75,$O16)="","",INDEX(전체!$I$6:$I$75,$O16)))</f>
        <v/>
      </c>
      <c r="I16" s="5" t="str">
        <f aca="false">IF($O16="","",IF(INDEX(전체!$J$6:$J$75,$O16)="","",INDEX(전체!$J$6:$J$75,$O16)))</f>
        <v/>
      </c>
      <c r="J16" s="21" t="str">
        <f aca="false">IF($O16="","",IF(INDEX(전체!$K$6:$K$75,$O16)="","",INDEX(전체!$K$6:$K$75,$O16)))</f>
        <v/>
      </c>
      <c r="K16" s="20" t="str">
        <f aca="false">IF($O16="","",IF(INDEX(전체!$L$6:$L$75,$O16)="","",INDEX(전체!$L$6:$L$75,$O16)))</f>
        <v/>
      </c>
      <c r="L16" s="5" t="str">
        <f aca="false">IF($O16="","",IF(INDEX(전체!$M$6:$M$75,$O16)="","",INDEX(전체!$M$6:$M$75,$O16)))</f>
        <v/>
      </c>
      <c r="M16" s="21" t="str">
        <f aca="false">IF($O16="","",IF(INDEX(전체!$N$6:$N$75,$O16)="","",INDEX(전체!$N$6:$N$75,$O16)))</f>
        <v/>
      </c>
      <c r="N16" s="21" t="str">
        <f aca="false">IF($O16="","",IF(INDEX(전체!$O$6:$O$75,$O16)="","",INDEX(전체!$O$6:$O$75,$O16)))</f>
        <v/>
      </c>
      <c r="O16" s="22" t="str">
        <f aca="false">IFERROR(MATCH($R$2&amp;"|"&amp;12,전체!$P$6:$P$75,0),"")</f>
        <v/>
      </c>
    </row>
    <row r="17" customFormat="false" ht="15" hidden="false" customHeight="false" outlineLevel="0" collapsed="false">
      <c r="A17" s="5" t="str">
        <f aca="false">IF($O17="","",13)</f>
        <v/>
      </c>
      <c r="B17" s="20" t="str">
        <f aca="false">IF($O17="","",IF(INDEX(전체!$C$6:$C$75,$O17)="","",INDEX(전체!$C$6:$C$75,$O17)))</f>
        <v/>
      </c>
      <c r="C17" s="21" t="str">
        <f aca="false">IF($O17="","",IF(INDEX(전체!$D$6:$D$75,$O17)="","",INDEX(전체!$D$6:$D$75,$O17)))</f>
        <v/>
      </c>
      <c r="D17" s="5" t="str">
        <f aca="false">IF($O17="","",IF(INDEX(전체!$E$6:$E$75,$O17)="","",INDEX(전체!$E$6:$E$75,$O17)))</f>
        <v/>
      </c>
      <c r="E17" s="5" t="str">
        <f aca="false">IF($O17="","",IF(INDEX(전체!$F$6:$F$75,$O17)="","",INDEX(전체!$F$6:$F$75,$O17)))</f>
        <v/>
      </c>
      <c r="F17" s="21" t="str">
        <f aca="false">IF($O17="","",IF(INDEX(전체!$G$6:$G$75,$O17)="","",INDEX(전체!$G$6:$G$75,$O17)))</f>
        <v/>
      </c>
      <c r="G17" s="21" t="str">
        <f aca="false">IF($O17="","",IF(INDEX(전체!$H$6:$H$75,$O17)="","",INDEX(전체!$H$6:$H$75,$O17)))</f>
        <v/>
      </c>
      <c r="H17" s="5" t="str">
        <f aca="false">IF($O17="","",IF(INDEX(전체!$I$6:$I$75,$O17)="","",INDEX(전체!$I$6:$I$75,$O17)))</f>
        <v/>
      </c>
      <c r="I17" s="5" t="str">
        <f aca="false">IF($O17="","",IF(INDEX(전체!$J$6:$J$75,$O17)="","",INDEX(전체!$J$6:$J$75,$O17)))</f>
        <v/>
      </c>
      <c r="J17" s="21" t="str">
        <f aca="false">IF($O17="","",IF(INDEX(전체!$K$6:$K$75,$O17)="","",INDEX(전체!$K$6:$K$75,$O17)))</f>
        <v/>
      </c>
      <c r="K17" s="20" t="str">
        <f aca="false">IF($O17="","",IF(INDEX(전체!$L$6:$L$75,$O17)="","",INDEX(전체!$L$6:$L$75,$O17)))</f>
        <v/>
      </c>
      <c r="L17" s="5" t="str">
        <f aca="false">IF($O17="","",IF(INDEX(전체!$M$6:$M$75,$O17)="","",INDEX(전체!$M$6:$M$75,$O17)))</f>
        <v/>
      </c>
      <c r="M17" s="21" t="str">
        <f aca="false">IF($O17="","",IF(INDEX(전체!$N$6:$N$75,$O17)="","",INDEX(전체!$N$6:$N$75,$O17)))</f>
        <v/>
      </c>
      <c r="N17" s="21" t="str">
        <f aca="false">IF($O17="","",IF(INDEX(전체!$O$6:$O$75,$O17)="","",INDEX(전체!$O$6:$O$75,$O17)))</f>
        <v/>
      </c>
      <c r="O17" s="22" t="str">
        <f aca="false">IFERROR(MATCH($R$2&amp;"|"&amp;13,전체!$P$6:$P$75,0),"")</f>
        <v/>
      </c>
    </row>
    <row r="18" customFormat="false" ht="15" hidden="false" customHeight="false" outlineLevel="0" collapsed="false">
      <c r="A18" s="5" t="str">
        <f aca="false">IF($O18="","",14)</f>
        <v/>
      </c>
      <c r="B18" s="20" t="str">
        <f aca="false">IF($O18="","",IF(INDEX(전체!$C$6:$C$75,$O18)="","",INDEX(전체!$C$6:$C$75,$O18)))</f>
        <v/>
      </c>
      <c r="C18" s="21" t="str">
        <f aca="false">IF($O18="","",IF(INDEX(전체!$D$6:$D$75,$O18)="","",INDEX(전체!$D$6:$D$75,$O18)))</f>
        <v/>
      </c>
      <c r="D18" s="5" t="str">
        <f aca="false">IF($O18="","",IF(INDEX(전체!$E$6:$E$75,$O18)="","",INDEX(전체!$E$6:$E$75,$O18)))</f>
        <v/>
      </c>
      <c r="E18" s="5" t="str">
        <f aca="false">IF($O18="","",IF(INDEX(전체!$F$6:$F$75,$O18)="","",INDEX(전체!$F$6:$F$75,$O18)))</f>
        <v/>
      </c>
      <c r="F18" s="21" t="str">
        <f aca="false">IF($O18="","",IF(INDEX(전체!$G$6:$G$75,$O18)="","",INDEX(전체!$G$6:$G$75,$O18)))</f>
        <v/>
      </c>
      <c r="G18" s="21" t="str">
        <f aca="false">IF($O18="","",IF(INDEX(전체!$H$6:$H$75,$O18)="","",INDEX(전체!$H$6:$H$75,$O18)))</f>
        <v/>
      </c>
      <c r="H18" s="5" t="str">
        <f aca="false">IF($O18="","",IF(INDEX(전체!$I$6:$I$75,$O18)="","",INDEX(전체!$I$6:$I$75,$O18)))</f>
        <v/>
      </c>
      <c r="I18" s="5" t="str">
        <f aca="false">IF($O18="","",IF(INDEX(전체!$J$6:$J$75,$O18)="","",INDEX(전체!$J$6:$J$75,$O18)))</f>
        <v/>
      </c>
      <c r="J18" s="21" t="str">
        <f aca="false">IF($O18="","",IF(INDEX(전체!$K$6:$K$75,$O18)="","",INDEX(전체!$K$6:$K$75,$O18)))</f>
        <v/>
      </c>
      <c r="K18" s="20" t="str">
        <f aca="false">IF($O18="","",IF(INDEX(전체!$L$6:$L$75,$O18)="","",INDEX(전체!$L$6:$L$75,$O18)))</f>
        <v/>
      </c>
      <c r="L18" s="5" t="str">
        <f aca="false">IF($O18="","",IF(INDEX(전체!$M$6:$M$75,$O18)="","",INDEX(전체!$M$6:$M$75,$O18)))</f>
        <v/>
      </c>
      <c r="M18" s="21" t="str">
        <f aca="false">IF($O18="","",IF(INDEX(전체!$N$6:$N$75,$O18)="","",INDEX(전체!$N$6:$N$75,$O18)))</f>
        <v/>
      </c>
      <c r="N18" s="21" t="str">
        <f aca="false">IF($O18="","",IF(INDEX(전체!$O$6:$O$75,$O18)="","",INDEX(전체!$O$6:$O$75,$O18)))</f>
        <v/>
      </c>
      <c r="O18" s="22" t="str">
        <f aca="false">IFERROR(MATCH($R$2&amp;"|"&amp;14,전체!$P$6:$P$75,0),"")</f>
        <v/>
      </c>
    </row>
    <row r="19" customFormat="false" ht="15" hidden="false" customHeight="false" outlineLevel="0" collapsed="false">
      <c r="A19" s="5" t="str">
        <f aca="false">IF($O19="","",15)</f>
        <v/>
      </c>
      <c r="B19" s="20" t="str">
        <f aca="false">IF($O19="","",IF(INDEX(전체!$C$6:$C$75,$O19)="","",INDEX(전체!$C$6:$C$75,$O19)))</f>
        <v/>
      </c>
      <c r="C19" s="21" t="str">
        <f aca="false">IF($O19="","",IF(INDEX(전체!$D$6:$D$75,$O19)="","",INDEX(전체!$D$6:$D$75,$O19)))</f>
        <v/>
      </c>
      <c r="D19" s="5" t="str">
        <f aca="false">IF($O19="","",IF(INDEX(전체!$E$6:$E$75,$O19)="","",INDEX(전체!$E$6:$E$75,$O19)))</f>
        <v/>
      </c>
      <c r="E19" s="5" t="str">
        <f aca="false">IF($O19="","",IF(INDEX(전체!$F$6:$F$75,$O19)="","",INDEX(전체!$F$6:$F$75,$O19)))</f>
        <v/>
      </c>
      <c r="F19" s="21" t="str">
        <f aca="false">IF($O19="","",IF(INDEX(전체!$G$6:$G$75,$O19)="","",INDEX(전체!$G$6:$G$75,$O19)))</f>
        <v/>
      </c>
      <c r="G19" s="21" t="str">
        <f aca="false">IF($O19="","",IF(INDEX(전체!$H$6:$H$75,$O19)="","",INDEX(전체!$H$6:$H$75,$O19)))</f>
        <v/>
      </c>
      <c r="H19" s="5" t="str">
        <f aca="false">IF($O19="","",IF(INDEX(전체!$I$6:$I$75,$O19)="","",INDEX(전체!$I$6:$I$75,$O19)))</f>
        <v/>
      </c>
      <c r="I19" s="5" t="str">
        <f aca="false">IF($O19="","",IF(INDEX(전체!$J$6:$J$75,$O19)="","",INDEX(전체!$J$6:$J$75,$O19)))</f>
        <v/>
      </c>
      <c r="J19" s="21" t="str">
        <f aca="false">IF($O19="","",IF(INDEX(전체!$K$6:$K$75,$O19)="","",INDEX(전체!$K$6:$K$75,$O19)))</f>
        <v/>
      </c>
      <c r="K19" s="20" t="str">
        <f aca="false">IF($O19="","",IF(INDEX(전체!$L$6:$L$75,$O19)="","",INDEX(전체!$L$6:$L$75,$O19)))</f>
        <v/>
      </c>
      <c r="L19" s="5" t="str">
        <f aca="false">IF($O19="","",IF(INDEX(전체!$M$6:$M$75,$O19)="","",INDEX(전체!$M$6:$M$75,$O19)))</f>
        <v/>
      </c>
      <c r="M19" s="21" t="str">
        <f aca="false">IF($O19="","",IF(INDEX(전체!$N$6:$N$75,$O19)="","",INDEX(전체!$N$6:$N$75,$O19)))</f>
        <v/>
      </c>
      <c r="N19" s="21" t="str">
        <f aca="false">IF($O19="","",IF(INDEX(전체!$O$6:$O$75,$O19)="","",INDEX(전체!$O$6:$O$75,$O19)))</f>
        <v/>
      </c>
      <c r="O19" s="22" t="str">
        <f aca="false">IFERROR(MATCH($R$2&amp;"|"&amp;15,전체!$P$6:$P$75,0),"")</f>
        <v/>
      </c>
    </row>
    <row r="20" customFormat="false" ht="15" hidden="false" customHeight="false" outlineLevel="0" collapsed="false">
      <c r="A20" s="5" t="str">
        <f aca="false">IF($O20="","",16)</f>
        <v/>
      </c>
      <c r="B20" s="20" t="str">
        <f aca="false">IF($O20="","",IF(INDEX(전체!$C$6:$C$75,$O20)="","",INDEX(전체!$C$6:$C$75,$O20)))</f>
        <v/>
      </c>
      <c r="C20" s="21" t="str">
        <f aca="false">IF($O20="","",IF(INDEX(전체!$D$6:$D$75,$O20)="","",INDEX(전체!$D$6:$D$75,$O20)))</f>
        <v/>
      </c>
      <c r="D20" s="5" t="str">
        <f aca="false">IF($O20="","",IF(INDEX(전체!$E$6:$E$75,$O20)="","",INDEX(전체!$E$6:$E$75,$O20)))</f>
        <v/>
      </c>
      <c r="E20" s="5" t="str">
        <f aca="false">IF($O20="","",IF(INDEX(전체!$F$6:$F$75,$O20)="","",INDEX(전체!$F$6:$F$75,$O20)))</f>
        <v/>
      </c>
      <c r="F20" s="21" t="str">
        <f aca="false">IF($O20="","",IF(INDEX(전체!$G$6:$G$75,$O20)="","",INDEX(전체!$G$6:$G$75,$O20)))</f>
        <v/>
      </c>
      <c r="G20" s="21" t="str">
        <f aca="false">IF($O20="","",IF(INDEX(전체!$H$6:$H$75,$O20)="","",INDEX(전체!$H$6:$H$75,$O20)))</f>
        <v/>
      </c>
      <c r="H20" s="5" t="str">
        <f aca="false">IF($O20="","",IF(INDEX(전체!$I$6:$I$75,$O20)="","",INDEX(전체!$I$6:$I$75,$O20)))</f>
        <v/>
      </c>
      <c r="I20" s="5" t="str">
        <f aca="false">IF($O20="","",IF(INDEX(전체!$J$6:$J$75,$O20)="","",INDEX(전체!$J$6:$J$75,$O20)))</f>
        <v/>
      </c>
      <c r="J20" s="21" t="str">
        <f aca="false">IF($O20="","",IF(INDEX(전체!$K$6:$K$75,$O20)="","",INDEX(전체!$K$6:$K$75,$O20)))</f>
        <v/>
      </c>
      <c r="K20" s="20" t="str">
        <f aca="false">IF($O20="","",IF(INDEX(전체!$L$6:$L$75,$O20)="","",INDEX(전체!$L$6:$L$75,$O20)))</f>
        <v/>
      </c>
      <c r="L20" s="5" t="str">
        <f aca="false">IF($O20="","",IF(INDEX(전체!$M$6:$M$75,$O20)="","",INDEX(전체!$M$6:$M$75,$O20)))</f>
        <v/>
      </c>
      <c r="M20" s="21" t="str">
        <f aca="false">IF($O20="","",IF(INDEX(전체!$N$6:$N$75,$O20)="","",INDEX(전체!$N$6:$N$75,$O20)))</f>
        <v/>
      </c>
      <c r="N20" s="21" t="str">
        <f aca="false">IF($O20="","",IF(INDEX(전체!$O$6:$O$75,$O20)="","",INDEX(전체!$O$6:$O$75,$O20)))</f>
        <v/>
      </c>
      <c r="O20" s="22" t="str">
        <f aca="false">IFERROR(MATCH($R$2&amp;"|"&amp;16,전체!$P$6:$P$75,0),"")</f>
        <v/>
      </c>
    </row>
    <row r="21" customFormat="false" ht="15" hidden="false" customHeight="false" outlineLevel="0" collapsed="false">
      <c r="A21" s="5" t="str">
        <f aca="false">IF($O21="","",17)</f>
        <v/>
      </c>
      <c r="B21" s="20" t="str">
        <f aca="false">IF($O21="","",IF(INDEX(전체!$C$6:$C$75,$O21)="","",INDEX(전체!$C$6:$C$75,$O21)))</f>
        <v/>
      </c>
      <c r="C21" s="21" t="str">
        <f aca="false">IF($O21="","",IF(INDEX(전체!$D$6:$D$75,$O21)="","",INDEX(전체!$D$6:$D$75,$O21)))</f>
        <v/>
      </c>
      <c r="D21" s="5" t="str">
        <f aca="false">IF($O21="","",IF(INDEX(전체!$E$6:$E$75,$O21)="","",INDEX(전체!$E$6:$E$75,$O21)))</f>
        <v/>
      </c>
      <c r="E21" s="5" t="str">
        <f aca="false">IF($O21="","",IF(INDEX(전체!$F$6:$F$75,$O21)="","",INDEX(전체!$F$6:$F$75,$O21)))</f>
        <v/>
      </c>
      <c r="F21" s="21" t="str">
        <f aca="false">IF($O21="","",IF(INDEX(전체!$G$6:$G$75,$O21)="","",INDEX(전체!$G$6:$G$75,$O21)))</f>
        <v/>
      </c>
      <c r="G21" s="21" t="str">
        <f aca="false">IF($O21="","",IF(INDEX(전체!$H$6:$H$75,$O21)="","",INDEX(전체!$H$6:$H$75,$O21)))</f>
        <v/>
      </c>
      <c r="H21" s="5" t="str">
        <f aca="false">IF($O21="","",IF(INDEX(전체!$I$6:$I$75,$O21)="","",INDEX(전체!$I$6:$I$75,$O21)))</f>
        <v/>
      </c>
      <c r="I21" s="5" t="str">
        <f aca="false">IF($O21="","",IF(INDEX(전체!$J$6:$J$75,$O21)="","",INDEX(전체!$J$6:$J$75,$O21)))</f>
        <v/>
      </c>
      <c r="J21" s="21" t="str">
        <f aca="false">IF($O21="","",IF(INDEX(전체!$K$6:$K$75,$O21)="","",INDEX(전체!$K$6:$K$75,$O21)))</f>
        <v/>
      </c>
      <c r="K21" s="20" t="str">
        <f aca="false">IF($O21="","",IF(INDEX(전체!$L$6:$L$75,$O21)="","",INDEX(전체!$L$6:$L$75,$O21)))</f>
        <v/>
      </c>
      <c r="L21" s="5" t="str">
        <f aca="false">IF($O21="","",IF(INDEX(전체!$M$6:$M$75,$O21)="","",INDEX(전체!$M$6:$M$75,$O21)))</f>
        <v/>
      </c>
      <c r="M21" s="21" t="str">
        <f aca="false">IF($O21="","",IF(INDEX(전체!$N$6:$N$75,$O21)="","",INDEX(전체!$N$6:$N$75,$O21)))</f>
        <v/>
      </c>
      <c r="N21" s="21" t="str">
        <f aca="false">IF($O21="","",IF(INDEX(전체!$O$6:$O$75,$O21)="","",INDEX(전체!$O$6:$O$75,$O21)))</f>
        <v/>
      </c>
      <c r="O21" s="22" t="str">
        <f aca="false">IFERROR(MATCH($R$2&amp;"|"&amp;17,전체!$P$6:$P$75,0),"")</f>
        <v/>
      </c>
    </row>
    <row r="22" customFormat="false" ht="15" hidden="false" customHeight="false" outlineLevel="0" collapsed="false">
      <c r="A22" s="5" t="str">
        <f aca="false">IF($O22="","",18)</f>
        <v/>
      </c>
      <c r="B22" s="20" t="str">
        <f aca="false">IF($O22="","",IF(INDEX(전체!$C$6:$C$75,$O22)="","",INDEX(전체!$C$6:$C$75,$O22)))</f>
        <v/>
      </c>
      <c r="C22" s="21" t="str">
        <f aca="false">IF($O22="","",IF(INDEX(전체!$D$6:$D$75,$O22)="","",INDEX(전체!$D$6:$D$75,$O22)))</f>
        <v/>
      </c>
      <c r="D22" s="5" t="str">
        <f aca="false">IF($O22="","",IF(INDEX(전체!$E$6:$E$75,$O22)="","",INDEX(전체!$E$6:$E$75,$O22)))</f>
        <v/>
      </c>
      <c r="E22" s="5" t="str">
        <f aca="false">IF($O22="","",IF(INDEX(전체!$F$6:$F$75,$O22)="","",INDEX(전체!$F$6:$F$75,$O22)))</f>
        <v/>
      </c>
      <c r="F22" s="21" t="str">
        <f aca="false">IF($O22="","",IF(INDEX(전체!$G$6:$G$75,$O22)="","",INDEX(전체!$G$6:$G$75,$O22)))</f>
        <v/>
      </c>
      <c r="G22" s="21" t="str">
        <f aca="false">IF($O22="","",IF(INDEX(전체!$H$6:$H$75,$O22)="","",INDEX(전체!$H$6:$H$75,$O22)))</f>
        <v/>
      </c>
      <c r="H22" s="5" t="str">
        <f aca="false">IF($O22="","",IF(INDEX(전체!$I$6:$I$75,$O22)="","",INDEX(전체!$I$6:$I$75,$O22)))</f>
        <v/>
      </c>
      <c r="I22" s="5" t="str">
        <f aca="false">IF($O22="","",IF(INDEX(전체!$J$6:$J$75,$O22)="","",INDEX(전체!$J$6:$J$75,$O22)))</f>
        <v/>
      </c>
      <c r="J22" s="21" t="str">
        <f aca="false">IF($O22="","",IF(INDEX(전체!$K$6:$K$75,$O22)="","",INDEX(전체!$K$6:$K$75,$O22)))</f>
        <v/>
      </c>
      <c r="K22" s="20" t="str">
        <f aca="false">IF($O22="","",IF(INDEX(전체!$L$6:$L$75,$O22)="","",INDEX(전체!$L$6:$L$75,$O22)))</f>
        <v/>
      </c>
      <c r="L22" s="5" t="str">
        <f aca="false">IF($O22="","",IF(INDEX(전체!$M$6:$M$75,$O22)="","",INDEX(전체!$M$6:$M$75,$O22)))</f>
        <v/>
      </c>
      <c r="M22" s="21" t="str">
        <f aca="false">IF($O22="","",IF(INDEX(전체!$N$6:$N$75,$O22)="","",INDEX(전체!$N$6:$N$75,$O22)))</f>
        <v/>
      </c>
      <c r="N22" s="21" t="str">
        <f aca="false">IF($O22="","",IF(INDEX(전체!$O$6:$O$75,$O22)="","",INDEX(전체!$O$6:$O$75,$O22)))</f>
        <v/>
      </c>
      <c r="O22" s="22" t="str">
        <f aca="false">IFERROR(MATCH($R$2&amp;"|"&amp;18,전체!$P$6:$P$75,0),"")</f>
        <v/>
      </c>
    </row>
    <row r="23" customFormat="false" ht="15" hidden="false" customHeight="false" outlineLevel="0" collapsed="false">
      <c r="A23" s="5" t="str">
        <f aca="false">IF($O23="","",19)</f>
        <v/>
      </c>
      <c r="B23" s="20" t="str">
        <f aca="false">IF($O23="","",IF(INDEX(전체!$C$6:$C$75,$O23)="","",INDEX(전체!$C$6:$C$75,$O23)))</f>
        <v/>
      </c>
      <c r="C23" s="21" t="str">
        <f aca="false">IF($O23="","",IF(INDEX(전체!$D$6:$D$75,$O23)="","",INDEX(전체!$D$6:$D$75,$O23)))</f>
        <v/>
      </c>
      <c r="D23" s="5" t="str">
        <f aca="false">IF($O23="","",IF(INDEX(전체!$E$6:$E$75,$O23)="","",INDEX(전체!$E$6:$E$75,$O23)))</f>
        <v/>
      </c>
      <c r="E23" s="5" t="str">
        <f aca="false">IF($O23="","",IF(INDEX(전체!$F$6:$F$75,$O23)="","",INDEX(전체!$F$6:$F$75,$O23)))</f>
        <v/>
      </c>
      <c r="F23" s="21" t="str">
        <f aca="false">IF($O23="","",IF(INDEX(전체!$G$6:$G$75,$O23)="","",INDEX(전체!$G$6:$G$75,$O23)))</f>
        <v/>
      </c>
      <c r="G23" s="21" t="str">
        <f aca="false">IF($O23="","",IF(INDEX(전체!$H$6:$H$75,$O23)="","",INDEX(전체!$H$6:$H$75,$O23)))</f>
        <v/>
      </c>
      <c r="H23" s="5" t="str">
        <f aca="false">IF($O23="","",IF(INDEX(전체!$I$6:$I$75,$O23)="","",INDEX(전체!$I$6:$I$75,$O23)))</f>
        <v/>
      </c>
      <c r="I23" s="5" t="str">
        <f aca="false">IF($O23="","",IF(INDEX(전체!$J$6:$J$75,$O23)="","",INDEX(전체!$J$6:$J$75,$O23)))</f>
        <v/>
      </c>
      <c r="J23" s="21" t="str">
        <f aca="false">IF($O23="","",IF(INDEX(전체!$K$6:$K$75,$O23)="","",INDEX(전체!$K$6:$K$75,$O23)))</f>
        <v/>
      </c>
      <c r="K23" s="20" t="str">
        <f aca="false">IF($O23="","",IF(INDEX(전체!$L$6:$L$75,$O23)="","",INDEX(전체!$L$6:$L$75,$O23)))</f>
        <v/>
      </c>
      <c r="L23" s="5" t="str">
        <f aca="false">IF($O23="","",IF(INDEX(전체!$M$6:$M$75,$O23)="","",INDEX(전체!$M$6:$M$75,$O23)))</f>
        <v/>
      </c>
      <c r="M23" s="21" t="str">
        <f aca="false">IF($O23="","",IF(INDEX(전체!$N$6:$N$75,$O23)="","",INDEX(전체!$N$6:$N$75,$O23)))</f>
        <v/>
      </c>
      <c r="N23" s="21" t="str">
        <f aca="false">IF($O23="","",IF(INDEX(전체!$O$6:$O$75,$O23)="","",INDEX(전체!$O$6:$O$75,$O23)))</f>
        <v/>
      </c>
      <c r="O23" s="22" t="str">
        <f aca="false">IFERROR(MATCH($R$2&amp;"|"&amp;19,전체!$P$6:$P$75,0),"")</f>
        <v/>
      </c>
    </row>
    <row r="24" customFormat="false" ht="15" hidden="false" customHeight="false" outlineLevel="0" collapsed="false">
      <c r="A24" s="5" t="str">
        <f aca="false">IF($O24="","",20)</f>
        <v/>
      </c>
      <c r="B24" s="20" t="str">
        <f aca="false">IF($O24="","",IF(INDEX(전체!$C$6:$C$75,$O24)="","",INDEX(전체!$C$6:$C$75,$O24)))</f>
        <v/>
      </c>
      <c r="C24" s="21" t="str">
        <f aca="false">IF($O24="","",IF(INDEX(전체!$D$6:$D$75,$O24)="","",INDEX(전체!$D$6:$D$75,$O24)))</f>
        <v/>
      </c>
      <c r="D24" s="5" t="str">
        <f aca="false">IF($O24="","",IF(INDEX(전체!$E$6:$E$75,$O24)="","",INDEX(전체!$E$6:$E$75,$O24)))</f>
        <v/>
      </c>
      <c r="E24" s="5" t="str">
        <f aca="false">IF($O24="","",IF(INDEX(전체!$F$6:$F$75,$O24)="","",INDEX(전체!$F$6:$F$75,$O24)))</f>
        <v/>
      </c>
      <c r="F24" s="21" t="str">
        <f aca="false">IF($O24="","",IF(INDEX(전체!$G$6:$G$75,$O24)="","",INDEX(전체!$G$6:$G$75,$O24)))</f>
        <v/>
      </c>
      <c r="G24" s="21" t="str">
        <f aca="false">IF($O24="","",IF(INDEX(전체!$H$6:$H$75,$O24)="","",INDEX(전체!$H$6:$H$75,$O24)))</f>
        <v/>
      </c>
      <c r="H24" s="5" t="str">
        <f aca="false">IF($O24="","",IF(INDEX(전체!$I$6:$I$75,$O24)="","",INDEX(전체!$I$6:$I$75,$O24)))</f>
        <v/>
      </c>
      <c r="I24" s="5" t="str">
        <f aca="false">IF($O24="","",IF(INDEX(전체!$J$6:$J$75,$O24)="","",INDEX(전체!$J$6:$J$75,$O24)))</f>
        <v/>
      </c>
      <c r="J24" s="21" t="str">
        <f aca="false">IF($O24="","",IF(INDEX(전체!$K$6:$K$75,$O24)="","",INDEX(전체!$K$6:$K$75,$O24)))</f>
        <v/>
      </c>
      <c r="K24" s="20" t="str">
        <f aca="false">IF($O24="","",IF(INDEX(전체!$L$6:$L$75,$O24)="","",INDEX(전체!$L$6:$L$75,$O24)))</f>
        <v/>
      </c>
      <c r="L24" s="5" t="str">
        <f aca="false">IF($O24="","",IF(INDEX(전체!$M$6:$M$75,$O24)="","",INDEX(전체!$M$6:$M$75,$O24)))</f>
        <v/>
      </c>
      <c r="M24" s="21" t="str">
        <f aca="false">IF($O24="","",IF(INDEX(전체!$N$6:$N$75,$O24)="","",INDEX(전체!$N$6:$N$75,$O24)))</f>
        <v/>
      </c>
      <c r="N24" s="21" t="str">
        <f aca="false">IF($O24="","",IF(INDEX(전체!$O$6:$O$75,$O24)="","",INDEX(전체!$O$6:$O$75,$O24)))</f>
        <v/>
      </c>
      <c r="O24" s="22" t="str">
        <f aca="false">IFERROR(MATCH($R$2&amp;"|"&amp;20,전체!$P$6:$P$75,0),"")</f>
        <v/>
      </c>
    </row>
    <row r="25" customFormat="false" ht="15" hidden="false" customHeight="false" outlineLevel="0" collapsed="false">
      <c r="A25" s="5" t="str">
        <f aca="false">IF($O25="","",21)</f>
        <v/>
      </c>
      <c r="B25" s="20" t="str">
        <f aca="false">IF($O25="","",IF(INDEX(전체!$C$6:$C$75,$O25)="","",INDEX(전체!$C$6:$C$75,$O25)))</f>
        <v/>
      </c>
      <c r="C25" s="21" t="str">
        <f aca="false">IF($O25="","",IF(INDEX(전체!$D$6:$D$75,$O25)="","",INDEX(전체!$D$6:$D$75,$O25)))</f>
        <v/>
      </c>
      <c r="D25" s="5" t="str">
        <f aca="false">IF($O25="","",IF(INDEX(전체!$E$6:$E$75,$O25)="","",INDEX(전체!$E$6:$E$75,$O25)))</f>
        <v/>
      </c>
      <c r="E25" s="5" t="str">
        <f aca="false">IF($O25="","",IF(INDEX(전체!$F$6:$F$75,$O25)="","",INDEX(전체!$F$6:$F$75,$O25)))</f>
        <v/>
      </c>
      <c r="F25" s="21" t="str">
        <f aca="false">IF($O25="","",IF(INDEX(전체!$G$6:$G$75,$O25)="","",INDEX(전체!$G$6:$G$75,$O25)))</f>
        <v/>
      </c>
      <c r="G25" s="21" t="str">
        <f aca="false">IF($O25="","",IF(INDEX(전체!$H$6:$H$75,$O25)="","",INDEX(전체!$H$6:$H$75,$O25)))</f>
        <v/>
      </c>
      <c r="H25" s="5" t="str">
        <f aca="false">IF($O25="","",IF(INDEX(전체!$I$6:$I$75,$O25)="","",INDEX(전체!$I$6:$I$75,$O25)))</f>
        <v/>
      </c>
      <c r="I25" s="5" t="str">
        <f aca="false">IF($O25="","",IF(INDEX(전체!$J$6:$J$75,$O25)="","",INDEX(전체!$J$6:$J$75,$O25)))</f>
        <v/>
      </c>
      <c r="J25" s="21" t="str">
        <f aca="false">IF($O25="","",IF(INDEX(전체!$K$6:$K$75,$O25)="","",INDEX(전체!$K$6:$K$75,$O25)))</f>
        <v/>
      </c>
      <c r="K25" s="20" t="str">
        <f aca="false">IF($O25="","",IF(INDEX(전체!$L$6:$L$75,$O25)="","",INDEX(전체!$L$6:$L$75,$O25)))</f>
        <v/>
      </c>
      <c r="L25" s="5" t="str">
        <f aca="false">IF($O25="","",IF(INDEX(전체!$M$6:$M$75,$O25)="","",INDEX(전체!$M$6:$M$75,$O25)))</f>
        <v/>
      </c>
      <c r="M25" s="21" t="str">
        <f aca="false">IF($O25="","",IF(INDEX(전체!$N$6:$N$75,$O25)="","",INDEX(전체!$N$6:$N$75,$O25)))</f>
        <v/>
      </c>
      <c r="N25" s="21" t="str">
        <f aca="false">IF($O25="","",IF(INDEX(전체!$O$6:$O$75,$O25)="","",INDEX(전체!$O$6:$O$75,$O25)))</f>
        <v/>
      </c>
      <c r="O25" s="22" t="str">
        <f aca="false">IFERROR(MATCH($R$2&amp;"|"&amp;21,전체!$P$6:$P$75,0),"")</f>
        <v/>
      </c>
    </row>
    <row r="26" customFormat="false" ht="15" hidden="false" customHeight="false" outlineLevel="0" collapsed="false">
      <c r="A26" s="5" t="str">
        <f aca="false">IF($O26="","",22)</f>
        <v/>
      </c>
      <c r="B26" s="20" t="str">
        <f aca="false">IF($O26="","",IF(INDEX(전체!$C$6:$C$75,$O26)="","",INDEX(전체!$C$6:$C$75,$O26)))</f>
        <v/>
      </c>
      <c r="C26" s="21" t="str">
        <f aca="false">IF($O26="","",IF(INDEX(전체!$D$6:$D$75,$O26)="","",INDEX(전체!$D$6:$D$75,$O26)))</f>
        <v/>
      </c>
      <c r="D26" s="5" t="str">
        <f aca="false">IF($O26="","",IF(INDEX(전체!$E$6:$E$75,$O26)="","",INDEX(전체!$E$6:$E$75,$O26)))</f>
        <v/>
      </c>
      <c r="E26" s="5" t="str">
        <f aca="false">IF($O26="","",IF(INDEX(전체!$F$6:$F$75,$O26)="","",INDEX(전체!$F$6:$F$75,$O26)))</f>
        <v/>
      </c>
      <c r="F26" s="21" t="str">
        <f aca="false">IF($O26="","",IF(INDEX(전체!$G$6:$G$75,$O26)="","",INDEX(전체!$G$6:$G$75,$O26)))</f>
        <v/>
      </c>
      <c r="G26" s="21" t="str">
        <f aca="false">IF($O26="","",IF(INDEX(전체!$H$6:$H$75,$O26)="","",INDEX(전체!$H$6:$H$75,$O26)))</f>
        <v/>
      </c>
      <c r="H26" s="5" t="str">
        <f aca="false">IF($O26="","",IF(INDEX(전체!$I$6:$I$75,$O26)="","",INDEX(전체!$I$6:$I$75,$O26)))</f>
        <v/>
      </c>
      <c r="I26" s="5" t="str">
        <f aca="false">IF($O26="","",IF(INDEX(전체!$J$6:$J$75,$O26)="","",INDEX(전체!$J$6:$J$75,$O26)))</f>
        <v/>
      </c>
      <c r="J26" s="21" t="str">
        <f aca="false">IF($O26="","",IF(INDEX(전체!$K$6:$K$75,$O26)="","",INDEX(전체!$K$6:$K$75,$O26)))</f>
        <v/>
      </c>
      <c r="K26" s="20" t="str">
        <f aca="false">IF($O26="","",IF(INDEX(전체!$L$6:$L$75,$O26)="","",INDEX(전체!$L$6:$L$75,$O26)))</f>
        <v/>
      </c>
      <c r="L26" s="5" t="str">
        <f aca="false">IF($O26="","",IF(INDEX(전체!$M$6:$M$75,$O26)="","",INDEX(전체!$M$6:$M$75,$O26)))</f>
        <v/>
      </c>
      <c r="M26" s="21" t="str">
        <f aca="false">IF($O26="","",IF(INDEX(전체!$N$6:$N$75,$O26)="","",INDEX(전체!$N$6:$N$75,$O26)))</f>
        <v/>
      </c>
      <c r="N26" s="21" t="str">
        <f aca="false">IF($O26="","",IF(INDEX(전체!$O$6:$O$75,$O26)="","",INDEX(전체!$O$6:$O$75,$O26)))</f>
        <v/>
      </c>
      <c r="O26" s="22" t="str">
        <f aca="false">IFERROR(MATCH($R$2&amp;"|"&amp;22,전체!$P$6:$P$75,0),"")</f>
        <v/>
      </c>
    </row>
    <row r="27" customFormat="false" ht="15" hidden="false" customHeight="false" outlineLevel="0" collapsed="false">
      <c r="A27" s="5" t="str">
        <f aca="false">IF($O27="","",23)</f>
        <v/>
      </c>
      <c r="B27" s="20" t="str">
        <f aca="false">IF($O27="","",IF(INDEX(전체!$C$6:$C$75,$O27)="","",INDEX(전체!$C$6:$C$75,$O27)))</f>
        <v/>
      </c>
      <c r="C27" s="21" t="str">
        <f aca="false">IF($O27="","",IF(INDEX(전체!$D$6:$D$75,$O27)="","",INDEX(전체!$D$6:$D$75,$O27)))</f>
        <v/>
      </c>
      <c r="D27" s="5" t="str">
        <f aca="false">IF($O27="","",IF(INDEX(전체!$E$6:$E$75,$O27)="","",INDEX(전체!$E$6:$E$75,$O27)))</f>
        <v/>
      </c>
      <c r="E27" s="5" t="str">
        <f aca="false">IF($O27="","",IF(INDEX(전체!$F$6:$F$75,$O27)="","",INDEX(전체!$F$6:$F$75,$O27)))</f>
        <v/>
      </c>
      <c r="F27" s="21" t="str">
        <f aca="false">IF($O27="","",IF(INDEX(전체!$G$6:$G$75,$O27)="","",INDEX(전체!$G$6:$G$75,$O27)))</f>
        <v/>
      </c>
      <c r="G27" s="21" t="str">
        <f aca="false">IF($O27="","",IF(INDEX(전체!$H$6:$H$75,$O27)="","",INDEX(전체!$H$6:$H$75,$O27)))</f>
        <v/>
      </c>
      <c r="H27" s="5" t="str">
        <f aca="false">IF($O27="","",IF(INDEX(전체!$I$6:$I$75,$O27)="","",INDEX(전체!$I$6:$I$75,$O27)))</f>
        <v/>
      </c>
      <c r="I27" s="5" t="str">
        <f aca="false">IF($O27="","",IF(INDEX(전체!$J$6:$J$75,$O27)="","",INDEX(전체!$J$6:$J$75,$O27)))</f>
        <v/>
      </c>
      <c r="J27" s="21" t="str">
        <f aca="false">IF($O27="","",IF(INDEX(전체!$K$6:$K$75,$O27)="","",INDEX(전체!$K$6:$K$75,$O27)))</f>
        <v/>
      </c>
      <c r="K27" s="20" t="str">
        <f aca="false">IF($O27="","",IF(INDEX(전체!$L$6:$L$75,$O27)="","",INDEX(전체!$L$6:$L$75,$O27)))</f>
        <v/>
      </c>
      <c r="L27" s="5" t="str">
        <f aca="false">IF($O27="","",IF(INDEX(전체!$M$6:$M$75,$O27)="","",INDEX(전체!$M$6:$M$75,$O27)))</f>
        <v/>
      </c>
      <c r="M27" s="21" t="str">
        <f aca="false">IF($O27="","",IF(INDEX(전체!$N$6:$N$75,$O27)="","",INDEX(전체!$N$6:$N$75,$O27)))</f>
        <v/>
      </c>
      <c r="N27" s="21" t="str">
        <f aca="false">IF($O27="","",IF(INDEX(전체!$O$6:$O$75,$O27)="","",INDEX(전체!$O$6:$O$75,$O27)))</f>
        <v/>
      </c>
      <c r="O27" s="22" t="str">
        <f aca="false">IFERROR(MATCH($R$2&amp;"|"&amp;23,전체!$P$6:$P$75,0),"")</f>
        <v/>
      </c>
    </row>
    <row r="28" customFormat="false" ht="15" hidden="false" customHeight="false" outlineLevel="0" collapsed="false">
      <c r="A28" s="5" t="str">
        <f aca="false">IF($O28="","",24)</f>
        <v/>
      </c>
      <c r="B28" s="20" t="str">
        <f aca="false">IF($O28="","",IF(INDEX(전체!$C$6:$C$75,$O28)="","",INDEX(전체!$C$6:$C$75,$O28)))</f>
        <v/>
      </c>
      <c r="C28" s="21" t="str">
        <f aca="false">IF($O28="","",IF(INDEX(전체!$D$6:$D$75,$O28)="","",INDEX(전체!$D$6:$D$75,$O28)))</f>
        <v/>
      </c>
      <c r="D28" s="5" t="str">
        <f aca="false">IF($O28="","",IF(INDEX(전체!$E$6:$E$75,$O28)="","",INDEX(전체!$E$6:$E$75,$O28)))</f>
        <v/>
      </c>
      <c r="E28" s="5" t="str">
        <f aca="false">IF($O28="","",IF(INDEX(전체!$F$6:$F$75,$O28)="","",INDEX(전체!$F$6:$F$75,$O28)))</f>
        <v/>
      </c>
      <c r="F28" s="21" t="str">
        <f aca="false">IF($O28="","",IF(INDEX(전체!$G$6:$G$75,$O28)="","",INDEX(전체!$G$6:$G$75,$O28)))</f>
        <v/>
      </c>
      <c r="G28" s="21" t="str">
        <f aca="false">IF($O28="","",IF(INDEX(전체!$H$6:$H$75,$O28)="","",INDEX(전체!$H$6:$H$75,$O28)))</f>
        <v/>
      </c>
      <c r="H28" s="5" t="str">
        <f aca="false">IF($O28="","",IF(INDEX(전체!$I$6:$I$75,$O28)="","",INDEX(전체!$I$6:$I$75,$O28)))</f>
        <v/>
      </c>
      <c r="I28" s="5" t="str">
        <f aca="false">IF($O28="","",IF(INDEX(전체!$J$6:$J$75,$O28)="","",INDEX(전체!$J$6:$J$75,$O28)))</f>
        <v/>
      </c>
      <c r="J28" s="21" t="str">
        <f aca="false">IF($O28="","",IF(INDEX(전체!$K$6:$K$75,$O28)="","",INDEX(전체!$K$6:$K$75,$O28)))</f>
        <v/>
      </c>
      <c r="K28" s="20" t="str">
        <f aca="false">IF($O28="","",IF(INDEX(전체!$L$6:$L$75,$O28)="","",INDEX(전체!$L$6:$L$75,$O28)))</f>
        <v/>
      </c>
      <c r="L28" s="5" t="str">
        <f aca="false">IF($O28="","",IF(INDEX(전체!$M$6:$M$75,$O28)="","",INDEX(전체!$M$6:$M$75,$O28)))</f>
        <v/>
      </c>
      <c r="M28" s="21" t="str">
        <f aca="false">IF($O28="","",IF(INDEX(전체!$N$6:$N$75,$O28)="","",INDEX(전체!$N$6:$N$75,$O28)))</f>
        <v/>
      </c>
      <c r="N28" s="21" t="str">
        <f aca="false">IF($O28="","",IF(INDEX(전체!$O$6:$O$75,$O28)="","",INDEX(전체!$O$6:$O$75,$O28)))</f>
        <v/>
      </c>
      <c r="O28" s="22" t="str">
        <f aca="false">IFERROR(MATCH($R$2&amp;"|"&amp;24,전체!$P$6:$P$75,0),"")</f>
        <v/>
      </c>
    </row>
    <row r="29" customFormat="false" ht="15" hidden="false" customHeight="false" outlineLevel="0" collapsed="false">
      <c r="A29" s="5" t="str">
        <f aca="false">IF($O29="","",25)</f>
        <v/>
      </c>
      <c r="B29" s="20" t="str">
        <f aca="false">IF($O29="","",IF(INDEX(전체!$C$6:$C$75,$O29)="","",INDEX(전체!$C$6:$C$75,$O29)))</f>
        <v/>
      </c>
      <c r="C29" s="21" t="str">
        <f aca="false">IF($O29="","",IF(INDEX(전체!$D$6:$D$75,$O29)="","",INDEX(전체!$D$6:$D$75,$O29)))</f>
        <v/>
      </c>
      <c r="D29" s="5" t="str">
        <f aca="false">IF($O29="","",IF(INDEX(전체!$E$6:$E$75,$O29)="","",INDEX(전체!$E$6:$E$75,$O29)))</f>
        <v/>
      </c>
      <c r="E29" s="5" t="str">
        <f aca="false">IF($O29="","",IF(INDEX(전체!$F$6:$F$75,$O29)="","",INDEX(전체!$F$6:$F$75,$O29)))</f>
        <v/>
      </c>
      <c r="F29" s="21" t="str">
        <f aca="false">IF($O29="","",IF(INDEX(전체!$G$6:$G$75,$O29)="","",INDEX(전체!$G$6:$G$75,$O29)))</f>
        <v/>
      </c>
      <c r="G29" s="21" t="str">
        <f aca="false">IF($O29="","",IF(INDEX(전체!$H$6:$H$75,$O29)="","",INDEX(전체!$H$6:$H$75,$O29)))</f>
        <v/>
      </c>
      <c r="H29" s="5" t="str">
        <f aca="false">IF($O29="","",IF(INDEX(전체!$I$6:$I$75,$O29)="","",INDEX(전체!$I$6:$I$75,$O29)))</f>
        <v/>
      </c>
      <c r="I29" s="5" t="str">
        <f aca="false">IF($O29="","",IF(INDEX(전체!$J$6:$J$75,$O29)="","",INDEX(전체!$J$6:$J$75,$O29)))</f>
        <v/>
      </c>
      <c r="J29" s="21" t="str">
        <f aca="false">IF($O29="","",IF(INDEX(전체!$K$6:$K$75,$O29)="","",INDEX(전체!$K$6:$K$75,$O29)))</f>
        <v/>
      </c>
      <c r="K29" s="20" t="str">
        <f aca="false">IF($O29="","",IF(INDEX(전체!$L$6:$L$75,$O29)="","",INDEX(전체!$L$6:$L$75,$O29)))</f>
        <v/>
      </c>
      <c r="L29" s="5" t="str">
        <f aca="false">IF($O29="","",IF(INDEX(전체!$M$6:$M$75,$O29)="","",INDEX(전체!$M$6:$M$75,$O29)))</f>
        <v/>
      </c>
      <c r="M29" s="21" t="str">
        <f aca="false">IF($O29="","",IF(INDEX(전체!$N$6:$N$75,$O29)="","",INDEX(전체!$N$6:$N$75,$O29)))</f>
        <v/>
      </c>
      <c r="N29" s="21" t="str">
        <f aca="false">IF($O29="","",IF(INDEX(전체!$O$6:$O$75,$O29)="","",INDEX(전체!$O$6:$O$75,$O29)))</f>
        <v/>
      </c>
      <c r="O29" s="22" t="str">
        <f aca="false">IFERROR(MATCH($R$2&amp;"|"&amp;25,전체!$P$6:$P$75,0),"")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A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6"/>
  </cols>
  <sheetData>
    <row r="1" customFormat="false" ht="18.55" hidden="false" customHeight="false" outlineLevel="0" collapsed="false">
      <c r="A1" s="1" t="s">
        <v>19</v>
      </c>
      <c r="C1" s="16" t="str">
        <f aca="false">COUNTIF(전체!$B$6:$B$75,"중식")&amp;"곳"</f>
        <v>3곳</v>
      </c>
    </row>
    <row r="2" customFormat="false" ht="15" hidden="false" customHeight="false" outlineLevel="0" collapsed="false">
      <c r="A2" s="17" t="s">
        <v>255</v>
      </c>
      <c r="R2" s="18" t="s">
        <v>19</v>
      </c>
    </row>
    <row r="4" customFormat="false" ht="39.55" hidden="false" customHeight="false" outlineLevel="0" collapsed="false">
      <c r="A4" s="3" t="s">
        <v>3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19" t="s">
        <v>256</v>
      </c>
    </row>
    <row r="5" customFormat="false" ht="15" hidden="false" customHeight="false" outlineLevel="0" collapsed="false">
      <c r="A5" s="5" t="n">
        <f aca="false">IF($O5="","",1)</f>
        <v>1</v>
      </c>
      <c r="B5" s="20" t="str">
        <f aca="false">IF($O5="","",IF(INDEX(전체!$C$6:$C$75,$O5)="","",INDEX(전체!$C$6:$C$75,$O5)))</f>
        <v>편의방</v>
      </c>
      <c r="C5" s="21" t="str">
        <f aca="false">IF($O5="","",IF(INDEX(전체!$D$6:$D$75,$O5)="","",INDEX(전체!$D$6:$D$75,$O5)))</f>
        <v>딤섬,중식만두</v>
      </c>
      <c r="D5" s="5" t="str">
        <f aca="false">IF($O5="","",IF(INDEX(전체!$E$6:$E$75,$O5)="","",INDEX(전체!$E$6:$E$75,$O5)))</f>
        <v>영업 중</v>
      </c>
      <c r="E5" s="5" t="str">
        <f aca="false">IF($O5="","",IF(INDEX(전체!$F$6:$F$75,$O5)="","",INDEX(전체!$F$6:$F$75,$O5)))</f>
        <v/>
      </c>
      <c r="F5" s="21" t="str">
        <f aca="false">IF($O5="","",IF(INDEX(전체!$G$6:$G$75,$O5)="","",INDEX(전체!$G$6:$G$75,$O5)))</f>
        <v>부산 중구 중앙동4가 30-5</v>
      </c>
      <c r="G5" s="21" t="str">
        <f aca="false">IF($O5="","",IF(INDEX(전체!$H$6:$H$75,$O5)="","",INDEX(전체!$H$6:$H$75,$O5)))</f>
        <v>1층</v>
      </c>
      <c r="H5" s="5" t="str">
        <f aca="false">IF($O5="","",IF(INDEX(전체!$I$6:$I$75,$O5)="","",INDEX(전체!$I$6:$I$75,$O5)))</f>
        <v/>
      </c>
      <c r="I5" s="5" t="str">
        <f aca="false">IF($O5="","",IF(INDEX(전체!$J$6:$J$75,$O5)="","",INDEX(전체!$J$6:$J$75,$O5)))</f>
        <v/>
      </c>
      <c r="J5" s="21" t="str">
        <f aca="false">IF($O5="","",IF(INDEX(전체!$K$6:$K$75,$O5)="","",INDEX(전체!$K$6:$K$75,$O5)))</f>
        <v/>
      </c>
      <c r="K5" s="20" t="str">
        <f aca="false">IF($O5="","",IF(INDEX(전체!$L$6:$L$75,$O5)="","",INDEX(전체!$L$6:$L$75,$O5)))</f>
        <v>딤섬·군만두</v>
      </c>
      <c r="L5" s="5" t="str">
        <f aca="false">IF($O5="","",IF(INDEX(전체!$M$6:$M$75,$O5)="","",INDEX(전체!$M$6:$M$75,$O5)))</f>
        <v>6,000~9,000</v>
      </c>
      <c r="M5" s="21" t="str">
        <f aca="false">IF($O5="","",IF(INDEX(전체!$N$6:$N$75,$O5)="","",INDEX(전체!$N$6:$N$75,$O5)))</f>
        <v>딤섬·중식만두 전문점. 가볍게 먹기 좋은 만두집</v>
      </c>
      <c r="N5" s="21" t="str">
        <f aca="false">IF($O5="","",IF(INDEX(전체!$O$6:$O$75,$O5)="","",INDEX(전체!$O$6:$O$75,$O5)))</f>
        <v/>
      </c>
      <c r="O5" s="22" t="n">
        <f aca="false">IFERROR(MATCH($R$2&amp;"|"&amp;1,전체!$P$6:$P$75,0),"")</f>
        <v>1</v>
      </c>
    </row>
    <row r="6" customFormat="false" ht="15" hidden="false" customHeight="false" outlineLevel="0" collapsed="false">
      <c r="A6" s="5" t="n">
        <f aca="false">IF($O6="","",2)</f>
        <v>2</v>
      </c>
      <c r="B6" s="20" t="str">
        <f aca="false">IF($O6="","",IF(INDEX(전체!$C$6:$C$75,$O6)="","",INDEX(전체!$C$6:$C$75,$O6)))</f>
        <v>동해반점</v>
      </c>
      <c r="C6" s="21" t="str">
        <f aca="false">IF($O6="","",IF(INDEX(전체!$D$6:$D$75,$O6)="","",INDEX(전체!$D$6:$D$75,$O6)))</f>
        <v>중식당</v>
      </c>
      <c r="D6" s="5" t="str">
        <f aca="false">IF($O6="","",IF(INDEX(전체!$E$6:$E$75,$O6)="","",INDEX(전체!$E$6:$E$75,$O6)))</f>
        <v>정보 없음</v>
      </c>
      <c r="E6" s="5" t="str">
        <f aca="false">IF($O6="","",IF(INDEX(전체!$F$6:$F$75,$O6)="","",INDEX(전체!$F$6:$F$75,$O6)))</f>
        <v/>
      </c>
      <c r="F6" s="21" t="str">
        <f aca="false">IF($O6="","",IF(INDEX(전체!$G$6:$G$75,$O6)="","",INDEX(전체!$G$6:$G$75,$O6)))</f>
        <v>부산 중구 중앙동6가 3-1</v>
      </c>
      <c r="G6" s="21" t="str">
        <f aca="false">IF($O6="","",IF(INDEX(전체!$H$6:$H$75,$O6)="","",INDEX(전체!$H$6:$H$75,$O6)))</f>
        <v/>
      </c>
      <c r="H6" s="5" t="str">
        <f aca="false">IF($O6="","",IF(INDEX(전체!$I$6:$I$75,$O6)="","",INDEX(전체!$I$6:$I$75,$O6)))</f>
        <v/>
      </c>
      <c r="I6" s="5" t="str">
        <f aca="false">IF($O6="","",IF(INDEX(전체!$J$6:$J$75,$O6)="","",INDEX(전체!$J$6:$J$75,$O6)))</f>
        <v/>
      </c>
      <c r="J6" s="21" t="str">
        <f aca="false">IF($O6="","",IF(INDEX(전체!$K$6:$K$75,$O6)="","",INDEX(전체!$K$6:$K$75,$O6)))</f>
        <v/>
      </c>
      <c r="K6" s="20" t="str">
        <f aca="false">IF($O6="","",IF(INDEX(전체!$L$6:$L$75,$O6)="","",INDEX(전체!$L$6:$L$75,$O6)))</f>
        <v>짜장·짬뽕·탕수육</v>
      </c>
      <c r="L6" s="5" t="str">
        <f aca="false">IF($O6="","",IF(INDEX(전체!$M$6:$M$75,$O6)="","",INDEX(전체!$M$6:$M$75,$O6)))</f>
        <v>7,000~10,000</v>
      </c>
      <c r="M6" s="21" t="str">
        <f aca="false">IF($O6="","",IF(INDEX(전체!$N$6:$N$75,$O6)="","",INDEX(전체!$N$6:$N$75,$O6)))</f>
        <v>동네 중화요리 전문점</v>
      </c>
      <c r="N6" s="21" t="str">
        <f aca="false">IF($O6="","",IF(INDEX(전체!$O$6:$O$75,$O6)="","",INDEX(전체!$O$6:$O$75,$O6)))</f>
        <v/>
      </c>
      <c r="O6" s="22" t="n">
        <f aca="false">IFERROR(MATCH($R$2&amp;"|"&amp;2,전체!$P$6:$P$75,0),"")</f>
        <v>23</v>
      </c>
    </row>
    <row r="7" customFormat="false" ht="39.55" hidden="false" customHeight="false" outlineLevel="0" collapsed="false">
      <c r="A7" s="5" t="n">
        <f aca="false">IF($O7="","",3)</f>
        <v>3</v>
      </c>
      <c r="B7" s="20" t="str">
        <f aca="false">IF($O7="","",IF(INDEX(전체!$C$6:$C$75,$O7)="","",INDEX(전체!$C$6:$C$75,$O7)))</f>
        <v>용문</v>
      </c>
      <c r="C7" s="21" t="str">
        <f aca="false">IF($O7="","",IF(INDEX(전체!$D$6:$D$75,$O7)="","",INDEX(전체!$D$6:$D$75,$O7)))</f>
        <v>중식</v>
      </c>
      <c r="D7" s="5" t="str">
        <f aca="false">IF($O7="","",IF(INDEX(전체!$E$6:$E$75,$O7)="","",INDEX(전체!$E$6:$E$75,$O7)))</f>
        <v>정보 없음</v>
      </c>
      <c r="E7" s="5" t="str">
        <f aca="false">IF($O7="","",IF(INDEX(전체!$F$6:$F$75,$O7)="","",INDEX(전체!$F$6:$F$75,$O7)))</f>
        <v/>
      </c>
      <c r="F7" s="21" t="str">
        <f aca="false">IF($O7="","",IF(INDEX(전체!$G$6:$G$75,$O7)="","",INDEX(전체!$G$6:$G$75,$O7)))</f>
        <v/>
      </c>
      <c r="G7" s="21" t="str">
        <f aca="false">IF($O7="","",IF(INDEX(전체!$H$6:$H$75,$O7)="","",INDEX(전체!$H$6:$H$75,$O7)))</f>
        <v/>
      </c>
      <c r="H7" s="5" t="str">
        <f aca="false">IF($O7="","",IF(INDEX(전체!$I$6:$I$75,$O7)="","",INDEX(전체!$I$6:$I$75,$O7)))</f>
        <v/>
      </c>
      <c r="I7" s="5" t="str">
        <f aca="false">IF($O7="","",IF(INDEX(전체!$J$6:$J$75,$O7)="","",INDEX(전체!$J$6:$J$75,$O7)))</f>
        <v/>
      </c>
      <c r="J7" s="21" t="str">
        <f aca="false">IF($O7="","",IF(INDEX(전체!$K$6:$K$75,$O7)="","",INDEX(전체!$K$6:$K$75,$O7)))</f>
        <v/>
      </c>
      <c r="K7" s="20" t="str">
        <f aca="false">IF($O7="","",IF(INDEX(전체!$L$6:$L$75,$O7)="","",INDEX(전체!$L$6:$L$75,$O7)))</f>
        <v>코스요리</v>
      </c>
      <c r="L7" s="5" t="str">
        <f aca="false">IF($O7="","",IF(INDEX(전체!$M$6:$M$75,$O7)="","",INDEX(전체!$M$6:$M$75,$O7)))</f>
        <v>20,000 (코스)</v>
      </c>
      <c r="M7" s="21" t="str">
        <f aca="false">IF($O7="","",IF(INDEX(전체!$N$6:$N$75,$O7)="","",INDEX(전체!$N$6:$N$75,$O7)))</f>
        <v>점심 코스요리 2만원인 중식당</v>
      </c>
      <c r="N7" s="21" t="str">
        <f aca="false">IF($O7="","",IF(INDEX(전체!$O$6:$O$75,$O7)="","",INDEX(전체!$O$6:$O$75,$O7)))</f>
        <v>중구 지점 확인 안 됨 – 웹검색에는 연제구 거제천로 209 용문각만 나옴 (같은 곳인지 확인 필요)</v>
      </c>
      <c r="O7" s="22" t="n">
        <f aca="false">IFERROR(MATCH($R$2&amp;"|"&amp;3,전체!$P$6:$P$75,0),"")</f>
        <v>30</v>
      </c>
    </row>
    <row r="8" customFormat="false" ht="15" hidden="false" customHeight="false" outlineLevel="0" collapsed="false">
      <c r="A8" s="5" t="str">
        <f aca="false">IF($O8="","",4)</f>
        <v/>
      </c>
      <c r="B8" s="20" t="str">
        <f aca="false">IF($O8="","",IF(INDEX(전체!$C$6:$C$75,$O8)="","",INDEX(전체!$C$6:$C$75,$O8)))</f>
        <v/>
      </c>
      <c r="C8" s="21" t="str">
        <f aca="false">IF($O8="","",IF(INDEX(전체!$D$6:$D$75,$O8)="","",INDEX(전체!$D$6:$D$75,$O8)))</f>
        <v/>
      </c>
      <c r="D8" s="5" t="str">
        <f aca="false">IF($O8="","",IF(INDEX(전체!$E$6:$E$75,$O8)="","",INDEX(전체!$E$6:$E$75,$O8)))</f>
        <v/>
      </c>
      <c r="E8" s="5" t="str">
        <f aca="false">IF($O8="","",IF(INDEX(전체!$F$6:$F$75,$O8)="","",INDEX(전체!$F$6:$F$75,$O8)))</f>
        <v/>
      </c>
      <c r="F8" s="21" t="str">
        <f aca="false">IF($O8="","",IF(INDEX(전체!$G$6:$G$75,$O8)="","",INDEX(전체!$G$6:$G$75,$O8)))</f>
        <v/>
      </c>
      <c r="G8" s="21" t="str">
        <f aca="false">IF($O8="","",IF(INDEX(전체!$H$6:$H$75,$O8)="","",INDEX(전체!$H$6:$H$75,$O8)))</f>
        <v/>
      </c>
      <c r="H8" s="5" t="str">
        <f aca="false">IF($O8="","",IF(INDEX(전체!$I$6:$I$75,$O8)="","",INDEX(전체!$I$6:$I$75,$O8)))</f>
        <v/>
      </c>
      <c r="I8" s="5" t="str">
        <f aca="false">IF($O8="","",IF(INDEX(전체!$J$6:$J$75,$O8)="","",INDEX(전체!$J$6:$J$75,$O8)))</f>
        <v/>
      </c>
      <c r="J8" s="21" t="str">
        <f aca="false">IF($O8="","",IF(INDEX(전체!$K$6:$K$75,$O8)="","",INDEX(전체!$K$6:$K$75,$O8)))</f>
        <v/>
      </c>
      <c r="K8" s="20" t="str">
        <f aca="false">IF($O8="","",IF(INDEX(전체!$L$6:$L$75,$O8)="","",INDEX(전체!$L$6:$L$75,$O8)))</f>
        <v/>
      </c>
      <c r="L8" s="5" t="str">
        <f aca="false">IF($O8="","",IF(INDEX(전체!$M$6:$M$75,$O8)="","",INDEX(전체!$M$6:$M$75,$O8)))</f>
        <v/>
      </c>
      <c r="M8" s="21" t="str">
        <f aca="false">IF($O8="","",IF(INDEX(전체!$N$6:$N$75,$O8)="","",INDEX(전체!$N$6:$N$75,$O8)))</f>
        <v/>
      </c>
      <c r="N8" s="21" t="str">
        <f aca="false">IF($O8="","",IF(INDEX(전체!$O$6:$O$75,$O8)="","",INDEX(전체!$O$6:$O$75,$O8)))</f>
        <v/>
      </c>
      <c r="O8" s="22" t="str">
        <f aca="false">IFERROR(MATCH($R$2&amp;"|"&amp;4,전체!$P$6:$P$75,0),"")</f>
        <v/>
      </c>
    </row>
    <row r="9" customFormat="false" ht="15" hidden="false" customHeight="false" outlineLevel="0" collapsed="false">
      <c r="A9" s="5" t="str">
        <f aca="false">IF($O9="","",5)</f>
        <v/>
      </c>
      <c r="B9" s="20" t="str">
        <f aca="false">IF($O9="","",IF(INDEX(전체!$C$6:$C$75,$O9)="","",INDEX(전체!$C$6:$C$75,$O9)))</f>
        <v/>
      </c>
      <c r="C9" s="21" t="str">
        <f aca="false">IF($O9="","",IF(INDEX(전체!$D$6:$D$75,$O9)="","",INDEX(전체!$D$6:$D$75,$O9)))</f>
        <v/>
      </c>
      <c r="D9" s="5" t="str">
        <f aca="false">IF($O9="","",IF(INDEX(전체!$E$6:$E$75,$O9)="","",INDEX(전체!$E$6:$E$75,$O9)))</f>
        <v/>
      </c>
      <c r="E9" s="5" t="str">
        <f aca="false">IF($O9="","",IF(INDEX(전체!$F$6:$F$75,$O9)="","",INDEX(전체!$F$6:$F$75,$O9)))</f>
        <v/>
      </c>
      <c r="F9" s="21" t="str">
        <f aca="false">IF($O9="","",IF(INDEX(전체!$G$6:$G$75,$O9)="","",INDEX(전체!$G$6:$G$75,$O9)))</f>
        <v/>
      </c>
      <c r="G9" s="21" t="str">
        <f aca="false">IF($O9="","",IF(INDEX(전체!$H$6:$H$75,$O9)="","",INDEX(전체!$H$6:$H$75,$O9)))</f>
        <v/>
      </c>
      <c r="H9" s="5" t="str">
        <f aca="false">IF($O9="","",IF(INDEX(전체!$I$6:$I$75,$O9)="","",INDEX(전체!$I$6:$I$75,$O9)))</f>
        <v/>
      </c>
      <c r="I9" s="5" t="str">
        <f aca="false">IF($O9="","",IF(INDEX(전체!$J$6:$J$75,$O9)="","",INDEX(전체!$J$6:$J$75,$O9)))</f>
        <v/>
      </c>
      <c r="J9" s="21" t="str">
        <f aca="false">IF($O9="","",IF(INDEX(전체!$K$6:$K$75,$O9)="","",INDEX(전체!$K$6:$K$75,$O9)))</f>
        <v/>
      </c>
      <c r="K9" s="20" t="str">
        <f aca="false">IF($O9="","",IF(INDEX(전체!$L$6:$L$75,$O9)="","",INDEX(전체!$L$6:$L$75,$O9)))</f>
        <v/>
      </c>
      <c r="L9" s="5" t="str">
        <f aca="false">IF($O9="","",IF(INDEX(전체!$M$6:$M$75,$O9)="","",INDEX(전체!$M$6:$M$75,$O9)))</f>
        <v/>
      </c>
      <c r="M9" s="21" t="str">
        <f aca="false">IF($O9="","",IF(INDEX(전체!$N$6:$N$75,$O9)="","",INDEX(전체!$N$6:$N$75,$O9)))</f>
        <v/>
      </c>
      <c r="N9" s="21" t="str">
        <f aca="false">IF($O9="","",IF(INDEX(전체!$O$6:$O$75,$O9)="","",INDEX(전체!$O$6:$O$75,$O9)))</f>
        <v/>
      </c>
      <c r="O9" s="22" t="str">
        <f aca="false">IFERROR(MATCH($R$2&amp;"|"&amp;5,전체!$P$6:$P$75,0),"")</f>
        <v/>
      </c>
    </row>
    <row r="10" customFormat="false" ht="15" hidden="false" customHeight="false" outlineLevel="0" collapsed="false">
      <c r="A10" s="5" t="str">
        <f aca="false">IF($O10="","",6)</f>
        <v/>
      </c>
      <c r="B10" s="20" t="str">
        <f aca="false">IF($O10="","",IF(INDEX(전체!$C$6:$C$75,$O10)="","",INDEX(전체!$C$6:$C$75,$O10)))</f>
        <v/>
      </c>
      <c r="C10" s="21" t="str">
        <f aca="false">IF($O10="","",IF(INDEX(전체!$D$6:$D$75,$O10)="","",INDEX(전체!$D$6:$D$75,$O10)))</f>
        <v/>
      </c>
      <c r="D10" s="5" t="str">
        <f aca="false">IF($O10="","",IF(INDEX(전체!$E$6:$E$75,$O10)="","",INDEX(전체!$E$6:$E$75,$O10)))</f>
        <v/>
      </c>
      <c r="E10" s="5" t="str">
        <f aca="false">IF($O10="","",IF(INDEX(전체!$F$6:$F$75,$O10)="","",INDEX(전체!$F$6:$F$75,$O10)))</f>
        <v/>
      </c>
      <c r="F10" s="21" t="str">
        <f aca="false">IF($O10="","",IF(INDEX(전체!$G$6:$G$75,$O10)="","",INDEX(전체!$G$6:$G$75,$O10)))</f>
        <v/>
      </c>
      <c r="G10" s="21" t="str">
        <f aca="false">IF($O10="","",IF(INDEX(전체!$H$6:$H$75,$O10)="","",INDEX(전체!$H$6:$H$75,$O10)))</f>
        <v/>
      </c>
      <c r="H10" s="5" t="str">
        <f aca="false">IF($O10="","",IF(INDEX(전체!$I$6:$I$75,$O10)="","",INDEX(전체!$I$6:$I$75,$O10)))</f>
        <v/>
      </c>
      <c r="I10" s="5" t="str">
        <f aca="false">IF($O10="","",IF(INDEX(전체!$J$6:$J$75,$O10)="","",INDEX(전체!$J$6:$J$75,$O10)))</f>
        <v/>
      </c>
      <c r="J10" s="21" t="str">
        <f aca="false">IF($O10="","",IF(INDEX(전체!$K$6:$K$75,$O10)="","",INDEX(전체!$K$6:$K$75,$O10)))</f>
        <v/>
      </c>
      <c r="K10" s="20" t="str">
        <f aca="false">IF($O10="","",IF(INDEX(전체!$L$6:$L$75,$O10)="","",INDEX(전체!$L$6:$L$75,$O10)))</f>
        <v/>
      </c>
      <c r="L10" s="5" t="str">
        <f aca="false">IF($O10="","",IF(INDEX(전체!$M$6:$M$75,$O10)="","",INDEX(전체!$M$6:$M$75,$O10)))</f>
        <v/>
      </c>
      <c r="M10" s="21" t="str">
        <f aca="false">IF($O10="","",IF(INDEX(전체!$N$6:$N$75,$O10)="","",INDEX(전체!$N$6:$N$75,$O10)))</f>
        <v/>
      </c>
      <c r="N10" s="21" t="str">
        <f aca="false">IF($O10="","",IF(INDEX(전체!$O$6:$O$75,$O10)="","",INDEX(전체!$O$6:$O$75,$O10)))</f>
        <v/>
      </c>
      <c r="O10" s="22" t="str">
        <f aca="false">IFERROR(MATCH($R$2&amp;"|"&amp;6,전체!$P$6:$P$75,0),"")</f>
        <v/>
      </c>
    </row>
    <row r="11" customFormat="false" ht="15" hidden="false" customHeight="false" outlineLevel="0" collapsed="false">
      <c r="A11" s="5" t="str">
        <f aca="false">IF($O11="","",7)</f>
        <v/>
      </c>
      <c r="B11" s="20" t="str">
        <f aca="false">IF($O11="","",IF(INDEX(전체!$C$6:$C$75,$O11)="","",INDEX(전체!$C$6:$C$75,$O11)))</f>
        <v/>
      </c>
      <c r="C11" s="21" t="str">
        <f aca="false">IF($O11="","",IF(INDEX(전체!$D$6:$D$75,$O11)="","",INDEX(전체!$D$6:$D$75,$O11)))</f>
        <v/>
      </c>
      <c r="D11" s="5" t="str">
        <f aca="false">IF($O11="","",IF(INDEX(전체!$E$6:$E$75,$O11)="","",INDEX(전체!$E$6:$E$75,$O11)))</f>
        <v/>
      </c>
      <c r="E11" s="5" t="str">
        <f aca="false">IF($O11="","",IF(INDEX(전체!$F$6:$F$75,$O11)="","",INDEX(전체!$F$6:$F$75,$O11)))</f>
        <v/>
      </c>
      <c r="F11" s="21" t="str">
        <f aca="false">IF($O11="","",IF(INDEX(전체!$G$6:$G$75,$O11)="","",INDEX(전체!$G$6:$G$75,$O11)))</f>
        <v/>
      </c>
      <c r="G11" s="21" t="str">
        <f aca="false">IF($O11="","",IF(INDEX(전체!$H$6:$H$75,$O11)="","",INDEX(전체!$H$6:$H$75,$O11)))</f>
        <v/>
      </c>
      <c r="H11" s="5" t="str">
        <f aca="false">IF($O11="","",IF(INDEX(전체!$I$6:$I$75,$O11)="","",INDEX(전체!$I$6:$I$75,$O11)))</f>
        <v/>
      </c>
      <c r="I11" s="5" t="str">
        <f aca="false">IF($O11="","",IF(INDEX(전체!$J$6:$J$75,$O11)="","",INDEX(전체!$J$6:$J$75,$O11)))</f>
        <v/>
      </c>
      <c r="J11" s="21" t="str">
        <f aca="false">IF($O11="","",IF(INDEX(전체!$K$6:$K$75,$O11)="","",INDEX(전체!$K$6:$K$75,$O11)))</f>
        <v/>
      </c>
      <c r="K11" s="20" t="str">
        <f aca="false">IF($O11="","",IF(INDEX(전체!$L$6:$L$75,$O11)="","",INDEX(전체!$L$6:$L$75,$O11)))</f>
        <v/>
      </c>
      <c r="L11" s="5" t="str">
        <f aca="false">IF($O11="","",IF(INDEX(전체!$M$6:$M$75,$O11)="","",INDEX(전체!$M$6:$M$75,$O11)))</f>
        <v/>
      </c>
      <c r="M11" s="21" t="str">
        <f aca="false">IF($O11="","",IF(INDEX(전체!$N$6:$N$75,$O11)="","",INDEX(전체!$N$6:$N$75,$O11)))</f>
        <v/>
      </c>
      <c r="N11" s="21" t="str">
        <f aca="false">IF($O11="","",IF(INDEX(전체!$O$6:$O$75,$O11)="","",INDEX(전체!$O$6:$O$75,$O11)))</f>
        <v/>
      </c>
      <c r="O11" s="22" t="str">
        <f aca="false">IFERROR(MATCH($R$2&amp;"|"&amp;7,전체!$P$6:$P$75,0),"")</f>
        <v/>
      </c>
    </row>
    <row r="12" customFormat="false" ht="15" hidden="false" customHeight="false" outlineLevel="0" collapsed="false">
      <c r="A12" s="5" t="str">
        <f aca="false">IF($O12="","",8)</f>
        <v/>
      </c>
      <c r="B12" s="20" t="str">
        <f aca="false">IF($O12="","",IF(INDEX(전체!$C$6:$C$75,$O12)="","",INDEX(전체!$C$6:$C$75,$O12)))</f>
        <v/>
      </c>
      <c r="C12" s="21" t="str">
        <f aca="false">IF($O12="","",IF(INDEX(전체!$D$6:$D$75,$O12)="","",INDEX(전체!$D$6:$D$75,$O12)))</f>
        <v/>
      </c>
      <c r="D12" s="5" t="str">
        <f aca="false">IF($O12="","",IF(INDEX(전체!$E$6:$E$75,$O12)="","",INDEX(전체!$E$6:$E$75,$O12)))</f>
        <v/>
      </c>
      <c r="E12" s="5" t="str">
        <f aca="false">IF($O12="","",IF(INDEX(전체!$F$6:$F$75,$O12)="","",INDEX(전체!$F$6:$F$75,$O12)))</f>
        <v/>
      </c>
      <c r="F12" s="21" t="str">
        <f aca="false">IF($O12="","",IF(INDEX(전체!$G$6:$G$75,$O12)="","",INDEX(전체!$G$6:$G$75,$O12)))</f>
        <v/>
      </c>
      <c r="G12" s="21" t="str">
        <f aca="false">IF($O12="","",IF(INDEX(전체!$H$6:$H$75,$O12)="","",INDEX(전체!$H$6:$H$75,$O12)))</f>
        <v/>
      </c>
      <c r="H12" s="5" t="str">
        <f aca="false">IF($O12="","",IF(INDEX(전체!$I$6:$I$75,$O12)="","",INDEX(전체!$I$6:$I$75,$O12)))</f>
        <v/>
      </c>
      <c r="I12" s="5" t="str">
        <f aca="false">IF($O12="","",IF(INDEX(전체!$J$6:$J$75,$O12)="","",INDEX(전체!$J$6:$J$75,$O12)))</f>
        <v/>
      </c>
      <c r="J12" s="21" t="str">
        <f aca="false">IF($O12="","",IF(INDEX(전체!$K$6:$K$75,$O12)="","",INDEX(전체!$K$6:$K$75,$O12)))</f>
        <v/>
      </c>
      <c r="K12" s="20" t="str">
        <f aca="false">IF($O12="","",IF(INDEX(전체!$L$6:$L$75,$O12)="","",INDEX(전체!$L$6:$L$75,$O12)))</f>
        <v/>
      </c>
      <c r="L12" s="5" t="str">
        <f aca="false">IF($O12="","",IF(INDEX(전체!$M$6:$M$75,$O12)="","",INDEX(전체!$M$6:$M$75,$O12)))</f>
        <v/>
      </c>
      <c r="M12" s="21" t="str">
        <f aca="false">IF($O12="","",IF(INDEX(전체!$N$6:$N$75,$O12)="","",INDEX(전체!$N$6:$N$75,$O12)))</f>
        <v/>
      </c>
      <c r="N12" s="21" t="str">
        <f aca="false">IF($O12="","",IF(INDEX(전체!$O$6:$O$75,$O12)="","",INDEX(전체!$O$6:$O$75,$O12)))</f>
        <v/>
      </c>
      <c r="O12" s="22" t="str">
        <f aca="false">IFERROR(MATCH($R$2&amp;"|"&amp;8,전체!$P$6:$P$75,0),"")</f>
        <v/>
      </c>
    </row>
    <row r="13" customFormat="false" ht="15" hidden="false" customHeight="false" outlineLevel="0" collapsed="false">
      <c r="A13" s="5" t="str">
        <f aca="false">IF($O13="","",9)</f>
        <v/>
      </c>
      <c r="B13" s="20" t="str">
        <f aca="false">IF($O13="","",IF(INDEX(전체!$C$6:$C$75,$O13)="","",INDEX(전체!$C$6:$C$75,$O13)))</f>
        <v/>
      </c>
      <c r="C13" s="21" t="str">
        <f aca="false">IF($O13="","",IF(INDEX(전체!$D$6:$D$75,$O13)="","",INDEX(전체!$D$6:$D$75,$O13)))</f>
        <v/>
      </c>
      <c r="D13" s="5" t="str">
        <f aca="false">IF($O13="","",IF(INDEX(전체!$E$6:$E$75,$O13)="","",INDEX(전체!$E$6:$E$75,$O13)))</f>
        <v/>
      </c>
      <c r="E13" s="5" t="str">
        <f aca="false">IF($O13="","",IF(INDEX(전체!$F$6:$F$75,$O13)="","",INDEX(전체!$F$6:$F$75,$O13)))</f>
        <v/>
      </c>
      <c r="F13" s="21" t="str">
        <f aca="false">IF($O13="","",IF(INDEX(전체!$G$6:$G$75,$O13)="","",INDEX(전체!$G$6:$G$75,$O13)))</f>
        <v/>
      </c>
      <c r="G13" s="21" t="str">
        <f aca="false">IF($O13="","",IF(INDEX(전체!$H$6:$H$75,$O13)="","",INDEX(전체!$H$6:$H$75,$O13)))</f>
        <v/>
      </c>
      <c r="H13" s="5" t="str">
        <f aca="false">IF($O13="","",IF(INDEX(전체!$I$6:$I$75,$O13)="","",INDEX(전체!$I$6:$I$75,$O13)))</f>
        <v/>
      </c>
      <c r="I13" s="5" t="str">
        <f aca="false">IF($O13="","",IF(INDEX(전체!$J$6:$J$75,$O13)="","",INDEX(전체!$J$6:$J$75,$O13)))</f>
        <v/>
      </c>
      <c r="J13" s="21" t="str">
        <f aca="false">IF($O13="","",IF(INDEX(전체!$K$6:$K$75,$O13)="","",INDEX(전체!$K$6:$K$75,$O13)))</f>
        <v/>
      </c>
      <c r="K13" s="20" t="str">
        <f aca="false">IF($O13="","",IF(INDEX(전체!$L$6:$L$75,$O13)="","",INDEX(전체!$L$6:$L$75,$O13)))</f>
        <v/>
      </c>
      <c r="L13" s="5" t="str">
        <f aca="false">IF($O13="","",IF(INDEX(전체!$M$6:$M$75,$O13)="","",INDEX(전체!$M$6:$M$75,$O13)))</f>
        <v/>
      </c>
      <c r="M13" s="21" t="str">
        <f aca="false">IF($O13="","",IF(INDEX(전체!$N$6:$N$75,$O13)="","",INDEX(전체!$N$6:$N$75,$O13)))</f>
        <v/>
      </c>
      <c r="N13" s="21" t="str">
        <f aca="false">IF($O13="","",IF(INDEX(전체!$O$6:$O$75,$O13)="","",INDEX(전체!$O$6:$O$75,$O13)))</f>
        <v/>
      </c>
      <c r="O13" s="22" t="str">
        <f aca="false">IFERROR(MATCH($R$2&amp;"|"&amp;9,전체!$P$6:$P$75,0),"")</f>
        <v/>
      </c>
    </row>
    <row r="14" customFormat="false" ht="15" hidden="false" customHeight="false" outlineLevel="0" collapsed="false">
      <c r="A14" s="5" t="str">
        <f aca="false">IF($O14="","",10)</f>
        <v/>
      </c>
      <c r="B14" s="20" t="str">
        <f aca="false">IF($O14="","",IF(INDEX(전체!$C$6:$C$75,$O14)="","",INDEX(전체!$C$6:$C$75,$O14)))</f>
        <v/>
      </c>
      <c r="C14" s="21" t="str">
        <f aca="false">IF($O14="","",IF(INDEX(전체!$D$6:$D$75,$O14)="","",INDEX(전체!$D$6:$D$75,$O14)))</f>
        <v/>
      </c>
      <c r="D14" s="5" t="str">
        <f aca="false">IF($O14="","",IF(INDEX(전체!$E$6:$E$75,$O14)="","",INDEX(전체!$E$6:$E$75,$O14)))</f>
        <v/>
      </c>
      <c r="E14" s="5" t="str">
        <f aca="false">IF($O14="","",IF(INDEX(전체!$F$6:$F$75,$O14)="","",INDEX(전체!$F$6:$F$75,$O14)))</f>
        <v/>
      </c>
      <c r="F14" s="21" t="str">
        <f aca="false">IF($O14="","",IF(INDEX(전체!$G$6:$G$75,$O14)="","",INDEX(전체!$G$6:$G$75,$O14)))</f>
        <v/>
      </c>
      <c r="G14" s="21" t="str">
        <f aca="false">IF($O14="","",IF(INDEX(전체!$H$6:$H$75,$O14)="","",INDEX(전체!$H$6:$H$75,$O14)))</f>
        <v/>
      </c>
      <c r="H14" s="5" t="str">
        <f aca="false">IF($O14="","",IF(INDEX(전체!$I$6:$I$75,$O14)="","",INDEX(전체!$I$6:$I$75,$O14)))</f>
        <v/>
      </c>
      <c r="I14" s="5" t="str">
        <f aca="false">IF($O14="","",IF(INDEX(전체!$J$6:$J$75,$O14)="","",INDEX(전체!$J$6:$J$75,$O14)))</f>
        <v/>
      </c>
      <c r="J14" s="21" t="str">
        <f aca="false">IF($O14="","",IF(INDEX(전체!$K$6:$K$75,$O14)="","",INDEX(전체!$K$6:$K$75,$O14)))</f>
        <v/>
      </c>
      <c r="K14" s="20" t="str">
        <f aca="false">IF($O14="","",IF(INDEX(전체!$L$6:$L$75,$O14)="","",INDEX(전체!$L$6:$L$75,$O14)))</f>
        <v/>
      </c>
      <c r="L14" s="5" t="str">
        <f aca="false">IF($O14="","",IF(INDEX(전체!$M$6:$M$75,$O14)="","",INDEX(전체!$M$6:$M$75,$O14)))</f>
        <v/>
      </c>
      <c r="M14" s="21" t="str">
        <f aca="false">IF($O14="","",IF(INDEX(전체!$N$6:$N$75,$O14)="","",INDEX(전체!$N$6:$N$75,$O14)))</f>
        <v/>
      </c>
      <c r="N14" s="21" t="str">
        <f aca="false">IF($O14="","",IF(INDEX(전체!$O$6:$O$75,$O14)="","",INDEX(전체!$O$6:$O$75,$O14)))</f>
        <v/>
      </c>
      <c r="O14" s="22" t="str">
        <f aca="false">IFERROR(MATCH($R$2&amp;"|"&amp;10,전체!$P$6:$P$75,0),"")</f>
        <v/>
      </c>
    </row>
    <row r="15" customFormat="false" ht="15" hidden="false" customHeight="false" outlineLevel="0" collapsed="false">
      <c r="A15" s="5" t="str">
        <f aca="false">IF($O15="","",11)</f>
        <v/>
      </c>
      <c r="B15" s="20" t="str">
        <f aca="false">IF($O15="","",IF(INDEX(전체!$C$6:$C$75,$O15)="","",INDEX(전체!$C$6:$C$75,$O15)))</f>
        <v/>
      </c>
      <c r="C15" s="21" t="str">
        <f aca="false">IF($O15="","",IF(INDEX(전체!$D$6:$D$75,$O15)="","",INDEX(전체!$D$6:$D$75,$O15)))</f>
        <v/>
      </c>
      <c r="D15" s="5" t="str">
        <f aca="false">IF($O15="","",IF(INDEX(전체!$E$6:$E$75,$O15)="","",INDEX(전체!$E$6:$E$75,$O15)))</f>
        <v/>
      </c>
      <c r="E15" s="5" t="str">
        <f aca="false">IF($O15="","",IF(INDEX(전체!$F$6:$F$75,$O15)="","",INDEX(전체!$F$6:$F$75,$O15)))</f>
        <v/>
      </c>
      <c r="F15" s="21" t="str">
        <f aca="false">IF($O15="","",IF(INDEX(전체!$G$6:$G$75,$O15)="","",INDEX(전체!$G$6:$G$75,$O15)))</f>
        <v/>
      </c>
      <c r="G15" s="21" t="str">
        <f aca="false">IF($O15="","",IF(INDEX(전체!$H$6:$H$75,$O15)="","",INDEX(전체!$H$6:$H$75,$O15)))</f>
        <v/>
      </c>
      <c r="H15" s="5" t="str">
        <f aca="false">IF($O15="","",IF(INDEX(전체!$I$6:$I$75,$O15)="","",INDEX(전체!$I$6:$I$75,$O15)))</f>
        <v/>
      </c>
      <c r="I15" s="5" t="str">
        <f aca="false">IF($O15="","",IF(INDEX(전체!$J$6:$J$75,$O15)="","",INDEX(전체!$J$6:$J$75,$O15)))</f>
        <v/>
      </c>
      <c r="J15" s="21" t="str">
        <f aca="false">IF($O15="","",IF(INDEX(전체!$K$6:$K$75,$O15)="","",INDEX(전체!$K$6:$K$75,$O15)))</f>
        <v/>
      </c>
      <c r="K15" s="20" t="str">
        <f aca="false">IF($O15="","",IF(INDEX(전체!$L$6:$L$75,$O15)="","",INDEX(전체!$L$6:$L$75,$O15)))</f>
        <v/>
      </c>
      <c r="L15" s="5" t="str">
        <f aca="false">IF($O15="","",IF(INDEX(전체!$M$6:$M$75,$O15)="","",INDEX(전체!$M$6:$M$75,$O15)))</f>
        <v/>
      </c>
      <c r="M15" s="21" t="str">
        <f aca="false">IF($O15="","",IF(INDEX(전체!$N$6:$N$75,$O15)="","",INDEX(전체!$N$6:$N$75,$O15)))</f>
        <v/>
      </c>
      <c r="N15" s="21" t="str">
        <f aca="false">IF($O15="","",IF(INDEX(전체!$O$6:$O$75,$O15)="","",INDEX(전체!$O$6:$O$75,$O15)))</f>
        <v/>
      </c>
      <c r="O15" s="22" t="str">
        <f aca="false">IFERROR(MATCH($R$2&amp;"|"&amp;11,전체!$P$6:$P$75,0),"")</f>
        <v/>
      </c>
    </row>
    <row r="16" customFormat="false" ht="15" hidden="false" customHeight="false" outlineLevel="0" collapsed="false">
      <c r="A16" s="5" t="str">
        <f aca="false">IF($O16="","",12)</f>
        <v/>
      </c>
      <c r="B16" s="20" t="str">
        <f aca="false">IF($O16="","",IF(INDEX(전체!$C$6:$C$75,$O16)="","",INDEX(전체!$C$6:$C$75,$O16)))</f>
        <v/>
      </c>
      <c r="C16" s="21" t="str">
        <f aca="false">IF($O16="","",IF(INDEX(전체!$D$6:$D$75,$O16)="","",INDEX(전체!$D$6:$D$75,$O16)))</f>
        <v/>
      </c>
      <c r="D16" s="5" t="str">
        <f aca="false">IF($O16="","",IF(INDEX(전체!$E$6:$E$75,$O16)="","",INDEX(전체!$E$6:$E$75,$O16)))</f>
        <v/>
      </c>
      <c r="E16" s="5" t="str">
        <f aca="false">IF($O16="","",IF(INDEX(전체!$F$6:$F$75,$O16)="","",INDEX(전체!$F$6:$F$75,$O16)))</f>
        <v/>
      </c>
      <c r="F16" s="21" t="str">
        <f aca="false">IF($O16="","",IF(INDEX(전체!$G$6:$G$75,$O16)="","",INDEX(전체!$G$6:$G$75,$O16)))</f>
        <v/>
      </c>
      <c r="G16" s="21" t="str">
        <f aca="false">IF($O16="","",IF(INDEX(전체!$H$6:$H$75,$O16)="","",INDEX(전체!$H$6:$H$75,$O16)))</f>
        <v/>
      </c>
      <c r="H16" s="5" t="str">
        <f aca="false">IF($O16="","",IF(INDEX(전체!$I$6:$I$75,$O16)="","",INDEX(전체!$I$6:$I$75,$O16)))</f>
        <v/>
      </c>
      <c r="I16" s="5" t="str">
        <f aca="false">IF($O16="","",IF(INDEX(전체!$J$6:$J$75,$O16)="","",INDEX(전체!$J$6:$J$75,$O16)))</f>
        <v/>
      </c>
      <c r="J16" s="21" t="str">
        <f aca="false">IF($O16="","",IF(INDEX(전체!$K$6:$K$75,$O16)="","",INDEX(전체!$K$6:$K$75,$O16)))</f>
        <v/>
      </c>
      <c r="K16" s="20" t="str">
        <f aca="false">IF($O16="","",IF(INDEX(전체!$L$6:$L$75,$O16)="","",INDEX(전체!$L$6:$L$75,$O16)))</f>
        <v/>
      </c>
      <c r="L16" s="5" t="str">
        <f aca="false">IF($O16="","",IF(INDEX(전체!$M$6:$M$75,$O16)="","",INDEX(전체!$M$6:$M$75,$O16)))</f>
        <v/>
      </c>
      <c r="M16" s="21" t="str">
        <f aca="false">IF($O16="","",IF(INDEX(전체!$N$6:$N$75,$O16)="","",INDEX(전체!$N$6:$N$75,$O16)))</f>
        <v/>
      </c>
      <c r="N16" s="21" t="str">
        <f aca="false">IF($O16="","",IF(INDEX(전체!$O$6:$O$75,$O16)="","",INDEX(전체!$O$6:$O$75,$O16)))</f>
        <v/>
      </c>
      <c r="O16" s="22" t="str">
        <f aca="false">IFERROR(MATCH($R$2&amp;"|"&amp;12,전체!$P$6:$P$75,0),"")</f>
        <v/>
      </c>
    </row>
    <row r="17" customFormat="false" ht="15" hidden="false" customHeight="false" outlineLevel="0" collapsed="false">
      <c r="A17" s="5" t="str">
        <f aca="false">IF($O17="","",13)</f>
        <v/>
      </c>
      <c r="B17" s="20" t="str">
        <f aca="false">IF($O17="","",IF(INDEX(전체!$C$6:$C$75,$O17)="","",INDEX(전체!$C$6:$C$75,$O17)))</f>
        <v/>
      </c>
      <c r="C17" s="21" t="str">
        <f aca="false">IF($O17="","",IF(INDEX(전체!$D$6:$D$75,$O17)="","",INDEX(전체!$D$6:$D$75,$O17)))</f>
        <v/>
      </c>
      <c r="D17" s="5" t="str">
        <f aca="false">IF($O17="","",IF(INDEX(전체!$E$6:$E$75,$O17)="","",INDEX(전체!$E$6:$E$75,$O17)))</f>
        <v/>
      </c>
      <c r="E17" s="5" t="str">
        <f aca="false">IF($O17="","",IF(INDEX(전체!$F$6:$F$75,$O17)="","",INDEX(전체!$F$6:$F$75,$O17)))</f>
        <v/>
      </c>
      <c r="F17" s="21" t="str">
        <f aca="false">IF($O17="","",IF(INDEX(전체!$G$6:$G$75,$O17)="","",INDEX(전체!$G$6:$G$75,$O17)))</f>
        <v/>
      </c>
      <c r="G17" s="21" t="str">
        <f aca="false">IF($O17="","",IF(INDEX(전체!$H$6:$H$75,$O17)="","",INDEX(전체!$H$6:$H$75,$O17)))</f>
        <v/>
      </c>
      <c r="H17" s="5" t="str">
        <f aca="false">IF($O17="","",IF(INDEX(전체!$I$6:$I$75,$O17)="","",INDEX(전체!$I$6:$I$75,$O17)))</f>
        <v/>
      </c>
      <c r="I17" s="5" t="str">
        <f aca="false">IF($O17="","",IF(INDEX(전체!$J$6:$J$75,$O17)="","",INDEX(전체!$J$6:$J$75,$O17)))</f>
        <v/>
      </c>
      <c r="J17" s="21" t="str">
        <f aca="false">IF($O17="","",IF(INDEX(전체!$K$6:$K$75,$O17)="","",INDEX(전체!$K$6:$K$75,$O17)))</f>
        <v/>
      </c>
      <c r="K17" s="20" t="str">
        <f aca="false">IF($O17="","",IF(INDEX(전체!$L$6:$L$75,$O17)="","",INDEX(전체!$L$6:$L$75,$O17)))</f>
        <v/>
      </c>
      <c r="L17" s="5" t="str">
        <f aca="false">IF($O17="","",IF(INDEX(전체!$M$6:$M$75,$O17)="","",INDEX(전체!$M$6:$M$75,$O17)))</f>
        <v/>
      </c>
      <c r="M17" s="21" t="str">
        <f aca="false">IF($O17="","",IF(INDEX(전체!$N$6:$N$75,$O17)="","",INDEX(전체!$N$6:$N$75,$O17)))</f>
        <v/>
      </c>
      <c r="N17" s="21" t="str">
        <f aca="false">IF($O17="","",IF(INDEX(전체!$O$6:$O$75,$O17)="","",INDEX(전체!$O$6:$O$75,$O17)))</f>
        <v/>
      </c>
      <c r="O17" s="22" t="str">
        <f aca="false">IFERROR(MATCH($R$2&amp;"|"&amp;13,전체!$P$6:$P$75,0),"")</f>
        <v/>
      </c>
    </row>
    <row r="18" customFormat="false" ht="15" hidden="false" customHeight="false" outlineLevel="0" collapsed="false">
      <c r="A18" s="5" t="str">
        <f aca="false">IF($O18="","",14)</f>
        <v/>
      </c>
      <c r="B18" s="20" t="str">
        <f aca="false">IF($O18="","",IF(INDEX(전체!$C$6:$C$75,$O18)="","",INDEX(전체!$C$6:$C$75,$O18)))</f>
        <v/>
      </c>
      <c r="C18" s="21" t="str">
        <f aca="false">IF($O18="","",IF(INDEX(전체!$D$6:$D$75,$O18)="","",INDEX(전체!$D$6:$D$75,$O18)))</f>
        <v/>
      </c>
      <c r="D18" s="5" t="str">
        <f aca="false">IF($O18="","",IF(INDEX(전체!$E$6:$E$75,$O18)="","",INDEX(전체!$E$6:$E$75,$O18)))</f>
        <v/>
      </c>
      <c r="E18" s="5" t="str">
        <f aca="false">IF($O18="","",IF(INDEX(전체!$F$6:$F$75,$O18)="","",INDEX(전체!$F$6:$F$75,$O18)))</f>
        <v/>
      </c>
      <c r="F18" s="21" t="str">
        <f aca="false">IF($O18="","",IF(INDEX(전체!$G$6:$G$75,$O18)="","",INDEX(전체!$G$6:$G$75,$O18)))</f>
        <v/>
      </c>
      <c r="G18" s="21" t="str">
        <f aca="false">IF($O18="","",IF(INDEX(전체!$H$6:$H$75,$O18)="","",INDEX(전체!$H$6:$H$75,$O18)))</f>
        <v/>
      </c>
      <c r="H18" s="5" t="str">
        <f aca="false">IF($O18="","",IF(INDEX(전체!$I$6:$I$75,$O18)="","",INDEX(전체!$I$6:$I$75,$O18)))</f>
        <v/>
      </c>
      <c r="I18" s="5" t="str">
        <f aca="false">IF($O18="","",IF(INDEX(전체!$J$6:$J$75,$O18)="","",INDEX(전체!$J$6:$J$75,$O18)))</f>
        <v/>
      </c>
      <c r="J18" s="21" t="str">
        <f aca="false">IF($O18="","",IF(INDEX(전체!$K$6:$K$75,$O18)="","",INDEX(전체!$K$6:$K$75,$O18)))</f>
        <v/>
      </c>
      <c r="K18" s="20" t="str">
        <f aca="false">IF($O18="","",IF(INDEX(전체!$L$6:$L$75,$O18)="","",INDEX(전체!$L$6:$L$75,$O18)))</f>
        <v/>
      </c>
      <c r="L18" s="5" t="str">
        <f aca="false">IF($O18="","",IF(INDEX(전체!$M$6:$M$75,$O18)="","",INDEX(전체!$M$6:$M$75,$O18)))</f>
        <v/>
      </c>
      <c r="M18" s="21" t="str">
        <f aca="false">IF($O18="","",IF(INDEX(전체!$N$6:$N$75,$O18)="","",INDEX(전체!$N$6:$N$75,$O18)))</f>
        <v/>
      </c>
      <c r="N18" s="21" t="str">
        <f aca="false">IF($O18="","",IF(INDEX(전체!$O$6:$O$75,$O18)="","",INDEX(전체!$O$6:$O$75,$O18)))</f>
        <v/>
      </c>
      <c r="O18" s="22" t="str">
        <f aca="false">IFERROR(MATCH($R$2&amp;"|"&amp;14,전체!$P$6:$P$75,0),"")</f>
        <v/>
      </c>
    </row>
    <row r="19" customFormat="false" ht="15" hidden="false" customHeight="false" outlineLevel="0" collapsed="false">
      <c r="A19" s="5" t="str">
        <f aca="false">IF($O19="","",15)</f>
        <v/>
      </c>
      <c r="B19" s="20" t="str">
        <f aca="false">IF($O19="","",IF(INDEX(전체!$C$6:$C$75,$O19)="","",INDEX(전체!$C$6:$C$75,$O19)))</f>
        <v/>
      </c>
      <c r="C19" s="21" t="str">
        <f aca="false">IF($O19="","",IF(INDEX(전체!$D$6:$D$75,$O19)="","",INDEX(전체!$D$6:$D$75,$O19)))</f>
        <v/>
      </c>
      <c r="D19" s="5" t="str">
        <f aca="false">IF($O19="","",IF(INDEX(전체!$E$6:$E$75,$O19)="","",INDEX(전체!$E$6:$E$75,$O19)))</f>
        <v/>
      </c>
      <c r="E19" s="5" t="str">
        <f aca="false">IF($O19="","",IF(INDEX(전체!$F$6:$F$75,$O19)="","",INDEX(전체!$F$6:$F$75,$O19)))</f>
        <v/>
      </c>
      <c r="F19" s="21" t="str">
        <f aca="false">IF($O19="","",IF(INDEX(전체!$G$6:$G$75,$O19)="","",INDEX(전체!$G$6:$G$75,$O19)))</f>
        <v/>
      </c>
      <c r="G19" s="21" t="str">
        <f aca="false">IF($O19="","",IF(INDEX(전체!$H$6:$H$75,$O19)="","",INDEX(전체!$H$6:$H$75,$O19)))</f>
        <v/>
      </c>
      <c r="H19" s="5" t="str">
        <f aca="false">IF($O19="","",IF(INDEX(전체!$I$6:$I$75,$O19)="","",INDEX(전체!$I$6:$I$75,$O19)))</f>
        <v/>
      </c>
      <c r="I19" s="5" t="str">
        <f aca="false">IF($O19="","",IF(INDEX(전체!$J$6:$J$75,$O19)="","",INDEX(전체!$J$6:$J$75,$O19)))</f>
        <v/>
      </c>
      <c r="J19" s="21" t="str">
        <f aca="false">IF($O19="","",IF(INDEX(전체!$K$6:$K$75,$O19)="","",INDEX(전체!$K$6:$K$75,$O19)))</f>
        <v/>
      </c>
      <c r="K19" s="20" t="str">
        <f aca="false">IF($O19="","",IF(INDEX(전체!$L$6:$L$75,$O19)="","",INDEX(전체!$L$6:$L$75,$O19)))</f>
        <v/>
      </c>
      <c r="L19" s="5" t="str">
        <f aca="false">IF($O19="","",IF(INDEX(전체!$M$6:$M$75,$O19)="","",INDEX(전체!$M$6:$M$75,$O19)))</f>
        <v/>
      </c>
      <c r="M19" s="21" t="str">
        <f aca="false">IF($O19="","",IF(INDEX(전체!$N$6:$N$75,$O19)="","",INDEX(전체!$N$6:$N$75,$O19)))</f>
        <v/>
      </c>
      <c r="N19" s="21" t="str">
        <f aca="false">IF($O19="","",IF(INDEX(전체!$O$6:$O$75,$O19)="","",INDEX(전체!$O$6:$O$75,$O19)))</f>
        <v/>
      </c>
      <c r="O19" s="22" t="str">
        <f aca="false">IFERROR(MATCH($R$2&amp;"|"&amp;15,전체!$P$6:$P$75,0),"")</f>
        <v/>
      </c>
    </row>
    <row r="20" customFormat="false" ht="15" hidden="false" customHeight="false" outlineLevel="0" collapsed="false">
      <c r="A20" s="5" t="str">
        <f aca="false">IF($O20="","",16)</f>
        <v/>
      </c>
      <c r="B20" s="20" t="str">
        <f aca="false">IF($O20="","",IF(INDEX(전체!$C$6:$C$75,$O20)="","",INDEX(전체!$C$6:$C$75,$O20)))</f>
        <v/>
      </c>
      <c r="C20" s="21" t="str">
        <f aca="false">IF($O20="","",IF(INDEX(전체!$D$6:$D$75,$O20)="","",INDEX(전체!$D$6:$D$75,$O20)))</f>
        <v/>
      </c>
      <c r="D20" s="5" t="str">
        <f aca="false">IF($O20="","",IF(INDEX(전체!$E$6:$E$75,$O20)="","",INDEX(전체!$E$6:$E$75,$O20)))</f>
        <v/>
      </c>
      <c r="E20" s="5" t="str">
        <f aca="false">IF($O20="","",IF(INDEX(전체!$F$6:$F$75,$O20)="","",INDEX(전체!$F$6:$F$75,$O20)))</f>
        <v/>
      </c>
      <c r="F20" s="21" t="str">
        <f aca="false">IF($O20="","",IF(INDEX(전체!$G$6:$G$75,$O20)="","",INDEX(전체!$G$6:$G$75,$O20)))</f>
        <v/>
      </c>
      <c r="G20" s="21" t="str">
        <f aca="false">IF($O20="","",IF(INDEX(전체!$H$6:$H$75,$O20)="","",INDEX(전체!$H$6:$H$75,$O20)))</f>
        <v/>
      </c>
      <c r="H20" s="5" t="str">
        <f aca="false">IF($O20="","",IF(INDEX(전체!$I$6:$I$75,$O20)="","",INDEX(전체!$I$6:$I$75,$O20)))</f>
        <v/>
      </c>
      <c r="I20" s="5" t="str">
        <f aca="false">IF($O20="","",IF(INDEX(전체!$J$6:$J$75,$O20)="","",INDEX(전체!$J$6:$J$75,$O20)))</f>
        <v/>
      </c>
      <c r="J20" s="21" t="str">
        <f aca="false">IF($O20="","",IF(INDEX(전체!$K$6:$K$75,$O20)="","",INDEX(전체!$K$6:$K$75,$O20)))</f>
        <v/>
      </c>
      <c r="K20" s="20" t="str">
        <f aca="false">IF($O20="","",IF(INDEX(전체!$L$6:$L$75,$O20)="","",INDEX(전체!$L$6:$L$75,$O20)))</f>
        <v/>
      </c>
      <c r="L20" s="5" t="str">
        <f aca="false">IF($O20="","",IF(INDEX(전체!$M$6:$M$75,$O20)="","",INDEX(전체!$M$6:$M$75,$O20)))</f>
        <v/>
      </c>
      <c r="M20" s="21" t="str">
        <f aca="false">IF($O20="","",IF(INDEX(전체!$N$6:$N$75,$O20)="","",INDEX(전체!$N$6:$N$75,$O20)))</f>
        <v/>
      </c>
      <c r="N20" s="21" t="str">
        <f aca="false">IF($O20="","",IF(INDEX(전체!$O$6:$O$75,$O20)="","",INDEX(전체!$O$6:$O$75,$O20)))</f>
        <v/>
      </c>
      <c r="O20" s="22" t="str">
        <f aca="false">IFERROR(MATCH($R$2&amp;"|"&amp;16,전체!$P$6:$P$75,0),"")</f>
        <v/>
      </c>
    </row>
    <row r="21" customFormat="false" ht="15" hidden="false" customHeight="false" outlineLevel="0" collapsed="false">
      <c r="A21" s="5" t="str">
        <f aca="false">IF($O21="","",17)</f>
        <v/>
      </c>
      <c r="B21" s="20" t="str">
        <f aca="false">IF($O21="","",IF(INDEX(전체!$C$6:$C$75,$O21)="","",INDEX(전체!$C$6:$C$75,$O21)))</f>
        <v/>
      </c>
      <c r="C21" s="21" t="str">
        <f aca="false">IF($O21="","",IF(INDEX(전체!$D$6:$D$75,$O21)="","",INDEX(전체!$D$6:$D$75,$O21)))</f>
        <v/>
      </c>
      <c r="D21" s="5" t="str">
        <f aca="false">IF($O21="","",IF(INDEX(전체!$E$6:$E$75,$O21)="","",INDEX(전체!$E$6:$E$75,$O21)))</f>
        <v/>
      </c>
      <c r="E21" s="5" t="str">
        <f aca="false">IF($O21="","",IF(INDEX(전체!$F$6:$F$75,$O21)="","",INDEX(전체!$F$6:$F$75,$O21)))</f>
        <v/>
      </c>
      <c r="F21" s="21" t="str">
        <f aca="false">IF($O21="","",IF(INDEX(전체!$G$6:$G$75,$O21)="","",INDEX(전체!$G$6:$G$75,$O21)))</f>
        <v/>
      </c>
      <c r="G21" s="21" t="str">
        <f aca="false">IF($O21="","",IF(INDEX(전체!$H$6:$H$75,$O21)="","",INDEX(전체!$H$6:$H$75,$O21)))</f>
        <v/>
      </c>
      <c r="H21" s="5" t="str">
        <f aca="false">IF($O21="","",IF(INDEX(전체!$I$6:$I$75,$O21)="","",INDEX(전체!$I$6:$I$75,$O21)))</f>
        <v/>
      </c>
      <c r="I21" s="5" t="str">
        <f aca="false">IF($O21="","",IF(INDEX(전체!$J$6:$J$75,$O21)="","",INDEX(전체!$J$6:$J$75,$O21)))</f>
        <v/>
      </c>
      <c r="J21" s="21" t="str">
        <f aca="false">IF($O21="","",IF(INDEX(전체!$K$6:$K$75,$O21)="","",INDEX(전체!$K$6:$K$75,$O21)))</f>
        <v/>
      </c>
      <c r="K21" s="20" t="str">
        <f aca="false">IF($O21="","",IF(INDEX(전체!$L$6:$L$75,$O21)="","",INDEX(전체!$L$6:$L$75,$O21)))</f>
        <v/>
      </c>
      <c r="L21" s="5" t="str">
        <f aca="false">IF($O21="","",IF(INDEX(전체!$M$6:$M$75,$O21)="","",INDEX(전체!$M$6:$M$75,$O21)))</f>
        <v/>
      </c>
      <c r="M21" s="21" t="str">
        <f aca="false">IF($O21="","",IF(INDEX(전체!$N$6:$N$75,$O21)="","",INDEX(전체!$N$6:$N$75,$O21)))</f>
        <v/>
      </c>
      <c r="N21" s="21" t="str">
        <f aca="false">IF($O21="","",IF(INDEX(전체!$O$6:$O$75,$O21)="","",INDEX(전체!$O$6:$O$75,$O21)))</f>
        <v/>
      </c>
      <c r="O21" s="22" t="str">
        <f aca="false">IFERROR(MATCH($R$2&amp;"|"&amp;17,전체!$P$6:$P$75,0),"")</f>
        <v/>
      </c>
    </row>
    <row r="22" customFormat="false" ht="15" hidden="false" customHeight="false" outlineLevel="0" collapsed="false">
      <c r="A22" s="5" t="str">
        <f aca="false">IF($O22="","",18)</f>
        <v/>
      </c>
      <c r="B22" s="20" t="str">
        <f aca="false">IF($O22="","",IF(INDEX(전체!$C$6:$C$75,$O22)="","",INDEX(전체!$C$6:$C$75,$O22)))</f>
        <v/>
      </c>
      <c r="C22" s="21" t="str">
        <f aca="false">IF($O22="","",IF(INDEX(전체!$D$6:$D$75,$O22)="","",INDEX(전체!$D$6:$D$75,$O22)))</f>
        <v/>
      </c>
      <c r="D22" s="5" t="str">
        <f aca="false">IF($O22="","",IF(INDEX(전체!$E$6:$E$75,$O22)="","",INDEX(전체!$E$6:$E$75,$O22)))</f>
        <v/>
      </c>
      <c r="E22" s="5" t="str">
        <f aca="false">IF($O22="","",IF(INDEX(전체!$F$6:$F$75,$O22)="","",INDEX(전체!$F$6:$F$75,$O22)))</f>
        <v/>
      </c>
      <c r="F22" s="21" t="str">
        <f aca="false">IF($O22="","",IF(INDEX(전체!$G$6:$G$75,$O22)="","",INDEX(전체!$G$6:$G$75,$O22)))</f>
        <v/>
      </c>
      <c r="G22" s="21" t="str">
        <f aca="false">IF($O22="","",IF(INDEX(전체!$H$6:$H$75,$O22)="","",INDEX(전체!$H$6:$H$75,$O22)))</f>
        <v/>
      </c>
      <c r="H22" s="5" t="str">
        <f aca="false">IF($O22="","",IF(INDEX(전체!$I$6:$I$75,$O22)="","",INDEX(전체!$I$6:$I$75,$O22)))</f>
        <v/>
      </c>
      <c r="I22" s="5" t="str">
        <f aca="false">IF($O22="","",IF(INDEX(전체!$J$6:$J$75,$O22)="","",INDEX(전체!$J$6:$J$75,$O22)))</f>
        <v/>
      </c>
      <c r="J22" s="21" t="str">
        <f aca="false">IF($O22="","",IF(INDEX(전체!$K$6:$K$75,$O22)="","",INDEX(전체!$K$6:$K$75,$O22)))</f>
        <v/>
      </c>
      <c r="K22" s="20" t="str">
        <f aca="false">IF($O22="","",IF(INDEX(전체!$L$6:$L$75,$O22)="","",INDEX(전체!$L$6:$L$75,$O22)))</f>
        <v/>
      </c>
      <c r="L22" s="5" t="str">
        <f aca="false">IF($O22="","",IF(INDEX(전체!$M$6:$M$75,$O22)="","",INDEX(전체!$M$6:$M$75,$O22)))</f>
        <v/>
      </c>
      <c r="M22" s="21" t="str">
        <f aca="false">IF($O22="","",IF(INDEX(전체!$N$6:$N$75,$O22)="","",INDEX(전체!$N$6:$N$75,$O22)))</f>
        <v/>
      </c>
      <c r="N22" s="21" t="str">
        <f aca="false">IF($O22="","",IF(INDEX(전체!$O$6:$O$75,$O22)="","",INDEX(전체!$O$6:$O$75,$O22)))</f>
        <v/>
      </c>
      <c r="O22" s="22" t="str">
        <f aca="false">IFERROR(MATCH($R$2&amp;"|"&amp;18,전체!$P$6:$P$75,0),"")</f>
        <v/>
      </c>
    </row>
    <row r="23" customFormat="false" ht="15" hidden="false" customHeight="false" outlineLevel="0" collapsed="false">
      <c r="A23" s="5" t="str">
        <f aca="false">IF($O23="","",19)</f>
        <v/>
      </c>
      <c r="B23" s="20" t="str">
        <f aca="false">IF($O23="","",IF(INDEX(전체!$C$6:$C$75,$O23)="","",INDEX(전체!$C$6:$C$75,$O23)))</f>
        <v/>
      </c>
      <c r="C23" s="21" t="str">
        <f aca="false">IF($O23="","",IF(INDEX(전체!$D$6:$D$75,$O23)="","",INDEX(전체!$D$6:$D$75,$O23)))</f>
        <v/>
      </c>
      <c r="D23" s="5" t="str">
        <f aca="false">IF($O23="","",IF(INDEX(전체!$E$6:$E$75,$O23)="","",INDEX(전체!$E$6:$E$75,$O23)))</f>
        <v/>
      </c>
      <c r="E23" s="5" t="str">
        <f aca="false">IF($O23="","",IF(INDEX(전체!$F$6:$F$75,$O23)="","",INDEX(전체!$F$6:$F$75,$O23)))</f>
        <v/>
      </c>
      <c r="F23" s="21" t="str">
        <f aca="false">IF($O23="","",IF(INDEX(전체!$G$6:$G$75,$O23)="","",INDEX(전체!$G$6:$G$75,$O23)))</f>
        <v/>
      </c>
      <c r="G23" s="21" t="str">
        <f aca="false">IF($O23="","",IF(INDEX(전체!$H$6:$H$75,$O23)="","",INDEX(전체!$H$6:$H$75,$O23)))</f>
        <v/>
      </c>
      <c r="H23" s="5" t="str">
        <f aca="false">IF($O23="","",IF(INDEX(전체!$I$6:$I$75,$O23)="","",INDEX(전체!$I$6:$I$75,$O23)))</f>
        <v/>
      </c>
      <c r="I23" s="5" t="str">
        <f aca="false">IF($O23="","",IF(INDEX(전체!$J$6:$J$75,$O23)="","",INDEX(전체!$J$6:$J$75,$O23)))</f>
        <v/>
      </c>
      <c r="J23" s="21" t="str">
        <f aca="false">IF($O23="","",IF(INDEX(전체!$K$6:$K$75,$O23)="","",INDEX(전체!$K$6:$K$75,$O23)))</f>
        <v/>
      </c>
      <c r="K23" s="20" t="str">
        <f aca="false">IF($O23="","",IF(INDEX(전체!$L$6:$L$75,$O23)="","",INDEX(전체!$L$6:$L$75,$O23)))</f>
        <v/>
      </c>
      <c r="L23" s="5" t="str">
        <f aca="false">IF($O23="","",IF(INDEX(전체!$M$6:$M$75,$O23)="","",INDEX(전체!$M$6:$M$75,$O23)))</f>
        <v/>
      </c>
      <c r="M23" s="21" t="str">
        <f aca="false">IF($O23="","",IF(INDEX(전체!$N$6:$N$75,$O23)="","",INDEX(전체!$N$6:$N$75,$O23)))</f>
        <v/>
      </c>
      <c r="N23" s="21" t="str">
        <f aca="false">IF($O23="","",IF(INDEX(전체!$O$6:$O$75,$O23)="","",INDEX(전체!$O$6:$O$75,$O23)))</f>
        <v/>
      </c>
      <c r="O23" s="22" t="str">
        <f aca="false">IFERROR(MATCH($R$2&amp;"|"&amp;19,전체!$P$6:$P$75,0),"")</f>
        <v/>
      </c>
    </row>
    <row r="24" customFormat="false" ht="15" hidden="false" customHeight="false" outlineLevel="0" collapsed="false">
      <c r="A24" s="5" t="str">
        <f aca="false">IF($O24="","",20)</f>
        <v/>
      </c>
      <c r="B24" s="20" t="str">
        <f aca="false">IF($O24="","",IF(INDEX(전체!$C$6:$C$75,$O24)="","",INDEX(전체!$C$6:$C$75,$O24)))</f>
        <v/>
      </c>
      <c r="C24" s="21" t="str">
        <f aca="false">IF($O24="","",IF(INDEX(전체!$D$6:$D$75,$O24)="","",INDEX(전체!$D$6:$D$75,$O24)))</f>
        <v/>
      </c>
      <c r="D24" s="5" t="str">
        <f aca="false">IF($O24="","",IF(INDEX(전체!$E$6:$E$75,$O24)="","",INDEX(전체!$E$6:$E$75,$O24)))</f>
        <v/>
      </c>
      <c r="E24" s="5" t="str">
        <f aca="false">IF($O24="","",IF(INDEX(전체!$F$6:$F$75,$O24)="","",INDEX(전체!$F$6:$F$75,$O24)))</f>
        <v/>
      </c>
      <c r="F24" s="21" t="str">
        <f aca="false">IF($O24="","",IF(INDEX(전체!$G$6:$G$75,$O24)="","",INDEX(전체!$G$6:$G$75,$O24)))</f>
        <v/>
      </c>
      <c r="G24" s="21" t="str">
        <f aca="false">IF($O24="","",IF(INDEX(전체!$H$6:$H$75,$O24)="","",INDEX(전체!$H$6:$H$75,$O24)))</f>
        <v/>
      </c>
      <c r="H24" s="5" t="str">
        <f aca="false">IF($O24="","",IF(INDEX(전체!$I$6:$I$75,$O24)="","",INDEX(전체!$I$6:$I$75,$O24)))</f>
        <v/>
      </c>
      <c r="I24" s="5" t="str">
        <f aca="false">IF($O24="","",IF(INDEX(전체!$J$6:$J$75,$O24)="","",INDEX(전체!$J$6:$J$75,$O24)))</f>
        <v/>
      </c>
      <c r="J24" s="21" t="str">
        <f aca="false">IF($O24="","",IF(INDEX(전체!$K$6:$K$75,$O24)="","",INDEX(전체!$K$6:$K$75,$O24)))</f>
        <v/>
      </c>
      <c r="K24" s="20" t="str">
        <f aca="false">IF($O24="","",IF(INDEX(전체!$L$6:$L$75,$O24)="","",INDEX(전체!$L$6:$L$75,$O24)))</f>
        <v/>
      </c>
      <c r="L24" s="5" t="str">
        <f aca="false">IF($O24="","",IF(INDEX(전체!$M$6:$M$75,$O24)="","",INDEX(전체!$M$6:$M$75,$O24)))</f>
        <v/>
      </c>
      <c r="M24" s="21" t="str">
        <f aca="false">IF($O24="","",IF(INDEX(전체!$N$6:$N$75,$O24)="","",INDEX(전체!$N$6:$N$75,$O24)))</f>
        <v/>
      </c>
      <c r="N24" s="21" t="str">
        <f aca="false">IF($O24="","",IF(INDEX(전체!$O$6:$O$75,$O24)="","",INDEX(전체!$O$6:$O$75,$O24)))</f>
        <v/>
      </c>
      <c r="O24" s="22" t="str">
        <f aca="false">IFERROR(MATCH($R$2&amp;"|"&amp;20,전체!$P$6:$P$75,0),"")</f>
        <v/>
      </c>
    </row>
    <row r="25" customFormat="false" ht="15" hidden="false" customHeight="false" outlineLevel="0" collapsed="false">
      <c r="A25" s="5" t="str">
        <f aca="false">IF($O25="","",21)</f>
        <v/>
      </c>
      <c r="B25" s="20" t="str">
        <f aca="false">IF($O25="","",IF(INDEX(전체!$C$6:$C$75,$O25)="","",INDEX(전체!$C$6:$C$75,$O25)))</f>
        <v/>
      </c>
      <c r="C25" s="21" t="str">
        <f aca="false">IF($O25="","",IF(INDEX(전체!$D$6:$D$75,$O25)="","",INDEX(전체!$D$6:$D$75,$O25)))</f>
        <v/>
      </c>
      <c r="D25" s="5" t="str">
        <f aca="false">IF($O25="","",IF(INDEX(전체!$E$6:$E$75,$O25)="","",INDEX(전체!$E$6:$E$75,$O25)))</f>
        <v/>
      </c>
      <c r="E25" s="5" t="str">
        <f aca="false">IF($O25="","",IF(INDEX(전체!$F$6:$F$75,$O25)="","",INDEX(전체!$F$6:$F$75,$O25)))</f>
        <v/>
      </c>
      <c r="F25" s="21" t="str">
        <f aca="false">IF($O25="","",IF(INDEX(전체!$G$6:$G$75,$O25)="","",INDEX(전체!$G$6:$G$75,$O25)))</f>
        <v/>
      </c>
      <c r="G25" s="21" t="str">
        <f aca="false">IF($O25="","",IF(INDEX(전체!$H$6:$H$75,$O25)="","",INDEX(전체!$H$6:$H$75,$O25)))</f>
        <v/>
      </c>
      <c r="H25" s="5" t="str">
        <f aca="false">IF($O25="","",IF(INDEX(전체!$I$6:$I$75,$O25)="","",INDEX(전체!$I$6:$I$75,$O25)))</f>
        <v/>
      </c>
      <c r="I25" s="5" t="str">
        <f aca="false">IF($O25="","",IF(INDEX(전체!$J$6:$J$75,$O25)="","",INDEX(전체!$J$6:$J$75,$O25)))</f>
        <v/>
      </c>
      <c r="J25" s="21" t="str">
        <f aca="false">IF($O25="","",IF(INDEX(전체!$K$6:$K$75,$O25)="","",INDEX(전체!$K$6:$K$75,$O25)))</f>
        <v/>
      </c>
      <c r="K25" s="20" t="str">
        <f aca="false">IF($O25="","",IF(INDEX(전체!$L$6:$L$75,$O25)="","",INDEX(전체!$L$6:$L$75,$O25)))</f>
        <v/>
      </c>
      <c r="L25" s="5" t="str">
        <f aca="false">IF($O25="","",IF(INDEX(전체!$M$6:$M$75,$O25)="","",INDEX(전체!$M$6:$M$75,$O25)))</f>
        <v/>
      </c>
      <c r="M25" s="21" t="str">
        <f aca="false">IF($O25="","",IF(INDEX(전체!$N$6:$N$75,$O25)="","",INDEX(전체!$N$6:$N$75,$O25)))</f>
        <v/>
      </c>
      <c r="N25" s="21" t="str">
        <f aca="false">IF($O25="","",IF(INDEX(전체!$O$6:$O$75,$O25)="","",INDEX(전체!$O$6:$O$75,$O25)))</f>
        <v/>
      </c>
      <c r="O25" s="22" t="str">
        <f aca="false">IFERROR(MATCH($R$2&amp;"|"&amp;21,전체!$P$6:$P$75,0),"")</f>
        <v/>
      </c>
    </row>
    <row r="26" customFormat="false" ht="15" hidden="false" customHeight="false" outlineLevel="0" collapsed="false">
      <c r="A26" s="5" t="str">
        <f aca="false">IF($O26="","",22)</f>
        <v/>
      </c>
      <c r="B26" s="20" t="str">
        <f aca="false">IF($O26="","",IF(INDEX(전체!$C$6:$C$75,$O26)="","",INDEX(전체!$C$6:$C$75,$O26)))</f>
        <v/>
      </c>
      <c r="C26" s="21" t="str">
        <f aca="false">IF($O26="","",IF(INDEX(전체!$D$6:$D$75,$O26)="","",INDEX(전체!$D$6:$D$75,$O26)))</f>
        <v/>
      </c>
      <c r="D26" s="5" t="str">
        <f aca="false">IF($O26="","",IF(INDEX(전체!$E$6:$E$75,$O26)="","",INDEX(전체!$E$6:$E$75,$O26)))</f>
        <v/>
      </c>
      <c r="E26" s="5" t="str">
        <f aca="false">IF($O26="","",IF(INDEX(전체!$F$6:$F$75,$O26)="","",INDEX(전체!$F$6:$F$75,$O26)))</f>
        <v/>
      </c>
      <c r="F26" s="21" t="str">
        <f aca="false">IF($O26="","",IF(INDEX(전체!$G$6:$G$75,$O26)="","",INDEX(전체!$G$6:$G$75,$O26)))</f>
        <v/>
      </c>
      <c r="G26" s="21" t="str">
        <f aca="false">IF($O26="","",IF(INDEX(전체!$H$6:$H$75,$O26)="","",INDEX(전체!$H$6:$H$75,$O26)))</f>
        <v/>
      </c>
      <c r="H26" s="5" t="str">
        <f aca="false">IF($O26="","",IF(INDEX(전체!$I$6:$I$75,$O26)="","",INDEX(전체!$I$6:$I$75,$O26)))</f>
        <v/>
      </c>
      <c r="I26" s="5" t="str">
        <f aca="false">IF($O26="","",IF(INDEX(전체!$J$6:$J$75,$O26)="","",INDEX(전체!$J$6:$J$75,$O26)))</f>
        <v/>
      </c>
      <c r="J26" s="21" t="str">
        <f aca="false">IF($O26="","",IF(INDEX(전체!$K$6:$K$75,$O26)="","",INDEX(전체!$K$6:$K$75,$O26)))</f>
        <v/>
      </c>
      <c r="K26" s="20" t="str">
        <f aca="false">IF($O26="","",IF(INDEX(전체!$L$6:$L$75,$O26)="","",INDEX(전체!$L$6:$L$75,$O26)))</f>
        <v/>
      </c>
      <c r="L26" s="5" t="str">
        <f aca="false">IF($O26="","",IF(INDEX(전체!$M$6:$M$75,$O26)="","",INDEX(전체!$M$6:$M$75,$O26)))</f>
        <v/>
      </c>
      <c r="M26" s="21" t="str">
        <f aca="false">IF($O26="","",IF(INDEX(전체!$N$6:$N$75,$O26)="","",INDEX(전체!$N$6:$N$75,$O26)))</f>
        <v/>
      </c>
      <c r="N26" s="21" t="str">
        <f aca="false">IF($O26="","",IF(INDEX(전체!$O$6:$O$75,$O26)="","",INDEX(전체!$O$6:$O$75,$O26)))</f>
        <v/>
      </c>
      <c r="O26" s="22" t="str">
        <f aca="false">IFERROR(MATCH($R$2&amp;"|"&amp;22,전체!$P$6:$P$75,0),"")</f>
        <v/>
      </c>
    </row>
    <row r="27" customFormat="false" ht="15" hidden="false" customHeight="false" outlineLevel="0" collapsed="false">
      <c r="A27" s="5" t="str">
        <f aca="false">IF($O27="","",23)</f>
        <v/>
      </c>
      <c r="B27" s="20" t="str">
        <f aca="false">IF($O27="","",IF(INDEX(전체!$C$6:$C$75,$O27)="","",INDEX(전체!$C$6:$C$75,$O27)))</f>
        <v/>
      </c>
      <c r="C27" s="21" t="str">
        <f aca="false">IF($O27="","",IF(INDEX(전체!$D$6:$D$75,$O27)="","",INDEX(전체!$D$6:$D$75,$O27)))</f>
        <v/>
      </c>
      <c r="D27" s="5" t="str">
        <f aca="false">IF($O27="","",IF(INDEX(전체!$E$6:$E$75,$O27)="","",INDEX(전체!$E$6:$E$75,$O27)))</f>
        <v/>
      </c>
      <c r="E27" s="5" t="str">
        <f aca="false">IF($O27="","",IF(INDEX(전체!$F$6:$F$75,$O27)="","",INDEX(전체!$F$6:$F$75,$O27)))</f>
        <v/>
      </c>
      <c r="F27" s="21" t="str">
        <f aca="false">IF($O27="","",IF(INDEX(전체!$G$6:$G$75,$O27)="","",INDEX(전체!$G$6:$G$75,$O27)))</f>
        <v/>
      </c>
      <c r="G27" s="21" t="str">
        <f aca="false">IF($O27="","",IF(INDEX(전체!$H$6:$H$75,$O27)="","",INDEX(전체!$H$6:$H$75,$O27)))</f>
        <v/>
      </c>
      <c r="H27" s="5" t="str">
        <f aca="false">IF($O27="","",IF(INDEX(전체!$I$6:$I$75,$O27)="","",INDEX(전체!$I$6:$I$75,$O27)))</f>
        <v/>
      </c>
      <c r="I27" s="5" t="str">
        <f aca="false">IF($O27="","",IF(INDEX(전체!$J$6:$J$75,$O27)="","",INDEX(전체!$J$6:$J$75,$O27)))</f>
        <v/>
      </c>
      <c r="J27" s="21" t="str">
        <f aca="false">IF($O27="","",IF(INDEX(전체!$K$6:$K$75,$O27)="","",INDEX(전체!$K$6:$K$75,$O27)))</f>
        <v/>
      </c>
      <c r="K27" s="20" t="str">
        <f aca="false">IF($O27="","",IF(INDEX(전체!$L$6:$L$75,$O27)="","",INDEX(전체!$L$6:$L$75,$O27)))</f>
        <v/>
      </c>
      <c r="L27" s="5" t="str">
        <f aca="false">IF($O27="","",IF(INDEX(전체!$M$6:$M$75,$O27)="","",INDEX(전체!$M$6:$M$75,$O27)))</f>
        <v/>
      </c>
      <c r="M27" s="21" t="str">
        <f aca="false">IF($O27="","",IF(INDEX(전체!$N$6:$N$75,$O27)="","",INDEX(전체!$N$6:$N$75,$O27)))</f>
        <v/>
      </c>
      <c r="N27" s="21" t="str">
        <f aca="false">IF($O27="","",IF(INDEX(전체!$O$6:$O$75,$O27)="","",INDEX(전체!$O$6:$O$75,$O27)))</f>
        <v/>
      </c>
      <c r="O27" s="22" t="str">
        <f aca="false">IFERROR(MATCH($R$2&amp;"|"&amp;23,전체!$P$6:$P$75,0),"")</f>
        <v/>
      </c>
    </row>
    <row r="28" customFormat="false" ht="15" hidden="false" customHeight="false" outlineLevel="0" collapsed="false">
      <c r="A28" s="5" t="str">
        <f aca="false">IF($O28="","",24)</f>
        <v/>
      </c>
      <c r="B28" s="20" t="str">
        <f aca="false">IF($O28="","",IF(INDEX(전체!$C$6:$C$75,$O28)="","",INDEX(전체!$C$6:$C$75,$O28)))</f>
        <v/>
      </c>
      <c r="C28" s="21" t="str">
        <f aca="false">IF($O28="","",IF(INDEX(전체!$D$6:$D$75,$O28)="","",INDEX(전체!$D$6:$D$75,$O28)))</f>
        <v/>
      </c>
      <c r="D28" s="5" t="str">
        <f aca="false">IF($O28="","",IF(INDEX(전체!$E$6:$E$75,$O28)="","",INDEX(전체!$E$6:$E$75,$O28)))</f>
        <v/>
      </c>
      <c r="E28" s="5" t="str">
        <f aca="false">IF($O28="","",IF(INDEX(전체!$F$6:$F$75,$O28)="","",INDEX(전체!$F$6:$F$75,$O28)))</f>
        <v/>
      </c>
      <c r="F28" s="21" t="str">
        <f aca="false">IF($O28="","",IF(INDEX(전체!$G$6:$G$75,$O28)="","",INDEX(전체!$G$6:$G$75,$O28)))</f>
        <v/>
      </c>
      <c r="G28" s="21" t="str">
        <f aca="false">IF($O28="","",IF(INDEX(전체!$H$6:$H$75,$O28)="","",INDEX(전체!$H$6:$H$75,$O28)))</f>
        <v/>
      </c>
      <c r="H28" s="5" t="str">
        <f aca="false">IF($O28="","",IF(INDEX(전체!$I$6:$I$75,$O28)="","",INDEX(전체!$I$6:$I$75,$O28)))</f>
        <v/>
      </c>
      <c r="I28" s="5" t="str">
        <f aca="false">IF($O28="","",IF(INDEX(전체!$J$6:$J$75,$O28)="","",INDEX(전체!$J$6:$J$75,$O28)))</f>
        <v/>
      </c>
      <c r="J28" s="21" t="str">
        <f aca="false">IF($O28="","",IF(INDEX(전체!$K$6:$K$75,$O28)="","",INDEX(전체!$K$6:$K$75,$O28)))</f>
        <v/>
      </c>
      <c r="K28" s="20" t="str">
        <f aca="false">IF($O28="","",IF(INDEX(전체!$L$6:$L$75,$O28)="","",INDEX(전체!$L$6:$L$75,$O28)))</f>
        <v/>
      </c>
      <c r="L28" s="5" t="str">
        <f aca="false">IF($O28="","",IF(INDEX(전체!$M$6:$M$75,$O28)="","",INDEX(전체!$M$6:$M$75,$O28)))</f>
        <v/>
      </c>
      <c r="M28" s="21" t="str">
        <f aca="false">IF($O28="","",IF(INDEX(전체!$N$6:$N$75,$O28)="","",INDEX(전체!$N$6:$N$75,$O28)))</f>
        <v/>
      </c>
      <c r="N28" s="21" t="str">
        <f aca="false">IF($O28="","",IF(INDEX(전체!$O$6:$O$75,$O28)="","",INDEX(전체!$O$6:$O$75,$O28)))</f>
        <v/>
      </c>
      <c r="O28" s="22" t="str">
        <f aca="false">IFERROR(MATCH($R$2&amp;"|"&amp;24,전체!$P$6:$P$75,0),"")</f>
        <v/>
      </c>
    </row>
    <row r="29" customFormat="false" ht="15" hidden="false" customHeight="false" outlineLevel="0" collapsed="false">
      <c r="A29" s="5" t="str">
        <f aca="false">IF($O29="","",25)</f>
        <v/>
      </c>
      <c r="B29" s="20" t="str">
        <f aca="false">IF($O29="","",IF(INDEX(전체!$C$6:$C$75,$O29)="","",INDEX(전체!$C$6:$C$75,$O29)))</f>
        <v/>
      </c>
      <c r="C29" s="21" t="str">
        <f aca="false">IF($O29="","",IF(INDEX(전체!$D$6:$D$75,$O29)="","",INDEX(전체!$D$6:$D$75,$O29)))</f>
        <v/>
      </c>
      <c r="D29" s="5" t="str">
        <f aca="false">IF($O29="","",IF(INDEX(전체!$E$6:$E$75,$O29)="","",INDEX(전체!$E$6:$E$75,$O29)))</f>
        <v/>
      </c>
      <c r="E29" s="5" t="str">
        <f aca="false">IF($O29="","",IF(INDEX(전체!$F$6:$F$75,$O29)="","",INDEX(전체!$F$6:$F$75,$O29)))</f>
        <v/>
      </c>
      <c r="F29" s="21" t="str">
        <f aca="false">IF($O29="","",IF(INDEX(전체!$G$6:$G$75,$O29)="","",INDEX(전체!$G$6:$G$75,$O29)))</f>
        <v/>
      </c>
      <c r="G29" s="21" t="str">
        <f aca="false">IF($O29="","",IF(INDEX(전체!$H$6:$H$75,$O29)="","",INDEX(전체!$H$6:$H$75,$O29)))</f>
        <v/>
      </c>
      <c r="H29" s="5" t="str">
        <f aca="false">IF($O29="","",IF(INDEX(전체!$I$6:$I$75,$O29)="","",INDEX(전체!$I$6:$I$75,$O29)))</f>
        <v/>
      </c>
      <c r="I29" s="5" t="str">
        <f aca="false">IF($O29="","",IF(INDEX(전체!$J$6:$J$75,$O29)="","",INDEX(전체!$J$6:$J$75,$O29)))</f>
        <v/>
      </c>
      <c r="J29" s="21" t="str">
        <f aca="false">IF($O29="","",IF(INDEX(전체!$K$6:$K$75,$O29)="","",INDEX(전체!$K$6:$K$75,$O29)))</f>
        <v/>
      </c>
      <c r="K29" s="20" t="str">
        <f aca="false">IF($O29="","",IF(INDEX(전체!$L$6:$L$75,$O29)="","",INDEX(전체!$L$6:$L$75,$O29)))</f>
        <v/>
      </c>
      <c r="L29" s="5" t="str">
        <f aca="false">IF($O29="","",IF(INDEX(전체!$M$6:$M$75,$O29)="","",INDEX(전체!$M$6:$M$75,$O29)))</f>
        <v/>
      </c>
      <c r="M29" s="21" t="str">
        <f aca="false">IF($O29="","",IF(INDEX(전체!$N$6:$N$75,$O29)="","",INDEX(전체!$N$6:$N$75,$O29)))</f>
        <v/>
      </c>
      <c r="N29" s="21" t="str">
        <f aca="false">IF($O29="","",IF(INDEX(전체!$O$6:$O$75,$O29)="","",INDEX(전체!$O$6:$O$75,$O29)))</f>
        <v/>
      </c>
      <c r="O29" s="22" t="str">
        <f aca="false">IFERROR(MATCH($R$2&amp;"|"&amp;25,전체!$P$6:$P$75,0),"")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DEBF7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6"/>
  </cols>
  <sheetData>
    <row r="1" customFormat="false" ht="18.55" hidden="false" customHeight="false" outlineLevel="0" collapsed="false">
      <c r="A1" s="1" t="s">
        <v>28</v>
      </c>
      <c r="C1" s="16" t="str">
        <f aca="false">COUNTIF(전체!$B$6:$B$75,"일식")&amp;"곳"</f>
        <v>4곳</v>
      </c>
    </row>
    <row r="2" customFormat="false" ht="15" hidden="false" customHeight="false" outlineLevel="0" collapsed="false">
      <c r="A2" s="17" t="s">
        <v>255</v>
      </c>
      <c r="R2" s="18" t="s">
        <v>28</v>
      </c>
    </row>
    <row r="4" customFormat="false" ht="39.55" hidden="false" customHeight="false" outlineLevel="0" collapsed="false">
      <c r="A4" s="3" t="s">
        <v>3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19" t="s">
        <v>256</v>
      </c>
    </row>
    <row r="5" customFormat="false" ht="15" hidden="false" customHeight="false" outlineLevel="0" collapsed="false">
      <c r="A5" s="5" t="n">
        <f aca="false">IF($O5="","",1)</f>
        <v>1</v>
      </c>
      <c r="B5" s="20" t="str">
        <f aca="false">IF($O5="","",IF(INDEX(전체!$C$6:$C$75,$O5)="","",INDEX(전체!$C$6:$C$75,$O5)))</f>
        <v>리틀훅라멘</v>
      </c>
      <c r="C5" s="21" t="str">
        <f aca="false">IF($O5="","",IF(INDEX(전체!$D$6:$D$75,$O5)="","",INDEX(전체!$D$6:$D$75,$O5)))</f>
        <v>일본식라면</v>
      </c>
      <c r="D5" s="5" t="str">
        <f aca="false">IF($O5="","",IF(INDEX(전체!$E$6:$E$75,$O5)="","",INDEX(전체!$E$6:$E$75,$O5)))</f>
        <v>영업 중</v>
      </c>
      <c r="E5" s="5" t="str">
        <f aca="false">IF($O5="","",IF(INDEX(전체!$F$6:$F$75,$O5)="","",INDEX(전체!$F$6:$F$75,$O5)))</f>
        <v/>
      </c>
      <c r="F5" s="21" t="str">
        <f aca="false">IF($O5="","",IF(INDEX(전체!$G$6:$G$75,$O5)="","",INDEX(전체!$G$6:$G$75,$O5)))</f>
        <v>부산 중구 대청로137번길 4 (중앙동3가 17-1)</v>
      </c>
      <c r="G5" s="21" t="str">
        <f aca="false">IF($O5="","",IF(INDEX(전체!$H$6:$H$75,$O5)="","",INDEX(전체!$H$6:$H$75,$O5)))</f>
        <v>1층</v>
      </c>
      <c r="H5" s="5" t="str">
        <f aca="false">IF($O5="","",IF(INDEX(전체!$I$6:$I$75,$O5)="","",INDEX(전체!$I$6:$I$75,$O5)))</f>
        <v/>
      </c>
      <c r="I5" s="5" t="str">
        <f aca="false">IF($O5="","",IF(INDEX(전체!$J$6:$J$75,$O5)="","",INDEX(전체!$J$6:$J$75,$O5)))</f>
        <v>리뷰 110</v>
      </c>
      <c r="J5" s="21" t="str">
        <f aca="false">IF($O5="","",IF(INDEX(전체!$K$6:$K$75,$O5)="","",INDEX(전체!$K$6:$K$75,$O5)))</f>
        <v/>
      </c>
      <c r="K5" s="20" t="str">
        <f aca="false">IF($O5="","",IF(INDEX(전체!$L$6:$L$75,$O5)="","",INDEX(전체!$L$6:$L$75,$O5)))</f>
        <v>라멘</v>
      </c>
      <c r="L5" s="5" t="str">
        <f aca="false">IF($O5="","",IF(INDEX(전체!$M$6:$M$75,$O5)="","",INDEX(전체!$M$6:$M$75,$O5)))</f>
        <v>9,000~12,000</v>
      </c>
      <c r="M5" s="21" t="str">
        <f aca="false">IF($O5="","",IF(INDEX(전체!$N$6:$N$75,$O5)="","",INDEX(전체!$N$6:$N$75,$O5)))</f>
        <v>고등어의 깊은 맛이 담긴 걸쭉한 스프</v>
      </c>
      <c r="N5" s="21" t="str">
        <f aca="false">IF($O5="","",IF(INDEX(전체!$O$6:$O$75,$O5)="","",INDEX(전체!$O$6:$O$75,$O5)))</f>
        <v>15:00 브레이크타임 / 중앙역 7번 출구 103m</v>
      </c>
      <c r="O5" s="22" t="n">
        <f aca="false">IFERROR(MATCH($R$2&amp;"|"&amp;1,전체!$P$6:$P$75,0),"")</f>
        <v>2</v>
      </c>
    </row>
    <row r="6" customFormat="false" ht="15" hidden="false" customHeight="false" outlineLevel="0" collapsed="false">
      <c r="A6" s="5" t="n">
        <f aca="false">IF($O6="","",2)</f>
        <v>2</v>
      </c>
      <c r="B6" s="20" t="str">
        <f aca="false">IF($O6="","",IF(INDEX(전체!$C$6:$C$75,$O6)="","",INDEX(전체!$C$6:$C$75,$O6)))</f>
        <v>성식당 중앙본점</v>
      </c>
      <c r="C6" s="21" t="str">
        <f aca="false">IF($O6="","",IF(INDEX(전체!$D$6:$D$75,$O6)="","",INDEX(전체!$D$6:$D$75,$O6)))</f>
        <v>초밥,롤</v>
      </c>
      <c r="D6" s="5" t="str">
        <f aca="false">IF($O6="","",IF(INDEX(전체!$E$6:$E$75,$O6)="","",INDEX(전체!$E$6:$E$75,$O6)))</f>
        <v>영업 중</v>
      </c>
      <c r="E6" s="5" t="str">
        <f aca="false">IF($O6="","",IF(INDEX(전체!$F$6:$F$75,$O6)="","",INDEX(전체!$F$6:$F$75,$O6)))</f>
        <v/>
      </c>
      <c r="F6" s="21" t="str">
        <f aca="false">IF($O6="","",IF(INDEX(전체!$G$6:$G$75,$O6)="","",INDEX(전체!$G$6:$G$75,$O6)))</f>
        <v>부산 중구 중앙동3가 14-11</v>
      </c>
      <c r="G6" s="21" t="str">
        <f aca="false">IF($O6="","",IF(INDEX(전체!$H$6:$H$75,$O6)="","",INDEX(전체!$H$6:$H$75,$O6)))</f>
        <v>1층</v>
      </c>
      <c r="H6" s="5" t="str">
        <f aca="false">IF($O6="","",IF(INDEX(전체!$I$6:$I$75,$O6)="","",INDEX(전체!$I$6:$I$75,$O6)))</f>
        <v/>
      </c>
      <c r="I6" s="5" t="str">
        <f aca="false">IF($O6="","",IF(INDEX(전체!$J$6:$J$75,$O6)="","",INDEX(전체!$J$6:$J$75,$O6)))</f>
        <v/>
      </c>
      <c r="J6" s="21" t="str">
        <f aca="false">IF($O6="","",IF(INDEX(전체!$K$6:$K$75,$O6)="","",INDEX(전체!$K$6:$K$75,$O6)))</f>
        <v/>
      </c>
      <c r="K6" s="20" t="str">
        <f aca="false">IF($O6="","",IF(INDEX(전체!$L$6:$L$75,$O6)="","",INDEX(전체!$L$6:$L$75,$O6)))</f>
        <v>연어초밥·롤 세트</v>
      </c>
      <c r="L6" s="5" t="str">
        <f aca="false">IF($O6="","",IF(INDEX(전체!$M$6:$M$75,$O6)="","",INDEX(전체!$M$6:$M$75,$O6)))</f>
        <v>10,000~20,000</v>
      </c>
      <c r="M6" s="21" t="str">
        <f aca="false">IF($O6="","",IF(INDEX(전체!$N$6:$N$75,$O6)="","",INDEX(전체!$N$6:$N$75,$O6)))</f>
        <v>초밥·롤 전문점 (포장 도시락 사진이 많음)</v>
      </c>
      <c r="N6" s="21" t="str">
        <f aca="false">IF($O6="","",IF(INDEX(전체!$O$6:$O$75,$O6)="","",INDEX(전체!$O$6:$O$75,$O6)))</f>
        <v/>
      </c>
      <c r="O6" s="22" t="n">
        <f aca="false">IFERROR(MATCH($R$2&amp;"|"&amp;2,전체!$P$6:$P$75,0),"")</f>
        <v>3</v>
      </c>
    </row>
    <row r="7" customFormat="false" ht="15" hidden="false" customHeight="false" outlineLevel="0" collapsed="false">
      <c r="A7" s="5" t="n">
        <f aca="false">IF($O7="","",3)</f>
        <v>3</v>
      </c>
      <c r="B7" s="20" t="str">
        <f aca="false">IF($O7="","",IF(INDEX(전체!$C$6:$C$75,$O7)="","",INDEX(전체!$C$6:$C$75,$O7)))</f>
        <v>어스</v>
      </c>
      <c r="C7" s="21" t="str">
        <f aca="false">IF($O7="","",IF(INDEX(전체!$D$6:$D$75,$O7)="","",INDEX(전체!$D$6:$D$75,$O7)))</f>
        <v>일식당</v>
      </c>
      <c r="D7" s="5" t="str">
        <f aca="false">IF($O7="","",IF(INDEX(전체!$E$6:$E$75,$O7)="","",INDEX(전체!$E$6:$E$75,$O7)))</f>
        <v>영업 중</v>
      </c>
      <c r="E7" s="5" t="str">
        <f aca="false">IF($O7="","",IF(INDEX(전체!$F$6:$F$75,$O7)="","",INDEX(전체!$F$6:$F$75,$O7)))</f>
        <v/>
      </c>
      <c r="F7" s="21" t="str">
        <f aca="false">IF($O7="","",IF(INDEX(전체!$G$6:$G$75,$O7)="","",INDEX(전체!$G$6:$G$75,$O7)))</f>
        <v>부산 중구 중앙동3가 14-9</v>
      </c>
      <c r="G7" s="21" t="str">
        <f aca="false">IF($O7="","",IF(INDEX(전체!$H$6:$H$75,$O7)="","",INDEX(전체!$H$6:$H$75,$O7)))</f>
        <v>1층</v>
      </c>
      <c r="H7" s="5" t="str">
        <f aca="false">IF($O7="","",IF(INDEX(전체!$I$6:$I$75,$O7)="","",INDEX(전체!$I$6:$I$75,$O7)))</f>
        <v/>
      </c>
      <c r="I7" s="5" t="str">
        <f aca="false">IF($O7="","",IF(INDEX(전체!$J$6:$J$75,$O7)="","",INDEX(전체!$J$6:$J$75,$O7)))</f>
        <v/>
      </c>
      <c r="J7" s="21" t="str">
        <f aca="false">IF($O7="","",IF(INDEX(전체!$K$6:$K$75,$O7)="","",INDEX(전체!$K$6:$K$75,$O7)))</f>
        <v/>
      </c>
      <c r="K7" s="20" t="str">
        <f aca="false">IF($O7="","",IF(INDEX(전체!$L$6:$L$75,$O7)="","",INDEX(전체!$L$6:$L$75,$O7)))</f>
        <v>일식 (메뉴 확인 필요)</v>
      </c>
      <c r="L7" s="5" t="str">
        <f aca="false">IF($O7="","",IF(INDEX(전체!$M$6:$M$75,$O7)="","",INDEX(전체!$M$6:$M$75,$O7)))</f>
        <v/>
      </c>
      <c r="M7" s="21" t="str">
        <f aca="false">IF($O7="","",IF(INDEX(전체!$N$6:$N$75,$O7)="","",INDEX(전체!$N$6:$N$75,$O7)))</f>
        <v>일식당. 메뉴·가격은 확인 필요</v>
      </c>
      <c r="N7" s="21" t="str">
        <f aca="false">IF($O7="","",IF(INDEX(전체!$O$6:$O$75,$O7)="","",INDEX(전체!$O$6:$O$75,$O7)))</f>
        <v/>
      </c>
      <c r="O7" s="22" t="n">
        <f aca="false">IFERROR(MATCH($R$2&amp;"|"&amp;3,전체!$P$6:$P$75,0),"")</f>
        <v>15</v>
      </c>
    </row>
    <row r="8" customFormat="false" ht="26.85" hidden="false" customHeight="false" outlineLevel="0" collapsed="false">
      <c r="A8" s="5" t="n">
        <f aca="false">IF($O8="","",4)</f>
        <v>4</v>
      </c>
      <c r="B8" s="20" t="str">
        <f aca="false">IF($O8="","",IF(INDEX(전체!$C$6:$C$75,$O8)="","",INDEX(전체!$C$6:$C$75,$O8)))</f>
        <v>샤브남바완</v>
      </c>
      <c r="C8" s="21" t="str">
        <f aca="false">IF($O8="","",IF(INDEX(전체!$D$6:$D$75,$O8)="","",INDEX(전체!$D$6:$D$75,$O8)))</f>
        <v>샤브샤브 (추정)</v>
      </c>
      <c r="D8" s="5" t="str">
        <f aca="false">IF($O8="","",IF(INDEX(전체!$E$6:$E$75,$O8)="","",INDEX(전체!$E$6:$E$75,$O8)))</f>
        <v>정보 없음</v>
      </c>
      <c r="E8" s="5" t="str">
        <f aca="false">IF($O8="","",IF(INDEX(전체!$F$6:$F$75,$O8)="","",INDEX(전체!$F$6:$F$75,$O8)))</f>
        <v/>
      </c>
      <c r="F8" s="21" t="str">
        <f aca="false">IF($O8="","",IF(INDEX(전체!$G$6:$G$75,$O8)="","",INDEX(전체!$G$6:$G$75,$O8)))</f>
        <v/>
      </c>
      <c r="G8" s="21" t="str">
        <f aca="false">IF($O8="","",IF(INDEX(전체!$H$6:$H$75,$O8)="","",INDEX(전체!$H$6:$H$75,$O8)))</f>
        <v/>
      </c>
      <c r="H8" s="5" t="str">
        <f aca="false">IF($O8="","",IF(INDEX(전체!$I$6:$I$75,$O8)="","",INDEX(전체!$I$6:$I$75,$O8)))</f>
        <v/>
      </c>
      <c r="I8" s="5" t="str">
        <f aca="false">IF($O8="","",IF(INDEX(전체!$J$6:$J$75,$O8)="","",INDEX(전체!$J$6:$J$75,$O8)))</f>
        <v/>
      </c>
      <c r="J8" s="21" t="str">
        <f aca="false">IF($O8="","",IF(INDEX(전체!$K$6:$K$75,$O8)="","",INDEX(전체!$K$6:$K$75,$O8)))</f>
        <v/>
      </c>
      <c r="K8" s="20" t="str">
        <f aca="false">IF($O8="","",IF(INDEX(전체!$L$6:$L$75,$O8)="","",INDEX(전체!$L$6:$L$75,$O8)))</f>
        <v>샤브샤브 (1인)</v>
      </c>
      <c r="L8" s="5" t="str">
        <f aca="false">IF($O8="","",IF(INDEX(전체!$M$6:$M$75,$O8)="","",INDEX(전체!$M$6:$M$75,$O8)))</f>
        <v>15,000~20,000</v>
      </c>
      <c r="M8" s="21" t="str">
        <f aca="false">IF($O8="","",IF(INDEX(전체!$N$6:$N$75,$O8)="","",INDEX(전체!$N$6:$N$75,$O8)))</f>
        <v>샤브샤브 전문점. 지점·메뉴 확인 필요</v>
      </c>
      <c r="N8" s="21" t="str">
        <f aca="false">IF($O8="","",IF(INDEX(전체!$O$6:$O$75,$O8)="","",INDEX(전체!$O$6:$O$75,$O8)))</f>
        <v>웹검색: 수영구 민락수변로 29 지점만 확인됨 – 광복·중앙동 지점인지 확인 필요</v>
      </c>
      <c r="O8" s="22" t="n">
        <f aca="false">IFERROR(MATCH($R$2&amp;"|"&amp;4,전체!$P$6:$P$75,0),"")</f>
        <v>38</v>
      </c>
    </row>
    <row r="9" customFormat="false" ht="15" hidden="false" customHeight="false" outlineLevel="0" collapsed="false">
      <c r="A9" s="5" t="str">
        <f aca="false">IF($O9="","",5)</f>
        <v/>
      </c>
      <c r="B9" s="20" t="str">
        <f aca="false">IF($O9="","",IF(INDEX(전체!$C$6:$C$75,$O9)="","",INDEX(전체!$C$6:$C$75,$O9)))</f>
        <v/>
      </c>
      <c r="C9" s="21" t="str">
        <f aca="false">IF($O9="","",IF(INDEX(전체!$D$6:$D$75,$O9)="","",INDEX(전체!$D$6:$D$75,$O9)))</f>
        <v/>
      </c>
      <c r="D9" s="5" t="str">
        <f aca="false">IF($O9="","",IF(INDEX(전체!$E$6:$E$75,$O9)="","",INDEX(전체!$E$6:$E$75,$O9)))</f>
        <v/>
      </c>
      <c r="E9" s="5" t="str">
        <f aca="false">IF($O9="","",IF(INDEX(전체!$F$6:$F$75,$O9)="","",INDEX(전체!$F$6:$F$75,$O9)))</f>
        <v/>
      </c>
      <c r="F9" s="21" t="str">
        <f aca="false">IF($O9="","",IF(INDEX(전체!$G$6:$G$75,$O9)="","",INDEX(전체!$G$6:$G$75,$O9)))</f>
        <v/>
      </c>
      <c r="G9" s="21" t="str">
        <f aca="false">IF($O9="","",IF(INDEX(전체!$H$6:$H$75,$O9)="","",INDEX(전체!$H$6:$H$75,$O9)))</f>
        <v/>
      </c>
      <c r="H9" s="5" t="str">
        <f aca="false">IF($O9="","",IF(INDEX(전체!$I$6:$I$75,$O9)="","",INDEX(전체!$I$6:$I$75,$O9)))</f>
        <v/>
      </c>
      <c r="I9" s="5" t="str">
        <f aca="false">IF($O9="","",IF(INDEX(전체!$J$6:$J$75,$O9)="","",INDEX(전체!$J$6:$J$75,$O9)))</f>
        <v/>
      </c>
      <c r="J9" s="21" t="str">
        <f aca="false">IF($O9="","",IF(INDEX(전체!$K$6:$K$75,$O9)="","",INDEX(전체!$K$6:$K$75,$O9)))</f>
        <v/>
      </c>
      <c r="K9" s="20" t="str">
        <f aca="false">IF($O9="","",IF(INDEX(전체!$L$6:$L$75,$O9)="","",INDEX(전체!$L$6:$L$75,$O9)))</f>
        <v/>
      </c>
      <c r="L9" s="5" t="str">
        <f aca="false">IF($O9="","",IF(INDEX(전체!$M$6:$M$75,$O9)="","",INDEX(전체!$M$6:$M$75,$O9)))</f>
        <v/>
      </c>
      <c r="M9" s="21" t="str">
        <f aca="false">IF($O9="","",IF(INDEX(전체!$N$6:$N$75,$O9)="","",INDEX(전체!$N$6:$N$75,$O9)))</f>
        <v/>
      </c>
      <c r="N9" s="21" t="str">
        <f aca="false">IF($O9="","",IF(INDEX(전체!$O$6:$O$75,$O9)="","",INDEX(전체!$O$6:$O$75,$O9)))</f>
        <v/>
      </c>
      <c r="O9" s="22" t="str">
        <f aca="false">IFERROR(MATCH($R$2&amp;"|"&amp;5,전체!$P$6:$P$75,0),"")</f>
        <v/>
      </c>
    </row>
    <row r="10" customFormat="false" ht="15" hidden="false" customHeight="false" outlineLevel="0" collapsed="false">
      <c r="A10" s="5" t="str">
        <f aca="false">IF($O10="","",6)</f>
        <v/>
      </c>
      <c r="B10" s="20" t="str">
        <f aca="false">IF($O10="","",IF(INDEX(전체!$C$6:$C$75,$O10)="","",INDEX(전체!$C$6:$C$75,$O10)))</f>
        <v/>
      </c>
      <c r="C10" s="21" t="str">
        <f aca="false">IF($O10="","",IF(INDEX(전체!$D$6:$D$75,$O10)="","",INDEX(전체!$D$6:$D$75,$O10)))</f>
        <v/>
      </c>
      <c r="D10" s="5" t="str">
        <f aca="false">IF($O10="","",IF(INDEX(전체!$E$6:$E$75,$O10)="","",INDEX(전체!$E$6:$E$75,$O10)))</f>
        <v/>
      </c>
      <c r="E10" s="5" t="str">
        <f aca="false">IF($O10="","",IF(INDEX(전체!$F$6:$F$75,$O10)="","",INDEX(전체!$F$6:$F$75,$O10)))</f>
        <v/>
      </c>
      <c r="F10" s="21" t="str">
        <f aca="false">IF($O10="","",IF(INDEX(전체!$G$6:$G$75,$O10)="","",INDEX(전체!$G$6:$G$75,$O10)))</f>
        <v/>
      </c>
      <c r="G10" s="21" t="str">
        <f aca="false">IF($O10="","",IF(INDEX(전체!$H$6:$H$75,$O10)="","",INDEX(전체!$H$6:$H$75,$O10)))</f>
        <v/>
      </c>
      <c r="H10" s="5" t="str">
        <f aca="false">IF($O10="","",IF(INDEX(전체!$I$6:$I$75,$O10)="","",INDEX(전체!$I$6:$I$75,$O10)))</f>
        <v/>
      </c>
      <c r="I10" s="5" t="str">
        <f aca="false">IF($O10="","",IF(INDEX(전체!$J$6:$J$75,$O10)="","",INDEX(전체!$J$6:$J$75,$O10)))</f>
        <v/>
      </c>
      <c r="J10" s="21" t="str">
        <f aca="false">IF($O10="","",IF(INDEX(전체!$K$6:$K$75,$O10)="","",INDEX(전체!$K$6:$K$75,$O10)))</f>
        <v/>
      </c>
      <c r="K10" s="20" t="str">
        <f aca="false">IF($O10="","",IF(INDEX(전체!$L$6:$L$75,$O10)="","",INDEX(전체!$L$6:$L$75,$O10)))</f>
        <v/>
      </c>
      <c r="L10" s="5" t="str">
        <f aca="false">IF($O10="","",IF(INDEX(전체!$M$6:$M$75,$O10)="","",INDEX(전체!$M$6:$M$75,$O10)))</f>
        <v/>
      </c>
      <c r="M10" s="21" t="str">
        <f aca="false">IF($O10="","",IF(INDEX(전체!$N$6:$N$75,$O10)="","",INDEX(전체!$N$6:$N$75,$O10)))</f>
        <v/>
      </c>
      <c r="N10" s="21" t="str">
        <f aca="false">IF($O10="","",IF(INDEX(전체!$O$6:$O$75,$O10)="","",INDEX(전체!$O$6:$O$75,$O10)))</f>
        <v/>
      </c>
      <c r="O10" s="22" t="str">
        <f aca="false">IFERROR(MATCH($R$2&amp;"|"&amp;6,전체!$P$6:$P$75,0),"")</f>
        <v/>
      </c>
    </row>
    <row r="11" customFormat="false" ht="15" hidden="false" customHeight="false" outlineLevel="0" collapsed="false">
      <c r="A11" s="5" t="str">
        <f aca="false">IF($O11="","",7)</f>
        <v/>
      </c>
      <c r="B11" s="20" t="str">
        <f aca="false">IF($O11="","",IF(INDEX(전체!$C$6:$C$75,$O11)="","",INDEX(전체!$C$6:$C$75,$O11)))</f>
        <v/>
      </c>
      <c r="C11" s="21" t="str">
        <f aca="false">IF($O11="","",IF(INDEX(전체!$D$6:$D$75,$O11)="","",INDEX(전체!$D$6:$D$75,$O11)))</f>
        <v/>
      </c>
      <c r="D11" s="5" t="str">
        <f aca="false">IF($O11="","",IF(INDEX(전체!$E$6:$E$75,$O11)="","",INDEX(전체!$E$6:$E$75,$O11)))</f>
        <v/>
      </c>
      <c r="E11" s="5" t="str">
        <f aca="false">IF($O11="","",IF(INDEX(전체!$F$6:$F$75,$O11)="","",INDEX(전체!$F$6:$F$75,$O11)))</f>
        <v/>
      </c>
      <c r="F11" s="21" t="str">
        <f aca="false">IF($O11="","",IF(INDEX(전체!$G$6:$G$75,$O11)="","",INDEX(전체!$G$6:$G$75,$O11)))</f>
        <v/>
      </c>
      <c r="G11" s="21" t="str">
        <f aca="false">IF($O11="","",IF(INDEX(전체!$H$6:$H$75,$O11)="","",INDEX(전체!$H$6:$H$75,$O11)))</f>
        <v/>
      </c>
      <c r="H11" s="5" t="str">
        <f aca="false">IF($O11="","",IF(INDEX(전체!$I$6:$I$75,$O11)="","",INDEX(전체!$I$6:$I$75,$O11)))</f>
        <v/>
      </c>
      <c r="I11" s="5" t="str">
        <f aca="false">IF($O11="","",IF(INDEX(전체!$J$6:$J$75,$O11)="","",INDEX(전체!$J$6:$J$75,$O11)))</f>
        <v/>
      </c>
      <c r="J11" s="21" t="str">
        <f aca="false">IF($O11="","",IF(INDEX(전체!$K$6:$K$75,$O11)="","",INDEX(전체!$K$6:$K$75,$O11)))</f>
        <v/>
      </c>
      <c r="K11" s="20" t="str">
        <f aca="false">IF($O11="","",IF(INDEX(전체!$L$6:$L$75,$O11)="","",INDEX(전체!$L$6:$L$75,$O11)))</f>
        <v/>
      </c>
      <c r="L11" s="5" t="str">
        <f aca="false">IF($O11="","",IF(INDEX(전체!$M$6:$M$75,$O11)="","",INDEX(전체!$M$6:$M$75,$O11)))</f>
        <v/>
      </c>
      <c r="M11" s="21" t="str">
        <f aca="false">IF($O11="","",IF(INDEX(전체!$N$6:$N$75,$O11)="","",INDEX(전체!$N$6:$N$75,$O11)))</f>
        <v/>
      </c>
      <c r="N11" s="21" t="str">
        <f aca="false">IF($O11="","",IF(INDEX(전체!$O$6:$O$75,$O11)="","",INDEX(전체!$O$6:$O$75,$O11)))</f>
        <v/>
      </c>
      <c r="O11" s="22" t="str">
        <f aca="false">IFERROR(MATCH($R$2&amp;"|"&amp;7,전체!$P$6:$P$75,0),"")</f>
        <v/>
      </c>
    </row>
    <row r="12" customFormat="false" ht="15" hidden="false" customHeight="false" outlineLevel="0" collapsed="false">
      <c r="A12" s="5" t="str">
        <f aca="false">IF($O12="","",8)</f>
        <v/>
      </c>
      <c r="B12" s="20" t="str">
        <f aca="false">IF($O12="","",IF(INDEX(전체!$C$6:$C$75,$O12)="","",INDEX(전체!$C$6:$C$75,$O12)))</f>
        <v/>
      </c>
      <c r="C12" s="21" t="str">
        <f aca="false">IF($O12="","",IF(INDEX(전체!$D$6:$D$75,$O12)="","",INDEX(전체!$D$6:$D$75,$O12)))</f>
        <v/>
      </c>
      <c r="D12" s="5" t="str">
        <f aca="false">IF($O12="","",IF(INDEX(전체!$E$6:$E$75,$O12)="","",INDEX(전체!$E$6:$E$75,$O12)))</f>
        <v/>
      </c>
      <c r="E12" s="5" t="str">
        <f aca="false">IF($O12="","",IF(INDEX(전체!$F$6:$F$75,$O12)="","",INDEX(전체!$F$6:$F$75,$O12)))</f>
        <v/>
      </c>
      <c r="F12" s="21" t="str">
        <f aca="false">IF($O12="","",IF(INDEX(전체!$G$6:$G$75,$O12)="","",INDEX(전체!$G$6:$G$75,$O12)))</f>
        <v/>
      </c>
      <c r="G12" s="21" t="str">
        <f aca="false">IF($O12="","",IF(INDEX(전체!$H$6:$H$75,$O12)="","",INDEX(전체!$H$6:$H$75,$O12)))</f>
        <v/>
      </c>
      <c r="H12" s="5" t="str">
        <f aca="false">IF($O12="","",IF(INDEX(전체!$I$6:$I$75,$O12)="","",INDEX(전체!$I$6:$I$75,$O12)))</f>
        <v/>
      </c>
      <c r="I12" s="5" t="str">
        <f aca="false">IF($O12="","",IF(INDEX(전체!$J$6:$J$75,$O12)="","",INDEX(전체!$J$6:$J$75,$O12)))</f>
        <v/>
      </c>
      <c r="J12" s="21" t="str">
        <f aca="false">IF($O12="","",IF(INDEX(전체!$K$6:$K$75,$O12)="","",INDEX(전체!$K$6:$K$75,$O12)))</f>
        <v/>
      </c>
      <c r="K12" s="20" t="str">
        <f aca="false">IF($O12="","",IF(INDEX(전체!$L$6:$L$75,$O12)="","",INDEX(전체!$L$6:$L$75,$O12)))</f>
        <v/>
      </c>
      <c r="L12" s="5" t="str">
        <f aca="false">IF($O12="","",IF(INDEX(전체!$M$6:$M$75,$O12)="","",INDEX(전체!$M$6:$M$75,$O12)))</f>
        <v/>
      </c>
      <c r="M12" s="21" t="str">
        <f aca="false">IF($O12="","",IF(INDEX(전체!$N$6:$N$75,$O12)="","",INDEX(전체!$N$6:$N$75,$O12)))</f>
        <v/>
      </c>
      <c r="N12" s="21" t="str">
        <f aca="false">IF($O12="","",IF(INDEX(전체!$O$6:$O$75,$O12)="","",INDEX(전체!$O$6:$O$75,$O12)))</f>
        <v/>
      </c>
      <c r="O12" s="22" t="str">
        <f aca="false">IFERROR(MATCH($R$2&amp;"|"&amp;8,전체!$P$6:$P$75,0),"")</f>
        <v/>
      </c>
    </row>
    <row r="13" customFormat="false" ht="15" hidden="false" customHeight="false" outlineLevel="0" collapsed="false">
      <c r="A13" s="5" t="str">
        <f aca="false">IF($O13="","",9)</f>
        <v/>
      </c>
      <c r="B13" s="20" t="str">
        <f aca="false">IF($O13="","",IF(INDEX(전체!$C$6:$C$75,$O13)="","",INDEX(전체!$C$6:$C$75,$O13)))</f>
        <v/>
      </c>
      <c r="C13" s="21" t="str">
        <f aca="false">IF($O13="","",IF(INDEX(전체!$D$6:$D$75,$O13)="","",INDEX(전체!$D$6:$D$75,$O13)))</f>
        <v/>
      </c>
      <c r="D13" s="5" t="str">
        <f aca="false">IF($O13="","",IF(INDEX(전체!$E$6:$E$75,$O13)="","",INDEX(전체!$E$6:$E$75,$O13)))</f>
        <v/>
      </c>
      <c r="E13" s="5" t="str">
        <f aca="false">IF($O13="","",IF(INDEX(전체!$F$6:$F$75,$O13)="","",INDEX(전체!$F$6:$F$75,$O13)))</f>
        <v/>
      </c>
      <c r="F13" s="21" t="str">
        <f aca="false">IF($O13="","",IF(INDEX(전체!$G$6:$G$75,$O13)="","",INDEX(전체!$G$6:$G$75,$O13)))</f>
        <v/>
      </c>
      <c r="G13" s="21" t="str">
        <f aca="false">IF($O13="","",IF(INDEX(전체!$H$6:$H$75,$O13)="","",INDEX(전체!$H$6:$H$75,$O13)))</f>
        <v/>
      </c>
      <c r="H13" s="5" t="str">
        <f aca="false">IF($O13="","",IF(INDEX(전체!$I$6:$I$75,$O13)="","",INDEX(전체!$I$6:$I$75,$O13)))</f>
        <v/>
      </c>
      <c r="I13" s="5" t="str">
        <f aca="false">IF($O13="","",IF(INDEX(전체!$J$6:$J$75,$O13)="","",INDEX(전체!$J$6:$J$75,$O13)))</f>
        <v/>
      </c>
      <c r="J13" s="21" t="str">
        <f aca="false">IF($O13="","",IF(INDEX(전체!$K$6:$K$75,$O13)="","",INDEX(전체!$K$6:$K$75,$O13)))</f>
        <v/>
      </c>
      <c r="K13" s="20" t="str">
        <f aca="false">IF($O13="","",IF(INDEX(전체!$L$6:$L$75,$O13)="","",INDEX(전체!$L$6:$L$75,$O13)))</f>
        <v/>
      </c>
      <c r="L13" s="5" t="str">
        <f aca="false">IF($O13="","",IF(INDEX(전체!$M$6:$M$75,$O13)="","",INDEX(전체!$M$6:$M$75,$O13)))</f>
        <v/>
      </c>
      <c r="M13" s="21" t="str">
        <f aca="false">IF($O13="","",IF(INDEX(전체!$N$6:$N$75,$O13)="","",INDEX(전체!$N$6:$N$75,$O13)))</f>
        <v/>
      </c>
      <c r="N13" s="21" t="str">
        <f aca="false">IF($O13="","",IF(INDEX(전체!$O$6:$O$75,$O13)="","",INDEX(전체!$O$6:$O$75,$O13)))</f>
        <v/>
      </c>
      <c r="O13" s="22" t="str">
        <f aca="false">IFERROR(MATCH($R$2&amp;"|"&amp;9,전체!$P$6:$P$75,0),"")</f>
        <v/>
      </c>
    </row>
    <row r="14" customFormat="false" ht="15" hidden="false" customHeight="false" outlineLevel="0" collapsed="false">
      <c r="A14" s="5" t="str">
        <f aca="false">IF($O14="","",10)</f>
        <v/>
      </c>
      <c r="B14" s="20" t="str">
        <f aca="false">IF($O14="","",IF(INDEX(전체!$C$6:$C$75,$O14)="","",INDEX(전체!$C$6:$C$75,$O14)))</f>
        <v/>
      </c>
      <c r="C14" s="21" t="str">
        <f aca="false">IF($O14="","",IF(INDEX(전체!$D$6:$D$75,$O14)="","",INDEX(전체!$D$6:$D$75,$O14)))</f>
        <v/>
      </c>
      <c r="D14" s="5" t="str">
        <f aca="false">IF($O14="","",IF(INDEX(전체!$E$6:$E$75,$O14)="","",INDEX(전체!$E$6:$E$75,$O14)))</f>
        <v/>
      </c>
      <c r="E14" s="5" t="str">
        <f aca="false">IF($O14="","",IF(INDEX(전체!$F$6:$F$75,$O14)="","",INDEX(전체!$F$6:$F$75,$O14)))</f>
        <v/>
      </c>
      <c r="F14" s="21" t="str">
        <f aca="false">IF($O14="","",IF(INDEX(전체!$G$6:$G$75,$O14)="","",INDEX(전체!$G$6:$G$75,$O14)))</f>
        <v/>
      </c>
      <c r="G14" s="21" t="str">
        <f aca="false">IF($O14="","",IF(INDEX(전체!$H$6:$H$75,$O14)="","",INDEX(전체!$H$6:$H$75,$O14)))</f>
        <v/>
      </c>
      <c r="H14" s="5" t="str">
        <f aca="false">IF($O14="","",IF(INDEX(전체!$I$6:$I$75,$O14)="","",INDEX(전체!$I$6:$I$75,$O14)))</f>
        <v/>
      </c>
      <c r="I14" s="5" t="str">
        <f aca="false">IF($O14="","",IF(INDEX(전체!$J$6:$J$75,$O14)="","",INDEX(전체!$J$6:$J$75,$O14)))</f>
        <v/>
      </c>
      <c r="J14" s="21" t="str">
        <f aca="false">IF($O14="","",IF(INDEX(전체!$K$6:$K$75,$O14)="","",INDEX(전체!$K$6:$K$75,$O14)))</f>
        <v/>
      </c>
      <c r="K14" s="20" t="str">
        <f aca="false">IF($O14="","",IF(INDEX(전체!$L$6:$L$75,$O14)="","",INDEX(전체!$L$6:$L$75,$O14)))</f>
        <v/>
      </c>
      <c r="L14" s="5" t="str">
        <f aca="false">IF($O14="","",IF(INDEX(전체!$M$6:$M$75,$O14)="","",INDEX(전체!$M$6:$M$75,$O14)))</f>
        <v/>
      </c>
      <c r="M14" s="21" t="str">
        <f aca="false">IF($O14="","",IF(INDEX(전체!$N$6:$N$75,$O14)="","",INDEX(전체!$N$6:$N$75,$O14)))</f>
        <v/>
      </c>
      <c r="N14" s="21" t="str">
        <f aca="false">IF($O14="","",IF(INDEX(전체!$O$6:$O$75,$O14)="","",INDEX(전체!$O$6:$O$75,$O14)))</f>
        <v/>
      </c>
      <c r="O14" s="22" t="str">
        <f aca="false">IFERROR(MATCH($R$2&amp;"|"&amp;10,전체!$P$6:$P$75,0),"")</f>
        <v/>
      </c>
    </row>
    <row r="15" customFormat="false" ht="15" hidden="false" customHeight="false" outlineLevel="0" collapsed="false">
      <c r="A15" s="5" t="str">
        <f aca="false">IF($O15="","",11)</f>
        <v/>
      </c>
      <c r="B15" s="20" t="str">
        <f aca="false">IF($O15="","",IF(INDEX(전체!$C$6:$C$75,$O15)="","",INDEX(전체!$C$6:$C$75,$O15)))</f>
        <v/>
      </c>
      <c r="C15" s="21" t="str">
        <f aca="false">IF($O15="","",IF(INDEX(전체!$D$6:$D$75,$O15)="","",INDEX(전체!$D$6:$D$75,$O15)))</f>
        <v/>
      </c>
      <c r="D15" s="5" t="str">
        <f aca="false">IF($O15="","",IF(INDEX(전체!$E$6:$E$75,$O15)="","",INDEX(전체!$E$6:$E$75,$O15)))</f>
        <v/>
      </c>
      <c r="E15" s="5" t="str">
        <f aca="false">IF($O15="","",IF(INDEX(전체!$F$6:$F$75,$O15)="","",INDEX(전체!$F$6:$F$75,$O15)))</f>
        <v/>
      </c>
      <c r="F15" s="21" t="str">
        <f aca="false">IF($O15="","",IF(INDEX(전체!$G$6:$G$75,$O15)="","",INDEX(전체!$G$6:$G$75,$O15)))</f>
        <v/>
      </c>
      <c r="G15" s="21" t="str">
        <f aca="false">IF($O15="","",IF(INDEX(전체!$H$6:$H$75,$O15)="","",INDEX(전체!$H$6:$H$75,$O15)))</f>
        <v/>
      </c>
      <c r="H15" s="5" t="str">
        <f aca="false">IF($O15="","",IF(INDEX(전체!$I$6:$I$75,$O15)="","",INDEX(전체!$I$6:$I$75,$O15)))</f>
        <v/>
      </c>
      <c r="I15" s="5" t="str">
        <f aca="false">IF($O15="","",IF(INDEX(전체!$J$6:$J$75,$O15)="","",INDEX(전체!$J$6:$J$75,$O15)))</f>
        <v/>
      </c>
      <c r="J15" s="21" t="str">
        <f aca="false">IF($O15="","",IF(INDEX(전체!$K$6:$K$75,$O15)="","",INDEX(전체!$K$6:$K$75,$O15)))</f>
        <v/>
      </c>
      <c r="K15" s="20" t="str">
        <f aca="false">IF($O15="","",IF(INDEX(전체!$L$6:$L$75,$O15)="","",INDEX(전체!$L$6:$L$75,$O15)))</f>
        <v/>
      </c>
      <c r="L15" s="5" t="str">
        <f aca="false">IF($O15="","",IF(INDEX(전체!$M$6:$M$75,$O15)="","",INDEX(전체!$M$6:$M$75,$O15)))</f>
        <v/>
      </c>
      <c r="M15" s="21" t="str">
        <f aca="false">IF($O15="","",IF(INDEX(전체!$N$6:$N$75,$O15)="","",INDEX(전체!$N$6:$N$75,$O15)))</f>
        <v/>
      </c>
      <c r="N15" s="21" t="str">
        <f aca="false">IF($O15="","",IF(INDEX(전체!$O$6:$O$75,$O15)="","",INDEX(전체!$O$6:$O$75,$O15)))</f>
        <v/>
      </c>
      <c r="O15" s="22" t="str">
        <f aca="false">IFERROR(MATCH($R$2&amp;"|"&amp;11,전체!$P$6:$P$75,0),"")</f>
        <v/>
      </c>
    </row>
    <row r="16" customFormat="false" ht="15" hidden="false" customHeight="false" outlineLevel="0" collapsed="false">
      <c r="A16" s="5" t="str">
        <f aca="false">IF($O16="","",12)</f>
        <v/>
      </c>
      <c r="B16" s="20" t="str">
        <f aca="false">IF($O16="","",IF(INDEX(전체!$C$6:$C$75,$O16)="","",INDEX(전체!$C$6:$C$75,$O16)))</f>
        <v/>
      </c>
      <c r="C16" s="21" t="str">
        <f aca="false">IF($O16="","",IF(INDEX(전체!$D$6:$D$75,$O16)="","",INDEX(전체!$D$6:$D$75,$O16)))</f>
        <v/>
      </c>
      <c r="D16" s="5" t="str">
        <f aca="false">IF($O16="","",IF(INDEX(전체!$E$6:$E$75,$O16)="","",INDEX(전체!$E$6:$E$75,$O16)))</f>
        <v/>
      </c>
      <c r="E16" s="5" t="str">
        <f aca="false">IF($O16="","",IF(INDEX(전체!$F$6:$F$75,$O16)="","",INDEX(전체!$F$6:$F$75,$O16)))</f>
        <v/>
      </c>
      <c r="F16" s="21" t="str">
        <f aca="false">IF($O16="","",IF(INDEX(전체!$G$6:$G$75,$O16)="","",INDEX(전체!$G$6:$G$75,$O16)))</f>
        <v/>
      </c>
      <c r="G16" s="21" t="str">
        <f aca="false">IF($O16="","",IF(INDEX(전체!$H$6:$H$75,$O16)="","",INDEX(전체!$H$6:$H$75,$O16)))</f>
        <v/>
      </c>
      <c r="H16" s="5" t="str">
        <f aca="false">IF($O16="","",IF(INDEX(전체!$I$6:$I$75,$O16)="","",INDEX(전체!$I$6:$I$75,$O16)))</f>
        <v/>
      </c>
      <c r="I16" s="5" t="str">
        <f aca="false">IF($O16="","",IF(INDEX(전체!$J$6:$J$75,$O16)="","",INDEX(전체!$J$6:$J$75,$O16)))</f>
        <v/>
      </c>
      <c r="J16" s="21" t="str">
        <f aca="false">IF($O16="","",IF(INDEX(전체!$K$6:$K$75,$O16)="","",INDEX(전체!$K$6:$K$75,$O16)))</f>
        <v/>
      </c>
      <c r="K16" s="20" t="str">
        <f aca="false">IF($O16="","",IF(INDEX(전체!$L$6:$L$75,$O16)="","",INDEX(전체!$L$6:$L$75,$O16)))</f>
        <v/>
      </c>
      <c r="L16" s="5" t="str">
        <f aca="false">IF($O16="","",IF(INDEX(전체!$M$6:$M$75,$O16)="","",INDEX(전체!$M$6:$M$75,$O16)))</f>
        <v/>
      </c>
      <c r="M16" s="21" t="str">
        <f aca="false">IF($O16="","",IF(INDEX(전체!$N$6:$N$75,$O16)="","",INDEX(전체!$N$6:$N$75,$O16)))</f>
        <v/>
      </c>
      <c r="N16" s="21" t="str">
        <f aca="false">IF($O16="","",IF(INDEX(전체!$O$6:$O$75,$O16)="","",INDEX(전체!$O$6:$O$75,$O16)))</f>
        <v/>
      </c>
      <c r="O16" s="22" t="str">
        <f aca="false">IFERROR(MATCH($R$2&amp;"|"&amp;12,전체!$P$6:$P$75,0),"")</f>
        <v/>
      </c>
    </row>
    <row r="17" customFormat="false" ht="15" hidden="false" customHeight="false" outlineLevel="0" collapsed="false">
      <c r="A17" s="5" t="str">
        <f aca="false">IF($O17="","",13)</f>
        <v/>
      </c>
      <c r="B17" s="20" t="str">
        <f aca="false">IF($O17="","",IF(INDEX(전체!$C$6:$C$75,$O17)="","",INDEX(전체!$C$6:$C$75,$O17)))</f>
        <v/>
      </c>
      <c r="C17" s="21" t="str">
        <f aca="false">IF($O17="","",IF(INDEX(전체!$D$6:$D$75,$O17)="","",INDEX(전체!$D$6:$D$75,$O17)))</f>
        <v/>
      </c>
      <c r="D17" s="5" t="str">
        <f aca="false">IF($O17="","",IF(INDEX(전체!$E$6:$E$75,$O17)="","",INDEX(전체!$E$6:$E$75,$O17)))</f>
        <v/>
      </c>
      <c r="E17" s="5" t="str">
        <f aca="false">IF($O17="","",IF(INDEX(전체!$F$6:$F$75,$O17)="","",INDEX(전체!$F$6:$F$75,$O17)))</f>
        <v/>
      </c>
      <c r="F17" s="21" t="str">
        <f aca="false">IF($O17="","",IF(INDEX(전체!$G$6:$G$75,$O17)="","",INDEX(전체!$G$6:$G$75,$O17)))</f>
        <v/>
      </c>
      <c r="G17" s="21" t="str">
        <f aca="false">IF($O17="","",IF(INDEX(전체!$H$6:$H$75,$O17)="","",INDEX(전체!$H$6:$H$75,$O17)))</f>
        <v/>
      </c>
      <c r="H17" s="5" t="str">
        <f aca="false">IF($O17="","",IF(INDEX(전체!$I$6:$I$75,$O17)="","",INDEX(전체!$I$6:$I$75,$O17)))</f>
        <v/>
      </c>
      <c r="I17" s="5" t="str">
        <f aca="false">IF($O17="","",IF(INDEX(전체!$J$6:$J$75,$O17)="","",INDEX(전체!$J$6:$J$75,$O17)))</f>
        <v/>
      </c>
      <c r="J17" s="21" t="str">
        <f aca="false">IF($O17="","",IF(INDEX(전체!$K$6:$K$75,$O17)="","",INDEX(전체!$K$6:$K$75,$O17)))</f>
        <v/>
      </c>
      <c r="K17" s="20" t="str">
        <f aca="false">IF($O17="","",IF(INDEX(전체!$L$6:$L$75,$O17)="","",INDEX(전체!$L$6:$L$75,$O17)))</f>
        <v/>
      </c>
      <c r="L17" s="5" t="str">
        <f aca="false">IF($O17="","",IF(INDEX(전체!$M$6:$M$75,$O17)="","",INDEX(전체!$M$6:$M$75,$O17)))</f>
        <v/>
      </c>
      <c r="M17" s="21" t="str">
        <f aca="false">IF($O17="","",IF(INDEX(전체!$N$6:$N$75,$O17)="","",INDEX(전체!$N$6:$N$75,$O17)))</f>
        <v/>
      </c>
      <c r="N17" s="21" t="str">
        <f aca="false">IF($O17="","",IF(INDEX(전체!$O$6:$O$75,$O17)="","",INDEX(전체!$O$6:$O$75,$O17)))</f>
        <v/>
      </c>
      <c r="O17" s="22" t="str">
        <f aca="false">IFERROR(MATCH($R$2&amp;"|"&amp;13,전체!$P$6:$P$75,0),"")</f>
        <v/>
      </c>
    </row>
    <row r="18" customFormat="false" ht="15" hidden="false" customHeight="false" outlineLevel="0" collapsed="false">
      <c r="A18" s="5" t="str">
        <f aca="false">IF($O18="","",14)</f>
        <v/>
      </c>
      <c r="B18" s="20" t="str">
        <f aca="false">IF($O18="","",IF(INDEX(전체!$C$6:$C$75,$O18)="","",INDEX(전체!$C$6:$C$75,$O18)))</f>
        <v/>
      </c>
      <c r="C18" s="21" t="str">
        <f aca="false">IF($O18="","",IF(INDEX(전체!$D$6:$D$75,$O18)="","",INDEX(전체!$D$6:$D$75,$O18)))</f>
        <v/>
      </c>
      <c r="D18" s="5" t="str">
        <f aca="false">IF($O18="","",IF(INDEX(전체!$E$6:$E$75,$O18)="","",INDEX(전체!$E$6:$E$75,$O18)))</f>
        <v/>
      </c>
      <c r="E18" s="5" t="str">
        <f aca="false">IF($O18="","",IF(INDEX(전체!$F$6:$F$75,$O18)="","",INDEX(전체!$F$6:$F$75,$O18)))</f>
        <v/>
      </c>
      <c r="F18" s="21" t="str">
        <f aca="false">IF($O18="","",IF(INDEX(전체!$G$6:$G$75,$O18)="","",INDEX(전체!$G$6:$G$75,$O18)))</f>
        <v/>
      </c>
      <c r="G18" s="21" t="str">
        <f aca="false">IF($O18="","",IF(INDEX(전체!$H$6:$H$75,$O18)="","",INDEX(전체!$H$6:$H$75,$O18)))</f>
        <v/>
      </c>
      <c r="H18" s="5" t="str">
        <f aca="false">IF($O18="","",IF(INDEX(전체!$I$6:$I$75,$O18)="","",INDEX(전체!$I$6:$I$75,$O18)))</f>
        <v/>
      </c>
      <c r="I18" s="5" t="str">
        <f aca="false">IF($O18="","",IF(INDEX(전체!$J$6:$J$75,$O18)="","",INDEX(전체!$J$6:$J$75,$O18)))</f>
        <v/>
      </c>
      <c r="J18" s="21" t="str">
        <f aca="false">IF($O18="","",IF(INDEX(전체!$K$6:$K$75,$O18)="","",INDEX(전체!$K$6:$K$75,$O18)))</f>
        <v/>
      </c>
      <c r="K18" s="20" t="str">
        <f aca="false">IF($O18="","",IF(INDEX(전체!$L$6:$L$75,$O18)="","",INDEX(전체!$L$6:$L$75,$O18)))</f>
        <v/>
      </c>
      <c r="L18" s="5" t="str">
        <f aca="false">IF($O18="","",IF(INDEX(전체!$M$6:$M$75,$O18)="","",INDEX(전체!$M$6:$M$75,$O18)))</f>
        <v/>
      </c>
      <c r="M18" s="21" t="str">
        <f aca="false">IF($O18="","",IF(INDEX(전체!$N$6:$N$75,$O18)="","",INDEX(전체!$N$6:$N$75,$O18)))</f>
        <v/>
      </c>
      <c r="N18" s="21" t="str">
        <f aca="false">IF($O18="","",IF(INDEX(전체!$O$6:$O$75,$O18)="","",INDEX(전체!$O$6:$O$75,$O18)))</f>
        <v/>
      </c>
      <c r="O18" s="22" t="str">
        <f aca="false">IFERROR(MATCH($R$2&amp;"|"&amp;14,전체!$P$6:$P$75,0),"")</f>
        <v/>
      </c>
    </row>
    <row r="19" customFormat="false" ht="15" hidden="false" customHeight="false" outlineLevel="0" collapsed="false">
      <c r="A19" s="5" t="str">
        <f aca="false">IF($O19="","",15)</f>
        <v/>
      </c>
      <c r="B19" s="20" t="str">
        <f aca="false">IF($O19="","",IF(INDEX(전체!$C$6:$C$75,$O19)="","",INDEX(전체!$C$6:$C$75,$O19)))</f>
        <v/>
      </c>
      <c r="C19" s="21" t="str">
        <f aca="false">IF($O19="","",IF(INDEX(전체!$D$6:$D$75,$O19)="","",INDEX(전체!$D$6:$D$75,$O19)))</f>
        <v/>
      </c>
      <c r="D19" s="5" t="str">
        <f aca="false">IF($O19="","",IF(INDEX(전체!$E$6:$E$75,$O19)="","",INDEX(전체!$E$6:$E$75,$O19)))</f>
        <v/>
      </c>
      <c r="E19" s="5" t="str">
        <f aca="false">IF($O19="","",IF(INDEX(전체!$F$6:$F$75,$O19)="","",INDEX(전체!$F$6:$F$75,$O19)))</f>
        <v/>
      </c>
      <c r="F19" s="21" t="str">
        <f aca="false">IF($O19="","",IF(INDEX(전체!$G$6:$G$75,$O19)="","",INDEX(전체!$G$6:$G$75,$O19)))</f>
        <v/>
      </c>
      <c r="G19" s="21" t="str">
        <f aca="false">IF($O19="","",IF(INDEX(전체!$H$6:$H$75,$O19)="","",INDEX(전체!$H$6:$H$75,$O19)))</f>
        <v/>
      </c>
      <c r="H19" s="5" t="str">
        <f aca="false">IF($O19="","",IF(INDEX(전체!$I$6:$I$75,$O19)="","",INDEX(전체!$I$6:$I$75,$O19)))</f>
        <v/>
      </c>
      <c r="I19" s="5" t="str">
        <f aca="false">IF($O19="","",IF(INDEX(전체!$J$6:$J$75,$O19)="","",INDEX(전체!$J$6:$J$75,$O19)))</f>
        <v/>
      </c>
      <c r="J19" s="21" t="str">
        <f aca="false">IF($O19="","",IF(INDEX(전체!$K$6:$K$75,$O19)="","",INDEX(전체!$K$6:$K$75,$O19)))</f>
        <v/>
      </c>
      <c r="K19" s="20" t="str">
        <f aca="false">IF($O19="","",IF(INDEX(전체!$L$6:$L$75,$O19)="","",INDEX(전체!$L$6:$L$75,$O19)))</f>
        <v/>
      </c>
      <c r="L19" s="5" t="str">
        <f aca="false">IF($O19="","",IF(INDEX(전체!$M$6:$M$75,$O19)="","",INDEX(전체!$M$6:$M$75,$O19)))</f>
        <v/>
      </c>
      <c r="M19" s="21" t="str">
        <f aca="false">IF($O19="","",IF(INDEX(전체!$N$6:$N$75,$O19)="","",INDEX(전체!$N$6:$N$75,$O19)))</f>
        <v/>
      </c>
      <c r="N19" s="21" t="str">
        <f aca="false">IF($O19="","",IF(INDEX(전체!$O$6:$O$75,$O19)="","",INDEX(전체!$O$6:$O$75,$O19)))</f>
        <v/>
      </c>
      <c r="O19" s="22" t="str">
        <f aca="false">IFERROR(MATCH($R$2&amp;"|"&amp;15,전체!$P$6:$P$75,0),"")</f>
        <v/>
      </c>
    </row>
    <row r="20" customFormat="false" ht="15" hidden="false" customHeight="false" outlineLevel="0" collapsed="false">
      <c r="A20" s="5" t="str">
        <f aca="false">IF($O20="","",16)</f>
        <v/>
      </c>
      <c r="B20" s="20" t="str">
        <f aca="false">IF($O20="","",IF(INDEX(전체!$C$6:$C$75,$O20)="","",INDEX(전체!$C$6:$C$75,$O20)))</f>
        <v/>
      </c>
      <c r="C20" s="21" t="str">
        <f aca="false">IF($O20="","",IF(INDEX(전체!$D$6:$D$75,$O20)="","",INDEX(전체!$D$6:$D$75,$O20)))</f>
        <v/>
      </c>
      <c r="D20" s="5" t="str">
        <f aca="false">IF($O20="","",IF(INDEX(전체!$E$6:$E$75,$O20)="","",INDEX(전체!$E$6:$E$75,$O20)))</f>
        <v/>
      </c>
      <c r="E20" s="5" t="str">
        <f aca="false">IF($O20="","",IF(INDEX(전체!$F$6:$F$75,$O20)="","",INDEX(전체!$F$6:$F$75,$O20)))</f>
        <v/>
      </c>
      <c r="F20" s="21" t="str">
        <f aca="false">IF($O20="","",IF(INDEX(전체!$G$6:$G$75,$O20)="","",INDEX(전체!$G$6:$G$75,$O20)))</f>
        <v/>
      </c>
      <c r="G20" s="21" t="str">
        <f aca="false">IF($O20="","",IF(INDEX(전체!$H$6:$H$75,$O20)="","",INDEX(전체!$H$6:$H$75,$O20)))</f>
        <v/>
      </c>
      <c r="H20" s="5" t="str">
        <f aca="false">IF($O20="","",IF(INDEX(전체!$I$6:$I$75,$O20)="","",INDEX(전체!$I$6:$I$75,$O20)))</f>
        <v/>
      </c>
      <c r="I20" s="5" t="str">
        <f aca="false">IF($O20="","",IF(INDEX(전체!$J$6:$J$75,$O20)="","",INDEX(전체!$J$6:$J$75,$O20)))</f>
        <v/>
      </c>
      <c r="J20" s="21" t="str">
        <f aca="false">IF($O20="","",IF(INDEX(전체!$K$6:$K$75,$O20)="","",INDEX(전체!$K$6:$K$75,$O20)))</f>
        <v/>
      </c>
      <c r="K20" s="20" t="str">
        <f aca="false">IF($O20="","",IF(INDEX(전체!$L$6:$L$75,$O20)="","",INDEX(전체!$L$6:$L$75,$O20)))</f>
        <v/>
      </c>
      <c r="L20" s="5" t="str">
        <f aca="false">IF($O20="","",IF(INDEX(전체!$M$6:$M$75,$O20)="","",INDEX(전체!$M$6:$M$75,$O20)))</f>
        <v/>
      </c>
      <c r="M20" s="21" t="str">
        <f aca="false">IF($O20="","",IF(INDEX(전체!$N$6:$N$75,$O20)="","",INDEX(전체!$N$6:$N$75,$O20)))</f>
        <v/>
      </c>
      <c r="N20" s="21" t="str">
        <f aca="false">IF($O20="","",IF(INDEX(전체!$O$6:$O$75,$O20)="","",INDEX(전체!$O$6:$O$75,$O20)))</f>
        <v/>
      </c>
      <c r="O20" s="22" t="str">
        <f aca="false">IFERROR(MATCH($R$2&amp;"|"&amp;16,전체!$P$6:$P$75,0),"")</f>
        <v/>
      </c>
    </row>
    <row r="21" customFormat="false" ht="15" hidden="false" customHeight="false" outlineLevel="0" collapsed="false">
      <c r="A21" s="5" t="str">
        <f aca="false">IF($O21="","",17)</f>
        <v/>
      </c>
      <c r="B21" s="20" t="str">
        <f aca="false">IF($O21="","",IF(INDEX(전체!$C$6:$C$75,$O21)="","",INDEX(전체!$C$6:$C$75,$O21)))</f>
        <v/>
      </c>
      <c r="C21" s="21" t="str">
        <f aca="false">IF($O21="","",IF(INDEX(전체!$D$6:$D$75,$O21)="","",INDEX(전체!$D$6:$D$75,$O21)))</f>
        <v/>
      </c>
      <c r="D21" s="5" t="str">
        <f aca="false">IF($O21="","",IF(INDEX(전체!$E$6:$E$75,$O21)="","",INDEX(전체!$E$6:$E$75,$O21)))</f>
        <v/>
      </c>
      <c r="E21" s="5" t="str">
        <f aca="false">IF($O21="","",IF(INDEX(전체!$F$6:$F$75,$O21)="","",INDEX(전체!$F$6:$F$75,$O21)))</f>
        <v/>
      </c>
      <c r="F21" s="21" t="str">
        <f aca="false">IF($O21="","",IF(INDEX(전체!$G$6:$G$75,$O21)="","",INDEX(전체!$G$6:$G$75,$O21)))</f>
        <v/>
      </c>
      <c r="G21" s="21" t="str">
        <f aca="false">IF($O21="","",IF(INDEX(전체!$H$6:$H$75,$O21)="","",INDEX(전체!$H$6:$H$75,$O21)))</f>
        <v/>
      </c>
      <c r="H21" s="5" t="str">
        <f aca="false">IF($O21="","",IF(INDEX(전체!$I$6:$I$75,$O21)="","",INDEX(전체!$I$6:$I$75,$O21)))</f>
        <v/>
      </c>
      <c r="I21" s="5" t="str">
        <f aca="false">IF($O21="","",IF(INDEX(전체!$J$6:$J$75,$O21)="","",INDEX(전체!$J$6:$J$75,$O21)))</f>
        <v/>
      </c>
      <c r="J21" s="21" t="str">
        <f aca="false">IF($O21="","",IF(INDEX(전체!$K$6:$K$75,$O21)="","",INDEX(전체!$K$6:$K$75,$O21)))</f>
        <v/>
      </c>
      <c r="K21" s="20" t="str">
        <f aca="false">IF($O21="","",IF(INDEX(전체!$L$6:$L$75,$O21)="","",INDEX(전체!$L$6:$L$75,$O21)))</f>
        <v/>
      </c>
      <c r="L21" s="5" t="str">
        <f aca="false">IF($O21="","",IF(INDEX(전체!$M$6:$M$75,$O21)="","",INDEX(전체!$M$6:$M$75,$O21)))</f>
        <v/>
      </c>
      <c r="M21" s="21" t="str">
        <f aca="false">IF($O21="","",IF(INDEX(전체!$N$6:$N$75,$O21)="","",INDEX(전체!$N$6:$N$75,$O21)))</f>
        <v/>
      </c>
      <c r="N21" s="21" t="str">
        <f aca="false">IF($O21="","",IF(INDEX(전체!$O$6:$O$75,$O21)="","",INDEX(전체!$O$6:$O$75,$O21)))</f>
        <v/>
      </c>
      <c r="O21" s="22" t="str">
        <f aca="false">IFERROR(MATCH($R$2&amp;"|"&amp;17,전체!$P$6:$P$75,0),"")</f>
        <v/>
      </c>
    </row>
    <row r="22" customFormat="false" ht="15" hidden="false" customHeight="false" outlineLevel="0" collapsed="false">
      <c r="A22" s="5" t="str">
        <f aca="false">IF($O22="","",18)</f>
        <v/>
      </c>
      <c r="B22" s="20" t="str">
        <f aca="false">IF($O22="","",IF(INDEX(전체!$C$6:$C$75,$O22)="","",INDEX(전체!$C$6:$C$75,$O22)))</f>
        <v/>
      </c>
      <c r="C22" s="21" t="str">
        <f aca="false">IF($O22="","",IF(INDEX(전체!$D$6:$D$75,$O22)="","",INDEX(전체!$D$6:$D$75,$O22)))</f>
        <v/>
      </c>
      <c r="D22" s="5" t="str">
        <f aca="false">IF($O22="","",IF(INDEX(전체!$E$6:$E$75,$O22)="","",INDEX(전체!$E$6:$E$75,$O22)))</f>
        <v/>
      </c>
      <c r="E22" s="5" t="str">
        <f aca="false">IF($O22="","",IF(INDEX(전체!$F$6:$F$75,$O22)="","",INDEX(전체!$F$6:$F$75,$O22)))</f>
        <v/>
      </c>
      <c r="F22" s="21" t="str">
        <f aca="false">IF($O22="","",IF(INDEX(전체!$G$6:$G$75,$O22)="","",INDEX(전체!$G$6:$G$75,$O22)))</f>
        <v/>
      </c>
      <c r="G22" s="21" t="str">
        <f aca="false">IF($O22="","",IF(INDEX(전체!$H$6:$H$75,$O22)="","",INDEX(전체!$H$6:$H$75,$O22)))</f>
        <v/>
      </c>
      <c r="H22" s="5" t="str">
        <f aca="false">IF($O22="","",IF(INDEX(전체!$I$6:$I$75,$O22)="","",INDEX(전체!$I$6:$I$75,$O22)))</f>
        <v/>
      </c>
      <c r="I22" s="5" t="str">
        <f aca="false">IF($O22="","",IF(INDEX(전체!$J$6:$J$75,$O22)="","",INDEX(전체!$J$6:$J$75,$O22)))</f>
        <v/>
      </c>
      <c r="J22" s="21" t="str">
        <f aca="false">IF($O22="","",IF(INDEX(전체!$K$6:$K$75,$O22)="","",INDEX(전체!$K$6:$K$75,$O22)))</f>
        <v/>
      </c>
      <c r="K22" s="20" t="str">
        <f aca="false">IF($O22="","",IF(INDEX(전체!$L$6:$L$75,$O22)="","",INDEX(전체!$L$6:$L$75,$O22)))</f>
        <v/>
      </c>
      <c r="L22" s="5" t="str">
        <f aca="false">IF($O22="","",IF(INDEX(전체!$M$6:$M$75,$O22)="","",INDEX(전체!$M$6:$M$75,$O22)))</f>
        <v/>
      </c>
      <c r="M22" s="21" t="str">
        <f aca="false">IF($O22="","",IF(INDEX(전체!$N$6:$N$75,$O22)="","",INDEX(전체!$N$6:$N$75,$O22)))</f>
        <v/>
      </c>
      <c r="N22" s="21" t="str">
        <f aca="false">IF($O22="","",IF(INDEX(전체!$O$6:$O$75,$O22)="","",INDEX(전체!$O$6:$O$75,$O22)))</f>
        <v/>
      </c>
      <c r="O22" s="22" t="str">
        <f aca="false">IFERROR(MATCH($R$2&amp;"|"&amp;18,전체!$P$6:$P$75,0),"")</f>
        <v/>
      </c>
    </row>
    <row r="23" customFormat="false" ht="15" hidden="false" customHeight="false" outlineLevel="0" collapsed="false">
      <c r="A23" s="5" t="str">
        <f aca="false">IF($O23="","",19)</f>
        <v/>
      </c>
      <c r="B23" s="20" t="str">
        <f aca="false">IF($O23="","",IF(INDEX(전체!$C$6:$C$75,$O23)="","",INDEX(전체!$C$6:$C$75,$O23)))</f>
        <v/>
      </c>
      <c r="C23" s="21" t="str">
        <f aca="false">IF($O23="","",IF(INDEX(전체!$D$6:$D$75,$O23)="","",INDEX(전체!$D$6:$D$75,$O23)))</f>
        <v/>
      </c>
      <c r="D23" s="5" t="str">
        <f aca="false">IF($O23="","",IF(INDEX(전체!$E$6:$E$75,$O23)="","",INDEX(전체!$E$6:$E$75,$O23)))</f>
        <v/>
      </c>
      <c r="E23" s="5" t="str">
        <f aca="false">IF($O23="","",IF(INDEX(전체!$F$6:$F$75,$O23)="","",INDEX(전체!$F$6:$F$75,$O23)))</f>
        <v/>
      </c>
      <c r="F23" s="21" t="str">
        <f aca="false">IF($O23="","",IF(INDEX(전체!$G$6:$G$75,$O23)="","",INDEX(전체!$G$6:$G$75,$O23)))</f>
        <v/>
      </c>
      <c r="G23" s="21" t="str">
        <f aca="false">IF($O23="","",IF(INDEX(전체!$H$6:$H$75,$O23)="","",INDEX(전체!$H$6:$H$75,$O23)))</f>
        <v/>
      </c>
      <c r="H23" s="5" t="str">
        <f aca="false">IF($O23="","",IF(INDEX(전체!$I$6:$I$75,$O23)="","",INDEX(전체!$I$6:$I$75,$O23)))</f>
        <v/>
      </c>
      <c r="I23" s="5" t="str">
        <f aca="false">IF($O23="","",IF(INDEX(전체!$J$6:$J$75,$O23)="","",INDEX(전체!$J$6:$J$75,$O23)))</f>
        <v/>
      </c>
      <c r="J23" s="21" t="str">
        <f aca="false">IF($O23="","",IF(INDEX(전체!$K$6:$K$75,$O23)="","",INDEX(전체!$K$6:$K$75,$O23)))</f>
        <v/>
      </c>
      <c r="K23" s="20" t="str">
        <f aca="false">IF($O23="","",IF(INDEX(전체!$L$6:$L$75,$O23)="","",INDEX(전체!$L$6:$L$75,$O23)))</f>
        <v/>
      </c>
      <c r="L23" s="5" t="str">
        <f aca="false">IF($O23="","",IF(INDEX(전체!$M$6:$M$75,$O23)="","",INDEX(전체!$M$6:$M$75,$O23)))</f>
        <v/>
      </c>
      <c r="M23" s="21" t="str">
        <f aca="false">IF($O23="","",IF(INDEX(전체!$N$6:$N$75,$O23)="","",INDEX(전체!$N$6:$N$75,$O23)))</f>
        <v/>
      </c>
      <c r="N23" s="21" t="str">
        <f aca="false">IF($O23="","",IF(INDEX(전체!$O$6:$O$75,$O23)="","",INDEX(전체!$O$6:$O$75,$O23)))</f>
        <v/>
      </c>
      <c r="O23" s="22" t="str">
        <f aca="false">IFERROR(MATCH($R$2&amp;"|"&amp;19,전체!$P$6:$P$75,0),"")</f>
        <v/>
      </c>
    </row>
    <row r="24" customFormat="false" ht="15" hidden="false" customHeight="false" outlineLevel="0" collapsed="false">
      <c r="A24" s="5" t="str">
        <f aca="false">IF($O24="","",20)</f>
        <v/>
      </c>
      <c r="B24" s="20" t="str">
        <f aca="false">IF($O24="","",IF(INDEX(전체!$C$6:$C$75,$O24)="","",INDEX(전체!$C$6:$C$75,$O24)))</f>
        <v/>
      </c>
      <c r="C24" s="21" t="str">
        <f aca="false">IF($O24="","",IF(INDEX(전체!$D$6:$D$75,$O24)="","",INDEX(전체!$D$6:$D$75,$O24)))</f>
        <v/>
      </c>
      <c r="D24" s="5" t="str">
        <f aca="false">IF($O24="","",IF(INDEX(전체!$E$6:$E$75,$O24)="","",INDEX(전체!$E$6:$E$75,$O24)))</f>
        <v/>
      </c>
      <c r="E24" s="5" t="str">
        <f aca="false">IF($O24="","",IF(INDEX(전체!$F$6:$F$75,$O24)="","",INDEX(전체!$F$6:$F$75,$O24)))</f>
        <v/>
      </c>
      <c r="F24" s="21" t="str">
        <f aca="false">IF($O24="","",IF(INDEX(전체!$G$6:$G$75,$O24)="","",INDEX(전체!$G$6:$G$75,$O24)))</f>
        <v/>
      </c>
      <c r="G24" s="21" t="str">
        <f aca="false">IF($O24="","",IF(INDEX(전체!$H$6:$H$75,$O24)="","",INDEX(전체!$H$6:$H$75,$O24)))</f>
        <v/>
      </c>
      <c r="H24" s="5" t="str">
        <f aca="false">IF($O24="","",IF(INDEX(전체!$I$6:$I$75,$O24)="","",INDEX(전체!$I$6:$I$75,$O24)))</f>
        <v/>
      </c>
      <c r="I24" s="5" t="str">
        <f aca="false">IF($O24="","",IF(INDEX(전체!$J$6:$J$75,$O24)="","",INDEX(전체!$J$6:$J$75,$O24)))</f>
        <v/>
      </c>
      <c r="J24" s="21" t="str">
        <f aca="false">IF($O24="","",IF(INDEX(전체!$K$6:$K$75,$O24)="","",INDEX(전체!$K$6:$K$75,$O24)))</f>
        <v/>
      </c>
      <c r="K24" s="20" t="str">
        <f aca="false">IF($O24="","",IF(INDEX(전체!$L$6:$L$75,$O24)="","",INDEX(전체!$L$6:$L$75,$O24)))</f>
        <v/>
      </c>
      <c r="L24" s="5" t="str">
        <f aca="false">IF($O24="","",IF(INDEX(전체!$M$6:$M$75,$O24)="","",INDEX(전체!$M$6:$M$75,$O24)))</f>
        <v/>
      </c>
      <c r="M24" s="21" t="str">
        <f aca="false">IF($O24="","",IF(INDEX(전체!$N$6:$N$75,$O24)="","",INDEX(전체!$N$6:$N$75,$O24)))</f>
        <v/>
      </c>
      <c r="N24" s="21" t="str">
        <f aca="false">IF($O24="","",IF(INDEX(전체!$O$6:$O$75,$O24)="","",INDEX(전체!$O$6:$O$75,$O24)))</f>
        <v/>
      </c>
      <c r="O24" s="22" t="str">
        <f aca="false">IFERROR(MATCH($R$2&amp;"|"&amp;20,전체!$P$6:$P$75,0),"")</f>
        <v/>
      </c>
    </row>
    <row r="25" customFormat="false" ht="15" hidden="false" customHeight="false" outlineLevel="0" collapsed="false">
      <c r="A25" s="5" t="str">
        <f aca="false">IF($O25="","",21)</f>
        <v/>
      </c>
      <c r="B25" s="20" t="str">
        <f aca="false">IF($O25="","",IF(INDEX(전체!$C$6:$C$75,$O25)="","",INDEX(전체!$C$6:$C$75,$O25)))</f>
        <v/>
      </c>
      <c r="C25" s="21" t="str">
        <f aca="false">IF($O25="","",IF(INDEX(전체!$D$6:$D$75,$O25)="","",INDEX(전체!$D$6:$D$75,$O25)))</f>
        <v/>
      </c>
      <c r="D25" s="5" t="str">
        <f aca="false">IF($O25="","",IF(INDEX(전체!$E$6:$E$75,$O25)="","",INDEX(전체!$E$6:$E$75,$O25)))</f>
        <v/>
      </c>
      <c r="E25" s="5" t="str">
        <f aca="false">IF($O25="","",IF(INDEX(전체!$F$6:$F$75,$O25)="","",INDEX(전체!$F$6:$F$75,$O25)))</f>
        <v/>
      </c>
      <c r="F25" s="21" t="str">
        <f aca="false">IF($O25="","",IF(INDEX(전체!$G$6:$G$75,$O25)="","",INDEX(전체!$G$6:$G$75,$O25)))</f>
        <v/>
      </c>
      <c r="G25" s="21" t="str">
        <f aca="false">IF($O25="","",IF(INDEX(전체!$H$6:$H$75,$O25)="","",INDEX(전체!$H$6:$H$75,$O25)))</f>
        <v/>
      </c>
      <c r="H25" s="5" t="str">
        <f aca="false">IF($O25="","",IF(INDEX(전체!$I$6:$I$75,$O25)="","",INDEX(전체!$I$6:$I$75,$O25)))</f>
        <v/>
      </c>
      <c r="I25" s="5" t="str">
        <f aca="false">IF($O25="","",IF(INDEX(전체!$J$6:$J$75,$O25)="","",INDEX(전체!$J$6:$J$75,$O25)))</f>
        <v/>
      </c>
      <c r="J25" s="21" t="str">
        <f aca="false">IF($O25="","",IF(INDEX(전체!$K$6:$K$75,$O25)="","",INDEX(전체!$K$6:$K$75,$O25)))</f>
        <v/>
      </c>
      <c r="K25" s="20" t="str">
        <f aca="false">IF($O25="","",IF(INDEX(전체!$L$6:$L$75,$O25)="","",INDEX(전체!$L$6:$L$75,$O25)))</f>
        <v/>
      </c>
      <c r="L25" s="5" t="str">
        <f aca="false">IF($O25="","",IF(INDEX(전체!$M$6:$M$75,$O25)="","",INDEX(전체!$M$6:$M$75,$O25)))</f>
        <v/>
      </c>
      <c r="M25" s="21" t="str">
        <f aca="false">IF($O25="","",IF(INDEX(전체!$N$6:$N$75,$O25)="","",INDEX(전체!$N$6:$N$75,$O25)))</f>
        <v/>
      </c>
      <c r="N25" s="21" t="str">
        <f aca="false">IF($O25="","",IF(INDEX(전체!$O$6:$O$75,$O25)="","",INDEX(전체!$O$6:$O$75,$O25)))</f>
        <v/>
      </c>
      <c r="O25" s="22" t="str">
        <f aca="false">IFERROR(MATCH($R$2&amp;"|"&amp;21,전체!$P$6:$P$75,0),"")</f>
        <v/>
      </c>
    </row>
    <row r="26" customFormat="false" ht="15" hidden="false" customHeight="false" outlineLevel="0" collapsed="false">
      <c r="A26" s="5" t="str">
        <f aca="false">IF($O26="","",22)</f>
        <v/>
      </c>
      <c r="B26" s="20" t="str">
        <f aca="false">IF($O26="","",IF(INDEX(전체!$C$6:$C$75,$O26)="","",INDEX(전체!$C$6:$C$75,$O26)))</f>
        <v/>
      </c>
      <c r="C26" s="21" t="str">
        <f aca="false">IF($O26="","",IF(INDEX(전체!$D$6:$D$75,$O26)="","",INDEX(전체!$D$6:$D$75,$O26)))</f>
        <v/>
      </c>
      <c r="D26" s="5" t="str">
        <f aca="false">IF($O26="","",IF(INDEX(전체!$E$6:$E$75,$O26)="","",INDEX(전체!$E$6:$E$75,$O26)))</f>
        <v/>
      </c>
      <c r="E26" s="5" t="str">
        <f aca="false">IF($O26="","",IF(INDEX(전체!$F$6:$F$75,$O26)="","",INDEX(전체!$F$6:$F$75,$O26)))</f>
        <v/>
      </c>
      <c r="F26" s="21" t="str">
        <f aca="false">IF($O26="","",IF(INDEX(전체!$G$6:$G$75,$O26)="","",INDEX(전체!$G$6:$G$75,$O26)))</f>
        <v/>
      </c>
      <c r="G26" s="21" t="str">
        <f aca="false">IF($O26="","",IF(INDEX(전체!$H$6:$H$75,$O26)="","",INDEX(전체!$H$6:$H$75,$O26)))</f>
        <v/>
      </c>
      <c r="H26" s="5" t="str">
        <f aca="false">IF($O26="","",IF(INDEX(전체!$I$6:$I$75,$O26)="","",INDEX(전체!$I$6:$I$75,$O26)))</f>
        <v/>
      </c>
      <c r="I26" s="5" t="str">
        <f aca="false">IF($O26="","",IF(INDEX(전체!$J$6:$J$75,$O26)="","",INDEX(전체!$J$6:$J$75,$O26)))</f>
        <v/>
      </c>
      <c r="J26" s="21" t="str">
        <f aca="false">IF($O26="","",IF(INDEX(전체!$K$6:$K$75,$O26)="","",INDEX(전체!$K$6:$K$75,$O26)))</f>
        <v/>
      </c>
      <c r="K26" s="20" t="str">
        <f aca="false">IF($O26="","",IF(INDEX(전체!$L$6:$L$75,$O26)="","",INDEX(전체!$L$6:$L$75,$O26)))</f>
        <v/>
      </c>
      <c r="L26" s="5" t="str">
        <f aca="false">IF($O26="","",IF(INDEX(전체!$M$6:$M$75,$O26)="","",INDEX(전체!$M$6:$M$75,$O26)))</f>
        <v/>
      </c>
      <c r="M26" s="21" t="str">
        <f aca="false">IF($O26="","",IF(INDEX(전체!$N$6:$N$75,$O26)="","",INDEX(전체!$N$6:$N$75,$O26)))</f>
        <v/>
      </c>
      <c r="N26" s="21" t="str">
        <f aca="false">IF($O26="","",IF(INDEX(전체!$O$6:$O$75,$O26)="","",INDEX(전체!$O$6:$O$75,$O26)))</f>
        <v/>
      </c>
      <c r="O26" s="22" t="str">
        <f aca="false">IFERROR(MATCH($R$2&amp;"|"&amp;22,전체!$P$6:$P$75,0),"")</f>
        <v/>
      </c>
    </row>
    <row r="27" customFormat="false" ht="15" hidden="false" customHeight="false" outlineLevel="0" collapsed="false">
      <c r="A27" s="5" t="str">
        <f aca="false">IF($O27="","",23)</f>
        <v/>
      </c>
      <c r="B27" s="20" t="str">
        <f aca="false">IF($O27="","",IF(INDEX(전체!$C$6:$C$75,$O27)="","",INDEX(전체!$C$6:$C$75,$O27)))</f>
        <v/>
      </c>
      <c r="C27" s="21" t="str">
        <f aca="false">IF($O27="","",IF(INDEX(전체!$D$6:$D$75,$O27)="","",INDEX(전체!$D$6:$D$75,$O27)))</f>
        <v/>
      </c>
      <c r="D27" s="5" t="str">
        <f aca="false">IF($O27="","",IF(INDEX(전체!$E$6:$E$75,$O27)="","",INDEX(전체!$E$6:$E$75,$O27)))</f>
        <v/>
      </c>
      <c r="E27" s="5" t="str">
        <f aca="false">IF($O27="","",IF(INDEX(전체!$F$6:$F$75,$O27)="","",INDEX(전체!$F$6:$F$75,$O27)))</f>
        <v/>
      </c>
      <c r="F27" s="21" t="str">
        <f aca="false">IF($O27="","",IF(INDEX(전체!$G$6:$G$75,$O27)="","",INDEX(전체!$G$6:$G$75,$O27)))</f>
        <v/>
      </c>
      <c r="G27" s="21" t="str">
        <f aca="false">IF($O27="","",IF(INDEX(전체!$H$6:$H$75,$O27)="","",INDEX(전체!$H$6:$H$75,$O27)))</f>
        <v/>
      </c>
      <c r="H27" s="5" t="str">
        <f aca="false">IF($O27="","",IF(INDEX(전체!$I$6:$I$75,$O27)="","",INDEX(전체!$I$6:$I$75,$O27)))</f>
        <v/>
      </c>
      <c r="I27" s="5" t="str">
        <f aca="false">IF($O27="","",IF(INDEX(전체!$J$6:$J$75,$O27)="","",INDEX(전체!$J$6:$J$75,$O27)))</f>
        <v/>
      </c>
      <c r="J27" s="21" t="str">
        <f aca="false">IF($O27="","",IF(INDEX(전체!$K$6:$K$75,$O27)="","",INDEX(전체!$K$6:$K$75,$O27)))</f>
        <v/>
      </c>
      <c r="K27" s="20" t="str">
        <f aca="false">IF($O27="","",IF(INDEX(전체!$L$6:$L$75,$O27)="","",INDEX(전체!$L$6:$L$75,$O27)))</f>
        <v/>
      </c>
      <c r="L27" s="5" t="str">
        <f aca="false">IF($O27="","",IF(INDEX(전체!$M$6:$M$75,$O27)="","",INDEX(전체!$M$6:$M$75,$O27)))</f>
        <v/>
      </c>
      <c r="M27" s="21" t="str">
        <f aca="false">IF($O27="","",IF(INDEX(전체!$N$6:$N$75,$O27)="","",INDEX(전체!$N$6:$N$75,$O27)))</f>
        <v/>
      </c>
      <c r="N27" s="21" t="str">
        <f aca="false">IF($O27="","",IF(INDEX(전체!$O$6:$O$75,$O27)="","",INDEX(전체!$O$6:$O$75,$O27)))</f>
        <v/>
      </c>
      <c r="O27" s="22" t="str">
        <f aca="false">IFERROR(MATCH($R$2&amp;"|"&amp;23,전체!$P$6:$P$75,0),"")</f>
        <v/>
      </c>
    </row>
    <row r="28" customFormat="false" ht="15" hidden="false" customHeight="false" outlineLevel="0" collapsed="false">
      <c r="A28" s="5" t="str">
        <f aca="false">IF($O28="","",24)</f>
        <v/>
      </c>
      <c r="B28" s="20" t="str">
        <f aca="false">IF($O28="","",IF(INDEX(전체!$C$6:$C$75,$O28)="","",INDEX(전체!$C$6:$C$75,$O28)))</f>
        <v/>
      </c>
      <c r="C28" s="21" t="str">
        <f aca="false">IF($O28="","",IF(INDEX(전체!$D$6:$D$75,$O28)="","",INDEX(전체!$D$6:$D$75,$O28)))</f>
        <v/>
      </c>
      <c r="D28" s="5" t="str">
        <f aca="false">IF($O28="","",IF(INDEX(전체!$E$6:$E$75,$O28)="","",INDEX(전체!$E$6:$E$75,$O28)))</f>
        <v/>
      </c>
      <c r="E28" s="5" t="str">
        <f aca="false">IF($O28="","",IF(INDEX(전체!$F$6:$F$75,$O28)="","",INDEX(전체!$F$6:$F$75,$O28)))</f>
        <v/>
      </c>
      <c r="F28" s="21" t="str">
        <f aca="false">IF($O28="","",IF(INDEX(전체!$G$6:$G$75,$O28)="","",INDEX(전체!$G$6:$G$75,$O28)))</f>
        <v/>
      </c>
      <c r="G28" s="21" t="str">
        <f aca="false">IF($O28="","",IF(INDEX(전체!$H$6:$H$75,$O28)="","",INDEX(전체!$H$6:$H$75,$O28)))</f>
        <v/>
      </c>
      <c r="H28" s="5" t="str">
        <f aca="false">IF($O28="","",IF(INDEX(전체!$I$6:$I$75,$O28)="","",INDEX(전체!$I$6:$I$75,$O28)))</f>
        <v/>
      </c>
      <c r="I28" s="5" t="str">
        <f aca="false">IF($O28="","",IF(INDEX(전체!$J$6:$J$75,$O28)="","",INDEX(전체!$J$6:$J$75,$O28)))</f>
        <v/>
      </c>
      <c r="J28" s="21" t="str">
        <f aca="false">IF($O28="","",IF(INDEX(전체!$K$6:$K$75,$O28)="","",INDEX(전체!$K$6:$K$75,$O28)))</f>
        <v/>
      </c>
      <c r="K28" s="20" t="str">
        <f aca="false">IF($O28="","",IF(INDEX(전체!$L$6:$L$75,$O28)="","",INDEX(전체!$L$6:$L$75,$O28)))</f>
        <v/>
      </c>
      <c r="L28" s="5" t="str">
        <f aca="false">IF($O28="","",IF(INDEX(전체!$M$6:$M$75,$O28)="","",INDEX(전체!$M$6:$M$75,$O28)))</f>
        <v/>
      </c>
      <c r="M28" s="21" t="str">
        <f aca="false">IF($O28="","",IF(INDEX(전체!$N$6:$N$75,$O28)="","",INDEX(전체!$N$6:$N$75,$O28)))</f>
        <v/>
      </c>
      <c r="N28" s="21" t="str">
        <f aca="false">IF($O28="","",IF(INDEX(전체!$O$6:$O$75,$O28)="","",INDEX(전체!$O$6:$O$75,$O28)))</f>
        <v/>
      </c>
      <c r="O28" s="22" t="str">
        <f aca="false">IFERROR(MATCH($R$2&amp;"|"&amp;24,전체!$P$6:$P$75,0),"")</f>
        <v/>
      </c>
    </row>
    <row r="29" customFormat="false" ht="15" hidden="false" customHeight="false" outlineLevel="0" collapsed="false">
      <c r="A29" s="5" t="str">
        <f aca="false">IF($O29="","",25)</f>
        <v/>
      </c>
      <c r="B29" s="20" t="str">
        <f aca="false">IF($O29="","",IF(INDEX(전체!$C$6:$C$75,$O29)="","",INDEX(전체!$C$6:$C$75,$O29)))</f>
        <v/>
      </c>
      <c r="C29" s="21" t="str">
        <f aca="false">IF($O29="","",IF(INDEX(전체!$D$6:$D$75,$O29)="","",INDEX(전체!$D$6:$D$75,$O29)))</f>
        <v/>
      </c>
      <c r="D29" s="5" t="str">
        <f aca="false">IF($O29="","",IF(INDEX(전체!$E$6:$E$75,$O29)="","",INDEX(전체!$E$6:$E$75,$O29)))</f>
        <v/>
      </c>
      <c r="E29" s="5" t="str">
        <f aca="false">IF($O29="","",IF(INDEX(전체!$F$6:$F$75,$O29)="","",INDEX(전체!$F$6:$F$75,$O29)))</f>
        <v/>
      </c>
      <c r="F29" s="21" t="str">
        <f aca="false">IF($O29="","",IF(INDEX(전체!$G$6:$G$75,$O29)="","",INDEX(전체!$G$6:$G$75,$O29)))</f>
        <v/>
      </c>
      <c r="G29" s="21" t="str">
        <f aca="false">IF($O29="","",IF(INDEX(전체!$H$6:$H$75,$O29)="","",INDEX(전체!$H$6:$H$75,$O29)))</f>
        <v/>
      </c>
      <c r="H29" s="5" t="str">
        <f aca="false">IF($O29="","",IF(INDEX(전체!$I$6:$I$75,$O29)="","",INDEX(전체!$I$6:$I$75,$O29)))</f>
        <v/>
      </c>
      <c r="I29" s="5" t="str">
        <f aca="false">IF($O29="","",IF(INDEX(전체!$J$6:$J$75,$O29)="","",INDEX(전체!$J$6:$J$75,$O29)))</f>
        <v/>
      </c>
      <c r="J29" s="21" t="str">
        <f aca="false">IF($O29="","",IF(INDEX(전체!$K$6:$K$75,$O29)="","",INDEX(전체!$K$6:$K$75,$O29)))</f>
        <v/>
      </c>
      <c r="K29" s="20" t="str">
        <f aca="false">IF($O29="","",IF(INDEX(전체!$L$6:$L$75,$O29)="","",INDEX(전체!$L$6:$L$75,$O29)))</f>
        <v/>
      </c>
      <c r="L29" s="5" t="str">
        <f aca="false">IF($O29="","",IF(INDEX(전체!$M$6:$M$75,$O29)="","",INDEX(전체!$M$6:$M$75,$O29)))</f>
        <v/>
      </c>
      <c r="M29" s="21" t="str">
        <f aca="false">IF($O29="","",IF(INDEX(전체!$N$6:$N$75,$O29)="","",INDEX(전체!$N$6:$N$75,$O29)))</f>
        <v/>
      </c>
      <c r="N29" s="21" t="str">
        <f aca="false">IF($O29="","",IF(INDEX(전체!$O$6:$O$75,$O29)="","",INDEX(전체!$O$6:$O$75,$O29)))</f>
        <v/>
      </c>
      <c r="O29" s="22" t="str">
        <f aca="false">IFERROR(MATCH($R$2&amp;"|"&amp;25,전체!$P$6:$P$75,0),"")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6"/>
  </cols>
  <sheetData>
    <row r="1" customFormat="false" ht="20.1" hidden="false" customHeight="false" outlineLevel="0" collapsed="false">
      <c r="A1" s="1" t="s">
        <v>261</v>
      </c>
      <c r="C1" s="16" t="str">
        <f aca="false">COUNTIF(전체!$B$6:$B$75,"회·해산물")&amp;"곳"</f>
        <v>1곳</v>
      </c>
    </row>
    <row r="2" customFormat="false" ht="15" hidden="false" customHeight="false" outlineLevel="0" collapsed="false">
      <c r="A2" s="17" t="s">
        <v>255</v>
      </c>
      <c r="R2" s="18" t="s">
        <v>262</v>
      </c>
    </row>
    <row r="4" customFormat="false" ht="39.55" hidden="false" customHeight="false" outlineLevel="0" collapsed="false">
      <c r="A4" s="3" t="s">
        <v>3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19" t="s">
        <v>256</v>
      </c>
    </row>
    <row r="5" customFormat="false" ht="26.85" hidden="false" customHeight="false" outlineLevel="0" collapsed="false">
      <c r="A5" s="5" t="n">
        <f aca="false">IF($O5="","",1)</f>
        <v>1</v>
      </c>
      <c r="B5" s="20" t="str">
        <f aca="false">IF($O5="","",IF(INDEX(전체!$C$6:$C$75,$O5)="","",INDEX(전체!$C$6:$C$75,$O5)))</f>
        <v>회백반·물회·생대구탕 집 (이름 확인 필요)</v>
      </c>
      <c r="C5" s="21" t="str">
        <f aca="false">IF($O5="","",IF(INDEX(전체!$D$6:$D$75,$O5)="","",INDEX(전체!$D$6:$D$75,$O5)))</f>
        <v>회백반,물회,생대구탕</v>
      </c>
      <c r="D5" s="5" t="str">
        <f aca="false">IF($O5="","",IF(INDEX(전체!$E$6:$E$75,$O5)="","",INDEX(전체!$E$6:$E$75,$O5)))</f>
        <v>정보 없음</v>
      </c>
      <c r="E5" s="5" t="str">
        <f aca="false">IF($O5="","",IF(INDEX(전체!$F$6:$F$75,$O5)="","",INDEX(전체!$F$6:$F$75,$O5)))</f>
        <v/>
      </c>
      <c r="F5" s="21" t="str">
        <f aca="false">IF($O5="","",IF(INDEX(전체!$G$6:$G$75,$O5)="","",INDEX(전체!$G$6:$G$75,$O5)))</f>
        <v/>
      </c>
      <c r="G5" s="21" t="str">
        <f aca="false">IF($O5="","",IF(INDEX(전체!$H$6:$H$75,$O5)="","",INDEX(전체!$H$6:$H$75,$O5)))</f>
        <v/>
      </c>
      <c r="H5" s="5" t="str">
        <f aca="false">IF($O5="","",IF(INDEX(전체!$I$6:$I$75,$O5)="","",INDEX(전체!$I$6:$I$75,$O5)))</f>
        <v/>
      </c>
      <c r="I5" s="5" t="str">
        <f aca="false">IF($O5="","",IF(INDEX(전체!$J$6:$J$75,$O5)="","",INDEX(전체!$J$6:$J$75,$O5)))</f>
        <v/>
      </c>
      <c r="J5" s="21" t="str">
        <f aca="false">IF($O5="","",IF(INDEX(전체!$K$6:$K$75,$O5)="","",INDEX(전체!$K$6:$K$75,$O5)))</f>
        <v/>
      </c>
      <c r="K5" s="20" t="str">
        <f aca="false">IF($O5="","",IF(INDEX(전체!$L$6:$L$75,$O5)="","",INDEX(전체!$L$6:$L$75,$O5)))</f>
        <v>회백반·물회·생대구탕</v>
      </c>
      <c r="L5" s="5" t="str">
        <f aca="false">IF($O5="","",IF(INDEX(전체!$M$6:$M$75,$O5)="","",INDEX(전체!$M$6:$M$75,$O5)))</f>
        <v>15,000~20,000</v>
      </c>
      <c r="M5" s="21" t="str">
        <f aca="false">IF($O5="","",IF(INDEX(전체!$N$6:$N$75,$O5)="","",INDEX(전체!$N$6:$N$75,$O5)))</f>
        <v>회백반·물회·생대구탕을 파는 횟집</v>
      </c>
      <c r="N5" s="21" t="str">
        <f aca="false">IF($O5="","",IF(INDEX(전체!$O$6:$O$75,$O5)="","",INDEX(전체!$O$6:$O$75,$O5)))</f>
        <v>가게 이름 확인 필요</v>
      </c>
      <c r="O5" s="22" t="n">
        <f aca="false">IFERROR(MATCH($R$2&amp;"|"&amp;1,전체!$P$6:$P$75,0),"")</f>
        <v>31</v>
      </c>
    </row>
    <row r="6" customFormat="false" ht="15" hidden="false" customHeight="false" outlineLevel="0" collapsed="false">
      <c r="A6" s="5" t="str">
        <f aca="false">IF($O6="","",2)</f>
        <v/>
      </c>
      <c r="B6" s="20" t="str">
        <f aca="false">IF($O6="","",IF(INDEX(전체!$C$6:$C$75,$O6)="","",INDEX(전체!$C$6:$C$75,$O6)))</f>
        <v/>
      </c>
      <c r="C6" s="21" t="str">
        <f aca="false">IF($O6="","",IF(INDEX(전체!$D$6:$D$75,$O6)="","",INDEX(전체!$D$6:$D$75,$O6)))</f>
        <v/>
      </c>
      <c r="D6" s="5" t="str">
        <f aca="false">IF($O6="","",IF(INDEX(전체!$E$6:$E$75,$O6)="","",INDEX(전체!$E$6:$E$75,$O6)))</f>
        <v/>
      </c>
      <c r="E6" s="5" t="str">
        <f aca="false">IF($O6="","",IF(INDEX(전체!$F$6:$F$75,$O6)="","",INDEX(전체!$F$6:$F$75,$O6)))</f>
        <v/>
      </c>
      <c r="F6" s="21" t="str">
        <f aca="false">IF($O6="","",IF(INDEX(전체!$G$6:$G$75,$O6)="","",INDEX(전체!$G$6:$G$75,$O6)))</f>
        <v/>
      </c>
      <c r="G6" s="21" t="str">
        <f aca="false">IF($O6="","",IF(INDEX(전체!$H$6:$H$75,$O6)="","",INDEX(전체!$H$6:$H$75,$O6)))</f>
        <v/>
      </c>
      <c r="H6" s="5" t="str">
        <f aca="false">IF($O6="","",IF(INDEX(전체!$I$6:$I$75,$O6)="","",INDEX(전체!$I$6:$I$75,$O6)))</f>
        <v/>
      </c>
      <c r="I6" s="5" t="str">
        <f aca="false">IF($O6="","",IF(INDEX(전체!$J$6:$J$75,$O6)="","",INDEX(전체!$J$6:$J$75,$O6)))</f>
        <v/>
      </c>
      <c r="J6" s="21" t="str">
        <f aca="false">IF($O6="","",IF(INDEX(전체!$K$6:$K$75,$O6)="","",INDEX(전체!$K$6:$K$75,$O6)))</f>
        <v/>
      </c>
      <c r="K6" s="20" t="str">
        <f aca="false">IF($O6="","",IF(INDEX(전체!$L$6:$L$75,$O6)="","",INDEX(전체!$L$6:$L$75,$O6)))</f>
        <v/>
      </c>
      <c r="L6" s="5" t="str">
        <f aca="false">IF($O6="","",IF(INDEX(전체!$M$6:$M$75,$O6)="","",INDEX(전체!$M$6:$M$75,$O6)))</f>
        <v/>
      </c>
      <c r="M6" s="21" t="str">
        <f aca="false">IF($O6="","",IF(INDEX(전체!$N$6:$N$75,$O6)="","",INDEX(전체!$N$6:$N$75,$O6)))</f>
        <v/>
      </c>
      <c r="N6" s="21" t="str">
        <f aca="false">IF($O6="","",IF(INDEX(전체!$O$6:$O$75,$O6)="","",INDEX(전체!$O$6:$O$75,$O6)))</f>
        <v/>
      </c>
      <c r="O6" s="22" t="str">
        <f aca="false">IFERROR(MATCH($R$2&amp;"|"&amp;2,전체!$P$6:$P$75,0),"")</f>
        <v/>
      </c>
    </row>
    <row r="7" customFormat="false" ht="15" hidden="false" customHeight="false" outlineLevel="0" collapsed="false">
      <c r="A7" s="5" t="str">
        <f aca="false">IF($O7="","",3)</f>
        <v/>
      </c>
      <c r="B7" s="20" t="str">
        <f aca="false">IF($O7="","",IF(INDEX(전체!$C$6:$C$75,$O7)="","",INDEX(전체!$C$6:$C$75,$O7)))</f>
        <v/>
      </c>
      <c r="C7" s="21" t="str">
        <f aca="false">IF($O7="","",IF(INDEX(전체!$D$6:$D$75,$O7)="","",INDEX(전체!$D$6:$D$75,$O7)))</f>
        <v/>
      </c>
      <c r="D7" s="5" t="str">
        <f aca="false">IF($O7="","",IF(INDEX(전체!$E$6:$E$75,$O7)="","",INDEX(전체!$E$6:$E$75,$O7)))</f>
        <v/>
      </c>
      <c r="E7" s="5" t="str">
        <f aca="false">IF($O7="","",IF(INDEX(전체!$F$6:$F$75,$O7)="","",INDEX(전체!$F$6:$F$75,$O7)))</f>
        <v/>
      </c>
      <c r="F7" s="21" t="str">
        <f aca="false">IF($O7="","",IF(INDEX(전체!$G$6:$G$75,$O7)="","",INDEX(전체!$G$6:$G$75,$O7)))</f>
        <v/>
      </c>
      <c r="G7" s="21" t="str">
        <f aca="false">IF($O7="","",IF(INDEX(전체!$H$6:$H$75,$O7)="","",INDEX(전체!$H$6:$H$75,$O7)))</f>
        <v/>
      </c>
      <c r="H7" s="5" t="str">
        <f aca="false">IF($O7="","",IF(INDEX(전체!$I$6:$I$75,$O7)="","",INDEX(전체!$I$6:$I$75,$O7)))</f>
        <v/>
      </c>
      <c r="I7" s="5" t="str">
        <f aca="false">IF($O7="","",IF(INDEX(전체!$J$6:$J$75,$O7)="","",INDEX(전체!$J$6:$J$75,$O7)))</f>
        <v/>
      </c>
      <c r="J7" s="21" t="str">
        <f aca="false">IF($O7="","",IF(INDEX(전체!$K$6:$K$75,$O7)="","",INDEX(전체!$K$6:$K$75,$O7)))</f>
        <v/>
      </c>
      <c r="K7" s="20" t="str">
        <f aca="false">IF($O7="","",IF(INDEX(전체!$L$6:$L$75,$O7)="","",INDEX(전체!$L$6:$L$75,$O7)))</f>
        <v/>
      </c>
      <c r="L7" s="5" t="str">
        <f aca="false">IF($O7="","",IF(INDEX(전체!$M$6:$M$75,$O7)="","",INDEX(전체!$M$6:$M$75,$O7)))</f>
        <v/>
      </c>
      <c r="M7" s="21" t="str">
        <f aca="false">IF($O7="","",IF(INDEX(전체!$N$6:$N$75,$O7)="","",INDEX(전체!$N$6:$N$75,$O7)))</f>
        <v/>
      </c>
      <c r="N7" s="21" t="str">
        <f aca="false">IF($O7="","",IF(INDEX(전체!$O$6:$O$75,$O7)="","",INDEX(전체!$O$6:$O$75,$O7)))</f>
        <v/>
      </c>
      <c r="O7" s="22" t="str">
        <f aca="false">IFERROR(MATCH($R$2&amp;"|"&amp;3,전체!$P$6:$P$75,0),"")</f>
        <v/>
      </c>
    </row>
    <row r="8" customFormat="false" ht="15" hidden="false" customHeight="false" outlineLevel="0" collapsed="false">
      <c r="A8" s="5" t="str">
        <f aca="false">IF($O8="","",4)</f>
        <v/>
      </c>
      <c r="B8" s="20" t="str">
        <f aca="false">IF($O8="","",IF(INDEX(전체!$C$6:$C$75,$O8)="","",INDEX(전체!$C$6:$C$75,$O8)))</f>
        <v/>
      </c>
      <c r="C8" s="21" t="str">
        <f aca="false">IF($O8="","",IF(INDEX(전체!$D$6:$D$75,$O8)="","",INDEX(전체!$D$6:$D$75,$O8)))</f>
        <v/>
      </c>
      <c r="D8" s="5" t="str">
        <f aca="false">IF($O8="","",IF(INDEX(전체!$E$6:$E$75,$O8)="","",INDEX(전체!$E$6:$E$75,$O8)))</f>
        <v/>
      </c>
      <c r="E8" s="5" t="str">
        <f aca="false">IF($O8="","",IF(INDEX(전체!$F$6:$F$75,$O8)="","",INDEX(전체!$F$6:$F$75,$O8)))</f>
        <v/>
      </c>
      <c r="F8" s="21" t="str">
        <f aca="false">IF($O8="","",IF(INDEX(전체!$G$6:$G$75,$O8)="","",INDEX(전체!$G$6:$G$75,$O8)))</f>
        <v/>
      </c>
      <c r="G8" s="21" t="str">
        <f aca="false">IF($O8="","",IF(INDEX(전체!$H$6:$H$75,$O8)="","",INDEX(전체!$H$6:$H$75,$O8)))</f>
        <v/>
      </c>
      <c r="H8" s="5" t="str">
        <f aca="false">IF($O8="","",IF(INDEX(전체!$I$6:$I$75,$O8)="","",INDEX(전체!$I$6:$I$75,$O8)))</f>
        <v/>
      </c>
      <c r="I8" s="5" t="str">
        <f aca="false">IF($O8="","",IF(INDEX(전체!$J$6:$J$75,$O8)="","",INDEX(전체!$J$6:$J$75,$O8)))</f>
        <v/>
      </c>
      <c r="J8" s="21" t="str">
        <f aca="false">IF($O8="","",IF(INDEX(전체!$K$6:$K$75,$O8)="","",INDEX(전체!$K$6:$K$75,$O8)))</f>
        <v/>
      </c>
      <c r="K8" s="20" t="str">
        <f aca="false">IF($O8="","",IF(INDEX(전체!$L$6:$L$75,$O8)="","",INDEX(전체!$L$6:$L$75,$O8)))</f>
        <v/>
      </c>
      <c r="L8" s="5" t="str">
        <f aca="false">IF($O8="","",IF(INDEX(전체!$M$6:$M$75,$O8)="","",INDEX(전체!$M$6:$M$75,$O8)))</f>
        <v/>
      </c>
      <c r="M8" s="21" t="str">
        <f aca="false">IF($O8="","",IF(INDEX(전체!$N$6:$N$75,$O8)="","",INDEX(전체!$N$6:$N$75,$O8)))</f>
        <v/>
      </c>
      <c r="N8" s="21" t="str">
        <f aca="false">IF($O8="","",IF(INDEX(전체!$O$6:$O$75,$O8)="","",INDEX(전체!$O$6:$O$75,$O8)))</f>
        <v/>
      </c>
      <c r="O8" s="22" t="str">
        <f aca="false">IFERROR(MATCH($R$2&amp;"|"&amp;4,전체!$P$6:$P$75,0),"")</f>
        <v/>
      </c>
    </row>
    <row r="9" customFormat="false" ht="15" hidden="false" customHeight="false" outlineLevel="0" collapsed="false">
      <c r="A9" s="5" t="str">
        <f aca="false">IF($O9="","",5)</f>
        <v/>
      </c>
      <c r="B9" s="20" t="str">
        <f aca="false">IF($O9="","",IF(INDEX(전체!$C$6:$C$75,$O9)="","",INDEX(전체!$C$6:$C$75,$O9)))</f>
        <v/>
      </c>
      <c r="C9" s="21" t="str">
        <f aca="false">IF($O9="","",IF(INDEX(전체!$D$6:$D$75,$O9)="","",INDEX(전체!$D$6:$D$75,$O9)))</f>
        <v/>
      </c>
      <c r="D9" s="5" t="str">
        <f aca="false">IF($O9="","",IF(INDEX(전체!$E$6:$E$75,$O9)="","",INDEX(전체!$E$6:$E$75,$O9)))</f>
        <v/>
      </c>
      <c r="E9" s="5" t="str">
        <f aca="false">IF($O9="","",IF(INDEX(전체!$F$6:$F$75,$O9)="","",INDEX(전체!$F$6:$F$75,$O9)))</f>
        <v/>
      </c>
      <c r="F9" s="21" t="str">
        <f aca="false">IF($O9="","",IF(INDEX(전체!$G$6:$G$75,$O9)="","",INDEX(전체!$G$6:$G$75,$O9)))</f>
        <v/>
      </c>
      <c r="G9" s="21" t="str">
        <f aca="false">IF($O9="","",IF(INDEX(전체!$H$6:$H$75,$O9)="","",INDEX(전체!$H$6:$H$75,$O9)))</f>
        <v/>
      </c>
      <c r="H9" s="5" t="str">
        <f aca="false">IF($O9="","",IF(INDEX(전체!$I$6:$I$75,$O9)="","",INDEX(전체!$I$6:$I$75,$O9)))</f>
        <v/>
      </c>
      <c r="I9" s="5" t="str">
        <f aca="false">IF($O9="","",IF(INDEX(전체!$J$6:$J$75,$O9)="","",INDEX(전체!$J$6:$J$75,$O9)))</f>
        <v/>
      </c>
      <c r="J9" s="21" t="str">
        <f aca="false">IF($O9="","",IF(INDEX(전체!$K$6:$K$75,$O9)="","",INDEX(전체!$K$6:$K$75,$O9)))</f>
        <v/>
      </c>
      <c r="K9" s="20" t="str">
        <f aca="false">IF($O9="","",IF(INDEX(전체!$L$6:$L$75,$O9)="","",INDEX(전체!$L$6:$L$75,$O9)))</f>
        <v/>
      </c>
      <c r="L9" s="5" t="str">
        <f aca="false">IF($O9="","",IF(INDEX(전체!$M$6:$M$75,$O9)="","",INDEX(전체!$M$6:$M$75,$O9)))</f>
        <v/>
      </c>
      <c r="M9" s="21" t="str">
        <f aca="false">IF($O9="","",IF(INDEX(전체!$N$6:$N$75,$O9)="","",INDEX(전체!$N$6:$N$75,$O9)))</f>
        <v/>
      </c>
      <c r="N9" s="21" t="str">
        <f aca="false">IF($O9="","",IF(INDEX(전체!$O$6:$O$75,$O9)="","",INDEX(전체!$O$6:$O$75,$O9)))</f>
        <v/>
      </c>
      <c r="O9" s="22" t="str">
        <f aca="false">IFERROR(MATCH($R$2&amp;"|"&amp;5,전체!$P$6:$P$75,0),"")</f>
        <v/>
      </c>
    </row>
    <row r="10" customFormat="false" ht="15" hidden="false" customHeight="false" outlineLevel="0" collapsed="false">
      <c r="A10" s="5" t="str">
        <f aca="false">IF($O10="","",6)</f>
        <v/>
      </c>
      <c r="B10" s="20" t="str">
        <f aca="false">IF($O10="","",IF(INDEX(전체!$C$6:$C$75,$O10)="","",INDEX(전체!$C$6:$C$75,$O10)))</f>
        <v/>
      </c>
      <c r="C10" s="21" t="str">
        <f aca="false">IF($O10="","",IF(INDEX(전체!$D$6:$D$75,$O10)="","",INDEX(전체!$D$6:$D$75,$O10)))</f>
        <v/>
      </c>
      <c r="D10" s="5" t="str">
        <f aca="false">IF($O10="","",IF(INDEX(전체!$E$6:$E$75,$O10)="","",INDEX(전체!$E$6:$E$75,$O10)))</f>
        <v/>
      </c>
      <c r="E10" s="5" t="str">
        <f aca="false">IF($O10="","",IF(INDEX(전체!$F$6:$F$75,$O10)="","",INDEX(전체!$F$6:$F$75,$O10)))</f>
        <v/>
      </c>
      <c r="F10" s="21" t="str">
        <f aca="false">IF($O10="","",IF(INDEX(전체!$G$6:$G$75,$O10)="","",INDEX(전체!$G$6:$G$75,$O10)))</f>
        <v/>
      </c>
      <c r="G10" s="21" t="str">
        <f aca="false">IF($O10="","",IF(INDEX(전체!$H$6:$H$75,$O10)="","",INDEX(전체!$H$6:$H$75,$O10)))</f>
        <v/>
      </c>
      <c r="H10" s="5" t="str">
        <f aca="false">IF($O10="","",IF(INDEX(전체!$I$6:$I$75,$O10)="","",INDEX(전체!$I$6:$I$75,$O10)))</f>
        <v/>
      </c>
      <c r="I10" s="5" t="str">
        <f aca="false">IF($O10="","",IF(INDEX(전체!$J$6:$J$75,$O10)="","",INDEX(전체!$J$6:$J$75,$O10)))</f>
        <v/>
      </c>
      <c r="J10" s="21" t="str">
        <f aca="false">IF($O10="","",IF(INDEX(전체!$K$6:$K$75,$O10)="","",INDEX(전체!$K$6:$K$75,$O10)))</f>
        <v/>
      </c>
      <c r="K10" s="20" t="str">
        <f aca="false">IF($O10="","",IF(INDEX(전체!$L$6:$L$75,$O10)="","",INDEX(전체!$L$6:$L$75,$O10)))</f>
        <v/>
      </c>
      <c r="L10" s="5" t="str">
        <f aca="false">IF($O10="","",IF(INDEX(전체!$M$6:$M$75,$O10)="","",INDEX(전체!$M$6:$M$75,$O10)))</f>
        <v/>
      </c>
      <c r="M10" s="21" t="str">
        <f aca="false">IF($O10="","",IF(INDEX(전체!$N$6:$N$75,$O10)="","",INDEX(전체!$N$6:$N$75,$O10)))</f>
        <v/>
      </c>
      <c r="N10" s="21" t="str">
        <f aca="false">IF($O10="","",IF(INDEX(전체!$O$6:$O$75,$O10)="","",INDEX(전체!$O$6:$O$75,$O10)))</f>
        <v/>
      </c>
      <c r="O10" s="22" t="str">
        <f aca="false">IFERROR(MATCH($R$2&amp;"|"&amp;6,전체!$P$6:$P$75,0),"")</f>
        <v/>
      </c>
    </row>
    <row r="11" customFormat="false" ht="15" hidden="false" customHeight="false" outlineLevel="0" collapsed="false">
      <c r="A11" s="5" t="str">
        <f aca="false">IF($O11="","",7)</f>
        <v/>
      </c>
      <c r="B11" s="20" t="str">
        <f aca="false">IF($O11="","",IF(INDEX(전체!$C$6:$C$75,$O11)="","",INDEX(전체!$C$6:$C$75,$O11)))</f>
        <v/>
      </c>
      <c r="C11" s="21" t="str">
        <f aca="false">IF($O11="","",IF(INDEX(전체!$D$6:$D$75,$O11)="","",INDEX(전체!$D$6:$D$75,$O11)))</f>
        <v/>
      </c>
      <c r="D11" s="5" t="str">
        <f aca="false">IF($O11="","",IF(INDEX(전체!$E$6:$E$75,$O11)="","",INDEX(전체!$E$6:$E$75,$O11)))</f>
        <v/>
      </c>
      <c r="E11" s="5" t="str">
        <f aca="false">IF($O11="","",IF(INDEX(전체!$F$6:$F$75,$O11)="","",INDEX(전체!$F$6:$F$75,$O11)))</f>
        <v/>
      </c>
      <c r="F11" s="21" t="str">
        <f aca="false">IF($O11="","",IF(INDEX(전체!$G$6:$G$75,$O11)="","",INDEX(전체!$G$6:$G$75,$O11)))</f>
        <v/>
      </c>
      <c r="G11" s="21" t="str">
        <f aca="false">IF($O11="","",IF(INDEX(전체!$H$6:$H$75,$O11)="","",INDEX(전체!$H$6:$H$75,$O11)))</f>
        <v/>
      </c>
      <c r="H11" s="5" t="str">
        <f aca="false">IF($O11="","",IF(INDEX(전체!$I$6:$I$75,$O11)="","",INDEX(전체!$I$6:$I$75,$O11)))</f>
        <v/>
      </c>
      <c r="I11" s="5" t="str">
        <f aca="false">IF($O11="","",IF(INDEX(전체!$J$6:$J$75,$O11)="","",INDEX(전체!$J$6:$J$75,$O11)))</f>
        <v/>
      </c>
      <c r="J11" s="21" t="str">
        <f aca="false">IF($O11="","",IF(INDEX(전체!$K$6:$K$75,$O11)="","",INDEX(전체!$K$6:$K$75,$O11)))</f>
        <v/>
      </c>
      <c r="K11" s="20" t="str">
        <f aca="false">IF($O11="","",IF(INDEX(전체!$L$6:$L$75,$O11)="","",INDEX(전체!$L$6:$L$75,$O11)))</f>
        <v/>
      </c>
      <c r="L11" s="5" t="str">
        <f aca="false">IF($O11="","",IF(INDEX(전체!$M$6:$M$75,$O11)="","",INDEX(전체!$M$6:$M$75,$O11)))</f>
        <v/>
      </c>
      <c r="M11" s="21" t="str">
        <f aca="false">IF($O11="","",IF(INDEX(전체!$N$6:$N$75,$O11)="","",INDEX(전체!$N$6:$N$75,$O11)))</f>
        <v/>
      </c>
      <c r="N11" s="21" t="str">
        <f aca="false">IF($O11="","",IF(INDEX(전체!$O$6:$O$75,$O11)="","",INDEX(전체!$O$6:$O$75,$O11)))</f>
        <v/>
      </c>
      <c r="O11" s="22" t="str">
        <f aca="false">IFERROR(MATCH($R$2&amp;"|"&amp;7,전체!$P$6:$P$75,0),"")</f>
        <v/>
      </c>
    </row>
    <row r="12" customFormat="false" ht="15" hidden="false" customHeight="false" outlineLevel="0" collapsed="false">
      <c r="A12" s="5" t="str">
        <f aca="false">IF($O12="","",8)</f>
        <v/>
      </c>
      <c r="B12" s="20" t="str">
        <f aca="false">IF($O12="","",IF(INDEX(전체!$C$6:$C$75,$O12)="","",INDEX(전체!$C$6:$C$75,$O12)))</f>
        <v/>
      </c>
      <c r="C12" s="21" t="str">
        <f aca="false">IF($O12="","",IF(INDEX(전체!$D$6:$D$75,$O12)="","",INDEX(전체!$D$6:$D$75,$O12)))</f>
        <v/>
      </c>
      <c r="D12" s="5" t="str">
        <f aca="false">IF($O12="","",IF(INDEX(전체!$E$6:$E$75,$O12)="","",INDEX(전체!$E$6:$E$75,$O12)))</f>
        <v/>
      </c>
      <c r="E12" s="5" t="str">
        <f aca="false">IF($O12="","",IF(INDEX(전체!$F$6:$F$75,$O12)="","",INDEX(전체!$F$6:$F$75,$O12)))</f>
        <v/>
      </c>
      <c r="F12" s="21" t="str">
        <f aca="false">IF($O12="","",IF(INDEX(전체!$G$6:$G$75,$O12)="","",INDEX(전체!$G$6:$G$75,$O12)))</f>
        <v/>
      </c>
      <c r="G12" s="21" t="str">
        <f aca="false">IF($O12="","",IF(INDEX(전체!$H$6:$H$75,$O12)="","",INDEX(전체!$H$6:$H$75,$O12)))</f>
        <v/>
      </c>
      <c r="H12" s="5" t="str">
        <f aca="false">IF($O12="","",IF(INDEX(전체!$I$6:$I$75,$O12)="","",INDEX(전체!$I$6:$I$75,$O12)))</f>
        <v/>
      </c>
      <c r="I12" s="5" t="str">
        <f aca="false">IF($O12="","",IF(INDEX(전체!$J$6:$J$75,$O12)="","",INDEX(전체!$J$6:$J$75,$O12)))</f>
        <v/>
      </c>
      <c r="J12" s="21" t="str">
        <f aca="false">IF($O12="","",IF(INDEX(전체!$K$6:$K$75,$O12)="","",INDEX(전체!$K$6:$K$75,$O12)))</f>
        <v/>
      </c>
      <c r="K12" s="20" t="str">
        <f aca="false">IF($O12="","",IF(INDEX(전체!$L$6:$L$75,$O12)="","",INDEX(전체!$L$6:$L$75,$O12)))</f>
        <v/>
      </c>
      <c r="L12" s="5" t="str">
        <f aca="false">IF($O12="","",IF(INDEX(전체!$M$6:$M$75,$O12)="","",INDEX(전체!$M$6:$M$75,$O12)))</f>
        <v/>
      </c>
      <c r="M12" s="21" t="str">
        <f aca="false">IF($O12="","",IF(INDEX(전체!$N$6:$N$75,$O12)="","",INDEX(전체!$N$6:$N$75,$O12)))</f>
        <v/>
      </c>
      <c r="N12" s="21" t="str">
        <f aca="false">IF($O12="","",IF(INDEX(전체!$O$6:$O$75,$O12)="","",INDEX(전체!$O$6:$O$75,$O12)))</f>
        <v/>
      </c>
      <c r="O12" s="22" t="str">
        <f aca="false">IFERROR(MATCH($R$2&amp;"|"&amp;8,전체!$P$6:$P$75,0),"")</f>
        <v/>
      </c>
    </row>
    <row r="13" customFormat="false" ht="15" hidden="false" customHeight="false" outlineLevel="0" collapsed="false">
      <c r="A13" s="5" t="str">
        <f aca="false">IF($O13="","",9)</f>
        <v/>
      </c>
      <c r="B13" s="20" t="str">
        <f aca="false">IF($O13="","",IF(INDEX(전체!$C$6:$C$75,$O13)="","",INDEX(전체!$C$6:$C$75,$O13)))</f>
        <v/>
      </c>
      <c r="C13" s="21" t="str">
        <f aca="false">IF($O13="","",IF(INDEX(전체!$D$6:$D$75,$O13)="","",INDEX(전체!$D$6:$D$75,$O13)))</f>
        <v/>
      </c>
      <c r="D13" s="5" t="str">
        <f aca="false">IF($O13="","",IF(INDEX(전체!$E$6:$E$75,$O13)="","",INDEX(전체!$E$6:$E$75,$O13)))</f>
        <v/>
      </c>
      <c r="E13" s="5" t="str">
        <f aca="false">IF($O13="","",IF(INDEX(전체!$F$6:$F$75,$O13)="","",INDEX(전체!$F$6:$F$75,$O13)))</f>
        <v/>
      </c>
      <c r="F13" s="21" t="str">
        <f aca="false">IF($O13="","",IF(INDEX(전체!$G$6:$G$75,$O13)="","",INDEX(전체!$G$6:$G$75,$O13)))</f>
        <v/>
      </c>
      <c r="G13" s="21" t="str">
        <f aca="false">IF($O13="","",IF(INDEX(전체!$H$6:$H$75,$O13)="","",INDEX(전체!$H$6:$H$75,$O13)))</f>
        <v/>
      </c>
      <c r="H13" s="5" t="str">
        <f aca="false">IF($O13="","",IF(INDEX(전체!$I$6:$I$75,$O13)="","",INDEX(전체!$I$6:$I$75,$O13)))</f>
        <v/>
      </c>
      <c r="I13" s="5" t="str">
        <f aca="false">IF($O13="","",IF(INDEX(전체!$J$6:$J$75,$O13)="","",INDEX(전체!$J$6:$J$75,$O13)))</f>
        <v/>
      </c>
      <c r="J13" s="21" t="str">
        <f aca="false">IF($O13="","",IF(INDEX(전체!$K$6:$K$75,$O13)="","",INDEX(전체!$K$6:$K$75,$O13)))</f>
        <v/>
      </c>
      <c r="K13" s="20" t="str">
        <f aca="false">IF($O13="","",IF(INDEX(전체!$L$6:$L$75,$O13)="","",INDEX(전체!$L$6:$L$75,$O13)))</f>
        <v/>
      </c>
      <c r="L13" s="5" t="str">
        <f aca="false">IF($O13="","",IF(INDEX(전체!$M$6:$M$75,$O13)="","",INDEX(전체!$M$6:$M$75,$O13)))</f>
        <v/>
      </c>
      <c r="M13" s="21" t="str">
        <f aca="false">IF($O13="","",IF(INDEX(전체!$N$6:$N$75,$O13)="","",INDEX(전체!$N$6:$N$75,$O13)))</f>
        <v/>
      </c>
      <c r="N13" s="21" t="str">
        <f aca="false">IF($O13="","",IF(INDEX(전체!$O$6:$O$75,$O13)="","",INDEX(전체!$O$6:$O$75,$O13)))</f>
        <v/>
      </c>
      <c r="O13" s="22" t="str">
        <f aca="false">IFERROR(MATCH($R$2&amp;"|"&amp;9,전체!$P$6:$P$75,0),"")</f>
        <v/>
      </c>
    </row>
    <row r="14" customFormat="false" ht="15" hidden="false" customHeight="false" outlineLevel="0" collapsed="false">
      <c r="A14" s="5" t="str">
        <f aca="false">IF($O14="","",10)</f>
        <v/>
      </c>
      <c r="B14" s="20" t="str">
        <f aca="false">IF($O14="","",IF(INDEX(전체!$C$6:$C$75,$O14)="","",INDEX(전체!$C$6:$C$75,$O14)))</f>
        <v/>
      </c>
      <c r="C14" s="21" t="str">
        <f aca="false">IF($O14="","",IF(INDEX(전체!$D$6:$D$75,$O14)="","",INDEX(전체!$D$6:$D$75,$O14)))</f>
        <v/>
      </c>
      <c r="D14" s="5" t="str">
        <f aca="false">IF($O14="","",IF(INDEX(전체!$E$6:$E$75,$O14)="","",INDEX(전체!$E$6:$E$75,$O14)))</f>
        <v/>
      </c>
      <c r="E14" s="5" t="str">
        <f aca="false">IF($O14="","",IF(INDEX(전체!$F$6:$F$75,$O14)="","",INDEX(전체!$F$6:$F$75,$O14)))</f>
        <v/>
      </c>
      <c r="F14" s="21" t="str">
        <f aca="false">IF($O14="","",IF(INDEX(전체!$G$6:$G$75,$O14)="","",INDEX(전체!$G$6:$G$75,$O14)))</f>
        <v/>
      </c>
      <c r="G14" s="21" t="str">
        <f aca="false">IF($O14="","",IF(INDEX(전체!$H$6:$H$75,$O14)="","",INDEX(전체!$H$6:$H$75,$O14)))</f>
        <v/>
      </c>
      <c r="H14" s="5" t="str">
        <f aca="false">IF($O14="","",IF(INDEX(전체!$I$6:$I$75,$O14)="","",INDEX(전체!$I$6:$I$75,$O14)))</f>
        <v/>
      </c>
      <c r="I14" s="5" t="str">
        <f aca="false">IF($O14="","",IF(INDEX(전체!$J$6:$J$75,$O14)="","",INDEX(전체!$J$6:$J$75,$O14)))</f>
        <v/>
      </c>
      <c r="J14" s="21" t="str">
        <f aca="false">IF($O14="","",IF(INDEX(전체!$K$6:$K$75,$O14)="","",INDEX(전체!$K$6:$K$75,$O14)))</f>
        <v/>
      </c>
      <c r="K14" s="20" t="str">
        <f aca="false">IF($O14="","",IF(INDEX(전체!$L$6:$L$75,$O14)="","",INDEX(전체!$L$6:$L$75,$O14)))</f>
        <v/>
      </c>
      <c r="L14" s="5" t="str">
        <f aca="false">IF($O14="","",IF(INDEX(전체!$M$6:$M$75,$O14)="","",INDEX(전체!$M$6:$M$75,$O14)))</f>
        <v/>
      </c>
      <c r="M14" s="21" t="str">
        <f aca="false">IF($O14="","",IF(INDEX(전체!$N$6:$N$75,$O14)="","",INDEX(전체!$N$6:$N$75,$O14)))</f>
        <v/>
      </c>
      <c r="N14" s="21" t="str">
        <f aca="false">IF($O14="","",IF(INDEX(전체!$O$6:$O$75,$O14)="","",INDEX(전체!$O$6:$O$75,$O14)))</f>
        <v/>
      </c>
      <c r="O14" s="22" t="str">
        <f aca="false">IFERROR(MATCH($R$2&amp;"|"&amp;10,전체!$P$6:$P$75,0),"")</f>
        <v/>
      </c>
    </row>
    <row r="15" customFormat="false" ht="15" hidden="false" customHeight="false" outlineLevel="0" collapsed="false">
      <c r="A15" s="5" t="str">
        <f aca="false">IF($O15="","",11)</f>
        <v/>
      </c>
      <c r="B15" s="20" t="str">
        <f aca="false">IF($O15="","",IF(INDEX(전체!$C$6:$C$75,$O15)="","",INDEX(전체!$C$6:$C$75,$O15)))</f>
        <v/>
      </c>
      <c r="C15" s="21" t="str">
        <f aca="false">IF($O15="","",IF(INDEX(전체!$D$6:$D$75,$O15)="","",INDEX(전체!$D$6:$D$75,$O15)))</f>
        <v/>
      </c>
      <c r="D15" s="5" t="str">
        <f aca="false">IF($O15="","",IF(INDEX(전체!$E$6:$E$75,$O15)="","",INDEX(전체!$E$6:$E$75,$O15)))</f>
        <v/>
      </c>
      <c r="E15" s="5" t="str">
        <f aca="false">IF($O15="","",IF(INDEX(전체!$F$6:$F$75,$O15)="","",INDEX(전체!$F$6:$F$75,$O15)))</f>
        <v/>
      </c>
      <c r="F15" s="21" t="str">
        <f aca="false">IF($O15="","",IF(INDEX(전체!$G$6:$G$75,$O15)="","",INDEX(전체!$G$6:$G$75,$O15)))</f>
        <v/>
      </c>
      <c r="G15" s="21" t="str">
        <f aca="false">IF($O15="","",IF(INDEX(전체!$H$6:$H$75,$O15)="","",INDEX(전체!$H$6:$H$75,$O15)))</f>
        <v/>
      </c>
      <c r="H15" s="5" t="str">
        <f aca="false">IF($O15="","",IF(INDEX(전체!$I$6:$I$75,$O15)="","",INDEX(전체!$I$6:$I$75,$O15)))</f>
        <v/>
      </c>
      <c r="I15" s="5" t="str">
        <f aca="false">IF($O15="","",IF(INDEX(전체!$J$6:$J$75,$O15)="","",INDEX(전체!$J$6:$J$75,$O15)))</f>
        <v/>
      </c>
      <c r="J15" s="21" t="str">
        <f aca="false">IF($O15="","",IF(INDEX(전체!$K$6:$K$75,$O15)="","",INDEX(전체!$K$6:$K$75,$O15)))</f>
        <v/>
      </c>
      <c r="K15" s="20" t="str">
        <f aca="false">IF($O15="","",IF(INDEX(전체!$L$6:$L$75,$O15)="","",INDEX(전체!$L$6:$L$75,$O15)))</f>
        <v/>
      </c>
      <c r="L15" s="5" t="str">
        <f aca="false">IF($O15="","",IF(INDEX(전체!$M$6:$M$75,$O15)="","",INDEX(전체!$M$6:$M$75,$O15)))</f>
        <v/>
      </c>
      <c r="M15" s="21" t="str">
        <f aca="false">IF($O15="","",IF(INDEX(전체!$N$6:$N$75,$O15)="","",INDEX(전체!$N$6:$N$75,$O15)))</f>
        <v/>
      </c>
      <c r="N15" s="21" t="str">
        <f aca="false">IF($O15="","",IF(INDEX(전체!$O$6:$O$75,$O15)="","",INDEX(전체!$O$6:$O$75,$O15)))</f>
        <v/>
      </c>
      <c r="O15" s="22" t="str">
        <f aca="false">IFERROR(MATCH($R$2&amp;"|"&amp;11,전체!$P$6:$P$75,0),"")</f>
        <v/>
      </c>
    </row>
    <row r="16" customFormat="false" ht="15" hidden="false" customHeight="false" outlineLevel="0" collapsed="false">
      <c r="A16" s="5" t="str">
        <f aca="false">IF($O16="","",12)</f>
        <v/>
      </c>
      <c r="B16" s="20" t="str">
        <f aca="false">IF($O16="","",IF(INDEX(전체!$C$6:$C$75,$O16)="","",INDEX(전체!$C$6:$C$75,$O16)))</f>
        <v/>
      </c>
      <c r="C16" s="21" t="str">
        <f aca="false">IF($O16="","",IF(INDEX(전체!$D$6:$D$75,$O16)="","",INDEX(전체!$D$6:$D$75,$O16)))</f>
        <v/>
      </c>
      <c r="D16" s="5" t="str">
        <f aca="false">IF($O16="","",IF(INDEX(전체!$E$6:$E$75,$O16)="","",INDEX(전체!$E$6:$E$75,$O16)))</f>
        <v/>
      </c>
      <c r="E16" s="5" t="str">
        <f aca="false">IF($O16="","",IF(INDEX(전체!$F$6:$F$75,$O16)="","",INDEX(전체!$F$6:$F$75,$O16)))</f>
        <v/>
      </c>
      <c r="F16" s="21" t="str">
        <f aca="false">IF($O16="","",IF(INDEX(전체!$G$6:$G$75,$O16)="","",INDEX(전체!$G$6:$G$75,$O16)))</f>
        <v/>
      </c>
      <c r="G16" s="21" t="str">
        <f aca="false">IF($O16="","",IF(INDEX(전체!$H$6:$H$75,$O16)="","",INDEX(전체!$H$6:$H$75,$O16)))</f>
        <v/>
      </c>
      <c r="H16" s="5" t="str">
        <f aca="false">IF($O16="","",IF(INDEX(전체!$I$6:$I$75,$O16)="","",INDEX(전체!$I$6:$I$75,$O16)))</f>
        <v/>
      </c>
      <c r="I16" s="5" t="str">
        <f aca="false">IF($O16="","",IF(INDEX(전체!$J$6:$J$75,$O16)="","",INDEX(전체!$J$6:$J$75,$O16)))</f>
        <v/>
      </c>
      <c r="J16" s="21" t="str">
        <f aca="false">IF($O16="","",IF(INDEX(전체!$K$6:$K$75,$O16)="","",INDEX(전체!$K$6:$K$75,$O16)))</f>
        <v/>
      </c>
      <c r="K16" s="20" t="str">
        <f aca="false">IF($O16="","",IF(INDEX(전체!$L$6:$L$75,$O16)="","",INDEX(전체!$L$6:$L$75,$O16)))</f>
        <v/>
      </c>
      <c r="L16" s="5" t="str">
        <f aca="false">IF($O16="","",IF(INDEX(전체!$M$6:$M$75,$O16)="","",INDEX(전체!$M$6:$M$75,$O16)))</f>
        <v/>
      </c>
      <c r="M16" s="21" t="str">
        <f aca="false">IF($O16="","",IF(INDEX(전체!$N$6:$N$75,$O16)="","",INDEX(전체!$N$6:$N$75,$O16)))</f>
        <v/>
      </c>
      <c r="N16" s="21" t="str">
        <f aca="false">IF($O16="","",IF(INDEX(전체!$O$6:$O$75,$O16)="","",INDEX(전체!$O$6:$O$75,$O16)))</f>
        <v/>
      </c>
      <c r="O16" s="22" t="str">
        <f aca="false">IFERROR(MATCH($R$2&amp;"|"&amp;12,전체!$P$6:$P$75,0),"")</f>
        <v/>
      </c>
    </row>
    <row r="17" customFormat="false" ht="15" hidden="false" customHeight="false" outlineLevel="0" collapsed="false">
      <c r="A17" s="5" t="str">
        <f aca="false">IF($O17="","",13)</f>
        <v/>
      </c>
      <c r="B17" s="20" t="str">
        <f aca="false">IF($O17="","",IF(INDEX(전체!$C$6:$C$75,$O17)="","",INDEX(전체!$C$6:$C$75,$O17)))</f>
        <v/>
      </c>
      <c r="C17" s="21" t="str">
        <f aca="false">IF($O17="","",IF(INDEX(전체!$D$6:$D$75,$O17)="","",INDEX(전체!$D$6:$D$75,$O17)))</f>
        <v/>
      </c>
      <c r="D17" s="5" t="str">
        <f aca="false">IF($O17="","",IF(INDEX(전체!$E$6:$E$75,$O17)="","",INDEX(전체!$E$6:$E$75,$O17)))</f>
        <v/>
      </c>
      <c r="E17" s="5" t="str">
        <f aca="false">IF($O17="","",IF(INDEX(전체!$F$6:$F$75,$O17)="","",INDEX(전체!$F$6:$F$75,$O17)))</f>
        <v/>
      </c>
      <c r="F17" s="21" t="str">
        <f aca="false">IF($O17="","",IF(INDEX(전체!$G$6:$G$75,$O17)="","",INDEX(전체!$G$6:$G$75,$O17)))</f>
        <v/>
      </c>
      <c r="G17" s="21" t="str">
        <f aca="false">IF($O17="","",IF(INDEX(전체!$H$6:$H$75,$O17)="","",INDEX(전체!$H$6:$H$75,$O17)))</f>
        <v/>
      </c>
      <c r="H17" s="5" t="str">
        <f aca="false">IF($O17="","",IF(INDEX(전체!$I$6:$I$75,$O17)="","",INDEX(전체!$I$6:$I$75,$O17)))</f>
        <v/>
      </c>
      <c r="I17" s="5" t="str">
        <f aca="false">IF($O17="","",IF(INDEX(전체!$J$6:$J$75,$O17)="","",INDEX(전체!$J$6:$J$75,$O17)))</f>
        <v/>
      </c>
      <c r="J17" s="21" t="str">
        <f aca="false">IF($O17="","",IF(INDEX(전체!$K$6:$K$75,$O17)="","",INDEX(전체!$K$6:$K$75,$O17)))</f>
        <v/>
      </c>
      <c r="K17" s="20" t="str">
        <f aca="false">IF($O17="","",IF(INDEX(전체!$L$6:$L$75,$O17)="","",INDEX(전체!$L$6:$L$75,$O17)))</f>
        <v/>
      </c>
      <c r="L17" s="5" t="str">
        <f aca="false">IF($O17="","",IF(INDEX(전체!$M$6:$M$75,$O17)="","",INDEX(전체!$M$6:$M$75,$O17)))</f>
        <v/>
      </c>
      <c r="M17" s="21" t="str">
        <f aca="false">IF($O17="","",IF(INDEX(전체!$N$6:$N$75,$O17)="","",INDEX(전체!$N$6:$N$75,$O17)))</f>
        <v/>
      </c>
      <c r="N17" s="21" t="str">
        <f aca="false">IF($O17="","",IF(INDEX(전체!$O$6:$O$75,$O17)="","",INDEX(전체!$O$6:$O$75,$O17)))</f>
        <v/>
      </c>
      <c r="O17" s="22" t="str">
        <f aca="false">IFERROR(MATCH($R$2&amp;"|"&amp;13,전체!$P$6:$P$75,0),"")</f>
        <v/>
      </c>
    </row>
    <row r="18" customFormat="false" ht="15" hidden="false" customHeight="false" outlineLevel="0" collapsed="false">
      <c r="A18" s="5" t="str">
        <f aca="false">IF($O18="","",14)</f>
        <v/>
      </c>
      <c r="B18" s="20" t="str">
        <f aca="false">IF($O18="","",IF(INDEX(전체!$C$6:$C$75,$O18)="","",INDEX(전체!$C$6:$C$75,$O18)))</f>
        <v/>
      </c>
      <c r="C18" s="21" t="str">
        <f aca="false">IF($O18="","",IF(INDEX(전체!$D$6:$D$75,$O18)="","",INDEX(전체!$D$6:$D$75,$O18)))</f>
        <v/>
      </c>
      <c r="D18" s="5" t="str">
        <f aca="false">IF($O18="","",IF(INDEX(전체!$E$6:$E$75,$O18)="","",INDEX(전체!$E$6:$E$75,$O18)))</f>
        <v/>
      </c>
      <c r="E18" s="5" t="str">
        <f aca="false">IF($O18="","",IF(INDEX(전체!$F$6:$F$75,$O18)="","",INDEX(전체!$F$6:$F$75,$O18)))</f>
        <v/>
      </c>
      <c r="F18" s="21" t="str">
        <f aca="false">IF($O18="","",IF(INDEX(전체!$G$6:$G$75,$O18)="","",INDEX(전체!$G$6:$G$75,$O18)))</f>
        <v/>
      </c>
      <c r="G18" s="21" t="str">
        <f aca="false">IF($O18="","",IF(INDEX(전체!$H$6:$H$75,$O18)="","",INDEX(전체!$H$6:$H$75,$O18)))</f>
        <v/>
      </c>
      <c r="H18" s="5" t="str">
        <f aca="false">IF($O18="","",IF(INDEX(전체!$I$6:$I$75,$O18)="","",INDEX(전체!$I$6:$I$75,$O18)))</f>
        <v/>
      </c>
      <c r="I18" s="5" t="str">
        <f aca="false">IF($O18="","",IF(INDEX(전체!$J$6:$J$75,$O18)="","",INDEX(전체!$J$6:$J$75,$O18)))</f>
        <v/>
      </c>
      <c r="J18" s="21" t="str">
        <f aca="false">IF($O18="","",IF(INDEX(전체!$K$6:$K$75,$O18)="","",INDEX(전체!$K$6:$K$75,$O18)))</f>
        <v/>
      </c>
      <c r="K18" s="20" t="str">
        <f aca="false">IF($O18="","",IF(INDEX(전체!$L$6:$L$75,$O18)="","",INDEX(전체!$L$6:$L$75,$O18)))</f>
        <v/>
      </c>
      <c r="L18" s="5" t="str">
        <f aca="false">IF($O18="","",IF(INDEX(전체!$M$6:$M$75,$O18)="","",INDEX(전체!$M$6:$M$75,$O18)))</f>
        <v/>
      </c>
      <c r="M18" s="21" t="str">
        <f aca="false">IF($O18="","",IF(INDEX(전체!$N$6:$N$75,$O18)="","",INDEX(전체!$N$6:$N$75,$O18)))</f>
        <v/>
      </c>
      <c r="N18" s="21" t="str">
        <f aca="false">IF($O18="","",IF(INDEX(전체!$O$6:$O$75,$O18)="","",INDEX(전체!$O$6:$O$75,$O18)))</f>
        <v/>
      </c>
      <c r="O18" s="22" t="str">
        <f aca="false">IFERROR(MATCH($R$2&amp;"|"&amp;14,전체!$P$6:$P$75,0),"")</f>
        <v/>
      </c>
    </row>
    <row r="19" customFormat="false" ht="15" hidden="false" customHeight="false" outlineLevel="0" collapsed="false">
      <c r="A19" s="5" t="str">
        <f aca="false">IF($O19="","",15)</f>
        <v/>
      </c>
      <c r="B19" s="20" t="str">
        <f aca="false">IF($O19="","",IF(INDEX(전체!$C$6:$C$75,$O19)="","",INDEX(전체!$C$6:$C$75,$O19)))</f>
        <v/>
      </c>
      <c r="C19" s="21" t="str">
        <f aca="false">IF($O19="","",IF(INDEX(전체!$D$6:$D$75,$O19)="","",INDEX(전체!$D$6:$D$75,$O19)))</f>
        <v/>
      </c>
      <c r="D19" s="5" t="str">
        <f aca="false">IF($O19="","",IF(INDEX(전체!$E$6:$E$75,$O19)="","",INDEX(전체!$E$6:$E$75,$O19)))</f>
        <v/>
      </c>
      <c r="E19" s="5" t="str">
        <f aca="false">IF($O19="","",IF(INDEX(전체!$F$6:$F$75,$O19)="","",INDEX(전체!$F$6:$F$75,$O19)))</f>
        <v/>
      </c>
      <c r="F19" s="21" t="str">
        <f aca="false">IF($O19="","",IF(INDEX(전체!$G$6:$G$75,$O19)="","",INDEX(전체!$G$6:$G$75,$O19)))</f>
        <v/>
      </c>
      <c r="G19" s="21" t="str">
        <f aca="false">IF($O19="","",IF(INDEX(전체!$H$6:$H$75,$O19)="","",INDEX(전체!$H$6:$H$75,$O19)))</f>
        <v/>
      </c>
      <c r="H19" s="5" t="str">
        <f aca="false">IF($O19="","",IF(INDEX(전체!$I$6:$I$75,$O19)="","",INDEX(전체!$I$6:$I$75,$O19)))</f>
        <v/>
      </c>
      <c r="I19" s="5" t="str">
        <f aca="false">IF($O19="","",IF(INDEX(전체!$J$6:$J$75,$O19)="","",INDEX(전체!$J$6:$J$75,$O19)))</f>
        <v/>
      </c>
      <c r="J19" s="21" t="str">
        <f aca="false">IF($O19="","",IF(INDEX(전체!$K$6:$K$75,$O19)="","",INDEX(전체!$K$6:$K$75,$O19)))</f>
        <v/>
      </c>
      <c r="K19" s="20" t="str">
        <f aca="false">IF($O19="","",IF(INDEX(전체!$L$6:$L$75,$O19)="","",INDEX(전체!$L$6:$L$75,$O19)))</f>
        <v/>
      </c>
      <c r="L19" s="5" t="str">
        <f aca="false">IF($O19="","",IF(INDEX(전체!$M$6:$M$75,$O19)="","",INDEX(전체!$M$6:$M$75,$O19)))</f>
        <v/>
      </c>
      <c r="M19" s="21" t="str">
        <f aca="false">IF($O19="","",IF(INDEX(전체!$N$6:$N$75,$O19)="","",INDEX(전체!$N$6:$N$75,$O19)))</f>
        <v/>
      </c>
      <c r="N19" s="21" t="str">
        <f aca="false">IF($O19="","",IF(INDEX(전체!$O$6:$O$75,$O19)="","",INDEX(전체!$O$6:$O$75,$O19)))</f>
        <v/>
      </c>
      <c r="O19" s="22" t="str">
        <f aca="false">IFERROR(MATCH($R$2&amp;"|"&amp;15,전체!$P$6:$P$75,0),"")</f>
        <v/>
      </c>
    </row>
    <row r="20" customFormat="false" ht="15" hidden="false" customHeight="false" outlineLevel="0" collapsed="false">
      <c r="A20" s="5" t="str">
        <f aca="false">IF($O20="","",16)</f>
        <v/>
      </c>
      <c r="B20" s="20" t="str">
        <f aca="false">IF($O20="","",IF(INDEX(전체!$C$6:$C$75,$O20)="","",INDEX(전체!$C$6:$C$75,$O20)))</f>
        <v/>
      </c>
      <c r="C20" s="21" t="str">
        <f aca="false">IF($O20="","",IF(INDEX(전체!$D$6:$D$75,$O20)="","",INDEX(전체!$D$6:$D$75,$O20)))</f>
        <v/>
      </c>
      <c r="D20" s="5" t="str">
        <f aca="false">IF($O20="","",IF(INDEX(전체!$E$6:$E$75,$O20)="","",INDEX(전체!$E$6:$E$75,$O20)))</f>
        <v/>
      </c>
      <c r="E20" s="5" t="str">
        <f aca="false">IF($O20="","",IF(INDEX(전체!$F$6:$F$75,$O20)="","",INDEX(전체!$F$6:$F$75,$O20)))</f>
        <v/>
      </c>
      <c r="F20" s="21" t="str">
        <f aca="false">IF($O20="","",IF(INDEX(전체!$G$6:$G$75,$O20)="","",INDEX(전체!$G$6:$G$75,$O20)))</f>
        <v/>
      </c>
      <c r="G20" s="21" t="str">
        <f aca="false">IF($O20="","",IF(INDEX(전체!$H$6:$H$75,$O20)="","",INDEX(전체!$H$6:$H$75,$O20)))</f>
        <v/>
      </c>
      <c r="H20" s="5" t="str">
        <f aca="false">IF($O20="","",IF(INDEX(전체!$I$6:$I$75,$O20)="","",INDEX(전체!$I$6:$I$75,$O20)))</f>
        <v/>
      </c>
      <c r="I20" s="5" t="str">
        <f aca="false">IF($O20="","",IF(INDEX(전체!$J$6:$J$75,$O20)="","",INDEX(전체!$J$6:$J$75,$O20)))</f>
        <v/>
      </c>
      <c r="J20" s="21" t="str">
        <f aca="false">IF($O20="","",IF(INDEX(전체!$K$6:$K$75,$O20)="","",INDEX(전체!$K$6:$K$75,$O20)))</f>
        <v/>
      </c>
      <c r="K20" s="20" t="str">
        <f aca="false">IF($O20="","",IF(INDEX(전체!$L$6:$L$75,$O20)="","",INDEX(전체!$L$6:$L$75,$O20)))</f>
        <v/>
      </c>
      <c r="L20" s="5" t="str">
        <f aca="false">IF($O20="","",IF(INDEX(전체!$M$6:$M$75,$O20)="","",INDEX(전체!$M$6:$M$75,$O20)))</f>
        <v/>
      </c>
      <c r="M20" s="21" t="str">
        <f aca="false">IF($O20="","",IF(INDEX(전체!$N$6:$N$75,$O20)="","",INDEX(전체!$N$6:$N$75,$O20)))</f>
        <v/>
      </c>
      <c r="N20" s="21" t="str">
        <f aca="false">IF($O20="","",IF(INDEX(전체!$O$6:$O$75,$O20)="","",INDEX(전체!$O$6:$O$75,$O20)))</f>
        <v/>
      </c>
      <c r="O20" s="22" t="str">
        <f aca="false">IFERROR(MATCH($R$2&amp;"|"&amp;16,전체!$P$6:$P$75,0),"")</f>
        <v/>
      </c>
    </row>
    <row r="21" customFormat="false" ht="15" hidden="false" customHeight="false" outlineLevel="0" collapsed="false">
      <c r="A21" s="5" t="str">
        <f aca="false">IF($O21="","",17)</f>
        <v/>
      </c>
      <c r="B21" s="20" t="str">
        <f aca="false">IF($O21="","",IF(INDEX(전체!$C$6:$C$75,$O21)="","",INDEX(전체!$C$6:$C$75,$O21)))</f>
        <v/>
      </c>
      <c r="C21" s="21" t="str">
        <f aca="false">IF($O21="","",IF(INDEX(전체!$D$6:$D$75,$O21)="","",INDEX(전체!$D$6:$D$75,$O21)))</f>
        <v/>
      </c>
      <c r="D21" s="5" t="str">
        <f aca="false">IF($O21="","",IF(INDEX(전체!$E$6:$E$75,$O21)="","",INDEX(전체!$E$6:$E$75,$O21)))</f>
        <v/>
      </c>
      <c r="E21" s="5" t="str">
        <f aca="false">IF($O21="","",IF(INDEX(전체!$F$6:$F$75,$O21)="","",INDEX(전체!$F$6:$F$75,$O21)))</f>
        <v/>
      </c>
      <c r="F21" s="21" t="str">
        <f aca="false">IF($O21="","",IF(INDEX(전체!$G$6:$G$75,$O21)="","",INDEX(전체!$G$6:$G$75,$O21)))</f>
        <v/>
      </c>
      <c r="G21" s="21" t="str">
        <f aca="false">IF($O21="","",IF(INDEX(전체!$H$6:$H$75,$O21)="","",INDEX(전체!$H$6:$H$75,$O21)))</f>
        <v/>
      </c>
      <c r="H21" s="5" t="str">
        <f aca="false">IF($O21="","",IF(INDEX(전체!$I$6:$I$75,$O21)="","",INDEX(전체!$I$6:$I$75,$O21)))</f>
        <v/>
      </c>
      <c r="I21" s="5" t="str">
        <f aca="false">IF($O21="","",IF(INDEX(전체!$J$6:$J$75,$O21)="","",INDEX(전체!$J$6:$J$75,$O21)))</f>
        <v/>
      </c>
      <c r="J21" s="21" t="str">
        <f aca="false">IF($O21="","",IF(INDEX(전체!$K$6:$K$75,$O21)="","",INDEX(전체!$K$6:$K$75,$O21)))</f>
        <v/>
      </c>
      <c r="K21" s="20" t="str">
        <f aca="false">IF($O21="","",IF(INDEX(전체!$L$6:$L$75,$O21)="","",INDEX(전체!$L$6:$L$75,$O21)))</f>
        <v/>
      </c>
      <c r="L21" s="5" t="str">
        <f aca="false">IF($O21="","",IF(INDEX(전체!$M$6:$M$75,$O21)="","",INDEX(전체!$M$6:$M$75,$O21)))</f>
        <v/>
      </c>
      <c r="M21" s="21" t="str">
        <f aca="false">IF($O21="","",IF(INDEX(전체!$N$6:$N$75,$O21)="","",INDEX(전체!$N$6:$N$75,$O21)))</f>
        <v/>
      </c>
      <c r="N21" s="21" t="str">
        <f aca="false">IF($O21="","",IF(INDEX(전체!$O$6:$O$75,$O21)="","",INDEX(전체!$O$6:$O$75,$O21)))</f>
        <v/>
      </c>
      <c r="O21" s="22" t="str">
        <f aca="false">IFERROR(MATCH($R$2&amp;"|"&amp;17,전체!$P$6:$P$75,0),"")</f>
        <v/>
      </c>
    </row>
    <row r="22" customFormat="false" ht="15" hidden="false" customHeight="false" outlineLevel="0" collapsed="false">
      <c r="A22" s="5" t="str">
        <f aca="false">IF($O22="","",18)</f>
        <v/>
      </c>
      <c r="B22" s="20" t="str">
        <f aca="false">IF($O22="","",IF(INDEX(전체!$C$6:$C$75,$O22)="","",INDEX(전체!$C$6:$C$75,$O22)))</f>
        <v/>
      </c>
      <c r="C22" s="21" t="str">
        <f aca="false">IF($O22="","",IF(INDEX(전체!$D$6:$D$75,$O22)="","",INDEX(전체!$D$6:$D$75,$O22)))</f>
        <v/>
      </c>
      <c r="D22" s="5" t="str">
        <f aca="false">IF($O22="","",IF(INDEX(전체!$E$6:$E$75,$O22)="","",INDEX(전체!$E$6:$E$75,$O22)))</f>
        <v/>
      </c>
      <c r="E22" s="5" t="str">
        <f aca="false">IF($O22="","",IF(INDEX(전체!$F$6:$F$75,$O22)="","",INDEX(전체!$F$6:$F$75,$O22)))</f>
        <v/>
      </c>
      <c r="F22" s="21" t="str">
        <f aca="false">IF($O22="","",IF(INDEX(전체!$G$6:$G$75,$O22)="","",INDEX(전체!$G$6:$G$75,$O22)))</f>
        <v/>
      </c>
      <c r="G22" s="21" t="str">
        <f aca="false">IF($O22="","",IF(INDEX(전체!$H$6:$H$75,$O22)="","",INDEX(전체!$H$6:$H$75,$O22)))</f>
        <v/>
      </c>
      <c r="H22" s="5" t="str">
        <f aca="false">IF($O22="","",IF(INDEX(전체!$I$6:$I$75,$O22)="","",INDEX(전체!$I$6:$I$75,$O22)))</f>
        <v/>
      </c>
      <c r="I22" s="5" t="str">
        <f aca="false">IF($O22="","",IF(INDEX(전체!$J$6:$J$75,$O22)="","",INDEX(전체!$J$6:$J$75,$O22)))</f>
        <v/>
      </c>
      <c r="J22" s="21" t="str">
        <f aca="false">IF($O22="","",IF(INDEX(전체!$K$6:$K$75,$O22)="","",INDEX(전체!$K$6:$K$75,$O22)))</f>
        <v/>
      </c>
      <c r="K22" s="20" t="str">
        <f aca="false">IF($O22="","",IF(INDEX(전체!$L$6:$L$75,$O22)="","",INDEX(전체!$L$6:$L$75,$O22)))</f>
        <v/>
      </c>
      <c r="L22" s="5" t="str">
        <f aca="false">IF($O22="","",IF(INDEX(전체!$M$6:$M$75,$O22)="","",INDEX(전체!$M$6:$M$75,$O22)))</f>
        <v/>
      </c>
      <c r="M22" s="21" t="str">
        <f aca="false">IF($O22="","",IF(INDEX(전체!$N$6:$N$75,$O22)="","",INDEX(전체!$N$6:$N$75,$O22)))</f>
        <v/>
      </c>
      <c r="N22" s="21" t="str">
        <f aca="false">IF($O22="","",IF(INDEX(전체!$O$6:$O$75,$O22)="","",INDEX(전체!$O$6:$O$75,$O22)))</f>
        <v/>
      </c>
      <c r="O22" s="22" t="str">
        <f aca="false">IFERROR(MATCH($R$2&amp;"|"&amp;18,전체!$P$6:$P$75,0),"")</f>
        <v/>
      </c>
    </row>
    <row r="23" customFormat="false" ht="15" hidden="false" customHeight="false" outlineLevel="0" collapsed="false">
      <c r="A23" s="5" t="str">
        <f aca="false">IF($O23="","",19)</f>
        <v/>
      </c>
      <c r="B23" s="20" t="str">
        <f aca="false">IF($O23="","",IF(INDEX(전체!$C$6:$C$75,$O23)="","",INDEX(전체!$C$6:$C$75,$O23)))</f>
        <v/>
      </c>
      <c r="C23" s="21" t="str">
        <f aca="false">IF($O23="","",IF(INDEX(전체!$D$6:$D$75,$O23)="","",INDEX(전체!$D$6:$D$75,$O23)))</f>
        <v/>
      </c>
      <c r="D23" s="5" t="str">
        <f aca="false">IF($O23="","",IF(INDEX(전체!$E$6:$E$75,$O23)="","",INDEX(전체!$E$6:$E$75,$O23)))</f>
        <v/>
      </c>
      <c r="E23" s="5" t="str">
        <f aca="false">IF($O23="","",IF(INDEX(전체!$F$6:$F$75,$O23)="","",INDEX(전체!$F$6:$F$75,$O23)))</f>
        <v/>
      </c>
      <c r="F23" s="21" t="str">
        <f aca="false">IF($O23="","",IF(INDEX(전체!$G$6:$G$75,$O23)="","",INDEX(전체!$G$6:$G$75,$O23)))</f>
        <v/>
      </c>
      <c r="G23" s="21" t="str">
        <f aca="false">IF($O23="","",IF(INDEX(전체!$H$6:$H$75,$O23)="","",INDEX(전체!$H$6:$H$75,$O23)))</f>
        <v/>
      </c>
      <c r="H23" s="5" t="str">
        <f aca="false">IF($O23="","",IF(INDEX(전체!$I$6:$I$75,$O23)="","",INDEX(전체!$I$6:$I$75,$O23)))</f>
        <v/>
      </c>
      <c r="I23" s="5" t="str">
        <f aca="false">IF($O23="","",IF(INDEX(전체!$J$6:$J$75,$O23)="","",INDEX(전체!$J$6:$J$75,$O23)))</f>
        <v/>
      </c>
      <c r="J23" s="21" t="str">
        <f aca="false">IF($O23="","",IF(INDEX(전체!$K$6:$K$75,$O23)="","",INDEX(전체!$K$6:$K$75,$O23)))</f>
        <v/>
      </c>
      <c r="K23" s="20" t="str">
        <f aca="false">IF($O23="","",IF(INDEX(전체!$L$6:$L$75,$O23)="","",INDEX(전체!$L$6:$L$75,$O23)))</f>
        <v/>
      </c>
      <c r="L23" s="5" t="str">
        <f aca="false">IF($O23="","",IF(INDEX(전체!$M$6:$M$75,$O23)="","",INDEX(전체!$M$6:$M$75,$O23)))</f>
        <v/>
      </c>
      <c r="M23" s="21" t="str">
        <f aca="false">IF($O23="","",IF(INDEX(전체!$N$6:$N$75,$O23)="","",INDEX(전체!$N$6:$N$75,$O23)))</f>
        <v/>
      </c>
      <c r="N23" s="21" t="str">
        <f aca="false">IF($O23="","",IF(INDEX(전체!$O$6:$O$75,$O23)="","",INDEX(전체!$O$6:$O$75,$O23)))</f>
        <v/>
      </c>
      <c r="O23" s="22" t="str">
        <f aca="false">IFERROR(MATCH($R$2&amp;"|"&amp;19,전체!$P$6:$P$75,0),"")</f>
        <v/>
      </c>
    </row>
    <row r="24" customFormat="false" ht="15" hidden="false" customHeight="false" outlineLevel="0" collapsed="false">
      <c r="A24" s="5" t="str">
        <f aca="false">IF($O24="","",20)</f>
        <v/>
      </c>
      <c r="B24" s="20" t="str">
        <f aca="false">IF($O24="","",IF(INDEX(전체!$C$6:$C$75,$O24)="","",INDEX(전체!$C$6:$C$75,$O24)))</f>
        <v/>
      </c>
      <c r="C24" s="21" t="str">
        <f aca="false">IF($O24="","",IF(INDEX(전체!$D$6:$D$75,$O24)="","",INDEX(전체!$D$6:$D$75,$O24)))</f>
        <v/>
      </c>
      <c r="D24" s="5" t="str">
        <f aca="false">IF($O24="","",IF(INDEX(전체!$E$6:$E$75,$O24)="","",INDEX(전체!$E$6:$E$75,$O24)))</f>
        <v/>
      </c>
      <c r="E24" s="5" t="str">
        <f aca="false">IF($O24="","",IF(INDEX(전체!$F$6:$F$75,$O24)="","",INDEX(전체!$F$6:$F$75,$O24)))</f>
        <v/>
      </c>
      <c r="F24" s="21" t="str">
        <f aca="false">IF($O24="","",IF(INDEX(전체!$G$6:$G$75,$O24)="","",INDEX(전체!$G$6:$G$75,$O24)))</f>
        <v/>
      </c>
      <c r="G24" s="21" t="str">
        <f aca="false">IF($O24="","",IF(INDEX(전체!$H$6:$H$75,$O24)="","",INDEX(전체!$H$6:$H$75,$O24)))</f>
        <v/>
      </c>
      <c r="H24" s="5" t="str">
        <f aca="false">IF($O24="","",IF(INDEX(전체!$I$6:$I$75,$O24)="","",INDEX(전체!$I$6:$I$75,$O24)))</f>
        <v/>
      </c>
      <c r="I24" s="5" t="str">
        <f aca="false">IF($O24="","",IF(INDEX(전체!$J$6:$J$75,$O24)="","",INDEX(전체!$J$6:$J$75,$O24)))</f>
        <v/>
      </c>
      <c r="J24" s="21" t="str">
        <f aca="false">IF($O24="","",IF(INDEX(전체!$K$6:$K$75,$O24)="","",INDEX(전체!$K$6:$K$75,$O24)))</f>
        <v/>
      </c>
      <c r="K24" s="20" t="str">
        <f aca="false">IF($O24="","",IF(INDEX(전체!$L$6:$L$75,$O24)="","",INDEX(전체!$L$6:$L$75,$O24)))</f>
        <v/>
      </c>
      <c r="L24" s="5" t="str">
        <f aca="false">IF($O24="","",IF(INDEX(전체!$M$6:$M$75,$O24)="","",INDEX(전체!$M$6:$M$75,$O24)))</f>
        <v/>
      </c>
      <c r="M24" s="21" t="str">
        <f aca="false">IF($O24="","",IF(INDEX(전체!$N$6:$N$75,$O24)="","",INDEX(전체!$N$6:$N$75,$O24)))</f>
        <v/>
      </c>
      <c r="N24" s="21" t="str">
        <f aca="false">IF($O24="","",IF(INDEX(전체!$O$6:$O$75,$O24)="","",INDEX(전체!$O$6:$O$75,$O24)))</f>
        <v/>
      </c>
      <c r="O24" s="22" t="str">
        <f aca="false">IFERROR(MATCH($R$2&amp;"|"&amp;20,전체!$P$6:$P$75,0),"")</f>
        <v/>
      </c>
    </row>
    <row r="25" customFormat="false" ht="15" hidden="false" customHeight="false" outlineLevel="0" collapsed="false">
      <c r="A25" s="5" t="str">
        <f aca="false">IF($O25="","",21)</f>
        <v/>
      </c>
      <c r="B25" s="20" t="str">
        <f aca="false">IF($O25="","",IF(INDEX(전체!$C$6:$C$75,$O25)="","",INDEX(전체!$C$6:$C$75,$O25)))</f>
        <v/>
      </c>
      <c r="C25" s="21" t="str">
        <f aca="false">IF($O25="","",IF(INDEX(전체!$D$6:$D$75,$O25)="","",INDEX(전체!$D$6:$D$75,$O25)))</f>
        <v/>
      </c>
      <c r="D25" s="5" t="str">
        <f aca="false">IF($O25="","",IF(INDEX(전체!$E$6:$E$75,$O25)="","",INDEX(전체!$E$6:$E$75,$O25)))</f>
        <v/>
      </c>
      <c r="E25" s="5" t="str">
        <f aca="false">IF($O25="","",IF(INDEX(전체!$F$6:$F$75,$O25)="","",INDEX(전체!$F$6:$F$75,$O25)))</f>
        <v/>
      </c>
      <c r="F25" s="21" t="str">
        <f aca="false">IF($O25="","",IF(INDEX(전체!$G$6:$G$75,$O25)="","",INDEX(전체!$G$6:$G$75,$O25)))</f>
        <v/>
      </c>
      <c r="G25" s="21" t="str">
        <f aca="false">IF($O25="","",IF(INDEX(전체!$H$6:$H$75,$O25)="","",INDEX(전체!$H$6:$H$75,$O25)))</f>
        <v/>
      </c>
      <c r="H25" s="5" t="str">
        <f aca="false">IF($O25="","",IF(INDEX(전체!$I$6:$I$75,$O25)="","",INDEX(전체!$I$6:$I$75,$O25)))</f>
        <v/>
      </c>
      <c r="I25" s="5" t="str">
        <f aca="false">IF($O25="","",IF(INDEX(전체!$J$6:$J$75,$O25)="","",INDEX(전체!$J$6:$J$75,$O25)))</f>
        <v/>
      </c>
      <c r="J25" s="21" t="str">
        <f aca="false">IF($O25="","",IF(INDEX(전체!$K$6:$K$75,$O25)="","",INDEX(전체!$K$6:$K$75,$O25)))</f>
        <v/>
      </c>
      <c r="K25" s="20" t="str">
        <f aca="false">IF($O25="","",IF(INDEX(전체!$L$6:$L$75,$O25)="","",INDEX(전체!$L$6:$L$75,$O25)))</f>
        <v/>
      </c>
      <c r="L25" s="5" t="str">
        <f aca="false">IF($O25="","",IF(INDEX(전체!$M$6:$M$75,$O25)="","",INDEX(전체!$M$6:$M$75,$O25)))</f>
        <v/>
      </c>
      <c r="M25" s="21" t="str">
        <f aca="false">IF($O25="","",IF(INDEX(전체!$N$6:$N$75,$O25)="","",INDEX(전체!$N$6:$N$75,$O25)))</f>
        <v/>
      </c>
      <c r="N25" s="21" t="str">
        <f aca="false">IF($O25="","",IF(INDEX(전체!$O$6:$O$75,$O25)="","",INDEX(전체!$O$6:$O$75,$O25)))</f>
        <v/>
      </c>
      <c r="O25" s="22" t="str">
        <f aca="false">IFERROR(MATCH($R$2&amp;"|"&amp;21,전체!$P$6:$P$75,0),"")</f>
        <v/>
      </c>
    </row>
    <row r="26" customFormat="false" ht="15" hidden="false" customHeight="false" outlineLevel="0" collapsed="false">
      <c r="A26" s="5" t="str">
        <f aca="false">IF($O26="","",22)</f>
        <v/>
      </c>
      <c r="B26" s="20" t="str">
        <f aca="false">IF($O26="","",IF(INDEX(전체!$C$6:$C$75,$O26)="","",INDEX(전체!$C$6:$C$75,$O26)))</f>
        <v/>
      </c>
      <c r="C26" s="21" t="str">
        <f aca="false">IF($O26="","",IF(INDEX(전체!$D$6:$D$75,$O26)="","",INDEX(전체!$D$6:$D$75,$O26)))</f>
        <v/>
      </c>
      <c r="D26" s="5" t="str">
        <f aca="false">IF($O26="","",IF(INDEX(전체!$E$6:$E$75,$O26)="","",INDEX(전체!$E$6:$E$75,$O26)))</f>
        <v/>
      </c>
      <c r="E26" s="5" t="str">
        <f aca="false">IF($O26="","",IF(INDEX(전체!$F$6:$F$75,$O26)="","",INDEX(전체!$F$6:$F$75,$O26)))</f>
        <v/>
      </c>
      <c r="F26" s="21" t="str">
        <f aca="false">IF($O26="","",IF(INDEX(전체!$G$6:$G$75,$O26)="","",INDEX(전체!$G$6:$G$75,$O26)))</f>
        <v/>
      </c>
      <c r="G26" s="21" t="str">
        <f aca="false">IF($O26="","",IF(INDEX(전체!$H$6:$H$75,$O26)="","",INDEX(전체!$H$6:$H$75,$O26)))</f>
        <v/>
      </c>
      <c r="H26" s="5" t="str">
        <f aca="false">IF($O26="","",IF(INDEX(전체!$I$6:$I$75,$O26)="","",INDEX(전체!$I$6:$I$75,$O26)))</f>
        <v/>
      </c>
      <c r="I26" s="5" t="str">
        <f aca="false">IF($O26="","",IF(INDEX(전체!$J$6:$J$75,$O26)="","",INDEX(전체!$J$6:$J$75,$O26)))</f>
        <v/>
      </c>
      <c r="J26" s="21" t="str">
        <f aca="false">IF($O26="","",IF(INDEX(전체!$K$6:$K$75,$O26)="","",INDEX(전체!$K$6:$K$75,$O26)))</f>
        <v/>
      </c>
      <c r="K26" s="20" t="str">
        <f aca="false">IF($O26="","",IF(INDEX(전체!$L$6:$L$75,$O26)="","",INDEX(전체!$L$6:$L$75,$O26)))</f>
        <v/>
      </c>
      <c r="L26" s="5" t="str">
        <f aca="false">IF($O26="","",IF(INDEX(전체!$M$6:$M$75,$O26)="","",INDEX(전체!$M$6:$M$75,$O26)))</f>
        <v/>
      </c>
      <c r="M26" s="21" t="str">
        <f aca="false">IF($O26="","",IF(INDEX(전체!$N$6:$N$75,$O26)="","",INDEX(전체!$N$6:$N$75,$O26)))</f>
        <v/>
      </c>
      <c r="N26" s="21" t="str">
        <f aca="false">IF($O26="","",IF(INDEX(전체!$O$6:$O$75,$O26)="","",INDEX(전체!$O$6:$O$75,$O26)))</f>
        <v/>
      </c>
      <c r="O26" s="22" t="str">
        <f aca="false">IFERROR(MATCH($R$2&amp;"|"&amp;22,전체!$P$6:$P$75,0),"")</f>
        <v/>
      </c>
    </row>
    <row r="27" customFormat="false" ht="15" hidden="false" customHeight="false" outlineLevel="0" collapsed="false">
      <c r="A27" s="5" t="str">
        <f aca="false">IF($O27="","",23)</f>
        <v/>
      </c>
      <c r="B27" s="20" t="str">
        <f aca="false">IF($O27="","",IF(INDEX(전체!$C$6:$C$75,$O27)="","",INDEX(전체!$C$6:$C$75,$O27)))</f>
        <v/>
      </c>
      <c r="C27" s="21" t="str">
        <f aca="false">IF($O27="","",IF(INDEX(전체!$D$6:$D$75,$O27)="","",INDEX(전체!$D$6:$D$75,$O27)))</f>
        <v/>
      </c>
      <c r="D27" s="5" t="str">
        <f aca="false">IF($O27="","",IF(INDEX(전체!$E$6:$E$75,$O27)="","",INDEX(전체!$E$6:$E$75,$O27)))</f>
        <v/>
      </c>
      <c r="E27" s="5" t="str">
        <f aca="false">IF($O27="","",IF(INDEX(전체!$F$6:$F$75,$O27)="","",INDEX(전체!$F$6:$F$75,$O27)))</f>
        <v/>
      </c>
      <c r="F27" s="21" t="str">
        <f aca="false">IF($O27="","",IF(INDEX(전체!$G$6:$G$75,$O27)="","",INDEX(전체!$G$6:$G$75,$O27)))</f>
        <v/>
      </c>
      <c r="G27" s="21" t="str">
        <f aca="false">IF($O27="","",IF(INDEX(전체!$H$6:$H$75,$O27)="","",INDEX(전체!$H$6:$H$75,$O27)))</f>
        <v/>
      </c>
      <c r="H27" s="5" t="str">
        <f aca="false">IF($O27="","",IF(INDEX(전체!$I$6:$I$75,$O27)="","",INDEX(전체!$I$6:$I$75,$O27)))</f>
        <v/>
      </c>
      <c r="I27" s="5" t="str">
        <f aca="false">IF($O27="","",IF(INDEX(전체!$J$6:$J$75,$O27)="","",INDEX(전체!$J$6:$J$75,$O27)))</f>
        <v/>
      </c>
      <c r="J27" s="21" t="str">
        <f aca="false">IF($O27="","",IF(INDEX(전체!$K$6:$K$75,$O27)="","",INDEX(전체!$K$6:$K$75,$O27)))</f>
        <v/>
      </c>
      <c r="K27" s="20" t="str">
        <f aca="false">IF($O27="","",IF(INDEX(전체!$L$6:$L$75,$O27)="","",INDEX(전체!$L$6:$L$75,$O27)))</f>
        <v/>
      </c>
      <c r="L27" s="5" t="str">
        <f aca="false">IF($O27="","",IF(INDEX(전체!$M$6:$M$75,$O27)="","",INDEX(전체!$M$6:$M$75,$O27)))</f>
        <v/>
      </c>
      <c r="M27" s="21" t="str">
        <f aca="false">IF($O27="","",IF(INDEX(전체!$N$6:$N$75,$O27)="","",INDEX(전체!$N$6:$N$75,$O27)))</f>
        <v/>
      </c>
      <c r="N27" s="21" t="str">
        <f aca="false">IF($O27="","",IF(INDEX(전체!$O$6:$O$75,$O27)="","",INDEX(전체!$O$6:$O$75,$O27)))</f>
        <v/>
      </c>
      <c r="O27" s="22" t="str">
        <f aca="false">IFERROR(MATCH($R$2&amp;"|"&amp;23,전체!$P$6:$P$75,0),"")</f>
        <v/>
      </c>
    </row>
    <row r="28" customFormat="false" ht="15" hidden="false" customHeight="false" outlineLevel="0" collapsed="false">
      <c r="A28" s="5" t="str">
        <f aca="false">IF($O28="","",24)</f>
        <v/>
      </c>
      <c r="B28" s="20" t="str">
        <f aca="false">IF($O28="","",IF(INDEX(전체!$C$6:$C$75,$O28)="","",INDEX(전체!$C$6:$C$75,$O28)))</f>
        <v/>
      </c>
      <c r="C28" s="21" t="str">
        <f aca="false">IF($O28="","",IF(INDEX(전체!$D$6:$D$75,$O28)="","",INDEX(전체!$D$6:$D$75,$O28)))</f>
        <v/>
      </c>
      <c r="D28" s="5" t="str">
        <f aca="false">IF($O28="","",IF(INDEX(전체!$E$6:$E$75,$O28)="","",INDEX(전체!$E$6:$E$75,$O28)))</f>
        <v/>
      </c>
      <c r="E28" s="5" t="str">
        <f aca="false">IF($O28="","",IF(INDEX(전체!$F$6:$F$75,$O28)="","",INDEX(전체!$F$6:$F$75,$O28)))</f>
        <v/>
      </c>
      <c r="F28" s="21" t="str">
        <f aca="false">IF($O28="","",IF(INDEX(전체!$G$6:$G$75,$O28)="","",INDEX(전체!$G$6:$G$75,$O28)))</f>
        <v/>
      </c>
      <c r="G28" s="21" t="str">
        <f aca="false">IF($O28="","",IF(INDEX(전체!$H$6:$H$75,$O28)="","",INDEX(전체!$H$6:$H$75,$O28)))</f>
        <v/>
      </c>
      <c r="H28" s="5" t="str">
        <f aca="false">IF($O28="","",IF(INDEX(전체!$I$6:$I$75,$O28)="","",INDEX(전체!$I$6:$I$75,$O28)))</f>
        <v/>
      </c>
      <c r="I28" s="5" t="str">
        <f aca="false">IF($O28="","",IF(INDEX(전체!$J$6:$J$75,$O28)="","",INDEX(전체!$J$6:$J$75,$O28)))</f>
        <v/>
      </c>
      <c r="J28" s="21" t="str">
        <f aca="false">IF($O28="","",IF(INDEX(전체!$K$6:$K$75,$O28)="","",INDEX(전체!$K$6:$K$75,$O28)))</f>
        <v/>
      </c>
      <c r="K28" s="20" t="str">
        <f aca="false">IF($O28="","",IF(INDEX(전체!$L$6:$L$75,$O28)="","",INDEX(전체!$L$6:$L$75,$O28)))</f>
        <v/>
      </c>
      <c r="L28" s="5" t="str">
        <f aca="false">IF($O28="","",IF(INDEX(전체!$M$6:$M$75,$O28)="","",INDEX(전체!$M$6:$M$75,$O28)))</f>
        <v/>
      </c>
      <c r="M28" s="21" t="str">
        <f aca="false">IF($O28="","",IF(INDEX(전체!$N$6:$N$75,$O28)="","",INDEX(전체!$N$6:$N$75,$O28)))</f>
        <v/>
      </c>
      <c r="N28" s="21" t="str">
        <f aca="false">IF($O28="","",IF(INDEX(전체!$O$6:$O$75,$O28)="","",INDEX(전체!$O$6:$O$75,$O28)))</f>
        <v/>
      </c>
      <c r="O28" s="22" t="str">
        <f aca="false">IFERROR(MATCH($R$2&amp;"|"&amp;24,전체!$P$6:$P$75,0),"")</f>
        <v/>
      </c>
    </row>
    <row r="29" customFormat="false" ht="15" hidden="false" customHeight="false" outlineLevel="0" collapsed="false">
      <c r="A29" s="5" t="str">
        <f aca="false">IF($O29="","",25)</f>
        <v/>
      </c>
      <c r="B29" s="20" t="str">
        <f aca="false">IF($O29="","",IF(INDEX(전체!$C$6:$C$75,$O29)="","",INDEX(전체!$C$6:$C$75,$O29)))</f>
        <v/>
      </c>
      <c r="C29" s="21" t="str">
        <f aca="false">IF($O29="","",IF(INDEX(전체!$D$6:$D$75,$O29)="","",INDEX(전체!$D$6:$D$75,$O29)))</f>
        <v/>
      </c>
      <c r="D29" s="5" t="str">
        <f aca="false">IF($O29="","",IF(INDEX(전체!$E$6:$E$75,$O29)="","",INDEX(전체!$E$6:$E$75,$O29)))</f>
        <v/>
      </c>
      <c r="E29" s="5" t="str">
        <f aca="false">IF($O29="","",IF(INDEX(전체!$F$6:$F$75,$O29)="","",INDEX(전체!$F$6:$F$75,$O29)))</f>
        <v/>
      </c>
      <c r="F29" s="21" t="str">
        <f aca="false">IF($O29="","",IF(INDEX(전체!$G$6:$G$75,$O29)="","",INDEX(전체!$G$6:$G$75,$O29)))</f>
        <v/>
      </c>
      <c r="G29" s="21" t="str">
        <f aca="false">IF($O29="","",IF(INDEX(전체!$H$6:$H$75,$O29)="","",INDEX(전체!$H$6:$H$75,$O29)))</f>
        <v/>
      </c>
      <c r="H29" s="5" t="str">
        <f aca="false">IF($O29="","",IF(INDEX(전체!$I$6:$I$75,$O29)="","",INDEX(전체!$I$6:$I$75,$O29)))</f>
        <v/>
      </c>
      <c r="I29" s="5" t="str">
        <f aca="false">IF($O29="","",IF(INDEX(전체!$J$6:$J$75,$O29)="","",INDEX(전체!$J$6:$J$75,$O29)))</f>
        <v/>
      </c>
      <c r="J29" s="21" t="str">
        <f aca="false">IF($O29="","",IF(INDEX(전체!$K$6:$K$75,$O29)="","",INDEX(전체!$K$6:$K$75,$O29)))</f>
        <v/>
      </c>
      <c r="K29" s="20" t="str">
        <f aca="false">IF($O29="","",IF(INDEX(전체!$L$6:$L$75,$O29)="","",INDEX(전체!$L$6:$L$75,$O29)))</f>
        <v/>
      </c>
      <c r="L29" s="5" t="str">
        <f aca="false">IF($O29="","",IF(INDEX(전체!$M$6:$M$75,$O29)="","",INDEX(전체!$M$6:$M$75,$O29)))</f>
        <v/>
      </c>
      <c r="M29" s="21" t="str">
        <f aca="false">IF($O29="","",IF(INDEX(전체!$N$6:$N$75,$O29)="","",INDEX(전체!$N$6:$N$75,$O29)))</f>
        <v/>
      </c>
      <c r="N29" s="21" t="str">
        <f aca="false">IF($O29="","",IF(INDEX(전체!$O$6:$O$75,$O29)="","",INDEX(전체!$O$6:$O$75,$O29)))</f>
        <v/>
      </c>
      <c r="O29" s="22" t="str">
        <f aca="false">IFERROR(MATCH($R$2&amp;"|"&amp;25,전체!$P$6:$P$75,0),"")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D1F5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6"/>
  </cols>
  <sheetData>
    <row r="1" customFormat="false" ht="20.1" hidden="false" customHeight="false" outlineLevel="0" collapsed="false">
      <c r="A1" s="1" t="s">
        <v>263</v>
      </c>
      <c r="C1" s="16" t="str">
        <f aca="false">COUNTIF(전체!$B$6:$B$75,"양식·아시안")&amp;"곳"</f>
        <v>3곳</v>
      </c>
    </row>
    <row r="2" customFormat="false" ht="15" hidden="false" customHeight="false" outlineLevel="0" collapsed="false">
      <c r="A2" s="17" t="s">
        <v>255</v>
      </c>
      <c r="R2" s="18" t="s">
        <v>264</v>
      </c>
    </row>
    <row r="4" customFormat="false" ht="39.55" hidden="false" customHeight="false" outlineLevel="0" collapsed="false">
      <c r="A4" s="3" t="s">
        <v>3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19" t="s">
        <v>256</v>
      </c>
    </row>
    <row r="5" customFormat="false" ht="15" hidden="false" customHeight="false" outlineLevel="0" collapsed="false">
      <c r="A5" s="5" t="n">
        <f aca="false">IF($O5="","",1)</f>
        <v>1</v>
      </c>
      <c r="B5" s="20" t="str">
        <f aca="false">IF($O5="","",IF(INDEX(전체!$C$6:$C$75,$O5)="","",INDEX(전체!$C$6:$C$75,$O5)))</f>
        <v>라이프버거</v>
      </c>
      <c r="C5" s="21" t="str">
        <f aca="false">IF($O5="","",IF(INDEX(전체!$D$6:$D$75,$O5)="","",INDEX(전체!$D$6:$D$75,$O5)))</f>
        <v>수제버거</v>
      </c>
      <c r="D5" s="5" t="str">
        <f aca="false">IF($O5="","",IF(INDEX(전체!$E$6:$E$75,$O5)="","",INDEX(전체!$E$6:$E$75,$O5)))</f>
        <v>정보 없음</v>
      </c>
      <c r="E5" s="5" t="str">
        <f aca="false">IF($O5="","",IF(INDEX(전체!$F$6:$F$75,$O5)="","",INDEX(전체!$F$6:$F$75,$O5)))</f>
        <v/>
      </c>
      <c r="F5" s="21" t="str">
        <f aca="false">IF($O5="","",IF(INDEX(전체!$G$6:$G$75,$O5)="","",INDEX(전체!$G$6:$G$75,$O5)))</f>
        <v>부산 중구 중앙대로49번길 7</v>
      </c>
      <c r="G5" s="21" t="str">
        <f aca="false">IF($O5="","",IF(INDEX(전체!$H$6:$H$75,$O5)="","",INDEX(전체!$H$6:$H$75,$O5)))</f>
        <v/>
      </c>
      <c r="H5" s="5" t="str">
        <f aca="false">IF($O5="","",IF(INDEX(전체!$I$6:$I$75,$O5)="","",INDEX(전체!$I$6:$I$75,$O5)))</f>
        <v/>
      </c>
      <c r="I5" s="5" t="str">
        <f aca="false">IF($O5="","",IF(INDEX(전체!$J$6:$J$75,$O5)="","",INDEX(전체!$J$6:$J$75,$O5)))</f>
        <v/>
      </c>
      <c r="J5" s="21" t="str">
        <f aca="false">IF($O5="","",IF(INDEX(전체!$K$6:$K$75,$O5)="","",INDEX(전체!$K$6:$K$75,$O5)))</f>
        <v/>
      </c>
      <c r="K5" s="20" t="str">
        <f aca="false">IF($O5="","",IF(INDEX(전체!$L$6:$L$75,$O5)="","",INDEX(전체!$L$6:$L$75,$O5)))</f>
        <v>수제버거</v>
      </c>
      <c r="L5" s="5" t="str">
        <f aca="false">IF($O5="","",IF(INDEX(전체!$M$6:$M$75,$O5)="","",INDEX(전체!$M$6:$M$75,$O5)))</f>
        <v>7,000~10,000</v>
      </c>
      <c r="M5" s="21" t="str">
        <f aca="false">IF($O5="","",IF(INDEX(전체!$N$6:$N$75,$O5)="","",INDEX(전체!$N$6:$N$75,$O5)))</f>
        <v>빨간 간판의 미국식 수제버거집</v>
      </c>
      <c r="N5" s="21" t="str">
        <f aca="false">IF($O5="","",IF(INDEX(전체!$O$6:$O$75,$O5)="","",INDEX(전체!$O$6:$O$75,$O5)))</f>
        <v>주소는 웹검색 기준 – 방문 전 확인</v>
      </c>
      <c r="O5" s="22" t="n">
        <f aca="false">IFERROR(MATCH($R$2&amp;"|"&amp;1,전체!$P$6:$P$75,0),"")</f>
        <v>29</v>
      </c>
    </row>
    <row r="6" customFormat="false" ht="26.85" hidden="false" customHeight="false" outlineLevel="0" collapsed="false">
      <c r="A6" s="5" t="n">
        <f aca="false">IF($O6="","",2)</f>
        <v>2</v>
      </c>
      <c r="B6" s="20" t="str">
        <f aca="false">IF($O6="","",IF(INDEX(전체!$C$6:$C$75,$O6)="","",INDEX(전체!$C$6:$C$75,$O6)))</f>
        <v>이재모피자 (광복동)</v>
      </c>
      <c r="C6" s="21" t="str">
        <f aca="false">IF($O6="","",IF(INDEX(전체!$D$6:$D$75,$O6)="","",INDEX(전체!$D$6:$D$75,$O6)))</f>
        <v>피자</v>
      </c>
      <c r="D6" s="5" t="str">
        <f aca="false">IF($O6="","",IF(INDEX(전체!$E$6:$E$75,$O6)="","",INDEX(전체!$E$6:$E$75,$O6)))</f>
        <v>정보 없음</v>
      </c>
      <c r="E6" s="5" t="str">
        <f aca="false">IF($O6="","",IF(INDEX(전체!$F$6:$F$75,$O6)="","",INDEX(전체!$F$6:$F$75,$O6)))</f>
        <v/>
      </c>
      <c r="F6" s="21" t="str">
        <f aca="false">IF($O6="","",IF(INDEX(전체!$G$6:$G$75,$O6)="","",INDEX(전체!$G$6:$G$75,$O6)))</f>
        <v>부산 중구 광복중앙로 31 중앙아파트 2층</v>
      </c>
      <c r="G6" s="21" t="str">
        <f aca="false">IF($O6="","",IF(INDEX(전체!$H$6:$H$75,$O6)="","",INDEX(전체!$H$6:$H$75,$O6)))</f>
        <v/>
      </c>
      <c r="H6" s="5" t="str">
        <f aca="false">IF($O6="","",IF(INDEX(전체!$I$6:$I$75,$O6)="","",INDEX(전체!$I$6:$I$75,$O6)))</f>
        <v/>
      </c>
      <c r="I6" s="5" t="str">
        <f aca="false">IF($O6="","",IF(INDEX(전체!$J$6:$J$75,$O6)="","",INDEX(전체!$J$6:$J$75,$O6)))</f>
        <v/>
      </c>
      <c r="J6" s="21" t="str">
        <f aca="false">IF($O6="","",IF(INDEX(전체!$K$6:$K$75,$O6)="","",INDEX(전체!$K$6:$K$75,$O6)))</f>
        <v/>
      </c>
      <c r="K6" s="20" t="str">
        <f aca="false">IF($O6="","",IF(INDEX(전체!$L$6:$L$75,$O6)="","",INDEX(전체!$L$6:$L$75,$O6)))</f>
        <v>치즈피자 (M)</v>
      </c>
      <c r="L6" s="5" t="str">
        <f aca="false">IF($O6="","",IF(INDEX(전체!$M$6:$M$75,$O6)="","",INDEX(전체!$M$6:$M$75,$O6)))</f>
        <v>25,000~35,000</v>
      </c>
      <c r="M6" s="21" t="str">
        <f aca="false">IF($O6="","",IF(INDEX(전체!$N$6:$N$75,$O6)="","",INDEX(전체!$N$6:$N$75,$O6)))</f>
        <v>1992년 광복동에서 시작한 부산 대표 피자집. 치즈가 푸짐하기로 유명</v>
      </c>
      <c r="N6" s="21" t="str">
        <f aca="false">IF($O6="","",IF(INDEX(전체!$O$6:$O$75,$O6)="","",INDEX(전체!$O$6:$O$75,$O6)))</f>
        <v>주소는 웹검색 기준 – 방문 전 확인</v>
      </c>
      <c r="O6" s="22" t="n">
        <f aca="false">IFERROR(MATCH($R$2&amp;"|"&amp;2,전체!$P$6:$P$75,0),"")</f>
        <v>37</v>
      </c>
    </row>
    <row r="7" customFormat="false" ht="15" hidden="false" customHeight="false" outlineLevel="0" collapsed="false">
      <c r="A7" s="5" t="n">
        <f aca="false">IF($O7="","",3)</f>
        <v>3</v>
      </c>
      <c r="B7" s="20" t="str">
        <f aca="false">IF($O7="","",IF(INDEX(전체!$C$6:$C$75,$O7)="","",INDEX(전체!$C$6:$C$75,$O7)))</f>
        <v>미쓰부산</v>
      </c>
      <c r="C7" s="21" t="str">
        <f aca="false">IF($O7="","",IF(INDEX(전체!$D$6:$D$75,$O7)="","",INDEX(전체!$D$6:$D$75,$O7)))</f>
        <v>브런치</v>
      </c>
      <c r="D7" s="5" t="str">
        <f aca="false">IF($O7="","",IF(INDEX(전체!$E$6:$E$75,$O7)="","",INDEX(전체!$E$6:$E$75,$O7)))</f>
        <v>정보 없음</v>
      </c>
      <c r="E7" s="5" t="str">
        <f aca="false">IF($O7="","",IF(INDEX(전체!$F$6:$F$75,$O7)="","",INDEX(전체!$F$6:$F$75,$O7)))</f>
        <v/>
      </c>
      <c r="F7" s="21" t="str">
        <f aca="false">IF($O7="","",IF(INDEX(전체!$G$6:$G$75,$O7)="","",INDEX(전체!$G$6:$G$75,$O7)))</f>
        <v/>
      </c>
      <c r="G7" s="21" t="str">
        <f aca="false">IF($O7="","",IF(INDEX(전체!$H$6:$H$75,$O7)="","",INDEX(전체!$H$6:$H$75,$O7)))</f>
        <v/>
      </c>
      <c r="H7" s="5" t="str">
        <f aca="false">IF($O7="","",IF(INDEX(전체!$I$6:$I$75,$O7)="","",INDEX(전체!$I$6:$I$75,$O7)))</f>
        <v/>
      </c>
      <c r="I7" s="5" t="str">
        <f aca="false">IF($O7="","",IF(INDEX(전체!$J$6:$J$75,$O7)="","",INDEX(전체!$J$6:$J$75,$O7)))</f>
        <v/>
      </c>
      <c r="J7" s="21" t="str">
        <f aca="false">IF($O7="","",IF(INDEX(전체!$K$6:$K$75,$O7)="","",INDEX(전체!$K$6:$K$75,$O7)))</f>
        <v/>
      </c>
      <c r="K7" s="20" t="str">
        <f aca="false">IF($O7="","",IF(INDEX(전체!$L$6:$L$75,$O7)="","",INDEX(전체!$L$6:$L$75,$O7)))</f>
        <v>브런치 (메뉴 확인 필요)</v>
      </c>
      <c r="L7" s="5" t="str">
        <f aca="false">IF($O7="","",IF(INDEX(전체!$M$6:$M$75,$O7)="","",INDEX(전체!$M$6:$M$75,$O7)))</f>
        <v/>
      </c>
      <c r="M7" s="21" t="str">
        <f aca="false">IF($O7="","",IF(INDEX(전체!$N$6:$N$75,$O7)="","",INDEX(전체!$N$6:$N$75,$O7)))</f>
        <v>브런치 가게. 메뉴·가격은 확인 필요</v>
      </c>
      <c r="N7" s="21" t="str">
        <f aca="false">IF($O7="","",IF(INDEX(전체!$O$6:$O$75,$O7)="","",INDEX(전체!$O$6:$O$75,$O7)))</f>
        <v>이름·업종만 받음 – 웹검색에서 주소 못 찾음</v>
      </c>
      <c r="O7" s="22" t="n">
        <f aca="false">IFERROR(MATCH($R$2&amp;"|"&amp;3,전체!$P$6:$P$75,0),"")</f>
        <v>39</v>
      </c>
    </row>
    <row r="8" customFormat="false" ht="15" hidden="false" customHeight="false" outlineLevel="0" collapsed="false">
      <c r="A8" s="5" t="str">
        <f aca="false">IF($O8="","",4)</f>
        <v/>
      </c>
      <c r="B8" s="20" t="str">
        <f aca="false">IF($O8="","",IF(INDEX(전체!$C$6:$C$75,$O8)="","",INDEX(전체!$C$6:$C$75,$O8)))</f>
        <v/>
      </c>
      <c r="C8" s="21" t="str">
        <f aca="false">IF($O8="","",IF(INDEX(전체!$D$6:$D$75,$O8)="","",INDEX(전체!$D$6:$D$75,$O8)))</f>
        <v/>
      </c>
      <c r="D8" s="5" t="str">
        <f aca="false">IF($O8="","",IF(INDEX(전체!$E$6:$E$75,$O8)="","",INDEX(전체!$E$6:$E$75,$O8)))</f>
        <v/>
      </c>
      <c r="E8" s="5" t="str">
        <f aca="false">IF($O8="","",IF(INDEX(전체!$F$6:$F$75,$O8)="","",INDEX(전체!$F$6:$F$75,$O8)))</f>
        <v/>
      </c>
      <c r="F8" s="21" t="str">
        <f aca="false">IF($O8="","",IF(INDEX(전체!$G$6:$G$75,$O8)="","",INDEX(전체!$G$6:$G$75,$O8)))</f>
        <v/>
      </c>
      <c r="G8" s="21" t="str">
        <f aca="false">IF($O8="","",IF(INDEX(전체!$H$6:$H$75,$O8)="","",INDEX(전체!$H$6:$H$75,$O8)))</f>
        <v/>
      </c>
      <c r="H8" s="5" t="str">
        <f aca="false">IF($O8="","",IF(INDEX(전체!$I$6:$I$75,$O8)="","",INDEX(전체!$I$6:$I$75,$O8)))</f>
        <v/>
      </c>
      <c r="I8" s="5" t="str">
        <f aca="false">IF($O8="","",IF(INDEX(전체!$J$6:$J$75,$O8)="","",INDEX(전체!$J$6:$J$75,$O8)))</f>
        <v/>
      </c>
      <c r="J8" s="21" t="str">
        <f aca="false">IF($O8="","",IF(INDEX(전체!$K$6:$K$75,$O8)="","",INDEX(전체!$K$6:$K$75,$O8)))</f>
        <v/>
      </c>
      <c r="K8" s="20" t="str">
        <f aca="false">IF($O8="","",IF(INDEX(전체!$L$6:$L$75,$O8)="","",INDEX(전체!$L$6:$L$75,$O8)))</f>
        <v/>
      </c>
      <c r="L8" s="5" t="str">
        <f aca="false">IF($O8="","",IF(INDEX(전체!$M$6:$M$75,$O8)="","",INDEX(전체!$M$6:$M$75,$O8)))</f>
        <v/>
      </c>
      <c r="M8" s="21" t="str">
        <f aca="false">IF($O8="","",IF(INDEX(전체!$N$6:$N$75,$O8)="","",INDEX(전체!$N$6:$N$75,$O8)))</f>
        <v/>
      </c>
      <c r="N8" s="21" t="str">
        <f aca="false">IF($O8="","",IF(INDEX(전체!$O$6:$O$75,$O8)="","",INDEX(전체!$O$6:$O$75,$O8)))</f>
        <v/>
      </c>
      <c r="O8" s="22" t="str">
        <f aca="false">IFERROR(MATCH($R$2&amp;"|"&amp;4,전체!$P$6:$P$75,0),"")</f>
        <v/>
      </c>
    </row>
    <row r="9" customFormat="false" ht="15" hidden="false" customHeight="false" outlineLevel="0" collapsed="false">
      <c r="A9" s="5" t="str">
        <f aca="false">IF($O9="","",5)</f>
        <v/>
      </c>
      <c r="B9" s="20" t="str">
        <f aca="false">IF($O9="","",IF(INDEX(전체!$C$6:$C$75,$O9)="","",INDEX(전체!$C$6:$C$75,$O9)))</f>
        <v/>
      </c>
      <c r="C9" s="21" t="str">
        <f aca="false">IF($O9="","",IF(INDEX(전체!$D$6:$D$75,$O9)="","",INDEX(전체!$D$6:$D$75,$O9)))</f>
        <v/>
      </c>
      <c r="D9" s="5" t="str">
        <f aca="false">IF($O9="","",IF(INDEX(전체!$E$6:$E$75,$O9)="","",INDEX(전체!$E$6:$E$75,$O9)))</f>
        <v/>
      </c>
      <c r="E9" s="5" t="str">
        <f aca="false">IF($O9="","",IF(INDEX(전체!$F$6:$F$75,$O9)="","",INDEX(전체!$F$6:$F$75,$O9)))</f>
        <v/>
      </c>
      <c r="F9" s="21" t="str">
        <f aca="false">IF($O9="","",IF(INDEX(전체!$G$6:$G$75,$O9)="","",INDEX(전체!$G$6:$G$75,$O9)))</f>
        <v/>
      </c>
      <c r="G9" s="21" t="str">
        <f aca="false">IF($O9="","",IF(INDEX(전체!$H$6:$H$75,$O9)="","",INDEX(전체!$H$6:$H$75,$O9)))</f>
        <v/>
      </c>
      <c r="H9" s="5" t="str">
        <f aca="false">IF($O9="","",IF(INDEX(전체!$I$6:$I$75,$O9)="","",INDEX(전체!$I$6:$I$75,$O9)))</f>
        <v/>
      </c>
      <c r="I9" s="5" t="str">
        <f aca="false">IF($O9="","",IF(INDEX(전체!$J$6:$J$75,$O9)="","",INDEX(전체!$J$6:$J$75,$O9)))</f>
        <v/>
      </c>
      <c r="J9" s="21" t="str">
        <f aca="false">IF($O9="","",IF(INDEX(전체!$K$6:$K$75,$O9)="","",INDEX(전체!$K$6:$K$75,$O9)))</f>
        <v/>
      </c>
      <c r="K9" s="20" t="str">
        <f aca="false">IF($O9="","",IF(INDEX(전체!$L$6:$L$75,$O9)="","",INDEX(전체!$L$6:$L$75,$O9)))</f>
        <v/>
      </c>
      <c r="L9" s="5" t="str">
        <f aca="false">IF($O9="","",IF(INDEX(전체!$M$6:$M$75,$O9)="","",INDEX(전체!$M$6:$M$75,$O9)))</f>
        <v/>
      </c>
      <c r="M9" s="21" t="str">
        <f aca="false">IF($O9="","",IF(INDEX(전체!$N$6:$N$75,$O9)="","",INDEX(전체!$N$6:$N$75,$O9)))</f>
        <v/>
      </c>
      <c r="N9" s="21" t="str">
        <f aca="false">IF($O9="","",IF(INDEX(전체!$O$6:$O$75,$O9)="","",INDEX(전체!$O$6:$O$75,$O9)))</f>
        <v/>
      </c>
      <c r="O9" s="22" t="str">
        <f aca="false">IFERROR(MATCH($R$2&amp;"|"&amp;5,전체!$P$6:$P$75,0),"")</f>
        <v/>
      </c>
    </row>
    <row r="10" customFormat="false" ht="15" hidden="false" customHeight="false" outlineLevel="0" collapsed="false">
      <c r="A10" s="5" t="str">
        <f aca="false">IF($O10="","",6)</f>
        <v/>
      </c>
      <c r="B10" s="20" t="str">
        <f aca="false">IF($O10="","",IF(INDEX(전체!$C$6:$C$75,$O10)="","",INDEX(전체!$C$6:$C$75,$O10)))</f>
        <v/>
      </c>
      <c r="C10" s="21" t="str">
        <f aca="false">IF($O10="","",IF(INDEX(전체!$D$6:$D$75,$O10)="","",INDEX(전체!$D$6:$D$75,$O10)))</f>
        <v/>
      </c>
      <c r="D10" s="5" t="str">
        <f aca="false">IF($O10="","",IF(INDEX(전체!$E$6:$E$75,$O10)="","",INDEX(전체!$E$6:$E$75,$O10)))</f>
        <v/>
      </c>
      <c r="E10" s="5" t="str">
        <f aca="false">IF($O10="","",IF(INDEX(전체!$F$6:$F$75,$O10)="","",INDEX(전체!$F$6:$F$75,$O10)))</f>
        <v/>
      </c>
      <c r="F10" s="21" t="str">
        <f aca="false">IF($O10="","",IF(INDEX(전체!$G$6:$G$75,$O10)="","",INDEX(전체!$G$6:$G$75,$O10)))</f>
        <v/>
      </c>
      <c r="G10" s="21" t="str">
        <f aca="false">IF($O10="","",IF(INDEX(전체!$H$6:$H$75,$O10)="","",INDEX(전체!$H$6:$H$75,$O10)))</f>
        <v/>
      </c>
      <c r="H10" s="5" t="str">
        <f aca="false">IF($O10="","",IF(INDEX(전체!$I$6:$I$75,$O10)="","",INDEX(전체!$I$6:$I$75,$O10)))</f>
        <v/>
      </c>
      <c r="I10" s="5" t="str">
        <f aca="false">IF($O10="","",IF(INDEX(전체!$J$6:$J$75,$O10)="","",INDEX(전체!$J$6:$J$75,$O10)))</f>
        <v/>
      </c>
      <c r="J10" s="21" t="str">
        <f aca="false">IF($O10="","",IF(INDEX(전체!$K$6:$K$75,$O10)="","",INDEX(전체!$K$6:$K$75,$O10)))</f>
        <v/>
      </c>
      <c r="K10" s="20" t="str">
        <f aca="false">IF($O10="","",IF(INDEX(전체!$L$6:$L$75,$O10)="","",INDEX(전체!$L$6:$L$75,$O10)))</f>
        <v/>
      </c>
      <c r="L10" s="5" t="str">
        <f aca="false">IF($O10="","",IF(INDEX(전체!$M$6:$M$75,$O10)="","",INDEX(전체!$M$6:$M$75,$O10)))</f>
        <v/>
      </c>
      <c r="M10" s="21" t="str">
        <f aca="false">IF($O10="","",IF(INDEX(전체!$N$6:$N$75,$O10)="","",INDEX(전체!$N$6:$N$75,$O10)))</f>
        <v/>
      </c>
      <c r="N10" s="21" t="str">
        <f aca="false">IF($O10="","",IF(INDEX(전체!$O$6:$O$75,$O10)="","",INDEX(전체!$O$6:$O$75,$O10)))</f>
        <v/>
      </c>
      <c r="O10" s="22" t="str">
        <f aca="false">IFERROR(MATCH($R$2&amp;"|"&amp;6,전체!$P$6:$P$75,0),"")</f>
        <v/>
      </c>
    </row>
    <row r="11" customFormat="false" ht="15" hidden="false" customHeight="false" outlineLevel="0" collapsed="false">
      <c r="A11" s="5" t="str">
        <f aca="false">IF($O11="","",7)</f>
        <v/>
      </c>
      <c r="B11" s="20" t="str">
        <f aca="false">IF($O11="","",IF(INDEX(전체!$C$6:$C$75,$O11)="","",INDEX(전체!$C$6:$C$75,$O11)))</f>
        <v/>
      </c>
      <c r="C11" s="21" t="str">
        <f aca="false">IF($O11="","",IF(INDEX(전체!$D$6:$D$75,$O11)="","",INDEX(전체!$D$6:$D$75,$O11)))</f>
        <v/>
      </c>
      <c r="D11" s="5" t="str">
        <f aca="false">IF($O11="","",IF(INDEX(전체!$E$6:$E$75,$O11)="","",INDEX(전체!$E$6:$E$75,$O11)))</f>
        <v/>
      </c>
      <c r="E11" s="5" t="str">
        <f aca="false">IF($O11="","",IF(INDEX(전체!$F$6:$F$75,$O11)="","",INDEX(전체!$F$6:$F$75,$O11)))</f>
        <v/>
      </c>
      <c r="F11" s="21" t="str">
        <f aca="false">IF($O11="","",IF(INDEX(전체!$G$6:$G$75,$O11)="","",INDEX(전체!$G$6:$G$75,$O11)))</f>
        <v/>
      </c>
      <c r="G11" s="21" t="str">
        <f aca="false">IF($O11="","",IF(INDEX(전체!$H$6:$H$75,$O11)="","",INDEX(전체!$H$6:$H$75,$O11)))</f>
        <v/>
      </c>
      <c r="H11" s="5" t="str">
        <f aca="false">IF($O11="","",IF(INDEX(전체!$I$6:$I$75,$O11)="","",INDEX(전체!$I$6:$I$75,$O11)))</f>
        <v/>
      </c>
      <c r="I11" s="5" t="str">
        <f aca="false">IF($O11="","",IF(INDEX(전체!$J$6:$J$75,$O11)="","",INDEX(전체!$J$6:$J$75,$O11)))</f>
        <v/>
      </c>
      <c r="J11" s="21" t="str">
        <f aca="false">IF($O11="","",IF(INDEX(전체!$K$6:$K$75,$O11)="","",INDEX(전체!$K$6:$K$75,$O11)))</f>
        <v/>
      </c>
      <c r="K11" s="20" t="str">
        <f aca="false">IF($O11="","",IF(INDEX(전체!$L$6:$L$75,$O11)="","",INDEX(전체!$L$6:$L$75,$O11)))</f>
        <v/>
      </c>
      <c r="L11" s="5" t="str">
        <f aca="false">IF($O11="","",IF(INDEX(전체!$M$6:$M$75,$O11)="","",INDEX(전체!$M$6:$M$75,$O11)))</f>
        <v/>
      </c>
      <c r="M11" s="21" t="str">
        <f aca="false">IF($O11="","",IF(INDEX(전체!$N$6:$N$75,$O11)="","",INDEX(전체!$N$6:$N$75,$O11)))</f>
        <v/>
      </c>
      <c r="N11" s="21" t="str">
        <f aca="false">IF($O11="","",IF(INDEX(전체!$O$6:$O$75,$O11)="","",INDEX(전체!$O$6:$O$75,$O11)))</f>
        <v/>
      </c>
      <c r="O11" s="22" t="str">
        <f aca="false">IFERROR(MATCH($R$2&amp;"|"&amp;7,전체!$P$6:$P$75,0),"")</f>
        <v/>
      </c>
    </row>
    <row r="12" customFormat="false" ht="15" hidden="false" customHeight="false" outlineLevel="0" collapsed="false">
      <c r="A12" s="5" t="str">
        <f aca="false">IF($O12="","",8)</f>
        <v/>
      </c>
      <c r="B12" s="20" t="str">
        <f aca="false">IF($O12="","",IF(INDEX(전체!$C$6:$C$75,$O12)="","",INDEX(전체!$C$6:$C$75,$O12)))</f>
        <v/>
      </c>
      <c r="C12" s="21" t="str">
        <f aca="false">IF($O12="","",IF(INDEX(전체!$D$6:$D$75,$O12)="","",INDEX(전체!$D$6:$D$75,$O12)))</f>
        <v/>
      </c>
      <c r="D12" s="5" t="str">
        <f aca="false">IF($O12="","",IF(INDEX(전체!$E$6:$E$75,$O12)="","",INDEX(전체!$E$6:$E$75,$O12)))</f>
        <v/>
      </c>
      <c r="E12" s="5" t="str">
        <f aca="false">IF($O12="","",IF(INDEX(전체!$F$6:$F$75,$O12)="","",INDEX(전체!$F$6:$F$75,$O12)))</f>
        <v/>
      </c>
      <c r="F12" s="21" t="str">
        <f aca="false">IF($O12="","",IF(INDEX(전체!$G$6:$G$75,$O12)="","",INDEX(전체!$G$6:$G$75,$O12)))</f>
        <v/>
      </c>
      <c r="G12" s="21" t="str">
        <f aca="false">IF($O12="","",IF(INDEX(전체!$H$6:$H$75,$O12)="","",INDEX(전체!$H$6:$H$75,$O12)))</f>
        <v/>
      </c>
      <c r="H12" s="5" t="str">
        <f aca="false">IF($O12="","",IF(INDEX(전체!$I$6:$I$75,$O12)="","",INDEX(전체!$I$6:$I$75,$O12)))</f>
        <v/>
      </c>
      <c r="I12" s="5" t="str">
        <f aca="false">IF($O12="","",IF(INDEX(전체!$J$6:$J$75,$O12)="","",INDEX(전체!$J$6:$J$75,$O12)))</f>
        <v/>
      </c>
      <c r="J12" s="21" t="str">
        <f aca="false">IF($O12="","",IF(INDEX(전체!$K$6:$K$75,$O12)="","",INDEX(전체!$K$6:$K$75,$O12)))</f>
        <v/>
      </c>
      <c r="K12" s="20" t="str">
        <f aca="false">IF($O12="","",IF(INDEX(전체!$L$6:$L$75,$O12)="","",INDEX(전체!$L$6:$L$75,$O12)))</f>
        <v/>
      </c>
      <c r="L12" s="5" t="str">
        <f aca="false">IF($O12="","",IF(INDEX(전체!$M$6:$M$75,$O12)="","",INDEX(전체!$M$6:$M$75,$O12)))</f>
        <v/>
      </c>
      <c r="M12" s="21" t="str">
        <f aca="false">IF($O12="","",IF(INDEX(전체!$N$6:$N$75,$O12)="","",INDEX(전체!$N$6:$N$75,$O12)))</f>
        <v/>
      </c>
      <c r="N12" s="21" t="str">
        <f aca="false">IF($O12="","",IF(INDEX(전체!$O$6:$O$75,$O12)="","",INDEX(전체!$O$6:$O$75,$O12)))</f>
        <v/>
      </c>
      <c r="O12" s="22" t="str">
        <f aca="false">IFERROR(MATCH($R$2&amp;"|"&amp;8,전체!$P$6:$P$75,0),"")</f>
        <v/>
      </c>
    </row>
    <row r="13" customFormat="false" ht="15" hidden="false" customHeight="false" outlineLevel="0" collapsed="false">
      <c r="A13" s="5" t="str">
        <f aca="false">IF($O13="","",9)</f>
        <v/>
      </c>
      <c r="B13" s="20" t="str">
        <f aca="false">IF($O13="","",IF(INDEX(전체!$C$6:$C$75,$O13)="","",INDEX(전체!$C$6:$C$75,$O13)))</f>
        <v/>
      </c>
      <c r="C13" s="21" t="str">
        <f aca="false">IF($O13="","",IF(INDEX(전체!$D$6:$D$75,$O13)="","",INDEX(전체!$D$6:$D$75,$O13)))</f>
        <v/>
      </c>
      <c r="D13" s="5" t="str">
        <f aca="false">IF($O13="","",IF(INDEX(전체!$E$6:$E$75,$O13)="","",INDEX(전체!$E$6:$E$75,$O13)))</f>
        <v/>
      </c>
      <c r="E13" s="5" t="str">
        <f aca="false">IF($O13="","",IF(INDEX(전체!$F$6:$F$75,$O13)="","",INDEX(전체!$F$6:$F$75,$O13)))</f>
        <v/>
      </c>
      <c r="F13" s="21" t="str">
        <f aca="false">IF($O13="","",IF(INDEX(전체!$G$6:$G$75,$O13)="","",INDEX(전체!$G$6:$G$75,$O13)))</f>
        <v/>
      </c>
      <c r="G13" s="21" t="str">
        <f aca="false">IF($O13="","",IF(INDEX(전체!$H$6:$H$75,$O13)="","",INDEX(전체!$H$6:$H$75,$O13)))</f>
        <v/>
      </c>
      <c r="H13" s="5" t="str">
        <f aca="false">IF($O13="","",IF(INDEX(전체!$I$6:$I$75,$O13)="","",INDEX(전체!$I$6:$I$75,$O13)))</f>
        <v/>
      </c>
      <c r="I13" s="5" t="str">
        <f aca="false">IF($O13="","",IF(INDEX(전체!$J$6:$J$75,$O13)="","",INDEX(전체!$J$6:$J$75,$O13)))</f>
        <v/>
      </c>
      <c r="J13" s="21" t="str">
        <f aca="false">IF($O13="","",IF(INDEX(전체!$K$6:$K$75,$O13)="","",INDEX(전체!$K$6:$K$75,$O13)))</f>
        <v/>
      </c>
      <c r="K13" s="20" t="str">
        <f aca="false">IF($O13="","",IF(INDEX(전체!$L$6:$L$75,$O13)="","",INDEX(전체!$L$6:$L$75,$O13)))</f>
        <v/>
      </c>
      <c r="L13" s="5" t="str">
        <f aca="false">IF($O13="","",IF(INDEX(전체!$M$6:$M$75,$O13)="","",INDEX(전체!$M$6:$M$75,$O13)))</f>
        <v/>
      </c>
      <c r="M13" s="21" t="str">
        <f aca="false">IF($O13="","",IF(INDEX(전체!$N$6:$N$75,$O13)="","",INDEX(전체!$N$6:$N$75,$O13)))</f>
        <v/>
      </c>
      <c r="N13" s="21" t="str">
        <f aca="false">IF($O13="","",IF(INDEX(전체!$O$6:$O$75,$O13)="","",INDEX(전체!$O$6:$O$75,$O13)))</f>
        <v/>
      </c>
      <c r="O13" s="22" t="str">
        <f aca="false">IFERROR(MATCH($R$2&amp;"|"&amp;9,전체!$P$6:$P$75,0),"")</f>
        <v/>
      </c>
    </row>
    <row r="14" customFormat="false" ht="15" hidden="false" customHeight="false" outlineLevel="0" collapsed="false">
      <c r="A14" s="5" t="str">
        <f aca="false">IF($O14="","",10)</f>
        <v/>
      </c>
      <c r="B14" s="20" t="str">
        <f aca="false">IF($O14="","",IF(INDEX(전체!$C$6:$C$75,$O14)="","",INDEX(전체!$C$6:$C$75,$O14)))</f>
        <v/>
      </c>
      <c r="C14" s="21" t="str">
        <f aca="false">IF($O14="","",IF(INDEX(전체!$D$6:$D$75,$O14)="","",INDEX(전체!$D$6:$D$75,$O14)))</f>
        <v/>
      </c>
      <c r="D14" s="5" t="str">
        <f aca="false">IF($O14="","",IF(INDEX(전체!$E$6:$E$75,$O14)="","",INDEX(전체!$E$6:$E$75,$O14)))</f>
        <v/>
      </c>
      <c r="E14" s="5" t="str">
        <f aca="false">IF($O14="","",IF(INDEX(전체!$F$6:$F$75,$O14)="","",INDEX(전체!$F$6:$F$75,$O14)))</f>
        <v/>
      </c>
      <c r="F14" s="21" t="str">
        <f aca="false">IF($O14="","",IF(INDEX(전체!$G$6:$G$75,$O14)="","",INDEX(전체!$G$6:$G$75,$O14)))</f>
        <v/>
      </c>
      <c r="G14" s="21" t="str">
        <f aca="false">IF($O14="","",IF(INDEX(전체!$H$6:$H$75,$O14)="","",INDEX(전체!$H$6:$H$75,$O14)))</f>
        <v/>
      </c>
      <c r="H14" s="5" t="str">
        <f aca="false">IF($O14="","",IF(INDEX(전체!$I$6:$I$75,$O14)="","",INDEX(전체!$I$6:$I$75,$O14)))</f>
        <v/>
      </c>
      <c r="I14" s="5" t="str">
        <f aca="false">IF($O14="","",IF(INDEX(전체!$J$6:$J$75,$O14)="","",INDEX(전체!$J$6:$J$75,$O14)))</f>
        <v/>
      </c>
      <c r="J14" s="21" t="str">
        <f aca="false">IF($O14="","",IF(INDEX(전체!$K$6:$K$75,$O14)="","",INDEX(전체!$K$6:$K$75,$O14)))</f>
        <v/>
      </c>
      <c r="K14" s="20" t="str">
        <f aca="false">IF($O14="","",IF(INDEX(전체!$L$6:$L$75,$O14)="","",INDEX(전체!$L$6:$L$75,$O14)))</f>
        <v/>
      </c>
      <c r="L14" s="5" t="str">
        <f aca="false">IF($O14="","",IF(INDEX(전체!$M$6:$M$75,$O14)="","",INDEX(전체!$M$6:$M$75,$O14)))</f>
        <v/>
      </c>
      <c r="M14" s="21" t="str">
        <f aca="false">IF($O14="","",IF(INDEX(전체!$N$6:$N$75,$O14)="","",INDEX(전체!$N$6:$N$75,$O14)))</f>
        <v/>
      </c>
      <c r="N14" s="21" t="str">
        <f aca="false">IF($O14="","",IF(INDEX(전체!$O$6:$O$75,$O14)="","",INDEX(전체!$O$6:$O$75,$O14)))</f>
        <v/>
      </c>
      <c r="O14" s="22" t="str">
        <f aca="false">IFERROR(MATCH($R$2&amp;"|"&amp;10,전체!$P$6:$P$75,0),"")</f>
        <v/>
      </c>
    </row>
    <row r="15" customFormat="false" ht="15" hidden="false" customHeight="false" outlineLevel="0" collapsed="false">
      <c r="A15" s="5" t="str">
        <f aca="false">IF($O15="","",11)</f>
        <v/>
      </c>
      <c r="B15" s="20" t="str">
        <f aca="false">IF($O15="","",IF(INDEX(전체!$C$6:$C$75,$O15)="","",INDEX(전체!$C$6:$C$75,$O15)))</f>
        <v/>
      </c>
      <c r="C15" s="21" t="str">
        <f aca="false">IF($O15="","",IF(INDEX(전체!$D$6:$D$75,$O15)="","",INDEX(전체!$D$6:$D$75,$O15)))</f>
        <v/>
      </c>
      <c r="D15" s="5" t="str">
        <f aca="false">IF($O15="","",IF(INDEX(전체!$E$6:$E$75,$O15)="","",INDEX(전체!$E$6:$E$75,$O15)))</f>
        <v/>
      </c>
      <c r="E15" s="5" t="str">
        <f aca="false">IF($O15="","",IF(INDEX(전체!$F$6:$F$75,$O15)="","",INDEX(전체!$F$6:$F$75,$O15)))</f>
        <v/>
      </c>
      <c r="F15" s="21" t="str">
        <f aca="false">IF($O15="","",IF(INDEX(전체!$G$6:$G$75,$O15)="","",INDEX(전체!$G$6:$G$75,$O15)))</f>
        <v/>
      </c>
      <c r="G15" s="21" t="str">
        <f aca="false">IF($O15="","",IF(INDEX(전체!$H$6:$H$75,$O15)="","",INDEX(전체!$H$6:$H$75,$O15)))</f>
        <v/>
      </c>
      <c r="H15" s="5" t="str">
        <f aca="false">IF($O15="","",IF(INDEX(전체!$I$6:$I$75,$O15)="","",INDEX(전체!$I$6:$I$75,$O15)))</f>
        <v/>
      </c>
      <c r="I15" s="5" t="str">
        <f aca="false">IF($O15="","",IF(INDEX(전체!$J$6:$J$75,$O15)="","",INDEX(전체!$J$6:$J$75,$O15)))</f>
        <v/>
      </c>
      <c r="J15" s="21" t="str">
        <f aca="false">IF($O15="","",IF(INDEX(전체!$K$6:$K$75,$O15)="","",INDEX(전체!$K$6:$K$75,$O15)))</f>
        <v/>
      </c>
      <c r="K15" s="20" t="str">
        <f aca="false">IF($O15="","",IF(INDEX(전체!$L$6:$L$75,$O15)="","",INDEX(전체!$L$6:$L$75,$O15)))</f>
        <v/>
      </c>
      <c r="L15" s="5" t="str">
        <f aca="false">IF($O15="","",IF(INDEX(전체!$M$6:$M$75,$O15)="","",INDEX(전체!$M$6:$M$75,$O15)))</f>
        <v/>
      </c>
      <c r="M15" s="21" t="str">
        <f aca="false">IF($O15="","",IF(INDEX(전체!$N$6:$N$75,$O15)="","",INDEX(전체!$N$6:$N$75,$O15)))</f>
        <v/>
      </c>
      <c r="N15" s="21" t="str">
        <f aca="false">IF($O15="","",IF(INDEX(전체!$O$6:$O$75,$O15)="","",INDEX(전체!$O$6:$O$75,$O15)))</f>
        <v/>
      </c>
      <c r="O15" s="22" t="str">
        <f aca="false">IFERROR(MATCH($R$2&amp;"|"&amp;11,전체!$P$6:$P$75,0),"")</f>
        <v/>
      </c>
    </row>
    <row r="16" customFormat="false" ht="15" hidden="false" customHeight="false" outlineLevel="0" collapsed="false">
      <c r="A16" s="5" t="str">
        <f aca="false">IF($O16="","",12)</f>
        <v/>
      </c>
      <c r="B16" s="20" t="str">
        <f aca="false">IF($O16="","",IF(INDEX(전체!$C$6:$C$75,$O16)="","",INDEX(전체!$C$6:$C$75,$O16)))</f>
        <v/>
      </c>
      <c r="C16" s="21" t="str">
        <f aca="false">IF($O16="","",IF(INDEX(전체!$D$6:$D$75,$O16)="","",INDEX(전체!$D$6:$D$75,$O16)))</f>
        <v/>
      </c>
      <c r="D16" s="5" t="str">
        <f aca="false">IF($O16="","",IF(INDEX(전체!$E$6:$E$75,$O16)="","",INDEX(전체!$E$6:$E$75,$O16)))</f>
        <v/>
      </c>
      <c r="E16" s="5" t="str">
        <f aca="false">IF($O16="","",IF(INDEX(전체!$F$6:$F$75,$O16)="","",INDEX(전체!$F$6:$F$75,$O16)))</f>
        <v/>
      </c>
      <c r="F16" s="21" t="str">
        <f aca="false">IF($O16="","",IF(INDEX(전체!$G$6:$G$75,$O16)="","",INDEX(전체!$G$6:$G$75,$O16)))</f>
        <v/>
      </c>
      <c r="G16" s="21" t="str">
        <f aca="false">IF($O16="","",IF(INDEX(전체!$H$6:$H$75,$O16)="","",INDEX(전체!$H$6:$H$75,$O16)))</f>
        <v/>
      </c>
      <c r="H16" s="5" t="str">
        <f aca="false">IF($O16="","",IF(INDEX(전체!$I$6:$I$75,$O16)="","",INDEX(전체!$I$6:$I$75,$O16)))</f>
        <v/>
      </c>
      <c r="I16" s="5" t="str">
        <f aca="false">IF($O16="","",IF(INDEX(전체!$J$6:$J$75,$O16)="","",INDEX(전체!$J$6:$J$75,$O16)))</f>
        <v/>
      </c>
      <c r="J16" s="21" t="str">
        <f aca="false">IF($O16="","",IF(INDEX(전체!$K$6:$K$75,$O16)="","",INDEX(전체!$K$6:$K$75,$O16)))</f>
        <v/>
      </c>
      <c r="K16" s="20" t="str">
        <f aca="false">IF($O16="","",IF(INDEX(전체!$L$6:$L$75,$O16)="","",INDEX(전체!$L$6:$L$75,$O16)))</f>
        <v/>
      </c>
      <c r="L16" s="5" t="str">
        <f aca="false">IF($O16="","",IF(INDEX(전체!$M$6:$M$75,$O16)="","",INDEX(전체!$M$6:$M$75,$O16)))</f>
        <v/>
      </c>
      <c r="M16" s="21" t="str">
        <f aca="false">IF($O16="","",IF(INDEX(전체!$N$6:$N$75,$O16)="","",INDEX(전체!$N$6:$N$75,$O16)))</f>
        <v/>
      </c>
      <c r="N16" s="21" t="str">
        <f aca="false">IF($O16="","",IF(INDEX(전체!$O$6:$O$75,$O16)="","",INDEX(전체!$O$6:$O$75,$O16)))</f>
        <v/>
      </c>
      <c r="O16" s="22" t="str">
        <f aca="false">IFERROR(MATCH($R$2&amp;"|"&amp;12,전체!$P$6:$P$75,0),"")</f>
        <v/>
      </c>
    </row>
    <row r="17" customFormat="false" ht="15" hidden="false" customHeight="false" outlineLevel="0" collapsed="false">
      <c r="A17" s="5" t="str">
        <f aca="false">IF($O17="","",13)</f>
        <v/>
      </c>
      <c r="B17" s="20" t="str">
        <f aca="false">IF($O17="","",IF(INDEX(전체!$C$6:$C$75,$O17)="","",INDEX(전체!$C$6:$C$75,$O17)))</f>
        <v/>
      </c>
      <c r="C17" s="21" t="str">
        <f aca="false">IF($O17="","",IF(INDEX(전체!$D$6:$D$75,$O17)="","",INDEX(전체!$D$6:$D$75,$O17)))</f>
        <v/>
      </c>
      <c r="D17" s="5" t="str">
        <f aca="false">IF($O17="","",IF(INDEX(전체!$E$6:$E$75,$O17)="","",INDEX(전체!$E$6:$E$75,$O17)))</f>
        <v/>
      </c>
      <c r="E17" s="5" t="str">
        <f aca="false">IF($O17="","",IF(INDEX(전체!$F$6:$F$75,$O17)="","",INDEX(전체!$F$6:$F$75,$O17)))</f>
        <v/>
      </c>
      <c r="F17" s="21" t="str">
        <f aca="false">IF($O17="","",IF(INDEX(전체!$G$6:$G$75,$O17)="","",INDEX(전체!$G$6:$G$75,$O17)))</f>
        <v/>
      </c>
      <c r="G17" s="21" t="str">
        <f aca="false">IF($O17="","",IF(INDEX(전체!$H$6:$H$75,$O17)="","",INDEX(전체!$H$6:$H$75,$O17)))</f>
        <v/>
      </c>
      <c r="H17" s="5" t="str">
        <f aca="false">IF($O17="","",IF(INDEX(전체!$I$6:$I$75,$O17)="","",INDEX(전체!$I$6:$I$75,$O17)))</f>
        <v/>
      </c>
      <c r="I17" s="5" t="str">
        <f aca="false">IF($O17="","",IF(INDEX(전체!$J$6:$J$75,$O17)="","",INDEX(전체!$J$6:$J$75,$O17)))</f>
        <v/>
      </c>
      <c r="J17" s="21" t="str">
        <f aca="false">IF($O17="","",IF(INDEX(전체!$K$6:$K$75,$O17)="","",INDEX(전체!$K$6:$K$75,$O17)))</f>
        <v/>
      </c>
      <c r="K17" s="20" t="str">
        <f aca="false">IF($O17="","",IF(INDEX(전체!$L$6:$L$75,$O17)="","",INDEX(전체!$L$6:$L$75,$O17)))</f>
        <v/>
      </c>
      <c r="L17" s="5" t="str">
        <f aca="false">IF($O17="","",IF(INDEX(전체!$M$6:$M$75,$O17)="","",INDEX(전체!$M$6:$M$75,$O17)))</f>
        <v/>
      </c>
      <c r="M17" s="21" t="str">
        <f aca="false">IF($O17="","",IF(INDEX(전체!$N$6:$N$75,$O17)="","",INDEX(전체!$N$6:$N$75,$O17)))</f>
        <v/>
      </c>
      <c r="N17" s="21" t="str">
        <f aca="false">IF($O17="","",IF(INDEX(전체!$O$6:$O$75,$O17)="","",INDEX(전체!$O$6:$O$75,$O17)))</f>
        <v/>
      </c>
      <c r="O17" s="22" t="str">
        <f aca="false">IFERROR(MATCH($R$2&amp;"|"&amp;13,전체!$P$6:$P$75,0),"")</f>
        <v/>
      </c>
    </row>
    <row r="18" customFormat="false" ht="15" hidden="false" customHeight="false" outlineLevel="0" collapsed="false">
      <c r="A18" s="5" t="str">
        <f aca="false">IF($O18="","",14)</f>
        <v/>
      </c>
      <c r="B18" s="20" t="str">
        <f aca="false">IF($O18="","",IF(INDEX(전체!$C$6:$C$75,$O18)="","",INDEX(전체!$C$6:$C$75,$O18)))</f>
        <v/>
      </c>
      <c r="C18" s="21" t="str">
        <f aca="false">IF($O18="","",IF(INDEX(전체!$D$6:$D$75,$O18)="","",INDEX(전체!$D$6:$D$75,$O18)))</f>
        <v/>
      </c>
      <c r="D18" s="5" t="str">
        <f aca="false">IF($O18="","",IF(INDEX(전체!$E$6:$E$75,$O18)="","",INDEX(전체!$E$6:$E$75,$O18)))</f>
        <v/>
      </c>
      <c r="E18" s="5" t="str">
        <f aca="false">IF($O18="","",IF(INDEX(전체!$F$6:$F$75,$O18)="","",INDEX(전체!$F$6:$F$75,$O18)))</f>
        <v/>
      </c>
      <c r="F18" s="21" t="str">
        <f aca="false">IF($O18="","",IF(INDEX(전체!$G$6:$G$75,$O18)="","",INDEX(전체!$G$6:$G$75,$O18)))</f>
        <v/>
      </c>
      <c r="G18" s="21" t="str">
        <f aca="false">IF($O18="","",IF(INDEX(전체!$H$6:$H$75,$O18)="","",INDEX(전체!$H$6:$H$75,$O18)))</f>
        <v/>
      </c>
      <c r="H18" s="5" t="str">
        <f aca="false">IF($O18="","",IF(INDEX(전체!$I$6:$I$75,$O18)="","",INDEX(전체!$I$6:$I$75,$O18)))</f>
        <v/>
      </c>
      <c r="I18" s="5" t="str">
        <f aca="false">IF($O18="","",IF(INDEX(전체!$J$6:$J$75,$O18)="","",INDEX(전체!$J$6:$J$75,$O18)))</f>
        <v/>
      </c>
      <c r="J18" s="21" t="str">
        <f aca="false">IF($O18="","",IF(INDEX(전체!$K$6:$K$75,$O18)="","",INDEX(전체!$K$6:$K$75,$O18)))</f>
        <v/>
      </c>
      <c r="K18" s="20" t="str">
        <f aca="false">IF($O18="","",IF(INDEX(전체!$L$6:$L$75,$O18)="","",INDEX(전체!$L$6:$L$75,$O18)))</f>
        <v/>
      </c>
      <c r="L18" s="5" t="str">
        <f aca="false">IF($O18="","",IF(INDEX(전체!$M$6:$M$75,$O18)="","",INDEX(전체!$M$6:$M$75,$O18)))</f>
        <v/>
      </c>
      <c r="M18" s="21" t="str">
        <f aca="false">IF($O18="","",IF(INDEX(전체!$N$6:$N$75,$O18)="","",INDEX(전체!$N$6:$N$75,$O18)))</f>
        <v/>
      </c>
      <c r="N18" s="21" t="str">
        <f aca="false">IF($O18="","",IF(INDEX(전체!$O$6:$O$75,$O18)="","",INDEX(전체!$O$6:$O$75,$O18)))</f>
        <v/>
      </c>
      <c r="O18" s="22" t="str">
        <f aca="false">IFERROR(MATCH($R$2&amp;"|"&amp;14,전체!$P$6:$P$75,0),"")</f>
        <v/>
      </c>
    </row>
    <row r="19" customFormat="false" ht="15" hidden="false" customHeight="false" outlineLevel="0" collapsed="false">
      <c r="A19" s="5" t="str">
        <f aca="false">IF($O19="","",15)</f>
        <v/>
      </c>
      <c r="B19" s="20" t="str">
        <f aca="false">IF($O19="","",IF(INDEX(전체!$C$6:$C$75,$O19)="","",INDEX(전체!$C$6:$C$75,$O19)))</f>
        <v/>
      </c>
      <c r="C19" s="21" t="str">
        <f aca="false">IF($O19="","",IF(INDEX(전체!$D$6:$D$75,$O19)="","",INDEX(전체!$D$6:$D$75,$O19)))</f>
        <v/>
      </c>
      <c r="D19" s="5" t="str">
        <f aca="false">IF($O19="","",IF(INDEX(전체!$E$6:$E$75,$O19)="","",INDEX(전체!$E$6:$E$75,$O19)))</f>
        <v/>
      </c>
      <c r="E19" s="5" t="str">
        <f aca="false">IF($O19="","",IF(INDEX(전체!$F$6:$F$75,$O19)="","",INDEX(전체!$F$6:$F$75,$O19)))</f>
        <v/>
      </c>
      <c r="F19" s="21" t="str">
        <f aca="false">IF($O19="","",IF(INDEX(전체!$G$6:$G$75,$O19)="","",INDEX(전체!$G$6:$G$75,$O19)))</f>
        <v/>
      </c>
      <c r="G19" s="21" t="str">
        <f aca="false">IF($O19="","",IF(INDEX(전체!$H$6:$H$75,$O19)="","",INDEX(전체!$H$6:$H$75,$O19)))</f>
        <v/>
      </c>
      <c r="H19" s="5" t="str">
        <f aca="false">IF($O19="","",IF(INDEX(전체!$I$6:$I$75,$O19)="","",INDEX(전체!$I$6:$I$75,$O19)))</f>
        <v/>
      </c>
      <c r="I19" s="5" t="str">
        <f aca="false">IF($O19="","",IF(INDEX(전체!$J$6:$J$75,$O19)="","",INDEX(전체!$J$6:$J$75,$O19)))</f>
        <v/>
      </c>
      <c r="J19" s="21" t="str">
        <f aca="false">IF($O19="","",IF(INDEX(전체!$K$6:$K$75,$O19)="","",INDEX(전체!$K$6:$K$75,$O19)))</f>
        <v/>
      </c>
      <c r="K19" s="20" t="str">
        <f aca="false">IF($O19="","",IF(INDEX(전체!$L$6:$L$75,$O19)="","",INDEX(전체!$L$6:$L$75,$O19)))</f>
        <v/>
      </c>
      <c r="L19" s="5" t="str">
        <f aca="false">IF($O19="","",IF(INDEX(전체!$M$6:$M$75,$O19)="","",INDEX(전체!$M$6:$M$75,$O19)))</f>
        <v/>
      </c>
      <c r="M19" s="21" t="str">
        <f aca="false">IF($O19="","",IF(INDEX(전체!$N$6:$N$75,$O19)="","",INDEX(전체!$N$6:$N$75,$O19)))</f>
        <v/>
      </c>
      <c r="N19" s="21" t="str">
        <f aca="false">IF($O19="","",IF(INDEX(전체!$O$6:$O$75,$O19)="","",INDEX(전체!$O$6:$O$75,$O19)))</f>
        <v/>
      </c>
      <c r="O19" s="22" t="str">
        <f aca="false">IFERROR(MATCH($R$2&amp;"|"&amp;15,전체!$P$6:$P$75,0),"")</f>
        <v/>
      </c>
    </row>
    <row r="20" customFormat="false" ht="15" hidden="false" customHeight="false" outlineLevel="0" collapsed="false">
      <c r="A20" s="5" t="str">
        <f aca="false">IF($O20="","",16)</f>
        <v/>
      </c>
      <c r="B20" s="20" t="str">
        <f aca="false">IF($O20="","",IF(INDEX(전체!$C$6:$C$75,$O20)="","",INDEX(전체!$C$6:$C$75,$O20)))</f>
        <v/>
      </c>
      <c r="C20" s="21" t="str">
        <f aca="false">IF($O20="","",IF(INDEX(전체!$D$6:$D$75,$O20)="","",INDEX(전체!$D$6:$D$75,$O20)))</f>
        <v/>
      </c>
      <c r="D20" s="5" t="str">
        <f aca="false">IF($O20="","",IF(INDEX(전체!$E$6:$E$75,$O20)="","",INDEX(전체!$E$6:$E$75,$O20)))</f>
        <v/>
      </c>
      <c r="E20" s="5" t="str">
        <f aca="false">IF($O20="","",IF(INDEX(전체!$F$6:$F$75,$O20)="","",INDEX(전체!$F$6:$F$75,$O20)))</f>
        <v/>
      </c>
      <c r="F20" s="21" t="str">
        <f aca="false">IF($O20="","",IF(INDEX(전체!$G$6:$G$75,$O20)="","",INDEX(전체!$G$6:$G$75,$O20)))</f>
        <v/>
      </c>
      <c r="G20" s="21" t="str">
        <f aca="false">IF($O20="","",IF(INDEX(전체!$H$6:$H$75,$O20)="","",INDEX(전체!$H$6:$H$75,$O20)))</f>
        <v/>
      </c>
      <c r="H20" s="5" t="str">
        <f aca="false">IF($O20="","",IF(INDEX(전체!$I$6:$I$75,$O20)="","",INDEX(전체!$I$6:$I$75,$O20)))</f>
        <v/>
      </c>
      <c r="I20" s="5" t="str">
        <f aca="false">IF($O20="","",IF(INDEX(전체!$J$6:$J$75,$O20)="","",INDEX(전체!$J$6:$J$75,$O20)))</f>
        <v/>
      </c>
      <c r="J20" s="21" t="str">
        <f aca="false">IF($O20="","",IF(INDEX(전체!$K$6:$K$75,$O20)="","",INDEX(전체!$K$6:$K$75,$O20)))</f>
        <v/>
      </c>
      <c r="K20" s="20" t="str">
        <f aca="false">IF($O20="","",IF(INDEX(전체!$L$6:$L$75,$O20)="","",INDEX(전체!$L$6:$L$75,$O20)))</f>
        <v/>
      </c>
      <c r="L20" s="5" t="str">
        <f aca="false">IF($O20="","",IF(INDEX(전체!$M$6:$M$75,$O20)="","",INDEX(전체!$M$6:$M$75,$O20)))</f>
        <v/>
      </c>
      <c r="M20" s="21" t="str">
        <f aca="false">IF($O20="","",IF(INDEX(전체!$N$6:$N$75,$O20)="","",INDEX(전체!$N$6:$N$75,$O20)))</f>
        <v/>
      </c>
      <c r="N20" s="21" t="str">
        <f aca="false">IF($O20="","",IF(INDEX(전체!$O$6:$O$75,$O20)="","",INDEX(전체!$O$6:$O$75,$O20)))</f>
        <v/>
      </c>
      <c r="O20" s="22" t="str">
        <f aca="false">IFERROR(MATCH($R$2&amp;"|"&amp;16,전체!$P$6:$P$75,0),"")</f>
        <v/>
      </c>
    </row>
    <row r="21" customFormat="false" ht="15" hidden="false" customHeight="false" outlineLevel="0" collapsed="false">
      <c r="A21" s="5" t="str">
        <f aca="false">IF($O21="","",17)</f>
        <v/>
      </c>
      <c r="B21" s="20" t="str">
        <f aca="false">IF($O21="","",IF(INDEX(전체!$C$6:$C$75,$O21)="","",INDEX(전체!$C$6:$C$75,$O21)))</f>
        <v/>
      </c>
      <c r="C21" s="21" t="str">
        <f aca="false">IF($O21="","",IF(INDEX(전체!$D$6:$D$75,$O21)="","",INDEX(전체!$D$6:$D$75,$O21)))</f>
        <v/>
      </c>
      <c r="D21" s="5" t="str">
        <f aca="false">IF($O21="","",IF(INDEX(전체!$E$6:$E$75,$O21)="","",INDEX(전체!$E$6:$E$75,$O21)))</f>
        <v/>
      </c>
      <c r="E21" s="5" t="str">
        <f aca="false">IF($O21="","",IF(INDEX(전체!$F$6:$F$75,$O21)="","",INDEX(전체!$F$6:$F$75,$O21)))</f>
        <v/>
      </c>
      <c r="F21" s="21" t="str">
        <f aca="false">IF($O21="","",IF(INDEX(전체!$G$6:$G$75,$O21)="","",INDEX(전체!$G$6:$G$75,$O21)))</f>
        <v/>
      </c>
      <c r="G21" s="21" t="str">
        <f aca="false">IF($O21="","",IF(INDEX(전체!$H$6:$H$75,$O21)="","",INDEX(전체!$H$6:$H$75,$O21)))</f>
        <v/>
      </c>
      <c r="H21" s="5" t="str">
        <f aca="false">IF($O21="","",IF(INDEX(전체!$I$6:$I$75,$O21)="","",INDEX(전체!$I$6:$I$75,$O21)))</f>
        <v/>
      </c>
      <c r="I21" s="5" t="str">
        <f aca="false">IF($O21="","",IF(INDEX(전체!$J$6:$J$75,$O21)="","",INDEX(전체!$J$6:$J$75,$O21)))</f>
        <v/>
      </c>
      <c r="J21" s="21" t="str">
        <f aca="false">IF($O21="","",IF(INDEX(전체!$K$6:$K$75,$O21)="","",INDEX(전체!$K$6:$K$75,$O21)))</f>
        <v/>
      </c>
      <c r="K21" s="20" t="str">
        <f aca="false">IF($O21="","",IF(INDEX(전체!$L$6:$L$75,$O21)="","",INDEX(전체!$L$6:$L$75,$O21)))</f>
        <v/>
      </c>
      <c r="L21" s="5" t="str">
        <f aca="false">IF($O21="","",IF(INDEX(전체!$M$6:$M$75,$O21)="","",INDEX(전체!$M$6:$M$75,$O21)))</f>
        <v/>
      </c>
      <c r="M21" s="21" t="str">
        <f aca="false">IF($O21="","",IF(INDEX(전체!$N$6:$N$75,$O21)="","",INDEX(전체!$N$6:$N$75,$O21)))</f>
        <v/>
      </c>
      <c r="N21" s="21" t="str">
        <f aca="false">IF($O21="","",IF(INDEX(전체!$O$6:$O$75,$O21)="","",INDEX(전체!$O$6:$O$75,$O21)))</f>
        <v/>
      </c>
      <c r="O21" s="22" t="str">
        <f aca="false">IFERROR(MATCH($R$2&amp;"|"&amp;17,전체!$P$6:$P$75,0),"")</f>
        <v/>
      </c>
    </row>
    <row r="22" customFormat="false" ht="15" hidden="false" customHeight="false" outlineLevel="0" collapsed="false">
      <c r="A22" s="5" t="str">
        <f aca="false">IF($O22="","",18)</f>
        <v/>
      </c>
      <c r="B22" s="20" t="str">
        <f aca="false">IF($O22="","",IF(INDEX(전체!$C$6:$C$75,$O22)="","",INDEX(전체!$C$6:$C$75,$O22)))</f>
        <v/>
      </c>
      <c r="C22" s="21" t="str">
        <f aca="false">IF($O22="","",IF(INDEX(전체!$D$6:$D$75,$O22)="","",INDEX(전체!$D$6:$D$75,$O22)))</f>
        <v/>
      </c>
      <c r="D22" s="5" t="str">
        <f aca="false">IF($O22="","",IF(INDEX(전체!$E$6:$E$75,$O22)="","",INDEX(전체!$E$6:$E$75,$O22)))</f>
        <v/>
      </c>
      <c r="E22" s="5" t="str">
        <f aca="false">IF($O22="","",IF(INDEX(전체!$F$6:$F$75,$O22)="","",INDEX(전체!$F$6:$F$75,$O22)))</f>
        <v/>
      </c>
      <c r="F22" s="21" t="str">
        <f aca="false">IF($O22="","",IF(INDEX(전체!$G$6:$G$75,$O22)="","",INDEX(전체!$G$6:$G$75,$O22)))</f>
        <v/>
      </c>
      <c r="G22" s="21" t="str">
        <f aca="false">IF($O22="","",IF(INDEX(전체!$H$6:$H$75,$O22)="","",INDEX(전체!$H$6:$H$75,$O22)))</f>
        <v/>
      </c>
      <c r="H22" s="5" t="str">
        <f aca="false">IF($O22="","",IF(INDEX(전체!$I$6:$I$75,$O22)="","",INDEX(전체!$I$6:$I$75,$O22)))</f>
        <v/>
      </c>
      <c r="I22" s="5" t="str">
        <f aca="false">IF($O22="","",IF(INDEX(전체!$J$6:$J$75,$O22)="","",INDEX(전체!$J$6:$J$75,$O22)))</f>
        <v/>
      </c>
      <c r="J22" s="21" t="str">
        <f aca="false">IF($O22="","",IF(INDEX(전체!$K$6:$K$75,$O22)="","",INDEX(전체!$K$6:$K$75,$O22)))</f>
        <v/>
      </c>
      <c r="K22" s="20" t="str">
        <f aca="false">IF($O22="","",IF(INDEX(전체!$L$6:$L$75,$O22)="","",INDEX(전체!$L$6:$L$75,$O22)))</f>
        <v/>
      </c>
      <c r="L22" s="5" t="str">
        <f aca="false">IF($O22="","",IF(INDEX(전체!$M$6:$M$75,$O22)="","",INDEX(전체!$M$6:$M$75,$O22)))</f>
        <v/>
      </c>
      <c r="M22" s="21" t="str">
        <f aca="false">IF($O22="","",IF(INDEX(전체!$N$6:$N$75,$O22)="","",INDEX(전체!$N$6:$N$75,$O22)))</f>
        <v/>
      </c>
      <c r="N22" s="21" t="str">
        <f aca="false">IF($O22="","",IF(INDEX(전체!$O$6:$O$75,$O22)="","",INDEX(전체!$O$6:$O$75,$O22)))</f>
        <v/>
      </c>
      <c r="O22" s="22" t="str">
        <f aca="false">IFERROR(MATCH($R$2&amp;"|"&amp;18,전체!$P$6:$P$75,0),"")</f>
        <v/>
      </c>
    </row>
    <row r="23" customFormat="false" ht="15" hidden="false" customHeight="false" outlineLevel="0" collapsed="false">
      <c r="A23" s="5" t="str">
        <f aca="false">IF($O23="","",19)</f>
        <v/>
      </c>
      <c r="B23" s="20" t="str">
        <f aca="false">IF($O23="","",IF(INDEX(전체!$C$6:$C$75,$O23)="","",INDEX(전체!$C$6:$C$75,$O23)))</f>
        <v/>
      </c>
      <c r="C23" s="21" t="str">
        <f aca="false">IF($O23="","",IF(INDEX(전체!$D$6:$D$75,$O23)="","",INDEX(전체!$D$6:$D$75,$O23)))</f>
        <v/>
      </c>
      <c r="D23" s="5" t="str">
        <f aca="false">IF($O23="","",IF(INDEX(전체!$E$6:$E$75,$O23)="","",INDEX(전체!$E$6:$E$75,$O23)))</f>
        <v/>
      </c>
      <c r="E23" s="5" t="str">
        <f aca="false">IF($O23="","",IF(INDEX(전체!$F$6:$F$75,$O23)="","",INDEX(전체!$F$6:$F$75,$O23)))</f>
        <v/>
      </c>
      <c r="F23" s="21" t="str">
        <f aca="false">IF($O23="","",IF(INDEX(전체!$G$6:$G$75,$O23)="","",INDEX(전체!$G$6:$G$75,$O23)))</f>
        <v/>
      </c>
      <c r="G23" s="21" t="str">
        <f aca="false">IF($O23="","",IF(INDEX(전체!$H$6:$H$75,$O23)="","",INDEX(전체!$H$6:$H$75,$O23)))</f>
        <v/>
      </c>
      <c r="H23" s="5" t="str">
        <f aca="false">IF($O23="","",IF(INDEX(전체!$I$6:$I$75,$O23)="","",INDEX(전체!$I$6:$I$75,$O23)))</f>
        <v/>
      </c>
      <c r="I23" s="5" t="str">
        <f aca="false">IF($O23="","",IF(INDEX(전체!$J$6:$J$75,$O23)="","",INDEX(전체!$J$6:$J$75,$O23)))</f>
        <v/>
      </c>
      <c r="J23" s="21" t="str">
        <f aca="false">IF($O23="","",IF(INDEX(전체!$K$6:$K$75,$O23)="","",INDEX(전체!$K$6:$K$75,$O23)))</f>
        <v/>
      </c>
      <c r="K23" s="20" t="str">
        <f aca="false">IF($O23="","",IF(INDEX(전체!$L$6:$L$75,$O23)="","",INDEX(전체!$L$6:$L$75,$O23)))</f>
        <v/>
      </c>
      <c r="L23" s="5" t="str">
        <f aca="false">IF($O23="","",IF(INDEX(전체!$M$6:$M$75,$O23)="","",INDEX(전체!$M$6:$M$75,$O23)))</f>
        <v/>
      </c>
      <c r="M23" s="21" t="str">
        <f aca="false">IF($O23="","",IF(INDEX(전체!$N$6:$N$75,$O23)="","",INDEX(전체!$N$6:$N$75,$O23)))</f>
        <v/>
      </c>
      <c r="N23" s="21" t="str">
        <f aca="false">IF($O23="","",IF(INDEX(전체!$O$6:$O$75,$O23)="","",INDEX(전체!$O$6:$O$75,$O23)))</f>
        <v/>
      </c>
      <c r="O23" s="22" t="str">
        <f aca="false">IFERROR(MATCH($R$2&amp;"|"&amp;19,전체!$P$6:$P$75,0),"")</f>
        <v/>
      </c>
    </row>
    <row r="24" customFormat="false" ht="15" hidden="false" customHeight="false" outlineLevel="0" collapsed="false">
      <c r="A24" s="5" t="str">
        <f aca="false">IF($O24="","",20)</f>
        <v/>
      </c>
      <c r="B24" s="20" t="str">
        <f aca="false">IF($O24="","",IF(INDEX(전체!$C$6:$C$75,$O24)="","",INDEX(전체!$C$6:$C$75,$O24)))</f>
        <v/>
      </c>
      <c r="C24" s="21" t="str">
        <f aca="false">IF($O24="","",IF(INDEX(전체!$D$6:$D$75,$O24)="","",INDEX(전체!$D$6:$D$75,$O24)))</f>
        <v/>
      </c>
      <c r="D24" s="5" t="str">
        <f aca="false">IF($O24="","",IF(INDEX(전체!$E$6:$E$75,$O24)="","",INDEX(전체!$E$6:$E$75,$O24)))</f>
        <v/>
      </c>
      <c r="E24" s="5" t="str">
        <f aca="false">IF($O24="","",IF(INDEX(전체!$F$6:$F$75,$O24)="","",INDEX(전체!$F$6:$F$75,$O24)))</f>
        <v/>
      </c>
      <c r="F24" s="21" t="str">
        <f aca="false">IF($O24="","",IF(INDEX(전체!$G$6:$G$75,$O24)="","",INDEX(전체!$G$6:$G$75,$O24)))</f>
        <v/>
      </c>
      <c r="G24" s="21" t="str">
        <f aca="false">IF($O24="","",IF(INDEX(전체!$H$6:$H$75,$O24)="","",INDEX(전체!$H$6:$H$75,$O24)))</f>
        <v/>
      </c>
      <c r="H24" s="5" t="str">
        <f aca="false">IF($O24="","",IF(INDEX(전체!$I$6:$I$75,$O24)="","",INDEX(전체!$I$6:$I$75,$O24)))</f>
        <v/>
      </c>
      <c r="I24" s="5" t="str">
        <f aca="false">IF($O24="","",IF(INDEX(전체!$J$6:$J$75,$O24)="","",INDEX(전체!$J$6:$J$75,$O24)))</f>
        <v/>
      </c>
      <c r="J24" s="21" t="str">
        <f aca="false">IF($O24="","",IF(INDEX(전체!$K$6:$K$75,$O24)="","",INDEX(전체!$K$6:$K$75,$O24)))</f>
        <v/>
      </c>
      <c r="K24" s="20" t="str">
        <f aca="false">IF($O24="","",IF(INDEX(전체!$L$6:$L$75,$O24)="","",INDEX(전체!$L$6:$L$75,$O24)))</f>
        <v/>
      </c>
      <c r="L24" s="5" t="str">
        <f aca="false">IF($O24="","",IF(INDEX(전체!$M$6:$M$75,$O24)="","",INDEX(전체!$M$6:$M$75,$O24)))</f>
        <v/>
      </c>
      <c r="M24" s="21" t="str">
        <f aca="false">IF($O24="","",IF(INDEX(전체!$N$6:$N$75,$O24)="","",INDEX(전체!$N$6:$N$75,$O24)))</f>
        <v/>
      </c>
      <c r="N24" s="21" t="str">
        <f aca="false">IF($O24="","",IF(INDEX(전체!$O$6:$O$75,$O24)="","",INDEX(전체!$O$6:$O$75,$O24)))</f>
        <v/>
      </c>
      <c r="O24" s="22" t="str">
        <f aca="false">IFERROR(MATCH($R$2&amp;"|"&amp;20,전체!$P$6:$P$75,0),"")</f>
        <v/>
      </c>
    </row>
    <row r="25" customFormat="false" ht="15" hidden="false" customHeight="false" outlineLevel="0" collapsed="false">
      <c r="A25" s="5" t="str">
        <f aca="false">IF($O25="","",21)</f>
        <v/>
      </c>
      <c r="B25" s="20" t="str">
        <f aca="false">IF($O25="","",IF(INDEX(전체!$C$6:$C$75,$O25)="","",INDEX(전체!$C$6:$C$75,$O25)))</f>
        <v/>
      </c>
      <c r="C25" s="21" t="str">
        <f aca="false">IF($O25="","",IF(INDEX(전체!$D$6:$D$75,$O25)="","",INDEX(전체!$D$6:$D$75,$O25)))</f>
        <v/>
      </c>
      <c r="D25" s="5" t="str">
        <f aca="false">IF($O25="","",IF(INDEX(전체!$E$6:$E$75,$O25)="","",INDEX(전체!$E$6:$E$75,$O25)))</f>
        <v/>
      </c>
      <c r="E25" s="5" t="str">
        <f aca="false">IF($O25="","",IF(INDEX(전체!$F$6:$F$75,$O25)="","",INDEX(전체!$F$6:$F$75,$O25)))</f>
        <v/>
      </c>
      <c r="F25" s="21" t="str">
        <f aca="false">IF($O25="","",IF(INDEX(전체!$G$6:$G$75,$O25)="","",INDEX(전체!$G$6:$G$75,$O25)))</f>
        <v/>
      </c>
      <c r="G25" s="21" t="str">
        <f aca="false">IF($O25="","",IF(INDEX(전체!$H$6:$H$75,$O25)="","",INDEX(전체!$H$6:$H$75,$O25)))</f>
        <v/>
      </c>
      <c r="H25" s="5" t="str">
        <f aca="false">IF($O25="","",IF(INDEX(전체!$I$6:$I$75,$O25)="","",INDEX(전체!$I$6:$I$75,$O25)))</f>
        <v/>
      </c>
      <c r="I25" s="5" t="str">
        <f aca="false">IF($O25="","",IF(INDEX(전체!$J$6:$J$75,$O25)="","",INDEX(전체!$J$6:$J$75,$O25)))</f>
        <v/>
      </c>
      <c r="J25" s="21" t="str">
        <f aca="false">IF($O25="","",IF(INDEX(전체!$K$6:$K$75,$O25)="","",INDEX(전체!$K$6:$K$75,$O25)))</f>
        <v/>
      </c>
      <c r="K25" s="20" t="str">
        <f aca="false">IF($O25="","",IF(INDEX(전체!$L$6:$L$75,$O25)="","",INDEX(전체!$L$6:$L$75,$O25)))</f>
        <v/>
      </c>
      <c r="L25" s="5" t="str">
        <f aca="false">IF($O25="","",IF(INDEX(전체!$M$6:$M$75,$O25)="","",INDEX(전체!$M$6:$M$75,$O25)))</f>
        <v/>
      </c>
      <c r="M25" s="21" t="str">
        <f aca="false">IF($O25="","",IF(INDEX(전체!$N$6:$N$75,$O25)="","",INDEX(전체!$N$6:$N$75,$O25)))</f>
        <v/>
      </c>
      <c r="N25" s="21" t="str">
        <f aca="false">IF($O25="","",IF(INDEX(전체!$O$6:$O$75,$O25)="","",INDEX(전체!$O$6:$O$75,$O25)))</f>
        <v/>
      </c>
      <c r="O25" s="22" t="str">
        <f aca="false">IFERROR(MATCH($R$2&amp;"|"&amp;21,전체!$P$6:$P$75,0),"")</f>
        <v/>
      </c>
    </row>
    <row r="26" customFormat="false" ht="15" hidden="false" customHeight="false" outlineLevel="0" collapsed="false">
      <c r="A26" s="5" t="str">
        <f aca="false">IF($O26="","",22)</f>
        <v/>
      </c>
      <c r="B26" s="20" t="str">
        <f aca="false">IF($O26="","",IF(INDEX(전체!$C$6:$C$75,$O26)="","",INDEX(전체!$C$6:$C$75,$O26)))</f>
        <v/>
      </c>
      <c r="C26" s="21" t="str">
        <f aca="false">IF($O26="","",IF(INDEX(전체!$D$6:$D$75,$O26)="","",INDEX(전체!$D$6:$D$75,$O26)))</f>
        <v/>
      </c>
      <c r="D26" s="5" t="str">
        <f aca="false">IF($O26="","",IF(INDEX(전체!$E$6:$E$75,$O26)="","",INDEX(전체!$E$6:$E$75,$O26)))</f>
        <v/>
      </c>
      <c r="E26" s="5" t="str">
        <f aca="false">IF($O26="","",IF(INDEX(전체!$F$6:$F$75,$O26)="","",INDEX(전체!$F$6:$F$75,$O26)))</f>
        <v/>
      </c>
      <c r="F26" s="21" t="str">
        <f aca="false">IF($O26="","",IF(INDEX(전체!$G$6:$G$75,$O26)="","",INDEX(전체!$G$6:$G$75,$O26)))</f>
        <v/>
      </c>
      <c r="G26" s="21" t="str">
        <f aca="false">IF($O26="","",IF(INDEX(전체!$H$6:$H$75,$O26)="","",INDEX(전체!$H$6:$H$75,$O26)))</f>
        <v/>
      </c>
      <c r="H26" s="5" t="str">
        <f aca="false">IF($O26="","",IF(INDEX(전체!$I$6:$I$75,$O26)="","",INDEX(전체!$I$6:$I$75,$O26)))</f>
        <v/>
      </c>
      <c r="I26" s="5" t="str">
        <f aca="false">IF($O26="","",IF(INDEX(전체!$J$6:$J$75,$O26)="","",INDEX(전체!$J$6:$J$75,$O26)))</f>
        <v/>
      </c>
      <c r="J26" s="21" t="str">
        <f aca="false">IF($O26="","",IF(INDEX(전체!$K$6:$K$75,$O26)="","",INDEX(전체!$K$6:$K$75,$O26)))</f>
        <v/>
      </c>
      <c r="K26" s="20" t="str">
        <f aca="false">IF($O26="","",IF(INDEX(전체!$L$6:$L$75,$O26)="","",INDEX(전체!$L$6:$L$75,$O26)))</f>
        <v/>
      </c>
      <c r="L26" s="5" t="str">
        <f aca="false">IF($O26="","",IF(INDEX(전체!$M$6:$M$75,$O26)="","",INDEX(전체!$M$6:$M$75,$O26)))</f>
        <v/>
      </c>
      <c r="M26" s="21" t="str">
        <f aca="false">IF($O26="","",IF(INDEX(전체!$N$6:$N$75,$O26)="","",INDEX(전체!$N$6:$N$75,$O26)))</f>
        <v/>
      </c>
      <c r="N26" s="21" t="str">
        <f aca="false">IF($O26="","",IF(INDEX(전체!$O$6:$O$75,$O26)="","",INDEX(전체!$O$6:$O$75,$O26)))</f>
        <v/>
      </c>
      <c r="O26" s="22" t="str">
        <f aca="false">IFERROR(MATCH($R$2&amp;"|"&amp;22,전체!$P$6:$P$75,0),"")</f>
        <v/>
      </c>
    </row>
    <row r="27" customFormat="false" ht="15" hidden="false" customHeight="false" outlineLevel="0" collapsed="false">
      <c r="A27" s="5" t="str">
        <f aca="false">IF($O27="","",23)</f>
        <v/>
      </c>
      <c r="B27" s="20" t="str">
        <f aca="false">IF($O27="","",IF(INDEX(전체!$C$6:$C$75,$O27)="","",INDEX(전체!$C$6:$C$75,$O27)))</f>
        <v/>
      </c>
      <c r="C27" s="21" t="str">
        <f aca="false">IF($O27="","",IF(INDEX(전체!$D$6:$D$75,$O27)="","",INDEX(전체!$D$6:$D$75,$O27)))</f>
        <v/>
      </c>
      <c r="D27" s="5" t="str">
        <f aca="false">IF($O27="","",IF(INDEX(전체!$E$6:$E$75,$O27)="","",INDEX(전체!$E$6:$E$75,$O27)))</f>
        <v/>
      </c>
      <c r="E27" s="5" t="str">
        <f aca="false">IF($O27="","",IF(INDEX(전체!$F$6:$F$75,$O27)="","",INDEX(전체!$F$6:$F$75,$O27)))</f>
        <v/>
      </c>
      <c r="F27" s="21" t="str">
        <f aca="false">IF($O27="","",IF(INDEX(전체!$G$6:$G$75,$O27)="","",INDEX(전체!$G$6:$G$75,$O27)))</f>
        <v/>
      </c>
      <c r="G27" s="21" t="str">
        <f aca="false">IF($O27="","",IF(INDEX(전체!$H$6:$H$75,$O27)="","",INDEX(전체!$H$6:$H$75,$O27)))</f>
        <v/>
      </c>
      <c r="H27" s="5" t="str">
        <f aca="false">IF($O27="","",IF(INDEX(전체!$I$6:$I$75,$O27)="","",INDEX(전체!$I$6:$I$75,$O27)))</f>
        <v/>
      </c>
      <c r="I27" s="5" t="str">
        <f aca="false">IF($O27="","",IF(INDEX(전체!$J$6:$J$75,$O27)="","",INDEX(전체!$J$6:$J$75,$O27)))</f>
        <v/>
      </c>
      <c r="J27" s="21" t="str">
        <f aca="false">IF($O27="","",IF(INDEX(전체!$K$6:$K$75,$O27)="","",INDEX(전체!$K$6:$K$75,$O27)))</f>
        <v/>
      </c>
      <c r="K27" s="20" t="str">
        <f aca="false">IF($O27="","",IF(INDEX(전체!$L$6:$L$75,$O27)="","",INDEX(전체!$L$6:$L$75,$O27)))</f>
        <v/>
      </c>
      <c r="L27" s="5" t="str">
        <f aca="false">IF($O27="","",IF(INDEX(전체!$M$6:$M$75,$O27)="","",INDEX(전체!$M$6:$M$75,$O27)))</f>
        <v/>
      </c>
      <c r="M27" s="21" t="str">
        <f aca="false">IF($O27="","",IF(INDEX(전체!$N$6:$N$75,$O27)="","",INDEX(전체!$N$6:$N$75,$O27)))</f>
        <v/>
      </c>
      <c r="N27" s="21" t="str">
        <f aca="false">IF($O27="","",IF(INDEX(전체!$O$6:$O$75,$O27)="","",INDEX(전체!$O$6:$O$75,$O27)))</f>
        <v/>
      </c>
      <c r="O27" s="22" t="str">
        <f aca="false">IFERROR(MATCH($R$2&amp;"|"&amp;23,전체!$P$6:$P$75,0),"")</f>
        <v/>
      </c>
    </row>
    <row r="28" customFormat="false" ht="15" hidden="false" customHeight="false" outlineLevel="0" collapsed="false">
      <c r="A28" s="5" t="str">
        <f aca="false">IF($O28="","",24)</f>
        <v/>
      </c>
      <c r="B28" s="20" t="str">
        <f aca="false">IF($O28="","",IF(INDEX(전체!$C$6:$C$75,$O28)="","",INDEX(전체!$C$6:$C$75,$O28)))</f>
        <v/>
      </c>
      <c r="C28" s="21" t="str">
        <f aca="false">IF($O28="","",IF(INDEX(전체!$D$6:$D$75,$O28)="","",INDEX(전체!$D$6:$D$75,$O28)))</f>
        <v/>
      </c>
      <c r="D28" s="5" t="str">
        <f aca="false">IF($O28="","",IF(INDEX(전체!$E$6:$E$75,$O28)="","",INDEX(전체!$E$6:$E$75,$O28)))</f>
        <v/>
      </c>
      <c r="E28" s="5" t="str">
        <f aca="false">IF($O28="","",IF(INDEX(전체!$F$6:$F$75,$O28)="","",INDEX(전체!$F$6:$F$75,$O28)))</f>
        <v/>
      </c>
      <c r="F28" s="21" t="str">
        <f aca="false">IF($O28="","",IF(INDEX(전체!$G$6:$G$75,$O28)="","",INDEX(전체!$G$6:$G$75,$O28)))</f>
        <v/>
      </c>
      <c r="G28" s="21" t="str">
        <f aca="false">IF($O28="","",IF(INDEX(전체!$H$6:$H$75,$O28)="","",INDEX(전체!$H$6:$H$75,$O28)))</f>
        <v/>
      </c>
      <c r="H28" s="5" t="str">
        <f aca="false">IF($O28="","",IF(INDEX(전체!$I$6:$I$75,$O28)="","",INDEX(전체!$I$6:$I$75,$O28)))</f>
        <v/>
      </c>
      <c r="I28" s="5" t="str">
        <f aca="false">IF($O28="","",IF(INDEX(전체!$J$6:$J$75,$O28)="","",INDEX(전체!$J$6:$J$75,$O28)))</f>
        <v/>
      </c>
      <c r="J28" s="21" t="str">
        <f aca="false">IF($O28="","",IF(INDEX(전체!$K$6:$K$75,$O28)="","",INDEX(전체!$K$6:$K$75,$O28)))</f>
        <v/>
      </c>
      <c r="K28" s="20" t="str">
        <f aca="false">IF($O28="","",IF(INDEX(전체!$L$6:$L$75,$O28)="","",INDEX(전체!$L$6:$L$75,$O28)))</f>
        <v/>
      </c>
      <c r="L28" s="5" t="str">
        <f aca="false">IF($O28="","",IF(INDEX(전체!$M$6:$M$75,$O28)="","",INDEX(전체!$M$6:$M$75,$O28)))</f>
        <v/>
      </c>
      <c r="M28" s="21" t="str">
        <f aca="false">IF($O28="","",IF(INDEX(전체!$N$6:$N$75,$O28)="","",INDEX(전체!$N$6:$N$75,$O28)))</f>
        <v/>
      </c>
      <c r="N28" s="21" t="str">
        <f aca="false">IF($O28="","",IF(INDEX(전체!$O$6:$O$75,$O28)="","",INDEX(전체!$O$6:$O$75,$O28)))</f>
        <v/>
      </c>
      <c r="O28" s="22" t="str">
        <f aca="false">IFERROR(MATCH($R$2&amp;"|"&amp;24,전체!$P$6:$P$75,0),"")</f>
        <v/>
      </c>
    </row>
    <row r="29" customFormat="false" ht="15" hidden="false" customHeight="false" outlineLevel="0" collapsed="false">
      <c r="A29" s="5" t="str">
        <f aca="false">IF($O29="","",25)</f>
        <v/>
      </c>
      <c r="B29" s="20" t="str">
        <f aca="false">IF($O29="","",IF(INDEX(전체!$C$6:$C$75,$O29)="","",INDEX(전체!$C$6:$C$75,$O29)))</f>
        <v/>
      </c>
      <c r="C29" s="21" t="str">
        <f aca="false">IF($O29="","",IF(INDEX(전체!$D$6:$D$75,$O29)="","",INDEX(전체!$D$6:$D$75,$O29)))</f>
        <v/>
      </c>
      <c r="D29" s="5" t="str">
        <f aca="false">IF($O29="","",IF(INDEX(전체!$E$6:$E$75,$O29)="","",INDEX(전체!$E$6:$E$75,$O29)))</f>
        <v/>
      </c>
      <c r="E29" s="5" t="str">
        <f aca="false">IF($O29="","",IF(INDEX(전체!$F$6:$F$75,$O29)="","",INDEX(전체!$F$6:$F$75,$O29)))</f>
        <v/>
      </c>
      <c r="F29" s="21" t="str">
        <f aca="false">IF($O29="","",IF(INDEX(전체!$G$6:$G$75,$O29)="","",INDEX(전체!$G$6:$G$75,$O29)))</f>
        <v/>
      </c>
      <c r="G29" s="21" t="str">
        <f aca="false">IF($O29="","",IF(INDEX(전체!$H$6:$H$75,$O29)="","",INDEX(전체!$H$6:$H$75,$O29)))</f>
        <v/>
      </c>
      <c r="H29" s="5" t="str">
        <f aca="false">IF($O29="","",IF(INDEX(전체!$I$6:$I$75,$O29)="","",INDEX(전체!$I$6:$I$75,$O29)))</f>
        <v/>
      </c>
      <c r="I29" s="5" t="str">
        <f aca="false">IF($O29="","",IF(INDEX(전체!$J$6:$J$75,$O29)="","",INDEX(전체!$J$6:$J$75,$O29)))</f>
        <v/>
      </c>
      <c r="J29" s="21" t="str">
        <f aca="false">IF($O29="","",IF(INDEX(전체!$K$6:$K$75,$O29)="","",INDEX(전체!$K$6:$K$75,$O29)))</f>
        <v/>
      </c>
      <c r="K29" s="20" t="str">
        <f aca="false">IF($O29="","",IF(INDEX(전체!$L$6:$L$75,$O29)="","",INDEX(전체!$L$6:$L$75,$O29)))</f>
        <v/>
      </c>
      <c r="L29" s="5" t="str">
        <f aca="false">IF($O29="","",IF(INDEX(전체!$M$6:$M$75,$O29)="","",INDEX(전체!$M$6:$M$75,$O29)))</f>
        <v/>
      </c>
      <c r="M29" s="21" t="str">
        <f aca="false">IF($O29="","",IF(INDEX(전체!$N$6:$N$75,$O29)="","",INDEX(전체!$N$6:$N$75,$O29)))</f>
        <v/>
      </c>
      <c r="N29" s="21" t="str">
        <f aca="false">IF($O29="","",IF(INDEX(전체!$O$6:$O$75,$O29)="","",INDEX(전체!$O$6:$O$75,$O29)))</f>
        <v/>
      </c>
      <c r="O29" s="22" t="str">
        <f aca="false">IFERROR(MATCH($R$2&amp;"|"&amp;25,전체!$P$6:$P$75,0),"")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B6C2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6"/>
  </cols>
  <sheetData>
    <row r="1" customFormat="false" ht="18.55" hidden="false" customHeight="false" outlineLevel="0" collapsed="false">
      <c r="A1" s="1" t="s">
        <v>105</v>
      </c>
      <c r="C1" s="16" t="str">
        <f aca="false">COUNTIF(전체!$B$6:$B$75,"롯데백화점")&amp;"곳"</f>
        <v>8곳</v>
      </c>
    </row>
    <row r="2" customFormat="false" ht="15" hidden="false" customHeight="false" outlineLevel="0" collapsed="false">
      <c r="A2" s="17" t="s">
        <v>255</v>
      </c>
      <c r="R2" s="18" t="s">
        <v>105</v>
      </c>
    </row>
    <row r="4" customFormat="false" ht="39.55" hidden="false" customHeight="false" outlineLevel="0" collapsed="false">
      <c r="A4" s="3" t="s">
        <v>3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19" t="s">
        <v>256</v>
      </c>
    </row>
    <row r="5" customFormat="false" ht="26.85" hidden="false" customHeight="false" outlineLevel="0" collapsed="false">
      <c r="A5" s="5" t="n">
        <f aca="false">IF($O5="","",1)</f>
        <v>1</v>
      </c>
      <c r="B5" s="20" t="str">
        <f aca="false">IF($O5="","",IF(INDEX(전체!$C$6:$C$75,$O5)="","",INDEX(전체!$C$6:$C$75,$O5)))</f>
        <v>복주걱 롯데광복점</v>
      </c>
      <c r="C5" s="21" t="str">
        <f aca="false">IF($O5="","",IF(INDEX(전체!$D$6:$D$75,$O5)="","",INDEX(전체!$D$6:$D$75,$O5)))</f>
        <v>한식뷔페</v>
      </c>
      <c r="D5" s="5" t="str">
        <f aca="false">IF($O5="","",IF(INDEX(전체!$E$6:$E$75,$O5)="","",INDEX(전체!$E$6:$E$75,$O5)))</f>
        <v>영업 중</v>
      </c>
      <c r="E5" s="5" t="str">
        <f aca="false">IF($O5="","",IF(INDEX(전체!$F$6:$F$75,$O5)="","",INDEX(전체!$F$6:$F$75,$O5)))</f>
        <v/>
      </c>
      <c r="F5" s="21" t="str">
        <f aca="false">IF($O5="","",IF(INDEX(전체!$G$6:$G$75,$O5)="","",INDEX(전체!$G$6:$G$75,$O5)))</f>
        <v>부산 중구 중앙동7가 20-1 (롯데백화점 광복점)</v>
      </c>
      <c r="G5" s="21" t="str">
        <f aca="false">IF($O5="","",IF(INDEX(전체!$H$6:$H$75,$O5)="","",INDEX(전체!$H$6:$H$75,$O5)))</f>
        <v>10F F&amp;B</v>
      </c>
      <c r="H5" s="5" t="str">
        <f aca="false">IF($O5="","",IF(INDEX(전체!$I$6:$I$75,$O5)="","",INDEX(전체!$I$6:$I$75,$O5)))</f>
        <v/>
      </c>
      <c r="I5" s="5" t="str">
        <f aca="false">IF($O5="","",IF(INDEX(전체!$J$6:$J$75,$O5)="","",INDEX(전체!$J$6:$J$75,$O5)))</f>
        <v/>
      </c>
      <c r="J5" s="21" t="str">
        <f aca="false">IF($O5="","",IF(INDEX(전체!$K$6:$K$75,$O5)="","",INDEX(전체!$K$6:$K$75,$O5)))</f>
        <v>051-678-3026</v>
      </c>
      <c r="K5" s="20" t="str">
        <f aca="false">IF($O5="","",IF(INDEX(전체!$L$6:$L$75,$O5)="","",INDEX(전체!$L$6:$L$75,$O5)))</f>
        <v>한식뷔페 (1인)</v>
      </c>
      <c r="L5" s="5" t="str">
        <f aca="false">IF($O5="","",IF(INDEX(전체!$M$6:$M$75,$O5)="","",INDEX(전체!$M$6:$M$75,$O5)))</f>
        <v>15,000~20,000</v>
      </c>
      <c r="M5" s="21" t="str">
        <f aca="false">IF($O5="","",IF(INDEX(전체!$N$6:$N$75,$O5)="","",INDEX(전체!$N$6:$N$75,$O5)))</f>
        <v>신선한 제철 나물과 고기 요리 등 한식 반찬 무제한 뷔페</v>
      </c>
      <c r="N5" s="21" t="str">
        <f aca="false">IF($O5="","",IF(INDEX(전체!$O$6:$O$75,$O5)="","",INDEX(전체!$O$6:$O$75,$O5)))</f>
        <v/>
      </c>
      <c r="O5" s="22" t="n">
        <f aca="false">IFERROR(MATCH($R$2&amp;"|"&amp;1,전체!$P$6:$P$75,0),"")</f>
        <v>17</v>
      </c>
    </row>
    <row r="6" customFormat="false" ht="26.85" hidden="false" customHeight="false" outlineLevel="0" collapsed="false">
      <c r="A6" s="5" t="n">
        <f aca="false">IF($O6="","",2)</f>
        <v>2</v>
      </c>
      <c r="B6" s="20" t="str">
        <f aca="false">IF($O6="","",IF(INDEX(전체!$C$6:$C$75,$O6)="","",INDEX(전체!$C$6:$C$75,$O6)))</f>
        <v>류센소 롯데백화점 광복점</v>
      </c>
      <c r="C6" s="21" t="str">
        <f aca="false">IF($O6="","",IF(INDEX(전체!$D$6:$D$75,$O6)="","",INDEX(전체!$D$6:$D$75,$O6)))</f>
        <v>일식당</v>
      </c>
      <c r="D6" s="5" t="str">
        <f aca="false">IF($O6="","",IF(INDEX(전체!$E$6:$E$75,$O6)="","",INDEX(전체!$E$6:$E$75,$O6)))</f>
        <v>영업 중</v>
      </c>
      <c r="E6" s="5" t="str">
        <f aca="false">IF($O6="","",IF(INDEX(전체!$F$6:$F$75,$O6)="","",INDEX(전체!$F$6:$F$75,$O6)))</f>
        <v/>
      </c>
      <c r="F6" s="21" t="str">
        <f aca="false">IF($O6="","",IF(INDEX(전체!$G$6:$G$75,$O6)="","",INDEX(전체!$G$6:$G$75,$O6)))</f>
        <v>부산 중구 중앙동7가 20-1 (롯데백화점 광복점)</v>
      </c>
      <c r="G6" s="21" t="str">
        <f aca="false">IF($O6="","",IF(INDEX(전체!$H$6:$H$75,$O6)="","",INDEX(전체!$H$6:$H$75,$O6)))</f>
        <v>본관 B1</v>
      </c>
      <c r="H6" s="5" t="str">
        <f aca="false">IF($O6="","",IF(INDEX(전체!$I$6:$I$75,$O6)="","",INDEX(전체!$I$6:$I$75,$O6)))</f>
        <v/>
      </c>
      <c r="I6" s="5" t="str">
        <f aca="false">IF($O6="","",IF(INDEX(전체!$J$6:$J$75,$O6)="","",INDEX(전체!$J$6:$J$75,$O6)))</f>
        <v/>
      </c>
      <c r="J6" s="21" t="str">
        <f aca="false">IF($O6="","",IF(INDEX(전체!$K$6:$K$75,$O6)="","",INDEX(전체!$K$6:$K$75,$O6)))</f>
        <v/>
      </c>
      <c r="K6" s="20" t="str">
        <f aca="false">IF($O6="","",IF(INDEX(전체!$L$6:$L$75,$O6)="","",INDEX(전체!$L$6:$L$75,$O6)))</f>
        <v>일식 (메뉴 확인 필요)</v>
      </c>
      <c r="L6" s="5" t="str">
        <f aca="false">IF($O6="","",IF(INDEX(전체!$M$6:$M$75,$O6)="","",INDEX(전체!$M$6:$M$75,$O6)))</f>
        <v/>
      </c>
      <c r="M6" s="21" t="str">
        <f aca="false">IF($O6="","",IF(INDEX(전체!$N$6:$N$75,$O6)="","",INDEX(전체!$N$6:$N$75,$O6)))</f>
        <v>롯데백화점 본관 지하 1층 일식당. 메뉴·가격은 확인 필요</v>
      </c>
      <c r="N6" s="21" t="str">
        <f aca="false">IF($O6="","",IF(INDEX(전체!$O$6:$O$75,$O6)="","",INDEX(전체!$O$6:$O$75,$O6)))</f>
        <v/>
      </c>
      <c r="O6" s="22" t="n">
        <f aca="false">IFERROR(MATCH($R$2&amp;"|"&amp;2,전체!$P$6:$P$75,0),"")</f>
        <v>18</v>
      </c>
    </row>
    <row r="7" customFormat="false" ht="26.85" hidden="false" customHeight="false" outlineLevel="0" collapsed="false">
      <c r="A7" s="5" t="n">
        <f aca="false">IF($O7="","",3)</f>
        <v>3</v>
      </c>
      <c r="B7" s="20" t="str">
        <f aca="false">IF($O7="","",IF(INDEX(전체!$C$6:$C$75,$O7)="","",INDEX(전체!$C$6:$C$75,$O7)))</f>
        <v>라이옥 롯데백화점 광복점</v>
      </c>
      <c r="C7" s="21" t="str">
        <f aca="false">IF($O7="","",IF(INDEX(전체!$D$6:$D$75,$O7)="","",INDEX(전체!$D$6:$D$75,$O7)))</f>
        <v>베트남음식</v>
      </c>
      <c r="D7" s="5" t="str">
        <f aca="false">IF($O7="","",IF(INDEX(전체!$E$6:$E$75,$O7)="","",INDEX(전체!$E$6:$E$75,$O7)))</f>
        <v>영업 중</v>
      </c>
      <c r="E7" s="5" t="str">
        <f aca="false">IF($O7="","",IF(INDEX(전체!$F$6:$F$75,$O7)="","",INDEX(전체!$F$6:$F$75,$O7)))</f>
        <v/>
      </c>
      <c r="F7" s="21" t="str">
        <f aca="false">IF($O7="","",IF(INDEX(전체!$G$6:$G$75,$O7)="","",INDEX(전체!$G$6:$G$75,$O7)))</f>
        <v>부산 중구 중앙동7가 20-1 (롯데백화점 광복점)</v>
      </c>
      <c r="G7" s="21" t="str">
        <f aca="false">IF($O7="","",IF(INDEX(전체!$H$6:$H$75,$O7)="","",INDEX(전체!$H$6:$H$75,$O7)))</f>
        <v>10F</v>
      </c>
      <c r="H7" s="5" t="str">
        <f aca="false">IF($O7="","",IF(INDEX(전체!$I$6:$I$75,$O7)="","",INDEX(전체!$I$6:$I$75,$O7)))</f>
        <v/>
      </c>
      <c r="I7" s="5" t="str">
        <f aca="false">IF($O7="","",IF(INDEX(전체!$J$6:$J$75,$O7)="","",INDEX(전체!$J$6:$J$75,$O7)))</f>
        <v/>
      </c>
      <c r="J7" s="21" t="str">
        <f aca="false">IF($O7="","",IF(INDEX(전체!$K$6:$K$75,$O7)="","",INDEX(전체!$K$6:$K$75,$O7)))</f>
        <v/>
      </c>
      <c r="K7" s="20" t="str">
        <f aca="false">IF($O7="","",IF(INDEX(전체!$L$6:$L$75,$O7)="","",INDEX(전체!$L$6:$L$75,$O7)))</f>
        <v>쌀국수·베트남 요리</v>
      </c>
      <c r="L7" s="5" t="str">
        <f aca="false">IF($O7="","",IF(INDEX(전체!$M$6:$M$75,$O7)="","",INDEX(전체!$M$6:$M$75,$O7)))</f>
        <v>12,000~16,000</v>
      </c>
      <c r="M7" s="21" t="str">
        <f aca="false">IF($O7="","",IF(INDEX(전체!$N$6:$N$75,$O7)="","",INDEX(전체!$N$6:$N$75,$O7)))</f>
        <v>롯데백화점 10층 베트남 음식점</v>
      </c>
      <c r="N7" s="21" t="str">
        <f aca="false">IF($O7="","",IF(INDEX(전체!$O$6:$O$75,$O7)="","",INDEX(전체!$O$6:$O$75,$O7)))</f>
        <v/>
      </c>
      <c r="O7" s="22" t="n">
        <f aca="false">IFERROR(MATCH($R$2&amp;"|"&amp;3,전체!$P$6:$P$75,0),"")</f>
        <v>20</v>
      </c>
    </row>
    <row r="8" customFormat="false" ht="26.85" hidden="false" customHeight="false" outlineLevel="0" collapsed="false">
      <c r="A8" s="5" t="n">
        <f aca="false">IF($O8="","",4)</f>
        <v>4</v>
      </c>
      <c r="B8" s="20" t="str">
        <f aca="false">IF($O8="","",IF(INDEX(전체!$C$6:$C$75,$O8)="","",INDEX(전체!$C$6:$C$75,$O8)))</f>
        <v>수수하지만장해 롯데백화점 광복점</v>
      </c>
      <c r="C8" s="21" t="str">
        <f aca="false">IF($O8="","",IF(INDEX(전체!$D$6:$D$75,$O8)="","",INDEX(전체!$D$6:$D$75,$O8)))</f>
        <v>돈가스</v>
      </c>
      <c r="D8" s="5" t="str">
        <f aca="false">IF($O8="","",IF(INDEX(전체!$E$6:$E$75,$O8)="","",INDEX(전체!$E$6:$E$75,$O8)))</f>
        <v>영업 중</v>
      </c>
      <c r="E8" s="5" t="str">
        <f aca="false">IF($O8="","",IF(INDEX(전체!$F$6:$F$75,$O8)="","",INDEX(전체!$F$6:$F$75,$O8)))</f>
        <v/>
      </c>
      <c r="F8" s="21" t="str">
        <f aca="false">IF($O8="","",IF(INDEX(전체!$G$6:$G$75,$O8)="","",INDEX(전체!$G$6:$G$75,$O8)))</f>
        <v>부산 중구 중앙동7가 20-1 (롯데백화점 광복점)</v>
      </c>
      <c r="G8" s="21" t="str">
        <f aca="false">IF($O8="","",IF(INDEX(전체!$H$6:$H$75,$O8)="","",INDEX(전체!$H$6:$H$75,$O8)))</f>
        <v>본관 B1</v>
      </c>
      <c r="H8" s="5" t="str">
        <f aca="false">IF($O8="","",IF(INDEX(전체!$I$6:$I$75,$O8)="","",INDEX(전체!$I$6:$I$75,$O8)))</f>
        <v/>
      </c>
      <c r="I8" s="5" t="str">
        <f aca="false">IF($O8="","",IF(INDEX(전체!$J$6:$J$75,$O8)="","",INDEX(전체!$J$6:$J$75,$O8)))</f>
        <v/>
      </c>
      <c r="J8" s="21" t="str">
        <f aca="false">IF($O8="","",IF(INDEX(전체!$K$6:$K$75,$O8)="","",INDEX(전체!$K$6:$K$75,$O8)))</f>
        <v/>
      </c>
      <c r="K8" s="20" t="str">
        <f aca="false">IF($O8="","",IF(INDEX(전체!$L$6:$L$75,$O8)="","",INDEX(전체!$L$6:$L$75,$O8)))</f>
        <v>치즈돈가스·등심/안심 돈가스</v>
      </c>
      <c r="L8" s="5" t="str">
        <f aca="false">IF($O8="","",IF(INDEX(전체!$M$6:$M$75,$O8)="","",INDEX(전체!$M$6:$M$75,$O8)))</f>
        <v>12,000~17,000</v>
      </c>
      <c r="M8" s="21" t="str">
        <f aca="false">IF($O8="","",IF(INDEX(전체!$N$6:$N$75,$O8)="","",INDEX(전체!$N$6:$N$75,$O8)))</f>
        <v>롯데백화점 본관 지하 1층 돈가스 전문점. 치즈 돈가스 사진이 많음</v>
      </c>
      <c r="N8" s="21" t="str">
        <f aca="false">IF($O8="","",IF(INDEX(전체!$O$6:$O$75,$O8)="","",INDEX(전체!$O$6:$O$75,$O8)))</f>
        <v/>
      </c>
      <c r="O8" s="22" t="n">
        <f aca="false">IFERROR(MATCH($R$2&amp;"|"&amp;4,전체!$P$6:$P$75,0),"")</f>
        <v>27</v>
      </c>
    </row>
    <row r="9" customFormat="false" ht="26.85" hidden="false" customHeight="false" outlineLevel="0" collapsed="false">
      <c r="A9" s="5" t="n">
        <f aca="false">IF($O9="","",5)</f>
        <v>5</v>
      </c>
      <c r="B9" s="20" t="str">
        <f aca="false">IF($O9="","",IF(INDEX(전체!$C$6:$C$75,$O9)="","",INDEX(전체!$C$6:$C$75,$O9)))</f>
        <v>조방낙지1번가</v>
      </c>
      <c r="C9" s="21" t="str">
        <f aca="false">IF($O9="","",IF(INDEX(전체!$D$6:$D$75,$O9)="","",INDEX(전체!$D$6:$D$75,$O9)))</f>
        <v>낙곱새</v>
      </c>
      <c r="D9" s="5" t="str">
        <f aca="false">IF($O9="","",IF(INDEX(전체!$E$6:$E$75,$O9)="","",INDEX(전체!$E$6:$E$75,$O9)))</f>
        <v>정보 없음</v>
      </c>
      <c r="E9" s="5" t="str">
        <f aca="false">IF($O9="","",IF(INDEX(전체!$F$6:$F$75,$O9)="","",INDEX(전체!$F$6:$F$75,$O9)))</f>
        <v/>
      </c>
      <c r="F9" s="21" t="str">
        <f aca="false">IF($O9="","",IF(INDEX(전체!$G$6:$G$75,$O9)="","",INDEX(전체!$G$6:$G$75,$O9)))</f>
        <v>부산 중구 중앙동7가 20-1 (롯데백화점 광복점)</v>
      </c>
      <c r="G9" s="21" t="str">
        <f aca="false">IF($O9="","",IF(INDEX(전체!$H$6:$H$75,$O9)="","",INDEX(전체!$H$6:$H$75,$O9)))</f>
        <v>10F F&amp;B</v>
      </c>
      <c r="H9" s="5" t="str">
        <f aca="false">IF($O9="","",IF(INDEX(전체!$I$6:$I$75,$O9)="","",INDEX(전체!$I$6:$I$75,$O9)))</f>
        <v/>
      </c>
      <c r="I9" s="5" t="str">
        <f aca="false">IF($O9="","",IF(INDEX(전체!$J$6:$J$75,$O9)="","",INDEX(전체!$J$6:$J$75,$O9)))</f>
        <v/>
      </c>
      <c r="J9" s="21" t="str">
        <f aca="false">IF($O9="","",IF(INDEX(전체!$K$6:$K$75,$O9)="","",INDEX(전체!$K$6:$K$75,$O9)))</f>
        <v>051-678-3062</v>
      </c>
      <c r="K9" s="20" t="str">
        <f aca="false">IF($O9="","",IF(INDEX(전체!$L$6:$L$75,$O9)="","",INDEX(전체!$L$6:$L$75,$O9)))</f>
        <v>낙곱새</v>
      </c>
      <c r="L9" s="5" t="str">
        <f aca="false">IF($O9="","",IF(INDEX(전체!$M$6:$M$75,$O9)="","",INDEX(전체!$M$6:$M$75,$O9)))</f>
        <v>14,000~17,000</v>
      </c>
      <c r="M9" s="21" t="str">
        <f aca="false">IF($O9="","",IF(INDEX(전체!$N$6:$N$75,$O9)="","",INDEX(전체!$N$6:$N$75,$O9)))</f>
        <v>매콤달콤 양념에 낙지·새우·곱창을 넣어 밥에 비벼 먹는 낙곱새</v>
      </c>
      <c r="N9" s="21" t="str">
        <f aca="false">IF($O9="","",IF(INDEX(전체!$O$6:$O$75,$O9)="","",INDEX(전체!$O$6:$O$75,$O9)))</f>
        <v/>
      </c>
      <c r="O9" s="22" t="n">
        <f aca="false">IFERROR(MATCH($R$2&amp;"|"&amp;5,전체!$P$6:$P$75,0),"")</f>
        <v>33</v>
      </c>
    </row>
    <row r="10" customFormat="false" ht="26.85" hidden="false" customHeight="false" outlineLevel="0" collapsed="false">
      <c r="A10" s="5" t="n">
        <f aca="false">IF($O10="","",6)</f>
        <v>6</v>
      </c>
      <c r="B10" s="20" t="str">
        <f aca="false">IF($O10="","",IF(INDEX(전체!$C$6:$C$75,$O10)="","",INDEX(전체!$C$6:$C$75,$O10)))</f>
        <v>항아리수제면가</v>
      </c>
      <c r="C10" s="21" t="str">
        <f aca="false">IF($O10="","",IF(INDEX(전체!$D$6:$D$75,$O10)="","",INDEX(전체!$D$6:$D$75,$O10)))</f>
        <v>칼국수</v>
      </c>
      <c r="D10" s="5" t="str">
        <f aca="false">IF($O10="","",IF(INDEX(전체!$E$6:$E$75,$O10)="","",INDEX(전체!$E$6:$E$75,$O10)))</f>
        <v>정보 없음</v>
      </c>
      <c r="E10" s="5" t="str">
        <f aca="false">IF($O10="","",IF(INDEX(전체!$F$6:$F$75,$O10)="","",INDEX(전체!$F$6:$F$75,$O10)))</f>
        <v/>
      </c>
      <c r="F10" s="21" t="str">
        <f aca="false">IF($O10="","",IF(INDEX(전체!$G$6:$G$75,$O10)="","",INDEX(전체!$G$6:$G$75,$O10)))</f>
        <v>부산 중구 중앙동7가 20-1 (롯데백화점 광복점)</v>
      </c>
      <c r="G10" s="21" t="str">
        <f aca="false">IF($O10="","",IF(INDEX(전체!$H$6:$H$75,$O10)="","",INDEX(전체!$H$6:$H$75,$O10)))</f>
        <v>B1 F&amp;B</v>
      </c>
      <c r="H10" s="5" t="str">
        <f aca="false">IF($O10="","",IF(INDEX(전체!$I$6:$I$75,$O10)="","",INDEX(전체!$I$6:$I$75,$O10)))</f>
        <v/>
      </c>
      <c r="I10" s="5" t="str">
        <f aca="false">IF($O10="","",IF(INDEX(전체!$J$6:$J$75,$O10)="","",INDEX(전체!$J$6:$J$75,$O10)))</f>
        <v/>
      </c>
      <c r="J10" s="21" t="str">
        <f aca="false">IF($O10="","",IF(INDEX(전체!$K$6:$K$75,$O10)="","",INDEX(전체!$K$6:$K$75,$O10)))</f>
        <v>051-678-3007</v>
      </c>
      <c r="K10" s="20" t="str">
        <f aca="false">IF($O10="","",IF(INDEX(전체!$L$6:$L$75,$O10)="","",INDEX(전체!$L$6:$L$75,$O10)))</f>
        <v>해물칼국수</v>
      </c>
      <c r="L10" s="5" t="str">
        <f aca="false">IF($O10="","",IF(INDEX(전체!$M$6:$M$75,$O10)="","",INDEX(전체!$M$6:$M$75,$O10)))</f>
        <v>9,000~12,000</v>
      </c>
      <c r="M10" s="21" t="str">
        <f aca="false">IF($O10="","",IF(INDEX(전체!$N$6:$N$75,$O10)="","",INDEX(전체!$N$6:$N$75,$O10)))</f>
        <v>진한 해산물 육수에 수제 면발의 칼국수</v>
      </c>
      <c r="N10" s="21" t="str">
        <f aca="false">IF($O10="","",IF(INDEX(전체!$O$6:$O$75,$O10)="","",INDEX(전체!$O$6:$O$75,$O10)))</f>
        <v>전화번호가 퍼틴과 동일 – 확인 필요</v>
      </c>
      <c r="O10" s="22" t="n">
        <f aca="false">IFERROR(MATCH($R$2&amp;"|"&amp;6,전체!$P$6:$P$75,0),"")</f>
        <v>34</v>
      </c>
    </row>
    <row r="11" customFormat="false" ht="26.85" hidden="false" customHeight="false" outlineLevel="0" collapsed="false">
      <c r="A11" s="5" t="n">
        <f aca="false">IF($O11="","",7)</f>
        <v>7</v>
      </c>
      <c r="B11" s="20" t="str">
        <f aca="false">IF($O11="","",IF(INDEX(전체!$C$6:$C$75,$O11)="","",INDEX(전체!$C$6:$C$75,$O11)))</f>
        <v>퍼틴</v>
      </c>
      <c r="C11" s="21" t="str">
        <f aca="false">IF($O11="","",IF(INDEX(전체!$D$6:$D$75,$O11)="","",INDEX(전체!$D$6:$D$75,$O11)))</f>
        <v>베트남 쌀국수</v>
      </c>
      <c r="D11" s="5" t="str">
        <f aca="false">IF($O11="","",IF(INDEX(전체!$E$6:$E$75,$O11)="","",INDEX(전체!$E$6:$E$75,$O11)))</f>
        <v>정보 없음</v>
      </c>
      <c r="E11" s="5" t="str">
        <f aca="false">IF($O11="","",IF(INDEX(전체!$F$6:$F$75,$O11)="","",INDEX(전체!$F$6:$F$75,$O11)))</f>
        <v/>
      </c>
      <c r="F11" s="21" t="str">
        <f aca="false">IF($O11="","",IF(INDEX(전체!$G$6:$G$75,$O11)="","",INDEX(전체!$G$6:$G$75,$O11)))</f>
        <v>부산 중구 중앙동7가 20-1 (롯데백화점 광복점)</v>
      </c>
      <c r="G11" s="21" t="str">
        <f aca="false">IF($O11="","",IF(INDEX(전체!$H$6:$H$75,$O11)="","",INDEX(전체!$H$6:$H$75,$O11)))</f>
        <v>B1 F&amp;B</v>
      </c>
      <c r="H11" s="5" t="str">
        <f aca="false">IF($O11="","",IF(INDEX(전체!$I$6:$I$75,$O11)="","",INDEX(전체!$I$6:$I$75,$O11)))</f>
        <v/>
      </c>
      <c r="I11" s="5" t="str">
        <f aca="false">IF($O11="","",IF(INDEX(전체!$J$6:$J$75,$O11)="","",INDEX(전체!$J$6:$J$75,$O11)))</f>
        <v/>
      </c>
      <c r="J11" s="21" t="str">
        <f aca="false">IF($O11="","",IF(INDEX(전체!$K$6:$K$75,$O11)="","",INDEX(전체!$K$6:$K$75,$O11)))</f>
        <v>051-678-3007</v>
      </c>
      <c r="K11" s="20" t="str">
        <f aca="false">IF($O11="","",IF(INDEX(전체!$L$6:$L$75,$O11)="","",INDEX(전체!$L$6:$L$75,$O11)))</f>
        <v>쌀국수</v>
      </c>
      <c r="L11" s="5" t="str">
        <f aca="false">IF($O11="","",IF(INDEX(전체!$M$6:$M$75,$O11)="","",INDEX(전체!$M$6:$M$75,$O11)))</f>
        <v>12,000~15,000</v>
      </c>
      <c r="M11" s="21" t="str">
        <f aca="false">IF($O11="","",IF(INDEX(전체!$N$6:$N$75,$O11)="","",INDEX(전체!$N$6:$N$75,$O11)))</f>
        <v>하노이식 쌀국수 – 사골 육수와 파 고명</v>
      </c>
      <c r="N11" s="21" t="str">
        <f aca="false">IF($O11="","",IF(INDEX(전체!$O$6:$O$75,$O11)="","",INDEX(전체!$O$6:$O$75,$O11)))</f>
        <v>전화번호가 항아리수제면가와 동일 – 확인 필요</v>
      </c>
      <c r="O11" s="22" t="n">
        <f aca="false">IFERROR(MATCH($R$2&amp;"|"&amp;7,전체!$P$6:$P$75,0),"")</f>
        <v>35</v>
      </c>
    </row>
    <row r="12" customFormat="false" ht="26.85" hidden="false" customHeight="false" outlineLevel="0" collapsed="false">
      <c r="A12" s="5" t="n">
        <f aca="false">IF($O12="","",8)</f>
        <v>8</v>
      </c>
      <c r="B12" s="20" t="str">
        <f aca="false">IF($O12="","",IF(INDEX(전체!$C$6:$C$75,$O12)="","",INDEX(전체!$C$6:$C$75,$O12)))</f>
        <v>반반식당</v>
      </c>
      <c r="C12" s="21" t="str">
        <f aca="false">IF($O12="","",IF(INDEX(전체!$D$6:$D$75,$O12)="","",INDEX(전체!$D$6:$D$75,$O12)))</f>
        <v>김치찌개</v>
      </c>
      <c r="D12" s="5" t="str">
        <f aca="false">IF($O12="","",IF(INDEX(전체!$E$6:$E$75,$O12)="","",INDEX(전체!$E$6:$E$75,$O12)))</f>
        <v>정보 없음</v>
      </c>
      <c r="E12" s="5" t="str">
        <f aca="false">IF($O12="","",IF(INDEX(전체!$F$6:$F$75,$O12)="","",INDEX(전체!$F$6:$F$75,$O12)))</f>
        <v/>
      </c>
      <c r="F12" s="21" t="str">
        <f aca="false">IF($O12="","",IF(INDEX(전체!$G$6:$G$75,$O12)="","",INDEX(전체!$G$6:$G$75,$O12)))</f>
        <v>부산 중구 중앙동7가 20-1 (롯데백화점 광복점)</v>
      </c>
      <c r="G12" s="21" t="str">
        <f aca="false">IF($O12="","",IF(INDEX(전체!$H$6:$H$75,$O12)="","",INDEX(전체!$H$6:$H$75,$O12)))</f>
        <v>B1 F&amp;B</v>
      </c>
      <c r="H12" s="5" t="str">
        <f aca="false">IF($O12="","",IF(INDEX(전체!$I$6:$I$75,$O12)="","",INDEX(전체!$I$6:$I$75,$O12)))</f>
        <v/>
      </c>
      <c r="I12" s="5" t="str">
        <f aca="false">IF($O12="","",IF(INDEX(전체!$J$6:$J$75,$O12)="","",INDEX(전체!$J$6:$J$75,$O12)))</f>
        <v/>
      </c>
      <c r="J12" s="21" t="str">
        <f aca="false">IF($O12="","",IF(INDEX(전체!$K$6:$K$75,$O12)="","",INDEX(전체!$K$6:$K$75,$O12)))</f>
        <v>051-678-3008</v>
      </c>
      <c r="K12" s="20" t="str">
        <f aca="false">IF($O12="","",IF(INDEX(전체!$L$6:$L$75,$O12)="","",INDEX(전체!$L$6:$L$75,$O12)))</f>
        <v>김치찌개</v>
      </c>
      <c r="L12" s="5" t="str">
        <f aca="false">IF($O12="","",IF(INDEX(전체!$M$6:$M$75,$O12)="","",INDEX(전체!$M$6:$M$75,$O12)))</f>
        <v>9,000~11,000</v>
      </c>
      <c r="M12" s="21" t="str">
        <f aca="false">IF($O12="","",IF(INDEX(전체!$N$6:$N$75,$O12)="","",INDEX(전체!$N$6:$N$75,$O12)))</f>
        <v>돼지고기와 묵은지 반반 김치찌개</v>
      </c>
      <c r="N12" s="21" t="str">
        <f aca="false">IF($O12="","",IF(INDEX(전체!$O$6:$O$75,$O12)="","",INDEX(전체!$O$6:$O$75,$O12)))</f>
        <v/>
      </c>
      <c r="O12" s="22" t="n">
        <f aca="false">IFERROR(MATCH($R$2&amp;"|"&amp;8,전체!$P$6:$P$75,0),"")</f>
        <v>36</v>
      </c>
    </row>
    <row r="13" customFormat="false" ht="15" hidden="false" customHeight="false" outlineLevel="0" collapsed="false">
      <c r="A13" s="5" t="str">
        <f aca="false">IF($O13="","",9)</f>
        <v/>
      </c>
      <c r="B13" s="20" t="str">
        <f aca="false">IF($O13="","",IF(INDEX(전체!$C$6:$C$75,$O13)="","",INDEX(전체!$C$6:$C$75,$O13)))</f>
        <v/>
      </c>
      <c r="C13" s="21" t="str">
        <f aca="false">IF($O13="","",IF(INDEX(전체!$D$6:$D$75,$O13)="","",INDEX(전체!$D$6:$D$75,$O13)))</f>
        <v/>
      </c>
      <c r="D13" s="5" t="str">
        <f aca="false">IF($O13="","",IF(INDEX(전체!$E$6:$E$75,$O13)="","",INDEX(전체!$E$6:$E$75,$O13)))</f>
        <v/>
      </c>
      <c r="E13" s="5" t="str">
        <f aca="false">IF($O13="","",IF(INDEX(전체!$F$6:$F$75,$O13)="","",INDEX(전체!$F$6:$F$75,$O13)))</f>
        <v/>
      </c>
      <c r="F13" s="21" t="str">
        <f aca="false">IF($O13="","",IF(INDEX(전체!$G$6:$G$75,$O13)="","",INDEX(전체!$G$6:$G$75,$O13)))</f>
        <v/>
      </c>
      <c r="G13" s="21" t="str">
        <f aca="false">IF($O13="","",IF(INDEX(전체!$H$6:$H$75,$O13)="","",INDEX(전체!$H$6:$H$75,$O13)))</f>
        <v/>
      </c>
      <c r="H13" s="5" t="str">
        <f aca="false">IF($O13="","",IF(INDEX(전체!$I$6:$I$75,$O13)="","",INDEX(전체!$I$6:$I$75,$O13)))</f>
        <v/>
      </c>
      <c r="I13" s="5" t="str">
        <f aca="false">IF($O13="","",IF(INDEX(전체!$J$6:$J$75,$O13)="","",INDEX(전체!$J$6:$J$75,$O13)))</f>
        <v/>
      </c>
      <c r="J13" s="21" t="str">
        <f aca="false">IF($O13="","",IF(INDEX(전체!$K$6:$K$75,$O13)="","",INDEX(전체!$K$6:$K$75,$O13)))</f>
        <v/>
      </c>
      <c r="K13" s="20" t="str">
        <f aca="false">IF($O13="","",IF(INDEX(전체!$L$6:$L$75,$O13)="","",INDEX(전체!$L$6:$L$75,$O13)))</f>
        <v/>
      </c>
      <c r="L13" s="5" t="str">
        <f aca="false">IF($O13="","",IF(INDEX(전체!$M$6:$M$75,$O13)="","",INDEX(전체!$M$6:$M$75,$O13)))</f>
        <v/>
      </c>
      <c r="M13" s="21" t="str">
        <f aca="false">IF($O13="","",IF(INDEX(전체!$N$6:$N$75,$O13)="","",INDEX(전체!$N$6:$N$75,$O13)))</f>
        <v/>
      </c>
      <c r="N13" s="21" t="str">
        <f aca="false">IF($O13="","",IF(INDEX(전체!$O$6:$O$75,$O13)="","",INDEX(전체!$O$6:$O$75,$O13)))</f>
        <v/>
      </c>
      <c r="O13" s="22" t="str">
        <f aca="false">IFERROR(MATCH($R$2&amp;"|"&amp;9,전체!$P$6:$P$75,0),"")</f>
        <v/>
      </c>
    </row>
    <row r="14" customFormat="false" ht="15" hidden="false" customHeight="false" outlineLevel="0" collapsed="false">
      <c r="A14" s="5" t="str">
        <f aca="false">IF($O14="","",10)</f>
        <v/>
      </c>
      <c r="B14" s="20" t="str">
        <f aca="false">IF($O14="","",IF(INDEX(전체!$C$6:$C$75,$O14)="","",INDEX(전체!$C$6:$C$75,$O14)))</f>
        <v/>
      </c>
      <c r="C14" s="21" t="str">
        <f aca="false">IF($O14="","",IF(INDEX(전체!$D$6:$D$75,$O14)="","",INDEX(전체!$D$6:$D$75,$O14)))</f>
        <v/>
      </c>
      <c r="D14" s="5" t="str">
        <f aca="false">IF($O14="","",IF(INDEX(전체!$E$6:$E$75,$O14)="","",INDEX(전체!$E$6:$E$75,$O14)))</f>
        <v/>
      </c>
      <c r="E14" s="5" t="str">
        <f aca="false">IF($O14="","",IF(INDEX(전체!$F$6:$F$75,$O14)="","",INDEX(전체!$F$6:$F$75,$O14)))</f>
        <v/>
      </c>
      <c r="F14" s="21" t="str">
        <f aca="false">IF($O14="","",IF(INDEX(전체!$G$6:$G$75,$O14)="","",INDEX(전체!$G$6:$G$75,$O14)))</f>
        <v/>
      </c>
      <c r="G14" s="21" t="str">
        <f aca="false">IF($O14="","",IF(INDEX(전체!$H$6:$H$75,$O14)="","",INDEX(전체!$H$6:$H$75,$O14)))</f>
        <v/>
      </c>
      <c r="H14" s="5" t="str">
        <f aca="false">IF($O14="","",IF(INDEX(전체!$I$6:$I$75,$O14)="","",INDEX(전체!$I$6:$I$75,$O14)))</f>
        <v/>
      </c>
      <c r="I14" s="5" t="str">
        <f aca="false">IF($O14="","",IF(INDEX(전체!$J$6:$J$75,$O14)="","",INDEX(전체!$J$6:$J$75,$O14)))</f>
        <v/>
      </c>
      <c r="J14" s="21" t="str">
        <f aca="false">IF($O14="","",IF(INDEX(전체!$K$6:$K$75,$O14)="","",INDEX(전체!$K$6:$K$75,$O14)))</f>
        <v/>
      </c>
      <c r="K14" s="20" t="str">
        <f aca="false">IF($O14="","",IF(INDEX(전체!$L$6:$L$75,$O14)="","",INDEX(전체!$L$6:$L$75,$O14)))</f>
        <v/>
      </c>
      <c r="L14" s="5" t="str">
        <f aca="false">IF($O14="","",IF(INDEX(전체!$M$6:$M$75,$O14)="","",INDEX(전체!$M$6:$M$75,$O14)))</f>
        <v/>
      </c>
      <c r="M14" s="21" t="str">
        <f aca="false">IF($O14="","",IF(INDEX(전체!$N$6:$N$75,$O14)="","",INDEX(전체!$N$6:$N$75,$O14)))</f>
        <v/>
      </c>
      <c r="N14" s="21" t="str">
        <f aca="false">IF($O14="","",IF(INDEX(전체!$O$6:$O$75,$O14)="","",INDEX(전체!$O$6:$O$75,$O14)))</f>
        <v/>
      </c>
      <c r="O14" s="22" t="str">
        <f aca="false">IFERROR(MATCH($R$2&amp;"|"&amp;10,전체!$P$6:$P$75,0),"")</f>
        <v/>
      </c>
    </row>
    <row r="15" customFormat="false" ht="15" hidden="false" customHeight="false" outlineLevel="0" collapsed="false">
      <c r="A15" s="5" t="str">
        <f aca="false">IF($O15="","",11)</f>
        <v/>
      </c>
      <c r="B15" s="20" t="str">
        <f aca="false">IF($O15="","",IF(INDEX(전체!$C$6:$C$75,$O15)="","",INDEX(전체!$C$6:$C$75,$O15)))</f>
        <v/>
      </c>
      <c r="C15" s="21" t="str">
        <f aca="false">IF($O15="","",IF(INDEX(전체!$D$6:$D$75,$O15)="","",INDEX(전체!$D$6:$D$75,$O15)))</f>
        <v/>
      </c>
      <c r="D15" s="5" t="str">
        <f aca="false">IF($O15="","",IF(INDEX(전체!$E$6:$E$75,$O15)="","",INDEX(전체!$E$6:$E$75,$O15)))</f>
        <v/>
      </c>
      <c r="E15" s="5" t="str">
        <f aca="false">IF($O15="","",IF(INDEX(전체!$F$6:$F$75,$O15)="","",INDEX(전체!$F$6:$F$75,$O15)))</f>
        <v/>
      </c>
      <c r="F15" s="21" t="str">
        <f aca="false">IF($O15="","",IF(INDEX(전체!$G$6:$G$75,$O15)="","",INDEX(전체!$G$6:$G$75,$O15)))</f>
        <v/>
      </c>
      <c r="G15" s="21" t="str">
        <f aca="false">IF($O15="","",IF(INDEX(전체!$H$6:$H$75,$O15)="","",INDEX(전체!$H$6:$H$75,$O15)))</f>
        <v/>
      </c>
      <c r="H15" s="5" t="str">
        <f aca="false">IF($O15="","",IF(INDEX(전체!$I$6:$I$75,$O15)="","",INDEX(전체!$I$6:$I$75,$O15)))</f>
        <v/>
      </c>
      <c r="I15" s="5" t="str">
        <f aca="false">IF($O15="","",IF(INDEX(전체!$J$6:$J$75,$O15)="","",INDEX(전체!$J$6:$J$75,$O15)))</f>
        <v/>
      </c>
      <c r="J15" s="21" t="str">
        <f aca="false">IF($O15="","",IF(INDEX(전체!$K$6:$K$75,$O15)="","",INDEX(전체!$K$6:$K$75,$O15)))</f>
        <v/>
      </c>
      <c r="K15" s="20" t="str">
        <f aca="false">IF($O15="","",IF(INDEX(전체!$L$6:$L$75,$O15)="","",INDEX(전체!$L$6:$L$75,$O15)))</f>
        <v/>
      </c>
      <c r="L15" s="5" t="str">
        <f aca="false">IF($O15="","",IF(INDEX(전체!$M$6:$M$75,$O15)="","",INDEX(전체!$M$6:$M$75,$O15)))</f>
        <v/>
      </c>
      <c r="M15" s="21" t="str">
        <f aca="false">IF($O15="","",IF(INDEX(전체!$N$6:$N$75,$O15)="","",INDEX(전체!$N$6:$N$75,$O15)))</f>
        <v/>
      </c>
      <c r="N15" s="21" t="str">
        <f aca="false">IF($O15="","",IF(INDEX(전체!$O$6:$O$75,$O15)="","",INDEX(전체!$O$6:$O$75,$O15)))</f>
        <v/>
      </c>
      <c r="O15" s="22" t="str">
        <f aca="false">IFERROR(MATCH($R$2&amp;"|"&amp;11,전체!$P$6:$P$75,0),"")</f>
        <v/>
      </c>
    </row>
    <row r="16" customFormat="false" ht="15" hidden="false" customHeight="false" outlineLevel="0" collapsed="false">
      <c r="A16" s="5" t="str">
        <f aca="false">IF($O16="","",12)</f>
        <v/>
      </c>
      <c r="B16" s="20" t="str">
        <f aca="false">IF($O16="","",IF(INDEX(전체!$C$6:$C$75,$O16)="","",INDEX(전체!$C$6:$C$75,$O16)))</f>
        <v/>
      </c>
      <c r="C16" s="21" t="str">
        <f aca="false">IF($O16="","",IF(INDEX(전체!$D$6:$D$75,$O16)="","",INDEX(전체!$D$6:$D$75,$O16)))</f>
        <v/>
      </c>
      <c r="D16" s="5" t="str">
        <f aca="false">IF($O16="","",IF(INDEX(전체!$E$6:$E$75,$O16)="","",INDEX(전체!$E$6:$E$75,$O16)))</f>
        <v/>
      </c>
      <c r="E16" s="5" t="str">
        <f aca="false">IF($O16="","",IF(INDEX(전체!$F$6:$F$75,$O16)="","",INDEX(전체!$F$6:$F$75,$O16)))</f>
        <v/>
      </c>
      <c r="F16" s="21" t="str">
        <f aca="false">IF($O16="","",IF(INDEX(전체!$G$6:$G$75,$O16)="","",INDEX(전체!$G$6:$G$75,$O16)))</f>
        <v/>
      </c>
      <c r="G16" s="21" t="str">
        <f aca="false">IF($O16="","",IF(INDEX(전체!$H$6:$H$75,$O16)="","",INDEX(전체!$H$6:$H$75,$O16)))</f>
        <v/>
      </c>
      <c r="H16" s="5" t="str">
        <f aca="false">IF($O16="","",IF(INDEX(전체!$I$6:$I$75,$O16)="","",INDEX(전체!$I$6:$I$75,$O16)))</f>
        <v/>
      </c>
      <c r="I16" s="5" t="str">
        <f aca="false">IF($O16="","",IF(INDEX(전체!$J$6:$J$75,$O16)="","",INDEX(전체!$J$6:$J$75,$O16)))</f>
        <v/>
      </c>
      <c r="J16" s="21" t="str">
        <f aca="false">IF($O16="","",IF(INDEX(전체!$K$6:$K$75,$O16)="","",INDEX(전체!$K$6:$K$75,$O16)))</f>
        <v/>
      </c>
      <c r="K16" s="20" t="str">
        <f aca="false">IF($O16="","",IF(INDEX(전체!$L$6:$L$75,$O16)="","",INDEX(전체!$L$6:$L$75,$O16)))</f>
        <v/>
      </c>
      <c r="L16" s="5" t="str">
        <f aca="false">IF($O16="","",IF(INDEX(전체!$M$6:$M$75,$O16)="","",INDEX(전체!$M$6:$M$75,$O16)))</f>
        <v/>
      </c>
      <c r="M16" s="21" t="str">
        <f aca="false">IF($O16="","",IF(INDEX(전체!$N$6:$N$75,$O16)="","",INDEX(전체!$N$6:$N$75,$O16)))</f>
        <v/>
      </c>
      <c r="N16" s="21" t="str">
        <f aca="false">IF($O16="","",IF(INDEX(전체!$O$6:$O$75,$O16)="","",INDEX(전체!$O$6:$O$75,$O16)))</f>
        <v/>
      </c>
      <c r="O16" s="22" t="str">
        <f aca="false">IFERROR(MATCH($R$2&amp;"|"&amp;12,전체!$P$6:$P$75,0),"")</f>
        <v/>
      </c>
    </row>
    <row r="17" customFormat="false" ht="15" hidden="false" customHeight="false" outlineLevel="0" collapsed="false">
      <c r="A17" s="5" t="str">
        <f aca="false">IF($O17="","",13)</f>
        <v/>
      </c>
      <c r="B17" s="20" t="str">
        <f aca="false">IF($O17="","",IF(INDEX(전체!$C$6:$C$75,$O17)="","",INDEX(전체!$C$6:$C$75,$O17)))</f>
        <v/>
      </c>
      <c r="C17" s="21" t="str">
        <f aca="false">IF($O17="","",IF(INDEX(전체!$D$6:$D$75,$O17)="","",INDEX(전체!$D$6:$D$75,$O17)))</f>
        <v/>
      </c>
      <c r="D17" s="5" t="str">
        <f aca="false">IF($O17="","",IF(INDEX(전체!$E$6:$E$75,$O17)="","",INDEX(전체!$E$6:$E$75,$O17)))</f>
        <v/>
      </c>
      <c r="E17" s="5" t="str">
        <f aca="false">IF($O17="","",IF(INDEX(전체!$F$6:$F$75,$O17)="","",INDEX(전체!$F$6:$F$75,$O17)))</f>
        <v/>
      </c>
      <c r="F17" s="21" t="str">
        <f aca="false">IF($O17="","",IF(INDEX(전체!$G$6:$G$75,$O17)="","",INDEX(전체!$G$6:$G$75,$O17)))</f>
        <v/>
      </c>
      <c r="G17" s="21" t="str">
        <f aca="false">IF($O17="","",IF(INDEX(전체!$H$6:$H$75,$O17)="","",INDEX(전체!$H$6:$H$75,$O17)))</f>
        <v/>
      </c>
      <c r="H17" s="5" t="str">
        <f aca="false">IF($O17="","",IF(INDEX(전체!$I$6:$I$75,$O17)="","",INDEX(전체!$I$6:$I$75,$O17)))</f>
        <v/>
      </c>
      <c r="I17" s="5" t="str">
        <f aca="false">IF($O17="","",IF(INDEX(전체!$J$6:$J$75,$O17)="","",INDEX(전체!$J$6:$J$75,$O17)))</f>
        <v/>
      </c>
      <c r="J17" s="21" t="str">
        <f aca="false">IF($O17="","",IF(INDEX(전체!$K$6:$K$75,$O17)="","",INDEX(전체!$K$6:$K$75,$O17)))</f>
        <v/>
      </c>
      <c r="K17" s="20" t="str">
        <f aca="false">IF($O17="","",IF(INDEX(전체!$L$6:$L$75,$O17)="","",INDEX(전체!$L$6:$L$75,$O17)))</f>
        <v/>
      </c>
      <c r="L17" s="5" t="str">
        <f aca="false">IF($O17="","",IF(INDEX(전체!$M$6:$M$75,$O17)="","",INDEX(전체!$M$6:$M$75,$O17)))</f>
        <v/>
      </c>
      <c r="M17" s="21" t="str">
        <f aca="false">IF($O17="","",IF(INDEX(전체!$N$6:$N$75,$O17)="","",INDEX(전체!$N$6:$N$75,$O17)))</f>
        <v/>
      </c>
      <c r="N17" s="21" t="str">
        <f aca="false">IF($O17="","",IF(INDEX(전체!$O$6:$O$75,$O17)="","",INDEX(전체!$O$6:$O$75,$O17)))</f>
        <v/>
      </c>
      <c r="O17" s="22" t="str">
        <f aca="false">IFERROR(MATCH($R$2&amp;"|"&amp;13,전체!$P$6:$P$75,0),"")</f>
        <v/>
      </c>
    </row>
    <row r="18" customFormat="false" ht="15" hidden="false" customHeight="false" outlineLevel="0" collapsed="false">
      <c r="A18" s="5" t="str">
        <f aca="false">IF($O18="","",14)</f>
        <v/>
      </c>
      <c r="B18" s="20" t="str">
        <f aca="false">IF($O18="","",IF(INDEX(전체!$C$6:$C$75,$O18)="","",INDEX(전체!$C$6:$C$75,$O18)))</f>
        <v/>
      </c>
      <c r="C18" s="21" t="str">
        <f aca="false">IF($O18="","",IF(INDEX(전체!$D$6:$D$75,$O18)="","",INDEX(전체!$D$6:$D$75,$O18)))</f>
        <v/>
      </c>
      <c r="D18" s="5" t="str">
        <f aca="false">IF($O18="","",IF(INDEX(전체!$E$6:$E$75,$O18)="","",INDEX(전체!$E$6:$E$75,$O18)))</f>
        <v/>
      </c>
      <c r="E18" s="5" t="str">
        <f aca="false">IF($O18="","",IF(INDEX(전체!$F$6:$F$75,$O18)="","",INDEX(전체!$F$6:$F$75,$O18)))</f>
        <v/>
      </c>
      <c r="F18" s="21" t="str">
        <f aca="false">IF($O18="","",IF(INDEX(전체!$G$6:$G$75,$O18)="","",INDEX(전체!$G$6:$G$75,$O18)))</f>
        <v/>
      </c>
      <c r="G18" s="21" t="str">
        <f aca="false">IF($O18="","",IF(INDEX(전체!$H$6:$H$75,$O18)="","",INDEX(전체!$H$6:$H$75,$O18)))</f>
        <v/>
      </c>
      <c r="H18" s="5" t="str">
        <f aca="false">IF($O18="","",IF(INDEX(전체!$I$6:$I$75,$O18)="","",INDEX(전체!$I$6:$I$75,$O18)))</f>
        <v/>
      </c>
      <c r="I18" s="5" t="str">
        <f aca="false">IF($O18="","",IF(INDEX(전체!$J$6:$J$75,$O18)="","",INDEX(전체!$J$6:$J$75,$O18)))</f>
        <v/>
      </c>
      <c r="J18" s="21" t="str">
        <f aca="false">IF($O18="","",IF(INDEX(전체!$K$6:$K$75,$O18)="","",INDEX(전체!$K$6:$K$75,$O18)))</f>
        <v/>
      </c>
      <c r="K18" s="20" t="str">
        <f aca="false">IF($O18="","",IF(INDEX(전체!$L$6:$L$75,$O18)="","",INDEX(전체!$L$6:$L$75,$O18)))</f>
        <v/>
      </c>
      <c r="L18" s="5" t="str">
        <f aca="false">IF($O18="","",IF(INDEX(전체!$M$6:$M$75,$O18)="","",INDEX(전체!$M$6:$M$75,$O18)))</f>
        <v/>
      </c>
      <c r="M18" s="21" t="str">
        <f aca="false">IF($O18="","",IF(INDEX(전체!$N$6:$N$75,$O18)="","",INDEX(전체!$N$6:$N$75,$O18)))</f>
        <v/>
      </c>
      <c r="N18" s="21" t="str">
        <f aca="false">IF($O18="","",IF(INDEX(전체!$O$6:$O$75,$O18)="","",INDEX(전체!$O$6:$O$75,$O18)))</f>
        <v/>
      </c>
      <c r="O18" s="22" t="str">
        <f aca="false">IFERROR(MATCH($R$2&amp;"|"&amp;14,전체!$P$6:$P$75,0),"")</f>
        <v/>
      </c>
    </row>
    <row r="19" customFormat="false" ht="15" hidden="false" customHeight="false" outlineLevel="0" collapsed="false">
      <c r="A19" s="5" t="str">
        <f aca="false">IF($O19="","",15)</f>
        <v/>
      </c>
      <c r="B19" s="20" t="str">
        <f aca="false">IF($O19="","",IF(INDEX(전체!$C$6:$C$75,$O19)="","",INDEX(전체!$C$6:$C$75,$O19)))</f>
        <v/>
      </c>
      <c r="C19" s="21" t="str">
        <f aca="false">IF($O19="","",IF(INDEX(전체!$D$6:$D$75,$O19)="","",INDEX(전체!$D$6:$D$75,$O19)))</f>
        <v/>
      </c>
      <c r="D19" s="5" t="str">
        <f aca="false">IF($O19="","",IF(INDEX(전체!$E$6:$E$75,$O19)="","",INDEX(전체!$E$6:$E$75,$O19)))</f>
        <v/>
      </c>
      <c r="E19" s="5" t="str">
        <f aca="false">IF($O19="","",IF(INDEX(전체!$F$6:$F$75,$O19)="","",INDEX(전체!$F$6:$F$75,$O19)))</f>
        <v/>
      </c>
      <c r="F19" s="21" t="str">
        <f aca="false">IF($O19="","",IF(INDEX(전체!$G$6:$G$75,$O19)="","",INDEX(전체!$G$6:$G$75,$O19)))</f>
        <v/>
      </c>
      <c r="G19" s="21" t="str">
        <f aca="false">IF($O19="","",IF(INDEX(전체!$H$6:$H$75,$O19)="","",INDEX(전체!$H$6:$H$75,$O19)))</f>
        <v/>
      </c>
      <c r="H19" s="5" t="str">
        <f aca="false">IF($O19="","",IF(INDEX(전체!$I$6:$I$75,$O19)="","",INDEX(전체!$I$6:$I$75,$O19)))</f>
        <v/>
      </c>
      <c r="I19" s="5" t="str">
        <f aca="false">IF($O19="","",IF(INDEX(전체!$J$6:$J$75,$O19)="","",INDEX(전체!$J$6:$J$75,$O19)))</f>
        <v/>
      </c>
      <c r="J19" s="21" t="str">
        <f aca="false">IF($O19="","",IF(INDEX(전체!$K$6:$K$75,$O19)="","",INDEX(전체!$K$6:$K$75,$O19)))</f>
        <v/>
      </c>
      <c r="K19" s="20" t="str">
        <f aca="false">IF($O19="","",IF(INDEX(전체!$L$6:$L$75,$O19)="","",INDEX(전체!$L$6:$L$75,$O19)))</f>
        <v/>
      </c>
      <c r="L19" s="5" t="str">
        <f aca="false">IF($O19="","",IF(INDEX(전체!$M$6:$M$75,$O19)="","",INDEX(전체!$M$6:$M$75,$O19)))</f>
        <v/>
      </c>
      <c r="M19" s="21" t="str">
        <f aca="false">IF($O19="","",IF(INDEX(전체!$N$6:$N$75,$O19)="","",INDEX(전체!$N$6:$N$75,$O19)))</f>
        <v/>
      </c>
      <c r="N19" s="21" t="str">
        <f aca="false">IF($O19="","",IF(INDEX(전체!$O$6:$O$75,$O19)="","",INDEX(전체!$O$6:$O$75,$O19)))</f>
        <v/>
      </c>
      <c r="O19" s="22" t="str">
        <f aca="false">IFERROR(MATCH($R$2&amp;"|"&amp;15,전체!$P$6:$P$75,0),"")</f>
        <v/>
      </c>
    </row>
    <row r="20" customFormat="false" ht="15" hidden="false" customHeight="false" outlineLevel="0" collapsed="false">
      <c r="A20" s="5" t="str">
        <f aca="false">IF($O20="","",16)</f>
        <v/>
      </c>
      <c r="B20" s="20" t="str">
        <f aca="false">IF($O20="","",IF(INDEX(전체!$C$6:$C$75,$O20)="","",INDEX(전체!$C$6:$C$75,$O20)))</f>
        <v/>
      </c>
      <c r="C20" s="21" t="str">
        <f aca="false">IF($O20="","",IF(INDEX(전체!$D$6:$D$75,$O20)="","",INDEX(전체!$D$6:$D$75,$O20)))</f>
        <v/>
      </c>
      <c r="D20" s="5" t="str">
        <f aca="false">IF($O20="","",IF(INDEX(전체!$E$6:$E$75,$O20)="","",INDEX(전체!$E$6:$E$75,$O20)))</f>
        <v/>
      </c>
      <c r="E20" s="5" t="str">
        <f aca="false">IF($O20="","",IF(INDEX(전체!$F$6:$F$75,$O20)="","",INDEX(전체!$F$6:$F$75,$O20)))</f>
        <v/>
      </c>
      <c r="F20" s="21" t="str">
        <f aca="false">IF($O20="","",IF(INDEX(전체!$G$6:$G$75,$O20)="","",INDEX(전체!$G$6:$G$75,$O20)))</f>
        <v/>
      </c>
      <c r="G20" s="21" t="str">
        <f aca="false">IF($O20="","",IF(INDEX(전체!$H$6:$H$75,$O20)="","",INDEX(전체!$H$6:$H$75,$O20)))</f>
        <v/>
      </c>
      <c r="H20" s="5" t="str">
        <f aca="false">IF($O20="","",IF(INDEX(전체!$I$6:$I$75,$O20)="","",INDEX(전체!$I$6:$I$75,$O20)))</f>
        <v/>
      </c>
      <c r="I20" s="5" t="str">
        <f aca="false">IF($O20="","",IF(INDEX(전체!$J$6:$J$75,$O20)="","",INDEX(전체!$J$6:$J$75,$O20)))</f>
        <v/>
      </c>
      <c r="J20" s="21" t="str">
        <f aca="false">IF($O20="","",IF(INDEX(전체!$K$6:$K$75,$O20)="","",INDEX(전체!$K$6:$K$75,$O20)))</f>
        <v/>
      </c>
      <c r="K20" s="20" t="str">
        <f aca="false">IF($O20="","",IF(INDEX(전체!$L$6:$L$75,$O20)="","",INDEX(전체!$L$6:$L$75,$O20)))</f>
        <v/>
      </c>
      <c r="L20" s="5" t="str">
        <f aca="false">IF($O20="","",IF(INDEX(전체!$M$6:$M$75,$O20)="","",INDEX(전체!$M$6:$M$75,$O20)))</f>
        <v/>
      </c>
      <c r="M20" s="21" t="str">
        <f aca="false">IF($O20="","",IF(INDEX(전체!$N$6:$N$75,$O20)="","",INDEX(전체!$N$6:$N$75,$O20)))</f>
        <v/>
      </c>
      <c r="N20" s="21" t="str">
        <f aca="false">IF($O20="","",IF(INDEX(전체!$O$6:$O$75,$O20)="","",INDEX(전체!$O$6:$O$75,$O20)))</f>
        <v/>
      </c>
      <c r="O20" s="22" t="str">
        <f aca="false">IFERROR(MATCH($R$2&amp;"|"&amp;16,전체!$P$6:$P$75,0),"")</f>
        <v/>
      </c>
    </row>
    <row r="21" customFormat="false" ht="15" hidden="false" customHeight="false" outlineLevel="0" collapsed="false">
      <c r="A21" s="5" t="str">
        <f aca="false">IF($O21="","",17)</f>
        <v/>
      </c>
      <c r="B21" s="20" t="str">
        <f aca="false">IF($O21="","",IF(INDEX(전체!$C$6:$C$75,$O21)="","",INDEX(전체!$C$6:$C$75,$O21)))</f>
        <v/>
      </c>
      <c r="C21" s="21" t="str">
        <f aca="false">IF($O21="","",IF(INDEX(전체!$D$6:$D$75,$O21)="","",INDEX(전체!$D$6:$D$75,$O21)))</f>
        <v/>
      </c>
      <c r="D21" s="5" t="str">
        <f aca="false">IF($O21="","",IF(INDEX(전체!$E$6:$E$75,$O21)="","",INDEX(전체!$E$6:$E$75,$O21)))</f>
        <v/>
      </c>
      <c r="E21" s="5" t="str">
        <f aca="false">IF($O21="","",IF(INDEX(전체!$F$6:$F$75,$O21)="","",INDEX(전체!$F$6:$F$75,$O21)))</f>
        <v/>
      </c>
      <c r="F21" s="21" t="str">
        <f aca="false">IF($O21="","",IF(INDEX(전체!$G$6:$G$75,$O21)="","",INDEX(전체!$G$6:$G$75,$O21)))</f>
        <v/>
      </c>
      <c r="G21" s="21" t="str">
        <f aca="false">IF($O21="","",IF(INDEX(전체!$H$6:$H$75,$O21)="","",INDEX(전체!$H$6:$H$75,$O21)))</f>
        <v/>
      </c>
      <c r="H21" s="5" t="str">
        <f aca="false">IF($O21="","",IF(INDEX(전체!$I$6:$I$75,$O21)="","",INDEX(전체!$I$6:$I$75,$O21)))</f>
        <v/>
      </c>
      <c r="I21" s="5" t="str">
        <f aca="false">IF($O21="","",IF(INDEX(전체!$J$6:$J$75,$O21)="","",INDEX(전체!$J$6:$J$75,$O21)))</f>
        <v/>
      </c>
      <c r="J21" s="21" t="str">
        <f aca="false">IF($O21="","",IF(INDEX(전체!$K$6:$K$75,$O21)="","",INDEX(전체!$K$6:$K$75,$O21)))</f>
        <v/>
      </c>
      <c r="K21" s="20" t="str">
        <f aca="false">IF($O21="","",IF(INDEX(전체!$L$6:$L$75,$O21)="","",INDEX(전체!$L$6:$L$75,$O21)))</f>
        <v/>
      </c>
      <c r="L21" s="5" t="str">
        <f aca="false">IF($O21="","",IF(INDEX(전체!$M$6:$M$75,$O21)="","",INDEX(전체!$M$6:$M$75,$O21)))</f>
        <v/>
      </c>
      <c r="M21" s="21" t="str">
        <f aca="false">IF($O21="","",IF(INDEX(전체!$N$6:$N$75,$O21)="","",INDEX(전체!$N$6:$N$75,$O21)))</f>
        <v/>
      </c>
      <c r="N21" s="21" t="str">
        <f aca="false">IF($O21="","",IF(INDEX(전체!$O$6:$O$75,$O21)="","",INDEX(전체!$O$6:$O$75,$O21)))</f>
        <v/>
      </c>
      <c r="O21" s="22" t="str">
        <f aca="false">IFERROR(MATCH($R$2&amp;"|"&amp;17,전체!$P$6:$P$75,0),"")</f>
        <v/>
      </c>
    </row>
    <row r="22" customFormat="false" ht="15" hidden="false" customHeight="false" outlineLevel="0" collapsed="false">
      <c r="A22" s="5" t="str">
        <f aca="false">IF($O22="","",18)</f>
        <v/>
      </c>
      <c r="B22" s="20" t="str">
        <f aca="false">IF($O22="","",IF(INDEX(전체!$C$6:$C$75,$O22)="","",INDEX(전체!$C$6:$C$75,$O22)))</f>
        <v/>
      </c>
      <c r="C22" s="21" t="str">
        <f aca="false">IF($O22="","",IF(INDEX(전체!$D$6:$D$75,$O22)="","",INDEX(전체!$D$6:$D$75,$O22)))</f>
        <v/>
      </c>
      <c r="D22" s="5" t="str">
        <f aca="false">IF($O22="","",IF(INDEX(전체!$E$6:$E$75,$O22)="","",INDEX(전체!$E$6:$E$75,$O22)))</f>
        <v/>
      </c>
      <c r="E22" s="5" t="str">
        <f aca="false">IF($O22="","",IF(INDEX(전체!$F$6:$F$75,$O22)="","",INDEX(전체!$F$6:$F$75,$O22)))</f>
        <v/>
      </c>
      <c r="F22" s="21" t="str">
        <f aca="false">IF($O22="","",IF(INDEX(전체!$G$6:$G$75,$O22)="","",INDEX(전체!$G$6:$G$75,$O22)))</f>
        <v/>
      </c>
      <c r="G22" s="21" t="str">
        <f aca="false">IF($O22="","",IF(INDEX(전체!$H$6:$H$75,$O22)="","",INDEX(전체!$H$6:$H$75,$O22)))</f>
        <v/>
      </c>
      <c r="H22" s="5" t="str">
        <f aca="false">IF($O22="","",IF(INDEX(전체!$I$6:$I$75,$O22)="","",INDEX(전체!$I$6:$I$75,$O22)))</f>
        <v/>
      </c>
      <c r="I22" s="5" t="str">
        <f aca="false">IF($O22="","",IF(INDEX(전체!$J$6:$J$75,$O22)="","",INDEX(전체!$J$6:$J$75,$O22)))</f>
        <v/>
      </c>
      <c r="J22" s="21" t="str">
        <f aca="false">IF($O22="","",IF(INDEX(전체!$K$6:$K$75,$O22)="","",INDEX(전체!$K$6:$K$75,$O22)))</f>
        <v/>
      </c>
      <c r="K22" s="20" t="str">
        <f aca="false">IF($O22="","",IF(INDEX(전체!$L$6:$L$75,$O22)="","",INDEX(전체!$L$6:$L$75,$O22)))</f>
        <v/>
      </c>
      <c r="L22" s="5" t="str">
        <f aca="false">IF($O22="","",IF(INDEX(전체!$M$6:$M$75,$O22)="","",INDEX(전체!$M$6:$M$75,$O22)))</f>
        <v/>
      </c>
      <c r="M22" s="21" t="str">
        <f aca="false">IF($O22="","",IF(INDEX(전체!$N$6:$N$75,$O22)="","",INDEX(전체!$N$6:$N$75,$O22)))</f>
        <v/>
      </c>
      <c r="N22" s="21" t="str">
        <f aca="false">IF($O22="","",IF(INDEX(전체!$O$6:$O$75,$O22)="","",INDEX(전체!$O$6:$O$75,$O22)))</f>
        <v/>
      </c>
      <c r="O22" s="22" t="str">
        <f aca="false">IFERROR(MATCH($R$2&amp;"|"&amp;18,전체!$P$6:$P$75,0),"")</f>
        <v/>
      </c>
    </row>
    <row r="23" customFormat="false" ht="15" hidden="false" customHeight="false" outlineLevel="0" collapsed="false">
      <c r="A23" s="5" t="str">
        <f aca="false">IF($O23="","",19)</f>
        <v/>
      </c>
      <c r="B23" s="20" t="str">
        <f aca="false">IF($O23="","",IF(INDEX(전체!$C$6:$C$75,$O23)="","",INDEX(전체!$C$6:$C$75,$O23)))</f>
        <v/>
      </c>
      <c r="C23" s="21" t="str">
        <f aca="false">IF($O23="","",IF(INDEX(전체!$D$6:$D$75,$O23)="","",INDEX(전체!$D$6:$D$75,$O23)))</f>
        <v/>
      </c>
      <c r="D23" s="5" t="str">
        <f aca="false">IF($O23="","",IF(INDEX(전체!$E$6:$E$75,$O23)="","",INDEX(전체!$E$6:$E$75,$O23)))</f>
        <v/>
      </c>
      <c r="E23" s="5" t="str">
        <f aca="false">IF($O23="","",IF(INDEX(전체!$F$6:$F$75,$O23)="","",INDEX(전체!$F$6:$F$75,$O23)))</f>
        <v/>
      </c>
      <c r="F23" s="21" t="str">
        <f aca="false">IF($O23="","",IF(INDEX(전체!$G$6:$G$75,$O23)="","",INDEX(전체!$G$6:$G$75,$O23)))</f>
        <v/>
      </c>
      <c r="G23" s="21" t="str">
        <f aca="false">IF($O23="","",IF(INDEX(전체!$H$6:$H$75,$O23)="","",INDEX(전체!$H$6:$H$75,$O23)))</f>
        <v/>
      </c>
      <c r="H23" s="5" t="str">
        <f aca="false">IF($O23="","",IF(INDEX(전체!$I$6:$I$75,$O23)="","",INDEX(전체!$I$6:$I$75,$O23)))</f>
        <v/>
      </c>
      <c r="I23" s="5" t="str">
        <f aca="false">IF($O23="","",IF(INDEX(전체!$J$6:$J$75,$O23)="","",INDEX(전체!$J$6:$J$75,$O23)))</f>
        <v/>
      </c>
      <c r="J23" s="21" t="str">
        <f aca="false">IF($O23="","",IF(INDEX(전체!$K$6:$K$75,$O23)="","",INDEX(전체!$K$6:$K$75,$O23)))</f>
        <v/>
      </c>
      <c r="K23" s="20" t="str">
        <f aca="false">IF($O23="","",IF(INDEX(전체!$L$6:$L$75,$O23)="","",INDEX(전체!$L$6:$L$75,$O23)))</f>
        <v/>
      </c>
      <c r="L23" s="5" t="str">
        <f aca="false">IF($O23="","",IF(INDEX(전체!$M$6:$M$75,$O23)="","",INDEX(전체!$M$6:$M$75,$O23)))</f>
        <v/>
      </c>
      <c r="M23" s="21" t="str">
        <f aca="false">IF($O23="","",IF(INDEX(전체!$N$6:$N$75,$O23)="","",INDEX(전체!$N$6:$N$75,$O23)))</f>
        <v/>
      </c>
      <c r="N23" s="21" t="str">
        <f aca="false">IF($O23="","",IF(INDEX(전체!$O$6:$O$75,$O23)="","",INDEX(전체!$O$6:$O$75,$O23)))</f>
        <v/>
      </c>
      <c r="O23" s="22" t="str">
        <f aca="false">IFERROR(MATCH($R$2&amp;"|"&amp;19,전체!$P$6:$P$75,0),"")</f>
        <v/>
      </c>
    </row>
    <row r="24" customFormat="false" ht="15" hidden="false" customHeight="false" outlineLevel="0" collapsed="false">
      <c r="A24" s="5" t="str">
        <f aca="false">IF($O24="","",20)</f>
        <v/>
      </c>
      <c r="B24" s="20" t="str">
        <f aca="false">IF($O24="","",IF(INDEX(전체!$C$6:$C$75,$O24)="","",INDEX(전체!$C$6:$C$75,$O24)))</f>
        <v/>
      </c>
      <c r="C24" s="21" t="str">
        <f aca="false">IF($O24="","",IF(INDEX(전체!$D$6:$D$75,$O24)="","",INDEX(전체!$D$6:$D$75,$O24)))</f>
        <v/>
      </c>
      <c r="D24" s="5" t="str">
        <f aca="false">IF($O24="","",IF(INDEX(전체!$E$6:$E$75,$O24)="","",INDEX(전체!$E$6:$E$75,$O24)))</f>
        <v/>
      </c>
      <c r="E24" s="5" t="str">
        <f aca="false">IF($O24="","",IF(INDEX(전체!$F$6:$F$75,$O24)="","",INDEX(전체!$F$6:$F$75,$O24)))</f>
        <v/>
      </c>
      <c r="F24" s="21" t="str">
        <f aca="false">IF($O24="","",IF(INDEX(전체!$G$6:$G$75,$O24)="","",INDEX(전체!$G$6:$G$75,$O24)))</f>
        <v/>
      </c>
      <c r="G24" s="21" t="str">
        <f aca="false">IF($O24="","",IF(INDEX(전체!$H$6:$H$75,$O24)="","",INDEX(전체!$H$6:$H$75,$O24)))</f>
        <v/>
      </c>
      <c r="H24" s="5" t="str">
        <f aca="false">IF($O24="","",IF(INDEX(전체!$I$6:$I$75,$O24)="","",INDEX(전체!$I$6:$I$75,$O24)))</f>
        <v/>
      </c>
      <c r="I24" s="5" t="str">
        <f aca="false">IF($O24="","",IF(INDEX(전체!$J$6:$J$75,$O24)="","",INDEX(전체!$J$6:$J$75,$O24)))</f>
        <v/>
      </c>
      <c r="J24" s="21" t="str">
        <f aca="false">IF($O24="","",IF(INDEX(전체!$K$6:$K$75,$O24)="","",INDEX(전체!$K$6:$K$75,$O24)))</f>
        <v/>
      </c>
      <c r="K24" s="20" t="str">
        <f aca="false">IF($O24="","",IF(INDEX(전체!$L$6:$L$75,$O24)="","",INDEX(전체!$L$6:$L$75,$O24)))</f>
        <v/>
      </c>
      <c r="L24" s="5" t="str">
        <f aca="false">IF($O24="","",IF(INDEX(전체!$M$6:$M$75,$O24)="","",INDEX(전체!$M$6:$M$75,$O24)))</f>
        <v/>
      </c>
      <c r="M24" s="21" t="str">
        <f aca="false">IF($O24="","",IF(INDEX(전체!$N$6:$N$75,$O24)="","",INDEX(전체!$N$6:$N$75,$O24)))</f>
        <v/>
      </c>
      <c r="N24" s="21" t="str">
        <f aca="false">IF($O24="","",IF(INDEX(전체!$O$6:$O$75,$O24)="","",INDEX(전체!$O$6:$O$75,$O24)))</f>
        <v/>
      </c>
      <c r="O24" s="22" t="str">
        <f aca="false">IFERROR(MATCH($R$2&amp;"|"&amp;20,전체!$P$6:$P$75,0),"")</f>
        <v/>
      </c>
    </row>
    <row r="25" customFormat="false" ht="15" hidden="false" customHeight="false" outlineLevel="0" collapsed="false">
      <c r="A25" s="5" t="str">
        <f aca="false">IF($O25="","",21)</f>
        <v/>
      </c>
      <c r="B25" s="20" t="str">
        <f aca="false">IF($O25="","",IF(INDEX(전체!$C$6:$C$75,$O25)="","",INDEX(전체!$C$6:$C$75,$O25)))</f>
        <v/>
      </c>
      <c r="C25" s="21" t="str">
        <f aca="false">IF($O25="","",IF(INDEX(전체!$D$6:$D$75,$O25)="","",INDEX(전체!$D$6:$D$75,$O25)))</f>
        <v/>
      </c>
      <c r="D25" s="5" t="str">
        <f aca="false">IF($O25="","",IF(INDEX(전체!$E$6:$E$75,$O25)="","",INDEX(전체!$E$6:$E$75,$O25)))</f>
        <v/>
      </c>
      <c r="E25" s="5" t="str">
        <f aca="false">IF($O25="","",IF(INDEX(전체!$F$6:$F$75,$O25)="","",INDEX(전체!$F$6:$F$75,$O25)))</f>
        <v/>
      </c>
      <c r="F25" s="21" t="str">
        <f aca="false">IF($O25="","",IF(INDEX(전체!$G$6:$G$75,$O25)="","",INDEX(전체!$G$6:$G$75,$O25)))</f>
        <v/>
      </c>
      <c r="G25" s="21" t="str">
        <f aca="false">IF($O25="","",IF(INDEX(전체!$H$6:$H$75,$O25)="","",INDEX(전체!$H$6:$H$75,$O25)))</f>
        <v/>
      </c>
      <c r="H25" s="5" t="str">
        <f aca="false">IF($O25="","",IF(INDEX(전체!$I$6:$I$75,$O25)="","",INDEX(전체!$I$6:$I$75,$O25)))</f>
        <v/>
      </c>
      <c r="I25" s="5" t="str">
        <f aca="false">IF($O25="","",IF(INDEX(전체!$J$6:$J$75,$O25)="","",INDEX(전체!$J$6:$J$75,$O25)))</f>
        <v/>
      </c>
      <c r="J25" s="21" t="str">
        <f aca="false">IF($O25="","",IF(INDEX(전체!$K$6:$K$75,$O25)="","",INDEX(전체!$K$6:$K$75,$O25)))</f>
        <v/>
      </c>
      <c r="K25" s="20" t="str">
        <f aca="false">IF($O25="","",IF(INDEX(전체!$L$6:$L$75,$O25)="","",INDEX(전체!$L$6:$L$75,$O25)))</f>
        <v/>
      </c>
      <c r="L25" s="5" t="str">
        <f aca="false">IF($O25="","",IF(INDEX(전체!$M$6:$M$75,$O25)="","",INDEX(전체!$M$6:$M$75,$O25)))</f>
        <v/>
      </c>
      <c r="M25" s="21" t="str">
        <f aca="false">IF($O25="","",IF(INDEX(전체!$N$6:$N$75,$O25)="","",INDEX(전체!$N$6:$N$75,$O25)))</f>
        <v/>
      </c>
      <c r="N25" s="21" t="str">
        <f aca="false">IF($O25="","",IF(INDEX(전체!$O$6:$O$75,$O25)="","",INDEX(전체!$O$6:$O$75,$O25)))</f>
        <v/>
      </c>
      <c r="O25" s="22" t="str">
        <f aca="false">IFERROR(MATCH($R$2&amp;"|"&amp;21,전체!$P$6:$P$75,0),"")</f>
        <v/>
      </c>
    </row>
    <row r="26" customFormat="false" ht="15" hidden="false" customHeight="false" outlineLevel="0" collapsed="false">
      <c r="A26" s="5" t="str">
        <f aca="false">IF($O26="","",22)</f>
        <v/>
      </c>
      <c r="B26" s="20" t="str">
        <f aca="false">IF($O26="","",IF(INDEX(전체!$C$6:$C$75,$O26)="","",INDEX(전체!$C$6:$C$75,$O26)))</f>
        <v/>
      </c>
      <c r="C26" s="21" t="str">
        <f aca="false">IF($O26="","",IF(INDEX(전체!$D$6:$D$75,$O26)="","",INDEX(전체!$D$6:$D$75,$O26)))</f>
        <v/>
      </c>
      <c r="D26" s="5" t="str">
        <f aca="false">IF($O26="","",IF(INDEX(전체!$E$6:$E$75,$O26)="","",INDEX(전체!$E$6:$E$75,$O26)))</f>
        <v/>
      </c>
      <c r="E26" s="5" t="str">
        <f aca="false">IF($O26="","",IF(INDEX(전체!$F$6:$F$75,$O26)="","",INDEX(전체!$F$6:$F$75,$O26)))</f>
        <v/>
      </c>
      <c r="F26" s="21" t="str">
        <f aca="false">IF($O26="","",IF(INDEX(전체!$G$6:$G$75,$O26)="","",INDEX(전체!$G$6:$G$75,$O26)))</f>
        <v/>
      </c>
      <c r="G26" s="21" t="str">
        <f aca="false">IF($O26="","",IF(INDEX(전체!$H$6:$H$75,$O26)="","",INDEX(전체!$H$6:$H$75,$O26)))</f>
        <v/>
      </c>
      <c r="H26" s="5" t="str">
        <f aca="false">IF($O26="","",IF(INDEX(전체!$I$6:$I$75,$O26)="","",INDEX(전체!$I$6:$I$75,$O26)))</f>
        <v/>
      </c>
      <c r="I26" s="5" t="str">
        <f aca="false">IF($O26="","",IF(INDEX(전체!$J$6:$J$75,$O26)="","",INDEX(전체!$J$6:$J$75,$O26)))</f>
        <v/>
      </c>
      <c r="J26" s="21" t="str">
        <f aca="false">IF($O26="","",IF(INDEX(전체!$K$6:$K$75,$O26)="","",INDEX(전체!$K$6:$K$75,$O26)))</f>
        <v/>
      </c>
      <c r="K26" s="20" t="str">
        <f aca="false">IF($O26="","",IF(INDEX(전체!$L$6:$L$75,$O26)="","",INDEX(전체!$L$6:$L$75,$O26)))</f>
        <v/>
      </c>
      <c r="L26" s="5" t="str">
        <f aca="false">IF($O26="","",IF(INDEX(전체!$M$6:$M$75,$O26)="","",INDEX(전체!$M$6:$M$75,$O26)))</f>
        <v/>
      </c>
      <c r="M26" s="21" t="str">
        <f aca="false">IF($O26="","",IF(INDEX(전체!$N$6:$N$75,$O26)="","",INDEX(전체!$N$6:$N$75,$O26)))</f>
        <v/>
      </c>
      <c r="N26" s="21" t="str">
        <f aca="false">IF($O26="","",IF(INDEX(전체!$O$6:$O$75,$O26)="","",INDEX(전체!$O$6:$O$75,$O26)))</f>
        <v/>
      </c>
      <c r="O26" s="22" t="str">
        <f aca="false">IFERROR(MATCH($R$2&amp;"|"&amp;22,전체!$P$6:$P$75,0),"")</f>
        <v/>
      </c>
    </row>
    <row r="27" customFormat="false" ht="15" hidden="false" customHeight="false" outlineLevel="0" collapsed="false">
      <c r="A27" s="5" t="str">
        <f aca="false">IF($O27="","",23)</f>
        <v/>
      </c>
      <c r="B27" s="20" t="str">
        <f aca="false">IF($O27="","",IF(INDEX(전체!$C$6:$C$75,$O27)="","",INDEX(전체!$C$6:$C$75,$O27)))</f>
        <v/>
      </c>
      <c r="C27" s="21" t="str">
        <f aca="false">IF($O27="","",IF(INDEX(전체!$D$6:$D$75,$O27)="","",INDEX(전체!$D$6:$D$75,$O27)))</f>
        <v/>
      </c>
      <c r="D27" s="5" t="str">
        <f aca="false">IF($O27="","",IF(INDEX(전체!$E$6:$E$75,$O27)="","",INDEX(전체!$E$6:$E$75,$O27)))</f>
        <v/>
      </c>
      <c r="E27" s="5" t="str">
        <f aca="false">IF($O27="","",IF(INDEX(전체!$F$6:$F$75,$O27)="","",INDEX(전체!$F$6:$F$75,$O27)))</f>
        <v/>
      </c>
      <c r="F27" s="21" t="str">
        <f aca="false">IF($O27="","",IF(INDEX(전체!$G$6:$G$75,$O27)="","",INDEX(전체!$G$6:$G$75,$O27)))</f>
        <v/>
      </c>
      <c r="G27" s="21" t="str">
        <f aca="false">IF($O27="","",IF(INDEX(전체!$H$6:$H$75,$O27)="","",INDEX(전체!$H$6:$H$75,$O27)))</f>
        <v/>
      </c>
      <c r="H27" s="5" t="str">
        <f aca="false">IF($O27="","",IF(INDEX(전체!$I$6:$I$75,$O27)="","",INDEX(전체!$I$6:$I$75,$O27)))</f>
        <v/>
      </c>
      <c r="I27" s="5" t="str">
        <f aca="false">IF($O27="","",IF(INDEX(전체!$J$6:$J$75,$O27)="","",INDEX(전체!$J$6:$J$75,$O27)))</f>
        <v/>
      </c>
      <c r="J27" s="21" t="str">
        <f aca="false">IF($O27="","",IF(INDEX(전체!$K$6:$K$75,$O27)="","",INDEX(전체!$K$6:$K$75,$O27)))</f>
        <v/>
      </c>
      <c r="K27" s="20" t="str">
        <f aca="false">IF($O27="","",IF(INDEX(전체!$L$6:$L$75,$O27)="","",INDEX(전체!$L$6:$L$75,$O27)))</f>
        <v/>
      </c>
      <c r="L27" s="5" t="str">
        <f aca="false">IF($O27="","",IF(INDEX(전체!$M$6:$M$75,$O27)="","",INDEX(전체!$M$6:$M$75,$O27)))</f>
        <v/>
      </c>
      <c r="M27" s="21" t="str">
        <f aca="false">IF($O27="","",IF(INDEX(전체!$N$6:$N$75,$O27)="","",INDEX(전체!$N$6:$N$75,$O27)))</f>
        <v/>
      </c>
      <c r="N27" s="21" t="str">
        <f aca="false">IF($O27="","",IF(INDEX(전체!$O$6:$O$75,$O27)="","",INDEX(전체!$O$6:$O$75,$O27)))</f>
        <v/>
      </c>
      <c r="O27" s="22" t="str">
        <f aca="false">IFERROR(MATCH($R$2&amp;"|"&amp;23,전체!$P$6:$P$75,0),"")</f>
        <v/>
      </c>
    </row>
    <row r="28" customFormat="false" ht="15" hidden="false" customHeight="false" outlineLevel="0" collapsed="false">
      <c r="A28" s="5" t="str">
        <f aca="false">IF($O28="","",24)</f>
        <v/>
      </c>
      <c r="B28" s="20" t="str">
        <f aca="false">IF($O28="","",IF(INDEX(전체!$C$6:$C$75,$O28)="","",INDEX(전체!$C$6:$C$75,$O28)))</f>
        <v/>
      </c>
      <c r="C28" s="21" t="str">
        <f aca="false">IF($O28="","",IF(INDEX(전체!$D$6:$D$75,$O28)="","",INDEX(전체!$D$6:$D$75,$O28)))</f>
        <v/>
      </c>
      <c r="D28" s="5" t="str">
        <f aca="false">IF($O28="","",IF(INDEX(전체!$E$6:$E$75,$O28)="","",INDEX(전체!$E$6:$E$75,$O28)))</f>
        <v/>
      </c>
      <c r="E28" s="5" t="str">
        <f aca="false">IF($O28="","",IF(INDEX(전체!$F$6:$F$75,$O28)="","",INDEX(전체!$F$6:$F$75,$O28)))</f>
        <v/>
      </c>
      <c r="F28" s="21" t="str">
        <f aca="false">IF($O28="","",IF(INDEX(전체!$G$6:$G$75,$O28)="","",INDEX(전체!$G$6:$G$75,$O28)))</f>
        <v/>
      </c>
      <c r="G28" s="21" t="str">
        <f aca="false">IF($O28="","",IF(INDEX(전체!$H$6:$H$75,$O28)="","",INDEX(전체!$H$6:$H$75,$O28)))</f>
        <v/>
      </c>
      <c r="H28" s="5" t="str">
        <f aca="false">IF($O28="","",IF(INDEX(전체!$I$6:$I$75,$O28)="","",INDEX(전체!$I$6:$I$75,$O28)))</f>
        <v/>
      </c>
      <c r="I28" s="5" t="str">
        <f aca="false">IF($O28="","",IF(INDEX(전체!$J$6:$J$75,$O28)="","",INDEX(전체!$J$6:$J$75,$O28)))</f>
        <v/>
      </c>
      <c r="J28" s="21" t="str">
        <f aca="false">IF($O28="","",IF(INDEX(전체!$K$6:$K$75,$O28)="","",INDEX(전체!$K$6:$K$75,$O28)))</f>
        <v/>
      </c>
      <c r="K28" s="20" t="str">
        <f aca="false">IF($O28="","",IF(INDEX(전체!$L$6:$L$75,$O28)="","",INDEX(전체!$L$6:$L$75,$O28)))</f>
        <v/>
      </c>
      <c r="L28" s="5" t="str">
        <f aca="false">IF($O28="","",IF(INDEX(전체!$M$6:$M$75,$O28)="","",INDEX(전체!$M$6:$M$75,$O28)))</f>
        <v/>
      </c>
      <c r="M28" s="21" t="str">
        <f aca="false">IF($O28="","",IF(INDEX(전체!$N$6:$N$75,$O28)="","",INDEX(전체!$N$6:$N$75,$O28)))</f>
        <v/>
      </c>
      <c r="N28" s="21" t="str">
        <f aca="false">IF($O28="","",IF(INDEX(전체!$O$6:$O$75,$O28)="","",INDEX(전체!$O$6:$O$75,$O28)))</f>
        <v/>
      </c>
      <c r="O28" s="22" t="str">
        <f aca="false">IFERROR(MATCH($R$2&amp;"|"&amp;24,전체!$P$6:$P$75,0),"")</f>
        <v/>
      </c>
    </row>
    <row r="29" customFormat="false" ht="15" hidden="false" customHeight="false" outlineLevel="0" collapsed="false">
      <c r="A29" s="5" t="str">
        <f aca="false">IF($O29="","",25)</f>
        <v/>
      </c>
      <c r="B29" s="20" t="str">
        <f aca="false">IF($O29="","",IF(INDEX(전체!$C$6:$C$75,$O29)="","",INDEX(전체!$C$6:$C$75,$O29)))</f>
        <v/>
      </c>
      <c r="C29" s="21" t="str">
        <f aca="false">IF($O29="","",IF(INDEX(전체!$D$6:$D$75,$O29)="","",INDEX(전체!$D$6:$D$75,$O29)))</f>
        <v/>
      </c>
      <c r="D29" s="5" t="str">
        <f aca="false">IF($O29="","",IF(INDEX(전체!$E$6:$E$75,$O29)="","",INDEX(전체!$E$6:$E$75,$O29)))</f>
        <v/>
      </c>
      <c r="E29" s="5" t="str">
        <f aca="false">IF($O29="","",IF(INDEX(전체!$F$6:$F$75,$O29)="","",INDEX(전체!$F$6:$F$75,$O29)))</f>
        <v/>
      </c>
      <c r="F29" s="21" t="str">
        <f aca="false">IF($O29="","",IF(INDEX(전체!$G$6:$G$75,$O29)="","",INDEX(전체!$G$6:$G$75,$O29)))</f>
        <v/>
      </c>
      <c r="G29" s="21" t="str">
        <f aca="false">IF($O29="","",IF(INDEX(전체!$H$6:$H$75,$O29)="","",INDEX(전체!$H$6:$H$75,$O29)))</f>
        <v/>
      </c>
      <c r="H29" s="5" t="str">
        <f aca="false">IF($O29="","",IF(INDEX(전체!$I$6:$I$75,$O29)="","",INDEX(전체!$I$6:$I$75,$O29)))</f>
        <v/>
      </c>
      <c r="I29" s="5" t="str">
        <f aca="false">IF($O29="","",IF(INDEX(전체!$J$6:$J$75,$O29)="","",INDEX(전체!$J$6:$J$75,$O29)))</f>
        <v/>
      </c>
      <c r="J29" s="21" t="str">
        <f aca="false">IF($O29="","",IF(INDEX(전체!$K$6:$K$75,$O29)="","",INDEX(전체!$K$6:$K$75,$O29)))</f>
        <v/>
      </c>
      <c r="K29" s="20" t="str">
        <f aca="false">IF($O29="","",IF(INDEX(전체!$L$6:$L$75,$O29)="","",INDEX(전체!$L$6:$L$75,$O29)))</f>
        <v/>
      </c>
      <c r="L29" s="5" t="str">
        <f aca="false">IF($O29="","",IF(INDEX(전체!$M$6:$M$75,$O29)="","",INDEX(전체!$M$6:$M$75,$O29)))</f>
        <v/>
      </c>
      <c r="M29" s="21" t="str">
        <f aca="false">IF($O29="","",IF(INDEX(전체!$N$6:$N$75,$O29)="","",INDEX(전체!$N$6:$N$75,$O29)))</f>
        <v/>
      </c>
      <c r="N29" s="21" t="str">
        <f aca="false">IF($O29="","",IF(INDEX(전체!$O$6:$O$75,$O29)="","",INDEX(전체!$O$6:$O$75,$O29)))</f>
        <v/>
      </c>
      <c r="O29" s="22" t="str">
        <f aca="false">IFERROR(MATCH($R$2&amp;"|"&amp;25,전체!$P$6:$P$75,0),"")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D2B8"/>
    <pageSetUpPr fitToPage="false"/>
  </sheetPr>
  <dimension ref="A1:R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36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6"/>
    <col collapsed="false" customWidth="true" hidden="false" outlineLevel="0" max="12" min="12" style="0" width="16"/>
    <col collapsed="false" customWidth="true" hidden="false" outlineLevel="0" max="13" min="13" style="0" width="42"/>
    <col collapsed="false" customWidth="true" hidden="false" outlineLevel="0" max="14" min="14" style="0" width="36"/>
    <col collapsed="false" customWidth="true" hidden="false" outlineLevel="0" max="15" min="15" style="0" width="6"/>
  </cols>
  <sheetData>
    <row r="1" customFormat="false" ht="18.55" hidden="false" customHeight="false" outlineLevel="0" collapsed="false">
      <c r="A1" s="1" t="s">
        <v>232</v>
      </c>
      <c r="C1" s="16" t="str">
        <f aca="false">COUNTIF(전체!$B$6:$B$75,"디저트")&amp;"곳"</f>
        <v>4곳</v>
      </c>
    </row>
    <row r="2" customFormat="false" ht="15" hidden="false" customHeight="false" outlineLevel="0" collapsed="false">
      <c r="A2" s="17" t="s">
        <v>255</v>
      </c>
      <c r="R2" s="18" t="s">
        <v>232</v>
      </c>
    </row>
    <row r="4" customFormat="false" ht="39.55" hidden="false" customHeight="false" outlineLevel="0" collapsed="false">
      <c r="A4" s="3" t="s">
        <v>3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19" t="s">
        <v>256</v>
      </c>
    </row>
    <row r="5" customFormat="false" ht="26.85" hidden="false" customHeight="false" outlineLevel="0" collapsed="false">
      <c r="A5" s="5" t="n">
        <f aca="false">IF($O5="","",1)</f>
        <v>1</v>
      </c>
      <c r="B5" s="20" t="str">
        <f aca="false">IF($O5="","",IF(INDEX(전체!$C$6:$C$75,$O5)="","",INDEX(전체!$C$6:$C$75,$O5)))</f>
        <v>미미당</v>
      </c>
      <c r="C5" s="21" t="str">
        <f aca="false">IF($O5="","",IF(INDEX(전체!$D$6:$D$75,$O5)="","",INDEX(전체!$D$6:$D$75,$O5)))</f>
        <v>빙수</v>
      </c>
      <c r="D5" s="5" t="str">
        <f aca="false">IF($O5="","",IF(INDEX(전체!$E$6:$E$75,$O5)="","",INDEX(전체!$E$6:$E$75,$O5)))</f>
        <v>영업 중</v>
      </c>
      <c r="E5" s="5" t="str">
        <f aca="false">IF($O5="","",IF(INDEX(전체!$F$6:$F$75,$O5)="","",INDEX(전체!$F$6:$F$75,$O5)))</f>
        <v/>
      </c>
      <c r="F5" s="21" t="str">
        <f aca="false">IF($O5="","",IF(INDEX(전체!$G$6:$G$75,$O5)="","",INDEX(전체!$G$6:$G$75,$O5)))</f>
        <v/>
      </c>
      <c r="G5" s="21" t="str">
        <f aca="false">IF($O5="","",IF(INDEX(전체!$H$6:$H$75,$O5)="","",INDEX(전체!$H$6:$H$75,$O5)))</f>
        <v/>
      </c>
      <c r="H5" s="5" t="str">
        <f aca="false">IF($O5="","",IF(INDEX(전체!$I$6:$I$75,$O5)="","",INDEX(전체!$I$6:$I$75,$O5)))</f>
        <v/>
      </c>
      <c r="I5" s="5" t="str">
        <f aca="false">IF($O5="","",IF(INDEX(전체!$J$6:$J$75,$O5)="","",INDEX(전체!$J$6:$J$75,$O5)))</f>
        <v>★4.81 (리뷰 1,024)</v>
      </c>
      <c r="J5" s="21" t="str">
        <f aca="false">IF($O5="","",IF(INDEX(전체!$K$6:$K$75,$O5)="","",INDEX(전체!$K$6:$K$75,$O5)))</f>
        <v/>
      </c>
      <c r="K5" s="20" t="str">
        <f aca="false">IF($O5="","",IF(INDEX(전체!$L$6:$L$75,$O5)="","",INDEX(전체!$L$6:$L$75,$O5)))</f>
        <v>팥빙수</v>
      </c>
      <c r="L5" s="5" t="str">
        <f aca="false">IF($O5="","",IF(INDEX(전체!$M$6:$M$75,$O5)="","",INDEX(전체!$M$6:$M$75,$O5)))</f>
        <v>9,000~12,000</v>
      </c>
      <c r="M5" s="21" t="str">
        <f aca="false">IF($O5="","",IF(INDEX(전체!$N$6:$N$75,$O5)="","",INDEX(전체!$N$6:$N$75,$O5)))</f>
        <v>100% 국산팥을 쓰는 빙수 전문점. 커피와 함께 먹기 좋다는 후기</v>
      </c>
      <c r="N5" s="21" t="str">
        <f aca="false">IF($O5="","",IF(INDEX(전체!$O$6:$O$75,$O5)="","",INDEX(전체!$O$6:$O$75,$O5)))</f>
        <v>네이버 쿠폰 있음 / 웹검색에서 주소 못 찾음</v>
      </c>
      <c r="O5" s="22" t="n">
        <f aca="false">IFERROR(MATCH($R$2&amp;"|"&amp;1,전체!$P$6:$P$75,0),"")</f>
        <v>40</v>
      </c>
    </row>
    <row r="6" customFormat="false" ht="26.85" hidden="false" customHeight="false" outlineLevel="0" collapsed="false">
      <c r="A6" s="5" t="n">
        <f aca="false">IF($O6="","",2)</f>
        <v>2</v>
      </c>
      <c r="B6" s="20" t="str">
        <f aca="false">IF($O6="","",IF(INDEX(전체!$C$6:$C$75,$O6)="","",INDEX(전체!$C$6:$C$75,$O6)))</f>
        <v>더타임나우</v>
      </c>
      <c r="C6" s="21" t="str">
        <f aca="false">IF($O6="","",IF(INDEX(전체!$D$6:$D$75,$O6)="","",INDEX(전체!$D$6:$D$75,$O6)))</f>
        <v>카페,디저트</v>
      </c>
      <c r="D6" s="5" t="str">
        <f aca="false">IF($O6="","",IF(INDEX(전체!$E$6:$E$75,$O6)="","",INDEX(전체!$E$6:$E$75,$O6)))</f>
        <v>영업 중</v>
      </c>
      <c r="E6" s="5" t="str">
        <f aca="false">IF($O6="","",IF(INDEX(전체!$F$6:$F$75,$O6)="","",INDEX(전체!$F$6:$F$75,$O6)))</f>
        <v/>
      </c>
      <c r="F6" s="21" t="str">
        <f aca="false">IF($O6="","",IF(INDEX(전체!$G$6:$G$75,$O6)="","",INDEX(전체!$G$6:$G$75,$O6)))</f>
        <v/>
      </c>
      <c r="G6" s="21" t="str">
        <f aca="false">IF($O6="","",IF(INDEX(전체!$H$6:$H$75,$O6)="","",INDEX(전체!$H$6:$H$75,$O6)))</f>
        <v/>
      </c>
      <c r="H6" s="5" t="str">
        <f aca="false">IF($O6="","",IF(INDEX(전체!$I$6:$I$75,$O6)="","",INDEX(전체!$I$6:$I$75,$O6)))</f>
        <v/>
      </c>
      <c r="I6" s="5" t="str">
        <f aca="false">IF($O6="","",IF(INDEX(전체!$J$6:$J$75,$O6)="","",INDEX(전체!$J$6:$J$75,$O6)))</f>
        <v>★4.82 (리뷰 2,063)</v>
      </c>
      <c r="J6" s="21" t="str">
        <f aca="false">IF($O6="","",IF(INDEX(전체!$K$6:$K$75,$O6)="","",INDEX(전체!$K$6:$K$75,$O6)))</f>
        <v/>
      </c>
      <c r="K6" s="20" t="str">
        <f aca="false">IF($O6="","",IF(INDEX(전체!$L$6:$L$75,$O6)="","",INDEX(전체!$L$6:$L$75,$O6)))</f>
        <v>크로플·수제 디저트</v>
      </c>
      <c r="L6" s="5" t="str">
        <f aca="false">IF($O6="","",IF(INDEX(전체!$M$6:$M$75,$O6)="","",INDEX(전체!$M$6:$M$75,$O6)))</f>
        <v>9,000~14,000</v>
      </c>
      <c r="M6" s="21" t="str">
        <f aca="false">IF($O6="","",IF(INDEX(전체!$N$6:$N$75,$O6)="","",INDEX(전체!$N$6:$N$75,$O6)))</f>
        <v>복숭아&amp;멜론 크로플 한정판매. 수제 디저트·블렌딩티</v>
      </c>
      <c r="N6" s="21" t="str">
        <f aca="false">IF($O6="","",IF(INDEX(전체!$O$6:$O$75,$O6)="","",INDEX(전체!$O$6:$O$75,$O6)))</f>
        <v>네이버 쿠폰 있음 / 웹검색에서 주소 못 찾음</v>
      </c>
      <c r="O6" s="22" t="n">
        <f aca="false">IFERROR(MATCH($R$2&amp;"|"&amp;2,전체!$P$6:$P$75,0),"")</f>
        <v>41</v>
      </c>
    </row>
    <row r="7" customFormat="false" ht="39.55" hidden="false" customHeight="false" outlineLevel="0" collapsed="false">
      <c r="A7" s="5" t="n">
        <f aca="false">IF($O7="","",3)</f>
        <v>3</v>
      </c>
      <c r="B7" s="20" t="str">
        <f aca="false">IF($O7="","",IF(INDEX(전체!$C$6:$C$75,$O7)="","",INDEX(전체!$C$6:$C$75,$O7)))</f>
        <v>보노베리 광복점</v>
      </c>
      <c r="C7" s="21" t="str">
        <f aca="false">IF($O7="","",IF(INDEX(전체!$D$6:$D$75,$O7)="","",INDEX(전체!$D$6:$D$75,$O7)))</f>
        <v>카페,디저트</v>
      </c>
      <c r="D7" s="5" t="str">
        <f aca="false">IF($O7="","",IF(INDEX(전체!$E$6:$E$75,$O7)="","",INDEX(전체!$E$6:$E$75,$O7)))</f>
        <v>영업 중</v>
      </c>
      <c r="E7" s="5" t="str">
        <f aca="false">IF($O7="","",IF(INDEX(전체!$F$6:$F$75,$O7)="","",INDEX(전체!$F$6:$F$75,$O7)))</f>
        <v>O</v>
      </c>
      <c r="F7" s="21" t="str">
        <f aca="false">IF($O7="","",IF(INDEX(전체!$G$6:$G$75,$O7)="","",INDEX(전체!$G$6:$G$75,$O7)))</f>
        <v>부산 중구 광복중앙로 28-1</v>
      </c>
      <c r="G7" s="21" t="str">
        <f aca="false">IF($O7="","",IF(INDEX(전체!$H$6:$H$75,$O7)="","",INDEX(전체!$H$6:$H$75,$O7)))</f>
        <v>1,2층</v>
      </c>
      <c r="H7" s="5" t="str">
        <f aca="false">IF($O7="","",IF(INDEX(전체!$I$6:$I$75,$O7)="","",INDEX(전체!$I$6:$I$75,$O7)))</f>
        <v/>
      </c>
      <c r="I7" s="5" t="str">
        <f aca="false">IF($O7="","",IF(INDEX(전체!$J$6:$J$75,$O7)="","",INDEX(전체!$J$6:$J$75,$O7)))</f>
        <v>리뷰 343</v>
      </c>
      <c r="J7" s="21" t="str">
        <f aca="false">IF($O7="","",IF(INDEX(전체!$K$6:$K$75,$O7)="","",INDEX(전체!$K$6:$K$75,$O7)))</f>
        <v/>
      </c>
      <c r="K7" s="20" t="str">
        <f aca="false">IF($O7="","",IF(INDEX(전체!$L$6:$L$75,$O7)="","",INDEX(전체!$L$6:$L$75,$O7)))</f>
        <v>조각 케이크 (무화과 케이크 등)</v>
      </c>
      <c r="L7" s="5" t="str">
        <f aca="false">IF($O7="","",IF(INDEX(전체!$M$6:$M$75,$O7)="","",INDEX(전체!$M$6:$M$75,$O7)))</f>
        <v>6,000~9,000</v>
      </c>
      <c r="M7" s="21" t="str">
        <f aca="false">IF($O7="","",IF(INDEX(전체!$N$6:$N$75,$O7)="","",INDEX(전체!$N$6:$N$75,$O7)))</f>
        <v>무화과·과일 케이크가 유명한 카페·디저트. 예약/주문 가능</v>
      </c>
      <c r="N7" s="21" t="str">
        <f aca="false">IF($O7="","",IF(INDEX(전체!$O$6:$O$75,$O7)="","",INDEX(전체!$O$6:$O$75,$O7)))</f>
        <v>20:30 라스트오더 / 중앙역 5번 출구 532m / 예약+리뷰 이벤트 2026.09.28~10.15 (2천원 더블적립)</v>
      </c>
      <c r="O7" s="22" t="n">
        <f aca="false">IFERROR(MATCH($R$2&amp;"|"&amp;3,전체!$P$6:$P$75,0),"")</f>
        <v>42</v>
      </c>
    </row>
    <row r="8" customFormat="false" ht="15" hidden="false" customHeight="false" outlineLevel="0" collapsed="false">
      <c r="A8" s="5" t="n">
        <f aca="false">IF($O8="","",4)</f>
        <v>4</v>
      </c>
      <c r="B8" s="20" t="str">
        <f aca="false">IF($O8="","",IF(INDEX(전체!$C$6:$C$75,$O8)="","",INDEX(전체!$C$6:$C$75,$O8)))</f>
        <v>망고빙수 집 (이름 확인 필요)</v>
      </c>
      <c r="C8" s="21" t="str">
        <f aca="false">IF($O8="","",IF(INDEX(전체!$D$6:$D$75,$O8)="","",INDEX(전체!$D$6:$D$75,$O8)))</f>
        <v>빙수 (망고)</v>
      </c>
      <c r="D8" s="5" t="str">
        <f aca="false">IF($O8="","",IF(INDEX(전체!$E$6:$E$75,$O8)="","",INDEX(전체!$E$6:$E$75,$O8)))</f>
        <v>정보 없음</v>
      </c>
      <c r="E8" s="5" t="str">
        <f aca="false">IF($O8="","",IF(INDEX(전체!$F$6:$F$75,$O8)="","",INDEX(전체!$F$6:$F$75,$O8)))</f>
        <v/>
      </c>
      <c r="F8" s="21" t="str">
        <f aca="false">IF($O8="","",IF(INDEX(전체!$G$6:$G$75,$O8)="","",INDEX(전체!$G$6:$G$75,$O8)))</f>
        <v/>
      </c>
      <c r="G8" s="21" t="str">
        <f aca="false">IF($O8="","",IF(INDEX(전체!$H$6:$H$75,$O8)="","",INDEX(전체!$H$6:$H$75,$O8)))</f>
        <v/>
      </c>
      <c r="H8" s="5" t="str">
        <f aca="false">IF($O8="","",IF(INDEX(전체!$I$6:$I$75,$O8)="","",INDEX(전체!$I$6:$I$75,$O8)))</f>
        <v/>
      </c>
      <c r="I8" s="5" t="str">
        <f aca="false">IF($O8="","",IF(INDEX(전체!$J$6:$J$75,$O8)="","",INDEX(전체!$J$6:$J$75,$O8)))</f>
        <v/>
      </c>
      <c r="J8" s="21" t="str">
        <f aca="false">IF($O8="","",IF(INDEX(전체!$K$6:$K$75,$O8)="","",INDEX(전체!$K$6:$K$75,$O8)))</f>
        <v/>
      </c>
      <c r="K8" s="20" t="str">
        <f aca="false">IF($O8="","",IF(INDEX(전체!$L$6:$L$75,$O8)="","",INDEX(전체!$L$6:$L$75,$O8)))</f>
        <v>망고빙수</v>
      </c>
      <c r="L8" s="5" t="str">
        <f aca="false">IF($O8="","",IF(INDEX(전체!$M$6:$M$75,$O8)="","",INDEX(전체!$M$6:$M$75,$O8)))</f>
        <v>15,000~20,000</v>
      </c>
      <c r="M8" s="21" t="str">
        <f aca="false">IF($O8="","",IF(INDEX(전체!$N$6:$N$75,$O8)="","",INDEX(전체!$N$6:$N$75,$O8)))</f>
        <v>망고빙수가 대표인 디저트집. 가게 이름 확인 필요</v>
      </c>
      <c r="N8" s="21" t="str">
        <f aca="false">IF($O8="","",IF(INDEX(전체!$O$6:$O$75,$O8)="","",INDEX(전체!$O$6:$O$75,$O8)))</f>
        <v>가게 이름 확인 필요</v>
      </c>
      <c r="O8" s="22" t="n">
        <f aca="false">IFERROR(MATCH($R$2&amp;"|"&amp;4,전체!$P$6:$P$75,0),"")</f>
        <v>43</v>
      </c>
    </row>
    <row r="9" customFormat="false" ht="15" hidden="false" customHeight="false" outlineLevel="0" collapsed="false">
      <c r="A9" s="5" t="str">
        <f aca="false">IF($O9="","",5)</f>
        <v/>
      </c>
      <c r="B9" s="20" t="str">
        <f aca="false">IF($O9="","",IF(INDEX(전체!$C$6:$C$75,$O9)="","",INDEX(전체!$C$6:$C$75,$O9)))</f>
        <v/>
      </c>
      <c r="C9" s="21" t="str">
        <f aca="false">IF($O9="","",IF(INDEX(전체!$D$6:$D$75,$O9)="","",INDEX(전체!$D$6:$D$75,$O9)))</f>
        <v/>
      </c>
      <c r="D9" s="5" t="str">
        <f aca="false">IF($O9="","",IF(INDEX(전체!$E$6:$E$75,$O9)="","",INDEX(전체!$E$6:$E$75,$O9)))</f>
        <v/>
      </c>
      <c r="E9" s="5" t="str">
        <f aca="false">IF($O9="","",IF(INDEX(전체!$F$6:$F$75,$O9)="","",INDEX(전체!$F$6:$F$75,$O9)))</f>
        <v/>
      </c>
      <c r="F9" s="21" t="str">
        <f aca="false">IF($O9="","",IF(INDEX(전체!$G$6:$G$75,$O9)="","",INDEX(전체!$G$6:$G$75,$O9)))</f>
        <v/>
      </c>
      <c r="G9" s="21" t="str">
        <f aca="false">IF($O9="","",IF(INDEX(전체!$H$6:$H$75,$O9)="","",INDEX(전체!$H$6:$H$75,$O9)))</f>
        <v/>
      </c>
      <c r="H9" s="5" t="str">
        <f aca="false">IF($O9="","",IF(INDEX(전체!$I$6:$I$75,$O9)="","",INDEX(전체!$I$6:$I$75,$O9)))</f>
        <v/>
      </c>
      <c r="I9" s="5" t="str">
        <f aca="false">IF($O9="","",IF(INDEX(전체!$J$6:$J$75,$O9)="","",INDEX(전체!$J$6:$J$75,$O9)))</f>
        <v/>
      </c>
      <c r="J9" s="21" t="str">
        <f aca="false">IF($O9="","",IF(INDEX(전체!$K$6:$K$75,$O9)="","",INDEX(전체!$K$6:$K$75,$O9)))</f>
        <v/>
      </c>
      <c r="K9" s="20" t="str">
        <f aca="false">IF($O9="","",IF(INDEX(전체!$L$6:$L$75,$O9)="","",INDEX(전체!$L$6:$L$75,$O9)))</f>
        <v/>
      </c>
      <c r="L9" s="5" t="str">
        <f aca="false">IF($O9="","",IF(INDEX(전체!$M$6:$M$75,$O9)="","",INDEX(전체!$M$6:$M$75,$O9)))</f>
        <v/>
      </c>
      <c r="M9" s="21" t="str">
        <f aca="false">IF($O9="","",IF(INDEX(전체!$N$6:$N$75,$O9)="","",INDEX(전체!$N$6:$N$75,$O9)))</f>
        <v/>
      </c>
      <c r="N9" s="21" t="str">
        <f aca="false">IF($O9="","",IF(INDEX(전체!$O$6:$O$75,$O9)="","",INDEX(전체!$O$6:$O$75,$O9)))</f>
        <v/>
      </c>
      <c r="O9" s="22" t="str">
        <f aca="false">IFERROR(MATCH($R$2&amp;"|"&amp;5,전체!$P$6:$P$75,0),"")</f>
        <v/>
      </c>
    </row>
    <row r="10" customFormat="false" ht="15" hidden="false" customHeight="false" outlineLevel="0" collapsed="false">
      <c r="A10" s="5" t="str">
        <f aca="false">IF($O10="","",6)</f>
        <v/>
      </c>
      <c r="B10" s="20" t="str">
        <f aca="false">IF($O10="","",IF(INDEX(전체!$C$6:$C$75,$O10)="","",INDEX(전체!$C$6:$C$75,$O10)))</f>
        <v/>
      </c>
      <c r="C10" s="21" t="str">
        <f aca="false">IF($O10="","",IF(INDEX(전체!$D$6:$D$75,$O10)="","",INDEX(전체!$D$6:$D$75,$O10)))</f>
        <v/>
      </c>
      <c r="D10" s="5" t="str">
        <f aca="false">IF($O10="","",IF(INDEX(전체!$E$6:$E$75,$O10)="","",INDEX(전체!$E$6:$E$75,$O10)))</f>
        <v/>
      </c>
      <c r="E10" s="5" t="str">
        <f aca="false">IF($O10="","",IF(INDEX(전체!$F$6:$F$75,$O10)="","",INDEX(전체!$F$6:$F$75,$O10)))</f>
        <v/>
      </c>
      <c r="F10" s="21" t="str">
        <f aca="false">IF($O10="","",IF(INDEX(전체!$G$6:$G$75,$O10)="","",INDEX(전체!$G$6:$G$75,$O10)))</f>
        <v/>
      </c>
      <c r="G10" s="21" t="str">
        <f aca="false">IF($O10="","",IF(INDEX(전체!$H$6:$H$75,$O10)="","",INDEX(전체!$H$6:$H$75,$O10)))</f>
        <v/>
      </c>
      <c r="H10" s="5" t="str">
        <f aca="false">IF($O10="","",IF(INDEX(전체!$I$6:$I$75,$O10)="","",INDEX(전체!$I$6:$I$75,$O10)))</f>
        <v/>
      </c>
      <c r="I10" s="5" t="str">
        <f aca="false">IF($O10="","",IF(INDEX(전체!$J$6:$J$75,$O10)="","",INDEX(전체!$J$6:$J$75,$O10)))</f>
        <v/>
      </c>
      <c r="J10" s="21" t="str">
        <f aca="false">IF($O10="","",IF(INDEX(전체!$K$6:$K$75,$O10)="","",INDEX(전체!$K$6:$K$75,$O10)))</f>
        <v/>
      </c>
      <c r="K10" s="20" t="str">
        <f aca="false">IF($O10="","",IF(INDEX(전체!$L$6:$L$75,$O10)="","",INDEX(전체!$L$6:$L$75,$O10)))</f>
        <v/>
      </c>
      <c r="L10" s="5" t="str">
        <f aca="false">IF($O10="","",IF(INDEX(전체!$M$6:$M$75,$O10)="","",INDEX(전체!$M$6:$M$75,$O10)))</f>
        <v/>
      </c>
      <c r="M10" s="21" t="str">
        <f aca="false">IF($O10="","",IF(INDEX(전체!$N$6:$N$75,$O10)="","",INDEX(전체!$N$6:$N$75,$O10)))</f>
        <v/>
      </c>
      <c r="N10" s="21" t="str">
        <f aca="false">IF($O10="","",IF(INDEX(전체!$O$6:$O$75,$O10)="","",INDEX(전체!$O$6:$O$75,$O10)))</f>
        <v/>
      </c>
      <c r="O10" s="22" t="str">
        <f aca="false">IFERROR(MATCH($R$2&amp;"|"&amp;6,전체!$P$6:$P$75,0),"")</f>
        <v/>
      </c>
    </row>
    <row r="11" customFormat="false" ht="15" hidden="false" customHeight="false" outlineLevel="0" collapsed="false">
      <c r="A11" s="5" t="str">
        <f aca="false">IF($O11="","",7)</f>
        <v/>
      </c>
      <c r="B11" s="20" t="str">
        <f aca="false">IF($O11="","",IF(INDEX(전체!$C$6:$C$75,$O11)="","",INDEX(전체!$C$6:$C$75,$O11)))</f>
        <v/>
      </c>
      <c r="C11" s="21" t="str">
        <f aca="false">IF($O11="","",IF(INDEX(전체!$D$6:$D$75,$O11)="","",INDEX(전체!$D$6:$D$75,$O11)))</f>
        <v/>
      </c>
      <c r="D11" s="5" t="str">
        <f aca="false">IF($O11="","",IF(INDEX(전체!$E$6:$E$75,$O11)="","",INDEX(전체!$E$6:$E$75,$O11)))</f>
        <v/>
      </c>
      <c r="E11" s="5" t="str">
        <f aca="false">IF($O11="","",IF(INDEX(전체!$F$6:$F$75,$O11)="","",INDEX(전체!$F$6:$F$75,$O11)))</f>
        <v/>
      </c>
      <c r="F11" s="21" t="str">
        <f aca="false">IF($O11="","",IF(INDEX(전체!$G$6:$G$75,$O11)="","",INDEX(전체!$G$6:$G$75,$O11)))</f>
        <v/>
      </c>
      <c r="G11" s="21" t="str">
        <f aca="false">IF($O11="","",IF(INDEX(전체!$H$6:$H$75,$O11)="","",INDEX(전체!$H$6:$H$75,$O11)))</f>
        <v/>
      </c>
      <c r="H11" s="5" t="str">
        <f aca="false">IF($O11="","",IF(INDEX(전체!$I$6:$I$75,$O11)="","",INDEX(전체!$I$6:$I$75,$O11)))</f>
        <v/>
      </c>
      <c r="I11" s="5" t="str">
        <f aca="false">IF($O11="","",IF(INDEX(전체!$J$6:$J$75,$O11)="","",INDEX(전체!$J$6:$J$75,$O11)))</f>
        <v/>
      </c>
      <c r="J11" s="21" t="str">
        <f aca="false">IF($O11="","",IF(INDEX(전체!$K$6:$K$75,$O11)="","",INDEX(전체!$K$6:$K$75,$O11)))</f>
        <v/>
      </c>
      <c r="K11" s="20" t="str">
        <f aca="false">IF($O11="","",IF(INDEX(전체!$L$6:$L$75,$O11)="","",INDEX(전체!$L$6:$L$75,$O11)))</f>
        <v/>
      </c>
      <c r="L11" s="5" t="str">
        <f aca="false">IF($O11="","",IF(INDEX(전체!$M$6:$M$75,$O11)="","",INDEX(전체!$M$6:$M$75,$O11)))</f>
        <v/>
      </c>
      <c r="M11" s="21" t="str">
        <f aca="false">IF($O11="","",IF(INDEX(전체!$N$6:$N$75,$O11)="","",INDEX(전체!$N$6:$N$75,$O11)))</f>
        <v/>
      </c>
      <c r="N11" s="21" t="str">
        <f aca="false">IF($O11="","",IF(INDEX(전체!$O$6:$O$75,$O11)="","",INDEX(전체!$O$6:$O$75,$O11)))</f>
        <v/>
      </c>
      <c r="O11" s="22" t="str">
        <f aca="false">IFERROR(MATCH($R$2&amp;"|"&amp;7,전체!$P$6:$P$75,0),"")</f>
        <v/>
      </c>
    </row>
    <row r="12" customFormat="false" ht="15" hidden="false" customHeight="false" outlineLevel="0" collapsed="false">
      <c r="A12" s="5" t="str">
        <f aca="false">IF($O12="","",8)</f>
        <v/>
      </c>
      <c r="B12" s="20" t="str">
        <f aca="false">IF($O12="","",IF(INDEX(전체!$C$6:$C$75,$O12)="","",INDEX(전체!$C$6:$C$75,$O12)))</f>
        <v/>
      </c>
      <c r="C12" s="21" t="str">
        <f aca="false">IF($O12="","",IF(INDEX(전체!$D$6:$D$75,$O12)="","",INDEX(전체!$D$6:$D$75,$O12)))</f>
        <v/>
      </c>
      <c r="D12" s="5" t="str">
        <f aca="false">IF($O12="","",IF(INDEX(전체!$E$6:$E$75,$O12)="","",INDEX(전체!$E$6:$E$75,$O12)))</f>
        <v/>
      </c>
      <c r="E12" s="5" t="str">
        <f aca="false">IF($O12="","",IF(INDEX(전체!$F$6:$F$75,$O12)="","",INDEX(전체!$F$6:$F$75,$O12)))</f>
        <v/>
      </c>
      <c r="F12" s="21" t="str">
        <f aca="false">IF($O12="","",IF(INDEX(전체!$G$6:$G$75,$O12)="","",INDEX(전체!$G$6:$G$75,$O12)))</f>
        <v/>
      </c>
      <c r="G12" s="21" t="str">
        <f aca="false">IF($O12="","",IF(INDEX(전체!$H$6:$H$75,$O12)="","",INDEX(전체!$H$6:$H$75,$O12)))</f>
        <v/>
      </c>
      <c r="H12" s="5" t="str">
        <f aca="false">IF($O12="","",IF(INDEX(전체!$I$6:$I$75,$O12)="","",INDEX(전체!$I$6:$I$75,$O12)))</f>
        <v/>
      </c>
      <c r="I12" s="5" t="str">
        <f aca="false">IF($O12="","",IF(INDEX(전체!$J$6:$J$75,$O12)="","",INDEX(전체!$J$6:$J$75,$O12)))</f>
        <v/>
      </c>
      <c r="J12" s="21" t="str">
        <f aca="false">IF($O12="","",IF(INDEX(전체!$K$6:$K$75,$O12)="","",INDEX(전체!$K$6:$K$75,$O12)))</f>
        <v/>
      </c>
      <c r="K12" s="20" t="str">
        <f aca="false">IF($O12="","",IF(INDEX(전체!$L$6:$L$75,$O12)="","",INDEX(전체!$L$6:$L$75,$O12)))</f>
        <v/>
      </c>
      <c r="L12" s="5" t="str">
        <f aca="false">IF($O12="","",IF(INDEX(전체!$M$6:$M$75,$O12)="","",INDEX(전체!$M$6:$M$75,$O12)))</f>
        <v/>
      </c>
      <c r="M12" s="21" t="str">
        <f aca="false">IF($O12="","",IF(INDEX(전체!$N$6:$N$75,$O12)="","",INDEX(전체!$N$6:$N$75,$O12)))</f>
        <v/>
      </c>
      <c r="N12" s="21" t="str">
        <f aca="false">IF($O12="","",IF(INDEX(전체!$O$6:$O$75,$O12)="","",INDEX(전체!$O$6:$O$75,$O12)))</f>
        <v/>
      </c>
      <c r="O12" s="22" t="str">
        <f aca="false">IFERROR(MATCH($R$2&amp;"|"&amp;8,전체!$P$6:$P$75,0),"")</f>
        <v/>
      </c>
    </row>
    <row r="13" customFormat="false" ht="15" hidden="false" customHeight="false" outlineLevel="0" collapsed="false">
      <c r="A13" s="5" t="str">
        <f aca="false">IF($O13="","",9)</f>
        <v/>
      </c>
      <c r="B13" s="20" t="str">
        <f aca="false">IF($O13="","",IF(INDEX(전체!$C$6:$C$75,$O13)="","",INDEX(전체!$C$6:$C$75,$O13)))</f>
        <v/>
      </c>
      <c r="C13" s="21" t="str">
        <f aca="false">IF($O13="","",IF(INDEX(전체!$D$6:$D$75,$O13)="","",INDEX(전체!$D$6:$D$75,$O13)))</f>
        <v/>
      </c>
      <c r="D13" s="5" t="str">
        <f aca="false">IF($O13="","",IF(INDEX(전체!$E$6:$E$75,$O13)="","",INDEX(전체!$E$6:$E$75,$O13)))</f>
        <v/>
      </c>
      <c r="E13" s="5" t="str">
        <f aca="false">IF($O13="","",IF(INDEX(전체!$F$6:$F$75,$O13)="","",INDEX(전체!$F$6:$F$75,$O13)))</f>
        <v/>
      </c>
      <c r="F13" s="21" t="str">
        <f aca="false">IF($O13="","",IF(INDEX(전체!$G$6:$G$75,$O13)="","",INDEX(전체!$G$6:$G$75,$O13)))</f>
        <v/>
      </c>
      <c r="G13" s="21" t="str">
        <f aca="false">IF($O13="","",IF(INDEX(전체!$H$6:$H$75,$O13)="","",INDEX(전체!$H$6:$H$75,$O13)))</f>
        <v/>
      </c>
      <c r="H13" s="5" t="str">
        <f aca="false">IF($O13="","",IF(INDEX(전체!$I$6:$I$75,$O13)="","",INDEX(전체!$I$6:$I$75,$O13)))</f>
        <v/>
      </c>
      <c r="I13" s="5" t="str">
        <f aca="false">IF($O13="","",IF(INDEX(전체!$J$6:$J$75,$O13)="","",INDEX(전체!$J$6:$J$75,$O13)))</f>
        <v/>
      </c>
      <c r="J13" s="21" t="str">
        <f aca="false">IF($O13="","",IF(INDEX(전체!$K$6:$K$75,$O13)="","",INDEX(전체!$K$6:$K$75,$O13)))</f>
        <v/>
      </c>
      <c r="K13" s="20" t="str">
        <f aca="false">IF($O13="","",IF(INDEX(전체!$L$6:$L$75,$O13)="","",INDEX(전체!$L$6:$L$75,$O13)))</f>
        <v/>
      </c>
      <c r="L13" s="5" t="str">
        <f aca="false">IF($O13="","",IF(INDEX(전체!$M$6:$M$75,$O13)="","",INDEX(전체!$M$6:$M$75,$O13)))</f>
        <v/>
      </c>
      <c r="M13" s="21" t="str">
        <f aca="false">IF($O13="","",IF(INDEX(전체!$N$6:$N$75,$O13)="","",INDEX(전체!$N$6:$N$75,$O13)))</f>
        <v/>
      </c>
      <c r="N13" s="21" t="str">
        <f aca="false">IF($O13="","",IF(INDEX(전체!$O$6:$O$75,$O13)="","",INDEX(전체!$O$6:$O$75,$O13)))</f>
        <v/>
      </c>
      <c r="O13" s="22" t="str">
        <f aca="false">IFERROR(MATCH($R$2&amp;"|"&amp;9,전체!$P$6:$P$75,0),"")</f>
        <v/>
      </c>
    </row>
    <row r="14" customFormat="false" ht="15" hidden="false" customHeight="false" outlineLevel="0" collapsed="false">
      <c r="A14" s="5" t="str">
        <f aca="false">IF($O14="","",10)</f>
        <v/>
      </c>
      <c r="B14" s="20" t="str">
        <f aca="false">IF($O14="","",IF(INDEX(전체!$C$6:$C$75,$O14)="","",INDEX(전체!$C$6:$C$75,$O14)))</f>
        <v/>
      </c>
      <c r="C14" s="21" t="str">
        <f aca="false">IF($O14="","",IF(INDEX(전체!$D$6:$D$75,$O14)="","",INDEX(전체!$D$6:$D$75,$O14)))</f>
        <v/>
      </c>
      <c r="D14" s="5" t="str">
        <f aca="false">IF($O14="","",IF(INDEX(전체!$E$6:$E$75,$O14)="","",INDEX(전체!$E$6:$E$75,$O14)))</f>
        <v/>
      </c>
      <c r="E14" s="5" t="str">
        <f aca="false">IF($O14="","",IF(INDEX(전체!$F$6:$F$75,$O14)="","",INDEX(전체!$F$6:$F$75,$O14)))</f>
        <v/>
      </c>
      <c r="F14" s="21" t="str">
        <f aca="false">IF($O14="","",IF(INDEX(전체!$G$6:$G$75,$O14)="","",INDEX(전체!$G$6:$G$75,$O14)))</f>
        <v/>
      </c>
      <c r="G14" s="21" t="str">
        <f aca="false">IF($O14="","",IF(INDEX(전체!$H$6:$H$75,$O14)="","",INDEX(전체!$H$6:$H$75,$O14)))</f>
        <v/>
      </c>
      <c r="H14" s="5" t="str">
        <f aca="false">IF($O14="","",IF(INDEX(전체!$I$6:$I$75,$O14)="","",INDEX(전체!$I$6:$I$75,$O14)))</f>
        <v/>
      </c>
      <c r="I14" s="5" t="str">
        <f aca="false">IF($O14="","",IF(INDEX(전체!$J$6:$J$75,$O14)="","",INDEX(전체!$J$6:$J$75,$O14)))</f>
        <v/>
      </c>
      <c r="J14" s="21" t="str">
        <f aca="false">IF($O14="","",IF(INDEX(전체!$K$6:$K$75,$O14)="","",INDEX(전체!$K$6:$K$75,$O14)))</f>
        <v/>
      </c>
      <c r="K14" s="20" t="str">
        <f aca="false">IF($O14="","",IF(INDEX(전체!$L$6:$L$75,$O14)="","",INDEX(전체!$L$6:$L$75,$O14)))</f>
        <v/>
      </c>
      <c r="L14" s="5" t="str">
        <f aca="false">IF($O14="","",IF(INDEX(전체!$M$6:$M$75,$O14)="","",INDEX(전체!$M$6:$M$75,$O14)))</f>
        <v/>
      </c>
      <c r="M14" s="21" t="str">
        <f aca="false">IF($O14="","",IF(INDEX(전체!$N$6:$N$75,$O14)="","",INDEX(전체!$N$6:$N$75,$O14)))</f>
        <v/>
      </c>
      <c r="N14" s="21" t="str">
        <f aca="false">IF($O14="","",IF(INDEX(전체!$O$6:$O$75,$O14)="","",INDEX(전체!$O$6:$O$75,$O14)))</f>
        <v/>
      </c>
      <c r="O14" s="22" t="str">
        <f aca="false">IFERROR(MATCH($R$2&amp;"|"&amp;10,전체!$P$6:$P$75,0),"")</f>
        <v/>
      </c>
    </row>
    <row r="15" customFormat="false" ht="15" hidden="false" customHeight="false" outlineLevel="0" collapsed="false">
      <c r="A15" s="5" t="str">
        <f aca="false">IF($O15="","",11)</f>
        <v/>
      </c>
      <c r="B15" s="20" t="str">
        <f aca="false">IF($O15="","",IF(INDEX(전체!$C$6:$C$75,$O15)="","",INDEX(전체!$C$6:$C$75,$O15)))</f>
        <v/>
      </c>
      <c r="C15" s="21" t="str">
        <f aca="false">IF($O15="","",IF(INDEX(전체!$D$6:$D$75,$O15)="","",INDEX(전체!$D$6:$D$75,$O15)))</f>
        <v/>
      </c>
      <c r="D15" s="5" t="str">
        <f aca="false">IF($O15="","",IF(INDEX(전체!$E$6:$E$75,$O15)="","",INDEX(전체!$E$6:$E$75,$O15)))</f>
        <v/>
      </c>
      <c r="E15" s="5" t="str">
        <f aca="false">IF($O15="","",IF(INDEX(전체!$F$6:$F$75,$O15)="","",INDEX(전체!$F$6:$F$75,$O15)))</f>
        <v/>
      </c>
      <c r="F15" s="21" t="str">
        <f aca="false">IF($O15="","",IF(INDEX(전체!$G$6:$G$75,$O15)="","",INDEX(전체!$G$6:$G$75,$O15)))</f>
        <v/>
      </c>
      <c r="G15" s="21" t="str">
        <f aca="false">IF($O15="","",IF(INDEX(전체!$H$6:$H$75,$O15)="","",INDEX(전체!$H$6:$H$75,$O15)))</f>
        <v/>
      </c>
      <c r="H15" s="5" t="str">
        <f aca="false">IF($O15="","",IF(INDEX(전체!$I$6:$I$75,$O15)="","",INDEX(전체!$I$6:$I$75,$O15)))</f>
        <v/>
      </c>
      <c r="I15" s="5" t="str">
        <f aca="false">IF($O15="","",IF(INDEX(전체!$J$6:$J$75,$O15)="","",INDEX(전체!$J$6:$J$75,$O15)))</f>
        <v/>
      </c>
      <c r="J15" s="21" t="str">
        <f aca="false">IF($O15="","",IF(INDEX(전체!$K$6:$K$75,$O15)="","",INDEX(전체!$K$6:$K$75,$O15)))</f>
        <v/>
      </c>
      <c r="K15" s="20" t="str">
        <f aca="false">IF($O15="","",IF(INDEX(전체!$L$6:$L$75,$O15)="","",INDEX(전체!$L$6:$L$75,$O15)))</f>
        <v/>
      </c>
      <c r="L15" s="5" t="str">
        <f aca="false">IF($O15="","",IF(INDEX(전체!$M$6:$M$75,$O15)="","",INDEX(전체!$M$6:$M$75,$O15)))</f>
        <v/>
      </c>
      <c r="M15" s="21" t="str">
        <f aca="false">IF($O15="","",IF(INDEX(전체!$N$6:$N$75,$O15)="","",INDEX(전체!$N$6:$N$75,$O15)))</f>
        <v/>
      </c>
      <c r="N15" s="21" t="str">
        <f aca="false">IF($O15="","",IF(INDEX(전체!$O$6:$O$75,$O15)="","",INDEX(전체!$O$6:$O$75,$O15)))</f>
        <v/>
      </c>
      <c r="O15" s="22" t="str">
        <f aca="false">IFERROR(MATCH($R$2&amp;"|"&amp;11,전체!$P$6:$P$75,0),"")</f>
        <v/>
      </c>
    </row>
    <row r="16" customFormat="false" ht="15" hidden="false" customHeight="false" outlineLevel="0" collapsed="false">
      <c r="A16" s="5" t="str">
        <f aca="false">IF($O16="","",12)</f>
        <v/>
      </c>
      <c r="B16" s="20" t="str">
        <f aca="false">IF($O16="","",IF(INDEX(전체!$C$6:$C$75,$O16)="","",INDEX(전체!$C$6:$C$75,$O16)))</f>
        <v/>
      </c>
      <c r="C16" s="21" t="str">
        <f aca="false">IF($O16="","",IF(INDEX(전체!$D$6:$D$75,$O16)="","",INDEX(전체!$D$6:$D$75,$O16)))</f>
        <v/>
      </c>
      <c r="D16" s="5" t="str">
        <f aca="false">IF($O16="","",IF(INDEX(전체!$E$6:$E$75,$O16)="","",INDEX(전체!$E$6:$E$75,$O16)))</f>
        <v/>
      </c>
      <c r="E16" s="5" t="str">
        <f aca="false">IF($O16="","",IF(INDEX(전체!$F$6:$F$75,$O16)="","",INDEX(전체!$F$6:$F$75,$O16)))</f>
        <v/>
      </c>
      <c r="F16" s="21" t="str">
        <f aca="false">IF($O16="","",IF(INDEX(전체!$G$6:$G$75,$O16)="","",INDEX(전체!$G$6:$G$75,$O16)))</f>
        <v/>
      </c>
      <c r="G16" s="21" t="str">
        <f aca="false">IF($O16="","",IF(INDEX(전체!$H$6:$H$75,$O16)="","",INDEX(전체!$H$6:$H$75,$O16)))</f>
        <v/>
      </c>
      <c r="H16" s="5" t="str">
        <f aca="false">IF($O16="","",IF(INDEX(전체!$I$6:$I$75,$O16)="","",INDEX(전체!$I$6:$I$75,$O16)))</f>
        <v/>
      </c>
      <c r="I16" s="5" t="str">
        <f aca="false">IF($O16="","",IF(INDEX(전체!$J$6:$J$75,$O16)="","",INDEX(전체!$J$6:$J$75,$O16)))</f>
        <v/>
      </c>
      <c r="J16" s="21" t="str">
        <f aca="false">IF($O16="","",IF(INDEX(전체!$K$6:$K$75,$O16)="","",INDEX(전체!$K$6:$K$75,$O16)))</f>
        <v/>
      </c>
      <c r="K16" s="20" t="str">
        <f aca="false">IF($O16="","",IF(INDEX(전체!$L$6:$L$75,$O16)="","",INDEX(전체!$L$6:$L$75,$O16)))</f>
        <v/>
      </c>
      <c r="L16" s="5" t="str">
        <f aca="false">IF($O16="","",IF(INDEX(전체!$M$6:$M$75,$O16)="","",INDEX(전체!$M$6:$M$75,$O16)))</f>
        <v/>
      </c>
      <c r="M16" s="21" t="str">
        <f aca="false">IF($O16="","",IF(INDEX(전체!$N$6:$N$75,$O16)="","",INDEX(전체!$N$6:$N$75,$O16)))</f>
        <v/>
      </c>
      <c r="N16" s="21" t="str">
        <f aca="false">IF($O16="","",IF(INDEX(전체!$O$6:$O$75,$O16)="","",INDEX(전체!$O$6:$O$75,$O16)))</f>
        <v/>
      </c>
      <c r="O16" s="22" t="str">
        <f aca="false">IFERROR(MATCH($R$2&amp;"|"&amp;12,전체!$P$6:$P$75,0),"")</f>
        <v/>
      </c>
    </row>
    <row r="17" customFormat="false" ht="15" hidden="false" customHeight="false" outlineLevel="0" collapsed="false">
      <c r="A17" s="5" t="str">
        <f aca="false">IF($O17="","",13)</f>
        <v/>
      </c>
      <c r="B17" s="20" t="str">
        <f aca="false">IF($O17="","",IF(INDEX(전체!$C$6:$C$75,$O17)="","",INDEX(전체!$C$6:$C$75,$O17)))</f>
        <v/>
      </c>
      <c r="C17" s="21" t="str">
        <f aca="false">IF($O17="","",IF(INDEX(전체!$D$6:$D$75,$O17)="","",INDEX(전체!$D$6:$D$75,$O17)))</f>
        <v/>
      </c>
      <c r="D17" s="5" t="str">
        <f aca="false">IF($O17="","",IF(INDEX(전체!$E$6:$E$75,$O17)="","",INDEX(전체!$E$6:$E$75,$O17)))</f>
        <v/>
      </c>
      <c r="E17" s="5" t="str">
        <f aca="false">IF($O17="","",IF(INDEX(전체!$F$6:$F$75,$O17)="","",INDEX(전체!$F$6:$F$75,$O17)))</f>
        <v/>
      </c>
      <c r="F17" s="21" t="str">
        <f aca="false">IF($O17="","",IF(INDEX(전체!$G$6:$G$75,$O17)="","",INDEX(전체!$G$6:$G$75,$O17)))</f>
        <v/>
      </c>
      <c r="G17" s="21" t="str">
        <f aca="false">IF($O17="","",IF(INDEX(전체!$H$6:$H$75,$O17)="","",INDEX(전체!$H$6:$H$75,$O17)))</f>
        <v/>
      </c>
      <c r="H17" s="5" t="str">
        <f aca="false">IF($O17="","",IF(INDEX(전체!$I$6:$I$75,$O17)="","",INDEX(전체!$I$6:$I$75,$O17)))</f>
        <v/>
      </c>
      <c r="I17" s="5" t="str">
        <f aca="false">IF($O17="","",IF(INDEX(전체!$J$6:$J$75,$O17)="","",INDEX(전체!$J$6:$J$75,$O17)))</f>
        <v/>
      </c>
      <c r="J17" s="21" t="str">
        <f aca="false">IF($O17="","",IF(INDEX(전체!$K$6:$K$75,$O17)="","",INDEX(전체!$K$6:$K$75,$O17)))</f>
        <v/>
      </c>
      <c r="K17" s="20" t="str">
        <f aca="false">IF($O17="","",IF(INDEX(전체!$L$6:$L$75,$O17)="","",INDEX(전체!$L$6:$L$75,$O17)))</f>
        <v/>
      </c>
      <c r="L17" s="5" t="str">
        <f aca="false">IF($O17="","",IF(INDEX(전체!$M$6:$M$75,$O17)="","",INDEX(전체!$M$6:$M$75,$O17)))</f>
        <v/>
      </c>
      <c r="M17" s="21" t="str">
        <f aca="false">IF($O17="","",IF(INDEX(전체!$N$6:$N$75,$O17)="","",INDEX(전체!$N$6:$N$75,$O17)))</f>
        <v/>
      </c>
      <c r="N17" s="21" t="str">
        <f aca="false">IF($O17="","",IF(INDEX(전체!$O$6:$O$75,$O17)="","",INDEX(전체!$O$6:$O$75,$O17)))</f>
        <v/>
      </c>
      <c r="O17" s="22" t="str">
        <f aca="false">IFERROR(MATCH($R$2&amp;"|"&amp;13,전체!$P$6:$P$75,0),"")</f>
        <v/>
      </c>
    </row>
    <row r="18" customFormat="false" ht="15" hidden="false" customHeight="false" outlineLevel="0" collapsed="false">
      <c r="A18" s="5" t="str">
        <f aca="false">IF($O18="","",14)</f>
        <v/>
      </c>
      <c r="B18" s="20" t="str">
        <f aca="false">IF($O18="","",IF(INDEX(전체!$C$6:$C$75,$O18)="","",INDEX(전체!$C$6:$C$75,$O18)))</f>
        <v/>
      </c>
      <c r="C18" s="21" t="str">
        <f aca="false">IF($O18="","",IF(INDEX(전체!$D$6:$D$75,$O18)="","",INDEX(전체!$D$6:$D$75,$O18)))</f>
        <v/>
      </c>
      <c r="D18" s="5" t="str">
        <f aca="false">IF($O18="","",IF(INDEX(전체!$E$6:$E$75,$O18)="","",INDEX(전체!$E$6:$E$75,$O18)))</f>
        <v/>
      </c>
      <c r="E18" s="5" t="str">
        <f aca="false">IF($O18="","",IF(INDEX(전체!$F$6:$F$75,$O18)="","",INDEX(전체!$F$6:$F$75,$O18)))</f>
        <v/>
      </c>
      <c r="F18" s="21" t="str">
        <f aca="false">IF($O18="","",IF(INDEX(전체!$G$6:$G$75,$O18)="","",INDEX(전체!$G$6:$G$75,$O18)))</f>
        <v/>
      </c>
      <c r="G18" s="21" t="str">
        <f aca="false">IF($O18="","",IF(INDEX(전체!$H$6:$H$75,$O18)="","",INDEX(전체!$H$6:$H$75,$O18)))</f>
        <v/>
      </c>
      <c r="H18" s="5" t="str">
        <f aca="false">IF($O18="","",IF(INDEX(전체!$I$6:$I$75,$O18)="","",INDEX(전체!$I$6:$I$75,$O18)))</f>
        <v/>
      </c>
      <c r="I18" s="5" t="str">
        <f aca="false">IF($O18="","",IF(INDEX(전체!$J$6:$J$75,$O18)="","",INDEX(전체!$J$6:$J$75,$O18)))</f>
        <v/>
      </c>
      <c r="J18" s="21" t="str">
        <f aca="false">IF($O18="","",IF(INDEX(전체!$K$6:$K$75,$O18)="","",INDEX(전체!$K$6:$K$75,$O18)))</f>
        <v/>
      </c>
      <c r="K18" s="20" t="str">
        <f aca="false">IF($O18="","",IF(INDEX(전체!$L$6:$L$75,$O18)="","",INDEX(전체!$L$6:$L$75,$O18)))</f>
        <v/>
      </c>
      <c r="L18" s="5" t="str">
        <f aca="false">IF($O18="","",IF(INDEX(전체!$M$6:$M$75,$O18)="","",INDEX(전체!$M$6:$M$75,$O18)))</f>
        <v/>
      </c>
      <c r="M18" s="21" t="str">
        <f aca="false">IF($O18="","",IF(INDEX(전체!$N$6:$N$75,$O18)="","",INDEX(전체!$N$6:$N$75,$O18)))</f>
        <v/>
      </c>
      <c r="N18" s="21" t="str">
        <f aca="false">IF($O18="","",IF(INDEX(전체!$O$6:$O$75,$O18)="","",INDEX(전체!$O$6:$O$75,$O18)))</f>
        <v/>
      </c>
      <c r="O18" s="22" t="str">
        <f aca="false">IFERROR(MATCH($R$2&amp;"|"&amp;14,전체!$P$6:$P$75,0),"")</f>
        <v/>
      </c>
    </row>
    <row r="19" customFormat="false" ht="15" hidden="false" customHeight="false" outlineLevel="0" collapsed="false">
      <c r="A19" s="5" t="str">
        <f aca="false">IF($O19="","",15)</f>
        <v/>
      </c>
      <c r="B19" s="20" t="str">
        <f aca="false">IF($O19="","",IF(INDEX(전체!$C$6:$C$75,$O19)="","",INDEX(전체!$C$6:$C$75,$O19)))</f>
        <v/>
      </c>
      <c r="C19" s="21" t="str">
        <f aca="false">IF($O19="","",IF(INDEX(전체!$D$6:$D$75,$O19)="","",INDEX(전체!$D$6:$D$75,$O19)))</f>
        <v/>
      </c>
      <c r="D19" s="5" t="str">
        <f aca="false">IF($O19="","",IF(INDEX(전체!$E$6:$E$75,$O19)="","",INDEX(전체!$E$6:$E$75,$O19)))</f>
        <v/>
      </c>
      <c r="E19" s="5" t="str">
        <f aca="false">IF($O19="","",IF(INDEX(전체!$F$6:$F$75,$O19)="","",INDEX(전체!$F$6:$F$75,$O19)))</f>
        <v/>
      </c>
      <c r="F19" s="21" t="str">
        <f aca="false">IF($O19="","",IF(INDEX(전체!$G$6:$G$75,$O19)="","",INDEX(전체!$G$6:$G$75,$O19)))</f>
        <v/>
      </c>
      <c r="G19" s="21" t="str">
        <f aca="false">IF($O19="","",IF(INDEX(전체!$H$6:$H$75,$O19)="","",INDEX(전체!$H$6:$H$75,$O19)))</f>
        <v/>
      </c>
      <c r="H19" s="5" t="str">
        <f aca="false">IF($O19="","",IF(INDEX(전체!$I$6:$I$75,$O19)="","",INDEX(전체!$I$6:$I$75,$O19)))</f>
        <v/>
      </c>
      <c r="I19" s="5" t="str">
        <f aca="false">IF($O19="","",IF(INDEX(전체!$J$6:$J$75,$O19)="","",INDEX(전체!$J$6:$J$75,$O19)))</f>
        <v/>
      </c>
      <c r="J19" s="21" t="str">
        <f aca="false">IF($O19="","",IF(INDEX(전체!$K$6:$K$75,$O19)="","",INDEX(전체!$K$6:$K$75,$O19)))</f>
        <v/>
      </c>
      <c r="K19" s="20" t="str">
        <f aca="false">IF($O19="","",IF(INDEX(전체!$L$6:$L$75,$O19)="","",INDEX(전체!$L$6:$L$75,$O19)))</f>
        <v/>
      </c>
      <c r="L19" s="5" t="str">
        <f aca="false">IF($O19="","",IF(INDEX(전체!$M$6:$M$75,$O19)="","",INDEX(전체!$M$6:$M$75,$O19)))</f>
        <v/>
      </c>
      <c r="M19" s="21" t="str">
        <f aca="false">IF($O19="","",IF(INDEX(전체!$N$6:$N$75,$O19)="","",INDEX(전체!$N$6:$N$75,$O19)))</f>
        <v/>
      </c>
      <c r="N19" s="21" t="str">
        <f aca="false">IF($O19="","",IF(INDEX(전체!$O$6:$O$75,$O19)="","",INDEX(전체!$O$6:$O$75,$O19)))</f>
        <v/>
      </c>
      <c r="O19" s="22" t="str">
        <f aca="false">IFERROR(MATCH($R$2&amp;"|"&amp;15,전체!$P$6:$P$75,0),"")</f>
        <v/>
      </c>
    </row>
    <row r="20" customFormat="false" ht="15" hidden="false" customHeight="false" outlineLevel="0" collapsed="false">
      <c r="A20" s="5" t="str">
        <f aca="false">IF($O20="","",16)</f>
        <v/>
      </c>
      <c r="B20" s="20" t="str">
        <f aca="false">IF($O20="","",IF(INDEX(전체!$C$6:$C$75,$O20)="","",INDEX(전체!$C$6:$C$75,$O20)))</f>
        <v/>
      </c>
      <c r="C20" s="21" t="str">
        <f aca="false">IF($O20="","",IF(INDEX(전체!$D$6:$D$75,$O20)="","",INDEX(전체!$D$6:$D$75,$O20)))</f>
        <v/>
      </c>
      <c r="D20" s="5" t="str">
        <f aca="false">IF($O20="","",IF(INDEX(전체!$E$6:$E$75,$O20)="","",INDEX(전체!$E$6:$E$75,$O20)))</f>
        <v/>
      </c>
      <c r="E20" s="5" t="str">
        <f aca="false">IF($O20="","",IF(INDEX(전체!$F$6:$F$75,$O20)="","",INDEX(전체!$F$6:$F$75,$O20)))</f>
        <v/>
      </c>
      <c r="F20" s="21" t="str">
        <f aca="false">IF($O20="","",IF(INDEX(전체!$G$6:$G$75,$O20)="","",INDEX(전체!$G$6:$G$75,$O20)))</f>
        <v/>
      </c>
      <c r="G20" s="21" t="str">
        <f aca="false">IF($O20="","",IF(INDEX(전체!$H$6:$H$75,$O20)="","",INDEX(전체!$H$6:$H$75,$O20)))</f>
        <v/>
      </c>
      <c r="H20" s="5" t="str">
        <f aca="false">IF($O20="","",IF(INDEX(전체!$I$6:$I$75,$O20)="","",INDEX(전체!$I$6:$I$75,$O20)))</f>
        <v/>
      </c>
      <c r="I20" s="5" t="str">
        <f aca="false">IF($O20="","",IF(INDEX(전체!$J$6:$J$75,$O20)="","",INDEX(전체!$J$6:$J$75,$O20)))</f>
        <v/>
      </c>
      <c r="J20" s="21" t="str">
        <f aca="false">IF($O20="","",IF(INDEX(전체!$K$6:$K$75,$O20)="","",INDEX(전체!$K$6:$K$75,$O20)))</f>
        <v/>
      </c>
      <c r="K20" s="20" t="str">
        <f aca="false">IF($O20="","",IF(INDEX(전체!$L$6:$L$75,$O20)="","",INDEX(전체!$L$6:$L$75,$O20)))</f>
        <v/>
      </c>
      <c r="L20" s="5" t="str">
        <f aca="false">IF($O20="","",IF(INDEX(전체!$M$6:$M$75,$O20)="","",INDEX(전체!$M$6:$M$75,$O20)))</f>
        <v/>
      </c>
      <c r="M20" s="21" t="str">
        <f aca="false">IF($O20="","",IF(INDEX(전체!$N$6:$N$75,$O20)="","",INDEX(전체!$N$6:$N$75,$O20)))</f>
        <v/>
      </c>
      <c r="N20" s="21" t="str">
        <f aca="false">IF($O20="","",IF(INDEX(전체!$O$6:$O$75,$O20)="","",INDEX(전체!$O$6:$O$75,$O20)))</f>
        <v/>
      </c>
      <c r="O20" s="22" t="str">
        <f aca="false">IFERROR(MATCH($R$2&amp;"|"&amp;16,전체!$P$6:$P$75,0),"")</f>
        <v/>
      </c>
    </row>
    <row r="21" customFormat="false" ht="15" hidden="false" customHeight="false" outlineLevel="0" collapsed="false">
      <c r="A21" s="5" t="str">
        <f aca="false">IF($O21="","",17)</f>
        <v/>
      </c>
      <c r="B21" s="20" t="str">
        <f aca="false">IF($O21="","",IF(INDEX(전체!$C$6:$C$75,$O21)="","",INDEX(전체!$C$6:$C$75,$O21)))</f>
        <v/>
      </c>
      <c r="C21" s="21" t="str">
        <f aca="false">IF($O21="","",IF(INDEX(전체!$D$6:$D$75,$O21)="","",INDEX(전체!$D$6:$D$75,$O21)))</f>
        <v/>
      </c>
      <c r="D21" s="5" t="str">
        <f aca="false">IF($O21="","",IF(INDEX(전체!$E$6:$E$75,$O21)="","",INDEX(전체!$E$6:$E$75,$O21)))</f>
        <v/>
      </c>
      <c r="E21" s="5" t="str">
        <f aca="false">IF($O21="","",IF(INDEX(전체!$F$6:$F$75,$O21)="","",INDEX(전체!$F$6:$F$75,$O21)))</f>
        <v/>
      </c>
      <c r="F21" s="21" t="str">
        <f aca="false">IF($O21="","",IF(INDEX(전체!$G$6:$G$75,$O21)="","",INDEX(전체!$G$6:$G$75,$O21)))</f>
        <v/>
      </c>
      <c r="G21" s="21" t="str">
        <f aca="false">IF($O21="","",IF(INDEX(전체!$H$6:$H$75,$O21)="","",INDEX(전체!$H$6:$H$75,$O21)))</f>
        <v/>
      </c>
      <c r="H21" s="5" t="str">
        <f aca="false">IF($O21="","",IF(INDEX(전체!$I$6:$I$75,$O21)="","",INDEX(전체!$I$6:$I$75,$O21)))</f>
        <v/>
      </c>
      <c r="I21" s="5" t="str">
        <f aca="false">IF($O21="","",IF(INDEX(전체!$J$6:$J$75,$O21)="","",INDEX(전체!$J$6:$J$75,$O21)))</f>
        <v/>
      </c>
      <c r="J21" s="21" t="str">
        <f aca="false">IF($O21="","",IF(INDEX(전체!$K$6:$K$75,$O21)="","",INDEX(전체!$K$6:$K$75,$O21)))</f>
        <v/>
      </c>
      <c r="K21" s="20" t="str">
        <f aca="false">IF($O21="","",IF(INDEX(전체!$L$6:$L$75,$O21)="","",INDEX(전체!$L$6:$L$75,$O21)))</f>
        <v/>
      </c>
      <c r="L21" s="5" t="str">
        <f aca="false">IF($O21="","",IF(INDEX(전체!$M$6:$M$75,$O21)="","",INDEX(전체!$M$6:$M$75,$O21)))</f>
        <v/>
      </c>
      <c r="M21" s="21" t="str">
        <f aca="false">IF($O21="","",IF(INDEX(전체!$N$6:$N$75,$O21)="","",INDEX(전체!$N$6:$N$75,$O21)))</f>
        <v/>
      </c>
      <c r="N21" s="21" t="str">
        <f aca="false">IF($O21="","",IF(INDEX(전체!$O$6:$O$75,$O21)="","",INDEX(전체!$O$6:$O$75,$O21)))</f>
        <v/>
      </c>
      <c r="O21" s="22" t="str">
        <f aca="false">IFERROR(MATCH($R$2&amp;"|"&amp;17,전체!$P$6:$P$75,0),"")</f>
        <v/>
      </c>
    </row>
    <row r="22" customFormat="false" ht="15" hidden="false" customHeight="false" outlineLevel="0" collapsed="false">
      <c r="A22" s="5" t="str">
        <f aca="false">IF($O22="","",18)</f>
        <v/>
      </c>
      <c r="B22" s="20" t="str">
        <f aca="false">IF($O22="","",IF(INDEX(전체!$C$6:$C$75,$O22)="","",INDEX(전체!$C$6:$C$75,$O22)))</f>
        <v/>
      </c>
      <c r="C22" s="21" t="str">
        <f aca="false">IF($O22="","",IF(INDEX(전체!$D$6:$D$75,$O22)="","",INDEX(전체!$D$6:$D$75,$O22)))</f>
        <v/>
      </c>
      <c r="D22" s="5" t="str">
        <f aca="false">IF($O22="","",IF(INDEX(전체!$E$6:$E$75,$O22)="","",INDEX(전체!$E$6:$E$75,$O22)))</f>
        <v/>
      </c>
      <c r="E22" s="5" t="str">
        <f aca="false">IF($O22="","",IF(INDEX(전체!$F$6:$F$75,$O22)="","",INDEX(전체!$F$6:$F$75,$O22)))</f>
        <v/>
      </c>
      <c r="F22" s="21" t="str">
        <f aca="false">IF($O22="","",IF(INDEX(전체!$G$6:$G$75,$O22)="","",INDEX(전체!$G$6:$G$75,$O22)))</f>
        <v/>
      </c>
      <c r="G22" s="21" t="str">
        <f aca="false">IF($O22="","",IF(INDEX(전체!$H$6:$H$75,$O22)="","",INDEX(전체!$H$6:$H$75,$O22)))</f>
        <v/>
      </c>
      <c r="H22" s="5" t="str">
        <f aca="false">IF($O22="","",IF(INDEX(전체!$I$6:$I$75,$O22)="","",INDEX(전체!$I$6:$I$75,$O22)))</f>
        <v/>
      </c>
      <c r="I22" s="5" t="str">
        <f aca="false">IF($O22="","",IF(INDEX(전체!$J$6:$J$75,$O22)="","",INDEX(전체!$J$6:$J$75,$O22)))</f>
        <v/>
      </c>
      <c r="J22" s="21" t="str">
        <f aca="false">IF($O22="","",IF(INDEX(전체!$K$6:$K$75,$O22)="","",INDEX(전체!$K$6:$K$75,$O22)))</f>
        <v/>
      </c>
      <c r="K22" s="20" t="str">
        <f aca="false">IF($O22="","",IF(INDEX(전체!$L$6:$L$75,$O22)="","",INDEX(전체!$L$6:$L$75,$O22)))</f>
        <v/>
      </c>
      <c r="L22" s="5" t="str">
        <f aca="false">IF($O22="","",IF(INDEX(전체!$M$6:$M$75,$O22)="","",INDEX(전체!$M$6:$M$75,$O22)))</f>
        <v/>
      </c>
      <c r="M22" s="21" t="str">
        <f aca="false">IF($O22="","",IF(INDEX(전체!$N$6:$N$75,$O22)="","",INDEX(전체!$N$6:$N$75,$O22)))</f>
        <v/>
      </c>
      <c r="N22" s="21" t="str">
        <f aca="false">IF($O22="","",IF(INDEX(전체!$O$6:$O$75,$O22)="","",INDEX(전체!$O$6:$O$75,$O22)))</f>
        <v/>
      </c>
      <c r="O22" s="22" t="str">
        <f aca="false">IFERROR(MATCH($R$2&amp;"|"&amp;18,전체!$P$6:$P$75,0),"")</f>
        <v/>
      </c>
    </row>
    <row r="23" customFormat="false" ht="15" hidden="false" customHeight="false" outlineLevel="0" collapsed="false">
      <c r="A23" s="5" t="str">
        <f aca="false">IF($O23="","",19)</f>
        <v/>
      </c>
      <c r="B23" s="20" t="str">
        <f aca="false">IF($O23="","",IF(INDEX(전체!$C$6:$C$75,$O23)="","",INDEX(전체!$C$6:$C$75,$O23)))</f>
        <v/>
      </c>
      <c r="C23" s="21" t="str">
        <f aca="false">IF($O23="","",IF(INDEX(전체!$D$6:$D$75,$O23)="","",INDEX(전체!$D$6:$D$75,$O23)))</f>
        <v/>
      </c>
      <c r="D23" s="5" t="str">
        <f aca="false">IF($O23="","",IF(INDEX(전체!$E$6:$E$75,$O23)="","",INDEX(전체!$E$6:$E$75,$O23)))</f>
        <v/>
      </c>
      <c r="E23" s="5" t="str">
        <f aca="false">IF($O23="","",IF(INDEX(전체!$F$6:$F$75,$O23)="","",INDEX(전체!$F$6:$F$75,$O23)))</f>
        <v/>
      </c>
      <c r="F23" s="21" t="str">
        <f aca="false">IF($O23="","",IF(INDEX(전체!$G$6:$G$75,$O23)="","",INDEX(전체!$G$6:$G$75,$O23)))</f>
        <v/>
      </c>
      <c r="G23" s="21" t="str">
        <f aca="false">IF($O23="","",IF(INDEX(전체!$H$6:$H$75,$O23)="","",INDEX(전체!$H$6:$H$75,$O23)))</f>
        <v/>
      </c>
      <c r="H23" s="5" t="str">
        <f aca="false">IF($O23="","",IF(INDEX(전체!$I$6:$I$75,$O23)="","",INDEX(전체!$I$6:$I$75,$O23)))</f>
        <v/>
      </c>
      <c r="I23" s="5" t="str">
        <f aca="false">IF($O23="","",IF(INDEX(전체!$J$6:$J$75,$O23)="","",INDEX(전체!$J$6:$J$75,$O23)))</f>
        <v/>
      </c>
      <c r="J23" s="21" t="str">
        <f aca="false">IF($O23="","",IF(INDEX(전체!$K$6:$K$75,$O23)="","",INDEX(전체!$K$6:$K$75,$O23)))</f>
        <v/>
      </c>
      <c r="K23" s="20" t="str">
        <f aca="false">IF($O23="","",IF(INDEX(전체!$L$6:$L$75,$O23)="","",INDEX(전체!$L$6:$L$75,$O23)))</f>
        <v/>
      </c>
      <c r="L23" s="5" t="str">
        <f aca="false">IF($O23="","",IF(INDEX(전체!$M$6:$M$75,$O23)="","",INDEX(전체!$M$6:$M$75,$O23)))</f>
        <v/>
      </c>
      <c r="M23" s="21" t="str">
        <f aca="false">IF($O23="","",IF(INDEX(전체!$N$6:$N$75,$O23)="","",INDEX(전체!$N$6:$N$75,$O23)))</f>
        <v/>
      </c>
      <c r="N23" s="21" t="str">
        <f aca="false">IF($O23="","",IF(INDEX(전체!$O$6:$O$75,$O23)="","",INDEX(전체!$O$6:$O$75,$O23)))</f>
        <v/>
      </c>
      <c r="O23" s="22" t="str">
        <f aca="false">IFERROR(MATCH($R$2&amp;"|"&amp;19,전체!$P$6:$P$75,0),"")</f>
        <v/>
      </c>
    </row>
    <row r="24" customFormat="false" ht="15" hidden="false" customHeight="false" outlineLevel="0" collapsed="false">
      <c r="A24" s="5" t="str">
        <f aca="false">IF($O24="","",20)</f>
        <v/>
      </c>
      <c r="B24" s="20" t="str">
        <f aca="false">IF($O24="","",IF(INDEX(전체!$C$6:$C$75,$O24)="","",INDEX(전체!$C$6:$C$75,$O24)))</f>
        <v/>
      </c>
      <c r="C24" s="21" t="str">
        <f aca="false">IF($O24="","",IF(INDEX(전체!$D$6:$D$75,$O24)="","",INDEX(전체!$D$6:$D$75,$O24)))</f>
        <v/>
      </c>
      <c r="D24" s="5" t="str">
        <f aca="false">IF($O24="","",IF(INDEX(전체!$E$6:$E$75,$O24)="","",INDEX(전체!$E$6:$E$75,$O24)))</f>
        <v/>
      </c>
      <c r="E24" s="5" t="str">
        <f aca="false">IF($O24="","",IF(INDEX(전체!$F$6:$F$75,$O24)="","",INDEX(전체!$F$6:$F$75,$O24)))</f>
        <v/>
      </c>
      <c r="F24" s="21" t="str">
        <f aca="false">IF($O24="","",IF(INDEX(전체!$G$6:$G$75,$O24)="","",INDEX(전체!$G$6:$G$75,$O24)))</f>
        <v/>
      </c>
      <c r="G24" s="21" t="str">
        <f aca="false">IF($O24="","",IF(INDEX(전체!$H$6:$H$75,$O24)="","",INDEX(전체!$H$6:$H$75,$O24)))</f>
        <v/>
      </c>
      <c r="H24" s="5" t="str">
        <f aca="false">IF($O24="","",IF(INDEX(전체!$I$6:$I$75,$O24)="","",INDEX(전체!$I$6:$I$75,$O24)))</f>
        <v/>
      </c>
      <c r="I24" s="5" t="str">
        <f aca="false">IF($O24="","",IF(INDEX(전체!$J$6:$J$75,$O24)="","",INDEX(전체!$J$6:$J$75,$O24)))</f>
        <v/>
      </c>
      <c r="J24" s="21" t="str">
        <f aca="false">IF($O24="","",IF(INDEX(전체!$K$6:$K$75,$O24)="","",INDEX(전체!$K$6:$K$75,$O24)))</f>
        <v/>
      </c>
      <c r="K24" s="20" t="str">
        <f aca="false">IF($O24="","",IF(INDEX(전체!$L$6:$L$75,$O24)="","",INDEX(전체!$L$6:$L$75,$O24)))</f>
        <v/>
      </c>
      <c r="L24" s="5" t="str">
        <f aca="false">IF($O24="","",IF(INDEX(전체!$M$6:$M$75,$O24)="","",INDEX(전체!$M$6:$M$75,$O24)))</f>
        <v/>
      </c>
      <c r="M24" s="21" t="str">
        <f aca="false">IF($O24="","",IF(INDEX(전체!$N$6:$N$75,$O24)="","",INDEX(전체!$N$6:$N$75,$O24)))</f>
        <v/>
      </c>
      <c r="N24" s="21" t="str">
        <f aca="false">IF($O24="","",IF(INDEX(전체!$O$6:$O$75,$O24)="","",INDEX(전체!$O$6:$O$75,$O24)))</f>
        <v/>
      </c>
      <c r="O24" s="22" t="str">
        <f aca="false">IFERROR(MATCH($R$2&amp;"|"&amp;20,전체!$P$6:$P$75,0),"")</f>
        <v/>
      </c>
    </row>
    <row r="25" customFormat="false" ht="15" hidden="false" customHeight="false" outlineLevel="0" collapsed="false">
      <c r="A25" s="5" t="str">
        <f aca="false">IF($O25="","",21)</f>
        <v/>
      </c>
      <c r="B25" s="20" t="str">
        <f aca="false">IF($O25="","",IF(INDEX(전체!$C$6:$C$75,$O25)="","",INDEX(전체!$C$6:$C$75,$O25)))</f>
        <v/>
      </c>
      <c r="C25" s="21" t="str">
        <f aca="false">IF($O25="","",IF(INDEX(전체!$D$6:$D$75,$O25)="","",INDEX(전체!$D$6:$D$75,$O25)))</f>
        <v/>
      </c>
      <c r="D25" s="5" t="str">
        <f aca="false">IF($O25="","",IF(INDEX(전체!$E$6:$E$75,$O25)="","",INDEX(전체!$E$6:$E$75,$O25)))</f>
        <v/>
      </c>
      <c r="E25" s="5" t="str">
        <f aca="false">IF($O25="","",IF(INDEX(전체!$F$6:$F$75,$O25)="","",INDEX(전체!$F$6:$F$75,$O25)))</f>
        <v/>
      </c>
      <c r="F25" s="21" t="str">
        <f aca="false">IF($O25="","",IF(INDEX(전체!$G$6:$G$75,$O25)="","",INDEX(전체!$G$6:$G$75,$O25)))</f>
        <v/>
      </c>
      <c r="G25" s="21" t="str">
        <f aca="false">IF($O25="","",IF(INDEX(전체!$H$6:$H$75,$O25)="","",INDEX(전체!$H$6:$H$75,$O25)))</f>
        <v/>
      </c>
      <c r="H25" s="5" t="str">
        <f aca="false">IF($O25="","",IF(INDEX(전체!$I$6:$I$75,$O25)="","",INDEX(전체!$I$6:$I$75,$O25)))</f>
        <v/>
      </c>
      <c r="I25" s="5" t="str">
        <f aca="false">IF($O25="","",IF(INDEX(전체!$J$6:$J$75,$O25)="","",INDEX(전체!$J$6:$J$75,$O25)))</f>
        <v/>
      </c>
      <c r="J25" s="21" t="str">
        <f aca="false">IF($O25="","",IF(INDEX(전체!$K$6:$K$75,$O25)="","",INDEX(전체!$K$6:$K$75,$O25)))</f>
        <v/>
      </c>
      <c r="K25" s="20" t="str">
        <f aca="false">IF($O25="","",IF(INDEX(전체!$L$6:$L$75,$O25)="","",INDEX(전체!$L$6:$L$75,$O25)))</f>
        <v/>
      </c>
      <c r="L25" s="5" t="str">
        <f aca="false">IF($O25="","",IF(INDEX(전체!$M$6:$M$75,$O25)="","",INDEX(전체!$M$6:$M$75,$O25)))</f>
        <v/>
      </c>
      <c r="M25" s="21" t="str">
        <f aca="false">IF($O25="","",IF(INDEX(전체!$N$6:$N$75,$O25)="","",INDEX(전체!$N$6:$N$75,$O25)))</f>
        <v/>
      </c>
      <c r="N25" s="21" t="str">
        <f aca="false">IF($O25="","",IF(INDEX(전체!$O$6:$O$75,$O25)="","",INDEX(전체!$O$6:$O$75,$O25)))</f>
        <v/>
      </c>
      <c r="O25" s="22" t="str">
        <f aca="false">IFERROR(MATCH($R$2&amp;"|"&amp;21,전체!$P$6:$P$75,0),"")</f>
        <v/>
      </c>
    </row>
    <row r="26" customFormat="false" ht="15" hidden="false" customHeight="false" outlineLevel="0" collapsed="false">
      <c r="A26" s="5" t="str">
        <f aca="false">IF($O26="","",22)</f>
        <v/>
      </c>
      <c r="B26" s="20" t="str">
        <f aca="false">IF($O26="","",IF(INDEX(전체!$C$6:$C$75,$O26)="","",INDEX(전체!$C$6:$C$75,$O26)))</f>
        <v/>
      </c>
      <c r="C26" s="21" t="str">
        <f aca="false">IF($O26="","",IF(INDEX(전체!$D$6:$D$75,$O26)="","",INDEX(전체!$D$6:$D$75,$O26)))</f>
        <v/>
      </c>
      <c r="D26" s="5" t="str">
        <f aca="false">IF($O26="","",IF(INDEX(전체!$E$6:$E$75,$O26)="","",INDEX(전체!$E$6:$E$75,$O26)))</f>
        <v/>
      </c>
      <c r="E26" s="5" t="str">
        <f aca="false">IF($O26="","",IF(INDEX(전체!$F$6:$F$75,$O26)="","",INDEX(전체!$F$6:$F$75,$O26)))</f>
        <v/>
      </c>
      <c r="F26" s="21" t="str">
        <f aca="false">IF($O26="","",IF(INDEX(전체!$G$6:$G$75,$O26)="","",INDEX(전체!$G$6:$G$75,$O26)))</f>
        <v/>
      </c>
      <c r="G26" s="21" t="str">
        <f aca="false">IF($O26="","",IF(INDEX(전체!$H$6:$H$75,$O26)="","",INDEX(전체!$H$6:$H$75,$O26)))</f>
        <v/>
      </c>
      <c r="H26" s="5" t="str">
        <f aca="false">IF($O26="","",IF(INDEX(전체!$I$6:$I$75,$O26)="","",INDEX(전체!$I$6:$I$75,$O26)))</f>
        <v/>
      </c>
      <c r="I26" s="5" t="str">
        <f aca="false">IF($O26="","",IF(INDEX(전체!$J$6:$J$75,$O26)="","",INDEX(전체!$J$6:$J$75,$O26)))</f>
        <v/>
      </c>
      <c r="J26" s="21" t="str">
        <f aca="false">IF($O26="","",IF(INDEX(전체!$K$6:$K$75,$O26)="","",INDEX(전체!$K$6:$K$75,$O26)))</f>
        <v/>
      </c>
      <c r="K26" s="20" t="str">
        <f aca="false">IF($O26="","",IF(INDEX(전체!$L$6:$L$75,$O26)="","",INDEX(전체!$L$6:$L$75,$O26)))</f>
        <v/>
      </c>
      <c r="L26" s="5" t="str">
        <f aca="false">IF($O26="","",IF(INDEX(전체!$M$6:$M$75,$O26)="","",INDEX(전체!$M$6:$M$75,$O26)))</f>
        <v/>
      </c>
      <c r="M26" s="21" t="str">
        <f aca="false">IF($O26="","",IF(INDEX(전체!$N$6:$N$75,$O26)="","",INDEX(전체!$N$6:$N$75,$O26)))</f>
        <v/>
      </c>
      <c r="N26" s="21" t="str">
        <f aca="false">IF($O26="","",IF(INDEX(전체!$O$6:$O$75,$O26)="","",INDEX(전체!$O$6:$O$75,$O26)))</f>
        <v/>
      </c>
      <c r="O26" s="22" t="str">
        <f aca="false">IFERROR(MATCH($R$2&amp;"|"&amp;22,전체!$P$6:$P$75,0),"")</f>
        <v/>
      </c>
    </row>
    <row r="27" customFormat="false" ht="15" hidden="false" customHeight="false" outlineLevel="0" collapsed="false">
      <c r="A27" s="5" t="str">
        <f aca="false">IF($O27="","",23)</f>
        <v/>
      </c>
      <c r="B27" s="20" t="str">
        <f aca="false">IF($O27="","",IF(INDEX(전체!$C$6:$C$75,$O27)="","",INDEX(전체!$C$6:$C$75,$O27)))</f>
        <v/>
      </c>
      <c r="C27" s="21" t="str">
        <f aca="false">IF($O27="","",IF(INDEX(전체!$D$6:$D$75,$O27)="","",INDEX(전체!$D$6:$D$75,$O27)))</f>
        <v/>
      </c>
      <c r="D27" s="5" t="str">
        <f aca="false">IF($O27="","",IF(INDEX(전체!$E$6:$E$75,$O27)="","",INDEX(전체!$E$6:$E$75,$O27)))</f>
        <v/>
      </c>
      <c r="E27" s="5" t="str">
        <f aca="false">IF($O27="","",IF(INDEX(전체!$F$6:$F$75,$O27)="","",INDEX(전체!$F$6:$F$75,$O27)))</f>
        <v/>
      </c>
      <c r="F27" s="21" t="str">
        <f aca="false">IF($O27="","",IF(INDEX(전체!$G$6:$G$75,$O27)="","",INDEX(전체!$G$6:$G$75,$O27)))</f>
        <v/>
      </c>
      <c r="G27" s="21" t="str">
        <f aca="false">IF($O27="","",IF(INDEX(전체!$H$6:$H$75,$O27)="","",INDEX(전체!$H$6:$H$75,$O27)))</f>
        <v/>
      </c>
      <c r="H27" s="5" t="str">
        <f aca="false">IF($O27="","",IF(INDEX(전체!$I$6:$I$75,$O27)="","",INDEX(전체!$I$6:$I$75,$O27)))</f>
        <v/>
      </c>
      <c r="I27" s="5" t="str">
        <f aca="false">IF($O27="","",IF(INDEX(전체!$J$6:$J$75,$O27)="","",INDEX(전체!$J$6:$J$75,$O27)))</f>
        <v/>
      </c>
      <c r="J27" s="21" t="str">
        <f aca="false">IF($O27="","",IF(INDEX(전체!$K$6:$K$75,$O27)="","",INDEX(전체!$K$6:$K$75,$O27)))</f>
        <v/>
      </c>
      <c r="K27" s="20" t="str">
        <f aca="false">IF($O27="","",IF(INDEX(전체!$L$6:$L$75,$O27)="","",INDEX(전체!$L$6:$L$75,$O27)))</f>
        <v/>
      </c>
      <c r="L27" s="5" t="str">
        <f aca="false">IF($O27="","",IF(INDEX(전체!$M$6:$M$75,$O27)="","",INDEX(전체!$M$6:$M$75,$O27)))</f>
        <v/>
      </c>
      <c r="M27" s="21" t="str">
        <f aca="false">IF($O27="","",IF(INDEX(전체!$N$6:$N$75,$O27)="","",INDEX(전체!$N$6:$N$75,$O27)))</f>
        <v/>
      </c>
      <c r="N27" s="21" t="str">
        <f aca="false">IF($O27="","",IF(INDEX(전체!$O$6:$O$75,$O27)="","",INDEX(전체!$O$6:$O$75,$O27)))</f>
        <v/>
      </c>
      <c r="O27" s="22" t="str">
        <f aca="false">IFERROR(MATCH($R$2&amp;"|"&amp;23,전체!$P$6:$P$75,0),"")</f>
        <v/>
      </c>
    </row>
    <row r="28" customFormat="false" ht="15" hidden="false" customHeight="false" outlineLevel="0" collapsed="false">
      <c r="A28" s="5" t="str">
        <f aca="false">IF($O28="","",24)</f>
        <v/>
      </c>
      <c r="B28" s="20" t="str">
        <f aca="false">IF($O28="","",IF(INDEX(전체!$C$6:$C$75,$O28)="","",INDEX(전체!$C$6:$C$75,$O28)))</f>
        <v/>
      </c>
      <c r="C28" s="21" t="str">
        <f aca="false">IF($O28="","",IF(INDEX(전체!$D$6:$D$75,$O28)="","",INDEX(전체!$D$6:$D$75,$O28)))</f>
        <v/>
      </c>
      <c r="D28" s="5" t="str">
        <f aca="false">IF($O28="","",IF(INDEX(전체!$E$6:$E$75,$O28)="","",INDEX(전체!$E$6:$E$75,$O28)))</f>
        <v/>
      </c>
      <c r="E28" s="5" t="str">
        <f aca="false">IF($O28="","",IF(INDEX(전체!$F$6:$F$75,$O28)="","",INDEX(전체!$F$6:$F$75,$O28)))</f>
        <v/>
      </c>
      <c r="F28" s="21" t="str">
        <f aca="false">IF($O28="","",IF(INDEX(전체!$G$6:$G$75,$O28)="","",INDEX(전체!$G$6:$G$75,$O28)))</f>
        <v/>
      </c>
      <c r="G28" s="21" t="str">
        <f aca="false">IF($O28="","",IF(INDEX(전체!$H$6:$H$75,$O28)="","",INDEX(전체!$H$6:$H$75,$O28)))</f>
        <v/>
      </c>
      <c r="H28" s="5" t="str">
        <f aca="false">IF($O28="","",IF(INDEX(전체!$I$6:$I$75,$O28)="","",INDEX(전체!$I$6:$I$75,$O28)))</f>
        <v/>
      </c>
      <c r="I28" s="5" t="str">
        <f aca="false">IF($O28="","",IF(INDEX(전체!$J$6:$J$75,$O28)="","",INDEX(전체!$J$6:$J$75,$O28)))</f>
        <v/>
      </c>
      <c r="J28" s="21" t="str">
        <f aca="false">IF($O28="","",IF(INDEX(전체!$K$6:$K$75,$O28)="","",INDEX(전체!$K$6:$K$75,$O28)))</f>
        <v/>
      </c>
      <c r="K28" s="20" t="str">
        <f aca="false">IF($O28="","",IF(INDEX(전체!$L$6:$L$75,$O28)="","",INDEX(전체!$L$6:$L$75,$O28)))</f>
        <v/>
      </c>
      <c r="L28" s="5" t="str">
        <f aca="false">IF($O28="","",IF(INDEX(전체!$M$6:$M$75,$O28)="","",INDEX(전체!$M$6:$M$75,$O28)))</f>
        <v/>
      </c>
      <c r="M28" s="21" t="str">
        <f aca="false">IF($O28="","",IF(INDEX(전체!$N$6:$N$75,$O28)="","",INDEX(전체!$N$6:$N$75,$O28)))</f>
        <v/>
      </c>
      <c r="N28" s="21" t="str">
        <f aca="false">IF($O28="","",IF(INDEX(전체!$O$6:$O$75,$O28)="","",INDEX(전체!$O$6:$O$75,$O28)))</f>
        <v/>
      </c>
      <c r="O28" s="22" t="str">
        <f aca="false">IFERROR(MATCH($R$2&amp;"|"&amp;24,전체!$P$6:$P$75,0),"")</f>
        <v/>
      </c>
    </row>
    <row r="29" customFormat="false" ht="15" hidden="false" customHeight="false" outlineLevel="0" collapsed="false">
      <c r="A29" s="5" t="str">
        <f aca="false">IF($O29="","",25)</f>
        <v/>
      </c>
      <c r="B29" s="20" t="str">
        <f aca="false">IF($O29="","",IF(INDEX(전체!$C$6:$C$75,$O29)="","",INDEX(전체!$C$6:$C$75,$O29)))</f>
        <v/>
      </c>
      <c r="C29" s="21" t="str">
        <f aca="false">IF($O29="","",IF(INDEX(전체!$D$6:$D$75,$O29)="","",INDEX(전체!$D$6:$D$75,$O29)))</f>
        <v/>
      </c>
      <c r="D29" s="5" t="str">
        <f aca="false">IF($O29="","",IF(INDEX(전체!$E$6:$E$75,$O29)="","",INDEX(전체!$E$6:$E$75,$O29)))</f>
        <v/>
      </c>
      <c r="E29" s="5" t="str">
        <f aca="false">IF($O29="","",IF(INDEX(전체!$F$6:$F$75,$O29)="","",INDEX(전체!$F$6:$F$75,$O29)))</f>
        <v/>
      </c>
      <c r="F29" s="21" t="str">
        <f aca="false">IF($O29="","",IF(INDEX(전체!$G$6:$G$75,$O29)="","",INDEX(전체!$G$6:$G$75,$O29)))</f>
        <v/>
      </c>
      <c r="G29" s="21" t="str">
        <f aca="false">IF($O29="","",IF(INDEX(전체!$H$6:$H$75,$O29)="","",INDEX(전체!$H$6:$H$75,$O29)))</f>
        <v/>
      </c>
      <c r="H29" s="5" t="str">
        <f aca="false">IF($O29="","",IF(INDEX(전체!$I$6:$I$75,$O29)="","",INDEX(전체!$I$6:$I$75,$O29)))</f>
        <v/>
      </c>
      <c r="I29" s="5" t="str">
        <f aca="false">IF($O29="","",IF(INDEX(전체!$J$6:$J$75,$O29)="","",INDEX(전체!$J$6:$J$75,$O29)))</f>
        <v/>
      </c>
      <c r="J29" s="21" t="str">
        <f aca="false">IF($O29="","",IF(INDEX(전체!$K$6:$K$75,$O29)="","",INDEX(전체!$K$6:$K$75,$O29)))</f>
        <v/>
      </c>
      <c r="K29" s="20" t="str">
        <f aca="false">IF($O29="","",IF(INDEX(전체!$L$6:$L$75,$O29)="","",INDEX(전체!$L$6:$L$75,$O29)))</f>
        <v/>
      </c>
      <c r="L29" s="5" t="str">
        <f aca="false">IF($O29="","",IF(INDEX(전체!$M$6:$M$75,$O29)="","",INDEX(전체!$M$6:$M$75,$O29)))</f>
        <v/>
      </c>
      <c r="M29" s="21" t="str">
        <f aca="false">IF($O29="","",IF(INDEX(전체!$N$6:$N$75,$O29)="","",INDEX(전체!$N$6:$N$75,$O29)))</f>
        <v/>
      </c>
      <c r="N29" s="21" t="str">
        <f aca="false">IF($O29="","",IF(INDEX(전체!$O$6:$O$75,$O29)="","",INDEX(전체!$O$6:$O$75,$O29)))</f>
        <v/>
      </c>
      <c r="O29" s="22" t="str">
        <f aca="false">IFERROR(MATCH($R$2&amp;"|"&amp;25,전체!$P$6:$P$75,0),"")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2026-10-06T06:07:56Z</dcterms:created>
  <dc:creator>openpyxl</dc:creator>
  <dc:description/>
  <dc:language>en-US</dc:language>
  <cp:lastModifiedBy/>
  <dcterms:modified xsi:type="dcterms:W3CDTF">2026-10-06T06:07:57Z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