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중복품목 Share" sheetId="2" state="visible" r:id="rId2"/>
    <sheet name="NL 단독청구" sheetId="3" state="visible" r:id="rId3"/>
    <sheet name="NMO 단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;-#,##0;-"/>
    <numFmt numFmtId="166" formatCode="#,##0.0;-#,##0.0;-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color rgb="000000FF"/>
      <sz val="9"/>
    </font>
    <font>
      <name val="Arial"/>
      <b val="1"/>
    </font>
    <font>
      <name val="Arial"/>
      <b val="1"/>
      <sz val="9"/>
    </font>
    <font>
      <name val="Arial"/>
      <sz val="9"/>
    </font>
    <font>
      <name val="Arial"/>
      <color rgb="00008000"/>
      <sz val="9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0" borderId="1" pivotButton="0" quotePrefix="0" xfId="0"/>
    <xf numFmtId="3" fontId="11" fillId="0" borderId="1" pivotButton="0" quotePrefix="0" xfId="0"/>
    <xf numFmtId="0" fontId="11" fillId="0" borderId="1" pivotButton="0" quotePrefix="0" xfId="0"/>
    <xf numFmtId="0" fontId="10" fillId="0" borderId="0" pivotButton="0" quotePrefix="0" xfId="0"/>
    <xf numFmtId="3" fontId="1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5" fontId="4" fillId="3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5" fontId="6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1" applyAlignment="1" pivotButton="0" quotePrefix="0" xfId="0">
      <alignment vertical="center" wrapText="1"/>
    </xf>
    <xf numFmtId="164" fontId="8" fillId="0" borderId="1" applyAlignment="1" pivotButton="0" quotePrefix="0" xfId="0">
      <alignment vertical="center" wrapText="1"/>
    </xf>
    <xf numFmtId="165" fontId="8" fillId="0" borderId="1" applyAlignment="1" pivotButton="0" quotePrefix="0" xfId="0">
      <alignment vertical="center" wrapText="1"/>
    </xf>
    <xf numFmtId="166" fontId="8" fillId="0" borderId="1" applyAlignment="1" pivotButton="0" quotePrefix="0" xfId="0">
      <alignment vertical="center" wrapText="1"/>
    </xf>
    <xf numFmtId="0" fontId="9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7E6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PAINT 중복/Share 요약 — NORTH MOON × NORTH LIGHT</t>
        </is>
      </c>
    </row>
    <row r="2">
      <c r="A2" s="2" t="inlineStr">
        <is>
          <t>기준: NMO 견적 IOB-NMO-26-0923-PAINT (Sub Total KRW 27,402,775)</t>
        </is>
      </c>
    </row>
    <row r="4">
      <c r="A4" s="3" t="inlineStr">
        <is>
          <t>NMO 견적 총액 (재계산)</t>
        </is>
      </c>
      <c r="B4" s="4">
        <f>'중복품목 Share'!G17+'NMO 단독'!F10</f>
        <v/>
      </c>
    </row>
    <row r="5">
      <c r="A5" s="5" t="inlineStr">
        <is>
          <t xml:space="preserve">  └ 중복품목 금액</t>
        </is>
      </c>
      <c r="B5" s="4">
        <f>'중복품목 Share'!G17</f>
        <v/>
      </c>
    </row>
    <row r="6">
      <c r="A6" s="5" t="inlineStr">
        <is>
          <t xml:space="preserve">  └ NMO 단독품목 금액</t>
        </is>
      </c>
      <c r="B6" s="4">
        <f>'NMO 단독'!F10</f>
        <v/>
      </c>
    </row>
    <row r="7">
      <c r="A7" s="3" t="inlineStr">
        <is>
          <t>중복품목 50% 분담 시 NL 부담액</t>
        </is>
      </c>
      <c r="B7" s="4">
        <f>'중복품목 Share'!R17</f>
        <v/>
      </c>
    </row>
    <row r="8">
      <c r="A8" s="3" t="inlineStr">
        <is>
          <t>중복품목 50% 분담 시 NMO 부담액</t>
        </is>
      </c>
      <c r="B8" s="4">
        <f>'중복품목 Share'!G17-'중복품목 Share'!R17+'NMO 단독'!F10</f>
        <v/>
      </c>
    </row>
    <row r="9">
      <c r="A9" s="6" t="inlineStr"/>
      <c r="B9" s="7" t="inlineStr"/>
    </row>
    <row r="10">
      <c r="A10" s="3" t="inlineStr">
        <is>
          <t>중복 품목 수</t>
        </is>
      </c>
      <c r="B10" s="4">
        <f>COUNTA('중복품목 Share'!C5:C16)</f>
        <v/>
      </c>
    </row>
    <row r="11">
      <c r="A11" s="5" t="inlineStr">
        <is>
          <t xml:space="preserve">  └ Share 충족 (추가청구 불필요)</t>
        </is>
      </c>
      <c r="B11" s="4">
        <f>COUNTIF('중복품목 Share'!O5:O16,"Share 충족*")</f>
        <v/>
      </c>
    </row>
    <row r="12">
      <c r="A12" s="5" t="inlineStr">
        <is>
          <t xml:space="preserve">  └ NL 부족 (추가 필요)</t>
        </is>
      </c>
      <c r="B12" s="4">
        <f>COUNTIF('중복품목 Share'!O5:O16,"NL 부족*")</f>
        <v/>
      </c>
    </row>
    <row r="13">
      <c r="A13" s="5" t="inlineStr">
        <is>
          <t xml:space="preserve">  └ 홀수 → 수량 조정 필요</t>
        </is>
      </c>
      <c r="B13" s="4">
        <f>COUNTIF('중복품목 Share'!O5:O16,"*홀수*")</f>
        <v/>
      </c>
    </row>
    <row r="14">
      <c r="A14" s="3" t="inlineStr">
        <is>
          <t>NL 단독 청구 품목 수</t>
        </is>
      </c>
      <c r="B14" s="4">
        <f>COUNTA('NL 단독청구'!C6:C12)</f>
        <v/>
      </c>
    </row>
    <row r="15">
      <c r="A15" s="3" t="inlineStr">
        <is>
          <t>NMO 단독 품목 수</t>
        </is>
      </c>
      <c r="B15" s="4">
        <f>COUNTA('NMO 단독'!B5:B9)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30" customWidth="1" min="3" max="3"/>
    <col width="6" customWidth="1" min="4" max="4"/>
    <col width="8" customWidth="1" min="5" max="5"/>
    <col width="10" customWidth="1" min="6" max="6"/>
    <col width="12" customWidth="1" min="7" max="7"/>
    <col width="5" customWidth="1" min="8" max="8"/>
    <col width="34" customWidth="1" min="9" max="9"/>
    <col width="6" customWidth="1" min="10" max="10"/>
    <col width="7" customWidth="1" min="11" max="11"/>
    <col width="9" customWidth="1" min="12" max="12"/>
    <col width="9" customWidth="1" min="13" max="13"/>
    <col width="10" customWidth="1" min="14" max="14"/>
    <col width="13" customWidth="1" min="15" max="15"/>
    <col width="9" customWidth="1" min="16" max="16"/>
    <col width="10" customWidth="1" min="17" max="17"/>
    <col width="12" customWidth="1" min="18" max="18"/>
    <col width="40" customWidth="1" min="19" max="19"/>
  </cols>
  <sheetData>
    <row r="1">
      <c r="A1" s="1" t="inlineStr">
        <is>
          <t>NORTH MOON 견적 ↔ NORTH LIGHT 청구  중복품목 50% Share 검토</t>
        </is>
      </c>
    </row>
    <row r="2">
      <c r="A2" s="2" t="inlineStr">
        <is>
          <t>NMO 견적: OXENP SALES CONFIRM IOB-NMO-26-0923-PAINT (2026-09-28) / NL 청구: North Light PAINT 청구서 '4. Paint' 시트.  노란칸(NMO 수량)만 수정하면 전부 재계산됩니다.</t>
        </is>
      </c>
    </row>
    <row r="4" ht="42" customHeight="1">
      <c r="A4" s="8" t="inlineStr">
        <is>
          <t>#</t>
        </is>
      </c>
      <c r="B4" s="8" t="inlineStr">
        <is>
          <t>NMO
No.</t>
        </is>
      </c>
      <c r="C4" s="8" t="inlineStr">
        <is>
          <t>NMO 품목 (견적)</t>
        </is>
      </c>
      <c r="D4" s="8" t="inlineStr">
        <is>
          <t>NMO
L/can</t>
        </is>
      </c>
      <c r="E4" s="8" t="inlineStr">
        <is>
          <t>NMO 수량
(can) ✎</t>
        </is>
      </c>
      <c r="F4" s="8" t="inlineStr">
        <is>
          <t>단가
(KRW)</t>
        </is>
      </c>
      <c r="G4" s="8" t="inlineStr">
        <is>
          <t>NMO 금액
(KRW)</t>
        </is>
      </c>
      <c r="H4" s="8" t="inlineStr">
        <is>
          <t>NL
No.</t>
        </is>
      </c>
      <c r="I4" s="8" t="inlineStr">
        <is>
          <t>NL 품목 (청구)</t>
        </is>
      </c>
      <c r="J4" s="8" t="inlineStr">
        <is>
          <t>NL
L/can</t>
        </is>
      </c>
      <c r="K4" s="8" t="inlineStr">
        <is>
          <t>NL 청구
(can)</t>
        </is>
      </c>
      <c r="L4" s="8" t="inlineStr">
        <is>
          <t>NL 필요량
(L)</t>
        </is>
      </c>
      <c r="M4" s="8" t="inlineStr">
        <is>
          <t>50% Share
(can/선박)</t>
        </is>
      </c>
      <c r="N4" s="8" t="inlineStr">
        <is>
          <t>Share 시
NL 수령량(L)</t>
        </is>
      </c>
      <c r="O4" s="8" t="inlineStr">
        <is>
          <t>판정</t>
        </is>
      </c>
      <c r="P4" s="8" t="inlineStr">
        <is>
          <t>NL 부족분
(L)</t>
        </is>
      </c>
      <c r="Q4" s="8" t="inlineStr">
        <is>
          <t>부족분 추가
(NMO규격 can)</t>
        </is>
      </c>
      <c r="R4" s="8" t="inlineStr">
        <is>
          <t>NL 부담액
50% (KRW)</t>
        </is>
      </c>
      <c r="S4" s="8" t="inlineStr">
        <is>
          <t>비고</t>
        </is>
      </c>
    </row>
    <row r="5">
      <c r="A5" s="9" t="n">
        <v>1</v>
      </c>
      <c r="B5" s="9" t="n">
        <v>1</v>
      </c>
      <c r="C5" s="9" t="inlineStr">
        <is>
          <t>SIGMADUR 550 WHITE</t>
        </is>
      </c>
      <c r="D5" s="10" t="n">
        <v>15</v>
      </c>
      <c r="E5" s="11" t="n">
        <v>18</v>
      </c>
      <c r="F5" s="12" t="n">
        <v>173650</v>
      </c>
      <c r="G5" s="13">
        <f>E5*F5</f>
        <v/>
      </c>
      <c r="H5" s="9" t="n">
        <v>8</v>
      </c>
      <c r="I5" s="9" t="inlineStr">
        <is>
          <t>SIGMADUR 550 WHITE, 17.6LTRS</t>
        </is>
      </c>
      <c r="J5" s="10" t="n">
        <v>17.6</v>
      </c>
      <c r="K5" s="12" t="n">
        <v>10</v>
      </c>
      <c r="L5" s="14">
        <f>J5*K5</f>
        <v/>
      </c>
      <c r="M5" s="15">
        <f>E5/2</f>
        <v/>
      </c>
      <c r="N5" s="14">
        <f>M5*D5</f>
        <v/>
      </c>
      <c r="O5" s="16">
        <f>IF(N5&gt;=L5,"Share 충족","NL 부족")&amp;IF(MOD(E5,2)&lt;&gt;0," (홀수)","")</f>
        <v/>
      </c>
      <c r="P5" s="14">
        <f>MAX(0,L5-N5)</f>
        <v/>
      </c>
      <c r="Q5" s="13">
        <f>ROUNDUP(P5/D5,0)</f>
        <v/>
      </c>
      <c r="R5" s="13">
        <f>G5/2</f>
        <v/>
      </c>
      <c r="S5" s="9" t="inlineStr">
        <is>
          <t>캔 규격 상이(15L vs 17.6L)</t>
        </is>
      </c>
    </row>
    <row r="6">
      <c r="A6" s="9" t="n">
        <v>2</v>
      </c>
      <c r="B6" s="9" t="n">
        <v>3</v>
      </c>
      <c r="C6" s="9" t="inlineStr">
        <is>
          <t>SIGMADUR 550 IVORY (2.5Y 9/2)</t>
        </is>
      </c>
      <c r="D6" s="10" t="n">
        <v>15</v>
      </c>
      <c r="E6" s="11" t="n">
        <v>4</v>
      </c>
      <c r="F6" s="12" t="n">
        <v>335800</v>
      </c>
      <c r="G6" s="13">
        <f>E6*F6</f>
        <v/>
      </c>
      <c r="H6" s="9" t="n">
        <v>7</v>
      </c>
      <c r="I6" s="9" t="inlineStr">
        <is>
          <t>SIGMADUR 550 IVORY 2.5Y9/2, 17.6LTRS</t>
        </is>
      </c>
      <c r="J6" s="10" t="n">
        <v>17.6</v>
      </c>
      <c r="K6" s="12" t="n">
        <v>10</v>
      </c>
      <c r="L6" s="14">
        <f>J6*K6</f>
        <v/>
      </c>
      <c r="M6" s="15">
        <f>E6/2</f>
        <v/>
      </c>
      <c r="N6" s="14">
        <f>M6*D6</f>
        <v/>
      </c>
      <c r="O6" s="16">
        <f>IF(N6&gt;=L6,"Share 충족","NL 부족")&amp;IF(MOD(E6,2)&lt;&gt;0," (홀수)","")</f>
        <v/>
      </c>
      <c r="P6" s="14">
        <f>MAX(0,L6-N6)</f>
        <v/>
      </c>
      <c r="Q6" s="13">
        <f>ROUNDUP(P6/D6,0)</f>
        <v/>
      </c>
      <c r="R6" s="13">
        <f>G6/2</f>
        <v/>
      </c>
      <c r="S6" s="9" t="inlineStr">
        <is>
          <t>캔 규격 상이</t>
        </is>
      </c>
    </row>
    <row r="7">
      <c r="A7" s="9" t="n">
        <v>3</v>
      </c>
      <c r="B7" s="9" t="n">
        <v>6</v>
      </c>
      <c r="C7" s="9" t="inlineStr">
        <is>
          <t>SIGMADUR 550 BLACK</t>
        </is>
      </c>
      <c r="D7" s="10" t="n">
        <v>15</v>
      </c>
      <c r="E7" s="11" t="n">
        <v>8</v>
      </c>
      <c r="F7" s="12" t="n">
        <v>151800</v>
      </c>
      <c r="G7" s="13">
        <f>E7*F7</f>
        <v/>
      </c>
      <c r="H7" s="9" t="n">
        <v>6</v>
      </c>
      <c r="I7" s="9" t="inlineStr">
        <is>
          <t>SIGMADUR 550 BLACK, 17.6LTRS</t>
        </is>
      </c>
      <c r="J7" s="10" t="n">
        <v>17.6</v>
      </c>
      <c r="K7" s="12" t="n">
        <v>3</v>
      </c>
      <c r="L7" s="14">
        <f>J7*K7</f>
        <v/>
      </c>
      <c r="M7" s="15">
        <f>E7/2</f>
        <v/>
      </c>
      <c r="N7" s="14">
        <f>M7*D7</f>
        <v/>
      </c>
      <c r="O7" s="16">
        <f>IF(N7&gt;=L7,"Share 충족","NL 부족")&amp;IF(MOD(E7,2)&lt;&gt;0," (홀수)","")</f>
        <v/>
      </c>
      <c r="P7" s="14">
        <f>MAX(0,L7-N7)</f>
        <v/>
      </c>
      <c r="Q7" s="13">
        <f>ROUNDUP(P7/D7,0)</f>
        <v/>
      </c>
      <c r="R7" s="13">
        <f>G7/2</f>
        <v/>
      </c>
      <c r="S7" s="9" t="inlineStr">
        <is>
          <t>캔 규격 상이</t>
        </is>
      </c>
    </row>
    <row r="8">
      <c r="A8" s="9" t="n">
        <v>4</v>
      </c>
      <c r="B8" s="9" t="n">
        <v>9</v>
      </c>
      <c r="C8" s="9" t="inlineStr">
        <is>
          <t>SIGMAPRIME 200 (GREY) =&gt;700</t>
        </is>
      </c>
      <c r="D8" s="10" t="n">
        <v>15</v>
      </c>
      <c r="E8" s="11" t="n">
        <v>15</v>
      </c>
      <c r="F8" s="12" t="n">
        <v>102350</v>
      </c>
      <c r="G8" s="13">
        <f>E8*F8</f>
        <v/>
      </c>
      <c r="H8" s="9" t="n">
        <v>1</v>
      </c>
      <c r="I8" s="9" t="inlineStr">
        <is>
          <t>SIGMAPRIME 200 K BASE GREY, 20LTRS</t>
        </is>
      </c>
      <c r="J8" s="10" t="n">
        <v>20</v>
      </c>
      <c r="K8" s="12" t="n">
        <v>10</v>
      </c>
      <c r="L8" s="14">
        <f>J8*K8</f>
        <v/>
      </c>
      <c r="M8" s="15">
        <f>E8/2</f>
        <v/>
      </c>
      <c r="N8" s="14">
        <f>M8*D8</f>
        <v/>
      </c>
      <c r="O8" s="16">
        <f>IF(N8&gt;=L8,"Share 충족","NL 부족")&amp;IF(MOD(E8,2)&lt;&gt;0," (홀수)","")</f>
        <v/>
      </c>
      <c r="P8" s="14">
        <f>MAX(0,L8-N8)</f>
        <v/>
      </c>
      <c r="Q8" s="13">
        <f>ROUNDUP(P8/D8,0)</f>
        <v/>
      </c>
      <c r="R8" s="13">
        <f>G8/2</f>
        <v/>
      </c>
      <c r="S8" s="9" t="inlineStr">
        <is>
          <t>NMO는 SIGMAPRIME 700으로 대체 공급 / 15L vs 20L</t>
        </is>
      </c>
    </row>
    <row r="9">
      <c r="A9" s="9" t="n">
        <v>5</v>
      </c>
      <c r="B9" s="9" t="n">
        <v>10</v>
      </c>
      <c r="C9" s="9" t="inlineStr">
        <is>
          <t>SIGMAPRIME 200 (REDBROWN) =&gt;700</t>
        </is>
      </c>
      <c r="D9" s="10" t="n">
        <v>15</v>
      </c>
      <c r="E9" s="11" t="n">
        <v>15</v>
      </c>
      <c r="F9" s="12" t="n">
        <v>102350</v>
      </c>
      <c r="G9" s="13">
        <f>E9*F9</f>
        <v/>
      </c>
      <c r="H9" s="9" t="n">
        <v>3</v>
      </c>
      <c r="I9" s="9" t="inlineStr">
        <is>
          <t>SIGMAPRIME 200 K BASE RED BROWN, 20LTRS</t>
        </is>
      </c>
      <c r="J9" s="10" t="n">
        <v>20</v>
      </c>
      <c r="K9" s="12" t="n">
        <v>10</v>
      </c>
      <c r="L9" s="14">
        <f>J9*K9</f>
        <v/>
      </c>
      <c r="M9" s="15">
        <f>E9/2</f>
        <v/>
      </c>
      <c r="N9" s="14">
        <f>M9*D9</f>
        <v/>
      </c>
      <c r="O9" s="16">
        <f>IF(N9&gt;=L9,"Share 충족","NL 부족")&amp;IF(MOD(E9,2)&lt;&gt;0," (홀수)","")</f>
        <v/>
      </c>
      <c r="P9" s="14">
        <f>MAX(0,L9-N9)</f>
        <v/>
      </c>
      <c r="Q9" s="13">
        <f>ROUNDUP(P9/D9,0)</f>
        <v/>
      </c>
      <c r="R9" s="13">
        <f>G9/2</f>
        <v/>
      </c>
      <c r="S9" s="9" t="inlineStr">
        <is>
          <t>NMO는 SIGMAPRIME 700으로 대체 공급 / 15L vs 20L</t>
        </is>
      </c>
    </row>
    <row r="10">
      <c r="A10" s="9" t="n">
        <v>6</v>
      </c>
      <c r="B10" s="9" t="n">
        <v>11</v>
      </c>
      <c r="C10" s="9" t="inlineStr">
        <is>
          <t>SIGMACOVER 456 (GREY)</t>
        </is>
      </c>
      <c r="D10" s="10" t="n">
        <v>15</v>
      </c>
      <c r="E10" s="11" t="n">
        <v>15</v>
      </c>
      <c r="F10" s="12" t="n">
        <v>117300</v>
      </c>
      <c r="G10" s="13">
        <f>E10*F10</f>
        <v/>
      </c>
      <c r="H10" s="9" t="n">
        <v>4</v>
      </c>
      <c r="I10" s="9" t="inlineStr">
        <is>
          <t>SIGMACOVER 456 BASE GREY, 16.4LTRS</t>
        </is>
      </c>
      <c r="J10" s="10" t="n">
        <v>16.4</v>
      </c>
      <c r="K10" s="12" t="n">
        <v>15</v>
      </c>
      <c r="L10" s="14">
        <f>J10*K10</f>
        <v/>
      </c>
      <c r="M10" s="15">
        <f>E10/2</f>
        <v/>
      </c>
      <c r="N10" s="14">
        <f>M10*D10</f>
        <v/>
      </c>
      <c r="O10" s="16">
        <f>IF(N10&gt;=L10,"Share 충족","NL 부족")&amp;IF(MOD(E10,2)&lt;&gt;0," (홀수)","")</f>
        <v/>
      </c>
      <c r="P10" s="14">
        <f>MAX(0,L10-N10)</f>
        <v/>
      </c>
      <c r="Q10" s="13">
        <f>ROUNDUP(P10/D10,0)</f>
        <v/>
      </c>
      <c r="R10" s="13">
        <f>G10/2</f>
        <v/>
      </c>
      <c r="S10" s="9" t="inlineStr">
        <is>
          <t>캔 규격 상이</t>
        </is>
      </c>
    </row>
    <row r="11">
      <c r="A11" s="9" t="n">
        <v>7</v>
      </c>
      <c r="B11" s="9" t="n">
        <v>13</v>
      </c>
      <c r="C11" s="9" t="inlineStr">
        <is>
          <t>SIGMARINE 48 (GREEN) =&gt;648</t>
        </is>
      </c>
      <c r="D11" s="10" t="n">
        <v>15</v>
      </c>
      <c r="E11" s="11" t="n">
        <v>5</v>
      </c>
      <c r="F11" s="12" t="n">
        <v>96025</v>
      </c>
      <c r="G11" s="13">
        <f>E11*F11</f>
        <v/>
      </c>
      <c r="H11" s="9" t="n">
        <v>14</v>
      </c>
      <c r="I11" s="9" t="inlineStr">
        <is>
          <t>SIGMARINE 48 (Blue Green 7.5BG7/2), 20LTRS</t>
        </is>
      </c>
      <c r="J11" s="10" t="n">
        <v>20</v>
      </c>
      <c r="K11" s="12" t="n">
        <v>3</v>
      </c>
      <c r="L11" s="14">
        <f>J11*K11</f>
        <v/>
      </c>
      <c r="M11" s="15">
        <f>E11/2</f>
        <v/>
      </c>
      <c r="N11" s="14">
        <f>M11*D11</f>
        <v/>
      </c>
      <c r="O11" s="16">
        <f>IF(N11&gt;=L11,"Share 충족","NL 부족")&amp;IF(MOD(E11,2)&lt;&gt;0," (홀수)","")</f>
        <v/>
      </c>
      <c r="P11" s="14">
        <f>MAX(0,L11-N11)</f>
        <v/>
      </c>
      <c r="Q11" s="13">
        <f>ROUNDUP(P11/D11,0)</f>
        <v/>
      </c>
      <c r="R11" s="13">
        <f>G11/2</f>
        <v/>
      </c>
      <c r="S11" s="9" t="inlineStr">
        <is>
          <t>⚠ 색상 상이(GREEN vs BLUE GREEN) + 648 대체 → 본선 확인 후 share 여부 결정</t>
        </is>
      </c>
    </row>
    <row r="12">
      <c r="A12" s="9" t="n">
        <v>8</v>
      </c>
      <c r="B12" s="9" t="n">
        <v>14</v>
      </c>
      <c r="C12" s="9" t="inlineStr">
        <is>
          <t>SIGMATHERM 540 (BLACK)</t>
        </is>
      </c>
      <c r="D12" s="10" t="n">
        <v>15</v>
      </c>
      <c r="E12" s="11" t="n">
        <v>5</v>
      </c>
      <c r="F12" s="12" t="n">
        <v>701500</v>
      </c>
      <c r="G12" s="13">
        <f>E12*F12</f>
        <v/>
      </c>
      <c r="H12" s="9" t="n">
        <v>16</v>
      </c>
      <c r="I12" s="9" t="inlineStr">
        <is>
          <t>SIGMATHERM 540 BLACK, 5LTRS</t>
        </is>
      </c>
      <c r="J12" s="10" t="n">
        <v>5</v>
      </c>
      <c r="K12" s="12" t="n">
        <v>5</v>
      </c>
      <c r="L12" s="14">
        <f>J12*K12</f>
        <v/>
      </c>
      <c r="M12" s="15">
        <f>E12/2</f>
        <v/>
      </c>
      <c r="N12" s="14">
        <f>M12*D12</f>
        <v/>
      </c>
      <c r="O12" s="16">
        <f>IF(N12&gt;=L12,"Share 충족","NL 부족")&amp;IF(MOD(E12,2)&lt;&gt;0," (홀수)","")</f>
        <v/>
      </c>
      <c r="P12" s="14">
        <f>MAX(0,L12-N12)</f>
        <v/>
      </c>
      <c r="Q12" s="13">
        <f>ROUNDUP(P12/D12,0)</f>
        <v/>
      </c>
      <c r="R12" s="13">
        <f>G12/2</f>
        <v/>
      </c>
      <c r="S12" s="9" t="inlineStr">
        <is>
          <t>NMO 15L can / NL 5L can</t>
        </is>
      </c>
    </row>
    <row r="13">
      <c r="A13" s="9" t="n">
        <v>9</v>
      </c>
      <c r="B13" s="9" t="n">
        <v>15</v>
      </c>
      <c r="C13" s="9" t="inlineStr">
        <is>
          <t>SIGMATHERM 175 - ALUMINIUM</t>
        </is>
      </c>
      <c r="D13" s="10" t="n">
        <v>20</v>
      </c>
      <c r="E13" s="11" t="n">
        <v>4</v>
      </c>
      <c r="F13" s="12" t="n">
        <v>196650</v>
      </c>
      <c r="G13" s="13">
        <f>E13*F13</f>
        <v/>
      </c>
      <c r="H13" s="9" t="n">
        <v>15</v>
      </c>
      <c r="I13" s="9" t="inlineStr">
        <is>
          <t>SIGMATHERM 175 ALUMINIUM, 5LTRS</t>
        </is>
      </c>
      <c r="J13" s="10" t="n">
        <v>5</v>
      </c>
      <c r="K13" s="12" t="n">
        <v>3</v>
      </c>
      <c r="L13" s="14">
        <f>J13*K13</f>
        <v/>
      </c>
      <c r="M13" s="15">
        <f>E13/2</f>
        <v/>
      </c>
      <c r="N13" s="14">
        <f>M13*D13</f>
        <v/>
      </c>
      <c r="O13" s="16">
        <f>IF(N13&gt;=L13,"Share 충족","NL 부족")&amp;IF(MOD(E13,2)&lt;&gt;0," (홀수)","")</f>
        <v/>
      </c>
      <c r="P13" s="14">
        <f>MAX(0,L13-N13)</f>
        <v/>
      </c>
      <c r="Q13" s="13">
        <f>ROUNDUP(P13/D13,0)</f>
        <v/>
      </c>
      <c r="R13" s="13">
        <f>G13/2</f>
        <v/>
      </c>
      <c r="S13" s="9" t="inlineStr">
        <is>
          <t>NMO 20L can / NL 5L can</t>
        </is>
      </c>
    </row>
    <row r="14">
      <c r="A14" s="9" t="n">
        <v>10</v>
      </c>
      <c r="B14" s="9" t="n">
        <v>17</v>
      </c>
      <c r="C14" s="9" t="inlineStr">
        <is>
          <t>THINNER PPG 21-06</t>
        </is>
      </c>
      <c r="D14" s="10" t="n">
        <v>18</v>
      </c>
      <c r="E14" s="11" t="n">
        <v>25</v>
      </c>
      <c r="F14" s="12" t="n">
        <v>69000</v>
      </c>
      <c r="G14" s="13">
        <f>E14*F14</f>
        <v/>
      </c>
      <c r="H14" s="9" t="n">
        <v>23</v>
      </c>
      <c r="I14" s="9" t="inlineStr">
        <is>
          <t>THINNER 21-06, 20LTRS</t>
        </is>
      </c>
      <c r="J14" s="10" t="n">
        <v>20</v>
      </c>
      <c r="K14" s="12" t="n">
        <v>10</v>
      </c>
      <c r="L14" s="14">
        <f>J14*K14</f>
        <v/>
      </c>
      <c r="M14" s="15">
        <f>E14/2</f>
        <v/>
      </c>
      <c r="N14" s="14">
        <f>M14*D14</f>
        <v/>
      </c>
      <c r="O14" s="16">
        <f>IF(N14&gt;=L14,"Share 충족","NL 부족")&amp;IF(MOD(E14,2)&lt;&gt;0," (홀수)","")</f>
        <v/>
      </c>
      <c r="P14" s="14">
        <f>MAX(0,L14-N14)</f>
        <v/>
      </c>
      <c r="Q14" s="13">
        <f>ROUNDUP(P14/D14,0)</f>
        <v/>
      </c>
      <c r="R14" s="13">
        <f>G14/2</f>
        <v/>
      </c>
      <c r="S14" s="9" t="inlineStr">
        <is>
          <t>18L vs 20L</t>
        </is>
      </c>
    </row>
    <row r="15">
      <c r="A15" s="9" t="n">
        <v>11</v>
      </c>
      <c r="B15" s="9" t="n">
        <v>18</v>
      </c>
      <c r="C15" s="9" t="inlineStr">
        <is>
          <t>THINNER PPG 91-92</t>
        </is>
      </c>
      <c r="D15" s="10" t="n">
        <v>18</v>
      </c>
      <c r="E15" s="11" t="n">
        <v>8</v>
      </c>
      <c r="F15" s="12" t="n">
        <v>70150</v>
      </c>
      <c r="G15" s="13">
        <f>E15*F15</f>
        <v/>
      </c>
      <c r="H15" s="9" t="n">
        <v>24</v>
      </c>
      <c r="I15" s="9" t="inlineStr">
        <is>
          <t>THINNER 91-92, 20LTRS</t>
        </is>
      </c>
      <c r="J15" s="10" t="n">
        <v>20</v>
      </c>
      <c r="K15" s="12" t="n">
        <v>10</v>
      </c>
      <c r="L15" s="14">
        <f>J15*K15</f>
        <v/>
      </c>
      <c r="M15" s="15">
        <f>E15/2</f>
        <v/>
      </c>
      <c r="N15" s="14">
        <f>M15*D15</f>
        <v/>
      </c>
      <c r="O15" s="16">
        <f>IF(N15&gt;=L15,"Share 충족","NL 부족")&amp;IF(MOD(E15,2)&lt;&gt;0," (홀수)","")</f>
        <v/>
      </c>
      <c r="P15" s="14">
        <f>MAX(0,L15-N15)</f>
        <v/>
      </c>
      <c r="Q15" s="13">
        <f>ROUNDUP(P15/D15,0)</f>
        <v/>
      </c>
      <c r="R15" s="13">
        <f>G15/2</f>
        <v/>
      </c>
      <c r="S15" s="9" t="inlineStr">
        <is>
          <t>18L vs 20L</t>
        </is>
      </c>
    </row>
    <row r="16">
      <c r="A16" s="9" t="n">
        <v>12</v>
      </c>
      <c r="B16" s="9" t="n">
        <v>19</v>
      </c>
      <c r="C16" s="9" t="inlineStr">
        <is>
          <t>THINNER PPG 20-05</t>
        </is>
      </c>
      <c r="D16" s="10" t="n">
        <v>18</v>
      </c>
      <c r="E16" s="11" t="n">
        <v>1</v>
      </c>
      <c r="F16" s="12" t="n">
        <v>71300</v>
      </c>
      <c r="G16" s="13">
        <f>E16*F16</f>
        <v/>
      </c>
      <c r="H16" s="9" t="n">
        <v>22</v>
      </c>
      <c r="I16" s="9" t="inlineStr">
        <is>
          <t>THINNER 20-05, 20LTRS</t>
        </is>
      </c>
      <c r="J16" s="10" t="n">
        <v>20</v>
      </c>
      <c r="K16" s="12" t="n">
        <v>10</v>
      </c>
      <c r="L16" s="14">
        <f>J16*K16</f>
        <v/>
      </c>
      <c r="M16" s="15">
        <f>E16/2</f>
        <v/>
      </c>
      <c r="N16" s="14">
        <f>M16*D16</f>
        <v/>
      </c>
      <c r="O16" s="16">
        <f>IF(N16&gt;=L16,"Share 충족","NL 부족")&amp;IF(MOD(E16,2)&lt;&gt;0," (홀수)","")</f>
        <v/>
      </c>
      <c r="P16" s="14">
        <f>MAX(0,L16-N16)</f>
        <v/>
      </c>
      <c r="Q16" s="13">
        <f>ROUNDUP(P16/D16,0)</f>
        <v/>
      </c>
      <c r="R16" s="13">
        <f>G16/2</f>
        <v/>
      </c>
      <c r="S16" s="9" t="inlineStr">
        <is>
          <t>18L vs 20L / NMO 1can뿐</t>
        </is>
      </c>
    </row>
    <row r="17">
      <c r="A17" s="9" t="n"/>
      <c r="B17" s="9" t="n"/>
      <c r="C17" s="17" t="inlineStr">
        <is>
          <t>합계</t>
        </is>
      </c>
      <c r="D17" s="14" t="n"/>
      <c r="E17" s="13" t="n"/>
      <c r="F17" s="13" t="n"/>
      <c r="G17" s="18">
        <f>SUM(G5:G16)</f>
        <v/>
      </c>
      <c r="H17" s="9" t="n"/>
      <c r="I17" s="9" t="n"/>
      <c r="J17" s="14" t="n"/>
      <c r="K17" s="13" t="n"/>
      <c r="L17" s="14" t="n"/>
      <c r="M17" s="15" t="n"/>
      <c r="N17" s="14" t="n"/>
      <c r="O17" s="16" t="n"/>
      <c r="P17" s="14" t="n"/>
      <c r="Q17" s="13" t="n"/>
      <c r="R17" s="18">
        <f>SUM(R5:R16)</f>
        <v/>
      </c>
      <c r="S17" s="9" t="n"/>
    </row>
    <row r="19">
      <c r="A19" s="19" t="inlineStr">
        <is>
          <t>[판정 기준]</t>
        </is>
      </c>
    </row>
    <row r="20">
      <c r="A20" s="20" t="inlineStr">
        <is>
          <t>• Share 충족 : NMO 수량의 50%(리터 환산)로 NL 청구량 전부 커버 → NMO 견적으로만 발주, 금액 50:50 분담</t>
        </is>
      </c>
    </row>
    <row r="21">
      <c r="A21" s="20" t="inlineStr">
        <is>
          <t>• NL 부족 : 50% share 후에도 NL 필요량 모자람 → 부족분(Q열 can수)을 NMO 수량에 더하거나 NL에서 별도 청구</t>
        </is>
      </c>
    </row>
    <row r="22">
      <c r="A22" s="20" t="inlineStr">
        <is>
          <t>• (홀수) : NMO 수량이 홀수라 정확히 반분 불가 → 짝수로 조정 (±1 can)</t>
        </is>
      </c>
    </row>
    <row r="23">
      <c r="A23" s="20" t="inlineStr">
        <is>
          <t>• 캔 규격이 선박별로 달라(15L/17.6L/20L 등) 모든 비교는 리터(L) 기준. 단가는 NMO 견적 단가(KRW/can) 기준.</t>
        </is>
      </c>
    </row>
    <row r="24">
      <c r="A24" s="20" t="inlineStr">
        <is>
          <t>• 노란칸 = 입력(NMO 수량). 파란글씨 = 견적서/청구서에서 옮긴 원본값.</t>
        </is>
      </c>
    </row>
  </sheetData>
  <conditionalFormatting sqref="O5:O16">
    <cfRule type="expression" priority="1" dxfId="0">
      <formula>LEFT(O5,5)="Share"</formula>
    </cfRule>
    <cfRule type="expression" priority="2" dxfId="1">
      <formula>LEFT(O5,2)="NL"</formula>
    </cfRule>
  </conditionalFormatting>
  <conditionalFormatting sqref="A11:S11">
    <cfRule type="expression" priority="3" dxfId="2">
      <formula>TRUE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46" customWidth="1" min="3" max="3"/>
    <col width="6" customWidth="1" min="4" max="4"/>
    <col width="7" customWidth="1" min="5" max="5"/>
    <col width="10" customWidth="1" min="6" max="6"/>
    <col width="11" customWidth="1" min="7" max="7"/>
    <col width="55" customWidth="1" min="8" max="8"/>
  </cols>
  <sheetData>
    <row r="1">
      <c r="A1" s="1" t="inlineStr">
        <is>
          <t>NORTH LIGHT 에서 별도 청구해야 할 품목</t>
        </is>
      </c>
    </row>
    <row r="2">
      <c r="A2" s="2" t="inlineStr">
        <is>
          <t>A) NMO 견적에 없는 NL 단독 품목  +  B) 중복품목이지만 50% share로 부족한 분량  (B는 '중복품목 Share' 시트와 연동)</t>
        </is>
      </c>
    </row>
    <row r="4" ht="42" customHeight="1">
      <c r="A4" s="8" t="inlineStr">
        <is>
          <t>구분</t>
        </is>
      </c>
      <c r="B4" s="8" t="inlineStr">
        <is>
          <t>NL No.</t>
        </is>
      </c>
      <c r="C4" s="8" t="inlineStr">
        <is>
          <t>품목</t>
        </is>
      </c>
      <c r="D4" s="8" t="inlineStr">
        <is>
          <t>UOM</t>
        </is>
      </c>
      <c r="E4" s="8" t="inlineStr">
        <is>
          <t>L/can</t>
        </is>
      </c>
      <c r="F4" s="8" t="inlineStr">
        <is>
          <t>청구수량
(can)</t>
        </is>
      </c>
      <c r="G4" s="8" t="inlineStr">
        <is>
          <t>필요량 (L)</t>
        </is>
      </c>
      <c r="H4" s="8" t="inlineStr">
        <is>
          <t>비고</t>
        </is>
      </c>
    </row>
    <row r="5">
      <c r="A5" s="17" t="inlineStr">
        <is>
          <t>A) NL 단독 품목 — NMO 견적에 없음 → NL 전량 청구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9" t="inlineStr">
        <is>
          <t>단독</t>
        </is>
      </c>
      <c r="B6" s="9" t="n">
        <v>2</v>
      </c>
      <c r="C6" s="9" t="inlineStr">
        <is>
          <t>SIGMAPRIME 200 K BASE YELLOW GREEN, 20LTRS</t>
        </is>
      </c>
      <c r="D6" s="9" t="inlineStr">
        <is>
          <t>Cans</t>
        </is>
      </c>
      <c r="E6" s="10" t="n">
        <v>20</v>
      </c>
      <c r="F6" s="12" t="n">
        <v>10</v>
      </c>
      <c r="G6" s="15">
        <f>E6*F6</f>
        <v/>
      </c>
      <c r="H6" s="9" t="inlineStr"/>
    </row>
    <row r="7">
      <c r="A7" s="9" t="inlineStr">
        <is>
          <t>단독</t>
        </is>
      </c>
      <c r="B7" s="9" t="n">
        <v>5</v>
      </c>
      <c r="C7" s="9" t="inlineStr">
        <is>
          <t>SIGMADUR 550 GREY N6, 17.6LTRS</t>
        </is>
      </c>
      <c r="D7" s="9" t="inlineStr">
        <is>
          <t>Cans</t>
        </is>
      </c>
      <c r="E7" s="10" t="n">
        <v>17.6</v>
      </c>
      <c r="F7" s="12" t="n">
        <v>10</v>
      </c>
      <c r="G7" s="15">
        <f>E7*F7</f>
        <v/>
      </c>
      <c r="H7" s="9" t="inlineStr"/>
    </row>
    <row r="8">
      <c r="A8" s="9" t="inlineStr">
        <is>
          <t>단독</t>
        </is>
      </c>
      <c r="B8" s="9" t="n">
        <v>9</v>
      </c>
      <c r="C8" s="9" t="inlineStr">
        <is>
          <t>SIGMADUR 550 BASE Z (BROWN 2.5YR5/6.5), 17.6LTRS</t>
        </is>
      </c>
      <c r="D8" s="9" t="inlineStr">
        <is>
          <t>Cans</t>
        </is>
      </c>
      <c r="E8" s="10" t="n">
        <v>17.6</v>
      </c>
      <c r="F8" s="12" t="n">
        <v>2</v>
      </c>
      <c r="G8" s="15">
        <f>E8*F8</f>
        <v/>
      </c>
      <c r="H8" s="9" t="inlineStr"/>
    </row>
    <row r="9">
      <c r="A9" s="9" t="inlineStr">
        <is>
          <t>단독</t>
        </is>
      </c>
      <c r="B9" s="9" t="n">
        <v>10</v>
      </c>
      <c r="C9" s="9" t="inlineStr">
        <is>
          <t>SIGMADUR 550 BASE Z (LIGHT GREEN 2.5G5.5/7), 17.6LTRS</t>
        </is>
      </c>
      <c r="D9" s="9" t="inlineStr">
        <is>
          <t>Cans</t>
        </is>
      </c>
      <c r="E9" s="10" t="n">
        <v>17.6</v>
      </c>
      <c r="F9" s="12" t="n">
        <v>2</v>
      </c>
      <c r="G9" s="15">
        <f>E9*F9</f>
        <v/>
      </c>
      <c r="H9" s="9" t="inlineStr"/>
    </row>
    <row r="10">
      <c r="A10" s="9" t="inlineStr">
        <is>
          <t>단독</t>
        </is>
      </c>
      <c r="B10" s="9" t="n">
        <v>11</v>
      </c>
      <c r="C10" s="9" t="inlineStr">
        <is>
          <t>SIGMADUR 550 (Cobalt Blue RAL5013), 17.6LTRS</t>
        </is>
      </c>
      <c r="D10" s="9" t="inlineStr">
        <is>
          <t>Cans</t>
        </is>
      </c>
      <c r="E10" s="10" t="n">
        <v>17.6</v>
      </c>
      <c r="F10" s="12" t="n">
        <v>2</v>
      </c>
      <c r="G10" s="15">
        <f>E10*F10</f>
        <v/>
      </c>
      <c r="H10" s="9" t="inlineStr"/>
    </row>
    <row r="11">
      <c r="A11" s="9" t="inlineStr">
        <is>
          <t>단독</t>
        </is>
      </c>
      <c r="B11" s="9" t="n">
        <v>12</v>
      </c>
      <c r="C11" s="9" t="inlineStr">
        <is>
          <t>SIGMAGUARD CSF 585 (Blue), 15LTRS</t>
        </is>
      </c>
      <c r="D11" s="9" t="inlineStr">
        <is>
          <t>Cans</t>
        </is>
      </c>
      <c r="E11" s="10" t="n">
        <v>15</v>
      </c>
      <c r="F11" s="12" t="n">
        <v>2</v>
      </c>
      <c r="G11" s="15">
        <f>E11*F11</f>
        <v/>
      </c>
      <c r="H11" s="9" t="inlineStr"/>
    </row>
    <row r="12">
      <c r="A12" s="9" t="inlineStr">
        <is>
          <t>단독</t>
        </is>
      </c>
      <c r="B12" s="9" t="n">
        <v>13</v>
      </c>
      <c r="C12" s="9" t="inlineStr">
        <is>
          <t>SIGMARINE 28 GREY, 20LTRS</t>
        </is>
      </c>
      <c r="D12" s="9" t="inlineStr">
        <is>
          <t>Cans</t>
        </is>
      </c>
      <c r="E12" s="10" t="n">
        <v>20</v>
      </c>
      <c r="F12" s="12" t="n">
        <v>2</v>
      </c>
      <c r="G12" s="15">
        <f>E12*F12</f>
        <v/>
      </c>
      <c r="H12" s="9" t="inlineStr"/>
    </row>
    <row r="13">
      <c r="A13" s="17" t="inlineStr">
        <is>
          <t>B) 중복품목 50% share 후 부족분 → NMO 수량 증량 또는 NL 추가 청구</t>
        </is>
      </c>
      <c r="B13" s="9" t="n"/>
      <c r="C13" s="9" t="n"/>
      <c r="D13" s="9" t="n"/>
      <c r="E13" s="14" t="n"/>
      <c r="F13" s="13" t="n"/>
      <c r="G13" s="15" t="n"/>
      <c r="H13" s="9" t="n"/>
    </row>
    <row r="14">
      <c r="A14" s="21">
        <f>IF(LEFT('중복품목 Share'!O5,5)="Share","-","부족분")</f>
        <v/>
      </c>
      <c r="B14" s="21">
        <f>'중복품목 Share'!H5</f>
        <v/>
      </c>
      <c r="C14" s="21">
        <f>'중복품목 Share'!I5</f>
        <v/>
      </c>
      <c r="D14" s="21" t="inlineStr">
        <is>
          <t>Cans</t>
        </is>
      </c>
      <c r="E14" s="22">
        <f>'중복품목 Share'!D5</f>
        <v/>
      </c>
      <c r="F14" s="23">
        <f>'중복품목 Share'!Q5</f>
        <v/>
      </c>
      <c r="G14" s="24">
        <f>'중복품목 Share'!P5</f>
        <v/>
      </c>
      <c r="H14" s="21">
        <f>'중복품목 Share'!O5&amp;IF('중복품목 Share'!S5="",""," / "&amp;'중복품목 Share'!S5)</f>
        <v/>
      </c>
    </row>
    <row r="15">
      <c r="A15" s="21">
        <f>IF(LEFT('중복품목 Share'!O6,5)="Share","-","부족분")</f>
        <v/>
      </c>
      <c r="B15" s="21">
        <f>'중복품목 Share'!H6</f>
        <v/>
      </c>
      <c r="C15" s="21">
        <f>'중복품목 Share'!I6</f>
        <v/>
      </c>
      <c r="D15" s="21" t="inlineStr">
        <is>
          <t>Cans</t>
        </is>
      </c>
      <c r="E15" s="22">
        <f>'중복품목 Share'!D6</f>
        <v/>
      </c>
      <c r="F15" s="23">
        <f>'중복품목 Share'!Q6</f>
        <v/>
      </c>
      <c r="G15" s="24">
        <f>'중복품목 Share'!P6</f>
        <v/>
      </c>
      <c r="H15" s="21">
        <f>'중복품목 Share'!O6&amp;IF('중복품목 Share'!S6="",""," / "&amp;'중복품목 Share'!S6)</f>
        <v/>
      </c>
    </row>
    <row r="16">
      <c r="A16" s="21">
        <f>IF(LEFT('중복품목 Share'!O7,5)="Share","-","부족분")</f>
        <v/>
      </c>
      <c r="B16" s="21">
        <f>'중복품목 Share'!H7</f>
        <v/>
      </c>
      <c r="C16" s="21">
        <f>'중복품목 Share'!I7</f>
        <v/>
      </c>
      <c r="D16" s="21" t="inlineStr">
        <is>
          <t>Cans</t>
        </is>
      </c>
      <c r="E16" s="22">
        <f>'중복품목 Share'!D7</f>
        <v/>
      </c>
      <c r="F16" s="23">
        <f>'중복품목 Share'!Q7</f>
        <v/>
      </c>
      <c r="G16" s="24">
        <f>'중복품목 Share'!P7</f>
        <v/>
      </c>
      <c r="H16" s="21">
        <f>'중복품목 Share'!O7&amp;IF('중복품목 Share'!S7="",""," / "&amp;'중복품목 Share'!S7)</f>
        <v/>
      </c>
    </row>
    <row r="17">
      <c r="A17" s="21">
        <f>IF(LEFT('중복품목 Share'!O8,5)="Share","-","부족분")</f>
        <v/>
      </c>
      <c r="B17" s="21">
        <f>'중복품목 Share'!H8</f>
        <v/>
      </c>
      <c r="C17" s="21">
        <f>'중복품목 Share'!I8</f>
        <v/>
      </c>
      <c r="D17" s="21" t="inlineStr">
        <is>
          <t>Cans</t>
        </is>
      </c>
      <c r="E17" s="22">
        <f>'중복품목 Share'!D8</f>
        <v/>
      </c>
      <c r="F17" s="23">
        <f>'중복품목 Share'!Q8</f>
        <v/>
      </c>
      <c r="G17" s="24">
        <f>'중복품목 Share'!P8</f>
        <v/>
      </c>
      <c r="H17" s="21">
        <f>'중복품목 Share'!O8&amp;IF('중복품목 Share'!S8="",""," / "&amp;'중복품목 Share'!S8)</f>
        <v/>
      </c>
    </row>
    <row r="18">
      <c r="A18" s="21">
        <f>IF(LEFT('중복품목 Share'!O9,5)="Share","-","부족분")</f>
        <v/>
      </c>
      <c r="B18" s="21">
        <f>'중복품목 Share'!H9</f>
        <v/>
      </c>
      <c r="C18" s="21">
        <f>'중복품목 Share'!I9</f>
        <v/>
      </c>
      <c r="D18" s="21" t="inlineStr">
        <is>
          <t>Cans</t>
        </is>
      </c>
      <c r="E18" s="22">
        <f>'중복품목 Share'!D9</f>
        <v/>
      </c>
      <c r="F18" s="23">
        <f>'중복품목 Share'!Q9</f>
        <v/>
      </c>
      <c r="G18" s="24">
        <f>'중복품목 Share'!P9</f>
        <v/>
      </c>
      <c r="H18" s="21">
        <f>'중복품목 Share'!O9&amp;IF('중복품목 Share'!S9="",""," / "&amp;'중복품목 Share'!S9)</f>
        <v/>
      </c>
    </row>
    <row r="19">
      <c r="A19" s="21">
        <f>IF(LEFT('중복품목 Share'!O10,5)="Share","-","부족분")</f>
        <v/>
      </c>
      <c r="B19" s="21">
        <f>'중복품목 Share'!H10</f>
        <v/>
      </c>
      <c r="C19" s="21">
        <f>'중복품목 Share'!I10</f>
        <v/>
      </c>
      <c r="D19" s="21" t="inlineStr">
        <is>
          <t>Cans</t>
        </is>
      </c>
      <c r="E19" s="22">
        <f>'중복품목 Share'!D10</f>
        <v/>
      </c>
      <c r="F19" s="23">
        <f>'중복품목 Share'!Q10</f>
        <v/>
      </c>
      <c r="G19" s="24">
        <f>'중복품목 Share'!P10</f>
        <v/>
      </c>
      <c r="H19" s="21">
        <f>'중복품목 Share'!O10&amp;IF('중복품목 Share'!S10="",""," / "&amp;'중복품목 Share'!S10)</f>
        <v/>
      </c>
    </row>
    <row r="20">
      <c r="A20" s="21">
        <f>IF(LEFT('중복품목 Share'!O11,5)="Share","-","부족분")</f>
        <v/>
      </c>
      <c r="B20" s="21">
        <f>'중복품목 Share'!H11</f>
        <v/>
      </c>
      <c r="C20" s="21">
        <f>'중복품목 Share'!I11</f>
        <v/>
      </c>
      <c r="D20" s="21" t="inlineStr">
        <is>
          <t>Cans</t>
        </is>
      </c>
      <c r="E20" s="22">
        <f>'중복품목 Share'!D11</f>
        <v/>
      </c>
      <c r="F20" s="23">
        <f>'중복품목 Share'!Q11</f>
        <v/>
      </c>
      <c r="G20" s="24">
        <f>'중복품목 Share'!P11</f>
        <v/>
      </c>
      <c r="H20" s="21">
        <f>'중복품목 Share'!O11&amp;IF('중복품목 Share'!S11="",""," / "&amp;'중복품목 Share'!S11)</f>
        <v/>
      </c>
    </row>
    <row r="21">
      <c r="A21" s="21">
        <f>IF(LEFT('중복품목 Share'!O12,5)="Share","-","부족분")</f>
        <v/>
      </c>
      <c r="B21" s="21">
        <f>'중복품목 Share'!H12</f>
        <v/>
      </c>
      <c r="C21" s="21">
        <f>'중복품목 Share'!I12</f>
        <v/>
      </c>
      <c r="D21" s="21" t="inlineStr">
        <is>
          <t>Cans</t>
        </is>
      </c>
      <c r="E21" s="22">
        <f>'중복품목 Share'!D12</f>
        <v/>
      </c>
      <c r="F21" s="23">
        <f>'중복품목 Share'!Q12</f>
        <v/>
      </c>
      <c r="G21" s="24">
        <f>'중복품목 Share'!P12</f>
        <v/>
      </c>
      <c r="H21" s="21">
        <f>'중복품목 Share'!O12&amp;IF('중복품목 Share'!S12="",""," / "&amp;'중복품목 Share'!S12)</f>
        <v/>
      </c>
    </row>
    <row r="22">
      <c r="A22" s="21">
        <f>IF(LEFT('중복품목 Share'!O13,5)="Share","-","부족분")</f>
        <v/>
      </c>
      <c r="B22" s="21">
        <f>'중복품목 Share'!H13</f>
        <v/>
      </c>
      <c r="C22" s="21">
        <f>'중복품목 Share'!I13</f>
        <v/>
      </c>
      <c r="D22" s="21" t="inlineStr">
        <is>
          <t>Cans</t>
        </is>
      </c>
      <c r="E22" s="22">
        <f>'중복품목 Share'!D13</f>
        <v/>
      </c>
      <c r="F22" s="23">
        <f>'중복품목 Share'!Q13</f>
        <v/>
      </c>
      <c r="G22" s="24">
        <f>'중복품목 Share'!P13</f>
        <v/>
      </c>
      <c r="H22" s="21">
        <f>'중복품목 Share'!O13&amp;IF('중복품목 Share'!S13="",""," / "&amp;'중복품목 Share'!S13)</f>
        <v/>
      </c>
    </row>
    <row r="23">
      <c r="A23" s="21">
        <f>IF(LEFT('중복품목 Share'!O14,5)="Share","-","부족분")</f>
        <v/>
      </c>
      <c r="B23" s="21">
        <f>'중복품목 Share'!H14</f>
        <v/>
      </c>
      <c r="C23" s="21">
        <f>'중복품목 Share'!I14</f>
        <v/>
      </c>
      <c r="D23" s="21" t="inlineStr">
        <is>
          <t>Cans</t>
        </is>
      </c>
      <c r="E23" s="22">
        <f>'중복품목 Share'!D14</f>
        <v/>
      </c>
      <c r="F23" s="23">
        <f>'중복품목 Share'!Q14</f>
        <v/>
      </c>
      <c r="G23" s="24">
        <f>'중복품목 Share'!P14</f>
        <v/>
      </c>
      <c r="H23" s="21">
        <f>'중복품목 Share'!O14&amp;IF('중복품목 Share'!S14="",""," / "&amp;'중복품목 Share'!S14)</f>
        <v/>
      </c>
    </row>
    <row r="24">
      <c r="A24" s="21">
        <f>IF(LEFT('중복품목 Share'!O15,5)="Share","-","부족분")</f>
        <v/>
      </c>
      <c r="B24" s="21">
        <f>'중복품목 Share'!H15</f>
        <v/>
      </c>
      <c r="C24" s="21">
        <f>'중복품목 Share'!I15</f>
        <v/>
      </c>
      <c r="D24" s="21" t="inlineStr">
        <is>
          <t>Cans</t>
        </is>
      </c>
      <c r="E24" s="22">
        <f>'중복품목 Share'!D15</f>
        <v/>
      </c>
      <c r="F24" s="23">
        <f>'중복품목 Share'!Q15</f>
        <v/>
      </c>
      <c r="G24" s="24">
        <f>'중복품목 Share'!P15</f>
        <v/>
      </c>
      <c r="H24" s="21">
        <f>'중복품목 Share'!O15&amp;IF('중복품목 Share'!S15="",""," / "&amp;'중복품목 Share'!S15)</f>
        <v/>
      </c>
    </row>
    <row r="25">
      <c r="A25" s="21">
        <f>IF(LEFT('중복품목 Share'!O16,5)="Share","-","부족분")</f>
        <v/>
      </c>
      <c r="B25" s="21">
        <f>'중복품목 Share'!H16</f>
        <v/>
      </c>
      <c r="C25" s="21">
        <f>'중복품목 Share'!I16</f>
        <v/>
      </c>
      <c r="D25" s="21" t="inlineStr">
        <is>
          <t>Cans</t>
        </is>
      </c>
      <c r="E25" s="22">
        <f>'중복품목 Share'!D16</f>
        <v/>
      </c>
      <c r="F25" s="23">
        <f>'중복품목 Share'!Q16</f>
        <v/>
      </c>
      <c r="G25" s="24">
        <f>'중복품목 Share'!P16</f>
        <v/>
      </c>
      <c r="H25" s="21">
        <f>'중복품목 Share'!O16&amp;IF('중복품목 Share'!S16="",""," / "&amp;'중복품목 Share'!S16)</f>
        <v/>
      </c>
    </row>
    <row r="27">
      <c r="A27" s="25" t="inlineStr">
        <is>
          <t>※ B) 의 '청구수량(can)'은 NMO 캔 규격 기준. 회색 행 = share만으로 충족(추가 청구 불필요). ※ SIGMARINE 48은 색상 상이로 share 불가 판정 시 NL 3can 전량 청구.</t>
        </is>
      </c>
    </row>
  </sheetData>
  <conditionalFormatting sqref="A14:H25">
    <cfRule type="expression" priority="1" dxfId="1">
      <formula>$A14="부족분"</formula>
    </cfRule>
    <cfRule type="expression" priority="2" dxfId="3">
      <formula>$A14="-"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7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NORTH MOON 단독 품목 (NL 청구에 없음) → share 불가, NMO 100% 부담</t>
        </is>
      </c>
    </row>
    <row r="2">
      <c r="A2" s="2" t="inlineStr"/>
    </row>
    <row r="4" ht="42" customHeight="1">
      <c r="A4" s="8" t="inlineStr">
        <is>
          <t>NMO No.</t>
        </is>
      </c>
      <c r="B4" s="8" t="inlineStr">
        <is>
          <t>품목</t>
        </is>
      </c>
      <c r="C4" s="8" t="inlineStr">
        <is>
          <t>L/can</t>
        </is>
      </c>
      <c r="D4" s="8" t="inlineStr">
        <is>
          <t>수량(can)</t>
        </is>
      </c>
      <c r="E4" s="8" t="inlineStr">
        <is>
          <t>단가(KRW)</t>
        </is>
      </c>
      <c r="F4" s="8" t="inlineStr">
        <is>
          <t>금액(KRW)</t>
        </is>
      </c>
    </row>
    <row r="5">
      <c r="A5" s="9" t="n">
        <v>4</v>
      </c>
      <c r="B5" s="9" t="inlineStr">
        <is>
          <t>SIGMADUR 550 - RED 6188</t>
        </is>
      </c>
      <c r="C5" s="26" t="n">
        <v>15</v>
      </c>
      <c r="D5" s="26" t="n">
        <v>4</v>
      </c>
      <c r="E5" s="12" t="n">
        <v>217350</v>
      </c>
      <c r="F5" s="13">
        <f>D5*E5</f>
        <v/>
      </c>
    </row>
    <row r="6">
      <c r="A6" s="9" t="n">
        <v>5</v>
      </c>
      <c r="B6" s="9" t="inlineStr">
        <is>
          <t>SIGMADUR 550 - YELLOW 3138</t>
        </is>
      </c>
      <c r="C6" s="26" t="n">
        <v>15</v>
      </c>
      <c r="D6" s="26" t="n">
        <v>4</v>
      </c>
      <c r="E6" s="12" t="n">
        <v>294400</v>
      </c>
      <c r="F6" s="13">
        <f>D6*E6</f>
        <v/>
      </c>
    </row>
    <row r="7">
      <c r="A7" s="9" t="n">
        <v>8</v>
      </c>
      <c r="B7" s="9" t="inlineStr">
        <is>
          <t>SIGMADUR 550 (SIGNAL ORANGE)</t>
        </is>
      </c>
      <c r="C7" s="26" t="n">
        <v>15</v>
      </c>
      <c r="D7" s="26" t="n">
        <v>15</v>
      </c>
      <c r="E7" s="12" t="n">
        <v>290950</v>
      </c>
      <c r="F7" s="13">
        <f>D7*E7</f>
        <v/>
      </c>
    </row>
    <row r="8">
      <c r="A8" s="9" t="n">
        <v>12</v>
      </c>
      <c r="B8" s="9" t="inlineStr">
        <is>
          <t>SIGMACOVER 456 (REDBROWN)</t>
        </is>
      </c>
      <c r="C8" s="26" t="n">
        <v>15</v>
      </c>
      <c r="D8" s="26" t="n">
        <v>10</v>
      </c>
      <c r="E8" s="12" t="n">
        <v>120750</v>
      </c>
      <c r="F8" s="13">
        <f>D8*E8</f>
        <v/>
      </c>
    </row>
    <row r="9">
      <c r="A9" s="9" t="n">
        <v>16</v>
      </c>
      <c r="B9" s="9" t="inlineStr">
        <is>
          <t>SIGMACOVER 380 (GREY)</t>
        </is>
      </c>
      <c r="C9" s="26" t="n">
        <v>20</v>
      </c>
      <c r="D9" s="26" t="n">
        <v>15</v>
      </c>
      <c r="E9" s="12" t="n">
        <v>142600</v>
      </c>
      <c r="F9" s="13">
        <f>D9*E9</f>
        <v/>
      </c>
    </row>
    <row r="10">
      <c r="A10" s="9" t="n"/>
      <c r="B10" s="17" t="inlineStr">
        <is>
          <t>합계</t>
        </is>
      </c>
      <c r="C10" s="9" t="n"/>
      <c r="D10" s="9" t="n"/>
      <c r="E10" s="13" t="n"/>
      <c r="F10" s="18">
        <f>SUM(F5:F9)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2026-09-29T02:52:47Z</dcterms:created>
  <dcterms:modified xsi:type="dcterms:W3CDTF">2026-09-29T02:52:47Z</dcterms:modified>
</cp:coreProperties>
</file>