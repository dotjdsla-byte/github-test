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통합 청구" sheetId="1" state="visible" r:id="rId3"/>
    <sheet name="North Light" sheetId="2" state="visible" r:id="rId4"/>
    <sheet name="North Moon" sheetId="3" state="visible" r:id="rId5"/>
    <sheet name="North Ocean" sheetId="4" state="visible" r:id="rId6"/>
    <sheet name="North Vall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<sst xmlns="http://schemas.openxmlformats.org/spreadsheetml/2006/main" count="392" uniqueCount="172">
  <si>
    <r>
      <rPr>
        <b val="true"/>
        <sz val="14"/>
        <rFont val="Arial"/>
        <family val="0"/>
        <charset val="1"/>
      </rPr>
      <t xml:space="preserve">NORTH FLEET – LUB OIL REQUISITION (</t>
    </r>
    <r>
      <rPr>
        <b val="true"/>
        <sz val="14"/>
        <rFont val="WenQuanYi Zen Hei"/>
        <family val="2"/>
      </rPr>
      <t xml:space="preserve">통합 청구 리스트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</si>
  <si>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녹색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선박 시트에서 가져온 값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수식</t>
    </r>
    <r>
      <rPr>
        <i val="true"/>
        <sz val="9"/>
        <color rgb="FF595959"/>
        <rFont val="Arial"/>
        <family val="0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파란색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입력값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각 선박 시트</t>
    </r>
    <r>
      <rPr>
        <i val="true"/>
        <sz val="9"/>
        <color rgb="FF595959"/>
        <rFont val="Arial"/>
        <family val="0"/>
        <charset val="1"/>
      </rPr>
      <t xml:space="preserve">(North Light / Moon / Ocean / Valley)</t>
    </r>
    <r>
      <rPr>
        <i val="true"/>
        <sz val="9"/>
        <color rgb="FF595959"/>
        <rFont val="WenQuanYi Zen Hei"/>
        <family val="2"/>
      </rPr>
      <t xml:space="preserve">를 수정하면 자동 반영됩니다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</si>
  <si>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 CAN – </t>
    </r>
    <r>
      <rPr>
        <b val="true"/>
        <sz val="10"/>
        <rFont val="WenQuanYi Zen Hei"/>
        <family val="2"/>
      </rPr>
      <t xml:space="preserve">오일 </t>
    </r>
    <r>
      <rPr>
        <b val="true"/>
        <sz val="10"/>
        <rFont val="Arial"/>
        <family val="0"/>
        <charset val="1"/>
      </rPr>
      <t xml:space="preserve">(L)</t>
    </r>
  </si>
  <si>
    <r>
      <rPr>
        <i val="true"/>
        <sz val="9"/>
        <color rgb="FF595959"/>
        <rFont val="WenQuanYi Zen Hei"/>
        <family val="2"/>
      </rPr>
      <t xml:space="preserve">← 가정값</t>
    </r>
    <r>
      <rPr>
        <i val="true"/>
        <sz val="9"/>
        <color rgb="FF595959"/>
        <rFont val="Arial"/>
        <family val="0"/>
        <charset val="1"/>
      </rPr>
      <t xml:space="preserve">: Light 'CAN' → L </t>
    </r>
    <r>
      <rPr>
        <i val="true"/>
        <sz val="9"/>
        <color rgb="FF595959"/>
        <rFont val="WenQuanYi Zen Hei"/>
        <family val="2"/>
      </rPr>
      <t xml:space="preserve">환산 </t>
    </r>
    <r>
      <rPr>
        <i val="true"/>
        <sz val="9"/>
        <color rgb="FF595959"/>
        <rFont val="Arial"/>
        <family val="0"/>
        <charset val="1"/>
      </rPr>
      <t xml:space="preserve">(Epona SA 220: 40L = 20L/CAN, Valley 20L pail </t>
    </r>
    <r>
      <rPr>
        <i val="true"/>
        <sz val="9"/>
        <color rgb="FF595959"/>
        <rFont val="WenQuanYi Zen Hei"/>
        <family val="2"/>
      </rPr>
      <t xml:space="preserve">기준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</si>
  <si>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 CAN – </t>
    </r>
    <r>
      <rPr>
        <b val="true"/>
        <sz val="10"/>
        <rFont val="WenQuanYi Zen Hei"/>
        <family val="2"/>
      </rPr>
      <t xml:space="preserve">그리스 </t>
    </r>
    <r>
      <rPr>
        <b val="true"/>
        <sz val="10"/>
        <rFont val="Arial"/>
        <family val="0"/>
        <charset val="1"/>
      </rPr>
      <t xml:space="preserve">(KG)</t>
    </r>
  </si>
  <si>
    <r>
      <rPr>
        <i val="true"/>
        <sz val="9"/>
        <color rgb="FF595959"/>
        <rFont val="WenQuanYi Zen Hei"/>
        <family val="2"/>
      </rPr>
      <t xml:space="preserve">← 가정값</t>
    </r>
    <r>
      <rPr>
        <i val="true"/>
        <sz val="9"/>
        <color rgb="FF595959"/>
        <rFont val="Arial"/>
        <family val="0"/>
        <charset val="1"/>
      </rPr>
      <t xml:space="preserve">: Light 'CAN' → KG </t>
    </r>
    <r>
      <rPr>
        <i val="true"/>
        <sz val="9"/>
        <color rgb="FF595959"/>
        <rFont val="WenQuanYi Zen Hei"/>
        <family val="2"/>
      </rPr>
      <t xml:space="preserve">환산 </t>
    </r>
    <r>
      <rPr>
        <i val="true"/>
        <sz val="9"/>
        <color rgb="FF595959"/>
        <rFont val="Arial"/>
        <family val="0"/>
        <charset val="1"/>
      </rPr>
      <t xml:space="preserve">(Bioadhesive: 108 KG = 6 CAN, Valley 18KG pail </t>
    </r>
    <r>
      <rPr>
        <i val="true"/>
        <sz val="9"/>
        <color rgb="FF595959"/>
        <rFont val="WenQuanYi Zen Hei"/>
        <family val="2"/>
      </rPr>
      <t xml:space="preserve">기준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</si>
  <si>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No.</t>
  </si>
  <si>
    <t xml:space="preserve">Item (Lub Oil / Grease)</t>
  </si>
  <si>
    <t xml:space="preserve">Unit</t>
  </si>
  <si>
    <t xml:space="preserve">NORTH LIGHT</t>
  </si>
  <si>
    <t xml:space="preserve">NORTH MOON</t>
  </si>
  <si>
    <t xml:space="preserve">NORTH OCEAN</t>
  </si>
  <si>
    <t xml:space="preserve">NORTH VALLEY</t>
  </si>
  <si>
    <t xml:space="preserve">TOTAL REQ</t>
  </si>
  <si>
    <t xml:space="preserve">Remarks</t>
  </si>
  <si>
    <t xml:space="preserve">ROB</t>
  </si>
  <si>
    <t xml:space="preserve">REQ</t>
  </si>
  <si>
    <r>
      <rPr>
        <b val="true"/>
        <sz val="10"/>
        <rFont val="WenQuanYi Zen Hei"/>
        <family val="2"/>
      </rPr>
      <t xml:space="preserve">■ 청구 품목 </t>
    </r>
    <r>
      <rPr>
        <b val="true"/>
        <sz val="10"/>
        <rFont val="Arial"/>
        <family val="0"/>
        <charset val="1"/>
      </rPr>
      <t xml:space="preserve">(21) – </t>
    </r>
    <r>
      <rPr>
        <b val="true"/>
        <sz val="10"/>
        <rFont val="WenQuanYi Zen Hei"/>
        <family val="2"/>
      </rPr>
      <t xml:space="preserve">이름순</t>
    </r>
  </si>
  <si>
    <t xml:space="preserve">BARELF CH 100</t>
  </si>
  <si>
    <t xml:space="preserve">L</t>
  </si>
  <si>
    <t xml:space="preserve">BARELF SM 46</t>
  </si>
  <si>
    <t xml:space="preserve">BIOADHESIVE PLUS</t>
  </si>
  <si>
    <t xml:space="preserve">KG</t>
  </si>
  <si>
    <t xml:space="preserve">BIOMULTIS EP 0</t>
  </si>
  <si>
    <t xml:space="preserve">BSE 170</t>
  </si>
  <si>
    <t xml:space="preserve">Bitzer (Valley)</t>
  </si>
  <si>
    <t xml:space="preserve">CARTER SH 150</t>
  </si>
  <si>
    <t xml:space="preserve">CERAN AD PLUS</t>
  </si>
  <si>
    <t xml:space="preserve">CERAN XM 220</t>
  </si>
  <si>
    <t xml:space="preserve">DACNIS 46</t>
  </si>
  <si>
    <t xml:space="preserve">DACNIS 100</t>
  </si>
  <si>
    <t xml:space="preserve">ELFMATIC G3</t>
  </si>
  <si>
    <t xml:space="preserve">EPONA SA 220</t>
  </si>
  <si>
    <t xml:space="preserve">EPONA Z 220</t>
  </si>
  <si>
    <t xml:space="preserve">EPONA Z 460</t>
  </si>
  <si>
    <t xml:space="preserve">MULTIS COMPLEX SHD 100</t>
  </si>
  <si>
    <t xml:space="preserve">MULTIS COMPLEX SHD 220</t>
  </si>
  <si>
    <t xml:space="preserve">MULTIS EP 2</t>
  </si>
  <si>
    <t xml:space="preserve">PRESLIA 100</t>
  </si>
  <si>
    <t xml:space="preserve">SHELL GADUS S5 V42P 2.5</t>
  </si>
  <si>
    <t xml:space="preserve">Valley: 5 tube × 380g</t>
  </si>
  <si>
    <t xml:space="preserve">TALUSIA HD 40</t>
  </si>
  <si>
    <r>
      <rPr>
        <sz val="10"/>
        <rFont val="Arial"/>
        <family val="0"/>
        <charset val="1"/>
      </rPr>
      <t xml:space="preserve">M/E CYLINDER OIL. Light ROB = 3</t>
    </r>
    <r>
      <rPr>
        <sz val="10"/>
        <rFont val="WenQuanYi Zen Hei"/>
        <family val="2"/>
      </rPr>
      <t xml:space="preserve">개 탱크 합계</t>
    </r>
  </si>
  <si>
    <t xml:space="preserve">TMC AEON TH 9000</t>
  </si>
  <si>
    <r>
      <rPr>
        <sz val="10"/>
        <rFont val="Arial"/>
        <family val="0"/>
        <charset val="1"/>
      </rPr>
      <t xml:space="preserve">Gardner Denver AEON 9000 / NITROGEN COMPRESSOR (Valley: </t>
    </r>
    <r>
      <rPr>
        <sz val="10"/>
        <rFont val="WenQuanYi Zen Hei"/>
        <family val="2"/>
      </rPr>
      <t xml:space="preserve">단종 표기</t>
    </r>
    <r>
      <rPr>
        <sz val="10"/>
        <rFont val="Arial"/>
        <family val="0"/>
        <charset val="1"/>
      </rPr>
      <t xml:space="preserve">). Moon </t>
    </r>
    <r>
      <rPr>
        <sz val="10"/>
        <rFont val="WenQuanYi Zen Hei"/>
        <family val="2"/>
      </rPr>
      <t xml:space="preserve">값은 원본 </t>
    </r>
    <r>
      <rPr>
        <sz val="10"/>
        <rFont val="Arial"/>
        <family val="0"/>
        <charset val="1"/>
      </rPr>
      <t xml:space="preserve">Quantity/ROB </t>
    </r>
    <r>
      <rPr>
        <sz val="10"/>
        <rFont val="WenQuanYi Zen Hei"/>
        <family val="2"/>
      </rPr>
      <t xml:space="preserve">확인 필요</t>
    </r>
  </si>
  <si>
    <r>
      <rPr>
        <b val="true"/>
        <sz val="10"/>
        <rFont val="WenQuanYi Zen Hei"/>
        <family val="2"/>
      </rPr>
      <t xml:space="preserve">■ 청구 없음 – </t>
    </r>
    <r>
      <rPr>
        <b val="true"/>
        <sz val="10"/>
        <rFont val="Arial"/>
        <family val="0"/>
        <charset val="1"/>
      </rPr>
      <t xml:space="preserve">CHART/</t>
    </r>
    <r>
      <rPr>
        <b val="true"/>
        <sz val="10"/>
        <rFont val="WenQuanYi Zen Hei"/>
        <family val="2"/>
      </rPr>
      <t xml:space="preserve">재고에만 있는 품목 </t>
    </r>
    <r>
      <rPr>
        <b val="true"/>
        <sz val="10"/>
        <rFont val="Arial"/>
        <family val="0"/>
        <charset val="1"/>
      </rPr>
      <t xml:space="preserve">(16) – </t>
    </r>
    <r>
      <rPr>
        <b val="true"/>
        <sz val="10"/>
        <rFont val="WenQuanYi Zen Hei"/>
        <family val="2"/>
      </rPr>
      <t xml:space="preserve">이름순</t>
    </r>
  </si>
  <si>
    <t xml:space="preserve">ATLANTA MARINE D 3005</t>
  </si>
  <si>
    <t xml:space="preserve">AZOLLA AF 46</t>
  </si>
  <si>
    <t xml:space="preserve">BIOMULTIS EP 2</t>
  </si>
  <si>
    <t xml:space="preserve">DISOLA M 4015</t>
  </si>
  <si>
    <t xml:space="preserve">DISOLA W 15W40</t>
  </si>
  <si>
    <t xml:space="preserve">KOBELCO KL-435-46</t>
  </si>
  <si>
    <t xml:space="preserve">LOCTITE 8104</t>
  </si>
  <si>
    <t xml:space="preserve">LOCTITE 8150</t>
  </si>
  <si>
    <t xml:space="preserve">PLANETELF ACD 46</t>
  </si>
  <si>
    <t xml:space="preserve">PLANETELF ACD 68</t>
  </si>
  <si>
    <t xml:space="preserve">PRESLIA 32</t>
  </si>
  <si>
    <t xml:space="preserve">PRESLIA 68</t>
  </si>
  <si>
    <t xml:space="preserve">VISGA 15</t>
  </si>
  <si>
    <t xml:space="preserve">VISGA 32</t>
  </si>
  <si>
    <t xml:space="preserve">VISGA 46</t>
  </si>
  <si>
    <t xml:space="preserve">VISGA 68</t>
  </si>
  <si>
    <t xml:space="preserve">NORTH LIGHT – LUB OIL REQUISITION</t>
  </si>
  <si>
    <r>
      <rPr>
        <i val="true"/>
        <sz val="9"/>
        <color rgb="FF595959"/>
        <rFont val="Arial"/>
        <family val="0"/>
        <charset val="1"/>
      </rPr>
      <t xml:space="preserve">Source: 1. Lub oil Initial supply list (North Light) – </t>
    </r>
    <r>
      <rPr>
        <i val="true"/>
        <sz val="9"/>
        <color rgb="FF595959"/>
        <rFont val="WenQuanYi Zen Hei"/>
        <family val="2"/>
      </rPr>
      <t xml:space="preserve">장비별 행을 품목 단위로 통합</t>
    </r>
    <r>
      <rPr>
        <i val="true"/>
        <sz val="9"/>
        <color rgb="FF595959"/>
        <rFont val="Arial"/>
        <family val="0"/>
        <charset val="1"/>
      </rPr>
      <t xml:space="preserve">. TOTAL Q'TY NEEDED </t>
    </r>
    <r>
      <rPr>
        <i val="true"/>
        <sz val="9"/>
        <color rgb="FF595959"/>
        <rFont val="WenQuanYi Zen Hei"/>
        <family val="2"/>
      </rPr>
      <t xml:space="preserve">기재 품목만 청구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나머지는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청구 없음</t>
    </r>
    <r>
      <rPr>
        <i val="true"/>
        <sz val="9"/>
        <color rgb="FF595959"/>
        <rFont val="Arial"/>
        <family val="0"/>
        <charset val="1"/>
      </rPr>
      <t xml:space="preserve">'.</t>
    </r>
  </si>
  <si>
    <r>
      <rPr>
        <i val="true"/>
        <sz val="9"/>
        <color rgb="FF595959"/>
        <rFont val="Arial"/>
        <family val="0"/>
        <charset val="1"/>
      </rPr>
      <t xml:space="preserve">REQ = </t>
    </r>
    <r>
      <rPr>
        <i val="true"/>
        <sz val="9"/>
        <color rgb="FF595959"/>
        <rFont val="WenQuanYi Zen Hei"/>
        <family val="2"/>
      </rPr>
      <t xml:space="preserve">청구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필요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수량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표준단위</t>
    </r>
    <r>
      <rPr>
        <i val="true"/>
        <sz val="9"/>
        <color rgb="FF595959"/>
        <rFont val="Arial"/>
        <family val="0"/>
        <charset val="1"/>
      </rPr>
      <t xml:space="preserve">(L/KG) </t>
    </r>
    <r>
      <rPr>
        <i val="true"/>
        <sz val="9"/>
        <color rgb="FF595959"/>
        <rFont val="WenQuanYi Zen Hei"/>
        <family val="2"/>
      </rPr>
      <t xml:space="preserve">환산값</t>
    </r>
    <r>
      <rPr>
        <i val="true"/>
        <sz val="9"/>
        <color rgb="FF595959"/>
        <rFont val="Arial"/>
        <family val="0"/>
        <charset val="1"/>
      </rPr>
      <t xml:space="preserve">. CAN </t>
    </r>
    <r>
      <rPr>
        <i val="true"/>
        <sz val="9"/>
        <color rgb="FF595959"/>
        <rFont val="WenQuanYi Zen Hei"/>
        <family val="2"/>
      </rPr>
      <t xml:space="preserve">단위는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통합 청구</t>
    </r>
    <r>
      <rPr>
        <i val="true"/>
        <sz val="9"/>
        <color rgb="FF595959"/>
        <rFont val="Arial"/>
        <family val="0"/>
        <charset val="1"/>
      </rPr>
      <t xml:space="preserve">' C3/C4 </t>
    </r>
    <r>
      <rPr>
        <i val="true"/>
        <sz val="9"/>
        <color rgb="FF595959"/>
        <rFont val="WenQuanYi Zen Hei"/>
        <family val="2"/>
      </rPr>
      <t xml:space="preserve">환산값 사용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파란색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원본 입력값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검정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수식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</si>
  <si>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Equipment / Use</t>
  </si>
  <si>
    <t xml:space="preserve">Original entry</t>
  </si>
  <si>
    <r>
      <rPr>
        <b val="true"/>
        <sz val="10"/>
        <rFont val="WenQuanYi Zen Hei"/>
        <family val="2"/>
      </rPr>
      <t xml:space="preserve">■ 청구 품목 </t>
    </r>
    <r>
      <rPr>
        <b val="true"/>
        <sz val="10"/>
        <rFont val="Arial"/>
        <family val="0"/>
        <charset val="1"/>
      </rPr>
      <t xml:space="preserve">(10)</t>
    </r>
  </si>
  <si>
    <t xml:space="preserve">Main air compressor</t>
  </si>
  <si>
    <t xml:space="preserve">8 CAN</t>
  </si>
  <si>
    <t xml:space="preserve">1 can/month</t>
  </si>
  <si>
    <t xml:space="preserve">Control/Service air compressor</t>
  </si>
  <si>
    <t xml:space="preserve">6 CAN</t>
  </si>
  <si>
    <t xml:space="preserve">40 ltr/set</t>
  </si>
  <si>
    <t xml:space="preserve">STEERING GEAR, EMERGENCY TOWING SYSTEM &amp; ESCORTING PULL BACK SYSTEM</t>
  </si>
  <si>
    <t xml:space="preserve">108 KG (6 CAN)</t>
  </si>
  <si>
    <t xml:space="preserve">windlass/winch gear box gear oil</t>
  </si>
  <si>
    <t xml:space="preserve">9 CAN</t>
  </si>
  <si>
    <t xml:space="preserve">each gear box 30~35ltr</t>
  </si>
  <si>
    <r>
      <rPr>
        <sz val="10"/>
        <rFont val="Arial"/>
        <family val="0"/>
        <charset val="1"/>
      </rPr>
      <t xml:space="preserve">DECK MACHINERY, HOSE HANDLING CRANE, PROVISION CRANE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건</t>
    </r>
  </si>
  <si>
    <t xml:space="preserve">life boat davit gear box oil</t>
  </si>
  <si>
    <t xml:space="preserve">2 CAN</t>
  </si>
  <si>
    <t xml:space="preserve">Nil</t>
  </si>
  <si>
    <t xml:space="preserve">GE LO PURIFIER</t>
  </si>
  <si>
    <t xml:space="preserve">40 L (20L/CAN)</t>
  </si>
  <si>
    <t xml:space="preserve">FOR DECK EQUIPMENTS GEAR BOX OIL</t>
  </si>
  <si>
    <t xml:space="preserve">GE turning gear</t>
  </si>
  <si>
    <t xml:space="preserve">General propose</t>
  </si>
  <si>
    <t xml:space="preserve">3 CAN</t>
  </si>
  <si>
    <t xml:space="preserve">0.5 can/month</t>
  </si>
  <si>
    <t xml:space="preserve">MAIN ENGINE</t>
  </si>
  <si>
    <t xml:space="preserve">21000 L</t>
  </si>
  <si>
    <r>
      <rPr>
        <sz val="10"/>
        <rFont val="Arial"/>
        <family val="0"/>
        <charset val="1"/>
      </rPr>
      <t xml:space="preserve">90% TANK VOLUME; </t>
    </r>
    <r>
      <rPr>
        <sz val="10"/>
        <rFont val="WenQuanYi Zen Hei"/>
        <family val="2"/>
      </rPr>
      <t xml:space="preserve">현재 잔량 </t>
    </r>
    <r>
      <rPr>
        <sz val="10"/>
        <rFont val="Arial"/>
        <family val="0"/>
        <charset val="1"/>
      </rPr>
      <t xml:space="preserve">#1- 21250ltr, #2- 740ltr, #3- 3690ltr (In use) ※ ROB = 3</t>
    </r>
    <r>
      <rPr>
        <sz val="10"/>
        <rFont val="WenQuanYi Zen Hei"/>
        <family val="2"/>
      </rPr>
      <t xml:space="preserve">개 탱크 합계</t>
    </r>
  </si>
  <si>
    <r>
      <rPr>
        <b val="true"/>
        <sz val="10"/>
        <rFont val="WenQuanYi Zen Hei"/>
        <family val="2"/>
      </rPr>
      <t xml:space="preserve">■ 청구 없음 – </t>
    </r>
    <r>
      <rPr>
        <b val="true"/>
        <sz val="10"/>
        <rFont val="Arial"/>
        <family val="0"/>
        <charset val="1"/>
      </rPr>
      <t xml:space="preserve">CHART/</t>
    </r>
    <r>
      <rPr>
        <b val="true"/>
        <sz val="10"/>
        <rFont val="WenQuanYi Zen Hei"/>
        <family val="2"/>
      </rPr>
      <t xml:space="preserve">재고에만 있는 품목 </t>
    </r>
    <r>
      <rPr>
        <b val="true"/>
        <sz val="10"/>
        <rFont val="Arial"/>
        <family val="0"/>
        <charset val="1"/>
      </rPr>
      <t xml:space="preserve">(21)</t>
    </r>
  </si>
  <si>
    <t xml:space="preserve">STERN TUBE BEARING AND SEAL, MAIN ENGINE, INTERMEDIATE SHAFT BEARING</t>
  </si>
  <si>
    <t xml:space="preserve">VR COMPRESSOR</t>
  </si>
  <si>
    <t xml:space="preserve">PROPELLER CAP</t>
  </si>
  <si>
    <r>
      <rPr>
        <sz val="10"/>
        <rFont val="Arial"/>
        <family val="0"/>
        <charset val="1"/>
      </rPr>
      <t xml:space="preserve">DECK MACHINERY, AUX. BOILER, EGE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건</t>
    </r>
  </si>
  <si>
    <t xml:space="preserve">MAIN AIR COMPRESSOR</t>
  </si>
  <si>
    <t xml:space="preserve">GENERATOR ENGINE</t>
  </si>
  <si>
    <t xml:space="preserve">EMERGENCY GENERATOR, LIFE/RESCUE BOAT WITH ENGINE, EMERGENCY TOWING SYSTEM &amp;</t>
  </si>
  <si>
    <r>
      <rPr>
        <sz val="10"/>
        <rFont val="Arial"/>
        <family val="0"/>
        <charset val="1"/>
      </rPr>
      <t xml:space="preserve">LIFE/RESCUE BOAT WITH ENGINE, DECK MACHINERY, EMERGENCY TOWING SYSTEM &amp; ESCORTING PULL BACK SYSTEM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건</t>
    </r>
  </si>
  <si>
    <t xml:space="preserve">FG COMPRESSOR I &amp; FG COMPRESSOR II, FG COMPRESSOR I, FG COMPRESSOR II</t>
  </si>
  <si>
    <t xml:space="preserve">VR COMPRESSOR ASSEMBLY</t>
  </si>
  <si>
    <t xml:space="preserve">PURCHASED AT HELKEL.</t>
  </si>
  <si>
    <t xml:space="preserve">PROV. REF. PLANT</t>
  </si>
  <si>
    <t xml:space="preserve">FIRST CHANGE : ABT. 100~ 200 HOURS</t>
  </si>
  <si>
    <t xml:space="preserve">AIR-CON. PLANT FOR ACCOM</t>
  </si>
  <si>
    <t xml:space="preserve">MAIN MOTOR LO UNIT FOR FGC I, MAIN MOTOR LO UNIT FOR FGC II</t>
  </si>
  <si>
    <t xml:space="preserve">STEERING GEAR, WATER SPRAY PUMP, NO.1~NO.4 BOILER WATER CIRC. PUMP</t>
  </si>
  <si>
    <t xml:space="preserve">BOG BOOST COMPRESSOR</t>
  </si>
  <si>
    <t xml:space="preserve">VR COMPRESSOR MOTOR</t>
  </si>
  <si>
    <t xml:space="preserve">OIL SUPPLIER: SHELL OIL SUPPLIER : MOBIL OIL SUPPLIER : SKF</t>
  </si>
  <si>
    <r>
      <rPr>
        <sz val="10"/>
        <rFont val="Arial"/>
        <family val="0"/>
        <charset val="1"/>
      </rPr>
      <t xml:space="preserve">WATER DRAIN PUMP FOR SECONDARY, WATER DRAIN PUMP FOR GLYCOL WATER, WATER DRAIN PUMP FOR OILY BILGE FOR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</si>
  <si>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DECK MACHINERY, LATHE MACHINE, ME HYD. TOP BRACHING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건</t>
    </r>
  </si>
  <si>
    <t xml:space="preserve">INITIALLY FILLED BY MAKER BUT SHOULD BE REPLACED BEFORE SEA TRIALL; INITIALLY FILLED BY MAKER BUT SHOULD BE REPLACED BEFORE SEA TRIAL; INITIALLY FILLED BY MAKER BUT SHOULD BE REPLACED BEFORE SEA TRIAL; CHANGED FROM RANDO HDZ 22 TO HDZ 32 WITH MAKER, CHEVRON CONFIRMED</t>
  </si>
  <si>
    <r>
      <rPr>
        <sz val="10"/>
        <rFont val="Arial"/>
        <family val="0"/>
        <charset val="1"/>
      </rPr>
      <t xml:space="preserve">HOSE HANDLING CRANE, PROVISION CRANE, CARGO COMPRESSOR ROOM AND ELEC. ROOM CRANE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</t>
    </r>
  </si>
  <si>
    <t xml:space="preserve">INITIALLY FILLED BY MAKER BUT SHULD BE REPLACED BEFORE SEA TRIAL</t>
  </si>
  <si>
    <t xml:space="preserve">HFO PURIFIER, ME LO PURIFIER</t>
  </si>
  <si>
    <t xml:space="preserve">NORTH MOON – LUB OIL REQUISITION</t>
  </si>
  <si>
    <r>
      <rPr>
        <i val="true"/>
        <sz val="9"/>
        <color rgb="FF595959"/>
        <rFont val="Arial"/>
        <family val="0"/>
        <charset val="1"/>
      </rPr>
      <t xml:space="preserve">Source: North MOON LUBE OIL.xlsx (Oil &amp; Grease) – </t>
    </r>
    <r>
      <rPr>
        <i val="true"/>
        <sz val="9"/>
        <color rgb="FF595959"/>
        <rFont val="WenQuanYi Zen Hei"/>
        <family val="2"/>
      </rPr>
      <t xml:space="preserve">원본 </t>
    </r>
    <r>
      <rPr>
        <i val="true"/>
        <sz val="9"/>
        <color rgb="FF595959"/>
        <rFont val="Arial"/>
        <family val="0"/>
        <charset val="1"/>
      </rPr>
      <t xml:space="preserve">'Quantity (Liters)'</t>
    </r>
    <r>
      <rPr>
        <i val="true"/>
        <sz val="9"/>
        <color rgb="FF595959"/>
        <rFont val="WenQuanYi Zen Hei"/>
        <family val="2"/>
      </rPr>
      <t xml:space="preserve">를 </t>
    </r>
    <r>
      <rPr>
        <i val="true"/>
        <sz val="9"/>
        <color rgb="FF595959"/>
        <rFont val="Arial"/>
        <family val="0"/>
        <charset val="1"/>
      </rPr>
      <t xml:space="preserve">REQ</t>
    </r>
    <r>
      <rPr>
        <i val="true"/>
        <sz val="9"/>
        <color rgb="FF595959"/>
        <rFont val="WenQuanYi Zen Hei"/>
        <family val="2"/>
      </rPr>
      <t xml:space="preserve">로 사용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</si>
  <si>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■ 청구 품목 </t>
    </r>
    <r>
      <rPr>
        <b val="true"/>
        <sz val="10"/>
        <rFont val="Arial"/>
        <family val="0"/>
        <charset val="1"/>
      </rPr>
      <t xml:space="preserve">(5)</t>
    </r>
  </si>
  <si>
    <t xml:space="preserve">200 Liters</t>
  </si>
  <si>
    <t xml:space="preserve">300 Liters</t>
  </si>
  <si>
    <t xml:space="preserve">20 Liters</t>
  </si>
  <si>
    <t xml:space="preserve">30000 Liters</t>
  </si>
  <si>
    <t xml:space="preserve">M/E CYLINDER OIL</t>
  </si>
  <si>
    <t xml:space="preserve">NITROGEN COMPRESSOR</t>
  </si>
  <si>
    <t xml:space="preserve">100 Liters</t>
  </si>
  <si>
    <r>
      <rPr>
        <sz val="10"/>
        <rFont val="WenQuanYi Zen Hei"/>
        <family val="2"/>
      </rPr>
      <t xml:space="preserve">※ 원본</t>
    </r>
    <r>
      <rPr>
        <sz val="10"/>
        <rFont val="Arial"/>
        <family val="0"/>
        <charset val="1"/>
      </rPr>
      <t xml:space="preserve">: Quantity 100 / ROB 130 (ROB</t>
    </r>
    <r>
      <rPr>
        <sz val="10"/>
        <rFont val="WenQuanYi Zen Hei"/>
        <family val="2"/>
      </rPr>
      <t xml:space="preserve">가 더 큼</t>
    </r>
    <r>
      <rPr>
        <sz val="10"/>
        <rFont val="Arial"/>
        <family val="0"/>
        <charset val="1"/>
      </rPr>
      <t xml:space="preserve">). Valley </t>
    </r>
    <r>
      <rPr>
        <sz val="10"/>
        <rFont val="WenQuanYi Zen Hei"/>
        <family val="2"/>
      </rPr>
      <t xml:space="preserve">파일 </t>
    </r>
    <r>
      <rPr>
        <sz val="10"/>
        <rFont val="Arial"/>
        <family val="0"/>
        <charset val="1"/>
      </rPr>
      <t xml:space="preserve">Sheet1 </t>
    </r>
    <r>
      <rPr>
        <sz val="10"/>
        <rFont val="WenQuanYi Zen Hei"/>
        <family val="2"/>
      </rPr>
      <t xml:space="preserve">에는 </t>
    </r>
    <r>
      <rPr>
        <sz val="10"/>
        <rFont val="Arial"/>
        <family val="0"/>
        <charset val="1"/>
      </rPr>
      <t xml:space="preserve">ROB 100 / REQ 130 </t>
    </r>
    <r>
      <rPr>
        <sz val="10"/>
        <rFont val="WenQuanYi Zen Hei"/>
        <family val="2"/>
      </rPr>
      <t xml:space="preserve">으로 기재 → 확인 필요</t>
    </r>
  </si>
  <si>
    <r>
      <rPr>
        <b val="true"/>
        <sz val="10"/>
        <rFont val="WenQuanYi Zen Hei"/>
        <family val="2"/>
      </rPr>
      <t xml:space="preserve">■ 청구 없음 – </t>
    </r>
    <r>
      <rPr>
        <b val="true"/>
        <sz val="10"/>
        <rFont val="Arial"/>
        <family val="0"/>
        <charset val="1"/>
      </rPr>
      <t xml:space="preserve">CHART/</t>
    </r>
    <r>
      <rPr>
        <b val="true"/>
        <sz val="10"/>
        <rFont val="WenQuanYi Zen Hei"/>
        <family val="2"/>
      </rPr>
      <t xml:space="preserve">재고에만 있는 품목 </t>
    </r>
    <r>
      <rPr>
        <b val="true"/>
        <sz val="10"/>
        <rFont val="Arial"/>
        <family val="0"/>
        <charset val="1"/>
      </rPr>
      <t xml:space="preserve">(0)</t>
    </r>
  </si>
  <si>
    <r>
      <rPr>
        <i val="true"/>
        <sz val="10"/>
        <color rgb="FF7F7F7F"/>
        <rFont val="Arial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해당 없음 – 원본에 청구 없는 품목 없음</t>
    </r>
    <r>
      <rPr>
        <i val="true"/>
        <sz val="10"/>
        <color rgb="FF7F7F7F"/>
        <rFont val="Arial"/>
        <family val="0"/>
        <charset val="1"/>
      </rPr>
      <t xml:space="preserve">)</t>
    </r>
  </si>
  <si>
    <t xml:space="preserve">NORTH OCEAN – LUB OIL REQUISITION</t>
  </si>
  <si>
    <r>
      <rPr>
        <i val="true"/>
        <sz val="9"/>
        <color rgb="FF595959"/>
        <rFont val="Arial"/>
        <family val="0"/>
        <charset val="1"/>
      </rPr>
      <t xml:space="preserve">Source: NORTH OCEAN ER Lub Oil.xlsx – TOTAL Q'TY NEEDED</t>
    </r>
    <r>
      <rPr>
        <i val="true"/>
        <sz val="9"/>
        <color rgb="FF595959"/>
        <rFont val="WenQuanYi Zen Hei"/>
        <family val="2"/>
      </rPr>
      <t xml:space="preserve">를 </t>
    </r>
    <r>
      <rPr>
        <i val="true"/>
        <sz val="9"/>
        <color rgb="FF595959"/>
        <rFont val="Arial"/>
        <family val="0"/>
        <charset val="1"/>
      </rPr>
      <t xml:space="preserve">REQ</t>
    </r>
    <r>
      <rPr>
        <i val="true"/>
        <sz val="9"/>
        <color rgb="FF595959"/>
        <rFont val="WenQuanYi Zen Hei"/>
        <family val="2"/>
      </rPr>
      <t xml:space="preserve">로</t>
    </r>
    <r>
      <rPr>
        <i val="true"/>
        <sz val="9"/>
        <color rgb="FF595959"/>
        <rFont val="Arial"/>
        <family val="0"/>
        <charset val="1"/>
      </rPr>
      <t xml:space="preserve">, ROB</t>
    </r>
    <r>
      <rPr>
        <i val="true"/>
        <sz val="9"/>
        <color rgb="FF595959"/>
        <rFont val="WenQuanYi Zen Hei"/>
        <family val="2"/>
      </rPr>
      <t xml:space="preserve">는 비고란에서 추출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</si>
  <si>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■ 청구 품목 </t>
    </r>
    <r>
      <rPr>
        <b val="true"/>
        <sz val="10"/>
        <rFont val="Arial"/>
        <family val="0"/>
        <charset val="1"/>
      </rPr>
      <t xml:space="preserve">(9)</t>
    </r>
  </si>
  <si>
    <t xml:space="preserve">GS AND CONTROL AIR COMPRESSOR</t>
  </si>
  <si>
    <t xml:space="preserve">120 L</t>
  </si>
  <si>
    <t xml:space="preserve">DECK MACHINERY</t>
  </si>
  <si>
    <t xml:space="preserve">40 L</t>
  </si>
  <si>
    <t xml:space="preserve">ROB: 27 Lit.</t>
  </si>
  <si>
    <t xml:space="preserve">72 KG</t>
  </si>
  <si>
    <t xml:space="preserve">ROB: 27 kg</t>
  </si>
  <si>
    <t xml:space="preserve">90 KG</t>
  </si>
  <si>
    <t xml:space="preserve">ROB: 52 kg.</t>
  </si>
  <si>
    <t xml:space="preserve">20 L</t>
  </si>
  <si>
    <t xml:space="preserve">ROB: 48 ltrs.  Multipurpose oil for purifiers and deck equipment.</t>
  </si>
  <si>
    <t xml:space="preserve">OWS DIESEL GENERATOR TURNING GEAR</t>
  </si>
  <si>
    <t xml:space="preserve">BOG BOOST COMPRESSOR (CRANK CASE)</t>
  </si>
  <si>
    <t xml:space="preserve">400 L</t>
  </si>
  <si>
    <t xml:space="preserve">Initial Sump Charge 1500 Lit present ROB 1400 Lit</t>
  </si>
  <si>
    <t xml:space="preserve">15000 L</t>
  </si>
  <si>
    <t xml:space="preserve">ROB 70 Lit. Required for scheduled maintenenace</t>
  </si>
  <si>
    <t xml:space="preserve">NORTH VALLEY – LUB OIL REQUISITION</t>
  </si>
  <si>
    <t xml:space="preserve">Source: North Valley Lub. oil requisition.xlsx – Vessel Northvalley | IMO 9958327 | Req. date 2026-09-20 | Port/ETA Yeosu / 2026-09-25 | Requested by Jeonghun Lim (Chief Engineer)</t>
  </si>
  <si>
    <r>
      <rPr>
        <b val="true"/>
        <sz val="10"/>
        <rFont val="WenQuanYi Zen Hei"/>
        <family val="2"/>
      </rPr>
      <t xml:space="preserve">■ 청구 품목 </t>
    </r>
    <r>
      <rPr>
        <b val="true"/>
        <sz val="10"/>
        <rFont val="Arial"/>
        <family val="0"/>
        <charset val="1"/>
      </rPr>
      <t xml:space="preserve">(14)</t>
    </r>
  </si>
  <si>
    <t xml:space="preserve">3 X 18KG</t>
  </si>
  <si>
    <t xml:space="preserve">Brand: TOTAL</t>
  </si>
  <si>
    <t xml:space="preserve">2 X 18KG</t>
  </si>
  <si>
    <t xml:space="preserve">10 X 10L</t>
  </si>
  <si>
    <t xml:space="preserve">Brand: Bitzer</t>
  </si>
  <si>
    <t xml:space="preserve">10 X 18KG</t>
  </si>
  <si>
    <t xml:space="preserve">8 X 20L</t>
  </si>
  <si>
    <t xml:space="preserve">5 X 20L</t>
  </si>
  <si>
    <t xml:space="preserve">3 X 20L</t>
  </si>
  <si>
    <t xml:space="preserve">1 X 20L</t>
  </si>
  <si>
    <t xml:space="preserve">1 X 18KG</t>
  </si>
  <si>
    <t xml:space="preserve">5 X 18KG</t>
  </si>
  <si>
    <t xml:space="preserve">5 X 380g TUBE</t>
  </si>
  <si>
    <t xml:space="preserve">Brand: Shell</t>
  </si>
  <si>
    <t xml:space="preserve">BULK 45,000L</t>
  </si>
  <si>
    <t xml:space="preserve">4 X 18.9L</t>
  </si>
  <si>
    <r>
      <rPr>
        <sz val="10"/>
        <rFont val="Arial"/>
        <family val="0"/>
        <charset val="1"/>
      </rPr>
      <t xml:space="preserve">Brand: Gardner Denver / TMC AEON TH9000 (</t>
    </r>
    <r>
      <rPr>
        <sz val="10"/>
        <rFont val="WenQuanYi Zen Hei"/>
        <family val="2"/>
      </rPr>
      <t xml:space="preserve">단종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</si>
</sst>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=0]\-;[&gt;=1000]#,##0;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WenQuanYi Zen Hei"/>
      <family val="2"/>
    </font>
    <font>
      <i val="true"/>
      <sz val="10"/>
      <color rgb="FF7F7F7F"/>
      <name val="Arial"/>
      <family val="0"/>
      <charset val="1"/>
    </font>
    <font>
      <i val="true"/>
      <sz val="10"/>
      <color rgb="FF7F7F7F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11" min="4" style="0" width="9"/>
    <col collapsed="false" customWidth="true" hidden="false" outlineLevel="0" max="12" min="12" style="0" width="12"/>
    <col collapsed="false" customWidth="true" hidden="false" outlineLevel="0" max="13" min="13" style="0" width="55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4" t="n">
        <v>20</v>
      </c>
      <c r="D3" s="2" t="s">
        <v>3</v>
      </c>
    </row>
    <row r="4" customFormat="false" ht="15" hidden="false" customHeight="false" outlineLevel="0" collapsed="false">
      <c r="B4" s="3" t="s">
        <v>4</v>
      </c>
      <c r="C4" s="4" t="n">
        <v>18</v>
      </c>
      <c r="D4" s="2" t="s">
        <v>5</v>
      </c>
    </row>
    <row r="6" customFormat="false" ht="15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/>
      <c r="F6" s="5" t="s">
        <v>10</v>
      </c>
      <c r="G6" s="5"/>
      <c r="H6" s="5" t="s">
        <v>11</v>
      </c>
      <c r="I6" s="5"/>
      <c r="J6" s="5" t="s">
        <v>12</v>
      </c>
      <c r="K6" s="5"/>
      <c r="L6" s="5" t="s">
        <v>13</v>
      </c>
      <c r="M6" s="5" t="s">
        <v>14</v>
      </c>
    </row>
    <row r="7" customFormat="false" ht="15" hidden="false" customHeight="false" outlineLevel="0" collapsed="false">
      <c r="A7" s="5"/>
      <c r="B7" s="5"/>
      <c r="C7" s="5"/>
      <c r="D7" s="5" t="s">
        <v>15</v>
      </c>
      <c r="E7" s="5" t="s">
        <v>16</v>
      </c>
      <c r="F7" s="5" t="s">
        <v>15</v>
      </c>
      <c r="G7" s="5" t="s">
        <v>16</v>
      </c>
      <c r="H7" s="5" t="s">
        <v>15</v>
      </c>
      <c r="I7" s="5" t="s">
        <v>16</v>
      </c>
      <c r="J7" s="5" t="s">
        <v>15</v>
      </c>
      <c r="K7" s="5" t="s">
        <v>16</v>
      </c>
      <c r="L7" s="5"/>
      <c r="M7" s="5"/>
    </row>
    <row r="8" customFormat="false" ht="14.15" hidden="false" customHeight="false" outlineLevel="0" collapsed="false">
      <c r="A8" s="6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15" hidden="false" customHeight="false" outlineLevel="0" collapsed="false">
      <c r="A9" s="7" t="n">
        <v>1</v>
      </c>
      <c r="B9" s="8" t="s">
        <v>18</v>
      </c>
      <c r="C9" s="7" t="s">
        <v>19</v>
      </c>
      <c r="D9" s="9" t="str">
        <f aca="false">IF(COUNTIFS('North Light'!$B$6:$B$38,$B9,'North Light'!$E$6:$E$38,"&lt;&gt;")=0,"",SUMIFS('North Light'!$E$6:$E$38,'North Light'!$B$6:$B$38,$B9))</f>
        <v/>
      </c>
      <c r="E9" s="9" t="n">
        <f aca="false">IF(COUNTIFS('North Light'!$B$6:$B$38,$B9,'North Light'!$F$6:$F$38,"&lt;&gt;")=0,"",SUMIFS('North Light'!$F$6:$F$38,'North Light'!$B$6:$B$38,$B9))</f>
        <v>160</v>
      </c>
      <c r="F9" s="9" t="n">
        <f aca="false">IF(COUNTIFS('North Moon'!$B$6:$B$13,$B9,'North Moon'!$E$6:$E$13,"&lt;&gt;")=0,"",SUMIFS('North Moon'!$E$6:$E$13,'North Moon'!$B$6:$B$13,$B9))</f>
        <v>106</v>
      </c>
      <c r="G9" s="9" t="n">
        <f aca="false">IF(COUNTIFS('North Moon'!$B$6:$B$13,$B9,'North Moon'!$F$6:$F$13,"&lt;&gt;")=0,"",SUMIFS('North Moon'!$F$6:$F$13,'North Moon'!$B$6:$B$13,$B9))</f>
        <v>200</v>
      </c>
      <c r="H9" s="9" t="str">
        <f aca="false">IF(COUNTIFS('North Ocean'!$B$6:$B$17,$B9,'North Ocean'!$E$6:$E$17,"&lt;&gt;")=0,"",SUMIFS('North Ocean'!$E$6:$E$17,'North Ocean'!$B$6:$B$17,$B9))</f>
        <v/>
      </c>
      <c r="I9" s="9" t="str">
        <f aca="false">IF(COUNTIFS('North Ocean'!$B$6:$B$17,$B9,'North Ocean'!$F$6:$F$17,"&lt;&gt;")=0,"",SUMIFS('North Ocean'!$F$6:$F$17,'North Ocean'!$B$6:$B$17,$B9))</f>
        <v/>
      </c>
      <c r="J9" s="9" t="str">
        <f aca="false">IF(COUNTIFS('North Valley'!$B$6:$B$22,$B9,'North Valley'!$E$6:$E$22,"&lt;&gt;")=0,"",SUMIFS('North Valley'!$E$6:$E$22,'North Valley'!$B$6:$B$22,$B9))</f>
        <v/>
      </c>
      <c r="K9" s="9" t="str">
        <f aca="false">IF(COUNTIFS('North Valley'!$B$6:$B$22,$B9,'North Valley'!$F$6:$F$22,"&lt;&gt;")=0,"",SUMIFS('North Valley'!$F$6:$F$22,'North Valley'!$B$6:$B$22,$B9))</f>
        <v/>
      </c>
      <c r="L9" s="10" t="n">
        <f aca="false">SUM(E9,G9,I9,K9)</f>
        <v>360</v>
      </c>
      <c r="M9" s="8"/>
    </row>
    <row r="10" customFormat="false" ht="15" hidden="false" customHeight="false" outlineLevel="0" collapsed="false">
      <c r="A10" s="7" t="n">
        <v>2</v>
      </c>
      <c r="B10" s="8" t="s">
        <v>20</v>
      </c>
      <c r="C10" s="7" t="s">
        <v>19</v>
      </c>
      <c r="D10" s="9" t="str">
        <f aca="false">IF(COUNTIFS('North Light'!$B$6:$B$38,$B10,'North Light'!$E$6:$E$38,"&lt;&gt;")=0,"",SUMIFS('North Light'!$E$6:$E$38,'North Light'!$B$6:$B$38,$B10))</f>
        <v/>
      </c>
      <c r="E10" s="9" t="n">
        <f aca="false">IF(COUNTIFS('North Light'!$B$6:$B$38,$B10,'North Light'!$F$6:$F$38,"&lt;&gt;")=0,"",SUMIFS('North Light'!$F$6:$F$38,'North Light'!$B$6:$B$38,$B10))</f>
        <v>120</v>
      </c>
      <c r="F10" s="9" t="n">
        <f aca="false">IF(COUNTIFS('North Moon'!$B$6:$B$13,$B10,'North Moon'!$E$6:$E$13,"&lt;&gt;")=0,"",SUMIFS('North Moon'!$E$6:$E$13,'North Moon'!$B$6:$B$13,$B10))</f>
        <v>120</v>
      </c>
      <c r="G10" s="9" t="n">
        <f aca="false">IF(COUNTIFS('North Moon'!$B$6:$B$13,$B10,'North Moon'!$F$6:$F$13,"&lt;&gt;")=0,"",SUMIFS('North Moon'!$F$6:$F$13,'North Moon'!$B$6:$B$13,$B10))</f>
        <v>300</v>
      </c>
      <c r="H10" s="9" t="str">
        <f aca="false">IF(COUNTIFS('North Ocean'!$B$6:$B$17,$B10,'North Ocean'!$E$6:$E$17,"&lt;&gt;")=0,"",SUMIFS('North Ocean'!$E$6:$E$17,'North Ocean'!$B$6:$B$17,$B10))</f>
        <v/>
      </c>
      <c r="I10" s="9" t="n">
        <f aca="false">IF(COUNTIFS('North Ocean'!$B$6:$B$17,$B10,'North Ocean'!$F$6:$F$17,"&lt;&gt;")=0,"",SUMIFS('North Ocean'!$F$6:$F$17,'North Ocean'!$B$6:$B$17,$B10))</f>
        <v>120</v>
      </c>
      <c r="J10" s="9" t="str">
        <f aca="false">IF(COUNTIFS('North Valley'!$B$6:$B$22,$B10,'North Valley'!$E$6:$E$22,"&lt;&gt;")=0,"",SUMIFS('North Valley'!$E$6:$E$22,'North Valley'!$B$6:$B$22,$B10))</f>
        <v/>
      </c>
      <c r="K10" s="9" t="str">
        <f aca="false">IF(COUNTIFS('North Valley'!$B$6:$B$22,$B10,'North Valley'!$F$6:$F$22,"&lt;&gt;")=0,"",SUMIFS('North Valley'!$F$6:$F$22,'North Valley'!$B$6:$B$22,$B10))</f>
        <v/>
      </c>
      <c r="L10" s="10" t="n">
        <f aca="false">SUM(E10,G10,I10,K10)</f>
        <v>540</v>
      </c>
      <c r="M10" s="8"/>
    </row>
    <row r="11" customFormat="false" ht="15" hidden="false" customHeight="false" outlineLevel="0" collapsed="false">
      <c r="A11" s="7" t="n">
        <v>3</v>
      </c>
      <c r="B11" s="8" t="s">
        <v>21</v>
      </c>
      <c r="C11" s="7" t="s">
        <v>22</v>
      </c>
      <c r="D11" s="9" t="str">
        <f aca="false">IF(COUNTIFS('North Light'!$B$6:$B$38,$B11,'North Light'!$E$6:$E$38,"&lt;&gt;")=0,"",SUMIFS('North Light'!$E$6:$E$38,'North Light'!$B$6:$B$38,$B11))</f>
        <v/>
      </c>
      <c r="E11" s="9" t="n">
        <f aca="false">IF(COUNTIFS('North Light'!$B$6:$B$38,$B11,'North Light'!$F$6:$F$38,"&lt;&gt;")=0,"",SUMIFS('North Light'!$F$6:$F$38,'North Light'!$B$6:$B$38,$B11))</f>
        <v>108</v>
      </c>
      <c r="F11" s="9" t="str">
        <f aca="false">IF(COUNTIFS('North Moon'!$B$6:$B$13,$B11,'North Moon'!$E$6:$E$13,"&lt;&gt;")=0,"",SUMIFS('North Moon'!$E$6:$E$13,'North Moon'!$B$6:$B$13,$B11))</f>
        <v/>
      </c>
      <c r="G11" s="9" t="str">
        <f aca="false">IF(COUNTIFS('North Moon'!$B$6:$B$13,$B11,'North Moon'!$F$6:$F$13,"&lt;&gt;")=0,"",SUMIFS('North Moon'!$F$6:$F$13,'North Moon'!$B$6:$B$13,$B11))</f>
        <v/>
      </c>
      <c r="H11" s="9" t="str">
        <f aca="false">IF(COUNTIFS('North Ocean'!$B$6:$B$17,$B11,'North Ocean'!$E$6:$E$17,"&lt;&gt;")=0,"",SUMIFS('North Ocean'!$E$6:$E$17,'North Ocean'!$B$6:$B$17,$B11))</f>
        <v/>
      </c>
      <c r="I11" s="9" t="str">
        <f aca="false">IF(COUNTIFS('North Ocean'!$B$6:$B$17,$B11,'North Ocean'!$F$6:$F$17,"&lt;&gt;")=0,"",SUMIFS('North Ocean'!$F$6:$F$17,'North Ocean'!$B$6:$B$17,$B11))</f>
        <v/>
      </c>
      <c r="J11" s="9" t="n">
        <f aca="false">IF(COUNTIFS('North Valley'!$B$6:$B$22,$B11,'North Valley'!$E$6:$E$22,"&lt;&gt;")=0,"",SUMIFS('North Valley'!$E$6:$E$22,'North Valley'!$B$6:$B$22,$B11))</f>
        <v>140</v>
      </c>
      <c r="K11" s="9" t="n">
        <f aca="false">IF(COUNTIFS('North Valley'!$B$6:$B$22,$B11,'North Valley'!$F$6:$F$22,"&lt;&gt;")=0,"",SUMIFS('North Valley'!$F$6:$F$22,'North Valley'!$B$6:$B$22,$B11))</f>
        <v>54</v>
      </c>
      <c r="L11" s="10" t="n">
        <f aca="false">SUM(E11,G11,I11,K11)</f>
        <v>162</v>
      </c>
      <c r="M11" s="8"/>
    </row>
    <row r="12" customFormat="false" ht="15" hidden="false" customHeight="false" outlineLevel="0" collapsed="false">
      <c r="A12" s="7" t="n">
        <v>4</v>
      </c>
      <c r="B12" s="8" t="s">
        <v>23</v>
      </c>
      <c r="C12" s="7" t="s">
        <v>22</v>
      </c>
      <c r="D12" s="9" t="str">
        <f aca="false">IF(COUNTIFS('North Light'!$B$6:$B$38,$B12,'North Light'!$E$6:$E$38,"&lt;&gt;")=0,"",SUMIFS('North Light'!$E$6:$E$38,'North Light'!$B$6:$B$38,$B12))</f>
        <v/>
      </c>
      <c r="E12" s="9" t="str">
        <f aca="false">IF(COUNTIFS('North Light'!$B$6:$B$38,$B12,'North Light'!$F$6:$F$38,"&lt;&gt;")=0,"",SUMIFS('North Light'!$F$6:$F$38,'North Light'!$B$6:$B$38,$B12))</f>
        <v/>
      </c>
      <c r="F12" s="9" t="str">
        <f aca="false">IF(COUNTIFS('North Moon'!$B$6:$B$13,$B12,'North Moon'!$E$6:$E$13,"&lt;&gt;")=0,"",SUMIFS('North Moon'!$E$6:$E$13,'North Moon'!$B$6:$B$13,$B12))</f>
        <v/>
      </c>
      <c r="G12" s="9" t="str">
        <f aca="false">IF(COUNTIFS('North Moon'!$B$6:$B$13,$B12,'North Moon'!$F$6:$F$13,"&lt;&gt;")=0,"",SUMIFS('North Moon'!$F$6:$F$13,'North Moon'!$B$6:$B$13,$B12))</f>
        <v/>
      </c>
      <c r="H12" s="9" t="str">
        <f aca="false">IF(COUNTIFS('North Ocean'!$B$6:$B$17,$B12,'North Ocean'!$E$6:$E$17,"&lt;&gt;")=0,"",SUMIFS('North Ocean'!$E$6:$E$17,'North Ocean'!$B$6:$B$17,$B12))</f>
        <v/>
      </c>
      <c r="I12" s="9" t="str">
        <f aca="false">IF(COUNTIFS('North Ocean'!$B$6:$B$17,$B12,'North Ocean'!$F$6:$F$17,"&lt;&gt;")=0,"",SUMIFS('North Ocean'!$F$6:$F$17,'North Ocean'!$B$6:$B$17,$B12))</f>
        <v/>
      </c>
      <c r="J12" s="9" t="n">
        <f aca="false">IF(COUNTIFS('North Valley'!$B$6:$B$22,$B12,'North Valley'!$E$6:$E$22,"&lt;&gt;")=0,"",SUMIFS('North Valley'!$E$6:$E$22,'North Valley'!$B$6:$B$22,$B12))</f>
        <v>36</v>
      </c>
      <c r="K12" s="9" t="n">
        <f aca="false">IF(COUNTIFS('North Valley'!$B$6:$B$22,$B12,'North Valley'!$F$6:$F$22,"&lt;&gt;")=0,"",SUMIFS('North Valley'!$F$6:$F$22,'North Valley'!$B$6:$B$22,$B12))</f>
        <v>36</v>
      </c>
      <c r="L12" s="10" t="n">
        <f aca="false">SUM(E12,G12,I12,K12)</f>
        <v>36</v>
      </c>
      <c r="M12" s="8"/>
    </row>
    <row r="13" customFormat="false" ht="15" hidden="false" customHeight="false" outlineLevel="0" collapsed="false">
      <c r="A13" s="7" t="n">
        <v>5</v>
      </c>
      <c r="B13" s="8" t="s">
        <v>24</v>
      </c>
      <c r="C13" s="7" t="s">
        <v>19</v>
      </c>
      <c r="D13" s="9" t="str">
        <f aca="false">IF(COUNTIFS('North Light'!$B$6:$B$38,$B13,'North Light'!$E$6:$E$38,"&lt;&gt;")=0,"",SUMIFS('North Light'!$E$6:$E$38,'North Light'!$B$6:$B$38,$B13))</f>
        <v/>
      </c>
      <c r="E13" s="9" t="str">
        <f aca="false">IF(COUNTIFS('North Light'!$B$6:$B$38,$B13,'North Light'!$F$6:$F$38,"&lt;&gt;")=0,"",SUMIFS('North Light'!$F$6:$F$38,'North Light'!$B$6:$B$38,$B13))</f>
        <v/>
      </c>
      <c r="F13" s="9" t="str">
        <f aca="false">IF(COUNTIFS('North Moon'!$B$6:$B$13,$B13,'North Moon'!$E$6:$E$13,"&lt;&gt;")=0,"",SUMIFS('North Moon'!$E$6:$E$13,'North Moon'!$B$6:$B$13,$B13))</f>
        <v/>
      </c>
      <c r="G13" s="9" t="str">
        <f aca="false">IF(COUNTIFS('North Moon'!$B$6:$B$13,$B13,'North Moon'!$F$6:$F$13,"&lt;&gt;")=0,"",SUMIFS('North Moon'!$F$6:$F$13,'North Moon'!$B$6:$B$13,$B13))</f>
        <v/>
      </c>
      <c r="H13" s="9" t="str">
        <f aca="false">IF(COUNTIFS('North Ocean'!$B$6:$B$17,$B13,'North Ocean'!$E$6:$E$17,"&lt;&gt;")=0,"",SUMIFS('North Ocean'!$E$6:$E$17,'North Ocean'!$B$6:$B$17,$B13))</f>
        <v/>
      </c>
      <c r="I13" s="9" t="str">
        <f aca="false">IF(COUNTIFS('North Ocean'!$B$6:$B$17,$B13,'North Ocean'!$F$6:$F$17,"&lt;&gt;")=0,"",SUMIFS('North Ocean'!$F$6:$F$17,'North Ocean'!$B$6:$B$17,$B13))</f>
        <v/>
      </c>
      <c r="J13" s="9" t="n">
        <f aca="false">IF(COUNTIFS('North Valley'!$B$6:$B$22,$B13,'North Valley'!$E$6:$E$22,"&lt;&gt;")=0,"",SUMIFS('North Valley'!$E$6:$E$22,'North Valley'!$B$6:$B$22,$B13))</f>
        <v>130</v>
      </c>
      <c r="K13" s="9" t="n">
        <f aca="false">IF(COUNTIFS('North Valley'!$B$6:$B$22,$B13,'North Valley'!$F$6:$F$22,"&lt;&gt;")=0,"",SUMIFS('North Valley'!$F$6:$F$22,'North Valley'!$B$6:$B$22,$B13))</f>
        <v>100</v>
      </c>
      <c r="L13" s="10" t="n">
        <f aca="false">SUM(E13,G13,I13,K13)</f>
        <v>100</v>
      </c>
      <c r="M13" s="8" t="s">
        <v>25</v>
      </c>
    </row>
    <row r="14" customFormat="false" ht="15" hidden="false" customHeight="false" outlineLevel="0" collapsed="false">
      <c r="A14" s="7" t="n">
        <v>6</v>
      </c>
      <c r="B14" s="8" t="s">
        <v>26</v>
      </c>
      <c r="C14" s="7" t="s">
        <v>19</v>
      </c>
      <c r="D14" s="9" t="str">
        <f aca="false">IF(COUNTIFS('North Light'!$B$6:$B$38,$B14,'North Light'!$E$6:$E$38,"&lt;&gt;")=0,"",SUMIFS('North Light'!$E$6:$E$38,'North Light'!$B$6:$B$38,$B14))</f>
        <v/>
      </c>
      <c r="E14" s="9" t="n">
        <f aca="false">IF(COUNTIFS('North Light'!$B$6:$B$38,$B14,'North Light'!$F$6:$F$38,"&lt;&gt;")=0,"",SUMIFS('North Light'!$F$6:$F$38,'North Light'!$B$6:$B$38,$B14))</f>
        <v>180</v>
      </c>
      <c r="F14" s="9" t="str">
        <f aca="false">IF(COUNTIFS('North Moon'!$B$6:$B$13,$B14,'North Moon'!$E$6:$E$13,"&lt;&gt;")=0,"",SUMIFS('North Moon'!$E$6:$E$13,'North Moon'!$B$6:$B$13,$B14))</f>
        <v/>
      </c>
      <c r="G14" s="9" t="str">
        <f aca="false">IF(COUNTIFS('North Moon'!$B$6:$B$13,$B14,'North Moon'!$F$6:$F$13,"&lt;&gt;")=0,"",SUMIFS('North Moon'!$F$6:$F$13,'North Moon'!$B$6:$B$13,$B14))</f>
        <v/>
      </c>
      <c r="H14" s="9" t="n">
        <f aca="false">IF(COUNTIFS('North Ocean'!$B$6:$B$17,$B14,'North Ocean'!$E$6:$E$17,"&lt;&gt;")=0,"",SUMIFS('North Ocean'!$E$6:$E$17,'North Ocean'!$B$6:$B$17,$B14))</f>
        <v>27</v>
      </c>
      <c r="I14" s="9" t="n">
        <f aca="false">IF(COUNTIFS('North Ocean'!$B$6:$B$17,$B14,'North Ocean'!$F$6:$F$17,"&lt;&gt;")=0,"",SUMIFS('North Ocean'!$F$6:$F$17,'North Ocean'!$B$6:$B$17,$B14))</f>
        <v>40</v>
      </c>
      <c r="J14" s="9" t="str">
        <f aca="false">IF(COUNTIFS('North Valley'!$B$6:$B$22,$B14,'North Valley'!$E$6:$E$22,"&lt;&gt;")=0,"",SUMIFS('North Valley'!$E$6:$E$22,'North Valley'!$B$6:$B$22,$B14))</f>
        <v/>
      </c>
      <c r="K14" s="9" t="str">
        <f aca="false">IF(COUNTIFS('North Valley'!$B$6:$B$22,$B14,'North Valley'!$F$6:$F$22,"&lt;&gt;")=0,"",SUMIFS('North Valley'!$F$6:$F$22,'North Valley'!$B$6:$B$22,$B14))</f>
        <v/>
      </c>
      <c r="L14" s="10" t="n">
        <f aca="false">SUM(E14,G14,I14,K14)</f>
        <v>220</v>
      </c>
      <c r="M14" s="8"/>
    </row>
    <row r="15" customFormat="false" ht="15" hidden="false" customHeight="false" outlineLevel="0" collapsed="false">
      <c r="A15" s="7" t="n">
        <v>7</v>
      </c>
      <c r="B15" s="8" t="s">
        <v>27</v>
      </c>
      <c r="C15" s="7" t="s">
        <v>22</v>
      </c>
      <c r="D15" s="9" t="str">
        <f aca="false">IF(COUNTIFS('North Light'!$B$6:$B$38,$B15,'North Light'!$E$6:$E$38,"&lt;&gt;")=0,"",SUMIFS('North Light'!$E$6:$E$38,'North Light'!$B$6:$B$38,$B15))</f>
        <v/>
      </c>
      <c r="E15" s="9" t="str">
        <f aca="false">IF(COUNTIFS('North Light'!$B$6:$B$38,$B15,'North Light'!$F$6:$F$38,"&lt;&gt;")=0,"",SUMIFS('North Light'!$F$6:$F$38,'North Light'!$B$6:$B$38,$B15))</f>
        <v/>
      </c>
      <c r="F15" s="9" t="str">
        <f aca="false">IF(COUNTIFS('North Moon'!$B$6:$B$13,$B15,'North Moon'!$E$6:$E$13,"&lt;&gt;")=0,"",SUMIFS('North Moon'!$E$6:$E$13,'North Moon'!$B$6:$B$13,$B15))</f>
        <v/>
      </c>
      <c r="G15" s="9" t="str">
        <f aca="false">IF(COUNTIFS('North Moon'!$B$6:$B$13,$B15,'North Moon'!$F$6:$F$13,"&lt;&gt;")=0,"",SUMIFS('North Moon'!$F$6:$F$13,'North Moon'!$B$6:$B$13,$B15))</f>
        <v/>
      </c>
      <c r="H15" s="9" t="n">
        <f aca="false">IF(COUNTIFS('North Ocean'!$B$6:$B$17,$B15,'North Ocean'!$E$6:$E$17,"&lt;&gt;")=0,"",SUMIFS('North Ocean'!$E$6:$E$17,'North Ocean'!$B$6:$B$17,$B15))</f>
        <v>27</v>
      </c>
      <c r="I15" s="9" t="n">
        <f aca="false">IF(COUNTIFS('North Ocean'!$B$6:$B$17,$B15,'North Ocean'!$F$6:$F$17,"&lt;&gt;")=0,"",SUMIFS('North Ocean'!$F$6:$F$17,'North Ocean'!$B$6:$B$17,$B15))</f>
        <v>72</v>
      </c>
      <c r="J15" s="9" t="str">
        <f aca="false">IF(COUNTIFS('North Valley'!$B$6:$B$22,$B15,'North Valley'!$E$6:$E$22,"&lt;&gt;")=0,"",SUMIFS('North Valley'!$E$6:$E$22,'North Valley'!$B$6:$B$22,$B15))</f>
        <v/>
      </c>
      <c r="K15" s="9" t="str">
        <f aca="false">IF(COUNTIFS('North Valley'!$B$6:$B$22,$B15,'North Valley'!$F$6:$F$22,"&lt;&gt;")=0,"",SUMIFS('North Valley'!$F$6:$F$22,'North Valley'!$B$6:$B$22,$B15))</f>
        <v/>
      </c>
      <c r="L15" s="10" t="n">
        <f aca="false">SUM(E15,G15,I15,K15)</f>
        <v>72</v>
      </c>
      <c r="M15" s="8"/>
    </row>
    <row r="16" customFormat="false" ht="15" hidden="false" customHeight="false" outlineLevel="0" collapsed="false">
      <c r="A16" s="7" t="n">
        <v>8</v>
      </c>
      <c r="B16" s="8" t="s">
        <v>28</v>
      </c>
      <c r="C16" s="7" t="s">
        <v>22</v>
      </c>
      <c r="D16" s="9" t="str">
        <f aca="false">IF(COUNTIFS('North Light'!$B$6:$B$38,$B16,'North Light'!$E$6:$E$38,"&lt;&gt;")=0,"",SUMIFS('North Light'!$E$6:$E$38,'North Light'!$B$6:$B$38,$B16))</f>
        <v/>
      </c>
      <c r="E16" s="9" t="n">
        <f aca="false">IF(COUNTIFS('North Light'!$B$6:$B$38,$B16,'North Light'!$F$6:$F$38,"&lt;&gt;")=0,"",SUMIFS('North Light'!$F$6:$F$38,'North Light'!$B$6:$B$38,$B16))</f>
        <v>108</v>
      </c>
      <c r="F16" s="9" t="str">
        <f aca="false">IF(COUNTIFS('North Moon'!$B$6:$B$13,$B16,'North Moon'!$E$6:$E$13,"&lt;&gt;")=0,"",SUMIFS('North Moon'!$E$6:$E$13,'North Moon'!$B$6:$B$13,$B16))</f>
        <v/>
      </c>
      <c r="G16" s="9" t="str">
        <f aca="false">IF(COUNTIFS('North Moon'!$B$6:$B$13,$B16,'North Moon'!$F$6:$F$13,"&lt;&gt;")=0,"",SUMIFS('North Moon'!$F$6:$F$13,'North Moon'!$B$6:$B$13,$B16))</f>
        <v/>
      </c>
      <c r="H16" s="9" t="n">
        <f aca="false">IF(COUNTIFS('North Ocean'!$B$6:$B$17,$B16,'North Ocean'!$E$6:$E$17,"&lt;&gt;")=0,"",SUMIFS('North Ocean'!$E$6:$E$17,'North Ocean'!$B$6:$B$17,$B16))</f>
        <v>52</v>
      </c>
      <c r="I16" s="9" t="n">
        <f aca="false">IF(COUNTIFS('North Ocean'!$B$6:$B$17,$B16,'North Ocean'!$F$6:$F$17,"&lt;&gt;")=0,"",SUMIFS('North Ocean'!$F$6:$F$17,'North Ocean'!$B$6:$B$17,$B16))</f>
        <v>90</v>
      </c>
      <c r="J16" s="9" t="n">
        <f aca="false">IF(COUNTIFS('North Valley'!$B$6:$B$22,$B16,'North Valley'!$E$6:$E$22,"&lt;&gt;")=0,"",SUMIFS('North Valley'!$E$6:$E$22,'North Valley'!$B$6:$B$22,$B16))</f>
        <v>70</v>
      </c>
      <c r="K16" s="9" t="n">
        <f aca="false">IF(COUNTIFS('North Valley'!$B$6:$B$22,$B16,'North Valley'!$F$6:$F$22,"&lt;&gt;")=0,"",SUMIFS('North Valley'!$F$6:$F$22,'North Valley'!$B$6:$B$22,$B16))</f>
        <v>180</v>
      </c>
      <c r="L16" s="10" t="n">
        <f aca="false">SUM(E16,G16,I16,K16)</f>
        <v>378</v>
      </c>
      <c r="M16" s="8"/>
    </row>
    <row r="17" customFormat="false" ht="15" hidden="false" customHeight="false" outlineLevel="0" collapsed="false">
      <c r="A17" s="7" t="n">
        <v>9</v>
      </c>
      <c r="B17" s="8" t="s">
        <v>29</v>
      </c>
      <c r="C17" s="7" t="s">
        <v>19</v>
      </c>
      <c r="D17" s="9" t="str">
        <f aca="false">IF(COUNTIFS('North Light'!$B$6:$B$38,$B17,'North Light'!$E$6:$E$38,"&lt;&gt;")=0,"",SUMIFS('North Light'!$E$6:$E$38,'North Light'!$B$6:$B$38,$B17))</f>
        <v/>
      </c>
      <c r="E17" s="9" t="str">
        <f aca="false">IF(COUNTIFS('North Light'!$B$6:$B$38,$B17,'North Light'!$F$6:$F$38,"&lt;&gt;")=0,"",SUMIFS('North Light'!$F$6:$F$38,'North Light'!$B$6:$B$38,$B17))</f>
        <v/>
      </c>
      <c r="F17" s="9" t="str">
        <f aca="false">IF(COUNTIFS('North Moon'!$B$6:$B$13,$B17,'North Moon'!$E$6:$E$13,"&lt;&gt;")=0,"",SUMIFS('North Moon'!$E$6:$E$13,'North Moon'!$B$6:$B$13,$B17))</f>
        <v/>
      </c>
      <c r="G17" s="9" t="str">
        <f aca="false">IF(COUNTIFS('North Moon'!$B$6:$B$13,$B17,'North Moon'!$F$6:$F$13,"&lt;&gt;")=0,"",SUMIFS('North Moon'!$F$6:$F$13,'North Moon'!$B$6:$B$13,$B17))</f>
        <v/>
      </c>
      <c r="H17" s="9" t="str">
        <f aca="false">IF(COUNTIFS('North Ocean'!$B$6:$B$17,$B17,'North Ocean'!$E$6:$E$17,"&lt;&gt;")=0,"",SUMIFS('North Ocean'!$E$6:$E$17,'North Ocean'!$B$6:$B$17,$B17))</f>
        <v/>
      </c>
      <c r="I17" s="9" t="str">
        <f aca="false">IF(COUNTIFS('North Ocean'!$B$6:$B$17,$B17,'North Ocean'!$F$6:$F$17,"&lt;&gt;")=0,"",SUMIFS('North Ocean'!$F$6:$F$17,'North Ocean'!$B$6:$B$17,$B17))</f>
        <v/>
      </c>
      <c r="J17" s="9" t="n">
        <f aca="false">IF(COUNTIFS('North Valley'!$B$6:$B$22,$B17,'North Valley'!$E$6:$E$22,"&lt;&gt;")=0,"",SUMIFS('North Valley'!$E$6:$E$22,'North Valley'!$B$6:$B$22,$B17))</f>
        <v>40</v>
      </c>
      <c r="K17" s="9" t="n">
        <f aca="false">IF(COUNTIFS('North Valley'!$B$6:$B$22,$B17,'North Valley'!$F$6:$F$22,"&lt;&gt;")=0,"",SUMIFS('North Valley'!$F$6:$F$22,'North Valley'!$B$6:$B$22,$B17))</f>
        <v>160</v>
      </c>
      <c r="L17" s="10" t="n">
        <f aca="false">SUM(E17,G17,I17,K17)</f>
        <v>160</v>
      </c>
      <c r="M17" s="8"/>
    </row>
    <row r="18" customFormat="false" ht="15" hidden="false" customHeight="false" outlineLevel="0" collapsed="false">
      <c r="A18" s="7" t="n">
        <v>10</v>
      </c>
      <c r="B18" s="8" t="s">
        <v>30</v>
      </c>
      <c r="C18" s="7" t="s">
        <v>19</v>
      </c>
      <c r="D18" s="9" t="str">
        <f aca="false">IF(COUNTIFS('North Light'!$B$6:$B$38,$B18,'North Light'!$E$6:$E$38,"&lt;&gt;")=0,"",SUMIFS('North Light'!$E$6:$E$38,'North Light'!$B$6:$B$38,$B18))</f>
        <v/>
      </c>
      <c r="E18" s="9" t="str">
        <f aca="false">IF(COUNTIFS('North Light'!$B$6:$B$38,$B18,'North Light'!$F$6:$F$38,"&lt;&gt;")=0,"",SUMIFS('North Light'!$F$6:$F$38,'North Light'!$B$6:$B$38,$B18))</f>
        <v/>
      </c>
      <c r="F18" s="9" t="str">
        <f aca="false">IF(COUNTIFS('North Moon'!$B$6:$B$13,$B18,'North Moon'!$E$6:$E$13,"&lt;&gt;")=0,"",SUMIFS('North Moon'!$E$6:$E$13,'North Moon'!$B$6:$B$13,$B18))</f>
        <v/>
      </c>
      <c r="G18" s="9" t="str">
        <f aca="false">IF(COUNTIFS('North Moon'!$B$6:$B$13,$B18,'North Moon'!$F$6:$F$13,"&lt;&gt;")=0,"",SUMIFS('North Moon'!$F$6:$F$13,'North Moon'!$B$6:$B$13,$B18))</f>
        <v/>
      </c>
      <c r="H18" s="9" t="str">
        <f aca="false">IF(COUNTIFS('North Ocean'!$B$6:$B$17,$B18,'North Ocean'!$E$6:$E$17,"&lt;&gt;")=0,"",SUMIFS('North Ocean'!$E$6:$E$17,'North Ocean'!$B$6:$B$17,$B18))</f>
        <v/>
      </c>
      <c r="I18" s="9" t="str">
        <f aca="false">IF(COUNTIFS('North Ocean'!$B$6:$B$17,$B18,'North Ocean'!$F$6:$F$17,"&lt;&gt;")=0,"",SUMIFS('North Ocean'!$F$6:$F$17,'North Ocean'!$B$6:$B$17,$B18))</f>
        <v/>
      </c>
      <c r="J18" s="9" t="n">
        <f aca="false">IF(COUNTIFS('North Valley'!$B$6:$B$22,$B18,'North Valley'!$E$6:$E$22,"&lt;&gt;")=0,"",SUMIFS('North Valley'!$E$6:$E$22,'North Valley'!$B$6:$B$22,$B18))</f>
        <v>150</v>
      </c>
      <c r="K18" s="9" t="n">
        <f aca="false">IF(COUNTIFS('North Valley'!$B$6:$B$22,$B18,'North Valley'!$F$6:$F$22,"&lt;&gt;")=0,"",SUMIFS('North Valley'!$F$6:$F$22,'North Valley'!$B$6:$B$22,$B18))</f>
        <v>100</v>
      </c>
      <c r="L18" s="10" t="n">
        <f aca="false">SUM(E18,G18,I18,K18)</f>
        <v>100</v>
      </c>
      <c r="M18" s="8"/>
    </row>
    <row r="19" customFormat="false" ht="15" hidden="false" customHeight="false" outlineLevel="0" collapsed="false">
      <c r="A19" s="7" t="n">
        <v>11</v>
      </c>
      <c r="B19" s="8" t="s">
        <v>31</v>
      </c>
      <c r="C19" s="7" t="s">
        <v>19</v>
      </c>
      <c r="D19" s="9" t="str">
        <f aca="false">IF(COUNTIFS('North Light'!$B$6:$B$38,$B19,'North Light'!$E$6:$E$38,"&lt;&gt;")=0,"",SUMIFS('North Light'!$E$6:$E$38,'North Light'!$B$6:$B$38,$B19))</f>
        <v/>
      </c>
      <c r="E19" s="9" t="n">
        <f aca="false">IF(COUNTIFS('North Light'!$B$6:$B$38,$B19,'North Light'!$F$6:$F$38,"&lt;&gt;")=0,"",SUMIFS('North Light'!$F$6:$F$38,'North Light'!$B$6:$B$38,$B19))</f>
        <v>40</v>
      </c>
      <c r="F19" s="9" t="n">
        <f aca="false">IF(COUNTIFS('North Moon'!$B$6:$B$13,$B19,'North Moon'!$E$6:$E$13,"&lt;&gt;")=0,"",SUMIFS('North Moon'!$E$6:$E$13,'North Moon'!$B$6:$B$13,$B19))</f>
        <v>0</v>
      </c>
      <c r="G19" s="9" t="n">
        <f aca="false">IF(COUNTIFS('North Moon'!$B$6:$B$13,$B19,'North Moon'!$F$6:$F$13,"&lt;&gt;")=0,"",SUMIFS('North Moon'!$F$6:$F$13,'North Moon'!$B$6:$B$13,$B19))</f>
        <v>20</v>
      </c>
      <c r="H19" s="9" t="str">
        <f aca="false">IF(COUNTIFS('North Ocean'!$B$6:$B$17,$B19,'North Ocean'!$E$6:$E$17,"&lt;&gt;")=0,"",SUMIFS('North Ocean'!$E$6:$E$17,'North Ocean'!$B$6:$B$17,$B19))</f>
        <v/>
      </c>
      <c r="I19" s="9" t="str">
        <f aca="false">IF(COUNTIFS('North Ocean'!$B$6:$B$17,$B19,'North Ocean'!$F$6:$F$17,"&lt;&gt;")=0,"",SUMIFS('North Ocean'!$F$6:$F$17,'North Ocean'!$B$6:$B$17,$B19))</f>
        <v/>
      </c>
      <c r="J19" s="9" t="str">
        <f aca="false">IF(COUNTIFS('North Valley'!$B$6:$B$22,$B19,'North Valley'!$E$6:$E$22,"&lt;&gt;")=0,"",SUMIFS('North Valley'!$E$6:$E$22,'North Valley'!$B$6:$B$22,$B19))</f>
        <v/>
      </c>
      <c r="K19" s="9" t="str">
        <f aca="false">IF(COUNTIFS('North Valley'!$B$6:$B$22,$B19,'North Valley'!$F$6:$F$22,"&lt;&gt;")=0,"",SUMIFS('North Valley'!$F$6:$F$22,'North Valley'!$B$6:$B$22,$B19))</f>
        <v/>
      </c>
      <c r="L19" s="10" t="n">
        <f aca="false">SUM(E19,G19,I19,K19)</f>
        <v>60</v>
      </c>
      <c r="M19" s="8"/>
    </row>
    <row r="20" customFormat="false" ht="15" hidden="false" customHeight="false" outlineLevel="0" collapsed="false">
      <c r="A20" s="7" t="n">
        <v>12</v>
      </c>
      <c r="B20" s="8" t="s">
        <v>32</v>
      </c>
      <c r="C20" s="7" t="s">
        <v>19</v>
      </c>
      <c r="D20" s="9" t="str">
        <f aca="false">IF(COUNTIFS('North Light'!$B$6:$B$38,$B20,'North Light'!$E$6:$E$38,"&lt;&gt;")=0,"",SUMIFS('North Light'!$E$6:$E$38,'North Light'!$B$6:$B$38,$B20))</f>
        <v/>
      </c>
      <c r="E20" s="9" t="n">
        <f aca="false">IF(COUNTIFS('North Light'!$B$6:$B$38,$B20,'North Light'!$F$6:$F$38,"&lt;&gt;")=0,"",SUMIFS('North Light'!$F$6:$F$38,'North Light'!$B$6:$B$38,$B20))</f>
        <v>40</v>
      </c>
      <c r="F20" s="9" t="str">
        <f aca="false">IF(COUNTIFS('North Moon'!$B$6:$B$13,$B20,'North Moon'!$E$6:$E$13,"&lt;&gt;")=0,"",SUMIFS('North Moon'!$E$6:$E$13,'North Moon'!$B$6:$B$13,$B20))</f>
        <v/>
      </c>
      <c r="G20" s="9" t="str">
        <f aca="false">IF(COUNTIFS('North Moon'!$B$6:$B$13,$B20,'North Moon'!$F$6:$F$13,"&lt;&gt;")=0,"",SUMIFS('North Moon'!$F$6:$F$13,'North Moon'!$B$6:$B$13,$B20))</f>
        <v/>
      </c>
      <c r="H20" s="9" t="n">
        <f aca="false">IF(COUNTIFS('North Ocean'!$B$6:$B$17,$B20,'North Ocean'!$E$6:$E$17,"&lt;&gt;")=0,"",SUMIFS('North Ocean'!$E$6:$E$17,'North Ocean'!$B$6:$B$17,$B20))</f>
        <v>48</v>
      </c>
      <c r="I20" s="9" t="n">
        <f aca="false">IF(COUNTIFS('North Ocean'!$B$6:$B$17,$B20,'North Ocean'!$F$6:$F$17,"&lt;&gt;")=0,"",SUMIFS('North Ocean'!$F$6:$F$17,'North Ocean'!$B$6:$B$17,$B20))</f>
        <v>20</v>
      </c>
      <c r="J20" s="9" t="n">
        <f aca="false">IF(COUNTIFS('North Valley'!$B$6:$B$22,$B20,'North Valley'!$E$6:$E$22,"&lt;&gt;")=0,"",SUMIFS('North Valley'!$E$6:$E$22,'North Valley'!$B$6:$B$22,$B20))</f>
        <v>50</v>
      </c>
      <c r="K20" s="9" t="n">
        <f aca="false">IF(COUNTIFS('North Valley'!$B$6:$B$22,$B20,'North Valley'!$F$6:$F$22,"&lt;&gt;")=0,"",SUMIFS('North Valley'!$F$6:$F$22,'North Valley'!$B$6:$B$22,$B20))</f>
        <v>60</v>
      </c>
      <c r="L20" s="10" t="n">
        <f aca="false">SUM(E20,G20,I20,K20)</f>
        <v>120</v>
      </c>
      <c r="M20" s="8"/>
    </row>
    <row r="21" customFormat="false" ht="15" hidden="false" customHeight="false" outlineLevel="0" collapsed="false">
      <c r="A21" s="7" t="n">
        <v>13</v>
      </c>
      <c r="B21" s="8" t="s">
        <v>33</v>
      </c>
      <c r="C21" s="7" t="s">
        <v>19</v>
      </c>
      <c r="D21" s="9" t="str">
        <f aca="false">IF(COUNTIFS('North Light'!$B$6:$B$38,$B21,'North Light'!$E$6:$E$38,"&lt;&gt;")=0,"",SUMIFS('North Light'!$E$6:$E$38,'North Light'!$B$6:$B$38,$B21))</f>
        <v/>
      </c>
      <c r="E21" s="9" t="str">
        <f aca="false">IF(COUNTIFS('North Light'!$B$6:$B$38,$B21,'North Light'!$F$6:$F$38,"&lt;&gt;")=0,"",SUMIFS('North Light'!$F$6:$F$38,'North Light'!$B$6:$B$38,$B21))</f>
        <v/>
      </c>
      <c r="F21" s="9" t="str">
        <f aca="false">IF(COUNTIFS('North Moon'!$B$6:$B$13,$B21,'North Moon'!$E$6:$E$13,"&lt;&gt;")=0,"",SUMIFS('North Moon'!$E$6:$E$13,'North Moon'!$B$6:$B$13,$B21))</f>
        <v/>
      </c>
      <c r="G21" s="9" t="str">
        <f aca="false">IF(COUNTIFS('North Moon'!$B$6:$B$13,$B21,'North Moon'!$F$6:$F$13,"&lt;&gt;")=0,"",SUMIFS('North Moon'!$F$6:$F$13,'North Moon'!$B$6:$B$13,$B21))</f>
        <v/>
      </c>
      <c r="H21" s="9" t="str">
        <f aca="false">IF(COUNTIFS('North Ocean'!$B$6:$B$17,$B21,'North Ocean'!$E$6:$E$17,"&lt;&gt;")=0,"",SUMIFS('North Ocean'!$E$6:$E$17,'North Ocean'!$B$6:$B$17,$B21))</f>
        <v/>
      </c>
      <c r="I21" s="9" t="str">
        <f aca="false">IF(COUNTIFS('North Ocean'!$B$6:$B$17,$B21,'North Ocean'!$F$6:$F$17,"&lt;&gt;")=0,"",SUMIFS('North Ocean'!$F$6:$F$17,'North Ocean'!$B$6:$B$17,$B21))</f>
        <v/>
      </c>
      <c r="J21" s="9" t="n">
        <f aca="false">IF(COUNTIFS('North Valley'!$B$6:$B$22,$B21,'North Valley'!$E$6:$E$22,"&lt;&gt;")=0,"",SUMIFS('North Valley'!$E$6:$E$22,'North Valley'!$B$6:$B$22,$B21))</f>
        <v>80</v>
      </c>
      <c r="K21" s="9" t="n">
        <f aca="false">IF(COUNTIFS('North Valley'!$B$6:$B$22,$B21,'North Valley'!$F$6:$F$22,"&lt;&gt;")=0,"",SUMIFS('North Valley'!$F$6:$F$22,'North Valley'!$B$6:$B$22,$B21))</f>
        <v>60</v>
      </c>
      <c r="L21" s="10" t="n">
        <f aca="false">SUM(E21,G21,I21,K21)</f>
        <v>60</v>
      </c>
      <c r="M21" s="8"/>
    </row>
    <row r="22" customFormat="false" ht="15" hidden="false" customHeight="false" outlineLevel="0" collapsed="false">
      <c r="A22" s="7" t="n">
        <v>14</v>
      </c>
      <c r="B22" s="8" t="s">
        <v>34</v>
      </c>
      <c r="C22" s="7" t="s">
        <v>19</v>
      </c>
      <c r="D22" s="9" t="str">
        <f aca="false">IF(COUNTIFS('North Light'!$B$6:$B$38,$B22,'North Light'!$E$6:$E$38,"&lt;&gt;")=0,"",SUMIFS('North Light'!$E$6:$E$38,'North Light'!$B$6:$B$38,$B22))</f>
        <v/>
      </c>
      <c r="E22" s="9" t="n">
        <f aca="false">IF(COUNTIFS('North Light'!$B$6:$B$38,$B22,'North Light'!$F$6:$F$38,"&lt;&gt;")=0,"",SUMIFS('North Light'!$F$6:$F$38,'North Light'!$B$6:$B$38,$B22))</f>
        <v>40</v>
      </c>
      <c r="F22" s="9" t="str">
        <f aca="false">IF(COUNTIFS('North Moon'!$B$6:$B$13,$B22,'North Moon'!$E$6:$E$13,"&lt;&gt;")=0,"",SUMIFS('North Moon'!$E$6:$E$13,'North Moon'!$B$6:$B$13,$B22))</f>
        <v/>
      </c>
      <c r="G22" s="9" t="str">
        <f aca="false">IF(COUNTIFS('North Moon'!$B$6:$B$13,$B22,'North Moon'!$F$6:$F$13,"&lt;&gt;")=0,"",SUMIFS('North Moon'!$F$6:$F$13,'North Moon'!$B$6:$B$13,$B22))</f>
        <v/>
      </c>
      <c r="H22" s="9" t="str">
        <f aca="false">IF(COUNTIFS('North Ocean'!$B$6:$B$17,$B22,'North Ocean'!$E$6:$E$17,"&lt;&gt;")=0,"",SUMIFS('North Ocean'!$E$6:$E$17,'North Ocean'!$B$6:$B$17,$B22))</f>
        <v/>
      </c>
      <c r="I22" s="9" t="n">
        <f aca="false">IF(COUNTIFS('North Ocean'!$B$6:$B$17,$B22,'North Ocean'!$F$6:$F$17,"&lt;&gt;")=0,"",SUMIFS('North Ocean'!$F$6:$F$17,'North Ocean'!$B$6:$B$17,$B22))</f>
        <v>40</v>
      </c>
      <c r="J22" s="9" t="n">
        <f aca="false">IF(COUNTIFS('North Valley'!$B$6:$B$22,$B22,'North Valley'!$E$6:$E$22,"&lt;&gt;")=0,"",SUMIFS('North Valley'!$E$6:$E$22,'North Valley'!$B$6:$B$22,$B22))</f>
        <v>20</v>
      </c>
      <c r="K22" s="9" t="n">
        <f aca="false">IF(COUNTIFS('North Valley'!$B$6:$B$22,$B22,'North Valley'!$F$6:$F$22,"&lt;&gt;")=0,"",SUMIFS('North Valley'!$F$6:$F$22,'North Valley'!$B$6:$B$22,$B22))</f>
        <v>20</v>
      </c>
      <c r="L22" s="10" t="n">
        <f aca="false">SUM(E22,G22,I22,K22)</f>
        <v>100</v>
      </c>
      <c r="M22" s="8"/>
    </row>
    <row r="23" customFormat="false" ht="15" hidden="false" customHeight="false" outlineLevel="0" collapsed="false">
      <c r="A23" s="7" t="n">
        <v>15</v>
      </c>
      <c r="B23" s="8" t="s">
        <v>35</v>
      </c>
      <c r="C23" s="7" t="s">
        <v>22</v>
      </c>
      <c r="D23" s="9" t="str">
        <f aca="false">IF(COUNTIFS('North Light'!$B$6:$B$38,$B23,'North Light'!$E$6:$E$38,"&lt;&gt;")=0,"",SUMIFS('North Light'!$E$6:$E$38,'North Light'!$B$6:$B$38,$B23))</f>
        <v/>
      </c>
      <c r="E23" s="9" t="str">
        <f aca="false">IF(COUNTIFS('North Light'!$B$6:$B$38,$B23,'North Light'!$F$6:$F$38,"&lt;&gt;")=0,"",SUMIFS('North Light'!$F$6:$F$38,'North Light'!$B$6:$B$38,$B23))</f>
        <v/>
      </c>
      <c r="F23" s="9" t="str">
        <f aca="false">IF(COUNTIFS('North Moon'!$B$6:$B$13,$B23,'North Moon'!$E$6:$E$13,"&lt;&gt;")=0,"",SUMIFS('North Moon'!$E$6:$E$13,'North Moon'!$B$6:$B$13,$B23))</f>
        <v/>
      </c>
      <c r="G23" s="9" t="str">
        <f aca="false">IF(COUNTIFS('North Moon'!$B$6:$B$13,$B23,'North Moon'!$F$6:$F$13,"&lt;&gt;")=0,"",SUMIFS('North Moon'!$F$6:$F$13,'North Moon'!$B$6:$B$13,$B23))</f>
        <v/>
      </c>
      <c r="H23" s="9" t="str">
        <f aca="false">IF(COUNTIFS('North Ocean'!$B$6:$B$17,$B23,'North Ocean'!$E$6:$E$17,"&lt;&gt;")=0,"",SUMIFS('North Ocean'!$E$6:$E$17,'North Ocean'!$B$6:$B$17,$B23))</f>
        <v/>
      </c>
      <c r="I23" s="9" t="str">
        <f aca="false">IF(COUNTIFS('North Ocean'!$B$6:$B$17,$B23,'North Ocean'!$F$6:$F$17,"&lt;&gt;")=0,"",SUMIFS('North Ocean'!$F$6:$F$17,'North Ocean'!$B$6:$B$17,$B23))</f>
        <v/>
      </c>
      <c r="J23" s="9" t="n">
        <f aca="false">IF(COUNTIFS('North Valley'!$B$6:$B$22,$B23,'North Valley'!$E$6:$E$22,"&lt;&gt;")=0,"",SUMIFS('North Valley'!$E$6:$E$22,'North Valley'!$B$6:$B$22,$B23))</f>
        <v>0</v>
      </c>
      <c r="K23" s="9" t="n">
        <f aca="false">IF(COUNTIFS('North Valley'!$B$6:$B$22,$B23,'North Valley'!$F$6:$F$22,"&lt;&gt;")=0,"",SUMIFS('North Valley'!$F$6:$F$22,'North Valley'!$B$6:$B$22,$B23))</f>
        <v>18</v>
      </c>
      <c r="L23" s="10" t="n">
        <f aca="false">SUM(E23,G23,I23,K23)</f>
        <v>18</v>
      </c>
      <c r="M23" s="8"/>
    </row>
    <row r="24" customFormat="false" ht="15" hidden="false" customHeight="false" outlineLevel="0" collapsed="false">
      <c r="A24" s="7" t="n">
        <v>16</v>
      </c>
      <c r="B24" s="8" t="s">
        <v>36</v>
      </c>
      <c r="C24" s="7" t="s">
        <v>22</v>
      </c>
      <c r="D24" s="9" t="str">
        <f aca="false">IF(COUNTIFS('North Light'!$B$6:$B$38,$B24,'North Light'!$E$6:$E$38,"&lt;&gt;")=0,"",SUMIFS('North Light'!$E$6:$E$38,'North Light'!$B$6:$B$38,$B24))</f>
        <v/>
      </c>
      <c r="E24" s="9" t="str">
        <f aca="false">IF(COUNTIFS('North Light'!$B$6:$B$38,$B24,'North Light'!$F$6:$F$38,"&lt;&gt;")=0,"",SUMIFS('North Light'!$F$6:$F$38,'North Light'!$B$6:$B$38,$B24))</f>
        <v/>
      </c>
      <c r="F24" s="9" t="str">
        <f aca="false">IF(COUNTIFS('North Moon'!$B$6:$B$13,$B24,'North Moon'!$E$6:$E$13,"&lt;&gt;")=0,"",SUMIFS('North Moon'!$E$6:$E$13,'North Moon'!$B$6:$B$13,$B24))</f>
        <v/>
      </c>
      <c r="G24" s="9" t="str">
        <f aca="false">IF(COUNTIFS('North Moon'!$B$6:$B$13,$B24,'North Moon'!$F$6:$F$13,"&lt;&gt;")=0,"",SUMIFS('North Moon'!$F$6:$F$13,'North Moon'!$B$6:$B$13,$B24))</f>
        <v/>
      </c>
      <c r="H24" s="9" t="str">
        <f aca="false">IF(COUNTIFS('North Ocean'!$B$6:$B$17,$B24,'North Ocean'!$E$6:$E$17,"&lt;&gt;")=0,"",SUMIFS('North Ocean'!$E$6:$E$17,'North Ocean'!$B$6:$B$17,$B24))</f>
        <v/>
      </c>
      <c r="I24" s="9" t="str">
        <f aca="false">IF(COUNTIFS('North Ocean'!$B$6:$B$17,$B24,'North Ocean'!$F$6:$F$17,"&lt;&gt;")=0,"",SUMIFS('North Ocean'!$F$6:$F$17,'North Ocean'!$B$6:$B$17,$B24))</f>
        <v/>
      </c>
      <c r="J24" s="9" t="n">
        <f aca="false">IF(COUNTIFS('North Valley'!$B$6:$B$22,$B24,'North Valley'!$E$6:$E$22,"&lt;&gt;")=0,"",SUMIFS('North Valley'!$E$6:$E$22,'North Valley'!$B$6:$B$22,$B24))</f>
        <v>102</v>
      </c>
      <c r="K24" s="9" t="n">
        <f aca="false">IF(COUNTIFS('North Valley'!$B$6:$B$22,$B24,'North Valley'!$F$6:$F$22,"&lt;&gt;")=0,"",SUMIFS('North Valley'!$F$6:$F$22,'North Valley'!$B$6:$B$22,$B24))</f>
        <v>90</v>
      </c>
      <c r="L24" s="10" t="n">
        <f aca="false">SUM(E24,G24,I24,K24)</f>
        <v>90</v>
      </c>
      <c r="M24" s="8"/>
    </row>
    <row r="25" customFormat="false" ht="15" hidden="false" customHeight="false" outlineLevel="0" collapsed="false">
      <c r="A25" s="7" t="n">
        <v>17</v>
      </c>
      <c r="B25" s="8" t="s">
        <v>37</v>
      </c>
      <c r="C25" s="7" t="s">
        <v>22</v>
      </c>
      <c r="D25" s="9" t="str">
        <f aca="false">IF(COUNTIFS('North Light'!$B$6:$B$38,$B25,'North Light'!$E$6:$E$38,"&lt;&gt;")=0,"",SUMIFS('North Light'!$E$6:$E$38,'North Light'!$B$6:$B$38,$B25))</f>
        <v/>
      </c>
      <c r="E25" s="9" t="n">
        <f aca="false">IF(COUNTIFS('North Light'!$B$6:$B$38,$B25,'North Light'!$F$6:$F$38,"&lt;&gt;")=0,"",SUMIFS('North Light'!$F$6:$F$38,'North Light'!$B$6:$B$38,$B25))</f>
        <v>54</v>
      </c>
      <c r="F25" s="9" t="str">
        <f aca="false">IF(COUNTIFS('North Moon'!$B$6:$B$13,$B25,'North Moon'!$E$6:$E$13,"&lt;&gt;")=0,"",SUMIFS('North Moon'!$E$6:$E$13,'North Moon'!$B$6:$B$13,$B25))</f>
        <v/>
      </c>
      <c r="G25" s="9" t="str">
        <f aca="false">IF(COUNTIFS('North Moon'!$B$6:$B$13,$B25,'North Moon'!$F$6:$F$13,"&lt;&gt;")=0,"",SUMIFS('North Moon'!$F$6:$F$13,'North Moon'!$B$6:$B$13,$B25))</f>
        <v/>
      </c>
      <c r="H25" s="9" t="str">
        <f aca="false">IF(COUNTIFS('North Ocean'!$B$6:$B$17,$B25,'North Ocean'!$E$6:$E$17,"&lt;&gt;")=0,"",SUMIFS('North Ocean'!$E$6:$E$17,'North Ocean'!$B$6:$B$17,$B25))</f>
        <v/>
      </c>
      <c r="I25" s="9" t="str">
        <f aca="false">IF(COUNTIFS('North Ocean'!$B$6:$B$17,$B25,'North Ocean'!$F$6:$F$17,"&lt;&gt;")=0,"",SUMIFS('North Ocean'!$F$6:$F$17,'North Ocean'!$B$6:$B$17,$B25))</f>
        <v/>
      </c>
      <c r="J25" s="9" t="str">
        <f aca="false">IF(COUNTIFS('North Valley'!$B$6:$B$22,$B25,'North Valley'!$E$6:$E$22,"&lt;&gt;")=0,"",SUMIFS('North Valley'!$E$6:$E$22,'North Valley'!$B$6:$B$22,$B25))</f>
        <v/>
      </c>
      <c r="K25" s="9" t="str">
        <f aca="false">IF(COUNTIFS('North Valley'!$B$6:$B$22,$B25,'North Valley'!$F$6:$F$22,"&lt;&gt;")=0,"",SUMIFS('North Valley'!$F$6:$F$22,'North Valley'!$B$6:$B$22,$B25))</f>
        <v/>
      </c>
      <c r="L25" s="10" t="n">
        <f aca="false">SUM(E25,G25,I25,K25)</f>
        <v>54</v>
      </c>
      <c r="M25" s="8"/>
    </row>
    <row r="26" customFormat="false" ht="15" hidden="false" customHeight="false" outlineLevel="0" collapsed="false">
      <c r="A26" s="7" t="n">
        <v>18</v>
      </c>
      <c r="B26" s="8" t="s">
        <v>38</v>
      </c>
      <c r="C26" s="7" t="s">
        <v>19</v>
      </c>
      <c r="D26" s="9" t="str">
        <f aca="false">IF(COUNTIFS('North Light'!$B$6:$B$38,$B26,'North Light'!$E$6:$E$38,"&lt;&gt;")=0,"",SUMIFS('North Light'!$E$6:$E$38,'North Light'!$B$6:$B$38,$B26))</f>
        <v/>
      </c>
      <c r="E26" s="9" t="str">
        <f aca="false">IF(COUNTIFS('North Light'!$B$6:$B$38,$B26,'North Light'!$F$6:$F$38,"&lt;&gt;")=0,"",SUMIFS('North Light'!$F$6:$F$38,'North Light'!$B$6:$B$38,$B26))</f>
        <v/>
      </c>
      <c r="F26" s="9" t="str">
        <f aca="false">IF(COUNTIFS('North Moon'!$B$6:$B$13,$B26,'North Moon'!$E$6:$E$13,"&lt;&gt;")=0,"",SUMIFS('North Moon'!$E$6:$E$13,'North Moon'!$B$6:$B$13,$B26))</f>
        <v/>
      </c>
      <c r="G26" s="9" t="str">
        <f aca="false">IF(COUNTIFS('North Moon'!$B$6:$B$13,$B26,'North Moon'!$F$6:$F$13,"&lt;&gt;")=0,"",SUMIFS('North Moon'!$F$6:$F$13,'North Moon'!$B$6:$B$13,$B26))</f>
        <v/>
      </c>
      <c r="H26" s="9" t="n">
        <f aca="false">IF(COUNTIFS('North Ocean'!$B$6:$B$17,$B26,'North Ocean'!$E$6:$E$17,"&lt;&gt;")=0,"",SUMIFS('North Ocean'!$E$6:$E$17,'North Ocean'!$B$6:$B$17,$B26))</f>
        <v>1400</v>
      </c>
      <c r="I26" s="9" t="n">
        <f aca="false">IF(COUNTIFS('North Ocean'!$B$6:$B$17,$B26,'North Ocean'!$F$6:$F$17,"&lt;&gt;")=0,"",SUMIFS('North Ocean'!$F$6:$F$17,'North Ocean'!$B$6:$B$17,$B26))</f>
        <v>400</v>
      </c>
      <c r="J26" s="9" t="str">
        <f aca="false">IF(COUNTIFS('North Valley'!$B$6:$B$22,$B26,'North Valley'!$E$6:$E$22,"&lt;&gt;")=0,"",SUMIFS('North Valley'!$E$6:$E$22,'North Valley'!$B$6:$B$22,$B26))</f>
        <v/>
      </c>
      <c r="K26" s="9" t="str">
        <f aca="false">IF(COUNTIFS('North Valley'!$B$6:$B$22,$B26,'North Valley'!$F$6:$F$22,"&lt;&gt;")=0,"",SUMIFS('North Valley'!$F$6:$F$22,'North Valley'!$B$6:$B$22,$B26))</f>
        <v/>
      </c>
      <c r="L26" s="10" t="n">
        <f aca="false">SUM(E26,G26,I26,K26)</f>
        <v>400</v>
      </c>
      <c r="M26" s="8"/>
    </row>
    <row r="27" customFormat="false" ht="15" hidden="false" customHeight="false" outlineLevel="0" collapsed="false">
      <c r="A27" s="7" t="n">
        <v>19</v>
      </c>
      <c r="B27" s="8" t="s">
        <v>39</v>
      </c>
      <c r="C27" s="7" t="s">
        <v>22</v>
      </c>
      <c r="D27" s="9" t="str">
        <f aca="false">IF(COUNTIFS('North Light'!$B$6:$B$38,$B27,'North Light'!$E$6:$E$38,"&lt;&gt;")=0,"",SUMIFS('North Light'!$E$6:$E$38,'North Light'!$B$6:$B$38,$B27))</f>
        <v/>
      </c>
      <c r="E27" s="9" t="str">
        <f aca="false">IF(COUNTIFS('North Light'!$B$6:$B$38,$B27,'North Light'!$F$6:$F$38,"&lt;&gt;")=0,"",SUMIFS('North Light'!$F$6:$F$38,'North Light'!$B$6:$B$38,$B27))</f>
        <v/>
      </c>
      <c r="F27" s="9" t="str">
        <f aca="false">IF(COUNTIFS('North Moon'!$B$6:$B$13,$B27,'North Moon'!$E$6:$E$13,"&lt;&gt;")=0,"",SUMIFS('North Moon'!$E$6:$E$13,'North Moon'!$B$6:$B$13,$B27))</f>
        <v/>
      </c>
      <c r="G27" s="9" t="str">
        <f aca="false">IF(COUNTIFS('North Moon'!$B$6:$B$13,$B27,'North Moon'!$F$6:$F$13,"&lt;&gt;")=0,"",SUMIFS('North Moon'!$F$6:$F$13,'North Moon'!$B$6:$B$13,$B27))</f>
        <v/>
      </c>
      <c r="H27" s="9" t="str">
        <f aca="false">IF(COUNTIFS('North Ocean'!$B$6:$B$17,$B27,'North Ocean'!$E$6:$E$17,"&lt;&gt;")=0,"",SUMIFS('North Ocean'!$E$6:$E$17,'North Ocean'!$B$6:$B$17,$B27))</f>
        <v/>
      </c>
      <c r="I27" s="9" t="str">
        <f aca="false">IF(COUNTIFS('North Ocean'!$B$6:$B$17,$B27,'North Ocean'!$F$6:$F$17,"&lt;&gt;")=0,"",SUMIFS('North Ocean'!$F$6:$F$17,'North Ocean'!$B$6:$B$17,$B27))</f>
        <v/>
      </c>
      <c r="J27" s="9" t="n">
        <f aca="false">IF(COUNTIFS('North Valley'!$B$6:$B$22,$B27,'North Valley'!$E$6:$E$22,"&lt;&gt;")=0,"",SUMIFS('North Valley'!$E$6:$E$22,'North Valley'!$B$6:$B$22,$B27))</f>
        <v>0</v>
      </c>
      <c r="K27" s="9" t="n">
        <f aca="false">IF(COUNTIFS('North Valley'!$B$6:$B$22,$B27,'North Valley'!$F$6:$F$22,"&lt;&gt;")=0,"",SUMIFS('North Valley'!$F$6:$F$22,'North Valley'!$B$6:$B$22,$B27))</f>
        <v>1.9</v>
      </c>
      <c r="L27" s="10" t="n">
        <f aca="false">SUM(E27,G27,I27,K27)</f>
        <v>1.9</v>
      </c>
      <c r="M27" s="8" t="s">
        <v>40</v>
      </c>
    </row>
    <row r="28" customFormat="false" ht="15" hidden="false" customHeight="false" outlineLevel="0" collapsed="false">
      <c r="A28" s="7" t="n">
        <v>20</v>
      </c>
      <c r="B28" s="8" t="s">
        <v>41</v>
      </c>
      <c r="C28" s="7" t="s">
        <v>19</v>
      </c>
      <c r="D28" s="9" t="n">
        <f aca="false">IF(COUNTIFS('North Light'!$B$6:$B$38,$B28,'North Light'!$E$6:$E$38,"&lt;&gt;")=0,"",SUMIFS('North Light'!$E$6:$E$38,'North Light'!$B$6:$B$38,$B28))</f>
        <v>25680</v>
      </c>
      <c r="E28" s="9" t="n">
        <f aca="false">IF(COUNTIFS('North Light'!$B$6:$B$38,$B28,'North Light'!$F$6:$F$38,"&lt;&gt;")=0,"",SUMIFS('North Light'!$F$6:$F$38,'North Light'!$B$6:$B$38,$B28))</f>
        <v>21000</v>
      </c>
      <c r="F28" s="9" t="n">
        <f aca="false">IF(COUNTIFS('North Moon'!$B$6:$B$13,$B28,'North Moon'!$E$6:$E$13,"&lt;&gt;")=0,"",SUMIFS('North Moon'!$E$6:$E$13,'North Moon'!$B$6:$B$13,$B28))</f>
        <v>25080</v>
      </c>
      <c r="G28" s="9" t="n">
        <f aca="false">IF(COUNTIFS('North Moon'!$B$6:$B$13,$B28,'North Moon'!$F$6:$F$13,"&lt;&gt;")=0,"",SUMIFS('North Moon'!$F$6:$F$13,'North Moon'!$B$6:$B$13,$B28))</f>
        <v>30000</v>
      </c>
      <c r="H28" s="9" t="str">
        <f aca="false">IF(COUNTIFS('North Ocean'!$B$6:$B$17,$B28,'North Ocean'!$E$6:$E$17,"&lt;&gt;")=0,"",SUMIFS('North Ocean'!$E$6:$E$17,'North Ocean'!$B$6:$B$17,$B28))</f>
        <v/>
      </c>
      <c r="I28" s="9" t="n">
        <f aca="false">IF(COUNTIFS('North Ocean'!$B$6:$B$17,$B28,'North Ocean'!$F$6:$F$17,"&lt;&gt;")=0,"",SUMIFS('North Ocean'!$F$6:$F$17,'North Ocean'!$B$6:$B$17,$B28))</f>
        <v>15000</v>
      </c>
      <c r="J28" s="9" t="n">
        <f aca="false">IF(COUNTIFS('North Valley'!$B$6:$B$22,$B28,'North Valley'!$E$6:$E$22,"&lt;&gt;")=0,"",SUMIFS('North Valley'!$E$6:$E$22,'North Valley'!$B$6:$B$22,$B28))</f>
        <v>19500</v>
      </c>
      <c r="K28" s="9" t="n">
        <f aca="false">IF(COUNTIFS('North Valley'!$B$6:$B$22,$B28,'North Valley'!$F$6:$F$22,"&lt;&gt;")=0,"",SUMIFS('North Valley'!$F$6:$F$22,'North Valley'!$B$6:$B$22,$B28))</f>
        <v>45000</v>
      </c>
      <c r="L28" s="10" t="n">
        <f aca="false">SUM(E28,G28,I28,K28)</f>
        <v>111000</v>
      </c>
      <c r="M28" s="8" t="s">
        <v>42</v>
      </c>
    </row>
    <row r="29" customFormat="false" ht="25.35" hidden="false" customHeight="false" outlineLevel="0" collapsed="false">
      <c r="A29" s="7" t="n">
        <v>21</v>
      </c>
      <c r="B29" s="8" t="s">
        <v>43</v>
      </c>
      <c r="C29" s="7" t="s">
        <v>19</v>
      </c>
      <c r="D29" s="9" t="str">
        <f aca="false">IF(COUNTIFS('North Light'!$B$6:$B$38,$B29,'North Light'!$E$6:$E$38,"&lt;&gt;")=0,"",SUMIFS('North Light'!$E$6:$E$38,'North Light'!$B$6:$B$38,$B29))</f>
        <v/>
      </c>
      <c r="E29" s="9" t="str">
        <f aca="false">IF(COUNTIFS('North Light'!$B$6:$B$38,$B29,'North Light'!$F$6:$F$38,"&lt;&gt;")=0,"",SUMIFS('North Light'!$F$6:$F$38,'North Light'!$B$6:$B$38,$B29))</f>
        <v/>
      </c>
      <c r="F29" s="9" t="n">
        <f aca="false">IF(COUNTIFS('North Moon'!$B$6:$B$13,$B29,'North Moon'!$E$6:$E$13,"&lt;&gt;")=0,"",SUMIFS('North Moon'!$E$6:$E$13,'North Moon'!$B$6:$B$13,$B29))</f>
        <v>130</v>
      </c>
      <c r="G29" s="9" t="n">
        <f aca="false">IF(COUNTIFS('North Moon'!$B$6:$B$13,$B29,'North Moon'!$F$6:$F$13,"&lt;&gt;")=0,"",SUMIFS('North Moon'!$F$6:$F$13,'North Moon'!$B$6:$B$13,$B29))</f>
        <v>100</v>
      </c>
      <c r="H29" s="9" t="n">
        <f aca="false">IF(COUNTIFS('North Ocean'!$B$6:$B$17,$B29,'North Ocean'!$E$6:$E$17,"&lt;&gt;")=0,"",SUMIFS('North Ocean'!$E$6:$E$17,'North Ocean'!$B$6:$B$17,$B29))</f>
        <v>70</v>
      </c>
      <c r="I29" s="9" t="n">
        <f aca="false">IF(COUNTIFS('North Ocean'!$B$6:$B$17,$B29,'North Ocean'!$F$6:$F$17,"&lt;&gt;")=0,"",SUMIFS('North Ocean'!$F$6:$F$17,'North Ocean'!$B$6:$B$17,$B29))</f>
        <v>120</v>
      </c>
      <c r="J29" s="9" t="n">
        <f aca="false">IF(COUNTIFS('North Valley'!$B$6:$B$22,$B29,'North Valley'!$E$6:$E$22,"&lt;&gt;")=0,"",SUMIFS('North Valley'!$E$6:$E$22,'North Valley'!$B$6:$B$22,$B29))</f>
        <v>70</v>
      </c>
      <c r="K29" s="9" t="n">
        <f aca="false">IF(COUNTIFS('North Valley'!$B$6:$B$22,$B29,'North Valley'!$F$6:$F$22,"&lt;&gt;")=0,"",SUMIFS('North Valley'!$F$6:$F$22,'North Valley'!$B$6:$B$22,$B29))</f>
        <v>75.6</v>
      </c>
      <c r="L29" s="10" t="n">
        <f aca="false">SUM(E29,G29,I29,K29)</f>
        <v>295.6</v>
      </c>
      <c r="M29" s="8" t="s">
        <v>44</v>
      </c>
    </row>
    <row r="31" customFormat="false" ht="14.15" hidden="false" customHeight="false" outlineLevel="0" collapsed="false">
      <c r="A31" s="6" t="s">
        <v>45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5" hidden="false" customHeight="false" outlineLevel="0" collapsed="false">
      <c r="A32" s="7" t="n">
        <v>1</v>
      </c>
      <c r="B32" s="8" t="s">
        <v>46</v>
      </c>
      <c r="C32" s="7" t="s">
        <v>19</v>
      </c>
      <c r="D32" s="9" t="str">
        <f aca="false">IF(COUNTIFS('North Light'!$B$6:$B$38,$B32,'North Light'!$E$6:$E$38,"&lt;&gt;")=0,"",SUMIFS('North Light'!$E$6:$E$38,'North Light'!$B$6:$B$38,$B32))</f>
        <v/>
      </c>
      <c r="E32" s="9" t="str">
        <f aca="false">IF(COUNTIFS('North Light'!$B$6:$B$38,$B32,'North Light'!$F$6:$F$38,"&lt;&gt;")=0,"",SUMIFS('North Light'!$F$6:$F$38,'North Light'!$B$6:$B$38,$B32))</f>
        <v/>
      </c>
      <c r="F32" s="9" t="str">
        <f aca="false">IF(COUNTIFS('North Moon'!$B$6:$B$13,$B32,'North Moon'!$E$6:$E$13,"&lt;&gt;")=0,"",SUMIFS('North Moon'!$E$6:$E$13,'North Moon'!$B$6:$B$13,$B32))</f>
        <v/>
      </c>
      <c r="G32" s="9" t="str">
        <f aca="false">IF(COUNTIFS('North Moon'!$B$6:$B$13,$B32,'North Moon'!$F$6:$F$13,"&lt;&gt;")=0,"",SUMIFS('North Moon'!$F$6:$F$13,'North Moon'!$B$6:$B$13,$B32))</f>
        <v/>
      </c>
      <c r="H32" s="9" t="str">
        <f aca="false">IF(COUNTIFS('North Ocean'!$B$6:$B$17,$B32,'North Ocean'!$E$6:$E$17,"&lt;&gt;")=0,"",SUMIFS('North Ocean'!$E$6:$E$17,'North Ocean'!$B$6:$B$17,$B32))</f>
        <v/>
      </c>
      <c r="I32" s="9" t="str">
        <f aca="false">IF(COUNTIFS('North Ocean'!$B$6:$B$17,$B32,'North Ocean'!$F$6:$F$17,"&lt;&gt;")=0,"",SUMIFS('North Ocean'!$F$6:$F$17,'North Ocean'!$B$6:$B$17,$B32))</f>
        <v/>
      </c>
      <c r="J32" s="9" t="str">
        <f aca="false">IF(COUNTIFS('North Valley'!$B$6:$B$22,$B32,'North Valley'!$E$6:$E$22,"&lt;&gt;")=0,"",SUMIFS('North Valley'!$E$6:$E$22,'North Valley'!$B$6:$B$22,$B32))</f>
        <v/>
      </c>
      <c r="K32" s="9" t="str">
        <f aca="false">IF(COUNTIFS('North Valley'!$B$6:$B$22,$B32,'North Valley'!$F$6:$F$22,"&lt;&gt;")=0,"",SUMIFS('North Valley'!$F$6:$F$22,'North Valley'!$B$6:$B$22,$B32))</f>
        <v/>
      </c>
      <c r="L32" s="10" t="n">
        <f aca="false">SUM(E32,G32,I32,K32)</f>
        <v>0</v>
      </c>
      <c r="M32" s="8"/>
    </row>
    <row r="33" customFormat="false" ht="15" hidden="false" customHeight="false" outlineLevel="0" collapsed="false">
      <c r="A33" s="7" t="n">
        <v>2</v>
      </c>
      <c r="B33" s="8" t="s">
        <v>47</v>
      </c>
      <c r="C33" s="7" t="s">
        <v>19</v>
      </c>
      <c r="D33" s="9" t="str">
        <f aca="false">IF(COUNTIFS('North Light'!$B$6:$B$38,$B33,'North Light'!$E$6:$E$38,"&lt;&gt;")=0,"",SUMIFS('North Light'!$E$6:$E$38,'North Light'!$B$6:$B$38,$B33))</f>
        <v/>
      </c>
      <c r="E33" s="9" t="str">
        <f aca="false">IF(COUNTIFS('North Light'!$B$6:$B$38,$B33,'North Light'!$F$6:$F$38,"&lt;&gt;")=0,"",SUMIFS('North Light'!$F$6:$F$38,'North Light'!$B$6:$B$38,$B33))</f>
        <v/>
      </c>
      <c r="F33" s="9" t="str">
        <f aca="false">IF(COUNTIFS('North Moon'!$B$6:$B$13,$B33,'North Moon'!$E$6:$E$13,"&lt;&gt;")=0,"",SUMIFS('North Moon'!$E$6:$E$13,'North Moon'!$B$6:$B$13,$B33))</f>
        <v/>
      </c>
      <c r="G33" s="9" t="str">
        <f aca="false">IF(COUNTIFS('North Moon'!$B$6:$B$13,$B33,'North Moon'!$F$6:$F$13,"&lt;&gt;")=0,"",SUMIFS('North Moon'!$F$6:$F$13,'North Moon'!$B$6:$B$13,$B33))</f>
        <v/>
      </c>
      <c r="H33" s="9" t="str">
        <f aca="false">IF(COUNTIFS('North Ocean'!$B$6:$B$17,$B33,'North Ocean'!$E$6:$E$17,"&lt;&gt;")=0,"",SUMIFS('North Ocean'!$E$6:$E$17,'North Ocean'!$B$6:$B$17,$B33))</f>
        <v/>
      </c>
      <c r="I33" s="9" t="str">
        <f aca="false">IF(COUNTIFS('North Ocean'!$B$6:$B$17,$B33,'North Ocean'!$F$6:$F$17,"&lt;&gt;")=0,"",SUMIFS('North Ocean'!$F$6:$F$17,'North Ocean'!$B$6:$B$17,$B33))</f>
        <v/>
      </c>
      <c r="J33" s="9" t="str">
        <f aca="false">IF(COUNTIFS('North Valley'!$B$6:$B$22,$B33,'North Valley'!$E$6:$E$22,"&lt;&gt;")=0,"",SUMIFS('North Valley'!$E$6:$E$22,'North Valley'!$B$6:$B$22,$B33))</f>
        <v/>
      </c>
      <c r="K33" s="9" t="str">
        <f aca="false">IF(COUNTIFS('North Valley'!$B$6:$B$22,$B33,'North Valley'!$F$6:$F$22,"&lt;&gt;")=0,"",SUMIFS('North Valley'!$F$6:$F$22,'North Valley'!$B$6:$B$22,$B33))</f>
        <v/>
      </c>
      <c r="L33" s="10" t="n">
        <f aca="false">SUM(E33,G33,I33,K33)</f>
        <v>0</v>
      </c>
      <c r="M33" s="8"/>
    </row>
    <row r="34" customFormat="false" ht="15" hidden="false" customHeight="false" outlineLevel="0" collapsed="false">
      <c r="A34" s="7" t="n">
        <v>3</v>
      </c>
      <c r="B34" s="8" t="s">
        <v>48</v>
      </c>
      <c r="C34" s="7" t="s">
        <v>22</v>
      </c>
      <c r="D34" s="9" t="str">
        <f aca="false">IF(COUNTIFS('North Light'!$B$6:$B$38,$B34,'North Light'!$E$6:$E$38,"&lt;&gt;")=0,"",SUMIFS('North Light'!$E$6:$E$38,'North Light'!$B$6:$B$38,$B34))</f>
        <v/>
      </c>
      <c r="E34" s="9" t="str">
        <f aca="false">IF(COUNTIFS('North Light'!$B$6:$B$38,$B34,'North Light'!$F$6:$F$38,"&lt;&gt;")=0,"",SUMIFS('North Light'!$F$6:$F$38,'North Light'!$B$6:$B$38,$B34))</f>
        <v/>
      </c>
      <c r="F34" s="9" t="str">
        <f aca="false">IF(COUNTIFS('North Moon'!$B$6:$B$13,$B34,'North Moon'!$E$6:$E$13,"&lt;&gt;")=0,"",SUMIFS('North Moon'!$E$6:$E$13,'North Moon'!$B$6:$B$13,$B34))</f>
        <v/>
      </c>
      <c r="G34" s="9" t="str">
        <f aca="false">IF(COUNTIFS('North Moon'!$B$6:$B$13,$B34,'North Moon'!$F$6:$F$13,"&lt;&gt;")=0,"",SUMIFS('North Moon'!$F$6:$F$13,'North Moon'!$B$6:$B$13,$B34))</f>
        <v/>
      </c>
      <c r="H34" s="9" t="str">
        <f aca="false">IF(COUNTIFS('North Ocean'!$B$6:$B$17,$B34,'North Ocean'!$E$6:$E$17,"&lt;&gt;")=0,"",SUMIFS('North Ocean'!$E$6:$E$17,'North Ocean'!$B$6:$B$17,$B34))</f>
        <v/>
      </c>
      <c r="I34" s="9" t="str">
        <f aca="false">IF(COUNTIFS('North Ocean'!$B$6:$B$17,$B34,'North Ocean'!$F$6:$F$17,"&lt;&gt;")=0,"",SUMIFS('North Ocean'!$F$6:$F$17,'North Ocean'!$B$6:$B$17,$B34))</f>
        <v/>
      </c>
      <c r="J34" s="9" t="str">
        <f aca="false">IF(COUNTIFS('North Valley'!$B$6:$B$22,$B34,'North Valley'!$E$6:$E$22,"&lt;&gt;")=0,"",SUMIFS('North Valley'!$E$6:$E$22,'North Valley'!$B$6:$B$22,$B34))</f>
        <v/>
      </c>
      <c r="K34" s="9" t="str">
        <f aca="false">IF(COUNTIFS('North Valley'!$B$6:$B$22,$B34,'North Valley'!$F$6:$F$22,"&lt;&gt;")=0,"",SUMIFS('North Valley'!$F$6:$F$22,'North Valley'!$B$6:$B$22,$B34))</f>
        <v/>
      </c>
      <c r="L34" s="10" t="n">
        <f aca="false">SUM(E34,G34,I34,K34)</f>
        <v>0</v>
      </c>
      <c r="M34" s="8"/>
    </row>
    <row r="35" customFormat="false" ht="15" hidden="false" customHeight="false" outlineLevel="0" collapsed="false">
      <c r="A35" s="7" t="n">
        <v>4</v>
      </c>
      <c r="B35" s="8" t="s">
        <v>49</v>
      </c>
      <c r="C35" s="7" t="s">
        <v>19</v>
      </c>
      <c r="D35" s="9" t="str">
        <f aca="false">IF(COUNTIFS('North Light'!$B$6:$B$38,$B35,'North Light'!$E$6:$E$38,"&lt;&gt;")=0,"",SUMIFS('North Light'!$E$6:$E$38,'North Light'!$B$6:$B$38,$B35))</f>
        <v/>
      </c>
      <c r="E35" s="9" t="str">
        <f aca="false">IF(COUNTIFS('North Light'!$B$6:$B$38,$B35,'North Light'!$F$6:$F$38,"&lt;&gt;")=0,"",SUMIFS('North Light'!$F$6:$F$38,'North Light'!$B$6:$B$38,$B35))</f>
        <v/>
      </c>
      <c r="F35" s="9" t="str">
        <f aca="false">IF(COUNTIFS('North Moon'!$B$6:$B$13,$B35,'North Moon'!$E$6:$E$13,"&lt;&gt;")=0,"",SUMIFS('North Moon'!$E$6:$E$13,'North Moon'!$B$6:$B$13,$B35))</f>
        <v/>
      </c>
      <c r="G35" s="9" t="str">
        <f aca="false">IF(COUNTIFS('North Moon'!$B$6:$B$13,$B35,'North Moon'!$F$6:$F$13,"&lt;&gt;")=0,"",SUMIFS('North Moon'!$F$6:$F$13,'North Moon'!$B$6:$B$13,$B35))</f>
        <v/>
      </c>
      <c r="H35" s="9" t="str">
        <f aca="false">IF(COUNTIFS('North Ocean'!$B$6:$B$17,$B35,'North Ocean'!$E$6:$E$17,"&lt;&gt;")=0,"",SUMIFS('North Ocean'!$E$6:$E$17,'North Ocean'!$B$6:$B$17,$B35))</f>
        <v/>
      </c>
      <c r="I35" s="9" t="str">
        <f aca="false">IF(COUNTIFS('North Ocean'!$B$6:$B$17,$B35,'North Ocean'!$F$6:$F$17,"&lt;&gt;")=0,"",SUMIFS('North Ocean'!$F$6:$F$17,'North Ocean'!$B$6:$B$17,$B35))</f>
        <v/>
      </c>
      <c r="J35" s="9" t="str">
        <f aca="false">IF(COUNTIFS('North Valley'!$B$6:$B$22,$B35,'North Valley'!$E$6:$E$22,"&lt;&gt;")=0,"",SUMIFS('North Valley'!$E$6:$E$22,'North Valley'!$B$6:$B$22,$B35))</f>
        <v/>
      </c>
      <c r="K35" s="9" t="str">
        <f aca="false">IF(COUNTIFS('North Valley'!$B$6:$B$22,$B35,'North Valley'!$F$6:$F$22,"&lt;&gt;")=0,"",SUMIFS('North Valley'!$F$6:$F$22,'North Valley'!$B$6:$B$22,$B35))</f>
        <v/>
      </c>
      <c r="L35" s="10" t="n">
        <f aca="false">SUM(E35,G35,I35,K35)</f>
        <v>0</v>
      </c>
      <c r="M35" s="8"/>
    </row>
    <row r="36" customFormat="false" ht="15" hidden="false" customHeight="false" outlineLevel="0" collapsed="false">
      <c r="A36" s="7" t="n">
        <v>5</v>
      </c>
      <c r="B36" s="8" t="s">
        <v>50</v>
      </c>
      <c r="C36" s="7" t="s">
        <v>19</v>
      </c>
      <c r="D36" s="9" t="str">
        <f aca="false">IF(COUNTIFS('North Light'!$B$6:$B$38,$B36,'North Light'!$E$6:$E$38,"&lt;&gt;")=0,"",SUMIFS('North Light'!$E$6:$E$38,'North Light'!$B$6:$B$38,$B36))</f>
        <v/>
      </c>
      <c r="E36" s="9" t="str">
        <f aca="false">IF(COUNTIFS('North Light'!$B$6:$B$38,$B36,'North Light'!$F$6:$F$38,"&lt;&gt;")=0,"",SUMIFS('North Light'!$F$6:$F$38,'North Light'!$B$6:$B$38,$B36))</f>
        <v/>
      </c>
      <c r="F36" s="9" t="str">
        <f aca="false">IF(COUNTIFS('North Moon'!$B$6:$B$13,$B36,'North Moon'!$E$6:$E$13,"&lt;&gt;")=0,"",SUMIFS('North Moon'!$E$6:$E$13,'North Moon'!$B$6:$B$13,$B36))</f>
        <v/>
      </c>
      <c r="G36" s="9" t="str">
        <f aca="false">IF(COUNTIFS('North Moon'!$B$6:$B$13,$B36,'North Moon'!$F$6:$F$13,"&lt;&gt;")=0,"",SUMIFS('North Moon'!$F$6:$F$13,'North Moon'!$B$6:$B$13,$B36))</f>
        <v/>
      </c>
      <c r="H36" s="9" t="str">
        <f aca="false">IF(COUNTIFS('North Ocean'!$B$6:$B$17,$B36,'North Ocean'!$E$6:$E$17,"&lt;&gt;")=0,"",SUMIFS('North Ocean'!$E$6:$E$17,'North Ocean'!$B$6:$B$17,$B36))</f>
        <v/>
      </c>
      <c r="I36" s="9" t="str">
        <f aca="false">IF(COUNTIFS('North Ocean'!$B$6:$B$17,$B36,'North Ocean'!$F$6:$F$17,"&lt;&gt;")=0,"",SUMIFS('North Ocean'!$F$6:$F$17,'North Ocean'!$B$6:$B$17,$B36))</f>
        <v/>
      </c>
      <c r="J36" s="9" t="str">
        <f aca="false">IF(COUNTIFS('North Valley'!$B$6:$B$22,$B36,'North Valley'!$E$6:$E$22,"&lt;&gt;")=0,"",SUMIFS('North Valley'!$E$6:$E$22,'North Valley'!$B$6:$B$22,$B36))</f>
        <v/>
      </c>
      <c r="K36" s="9" t="str">
        <f aca="false">IF(COUNTIFS('North Valley'!$B$6:$B$22,$B36,'North Valley'!$F$6:$F$22,"&lt;&gt;")=0,"",SUMIFS('North Valley'!$F$6:$F$22,'North Valley'!$B$6:$B$22,$B36))</f>
        <v/>
      </c>
      <c r="L36" s="10" t="n">
        <f aca="false">SUM(E36,G36,I36,K36)</f>
        <v>0</v>
      </c>
      <c r="M36" s="8"/>
    </row>
    <row r="37" customFormat="false" ht="15" hidden="false" customHeight="false" outlineLevel="0" collapsed="false">
      <c r="A37" s="7" t="n">
        <v>6</v>
      </c>
      <c r="B37" s="8" t="s">
        <v>51</v>
      </c>
      <c r="C37" s="7" t="s">
        <v>19</v>
      </c>
      <c r="D37" s="9" t="str">
        <f aca="false">IF(COUNTIFS('North Light'!$B$6:$B$38,$B37,'North Light'!$E$6:$E$38,"&lt;&gt;")=0,"",SUMIFS('North Light'!$E$6:$E$38,'North Light'!$B$6:$B$38,$B37))</f>
        <v/>
      </c>
      <c r="E37" s="9" t="str">
        <f aca="false">IF(COUNTIFS('North Light'!$B$6:$B$38,$B37,'North Light'!$F$6:$F$38,"&lt;&gt;")=0,"",SUMIFS('North Light'!$F$6:$F$38,'North Light'!$B$6:$B$38,$B37))</f>
        <v/>
      </c>
      <c r="F37" s="9" t="str">
        <f aca="false">IF(COUNTIFS('North Moon'!$B$6:$B$13,$B37,'North Moon'!$E$6:$E$13,"&lt;&gt;")=0,"",SUMIFS('North Moon'!$E$6:$E$13,'North Moon'!$B$6:$B$13,$B37))</f>
        <v/>
      </c>
      <c r="G37" s="9" t="str">
        <f aca="false">IF(COUNTIFS('North Moon'!$B$6:$B$13,$B37,'North Moon'!$F$6:$F$13,"&lt;&gt;")=0,"",SUMIFS('North Moon'!$F$6:$F$13,'North Moon'!$B$6:$B$13,$B37))</f>
        <v/>
      </c>
      <c r="H37" s="9" t="str">
        <f aca="false">IF(COUNTIFS('North Ocean'!$B$6:$B$17,$B37,'North Ocean'!$E$6:$E$17,"&lt;&gt;")=0,"",SUMIFS('North Ocean'!$E$6:$E$17,'North Ocean'!$B$6:$B$17,$B37))</f>
        <v/>
      </c>
      <c r="I37" s="9" t="str">
        <f aca="false">IF(COUNTIFS('North Ocean'!$B$6:$B$17,$B37,'North Ocean'!$F$6:$F$17,"&lt;&gt;")=0,"",SUMIFS('North Ocean'!$F$6:$F$17,'North Ocean'!$B$6:$B$17,$B37))</f>
        <v/>
      </c>
      <c r="J37" s="9" t="str">
        <f aca="false">IF(COUNTIFS('North Valley'!$B$6:$B$22,$B37,'North Valley'!$E$6:$E$22,"&lt;&gt;")=0,"",SUMIFS('North Valley'!$E$6:$E$22,'North Valley'!$B$6:$B$22,$B37))</f>
        <v/>
      </c>
      <c r="K37" s="9" t="str">
        <f aca="false">IF(COUNTIFS('North Valley'!$B$6:$B$22,$B37,'North Valley'!$F$6:$F$22,"&lt;&gt;")=0,"",SUMIFS('North Valley'!$F$6:$F$22,'North Valley'!$B$6:$B$22,$B37))</f>
        <v/>
      </c>
      <c r="L37" s="10" t="n">
        <f aca="false">SUM(E37,G37,I37,K37)</f>
        <v>0</v>
      </c>
      <c r="M37" s="8"/>
    </row>
    <row r="38" customFormat="false" ht="15" hidden="false" customHeight="false" outlineLevel="0" collapsed="false">
      <c r="A38" s="7" t="n">
        <v>7</v>
      </c>
      <c r="B38" s="8" t="s">
        <v>52</v>
      </c>
      <c r="C38" s="7" t="s">
        <v>22</v>
      </c>
      <c r="D38" s="9" t="str">
        <f aca="false">IF(COUNTIFS('North Light'!$B$6:$B$38,$B38,'North Light'!$E$6:$E$38,"&lt;&gt;")=0,"",SUMIFS('North Light'!$E$6:$E$38,'North Light'!$B$6:$B$38,$B38))</f>
        <v/>
      </c>
      <c r="E38" s="9" t="str">
        <f aca="false">IF(COUNTIFS('North Light'!$B$6:$B$38,$B38,'North Light'!$F$6:$F$38,"&lt;&gt;")=0,"",SUMIFS('North Light'!$F$6:$F$38,'North Light'!$B$6:$B$38,$B38))</f>
        <v/>
      </c>
      <c r="F38" s="9" t="str">
        <f aca="false">IF(COUNTIFS('North Moon'!$B$6:$B$13,$B38,'North Moon'!$E$6:$E$13,"&lt;&gt;")=0,"",SUMIFS('North Moon'!$E$6:$E$13,'North Moon'!$B$6:$B$13,$B38))</f>
        <v/>
      </c>
      <c r="G38" s="9" t="str">
        <f aca="false">IF(COUNTIFS('North Moon'!$B$6:$B$13,$B38,'North Moon'!$F$6:$F$13,"&lt;&gt;")=0,"",SUMIFS('North Moon'!$F$6:$F$13,'North Moon'!$B$6:$B$13,$B38))</f>
        <v/>
      </c>
      <c r="H38" s="9" t="str">
        <f aca="false">IF(COUNTIFS('North Ocean'!$B$6:$B$17,$B38,'North Ocean'!$E$6:$E$17,"&lt;&gt;")=0,"",SUMIFS('North Ocean'!$E$6:$E$17,'North Ocean'!$B$6:$B$17,$B38))</f>
        <v/>
      </c>
      <c r="I38" s="9" t="str">
        <f aca="false">IF(COUNTIFS('North Ocean'!$B$6:$B$17,$B38,'North Ocean'!$F$6:$F$17,"&lt;&gt;")=0,"",SUMIFS('North Ocean'!$F$6:$F$17,'North Ocean'!$B$6:$B$17,$B38))</f>
        <v/>
      </c>
      <c r="J38" s="9" t="str">
        <f aca="false">IF(COUNTIFS('North Valley'!$B$6:$B$22,$B38,'North Valley'!$E$6:$E$22,"&lt;&gt;")=0,"",SUMIFS('North Valley'!$E$6:$E$22,'North Valley'!$B$6:$B$22,$B38))</f>
        <v/>
      </c>
      <c r="K38" s="9" t="str">
        <f aca="false">IF(COUNTIFS('North Valley'!$B$6:$B$22,$B38,'North Valley'!$F$6:$F$22,"&lt;&gt;")=0,"",SUMIFS('North Valley'!$F$6:$F$22,'North Valley'!$B$6:$B$22,$B38))</f>
        <v/>
      </c>
      <c r="L38" s="10" t="n">
        <f aca="false">SUM(E38,G38,I38,K38)</f>
        <v>0</v>
      </c>
      <c r="M38" s="8"/>
    </row>
    <row r="39" customFormat="false" ht="15" hidden="false" customHeight="false" outlineLevel="0" collapsed="false">
      <c r="A39" s="7" t="n">
        <v>8</v>
      </c>
      <c r="B39" s="8" t="s">
        <v>53</v>
      </c>
      <c r="C39" s="7" t="s">
        <v>22</v>
      </c>
      <c r="D39" s="9" t="str">
        <f aca="false">IF(COUNTIFS('North Light'!$B$6:$B$38,$B39,'North Light'!$E$6:$E$38,"&lt;&gt;")=0,"",SUMIFS('North Light'!$E$6:$E$38,'North Light'!$B$6:$B$38,$B39))</f>
        <v/>
      </c>
      <c r="E39" s="9" t="str">
        <f aca="false">IF(COUNTIFS('North Light'!$B$6:$B$38,$B39,'North Light'!$F$6:$F$38,"&lt;&gt;")=0,"",SUMIFS('North Light'!$F$6:$F$38,'North Light'!$B$6:$B$38,$B39))</f>
        <v/>
      </c>
      <c r="F39" s="9" t="str">
        <f aca="false">IF(COUNTIFS('North Moon'!$B$6:$B$13,$B39,'North Moon'!$E$6:$E$13,"&lt;&gt;")=0,"",SUMIFS('North Moon'!$E$6:$E$13,'North Moon'!$B$6:$B$13,$B39))</f>
        <v/>
      </c>
      <c r="G39" s="9" t="str">
        <f aca="false">IF(COUNTIFS('North Moon'!$B$6:$B$13,$B39,'North Moon'!$F$6:$F$13,"&lt;&gt;")=0,"",SUMIFS('North Moon'!$F$6:$F$13,'North Moon'!$B$6:$B$13,$B39))</f>
        <v/>
      </c>
      <c r="H39" s="9" t="str">
        <f aca="false">IF(COUNTIFS('North Ocean'!$B$6:$B$17,$B39,'North Ocean'!$E$6:$E$17,"&lt;&gt;")=0,"",SUMIFS('North Ocean'!$E$6:$E$17,'North Ocean'!$B$6:$B$17,$B39))</f>
        <v/>
      </c>
      <c r="I39" s="9" t="str">
        <f aca="false">IF(COUNTIFS('North Ocean'!$B$6:$B$17,$B39,'North Ocean'!$F$6:$F$17,"&lt;&gt;")=0,"",SUMIFS('North Ocean'!$F$6:$F$17,'North Ocean'!$B$6:$B$17,$B39))</f>
        <v/>
      </c>
      <c r="J39" s="9" t="str">
        <f aca="false">IF(COUNTIFS('North Valley'!$B$6:$B$22,$B39,'North Valley'!$E$6:$E$22,"&lt;&gt;")=0,"",SUMIFS('North Valley'!$E$6:$E$22,'North Valley'!$B$6:$B$22,$B39))</f>
        <v/>
      </c>
      <c r="K39" s="9" t="str">
        <f aca="false">IF(COUNTIFS('North Valley'!$B$6:$B$22,$B39,'North Valley'!$F$6:$F$22,"&lt;&gt;")=0,"",SUMIFS('North Valley'!$F$6:$F$22,'North Valley'!$B$6:$B$22,$B39))</f>
        <v/>
      </c>
      <c r="L39" s="10" t="n">
        <f aca="false">SUM(E39,G39,I39,K39)</f>
        <v>0</v>
      </c>
      <c r="M39" s="8"/>
    </row>
    <row r="40" customFormat="false" ht="15" hidden="false" customHeight="false" outlineLevel="0" collapsed="false">
      <c r="A40" s="7" t="n">
        <v>9</v>
      </c>
      <c r="B40" s="8" t="s">
        <v>54</v>
      </c>
      <c r="C40" s="7" t="s">
        <v>19</v>
      </c>
      <c r="D40" s="9" t="str">
        <f aca="false">IF(COUNTIFS('North Light'!$B$6:$B$38,$B40,'North Light'!$E$6:$E$38,"&lt;&gt;")=0,"",SUMIFS('North Light'!$E$6:$E$38,'North Light'!$B$6:$B$38,$B40))</f>
        <v/>
      </c>
      <c r="E40" s="9" t="str">
        <f aca="false">IF(COUNTIFS('North Light'!$B$6:$B$38,$B40,'North Light'!$F$6:$F$38,"&lt;&gt;")=0,"",SUMIFS('North Light'!$F$6:$F$38,'North Light'!$B$6:$B$38,$B40))</f>
        <v/>
      </c>
      <c r="F40" s="9" t="str">
        <f aca="false">IF(COUNTIFS('North Moon'!$B$6:$B$13,$B40,'North Moon'!$E$6:$E$13,"&lt;&gt;")=0,"",SUMIFS('North Moon'!$E$6:$E$13,'North Moon'!$B$6:$B$13,$B40))</f>
        <v/>
      </c>
      <c r="G40" s="9" t="str">
        <f aca="false">IF(COUNTIFS('North Moon'!$B$6:$B$13,$B40,'North Moon'!$F$6:$F$13,"&lt;&gt;")=0,"",SUMIFS('North Moon'!$F$6:$F$13,'North Moon'!$B$6:$B$13,$B40))</f>
        <v/>
      </c>
      <c r="H40" s="9" t="str">
        <f aca="false">IF(COUNTIFS('North Ocean'!$B$6:$B$17,$B40,'North Ocean'!$E$6:$E$17,"&lt;&gt;")=0,"",SUMIFS('North Ocean'!$E$6:$E$17,'North Ocean'!$B$6:$B$17,$B40))</f>
        <v/>
      </c>
      <c r="I40" s="9" t="str">
        <f aca="false">IF(COUNTIFS('North Ocean'!$B$6:$B$17,$B40,'North Ocean'!$F$6:$F$17,"&lt;&gt;")=0,"",SUMIFS('North Ocean'!$F$6:$F$17,'North Ocean'!$B$6:$B$17,$B40))</f>
        <v/>
      </c>
      <c r="J40" s="9" t="str">
        <f aca="false">IF(COUNTIFS('North Valley'!$B$6:$B$22,$B40,'North Valley'!$E$6:$E$22,"&lt;&gt;")=0,"",SUMIFS('North Valley'!$E$6:$E$22,'North Valley'!$B$6:$B$22,$B40))</f>
        <v/>
      </c>
      <c r="K40" s="9" t="str">
        <f aca="false">IF(COUNTIFS('North Valley'!$B$6:$B$22,$B40,'North Valley'!$F$6:$F$22,"&lt;&gt;")=0,"",SUMIFS('North Valley'!$F$6:$F$22,'North Valley'!$B$6:$B$22,$B40))</f>
        <v/>
      </c>
      <c r="L40" s="10" t="n">
        <f aca="false">SUM(E40,G40,I40,K40)</f>
        <v>0</v>
      </c>
      <c r="M40" s="8"/>
    </row>
    <row r="41" customFormat="false" ht="15" hidden="false" customHeight="false" outlineLevel="0" collapsed="false">
      <c r="A41" s="7" t="n">
        <v>10</v>
      </c>
      <c r="B41" s="8" t="s">
        <v>55</v>
      </c>
      <c r="C41" s="7" t="s">
        <v>19</v>
      </c>
      <c r="D41" s="9" t="str">
        <f aca="false">IF(COUNTIFS('North Light'!$B$6:$B$38,$B41,'North Light'!$E$6:$E$38,"&lt;&gt;")=0,"",SUMIFS('North Light'!$E$6:$E$38,'North Light'!$B$6:$B$38,$B41))</f>
        <v/>
      </c>
      <c r="E41" s="9" t="str">
        <f aca="false">IF(COUNTIFS('North Light'!$B$6:$B$38,$B41,'North Light'!$F$6:$F$38,"&lt;&gt;")=0,"",SUMIFS('North Light'!$F$6:$F$38,'North Light'!$B$6:$B$38,$B41))</f>
        <v/>
      </c>
      <c r="F41" s="9" t="str">
        <f aca="false">IF(COUNTIFS('North Moon'!$B$6:$B$13,$B41,'North Moon'!$E$6:$E$13,"&lt;&gt;")=0,"",SUMIFS('North Moon'!$E$6:$E$13,'North Moon'!$B$6:$B$13,$B41))</f>
        <v/>
      </c>
      <c r="G41" s="9" t="str">
        <f aca="false">IF(COUNTIFS('North Moon'!$B$6:$B$13,$B41,'North Moon'!$F$6:$F$13,"&lt;&gt;")=0,"",SUMIFS('North Moon'!$F$6:$F$13,'North Moon'!$B$6:$B$13,$B41))</f>
        <v/>
      </c>
      <c r="H41" s="9" t="str">
        <f aca="false">IF(COUNTIFS('North Ocean'!$B$6:$B$17,$B41,'North Ocean'!$E$6:$E$17,"&lt;&gt;")=0,"",SUMIFS('North Ocean'!$E$6:$E$17,'North Ocean'!$B$6:$B$17,$B41))</f>
        <v/>
      </c>
      <c r="I41" s="9" t="str">
        <f aca="false">IF(COUNTIFS('North Ocean'!$B$6:$B$17,$B41,'North Ocean'!$F$6:$F$17,"&lt;&gt;")=0,"",SUMIFS('North Ocean'!$F$6:$F$17,'North Ocean'!$B$6:$B$17,$B41))</f>
        <v/>
      </c>
      <c r="J41" s="9" t="str">
        <f aca="false">IF(COUNTIFS('North Valley'!$B$6:$B$22,$B41,'North Valley'!$E$6:$E$22,"&lt;&gt;")=0,"",SUMIFS('North Valley'!$E$6:$E$22,'North Valley'!$B$6:$B$22,$B41))</f>
        <v/>
      </c>
      <c r="K41" s="9" t="str">
        <f aca="false">IF(COUNTIFS('North Valley'!$B$6:$B$22,$B41,'North Valley'!$F$6:$F$22,"&lt;&gt;")=0,"",SUMIFS('North Valley'!$F$6:$F$22,'North Valley'!$B$6:$B$22,$B41))</f>
        <v/>
      </c>
      <c r="L41" s="10" t="n">
        <f aca="false">SUM(E41,G41,I41,K41)</f>
        <v>0</v>
      </c>
      <c r="M41" s="8"/>
    </row>
    <row r="42" customFormat="false" ht="15" hidden="false" customHeight="false" outlineLevel="0" collapsed="false">
      <c r="A42" s="7" t="n">
        <v>11</v>
      </c>
      <c r="B42" s="8" t="s">
        <v>56</v>
      </c>
      <c r="C42" s="7" t="s">
        <v>19</v>
      </c>
      <c r="D42" s="9" t="str">
        <f aca="false">IF(COUNTIFS('North Light'!$B$6:$B$38,$B42,'North Light'!$E$6:$E$38,"&lt;&gt;")=0,"",SUMIFS('North Light'!$E$6:$E$38,'North Light'!$B$6:$B$38,$B42))</f>
        <v/>
      </c>
      <c r="E42" s="9" t="str">
        <f aca="false">IF(COUNTIFS('North Light'!$B$6:$B$38,$B42,'North Light'!$F$6:$F$38,"&lt;&gt;")=0,"",SUMIFS('North Light'!$F$6:$F$38,'North Light'!$B$6:$B$38,$B42))</f>
        <v/>
      </c>
      <c r="F42" s="9" t="str">
        <f aca="false">IF(COUNTIFS('North Moon'!$B$6:$B$13,$B42,'North Moon'!$E$6:$E$13,"&lt;&gt;")=0,"",SUMIFS('North Moon'!$E$6:$E$13,'North Moon'!$B$6:$B$13,$B42))</f>
        <v/>
      </c>
      <c r="G42" s="9" t="str">
        <f aca="false">IF(COUNTIFS('North Moon'!$B$6:$B$13,$B42,'North Moon'!$F$6:$F$13,"&lt;&gt;")=0,"",SUMIFS('North Moon'!$F$6:$F$13,'North Moon'!$B$6:$B$13,$B42))</f>
        <v/>
      </c>
      <c r="H42" s="9" t="str">
        <f aca="false">IF(COUNTIFS('North Ocean'!$B$6:$B$17,$B42,'North Ocean'!$E$6:$E$17,"&lt;&gt;")=0,"",SUMIFS('North Ocean'!$E$6:$E$17,'North Ocean'!$B$6:$B$17,$B42))</f>
        <v/>
      </c>
      <c r="I42" s="9" t="str">
        <f aca="false">IF(COUNTIFS('North Ocean'!$B$6:$B$17,$B42,'North Ocean'!$F$6:$F$17,"&lt;&gt;")=0,"",SUMIFS('North Ocean'!$F$6:$F$17,'North Ocean'!$B$6:$B$17,$B42))</f>
        <v/>
      </c>
      <c r="J42" s="9" t="str">
        <f aca="false">IF(COUNTIFS('North Valley'!$B$6:$B$22,$B42,'North Valley'!$E$6:$E$22,"&lt;&gt;")=0,"",SUMIFS('North Valley'!$E$6:$E$22,'North Valley'!$B$6:$B$22,$B42))</f>
        <v/>
      </c>
      <c r="K42" s="9" t="str">
        <f aca="false">IF(COUNTIFS('North Valley'!$B$6:$B$22,$B42,'North Valley'!$F$6:$F$22,"&lt;&gt;")=0,"",SUMIFS('North Valley'!$F$6:$F$22,'North Valley'!$B$6:$B$22,$B42))</f>
        <v/>
      </c>
      <c r="L42" s="10" t="n">
        <f aca="false">SUM(E42,G42,I42,K42)</f>
        <v>0</v>
      </c>
      <c r="M42" s="8"/>
    </row>
    <row r="43" customFormat="false" ht="15" hidden="false" customHeight="false" outlineLevel="0" collapsed="false">
      <c r="A43" s="7" t="n">
        <v>12</v>
      </c>
      <c r="B43" s="8" t="s">
        <v>57</v>
      </c>
      <c r="C43" s="7" t="s">
        <v>19</v>
      </c>
      <c r="D43" s="9" t="str">
        <f aca="false">IF(COUNTIFS('North Light'!$B$6:$B$38,$B43,'North Light'!$E$6:$E$38,"&lt;&gt;")=0,"",SUMIFS('North Light'!$E$6:$E$38,'North Light'!$B$6:$B$38,$B43))</f>
        <v/>
      </c>
      <c r="E43" s="9" t="str">
        <f aca="false">IF(COUNTIFS('North Light'!$B$6:$B$38,$B43,'North Light'!$F$6:$F$38,"&lt;&gt;")=0,"",SUMIFS('North Light'!$F$6:$F$38,'North Light'!$B$6:$B$38,$B43))</f>
        <v/>
      </c>
      <c r="F43" s="9" t="str">
        <f aca="false">IF(COUNTIFS('North Moon'!$B$6:$B$13,$B43,'North Moon'!$E$6:$E$13,"&lt;&gt;")=0,"",SUMIFS('North Moon'!$E$6:$E$13,'North Moon'!$B$6:$B$13,$B43))</f>
        <v/>
      </c>
      <c r="G43" s="9" t="str">
        <f aca="false">IF(COUNTIFS('North Moon'!$B$6:$B$13,$B43,'North Moon'!$F$6:$F$13,"&lt;&gt;")=0,"",SUMIFS('North Moon'!$F$6:$F$13,'North Moon'!$B$6:$B$13,$B43))</f>
        <v/>
      </c>
      <c r="H43" s="9" t="str">
        <f aca="false">IF(COUNTIFS('North Ocean'!$B$6:$B$17,$B43,'North Ocean'!$E$6:$E$17,"&lt;&gt;")=0,"",SUMIFS('North Ocean'!$E$6:$E$17,'North Ocean'!$B$6:$B$17,$B43))</f>
        <v/>
      </c>
      <c r="I43" s="9" t="str">
        <f aca="false">IF(COUNTIFS('North Ocean'!$B$6:$B$17,$B43,'North Ocean'!$F$6:$F$17,"&lt;&gt;")=0,"",SUMIFS('North Ocean'!$F$6:$F$17,'North Ocean'!$B$6:$B$17,$B43))</f>
        <v/>
      </c>
      <c r="J43" s="9" t="str">
        <f aca="false">IF(COUNTIFS('North Valley'!$B$6:$B$22,$B43,'North Valley'!$E$6:$E$22,"&lt;&gt;")=0,"",SUMIFS('North Valley'!$E$6:$E$22,'North Valley'!$B$6:$B$22,$B43))</f>
        <v/>
      </c>
      <c r="K43" s="9" t="str">
        <f aca="false">IF(COUNTIFS('North Valley'!$B$6:$B$22,$B43,'North Valley'!$F$6:$F$22,"&lt;&gt;")=0,"",SUMIFS('North Valley'!$F$6:$F$22,'North Valley'!$B$6:$B$22,$B43))</f>
        <v/>
      </c>
      <c r="L43" s="10" t="n">
        <f aca="false">SUM(E43,G43,I43,K43)</f>
        <v>0</v>
      </c>
      <c r="M43" s="8"/>
    </row>
    <row r="44" customFormat="false" ht="15" hidden="false" customHeight="false" outlineLevel="0" collapsed="false">
      <c r="A44" s="7" t="n">
        <v>13</v>
      </c>
      <c r="B44" s="8" t="s">
        <v>58</v>
      </c>
      <c r="C44" s="7" t="s">
        <v>19</v>
      </c>
      <c r="D44" s="9" t="str">
        <f aca="false">IF(COUNTIFS('North Light'!$B$6:$B$38,$B44,'North Light'!$E$6:$E$38,"&lt;&gt;")=0,"",SUMIFS('North Light'!$E$6:$E$38,'North Light'!$B$6:$B$38,$B44))</f>
        <v/>
      </c>
      <c r="E44" s="9" t="str">
        <f aca="false">IF(COUNTIFS('North Light'!$B$6:$B$38,$B44,'North Light'!$F$6:$F$38,"&lt;&gt;")=0,"",SUMIFS('North Light'!$F$6:$F$38,'North Light'!$B$6:$B$38,$B44))</f>
        <v/>
      </c>
      <c r="F44" s="9" t="str">
        <f aca="false">IF(COUNTIFS('North Moon'!$B$6:$B$13,$B44,'North Moon'!$E$6:$E$13,"&lt;&gt;")=0,"",SUMIFS('North Moon'!$E$6:$E$13,'North Moon'!$B$6:$B$13,$B44))</f>
        <v/>
      </c>
      <c r="G44" s="9" t="str">
        <f aca="false">IF(COUNTIFS('North Moon'!$B$6:$B$13,$B44,'North Moon'!$F$6:$F$13,"&lt;&gt;")=0,"",SUMIFS('North Moon'!$F$6:$F$13,'North Moon'!$B$6:$B$13,$B44))</f>
        <v/>
      </c>
      <c r="H44" s="9" t="str">
        <f aca="false">IF(COUNTIFS('North Ocean'!$B$6:$B$17,$B44,'North Ocean'!$E$6:$E$17,"&lt;&gt;")=0,"",SUMIFS('North Ocean'!$E$6:$E$17,'North Ocean'!$B$6:$B$17,$B44))</f>
        <v/>
      </c>
      <c r="I44" s="9" t="str">
        <f aca="false">IF(COUNTIFS('North Ocean'!$B$6:$B$17,$B44,'North Ocean'!$F$6:$F$17,"&lt;&gt;")=0,"",SUMIFS('North Ocean'!$F$6:$F$17,'North Ocean'!$B$6:$B$17,$B44))</f>
        <v/>
      </c>
      <c r="J44" s="9" t="str">
        <f aca="false">IF(COUNTIFS('North Valley'!$B$6:$B$22,$B44,'North Valley'!$E$6:$E$22,"&lt;&gt;")=0,"",SUMIFS('North Valley'!$E$6:$E$22,'North Valley'!$B$6:$B$22,$B44))</f>
        <v/>
      </c>
      <c r="K44" s="9" t="str">
        <f aca="false">IF(COUNTIFS('North Valley'!$B$6:$B$22,$B44,'North Valley'!$F$6:$F$22,"&lt;&gt;")=0,"",SUMIFS('North Valley'!$F$6:$F$22,'North Valley'!$B$6:$B$22,$B44))</f>
        <v/>
      </c>
      <c r="L44" s="10" t="n">
        <f aca="false">SUM(E44,G44,I44,K44)</f>
        <v>0</v>
      </c>
      <c r="M44" s="8"/>
    </row>
    <row r="45" customFormat="false" ht="15" hidden="false" customHeight="false" outlineLevel="0" collapsed="false">
      <c r="A45" s="7" t="n">
        <v>14</v>
      </c>
      <c r="B45" s="8" t="s">
        <v>59</v>
      </c>
      <c r="C45" s="7" t="s">
        <v>19</v>
      </c>
      <c r="D45" s="9" t="str">
        <f aca="false">IF(COUNTIFS('North Light'!$B$6:$B$38,$B45,'North Light'!$E$6:$E$38,"&lt;&gt;")=0,"",SUMIFS('North Light'!$E$6:$E$38,'North Light'!$B$6:$B$38,$B45))</f>
        <v/>
      </c>
      <c r="E45" s="9" t="str">
        <f aca="false">IF(COUNTIFS('North Light'!$B$6:$B$38,$B45,'North Light'!$F$6:$F$38,"&lt;&gt;")=0,"",SUMIFS('North Light'!$F$6:$F$38,'North Light'!$B$6:$B$38,$B45))</f>
        <v/>
      </c>
      <c r="F45" s="9" t="str">
        <f aca="false">IF(COUNTIFS('North Moon'!$B$6:$B$13,$B45,'North Moon'!$E$6:$E$13,"&lt;&gt;")=0,"",SUMIFS('North Moon'!$E$6:$E$13,'North Moon'!$B$6:$B$13,$B45))</f>
        <v/>
      </c>
      <c r="G45" s="9" t="str">
        <f aca="false">IF(COUNTIFS('North Moon'!$B$6:$B$13,$B45,'North Moon'!$F$6:$F$13,"&lt;&gt;")=0,"",SUMIFS('North Moon'!$F$6:$F$13,'North Moon'!$B$6:$B$13,$B45))</f>
        <v/>
      </c>
      <c r="H45" s="9" t="str">
        <f aca="false">IF(COUNTIFS('North Ocean'!$B$6:$B$17,$B45,'North Ocean'!$E$6:$E$17,"&lt;&gt;")=0,"",SUMIFS('North Ocean'!$E$6:$E$17,'North Ocean'!$B$6:$B$17,$B45))</f>
        <v/>
      </c>
      <c r="I45" s="9" t="str">
        <f aca="false">IF(COUNTIFS('North Ocean'!$B$6:$B$17,$B45,'North Ocean'!$F$6:$F$17,"&lt;&gt;")=0,"",SUMIFS('North Ocean'!$F$6:$F$17,'North Ocean'!$B$6:$B$17,$B45))</f>
        <v/>
      </c>
      <c r="J45" s="9" t="str">
        <f aca="false">IF(COUNTIFS('North Valley'!$B$6:$B$22,$B45,'North Valley'!$E$6:$E$22,"&lt;&gt;")=0,"",SUMIFS('North Valley'!$E$6:$E$22,'North Valley'!$B$6:$B$22,$B45))</f>
        <v/>
      </c>
      <c r="K45" s="9" t="str">
        <f aca="false">IF(COUNTIFS('North Valley'!$B$6:$B$22,$B45,'North Valley'!$F$6:$F$22,"&lt;&gt;")=0,"",SUMIFS('North Valley'!$F$6:$F$22,'North Valley'!$B$6:$B$22,$B45))</f>
        <v/>
      </c>
      <c r="L45" s="10" t="n">
        <f aca="false">SUM(E45,G45,I45,K45)</f>
        <v>0</v>
      </c>
      <c r="M45" s="8"/>
    </row>
    <row r="46" customFormat="false" ht="15" hidden="false" customHeight="false" outlineLevel="0" collapsed="false">
      <c r="A46" s="7" t="n">
        <v>15</v>
      </c>
      <c r="B46" s="8" t="s">
        <v>60</v>
      </c>
      <c r="C46" s="7" t="s">
        <v>19</v>
      </c>
      <c r="D46" s="9" t="str">
        <f aca="false">IF(COUNTIFS('North Light'!$B$6:$B$38,$B46,'North Light'!$E$6:$E$38,"&lt;&gt;")=0,"",SUMIFS('North Light'!$E$6:$E$38,'North Light'!$B$6:$B$38,$B46))</f>
        <v/>
      </c>
      <c r="E46" s="9" t="str">
        <f aca="false">IF(COUNTIFS('North Light'!$B$6:$B$38,$B46,'North Light'!$F$6:$F$38,"&lt;&gt;")=0,"",SUMIFS('North Light'!$F$6:$F$38,'North Light'!$B$6:$B$38,$B46))</f>
        <v/>
      </c>
      <c r="F46" s="9" t="str">
        <f aca="false">IF(COUNTIFS('North Moon'!$B$6:$B$13,$B46,'North Moon'!$E$6:$E$13,"&lt;&gt;")=0,"",SUMIFS('North Moon'!$E$6:$E$13,'North Moon'!$B$6:$B$13,$B46))</f>
        <v/>
      </c>
      <c r="G46" s="9" t="str">
        <f aca="false">IF(COUNTIFS('North Moon'!$B$6:$B$13,$B46,'North Moon'!$F$6:$F$13,"&lt;&gt;")=0,"",SUMIFS('North Moon'!$F$6:$F$13,'North Moon'!$B$6:$B$13,$B46))</f>
        <v/>
      </c>
      <c r="H46" s="9" t="str">
        <f aca="false">IF(COUNTIFS('North Ocean'!$B$6:$B$17,$B46,'North Ocean'!$E$6:$E$17,"&lt;&gt;")=0,"",SUMIFS('North Ocean'!$E$6:$E$17,'North Ocean'!$B$6:$B$17,$B46))</f>
        <v/>
      </c>
      <c r="I46" s="9" t="str">
        <f aca="false">IF(COUNTIFS('North Ocean'!$B$6:$B$17,$B46,'North Ocean'!$F$6:$F$17,"&lt;&gt;")=0,"",SUMIFS('North Ocean'!$F$6:$F$17,'North Ocean'!$B$6:$B$17,$B46))</f>
        <v/>
      </c>
      <c r="J46" s="9" t="str">
        <f aca="false">IF(COUNTIFS('North Valley'!$B$6:$B$22,$B46,'North Valley'!$E$6:$E$22,"&lt;&gt;")=0,"",SUMIFS('North Valley'!$E$6:$E$22,'North Valley'!$B$6:$B$22,$B46))</f>
        <v/>
      </c>
      <c r="K46" s="9" t="str">
        <f aca="false">IF(COUNTIFS('North Valley'!$B$6:$B$22,$B46,'North Valley'!$F$6:$F$22,"&lt;&gt;")=0,"",SUMIFS('North Valley'!$F$6:$F$22,'North Valley'!$B$6:$B$22,$B46))</f>
        <v/>
      </c>
      <c r="L46" s="10" t="n">
        <f aca="false">SUM(E46,G46,I46,K46)</f>
        <v>0</v>
      </c>
      <c r="M46" s="8"/>
    </row>
    <row r="47" customFormat="false" ht="15" hidden="false" customHeight="false" outlineLevel="0" collapsed="false">
      <c r="A47" s="7" t="n">
        <v>16</v>
      </c>
      <c r="B47" s="8" t="s">
        <v>61</v>
      </c>
      <c r="C47" s="7" t="s">
        <v>19</v>
      </c>
      <c r="D47" s="9" t="str">
        <f aca="false">IF(COUNTIFS('North Light'!$B$6:$B$38,$B47,'North Light'!$E$6:$E$38,"&lt;&gt;")=0,"",SUMIFS('North Light'!$E$6:$E$38,'North Light'!$B$6:$B$38,$B47))</f>
        <v/>
      </c>
      <c r="E47" s="9" t="str">
        <f aca="false">IF(COUNTIFS('North Light'!$B$6:$B$38,$B47,'North Light'!$F$6:$F$38,"&lt;&gt;")=0,"",SUMIFS('North Light'!$F$6:$F$38,'North Light'!$B$6:$B$38,$B47))</f>
        <v/>
      </c>
      <c r="F47" s="9" t="str">
        <f aca="false">IF(COUNTIFS('North Moon'!$B$6:$B$13,$B47,'North Moon'!$E$6:$E$13,"&lt;&gt;")=0,"",SUMIFS('North Moon'!$E$6:$E$13,'North Moon'!$B$6:$B$13,$B47))</f>
        <v/>
      </c>
      <c r="G47" s="9" t="str">
        <f aca="false">IF(COUNTIFS('North Moon'!$B$6:$B$13,$B47,'North Moon'!$F$6:$F$13,"&lt;&gt;")=0,"",SUMIFS('North Moon'!$F$6:$F$13,'North Moon'!$B$6:$B$13,$B47))</f>
        <v/>
      </c>
      <c r="H47" s="9" t="str">
        <f aca="false">IF(COUNTIFS('North Ocean'!$B$6:$B$17,$B47,'North Ocean'!$E$6:$E$17,"&lt;&gt;")=0,"",SUMIFS('North Ocean'!$E$6:$E$17,'North Ocean'!$B$6:$B$17,$B47))</f>
        <v/>
      </c>
      <c r="I47" s="9" t="str">
        <f aca="false">IF(COUNTIFS('North Ocean'!$B$6:$B$17,$B47,'North Ocean'!$F$6:$F$17,"&lt;&gt;")=0,"",SUMIFS('North Ocean'!$F$6:$F$17,'North Ocean'!$B$6:$B$17,$B47))</f>
        <v/>
      </c>
      <c r="J47" s="9" t="str">
        <f aca="false">IF(COUNTIFS('North Valley'!$B$6:$B$22,$B47,'North Valley'!$E$6:$E$22,"&lt;&gt;")=0,"",SUMIFS('North Valley'!$E$6:$E$22,'North Valley'!$B$6:$B$22,$B47))</f>
        <v/>
      </c>
      <c r="K47" s="9" t="str">
        <f aca="false">IF(COUNTIFS('North Valley'!$B$6:$B$22,$B47,'North Valley'!$F$6:$F$22,"&lt;&gt;")=0,"",SUMIFS('North Valley'!$F$6:$F$22,'North Valley'!$B$6:$B$22,$B47))</f>
        <v/>
      </c>
      <c r="L47" s="10" t="n">
        <f aca="false">SUM(E47,G47,I47,K47)</f>
        <v>0</v>
      </c>
      <c r="M47" s="8"/>
    </row>
  </sheetData>
  <mergeCells count="11">
    <mergeCell ref="A6:A7"/>
    <mergeCell ref="B6:B7"/>
    <mergeCell ref="C6:C7"/>
    <mergeCell ref="D6:E6"/>
    <mergeCell ref="F6:G6"/>
    <mergeCell ref="H6:I6"/>
    <mergeCell ref="J6:K6"/>
    <mergeCell ref="L6:L7"/>
    <mergeCell ref="M6:M7"/>
    <mergeCell ref="A8:M8"/>
    <mergeCell ref="A31:M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11" t="s">
        <v>63</v>
      </c>
    </row>
    <row r="3" customFormat="false" ht="15" hidden="false" customHeight="false" outlineLevel="0" collapsed="false">
      <c r="A3" s="11" t="s">
        <v>64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65</v>
      </c>
      <c r="D5" s="5" t="s">
        <v>8</v>
      </c>
      <c r="E5" s="5" t="s">
        <v>15</v>
      </c>
      <c r="F5" s="5" t="s">
        <v>16</v>
      </c>
      <c r="G5" s="5" t="s">
        <v>66</v>
      </c>
      <c r="H5" s="5" t="s">
        <v>14</v>
      </c>
    </row>
    <row r="6" customFormat="false" ht="14.15" hidden="false" customHeight="false" outlineLevel="0" collapsed="false">
      <c r="A6" s="6" t="s">
        <v>67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7" t="n">
        <v>1</v>
      </c>
      <c r="B7" s="8" t="s">
        <v>18</v>
      </c>
      <c r="C7" s="8" t="s">
        <v>68</v>
      </c>
      <c r="D7" s="7" t="s">
        <v>19</v>
      </c>
      <c r="E7" s="12"/>
      <c r="F7" s="9" t="n">
        <f aca="false">8*'통합 청구'!$C$3</f>
        <v>160</v>
      </c>
      <c r="G7" s="8" t="s">
        <v>69</v>
      </c>
      <c r="H7" s="8" t="s">
        <v>70</v>
      </c>
    </row>
    <row r="8" customFormat="false" ht="15" hidden="false" customHeight="false" outlineLevel="0" collapsed="false">
      <c r="A8" s="7" t="n">
        <v>2</v>
      </c>
      <c r="B8" s="8" t="s">
        <v>20</v>
      </c>
      <c r="C8" s="8" t="s">
        <v>71</v>
      </c>
      <c r="D8" s="7" t="s">
        <v>19</v>
      </c>
      <c r="E8" s="12"/>
      <c r="F8" s="9" t="n">
        <f aca="false">6*'통합 청구'!$C$3</f>
        <v>120</v>
      </c>
      <c r="G8" s="8" t="s">
        <v>72</v>
      </c>
      <c r="H8" s="8" t="s">
        <v>73</v>
      </c>
    </row>
    <row r="9" customFormat="false" ht="35.05" hidden="false" customHeight="false" outlineLevel="0" collapsed="false">
      <c r="A9" s="7" t="n">
        <v>3</v>
      </c>
      <c r="B9" s="8" t="s">
        <v>21</v>
      </c>
      <c r="C9" s="8" t="s">
        <v>74</v>
      </c>
      <c r="D9" s="7" t="s">
        <v>22</v>
      </c>
      <c r="E9" s="12"/>
      <c r="F9" s="13" t="n">
        <v>108</v>
      </c>
      <c r="G9" s="8" t="s">
        <v>75</v>
      </c>
      <c r="H9" s="8" t="s">
        <v>70</v>
      </c>
    </row>
    <row r="10" customFormat="false" ht="15" hidden="false" customHeight="false" outlineLevel="0" collapsed="false">
      <c r="A10" s="7" t="n">
        <v>4</v>
      </c>
      <c r="B10" s="8" t="s">
        <v>26</v>
      </c>
      <c r="C10" s="8" t="s">
        <v>76</v>
      </c>
      <c r="D10" s="7" t="s">
        <v>19</v>
      </c>
      <c r="E10" s="12"/>
      <c r="F10" s="9" t="n">
        <f aca="false">9*'통합 청구'!$C$3</f>
        <v>180</v>
      </c>
      <c r="G10" s="8" t="s">
        <v>77</v>
      </c>
      <c r="H10" s="8" t="s">
        <v>78</v>
      </c>
    </row>
    <row r="11" customFormat="false" ht="25.35" hidden="false" customHeight="false" outlineLevel="0" collapsed="false">
      <c r="A11" s="7" t="n">
        <v>5</v>
      </c>
      <c r="B11" s="8" t="s">
        <v>28</v>
      </c>
      <c r="C11" s="8" t="s">
        <v>79</v>
      </c>
      <c r="D11" s="7" t="s">
        <v>22</v>
      </c>
      <c r="E11" s="12"/>
      <c r="F11" s="13" t="n">
        <v>108</v>
      </c>
      <c r="G11" s="8" t="s">
        <v>75</v>
      </c>
      <c r="H11" s="8" t="s">
        <v>70</v>
      </c>
    </row>
    <row r="12" customFormat="false" ht="15" hidden="false" customHeight="false" outlineLevel="0" collapsed="false">
      <c r="A12" s="7" t="n">
        <v>6</v>
      </c>
      <c r="B12" s="8" t="s">
        <v>31</v>
      </c>
      <c r="C12" s="8" t="s">
        <v>80</v>
      </c>
      <c r="D12" s="7" t="s">
        <v>19</v>
      </c>
      <c r="E12" s="12"/>
      <c r="F12" s="9" t="n">
        <f aca="false">2*'통합 청구'!$C$3</f>
        <v>40</v>
      </c>
      <c r="G12" s="8" t="s">
        <v>81</v>
      </c>
      <c r="H12" s="8" t="s">
        <v>82</v>
      </c>
    </row>
    <row r="13" customFormat="false" ht="15" hidden="false" customHeight="false" outlineLevel="0" collapsed="false">
      <c r="A13" s="7" t="n">
        <v>7</v>
      </c>
      <c r="B13" s="8" t="s">
        <v>32</v>
      </c>
      <c r="C13" s="8" t="s">
        <v>83</v>
      </c>
      <c r="D13" s="7" t="s">
        <v>19</v>
      </c>
      <c r="E13" s="12"/>
      <c r="F13" s="13" t="n">
        <v>40</v>
      </c>
      <c r="G13" s="8" t="s">
        <v>84</v>
      </c>
      <c r="H13" s="8" t="s">
        <v>85</v>
      </c>
    </row>
    <row r="14" customFormat="false" ht="15" hidden="false" customHeight="false" outlineLevel="0" collapsed="false">
      <c r="A14" s="7" t="n">
        <v>8</v>
      </c>
      <c r="B14" s="8" t="s">
        <v>34</v>
      </c>
      <c r="C14" s="8" t="s">
        <v>86</v>
      </c>
      <c r="D14" s="7" t="s">
        <v>19</v>
      </c>
      <c r="E14" s="12"/>
      <c r="F14" s="9" t="n">
        <f aca="false">2*'통합 청구'!$C$3</f>
        <v>40</v>
      </c>
      <c r="G14" s="8" t="s">
        <v>81</v>
      </c>
      <c r="H14" s="8"/>
    </row>
    <row r="15" customFormat="false" ht="15" hidden="false" customHeight="false" outlineLevel="0" collapsed="false">
      <c r="A15" s="7" t="n">
        <v>9</v>
      </c>
      <c r="B15" s="8" t="s">
        <v>37</v>
      </c>
      <c r="C15" s="8" t="s">
        <v>87</v>
      </c>
      <c r="D15" s="7" t="s">
        <v>22</v>
      </c>
      <c r="E15" s="12"/>
      <c r="F15" s="9" t="n">
        <f aca="false">3*'통합 청구'!$C$4</f>
        <v>54</v>
      </c>
      <c r="G15" s="8" t="s">
        <v>88</v>
      </c>
      <c r="H15" s="8" t="s">
        <v>89</v>
      </c>
    </row>
    <row r="16" customFormat="false" ht="26.85" hidden="false" customHeight="false" outlineLevel="0" collapsed="false">
      <c r="A16" s="7" t="n">
        <v>10</v>
      </c>
      <c r="B16" s="8" t="s">
        <v>41</v>
      </c>
      <c r="C16" s="8" t="s">
        <v>90</v>
      </c>
      <c r="D16" s="7" t="s">
        <v>19</v>
      </c>
      <c r="E16" s="13" t="n">
        <f aca="false">21250+740+3690</f>
        <v>25680</v>
      </c>
      <c r="F16" s="13" t="n">
        <v>21000</v>
      </c>
      <c r="G16" s="8" t="s">
        <v>91</v>
      </c>
      <c r="H16" s="8" t="s">
        <v>92</v>
      </c>
    </row>
    <row r="17" customFormat="false" ht="14.15" hidden="false" customHeight="false" outlineLevel="0" collapsed="false">
      <c r="A17" s="6" t="s">
        <v>93</v>
      </c>
      <c r="B17" s="6"/>
      <c r="C17" s="6"/>
      <c r="D17" s="6"/>
      <c r="E17" s="6"/>
      <c r="F17" s="6"/>
      <c r="G17" s="6"/>
      <c r="H17" s="6"/>
    </row>
    <row r="18" customFormat="false" ht="35.05" hidden="false" customHeight="false" outlineLevel="0" collapsed="false">
      <c r="A18" s="7" t="n">
        <v>1</v>
      </c>
      <c r="B18" s="8" t="s">
        <v>46</v>
      </c>
      <c r="C18" s="8" t="s">
        <v>94</v>
      </c>
      <c r="D18" s="7" t="s">
        <v>19</v>
      </c>
      <c r="E18" s="12"/>
      <c r="F18" s="12"/>
      <c r="G18" s="8"/>
      <c r="H18" s="8"/>
    </row>
    <row r="19" customFormat="false" ht="15" hidden="false" customHeight="false" outlineLevel="0" collapsed="false">
      <c r="A19" s="7" t="n">
        <v>2</v>
      </c>
      <c r="B19" s="8" t="s">
        <v>47</v>
      </c>
      <c r="C19" s="8" t="s">
        <v>95</v>
      </c>
      <c r="D19" s="7" t="s">
        <v>19</v>
      </c>
      <c r="E19" s="12"/>
      <c r="F19" s="12"/>
      <c r="G19" s="8"/>
      <c r="H19" s="8"/>
    </row>
    <row r="20" customFormat="false" ht="15" hidden="false" customHeight="false" outlineLevel="0" collapsed="false">
      <c r="A20" s="7" t="n">
        <v>3</v>
      </c>
      <c r="B20" s="8" t="s">
        <v>48</v>
      </c>
      <c r="C20" s="8" t="s">
        <v>96</v>
      </c>
      <c r="D20" s="7" t="s">
        <v>22</v>
      </c>
      <c r="E20" s="12"/>
      <c r="F20" s="12"/>
      <c r="G20" s="8"/>
      <c r="H20" s="8"/>
    </row>
    <row r="21" customFormat="false" ht="25.35" hidden="false" customHeight="false" outlineLevel="0" collapsed="false">
      <c r="A21" s="7" t="n">
        <v>4</v>
      </c>
      <c r="B21" s="8" t="s">
        <v>27</v>
      </c>
      <c r="C21" s="8" t="s">
        <v>97</v>
      </c>
      <c r="D21" s="7" t="s">
        <v>22</v>
      </c>
      <c r="E21" s="12"/>
      <c r="F21" s="12"/>
      <c r="G21" s="8"/>
      <c r="H21" s="8"/>
    </row>
    <row r="22" customFormat="false" ht="15" hidden="false" customHeight="false" outlineLevel="0" collapsed="false">
      <c r="A22" s="7" t="n">
        <v>5</v>
      </c>
      <c r="B22" s="8" t="s">
        <v>30</v>
      </c>
      <c r="C22" s="8" t="s">
        <v>98</v>
      </c>
      <c r="D22" s="7" t="s">
        <v>19</v>
      </c>
      <c r="E22" s="12"/>
      <c r="F22" s="12"/>
      <c r="G22" s="8"/>
      <c r="H22" s="8"/>
    </row>
    <row r="23" customFormat="false" ht="15" hidden="false" customHeight="false" outlineLevel="0" collapsed="false">
      <c r="A23" s="7" t="n">
        <v>6</v>
      </c>
      <c r="B23" s="8" t="s">
        <v>49</v>
      </c>
      <c r="C23" s="8" t="s">
        <v>99</v>
      </c>
      <c r="D23" s="7" t="s">
        <v>19</v>
      </c>
      <c r="E23" s="12"/>
      <c r="F23" s="12"/>
      <c r="G23" s="8"/>
      <c r="H23" s="8"/>
    </row>
    <row r="24" customFormat="false" ht="35.05" hidden="false" customHeight="false" outlineLevel="0" collapsed="false">
      <c r="A24" s="7" t="n">
        <v>7</v>
      </c>
      <c r="B24" s="8" t="s">
        <v>50</v>
      </c>
      <c r="C24" s="8" t="s">
        <v>100</v>
      </c>
      <c r="D24" s="7" t="s">
        <v>19</v>
      </c>
      <c r="E24" s="12"/>
      <c r="F24" s="12"/>
      <c r="G24" s="8"/>
      <c r="H24" s="8"/>
    </row>
    <row r="25" customFormat="false" ht="47.75" hidden="false" customHeight="false" outlineLevel="0" collapsed="false">
      <c r="A25" s="7" t="n">
        <v>8</v>
      </c>
      <c r="B25" s="8" t="s">
        <v>33</v>
      </c>
      <c r="C25" s="8" t="s">
        <v>101</v>
      </c>
      <c r="D25" s="7" t="s">
        <v>19</v>
      </c>
      <c r="E25" s="12"/>
      <c r="F25" s="12"/>
      <c r="G25" s="8"/>
      <c r="H25" s="8"/>
    </row>
    <row r="26" customFormat="false" ht="35.05" hidden="false" customHeight="false" outlineLevel="0" collapsed="false">
      <c r="A26" s="7" t="n">
        <v>9</v>
      </c>
      <c r="B26" s="8" t="s">
        <v>51</v>
      </c>
      <c r="C26" s="8" t="s">
        <v>102</v>
      </c>
      <c r="D26" s="7" t="s">
        <v>19</v>
      </c>
      <c r="E26" s="12"/>
      <c r="F26" s="12"/>
      <c r="G26" s="8"/>
      <c r="H26" s="8"/>
    </row>
    <row r="27" customFormat="false" ht="15" hidden="false" customHeight="false" outlineLevel="0" collapsed="false">
      <c r="A27" s="7" t="n">
        <v>10</v>
      </c>
      <c r="B27" s="8" t="s">
        <v>52</v>
      </c>
      <c r="C27" s="8" t="s">
        <v>103</v>
      </c>
      <c r="D27" s="7" t="s">
        <v>22</v>
      </c>
      <c r="E27" s="12"/>
      <c r="F27" s="12"/>
      <c r="G27" s="8"/>
      <c r="H27" s="8" t="s">
        <v>104</v>
      </c>
    </row>
    <row r="28" customFormat="false" ht="15" hidden="false" customHeight="false" outlineLevel="0" collapsed="false">
      <c r="A28" s="7" t="n">
        <v>11</v>
      </c>
      <c r="B28" s="8" t="s">
        <v>53</v>
      </c>
      <c r="C28" s="8" t="s">
        <v>103</v>
      </c>
      <c r="D28" s="7" t="s">
        <v>22</v>
      </c>
      <c r="E28" s="12"/>
      <c r="F28" s="12"/>
      <c r="G28" s="8"/>
      <c r="H28" s="8" t="s">
        <v>104</v>
      </c>
    </row>
    <row r="29" customFormat="false" ht="15" hidden="false" customHeight="false" outlineLevel="0" collapsed="false">
      <c r="A29" s="7" t="n">
        <v>12</v>
      </c>
      <c r="B29" s="8" t="s">
        <v>54</v>
      </c>
      <c r="C29" s="8" t="s">
        <v>105</v>
      </c>
      <c r="D29" s="7" t="s">
        <v>19</v>
      </c>
      <c r="E29" s="12"/>
      <c r="F29" s="12"/>
      <c r="G29" s="8"/>
      <c r="H29" s="8" t="s">
        <v>106</v>
      </c>
    </row>
    <row r="30" customFormat="false" ht="15" hidden="false" customHeight="false" outlineLevel="0" collapsed="false">
      <c r="A30" s="7" t="n">
        <v>13</v>
      </c>
      <c r="B30" s="8" t="s">
        <v>55</v>
      </c>
      <c r="C30" s="8" t="s">
        <v>107</v>
      </c>
      <c r="D30" s="7" t="s">
        <v>19</v>
      </c>
      <c r="E30" s="12"/>
      <c r="F30" s="12"/>
      <c r="G30" s="8"/>
      <c r="H30" s="8"/>
    </row>
    <row r="31" customFormat="false" ht="23.85" hidden="false" customHeight="false" outlineLevel="0" collapsed="false">
      <c r="A31" s="7" t="n">
        <v>14</v>
      </c>
      <c r="B31" s="8" t="s">
        <v>56</v>
      </c>
      <c r="C31" s="8" t="s">
        <v>108</v>
      </c>
      <c r="D31" s="7" t="s">
        <v>19</v>
      </c>
      <c r="E31" s="12"/>
      <c r="F31" s="12"/>
      <c r="G31" s="8"/>
      <c r="H31" s="8"/>
    </row>
    <row r="32" customFormat="false" ht="23.85" hidden="false" customHeight="false" outlineLevel="0" collapsed="false">
      <c r="A32" s="7" t="n">
        <v>15</v>
      </c>
      <c r="B32" s="8" t="s">
        <v>57</v>
      </c>
      <c r="C32" s="8" t="s">
        <v>109</v>
      </c>
      <c r="D32" s="7" t="s">
        <v>19</v>
      </c>
      <c r="E32" s="12"/>
      <c r="F32" s="12"/>
      <c r="G32" s="8"/>
      <c r="H32" s="8"/>
    </row>
    <row r="33" customFormat="false" ht="15" hidden="false" customHeight="false" outlineLevel="0" collapsed="false">
      <c r="A33" s="7" t="n">
        <v>16</v>
      </c>
      <c r="B33" s="8" t="s">
        <v>38</v>
      </c>
      <c r="C33" s="8" t="s">
        <v>110</v>
      </c>
      <c r="D33" s="7" t="s">
        <v>19</v>
      </c>
      <c r="E33" s="12"/>
      <c r="F33" s="12"/>
      <c r="G33" s="8"/>
      <c r="H33" s="8"/>
    </row>
    <row r="34" customFormat="false" ht="15" hidden="false" customHeight="false" outlineLevel="0" collapsed="false">
      <c r="A34" s="7" t="n">
        <v>17</v>
      </c>
      <c r="B34" s="8" t="s">
        <v>39</v>
      </c>
      <c r="C34" s="8" t="s">
        <v>111</v>
      </c>
      <c r="D34" s="7" t="s">
        <v>22</v>
      </c>
      <c r="E34" s="12"/>
      <c r="F34" s="12"/>
      <c r="G34" s="8"/>
      <c r="H34" s="8" t="s">
        <v>112</v>
      </c>
    </row>
    <row r="35" customFormat="false" ht="47.75" hidden="false" customHeight="false" outlineLevel="0" collapsed="false">
      <c r="A35" s="7" t="n">
        <v>18</v>
      </c>
      <c r="B35" s="8" t="s">
        <v>58</v>
      </c>
      <c r="C35" s="8" t="s">
        <v>113</v>
      </c>
      <c r="D35" s="7" t="s">
        <v>19</v>
      </c>
      <c r="E35" s="12"/>
      <c r="F35" s="12"/>
      <c r="G35" s="8"/>
      <c r="H35" s="8"/>
    </row>
    <row r="36" customFormat="false" ht="57.45" hidden="false" customHeight="false" outlineLevel="0" collapsed="false">
      <c r="A36" s="7" t="n">
        <v>19</v>
      </c>
      <c r="B36" s="8" t="s">
        <v>59</v>
      </c>
      <c r="C36" s="8" t="s">
        <v>114</v>
      </c>
      <c r="D36" s="7" t="s">
        <v>19</v>
      </c>
      <c r="E36" s="12"/>
      <c r="F36" s="12"/>
      <c r="G36" s="8"/>
      <c r="H36" s="8" t="s">
        <v>115</v>
      </c>
    </row>
    <row r="37" customFormat="false" ht="36.55" hidden="false" customHeight="false" outlineLevel="0" collapsed="false">
      <c r="A37" s="7" t="n">
        <v>20</v>
      </c>
      <c r="B37" s="8" t="s">
        <v>60</v>
      </c>
      <c r="C37" s="8" t="s">
        <v>116</v>
      </c>
      <c r="D37" s="7" t="s">
        <v>19</v>
      </c>
      <c r="E37" s="12"/>
      <c r="F37" s="12"/>
      <c r="G37" s="8"/>
      <c r="H37" s="8" t="s">
        <v>117</v>
      </c>
    </row>
    <row r="38" customFormat="false" ht="15" hidden="false" customHeight="false" outlineLevel="0" collapsed="false">
      <c r="A38" s="7" t="n">
        <v>21</v>
      </c>
      <c r="B38" s="8" t="s">
        <v>61</v>
      </c>
      <c r="C38" s="8" t="s">
        <v>118</v>
      </c>
      <c r="D38" s="7" t="s">
        <v>19</v>
      </c>
      <c r="E38" s="12"/>
      <c r="F38" s="12"/>
      <c r="G38" s="8"/>
      <c r="H38" s="8"/>
    </row>
  </sheetData>
  <mergeCells count="2">
    <mergeCell ref="A6:H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11" t="s">
        <v>120</v>
      </c>
    </row>
    <row r="3" customFormat="false" ht="15" hidden="false" customHeight="false" outlineLevel="0" collapsed="false">
      <c r="A3" s="11" t="s">
        <v>64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65</v>
      </c>
      <c r="D5" s="5" t="s">
        <v>8</v>
      </c>
      <c r="E5" s="5" t="s">
        <v>15</v>
      </c>
      <c r="F5" s="5" t="s">
        <v>16</v>
      </c>
      <c r="G5" s="5" t="s">
        <v>66</v>
      </c>
      <c r="H5" s="5" t="s">
        <v>14</v>
      </c>
    </row>
    <row r="6" customFormat="false" ht="14.15" hidden="false" customHeight="false" outlineLevel="0" collapsed="false">
      <c r="A6" s="6" t="s">
        <v>121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7" t="n">
        <v>1</v>
      </c>
      <c r="B7" s="8" t="s">
        <v>18</v>
      </c>
      <c r="C7" s="8"/>
      <c r="D7" s="7" t="s">
        <v>19</v>
      </c>
      <c r="E7" s="13" t="n">
        <v>106</v>
      </c>
      <c r="F7" s="13" t="n">
        <v>200</v>
      </c>
      <c r="G7" s="8" t="s">
        <v>122</v>
      </c>
      <c r="H7" s="8"/>
    </row>
    <row r="8" customFormat="false" ht="15" hidden="false" customHeight="false" outlineLevel="0" collapsed="false">
      <c r="A8" s="7" t="n">
        <v>2</v>
      </c>
      <c r="B8" s="8" t="s">
        <v>20</v>
      </c>
      <c r="C8" s="8"/>
      <c r="D8" s="7" t="s">
        <v>19</v>
      </c>
      <c r="E8" s="13" t="n">
        <v>120</v>
      </c>
      <c r="F8" s="13" t="n">
        <v>300</v>
      </c>
      <c r="G8" s="8" t="s">
        <v>123</v>
      </c>
      <c r="H8" s="8"/>
    </row>
    <row r="9" customFormat="false" ht="15" hidden="false" customHeight="false" outlineLevel="0" collapsed="false">
      <c r="A9" s="7" t="n">
        <v>3</v>
      </c>
      <c r="B9" s="8" t="s">
        <v>31</v>
      </c>
      <c r="C9" s="8"/>
      <c r="D9" s="7" t="s">
        <v>19</v>
      </c>
      <c r="E9" s="13" t="n">
        <v>0</v>
      </c>
      <c r="F9" s="13" t="n">
        <v>20</v>
      </c>
      <c r="G9" s="8" t="s">
        <v>124</v>
      </c>
      <c r="H9" s="8"/>
    </row>
    <row r="10" customFormat="false" ht="15" hidden="false" customHeight="false" outlineLevel="0" collapsed="false">
      <c r="A10" s="7" t="n">
        <v>4</v>
      </c>
      <c r="B10" s="8" t="s">
        <v>41</v>
      </c>
      <c r="C10" s="8"/>
      <c r="D10" s="7" t="s">
        <v>19</v>
      </c>
      <c r="E10" s="13" t="n">
        <v>25080</v>
      </c>
      <c r="F10" s="13" t="n">
        <v>30000</v>
      </c>
      <c r="G10" s="8" t="s">
        <v>125</v>
      </c>
      <c r="H10" s="8" t="s">
        <v>126</v>
      </c>
    </row>
    <row r="11" customFormat="false" ht="26.85" hidden="false" customHeight="false" outlineLevel="0" collapsed="false">
      <c r="A11" s="7" t="n">
        <v>5</v>
      </c>
      <c r="B11" s="8" t="s">
        <v>43</v>
      </c>
      <c r="C11" s="8" t="s">
        <v>127</v>
      </c>
      <c r="D11" s="7" t="s">
        <v>19</v>
      </c>
      <c r="E11" s="13" t="n">
        <v>130</v>
      </c>
      <c r="F11" s="13" t="n">
        <v>100</v>
      </c>
      <c r="G11" s="8" t="s">
        <v>128</v>
      </c>
      <c r="H11" s="14" t="s">
        <v>129</v>
      </c>
    </row>
    <row r="12" customFormat="false" ht="14.15" hidden="false" customHeight="false" outlineLevel="0" collapsed="false">
      <c r="A12" s="6" t="s">
        <v>130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15"/>
      <c r="B13" s="15" t="s">
        <v>131</v>
      </c>
      <c r="C13" s="15"/>
      <c r="D13" s="15"/>
      <c r="E13" s="15"/>
      <c r="F13" s="15"/>
      <c r="G13" s="15"/>
      <c r="H13" s="15"/>
    </row>
  </sheetData>
  <mergeCells count="3">
    <mergeCell ref="A6:H6"/>
    <mergeCell ref="A12:H12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11" t="s">
        <v>133</v>
      </c>
    </row>
    <row r="3" customFormat="false" ht="15" hidden="false" customHeight="false" outlineLevel="0" collapsed="false">
      <c r="A3" s="11" t="s">
        <v>64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65</v>
      </c>
      <c r="D5" s="5" t="s">
        <v>8</v>
      </c>
      <c r="E5" s="5" t="s">
        <v>15</v>
      </c>
      <c r="F5" s="5" t="s">
        <v>16</v>
      </c>
      <c r="G5" s="5" t="s">
        <v>66</v>
      </c>
      <c r="H5" s="5" t="s">
        <v>14</v>
      </c>
    </row>
    <row r="6" customFormat="false" ht="14.15" hidden="false" customHeight="false" outlineLevel="0" collapsed="false">
      <c r="A6" s="6" t="s">
        <v>134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7" t="n">
        <v>1</v>
      </c>
      <c r="B7" s="8" t="s">
        <v>20</v>
      </c>
      <c r="C7" s="8" t="s">
        <v>135</v>
      </c>
      <c r="D7" s="7" t="s">
        <v>19</v>
      </c>
      <c r="E7" s="12"/>
      <c r="F7" s="13" t="n">
        <v>120</v>
      </c>
      <c r="G7" s="8" t="s">
        <v>136</v>
      </c>
      <c r="H7" s="8"/>
    </row>
    <row r="8" customFormat="false" ht="15" hidden="false" customHeight="false" outlineLevel="0" collapsed="false">
      <c r="A8" s="7" t="n">
        <v>2</v>
      </c>
      <c r="B8" s="8" t="s">
        <v>26</v>
      </c>
      <c r="C8" s="8" t="s">
        <v>137</v>
      </c>
      <c r="D8" s="7" t="s">
        <v>19</v>
      </c>
      <c r="E8" s="13" t="n">
        <v>27</v>
      </c>
      <c r="F8" s="13" t="n">
        <v>40</v>
      </c>
      <c r="G8" s="8" t="s">
        <v>138</v>
      </c>
      <c r="H8" s="8" t="s">
        <v>139</v>
      </c>
    </row>
    <row r="9" customFormat="false" ht="15" hidden="false" customHeight="false" outlineLevel="0" collapsed="false">
      <c r="A9" s="7" t="n">
        <v>3</v>
      </c>
      <c r="B9" s="8" t="s">
        <v>27</v>
      </c>
      <c r="C9" s="8" t="s">
        <v>137</v>
      </c>
      <c r="D9" s="7" t="s">
        <v>22</v>
      </c>
      <c r="E9" s="13" t="n">
        <v>27</v>
      </c>
      <c r="F9" s="13" t="n">
        <v>72</v>
      </c>
      <c r="G9" s="8" t="s">
        <v>140</v>
      </c>
      <c r="H9" s="8" t="s">
        <v>141</v>
      </c>
    </row>
    <row r="10" customFormat="false" ht="15" hidden="false" customHeight="false" outlineLevel="0" collapsed="false">
      <c r="A10" s="7" t="n">
        <v>4</v>
      </c>
      <c r="B10" s="8" t="s">
        <v>28</v>
      </c>
      <c r="C10" s="8" t="s">
        <v>137</v>
      </c>
      <c r="D10" s="7" t="s">
        <v>22</v>
      </c>
      <c r="E10" s="13" t="n">
        <v>52</v>
      </c>
      <c r="F10" s="13" t="n">
        <v>90</v>
      </c>
      <c r="G10" s="8" t="s">
        <v>142</v>
      </c>
      <c r="H10" s="8" t="s">
        <v>143</v>
      </c>
    </row>
    <row r="11" customFormat="false" ht="15" hidden="false" customHeight="false" outlineLevel="0" collapsed="false">
      <c r="A11" s="7" t="n">
        <v>5</v>
      </c>
      <c r="B11" s="8" t="s">
        <v>32</v>
      </c>
      <c r="C11" s="8" t="s">
        <v>83</v>
      </c>
      <c r="D11" s="7" t="s">
        <v>19</v>
      </c>
      <c r="E11" s="13" t="n">
        <v>48</v>
      </c>
      <c r="F11" s="13" t="n">
        <v>20</v>
      </c>
      <c r="G11" s="8" t="s">
        <v>144</v>
      </c>
      <c r="H11" s="8" t="s">
        <v>145</v>
      </c>
    </row>
    <row r="12" customFormat="false" ht="23.85" hidden="false" customHeight="false" outlineLevel="0" collapsed="false">
      <c r="A12" s="7" t="n">
        <v>6</v>
      </c>
      <c r="B12" s="8" t="s">
        <v>34</v>
      </c>
      <c r="C12" s="8" t="s">
        <v>146</v>
      </c>
      <c r="D12" s="7" t="s">
        <v>19</v>
      </c>
      <c r="E12" s="12"/>
      <c r="F12" s="13" t="n">
        <v>40</v>
      </c>
      <c r="G12" s="8" t="s">
        <v>138</v>
      </c>
      <c r="H12" s="8"/>
    </row>
    <row r="13" customFormat="false" ht="23.85" hidden="false" customHeight="false" outlineLevel="0" collapsed="false">
      <c r="A13" s="7" t="n">
        <v>7</v>
      </c>
      <c r="B13" s="8" t="s">
        <v>38</v>
      </c>
      <c r="C13" s="8" t="s">
        <v>147</v>
      </c>
      <c r="D13" s="7" t="s">
        <v>19</v>
      </c>
      <c r="E13" s="13" t="n">
        <v>1400</v>
      </c>
      <c r="F13" s="13" t="n">
        <v>400</v>
      </c>
      <c r="G13" s="8" t="s">
        <v>148</v>
      </c>
      <c r="H13" s="8" t="s">
        <v>149</v>
      </c>
    </row>
    <row r="14" customFormat="false" ht="15" hidden="false" customHeight="false" outlineLevel="0" collapsed="false">
      <c r="A14" s="7" t="n">
        <v>8</v>
      </c>
      <c r="B14" s="8" t="s">
        <v>41</v>
      </c>
      <c r="C14" s="8" t="s">
        <v>90</v>
      </c>
      <c r="D14" s="7" t="s">
        <v>19</v>
      </c>
      <c r="E14" s="12"/>
      <c r="F14" s="13" t="n">
        <v>15000</v>
      </c>
      <c r="G14" s="8" t="s">
        <v>150</v>
      </c>
      <c r="H14" s="8"/>
    </row>
    <row r="15" customFormat="false" ht="15" hidden="false" customHeight="false" outlineLevel="0" collapsed="false">
      <c r="A15" s="7" t="n">
        <v>9</v>
      </c>
      <c r="B15" s="8" t="s">
        <v>43</v>
      </c>
      <c r="C15" s="8" t="s">
        <v>127</v>
      </c>
      <c r="D15" s="7" t="s">
        <v>19</v>
      </c>
      <c r="E15" s="13" t="n">
        <v>70</v>
      </c>
      <c r="F15" s="13" t="n">
        <v>120</v>
      </c>
      <c r="G15" s="8" t="s">
        <v>136</v>
      </c>
      <c r="H15" s="8" t="s">
        <v>151</v>
      </c>
    </row>
    <row r="16" customFormat="false" ht="14.15" hidden="false" customHeight="false" outlineLevel="0" collapsed="false">
      <c r="A16" s="6" t="s">
        <v>130</v>
      </c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15"/>
      <c r="B17" s="15" t="s">
        <v>131</v>
      </c>
      <c r="C17" s="15"/>
      <c r="D17" s="15"/>
      <c r="E17" s="15"/>
      <c r="F17" s="15"/>
      <c r="G17" s="15"/>
      <c r="H17" s="15"/>
    </row>
  </sheetData>
  <mergeCells count="3">
    <mergeCell ref="A6:H6"/>
    <mergeCell ref="A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11" t="s">
        <v>153</v>
      </c>
    </row>
    <row r="3" customFormat="false" ht="15" hidden="false" customHeight="false" outlineLevel="0" collapsed="false">
      <c r="A3" s="11" t="s">
        <v>64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65</v>
      </c>
      <c r="D5" s="5" t="s">
        <v>8</v>
      </c>
      <c r="E5" s="5" t="s">
        <v>15</v>
      </c>
      <c r="F5" s="5" t="s">
        <v>16</v>
      </c>
      <c r="G5" s="5" t="s">
        <v>66</v>
      </c>
      <c r="H5" s="5" t="s">
        <v>14</v>
      </c>
    </row>
    <row r="6" customFormat="false" ht="14.15" hidden="false" customHeight="false" outlineLevel="0" collapsed="false">
      <c r="A6" s="6" t="s">
        <v>154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7" t="n">
        <v>1</v>
      </c>
      <c r="B7" s="8" t="s">
        <v>21</v>
      </c>
      <c r="C7" s="8"/>
      <c r="D7" s="7" t="s">
        <v>22</v>
      </c>
      <c r="E7" s="13" t="n">
        <v>140</v>
      </c>
      <c r="F7" s="13" t="n">
        <f aca="false">3*18</f>
        <v>54</v>
      </c>
      <c r="G7" s="8" t="s">
        <v>155</v>
      </c>
      <c r="H7" s="8" t="s">
        <v>156</v>
      </c>
    </row>
    <row r="8" customFormat="false" ht="15" hidden="false" customHeight="false" outlineLevel="0" collapsed="false">
      <c r="A8" s="7" t="n">
        <v>2</v>
      </c>
      <c r="B8" s="8" t="s">
        <v>23</v>
      </c>
      <c r="C8" s="8"/>
      <c r="D8" s="7" t="s">
        <v>22</v>
      </c>
      <c r="E8" s="13" t="n">
        <v>36</v>
      </c>
      <c r="F8" s="13" t="n">
        <f aca="false">2*18</f>
        <v>36</v>
      </c>
      <c r="G8" s="8" t="s">
        <v>157</v>
      </c>
      <c r="H8" s="8" t="s">
        <v>156</v>
      </c>
    </row>
    <row r="9" customFormat="false" ht="15" hidden="false" customHeight="false" outlineLevel="0" collapsed="false">
      <c r="A9" s="7" t="n">
        <v>3</v>
      </c>
      <c r="B9" s="8" t="s">
        <v>24</v>
      </c>
      <c r="C9" s="8"/>
      <c r="D9" s="7" t="s">
        <v>19</v>
      </c>
      <c r="E9" s="13" t="n">
        <v>130</v>
      </c>
      <c r="F9" s="13" t="n">
        <v>100</v>
      </c>
      <c r="G9" s="8" t="s">
        <v>158</v>
      </c>
      <c r="H9" s="8" t="s">
        <v>159</v>
      </c>
    </row>
    <row r="10" customFormat="false" ht="15" hidden="false" customHeight="false" outlineLevel="0" collapsed="false">
      <c r="A10" s="7" t="n">
        <v>4</v>
      </c>
      <c r="B10" s="8" t="s">
        <v>28</v>
      </c>
      <c r="C10" s="8"/>
      <c r="D10" s="7" t="s">
        <v>22</v>
      </c>
      <c r="E10" s="13" t="n">
        <v>70</v>
      </c>
      <c r="F10" s="13" t="n">
        <f aca="false">10*18</f>
        <v>180</v>
      </c>
      <c r="G10" s="8" t="s">
        <v>160</v>
      </c>
      <c r="H10" s="8" t="s">
        <v>156</v>
      </c>
    </row>
    <row r="11" customFormat="false" ht="15" hidden="false" customHeight="false" outlineLevel="0" collapsed="false">
      <c r="A11" s="7" t="n">
        <v>5</v>
      </c>
      <c r="B11" s="8" t="s">
        <v>29</v>
      </c>
      <c r="C11" s="8"/>
      <c r="D11" s="7" t="s">
        <v>19</v>
      </c>
      <c r="E11" s="13" t="n">
        <v>40</v>
      </c>
      <c r="F11" s="13" t="n">
        <v>160</v>
      </c>
      <c r="G11" s="8" t="s">
        <v>161</v>
      </c>
      <c r="H11" s="8" t="s">
        <v>156</v>
      </c>
    </row>
    <row r="12" customFormat="false" ht="15" hidden="false" customHeight="false" outlineLevel="0" collapsed="false">
      <c r="A12" s="7" t="n">
        <v>6</v>
      </c>
      <c r="B12" s="8" t="s">
        <v>30</v>
      </c>
      <c r="C12" s="8"/>
      <c r="D12" s="7" t="s">
        <v>19</v>
      </c>
      <c r="E12" s="13" t="n">
        <v>150</v>
      </c>
      <c r="F12" s="13" t="n">
        <v>100</v>
      </c>
      <c r="G12" s="8" t="s">
        <v>162</v>
      </c>
      <c r="H12" s="8" t="s">
        <v>156</v>
      </c>
    </row>
    <row r="13" customFormat="false" ht="15" hidden="false" customHeight="false" outlineLevel="0" collapsed="false">
      <c r="A13" s="7" t="n">
        <v>7</v>
      </c>
      <c r="B13" s="8" t="s">
        <v>32</v>
      </c>
      <c r="C13" s="8"/>
      <c r="D13" s="7" t="s">
        <v>19</v>
      </c>
      <c r="E13" s="13" t="n">
        <v>50</v>
      </c>
      <c r="F13" s="13" t="n">
        <v>60</v>
      </c>
      <c r="G13" s="8" t="s">
        <v>163</v>
      </c>
      <c r="H13" s="8" t="s">
        <v>156</v>
      </c>
    </row>
    <row r="14" customFormat="false" ht="15" hidden="false" customHeight="false" outlineLevel="0" collapsed="false">
      <c r="A14" s="7" t="n">
        <v>8</v>
      </c>
      <c r="B14" s="8" t="s">
        <v>33</v>
      </c>
      <c r="C14" s="8"/>
      <c r="D14" s="7" t="s">
        <v>19</v>
      </c>
      <c r="E14" s="13" t="n">
        <v>80</v>
      </c>
      <c r="F14" s="13" t="n">
        <v>60</v>
      </c>
      <c r="G14" s="8" t="s">
        <v>163</v>
      </c>
      <c r="H14" s="8" t="s">
        <v>156</v>
      </c>
    </row>
    <row r="15" customFormat="false" ht="15" hidden="false" customHeight="false" outlineLevel="0" collapsed="false">
      <c r="A15" s="7" t="n">
        <v>9</v>
      </c>
      <c r="B15" s="8" t="s">
        <v>34</v>
      </c>
      <c r="C15" s="8"/>
      <c r="D15" s="7" t="s">
        <v>19</v>
      </c>
      <c r="E15" s="13" t="n">
        <v>20</v>
      </c>
      <c r="F15" s="13" t="n">
        <v>20</v>
      </c>
      <c r="G15" s="8" t="s">
        <v>164</v>
      </c>
      <c r="H15" s="8" t="s">
        <v>156</v>
      </c>
    </row>
    <row r="16" customFormat="false" ht="15" hidden="false" customHeight="false" outlineLevel="0" collapsed="false">
      <c r="A16" s="7" t="n">
        <v>10</v>
      </c>
      <c r="B16" s="8" t="s">
        <v>35</v>
      </c>
      <c r="C16" s="8"/>
      <c r="D16" s="7" t="s">
        <v>22</v>
      </c>
      <c r="E16" s="13" t="n">
        <v>0</v>
      </c>
      <c r="F16" s="13" t="n">
        <v>18</v>
      </c>
      <c r="G16" s="8" t="s">
        <v>165</v>
      </c>
      <c r="H16" s="8" t="s">
        <v>156</v>
      </c>
    </row>
    <row r="17" customFormat="false" ht="15" hidden="false" customHeight="false" outlineLevel="0" collapsed="false">
      <c r="A17" s="7" t="n">
        <v>11</v>
      </c>
      <c r="B17" s="8" t="s">
        <v>36</v>
      </c>
      <c r="C17" s="8"/>
      <c r="D17" s="7" t="s">
        <v>22</v>
      </c>
      <c r="E17" s="13" t="n">
        <v>102</v>
      </c>
      <c r="F17" s="13" t="n">
        <f aca="false">5*18</f>
        <v>90</v>
      </c>
      <c r="G17" s="8" t="s">
        <v>166</v>
      </c>
      <c r="H17" s="8" t="s">
        <v>156</v>
      </c>
    </row>
    <row r="18" customFormat="false" ht="15" hidden="false" customHeight="false" outlineLevel="0" collapsed="false">
      <c r="A18" s="7" t="n">
        <v>12</v>
      </c>
      <c r="B18" s="8" t="s">
        <v>39</v>
      </c>
      <c r="C18" s="8"/>
      <c r="D18" s="7" t="s">
        <v>22</v>
      </c>
      <c r="E18" s="13" t="n">
        <v>0</v>
      </c>
      <c r="F18" s="13" t="n">
        <f aca="false">0.38*5</f>
        <v>1.9</v>
      </c>
      <c r="G18" s="8" t="s">
        <v>167</v>
      </c>
      <c r="H18" s="8" t="s">
        <v>168</v>
      </c>
    </row>
    <row r="19" customFormat="false" ht="15" hidden="false" customHeight="false" outlineLevel="0" collapsed="false">
      <c r="A19" s="7" t="n">
        <v>13</v>
      </c>
      <c r="B19" s="8" t="s">
        <v>41</v>
      </c>
      <c r="C19" s="8"/>
      <c r="D19" s="7" t="s">
        <v>19</v>
      </c>
      <c r="E19" s="13" t="n">
        <v>19500</v>
      </c>
      <c r="F19" s="13" t="n">
        <v>45000</v>
      </c>
      <c r="G19" s="8" t="s">
        <v>169</v>
      </c>
      <c r="H19" s="8"/>
    </row>
    <row r="20" customFormat="false" ht="15" hidden="false" customHeight="false" outlineLevel="0" collapsed="false">
      <c r="A20" s="7" t="n">
        <v>14</v>
      </c>
      <c r="B20" s="8" t="s">
        <v>43</v>
      </c>
      <c r="C20" s="8" t="s">
        <v>127</v>
      </c>
      <c r="D20" s="7" t="s">
        <v>19</v>
      </c>
      <c r="E20" s="13" t="n">
        <v>70</v>
      </c>
      <c r="F20" s="13" t="n">
        <f aca="false">4*18.9</f>
        <v>75.6</v>
      </c>
      <c r="G20" s="8" t="s">
        <v>170</v>
      </c>
      <c r="H20" s="8" t="s">
        <v>171</v>
      </c>
    </row>
    <row r="21" customFormat="false" ht="14.15" hidden="false" customHeight="false" outlineLevel="0" collapsed="false">
      <c r="A21" s="6" t="s">
        <v>130</v>
      </c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15"/>
      <c r="B22" s="15" t="s">
        <v>131</v>
      </c>
      <c r="C22" s="15"/>
      <c r="D22" s="15"/>
      <c r="E22" s="15"/>
      <c r="F22" s="15"/>
      <c r="G22" s="15"/>
      <c r="H22" s="15"/>
    </row>
  </sheetData>
  <mergeCells count="3">
    <mergeCell ref="A6:H6"/>
    <mergeCell ref="A21:H21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2026-10-06T02:35:45Z</dcterms:created>
  <dc:creator>openpyxl</dc:creator>
  <dc:description/>
  <dc:language>en-US</dc:language>
  <cp:lastModifiedBy/>
  <dcterms:modified xsi:type="dcterms:W3CDTF">2026-10-06T02:35:45Z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