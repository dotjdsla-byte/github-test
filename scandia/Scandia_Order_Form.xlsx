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량입력" sheetId="1" state="visible" r:id="rId3"/>
    <sheet name="Mail" sheetId="2" state="visible" r:id="rId4"/>
    <sheet name="Datasheet 확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9" authorId="0">
      <text>
        <r>
          <rPr>
            <sz val="10"/>
            <rFont val="WenQuanYi Zen Hei"/>
            <family val="2"/>
          </rPr>
          <t xml:space="preserve">파일명 기준 목표 수량</t>
        </r>
        <r>
          <rPr>
            <sz val="10"/>
            <rFont val="Arial"/>
            <family val="2"/>
          </rPr>
          <t xml:space="preserve">: 12 pairs / 4 sets</t>
        </r>
      </text>
    </comment>
    <comment ref="F15" authorId="0">
      <text>
        <r>
          <rPr>
            <sz val="10"/>
            <rFont val="WenQuanYi Zen Hei"/>
            <family val="2"/>
          </rPr>
          <t xml:space="preserve">파일명 기준 목표 수량</t>
        </r>
        <r>
          <rPr>
            <sz val="10"/>
            <rFont val="Arial"/>
            <family val="2"/>
          </rPr>
          <t xml:space="preserve">: 6 pairs / 3 sets</t>
        </r>
      </text>
    </comment>
    <comment ref="F27" authorId="0">
      <text>
        <r>
          <rPr>
            <sz val="10"/>
            <rFont val="WenQuanYi Zen Hei"/>
            <family val="2"/>
          </rPr>
          <t xml:space="preserve">파일명 기준 목표 수량</t>
        </r>
        <r>
          <rPr>
            <sz val="10"/>
            <rFont val="Arial"/>
            <family val="2"/>
          </rPr>
          <t xml:space="preserve">: 15 sets</t>
        </r>
      </text>
    </comment>
    <comment ref="F35" authorId="0">
      <text>
        <r>
          <rPr>
            <sz val="10"/>
            <rFont val="WenQuanYi Zen Hei"/>
            <family val="2"/>
          </rPr>
          <t xml:space="preserve">파일명 기준 목표 수량</t>
        </r>
        <r>
          <rPr>
            <sz val="10"/>
            <rFont val="Arial"/>
            <family val="2"/>
          </rPr>
          <t xml:space="preserve">: 20 sets</t>
        </r>
      </text>
    </comment>
  </commentList>
</comments>
</file>

<file path=xl/sharedStrings.xml><?xml version="1.0" encoding="utf-8"?>
<sst xmlns="http://schemas.openxmlformats.org/spreadsheetml/2006/main" count="208" uniqueCount="96">
  <si>
    <r>
      <rPr>
        <b val="true"/>
        <sz val="14"/>
        <rFont val="Arial"/>
        <family val="0"/>
        <charset val="1"/>
      </rPr>
      <t xml:space="preserve">SCANDIA </t>
    </r>
    <r>
      <rPr>
        <b val="true"/>
        <sz val="14"/>
        <rFont val="WenQuanYi Zen Hei"/>
        <family val="2"/>
      </rPr>
      <t xml:space="preserve">발주 수량 입력표</t>
    </r>
  </si>
  <si>
    <r>
      <rPr>
        <i val="true"/>
        <sz val="9"/>
        <color rgb="FF555555"/>
        <rFont val="WenQuanYi Zen Hei"/>
        <family val="2"/>
      </rPr>
      <t xml:space="preserve">노란 칸</t>
    </r>
    <r>
      <rPr>
        <i val="true"/>
        <sz val="9"/>
        <color rgb="FF555555"/>
        <rFont val="Arial"/>
        <family val="0"/>
        <charset val="1"/>
      </rPr>
      <t xml:space="preserve">(Qty Sets)</t>
    </r>
    <r>
      <rPr>
        <i val="true"/>
        <sz val="9"/>
        <color rgb="FF555555"/>
        <rFont val="WenQuanYi Zen Hei"/>
        <family val="2"/>
      </rPr>
      <t xml:space="preserve">에만 사이즈별 </t>
    </r>
    <r>
      <rPr>
        <i val="true"/>
        <sz val="9"/>
        <color rgb="FF555555"/>
        <rFont val="Arial"/>
        <family val="0"/>
        <charset val="1"/>
      </rPr>
      <t xml:space="preserve">SET </t>
    </r>
    <r>
      <rPr>
        <i val="true"/>
        <sz val="9"/>
        <color rgb="FF555555"/>
        <rFont val="WenQuanYi Zen Hei"/>
        <family val="2"/>
      </rPr>
      <t xml:space="preserve">수량을 입력하세요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나머지는 자동 계산되고</t>
    </r>
    <r>
      <rPr>
        <i val="true"/>
        <sz val="9"/>
        <color rgb="FF555555"/>
        <rFont val="Arial"/>
        <family val="0"/>
        <charset val="1"/>
      </rPr>
      <t xml:space="preserve">, 'Mail' </t>
    </r>
    <r>
      <rPr>
        <i val="true"/>
        <sz val="9"/>
        <color rgb="FF555555"/>
        <rFont val="WenQuanYi Zen Hei"/>
        <family val="2"/>
      </rPr>
      <t xml:space="preserve">시트에 업체용 표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WenQuanYi Zen Hei"/>
        <family val="2"/>
      </rPr>
      <t xml:space="preserve">문장이 자동으로 만들어집니다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</si>
  <si>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WenQuanYi Zen Hei"/>
        <family val="2"/>
      </rPr>
      <t xml:space="preserve">목표 </t>
    </r>
    <r>
      <rPr>
        <i val="true"/>
        <sz val="9"/>
        <color rgb="FF555555"/>
        <rFont val="Arial"/>
        <family val="0"/>
        <charset val="1"/>
      </rPr>
      <t xml:space="preserve">SET = </t>
    </r>
    <r>
      <rPr>
        <i val="true"/>
        <sz val="9"/>
        <color rgb="FF555555"/>
        <rFont val="WenQuanYi Zen Hei"/>
        <family val="2"/>
      </rPr>
      <t xml:space="preserve">파일명 수량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입력 합계와 다르면 </t>
    </r>
    <r>
      <rPr>
        <i val="true"/>
        <sz val="9"/>
        <color rgb="FF555555"/>
        <rFont val="Arial"/>
        <family val="0"/>
        <charset val="1"/>
      </rPr>
      <t xml:space="preserve">Check </t>
    </r>
    <r>
      <rPr>
        <i val="true"/>
        <sz val="9"/>
        <color rgb="FF555555"/>
        <rFont val="WenQuanYi Zen Hei"/>
        <family val="2"/>
      </rPr>
      <t xml:space="preserve">칸이 빨갛게 표시됩니다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</si>
  <si>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No</t>
  </si>
  <si>
    <t xml:space="preserve">Product</t>
  </si>
  <si>
    <t xml:space="preserve">Product Code</t>
  </si>
  <si>
    <t xml:space="preserve">Colour</t>
  </si>
  <si>
    <t xml:space="preserve">Size</t>
  </si>
  <si>
    <t xml:space="preserve">1 Set =</t>
  </si>
  <si>
    <t xml:space="preserve">Unit</t>
  </si>
  <si>
    <t xml:space="preserve">Qty (Sets)</t>
  </si>
  <si>
    <t xml:space="preserve">Total Qty</t>
  </si>
  <si>
    <t xml:space="preserve">Remark</t>
  </si>
  <si>
    <t xml:space="preserve">ScanFroze Pro</t>
  </si>
  <si>
    <t xml:space="preserve">4030.20</t>
  </si>
  <si>
    <t xml:space="preserve">Black</t>
  </si>
  <si>
    <t xml:space="preserve">8/M</t>
  </si>
  <si>
    <t xml:space="preserve">pairs</t>
  </si>
  <si>
    <t xml:space="preserve">9/L</t>
  </si>
  <si>
    <t xml:space="preserve">10/XL</t>
  </si>
  <si>
    <r>
      <rPr>
        <b val="true"/>
        <sz val="10"/>
        <rFont val="Arial"/>
        <family val="0"/>
        <charset val="1"/>
      </rPr>
      <t xml:space="preserve">ScanFroze Pro </t>
    </r>
    <r>
      <rPr>
        <b val="true"/>
        <sz val="10"/>
        <rFont val="WenQuanYi Zen Hei"/>
        <family val="2"/>
      </rPr>
      <t xml:space="preserve">소계</t>
    </r>
  </si>
  <si>
    <r>
      <rPr>
        <b val="true"/>
        <sz val="9"/>
        <rFont val="WenQuanYi Zen Hei"/>
        <family val="2"/>
      </rPr>
      <t xml:space="preserve">목표 </t>
    </r>
    <r>
      <rPr>
        <b val="true"/>
        <sz val="9"/>
        <rFont val="Arial"/>
        <family val="0"/>
        <charset val="1"/>
      </rPr>
      <t xml:space="preserve">SET</t>
    </r>
  </si>
  <si>
    <t xml:space="preserve">입력 합계</t>
  </si>
  <si>
    <t xml:space="preserve">ScanBlizzard</t>
  </si>
  <si>
    <t xml:space="preserve">4030.17</t>
  </si>
  <si>
    <t xml:space="preserve">High-Viz Yellow &amp; Black</t>
  </si>
  <si>
    <t xml:space="preserve">11/2XL</t>
  </si>
  <si>
    <r>
      <rPr>
        <b val="true"/>
        <sz val="10"/>
        <rFont val="Arial"/>
        <family val="0"/>
        <charset val="1"/>
      </rPr>
      <t xml:space="preserve">ScanBlizzard </t>
    </r>
    <r>
      <rPr>
        <b val="true"/>
        <sz val="10"/>
        <rFont val="WenQuanYi Zen Hei"/>
        <family val="2"/>
      </rPr>
      <t xml:space="preserve">소계</t>
    </r>
  </si>
  <si>
    <t xml:space="preserve">ScanTitan</t>
  </si>
  <si>
    <t xml:space="preserve">2520.17</t>
  </si>
  <si>
    <t xml:space="preserve">EU 38</t>
  </si>
  <si>
    <t xml:space="preserve">EU 39</t>
  </si>
  <si>
    <t xml:space="preserve">EU 40</t>
  </si>
  <si>
    <t xml:space="preserve">EU 41</t>
  </si>
  <si>
    <t xml:space="preserve">EU 42</t>
  </si>
  <si>
    <t xml:space="preserve">EU 43</t>
  </si>
  <si>
    <t xml:space="preserve">EU 44</t>
  </si>
  <si>
    <t xml:space="preserve">EU 45</t>
  </si>
  <si>
    <t xml:space="preserve">EU 46</t>
  </si>
  <si>
    <t xml:space="preserve">EU 47</t>
  </si>
  <si>
    <r>
      <rPr>
        <b val="true"/>
        <sz val="10"/>
        <rFont val="Arial"/>
        <family val="0"/>
        <charset val="1"/>
      </rPr>
      <t xml:space="preserve">ScanTitan </t>
    </r>
    <r>
      <rPr>
        <b val="true"/>
        <sz val="10"/>
        <rFont val="WenQuanYi Zen Hei"/>
        <family val="2"/>
      </rPr>
      <t xml:space="preserve">소계</t>
    </r>
  </si>
  <si>
    <t xml:space="preserve">ScanTriple HV 003</t>
  </si>
  <si>
    <t xml:space="preserve">1036.44</t>
  </si>
  <si>
    <t xml:space="preserve">High-Viz Yellow &amp; Navy</t>
  </si>
  <si>
    <t xml:space="preserve">S</t>
  </si>
  <si>
    <t xml:space="preserve">pcs</t>
  </si>
  <si>
    <t xml:space="preserve">M</t>
  </si>
  <si>
    <t xml:space="preserve">L</t>
  </si>
  <si>
    <t xml:space="preserve">XL</t>
  </si>
  <si>
    <t xml:space="preserve">2XL</t>
  </si>
  <si>
    <t xml:space="preserve">3XL</t>
  </si>
  <si>
    <r>
      <rPr>
        <b val="true"/>
        <sz val="10"/>
        <rFont val="Arial"/>
        <family val="0"/>
        <charset val="1"/>
      </rPr>
      <t xml:space="preserve">ScanTriple HV 003 </t>
    </r>
    <r>
      <rPr>
        <b val="true"/>
        <sz val="10"/>
        <rFont val="WenQuanYi Zen Hei"/>
        <family val="2"/>
      </rPr>
      <t xml:space="preserve">소계</t>
    </r>
  </si>
  <si>
    <r>
      <rPr>
        <i val="true"/>
        <sz val="9"/>
        <color rgb="FF555555"/>
        <rFont val="WenQuanYi Zen Hei"/>
        <family val="2"/>
      </rPr>
      <t xml:space="preserve">입력 예</t>
    </r>
    <r>
      <rPr>
        <i val="true"/>
        <sz val="9"/>
        <color rgb="FF555555"/>
        <rFont val="Arial"/>
        <family val="0"/>
        <charset val="1"/>
      </rPr>
      <t xml:space="preserve">) ScanBlizzard 9/L </t>
    </r>
    <r>
      <rPr>
        <i val="true"/>
        <sz val="9"/>
        <color rgb="FF555555"/>
        <rFont val="WenQuanYi Zen Hei"/>
        <family val="2"/>
      </rPr>
      <t xml:space="preserve">줄에 </t>
    </r>
    <r>
      <rPr>
        <i val="true"/>
        <sz val="9"/>
        <color rgb="FF555555"/>
        <rFont val="Arial"/>
        <family val="0"/>
        <charset val="1"/>
      </rPr>
      <t xml:space="preserve">2 </t>
    </r>
    <r>
      <rPr>
        <i val="true"/>
        <sz val="9"/>
        <color rgb="FF555555"/>
        <rFont val="WenQuanYi Zen Hei"/>
        <family val="2"/>
      </rPr>
      <t xml:space="preserve">입력 → </t>
    </r>
    <r>
      <rPr>
        <i val="true"/>
        <sz val="9"/>
        <color rgb="FF555555"/>
        <rFont val="Arial"/>
        <family val="0"/>
        <charset val="1"/>
      </rPr>
      <t xml:space="preserve">Total Qty 12 pairs (2 set × 6 pairs)</t>
    </r>
  </si>
  <si>
    <r>
      <rPr>
        <b val="true"/>
        <sz val="10"/>
        <color rgb="FFC00000"/>
        <rFont val="WenQuanYi Zen Hei"/>
        <family val="2"/>
      </rPr>
      <t xml:space="preserve">① 표로 붙여넣기 </t>
    </r>
    <r>
      <rPr>
        <b val="true"/>
        <sz val="10"/>
        <color rgb="FFC00000"/>
        <rFont val="Arial"/>
        <family val="0"/>
        <charset val="1"/>
      </rPr>
      <t xml:space="preserve">(Outlook/Gmail</t>
    </r>
    <r>
      <rPr>
        <b val="true"/>
        <sz val="10"/>
        <color rgb="FFC00000"/>
        <rFont val="WenQuanYi Zen Hei"/>
        <family val="2"/>
      </rPr>
      <t xml:space="preserve">에 셀 범위 복사 → 붙여넣기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</si>
  <si>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Pack (per Set)</t>
  </si>
  <si>
    <t xml:space="preserve">Subtotal - ScanFroze Pro</t>
  </si>
  <si>
    <t xml:space="preserve">Subtotal - ScanBlizzard</t>
  </si>
  <si>
    <t xml:space="preserve">Subtotal - ScanTitan</t>
  </si>
  <si>
    <t xml:space="preserve">Subtotal - ScanTriple HV 003</t>
  </si>
  <si>
    <r>
      <rPr>
        <b val="true"/>
        <sz val="10"/>
        <color rgb="FFC00000"/>
        <rFont val="WenQuanYi Zen Hei"/>
        <family val="2"/>
      </rPr>
      <t xml:space="preserve">② 문장으로 붙여넣기 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WenQuanYi Zen Hei"/>
        <family val="2"/>
      </rPr>
      <t xml:space="preserve">아래 </t>
    </r>
    <r>
      <rPr>
        <b val="true"/>
        <sz val="10"/>
        <color rgb="FFC00000"/>
        <rFont val="Arial"/>
        <family val="0"/>
        <charset val="1"/>
      </rPr>
      <t xml:space="preserve">B</t>
    </r>
    <r>
      <rPr>
        <b val="true"/>
        <sz val="10"/>
        <color rgb="FFC00000"/>
        <rFont val="WenQuanYi Zen Hei"/>
        <family val="2"/>
      </rPr>
      <t xml:space="preserve">열 셀들을 복사 → 메일 본문에 붙여넣기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WenQuanYi Zen Hei"/>
        <family val="2"/>
      </rPr>
      <t xml:space="preserve">수량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WenQuanYi Zen Hei"/>
        <family val="2"/>
      </rPr>
      <t xml:space="preserve">인 사이즈는 자동 제외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</si>
  <si>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Dear Sir/Madam,</t>
  </si>
  <si>
    <t xml:space="preserve">Please find below our order for the following Scandia items:</t>
  </si>
  <si>
    <t xml:space="preserve">Kindly confirm availability, unit price and delivery time.</t>
  </si>
  <si>
    <t xml:space="preserve">Best regards,</t>
  </si>
  <si>
    <r>
      <rPr>
        <b val="true"/>
        <sz val="14"/>
        <rFont val="WenQuanYi Zen Hei"/>
        <family val="2"/>
      </rPr>
      <t xml:space="preserve">데이터시트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파일명 수량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WenQuanYi Zen Hei"/>
        <family val="2"/>
      </rPr>
      <t xml:space="preserve">사이즈 확인</t>
    </r>
  </si>
  <si>
    <t xml:space="preserve">파일명</t>
  </si>
  <si>
    <t xml:space="preserve">파일명 수량</t>
  </si>
  <si>
    <t xml:space="preserve">데이터시트 판매단위</t>
  </si>
  <si>
    <r>
      <rPr>
        <b val="true"/>
        <sz val="10"/>
        <color rgb="FFFFFFFF"/>
        <rFont val="WenQuanYi Zen Hei"/>
        <family val="2"/>
      </rPr>
      <t xml:space="preserve">목표 </t>
    </r>
    <r>
      <rPr>
        <b val="true"/>
        <sz val="10"/>
        <color rgb="FFFFFFFF"/>
        <rFont val="Arial"/>
        <family val="0"/>
        <charset val="1"/>
      </rPr>
      <t xml:space="preserve">SET</t>
    </r>
  </si>
  <si>
    <t xml:space="preserve">목표 총수량</t>
  </si>
  <si>
    <t xml:space="preserve">선택 가능 사이즈</t>
  </si>
  <si>
    <r>
      <rPr>
        <b val="true"/>
        <sz val="10"/>
        <color rgb="FFFFFFFF"/>
        <rFont val="WenQuanYi Zen Hei"/>
        <family val="2"/>
      </rPr>
      <t xml:space="preserve">확인 결과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메모</t>
    </r>
  </si>
  <si>
    <t xml:space="preserve">Priority_01.690.612-Product-Datasheet-ScanFroze-Pro_12_pairs_4_sets.pdf</t>
  </si>
  <si>
    <t xml:space="preserve">12 pairs / 4 sets</t>
  </si>
  <si>
    <t xml:space="preserve">Sales quantity: 12 pairs</t>
  </si>
  <si>
    <t xml:space="preserve">12 pairs</t>
  </si>
  <si>
    <t xml:space="preserve">8/M, 9/L, 10/XL</t>
  </si>
  <si>
    <r>
      <rPr>
        <sz val="9"/>
        <rFont val="WenQuanYi Zen Hei"/>
        <family val="2"/>
      </rPr>
      <t xml:space="preserve">데이터시트 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판매단위 </t>
    </r>
    <r>
      <rPr>
        <sz val="9"/>
        <rFont val="Arial"/>
        <family val="0"/>
        <charset val="1"/>
      </rPr>
      <t xml:space="preserve">12 pairs'</t>
    </r>
    <r>
      <rPr>
        <sz val="9"/>
        <rFont val="WenQuanYi Zen Hei"/>
        <family val="2"/>
      </rPr>
      <t xml:space="preserve">와 파일명 일치 → </t>
    </r>
    <r>
      <rPr>
        <sz val="9"/>
        <rFont val="Arial"/>
        <family val="0"/>
        <charset val="1"/>
      </rPr>
      <t xml:space="preserve">1 set = 12 pairs. </t>
    </r>
    <r>
      <rPr>
        <sz val="9"/>
        <rFont val="WenQuanYi Zen Hei"/>
        <family val="2"/>
      </rPr>
      <t xml:space="preserve">파일명의 </t>
    </r>
    <r>
      <rPr>
        <sz val="9"/>
        <rFont val="Arial"/>
        <family val="0"/>
        <charset val="1"/>
      </rPr>
      <t xml:space="preserve">01.690.612 </t>
    </r>
    <r>
      <rPr>
        <sz val="9"/>
        <rFont val="WenQuanYi Zen Hei"/>
        <family val="2"/>
      </rPr>
      <t xml:space="preserve">는 데이터시트에 없는 번호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업체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내부 품번 추정</t>
    </r>
    <r>
      <rPr>
        <sz val="9"/>
        <rFont val="Arial"/>
        <family val="0"/>
        <charset val="1"/>
      </rPr>
      <t xml:space="preserve">).</t>
    </r>
  </si>
  <si>
    <t xml:space="preserve">Priority_Product-Datasheet-ScanBlizzard-1_6_pairs__3_sets.pdf</t>
  </si>
  <si>
    <t xml:space="preserve">6 pairs / 3 sets</t>
  </si>
  <si>
    <t xml:space="preserve">Sales quantity: 6 pairs</t>
  </si>
  <si>
    <t xml:space="preserve">6 pairs</t>
  </si>
  <si>
    <t xml:space="preserve">8/M, 9/L, 10/XL, 11/2XL</t>
  </si>
  <si>
    <r>
      <rPr>
        <sz val="9"/>
        <rFont val="WenQuanYi Zen Hei"/>
        <family val="2"/>
      </rPr>
      <t xml:space="preserve">데이터시트 </t>
    </r>
    <r>
      <rPr>
        <sz val="9"/>
        <rFont val="Arial"/>
        <family val="0"/>
        <charset val="1"/>
      </rPr>
      <t xml:space="preserve">'</t>
    </r>
    <r>
      <rPr>
        <sz val="9"/>
        <rFont val="WenQuanYi Zen Hei"/>
        <family val="2"/>
      </rPr>
      <t xml:space="preserve">판매단위 </t>
    </r>
    <r>
      <rPr>
        <sz val="9"/>
        <rFont val="Arial"/>
        <family val="0"/>
        <charset val="1"/>
      </rPr>
      <t xml:space="preserve">6 pairs'</t>
    </r>
    <r>
      <rPr>
        <sz val="9"/>
        <rFont val="WenQuanYi Zen Hei"/>
        <family val="2"/>
      </rPr>
      <t xml:space="preserve">와 파일명 일치 → </t>
    </r>
    <r>
      <rPr>
        <sz val="9"/>
        <rFont val="Arial"/>
        <family val="0"/>
        <charset val="1"/>
      </rPr>
      <t xml:space="preserve">1 set = 6 pairs.</t>
    </r>
  </si>
  <si>
    <t xml:space="preserve">Priority_Product-Datasheet-ScanTitan-2_15_sets.pdf</t>
  </si>
  <si>
    <t xml:space="preserve">15 sets</t>
  </si>
  <si>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데이터시트에 판매단위 표기 없음</t>
    </r>
    <r>
      <rPr>
        <sz val="9"/>
        <rFont val="Arial"/>
        <family val="0"/>
        <charset val="1"/>
      </rPr>
      <t xml:space="preserve">)</t>
    </r>
  </si>
  <si>
    <t xml:space="preserve">1 pair</t>
  </si>
  <si>
    <t xml:space="preserve">EU 38–47 / UK 5–12 / USA 6–13</t>
  </si>
  <si>
    <r>
      <rPr>
        <sz val="9"/>
        <rFont val="WenQuanYi Zen Hei"/>
        <family val="2"/>
      </rPr>
      <t xml:space="preserve">판매단위 표기 없음 → </t>
    </r>
    <r>
      <rPr>
        <sz val="9"/>
        <rFont val="Arial"/>
        <family val="0"/>
        <charset val="1"/>
      </rPr>
      <t xml:space="preserve">1 set = 1 pair </t>
    </r>
    <r>
      <rPr>
        <sz val="9"/>
        <rFont val="WenQuanYi Zen Hei"/>
        <family val="2"/>
      </rPr>
      <t xml:space="preserve">로 가정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업체 확인 필요</t>
    </r>
    <r>
      <rPr>
        <sz val="9"/>
        <rFont val="Arial"/>
        <family val="0"/>
        <charset val="1"/>
      </rPr>
      <t xml:space="preserve">). </t>
    </r>
    <r>
      <rPr>
        <sz val="9"/>
        <rFont val="WenQuanYi Zen Hei"/>
        <family val="2"/>
      </rPr>
      <t xml:space="preserve">사이즈 </t>
    </r>
    <r>
      <rPr>
        <sz val="9"/>
        <rFont val="Arial"/>
        <family val="0"/>
        <charset val="1"/>
      </rPr>
      <t xml:space="preserve">EU 38–47 (UK 5–12 / USA 6–13 </t>
    </r>
    <r>
      <rPr>
        <sz val="9"/>
        <rFont val="WenQuanYi Zen Hei"/>
        <family val="2"/>
      </rPr>
      <t xml:space="preserve">병기</t>
    </r>
    <r>
      <rPr>
        <sz val="9"/>
        <rFont val="Arial"/>
        <family val="0"/>
        <charset val="1"/>
      </rPr>
      <t xml:space="preserve">). EU 10</t>
    </r>
    <r>
      <rPr>
        <sz val="9"/>
        <rFont val="WenQuanYi Zen Hei"/>
        <family val="2"/>
      </rPr>
      <t xml:space="preserve">개 </t>
    </r>
    <r>
      <rPr>
        <sz val="9"/>
        <rFont val="Arial"/>
        <family val="0"/>
        <charset val="1"/>
      </rPr>
      <t xml:space="preserve">vs UK·US 8</t>
    </r>
    <r>
      <rPr>
        <sz val="9"/>
        <rFont val="WenQuanYi Zen Hei"/>
        <family val="2"/>
      </rPr>
      <t xml:space="preserve">개라 </t>
    </r>
    <r>
      <rPr>
        <sz val="9"/>
        <rFont val="Arial"/>
        <family val="0"/>
        <charset val="1"/>
      </rPr>
      <t xml:space="preserve">1:1 </t>
    </r>
    <r>
      <rPr>
        <sz val="9"/>
        <rFont val="WenQuanYi Zen Hei"/>
        <family val="2"/>
      </rPr>
      <t xml:space="preserve">환산이 안 되므로 </t>
    </r>
    <r>
      <rPr>
        <sz val="9"/>
        <rFont val="Arial"/>
        <family val="0"/>
        <charset val="1"/>
      </rPr>
      <t xml:space="preserve">EU </t>
    </r>
    <r>
      <rPr>
        <sz val="9"/>
        <rFont val="WenQuanYi Zen Hei"/>
        <family val="2"/>
      </rPr>
      <t xml:space="preserve">사이즈로 주문 권장</t>
    </r>
    <r>
      <rPr>
        <sz val="9"/>
        <rFont val="Arial"/>
        <family val="0"/>
        <charset val="1"/>
      </rPr>
      <t xml:space="preserve">.</t>
    </r>
  </si>
  <si>
    <t xml:space="preserve">Priority_Product-Datasheet-ScanTriple-HV-003-20260806_20_sets.pdf</t>
  </si>
  <si>
    <t xml:space="preserve">20 sets</t>
  </si>
  <si>
    <t xml:space="preserve">1 pc</t>
  </si>
  <si>
    <t xml:space="preserve">S, M, L, XL, 2XL, 3XL</t>
  </si>
  <si>
    <r>
      <rPr>
        <sz val="9"/>
        <rFont val="WenQuanYi Zen Hei"/>
        <family val="2"/>
      </rPr>
      <t xml:space="preserve">판매단위 표기 없음 → </t>
    </r>
    <r>
      <rPr>
        <sz val="9"/>
        <rFont val="Arial"/>
        <family val="0"/>
        <charset val="1"/>
      </rPr>
      <t xml:space="preserve">1 set = 1 pc </t>
    </r>
    <r>
      <rPr>
        <sz val="9"/>
        <rFont val="WenQuanYi Zen Hei"/>
        <family val="2"/>
      </rPr>
      <t xml:space="preserve">로 가정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업체 확인 필요</t>
    </r>
    <r>
      <rPr>
        <sz val="9"/>
        <rFont val="Arial"/>
        <family val="0"/>
        <charset val="1"/>
      </rPr>
      <t xml:space="preserve">). </t>
    </r>
    <r>
      <rPr>
        <sz val="9"/>
        <rFont val="WenQuanYi Zen Hei"/>
        <family val="2"/>
      </rPr>
      <t xml:space="preserve">파일명의 </t>
    </r>
    <r>
      <rPr>
        <sz val="9"/>
        <rFont val="Arial"/>
        <family val="0"/>
        <charset val="1"/>
      </rPr>
      <t xml:space="preserve">20260806 </t>
    </r>
    <r>
      <rPr>
        <sz val="9"/>
        <rFont val="WenQuanYi Zen Hei"/>
        <family val="2"/>
      </rPr>
      <t xml:space="preserve">은 데이터시트 개정일</t>
    </r>
    <r>
      <rPr>
        <sz val="9"/>
        <rFont val="Arial"/>
        <family val="0"/>
        <charset val="1"/>
      </rPr>
      <t xml:space="preserve">.</t>
    </r>
  </si>
  <si>
    <r>
      <rPr>
        <i val="true"/>
        <sz val="9"/>
        <color rgb="FF555555"/>
        <rFont val="WenQuanYi Zen Hei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첨부된 </t>
    </r>
    <r>
      <rPr>
        <i val="true"/>
        <sz val="9"/>
        <color rgb="FF555555"/>
        <rFont val="Arial"/>
        <family val="0"/>
        <charset val="1"/>
      </rPr>
      <t xml:space="preserve">Scandia Product Datasheet PDF 4</t>
    </r>
    <r>
      <rPr>
        <i val="true"/>
        <sz val="9"/>
        <color rgb="FF555555"/>
        <rFont val="WenQuanYi Zen Hei"/>
        <family val="2"/>
      </rPr>
      <t xml:space="preserve">종 </t>
    </r>
    <r>
      <rPr>
        <i val="true"/>
        <sz val="9"/>
        <color rgb="FF555555"/>
        <rFont val="Arial"/>
        <family val="0"/>
        <charset val="1"/>
      </rPr>
      <t xml:space="preserve">(Sales quantity / Available sizes / Available colours </t>
    </r>
    <r>
      <rPr>
        <i val="true"/>
        <sz val="9"/>
        <color rgb="FF555555"/>
        <rFont val="WenQuanYi Zen Hei"/>
        <family val="2"/>
      </rPr>
      <t xml:space="preserve">항목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및 각 파일명</t>
    </r>
    <r>
      <rPr>
        <i val="true"/>
        <sz val="9"/>
        <color rgb="FF555555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</si>
</sst>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&quot;&quot;"/>
    <numFmt numFmtId="166" formatCode="General"/>
    <numFmt numFmtId="167" formatCode="#,##0&quot; pairs&quot;"/>
    <numFmt numFmtId="168" formatCode="#,##0&quot; pcs&quot;"/>
    <numFmt numFmtId="169" formatCode="#,##0;\-#,##0;\-"/>
    <numFmt numFmtId="170" formatCode="#,##0&quot; sets&quot;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9"/>
      <color rgb="FF555555"/>
      <name val="WenQuanYi Zen Hei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WenQuanYi Zen Hei"/>
      <family val="2"/>
    </font>
    <font>
      <b val="true"/>
      <sz val="9"/>
      <name val="WenQuanYi Zen Hei"/>
      <family val="2"/>
    </font>
    <font>
      <b val="true"/>
      <sz val="9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WenQuanYi Zen Hei"/>
      <family val="2"/>
    </font>
    <font>
      <sz val="9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9" min="8" style="0" width="11"/>
    <col collapsed="false" customWidth="true" hidden="false" outlineLevel="0" max="10" min="10" style="0" width="18"/>
  </cols>
  <sheetData>
    <row r="1" customFormat="false" ht="19.4" hidden="false" customHeight="false" outlineLevel="0" collapsed="false">
      <c r="A1" s="1" t="s">
        <v>0</v>
      </c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4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n">
        <v>1</v>
      </c>
      <c r="B6" s="5" t="s">
        <v>13</v>
      </c>
      <c r="C6" s="6" t="s">
        <v>14</v>
      </c>
      <c r="D6" s="6" t="s">
        <v>15</v>
      </c>
      <c r="E6" s="6" t="s">
        <v>16</v>
      </c>
      <c r="F6" s="7" t="n">
        <v>12</v>
      </c>
      <c r="G6" s="6" t="s">
        <v>17</v>
      </c>
      <c r="H6" s="8"/>
      <c r="I6" s="9" t="str">
        <f aca="false">IF(H6="","",H6*F6)</f>
        <v/>
      </c>
      <c r="J6" s="10"/>
    </row>
    <row r="7" customFormat="false" ht="15" hidden="false" customHeight="false" outlineLevel="0" collapsed="false">
      <c r="A7" s="4"/>
      <c r="B7" s="5" t="s">
        <v>13</v>
      </c>
      <c r="C7" s="6" t="s">
        <v>14</v>
      </c>
      <c r="D7" s="6" t="s">
        <v>15</v>
      </c>
      <c r="E7" s="6" t="s">
        <v>18</v>
      </c>
      <c r="F7" s="7" t="n">
        <v>12</v>
      </c>
      <c r="G7" s="6" t="s">
        <v>17</v>
      </c>
      <c r="H7" s="8"/>
      <c r="I7" s="9" t="str">
        <f aca="false">IF(H7="","",H7*F7)</f>
        <v/>
      </c>
      <c r="J7" s="10"/>
    </row>
    <row r="8" customFormat="false" ht="15" hidden="false" customHeight="false" outlineLevel="0" collapsed="false">
      <c r="A8" s="4"/>
      <c r="B8" s="5" t="s">
        <v>13</v>
      </c>
      <c r="C8" s="6" t="s">
        <v>14</v>
      </c>
      <c r="D8" s="6" t="s">
        <v>15</v>
      </c>
      <c r="E8" s="6" t="s">
        <v>19</v>
      </c>
      <c r="F8" s="7" t="n">
        <v>12</v>
      </c>
      <c r="G8" s="6" t="s">
        <v>17</v>
      </c>
      <c r="H8" s="8"/>
      <c r="I8" s="9" t="str">
        <f aca="false">IF(H8="","",H8*F8)</f>
        <v/>
      </c>
      <c r="J8" s="10"/>
    </row>
    <row r="9" customFormat="false" ht="25.35" hidden="false" customHeight="false" outlineLevel="0" collapsed="false">
      <c r="A9" s="11"/>
      <c r="B9" s="12" t="s">
        <v>20</v>
      </c>
      <c r="C9" s="11"/>
      <c r="D9" s="11"/>
      <c r="E9" s="13" t="s">
        <v>21</v>
      </c>
      <c r="F9" s="14" t="n">
        <v>4</v>
      </c>
      <c r="G9" s="13" t="s">
        <v>22</v>
      </c>
      <c r="H9" s="15" t="n">
        <f aca="false">SUM(H6:H8)</f>
        <v>0</v>
      </c>
      <c r="I9" s="16" t="n">
        <f aca="false">SUM(I6:I8)</f>
        <v>0</v>
      </c>
      <c r="J9" s="17" t="str">
        <f aca="false">IF(H9=F9,"OK",IF(H9&lt;F9,"부족 "&amp;(F9-H9)&amp;" set","초과 "&amp;(H9-F9)&amp;" set"))</f>
        <v>부족 4 set</v>
      </c>
    </row>
    <row r="11" customFormat="false" ht="15" hidden="false" customHeight="false" outlineLevel="0" collapsed="false">
      <c r="A11" s="4" t="n">
        <v>2</v>
      </c>
      <c r="B11" s="5" t="s">
        <v>23</v>
      </c>
      <c r="C11" s="6" t="s">
        <v>24</v>
      </c>
      <c r="D11" s="6" t="s">
        <v>25</v>
      </c>
      <c r="E11" s="6" t="s">
        <v>16</v>
      </c>
      <c r="F11" s="7" t="n">
        <v>6</v>
      </c>
      <c r="G11" s="6" t="s">
        <v>17</v>
      </c>
      <c r="H11" s="8"/>
      <c r="I11" s="9" t="str">
        <f aca="false">IF(H11="","",H11*F11)</f>
        <v/>
      </c>
      <c r="J11" s="10"/>
    </row>
    <row r="12" customFormat="false" ht="15" hidden="false" customHeight="false" outlineLevel="0" collapsed="false">
      <c r="A12" s="4"/>
      <c r="B12" s="5" t="s">
        <v>23</v>
      </c>
      <c r="C12" s="6" t="s">
        <v>24</v>
      </c>
      <c r="D12" s="6" t="s">
        <v>25</v>
      </c>
      <c r="E12" s="6" t="s">
        <v>18</v>
      </c>
      <c r="F12" s="7" t="n">
        <v>6</v>
      </c>
      <c r="G12" s="6" t="s">
        <v>17</v>
      </c>
      <c r="H12" s="8"/>
      <c r="I12" s="9" t="str">
        <f aca="false">IF(H12="","",H12*F12)</f>
        <v/>
      </c>
      <c r="J12" s="10"/>
    </row>
    <row r="13" customFormat="false" ht="15" hidden="false" customHeight="false" outlineLevel="0" collapsed="false">
      <c r="A13" s="4"/>
      <c r="B13" s="5" t="s">
        <v>23</v>
      </c>
      <c r="C13" s="6" t="s">
        <v>24</v>
      </c>
      <c r="D13" s="6" t="s">
        <v>25</v>
      </c>
      <c r="E13" s="6" t="s">
        <v>19</v>
      </c>
      <c r="F13" s="7" t="n">
        <v>6</v>
      </c>
      <c r="G13" s="6" t="s">
        <v>17</v>
      </c>
      <c r="H13" s="8"/>
      <c r="I13" s="9" t="str">
        <f aca="false">IF(H13="","",H13*F13)</f>
        <v/>
      </c>
      <c r="J13" s="10"/>
    </row>
    <row r="14" customFormat="false" ht="15" hidden="false" customHeight="false" outlineLevel="0" collapsed="false">
      <c r="A14" s="4"/>
      <c r="B14" s="5" t="s">
        <v>23</v>
      </c>
      <c r="C14" s="6" t="s">
        <v>24</v>
      </c>
      <c r="D14" s="6" t="s">
        <v>25</v>
      </c>
      <c r="E14" s="6" t="s">
        <v>26</v>
      </c>
      <c r="F14" s="7" t="n">
        <v>6</v>
      </c>
      <c r="G14" s="6" t="s">
        <v>17</v>
      </c>
      <c r="H14" s="8"/>
      <c r="I14" s="9" t="str">
        <f aca="false">IF(H14="","",H14*F14)</f>
        <v/>
      </c>
      <c r="J14" s="10"/>
    </row>
    <row r="15" customFormat="false" ht="25.35" hidden="false" customHeight="false" outlineLevel="0" collapsed="false">
      <c r="A15" s="11"/>
      <c r="B15" s="12" t="s">
        <v>27</v>
      </c>
      <c r="C15" s="11"/>
      <c r="D15" s="11"/>
      <c r="E15" s="13" t="s">
        <v>21</v>
      </c>
      <c r="F15" s="14" t="n">
        <v>3</v>
      </c>
      <c r="G15" s="13" t="s">
        <v>22</v>
      </c>
      <c r="H15" s="15" t="n">
        <f aca="false">SUM(H11:H14)</f>
        <v>0</v>
      </c>
      <c r="I15" s="16" t="n">
        <f aca="false">SUM(I11:I14)</f>
        <v>0</v>
      </c>
      <c r="J15" s="17" t="str">
        <f aca="false">IF(H15=F15,"OK",IF(H15&lt;F15,"부족 "&amp;(F15-H15)&amp;" set","초과 "&amp;(H15-F15)&amp;" set"))</f>
        <v>부족 3 set</v>
      </c>
    </row>
    <row r="17" customFormat="false" ht="15" hidden="false" customHeight="false" outlineLevel="0" collapsed="false">
      <c r="A17" s="4" t="n">
        <v>3</v>
      </c>
      <c r="B17" s="5" t="s">
        <v>28</v>
      </c>
      <c r="C17" s="6" t="s">
        <v>29</v>
      </c>
      <c r="D17" s="6" t="s">
        <v>15</v>
      </c>
      <c r="E17" s="6" t="s">
        <v>30</v>
      </c>
      <c r="F17" s="7" t="n">
        <v>1</v>
      </c>
      <c r="G17" s="6" t="s">
        <v>17</v>
      </c>
      <c r="H17" s="8"/>
      <c r="I17" s="9" t="str">
        <f aca="false">IF(H17="","",H17*F17)</f>
        <v/>
      </c>
      <c r="J17" s="10"/>
    </row>
    <row r="18" customFormat="false" ht="15" hidden="false" customHeight="false" outlineLevel="0" collapsed="false">
      <c r="A18" s="4"/>
      <c r="B18" s="5" t="s">
        <v>28</v>
      </c>
      <c r="C18" s="6" t="s">
        <v>29</v>
      </c>
      <c r="D18" s="6" t="s">
        <v>15</v>
      </c>
      <c r="E18" s="6" t="s">
        <v>31</v>
      </c>
      <c r="F18" s="7" t="n">
        <v>1</v>
      </c>
      <c r="G18" s="6" t="s">
        <v>17</v>
      </c>
      <c r="H18" s="8"/>
      <c r="I18" s="9" t="str">
        <f aca="false">IF(H18="","",H18*F18)</f>
        <v/>
      </c>
      <c r="J18" s="10"/>
    </row>
    <row r="19" customFormat="false" ht="15" hidden="false" customHeight="false" outlineLevel="0" collapsed="false">
      <c r="A19" s="4"/>
      <c r="B19" s="5" t="s">
        <v>28</v>
      </c>
      <c r="C19" s="6" t="s">
        <v>29</v>
      </c>
      <c r="D19" s="6" t="s">
        <v>15</v>
      </c>
      <c r="E19" s="6" t="s">
        <v>32</v>
      </c>
      <c r="F19" s="7" t="n">
        <v>1</v>
      </c>
      <c r="G19" s="6" t="s">
        <v>17</v>
      </c>
      <c r="H19" s="8"/>
      <c r="I19" s="9" t="str">
        <f aca="false">IF(H19="","",H19*F19)</f>
        <v/>
      </c>
      <c r="J19" s="10"/>
    </row>
    <row r="20" customFormat="false" ht="15" hidden="false" customHeight="false" outlineLevel="0" collapsed="false">
      <c r="A20" s="4"/>
      <c r="B20" s="5" t="s">
        <v>28</v>
      </c>
      <c r="C20" s="6" t="s">
        <v>29</v>
      </c>
      <c r="D20" s="6" t="s">
        <v>15</v>
      </c>
      <c r="E20" s="6" t="s">
        <v>33</v>
      </c>
      <c r="F20" s="7" t="n">
        <v>1</v>
      </c>
      <c r="G20" s="6" t="s">
        <v>17</v>
      </c>
      <c r="H20" s="8"/>
      <c r="I20" s="9" t="str">
        <f aca="false">IF(H20="","",H20*F20)</f>
        <v/>
      </c>
      <c r="J20" s="10"/>
    </row>
    <row r="21" customFormat="false" ht="15" hidden="false" customHeight="false" outlineLevel="0" collapsed="false">
      <c r="A21" s="4"/>
      <c r="B21" s="5" t="s">
        <v>28</v>
      </c>
      <c r="C21" s="6" t="s">
        <v>29</v>
      </c>
      <c r="D21" s="6" t="s">
        <v>15</v>
      </c>
      <c r="E21" s="6" t="s">
        <v>34</v>
      </c>
      <c r="F21" s="7" t="n">
        <v>1</v>
      </c>
      <c r="G21" s="6" t="s">
        <v>17</v>
      </c>
      <c r="H21" s="8"/>
      <c r="I21" s="9" t="str">
        <f aca="false">IF(H21="","",H21*F21)</f>
        <v/>
      </c>
      <c r="J21" s="10"/>
    </row>
    <row r="22" customFormat="false" ht="15" hidden="false" customHeight="false" outlineLevel="0" collapsed="false">
      <c r="A22" s="4"/>
      <c r="B22" s="5" t="s">
        <v>28</v>
      </c>
      <c r="C22" s="6" t="s">
        <v>29</v>
      </c>
      <c r="D22" s="6" t="s">
        <v>15</v>
      </c>
      <c r="E22" s="6" t="s">
        <v>35</v>
      </c>
      <c r="F22" s="7" t="n">
        <v>1</v>
      </c>
      <c r="G22" s="6" t="s">
        <v>17</v>
      </c>
      <c r="H22" s="8"/>
      <c r="I22" s="9" t="str">
        <f aca="false">IF(H22="","",H22*F22)</f>
        <v/>
      </c>
      <c r="J22" s="10"/>
    </row>
    <row r="23" customFormat="false" ht="15" hidden="false" customHeight="false" outlineLevel="0" collapsed="false">
      <c r="A23" s="4"/>
      <c r="B23" s="5" t="s">
        <v>28</v>
      </c>
      <c r="C23" s="6" t="s">
        <v>29</v>
      </c>
      <c r="D23" s="6" t="s">
        <v>15</v>
      </c>
      <c r="E23" s="6" t="s">
        <v>36</v>
      </c>
      <c r="F23" s="7" t="n">
        <v>1</v>
      </c>
      <c r="G23" s="6" t="s">
        <v>17</v>
      </c>
      <c r="H23" s="8"/>
      <c r="I23" s="9" t="str">
        <f aca="false">IF(H23="","",H23*F23)</f>
        <v/>
      </c>
      <c r="J23" s="10"/>
    </row>
    <row r="24" customFormat="false" ht="15" hidden="false" customHeight="false" outlineLevel="0" collapsed="false">
      <c r="A24" s="4"/>
      <c r="B24" s="5" t="s">
        <v>28</v>
      </c>
      <c r="C24" s="6" t="s">
        <v>29</v>
      </c>
      <c r="D24" s="6" t="s">
        <v>15</v>
      </c>
      <c r="E24" s="6" t="s">
        <v>37</v>
      </c>
      <c r="F24" s="7" t="n">
        <v>1</v>
      </c>
      <c r="G24" s="6" t="s">
        <v>17</v>
      </c>
      <c r="H24" s="8"/>
      <c r="I24" s="9" t="str">
        <f aca="false">IF(H24="","",H24*F24)</f>
        <v/>
      </c>
      <c r="J24" s="10"/>
    </row>
    <row r="25" customFormat="false" ht="15" hidden="false" customHeight="false" outlineLevel="0" collapsed="false">
      <c r="A25" s="4"/>
      <c r="B25" s="5" t="s">
        <v>28</v>
      </c>
      <c r="C25" s="6" t="s">
        <v>29</v>
      </c>
      <c r="D25" s="6" t="s">
        <v>15</v>
      </c>
      <c r="E25" s="6" t="s">
        <v>38</v>
      </c>
      <c r="F25" s="7" t="n">
        <v>1</v>
      </c>
      <c r="G25" s="6" t="s">
        <v>17</v>
      </c>
      <c r="H25" s="8"/>
      <c r="I25" s="9" t="str">
        <f aca="false">IF(H25="","",H25*F25)</f>
        <v/>
      </c>
      <c r="J25" s="10"/>
    </row>
    <row r="26" customFormat="false" ht="15" hidden="false" customHeight="false" outlineLevel="0" collapsed="false">
      <c r="A26" s="4"/>
      <c r="B26" s="5" t="s">
        <v>28</v>
      </c>
      <c r="C26" s="6" t="s">
        <v>29</v>
      </c>
      <c r="D26" s="6" t="s">
        <v>15</v>
      </c>
      <c r="E26" s="6" t="s">
        <v>39</v>
      </c>
      <c r="F26" s="7" t="n">
        <v>1</v>
      </c>
      <c r="G26" s="6" t="s">
        <v>17</v>
      </c>
      <c r="H26" s="8"/>
      <c r="I26" s="9" t="str">
        <f aca="false">IF(H26="","",H26*F26)</f>
        <v/>
      </c>
      <c r="J26" s="10"/>
    </row>
    <row r="27" customFormat="false" ht="25.35" hidden="false" customHeight="false" outlineLevel="0" collapsed="false">
      <c r="A27" s="11"/>
      <c r="B27" s="12" t="s">
        <v>40</v>
      </c>
      <c r="C27" s="11"/>
      <c r="D27" s="11"/>
      <c r="E27" s="13" t="s">
        <v>21</v>
      </c>
      <c r="F27" s="14" t="n">
        <v>15</v>
      </c>
      <c r="G27" s="13" t="s">
        <v>22</v>
      </c>
      <c r="H27" s="15" t="n">
        <f aca="false">SUM(H17:H26)</f>
        <v>0</v>
      </c>
      <c r="I27" s="16" t="n">
        <f aca="false">SUM(I17:I26)</f>
        <v>0</v>
      </c>
      <c r="J27" s="17" t="str">
        <f aca="false">IF(H27=F27,"OK",IF(H27&lt;F27,"부족 "&amp;(F27-H27)&amp;" set","초과 "&amp;(H27-F27)&amp;" set"))</f>
        <v>부족 15 set</v>
      </c>
    </row>
    <row r="29" customFormat="false" ht="15" hidden="false" customHeight="false" outlineLevel="0" collapsed="false">
      <c r="A29" s="4" t="n">
        <v>4</v>
      </c>
      <c r="B29" s="5" t="s">
        <v>41</v>
      </c>
      <c r="C29" s="6" t="s">
        <v>42</v>
      </c>
      <c r="D29" s="6" t="s">
        <v>43</v>
      </c>
      <c r="E29" s="6" t="s">
        <v>44</v>
      </c>
      <c r="F29" s="7" t="n">
        <v>1</v>
      </c>
      <c r="G29" s="6" t="s">
        <v>45</v>
      </c>
      <c r="H29" s="8"/>
      <c r="I29" s="9" t="str">
        <f aca="false">IF(H29="","",H29*F29)</f>
        <v/>
      </c>
      <c r="J29" s="10"/>
    </row>
    <row r="30" customFormat="false" ht="15" hidden="false" customHeight="false" outlineLevel="0" collapsed="false">
      <c r="A30" s="4"/>
      <c r="B30" s="5" t="s">
        <v>41</v>
      </c>
      <c r="C30" s="6" t="s">
        <v>42</v>
      </c>
      <c r="D30" s="6" t="s">
        <v>43</v>
      </c>
      <c r="E30" s="6" t="s">
        <v>46</v>
      </c>
      <c r="F30" s="7" t="n">
        <v>1</v>
      </c>
      <c r="G30" s="6" t="s">
        <v>45</v>
      </c>
      <c r="H30" s="8"/>
      <c r="I30" s="9" t="str">
        <f aca="false">IF(H30="","",H30*F30)</f>
        <v/>
      </c>
      <c r="J30" s="10"/>
    </row>
    <row r="31" customFormat="false" ht="15" hidden="false" customHeight="false" outlineLevel="0" collapsed="false">
      <c r="A31" s="4"/>
      <c r="B31" s="5" t="s">
        <v>41</v>
      </c>
      <c r="C31" s="6" t="s">
        <v>42</v>
      </c>
      <c r="D31" s="6" t="s">
        <v>43</v>
      </c>
      <c r="E31" s="6" t="s">
        <v>47</v>
      </c>
      <c r="F31" s="7" t="n">
        <v>1</v>
      </c>
      <c r="G31" s="6" t="s">
        <v>45</v>
      </c>
      <c r="H31" s="8"/>
      <c r="I31" s="9" t="str">
        <f aca="false">IF(H31="","",H31*F31)</f>
        <v/>
      </c>
      <c r="J31" s="10"/>
    </row>
    <row r="32" customFormat="false" ht="15" hidden="false" customHeight="false" outlineLevel="0" collapsed="false">
      <c r="A32" s="4"/>
      <c r="B32" s="5" t="s">
        <v>41</v>
      </c>
      <c r="C32" s="6" t="s">
        <v>42</v>
      </c>
      <c r="D32" s="6" t="s">
        <v>43</v>
      </c>
      <c r="E32" s="6" t="s">
        <v>48</v>
      </c>
      <c r="F32" s="7" t="n">
        <v>1</v>
      </c>
      <c r="G32" s="6" t="s">
        <v>45</v>
      </c>
      <c r="H32" s="8"/>
      <c r="I32" s="9" t="str">
        <f aca="false">IF(H32="","",H32*F32)</f>
        <v/>
      </c>
      <c r="J32" s="10"/>
    </row>
    <row r="33" customFormat="false" ht="15" hidden="false" customHeight="false" outlineLevel="0" collapsed="false">
      <c r="A33" s="4"/>
      <c r="B33" s="5" t="s">
        <v>41</v>
      </c>
      <c r="C33" s="6" t="s">
        <v>42</v>
      </c>
      <c r="D33" s="6" t="s">
        <v>43</v>
      </c>
      <c r="E33" s="6" t="s">
        <v>49</v>
      </c>
      <c r="F33" s="7" t="n">
        <v>1</v>
      </c>
      <c r="G33" s="6" t="s">
        <v>45</v>
      </c>
      <c r="H33" s="8"/>
      <c r="I33" s="9" t="str">
        <f aca="false">IF(H33="","",H33*F33)</f>
        <v/>
      </c>
      <c r="J33" s="10"/>
    </row>
    <row r="34" customFormat="false" ht="15" hidden="false" customHeight="false" outlineLevel="0" collapsed="false">
      <c r="A34" s="4"/>
      <c r="B34" s="5" t="s">
        <v>41</v>
      </c>
      <c r="C34" s="6" t="s">
        <v>42</v>
      </c>
      <c r="D34" s="6" t="s">
        <v>43</v>
      </c>
      <c r="E34" s="6" t="s">
        <v>50</v>
      </c>
      <c r="F34" s="7" t="n">
        <v>1</v>
      </c>
      <c r="G34" s="6" t="s">
        <v>45</v>
      </c>
      <c r="H34" s="8"/>
      <c r="I34" s="9" t="str">
        <f aca="false">IF(H34="","",H34*F34)</f>
        <v/>
      </c>
      <c r="J34" s="10"/>
    </row>
    <row r="35" customFormat="false" ht="25.35" hidden="false" customHeight="false" outlineLevel="0" collapsed="false">
      <c r="A35" s="11"/>
      <c r="B35" s="12" t="s">
        <v>51</v>
      </c>
      <c r="C35" s="11"/>
      <c r="D35" s="11"/>
      <c r="E35" s="13" t="s">
        <v>21</v>
      </c>
      <c r="F35" s="14" t="n">
        <v>20</v>
      </c>
      <c r="G35" s="13" t="s">
        <v>22</v>
      </c>
      <c r="H35" s="15" t="n">
        <f aca="false">SUM(H29:H34)</f>
        <v>0</v>
      </c>
      <c r="I35" s="18" t="n">
        <f aca="false">SUM(I29:I34)</f>
        <v>0</v>
      </c>
      <c r="J35" s="17" t="str">
        <f aca="false">IF(H35=F35,"OK",IF(H35&lt;F35,"부족 "&amp;(F35-H35)&amp;" set","초과 "&amp;(H35-F35)&amp;" set"))</f>
        <v>부족 20 set</v>
      </c>
    </row>
    <row r="37" customFormat="false" ht="15" hidden="false" customHeight="false" outlineLevel="0" collapsed="false">
      <c r="B37" s="19" t="s">
        <v>52</v>
      </c>
    </row>
  </sheetData>
  <mergeCells count="6">
    <mergeCell ref="A2:J2"/>
    <mergeCell ref="A3:J3"/>
    <mergeCell ref="A6:A8"/>
    <mergeCell ref="A11:A14"/>
    <mergeCell ref="A17:A26"/>
    <mergeCell ref="A29:A34"/>
  </mergeCells>
  <conditionalFormatting sqref="J9">
    <cfRule type="expression" priority="2" aboveAverage="0" equalAverage="0" bottom="0" percent="0" rank="0" text="" dxfId="0">
      <formula>$J$9="OK"</formula>
    </cfRule>
    <cfRule type="expression" priority="3" aboveAverage="0" equalAverage="0" bottom="0" percent="0" rank="0" text="" dxfId="1">
      <formula>$J$9&lt;&gt;"OK"</formula>
    </cfRule>
  </conditionalFormatting>
  <conditionalFormatting sqref="J15">
    <cfRule type="expression" priority="4" aboveAverage="0" equalAverage="0" bottom="0" percent="0" rank="0" text="" dxfId="0">
      <formula>$J$15="OK"</formula>
    </cfRule>
    <cfRule type="expression" priority="5" aboveAverage="0" equalAverage="0" bottom="0" percent="0" rank="0" text="" dxfId="1">
      <formula>$J$15&lt;&gt;"OK"</formula>
    </cfRule>
  </conditionalFormatting>
  <conditionalFormatting sqref="J27">
    <cfRule type="expression" priority="6" aboveAverage="0" equalAverage="0" bottom="0" percent="0" rank="0" text="" dxfId="0">
      <formula>$J$27="OK"</formula>
    </cfRule>
    <cfRule type="expression" priority="7" aboveAverage="0" equalAverage="0" bottom="0" percent="0" rank="0" text="" dxfId="1">
      <formula>$J$27&lt;&gt;"OK"</formula>
    </cfRule>
  </conditionalFormatting>
  <conditionalFormatting sqref="J35">
    <cfRule type="expression" priority="8" aboveAverage="0" equalAverage="0" bottom="0" percent="0" rank="0" text="" dxfId="0">
      <formula>$J$35="OK"</formula>
    </cfRule>
    <cfRule type="expression" priority="9" aboveAverage="0" equalAverage="0" bottom="0" percent="0" rank="0" text="" dxfId="1">
      <formula>$J$35&lt;&gt;"OK"</formula>
    </cfRule>
  </conditionalFormatting>
  <dataValidations count="1">
    <dataValidation allowBlank="false" error="0 이상의 정수(SET 수)만 입력하세요." errorStyle="stop" errorTitle="수량 오류" operator="greaterThanOrEqual" showDropDown="false" showErrorMessage="true" showInputMessage="false" sqref="H6:H8 H11:H14 H17:H26 H29:H3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20" t="s">
        <v>53</v>
      </c>
    </row>
    <row r="3" customFormat="false" ht="15" hidden="false" customHeight="fals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10</v>
      </c>
      <c r="G3" s="3" t="s">
        <v>54</v>
      </c>
      <c r="H3" s="3" t="s">
        <v>11</v>
      </c>
    </row>
    <row r="4" customFormat="false" ht="15" hidden="false" customHeight="false" outlineLevel="0" collapsed="false">
      <c r="A4" s="6" t="n">
        <v>1</v>
      </c>
      <c r="B4" s="21" t="str">
        <f aca="false">수량입력!B6</f>
        <v>ScanFroze Pro</v>
      </c>
      <c r="C4" s="22" t="str">
        <f aca="false">수량입력!C6</f>
        <v>4030.20</v>
      </c>
      <c r="D4" s="22" t="str">
        <f aca="false">수량입력!D6</f>
        <v>Black</v>
      </c>
      <c r="E4" s="22" t="str">
        <f aca="false">수량입력!E6</f>
        <v>8/M</v>
      </c>
      <c r="F4" s="23" t="n">
        <f aca="false">IF(수량입력!H6="",0,수량입력!H6)</f>
        <v>0</v>
      </c>
      <c r="G4" s="6" t="str">
        <f aca="false">수량입력!F6&amp;" "&amp;IF(수량입력!F6=1,"pair",수량입력!G6)</f>
        <v>12 pairs</v>
      </c>
      <c r="H4" s="6" t="str">
        <f aca="false">IF(F4=0,"-",수량입력!I6&amp;" "&amp;수량입력!G6)</f>
        <v>-</v>
      </c>
    </row>
    <row r="5" customFormat="false" ht="15" hidden="false" customHeight="false" outlineLevel="0" collapsed="false">
      <c r="A5" s="6"/>
      <c r="B5" s="21" t="str">
        <f aca="false">수량입력!B7</f>
        <v>ScanFroze Pro</v>
      </c>
      <c r="C5" s="22" t="str">
        <f aca="false">수량입력!C7</f>
        <v>4030.20</v>
      </c>
      <c r="D5" s="22" t="str">
        <f aca="false">수량입력!D7</f>
        <v>Black</v>
      </c>
      <c r="E5" s="22" t="str">
        <f aca="false">수량입력!E7</f>
        <v>9/L</v>
      </c>
      <c r="F5" s="23" t="n">
        <f aca="false">IF(수량입력!H7="",0,수량입력!H7)</f>
        <v>0</v>
      </c>
      <c r="G5" s="6" t="str">
        <f aca="false">수량입력!F7&amp;" "&amp;IF(수량입력!F7=1,"pair",수량입력!G7)</f>
        <v>12 pairs</v>
      </c>
      <c r="H5" s="6" t="str">
        <f aca="false">IF(F5=0,"-",수량입력!I7&amp;" "&amp;수량입력!G7)</f>
        <v>-</v>
      </c>
    </row>
    <row r="6" customFormat="false" ht="15" hidden="false" customHeight="false" outlineLevel="0" collapsed="false">
      <c r="A6" s="6"/>
      <c r="B6" s="21" t="str">
        <f aca="false">수량입력!B8</f>
        <v>ScanFroze Pro</v>
      </c>
      <c r="C6" s="22" t="str">
        <f aca="false">수량입력!C8</f>
        <v>4030.20</v>
      </c>
      <c r="D6" s="22" t="str">
        <f aca="false">수량입력!D8</f>
        <v>Black</v>
      </c>
      <c r="E6" s="22" t="str">
        <f aca="false">수량입력!E8</f>
        <v>10/XL</v>
      </c>
      <c r="F6" s="23" t="n">
        <f aca="false">IF(수량입력!H8="",0,수량입력!H8)</f>
        <v>0</v>
      </c>
      <c r="G6" s="6" t="str">
        <f aca="false">수량입력!F8&amp;" "&amp;IF(수량입력!F8=1,"pair",수량입력!G8)</f>
        <v>12 pairs</v>
      </c>
      <c r="H6" s="6" t="str">
        <f aca="false">IF(F6=0,"-",수량입력!I8&amp;" "&amp;수량입력!G8)</f>
        <v>-</v>
      </c>
    </row>
    <row r="7" customFormat="false" ht="15" hidden="false" customHeight="false" outlineLevel="0" collapsed="false">
      <c r="A7" s="15"/>
      <c r="B7" s="24" t="s">
        <v>55</v>
      </c>
      <c r="C7" s="17"/>
      <c r="D7" s="17"/>
      <c r="E7" s="17"/>
      <c r="F7" s="25" t="n">
        <f aca="false">SUM(F4:F6)</f>
        <v>0</v>
      </c>
      <c r="G7" s="17"/>
      <c r="H7" s="17" t="str">
        <f aca="false">수량입력!I9&amp;" pairs"</f>
        <v>0 pairs</v>
      </c>
    </row>
    <row r="8" customFormat="false" ht="15" hidden="false" customHeight="false" outlineLevel="0" collapsed="false">
      <c r="A8" s="6" t="n">
        <v>2</v>
      </c>
      <c r="B8" s="21" t="str">
        <f aca="false">수량입력!B11</f>
        <v>ScanBlizzard</v>
      </c>
      <c r="C8" s="22" t="str">
        <f aca="false">수량입력!C11</f>
        <v>4030.17</v>
      </c>
      <c r="D8" s="22" t="str">
        <f aca="false">수량입력!D11</f>
        <v>High-Viz Yellow &amp; Black</v>
      </c>
      <c r="E8" s="22" t="str">
        <f aca="false">수량입력!E11</f>
        <v>8/M</v>
      </c>
      <c r="F8" s="23" t="n">
        <f aca="false">IF(수량입력!H11="",0,수량입력!H11)</f>
        <v>0</v>
      </c>
      <c r="G8" s="6" t="str">
        <f aca="false">수량입력!F11&amp;" "&amp;IF(수량입력!F11=1,"pair",수량입력!G11)</f>
        <v>6 pairs</v>
      </c>
      <c r="H8" s="6" t="str">
        <f aca="false">IF(F8=0,"-",수량입력!I11&amp;" "&amp;수량입력!G11)</f>
        <v>-</v>
      </c>
    </row>
    <row r="9" customFormat="false" ht="15" hidden="false" customHeight="false" outlineLevel="0" collapsed="false">
      <c r="A9" s="6"/>
      <c r="B9" s="21" t="str">
        <f aca="false">수량입력!B12</f>
        <v>ScanBlizzard</v>
      </c>
      <c r="C9" s="22" t="str">
        <f aca="false">수량입력!C12</f>
        <v>4030.17</v>
      </c>
      <c r="D9" s="22" t="str">
        <f aca="false">수량입력!D12</f>
        <v>High-Viz Yellow &amp; Black</v>
      </c>
      <c r="E9" s="22" t="str">
        <f aca="false">수량입력!E12</f>
        <v>9/L</v>
      </c>
      <c r="F9" s="23" t="n">
        <f aca="false">IF(수량입력!H12="",0,수량입력!H12)</f>
        <v>0</v>
      </c>
      <c r="G9" s="6" t="str">
        <f aca="false">수량입력!F12&amp;" "&amp;IF(수량입력!F12=1,"pair",수량입력!G12)</f>
        <v>6 pairs</v>
      </c>
      <c r="H9" s="6" t="str">
        <f aca="false">IF(F9=0,"-",수량입력!I12&amp;" "&amp;수량입력!G12)</f>
        <v>-</v>
      </c>
    </row>
    <row r="10" customFormat="false" ht="15" hidden="false" customHeight="false" outlineLevel="0" collapsed="false">
      <c r="A10" s="6"/>
      <c r="B10" s="21" t="str">
        <f aca="false">수량입력!B13</f>
        <v>ScanBlizzard</v>
      </c>
      <c r="C10" s="22" t="str">
        <f aca="false">수량입력!C13</f>
        <v>4030.17</v>
      </c>
      <c r="D10" s="22" t="str">
        <f aca="false">수량입력!D13</f>
        <v>High-Viz Yellow &amp; Black</v>
      </c>
      <c r="E10" s="22" t="str">
        <f aca="false">수량입력!E13</f>
        <v>10/XL</v>
      </c>
      <c r="F10" s="23" t="n">
        <f aca="false">IF(수량입력!H13="",0,수량입력!H13)</f>
        <v>0</v>
      </c>
      <c r="G10" s="6" t="str">
        <f aca="false">수량입력!F13&amp;" "&amp;IF(수량입력!F13=1,"pair",수량입력!G13)</f>
        <v>6 pairs</v>
      </c>
      <c r="H10" s="6" t="str">
        <f aca="false">IF(F10=0,"-",수량입력!I13&amp;" "&amp;수량입력!G13)</f>
        <v>-</v>
      </c>
    </row>
    <row r="11" customFormat="false" ht="15" hidden="false" customHeight="false" outlineLevel="0" collapsed="false">
      <c r="A11" s="6"/>
      <c r="B11" s="21" t="str">
        <f aca="false">수량입력!B14</f>
        <v>ScanBlizzard</v>
      </c>
      <c r="C11" s="22" t="str">
        <f aca="false">수량입력!C14</f>
        <v>4030.17</v>
      </c>
      <c r="D11" s="22" t="str">
        <f aca="false">수량입력!D14</f>
        <v>High-Viz Yellow &amp; Black</v>
      </c>
      <c r="E11" s="22" t="str">
        <f aca="false">수량입력!E14</f>
        <v>11/2XL</v>
      </c>
      <c r="F11" s="23" t="n">
        <f aca="false">IF(수량입력!H14="",0,수량입력!H14)</f>
        <v>0</v>
      </c>
      <c r="G11" s="6" t="str">
        <f aca="false">수량입력!F14&amp;" "&amp;IF(수량입력!F14=1,"pair",수량입력!G14)</f>
        <v>6 pairs</v>
      </c>
      <c r="H11" s="6" t="str">
        <f aca="false">IF(F11=0,"-",수량입력!I14&amp;" "&amp;수량입력!G14)</f>
        <v>-</v>
      </c>
    </row>
    <row r="12" customFormat="false" ht="15" hidden="false" customHeight="false" outlineLevel="0" collapsed="false">
      <c r="A12" s="15"/>
      <c r="B12" s="24" t="s">
        <v>56</v>
      </c>
      <c r="C12" s="17"/>
      <c r="D12" s="17"/>
      <c r="E12" s="17"/>
      <c r="F12" s="25" t="n">
        <f aca="false">SUM(F8:F11)</f>
        <v>0</v>
      </c>
      <c r="G12" s="17"/>
      <c r="H12" s="17" t="str">
        <f aca="false">수량입력!I15&amp;" pairs"</f>
        <v>0 pairs</v>
      </c>
    </row>
    <row r="13" customFormat="false" ht="15" hidden="false" customHeight="false" outlineLevel="0" collapsed="false">
      <c r="A13" s="6" t="n">
        <v>3</v>
      </c>
      <c r="B13" s="21" t="str">
        <f aca="false">수량입력!B17</f>
        <v>ScanTitan</v>
      </c>
      <c r="C13" s="22" t="str">
        <f aca="false">수량입력!C17</f>
        <v>2520.17</v>
      </c>
      <c r="D13" s="22" t="str">
        <f aca="false">수량입력!D17</f>
        <v>Black</v>
      </c>
      <c r="E13" s="22" t="str">
        <f aca="false">수량입력!E17</f>
        <v>EU 38</v>
      </c>
      <c r="F13" s="23" t="n">
        <f aca="false">IF(수량입력!H17="",0,수량입력!H17)</f>
        <v>0</v>
      </c>
      <c r="G13" s="6" t="str">
        <f aca="false">수량입력!F17&amp;" "&amp;IF(수량입력!F17=1,"pair",수량입력!G17)</f>
        <v>1 pair</v>
      </c>
      <c r="H13" s="6" t="str">
        <f aca="false">IF(F13=0,"-",수량입력!I17&amp;" "&amp;수량입력!G17)</f>
        <v>-</v>
      </c>
    </row>
    <row r="14" customFormat="false" ht="15" hidden="false" customHeight="false" outlineLevel="0" collapsed="false">
      <c r="A14" s="6"/>
      <c r="B14" s="21" t="str">
        <f aca="false">수량입력!B18</f>
        <v>ScanTitan</v>
      </c>
      <c r="C14" s="22" t="str">
        <f aca="false">수량입력!C18</f>
        <v>2520.17</v>
      </c>
      <c r="D14" s="22" t="str">
        <f aca="false">수량입력!D18</f>
        <v>Black</v>
      </c>
      <c r="E14" s="22" t="str">
        <f aca="false">수량입력!E18</f>
        <v>EU 39</v>
      </c>
      <c r="F14" s="23" t="n">
        <f aca="false">IF(수량입력!H18="",0,수량입력!H18)</f>
        <v>0</v>
      </c>
      <c r="G14" s="6" t="str">
        <f aca="false">수량입력!F18&amp;" "&amp;IF(수량입력!F18=1,"pair",수량입력!G18)</f>
        <v>1 pair</v>
      </c>
      <c r="H14" s="6" t="str">
        <f aca="false">IF(F14=0,"-",수량입력!I18&amp;" "&amp;수량입력!G18)</f>
        <v>-</v>
      </c>
    </row>
    <row r="15" customFormat="false" ht="15" hidden="false" customHeight="false" outlineLevel="0" collapsed="false">
      <c r="A15" s="6"/>
      <c r="B15" s="21" t="str">
        <f aca="false">수량입력!B19</f>
        <v>ScanTitan</v>
      </c>
      <c r="C15" s="22" t="str">
        <f aca="false">수량입력!C19</f>
        <v>2520.17</v>
      </c>
      <c r="D15" s="22" t="str">
        <f aca="false">수량입력!D19</f>
        <v>Black</v>
      </c>
      <c r="E15" s="22" t="str">
        <f aca="false">수량입력!E19</f>
        <v>EU 40</v>
      </c>
      <c r="F15" s="23" t="n">
        <f aca="false">IF(수량입력!H19="",0,수량입력!H19)</f>
        <v>0</v>
      </c>
      <c r="G15" s="6" t="str">
        <f aca="false">수량입력!F19&amp;" "&amp;IF(수량입력!F19=1,"pair",수량입력!G19)</f>
        <v>1 pair</v>
      </c>
      <c r="H15" s="6" t="str">
        <f aca="false">IF(F15=0,"-",수량입력!I19&amp;" "&amp;수량입력!G19)</f>
        <v>-</v>
      </c>
    </row>
    <row r="16" customFormat="false" ht="15" hidden="false" customHeight="false" outlineLevel="0" collapsed="false">
      <c r="A16" s="6"/>
      <c r="B16" s="21" t="str">
        <f aca="false">수량입력!B20</f>
        <v>ScanTitan</v>
      </c>
      <c r="C16" s="22" t="str">
        <f aca="false">수량입력!C20</f>
        <v>2520.17</v>
      </c>
      <c r="D16" s="22" t="str">
        <f aca="false">수량입력!D20</f>
        <v>Black</v>
      </c>
      <c r="E16" s="22" t="str">
        <f aca="false">수량입력!E20</f>
        <v>EU 41</v>
      </c>
      <c r="F16" s="23" t="n">
        <f aca="false">IF(수량입력!H20="",0,수량입력!H20)</f>
        <v>0</v>
      </c>
      <c r="G16" s="6" t="str">
        <f aca="false">수량입력!F20&amp;" "&amp;IF(수량입력!F20=1,"pair",수량입력!G20)</f>
        <v>1 pair</v>
      </c>
      <c r="H16" s="6" t="str">
        <f aca="false">IF(F16=0,"-",수량입력!I20&amp;" "&amp;수량입력!G20)</f>
        <v>-</v>
      </c>
    </row>
    <row r="17" customFormat="false" ht="15" hidden="false" customHeight="false" outlineLevel="0" collapsed="false">
      <c r="A17" s="6"/>
      <c r="B17" s="21" t="str">
        <f aca="false">수량입력!B21</f>
        <v>ScanTitan</v>
      </c>
      <c r="C17" s="22" t="str">
        <f aca="false">수량입력!C21</f>
        <v>2520.17</v>
      </c>
      <c r="D17" s="22" t="str">
        <f aca="false">수량입력!D21</f>
        <v>Black</v>
      </c>
      <c r="E17" s="22" t="str">
        <f aca="false">수량입력!E21</f>
        <v>EU 42</v>
      </c>
      <c r="F17" s="23" t="n">
        <f aca="false">IF(수량입력!H21="",0,수량입력!H21)</f>
        <v>0</v>
      </c>
      <c r="G17" s="6" t="str">
        <f aca="false">수량입력!F21&amp;" "&amp;IF(수량입력!F21=1,"pair",수량입력!G21)</f>
        <v>1 pair</v>
      </c>
      <c r="H17" s="6" t="str">
        <f aca="false">IF(F17=0,"-",수량입력!I21&amp;" "&amp;수량입력!G21)</f>
        <v>-</v>
      </c>
    </row>
    <row r="18" customFormat="false" ht="15" hidden="false" customHeight="false" outlineLevel="0" collapsed="false">
      <c r="A18" s="6"/>
      <c r="B18" s="21" t="str">
        <f aca="false">수량입력!B22</f>
        <v>ScanTitan</v>
      </c>
      <c r="C18" s="22" t="str">
        <f aca="false">수량입력!C22</f>
        <v>2520.17</v>
      </c>
      <c r="D18" s="22" t="str">
        <f aca="false">수량입력!D22</f>
        <v>Black</v>
      </c>
      <c r="E18" s="22" t="str">
        <f aca="false">수량입력!E22</f>
        <v>EU 43</v>
      </c>
      <c r="F18" s="23" t="n">
        <f aca="false">IF(수량입력!H22="",0,수량입력!H22)</f>
        <v>0</v>
      </c>
      <c r="G18" s="6" t="str">
        <f aca="false">수량입력!F22&amp;" "&amp;IF(수량입력!F22=1,"pair",수량입력!G22)</f>
        <v>1 pair</v>
      </c>
      <c r="H18" s="6" t="str">
        <f aca="false">IF(F18=0,"-",수량입력!I22&amp;" "&amp;수량입력!G22)</f>
        <v>-</v>
      </c>
    </row>
    <row r="19" customFormat="false" ht="15" hidden="false" customHeight="false" outlineLevel="0" collapsed="false">
      <c r="A19" s="6"/>
      <c r="B19" s="21" t="str">
        <f aca="false">수량입력!B23</f>
        <v>ScanTitan</v>
      </c>
      <c r="C19" s="22" t="str">
        <f aca="false">수량입력!C23</f>
        <v>2520.17</v>
      </c>
      <c r="D19" s="22" t="str">
        <f aca="false">수량입력!D23</f>
        <v>Black</v>
      </c>
      <c r="E19" s="22" t="str">
        <f aca="false">수량입력!E23</f>
        <v>EU 44</v>
      </c>
      <c r="F19" s="23" t="n">
        <f aca="false">IF(수량입력!H23="",0,수량입력!H23)</f>
        <v>0</v>
      </c>
      <c r="G19" s="6" t="str">
        <f aca="false">수량입력!F23&amp;" "&amp;IF(수량입력!F23=1,"pair",수량입력!G23)</f>
        <v>1 pair</v>
      </c>
      <c r="H19" s="6" t="str">
        <f aca="false">IF(F19=0,"-",수량입력!I23&amp;" "&amp;수량입력!G23)</f>
        <v>-</v>
      </c>
    </row>
    <row r="20" customFormat="false" ht="15" hidden="false" customHeight="false" outlineLevel="0" collapsed="false">
      <c r="A20" s="6"/>
      <c r="B20" s="21" t="str">
        <f aca="false">수량입력!B24</f>
        <v>ScanTitan</v>
      </c>
      <c r="C20" s="22" t="str">
        <f aca="false">수량입력!C24</f>
        <v>2520.17</v>
      </c>
      <c r="D20" s="22" t="str">
        <f aca="false">수량입력!D24</f>
        <v>Black</v>
      </c>
      <c r="E20" s="22" t="str">
        <f aca="false">수량입력!E24</f>
        <v>EU 45</v>
      </c>
      <c r="F20" s="23" t="n">
        <f aca="false">IF(수량입력!H24="",0,수량입력!H24)</f>
        <v>0</v>
      </c>
      <c r="G20" s="6" t="str">
        <f aca="false">수량입력!F24&amp;" "&amp;IF(수량입력!F24=1,"pair",수량입력!G24)</f>
        <v>1 pair</v>
      </c>
      <c r="H20" s="6" t="str">
        <f aca="false">IF(F20=0,"-",수량입력!I24&amp;" "&amp;수량입력!G24)</f>
        <v>-</v>
      </c>
    </row>
    <row r="21" customFormat="false" ht="15" hidden="false" customHeight="false" outlineLevel="0" collapsed="false">
      <c r="A21" s="6"/>
      <c r="B21" s="21" t="str">
        <f aca="false">수량입력!B25</f>
        <v>ScanTitan</v>
      </c>
      <c r="C21" s="22" t="str">
        <f aca="false">수량입력!C25</f>
        <v>2520.17</v>
      </c>
      <c r="D21" s="22" t="str">
        <f aca="false">수량입력!D25</f>
        <v>Black</v>
      </c>
      <c r="E21" s="22" t="str">
        <f aca="false">수량입력!E25</f>
        <v>EU 46</v>
      </c>
      <c r="F21" s="23" t="n">
        <f aca="false">IF(수량입력!H25="",0,수량입력!H25)</f>
        <v>0</v>
      </c>
      <c r="G21" s="6" t="str">
        <f aca="false">수량입력!F25&amp;" "&amp;IF(수량입력!F25=1,"pair",수량입력!G25)</f>
        <v>1 pair</v>
      </c>
      <c r="H21" s="6" t="str">
        <f aca="false">IF(F21=0,"-",수량입력!I25&amp;" "&amp;수량입력!G25)</f>
        <v>-</v>
      </c>
    </row>
    <row r="22" customFormat="false" ht="15" hidden="false" customHeight="false" outlineLevel="0" collapsed="false">
      <c r="A22" s="6"/>
      <c r="B22" s="21" t="str">
        <f aca="false">수량입력!B26</f>
        <v>ScanTitan</v>
      </c>
      <c r="C22" s="22" t="str">
        <f aca="false">수량입력!C26</f>
        <v>2520.17</v>
      </c>
      <c r="D22" s="22" t="str">
        <f aca="false">수량입력!D26</f>
        <v>Black</v>
      </c>
      <c r="E22" s="22" t="str">
        <f aca="false">수량입력!E26</f>
        <v>EU 47</v>
      </c>
      <c r="F22" s="23" t="n">
        <f aca="false">IF(수량입력!H26="",0,수량입력!H26)</f>
        <v>0</v>
      </c>
      <c r="G22" s="6" t="str">
        <f aca="false">수량입력!F26&amp;" "&amp;IF(수량입력!F26=1,"pair",수량입력!G26)</f>
        <v>1 pair</v>
      </c>
      <c r="H22" s="6" t="str">
        <f aca="false">IF(F22=0,"-",수량입력!I26&amp;" "&amp;수량입력!G26)</f>
        <v>-</v>
      </c>
    </row>
    <row r="23" customFormat="false" ht="15" hidden="false" customHeight="false" outlineLevel="0" collapsed="false">
      <c r="A23" s="15"/>
      <c r="B23" s="24" t="s">
        <v>57</v>
      </c>
      <c r="C23" s="17"/>
      <c r="D23" s="17"/>
      <c r="E23" s="17"/>
      <c r="F23" s="25" t="n">
        <f aca="false">SUM(F13:F22)</f>
        <v>0</v>
      </c>
      <c r="G23" s="17"/>
      <c r="H23" s="17" t="str">
        <f aca="false">수량입력!I27&amp;" pairs"</f>
        <v>0 pairs</v>
      </c>
    </row>
    <row r="24" customFormat="false" ht="15" hidden="false" customHeight="false" outlineLevel="0" collapsed="false">
      <c r="A24" s="6" t="n">
        <v>4</v>
      </c>
      <c r="B24" s="21" t="str">
        <f aca="false">수량입력!B29</f>
        <v>ScanTriple HV 003</v>
      </c>
      <c r="C24" s="22" t="str">
        <f aca="false">수량입력!C29</f>
        <v>1036.44</v>
      </c>
      <c r="D24" s="22" t="str">
        <f aca="false">수량입력!D29</f>
        <v>High-Viz Yellow &amp; Navy</v>
      </c>
      <c r="E24" s="22" t="str">
        <f aca="false">수량입력!E29</f>
        <v>S</v>
      </c>
      <c r="F24" s="23" t="n">
        <f aca="false">IF(수량입력!H29="",0,수량입력!H29)</f>
        <v>0</v>
      </c>
      <c r="G24" s="6" t="str">
        <f aca="false">수량입력!F29&amp;" "&amp;IF(수량입력!F29=1,"pc",수량입력!G29)</f>
        <v>1 pc</v>
      </c>
      <c r="H24" s="6" t="str">
        <f aca="false">IF(F24=0,"-",수량입력!I29&amp;" "&amp;수량입력!G29)</f>
        <v>-</v>
      </c>
    </row>
    <row r="25" customFormat="false" ht="15" hidden="false" customHeight="false" outlineLevel="0" collapsed="false">
      <c r="A25" s="6"/>
      <c r="B25" s="21" t="str">
        <f aca="false">수량입력!B30</f>
        <v>ScanTriple HV 003</v>
      </c>
      <c r="C25" s="22" t="str">
        <f aca="false">수량입력!C30</f>
        <v>1036.44</v>
      </c>
      <c r="D25" s="22" t="str">
        <f aca="false">수량입력!D30</f>
        <v>High-Viz Yellow &amp; Navy</v>
      </c>
      <c r="E25" s="22" t="str">
        <f aca="false">수량입력!E30</f>
        <v>M</v>
      </c>
      <c r="F25" s="23" t="n">
        <f aca="false">IF(수량입력!H30="",0,수량입력!H30)</f>
        <v>0</v>
      </c>
      <c r="G25" s="6" t="str">
        <f aca="false">수량입력!F30&amp;" "&amp;IF(수량입력!F30=1,"pc",수량입력!G30)</f>
        <v>1 pc</v>
      </c>
      <c r="H25" s="6" t="str">
        <f aca="false">IF(F25=0,"-",수량입력!I30&amp;" "&amp;수량입력!G30)</f>
        <v>-</v>
      </c>
    </row>
    <row r="26" customFormat="false" ht="15" hidden="false" customHeight="false" outlineLevel="0" collapsed="false">
      <c r="A26" s="6"/>
      <c r="B26" s="21" t="str">
        <f aca="false">수량입력!B31</f>
        <v>ScanTriple HV 003</v>
      </c>
      <c r="C26" s="22" t="str">
        <f aca="false">수량입력!C31</f>
        <v>1036.44</v>
      </c>
      <c r="D26" s="22" t="str">
        <f aca="false">수량입력!D31</f>
        <v>High-Viz Yellow &amp; Navy</v>
      </c>
      <c r="E26" s="22" t="str">
        <f aca="false">수량입력!E31</f>
        <v>L</v>
      </c>
      <c r="F26" s="23" t="n">
        <f aca="false">IF(수량입력!H31="",0,수량입력!H31)</f>
        <v>0</v>
      </c>
      <c r="G26" s="6" t="str">
        <f aca="false">수량입력!F31&amp;" "&amp;IF(수량입력!F31=1,"pc",수량입력!G31)</f>
        <v>1 pc</v>
      </c>
      <c r="H26" s="6" t="str">
        <f aca="false">IF(F26=0,"-",수량입력!I31&amp;" "&amp;수량입력!G31)</f>
        <v>-</v>
      </c>
    </row>
    <row r="27" customFormat="false" ht="15" hidden="false" customHeight="false" outlineLevel="0" collapsed="false">
      <c r="A27" s="6"/>
      <c r="B27" s="21" t="str">
        <f aca="false">수량입력!B32</f>
        <v>ScanTriple HV 003</v>
      </c>
      <c r="C27" s="22" t="str">
        <f aca="false">수량입력!C32</f>
        <v>1036.44</v>
      </c>
      <c r="D27" s="22" t="str">
        <f aca="false">수량입력!D32</f>
        <v>High-Viz Yellow &amp; Navy</v>
      </c>
      <c r="E27" s="22" t="str">
        <f aca="false">수량입력!E32</f>
        <v>XL</v>
      </c>
      <c r="F27" s="23" t="n">
        <f aca="false">IF(수량입력!H32="",0,수량입력!H32)</f>
        <v>0</v>
      </c>
      <c r="G27" s="6" t="str">
        <f aca="false">수량입력!F32&amp;" "&amp;IF(수량입력!F32=1,"pc",수량입력!G32)</f>
        <v>1 pc</v>
      </c>
      <c r="H27" s="6" t="str">
        <f aca="false">IF(F27=0,"-",수량입력!I32&amp;" "&amp;수량입력!G32)</f>
        <v>-</v>
      </c>
    </row>
    <row r="28" customFormat="false" ht="15" hidden="false" customHeight="false" outlineLevel="0" collapsed="false">
      <c r="A28" s="6"/>
      <c r="B28" s="21" t="str">
        <f aca="false">수량입력!B33</f>
        <v>ScanTriple HV 003</v>
      </c>
      <c r="C28" s="22" t="str">
        <f aca="false">수량입력!C33</f>
        <v>1036.44</v>
      </c>
      <c r="D28" s="22" t="str">
        <f aca="false">수량입력!D33</f>
        <v>High-Viz Yellow &amp; Navy</v>
      </c>
      <c r="E28" s="22" t="str">
        <f aca="false">수량입력!E33</f>
        <v>2XL</v>
      </c>
      <c r="F28" s="23" t="n">
        <f aca="false">IF(수량입력!H33="",0,수량입력!H33)</f>
        <v>0</v>
      </c>
      <c r="G28" s="6" t="str">
        <f aca="false">수량입력!F33&amp;" "&amp;IF(수량입력!F33=1,"pc",수량입력!G33)</f>
        <v>1 pc</v>
      </c>
      <c r="H28" s="6" t="str">
        <f aca="false">IF(F28=0,"-",수량입력!I33&amp;" "&amp;수량입력!G33)</f>
        <v>-</v>
      </c>
    </row>
    <row r="29" customFormat="false" ht="15" hidden="false" customHeight="false" outlineLevel="0" collapsed="false">
      <c r="A29" s="6"/>
      <c r="B29" s="21" t="str">
        <f aca="false">수량입력!B34</f>
        <v>ScanTriple HV 003</v>
      </c>
      <c r="C29" s="22" t="str">
        <f aca="false">수량입력!C34</f>
        <v>1036.44</v>
      </c>
      <c r="D29" s="22" t="str">
        <f aca="false">수량입력!D34</f>
        <v>High-Viz Yellow &amp; Navy</v>
      </c>
      <c r="E29" s="22" t="str">
        <f aca="false">수량입력!E34</f>
        <v>3XL</v>
      </c>
      <c r="F29" s="23" t="n">
        <f aca="false">IF(수량입력!H34="",0,수량입력!H34)</f>
        <v>0</v>
      </c>
      <c r="G29" s="6" t="str">
        <f aca="false">수량입력!F34&amp;" "&amp;IF(수량입력!F34=1,"pc",수량입력!G34)</f>
        <v>1 pc</v>
      </c>
      <c r="H29" s="6" t="str">
        <f aca="false">IF(F29=0,"-",수량입력!I34&amp;" "&amp;수량입력!G34)</f>
        <v>-</v>
      </c>
    </row>
    <row r="30" customFormat="false" ht="15" hidden="false" customHeight="false" outlineLevel="0" collapsed="false">
      <c r="A30" s="15"/>
      <c r="B30" s="24" t="s">
        <v>58</v>
      </c>
      <c r="C30" s="17"/>
      <c r="D30" s="17"/>
      <c r="E30" s="17"/>
      <c r="F30" s="25" t="n">
        <f aca="false">SUM(F24:F29)</f>
        <v>0</v>
      </c>
      <c r="G30" s="17"/>
      <c r="H30" s="17" t="str">
        <f aca="false">수량입력!I35&amp;" pcs"</f>
        <v>0 pcs</v>
      </c>
    </row>
    <row r="33" customFormat="false" ht="15" hidden="false" customHeight="false" outlineLevel="0" collapsed="false">
      <c r="A33" s="20" t="s">
        <v>59</v>
      </c>
    </row>
    <row r="34" customFormat="false" ht="15" hidden="false" customHeight="false" outlineLevel="0" collapsed="false">
      <c r="B34" s="26" t="s">
        <v>60</v>
      </c>
    </row>
    <row r="35" customFormat="false" ht="15" hidden="false" customHeight="false" outlineLevel="0" collapsed="false">
      <c r="B35" s="26"/>
    </row>
    <row r="36" customFormat="false" ht="15" hidden="false" customHeight="false" outlineLevel="0" collapsed="false">
      <c r="B36" s="26" t="s">
        <v>61</v>
      </c>
    </row>
    <row r="37" customFormat="false" ht="15" hidden="false" customHeight="false" outlineLevel="0" collapsed="false">
      <c r="B37" s="26"/>
    </row>
    <row r="38" customFormat="false" ht="15" hidden="false" customHeight="false" outlineLevel="0" collapsed="false">
      <c r="B38" s="26" t="str">
        <f aca="false">IF(수량입력!H9=0,"","- ScanFroze Pro (4030.20), Black, 1 set = 12 pairs: "&amp;MID(IF(N(수량입력!H6)&gt;0,", "&amp;수량입력!E6&amp;" x "&amp;수량입력!H6,"")&amp;IF(N(수량입력!H7)&gt;0,", "&amp;수량입력!E7&amp;" x "&amp;수량입력!H7,"")&amp;IF(N(수량입력!H8)&gt;0,", "&amp;수량입력!E8&amp;" x "&amp;수량입력!H8,""),3,500)&amp;" (sets) / Total "&amp;수량입력!H9&amp;" sets = "&amp;수량입력!I9&amp;" pairs")</f>
        <v/>
      </c>
    </row>
    <row r="39" customFormat="false" ht="15" hidden="false" customHeight="false" outlineLevel="0" collapsed="false">
      <c r="B39" s="26" t="str">
        <f aca="false">IF(수량입력!H15=0,"","- ScanBlizzard (4030.17), High-Viz Yellow &amp; Black, 1 set = 6 pairs: "&amp;MID(IF(N(수량입력!H11)&gt;0,", "&amp;수량입력!E11&amp;" x "&amp;수량입력!H11,"")&amp;IF(N(수량입력!H12)&gt;0,", "&amp;수량입력!E12&amp;" x "&amp;수량입력!H12,"")&amp;IF(N(수량입력!H13)&gt;0,", "&amp;수량입력!E13&amp;" x "&amp;수량입력!H13,"")&amp;IF(N(수량입력!H14)&gt;0,", "&amp;수량입력!E14&amp;" x "&amp;수량입력!H14,""),3,500)&amp;" (sets) / Total "&amp;수량입력!H15&amp;" sets = "&amp;수량입력!I15&amp;" pairs")</f>
        <v/>
      </c>
    </row>
    <row r="40" customFormat="false" ht="15" hidden="false" customHeight="false" outlineLevel="0" collapsed="false">
      <c r="B40" s="26" t="str">
        <f aca="false">IF(수량입력!H27=0,"","- ScanTitan (2520.17), Black, 1 set = 1 pair: "&amp;MID(IF(N(수량입력!H17)&gt;0,", "&amp;수량입력!E17&amp;" x "&amp;수량입력!H17,"")&amp;IF(N(수량입력!H18)&gt;0,", "&amp;수량입력!E18&amp;" x "&amp;수량입력!H18,"")&amp;IF(N(수량입력!H19)&gt;0,", "&amp;수량입력!E19&amp;" x "&amp;수량입력!H19,"")&amp;IF(N(수량입력!H20)&gt;0,", "&amp;수량입력!E20&amp;" x "&amp;수량입력!H20,"")&amp;IF(N(수량입력!H21)&gt;0,", "&amp;수량입력!E21&amp;" x "&amp;수량입력!H21,"")&amp;IF(N(수량입력!H22)&gt;0,", "&amp;수량입력!E22&amp;" x "&amp;수량입력!H22,"")&amp;IF(N(수량입력!H23)&gt;0,", "&amp;수량입력!E23&amp;" x "&amp;수량입력!H23,"")&amp;IF(N(수량입력!H24)&gt;0,", "&amp;수량입력!E24&amp;" x "&amp;수량입력!H24,"")&amp;IF(N(수량입력!H25)&gt;0,", "&amp;수량입력!E25&amp;" x "&amp;수량입력!H25,"")&amp;IF(N(수량입력!H26)&gt;0,", "&amp;수량입력!E26&amp;" x "&amp;수량입력!H26,""),3,500)&amp;" (sets) / Total "&amp;수량입력!H27&amp;" sets = "&amp;수량입력!I27&amp;" pairs")</f>
        <v/>
      </c>
    </row>
    <row r="41" customFormat="false" ht="15" hidden="false" customHeight="false" outlineLevel="0" collapsed="false">
      <c r="B41" s="26" t="str">
        <f aca="false">IF(수량입력!H35=0,"","- ScanTriple HV 003 (1036.44), High-Viz Yellow &amp; Navy, 1 set = 1 pc: "&amp;MID(IF(N(수량입력!H29)&gt;0,", "&amp;수량입력!E29&amp;" x "&amp;수량입력!H29,"")&amp;IF(N(수량입력!H30)&gt;0,", "&amp;수량입력!E30&amp;" x "&amp;수량입력!H30,"")&amp;IF(N(수량입력!H31)&gt;0,", "&amp;수량입력!E31&amp;" x "&amp;수량입력!H31,"")&amp;IF(N(수량입력!H32)&gt;0,", "&amp;수량입력!E32&amp;" x "&amp;수량입력!H32,"")&amp;IF(N(수량입력!H33)&gt;0,", "&amp;수량입력!E33&amp;" x "&amp;수량입력!H33,"")&amp;IF(N(수량입력!H34)&gt;0,", "&amp;수량입력!E34&amp;" x "&amp;수량입력!H34,""),3,500)&amp;" (sets) / Total "&amp;수량입력!H35&amp;" sets = "&amp;수량입력!I35&amp;" pcs")</f>
        <v/>
      </c>
    </row>
    <row r="42" customFormat="false" ht="15" hidden="false" customHeight="false" outlineLevel="0" collapsed="false">
      <c r="B42" s="26"/>
    </row>
    <row r="43" customFormat="false" ht="15" hidden="false" customHeight="false" outlineLevel="0" collapsed="false">
      <c r="B43" s="26" t="s">
        <v>62</v>
      </c>
    </row>
    <row r="44" customFormat="false" ht="15" hidden="false" customHeight="false" outlineLevel="0" collapsed="false">
      <c r="B44" s="26"/>
    </row>
    <row r="45" customFormat="false" ht="15" hidden="false" customHeight="false" outlineLevel="0" collapsed="false">
      <c r="B45" s="26" t="s">
        <v>63</v>
      </c>
    </row>
  </sheetData>
  <mergeCells count="4">
    <mergeCell ref="A4:A6"/>
    <mergeCell ref="A8:A11"/>
    <mergeCell ref="A13:A22"/>
    <mergeCell ref="A24:A29"/>
  </mergeCells>
  <conditionalFormatting sqref="B4:H30">
    <cfRule type="expression" priority="2" aboveAverage="0" equalAverage="0" bottom="0" percent="0" rank="0" text="" dxfId="2">
      <formula>AND($F4=0,LEFT($B4,8)&lt;&gt;"Subtotal")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48"/>
  </cols>
  <sheetData>
    <row r="1" customFormat="false" ht="19.4" hidden="false" customHeight="false" outlineLevel="0" collapsed="false">
      <c r="A1" s="27" t="s">
        <v>64</v>
      </c>
    </row>
    <row r="3" customFormat="false" ht="23.85" hidden="false" customHeight="false" outlineLevel="0" collapsed="false">
      <c r="A3" s="3" t="s">
        <v>4</v>
      </c>
      <c r="B3" s="3" t="s">
        <v>5</v>
      </c>
      <c r="C3" s="28" t="s">
        <v>65</v>
      </c>
      <c r="D3" s="28" t="s">
        <v>66</v>
      </c>
      <c r="E3" s="28" t="s">
        <v>67</v>
      </c>
      <c r="F3" s="3" t="s">
        <v>8</v>
      </c>
      <c r="G3" s="28" t="s">
        <v>68</v>
      </c>
      <c r="H3" s="28" t="s">
        <v>69</v>
      </c>
      <c r="I3" s="28" t="s">
        <v>70</v>
      </c>
      <c r="J3" s="3" t="s">
        <v>6</v>
      </c>
      <c r="K3" s="28" t="s">
        <v>71</v>
      </c>
    </row>
    <row r="4" customFormat="false" ht="60" hidden="false" customHeight="true" outlineLevel="0" collapsed="false">
      <c r="A4" s="29" t="s">
        <v>13</v>
      </c>
      <c r="B4" s="30" t="s">
        <v>14</v>
      </c>
      <c r="C4" s="29" t="s">
        <v>72</v>
      </c>
      <c r="D4" s="30" t="s">
        <v>73</v>
      </c>
      <c r="E4" s="29" t="s">
        <v>74</v>
      </c>
      <c r="F4" s="30" t="s">
        <v>75</v>
      </c>
      <c r="G4" s="30" t="n">
        <v>4</v>
      </c>
      <c r="H4" s="30" t="str">
        <f aca="false">G4*12&amp;" pairs"</f>
        <v>48 pairs</v>
      </c>
      <c r="I4" s="29" t="s">
        <v>76</v>
      </c>
      <c r="J4" s="29" t="s">
        <v>15</v>
      </c>
      <c r="K4" s="31" t="s">
        <v>77</v>
      </c>
    </row>
    <row r="5" customFormat="false" ht="60" hidden="false" customHeight="true" outlineLevel="0" collapsed="false">
      <c r="A5" s="29" t="s">
        <v>23</v>
      </c>
      <c r="B5" s="30" t="s">
        <v>24</v>
      </c>
      <c r="C5" s="29" t="s">
        <v>78</v>
      </c>
      <c r="D5" s="30" t="s">
        <v>79</v>
      </c>
      <c r="E5" s="29" t="s">
        <v>80</v>
      </c>
      <c r="F5" s="30" t="s">
        <v>81</v>
      </c>
      <c r="G5" s="30" t="n">
        <v>3</v>
      </c>
      <c r="H5" s="30" t="str">
        <f aca="false">G5*6&amp;" pairs"</f>
        <v>18 pairs</v>
      </c>
      <c r="I5" s="29" t="s">
        <v>82</v>
      </c>
      <c r="J5" s="29" t="s">
        <v>25</v>
      </c>
      <c r="K5" s="31" t="s">
        <v>83</v>
      </c>
    </row>
    <row r="6" customFormat="false" ht="60" hidden="false" customHeight="true" outlineLevel="0" collapsed="false">
      <c r="A6" s="29" t="s">
        <v>28</v>
      </c>
      <c r="B6" s="30" t="s">
        <v>29</v>
      </c>
      <c r="C6" s="29" t="s">
        <v>84</v>
      </c>
      <c r="D6" s="30" t="s">
        <v>85</v>
      </c>
      <c r="E6" s="29" t="s">
        <v>86</v>
      </c>
      <c r="F6" s="30" t="s">
        <v>87</v>
      </c>
      <c r="G6" s="30" t="n">
        <v>15</v>
      </c>
      <c r="H6" s="30" t="str">
        <f aca="false">G6*1&amp;" pairs"</f>
        <v>15 pairs</v>
      </c>
      <c r="I6" s="29" t="s">
        <v>88</v>
      </c>
      <c r="J6" s="29" t="s">
        <v>15</v>
      </c>
      <c r="K6" s="31" t="s">
        <v>89</v>
      </c>
    </row>
    <row r="7" customFormat="false" ht="60" hidden="false" customHeight="true" outlineLevel="0" collapsed="false">
      <c r="A7" s="29" t="s">
        <v>41</v>
      </c>
      <c r="B7" s="30" t="s">
        <v>42</v>
      </c>
      <c r="C7" s="29" t="s">
        <v>90</v>
      </c>
      <c r="D7" s="30" t="s">
        <v>91</v>
      </c>
      <c r="E7" s="29" t="s">
        <v>86</v>
      </c>
      <c r="F7" s="30" t="s">
        <v>92</v>
      </c>
      <c r="G7" s="30" t="n">
        <v>20</v>
      </c>
      <c r="H7" s="30" t="str">
        <f aca="false">G7*1&amp;" pcs"</f>
        <v>20 pcs</v>
      </c>
      <c r="I7" s="29" t="s">
        <v>93</v>
      </c>
      <c r="J7" s="29" t="s">
        <v>43</v>
      </c>
      <c r="K7" s="31" t="s">
        <v>94</v>
      </c>
    </row>
    <row r="9" customFormat="false" ht="15" hidden="false" customHeight="false" outlineLevel="0" collapsed="false">
      <c r="A9" s="1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2026-10-15T02:13:57Z</dcterms:created>
  <dc:creator>openpyxl</dc:creator>
  <dc:description/>
  <dc:language>en-US</dc:language>
  <cp:lastModifiedBy/>
  <dcterms:modified xsi:type="dcterms:W3CDTF">2026-10-15T02:13:57Z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