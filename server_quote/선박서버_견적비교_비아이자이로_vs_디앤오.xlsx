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 요약" sheetId="1" state="visible" r:id="rId3"/>
    <sheet name="서버 사양 비교" sheetId="2" state="visible" r:id="rId4"/>
    <sheet name="거래 조건 비교" sheetId="3" state="visible" r:id="rId5"/>
    <sheet name="가격 상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WenQuanYi Zen Hei"/>
            <family val="2"/>
          </rPr>
          <t xml:space="preserve">비아이자이로 견적서 마지막 줄</t>
        </r>
        <r>
          <rPr>
            <sz val="10"/>
            <rFont val="Arial"/>
            <family val="2"/>
          </rPr>
          <t xml:space="preserve">: North Light / Moon / Ocean / Valley 4</t>
        </r>
        <r>
          <rPr>
            <sz val="10"/>
            <rFont val="WenQuanYi Zen Hei"/>
            <family val="2"/>
          </rPr>
          <t xml:space="preserve">척 </t>
        </r>
        <r>
          <rPr>
            <sz val="10"/>
            <rFont val="Arial"/>
            <family val="2"/>
          </rPr>
          <t xml:space="preserve">× 68,020,000 = 272,080,000</t>
        </r>
      </text>
    </comment>
    <comment ref="C17" authorId="0">
      <text>
        <r>
          <rPr>
            <sz val="10"/>
            <rFont val="WenQuanYi Zen Hei"/>
            <family val="2"/>
          </rPr>
          <t xml:space="preserve">디앤오 견적서 </t>
        </r>
        <r>
          <rPr>
            <sz val="10"/>
            <rFont val="Arial"/>
            <family val="2"/>
          </rPr>
          <t xml:space="preserve">'1 Set </t>
        </r>
        <r>
          <rPr>
            <sz val="10"/>
            <rFont val="WenQuanYi Zen Hei"/>
            <family val="2"/>
          </rPr>
          <t xml:space="preserve">소계</t>
        </r>
        <r>
          <rPr>
            <sz val="10"/>
            <rFont val="Arial"/>
            <family val="2"/>
          </rPr>
          <t xml:space="preserve">' 37,000,000</t>
        </r>
      </text>
    </comment>
  </commentList>
</comments>
</file>

<file path=xl/sharedStrings.xml><?xml version="1.0" encoding="utf-8"?>
<sst xmlns="http://schemas.openxmlformats.org/spreadsheetml/2006/main" count="364" uniqueCount="244">
  <si>
    <r>
      <rPr>
        <b val="true"/>
        <sz val="14"/>
        <color rgb="FF1F3864"/>
        <rFont val="WenQuanYi Zen Hei"/>
        <family val="2"/>
      </rPr>
      <t xml:space="preserve">선박 서버 견적 비교  —  비아이자이로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디앤오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</si>
  <si>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비아이자이로 견적서 </t>
    </r>
    <r>
      <rPr>
        <i val="true"/>
        <sz val="9"/>
        <color rgb="FF595959"/>
        <rFont val="맑은 고딕"/>
        <family val="0"/>
        <charset val="1"/>
      </rPr>
      <t xml:space="preserve">BI-ES60582 (2026-09-14) / </t>
    </r>
    <r>
      <rPr>
        <i val="true"/>
        <sz val="9"/>
        <color rgb="FF595959"/>
        <rFont val="WenQuanYi Zen Hei"/>
        <family val="2"/>
      </rPr>
      <t xml:space="preserve">디앤오 견적서 </t>
    </r>
    <r>
      <rPr>
        <i val="true"/>
        <sz val="9"/>
        <color rgb="FF595959"/>
        <rFont val="맑은 고딕"/>
        <family val="0"/>
        <charset val="1"/>
      </rPr>
      <t xml:space="preserve">11-2 </t>
    </r>
    <r>
      <rPr>
        <i val="true"/>
        <sz val="9"/>
        <color rgb="FF595959"/>
        <rFont val="WenQuanYi Zen Hei"/>
        <family val="2"/>
      </rPr>
      <t xml:space="preserve">수정 </t>
    </r>
    <r>
      <rPr>
        <i val="true"/>
        <sz val="9"/>
        <color rgb="FF595959"/>
        <rFont val="맑은 고딕"/>
        <family val="0"/>
        <charset val="1"/>
      </rPr>
      <t xml:space="preserve">(2026-09-16) + </t>
    </r>
    <r>
      <rPr>
        <i val="true"/>
        <sz val="9"/>
        <color rgb="FF595959"/>
        <rFont val="WenQuanYi Zen Hei"/>
        <family val="2"/>
      </rPr>
      <t xml:space="preserve">세부사양 </t>
    </r>
    <r>
      <rPr>
        <i val="true"/>
        <sz val="9"/>
        <color rgb="FF595959"/>
        <rFont val="맑은 고딕"/>
        <family val="0"/>
        <charset val="1"/>
      </rPr>
      <t xml:space="preserve">11-1  |  </t>
    </r>
    <r>
      <rPr>
        <i val="true"/>
        <sz val="9"/>
        <color rgb="FF595959"/>
        <rFont val="WenQuanYi Zen Hei"/>
        <family val="2"/>
      </rPr>
      <t xml:space="preserve">금액 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VAT </t>
    </r>
    <r>
      <rPr>
        <i val="true"/>
        <sz val="9"/>
        <color rgb="FF595959"/>
        <rFont val="WenQuanYi Zen Hei"/>
        <family val="2"/>
      </rPr>
      <t xml:space="preserve">별도</t>
    </r>
  </si>
  <si>
    <t xml:space="preserve">비아이자이로</t>
  </si>
  <si>
    <t xml:space="preserve">디앤오</t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</si>
  <si>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가격 비교 </t>
    </r>
    <r>
      <rPr>
        <b val="true"/>
        <sz val="11"/>
        <color rgb="FF1F3864"/>
        <rFont val="맑은 고딕"/>
        <family val="0"/>
        <charset val="1"/>
      </rPr>
      <t xml:space="preserve">(1</t>
    </r>
    <r>
      <rPr>
        <b val="true"/>
        <sz val="11"/>
        <color rgb="FF1F3864"/>
        <rFont val="WenQuanYi Zen Hei"/>
        <family val="2"/>
      </rPr>
      <t xml:space="preserve">척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</si>
  <si>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</si>
  <si>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차이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비아이 − 디앤오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</si>
  <si>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</si>
  <si>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sz val="10"/>
        <color rgb="FF000000"/>
        <rFont val="WenQuanYi Zen Hei"/>
        <family val="2"/>
      </rPr>
      <t xml:space="preserve">서버 </t>
    </r>
    <r>
      <rPr>
        <sz val="10"/>
        <color rgb="FF000000"/>
        <rFont val="맑은 고딕"/>
        <family val="0"/>
        <charset val="1"/>
      </rPr>
      <t xml:space="preserve">H/W</t>
    </r>
  </si>
  <si>
    <r>
      <rPr>
        <sz val="10"/>
        <color rgb="FF000000"/>
        <rFont val="WenQuanYi Zen Hei"/>
        <family val="2"/>
      </rPr>
      <t xml:space="preserve">비아이</t>
    </r>
    <r>
      <rPr>
        <sz val="10"/>
        <color rgb="FF000000"/>
        <rFont val="맑은 고딕"/>
        <family val="0"/>
        <charset val="1"/>
      </rPr>
      <t xml:space="preserve">: Gen11 / 16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96GB / 3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Tech Care </t>
    </r>
    <r>
      <rPr>
        <sz val="10"/>
        <color rgb="FF000000"/>
        <rFont val="WenQuanYi Zen Hei"/>
        <family val="2"/>
      </rPr>
      <t xml:space="preserve">포함  </t>
    </r>
    <r>
      <rPr>
        <sz val="10"/>
        <color rgb="FF000000"/>
        <rFont val="맑은 고딕"/>
        <family val="0"/>
        <charset val="1"/>
      </rPr>
      <t xml:space="preserve">·  </t>
    </r>
    <r>
      <rPr>
        <sz val="10"/>
        <color rgb="FF000000"/>
        <rFont val="WenQuanYi Zen Hei"/>
        <family val="2"/>
      </rPr>
      <t xml:space="preserve">디앤오</t>
    </r>
    <r>
      <rPr>
        <sz val="10"/>
        <color rgb="FF000000"/>
        <rFont val="맑은 고딕"/>
        <family val="0"/>
        <charset val="1"/>
      </rPr>
      <t xml:space="preserve">: Gen12 / 12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64GB</t>
    </r>
  </si>
  <si>
    <r>
      <rPr>
        <sz val="10"/>
        <color rgb="FF000000"/>
        <rFont val="맑은 고딕"/>
        <family val="0"/>
        <charset val="1"/>
      </rPr>
      <t xml:space="preserve">Windows Server </t>
    </r>
    <r>
      <rPr>
        <sz val="10"/>
        <color rgb="FF000000"/>
        <rFont val="WenQuanYi Zen Hei"/>
        <family val="2"/>
      </rPr>
      <t xml:space="preserve">라이선스</t>
    </r>
  </si>
  <si>
    <r>
      <rPr>
        <sz val="10"/>
        <color rgb="FF000000"/>
        <rFont val="WenQuanYi Zen Hei"/>
        <family val="2"/>
      </rPr>
      <t xml:space="preserve">둘 다 </t>
    </r>
    <r>
      <rPr>
        <sz val="10"/>
        <color rgb="FF000000"/>
        <rFont val="맑은 고딕"/>
        <family val="0"/>
        <charset val="1"/>
      </rPr>
      <t xml:space="preserve">2025 Standard 16 Core Pack</t>
    </r>
  </si>
  <si>
    <t xml:space="preserve">Windows CAL</t>
  </si>
  <si>
    <r>
      <rPr>
        <sz val="10"/>
        <color rgb="FF000000"/>
        <rFont val="WenQuanYi Zen Hei"/>
        <family val="2"/>
      </rPr>
      <t xml:space="preserve">비아이 </t>
    </r>
    <r>
      <rPr>
        <sz val="10"/>
        <color rgb="FF000000"/>
        <rFont val="맑은 고딕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× 110,000  · 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× 85,000  (</t>
    </r>
    <r>
      <rPr>
        <sz val="10"/>
        <color rgb="FF000000"/>
        <rFont val="WenQuanYi Zen Hei"/>
        <family val="2"/>
      </rPr>
      <t xml:space="preserve">수량 다름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</si>
  <si>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SQL Server </t>
    </r>
    <r>
      <rPr>
        <sz val="10"/>
        <color rgb="FF000000"/>
        <rFont val="WenQuanYi Zen Hei"/>
        <family val="2"/>
      </rPr>
      <t xml:space="preserve">라이선스</t>
    </r>
  </si>
  <si>
    <r>
      <rPr>
        <sz val="10"/>
        <color rgb="FF000000"/>
        <rFont val="WenQuanYi Zen Hei"/>
        <family val="2"/>
      </rPr>
      <t xml:space="preserve">둘 다 </t>
    </r>
    <r>
      <rPr>
        <sz val="10"/>
        <color rgb="FF000000"/>
        <rFont val="맑은 고딕"/>
        <family val="0"/>
        <charset val="1"/>
      </rPr>
      <t xml:space="preserve">2025 Standard</t>
    </r>
  </si>
  <si>
    <t xml:space="preserve">SQL CAL</t>
  </si>
  <si>
    <r>
      <rPr>
        <sz val="10"/>
        <color rgb="FF000000"/>
        <rFont val="WenQuanYi Zen Hei"/>
        <family val="2"/>
      </rPr>
      <t xml:space="preserve">비아이 </t>
    </r>
    <r>
      <rPr>
        <sz val="10"/>
        <color rgb="FF000000"/>
        <rFont val="맑은 고딕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× 500,000  · 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× 365,000  (</t>
    </r>
    <r>
      <rPr>
        <sz val="10"/>
        <color rgb="FF000000"/>
        <rFont val="WenQuanYi Zen Hei"/>
        <family val="2"/>
      </rPr>
      <t xml:space="preserve">수량 다름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</si>
  <si>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세팅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출장</t>
    </r>
  </si>
  <si>
    <r>
      <rPr>
        <sz val="10"/>
        <color rgb="FF000000"/>
        <rFont val="WenQuanYi Zen Hei"/>
        <family val="2"/>
      </rPr>
      <t xml:space="preserve">비아이</t>
    </r>
    <r>
      <rPr>
        <sz val="10"/>
        <color rgb="FF000000"/>
        <rFont val="맑은 고딕"/>
        <family val="0"/>
        <charset val="1"/>
      </rPr>
      <t xml:space="preserve">: OS·</t>
    </r>
    <r>
      <rPr>
        <sz val="10"/>
        <color rgb="FF000000"/>
        <rFont val="WenQuanYi Zen Hei"/>
        <family val="2"/>
      </rPr>
      <t xml:space="preserve">설정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출장비  </t>
    </r>
    <r>
      <rPr>
        <sz val="10"/>
        <color rgb="FF000000"/>
        <rFont val="맑은 고딕"/>
        <family val="0"/>
        <charset val="1"/>
      </rPr>
      <t xml:space="preserve">·  </t>
    </r>
    <r>
      <rPr>
        <sz val="10"/>
        <color rgb="FF000000"/>
        <rFont val="WenQuanYi Zen Hei"/>
        <family val="2"/>
      </rPr>
      <t xml:space="preserve">디앤오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프로그램 세팅비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출장 언급 없음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</si>
  <si>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① 동일 범위 소계
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서버 </t>
    </r>
    <r>
      <rPr>
        <b val="true"/>
        <sz val="10"/>
        <color rgb="FF000000"/>
        <rFont val="맑은 고딕"/>
        <family val="0"/>
        <charset val="1"/>
      </rPr>
      <t xml:space="preserve">+ </t>
    </r>
    <r>
      <rPr>
        <b val="true"/>
        <sz val="10"/>
        <color rgb="FF000000"/>
        <rFont val="WenQuanYi Zen Hei"/>
        <family val="2"/>
      </rPr>
      <t xml:space="preserve">라이선스 </t>
    </r>
    <r>
      <rPr>
        <b val="true"/>
        <sz val="10"/>
        <color rgb="FF000000"/>
        <rFont val="맑은 고딕"/>
        <family val="0"/>
        <charset val="1"/>
      </rPr>
      <t xml:space="preserve">+ </t>
    </r>
    <r>
      <rPr>
        <b val="true"/>
        <sz val="10"/>
        <color rgb="FF000000"/>
        <rFont val="WenQuanYi Zen Hei"/>
        <family val="2"/>
      </rPr>
      <t xml:space="preserve">세팅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</si>
  <si>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두 업체를 같은 범위로 비교할 수 있는 금액</t>
  </si>
  <si>
    <r>
      <rPr>
        <sz val="10"/>
        <color rgb="FF000000"/>
        <rFont val="맑은 고딕"/>
        <family val="0"/>
        <charset val="1"/>
      </rPr>
      <t xml:space="preserve">NAS (</t>
    </r>
    <r>
      <rPr>
        <sz val="10"/>
        <color rgb="FF000000"/>
        <rFont val="WenQuanYi Zen Hei"/>
        <family val="2"/>
      </rPr>
      <t xml:space="preserve">비아이만 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</si>
  <si>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Synology DS725+ / 8TB HDD×2 (RAID1) / RAM / </t>
    </r>
    <r>
      <rPr>
        <sz val="10"/>
        <color rgb="FF000000"/>
        <rFont val="WenQuanYi Zen Hei"/>
        <family val="2"/>
      </rPr>
      <t xml:space="preserve">구축 지원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출장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디앤오 견적에는 없음</t>
    </r>
  </si>
  <si>
    <r>
      <rPr>
        <sz val="10"/>
        <color rgb="FF000000"/>
        <rFont val="WenQuanYi Zen Hei"/>
        <family val="2"/>
      </rPr>
      <t xml:space="preserve">현장 설치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네트워크 작업</t>
    </r>
  </si>
  <si>
    <r>
      <rPr>
        <sz val="10"/>
        <color rgb="FF000000"/>
        <rFont val="WenQuanYi Zen Hei"/>
        <family val="2"/>
      </rPr>
      <t xml:space="preserve">비아이</t>
    </r>
    <r>
      <rPr>
        <sz val="10"/>
        <color rgb="FF000000"/>
        <rFont val="맑은 고딕"/>
        <family val="0"/>
        <charset val="1"/>
      </rPr>
      <t xml:space="preserve">: '</t>
    </r>
    <r>
      <rPr>
        <sz val="10"/>
        <color rgb="FF000000"/>
        <rFont val="WenQuanYi Zen Hei"/>
        <family val="2"/>
      </rPr>
      <t xml:space="preserve">필요시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항목으로 포함  </t>
    </r>
    <r>
      <rPr>
        <sz val="10"/>
        <color rgb="FF000000"/>
        <rFont val="맑은 고딕"/>
        <family val="0"/>
        <charset val="1"/>
      </rPr>
      <t xml:space="preserve">·  </t>
    </r>
    <r>
      <rPr>
        <sz val="10"/>
        <color rgb="FF000000"/>
        <rFont val="WenQuanYi Zen Hei"/>
        <family val="2"/>
      </rPr>
      <t xml:space="preserve">디앤오</t>
    </r>
    <r>
      <rPr>
        <sz val="10"/>
        <color rgb="FF000000"/>
        <rFont val="맑은 고딕"/>
        <family val="0"/>
        <charset val="1"/>
      </rPr>
      <t xml:space="preserve">: '</t>
    </r>
    <r>
      <rPr>
        <sz val="10"/>
        <color rgb="FF000000"/>
        <rFont val="WenQuanYi Zen Hei"/>
        <family val="2"/>
      </rPr>
      <t xml:space="preserve">현장 설치는 별도 협의</t>
    </r>
    <r>
      <rPr>
        <sz val="10"/>
        <color rgb="FF000000"/>
        <rFont val="맑은 고딕"/>
        <family val="0"/>
        <charset val="1"/>
      </rPr>
      <t xml:space="preserve">' (</t>
    </r>
    <r>
      <rPr>
        <sz val="10"/>
        <color rgb="FF000000"/>
        <rFont val="WenQuanYi Zen Hei"/>
        <family val="2"/>
      </rPr>
      <t xml:space="preserve">금액 미정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</si>
  <si>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② 1</t>
    </r>
    <r>
      <rPr>
        <b val="true"/>
        <sz val="10"/>
        <color rgb="FF000000"/>
        <rFont val="WenQuanYi Zen Hei"/>
        <family val="2"/>
      </rPr>
      <t xml:space="preserve">척 합계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항목 합산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</si>
  <si>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디앤오는 </t>
    </r>
    <r>
      <rPr>
        <b val="true"/>
        <sz val="10"/>
        <color rgb="FF000000"/>
        <rFont val="맑은 고딕"/>
        <family val="0"/>
        <charset val="1"/>
      </rPr>
      <t xml:space="preserve">NAS·</t>
    </r>
    <r>
      <rPr>
        <b val="true"/>
        <sz val="10"/>
        <color rgb="FF000000"/>
        <rFont val="WenQuanYi Zen Hei"/>
        <family val="2"/>
      </rPr>
      <t xml:space="preserve">현장 작업 미포함이라 단순 비교 불가</t>
    </r>
  </si>
  <si>
    <r>
      <rPr>
        <sz val="10"/>
        <color rgb="FF000000"/>
        <rFont val="WenQuanYi Zen Hei"/>
        <family val="2"/>
      </rPr>
      <t xml:space="preserve">③ 견적서에 적힌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척 금액</t>
    </r>
  </si>
  <si>
    <t xml:space="preserve">견적서 원문 금액</t>
  </si>
  <si>
    <r>
      <rPr>
        <b val="true"/>
        <sz val="10"/>
        <color rgb="FF000000"/>
        <rFont val="WenQuanYi Zen Hei"/>
        <family val="2"/>
      </rPr>
      <t xml:space="preserve">④ 차이 </t>
    </r>
    <r>
      <rPr>
        <b val="true"/>
        <sz val="10"/>
        <color rgb="FF000000"/>
        <rFont val="맑은 고딕"/>
        <family val="0"/>
        <charset val="1"/>
      </rPr>
      <t xml:space="preserve">(② − ③)</t>
    </r>
  </si>
  <si>
    <r>
      <rPr>
        <b val="true"/>
        <sz val="10"/>
        <color rgb="FF000000"/>
        <rFont val="WenQuanYi Zen Hei"/>
        <family val="2"/>
      </rPr>
      <t xml:space="preserve">비아이</t>
    </r>
    <r>
      <rPr>
        <b val="true"/>
        <sz val="10"/>
        <color rgb="FF000000"/>
        <rFont val="맑은 고딕"/>
        <family val="0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항목을 다 더하면 </t>
    </r>
    <r>
      <rPr>
        <b val="true"/>
        <sz val="10"/>
        <color rgb="FF000000"/>
        <rFont val="맑은 고딕"/>
        <family val="0"/>
        <charset val="1"/>
      </rPr>
      <t xml:space="preserve">68,820,000</t>
    </r>
    <r>
      <rPr>
        <b val="true"/>
        <sz val="10"/>
        <color rgb="FF000000"/>
        <rFont val="WenQuanYi Zen Hei"/>
        <family val="2"/>
      </rPr>
      <t xml:space="preserve">원인데 견적서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척 금액은 </t>
    </r>
    <r>
      <rPr>
        <b val="true"/>
        <sz val="10"/>
        <color rgb="FF000000"/>
        <rFont val="맑은 고딕"/>
        <family val="0"/>
        <charset val="1"/>
      </rPr>
      <t xml:space="preserve">68,020,000</t>
    </r>
    <r>
      <rPr>
        <b val="true"/>
        <sz val="10"/>
        <color rgb="FF000000"/>
        <rFont val="WenQuanYi Zen Hei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. 80</t>
    </r>
    <r>
      <rPr>
        <b val="true"/>
        <sz val="10"/>
        <color rgb="FF000000"/>
        <rFont val="WenQuanYi Zen Hei"/>
        <family val="2"/>
      </rPr>
      <t xml:space="preserve">만원 차이 → 업체에 확인 필요</t>
    </r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</si>
  <si>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척수별 총액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견적서 기재 </t>
    </r>
    <r>
      <rPr>
        <b val="true"/>
        <sz val="11"/>
        <color rgb="FF1F3864"/>
        <rFont val="맑은 고딕"/>
        <family val="0"/>
        <charset val="1"/>
      </rPr>
      <t xml:space="preserve">1</t>
    </r>
    <r>
      <rPr>
        <b val="true"/>
        <sz val="11"/>
        <color rgb="FF1F3864"/>
        <rFont val="WenQuanYi Zen Hei"/>
        <family val="2"/>
      </rPr>
      <t xml:space="preserve">척 금액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</si>
  <si>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척수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</si>
  <si>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척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</si>
  <si>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척</t>
    </r>
  </si>
  <si>
    <r>
      <rPr>
        <sz val="10"/>
        <color rgb="FF000000"/>
        <rFont val="WenQuanYi Zen Hei"/>
        <family val="2"/>
      </rPr>
      <t xml:space="preserve">디앤오 견적 </t>
    </r>
    <r>
      <rPr>
        <sz val="10"/>
        <color rgb="FF000000"/>
        <rFont val="맑은 고딕"/>
        <family val="0"/>
        <charset val="1"/>
      </rPr>
      <t xml:space="preserve">= 2</t>
    </r>
    <r>
      <rPr>
        <sz val="10"/>
        <color rgb="FF000000"/>
        <rFont val="WenQuanYi Zen Hei"/>
        <family val="2"/>
      </rPr>
      <t xml:space="preserve">척분 </t>
    </r>
    <r>
      <rPr>
        <sz val="10"/>
        <color rgb="FF000000"/>
        <rFont val="맑은 고딕"/>
        <family val="0"/>
        <charset val="1"/>
      </rPr>
      <t xml:space="preserve">74,000,000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</si>
  <si>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척</t>
    </r>
  </si>
  <si>
    <r>
      <rPr>
        <sz val="10"/>
        <color rgb="FF000000"/>
        <rFont val="WenQuanYi Zen Hei"/>
        <family val="2"/>
      </rPr>
      <t xml:space="preserve">비아이 견적 </t>
    </r>
    <r>
      <rPr>
        <sz val="10"/>
        <color rgb="FF000000"/>
        <rFont val="맑은 고딕"/>
        <family val="0"/>
        <charset val="1"/>
      </rPr>
      <t xml:space="preserve">= 4</t>
    </r>
    <r>
      <rPr>
        <sz val="10"/>
        <color rgb="FF000000"/>
        <rFont val="WenQuanYi Zen Hei"/>
        <family val="2"/>
      </rPr>
      <t xml:space="preserve">척분 </t>
    </r>
    <r>
      <rPr>
        <sz val="10"/>
        <color rgb="FF000000"/>
        <rFont val="맑은 고딕"/>
        <family val="0"/>
        <charset val="1"/>
      </rPr>
      <t xml:space="preserve">272,080,000  · 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척은 단순 환산</t>
    </r>
  </si>
  <si>
    <r>
      <rPr>
        <i val="true"/>
        <sz val="10"/>
        <color rgb="FF595959"/>
        <rFont val="WenQuanYi Zen Hei"/>
        <family val="2"/>
      </rPr>
      <t xml:space="preserve">※ 비아이 금액에는 </t>
    </r>
    <r>
      <rPr>
        <i val="true"/>
        <sz val="10"/>
        <color rgb="FF595959"/>
        <rFont val="맑은 고딕"/>
        <family val="0"/>
        <charset val="1"/>
      </rPr>
      <t xml:space="preserve">NAS·</t>
    </r>
    <r>
      <rPr>
        <i val="true"/>
        <sz val="10"/>
        <color rgb="FF595959"/>
        <rFont val="WenQuanYi Zen Hei"/>
        <family val="2"/>
      </rPr>
      <t xml:space="preserve">현장 작업이 포함되어 있고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WenQuanYi Zen Hei"/>
        <family val="2"/>
      </rPr>
      <t xml:space="preserve">디앤오는 미포함입니다</t>
    </r>
    <r>
      <rPr>
        <i val="true"/>
        <sz val="10"/>
        <color rgb="FF595959"/>
        <rFont val="맑은 고딕"/>
        <family val="0"/>
        <charset val="1"/>
      </rPr>
      <t xml:space="preserve">. </t>
    </r>
    <r>
      <rPr>
        <i val="true"/>
        <sz val="10"/>
        <color rgb="FF595959"/>
        <rFont val="WenQuanYi Zen Hei"/>
        <family val="2"/>
      </rPr>
      <t xml:space="preserve">동일 범위 비교는 위 ① 소계를 보세요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</si>
  <si>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IT </t>
    </r>
    <r>
      <rPr>
        <b val="true"/>
        <sz val="11"/>
        <color rgb="FF1F3864"/>
        <rFont val="WenQuanYi Zen Hei"/>
        <family val="2"/>
      </rPr>
      <t xml:space="preserve">매니저 확인 요청 사항</t>
    </r>
  </si>
  <si>
    <t xml:space="preserve">No.</t>
  </si>
  <si>
    <t xml:space="preserve">확인 항목</t>
  </si>
  <si>
    <t xml:space="preserve">내용</t>
  </si>
  <si>
    <r>
      <rPr>
        <b val="true"/>
        <sz val="10"/>
        <color rgb="FF000000"/>
        <rFont val="맑은 고딕"/>
        <family val="0"/>
        <charset val="1"/>
      </rPr>
      <t xml:space="preserve">CPU·</t>
    </r>
    <r>
      <rPr>
        <b val="true"/>
        <sz val="10"/>
        <color rgb="FF000000"/>
        <rFont val="WenQuanYi Zen Hei"/>
        <family val="2"/>
      </rPr>
      <t xml:space="preserve">메모리 사양</t>
    </r>
  </si>
  <si>
    <r>
      <rPr>
        <sz val="10"/>
        <color rgb="FF000000"/>
        <rFont val="WenQuanYi Zen Hei"/>
        <family val="2"/>
      </rPr>
      <t xml:space="preserve">비아이</t>
    </r>
    <r>
      <rPr>
        <sz val="10"/>
        <color rgb="FF000000"/>
        <rFont val="맑은 고딕"/>
        <family val="0"/>
        <charset val="1"/>
      </rPr>
      <t xml:space="preserve">: Xeon Gold 6426Y 16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96GB (16GB×6)  ·  </t>
    </r>
    <r>
      <rPr>
        <sz val="10"/>
        <color rgb="FF000000"/>
        <rFont val="WenQuanYi Zen Hei"/>
        <family val="2"/>
      </rPr>
      <t xml:space="preserve">디앤오</t>
    </r>
    <r>
      <rPr>
        <sz val="10"/>
        <color rgb="FF000000"/>
        <rFont val="맑은 고딕"/>
        <family val="0"/>
        <charset val="1"/>
      </rPr>
      <t xml:space="preserve">: Xeon 6505P 12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64GB (32GB×2). </t>
    </r>
    <r>
      <rPr>
        <sz val="10"/>
        <color rgb="FF000000"/>
        <rFont val="WenQuanYi Zen Hei"/>
        <family val="2"/>
      </rPr>
      <t xml:space="preserve">선박 서버 용도</t>
    </r>
    <r>
      <rPr>
        <sz val="10"/>
        <color rgb="FF000000"/>
        <rFont val="맑은 고딕"/>
        <family val="0"/>
        <charset val="1"/>
      </rPr>
      <t xml:space="preserve">(SQL </t>
    </r>
    <r>
      <rPr>
        <sz val="10"/>
        <color rgb="FF000000"/>
        <rFont val="WenQuanYi Zen Hei"/>
        <family val="2"/>
      </rPr>
      <t xml:space="preserve">포함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 디앤오 사양으로 충분한지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</si>
  <si>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메모리 구성</t>
  </si>
  <si>
    <r>
      <rPr>
        <sz val="10"/>
        <color rgb="FF000000"/>
        <rFont val="WenQuanYi Zen Hei"/>
        <family val="2"/>
      </rPr>
      <t xml:space="preserve">디앤오는 메모리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개만 꽂는 구성입니다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용량 증설 여유는 크지만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메모리 채널을 일부만 쓰게 되어 성능에 영향이 있는지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</si>
  <si>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CAL </t>
    </r>
    <r>
      <rPr>
        <b val="true"/>
        <sz val="10"/>
        <color rgb="FF000000"/>
        <rFont val="WenQuanYi Zen Hei"/>
        <family val="2"/>
      </rPr>
      <t xml:space="preserve">수량</t>
    </r>
  </si>
  <si>
    <r>
      <rPr>
        <sz val="10"/>
        <color rgb="FF000000"/>
        <rFont val="WenQuanYi Zen Hei"/>
        <family val="2"/>
      </rPr>
      <t xml:space="preserve">비아이 </t>
    </r>
    <r>
      <rPr>
        <sz val="10"/>
        <color rgb="FF000000"/>
        <rFont val="맑은 고딕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(Windows·SQL </t>
    </r>
    <r>
      <rPr>
        <sz val="10"/>
        <color rgb="FF000000"/>
        <rFont val="WenQuanYi Zen Hei"/>
        <family val="2"/>
      </rPr>
      <t xml:space="preserve">각각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실제 필요한 사용자 수를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</si>
  <si>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원격관리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보증</t>
    </r>
  </si>
  <si>
    <r>
      <rPr>
        <sz val="10"/>
        <color rgb="FF000000"/>
        <rFont val="WenQuanYi Zen Hei"/>
        <family val="2"/>
      </rPr>
      <t xml:space="preserve">비아이만 </t>
    </r>
    <r>
      <rPr>
        <sz val="10"/>
        <color rgb="FF000000"/>
        <rFont val="맑은 고딕"/>
        <family val="0"/>
        <charset val="1"/>
      </rPr>
      <t xml:space="preserve">iLO Advanced 3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맑은 고딕"/>
        <family val="0"/>
        <charset val="1"/>
      </rPr>
      <t xml:space="preserve">, Compute Ops Management 3</t>
    </r>
    <r>
      <rPr>
        <sz val="10"/>
        <color rgb="FF000000"/>
        <rFont val="WenQuanYi Zen Hei"/>
        <family val="2"/>
      </rPr>
      <t xml:space="preserve">년</t>
    </r>
    <r>
      <rPr>
        <sz val="10"/>
        <color rgb="FF000000"/>
        <rFont val="맑은 고딕"/>
        <family val="0"/>
        <charset val="1"/>
      </rPr>
      <t xml:space="preserve">, HPE Tech Care Essential 3</t>
    </r>
    <r>
      <rPr>
        <sz val="10"/>
        <color rgb="FF000000"/>
        <rFont val="WenQuanYi Zen Hei"/>
        <family val="2"/>
      </rPr>
      <t xml:space="preserve">년 포함입니다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디앤오는 제조사 기본 보증이고</t>
    </r>
    <r>
      <rPr>
        <sz val="10"/>
        <color rgb="FF000000"/>
        <rFont val="맑은 고딕"/>
        <family val="0"/>
        <charset val="1"/>
      </rPr>
      <t xml:space="preserve">, AS</t>
    </r>
    <r>
      <rPr>
        <sz val="10"/>
        <color rgb="FF000000"/>
        <rFont val="WenQuanYi Zen Hei"/>
        <family val="2"/>
      </rPr>
      <t xml:space="preserve">는 직접 방문하거나 택배로 보내야 하며 운임은 고객 부담입니다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선박 원격 지원에 필요한지 판단 부탁드립니다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</si>
  <si>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NAS </t>
    </r>
    <r>
      <rPr>
        <b val="true"/>
        <sz val="10"/>
        <color rgb="FF000000"/>
        <rFont val="WenQuanYi Zen Hei"/>
        <family val="2"/>
      </rPr>
      <t xml:space="preserve">필요 여부</t>
    </r>
  </si>
  <si>
    <r>
      <rPr>
        <sz val="10"/>
        <color rgb="FF000000"/>
        <rFont val="WenQuanYi Zen Hei"/>
        <family val="2"/>
      </rPr>
      <t xml:space="preserve">비아이만 </t>
    </r>
    <r>
      <rPr>
        <sz val="10"/>
        <color rgb="FF000000"/>
        <rFont val="맑은 고딕"/>
        <family val="0"/>
        <charset val="1"/>
      </rPr>
      <t xml:space="preserve">NAS </t>
    </r>
    <r>
      <rPr>
        <sz val="10"/>
        <color rgb="FF000000"/>
        <rFont val="WenQuanYi Zen Hei"/>
        <family val="2"/>
      </rPr>
      <t xml:space="preserve">포함 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WenQuanYi Zen Hei"/>
        <family val="2"/>
      </rPr>
      <t xml:space="preserve">척당 </t>
    </r>
    <r>
      <rPr>
        <sz val="10"/>
        <color rgb="FF000000"/>
        <rFont val="맑은 고딕"/>
        <family val="0"/>
        <charset val="1"/>
      </rPr>
      <t xml:space="preserve">6,380,000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필요하면 디앤오에도 추가 견적을 받아야 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</si>
  <si>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현장 설치 범위</t>
  </si>
  <si>
    <r>
      <rPr>
        <sz val="10"/>
        <color rgb="FF000000"/>
        <rFont val="WenQuanYi Zen Hei"/>
        <family val="2"/>
      </rPr>
      <t xml:space="preserve">디앤오는 현장 설치가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별도 협의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라서 실제 금액이 늘어날 수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필요한 작업 범위를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</si>
  <si>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전원 케이블</t>
  </si>
  <si>
    <r>
      <rPr>
        <sz val="10"/>
        <color rgb="FF000000"/>
        <rFont val="WenQuanYi Zen Hei"/>
        <family val="2"/>
      </rPr>
      <t xml:space="preserve">비아이</t>
    </r>
    <r>
      <rPr>
        <sz val="10"/>
        <color rgb="FF000000"/>
        <rFont val="맑은 고딕"/>
        <family val="0"/>
        <charset val="1"/>
      </rPr>
      <t xml:space="preserve">: KSC 8305 (</t>
    </r>
    <r>
      <rPr>
        <sz val="10"/>
        <color rgb="FF000000"/>
        <rFont val="WenQuanYi Zen Hei"/>
        <family val="2"/>
      </rPr>
      <t xml:space="preserve">한국형 플러그</t>
    </r>
    <r>
      <rPr>
        <sz val="10"/>
        <color rgb="FF000000"/>
        <rFont val="맑은 고딕"/>
        <family val="0"/>
        <charset val="1"/>
      </rPr>
      <t xml:space="preserve">) 1.83m  ·  </t>
    </r>
    <r>
      <rPr>
        <sz val="10"/>
        <color rgb="FF000000"/>
        <rFont val="WenQuanYi Zen Hei"/>
        <family val="2"/>
      </rPr>
      <t xml:space="preserve">디앤오</t>
    </r>
    <r>
      <rPr>
        <sz val="10"/>
        <color rgb="FF000000"/>
        <rFont val="맑은 고딕"/>
        <family val="0"/>
        <charset val="1"/>
      </rPr>
      <t xml:space="preserve">: C13-C14 2m (UPS·PDU </t>
    </r>
    <r>
      <rPr>
        <sz val="10"/>
        <color rgb="FF000000"/>
        <rFont val="WenQuanYi Zen Hei"/>
        <family val="2"/>
      </rPr>
      <t xml:space="preserve">연결용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선내 전원 환경에 맞는지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</si>
  <si>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DVD </t>
    </r>
    <r>
      <rPr>
        <b val="true"/>
        <sz val="10"/>
        <color rgb="FF000000"/>
        <rFont val="WenQuanYi Zen Hei"/>
        <family val="2"/>
      </rPr>
      <t xml:space="preserve">드라이브</t>
    </r>
  </si>
  <si>
    <r>
      <rPr>
        <sz val="10"/>
        <color rgb="FF000000"/>
        <rFont val="WenQuanYi Zen Hei"/>
        <family val="2"/>
      </rPr>
      <t xml:space="preserve">비아이만 </t>
    </r>
    <r>
      <rPr>
        <sz val="10"/>
        <color rgb="FF000000"/>
        <rFont val="맑은 고딕"/>
        <family val="0"/>
        <charset val="1"/>
      </rPr>
      <t xml:space="preserve">DVD-RW </t>
    </r>
    <r>
      <rPr>
        <sz val="10"/>
        <color rgb="FF000000"/>
        <rFont val="WenQuanYi Zen Hei"/>
        <family val="2"/>
      </rPr>
      <t xml:space="preserve">포함입니다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필요 여부 확인 부탁드립니다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</si>
  <si>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WenQuanYi Zen Hei"/>
        <family val="2"/>
      </rPr>
      <t xml:space="preserve">업체 확인 필요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구매 담당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</si>
  <si>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견적 유효기간이 둘 다 지났습니다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비아이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주 → </t>
    </r>
    <r>
      <rPr>
        <sz val="10"/>
        <color rgb="FF000000"/>
        <rFont val="맑은 고딕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까지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 → </t>
    </r>
    <r>
      <rPr>
        <sz val="10"/>
        <color rgb="FF000000"/>
        <rFont val="맑은 고딕"/>
        <family val="0"/>
        <charset val="1"/>
      </rPr>
      <t xml:space="preserve">2026-09-19</t>
    </r>
    <r>
      <rPr>
        <sz val="10"/>
        <color rgb="FF000000"/>
        <rFont val="WenQuanYi Zen Hei"/>
        <family val="2"/>
      </rPr>
      <t xml:space="preserve">까지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발주 전 재견적이 필요합니다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</si>
  <si>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비아이 견적 합계 </t>
    </r>
    <r>
      <rPr>
        <sz val="10"/>
        <color rgb="FF000000"/>
        <rFont val="맑은 고딕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만원 차이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항목 합산 </t>
    </r>
    <r>
      <rPr>
        <sz val="10"/>
        <color rgb="FF000000"/>
        <rFont val="맑은 고딕"/>
        <family val="0"/>
        <charset val="1"/>
      </rPr>
      <t xml:space="preserve">68,820,000</t>
    </r>
    <r>
      <rPr>
        <sz val="10"/>
        <color rgb="FF000000"/>
        <rFont val="WenQuanYi Zen Hei"/>
        <family val="2"/>
      </rPr>
      <t xml:space="preserve">원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견적서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척 금액 </t>
    </r>
    <r>
      <rPr>
        <sz val="10"/>
        <color rgb="FF000000"/>
        <rFont val="맑은 고딕"/>
        <family val="0"/>
        <charset val="1"/>
      </rPr>
      <t xml:space="preserve">68,020,000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</si>
  <si>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견적 척수가 다릅니다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비아이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척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디앤오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척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최종 척수 기준으로 재견적 받는 것을 권장합니다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</si>
  <si>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서버 사양 비교  —  </t>
    </r>
    <r>
      <rPr>
        <b val="true"/>
        <sz val="14"/>
        <color rgb="FF1F3864"/>
        <rFont val="맑은 고딕"/>
        <family val="0"/>
        <charset val="1"/>
      </rPr>
      <t xml:space="preserve">HPE ProLiant ML350</t>
    </r>
  </si>
  <si>
    <r>
      <rPr>
        <i val="true"/>
        <sz val="9"/>
        <color rgb="FF595959"/>
        <rFont val="WenQuanYi Zen Hei"/>
        <family val="2"/>
      </rPr>
      <t xml:space="preserve">주황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사양 다름  </t>
    </r>
    <r>
      <rPr>
        <i val="true"/>
        <sz val="9"/>
        <color rgb="FF595959"/>
        <rFont val="맑은 고딕"/>
        <family val="0"/>
        <charset val="1"/>
      </rPr>
      <t xml:space="preserve">·  </t>
    </r>
    <r>
      <rPr>
        <i val="true"/>
        <sz val="9"/>
        <color rgb="FF595959"/>
        <rFont val="WenQuanYi Zen Hei"/>
        <family val="2"/>
      </rPr>
      <t xml:space="preserve">노랑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한쪽 견적에만 있음  </t>
    </r>
    <r>
      <rPr>
        <i val="true"/>
        <sz val="9"/>
        <color rgb="FF595959"/>
        <rFont val="맑은 고딕"/>
        <family val="0"/>
        <charset val="1"/>
      </rPr>
      <t xml:space="preserve">·  </t>
    </r>
    <r>
      <rPr>
        <i val="true"/>
        <sz val="9"/>
        <color rgb="FF595959"/>
        <rFont val="WenQuanYi Zen Hei"/>
        <family val="2"/>
      </rPr>
      <t xml:space="preserve">흰색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동일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</si>
  <si>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주요 사양</t>
    </r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</si>
  <si>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</si>
  <si>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차이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확인 포인트</t>
    </r>
  </si>
  <si>
    <t xml:space="preserve">서버 모델</t>
  </si>
  <si>
    <t xml:space="preserve">HPE ProLiant ML350 Gen11</t>
  </si>
  <si>
    <t xml:space="preserve">HPE ProLiant Compute ML350 Gen12</t>
  </si>
  <si>
    <t xml:space="preserve">디앤오가 한 세대 최신 모델</t>
  </si>
  <si>
    <t xml:space="preserve">CPU</t>
  </si>
  <si>
    <r>
      <rPr>
        <sz val="10"/>
        <color rgb="FF000000"/>
        <rFont val="맑은 고딕"/>
        <family val="0"/>
        <charset val="1"/>
      </rPr>
      <t xml:space="preserve">Intel Xeon Gold 6426Y ×1
16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2.5GHz / 185W</t>
    </r>
  </si>
  <si>
    <r>
      <rPr>
        <sz val="10"/>
        <color rgb="FF000000"/>
        <rFont val="맑은 고딕"/>
        <family val="0"/>
        <charset val="1"/>
      </rPr>
      <t xml:space="preserve">Intel Xeon 6505P ×1
12</t>
    </r>
    <r>
      <rPr>
        <sz val="10"/>
        <color rgb="FF000000"/>
        <rFont val="WenQuanYi Zen Hei"/>
        <family val="2"/>
      </rPr>
      <t xml:space="preserve">코어 </t>
    </r>
    <r>
      <rPr>
        <sz val="10"/>
        <color rgb="FF000000"/>
        <rFont val="맑은 고딕"/>
        <family val="0"/>
        <charset val="1"/>
      </rPr>
      <t xml:space="preserve">/ 2.2GHz / 150W</t>
    </r>
  </si>
  <si>
    <r>
      <rPr>
        <sz val="10"/>
        <color rgb="FF000000"/>
        <rFont val="WenQuanYi Zen Hei"/>
        <family val="2"/>
      </rPr>
      <t xml:space="preserve">비아이가 코어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개 더 많음</t>
    </r>
    <r>
      <rPr>
        <sz val="10"/>
        <color rgb="FF000000"/>
        <rFont val="맑은 고딕"/>
        <family val="0"/>
        <charset val="1"/>
      </rPr>
      <t xml:space="preserve">. Windows Server</t>
    </r>
    <r>
      <rPr>
        <sz val="10"/>
        <color rgb="FF000000"/>
        <rFont val="WenQuanYi Zen Hei"/>
        <family val="2"/>
      </rPr>
      <t xml:space="preserve">는 둘 다 최소 단위인 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코어 라이선스</t>
    </r>
  </si>
  <si>
    <t xml:space="preserve">메모리</t>
  </si>
  <si>
    <r>
      <rPr>
        <sz val="10"/>
        <color rgb="FF000000"/>
        <rFont val="맑은 고딕"/>
        <family val="0"/>
        <charset val="1"/>
      </rPr>
      <t xml:space="preserve">96GB
16GB × 6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(DDR5-4800)</t>
    </r>
  </si>
  <si>
    <r>
      <rPr>
        <sz val="10"/>
        <color rgb="FF000000"/>
        <rFont val="맑은 고딕"/>
        <family val="0"/>
        <charset val="1"/>
      </rPr>
      <t xml:space="preserve">64GB
32GB × 2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(DDR5-6400)</t>
    </r>
  </si>
  <si>
    <r>
      <rPr>
        <sz val="10"/>
        <color rgb="FF000000"/>
        <rFont val="WenQuanYi Zen Hei"/>
        <family val="2"/>
      </rPr>
      <t xml:space="preserve">비아이 용량 </t>
    </r>
    <r>
      <rPr>
        <sz val="10"/>
        <color rgb="FF000000"/>
        <rFont val="맑은 고딕"/>
        <family val="0"/>
        <charset val="1"/>
      </rPr>
      <t xml:space="preserve">1.5</t>
    </r>
    <r>
      <rPr>
        <sz val="10"/>
        <color rgb="FF000000"/>
        <rFont val="WenQuanYi Zen Hei"/>
        <family val="2"/>
      </rPr>
      <t xml:space="preserve">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디앤오는 슬롯 여유가 많지만 메모리 채널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개만 사용</t>
    </r>
  </si>
  <si>
    <t xml:space="preserve">디스크</t>
  </si>
  <si>
    <r>
      <rPr>
        <sz val="10"/>
        <color rgb="FF000000"/>
        <rFont val="맑은 고딕"/>
        <family val="0"/>
        <charset val="1"/>
      </rPr>
      <t xml:space="preserve">1.2TB SAS 12G 10K SFF × 6</t>
    </r>
    <r>
      <rPr>
        <sz val="10"/>
        <color rgb="FF000000"/>
        <rFont val="WenQuanYi Zen Hei"/>
        <family val="2"/>
      </rPr>
      <t xml:space="preserve">개</t>
    </r>
  </si>
  <si>
    <r>
      <rPr>
        <sz val="10"/>
        <color rgb="FF000000"/>
        <rFont val="WenQuanYi Zen Hei"/>
        <family val="2"/>
      </rPr>
      <t xml:space="preserve">동일 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WenQuanYi Zen Hei"/>
        <family val="2"/>
      </rPr>
      <t xml:space="preserve">년 보증 </t>
    </r>
    <r>
      <rPr>
        <sz val="10"/>
        <color rgb="FF000000"/>
        <rFont val="맑은 고딕"/>
        <family val="0"/>
        <charset val="1"/>
      </rPr>
      <t xml:space="preserve">HDD)</t>
    </r>
  </si>
  <si>
    <r>
      <rPr>
        <b val="true"/>
        <sz val="10"/>
        <color rgb="FF000000"/>
        <rFont val="맑은 고딕"/>
        <family val="0"/>
        <charset val="1"/>
      </rPr>
      <t xml:space="preserve">RAID </t>
    </r>
    <r>
      <rPr>
        <b val="true"/>
        <sz val="10"/>
        <color rgb="FF000000"/>
        <rFont val="WenQuanYi Zen Hei"/>
        <family val="2"/>
      </rPr>
      <t xml:space="preserve">컨트롤러</t>
    </r>
  </si>
  <si>
    <r>
      <rPr>
        <sz val="10"/>
        <color rgb="FF000000"/>
        <rFont val="맑은 고딕"/>
        <family val="0"/>
        <charset val="1"/>
      </rPr>
      <t xml:space="preserve">MR408i-o 4GB Cache + 96W </t>
    </r>
    <r>
      <rPr>
        <sz val="10"/>
        <color rgb="FF000000"/>
        <rFont val="WenQuanYi Zen Hei"/>
        <family val="2"/>
      </rPr>
      <t xml:space="preserve">배터리</t>
    </r>
  </si>
  <si>
    <t xml:space="preserve">동일</t>
  </si>
  <si>
    <t xml:space="preserve">네트워크</t>
  </si>
  <si>
    <r>
      <rPr>
        <sz val="10"/>
        <color rgb="FF000000"/>
        <rFont val="맑은 고딕"/>
        <family val="0"/>
        <charset val="1"/>
      </rPr>
      <t xml:space="preserve">Broadcom BCM5719 1Gb 4</t>
    </r>
    <r>
      <rPr>
        <sz val="10"/>
        <color rgb="FF000000"/>
        <rFont val="WenQuanYi Zen Hei"/>
        <family val="2"/>
      </rPr>
      <t xml:space="preserve">포트</t>
    </r>
  </si>
  <si>
    <t xml:space="preserve">전원 공급</t>
  </si>
  <si>
    <r>
      <rPr>
        <sz val="10"/>
        <color rgb="FF000000"/>
        <rFont val="맑은 고딕"/>
        <family val="0"/>
        <charset val="1"/>
      </rPr>
      <t xml:space="preserve">800W Platinum </t>
    </r>
    <r>
      <rPr>
        <sz val="10"/>
        <color rgb="FF000000"/>
        <rFont val="WenQuanYi Zen Hei"/>
        <family val="2"/>
      </rPr>
      <t xml:space="preserve">핫플러그 </t>
    </r>
    <r>
      <rPr>
        <sz val="10"/>
        <color rgb="FF000000"/>
        <rFont val="맑은 고딕"/>
        <family val="0"/>
        <charset val="1"/>
      </rPr>
      <t xml:space="preserve">× 2 (</t>
    </r>
    <r>
      <rPr>
        <sz val="10"/>
        <color rgb="FF000000"/>
        <rFont val="WenQuanYi Zen Hei"/>
        <family val="2"/>
      </rPr>
      <t xml:space="preserve">이중화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</si>
  <si>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C13 - KSC 8305 (</t>
    </r>
    <r>
      <rPr>
        <sz val="10"/>
        <color rgb="FF000000"/>
        <rFont val="WenQuanYi Zen Hei"/>
        <family val="2"/>
      </rPr>
      <t xml:space="preserve">한국형 플러그</t>
    </r>
    <r>
      <rPr>
        <sz val="10"/>
        <color rgb="FF000000"/>
        <rFont val="맑은 고딕"/>
        <family val="0"/>
        <charset val="1"/>
      </rPr>
      <t xml:space="preserve">) 1.83m × 2</t>
    </r>
  </si>
  <si>
    <t xml:space="preserve">C13 - C14 2m × 2</t>
  </si>
  <si>
    <r>
      <rPr>
        <sz val="10"/>
        <color rgb="FF000000"/>
        <rFont val="WenQuanYi Zen Hei"/>
        <family val="2"/>
      </rPr>
      <t xml:space="preserve">디앤오 케이블은 </t>
    </r>
    <r>
      <rPr>
        <sz val="10"/>
        <color rgb="FF000000"/>
        <rFont val="맑은 고딕"/>
        <family val="0"/>
        <charset val="1"/>
      </rPr>
      <t xml:space="preserve">UPS·PDU</t>
    </r>
    <r>
      <rPr>
        <sz val="10"/>
        <color rgb="FF000000"/>
        <rFont val="WenQuanYi Zen Hei"/>
        <family val="2"/>
      </rPr>
      <t xml:space="preserve">용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선내 콘센트 형태 확인 필요</t>
    </r>
  </si>
  <si>
    <t xml:space="preserve">광학 드라이브</t>
  </si>
  <si>
    <r>
      <rPr>
        <sz val="10"/>
        <color rgb="FF000000"/>
        <rFont val="맑은 고딕"/>
        <family val="0"/>
        <charset val="1"/>
      </rPr>
      <t xml:space="preserve">DVD-RW </t>
    </r>
    <r>
      <rPr>
        <sz val="10"/>
        <color rgb="FF000000"/>
        <rFont val="WenQuanYi Zen Hei"/>
        <family val="2"/>
      </rPr>
      <t xml:space="preserve">포함</t>
    </r>
  </si>
  <si>
    <t xml:space="preserve">없음</t>
  </si>
  <si>
    <t xml:space="preserve">비아이만 포함</t>
  </si>
  <si>
    <t xml:space="preserve">원격관리 라이선스</t>
  </si>
  <si>
    <r>
      <rPr>
        <sz val="10"/>
        <color rgb="FF000000"/>
        <rFont val="맑은 고딕"/>
        <family val="0"/>
        <charset val="1"/>
      </rPr>
      <t xml:space="preserve">iLO Advanced 3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+ Compute Ops Management 3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</si>
  <si>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없음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기본 </t>
    </r>
    <r>
      <rPr>
        <sz val="10"/>
        <color rgb="FF000000"/>
        <rFont val="맑은 고딕"/>
        <family val="0"/>
        <charset val="1"/>
      </rPr>
      <t xml:space="preserve">iLO)</t>
    </r>
  </si>
  <si>
    <r>
      <rPr>
        <sz val="10"/>
        <color rgb="FF000000"/>
        <rFont val="WenQuanYi Zen Hei"/>
        <family val="2"/>
      </rPr>
      <t xml:space="preserve">비아이만 포함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원격 콘솔 등 고급 기능 차이</t>
    </r>
  </si>
  <si>
    <r>
      <rPr>
        <b val="true"/>
        <sz val="10"/>
        <color rgb="FF000000"/>
        <rFont val="맑은 고딕"/>
        <family val="0"/>
        <charset val="1"/>
      </rPr>
      <t xml:space="preserve">H/W </t>
    </r>
    <r>
      <rPr>
        <b val="true"/>
        <sz val="10"/>
        <color rgb="FF000000"/>
        <rFont val="WenQuanYi Zen Hei"/>
        <family val="2"/>
      </rPr>
      <t xml:space="preserve">보증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서비스</t>
    </r>
  </si>
  <si>
    <r>
      <rPr>
        <sz val="10"/>
        <color rgb="FF000000"/>
        <rFont val="맑은 고딕"/>
        <family val="0"/>
        <charset val="1"/>
      </rPr>
      <t xml:space="preserve">HPE Tech Care Essential 3</t>
    </r>
    <r>
      <rPr>
        <sz val="10"/>
        <color rgb="FF000000"/>
        <rFont val="WenQuanYi Zen Hei"/>
        <family val="2"/>
      </rPr>
      <t xml:space="preserve">년</t>
    </r>
  </si>
  <si>
    <r>
      <rPr>
        <sz val="10"/>
        <color rgb="FF000000"/>
        <rFont val="WenQuanYi Zen Hei"/>
        <family val="2"/>
      </rPr>
      <t xml:space="preserve">제조사 기본 보증
</t>
    </r>
    <r>
      <rPr>
        <sz val="10"/>
        <color rgb="FF000000"/>
        <rFont val="맑은 고딕"/>
        <family val="0"/>
        <charset val="1"/>
      </rPr>
      <t xml:space="preserve">(AS </t>
    </r>
    <r>
      <rPr>
        <sz val="10"/>
        <color rgb="FF000000"/>
        <rFont val="WenQuanYi Zen Hei"/>
        <family val="2"/>
      </rPr>
      <t xml:space="preserve">직접 방문 또는 택배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운임 고객 부담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</si>
  <si>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비아이만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년 유상 서비스 포함</t>
    </r>
  </si>
  <si>
    <t xml:space="preserve">서버 단가</t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</si>
  <si>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구성품 대조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견적서 원문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</si>
  <si>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기능</t>
  </si>
  <si>
    <r>
      <rPr>
        <b val="true"/>
        <sz val="10"/>
        <color rgb="FF000000"/>
        <rFont val="WenQuanYi Zen Hei"/>
        <family val="2"/>
      </rPr>
      <t xml:space="preserve">비아이자이로 구성품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수량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</si>
  <si>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디앤오 구성품 </t>
    </r>
    <r>
      <rPr>
        <b val="true"/>
        <sz val="10"/>
        <color rgb="FF000000"/>
        <rFont val="맑은 고딕"/>
        <family val="0"/>
        <charset val="1"/>
      </rPr>
      <t xml:space="preserve">(P/N, </t>
    </r>
    <r>
      <rPr>
        <b val="true"/>
        <sz val="10"/>
        <color rgb="FF000000"/>
        <rFont val="WenQuanYi Zen Hei"/>
        <family val="2"/>
      </rPr>
      <t xml:space="preserve">수량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</si>
  <si>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비교</t>
  </si>
  <si>
    <t xml:space="preserve">본체</t>
  </si>
  <si>
    <t xml:space="preserve">ML350 Gen11 SFF CTO Server (1)</t>
  </si>
  <si>
    <t xml:space="preserve">P72297-B21 ML350 Gen12 NC CTO Server (1)</t>
  </si>
  <si>
    <t xml:space="preserve">상이</t>
  </si>
  <si>
    <t xml:space="preserve">Xeon-Gold 6426Y 2.5GHz 16C 185W (1)</t>
  </si>
  <si>
    <t xml:space="preserve">P74503-B21 Xeon 6505P 2.2GHz 12C 150W (1)</t>
  </si>
  <si>
    <t xml:space="preserve">16GB 1Rx8 DDR5-4800 RDIMM (6)</t>
  </si>
  <si>
    <t xml:space="preserve">P69727-B21 32GB 2Rx8 DDR5-6400 RDIMM (2)</t>
  </si>
  <si>
    <t xml:space="preserve">HDD</t>
  </si>
  <si>
    <t xml:space="preserve">1.2TB SAS 12G MC 10K SFF (6)</t>
  </si>
  <si>
    <t xml:space="preserve">P28586-B21 1.2TB SAS 12G MC 10K SFF (6)</t>
  </si>
  <si>
    <t xml:space="preserve">드라이브 케이지</t>
  </si>
  <si>
    <r>
      <rPr>
        <sz val="10"/>
        <color rgb="FF000000"/>
        <rFont val="맑은 고딕"/>
        <family val="0"/>
        <charset val="1"/>
      </rPr>
      <t xml:space="preserve">— (</t>
    </r>
    <r>
      <rPr>
        <sz val="10"/>
        <color rgb="FF000000"/>
        <rFont val="WenQuanYi Zen Hei"/>
        <family val="2"/>
      </rPr>
      <t xml:space="preserve">별도 기재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</si>
  <si>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P72318-B21 8SFF x1 Tri-Mode Drive Cage Kit (1)</t>
  </si>
  <si>
    <t xml:space="preserve">디앤오만 기재</t>
  </si>
  <si>
    <t xml:space="preserve">드라이브 케이블</t>
  </si>
  <si>
    <t xml:space="preserve">8SFF x1 OROC Box 2/3 Cable Kit (1)</t>
  </si>
  <si>
    <t xml:space="preserve">P47235-B21 8SFF x1 OROC Box 2/3 Cable Kit (1)</t>
  </si>
  <si>
    <r>
      <rPr>
        <b val="true"/>
        <sz val="10"/>
        <color rgb="FF000000"/>
        <rFont val="맑은 고딕"/>
        <family val="0"/>
        <charset val="1"/>
      </rPr>
      <t xml:space="preserve">RAID </t>
    </r>
    <r>
      <rPr>
        <b val="true"/>
        <sz val="10"/>
        <color rgb="FF000000"/>
        <rFont val="WenQuanYi Zen Hei"/>
        <family val="2"/>
      </rPr>
      <t xml:space="preserve">배터리</t>
    </r>
  </si>
  <si>
    <t xml:space="preserve">96W Smart Storage Li-ion Battery (1)</t>
  </si>
  <si>
    <t xml:space="preserve">P01367-B21 96W Smart Storage Li-ion Battery (1)</t>
  </si>
  <si>
    <t xml:space="preserve">배터리 케이블</t>
  </si>
  <si>
    <t xml:space="preserve">Smart Storage Battery Cable Kit (1)</t>
  </si>
  <si>
    <t xml:space="preserve">P58199-B21 Smart Storage Battery Cable Kit (1)</t>
  </si>
  <si>
    <t xml:space="preserve">MR408i-o Gen11 4GB Cache (1)</t>
  </si>
  <si>
    <t xml:space="preserve">P58335-B21 MR408i-o Gen11 4GB Cache (1)</t>
  </si>
  <si>
    <t xml:space="preserve">NIC</t>
  </si>
  <si>
    <t xml:space="preserve">Broadcom BCM5719 1Gb 4p OCP3 (1)</t>
  </si>
  <si>
    <t xml:space="preserve">P51181-B21 Broadcom BCM5719 1Gb 4p OCP3 (1)</t>
  </si>
  <si>
    <r>
      <rPr>
        <b val="true"/>
        <sz val="10"/>
        <color rgb="FF000000"/>
        <rFont val="맑은 고딕"/>
        <family val="0"/>
        <charset val="1"/>
      </rPr>
      <t xml:space="preserve">OCP </t>
    </r>
    <r>
      <rPr>
        <b val="true"/>
        <sz val="10"/>
        <color rgb="FF000000"/>
        <rFont val="WenQuanYi Zen Hei"/>
        <family val="2"/>
      </rPr>
      <t xml:space="preserve">연결</t>
    </r>
  </si>
  <si>
    <t xml:space="preserve">ML350 Gen11 OCP2 Enablement Kit (1)</t>
  </si>
  <si>
    <t xml:space="preserve">P72203-B21 CPU1 to Rear OCP SlotB x8 Cable Kit (1)</t>
  </si>
  <si>
    <t xml:space="preserve">세대별 부품</t>
  </si>
  <si>
    <t xml:space="preserve">파워</t>
  </si>
  <si>
    <t xml:space="preserve">800W Flex Slot Platinum Hot Plug (2)</t>
  </si>
  <si>
    <t xml:space="preserve">P38995-B21 800W Flex Slot Platinum Hot Plug (2)</t>
  </si>
  <si>
    <t xml:space="preserve">C13 - KSC 8305 KR 250V 10A 1.83m (2)</t>
  </si>
  <si>
    <t xml:space="preserve">P78145-B21 C13 - C14 250V 10A 2m (2)</t>
  </si>
  <si>
    <t xml:space="preserve">방열판</t>
  </si>
  <si>
    <t xml:space="preserve">ML350 Gen11 Standard Heat Sink (1)</t>
  </si>
  <si>
    <t xml:space="preserve">P72358-B21 ML350 Gen12 Standard Heat Sink (1)</t>
  </si>
  <si>
    <t xml:space="preserve">9.5mm SATA DVD-RW (1)</t>
  </si>
  <si>
    <t xml:space="preserve">—</t>
  </si>
  <si>
    <t xml:space="preserve">비아이만</t>
  </si>
  <si>
    <r>
      <rPr>
        <b val="true"/>
        <sz val="10"/>
        <color rgb="FF000000"/>
        <rFont val="맑은 고딕"/>
        <family val="0"/>
        <charset val="1"/>
      </rPr>
      <t xml:space="preserve">iLO </t>
    </r>
    <r>
      <rPr>
        <b val="true"/>
        <sz val="10"/>
        <color rgb="FF000000"/>
        <rFont val="WenQuanYi Zen Hei"/>
        <family val="2"/>
      </rPr>
      <t xml:space="preserve">라이선스</t>
    </r>
  </si>
  <si>
    <t xml:space="preserve">iLO Advanced 1-server 3yr Support (1)</t>
  </si>
  <si>
    <t xml:space="preserve">클라우드 관리</t>
  </si>
  <si>
    <t xml:space="preserve">Compute Cloud Management FIO Enablement (1)
Compute Ops Management Standard 3yr SaaS (1)</t>
  </si>
  <si>
    <t xml:space="preserve">기타</t>
  </si>
  <si>
    <t xml:space="preserve">CE Mark Removal FIO Enablement Kit (1)</t>
  </si>
  <si>
    <r>
      <rPr>
        <b val="true"/>
        <sz val="10"/>
        <color rgb="FF000000"/>
        <rFont val="맑은 고딕"/>
        <family val="0"/>
        <charset val="1"/>
      </rPr>
      <t xml:space="preserve">H/W </t>
    </r>
    <r>
      <rPr>
        <b val="true"/>
        <sz val="10"/>
        <color rgb="FF000000"/>
        <rFont val="WenQuanYi Zen Hei"/>
        <family val="2"/>
      </rPr>
      <t xml:space="preserve">서비스</t>
    </r>
  </si>
  <si>
    <t xml:space="preserve">3 Year Tech Care Essential ML350 Gen11 (1)</t>
  </si>
  <si>
    <t xml:space="preserve">거래 조건 비교</t>
  </si>
  <si>
    <r>
      <rPr>
        <i val="true"/>
        <sz val="9"/>
        <color rgb="FF595959"/>
        <rFont val="WenQuanYi Zen Hei"/>
        <family val="2"/>
      </rPr>
      <t xml:space="preserve">견적서 비고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조건란 기준  </t>
    </r>
    <r>
      <rPr>
        <i val="true"/>
        <sz val="9"/>
        <color rgb="FF595959"/>
        <rFont val="맑은 고딕"/>
        <family val="0"/>
        <charset val="1"/>
      </rPr>
      <t xml:space="preserve">·  </t>
    </r>
    <r>
      <rPr>
        <i val="true"/>
        <sz val="9"/>
        <color rgb="FF595959"/>
        <rFont val="WenQuanYi Zen Hei"/>
        <family val="2"/>
      </rPr>
      <t xml:space="preserve">빨강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주의 필요</t>
    </r>
  </si>
  <si>
    <r>
      <rPr>
        <b val="true"/>
        <sz val="10"/>
        <color rgb="FF000000"/>
        <rFont val="WenQuanYi Zen Hei"/>
        <family val="2"/>
      </rPr>
      <t xml:space="preserve">견적 번호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일자</t>
    </r>
  </si>
  <si>
    <t xml:space="preserve">BI-ES60582 / 2026-09-14</t>
  </si>
  <si>
    <r>
      <rPr>
        <sz val="10"/>
        <color rgb="FF000000"/>
        <rFont val="맑은 고딕"/>
        <family val="0"/>
        <charset val="1"/>
      </rPr>
      <t xml:space="preserve">11-2 (</t>
    </r>
    <r>
      <rPr>
        <sz val="10"/>
        <color rgb="FF000000"/>
        <rFont val="WenQuanYi Zen Hei"/>
        <family val="2"/>
      </rPr>
      <t xml:space="preserve">수정</t>
    </r>
    <r>
      <rPr>
        <sz val="10"/>
        <color rgb="FF000000"/>
        <rFont val="맑은 고딕"/>
        <family val="0"/>
        <charset val="1"/>
      </rPr>
      <t xml:space="preserve">) / 2026-09-16</t>
    </r>
  </si>
  <si>
    <t xml:space="preserve">견적 대상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</si>
  <si>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척 </t>
    </r>
    <r>
      <rPr>
        <sz val="10"/>
        <color rgb="FF000000"/>
        <rFont val="맑은 고딕"/>
        <family val="0"/>
        <charset val="1"/>
      </rPr>
      <t xml:space="preserve">(North Light / Moon / Ocean / Valley)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</si>
  <si>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척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선명 기재 없음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</si>
  <si>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척수 다름</t>
  </si>
  <si>
    <r>
      <rPr>
        <b val="true"/>
        <sz val="10"/>
        <color rgb="FF000000"/>
        <rFont val="WenQuanYi Zen Hei"/>
        <family val="2"/>
      </rPr>
      <t xml:space="preserve">견적 총액 </t>
    </r>
    <r>
      <rPr>
        <b val="true"/>
        <sz val="10"/>
        <color rgb="FF000000"/>
        <rFont val="맑은 고딕"/>
        <family val="0"/>
        <charset val="1"/>
      </rPr>
      <t xml:space="preserve">(VAT </t>
    </r>
    <r>
      <rPr>
        <b val="true"/>
        <sz val="10"/>
        <color rgb="FF000000"/>
        <rFont val="WenQuanYi Zen Hei"/>
        <family val="2"/>
      </rPr>
      <t xml:space="preserve">별도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</si>
  <si>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견적 유효기간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</si>
  <si>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주 </t>
    </r>
    <r>
      <rPr>
        <sz val="10"/>
        <color rgb="FF000000"/>
        <rFont val="맑은 고딕"/>
        <family val="0"/>
        <charset val="1"/>
      </rPr>
      <t xml:space="preserve">(2026-09-28</t>
    </r>
    <r>
      <rPr>
        <sz val="10"/>
        <color rgb="FF000000"/>
        <rFont val="WenQuanYi Zen Hei"/>
        <family val="2"/>
      </rPr>
      <t xml:space="preserve">까지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</si>
  <si>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작성일로부터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(2026-09-19</t>
    </r>
    <r>
      <rPr>
        <sz val="10"/>
        <color rgb="FF000000"/>
        <rFont val="WenQuanYi Zen Hei"/>
        <family val="2"/>
      </rPr>
      <t xml:space="preserve">까지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</si>
  <si>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둘 다 만료 → 재견적 필요</t>
  </si>
  <si>
    <t xml:space="preserve">납기</t>
  </si>
  <si>
    <r>
      <rPr>
        <sz val="10"/>
        <color rgb="FF000000"/>
        <rFont val="WenQuanYi Zen Hei"/>
        <family val="2"/>
      </rPr>
      <t xml:space="preserve">발주 후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주 이내</t>
    </r>
  </si>
  <si>
    <r>
      <rPr>
        <sz val="10"/>
        <color rgb="FF000000"/>
        <rFont val="WenQuanYi Zen Hei"/>
        <family val="2"/>
      </rPr>
      <t xml:space="preserve">발주일로부터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일 이내</t>
    </r>
  </si>
  <si>
    <t xml:space="preserve">디앤오가 훨씬 빠름</t>
  </si>
  <si>
    <t xml:space="preserve">결제 조건</t>
  </si>
  <si>
    <r>
      <rPr>
        <sz val="10"/>
        <color rgb="FF000000"/>
        <rFont val="WenQuanYi Zen Hei"/>
        <family val="2"/>
      </rPr>
      <t xml:space="preserve">자재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발주 시 선입금
현장 작업비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작업 완료 후 당월 결제</t>
    </r>
  </si>
  <si>
    <r>
      <rPr>
        <sz val="10"/>
        <color rgb="FF000000"/>
        <rFont val="WenQuanYi Zen Hei"/>
        <family val="2"/>
      </rPr>
      <t xml:space="preserve">현금 </t>
    </r>
    <r>
      <rPr>
        <sz val="10"/>
        <color rgb="FF000000"/>
        <rFont val="맑은 고딕"/>
        <family val="0"/>
        <charset val="1"/>
      </rPr>
      <t xml:space="preserve">(VAT </t>
    </r>
    <r>
      <rPr>
        <sz val="10"/>
        <color rgb="FF000000"/>
        <rFont val="WenQuanYi Zen Hei"/>
        <family val="2"/>
      </rPr>
      <t xml:space="preserve">별도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WenQuanYi Zen Hei"/>
        <family val="2"/>
      </rPr>
      <t xml:space="preserve">계약금 </t>
    </r>
    <r>
      <rPr>
        <sz val="10"/>
        <color rgb="FF000000"/>
        <rFont val="맑은 고딕"/>
        <family val="0"/>
        <charset val="1"/>
      </rPr>
      <t xml:space="preserve">80% / </t>
    </r>
    <r>
      <rPr>
        <sz val="10"/>
        <color rgb="FF000000"/>
        <rFont val="WenQuanYi Zen Hei"/>
        <family val="2"/>
      </rPr>
      <t xml:space="preserve">잔금 </t>
    </r>
    <r>
      <rPr>
        <sz val="10"/>
        <color rgb="FF000000"/>
        <rFont val="맑은 고딕"/>
        <family val="0"/>
        <charset val="1"/>
      </rPr>
      <t xml:space="preserve">20%</t>
    </r>
  </si>
  <si>
    <r>
      <rPr>
        <b val="true"/>
        <sz val="10"/>
        <color rgb="FF000000"/>
        <rFont val="WenQuanYi Zen Hei"/>
        <family val="2"/>
      </rPr>
      <t xml:space="preserve">운송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인도</t>
    </r>
  </si>
  <si>
    <t xml:space="preserve">자재 운송비 미포함</t>
  </si>
  <si>
    <r>
      <rPr>
        <sz val="10"/>
        <color rgb="FF000000"/>
        <rFont val="WenQuanYi Zen Hei"/>
        <family val="2"/>
      </rPr>
      <t xml:space="preserve">구매자 본사 사무실 인도
선적서류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적재허가서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발행 불가</t>
    </r>
  </si>
  <si>
    <t xml:space="preserve">선박 적재 시 디앤오는 서류 발행 불가</t>
  </si>
  <si>
    <t xml:space="preserve">현장 설치</t>
  </si>
  <si>
    <r>
      <rPr>
        <sz val="10"/>
        <color rgb="FF000000"/>
        <rFont val="WenQuanYi Zen Hei"/>
        <family val="2"/>
      </rPr>
      <t xml:space="preserve">포함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현장 기타 작업비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필요시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</si>
  <si>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별도 협의</t>
  </si>
  <si>
    <t xml:space="preserve">디앤오 추가 비용 가능</t>
  </si>
  <si>
    <r>
      <rPr>
        <b val="true"/>
        <sz val="10"/>
        <color rgb="FF000000"/>
        <rFont val="WenQuanYi Zen Hei"/>
        <family val="2"/>
      </rPr>
      <t xml:space="preserve">보증 </t>
    </r>
    <r>
      <rPr>
        <b val="true"/>
        <sz val="10"/>
        <color rgb="FF000000"/>
        <rFont val="맑은 고딕"/>
        <family val="0"/>
        <charset val="1"/>
      </rPr>
      <t xml:space="preserve">/ AS</t>
    </r>
  </si>
  <si>
    <r>
      <rPr>
        <sz val="10"/>
        <color rgb="FF000000"/>
        <rFont val="맑은 고딕"/>
        <family val="0"/>
        <charset val="1"/>
      </rPr>
      <t xml:space="preserve">HPE Tech Care Essential 3</t>
    </r>
    <r>
      <rPr>
        <sz val="10"/>
        <color rgb="FF000000"/>
        <rFont val="WenQuanYi Zen Hei"/>
        <family val="2"/>
      </rPr>
      <t xml:space="preserve">년
</t>
    </r>
    <r>
      <rPr>
        <sz val="10"/>
        <color rgb="FF000000"/>
        <rFont val="맑은 고딕"/>
        <family val="0"/>
        <charset val="1"/>
      </rPr>
      <t xml:space="preserve">HDD·NAS 3</t>
    </r>
    <r>
      <rPr>
        <sz val="10"/>
        <color rgb="FF000000"/>
        <rFont val="WenQuanYi Zen Hei"/>
        <family val="2"/>
      </rPr>
      <t xml:space="preserve">년 보증</t>
    </r>
  </si>
  <si>
    <r>
      <rPr>
        <sz val="10"/>
        <color rgb="FF000000"/>
        <rFont val="WenQuanYi Zen Hei"/>
        <family val="2"/>
      </rPr>
      <t xml:space="preserve">제조사 기준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사용자 과실은 유상</t>
    </r>
    <r>
      <rPr>
        <sz val="10"/>
        <color rgb="FF000000"/>
        <rFont val="맑은 고딕"/>
        <family val="0"/>
        <charset val="1"/>
      </rPr>
      <t xml:space="preserve">)
AS: </t>
    </r>
    <r>
      <rPr>
        <sz val="10"/>
        <color rgb="FF000000"/>
        <rFont val="WenQuanYi Zen Hei"/>
        <family val="2"/>
      </rPr>
      <t xml:space="preserve">고객 직접 방문 또는 택배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인건비 고객 부담</t>
    </r>
  </si>
  <si>
    <t xml:space="preserve">추가 작업</t>
  </si>
  <si>
    <r>
      <rPr>
        <sz val="10"/>
        <color rgb="FF000000"/>
        <rFont val="WenQuanYi Zen Hei"/>
        <family val="2"/>
      </rPr>
      <t xml:space="preserve">추가 자재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작업 필요 시 협의</t>
    </r>
  </si>
  <si>
    <t xml:space="preserve">VAT</t>
  </si>
  <si>
    <t xml:space="preserve">별도</t>
  </si>
  <si>
    <r>
      <rPr>
        <sz val="10"/>
        <color rgb="FF000000"/>
        <rFont val="WenQuanYi Zen Hei"/>
        <family val="2"/>
      </rPr>
      <t xml:space="preserve">별도 </t>
    </r>
    <r>
      <rPr>
        <sz val="10"/>
        <color rgb="FF000000"/>
        <rFont val="맑은 고딕"/>
        <family val="0"/>
        <charset val="1"/>
      </rPr>
      <t xml:space="preserve">(10%)</t>
    </r>
  </si>
  <si>
    <r>
      <rPr>
        <b val="true"/>
        <sz val="14"/>
        <color rgb="FF1F3864"/>
        <rFont val="WenQuanYi Zen Hei"/>
        <family val="2"/>
      </rPr>
      <t xml:space="preserve">가격 상세 </t>
    </r>
    <r>
      <rPr>
        <b val="true"/>
        <sz val="14"/>
        <color rgb="FF1F3864"/>
        <rFont val="맑은 고딕"/>
        <family val="0"/>
        <charset val="1"/>
      </rPr>
      <t xml:space="preserve">(1</t>
    </r>
    <r>
      <rPr>
        <b val="true"/>
        <sz val="14"/>
        <color rgb="FF1F3864"/>
        <rFont val="WenQuanYi Zen Hei"/>
        <family val="2"/>
      </rPr>
      <t xml:space="preserve">척 기준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</si>
  <si>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비아이자이로 견적서 </t>
    </r>
    <r>
      <rPr>
        <i val="true"/>
        <sz val="9"/>
        <color rgb="FF595959"/>
        <rFont val="맑은 고딕"/>
        <family val="0"/>
        <charset val="1"/>
      </rPr>
      <t xml:space="preserve">BI-ES60582 (2026-09-14) / </t>
    </r>
    <r>
      <rPr>
        <i val="true"/>
        <sz val="9"/>
        <color rgb="FF595959"/>
        <rFont val="WenQuanYi Zen Hei"/>
        <family val="2"/>
      </rPr>
      <t xml:space="preserve">디앤오 견적서 </t>
    </r>
    <r>
      <rPr>
        <i val="true"/>
        <sz val="9"/>
        <color rgb="FF595959"/>
        <rFont val="맑은 고딕"/>
        <family val="0"/>
        <charset val="1"/>
      </rPr>
      <t xml:space="preserve">11-2 </t>
    </r>
    <r>
      <rPr>
        <i val="true"/>
        <sz val="9"/>
        <color rgb="FF595959"/>
        <rFont val="WenQuanYi Zen Hei"/>
        <family val="2"/>
      </rPr>
      <t xml:space="preserve">수정 </t>
    </r>
    <r>
      <rPr>
        <i val="true"/>
        <sz val="9"/>
        <color rgb="FF595959"/>
        <rFont val="맑은 고딕"/>
        <family val="0"/>
        <charset val="1"/>
      </rPr>
      <t xml:space="preserve">(2026-09-16) + </t>
    </r>
    <r>
      <rPr>
        <i val="true"/>
        <sz val="9"/>
        <color rgb="FF595959"/>
        <rFont val="WenQuanYi Zen Hei"/>
        <family val="2"/>
      </rPr>
      <t xml:space="preserve">세부사양 </t>
    </r>
    <r>
      <rPr>
        <i val="true"/>
        <sz val="9"/>
        <color rgb="FF595959"/>
        <rFont val="맑은 고딕"/>
        <family val="0"/>
        <charset val="1"/>
      </rPr>
      <t xml:space="preserve">11-1  |  </t>
    </r>
    <r>
      <rPr>
        <i val="true"/>
        <sz val="9"/>
        <color rgb="FF595959"/>
        <rFont val="WenQuanYi Zen Hei"/>
        <family val="2"/>
      </rPr>
      <t xml:space="preserve">금액 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VAT </t>
    </r>
    <r>
      <rPr>
        <i val="true"/>
        <sz val="9"/>
        <color rgb="FF595959"/>
        <rFont val="WenQuanYi Zen Hei"/>
        <family val="2"/>
      </rPr>
      <t xml:space="preserve">별도  </t>
    </r>
    <r>
      <rPr>
        <i val="true"/>
        <sz val="9"/>
        <color rgb="FF595959"/>
        <rFont val="맑은 고딕"/>
        <family val="0"/>
        <charset val="1"/>
      </rPr>
      <t xml:space="preserve">|  '</t>
    </r>
    <r>
      <rPr>
        <i val="true"/>
        <sz val="9"/>
        <color rgb="FF595959"/>
        <rFont val="WenQuanYi Zen Hei"/>
        <family val="2"/>
      </rPr>
      <t xml:space="preserve">구분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열이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비교 요약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 집계 기준</t>
    </r>
  </si>
  <si>
    <t xml:space="preserve">업체</t>
  </si>
  <si>
    <t xml:space="preserve">수량</t>
  </si>
  <si>
    <t xml:space="preserve">단위</t>
  </si>
  <si>
    <t xml:space="preserve">단가</t>
  </si>
  <si>
    <t xml:space="preserve">금액</t>
  </si>
  <si>
    <t xml:space="preserve">HPE ML350 Gen11 / Xeon Gold 6426Y 16C / 96GB / 1.2TB×6 / MR408i / DVD / iLO / Power×2</t>
  </si>
  <si>
    <t xml:space="preserve">SET</t>
  </si>
  <si>
    <r>
      <rPr>
        <sz val="10"/>
        <color rgb="FF000000"/>
        <rFont val="WenQuanYi Zen Hei"/>
        <family val="2"/>
      </rPr>
      <t xml:space="preserve">구성품은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서버 사양 비교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시트 참고</t>
    </r>
  </si>
  <si>
    <t xml:space="preserve">Windows Server 2025 Standard - 16 Core License Pack</t>
  </si>
  <si>
    <t xml:space="preserve">EA</t>
  </si>
  <si>
    <t xml:space="preserve">Windows Server 2025 - 1 User CAL</t>
  </si>
  <si>
    <t xml:space="preserve">SQL Server 2025 Standard Edition</t>
  </si>
  <si>
    <t xml:space="preserve">SQL Server 2025 - 1 User CAL</t>
  </si>
  <si>
    <r>
      <rPr>
        <sz val="10"/>
        <color rgb="FF000000"/>
        <rFont val="WenQuanYi Zen Hei"/>
        <family val="2"/>
      </rPr>
      <t xml:space="preserve">납품 및 설치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초기 </t>
    </r>
    <r>
      <rPr>
        <sz val="10"/>
        <color rgb="FF000000"/>
        <rFont val="맑은 고딕"/>
        <family val="0"/>
        <charset val="1"/>
      </rPr>
      <t xml:space="preserve">OS </t>
    </r>
    <r>
      <rPr>
        <sz val="10"/>
        <color rgb="FF000000"/>
        <rFont val="WenQuanYi Zen Hei"/>
        <family val="2"/>
      </rPr>
      <t xml:space="preserve">및 설정작업</t>
    </r>
  </si>
  <si>
    <t xml:space="preserve">일</t>
  </si>
  <si>
    <r>
      <rPr>
        <sz val="10"/>
        <color rgb="FF000000"/>
        <rFont val="WenQuanYi Zen Hei"/>
        <family val="2"/>
      </rPr>
      <t xml:space="preserve">납품 및 설치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출장비</t>
    </r>
  </si>
  <si>
    <t xml:space="preserve">LOT</t>
  </si>
  <si>
    <t xml:space="preserve">NAS</t>
  </si>
  <si>
    <r>
      <rPr>
        <sz val="10"/>
        <color rgb="FF000000"/>
        <rFont val="맑은 고딕"/>
        <family val="0"/>
        <charset val="1"/>
      </rPr>
      <t xml:space="preserve">Synology DS725+ (2</t>
    </r>
    <r>
      <rPr>
        <sz val="10"/>
        <color rgb="FF000000"/>
        <rFont val="WenQuanYi Zen Hei"/>
        <family val="2"/>
      </rPr>
      <t xml:space="preserve">베이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</si>
  <si>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년 보증</t>
    </r>
  </si>
  <si>
    <t xml:space="preserve">HDD HAT3320-8T</t>
  </si>
  <si>
    <t xml:space="preserve">RAM Synology D4ES04-4G</t>
  </si>
  <si>
    <r>
      <rPr>
        <sz val="10"/>
        <color rgb="FF000000"/>
        <rFont val="WenQuanYi Zen Hei"/>
        <family val="2"/>
      </rPr>
      <t xml:space="preserve">기술지원</t>
    </r>
    <r>
      <rPr>
        <sz val="10"/>
        <color rgb="FF000000"/>
        <rFont val="맑은 고딕"/>
        <family val="0"/>
        <charset val="1"/>
      </rPr>
      <t xml:space="preserve">: RAID1 </t>
    </r>
    <r>
      <rPr>
        <sz val="10"/>
        <color rgb="FF000000"/>
        <rFont val="WenQuanYi Zen Hei"/>
        <family val="2"/>
      </rPr>
      <t xml:space="preserve">구성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초기 구축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사용법 안내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폴더 권한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스냅샷 백업 설정</t>
    </r>
  </si>
  <si>
    <r>
      <rPr>
        <sz val="10"/>
        <color rgb="FF000000"/>
        <rFont val="WenQuanYi Zen Hei"/>
        <family val="2"/>
      </rPr>
      <t xml:space="preserve">실사용 용량 약 </t>
    </r>
    <r>
      <rPr>
        <sz val="10"/>
        <color rgb="FF000000"/>
        <rFont val="맑은 고딕"/>
        <family val="0"/>
        <charset val="1"/>
      </rPr>
      <t xml:space="preserve">8TB</t>
    </r>
  </si>
  <si>
    <r>
      <rPr>
        <sz val="10"/>
        <color rgb="FF000000"/>
        <rFont val="맑은 고딕"/>
        <family val="0"/>
        <charset val="1"/>
      </rPr>
      <t xml:space="preserve">NAS </t>
    </r>
    <r>
      <rPr>
        <sz val="10"/>
        <color rgb="FF000000"/>
        <rFont val="WenQuanYi Zen Hei"/>
        <family val="2"/>
      </rPr>
      <t xml:space="preserve">출장비</t>
    </r>
  </si>
  <si>
    <t xml:space="preserve">현장 작업</t>
  </si>
  <si>
    <r>
      <rPr>
        <sz val="10"/>
        <color rgb="FF000000"/>
        <rFont val="WenQuanYi Zen Hei"/>
        <family val="2"/>
      </rPr>
      <t xml:space="preserve">기존 네트워크 확인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물리 네트워크 구축</t>
    </r>
  </si>
  <si>
    <t xml:space="preserve">필요시</t>
  </si>
  <si>
    <r>
      <rPr>
        <sz val="10"/>
        <color rgb="FF000000"/>
        <rFont val="맑은 고딕"/>
        <family val="0"/>
        <charset val="1"/>
      </rPr>
      <t xml:space="preserve">HP ML350 </t>
    </r>
    <r>
      <rPr>
        <sz val="10"/>
        <color rgb="FF000000"/>
        <rFont val="WenQuanYi Zen Hei"/>
        <family val="2"/>
      </rPr>
      <t xml:space="preserve">서버 설치 및 </t>
    </r>
    <r>
      <rPr>
        <sz val="10"/>
        <color rgb="FF000000"/>
        <rFont val="맑은 고딕"/>
        <family val="0"/>
        <charset val="1"/>
      </rPr>
      <t xml:space="preserve">LAN </t>
    </r>
    <r>
      <rPr>
        <sz val="10"/>
        <color rgb="FF000000"/>
        <rFont val="WenQuanYi Zen Hei"/>
        <family val="2"/>
      </rPr>
      <t xml:space="preserve">연결</t>
    </r>
  </si>
  <si>
    <r>
      <rPr>
        <sz val="10"/>
        <color rgb="FF000000"/>
        <rFont val="맑은 고딕"/>
        <family val="0"/>
        <charset val="1"/>
      </rPr>
      <t xml:space="preserve">NAS </t>
    </r>
    <r>
      <rPr>
        <sz val="10"/>
        <color rgb="FF000000"/>
        <rFont val="WenQuanYi Zen Hei"/>
        <family val="2"/>
      </rPr>
      <t xml:space="preserve">설치 </t>
    </r>
    <r>
      <rPr>
        <sz val="10"/>
        <color rgb="FF000000"/>
        <rFont val="맑은 고딕"/>
        <family val="0"/>
        <charset val="1"/>
      </rPr>
      <t xml:space="preserve">/ LAN </t>
    </r>
    <r>
      <rPr>
        <sz val="10"/>
        <color rgb="FF000000"/>
        <rFont val="WenQuanYi Zen Hei"/>
        <family val="2"/>
      </rPr>
      <t xml:space="preserve">연결</t>
    </r>
  </si>
  <si>
    <r>
      <rPr>
        <sz val="10"/>
        <color rgb="FF000000"/>
        <rFont val="맑은 고딕"/>
        <family val="0"/>
        <charset val="1"/>
      </rPr>
      <t xml:space="preserve">Laptop </t>
    </r>
    <r>
      <rPr>
        <sz val="10"/>
        <color rgb="FF000000"/>
        <rFont val="WenQuanYi Zen Hei"/>
        <family val="2"/>
      </rPr>
      <t xml:space="preserve">설치 및 설정</t>
    </r>
  </si>
  <si>
    <r>
      <rPr>
        <sz val="10"/>
        <color rgb="FF000000"/>
        <rFont val="WenQuanYi Zen Hei"/>
        <family val="2"/>
      </rPr>
      <t xml:space="preserve">전체 </t>
    </r>
    <r>
      <rPr>
        <sz val="10"/>
        <color rgb="FF000000"/>
        <rFont val="맑은 고딕"/>
        <family val="0"/>
        <charset val="1"/>
      </rPr>
      <t xml:space="preserve">Network Connect test</t>
    </r>
  </si>
  <si>
    <r>
      <rPr>
        <b val="true"/>
        <sz val="10"/>
        <color rgb="FF000000"/>
        <rFont val="WenQuanYi Zen Hei"/>
        <family val="2"/>
      </rPr>
      <t xml:space="preserve">비아이자이로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척 소계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계산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</si>
  <si>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HP Server ML350 Gen12 / Xeon 6505P 12C / 64GB / 1.2TB×6 / Dual Power</t>
  </si>
  <si>
    <r>
      <rPr>
        <sz val="10"/>
        <color rgb="FF000000"/>
        <rFont val="WenQuanYi Zen Hei"/>
        <family val="2"/>
      </rPr>
      <t xml:space="preserve">세부사양 </t>
    </r>
    <r>
      <rPr>
        <sz val="10"/>
        <color rgb="FF000000"/>
        <rFont val="맑은 고딕"/>
        <family val="0"/>
        <charset val="1"/>
      </rPr>
      <t xml:space="preserve">11-1 </t>
    </r>
    <r>
      <rPr>
        <sz val="10"/>
        <color rgb="FF000000"/>
        <rFont val="WenQuanYi Zen Hei"/>
        <family val="2"/>
      </rPr>
      <t xml:space="preserve">첨부</t>
    </r>
  </si>
  <si>
    <t xml:space="preserve">SQL Server 2025 Standard Edition Perpetual 1 Server License</t>
  </si>
  <si>
    <r>
      <rPr>
        <sz val="10"/>
        <color rgb="FF000000"/>
        <rFont val="WenQuanYi Zen Hei"/>
        <family val="2"/>
      </rPr>
      <t xml:space="preserve">기술료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프로그램 세팅비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장비업체에서 진행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</si>
  <si>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식</t>
  </si>
  <si>
    <r>
      <rPr>
        <sz val="10"/>
        <color rgb="FF000000"/>
        <rFont val="WenQuanYi Zen Hei"/>
        <family val="2"/>
      </rPr>
      <t xml:space="preserve">공임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장비 현장 설치</t>
    </r>
  </si>
  <si>
    <r>
      <rPr>
        <sz val="10"/>
        <color rgb="FF000000"/>
        <rFont val="WenQuanYi Zen Hei"/>
        <family val="2"/>
      </rPr>
      <t xml:space="preserve">별도 협의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견적 미포함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</si>
  <si>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디앤오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척 소계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계산</t>
    </r>
    <r>
      <rPr>
        <b val="true"/>
        <sz val="10"/>
        <color rgb="FF00000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</si>
</sst>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sz val="11"/>
      <color theme="1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i val="true"/>
      <sz val="10"/>
      <color rgb="FF595959"/>
      <name val="WenQuanYi Zen Hei"/>
      <family val="2"/>
    </font>
    <font>
      <i val="true"/>
      <sz val="10"/>
      <color rgb="FF595959"/>
      <name val="맑은 고딕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3"/>
    <col collapsed="false" customWidth="true" hidden="false" outlineLevel="0" max="5" min="5" style="0" width="7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true" customHeight="false" outlineLevel="0" collapsed="false">
      <c r="B3" s="3" t="s">
        <v>2</v>
      </c>
      <c r="C3" s="3" t="s">
        <v>3</v>
      </c>
    </row>
    <row r="5" customFormat="false" ht="19.5" hidden="false" customHeight="true" outlineLevel="0" collapsed="false">
      <c r="A5" s="4" t="s">
        <v>4</v>
      </c>
      <c r="B5" s="4"/>
      <c r="C5" s="4"/>
      <c r="D5" s="4"/>
      <c r="E5" s="4"/>
    </row>
    <row r="6" customFormat="false" ht="21.75" hidden="false" customHeight="true" outlineLevel="0" collapsed="false">
      <c r="A6" s="5" t="s">
        <v>5</v>
      </c>
      <c r="B6" s="6" t="s">
        <v>2</v>
      </c>
      <c r="C6" s="7" t="s">
        <v>3</v>
      </c>
      <c r="D6" s="5" t="s">
        <v>6</v>
      </c>
      <c r="E6" s="5" t="s">
        <v>7</v>
      </c>
    </row>
    <row r="7" customFormat="false" ht="30" hidden="false" customHeight="true" outlineLevel="0" collapsed="false">
      <c r="A7" s="8" t="s">
        <v>8</v>
      </c>
      <c r="B7" s="9" t="n">
        <f aca="false">SUMIFS('가격 상세'!$G$5:$G$33,'가격 상세'!$A$5:$A$33,$B$3,'가격 상세'!$B$5:$B$33,$A7)</f>
        <v>41000000</v>
      </c>
      <c r="C7" s="9" t="n">
        <f aca="false">SUMIFS('가격 상세'!$G$5:$G$33,'가격 상세'!$A$5:$A$33,$C$3,'가격 상세'!$B$5:$B$33,$A7)</f>
        <v>26500000</v>
      </c>
      <c r="D7" s="9" t="n">
        <f aca="false">B7-C7</f>
        <v>14500000</v>
      </c>
      <c r="E7" s="8" t="s">
        <v>9</v>
      </c>
    </row>
    <row r="8" customFormat="false" ht="30" hidden="false" customHeight="true" outlineLevel="0" collapsed="false">
      <c r="A8" s="10" t="s">
        <v>10</v>
      </c>
      <c r="B8" s="9" t="n">
        <f aca="false">SUMIFS('가격 상세'!$G$5:$G$33,'가격 상세'!$A$5:$A$33,$B$3,'가격 상세'!$B$5:$B$33,$A8)</f>
        <v>2200000</v>
      </c>
      <c r="C8" s="9" t="n">
        <f aca="false">SUMIFS('가격 상세'!$G$5:$G$33,'가격 상세'!$A$5:$A$33,$C$3,'가격 상세'!$B$5:$B$33,$A8)</f>
        <v>1950000</v>
      </c>
      <c r="D8" s="9" t="n">
        <f aca="false">B8-C8</f>
        <v>250000</v>
      </c>
      <c r="E8" s="8" t="s">
        <v>11</v>
      </c>
    </row>
    <row r="9" customFormat="false" ht="30" hidden="false" customHeight="true" outlineLevel="0" collapsed="false">
      <c r="A9" s="10" t="s">
        <v>12</v>
      </c>
      <c r="B9" s="9" t="n">
        <f aca="false">SUMIFS('가격 상세'!$G$5:$G$33,'가격 상세'!$A$5:$A$33,$B$3,'가격 상세'!$B$5:$B$33,$A9)</f>
        <v>1540000</v>
      </c>
      <c r="C9" s="9" t="n">
        <f aca="false">SUMIFS('가격 상세'!$G$5:$G$33,'가격 상세'!$A$5:$A$33,$C$3,'가격 상세'!$B$5:$B$33,$A9)</f>
        <v>1020000</v>
      </c>
      <c r="D9" s="9" t="n">
        <f aca="false">B9-C9</f>
        <v>520000</v>
      </c>
      <c r="E9" s="8" t="s">
        <v>13</v>
      </c>
    </row>
    <row r="10" customFormat="false" ht="30" hidden="false" customHeight="true" outlineLevel="0" collapsed="false">
      <c r="A10" s="10" t="s">
        <v>14</v>
      </c>
      <c r="B10" s="9" t="n">
        <f aca="false">SUMIFS('가격 상세'!$G$5:$G$33,'가격 상세'!$A$5:$A$33,$B$3,'가격 상세'!$B$5:$B$33,$A10)</f>
        <v>2000000</v>
      </c>
      <c r="C10" s="9" t="n">
        <f aca="false">SUMIFS('가격 상세'!$G$5:$G$33,'가격 상세'!$A$5:$A$33,$C$3,'가격 상세'!$B$5:$B$33,$A10)</f>
        <v>1650000</v>
      </c>
      <c r="D10" s="9" t="n">
        <f aca="false">B10-C10</f>
        <v>350000</v>
      </c>
      <c r="E10" s="8" t="s">
        <v>15</v>
      </c>
    </row>
    <row r="11" customFormat="false" ht="30" hidden="false" customHeight="true" outlineLevel="0" collapsed="false">
      <c r="A11" s="10" t="s">
        <v>16</v>
      </c>
      <c r="B11" s="9" t="n">
        <f aca="false">SUMIFS('가격 상세'!$G$5:$G$33,'가격 상세'!$A$5:$A$33,$B$3,'가격 상세'!$B$5:$B$33,$A11)</f>
        <v>7000000</v>
      </c>
      <c r="C11" s="9" t="n">
        <f aca="false">SUMIFS('가격 상세'!$G$5:$G$33,'가격 상세'!$A$5:$A$33,$C$3,'가격 상세'!$B$5:$B$33,$A11)</f>
        <v>4380000</v>
      </c>
      <c r="D11" s="9" t="n">
        <f aca="false">B11-C11</f>
        <v>2620000</v>
      </c>
      <c r="E11" s="8" t="s">
        <v>17</v>
      </c>
    </row>
    <row r="12" customFormat="false" ht="30" hidden="false" customHeight="true" outlineLevel="0" collapsed="false">
      <c r="A12" s="8" t="s">
        <v>18</v>
      </c>
      <c r="B12" s="9" t="n">
        <f aca="false">SUMIFS('가격 상세'!$G$5:$G$33,'가격 상세'!$A$5:$A$33,$B$3,'가격 상세'!$B$5:$B$33,$A12)</f>
        <v>3100000</v>
      </c>
      <c r="C12" s="9" t="n">
        <f aca="false">SUMIFS('가격 상세'!$G$5:$G$33,'가격 상세'!$A$5:$A$33,$C$3,'가격 상세'!$B$5:$B$33,$A12)</f>
        <v>1500000</v>
      </c>
      <c r="D12" s="9" t="n">
        <f aca="false">B12-C12</f>
        <v>1600000</v>
      </c>
      <c r="E12" s="8" t="s">
        <v>19</v>
      </c>
    </row>
    <row r="13" customFormat="false" ht="30" hidden="false" customHeight="true" outlineLevel="0" collapsed="false">
      <c r="A13" s="11" t="s">
        <v>20</v>
      </c>
      <c r="B13" s="12" t="n">
        <f aca="false">SUM(B7:B12)</f>
        <v>56840000</v>
      </c>
      <c r="C13" s="12" t="n">
        <f aca="false">SUM(C7:C12)</f>
        <v>37000000</v>
      </c>
      <c r="D13" s="12" t="n">
        <f aca="false">SUM(D7:D12)</f>
        <v>19840000</v>
      </c>
      <c r="E13" s="11" t="s">
        <v>21</v>
      </c>
    </row>
    <row r="14" customFormat="false" ht="30" hidden="false" customHeight="true" outlineLevel="0" collapsed="false">
      <c r="A14" s="13" t="s">
        <v>22</v>
      </c>
      <c r="B14" s="9" t="n">
        <f aca="false">SUMIFS('가격 상세'!$G$5:$G$33,'가격 상세'!$A$5:$A$33,$B$3,'가격 상세'!$B$5:$B$33,"NAS")</f>
        <v>6380000</v>
      </c>
      <c r="C14" s="9" t="n">
        <f aca="false">SUMIFS('가격 상세'!$G$5:$G$33,'가격 상세'!$A$5:$A$33,$C$3,'가격 상세'!$B$5:$B$33,"NAS")</f>
        <v>0</v>
      </c>
      <c r="D14" s="9" t="n">
        <f aca="false">B14-C14</f>
        <v>6380000</v>
      </c>
      <c r="E14" s="10" t="s">
        <v>23</v>
      </c>
    </row>
    <row r="15" customFormat="false" ht="30" hidden="false" customHeight="true" outlineLevel="0" collapsed="false">
      <c r="A15" s="14" t="s">
        <v>24</v>
      </c>
      <c r="B15" s="9" t="n">
        <f aca="false">SUMIFS('가격 상세'!$G$5:$G$33,'가격 상세'!$A$5:$A$33,$B$3,'가격 상세'!$B$5:$B$33,"현장 작업")</f>
        <v>5600000</v>
      </c>
      <c r="C15" s="9" t="n">
        <f aca="false">SUMIFS('가격 상세'!$G$5:$G$33,'가격 상세'!$A$5:$A$33,$C$3,'가격 상세'!$B$5:$B$33,"현장 작업")</f>
        <v>0</v>
      </c>
      <c r="D15" s="9" t="n">
        <f aca="false">B15-C15</f>
        <v>5600000</v>
      </c>
      <c r="E15" s="8" t="s">
        <v>25</v>
      </c>
    </row>
    <row r="16" customFormat="false" ht="30" hidden="false" customHeight="true" outlineLevel="0" collapsed="false">
      <c r="A16" s="15" t="s">
        <v>26</v>
      </c>
      <c r="B16" s="12" t="n">
        <f aca="false">B13+SUM(B14:B15)</f>
        <v>68820000</v>
      </c>
      <c r="C16" s="12" t="n">
        <f aca="false">C13+SUM(C14:C15)</f>
        <v>37000000</v>
      </c>
      <c r="D16" s="12" t="n">
        <f aca="false">D13+SUM(D14:D15)</f>
        <v>31820000</v>
      </c>
      <c r="E16" s="11" t="s">
        <v>27</v>
      </c>
    </row>
    <row r="17" customFormat="false" ht="30" hidden="false" customHeight="true" outlineLevel="0" collapsed="false">
      <c r="A17" s="8" t="s">
        <v>28</v>
      </c>
      <c r="B17" s="9" t="n">
        <v>68020000</v>
      </c>
      <c r="C17" s="9" t="n">
        <v>37000000</v>
      </c>
      <c r="D17" s="9" t="n">
        <f aca="false">B17-C17</f>
        <v>31020000</v>
      </c>
      <c r="E17" s="8" t="s">
        <v>29</v>
      </c>
    </row>
    <row r="18" customFormat="false" ht="26.85" hidden="false" customHeight="false" outlineLevel="0" collapsed="false">
      <c r="A18" s="16" t="s">
        <v>30</v>
      </c>
      <c r="B18" s="17" t="n">
        <f aca="false">B16-B17</f>
        <v>800000</v>
      </c>
      <c r="C18" s="9" t="n">
        <f aca="false">C16-C17</f>
        <v>0</v>
      </c>
      <c r="D18" s="8"/>
      <c r="E18" s="16" t="s">
        <v>31</v>
      </c>
    </row>
    <row r="20" customFormat="false" ht="19.5" hidden="false" customHeight="true" outlineLevel="0" collapsed="false">
      <c r="A20" s="4" t="s">
        <v>32</v>
      </c>
      <c r="B20" s="4"/>
      <c r="C20" s="4"/>
      <c r="D20" s="4"/>
      <c r="E20" s="4"/>
    </row>
    <row r="21" customFormat="false" ht="21.75" hidden="false" customHeight="true" outlineLevel="0" collapsed="false">
      <c r="A21" s="5" t="s">
        <v>33</v>
      </c>
      <c r="B21" s="6" t="s">
        <v>2</v>
      </c>
      <c r="C21" s="7" t="s">
        <v>3</v>
      </c>
      <c r="D21" s="5" t="s">
        <v>6</v>
      </c>
      <c r="E21" s="5" t="s">
        <v>7</v>
      </c>
    </row>
    <row r="22" customFormat="false" ht="15" hidden="false" customHeight="false" outlineLevel="0" collapsed="false">
      <c r="A22" s="18" t="s">
        <v>34</v>
      </c>
      <c r="B22" s="9" t="n">
        <f aca="false">B$17*1</f>
        <v>68020000</v>
      </c>
      <c r="C22" s="9" t="n">
        <f aca="false">C$17*1</f>
        <v>37000000</v>
      </c>
      <c r="D22" s="9" t="n">
        <f aca="false">B22-C22</f>
        <v>31020000</v>
      </c>
      <c r="E22" s="8"/>
    </row>
    <row r="23" customFormat="false" ht="15" hidden="false" customHeight="false" outlineLevel="0" collapsed="false">
      <c r="A23" s="18" t="s">
        <v>35</v>
      </c>
      <c r="B23" s="9" t="n">
        <f aca="false">B$17*2</f>
        <v>136040000</v>
      </c>
      <c r="C23" s="9" t="n">
        <f aca="false">C$17*2</f>
        <v>74000000</v>
      </c>
      <c r="D23" s="9" t="n">
        <f aca="false">B23-C23</f>
        <v>62040000</v>
      </c>
      <c r="E23" s="8" t="s">
        <v>36</v>
      </c>
    </row>
    <row r="24" customFormat="false" ht="15" hidden="false" customHeight="false" outlineLevel="0" collapsed="false">
      <c r="A24" s="18" t="s">
        <v>37</v>
      </c>
      <c r="B24" s="9" t="n">
        <f aca="false">B$17*4</f>
        <v>272080000</v>
      </c>
      <c r="C24" s="9" t="n">
        <f aca="false">C$17*4</f>
        <v>148000000</v>
      </c>
      <c r="D24" s="9" t="n">
        <f aca="false">B24-C24</f>
        <v>124080000</v>
      </c>
      <c r="E24" s="8" t="s">
        <v>38</v>
      </c>
    </row>
    <row r="25" customFormat="false" ht="15" hidden="false" customHeight="true" outlineLevel="0" collapsed="false">
      <c r="A25" s="19" t="s">
        <v>39</v>
      </c>
      <c r="B25" s="19"/>
      <c r="C25" s="19"/>
      <c r="D25" s="19"/>
      <c r="E25" s="19"/>
    </row>
    <row r="27" customFormat="false" ht="19.5" hidden="false" customHeight="true" outlineLevel="0" collapsed="false">
      <c r="A27" s="4" t="s">
        <v>40</v>
      </c>
      <c r="B27" s="4"/>
      <c r="C27" s="4"/>
      <c r="D27" s="4"/>
      <c r="E27" s="4"/>
    </row>
    <row r="28" customFormat="false" ht="21.75" hidden="false" customHeight="true" outlineLevel="0" collapsed="false">
      <c r="A28" s="20" t="s">
        <v>41</v>
      </c>
      <c r="B28" s="5" t="s">
        <v>42</v>
      </c>
      <c r="C28" s="5"/>
      <c r="D28" s="5"/>
      <c r="E28" s="5" t="s">
        <v>43</v>
      </c>
    </row>
    <row r="29" customFormat="false" ht="45.75" hidden="false" customHeight="true" outlineLevel="0" collapsed="false">
      <c r="A29" s="18" t="n">
        <v>1</v>
      </c>
      <c r="B29" s="21" t="s">
        <v>44</v>
      </c>
      <c r="C29" s="21"/>
      <c r="D29" s="21"/>
      <c r="E29" s="8" t="s">
        <v>45</v>
      </c>
    </row>
    <row r="30" customFormat="false" ht="45.75" hidden="false" customHeight="true" outlineLevel="0" collapsed="false">
      <c r="A30" s="18" t="n">
        <v>2</v>
      </c>
      <c r="B30" s="22" t="s">
        <v>46</v>
      </c>
      <c r="C30" s="22"/>
      <c r="D30" s="22"/>
      <c r="E30" s="8" t="s">
        <v>47</v>
      </c>
    </row>
    <row r="31" customFormat="false" ht="45.75" hidden="false" customHeight="true" outlineLevel="0" collapsed="false">
      <c r="A31" s="18" t="n">
        <v>3</v>
      </c>
      <c r="B31" s="21" t="s">
        <v>48</v>
      </c>
      <c r="C31" s="21"/>
      <c r="D31" s="21"/>
      <c r="E31" s="8" t="s">
        <v>49</v>
      </c>
    </row>
    <row r="32" customFormat="false" ht="45.75" hidden="false" customHeight="true" outlineLevel="0" collapsed="false">
      <c r="A32" s="18" t="n">
        <v>4</v>
      </c>
      <c r="B32" s="22" t="s">
        <v>50</v>
      </c>
      <c r="C32" s="22"/>
      <c r="D32" s="22"/>
      <c r="E32" s="8" t="s">
        <v>51</v>
      </c>
    </row>
    <row r="33" customFormat="false" ht="45.75" hidden="false" customHeight="true" outlineLevel="0" collapsed="false">
      <c r="A33" s="18" t="n">
        <v>5</v>
      </c>
      <c r="B33" s="21" t="s">
        <v>52</v>
      </c>
      <c r="C33" s="21"/>
      <c r="D33" s="21"/>
      <c r="E33" s="8" t="s">
        <v>53</v>
      </c>
    </row>
    <row r="34" customFormat="false" ht="45.75" hidden="false" customHeight="true" outlineLevel="0" collapsed="false">
      <c r="A34" s="18" t="n">
        <v>6</v>
      </c>
      <c r="B34" s="22" t="s">
        <v>54</v>
      </c>
      <c r="C34" s="22"/>
      <c r="D34" s="22"/>
      <c r="E34" s="8" t="s">
        <v>55</v>
      </c>
    </row>
    <row r="35" customFormat="false" ht="45.75" hidden="false" customHeight="true" outlineLevel="0" collapsed="false">
      <c r="A35" s="18" t="n">
        <v>7</v>
      </c>
      <c r="B35" s="22" t="s">
        <v>56</v>
      </c>
      <c r="C35" s="22"/>
      <c r="D35" s="22"/>
      <c r="E35" s="8" t="s">
        <v>57</v>
      </c>
    </row>
    <row r="36" customFormat="false" ht="45.75" hidden="false" customHeight="true" outlineLevel="0" collapsed="false">
      <c r="A36" s="18" t="n">
        <v>8</v>
      </c>
      <c r="B36" s="21" t="s">
        <v>58</v>
      </c>
      <c r="C36" s="21"/>
      <c r="D36" s="21"/>
      <c r="E36" s="8" t="s">
        <v>59</v>
      </c>
    </row>
    <row r="38" customFormat="false" ht="19.5" hidden="false" customHeight="true" outlineLevel="0" collapsed="false">
      <c r="A38" s="4" t="s">
        <v>60</v>
      </c>
      <c r="B38" s="4"/>
      <c r="C38" s="4"/>
      <c r="D38" s="4"/>
      <c r="E38" s="4"/>
    </row>
    <row r="39" customFormat="false" ht="30" hidden="false" customHeight="true" outlineLevel="0" collapsed="false">
      <c r="A39" s="18" t="n">
        <v>1</v>
      </c>
      <c r="B39" s="8" t="s">
        <v>61</v>
      </c>
      <c r="C39" s="8"/>
      <c r="D39" s="8"/>
      <c r="E39" s="8"/>
    </row>
    <row r="40" customFormat="false" ht="30" hidden="false" customHeight="true" outlineLevel="0" collapsed="false">
      <c r="A40" s="18" t="n">
        <v>2</v>
      </c>
      <c r="B40" s="8" t="s">
        <v>62</v>
      </c>
      <c r="C40" s="8"/>
      <c r="D40" s="8"/>
      <c r="E40" s="8"/>
    </row>
    <row r="41" customFormat="false" ht="30" hidden="false" customHeight="true" outlineLevel="0" collapsed="false">
      <c r="A41" s="18" t="n">
        <v>3</v>
      </c>
      <c r="B41" s="8" t="s">
        <v>63</v>
      </c>
      <c r="C41" s="8"/>
      <c r="D41" s="8"/>
      <c r="E41" s="8"/>
    </row>
  </sheetData>
  <mergeCells count="19">
    <mergeCell ref="A1:E1"/>
    <mergeCell ref="A2:E2"/>
    <mergeCell ref="A5:E5"/>
    <mergeCell ref="A20:E20"/>
    <mergeCell ref="A25:E25"/>
    <mergeCell ref="A27:E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38:E38"/>
    <mergeCell ref="B39:E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44"/>
  </cols>
  <sheetData>
    <row r="1" customFormat="false" ht="24" hidden="false" customHeight="true" outlineLevel="0" collapsed="false">
      <c r="A1" s="1" t="s">
        <v>64</v>
      </c>
      <c r="B1" s="1"/>
      <c r="C1" s="1"/>
      <c r="D1" s="1"/>
    </row>
    <row r="2" customFormat="false" ht="13.4" hidden="false" customHeight="false" outlineLevel="0" collapsed="false">
      <c r="A2" s="2" t="s">
        <v>65</v>
      </c>
      <c r="B2" s="2"/>
      <c r="C2" s="2"/>
      <c r="D2" s="2"/>
    </row>
    <row r="4" customFormat="false" ht="19.5" hidden="false" customHeight="true" outlineLevel="0" collapsed="false">
      <c r="A4" s="4" t="s">
        <v>66</v>
      </c>
      <c r="B4" s="4"/>
      <c r="C4" s="4"/>
      <c r="D4" s="4"/>
    </row>
    <row r="5" customFormat="false" ht="21.75" hidden="false" customHeight="true" outlineLevel="0" collapsed="false">
      <c r="A5" s="5" t="s">
        <v>67</v>
      </c>
      <c r="B5" s="6" t="s">
        <v>2</v>
      </c>
      <c r="C5" s="7" t="s">
        <v>3</v>
      </c>
      <c r="D5" s="5" t="s">
        <v>68</v>
      </c>
    </row>
    <row r="6" customFormat="false" ht="33.75" hidden="false" customHeight="true" outlineLevel="0" collapsed="false">
      <c r="A6" s="23" t="s">
        <v>69</v>
      </c>
      <c r="B6" s="10" t="s">
        <v>70</v>
      </c>
      <c r="C6" s="10" t="s">
        <v>71</v>
      </c>
      <c r="D6" s="8" t="s">
        <v>72</v>
      </c>
    </row>
    <row r="7" customFormat="false" ht="33.75" hidden="false" customHeight="true" outlineLevel="0" collapsed="false">
      <c r="A7" s="24" t="s">
        <v>73</v>
      </c>
      <c r="B7" s="10" t="s">
        <v>74</v>
      </c>
      <c r="C7" s="10" t="s">
        <v>75</v>
      </c>
      <c r="D7" s="8" t="s">
        <v>76</v>
      </c>
    </row>
    <row r="8" customFormat="false" ht="33.75" hidden="false" customHeight="true" outlineLevel="0" collapsed="false">
      <c r="A8" s="23" t="s">
        <v>77</v>
      </c>
      <c r="B8" s="10" t="s">
        <v>78</v>
      </c>
      <c r="C8" s="10" t="s">
        <v>79</v>
      </c>
      <c r="D8" s="8" t="s">
        <v>80</v>
      </c>
    </row>
    <row r="9" customFormat="false" ht="33.75" hidden="false" customHeight="true" outlineLevel="0" collapsed="false">
      <c r="A9" s="22" t="s">
        <v>81</v>
      </c>
      <c r="B9" s="10" t="s">
        <v>82</v>
      </c>
      <c r="C9" s="10" t="s">
        <v>82</v>
      </c>
      <c r="D9" s="8" t="s">
        <v>83</v>
      </c>
    </row>
    <row r="10" customFormat="false" ht="33.75" hidden="false" customHeight="true" outlineLevel="0" collapsed="false">
      <c r="A10" s="21" t="s">
        <v>84</v>
      </c>
      <c r="B10" s="10" t="s">
        <v>85</v>
      </c>
      <c r="C10" s="10" t="s">
        <v>85</v>
      </c>
      <c r="D10" s="8" t="s">
        <v>86</v>
      </c>
    </row>
    <row r="11" customFormat="false" ht="33.75" hidden="false" customHeight="true" outlineLevel="0" collapsed="false">
      <c r="A11" s="22" t="s">
        <v>87</v>
      </c>
      <c r="B11" s="10" t="s">
        <v>88</v>
      </c>
      <c r="C11" s="10" t="s">
        <v>88</v>
      </c>
      <c r="D11" s="8" t="s">
        <v>86</v>
      </c>
    </row>
    <row r="12" customFormat="false" ht="33.75" hidden="false" customHeight="true" outlineLevel="0" collapsed="false">
      <c r="A12" s="22" t="s">
        <v>89</v>
      </c>
      <c r="B12" s="10" t="s">
        <v>90</v>
      </c>
      <c r="C12" s="10" t="s">
        <v>90</v>
      </c>
      <c r="D12" s="8" t="s">
        <v>86</v>
      </c>
    </row>
    <row r="13" customFormat="false" ht="33.75" hidden="false" customHeight="true" outlineLevel="0" collapsed="false">
      <c r="A13" s="23" t="s">
        <v>56</v>
      </c>
      <c r="B13" s="10" t="s">
        <v>91</v>
      </c>
      <c r="C13" s="10" t="s">
        <v>92</v>
      </c>
      <c r="D13" s="8" t="s">
        <v>93</v>
      </c>
    </row>
    <row r="14" customFormat="false" ht="33.75" hidden="false" customHeight="true" outlineLevel="0" collapsed="false">
      <c r="A14" s="25" t="s">
        <v>94</v>
      </c>
      <c r="B14" s="10" t="s">
        <v>95</v>
      </c>
      <c r="C14" s="8" t="s">
        <v>96</v>
      </c>
      <c r="D14" s="8" t="s">
        <v>97</v>
      </c>
    </row>
    <row r="15" customFormat="false" ht="33.75" hidden="false" customHeight="true" outlineLevel="0" collapsed="false">
      <c r="A15" s="25" t="s">
        <v>98</v>
      </c>
      <c r="B15" s="10" t="s">
        <v>99</v>
      </c>
      <c r="C15" s="8" t="s">
        <v>100</v>
      </c>
      <c r="D15" s="8" t="s">
        <v>101</v>
      </c>
    </row>
    <row r="16" customFormat="false" ht="33.75" hidden="false" customHeight="true" outlineLevel="0" collapsed="false">
      <c r="A16" s="26" t="s">
        <v>102</v>
      </c>
      <c r="B16" s="10" t="s">
        <v>103</v>
      </c>
      <c r="C16" s="8" t="s">
        <v>104</v>
      </c>
      <c r="D16" s="8" t="s">
        <v>105</v>
      </c>
    </row>
    <row r="17" customFormat="false" ht="33.75" hidden="false" customHeight="true" outlineLevel="0" collapsed="false">
      <c r="A17" s="22" t="s">
        <v>106</v>
      </c>
      <c r="B17" s="9" t="n">
        <v>41000000</v>
      </c>
      <c r="C17" s="9" t="n">
        <v>26500000</v>
      </c>
      <c r="D17" s="8" t="str">
        <f aca="false">"비아이가 "&amp;TEXT(B17-C17,"#,##0")&amp;"원 비쌈"</f>
        <v>비아이가 14,500,000원 비쌈</v>
      </c>
    </row>
    <row r="19" customFormat="false" ht="19.5" hidden="false" customHeight="true" outlineLevel="0" collapsed="false">
      <c r="A19" s="4" t="s">
        <v>107</v>
      </c>
      <c r="B19" s="4"/>
      <c r="C19" s="4"/>
      <c r="D19" s="4"/>
    </row>
    <row r="20" customFormat="false" ht="21.75" hidden="false" customHeight="true" outlineLevel="0" collapsed="false">
      <c r="A20" s="5" t="s">
        <v>108</v>
      </c>
      <c r="B20" s="6" t="s">
        <v>109</v>
      </c>
      <c r="C20" s="7" t="s">
        <v>110</v>
      </c>
      <c r="D20" s="5" t="s">
        <v>111</v>
      </c>
    </row>
    <row r="21" customFormat="false" ht="18" hidden="false" customHeight="true" outlineLevel="0" collapsed="false">
      <c r="A21" s="23" t="s">
        <v>112</v>
      </c>
      <c r="B21" s="10" t="s">
        <v>113</v>
      </c>
      <c r="C21" s="10" t="s">
        <v>114</v>
      </c>
      <c r="D21" s="27" t="s">
        <v>115</v>
      </c>
    </row>
    <row r="22" customFormat="false" ht="18" hidden="false" customHeight="true" outlineLevel="0" collapsed="false">
      <c r="A22" s="24" t="s">
        <v>73</v>
      </c>
      <c r="B22" s="10" t="s">
        <v>116</v>
      </c>
      <c r="C22" s="10" t="s">
        <v>117</v>
      </c>
      <c r="D22" s="27" t="s">
        <v>115</v>
      </c>
    </row>
    <row r="23" customFormat="false" ht="18" hidden="false" customHeight="true" outlineLevel="0" collapsed="false">
      <c r="A23" s="23" t="s">
        <v>77</v>
      </c>
      <c r="B23" s="10" t="s">
        <v>118</v>
      </c>
      <c r="C23" s="10" t="s">
        <v>119</v>
      </c>
      <c r="D23" s="27" t="s">
        <v>115</v>
      </c>
    </row>
    <row r="24" customFormat="false" ht="18" hidden="false" customHeight="true" outlineLevel="0" collapsed="false">
      <c r="A24" s="21" t="s">
        <v>120</v>
      </c>
      <c r="B24" s="10" t="s">
        <v>121</v>
      </c>
      <c r="C24" s="10" t="s">
        <v>122</v>
      </c>
      <c r="D24" s="28" t="s">
        <v>86</v>
      </c>
    </row>
    <row r="25" customFormat="false" ht="18" hidden="false" customHeight="true" outlineLevel="0" collapsed="false">
      <c r="A25" s="25" t="s">
        <v>123</v>
      </c>
      <c r="B25" s="10" t="s">
        <v>124</v>
      </c>
      <c r="C25" s="10" t="s">
        <v>125</v>
      </c>
      <c r="D25" s="29" t="s">
        <v>126</v>
      </c>
    </row>
    <row r="26" customFormat="false" ht="18" hidden="false" customHeight="true" outlineLevel="0" collapsed="false">
      <c r="A26" s="22" t="s">
        <v>127</v>
      </c>
      <c r="B26" s="10" t="s">
        <v>128</v>
      </c>
      <c r="C26" s="10" t="s">
        <v>129</v>
      </c>
      <c r="D26" s="28" t="s">
        <v>86</v>
      </c>
    </row>
    <row r="27" customFormat="false" ht="18" hidden="false" customHeight="true" outlineLevel="0" collapsed="false">
      <c r="A27" s="21" t="s">
        <v>130</v>
      </c>
      <c r="B27" s="10" t="s">
        <v>131</v>
      </c>
      <c r="C27" s="10" t="s">
        <v>132</v>
      </c>
      <c r="D27" s="28" t="s">
        <v>86</v>
      </c>
    </row>
    <row r="28" customFormat="false" ht="18" hidden="false" customHeight="true" outlineLevel="0" collapsed="false">
      <c r="A28" s="22" t="s">
        <v>133</v>
      </c>
      <c r="B28" s="10" t="s">
        <v>134</v>
      </c>
      <c r="C28" s="10" t="s">
        <v>135</v>
      </c>
      <c r="D28" s="28" t="s">
        <v>86</v>
      </c>
    </row>
    <row r="29" customFormat="false" ht="18" hidden="false" customHeight="true" outlineLevel="0" collapsed="false">
      <c r="A29" s="21" t="s">
        <v>84</v>
      </c>
      <c r="B29" s="10" t="s">
        <v>136</v>
      </c>
      <c r="C29" s="10" t="s">
        <v>137</v>
      </c>
      <c r="D29" s="28" t="s">
        <v>86</v>
      </c>
    </row>
    <row r="30" customFormat="false" ht="18" hidden="false" customHeight="true" outlineLevel="0" collapsed="false">
      <c r="A30" s="21" t="s">
        <v>138</v>
      </c>
      <c r="B30" s="10" t="s">
        <v>139</v>
      </c>
      <c r="C30" s="10" t="s">
        <v>140</v>
      </c>
      <c r="D30" s="28" t="s">
        <v>86</v>
      </c>
    </row>
    <row r="31" customFormat="false" ht="18" hidden="false" customHeight="true" outlineLevel="0" collapsed="false">
      <c r="A31" s="21" t="s">
        <v>141</v>
      </c>
      <c r="B31" s="10" t="s">
        <v>142</v>
      </c>
      <c r="C31" s="10" t="s">
        <v>143</v>
      </c>
      <c r="D31" s="28" t="s">
        <v>144</v>
      </c>
    </row>
    <row r="32" customFormat="false" ht="18" hidden="false" customHeight="true" outlineLevel="0" collapsed="false">
      <c r="A32" s="22" t="s">
        <v>145</v>
      </c>
      <c r="B32" s="10" t="s">
        <v>146</v>
      </c>
      <c r="C32" s="10" t="s">
        <v>147</v>
      </c>
      <c r="D32" s="28" t="s">
        <v>86</v>
      </c>
    </row>
    <row r="33" customFormat="false" ht="18" hidden="false" customHeight="true" outlineLevel="0" collapsed="false">
      <c r="A33" s="23" t="s">
        <v>56</v>
      </c>
      <c r="B33" s="10" t="s">
        <v>148</v>
      </c>
      <c r="C33" s="10" t="s">
        <v>149</v>
      </c>
      <c r="D33" s="27" t="s">
        <v>115</v>
      </c>
    </row>
    <row r="34" customFormat="false" ht="18" hidden="false" customHeight="true" outlineLevel="0" collapsed="false">
      <c r="A34" s="22" t="s">
        <v>150</v>
      </c>
      <c r="B34" s="10" t="s">
        <v>151</v>
      </c>
      <c r="C34" s="10" t="s">
        <v>152</v>
      </c>
      <c r="D34" s="28" t="s">
        <v>144</v>
      </c>
    </row>
    <row r="35" customFormat="false" ht="18" hidden="false" customHeight="true" outlineLevel="0" collapsed="false">
      <c r="A35" s="25" t="s">
        <v>94</v>
      </c>
      <c r="B35" s="10" t="s">
        <v>153</v>
      </c>
      <c r="C35" s="10" t="s">
        <v>154</v>
      </c>
      <c r="D35" s="29" t="s">
        <v>155</v>
      </c>
    </row>
    <row r="36" customFormat="false" ht="18" hidden="false" customHeight="true" outlineLevel="0" collapsed="false">
      <c r="A36" s="26" t="s">
        <v>156</v>
      </c>
      <c r="B36" s="10" t="s">
        <v>157</v>
      </c>
      <c r="C36" s="10" t="s">
        <v>154</v>
      </c>
      <c r="D36" s="29" t="s">
        <v>155</v>
      </c>
    </row>
    <row r="37" customFormat="false" ht="30" hidden="false" customHeight="true" outlineLevel="0" collapsed="false">
      <c r="A37" s="25" t="s">
        <v>158</v>
      </c>
      <c r="B37" s="10" t="s">
        <v>159</v>
      </c>
      <c r="C37" s="10" t="s">
        <v>154</v>
      </c>
      <c r="D37" s="29" t="s">
        <v>155</v>
      </c>
    </row>
    <row r="38" customFormat="false" ht="18" hidden="false" customHeight="true" outlineLevel="0" collapsed="false">
      <c r="A38" s="25" t="s">
        <v>160</v>
      </c>
      <c r="B38" s="10" t="s">
        <v>161</v>
      </c>
      <c r="C38" s="10" t="s">
        <v>154</v>
      </c>
      <c r="D38" s="29" t="s">
        <v>155</v>
      </c>
    </row>
    <row r="39" customFormat="false" ht="18" hidden="false" customHeight="true" outlineLevel="0" collapsed="false">
      <c r="A39" s="26" t="s">
        <v>162</v>
      </c>
      <c r="B39" s="10" t="s">
        <v>163</v>
      </c>
      <c r="C39" s="10" t="s">
        <v>154</v>
      </c>
      <c r="D39" s="29" t="s">
        <v>155</v>
      </c>
    </row>
  </sheetData>
  <mergeCells count="4">
    <mergeCell ref="A1:D1"/>
    <mergeCell ref="A2:D2"/>
    <mergeCell ref="A4:D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34"/>
  </cols>
  <sheetData>
    <row r="1" customFormat="false" ht="24" hidden="false" customHeight="true" outlineLevel="0" collapsed="false">
      <c r="A1" s="1" t="s">
        <v>164</v>
      </c>
      <c r="B1" s="1"/>
      <c r="C1" s="1"/>
      <c r="D1" s="1"/>
    </row>
    <row r="2" customFormat="false" ht="13.4" hidden="false" customHeight="false" outlineLevel="0" collapsed="false">
      <c r="A2" s="2" t="s">
        <v>165</v>
      </c>
      <c r="B2" s="2"/>
      <c r="C2" s="2"/>
      <c r="D2" s="2"/>
    </row>
    <row r="4" customFormat="false" ht="21.75" hidden="false" customHeight="true" outlineLevel="0" collapsed="false">
      <c r="A4" s="5" t="s">
        <v>67</v>
      </c>
      <c r="B4" s="6" t="s">
        <v>2</v>
      </c>
      <c r="C4" s="7" t="s">
        <v>3</v>
      </c>
      <c r="D4" s="5" t="s">
        <v>7</v>
      </c>
    </row>
    <row r="5" customFormat="false" ht="21.75" hidden="false" customHeight="true" outlineLevel="0" collapsed="false">
      <c r="A5" s="22" t="s">
        <v>166</v>
      </c>
      <c r="B5" s="10" t="s">
        <v>167</v>
      </c>
      <c r="C5" s="10" t="s">
        <v>168</v>
      </c>
      <c r="D5" s="8"/>
    </row>
    <row r="6" customFormat="false" ht="21.75" hidden="false" customHeight="true" outlineLevel="0" collapsed="false">
      <c r="A6" s="22" t="s">
        <v>169</v>
      </c>
      <c r="B6" s="10" t="s">
        <v>170</v>
      </c>
      <c r="C6" s="10" t="s">
        <v>171</v>
      </c>
      <c r="D6" s="16" t="s">
        <v>172</v>
      </c>
    </row>
    <row r="7" customFormat="false" ht="21.75" hidden="false" customHeight="true" outlineLevel="0" collapsed="false">
      <c r="A7" s="22" t="s">
        <v>173</v>
      </c>
      <c r="B7" s="9" t="n">
        <v>272080000</v>
      </c>
      <c r="C7" s="9" t="n">
        <v>74000000</v>
      </c>
      <c r="D7" s="8"/>
    </row>
    <row r="8" customFormat="false" ht="21.75" hidden="false" customHeight="true" outlineLevel="0" collapsed="false">
      <c r="A8" s="22" t="s">
        <v>174</v>
      </c>
      <c r="B8" s="10" t="s">
        <v>175</v>
      </c>
      <c r="C8" s="8" t="s">
        <v>176</v>
      </c>
      <c r="D8" s="16" t="s">
        <v>177</v>
      </c>
    </row>
    <row r="9" customFormat="false" ht="21.75" hidden="false" customHeight="true" outlineLevel="0" collapsed="false">
      <c r="A9" s="22" t="s">
        <v>178</v>
      </c>
      <c r="B9" s="8" t="s">
        <v>179</v>
      </c>
      <c r="C9" s="8" t="s">
        <v>180</v>
      </c>
      <c r="D9" s="8" t="s">
        <v>181</v>
      </c>
    </row>
    <row r="10" customFormat="false" ht="45.75" hidden="false" customHeight="true" outlineLevel="0" collapsed="false">
      <c r="A10" s="22" t="s">
        <v>182</v>
      </c>
      <c r="B10" s="8" t="s">
        <v>183</v>
      </c>
      <c r="C10" s="8" t="s">
        <v>184</v>
      </c>
      <c r="D10" s="8"/>
    </row>
    <row r="11" customFormat="false" ht="45.75" hidden="false" customHeight="true" outlineLevel="0" collapsed="false">
      <c r="A11" s="22" t="s">
        <v>185</v>
      </c>
      <c r="B11" s="8" t="s">
        <v>186</v>
      </c>
      <c r="C11" s="8" t="s">
        <v>187</v>
      </c>
      <c r="D11" s="16" t="s">
        <v>188</v>
      </c>
    </row>
    <row r="12" customFormat="false" ht="21.75" hidden="false" customHeight="true" outlineLevel="0" collapsed="false">
      <c r="A12" s="22" t="s">
        <v>189</v>
      </c>
      <c r="B12" s="8" t="s">
        <v>190</v>
      </c>
      <c r="C12" s="8" t="s">
        <v>191</v>
      </c>
      <c r="D12" s="16" t="s">
        <v>192</v>
      </c>
    </row>
    <row r="13" customFormat="false" ht="45.75" hidden="false" customHeight="true" outlineLevel="0" collapsed="false">
      <c r="A13" s="22" t="s">
        <v>193</v>
      </c>
      <c r="B13" s="10" t="s">
        <v>194</v>
      </c>
      <c r="C13" s="8" t="s">
        <v>195</v>
      </c>
      <c r="D13" s="8"/>
    </row>
    <row r="14" customFormat="false" ht="21.75" hidden="false" customHeight="true" outlineLevel="0" collapsed="false">
      <c r="A14" s="22" t="s">
        <v>196</v>
      </c>
      <c r="B14" s="8" t="s">
        <v>197</v>
      </c>
      <c r="C14" s="10" t="s">
        <v>154</v>
      </c>
      <c r="D14" s="8"/>
    </row>
    <row r="15" customFormat="false" ht="21.75" hidden="false" customHeight="true" outlineLevel="0" collapsed="false">
      <c r="A15" s="21" t="s">
        <v>198</v>
      </c>
      <c r="B15" s="8" t="s">
        <v>199</v>
      </c>
      <c r="C15" s="8" t="s">
        <v>200</v>
      </c>
      <c r="D15" s="8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5" min="4" style="0" width="7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4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13.4" hidden="false" customHeight="false" outlineLevel="0" collapsed="false">
      <c r="A2" s="2" t="s">
        <v>202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5" t="s">
        <v>203</v>
      </c>
      <c r="B4" s="5" t="s">
        <v>5</v>
      </c>
      <c r="C4" s="5" t="s">
        <v>67</v>
      </c>
      <c r="D4" s="5" t="s">
        <v>204</v>
      </c>
      <c r="E4" s="5" t="s">
        <v>205</v>
      </c>
      <c r="F4" s="5" t="s">
        <v>206</v>
      </c>
      <c r="G4" s="5" t="s">
        <v>207</v>
      </c>
      <c r="H4" s="5" t="s">
        <v>7</v>
      </c>
    </row>
    <row r="5" customFormat="false" ht="26.85" hidden="false" customHeight="false" outlineLevel="0" collapsed="false">
      <c r="A5" s="30" t="s">
        <v>2</v>
      </c>
      <c r="B5" s="28" t="s">
        <v>8</v>
      </c>
      <c r="C5" s="10" t="s">
        <v>208</v>
      </c>
      <c r="D5" s="31" t="n">
        <v>1</v>
      </c>
      <c r="E5" s="18" t="s">
        <v>209</v>
      </c>
      <c r="F5" s="9" t="n">
        <v>41000000</v>
      </c>
      <c r="G5" s="9" t="n">
        <f aca="false">D5*F5</f>
        <v>41000000</v>
      </c>
      <c r="H5" s="8" t="s">
        <v>210</v>
      </c>
    </row>
    <row r="6" customFormat="false" ht="26.1" hidden="false" customHeight="false" outlineLevel="0" collapsed="false">
      <c r="A6" s="30" t="s">
        <v>2</v>
      </c>
      <c r="B6" s="18" t="s">
        <v>10</v>
      </c>
      <c r="C6" s="10" t="s">
        <v>211</v>
      </c>
      <c r="D6" s="31" t="n">
        <v>1</v>
      </c>
      <c r="E6" s="18" t="s">
        <v>212</v>
      </c>
      <c r="F6" s="9" t="n">
        <v>2200000</v>
      </c>
      <c r="G6" s="9" t="n">
        <f aca="false">D6*F6</f>
        <v>2200000</v>
      </c>
      <c r="H6" s="8"/>
    </row>
    <row r="7" customFormat="false" ht="15" hidden="false" customHeight="false" outlineLevel="0" collapsed="false">
      <c r="A7" s="30" t="s">
        <v>2</v>
      </c>
      <c r="B7" s="18" t="s">
        <v>12</v>
      </c>
      <c r="C7" s="10" t="s">
        <v>213</v>
      </c>
      <c r="D7" s="31" t="n">
        <v>14</v>
      </c>
      <c r="E7" s="18" t="s">
        <v>212</v>
      </c>
      <c r="F7" s="9" t="n">
        <v>110000</v>
      </c>
      <c r="G7" s="9" t="n">
        <f aca="false">D7*F7</f>
        <v>1540000</v>
      </c>
      <c r="H7" s="8"/>
    </row>
    <row r="8" customFormat="false" ht="15" hidden="false" customHeight="false" outlineLevel="0" collapsed="false">
      <c r="A8" s="30" t="s">
        <v>2</v>
      </c>
      <c r="B8" s="18" t="s">
        <v>14</v>
      </c>
      <c r="C8" s="10" t="s">
        <v>214</v>
      </c>
      <c r="D8" s="31" t="n">
        <v>1</v>
      </c>
      <c r="E8" s="18" t="s">
        <v>212</v>
      </c>
      <c r="F8" s="9" t="n">
        <v>2000000</v>
      </c>
      <c r="G8" s="9" t="n">
        <f aca="false">D8*F8</f>
        <v>2000000</v>
      </c>
      <c r="H8" s="8"/>
    </row>
    <row r="9" customFormat="false" ht="15" hidden="false" customHeight="false" outlineLevel="0" collapsed="false">
      <c r="A9" s="30" t="s">
        <v>2</v>
      </c>
      <c r="B9" s="18" t="s">
        <v>16</v>
      </c>
      <c r="C9" s="10" t="s">
        <v>215</v>
      </c>
      <c r="D9" s="31" t="n">
        <v>14</v>
      </c>
      <c r="E9" s="18" t="s">
        <v>212</v>
      </c>
      <c r="F9" s="9" t="n">
        <v>500000</v>
      </c>
      <c r="G9" s="9" t="n">
        <f aca="false">D9*F9</f>
        <v>7000000</v>
      </c>
      <c r="H9" s="8"/>
    </row>
    <row r="10" customFormat="false" ht="15" hidden="false" customHeight="false" outlineLevel="0" collapsed="false">
      <c r="A10" s="30" t="s">
        <v>2</v>
      </c>
      <c r="B10" s="28" t="s">
        <v>18</v>
      </c>
      <c r="C10" s="8" t="s">
        <v>216</v>
      </c>
      <c r="D10" s="31" t="n">
        <v>1</v>
      </c>
      <c r="E10" s="28" t="s">
        <v>217</v>
      </c>
      <c r="F10" s="9" t="n">
        <v>2500000</v>
      </c>
      <c r="G10" s="9" t="n">
        <f aca="false">D10*F10</f>
        <v>2500000</v>
      </c>
      <c r="H10" s="8"/>
    </row>
    <row r="11" customFormat="false" ht="15" hidden="false" customHeight="false" outlineLevel="0" collapsed="false">
      <c r="A11" s="30" t="s">
        <v>2</v>
      </c>
      <c r="B11" s="28" t="s">
        <v>18</v>
      </c>
      <c r="C11" s="8" t="s">
        <v>218</v>
      </c>
      <c r="D11" s="31" t="n">
        <v>1</v>
      </c>
      <c r="E11" s="18" t="s">
        <v>219</v>
      </c>
      <c r="F11" s="9" t="n">
        <v>600000</v>
      </c>
      <c r="G11" s="9" t="n">
        <f aca="false">D11*F11</f>
        <v>600000</v>
      </c>
      <c r="H11" s="8"/>
    </row>
    <row r="12" customFormat="false" ht="15" hidden="false" customHeight="false" outlineLevel="0" collapsed="false">
      <c r="A12" s="30" t="s">
        <v>2</v>
      </c>
      <c r="B12" s="18" t="s">
        <v>220</v>
      </c>
      <c r="C12" s="10" t="s">
        <v>221</v>
      </c>
      <c r="D12" s="31" t="n">
        <v>1</v>
      </c>
      <c r="E12" s="18" t="s">
        <v>212</v>
      </c>
      <c r="F12" s="9" t="n">
        <v>1860000</v>
      </c>
      <c r="G12" s="9" t="n">
        <f aca="false">D12*F12</f>
        <v>1860000</v>
      </c>
      <c r="H12" s="10" t="s">
        <v>222</v>
      </c>
    </row>
    <row r="13" customFormat="false" ht="15" hidden="false" customHeight="false" outlineLevel="0" collapsed="false">
      <c r="A13" s="30" t="s">
        <v>2</v>
      </c>
      <c r="B13" s="18" t="s">
        <v>220</v>
      </c>
      <c r="C13" s="10" t="s">
        <v>223</v>
      </c>
      <c r="D13" s="31" t="n">
        <v>2</v>
      </c>
      <c r="E13" s="18" t="s">
        <v>212</v>
      </c>
      <c r="F13" s="9" t="n">
        <v>1200000</v>
      </c>
      <c r="G13" s="9" t="n">
        <f aca="false">D13*F13</f>
        <v>2400000</v>
      </c>
      <c r="H13" s="10" t="s">
        <v>222</v>
      </c>
    </row>
    <row r="14" customFormat="false" ht="15" hidden="false" customHeight="false" outlineLevel="0" collapsed="false">
      <c r="A14" s="30" t="s">
        <v>2</v>
      </c>
      <c r="B14" s="18" t="s">
        <v>220</v>
      </c>
      <c r="C14" s="10" t="s">
        <v>224</v>
      </c>
      <c r="D14" s="31" t="n">
        <v>1</v>
      </c>
      <c r="E14" s="18" t="s">
        <v>212</v>
      </c>
      <c r="F14" s="9" t="n">
        <v>970000</v>
      </c>
      <c r="G14" s="9" t="n">
        <f aca="false">D14*F14</f>
        <v>970000</v>
      </c>
      <c r="H14" s="10" t="s">
        <v>222</v>
      </c>
    </row>
    <row r="15" customFormat="false" ht="15" hidden="false" customHeight="false" outlineLevel="0" collapsed="false">
      <c r="A15" s="30" t="s">
        <v>2</v>
      </c>
      <c r="B15" s="18" t="s">
        <v>220</v>
      </c>
      <c r="C15" s="8" t="s">
        <v>225</v>
      </c>
      <c r="D15" s="31" t="n">
        <v>1</v>
      </c>
      <c r="E15" s="18" t="s">
        <v>219</v>
      </c>
      <c r="F15" s="9" t="n">
        <v>850000</v>
      </c>
      <c r="G15" s="9" t="n">
        <f aca="false">D15*F15</f>
        <v>850000</v>
      </c>
      <c r="H15" s="8" t="s">
        <v>226</v>
      </c>
    </row>
    <row r="16" customFormat="false" ht="15" hidden="false" customHeight="false" outlineLevel="0" collapsed="false">
      <c r="A16" s="30" t="s">
        <v>2</v>
      </c>
      <c r="B16" s="18" t="s">
        <v>220</v>
      </c>
      <c r="C16" s="10" t="s">
        <v>227</v>
      </c>
      <c r="D16" s="31" t="n">
        <v>1</v>
      </c>
      <c r="E16" s="18" t="s">
        <v>219</v>
      </c>
      <c r="F16" s="9" t="n">
        <v>300000</v>
      </c>
      <c r="G16" s="9" t="n">
        <f aca="false">D16*F16</f>
        <v>300000</v>
      </c>
      <c r="H16" s="8"/>
    </row>
    <row r="17" customFormat="false" ht="15" hidden="false" customHeight="false" outlineLevel="0" collapsed="false">
      <c r="A17" s="30" t="s">
        <v>2</v>
      </c>
      <c r="B17" s="28" t="s">
        <v>228</v>
      </c>
      <c r="C17" s="8" t="s">
        <v>229</v>
      </c>
      <c r="D17" s="31" t="n">
        <v>1</v>
      </c>
      <c r="E17" s="18" t="s">
        <v>219</v>
      </c>
      <c r="F17" s="9" t="n">
        <v>2000000</v>
      </c>
      <c r="G17" s="9" t="n">
        <f aca="false">D17*F17</f>
        <v>2000000</v>
      </c>
      <c r="H17" s="8" t="s">
        <v>230</v>
      </c>
    </row>
    <row r="18" customFormat="false" ht="15" hidden="false" customHeight="false" outlineLevel="0" collapsed="false">
      <c r="A18" s="30" t="s">
        <v>2</v>
      </c>
      <c r="B18" s="28" t="s">
        <v>228</v>
      </c>
      <c r="C18" s="10" t="s">
        <v>231</v>
      </c>
      <c r="D18" s="31" t="n">
        <v>1</v>
      </c>
      <c r="E18" s="18" t="s">
        <v>219</v>
      </c>
      <c r="F18" s="9" t="n">
        <v>800000</v>
      </c>
      <c r="G18" s="9" t="n">
        <f aca="false">D18*F18</f>
        <v>800000</v>
      </c>
      <c r="H18" s="8" t="s">
        <v>230</v>
      </c>
    </row>
    <row r="19" customFormat="false" ht="15" hidden="false" customHeight="false" outlineLevel="0" collapsed="false">
      <c r="A19" s="30" t="s">
        <v>2</v>
      </c>
      <c r="B19" s="28" t="s">
        <v>228</v>
      </c>
      <c r="C19" s="10" t="s">
        <v>232</v>
      </c>
      <c r="D19" s="31" t="n">
        <v>1</v>
      </c>
      <c r="E19" s="18" t="s">
        <v>219</v>
      </c>
      <c r="F19" s="9" t="n">
        <v>900000</v>
      </c>
      <c r="G19" s="9" t="n">
        <f aca="false">D19*F19</f>
        <v>900000</v>
      </c>
      <c r="H19" s="8" t="s">
        <v>230</v>
      </c>
    </row>
    <row r="20" customFormat="false" ht="15" hidden="false" customHeight="false" outlineLevel="0" collapsed="false">
      <c r="A20" s="30" t="s">
        <v>2</v>
      </c>
      <c r="B20" s="28" t="s">
        <v>228</v>
      </c>
      <c r="C20" s="10" t="s">
        <v>233</v>
      </c>
      <c r="D20" s="31" t="n">
        <v>1</v>
      </c>
      <c r="E20" s="18" t="s">
        <v>219</v>
      </c>
      <c r="F20" s="9" t="n">
        <v>1100000</v>
      </c>
      <c r="G20" s="9" t="n">
        <f aca="false">D20*F20</f>
        <v>1100000</v>
      </c>
      <c r="H20" s="8" t="s">
        <v>230</v>
      </c>
    </row>
    <row r="21" customFormat="false" ht="15" hidden="false" customHeight="false" outlineLevel="0" collapsed="false">
      <c r="A21" s="30" t="s">
        <v>2</v>
      </c>
      <c r="B21" s="28" t="s">
        <v>228</v>
      </c>
      <c r="C21" s="8" t="s">
        <v>234</v>
      </c>
      <c r="D21" s="31" t="n">
        <v>1</v>
      </c>
      <c r="E21" s="18" t="s">
        <v>219</v>
      </c>
      <c r="F21" s="9" t="n">
        <v>800000</v>
      </c>
      <c r="G21" s="9" t="n">
        <f aca="false">D21*F21</f>
        <v>800000</v>
      </c>
      <c r="H21" s="8" t="s">
        <v>230</v>
      </c>
    </row>
    <row r="22" customFormat="false" ht="15" hidden="false" customHeight="false" outlineLevel="0" collapsed="false">
      <c r="A22" s="32"/>
      <c r="B22" s="32"/>
      <c r="C22" s="33" t="s">
        <v>235</v>
      </c>
      <c r="D22" s="32"/>
      <c r="E22" s="32"/>
      <c r="F22" s="32"/>
      <c r="G22" s="34" t="n">
        <f aca="false">SUM(G5:G21)</f>
        <v>68820000</v>
      </c>
      <c r="H22" s="32"/>
    </row>
    <row r="24" customFormat="false" ht="25.35" hidden="false" customHeight="false" outlineLevel="0" collapsed="false">
      <c r="A24" s="35" t="s">
        <v>3</v>
      </c>
      <c r="B24" s="28" t="s">
        <v>8</v>
      </c>
      <c r="C24" s="10" t="s">
        <v>236</v>
      </c>
      <c r="D24" s="31" t="n">
        <v>1</v>
      </c>
      <c r="E24" s="18" t="s">
        <v>209</v>
      </c>
      <c r="F24" s="9" t="n">
        <v>26500000</v>
      </c>
      <c r="G24" s="9" t="n">
        <f aca="false">D24*F24</f>
        <v>26500000</v>
      </c>
      <c r="H24" s="8" t="s">
        <v>237</v>
      </c>
    </row>
    <row r="25" customFormat="false" ht="26.1" hidden="false" customHeight="false" outlineLevel="0" collapsed="false">
      <c r="A25" s="35" t="s">
        <v>3</v>
      </c>
      <c r="B25" s="18" t="s">
        <v>10</v>
      </c>
      <c r="C25" s="10" t="s">
        <v>211</v>
      </c>
      <c r="D25" s="31" t="n">
        <v>1</v>
      </c>
      <c r="E25" s="18" t="s">
        <v>212</v>
      </c>
      <c r="F25" s="9" t="n">
        <v>1950000</v>
      </c>
      <c r="G25" s="9" t="n">
        <f aca="false">D25*F25</f>
        <v>1950000</v>
      </c>
      <c r="H25" s="8"/>
    </row>
    <row r="26" customFormat="false" ht="15" hidden="false" customHeight="false" outlineLevel="0" collapsed="false">
      <c r="A26" s="35" t="s">
        <v>3</v>
      </c>
      <c r="B26" s="18" t="s">
        <v>12</v>
      </c>
      <c r="C26" s="10" t="s">
        <v>213</v>
      </c>
      <c r="D26" s="31" t="n">
        <v>12</v>
      </c>
      <c r="E26" s="18" t="s">
        <v>212</v>
      </c>
      <c r="F26" s="9" t="n">
        <v>85000</v>
      </c>
      <c r="G26" s="9" t="n">
        <f aca="false">D26*F26</f>
        <v>1020000</v>
      </c>
      <c r="H26" s="8"/>
    </row>
    <row r="27" customFormat="false" ht="15" hidden="false" customHeight="false" outlineLevel="0" collapsed="false">
      <c r="A27" s="35" t="s">
        <v>3</v>
      </c>
      <c r="B27" s="18" t="s">
        <v>14</v>
      </c>
      <c r="C27" s="10" t="s">
        <v>238</v>
      </c>
      <c r="D27" s="31" t="n">
        <v>1</v>
      </c>
      <c r="E27" s="18" t="s">
        <v>212</v>
      </c>
      <c r="F27" s="9" t="n">
        <v>1650000</v>
      </c>
      <c r="G27" s="9" t="n">
        <f aca="false">D27*F27</f>
        <v>1650000</v>
      </c>
      <c r="H27" s="8"/>
    </row>
    <row r="28" customFormat="false" ht="15" hidden="false" customHeight="false" outlineLevel="0" collapsed="false">
      <c r="A28" s="35" t="s">
        <v>3</v>
      </c>
      <c r="B28" s="18" t="s">
        <v>16</v>
      </c>
      <c r="C28" s="10" t="s">
        <v>215</v>
      </c>
      <c r="D28" s="31" t="n">
        <v>12</v>
      </c>
      <c r="E28" s="18" t="s">
        <v>212</v>
      </c>
      <c r="F28" s="9" t="n">
        <v>365000</v>
      </c>
      <c r="G28" s="9" t="n">
        <f aca="false">D28*F28</f>
        <v>4380000</v>
      </c>
      <c r="H28" s="8"/>
    </row>
    <row r="29" customFormat="false" ht="15" hidden="false" customHeight="false" outlineLevel="0" collapsed="false">
      <c r="A29" s="35" t="s">
        <v>3</v>
      </c>
      <c r="B29" s="28" t="s">
        <v>18</v>
      </c>
      <c r="C29" s="8" t="s">
        <v>239</v>
      </c>
      <c r="D29" s="31" t="n">
        <v>1</v>
      </c>
      <c r="E29" s="28" t="s">
        <v>240</v>
      </c>
      <c r="F29" s="9" t="n">
        <v>1500000</v>
      </c>
      <c r="G29" s="9" t="n">
        <f aca="false">D29*F29</f>
        <v>1500000</v>
      </c>
      <c r="H29" s="8"/>
    </row>
    <row r="30" customFormat="false" ht="15" hidden="false" customHeight="false" outlineLevel="0" collapsed="false">
      <c r="A30" s="35" t="s">
        <v>3</v>
      </c>
      <c r="B30" s="28" t="s">
        <v>228</v>
      </c>
      <c r="C30" s="8" t="s">
        <v>241</v>
      </c>
      <c r="D30" s="31"/>
      <c r="E30" s="28"/>
      <c r="F30" s="9"/>
      <c r="G30" s="9" t="n">
        <v>0</v>
      </c>
      <c r="H30" s="36" t="s">
        <v>242</v>
      </c>
    </row>
    <row r="31" customFormat="false" ht="15" hidden="false" customHeight="false" outlineLevel="0" collapsed="false">
      <c r="A31" s="32"/>
      <c r="B31" s="32"/>
      <c r="C31" s="33" t="s">
        <v>243</v>
      </c>
      <c r="D31" s="32"/>
      <c r="E31" s="32"/>
      <c r="F31" s="32"/>
      <c r="G31" s="34" t="n">
        <f aca="false">SUM(G24:G30)</f>
        <v>37000000</v>
      </c>
      <c r="H31" s="3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2026-10-16T00:37:03Z</dcterms:created>
  <dc:creator>openpyxl</dc:creator>
  <dc:description/>
  <dc:language>en-US</dc:language>
  <cp:lastModifiedBy/>
  <dcterms:modified xsi:type="dcterms:W3CDTF">2026-10-16T00:37:03Z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